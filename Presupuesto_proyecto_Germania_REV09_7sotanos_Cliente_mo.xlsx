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Jose project\"/>
    </mc:Choice>
  </mc:AlternateContent>
  <xr:revisionPtr revIDLastSave="0" documentId="13_ncr:1_{3FAEE193-845A-4547-AE0C-C8C5E9E8ED63}" xr6:coauthVersionLast="47" xr6:coauthVersionMax="47" xr10:uidLastSave="{00000000-0000-0000-0000-000000000000}"/>
  <bookViews>
    <workbookView xWindow="28680" yWindow="-10920" windowWidth="29040" windowHeight="17520" tabRatio="814" xr2:uid="{E6D2359B-B835-4A79-A4C4-5A6367D121EC}"/>
  </bookViews>
  <sheets>
    <sheet name="RESUMEN ESCENARIO" sheetId="21" r:id="rId1"/>
    <sheet name="OP" sheetId="9" r:id="rId2"/>
    <sheet name="GG" sheetId="127" r:id="rId3"/>
    <sheet name="Est Sotano " sheetId="86" r:id="rId4"/>
    <sheet name="EST TORRE" sheetId="108" r:id="rId5"/>
    <sheet name="ARQ SOT" sheetId="103" r:id="rId6"/>
    <sheet name="ARQ TORRE" sheetId="109" r:id="rId7"/>
    <sheet name="OFICINAS" sheetId="126" r:id="rId8"/>
    <sheet name="CTO BOMBAS - ACIySPC ACT" sheetId="135" r:id="rId9"/>
    <sheet name="INSTALACIONES" sheetId="136" r:id="rId10"/>
    <sheet name="IIMM" sheetId="134" r:id="rId11"/>
    <sheet name="IIEE" sheetId="133" r:id="rId12"/>
    <sheet name="IISS" sheetId="132" r:id="rId13"/>
    <sheet name="OBRA CIVIL ASCENSOR" sheetId="112" r:id="rId14"/>
    <sheet name="PAISAJISMO" sheetId="111" r:id="rId15"/>
  </sheets>
  <definedNames>
    <definedName name="__" hidden="1">#REF!</definedName>
    <definedName name="____" hidden="1">#REF!</definedName>
    <definedName name="______" hidden="1">#REF!</definedName>
    <definedName name="________" hidden="1">#REF!</definedName>
    <definedName name="__________" hidden="1">#REF!</definedName>
    <definedName name="_________________________A1" hidden="1">#REF!</definedName>
    <definedName name="_________________________A2" hidden="1">#REF!</definedName>
    <definedName name="_________________________A3" hidden="1">#REF!</definedName>
    <definedName name="_________________________A4" hidden="1">#REF!</definedName>
    <definedName name="_________________________A5" hidden="1">#REF!</definedName>
    <definedName name="_________________________n1" hidden="1">#REF!</definedName>
    <definedName name="_________________________n2" hidden="1">#REF!</definedName>
    <definedName name="_________________________S1" hidden="1">#REF!</definedName>
    <definedName name="_______________________A1" hidden="1">#REF!</definedName>
    <definedName name="_______________________A2" hidden="1">#REF!</definedName>
    <definedName name="_______________________A3" hidden="1">#REF!</definedName>
    <definedName name="_______________________A4" hidden="1">#REF!</definedName>
    <definedName name="_______________________A5" hidden="1">#REF!</definedName>
    <definedName name="_______________________n1" hidden="1">#REF!</definedName>
    <definedName name="_______________________n2" hidden="1">#REF!</definedName>
    <definedName name="_______________________S1" hidden="1">#REF!</definedName>
    <definedName name="_____________________A1" hidden="1">#REF!</definedName>
    <definedName name="_____________________A2" hidden="1">#REF!</definedName>
    <definedName name="_____________________A3" hidden="1">#REF!</definedName>
    <definedName name="_____________________A4" hidden="1">#REF!</definedName>
    <definedName name="_____________________A5" hidden="1">#REF!</definedName>
    <definedName name="_____________________n1" hidden="1">#REF!</definedName>
    <definedName name="_____________________n2" hidden="1">#REF!</definedName>
    <definedName name="_____________________S1" hidden="1">#REF!</definedName>
    <definedName name="____________________s1" hidden="1">#REF!</definedName>
    <definedName name="___________________A1" hidden="1">#REF!</definedName>
    <definedName name="___________________A2" hidden="1">#REF!</definedName>
    <definedName name="___________________A3" hidden="1">#REF!</definedName>
    <definedName name="___________________A4" hidden="1">#REF!</definedName>
    <definedName name="___________________A5" hidden="1">#REF!</definedName>
    <definedName name="___________________n1" hidden="1">#REF!</definedName>
    <definedName name="___________________n2" hidden="1">#REF!</definedName>
    <definedName name="___________________S1" hidden="1">#REF!</definedName>
    <definedName name="_________________A1" hidden="1">#REF!</definedName>
    <definedName name="_________________A2" hidden="1">#REF!</definedName>
    <definedName name="_________________A3" hidden="1">#REF!</definedName>
    <definedName name="_________________A4" hidden="1">#REF!</definedName>
    <definedName name="_________________A5" hidden="1">#REF!</definedName>
    <definedName name="_________________n1" hidden="1">#REF!</definedName>
    <definedName name="_________________n2" hidden="1">#REF!</definedName>
    <definedName name="_________________S1" hidden="1">#REF!</definedName>
    <definedName name="_______________A1" hidden="1">#REF!</definedName>
    <definedName name="_______________A2" hidden="1">#REF!</definedName>
    <definedName name="_______________A3" hidden="1">#REF!</definedName>
    <definedName name="_______________A4" hidden="1">#REF!</definedName>
    <definedName name="_______________A5" hidden="1">#REF!</definedName>
    <definedName name="_______________n1" hidden="1">#REF!</definedName>
    <definedName name="_______________n2" hidden="1">#REF!</definedName>
    <definedName name="_______________S1" hidden="1">#REF!</definedName>
    <definedName name="_____________A1" hidden="1">#REF!</definedName>
    <definedName name="_____________A2" hidden="1">#REF!</definedName>
    <definedName name="_____________A3" hidden="1">#REF!</definedName>
    <definedName name="_____________A4" hidden="1">#REF!</definedName>
    <definedName name="_____________A5" hidden="1">#REF!</definedName>
    <definedName name="_____________n1" hidden="1">#REF!</definedName>
    <definedName name="_____________n2" hidden="1">#REF!</definedName>
    <definedName name="_____________S1" hidden="1">#REF!</definedName>
    <definedName name="____________A1" hidden="1">#REF!</definedName>
    <definedName name="____________A2" hidden="1">#REF!</definedName>
    <definedName name="____________A3" hidden="1">#REF!</definedName>
    <definedName name="____________A4" hidden="1">#REF!</definedName>
    <definedName name="____________A5" hidden="1">#REF!</definedName>
    <definedName name="____________n1" hidden="1">#REF!</definedName>
    <definedName name="____________n2" hidden="1">#REF!</definedName>
    <definedName name="____________S1" hidden="1">#REF!</definedName>
    <definedName name="___________A1" hidden="1">#REF!</definedName>
    <definedName name="___________A2" hidden="1">#REF!</definedName>
    <definedName name="___________A3" hidden="1">#REF!</definedName>
    <definedName name="___________A4" hidden="1">#REF!</definedName>
    <definedName name="___________A5" hidden="1">#REF!</definedName>
    <definedName name="___________n1" hidden="1">#REF!</definedName>
    <definedName name="___________n2" hidden="1">#REF!</definedName>
    <definedName name="___________S1" hidden="1">#REF!</definedName>
    <definedName name="__________A1" hidden="1">#REF!</definedName>
    <definedName name="__________A2" hidden="1">#REF!</definedName>
    <definedName name="__________A3" hidden="1">#REF!</definedName>
    <definedName name="__________A4" hidden="1">#REF!</definedName>
    <definedName name="__________A5" hidden="1">#REF!</definedName>
    <definedName name="__________n1" hidden="1">#REF!</definedName>
    <definedName name="__________n2" hidden="1">#REF!</definedName>
    <definedName name="__________S1" hidden="1">#REF!</definedName>
    <definedName name="_________A1" hidden="1">#REF!</definedName>
    <definedName name="_________A2" hidden="1">#REF!</definedName>
    <definedName name="_________A3" hidden="1">#REF!</definedName>
    <definedName name="_________A4" hidden="1">#REF!</definedName>
    <definedName name="_________A5" hidden="1">#REF!</definedName>
    <definedName name="_________n1" hidden="1">#REF!</definedName>
    <definedName name="_________n2" hidden="1">#REF!</definedName>
    <definedName name="_________S1" hidden="1">#REF!</definedName>
    <definedName name="________A1" hidden="1">#REF!</definedName>
    <definedName name="________A2" hidden="1">#REF!</definedName>
    <definedName name="________A3" hidden="1">#REF!</definedName>
    <definedName name="________A4" hidden="1">#REF!</definedName>
    <definedName name="________A5" hidden="1">#REF!</definedName>
    <definedName name="________n1" hidden="1">#REF!</definedName>
    <definedName name="________n2" hidden="1">#REF!</definedName>
    <definedName name="________S1" hidden="1">#REF!</definedName>
    <definedName name="_______A1" hidden="1">#REF!</definedName>
    <definedName name="_______A2" hidden="1">#REF!</definedName>
    <definedName name="_______A3" hidden="1">#REF!</definedName>
    <definedName name="_______A4" hidden="1">#REF!</definedName>
    <definedName name="_______A5" hidden="1">#REF!</definedName>
    <definedName name="_______n1" hidden="1">#REF!</definedName>
    <definedName name="_______n2" hidden="1">#REF!</definedName>
    <definedName name="_______S1" hidden="1">#REF!</definedName>
    <definedName name="______A1" hidden="1">#REF!</definedName>
    <definedName name="______A2" hidden="1">#REF!</definedName>
    <definedName name="______A3" hidden="1">#REF!</definedName>
    <definedName name="______A4" hidden="1">#REF!</definedName>
    <definedName name="______A5" hidden="1">#REF!</definedName>
    <definedName name="______n1" hidden="1">#REF!</definedName>
    <definedName name="______n2" hidden="1">#REF!</definedName>
    <definedName name="______S1" hidden="1">#REF!</definedName>
    <definedName name="_____A1" hidden="1">#REF!</definedName>
    <definedName name="_____A2" hidden="1">#REF!</definedName>
    <definedName name="_____A3" hidden="1">#REF!</definedName>
    <definedName name="_____A4" hidden="1">#REF!</definedName>
    <definedName name="_____A5" hidden="1">#REF!</definedName>
    <definedName name="_____n1" hidden="1">#REF!</definedName>
    <definedName name="_____n2" hidden="1">#REF!</definedName>
    <definedName name="_____S1" hidden="1">#REF!</definedName>
    <definedName name="____A1" hidden="1">#REF!</definedName>
    <definedName name="____A2" hidden="1">#REF!</definedName>
    <definedName name="____A3" hidden="1">#REF!</definedName>
    <definedName name="____A4" hidden="1">#REF!</definedName>
    <definedName name="____A5" hidden="1">#REF!</definedName>
    <definedName name="____EST2" localSheetId="5" hidden="1">{#N/A,#N/A,FALSE,"AVALUO";#N/A,#N/A,FALSE,"CONDOMINIO";#N/A,#N/A,FALSE,"TDF"}</definedName>
    <definedName name="____EST2" localSheetId="6" hidden="1">{#N/A,#N/A,FALSE,"AVALUO";#N/A,#N/A,FALSE,"CONDOMINIO";#N/A,#N/A,FALSE,"TDF"}</definedName>
    <definedName name="____EST2" localSheetId="4" hidden="1">{#N/A,#N/A,FALSE,"AVALUO";#N/A,#N/A,FALSE,"CONDOMINIO";#N/A,#N/A,FALSE,"TDF"}</definedName>
    <definedName name="____EST2" localSheetId="13" hidden="1">{#N/A,#N/A,FALSE,"AVALUO";#N/A,#N/A,FALSE,"CONDOMINIO";#N/A,#N/A,FALSE,"TDF"}</definedName>
    <definedName name="____EST2" hidden="1">{#N/A,#N/A,FALSE,"AVALUO";#N/A,#N/A,FALSE,"CONDOMINIO";#N/A,#N/A,FALSE,"TDF"}</definedName>
    <definedName name="____KEY1" hidden="1">#REF!</definedName>
    <definedName name="____n1" hidden="1">#REF!</definedName>
    <definedName name="____n2" hidden="1">#REF!</definedName>
    <definedName name="____S1" hidden="1">#REF!</definedName>
    <definedName name="___A1" hidden="1">#REF!</definedName>
    <definedName name="___A2" hidden="1">#REF!</definedName>
    <definedName name="___A3" hidden="1">#REF!</definedName>
    <definedName name="___A4" hidden="1">#REF!</definedName>
    <definedName name="___A5" hidden="1">#REF!</definedName>
    <definedName name="___as1" localSheetId="5" hidden="1">{#N/A,#N/A,FALSE,"SumD";#N/A,#N/A,FALSE,"ElecD";#N/A,#N/A,FALSE,"MechD";#N/A,#N/A,FALSE,"GeotD";#N/A,#N/A,FALSE,"PrcsD";#N/A,#N/A,FALSE,"TunnD";#N/A,#N/A,FALSE,"CivlD";#N/A,#N/A,FALSE,"NtwkD";#N/A,#N/A,FALSE,"EstgD";#N/A,#N/A,FALSE,"PEngD"}</definedName>
    <definedName name="___as1" localSheetId="6" hidden="1">{#N/A,#N/A,FALSE,"SumD";#N/A,#N/A,FALSE,"ElecD";#N/A,#N/A,FALSE,"MechD";#N/A,#N/A,FALSE,"GeotD";#N/A,#N/A,FALSE,"PrcsD";#N/A,#N/A,FALSE,"TunnD";#N/A,#N/A,FALSE,"CivlD";#N/A,#N/A,FALSE,"NtwkD";#N/A,#N/A,FALSE,"EstgD";#N/A,#N/A,FALSE,"PEngD"}</definedName>
    <definedName name="___as1" localSheetId="3" hidden="1">{#N/A,#N/A,FALSE,"SumD";#N/A,#N/A,FALSE,"ElecD";#N/A,#N/A,FALSE,"MechD";#N/A,#N/A,FALSE,"GeotD";#N/A,#N/A,FALSE,"PrcsD";#N/A,#N/A,FALSE,"TunnD";#N/A,#N/A,FALSE,"CivlD";#N/A,#N/A,FALSE,"NtwkD";#N/A,#N/A,FALSE,"EstgD";#N/A,#N/A,FALSE,"PEngD"}</definedName>
    <definedName name="___as1" localSheetId="4" hidden="1">{#N/A,#N/A,FALSE,"SumD";#N/A,#N/A,FALSE,"ElecD";#N/A,#N/A,FALSE,"MechD";#N/A,#N/A,FALSE,"GeotD";#N/A,#N/A,FALSE,"PrcsD";#N/A,#N/A,FALSE,"TunnD";#N/A,#N/A,FALSE,"CivlD";#N/A,#N/A,FALSE,"NtwkD";#N/A,#N/A,FALSE,"EstgD";#N/A,#N/A,FALSE,"PEngD"}</definedName>
    <definedName name="___as1" localSheetId="13"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EST2" localSheetId="5" hidden="1">{#N/A,#N/A,FALSE,"AVALUO";#N/A,#N/A,FALSE,"CONDOMINIO";#N/A,#N/A,FALSE,"TDF"}</definedName>
    <definedName name="___EST2" localSheetId="6" hidden="1">{#N/A,#N/A,FALSE,"AVALUO";#N/A,#N/A,FALSE,"CONDOMINIO";#N/A,#N/A,FALSE,"TDF"}</definedName>
    <definedName name="___EST2" localSheetId="4" hidden="1">{#N/A,#N/A,FALSE,"AVALUO";#N/A,#N/A,FALSE,"CONDOMINIO";#N/A,#N/A,FALSE,"TDF"}</definedName>
    <definedName name="___EST2" localSheetId="13" hidden="1">{#N/A,#N/A,FALSE,"AVALUO";#N/A,#N/A,FALSE,"CONDOMINIO";#N/A,#N/A,FALSE,"TDF"}</definedName>
    <definedName name="___EST2" hidden="1">{#N/A,#N/A,FALSE,"AVALUO";#N/A,#N/A,FALSE,"CONDOMINIO";#N/A,#N/A,FALSE,"TDF"}</definedName>
    <definedName name="___KEY2" hidden="1">#REF!</definedName>
    <definedName name="___n1" hidden="1">#REF!</definedName>
    <definedName name="___n2" hidden="1">#REF!</definedName>
    <definedName name="___S1" hidden="1">#REF!</definedName>
    <definedName name="__123Graph_A" hidden="1">#REF!</definedName>
    <definedName name="__123Graph_AChart1" hidden="1">#REF!</definedName>
    <definedName name="__123Graph_AChart11" hidden="1">#REF!</definedName>
    <definedName name="__123Graph_AChart12" hidden="1">#REF!</definedName>
    <definedName name="__123Graph_AChart13" hidden="1">#REF!</definedName>
    <definedName name="__123Graph_AChart4" hidden="1">#REF!</definedName>
    <definedName name="__123Graph_ACORNU" hidden="1">#REF!</definedName>
    <definedName name="__123Graph_ACURRENT" hidden="1">#REF!</definedName>
    <definedName name="__123Graph_AGraph10" hidden="1">#REF!</definedName>
    <definedName name="__123Graph_AGraph11" hidden="1">#REF!</definedName>
    <definedName name="__123Graph_AGraph12" hidden="1">#REF!</definedName>
    <definedName name="__123Graph_AGraph13" hidden="1">#REF!</definedName>
    <definedName name="__123Graph_AGraph14" hidden="1">#REF!</definedName>
    <definedName name="__123Graph_AGraph15" hidden="1">#REF!</definedName>
    <definedName name="__123Graph_AGraph16" hidden="1">#REF!</definedName>
    <definedName name="__123Graph_AGraph17" hidden="1">#REF!</definedName>
    <definedName name="__123Graph_AGraph18"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Graph9" hidden="1">#REF!</definedName>
    <definedName name="__123Graph_ANONMAN" hidden="1">#REF!</definedName>
    <definedName name="__123Graph_ASISTEMAS" hidden="1">#REF!</definedName>
    <definedName name="__123Graph_B" hidden="1">#REF!</definedName>
    <definedName name="__123Graph_BChart1" hidden="1">#REF!</definedName>
    <definedName name="__123Graph_BChart11" hidden="1">#REF!</definedName>
    <definedName name="__123Graph_BChart12" hidden="1">#REF!</definedName>
    <definedName name="__123Graph_BChart13" hidden="1">#REF!</definedName>
    <definedName name="__123Graph_BCHART2" hidden="1">#REF!</definedName>
    <definedName name="__123Graph_BChart4" hidden="1">#REF!</definedName>
    <definedName name="__123Graph_BCURRENT" hidden="1">#REF!</definedName>
    <definedName name="__123Graph_BNONMAN" hidden="1">#REF!</definedName>
    <definedName name="__123Graph_C" hidden="1">#REF!</definedName>
    <definedName name="__123Graph_CChart1" hidden="1">#REF!</definedName>
    <definedName name="__123Graph_CChart11" hidden="1">#REF!</definedName>
    <definedName name="__123Graph_CChart12" hidden="1">#REF!</definedName>
    <definedName name="__123Graph_CChart13" hidden="1">#REF!</definedName>
    <definedName name="__123Graph_CChart4" hidden="1">#REF!</definedName>
    <definedName name="__123Graph_CCONT" hidden="1">#REF!</definedName>
    <definedName name="__123Graph_CCOST" hidden="1">#REF!</definedName>
    <definedName name="__123Graph_CCurrent" hidden="1">#REF!</definedName>
    <definedName name="__123Graph_CGM" hidden="1">#REF!</definedName>
    <definedName name="__123Graph_CREV" hidden="1">#REF!</definedName>
    <definedName name="__123Graph_D" hidden="1">#REF!</definedName>
    <definedName name="__123Graph_DChart1" hidden="1">#REF!</definedName>
    <definedName name="__123Graph_DChart11" hidden="1">#REF!</definedName>
    <definedName name="__123Graph_DChart12" hidden="1">#REF!</definedName>
    <definedName name="__123Graph_DChart13" hidden="1">#REF!</definedName>
    <definedName name="__123Graph_DCHART2" hidden="1">#REF!</definedName>
    <definedName name="__123Graph_DChart4" hidden="1">#REF!</definedName>
    <definedName name="__123Graph_DCurrent" hidden="1">#REF!</definedName>
    <definedName name="__123Graph_E" hidden="1">#REF!</definedName>
    <definedName name="__123Graph_EChart1" hidden="1">#REF!</definedName>
    <definedName name="__123Graph_EChart11" hidden="1">#REF!</definedName>
    <definedName name="__123Graph_EChart12" hidden="1">#REF!</definedName>
    <definedName name="__123Graph_EChart13" hidden="1">#REF!</definedName>
    <definedName name="__123Graph_EChart4" hidden="1">#REF!</definedName>
    <definedName name="__123Graph_ECurrent" hidden="1">#REF!</definedName>
    <definedName name="__123Graph_F" hidden="1">#REF!</definedName>
    <definedName name="__123Graph_FChart1" hidden="1">#REF!</definedName>
    <definedName name="__123Graph_FChart11" hidden="1">#REF!</definedName>
    <definedName name="__123Graph_FChart12" hidden="1">#REF!</definedName>
    <definedName name="__123Graph_FChart13" hidden="1">#REF!</definedName>
    <definedName name="__123Graph_FCHART2" hidden="1">#REF!</definedName>
    <definedName name="__123Graph_FChart4" hidden="1">#REF!</definedName>
    <definedName name="__123Graph_FCurrent" hidden="1">#REF!</definedName>
    <definedName name="__123Graph_LBL_B"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 hidden="1">#REF!</definedName>
    <definedName name="__123Graph_XChart1" hidden="1">#REF!</definedName>
    <definedName name="__123Graph_XChart11" hidden="1">#REF!</definedName>
    <definedName name="__123Graph_XChart12" hidden="1">#REF!</definedName>
    <definedName name="__123Graph_XChart13" hidden="1">#REF!</definedName>
    <definedName name="__123Graph_XCHART2" hidden="1">#REF!</definedName>
    <definedName name="__123Graph_XCONT" hidden="1">#REF!</definedName>
    <definedName name="__123Graph_XCORNU" hidden="1">#REF!</definedName>
    <definedName name="__123Graph_XCOST" hidden="1">#REF!</definedName>
    <definedName name="__123Graph_XCURRENT" hidden="1">#REF!</definedName>
    <definedName name="__123Graph_XGM" hidden="1">#REF!</definedName>
    <definedName name="__123Graph_XGRA1" hidden="1">#REF!</definedName>
    <definedName name="__123Graph_XGRA2" hidden="1">#REF!</definedName>
    <definedName name="__123Graph_XGraph10" hidden="1">#REF!</definedName>
    <definedName name="__123Graph_XGraph11" hidden="1">#REF!</definedName>
    <definedName name="__123Graph_XGraph12" hidden="1">#REF!</definedName>
    <definedName name="__123Graph_XGraph13" hidden="1">#REF!</definedName>
    <definedName name="__123Graph_XGraph14" hidden="1">#REF!</definedName>
    <definedName name="__123Graph_XGraph15" hidden="1">#REF!</definedName>
    <definedName name="__123Graph_XGraph16" hidden="1">#REF!</definedName>
    <definedName name="__123Graph_XGraph17" hidden="1">#REF!</definedName>
    <definedName name="__123Graph_XGraph18" hidden="1">#REF!</definedName>
    <definedName name="__123Graph_XGraph3" hidden="1">#REF!</definedName>
    <definedName name="__123Graph_XGraph4" hidden="1">#REF!</definedName>
    <definedName name="__123Graph_XGraph5" hidden="1">#REF!</definedName>
    <definedName name="__123Graph_XGraph6" hidden="1">#REF!</definedName>
    <definedName name="__123Graph_XGraph7" hidden="1">#REF!</definedName>
    <definedName name="__123Graph_XGraph8" hidden="1">#REF!</definedName>
    <definedName name="__123Graph_XGraph9" hidden="1">#REF!</definedName>
    <definedName name="__123Graph_XREV" hidden="1">#REF!</definedName>
    <definedName name="__A1" hidden="1">#REF!</definedName>
    <definedName name="__A2" hidden="1">#REF!</definedName>
    <definedName name="__A3" hidden="1">#REF!</definedName>
    <definedName name="__A4" hidden="1">#REF!</definedName>
    <definedName name="__A5" hidden="1">#REF!</definedName>
    <definedName name="__as1" localSheetId="5" hidden="1">{#N/A,#N/A,FALSE,"SumD";#N/A,#N/A,FALSE,"ElecD";#N/A,#N/A,FALSE,"MechD";#N/A,#N/A,FALSE,"GeotD";#N/A,#N/A,FALSE,"PrcsD";#N/A,#N/A,FALSE,"TunnD";#N/A,#N/A,FALSE,"CivlD";#N/A,#N/A,FALSE,"NtwkD";#N/A,#N/A,FALSE,"EstgD";#N/A,#N/A,FALSE,"PEngD"}</definedName>
    <definedName name="__as1" localSheetId="6" hidden="1">{#N/A,#N/A,FALSE,"SumD";#N/A,#N/A,FALSE,"ElecD";#N/A,#N/A,FALSE,"MechD";#N/A,#N/A,FALSE,"GeotD";#N/A,#N/A,FALSE,"PrcsD";#N/A,#N/A,FALSE,"TunnD";#N/A,#N/A,FALSE,"CivlD";#N/A,#N/A,FALSE,"NtwkD";#N/A,#N/A,FALSE,"EstgD";#N/A,#N/A,FALSE,"PEngD"}</definedName>
    <definedName name="__as1" localSheetId="3" hidden="1">{#N/A,#N/A,FALSE,"SumD";#N/A,#N/A,FALSE,"ElecD";#N/A,#N/A,FALSE,"MechD";#N/A,#N/A,FALSE,"GeotD";#N/A,#N/A,FALSE,"PrcsD";#N/A,#N/A,FALSE,"TunnD";#N/A,#N/A,FALSE,"CivlD";#N/A,#N/A,FALSE,"NtwkD";#N/A,#N/A,FALSE,"EstgD";#N/A,#N/A,FALSE,"PEngD"}</definedName>
    <definedName name="__as1" localSheetId="4" hidden="1">{#N/A,#N/A,FALSE,"SumD";#N/A,#N/A,FALSE,"ElecD";#N/A,#N/A,FALSE,"MechD";#N/A,#N/A,FALSE,"GeotD";#N/A,#N/A,FALSE,"PrcsD";#N/A,#N/A,FALSE,"TunnD";#N/A,#N/A,FALSE,"CivlD";#N/A,#N/A,FALSE,"NtwkD";#N/A,#N/A,FALSE,"EstgD";#N/A,#N/A,FALSE,"PEngD"}</definedName>
    <definedName name="__as1" localSheetId="13"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EST2" localSheetId="5" hidden="1">{#N/A,#N/A,FALSE,"AVALUO";#N/A,#N/A,FALSE,"CONDOMINIO";#N/A,#N/A,FALSE,"TDF"}</definedName>
    <definedName name="__EST2" localSheetId="6" hidden="1">{#N/A,#N/A,FALSE,"AVALUO";#N/A,#N/A,FALSE,"CONDOMINIO";#N/A,#N/A,FALSE,"TDF"}</definedName>
    <definedName name="__EST2" localSheetId="4" hidden="1">{#N/A,#N/A,FALSE,"AVALUO";#N/A,#N/A,FALSE,"CONDOMINIO";#N/A,#N/A,FALSE,"TDF"}</definedName>
    <definedName name="__EST2" localSheetId="13" hidden="1">{#N/A,#N/A,FALSE,"AVALUO";#N/A,#N/A,FALSE,"CONDOMINIO";#N/A,#N/A,FALSE,"TDF"}</definedName>
    <definedName name="__EST2" hidden="1">{#N/A,#N/A,FALSE,"AVALUO";#N/A,#N/A,FALSE,"CONDOMINIO";#N/A,#N/A,FALSE,"TDF"}</definedName>
    <definedName name="__KEY1" hidden="1">#REF!</definedName>
    <definedName name="__n1" hidden="1">#REF!</definedName>
    <definedName name="__n2" hidden="1">#REF!</definedName>
    <definedName name="__S1" hidden="1">#REF!</definedName>
    <definedName name="_1__123Graph_FCURRENT" hidden="1">#REF!</definedName>
    <definedName name="_1_0_0_F" hidden="1">#REF!</definedName>
    <definedName name="_12__123Graph_CChart_1A" hidden="1">#REF!</definedName>
    <definedName name="_16__123Graph_DChart_1A" hidden="1">#REF!</definedName>
    <definedName name="_20__123Graph_EChart_1A" hidden="1">#REF!</definedName>
    <definedName name="_24__123Graph_FChart_1A" hidden="1">#REF!</definedName>
    <definedName name="_28__123Graph_XChart_1A" hidden="1">#REF!</definedName>
    <definedName name="_36_0_0_F" hidden="1">#REF!</definedName>
    <definedName name="_37_0_0_F" hidden="1">#REF!</definedName>
    <definedName name="_38_0_0_F" hidden="1">#REF!</definedName>
    <definedName name="_4__123Graph_AChart_1A" hidden="1">#REF!</definedName>
    <definedName name="_58_0_0_F" hidden="1">#REF!</definedName>
    <definedName name="_59_0_0_F" hidden="1">#REF!</definedName>
    <definedName name="_60_0_0_F" hidden="1">#REF!</definedName>
    <definedName name="_64_0_0_F" hidden="1">#REF!</definedName>
    <definedName name="_65_0_0_F" hidden="1">#REF!</definedName>
    <definedName name="_75_0_0_F" hidden="1">#REF!</definedName>
    <definedName name="_76_0_0_F" hidden="1">#REF!</definedName>
    <definedName name="_77_0_0_F" hidden="1">#REF!</definedName>
    <definedName name="_8__123Graph_BChart_1A" hidden="1">#REF!</definedName>
    <definedName name="_8_0_0_F" hidden="1">#REF!</definedName>
    <definedName name="_A1" hidden="1">#REF!</definedName>
    <definedName name="_A2" hidden="1">#REF!</definedName>
    <definedName name="_A3" hidden="1">#REF!</definedName>
    <definedName name="_A4" hidden="1">#REF!</definedName>
    <definedName name="_A5" hidden="1">#REF!</definedName>
    <definedName name="_as1" localSheetId="5" hidden="1">{#N/A,#N/A,FALSE,"SumD";#N/A,#N/A,FALSE,"ElecD";#N/A,#N/A,FALSE,"MechD";#N/A,#N/A,FALSE,"GeotD";#N/A,#N/A,FALSE,"PrcsD";#N/A,#N/A,FALSE,"TunnD";#N/A,#N/A,FALSE,"CivlD";#N/A,#N/A,FALSE,"NtwkD";#N/A,#N/A,FALSE,"EstgD";#N/A,#N/A,FALSE,"PEngD"}</definedName>
    <definedName name="_as1" localSheetId="6" hidden="1">{#N/A,#N/A,FALSE,"SumD";#N/A,#N/A,FALSE,"ElecD";#N/A,#N/A,FALSE,"MechD";#N/A,#N/A,FALSE,"GeotD";#N/A,#N/A,FALSE,"PrcsD";#N/A,#N/A,FALSE,"TunnD";#N/A,#N/A,FALSE,"CivlD";#N/A,#N/A,FALSE,"NtwkD";#N/A,#N/A,FALSE,"EstgD";#N/A,#N/A,FALSE,"PEngD"}</definedName>
    <definedName name="_as1" localSheetId="3" hidden="1">{#N/A,#N/A,FALSE,"SumD";#N/A,#N/A,FALSE,"ElecD";#N/A,#N/A,FALSE,"MechD";#N/A,#N/A,FALSE,"GeotD";#N/A,#N/A,FALSE,"PrcsD";#N/A,#N/A,FALSE,"TunnD";#N/A,#N/A,FALSE,"CivlD";#N/A,#N/A,FALSE,"NtwkD";#N/A,#N/A,FALSE,"EstgD";#N/A,#N/A,FALSE,"PEngD"}</definedName>
    <definedName name="_as1" localSheetId="4" hidden="1">{#N/A,#N/A,FALSE,"SumD";#N/A,#N/A,FALSE,"ElecD";#N/A,#N/A,FALSE,"MechD";#N/A,#N/A,FALSE,"GeotD";#N/A,#N/A,FALSE,"PrcsD";#N/A,#N/A,FALSE,"TunnD";#N/A,#N/A,FALSE,"CivlD";#N/A,#N/A,FALSE,"NtwkD";#N/A,#N/A,FALSE,"EstgD";#N/A,#N/A,FALSE,"PEngD"}</definedName>
    <definedName name="_as1" localSheetId="13"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CAJAS" hidden="1">#REF!</definedName>
    <definedName name="_Dist_Bin" hidden="1">#REF!</definedName>
    <definedName name="_Dist_Values" hidden="1">#REF!</definedName>
    <definedName name="_EST2" localSheetId="5" hidden="1">{#N/A,#N/A,FALSE,"AVALUO";#N/A,#N/A,FALSE,"CONDOMINIO";#N/A,#N/A,FALSE,"TDF"}</definedName>
    <definedName name="_EST2" localSheetId="6" hidden="1">{#N/A,#N/A,FALSE,"AVALUO";#N/A,#N/A,FALSE,"CONDOMINIO";#N/A,#N/A,FALSE,"TDF"}</definedName>
    <definedName name="_EST2" localSheetId="4" hidden="1">{#N/A,#N/A,FALSE,"AVALUO";#N/A,#N/A,FALSE,"CONDOMINIO";#N/A,#N/A,FALSE,"TDF"}</definedName>
    <definedName name="_EST2" localSheetId="13" hidden="1">{#N/A,#N/A,FALSE,"AVALUO";#N/A,#N/A,FALSE,"CONDOMINIO";#N/A,#N/A,FALSE,"TDF"}</definedName>
    <definedName name="_EST2" hidden="1">{#N/A,#N/A,FALSE,"AVALUO";#N/A,#N/A,FALSE,"CONDOMINIO";#N/A,#N/A,FALSE,"TDF"}</definedName>
    <definedName name="_fdel" hidden="1">#REF!</definedName>
    <definedName name="_Fill" hidden="1">#REF!</definedName>
    <definedName name="_xlnm._FilterDatabase" localSheetId="5" hidden="1">'ARQ SOT'!$A$11:$L$273</definedName>
    <definedName name="_xlnm._FilterDatabase" localSheetId="6" hidden="1">'ARQ TORRE'!$B$10:$K$1158</definedName>
    <definedName name="_xlnm._FilterDatabase" localSheetId="3" hidden="1">'Est Sotano '!$C$10:$N$303</definedName>
    <definedName name="_xlnm._FilterDatabase" localSheetId="4" hidden="1">'EST TORRE'!$B$10:$M$157</definedName>
    <definedName name="_xlnm._FilterDatabase" localSheetId="1" hidden="1">OP!$A$13:$K$130</definedName>
    <definedName name="_xlnm._FilterDatabase" localSheetId="0" hidden="1">'RESUMEN ESCENARIO'!$A$11:$K$39</definedName>
    <definedName name="_xlnm._FilterDatabase" hidden="1">#REF!</definedName>
    <definedName name="_GMP1297" hidden="1">#REF!</definedName>
    <definedName name="_gmp2000" hidden="1">#REF!</definedName>
    <definedName name="_k">'RESUMEN ESCENARIO'!$G$5</definedName>
    <definedName name="_Key1" hidden="1">#REF!</definedName>
    <definedName name="_Key1a" hidden="1">#REF!</definedName>
    <definedName name="_Key2" hidden="1">#REF!</definedName>
    <definedName name="_Key2a" hidden="1">#REF!</definedName>
    <definedName name="_key3" hidden="1">#REF!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mm" localSheetId="5" hidden="1">{#N/A,#N/A,FALSE,"SumD";#N/A,#N/A,FALSE,"ElecD";#N/A,#N/A,FALSE,"MechD";#N/A,#N/A,FALSE,"GeotD";#N/A,#N/A,FALSE,"PrcsD";#N/A,#N/A,FALSE,"TunnD";#N/A,#N/A,FALSE,"CivlD";#N/A,#N/A,FALSE,"NtwkD";#N/A,#N/A,FALSE,"EstgD";#N/A,#N/A,FALSE,"PEngD"}</definedName>
    <definedName name="_mmm" localSheetId="6" hidden="1">{#N/A,#N/A,FALSE,"SumD";#N/A,#N/A,FALSE,"ElecD";#N/A,#N/A,FALSE,"MechD";#N/A,#N/A,FALSE,"GeotD";#N/A,#N/A,FALSE,"PrcsD";#N/A,#N/A,FALSE,"TunnD";#N/A,#N/A,FALSE,"CivlD";#N/A,#N/A,FALSE,"NtwkD";#N/A,#N/A,FALSE,"EstgD";#N/A,#N/A,FALSE,"PEngD"}</definedName>
    <definedName name="_mmm" localSheetId="3" hidden="1">{#N/A,#N/A,FALSE,"SumD";#N/A,#N/A,FALSE,"ElecD";#N/A,#N/A,FALSE,"MechD";#N/A,#N/A,FALSE,"GeotD";#N/A,#N/A,FALSE,"PrcsD";#N/A,#N/A,FALSE,"TunnD";#N/A,#N/A,FALSE,"CivlD";#N/A,#N/A,FALSE,"NtwkD";#N/A,#N/A,FALSE,"EstgD";#N/A,#N/A,FALSE,"PEngD"}</definedName>
    <definedName name="_mmm" localSheetId="4" hidden="1">{#N/A,#N/A,FALSE,"SumD";#N/A,#N/A,FALSE,"ElecD";#N/A,#N/A,FALSE,"MechD";#N/A,#N/A,FALSE,"GeotD";#N/A,#N/A,FALSE,"PrcsD";#N/A,#N/A,FALSE,"TunnD";#N/A,#N/A,FALSE,"CivlD";#N/A,#N/A,FALSE,"NtwkD";#N/A,#N/A,FALSE,"EstgD";#N/A,#N/A,FALSE,"PEngD"}</definedName>
    <definedName name="_mmm" localSheetId="13" hidden="1">{#N/A,#N/A,FALSE,"SumD";#N/A,#N/A,FALSE,"ElecD";#N/A,#N/A,FALSE,"MechD";#N/A,#N/A,FALSE,"GeotD";#N/A,#N/A,FALSE,"PrcsD";#N/A,#N/A,FALSE,"TunnD";#N/A,#N/A,FALSE,"CivlD";#N/A,#N/A,FALSE,"NtwkD";#N/A,#N/A,FALSE,"EstgD";#N/A,#N/A,FALSE,"PEngD"}</definedName>
    <definedName name="_mmm" hidden="1">{#N/A,#N/A,FALSE,"SumD";#N/A,#N/A,FALSE,"ElecD";#N/A,#N/A,FALSE,"MechD";#N/A,#N/A,FALSE,"GeotD";#N/A,#N/A,FALSE,"PrcsD";#N/A,#N/A,FALSE,"TunnD";#N/A,#N/A,FALSE,"CivlD";#N/A,#N/A,FALSE,"NtwkD";#N/A,#N/A,FALSE,"EstgD";#N/A,#N/A,FALSE,"PEngD"}</definedName>
    <definedName name="_murostrecca" hidden="1">#REF!</definedName>
    <definedName name="_n1" hidden="1">#REF!</definedName>
    <definedName name="_n2" hidden="1">#REF!</definedName>
    <definedName name="_Order1" hidden="1">255</definedName>
    <definedName name="_Order2" hidden="1">255</definedName>
    <definedName name="_Parse_Out" hidden="1">#REF!</definedName>
    <definedName name="_Regression_Int" hidden="1">1</definedName>
    <definedName name="_Regression_Out" hidden="1">#REF!</definedName>
    <definedName name="_Regression_X" hidden="1">#REF!</definedName>
    <definedName name="_Regression_Y" hidden="1">#REF!</definedName>
    <definedName name="_rox1" hidden="1">#REF!</definedName>
    <definedName name="_rox2" hidden="1">#REF!</definedName>
    <definedName name="_rox3" hidden="1">#REF!</definedName>
    <definedName name="_s" hidden="1">#REF!</definedName>
    <definedName name="_S1" hidden="1">#REF!</definedName>
    <definedName name="_Sort" hidden="1">#REF!</definedName>
    <definedName name="_sort1" hidden="1">#REF!</definedName>
    <definedName name="_Sorta" hidden="1">#REF!</definedName>
    <definedName name="_Table1_In1" hidden="1">#REF!</definedName>
    <definedName name="_Table1_Out" hidden="1">#REF!</definedName>
    <definedName name="´cAE°eE¹" hidden="1">#REF!</definedName>
    <definedName name="￠￥cAE¡ÆeEⓒo" hidden="1">#REF!</definedName>
    <definedName name="A_" hidden="1">#REF!</definedName>
    <definedName name="AAA_1" localSheetId="5" hidden="1">{#N/A,#N/A,FALSE,"ACTIVO FIJO";#N/A,#N/A,FALSE,"COBRAR";#N/A,#N/A,FALSE,"AFILIADAS";#N/A,#N/A,FALSE,"PAGAR";#N/A,#N/A,FALSE,"INSTIT. FINANCIERAS";#N/A,#N/A,FALSE,"VALORES"}</definedName>
    <definedName name="AAA_1" localSheetId="6" hidden="1">{#N/A,#N/A,FALSE,"ACTIVO FIJO";#N/A,#N/A,FALSE,"COBRAR";#N/A,#N/A,FALSE,"AFILIADAS";#N/A,#N/A,FALSE,"PAGAR";#N/A,#N/A,FALSE,"INSTIT. FINANCIERAS";#N/A,#N/A,FALSE,"VALORES"}</definedName>
    <definedName name="AAA_1" localSheetId="4" hidden="1">{#N/A,#N/A,FALSE,"ACTIVO FIJO";#N/A,#N/A,FALSE,"COBRAR";#N/A,#N/A,FALSE,"AFILIADAS";#N/A,#N/A,FALSE,"PAGAR";#N/A,#N/A,FALSE,"INSTIT. FINANCIERAS";#N/A,#N/A,FALSE,"VALORES"}</definedName>
    <definedName name="AAA_1" localSheetId="13" hidden="1">{#N/A,#N/A,FALSE,"ACTIVO FIJO";#N/A,#N/A,FALSE,"COBRAR";#N/A,#N/A,FALSE,"AFILIADAS";#N/A,#N/A,FALSE,"PAGAR";#N/A,#N/A,FALSE,"INSTIT. FINANCIERAS";#N/A,#N/A,FALSE,"VALORES"}</definedName>
    <definedName name="AAA_1" hidden="1">{#N/A,#N/A,FALSE,"ACTIVO FIJO";#N/A,#N/A,FALSE,"COBRAR";#N/A,#N/A,FALSE,"AFILIADAS";#N/A,#N/A,FALSE,"PAGAR";#N/A,#N/A,FALSE,"INSTIT. FINANCIERAS";#N/A,#N/A,FALSE,"VALORES"}</definedName>
    <definedName name="aaaa" localSheetId="5" hidden="1">{"CONCABL1.1",#N/A,FALSE,"1.1.1a1.1.3 ACSR";"AISL1.2",#N/A,FALSE,"1.1.1a1.1.3 ACSR";"torr1.1.3",#N/A,FALSE,"1.1.1a1.1.3 ACSR";"cm1.2",#N/A,FALSE,"1.2 ACSR";"cm2.2",#N/A,FALSE,"1.2 ACSR";#N/A,#N/A,FALSE,"1.3 ACSR";#N/A,#N/A,FALSE,"2.1.1A2.1.3 ACAR";"ac2.1",#N/A,FALSE,"1.2 ACAR";"ac2.2",#N/A,FALSE,"1.2 ACAR";#N/A,#N/A,FALSE,"2.3 ACAR"}</definedName>
    <definedName name="aaaa" localSheetId="6" hidden="1">{"CONCABL1.1",#N/A,FALSE,"1.1.1a1.1.3 ACSR";"AISL1.2",#N/A,FALSE,"1.1.1a1.1.3 ACSR";"torr1.1.3",#N/A,FALSE,"1.1.1a1.1.3 ACSR";"cm1.2",#N/A,FALSE,"1.2 ACSR";"cm2.2",#N/A,FALSE,"1.2 ACSR";#N/A,#N/A,FALSE,"1.3 ACSR";#N/A,#N/A,FALSE,"2.1.1A2.1.3 ACAR";"ac2.1",#N/A,FALSE,"1.2 ACAR";"ac2.2",#N/A,FALSE,"1.2 ACAR";#N/A,#N/A,FALSE,"2.3 ACAR"}</definedName>
    <definedName name="aaaa" localSheetId="3" hidden="1">{"CONCABL1.1",#N/A,FALSE,"1.1.1a1.1.3 ACSR";"AISL1.2",#N/A,FALSE,"1.1.1a1.1.3 ACSR";"torr1.1.3",#N/A,FALSE,"1.1.1a1.1.3 ACSR";"cm1.2",#N/A,FALSE,"1.2 ACSR";"cm2.2",#N/A,FALSE,"1.2 ACSR";#N/A,#N/A,FALSE,"1.3 ACSR";#N/A,#N/A,FALSE,"2.1.1A2.1.3 ACAR";"ac2.1",#N/A,FALSE,"1.2 ACAR";"ac2.2",#N/A,FALSE,"1.2 ACAR";#N/A,#N/A,FALSE,"2.3 ACAR"}</definedName>
    <definedName name="aaaa" localSheetId="4" hidden="1">{"CONCABL1.1",#N/A,FALSE,"1.1.1a1.1.3 ACSR";"AISL1.2",#N/A,FALSE,"1.1.1a1.1.3 ACSR";"torr1.1.3",#N/A,FALSE,"1.1.1a1.1.3 ACSR";"cm1.2",#N/A,FALSE,"1.2 ACSR";"cm2.2",#N/A,FALSE,"1.2 ACSR";#N/A,#N/A,FALSE,"1.3 ACSR";#N/A,#N/A,FALSE,"2.1.1A2.1.3 ACAR";"ac2.1",#N/A,FALSE,"1.2 ACAR";"ac2.2",#N/A,FALSE,"1.2 ACAR";#N/A,#N/A,FALSE,"2.3 ACAR"}</definedName>
    <definedName name="aaaa" localSheetId="13" hidden="1">{"CONCABL1.1",#N/A,FALSE,"1.1.1a1.1.3 ACSR";"AISL1.2",#N/A,FALSE,"1.1.1a1.1.3 ACSR";"torr1.1.3",#N/A,FALSE,"1.1.1a1.1.3 ACSR";"cm1.2",#N/A,FALSE,"1.2 ACSR";"cm2.2",#N/A,FALSE,"1.2 ACSR";#N/A,#N/A,FALSE,"1.3 ACSR";#N/A,#N/A,FALSE,"2.1.1A2.1.3 ACAR";"ac2.1",#N/A,FALSE,"1.2 ACAR";"ac2.2",#N/A,FALSE,"1.2 ACAR";#N/A,#N/A,FALSE,"2.3 ACAR"}</definedName>
    <definedName name="aaaa" hidden="1">{"CONCABL1.1",#N/A,FALSE,"1.1.1a1.1.3 ACSR";"AISL1.2",#N/A,FALSE,"1.1.1a1.1.3 ACSR";"torr1.1.3",#N/A,FALSE,"1.1.1a1.1.3 ACSR";"cm1.2",#N/A,FALSE,"1.2 ACSR";"cm2.2",#N/A,FALSE,"1.2 ACSR";#N/A,#N/A,FALSE,"1.3 ACSR";#N/A,#N/A,FALSE,"2.1.1A2.1.3 ACAR";"ac2.1",#N/A,FALSE,"1.2 ACAR";"ac2.2",#N/A,FALSE,"1.2 ACAR";#N/A,#N/A,FALSE,"2.3 ACAR"}</definedName>
    <definedName name="AAAAA" hidden="1">#REF!</definedName>
    <definedName name="AAAAAA" localSheetId="5" hidden="1">{"CONCABL1.1",#N/A,FALSE,"1.1.1a1.1.3 ACSR";"AISL1.2",#N/A,FALSE,"1.1.1a1.1.3 ACSR";"torr1.1.3",#N/A,FALSE,"1.1.1a1.1.3 ACSR";"cm1.2",#N/A,FALSE,"1.2 ACSR";"cm2.2",#N/A,FALSE,"1.2 ACSR";#N/A,#N/A,FALSE,"1.3 ACSR";#N/A,#N/A,FALSE,"2.1.1A2.1.3 ACAR";"ac2.1",#N/A,FALSE,"1.2 ACAR";"ac2.2",#N/A,FALSE,"1.2 ACAR";#N/A,#N/A,FALSE,"2.3 ACAR"}</definedName>
    <definedName name="AAAAAA" localSheetId="6" hidden="1">{"CONCABL1.1",#N/A,FALSE,"1.1.1a1.1.3 ACSR";"AISL1.2",#N/A,FALSE,"1.1.1a1.1.3 ACSR";"torr1.1.3",#N/A,FALSE,"1.1.1a1.1.3 ACSR";"cm1.2",#N/A,FALSE,"1.2 ACSR";"cm2.2",#N/A,FALSE,"1.2 ACSR";#N/A,#N/A,FALSE,"1.3 ACSR";#N/A,#N/A,FALSE,"2.1.1A2.1.3 ACAR";"ac2.1",#N/A,FALSE,"1.2 ACAR";"ac2.2",#N/A,FALSE,"1.2 ACAR";#N/A,#N/A,FALSE,"2.3 ACAR"}</definedName>
    <definedName name="AAAAAA" localSheetId="4" hidden="1">{"CONCABL1.1",#N/A,FALSE,"1.1.1a1.1.3 ACSR";"AISL1.2",#N/A,FALSE,"1.1.1a1.1.3 ACSR";"torr1.1.3",#N/A,FALSE,"1.1.1a1.1.3 ACSR";"cm1.2",#N/A,FALSE,"1.2 ACSR";"cm2.2",#N/A,FALSE,"1.2 ACSR";#N/A,#N/A,FALSE,"1.3 ACSR";#N/A,#N/A,FALSE,"2.1.1A2.1.3 ACAR";"ac2.1",#N/A,FALSE,"1.2 ACAR";"ac2.2",#N/A,FALSE,"1.2 ACAR";#N/A,#N/A,FALSE,"2.3 ACAR"}</definedName>
    <definedName name="AAAAAA" localSheetId="13" hidden="1">{"CONCABL1.1",#N/A,FALSE,"1.1.1a1.1.3 ACSR";"AISL1.2",#N/A,FALSE,"1.1.1a1.1.3 ACSR";"torr1.1.3",#N/A,FALSE,"1.1.1a1.1.3 ACSR";"cm1.2",#N/A,FALSE,"1.2 ACSR";"cm2.2",#N/A,FALSE,"1.2 ACSR";#N/A,#N/A,FALSE,"1.3 ACSR";#N/A,#N/A,FALSE,"2.1.1A2.1.3 ACAR";"ac2.1",#N/A,FALSE,"1.2 ACAR";"ac2.2",#N/A,FALSE,"1.2 ACAR";#N/A,#N/A,FALSE,"2.3 ACAR"}</definedName>
    <definedName name="AAAAAA" hidden="1">{"CONCABL1.1",#N/A,FALSE,"1.1.1a1.1.3 ACSR";"AISL1.2",#N/A,FALSE,"1.1.1a1.1.3 ACSR";"torr1.1.3",#N/A,FALSE,"1.1.1a1.1.3 ACSR";"cm1.2",#N/A,FALSE,"1.2 ACSR";"cm2.2",#N/A,FALSE,"1.2 ACSR";#N/A,#N/A,FALSE,"1.3 ACSR";#N/A,#N/A,FALSE,"2.1.1A2.1.3 ACAR";"ac2.1",#N/A,FALSE,"1.2 ACAR";"ac2.2",#N/A,FALSE,"1.2 ACAR";#N/A,#N/A,FALSE,"2.3 ACAR"}</definedName>
    <definedName name="aaasd" hidden="1">#REF!</definedName>
    <definedName name="AAZ" hidden="1">#REF!</definedName>
    <definedName name="AB" localSheetId="5" hidden="1">{#N/A,#N/A,TRUE,"INGENIERIA";#N/A,#N/A,TRUE,"COMPRAS";#N/A,#N/A,TRUE,"DIRECCION";#N/A,#N/A,TRUE,"RESUMEN"}</definedName>
    <definedName name="AB" localSheetId="6" hidden="1">{#N/A,#N/A,TRUE,"INGENIERIA";#N/A,#N/A,TRUE,"COMPRAS";#N/A,#N/A,TRUE,"DIRECCION";#N/A,#N/A,TRUE,"RESUMEN"}</definedName>
    <definedName name="AB" localSheetId="3" hidden="1">{#N/A,#N/A,TRUE,"INGENIERIA";#N/A,#N/A,TRUE,"COMPRAS";#N/A,#N/A,TRUE,"DIRECCION";#N/A,#N/A,TRUE,"RESUMEN"}</definedName>
    <definedName name="AB" localSheetId="4" hidden="1">{#N/A,#N/A,TRUE,"INGENIERIA";#N/A,#N/A,TRUE,"COMPRAS";#N/A,#N/A,TRUE,"DIRECCION";#N/A,#N/A,TRUE,"RESUMEN"}</definedName>
    <definedName name="AB" localSheetId="13" hidden="1">{#N/A,#N/A,TRUE,"INGENIERIA";#N/A,#N/A,TRUE,"COMPRAS";#N/A,#N/A,TRUE,"DIRECCION";#N/A,#N/A,TRUE,"RESUMEN"}</definedName>
    <definedName name="AB" hidden="1">{#N/A,#N/A,TRUE,"INGENIERIA";#N/A,#N/A,TRUE,"COMPRAS";#N/A,#N/A,TRUE,"DIRECCION";#N/A,#N/A,TRUE,"RESUMEN"}</definedName>
    <definedName name="ABC_1" localSheetId="5" hidden="1">{#N/A,#N/A,FALSE,"ACTIVO FIJO";#N/A,#N/A,FALSE,"COBRAR";#N/A,#N/A,FALSE,"AFILIADAS";#N/A,#N/A,FALSE,"PAGAR";#N/A,#N/A,FALSE,"INSTIT. FINANCIERAS";#N/A,#N/A,FALSE,"VALORES"}</definedName>
    <definedName name="ABC_1" localSheetId="6" hidden="1">{#N/A,#N/A,FALSE,"ACTIVO FIJO";#N/A,#N/A,FALSE,"COBRAR";#N/A,#N/A,FALSE,"AFILIADAS";#N/A,#N/A,FALSE,"PAGAR";#N/A,#N/A,FALSE,"INSTIT. FINANCIERAS";#N/A,#N/A,FALSE,"VALORES"}</definedName>
    <definedName name="ABC_1" localSheetId="4" hidden="1">{#N/A,#N/A,FALSE,"ACTIVO FIJO";#N/A,#N/A,FALSE,"COBRAR";#N/A,#N/A,FALSE,"AFILIADAS";#N/A,#N/A,FALSE,"PAGAR";#N/A,#N/A,FALSE,"INSTIT. FINANCIERAS";#N/A,#N/A,FALSE,"VALORES"}</definedName>
    <definedName name="ABC_1" localSheetId="13" hidden="1">{#N/A,#N/A,FALSE,"ACTIVO FIJO";#N/A,#N/A,FALSE,"COBRAR";#N/A,#N/A,FALSE,"AFILIADAS";#N/A,#N/A,FALSE,"PAGAR";#N/A,#N/A,FALSE,"INSTIT. FINANCIERAS";#N/A,#N/A,FALSE,"VALORES"}</definedName>
    <definedName name="ABC_1" hidden="1">{#N/A,#N/A,FALSE,"ACTIVO FIJO";#N/A,#N/A,FALSE,"COBRAR";#N/A,#N/A,FALSE,"AFILIADAS";#N/A,#N/A,FALSE,"PAGAR";#N/A,#N/A,FALSE,"INSTIT. FINANCIERAS";#N/A,#N/A,FALSE,"VALORES"}</definedName>
    <definedName name="ABCDE" hidden="1">#REF!</definedName>
    <definedName name="ABD" localSheetId="5" hidden="1">{#N/A,#N/A,FALSE,"ACTIVO FIJO";#N/A,#N/A,FALSE,"COBRAR";#N/A,#N/A,FALSE,"AFILIADAS";#N/A,#N/A,FALSE,"PAGAR";#N/A,#N/A,FALSE,"INSTIT. FINANCIERAS";#N/A,#N/A,FALSE,"VALORES"}</definedName>
    <definedName name="ABD" localSheetId="6" hidden="1">{#N/A,#N/A,FALSE,"ACTIVO FIJO";#N/A,#N/A,FALSE,"COBRAR";#N/A,#N/A,FALSE,"AFILIADAS";#N/A,#N/A,FALSE,"PAGAR";#N/A,#N/A,FALSE,"INSTIT. FINANCIERAS";#N/A,#N/A,FALSE,"VALORES"}</definedName>
    <definedName name="ABD" localSheetId="4" hidden="1">{#N/A,#N/A,FALSE,"ACTIVO FIJO";#N/A,#N/A,FALSE,"COBRAR";#N/A,#N/A,FALSE,"AFILIADAS";#N/A,#N/A,FALSE,"PAGAR";#N/A,#N/A,FALSE,"INSTIT. FINANCIERAS";#N/A,#N/A,FALSE,"VALORES"}</definedName>
    <definedName name="ABD" localSheetId="13" hidden="1">{#N/A,#N/A,FALSE,"ACTIVO FIJO";#N/A,#N/A,FALSE,"COBRAR";#N/A,#N/A,FALSE,"AFILIADAS";#N/A,#N/A,FALSE,"PAGAR";#N/A,#N/A,FALSE,"INSTIT. FINANCIERAS";#N/A,#N/A,FALSE,"VALORES"}</definedName>
    <definedName name="ABD" hidden="1">{#N/A,#N/A,FALSE,"ACTIVO FIJO";#N/A,#N/A,FALSE,"COBRAR";#N/A,#N/A,FALSE,"AFILIADAS";#N/A,#N/A,FALSE,"PAGAR";#N/A,#N/A,FALSE,"INSTIT. FINANCIERAS";#N/A,#N/A,FALSE,"VALORES"}</definedName>
    <definedName name="ABD_1" localSheetId="5" hidden="1">{#N/A,#N/A,FALSE,"ACTIVO FIJO";#N/A,#N/A,FALSE,"COBRAR";#N/A,#N/A,FALSE,"AFILIADAS";#N/A,#N/A,FALSE,"PAGAR";#N/A,#N/A,FALSE,"INSTIT. FINANCIERAS";#N/A,#N/A,FALSE,"VALORES"}</definedName>
    <definedName name="ABD_1" localSheetId="6" hidden="1">{#N/A,#N/A,FALSE,"ACTIVO FIJO";#N/A,#N/A,FALSE,"COBRAR";#N/A,#N/A,FALSE,"AFILIADAS";#N/A,#N/A,FALSE,"PAGAR";#N/A,#N/A,FALSE,"INSTIT. FINANCIERAS";#N/A,#N/A,FALSE,"VALORES"}</definedName>
    <definedName name="ABD_1" localSheetId="4" hidden="1">{#N/A,#N/A,FALSE,"ACTIVO FIJO";#N/A,#N/A,FALSE,"COBRAR";#N/A,#N/A,FALSE,"AFILIADAS";#N/A,#N/A,FALSE,"PAGAR";#N/A,#N/A,FALSE,"INSTIT. FINANCIERAS";#N/A,#N/A,FALSE,"VALORES"}</definedName>
    <definedName name="ABD_1" localSheetId="13" hidden="1">{#N/A,#N/A,FALSE,"ACTIVO FIJO";#N/A,#N/A,FALSE,"COBRAR";#N/A,#N/A,FALSE,"AFILIADAS";#N/A,#N/A,FALSE,"PAGAR";#N/A,#N/A,FALSE,"INSTIT. FINANCIERAS";#N/A,#N/A,FALSE,"VALORES"}</definedName>
    <definedName name="ABD_1" hidden="1">{#N/A,#N/A,FALSE,"ACTIVO FIJO";#N/A,#N/A,FALSE,"COBRAR";#N/A,#N/A,FALSE,"AFILIADAS";#N/A,#N/A,FALSE,"PAGAR";#N/A,#N/A,FALSE,"INSTIT. FINANCIERAS";#N/A,#N/A,FALSE,"VALORES"}</definedName>
    <definedName name="AccessDatabase" hidden="1">"C:\posec\DATABASE\vlv_list\vlvlist1.mdb"</definedName>
    <definedName name="AMORTMATE" localSheetId="5" hidden="1">{"CONCABL1.1",#N/A,FALSE,"1.1.1a1.1.3 ACSR";"AISL1.2",#N/A,FALSE,"1.1.1a1.1.3 ACSR";"torr1.1.3",#N/A,FALSE,"1.1.1a1.1.3 ACSR";"cm1.2",#N/A,FALSE,"1.2 ACSR";"cm2.2",#N/A,FALSE,"1.2 ACSR";#N/A,#N/A,FALSE,"1.3 ACSR";#N/A,#N/A,FALSE,"2.1.1A2.1.3 ACAR";"ac2.1",#N/A,FALSE,"1.2 ACAR";"ac2.2",#N/A,FALSE,"1.2 ACAR";#N/A,#N/A,FALSE,"2.3 ACAR"}</definedName>
    <definedName name="AMORTMATE" localSheetId="6" hidden="1">{"CONCABL1.1",#N/A,FALSE,"1.1.1a1.1.3 ACSR";"AISL1.2",#N/A,FALSE,"1.1.1a1.1.3 ACSR";"torr1.1.3",#N/A,FALSE,"1.1.1a1.1.3 ACSR";"cm1.2",#N/A,FALSE,"1.2 ACSR";"cm2.2",#N/A,FALSE,"1.2 ACSR";#N/A,#N/A,FALSE,"1.3 ACSR";#N/A,#N/A,FALSE,"2.1.1A2.1.3 ACAR";"ac2.1",#N/A,FALSE,"1.2 ACAR";"ac2.2",#N/A,FALSE,"1.2 ACAR";#N/A,#N/A,FALSE,"2.3 ACAR"}</definedName>
    <definedName name="AMORTMATE" localSheetId="4" hidden="1">{"CONCABL1.1",#N/A,FALSE,"1.1.1a1.1.3 ACSR";"AISL1.2",#N/A,FALSE,"1.1.1a1.1.3 ACSR";"torr1.1.3",#N/A,FALSE,"1.1.1a1.1.3 ACSR";"cm1.2",#N/A,FALSE,"1.2 ACSR";"cm2.2",#N/A,FALSE,"1.2 ACSR";#N/A,#N/A,FALSE,"1.3 ACSR";#N/A,#N/A,FALSE,"2.1.1A2.1.3 ACAR";"ac2.1",#N/A,FALSE,"1.2 ACAR";"ac2.2",#N/A,FALSE,"1.2 ACAR";#N/A,#N/A,FALSE,"2.3 ACAR"}</definedName>
    <definedName name="AMORTMATE" localSheetId="13" hidden="1">{"CONCABL1.1",#N/A,FALSE,"1.1.1a1.1.3 ACSR";"AISL1.2",#N/A,FALSE,"1.1.1a1.1.3 ACSR";"torr1.1.3",#N/A,FALSE,"1.1.1a1.1.3 ACSR";"cm1.2",#N/A,FALSE,"1.2 ACSR";"cm2.2",#N/A,FALSE,"1.2 ACSR";#N/A,#N/A,FALSE,"1.3 ACSR";#N/A,#N/A,FALSE,"2.1.1A2.1.3 ACAR";"ac2.1",#N/A,FALSE,"1.2 ACAR";"ac2.2",#N/A,FALSE,"1.2 ACAR";#N/A,#N/A,FALSE,"2.3 ACAR"}</definedName>
    <definedName name="AMORTMATE" hidden="1">{"CONCABL1.1",#N/A,FALSE,"1.1.1a1.1.3 ACSR";"AISL1.2",#N/A,FALSE,"1.1.1a1.1.3 ACSR";"torr1.1.3",#N/A,FALSE,"1.1.1a1.1.3 ACSR";"cm1.2",#N/A,FALSE,"1.2 ACSR";"cm2.2",#N/A,FALSE,"1.2 ACSR";#N/A,#N/A,FALSE,"1.3 ACSR";#N/A,#N/A,FALSE,"2.1.1A2.1.3 ACAR";"ac2.1",#N/A,FALSE,"1.2 ACAR";"ac2.2",#N/A,FALSE,"1.2 ACAR";#N/A,#N/A,FALSE,"2.3 ACAR"}</definedName>
    <definedName name="anscount" hidden="1">1</definedName>
    <definedName name="ARQ." hidden="1">#REF!</definedName>
    <definedName name="ARQUITECTURAB" hidden="1">#REF!</definedName>
    <definedName name="ART" localSheetId="5" hidden="1">{#N/A,#N/A,FALSE,"ACTIVO FIJO";#N/A,#N/A,FALSE,"COBRAR";#N/A,#N/A,FALSE,"AFILIADAS";#N/A,#N/A,FALSE,"PAGAR";#N/A,#N/A,FALSE,"INSTIT. FINANCIERAS";#N/A,#N/A,FALSE,"VALORES"}</definedName>
    <definedName name="ART" localSheetId="6" hidden="1">{#N/A,#N/A,FALSE,"ACTIVO FIJO";#N/A,#N/A,FALSE,"COBRAR";#N/A,#N/A,FALSE,"AFILIADAS";#N/A,#N/A,FALSE,"PAGAR";#N/A,#N/A,FALSE,"INSTIT. FINANCIERAS";#N/A,#N/A,FALSE,"VALORES"}</definedName>
    <definedName name="ART" localSheetId="4" hidden="1">{#N/A,#N/A,FALSE,"ACTIVO FIJO";#N/A,#N/A,FALSE,"COBRAR";#N/A,#N/A,FALSE,"AFILIADAS";#N/A,#N/A,FALSE,"PAGAR";#N/A,#N/A,FALSE,"INSTIT. FINANCIERAS";#N/A,#N/A,FALSE,"VALORES"}</definedName>
    <definedName name="ART" localSheetId="13" hidden="1">{#N/A,#N/A,FALSE,"ACTIVO FIJO";#N/A,#N/A,FALSE,"COBRAR";#N/A,#N/A,FALSE,"AFILIADAS";#N/A,#N/A,FALSE,"PAGAR";#N/A,#N/A,FALSE,"INSTIT. FINANCIERAS";#N/A,#N/A,FALSE,"VALORES"}</definedName>
    <definedName name="ART" hidden="1">{#N/A,#N/A,FALSE,"ACTIVO FIJO";#N/A,#N/A,FALSE,"COBRAR";#N/A,#N/A,FALSE,"AFILIADAS";#N/A,#N/A,FALSE,"PAGAR";#N/A,#N/A,FALSE,"INSTIT. FINANCIERAS";#N/A,#N/A,FALSE,"VALORES"}</definedName>
    <definedName name="ART_1" localSheetId="5" hidden="1">{#N/A,#N/A,FALSE,"ACTIVO FIJO";#N/A,#N/A,FALSE,"COBRAR";#N/A,#N/A,FALSE,"AFILIADAS";#N/A,#N/A,FALSE,"PAGAR";#N/A,#N/A,FALSE,"INSTIT. FINANCIERAS";#N/A,#N/A,FALSE,"VALORES"}</definedName>
    <definedName name="ART_1" localSheetId="6" hidden="1">{#N/A,#N/A,FALSE,"ACTIVO FIJO";#N/A,#N/A,FALSE,"COBRAR";#N/A,#N/A,FALSE,"AFILIADAS";#N/A,#N/A,FALSE,"PAGAR";#N/A,#N/A,FALSE,"INSTIT. FINANCIERAS";#N/A,#N/A,FALSE,"VALORES"}</definedName>
    <definedName name="ART_1" localSheetId="4" hidden="1">{#N/A,#N/A,FALSE,"ACTIVO FIJO";#N/A,#N/A,FALSE,"COBRAR";#N/A,#N/A,FALSE,"AFILIADAS";#N/A,#N/A,FALSE,"PAGAR";#N/A,#N/A,FALSE,"INSTIT. FINANCIERAS";#N/A,#N/A,FALSE,"VALORES"}</definedName>
    <definedName name="ART_1" localSheetId="13" hidden="1">{#N/A,#N/A,FALSE,"ACTIVO FIJO";#N/A,#N/A,FALSE,"COBRAR";#N/A,#N/A,FALSE,"AFILIADAS";#N/A,#N/A,FALSE,"PAGAR";#N/A,#N/A,FALSE,"INSTIT. FINANCIERAS";#N/A,#N/A,FALSE,"VALORES"}</definedName>
    <definedName name="ART_1" hidden="1">{#N/A,#N/A,FALSE,"ACTIVO FIJO";#N/A,#N/A,FALSE,"COBRAR";#N/A,#N/A,FALSE,"AFILIADAS";#N/A,#N/A,FALSE,"PAGAR";#N/A,#N/A,FALSE,"INSTIT. FINANCIERAS";#N/A,#N/A,FALSE,"VALORES"}</definedName>
    <definedName name="as" localSheetId="5" hidden="1">{#N/A,#N/A,FALSE,"SumD";#N/A,#N/A,FALSE,"ElecD";#N/A,#N/A,FALSE,"MechD";#N/A,#N/A,FALSE,"GeotD";#N/A,#N/A,FALSE,"PrcsD";#N/A,#N/A,FALSE,"TunnD";#N/A,#N/A,FALSE,"CivlD";#N/A,#N/A,FALSE,"NtwkD";#N/A,#N/A,FALSE,"EstgD";#N/A,#N/A,FALSE,"PEngD"}</definedName>
    <definedName name="as" localSheetId="6" hidden="1">{#N/A,#N/A,FALSE,"SumD";#N/A,#N/A,FALSE,"ElecD";#N/A,#N/A,FALSE,"MechD";#N/A,#N/A,FALSE,"GeotD";#N/A,#N/A,FALSE,"PrcsD";#N/A,#N/A,FALSE,"TunnD";#N/A,#N/A,FALSE,"CivlD";#N/A,#N/A,FALSE,"NtwkD";#N/A,#N/A,FALSE,"EstgD";#N/A,#N/A,FALSE,"PEngD"}</definedName>
    <definedName name="as" localSheetId="3" hidden="1">{#N/A,#N/A,FALSE,"SumD";#N/A,#N/A,FALSE,"ElecD";#N/A,#N/A,FALSE,"MechD";#N/A,#N/A,FALSE,"GeotD";#N/A,#N/A,FALSE,"PrcsD";#N/A,#N/A,FALSE,"TunnD";#N/A,#N/A,FALSE,"CivlD";#N/A,#N/A,FALSE,"NtwkD";#N/A,#N/A,FALSE,"EstgD";#N/A,#N/A,FALSE,"PEngD"}</definedName>
    <definedName name="as" localSheetId="4" hidden="1">{#N/A,#N/A,FALSE,"SumD";#N/A,#N/A,FALSE,"ElecD";#N/A,#N/A,FALSE,"MechD";#N/A,#N/A,FALSE,"GeotD";#N/A,#N/A,FALSE,"PrcsD";#N/A,#N/A,FALSE,"TunnD";#N/A,#N/A,FALSE,"CivlD";#N/A,#N/A,FALSE,"NtwkD";#N/A,#N/A,FALSE,"EstgD";#N/A,#N/A,FALSE,"PEngD"}</definedName>
    <definedName name="as" localSheetId="13" hidden="1">{#N/A,#N/A,FALSE,"SumD";#N/A,#N/A,FALSE,"ElecD";#N/A,#N/A,FALSE,"MechD";#N/A,#N/A,FALSE,"GeotD";#N/A,#N/A,FALSE,"PrcsD";#N/A,#N/A,FALSE,"TunnD";#N/A,#N/A,FALSE,"CivlD";#N/A,#N/A,FALSE,"NtwkD";#N/A,#N/A,FALSE,"EstgD";#N/A,#N/A,FALSE,"PEngD"}</definedName>
    <definedName name="as" hidden="1">{#N/A,#N/A,FALSE,"SumD";#N/A,#N/A,FALSE,"ElecD";#N/A,#N/A,FALSE,"MechD";#N/A,#N/A,FALSE,"GeotD";#N/A,#N/A,FALSE,"PrcsD";#N/A,#N/A,FALSE,"TunnD";#N/A,#N/A,FALSE,"CivlD";#N/A,#N/A,FALSE,"NtwkD";#N/A,#N/A,FALSE,"EstgD";#N/A,#N/A,FALSE,"PEngD"}</definedName>
    <definedName name="AS2DocOpenMode" hidden="1">"AS2DocumentEdit"</definedName>
    <definedName name="asa" localSheetId="5" hidden="1">{#N/A,#N/A,FALSE,"SumD";#N/A,#N/A,FALSE,"ElecD";#N/A,#N/A,FALSE,"MechD";#N/A,#N/A,FALSE,"GeotD";#N/A,#N/A,FALSE,"PrcsD";#N/A,#N/A,FALSE,"TunnD";#N/A,#N/A,FALSE,"CivlD";#N/A,#N/A,FALSE,"NtwkD";#N/A,#N/A,FALSE,"EstgD";#N/A,#N/A,FALSE,"PEngD"}</definedName>
    <definedName name="asa" localSheetId="6" hidden="1">{#N/A,#N/A,FALSE,"SumD";#N/A,#N/A,FALSE,"ElecD";#N/A,#N/A,FALSE,"MechD";#N/A,#N/A,FALSE,"GeotD";#N/A,#N/A,FALSE,"PrcsD";#N/A,#N/A,FALSE,"TunnD";#N/A,#N/A,FALSE,"CivlD";#N/A,#N/A,FALSE,"NtwkD";#N/A,#N/A,FALSE,"EstgD";#N/A,#N/A,FALSE,"PEngD"}</definedName>
    <definedName name="asa" localSheetId="4" hidden="1">{#N/A,#N/A,FALSE,"SumD";#N/A,#N/A,FALSE,"ElecD";#N/A,#N/A,FALSE,"MechD";#N/A,#N/A,FALSE,"GeotD";#N/A,#N/A,FALSE,"PrcsD";#N/A,#N/A,FALSE,"TunnD";#N/A,#N/A,FALSE,"CivlD";#N/A,#N/A,FALSE,"NtwkD";#N/A,#N/A,FALSE,"EstgD";#N/A,#N/A,FALSE,"PEngD"}</definedName>
    <definedName name="asa" localSheetId="13" hidden="1">{#N/A,#N/A,FALSE,"SumD";#N/A,#N/A,FALSE,"ElecD";#N/A,#N/A,FALSE,"MechD";#N/A,#N/A,FALSE,"GeotD";#N/A,#N/A,FALSE,"PrcsD";#N/A,#N/A,FALSE,"TunnD";#N/A,#N/A,FALSE,"CivlD";#N/A,#N/A,FALSE,"NtwkD";#N/A,#N/A,FALSE,"EstgD";#N/A,#N/A,FALSE,"PEngD"}</definedName>
    <definedName name="asa" hidden="1">{#N/A,#N/A,FALSE,"SumD";#N/A,#N/A,FALSE,"ElecD";#N/A,#N/A,FALSE,"MechD";#N/A,#N/A,FALSE,"GeotD";#N/A,#N/A,FALSE,"PrcsD";#N/A,#N/A,FALSE,"TunnD";#N/A,#N/A,FALSE,"CivlD";#N/A,#N/A,FALSE,"NtwkD";#N/A,#N/A,FALSE,"EstgD";#N/A,#N/A,FALSE,"PEngD"}</definedName>
    <definedName name="ASCENSOR" localSheetId="5" hidden="1">{"'resumen'!$A$1:$D$42"}</definedName>
    <definedName name="ASCENSOR" localSheetId="6" hidden="1">{"'resumen'!$A$1:$D$42"}</definedName>
    <definedName name="ASCENSOR" localSheetId="4" hidden="1">{"'resumen'!$A$1:$D$42"}</definedName>
    <definedName name="ASCENSOR" localSheetId="13" hidden="1">{"'resumen'!$A$1:$D$42"}</definedName>
    <definedName name="ASCENSOR" hidden="1">{"'resumen'!$A$1:$D$42"}</definedName>
    <definedName name="asdasdas" hidden="1">#REF!</definedName>
    <definedName name="ASDASFASF" localSheetId="5" hidden="1">{"CONCABL1.1",#N/A,FALSE,"1.1.1a1.1.3 ACSR";"AISL1.2",#N/A,FALSE,"1.1.1a1.1.3 ACSR";"torr1.1.3",#N/A,FALSE,"1.1.1a1.1.3 ACSR";"cm1.2",#N/A,FALSE,"1.2 ACSR";"cm2.2",#N/A,FALSE,"1.2 ACSR";#N/A,#N/A,FALSE,"1.3 ACSR";#N/A,#N/A,FALSE,"2.1.1A2.1.3 ACAR";"ac2.1",#N/A,FALSE,"1.2 ACAR";"ac2.2",#N/A,FALSE,"1.2 ACAR";#N/A,#N/A,FALSE,"2.3 ACAR"}</definedName>
    <definedName name="ASDASFASF" localSheetId="6" hidden="1">{"CONCABL1.1",#N/A,FALSE,"1.1.1a1.1.3 ACSR";"AISL1.2",#N/A,FALSE,"1.1.1a1.1.3 ACSR";"torr1.1.3",#N/A,FALSE,"1.1.1a1.1.3 ACSR";"cm1.2",#N/A,FALSE,"1.2 ACSR";"cm2.2",#N/A,FALSE,"1.2 ACSR";#N/A,#N/A,FALSE,"1.3 ACSR";#N/A,#N/A,FALSE,"2.1.1A2.1.3 ACAR";"ac2.1",#N/A,FALSE,"1.2 ACAR";"ac2.2",#N/A,FALSE,"1.2 ACAR";#N/A,#N/A,FALSE,"2.3 ACAR"}</definedName>
    <definedName name="ASDASFASF" localSheetId="4" hidden="1">{"CONCABL1.1",#N/A,FALSE,"1.1.1a1.1.3 ACSR";"AISL1.2",#N/A,FALSE,"1.1.1a1.1.3 ACSR";"torr1.1.3",#N/A,FALSE,"1.1.1a1.1.3 ACSR";"cm1.2",#N/A,FALSE,"1.2 ACSR";"cm2.2",#N/A,FALSE,"1.2 ACSR";#N/A,#N/A,FALSE,"1.3 ACSR";#N/A,#N/A,FALSE,"2.1.1A2.1.3 ACAR";"ac2.1",#N/A,FALSE,"1.2 ACAR";"ac2.2",#N/A,FALSE,"1.2 ACAR";#N/A,#N/A,FALSE,"2.3 ACAR"}</definedName>
    <definedName name="ASDASFASF" localSheetId="13" hidden="1">{"CONCABL1.1",#N/A,FALSE,"1.1.1a1.1.3 ACSR";"AISL1.2",#N/A,FALSE,"1.1.1a1.1.3 ACSR";"torr1.1.3",#N/A,FALSE,"1.1.1a1.1.3 ACSR";"cm1.2",#N/A,FALSE,"1.2 ACSR";"cm2.2",#N/A,FALSE,"1.2 ACSR";#N/A,#N/A,FALSE,"1.3 ACSR";#N/A,#N/A,FALSE,"2.1.1A2.1.3 ACAR";"ac2.1",#N/A,FALSE,"1.2 ACAR";"ac2.2",#N/A,FALSE,"1.2 ACAR";#N/A,#N/A,FALSE,"2.3 ACAR"}</definedName>
    <definedName name="ASDASFASF" hidden="1">{"CONCABL1.1",#N/A,FALSE,"1.1.1a1.1.3 ACSR";"AISL1.2",#N/A,FALSE,"1.1.1a1.1.3 ACSR";"torr1.1.3",#N/A,FALSE,"1.1.1a1.1.3 ACSR";"cm1.2",#N/A,FALSE,"1.2 ACSR";"cm2.2",#N/A,FALSE,"1.2 ACSR";#N/A,#N/A,FALSE,"1.3 ACSR";#N/A,#N/A,FALSE,"2.1.1A2.1.3 ACAR";"ac2.1",#N/A,FALSE,"1.2 ACAR";"ac2.2",#N/A,FALSE,"1.2 ACAR";#N/A,#N/A,FALSE,"2.3 ACAR"}</definedName>
    <definedName name="asdd" localSheetId="5" hidden="1">{#N/A,#N/A,FALSE,"SumD";#N/A,#N/A,FALSE,"ElecD";#N/A,#N/A,FALSE,"MechD";#N/A,#N/A,FALSE,"GeotD";#N/A,#N/A,FALSE,"PrcsD";#N/A,#N/A,FALSE,"TunnD";#N/A,#N/A,FALSE,"CivlD";#N/A,#N/A,FALSE,"NtwkD";#N/A,#N/A,FALSE,"EstgD";#N/A,#N/A,FALSE,"PEngD"}</definedName>
    <definedName name="asdd" localSheetId="6" hidden="1">{#N/A,#N/A,FALSE,"SumD";#N/A,#N/A,FALSE,"ElecD";#N/A,#N/A,FALSE,"MechD";#N/A,#N/A,FALSE,"GeotD";#N/A,#N/A,FALSE,"PrcsD";#N/A,#N/A,FALSE,"TunnD";#N/A,#N/A,FALSE,"CivlD";#N/A,#N/A,FALSE,"NtwkD";#N/A,#N/A,FALSE,"EstgD";#N/A,#N/A,FALSE,"PEngD"}</definedName>
    <definedName name="asdd" localSheetId="3" hidden="1">{#N/A,#N/A,FALSE,"SumD";#N/A,#N/A,FALSE,"ElecD";#N/A,#N/A,FALSE,"MechD";#N/A,#N/A,FALSE,"GeotD";#N/A,#N/A,FALSE,"PrcsD";#N/A,#N/A,FALSE,"TunnD";#N/A,#N/A,FALSE,"CivlD";#N/A,#N/A,FALSE,"NtwkD";#N/A,#N/A,FALSE,"EstgD";#N/A,#N/A,FALSE,"PEngD"}</definedName>
    <definedName name="asdd" localSheetId="4" hidden="1">{#N/A,#N/A,FALSE,"SumD";#N/A,#N/A,FALSE,"ElecD";#N/A,#N/A,FALSE,"MechD";#N/A,#N/A,FALSE,"GeotD";#N/A,#N/A,FALSE,"PrcsD";#N/A,#N/A,FALSE,"TunnD";#N/A,#N/A,FALSE,"CivlD";#N/A,#N/A,FALSE,"NtwkD";#N/A,#N/A,FALSE,"EstgD";#N/A,#N/A,FALSE,"PEngD"}</definedName>
    <definedName name="asdd" localSheetId="13" hidden="1">{#N/A,#N/A,FALSE,"SumD";#N/A,#N/A,FALSE,"ElecD";#N/A,#N/A,FALSE,"MechD";#N/A,#N/A,FALSE,"GeotD";#N/A,#N/A,FALSE,"PrcsD";#N/A,#N/A,FALSE,"TunnD";#N/A,#N/A,FALSE,"CivlD";#N/A,#N/A,FALSE,"NtwkD";#N/A,#N/A,FALSE,"EstgD";#N/A,#N/A,FALSE,"PEngD"}</definedName>
    <definedName name="asdd" hidden="1">{#N/A,#N/A,FALSE,"SumD";#N/A,#N/A,FALSE,"ElecD";#N/A,#N/A,FALSE,"MechD";#N/A,#N/A,FALSE,"GeotD";#N/A,#N/A,FALSE,"PrcsD";#N/A,#N/A,FALSE,"TunnD";#N/A,#N/A,FALSE,"CivlD";#N/A,#N/A,FALSE,"NtwkD";#N/A,#N/A,FALSE,"EstgD";#N/A,#N/A,FALSE,"PEngD"}</definedName>
    <definedName name="asdftyuipo" localSheetId="5" hidden="1">{#N/A,#N/A,FALSE,"ACTIVO FIJO";#N/A,#N/A,FALSE,"COBRAR";#N/A,#N/A,FALSE,"AFILIADAS";#N/A,#N/A,FALSE,"PAGAR";#N/A,#N/A,FALSE,"INSTIT. FINANCIERAS";#N/A,#N/A,FALSE,"VALORES"}</definedName>
    <definedName name="asdftyuipo" localSheetId="6" hidden="1">{#N/A,#N/A,FALSE,"ACTIVO FIJO";#N/A,#N/A,FALSE,"COBRAR";#N/A,#N/A,FALSE,"AFILIADAS";#N/A,#N/A,FALSE,"PAGAR";#N/A,#N/A,FALSE,"INSTIT. FINANCIERAS";#N/A,#N/A,FALSE,"VALORES"}</definedName>
    <definedName name="asdftyuipo" localSheetId="4" hidden="1">{#N/A,#N/A,FALSE,"ACTIVO FIJO";#N/A,#N/A,FALSE,"COBRAR";#N/A,#N/A,FALSE,"AFILIADAS";#N/A,#N/A,FALSE,"PAGAR";#N/A,#N/A,FALSE,"INSTIT. FINANCIERAS";#N/A,#N/A,FALSE,"VALORES"}</definedName>
    <definedName name="asdftyuipo" localSheetId="13" hidden="1">{#N/A,#N/A,FALSE,"ACTIVO FIJO";#N/A,#N/A,FALSE,"COBRAR";#N/A,#N/A,FALSE,"AFILIADAS";#N/A,#N/A,FALSE,"PAGAR";#N/A,#N/A,FALSE,"INSTIT. FINANCIERAS";#N/A,#N/A,FALSE,"VALORES"}</definedName>
    <definedName name="asdftyuipo" hidden="1">{#N/A,#N/A,FALSE,"ACTIVO FIJO";#N/A,#N/A,FALSE,"COBRAR";#N/A,#N/A,FALSE,"AFILIADAS";#N/A,#N/A,FALSE,"PAGAR";#N/A,#N/A,FALSE,"INSTIT. FINANCIERAS";#N/A,#N/A,FALSE,"VALORES"}</definedName>
    <definedName name="asdftyuipo_1" localSheetId="5" hidden="1">{#N/A,#N/A,FALSE,"ACTIVO FIJO";#N/A,#N/A,FALSE,"COBRAR";#N/A,#N/A,FALSE,"AFILIADAS";#N/A,#N/A,FALSE,"PAGAR";#N/A,#N/A,FALSE,"INSTIT. FINANCIERAS";#N/A,#N/A,FALSE,"VALORES"}</definedName>
    <definedName name="asdftyuipo_1" localSheetId="6" hidden="1">{#N/A,#N/A,FALSE,"ACTIVO FIJO";#N/A,#N/A,FALSE,"COBRAR";#N/A,#N/A,FALSE,"AFILIADAS";#N/A,#N/A,FALSE,"PAGAR";#N/A,#N/A,FALSE,"INSTIT. FINANCIERAS";#N/A,#N/A,FALSE,"VALORES"}</definedName>
    <definedName name="asdftyuipo_1" localSheetId="4" hidden="1">{#N/A,#N/A,FALSE,"ACTIVO FIJO";#N/A,#N/A,FALSE,"COBRAR";#N/A,#N/A,FALSE,"AFILIADAS";#N/A,#N/A,FALSE,"PAGAR";#N/A,#N/A,FALSE,"INSTIT. FINANCIERAS";#N/A,#N/A,FALSE,"VALORES"}</definedName>
    <definedName name="asdftyuipo_1" localSheetId="13" hidden="1">{#N/A,#N/A,FALSE,"ACTIVO FIJO";#N/A,#N/A,FALSE,"COBRAR";#N/A,#N/A,FALSE,"AFILIADAS";#N/A,#N/A,FALSE,"PAGAR";#N/A,#N/A,FALSE,"INSTIT. FINANCIERAS";#N/A,#N/A,FALSE,"VALORES"}</definedName>
    <definedName name="asdftyuipo_1" hidden="1">{#N/A,#N/A,FALSE,"ACTIVO FIJO";#N/A,#N/A,FALSE,"COBRAR";#N/A,#N/A,FALSE,"AFILIADAS";#N/A,#N/A,FALSE,"PAGAR";#N/A,#N/A,FALSE,"INSTIT. FINANCIERAS";#N/A,#N/A,FALSE,"VALORES"}</definedName>
    <definedName name="ased" localSheetId="5" hidden="1">{#N/A,#N/A,FALSE,"SumG";#N/A,#N/A,FALSE,"ElecG";#N/A,#N/A,FALSE,"MechG";#N/A,#N/A,FALSE,"GeotG";#N/A,#N/A,FALSE,"PrcsG";#N/A,#N/A,FALSE,"TunnG";#N/A,#N/A,FALSE,"CivlG";#N/A,#N/A,FALSE,"NtwkG";#N/A,#N/A,FALSE,"EstgG";#N/A,#N/A,FALSE,"PEngG"}</definedName>
    <definedName name="ased" localSheetId="6" hidden="1">{#N/A,#N/A,FALSE,"SumG";#N/A,#N/A,FALSE,"ElecG";#N/A,#N/A,FALSE,"MechG";#N/A,#N/A,FALSE,"GeotG";#N/A,#N/A,FALSE,"PrcsG";#N/A,#N/A,FALSE,"TunnG";#N/A,#N/A,FALSE,"CivlG";#N/A,#N/A,FALSE,"NtwkG";#N/A,#N/A,FALSE,"EstgG";#N/A,#N/A,FALSE,"PEngG"}</definedName>
    <definedName name="ased" localSheetId="3" hidden="1">{#N/A,#N/A,FALSE,"SumG";#N/A,#N/A,FALSE,"ElecG";#N/A,#N/A,FALSE,"MechG";#N/A,#N/A,FALSE,"GeotG";#N/A,#N/A,FALSE,"PrcsG";#N/A,#N/A,FALSE,"TunnG";#N/A,#N/A,FALSE,"CivlG";#N/A,#N/A,FALSE,"NtwkG";#N/A,#N/A,FALSE,"EstgG";#N/A,#N/A,FALSE,"PEngG"}</definedName>
    <definedName name="ased" localSheetId="4" hidden="1">{#N/A,#N/A,FALSE,"SumG";#N/A,#N/A,FALSE,"ElecG";#N/A,#N/A,FALSE,"MechG";#N/A,#N/A,FALSE,"GeotG";#N/A,#N/A,FALSE,"PrcsG";#N/A,#N/A,FALSE,"TunnG";#N/A,#N/A,FALSE,"CivlG";#N/A,#N/A,FALSE,"NtwkG";#N/A,#N/A,FALSE,"EstgG";#N/A,#N/A,FALSE,"PEngG"}</definedName>
    <definedName name="ased" localSheetId="13" hidden="1">{#N/A,#N/A,FALSE,"SumG";#N/A,#N/A,FALSE,"ElecG";#N/A,#N/A,FALSE,"MechG";#N/A,#N/A,FALSE,"GeotG";#N/A,#N/A,FALSE,"PrcsG";#N/A,#N/A,FALSE,"TunnG";#N/A,#N/A,FALSE,"CivlG";#N/A,#N/A,FALSE,"NtwkG";#N/A,#N/A,FALSE,"EstgG";#N/A,#N/A,FALSE,"PEngG"}</definedName>
    <definedName name="ased" hidden="1">{#N/A,#N/A,FALSE,"SumG";#N/A,#N/A,FALSE,"ElecG";#N/A,#N/A,FALSE,"MechG";#N/A,#N/A,FALSE,"GeotG";#N/A,#N/A,FALSE,"PrcsG";#N/A,#N/A,FALSE,"TunnG";#N/A,#N/A,FALSE,"CivlG";#N/A,#N/A,FALSE,"NtwkG";#N/A,#N/A,FALSE,"EstgG";#N/A,#N/A,FALSE,"PEngG"}</definedName>
    <definedName name="ASF" hidden="1">#REF!</definedName>
    <definedName name="asfe" hidden="1">#REF!</definedName>
    <definedName name="asssss" localSheetId="5" hidden="1">{#N/A,#N/A,FALSE,"SumD";#N/A,#N/A,FALSE,"ElecD";#N/A,#N/A,FALSE,"MechD";#N/A,#N/A,FALSE,"GeotD";#N/A,#N/A,FALSE,"PrcsD";#N/A,#N/A,FALSE,"TunnD";#N/A,#N/A,FALSE,"CivlD";#N/A,#N/A,FALSE,"NtwkD";#N/A,#N/A,FALSE,"EstgD";#N/A,#N/A,FALSE,"PEngD"}</definedName>
    <definedName name="asssss" localSheetId="6" hidden="1">{#N/A,#N/A,FALSE,"SumD";#N/A,#N/A,FALSE,"ElecD";#N/A,#N/A,FALSE,"MechD";#N/A,#N/A,FALSE,"GeotD";#N/A,#N/A,FALSE,"PrcsD";#N/A,#N/A,FALSE,"TunnD";#N/A,#N/A,FALSE,"CivlD";#N/A,#N/A,FALSE,"NtwkD";#N/A,#N/A,FALSE,"EstgD";#N/A,#N/A,FALSE,"PEngD"}</definedName>
    <definedName name="asssss" localSheetId="3" hidden="1">{#N/A,#N/A,FALSE,"SumD";#N/A,#N/A,FALSE,"ElecD";#N/A,#N/A,FALSE,"MechD";#N/A,#N/A,FALSE,"GeotD";#N/A,#N/A,FALSE,"PrcsD";#N/A,#N/A,FALSE,"TunnD";#N/A,#N/A,FALSE,"CivlD";#N/A,#N/A,FALSE,"NtwkD";#N/A,#N/A,FALSE,"EstgD";#N/A,#N/A,FALSE,"PEngD"}</definedName>
    <definedName name="asssss" localSheetId="4" hidden="1">{#N/A,#N/A,FALSE,"SumD";#N/A,#N/A,FALSE,"ElecD";#N/A,#N/A,FALSE,"MechD";#N/A,#N/A,FALSE,"GeotD";#N/A,#N/A,FALSE,"PrcsD";#N/A,#N/A,FALSE,"TunnD";#N/A,#N/A,FALSE,"CivlD";#N/A,#N/A,FALSE,"NtwkD";#N/A,#N/A,FALSE,"EstgD";#N/A,#N/A,FALSE,"PEngD"}</definedName>
    <definedName name="asssss" localSheetId="13" hidden="1">{#N/A,#N/A,FALSE,"SumD";#N/A,#N/A,FALSE,"ElecD";#N/A,#N/A,FALSE,"MechD";#N/A,#N/A,FALSE,"GeotD";#N/A,#N/A,FALSE,"PrcsD";#N/A,#N/A,FALSE,"TunnD";#N/A,#N/A,FALSE,"CivlD";#N/A,#N/A,FALSE,"NtwkD";#N/A,#N/A,FALSE,"EstgD";#N/A,#N/A,FALSE,"PEngD"}</definedName>
    <definedName name="asssss" hidden="1">{#N/A,#N/A,FALSE,"SumD";#N/A,#N/A,FALSE,"ElecD";#N/A,#N/A,FALSE,"MechD";#N/A,#N/A,FALSE,"GeotD";#N/A,#N/A,FALSE,"PrcsD";#N/A,#N/A,FALSE,"TunnD";#N/A,#N/A,FALSE,"CivlD";#N/A,#N/A,FALSE,"NtwkD";#N/A,#N/A,FALSE,"EstgD";#N/A,#N/A,FALSE,"PEngD"}</definedName>
    <definedName name="awer" localSheetId="5" hidden="1">{#N/A,#N/A,FALSE,"ACTIVO FIJO";#N/A,#N/A,FALSE,"COBRAR";#N/A,#N/A,FALSE,"AFILIADAS";#N/A,#N/A,FALSE,"PAGAR";#N/A,#N/A,FALSE,"INSTIT. FINANCIERAS";#N/A,#N/A,FALSE,"VALORES"}</definedName>
    <definedName name="awer" localSheetId="6" hidden="1">{#N/A,#N/A,FALSE,"ACTIVO FIJO";#N/A,#N/A,FALSE,"COBRAR";#N/A,#N/A,FALSE,"AFILIADAS";#N/A,#N/A,FALSE,"PAGAR";#N/A,#N/A,FALSE,"INSTIT. FINANCIERAS";#N/A,#N/A,FALSE,"VALORES"}</definedName>
    <definedName name="awer" localSheetId="4" hidden="1">{#N/A,#N/A,FALSE,"ACTIVO FIJO";#N/A,#N/A,FALSE,"COBRAR";#N/A,#N/A,FALSE,"AFILIADAS";#N/A,#N/A,FALSE,"PAGAR";#N/A,#N/A,FALSE,"INSTIT. FINANCIERAS";#N/A,#N/A,FALSE,"VALORES"}</definedName>
    <definedName name="awer" localSheetId="13" hidden="1">{#N/A,#N/A,FALSE,"ACTIVO FIJO";#N/A,#N/A,FALSE,"COBRAR";#N/A,#N/A,FALSE,"AFILIADAS";#N/A,#N/A,FALSE,"PAGAR";#N/A,#N/A,FALSE,"INSTIT. FINANCIERAS";#N/A,#N/A,FALSE,"VALORES"}</definedName>
    <definedName name="awer" hidden="1">{#N/A,#N/A,FALSE,"ACTIVO FIJO";#N/A,#N/A,FALSE,"COBRAR";#N/A,#N/A,FALSE,"AFILIADAS";#N/A,#N/A,FALSE,"PAGAR";#N/A,#N/A,FALSE,"INSTIT. FINANCIERAS";#N/A,#N/A,FALSE,"VALORES"}</definedName>
    <definedName name="awer_1" localSheetId="5" hidden="1">{#N/A,#N/A,FALSE,"ACTIVO FIJO";#N/A,#N/A,FALSE,"COBRAR";#N/A,#N/A,FALSE,"AFILIADAS";#N/A,#N/A,FALSE,"PAGAR";#N/A,#N/A,FALSE,"INSTIT. FINANCIERAS";#N/A,#N/A,FALSE,"VALORES"}</definedName>
    <definedName name="awer_1" localSheetId="6" hidden="1">{#N/A,#N/A,FALSE,"ACTIVO FIJO";#N/A,#N/A,FALSE,"COBRAR";#N/A,#N/A,FALSE,"AFILIADAS";#N/A,#N/A,FALSE,"PAGAR";#N/A,#N/A,FALSE,"INSTIT. FINANCIERAS";#N/A,#N/A,FALSE,"VALORES"}</definedName>
    <definedName name="awer_1" localSheetId="4" hidden="1">{#N/A,#N/A,FALSE,"ACTIVO FIJO";#N/A,#N/A,FALSE,"COBRAR";#N/A,#N/A,FALSE,"AFILIADAS";#N/A,#N/A,FALSE,"PAGAR";#N/A,#N/A,FALSE,"INSTIT. FINANCIERAS";#N/A,#N/A,FALSE,"VALORES"}</definedName>
    <definedName name="awer_1" localSheetId="13" hidden="1">{#N/A,#N/A,FALSE,"ACTIVO FIJO";#N/A,#N/A,FALSE,"COBRAR";#N/A,#N/A,FALSE,"AFILIADAS";#N/A,#N/A,FALSE,"PAGAR";#N/A,#N/A,FALSE,"INSTIT. FINANCIERAS";#N/A,#N/A,FALSE,"VALORES"}</definedName>
    <definedName name="awer_1" hidden="1">{#N/A,#N/A,FALSE,"ACTIVO FIJO";#N/A,#N/A,FALSE,"COBRAR";#N/A,#N/A,FALSE,"AFILIADAS";#N/A,#N/A,FALSE,"PAGAR";#N/A,#N/A,FALSE,"INSTIT. FINANCIERAS";#N/A,#N/A,FALSE,"VALORES"}</definedName>
    <definedName name="baseava1.xlt" localSheetId="5" hidden="1">{"TEXTO DEL AVALUO",#N/A,TRUE,"AVALUO";"CALCULOS Y DICTAMEN",#N/A,TRUE,"CONDOMINIO"}</definedName>
    <definedName name="baseava1.xlt" localSheetId="6" hidden="1">{"TEXTO DEL AVALUO",#N/A,TRUE,"AVALUO";"CALCULOS Y DICTAMEN",#N/A,TRUE,"CONDOMINIO"}</definedName>
    <definedName name="baseava1.xlt" localSheetId="4" hidden="1">{"TEXTO DEL AVALUO",#N/A,TRUE,"AVALUO";"CALCULOS Y DICTAMEN",#N/A,TRUE,"CONDOMINIO"}</definedName>
    <definedName name="baseava1.xlt" localSheetId="13" hidden="1">{"TEXTO DEL AVALUO",#N/A,TRUE,"AVALUO";"CALCULOS Y DICTAMEN",#N/A,TRUE,"CONDOMINIO"}</definedName>
    <definedName name="baseava1.xlt" hidden="1">{"TEXTO DEL AVALUO",#N/A,TRUE,"AVALUO";"CALCULOS Y DICTAMEN",#N/A,TRUE,"CONDOMINIO"}</definedName>
    <definedName name="BBB_1" localSheetId="5" hidden="1">{#N/A,#N/A,FALSE,"ACTIVO FIJO";#N/A,#N/A,FALSE,"COBRAR";#N/A,#N/A,FALSE,"AFILIADAS";#N/A,#N/A,FALSE,"PAGAR";#N/A,#N/A,FALSE,"INSTIT. FINANCIERAS";#N/A,#N/A,FALSE,"VALORES"}</definedName>
    <definedName name="BBB_1" localSheetId="6" hidden="1">{#N/A,#N/A,FALSE,"ACTIVO FIJO";#N/A,#N/A,FALSE,"COBRAR";#N/A,#N/A,FALSE,"AFILIADAS";#N/A,#N/A,FALSE,"PAGAR";#N/A,#N/A,FALSE,"INSTIT. FINANCIERAS";#N/A,#N/A,FALSE,"VALORES"}</definedName>
    <definedName name="BBB_1" localSheetId="4" hidden="1">{#N/A,#N/A,FALSE,"ACTIVO FIJO";#N/A,#N/A,FALSE,"COBRAR";#N/A,#N/A,FALSE,"AFILIADAS";#N/A,#N/A,FALSE,"PAGAR";#N/A,#N/A,FALSE,"INSTIT. FINANCIERAS";#N/A,#N/A,FALSE,"VALORES"}</definedName>
    <definedName name="BBB_1" localSheetId="13" hidden="1">{#N/A,#N/A,FALSE,"ACTIVO FIJO";#N/A,#N/A,FALSE,"COBRAR";#N/A,#N/A,FALSE,"AFILIADAS";#N/A,#N/A,FALSE,"PAGAR";#N/A,#N/A,FALSE,"INSTIT. FINANCIERAS";#N/A,#N/A,FALSE,"VALORES"}</definedName>
    <definedName name="BBB_1" hidden="1">{#N/A,#N/A,FALSE,"ACTIVO FIJO";#N/A,#N/A,FALSE,"COBRAR";#N/A,#N/A,FALSE,"AFILIADAS";#N/A,#N/A,FALSE,"PAGAR";#N/A,#N/A,FALSE,"INSTIT. FINANCIERAS";#N/A,#N/A,FALSE,"VALORES"}</definedName>
    <definedName name="bbbbb" localSheetId="5" hidden="1">{#N/A,#N/A,FALSE,"SumD";#N/A,#N/A,FALSE,"ElecD";#N/A,#N/A,FALSE,"MechD";#N/A,#N/A,FALSE,"GeotD";#N/A,#N/A,FALSE,"PrcsD";#N/A,#N/A,FALSE,"TunnD";#N/A,#N/A,FALSE,"CivlD";#N/A,#N/A,FALSE,"NtwkD";#N/A,#N/A,FALSE,"EstgD";#N/A,#N/A,FALSE,"PEngD"}</definedName>
    <definedName name="bbbbb" localSheetId="6" hidden="1">{#N/A,#N/A,FALSE,"SumD";#N/A,#N/A,FALSE,"ElecD";#N/A,#N/A,FALSE,"MechD";#N/A,#N/A,FALSE,"GeotD";#N/A,#N/A,FALSE,"PrcsD";#N/A,#N/A,FALSE,"TunnD";#N/A,#N/A,FALSE,"CivlD";#N/A,#N/A,FALSE,"NtwkD";#N/A,#N/A,FALSE,"EstgD";#N/A,#N/A,FALSE,"PEngD"}</definedName>
    <definedName name="bbbbb" localSheetId="3" hidden="1">{#N/A,#N/A,FALSE,"SumD";#N/A,#N/A,FALSE,"ElecD";#N/A,#N/A,FALSE,"MechD";#N/A,#N/A,FALSE,"GeotD";#N/A,#N/A,FALSE,"PrcsD";#N/A,#N/A,FALSE,"TunnD";#N/A,#N/A,FALSE,"CivlD";#N/A,#N/A,FALSE,"NtwkD";#N/A,#N/A,FALSE,"EstgD";#N/A,#N/A,FALSE,"PEngD"}</definedName>
    <definedName name="bbbbb" localSheetId="4"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 localSheetId="5" hidden="1">{#N/A,#N/A,FALSE,"SumG";#N/A,#N/A,FALSE,"ElecG";#N/A,#N/A,FALSE,"MechG";#N/A,#N/A,FALSE,"GeotG";#N/A,#N/A,FALSE,"PrcsG";#N/A,#N/A,FALSE,"TunnG";#N/A,#N/A,FALSE,"CivlG";#N/A,#N/A,FALSE,"NtwkG";#N/A,#N/A,FALSE,"EstgG";#N/A,#N/A,FALSE,"PEngG"}</definedName>
    <definedName name="bbbbbb" localSheetId="6" hidden="1">{#N/A,#N/A,FALSE,"SumG";#N/A,#N/A,FALSE,"ElecG";#N/A,#N/A,FALSE,"MechG";#N/A,#N/A,FALSE,"GeotG";#N/A,#N/A,FALSE,"PrcsG";#N/A,#N/A,FALSE,"TunnG";#N/A,#N/A,FALSE,"CivlG";#N/A,#N/A,FALSE,"NtwkG";#N/A,#N/A,FALSE,"EstgG";#N/A,#N/A,FALSE,"PEngG"}</definedName>
    <definedName name="bbbbbb" localSheetId="3" hidden="1">{#N/A,#N/A,FALSE,"SumG";#N/A,#N/A,FALSE,"ElecG";#N/A,#N/A,FALSE,"MechG";#N/A,#N/A,FALSE,"GeotG";#N/A,#N/A,FALSE,"PrcsG";#N/A,#N/A,FALSE,"TunnG";#N/A,#N/A,FALSE,"CivlG";#N/A,#N/A,FALSE,"NtwkG";#N/A,#N/A,FALSE,"EstgG";#N/A,#N/A,FALSE,"PEngG"}</definedName>
    <definedName name="bbbbbb" localSheetId="4" hidden="1">{#N/A,#N/A,FALSE,"SumG";#N/A,#N/A,FALSE,"ElecG";#N/A,#N/A,FALSE,"MechG";#N/A,#N/A,FALSE,"GeotG";#N/A,#N/A,FALSE,"PrcsG";#N/A,#N/A,FALSE,"TunnG";#N/A,#N/A,FALSE,"CivlG";#N/A,#N/A,FALSE,"NtwkG";#N/A,#N/A,FALSE,"EstgG";#N/A,#N/A,FALSE,"PEngG"}</definedName>
    <definedName name="bbbbbb" localSheetId="13" hidden="1">{#N/A,#N/A,FALSE,"SumG";#N/A,#N/A,FALSE,"ElecG";#N/A,#N/A,FALSE,"MechG";#N/A,#N/A,FALSE,"GeotG";#N/A,#N/A,FALSE,"PrcsG";#N/A,#N/A,FALSE,"TunnG";#N/A,#N/A,FALSE,"CivlG";#N/A,#N/A,FALSE,"NtwkG";#N/A,#N/A,FALSE,"EstgG";#N/A,#N/A,FALSE,"PEngG"}</definedName>
    <definedName name="bbbbbb" hidden="1">{#N/A,#N/A,FALSE,"SumG";#N/A,#N/A,FALSE,"ElecG";#N/A,#N/A,FALSE,"MechG";#N/A,#N/A,FALSE,"GeotG";#N/A,#N/A,FALSE,"PrcsG";#N/A,#N/A,FALSE,"TunnG";#N/A,#N/A,FALSE,"CivlG";#N/A,#N/A,FALSE,"NtwkG";#N/A,#N/A,FALSE,"EstgG";#N/A,#N/A,FALSE,"PEngG"}</definedName>
    <definedName name="bbbbbbb" localSheetId="5" hidden="1">{#N/A,#N/A,FALSE,"SumG";#N/A,#N/A,FALSE,"ElecG";#N/A,#N/A,FALSE,"MechG";#N/A,#N/A,FALSE,"GeotG";#N/A,#N/A,FALSE,"PrcsG";#N/A,#N/A,FALSE,"TunnG";#N/A,#N/A,FALSE,"CivlG";#N/A,#N/A,FALSE,"NtwkG";#N/A,#N/A,FALSE,"EstgG";#N/A,#N/A,FALSE,"PEngG"}</definedName>
    <definedName name="bbbbbbb" localSheetId="6" hidden="1">{#N/A,#N/A,FALSE,"SumG";#N/A,#N/A,FALSE,"ElecG";#N/A,#N/A,FALSE,"MechG";#N/A,#N/A,FALSE,"GeotG";#N/A,#N/A,FALSE,"PrcsG";#N/A,#N/A,FALSE,"TunnG";#N/A,#N/A,FALSE,"CivlG";#N/A,#N/A,FALSE,"NtwkG";#N/A,#N/A,FALSE,"EstgG";#N/A,#N/A,FALSE,"PEngG"}</definedName>
    <definedName name="bbbbbbb" localSheetId="4"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b" localSheetId="5" hidden="1">{#N/A,#N/A,FALSE,"SumD";#N/A,#N/A,FALSE,"ElecD";#N/A,#N/A,FALSE,"MechD";#N/A,#N/A,FALSE,"GeotD";#N/A,#N/A,FALSE,"PrcsD";#N/A,#N/A,FALSE,"TunnD";#N/A,#N/A,FALSE,"CivlD";#N/A,#N/A,FALSE,"NtwkD";#N/A,#N/A,FALSE,"EstgD";#N/A,#N/A,FALSE,"PEngD"}</definedName>
    <definedName name="bbbbbbbbb" localSheetId="6" hidden="1">{#N/A,#N/A,FALSE,"SumD";#N/A,#N/A,FALSE,"ElecD";#N/A,#N/A,FALSE,"MechD";#N/A,#N/A,FALSE,"GeotD";#N/A,#N/A,FALSE,"PrcsD";#N/A,#N/A,FALSE,"TunnD";#N/A,#N/A,FALSE,"CivlD";#N/A,#N/A,FALSE,"NtwkD";#N/A,#N/A,FALSE,"EstgD";#N/A,#N/A,FALSE,"PEngD"}</definedName>
    <definedName name="bbbbbbbbb" localSheetId="4"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5" hidden="1">{#N/A,#N/A,FALSE,"SumD";#N/A,#N/A,FALSE,"ElecD";#N/A,#N/A,FALSE,"MechD";#N/A,#N/A,FALSE,"GeotD";#N/A,#N/A,FALSE,"PrcsD";#N/A,#N/A,FALSE,"TunnD";#N/A,#N/A,FALSE,"CivlD";#N/A,#N/A,FALSE,"NtwkD";#N/A,#N/A,FALSE,"EstgD";#N/A,#N/A,FALSE,"PEngD"}</definedName>
    <definedName name="bbbbbbbbbb" localSheetId="6" hidden="1">{#N/A,#N/A,FALSE,"SumD";#N/A,#N/A,FALSE,"ElecD";#N/A,#N/A,FALSE,"MechD";#N/A,#N/A,FALSE,"GeotD";#N/A,#N/A,FALSE,"PrcsD";#N/A,#N/A,FALSE,"TunnD";#N/A,#N/A,FALSE,"CivlD";#N/A,#N/A,FALSE,"NtwkD";#N/A,#N/A,FALSE,"EstgD";#N/A,#N/A,FALSE,"PEngD"}</definedName>
    <definedName name="bbbbbbbbbb" localSheetId="4"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5" hidden="1">{#N/A,#N/A,FALSE,"SumG";#N/A,#N/A,FALSE,"ElecG";#N/A,#N/A,FALSE,"MechG";#N/A,#N/A,FALSE,"GeotG";#N/A,#N/A,FALSE,"PrcsG";#N/A,#N/A,FALSE,"TunnG";#N/A,#N/A,FALSE,"CivlG";#N/A,#N/A,FALSE,"NtwkG";#N/A,#N/A,FALSE,"EstgG";#N/A,#N/A,FALSE,"PEngG"}</definedName>
    <definedName name="bbbbbbbbbbb" localSheetId="6" hidden="1">{#N/A,#N/A,FALSE,"SumG";#N/A,#N/A,FALSE,"ElecG";#N/A,#N/A,FALSE,"MechG";#N/A,#N/A,FALSE,"GeotG";#N/A,#N/A,FALSE,"PrcsG";#N/A,#N/A,FALSE,"TunnG";#N/A,#N/A,FALSE,"CivlG";#N/A,#N/A,FALSE,"NtwkG";#N/A,#N/A,FALSE,"EstgG";#N/A,#N/A,FALSE,"PEngG"}</definedName>
    <definedName name="bbbbbbbbbbb" localSheetId="4"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5" hidden="1">{#N/A,#N/A,FALSE,"SumG";#N/A,#N/A,FALSE,"ElecG";#N/A,#N/A,FALSE,"MechG";#N/A,#N/A,FALSE,"GeotG";#N/A,#N/A,FALSE,"PrcsG";#N/A,#N/A,FALSE,"TunnG";#N/A,#N/A,FALSE,"CivlG";#N/A,#N/A,FALSE,"NtwkG";#N/A,#N/A,FALSE,"EstgG";#N/A,#N/A,FALSE,"PEngG"}</definedName>
    <definedName name="bbbbbbbbbbbbbb" localSheetId="6" hidden="1">{#N/A,#N/A,FALSE,"SumG";#N/A,#N/A,FALSE,"ElecG";#N/A,#N/A,FALSE,"MechG";#N/A,#N/A,FALSE,"GeotG";#N/A,#N/A,FALSE,"PrcsG";#N/A,#N/A,FALSE,"TunnG";#N/A,#N/A,FALSE,"CivlG";#N/A,#N/A,FALSE,"NtwkG";#N/A,#N/A,FALSE,"EstgG";#N/A,#N/A,FALSE,"PEngG"}</definedName>
    <definedName name="bbbbbbbbbbbbbb" localSheetId="4"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bbbbb" localSheetId="5" hidden="1">{#N/A,#N/A,FALSE,"SumG";#N/A,#N/A,FALSE,"ElecG";#N/A,#N/A,FALSE,"MechG";#N/A,#N/A,FALSE,"GeotG";#N/A,#N/A,FALSE,"PrcsG";#N/A,#N/A,FALSE,"TunnG";#N/A,#N/A,FALSE,"CivlG";#N/A,#N/A,FALSE,"NtwkG";#N/A,#N/A,FALSE,"EstgG";#N/A,#N/A,FALSE,"PEngG"}</definedName>
    <definedName name="bbbbbbbbbbbbbbbbbbbb" localSheetId="6" hidden="1">{#N/A,#N/A,FALSE,"SumG";#N/A,#N/A,FALSE,"ElecG";#N/A,#N/A,FALSE,"MechG";#N/A,#N/A,FALSE,"GeotG";#N/A,#N/A,FALSE,"PrcsG";#N/A,#N/A,FALSE,"TunnG";#N/A,#N/A,FALSE,"CivlG";#N/A,#N/A,FALSE,"NtwkG";#N/A,#N/A,FALSE,"EstgG";#N/A,#N/A,FALSE,"PEngG"}</definedName>
    <definedName name="bbbbbbbbbbbbbbbbbbbb" localSheetId="4"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n" localSheetId="5" hidden="1">{#N/A,#N/A,TRUE,"1842CWN0"}</definedName>
    <definedName name="bn" localSheetId="6" hidden="1">{#N/A,#N/A,TRUE,"1842CWN0"}</definedName>
    <definedName name="bn" localSheetId="3" hidden="1">{#N/A,#N/A,TRUE,"1842CWN0"}</definedName>
    <definedName name="bn" localSheetId="4" hidden="1">{#N/A,#N/A,TRUE,"1842CWN0"}</definedName>
    <definedName name="bn" localSheetId="13" hidden="1">{#N/A,#N/A,TRUE,"1842CWN0"}</definedName>
    <definedName name="bn" hidden="1">{#N/A,#N/A,TRUE,"1842CWN0"}</definedName>
    <definedName name="CAJAS" hidden="1">#REF!</definedName>
    <definedName name="CARU" hidden="1">#REF!</definedName>
    <definedName name="CCC" hidden="1">#REF!</definedName>
    <definedName name="ccccc" localSheetId="5" hidden="1">{#N/A,#N/A,FALSE,"SumD";#N/A,#N/A,FALSE,"ElecD";#N/A,#N/A,FALSE,"MechD";#N/A,#N/A,FALSE,"GeotD";#N/A,#N/A,FALSE,"PrcsD";#N/A,#N/A,FALSE,"TunnD";#N/A,#N/A,FALSE,"CivlD";#N/A,#N/A,FALSE,"NtwkD";#N/A,#N/A,FALSE,"EstgD";#N/A,#N/A,FALSE,"PEngD"}</definedName>
    <definedName name="ccccc" localSheetId="6" hidden="1">{#N/A,#N/A,FALSE,"SumD";#N/A,#N/A,FALSE,"ElecD";#N/A,#N/A,FALSE,"MechD";#N/A,#N/A,FALSE,"GeotD";#N/A,#N/A,FALSE,"PrcsD";#N/A,#N/A,FALSE,"TunnD";#N/A,#N/A,FALSE,"CivlD";#N/A,#N/A,FALSE,"NtwkD";#N/A,#N/A,FALSE,"EstgD";#N/A,#N/A,FALSE,"PEngD"}</definedName>
    <definedName name="ccccc" localSheetId="3" hidden="1">{#N/A,#N/A,FALSE,"SumD";#N/A,#N/A,FALSE,"ElecD";#N/A,#N/A,FALSE,"MechD";#N/A,#N/A,FALSE,"GeotD";#N/A,#N/A,FALSE,"PrcsD";#N/A,#N/A,FALSE,"TunnD";#N/A,#N/A,FALSE,"CivlD";#N/A,#N/A,FALSE,"NtwkD";#N/A,#N/A,FALSE,"EstgD";#N/A,#N/A,FALSE,"PEngD"}</definedName>
    <definedName name="ccccc" localSheetId="4"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 localSheetId="5" hidden="1">{#N/A,#N/A,FALSE,"SumG";#N/A,#N/A,FALSE,"ElecG";#N/A,#N/A,FALSE,"MechG";#N/A,#N/A,FALSE,"GeotG";#N/A,#N/A,FALSE,"PrcsG";#N/A,#N/A,FALSE,"TunnG";#N/A,#N/A,FALSE,"CivlG";#N/A,#N/A,FALSE,"NtwkG";#N/A,#N/A,FALSE,"EstgG";#N/A,#N/A,FALSE,"PEngG"}</definedName>
    <definedName name="cccccc" localSheetId="6" hidden="1">{#N/A,#N/A,FALSE,"SumG";#N/A,#N/A,FALSE,"ElecG";#N/A,#N/A,FALSE,"MechG";#N/A,#N/A,FALSE,"GeotG";#N/A,#N/A,FALSE,"PrcsG";#N/A,#N/A,FALSE,"TunnG";#N/A,#N/A,FALSE,"CivlG";#N/A,#N/A,FALSE,"NtwkG";#N/A,#N/A,FALSE,"EstgG";#N/A,#N/A,FALSE,"PEngG"}</definedName>
    <definedName name="cccccc" localSheetId="3" hidden="1">{#N/A,#N/A,FALSE,"SumG";#N/A,#N/A,FALSE,"ElecG";#N/A,#N/A,FALSE,"MechG";#N/A,#N/A,FALSE,"GeotG";#N/A,#N/A,FALSE,"PrcsG";#N/A,#N/A,FALSE,"TunnG";#N/A,#N/A,FALSE,"CivlG";#N/A,#N/A,FALSE,"NtwkG";#N/A,#N/A,FALSE,"EstgG";#N/A,#N/A,FALSE,"PEngG"}</definedName>
    <definedName name="cccccc" localSheetId="4" hidden="1">{#N/A,#N/A,FALSE,"SumG";#N/A,#N/A,FALSE,"ElecG";#N/A,#N/A,FALSE,"MechG";#N/A,#N/A,FALSE,"GeotG";#N/A,#N/A,FALSE,"PrcsG";#N/A,#N/A,FALSE,"TunnG";#N/A,#N/A,FALSE,"CivlG";#N/A,#N/A,FALSE,"NtwkG";#N/A,#N/A,FALSE,"EstgG";#N/A,#N/A,FALSE,"PEngG"}</definedName>
    <definedName name="cccccc" localSheetId="13" hidden="1">{#N/A,#N/A,FALSE,"SumG";#N/A,#N/A,FALSE,"ElecG";#N/A,#N/A,FALSE,"MechG";#N/A,#N/A,FALSE,"GeotG";#N/A,#N/A,FALSE,"PrcsG";#N/A,#N/A,FALSE,"TunnG";#N/A,#N/A,FALSE,"CivlG";#N/A,#N/A,FALSE,"NtwkG";#N/A,#N/A,FALSE,"EstgG";#N/A,#N/A,FALSE,"PEngG"}</definedName>
    <definedName name="cccccc" hidden="1">{#N/A,#N/A,FALSE,"SumG";#N/A,#N/A,FALSE,"ElecG";#N/A,#N/A,FALSE,"MechG";#N/A,#N/A,FALSE,"GeotG";#N/A,#N/A,FALSE,"PrcsG";#N/A,#N/A,FALSE,"TunnG";#N/A,#N/A,FALSE,"CivlG";#N/A,#N/A,FALSE,"NtwkG";#N/A,#N/A,FALSE,"EstgG";#N/A,#N/A,FALSE,"PEngG"}</definedName>
    <definedName name="cccccccccccc" localSheetId="5" hidden="1">{#N/A,#N/A,FALSE,"SumG";#N/A,#N/A,FALSE,"ElecG";#N/A,#N/A,FALSE,"MechG";#N/A,#N/A,FALSE,"GeotG";#N/A,#N/A,FALSE,"PrcsG";#N/A,#N/A,FALSE,"TunnG";#N/A,#N/A,FALSE,"CivlG";#N/A,#N/A,FALSE,"NtwkG";#N/A,#N/A,FALSE,"EstgG";#N/A,#N/A,FALSE,"PEngG"}</definedName>
    <definedName name="cccccccccccc" localSheetId="6" hidden="1">{#N/A,#N/A,FALSE,"SumG";#N/A,#N/A,FALSE,"ElecG";#N/A,#N/A,FALSE,"MechG";#N/A,#N/A,FALSE,"GeotG";#N/A,#N/A,FALSE,"PrcsG";#N/A,#N/A,FALSE,"TunnG";#N/A,#N/A,FALSE,"CivlG";#N/A,#N/A,FALSE,"NtwkG";#N/A,#N/A,FALSE,"EstgG";#N/A,#N/A,FALSE,"PEngG"}</definedName>
    <definedName name="cccccccccccc" localSheetId="4"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5" hidden="1">{#N/A,#N/A,FALSE,"Pricing";#N/A,#N/A,FALSE,"Summary";#N/A,#N/A,FALSE,"CompProd";#N/A,#N/A,FALSE,"CompJobhrs";#N/A,#N/A,FALSE,"Escalation";#N/A,#N/A,FALSE,"Contingency";#N/A,#N/A,FALSE,"GM";#N/A,#N/A,FALSE,"CompWage";#N/A,#N/A,FALSE,"costSum"}</definedName>
    <definedName name="ccccccccccccccc" localSheetId="6" hidden="1">{#N/A,#N/A,FALSE,"Pricing";#N/A,#N/A,FALSE,"Summary";#N/A,#N/A,FALSE,"CompProd";#N/A,#N/A,FALSE,"CompJobhrs";#N/A,#N/A,FALSE,"Escalation";#N/A,#N/A,FALSE,"Contingency";#N/A,#N/A,FALSE,"GM";#N/A,#N/A,FALSE,"CompWage";#N/A,#N/A,FALSE,"costSum"}</definedName>
    <definedName name="ccccccccccccccc" localSheetId="4"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derfv" localSheetId="5" hidden="1">{#N/A,#N/A,FALSE,"ACTIVO FIJO";#N/A,#N/A,FALSE,"COBRAR";#N/A,#N/A,FALSE,"AFILIADAS";#N/A,#N/A,FALSE,"PAGAR";#N/A,#N/A,FALSE,"INSTIT. FINANCIERAS";#N/A,#N/A,FALSE,"VALORES"}</definedName>
    <definedName name="cderfv" localSheetId="6" hidden="1">{#N/A,#N/A,FALSE,"ACTIVO FIJO";#N/A,#N/A,FALSE,"COBRAR";#N/A,#N/A,FALSE,"AFILIADAS";#N/A,#N/A,FALSE,"PAGAR";#N/A,#N/A,FALSE,"INSTIT. FINANCIERAS";#N/A,#N/A,FALSE,"VALORES"}</definedName>
    <definedName name="cderfv" localSheetId="4" hidden="1">{#N/A,#N/A,FALSE,"ACTIVO FIJO";#N/A,#N/A,FALSE,"COBRAR";#N/A,#N/A,FALSE,"AFILIADAS";#N/A,#N/A,FALSE,"PAGAR";#N/A,#N/A,FALSE,"INSTIT. FINANCIERAS";#N/A,#N/A,FALSE,"VALORES"}</definedName>
    <definedName name="cderfv" localSheetId="13" hidden="1">{#N/A,#N/A,FALSE,"ACTIVO FIJO";#N/A,#N/A,FALSE,"COBRAR";#N/A,#N/A,FALSE,"AFILIADAS";#N/A,#N/A,FALSE,"PAGAR";#N/A,#N/A,FALSE,"INSTIT. FINANCIERAS";#N/A,#N/A,FALSE,"VALORES"}</definedName>
    <definedName name="cderfv" hidden="1">{#N/A,#N/A,FALSE,"ACTIVO FIJO";#N/A,#N/A,FALSE,"COBRAR";#N/A,#N/A,FALSE,"AFILIADAS";#N/A,#N/A,FALSE,"PAGAR";#N/A,#N/A,FALSE,"INSTIT. FINANCIERAS";#N/A,#N/A,FALSE,"VALORES"}</definedName>
    <definedName name="cderfv_1" localSheetId="5" hidden="1">{#N/A,#N/A,FALSE,"ACTIVO FIJO";#N/A,#N/A,FALSE,"COBRAR";#N/A,#N/A,FALSE,"AFILIADAS";#N/A,#N/A,FALSE,"PAGAR";#N/A,#N/A,FALSE,"INSTIT. FINANCIERAS";#N/A,#N/A,FALSE,"VALORES"}</definedName>
    <definedName name="cderfv_1" localSheetId="6" hidden="1">{#N/A,#N/A,FALSE,"ACTIVO FIJO";#N/A,#N/A,FALSE,"COBRAR";#N/A,#N/A,FALSE,"AFILIADAS";#N/A,#N/A,FALSE,"PAGAR";#N/A,#N/A,FALSE,"INSTIT. FINANCIERAS";#N/A,#N/A,FALSE,"VALORES"}</definedName>
    <definedName name="cderfv_1" localSheetId="4" hidden="1">{#N/A,#N/A,FALSE,"ACTIVO FIJO";#N/A,#N/A,FALSE,"COBRAR";#N/A,#N/A,FALSE,"AFILIADAS";#N/A,#N/A,FALSE,"PAGAR";#N/A,#N/A,FALSE,"INSTIT. FINANCIERAS";#N/A,#N/A,FALSE,"VALORES"}</definedName>
    <definedName name="cderfv_1" localSheetId="13" hidden="1">{#N/A,#N/A,FALSE,"ACTIVO FIJO";#N/A,#N/A,FALSE,"COBRAR";#N/A,#N/A,FALSE,"AFILIADAS";#N/A,#N/A,FALSE,"PAGAR";#N/A,#N/A,FALSE,"INSTIT. FINANCIERAS";#N/A,#N/A,FALSE,"VALORES"}</definedName>
    <definedName name="cderfv_1" hidden="1">{#N/A,#N/A,FALSE,"ACTIVO FIJO";#N/A,#N/A,FALSE,"COBRAR";#N/A,#N/A,FALSE,"AFILIADAS";#N/A,#N/A,FALSE,"PAGAR";#N/A,#N/A,FALSE,"INSTIT. FINANCIERAS";#N/A,#N/A,FALSE,"VALORES"}</definedName>
    <definedName name="cdfty" localSheetId="5" hidden="1">{#N/A,#N/A,FALSE,"ACTIVO FIJO";#N/A,#N/A,FALSE,"COBRAR";#N/A,#N/A,FALSE,"AFILIADAS";#N/A,#N/A,FALSE,"PAGAR";#N/A,#N/A,FALSE,"INSTIT. FINANCIERAS";#N/A,#N/A,FALSE,"VALORES"}</definedName>
    <definedName name="cdfty" localSheetId="6" hidden="1">{#N/A,#N/A,FALSE,"ACTIVO FIJO";#N/A,#N/A,FALSE,"COBRAR";#N/A,#N/A,FALSE,"AFILIADAS";#N/A,#N/A,FALSE,"PAGAR";#N/A,#N/A,FALSE,"INSTIT. FINANCIERAS";#N/A,#N/A,FALSE,"VALORES"}</definedName>
    <definedName name="cdfty" localSheetId="4" hidden="1">{#N/A,#N/A,FALSE,"ACTIVO FIJO";#N/A,#N/A,FALSE,"COBRAR";#N/A,#N/A,FALSE,"AFILIADAS";#N/A,#N/A,FALSE,"PAGAR";#N/A,#N/A,FALSE,"INSTIT. FINANCIERAS";#N/A,#N/A,FALSE,"VALORES"}</definedName>
    <definedName name="cdfty" localSheetId="13" hidden="1">{#N/A,#N/A,FALSE,"ACTIVO FIJO";#N/A,#N/A,FALSE,"COBRAR";#N/A,#N/A,FALSE,"AFILIADAS";#N/A,#N/A,FALSE,"PAGAR";#N/A,#N/A,FALSE,"INSTIT. FINANCIERAS";#N/A,#N/A,FALSE,"VALORES"}</definedName>
    <definedName name="cdfty" hidden="1">{#N/A,#N/A,FALSE,"ACTIVO FIJO";#N/A,#N/A,FALSE,"COBRAR";#N/A,#N/A,FALSE,"AFILIADAS";#N/A,#N/A,FALSE,"PAGAR";#N/A,#N/A,FALSE,"INSTIT. FINANCIERAS";#N/A,#N/A,FALSE,"VALORES"}</definedName>
    <definedName name="cdfty_1" localSheetId="5" hidden="1">{#N/A,#N/A,FALSE,"ACTIVO FIJO";#N/A,#N/A,FALSE,"COBRAR";#N/A,#N/A,FALSE,"AFILIADAS";#N/A,#N/A,FALSE,"PAGAR";#N/A,#N/A,FALSE,"INSTIT. FINANCIERAS";#N/A,#N/A,FALSE,"VALORES"}</definedName>
    <definedName name="cdfty_1" localSheetId="6" hidden="1">{#N/A,#N/A,FALSE,"ACTIVO FIJO";#N/A,#N/A,FALSE,"COBRAR";#N/A,#N/A,FALSE,"AFILIADAS";#N/A,#N/A,FALSE,"PAGAR";#N/A,#N/A,FALSE,"INSTIT. FINANCIERAS";#N/A,#N/A,FALSE,"VALORES"}</definedName>
    <definedName name="cdfty_1" localSheetId="4" hidden="1">{#N/A,#N/A,FALSE,"ACTIVO FIJO";#N/A,#N/A,FALSE,"COBRAR";#N/A,#N/A,FALSE,"AFILIADAS";#N/A,#N/A,FALSE,"PAGAR";#N/A,#N/A,FALSE,"INSTIT. FINANCIERAS";#N/A,#N/A,FALSE,"VALORES"}</definedName>
    <definedName name="cdfty_1" localSheetId="13" hidden="1">{#N/A,#N/A,FALSE,"ACTIVO FIJO";#N/A,#N/A,FALSE,"COBRAR";#N/A,#N/A,FALSE,"AFILIADAS";#N/A,#N/A,FALSE,"PAGAR";#N/A,#N/A,FALSE,"INSTIT. FINANCIERAS";#N/A,#N/A,FALSE,"VALORES"}</definedName>
    <definedName name="cdfty_1" hidden="1">{#N/A,#N/A,FALSE,"ACTIVO FIJO";#N/A,#N/A,FALSE,"COBRAR";#N/A,#N/A,FALSE,"AFILIADAS";#N/A,#N/A,FALSE,"PAGAR";#N/A,#N/A,FALSE,"INSTIT. FINANCIERAS";#N/A,#N/A,FALSE,"VALORES"}</definedName>
    <definedName name="cdst" localSheetId="5" hidden="1">{#N/A,#N/A,FALSE,"ACTIVO FIJO";#N/A,#N/A,FALSE,"COBRAR";#N/A,#N/A,FALSE,"AFILIADAS";#N/A,#N/A,FALSE,"PAGAR";#N/A,#N/A,FALSE,"INSTIT. FINANCIERAS";#N/A,#N/A,FALSE,"VALORES"}</definedName>
    <definedName name="cdst" localSheetId="6" hidden="1">{#N/A,#N/A,FALSE,"ACTIVO FIJO";#N/A,#N/A,FALSE,"COBRAR";#N/A,#N/A,FALSE,"AFILIADAS";#N/A,#N/A,FALSE,"PAGAR";#N/A,#N/A,FALSE,"INSTIT. FINANCIERAS";#N/A,#N/A,FALSE,"VALORES"}</definedName>
    <definedName name="cdst" localSheetId="4" hidden="1">{#N/A,#N/A,FALSE,"ACTIVO FIJO";#N/A,#N/A,FALSE,"COBRAR";#N/A,#N/A,FALSE,"AFILIADAS";#N/A,#N/A,FALSE,"PAGAR";#N/A,#N/A,FALSE,"INSTIT. FINANCIERAS";#N/A,#N/A,FALSE,"VALORES"}</definedName>
    <definedName name="cdst" localSheetId="13" hidden="1">{#N/A,#N/A,FALSE,"ACTIVO FIJO";#N/A,#N/A,FALSE,"COBRAR";#N/A,#N/A,FALSE,"AFILIADAS";#N/A,#N/A,FALSE,"PAGAR";#N/A,#N/A,FALSE,"INSTIT. FINANCIERAS";#N/A,#N/A,FALSE,"VALORES"}</definedName>
    <definedName name="cdst" hidden="1">{#N/A,#N/A,FALSE,"ACTIVO FIJO";#N/A,#N/A,FALSE,"COBRAR";#N/A,#N/A,FALSE,"AFILIADAS";#N/A,#N/A,FALSE,"PAGAR";#N/A,#N/A,FALSE,"INSTIT. FINANCIERAS";#N/A,#N/A,FALSE,"VALORES"}</definedName>
    <definedName name="cdst_1" localSheetId="5" hidden="1">{#N/A,#N/A,FALSE,"ACTIVO FIJO";#N/A,#N/A,FALSE,"COBRAR";#N/A,#N/A,FALSE,"AFILIADAS";#N/A,#N/A,FALSE,"PAGAR";#N/A,#N/A,FALSE,"INSTIT. FINANCIERAS";#N/A,#N/A,FALSE,"VALORES"}</definedName>
    <definedName name="cdst_1" localSheetId="6" hidden="1">{#N/A,#N/A,FALSE,"ACTIVO FIJO";#N/A,#N/A,FALSE,"COBRAR";#N/A,#N/A,FALSE,"AFILIADAS";#N/A,#N/A,FALSE,"PAGAR";#N/A,#N/A,FALSE,"INSTIT. FINANCIERAS";#N/A,#N/A,FALSE,"VALORES"}</definedName>
    <definedName name="cdst_1" localSheetId="4" hidden="1">{#N/A,#N/A,FALSE,"ACTIVO FIJO";#N/A,#N/A,FALSE,"COBRAR";#N/A,#N/A,FALSE,"AFILIADAS";#N/A,#N/A,FALSE,"PAGAR";#N/A,#N/A,FALSE,"INSTIT. FINANCIERAS";#N/A,#N/A,FALSE,"VALORES"}</definedName>
    <definedName name="cdst_1" localSheetId="13" hidden="1">{#N/A,#N/A,FALSE,"ACTIVO FIJO";#N/A,#N/A,FALSE,"COBRAR";#N/A,#N/A,FALSE,"AFILIADAS";#N/A,#N/A,FALSE,"PAGAR";#N/A,#N/A,FALSE,"INSTIT. FINANCIERAS";#N/A,#N/A,FALSE,"VALORES"}</definedName>
    <definedName name="cdst_1" hidden="1">{#N/A,#N/A,FALSE,"ACTIVO FIJO";#N/A,#N/A,FALSE,"COBRAR";#N/A,#N/A,FALSE,"AFILIADAS";#N/A,#N/A,FALSE,"PAGAR";#N/A,#N/A,FALSE,"INSTIT. FINANCIERAS";#N/A,#N/A,FALSE,"VALORES"}</definedName>
    <definedName name="CFGVBNJMLK" localSheetId="5" hidden="1">{#N/A,#N/A,FALSE,"ACTIVO FIJO";#N/A,#N/A,FALSE,"COBRAR";#N/A,#N/A,FALSE,"AFILIADAS";#N/A,#N/A,FALSE,"PAGAR";#N/A,#N/A,FALSE,"INSTIT. FINANCIERAS";#N/A,#N/A,FALSE,"VALORES"}</definedName>
    <definedName name="CFGVBNJMLK" localSheetId="6" hidden="1">{#N/A,#N/A,FALSE,"ACTIVO FIJO";#N/A,#N/A,FALSE,"COBRAR";#N/A,#N/A,FALSE,"AFILIADAS";#N/A,#N/A,FALSE,"PAGAR";#N/A,#N/A,FALSE,"INSTIT. FINANCIERAS";#N/A,#N/A,FALSE,"VALORES"}</definedName>
    <definedName name="CFGVBNJMLK" localSheetId="4" hidden="1">{#N/A,#N/A,FALSE,"ACTIVO FIJO";#N/A,#N/A,FALSE,"COBRAR";#N/A,#N/A,FALSE,"AFILIADAS";#N/A,#N/A,FALSE,"PAGAR";#N/A,#N/A,FALSE,"INSTIT. FINANCIERAS";#N/A,#N/A,FALSE,"VALORES"}</definedName>
    <definedName name="CFGVBNJMLK" localSheetId="13" hidden="1">{#N/A,#N/A,FALSE,"ACTIVO FIJO";#N/A,#N/A,FALSE,"COBRAR";#N/A,#N/A,FALSE,"AFILIADAS";#N/A,#N/A,FALSE,"PAGAR";#N/A,#N/A,FALSE,"INSTIT. FINANCIERAS";#N/A,#N/A,FALSE,"VALORES"}</definedName>
    <definedName name="CFGVBNJMLK" hidden="1">{#N/A,#N/A,FALSE,"ACTIVO FIJO";#N/A,#N/A,FALSE,"COBRAR";#N/A,#N/A,FALSE,"AFILIADAS";#N/A,#N/A,FALSE,"PAGAR";#N/A,#N/A,FALSE,"INSTIT. FINANCIERAS";#N/A,#N/A,FALSE,"VALORES"}</definedName>
    <definedName name="CFGVBNJMLK_1" localSheetId="5" hidden="1">{#N/A,#N/A,FALSE,"ACTIVO FIJO";#N/A,#N/A,FALSE,"COBRAR";#N/A,#N/A,FALSE,"AFILIADAS";#N/A,#N/A,FALSE,"PAGAR";#N/A,#N/A,FALSE,"INSTIT. FINANCIERAS";#N/A,#N/A,FALSE,"VALORES"}</definedName>
    <definedName name="CFGVBNJMLK_1" localSheetId="6" hidden="1">{#N/A,#N/A,FALSE,"ACTIVO FIJO";#N/A,#N/A,FALSE,"COBRAR";#N/A,#N/A,FALSE,"AFILIADAS";#N/A,#N/A,FALSE,"PAGAR";#N/A,#N/A,FALSE,"INSTIT. FINANCIERAS";#N/A,#N/A,FALSE,"VALORES"}</definedName>
    <definedName name="CFGVBNJMLK_1" localSheetId="4" hidden="1">{#N/A,#N/A,FALSE,"ACTIVO FIJO";#N/A,#N/A,FALSE,"COBRAR";#N/A,#N/A,FALSE,"AFILIADAS";#N/A,#N/A,FALSE,"PAGAR";#N/A,#N/A,FALSE,"INSTIT. FINANCIERAS";#N/A,#N/A,FALSE,"VALORES"}</definedName>
    <definedName name="CFGVBNJMLK_1" localSheetId="13" hidden="1">{#N/A,#N/A,FALSE,"ACTIVO FIJO";#N/A,#N/A,FALSE,"COBRAR";#N/A,#N/A,FALSE,"AFILIADAS";#N/A,#N/A,FALSE,"PAGAR";#N/A,#N/A,FALSE,"INSTIT. FINANCIERAS";#N/A,#N/A,FALSE,"VALORES"}</definedName>
    <definedName name="CFGVBNJMLK_1" hidden="1">{#N/A,#N/A,FALSE,"ACTIVO FIJO";#N/A,#N/A,FALSE,"COBRAR";#N/A,#N/A,FALSE,"AFILIADAS";#N/A,#N/A,FALSE,"PAGAR";#N/A,#N/A,FALSE,"INSTIT. FINANCIERAS";#N/A,#N/A,FALSE,"VALORES"}</definedName>
    <definedName name="chancado02" hidden="1">#REF!</definedName>
    <definedName name="CIM" hidden="1">#REF!</definedName>
    <definedName name="Cist.C.I." hidden="1">#REF!</definedName>
    <definedName name="Columnetas" hidden="1">#REF!</definedName>
    <definedName name="condom12" localSheetId="5" hidden="1">{"TEXTO DEL AVALUO",#N/A,FALSE,"AVALUO";"CALCULOS Y DICTAMEN",#N/A,FALSE,"CONDOMINIO"}</definedName>
    <definedName name="condom12" localSheetId="6" hidden="1">{"TEXTO DEL AVALUO",#N/A,FALSE,"AVALUO";"CALCULOS Y DICTAMEN",#N/A,FALSE,"CONDOMINIO"}</definedName>
    <definedName name="condom12" localSheetId="4" hidden="1">{"TEXTO DEL AVALUO",#N/A,FALSE,"AVALUO";"CALCULOS Y DICTAMEN",#N/A,FALSE,"CONDOMINIO"}</definedName>
    <definedName name="condom12" localSheetId="13" hidden="1">{"TEXTO DEL AVALUO",#N/A,FALSE,"AVALUO";"CALCULOS Y DICTAMEN",#N/A,FALSE,"CONDOMINIO"}</definedName>
    <definedName name="condom12" hidden="1">{"TEXTO DEL AVALUO",#N/A,FALSE,"AVALUO";"CALCULOS Y DICTAMEN",#N/A,FALSE,"CONDOMINIO"}</definedName>
    <definedName name="Consumibles" hidden="1">#REF!</definedName>
    <definedName name="CONTRATO32" localSheetId="5" hidden="1">{#N/A,#N/A,FALSE,"DET-CAMB.";#N/A,#N/A,FALSE,"PRESUP.";#N/A,#N/A,FALSE,"RESUMEN";#N/A,#N/A,FALSE,"CT";#N/A,#N/A,FALSE,"PD";#N/A,#N/A,FALSE,"PR"}</definedName>
    <definedName name="CONTRATO32" localSheetId="6" hidden="1">{#N/A,#N/A,FALSE,"DET-CAMB.";#N/A,#N/A,FALSE,"PRESUP.";#N/A,#N/A,FALSE,"RESUMEN";#N/A,#N/A,FALSE,"CT";#N/A,#N/A,FALSE,"PD";#N/A,#N/A,FALSE,"PR"}</definedName>
    <definedName name="CONTRATO32" localSheetId="4" hidden="1">{#N/A,#N/A,FALSE,"DET-CAMB.";#N/A,#N/A,FALSE,"PRESUP.";#N/A,#N/A,FALSE,"RESUMEN";#N/A,#N/A,FALSE,"CT";#N/A,#N/A,FALSE,"PD";#N/A,#N/A,FALSE,"PR"}</definedName>
    <definedName name="CONTRATO32" localSheetId="13" hidden="1">{#N/A,#N/A,FALSE,"DET-CAMB.";#N/A,#N/A,FALSE,"PRESUP.";#N/A,#N/A,FALSE,"RESUMEN";#N/A,#N/A,FALSE,"CT";#N/A,#N/A,FALSE,"PD";#N/A,#N/A,FALSE,"PR"}</definedName>
    <definedName name="CONTRATO32" hidden="1">{#N/A,#N/A,FALSE,"DET-CAMB.";#N/A,#N/A,FALSE,"PRESUP.";#N/A,#N/A,FALSE,"RESUMEN";#N/A,#N/A,FALSE,"CT";#N/A,#N/A,FALSE,"PD";#N/A,#N/A,FALSE,"PR"}</definedName>
    <definedName name="CTS" localSheetId="5" hidden="1">{#N/A,#N/A,FALSE,"ACTIVO FIJO";#N/A,#N/A,FALSE,"COBRAR";#N/A,#N/A,FALSE,"AFILIADAS";#N/A,#N/A,FALSE,"PAGAR";#N/A,#N/A,FALSE,"INSTIT. FINANCIERAS";#N/A,#N/A,FALSE,"VALORES"}</definedName>
    <definedName name="CTS" localSheetId="6" hidden="1">{#N/A,#N/A,FALSE,"ACTIVO FIJO";#N/A,#N/A,FALSE,"COBRAR";#N/A,#N/A,FALSE,"AFILIADAS";#N/A,#N/A,FALSE,"PAGAR";#N/A,#N/A,FALSE,"INSTIT. FINANCIERAS";#N/A,#N/A,FALSE,"VALORES"}</definedName>
    <definedName name="CTS" localSheetId="4" hidden="1">{#N/A,#N/A,FALSE,"ACTIVO FIJO";#N/A,#N/A,FALSE,"COBRAR";#N/A,#N/A,FALSE,"AFILIADAS";#N/A,#N/A,FALSE,"PAGAR";#N/A,#N/A,FALSE,"INSTIT. FINANCIERAS";#N/A,#N/A,FALSE,"VALORES"}</definedName>
    <definedName name="CTS" localSheetId="13" hidden="1">{#N/A,#N/A,FALSE,"ACTIVO FIJO";#N/A,#N/A,FALSE,"COBRAR";#N/A,#N/A,FALSE,"AFILIADAS";#N/A,#N/A,FALSE,"PAGAR";#N/A,#N/A,FALSE,"INSTIT. FINANCIERAS";#N/A,#N/A,FALSE,"VALORES"}</definedName>
    <definedName name="CTS" hidden="1">{#N/A,#N/A,FALSE,"ACTIVO FIJO";#N/A,#N/A,FALSE,"COBRAR";#N/A,#N/A,FALSE,"AFILIADAS";#N/A,#N/A,FALSE,"PAGAR";#N/A,#N/A,FALSE,"INSTIT. FINANCIERAS";#N/A,#N/A,FALSE,"VALORES"}</definedName>
    <definedName name="CTS_1" localSheetId="5" hidden="1">{#N/A,#N/A,FALSE,"ACTIVO FIJO";#N/A,#N/A,FALSE,"COBRAR";#N/A,#N/A,FALSE,"AFILIADAS";#N/A,#N/A,FALSE,"PAGAR";#N/A,#N/A,FALSE,"INSTIT. FINANCIERAS";#N/A,#N/A,FALSE,"VALORES"}</definedName>
    <definedName name="CTS_1" localSheetId="6" hidden="1">{#N/A,#N/A,FALSE,"ACTIVO FIJO";#N/A,#N/A,FALSE,"COBRAR";#N/A,#N/A,FALSE,"AFILIADAS";#N/A,#N/A,FALSE,"PAGAR";#N/A,#N/A,FALSE,"INSTIT. FINANCIERAS";#N/A,#N/A,FALSE,"VALORES"}</definedName>
    <definedName name="CTS_1" localSheetId="4" hidden="1">{#N/A,#N/A,FALSE,"ACTIVO FIJO";#N/A,#N/A,FALSE,"COBRAR";#N/A,#N/A,FALSE,"AFILIADAS";#N/A,#N/A,FALSE,"PAGAR";#N/A,#N/A,FALSE,"INSTIT. FINANCIERAS";#N/A,#N/A,FALSE,"VALORES"}</definedName>
    <definedName name="CTS_1" localSheetId="13" hidden="1">{#N/A,#N/A,FALSE,"ACTIVO FIJO";#N/A,#N/A,FALSE,"COBRAR";#N/A,#N/A,FALSE,"AFILIADAS";#N/A,#N/A,FALSE,"PAGAR";#N/A,#N/A,FALSE,"INSTIT. FINANCIERAS";#N/A,#N/A,FALSE,"VALORES"}</definedName>
    <definedName name="CTS_1" hidden="1">{#N/A,#N/A,FALSE,"ACTIVO FIJO";#N/A,#N/A,FALSE,"COBRAR";#N/A,#N/A,FALSE,"AFILIADAS";#N/A,#N/A,FALSE,"PAGAR";#N/A,#N/A,FALSE,"INSTIT. FINANCIERAS";#N/A,#N/A,FALSE,"VALORES"}</definedName>
    <definedName name="cv" localSheetId="5" hidden="1">{#N/A,#N/A,TRUE,"LP-CO2X"}</definedName>
    <definedName name="cv" localSheetId="6" hidden="1">{#N/A,#N/A,TRUE,"LP-CO2X"}</definedName>
    <definedName name="cv" localSheetId="4" hidden="1">{#N/A,#N/A,TRUE,"LP-CO2X"}</definedName>
    <definedName name="cv" localSheetId="13" hidden="1">{#N/A,#N/A,TRUE,"LP-CO2X"}</definedName>
    <definedName name="cv" hidden="1">{#N/A,#N/A,TRUE,"LP-CO2X"}</definedName>
    <definedName name="CY" localSheetId="5" hidden="1">{#N/A,#N/A,TRUE,"1842CWN0"}</definedName>
    <definedName name="CY" localSheetId="6" hidden="1">{#N/A,#N/A,TRUE,"1842CWN0"}</definedName>
    <definedName name="CY" localSheetId="3" hidden="1">{#N/A,#N/A,TRUE,"1842CWN0"}</definedName>
    <definedName name="CY" localSheetId="4" hidden="1">{#N/A,#N/A,TRUE,"1842CWN0"}</definedName>
    <definedName name="CY" localSheetId="13" hidden="1">{#N/A,#N/A,TRUE,"1842CWN0"}</definedName>
    <definedName name="CY" hidden="1">{#N/A,#N/A,TRUE,"1842CWN0"}</definedName>
    <definedName name="d" hidden="1">#REF!</definedName>
    <definedName name="dddd" localSheetId="5" hidden="1">{#N/A,#N/A,FALSE,"SumD";#N/A,#N/A,FALSE,"ElecD";#N/A,#N/A,FALSE,"MechD";#N/A,#N/A,FALSE,"GeotD";#N/A,#N/A,FALSE,"PrcsD";#N/A,#N/A,FALSE,"TunnD";#N/A,#N/A,FALSE,"CivlD";#N/A,#N/A,FALSE,"NtwkD";#N/A,#N/A,FALSE,"EstgD";#N/A,#N/A,FALSE,"PEngD"}</definedName>
    <definedName name="dddd" localSheetId="6" hidden="1">{#N/A,#N/A,FALSE,"SumD";#N/A,#N/A,FALSE,"ElecD";#N/A,#N/A,FALSE,"MechD";#N/A,#N/A,FALSE,"GeotD";#N/A,#N/A,FALSE,"PrcsD";#N/A,#N/A,FALSE,"TunnD";#N/A,#N/A,FALSE,"CivlD";#N/A,#N/A,FALSE,"NtwkD";#N/A,#N/A,FALSE,"EstgD";#N/A,#N/A,FALSE,"PEngD"}</definedName>
    <definedName name="dddd" localSheetId="3" hidden="1">{#N/A,#N/A,FALSE,"SumD";#N/A,#N/A,FALSE,"ElecD";#N/A,#N/A,FALSE,"MechD";#N/A,#N/A,FALSE,"GeotD";#N/A,#N/A,FALSE,"PrcsD";#N/A,#N/A,FALSE,"TunnD";#N/A,#N/A,FALSE,"CivlD";#N/A,#N/A,FALSE,"NtwkD";#N/A,#N/A,FALSE,"EstgD";#N/A,#N/A,FALSE,"PEngD"}</definedName>
    <definedName name="dddd" localSheetId="4" hidden="1">{#N/A,#N/A,FALSE,"SumD";#N/A,#N/A,FALSE,"ElecD";#N/A,#N/A,FALSE,"MechD";#N/A,#N/A,FALSE,"GeotD";#N/A,#N/A,FALSE,"PrcsD";#N/A,#N/A,FALSE,"TunnD";#N/A,#N/A,FALSE,"CivlD";#N/A,#N/A,FALSE,"NtwkD";#N/A,#N/A,FALSE,"EstgD";#N/A,#N/A,FALSE,"PEngD"}</definedName>
    <definedName name="dddd" localSheetId="13" hidden="1">{#N/A,#N/A,FALSE,"SumD";#N/A,#N/A,FALSE,"ElecD";#N/A,#N/A,FALSE,"MechD";#N/A,#N/A,FALSE,"GeotD";#N/A,#N/A,FALSE,"PrcsD";#N/A,#N/A,FALSE,"TunnD";#N/A,#N/A,FALSE,"CivlD";#N/A,#N/A,FALSE,"NtwkD";#N/A,#N/A,FALSE,"EstgD";#N/A,#N/A,FALSE,"PEngD"}</definedName>
    <definedName name="dddd" hidden="1">{#N/A,#N/A,FALSE,"SumD";#N/A,#N/A,FALSE,"ElecD";#N/A,#N/A,FALSE,"MechD";#N/A,#N/A,FALSE,"GeotD";#N/A,#N/A,FALSE,"PrcsD";#N/A,#N/A,FALSE,"TunnD";#N/A,#N/A,FALSE,"CivlD";#N/A,#N/A,FALSE,"NtwkD";#N/A,#N/A,FALSE,"EstgD";#N/A,#N/A,FALSE,"PEngD"}</definedName>
    <definedName name="ddddd" localSheetId="5" hidden="1">{#N/A,#N/A,FALSE,"SumD";#N/A,#N/A,FALSE,"ElecD";#N/A,#N/A,FALSE,"MechD";#N/A,#N/A,FALSE,"GeotD";#N/A,#N/A,FALSE,"PrcsD";#N/A,#N/A,FALSE,"TunnD";#N/A,#N/A,FALSE,"CivlD";#N/A,#N/A,FALSE,"NtwkD";#N/A,#N/A,FALSE,"EstgD";#N/A,#N/A,FALSE,"PEngD"}</definedName>
    <definedName name="ddddd" localSheetId="6" hidden="1">{#N/A,#N/A,FALSE,"SumD";#N/A,#N/A,FALSE,"ElecD";#N/A,#N/A,FALSE,"MechD";#N/A,#N/A,FALSE,"GeotD";#N/A,#N/A,FALSE,"PrcsD";#N/A,#N/A,FALSE,"TunnD";#N/A,#N/A,FALSE,"CivlD";#N/A,#N/A,FALSE,"NtwkD";#N/A,#N/A,FALSE,"EstgD";#N/A,#N/A,FALSE,"PEngD"}</definedName>
    <definedName name="ddddd" localSheetId="3" hidden="1">{#N/A,#N/A,FALSE,"SumD";#N/A,#N/A,FALSE,"ElecD";#N/A,#N/A,FALSE,"MechD";#N/A,#N/A,FALSE,"GeotD";#N/A,#N/A,FALSE,"PrcsD";#N/A,#N/A,FALSE,"TunnD";#N/A,#N/A,FALSE,"CivlD";#N/A,#N/A,FALSE,"NtwkD";#N/A,#N/A,FALSE,"EstgD";#N/A,#N/A,FALSE,"PEngD"}</definedName>
    <definedName name="ddddd" localSheetId="4" hidden="1">{#N/A,#N/A,FALSE,"SumD";#N/A,#N/A,FALSE,"ElecD";#N/A,#N/A,FALSE,"MechD";#N/A,#N/A,FALSE,"GeotD";#N/A,#N/A,FALSE,"PrcsD";#N/A,#N/A,FALSE,"TunnD";#N/A,#N/A,FALSE,"CivlD";#N/A,#N/A,FALSE,"NtwkD";#N/A,#N/A,FALSE,"EstgD";#N/A,#N/A,FALSE,"PEngD"}</definedName>
    <definedName name="ddddd" localSheetId="13" hidden="1">{#N/A,#N/A,FALSE,"SumD";#N/A,#N/A,FALSE,"ElecD";#N/A,#N/A,FALSE,"MechD";#N/A,#N/A,FALSE,"GeotD";#N/A,#N/A,FALSE,"PrcsD";#N/A,#N/A,FALSE,"TunnD";#N/A,#N/A,FALSE,"CivlD";#N/A,#N/A,FALSE,"NtwkD";#N/A,#N/A,FALSE,"EstgD";#N/A,#N/A,FALSE,"PEngD"}</definedName>
    <definedName name="ddddd" hidden="1">{#N/A,#N/A,FALSE,"SumD";#N/A,#N/A,FALSE,"ElecD";#N/A,#N/A,FALSE,"MechD";#N/A,#N/A,FALSE,"GeotD";#N/A,#N/A,FALSE,"PrcsD";#N/A,#N/A,FALSE,"TunnD";#N/A,#N/A,FALSE,"CivlD";#N/A,#N/A,FALSE,"NtwkD";#N/A,#N/A,FALSE,"EstgD";#N/A,#N/A,FALSE,"PEngD"}</definedName>
    <definedName name="DDDDDDDDDDDDDD" localSheetId="5" hidden="1">{"TEXTO DEL AVALUO",#N/A,TRUE,"AVALUO";"CALCULOS Y DICTAMEN",#N/A,TRUE,"CONDOMINIO"}</definedName>
    <definedName name="DDDDDDDDDDDDDD" localSheetId="6" hidden="1">{"TEXTO DEL AVALUO",#N/A,TRUE,"AVALUO";"CALCULOS Y DICTAMEN",#N/A,TRUE,"CONDOMINIO"}</definedName>
    <definedName name="DDDDDDDDDDDDDD" localSheetId="4" hidden="1">{"TEXTO DEL AVALUO",#N/A,TRUE,"AVALUO";"CALCULOS Y DICTAMEN",#N/A,TRUE,"CONDOMINIO"}</definedName>
    <definedName name="DDDDDDDDDDDDDD" localSheetId="13" hidden="1">{"TEXTO DEL AVALUO",#N/A,TRUE,"AVALUO";"CALCULOS Y DICTAMEN",#N/A,TRUE,"CONDOMINIO"}</definedName>
    <definedName name="DDDDDDDDDDDDDD" hidden="1">{"TEXTO DEL AVALUO",#N/A,TRUE,"AVALUO";"CALCULOS Y DICTAMEN",#N/A,TRUE,"CONDOMINIO"}</definedName>
    <definedName name="ddffggs" localSheetId="5" hidden="1">{#N/A,#N/A,FALSE,"SumD";#N/A,#N/A,FALSE,"ElecD";#N/A,#N/A,FALSE,"MechD";#N/A,#N/A,FALSE,"GeotD";#N/A,#N/A,FALSE,"PrcsD";#N/A,#N/A,FALSE,"TunnD";#N/A,#N/A,FALSE,"CivlD";#N/A,#N/A,FALSE,"NtwkD";#N/A,#N/A,FALSE,"EstgD";#N/A,#N/A,FALSE,"PEngD"}</definedName>
    <definedName name="ddffggs" localSheetId="6" hidden="1">{#N/A,#N/A,FALSE,"SumD";#N/A,#N/A,FALSE,"ElecD";#N/A,#N/A,FALSE,"MechD";#N/A,#N/A,FALSE,"GeotD";#N/A,#N/A,FALSE,"PrcsD";#N/A,#N/A,FALSE,"TunnD";#N/A,#N/A,FALSE,"CivlD";#N/A,#N/A,FALSE,"NtwkD";#N/A,#N/A,FALSE,"EstgD";#N/A,#N/A,FALSE,"PEngD"}</definedName>
    <definedName name="ddffggs" localSheetId="3" hidden="1">{#N/A,#N/A,FALSE,"SumD";#N/A,#N/A,FALSE,"ElecD";#N/A,#N/A,FALSE,"MechD";#N/A,#N/A,FALSE,"GeotD";#N/A,#N/A,FALSE,"PrcsD";#N/A,#N/A,FALSE,"TunnD";#N/A,#N/A,FALSE,"CivlD";#N/A,#N/A,FALSE,"NtwkD";#N/A,#N/A,FALSE,"EstgD";#N/A,#N/A,FALSE,"PEngD"}</definedName>
    <definedName name="ddffggs" localSheetId="4" hidden="1">{#N/A,#N/A,FALSE,"SumD";#N/A,#N/A,FALSE,"ElecD";#N/A,#N/A,FALSE,"MechD";#N/A,#N/A,FALSE,"GeotD";#N/A,#N/A,FALSE,"PrcsD";#N/A,#N/A,FALSE,"TunnD";#N/A,#N/A,FALSE,"CivlD";#N/A,#N/A,FALSE,"NtwkD";#N/A,#N/A,FALSE,"EstgD";#N/A,#N/A,FALSE,"PEngD"}</definedName>
    <definedName name="ddffggs" localSheetId="13" hidden="1">{#N/A,#N/A,FALSE,"SumD";#N/A,#N/A,FALSE,"ElecD";#N/A,#N/A,FALSE,"MechD";#N/A,#N/A,FALSE,"GeotD";#N/A,#N/A,FALSE,"PrcsD";#N/A,#N/A,FALSE,"TunnD";#N/A,#N/A,FALSE,"CivlD";#N/A,#N/A,FALSE,"NtwkD";#N/A,#N/A,FALSE,"EstgD";#N/A,#N/A,FALSE,"PEngD"}</definedName>
    <definedName name="ddffggs" hidden="1">{#N/A,#N/A,FALSE,"SumD";#N/A,#N/A,FALSE,"ElecD";#N/A,#N/A,FALSE,"MechD";#N/A,#N/A,FALSE,"GeotD";#N/A,#N/A,FALSE,"PrcsD";#N/A,#N/A,FALSE,"TunnD";#N/A,#N/A,FALSE,"CivlD";#N/A,#N/A,FALSE,"NtwkD";#N/A,#N/A,FALSE,"EstgD";#N/A,#N/A,FALSE,"PEngD"}</definedName>
    <definedName name="df" hidden="1">#REF!</definedName>
    <definedName name="dfff" localSheetId="5" hidden="1">{#N/A,#N/A,FALSE,"SumD";#N/A,#N/A,FALSE,"ElecD";#N/A,#N/A,FALSE,"MechD";#N/A,#N/A,FALSE,"GeotD";#N/A,#N/A,FALSE,"PrcsD";#N/A,#N/A,FALSE,"TunnD";#N/A,#N/A,FALSE,"CivlD";#N/A,#N/A,FALSE,"NtwkD";#N/A,#N/A,FALSE,"EstgD";#N/A,#N/A,FALSE,"PEngD"}</definedName>
    <definedName name="dfff" localSheetId="6" hidden="1">{#N/A,#N/A,FALSE,"SumD";#N/A,#N/A,FALSE,"ElecD";#N/A,#N/A,FALSE,"MechD";#N/A,#N/A,FALSE,"GeotD";#N/A,#N/A,FALSE,"PrcsD";#N/A,#N/A,FALSE,"TunnD";#N/A,#N/A,FALSE,"CivlD";#N/A,#N/A,FALSE,"NtwkD";#N/A,#N/A,FALSE,"EstgD";#N/A,#N/A,FALSE,"PEngD"}</definedName>
    <definedName name="dfff" localSheetId="4"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5" hidden="1">{#N/A,#N/A,FALSE,"SumG";#N/A,#N/A,FALSE,"ElecG";#N/A,#N/A,FALSE,"MechG";#N/A,#N/A,FALSE,"GeotG";#N/A,#N/A,FALSE,"PrcsG";#N/A,#N/A,FALSE,"TunnG";#N/A,#N/A,FALSE,"CivlG";#N/A,#N/A,FALSE,"NtwkG";#N/A,#N/A,FALSE,"EstgG";#N/A,#N/A,FALSE,"PEngG"}</definedName>
    <definedName name="dfffff" localSheetId="6" hidden="1">{#N/A,#N/A,FALSE,"SumG";#N/A,#N/A,FALSE,"ElecG";#N/A,#N/A,FALSE,"MechG";#N/A,#N/A,FALSE,"GeotG";#N/A,#N/A,FALSE,"PrcsG";#N/A,#N/A,FALSE,"TunnG";#N/A,#N/A,FALSE,"CivlG";#N/A,#N/A,FALSE,"NtwkG";#N/A,#N/A,FALSE,"EstgG";#N/A,#N/A,FALSE,"PEngG"}</definedName>
    <definedName name="dfffff" localSheetId="3" hidden="1">{#N/A,#N/A,FALSE,"SumG";#N/A,#N/A,FALSE,"ElecG";#N/A,#N/A,FALSE,"MechG";#N/A,#N/A,FALSE,"GeotG";#N/A,#N/A,FALSE,"PrcsG";#N/A,#N/A,FALSE,"TunnG";#N/A,#N/A,FALSE,"CivlG";#N/A,#N/A,FALSE,"NtwkG";#N/A,#N/A,FALSE,"EstgG";#N/A,#N/A,FALSE,"PEngG"}</definedName>
    <definedName name="dfffff" localSheetId="4"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gfd" localSheetId="5" hidden="1">{#N/A,#N/A,FALSE,"SumG";#N/A,#N/A,FALSE,"ElecG";#N/A,#N/A,FALSE,"MechG";#N/A,#N/A,FALSE,"GeotG";#N/A,#N/A,FALSE,"PrcsG";#N/A,#N/A,FALSE,"TunnG";#N/A,#N/A,FALSE,"CivlG";#N/A,#N/A,FALSE,"NtwkG";#N/A,#N/A,FALSE,"EstgG";#N/A,#N/A,FALSE,"PEngG"}</definedName>
    <definedName name="dgfd" localSheetId="6" hidden="1">{#N/A,#N/A,FALSE,"SumG";#N/A,#N/A,FALSE,"ElecG";#N/A,#N/A,FALSE,"MechG";#N/A,#N/A,FALSE,"GeotG";#N/A,#N/A,FALSE,"PrcsG";#N/A,#N/A,FALSE,"TunnG";#N/A,#N/A,FALSE,"CivlG";#N/A,#N/A,FALSE,"NtwkG";#N/A,#N/A,FALSE,"EstgG";#N/A,#N/A,FALSE,"PEngG"}</definedName>
    <definedName name="dgfd" localSheetId="3" hidden="1">{#N/A,#N/A,FALSE,"SumG";#N/A,#N/A,FALSE,"ElecG";#N/A,#N/A,FALSE,"MechG";#N/A,#N/A,FALSE,"GeotG";#N/A,#N/A,FALSE,"PrcsG";#N/A,#N/A,FALSE,"TunnG";#N/A,#N/A,FALSE,"CivlG";#N/A,#N/A,FALSE,"NtwkG";#N/A,#N/A,FALSE,"EstgG";#N/A,#N/A,FALSE,"PEngG"}</definedName>
    <definedName name="dgfd" localSheetId="4"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qweqwe" hidden="1">#REF!</definedName>
    <definedName name="DSAF" hidden="1">#REF!</definedName>
    <definedName name="dsfd" hidden="1">#REF!</definedName>
    <definedName name="DTGJUE" localSheetId="5" hidden="1">{#N/A,#N/A,FALSE,"ACTIVO FIJO";#N/A,#N/A,FALSE,"COBRAR";#N/A,#N/A,FALSE,"AFILIADAS";#N/A,#N/A,FALSE,"PAGAR";#N/A,#N/A,FALSE,"INSTIT. FINANCIERAS";#N/A,#N/A,FALSE,"VALORES"}</definedName>
    <definedName name="DTGJUE" localSheetId="6" hidden="1">{#N/A,#N/A,FALSE,"ACTIVO FIJO";#N/A,#N/A,FALSE,"COBRAR";#N/A,#N/A,FALSE,"AFILIADAS";#N/A,#N/A,FALSE,"PAGAR";#N/A,#N/A,FALSE,"INSTIT. FINANCIERAS";#N/A,#N/A,FALSE,"VALORES"}</definedName>
    <definedName name="DTGJUE" localSheetId="4" hidden="1">{#N/A,#N/A,FALSE,"ACTIVO FIJO";#N/A,#N/A,FALSE,"COBRAR";#N/A,#N/A,FALSE,"AFILIADAS";#N/A,#N/A,FALSE,"PAGAR";#N/A,#N/A,FALSE,"INSTIT. FINANCIERAS";#N/A,#N/A,FALSE,"VALORES"}</definedName>
    <definedName name="DTGJUE" localSheetId="13" hidden="1">{#N/A,#N/A,FALSE,"ACTIVO FIJO";#N/A,#N/A,FALSE,"COBRAR";#N/A,#N/A,FALSE,"AFILIADAS";#N/A,#N/A,FALSE,"PAGAR";#N/A,#N/A,FALSE,"INSTIT. FINANCIERAS";#N/A,#N/A,FALSE,"VALORES"}</definedName>
    <definedName name="DTGJUE" hidden="1">{#N/A,#N/A,FALSE,"ACTIVO FIJO";#N/A,#N/A,FALSE,"COBRAR";#N/A,#N/A,FALSE,"AFILIADAS";#N/A,#N/A,FALSE,"PAGAR";#N/A,#N/A,FALSE,"INSTIT. FINANCIERAS";#N/A,#N/A,FALSE,"VALORES"}</definedName>
    <definedName name="DTGJUE_1" localSheetId="5" hidden="1">{#N/A,#N/A,FALSE,"ACTIVO FIJO";#N/A,#N/A,FALSE,"COBRAR";#N/A,#N/A,FALSE,"AFILIADAS";#N/A,#N/A,FALSE,"PAGAR";#N/A,#N/A,FALSE,"INSTIT. FINANCIERAS";#N/A,#N/A,FALSE,"VALORES"}</definedName>
    <definedName name="DTGJUE_1" localSheetId="6" hidden="1">{#N/A,#N/A,FALSE,"ACTIVO FIJO";#N/A,#N/A,FALSE,"COBRAR";#N/A,#N/A,FALSE,"AFILIADAS";#N/A,#N/A,FALSE,"PAGAR";#N/A,#N/A,FALSE,"INSTIT. FINANCIERAS";#N/A,#N/A,FALSE,"VALORES"}</definedName>
    <definedName name="DTGJUE_1" localSheetId="4" hidden="1">{#N/A,#N/A,FALSE,"ACTIVO FIJO";#N/A,#N/A,FALSE,"COBRAR";#N/A,#N/A,FALSE,"AFILIADAS";#N/A,#N/A,FALSE,"PAGAR";#N/A,#N/A,FALSE,"INSTIT. FINANCIERAS";#N/A,#N/A,FALSE,"VALORES"}</definedName>
    <definedName name="DTGJUE_1" localSheetId="13" hidden="1">{#N/A,#N/A,FALSE,"ACTIVO FIJO";#N/A,#N/A,FALSE,"COBRAR";#N/A,#N/A,FALSE,"AFILIADAS";#N/A,#N/A,FALSE,"PAGAR";#N/A,#N/A,FALSE,"INSTIT. FINANCIERAS";#N/A,#N/A,FALSE,"VALORES"}</definedName>
    <definedName name="DTGJUE_1" hidden="1">{#N/A,#N/A,FALSE,"ACTIVO FIJO";#N/A,#N/A,FALSE,"COBRAR";#N/A,#N/A,FALSE,"AFILIADAS";#N/A,#N/A,FALSE,"PAGAR";#N/A,#N/A,FALSE,"INSTIT. FINANCIERAS";#N/A,#N/A,FALSE,"VALORES"}</definedName>
    <definedName name="dvbgf" localSheetId="5" hidden="1">{#N/A,#N/A,FALSE,"SumD";#N/A,#N/A,FALSE,"ElecD";#N/A,#N/A,FALSE,"MechD";#N/A,#N/A,FALSE,"GeotD";#N/A,#N/A,FALSE,"PrcsD";#N/A,#N/A,FALSE,"TunnD";#N/A,#N/A,FALSE,"CivlD";#N/A,#N/A,FALSE,"NtwkD";#N/A,#N/A,FALSE,"EstgD";#N/A,#N/A,FALSE,"PEngD"}</definedName>
    <definedName name="dvbgf" localSheetId="6" hidden="1">{#N/A,#N/A,FALSE,"SumD";#N/A,#N/A,FALSE,"ElecD";#N/A,#N/A,FALSE,"MechD";#N/A,#N/A,FALSE,"GeotD";#N/A,#N/A,FALSE,"PrcsD";#N/A,#N/A,FALSE,"TunnD";#N/A,#N/A,FALSE,"CivlD";#N/A,#N/A,FALSE,"NtwkD";#N/A,#N/A,FALSE,"EstgD";#N/A,#N/A,FALSE,"PEngD"}</definedName>
    <definedName name="dvbgf" localSheetId="3" hidden="1">{#N/A,#N/A,FALSE,"SumD";#N/A,#N/A,FALSE,"ElecD";#N/A,#N/A,FALSE,"MechD";#N/A,#N/A,FALSE,"GeotD";#N/A,#N/A,FALSE,"PrcsD";#N/A,#N/A,FALSE,"TunnD";#N/A,#N/A,FALSE,"CivlD";#N/A,#N/A,FALSE,"NtwkD";#N/A,#N/A,FALSE,"EstgD";#N/A,#N/A,FALSE,"PEngD"}</definedName>
    <definedName name="dvbgf" localSheetId="4"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XCVHD" localSheetId="5" hidden="1">{"CONCABL1.1",#N/A,FALSE,"1.1.1a1.1.3 ACSR";"AISL1.2",#N/A,FALSE,"1.1.1a1.1.3 ACSR";"torr1.1.3",#N/A,FALSE,"1.1.1a1.1.3 ACSR";"cm1.2",#N/A,FALSE,"1.2 ACSR";"cm2.2",#N/A,FALSE,"1.2 ACSR";#N/A,#N/A,FALSE,"1.3 ACSR";#N/A,#N/A,FALSE,"2.1.1A2.1.3 ACAR";"ac2.1",#N/A,FALSE,"1.2 ACAR";"ac2.2",#N/A,FALSE,"1.2 ACAR";#N/A,#N/A,FALSE,"2.3 ACAR"}</definedName>
    <definedName name="DXCVHD" localSheetId="6" hidden="1">{"CONCABL1.1",#N/A,FALSE,"1.1.1a1.1.3 ACSR";"AISL1.2",#N/A,FALSE,"1.1.1a1.1.3 ACSR";"torr1.1.3",#N/A,FALSE,"1.1.1a1.1.3 ACSR";"cm1.2",#N/A,FALSE,"1.2 ACSR";"cm2.2",#N/A,FALSE,"1.2 ACSR";#N/A,#N/A,FALSE,"1.3 ACSR";#N/A,#N/A,FALSE,"2.1.1A2.1.3 ACAR";"ac2.1",#N/A,FALSE,"1.2 ACAR";"ac2.2",#N/A,FALSE,"1.2 ACAR";#N/A,#N/A,FALSE,"2.3 ACAR"}</definedName>
    <definedName name="DXCVHD" localSheetId="4" hidden="1">{"CONCABL1.1",#N/A,FALSE,"1.1.1a1.1.3 ACSR";"AISL1.2",#N/A,FALSE,"1.1.1a1.1.3 ACSR";"torr1.1.3",#N/A,FALSE,"1.1.1a1.1.3 ACSR";"cm1.2",#N/A,FALSE,"1.2 ACSR";"cm2.2",#N/A,FALSE,"1.2 ACSR";#N/A,#N/A,FALSE,"1.3 ACSR";#N/A,#N/A,FALSE,"2.1.1A2.1.3 ACAR";"ac2.1",#N/A,FALSE,"1.2 ACAR";"ac2.2",#N/A,FALSE,"1.2 ACAR";#N/A,#N/A,FALSE,"2.3 ACAR"}</definedName>
    <definedName name="DXCVHD" localSheetId="13" hidden="1">{"CONCABL1.1",#N/A,FALSE,"1.1.1a1.1.3 ACSR";"AISL1.2",#N/A,FALSE,"1.1.1a1.1.3 ACSR";"torr1.1.3",#N/A,FALSE,"1.1.1a1.1.3 ACSR";"cm1.2",#N/A,FALSE,"1.2 ACSR";"cm2.2",#N/A,FALSE,"1.2 ACSR";#N/A,#N/A,FALSE,"1.3 ACSR";#N/A,#N/A,FALSE,"2.1.1A2.1.3 ACAR";"ac2.1",#N/A,FALSE,"1.2 ACAR";"ac2.2",#N/A,FALSE,"1.2 ACAR";#N/A,#N/A,FALSE,"2.3 ACAR"}</definedName>
    <definedName name="DXCVHD" hidden="1">{"CONCABL1.1",#N/A,FALSE,"1.1.1a1.1.3 ACSR";"AISL1.2",#N/A,FALSE,"1.1.1a1.1.3 ACSR";"torr1.1.3",#N/A,FALSE,"1.1.1a1.1.3 ACSR";"cm1.2",#N/A,FALSE,"1.2 ACSR";"cm2.2",#N/A,FALSE,"1.2 ACSR";#N/A,#N/A,FALSE,"1.3 ACSR";#N/A,#N/A,FALSE,"2.1.1A2.1.3 ACAR";"ac2.1",#N/A,FALSE,"1.2 ACAR";"ac2.2",#N/A,FALSE,"1.2 ACAR";#N/A,#N/A,FALSE,"2.3 ACAR"}</definedName>
    <definedName name="E" hidden="1">#REF!</definedName>
    <definedName name="ED" hidden="1">#REF!</definedName>
    <definedName name="edds" localSheetId="5" hidden="1">{#N/A,#N/A,FALSE,"SumD";#N/A,#N/A,FALSE,"ElecD";#N/A,#N/A,FALSE,"MechD";#N/A,#N/A,FALSE,"GeotD";#N/A,#N/A,FALSE,"PrcsD";#N/A,#N/A,FALSE,"TunnD";#N/A,#N/A,FALSE,"CivlD";#N/A,#N/A,FALSE,"NtwkD";#N/A,#N/A,FALSE,"EstgD";#N/A,#N/A,FALSE,"PEngD"}</definedName>
    <definedName name="edds" localSheetId="6" hidden="1">{#N/A,#N/A,FALSE,"SumD";#N/A,#N/A,FALSE,"ElecD";#N/A,#N/A,FALSE,"MechD";#N/A,#N/A,FALSE,"GeotD";#N/A,#N/A,FALSE,"PrcsD";#N/A,#N/A,FALSE,"TunnD";#N/A,#N/A,FALSE,"CivlD";#N/A,#N/A,FALSE,"NtwkD";#N/A,#N/A,FALSE,"EstgD";#N/A,#N/A,FALSE,"PEngD"}</definedName>
    <definedName name="edds" localSheetId="3" hidden="1">{#N/A,#N/A,FALSE,"SumD";#N/A,#N/A,FALSE,"ElecD";#N/A,#N/A,FALSE,"MechD";#N/A,#N/A,FALSE,"GeotD";#N/A,#N/A,FALSE,"PrcsD";#N/A,#N/A,FALSE,"TunnD";#N/A,#N/A,FALSE,"CivlD";#N/A,#N/A,FALSE,"NtwkD";#N/A,#N/A,FALSE,"EstgD";#N/A,#N/A,FALSE,"PEngD"}</definedName>
    <definedName name="edds" localSheetId="4" hidden="1">{#N/A,#N/A,FALSE,"SumD";#N/A,#N/A,FALSE,"ElecD";#N/A,#N/A,FALSE,"MechD";#N/A,#N/A,FALSE,"GeotD";#N/A,#N/A,FALSE,"PrcsD";#N/A,#N/A,FALSE,"TunnD";#N/A,#N/A,FALSE,"CivlD";#N/A,#N/A,FALSE,"NtwkD";#N/A,#N/A,FALSE,"EstgD";#N/A,#N/A,FALSE,"PEngD"}</definedName>
    <definedName name="edds" localSheetId="13" hidden="1">{#N/A,#N/A,FALSE,"SumD";#N/A,#N/A,FALSE,"ElecD";#N/A,#N/A,FALSE,"MechD";#N/A,#N/A,FALSE,"GeotD";#N/A,#N/A,FALSE,"PrcsD";#N/A,#N/A,FALSE,"TunnD";#N/A,#N/A,FALSE,"CivlD";#N/A,#N/A,FALSE,"NtwkD";#N/A,#N/A,FALSE,"EstgD";#N/A,#N/A,FALSE,"PEngD"}</definedName>
    <definedName name="edds" hidden="1">{#N/A,#N/A,FALSE,"SumD";#N/A,#N/A,FALSE,"ElecD";#N/A,#N/A,FALSE,"MechD";#N/A,#N/A,FALSE,"GeotD";#N/A,#N/A,FALSE,"PrcsD";#N/A,#N/A,FALSE,"TunnD";#N/A,#N/A,FALSE,"CivlD";#N/A,#N/A,FALSE,"NtwkD";#N/A,#N/A,FALSE,"EstgD";#N/A,#N/A,FALSE,"PEngD"}</definedName>
    <definedName name="edfr" localSheetId="5" hidden="1">{#N/A,#N/A,FALSE,"SumG";#N/A,#N/A,FALSE,"ElecG";#N/A,#N/A,FALSE,"MechG";#N/A,#N/A,FALSE,"GeotG";#N/A,#N/A,FALSE,"PrcsG";#N/A,#N/A,FALSE,"TunnG";#N/A,#N/A,FALSE,"CivlG";#N/A,#N/A,FALSE,"NtwkG";#N/A,#N/A,FALSE,"EstgG";#N/A,#N/A,FALSE,"PEngG"}</definedName>
    <definedName name="edfr" localSheetId="6" hidden="1">{#N/A,#N/A,FALSE,"SumG";#N/A,#N/A,FALSE,"ElecG";#N/A,#N/A,FALSE,"MechG";#N/A,#N/A,FALSE,"GeotG";#N/A,#N/A,FALSE,"PrcsG";#N/A,#N/A,FALSE,"TunnG";#N/A,#N/A,FALSE,"CivlG";#N/A,#N/A,FALSE,"NtwkG";#N/A,#N/A,FALSE,"EstgG";#N/A,#N/A,FALSE,"PEngG"}</definedName>
    <definedName name="edfr" localSheetId="3" hidden="1">{#N/A,#N/A,FALSE,"SumG";#N/A,#N/A,FALSE,"ElecG";#N/A,#N/A,FALSE,"MechG";#N/A,#N/A,FALSE,"GeotG";#N/A,#N/A,FALSE,"PrcsG";#N/A,#N/A,FALSE,"TunnG";#N/A,#N/A,FALSE,"CivlG";#N/A,#N/A,FALSE,"NtwkG";#N/A,#N/A,FALSE,"EstgG";#N/A,#N/A,FALSE,"PEngG"}</definedName>
    <definedName name="edfr" localSheetId="4" hidden="1">{#N/A,#N/A,FALSE,"SumG";#N/A,#N/A,FALSE,"ElecG";#N/A,#N/A,FALSE,"MechG";#N/A,#N/A,FALSE,"GeotG";#N/A,#N/A,FALSE,"PrcsG";#N/A,#N/A,FALSE,"TunnG";#N/A,#N/A,FALSE,"CivlG";#N/A,#N/A,FALSE,"NtwkG";#N/A,#N/A,FALSE,"EstgG";#N/A,#N/A,FALSE,"PEngG"}</definedName>
    <definedName name="edfr" localSheetId="13" hidden="1">{#N/A,#N/A,FALSE,"SumG";#N/A,#N/A,FALSE,"ElecG";#N/A,#N/A,FALSE,"MechG";#N/A,#N/A,FALSE,"GeotG";#N/A,#N/A,FALSE,"PrcsG";#N/A,#N/A,FALSE,"TunnG";#N/A,#N/A,FALSE,"CivlG";#N/A,#N/A,FALSE,"NtwkG";#N/A,#N/A,FALSE,"EstgG";#N/A,#N/A,FALSE,"PEngG"}</definedName>
    <definedName name="edfr" hidden="1">{#N/A,#N/A,FALSE,"SumG";#N/A,#N/A,FALSE,"ElecG";#N/A,#N/A,FALSE,"MechG";#N/A,#N/A,FALSE,"GeotG";#N/A,#N/A,FALSE,"PrcsG";#N/A,#N/A,FALSE,"TunnG";#N/A,#N/A,FALSE,"CivlG";#N/A,#N/A,FALSE,"NtwkG";#N/A,#N/A,FALSE,"EstgG";#N/A,#N/A,FALSE,"PEngG"}</definedName>
    <definedName name="edfrt" localSheetId="5" hidden="1">{#N/A,#N/A,FALSE,"SumG";#N/A,#N/A,FALSE,"ElecG";#N/A,#N/A,FALSE,"MechG";#N/A,#N/A,FALSE,"GeotG";#N/A,#N/A,FALSE,"PrcsG";#N/A,#N/A,FALSE,"TunnG";#N/A,#N/A,FALSE,"CivlG";#N/A,#N/A,FALSE,"NtwkG";#N/A,#N/A,FALSE,"EstgG";#N/A,#N/A,FALSE,"PEngG"}</definedName>
    <definedName name="edfrt" localSheetId="6" hidden="1">{#N/A,#N/A,FALSE,"SumG";#N/A,#N/A,FALSE,"ElecG";#N/A,#N/A,FALSE,"MechG";#N/A,#N/A,FALSE,"GeotG";#N/A,#N/A,FALSE,"PrcsG";#N/A,#N/A,FALSE,"TunnG";#N/A,#N/A,FALSE,"CivlG";#N/A,#N/A,FALSE,"NtwkG";#N/A,#N/A,FALSE,"EstgG";#N/A,#N/A,FALSE,"PEngG"}</definedName>
    <definedName name="edfrt" localSheetId="3" hidden="1">{#N/A,#N/A,FALSE,"SumG";#N/A,#N/A,FALSE,"ElecG";#N/A,#N/A,FALSE,"MechG";#N/A,#N/A,FALSE,"GeotG";#N/A,#N/A,FALSE,"PrcsG";#N/A,#N/A,FALSE,"TunnG";#N/A,#N/A,FALSE,"CivlG";#N/A,#N/A,FALSE,"NtwkG";#N/A,#N/A,FALSE,"EstgG";#N/A,#N/A,FALSE,"PEngG"}</definedName>
    <definedName name="edfrt" localSheetId="4" hidden="1">{#N/A,#N/A,FALSE,"SumG";#N/A,#N/A,FALSE,"ElecG";#N/A,#N/A,FALSE,"MechG";#N/A,#N/A,FALSE,"GeotG";#N/A,#N/A,FALSE,"PrcsG";#N/A,#N/A,FALSE,"TunnG";#N/A,#N/A,FALSE,"CivlG";#N/A,#N/A,FALSE,"NtwkG";#N/A,#N/A,FALSE,"EstgG";#N/A,#N/A,FALSE,"PEngG"}</definedName>
    <definedName name="edfrt" localSheetId="13" hidden="1">{#N/A,#N/A,FALSE,"SumG";#N/A,#N/A,FALSE,"ElecG";#N/A,#N/A,FALSE,"MechG";#N/A,#N/A,FALSE,"GeotG";#N/A,#N/A,FALSE,"PrcsG";#N/A,#N/A,FALSE,"TunnG";#N/A,#N/A,FALSE,"CivlG";#N/A,#N/A,FALSE,"NtwkG";#N/A,#N/A,FALSE,"EstgG";#N/A,#N/A,FALSE,"PEngG"}</definedName>
    <definedName name="edfrt" hidden="1">{#N/A,#N/A,FALSE,"SumG";#N/A,#N/A,FALSE,"ElecG";#N/A,#N/A,FALSE,"MechG";#N/A,#N/A,FALSE,"GeotG";#N/A,#N/A,FALSE,"PrcsG";#N/A,#N/A,FALSE,"TunnG";#N/A,#N/A,FALSE,"CivlG";#N/A,#N/A,FALSE,"NtwkG";#N/A,#N/A,FALSE,"EstgG";#N/A,#N/A,FALSE,"PEngG"}</definedName>
    <definedName name="ee" localSheetId="5" hidden="1">{#N/A,#N/A,FALSE,"SumG";#N/A,#N/A,FALSE,"ElecG";#N/A,#N/A,FALSE,"MechG";#N/A,#N/A,FALSE,"GeotG";#N/A,#N/A,FALSE,"PrcsG";#N/A,#N/A,FALSE,"TunnG";#N/A,#N/A,FALSE,"CivlG";#N/A,#N/A,FALSE,"NtwkG";#N/A,#N/A,FALSE,"EstgG";#N/A,#N/A,FALSE,"PEngG"}</definedName>
    <definedName name="ee" localSheetId="6" hidden="1">{#N/A,#N/A,FALSE,"SumG";#N/A,#N/A,FALSE,"ElecG";#N/A,#N/A,FALSE,"MechG";#N/A,#N/A,FALSE,"GeotG";#N/A,#N/A,FALSE,"PrcsG";#N/A,#N/A,FALSE,"TunnG";#N/A,#N/A,FALSE,"CivlG";#N/A,#N/A,FALSE,"NtwkG";#N/A,#N/A,FALSE,"EstgG";#N/A,#N/A,FALSE,"PEngG"}</definedName>
    <definedName name="ee" localSheetId="3" hidden="1">{#N/A,#N/A,FALSE,"SumG";#N/A,#N/A,FALSE,"ElecG";#N/A,#N/A,FALSE,"MechG";#N/A,#N/A,FALSE,"GeotG";#N/A,#N/A,FALSE,"PrcsG";#N/A,#N/A,FALSE,"TunnG";#N/A,#N/A,FALSE,"CivlG";#N/A,#N/A,FALSE,"NtwkG";#N/A,#N/A,FALSE,"EstgG";#N/A,#N/A,FALSE,"PEngG"}</definedName>
    <definedName name="ee" localSheetId="4" hidden="1">{#N/A,#N/A,FALSE,"SumG";#N/A,#N/A,FALSE,"ElecG";#N/A,#N/A,FALSE,"MechG";#N/A,#N/A,FALSE,"GeotG";#N/A,#N/A,FALSE,"PrcsG";#N/A,#N/A,FALSE,"TunnG";#N/A,#N/A,FALSE,"CivlG";#N/A,#N/A,FALSE,"NtwkG";#N/A,#N/A,FALSE,"EstgG";#N/A,#N/A,FALSE,"PEngG"}</definedName>
    <definedName name="ee" localSheetId="13" hidden="1">{#N/A,#N/A,FALSE,"SumG";#N/A,#N/A,FALSE,"ElecG";#N/A,#N/A,FALSE,"MechG";#N/A,#N/A,FALSE,"GeotG";#N/A,#N/A,FALSE,"PrcsG";#N/A,#N/A,FALSE,"TunnG";#N/A,#N/A,FALSE,"CivlG";#N/A,#N/A,FALSE,"NtwkG";#N/A,#N/A,FALSE,"EstgG";#N/A,#N/A,FALSE,"PEngG"}</definedName>
    <definedName name="ee" hidden="1">{#N/A,#N/A,FALSE,"SumG";#N/A,#N/A,FALSE,"ElecG";#N/A,#N/A,FALSE,"MechG";#N/A,#N/A,FALSE,"GeotG";#N/A,#N/A,FALSE,"PrcsG";#N/A,#N/A,FALSE,"TunnG";#N/A,#N/A,FALSE,"CivlG";#N/A,#N/A,FALSE,"NtwkG";#N/A,#N/A,FALSE,"EstgG";#N/A,#N/A,FALSE,"PEngG"}</definedName>
    <definedName name="eedd" localSheetId="5" hidden="1">{#N/A,#N/A,FALSE,"SumG";#N/A,#N/A,FALSE,"ElecG";#N/A,#N/A,FALSE,"MechG";#N/A,#N/A,FALSE,"GeotG";#N/A,#N/A,FALSE,"PrcsG";#N/A,#N/A,FALSE,"TunnG";#N/A,#N/A,FALSE,"CivlG";#N/A,#N/A,FALSE,"NtwkG";#N/A,#N/A,FALSE,"EstgG";#N/A,#N/A,FALSE,"PEngG"}</definedName>
    <definedName name="eedd" localSheetId="6" hidden="1">{#N/A,#N/A,FALSE,"SumG";#N/A,#N/A,FALSE,"ElecG";#N/A,#N/A,FALSE,"MechG";#N/A,#N/A,FALSE,"GeotG";#N/A,#N/A,FALSE,"PrcsG";#N/A,#N/A,FALSE,"TunnG";#N/A,#N/A,FALSE,"CivlG";#N/A,#N/A,FALSE,"NtwkG";#N/A,#N/A,FALSE,"EstgG";#N/A,#N/A,FALSE,"PEngG"}</definedName>
    <definedName name="eedd" localSheetId="3" hidden="1">{#N/A,#N/A,FALSE,"SumG";#N/A,#N/A,FALSE,"ElecG";#N/A,#N/A,FALSE,"MechG";#N/A,#N/A,FALSE,"GeotG";#N/A,#N/A,FALSE,"PrcsG";#N/A,#N/A,FALSE,"TunnG";#N/A,#N/A,FALSE,"CivlG";#N/A,#N/A,FALSE,"NtwkG";#N/A,#N/A,FALSE,"EstgG";#N/A,#N/A,FALSE,"PEngG"}</definedName>
    <definedName name="eedd" localSheetId="4" hidden="1">{#N/A,#N/A,FALSE,"SumG";#N/A,#N/A,FALSE,"ElecG";#N/A,#N/A,FALSE,"MechG";#N/A,#N/A,FALSE,"GeotG";#N/A,#N/A,FALSE,"PrcsG";#N/A,#N/A,FALSE,"TunnG";#N/A,#N/A,FALSE,"CivlG";#N/A,#N/A,FALSE,"NtwkG";#N/A,#N/A,FALSE,"EstgG";#N/A,#N/A,FALSE,"PEngG"}</definedName>
    <definedName name="eedd" localSheetId="13" hidden="1">{#N/A,#N/A,FALSE,"SumG";#N/A,#N/A,FALSE,"ElecG";#N/A,#N/A,FALSE,"MechG";#N/A,#N/A,FALSE,"GeotG";#N/A,#N/A,FALSE,"PrcsG";#N/A,#N/A,FALSE,"TunnG";#N/A,#N/A,FALSE,"CivlG";#N/A,#N/A,FALSE,"NtwkG";#N/A,#N/A,FALSE,"EstgG";#N/A,#N/A,FALSE,"PEngG"}</definedName>
    <definedName name="eedd" hidden="1">{#N/A,#N/A,FALSE,"SumG";#N/A,#N/A,FALSE,"ElecG";#N/A,#N/A,FALSE,"MechG";#N/A,#N/A,FALSE,"GeotG";#N/A,#N/A,FALSE,"PrcsG";#N/A,#N/A,FALSE,"TunnG";#N/A,#N/A,FALSE,"CivlG";#N/A,#N/A,FALSE,"NtwkG";#N/A,#N/A,FALSE,"EstgG";#N/A,#N/A,FALSE,"PEngG"}</definedName>
    <definedName name="EEEEEEEEEEEEEEEEEEEEEEEEEEEEEEEEEEEEEEEEEEEEEEEEEEEEEEEEEEEEEEEEEEEEEEEEEEEEEEEEEEEEEEEEEEEEEEEEEEEEEEEEEEEEEEEEEEEEEEEEEEEEEEEEEEEEEEEEEEEEEEEEEEE" hidden="1">#REF!</definedName>
    <definedName name="eeerrt" localSheetId="5" hidden="1">{#N/A,#N/A,FALSE,"SumG";#N/A,#N/A,FALSE,"ElecG";#N/A,#N/A,FALSE,"MechG";#N/A,#N/A,FALSE,"GeotG";#N/A,#N/A,FALSE,"PrcsG";#N/A,#N/A,FALSE,"TunnG";#N/A,#N/A,FALSE,"CivlG";#N/A,#N/A,FALSE,"NtwkG";#N/A,#N/A,FALSE,"EstgG";#N/A,#N/A,FALSE,"PEngG"}</definedName>
    <definedName name="eeerrt" localSheetId="6" hidden="1">{#N/A,#N/A,FALSE,"SumG";#N/A,#N/A,FALSE,"ElecG";#N/A,#N/A,FALSE,"MechG";#N/A,#N/A,FALSE,"GeotG";#N/A,#N/A,FALSE,"PrcsG";#N/A,#N/A,FALSE,"TunnG";#N/A,#N/A,FALSE,"CivlG";#N/A,#N/A,FALSE,"NtwkG";#N/A,#N/A,FALSE,"EstgG";#N/A,#N/A,FALSE,"PEngG"}</definedName>
    <definedName name="eeerrt" localSheetId="3" hidden="1">{#N/A,#N/A,FALSE,"SumG";#N/A,#N/A,FALSE,"ElecG";#N/A,#N/A,FALSE,"MechG";#N/A,#N/A,FALSE,"GeotG";#N/A,#N/A,FALSE,"PrcsG";#N/A,#N/A,FALSE,"TunnG";#N/A,#N/A,FALSE,"CivlG";#N/A,#N/A,FALSE,"NtwkG";#N/A,#N/A,FALSE,"EstgG";#N/A,#N/A,FALSE,"PEngG"}</definedName>
    <definedName name="eeerrt" localSheetId="4" hidden="1">{#N/A,#N/A,FALSE,"SumG";#N/A,#N/A,FALSE,"ElecG";#N/A,#N/A,FALSE,"MechG";#N/A,#N/A,FALSE,"GeotG";#N/A,#N/A,FALSE,"PrcsG";#N/A,#N/A,FALSE,"TunnG";#N/A,#N/A,FALSE,"CivlG";#N/A,#N/A,FALSE,"NtwkG";#N/A,#N/A,FALSE,"EstgG";#N/A,#N/A,FALSE,"PEngG"}</definedName>
    <definedName name="eeerrt" localSheetId="13" hidden="1">{#N/A,#N/A,FALSE,"SumG";#N/A,#N/A,FALSE,"ElecG";#N/A,#N/A,FALSE,"MechG";#N/A,#N/A,FALSE,"GeotG";#N/A,#N/A,FALSE,"PrcsG";#N/A,#N/A,FALSE,"TunnG";#N/A,#N/A,FALSE,"CivlG";#N/A,#N/A,FALSE,"NtwkG";#N/A,#N/A,FALSE,"EstgG";#N/A,#N/A,FALSE,"PEngG"}</definedName>
    <definedName name="eeerrt" hidden="1">{#N/A,#N/A,FALSE,"SumG";#N/A,#N/A,FALSE,"ElecG";#N/A,#N/A,FALSE,"MechG";#N/A,#N/A,FALSE,"GeotG";#N/A,#N/A,FALSE,"PrcsG";#N/A,#N/A,FALSE,"TunnG";#N/A,#N/A,FALSE,"CivlG";#N/A,#N/A,FALSE,"NtwkG";#N/A,#N/A,FALSE,"EstgG";#N/A,#N/A,FALSE,"PEngG"}</definedName>
    <definedName name="ele" localSheetId="5" hidden="1">{"CONCABL1.1",#N/A,FALSE,"1.1.1a1.1.3 ACSR";"AISL1.2",#N/A,FALSE,"1.1.1a1.1.3 ACSR";"torr1.1.3",#N/A,FALSE,"1.1.1a1.1.3 ACSR";"cm1.2",#N/A,FALSE,"1.2 ACSR";"cm2.2",#N/A,FALSE,"1.2 ACSR";#N/A,#N/A,FALSE,"1.3 ACSR";#N/A,#N/A,FALSE,"2.1.1A2.1.3 ACAR";"ac2.1",#N/A,FALSE,"1.2 ACAR";"ac2.2",#N/A,FALSE,"1.2 ACAR";#N/A,#N/A,FALSE,"2.3 ACAR"}</definedName>
    <definedName name="ele" localSheetId="6" hidden="1">{"CONCABL1.1",#N/A,FALSE,"1.1.1a1.1.3 ACSR";"AISL1.2",#N/A,FALSE,"1.1.1a1.1.3 ACSR";"torr1.1.3",#N/A,FALSE,"1.1.1a1.1.3 ACSR";"cm1.2",#N/A,FALSE,"1.2 ACSR";"cm2.2",#N/A,FALSE,"1.2 ACSR";#N/A,#N/A,FALSE,"1.3 ACSR";#N/A,#N/A,FALSE,"2.1.1A2.1.3 ACAR";"ac2.1",#N/A,FALSE,"1.2 ACAR";"ac2.2",#N/A,FALSE,"1.2 ACAR";#N/A,#N/A,FALSE,"2.3 ACAR"}</definedName>
    <definedName name="ele" localSheetId="3" hidden="1">{"CONCABL1.1",#N/A,FALSE,"1.1.1a1.1.3 ACSR";"AISL1.2",#N/A,FALSE,"1.1.1a1.1.3 ACSR";"torr1.1.3",#N/A,FALSE,"1.1.1a1.1.3 ACSR";"cm1.2",#N/A,FALSE,"1.2 ACSR";"cm2.2",#N/A,FALSE,"1.2 ACSR";#N/A,#N/A,FALSE,"1.3 ACSR";#N/A,#N/A,FALSE,"2.1.1A2.1.3 ACAR";"ac2.1",#N/A,FALSE,"1.2 ACAR";"ac2.2",#N/A,FALSE,"1.2 ACAR";#N/A,#N/A,FALSE,"2.3 ACAR"}</definedName>
    <definedName name="ele" localSheetId="4" hidden="1">{"CONCABL1.1",#N/A,FALSE,"1.1.1a1.1.3 ACSR";"AISL1.2",#N/A,FALSE,"1.1.1a1.1.3 ACSR";"torr1.1.3",#N/A,FALSE,"1.1.1a1.1.3 ACSR";"cm1.2",#N/A,FALSE,"1.2 ACSR";"cm2.2",#N/A,FALSE,"1.2 ACSR";#N/A,#N/A,FALSE,"1.3 ACSR";#N/A,#N/A,FALSE,"2.1.1A2.1.3 ACAR";"ac2.1",#N/A,FALSE,"1.2 ACAR";"ac2.2",#N/A,FALSE,"1.2 ACAR";#N/A,#N/A,FALSE,"2.3 ACAR"}</definedName>
    <definedName name="ele" localSheetId="13" hidden="1">{"CONCABL1.1",#N/A,FALSE,"1.1.1a1.1.3 ACSR";"AISL1.2",#N/A,FALSE,"1.1.1a1.1.3 ACSR";"torr1.1.3",#N/A,FALSE,"1.1.1a1.1.3 ACSR";"cm1.2",#N/A,FALSE,"1.2 ACSR";"cm2.2",#N/A,FALSE,"1.2 ACSR";#N/A,#N/A,FALSE,"1.3 ACSR";#N/A,#N/A,FALSE,"2.1.1A2.1.3 ACAR";"ac2.1",#N/A,FALSE,"1.2 ACAR";"ac2.2",#N/A,FALSE,"1.2 ACAR";#N/A,#N/A,FALSE,"2.3 ACAR"}</definedName>
    <definedName name="ele" hidden="1">{"CONCABL1.1",#N/A,FALSE,"1.1.1a1.1.3 ACSR";"AISL1.2",#N/A,FALSE,"1.1.1a1.1.3 ACSR";"torr1.1.3",#N/A,FALSE,"1.1.1a1.1.3 ACSR";"cm1.2",#N/A,FALSE,"1.2 ACSR";"cm2.2",#N/A,FALSE,"1.2 ACSR";#N/A,#N/A,FALSE,"1.3 ACSR";#N/A,#N/A,FALSE,"2.1.1A2.1.3 ACAR";"ac2.1",#N/A,FALSE,"1.2 ACAR";"ac2.2",#N/A,FALSE,"1.2 ACAR";#N/A,#N/A,FALSE,"2.3 ACAR"}</definedName>
    <definedName name="elec" hidden="1">#REF!</definedName>
    <definedName name="elect" localSheetId="5" hidden="1">{"CONCABL1.1",#N/A,FALSE,"1.1.1a1.1.3 ACSR";"AISL1.2",#N/A,FALSE,"1.1.1a1.1.3 ACSR";"torr1.1.3",#N/A,FALSE,"1.1.1a1.1.3 ACSR";"cm1.2",#N/A,FALSE,"1.2 ACSR";"cm2.2",#N/A,FALSE,"1.2 ACSR";#N/A,#N/A,FALSE,"1.3 ACSR";#N/A,#N/A,FALSE,"2.1.1A2.1.3 ACAR";"ac2.1",#N/A,FALSE,"1.2 ACAR";"ac2.2",#N/A,FALSE,"1.2 ACAR";#N/A,#N/A,FALSE,"2.3 ACAR"}</definedName>
    <definedName name="elect" localSheetId="6" hidden="1">{"CONCABL1.1",#N/A,FALSE,"1.1.1a1.1.3 ACSR";"AISL1.2",#N/A,FALSE,"1.1.1a1.1.3 ACSR";"torr1.1.3",#N/A,FALSE,"1.1.1a1.1.3 ACSR";"cm1.2",#N/A,FALSE,"1.2 ACSR";"cm2.2",#N/A,FALSE,"1.2 ACSR";#N/A,#N/A,FALSE,"1.3 ACSR";#N/A,#N/A,FALSE,"2.1.1A2.1.3 ACAR";"ac2.1",#N/A,FALSE,"1.2 ACAR";"ac2.2",#N/A,FALSE,"1.2 ACAR";#N/A,#N/A,FALSE,"2.3 ACAR"}</definedName>
    <definedName name="elect" localSheetId="3" hidden="1">{"CONCABL1.1",#N/A,FALSE,"1.1.1a1.1.3 ACSR";"AISL1.2",#N/A,FALSE,"1.1.1a1.1.3 ACSR";"torr1.1.3",#N/A,FALSE,"1.1.1a1.1.3 ACSR";"cm1.2",#N/A,FALSE,"1.2 ACSR";"cm2.2",#N/A,FALSE,"1.2 ACSR";#N/A,#N/A,FALSE,"1.3 ACSR";#N/A,#N/A,FALSE,"2.1.1A2.1.3 ACAR";"ac2.1",#N/A,FALSE,"1.2 ACAR";"ac2.2",#N/A,FALSE,"1.2 ACAR";#N/A,#N/A,FALSE,"2.3 ACAR"}</definedName>
    <definedName name="elect" localSheetId="4" hidden="1">{"CONCABL1.1",#N/A,FALSE,"1.1.1a1.1.3 ACSR";"AISL1.2",#N/A,FALSE,"1.1.1a1.1.3 ACSR";"torr1.1.3",#N/A,FALSE,"1.1.1a1.1.3 ACSR";"cm1.2",#N/A,FALSE,"1.2 ACSR";"cm2.2",#N/A,FALSE,"1.2 ACSR";#N/A,#N/A,FALSE,"1.3 ACSR";#N/A,#N/A,FALSE,"2.1.1A2.1.3 ACAR";"ac2.1",#N/A,FALSE,"1.2 ACAR";"ac2.2",#N/A,FALSE,"1.2 ACAR";#N/A,#N/A,FALSE,"2.3 ACAR"}</definedName>
    <definedName name="elect" localSheetId="13" hidden="1">{"CONCABL1.1",#N/A,FALSE,"1.1.1a1.1.3 ACSR";"AISL1.2",#N/A,FALSE,"1.1.1a1.1.3 ACSR";"torr1.1.3",#N/A,FALSE,"1.1.1a1.1.3 ACSR";"cm1.2",#N/A,FALSE,"1.2 ACSR";"cm2.2",#N/A,FALSE,"1.2 ACSR";#N/A,#N/A,FALSE,"1.3 ACSR";#N/A,#N/A,FALSE,"2.1.1A2.1.3 ACAR";"ac2.1",#N/A,FALSE,"1.2 ACAR";"ac2.2",#N/A,FALSE,"1.2 ACAR";#N/A,#N/A,FALSE,"2.3 ACAR"}</definedName>
    <definedName name="elect" hidden="1">{"CONCABL1.1",#N/A,FALSE,"1.1.1a1.1.3 ACSR";"AISL1.2",#N/A,FALSE,"1.1.1a1.1.3 ACSR";"torr1.1.3",#N/A,FALSE,"1.1.1a1.1.3 ACSR";"cm1.2",#N/A,FALSE,"1.2 ACSR";"cm2.2",#N/A,FALSE,"1.2 ACSR";#N/A,#N/A,FALSE,"1.3 ACSR";#N/A,#N/A,FALSE,"2.1.1A2.1.3 ACAR";"ac2.1",#N/A,FALSE,"1.2 ACAR";"ac2.2",#N/A,FALSE,"1.2 ACAR";#N/A,#N/A,FALSE,"2.3 ACAR"}</definedName>
    <definedName name="Electricas1" localSheetId="5" hidden="1">{"CONCABL1.1",#N/A,FALSE,"1.1.1a1.1.3 ACSR";"AISL1.2",#N/A,FALSE,"1.1.1a1.1.3 ACSR";"torr1.1.3",#N/A,FALSE,"1.1.1a1.1.3 ACSR";"cm1.2",#N/A,FALSE,"1.2 ACSR";"cm2.2",#N/A,FALSE,"1.2 ACSR";#N/A,#N/A,FALSE,"1.3 ACSR";#N/A,#N/A,FALSE,"2.1.1A2.1.3 ACAR";"ac2.1",#N/A,FALSE,"1.2 ACAR";"ac2.2",#N/A,FALSE,"1.2 ACAR";#N/A,#N/A,FALSE,"2.3 ACAR"}</definedName>
    <definedName name="Electricas1" localSheetId="6" hidden="1">{"CONCABL1.1",#N/A,FALSE,"1.1.1a1.1.3 ACSR";"AISL1.2",#N/A,FALSE,"1.1.1a1.1.3 ACSR";"torr1.1.3",#N/A,FALSE,"1.1.1a1.1.3 ACSR";"cm1.2",#N/A,FALSE,"1.2 ACSR";"cm2.2",#N/A,FALSE,"1.2 ACSR";#N/A,#N/A,FALSE,"1.3 ACSR";#N/A,#N/A,FALSE,"2.1.1A2.1.3 ACAR";"ac2.1",#N/A,FALSE,"1.2 ACAR";"ac2.2",#N/A,FALSE,"1.2 ACAR";#N/A,#N/A,FALSE,"2.3 ACAR"}</definedName>
    <definedName name="Electricas1" localSheetId="3" hidden="1">{"CONCABL1.1",#N/A,FALSE,"1.1.1a1.1.3 ACSR";"AISL1.2",#N/A,FALSE,"1.1.1a1.1.3 ACSR";"torr1.1.3",#N/A,FALSE,"1.1.1a1.1.3 ACSR";"cm1.2",#N/A,FALSE,"1.2 ACSR";"cm2.2",#N/A,FALSE,"1.2 ACSR";#N/A,#N/A,FALSE,"1.3 ACSR";#N/A,#N/A,FALSE,"2.1.1A2.1.3 ACAR";"ac2.1",#N/A,FALSE,"1.2 ACAR";"ac2.2",#N/A,FALSE,"1.2 ACAR";#N/A,#N/A,FALSE,"2.3 ACAR"}</definedName>
    <definedName name="Electricas1" localSheetId="4" hidden="1">{"CONCABL1.1",#N/A,FALSE,"1.1.1a1.1.3 ACSR";"AISL1.2",#N/A,FALSE,"1.1.1a1.1.3 ACSR";"torr1.1.3",#N/A,FALSE,"1.1.1a1.1.3 ACSR";"cm1.2",#N/A,FALSE,"1.2 ACSR";"cm2.2",#N/A,FALSE,"1.2 ACSR";#N/A,#N/A,FALSE,"1.3 ACSR";#N/A,#N/A,FALSE,"2.1.1A2.1.3 ACAR";"ac2.1",#N/A,FALSE,"1.2 ACAR";"ac2.2",#N/A,FALSE,"1.2 ACAR";#N/A,#N/A,FALSE,"2.3 ACAR"}</definedName>
    <definedName name="Electricas1" localSheetId="13" hidden="1">{"CONCABL1.1",#N/A,FALSE,"1.1.1a1.1.3 ACSR";"AISL1.2",#N/A,FALSE,"1.1.1a1.1.3 ACSR";"torr1.1.3",#N/A,FALSE,"1.1.1a1.1.3 ACSR";"cm1.2",#N/A,FALSE,"1.2 ACSR";"cm2.2",#N/A,FALSE,"1.2 ACSR";#N/A,#N/A,FALSE,"1.3 ACSR";#N/A,#N/A,FALSE,"2.1.1A2.1.3 ACAR";"ac2.1",#N/A,FALSE,"1.2 ACAR";"ac2.2",#N/A,FALSE,"1.2 ACAR";#N/A,#N/A,FALSE,"2.3 ACAR"}</definedName>
    <definedName name="Electricas1" hidden="1">{"CONCABL1.1",#N/A,FALSE,"1.1.1a1.1.3 ACSR";"AISL1.2",#N/A,FALSE,"1.1.1a1.1.3 ACSR";"torr1.1.3",#N/A,FALSE,"1.1.1a1.1.3 ACSR";"cm1.2",#N/A,FALSE,"1.2 ACSR";"cm2.2",#N/A,FALSE,"1.2 ACSR";#N/A,#N/A,FALSE,"1.3 ACSR";#N/A,#N/A,FALSE,"2.1.1A2.1.3 ACAR";"ac2.1",#N/A,FALSE,"1.2 ACAR";"ac2.2",#N/A,FALSE,"1.2 ACAR";#N/A,#N/A,FALSE,"2.3 ACAR"}</definedName>
    <definedName name="equipamiento" hidden="1">#REF!</definedName>
    <definedName name="eqwe" hidden="1">#REF!</definedName>
    <definedName name="ERER" localSheetId="5" hidden="1">{"CONCABL1.1",#N/A,FALSE,"1.1.1a1.1.3 ACSR";"AISL1.2",#N/A,FALSE,"1.1.1a1.1.3 ACSR";"torr1.1.3",#N/A,FALSE,"1.1.1a1.1.3 ACSR";"cm1.2",#N/A,FALSE,"1.2 ACSR";"cm2.2",#N/A,FALSE,"1.2 ACSR";#N/A,#N/A,FALSE,"1.3 ACSR";#N/A,#N/A,FALSE,"2.1.1A2.1.3 ACAR";"ac2.1",#N/A,FALSE,"1.2 ACAR";"ac2.2",#N/A,FALSE,"1.2 ACAR";#N/A,#N/A,FALSE,"2.3 ACAR"}</definedName>
    <definedName name="ERER" localSheetId="6" hidden="1">{"CONCABL1.1",#N/A,FALSE,"1.1.1a1.1.3 ACSR";"AISL1.2",#N/A,FALSE,"1.1.1a1.1.3 ACSR";"torr1.1.3",#N/A,FALSE,"1.1.1a1.1.3 ACSR";"cm1.2",#N/A,FALSE,"1.2 ACSR";"cm2.2",#N/A,FALSE,"1.2 ACSR";#N/A,#N/A,FALSE,"1.3 ACSR";#N/A,#N/A,FALSE,"2.1.1A2.1.3 ACAR";"ac2.1",#N/A,FALSE,"1.2 ACAR";"ac2.2",#N/A,FALSE,"1.2 ACAR";#N/A,#N/A,FALSE,"2.3 ACAR"}</definedName>
    <definedName name="ERER" localSheetId="4" hidden="1">{"CONCABL1.1",#N/A,FALSE,"1.1.1a1.1.3 ACSR";"AISL1.2",#N/A,FALSE,"1.1.1a1.1.3 ACSR";"torr1.1.3",#N/A,FALSE,"1.1.1a1.1.3 ACSR";"cm1.2",#N/A,FALSE,"1.2 ACSR";"cm2.2",#N/A,FALSE,"1.2 ACSR";#N/A,#N/A,FALSE,"1.3 ACSR";#N/A,#N/A,FALSE,"2.1.1A2.1.3 ACAR";"ac2.1",#N/A,FALSE,"1.2 ACAR";"ac2.2",#N/A,FALSE,"1.2 ACAR";#N/A,#N/A,FALSE,"2.3 ACAR"}</definedName>
    <definedName name="ERER" localSheetId="13" hidden="1">{"CONCABL1.1",#N/A,FALSE,"1.1.1a1.1.3 ACSR";"AISL1.2",#N/A,FALSE,"1.1.1a1.1.3 ACSR";"torr1.1.3",#N/A,FALSE,"1.1.1a1.1.3 ACSR";"cm1.2",#N/A,FALSE,"1.2 ACSR";"cm2.2",#N/A,FALSE,"1.2 ACSR";#N/A,#N/A,FALSE,"1.3 ACSR";#N/A,#N/A,FALSE,"2.1.1A2.1.3 ACAR";"ac2.1",#N/A,FALSE,"1.2 ACAR";"ac2.2",#N/A,FALSE,"1.2 ACAR";#N/A,#N/A,FALSE,"2.3 ACAR"}</definedName>
    <definedName name="ERER" hidden="1">{"CONCABL1.1",#N/A,FALSE,"1.1.1a1.1.3 ACSR";"AISL1.2",#N/A,FALSE,"1.1.1a1.1.3 ACSR";"torr1.1.3",#N/A,FALSE,"1.1.1a1.1.3 ACSR";"cm1.2",#N/A,FALSE,"1.2 ACSR";"cm2.2",#N/A,FALSE,"1.2 ACSR";#N/A,#N/A,FALSE,"1.3 ACSR";#N/A,#N/A,FALSE,"2.1.1A2.1.3 ACAR";"ac2.1",#N/A,FALSE,"1.2 ACAR";"ac2.2",#N/A,FALSE,"1.2 ACAR";#N/A,#N/A,FALSE,"2.3 ACAR"}</definedName>
    <definedName name="erojkdpt" localSheetId="5" hidden="1">{#N/A,#N/A,FALSE,"ACTIVO FIJO";#N/A,#N/A,FALSE,"COBRAR";#N/A,#N/A,FALSE,"AFILIADAS";#N/A,#N/A,FALSE,"PAGAR";#N/A,#N/A,FALSE,"INSTIT. FINANCIERAS";#N/A,#N/A,FALSE,"VALORES"}</definedName>
    <definedName name="erojkdpt" localSheetId="6" hidden="1">{#N/A,#N/A,FALSE,"ACTIVO FIJO";#N/A,#N/A,FALSE,"COBRAR";#N/A,#N/A,FALSE,"AFILIADAS";#N/A,#N/A,FALSE,"PAGAR";#N/A,#N/A,FALSE,"INSTIT. FINANCIERAS";#N/A,#N/A,FALSE,"VALORES"}</definedName>
    <definedName name="erojkdpt" localSheetId="4" hidden="1">{#N/A,#N/A,FALSE,"ACTIVO FIJO";#N/A,#N/A,FALSE,"COBRAR";#N/A,#N/A,FALSE,"AFILIADAS";#N/A,#N/A,FALSE,"PAGAR";#N/A,#N/A,FALSE,"INSTIT. FINANCIERAS";#N/A,#N/A,FALSE,"VALORES"}</definedName>
    <definedName name="erojkdpt" localSheetId="13" hidden="1">{#N/A,#N/A,FALSE,"ACTIVO FIJO";#N/A,#N/A,FALSE,"COBRAR";#N/A,#N/A,FALSE,"AFILIADAS";#N/A,#N/A,FALSE,"PAGAR";#N/A,#N/A,FALSE,"INSTIT. FINANCIERAS";#N/A,#N/A,FALSE,"VALORES"}</definedName>
    <definedName name="erojkdpt" hidden="1">{#N/A,#N/A,FALSE,"ACTIVO FIJO";#N/A,#N/A,FALSE,"COBRAR";#N/A,#N/A,FALSE,"AFILIADAS";#N/A,#N/A,FALSE,"PAGAR";#N/A,#N/A,FALSE,"INSTIT. FINANCIERAS";#N/A,#N/A,FALSE,"VALORES"}</definedName>
    <definedName name="erojkdpt_1" localSheetId="5" hidden="1">{#N/A,#N/A,FALSE,"ACTIVO FIJO";#N/A,#N/A,FALSE,"COBRAR";#N/A,#N/A,FALSE,"AFILIADAS";#N/A,#N/A,FALSE,"PAGAR";#N/A,#N/A,FALSE,"INSTIT. FINANCIERAS";#N/A,#N/A,FALSE,"VALORES"}</definedName>
    <definedName name="erojkdpt_1" localSheetId="6" hidden="1">{#N/A,#N/A,FALSE,"ACTIVO FIJO";#N/A,#N/A,FALSE,"COBRAR";#N/A,#N/A,FALSE,"AFILIADAS";#N/A,#N/A,FALSE,"PAGAR";#N/A,#N/A,FALSE,"INSTIT. FINANCIERAS";#N/A,#N/A,FALSE,"VALORES"}</definedName>
    <definedName name="erojkdpt_1" localSheetId="4" hidden="1">{#N/A,#N/A,FALSE,"ACTIVO FIJO";#N/A,#N/A,FALSE,"COBRAR";#N/A,#N/A,FALSE,"AFILIADAS";#N/A,#N/A,FALSE,"PAGAR";#N/A,#N/A,FALSE,"INSTIT. FINANCIERAS";#N/A,#N/A,FALSE,"VALORES"}</definedName>
    <definedName name="erojkdpt_1" localSheetId="13" hidden="1">{#N/A,#N/A,FALSE,"ACTIVO FIJO";#N/A,#N/A,FALSE,"COBRAR";#N/A,#N/A,FALSE,"AFILIADAS";#N/A,#N/A,FALSE,"PAGAR";#N/A,#N/A,FALSE,"INSTIT. FINANCIERAS";#N/A,#N/A,FALSE,"VALORES"}</definedName>
    <definedName name="erojkdpt_1" hidden="1">{#N/A,#N/A,FALSE,"ACTIVO FIJO";#N/A,#N/A,FALSE,"COBRAR";#N/A,#N/A,FALSE,"AFILIADAS";#N/A,#N/A,FALSE,"PAGAR";#N/A,#N/A,FALSE,"INSTIT. FINANCIERAS";#N/A,#N/A,FALSE,"VALORES"}</definedName>
    <definedName name="ertrqyh" localSheetId="5" hidden="1">{#N/A,#N/A,FALSE,"SumD";#N/A,#N/A,FALSE,"ElecD";#N/A,#N/A,FALSE,"MechD";#N/A,#N/A,FALSE,"GeotD";#N/A,#N/A,FALSE,"PrcsD";#N/A,#N/A,FALSE,"TunnD";#N/A,#N/A,FALSE,"CivlD";#N/A,#N/A,FALSE,"NtwkD";#N/A,#N/A,FALSE,"EstgD";#N/A,#N/A,FALSE,"PEngD"}</definedName>
    <definedName name="ertrqyh" localSheetId="6" hidden="1">{#N/A,#N/A,FALSE,"SumD";#N/A,#N/A,FALSE,"ElecD";#N/A,#N/A,FALSE,"MechD";#N/A,#N/A,FALSE,"GeotD";#N/A,#N/A,FALSE,"PrcsD";#N/A,#N/A,FALSE,"TunnD";#N/A,#N/A,FALSE,"CivlD";#N/A,#N/A,FALSE,"NtwkD";#N/A,#N/A,FALSE,"EstgD";#N/A,#N/A,FALSE,"PEngD"}</definedName>
    <definedName name="ertrqyh" localSheetId="4"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uipo" localSheetId="5" hidden="1">{#N/A,#N/A,FALSE,"ACTIVO FIJO";#N/A,#N/A,FALSE,"COBRAR";#N/A,#N/A,FALSE,"AFILIADAS";#N/A,#N/A,FALSE,"PAGAR";#N/A,#N/A,FALSE,"INSTIT. FINANCIERAS";#N/A,#N/A,FALSE,"VALORES"}</definedName>
    <definedName name="ertyuipo" localSheetId="6" hidden="1">{#N/A,#N/A,FALSE,"ACTIVO FIJO";#N/A,#N/A,FALSE,"COBRAR";#N/A,#N/A,FALSE,"AFILIADAS";#N/A,#N/A,FALSE,"PAGAR";#N/A,#N/A,FALSE,"INSTIT. FINANCIERAS";#N/A,#N/A,FALSE,"VALORES"}</definedName>
    <definedName name="ertyuipo" localSheetId="4" hidden="1">{#N/A,#N/A,FALSE,"ACTIVO FIJO";#N/A,#N/A,FALSE,"COBRAR";#N/A,#N/A,FALSE,"AFILIADAS";#N/A,#N/A,FALSE,"PAGAR";#N/A,#N/A,FALSE,"INSTIT. FINANCIERAS";#N/A,#N/A,FALSE,"VALORES"}</definedName>
    <definedName name="ertyuipo" localSheetId="13" hidden="1">{#N/A,#N/A,FALSE,"ACTIVO FIJO";#N/A,#N/A,FALSE,"COBRAR";#N/A,#N/A,FALSE,"AFILIADAS";#N/A,#N/A,FALSE,"PAGAR";#N/A,#N/A,FALSE,"INSTIT. FINANCIERAS";#N/A,#N/A,FALSE,"VALORES"}</definedName>
    <definedName name="ertyuipo" hidden="1">{#N/A,#N/A,FALSE,"ACTIVO FIJO";#N/A,#N/A,FALSE,"COBRAR";#N/A,#N/A,FALSE,"AFILIADAS";#N/A,#N/A,FALSE,"PAGAR";#N/A,#N/A,FALSE,"INSTIT. FINANCIERAS";#N/A,#N/A,FALSE,"VALORES"}</definedName>
    <definedName name="ertyuipo_1" localSheetId="5" hidden="1">{#N/A,#N/A,FALSE,"ACTIVO FIJO";#N/A,#N/A,FALSE,"COBRAR";#N/A,#N/A,FALSE,"AFILIADAS";#N/A,#N/A,FALSE,"PAGAR";#N/A,#N/A,FALSE,"INSTIT. FINANCIERAS";#N/A,#N/A,FALSE,"VALORES"}</definedName>
    <definedName name="ertyuipo_1" localSheetId="6" hidden="1">{#N/A,#N/A,FALSE,"ACTIVO FIJO";#N/A,#N/A,FALSE,"COBRAR";#N/A,#N/A,FALSE,"AFILIADAS";#N/A,#N/A,FALSE,"PAGAR";#N/A,#N/A,FALSE,"INSTIT. FINANCIERAS";#N/A,#N/A,FALSE,"VALORES"}</definedName>
    <definedName name="ertyuipo_1" localSheetId="4" hidden="1">{#N/A,#N/A,FALSE,"ACTIVO FIJO";#N/A,#N/A,FALSE,"COBRAR";#N/A,#N/A,FALSE,"AFILIADAS";#N/A,#N/A,FALSE,"PAGAR";#N/A,#N/A,FALSE,"INSTIT. FINANCIERAS";#N/A,#N/A,FALSE,"VALORES"}</definedName>
    <definedName name="ertyuipo_1" localSheetId="13" hidden="1">{#N/A,#N/A,FALSE,"ACTIVO FIJO";#N/A,#N/A,FALSE,"COBRAR";#N/A,#N/A,FALSE,"AFILIADAS";#N/A,#N/A,FALSE,"PAGAR";#N/A,#N/A,FALSE,"INSTIT. FINANCIERAS";#N/A,#N/A,FALSE,"VALORES"}</definedName>
    <definedName name="ertyuipo_1" hidden="1">{#N/A,#N/A,FALSE,"ACTIVO FIJO";#N/A,#N/A,FALSE,"COBRAR";#N/A,#N/A,FALSE,"AFILIADAS";#N/A,#N/A,FALSE,"PAGAR";#N/A,#N/A,FALSE,"INSTIT. FINANCIERAS";#N/A,#N/A,FALSE,"VALORES"}</definedName>
    <definedName name="ertyyuru" localSheetId="5" hidden="1">{#N/A,#N/A,FALSE,"SumG";#N/A,#N/A,FALSE,"ElecG";#N/A,#N/A,FALSE,"MechG";#N/A,#N/A,FALSE,"GeotG";#N/A,#N/A,FALSE,"PrcsG";#N/A,#N/A,FALSE,"TunnG";#N/A,#N/A,FALSE,"CivlG";#N/A,#N/A,FALSE,"NtwkG";#N/A,#N/A,FALSE,"EstgG";#N/A,#N/A,FALSE,"PEngG"}</definedName>
    <definedName name="ertyyuru" localSheetId="6" hidden="1">{#N/A,#N/A,FALSE,"SumG";#N/A,#N/A,FALSE,"ElecG";#N/A,#N/A,FALSE,"MechG";#N/A,#N/A,FALSE,"GeotG";#N/A,#N/A,FALSE,"PrcsG";#N/A,#N/A,FALSE,"TunnG";#N/A,#N/A,FALSE,"CivlG";#N/A,#N/A,FALSE,"NtwkG";#N/A,#N/A,FALSE,"EstgG";#N/A,#N/A,FALSE,"PEngG"}</definedName>
    <definedName name="ertyyuru" localSheetId="4"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twyyt" localSheetId="5" hidden="1">{#N/A,#N/A,FALSE,"SumD";#N/A,#N/A,FALSE,"ElecD";#N/A,#N/A,FALSE,"MechD";#N/A,#N/A,FALSE,"GeotD";#N/A,#N/A,FALSE,"PrcsD";#N/A,#N/A,FALSE,"TunnD";#N/A,#N/A,FALSE,"CivlD";#N/A,#N/A,FALSE,"NtwkD";#N/A,#N/A,FALSE,"EstgD";#N/A,#N/A,FALSE,"PEngD"}</definedName>
    <definedName name="etwyyt" localSheetId="6" hidden="1">{#N/A,#N/A,FALSE,"SumD";#N/A,#N/A,FALSE,"ElecD";#N/A,#N/A,FALSE,"MechD";#N/A,#N/A,FALSE,"GeotD";#N/A,#N/A,FALSE,"PrcsD";#N/A,#N/A,FALSE,"TunnD";#N/A,#N/A,FALSE,"CivlD";#N/A,#N/A,FALSE,"NtwkD";#N/A,#N/A,FALSE,"EstgD";#N/A,#N/A,FALSE,"PEngD"}</definedName>
    <definedName name="etwyyt" localSheetId="4"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FAUSTO" hidden="1">#REF!</definedName>
    <definedName name="fbhdfhdfh" hidden="1">#REF!</definedName>
    <definedName name="FC_COPIA" localSheetId="5" hidden="1">{"'Sheet1'!$A$1:$G$85"}</definedName>
    <definedName name="FC_COPIA" localSheetId="6" hidden="1">{"'Sheet1'!$A$1:$G$85"}</definedName>
    <definedName name="FC_COPIA" localSheetId="4" hidden="1">{"'Sheet1'!$A$1:$G$85"}</definedName>
    <definedName name="FC_COPIA" localSheetId="13" hidden="1">{"'Sheet1'!$A$1:$G$85"}</definedName>
    <definedName name="FC_COPIA" hidden="1">{"'Sheet1'!$A$1:$G$85"}</definedName>
    <definedName name="fd" hidden="1">#REF!</definedName>
    <definedName name="fdff" localSheetId="5" hidden="1">{#N/A,#N/A,FALSE,"SumG";#N/A,#N/A,FALSE,"ElecG";#N/A,#N/A,FALSE,"MechG";#N/A,#N/A,FALSE,"GeotG";#N/A,#N/A,FALSE,"PrcsG";#N/A,#N/A,FALSE,"TunnG";#N/A,#N/A,FALSE,"CivlG";#N/A,#N/A,FALSE,"NtwkG";#N/A,#N/A,FALSE,"EstgG";#N/A,#N/A,FALSE,"PEngG"}</definedName>
    <definedName name="fdff" localSheetId="6" hidden="1">{#N/A,#N/A,FALSE,"SumG";#N/A,#N/A,FALSE,"ElecG";#N/A,#N/A,FALSE,"MechG";#N/A,#N/A,FALSE,"GeotG";#N/A,#N/A,FALSE,"PrcsG";#N/A,#N/A,FALSE,"TunnG";#N/A,#N/A,FALSE,"CivlG";#N/A,#N/A,FALSE,"NtwkG";#N/A,#N/A,FALSE,"EstgG";#N/A,#N/A,FALSE,"PEngG"}</definedName>
    <definedName name="fdff" localSheetId="3" hidden="1">{#N/A,#N/A,FALSE,"SumG";#N/A,#N/A,FALSE,"ElecG";#N/A,#N/A,FALSE,"MechG";#N/A,#N/A,FALSE,"GeotG";#N/A,#N/A,FALSE,"PrcsG";#N/A,#N/A,FALSE,"TunnG";#N/A,#N/A,FALSE,"CivlG";#N/A,#N/A,FALSE,"NtwkG";#N/A,#N/A,FALSE,"EstgG";#N/A,#N/A,FALSE,"PEngG"}</definedName>
    <definedName name="fdff" localSheetId="4"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dfsf" localSheetId="5" hidden="1">{#N/A,#N/A,TRUE,"1842CWN0"}</definedName>
    <definedName name="fdfsdfsf" localSheetId="6" hidden="1">{#N/A,#N/A,TRUE,"1842CWN0"}</definedName>
    <definedName name="fdfsdfsf" localSheetId="4" hidden="1">{#N/A,#N/A,TRUE,"1842CWN0"}</definedName>
    <definedName name="fdfsdfsf" localSheetId="13" hidden="1">{#N/A,#N/A,TRUE,"1842CWN0"}</definedName>
    <definedName name="fdfsdfsf" hidden="1">{#N/A,#N/A,TRUE,"1842CWN0"}</definedName>
    <definedName name="FDGFDG" hidden="1">#REF!</definedName>
    <definedName name="FFFF" hidden="1">#REF!</definedName>
    <definedName name="fffff" localSheetId="5" hidden="1">{#N/A,#N/A,FALSE,"SumG";#N/A,#N/A,FALSE,"ElecG";#N/A,#N/A,FALSE,"MechG";#N/A,#N/A,FALSE,"GeotG";#N/A,#N/A,FALSE,"PrcsG";#N/A,#N/A,FALSE,"TunnG";#N/A,#N/A,FALSE,"CivlG";#N/A,#N/A,FALSE,"NtwkG";#N/A,#N/A,FALSE,"EstgG";#N/A,#N/A,FALSE,"PEngG"}</definedName>
    <definedName name="fffff" localSheetId="6" hidden="1">{#N/A,#N/A,FALSE,"SumG";#N/A,#N/A,FALSE,"ElecG";#N/A,#N/A,FALSE,"MechG";#N/A,#N/A,FALSE,"GeotG";#N/A,#N/A,FALSE,"PrcsG";#N/A,#N/A,FALSE,"TunnG";#N/A,#N/A,FALSE,"CivlG";#N/A,#N/A,FALSE,"NtwkG";#N/A,#N/A,FALSE,"EstgG";#N/A,#N/A,FALSE,"PEngG"}</definedName>
    <definedName name="fffff" localSheetId="3" hidden="1">{#N/A,#N/A,FALSE,"SumG";#N/A,#N/A,FALSE,"ElecG";#N/A,#N/A,FALSE,"MechG";#N/A,#N/A,FALSE,"GeotG";#N/A,#N/A,FALSE,"PrcsG";#N/A,#N/A,FALSE,"TunnG";#N/A,#N/A,FALSE,"CivlG";#N/A,#N/A,FALSE,"NtwkG";#N/A,#N/A,FALSE,"EstgG";#N/A,#N/A,FALSE,"PEngG"}</definedName>
    <definedName name="fffff" localSheetId="4" hidden="1">{#N/A,#N/A,FALSE,"SumG";#N/A,#N/A,FALSE,"ElecG";#N/A,#N/A,FALSE,"MechG";#N/A,#N/A,FALSE,"GeotG";#N/A,#N/A,FALSE,"PrcsG";#N/A,#N/A,FALSE,"TunnG";#N/A,#N/A,FALSE,"CivlG";#N/A,#N/A,FALSE,"NtwkG";#N/A,#N/A,FALSE,"EstgG";#N/A,#N/A,FALSE,"PEngG"}</definedName>
    <definedName name="fffff" localSheetId="13" hidden="1">{#N/A,#N/A,FALSE,"SumG";#N/A,#N/A,FALSE,"ElecG";#N/A,#N/A,FALSE,"MechG";#N/A,#N/A,FALSE,"GeotG";#N/A,#N/A,FALSE,"PrcsG";#N/A,#N/A,FALSE,"TunnG";#N/A,#N/A,FALSE,"CivlG";#N/A,#N/A,FALSE,"NtwkG";#N/A,#N/A,FALSE,"EstgG";#N/A,#N/A,FALSE,"PEngG"}</definedName>
    <definedName name="fffff" hidden="1">{#N/A,#N/A,FALSE,"SumG";#N/A,#N/A,FALSE,"ElecG";#N/A,#N/A,FALSE,"MechG";#N/A,#N/A,FALSE,"GeotG";#N/A,#N/A,FALSE,"PrcsG";#N/A,#N/A,FALSE,"TunnG";#N/A,#N/A,FALSE,"CivlG";#N/A,#N/A,FALSE,"NtwkG";#N/A,#N/A,FALSE,"EstgG";#N/A,#N/A,FALSE,"PEngG"}</definedName>
    <definedName name="fffffff" localSheetId="5" hidden="1">{#N/A,#N/A,FALSE,"SumG";#N/A,#N/A,FALSE,"ElecG";#N/A,#N/A,FALSE,"MechG";#N/A,#N/A,FALSE,"GeotG";#N/A,#N/A,FALSE,"PrcsG";#N/A,#N/A,FALSE,"TunnG";#N/A,#N/A,FALSE,"CivlG";#N/A,#N/A,FALSE,"NtwkG";#N/A,#N/A,FALSE,"EstgG";#N/A,#N/A,FALSE,"PEngG"}</definedName>
    <definedName name="fffffff" localSheetId="6" hidden="1">{#N/A,#N/A,FALSE,"SumG";#N/A,#N/A,FALSE,"ElecG";#N/A,#N/A,FALSE,"MechG";#N/A,#N/A,FALSE,"GeotG";#N/A,#N/A,FALSE,"PrcsG";#N/A,#N/A,FALSE,"TunnG";#N/A,#N/A,FALSE,"CivlG";#N/A,#N/A,FALSE,"NtwkG";#N/A,#N/A,FALSE,"EstgG";#N/A,#N/A,FALSE,"PEngG"}</definedName>
    <definedName name="fffffff" localSheetId="3" hidden="1">{#N/A,#N/A,FALSE,"SumG";#N/A,#N/A,FALSE,"ElecG";#N/A,#N/A,FALSE,"MechG";#N/A,#N/A,FALSE,"GeotG";#N/A,#N/A,FALSE,"PrcsG";#N/A,#N/A,FALSE,"TunnG";#N/A,#N/A,FALSE,"CivlG";#N/A,#N/A,FALSE,"NtwkG";#N/A,#N/A,FALSE,"EstgG";#N/A,#N/A,FALSE,"PEngG"}</definedName>
    <definedName name="fffffff" localSheetId="4" hidden="1">{#N/A,#N/A,FALSE,"SumG";#N/A,#N/A,FALSE,"ElecG";#N/A,#N/A,FALSE,"MechG";#N/A,#N/A,FALSE,"GeotG";#N/A,#N/A,FALSE,"PrcsG";#N/A,#N/A,FALSE,"TunnG";#N/A,#N/A,FALSE,"CivlG";#N/A,#N/A,FALSE,"NtwkG";#N/A,#N/A,FALSE,"EstgG";#N/A,#N/A,FALSE,"PEngG"}</definedName>
    <definedName name="fffffff" localSheetId="13" hidden="1">{#N/A,#N/A,FALSE,"SumG";#N/A,#N/A,FALSE,"ElecG";#N/A,#N/A,FALSE,"MechG";#N/A,#N/A,FALSE,"GeotG";#N/A,#N/A,FALSE,"PrcsG";#N/A,#N/A,FALSE,"TunnG";#N/A,#N/A,FALSE,"CivlG";#N/A,#N/A,FALSE,"NtwkG";#N/A,#N/A,FALSE,"EstgG";#N/A,#N/A,FALSE,"PEngG"}</definedName>
    <definedName name="fffffff" hidden="1">{#N/A,#N/A,FALSE,"SumG";#N/A,#N/A,FALSE,"ElecG";#N/A,#N/A,FALSE,"MechG";#N/A,#N/A,FALSE,"GeotG";#N/A,#N/A,FALSE,"PrcsG";#N/A,#N/A,FALSE,"TunnG";#N/A,#N/A,FALSE,"CivlG";#N/A,#N/A,FALSE,"NtwkG";#N/A,#N/A,FALSE,"EstgG";#N/A,#N/A,FALSE,"PEngG"}</definedName>
    <definedName name="FFFFFFFF" localSheetId="5" hidden="1">{#N/A,#N/A,FALSE,"AVALUO";#N/A,#N/A,FALSE,"CONDOMINIO";#N/A,#N/A,FALSE,"TDF"}</definedName>
    <definedName name="FFFFFFFF" localSheetId="6" hidden="1">{#N/A,#N/A,FALSE,"AVALUO";#N/A,#N/A,FALSE,"CONDOMINIO";#N/A,#N/A,FALSE,"TDF"}</definedName>
    <definedName name="FFFFFFFF" localSheetId="4" hidden="1">{#N/A,#N/A,FALSE,"AVALUO";#N/A,#N/A,FALSE,"CONDOMINIO";#N/A,#N/A,FALSE,"TDF"}</definedName>
    <definedName name="FFFFFFFF" localSheetId="13" hidden="1">{#N/A,#N/A,FALSE,"AVALUO";#N/A,#N/A,FALSE,"CONDOMINIO";#N/A,#N/A,FALSE,"TDF"}</definedName>
    <definedName name="FFFFFFFF" hidden="1">{#N/A,#N/A,FALSE,"AVALUO";#N/A,#N/A,FALSE,"CONDOMINIO";#N/A,#N/A,FALSE,"TDF"}</definedName>
    <definedName name="ffffffffff" localSheetId="5" hidden="1">{#N/A,#N/A,FALSE,"SumG";#N/A,#N/A,FALSE,"ElecG";#N/A,#N/A,FALSE,"MechG";#N/A,#N/A,FALSE,"GeotG";#N/A,#N/A,FALSE,"PrcsG";#N/A,#N/A,FALSE,"TunnG";#N/A,#N/A,FALSE,"CivlG";#N/A,#N/A,FALSE,"NtwkG";#N/A,#N/A,FALSE,"EstgG";#N/A,#N/A,FALSE,"PEngG"}</definedName>
    <definedName name="ffffffffff" localSheetId="6" hidden="1">{#N/A,#N/A,FALSE,"SumG";#N/A,#N/A,FALSE,"ElecG";#N/A,#N/A,FALSE,"MechG";#N/A,#N/A,FALSE,"GeotG";#N/A,#N/A,FALSE,"PrcsG";#N/A,#N/A,FALSE,"TunnG";#N/A,#N/A,FALSE,"CivlG";#N/A,#N/A,FALSE,"NtwkG";#N/A,#N/A,FALSE,"EstgG";#N/A,#N/A,FALSE,"PEngG"}</definedName>
    <definedName name="ffffffffff" localSheetId="3" hidden="1">{#N/A,#N/A,FALSE,"SumG";#N/A,#N/A,FALSE,"ElecG";#N/A,#N/A,FALSE,"MechG";#N/A,#N/A,FALSE,"GeotG";#N/A,#N/A,FALSE,"PrcsG";#N/A,#N/A,FALSE,"TunnG";#N/A,#N/A,FALSE,"CivlG";#N/A,#N/A,FALSE,"NtwkG";#N/A,#N/A,FALSE,"EstgG";#N/A,#N/A,FALSE,"PEngG"}</definedName>
    <definedName name="ffffffffff" localSheetId="4" hidden="1">{#N/A,#N/A,FALSE,"SumG";#N/A,#N/A,FALSE,"ElecG";#N/A,#N/A,FALSE,"MechG";#N/A,#N/A,FALSE,"GeotG";#N/A,#N/A,FALSE,"PrcsG";#N/A,#N/A,FALSE,"TunnG";#N/A,#N/A,FALSE,"CivlG";#N/A,#N/A,FALSE,"NtwkG";#N/A,#N/A,FALSE,"EstgG";#N/A,#N/A,FALSE,"PEngG"}</definedName>
    <definedName name="ffffffffff" localSheetId="13" hidden="1">{#N/A,#N/A,FALSE,"SumG";#N/A,#N/A,FALSE,"ElecG";#N/A,#N/A,FALSE,"MechG";#N/A,#N/A,FALSE,"GeotG";#N/A,#N/A,FALSE,"PrcsG";#N/A,#N/A,FALSE,"TunnG";#N/A,#N/A,FALSE,"CivlG";#N/A,#N/A,FALSE,"NtwkG";#N/A,#N/A,FALSE,"EstgG";#N/A,#N/A,FALSE,"PEngG"}</definedName>
    <definedName name="ffffffffff" hidden="1">{#N/A,#N/A,FALSE,"SumG";#N/A,#N/A,FALSE,"ElecG";#N/A,#N/A,FALSE,"MechG";#N/A,#N/A,FALSE,"GeotG";#N/A,#N/A,FALSE,"PrcsG";#N/A,#N/A,FALSE,"TunnG";#N/A,#N/A,FALSE,"CivlG";#N/A,#N/A,FALSE,"NtwkG";#N/A,#N/A,FALSE,"EstgG";#N/A,#N/A,FALSE,"PEngG"}</definedName>
    <definedName name="FFFFFFFFFFFFFFFF" hidden="1">#REF!</definedName>
    <definedName name="FFFFFFFFFFFFFFFFFFFFFFFFFFFFFFFFFFFFFFFFFFFFFFFFFFFFFFFFFFFFFFFFFF" hidden="1">#REF!</definedName>
    <definedName name="fg" localSheetId="5" hidden="1">{#N/A,#N/A,FALSE,"SumG";#N/A,#N/A,FALSE,"ElecG";#N/A,#N/A,FALSE,"MechG";#N/A,#N/A,FALSE,"GeotG";#N/A,#N/A,FALSE,"PrcsG";#N/A,#N/A,FALSE,"TunnG";#N/A,#N/A,FALSE,"CivlG";#N/A,#N/A,FALSE,"NtwkG";#N/A,#N/A,FALSE,"EstgG";#N/A,#N/A,FALSE,"PEngG"}</definedName>
    <definedName name="fg" localSheetId="6" hidden="1">{#N/A,#N/A,FALSE,"SumG";#N/A,#N/A,FALSE,"ElecG";#N/A,#N/A,FALSE,"MechG";#N/A,#N/A,FALSE,"GeotG";#N/A,#N/A,FALSE,"PrcsG";#N/A,#N/A,FALSE,"TunnG";#N/A,#N/A,FALSE,"CivlG";#N/A,#N/A,FALSE,"NtwkG";#N/A,#N/A,FALSE,"EstgG";#N/A,#N/A,FALSE,"PEngG"}</definedName>
    <definedName name="fg" localSheetId="3" hidden="1">{#N/A,#N/A,FALSE,"SumG";#N/A,#N/A,FALSE,"ElecG";#N/A,#N/A,FALSE,"MechG";#N/A,#N/A,FALSE,"GeotG";#N/A,#N/A,FALSE,"PrcsG";#N/A,#N/A,FALSE,"TunnG";#N/A,#N/A,FALSE,"CivlG";#N/A,#N/A,FALSE,"NtwkG";#N/A,#N/A,FALSE,"EstgG";#N/A,#N/A,FALSE,"PEngG"}</definedName>
    <definedName name="fg" localSheetId="4" hidden="1">{#N/A,#N/A,FALSE,"SumG";#N/A,#N/A,FALSE,"ElecG";#N/A,#N/A,FALSE,"MechG";#N/A,#N/A,FALSE,"GeotG";#N/A,#N/A,FALSE,"PrcsG";#N/A,#N/A,FALSE,"TunnG";#N/A,#N/A,FALSE,"CivlG";#N/A,#N/A,FALSE,"NtwkG";#N/A,#N/A,FALSE,"EstgG";#N/A,#N/A,FALSE,"PEngG"}</definedName>
    <definedName name="fg" localSheetId="13" hidden="1">{#N/A,#N/A,FALSE,"SumG";#N/A,#N/A,FALSE,"ElecG";#N/A,#N/A,FALSE,"MechG";#N/A,#N/A,FALSE,"GeotG";#N/A,#N/A,FALSE,"PrcsG";#N/A,#N/A,FALSE,"TunnG";#N/A,#N/A,FALSE,"CivlG";#N/A,#N/A,FALSE,"NtwkG";#N/A,#N/A,FALSE,"EstgG";#N/A,#N/A,FALSE,"PEngG"}</definedName>
    <definedName name="fg" hidden="1">{#N/A,#N/A,FALSE,"SumG";#N/A,#N/A,FALSE,"ElecG";#N/A,#N/A,FALSE,"MechG";#N/A,#N/A,FALSE,"GeotG";#N/A,#N/A,FALSE,"PrcsG";#N/A,#N/A,FALSE,"TunnG";#N/A,#N/A,FALSE,"CivlG";#N/A,#N/A,FALSE,"NtwkG";#N/A,#N/A,FALSE,"EstgG";#N/A,#N/A,FALSE,"PEngG"}</definedName>
    <definedName name="fgdfg" localSheetId="5" hidden="1">{#N/A,#N/A,FALSE,"SumD";#N/A,#N/A,FALSE,"ElecD";#N/A,#N/A,FALSE,"MechD";#N/A,#N/A,FALSE,"GeotD";#N/A,#N/A,FALSE,"PrcsD";#N/A,#N/A,FALSE,"TunnD";#N/A,#N/A,FALSE,"CivlD";#N/A,#N/A,FALSE,"NtwkD";#N/A,#N/A,FALSE,"EstgD";#N/A,#N/A,FALSE,"PEngD"}</definedName>
    <definedName name="fgdfg" localSheetId="6" hidden="1">{#N/A,#N/A,FALSE,"SumD";#N/A,#N/A,FALSE,"ElecD";#N/A,#N/A,FALSE,"MechD";#N/A,#N/A,FALSE,"GeotD";#N/A,#N/A,FALSE,"PrcsD";#N/A,#N/A,FALSE,"TunnD";#N/A,#N/A,FALSE,"CivlD";#N/A,#N/A,FALSE,"NtwkD";#N/A,#N/A,FALSE,"EstgD";#N/A,#N/A,FALSE,"PEngD"}</definedName>
    <definedName name="fgdfg" localSheetId="3" hidden="1">{#N/A,#N/A,FALSE,"SumD";#N/A,#N/A,FALSE,"ElecD";#N/A,#N/A,FALSE,"MechD";#N/A,#N/A,FALSE,"GeotD";#N/A,#N/A,FALSE,"PrcsD";#N/A,#N/A,FALSE,"TunnD";#N/A,#N/A,FALSE,"CivlD";#N/A,#N/A,FALSE,"NtwkD";#N/A,#N/A,FALSE,"EstgD";#N/A,#N/A,FALSE,"PEngD"}</definedName>
    <definedName name="fgdfg" localSheetId="4"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5" hidden="1">{#N/A,#N/A,FALSE,"SumG";#N/A,#N/A,FALSE,"ElecG";#N/A,#N/A,FALSE,"MechG";#N/A,#N/A,FALSE,"GeotG";#N/A,#N/A,FALSE,"PrcsG";#N/A,#N/A,FALSE,"TunnG";#N/A,#N/A,FALSE,"CivlG";#N/A,#N/A,FALSE,"NtwkG";#N/A,#N/A,FALSE,"EstgG";#N/A,#N/A,FALSE,"PEngG"}</definedName>
    <definedName name="fgfdg" localSheetId="6" hidden="1">{#N/A,#N/A,FALSE,"SumG";#N/A,#N/A,FALSE,"ElecG";#N/A,#N/A,FALSE,"MechG";#N/A,#N/A,FALSE,"GeotG";#N/A,#N/A,FALSE,"PrcsG";#N/A,#N/A,FALSE,"TunnG";#N/A,#N/A,FALSE,"CivlG";#N/A,#N/A,FALSE,"NtwkG";#N/A,#N/A,FALSE,"EstgG";#N/A,#N/A,FALSE,"PEngG"}</definedName>
    <definedName name="fgfdg" localSheetId="3" hidden="1">{#N/A,#N/A,FALSE,"SumG";#N/A,#N/A,FALSE,"ElecG";#N/A,#N/A,FALSE,"MechG";#N/A,#N/A,FALSE,"GeotG";#N/A,#N/A,FALSE,"PrcsG";#N/A,#N/A,FALSE,"TunnG";#N/A,#N/A,FALSE,"CivlG";#N/A,#N/A,FALSE,"NtwkG";#N/A,#N/A,FALSE,"EstgG";#N/A,#N/A,FALSE,"PEngG"}</definedName>
    <definedName name="fgfdg" localSheetId="4"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51561351854631531820220" localSheetId="5" hidden="1">{"CONCABL1.1",#N/A,FALSE,"1.1.1a1.1.3 ACSR";"AISL1.2",#N/A,FALSE,"1.1.1a1.1.3 ACSR";"torr1.1.3",#N/A,FALSE,"1.1.1a1.1.3 ACSR";"cm1.2",#N/A,FALSE,"1.2 ACSR";"cm2.2",#N/A,FALSE,"1.2 ACSR";#N/A,#N/A,FALSE,"1.3 ACSR";#N/A,#N/A,FALSE,"2.1.1A2.1.3 ACAR";"ac2.1",#N/A,FALSE,"1.2 ACAR";"ac2.2",#N/A,FALSE,"1.2 ACAR";#N/A,#N/A,FALSE,"2.3 ACAR"}</definedName>
    <definedName name="fgh51561351854631531820220" localSheetId="6" hidden="1">{"CONCABL1.1",#N/A,FALSE,"1.1.1a1.1.3 ACSR";"AISL1.2",#N/A,FALSE,"1.1.1a1.1.3 ACSR";"torr1.1.3",#N/A,FALSE,"1.1.1a1.1.3 ACSR";"cm1.2",#N/A,FALSE,"1.2 ACSR";"cm2.2",#N/A,FALSE,"1.2 ACSR";#N/A,#N/A,FALSE,"1.3 ACSR";#N/A,#N/A,FALSE,"2.1.1A2.1.3 ACAR";"ac2.1",#N/A,FALSE,"1.2 ACAR";"ac2.2",#N/A,FALSE,"1.2 ACAR";#N/A,#N/A,FALSE,"2.3 ACAR"}</definedName>
    <definedName name="fgh51561351854631531820220" localSheetId="4" hidden="1">{"CONCABL1.1",#N/A,FALSE,"1.1.1a1.1.3 ACSR";"AISL1.2",#N/A,FALSE,"1.1.1a1.1.3 ACSR";"torr1.1.3",#N/A,FALSE,"1.1.1a1.1.3 ACSR";"cm1.2",#N/A,FALSE,"1.2 ACSR";"cm2.2",#N/A,FALSE,"1.2 ACSR";#N/A,#N/A,FALSE,"1.3 ACSR";#N/A,#N/A,FALSE,"2.1.1A2.1.3 ACAR";"ac2.1",#N/A,FALSE,"1.2 ACAR";"ac2.2",#N/A,FALSE,"1.2 ACAR";#N/A,#N/A,FALSE,"2.3 ACAR"}</definedName>
    <definedName name="fgh51561351854631531820220" localSheetId="13" hidden="1">{"CONCABL1.1",#N/A,FALSE,"1.1.1a1.1.3 ACSR";"AISL1.2",#N/A,FALSE,"1.1.1a1.1.3 ACSR";"torr1.1.3",#N/A,FALSE,"1.1.1a1.1.3 ACSR";"cm1.2",#N/A,FALSE,"1.2 ACSR";"cm2.2",#N/A,FALSE,"1.2 ACSR";#N/A,#N/A,FALSE,"1.3 ACSR";#N/A,#N/A,FALSE,"2.1.1A2.1.3 ACAR";"ac2.1",#N/A,FALSE,"1.2 ACAR";"ac2.2",#N/A,FALSE,"1.2 ACAR";#N/A,#N/A,FALSE,"2.3 ACAR"}</definedName>
    <definedName name="fgh51561351854631531820220" hidden="1">{"CONCABL1.1",#N/A,FALSE,"1.1.1a1.1.3 ACSR";"AISL1.2",#N/A,FALSE,"1.1.1a1.1.3 ACSR";"torr1.1.3",#N/A,FALSE,"1.1.1a1.1.3 ACSR";"cm1.2",#N/A,FALSE,"1.2 ACSR";"cm2.2",#N/A,FALSE,"1.2 ACSR";#N/A,#N/A,FALSE,"1.3 ACSR";#N/A,#N/A,FALSE,"2.1.1A2.1.3 ACAR";"ac2.1",#N/A,FALSE,"1.2 ACAR";"ac2.2",#N/A,FALSE,"1.2 ACAR";#N/A,#N/A,FALSE,"2.3 ACAR"}</definedName>
    <definedName name="fghfg" localSheetId="5" hidden="1">{#N/A,#N/A,FALSE,"SumD";#N/A,#N/A,FALSE,"ElecD";#N/A,#N/A,FALSE,"MechD";#N/A,#N/A,FALSE,"GeotD";#N/A,#N/A,FALSE,"PrcsD";#N/A,#N/A,FALSE,"TunnD";#N/A,#N/A,FALSE,"CivlD";#N/A,#N/A,FALSE,"NtwkD";#N/A,#N/A,FALSE,"EstgD";#N/A,#N/A,FALSE,"PEngD"}</definedName>
    <definedName name="fghfg" localSheetId="6" hidden="1">{#N/A,#N/A,FALSE,"SumD";#N/A,#N/A,FALSE,"ElecD";#N/A,#N/A,FALSE,"MechD";#N/A,#N/A,FALSE,"GeotD";#N/A,#N/A,FALSE,"PrcsD";#N/A,#N/A,FALSE,"TunnD";#N/A,#N/A,FALSE,"CivlD";#N/A,#N/A,FALSE,"NtwkD";#N/A,#N/A,FALSE,"EstgD";#N/A,#N/A,FALSE,"PEngD"}</definedName>
    <definedName name="fghfg" localSheetId="3" hidden="1">{#N/A,#N/A,FALSE,"SumD";#N/A,#N/A,FALSE,"ElecD";#N/A,#N/A,FALSE,"MechD";#N/A,#N/A,FALSE,"GeotD";#N/A,#N/A,FALSE,"PrcsD";#N/A,#N/A,FALSE,"TunnD";#N/A,#N/A,FALSE,"CivlD";#N/A,#N/A,FALSE,"NtwkD";#N/A,#N/A,FALSE,"EstgD";#N/A,#N/A,FALSE,"PEngD"}</definedName>
    <definedName name="fghfg" localSheetId="4"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5" hidden="1">{#N/A,#N/A,FALSE,"SumD";#N/A,#N/A,FALSE,"ElecD";#N/A,#N/A,FALSE,"MechD";#N/A,#N/A,FALSE,"GeotD";#N/A,#N/A,FALSE,"PrcsD";#N/A,#N/A,FALSE,"TunnD";#N/A,#N/A,FALSE,"CivlD";#N/A,#N/A,FALSE,"NtwkD";#N/A,#N/A,FALSE,"EstgD";#N/A,#N/A,FALSE,"PEngD"}</definedName>
    <definedName name="FGHH" localSheetId="6" hidden="1">{#N/A,#N/A,FALSE,"SumD";#N/A,#N/A,FALSE,"ElecD";#N/A,#N/A,FALSE,"MechD";#N/A,#N/A,FALSE,"GeotD";#N/A,#N/A,FALSE,"PrcsD";#N/A,#N/A,FALSE,"TunnD";#N/A,#N/A,FALSE,"CivlD";#N/A,#N/A,FALSE,"NtwkD";#N/A,#N/A,FALSE,"EstgD";#N/A,#N/A,FALSE,"PEngD"}</definedName>
    <definedName name="FGHH" localSheetId="3" hidden="1">{#N/A,#N/A,FALSE,"SumD";#N/A,#N/A,FALSE,"ElecD";#N/A,#N/A,FALSE,"MechD";#N/A,#N/A,FALSE,"GeotD";#N/A,#N/A,FALSE,"PrcsD";#N/A,#N/A,FALSE,"TunnD";#N/A,#N/A,FALSE,"CivlD";#N/A,#N/A,FALSE,"NtwkD";#N/A,#N/A,FALSE,"EstgD";#N/A,#N/A,FALSE,"PEngD"}</definedName>
    <definedName name="FGHH" localSheetId="4"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hg" localSheetId="5" hidden="1">{#N/A,#N/A,TRUE,"1842CWN0"}</definedName>
    <definedName name="fhg" localSheetId="6" hidden="1">{#N/A,#N/A,TRUE,"1842CWN0"}</definedName>
    <definedName name="fhg" localSheetId="3" hidden="1">{#N/A,#N/A,TRUE,"1842CWN0"}</definedName>
    <definedName name="fhg" localSheetId="4" hidden="1">{#N/A,#N/A,TRUE,"1842CWN0"}</definedName>
    <definedName name="fhg" localSheetId="13" hidden="1">{#N/A,#N/A,TRUE,"1842CWN0"}</definedName>
    <definedName name="fhg" hidden="1">{#N/A,#N/A,TRUE,"1842CWN0"}</definedName>
    <definedName name="fill" hidden="1">#REF!</definedName>
    <definedName name="Filla" hidden="1">#REF!</definedName>
    <definedName name="FNIÑO" hidden="1">#REF!</definedName>
    <definedName name="FORMAS" hidden="1">#REF!</definedName>
    <definedName name="fs_1" localSheetId="5" hidden="1">{#N/A,#N/A,FALSE,"ACTIVO FIJO";#N/A,#N/A,FALSE,"COBRAR";#N/A,#N/A,FALSE,"AFILIADAS";#N/A,#N/A,FALSE,"PAGAR";#N/A,#N/A,FALSE,"INSTIT. FINANCIERAS";#N/A,#N/A,FALSE,"VALORES"}</definedName>
    <definedName name="fs_1" localSheetId="6" hidden="1">{#N/A,#N/A,FALSE,"ACTIVO FIJO";#N/A,#N/A,FALSE,"COBRAR";#N/A,#N/A,FALSE,"AFILIADAS";#N/A,#N/A,FALSE,"PAGAR";#N/A,#N/A,FALSE,"INSTIT. FINANCIERAS";#N/A,#N/A,FALSE,"VALORES"}</definedName>
    <definedName name="fs_1" localSheetId="4" hidden="1">{#N/A,#N/A,FALSE,"ACTIVO FIJO";#N/A,#N/A,FALSE,"COBRAR";#N/A,#N/A,FALSE,"AFILIADAS";#N/A,#N/A,FALSE,"PAGAR";#N/A,#N/A,FALSE,"INSTIT. FINANCIERAS";#N/A,#N/A,FALSE,"VALORES"}</definedName>
    <definedName name="fs_1" localSheetId="13" hidden="1">{#N/A,#N/A,FALSE,"ACTIVO FIJO";#N/A,#N/A,FALSE,"COBRAR";#N/A,#N/A,FALSE,"AFILIADAS";#N/A,#N/A,FALSE,"PAGAR";#N/A,#N/A,FALSE,"INSTIT. FINANCIERAS";#N/A,#N/A,FALSE,"VALORES"}</definedName>
    <definedName name="fs_1" hidden="1">{#N/A,#N/A,FALSE,"ACTIVO FIJO";#N/A,#N/A,FALSE,"COBRAR";#N/A,#N/A,FALSE,"AFILIADAS";#N/A,#N/A,FALSE,"PAGAR";#N/A,#N/A,FALSE,"INSTIT. FINANCIERAS";#N/A,#N/A,FALSE,"VALORES"}</definedName>
    <definedName name="FSD" hidden="1">#REF!</definedName>
    <definedName name="fsdfsf" hidden="1">#REF!</definedName>
    <definedName name="fssdf" localSheetId="5" hidden="1">{#N/A,#N/A,FALSE,"SumD";#N/A,#N/A,FALSE,"ElecD";#N/A,#N/A,FALSE,"MechD";#N/A,#N/A,FALSE,"GeotD";#N/A,#N/A,FALSE,"PrcsD";#N/A,#N/A,FALSE,"TunnD";#N/A,#N/A,FALSE,"CivlD";#N/A,#N/A,FALSE,"NtwkD";#N/A,#N/A,FALSE,"EstgD";#N/A,#N/A,FALSE,"PEngD"}</definedName>
    <definedName name="fssdf" localSheetId="6" hidden="1">{#N/A,#N/A,FALSE,"SumD";#N/A,#N/A,FALSE,"ElecD";#N/A,#N/A,FALSE,"MechD";#N/A,#N/A,FALSE,"GeotD";#N/A,#N/A,FALSE,"PrcsD";#N/A,#N/A,FALSE,"TunnD";#N/A,#N/A,FALSE,"CivlD";#N/A,#N/A,FALSE,"NtwkD";#N/A,#N/A,FALSE,"EstgD";#N/A,#N/A,FALSE,"PEngD"}</definedName>
    <definedName name="fssdf" localSheetId="4"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TDSH" hidden="1">#REF!</definedName>
    <definedName name="FU" hidden="1">#REF!</definedName>
    <definedName name="gbggg" localSheetId="5" hidden="1">{#N/A,#N/A,FALSE,"SumD";#N/A,#N/A,FALSE,"ElecD";#N/A,#N/A,FALSE,"MechD";#N/A,#N/A,FALSE,"GeotD";#N/A,#N/A,FALSE,"PrcsD";#N/A,#N/A,FALSE,"TunnD";#N/A,#N/A,FALSE,"CivlD";#N/A,#N/A,FALSE,"NtwkD";#N/A,#N/A,FALSE,"EstgD";#N/A,#N/A,FALSE,"PEngD"}</definedName>
    <definedName name="gbggg" localSheetId="6" hidden="1">{#N/A,#N/A,FALSE,"SumD";#N/A,#N/A,FALSE,"ElecD";#N/A,#N/A,FALSE,"MechD";#N/A,#N/A,FALSE,"GeotD";#N/A,#N/A,FALSE,"PrcsD";#N/A,#N/A,FALSE,"TunnD";#N/A,#N/A,FALSE,"CivlD";#N/A,#N/A,FALSE,"NtwkD";#N/A,#N/A,FALSE,"EstgD";#N/A,#N/A,FALSE,"PEngD"}</definedName>
    <definedName name="gbggg" localSheetId="3" hidden="1">{#N/A,#N/A,FALSE,"SumD";#N/A,#N/A,FALSE,"ElecD";#N/A,#N/A,FALSE,"MechD";#N/A,#N/A,FALSE,"GeotD";#N/A,#N/A,FALSE,"PrcsD";#N/A,#N/A,FALSE,"TunnD";#N/A,#N/A,FALSE,"CivlD";#N/A,#N/A,FALSE,"NtwkD";#N/A,#N/A,FALSE,"EstgD";#N/A,#N/A,FALSE,"PEngD"}</definedName>
    <definedName name="gbggg" localSheetId="4" hidden="1">{#N/A,#N/A,FALSE,"SumD";#N/A,#N/A,FALSE,"ElecD";#N/A,#N/A,FALSE,"MechD";#N/A,#N/A,FALSE,"GeotD";#N/A,#N/A,FALSE,"PrcsD";#N/A,#N/A,FALSE,"TunnD";#N/A,#N/A,FALSE,"CivlD";#N/A,#N/A,FALSE,"NtwkD";#N/A,#N/A,FALSE,"EstgD";#N/A,#N/A,FALSE,"PEngD"}</definedName>
    <definedName name="gbggg" localSheetId="13" hidden="1">{#N/A,#N/A,FALSE,"SumD";#N/A,#N/A,FALSE,"ElecD";#N/A,#N/A,FALSE,"MechD";#N/A,#N/A,FALSE,"GeotD";#N/A,#N/A,FALSE,"PrcsD";#N/A,#N/A,FALSE,"TunnD";#N/A,#N/A,FALSE,"CivlD";#N/A,#N/A,FALSE,"NtwkD";#N/A,#N/A,FALSE,"EstgD";#N/A,#N/A,FALSE,"PEngD"}</definedName>
    <definedName name="gbggg" hidden="1">{#N/A,#N/A,FALSE,"SumD";#N/A,#N/A,FALSE,"ElecD";#N/A,#N/A,FALSE,"MechD";#N/A,#N/A,FALSE,"GeotD";#N/A,#N/A,FALSE,"PrcsD";#N/A,#N/A,FALSE,"TunnD";#N/A,#N/A,FALSE,"CivlD";#N/A,#N/A,FALSE,"NtwkD";#N/A,#N/A,FALSE,"EstgD";#N/A,#N/A,FALSE,"PEngD"}</definedName>
    <definedName name="GEN" hidden="1">#REF!</definedName>
    <definedName name="gfd" hidden="1">#REF!</definedName>
    <definedName name="gfdgfdg" localSheetId="5" hidden="1">{#N/A,#N/A,FALSE,"SumD";#N/A,#N/A,FALSE,"ElecD";#N/A,#N/A,FALSE,"MechD";#N/A,#N/A,FALSE,"GeotD";#N/A,#N/A,FALSE,"PrcsD";#N/A,#N/A,FALSE,"TunnD";#N/A,#N/A,FALSE,"CivlD";#N/A,#N/A,FALSE,"NtwkD";#N/A,#N/A,FALSE,"EstgD";#N/A,#N/A,FALSE,"PEngD"}</definedName>
    <definedName name="gfdgfdg" localSheetId="6" hidden="1">{#N/A,#N/A,FALSE,"SumD";#N/A,#N/A,FALSE,"ElecD";#N/A,#N/A,FALSE,"MechD";#N/A,#N/A,FALSE,"GeotD";#N/A,#N/A,FALSE,"PrcsD";#N/A,#N/A,FALSE,"TunnD";#N/A,#N/A,FALSE,"CivlD";#N/A,#N/A,FALSE,"NtwkD";#N/A,#N/A,FALSE,"EstgD";#N/A,#N/A,FALSE,"PEngD"}</definedName>
    <definedName name="gfdgfdg" localSheetId="3" hidden="1">{#N/A,#N/A,FALSE,"SumD";#N/A,#N/A,FALSE,"ElecD";#N/A,#N/A,FALSE,"MechD";#N/A,#N/A,FALSE,"GeotD";#N/A,#N/A,FALSE,"PrcsD";#N/A,#N/A,FALSE,"TunnD";#N/A,#N/A,FALSE,"CivlD";#N/A,#N/A,FALSE,"NtwkD";#N/A,#N/A,FALSE,"EstgD";#N/A,#N/A,FALSE,"PEngD"}</definedName>
    <definedName name="gfdgfdg" localSheetId="4"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5" hidden="1">{#N/A,#N/A,FALSE,"SumD";#N/A,#N/A,FALSE,"ElecD";#N/A,#N/A,FALSE,"MechD";#N/A,#N/A,FALSE,"GeotD";#N/A,#N/A,FALSE,"PrcsD";#N/A,#N/A,FALSE,"TunnD";#N/A,#N/A,FALSE,"CivlD";#N/A,#N/A,FALSE,"NtwkD";#N/A,#N/A,FALSE,"EstgD";#N/A,#N/A,FALSE,"PEngD"}</definedName>
    <definedName name="gfgfgfgfg" localSheetId="6" hidden="1">{#N/A,#N/A,FALSE,"SumD";#N/A,#N/A,FALSE,"ElecD";#N/A,#N/A,FALSE,"MechD";#N/A,#N/A,FALSE,"GeotD";#N/A,#N/A,FALSE,"PrcsD";#N/A,#N/A,FALSE,"TunnD";#N/A,#N/A,FALSE,"CivlD";#N/A,#N/A,FALSE,"NtwkD";#N/A,#N/A,FALSE,"EstgD";#N/A,#N/A,FALSE,"PEngD"}</definedName>
    <definedName name="gfgfgfgfg" localSheetId="3" hidden="1">{#N/A,#N/A,FALSE,"SumD";#N/A,#N/A,FALSE,"ElecD";#N/A,#N/A,FALSE,"MechD";#N/A,#N/A,FALSE,"GeotD";#N/A,#N/A,FALSE,"PrcsD";#N/A,#N/A,FALSE,"TunnD";#N/A,#N/A,FALSE,"CivlD";#N/A,#N/A,FALSE,"NtwkD";#N/A,#N/A,FALSE,"EstgD";#N/A,#N/A,FALSE,"PEngD"}</definedName>
    <definedName name="gfgfgfgfg" localSheetId="4"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5" hidden="1">{#N/A,#N/A,FALSE,"SumG";#N/A,#N/A,FALSE,"ElecG";#N/A,#N/A,FALSE,"MechG";#N/A,#N/A,FALSE,"GeotG";#N/A,#N/A,FALSE,"PrcsG";#N/A,#N/A,FALSE,"TunnG";#N/A,#N/A,FALSE,"CivlG";#N/A,#N/A,FALSE,"NtwkG";#N/A,#N/A,FALSE,"EstgG";#N/A,#N/A,FALSE,"PEngG"}</definedName>
    <definedName name="gfgfgfgss" localSheetId="6" hidden="1">{#N/A,#N/A,FALSE,"SumG";#N/A,#N/A,FALSE,"ElecG";#N/A,#N/A,FALSE,"MechG";#N/A,#N/A,FALSE,"GeotG";#N/A,#N/A,FALSE,"PrcsG";#N/A,#N/A,FALSE,"TunnG";#N/A,#N/A,FALSE,"CivlG";#N/A,#N/A,FALSE,"NtwkG";#N/A,#N/A,FALSE,"EstgG";#N/A,#N/A,FALSE,"PEngG"}</definedName>
    <definedName name="gfgfgfgss" localSheetId="3" hidden="1">{#N/A,#N/A,FALSE,"SumG";#N/A,#N/A,FALSE,"ElecG";#N/A,#N/A,FALSE,"MechG";#N/A,#N/A,FALSE,"GeotG";#N/A,#N/A,FALSE,"PrcsG";#N/A,#N/A,FALSE,"TunnG";#N/A,#N/A,FALSE,"CivlG";#N/A,#N/A,FALSE,"NtwkG";#N/A,#N/A,FALSE,"EstgG";#N/A,#N/A,FALSE,"PEngG"}</definedName>
    <definedName name="gfgfgfgss" localSheetId="4"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G_1" localSheetId="5" hidden="1">{#N/A,#N/A,FALSE,"ACTIVO FIJO";#N/A,#N/A,FALSE,"COBRAR";#N/A,#N/A,FALSE,"AFILIADAS";#N/A,#N/A,FALSE,"PAGAR";#N/A,#N/A,FALSE,"INSTIT. FINANCIERAS";#N/A,#N/A,FALSE,"VALORES"}</definedName>
    <definedName name="GGG_1" localSheetId="6" hidden="1">{#N/A,#N/A,FALSE,"ACTIVO FIJO";#N/A,#N/A,FALSE,"COBRAR";#N/A,#N/A,FALSE,"AFILIADAS";#N/A,#N/A,FALSE,"PAGAR";#N/A,#N/A,FALSE,"INSTIT. FINANCIERAS";#N/A,#N/A,FALSE,"VALORES"}</definedName>
    <definedName name="GGG_1" localSheetId="4" hidden="1">{#N/A,#N/A,FALSE,"ACTIVO FIJO";#N/A,#N/A,FALSE,"COBRAR";#N/A,#N/A,FALSE,"AFILIADAS";#N/A,#N/A,FALSE,"PAGAR";#N/A,#N/A,FALSE,"INSTIT. FINANCIERAS";#N/A,#N/A,FALSE,"VALORES"}</definedName>
    <definedName name="GGG_1" localSheetId="13" hidden="1">{#N/A,#N/A,FALSE,"ACTIVO FIJO";#N/A,#N/A,FALSE,"COBRAR";#N/A,#N/A,FALSE,"AFILIADAS";#N/A,#N/A,FALSE,"PAGAR";#N/A,#N/A,FALSE,"INSTIT. FINANCIERAS";#N/A,#N/A,FALSE,"VALORES"}</definedName>
    <definedName name="GGG_1" hidden="1">{#N/A,#N/A,FALSE,"ACTIVO FIJO";#N/A,#N/A,FALSE,"COBRAR";#N/A,#N/A,FALSE,"AFILIADAS";#N/A,#N/A,FALSE,"PAGAR";#N/A,#N/A,FALSE,"INSTIT. FINANCIERAS";#N/A,#N/A,FALSE,"VALORES"}</definedName>
    <definedName name="gggg" localSheetId="5" hidden="1">{#N/A,#N/A,FALSE,"SumD";#N/A,#N/A,FALSE,"ElecD";#N/A,#N/A,FALSE,"MechD";#N/A,#N/A,FALSE,"GeotD";#N/A,#N/A,FALSE,"PrcsD";#N/A,#N/A,FALSE,"TunnD";#N/A,#N/A,FALSE,"CivlD";#N/A,#N/A,FALSE,"NtwkD";#N/A,#N/A,FALSE,"EstgD";#N/A,#N/A,FALSE,"PEngD"}</definedName>
    <definedName name="gggg" localSheetId="6" hidden="1">{#N/A,#N/A,FALSE,"SumD";#N/A,#N/A,FALSE,"ElecD";#N/A,#N/A,FALSE,"MechD";#N/A,#N/A,FALSE,"GeotD";#N/A,#N/A,FALSE,"PrcsD";#N/A,#N/A,FALSE,"TunnD";#N/A,#N/A,FALSE,"CivlD";#N/A,#N/A,FALSE,"NtwkD";#N/A,#N/A,FALSE,"EstgD";#N/A,#N/A,FALSE,"PEngD"}</definedName>
    <definedName name="gggg" localSheetId="3" hidden="1">{#N/A,#N/A,FALSE,"SumD";#N/A,#N/A,FALSE,"ElecD";#N/A,#N/A,FALSE,"MechD";#N/A,#N/A,FALSE,"GeotD";#N/A,#N/A,FALSE,"PrcsD";#N/A,#N/A,FALSE,"TunnD";#N/A,#N/A,FALSE,"CivlD";#N/A,#N/A,FALSE,"NtwkD";#N/A,#N/A,FALSE,"EstgD";#N/A,#N/A,FALSE,"PEngD"}</definedName>
    <definedName name="gggg" localSheetId="4"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 hidden="1">#REF!</definedName>
    <definedName name="ggggggg" localSheetId="5" hidden="1">{#N/A,#N/A,FALSE,"SumD";#N/A,#N/A,FALSE,"ElecD";#N/A,#N/A,FALSE,"MechD";#N/A,#N/A,FALSE,"GeotD";#N/A,#N/A,FALSE,"PrcsD";#N/A,#N/A,FALSE,"TunnD";#N/A,#N/A,FALSE,"CivlD";#N/A,#N/A,FALSE,"NtwkD";#N/A,#N/A,FALSE,"EstgD";#N/A,#N/A,FALSE,"PEngD"}</definedName>
    <definedName name="ggggggg" localSheetId="6" hidden="1">{#N/A,#N/A,FALSE,"SumD";#N/A,#N/A,FALSE,"ElecD";#N/A,#N/A,FALSE,"MechD";#N/A,#N/A,FALSE,"GeotD";#N/A,#N/A,FALSE,"PrcsD";#N/A,#N/A,FALSE,"TunnD";#N/A,#N/A,FALSE,"CivlD";#N/A,#N/A,FALSE,"NtwkD";#N/A,#N/A,FALSE,"EstgD";#N/A,#N/A,FALSE,"PEngD"}</definedName>
    <definedName name="ggggggg" localSheetId="3" hidden="1">{#N/A,#N/A,FALSE,"SumD";#N/A,#N/A,FALSE,"ElecD";#N/A,#N/A,FALSE,"MechD";#N/A,#N/A,FALSE,"GeotD";#N/A,#N/A,FALSE,"PrcsD";#N/A,#N/A,FALSE,"TunnD";#N/A,#N/A,FALSE,"CivlD";#N/A,#N/A,FALSE,"NtwkD";#N/A,#N/A,FALSE,"EstgD";#N/A,#N/A,FALSE,"PEngD"}</definedName>
    <definedName name="ggggggg" localSheetId="4" hidden="1">{#N/A,#N/A,FALSE,"SumD";#N/A,#N/A,FALSE,"ElecD";#N/A,#N/A,FALSE,"MechD";#N/A,#N/A,FALSE,"GeotD";#N/A,#N/A,FALSE,"PrcsD";#N/A,#N/A,FALSE,"TunnD";#N/A,#N/A,FALSE,"CivlD";#N/A,#N/A,FALSE,"NtwkD";#N/A,#N/A,FALSE,"EstgD";#N/A,#N/A,FALSE,"PEngD"}</definedName>
    <definedName name="ggggggg" localSheetId="13" hidden="1">{#N/A,#N/A,FALSE,"SumD";#N/A,#N/A,FALSE,"ElecD";#N/A,#N/A,FALSE,"MechD";#N/A,#N/A,FALSE,"GeotD";#N/A,#N/A,FALSE,"PrcsD";#N/A,#N/A,FALSE,"TunnD";#N/A,#N/A,FALSE,"CivlD";#N/A,#N/A,FALSE,"NtwkD";#N/A,#N/A,FALSE,"EstgD";#N/A,#N/A,FALSE,"PEngD"}</definedName>
    <definedName name="ggggggg" hidden="1">{#N/A,#N/A,FALSE,"SumD";#N/A,#N/A,FALSE,"ElecD";#N/A,#N/A,FALSE,"MechD";#N/A,#N/A,FALSE,"GeotD";#N/A,#N/A,FALSE,"PrcsD";#N/A,#N/A,FALSE,"TunnD";#N/A,#N/A,FALSE,"CivlD";#N/A,#N/A,FALSE,"NtwkD";#N/A,#N/A,FALSE,"EstgD";#N/A,#N/A,FALSE,"PEngD"}</definedName>
    <definedName name="GGGGGGGGGGGG" localSheetId="5" hidden="1">{"TEXTO DEL AVALUO",#N/A,TRUE,"AVALUO";"CALCULOS Y DICTAMEN",#N/A,TRUE,"CONDOMINIO"}</definedName>
    <definedName name="GGGGGGGGGGGG" localSheetId="6" hidden="1">{"TEXTO DEL AVALUO",#N/A,TRUE,"AVALUO";"CALCULOS Y DICTAMEN",#N/A,TRUE,"CONDOMINIO"}</definedName>
    <definedName name="GGGGGGGGGGGG" localSheetId="4" hidden="1">{"TEXTO DEL AVALUO",#N/A,TRUE,"AVALUO";"CALCULOS Y DICTAMEN",#N/A,TRUE,"CONDOMINIO"}</definedName>
    <definedName name="GGGGGGGGGGGG" localSheetId="13" hidden="1">{"TEXTO DEL AVALUO",#N/A,TRUE,"AVALUO";"CALCULOS Y DICTAMEN",#N/A,TRUE,"CONDOMINIO"}</definedName>
    <definedName name="GGGGGGGGGGGG" hidden="1">{"TEXTO DEL AVALUO",#N/A,TRUE,"AVALUO";"CALCULOS Y DICTAMEN",#N/A,TRUE,"CONDOMINIO"}</definedName>
    <definedName name="gggggggggggggggggg" hidden="1">#REF!</definedName>
    <definedName name="gguu" localSheetId="5" hidden="1">{#N/A,#N/A,TRUE,"1842CWN0"}</definedName>
    <definedName name="gguu" localSheetId="6" hidden="1">{#N/A,#N/A,TRUE,"1842CWN0"}</definedName>
    <definedName name="gguu" localSheetId="3" hidden="1">{#N/A,#N/A,TRUE,"1842CWN0"}</definedName>
    <definedName name="gguu" localSheetId="4" hidden="1">{#N/A,#N/A,TRUE,"1842CWN0"}</definedName>
    <definedName name="gguu" localSheetId="13" hidden="1">{#N/A,#N/A,TRUE,"1842CWN0"}</definedName>
    <definedName name="gguu" hidden="1">{#N/A,#N/A,TRUE,"1842CWN0"}</definedName>
    <definedName name="gh" hidden="1">#REF!</definedName>
    <definedName name="ghggg" localSheetId="5" hidden="1">{#N/A,#N/A,FALSE,"SumG";#N/A,#N/A,FALSE,"ElecG";#N/A,#N/A,FALSE,"MechG";#N/A,#N/A,FALSE,"GeotG";#N/A,#N/A,FALSE,"PrcsG";#N/A,#N/A,FALSE,"TunnG";#N/A,#N/A,FALSE,"CivlG";#N/A,#N/A,FALSE,"NtwkG";#N/A,#N/A,FALSE,"EstgG";#N/A,#N/A,FALSE,"PEngG"}</definedName>
    <definedName name="ghggg" localSheetId="6" hidden="1">{#N/A,#N/A,FALSE,"SumG";#N/A,#N/A,FALSE,"ElecG";#N/A,#N/A,FALSE,"MechG";#N/A,#N/A,FALSE,"GeotG";#N/A,#N/A,FALSE,"PrcsG";#N/A,#N/A,FALSE,"TunnG";#N/A,#N/A,FALSE,"CivlG";#N/A,#N/A,FALSE,"NtwkG";#N/A,#N/A,FALSE,"EstgG";#N/A,#N/A,FALSE,"PEngG"}</definedName>
    <definedName name="ghggg" localSheetId="3" hidden="1">{#N/A,#N/A,FALSE,"SumG";#N/A,#N/A,FALSE,"ElecG";#N/A,#N/A,FALSE,"MechG";#N/A,#N/A,FALSE,"GeotG";#N/A,#N/A,FALSE,"PrcsG";#N/A,#N/A,FALSE,"TunnG";#N/A,#N/A,FALSE,"CivlG";#N/A,#N/A,FALSE,"NtwkG";#N/A,#N/A,FALSE,"EstgG";#N/A,#N/A,FALSE,"PEngG"}</definedName>
    <definedName name="ghggg" localSheetId="4"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jgf" localSheetId="5" hidden="1">{#N/A,#N/A,TRUE,"INGENIERIA";#N/A,#N/A,TRUE,"COMPRAS";#N/A,#N/A,TRUE,"DIRECCION";#N/A,#N/A,TRUE,"RESUMEN"}</definedName>
    <definedName name="gjgf" localSheetId="6" hidden="1">{#N/A,#N/A,TRUE,"INGENIERIA";#N/A,#N/A,TRUE,"COMPRAS";#N/A,#N/A,TRUE,"DIRECCION";#N/A,#N/A,TRUE,"RESUMEN"}</definedName>
    <definedName name="gjgf" localSheetId="3" hidden="1">{#N/A,#N/A,TRUE,"INGENIERIA";#N/A,#N/A,TRUE,"COMPRAS";#N/A,#N/A,TRUE,"DIRECCION";#N/A,#N/A,TRUE,"RESUMEN"}</definedName>
    <definedName name="gjgf" localSheetId="4" hidden="1">{#N/A,#N/A,TRUE,"INGENIERIA";#N/A,#N/A,TRUE,"COMPRAS";#N/A,#N/A,TRUE,"DIRECCION";#N/A,#N/A,TRUE,"RESUMEN"}</definedName>
    <definedName name="gjgf" localSheetId="13" hidden="1">{#N/A,#N/A,TRUE,"INGENIERIA";#N/A,#N/A,TRUE,"COMPRAS";#N/A,#N/A,TRUE,"DIRECCION";#N/A,#N/A,TRUE,"RESUMEN"}</definedName>
    <definedName name="gjgf" hidden="1">{#N/A,#N/A,TRUE,"INGENIERIA";#N/A,#N/A,TRUE,"COMPRAS";#N/A,#N/A,TRUE,"DIRECCION";#N/A,#N/A,TRUE,"RESUMEN"}</definedName>
    <definedName name="gjhgfj" localSheetId="5" hidden="1">{#N/A,#N/A,TRUE,"1842CWN0"}</definedName>
    <definedName name="gjhgfj" localSheetId="6" hidden="1">{#N/A,#N/A,TRUE,"1842CWN0"}</definedName>
    <definedName name="gjhgfj" localSheetId="3" hidden="1">{#N/A,#N/A,TRUE,"1842CWN0"}</definedName>
    <definedName name="gjhgfj" localSheetId="4" hidden="1">{#N/A,#N/A,TRUE,"1842CWN0"}</definedName>
    <definedName name="gjhgfj" localSheetId="13" hidden="1">{#N/A,#N/A,TRUE,"1842CWN0"}</definedName>
    <definedName name="gjhgfj" hidden="1">{#N/A,#N/A,TRUE,"1842CWN0"}</definedName>
    <definedName name="gjjkk" localSheetId="5" hidden="1">{#N/A,#N/A,TRUE,"1842CWN0"}</definedName>
    <definedName name="gjjkk" localSheetId="6" hidden="1">{#N/A,#N/A,TRUE,"1842CWN0"}</definedName>
    <definedName name="gjjkk" localSheetId="3" hidden="1">{#N/A,#N/A,TRUE,"1842CWN0"}</definedName>
    <definedName name="gjjkk" localSheetId="4" hidden="1">{#N/A,#N/A,TRUE,"1842CWN0"}</definedName>
    <definedName name="gjjkk" localSheetId="13" hidden="1">{#N/A,#N/A,TRUE,"1842CWN0"}</definedName>
    <definedName name="gjjkk" hidden="1">{#N/A,#N/A,TRUE,"1842CWN0"}</definedName>
    <definedName name="gmd" localSheetId="5" hidden="1">{#N/A,#N/A,FALSE,"Matrix";#N/A,#N/A,FALSE,"Executive";#N/A,#N/A,FALSE,"Summary"}</definedName>
    <definedName name="gmd" localSheetId="6" hidden="1">{#N/A,#N/A,FALSE,"Matrix";#N/A,#N/A,FALSE,"Executive";#N/A,#N/A,FALSE,"Summary"}</definedName>
    <definedName name="gmd" localSheetId="4" hidden="1">{#N/A,#N/A,FALSE,"Matrix";#N/A,#N/A,FALSE,"Executive";#N/A,#N/A,FALSE,"Summary"}</definedName>
    <definedName name="gmd" localSheetId="13" hidden="1">{#N/A,#N/A,FALSE,"Matrix";#N/A,#N/A,FALSE,"Executive";#N/A,#N/A,FALSE,"Summary"}</definedName>
    <definedName name="gmd" hidden="1">{#N/A,#N/A,FALSE,"Matrix";#N/A,#N/A,FALSE,"Executive";#N/A,#N/A,FALSE,"Summary"}</definedName>
    <definedName name="graf" hidden="1">#REF!</definedName>
    <definedName name="grafico" hidden="1">#REF!</definedName>
    <definedName name="graph0" hidden="1">#REF!</definedName>
    <definedName name="Graph1" hidden="1">#REF!</definedName>
    <definedName name="Gsubrs" hidden="1">#REF!</definedName>
    <definedName name="GTGHHY" hidden="1">#REF!</definedName>
    <definedName name="hgjkiklj" localSheetId="5" hidden="1">{#N/A,#N/A,TRUE,"1842CWN0"}</definedName>
    <definedName name="hgjkiklj" localSheetId="6" hidden="1">{#N/A,#N/A,TRUE,"1842CWN0"}</definedName>
    <definedName name="hgjkiklj" localSheetId="3" hidden="1">{#N/A,#N/A,TRUE,"1842CWN0"}</definedName>
    <definedName name="hgjkiklj" localSheetId="4" hidden="1">{#N/A,#N/A,TRUE,"1842CWN0"}</definedName>
    <definedName name="hgjkiklj" localSheetId="13" hidden="1">{#N/A,#N/A,TRUE,"1842CWN0"}</definedName>
    <definedName name="hgjkiklj" hidden="1">{#N/A,#N/A,TRUE,"1842CWN0"}</definedName>
    <definedName name="hhhh" localSheetId="5" hidden="1">{#N/A,#N/A,FALSE,"SumG";#N/A,#N/A,FALSE,"ElecG";#N/A,#N/A,FALSE,"MechG";#N/A,#N/A,FALSE,"GeotG";#N/A,#N/A,FALSE,"PrcsG";#N/A,#N/A,FALSE,"TunnG";#N/A,#N/A,FALSE,"CivlG";#N/A,#N/A,FALSE,"NtwkG";#N/A,#N/A,FALSE,"EstgG";#N/A,#N/A,FALSE,"PEngG"}</definedName>
    <definedName name="hhhh" localSheetId="6" hidden="1">{#N/A,#N/A,FALSE,"SumG";#N/A,#N/A,FALSE,"ElecG";#N/A,#N/A,FALSE,"MechG";#N/A,#N/A,FALSE,"GeotG";#N/A,#N/A,FALSE,"PrcsG";#N/A,#N/A,FALSE,"TunnG";#N/A,#N/A,FALSE,"CivlG";#N/A,#N/A,FALSE,"NtwkG";#N/A,#N/A,FALSE,"EstgG";#N/A,#N/A,FALSE,"PEngG"}</definedName>
    <definedName name="hhhh" localSheetId="3" hidden="1">{#N/A,#N/A,FALSE,"SumG";#N/A,#N/A,FALSE,"ElecG";#N/A,#N/A,FALSE,"MechG";#N/A,#N/A,FALSE,"GeotG";#N/A,#N/A,FALSE,"PrcsG";#N/A,#N/A,FALSE,"TunnG";#N/A,#N/A,FALSE,"CivlG";#N/A,#N/A,FALSE,"NtwkG";#N/A,#N/A,FALSE,"EstgG";#N/A,#N/A,FALSE,"PEngG"}</definedName>
    <definedName name="hhhh" localSheetId="4" hidden="1">{#N/A,#N/A,FALSE,"SumG";#N/A,#N/A,FALSE,"ElecG";#N/A,#N/A,FALSE,"MechG";#N/A,#N/A,FALSE,"GeotG";#N/A,#N/A,FALSE,"PrcsG";#N/A,#N/A,FALSE,"TunnG";#N/A,#N/A,FALSE,"CivlG";#N/A,#N/A,FALSE,"NtwkG";#N/A,#N/A,FALSE,"EstgG";#N/A,#N/A,FALSE,"PEngG"}</definedName>
    <definedName name="hhhh" localSheetId="13" hidden="1">{#N/A,#N/A,FALSE,"SumG";#N/A,#N/A,FALSE,"ElecG";#N/A,#N/A,FALSE,"MechG";#N/A,#N/A,FALSE,"GeotG";#N/A,#N/A,FALSE,"PrcsG";#N/A,#N/A,FALSE,"TunnG";#N/A,#N/A,FALSE,"CivlG";#N/A,#N/A,FALSE,"NtwkG";#N/A,#N/A,FALSE,"EstgG";#N/A,#N/A,FALSE,"PEngG"}</definedName>
    <definedName name="hhhh" hidden="1">{#N/A,#N/A,FALSE,"SumG";#N/A,#N/A,FALSE,"ElecG";#N/A,#N/A,FALSE,"MechG";#N/A,#N/A,FALSE,"GeotG";#N/A,#N/A,FALSE,"PrcsG";#N/A,#N/A,FALSE,"TunnG";#N/A,#N/A,FALSE,"CivlG";#N/A,#N/A,FALSE,"NtwkG";#N/A,#N/A,FALSE,"EstgG";#N/A,#N/A,FALSE,"PEngG"}</definedName>
    <definedName name="hjhhhkkhkhkh" localSheetId="5" hidden="1">{#N/A,#N/A,FALSE,"SumG";#N/A,#N/A,FALSE,"ElecG";#N/A,#N/A,FALSE,"MechG";#N/A,#N/A,FALSE,"GeotG";#N/A,#N/A,FALSE,"PrcsG";#N/A,#N/A,FALSE,"TunnG";#N/A,#N/A,FALSE,"CivlG";#N/A,#N/A,FALSE,"NtwkG";#N/A,#N/A,FALSE,"EstgG";#N/A,#N/A,FALSE,"PEngG"}</definedName>
    <definedName name="hjhhhkkhkhkh" localSheetId="6" hidden="1">{#N/A,#N/A,FALSE,"SumG";#N/A,#N/A,FALSE,"ElecG";#N/A,#N/A,FALSE,"MechG";#N/A,#N/A,FALSE,"GeotG";#N/A,#N/A,FALSE,"PrcsG";#N/A,#N/A,FALSE,"TunnG";#N/A,#N/A,FALSE,"CivlG";#N/A,#N/A,FALSE,"NtwkG";#N/A,#N/A,FALSE,"EstgG";#N/A,#N/A,FALSE,"PEngG"}</definedName>
    <definedName name="hjhhhkkhkhkh" localSheetId="3" hidden="1">{#N/A,#N/A,FALSE,"SumG";#N/A,#N/A,FALSE,"ElecG";#N/A,#N/A,FALSE,"MechG";#N/A,#N/A,FALSE,"GeotG";#N/A,#N/A,FALSE,"PrcsG";#N/A,#N/A,FALSE,"TunnG";#N/A,#N/A,FALSE,"CivlG";#N/A,#N/A,FALSE,"NtwkG";#N/A,#N/A,FALSE,"EstgG";#N/A,#N/A,FALSE,"PEngG"}</definedName>
    <definedName name="hjhhhkkhkhkh" localSheetId="4" hidden="1">{#N/A,#N/A,FALSE,"SumG";#N/A,#N/A,FALSE,"ElecG";#N/A,#N/A,FALSE,"MechG";#N/A,#N/A,FALSE,"GeotG";#N/A,#N/A,FALSE,"PrcsG";#N/A,#N/A,FALSE,"TunnG";#N/A,#N/A,FALSE,"CivlG";#N/A,#N/A,FALSE,"NtwkG";#N/A,#N/A,FALSE,"EstgG";#N/A,#N/A,FALSE,"PEngG"}</definedName>
    <definedName name="hjhhhkkhkhkh" localSheetId="13" hidden="1">{#N/A,#N/A,FALSE,"SumG";#N/A,#N/A,FALSE,"ElecG";#N/A,#N/A,FALSE,"MechG";#N/A,#N/A,FALSE,"GeotG";#N/A,#N/A,FALSE,"PrcsG";#N/A,#N/A,FALSE,"TunnG";#N/A,#N/A,FALSE,"CivlG";#N/A,#N/A,FALSE,"NtwkG";#N/A,#N/A,FALSE,"EstgG";#N/A,#N/A,FALSE,"PEngG"}</definedName>
    <definedName name="hjhhhkkhkhkh" hidden="1">{#N/A,#N/A,FALSE,"SumG";#N/A,#N/A,FALSE,"ElecG";#N/A,#N/A,FALSE,"MechG";#N/A,#N/A,FALSE,"GeotG";#N/A,#N/A,FALSE,"PrcsG";#N/A,#N/A,FALSE,"TunnG";#N/A,#N/A,FALSE,"CivlG";#N/A,#N/A,FALSE,"NtwkG";#N/A,#N/A,FALSE,"EstgG";#N/A,#N/A,FALSE,"PEngG"}</definedName>
    <definedName name="HJHJYUT" localSheetId="5" hidden="1">{#N/A,#N/A,TRUE,"1842CWN0"}</definedName>
    <definedName name="HJHJYUT" localSheetId="6" hidden="1">{#N/A,#N/A,TRUE,"1842CWN0"}</definedName>
    <definedName name="HJHJYUT" localSheetId="3" hidden="1">{#N/A,#N/A,TRUE,"1842CWN0"}</definedName>
    <definedName name="HJHJYUT" localSheetId="4" hidden="1">{#N/A,#N/A,TRUE,"1842CWN0"}</definedName>
    <definedName name="HJHJYUT" localSheetId="13" hidden="1">{#N/A,#N/A,TRUE,"1842CWN0"}</definedName>
    <definedName name="HJHJYUT" hidden="1">{#N/A,#N/A,TRUE,"1842CWN0"}</definedName>
    <definedName name="hjkl" localSheetId="5" hidden="1">{#N/A,#N/A,FALSE,"ACTIVO FIJO";#N/A,#N/A,FALSE,"COBRAR";#N/A,#N/A,FALSE,"AFILIADAS";#N/A,#N/A,FALSE,"PAGAR";#N/A,#N/A,FALSE,"INSTIT. FINANCIERAS";#N/A,#N/A,FALSE,"VALORES"}</definedName>
    <definedName name="hjkl" localSheetId="6" hidden="1">{#N/A,#N/A,FALSE,"ACTIVO FIJO";#N/A,#N/A,FALSE,"COBRAR";#N/A,#N/A,FALSE,"AFILIADAS";#N/A,#N/A,FALSE,"PAGAR";#N/A,#N/A,FALSE,"INSTIT. FINANCIERAS";#N/A,#N/A,FALSE,"VALORES"}</definedName>
    <definedName name="hjkl" localSheetId="4" hidden="1">{#N/A,#N/A,FALSE,"ACTIVO FIJO";#N/A,#N/A,FALSE,"COBRAR";#N/A,#N/A,FALSE,"AFILIADAS";#N/A,#N/A,FALSE,"PAGAR";#N/A,#N/A,FALSE,"INSTIT. FINANCIERAS";#N/A,#N/A,FALSE,"VALORES"}</definedName>
    <definedName name="hjkl" localSheetId="13" hidden="1">{#N/A,#N/A,FALSE,"ACTIVO FIJO";#N/A,#N/A,FALSE,"COBRAR";#N/A,#N/A,FALSE,"AFILIADAS";#N/A,#N/A,FALSE,"PAGAR";#N/A,#N/A,FALSE,"INSTIT. FINANCIERAS";#N/A,#N/A,FALSE,"VALORES"}</definedName>
    <definedName name="hjkl" hidden="1">{#N/A,#N/A,FALSE,"ACTIVO FIJO";#N/A,#N/A,FALSE,"COBRAR";#N/A,#N/A,FALSE,"AFILIADAS";#N/A,#N/A,FALSE,"PAGAR";#N/A,#N/A,FALSE,"INSTIT. FINANCIERAS";#N/A,#N/A,FALSE,"VALORES"}</definedName>
    <definedName name="hjkl_1" localSheetId="5" hidden="1">{#N/A,#N/A,FALSE,"ACTIVO FIJO";#N/A,#N/A,FALSE,"COBRAR";#N/A,#N/A,FALSE,"AFILIADAS";#N/A,#N/A,FALSE,"PAGAR";#N/A,#N/A,FALSE,"INSTIT. FINANCIERAS";#N/A,#N/A,FALSE,"VALORES"}</definedName>
    <definedName name="hjkl_1" localSheetId="6" hidden="1">{#N/A,#N/A,FALSE,"ACTIVO FIJO";#N/A,#N/A,FALSE,"COBRAR";#N/A,#N/A,FALSE,"AFILIADAS";#N/A,#N/A,FALSE,"PAGAR";#N/A,#N/A,FALSE,"INSTIT. FINANCIERAS";#N/A,#N/A,FALSE,"VALORES"}</definedName>
    <definedName name="hjkl_1" localSheetId="4" hidden="1">{#N/A,#N/A,FALSE,"ACTIVO FIJO";#N/A,#N/A,FALSE,"COBRAR";#N/A,#N/A,FALSE,"AFILIADAS";#N/A,#N/A,FALSE,"PAGAR";#N/A,#N/A,FALSE,"INSTIT. FINANCIERAS";#N/A,#N/A,FALSE,"VALORES"}</definedName>
    <definedName name="hjkl_1" localSheetId="13" hidden="1">{#N/A,#N/A,FALSE,"ACTIVO FIJO";#N/A,#N/A,FALSE,"COBRAR";#N/A,#N/A,FALSE,"AFILIADAS";#N/A,#N/A,FALSE,"PAGAR";#N/A,#N/A,FALSE,"INSTIT. FINANCIERAS";#N/A,#N/A,FALSE,"VALORES"}</definedName>
    <definedName name="hjkl_1" hidden="1">{#N/A,#N/A,FALSE,"ACTIVO FIJO";#N/A,#N/A,FALSE,"COBRAR";#N/A,#N/A,FALSE,"AFILIADAS";#N/A,#N/A,FALSE,"PAGAR";#N/A,#N/A,FALSE,"INSTIT. FINANCIERAS";#N/A,#N/A,FALSE,"VALORES"}</definedName>
    <definedName name="HTML_CodePage" hidden="1">949</definedName>
    <definedName name="HTML_Control" localSheetId="5" hidden="1">{"'장비'!$A$3:$M$12"}</definedName>
    <definedName name="HTML_Control" localSheetId="6" hidden="1">{"'장비'!$A$3:$M$12"}</definedName>
    <definedName name="HTML_Control" localSheetId="3" hidden="1">{"'장비'!$A$3:$M$12"}</definedName>
    <definedName name="HTML_Control" localSheetId="4" hidden="1">{"'장비'!$A$3:$M$12"}</definedName>
    <definedName name="HTML_Control" localSheetId="13"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PathFileMac" hidden="1">"Macintosh HD:HomePageStuff:New_Home_Page:datafile:histret.html"</definedName>
    <definedName name="HTML_Title" hidden="1">"가산동미라보"</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 name="IIEE" hidden="1">#REF!</definedName>
    <definedName name="iiii" localSheetId="5" hidden="1">{#N/A,#N/A,FALSE,"SumD";#N/A,#N/A,FALSE,"ElecD";#N/A,#N/A,FALSE,"MechD";#N/A,#N/A,FALSE,"GeotD";#N/A,#N/A,FALSE,"PrcsD";#N/A,#N/A,FALSE,"TunnD";#N/A,#N/A,FALSE,"CivlD";#N/A,#N/A,FALSE,"NtwkD";#N/A,#N/A,FALSE,"EstgD";#N/A,#N/A,FALSE,"PEngD"}</definedName>
    <definedName name="iiii" localSheetId="6" hidden="1">{#N/A,#N/A,FALSE,"SumD";#N/A,#N/A,FALSE,"ElecD";#N/A,#N/A,FALSE,"MechD";#N/A,#N/A,FALSE,"GeotD";#N/A,#N/A,FALSE,"PrcsD";#N/A,#N/A,FALSE,"TunnD";#N/A,#N/A,FALSE,"CivlD";#N/A,#N/A,FALSE,"NtwkD";#N/A,#N/A,FALSE,"EstgD";#N/A,#N/A,FALSE,"PEngD"}</definedName>
    <definedName name="iiii" localSheetId="3" hidden="1">{#N/A,#N/A,FALSE,"SumD";#N/A,#N/A,FALSE,"ElecD";#N/A,#N/A,FALSE,"MechD";#N/A,#N/A,FALSE,"GeotD";#N/A,#N/A,FALSE,"PrcsD";#N/A,#N/A,FALSE,"TunnD";#N/A,#N/A,FALSE,"CivlD";#N/A,#N/A,FALSE,"NtwkD";#N/A,#N/A,FALSE,"EstgD";#N/A,#N/A,FALSE,"PEngD"}</definedName>
    <definedName name="iiii" localSheetId="4" hidden="1">{#N/A,#N/A,FALSE,"SumD";#N/A,#N/A,FALSE,"ElecD";#N/A,#N/A,FALSE,"MechD";#N/A,#N/A,FALSE,"GeotD";#N/A,#N/A,FALSE,"PrcsD";#N/A,#N/A,FALSE,"TunnD";#N/A,#N/A,FALSE,"CivlD";#N/A,#N/A,FALSE,"NtwkD";#N/A,#N/A,FALSE,"EstgD";#N/A,#N/A,FALSE,"PEngD"}</definedName>
    <definedName name="iiii" localSheetId="13" hidden="1">{#N/A,#N/A,FALSE,"SumD";#N/A,#N/A,FALSE,"ElecD";#N/A,#N/A,FALSE,"MechD";#N/A,#N/A,FALSE,"GeotD";#N/A,#N/A,FALSE,"PrcsD";#N/A,#N/A,FALSE,"TunnD";#N/A,#N/A,FALSE,"CivlD";#N/A,#N/A,FALSE,"NtwkD";#N/A,#N/A,FALSE,"EstgD";#N/A,#N/A,FALSE,"PEngD"}</definedName>
    <definedName name="iiii" hidden="1">{#N/A,#N/A,FALSE,"SumD";#N/A,#N/A,FALSE,"ElecD";#N/A,#N/A,FALSE,"MechD";#N/A,#N/A,FALSE,"GeotD";#N/A,#N/A,FALSE,"PrcsD";#N/A,#N/A,FALSE,"TunnD";#N/A,#N/A,FALSE,"CivlD";#N/A,#N/A,FALSE,"NtwkD";#N/A,#N/A,FALSE,"EstgD";#N/A,#N/A,FALSE,"PEngD"}</definedName>
    <definedName name="iikl" localSheetId="5" hidden="1">{#N/A,#N/A,FALSE,"SumD";#N/A,#N/A,FALSE,"ElecD";#N/A,#N/A,FALSE,"MechD";#N/A,#N/A,FALSE,"GeotD";#N/A,#N/A,FALSE,"PrcsD";#N/A,#N/A,FALSE,"TunnD";#N/A,#N/A,FALSE,"CivlD";#N/A,#N/A,FALSE,"NtwkD";#N/A,#N/A,FALSE,"EstgD";#N/A,#N/A,FALSE,"PEngD"}</definedName>
    <definedName name="iikl" localSheetId="6" hidden="1">{#N/A,#N/A,FALSE,"SumD";#N/A,#N/A,FALSE,"ElecD";#N/A,#N/A,FALSE,"MechD";#N/A,#N/A,FALSE,"GeotD";#N/A,#N/A,FALSE,"PrcsD";#N/A,#N/A,FALSE,"TunnD";#N/A,#N/A,FALSE,"CivlD";#N/A,#N/A,FALSE,"NtwkD";#N/A,#N/A,FALSE,"EstgD";#N/A,#N/A,FALSE,"PEngD"}</definedName>
    <definedName name="iikl" localSheetId="3" hidden="1">{#N/A,#N/A,FALSE,"SumD";#N/A,#N/A,FALSE,"ElecD";#N/A,#N/A,FALSE,"MechD";#N/A,#N/A,FALSE,"GeotD";#N/A,#N/A,FALSE,"PrcsD";#N/A,#N/A,FALSE,"TunnD";#N/A,#N/A,FALSE,"CivlD";#N/A,#N/A,FALSE,"NtwkD";#N/A,#N/A,FALSE,"EstgD";#N/A,#N/A,FALSE,"PEngD"}</definedName>
    <definedName name="iikl" localSheetId="4" hidden="1">{#N/A,#N/A,FALSE,"SumD";#N/A,#N/A,FALSE,"ElecD";#N/A,#N/A,FALSE,"MechD";#N/A,#N/A,FALSE,"GeotD";#N/A,#N/A,FALSE,"PrcsD";#N/A,#N/A,FALSE,"TunnD";#N/A,#N/A,FALSE,"CivlD";#N/A,#N/A,FALSE,"NtwkD";#N/A,#N/A,FALSE,"EstgD";#N/A,#N/A,FALSE,"PEngD"}</definedName>
    <definedName name="iikl" localSheetId="13" hidden="1">{#N/A,#N/A,FALSE,"SumD";#N/A,#N/A,FALSE,"ElecD";#N/A,#N/A,FALSE,"MechD";#N/A,#N/A,FALSE,"GeotD";#N/A,#N/A,FALSE,"PrcsD";#N/A,#N/A,FALSE,"TunnD";#N/A,#N/A,FALSE,"CivlD";#N/A,#N/A,FALSE,"NtwkD";#N/A,#N/A,FALSE,"EstgD";#N/A,#N/A,FALSE,"PEngD"}</definedName>
    <definedName name="iikl" hidden="1">{#N/A,#N/A,FALSE,"SumD";#N/A,#N/A,FALSE,"ElecD";#N/A,#N/A,FALSE,"MechD";#N/A,#N/A,FALSE,"GeotD";#N/A,#N/A,FALSE,"PrcsD";#N/A,#N/A,FALSE,"TunnD";#N/A,#N/A,FALSE,"CivlD";#N/A,#N/A,FALSE,"NtwkD";#N/A,#N/A,FALSE,"EstgD";#N/A,#N/A,FALSE,"PEngD"}</definedName>
    <definedName name="IIMMXX" hidden="1">#REF!</definedName>
    <definedName name="ikkkk" localSheetId="5" hidden="1">{#N/A,#N/A,FALSE,"SumD";#N/A,#N/A,FALSE,"ElecD";#N/A,#N/A,FALSE,"MechD";#N/A,#N/A,FALSE,"GeotD";#N/A,#N/A,FALSE,"PrcsD";#N/A,#N/A,FALSE,"TunnD";#N/A,#N/A,FALSE,"CivlD";#N/A,#N/A,FALSE,"NtwkD";#N/A,#N/A,FALSE,"EstgD";#N/A,#N/A,FALSE,"PEngD"}</definedName>
    <definedName name="ikkkk" localSheetId="6" hidden="1">{#N/A,#N/A,FALSE,"SumD";#N/A,#N/A,FALSE,"ElecD";#N/A,#N/A,FALSE,"MechD";#N/A,#N/A,FALSE,"GeotD";#N/A,#N/A,FALSE,"PrcsD";#N/A,#N/A,FALSE,"TunnD";#N/A,#N/A,FALSE,"CivlD";#N/A,#N/A,FALSE,"NtwkD";#N/A,#N/A,FALSE,"EstgD";#N/A,#N/A,FALSE,"PEngD"}</definedName>
    <definedName name="ikkkk" localSheetId="3" hidden="1">{#N/A,#N/A,FALSE,"SumD";#N/A,#N/A,FALSE,"ElecD";#N/A,#N/A,FALSE,"MechD";#N/A,#N/A,FALSE,"GeotD";#N/A,#N/A,FALSE,"PrcsD";#N/A,#N/A,FALSE,"TunnD";#N/A,#N/A,FALSE,"CivlD";#N/A,#N/A,FALSE,"NtwkD";#N/A,#N/A,FALSE,"EstgD";#N/A,#N/A,FALSE,"PEngD"}</definedName>
    <definedName name="ikkkk" localSheetId="4" hidden="1">{#N/A,#N/A,FALSE,"SumD";#N/A,#N/A,FALSE,"ElecD";#N/A,#N/A,FALSE,"MechD";#N/A,#N/A,FALSE,"GeotD";#N/A,#N/A,FALSE,"PrcsD";#N/A,#N/A,FALSE,"TunnD";#N/A,#N/A,FALSE,"CivlD";#N/A,#N/A,FALSE,"NtwkD";#N/A,#N/A,FALSE,"EstgD";#N/A,#N/A,FALSE,"PEngD"}</definedName>
    <definedName name="ikkkk" localSheetId="13" hidden="1">{#N/A,#N/A,FALSE,"SumD";#N/A,#N/A,FALSE,"ElecD";#N/A,#N/A,FALSE,"MechD";#N/A,#N/A,FALSE,"GeotD";#N/A,#N/A,FALSE,"PrcsD";#N/A,#N/A,FALSE,"TunnD";#N/A,#N/A,FALSE,"CivlD";#N/A,#N/A,FALSE,"NtwkD";#N/A,#N/A,FALSE,"EstgD";#N/A,#N/A,FALSE,"PEngD"}</definedName>
    <definedName name="ikkkk" hidden="1">{#N/A,#N/A,FALSE,"SumD";#N/A,#N/A,FALSE,"ElecD";#N/A,#N/A,FALSE,"MechD";#N/A,#N/A,FALSE,"GeotD";#N/A,#N/A,FALSE,"PrcsD";#N/A,#N/A,FALSE,"TunnD";#N/A,#N/A,FALSE,"CivlD";#N/A,#N/A,FALSE,"NtwkD";#N/A,#N/A,FALSE,"EstgD";#N/A,#N/A,FALSE,"PEngD"}</definedName>
    <definedName name="ikkkkk" localSheetId="5" hidden="1">{#N/A,#N/A,FALSE,"SumD";#N/A,#N/A,FALSE,"ElecD";#N/A,#N/A,FALSE,"MechD";#N/A,#N/A,FALSE,"GeotD";#N/A,#N/A,FALSE,"PrcsD";#N/A,#N/A,FALSE,"TunnD";#N/A,#N/A,FALSE,"CivlD";#N/A,#N/A,FALSE,"NtwkD";#N/A,#N/A,FALSE,"EstgD";#N/A,#N/A,FALSE,"PEngD"}</definedName>
    <definedName name="ikkkkk" localSheetId="6" hidden="1">{#N/A,#N/A,FALSE,"SumD";#N/A,#N/A,FALSE,"ElecD";#N/A,#N/A,FALSE,"MechD";#N/A,#N/A,FALSE,"GeotD";#N/A,#N/A,FALSE,"PrcsD";#N/A,#N/A,FALSE,"TunnD";#N/A,#N/A,FALSE,"CivlD";#N/A,#N/A,FALSE,"NtwkD";#N/A,#N/A,FALSE,"EstgD";#N/A,#N/A,FALSE,"PEngD"}</definedName>
    <definedName name="ikkkkk" localSheetId="3" hidden="1">{#N/A,#N/A,FALSE,"SumD";#N/A,#N/A,FALSE,"ElecD";#N/A,#N/A,FALSE,"MechD";#N/A,#N/A,FALSE,"GeotD";#N/A,#N/A,FALSE,"PrcsD";#N/A,#N/A,FALSE,"TunnD";#N/A,#N/A,FALSE,"CivlD";#N/A,#N/A,FALSE,"NtwkD";#N/A,#N/A,FALSE,"EstgD";#N/A,#N/A,FALSE,"PEngD"}</definedName>
    <definedName name="ikkkkk" localSheetId="4" hidden="1">{#N/A,#N/A,FALSE,"SumD";#N/A,#N/A,FALSE,"ElecD";#N/A,#N/A,FALSE,"MechD";#N/A,#N/A,FALSE,"GeotD";#N/A,#N/A,FALSE,"PrcsD";#N/A,#N/A,FALSE,"TunnD";#N/A,#N/A,FALSE,"CivlD";#N/A,#N/A,FALSE,"NtwkD";#N/A,#N/A,FALSE,"EstgD";#N/A,#N/A,FALSE,"PEngD"}</definedName>
    <definedName name="ikkkkk" localSheetId="13" hidden="1">{#N/A,#N/A,FALSE,"SumD";#N/A,#N/A,FALSE,"ElecD";#N/A,#N/A,FALSE,"MechD";#N/A,#N/A,FALSE,"GeotD";#N/A,#N/A,FALSE,"PrcsD";#N/A,#N/A,FALSE,"TunnD";#N/A,#N/A,FALSE,"CivlD";#N/A,#N/A,FALSE,"NtwkD";#N/A,#N/A,FALSE,"EstgD";#N/A,#N/A,FALSE,"PEngD"}</definedName>
    <definedName name="ikkkkk" hidden="1">{#N/A,#N/A,FALSE,"SumD";#N/A,#N/A,FALSE,"ElecD";#N/A,#N/A,FALSE,"MechD";#N/A,#N/A,FALSE,"GeotD";#N/A,#N/A,FALSE,"PrcsD";#N/A,#N/A,FALSE,"TunnD";#N/A,#N/A,FALSE,"CivlD";#N/A,#N/A,FALSE,"NtwkD";#N/A,#N/A,FALSE,"EstgD";#N/A,#N/A,FALSE,"PEngD"}</definedName>
    <definedName name="IKLIULIU" localSheetId="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IKLIULIU" localSheetId="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IKLIULIU" localSheetId="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IKLIULIU" localSheetId="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IKLIULIU"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IKLIULIU"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iklo" localSheetId="5" hidden="1">{#N/A,#N/A,FALSE,"SumD";#N/A,#N/A,FALSE,"ElecD";#N/A,#N/A,FALSE,"MechD";#N/A,#N/A,FALSE,"GeotD";#N/A,#N/A,FALSE,"PrcsD";#N/A,#N/A,FALSE,"TunnD";#N/A,#N/A,FALSE,"CivlD";#N/A,#N/A,FALSE,"NtwkD";#N/A,#N/A,FALSE,"EstgD";#N/A,#N/A,FALSE,"PEngD"}</definedName>
    <definedName name="iklo" localSheetId="6" hidden="1">{#N/A,#N/A,FALSE,"SumD";#N/A,#N/A,FALSE,"ElecD";#N/A,#N/A,FALSE,"MechD";#N/A,#N/A,FALSE,"GeotD";#N/A,#N/A,FALSE,"PrcsD";#N/A,#N/A,FALSE,"TunnD";#N/A,#N/A,FALSE,"CivlD";#N/A,#N/A,FALSE,"NtwkD";#N/A,#N/A,FALSE,"EstgD";#N/A,#N/A,FALSE,"PEngD"}</definedName>
    <definedName name="iklo" localSheetId="3" hidden="1">{#N/A,#N/A,FALSE,"SumD";#N/A,#N/A,FALSE,"ElecD";#N/A,#N/A,FALSE,"MechD";#N/A,#N/A,FALSE,"GeotD";#N/A,#N/A,FALSE,"PrcsD";#N/A,#N/A,FALSE,"TunnD";#N/A,#N/A,FALSE,"CivlD";#N/A,#N/A,FALSE,"NtwkD";#N/A,#N/A,FALSE,"EstgD";#N/A,#N/A,FALSE,"PEngD"}</definedName>
    <definedName name="iklo" localSheetId="4" hidden="1">{#N/A,#N/A,FALSE,"SumD";#N/A,#N/A,FALSE,"ElecD";#N/A,#N/A,FALSE,"MechD";#N/A,#N/A,FALSE,"GeotD";#N/A,#N/A,FALSE,"PrcsD";#N/A,#N/A,FALSE,"TunnD";#N/A,#N/A,FALSE,"CivlD";#N/A,#N/A,FALSE,"NtwkD";#N/A,#N/A,FALSE,"EstgD";#N/A,#N/A,FALSE,"PEngD"}</definedName>
    <definedName name="iklo" localSheetId="13" hidden="1">{#N/A,#N/A,FALSE,"SumD";#N/A,#N/A,FALSE,"ElecD";#N/A,#N/A,FALSE,"MechD";#N/A,#N/A,FALSE,"GeotD";#N/A,#N/A,FALSE,"PrcsD";#N/A,#N/A,FALSE,"TunnD";#N/A,#N/A,FALSE,"CivlD";#N/A,#N/A,FALSE,"NtwkD";#N/A,#N/A,FALSE,"EstgD";#N/A,#N/A,FALSE,"PEngD"}</definedName>
    <definedName name="iklo" hidden="1">{#N/A,#N/A,FALSE,"SumD";#N/A,#N/A,FALSE,"ElecD";#N/A,#N/A,FALSE,"MechD";#N/A,#N/A,FALSE,"GeotD";#N/A,#N/A,FALSE,"PrcsD";#N/A,#N/A,FALSE,"TunnD";#N/A,#N/A,FALSE,"CivlD";#N/A,#N/A,FALSE,"NtwkD";#N/A,#N/A,FALSE,"EstgD";#N/A,#N/A,FALSE,"PEngD"}</definedName>
    <definedName name="ilhgbfh" localSheetId="5" hidden="1">{#N/A,#N/A,TRUE,"1842CWN0"}</definedName>
    <definedName name="ilhgbfh" localSheetId="6" hidden="1">{#N/A,#N/A,TRUE,"1842CWN0"}</definedName>
    <definedName name="ilhgbfh" localSheetId="3" hidden="1">{#N/A,#N/A,TRUE,"1842CWN0"}</definedName>
    <definedName name="ilhgbfh" localSheetId="4" hidden="1">{#N/A,#N/A,TRUE,"1842CWN0"}</definedName>
    <definedName name="ilhgbfh" localSheetId="13" hidden="1">{#N/A,#N/A,TRUE,"1842CWN0"}</definedName>
    <definedName name="ilhgbfh" hidden="1">{#N/A,#N/A,TRUE,"1842CWN0"}</definedName>
    <definedName name="impuestos" localSheetId="5" hidden="1">{"'Sheet1'!$A$1:$G$85"}</definedName>
    <definedName name="impuestos" localSheetId="6" hidden="1">{"'Sheet1'!$A$1:$G$85"}</definedName>
    <definedName name="impuestos" localSheetId="4" hidden="1">{"'Sheet1'!$A$1:$G$85"}</definedName>
    <definedName name="impuestos" localSheetId="13" hidden="1">{"'Sheet1'!$A$1:$G$85"}</definedName>
    <definedName name="impuestos" hidden="1">{"'Sheet1'!$A$1:$G$85"}</definedName>
    <definedName name="Inventario" hidden="1">#REF!</definedName>
    <definedName name="IOIUOUI" localSheetId="5" hidden="1">{#N/A,#N/A,TRUE,"INGENIERIA";#N/A,#N/A,TRUE,"COMPRAS";#N/A,#N/A,TRUE,"DIRECCION";#N/A,#N/A,TRUE,"RESUMEN"}</definedName>
    <definedName name="IOIUOUI" localSheetId="6" hidden="1">{#N/A,#N/A,TRUE,"INGENIERIA";#N/A,#N/A,TRUE,"COMPRAS";#N/A,#N/A,TRUE,"DIRECCION";#N/A,#N/A,TRUE,"RESUMEN"}</definedName>
    <definedName name="IOIUOUI" localSheetId="3" hidden="1">{#N/A,#N/A,TRUE,"INGENIERIA";#N/A,#N/A,TRUE,"COMPRAS";#N/A,#N/A,TRUE,"DIRECCION";#N/A,#N/A,TRUE,"RESUMEN"}</definedName>
    <definedName name="IOIUOUI" localSheetId="4" hidden="1">{#N/A,#N/A,TRUE,"INGENIERIA";#N/A,#N/A,TRUE,"COMPRAS";#N/A,#N/A,TRUE,"DIRECCION";#N/A,#N/A,TRUE,"RESUMEN"}</definedName>
    <definedName name="IOIUOUI" localSheetId="13" hidden="1">{#N/A,#N/A,TRUE,"INGENIERIA";#N/A,#N/A,TRUE,"COMPRAS";#N/A,#N/A,TRUE,"DIRECCION";#N/A,#N/A,TRUE,"RESUMEN"}</definedName>
    <definedName name="IOIUOUI" hidden="1">{#N/A,#N/A,TRUE,"INGENIERIA";#N/A,#N/A,TRUE,"COMPRAS";#N/A,#N/A,TRUE,"DIRECCION";#N/A,#N/A,TRUE,"RESUMEN"}</definedName>
    <definedName name="iooll" localSheetId="5" hidden="1">{#N/A,#N/A,TRUE,"INGENIERIA";#N/A,#N/A,TRUE,"COMPRAS";#N/A,#N/A,TRUE,"DIRECCION";#N/A,#N/A,TRUE,"RESUMEN"}</definedName>
    <definedName name="iooll" localSheetId="6" hidden="1">{#N/A,#N/A,TRUE,"INGENIERIA";#N/A,#N/A,TRUE,"COMPRAS";#N/A,#N/A,TRUE,"DIRECCION";#N/A,#N/A,TRUE,"RESUMEN"}</definedName>
    <definedName name="iooll" localSheetId="3" hidden="1">{#N/A,#N/A,TRUE,"INGENIERIA";#N/A,#N/A,TRUE,"COMPRAS";#N/A,#N/A,TRUE,"DIRECCION";#N/A,#N/A,TRUE,"RESUMEN"}</definedName>
    <definedName name="iooll" localSheetId="4" hidden="1">{#N/A,#N/A,TRUE,"INGENIERIA";#N/A,#N/A,TRUE,"COMPRAS";#N/A,#N/A,TRUE,"DIRECCION";#N/A,#N/A,TRUE,"RESUMEN"}</definedName>
    <definedName name="iooll" localSheetId="13" hidden="1">{#N/A,#N/A,TRUE,"INGENIERIA";#N/A,#N/A,TRUE,"COMPRAS";#N/A,#N/A,TRUE,"DIRECCION";#N/A,#N/A,TRUE,"RESUMEN"}</definedName>
    <definedName name="iooll" hidden="1">{#N/A,#N/A,TRUE,"INGENIERIA";#N/A,#N/A,TRUE,"COMPRAS";#N/A,#N/A,TRUE,"DIRECCION";#N/A,#N/A,TRUE,"RESUMEN"}</definedName>
    <definedName name="ISAAC" hidden="1">#REF!</definedName>
    <definedName name="itruoyojmc" localSheetId="5" hidden="1">{#N/A,#N/A,FALSE,"SumD";#N/A,#N/A,FALSE,"ElecD";#N/A,#N/A,FALSE,"MechD";#N/A,#N/A,FALSE,"GeotD";#N/A,#N/A,FALSE,"PrcsD";#N/A,#N/A,FALSE,"TunnD";#N/A,#N/A,FALSE,"CivlD";#N/A,#N/A,FALSE,"NtwkD";#N/A,#N/A,FALSE,"EstgD";#N/A,#N/A,FALSE,"PEngD"}</definedName>
    <definedName name="itruoyojmc" localSheetId="6" hidden="1">{#N/A,#N/A,FALSE,"SumD";#N/A,#N/A,FALSE,"ElecD";#N/A,#N/A,FALSE,"MechD";#N/A,#N/A,FALSE,"GeotD";#N/A,#N/A,FALSE,"PrcsD";#N/A,#N/A,FALSE,"TunnD";#N/A,#N/A,FALSE,"CivlD";#N/A,#N/A,FALSE,"NtwkD";#N/A,#N/A,FALSE,"EstgD";#N/A,#N/A,FALSE,"PEngD"}</definedName>
    <definedName name="itruoyojmc" localSheetId="4"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JE" hidden="1">#REF!</definedName>
    <definedName name="JESU" hidden="1">#REF!</definedName>
    <definedName name="JESUS" hidden="1">#REF!</definedName>
    <definedName name="JESUUUUUUU" hidden="1">#REF!</definedName>
    <definedName name="jfxn" hidden="1">#REF!</definedName>
    <definedName name="jh" localSheetId="5" hidden="1">{#N/A,#N/A,FALSE,"SumG";#N/A,#N/A,FALSE,"ElecG";#N/A,#N/A,FALSE,"MechG";#N/A,#N/A,FALSE,"GeotG";#N/A,#N/A,FALSE,"PrcsG";#N/A,#N/A,FALSE,"TunnG";#N/A,#N/A,FALSE,"CivlG";#N/A,#N/A,FALSE,"NtwkG";#N/A,#N/A,FALSE,"EstgG";#N/A,#N/A,FALSE,"PEngG"}</definedName>
    <definedName name="jh" localSheetId="6" hidden="1">{#N/A,#N/A,FALSE,"SumG";#N/A,#N/A,FALSE,"ElecG";#N/A,#N/A,FALSE,"MechG";#N/A,#N/A,FALSE,"GeotG";#N/A,#N/A,FALSE,"PrcsG";#N/A,#N/A,FALSE,"TunnG";#N/A,#N/A,FALSE,"CivlG";#N/A,#N/A,FALSE,"NtwkG";#N/A,#N/A,FALSE,"EstgG";#N/A,#N/A,FALSE,"PEngG"}</definedName>
    <definedName name="jh" localSheetId="3" hidden="1">{#N/A,#N/A,FALSE,"SumG";#N/A,#N/A,FALSE,"ElecG";#N/A,#N/A,FALSE,"MechG";#N/A,#N/A,FALSE,"GeotG";#N/A,#N/A,FALSE,"PrcsG";#N/A,#N/A,FALSE,"TunnG";#N/A,#N/A,FALSE,"CivlG";#N/A,#N/A,FALSE,"NtwkG";#N/A,#N/A,FALSE,"EstgG";#N/A,#N/A,FALSE,"PEngG"}</definedName>
    <definedName name="jh" localSheetId="4"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j" localSheetId="5" hidden="1">{#N/A,#N/A,FALSE,"SumG";#N/A,#N/A,FALSE,"ElecG";#N/A,#N/A,FALSE,"MechG";#N/A,#N/A,FALSE,"GeotG";#N/A,#N/A,FALSE,"PrcsG";#N/A,#N/A,FALSE,"TunnG";#N/A,#N/A,FALSE,"CivlG";#N/A,#N/A,FALSE,"NtwkG";#N/A,#N/A,FALSE,"EstgG";#N/A,#N/A,FALSE,"PEngG"}</definedName>
    <definedName name="jjj" localSheetId="6" hidden="1">{#N/A,#N/A,FALSE,"SumG";#N/A,#N/A,FALSE,"ElecG";#N/A,#N/A,FALSE,"MechG";#N/A,#N/A,FALSE,"GeotG";#N/A,#N/A,FALSE,"PrcsG";#N/A,#N/A,FALSE,"TunnG";#N/A,#N/A,FALSE,"CivlG";#N/A,#N/A,FALSE,"NtwkG";#N/A,#N/A,FALSE,"EstgG";#N/A,#N/A,FALSE,"PEngG"}</definedName>
    <definedName name="jjj" localSheetId="3" hidden="1">{#N/A,#N/A,FALSE,"SumG";#N/A,#N/A,FALSE,"ElecG";#N/A,#N/A,FALSE,"MechG";#N/A,#N/A,FALSE,"GeotG";#N/A,#N/A,FALSE,"PrcsG";#N/A,#N/A,FALSE,"TunnG";#N/A,#N/A,FALSE,"CivlG";#N/A,#N/A,FALSE,"NtwkG";#N/A,#N/A,FALSE,"EstgG";#N/A,#N/A,FALSE,"PEngG"}</definedName>
    <definedName name="jjj" localSheetId="4" hidden="1">{#N/A,#N/A,FALSE,"SumG";#N/A,#N/A,FALSE,"ElecG";#N/A,#N/A,FALSE,"MechG";#N/A,#N/A,FALSE,"GeotG";#N/A,#N/A,FALSE,"PrcsG";#N/A,#N/A,FALSE,"TunnG";#N/A,#N/A,FALSE,"CivlG";#N/A,#N/A,FALSE,"NtwkG";#N/A,#N/A,FALSE,"EstgG";#N/A,#N/A,FALSE,"PEngG"}</definedName>
    <definedName name="jjj" localSheetId="13" hidden="1">{#N/A,#N/A,FALSE,"SumG";#N/A,#N/A,FALSE,"ElecG";#N/A,#N/A,FALSE,"MechG";#N/A,#N/A,FALSE,"GeotG";#N/A,#N/A,FALSE,"PrcsG";#N/A,#N/A,FALSE,"TunnG";#N/A,#N/A,FALSE,"CivlG";#N/A,#N/A,FALSE,"NtwkG";#N/A,#N/A,FALSE,"EstgG";#N/A,#N/A,FALSE,"PEngG"}</definedName>
    <definedName name="jjj" hidden="1">{#N/A,#N/A,FALSE,"SumG";#N/A,#N/A,FALSE,"ElecG";#N/A,#N/A,FALSE,"MechG";#N/A,#N/A,FALSE,"GeotG";#N/A,#N/A,FALSE,"PrcsG";#N/A,#N/A,FALSE,"TunnG";#N/A,#N/A,FALSE,"CivlG";#N/A,#N/A,FALSE,"NtwkG";#N/A,#N/A,FALSE,"EstgG";#N/A,#N/A,FALSE,"PEngG"}</definedName>
    <definedName name="jjjjj" localSheetId="5" hidden="1">{#N/A,#N/A,FALSE,"SumG";#N/A,#N/A,FALSE,"ElecG";#N/A,#N/A,FALSE,"MechG";#N/A,#N/A,FALSE,"GeotG";#N/A,#N/A,FALSE,"PrcsG";#N/A,#N/A,FALSE,"TunnG";#N/A,#N/A,FALSE,"CivlG";#N/A,#N/A,FALSE,"NtwkG";#N/A,#N/A,FALSE,"EstgG";#N/A,#N/A,FALSE,"PEngG"}</definedName>
    <definedName name="jjjjj" localSheetId="6" hidden="1">{#N/A,#N/A,FALSE,"SumG";#N/A,#N/A,FALSE,"ElecG";#N/A,#N/A,FALSE,"MechG";#N/A,#N/A,FALSE,"GeotG";#N/A,#N/A,FALSE,"PrcsG";#N/A,#N/A,FALSE,"TunnG";#N/A,#N/A,FALSE,"CivlG";#N/A,#N/A,FALSE,"NtwkG";#N/A,#N/A,FALSE,"EstgG";#N/A,#N/A,FALSE,"PEngG"}</definedName>
    <definedName name="jjjjj" localSheetId="3" hidden="1">{#N/A,#N/A,FALSE,"SumG";#N/A,#N/A,FALSE,"ElecG";#N/A,#N/A,FALSE,"MechG";#N/A,#N/A,FALSE,"GeotG";#N/A,#N/A,FALSE,"PrcsG";#N/A,#N/A,FALSE,"TunnG";#N/A,#N/A,FALSE,"CivlG";#N/A,#N/A,FALSE,"NtwkG";#N/A,#N/A,FALSE,"EstgG";#N/A,#N/A,FALSE,"PEngG"}</definedName>
    <definedName name="jjjjj" localSheetId="4" hidden="1">{#N/A,#N/A,FALSE,"SumG";#N/A,#N/A,FALSE,"ElecG";#N/A,#N/A,FALSE,"MechG";#N/A,#N/A,FALSE,"GeotG";#N/A,#N/A,FALSE,"PrcsG";#N/A,#N/A,FALSE,"TunnG";#N/A,#N/A,FALSE,"CivlG";#N/A,#N/A,FALSE,"NtwkG";#N/A,#N/A,FALSE,"EstgG";#N/A,#N/A,FALSE,"PEngG"}</definedName>
    <definedName name="jjjjj" localSheetId="13" hidden="1">{#N/A,#N/A,FALSE,"SumG";#N/A,#N/A,FALSE,"ElecG";#N/A,#N/A,FALSE,"MechG";#N/A,#N/A,FALSE,"GeotG";#N/A,#N/A,FALSE,"PrcsG";#N/A,#N/A,FALSE,"TunnG";#N/A,#N/A,FALSE,"CivlG";#N/A,#N/A,FALSE,"NtwkG";#N/A,#N/A,FALSE,"EstgG";#N/A,#N/A,FALSE,"PEngG"}</definedName>
    <definedName name="jjjjj" hidden="1">{#N/A,#N/A,FALSE,"SumG";#N/A,#N/A,FALSE,"ElecG";#N/A,#N/A,FALSE,"MechG";#N/A,#N/A,FALSE,"GeotG";#N/A,#N/A,FALSE,"PrcsG";#N/A,#N/A,FALSE,"TunnG";#N/A,#N/A,FALSE,"CivlG";#N/A,#N/A,FALSE,"NtwkG";#N/A,#N/A,FALSE,"EstgG";#N/A,#N/A,FALSE,"PEngG"}</definedName>
    <definedName name="jjjjjjj" localSheetId="5" hidden="1">{#N/A,#N/A,FALSE,"SumG";#N/A,#N/A,FALSE,"ElecG";#N/A,#N/A,FALSE,"MechG";#N/A,#N/A,FALSE,"GeotG";#N/A,#N/A,FALSE,"PrcsG";#N/A,#N/A,FALSE,"TunnG";#N/A,#N/A,FALSE,"CivlG";#N/A,#N/A,FALSE,"NtwkG";#N/A,#N/A,FALSE,"EstgG";#N/A,#N/A,FALSE,"PEngG"}</definedName>
    <definedName name="jjjjjjj" localSheetId="6" hidden="1">{#N/A,#N/A,FALSE,"SumG";#N/A,#N/A,FALSE,"ElecG";#N/A,#N/A,FALSE,"MechG";#N/A,#N/A,FALSE,"GeotG";#N/A,#N/A,FALSE,"PrcsG";#N/A,#N/A,FALSE,"TunnG";#N/A,#N/A,FALSE,"CivlG";#N/A,#N/A,FALSE,"NtwkG";#N/A,#N/A,FALSE,"EstgG";#N/A,#N/A,FALSE,"PEngG"}</definedName>
    <definedName name="jjjjjjj" localSheetId="3" hidden="1">{#N/A,#N/A,FALSE,"SumG";#N/A,#N/A,FALSE,"ElecG";#N/A,#N/A,FALSE,"MechG";#N/A,#N/A,FALSE,"GeotG";#N/A,#N/A,FALSE,"PrcsG";#N/A,#N/A,FALSE,"TunnG";#N/A,#N/A,FALSE,"CivlG";#N/A,#N/A,FALSE,"NtwkG";#N/A,#N/A,FALSE,"EstgG";#N/A,#N/A,FALSE,"PEngG"}</definedName>
    <definedName name="jjjjjjj" localSheetId="4" hidden="1">{#N/A,#N/A,FALSE,"SumG";#N/A,#N/A,FALSE,"ElecG";#N/A,#N/A,FALSE,"MechG";#N/A,#N/A,FALSE,"GeotG";#N/A,#N/A,FALSE,"PrcsG";#N/A,#N/A,FALSE,"TunnG";#N/A,#N/A,FALSE,"CivlG";#N/A,#N/A,FALSE,"NtwkG";#N/A,#N/A,FALSE,"EstgG";#N/A,#N/A,FALSE,"PEngG"}</definedName>
    <definedName name="jjjjjjj" localSheetId="13" hidden="1">{#N/A,#N/A,FALSE,"SumG";#N/A,#N/A,FALSE,"ElecG";#N/A,#N/A,FALSE,"MechG";#N/A,#N/A,FALSE,"GeotG";#N/A,#N/A,FALSE,"PrcsG";#N/A,#N/A,FALSE,"TunnG";#N/A,#N/A,FALSE,"CivlG";#N/A,#N/A,FALSE,"NtwkG";#N/A,#N/A,FALSE,"EstgG";#N/A,#N/A,FALSE,"PEngG"}</definedName>
    <definedName name="jjjjjjj" hidden="1">{#N/A,#N/A,FALSE,"SumG";#N/A,#N/A,FALSE,"ElecG";#N/A,#N/A,FALSE,"MechG";#N/A,#N/A,FALSE,"GeotG";#N/A,#N/A,FALSE,"PrcsG";#N/A,#N/A,FALSE,"TunnG";#N/A,#N/A,FALSE,"CivlG";#N/A,#N/A,FALSE,"NtwkG";#N/A,#N/A,FALSE,"EstgG";#N/A,#N/A,FALSE,"PEngG"}</definedName>
    <definedName name="jjjjuu" localSheetId="5" hidden="1">{#N/A,#N/A,FALSE,"SumG";#N/A,#N/A,FALSE,"ElecG";#N/A,#N/A,FALSE,"MechG";#N/A,#N/A,FALSE,"GeotG";#N/A,#N/A,FALSE,"PrcsG";#N/A,#N/A,FALSE,"TunnG";#N/A,#N/A,FALSE,"CivlG";#N/A,#N/A,FALSE,"NtwkG";#N/A,#N/A,FALSE,"EstgG";#N/A,#N/A,FALSE,"PEngG"}</definedName>
    <definedName name="jjjjuu" localSheetId="6" hidden="1">{#N/A,#N/A,FALSE,"SumG";#N/A,#N/A,FALSE,"ElecG";#N/A,#N/A,FALSE,"MechG";#N/A,#N/A,FALSE,"GeotG";#N/A,#N/A,FALSE,"PrcsG";#N/A,#N/A,FALSE,"TunnG";#N/A,#N/A,FALSE,"CivlG";#N/A,#N/A,FALSE,"NtwkG";#N/A,#N/A,FALSE,"EstgG";#N/A,#N/A,FALSE,"PEngG"}</definedName>
    <definedName name="jjjjuu" localSheetId="3" hidden="1">{#N/A,#N/A,FALSE,"SumG";#N/A,#N/A,FALSE,"ElecG";#N/A,#N/A,FALSE,"MechG";#N/A,#N/A,FALSE,"GeotG";#N/A,#N/A,FALSE,"PrcsG";#N/A,#N/A,FALSE,"TunnG";#N/A,#N/A,FALSE,"CivlG";#N/A,#N/A,FALSE,"NtwkG";#N/A,#N/A,FALSE,"EstgG";#N/A,#N/A,FALSE,"PEngG"}</definedName>
    <definedName name="jjjjuu" localSheetId="4" hidden="1">{#N/A,#N/A,FALSE,"SumG";#N/A,#N/A,FALSE,"ElecG";#N/A,#N/A,FALSE,"MechG";#N/A,#N/A,FALSE,"GeotG";#N/A,#N/A,FALSE,"PrcsG";#N/A,#N/A,FALSE,"TunnG";#N/A,#N/A,FALSE,"CivlG";#N/A,#N/A,FALSE,"NtwkG";#N/A,#N/A,FALSE,"EstgG";#N/A,#N/A,FALSE,"PEngG"}</definedName>
    <definedName name="jjjjuu" localSheetId="13" hidden="1">{#N/A,#N/A,FALSE,"SumG";#N/A,#N/A,FALSE,"ElecG";#N/A,#N/A,FALSE,"MechG";#N/A,#N/A,FALSE,"GeotG";#N/A,#N/A,FALSE,"PrcsG";#N/A,#N/A,FALSE,"TunnG";#N/A,#N/A,FALSE,"CivlG";#N/A,#N/A,FALSE,"NtwkG";#N/A,#N/A,FALSE,"EstgG";#N/A,#N/A,FALSE,"PEngG"}</definedName>
    <definedName name="jjjjuu" hidden="1">{#N/A,#N/A,FALSE,"SumG";#N/A,#N/A,FALSE,"ElecG";#N/A,#N/A,FALSE,"MechG";#N/A,#N/A,FALSE,"GeotG";#N/A,#N/A,FALSE,"PrcsG";#N/A,#N/A,FALSE,"TunnG";#N/A,#N/A,FALSE,"CivlG";#N/A,#N/A,FALSE,"NtwkG";#N/A,#N/A,FALSE,"EstgG";#N/A,#N/A,FALSE,"PEngG"}</definedName>
    <definedName name="jk" localSheetId="5" hidden="1">{#N/A,#N/A,TRUE,"LP-CO2X"}</definedName>
    <definedName name="jk" localSheetId="6" hidden="1">{#N/A,#N/A,TRUE,"LP-CO2X"}</definedName>
    <definedName name="jk" localSheetId="4" hidden="1">{#N/A,#N/A,TRUE,"LP-CO2X"}</definedName>
    <definedName name="jk" localSheetId="13" hidden="1">{#N/A,#N/A,TRUE,"LP-CO2X"}</definedName>
    <definedName name="jk" hidden="1">{#N/A,#N/A,TRUE,"LP-CO2X"}</definedName>
    <definedName name="JORGE" hidden="1">#REF!</definedName>
    <definedName name="KEY" hidden="1">#REF!</definedName>
    <definedName name="kj" hidden="1">#REF!</definedName>
    <definedName name="kjhkj" localSheetId="5" hidden="1">{#N/A,#N/A,FALSE,"SumG";#N/A,#N/A,FALSE,"ElecG";#N/A,#N/A,FALSE,"MechG";#N/A,#N/A,FALSE,"GeotG";#N/A,#N/A,FALSE,"PrcsG";#N/A,#N/A,FALSE,"TunnG";#N/A,#N/A,FALSE,"CivlG";#N/A,#N/A,FALSE,"NtwkG";#N/A,#N/A,FALSE,"EstgG";#N/A,#N/A,FALSE,"PEngG"}</definedName>
    <definedName name="kjhkj" localSheetId="6" hidden="1">{#N/A,#N/A,FALSE,"SumG";#N/A,#N/A,FALSE,"ElecG";#N/A,#N/A,FALSE,"MechG";#N/A,#N/A,FALSE,"GeotG";#N/A,#N/A,FALSE,"PrcsG";#N/A,#N/A,FALSE,"TunnG";#N/A,#N/A,FALSE,"CivlG";#N/A,#N/A,FALSE,"NtwkG";#N/A,#N/A,FALSE,"EstgG";#N/A,#N/A,FALSE,"PEngG"}</definedName>
    <definedName name="kjhkj" localSheetId="3" hidden="1">{#N/A,#N/A,FALSE,"SumG";#N/A,#N/A,FALSE,"ElecG";#N/A,#N/A,FALSE,"MechG";#N/A,#N/A,FALSE,"GeotG";#N/A,#N/A,FALSE,"PrcsG";#N/A,#N/A,FALSE,"TunnG";#N/A,#N/A,FALSE,"CivlG";#N/A,#N/A,FALSE,"NtwkG";#N/A,#N/A,FALSE,"EstgG";#N/A,#N/A,FALSE,"PEngG"}</definedName>
    <definedName name="kjhkj" localSheetId="4"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jp" hidden="1">#REF!</definedName>
    <definedName name="kk" localSheetId="5" hidden="1">{#N/A,#N/A,FALSE,"SumD";#N/A,#N/A,FALSE,"ElecD";#N/A,#N/A,FALSE,"MechD";#N/A,#N/A,FALSE,"GeotD";#N/A,#N/A,FALSE,"PrcsD";#N/A,#N/A,FALSE,"TunnD";#N/A,#N/A,FALSE,"CivlD";#N/A,#N/A,FALSE,"NtwkD";#N/A,#N/A,FALSE,"EstgD";#N/A,#N/A,FALSE,"PEngD"}</definedName>
    <definedName name="kk" localSheetId="6" hidden="1">{#N/A,#N/A,FALSE,"SumD";#N/A,#N/A,FALSE,"ElecD";#N/A,#N/A,FALSE,"MechD";#N/A,#N/A,FALSE,"GeotD";#N/A,#N/A,FALSE,"PrcsD";#N/A,#N/A,FALSE,"TunnD";#N/A,#N/A,FALSE,"CivlD";#N/A,#N/A,FALSE,"NtwkD";#N/A,#N/A,FALSE,"EstgD";#N/A,#N/A,FALSE,"PEngD"}</definedName>
    <definedName name="kk" localSheetId="3" hidden="1">{#N/A,#N/A,FALSE,"SumD";#N/A,#N/A,FALSE,"ElecD";#N/A,#N/A,FALSE,"MechD";#N/A,#N/A,FALSE,"GeotD";#N/A,#N/A,FALSE,"PrcsD";#N/A,#N/A,FALSE,"TunnD";#N/A,#N/A,FALSE,"CivlD";#N/A,#N/A,FALSE,"NtwkD";#N/A,#N/A,FALSE,"EstgD";#N/A,#N/A,FALSE,"PEngD"}</definedName>
    <definedName name="kk" localSheetId="4" hidden="1">{#N/A,#N/A,FALSE,"SumD";#N/A,#N/A,FALSE,"ElecD";#N/A,#N/A,FALSE,"MechD";#N/A,#N/A,FALSE,"GeotD";#N/A,#N/A,FALSE,"PrcsD";#N/A,#N/A,FALSE,"TunnD";#N/A,#N/A,FALSE,"CivlD";#N/A,#N/A,FALSE,"NtwkD";#N/A,#N/A,FALSE,"EstgD";#N/A,#N/A,FALSE,"PEngD"}</definedName>
    <definedName name="kk" localSheetId="13" hidden="1">{#N/A,#N/A,FALSE,"SumD";#N/A,#N/A,FALSE,"ElecD";#N/A,#N/A,FALSE,"MechD";#N/A,#N/A,FALSE,"GeotD";#N/A,#N/A,FALSE,"PrcsD";#N/A,#N/A,FALSE,"TunnD";#N/A,#N/A,FALSE,"CivlD";#N/A,#N/A,FALSE,"NtwkD";#N/A,#N/A,FALSE,"EstgD";#N/A,#N/A,FALSE,"PEngD"}</definedName>
    <definedName name="kk" hidden="1">{#N/A,#N/A,FALSE,"SumD";#N/A,#N/A,FALSE,"ElecD";#N/A,#N/A,FALSE,"MechD";#N/A,#N/A,FALSE,"GeotD";#N/A,#N/A,FALSE,"PrcsD";#N/A,#N/A,FALSE,"TunnD";#N/A,#N/A,FALSE,"CivlD";#N/A,#N/A,FALSE,"NtwkD";#N/A,#N/A,FALSE,"EstgD";#N/A,#N/A,FALSE,"PEngD"}</definedName>
    <definedName name="kkk" localSheetId="5" hidden="1">{#N/A,#N/A,FALSE,"SumG";#N/A,#N/A,FALSE,"ElecG";#N/A,#N/A,FALSE,"MechG";#N/A,#N/A,FALSE,"GeotG";#N/A,#N/A,FALSE,"PrcsG";#N/A,#N/A,FALSE,"TunnG";#N/A,#N/A,FALSE,"CivlG";#N/A,#N/A,FALSE,"NtwkG";#N/A,#N/A,FALSE,"EstgG";#N/A,#N/A,FALSE,"PEngG"}</definedName>
    <definedName name="kkk" localSheetId="6" hidden="1">{#N/A,#N/A,FALSE,"SumG";#N/A,#N/A,FALSE,"ElecG";#N/A,#N/A,FALSE,"MechG";#N/A,#N/A,FALSE,"GeotG";#N/A,#N/A,FALSE,"PrcsG";#N/A,#N/A,FALSE,"TunnG";#N/A,#N/A,FALSE,"CivlG";#N/A,#N/A,FALSE,"NtwkG";#N/A,#N/A,FALSE,"EstgG";#N/A,#N/A,FALSE,"PEngG"}</definedName>
    <definedName name="kkk" localSheetId="3" hidden="1">{#N/A,#N/A,FALSE,"SumG";#N/A,#N/A,FALSE,"ElecG";#N/A,#N/A,FALSE,"MechG";#N/A,#N/A,FALSE,"GeotG";#N/A,#N/A,FALSE,"PrcsG";#N/A,#N/A,FALSE,"TunnG";#N/A,#N/A,FALSE,"CivlG";#N/A,#N/A,FALSE,"NtwkG";#N/A,#N/A,FALSE,"EstgG";#N/A,#N/A,FALSE,"PEngG"}</definedName>
    <definedName name="kkk" localSheetId="4" hidden="1">{#N/A,#N/A,FALSE,"SumG";#N/A,#N/A,FALSE,"ElecG";#N/A,#N/A,FALSE,"MechG";#N/A,#N/A,FALSE,"GeotG";#N/A,#N/A,FALSE,"PrcsG";#N/A,#N/A,FALSE,"TunnG";#N/A,#N/A,FALSE,"CivlG";#N/A,#N/A,FALSE,"NtwkG";#N/A,#N/A,FALSE,"EstgG";#N/A,#N/A,FALSE,"PEngG"}</definedName>
    <definedName name="kkk" localSheetId="13" hidden="1">{#N/A,#N/A,FALSE,"SumG";#N/A,#N/A,FALSE,"ElecG";#N/A,#N/A,FALSE,"MechG";#N/A,#N/A,FALSE,"GeotG";#N/A,#N/A,FALSE,"PrcsG";#N/A,#N/A,FALSE,"TunnG";#N/A,#N/A,FALSE,"CivlG";#N/A,#N/A,FALSE,"NtwkG";#N/A,#N/A,FALSE,"EstgG";#N/A,#N/A,FALSE,"PEngG"}</definedName>
    <definedName name="kkk" hidden="1">{#N/A,#N/A,FALSE,"SumG";#N/A,#N/A,FALSE,"ElecG";#N/A,#N/A,FALSE,"MechG";#N/A,#N/A,FALSE,"GeotG";#N/A,#N/A,FALSE,"PrcsG";#N/A,#N/A,FALSE,"TunnG";#N/A,#N/A,FALSE,"CivlG";#N/A,#N/A,FALSE,"NtwkG";#N/A,#N/A,FALSE,"EstgG";#N/A,#N/A,FALSE,"PEngG"}</definedName>
    <definedName name="kkkk" localSheetId="5" hidden="1">{#N/A,#N/A,FALSE,"WBS 1.06";#N/A,#N/A,FALSE,"WBS 1.14";#N/A,#N/A,FALSE,"WBS 1.17";#N/A,#N/A,FALSE,"WBS 1.18"}</definedName>
    <definedName name="kkkk" localSheetId="6" hidden="1">{#N/A,#N/A,FALSE,"WBS 1.06";#N/A,#N/A,FALSE,"WBS 1.14";#N/A,#N/A,FALSE,"WBS 1.17";#N/A,#N/A,FALSE,"WBS 1.18"}</definedName>
    <definedName name="kkkk" localSheetId="3" hidden="1">{#N/A,#N/A,FALSE,"WBS 1.06";#N/A,#N/A,FALSE,"WBS 1.14";#N/A,#N/A,FALSE,"WBS 1.17";#N/A,#N/A,FALSE,"WBS 1.18"}</definedName>
    <definedName name="kkkk" localSheetId="4" hidden="1">{#N/A,#N/A,FALSE,"WBS 1.06";#N/A,#N/A,FALSE,"WBS 1.14";#N/A,#N/A,FALSE,"WBS 1.17";#N/A,#N/A,FALSE,"WBS 1.18"}</definedName>
    <definedName name="kkkk" localSheetId="13" hidden="1">{#N/A,#N/A,FALSE,"WBS 1.06";#N/A,#N/A,FALSE,"WBS 1.14";#N/A,#N/A,FALSE,"WBS 1.17";#N/A,#N/A,FALSE,"WBS 1.18"}</definedName>
    <definedName name="kkkk" hidden="1">{#N/A,#N/A,FALSE,"WBS 1.06";#N/A,#N/A,FALSE,"WBS 1.14";#N/A,#N/A,FALSE,"WBS 1.17";#N/A,#N/A,FALSE,"WBS 1.18"}</definedName>
    <definedName name="kkkkkkkkkk" hidden="1">#REF!</definedName>
    <definedName name="kkkl" hidden="1">#REF!</definedName>
    <definedName name="KLÑ" hidden="1">#REF!</definedName>
    <definedName name="KLUO" hidden="1">#REF!</definedName>
    <definedName name="liliana" localSheetId="5" hidden="1">{#N/A,#N/A,FALSE,"ACTIVO FIJO";#N/A,#N/A,FALSE,"COBRAR";#N/A,#N/A,FALSE,"AFILIADAS";#N/A,#N/A,FALSE,"PAGAR";#N/A,#N/A,FALSE,"INSTIT. FINANCIERAS";#N/A,#N/A,FALSE,"VALORES"}</definedName>
    <definedName name="liliana" localSheetId="6" hidden="1">{#N/A,#N/A,FALSE,"ACTIVO FIJO";#N/A,#N/A,FALSE,"COBRAR";#N/A,#N/A,FALSE,"AFILIADAS";#N/A,#N/A,FALSE,"PAGAR";#N/A,#N/A,FALSE,"INSTIT. FINANCIERAS";#N/A,#N/A,FALSE,"VALORES"}</definedName>
    <definedName name="liliana" localSheetId="4" hidden="1">{#N/A,#N/A,FALSE,"ACTIVO FIJO";#N/A,#N/A,FALSE,"COBRAR";#N/A,#N/A,FALSE,"AFILIADAS";#N/A,#N/A,FALSE,"PAGAR";#N/A,#N/A,FALSE,"INSTIT. FINANCIERAS";#N/A,#N/A,FALSE,"VALORES"}</definedName>
    <definedName name="liliana" localSheetId="13" hidden="1">{#N/A,#N/A,FALSE,"ACTIVO FIJO";#N/A,#N/A,FALSE,"COBRAR";#N/A,#N/A,FALSE,"AFILIADAS";#N/A,#N/A,FALSE,"PAGAR";#N/A,#N/A,FALSE,"INSTIT. FINANCIERAS";#N/A,#N/A,FALSE,"VALORES"}</definedName>
    <definedName name="liliana" hidden="1">{#N/A,#N/A,FALSE,"ACTIVO FIJO";#N/A,#N/A,FALSE,"COBRAR";#N/A,#N/A,FALSE,"AFILIADAS";#N/A,#N/A,FALSE,"PAGAR";#N/A,#N/A,FALSE,"INSTIT. FINANCIERAS";#N/A,#N/A,FALSE,"VALORES"}</definedName>
    <definedName name="liliana_1" localSheetId="5" hidden="1">{#N/A,#N/A,FALSE,"ACTIVO FIJO";#N/A,#N/A,FALSE,"COBRAR";#N/A,#N/A,FALSE,"AFILIADAS";#N/A,#N/A,FALSE,"PAGAR";#N/A,#N/A,FALSE,"INSTIT. FINANCIERAS";#N/A,#N/A,FALSE,"VALORES"}</definedName>
    <definedName name="liliana_1" localSheetId="6" hidden="1">{#N/A,#N/A,FALSE,"ACTIVO FIJO";#N/A,#N/A,FALSE,"COBRAR";#N/A,#N/A,FALSE,"AFILIADAS";#N/A,#N/A,FALSE,"PAGAR";#N/A,#N/A,FALSE,"INSTIT. FINANCIERAS";#N/A,#N/A,FALSE,"VALORES"}</definedName>
    <definedName name="liliana_1" localSheetId="4" hidden="1">{#N/A,#N/A,FALSE,"ACTIVO FIJO";#N/A,#N/A,FALSE,"COBRAR";#N/A,#N/A,FALSE,"AFILIADAS";#N/A,#N/A,FALSE,"PAGAR";#N/A,#N/A,FALSE,"INSTIT. FINANCIERAS";#N/A,#N/A,FALSE,"VALORES"}</definedName>
    <definedName name="liliana_1" localSheetId="13" hidden="1">{#N/A,#N/A,FALSE,"ACTIVO FIJO";#N/A,#N/A,FALSE,"COBRAR";#N/A,#N/A,FALSE,"AFILIADAS";#N/A,#N/A,FALSE,"PAGAR";#N/A,#N/A,FALSE,"INSTIT. FINANCIERAS";#N/A,#N/A,FALSE,"VALORES"}</definedName>
    <definedName name="liliana_1" hidden="1">{#N/A,#N/A,FALSE,"ACTIVO FIJO";#N/A,#N/A,FALSE,"COBRAR";#N/A,#N/A,FALSE,"AFILIADAS";#N/A,#N/A,FALSE,"PAGAR";#N/A,#N/A,FALSE,"INSTIT. FINANCIERAS";#N/A,#N/A,FALSE,"VALORES"}</definedName>
    <definedName name="limcount" hidden="1">1</definedName>
    <definedName name="lk" hidden="1">#REF!</definedName>
    <definedName name="LKL" localSheetId="5" hidden="1">{#N/A,#N/A,FALSE,"SumG";#N/A,#N/A,FALSE,"ElecG";#N/A,#N/A,FALSE,"MechG";#N/A,#N/A,FALSE,"GeotG";#N/A,#N/A,FALSE,"PrcsG";#N/A,#N/A,FALSE,"TunnG";#N/A,#N/A,FALSE,"CivlG";#N/A,#N/A,FALSE,"NtwkG";#N/A,#N/A,FALSE,"EstgG";#N/A,#N/A,FALSE,"PEngG"}</definedName>
    <definedName name="LKL" localSheetId="6" hidden="1">{#N/A,#N/A,FALSE,"SumG";#N/A,#N/A,FALSE,"ElecG";#N/A,#N/A,FALSE,"MechG";#N/A,#N/A,FALSE,"GeotG";#N/A,#N/A,FALSE,"PrcsG";#N/A,#N/A,FALSE,"TunnG";#N/A,#N/A,FALSE,"CivlG";#N/A,#N/A,FALSE,"NtwkG";#N/A,#N/A,FALSE,"EstgG";#N/A,#N/A,FALSE,"PEngG"}</definedName>
    <definedName name="LKL" localSheetId="3" hidden="1">{#N/A,#N/A,FALSE,"SumG";#N/A,#N/A,FALSE,"ElecG";#N/A,#N/A,FALSE,"MechG";#N/A,#N/A,FALSE,"GeotG";#N/A,#N/A,FALSE,"PrcsG";#N/A,#N/A,FALSE,"TunnG";#N/A,#N/A,FALSE,"CivlG";#N/A,#N/A,FALSE,"NtwkG";#N/A,#N/A,FALSE,"EstgG";#N/A,#N/A,FALSE,"PEngG"}</definedName>
    <definedName name="LKL" localSheetId="4"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5" hidden="1">{#N/A,#N/A,FALSE,"SumG";#N/A,#N/A,FALSE,"ElecG";#N/A,#N/A,FALSE,"MechG";#N/A,#N/A,FALSE,"GeotG";#N/A,#N/A,FALSE,"PrcsG";#N/A,#N/A,FALSE,"TunnG";#N/A,#N/A,FALSE,"CivlG";#N/A,#N/A,FALSE,"NtwkG";#N/A,#N/A,FALSE,"EstgG";#N/A,#N/A,FALSE,"PEngG"}</definedName>
    <definedName name="ll" localSheetId="6" hidden="1">{#N/A,#N/A,FALSE,"SumG";#N/A,#N/A,FALSE,"ElecG";#N/A,#N/A,FALSE,"MechG";#N/A,#N/A,FALSE,"GeotG";#N/A,#N/A,FALSE,"PrcsG";#N/A,#N/A,FALSE,"TunnG";#N/A,#N/A,FALSE,"CivlG";#N/A,#N/A,FALSE,"NtwkG";#N/A,#N/A,FALSE,"EstgG";#N/A,#N/A,FALSE,"PEngG"}</definedName>
    <definedName name="ll" localSheetId="3" hidden="1">{#N/A,#N/A,FALSE,"SumG";#N/A,#N/A,FALSE,"ElecG";#N/A,#N/A,FALSE,"MechG";#N/A,#N/A,FALSE,"GeotG";#N/A,#N/A,FALSE,"PrcsG";#N/A,#N/A,FALSE,"TunnG";#N/A,#N/A,FALSE,"CivlG";#N/A,#N/A,FALSE,"NtwkG";#N/A,#N/A,FALSE,"EstgG";#N/A,#N/A,FALSE,"PEngG"}</definedName>
    <definedName name="ll" localSheetId="4" hidden="1">{#N/A,#N/A,FALSE,"SumG";#N/A,#N/A,FALSE,"ElecG";#N/A,#N/A,FALSE,"MechG";#N/A,#N/A,FALSE,"GeotG";#N/A,#N/A,FALSE,"PrcsG";#N/A,#N/A,FALSE,"TunnG";#N/A,#N/A,FALSE,"CivlG";#N/A,#N/A,FALSE,"NtwkG";#N/A,#N/A,FALSE,"EstgG";#N/A,#N/A,FALSE,"PEngG"}</definedName>
    <definedName name="ll" localSheetId="13" hidden="1">{#N/A,#N/A,FALSE,"SumG";#N/A,#N/A,FALSE,"ElecG";#N/A,#N/A,FALSE,"MechG";#N/A,#N/A,FALSE,"GeotG";#N/A,#N/A,FALSE,"PrcsG";#N/A,#N/A,FALSE,"TunnG";#N/A,#N/A,FALSE,"CivlG";#N/A,#N/A,FALSE,"NtwkG";#N/A,#N/A,FALSE,"EstgG";#N/A,#N/A,FALSE,"PEngG"}</definedName>
    <definedName name="ll" hidden="1">{#N/A,#N/A,FALSE,"SumG";#N/A,#N/A,FALSE,"ElecG";#N/A,#N/A,FALSE,"MechG";#N/A,#N/A,FALSE,"GeotG";#N/A,#N/A,FALSE,"PrcsG";#N/A,#N/A,FALSE,"TunnG";#N/A,#N/A,FALSE,"CivlG";#N/A,#N/A,FALSE,"NtwkG";#N/A,#N/A,FALSE,"EstgG";#N/A,#N/A,FALSE,"PEngG"}</definedName>
    <definedName name="llll" localSheetId="5" hidden="1">{#N/A,#N/A,FALSE,"SumG";#N/A,#N/A,FALSE,"ElecG";#N/A,#N/A,FALSE,"MechG";#N/A,#N/A,FALSE,"GeotG";#N/A,#N/A,FALSE,"PrcsG";#N/A,#N/A,FALSE,"TunnG";#N/A,#N/A,FALSE,"CivlG";#N/A,#N/A,FALSE,"NtwkG";#N/A,#N/A,FALSE,"EstgG";#N/A,#N/A,FALSE,"PEngG"}</definedName>
    <definedName name="llll" localSheetId="6" hidden="1">{#N/A,#N/A,FALSE,"SumG";#N/A,#N/A,FALSE,"ElecG";#N/A,#N/A,FALSE,"MechG";#N/A,#N/A,FALSE,"GeotG";#N/A,#N/A,FALSE,"PrcsG";#N/A,#N/A,FALSE,"TunnG";#N/A,#N/A,FALSE,"CivlG";#N/A,#N/A,FALSE,"NtwkG";#N/A,#N/A,FALSE,"EstgG";#N/A,#N/A,FALSE,"PEngG"}</definedName>
    <definedName name="llll" localSheetId="3" hidden="1">{#N/A,#N/A,FALSE,"SumG";#N/A,#N/A,FALSE,"ElecG";#N/A,#N/A,FALSE,"MechG";#N/A,#N/A,FALSE,"GeotG";#N/A,#N/A,FALSE,"PrcsG";#N/A,#N/A,FALSE,"TunnG";#N/A,#N/A,FALSE,"CivlG";#N/A,#N/A,FALSE,"NtwkG";#N/A,#N/A,FALSE,"EstgG";#N/A,#N/A,FALSE,"PEngG"}</definedName>
    <definedName name="llll" localSheetId="4" hidden="1">{#N/A,#N/A,FALSE,"SumG";#N/A,#N/A,FALSE,"ElecG";#N/A,#N/A,FALSE,"MechG";#N/A,#N/A,FALSE,"GeotG";#N/A,#N/A,FALSE,"PrcsG";#N/A,#N/A,FALSE,"TunnG";#N/A,#N/A,FALSE,"CivlG";#N/A,#N/A,FALSE,"NtwkG";#N/A,#N/A,FALSE,"EstgG";#N/A,#N/A,FALSE,"PEngG"}</definedName>
    <definedName name="llll" localSheetId="13" hidden="1">{#N/A,#N/A,FALSE,"SumG";#N/A,#N/A,FALSE,"ElecG";#N/A,#N/A,FALSE,"MechG";#N/A,#N/A,FALSE,"GeotG";#N/A,#N/A,FALSE,"PrcsG";#N/A,#N/A,FALSE,"TunnG";#N/A,#N/A,FALSE,"CivlG";#N/A,#N/A,FALSE,"NtwkG";#N/A,#N/A,FALSE,"EstgG";#N/A,#N/A,FALSE,"PEngG"}</definedName>
    <definedName name="llll" hidden="1">{#N/A,#N/A,FALSE,"SumG";#N/A,#N/A,FALSE,"ElecG";#N/A,#N/A,FALSE,"MechG";#N/A,#N/A,FALSE,"GeotG";#N/A,#N/A,FALSE,"PrcsG";#N/A,#N/A,FALSE,"TunnG";#N/A,#N/A,FALSE,"CivlG";#N/A,#N/A,FALSE,"NtwkG";#N/A,#N/A,FALSE,"EstgG";#N/A,#N/A,FALSE,"PEngG"}</definedName>
    <definedName name="llllkk" localSheetId="5" hidden="1">{#N/A,#N/A,FALSE,"Pricing";#N/A,#N/A,FALSE,"Summary";#N/A,#N/A,FALSE,"CompProd";#N/A,#N/A,FALSE,"CompJobhrs";#N/A,#N/A,FALSE,"Escalation";#N/A,#N/A,FALSE,"Contingency";#N/A,#N/A,FALSE,"GM";#N/A,#N/A,FALSE,"CompWage";#N/A,#N/A,FALSE,"costSum"}</definedName>
    <definedName name="llllkk" localSheetId="6" hidden="1">{#N/A,#N/A,FALSE,"Pricing";#N/A,#N/A,FALSE,"Summary";#N/A,#N/A,FALSE,"CompProd";#N/A,#N/A,FALSE,"CompJobhrs";#N/A,#N/A,FALSE,"Escalation";#N/A,#N/A,FALSE,"Contingency";#N/A,#N/A,FALSE,"GM";#N/A,#N/A,FALSE,"CompWage";#N/A,#N/A,FALSE,"costSum"}</definedName>
    <definedName name="llllkk" localSheetId="3" hidden="1">{#N/A,#N/A,FALSE,"Pricing";#N/A,#N/A,FALSE,"Summary";#N/A,#N/A,FALSE,"CompProd";#N/A,#N/A,FALSE,"CompJobhrs";#N/A,#N/A,FALSE,"Escalation";#N/A,#N/A,FALSE,"Contingency";#N/A,#N/A,FALSE,"GM";#N/A,#N/A,FALSE,"CompWage";#N/A,#N/A,FALSE,"costSum"}</definedName>
    <definedName name="llllkk" localSheetId="4" hidden="1">{#N/A,#N/A,FALSE,"Pricing";#N/A,#N/A,FALSE,"Summary";#N/A,#N/A,FALSE,"CompProd";#N/A,#N/A,FALSE,"CompJobhrs";#N/A,#N/A,FALSE,"Escalation";#N/A,#N/A,FALSE,"Contingency";#N/A,#N/A,FALSE,"GM";#N/A,#N/A,FALSE,"CompWage";#N/A,#N/A,FALSE,"costSum"}</definedName>
    <definedName name="llllkk" localSheetId="13" hidden="1">{#N/A,#N/A,FALSE,"Pricing";#N/A,#N/A,FALSE,"Summary";#N/A,#N/A,FALSE,"CompProd";#N/A,#N/A,FALSE,"CompJobhrs";#N/A,#N/A,FALSE,"Escalation";#N/A,#N/A,FALSE,"Contingency";#N/A,#N/A,FALSE,"GM";#N/A,#N/A,FALSE,"CompWage";#N/A,#N/A,FALSE,"costSum"}</definedName>
    <definedName name="llllkk" hidden="1">{#N/A,#N/A,FALSE,"Pricing";#N/A,#N/A,FALSE,"Summary";#N/A,#N/A,FALSE,"CompProd";#N/A,#N/A,FALSE,"CompJobhrs";#N/A,#N/A,FALSE,"Escalation";#N/A,#N/A,FALSE,"Contingency";#N/A,#N/A,FALSE,"GM";#N/A,#N/A,FALSE,"CompWage";#N/A,#N/A,FALSE,"costSum"}</definedName>
    <definedName name="LLLLLLLLLLL" localSheetId="5" hidden="1">{"TEXTO DEL AVALUO",#N/A,TRUE,"AVALUO";"CALCULOS Y DICTAMEN",#N/A,TRUE,"CONDOMINIO"}</definedName>
    <definedName name="LLLLLLLLLLL" localSheetId="6" hidden="1">{"TEXTO DEL AVALUO",#N/A,TRUE,"AVALUO";"CALCULOS Y DICTAMEN",#N/A,TRUE,"CONDOMINIO"}</definedName>
    <definedName name="LLLLLLLLLLL" localSheetId="4" hidden="1">{"TEXTO DEL AVALUO",#N/A,TRUE,"AVALUO";"CALCULOS Y DICTAMEN",#N/A,TRUE,"CONDOMINIO"}</definedName>
    <definedName name="LLLLLLLLLLL" localSheetId="13" hidden="1">{"TEXTO DEL AVALUO",#N/A,TRUE,"AVALUO";"CALCULOS Y DICTAMEN",#N/A,TRUE,"CONDOMINIO"}</definedName>
    <definedName name="LLLLLLLLLLL" hidden="1">{"TEXTO DEL AVALUO",#N/A,TRUE,"AVALUO";"CALCULOS Y DICTAMEN",#N/A,TRUE,"CONDOMINIO"}</definedName>
    <definedName name="LLLLLLLLLLLL" localSheetId="5" hidden="1">{#N/A,#N/A,FALSE,"AVALUO";#N/A,#N/A,FALSE,"CONDOMINIO";#N/A,#N/A,FALSE,"IGECEM"}</definedName>
    <definedName name="LLLLLLLLLLLL" localSheetId="6" hidden="1">{#N/A,#N/A,FALSE,"AVALUO";#N/A,#N/A,FALSE,"CONDOMINIO";#N/A,#N/A,FALSE,"IGECEM"}</definedName>
    <definedName name="LLLLLLLLLLLL" localSheetId="4" hidden="1">{#N/A,#N/A,FALSE,"AVALUO";#N/A,#N/A,FALSE,"CONDOMINIO";#N/A,#N/A,FALSE,"IGECEM"}</definedName>
    <definedName name="LLLLLLLLLLLL" localSheetId="13" hidden="1">{#N/A,#N/A,FALSE,"AVALUO";#N/A,#N/A,FALSE,"CONDOMINIO";#N/A,#N/A,FALSE,"IGECEM"}</definedName>
    <definedName name="LLLLLLLLLLLL" hidden="1">{#N/A,#N/A,FALSE,"AVALUO";#N/A,#N/A,FALSE,"CONDOMINIO";#N/A,#N/A,FALSE,"IGECEM"}</definedName>
    <definedName name="lñl" hidden="1">#REF!</definedName>
    <definedName name="loik" localSheetId="5" hidden="1">{#N/A,#N/A,FALSE,"SumD";#N/A,#N/A,FALSE,"ElecD";#N/A,#N/A,FALSE,"MechD";#N/A,#N/A,FALSE,"GeotD";#N/A,#N/A,FALSE,"PrcsD";#N/A,#N/A,FALSE,"TunnD";#N/A,#N/A,FALSE,"CivlD";#N/A,#N/A,FALSE,"NtwkD";#N/A,#N/A,FALSE,"EstgD";#N/A,#N/A,FALSE,"PEngD"}</definedName>
    <definedName name="loik" localSheetId="6" hidden="1">{#N/A,#N/A,FALSE,"SumD";#N/A,#N/A,FALSE,"ElecD";#N/A,#N/A,FALSE,"MechD";#N/A,#N/A,FALSE,"GeotD";#N/A,#N/A,FALSE,"PrcsD";#N/A,#N/A,FALSE,"TunnD";#N/A,#N/A,FALSE,"CivlD";#N/A,#N/A,FALSE,"NtwkD";#N/A,#N/A,FALSE,"EstgD";#N/A,#N/A,FALSE,"PEngD"}</definedName>
    <definedName name="loik" localSheetId="3" hidden="1">{#N/A,#N/A,FALSE,"SumD";#N/A,#N/A,FALSE,"ElecD";#N/A,#N/A,FALSE,"MechD";#N/A,#N/A,FALSE,"GeotD";#N/A,#N/A,FALSE,"PrcsD";#N/A,#N/A,FALSE,"TunnD";#N/A,#N/A,FALSE,"CivlD";#N/A,#N/A,FALSE,"NtwkD";#N/A,#N/A,FALSE,"EstgD";#N/A,#N/A,FALSE,"PEngD"}</definedName>
    <definedName name="loik" localSheetId="4" hidden="1">{#N/A,#N/A,FALSE,"SumD";#N/A,#N/A,FALSE,"ElecD";#N/A,#N/A,FALSE,"MechD";#N/A,#N/A,FALSE,"GeotD";#N/A,#N/A,FALSE,"PrcsD";#N/A,#N/A,FALSE,"TunnD";#N/A,#N/A,FALSE,"CivlD";#N/A,#N/A,FALSE,"NtwkD";#N/A,#N/A,FALSE,"EstgD";#N/A,#N/A,FALSE,"PEngD"}</definedName>
    <definedName name="loik" localSheetId="13" hidden="1">{#N/A,#N/A,FALSE,"SumD";#N/A,#N/A,FALSE,"ElecD";#N/A,#N/A,FALSE,"MechD";#N/A,#N/A,FALSE,"GeotD";#N/A,#N/A,FALSE,"PrcsD";#N/A,#N/A,FALSE,"TunnD";#N/A,#N/A,FALSE,"CivlD";#N/A,#N/A,FALSE,"NtwkD";#N/A,#N/A,FALSE,"EstgD";#N/A,#N/A,FALSE,"PEngD"}</definedName>
    <definedName name="loik" hidden="1">{#N/A,#N/A,FALSE,"SumD";#N/A,#N/A,FALSE,"ElecD";#N/A,#N/A,FALSE,"MechD";#N/A,#N/A,FALSE,"GeotD";#N/A,#N/A,FALSE,"PrcsD";#N/A,#N/A,FALSE,"TunnD";#N/A,#N/A,FALSE,"CivlD";#N/A,#N/A,FALSE,"NtwkD";#N/A,#N/A,FALSE,"EstgD";#N/A,#N/A,FALSE,"PEngD"}</definedName>
    <definedName name="LOSA" hidden="1">#REF!</definedName>
    <definedName name="lpm" hidden="1">#REF!</definedName>
    <definedName name="LRP" localSheetId="5" hidden="1">{"CONCABL1.1",#N/A,FALSE,"1.1.1a1.1.3 ACSR";"AISL1.2",#N/A,FALSE,"1.1.1a1.1.3 ACSR";"torr1.1.3",#N/A,FALSE,"1.1.1a1.1.3 ACSR";"cm1.2",#N/A,FALSE,"1.2 ACSR";"cm2.2",#N/A,FALSE,"1.2 ACSR";#N/A,#N/A,FALSE,"1.3 ACSR";#N/A,#N/A,FALSE,"2.1.1A2.1.3 ACAR";"ac2.1",#N/A,FALSE,"1.2 ACAR";"ac2.2",#N/A,FALSE,"1.2 ACAR";#N/A,#N/A,FALSE,"2.3 ACAR"}</definedName>
    <definedName name="LRP" localSheetId="6" hidden="1">{"CONCABL1.1",#N/A,FALSE,"1.1.1a1.1.3 ACSR";"AISL1.2",#N/A,FALSE,"1.1.1a1.1.3 ACSR";"torr1.1.3",#N/A,FALSE,"1.1.1a1.1.3 ACSR";"cm1.2",#N/A,FALSE,"1.2 ACSR";"cm2.2",#N/A,FALSE,"1.2 ACSR";#N/A,#N/A,FALSE,"1.3 ACSR";#N/A,#N/A,FALSE,"2.1.1A2.1.3 ACAR";"ac2.1",#N/A,FALSE,"1.2 ACAR";"ac2.2",#N/A,FALSE,"1.2 ACAR";#N/A,#N/A,FALSE,"2.3 ACAR"}</definedName>
    <definedName name="LRP" localSheetId="3" hidden="1">{"CONCABL1.1",#N/A,FALSE,"1.1.1a1.1.3 ACSR";"AISL1.2",#N/A,FALSE,"1.1.1a1.1.3 ACSR";"torr1.1.3",#N/A,FALSE,"1.1.1a1.1.3 ACSR";"cm1.2",#N/A,FALSE,"1.2 ACSR";"cm2.2",#N/A,FALSE,"1.2 ACSR";#N/A,#N/A,FALSE,"1.3 ACSR";#N/A,#N/A,FALSE,"2.1.1A2.1.3 ACAR";"ac2.1",#N/A,FALSE,"1.2 ACAR";"ac2.2",#N/A,FALSE,"1.2 ACAR";#N/A,#N/A,FALSE,"2.3 ACAR"}</definedName>
    <definedName name="LRP" localSheetId="4" hidden="1">{"CONCABL1.1",#N/A,FALSE,"1.1.1a1.1.3 ACSR";"AISL1.2",#N/A,FALSE,"1.1.1a1.1.3 ACSR";"torr1.1.3",#N/A,FALSE,"1.1.1a1.1.3 ACSR";"cm1.2",#N/A,FALSE,"1.2 ACSR";"cm2.2",#N/A,FALSE,"1.2 ACSR";#N/A,#N/A,FALSE,"1.3 ACSR";#N/A,#N/A,FALSE,"2.1.1A2.1.3 ACAR";"ac2.1",#N/A,FALSE,"1.2 ACAR";"ac2.2",#N/A,FALSE,"1.2 ACAR";#N/A,#N/A,FALSE,"2.3 ACAR"}</definedName>
    <definedName name="LRP" localSheetId="13" hidden="1">{"CONCABL1.1",#N/A,FALSE,"1.1.1a1.1.3 ACSR";"AISL1.2",#N/A,FALSE,"1.1.1a1.1.3 ACSR";"torr1.1.3",#N/A,FALSE,"1.1.1a1.1.3 ACSR";"cm1.2",#N/A,FALSE,"1.2 ACSR";"cm2.2",#N/A,FALSE,"1.2 ACSR";#N/A,#N/A,FALSE,"1.3 ACSR";#N/A,#N/A,FALSE,"2.1.1A2.1.3 ACAR";"ac2.1",#N/A,FALSE,"1.2 ACAR";"ac2.2",#N/A,FALSE,"1.2 ACAR";#N/A,#N/A,FALSE,"2.3 ACAR"}</definedName>
    <definedName name="LRP" hidden="1">{"CONCABL1.1",#N/A,FALSE,"1.1.1a1.1.3 ACSR";"AISL1.2",#N/A,FALSE,"1.1.1a1.1.3 ACSR";"torr1.1.3",#N/A,FALSE,"1.1.1a1.1.3 ACSR";"cm1.2",#N/A,FALSE,"1.2 ACSR";"cm2.2",#N/A,FALSE,"1.2 ACSR";#N/A,#N/A,FALSE,"1.3 ACSR";#N/A,#N/A,FALSE,"2.1.1A2.1.3 ACAR";"ac2.1",#N/A,FALSE,"1.2 ACAR";"ac2.2",#N/A,FALSE,"1.2 ACAR";#N/A,#N/A,FALSE,"2.3 ACAR"}</definedName>
    <definedName name="mas" hidden="1">#REF!</definedName>
    <definedName name="METRADO_MUEBLES_COCINA" hidden="1">#REF!</definedName>
    <definedName name="mjnhgb" localSheetId="5" hidden="1">{#N/A,#N/A,FALSE,"Pricing";#N/A,#N/A,FALSE,"Summary";#N/A,#N/A,FALSE,"CompProd";#N/A,#N/A,FALSE,"CompJobhrs";#N/A,#N/A,FALSE,"Escalation";#N/A,#N/A,FALSE,"Contingency";#N/A,#N/A,FALSE,"GM";#N/A,#N/A,FALSE,"CompWage";#N/A,#N/A,FALSE,"costSum"}</definedName>
    <definedName name="mjnhgb" localSheetId="6" hidden="1">{#N/A,#N/A,FALSE,"Pricing";#N/A,#N/A,FALSE,"Summary";#N/A,#N/A,FALSE,"CompProd";#N/A,#N/A,FALSE,"CompJobhrs";#N/A,#N/A,FALSE,"Escalation";#N/A,#N/A,FALSE,"Contingency";#N/A,#N/A,FALSE,"GM";#N/A,#N/A,FALSE,"CompWage";#N/A,#N/A,FALSE,"costSum"}</definedName>
    <definedName name="mjnhgb" localSheetId="3" hidden="1">{#N/A,#N/A,FALSE,"Pricing";#N/A,#N/A,FALSE,"Summary";#N/A,#N/A,FALSE,"CompProd";#N/A,#N/A,FALSE,"CompJobhrs";#N/A,#N/A,FALSE,"Escalation";#N/A,#N/A,FALSE,"Contingency";#N/A,#N/A,FALSE,"GM";#N/A,#N/A,FALSE,"CompWage";#N/A,#N/A,FALSE,"costSum"}</definedName>
    <definedName name="mjnhgb" localSheetId="4" hidden="1">{#N/A,#N/A,FALSE,"Pricing";#N/A,#N/A,FALSE,"Summary";#N/A,#N/A,FALSE,"CompProd";#N/A,#N/A,FALSE,"CompJobhrs";#N/A,#N/A,FALSE,"Escalation";#N/A,#N/A,FALSE,"Contingency";#N/A,#N/A,FALSE,"GM";#N/A,#N/A,FALSE,"CompWage";#N/A,#N/A,FALSE,"costSum"}</definedName>
    <definedName name="mjnhgb" localSheetId="13" hidden="1">{#N/A,#N/A,FALSE,"Pricing";#N/A,#N/A,FALSE,"Summary";#N/A,#N/A,FALSE,"CompProd";#N/A,#N/A,FALSE,"CompJobhrs";#N/A,#N/A,FALSE,"Escalation";#N/A,#N/A,FALSE,"Contingency";#N/A,#N/A,FALSE,"GM";#N/A,#N/A,FALSE,"CompWage";#N/A,#N/A,FALSE,"costSum"}</definedName>
    <definedName name="mjnhgb" hidden="1">{#N/A,#N/A,FALSE,"Pricing";#N/A,#N/A,FALSE,"Summary";#N/A,#N/A,FALSE,"CompProd";#N/A,#N/A,FALSE,"CompJobhrs";#N/A,#N/A,FALSE,"Escalation";#N/A,#N/A,FALSE,"Contingency";#N/A,#N/A,FALSE,"GM";#N/A,#N/A,FALSE,"CompWage";#N/A,#N/A,FALSE,"costSum"}</definedName>
    <definedName name="MM" hidden="1">#REF!</definedName>
    <definedName name="mmghg" localSheetId="5" hidden="1">{#N/A,#N/A,FALSE,"SumD";#N/A,#N/A,FALSE,"ElecD";#N/A,#N/A,FALSE,"MechD";#N/A,#N/A,FALSE,"GeotD";#N/A,#N/A,FALSE,"PrcsD";#N/A,#N/A,FALSE,"TunnD";#N/A,#N/A,FALSE,"CivlD";#N/A,#N/A,FALSE,"NtwkD";#N/A,#N/A,FALSE,"EstgD";#N/A,#N/A,FALSE,"PEngD"}</definedName>
    <definedName name="mmghg" localSheetId="6" hidden="1">{#N/A,#N/A,FALSE,"SumD";#N/A,#N/A,FALSE,"ElecD";#N/A,#N/A,FALSE,"MechD";#N/A,#N/A,FALSE,"GeotD";#N/A,#N/A,FALSE,"PrcsD";#N/A,#N/A,FALSE,"TunnD";#N/A,#N/A,FALSE,"CivlD";#N/A,#N/A,FALSE,"NtwkD";#N/A,#N/A,FALSE,"EstgD";#N/A,#N/A,FALSE,"PEngD"}</definedName>
    <definedName name="mmghg" localSheetId="3" hidden="1">{#N/A,#N/A,FALSE,"SumD";#N/A,#N/A,FALSE,"ElecD";#N/A,#N/A,FALSE,"MechD";#N/A,#N/A,FALSE,"GeotD";#N/A,#N/A,FALSE,"PrcsD";#N/A,#N/A,FALSE,"TunnD";#N/A,#N/A,FALSE,"CivlD";#N/A,#N/A,FALSE,"NtwkD";#N/A,#N/A,FALSE,"EstgD";#N/A,#N/A,FALSE,"PEngD"}</definedName>
    <definedName name="mmghg" localSheetId="4" hidden="1">{#N/A,#N/A,FALSE,"SumD";#N/A,#N/A,FALSE,"ElecD";#N/A,#N/A,FALSE,"MechD";#N/A,#N/A,FALSE,"GeotD";#N/A,#N/A,FALSE,"PrcsD";#N/A,#N/A,FALSE,"TunnD";#N/A,#N/A,FALSE,"CivlD";#N/A,#N/A,FALSE,"NtwkD";#N/A,#N/A,FALSE,"EstgD";#N/A,#N/A,FALSE,"PEngD"}</definedName>
    <definedName name="mmghg" localSheetId="13" hidden="1">{#N/A,#N/A,FALSE,"SumD";#N/A,#N/A,FALSE,"ElecD";#N/A,#N/A,FALSE,"MechD";#N/A,#N/A,FALSE,"GeotD";#N/A,#N/A,FALSE,"PrcsD";#N/A,#N/A,FALSE,"TunnD";#N/A,#N/A,FALSE,"CivlD";#N/A,#N/A,FALSE,"NtwkD";#N/A,#N/A,FALSE,"EstgD";#N/A,#N/A,FALSE,"PEngD"}</definedName>
    <definedName name="mmghg" hidden="1">{#N/A,#N/A,FALSE,"SumD";#N/A,#N/A,FALSE,"ElecD";#N/A,#N/A,FALSE,"MechD";#N/A,#N/A,FALSE,"GeotD";#N/A,#N/A,FALSE,"PrcsD";#N/A,#N/A,FALSE,"TunnD";#N/A,#N/A,FALSE,"CivlD";#N/A,#N/A,FALSE,"NtwkD";#N/A,#N/A,FALSE,"EstgD";#N/A,#N/A,FALSE,"PEngD"}</definedName>
    <definedName name="MMM" hidden="1">#REF!</definedName>
    <definedName name="mmmm" localSheetId="5" hidden="1">{#N/A,#N/A,FALSE,"SumG";#N/A,#N/A,FALSE,"ElecG";#N/A,#N/A,FALSE,"MechG";#N/A,#N/A,FALSE,"GeotG";#N/A,#N/A,FALSE,"PrcsG";#N/A,#N/A,FALSE,"TunnG";#N/A,#N/A,FALSE,"CivlG";#N/A,#N/A,FALSE,"NtwkG";#N/A,#N/A,FALSE,"EstgG";#N/A,#N/A,FALSE,"PEngG"}</definedName>
    <definedName name="mmmm" localSheetId="6" hidden="1">{#N/A,#N/A,FALSE,"SumG";#N/A,#N/A,FALSE,"ElecG";#N/A,#N/A,FALSE,"MechG";#N/A,#N/A,FALSE,"GeotG";#N/A,#N/A,FALSE,"PrcsG";#N/A,#N/A,FALSE,"TunnG";#N/A,#N/A,FALSE,"CivlG";#N/A,#N/A,FALSE,"NtwkG";#N/A,#N/A,FALSE,"EstgG";#N/A,#N/A,FALSE,"PEngG"}</definedName>
    <definedName name="mmmm" localSheetId="3" hidden="1">{#N/A,#N/A,FALSE,"SumG";#N/A,#N/A,FALSE,"ElecG";#N/A,#N/A,FALSE,"MechG";#N/A,#N/A,FALSE,"GeotG";#N/A,#N/A,FALSE,"PrcsG";#N/A,#N/A,FALSE,"TunnG";#N/A,#N/A,FALSE,"CivlG";#N/A,#N/A,FALSE,"NtwkG";#N/A,#N/A,FALSE,"EstgG";#N/A,#N/A,FALSE,"PEngG"}</definedName>
    <definedName name="mmmm" localSheetId="4" hidden="1">{#N/A,#N/A,FALSE,"SumG";#N/A,#N/A,FALSE,"ElecG";#N/A,#N/A,FALSE,"MechG";#N/A,#N/A,FALSE,"GeotG";#N/A,#N/A,FALSE,"PrcsG";#N/A,#N/A,FALSE,"TunnG";#N/A,#N/A,FALSE,"CivlG";#N/A,#N/A,FALSE,"NtwkG";#N/A,#N/A,FALSE,"EstgG";#N/A,#N/A,FALSE,"PEngG"}</definedName>
    <definedName name="mmmm" localSheetId="13" hidden="1">{#N/A,#N/A,FALSE,"SumG";#N/A,#N/A,FALSE,"ElecG";#N/A,#N/A,FALSE,"MechG";#N/A,#N/A,FALSE,"GeotG";#N/A,#N/A,FALSE,"PrcsG";#N/A,#N/A,FALSE,"TunnG";#N/A,#N/A,FALSE,"CivlG";#N/A,#N/A,FALSE,"NtwkG";#N/A,#N/A,FALSE,"EstgG";#N/A,#N/A,FALSE,"PEngG"}</definedName>
    <definedName name="mmmm" hidden="1">{#N/A,#N/A,FALSE,"SumG";#N/A,#N/A,FALSE,"ElecG";#N/A,#N/A,FALSE,"MechG";#N/A,#N/A,FALSE,"GeotG";#N/A,#N/A,FALSE,"PrcsG";#N/A,#N/A,FALSE,"TunnG";#N/A,#N/A,FALSE,"CivlG";#N/A,#N/A,FALSE,"NtwkG";#N/A,#N/A,FALSE,"EstgG";#N/A,#N/A,FALSE,"PEngG"}</definedName>
    <definedName name="mmmm_1" localSheetId="5" hidden="1">{#N/A,#N/A,FALSE,"ACTIVO FIJO";#N/A,#N/A,FALSE,"COBRAR";#N/A,#N/A,FALSE,"AFILIADAS";#N/A,#N/A,FALSE,"PAGAR";#N/A,#N/A,FALSE,"INSTIT. FINANCIERAS";#N/A,#N/A,FALSE,"VALORES"}</definedName>
    <definedName name="mmmm_1" localSheetId="6" hidden="1">{#N/A,#N/A,FALSE,"ACTIVO FIJO";#N/A,#N/A,FALSE,"COBRAR";#N/A,#N/A,FALSE,"AFILIADAS";#N/A,#N/A,FALSE,"PAGAR";#N/A,#N/A,FALSE,"INSTIT. FINANCIERAS";#N/A,#N/A,FALSE,"VALORES"}</definedName>
    <definedName name="mmmm_1" localSheetId="4" hidden="1">{#N/A,#N/A,FALSE,"ACTIVO FIJO";#N/A,#N/A,FALSE,"COBRAR";#N/A,#N/A,FALSE,"AFILIADAS";#N/A,#N/A,FALSE,"PAGAR";#N/A,#N/A,FALSE,"INSTIT. FINANCIERAS";#N/A,#N/A,FALSE,"VALORES"}</definedName>
    <definedName name="mmmm_1" localSheetId="13" hidden="1">{#N/A,#N/A,FALSE,"ACTIVO FIJO";#N/A,#N/A,FALSE,"COBRAR";#N/A,#N/A,FALSE,"AFILIADAS";#N/A,#N/A,FALSE,"PAGAR";#N/A,#N/A,FALSE,"INSTIT. FINANCIERAS";#N/A,#N/A,FALSE,"VALORES"}</definedName>
    <definedName name="mmmm_1" hidden="1">{#N/A,#N/A,FALSE,"ACTIVO FIJO";#N/A,#N/A,FALSE,"COBRAR";#N/A,#N/A,FALSE,"AFILIADAS";#N/A,#N/A,FALSE,"PAGAR";#N/A,#N/A,FALSE,"INSTIT. FINANCIERAS";#N/A,#N/A,FALSE,"VALORES"}</definedName>
    <definedName name="mmmmm" localSheetId="5" hidden="1">{#N/A,#N/A,FALSE,"SumG";#N/A,#N/A,FALSE,"ElecG";#N/A,#N/A,FALSE,"MechG";#N/A,#N/A,FALSE,"GeotG";#N/A,#N/A,FALSE,"PrcsG";#N/A,#N/A,FALSE,"TunnG";#N/A,#N/A,FALSE,"CivlG";#N/A,#N/A,FALSE,"NtwkG";#N/A,#N/A,FALSE,"EstgG";#N/A,#N/A,FALSE,"PEngG"}</definedName>
    <definedName name="mmmmm" localSheetId="6" hidden="1">{#N/A,#N/A,FALSE,"SumG";#N/A,#N/A,FALSE,"ElecG";#N/A,#N/A,FALSE,"MechG";#N/A,#N/A,FALSE,"GeotG";#N/A,#N/A,FALSE,"PrcsG";#N/A,#N/A,FALSE,"TunnG";#N/A,#N/A,FALSE,"CivlG";#N/A,#N/A,FALSE,"NtwkG";#N/A,#N/A,FALSE,"EstgG";#N/A,#N/A,FALSE,"PEngG"}</definedName>
    <definedName name="mmmmm" localSheetId="3" hidden="1">{#N/A,#N/A,FALSE,"SumG";#N/A,#N/A,FALSE,"ElecG";#N/A,#N/A,FALSE,"MechG";#N/A,#N/A,FALSE,"GeotG";#N/A,#N/A,FALSE,"PrcsG";#N/A,#N/A,FALSE,"TunnG";#N/A,#N/A,FALSE,"CivlG";#N/A,#N/A,FALSE,"NtwkG";#N/A,#N/A,FALSE,"EstgG";#N/A,#N/A,FALSE,"PEngG"}</definedName>
    <definedName name="mmmmm" localSheetId="4" hidden="1">{#N/A,#N/A,FALSE,"SumG";#N/A,#N/A,FALSE,"ElecG";#N/A,#N/A,FALSE,"MechG";#N/A,#N/A,FALSE,"GeotG";#N/A,#N/A,FALSE,"PrcsG";#N/A,#N/A,FALSE,"TunnG";#N/A,#N/A,FALSE,"CivlG";#N/A,#N/A,FALSE,"NtwkG";#N/A,#N/A,FALSE,"EstgG";#N/A,#N/A,FALSE,"PEngG"}</definedName>
    <definedName name="mmmmm" localSheetId="13" hidden="1">{#N/A,#N/A,FALSE,"SumG";#N/A,#N/A,FALSE,"ElecG";#N/A,#N/A,FALSE,"MechG";#N/A,#N/A,FALSE,"GeotG";#N/A,#N/A,FALSE,"PrcsG";#N/A,#N/A,FALSE,"TunnG";#N/A,#N/A,FALSE,"CivlG";#N/A,#N/A,FALSE,"NtwkG";#N/A,#N/A,FALSE,"EstgG";#N/A,#N/A,FALSE,"PEngG"}</definedName>
    <definedName name="mmmmm" hidden="1">{#N/A,#N/A,FALSE,"SumG";#N/A,#N/A,FALSE,"ElecG";#N/A,#N/A,FALSE,"MechG";#N/A,#N/A,FALSE,"GeotG";#N/A,#N/A,FALSE,"PrcsG";#N/A,#N/A,FALSE,"TunnG";#N/A,#N/A,FALSE,"CivlG";#N/A,#N/A,FALSE,"NtwkG";#N/A,#N/A,FALSE,"EstgG";#N/A,#N/A,FALSE,"PEngG"}</definedName>
    <definedName name="MONTOMAXMAT" localSheetId="5" hidden="1">{"CONCABL1.1",#N/A,FALSE,"1.1.1a1.1.3 ACSR";"AISL1.2",#N/A,FALSE,"1.1.1a1.1.3 ACSR";"torr1.1.3",#N/A,FALSE,"1.1.1a1.1.3 ACSR";"cm1.2",#N/A,FALSE,"1.2 ACSR";"cm2.2",#N/A,FALSE,"1.2 ACSR";#N/A,#N/A,FALSE,"1.3 ACSR";#N/A,#N/A,FALSE,"2.1.1A2.1.3 ACAR";"ac2.1",#N/A,FALSE,"1.2 ACAR";"ac2.2",#N/A,FALSE,"1.2 ACAR";#N/A,#N/A,FALSE,"2.3 ACAR"}</definedName>
    <definedName name="MONTOMAXMAT" localSheetId="6" hidden="1">{"CONCABL1.1",#N/A,FALSE,"1.1.1a1.1.3 ACSR";"AISL1.2",#N/A,FALSE,"1.1.1a1.1.3 ACSR";"torr1.1.3",#N/A,FALSE,"1.1.1a1.1.3 ACSR";"cm1.2",#N/A,FALSE,"1.2 ACSR";"cm2.2",#N/A,FALSE,"1.2 ACSR";#N/A,#N/A,FALSE,"1.3 ACSR";#N/A,#N/A,FALSE,"2.1.1A2.1.3 ACAR";"ac2.1",#N/A,FALSE,"1.2 ACAR";"ac2.2",#N/A,FALSE,"1.2 ACAR";#N/A,#N/A,FALSE,"2.3 ACAR"}</definedName>
    <definedName name="MONTOMAXMAT" localSheetId="4" hidden="1">{"CONCABL1.1",#N/A,FALSE,"1.1.1a1.1.3 ACSR";"AISL1.2",#N/A,FALSE,"1.1.1a1.1.3 ACSR";"torr1.1.3",#N/A,FALSE,"1.1.1a1.1.3 ACSR";"cm1.2",#N/A,FALSE,"1.2 ACSR";"cm2.2",#N/A,FALSE,"1.2 ACSR";#N/A,#N/A,FALSE,"1.3 ACSR";#N/A,#N/A,FALSE,"2.1.1A2.1.3 ACAR";"ac2.1",#N/A,FALSE,"1.2 ACAR";"ac2.2",#N/A,FALSE,"1.2 ACAR";#N/A,#N/A,FALSE,"2.3 ACAR"}</definedName>
    <definedName name="MONTOMAXMAT" localSheetId="13" hidden="1">{"CONCABL1.1",#N/A,FALSE,"1.1.1a1.1.3 ACSR";"AISL1.2",#N/A,FALSE,"1.1.1a1.1.3 ACSR";"torr1.1.3",#N/A,FALSE,"1.1.1a1.1.3 ACSR";"cm1.2",#N/A,FALSE,"1.2 ACSR";"cm2.2",#N/A,FALSE,"1.2 ACSR";#N/A,#N/A,FALSE,"1.3 ACSR";#N/A,#N/A,FALSE,"2.1.1A2.1.3 ACAR";"ac2.1",#N/A,FALSE,"1.2 ACAR";"ac2.2",#N/A,FALSE,"1.2 ACAR";#N/A,#N/A,FALSE,"2.3 ACAR"}</definedName>
    <definedName name="MONTOMAXMAT" hidden="1">{"CONCABL1.1",#N/A,FALSE,"1.1.1a1.1.3 ACSR";"AISL1.2",#N/A,FALSE,"1.1.1a1.1.3 ACSR";"torr1.1.3",#N/A,FALSE,"1.1.1a1.1.3 ACSR";"cm1.2",#N/A,FALSE,"1.2 ACSR";"cm2.2",#N/A,FALSE,"1.2 ACSR";#N/A,#N/A,FALSE,"1.3 ACSR";#N/A,#N/A,FALSE,"2.1.1A2.1.3 ACAR";"ac2.1",#N/A,FALSE,"1.2 ACAR";"ac2.2",#N/A,FALSE,"1.2 ACAR";#N/A,#N/A,FALSE,"2.3 ACAR"}</definedName>
    <definedName name="MPA" localSheetId="5" hidden="1">{"'Sheet1'!$A$1:$G$85"}</definedName>
    <definedName name="MPA" localSheetId="6" hidden="1">{"'Sheet1'!$A$1:$G$85"}</definedName>
    <definedName name="MPA" localSheetId="4" hidden="1">{"'Sheet1'!$A$1:$G$85"}</definedName>
    <definedName name="MPA" localSheetId="13" hidden="1">{"'Sheet1'!$A$1:$G$85"}</definedName>
    <definedName name="MPA" hidden="1">{"'Sheet1'!$A$1:$G$85"}</definedName>
    <definedName name="mvg" localSheetId="5" hidden="1">{#N/A,#N/A,FALSE,"ACTIVO FIJO";#N/A,#N/A,FALSE,"COBRAR";#N/A,#N/A,FALSE,"AFILIADAS";#N/A,#N/A,FALSE,"PAGAR";#N/A,#N/A,FALSE,"INSTIT. FINANCIERAS";#N/A,#N/A,FALSE,"VALORES"}</definedName>
    <definedName name="mvg" localSheetId="6" hidden="1">{#N/A,#N/A,FALSE,"ACTIVO FIJO";#N/A,#N/A,FALSE,"COBRAR";#N/A,#N/A,FALSE,"AFILIADAS";#N/A,#N/A,FALSE,"PAGAR";#N/A,#N/A,FALSE,"INSTIT. FINANCIERAS";#N/A,#N/A,FALSE,"VALORES"}</definedName>
    <definedName name="mvg" localSheetId="4" hidden="1">{#N/A,#N/A,FALSE,"ACTIVO FIJO";#N/A,#N/A,FALSE,"COBRAR";#N/A,#N/A,FALSE,"AFILIADAS";#N/A,#N/A,FALSE,"PAGAR";#N/A,#N/A,FALSE,"INSTIT. FINANCIERAS";#N/A,#N/A,FALSE,"VALORES"}</definedName>
    <definedName name="mvg" localSheetId="13" hidden="1">{#N/A,#N/A,FALSE,"ACTIVO FIJO";#N/A,#N/A,FALSE,"COBRAR";#N/A,#N/A,FALSE,"AFILIADAS";#N/A,#N/A,FALSE,"PAGAR";#N/A,#N/A,FALSE,"INSTIT. FINANCIERAS";#N/A,#N/A,FALSE,"VALORES"}</definedName>
    <definedName name="mvg" hidden="1">{#N/A,#N/A,FALSE,"ACTIVO FIJO";#N/A,#N/A,FALSE,"COBRAR";#N/A,#N/A,FALSE,"AFILIADAS";#N/A,#N/A,FALSE,"PAGAR";#N/A,#N/A,FALSE,"INSTIT. FINANCIERAS";#N/A,#N/A,FALSE,"VALORES"}</definedName>
    <definedName name="mvg_1" localSheetId="5" hidden="1">{#N/A,#N/A,FALSE,"ACTIVO FIJO";#N/A,#N/A,FALSE,"COBRAR";#N/A,#N/A,FALSE,"AFILIADAS";#N/A,#N/A,FALSE,"PAGAR";#N/A,#N/A,FALSE,"INSTIT. FINANCIERAS";#N/A,#N/A,FALSE,"VALORES"}</definedName>
    <definedName name="mvg_1" localSheetId="6" hidden="1">{#N/A,#N/A,FALSE,"ACTIVO FIJO";#N/A,#N/A,FALSE,"COBRAR";#N/A,#N/A,FALSE,"AFILIADAS";#N/A,#N/A,FALSE,"PAGAR";#N/A,#N/A,FALSE,"INSTIT. FINANCIERAS";#N/A,#N/A,FALSE,"VALORES"}</definedName>
    <definedName name="mvg_1" localSheetId="4" hidden="1">{#N/A,#N/A,FALSE,"ACTIVO FIJO";#N/A,#N/A,FALSE,"COBRAR";#N/A,#N/A,FALSE,"AFILIADAS";#N/A,#N/A,FALSE,"PAGAR";#N/A,#N/A,FALSE,"INSTIT. FINANCIERAS";#N/A,#N/A,FALSE,"VALORES"}</definedName>
    <definedName name="mvg_1" localSheetId="13" hidden="1">{#N/A,#N/A,FALSE,"ACTIVO FIJO";#N/A,#N/A,FALSE,"COBRAR";#N/A,#N/A,FALSE,"AFILIADAS";#N/A,#N/A,FALSE,"PAGAR";#N/A,#N/A,FALSE,"INSTIT. FINANCIERAS";#N/A,#N/A,FALSE,"VALORES"}</definedName>
    <definedName name="mvg_1" hidden="1">{#N/A,#N/A,FALSE,"ACTIVO FIJO";#N/A,#N/A,FALSE,"COBRAR";#N/A,#N/A,FALSE,"AFILIADAS";#N/A,#N/A,FALSE,"PAGAR";#N/A,#N/A,FALSE,"INSTIT. FINANCIERAS";#N/A,#N/A,FALSE,"VALORES"}</definedName>
    <definedName name="n" hidden="1">#REF!</definedName>
    <definedName name="NGHNJHG" localSheetId="5" hidden="1">{#N/A,#N/A,TRUE,"INGENIERIA";#N/A,#N/A,TRUE,"COMPRAS";#N/A,#N/A,TRUE,"DIRECCION";#N/A,#N/A,TRUE,"RESUMEN"}</definedName>
    <definedName name="NGHNJHG" localSheetId="6" hidden="1">{#N/A,#N/A,TRUE,"INGENIERIA";#N/A,#N/A,TRUE,"COMPRAS";#N/A,#N/A,TRUE,"DIRECCION";#N/A,#N/A,TRUE,"RESUMEN"}</definedName>
    <definedName name="NGHNJHG" localSheetId="3" hidden="1">{#N/A,#N/A,TRUE,"INGENIERIA";#N/A,#N/A,TRUE,"COMPRAS";#N/A,#N/A,TRUE,"DIRECCION";#N/A,#N/A,TRUE,"RESUMEN"}</definedName>
    <definedName name="NGHNJHG" localSheetId="4" hidden="1">{#N/A,#N/A,TRUE,"INGENIERIA";#N/A,#N/A,TRUE,"COMPRAS";#N/A,#N/A,TRUE,"DIRECCION";#N/A,#N/A,TRUE,"RESUMEN"}</definedName>
    <definedName name="NGHNJHG" localSheetId="13" hidden="1">{#N/A,#N/A,TRUE,"INGENIERIA";#N/A,#N/A,TRUE,"COMPRAS";#N/A,#N/A,TRUE,"DIRECCION";#N/A,#N/A,TRUE,"RESUMEN"}</definedName>
    <definedName name="NGHNJHG" hidden="1">{#N/A,#N/A,TRUE,"INGENIERIA";#N/A,#N/A,TRUE,"COMPRAS";#N/A,#N/A,TRUE,"DIRECCION";#N/A,#N/A,TRUE,"RESUMEN"}</definedName>
    <definedName name="Ni" hidden="1">#REF!</definedName>
    <definedName name="nnn" localSheetId="5" hidden="1">{#N/A,#N/A,FALSE,"SumD";#N/A,#N/A,FALSE,"ElecD";#N/A,#N/A,FALSE,"MechD";#N/A,#N/A,FALSE,"GeotD";#N/A,#N/A,FALSE,"PrcsD";#N/A,#N/A,FALSE,"TunnD";#N/A,#N/A,FALSE,"CivlD";#N/A,#N/A,FALSE,"NtwkD";#N/A,#N/A,FALSE,"EstgD";#N/A,#N/A,FALSE,"PEngD"}</definedName>
    <definedName name="nnn" localSheetId="6" hidden="1">{#N/A,#N/A,FALSE,"SumD";#N/A,#N/A,FALSE,"ElecD";#N/A,#N/A,FALSE,"MechD";#N/A,#N/A,FALSE,"GeotD";#N/A,#N/A,FALSE,"PrcsD";#N/A,#N/A,FALSE,"TunnD";#N/A,#N/A,FALSE,"CivlD";#N/A,#N/A,FALSE,"NtwkD";#N/A,#N/A,FALSE,"EstgD";#N/A,#N/A,FALSE,"PEngD"}</definedName>
    <definedName name="nnn" localSheetId="3" hidden="1">{#N/A,#N/A,FALSE,"SumD";#N/A,#N/A,FALSE,"ElecD";#N/A,#N/A,FALSE,"MechD";#N/A,#N/A,FALSE,"GeotD";#N/A,#N/A,FALSE,"PrcsD";#N/A,#N/A,FALSE,"TunnD";#N/A,#N/A,FALSE,"CivlD";#N/A,#N/A,FALSE,"NtwkD";#N/A,#N/A,FALSE,"EstgD";#N/A,#N/A,FALSE,"PEngD"}</definedName>
    <definedName name="nnn" localSheetId="4"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 hidden="1">#REF!</definedName>
    <definedName name="ññññ" localSheetId="5" hidden="1">{#N/A,#N/A,FALSE,"SumD";#N/A,#N/A,FALSE,"ElecD";#N/A,#N/A,FALSE,"MechD";#N/A,#N/A,FALSE,"GeotD";#N/A,#N/A,FALSE,"PrcsD";#N/A,#N/A,FALSE,"TunnD";#N/A,#N/A,FALSE,"CivlD";#N/A,#N/A,FALSE,"NtwkD";#N/A,#N/A,FALSE,"EstgD";#N/A,#N/A,FALSE,"PEngD"}</definedName>
    <definedName name="ññññ" localSheetId="6" hidden="1">{#N/A,#N/A,FALSE,"SumD";#N/A,#N/A,FALSE,"ElecD";#N/A,#N/A,FALSE,"MechD";#N/A,#N/A,FALSE,"GeotD";#N/A,#N/A,FALSE,"PrcsD";#N/A,#N/A,FALSE,"TunnD";#N/A,#N/A,FALSE,"CivlD";#N/A,#N/A,FALSE,"NtwkD";#N/A,#N/A,FALSE,"EstgD";#N/A,#N/A,FALSE,"PEngD"}</definedName>
    <definedName name="ññññ" localSheetId="3" hidden="1">{#N/A,#N/A,FALSE,"SumD";#N/A,#N/A,FALSE,"ElecD";#N/A,#N/A,FALSE,"MechD";#N/A,#N/A,FALSE,"GeotD";#N/A,#N/A,FALSE,"PrcsD";#N/A,#N/A,FALSE,"TunnD";#N/A,#N/A,FALSE,"CivlD";#N/A,#N/A,FALSE,"NtwkD";#N/A,#N/A,FALSE,"EstgD";#N/A,#N/A,FALSE,"PEngD"}</definedName>
    <definedName name="ññññ" localSheetId="4" hidden="1">{#N/A,#N/A,FALSE,"SumD";#N/A,#N/A,FALSE,"ElecD";#N/A,#N/A,FALSE,"MechD";#N/A,#N/A,FALSE,"GeotD";#N/A,#N/A,FALSE,"PrcsD";#N/A,#N/A,FALSE,"TunnD";#N/A,#N/A,FALSE,"CivlD";#N/A,#N/A,FALSE,"NtwkD";#N/A,#N/A,FALSE,"EstgD";#N/A,#N/A,FALSE,"PEngD"}</definedName>
    <definedName name="ññññ" localSheetId="13" hidden="1">{#N/A,#N/A,FALSE,"SumD";#N/A,#N/A,FALSE,"ElecD";#N/A,#N/A,FALSE,"MechD";#N/A,#N/A,FALSE,"GeotD";#N/A,#N/A,FALSE,"PrcsD";#N/A,#N/A,FALSE,"TunnD";#N/A,#N/A,FALSE,"CivlD";#N/A,#N/A,FALSE,"NtwkD";#N/A,#N/A,FALSE,"EstgD";#N/A,#N/A,FALSE,"PEngD"}</definedName>
    <definedName name="ññññ" hidden="1">{#N/A,#N/A,FALSE,"SumD";#N/A,#N/A,FALSE,"ElecD";#N/A,#N/A,FALSE,"MechD";#N/A,#N/A,FALSE,"GeotD";#N/A,#N/A,FALSE,"PrcsD";#N/A,#N/A,FALSE,"TunnD";#N/A,#N/A,FALSE,"CivlD";#N/A,#N/A,FALSE,"NtwkD";#N/A,#N/A,FALSE,"EstgD";#N/A,#N/A,FALSE,"PEngD"}</definedName>
    <definedName name="nnnnn" localSheetId="5" hidden="1">{#N/A,#N/A,FALSE,"SumD";#N/A,#N/A,FALSE,"ElecD";#N/A,#N/A,FALSE,"MechD";#N/A,#N/A,FALSE,"GeotD";#N/A,#N/A,FALSE,"PrcsD";#N/A,#N/A,FALSE,"TunnD";#N/A,#N/A,FALSE,"CivlD";#N/A,#N/A,FALSE,"NtwkD";#N/A,#N/A,FALSE,"EstgD";#N/A,#N/A,FALSE,"PEngD"}</definedName>
    <definedName name="nnnnn" localSheetId="6" hidden="1">{#N/A,#N/A,FALSE,"SumD";#N/A,#N/A,FALSE,"ElecD";#N/A,#N/A,FALSE,"MechD";#N/A,#N/A,FALSE,"GeotD";#N/A,#N/A,FALSE,"PrcsD";#N/A,#N/A,FALSE,"TunnD";#N/A,#N/A,FALSE,"CivlD";#N/A,#N/A,FALSE,"NtwkD";#N/A,#N/A,FALSE,"EstgD";#N/A,#N/A,FALSE,"PEngD"}</definedName>
    <definedName name="nnnnn" localSheetId="3" hidden="1">{#N/A,#N/A,FALSE,"SumD";#N/A,#N/A,FALSE,"ElecD";#N/A,#N/A,FALSE,"MechD";#N/A,#N/A,FALSE,"GeotD";#N/A,#N/A,FALSE,"PrcsD";#N/A,#N/A,FALSE,"TunnD";#N/A,#N/A,FALSE,"CivlD";#N/A,#N/A,FALSE,"NtwkD";#N/A,#N/A,FALSE,"EstgD";#N/A,#N/A,FALSE,"PEngD"}</definedName>
    <definedName name="nnnnn" localSheetId="4" hidden="1">{#N/A,#N/A,FALSE,"SumD";#N/A,#N/A,FALSE,"ElecD";#N/A,#N/A,FALSE,"MechD";#N/A,#N/A,FALSE,"GeotD";#N/A,#N/A,FALSE,"PrcsD";#N/A,#N/A,FALSE,"TunnD";#N/A,#N/A,FALSE,"CivlD";#N/A,#N/A,FALSE,"NtwkD";#N/A,#N/A,FALSE,"EstgD";#N/A,#N/A,FALSE,"PEngD"}</definedName>
    <definedName name="nnnnn" localSheetId="13" hidden="1">{#N/A,#N/A,FALSE,"SumD";#N/A,#N/A,FALSE,"ElecD";#N/A,#N/A,FALSE,"MechD";#N/A,#N/A,FALSE,"GeotD";#N/A,#N/A,FALSE,"PrcsD";#N/A,#N/A,FALSE,"TunnD";#N/A,#N/A,FALSE,"CivlD";#N/A,#N/A,FALSE,"NtwkD";#N/A,#N/A,FALSE,"EstgD";#N/A,#N/A,FALSE,"PEngD"}</definedName>
    <definedName name="nnnnn" hidden="1">{#N/A,#N/A,FALSE,"SumD";#N/A,#N/A,FALSE,"ElecD";#N/A,#N/A,FALSE,"MechD";#N/A,#N/A,FALSE,"GeotD";#N/A,#N/A,FALSE,"PrcsD";#N/A,#N/A,FALSE,"TunnD";#N/A,#N/A,FALSE,"CivlD";#N/A,#N/A,FALSE,"NtwkD";#N/A,#N/A,FALSE,"EstgD";#N/A,#N/A,FALSE,"PEngD"}</definedName>
    <definedName name="nnnnnnnn" localSheetId="5" hidden="1">{#N/A,#N/A,FALSE,"SumG";#N/A,#N/A,FALSE,"ElecG";#N/A,#N/A,FALSE,"MechG";#N/A,#N/A,FALSE,"GeotG";#N/A,#N/A,FALSE,"PrcsG";#N/A,#N/A,FALSE,"TunnG";#N/A,#N/A,FALSE,"CivlG";#N/A,#N/A,FALSE,"NtwkG";#N/A,#N/A,FALSE,"EstgG";#N/A,#N/A,FALSE,"PEngG"}</definedName>
    <definedName name="nnnnnnnn" localSheetId="6" hidden="1">{#N/A,#N/A,FALSE,"SumG";#N/A,#N/A,FALSE,"ElecG";#N/A,#N/A,FALSE,"MechG";#N/A,#N/A,FALSE,"GeotG";#N/A,#N/A,FALSE,"PrcsG";#N/A,#N/A,FALSE,"TunnG";#N/A,#N/A,FALSE,"CivlG";#N/A,#N/A,FALSE,"NtwkG";#N/A,#N/A,FALSE,"EstgG";#N/A,#N/A,FALSE,"PEngG"}</definedName>
    <definedName name="nnnnnnnn" localSheetId="3" hidden="1">{#N/A,#N/A,FALSE,"SumG";#N/A,#N/A,FALSE,"ElecG";#N/A,#N/A,FALSE,"MechG";#N/A,#N/A,FALSE,"GeotG";#N/A,#N/A,FALSE,"PrcsG";#N/A,#N/A,FALSE,"TunnG";#N/A,#N/A,FALSE,"CivlG";#N/A,#N/A,FALSE,"NtwkG";#N/A,#N/A,FALSE,"EstgG";#N/A,#N/A,FALSE,"PEngG"}</definedName>
    <definedName name="nnnnnnnn" localSheetId="4" hidden="1">{#N/A,#N/A,FALSE,"SumG";#N/A,#N/A,FALSE,"ElecG";#N/A,#N/A,FALSE,"MechG";#N/A,#N/A,FALSE,"GeotG";#N/A,#N/A,FALSE,"PrcsG";#N/A,#N/A,FALSE,"TunnG";#N/A,#N/A,FALSE,"CivlG";#N/A,#N/A,FALSE,"NtwkG";#N/A,#N/A,FALSE,"EstgG";#N/A,#N/A,FALSE,"PEngG"}</definedName>
    <definedName name="nnnnnnnn" localSheetId="13" hidden="1">{#N/A,#N/A,FALSE,"SumG";#N/A,#N/A,FALSE,"ElecG";#N/A,#N/A,FALSE,"MechG";#N/A,#N/A,FALSE,"GeotG";#N/A,#N/A,FALSE,"PrcsG";#N/A,#N/A,FALSE,"TunnG";#N/A,#N/A,FALSE,"CivlG";#N/A,#N/A,FALSE,"NtwkG";#N/A,#N/A,FALSE,"EstgG";#N/A,#N/A,FALSE,"PEngG"}</definedName>
    <definedName name="nnnnnnnn" hidden="1">{#N/A,#N/A,FALSE,"SumG";#N/A,#N/A,FALSE,"ElecG";#N/A,#N/A,FALSE,"MechG";#N/A,#N/A,FALSE,"GeotG";#N/A,#N/A,FALSE,"PrcsG";#N/A,#N/A,FALSE,"TunnG";#N/A,#N/A,FALSE,"CivlG";#N/A,#N/A,FALSE,"NtwkG";#N/A,#N/A,FALSE,"EstgG";#N/A,#N/A,FALSE,"PEngG"}</definedName>
    <definedName name="ÑÑÑÑÑÑÑÑÑ" localSheetId="5" hidden="1">{"TEXTO DEL AVALUO",#N/A,TRUE,"AVALUO";"CALCULOS Y DICTAMEN",#N/A,TRUE,"CONDOMINIO"}</definedName>
    <definedName name="ÑÑÑÑÑÑÑÑÑ" localSheetId="6" hidden="1">{"TEXTO DEL AVALUO",#N/A,TRUE,"AVALUO";"CALCULOS Y DICTAMEN",#N/A,TRUE,"CONDOMINIO"}</definedName>
    <definedName name="ÑÑÑÑÑÑÑÑÑ" localSheetId="4" hidden="1">{"TEXTO DEL AVALUO",#N/A,TRUE,"AVALUO";"CALCULOS Y DICTAMEN",#N/A,TRUE,"CONDOMINIO"}</definedName>
    <definedName name="ÑÑÑÑÑÑÑÑÑ" localSheetId="13" hidden="1">{"TEXTO DEL AVALUO",#N/A,TRUE,"AVALUO";"CALCULOS Y DICTAMEN",#N/A,TRUE,"CONDOMINIO"}</definedName>
    <definedName name="ÑÑÑÑÑÑÑÑÑ" hidden="1">{"TEXTO DEL AVALUO",#N/A,TRUE,"AVALUO";"CALCULOS Y DICTAMEN",#N/A,TRUE,"CONDOMINIO"}</definedName>
    <definedName name="ÑÑÑÑÑÑÑÑÑÑÑÑ" localSheetId="5" hidden="1">{"TEXTO DEL AVALUO",#N/A,TRUE,"AVALUO";"CALCULOS Y DICTAMEN",#N/A,TRUE,"CONDOMINIO"}</definedName>
    <definedName name="ÑÑÑÑÑÑÑÑÑÑÑÑ" localSheetId="6" hidden="1">{"TEXTO DEL AVALUO",#N/A,TRUE,"AVALUO";"CALCULOS Y DICTAMEN",#N/A,TRUE,"CONDOMINIO"}</definedName>
    <definedName name="ÑÑÑÑÑÑÑÑÑÑÑÑ" localSheetId="4" hidden="1">{"TEXTO DEL AVALUO",#N/A,TRUE,"AVALUO";"CALCULOS Y DICTAMEN",#N/A,TRUE,"CONDOMINIO"}</definedName>
    <definedName name="ÑÑÑÑÑÑÑÑÑÑÑÑ" localSheetId="13" hidden="1">{"TEXTO DEL AVALUO",#N/A,TRUE,"AVALUO";"CALCULOS Y DICTAMEN",#N/A,TRUE,"CONDOMINIO"}</definedName>
    <definedName name="ÑÑÑÑÑÑÑÑÑÑÑÑ" hidden="1">{"TEXTO DEL AVALUO",#N/A,TRUE,"AVALUO";"CALCULOS Y DICTAMEN",#N/A,TRUE,"CONDOMINIO"}</definedName>
    <definedName name="nose1" localSheetId="5" hidden="1">{#N/A,#N/A,FALSE,"Matrix";#N/A,#N/A,FALSE,"Executive";#N/A,#N/A,FALSE,"Summary";#N/A,#N/A,FALSE,"Office1";#N/A,#N/A,FALSE,"Office2";#N/A,#N/A,FALSE,"Office3";#N/A,#N/A,FALSE,"Office4";#N/A,#N/A,FALSE,"Office5";#N/A,#N/A,FALSE,"Office6";#N/A,#N/A,FALSE,"Office7";#N/A,#N/A,FALSE,"Labor"}</definedName>
    <definedName name="nose1" localSheetId="6" hidden="1">{#N/A,#N/A,FALSE,"Matrix";#N/A,#N/A,FALSE,"Executive";#N/A,#N/A,FALSE,"Summary";#N/A,#N/A,FALSE,"Office1";#N/A,#N/A,FALSE,"Office2";#N/A,#N/A,FALSE,"Office3";#N/A,#N/A,FALSE,"Office4";#N/A,#N/A,FALSE,"Office5";#N/A,#N/A,FALSE,"Office6";#N/A,#N/A,FALSE,"Office7";#N/A,#N/A,FALSE,"Labor"}</definedName>
    <definedName name="nose1" localSheetId="4"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5" hidden="1">{#N/A,#N/A,FALSE,"E-1";#N/A,#N/A,FALSE,"E-2";#N/A,#N/A,FALSE,"F-1";#N/A,#N/A,FALSE,"F-2";#N/A,#N/A,FALSE,"F-3";#N/A,#N/A,FALSE,"F-4";#N/A,#N/A,FALSE,"F-5";#N/A,#N/A,FALSE,"F-6";#N/A,#N/A,FALSE,"Matrix"}</definedName>
    <definedName name="nose2" localSheetId="6" hidden="1">{#N/A,#N/A,FALSE,"E-1";#N/A,#N/A,FALSE,"E-2";#N/A,#N/A,FALSE,"F-1";#N/A,#N/A,FALSE,"F-2";#N/A,#N/A,FALSE,"F-3";#N/A,#N/A,FALSE,"F-4";#N/A,#N/A,FALSE,"F-5";#N/A,#N/A,FALSE,"F-6";#N/A,#N/A,FALSE,"Matrix"}</definedName>
    <definedName name="nose2" localSheetId="4"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5" hidden="1">{#N/A,#N/A,FALSE,"Matrix";#N/A,#N/A,FALSE,"Executive";#N/A,#N/A,FALSE,"Summary"}</definedName>
    <definedName name="nose3" localSheetId="6" hidden="1">{#N/A,#N/A,FALSE,"Matrix";#N/A,#N/A,FALSE,"Executive";#N/A,#N/A,FALSE,"Summary"}</definedName>
    <definedName name="nose3" localSheetId="4" hidden="1">{#N/A,#N/A,FALSE,"Matrix";#N/A,#N/A,FALSE,"Executive";#N/A,#N/A,FALSE,"Summary"}</definedName>
    <definedName name="nose3" localSheetId="13" hidden="1">{#N/A,#N/A,FALSE,"Matrix";#N/A,#N/A,FALSE,"Executive";#N/A,#N/A,FALSE,"Summary"}</definedName>
    <definedName name="nose3" hidden="1">{#N/A,#N/A,FALSE,"Matrix";#N/A,#N/A,FALSE,"Executive";#N/A,#N/A,FALSE,"Summary"}</definedName>
    <definedName name="NUMERO" localSheetId="5" hidden="1">{#N/A,#N/A,FALSE,"AVALUO";#N/A,#N/A,FALSE,"CONDOMINIO";#N/A,#N/A,FALSE,"TDF"}</definedName>
    <definedName name="NUMERO" localSheetId="6" hidden="1">{#N/A,#N/A,FALSE,"AVALUO";#N/A,#N/A,FALSE,"CONDOMINIO";#N/A,#N/A,FALSE,"TDF"}</definedName>
    <definedName name="NUMERO" localSheetId="4" hidden="1">{#N/A,#N/A,FALSE,"AVALUO";#N/A,#N/A,FALSE,"CONDOMINIO";#N/A,#N/A,FALSE,"TDF"}</definedName>
    <definedName name="NUMERO" localSheetId="13" hidden="1">{#N/A,#N/A,FALSE,"AVALUO";#N/A,#N/A,FALSE,"CONDOMINIO";#N/A,#N/A,FALSE,"TDF"}</definedName>
    <definedName name="NUMERO" hidden="1">{#N/A,#N/A,FALSE,"AVALUO";#N/A,#N/A,FALSE,"CONDOMINIO";#N/A,#N/A,FALSE,"TDF"}</definedName>
    <definedName name="ODH" hidden="1">#REF!</definedName>
    <definedName name="oooo" localSheetId="5" hidden="1">{#N/A,#N/A,FALSE,"SumG";#N/A,#N/A,FALSE,"ElecG";#N/A,#N/A,FALSE,"MechG";#N/A,#N/A,FALSE,"GeotG";#N/A,#N/A,FALSE,"PrcsG";#N/A,#N/A,FALSE,"TunnG";#N/A,#N/A,FALSE,"CivlG";#N/A,#N/A,FALSE,"NtwkG";#N/A,#N/A,FALSE,"EstgG";#N/A,#N/A,FALSE,"PEngG"}</definedName>
    <definedName name="oooo" localSheetId="6" hidden="1">{#N/A,#N/A,FALSE,"SumG";#N/A,#N/A,FALSE,"ElecG";#N/A,#N/A,FALSE,"MechG";#N/A,#N/A,FALSE,"GeotG";#N/A,#N/A,FALSE,"PrcsG";#N/A,#N/A,FALSE,"TunnG";#N/A,#N/A,FALSE,"CivlG";#N/A,#N/A,FALSE,"NtwkG";#N/A,#N/A,FALSE,"EstgG";#N/A,#N/A,FALSE,"PEngG"}</definedName>
    <definedName name="oooo" localSheetId="3" hidden="1">{#N/A,#N/A,FALSE,"SumG";#N/A,#N/A,FALSE,"ElecG";#N/A,#N/A,FALSE,"MechG";#N/A,#N/A,FALSE,"GeotG";#N/A,#N/A,FALSE,"PrcsG";#N/A,#N/A,FALSE,"TunnG";#N/A,#N/A,FALSE,"CivlG";#N/A,#N/A,FALSE,"NtwkG";#N/A,#N/A,FALSE,"EstgG";#N/A,#N/A,FALSE,"PEngG"}</definedName>
    <definedName name="oooo" localSheetId="4" hidden="1">{#N/A,#N/A,FALSE,"SumG";#N/A,#N/A,FALSE,"ElecG";#N/A,#N/A,FALSE,"MechG";#N/A,#N/A,FALSE,"GeotG";#N/A,#N/A,FALSE,"PrcsG";#N/A,#N/A,FALSE,"TunnG";#N/A,#N/A,FALSE,"CivlG";#N/A,#N/A,FALSE,"NtwkG";#N/A,#N/A,FALSE,"EstgG";#N/A,#N/A,FALSE,"PEngG"}</definedName>
    <definedName name="oooo" localSheetId="13" hidden="1">{#N/A,#N/A,FALSE,"SumG";#N/A,#N/A,FALSE,"ElecG";#N/A,#N/A,FALSE,"MechG";#N/A,#N/A,FALSE,"GeotG";#N/A,#N/A,FALSE,"PrcsG";#N/A,#N/A,FALSE,"TunnG";#N/A,#N/A,FALSE,"CivlG";#N/A,#N/A,FALSE,"NtwkG";#N/A,#N/A,FALSE,"EstgG";#N/A,#N/A,FALSE,"PEngG"}</definedName>
    <definedName name="oooo" hidden="1">{#N/A,#N/A,FALSE,"SumG";#N/A,#N/A,FALSE,"ElecG";#N/A,#N/A,FALSE,"MechG";#N/A,#N/A,FALSE,"GeotG";#N/A,#N/A,FALSE,"PrcsG";#N/A,#N/A,FALSE,"TunnG";#N/A,#N/A,FALSE,"CivlG";#N/A,#N/A,FALSE,"NtwkG";#N/A,#N/A,FALSE,"EstgG";#N/A,#N/A,FALSE,"PEngG"}</definedName>
    <definedName name="oooo_1" localSheetId="5" hidden="1">{#N/A,#N/A,FALSE,"ACTIVO FIJO";#N/A,#N/A,FALSE,"COBRAR";#N/A,#N/A,FALSE,"AFILIADAS";#N/A,#N/A,FALSE,"PAGAR";#N/A,#N/A,FALSE,"INSTIT. FINANCIERAS";#N/A,#N/A,FALSE,"VALORES"}</definedName>
    <definedName name="oooo_1" localSheetId="6" hidden="1">{#N/A,#N/A,FALSE,"ACTIVO FIJO";#N/A,#N/A,FALSE,"COBRAR";#N/A,#N/A,FALSE,"AFILIADAS";#N/A,#N/A,FALSE,"PAGAR";#N/A,#N/A,FALSE,"INSTIT. FINANCIERAS";#N/A,#N/A,FALSE,"VALORES"}</definedName>
    <definedName name="oooo_1" localSheetId="4" hidden="1">{#N/A,#N/A,FALSE,"ACTIVO FIJO";#N/A,#N/A,FALSE,"COBRAR";#N/A,#N/A,FALSE,"AFILIADAS";#N/A,#N/A,FALSE,"PAGAR";#N/A,#N/A,FALSE,"INSTIT. FINANCIERAS";#N/A,#N/A,FALSE,"VALORES"}</definedName>
    <definedName name="oooo_1" localSheetId="13" hidden="1">{#N/A,#N/A,FALSE,"ACTIVO FIJO";#N/A,#N/A,FALSE,"COBRAR";#N/A,#N/A,FALSE,"AFILIADAS";#N/A,#N/A,FALSE,"PAGAR";#N/A,#N/A,FALSE,"INSTIT. FINANCIERAS";#N/A,#N/A,FALSE,"VALORES"}</definedName>
    <definedName name="oooo_1" hidden="1">{#N/A,#N/A,FALSE,"ACTIVO FIJO";#N/A,#N/A,FALSE,"COBRAR";#N/A,#N/A,FALSE,"AFILIADAS";#N/A,#N/A,FALSE,"PAGAR";#N/A,#N/A,FALSE,"INSTIT. FINANCIERAS";#N/A,#N/A,FALSE,"VALORES"}</definedName>
    <definedName name="OU" hidden="1">#REF!</definedName>
    <definedName name="P.U." localSheetId="5" hidden="1">{#N/A,#N/A,TRUE,"1842CWN0"}</definedName>
    <definedName name="P.U." localSheetId="6" hidden="1">{#N/A,#N/A,TRUE,"1842CWN0"}</definedName>
    <definedName name="P.U." localSheetId="3" hidden="1">{#N/A,#N/A,TRUE,"1842CWN0"}</definedName>
    <definedName name="P.U." localSheetId="4" hidden="1">{#N/A,#N/A,TRUE,"1842CWN0"}</definedName>
    <definedName name="P.U." localSheetId="13" hidden="1">{#N/A,#N/A,TRUE,"1842CWN0"}</definedName>
    <definedName name="P.U." hidden="1">{#N/A,#N/A,TRUE,"1842CWN0"}</definedName>
    <definedName name="pagoxmes" hidden="1">#REF!</definedName>
    <definedName name="peruru" hidden="1">#REF!</definedName>
    <definedName name="POEJWM" hidden="1">#REF!</definedName>
    <definedName name="POLÑKJHYGTRD" localSheetId="5" hidden="1">{#N/A,#N/A,FALSE,"ACTIVO FIJO";#N/A,#N/A,FALSE,"COBRAR";#N/A,#N/A,FALSE,"AFILIADAS";#N/A,#N/A,FALSE,"PAGAR";#N/A,#N/A,FALSE,"INSTIT. FINANCIERAS";#N/A,#N/A,FALSE,"VALORES"}</definedName>
    <definedName name="POLÑKJHYGTRD" localSheetId="6" hidden="1">{#N/A,#N/A,FALSE,"ACTIVO FIJO";#N/A,#N/A,FALSE,"COBRAR";#N/A,#N/A,FALSE,"AFILIADAS";#N/A,#N/A,FALSE,"PAGAR";#N/A,#N/A,FALSE,"INSTIT. FINANCIERAS";#N/A,#N/A,FALSE,"VALORES"}</definedName>
    <definedName name="POLÑKJHYGTRD" localSheetId="4" hidden="1">{#N/A,#N/A,FALSE,"ACTIVO FIJO";#N/A,#N/A,FALSE,"COBRAR";#N/A,#N/A,FALSE,"AFILIADAS";#N/A,#N/A,FALSE,"PAGAR";#N/A,#N/A,FALSE,"INSTIT. FINANCIERAS";#N/A,#N/A,FALSE,"VALORES"}</definedName>
    <definedName name="POLÑKJHYGTRD" localSheetId="13" hidden="1">{#N/A,#N/A,FALSE,"ACTIVO FIJO";#N/A,#N/A,FALSE,"COBRAR";#N/A,#N/A,FALSE,"AFILIADAS";#N/A,#N/A,FALSE,"PAGAR";#N/A,#N/A,FALSE,"INSTIT. FINANCIERAS";#N/A,#N/A,FALSE,"VALORES"}</definedName>
    <definedName name="POLÑKJHYGTRD" hidden="1">{#N/A,#N/A,FALSE,"ACTIVO FIJO";#N/A,#N/A,FALSE,"COBRAR";#N/A,#N/A,FALSE,"AFILIADAS";#N/A,#N/A,FALSE,"PAGAR";#N/A,#N/A,FALSE,"INSTIT. FINANCIERAS";#N/A,#N/A,FALSE,"VALORES"}</definedName>
    <definedName name="POLÑKJHYGTRD_1" localSheetId="5" hidden="1">{#N/A,#N/A,FALSE,"ACTIVO FIJO";#N/A,#N/A,FALSE,"COBRAR";#N/A,#N/A,FALSE,"AFILIADAS";#N/A,#N/A,FALSE,"PAGAR";#N/A,#N/A,FALSE,"INSTIT. FINANCIERAS";#N/A,#N/A,FALSE,"VALORES"}</definedName>
    <definedName name="POLÑKJHYGTRD_1" localSheetId="6" hidden="1">{#N/A,#N/A,FALSE,"ACTIVO FIJO";#N/A,#N/A,FALSE,"COBRAR";#N/A,#N/A,FALSE,"AFILIADAS";#N/A,#N/A,FALSE,"PAGAR";#N/A,#N/A,FALSE,"INSTIT. FINANCIERAS";#N/A,#N/A,FALSE,"VALORES"}</definedName>
    <definedName name="POLÑKJHYGTRD_1" localSheetId="4" hidden="1">{#N/A,#N/A,FALSE,"ACTIVO FIJO";#N/A,#N/A,FALSE,"COBRAR";#N/A,#N/A,FALSE,"AFILIADAS";#N/A,#N/A,FALSE,"PAGAR";#N/A,#N/A,FALSE,"INSTIT. FINANCIERAS";#N/A,#N/A,FALSE,"VALORES"}</definedName>
    <definedName name="POLÑKJHYGTRD_1" localSheetId="13" hidden="1">{#N/A,#N/A,FALSE,"ACTIVO FIJO";#N/A,#N/A,FALSE,"COBRAR";#N/A,#N/A,FALSE,"AFILIADAS";#N/A,#N/A,FALSE,"PAGAR";#N/A,#N/A,FALSE,"INSTIT. FINANCIERAS";#N/A,#N/A,FALSE,"VALORES"}</definedName>
    <definedName name="POLÑKJHYGTRD_1" hidden="1">{#N/A,#N/A,FALSE,"ACTIVO FIJO";#N/A,#N/A,FALSE,"COBRAR";#N/A,#N/A,FALSE,"AFILIADAS";#N/A,#N/A,FALSE,"PAGAR";#N/A,#N/A,FALSE,"INSTIT. FINANCIERAS";#N/A,#N/A,FALSE,"VALORES"}</definedName>
    <definedName name="POPOPOP" localSheetId="5" hidden="1">{#N/A,#N/A,FALSE,"ACTIVO FIJO";#N/A,#N/A,FALSE,"COBRAR";#N/A,#N/A,FALSE,"AFILIADAS";#N/A,#N/A,FALSE,"PAGAR";#N/A,#N/A,FALSE,"INSTIT. FINANCIERAS";#N/A,#N/A,FALSE,"VALORES"}</definedName>
    <definedName name="POPOPOP" localSheetId="6" hidden="1">{#N/A,#N/A,FALSE,"ACTIVO FIJO";#N/A,#N/A,FALSE,"COBRAR";#N/A,#N/A,FALSE,"AFILIADAS";#N/A,#N/A,FALSE,"PAGAR";#N/A,#N/A,FALSE,"INSTIT. FINANCIERAS";#N/A,#N/A,FALSE,"VALORES"}</definedName>
    <definedName name="POPOPOP" localSheetId="4" hidden="1">{#N/A,#N/A,FALSE,"ACTIVO FIJO";#N/A,#N/A,FALSE,"COBRAR";#N/A,#N/A,FALSE,"AFILIADAS";#N/A,#N/A,FALSE,"PAGAR";#N/A,#N/A,FALSE,"INSTIT. FINANCIERAS";#N/A,#N/A,FALSE,"VALORES"}</definedName>
    <definedName name="POPOPOP" localSheetId="13" hidden="1">{#N/A,#N/A,FALSE,"ACTIVO FIJO";#N/A,#N/A,FALSE,"COBRAR";#N/A,#N/A,FALSE,"AFILIADAS";#N/A,#N/A,FALSE,"PAGAR";#N/A,#N/A,FALSE,"INSTIT. FINANCIERAS";#N/A,#N/A,FALSE,"VALORES"}</definedName>
    <definedName name="POPOPOP" hidden="1">{#N/A,#N/A,FALSE,"ACTIVO FIJO";#N/A,#N/A,FALSE,"COBRAR";#N/A,#N/A,FALSE,"AFILIADAS";#N/A,#N/A,FALSE,"PAGAR";#N/A,#N/A,FALSE,"INSTIT. FINANCIERAS";#N/A,#N/A,FALSE,"VALORES"}</definedName>
    <definedName name="POPOPOP_1" localSheetId="5" hidden="1">{#N/A,#N/A,FALSE,"ACTIVO FIJO";#N/A,#N/A,FALSE,"COBRAR";#N/A,#N/A,FALSE,"AFILIADAS";#N/A,#N/A,FALSE,"PAGAR";#N/A,#N/A,FALSE,"INSTIT. FINANCIERAS";#N/A,#N/A,FALSE,"VALORES"}</definedName>
    <definedName name="POPOPOP_1" localSheetId="6" hidden="1">{#N/A,#N/A,FALSE,"ACTIVO FIJO";#N/A,#N/A,FALSE,"COBRAR";#N/A,#N/A,FALSE,"AFILIADAS";#N/A,#N/A,FALSE,"PAGAR";#N/A,#N/A,FALSE,"INSTIT. FINANCIERAS";#N/A,#N/A,FALSE,"VALORES"}</definedName>
    <definedName name="POPOPOP_1" localSheetId="4" hidden="1">{#N/A,#N/A,FALSE,"ACTIVO FIJO";#N/A,#N/A,FALSE,"COBRAR";#N/A,#N/A,FALSE,"AFILIADAS";#N/A,#N/A,FALSE,"PAGAR";#N/A,#N/A,FALSE,"INSTIT. FINANCIERAS";#N/A,#N/A,FALSE,"VALORES"}</definedName>
    <definedName name="POPOPOP_1" localSheetId="13" hidden="1">{#N/A,#N/A,FALSE,"ACTIVO FIJO";#N/A,#N/A,FALSE,"COBRAR";#N/A,#N/A,FALSE,"AFILIADAS";#N/A,#N/A,FALSE,"PAGAR";#N/A,#N/A,FALSE,"INSTIT. FINANCIERAS";#N/A,#N/A,FALSE,"VALORES"}</definedName>
    <definedName name="POPOPOP_1" hidden="1">{#N/A,#N/A,FALSE,"ACTIVO FIJO";#N/A,#N/A,FALSE,"COBRAR";#N/A,#N/A,FALSE,"AFILIADAS";#N/A,#N/A,FALSE,"PAGAR";#N/A,#N/A,FALSE,"INSTIT. FINANCIERAS";#N/A,#N/A,FALSE,"VALORES"}</definedName>
    <definedName name="POU" hidden="1">#REF!</definedName>
    <definedName name="ppp" localSheetId="5" hidden="1">{#N/A,#N/A,FALSE,"SumD";#N/A,#N/A,FALSE,"ElecD";#N/A,#N/A,FALSE,"MechD";#N/A,#N/A,FALSE,"GeotD";#N/A,#N/A,FALSE,"PrcsD";#N/A,#N/A,FALSE,"TunnD";#N/A,#N/A,FALSE,"CivlD";#N/A,#N/A,FALSE,"NtwkD";#N/A,#N/A,FALSE,"EstgD";#N/A,#N/A,FALSE,"PEngD"}</definedName>
    <definedName name="ppp" localSheetId="6" hidden="1">{#N/A,#N/A,FALSE,"SumD";#N/A,#N/A,FALSE,"ElecD";#N/A,#N/A,FALSE,"MechD";#N/A,#N/A,FALSE,"GeotD";#N/A,#N/A,FALSE,"PrcsD";#N/A,#N/A,FALSE,"TunnD";#N/A,#N/A,FALSE,"CivlD";#N/A,#N/A,FALSE,"NtwkD";#N/A,#N/A,FALSE,"EstgD";#N/A,#N/A,FALSE,"PEngD"}</definedName>
    <definedName name="ppp" localSheetId="3" hidden="1">{#N/A,#N/A,FALSE,"SumD";#N/A,#N/A,FALSE,"ElecD";#N/A,#N/A,FALSE,"MechD";#N/A,#N/A,FALSE,"GeotD";#N/A,#N/A,FALSE,"PrcsD";#N/A,#N/A,FALSE,"TunnD";#N/A,#N/A,FALSE,"CivlD";#N/A,#N/A,FALSE,"NtwkD";#N/A,#N/A,FALSE,"EstgD";#N/A,#N/A,FALSE,"PEngD"}</definedName>
    <definedName name="ppp" localSheetId="4" hidden="1">{#N/A,#N/A,FALSE,"SumD";#N/A,#N/A,FALSE,"ElecD";#N/A,#N/A,FALSE,"MechD";#N/A,#N/A,FALSE,"GeotD";#N/A,#N/A,FALSE,"PrcsD";#N/A,#N/A,FALSE,"TunnD";#N/A,#N/A,FALSE,"CivlD";#N/A,#N/A,FALSE,"NtwkD";#N/A,#N/A,FALSE,"EstgD";#N/A,#N/A,FALSE,"PEngD"}</definedName>
    <definedName name="ppp" localSheetId="13" hidden="1">{#N/A,#N/A,FALSE,"SumD";#N/A,#N/A,FALSE,"ElecD";#N/A,#N/A,FALSE,"MechD";#N/A,#N/A,FALSE,"GeotD";#N/A,#N/A,FALSE,"PrcsD";#N/A,#N/A,FALSE,"TunnD";#N/A,#N/A,FALSE,"CivlD";#N/A,#N/A,FALSE,"NtwkD";#N/A,#N/A,FALSE,"EstgD";#N/A,#N/A,FALSE,"PEngD"}</definedName>
    <definedName name="ppp" hidden="1">{#N/A,#N/A,FALSE,"SumD";#N/A,#N/A,FALSE,"ElecD";#N/A,#N/A,FALSE,"MechD";#N/A,#N/A,FALSE,"GeotD";#N/A,#N/A,FALSE,"PrcsD";#N/A,#N/A,FALSE,"TunnD";#N/A,#N/A,FALSE,"CivlD";#N/A,#N/A,FALSE,"NtwkD";#N/A,#N/A,FALSE,"EstgD";#N/A,#N/A,FALSE,"PEngD"}</definedName>
    <definedName name="ppyui" localSheetId="5" hidden="1">{#N/A,#N/A,FALSE,"ACTIVO FIJO";#N/A,#N/A,FALSE,"COBRAR";#N/A,#N/A,FALSE,"AFILIADAS";#N/A,#N/A,FALSE,"PAGAR";#N/A,#N/A,FALSE,"INSTIT. FINANCIERAS";#N/A,#N/A,FALSE,"VALORES"}</definedName>
    <definedName name="ppyui" localSheetId="6" hidden="1">{#N/A,#N/A,FALSE,"ACTIVO FIJO";#N/A,#N/A,FALSE,"COBRAR";#N/A,#N/A,FALSE,"AFILIADAS";#N/A,#N/A,FALSE,"PAGAR";#N/A,#N/A,FALSE,"INSTIT. FINANCIERAS";#N/A,#N/A,FALSE,"VALORES"}</definedName>
    <definedName name="ppyui" localSheetId="4" hidden="1">{#N/A,#N/A,FALSE,"ACTIVO FIJO";#N/A,#N/A,FALSE,"COBRAR";#N/A,#N/A,FALSE,"AFILIADAS";#N/A,#N/A,FALSE,"PAGAR";#N/A,#N/A,FALSE,"INSTIT. FINANCIERAS";#N/A,#N/A,FALSE,"VALORES"}</definedName>
    <definedName name="ppyui" localSheetId="13" hidden="1">{#N/A,#N/A,FALSE,"ACTIVO FIJO";#N/A,#N/A,FALSE,"COBRAR";#N/A,#N/A,FALSE,"AFILIADAS";#N/A,#N/A,FALSE,"PAGAR";#N/A,#N/A,FALSE,"INSTIT. FINANCIERAS";#N/A,#N/A,FALSE,"VALORES"}</definedName>
    <definedName name="ppyui" hidden="1">{#N/A,#N/A,FALSE,"ACTIVO FIJO";#N/A,#N/A,FALSE,"COBRAR";#N/A,#N/A,FALSE,"AFILIADAS";#N/A,#N/A,FALSE,"PAGAR";#N/A,#N/A,FALSE,"INSTIT. FINANCIERAS";#N/A,#N/A,FALSE,"VALORES"}</definedName>
    <definedName name="ppyui_1" localSheetId="5" hidden="1">{#N/A,#N/A,FALSE,"ACTIVO FIJO";#N/A,#N/A,FALSE,"COBRAR";#N/A,#N/A,FALSE,"AFILIADAS";#N/A,#N/A,FALSE,"PAGAR";#N/A,#N/A,FALSE,"INSTIT. FINANCIERAS";#N/A,#N/A,FALSE,"VALORES"}</definedName>
    <definedName name="ppyui_1" localSheetId="6" hidden="1">{#N/A,#N/A,FALSE,"ACTIVO FIJO";#N/A,#N/A,FALSE,"COBRAR";#N/A,#N/A,FALSE,"AFILIADAS";#N/A,#N/A,FALSE,"PAGAR";#N/A,#N/A,FALSE,"INSTIT. FINANCIERAS";#N/A,#N/A,FALSE,"VALORES"}</definedName>
    <definedName name="ppyui_1" localSheetId="4" hidden="1">{#N/A,#N/A,FALSE,"ACTIVO FIJO";#N/A,#N/A,FALSE,"COBRAR";#N/A,#N/A,FALSE,"AFILIADAS";#N/A,#N/A,FALSE,"PAGAR";#N/A,#N/A,FALSE,"INSTIT. FINANCIERAS";#N/A,#N/A,FALSE,"VALORES"}</definedName>
    <definedName name="ppyui_1" localSheetId="13" hidden="1">{#N/A,#N/A,FALSE,"ACTIVO FIJO";#N/A,#N/A,FALSE,"COBRAR";#N/A,#N/A,FALSE,"AFILIADAS";#N/A,#N/A,FALSE,"PAGAR";#N/A,#N/A,FALSE,"INSTIT. FINANCIERAS";#N/A,#N/A,FALSE,"VALORES"}</definedName>
    <definedName name="ppyui_1" hidden="1">{#N/A,#N/A,FALSE,"ACTIVO FIJO";#N/A,#N/A,FALSE,"COBRAR";#N/A,#N/A,FALSE,"AFILIADAS";#N/A,#N/A,FALSE,"PAGAR";#N/A,#N/A,FALSE,"INSTIT. FINANCIERAS";#N/A,#N/A,FALSE,"VALORES"}</definedName>
    <definedName name="ptiupouo" localSheetId="5" hidden="1">{#N/A,#N/A,FALSE,"SumD";#N/A,#N/A,FALSE,"ElecD";#N/A,#N/A,FALSE,"MechD";#N/A,#N/A,FALSE,"GeotD";#N/A,#N/A,FALSE,"PrcsD";#N/A,#N/A,FALSE,"TunnD";#N/A,#N/A,FALSE,"CivlD";#N/A,#N/A,FALSE,"NtwkD";#N/A,#N/A,FALSE,"EstgD";#N/A,#N/A,FALSE,"PEngD"}</definedName>
    <definedName name="ptiupouo" localSheetId="6" hidden="1">{#N/A,#N/A,FALSE,"SumD";#N/A,#N/A,FALSE,"ElecD";#N/A,#N/A,FALSE,"MechD";#N/A,#N/A,FALSE,"GeotD";#N/A,#N/A,FALSE,"PrcsD";#N/A,#N/A,FALSE,"TunnD";#N/A,#N/A,FALSE,"CivlD";#N/A,#N/A,FALSE,"NtwkD";#N/A,#N/A,FALSE,"EstgD";#N/A,#N/A,FALSE,"PEngD"}</definedName>
    <definedName name="ptiupouo" localSheetId="4"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YT" hidden="1">#REF!</definedName>
    <definedName name="PYTRRE" hidden="1">#REF!</definedName>
    <definedName name="qaz" localSheetId="5" hidden="1">{#N/A,#N/A,FALSE,"WBS 1.06";#N/A,#N/A,FALSE,"WBS 1.14";#N/A,#N/A,FALSE,"WBS 1.17";#N/A,#N/A,FALSE,"WBS 1.18"}</definedName>
    <definedName name="qaz" localSheetId="6" hidden="1">{#N/A,#N/A,FALSE,"WBS 1.06";#N/A,#N/A,FALSE,"WBS 1.14";#N/A,#N/A,FALSE,"WBS 1.17";#N/A,#N/A,FALSE,"WBS 1.18"}</definedName>
    <definedName name="qaz" localSheetId="3" hidden="1">{#N/A,#N/A,FALSE,"WBS 1.06";#N/A,#N/A,FALSE,"WBS 1.14";#N/A,#N/A,FALSE,"WBS 1.17";#N/A,#N/A,FALSE,"WBS 1.18"}</definedName>
    <definedName name="qaz" localSheetId="4" hidden="1">{#N/A,#N/A,FALSE,"WBS 1.06";#N/A,#N/A,FALSE,"WBS 1.14";#N/A,#N/A,FALSE,"WBS 1.17";#N/A,#N/A,FALSE,"WBS 1.18"}</definedName>
    <definedName name="qaz" localSheetId="13" hidden="1">{#N/A,#N/A,FALSE,"WBS 1.06";#N/A,#N/A,FALSE,"WBS 1.14";#N/A,#N/A,FALSE,"WBS 1.17";#N/A,#N/A,FALSE,"WBS 1.18"}</definedName>
    <definedName name="qaz" hidden="1">{#N/A,#N/A,FALSE,"WBS 1.06";#N/A,#N/A,FALSE,"WBS 1.14";#N/A,#N/A,FALSE,"WBS 1.17";#N/A,#N/A,FALSE,"WBS 1.18"}</definedName>
    <definedName name="qpwoei" localSheetId="5" hidden="1">{#N/A,#N/A,FALSE,"ACTIVO FIJO";#N/A,#N/A,FALSE,"COBRAR";#N/A,#N/A,FALSE,"AFILIADAS";#N/A,#N/A,FALSE,"PAGAR";#N/A,#N/A,FALSE,"INSTIT. FINANCIERAS";#N/A,#N/A,FALSE,"VALORES"}</definedName>
    <definedName name="qpwoei" localSheetId="6" hidden="1">{#N/A,#N/A,FALSE,"ACTIVO FIJO";#N/A,#N/A,FALSE,"COBRAR";#N/A,#N/A,FALSE,"AFILIADAS";#N/A,#N/A,FALSE,"PAGAR";#N/A,#N/A,FALSE,"INSTIT. FINANCIERAS";#N/A,#N/A,FALSE,"VALORES"}</definedName>
    <definedName name="qpwoei" localSheetId="4" hidden="1">{#N/A,#N/A,FALSE,"ACTIVO FIJO";#N/A,#N/A,FALSE,"COBRAR";#N/A,#N/A,FALSE,"AFILIADAS";#N/A,#N/A,FALSE,"PAGAR";#N/A,#N/A,FALSE,"INSTIT. FINANCIERAS";#N/A,#N/A,FALSE,"VALORES"}</definedName>
    <definedName name="qpwoei" localSheetId="13" hidden="1">{#N/A,#N/A,FALSE,"ACTIVO FIJO";#N/A,#N/A,FALSE,"COBRAR";#N/A,#N/A,FALSE,"AFILIADAS";#N/A,#N/A,FALSE,"PAGAR";#N/A,#N/A,FALSE,"INSTIT. FINANCIERAS";#N/A,#N/A,FALSE,"VALORES"}</definedName>
    <definedName name="qpwoei" hidden="1">{#N/A,#N/A,FALSE,"ACTIVO FIJO";#N/A,#N/A,FALSE,"COBRAR";#N/A,#N/A,FALSE,"AFILIADAS";#N/A,#N/A,FALSE,"PAGAR";#N/A,#N/A,FALSE,"INSTIT. FINANCIERAS";#N/A,#N/A,FALSE,"VALORES"}</definedName>
    <definedName name="qpwoei_1" localSheetId="5" hidden="1">{#N/A,#N/A,FALSE,"ACTIVO FIJO";#N/A,#N/A,FALSE,"COBRAR";#N/A,#N/A,FALSE,"AFILIADAS";#N/A,#N/A,FALSE,"PAGAR";#N/A,#N/A,FALSE,"INSTIT. FINANCIERAS";#N/A,#N/A,FALSE,"VALORES"}</definedName>
    <definedName name="qpwoei_1" localSheetId="6" hidden="1">{#N/A,#N/A,FALSE,"ACTIVO FIJO";#N/A,#N/A,FALSE,"COBRAR";#N/A,#N/A,FALSE,"AFILIADAS";#N/A,#N/A,FALSE,"PAGAR";#N/A,#N/A,FALSE,"INSTIT. FINANCIERAS";#N/A,#N/A,FALSE,"VALORES"}</definedName>
    <definedName name="qpwoei_1" localSheetId="4" hidden="1">{#N/A,#N/A,FALSE,"ACTIVO FIJO";#N/A,#N/A,FALSE,"COBRAR";#N/A,#N/A,FALSE,"AFILIADAS";#N/A,#N/A,FALSE,"PAGAR";#N/A,#N/A,FALSE,"INSTIT. FINANCIERAS";#N/A,#N/A,FALSE,"VALORES"}</definedName>
    <definedName name="qpwoei_1" localSheetId="13" hidden="1">{#N/A,#N/A,FALSE,"ACTIVO FIJO";#N/A,#N/A,FALSE,"COBRAR";#N/A,#N/A,FALSE,"AFILIADAS";#N/A,#N/A,FALSE,"PAGAR";#N/A,#N/A,FALSE,"INSTIT. FINANCIERAS";#N/A,#N/A,FALSE,"VALORES"}</definedName>
    <definedName name="qpwoei_1" hidden="1">{#N/A,#N/A,FALSE,"ACTIVO FIJO";#N/A,#N/A,FALSE,"COBRAR";#N/A,#N/A,FALSE,"AFILIADAS";#N/A,#N/A,FALSE,"PAGAR";#N/A,#N/A,FALSE,"INSTIT. FINANCIERAS";#N/A,#N/A,FALSE,"VALORES"}</definedName>
    <definedName name="QQ_1" localSheetId="5" hidden="1">{#N/A,#N/A,FALSE,"ACTIVO FIJO";#N/A,#N/A,FALSE,"COBRAR";#N/A,#N/A,FALSE,"AFILIADAS";#N/A,#N/A,FALSE,"PAGAR";#N/A,#N/A,FALSE,"INSTIT. FINANCIERAS";#N/A,#N/A,FALSE,"VALORES"}</definedName>
    <definedName name="QQ_1" localSheetId="6" hidden="1">{#N/A,#N/A,FALSE,"ACTIVO FIJO";#N/A,#N/A,FALSE,"COBRAR";#N/A,#N/A,FALSE,"AFILIADAS";#N/A,#N/A,FALSE,"PAGAR";#N/A,#N/A,FALSE,"INSTIT. FINANCIERAS";#N/A,#N/A,FALSE,"VALORES"}</definedName>
    <definedName name="QQ_1" localSheetId="4" hidden="1">{#N/A,#N/A,FALSE,"ACTIVO FIJO";#N/A,#N/A,FALSE,"COBRAR";#N/A,#N/A,FALSE,"AFILIADAS";#N/A,#N/A,FALSE,"PAGAR";#N/A,#N/A,FALSE,"INSTIT. FINANCIERAS";#N/A,#N/A,FALSE,"VALORES"}</definedName>
    <definedName name="QQ_1" localSheetId="13" hidden="1">{#N/A,#N/A,FALSE,"ACTIVO FIJO";#N/A,#N/A,FALSE,"COBRAR";#N/A,#N/A,FALSE,"AFILIADAS";#N/A,#N/A,FALSE,"PAGAR";#N/A,#N/A,FALSE,"INSTIT. FINANCIERAS";#N/A,#N/A,FALSE,"VALORES"}</definedName>
    <definedName name="QQ_1" hidden="1">{#N/A,#N/A,FALSE,"ACTIVO FIJO";#N/A,#N/A,FALSE,"COBRAR";#N/A,#N/A,FALSE,"AFILIADAS";#N/A,#N/A,FALSE,"PAGAR";#N/A,#N/A,FALSE,"INSTIT. FINANCIERAS";#N/A,#N/A,FALSE,"VALORES"}</definedName>
    <definedName name="qqaa" localSheetId="5" hidden="1">{#N/A,#N/A,FALSE,"SumG";#N/A,#N/A,FALSE,"ElecG";#N/A,#N/A,FALSE,"MechG";#N/A,#N/A,FALSE,"GeotG";#N/A,#N/A,FALSE,"PrcsG";#N/A,#N/A,FALSE,"TunnG";#N/A,#N/A,FALSE,"CivlG";#N/A,#N/A,FALSE,"NtwkG";#N/A,#N/A,FALSE,"EstgG";#N/A,#N/A,FALSE,"PEngG"}</definedName>
    <definedName name="qqaa" localSheetId="6" hidden="1">{#N/A,#N/A,FALSE,"SumG";#N/A,#N/A,FALSE,"ElecG";#N/A,#N/A,FALSE,"MechG";#N/A,#N/A,FALSE,"GeotG";#N/A,#N/A,FALSE,"PrcsG";#N/A,#N/A,FALSE,"TunnG";#N/A,#N/A,FALSE,"CivlG";#N/A,#N/A,FALSE,"NtwkG";#N/A,#N/A,FALSE,"EstgG";#N/A,#N/A,FALSE,"PEngG"}</definedName>
    <definedName name="qqaa" localSheetId="3" hidden="1">{#N/A,#N/A,FALSE,"SumG";#N/A,#N/A,FALSE,"ElecG";#N/A,#N/A,FALSE,"MechG";#N/A,#N/A,FALSE,"GeotG";#N/A,#N/A,FALSE,"PrcsG";#N/A,#N/A,FALSE,"TunnG";#N/A,#N/A,FALSE,"CivlG";#N/A,#N/A,FALSE,"NtwkG";#N/A,#N/A,FALSE,"EstgG";#N/A,#N/A,FALSE,"PEngG"}</definedName>
    <definedName name="qqaa" localSheetId="4" hidden="1">{#N/A,#N/A,FALSE,"SumG";#N/A,#N/A,FALSE,"ElecG";#N/A,#N/A,FALSE,"MechG";#N/A,#N/A,FALSE,"GeotG";#N/A,#N/A,FALSE,"PrcsG";#N/A,#N/A,FALSE,"TunnG";#N/A,#N/A,FALSE,"CivlG";#N/A,#N/A,FALSE,"NtwkG";#N/A,#N/A,FALSE,"EstgG";#N/A,#N/A,FALSE,"PEngG"}</definedName>
    <definedName name="qqaa" localSheetId="13" hidden="1">{#N/A,#N/A,FALSE,"SumG";#N/A,#N/A,FALSE,"ElecG";#N/A,#N/A,FALSE,"MechG";#N/A,#N/A,FALSE,"GeotG";#N/A,#N/A,FALSE,"PrcsG";#N/A,#N/A,FALSE,"TunnG";#N/A,#N/A,FALSE,"CivlG";#N/A,#N/A,FALSE,"NtwkG";#N/A,#N/A,FALSE,"EstgG";#N/A,#N/A,FALSE,"PEngG"}</definedName>
    <definedName name="qqaa" hidden="1">{#N/A,#N/A,FALSE,"SumG";#N/A,#N/A,FALSE,"ElecG";#N/A,#N/A,FALSE,"MechG";#N/A,#N/A,FALSE,"GeotG";#N/A,#N/A,FALSE,"PrcsG";#N/A,#N/A,FALSE,"TunnG";#N/A,#N/A,FALSE,"CivlG";#N/A,#N/A,FALSE,"NtwkG";#N/A,#N/A,FALSE,"EstgG";#N/A,#N/A,FALSE,"PEngG"}</definedName>
    <definedName name="qqqq" localSheetId="5" hidden="1">{#N/A,#N/A,TRUE,"INGENIERIA";#N/A,#N/A,TRUE,"COMPRAS";#N/A,#N/A,TRUE,"DIRECCION";#N/A,#N/A,TRUE,"RESUMEN"}</definedName>
    <definedName name="qqqq" localSheetId="6" hidden="1">{#N/A,#N/A,TRUE,"INGENIERIA";#N/A,#N/A,TRUE,"COMPRAS";#N/A,#N/A,TRUE,"DIRECCION";#N/A,#N/A,TRUE,"RESUMEN"}</definedName>
    <definedName name="qqqq" localSheetId="3" hidden="1">{#N/A,#N/A,TRUE,"INGENIERIA";#N/A,#N/A,TRUE,"COMPRAS";#N/A,#N/A,TRUE,"DIRECCION";#N/A,#N/A,TRUE,"RESUMEN"}</definedName>
    <definedName name="qqqq" localSheetId="4" hidden="1">{#N/A,#N/A,TRUE,"INGENIERIA";#N/A,#N/A,TRUE,"COMPRAS";#N/A,#N/A,TRUE,"DIRECCION";#N/A,#N/A,TRUE,"RESUMEN"}</definedName>
    <definedName name="qqqq" localSheetId="13" hidden="1">{#N/A,#N/A,TRUE,"INGENIERIA";#N/A,#N/A,TRUE,"COMPRAS";#N/A,#N/A,TRUE,"DIRECCION";#N/A,#N/A,TRUE,"RESUMEN"}</definedName>
    <definedName name="qqqq" hidden="1">{#N/A,#N/A,TRUE,"INGENIERIA";#N/A,#N/A,TRUE,"COMPRAS";#N/A,#N/A,TRUE,"DIRECCION";#N/A,#N/A,TRUE,"RESUMEN"}</definedName>
    <definedName name="qqqq_1" localSheetId="5" hidden="1">{#N/A,#N/A,FALSE,"ACTIVO FIJO";#N/A,#N/A,FALSE,"COBRAR";#N/A,#N/A,FALSE,"AFILIADAS";#N/A,#N/A,FALSE,"PAGAR";#N/A,#N/A,FALSE,"INSTIT. FINANCIERAS";#N/A,#N/A,FALSE,"VALORES"}</definedName>
    <definedName name="qqqq_1" localSheetId="6" hidden="1">{#N/A,#N/A,FALSE,"ACTIVO FIJO";#N/A,#N/A,FALSE,"COBRAR";#N/A,#N/A,FALSE,"AFILIADAS";#N/A,#N/A,FALSE,"PAGAR";#N/A,#N/A,FALSE,"INSTIT. FINANCIERAS";#N/A,#N/A,FALSE,"VALORES"}</definedName>
    <definedName name="qqqq_1" localSheetId="4" hidden="1">{#N/A,#N/A,FALSE,"ACTIVO FIJO";#N/A,#N/A,FALSE,"COBRAR";#N/A,#N/A,FALSE,"AFILIADAS";#N/A,#N/A,FALSE,"PAGAR";#N/A,#N/A,FALSE,"INSTIT. FINANCIERAS";#N/A,#N/A,FALSE,"VALORES"}</definedName>
    <definedName name="qqqq_1" localSheetId="13" hidden="1">{#N/A,#N/A,FALSE,"ACTIVO FIJO";#N/A,#N/A,FALSE,"COBRAR";#N/A,#N/A,FALSE,"AFILIADAS";#N/A,#N/A,FALSE,"PAGAR";#N/A,#N/A,FALSE,"INSTIT. FINANCIERAS";#N/A,#N/A,FALSE,"VALORES"}</definedName>
    <definedName name="qqqq_1" hidden="1">{#N/A,#N/A,FALSE,"ACTIVO FIJO";#N/A,#N/A,FALSE,"COBRAR";#N/A,#N/A,FALSE,"AFILIADAS";#N/A,#N/A,FALSE,"PAGAR";#N/A,#N/A,FALSE,"INSTIT. FINANCIERAS";#N/A,#N/A,FALSE,"VALORES"}</definedName>
    <definedName name="qsert" localSheetId="5" hidden="1">{#N/A,#N/A,FALSE,"ACTIVO FIJO";#N/A,#N/A,FALSE,"COBRAR";#N/A,#N/A,FALSE,"AFILIADAS";#N/A,#N/A,FALSE,"PAGAR";#N/A,#N/A,FALSE,"INSTIT. FINANCIERAS";#N/A,#N/A,FALSE,"VALORES"}</definedName>
    <definedName name="qsert" localSheetId="6" hidden="1">{#N/A,#N/A,FALSE,"ACTIVO FIJO";#N/A,#N/A,FALSE,"COBRAR";#N/A,#N/A,FALSE,"AFILIADAS";#N/A,#N/A,FALSE,"PAGAR";#N/A,#N/A,FALSE,"INSTIT. FINANCIERAS";#N/A,#N/A,FALSE,"VALORES"}</definedName>
    <definedName name="qsert" localSheetId="4" hidden="1">{#N/A,#N/A,FALSE,"ACTIVO FIJO";#N/A,#N/A,FALSE,"COBRAR";#N/A,#N/A,FALSE,"AFILIADAS";#N/A,#N/A,FALSE,"PAGAR";#N/A,#N/A,FALSE,"INSTIT. FINANCIERAS";#N/A,#N/A,FALSE,"VALORES"}</definedName>
    <definedName name="qsert" localSheetId="13" hidden="1">{#N/A,#N/A,FALSE,"ACTIVO FIJO";#N/A,#N/A,FALSE,"COBRAR";#N/A,#N/A,FALSE,"AFILIADAS";#N/A,#N/A,FALSE,"PAGAR";#N/A,#N/A,FALSE,"INSTIT. FINANCIERAS";#N/A,#N/A,FALSE,"VALORES"}</definedName>
    <definedName name="qsert" hidden="1">{#N/A,#N/A,FALSE,"ACTIVO FIJO";#N/A,#N/A,FALSE,"COBRAR";#N/A,#N/A,FALSE,"AFILIADAS";#N/A,#N/A,FALSE,"PAGAR";#N/A,#N/A,FALSE,"INSTIT. FINANCIERAS";#N/A,#N/A,FALSE,"VALORES"}</definedName>
    <definedName name="qsert_1" localSheetId="5" hidden="1">{#N/A,#N/A,FALSE,"ACTIVO FIJO";#N/A,#N/A,FALSE,"COBRAR";#N/A,#N/A,FALSE,"AFILIADAS";#N/A,#N/A,FALSE,"PAGAR";#N/A,#N/A,FALSE,"INSTIT. FINANCIERAS";#N/A,#N/A,FALSE,"VALORES"}</definedName>
    <definedName name="qsert_1" localSheetId="6" hidden="1">{#N/A,#N/A,FALSE,"ACTIVO FIJO";#N/A,#N/A,FALSE,"COBRAR";#N/A,#N/A,FALSE,"AFILIADAS";#N/A,#N/A,FALSE,"PAGAR";#N/A,#N/A,FALSE,"INSTIT. FINANCIERAS";#N/A,#N/A,FALSE,"VALORES"}</definedName>
    <definedName name="qsert_1" localSheetId="4" hidden="1">{#N/A,#N/A,FALSE,"ACTIVO FIJO";#N/A,#N/A,FALSE,"COBRAR";#N/A,#N/A,FALSE,"AFILIADAS";#N/A,#N/A,FALSE,"PAGAR";#N/A,#N/A,FALSE,"INSTIT. FINANCIERAS";#N/A,#N/A,FALSE,"VALORES"}</definedName>
    <definedName name="qsert_1" localSheetId="13" hidden="1">{#N/A,#N/A,FALSE,"ACTIVO FIJO";#N/A,#N/A,FALSE,"COBRAR";#N/A,#N/A,FALSE,"AFILIADAS";#N/A,#N/A,FALSE,"PAGAR";#N/A,#N/A,FALSE,"INSTIT. FINANCIERAS";#N/A,#N/A,FALSE,"VALORES"}</definedName>
    <definedName name="qsert_1" hidden="1">{#N/A,#N/A,FALSE,"ACTIVO FIJO";#N/A,#N/A,FALSE,"COBRAR";#N/A,#N/A,FALSE,"AFILIADAS";#N/A,#N/A,FALSE,"PAGAR";#N/A,#N/A,FALSE,"INSTIT. FINANCIERAS";#N/A,#N/A,FALSE,"VALORES"}</definedName>
    <definedName name="QWEDASWDA" hidden="1">#REF!</definedName>
    <definedName name="qwer" hidden="1">#REF!</definedName>
    <definedName name="qweroplhfd" localSheetId="5" hidden="1">{#N/A,#N/A,FALSE,"ACTIVO FIJO";#N/A,#N/A,FALSE,"COBRAR";#N/A,#N/A,FALSE,"AFILIADAS";#N/A,#N/A,FALSE,"PAGAR";#N/A,#N/A,FALSE,"INSTIT. FINANCIERAS";#N/A,#N/A,FALSE,"VALORES"}</definedName>
    <definedName name="qweroplhfd" localSheetId="6" hidden="1">{#N/A,#N/A,FALSE,"ACTIVO FIJO";#N/A,#N/A,FALSE,"COBRAR";#N/A,#N/A,FALSE,"AFILIADAS";#N/A,#N/A,FALSE,"PAGAR";#N/A,#N/A,FALSE,"INSTIT. FINANCIERAS";#N/A,#N/A,FALSE,"VALORES"}</definedName>
    <definedName name="qweroplhfd" localSheetId="4" hidden="1">{#N/A,#N/A,FALSE,"ACTIVO FIJO";#N/A,#N/A,FALSE,"COBRAR";#N/A,#N/A,FALSE,"AFILIADAS";#N/A,#N/A,FALSE,"PAGAR";#N/A,#N/A,FALSE,"INSTIT. FINANCIERAS";#N/A,#N/A,FALSE,"VALORES"}</definedName>
    <definedName name="qweroplhfd" localSheetId="13" hidden="1">{#N/A,#N/A,FALSE,"ACTIVO FIJO";#N/A,#N/A,FALSE,"COBRAR";#N/A,#N/A,FALSE,"AFILIADAS";#N/A,#N/A,FALSE,"PAGAR";#N/A,#N/A,FALSE,"INSTIT. FINANCIERAS";#N/A,#N/A,FALSE,"VALORES"}</definedName>
    <definedName name="qweroplhfd" hidden="1">{#N/A,#N/A,FALSE,"ACTIVO FIJO";#N/A,#N/A,FALSE,"COBRAR";#N/A,#N/A,FALSE,"AFILIADAS";#N/A,#N/A,FALSE,"PAGAR";#N/A,#N/A,FALSE,"INSTIT. FINANCIERAS";#N/A,#N/A,FALSE,"VALORES"}</definedName>
    <definedName name="qweroplhfd_1" localSheetId="5" hidden="1">{#N/A,#N/A,FALSE,"ACTIVO FIJO";#N/A,#N/A,FALSE,"COBRAR";#N/A,#N/A,FALSE,"AFILIADAS";#N/A,#N/A,FALSE,"PAGAR";#N/A,#N/A,FALSE,"INSTIT. FINANCIERAS";#N/A,#N/A,FALSE,"VALORES"}</definedName>
    <definedName name="qweroplhfd_1" localSheetId="6" hidden="1">{#N/A,#N/A,FALSE,"ACTIVO FIJO";#N/A,#N/A,FALSE,"COBRAR";#N/A,#N/A,FALSE,"AFILIADAS";#N/A,#N/A,FALSE,"PAGAR";#N/A,#N/A,FALSE,"INSTIT. FINANCIERAS";#N/A,#N/A,FALSE,"VALORES"}</definedName>
    <definedName name="qweroplhfd_1" localSheetId="4" hidden="1">{#N/A,#N/A,FALSE,"ACTIVO FIJO";#N/A,#N/A,FALSE,"COBRAR";#N/A,#N/A,FALSE,"AFILIADAS";#N/A,#N/A,FALSE,"PAGAR";#N/A,#N/A,FALSE,"INSTIT. FINANCIERAS";#N/A,#N/A,FALSE,"VALORES"}</definedName>
    <definedName name="qweroplhfd_1" localSheetId="13" hidden="1">{#N/A,#N/A,FALSE,"ACTIVO FIJO";#N/A,#N/A,FALSE,"COBRAR";#N/A,#N/A,FALSE,"AFILIADAS";#N/A,#N/A,FALSE,"PAGAR";#N/A,#N/A,FALSE,"INSTIT. FINANCIERAS";#N/A,#N/A,FALSE,"VALORES"}</definedName>
    <definedName name="qweroplhfd_1" hidden="1">{#N/A,#N/A,FALSE,"ACTIVO FIJO";#N/A,#N/A,FALSE,"COBRAR";#N/A,#N/A,FALSE,"AFILIADAS";#N/A,#N/A,FALSE,"PAGAR";#N/A,#N/A,FALSE,"INSTIT. FINANCIERAS";#N/A,#N/A,FALSE,"VALORES"}</definedName>
    <definedName name="QWERTYU" localSheetId="5" hidden="1">{#N/A,#N/A,FALSE,"ACTIVO FIJO";#N/A,#N/A,FALSE,"COBRAR";#N/A,#N/A,FALSE,"AFILIADAS";#N/A,#N/A,FALSE,"PAGAR";#N/A,#N/A,FALSE,"INSTIT. FINANCIERAS";#N/A,#N/A,FALSE,"VALORES"}</definedName>
    <definedName name="QWERTYU" localSheetId="6" hidden="1">{#N/A,#N/A,FALSE,"ACTIVO FIJO";#N/A,#N/A,FALSE,"COBRAR";#N/A,#N/A,FALSE,"AFILIADAS";#N/A,#N/A,FALSE,"PAGAR";#N/A,#N/A,FALSE,"INSTIT. FINANCIERAS";#N/A,#N/A,FALSE,"VALORES"}</definedName>
    <definedName name="QWERTYU" localSheetId="4" hidden="1">{#N/A,#N/A,FALSE,"ACTIVO FIJO";#N/A,#N/A,FALSE,"COBRAR";#N/A,#N/A,FALSE,"AFILIADAS";#N/A,#N/A,FALSE,"PAGAR";#N/A,#N/A,FALSE,"INSTIT. FINANCIERAS";#N/A,#N/A,FALSE,"VALORES"}</definedName>
    <definedName name="QWERTYU" localSheetId="13" hidden="1">{#N/A,#N/A,FALSE,"ACTIVO FIJO";#N/A,#N/A,FALSE,"COBRAR";#N/A,#N/A,FALSE,"AFILIADAS";#N/A,#N/A,FALSE,"PAGAR";#N/A,#N/A,FALSE,"INSTIT. FINANCIERAS";#N/A,#N/A,FALSE,"VALORES"}</definedName>
    <definedName name="QWERTYU" hidden="1">{#N/A,#N/A,FALSE,"ACTIVO FIJO";#N/A,#N/A,FALSE,"COBRAR";#N/A,#N/A,FALSE,"AFILIADAS";#N/A,#N/A,FALSE,"PAGAR";#N/A,#N/A,FALSE,"INSTIT. FINANCIERAS";#N/A,#N/A,FALSE,"VALORES"}</definedName>
    <definedName name="QWERTYU_1" localSheetId="5" hidden="1">{#N/A,#N/A,FALSE,"ACTIVO FIJO";#N/A,#N/A,FALSE,"COBRAR";#N/A,#N/A,FALSE,"AFILIADAS";#N/A,#N/A,FALSE,"PAGAR";#N/A,#N/A,FALSE,"INSTIT. FINANCIERAS";#N/A,#N/A,FALSE,"VALORES"}</definedName>
    <definedName name="QWERTYU_1" localSheetId="6" hidden="1">{#N/A,#N/A,FALSE,"ACTIVO FIJO";#N/A,#N/A,FALSE,"COBRAR";#N/A,#N/A,FALSE,"AFILIADAS";#N/A,#N/A,FALSE,"PAGAR";#N/A,#N/A,FALSE,"INSTIT. FINANCIERAS";#N/A,#N/A,FALSE,"VALORES"}</definedName>
    <definedName name="QWERTYU_1" localSheetId="4" hidden="1">{#N/A,#N/A,FALSE,"ACTIVO FIJO";#N/A,#N/A,FALSE,"COBRAR";#N/A,#N/A,FALSE,"AFILIADAS";#N/A,#N/A,FALSE,"PAGAR";#N/A,#N/A,FALSE,"INSTIT. FINANCIERAS";#N/A,#N/A,FALSE,"VALORES"}</definedName>
    <definedName name="QWERTYU_1" localSheetId="13" hidden="1">{#N/A,#N/A,FALSE,"ACTIVO FIJO";#N/A,#N/A,FALSE,"COBRAR";#N/A,#N/A,FALSE,"AFILIADAS";#N/A,#N/A,FALSE,"PAGAR";#N/A,#N/A,FALSE,"INSTIT. FINANCIERAS";#N/A,#N/A,FALSE,"VALORES"}</definedName>
    <definedName name="QWERTYU_1" hidden="1">{#N/A,#N/A,FALSE,"ACTIVO FIJO";#N/A,#N/A,FALSE,"COBRAR";#N/A,#N/A,FALSE,"AFILIADAS";#N/A,#N/A,FALSE,"PAGAR";#N/A,#N/A,FALSE,"INSTIT. FINANCIERAS";#N/A,#N/A,FALSE,"VALORES"}</definedName>
    <definedName name="qwet" hidden="1">#REF!</definedName>
    <definedName name="qwsd" localSheetId="5" hidden="1">{#N/A,#N/A,FALSE,"SumG";#N/A,#N/A,FALSE,"ElecG";#N/A,#N/A,FALSE,"MechG";#N/A,#N/A,FALSE,"GeotG";#N/A,#N/A,FALSE,"PrcsG";#N/A,#N/A,FALSE,"TunnG";#N/A,#N/A,FALSE,"CivlG";#N/A,#N/A,FALSE,"NtwkG";#N/A,#N/A,FALSE,"EstgG";#N/A,#N/A,FALSE,"PEngG"}</definedName>
    <definedName name="qwsd" localSheetId="6" hidden="1">{#N/A,#N/A,FALSE,"SumG";#N/A,#N/A,FALSE,"ElecG";#N/A,#N/A,FALSE,"MechG";#N/A,#N/A,FALSE,"GeotG";#N/A,#N/A,FALSE,"PrcsG";#N/A,#N/A,FALSE,"TunnG";#N/A,#N/A,FALSE,"CivlG";#N/A,#N/A,FALSE,"NtwkG";#N/A,#N/A,FALSE,"EstgG";#N/A,#N/A,FALSE,"PEngG"}</definedName>
    <definedName name="qwsd" localSheetId="3" hidden="1">{#N/A,#N/A,FALSE,"SumG";#N/A,#N/A,FALSE,"ElecG";#N/A,#N/A,FALSE,"MechG";#N/A,#N/A,FALSE,"GeotG";#N/A,#N/A,FALSE,"PrcsG";#N/A,#N/A,FALSE,"TunnG";#N/A,#N/A,FALSE,"CivlG";#N/A,#N/A,FALSE,"NtwkG";#N/A,#N/A,FALSE,"EstgG";#N/A,#N/A,FALSE,"PEngG"}</definedName>
    <definedName name="qwsd" localSheetId="4" hidden="1">{#N/A,#N/A,FALSE,"SumG";#N/A,#N/A,FALSE,"ElecG";#N/A,#N/A,FALSE,"MechG";#N/A,#N/A,FALSE,"GeotG";#N/A,#N/A,FALSE,"PrcsG";#N/A,#N/A,FALSE,"TunnG";#N/A,#N/A,FALSE,"CivlG";#N/A,#N/A,FALSE,"NtwkG";#N/A,#N/A,FALSE,"EstgG";#N/A,#N/A,FALSE,"PEngG"}</definedName>
    <definedName name="qwsd" localSheetId="13" hidden="1">{#N/A,#N/A,FALSE,"SumG";#N/A,#N/A,FALSE,"ElecG";#N/A,#N/A,FALSE,"MechG";#N/A,#N/A,FALSE,"GeotG";#N/A,#N/A,FALSE,"PrcsG";#N/A,#N/A,FALSE,"TunnG";#N/A,#N/A,FALSE,"CivlG";#N/A,#N/A,FALSE,"NtwkG";#N/A,#N/A,FALSE,"EstgG";#N/A,#N/A,FALSE,"PEngG"}</definedName>
    <definedName name="qwsd" hidden="1">{#N/A,#N/A,FALSE,"SumG";#N/A,#N/A,FALSE,"ElecG";#N/A,#N/A,FALSE,"MechG";#N/A,#N/A,FALSE,"GeotG";#N/A,#N/A,FALSE,"PrcsG";#N/A,#N/A,FALSE,"TunnG";#N/A,#N/A,FALSE,"CivlG";#N/A,#N/A,FALSE,"NtwkG";#N/A,#N/A,FALSE,"EstgG";#N/A,#N/A,FALSE,"PEngG"}</definedName>
    <definedName name="qwsdfcv" localSheetId="5" hidden="1">{#N/A,#N/A,FALSE,"SumG";#N/A,#N/A,FALSE,"ElecG";#N/A,#N/A,FALSE,"MechG";#N/A,#N/A,FALSE,"GeotG";#N/A,#N/A,FALSE,"PrcsG";#N/A,#N/A,FALSE,"TunnG";#N/A,#N/A,FALSE,"CivlG";#N/A,#N/A,FALSE,"NtwkG";#N/A,#N/A,FALSE,"EstgG";#N/A,#N/A,FALSE,"PEngG"}</definedName>
    <definedName name="qwsdfcv" localSheetId="6" hidden="1">{#N/A,#N/A,FALSE,"SumG";#N/A,#N/A,FALSE,"ElecG";#N/A,#N/A,FALSE,"MechG";#N/A,#N/A,FALSE,"GeotG";#N/A,#N/A,FALSE,"PrcsG";#N/A,#N/A,FALSE,"TunnG";#N/A,#N/A,FALSE,"CivlG";#N/A,#N/A,FALSE,"NtwkG";#N/A,#N/A,FALSE,"EstgG";#N/A,#N/A,FALSE,"PEngG"}</definedName>
    <definedName name="qwsdfcv" localSheetId="3" hidden="1">{#N/A,#N/A,FALSE,"SumG";#N/A,#N/A,FALSE,"ElecG";#N/A,#N/A,FALSE,"MechG";#N/A,#N/A,FALSE,"GeotG";#N/A,#N/A,FALSE,"PrcsG";#N/A,#N/A,FALSE,"TunnG";#N/A,#N/A,FALSE,"CivlG";#N/A,#N/A,FALSE,"NtwkG";#N/A,#N/A,FALSE,"EstgG";#N/A,#N/A,FALSE,"PEngG"}</definedName>
    <definedName name="qwsdfcv" localSheetId="4" hidden="1">{#N/A,#N/A,FALSE,"SumG";#N/A,#N/A,FALSE,"ElecG";#N/A,#N/A,FALSE,"MechG";#N/A,#N/A,FALSE,"GeotG";#N/A,#N/A,FALSE,"PrcsG";#N/A,#N/A,FALSE,"TunnG";#N/A,#N/A,FALSE,"CivlG";#N/A,#N/A,FALSE,"NtwkG";#N/A,#N/A,FALSE,"EstgG";#N/A,#N/A,FALSE,"PEngG"}</definedName>
    <definedName name="qwsdfcv" localSheetId="13" hidden="1">{#N/A,#N/A,FALSE,"SumG";#N/A,#N/A,FALSE,"ElecG";#N/A,#N/A,FALSE,"MechG";#N/A,#N/A,FALSE,"GeotG";#N/A,#N/A,FALSE,"PrcsG";#N/A,#N/A,FALSE,"TunnG";#N/A,#N/A,FALSE,"CivlG";#N/A,#N/A,FALSE,"NtwkG";#N/A,#N/A,FALSE,"EstgG";#N/A,#N/A,FALSE,"PEngG"}</definedName>
    <definedName name="qwsdfcv" hidden="1">{#N/A,#N/A,FALSE,"SumG";#N/A,#N/A,FALSE,"ElecG";#N/A,#N/A,FALSE,"MechG";#N/A,#N/A,FALSE,"GeotG";#N/A,#N/A,FALSE,"PrcsG";#N/A,#N/A,FALSE,"TunnG";#N/A,#N/A,FALSE,"CivlG";#N/A,#N/A,FALSE,"NtwkG";#N/A,#N/A,FALSE,"EstgG";#N/A,#N/A,FALSE,"PEngG"}</definedName>
    <definedName name="rfgb" localSheetId="5" hidden="1">{#N/A,#N/A,FALSE,"SumG";#N/A,#N/A,FALSE,"ElecG";#N/A,#N/A,FALSE,"MechG";#N/A,#N/A,FALSE,"GeotG";#N/A,#N/A,FALSE,"PrcsG";#N/A,#N/A,FALSE,"TunnG";#N/A,#N/A,FALSE,"CivlG";#N/A,#N/A,FALSE,"NtwkG";#N/A,#N/A,FALSE,"EstgG";#N/A,#N/A,FALSE,"PEngG"}</definedName>
    <definedName name="rfgb" localSheetId="6" hidden="1">{#N/A,#N/A,FALSE,"SumG";#N/A,#N/A,FALSE,"ElecG";#N/A,#N/A,FALSE,"MechG";#N/A,#N/A,FALSE,"GeotG";#N/A,#N/A,FALSE,"PrcsG";#N/A,#N/A,FALSE,"TunnG";#N/A,#N/A,FALSE,"CivlG";#N/A,#N/A,FALSE,"NtwkG";#N/A,#N/A,FALSE,"EstgG";#N/A,#N/A,FALSE,"PEngG"}</definedName>
    <definedName name="rfgb" localSheetId="3" hidden="1">{#N/A,#N/A,FALSE,"SumG";#N/A,#N/A,FALSE,"ElecG";#N/A,#N/A,FALSE,"MechG";#N/A,#N/A,FALSE,"GeotG";#N/A,#N/A,FALSE,"PrcsG";#N/A,#N/A,FALSE,"TunnG";#N/A,#N/A,FALSE,"CivlG";#N/A,#N/A,FALSE,"NtwkG";#N/A,#N/A,FALSE,"EstgG";#N/A,#N/A,FALSE,"PEngG"}</definedName>
    <definedName name="rfgb" localSheetId="4" hidden="1">{#N/A,#N/A,FALSE,"SumG";#N/A,#N/A,FALSE,"ElecG";#N/A,#N/A,FALSE,"MechG";#N/A,#N/A,FALSE,"GeotG";#N/A,#N/A,FALSE,"PrcsG";#N/A,#N/A,FALSE,"TunnG";#N/A,#N/A,FALSE,"CivlG";#N/A,#N/A,FALSE,"NtwkG";#N/A,#N/A,FALSE,"EstgG";#N/A,#N/A,FALSE,"PEngG"}</definedName>
    <definedName name="rfgb" localSheetId="13" hidden="1">{#N/A,#N/A,FALSE,"SumG";#N/A,#N/A,FALSE,"ElecG";#N/A,#N/A,FALSE,"MechG";#N/A,#N/A,FALSE,"GeotG";#N/A,#N/A,FALSE,"PrcsG";#N/A,#N/A,FALSE,"TunnG";#N/A,#N/A,FALSE,"CivlG";#N/A,#N/A,FALSE,"NtwkG";#N/A,#N/A,FALSE,"EstgG";#N/A,#N/A,FALSE,"PEngG"}</definedName>
    <definedName name="rfgb" hidden="1">{#N/A,#N/A,FALSE,"SumG";#N/A,#N/A,FALSE,"ElecG";#N/A,#N/A,FALSE,"MechG";#N/A,#N/A,FALSE,"GeotG";#N/A,#N/A,FALSE,"PrcsG";#N/A,#N/A,FALSE,"TunnG";#N/A,#N/A,FALSE,"CivlG";#N/A,#N/A,FALSE,"NtwkG";#N/A,#N/A,FALSE,"EstgG";#N/A,#N/A,FALSE,"PEngG"}</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OBolsa" localSheetId="5" hidden="1">{#N/A,#N/A,FALSE,"SumD";#N/A,#N/A,FALSE,"ElecD";#N/A,#N/A,FALSE,"MechD";#N/A,#N/A,FALSE,"GeotD";#N/A,#N/A,FALSE,"PrcsD";#N/A,#N/A,FALSE,"TunnD";#N/A,#N/A,FALSE,"CivlD";#N/A,#N/A,FALSE,"NtwkD";#N/A,#N/A,FALSE,"EstgD";#N/A,#N/A,FALSE,"PEngD"}</definedName>
    <definedName name="ROBolsa" localSheetId="6" hidden="1">{#N/A,#N/A,FALSE,"SumD";#N/A,#N/A,FALSE,"ElecD";#N/A,#N/A,FALSE,"MechD";#N/A,#N/A,FALSE,"GeotD";#N/A,#N/A,FALSE,"PrcsD";#N/A,#N/A,FALSE,"TunnD";#N/A,#N/A,FALSE,"CivlD";#N/A,#N/A,FALSE,"NtwkD";#N/A,#N/A,FALSE,"EstgD";#N/A,#N/A,FALSE,"PEngD"}</definedName>
    <definedName name="ROBolsa" localSheetId="3" hidden="1">{#N/A,#N/A,FALSE,"SumD";#N/A,#N/A,FALSE,"ElecD";#N/A,#N/A,FALSE,"MechD";#N/A,#N/A,FALSE,"GeotD";#N/A,#N/A,FALSE,"PrcsD";#N/A,#N/A,FALSE,"TunnD";#N/A,#N/A,FALSE,"CivlD";#N/A,#N/A,FALSE,"NtwkD";#N/A,#N/A,FALSE,"EstgD";#N/A,#N/A,FALSE,"PEngD"}</definedName>
    <definedName name="ROBolsa" localSheetId="4" hidden="1">{#N/A,#N/A,FALSE,"SumD";#N/A,#N/A,FALSE,"ElecD";#N/A,#N/A,FALSE,"MechD";#N/A,#N/A,FALSE,"GeotD";#N/A,#N/A,FALSE,"PrcsD";#N/A,#N/A,FALSE,"TunnD";#N/A,#N/A,FALSE,"CivlD";#N/A,#N/A,FALSE,"NtwkD";#N/A,#N/A,FALSE,"EstgD";#N/A,#N/A,FALSE,"PEngD"}</definedName>
    <definedName name="ROBolsa" localSheetId="13" hidden="1">{#N/A,#N/A,FALSE,"SumD";#N/A,#N/A,FALSE,"ElecD";#N/A,#N/A,FALSE,"MechD";#N/A,#N/A,FALSE,"GeotD";#N/A,#N/A,FALSE,"PrcsD";#N/A,#N/A,FALSE,"TunnD";#N/A,#N/A,FALSE,"CivlD";#N/A,#N/A,FALSE,"NtwkD";#N/A,#N/A,FALSE,"EstgD";#N/A,#N/A,FALSE,"PEngD"}</definedName>
    <definedName name="ROBolsa" hidden="1">{#N/A,#N/A,FALSE,"SumD";#N/A,#N/A,FALSE,"ElecD";#N/A,#N/A,FALSE,"MechD";#N/A,#N/A,FALSE,"GeotD";#N/A,#N/A,FALSE,"PrcsD";#N/A,#N/A,FALSE,"TunnD";#N/A,#N/A,FALSE,"CivlD";#N/A,#N/A,FALSE,"NtwkD";#N/A,#N/A,FALSE,"EstgD";#N/A,#N/A,FALSE,"PEngD"}</definedName>
    <definedName name="rr" localSheetId="5" hidden="1">{#N/A,#N/A,FALSE,"SumD";#N/A,#N/A,FALSE,"ElecD";#N/A,#N/A,FALSE,"MechD";#N/A,#N/A,FALSE,"GeotD";#N/A,#N/A,FALSE,"PrcsD";#N/A,#N/A,FALSE,"TunnD";#N/A,#N/A,FALSE,"CivlD";#N/A,#N/A,FALSE,"NtwkD";#N/A,#N/A,FALSE,"EstgD";#N/A,#N/A,FALSE,"PEngD"}</definedName>
    <definedName name="rr" localSheetId="6" hidden="1">{#N/A,#N/A,FALSE,"SumD";#N/A,#N/A,FALSE,"ElecD";#N/A,#N/A,FALSE,"MechD";#N/A,#N/A,FALSE,"GeotD";#N/A,#N/A,FALSE,"PrcsD";#N/A,#N/A,FALSE,"TunnD";#N/A,#N/A,FALSE,"CivlD";#N/A,#N/A,FALSE,"NtwkD";#N/A,#N/A,FALSE,"EstgD";#N/A,#N/A,FALSE,"PEngD"}</definedName>
    <definedName name="rr" localSheetId="3" hidden="1">{#N/A,#N/A,FALSE,"SumD";#N/A,#N/A,FALSE,"ElecD";#N/A,#N/A,FALSE,"MechD";#N/A,#N/A,FALSE,"GeotD";#N/A,#N/A,FALSE,"PrcsD";#N/A,#N/A,FALSE,"TunnD";#N/A,#N/A,FALSE,"CivlD";#N/A,#N/A,FALSE,"NtwkD";#N/A,#N/A,FALSE,"EstgD";#N/A,#N/A,FALSE,"PEngD"}</definedName>
    <definedName name="rr" localSheetId="4"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ff" localSheetId="5" hidden="1">{#N/A,#N/A,FALSE,"SumG";#N/A,#N/A,FALSE,"ElecG";#N/A,#N/A,FALSE,"MechG";#N/A,#N/A,FALSE,"GeotG";#N/A,#N/A,FALSE,"PrcsG";#N/A,#N/A,FALSE,"TunnG";#N/A,#N/A,FALSE,"CivlG";#N/A,#N/A,FALSE,"NtwkG";#N/A,#N/A,FALSE,"EstgG";#N/A,#N/A,FALSE,"PEngG"}</definedName>
    <definedName name="rrrff" localSheetId="6" hidden="1">{#N/A,#N/A,FALSE,"SumG";#N/A,#N/A,FALSE,"ElecG";#N/A,#N/A,FALSE,"MechG";#N/A,#N/A,FALSE,"GeotG";#N/A,#N/A,FALSE,"PrcsG";#N/A,#N/A,FALSE,"TunnG";#N/A,#N/A,FALSE,"CivlG";#N/A,#N/A,FALSE,"NtwkG";#N/A,#N/A,FALSE,"EstgG";#N/A,#N/A,FALSE,"PEngG"}</definedName>
    <definedName name="rrrff" localSheetId="3" hidden="1">{#N/A,#N/A,FALSE,"SumG";#N/A,#N/A,FALSE,"ElecG";#N/A,#N/A,FALSE,"MechG";#N/A,#N/A,FALSE,"GeotG";#N/A,#N/A,FALSE,"PrcsG";#N/A,#N/A,FALSE,"TunnG";#N/A,#N/A,FALSE,"CivlG";#N/A,#N/A,FALSE,"NtwkG";#N/A,#N/A,FALSE,"EstgG";#N/A,#N/A,FALSE,"PEngG"}</definedName>
    <definedName name="rrrff" localSheetId="4" hidden="1">{#N/A,#N/A,FALSE,"SumG";#N/A,#N/A,FALSE,"ElecG";#N/A,#N/A,FALSE,"MechG";#N/A,#N/A,FALSE,"GeotG";#N/A,#N/A,FALSE,"PrcsG";#N/A,#N/A,FALSE,"TunnG";#N/A,#N/A,FALSE,"CivlG";#N/A,#N/A,FALSE,"NtwkG";#N/A,#N/A,FALSE,"EstgG";#N/A,#N/A,FALSE,"PEngG"}</definedName>
    <definedName name="rrrff" localSheetId="13" hidden="1">{#N/A,#N/A,FALSE,"SumG";#N/A,#N/A,FALSE,"ElecG";#N/A,#N/A,FALSE,"MechG";#N/A,#N/A,FALSE,"GeotG";#N/A,#N/A,FALSE,"PrcsG";#N/A,#N/A,FALSE,"TunnG";#N/A,#N/A,FALSE,"CivlG";#N/A,#N/A,FALSE,"NtwkG";#N/A,#N/A,FALSE,"EstgG";#N/A,#N/A,FALSE,"PEngG"}</definedName>
    <definedName name="rrrff" hidden="1">{#N/A,#N/A,FALSE,"SumG";#N/A,#N/A,FALSE,"ElecG";#N/A,#N/A,FALSE,"MechG";#N/A,#N/A,FALSE,"GeotG";#N/A,#N/A,FALSE,"PrcsG";#N/A,#N/A,FALSE,"TunnG";#N/A,#N/A,FALSE,"CivlG";#N/A,#N/A,FALSE,"NtwkG";#N/A,#N/A,FALSE,"EstgG";#N/A,#N/A,FALSE,"PEngG"}</definedName>
    <definedName name="rrrrrr" localSheetId="5" hidden="1">{#N/A,#N/A,FALSE,"SumD";#N/A,#N/A,FALSE,"ElecD";#N/A,#N/A,FALSE,"MechD";#N/A,#N/A,FALSE,"GeotD";#N/A,#N/A,FALSE,"PrcsD";#N/A,#N/A,FALSE,"TunnD";#N/A,#N/A,FALSE,"CivlD";#N/A,#N/A,FALSE,"NtwkD";#N/A,#N/A,FALSE,"EstgD";#N/A,#N/A,FALSE,"PEngD"}</definedName>
    <definedName name="rrrrrr" localSheetId="6" hidden="1">{#N/A,#N/A,FALSE,"SumD";#N/A,#N/A,FALSE,"ElecD";#N/A,#N/A,FALSE,"MechD";#N/A,#N/A,FALSE,"GeotD";#N/A,#N/A,FALSE,"PrcsD";#N/A,#N/A,FALSE,"TunnD";#N/A,#N/A,FALSE,"CivlD";#N/A,#N/A,FALSE,"NtwkD";#N/A,#N/A,FALSE,"EstgD";#N/A,#N/A,FALSE,"PEngD"}</definedName>
    <definedName name="rrrrrr" localSheetId="3" hidden="1">{#N/A,#N/A,FALSE,"SumD";#N/A,#N/A,FALSE,"ElecD";#N/A,#N/A,FALSE,"MechD";#N/A,#N/A,FALSE,"GeotD";#N/A,#N/A,FALSE,"PrcsD";#N/A,#N/A,FALSE,"TunnD";#N/A,#N/A,FALSE,"CivlD";#N/A,#N/A,FALSE,"NtwkD";#N/A,#N/A,FALSE,"EstgD";#N/A,#N/A,FALSE,"PEngD"}</definedName>
    <definedName name="rrrrrr" localSheetId="4" hidden="1">{#N/A,#N/A,FALSE,"SumD";#N/A,#N/A,FALSE,"ElecD";#N/A,#N/A,FALSE,"MechD";#N/A,#N/A,FALSE,"GeotD";#N/A,#N/A,FALSE,"PrcsD";#N/A,#N/A,FALSE,"TunnD";#N/A,#N/A,FALSE,"CivlD";#N/A,#N/A,FALSE,"NtwkD";#N/A,#N/A,FALSE,"EstgD";#N/A,#N/A,FALSE,"PEngD"}</definedName>
    <definedName name="rrrrrr" localSheetId="13" hidden="1">{#N/A,#N/A,FALSE,"SumD";#N/A,#N/A,FALSE,"ElecD";#N/A,#N/A,FALSE,"MechD";#N/A,#N/A,FALSE,"GeotD";#N/A,#N/A,FALSE,"PrcsD";#N/A,#N/A,FALSE,"TunnD";#N/A,#N/A,FALSE,"CivlD";#N/A,#N/A,FALSE,"NtwkD";#N/A,#N/A,FALSE,"EstgD";#N/A,#N/A,FALSE,"PEngD"}</definedName>
    <definedName name="rrrrrr" hidden="1">{#N/A,#N/A,FALSE,"SumD";#N/A,#N/A,FALSE,"ElecD";#N/A,#N/A,FALSE,"MechD";#N/A,#N/A,FALSE,"GeotD";#N/A,#N/A,FALSE,"PrcsD";#N/A,#N/A,FALSE,"TunnD";#N/A,#N/A,FALSE,"CivlD";#N/A,#N/A,FALSE,"NtwkD";#N/A,#N/A,FALSE,"EstgD";#N/A,#N/A,FALSE,"PEngD"}</definedName>
    <definedName name="rrrrrrr" localSheetId="5" hidden="1">{#N/A,#N/A,FALSE,"SumD";#N/A,#N/A,FALSE,"ElecD";#N/A,#N/A,FALSE,"MechD";#N/A,#N/A,FALSE,"GeotD";#N/A,#N/A,FALSE,"PrcsD";#N/A,#N/A,FALSE,"TunnD";#N/A,#N/A,FALSE,"CivlD";#N/A,#N/A,FALSE,"NtwkD";#N/A,#N/A,FALSE,"EstgD";#N/A,#N/A,FALSE,"PEngD"}</definedName>
    <definedName name="rrrrrrr" localSheetId="6" hidden="1">{#N/A,#N/A,FALSE,"SumD";#N/A,#N/A,FALSE,"ElecD";#N/A,#N/A,FALSE,"MechD";#N/A,#N/A,FALSE,"GeotD";#N/A,#N/A,FALSE,"PrcsD";#N/A,#N/A,FALSE,"TunnD";#N/A,#N/A,FALSE,"CivlD";#N/A,#N/A,FALSE,"NtwkD";#N/A,#N/A,FALSE,"EstgD";#N/A,#N/A,FALSE,"PEngD"}</definedName>
    <definedName name="rrrrrrr" localSheetId="3" hidden="1">{#N/A,#N/A,FALSE,"SumD";#N/A,#N/A,FALSE,"ElecD";#N/A,#N/A,FALSE,"MechD";#N/A,#N/A,FALSE,"GeotD";#N/A,#N/A,FALSE,"PrcsD";#N/A,#N/A,FALSE,"TunnD";#N/A,#N/A,FALSE,"CivlD";#N/A,#N/A,FALSE,"NtwkD";#N/A,#N/A,FALSE,"EstgD";#N/A,#N/A,FALSE,"PEngD"}</definedName>
    <definedName name="rrrrrrr" localSheetId="4" hidden="1">{#N/A,#N/A,FALSE,"SumD";#N/A,#N/A,FALSE,"ElecD";#N/A,#N/A,FALSE,"MechD";#N/A,#N/A,FALSE,"GeotD";#N/A,#N/A,FALSE,"PrcsD";#N/A,#N/A,FALSE,"TunnD";#N/A,#N/A,FALSE,"CivlD";#N/A,#N/A,FALSE,"NtwkD";#N/A,#N/A,FALSE,"EstgD";#N/A,#N/A,FALSE,"PEngD"}</definedName>
    <definedName name="rrrrrrr" localSheetId="13" hidden="1">{#N/A,#N/A,FALSE,"SumD";#N/A,#N/A,FALSE,"ElecD";#N/A,#N/A,FALSE,"MechD";#N/A,#N/A,FALSE,"GeotD";#N/A,#N/A,FALSE,"PrcsD";#N/A,#N/A,FALSE,"TunnD";#N/A,#N/A,FALSE,"CivlD";#N/A,#N/A,FALSE,"NtwkD";#N/A,#N/A,FALSE,"EstgD";#N/A,#N/A,FALSE,"PEngD"}</definedName>
    <definedName name="rrrrrrr" hidden="1">{#N/A,#N/A,FALSE,"SumD";#N/A,#N/A,FALSE,"ElecD";#N/A,#N/A,FALSE,"MechD";#N/A,#N/A,FALSE,"GeotD";#N/A,#N/A,FALSE,"PrcsD";#N/A,#N/A,FALSE,"TunnD";#N/A,#N/A,FALSE,"CivlD";#N/A,#N/A,FALSE,"NtwkD";#N/A,#N/A,FALSE,"EstgD";#N/A,#N/A,FALSE,"PEngD"}</definedName>
    <definedName name="RRRRRRRRRRRRRRRRRRRRRRRRRRRRRRRRRRRRRR" hidden="1">#REF!</definedName>
    <definedName name="RTYUIOP" localSheetId="5" hidden="1">{#N/A,#N/A,FALSE,"ACTIVO FIJO";#N/A,#N/A,FALSE,"COBRAR";#N/A,#N/A,FALSE,"AFILIADAS";#N/A,#N/A,FALSE,"PAGAR";#N/A,#N/A,FALSE,"INSTIT. FINANCIERAS";#N/A,#N/A,FALSE,"VALORES"}</definedName>
    <definedName name="RTYUIOP" localSheetId="6" hidden="1">{#N/A,#N/A,FALSE,"ACTIVO FIJO";#N/A,#N/A,FALSE,"COBRAR";#N/A,#N/A,FALSE,"AFILIADAS";#N/A,#N/A,FALSE,"PAGAR";#N/A,#N/A,FALSE,"INSTIT. FINANCIERAS";#N/A,#N/A,FALSE,"VALORES"}</definedName>
    <definedName name="RTYUIOP" localSheetId="4" hidden="1">{#N/A,#N/A,FALSE,"ACTIVO FIJO";#N/A,#N/A,FALSE,"COBRAR";#N/A,#N/A,FALSE,"AFILIADAS";#N/A,#N/A,FALSE,"PAGAR";#N/A,#N/A,FALSE,"INSTIT. FINANCIERAS";#N/A,#N/A,FALSE,"VALORES"}</definedName>
    <definedName name="RTYUIOP" localSheetId="13" hidden="1">{#N/A,#N/A,FALSE,"ACTIVO FIJO";#N/A,#N/A,FALSE,"COBRAR";#N/A,#N/A,FALSE,"AFILIADAS";#N/A,#N/A,FALSE,"PAGAR";#N/A,#N/A,FALSE,"INSTIT. FINANCIERAS";#N/A,#N/A,FALSE,"VALORES"}</definedName>
    <definedName name="RTYUIOP" hidden="1">{#N/A,#N/A,FALSE,"ACTIVO FIJO";#N/A,#N/A,FALSE,"COBRAR";#N/A,#N/A,FALSE,"AFILIADAS";#N/A,#N/A,FALSE,"PAGAR";#N/A,#N/A,FALSE,"INSTIT. FINANCIERAS";#N/A,#N/A,FALSE,"VALORES"}</definedName>
    <definedName name="RTYUIOP_1" localSheetId="5" hidden="1">{#N/A,#N/A,FALSE,"ACTIVO FIJO";#N/A,#N/A,FALSE,"COBRAR";#N/A,#N/A,FALSE,"AFILIADAS";#N/A,#N/A,FALSE,"PAGAR";#N/A,#N/A,FALSE,"INSTIT. FINANCIERAS";#N/A,#N/A,FALSE,"VALORES"}</definedName>
    <definedName name="RTYUIOP_1" localSheetId="6" hidden="1">{#N/A,#N/A,FALSE,"ACTIVO FIJO";#N/A,#N/A,FALSE,"COBRAR";#N/A,#N/A,FALSE,"AFILIADAS";#N/A,#N/A,FALSE,"PAGAR";#N/A,#N/A,FALSE,"INSTIT. FINANCIERAS";#N/A,#N/A,FALSE,"VALORES"}</definedName>
    <definedName name="RTYUIOP_1" localSheetId="4" hidden="1">{#N/A,#N/A,FALSE,"ACTIVO FIJO";#N/A,#N/A,FALSE,"COBRAR";#N/A,#N/A,FALSE,"AFILIADAS";#N/A,#N/A,FALSE,"PAGAR";#N/A,#N/A,FALSE,"INSTIT. FINANCIERAS";#N/A,#N/A,FALSE,"VALORES"}</definedName>
    <definedName name="RTYUIOP_1" localSheetId="13" hidden="1">{#N/A,#N/A,FALSE,"ACTIVO FIJO";#N/A,#N/A,FALSE,"COBRAR";#N/A,#N/A,FALSE,"AFILIADAS";#N/A,#N/A,FALSE,"PAGAR";#N/A,#N/A,FALSE,"INSTIT. FINANCIERAS";#N/A,#N/A,FALSE,"VALORES"}</definedName>
    <definedName name="RTYUIOP_1" hidden="1">{#N/A,#N/A,FALSE,"ACTIVO FIJO";#N/A,#N/A,FALSE,"COBRAR";#N/A,#N/A,FALSE,"AFILIADAS";#N/A,#N/A,FALSE,"PAGAR";#N/A,#N/A,FALSE,"INSTIT. FINANCIERAS";#N/A,#N/A,FALSE,"VALORES"}</definedName>
    <definedName name="SALUD" hidden="1">#REF!</definedName>
    <definedName name="sd" localSheetId="5" hidden="1">{#N/A,#N/A,FALSE,"SumG";#N/A,#N/A,FALSE,"ElecG";#N/A,#N/A,FALSE,"MechG";#N/A,#N/A,FALSE,"GeotG";#N/A,#N/A,FALSE,"PrcsG";#N/A,#N/A,FALSE,"TunnG";#N/A,#N/A,FALSE,"CivlG";#N/A,#N/A,FALSE,"NtwkG";#N/A,#N/A,FALSE,"EstgG";#N/A,#N/A,FALSE,"PEngG"}</definedName>
    <definedName name="sd" localSheetId="6" hidden="1">{#N/A,#N/A,FALSE,"SumG";#N/A,#N/A,FALSE,"ElecG";#N/A,#N/A,FALSE,"MechG";#N/A,#N/A,FALSE,"GeotG";#N/A,#N/A,FALSE,"PrcsG";#N/A,#N/A,FALSE,"TunnG";#N/A,#N/A,FALSE,"CivlG";#N/A,#N/A,FALSE,"NtwkG";#N/A,#N/A,FALSE,"EstgG";#N/A,#N/A,FALSE,"PEngG"}</definedName>
    <definedName name="sd" localSheetId="3" hidden="1">{#N/A,#N/A,FALSE,"SumG";#N/A,#N/A,FALSE,"ElecG";#N/A,#N/A,FALSE,"MechG";#N/A,#N/A,FALSE,"GeotG";#N/A,#N/A,FALSE,"PrcsG";#N/A,#N/A,FALSE,"TunnG";#N/A,#N/A,FALSE,"CivlG";#N/A,#N/A,FALSE,"NtwkG";#N/A,#N/A,FALSE,"EstgG";#N/A,#N/A,FALSE,"PEngG"}</definedName>
    <definedName name="sd" localSheetId="4"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csdc" hidden="1">#REF!</definedName>
    <definedName name="sdf_1" localSheetId="5" hidden="1">{#N/A,#N/A,FALSE,"ACTIVO FIJO";#N/A,#N/A,FALSE,"COBRAR";#N/A,#N/A,FALSE,"AFILIADAS";#N/A,#N/A,FALSE,"PAGAR";#N/A,#N/A,FALSE,"INSTIT. FINANCIERAS";#N/A,#N/A,FALSE,"VALORES"}</definedName>
    <definedName name="sdf_1" localSheetId="6" hidden="1">{#N/A,#N/A,FALSE,"ACTIVO FIJO";#N/A,#N/A,FALSE,"COBRAR";#N/A,#N/A,FALSE,"AFILIADAS";#N/A,#N/A,FALSE,"PAGAR";#N/A,#N/A,FALSE,"INSTIT. FINANCIERAS";#N/A,#N/A,FALSE,"VALORES"}</definedName>
    <definedName name="sdf_1" localSheetId="4" hidden="1">{#N/A,#N/A,FALSE,"ACTIVO FIJO";#N/A,#N/A,FALSE,"COBRAR";#N/A,#N/A,FALSE,"AFILIADAS";#N/A,#N/A,FALSE,"PAGAR";#N/A,#N/A,FALSE,"INSTIT. FINANCIERAS";#N/A,#N/A,FALSE,"VALORES"}</definedName>
    <definedName name="sdf_1" localSheetId="13" hidden="1">{#N/A,#N/A,FALSE,"ACTIVO FIJO";#N/A,#N/A,FALSE,"COBRAR";#N/A,#N/A,FALSE,"AFILIADAS";#N/A,#N/A,FALSE,"PAGAR";#N/A,#N/A,FALSE,"INSTIT. FINANCIERAS";#N/A,#N/A,FALSE,"VALORES"}</definedName>
    <definedName name="sdf_1" hidden="1">{#N/A,#N/A,FALSE,"ACTIVO FIJO";#N/A,#N/A,FALSE,"COBRAR";#N/A,#N/A,FALSE,"AFILIADAS";#N/A,#N/A,FALSE,"PAGAR";#N/A,#N/A,FALSE,"INSTIT. FINANCIERAS";#N/A,#N/A,FALSE,"VALORES"}</definedName>
    <definedName name="sdfrtg" localSheetId="5" hidden="1">{#N/A,#N/A,FALSE,"SumG";#N/A,#N/A,FALSE,"ElecG";#N/A,#N/A,FALSE,"MechG";#N/A,#N/A,FALSE,"GeotG";#N/A,#N/A,FALSE,"PrcsG";#N/A,#N/A,FALSE,"TunnG";#N/A,#N/A,FALSE,"CivlG";#N/A,#N/A,FALSE,"NtwkG";#N/A,#N/A,FALSE,"EstgG";#N/A,#N/A,FALSE,"PEngG"}</definedName>
    <definedName name="sdfrtg" localSheetId="6" hidden="1">{#N/A,#N/A,FALSE,"SumG";#N/A,#N/A,FALSE,"ElecG";#N/A,#N/A,FALSE,"MechG";#N/A,#N/A,FALSE,"GeotG";#N/A,#N/A,FALSE,"PrcsG";#N/A,#N/A,FALSE,"TunnG";#N/A,#N/A,FALSE,"CivlG";#N/A,#N/A,FALSE,"NtwkG";#N/A,#N/A,FALSE,"EstgG";#N/A,#N/A,FALSE,"PEngG"}</definedName>
    <definedName name="sdfrtg" localSheetId="3" hidden="1">{#N/A,#N/A,FALSE,"SumG";#N/A,#N/A,FALSE,"ElecG";#N/A,#N/A,FALSE,"MechG";#N/A,#N/A,FALSE,"GeotG";#N/A,#N/A,FALSE,"PrcsG";#N/A,#N/A,FALSE,"TunnG";#N/A,#N/A,FALSE,"CivlG";#N/A,#N/A,FALSE,"NtwkG";#N/A,#N/A,FALSE,"EstgG";#N/A,#N/A,FALSE,"PEngG"}</definedName>
    <definedName name="sdfrtg" localSheetId="4" hidden="1">{#N/A,#N/A,FALSE,"SumG";#N/A,#N/A,FALSE,"ElecG";#N/A,#N/A,FALSE,"MechG";#N/A,#N/A,FALSE,"GeotG";#N/A,#N/A,FALSE,"PrcsG";#N/A,#N/A,FALSE,"TunnG";#N/A,#N/A,FALSE,"CivlG";#N/A,#N/A,FALSE,"NtwkG";#N/A,#N/A,FALSE,"EstgG";#N/A,#N/A,FALSE,"PEngG"}</definedName>
    <definedName name="sdfrtg" localSheetId="13" hidden="1">{#N/A,#N/A,FALSE,"SumG";#N/A,#N/A,FALSE,"ElecG";#N/A,#N/A,FALSE,"MechG";#N/A,#N/A,FALSE,"GeotG";#N/A,#N/A,FALSE,"PrcsG";#N/A,#N/A,FALSE,"TunnG";#N/A,#N/A,FALSE,"CivlG";#N/A,#N/A,FALSE,"NtwkG";#N/A,#N/A,FALSE,"EstgG";#N/A,#N/A,FALSE,"PEngG"}</definedName>
    <definedName name="sdfrtg" hidden="1">{#N/A,#N/A,FALSE,"SumG";#N/A,#N/A,FALSE,"ElecG";#N/A,#N/A,FALSE,"MechG";#N/A,#N/A,FALSE,"GeotG";#N/A,#N/A,FALSE,"PrcsG";#N/A,#N/A,FALSE,"TunnG";#N/A,#N/A,FALSE,"CivlG";#N/A,#N/A,FALSE,"NtwkG";#N/A,#N/A,FALSE,"EstgG";#N/A,#N/A,FALSE,"PEngG"}</definedName>
    <definedName name="sdfs" localSheetId="5" hidden="1">{#N/A,#N/A,FALSE,"SumD";#N/A,#N/A,FALSE,"ElecD";#N/A,#N/A,FALSE,"MechD";#N/A,#N/A,FALSE,"GeotD";#N/A,#N/A,FALSE,"PrcsD";#N/A,#N/A,FALSE,"TunnD";#N/A,#N/A,FALSE,"CivlD";#N/A,#N/A,FALSE,"NtwkD";#N/A,#N/A,FALSE,"EstgD";#N/A,#N/A,FALSE,"PEngD"}</definedName>
    <definedName name="sdfs" localSheetId="6" hidden="1">{#N/A,#N/A,FALSE,"SumD";#N/A,#N/A,FALSE,"ElecD";#N/A,#N/A,FALSE,"MechD";#N/A,#N/A,FALSE,"GeotD";#N/A,#N/A,FALSE,"PrcsD";#N/A,#N/A,FALSE,"TunnD";#N/A,#N/A,FALSE,"CivlD";#N/A,#N/A,FALSE,"NtwkD";#N/A,#N/A,FALSE,"EstgD";#N/A,#N/A,FALSE,"PEngD"}</definedName>
    <definedName name="sdfs" localSheetId="4"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fsdf" hidden="1">#REF!</definedName>
    <definedName name="sdsffg" localSheetId="5" hidden="1">{#N/A,#N/A,FALSE,"SumG";#N/A,#N/A,FALSE,"ElecG";#N/A,#N/A,FALSE,"MechG";#N/A,#N/A,FALSE,"GeotG";#N/A,#N/A,FALSE,"PrcsG";#N/A,#N/A,FALSE,"TunnG";#N/A,#N/A,FALSE,"CivlG";#N/A,#N/A,FALSE,"NtwkG";#N/A,#N/A,FALSE,"EstgG";#N/A,#N/A,FALSE,"PEngG"}</definedName>
    <definedName name="sdsffg" localSheetId="6" hidden="1">{#N/A,#N/A,FALSE,"SumG";#N/A,#N/A,FALSE,"ElecG";#N/A,#N/A,FALSE,"MechG";#N/A,#N/A,FALSE,"GeotG";#N/A,#N/A,FALSE,"PrcsG";#N/A,#N/A,FALSE,"TunnG";#N/A,#N/A,FALSE,"CivlG";#N/A,#N/A,FALSE,"NtwkG";#N/A,#N/A,FALSE,"EstgG";#N/A,#N/A,FALSE,"PEngG"}</definedName>
    <definedName name="sdsffg" localSheetId="3" hidden="1">{#N/A,#N/A,FALSE,"SumG";#N/A,#N/A,FALSE,"ElecG";#N/A,#N/A,FALSE,"MechG";#N/A,#N/A,FALSE,"GeotG";#N/A,#N/A,FALSE,"PrcsG";#N/A,#N/A,FALSE,"TunnG";#N/A,#N/A,FALSE,"CivlG";#N/A,#N/A,FALSE,"NtwkG";#N/A,#N/A,FALSE,"EstgG";#N/A,#N/A,FALSE,"PEngG"}</definedName>
    <definedName name="sdsffg" localSheetId="4" hidden="1">{#N/A,#N/A,FALSE,"SumG";#N/A,#N/A,FALSE,"ElecG";#N/A,#N/A,FALSE,"MechG";#N/A,#N/A,FALSE,"GeotG";#N/A,#N/A,FALSE,"PrcsG";#N/A,#N/A,FALSE,"TunnG";#N/A,#N/A,FALSE,"CivlG";#N/A,#N/A,FALSE,"NtwkG";#N/A,#N/A,FALSE,"EstgG";#N/A,#N/A,FALSE,"PEngG"}</definedName>
    <definedName name="sdsffg" localSheetId="13" hidden="1">{#N/A,#N/A,FALSE,"SumG";#N/A,#N/A,FALSE,"ElecG";#N/A,#N/A,FALSE,"MechG";#N/A,#N/A,FALSE,"GeotG";#N/A,#N/A,FALSE,"PrcsG";#N/A,#N/A,FALSE,"TunnG";#N/A,#N/A,FALSE,"CivlG";#N/A,#N/A,FALSE,"NtwkG";#N/A,#N/A,FALSE,"EstgG";#N/A,#N/A,FALSE,"PEngG"}</definedName>
    <definedName name="sdsffg" hidden="1">{#N/A,#N/A,FALSE,"SumG";#N/A,#N/A,FALSE,"ElecG";#N/A,#N/A,FALSE,"MechG";#N/A,#N/A,FALSE,"GeotG";#N/A,#N/A,FALSE,"PrcsG";#N/A,#N/A,FALSE,"TunnG";#N/A,#N/A,FALSE,"CivlG";#N/A,#N/A,FALSE,"NtwkG";#N/A,#N/A,FALSE,"EstgG";#N/A,#N/A,FALSE,"PEngG"}</definedName>
    <definedName name="Sector1" localSheetId="5" hidden="1">{#N/A,#N/A,TRUE,"LP-CO2X"}</definedName>
    <definedName name="Sector1" localSheetId="6" hidden="1">{#N/A,#N/A,TRUE,"LP-CO2X"}</definedName>
    <definedName name="Sector1" localSheetId="4" hidden="1">{#N/A,#N/A,TRUE,"LP-CO2X"}</definedName>
    <definedName name="Sector1" localSheetId="13" hidden="1">{#N/A,#N/A,TRUE,"LP-CO2X"}</definedName>
    <definedName name="Sector1" hidden="1">{#N/A,#N/A,TRUE,"LP-CO2X"}</definedName>
    <definedName name="sencount" hidden="1">1</definedName>
    <definedName name="Services2" localSheetId="5" hidden="1">{#N/A,#N/A,FALSE,"Pricing";#N/A,#N/A,FALSE,"Summary";#N/A,#N/A,FALSE,"CompProd";#N/A,#N/A,FALSE,"CompJobhrs";#N/A,#N/A,FALSE,"Escalation";#N/A,#N/A,FALSE,"Contingency";#N/A,#N/A,FALSE,"GM";#N/A,#N/A,FALSE,"CompWage";#N/A,#N/A,FALSE,"costSum"}</definedName>
    <definedName name="Services2" localSheetId="6" hidden="1">{#N/A,#N/A,FALSE,"Pricing";#N/A,#N/A,FALSE,"Summary";#N/A,#N/A,FALSE,"CompProd";#N/A,#N/A,FALSE,"CompJobhrs";#N/A,#N/A,FALSE,"Escalation";#N/A,#N/A,FALSE,"Contingency";#N/A,#N/A,FALSE,"GM";#N/A,#N/A,FALSE,"CompWage";#N/A,#N/A,FALSE,"costSum"}</definedName>
    <definedName name="Services2" localSheetId="3" hidden="1">{#N/A,#N/A,FALSE,"Pricing";#N/A,#N/A,FALSE,"Summary";#N/A,#N/A,FALSE,"CompProd";#N/A,#N/A,FALSE,"CompJobhrs";#N/A,#N/A,FALSE,"Escalation";#N/A,#N/A,FALSE,"Contingency";#N/A,#N/A,FALSE,"GM";#N/A,#N/A,FALSE,"CompWage";#N/A,#N/A,FALSE,"costSum"}</definedName>
    <definedName name="Services2" localSheetId="4"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ffff" localSheetId="5" hidden="1">{#N/A,#N/A,FALSE,"SumD";#N/A,#N/A,FALSE,"ElecD";#N/A,#N/A,FALSE,"MechD";#N/A,#N/A,FALSE,"GeotD";#N/A,#N/A,FALSE,"PrcsD";#N/A,#N/A,FALSE,"TunnD";#N/A,#N/A,FALSE,"CivlD";#N/A,#N/A,FALSE,"NtwkD";#N/A,#N/A,FALSE,"EstgD";#N/A,#N/A,FALSE,"PEngD"}</definedName>
    <definedName name="sffff" localSheetId="6" hidden="1">{#N/A,#N/A,FALSE,"SumD";#N/A,#N/A,FALSE,"ElecD";#N/A,#N/A,FALSE,"MechD";#N/A,#N/A,FALSE,"GeotD";#N/A,#N/A,FALSE,"PrcsD";#N/A,#N/A,FALSE,"TunnD";#N/A,#N/A,FALSE,"CivlD";#N/A,#N/A,FALSE,"NtwkD";#N/A,#N/A,FALSE,"EstgD";#N/A,#N/A,FALSE,"PEngD"}</definedName>
    <definedName name="sffff" localSheetId="3" hidden="1">{#N/A,#N/A,FALSE,"SumD";#N/A,#N/A,FALSE,"ElecD";#N/A,#N/A,FALSE,"MechD";#N/A,#N/A,FALSE,"GeotD";#N/A,#N/A,FALSE,"PrcsD";#N/A,#N/A,FALSE,"TunnD";#N/A,#N/A,FALSE,"CivlD";#N/A,#N/A,FALSE,"NtwkD";#N/A,#N/A,FALSE,"EstgD";#N/A,#N/A,FALSE,"PEngD"}</definedName>
    <definedName name="sffff" localSheetId="4"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olver_adj" localSheetId="0" hidden="1">'RESUMEN ESCENARIO'!$E$38</definedName>
    <definedName name="solver_cvg" localSheetId="0" hidden="1">0.0001</definedName>
    <definedName name="solver_drv" localSheetId="0" hidden="1">2</definedName>
    <definedName name="solver_eng" localSheetId="0" hidden="1">1</definedName>
    <definedName name="solver_est" localSheetId="0" hidden="1">1</definedName>
    <definedName name="solver_itr" localSheetId="0" hidden="1">2147483647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nwt" localSheetId="0" hidden="1">1</definedName>
    <definedName name="solver_opt" localSheetId="0" hidden="1">'RESUMEN ESCENARIO'!$G$48</definedName>
    <definedName name="solver_pre" localSheetId="0" hidden="1">0.000001</definedName>
    <definedName name="solver_rbv" localSheetId="0" hidden="1">2</definedName>
    <definedName name="solver_rlx" localSheetId="0" hidden="1">2</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3</definedName>
    <definedName name="solver_val" localSheetId="0" hidden="1">41189481</definedName>
    <definedName name="solver_ver" localSheetId="0" hidden="1">3</definedName>
    <definedName name="SORT1" hidden="1">#REF!</definedName>
    <definedName name="SORT2" hidden="1">#REF!</definedName>
    <definedName name="SPORT1" hidden="1">#REF!</definedName>
    <definedName name="SS" hidden="1">#REF!</definedName>
    <definedName name="SSAS" hidden="1">#REF!</definedName>
    <definedName name="SSS" localSheetId="5" hidden="1">{"CONCABL1.1",#N/A,FALSE,"1.1.1a1.1.3 ACSR";"AISL1.2",#N/A,FALSE,"1.1.1a1.1.3 ACSR";"torr1.1.3",#N/A,FALSE,"1.1.1a1.1.3 ACSR";"cm1.2",#N/A,FALSE,"1.2 ACSR";"cm2.2",#N/A,FALSE,"1.2 ACSR";#N/A,#N/A,FALSE,"1.3 ACSR";#N/A,#N/A,FALSE,"2.1.1A2.1.3 ACAR";"ac2.1",#N/A,FALSE,"1.2 ACAR";"ac2.2",#N/A,FALSE,"1.2 ACAR";#N/A,#N/A,FALSE,"2.3 ACAR"}</definedName>
    <definedName name="SSS" localSheetId="6" hidden="1">{"CONCABL1.1",#N/A,FALSE,"1.1.1a1.1.3 ACSR";"AISL1.2",#N/A,FALSE,"1.1.1a1.1.3 ACSR";"torr1.1.3",#N/A,FALSE,"1.1.1a1.1.3 ACSR";"cm1.2",#N/A,FALSE,"1.2 ACSR";"cm2.2",#N/A,FALSE,"1.2 ACSR";#N/A,#N/A,FALSE,"1.3 ACSR";#N/A,#N/A,FALSE,"2.1.1A2.1.3 ACAR";"ac2.1",#N/A,FALSE,"1.2 ACAR";"ac2.2",#N/A,FALSE,"1.2 ACAR";#N/A,#N/A,FALSE,"2.3 ACAR"}</definedName>
    <definedName name="SSS" localSheetId="3" hidden="1">{"CONCABL1.1",#N/A,FALSE,"1.1.1a1.1.3 ACSR";"AISL1.2",#N/A,FALSE,"1.1.1a1.1.3 ACSR";"torr1.1.3",#N/A,FALSE,"1.1.1a1.1.3 ACSR";"cm1.2",#N/A,FALSE,"1.2 ACSR";"cm2.2",#N/A,FALSE,"1.2 ACSR";#N/A,#N/A,FALSE,"1.3 ACSR";#N/A,#N/A,FALSE,"2.1.1A2.1.3 ACAR";"ac2.1",#N/A,FALSE,"1.2 ACAR";"ac2.2",#N/A,FALSE,"1.2 ACAR";#N/A,#N/A,FALSE,"2.3 ACAR"}</definedName>
    <definedName name="SSS" localSheetId="4" hidden="1">{"CONCABL1.1",#N/A,FALSE,"1.1.1a1.1.3 ACSR";"AISL1.2",#N/A,FALSE,"1.1.1a1.1.3 ACSR";"torr1.1.3",#N/A,FALSE,"1.1.1a1.1.3 ACSR";"cm1.2",#N/A,FALSE,"1.2 ACSR";"cm2.2",#N/A,FALSE,"1.2 ACSR";#N/A,#N/A,FALSE,"1.3 ACSR";#N/A,#N/A,FALSE,"2.1.1A2.1.3 ACAR";"ac2.1",#N/A,FALSE,"1.2 ACAR";"ac2.2",#N/A,FALSE,"1.2 ACAR";#N/A,#N/A,FALSE,"2.3 ACAR"}</definedName>
    <definedName name="SSS" localSheetId="13" hidden="1">{"CONCABL1.1",#N/A,FALSE,"1.1.1a1.1.3 ACSR";"AISL1.2",#N/A,FALSE,"1.1.1a1.1.3 ACSR";"torr1.1.3",#N/A,FALSE,"1.1.1a1.1.3 ACSR";"cm1.2",#N/A,FALSE,"1.2 ACSR";"cm2.2",#N/A,FALSE,"1.2 ACSR";#N/A,#N/A,FALSE,"1.3 ACSR";#N/A,#N/A,FALSE,"2.1.1A2.1.3 ACAR";"ac2.1",#N/A,FALSE,"1.2 ACAR";"ac2.2",#N/A,FALSE,"1.2 ACAR";#N/A,#N/A,FALSE,"2.3 ACAR"}</definedName>
    <definedName name="SSS" hidden="1">{"CONCABL1.1",#N/A,FALSE,"1.1.1a1.1.3 ACSR";"AISL1.2",#N/A,FALSE,"1.1.1a1.1.3 ACSR";"torr1.1.3",#N/A,FALSE,"1.1.1a1.1.3 ACSR";"cm1.2",#N/A,FALSE,"1.2 ACSR";"cm2.2",#N/A,FALSE,"1.2 ACSR";#N/A,#N/A,FALSE,"1.3 ACSR";#N/A,#N/A,FALSE,"2.1.1A2.1.3 ACAR";"ac2.1",#N/A,FALSE,"1.2 ACAR";"ac2.2",#N/A,FALSE,"1.2 ACAR";#N/A,#N/A,FALSE,"2.3 ACAR"}</definedName>
    <definedName name="ssshhh" localSheetId="5" hidden="1">{#N/A,#N/A,FALSE,"SumG";#N/A,#N/A,FALSE,"ElecG";#N/A,#N/A,FALSE,"MechG";#N/A,#N/A,FALSE,"GeotG";#N/A,#N/A,FALSE,"PrcsG";#N/A,#N/A,FALSE,"TunnG";#N/A,#N/A,FALSE,"CivlG";#N/A,#N/A,FALSE,"NtwkG";#N/A,#N/A,FALSE,"EstgG";#N/A,#N/A,FALSE,"PEngG"}</definedName>
    <definedName name="ssshhh" localSheetId="6" hidden="1">{#N/A,#N/A,FALSE,"SumG";#N/A,#N/A,FALSE,"ElecG";#N/A,#N/A,FALSE,"MechG";#N/A,#N/A,FALSE,"GeotG";#N/A,#N/A,FALSE,"PrcsG";#N/A,#N/A,FALSE,"TunnG";#N/A,#N/A,FALSE,"CivlG";#N/A,#N/A,FALSE,"NtwkG";#N/A,#N/A,FALSE,"EstgG";#N/A,#N/A,FALSE,"PEngG"}</definedName>
    <definedName name="ssshhh" localSheetId="3" hidden="1">{#N/A,#N/A,FALSE,"SumG";#N/A,#N/A,FALSE,"ElecG";#N/A,#N/A,FALSE,"MechG";#N/A,#N/A,FALSE,"GeotG";#N/A,#N/A,FALSE,"PrcsG";#N/A,#N/A,FALSE,"TunnG";#N/A,#N/A,FALSE,"CivlG";#N/A,#N/A,FALSE,"NtwkG";#N/A,#N/A,FALSE,"EstgG";#N/A,#N/A,FALSE,"PEngG"}</definedName>
    <definedName name="ssshhh" localSheetId="4"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s" localSheetId="5" hidden="1">{#N/A,#N/A,FALSE,"SumD";#N/A,#N/A,FALSE,"ElecD";#N/A,#N/A,FALSE,"MechD";#N/A,#N/A,FALSE,"GeotD";#N/A,#N/A,FALSE,"PrcsD";#N/A,#N/A,FALSE,"TunnD";#N/A,#N/A,FALSE,"CivlD";#N/A,#N/A,FALSE,"NtwkD";#N/A,#N/A,FALSE,"EstgD";#N/A,#N/A,FALSE,"PEngD"}</definedName>
    <definedName name="sssss" localSheetId="6" hidden="1">{#N/A,#N/A,FALSE,"SumD";#N/A,#N/A,FALSE,"ElecD";#N/A,#N/A,FALSE,"MechD";#N/A,#N/A,FALSE,"GeotD";#N/A,#N/A,FALSE,"PrcsD";#N/A,#N/A,FALSE,"TunnD";#N/A,#N/A,FALSE,"CivlD";#N/A,#N/A,FALSE,"NtwkD";#N/A,#N/A,FALSE,"EstgD";#N/A,#N/A,FALSE,"PEngD"}</definedName>
    <definedName name="sssss" localSheetId="4" hidden="1">{#N/A,#N/A,FALSE,"SumD";#N/A,#N/A,FALSE,"ElecD";#N/A,#N/A,FALSE,"MechD";#N/A,#N/A,FALSE,"GeotD";#N/A,#N/A,FALSE,"PrcsD";#N/A,#N/A,FALSE,"TunnD";#N/A,#N/A,FALSE,"CivlD";#N/A,#N/A,FALSE,"NtwkD";#N/A,#N/A,FALSE,"EstgD";#N/A,#N/A,FALSE,"PEngD"}</definedName>
    <definedName name="sssss" localSheetId="13"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sssssss" localSheetId="5" hidden="1">{"CONCABL1.1",#N/A,FALSE,"1.1.1a1.1.3 ACSR";"AISL1.2",#N/A,FALSE,"1.1.1a1.1.3 ACSR";"torr1.1.3",#N/A,FALSE,"1.1.1a1.1.3 ACSR";"cm1.2",#N/A,FALSE,"1.2 ACSR";"cm2.2",#N/A,FALSE,"1.2 ACSR";#N/A,#N/A,FALSE,"1.3 ACSR";#N/A,#N/A,FALSE,"2.1.1A2.1.3 ACAR";"ac2.1",#N/A,FALSE,"1.2 ACAR";"ac2.2",#N/A,FALSE,"1.2 ACAR";#N/A,#N/A,FALSE,"2.3 ACAR"}</definedName>
    <definedName name="ssssssss" localSheetId="6" hidden="1">{"CONCABL1.1",#N/A,FALSE,"1.1.1a1.1.3 ACSR";"AISL1.2",#N/A,FALSE,"1.1.1a1.1.3 ACSR";"torr1.1.3",#N/A,FALSE,"1.1.1a1.1.3 ACSR";"cm1.2",#N/A,FALSE,"1.2 ACSR";"cm2.2",#N/A,FALSE,"1.2 ACSR";#N/A,#N/A,FALSE,"1.3 ACSR";#N/A,#N/A,FALSE,"2.1.1A2.1.3 ACAR";"ac2.1",#N/A,FALSE,"1.2 ACAR";"ac2.2",#N/A,FALSE,"1.2 ACAR";#N/A,#N/A,FALSE,"2.3 ACAR"}</definedName>
    <definedName name="ssssssss" localSheetId="3" hidden="1">{"CONCABL1.1",#N/A,FALSE,"1.1.1a1.1.3 ACSR";"AISL1.2",#N/A,FALSE,"1.1.1a1.1.3 ACSR";"torr1.1.3",#N/A,FALSE,"1.1.1a1.1.3 ACSR";"cm1.2",#N/A,FALSE,"1.2 ACSR";"cm2.2",#N/A,FALSE,"1.2 ACSR";#N/A,#N/A,FALSE,"1.3 ACSR";#N/A,#N/A,FALSE,"2.1.1A2.1.3 ACAR";"ac2.1",#N/A,FALSE,"1.2 ACAR";"ac2.2",#N/A,FALSE,"1.2 ACAR";#N/A,#N/A,FALSE,"2.3 ACAR"}</definedName>
    <definedName name="ssssssss" localSheetId="4" hidden="1">{"CONCABL1.1",#N/A,FALSE,"1.1.1a1.1.3 ACSR";"AISL1.2",#N/A,FALSE,"1.1.1a1.1.3 ACSR";"torr1.1.3",#N/A,FALSE,"1.1.1a1.1.3 ACSR";"cm1.2",#N/A,FALSE,"1.2 ACSR";"cm2.2",#N/A,FALSE,"1.2 ACSR";#N/A,#N/A,FALSE,"1.3 ACSR";#N/A,#N/A,FALSE,"2.1.1A2.1.3 ACAR";"ac2.1",#N/A,FALSE,"1.2 ACAR";"ac2.2",#N/A,FALSE,"1.2 ACAR";#N/A,#N/A,FALSE,"2.3 ACAR"}</definedName>
    <definedName name="ssssssss" localSheetId="13" hidden="1">{"CONCABL1.1",#N/A,FALSE,"1.1.1a1.1.3 ACSR";"AISL1.2",#N/A,FALSE,"1.1.1a1.1.3 ACSR";"torr1.1.3",#N/A,FALSE,"1.1.1a1.1.3 ACSR";"cm1.2",#N/A,FALSE,"1.2 ACSR";"cm2.2",#N/A,FALSE,"1.2 ACSR";#N/A,#N/A,FALSE,"1.3 ACSR";#N/A,#N/A,FALSE,"2.1.1A2.1.3 ACAR";"ac2.1",#N/A,FALSE,"1.2 ACAR";"ac2.2",#N/A,FALSE,"1.2 ACAR";#N/A,#N/A,FALSE,"2.3 ACAR"}</definedName>
    <definedName name="ssssssss" hidden="1">{"CONCABL1.1",#N/A,FALSE,"1.1.1a1.1.3 ACSR";"AISL1.2",#N/A,FALSE,"1.1.1a1.1.3 ACSR";"torr1.1.3",#N/A,FALSE,"1.1.1a1.1.3 ACSR";"cm1.2",#N/A,FALSE,"1.2 ACSR";"cm2.2",#N/A,FALSE,"1.2 ACSR";#N/A,#N/A,FALSE,"1.3 ACSR";#N/A,#N/A,FALSE,"2.1.1A2.1.3 ACAR";"ac2.1",#N/A,FALSE,"1.2 ACAR";"ac2.2",#N/A,FALSE,"1.2 ACAR";#N/A,#N/A,FALSE,"2.3 ACAR"}</definedName>
    <definedName name="SUM_DEP" localSheetId="5" hidden="1">{"CONCABL1.1",#N/A,FALSE,"1.1.1a1.1.3 ACSR";"AISL1.2",#N/A,FALSE,"1.1.1a1.1.3 ACSR";"torr1.1.3",#N/A,FALSE,"1.1.1a1.1.3 ACSR";"cm1.2",#N/A,FALSE,"1.2 ACSR";"cm2.2",#N/A,FALSE,"1.2 ACSR";#N/A,#N/A,FALSE,"1.3 ACSR";#N/A,#N/A,FALSE,"2.1.1A2.1.3 ACAR";"ac2.1",#N/A,FALSE,"1.2 ACAR";"ac2.2",#N/A,FALSE,"1.2 ACAR";#N/A,#N/A,FALSE,"2.3 ACAR"}</definedName>
    <definedName name="SUM_DEP" localSheetId="6" hidden="1">{"CONCABL1.1",#N/A,FALSE,"1.1.1a1.1.3 ACSR";"AISL1.2",#N/A,FALSE,"1.1.1a1.1.3 ACSR";"torr1.1.3",#N/A,FALSE,"1.1.1a1.1.3 ACSR";"cm1.2",#N/A,FALSE,"1.2 ACSR";"cm2.2",#N/A,FALSE,"1.2 ACSR";#N/A,#N/A,FALSE,"1.3 ACSR";#N/A,#N/A,FALSE,"2.1.1A2.1.3 ACAR";"ac2.1",#N/A,FALSE,"1.2 ACAR";"ac2.2",#N/A,FALSE,"1.2 ACAR";#N/A,#N/A,FALSE,"2.3 ACAR"}</definedName>
    <definedName name="SUM_DEP" localSheetId="3" hidden="1">{"CONCABL1.1",#N/A,FALSE,"1.1.1a1.1.3 ACSR";"AISL1.2",#N/A,FALSE,"1.1.1a1.1.3 ACSR";"torr1.1.3",#N/A,FALSE,"1.1.1a1.1.3 ACSR";"cm1.2",#N/A,FALSE,"1.2 ACSR";"cm2.2",#N/A,FALSE,"1.2 ACSR";#N/A,#N/A,FALSE,"1.3 ACSR";#N/A,#N/A,FALSE,"2.1.1A2.1.3 ACAR";"ac2.1",#N/A,FALSE,"1.2 ACAR";"ac2.2",#N/A,FALSE,"1.2 ACAR";#N/A,#N/A,FALSE,"2.3 ACAR"}</definedName>
    <definedName name="SUM_DEP" localSheetId="4" hidden="1">{"CONCABL1.1",#N/A,FALSE,"1.1.1a1.1.3 ACSR";"AISL1.2",#N/A,FALSE,"1.1.1a1.1.3 ACSR";"torr1.1.3",#N/A,FALSE,"1.1.1a1.1.3 ACSR";"cm1.2",#N/A,FALSE,"1.2 ACSR";"cm2.2",#N/A,FALSE,"1.2 ACSR";#N/A,#N/A,FALSE,"1.3 ACSR";#N/A,#N/A,FALSE,"2.1.1A2.1.3 ACAR";"ac2.1",#N/A,FALSE,"1.2 ACAR";"ac2.2",#N/A,FALSE,"1.2 ACAR";#N/A,#N/A,FALSE,"2.3 ACAR"}</definedName>
    <definedName name="SUM_DEP" localSheetId="13" hidden="1">{"CONCABL1.1",#N/A,FALSE,"1.1.1a1.1.3 ACSR";"AISL1.2",#N/A,FALSE,"1.1.1a1.1.3 ACSR";"torr1.1.3",#N/A,FALSE,"1.1.1a1.1.3 ACSR";"cm1.2",#N/A,FALSE,"1.2 ACSR";"cm2.2",#N/A,FALSE,"1.2 ACSR";#N/A,#N/A,FALSE,"1.3 ACSR";#N/A,#N/A,FALSE,"2.1.1A2.1.3 ACAR";"ac2.1",#N/A,FALSE,"1.2 ACAR";"ac2.2",#N/A,FALSE,"1.2 ACAR";#N/A,#N/A,FALSE,"2.3 ACAR"}</definedName>
    <definedName name="SUM_DEP" hidden="1">{"CONCABL1.1",#N/A,FALSE,"1.1.1a1.1.3 ACSR";"AISL1.2",#N/A,FALSE,"1.1.1a1.1.3 ACSR";"torr1.1.3",#N/A,FALSE,"1.1.1a1.1.3 ACSR";"cm1.2",#N/A,FALSE,"1.2 ACSR";"cm2.2",#N/A,FALSE,"1.2 ACSR";#N/A,#N/A,FALSE,"1.3 ACSR";#N/A,#N/A,FALSE,"2.1.1A2.1.3 ACAR";"ac2.1",#N/A,FALSE,"1.2 ACAR";"ac2.2",#N/A,FALSE,"1.2 ACAR";#N/A,#N/A,FALSE,"2.3 ACAR"}</definedName>
    <definedName name="SWEE" hidden="1">#REF!</definedName>
    <definedName name="SWFE" hidden="1">#REF!</definedName>
    <definedName name="T_1" localSheetId="5" hidden="1">{#N/A,#N/A,FALSE,"ACTIVO FIJO";#N/A,#N/A,FALSE,"COBRAR";#N/A,#N/A,FALSE,"AFILIADAS";#N/A,#N/A,FALSE,"PAGAR";#N/A,#N/A,FALSE,"INSTIT. FINANCIERAS";#N/A,#N/A,FALSE,"VALORES"}</definedName>
    <definedName name="T_1" localSheetId="6" hidden="1">{#N/A,#N/A,FALSE,"ACTIVO FIJO";#N/A,#N/A,FALSE,"COBRAR";#N/A,#N/A,FALSE,"AFILIADAS";#N/A,#N/A,FALSE,"PAGAR";#N/A,#N/A,FALSE,"INSTIT. FINANCIERAS";#N/A,#N/A,FALSE,"VALORES"}</definedName>
    <definedName name="T_1" localSheetId="4" hidden="1">{#N/A,#N/A,FALSE,"ACTIVO FIJO";#N/A,#N/A,FALSE,"COBRAR";#N/A,#N/A,FALSE,"AFILIADAS";#N/A,#N/A,FALSE,"PAGAR";#N/A,#N/A,FALSE,"INSTIT. FINANCIERAS";#N/A,#N/A,FALSE,"VALORES"}</definedName>
    <definedName name="T_1" localSheetId="13" hidden="1">{#N/A,#N/A,FALSE,"ACTIVO FIJO";#N/A,#N/A,FALSE,"COBRAR";#N/A,#N/A,FALSE,"AFILIADAS";#N/A,#N/A,FALSE,"PAGAR";#N/A,#N/A,FALSE,"INSTIT. FINANCIERAS";#N/A,#N/A,FALSE,"VALORES"}</definedName>
    <definedName name="T_1" hidden="1">{#N/A,#N/A,FALSE,"ACTIVO FIJO";#N/A,#N/A,FALSE,"COBRAR";#N/A,#N/A,FALSE,"AFILIADAS";#N/A,#N/A,FALSE,"PAGAR";#N/A,#N/A,FALSE,"INSTIT. FINANCIERAS";#N/A,#N/A,FALSE,"VALORES"}</definedName>
    <definedName name="TABIQUERIA" localSheetId="5" hidden="1">{"'resumen'!$A$1:$D$42"}</definedName>
    <definedName name="TABIQUERIA" localSheetId="6" hidden="1">{"'resumen'!$A$1:$D$42"}</definedName>
    <definedName name="TABIQUERIA" localSheetId="4" hidden="1">{"'resumen'!$A$1:$D$42"}</definedName>
    <definedName name="TABIQUERIA" localSheetId="13" hidden="1">{"'resumen'!$A$1:$D$42"}</definedName>
    <definedName name="TABIQUERIA" hidden="1">{"'resumen'!$A$1:$D$42"}</definedName>
    <definedName name="Tanques" localSheetId="5" hidden="1">{#N/A,#N/A,TRUE,"1842CWN0"}</definedName>
    <definedName name="Tanques" localSheetId="6" hidden="1">{#N/A,#N/A,TRUE,"1842CWN0"}</definedName>
    <definedName name="Tanques" localSheetId="3" hidden="1">{#N/A,#N/A,TRUE,"1842CWN0"}</definedName>
    <definedName name="Tanques" localSheetId="4" hidden="1">{#N/A,#N/A,TRUE,"1842CWN0"}</definedName>
    <definedName name="Tanques" localSheetId="13" hidden="1">{#N/A,#N/A,TRUE,"1842CWN0"}</definedName>
    <definedName name="Tanques" hidden="1">{#N/A,#N/A,TRUE,"1842CWN0"}</definedName>
    <definedName name="TC">'RESUMEN ESCENARIO'!$F$6</definedName>
    <definedName name="tdjytjytjy" hidden="1">#REF!</definedName>
    <definedName name="test" localSheetId="5" hidden="1">{#N/A,#N/A,FALSE,"Pricing";#N/A,#N/A,FALSE,"Summary";#N/A,#N/A,FALSE,"CompProd";#N/A,#N/A,FALSE,"CompJobhrs";#N/A,#N/A,FALSE,"Escalation";#N/A,#N/A,FALSE,"Contingency";#N/A,#N/A,FALSE,"GM";#N/A,#N/A,FALSE,"CompWage";#N/A,#N/A,FALSE,"costSum"}</definedName>
    <definedName name="test" localSheetId="6" hidden="1">{#N/A,#N/A,FALSE,"Pricing";#N/A,#N/A,FALSE,"Summary";#N/A,#N/A,FALSE,"CompProd";#N/A,#N/A,FALSE,"CompJobhrs";#N/A,#N/A,FALSE,"Escalation";#N/A,#N/A,FALSE,"Contingency";#N/A,#N/A,FALSE,"GM";#N/A,#N/A,FALSE,"CompWage";#N/A,#N/A,FALSE,"costSum"}</definedName>
    <definedName name="test" localSheetId="3" hidden="1">{#N/A,#N/A,FALSE,"Pricing";#N/A,#N/A,FALSE,"Summary";#N/A,#N/A,FALSE,"CompProd";#N/A,#N/A,FALSE,"CompJobhrs";#N/A,#N/A,FALSE,"Escalation";#N/A,#N/A,FALSE,"Contingency";#N/A,#N/A,FALSE,"GM";#N/A,#N/A,FALSE,"CompWage";#N/A,#N/A,FALSE,"costSum"}</definedName>
    <definedName name="test" localSheetId="4" hidden="1">{#N/A,#N/A,FALSE,"Pricing";#N/A,#N/A,FALSE,"Summary";#N/A,#N/A,FALSE,"CompProd";#N/A,#N/A,FALSE,"CompJobhrs";#N/A,#N/A,FALSE,"Escalation";#N/A,#N/A,FALSE,"Contingency";#N/A,#N/A,FALSE,"GM";#N/A,#N/A,FALSE,"CompWage";#N/A,#N/A,FALSE,"costSum"}</definedName>
    <definedName name="test" localSheetId="13"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extRefCopyRangeCount" hidden="1">4</definedName>
    <definedName name="tghy" localSheetId="5" hidden="1">{#N/A,#N/A,FALSE,"SumG";#N/A,#N/A,FALSE,"ElecG";#N/A,#N/A,FALSE,"MechG";#N/A,#N/A,FALSE,"GeotG";#N/A,#N/A,FALSE,"PrcsG";#N/A,#N/A,FALSE,"TunnG";#N/A,#N/A,FALSE,"CivlG";#N/A,#N/A,FALSE,"NtwkG";#N/A,#N/A,FALSE,"EstgG";#N/A,#N/A,FALSE,"PEngG"}</definedName>
    <definedName name="tghy" localSheetId="6" hidden="1">{#N/A,#N/A,FALSE,"SumG";#N/A,#N/A,FALSE,"ElecG";#N/A,#N/A,FALSE,"MechG";#N/A,#N/A,FALSE,"GeotG";#N/A,#N/A,FALSE,"PrcsG";#N/A,#N/A,FALSE,"TunnG";#N/A,#N/A,FALSE,"CivlG";#N/A,#N/A,FALSE,"NtwkG";#N/A,#N/A,FALSE,"EstgG";#N/A,#N/A,FALSE,"PEngG"}</definedName>
    <definedName name="tghy" localSheetId="3" hidden="1">{#N/A,#N/A,FALSE,"SumG";#N/A,#N/A,FALSE,"ElecG";#N/A,#N/A,FALSE,"MechG";#N/A,#N/A,FALSE,"GeotG";#N/A,#N/A,FALSE,"PrcsG";#N/A,#N/A,FALSE,"TunnG";#N/A,#N/A,FALSE,"CivlG";#N/A,#N/A,FALSE,"NtwkG";#N/A,#N/A,FALSE,"EstgG";#N/A,#N/A,FALSE,"PEngG"}</definedName>
    <definedName name="tghy" localSheetId="4" hidden="1">{#N/A,#N/A,FALSE,"SumG";#N/A,#N/A,FALSE,"ElecG";#N/A,#N/A,FALSE,"MechG";#N/A,#N/A,FALSE,"GeotG";#N/A,#N/A,FALSE,"PrcsG";#N/A,#N/A,FALSE,"TunnG";#N/A,#N/A,FALSE,"CivlG";#N/A,#N/A,FALSE,"NtwkG";#N/A,#N/A,FALSE,"EstgG";#N/A,#N/A,FALSE,"PEngG"}</definedName>
    <definedName name="tghy" localSheetId="13" hidden="1">{#N/A,#N/A,FALSE,"SumG";#N/A,#N/A,FALSE,"ElecG";#N/A,#N/A,FALSE,"MechG";#N/A,#N/A,FALSE,"GeotG";#N/A,#N/A,FALSE,"PrcsG";#N/A,#N/A,FALSE,"TunnG";#N/A,#N/A,FALSE,"CivlG";#N/A,#N/A,FALSE,"NtwkG";#N/A,#N/A,FALSE,"EstgG";#N/A,#N/A,FALSE,"PEngG"}</definedName>
    <definedName name="tghy" hidden="1">{#N/A,#N/A,FALSE,"SumG";#N/A,#N/A,FALSE,"ElecG";#N/A,#N/A,FALSE,"MechG";#N/A,#N/A,FALSE,"GeotG";#N/A,#N/A,FALSE,"PrcsG";#N/A,#N/A,FALSE,"TunnG";#N/A,#N/A,FALSE,"CivlG";#N/A,#N/A,FALSE,"NtwkG";#N/A,#N/A,FALSE,"EstgG";#N/A,#N/A,FALSE,"PEngG"}</definedName>
    <definedName name="Toquepala" localSheetId="5" hidden="1">{#N/A,#N/A,FALSE,"Matrix";#N/A,#N/A,FALSE,"Executive";#N/A,#N/A,FALSE,"Summary"}</definedName>
    <definedName name="Toquepala" localSheetId="6" hidden="1">{#N/A,#N/A,FALSE,"Matrix";#N/A,#N/A,FALSE,"Executive";#N/A,#N/A,FALSE,"Summary"}</definedName>
    <definedName name="Toquepala" localSheetId="4" hidden="1">{#N/A,#N/A,FALSE,"Matrix";#N/A,#N/A,FALSE,"Executive";#N/A,#N/A,FALSE,"Summary"}</definedName>
    <definedName name="Toquepala" localSheetId="13" hidden="1">{#N/A,#N/A,FALSE,"Matrix";#N/A,#N/A,FALSE,"Executive";#N/A,#N/A,FALSE,"Summary"}</definedName>
    <definedName name="Toquepala" hidden="1">{#N/A,#N/A,FALSE,"Matrix";#N/A,#N/A,FALSE,"Executive";#N/A,#N/A,FALSE,"Summary"}</definedName>
    <definedName name="tpyoui" localSheetId="5" hidden="1">{#N/A,#N/A,FALSE,"ACTIVO FIJO";#N/A,#N/A,FALSE,"COBRAR";#N/A,#N/A,FALSE,"AFILIADAS";#N/A,#N/A,FALSE,"PAGAR";#N/A,#N/A,FALSE,"INSTIT. FINANCIERAS";#N/A,#N/A,FALSE,"VALORES"}</definedName>
    <definedName name="tpyoui" localSheetId="6" hidden="1">{#N/A,#N/A,FALSE,"ACTIVO FIJO";#N/A,#N/A,FALSE,"COBRAR";#N/A,#N/A,FALSE,"AFILIADAS";#N/A,#N/A,FALSE,"PAGAR";#N/A,#N/A,FALSE,"INSTIT. FINANCIERAS";#N/A,#N/A,FALSE,"VALORES"}</definedName>
    <definedName name="tpyoui" localSheetId="4" hidden="1">{#N/A,#N/A,FALSE,"ACTIVO FIJO";#N/A,#N/A,FALSE,"COBRAR";#N/A,#N/A,FALSE,"AFILIADAS";#N/A,#N/A,FALSE,"PAGAR";#N/A,#N/A,FALSE,"INSTIT. FINANCIERAS";#N/A,#N/A,FALSE,"VALORES"}</definedName>
    <definedName name="tpyoui" localSheetId="13" hidden="1">{#N/A,#N/A,FALSE,"ACTIVO FIJO";#N/A,#N/A,FALSE,"COBRAR";#N/A,#N/A,FALSE,"AFILIADAS";#N/A,#N/A,FALSE,"PAGAR";#N/A,#N/A,FALSE,"INSTIT. FINANCIERAS";#N/A,#N/A,FALSE,"VALORES"}</definedName>
    <definedName name="tpyoui" hidden="1">{#N/A,#N/A,FALSE,"ACTIVO FIJO";#N/A,#N/A,FALSE,"COBRAR";#N/A,#N/A,FALSE,"AFILIADAS";#N/A,#N/A,FALSE,"PAGAR";#N/A,#N/A,FALSE,"INSTIT. FINANCIERAS";#N/A,#N/A,FALSE,"VALORES"}</definedName>
    <definedName name="tpyoui_1" localSheetId="5" hidden="1">{#N/A,#N/A,FALSE,"ACTIVO FIJO";#N/A,#N/A,FALSE,"COBRAR";#N/A,#N/A,FALSE,"AFILIADAS";#N/A,#N/A,FALSE,"PAGAR";#N/A,#N/A,FALSE,"INSTIT. FINANCIERAS";#N/A,#N/A,FALSE,"VALORES"}</definedName>
    <definedName name="tpyoui_1" localSheetId="6" hidden="1">{#N/A,#N/A,FALSE,"ACTIVO FIJO";#N/A,#N/A,FALSE,"COBRAR";#N/A,#N/A,FALSE,"AFILIADAS";#N/A,#N/A,FALSE,"PAGAR";#N/A,#N/A,FALSE,"INSTIT. FINANCIERAS";#N/A,#N/A,FALSE,"VALORES"}</definedName>
    <definedName name="tpyoui_1" localSheetId="4" hidden="1">{#N/A,#N/A,FALSE,"ACTIVO FIJO";#N/A,#N/A,FALSE,"COBRAR";#N/A,#N/A,FALSE,"AFILIADAS";#N/A,#N/A,FALSE,"PAGAR";#N/A,#N/A,FALSE,"INSTIT. FINANCIERAS";#N/A,#N/A,FALSE,"VALORES"}</definedName>
    <definedName name="tpyoui_1" localSheetId="13" hidden="1">{#N/A,#N/A,FALSE,"ACTIVO FIJO";#N/A,#N/A,FALSE,"COBRAR";#N/A,#N/A,FALSE,"AFILIADAS";#N/A,#N/A,FALSE,"PAGAR";#N/A,#N/A,FALSE,"INSTIT. FINANCIERAS";#N/A,#N/A,FALSE,"VALORES"}</definedName>
    <definedName name="tpyoui_1" hidden="1">{#N/A,#N/A,FALSE,"ACTIVO FIJO";#N/A,#N/A,FALSE,"COBRAR";#N/A,#N/A,FALSE,"AFILIADAS";#N/A,#N/A,FALSE,"PAGAR";#N/A,#N/A,FALSE,"INSTIT. FINANCIERAS";#N/A,#N/A,FALSE,"VALORES"}</definedName>
    <definedName name="trecca" hidden="1">#REF!</definedName>
    <definedName name="trru" hidden="1">#REF!</definedName>
    <definedName name="ttggg" localSheetId="5" hidden="1">{#N/A,#N/A,FALSE,"SumD";#N/A,#N/A,FALSE,"ElecD";#N/A,#N/A,FALSE,"MechD";#N/A,#N/A,FALSE,"GeotD";#N/A,#N/A,FALSE,"PrcsD";#N/A,#N/A,FALSE,"TunnD";#N/A,#N/A,FALSE,"CivlD";#N/A,#N/A,FALSE,"NtwkD";#N/A,#N/A,FALSE,"EstgD";#N/A,#N/A,FALSE,"PEngD"}</definedName>
    <definedName name="ttggg" localSheetId="6" hidden="1">{#N/A,#N/A,FALSE,"SumD";#N/A,#N/A,FALSE,"ElecD";#N/A,#N/A,FALSE,"MechD";#N/A,#N/A,FALSE,"GeotD";#N/A,#N/A,FALSE,"PrcsD";#N/A,#N/A,FALSE,"TunnD";#N/A,#N/A,FALSE,"CivlD";#N/A,#N/A,FALSE,"NtwkD";#N/A,#N/A,FALSE,"EstgD";#N/A,#N/A,FALSE,"PEngD"}</definedName>
    <definedName name="ttggg" localSheetId="3" hidden="1">{#N/A,#N/A,FALSE,"SumD";#N/A,#N/A,FALSE,"ElecD";#N/A,#N/A,FALSE,"MechD";#N/A,#N/A,FALSE,"GeotD";#N/A,#N/A,FALSE,"PrcsD";#N/A,#N/A,FALSE,"TunnD";#N/A,#N/A,FALSE,"CivlD";#N/A,#N/A,FALSE,"NtwkD";#N/A,#N/A,FALSE,"EstgD";#N/A,#N/A,FALSE,"PEngD"}</definedName>
    <definedName name="ttggg" localSheetId="4" hidden="1">{#N/A,#N/A,FALSE,"SumD";#N/A,#N/A,FALSE,"ElecD";#N/A,#N/A,FALSE,"MechD";#N/A,#N/A,FALSE,"GeotD";#N/A,#N/A,FALSE,"PrcsD";#N/A,#N/A,FALSE,"TunnD";#N/A,#N/A,FALSE,"CivlD";#N/A,#N/A,FALSE,"NtwkD";#N/A,#N/A,FALSE,"EstgD";#N/A,#N/A,FALSE,"PEngD"}</definedName>
    <definedName name="ttggg" localSheetId="13" hidden="1">{#N/A,#N/A,FALSE,"SumD";#N/A,#N/A,FALSE,"ElecD";#N/A,#N/A,FALSE,"MechD";#N/A,#N/A,FALSE,"GeotD";#N/A,#N/A,FALSE,"PrcsD";#N/A,#N/A,FALSE,"TunnD";#N/A,#N/A,FALSE,"CivlD";#N/A,#N/A,FALSE,"NtwkD";#N/A,#N/A,FALSE,"EstgD";#N/A,#N/A,FALSE,"PEngD"}</definedName>
    <definedName name="ttggg" hidden="1">{#N/A,#N/A,FALSE,"SumD";#N/A,#N/A,FALSE,"ElecD";#N/A,#N/A,FALSE,"MechD";#N/A,#N/A,FALSE,"GeotD";#N/A,#N/A,FALSE,"PrcsD";#N/A,#N/A,FALSE,"TunnD";#N/A,#N/A,FALSE,"CivlD";#N/A,#N/A,FALSE,"NtwkD";#N/A,#N/A,FALSE,"EstgD";#N/A,#N/A,FALSE,"PEngD"}</definedName>
    <definedName name="tttggg" localSheetId="5" hidden="1">{#N/A,#N/A,FALSE,"SumD";#N/A,#N/A,FALSE,"ElecD";#N/A,#N/A,FALSE,"MechD";#N/A,#N/A,FALSE,"GeotD";#N/A,#N/A,FALSE,"PrcsD";#N/A,#N/A,FALSE,"TunnD";#N/A,#N/A,FALSE,"CivlD";#N/A,#N/A,FALSE,"NtwkD";#N/A,#N/A,FALSE,"EstgD";#N/A,#N/A,FALSE,"PEngD"}</definedName>
    <definedName name="tttggg" localSheetId="6" hidden="1">{#N/A,#N/A,FALSE,"SumD";#N/A,#N/A,FALSE,"ElecD";#N/A,#N/A,FALSE,"MechD";#N/A,#N/A,FALSE,"GeotD";#N/A,#N/A,FALSE,"PrcsD";#N/A,#N/A,FALSE,"TunnD";#N/A,#N/A,FALSE,"CivlD";#N/A,#N/A,FALSE,"NtwkD";#N/A,#N/A,FALSE,"EstgD";#N/A,#N/A,FALSE,"PEngD"}</definedName>
    <definedName name="tttggg" localSheetId="3" hidden="1">{#N/A,#N/A,FALSE,"SumD";#N/A,#N/A,FALSE,"ElecD";#N/A,#N/A,FALSE,"MechD";#N/A,#N/A,FALSE,"GeotD";#N/A,#N/A,FALSE,"PrcsD";#N/A,#N/A,FALSE,"TunnD";#N/A,#N/A,FALSE,"CivlD";#N/A,#N/A,FALSE,"NtwkD";#N/A,#N/A,FALSE,"EstgD";#N/A,#N/A,FALSE,"PEngD"}</definedName>
    <definedName name="tttggg" localSheetId="4" hidden="1">{#N/A,#N/A,FALSE,"SumD";#N/A,#N/A,FALSE,"ElecD";#N/A,#N/A,FALSE,"MechD";#N/A,#N/A,FALSE,"GeotD";#N/A,#N/A,FALSE,"PrcsD";#N/A,#N/A,FALSE,"TunnD";#N/A,#N/A,FALSE,"CivlD";#N/A,#N/A,FALSE,"NtwkD";#N/A,#N/A,FALSE,"EstgD";#N/A,#N/A,FALSE,"PEngD"}</definedName>
    <definedName name="tttggg" localSheetId="13" hidden="1">{#N/A,#N/A,FALSE,"SumD";#N/A,#N/A,FALSE,"ElecD";#N/A,#N/A,FALSE,"MechD";#N/A,#N/A,FALSE,"GeotD";#N/A,#N/A,FALSE,"PrcsD";#N/A,#N/A,FALSE,"TunnD";#N/A,#N/A,FALSE,"CivlD";#N/A,#N/A,FALSE,"NtwkD";#N/A,#N/A,FALSE,"EstgD";#N/A,#N/A,FALSE,"PEngD"}</definedName>
    <definedName name="tttggg" hidden="1">{#N/A,#N/A,FALSE,"SumD";#N/A,#N/A,FALSE,"ElecD";#N/A,#N/A,FALSE,"MechD";#N/A,#N/A,FALSE,"GeotD";#N/A,#N/A,FALSE,"PrcsD";#N/A,#N/A,FALSE,"TunnD";#N/A,#N/A,FALSE,"CivlD";#N/A,#N/A,FALSE,"NtwkD";#N/A,#N/A,FALSE,"EstgD";#N/A,#N/A,FALSE,"PEngD"}</definedName>
    <definedName name="tttt" localSheetId="5" hidden="1">{#N/A,#N/A,FALSE,"ACTIVO FIJO";#N/A,#N/A,FALSE,"COBRAR";#N/A,#N/A,FALSE,"AFILIADAS";#N/A,#N/A,FALSE,"PAGAR";#N/A,#N/A,FALSE,"INSTIT. FINANCIERAS";#N/A,#N/A,FALSE,"VALORES"}</definedName>
    <definedName name="tttt" localSheetId="6" hidden="1">{#N/A,#N/A,FALSE,"ACTIVO FIJO";#N/A,#N/A,FALSE,"COBRAR";#N/A,#N/A,FALSE,"AFILIADAS";#N/A,#N/A,FALSE,"PAGAR";#N/A,#N/A,FALSE,"INSTIT. FINANCIERAS";#N/A,#N/A,FALSE,"VALORES"}</definedName>
    <definedName name="tttt" localSheetId="4" hidden="1">{#N/A,#N/A,FALSE,"ACTIVO FIJO";#N/A,#N/A,FALSE,"COBRAR";#N/A,#N/A,FALSE,"AFILIADAS";#N/A,#N/A,FALSE,"PAGAR";#N/A,#N/A,FALSE,"INSTIT. FINANCIERAS";#N/A,#N/A,FALSE,"VALORES"}</definedName>
    <definedName name="tttt" localSheetId="13" hidden="1">{#N/A,#N/A,FALSE,"ACTIVO FIJO";#N/A,#N/A,FALSE,"COBRAR";#N/A,#N/A,FALSE,"AFILIADAS";#N/A,#N/A,FALSE,"PAGAR";#N/A,#N/A,FALSE,"INSTIT. FINANCIERAS";#N/A,#N/A,FALSE,"VALORES"}</definedName>
    <definedName name="tttt" hidden="1">{#N/A,#N/A,FALSE,"ACTIVO FIJO";#N/A,#N/A,FALSE,"COBRAR";#N/A,#N/A,FALSE,"AFILIADAS";#N/A,#N/A,FALSE,"PAGAR";#N/A,#N/A,FALSE,"INSTIT. FINANCIERAS";#N/A,#N/A,FALSE,"VALORES"}</definedName>
    <definedName name="tttt_1" localSheetId="5" hidden="1">{#N/A,#N/A,FALSE,"ACTIVO FIJO";#N/A,#N/A,FALSE,"COBRAR";#N/A,#N/A,FALSE,"AFILIADAS";#N/A,#N/A,FALSE,"PAGAR";#N/A,#N/A,FALSE,"INSTIT. FINANCIERAS";#N/A,#N/A,FALSE,"VALORES"}</definedName>
    <definedName name="tttt_1" localSheetId="6" hidden="1">{#N/A,#N/A,FALSE,"ACTIVO FIJO";#N/A,#N/A,FALSE,"COBRAR";#N/A,#N/A,FALSE,"AFILIADAS";#N/A,#N/A,FALSE,"PAGAR";#N/A,#N/A,FALSE,"INSTIT. FINANCIERAS";#N/A,#N/A,FALSE,"VALORES"}</definedName>
    <definedName name="tttt_1" localSheetId="4" hidden="1">{#N/A,#N/A,FALSE,"ACTIVO FIJO";#N/A,#N/A,FALSE,"COBRAR";#N/A,#N/A,FALSE,"AFILIADAS";#N/A,#N/A,FALSE,"PAGAR";#N/A,#N/A,FALSE,"INSTIT. FINANCIERAS";#N/A,#N/A,FALSE,"VALORES"}</definedName>
    <definedName name="tttt_1" localSheetId="13" hidden="1">{#N/A,#N/A,FALSE,"ACTIVO FIJO";#N/A,#N/A,FALSE,"COBRAR";#N/A,#N/A,FALSE,"AFILIADAS";#N/A,#N/A,FALSE,"PAGAR";#N/A,#N/A,FALSE,"INSTIT. FINANCIERAS";#N/A,#N/A,FALSE,"VALORES"}</definedName>
    <definedName name="tttt_1" hidden="1">{#N/A,#N/A,FALSE,"ACTIVO FIJO";#N/A,#N/A,FALSE,"COBRAR";#N/A,#N/A,FALSE,"AFILIADAS";#N/A,#N/A,FALSE,"PAGAR";#N/A,#N/A,FALSE,"INSTIT. FINANCIERAS";#N/A,#N/A,FALSE,"VALORES"}</definedName>
    <definedName name="TUYOIPF" localSheetId="5" hidden="1">{#N/A,#N/A,FALSE,"ACTIVO FIJO";#N/A,#N/A,FALSE,"COBRAR";#N/A,#N/A,FALSE,"AFILIADAS";#N/A,#N/A,FALSE,"PAGAR";#N/A,#N/A,FALSE,"INSTIT. FINANCIERAS";#N/A,#N/A,FALSE,"VALORES"}</definedName>
    <definedName name="TUYOIPF" localSheetId="6" hidden="1">{#N/A,#N/A,FALSE,"ACTIVO FIJO";#N/A,#N/A,FALSE,"COBRAR";#N/A,#N/A,FALSE,"AFILIADAS";#N/A,#N/A,FALSE,"PAGAR";#N/A,#N/A,FALSE,"INSTIT. FINANCIERAS";#N/A,#N/A,FALSE,"VALORES"}</definedName>
    <definedName name="TUYOIPF" localSheetId="4" hidden="1">{#N/A,#N/A,FALSE,"ACTIVO FIJO";#N/A,#N/A,FALSE,"COBRAR";#N/A,#N/A,FALSE,"AFILIADAS";#N/A,#N/A,FALSE,"PAGAR";#N/A,#N/A,FALSE,"INSTIT. FINANCIERAS";#N/A,#N/A,FALSE,"VALORES"}</definedName>
    <definedName name="TUYOIPF" localSheetId="13" hidden="1">{#N/A,#N/A,FALSE,"ACTIVO FIJO";#N/A,#N/A,FALSE,"COBRAR";#N/A,#N/A,FALSE,"AFILIADAS";#N/A,#N/A,FALSE,"PAGAR";#N/A,#N/A,FALSE,"INSTIT. FINANCIERAS";#N/A,#N/A,FALSE,"VALORES"}</definedName>
    <definedName name="TUYOIPF" hidden="1">{#N/A,#N/A,FALSE,"ACTIVO FIJO";#N/A,#N/A,FALSE,"COBRAR";#N/A,#N/A,FALSE,"AFILIADAS";#N/A,#N/A,FALSE,"PAGAR";#N/A,#N/A,FALSE,"INSTIT. FINANCIERAS";#N/A,#N/A,FALSE,"VALORES"}</definedName>
    <definedName name="TUYOIPF_1" localSheetId="5" hidden="1">{#N/A,#N/A,FALSE,"ACTIVO FIJO";#N/A,#N/A,FALSE,"COBRAR";#N/A,#N/A,FALSE,"AFILIADAS";#N/A,#N/A,FALSE,"PAGAR";#N/A,#N/A,FALSE,"INSTIT. FINANCIERAS";#N/A,#N/A,FALSE,"VALORES"}</definedName>
    <definedName name="TUYOIPF_1" localSheetId="6" hidden="1">{#N/A,#N/A,FALSE,"ACTIVO FIJO";#N/A,#N/A,FALSE,"COBRAR";#N/A,#N/A,FALSE,"AFILIADAS";#N/A,#N/A,FALSE,"PAGAR";#N/A,#N/A,FALSE,"INSTIT. FINANCIERAS";#N/A,#N/A,FALSE,"VALORES"}</definedName>
    <definedName name="TUYOIPF_1" localSheetId="4" hidden="1">{#N/A,#N/A,FALSE,"ACTIVO FIJO";#N/A,#N/A,FALSE,"COBRAR";#N/A,#N/A,FALSE,"AFILIADAS";#N/A,#N/A,FALSE,"PAGAR";#N/A,#N/A,FALSE,"INSTIT. FINANCIERAS";#N/A,#N/A,FALSE,"VALORES"}</definedName>
    <definedName name="TUYOIPF_1" localSheetId="13" hidden="1">{#N/A,#N/A,FALSE,"ACTIVO FIJO";#N/A,#N/A,FALSE,"COBRAR";#N/A,#N/A,FALSE,"AFILIADAS";#N/A,#N/A,FALSE,"PAGAR";#N/A,#N/A,FALSE,"INSTIT. FINANCIERAS";#N/A,#N/A,FALSE,"VALORES"}</definedName>
    <definedName name="TUYOIPF_1" hidden="1">{#N/A,#N/A,FALSE,"ACTIVO FIJO";#N/A,#N/A,FALSE,"COBRAR";#N/A,#N/A,FALSE,"AFILIADAS";#N/A,#N/A,FALSE,"PAGAR";#N/A,#N/A,FALSE,"INSTIT. FINANCIERAS";#N/A,#N/A,FALSE,"VALORES"}</definedName>
    <definedName name="tyhhg" localSheetId="5" hidden="1">{#N/A,#N/A,FALSE,"SumD";#N/A,#N/A,FALSE,"ElecD";#N/A,#N/A,FALSE,"MechD";#N/A,#N/A,FALSE,"GeotD";#N/A,#N/A,FALSE,"PrcsD";#N/A,#N/A,FALSE,"TunnD";#N/A,#N/A,FALSE,"CivlD";#N/A,#N/A,FALSE,"NtwkD";#N/A,#N/A,FALSE,"EstgD";#N/A,#N/A,FALSE,"PEngD"}</definedName>
    <definedName name="tyhhg" localSheetId="6" hidden="1">{#N/A,#N/A,FALSE,"SumD";#N/A,#N/A,FALSE,"ElecD";#N/A,#N/A,FALSE,"MechD";#N/A,#N/A,FALSE,"GeotD";#N/A,#N/A,FALSE,"PrcsD";#N/A,#N/A,FALSE,"TunnD";#N/A,#N/A,FALSE,"CivlD";#N/A,#N/A,FALSE,"NtwkD";#N/A,#N/A,FALSE,"EstgD";#N/A,#N/A,FALSE,"PEngD"}</definedName>
    <definedName name="tyhhg" localSheetId="3" hidden="1">{#N/A,#N/A,FALSE,"SumD";#N/A,#N/A,FALSE,"ElecD";#N/A,#N/A,FALSE,"MechD";#N/A,#N/A,FALSE,"GeotD";#N/A,#N/A,FALSE,"PrcsD";#N/A,#N/A,FALSE,"TunnD";#N/A,#N/A,FALSE,"CivlD";#N/A,#N/A,FALSE,"NtwkD";#N/A,#N/A,FALSE,"EstgD";#N/A,#N/A,FALSE,"PEngD"}</definedName>
    <definedName name="tyhhg" localSheetId="4" hidden="1">{#N/A,#N/A,FALSE,"SumD";#N/A,#N/A,FALSE,"ElecD";#N/A,#N/A,FALSE,"MechD";#N/A,#N/A,FALSE,"GeotD";#N/A,#N/A,FALSE,"PrcsD";#N/A,#N/A,FALSE,"TunnD";#N/A,#N/A,FALSE,"CivlD";#N/A,#N/A,FALSE,"NtwkD";#N/A,#N/A,FALSE,"EstgD";#N/A,#N/A,FALSE,"PEngD"}</definedName>
    <definedName name="tyhhg" localSheetId="13" hidden="1">{#N/A,#N/A,FALSE,"SumD";#N/A,#N/A,FALSE,"ElecD";#N/A,#N/A,FALSE,"MechD";#N/A,#N/A,FALSE,"GeotD";#N/A,#N/A,FALSE,"PrcsD";#N/A,#N/A,FALSE,"TunnD";#N/A,#N/A,FALSE,"CivlD";#N/A,#N/A,FALSE,"NtwkD";#N/A,#N/A,FALSE,"EstgD";#N/A,#N/A,FALSE,"PEngD"}</definedName>
    <definedName name="tyhhg" hidden="1">{#N/A,#N/A,FALSE,"SumD";#N/A,#N/A,FALSE,"ElecD";#N/A,#N/A,FALSE,"MechD";#N/A,#N/A,FALSE,"GeotD";#N/A,#N/A,FALSE,"PrcsD";#N/A,#N/A,FALSE,"TunnD";#N/A,#N/A,FALSE,"CivlD";#N/A,#N/A,FALSE,"NtwkD";#N/A,#N/A,FALSE,"EstgD";#N/A,#N/A,FALSE,"PEngD"}</definedName>
    <definedName name="tyui" localSheetId="5" hidden="1">{#N/A,#N/A,FALSE,"ACTIVO FIJO";#N/A,#N/A,FALSE,"COBRAR";#N/A,#N/A,FALSE,"AFILIADAS";#N/A,#N/A,FALSE,"PAGAR";#N/A,#N/A,FALSE,"INSTIT. FINANCIERAS";#N/A,#N/A,FALSE,"VALORES"}</definedName>
    <definedName name="tyui" localSheetId="6" hidden="1">{#N/A,#N/A,FALSE,"ACTIVO FIJO";#N/A,#N/A,FALSE,"COBRAR";#N/A,#N/A,FALSE,"AFILIADAS";#N/A,#N/A,FALSE,"PAGAR";#N/A,#N/A,FALSE,"INSTIT. FINANCIERAS";#N/A,#N/A,FALSE,"VALORES"}</definedName>
    <definedName name="tyui" localSheetId="4" hidden="1">{#N/A,#N/A,FALSE,"ACTIVO FIJO";#N/A,#N/A,FALSE,"COBRAR";#N/A,#N/A,FALSE,"AFILIADAS";#N/A,#N/A,FALSE,"PAGAR";#N/A,#N/A,FALSE,"INSTIT. FINANCIERAS";#N/A,#N/A,FALSE,"VALORES"}</definedName>
    <definedName name="tyui" localSheetId="13" hidden="1">{#N/A,#N/A,FALSE,"ACTIVO FIJO";#N/A,#N/A,FALSE,"COBRAR";#N/A,#N/A,FALSE,"AFILIADAS";#N/A,#N/A,FALSE,"PAGAR";#N/A,#N/A,FALSE,"INSTIT. FINANCIERAS";#N/A,#N/A,FALSE,"VALORES"}</definedName>
    <definedName name="tyui" hidden="1">{#N/A,#N/A,FALSE,"ACTIVO FIJO";#N/A,#N/A,FALSE,"COBRAR";#N/A,#N/A,FALSE,"AFILIADAS";#N/A,#N/A,FALSE,"PAGAR";#N/A,#N/A,FALSE,"INSTIT. FINANCIERAS";#N/A,#N/A,FALSE,"VALORES"}</definedName>
    <definedName name="tyui_1" localSheetId="5" hidden="1">{#N/A,#N/A,FALSE,"ACTIVO FIJO";#N/A,#N/A,FALSE,"COBRAR";#N/A,#N/A,FALSE,"AFILIADAS";#N/A,#N/A,FALSE,"PAGAR";#N/A,#N/A,FALSE,"INSTIT. FINANCIERAS";#N/A,#N/A,FALSE,"VALORES"}</definedName>
    <definedName name="tyui_1" localSheetId="6" hidden="1">{#N/A,#N/A,FALSE,"ACTIVO FIJO";#N/A,#N/A,FALSE,"COBRAR";#N/A,#N/A,FALSE,"AFILIADAS";#N/A,#N/A,FALSE,"PAGAR";#N/A,#N/A,FALSE,"INSTIT. FINANCIERAS";#N/A,#N/A,FALSE,"VALORES"}</definedName>
    <definedName name="tyui_1" localSheetId="4" hidden="1">{#N/A,#N/A,FALSE,"ACTIVO FIJO";#N/A,#N/A,FALSE,"COBRAR";#N/A,#N/A,FALSE,"AFILIADAS";#N/A,#N/A,FALSE,"PAGAR";#N/A,#N/A,FALSE,"INSTIT. FINANCIERAS";#N/A,#N/A,FALSE,"VALORES"}</definedName>
    <definedName name="tyui_1" localSheetId="13" hidden="1">{#N/A,#N/A,FALSE,"ACTIVO FIJO";#N/A,#N/A,FALSE,"COBRAR";#N/A,#N/A,FALSE,"AFILIADAS";#N/A,#N/A,FALSE,"PAGAR";#N/A,#N/A,FALSE,"INSTIT. FINANCIERAS";#N/A,#N/A,FALSE,"VALORES"}</definedName>
    <definedName name="tyui_1" hidden="1">{#N/A,#N/A,FALSE,"ACTIVO FIJO";#N/A,#N/A,FALSE,"COBRAR";#N/A,#N/A,FALSE,"AFILIADAS";#N/A,#N/A,FALSE,"PAGAR";#N/A,#N/A,FALSE,"INSTIT. FINANCIERAS";#N/A,#N/A,FALSE,"VALORES"}</definedName>
    <definedName name="UI" hidden="1">#REF!</definedName>
    <definedName name="uj" localSheetId="5" hidden="1">{#N/A,#N/A,FALSE,"SumG";#N/A,#N/A,FALSE,"ElecG";#N/A,#N/A,FALSE,"MechG";#N/A,#N/A,FALSE,"GeotG";#N/A,#N/A,FALSE,"PrcsG";#N/A,#N/A,FALSE,"TunnG";#N/A,#N/A,FALSE,"CivlG";#N/A,#N/A,FALSE,"NtwkG";#N/A,#N/A,FALSE,"EstgG";#N/A,#N/A,FALSE,"PEngG"}</definedName>
    <definedName name="uj" localSheetId="6" hidden="1">{#N/A,#N/A,FALSE,"SumG";#N/A,#N/A,FALSE,"ElecG";#N/A,#N/A,FALSE,"MechG";#N/A,#N/A,FALSE,"GeotG";#N/A,#N/A,FALSE,"PrcsG";#N/A,#N/A,FALSE,"TunnG";#N/A,#N/A,FALSE,"CivlG";#N/A,#N/A,FALSE,"NtwkG";#N/A,#N/A,FALSE,"EstgG";#N/A,#N/A,FALSE,"PEngG"}</definedName>
    <definedName name="uj" localSheetId="3" hidden="1">{#N/A,#N/A,FALSE,"SumG";#N/A,#N/A,FALSE,"ElecG";#N/A,#N/A,FALSE,"MechG";#N/A,#N/A,FALSE,"GeotG";#N/A,#N/A,FALSE,"PrcsG";#N/A,#N/A,FALSE,"TunnG";#N/A,#N/A,FALSE,"CivlG";#N/A,#N/A,FALSE,"NtwkG";#N/A,#N/A,FALSE,"EstgG";#N/A,#N/A,FALSE,"PEngG"}</definedName>
    <definedName name="uj" localSheetId="4" hidden="1">{#N/A,#N/A,FALSE,"SumG";#N/A,#N/A,FALSE,"ElecG";#N/A,#N/A,FALSE,"MechG";#N/A,#N/A,FALSE,"GeotG";#N/A,#N/A,FALSE,"PrcsG";#N/A,#N/A,FALSE,"TunnG";#N/A,#N/A,FALSE,"CivlG";#N/A,#N/A,FALSE,"NtwkG";#N/A,#N/A,FALSE,"EstgG";#N/A,#N/A,FALSE,"PEngG"}</definedName>
    <definedName name="uj" localSheetId="13"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jj" localSheetId="5" hidden="1">{#N/A,#N/A,FALSE,"SumD";#N/A,#N/A,FALSE,"ElecD";#N/A,#N/A,FALSE,"MechD";#N/A,#N/A,FALSE,"GeotD";#N/A,#N/A,FALSE,"PrcsD";#N/A,#N/A,FALSE,"TunnD";#N/A,#N/A,FALSE,"CivlD";#N/A,#N/A,FALSE,"NtwkD";#N/A,#N/A,FALSE,"EstgD";#N/A,#N/A,FALSE,"PEngD"}</definedName>
    <definedName name="ujjj" localSheetId="6" hidden="1">{#N/A,#N/A,FALSE,"SumD";#N/A,#N/A,FALSE,"ElecD";#N/A,#N/A,FALSE,"MechD";#N/A,#N/A,FALSE,"GeotD";#N/A,#N/A,FALSE,"PrcsD";#N/A,#N/A,FALSE,"TunnD";#N/A,#N/A,FALSE,"CivlD";#N/A,#N/A,FALSE,"NtwkD";#N/A,#N/A,FALSE,"EstgD";#N/A,#N/A,FALSE,"PEngD"}</definedName>
    <definedName name="ujjj" localSheetId="3" hidden="1">{#N/A,#N/A,FALSE,"SumD";#N/A,#N/A,FALSE,"ElecD";#N/A,#N/A,FALSE,"MechD";#N/A,#N/A,FALSE,"GeotD";#N/A,#N/A,FALSE,"PrcsD";#N/A,#N/A,FALSE,"TunnD";#N/A,#N/A,FALSE,"CivlD";#N/A,#N/A,FALSE,"NtwkD";#N/A,#N/A,FALSE,"EstgD";#N/A,#N/A,FALSE,"PEngD"}</definedName>
    <definedName name="ujjj" localSheetId="4" hidden="1">{#N/A,#N/A,FALSE,"SumD";#N/A,#N/A,FALSE,"ElecD";#N/A,#N/A,FALSE,"MechD";#N/A,#N/A,FALSE,"GeotD";#N/A,#N/A,FALSE,"PrcsD";#N/A,#N/A,FALSE,"TunnD";#N/A,#N/A,FALSE,"CivlD";#N/A,#N/A,FALSE,"NtwkD";#N/A,#N/A,FALSE,"EstgD";#N/A,#N/A,FALSE,"PEngD"}</definedName>
    <definedName name="ujjj" localSheetId="13" hidden="1">{#N/A,#N/A,FALSE,"SumD";#N/A,#N/A,FALSE,"ElecD";#N/A,#N/A,FALSE,"MechD";#N/A,#N/A,FALSE,"GeotD";#N/A,#N/A,FALSE,"PrcsD";#N/A,#N/A,FALSE,"TunnD";#N/A,#N/A,FALSE,"CivlD";#N/A,#N/A,FALSE,"NtwkD";#N/A,#N/A,FALSE,"EstgD";#N/A,#N/A,FALSE,"PEngD"}</definedName>
    <definedName name="ujjj" hidden="1">{#N/A,#N/A,FALSE,"SumD";#N/A,#N/A,FALSE,"ElecD";#N/A,#N/A,FALSE,"MechD";#N/A,#N/A,FALSE,"GeotD";#N/A,#N/A,FALSE,"PrcsD";#N/A,#N/A,FALSE,"TunnD";#N/A,#N/A,FALSE,"CivlD";#N/A,#N/A,FALSE,"NtwkD";#N/A,#N/A,FALSE,"EstgD";#N/A,#N/A,FALSE,"PEngD"}</definedName>
    <definedName name="UOIUOLIU" localSheetId="5" hidden="1">{#N/A,#N/A,TRUE,"1842CWN0"}</definedName>
    <definedName name="UOIUOLIU" localSheetId="6" hidden="1">{#N/A,#N/A,TRUE,"1842CWN0"}</definedName>
    <definedName name="UOIUOLIU" localSheetId="3" hidden="1">{#N/A,#N/A,TRUE,"1842CWN0"}</definedName>
    <definedName name="UOIUOLIU" localSheetId="4" hidden="1">{#N/A,#N/A,TRUE,"1842CWN0"}</definedName>
    <definedName name="UOIUOLIU" localSheetId="13" hidden="1">{#N/A,#N/A,TRUE,"1842CWN0"}</definedName>
    <definedName name="UOIUOLIU" hidden="1">{#N/A,#N/A,TRUE,"1842CWN0"}</definedName>
    <definedName name="uuii" localSheetId="5" hidden="1">{#N/A,#N/A,FALSE,"Pricing";#N/A,#N/A,FALSE,"Summary";#N/A,#N/A,FALSE,"CompProd";#N/A,#N/A,FALSE,"CompJobhrs";#N/A,#N/A,FALSE,"Escalation";#N/A,#N/A,FALSE,"Contingency";#N/A,#N/A,FALSE,"GM";#N/A,#N/A,FALSE,"CompWage";#N/A,#N/A,FALSE,"costSum"}</definedName>
    <definedName name="uuii" localSheetId="6" hidden="1">{#N/A,#N/A,FALSE,"Pricing";#N/A,#N/A,FALSE,"Summary";#N/A,#N/A,FALSE,"CompProd";#N/A,#N/A,FALSE,"CompJobhrs";#N/A,#N/A,FALSE,"Escalation";#N/A,#N/A,FALSE,"Contingency";#N/A,#N/A,FALSE,"GM";#N/A,#N/A,FALSE,"CompWage";#N/A,#N/A,FALSE,"costSum"}</definedName>
    <definedName name="uuii" localSheetId="3" hidden="1">{#N/A,#N/A,FALSE,"Pricing";#N/A,#N/A,FALSE,"Summary";#N/A,#N/A,FALSE,"CompProd";#N/A,#N/A,FALSE,"CompJobhrs";#N/A,#N/A,FALSE,"Escalation";#N/A,#N/A,FALSE,"Contingency";#N/A,#N/A,FALSE,"GM";#N/A,#N/A,FALSE,"CompWage";#N/A,#N/A,FALSE,"costSum"}</definedName>
    <definedName name="uuii" localSheetId="4" hidden="1">{#N/A,#N/A,FALSE,"Pricing";#N/A,#N/A,FALSE,"Summary";#N/A,#N/A,FALSE,"CompProd";#N/A,#N/A,FALSE,"CompJobhrs";#N/A,#N/A,FALSE,"Escalation";#N/A,#N/A,FALSE,"Contingency";#N/A,#N/A,FALSE,"GM";#N/A,#N/A,FALSE,"CompWage";#N/A,#N/A,FALSE,"costSum"}</definedName>
    <definedName name="uuii" localSheetId="13" hidden="1">{#N/A,#N/A,FALSE,"Pricing";#N/A,#N/A,FALSE,"Summary";#N/A,#N/A,FALSE,"CompProd";#N/A,#N/A,FALSE,"CompJobhrs";#N/A,#N/A,FALSE,"Escalation";#N/A,#N/A,FALSE,"Contingency";#N/A,#N/A,FALSE,"GM";#N/A,#N/A,FALSE,"CompWage";#N/A,#N/A,FALSE,"costSum"}</definedName>
    <definedName name="uuii" hidden="1">{#N/A,#N/A,FALSE,"Pricing";#N/A,#N/A,FALSE,"Summary";#N/A,#N/A,FALSE,"CompProd";#N/A,#N/A,FALSE,"CompJobhrs";#N/A,#N/A,FALSE,"Escalation";#N/A,#N/A,FALSE,"Contingency";#N/A,#N/A,FALSE,"GM";#N/A,#N/A,FALSE,"CompWage";#N/A,#N/A,FALSE,"costSum"}</definedName>
    <definedName name="uuj" localSheetId="5" hidden="1">{#N/A,#N/A,FALSE,"SumG";#N/A,#N/A,FALSE,"ElecG";#N/A,#N/A,FALSE,"MechG";#N/A,#N/A,FALSE,"GeotG";#N/A,#N/A,FALSE,"PrcsG";#N/A,#N/A,FALSE,"TunnG";#N/A,#N/A,FALSE,"CivlG";#N/A,#N/A,FALSE,"NtwkG";#N/A,#N/A,FALSE,"EstgG";#N/A,#N/A,FALSE,"PEngG"}</definedName>
    <definedName name="uuj" localSheetId="6" hidden="1">{#N/A,#N/A,FALSE,"SumG";#N/A,#N/A,FALSE,"ElecG";#N/A,#N/A,FALSE,"MechG";#N/A,#N/A,FALSE,"GeotG";#N/A,#N/A,FALSE,"PrcsG";#N/A,#N/A,FALSE,"TunnG";#N/A,#N/A,FALSE,"CivlG";#N/A,#N/A,FALSE,"NtwkG";#N/A,#N/A,FALSE,"EstgG";#N/A,#N/A,FALSE,"PEngG"}</definedName>
    <definedName name="uuj" localSheetId="3" hidden="1">{#N/A,#N/A,FALSE,"SumG";#N/A,#N/A,FALSE,"ElecG";#N/A,#N/A,FALSE,"MechG";#N/A,#N/A,FALSE,"GeotG";#N/A,#N/A,FALSE,"PrcsG";#N/A,#N/A,FALSE,"TunnG";#N/A,#N/A,FALSE,"CivlG";#N/A,#N/A,FALSE,"NtwkG";#N/A,#N/A,FALSE,"EstgG";#N/A,#N/A,FALSE,"PEngG"}</definedName>
    <definedName name="uuj" localSheetId="4" hidden="1">{#N/A,#N/A,FALSE,"SumG";#N/A,#N/A,FALSE,"ElecG";#N/A,#N/A,FALSE,"MechG";#N/A,#N/A,FALSE,"GeotG";#N/A,#N/A,FALSE,"PrcsG";#N/A,#N/A,FALSE,"TunnG";#N/A,#N/A,FALSE,"CivlG";#N/A,#N/A,FALSE,"NtwkG";#N/A,#N/A,FALSE,"EstgG";#N/A,#N/A,FALSE,"PEngG"}</definedName>
    <definedName name="uuj" localSheetId="13" hidden="1">{#N/A,#N/A,FALSE,"SumG";#N/A,#N/A,FALSE,"ElecG";#N/A,#N/A,FALSE,"MechG";#N/A,#N/A,FALSE,"GeotG";#N/A,#N/A,FALSE,"PrcsG";#N/A,#N/A,FALSE,"TunnG";#N/A,#N/A,FALSE,"CivlG";#N/A,#N/A,FALSE,"NtwkG";#N/A,#N/A,FALSE,"EstgG";#N/A,#N/A,FALSE,"PEngG"}</definedName>
    <definedName name="uuj" hidden="1">{#N/A,#N/A,FALSE,"SumG";#N/A,#N/A,FALSE,"ElecG";#N/A,#N/A,FALSE,"MechG";#N/A,#N/A,FALSE,"GeotG";#N/A,#N/A,FALSE,"PrcsG";#N/A,#N/A,FALSE,"TunnG";#N/A,#N/A,FALSE,"CivlG";#N/A,#N/A,FALSE,"NtwkG";#N/A,#N/A,FALSE,"EstgG";#N/A,#N/A,FALSE,"PEngG"}</definedName>
    <definedName name="uuujjj" localSheetId="5" hidden="1">{#N/A,#N/A,FALSE,"SumD";#N/A,#N/A,FALSE,"ElecD";#N/A,#N/A,FALSE,"MechD";#N/A,#N/A,FALSE,"GeotD";#N/A,#N/A,FALSE,"PrcsD";#N/A,#N/A,FALSE,"TunnD";#N/A,#N/A,FALSE,"CivlD";#N/A,#N/A,FALSE,"NtwkD";#N/A,#N/A,FALSE,"EstgD";#N/A,#N/A,FALSE,"PEngD"}</definedName>
    <definedName name="uuujjj" localSheetId="6" hidden="1">{#N/A,#N/A,FALSE,"SumD";#N/A,#N/A,FALSE,"ElecD";#N/A,#N/A,FALSE,"MechD";#N/A,#N/A,FALSE,"GeotD";#N/A,#N/A,FALSE,"PrcsD";#N/A,#N/A,FALSE,"TunnD";#N/A,#N/A,FALSE,"CivlD";#N/A,#N/A,FALSE,"NtwkD";#N/A,#N/A,FALSE,"EstgD";#N/A,#N/A,FALSE,"PEngD"}</definedName>
    <definedName name="uuujjj" localSheetId="3" hidden="1">{#N/A,#N/A,FALSE,"SumD";#N/A,#N/A,FALSE,"ElecD";#N/A,#N/A,FALSE,"MechD";#N/A,#N/A,FALSE,"GeotD";#N/A,#N/A,FALSE,"PrcsD";#N/A,#N/A,FALSE,"TunnD";#N/A,#N/A,FALSE,"CivlD";#N/A,#N/A,FALSE,"NtwkD";#N/A,#N/A,FALSE,"EstgD";#N/A,#N/A,FALSE,"PEngD"}</definedName>
    <definedName name="uuujjj" localSheetId="4" hidden="1">{#N/A,#N/A,FALSE,"SumD";#N/A,#N/A,FALSE,"ElecD";#N/A,#N/A,FALSE,"MechD";#N/A,#N/A,FALSE,"GeotD";#N/A,#N/A,FALSE,"PrcsD";#N/A,#N/A,FALSE,"TunnD";#N/A,#N/A,FALSE,"CivlD";#N/A,#N/A,FALSE,"NtwkD";#N/A,#N/A,FALSE,"EstgD";#N/A,#N/A,FALSE,"PEngD"}</definedName>
    <definedName name="uuujjj" localSheetId="13" hidden="1">{#N/A,#N/A,FALSE,"SumD";#N/A,#N/A,FALSE,"ElecD";#N/A,#N/A,FALSE,"MechD";#N/A,#N/A,FALSE,"GeotD";#N/A,#N/A,FALSE,"PrcsD";#N/A,#N/A,FALSE,"TunnD";#N/A,#N/A,FALSE,"CivlD";#N/A,#N/A,FALSE,"NtwkD";#N/A,#N/A,FALSE,"EstgD";#N/A,#N/A,FALSE,"PEngD"}</definedName>
    <definedName name="uuujjj" hidden="1">{#N/A,#N/A,FALSE,"SumD";#N/A,#N/A,FALSE,"ElecD";#N/A,#N/A,FALSE,"MechD";#N/A,#N/A,FALSE,"GeotD";#N/A,#N/A,FALSE,"PrcsD";#N/A,#N/A,FALSE,"TunnD";#N/A,#N/A,FALSE,"CivlD";#N/A,#N/A,FALSE,"NtwkD";#N/A,#N/A,FALSE,"EstgD";#N/A,#N/A,FALSE,"PEngD"}</definedName>
    <definedName name="uuujjk" localSheetId="5" hidden="1">{#N/A,#N/A,FALSE,"SumD";#N/A,#N/A,FALSE,"ElecD";#N/A,#N/A,FALSE,"MechD";#N/A,#N/A,FALSE,"GeotD";#N/A,#N/A,FALSE,"PrcsD";#N/A,#N/A,FALSE,"TunnD";#N/A,#N/A,FALSE,"CivlD";#N/A,#N/A,FALSE,"NtwkD";#N/A,#N/A,FALSE,"EstgD";#N/A,#N/A,FALSE,"PEngD"}</definedName>
    <definedName name="uuujjk" localSheetId="6" hidden="1">{#N/A,#N/A,FALSE,"SumD";#N/A,#N/A,FALSE,"ElecD";#N/A,#N/A,FALSE,"MechD";#N/A,#N/A,FALSE,"GeotD";#N/A,#N/A,FALSE,"PrcsD";#N/A,#N/A,FALSE,"TunnD";#N/A,#N/A,FALSE,"CivlD";#N/A,#N/A,FALSE,"NtwkD";#N/A,#N/A,FALSE,"EstgD";#N/A,#N/A,FALSE,"PEngD"}</definedName>
    <definedName name="uuujjk" localSheetId="3" hidden="1">{#N/A,#N/A,FALSE,"SumD";#N/A,#N/A,FALSE,"ElecD";#N/A,#N/A,FALSE,"MechD";#N/A,#N/A,FALSE,"GeotD";#N/A,#N/A,FALSE,"PrcsD";#N/A,#N/A,FALSE,"TunnD";#N/A,#N/A,FALSE,"CivlD";#N/A,#N/A,FALSE,"NtwkD";#N/A,#N/A,FALSE,"EstgD";#N/A,#N/A,FALSE,"PEngD"}</definedName>
    <definedName name="uuujjk" localSheetId="4" hidden="1">{#N/A,#N/A,FALSE,"SumD";#N/A,#N/A,FALSE,"ElecD";#N/A,#N/A,FALSE,"MechD";#N/A,#N/A,FALSE,"GeotD";#N/A,#N/A,FALSE,"PrcsD";#N/A,#N/A,FALSE,"TunnD";#N/A,#N/A,FALSE,"CivlD";#N/A,#N/A,FALSE,"NtwkD";#N/A,#N/A,FALSE,"EstgD";#N/A,#N/A,FALSE,"PEngD"}</definedName>
    <definedName name="uuujjk" localSheetId="13" hidden="1">{#N/A,#N/A,FALSE,"SumD";#N/A,#N/A,FALSE,"ElecD";#N/A,#N/A,FALSE,"MechD";#N/A,#N/A,FALSE,"GeotD";#N/A,#N/A,FALSE,"PrcsD";#N/A,#N/A,FALSE,"TunnD";#N/A,#N/A,FALSE,"CivlD";#N/A,#N/A,FALSE,"NtwkD";#N/A,#N/A,FALSE,"EstgD";#N/A,#N/A,FALSE,"PEngD"}</definedName>
    <definedName name="uuujjk" hidden="1">{#N/A,#N/A,FALSE,"SumD";#N/A,#N/A,FALSE,"ElecD";#N/A,#N/A,FALSE,"MechD";#N/A,#N/A,FALSE,"GeotD";#N/A,#N/A,FALSE,"PrcsD";#N/A,#N/A,FALSE,"TunnD";#N/A,#N/A,FALSE,"CivlD";#N/A,#N/A,FALSE,"NtwkD";#N/A,#N/A,FALSE,"EstgD";#N/A,#N/A,FALSE,"PEngD"}</definedName>
    <definedName name="v" hidden="1">#REF!</definedName>
    <definedName name="vgyuiop" localSheetId="5" hidden="1">{#N/A,#N/A,FALSE,"ACTIVO FIJO";#N/A,#N/A,FALSE,"COBRAR";#N/A,#N/A,FALSE,"AFILIADAS";#N/A,#N/A,FALSE,"PAGAR";#N/A,#N/A,FALSE,"INSTIT. FINANCIERAS";#N/A,#N/A,FALSE,"VALORES"}</definedName>
    <definedName name="vgyuiop" localSheetId="6" hidden="1">{#N/A,#N/A,FALSE,"ACTIVO FIJO";#N/A,#N/A,FALSE,"COBRAR";#N/A,#N/A,FALSE,"AFILIADAS";#N/A,#N/A,FALSE,"PAGAR";#N/A,#N/A,FALSE,"INSTIT. FINANCIERAS";#N/A,#N/A,FALSE,"VALORES"}</definedName>
    <definedName name="vgyuiop" localSheetId="4" hidden="1">{#N/A,#N/A,FALSE,"ACTIVO FIJO";#N/A,#N/A,FALSE,"COBRAR";#N/A,#N/A,FALSE,"AFILIADAS";#N/A,#N/A,FALSE,"PAGAR";#N/A,#N/A,FALSE,"INSTIT. FINANCIERAS";#N/A,#N/A,FALSE,"VALORES"}</definedName>
    <definedName name="vgyuiop" localSheetId="13" hidden="1">{#N/A,#N/A,FALSE,"ACTIVO FIJO";#N/A,#N/A,FALSE,"COBRAR";#N/A,#N/A,FALSE,"AFILIADAS";#N/A,#N/A,FALSE,"PAGAR";#N/A,#N/A,FALSE,"INSTIT. FINANCIERAS";#N/A,#N/A,FALSE,"VALORES"}</definedName>
    <definedName name="vgyuiop" hidden="1">{#N/A,#N/A,FALSE,"ACTIVO FIJO";#N/A,#N/A,FALSE,"COBRAR";#N/A,#N/A,FALSE,"AFILIADAS";#N/A,#N/A,FALSE,"PAGAR";#N/A,#N/A,FALSE,"INSTIT. FINANCIERAS";#N/A,#N/A,FALSE,"VALORES"}</definedName>
    <definedName name="vgyuiop_1" localSheetId="5" hidden="1">{#N/A,#N/A,FALSE,"ACTIVO FIJO";#N/A,#N/A,FALSE,"COBRAR";#N/A,#N/A,FALSE,"AFILIADAS";#N/A,#N/A,FALSE,"PAGAR";#N/A,#N/A,FALSE,"INSTIT. FINANCIERAS";#N/A,#N/A,FALSE,"VALORES"}</definedName>
    <definedName name="vgyuiop_1" localSheetId="6" hidden="1">{#N/A,#N/A,FALSE,"ACTIVO FIJO";#N/A,#N/A,FALSE,"COBRAR";#N/A,#N/A,FALSE,"AFILIADAS";#N/A,#N/A,FALSE,"PAGAR";#N/A,#N/A,FALSE,"INSTIT. FINANCIERAS";#N/A,#N/A,FALSE,"VALORES"}</definedName>
    <definedName name="vgyuiop_1" localSheetId="4" hidden="1">{#N/A,#N/A,FALSE,"ACTIVO FIJO";#N/A,#N/A,FALSE,"COBRAR";#N/A,#N/A,FALSE,"AFILIADAS";#N/A,#N/A,FALSE,"PAGAR";#N/A,#N/A,FALSE,"INSTIT. FINANCIERAS";#N/A,#N/A,FALSE,"VALORES"}</definedName>
    <definedName name="vgyuiop_1" localSheetId="13" hidden="1">{#N/A,#N/A,FALSE,"ACTIVO FIJO";#N/A,#N/A,FALSE,"COBRAR";#N/A,#N/A,FALSE,"AFILIADAS";#N/A,#N/A,FALSE,"PAGAR";#N/A,#N/A,FALSE,"INSTIT. FINANCIERAS";#N/A,#N/A,FALSE,"VALORES"}</definedName>
    <definedName name="vgyuiop_1" hidden="1">{#N/A,#N/A,FALSE,"ACTIVO FIJO";#N/A,#N/A,FALSE,"COBRAR";#N/A,#N/A,FALSE,"AFILIADAS";#N/A,#N/A,FALSE,"PAGAR";#N/A,#N/A,FALSE,"INSTIT. FINANCIERAS";#N/A,#N/A,FALSE,"VALORES"}</definedName>
    <definedName name="viuda" hidden="1">#REF!</definedName>
    <definedName name="VIVIANA" localSheetId="5" hidden="1">{#N/A,#N/A,FALSE,"ACTIVO FIJO";#N/A,#N/A,FALSE,"COBRAR";#N/A,#N/A,FALSE,"AFILIADAS";#N/A,#N/A,FALSE,"PAGAR";#N/A,#N/A,FALSE,"INSTIT. FINANCIERAS";#N/A,#N/A,FALSE,"VALORES"}</definedName>
    <definedName name="VIVIANA" localSheetId="6" hidden="1">{#N/A,#N/A,FALSE,"ACTIVO FIJO";#N/A,#N/A,FALSE,"COBRAR";#N/A,#N/A,FALSE,"AFILIADAS";#N/A,#N/A,FALSE,"PAGAR";#N/A,#N/A,FALSE,"INSTIT. FINANCIERAS";#N/A,#N/A,FALSE,"VALORES"}</definedName>
    <definedName name="VIVIANA" localSheetId="4" hidden="1">{#N/A,#N/A,FALSE,"ACTIVO FIJO";#N/A,#N/A,FALSE,"COBRAR";#N/A,#N/A,FALSE,"AFILIADAS";#N/A,#N/A,FALSE,"PAGAR";#N/A,#N/A,FALSE,"INSTIT. FINANCIERAS";#N/A,#N/A,FALSE,"VALORES"}</definedName>
    <definedName name="VIVIANA" localSheetId="13" hidden="1">{#N/A,#N/A,FALSE,"ACTIVO FIJO";#N/A,#N/A,FALSE,"COBRAR";#N/A,#N/A,FALSE,"AFILIADAS";#N/A,#N/A,FALSE,"PAGAR";#N/A,#N/A,FALSE,"INSTIT. FINANCIERAS";#N/A,#N/A,FALSE,"VALORES"}</definedName>
    <definedName name="VIVIANA" hidden="1">{#N/A,#N/A,FALSE,"ACTIVO FIJO";#N/A,#N/A,FALSE,"COBRAR";#N/A,#N/A,FALSE,"AFILIADAS";#N/A,#N/A,FALSE,"PAGAR";#N/A,#N/A,FALSE,"INSTIT. FINANCIERAS";#N/A,#N/A,FALSE,"VALORES"}</definedName>
    <definedName name="VIVIANA_1" localSheetId="5" hidden="1">{#N/A,#N/A,FALSE,"ACTIVO FIJO";#N/A,#N/A,FALSE,"COBRAR";#N/A,#N/A,FALSE,"AFILIADAS";#N/A,#N/A,FALSE,"PAGAR";#N/A,#N/A,FALSE,"INSTIT. FINANCIERAS";#N/A,#N/A,FALSE,"VALORES"}</definedName>
    <definedName name="VIVIANA_1" localSheetId="6" hidden="1">{#N/A,#N/A,FALSE,"ACTIVO FIJO";#N/A,#N/A,FALSE,"COBRAR";#N/A,#N/A,FALSE,"AFILIADAS";#N/A,#N/A,FALSE,"PAGAR";#N/A,#N/A,FALSE,"INSTIT. FINANCIERAS";#N/A,#N/A,FALSE,"VALORES"}</definedName>
    <definedName name="VIVIANA_1" localSheetId="4" hidden="1">{#N/A,#N/A,FALSE,"ACTIVO FIJO";#N/A,#N/A,FALSE,"COBRAR";#N/A,#N/A,FALSE,"AFILIADAS";#N/A,#N/A,FALSE,"PAGAR";#N/A,#N/A,FALSE,"INSTIT. FINANCIERAS";#N/A,#N/A,FALSE,"VALORES"}</definedName>
    <definedName name="VIVIANA_1" localSheetId="13" hidden="1">{#N/A,#N/A,FALSE,"ACTIVO FIJO";#N/A,#N/A,FALSE,"COBRAR";#N/A,#N/A,FALSE,"AFILIADAS";#N/A,#N/A,FALSE,"PAGAR";#N/A,#N/A,FALSE,"INSTIT. FINANCIERAS";#N/A,#N/A,FALSE,"VALORES"}</definedName>
    <definedName name="VIVIANA_1" hidden="1">{#N/A,#N/A,FALSE,"ACTIVO FIJO";#N/A,#N/A,FALSE,"COBRAR";#N/A,#N/A,FALSE,"AFILIADAS";#N/A,#N/A,FALSE,"PAGAR";#N/A,#N/A,FALSE,"INSTIT. FINANCIERAS";#N/A,#N/A,FALSE,"VALORES"}</definedName>
    <definedName name="VV_1" localSheetId="5" hidden="1">{#N/A,#N/A,FALSE,"ACTIVO FIJO";#N/A,#N/A,FALSE,"COBRAR";#N/A,#N/A,FALSE,"AFILIADAS";#N/A,#N/A,FALSE,"PAGAR";#N/A,#N/A,FALSE,"INSTIT. FINANCIERAS";#N/A,#N/A,FALSE,"VALORES"}</definedName>
    <definedName name="VV_1" localSheetId="6" hidden="1">{#N/A,#N/A,FALSE,"ACTIVO FIJO";#N/A,#N/A,FALSE,"COBRAR";#N/A,#N/A,FALSE,"AFILIADAS";#N/A,#N/A,FALSE,"PAGAR";#N/A,#N/A,FALSE,"INSTIT. FINANCIERAS";#N/A,#N/A,FALSE,"VALORES"}</definedName>
    <definedName name="VV_1" localSheetId="4" hidden="1">{#N/A,#N/A,FALSE,"ACTIVO FIJO";#N/A,#N/A,FALSE,"COBRAR";#N/A,#N/A,FALSE,"AFILIADAS";#N/A,#N/A,FALSE,"PAGAR";#N/A,#N/A,FALSE,"INSTIT. FINANCIERAS";#N/A,#N/A,FALSE,"VALORES"}</definedName>
    <definedName name="VV_1" localSheetId="13" hidden="1">{#N/A,#N/A,FALSE,"ACTIVO FIJO";#N/A,#N/A,FALSE,"COBRAR";#N/A,#N/A,FALSE,"AFILIADAS";#N/A,#N/A,FALSE,"PAGAR";#N/A,#N/A,FALSE,"INSTIT. FINANCIERAS";#N/A,#N/A,FALSE,"VALORES"}</definedName>
    <definedName name="VV_1" hidden="1">{#N/A,#N/A,FALSE,"ACTIVO FIJO";#N/A,#N/A,FALSE,"COBRAR";#N/A,#N/A,FALSE,"AFILIADAS";#N/A,#N/A,FALSE,"PAGAR";#N/A,#N/A,FALSE,"INSTIT. FINANCIERAS";#N/A,#N/A,FALSE,"VALORES"}</definedName>
    <definedName name="vvv" localSheetId="5" hidden="1">{#N/A,#N/A,TRUE,"INGENIERIA";#N/A,#N/A,TRUE,"COMPRAS";#N/A,#N/A,TRUE,"DIRECCION";#N/A,#N/A,TRUE,"RESUMEN"}</definedName>
    <definedName name="vvv" localSheetId="6" hidden="1">{#N/A,#N/A,TRUE,"INGENIERIA";#N/A,#N/A,TRUE,"COMPRAS";#N/A,#N/A,TRUE,"DIRECCION";#N/A,#N/A,TRUE,"RESUMEN"}</definedName>
    <definedName name="vvv" localSheetId="4" hidden="1">{#N/A,#N/A,TRUE,"INGENIERIA";#N/A,#N/A,TRUE,"COMPRAS";#N/A,#N/A,TRUE,"DIRECCION";#N/A,#N/A,TRUE,"RESUMEN"}</definedName>
    <definedName name="vvv" localSheetId="13" hidden="1">{#N/A,#N/A,TRUE,"INGENIERIA";#N/A,#N/A,TRUE,"COMPRAS";#N/A,#N/A,TRUE,"DIRECCION";#N/A,#N/A,TRUE,"RESUMEN"}</definedName>
    <definedName name="vvv" hidden="1">{#N/A,#N/A,TRUE,"INGENIERIA";#N/A,#N/A,TRUE,"COMPRAS";#N/A,#N/A,TRUE,"DIRECCION";#N/A,#N/A,TRUE,"RESUMEN"}</definedName>
    <definedName name="vvvv" localSheetId="5" hidden="1">{#N/A,#N/A,FALSE,"SumD";#N/A,#N/A,FALSE,"ElecD";#N/A,#N/A,FALSE,"MechD";#N/A,#N/A,FALSE,"GeotD";#N/A,#N/A,FALSE,"PrcsD";#N/A,#N/A,FALSE,"TunnD";#N/A,#N/A,FALSE,"CivlD";#N/A,#N/A,FALSE,"NtwkD";#N/A,#N/A,FALSE,"EstgD";#N/A,#N/A,FALSE,"PEngD"}</definedName>
    <definedName name="vvvv" localSheetId="6" hidden="1">{#N/A,#N/A,FALSE,"SumD";#N/A,#N/A,FALSE,"ElecD";#N/A,#N/A,FALSE,"MechD";#N/A,#N/A,FALSE,"GeotD";#N/A,#N/A,FALSE,"PrcsD";#N/A,#N/A,FALSE,"TunnD";#N/A,#N/A,FALSE,"CivlD";#N/A,#N/A,FALSE,"NtwkD";#N/A,#N/A,FALSE,"EstgD";#N/A,#N/A,FALSE,"PEngD"}</definedName>
    <definedName name="vvvv" localSheetId="3" hidden="1">{#N/A,#N/A,FALSE,"SumD";#N/A,#N/A,FALSE,"ElecD";#N/A,#N/A,FALSE,"MechD";#N/A,#N/A,FALSE,"GeotD";#N/A,#N/A,FALSE,"PrcsD";#N/A,#N/A,FALSE,"TunnD";#N/A,#N/A,FALSE,"CivlD";#N/A,#N/A,FALSE,"NtwkD";#N/A,#N/A,FALSE,"EstgD";#N/A,#N/A,FALSE,"PEngD"}</definedName>
    <definedName name="vvvv" localSheetId="4" hidden="1">{#N/A,#N/A,FALSE,"SumD";#N/A,#N/A,FALSE,"ElecD";#N/A,#N/A,FALSE,"MechD";#N/A,#N/A,FALSE,"GeotD";#N/A,#N/A,FALSE,"PrcsD";#N/A,#N/A,FALSE,"TunnD";#N/A,#N/A,FALSE,"CivlD";#N/A,#N/A,FALSE,"NtwkD";#N/A,#N/A,FALSE,"EstgD";#N/A,#N/A,FALSE,"PEngD"}</definedName>
    <definedName name="vvvv" localSheetId="13" hidden="1">{#N/A,#N/A,FALSE,"SumD";#N/A,#N/A,FALSE,"ElecD";#N/A,#N/A,FALSE,"MechD";#N/A,#N/A,FALSE,"GeotD";#N/A,#N/A,FALSE,"PrcsD";#N/A,#N/A,FALSE,"TunnD";#N/A,#N/A,FALSE,"CivlD";#N/A,#N/A,FALSE,"NtwkD";#N/A,#N/A,FALSE,"EstgD";#N/A,#N/A,FALSE,"PEngD"}</definedName>
    <definedName name="vvvv" hidden="1">{#N/A,#N/A,FALSE,"SumD";#N/A,#N/A,FALSE,"ElecD";#N/A,#N/A,FALSE,"MechD";#N/A,#N/A,FALSE,"GeotD";#N/A,#N/A,FALSE,"PrcsD";#N/A,#N/A,FALSE,"TunnD";#N/A,#N/A,FALSE,"CivlD";#N/A,#N/A,FALSE,"NtwkD";#N/A,#N/A,FALSE,"EstgD";#N/A,#N/A,FALSE,"PEngD"}</definedName>
    <definedName name="vvvvvv" localSheetId="5" hidden="1">{#N/A,#N/A,FALSE,"SumD";#N/A,#N/A,FALSE,"ElecD";#N/A,#N/A,FALSE,"MechD";#N/A,#N/A,FALSE,"GeotD";#N/A,#N/A,FALSE,"PrcsD";#N/A,#N/A,FALSE,"TunnD";#N/A,#N/A,FALSE,"CivlD";#N/A,#N/A,FALSE,"NtwkD";#N/A,#N/A,FALSE,"EstgD";#N/A,#N/A,FALSE,"PEngD"}</definedName>
    <definedName name="vvvvvv" localSheetId="6" hidden="1">{#N/A,#N/A,FALSE,"SumD";#N/A,#N/A,FALSE,"ElecD";#N/A,#N/A,FALSE,"MechD";#N/A,#N/A,FALSE,"GeotD";#N/A,#N/A,FALSE,"PrcsD";#N/A,#N/A,FALSE,"TunnD";#N/A,#N/A,FALSE,"CivlD";#N/A,#N/A,FALSE,"NtwkD";#N/A,#N/A,FALSE,"EstgD";#N/A,#N/A,FALSE,"PEngD"}</definedName>
    <definedName name="vvvvvv" localSheetId="3" hidden="1">{#N/A,#N/A,FALSE,"SumD";#N/A,#N/A,FALSE,"ElecD";#N/A,#N/A,FALSE,"MechD";#N/A,#N/A,FALSE,"GeotD";#N/A,#N/A,FALSE,"PrcsD";#N/A,#N/A,FALSE,"TunnD";#N/A,#N/A,FALSE,"CivlD";#N/A,#N/A,FALSE,"NtwkD";#N/A,#N/A,FALSE,"EstgD";#N/A,#N/A,FALSE,"PEngD"}</definedName>
    <definedName name="vvvvvv" localSheetId="4" hidden="1">{#N/A,#N/A,FALSE,"SumD";#N/A,#N/A,FALSE,"ElecD";#N/A,#N/A,FALSE,"MechD";#N/A,#N/A,FALSE,"GeotD";#N/A,#N/A,FALSE,"PrcsD";#N/A,#N/A,FALSE,"TunnD";#N/A,#N/A,FALSE,"CivlD";#N/A,#N/A,FALSE,"NtwkD";#N/A,#N/A,FALSE,"EstgD";#N/A,#N/A,FALSE,"PEngD"}</definedName>
    <definedName name="vvvvvv" localSheetId="13" hidden="1">{#N/A,#N/A,FALSE,"SumD";#N/A,#N/A,FALSE,"ElecD";#N/A,#N/A,FALSE,"MechD";#N/A,#N/A,FALSE,"GeotD";#N/A,#N/A,FALSE,"PrcsD";#N/A,#N/A,FALSE,"TunnD";#N/A,#N/A,FALSE,"CivlD";#N/A,#N/A,FALSE,"NtwkD";#N/A,#N/A,FALSE,"EstgD";#N/A,#N/A,FALSE,"PEngD"}</definedName>
    <definedName name="vvvvvv" hidden="1">{#N/A,#N/A,FALSE,"SumD";#N/A,#N/A,FALSE,"ElecD";#N/A,#N/A,FALSE,"MechD";#N/A,#N/A,FALSE,"GeotD";#N/A,#N/A,FALSE,"PrcsD";#N/A,#N/A,FALSE,"TunnD";#N/A,#N/A,FALSE,"CivlD";#N/A,#N/A,FALSE,"NtwkD";#N/A,#N/A,FALSE,"EstgD";#N/A,#N/A,FALSE,"PEngD"}</definedName>
    <definedName name="VVVVVVVVV" localSheetId="5" hidden="1">{"TEXTO DEL AVALUO",#N/A,TRUE,"AVALUO";"CALCULOS Y DICTAMEN",#N/A,TRUE,"CONDOMINIO"}</definedName>
    <definedName name="VVVVVVVVV" localSheetId="6" hidden="1">{"TEXTO DEL AVALUO",#N/A,TRUE,"AVALUO";"CALCULOS Y DICTAMEN",#N/A,TRUE,"CONDOMINIO"}</definedName>
    <definedName name="VVVVVVVVV" localSheetId="4" hidden="1">{"TEXTO DEL AVALUO",#N/A,TRUE,"AVALUO";"CALCULOS Y DICTAMEN",#N/A,TRUE,"CONDOMINIO"}</definedName>
    <definedName name="VVVVVVVVV" localSheetId="13" hidden="1">{"TEXTO DEL AVALUO",#N/A,TRUE,"AVALUO";"CALCULOS Y DICTAMEN",#N/A,TRUE,"CONDOMINIO"}</definedName>
    <definedName name="VVVVVVVVV" hidden="1">{"TEXTO DEL AVALUO",#N/A,TRUE,"AVALUO";"CALCULOS Y DICTAMEN",#N/A,TRUE,"CONDOMINIO"}</definedName>
    <definedName name="VVVVVVVVVV" localSheetId="5" hidden="1">{"TEXTO DEL AVALUO",#N/A,TRUE,"AVALUO";"CALCULOS Y DICTAMEN",#N/A,TRUE,"CONDOMINIO"}</definedName>
    <definedName name="VVVVVVVVVV" localSheetId="6" hidden="1">{"TEXTO DEL AVALUO",#N/A,TRUE,"AVALUO";"CALCULOS Y DICTAMEN",#N/A,TRUE,"CONDOMINIO"}</definedName>
    <definedName name="VVVVVVVVVV" localSheetId="4" hidden="1">{"TEXTO DEL AVALUO",#N/A,TRUE,"AVALUO";"CALCULOS Y DICTAMEN",#N/A,TRUE,"CONDOMINIO"}</definedName>
    <definedName name="VVVVVVVVVV" localSheetId="13" hidden="1">{"TEXTO DEL AVALUO",#N/A,TRUE,"AVALUO";"CALCULOS Y DICTAMEN",#N/A,TRUE,"CONDOMINIO"}</definedName>
    <definedName name="VVVVVVVVVV" hidden="1">{"TEXTO DEL AVALUO",#N/A,TRUE,"AVALUO";"CALCULOS Y DICTAMEN",#N/A,TRUE,"CONDOMINIO"}</definedName>
    <definedName name="w" hidden="1">#REF!</definedName>
    <definedName name="we" localSheetId="5" hidden="1">{#N/A,#N/A,FALSE,"SumG";#N/A,#N/A,FALSE,"ElecG";#N/A,#N/A,FALSE,"MechG";#N/A,#N/A,FALSE,"GeotG";#N/A,#N/A,FALSE,"PrcsG";#N/A,#N/A,FALSE,"TunnG";#N/A,#N/A,FALSE,"CivlG";#N/A,#N/A,FALSE,"NtwkG";#N/A,#N/A,FALSE,"EstgG";#N/A,#N/A,FALSE,"PEngG"}</definedName>
    <definedName name="we" localSheetId="6" hidden="1">{#N/A,#N/A,FALSE,"SumG";#N/A,#N/A,FALSE,"ElecG";#N/A,#N/A,FALSE,"MechG";#N/A,#N/A,FALSE,"GeotG";#N/A,#N/A,FALSE,"PrcsG";#N/A,#N/A,FALSE,"TunnG";#N/A,#N/A,FALSE,"CivlG";#N/A,#N/A,FALSE,"NtwkG";#N/A,#N/A,FALSE,"EstgG";#N/A,#N/A,FALSE,"PEngG"}</definedName>
    <definedName name="we" localSheetId="3" hidden="1">{#N/A,#N/A,FALSE,"SumG";#N/A,#N/A,FALSE,"ElecG";#N/A,#N/A,FALSE,"MechG";#N/A,#N/A,FALSE,"GeotG";#N/A,#N/A,FALSE,"PrcsG";#N/A,#N/A,FALSE,"TunnG";#N/A,#N/A,FALSE,"CivlG";#N/A,#N/A,FALSE,"NtwkG";#N/A,#N/A,FALSE,"EstgG";#N/A,#N/A,FALSE,"PEngG"}</definedName>
    <definedName name="we" localSheetId="4" hidden="1">{#N/A,#N/A,FALSE,"SumG";#N/A,#N/A,FALSE,"ElecG";#N/A,#N/A,FALSE,"MechG";#N/A,#N/A,FALSE,"GeotG";#N/A,#N/A,FALSE,"PrcsG";#N/A,#N/A,FALSE,"TunnG";#N/A,#N/A,FALSE,"CivlG";#N/A,#N/A,FALSE,"NtwkG";#N/A,#N/A,FALSE,"EstgG";#N/A,#N/A,FALSE,"PEngG"}</definedName>
    <definedName name="we" localSheetId="13" hidden="1">{#N/A,#N/A,FALSE,"SumG";#N/A,#N/A,FALSE,"ElecG";#N/A,#N/A,FALSE,"MechG";#N/A,#N/A,FALSE,"GeotG";#N/A,#N/A,FALSE,"PrcsG";#N/A,#N/A,FALSE,"TunnG";#N/A,#N/A,FALSE,"CivlG";#N/A,#N/A,FALSE,"NtwkG";#N/A,#N/A,FALSE,"EstgG";#N/A,#N/A,FALSE,"PEngG"}</definedName>
    <definedName name="we" hidden="1">{#N/A,#N/A,FALSE,"SumG";#N/A,#N/A,FALSE,"ElecG";#N/A,#N/A,FALSE,"MechG";#N/A,#N/A,FALSE,"GeotG";#N/A,#N/A,FALSE,"PrcsG";#N/A,#N/A,FALSE,"TunnG";#N/A,#N/A,FALSE,"CivlG";#N/A,#N/A,FALSE,"NtwkG";#N/A,#N/A,FALSE,"EstgG";#N/A,#N/A,FALSE,"PEngG"}</definedName>
    <definedName name="wedf" localSheetId="5" hidden="1">{#N/A,#N/A,FALSE,"SumG";#N/A,#N/A,FALSE,"ElecG";#N/A,#N/A,FALSE,"MechG";#N/A,#N/A,FALSE,"GeotG";#N/A,#N/A,FALSE,"PrcsG";#N/A,#N/A,FALSE,"TunnG";#N/A,#N/A,FALSE,"CivlG";#N/A,#N/A,FALSE,"NtwkG";#N/A,#N/A,FALSE,"EstgG";#N/A,#N/A,FALSE,"PEngG"}</definedName>
    <definedName name="wedf" localSheetId="6" hidden="1">{#N/A,#N/A,FALSE,"SumG";#N/A,#N/A,FALSE,"ElecG";#N/A,#N/A,FALSE,"MechG";#N/A,#N/A,FALSE,"GeotG";#N/A,#N/A,FALSE,"PrcsG";#N/A,#N/A,FALSE,"TunnG";#N/A,#N/A,FALSE,"CivlG";#N/A,#N/A,FALSE,"NtwkG";#N/A,#N/A,FALSE,"EstgG";#N/A,#N/A,FALSE,"PEngG"}</definedName>
    <definedName name="wedf" localSheetId="3" hidden="1">{#N/A,#N/A,FALSE,"SumG";#N/A,#N/A,FALSE,"ElecG";#N/A,#N/A,FALSE,"MechG";#N/A,#N/A,FALSE,"GeotG";#N/A,#N/A,FALSE,"PrcsG";#N/A,#N/A,FALSE,"TunnG";#N/A,#N/A,FALSE,"CivlG";#N/A,#N/A,FALSE,"NtwkG";#N/A,#N/A,FALSE,"EstgG";#N/A,#N/A,FALSE,"PEngG"}</definedName>
    <definedName name="wedf" localSheetId="4" hidden="1">{#N/A,#N/A,FALSE,"SumG";#N/A,#N/A,FALSE,"ElecG";#N/A,#N/A,FALSE,"MechG";#N/A,#N/A,FALSE,"GeotG";#N/A,#N/A,FALSE,"PrcsG";#N/A,#N/A,FALSE,"TunnG";#N/A,#N/A,FALSE,"CivlG";#N/A,#N/A,FALSE,"NtwkG";#N/A,#N/A,FALSE,"EstgG";#N/A,#N/A,FALSE,"PEngG"}</definedName>
    <definedName name="wedf" localSheetId="13" hidden="1">{#N/A,#N/A,FALSE,"SumG";#N/A,#N/A,FALSE,"ElecG";#N/A,#N/A,FALSE,"MechG";#N/A,#N/A,FALSE,"GeotG";#N/A,#N/A,FALSE,"PrcsG";#N/A,#N/A,FALSE,"TunnG";#N/A,#N/A,FALSE,"CivlG";#N/A,#N/A,FALSE,"NtwkG";#N/A,#N/A,FALSE,"EstgG";#N/A,#N/A,FALSE,"PEngG"}</definedName>
    <definedName name="wedf" hidden="1">{#N/A,#N/A,FALSE,"SumG";#N/A,#N/A,FALSE,"ElecG";#N/A,#N/A,FALSE,"MechG";#N/A,#N/A,FALSE,"GeotG";#N/A,#N/A,FALSE,"PrcsG";#N/A,#N/A,FALSE,"TunnG";#N/A,#N/A,FALSE,"CivlG";#N/A,#N/A,FALSE,"NtwkG";#N/A,#N/A,FALSE,"EstgG";#N/A,#N/A,FALSE,"PEngG"}</definedName>
    <definedName name="wedrf" localSheetId="5" hidden="1">{#N/A,#N/A,FALSE,"SumG";#N/A,#N/A,FALSE,"ElecG";#N/A,#N/A,FALSE,"MechG";#N/A,#N/A,FALSE,"GeotG";#N/A,#N/A,FALSE,"PrcsG";#N/A,#N/A,FALSE,"TunnG";#N/A,#N/A,FALSE,"CivlG";#N/A,#N/A,FALSE,"NtwkG";#N/A,#N/A,FALSE,"EstgG";#N/A,#N/A,FALSE,"PEngG"}</definedName>
    <definedName name="wedrf" localSheetId="6" hidden="1">{#N/A,#N/A,FALSE,"SumG";#N/A,#N/A,FALSE,"ElecG";#N/A,#N/A,FALSE,"MechG";#N/A,#N/A,FALSE,"GeotG";#N/A,#N/A,FALSE,"PrcsG";#N/A,#N/A,FALSE,"TunnG";#N/A,#N/A,FALSE,"CivlG";#N/A,#N/A,FALSE,"NtwkG";#N/A,#N/A,FALSE,"EstgG";#N/A,#N/A,FALSE,"PEngG"}</definedName>
    <definedName name="wedrf" localSheetId="3" hidden="1">{#N/A,#N/A,FALSE,"SumG";#N/A,#N/A,FALSE,"ElecG";#N/A,#N/A,FALSE,"MechG";#N/A,#N/A,FALSE,"GeotG";#N/A,#N/A,FALSE,"PrcsG";#N/A,#N/A,FALSE,"TunnG";#N/A,#N/A,FALSE,"CivlG";#N/A,#N/A,FALSE,"NtwkG";#N/A,#N/A,FALSE,"EstgG";#N/A,#N/A,FALSE,"PEngG"}</definedName>
    <definedName name="wedrf" localSheetId="4" hidden="1">{#N/A,#N/A,FALSE,"SumG";#N/A,#N/A,FALSE,"ElecG";#N/A,#N/A,FALSE,"MechG";#N/A,#N/A,FALSE,"GeotG";#N/A,#N/A,FALSE,"PrcsG";#N/A,#N/A,FALSE,"TunnG";#N/A,#N/A,FALSE,"CivlG";#N/A,#N/A,FALSE,"NtwkG";#N/A,#N/A,FALSE,"EstgG";#N/A,#N/A,FALSE,"PEngG"}</definedName>
    <definedName name="wedrf" localSheetId="13" hidden="1">{#N/A,#N/A,FALSE,"SumG";#N/A,#N/A,FALSE,"ElecG";#N/A,#N/A,FALSE,"MechG";#N/A,#N/A,FALSE,"GeotG";#N/A,#N/A,FALSE,"PrcsG";#N/A,#N/A,FALSE,"TunnG";#N/A,#N/A,FALSE,"CivlG";#N/A,#N/A,FALSE,"NtwkG";#N/A,#N/A,FALSE,"EstgG";#N/A,#N/A,FALSE,"PEngG"}</definedName>
    <definedName name="wedrf" hidden="1">{#N/A,#N/A,FALSE,"SumG";#N/A,#N/A,FALSE,"ElecG";#N/A,#N/A,FALSE,"MechG";#N/A,#N/A,FALSE,"GeotG";#N/A,#N/A,FALSE,"PrcsG";#N/A,#N/A,FALSE,"TunnG";#N/A,#N/A,FALSE,"CivlG";#N/A,#N/A,FALSE,"NtwkG";#N/A,#N/A,FALSE,"EstgG";#N/A,#N/A,FALSE,"PEngG"}</definedName>
    <definedName name="weq" localSheetId="5" hidden="1">{#N/A,#N/A,FALSE,"SumD";#N/A,#N/A,FALSE,"ElecD";#N/A,#N/A,FALSE,"MechD";#N/A,#N/A,FALSE,"GeotD";#N/A,#N/A,FALSE,"PrcsD";#N/A,#N/A,FALSE,"TunnD";#N/A,#N/A,FALSE,"CivlD";#N/A,#N/A,FALSE,"NtwkD";#N/A,#N/A,FALSE,"EstgD";#N/A,#N/A,FALSE,"PEngD"}</definedName>
    <definedName name="weq" localSheetId="6" hidden="1">{#N/A,#N/A,FALSE,"SumD";#N/A,#N/A,FALSE,"ElecD";#N/A,#N/A,FALSE,"MechD";#N/A,#N/A,FALSE,"GeotD";#N/A,#N/A,FALSE,"PrcsD";#N/A,#N/A,FALSE,"TunnD";#N/A,#N/A,FALSE,"CivlD";#N/A,#N/A,FALSE,"NtwkD";#N/A,#N/A,FALSE,"EstgD";#N/A,#N/A,FALSE,"PEngD"}</definedName>
    <definedName name="weq" localSheetId="3" hidden="1">{#N/A,#N/A,FALSE,"SumD";#N/A,#N/A,FALSE,"ElecD";#N/A,#N/A,FALSE,"MechD";#N/A,#N/A,FALSE,"GeotD";#N/A,#N/A,FALSE,"PrcsD";#N/A,#N/A,FALSE,"TunnD";#N/A,#N/A,FALSE,"CivlD";#N/A,#N/A,FALSE,"NtwkD";#N/A,#N/A,FALSE,"EstgD";#N/A,#N/A,FALSE,"PEngD"}</definedName>
    <definedName name="weq" localSheetId="4"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TWRTYA" localSheetId="5" hidden="1">{#N/A,#N/A,FALSE,"SumD";#N/A,#N/A,FALSE,"ElecD";#N/A,#N/A,FALSE,"MechD";#N/A,#N/A,FALSE,"GeotD";#N/A,#N/A,FALSE,"PrcsD";#N/A,#N/A,FALSE,"TunnD";#N/A,#N/A,FALSE,"CivlD";#N/A,#N/A,FALSE,"NtwkD";#N/A,#N/A,FALSE,"EstgD";#N/A,#N/A,FALSE,"PEngD"}</definedName>
    <definedName name="WETWRTYA" localSheetId="6" hidden="1">{#N/A,#N/A,FALSE,"SumD";#N/A,#N/A,FALSE,"ElecD";#N/A,#N/A,FALSE,"MechD";#N/A,#N/A,FALSE,"GeotD";#N/A,#N/A,FALSE,"PrcsD";#N/A,#N/A,FALSE,"TunnD";#N/A,#N/A,FALSE,"CivlD";#N/A,#N/A,FALSE,"NtwkD";#N/A,#N/A,FALSE,"EstgD";#N/A,#N/A,FALSE,"PEngD"}</definedName>
    <definedName name="WETWRTYA" localSheetId="4"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iese" localSheetId="5" hidden="1">{#N/A,#N/A,FALSE,"ACTIVO FIJO";#N/A,#N/A,FALSE,"COBRAR";#N/A,#N/A,FALSE,"AFILIADAS";#N/A,#N/A,FALSE,"PAGAR";#N/A,#N/A,FALSE,"INSTIT. FINANCIERAS";#N/A,#N/A,FALSE,"VALORES"}</definedName>
    <definedName name="wiese" localSheetId="6" hidden="1">{#N/A,#N/A,FALSE,"ACTIVO FIJO";#N/A,#N/A,FALSE,"COBRAR";#N/A,#N/A,FALSE,"AFILIADAS";#N/A,#N/A,FALSE,"PAGAR";#N/A,#N/A,FALSE,"INSTIT. FINANCIERAS";#N/A,#N/A,FALSE,"VALORES"}</definedName>
    <definedName name="wiese" localSheetId="4" hidden="1">{#N/A,#N/A,FALSE,"ACTIVO FIJO";#N/A,#N/A,FALSE,"COBRAR";#N/A,#N/A,FALSE,"AFILIADAS";#N/A,#N/A,FALSE,"PAGAR";#N/A,#N/A,FALSE,"INSTIT. FINANCIERAS";#N/A,#N/A,FALSE,"VALORES"}</definedName>
    <definedName name="wiese" localSheetId="13" hidden="1">{#N/A,#N/A,FALSE,"ACTIVO FIJO";#N/A,#N/A,FALSE,"COBRAR";#N/A,#N/A,FALSE,"AFILIADAS";#N/A,#N/A,FALSE,"PAGAR";#N/A,#N/A,FALSE,"INSTIT. FINANCIERAS";#N/A,#N/A,FALSE,"VALORES"}</definedName>
    <definedName name="wiese" hidden="1">{#N/A,#N/A,FALSE,"ACTIVO FIJO";#N/A,#N/A,FALSE,"COBRAR";#N/A,#N/A,FALSE,"AFILIADAS";#N/A,#N/A,FALSE,"PAGAR";#N/A,#N/A,FALSE,"INSTIT. FINANCIERAS";#N/A,#N/A,FALSE,"VALORES"}</definedName>
    <definedName name="wiese_1" localSheetId="5" hidden="1">{#N/A,#N/A,FALSE,"ACTIVO FIJO";#N/A,#N/A,FALSE,"COBRAR";#N/A,#N/A,FALSE,"AFILIADAS";#N/A,#N/A,FALSE,"PAGAR";#N/A,#N/A,FALSE,"INSTIT. FINANCIERAS";#N/A,#N/A,FALSE,"VALORES"}</definedName>
    <definedName name="wiese_1" localSheetId="6" hidden="1">{#N/A,#N/A,FALSE,"ACTIVO FIJO";#N/A,#N/A,FALSE,"COBRAR";#N/A,#N/A,FALSE,"AFILIADAS";#N/A,#N/A,FALSE,"PAGAR";#N/A,#N/A,FALSE,"INSTIT. FINANCIERAS";#N/A,#N/A,FALSE,"VALORES"}</definedName>
    <definedName name="wiese_1" localSheetId="4" hidden="1">{#N/A,#N/A,FALSE,"ACTIVO FIJO";#N/A,#N/A,FALSE,"COBRAR";#N/A,#N/A,FALSE,"AFILIADAS";#N/A,#N/A,FALSE,"PAGAR";#N/A,#N/A,FALSE,"INSTIT. FINANCIERAS";#N/A,#N/A,FALSE,"VALORES"}</definedName>
    <definedName name="wiese_1" localSheetId="13" hidden="1">{#N/A,#N/A,FALSE,"ACTIVO FIJO";#N/A,#N/A,FALSE,"COBRAR";#N/A,#N/A,FALSE,"AFILIADAS";#N/A,#N/A,FALSE,"PAGAR";#N/A,#N/A,FALSE,"INSTIT. FINANCIERAS";#N/A,#N/A,FALSE,"VALORES"}</definedName>
    <definedName name="wiese_1" hidden="1">{#N/A,#N/A,FALSE,"ACTIVO FIJO";#N/A,#N/A,FALSE,"COBRAR";#N/A,#N/A,FALSE,"AFILIADAS";#N/A,#N/A,FALSE,"PAGAR";#N/A,#N/A,FALSE,"INSTIT. FINANCIERAS";#N/A,#N/A,FALSE,"VALORES"}</definedName>
    <definedName name="WORK" hidden="1">#REF!</definedName>
    <definedName name="wqqqeee" localSheetId="5" hidden="1">{#N/A,#N/A,FALSE,"SumG";#N/A,#N/A,FALSE,"ElecG";#N/A,#N/A,FALSE,"MechG";#N/A,#N/A,FALSE,"GeotG";#N/A,#N/A,FALSE,"PrcsG";#N/A,#N/A,FALSE,"TunnG";#N/A,#N/A,FALSE,"CivlG";#N/A,#N/A,FALSE,"NtwkG";#N/A,#N/A,FALSE,"EstgG";#N/A,#N/A,FALSE,"PEngG"}</definedName>
    <definedName name="wqqqeee" localSheetId="6" hidden="1">{#N/A,#N/A,FALSE,"SumG";#N/A,#N/A,FALSE,"ElecG";#N/A,#N/A,FALSE,"MechG";#N/A,#N/A,FALSE,"GeotG";#N/A,#N/A,FALSE,"PrcsG";#N/A,#N/A,FALSE,"TunnG";#N/A,#N/A,FALSE,"CivlG";#N/A,#N/A,FALSE,"NtwkG";#N/A,#N/A,FALSE,"EstgG";#N/A,#N/A,FALSE,"PEngG"}</definedName>
    <definedName name="wqqqeee" localSheetId="3" hidden="1">{#N/A,#N/A,FALSE,"SumG";#N/A,#N/A,FALSE,"ElecG";#N/A,#N/A,FALSE,"MechG";#N/A,#N/A,FALSE,"GeotG";#N/A,#N/A,FALSE,"PrcsG";#N/A,#N/A,FALSE,"TunnG";#N/A,#N/A,FALSE,"CivlG";#N/A,#N/A,FALSE,"NtwkG";#N/A,#N/A,FALSE,"EstgG";#N/A,#N/A,FALSE,"PEngG"}</definedName>
    <definedName name="wqqqeee" localSheetId="4" hidden="1">{#N/A,#N/A,FALSE,"SumG";#N/A,#N/A,FALSE,"ElecG";#N/A,#N/A,FALSE,"MechG";#N/A,#N/A,FALSE,"GeotG";#N/A,#N/A,FALSE,"PrcsG";#N/A,#N/A,FALSE,"TunnG";#N/A,#N/A,FALSE,"CivlG";#N/A,#N/A,FALSE,"NtwkG";#N/A,#N/A,FALSE,"EstgG";#N/A,#N/A,FALSE,"PEngG"}</definedName>
    <definedName name="wqqqeee" localSheetId="13" hidden="1">{#N/A,#N/A,FALSE,"SumG";#N/A,#N/A,FALSE,"ElecG";#N/A,#N/A,FALSE,"MechG";#N/A,#N/A,FALSE,"GeotG";#N/A,#N/A,FALSE,"PrcsG";#N/A,#N/A,FALSE,"TunnG";#N/A,#N/A,FALSE,"CivlG";#N/A,#N/A,FALSE,"NtwkG";#N/A,#N/A,FALSE,"EstgG";#N/A,#N/A,FALSE,"PEngG"}</definedName>
    <definedName name="wqqqeee" hidden="1">{#N/A,#N/A,FALSE,"SumG";#N/A,#N/A,FALSE,"ElecG";#N/A,#N/A,FALSE,"MechG";#N/A,#N/A,FALSE,"GeotG";#N/A,#N/A,FALSE,"PrcsG";#N/A,#N/A,FALSE,"TunnG";#N/A,#N/A,FALSE,"CivlG";#N/A,#N/A,FALSE,"NtwkG";#N/A,#N/A,FALSE,"EstgG";#N/A,#N/A,FALSE,"PEngG"}</definedName>
    <definedName name="wqs" hidden="1">#REF!</definedName>
    <definedName name="wra" hidden="1">#REF!</definedName>
    <definedName name="wrn.17505." localSheetId="5" hidden="1">{#N/A,#N/A,FALSE,"AVALUO";#N/A,#N/A,FALSE,"CONDOMINIO";#N/A,#N/A,FALSE,"IGECEM"}</definedName>
    <definedName name="wrn.17505." localSheetId="6" hidden="1">{#N/A,#N/A,FALSE,"AVALUO";#N/A,#N/A,FALSE,"CONDOMINIO";#N/A,#N/A,FALSE,"IGECEM"}</definedName>
    <definedName name="wrn.17505." localSheetId="4" hidden="1">{#N/A,#N/A,FALSE,"AVALUO";#N/A,#N/A,FALSE,"CONDOMINIO";#N/A,#N/A,FALSE,"IGECEM"}</definedName>
    <definedName name="wrn.17505." localSheetId="13" hidden="1">{#N/A,#N/A,FALSE,"AVALUO";#N/A,#N/A,FALSE,"CONDOMINIO";#N/A,#N/A,FALSE,"IGECEM"}</definedName>
    <definedName name="wrn.17505." hidden="1">{#N/A,#N/A,FALSE,"AVALUO";#N/A,#N/A,FALSE,"CONDOMINIO";#N/A,#N/A,FALSE,"IGECEM"}</definedName>
    <definedName name="wrn.Aging._.and._.Trend._.Analysis." localSheetId="5"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5" hidden="1">{#N/A,#N/A,FALSE,"Pricing";#N/A,#N/A,FALSE,"Summary";#N/A,#N/A,FALSE,"CompProd";#N/A,#N/A,FALSE,"CompJobhrs";#N/A,#N/A,FALSE,"Escalation";#N/A,#N/A,FALSE,"Contingency";#N/A,#N/A,FALSE,"GM";#N/A,#N/A,FALSE,"CompWage";#N/A,#N/A,FALSE,"costSum"}</definedName>
    <definedName name="wrn.all." localSheetId="6" hidden="1">{#N/A,#N/A,FALSE,"Pricing";#N/A,#N/A,FALSE,"Summary";#N/A,#N/A,FALSE,"CompProd";#N/A,#N/A,FALSE,"CompJobhrs";#N/A,#N/A,FALSE,"Escalation";#N/A,#N/A,FALSE,"Contingency";#N/A,#N/A,FALSE,"GM";#N/A,#N/A,FALSE,"CompWage";#N/A,#N/A,FALSE,"costSum"}</definedName>
    <definedName name="wrn.all." localSheetId="3" hidden="1">{#N/A,#N/A,FALSE,"Pricing";#N/A,#N/A,FALSE,"Summary";#N/A,#N/A,FALSE,"CompProd";#N/A,#N/A,FALSE,"CompJobhrs";#N/A,#N/A,FALSE,"Escalation";#N/A,#N/A,FALSE,"Contingency";#N/A,#N/A,FALSE,"GM";#N/A,#N/A,FALSE,"CompWage";#N/A,#N/A,FALSE,"costSum"}</definedName>
    <definedName name="wrn.all." localSheetId="4"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Equipment." localSheetId="5" hidden="1">{#N/A,#N/A,TRUE,"LP-CO2X"}</definedName>
    <definedName name="wrn.All._.Equipment." localSheetId="6" hidden="1">{#N/A,#N/A,TRUE,"LP-CO2X"}</definedName>
    <definedName name="wrn.All._.Equipment." localSheetId="4" hidden="1">{#N/A,#N/A,TRUE,"LP-CO2X"}</definedName>
    <definedName name="wrn.All._.Equipment." localSheetId="13" hidden="1">{#N/A,#N/A,TRUE,"LP-CO2X"}</definedName>
    <definedName name="wrn.All._.Equipment." hidden="1">{#N/A,#N/A,TRUE,"LP-CO2X"}</definedName>
    <definedName name="wrn.ARA." localSheetId="5" hidden="1">{"ARA1",#N/A,FALSE,"ENG-ARA";"ARAhours",#N/A,FALSE,"ENG-ARA";"ARA$",#N/A,FALSE,"ENG-ARA"}</definedName>
    <definedName name="wrn.ARA." localSheetId="6" hidden="1">{"ARA1",#N/A,FALSE,"ENG-ARA";"ARAhours",#N/A,FALSE,"ENG-ARA";"ARA$",#N/A,FALSE,"ENG-ARA"}</definedName>
    <definedName name="wrn.ARA." localSheetId="4" hidden="1">{"ARA1",#N/A,FALSE,"ENG-ARA";"ARAhours",#N/A,FALSE,"ENG-ARA";"ARA$",#N/A,FALSE,"ENG-ARA"}</definedName>
    <definedName name="wrn.ARA." localSheetId="13" hidden="1">{"ARA1",#N/A,FALSE,"ENG-ARA";"ARAhours",#N/A,FALSE,"ENG-ARA";"ARA$",#N/A,FALSE,"ENG-ARA"}</definedName>
    <definedName name="wrn.ARA." hidden="1">{"ARA1",#N/A,FALSE,"ENG-ARA";"ARAhours",#N/A,FALSE,"ENG-ARA";"ARA$",#N/A,FALSE,"ENG-ARA"}</definedName>
    <definedName name="wrn.AVALUO._.DE._.CONDOMINIO." localSheetId="5" hidden="1">{"AVALUO DE TEXTO",#N/A,FALSE,"AVALUO";"CALCULOS EN CONDOMINIO",#N/A,FALSE,"CONDOMINIO"}</definedName>
    <definedName name="wrn.AVALUO._.DE._.CONDOMINIO." localSheetId="6" hidden="1">{"AVALUO DE TEXTO",#N/A,FALSE,"AVALUO";"CALCULOS EN CONDOMINIO",#N/A,FALSE,"CONDOMINIO"}</definedName>
    <definedName name="wrn.AVALUO._.DE._.CONDOMINIO." localSheetId="4" hidden="1">{"AVALUO DE TEXTO",#N/A,FALSE,"AVALUO";"CALCULOS EN CONDOMINIO",#N/A,FALSE,"CONDOMINIO"}</definedName>
    <definedName name="wrn.AVALUO._.DE._.CONDOMINIO." localSheetId="13" hidden="1">{"AVALUO DE TEXTO",#N/A,FALSE,"AVALUO";"CALCULOS EN CONDOMINIO",#N/A,FALSE,"CONDOMINIO"}</definedName>
    <definedName name="wrn.AVALUO._.DE._.CONDOMINIO." hidden="1">{"AVALUO DE TEXTO",#N/A,FALSE,"AVALUO";"CALCULOS EN CONDOMINIO",#N/A,FALSE,"CONDOMINIO"}</definedName>
    <definedName name="wrn.bechtel._.hours." localSheetId="5" hidden="1">{"bechtel1",#N/A,TRUE,"BECHTEL";"bechtelhours",#N/A,TRUE,"BECHTEL";"bechtel$",#N/A,TRUE,"BECHTEL"}</definedName>
    <definedName name="wrn.bechtel._.hours." localSheetId="6" hidden="1">{"bechtel1",#N/A,TRUE,"BECHTEL";"bechtelhours",#N/A,TRUE,"BECHTEL";"bechtel$",#N/A,TRUE,"BECHTEL"}</definedName>
    <definedName name="wrn.bechtel._.hours." localSheetId="4" hidden="1">{"bechtel1",#N/A,TRUE,"BECHTEL";"bechtelhours",#N/A,TRUE,"BECHTEL";"bechtel$",#N/A,TRUE,"BECHTEL"}</definedName>
    <definedName name="wrn.bechtel._.hours." localSheetId="13" hidden="1">{"bechtel1",#N/A,TRUE,"BECHTEL";"bechtelhours",#N/A,TRUE,"BECHTEL";"bechtel$",#N/A,TRUE,"BECHTEL"}</definedName>
    <definedName name="wrn.bechtel._.hours." hidden="1">{"bechtel1",#N/A,TRUE,"BECHTEL";"bechtelhours",#N/A,TRUE,"BECHTEL";"bechtel$",#N/A,TRUE,"BECHTEL"}</definedName>
    <definedName name="wrn.civil._.works." localSheetId="5" hidden="1">{#N/A,#N/A,TRUE,"1842CWN0"}</definedName>
    <definedName name="wrn.civil._.works." localSheetId="6" hidden="1">{#N/A,#N/A,TRUE,"1842CWN0"}</definedName>
    <definedName name="wrn.civil._.works." localSheetId="3" hidden="1">{#N/A,#N/A,TRUE,"1842CWN0"}</definedName>
    <definedName name="wrn.civil._.works." localSheetId="4" hidden="1">{#N/A,#N/A,TRUE,"1842CWN0"}</definedName>
    <definedName name="wrn.civil._.works." localSheetId="13" hidden="1">{#N/A,#N/A,TRUE,"1842CWN0"}</definedName>
    <definedName name="wrn.civil._.works." hidden="1">{#N/A,#N/A,TRUE,"1842CWN0"}</definedName>
    <definedName name="wrn.COST_SHEETS." localSheetId="5" hidden="1">{#N/A,#N/A,FALSE,"WBS 1.06";#N/A,#N/A,FALSE,"WBS 1.14";#N/A,#N/A,FALSE,"WBS 1.17";#N/A,#N/A,FALSE,"WBS 1.18"}</definedName>
    <definedName name="wrn.COST_SHEETS." localSheetId="6" hidden="1">{#N/A,#N/A,FALSE,"WBS 1.06";#N/A,#N/A,FALSE,"WBS 1.14";#N/A,#N/A,FALSE,"WBS 1.17";#N/A,#N/A,FALSE,"WBS 1.18"}</definedName>
    <definedName name="wrn.COST_SHEETS." localSheetId="3" hidden="1">{#N/A,#N/A,FALSE,"WBS 1.06";#N/A,#N/A,FALSE,"WBS 1.14";#N/A,#N/A,FALSE,"WBS 1.17";#N/A,#N/A,FALSE,"WBS 1.18"}</definedName>
    <definedName name="wrn.COST_SHEETS." localSheetId="4" hidden="1">{#N/A,#N/A,FALSE,"WBS 1.06";#N/A,#N/A,FALSE,"WBS 1.14";#N/A,#N/A,FALSE,"WBS 1.17";#N/A,#N/A,FALSE,"WBS 1.18"}</definedName>
    <definedName name="wrn.COST_SHEETS." localSheetId="13" hidden="1">{#N/A,#N/A,FALSE,"WBS 1.06";#N/A,#N/A,FALSE,"WBS 1.14";#N/A,#N/A,FALSE,"WBS 1.17";#N/A,#N/A,FALSE,"WBS 1.18"}</definedName>
    <definedName name="wrn.COST_SHEETS." hidden="1">{#N/A,#N/A,FALSE,"WBS 1.06";#N/A,#N/A,FALSE,"WBS 1.14";#N/A,#N/A,FALSE,"WBS 1.17";#N/A,#N/A,FALSE,"WBS 1.18"}</definedName>
    <definedName name="wrn.Detail." localSheetId="5" hidden="1">{#N/A,#N/A,FALSE,"Matrix";#N/A,#N/A,FALSE,"Executive";#N/A,#N/A,FALSE,"Summary";#N/A,#N/A,FALSE,"Office1";#N/A,#N/A,FALSE,"Office2";#N/A,#N/A,FALSE,"Office3";#N/A,#N/A,FALSE,"Office4";#N/A,#N/A,FALSE,"Office5";#N/A,#N/A,FALSE,"Office6";#N/A,#N/A,FALSE,"Office7";#N/A,#N/A,FALSE,"Labor"}</definedName>
    <definedName name="wrn.Detail." localSheetId="6" hidden="1">{#N/A,#N/A,FALSE,"Matrix";#N/A,#N/A,FALSE,"Executive";#N/A,#N/A,FALSE,"Summary";#N/A,#N/A,FALSE,"Office1";#N/A,#N/A,FALSE,"Office2";#N/A,#N/A,FALSE,"Office3";#N/A,#N/A,FALSE,"Office4";#N/A,#N/A,FALSE,"Office5";#N/A,#N/A,FALSE,"Office6";#N/A,#N/A,FALSE,"Office7";#N/A,#N/A,FALSE,"Labor"}</definedName>
    <definedName name="wrn.Detail." localSheetId="4"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EXECUTIVE._.REPORT." localSheetId="5" hidden="1">{#N/A,#N/A,FALSE,"ACTIVO FIJO";#N/A,#N/A,FALSE,"COBRAR";#N/A,#N/A,FALSE,"AFILIADAS";#N/A,#N/A,FALSE,"PAGAR";#N/A,#N/A,FALSE,"INSTIT. FINANCIERAS";#N/A,#N/A,FALSE,"VALORES"}</definedName>
    <definedName name="wrn.EXECUTIVE._.REPORT." localSheetId="6" hidden="1">{#N/A,#N/A,FALSE,"ACTIVO FIJO";#N/A,#N/A,FALSE,"COBRAR";#N/A,#N/A,FALSE,"AFILIADAS";#N/A,#N/A,FALSE,"PAGAR";#N/A,#N/A,FALSE,"INSTIT. FINANCIERAS";#N/A,#N/A,FALSE,"VALORES"}</definedName>
    <definedName name="wrn.EXECUTIVE._.REPORT." localSheetId="4" hidden="1">{#N/A,#N/A,FALSE,"ACTIVO FIJO";#N/A,#N/A,FALSE,"COBRAR";#N/A,#N/A,FALSE,"AFILIADAS";#N/A,#N/A,FALSE,"PAGAR";#N/A,#N/A,FALSE,"INSTIT. FINANCIERAS";#N/A,#N/A,FALSE,"VALORES"}</definedName>
    <definedName name="wrn.EXECUTIVE._.REPORT." localSheetId="13" hidden="1">{#N/A,#N/A,FALSE,"ACTIVO FIJO";#N/A,#N/A,FALSE,"COBRAR";#N/A,#N/A,FALSE,"AFILIADAS";#N/A,#N/A,FALSE,"PAGAR";#N/A,#N/A,FALSE,"INSTIT. FINANCIERAS";#N/A,#N/A,FALSE,"VALORES"}</definedName>
    <definedName name="wrn.EXECUTIVE._.REPORT." hidden="1">{#N/A,#N/A,FALSE,"ACTIVO FIJO";#N/A,#N/A,FALSE,"COBRAR";#N/A,#N/A,FALSE,"AFILIADAS";#N/A,#N/A,FALSE,"PAGAR";#N/A,#N/A,FALSE,"INSTIT. FINANCIERAS";#N/A,#N/A,FALSE,"VALORES"}</definedName>
    <definedName name="wrn.EXECUTIVE._.REPORT._1" localSheetId="5" hidden="1">{#N/A,#N/A,FALSE,"ACTIVO FIJO";#N/A,#N/A,FALSE,"COBRAR";#N/A,#N/A,FALSE,"AFILIADAS";#N/A,#N/A,FALSE,"PAGAR";#N/A,#N/A,FALSE,"INSTIT. FINANCIERAS";#N/A,#N/A,FALSE,"VALORES"}</definedName>
    <definedName name="wrn.EXECUTIVE._.REPORT._1" localSheetId="6" hidden="1">{#N/A,#N/A,FALSE,"ACTIVO FIJO";#N/A,#N/A,FALSE,"COBRAR";#N/A,#N/A,FALSE,"AFILIADAS";#N/A,#N/A,FALSE,"PAGAR";#N/A,#N/A,FALSE,"INSTIT. FINANCIERAS";#N/A,#N/A,FALSE,"VALORES"}</definedName>
    <definedName name="wrn.EXECUTIVE._.REPORT._1" localSheetId="4" hidden="1">{#N/A,#N/A,FALSE,"ACTIVO FIJO";#N/A,#N/A,FALSE,"COBRAR";#N/A,#N/A,FALSE,"AFILIADAS";#N/A,#N/A,FALSE,"PAGAR";#N/A,#N/A,FALSE,"INSTIT. FINANCIERAS";#N/A,#N/A,FALSE,"VALORES"}</definedName>
    <definedName name="wrn.EXECUTIVE._.REPORT._1" localSheetId="13" hidden="1">{#N/A,#N/A,FALSE,"ACTIVO FIJO";#N/A,#N/A,FALSE,"COBRAR";#N/A,#N/A,FALSE,"AFILIADAS";#N/A,#N/A,FALSE,"PAGAR";#N/A,#N/A,FALSE,"INSTIT. FINANCIERAS";#N/A,#N/A,FALSE,"VALORES"}</definedName>
    <definedName name="wrn.EXECUTIVE._.REPORT._1" hidden="1">{#N/A,#N/A,FALSE,"ACTIVO FIJO";#N/A,#N/A,FALSE,"COBRAR";#N/A,#N/A,FALSE,"AFILIADAS";#N/A,#N/A,FALSE,"PAGAR";#N/A,#N/A,FALSE,"INSTIT. FINANCIERAS";#N/A,#N/A,FALSE,"VALORES"}</definedName>
    <definedName name="wrn.FORMATOS." localSheetId="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5" hidden="1">{#N/A,#N/A,FALSE,"E-1";#N/A,#N/A,FALSE,"E-2";#N/A,#N/A,FALSE,"F-1";#N/A,#N/A,FALSE,"F-2";#N/A,#N/A,FALSE,"F-3";#N/A,#N/A,FALSE,"F-4";#N/A,#N/A,FALSE,"F-5";#N/A,#N/A,FALSE,"F-6";#N/A,#N/A,FALSE,"Matrix"}</definedName>
    <definedName name="wrn.Forms." localSheetId="6" hidden="1">{#N/A,#N/A,FALSE,"E-1";#N/A,#N/A,FALSE,"E-2";#N/A,#N/A,FALSE,"F-1";#N/A,#N/A,FALSE,"F-2";#N/A,#N/A,FALSE,"F-3";#N/A,#N/A,FALSE,"F-4";#N/A,#N/A,FALSE,"F-5";#N/A,#N/A,FALSE,"F-6";#N/A,#N/A,FALSE,"Matrix"}</definedName>
    <definedName name="wrn.Forms." localSheetId="4"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ENCIA." localSheetId="5" hidden="1">{#N/A,#N/A,TRUE,"INGENIERIA";#N/A,#N/A,TRUE,"COMPRAS";#N/A,#N/A,TRUE,"DIRECCION";#N/A,#N/A,TRUE,"RESUMEN"}</definedName>
    <definedName name="wrn.GERENCIA." localSheetId="6" hidden="1">{#N/A,#N/A,TRUE,"INGENIERIA";#N/A,#N/A,TRUE,"COMPRAS";#N/A,#N/A,TRUE,"DIRECCION";#N/A,#N/A,TRUE,"RESUMEN"}</definedName>
    <definedName name="wrn.GERENCIA." localSheetId="3" hidden="1">{#N/A,#N/A,TRUE,"INGENIERIA";#N/A,#N/A,TRUE,"COMPRAS";#N/A,#N/A,TRUE,"DIRECCION";#N/A,#N/A,TRUE,"RESUMEN"}</definedName>
    <definedName name="wrn.GERENCIA." localSheetId="4" hidden="1">{#N/A,#N/A,TRUE,"INGENIERIA";#N/A,#N/A,TRUE,"COMPRAS";#N/A,#N/A,TRUE,"DIRECCION";#N/A,#N/A,TRUE,"RESUMEN"}</definedName>
    <definedName name="wrn.GERENCIA." localSheetId="13" hidden="1">{#N/A,#N/A,TRUE,"INGENIERIA";#N/A,#N/A,TRUE,"COMPRAS";#N/A,#N/A,TRUE,"DIRECCION";#N/A,#N/A,TRUE,"RESUMEN"}</definedName>
    <definedName name="wrn.GERENCIA." hidden="1">{#N/A,#N/A,TRUE,"INGENIERIA";#N/A,#N/A,TRUE,"COMPRAS";#N/A,#N/A,TRUE,"DIRECCION";#N/A,#N/A,TRUE,"RESUMEN"}</definedName>
    <definedName name="wrn.INFORME._.No.._.30." localSheetId="5" hidden="1">{#N/A,#N/A,FALSE,"DET-CAMB.";#N/A,#N/A,FALSE,"PRESUP.";#N/A,#N/A,FALSE,"RESUMEN";#N/A,#N/A,FALSE,"CT";#N/A,#N/A,FALSE,"PD";#N/A,#N/A,FALSE,"PR"}</definedName>
    <definedName name="wrn.INFORME._.No.._.30." localSheetId="6" hidden="1">{#N/A,#N/A,FALSE,"DET-CAMB.";#N/A,#N/A,FALSE,"PRESUP.";#N/A,#N/A,FALSE,"RESUMEN";#N/A,#N/A,FALSE,"CT";#N/A,#N/A,FALSE,"PD";#N/A,#N/A,FALSE,"PR"}</definedName>
    <definedName name="wrn.INFORME._.No.._.30." localSheetId="3" hidden="1">{#N/A,#N/A,FALSE,"DET-CAMB.";#N/A,#N/A,FALSE,"PRESUP.";#N/A,#N/A,FALSE,"RESUMEN";#N/A,#N/A,FALSE,"CT";#N/A,#N/A,FALSE,"PD";#N/A,#N/A,FALSE,"PR"}</definedName>
    <definedName name="wrn.INFORME._.No.._.30." localSheetId="4"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hidden="1">{#N/A,#N/A,FALSE,"DET-CAMB.";#N/A,#N/A,FALSE,"PRESUP.";#N/A,#N/A,FALSE,"RESUMEN";#N/A,#N/A,FALSE,"CT";#N/A,#N/A,FALSE,"PD";#N/A,#N/A,FALSE,"PR"}</definedName>
    <definedName name="wrn.MEMO._.DE._.BASES._.H.M.." localSheetId="5" hidden="1">{"ANVERSO",#N/A,FALSE,"MEMBASES";"REVERSO",#N/A,FALSE,"MEMBASES"}</definedName>
    <definedName name="wrn.MEMO._.DE._.BASES._.H.M.." localSheetId="6" hidden="1">{"ANVERSO",#N/A,FALSE,"MEMBASES";"REVERSO",#N/A,FALSE,"MEMBASES"}</definedName>
    <definedName name="wrn.MEMO._.DE._.BASES._.H.M.." localSheetId="4" hidden="1">{"ANVERSO",#N/A,FALSE,"MEMBASES";"REVERSO",#N/A,FALSE,"MEMBASES"}</definedName>
    <definedName name="wrn.MEMO._.DE._.BASES._.H.M.." localSheetId="13" hidden="1">{"ANVERSO",#N/A,FALSE,"MEMBASES";"REVERSO",#N/A,FALSE,"MEMBASES"}</definedName>
    <definedName name="wrn.MEMO._.DE._.BASES._.H.M.." hidden="1">{"ANVERSO",#N/A,FALSE,"MEMBASES";"REVERSO",#N/A,FALSE,"MEMBASES"}</definedName>
    <definedName name="wrn.Nelson._.Summary." localSheetId="5" hidden="1">{#N/A,#N/A,FALSE,"subcontract"}</definedName>
    <definedName name="wrn.Nelson._.Summary." localSheetId="6" hidden="1">{#N/A,#N/A,FALSE,"subcontract"}</definedName>
    <definedName name="wrn.Nelson._.Summary." localSheetId="4" hidden="1">{#N/A,#N/A,FALSE,"subcontract"}</definedName>
    <definedName name="wrn.Nelson._.Summary." localSheetId="13" hidden="1">{#N/A,#N/A,FALSE,"subcontract"}</definedName>
    <definedName name="wrn.Nelson._.Summary." hidden="1">{#N/A,#N/A,FALSE,"subcontract"}</definedName>
    <definedName name="wrn.precios." localSheetId="5" hidden="1">{"CONCABL1.1",#N/A,FALSE,"1.1.1a1.1.3 ACSR";"AISL1.2",#N/A,FALSE,"1.1.1a1.1.3 ACSR";"torr1.1.3",#N/A,FALSE,"1.1.1a1.1.3 ACSR";"cm1.2",#N/A,FALSE,"1.2 ACSR";"cm2.2",#N/A,FALSE,"1.2 ACSR";#N/A,#N/A,FALSE,"1.3 ACSR";#N/A,#N/A,FALSE,"2.1.1A2.1.3 ACAR";"ac2.1",#N/A,FALSE,"1.2 ACAR";"ac2.2",#N/A,FALSE,"1.2 ACAR";#N/A,#N/A,FALSE,"2.3 ACAR"}</definedName>
    <definedName name="wrn.precios." localSheetId="6" hidden="1">{"CONCABL1.1",#N/A,FALSE,"1.1.1a1.1.3 ACSR";"AISL1.2",#N/A,FALSE,"1.1.1a1.1.3 ACSR";"torr1.1.3",#N/A,FALSE,"1.1.1a1.1.3 ACSR";"cm1.2",#N/A,FALSE,"1.2 ACSR";"cm2.2",#N/A,FALSE,"1.2 ACSR";#N/A,#N/A,FALSE,"1.3 ACSR";#N/A,#N/A,FALSE,"2.1.1A2.1.3 ACAR";"ac2.1",#N/A,FALSE,"1.2 ACAR";"ac2.2",#N/A,FALSE,"1.2 ACAR";#N/A,#N/A,FALSE,"2.3 ACAR"}</definedName>
    <definedName name="wrn.precios." localSheetId="3" hidden="1">{"CONCABL1.1",#N/A,FALSE,"1.1.1a1.1.3 ACSR";"AISL1.2",#N/A,FALSE,"1.1.1a1.1.3 ACSR";"torr1.1.3",#N/A,FALSE,"1.1.1a1.1.3 ACSR";"cm1.2",#N/A,FALSE,"1.2 ACSR";"cm2.2",#N/A,FALSE,"1.2 ACSR";#N/A,#N/A,FALSE,"1.3 ACSR";#N/A,#N/A,FALSE,"2.1.1A2.1.3 ACAR";"ac2.1",#N/A,FALSE,"1.2 ACAR";"ac2.2",#N/A,FALSE,"1.2 ACAR";#N/A,#N/A,FALSE,"2.3 ACAR"}</definedName>
    <definedName name="wrn.precios." localSheetId="4" hidden="1">{"CONCABL1.1",#N/A,FALSE,"1.1.1a1.1.3 ACSR";"AISL1.2",#N/A,FALSE,"1.1.1a1.1.3 ACSR";"torr1.1.3",#N/A,FALSE,"1.1.1a1.1.3 ACSR";"cm1.2",#N/A,FALSE,"1.2 ACSR";"cm2.2",#N/A,FALSE,"1.2 ACSR";#N/A,#N/A,FALSE,"1.3 ACSR";#N/A,#N/A,FALSE,"2.1.1A2.1.3 ACAR";"ac2.1",#N/A,FALSE,"1.2 ACAR";"ac2.2",#N/A,FALSE,"1.2 ACAR";#N/A,#N/A,FALSE,"2.3 ACAR"}</definedName>
    <definedName name="wrn.precios." localSheetId="13" hidden="1">{"CONCABL1.1",#N/A,FALSE,"1.1.1a1.1.3 ACSR";"AISL1.2",#N/A,FALSE,"1.1.1a1.1.3 ACSR";"torr1.1.3",#N/A,FALSE,"1.1.1a1.1.3 ACSR";"cm1.2",#N/A,FALSE,"1.2 ACSR";"cm2.2",#N/A,FALSE,"1.2 ACSR";#N/A,#N/A,FALSE,"1.3 ACSR";#N/A,#N/A,FALSE,"2.1.1A2.1.3 ACAR";"ac2.1",#N/A,FALSE,"1.2 ACAR";"ac2.2",#N/A,FALSE,"1.2 ACAR";#N/A,#N/A,FALSE,"2.3 ACAR"}</definedName>
    <definedName name="wrn.precios." hidden="1">{"CONCABL1.1",#N/A,FALSE,"1.1.1a1.1.3 ACSR";"AISL1.2",#N/A,FALSE,"1.1.1a1.1.3 ACSR";"torr1.1.3",#N/A,FALSE,"1.1.1a1.1.3 ACSR";"cm1.2",#N/A,FALSE,"1.2 ACSR";"cm2.2",#N/A,FALSE,"1.2 ACSR";#N/A,#N/A,FALSE,"1.3 ACSR";#N/A,#N/A,FALSE,"2.1.1A2.1.3 ACAR";"ac2.1",#N/A,FALSE,"1.2 ACAR";"ac2.2",#N/A,FALSE,"1.2 ACAR";#N/A,#N/A,FALSE,"2.3 ACAR"}</definedName>
    <definedName name="wrn.PrintallD." localSheetId="5" hidden="1">{#N/A,#N/A,FALSE,"SumD";#N/A,#N/A,FALSE,"ElecD";#N/A,#N/A,FALSE,"MechD";#N/A,#N/A,FALSE,"GeotD";#N/A,#N/A,FALSE,"PrcsD";#N/A,#N/A,FALSE,"TunnD";#N/A,#N/A,FALSE,"CivlD";#N/A,#N/A,FALSE,"NtwkD";#N/A,#N/A,FALSE,"EstgD";#N/A,#N/A,FALSE,"PEngD"}</definedName>
    <definedName name="wrn.PrintallD." localSheetId="6" hidden="1">{#N/A,#N/A,FALSE,"SumD";#N/A,#N/A,FALSE,"ElecD";#N/A,#N/A,FALSE,"MechD";#N/A,#N/A,FALSE,"GeotD";#N/A,#N/A,FALSE,"PrcsD";#N/A,#N/A,FALSE,"TunnD";#N/A,#N/A,FALSE,"CivlD";#N/A,#N/A,FALSE,"NtwkD";#N/A,#N/A,FALSE,"EstgD";#N/A,#N/A,FALSE,"PEngD"}</definedName>
    <definedName name="wrn.PrintallD." localSheetId="3" hidden="1">{#N/A,#N/A,FALSE,"SumD";#N/A,#N/A,FALSE,"ElecD";#N/A,#N/A,FALSE,"MechD";#N/A,#N/A,FALSE,"GeotD";#N/A,#N/A,FALSE,"PrcsD";#N/A,#N/A,FALSE,"TunnD";#N/A,#N/A,FALSE,"CivlD";#N/A,#N/A,FALSE,"NtwkD";#N/A,#N/A,FALSE,"EstgD";#N/A,#N/A,FALSE,"PEngD"}</definedName>
    <definedName name="wrn.PrintallD." localSheetId="4"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5" hidden="1">{#N/A,#N/A,FALSE,"SumG";#N/A,#N/A,FALSE,"ElecG";#N/A,#N/A,FALSE,"MechG";#N/A,#N/A,FALSE,"GeotG";#N/A,#N/A,FALSE,"PrcsG";#N/A,#N/A,FALSE,"TunnG";#N/A,#N/A,FALSE,"CivlG";#N/A,#N/A,FALSE,"NtwkG";#N/A,#N/A,FALSE,"EstgG";#N/A,#N/A,FALSE,"PEngG"}</definedName>
    <definedName name="wrn.PrintallG." localSheetId="6" hidden="1">{#N/A,#N/A,FALSE,"SumG";#N/A,#N/A,FALSE,"ElecG";#N/A,#N/A,FALSE,"MechG";#N/A,#N/A,FALSE,"GeotG";#N/A,#N/A,FALSE,"PrcsG";#N/A,#N/A,FALSE,"TunnG";#N/A,#N/A,FALSE,"CivlG";#N/A,#N/A,FALSE,"NtwkG";#N/A,#N/A,FALSE,"EstgG";#N/A,#N/A,FALSE,"PEngG"}</definedName>
    <definedName name="wrn.PrintallG." localSheetId="3" hidden="1">{#N/A,#N/A,FALSE,"SumG";#N/A,#N/A,FALSE,"ElecG";#N/A,#N/A,FALSE,"MechG";#N/A,#N/A,FALSE,"GeotG";#N/A,#N/A,FALSE,"PrcsG";#N/A,#N/A,FALSE,"TunnG";#N/A,#N/A,FALSE,"CivlG";#N/A,#N/A,FALSE,"NtwkG";#N/A,#N/A,FALSE,"EstgG";#N/A,#N/A,FALSE,"PEngG"}</definedName>
    <definedName name="wrn.PrintallG." localSheetId="4"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OCART." localSheetId="5" hidden="1">{#N/A,#N/A,FALSE,"MAQUINA"}</definedName>
    <definedName name="wrn.PROCART." localSheetId="6" hidden="1">{#N/A,#N/A,FALSE,"MAQUINA"}</definedName>
    <definedName name="wrn.PROCART." localSheetId="4" hidden="1">{#N/A,#N/A,FALSE,"MAQUINA"}</definedName>
    <definedName name="wrn.PROCART." localSheetId="13" hidden="1">{#N/A,#N/A,FALSE,"MAQUINA"}</definedName>
    <definedName name="wrn.PROCART." hidden="1">{#N/A,#N/A,FALSE,"MAQUINA"}</definedName>
    <definedName name="wrn.PRUEBA." localSheetId="5" hidden="1">{#N/A,#N/A,FALSE,"AVALUO";#N/A,#N/A,FALSE,"CONDOMINIO";#N/A,#N/A,FALSE,"TDF"}</definedName>
    <definedName name="wrn.PRUEBA." localSheetId="6" hidden="1">{#N/A,#N/A,FALSE,"AVALUO";#N/A,#N/A,FALSE,"CONDOMINIO";#N/A,#N/A,FALSE,"TDF"}</definedName>
    <definedName name="wrn.PRUEBA." localSheetId="4" hidden="1">{#N/A,#N/A,FALSE,"AVALUO";#N/A,#N/A,FALSE,"CONDOMINIO";#N/A,#N/A,FALSE,"TDF"}</definedName>
    <definedName name="wrn.PRUEBA." localSheetId="13" hidden="1">{#N/A,#N/A,FALSE,"AVALUO";#N/A,#N/A,FALSE,"CONDOMINIO";#N/A,#N/A,FALSE,"TDF"}</definedName>
    <definedName name="wrn.PRUEBA." hidden="1">{#N/A,#N/A,FALSE,"AVALUO";#N/A,#N/A,FALSE,"CONDOMINIO";#N/A,#N/A,FALSE,"TDF"}</definedName>
    <definedName name="wrn.Summary." localSheetId="5" hidden="1">{#N/A,#N/A,FALSE,"Matrix";#N/A,#N/A,FALSE,"Executive";#N/A,#N/A,FALSE,"Summary"}</definedName>
    <definedName name="wrn.Summary." localSheetId="6" hidden="1">{#N/A,#N/A,FALSE,"Matrix";#N/A,#N/A,FALSE,"Executive";#N/A,#N/A,FALSE,"Summary"}</definedName>
    <definedName name="wrn.Summary." localSheetId="4" hidden="1">{#N/A,#N/A,FALSE,"Matrix";#N/A,#N/A,FALSE,"Executive";#N/A,#N/A,FALSE,"Summary"}</definedName>
    <definedName name="wrn.Summary." localSheetId="13" hidden="1">{#N/A,#N/A,FALSE,"Matrix";#N/A,#N/A,FALSE,"Executive";#N/A,#N/A,FALSE,"Summary"}</definedName>
    <definedName name="wrn.Summary." hidden="1">{#N/A,#N/A,FALSE,"Matrix";#N/A,#N/A,FALSE,"Executive";#N/A,#N/A,FALSE,"Summary"}</definedName>
    <definedName name="wrn.VOLCAN." localSheetId="5" hidden="1">{#N/A,#N/A,FALSE,"Resumen"}</definedName>
    <definedName name="wrn.VOLCAN." localSheetId="6" hidden="1">{#N/A,#N/A,FALSE,"Resumen"}</definedName>
    <definedName name="wrn.VOLCAN." localSheetId="3" hidden="1">{#N/A,#N/A,FALSE,"Resumen"}</definedName>
    <definedName name="wrn.VOLCAN." localSheetId="4" hidden="1">{#N/A,#N/A,FALSE,"Resumen"}</definedName>
    <definedName name="wrn.VOLCAN." localSheetId="13" hidden="1">{#N/A,#N/A,FALSE,"Resumen"}</definedName>
    <definedName name="wrn.VOLCAN." hidden="1">{#N/A,#N/A,FALSE,"Resumen"}</definedName>
    <definedName name="wsd" localSheetId="5" hidden="1">{#N/A,#N/A,FALSE,"SumG";#N/A,#N/A,FALSE,"ElecG";#N/A,#N/A,FALSE,"MechG";#N/A,#N/A,FALSE,"GeotG";#N/A,#N/A,FALSE,"PrcsG";#N/A,#N/A,FALSE,"TunnG";#N/A,#N/A,FALSE,"CivlG";#N/A,#N/A,FALSE,"NtwkG";#N/A,#N/A,FALSE,"EstgG";#N/A,#N/A,FALSE,"PEngG"}</definedName>
    <definedName name="wsd" localSheetId="6" hidden="1">{#N/A,#N/A,FALSE,"SumG";#N/A,#N/A,FALSE,"ElecG";#N/A,#N/A,FALSE,"MechG";#N/A,#N/A,FALSE,"GeotG";#N/A,#N/A,FALSE,"PrcsG";#N/A,#N/A,FALSE,"TunnG";#N/A,#N/A,FALSE,"CivlG";#N/A,#N/A,FALSE,"NtwkG";#N/A,#N/A,FALSE,"EstgG";#N/A,#N/A,FALSE,"PEngG"}</definedName>
    <definedName name="wsd" localSheetId="3" hidden="1">{#N/A,#N/A,FALSE,"SumG";#N/A,#N/A,FALSE,"ElecG";#N/A,#N/A,FALSE,"MechG";#N/A,#N/A,FALSE,"GeotG";#N/A,#N/A,FALSE,"PrcsG";#N/A,#N/A,FALSE,"TunnG";#N/A,#N/A,FALSE,"CivlG";#N/A,#N/A,FALSE,"NtwkG";#N/A,#N/A,FALSE,"EstgG";#N/A,#N/A,FALSE,"PEngG"}</definedName>
    <definedName name="wsd" localSheetId="4" hidden="1">{#N/A,#N/A,FALSE,"SumG";#N/A,#N/A,FALSE,"ElecG";#N/A,#N/A,FALSE,"MechG";#N/A,#N/A,FALSE,"GeotG";#N/A,#N/A,FALSE,"PrcsG";#N/A,#N/A,FALSE,"TunnG";#N/A,#N/A,FALSE,"CivlG";#N/A,#N/A,FALSE,"NtwkG";#N/A,#N/A,FALSE,"EstgG";#N/A,#N/A,FALSE,"PEngG"}</definedName>
    <definedName name="wsd" localSheetId="13" hidden="1">{#N/A,#N/A,FALSE,"SumG";#N/A,#N/A,FALSE,"ElecG";#N/A,#N/A,FALSE,"MechG";#N/A,#N/A,FALSE,"GeotG";#N/A,#N/A,FALSE,"PrcsG";#N/A,#N/A,FALSE,"TunnG";#N/A,#N/A,FALSE,"CivlG";#N/A,#N/A,FALSE,"NtwkG";#N/A,#N/A,FALSE,"EstgG";#N/A,#N/A,FALSE,"PEngG"}</definedName>
    <definedName name="wsd" hidden="1">{#N/A,#N/A,FALSE,"SumG";#N/A,#N/A,FALSE,"ElecG";#N/A,#N/A,FALSE,"MechG";#N/A,#N/A,FALSE,"GeotG";#N/A,#N/A,FALSE,"PrcsG";#N/A,#N/A,FALSE,"TunnG";#N/A,#N/A,FALSE,"CivlG";#N/A,#N/A,FALSE,"NtwkG";#N/A,#N/A,FALSE,"EstgG";#N/A,#N/A,FALSE,"PEngG"}</definedName>
    <definedName name="wtsgrstr" localSheetId="5" hidden="1">{#N/A,#N/A,FALSE,"Matrix";#N/A,#N/A,FALSE,"Executive";#N/A,#N/A,FALSE,"Summary";#N/A,#N/A,FALSE,"Office1";#N/A,#N/A,FALSE,"Office2";#N/A,#N/A,FALSE,"Office3";#N/A,#N/A,FALSE,"Office4";#N/A,#N/A,FALSE,"Office5";#N/A,#N/A,FALSE,"Office6";#N/A,#N/A,FALSE,"Office7";#N/A,#N/A,FALSE,"Labor"}</definedName>
    <definedName name="wtsgrstr" localSheetId="6" hidden="1">{#N/A,#N/A,FALSE,"Matrix";#N/A,#N/A,FALSE,"Executive";#N/A,#N/A,FALSE,"Summary";#N/A,#N/A,FALSE,"Office1";#N/A,#N/A,FALSE,"Office2";#N/A,#N/A,FALSE,"Office3";#N/A,#N/A,FALSE,"Office4";#N/A,#N/A,FALSE,"Office5";#N/A,#N/A,FALSE,"Office6";#N/A,#N/A,FALSE,"Office7";#N/A,#N/A,FALSE,"Labor"}</definedName>
    <definedName name="wtsgrstr" localSheetId="4"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W." hidden="1">#REF!</definedName>
    <definedName name="wwss" localSheetId="5" hidden="1">{#N/A,#N/A,FALSE,"SumD";#N/A,#N/A,FALSE,"ElecD";#N/A,#N/A,FALSE,"MechD";#N/A,#N/A,FALSE,"GeotD";#N/A,#N/A,FALSE,"PrcsD";#N/A,#N/A,FALSE,"TunnD";#N/A,#N/A,FALSE,"CivlD";#N/A,#N/A,FALSE,"NtwkD";#N/A,#N/A,FALSE,"EstgD";#N/A,#N/A,FALSE,"PEngD"}</definedName>
    <definedName name="wwss" localSheetId="6" hidden="1">{#N/A,#N/A,FALSE,"SumD";#N/A,#N/A,FALSE,"ElecD";#N/A,#N/A,FALSE,"MechD";#N/A,#N/A,FALSE,"GeotD";#N/A,#N/A,FALSE,"PrcsD";#N/A,#N/A,FALSE,"TunnD";#N/A,#N/A,FALSE,"CivlD";#N/A,#N/A,FALSE,"NtwkD";#N/A,#N/A,FALSE,"EstgD";#N/A,#N/A,FALSE,"PEngD"}</definedName>
    <definedName name="wwss" localSheetId="3" hidden="1">{#N/A,#N/A,FALSE,"SumD";#N/A,#N/A,FALSE,"ElecD";#N/A,#N/A,FALSE,"MechD";#N/A,#N/A,FALSE,"GeotD";#N/A,#N/A,FALSE,"PrcsD";#N/A,#N/A,FALSE,"TunnD";#N/A,#N/A,FALSE,"CivlD";#N/A,#N/A,FALSE,"NtwkD";#N/A,#N/A,FALSE,"EstgD";#N/A,#N/A,FALSE,"PEngD"}</definedName>
    <definedName name="wwss" localSheetId="4" hidden="1">{#N/A,#N/A,FALSE,"SumD";#N/A,#N/A,FALSE,"ElecD";#N/A,#N/A,FALSE,"MechD";#N/A,#N/A,FALSE,"GeotD";#N/A,#N/A,FALSE,"PrcsD";#N/A,#N/A,FALSE,"TunnD";#N/A,#N/A,FALSE,"CivlD";#N/A,#N/A,FALSE,"NtwkD";#N/A,#N/A,FALSE,"EstgD";#N/A,#N/A,FALSE,"PEngD"}</definedName>
    <definedName name="wwss" localSheetId="13" hidden="1">{#N/A,#N/A,FALSE,"SumD";#N/A,#N/A,FALSE,"ElecD";#N/A,#N/A,FALSE,"MechD";#N/A,#N/A,FALSE,"GeotD";#N/A,#N/A,FALSE,"PrcsD";#N/A,#N/A,FALSE,"TunnD";#N/A,#N/A,FALSE,"CivlD";#N/A,#N/A,FALSE,"NtwkD";#N/A,#N/A,FALSE,"EstgD";#N/A,#N/A,FALSE,"PEngD"}</definedName>
    <definedName name="wwss" hidden="1">{#N/A,#N/A,FALSE,"SumD";#N/A,#N/A,FALSE,"ElecD";#N/A,#N/A,FALSE,"MechD";#N/A,#N/A,FALSE,"GeotD";#N/A,#N/A,FALSE,"PrcsD";#N/A,#N/A,FALSE,"TunnD";#N/A,#N/A,FALSE,"CivlD";#N/A,#N/A,FALSE,"NtwkD";#N/A,#N/A,FALSE,"EstgD";#N/A,#N/A,FALSE,"PEngD"}</definedName>
    <definedName name="wwwww" localSheetId="5" hidden="1">{#N/A,#N/A,FALSE,"SumD";#N/A,#N/A,FALSE,"ElecD";#N/A,#N/A,FALSE,"MechD";#N/A,#N/A,FALSE,"GeotD";#N/A,#N/A,FALSE,"PrcsD";#N/A,#N/A,FALSE,"TunnD";#N/A,#N/A,FALSE,"CivlD";#N/A,#N/A,FALSE,"NtwkD";#N/A,#N/A,FALSE,"EstgD";#N/A,#N/A,FALSE,"PEngD"}</definedName>
    <definedName name="wwwww" localSheetId="6" hidden="1">{#N/A,#N/A,FALSE,"SumD";#N/A,#N/A,FALSE,"ElecD";#N/A,#N/A,FALSE,"MechD";#N/A,#N/A,FALSE,"GeotD";#N/A,#N/A,FALSE,"PrcsD";#N/A,#N/A,FALSE,"TunnD";#N/A,#N/A,FALSE,"CivlD";#N/A,#N/A,FALSE,"NtwkD";#N/A,#N/A,FALSE,"EstgD";#N/A,#N/A,FALSE,"PEngD"}</definedName>
    <definedName name="wwwww" localSheetId="3" hidden="1">{#N/A,#N/A,FALSE,"SumD";#N/A,#N/A,FALSE,"ElecD";#N/A,#N/A,FALSE,"MechD";#N/A,#N/A,FALSE,"GeotD";#N/A,#N/A,FALSE,"PrcsD";#N/A,#N/A,FALSE,"TunnD";#N/A,#N/A,FALSE,"CivlD";#N/A,#N/A,FALSE,"NtwkD";#N/A,#N/A,FALSE,"EstgD";#N/A,#N/A,FALSE,"PEngD"}</definedName>
    <definedName name="wwwww" localSheetId="4" hidden="1">{#N/A,#N/A,FALSE,"SumD";#N/A,#N/A,FALSE,"ElecD";#N/A,#N/A,FALSE,"MechD";#N/A,#N/A,FALSE,"GeotD";#N/A,#N/A,FALSE,"PrcsD";#N/A,#N/A,FALSE,"TunnD";#N/A,#N/A,FALSE,"CivlD";#N/A,#N/A,FALSE,"NtwkD";#N/A,#N/A,FALSE,"EstgD";#N/A,#N/A,FALSE,"PEngD"}</definedName>
    <definedName name="wwwww" localSheetId="13" hidden="1">{#N/A,#N/A,FALSE,"SumD";#N/A,#N/A,FALSE,"ElecD";#N/A,#N/A,FALSE,"MechD";#N/A,#N/A,FALSE,"GeotD";#N/A,#N/A,FALSE,"PrcsD";#N/A,#N/A,FALSE,"TunnD";#N/A,#N/A,FALSE,"CivlD";#N/A,#N/A,FALSE,"NtwkD";#N/A,#N/A,FALSE,"EstgD";#N/A,#N/A,FALSE,"PEngD"}</definedName>
    <definedName name="wwwww" hidden="1">{#N/A,#N/A,FALSE,"SumD";#N/A,#N/A,FALSE,"ElecD";#N/A,#N/A,FALSE,"MechD";#N/A,#N/A,FALSE,"GeotD";#N/A,#N/A,FALSE,"PrcsD";#N/A,#N/A,FALSE,"TunnD";#N/A,#N/A,FALSE,"CivlD";#N/A,#N/A,FALSE,"NtwkD";#N/A,#N/A,FALSE,"EstgD";#N/A,#N/A,FALSE,"PEngD"}</definedName>
    <definedName name="xc" localSheetId="5" hidden="1">{#N/A,#N/A,FALSE,"SumD";#N/A,#N/A,FALSE,"ElecD";#N/A,#N/A,FALSE,"MechD";#N/A,#N/A,FALSE,"GeotD";#N/A,#N/A,FALSE,"PrcsD";#N/A,#N/A,FALSE,"TunnD";#N/A,#N/A,FALSE,"CivlD";#N/A,#N/A,FALSE,"NtwkD";#N/A,#N/A,FALSE,"EstgD";#N/A,#N/A,FALSE,"PEngD"}</definedName>
    <definedName name="xc" localSheetId="6" hidden="1">{#N/A,#N/A,FALSE,"SumD";#N/A,#N/A,FALSE,"ElecD";#N/A,#N/A,FALSE,"MechD";#N/A,#N/A,FALSE,"GeotD";#N/A,#N/A,FALSE,"PrcsD";#N/A,#N/A,FALSE,"TunnD";#N/A,#N/A,FALSE,"CivlD";#N/A,#N/A,FALSE,"NtwkD";#N/A,#N/A,FALSE,"EstgD";#N/A,#N/A,FALSE,"PEngD"}</definedName>
    <definedName name="xc" localSheetId="3" hidden="1">{#N/A,#N/A,FALSE,"SumD";#N/A,#N/A,FALSE,"ElecD";#N/A,#N/A,FALSE,"MechD";#N/A,#N/A,FALSE,"GeotD";#N/A,#N/A,FALSE,"PrcsD";#N/A,#N/A,FALSE,"TunnD";#N/A,#N/A,FALSE,"CivlD";#N/A,#N/A,FALSE,"NtwkD";#N/A,#N/A,FALSE,"EstgD";#N/A,#N/A,FALSE,"PEngD"}</definedName>
    <definedName name="xc" localSheetId="4" hidden="1">{#N/A,#N/A,FALSE,"SumD";#N/A,#N/A,FALSE,"ElecD";#N/A,#N/A,FALSE,"MechD";#N/A,#N/A,FALSE,"GeotD";#N/A,#N/A,FALSE,"PrcsD";#N/A,#N/A,FALSE,"TunnD";#N/A,#N/A,FALSE,"CivlD";#N/A,#N/A,FALSE,"NtwkD";#N/A,#N/A,FALSE,"EstgD";#N/A,#N/A,FALSE,"PEngD"}</definedName>
    <definedName name="xc" localSheetId="13"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Graph11" hidden="1">#REF!</definedName>
    <definedName name="xx" localSheetId="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xx" localSheetId="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xx" localSheetId="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xx" localSheetId="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xx"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xx"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xxx" hidden="1">#REF!</definedName>
    <definedName name="XXXX" hidden="1">#REF!</definedName>
    <definedName name="xxxxxxxx" localSheetId="5" hidden="1">{#N/A,#N/A,FALSE,"SumG";#N/A,#N/A,FALSE,"ElecG";#N/A,#N/A,FALSE,"MechG";#N/A,#N/A,FALSE,"GeotG";#N/A,#N/A,FALSE,"PrcsG";#N/A,#N/A,FALSE,"TunnG";#N/A,#N/A,FALSE,"CivlG";#N/A,#N/A,FALSE,"NtwkG";#N/A,#N/A,FALSE,"EstgG";#N/A,#N/A,FALSE,"PEngG"}</definedName>
    <definedName name="xxxxxxxx" localSheetId="6" hidden="1">{#N/A,#N/A,FALSE,"SumG";#N/A,#N/A,FALSE,"ElecG";#N/A,#N/A,FALSE,"MechG";#N/A,#N/A,FALSE,"GeotG";#N/A,#N/A,FALSE,"PrcsG";#N/A,#N/A,FALSE,"TunnG";#N/A,#N/A,FALSE,"CivlG";#N/A,#N/A,FALSE,"NtwkG";#N/A,#N/A,FALSE,"EstgG";#N/A,#N/A,FALSE,"PEngG"}</definedName>
    <definedName name="xxxxxxxx" localSheetId="3" hidden="1">{#N/A,#N/A,FALSE,"SumG";#N/A,#N/A,FALSE,"ElecG";#N/A,#N/A,FALSE,"MechG";#N/A,#N/A,FALSE,"GeotG";#N/A,#N/A,FALSE,"PrcsG";#N/A,#N/A,FALSE,"TunnG";#N/A,#N/A,FALSE,"CivlG";#N/A,#N/A,FALSE,"NtwkG";#N/A,#N/A,FALSE,"EstgG";#N/A,#N/A,FALSE,"PEngG"}</definedName>
    <definedName name="xxxxxxxx" localSheetId="4" hidden="1">{#N/A,#N/A,FALSE,"SumG";#N/A,#N/A,FALSE,"ElecG";#N/A,#N/A,FALSE,"MechG";#N/A,#N/A,FALSE,"GeotG";#N/A,#N/A,FALSE,"PrcsG";#N/A,#N/A,FALSE,"TunnG";#N/A,#N/A,FALSE,"CivlG";#N/A,#N/A,FALSE,"NtwkG";#N/A,#N/A,FALSE,"EstgG";#N/A,#N/A,FALSE,"PEngG"}</definedName>
    <definedName name="xxxxxxxx" localSheetId="13" hidden="1">{#N/A,#N/A,FALSE,"SumG";#N/A,#N/A,FALSE,"ElecG";#N/A,#N/A,FALSE,"MechG";#N/A,#N/A,FALSE,"GeotG";#N/A,#N/A,FALSE,"PrcsG";#N/A,#N/A,FALSE,"TunnG";#N/A,#N/A,FALSE,"CivlG";#N/A,#N/A,FALSE,"NtwkG";#N/A,#N/A,FALSE,"EstgG";#N/A,#N/A,FALSE,"PEngG"}</definedName>
    <definedName name="xxxxxxxx" hidden="1">{#N/A,#N/A,FALSE,"SumG";#N/A,#N/A,FALSE,"ElecG";#N/A,#N/A,FALSE,"MechG";#N/A,#N/A,FALSE,"GeotG";#N/A,#N/A,FALSE,"PrcsG";#N/A,#N/A,FALSE,"TunnG";#N/A,#N/A,FALSE,"CivlG";#N/A,#N/A,FALSE,"NtwkG";#N/A,#N/A,FALSE,"EstgG";#N/A,#N/A,FALSE,"PEngG"}</definedName>
    <definedName name="xzsxsxcs" hidden="1">#REF!</definedName>
    <definedName name="YJUYJKUY" localSheetId="5" hidden="1">{#N/A,#N/A,TRUE,"1842CWN0"}</definedName>
    <definedName name="YJUYJKUY" localSheetId="6" hidden="1">{#N/A,#N/A,TRUE,"1842CWN0"}</definedName>
    <definedName name="YJUYJKUY" localSheetId="3" hidden="1">{#N/A,#N/A,TRUE,"1842CWN0"}</definedName>
    <definedName name="YJUYJKUY" localSheetId="4" hidden="1">{#N/A,#N/A,TRUE,"1842CWN0"}</definedName>
    <definedName name="YJUYJKUY" localSheetId="13" hidden="1">{#N/A,#N/A,TRUE,"1842CWN0"}</definedName>
    <definedName name="YJUYJKUY" hidden="1">{#N/A,#N/A,TRUE,"1842CWN0"}</definedName>
    <definedName name="yo" localSheetId="5" hidden="1">{"TEXTO DEL AVALUO",#N/A,TRUE,"AVALUO";"CALCULOS Y DICTAMEN",#N/A,TRUE,"CONDOMINIO"}</definedName>
    <definedName name="yo" localSheetId="6" hidden="1">{"TEXTO DEL AVALUO",#N/A,TRUE,"AVALUO";"CALCULOS Y DICTAMEN",#N/A,TRUE,"CONDOMINIO"}</definedName>
    <definedName name="yo" localSheetId="4" hidden="1">{"TEXTO DEL AVALUO",#N/A,TRUE,"AVALUO";"CALCULOS Y DICTAMEN",#N/A,TRUE,"CONDOMINIO"}</definedName>
    <definedName name="yo" localSheetId="13" hidden="1">{"TEXTO DEL AVALUO",#N/A,TRUE,"AVALUO";"CALCULOS Y DICTAMEN",#N/A,TRUE,"CONDOMINIO"}</definedName>
    <definedName name="yo" hidden="1">{"TEXTO DEL AVALUO",#N/A,TRUE,"AVALUO";"CALCULOS Y DICTAMEN",#N/A,TRUE,"CONDOMINIO"}</definedName>
    <definedName name="ytjytjty" hidden="1">#REF!</definedName>
    <definedName name="YU" localSheetId="5" hidden="1">{"TEXTO DEL AVALUO",#N/A,TRUE,"AVALUO";"CALCULOS Y DICTAMEN",#N/A,TRUE,"CONDOMINIO"}</definedName>
    <definedName name="YU" localSheetId="6" hidden="1">{"TEXTO DEL AVALUO",#N/A,TRUE,"AVALUO";"CALCULOS Y DICTAMEN",#N/A,TRUE,"CONDOMINIO"}</definedName>
    <definedName name="YU" localSheetId="4" hidden="1">{"TEXTO DEL AVALUO",#N/A,TRUE,"AVALUO";"CALCULOS Y DICTAMEN",#N/A,TRUE,"CONDOMINIO"}</definedName>
    <definedName name="YU" localSheetId="13" hidden="1">{"TEXTO DEL AVALUO",#N/A,TRUE,"AVALUO";"CALCULOS Y DICTAMEN",#N/A,TRUE,"CONDOMINIO"}</definedName>
    <definedName name="YU" hidden="1">{"TEXTO DEL AVALUO",#N/A,TRUE,"AVALUO";"CALCULOS Y DICTAMEN",#N/A,TRUE,"CONDOMINIO"}</definedName>
    <definedName name="YUJYIUI" localSheetId="5" hidden="1">{#N/A,#N/A,TRUE,"1842CWN0"}</definedName>
    <definedName name="YUJYIUI" localSheetId="6" hidden="1">{#N/A,#N/A,TRUE,"1842CWN0"}</definedName>
    <definedName name="YUJYIUI" localSheetId="3" hidden="1">{#N/A,#N/A,TRUE,"1842CWN0"}</definedName>
    <definedName name="YUJYIUI" localSheetId="4" hidden="1">{#N/A,#N/A,TRUE,"1842CWN0"}</definedName>
    <definedName name="YUJYIUI" localSheetId="13" hidden="1">{#N/A,#N/A,TRUE,"1842CWN0"}</definedName>
    <definedName name="YUJYIUI" hidden="1">{#N/A,#N/A,TRUE,"1842CWN0"}</definedName>
    <definedName name="yujyiuokj" localSheetId="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yujyiuokj" localSheetId="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yujyiuokj" localSheetId="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yujyiuokj" localSheetId="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yujyiuokj"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yujyiuokj"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yuui" localSheetId="5" hidden="1">{#N/A,#N/A,FALSE,"SumD";#N/A,#N/A,FALSE,"ElecD";#N/A,#N/A,FALSE,"MechD";#N/A,#N/A,FALSE,"GeotD";#N/A,#N/A,FALSE,"PrcsD";#N/A,#N/A,FALSE,"TunnD";#N/A,#N/A,FALSE,"CivlD";#N/A,#N/A,FALSE,"NtwkD";#N/A,#N/A,FALSE,"EstgD";#N/A,#N/A,FALSE,"PEngD"}</definedName>
    <definedName name="yuui" localSheetId="6" hidden="1">{#N/A,#N/A,FALSE,"SumD";#N/A,#N/A,FALSE,"ElecD";#N/A,#N/A,FALSE,"MechD";#N/A,#N/A,FALSE,"GeotD";#N/A,#N/A,FALSE,"PrcsD";#N/A,#N/A,FALSE,"TunnD";#N/A,#N/A,FALSE,"CivlD";#N/A,#N/A,FALSE,"NtwkD";#N/A,#N/A,FALSE,"EstgD";#N/A,#N/A,FALSE,"PEngD"}</definedName>
    <definedName name="yuui" localSheetId="3" hidden="1">{#N/A,#N/A,FALSE,"SumD";#N/A,#N/A,FALSE,"ElecD";#N/A,#N/A,FALSE,"MechD";#N/A,#N/A,FALSE,"GeotD";#N/A,#N/A,FALSE,"PrcsD";#N/A,#N/A,FALSE,"TunnD";#N/A,#N/A,FALSE,"CivlD";#N/A,#N/A,FALSE,"NtwkD";#N/A,#N/A,FALSE,"EstgD";#N/A,#N/A,FALSE,"PEngD"}</definedName>
    <definedName name="yuui" localSheetId="4" hidden="1">{#N/A,#N/A,FALSE,"SumD";#N/A,#N/A,FALSE,"ElecD";#N/A,#N/A,FALSE,"MechD";#N/A,#N/A,FALSE,"GeotD";#N/A,#N/A,FALSE,"PrcsD";#N/A,#N/A,FALSE,"TunnD";#N/A,#N/A,FALSE,"CivlD";#N/A,#N/A,FALSE,"NtwkD";#N/A,#N/A,FALSE,"EstgD";#N/A,#N/A,FALSE,"PEngD"}</definedName>
    <definedName name="yuui" localSheetId="13" hidden="1">{#N/A,#N/A,FALSE,"SumD";#N/A,#N/A,FALSE,"ElecD";#N/A,#N/A,FALSE,"MechD";#N/A,#N/A,FALSE,"GeotD";#N/A,#N/A,FALSE,"PrcsD";#N/A,#N/A,FALSE,"TunnD";#N/A,#N/A,FALSE,"CivlD";#N/A,#N/A,FALSE,"NtwkD";#N/A,#N/A,FALSE,"EstgD";#N/A,#N/A,FALSE,"PEngD"}</definedName>
    <definedName name="yuui" hidden="1">{#N/A,#N/A,FALSE,"SumD";#N/A,#N/A,FALSE,"ElecD";#N/A,#N/A,FALSE,"MechD";#N/A,#N/A,FALSE,"GeotD";#N/A,#N/A,FALSE,"PrcsD";#N/A,#N/A,FALSE,"TunnD";#N/A,#N/A,FALSE,"CivlD";#N/A,#N/A,FALSE,"NtwkD";#N/A,#N/A,FALSE,"EstgD";#N/A,#N/A,FALSE,"PEngD"}</definedName>
    <definedName name="YUYUYU" localSheetId="5" hidden="1">{#N/A,#N/A,FALSE,"ACTIVO FIJO";#N/A,#N/A,FALSE,"COBRAR";#N/A,#N/A,FALSE,"AFILIADAS";#N/A,#N/A,FALSE,"PAGAR";#N/A,#N/A,FALSE,"INSTIT. FINANCIERAS";#N/A,#N/A,FALSE,"VALORES"}</definedName>
    <definedName name="YUYUYU" localSheetId="6" hidden="1">{#N/A,#N/A,FALSE,"ACTIVO FIJO";#N/A,#N/A,FALSE,"COBRAR";#N/A,#N/A,FALSE,"AFILIADAS";#N/A,#N/A,FALSE,"PAGAR";#N/A,#N/A,FALSE,"INSTIT. FINANCIERAS";#N/A,#N/A,FALSE,"VALORES"}</definedName>
    <definedName name="YUYUYU" localSheetId="4" hidden="1">{#N/A,#N/A,FALSE,"ACTIVO FIJO";#N/A,#N/A,FALSE,"COBRAR";#N/A,#N/A,FALSE,"AFILIADAS";#N/A,#N/A,FALSE,"PAGAR";#N/A,#N/A,FALSE,"INSTIT. FINANCIERAS";#N/A,#N/A,FALSE,"VALORES"}</definedName>
    <definedName name="YUYUYU" localSheetId="13" hidden="1">{#N/A,#N/A,FALSE,"ACTIVO FIJO";#N/A,#N/A,FALSE,"COBRAR";#N/A,#N/A,FALSE,"AFILIADAS";#N/A,#N/A,FALSE,"PAGAR";#N/A,#N/A,FALSE,"INSTIT. FINANCIERAS";#N/A,#N/A,FALSE,"VALORES"}</definedName>
    <definedName name="YUYUYU" hidden="1">{#N/A,#N/A,FALSE,"ACTIVO FIJO";#N/A,#N/A,FALSE,"COBRAR";#N/A,#N/A,FALSE,"AFILIADAS";#N/A,#N/A,FALSE,"PAGAR";#N/A,#N/A,FALSE,"INSTIT. FINANCIERAS";#N/A,#N/A,FALSE,"VALORES"}</definedName>
    <definedName name="YUYUYU_1" localSheetId="5" hidden="1">{#N/A,#N/A,FALSE,"ACTIVO FIJO";#N/A,#N/A,FALSE,"COBRAR";#N/A,#N/A,FALSE,"AFILIADAS";#N/A,#N/A,FALSE,"PAGAR";#N/A,#N/A,FALSE,"INSTIT. FINANCIERAS";#N/A,#N/A,FALSE,"VALORES"}</definedName>
    <definedName name="YUYUYU_1" localSheetId="6" hidden="1">{#N/A,#N/A,FALSE,"ACTIVO FIJO";#N/A,#N/A,FALSE,"COBRAR";#N/A,#N/A,FALSE,"AFILIADAS";#N/A,#N/A,FALSE,"PAGAR";#N/A,#N/A,FALSE,"INSTIT. FINANCIERAS";#N/A,#N/A,FALSE,"VALORES"}</definedName>
    <definedName name="YUYUYU_1" localSheetId="4" hidden="1">{#N/A,#N/A,FALSE,"ACTIVO FIJO";#N/A,#N/A,FALSE,"COBRAR";#N/A,#N/A,FALSE,"AFILIADAS";#N/A,#N/A,FALSE,"PAGAR";#N/A,#N/A,FALSE,"INSTIT. FINANCIERAS";#N/A,#N/A,FALSE,"VALORES"}</definedName>
    <definedName name="YUYUYU_1" localSheetId="13" hidden="1">{#N/A,#N/A,FALSE,"ACTIVO FIJO";#N/A,#N/A,FALSE,"COBRAR";#N/A,#N/A,FALSE,"AFILIADAS";#N/A,#N/A,FALSE,"PAGAR";#N/A,#N/A,FALSE,"INSTIT. FINANCIERAS";#N/A,#N/A,FALSE,"VALORES"}</definedName>
    <definedName name="YUYUYU_1" hidden="1">{#N/A,#N/A,FALSE,"ACTIVO FIJO";#N/A,#N/A,FALSE,"COBRAR";#N/A,#N/A,FALSE,"AFILIADAS";#N/A,#N/A,FALSE,"PAGAR";#N/A,#N/A,FALSE,"INSTIT. FINANCIERAS";#N/A,#N/A,FALSE,"VALORES"}</definedName>
    <definedName name="yyhhhh" localSheetId="5" hidden="1">{#N/A,#N/A,FALSE,"Pricing";#N/A,#N/A,FALSE,"Summary";#N/A,#N/A,FALSE,"CompProd";#N/A,#N/A,FALSE,"CompJobhrs";#N/A,#N/A,FALSE,"Escalation";#N/A,#N/A,FALSE,"Contingency";#N/A,#N/A,FALSE,"GM";#N/A,#N/A,FALSE,"CompWage";#N/A,#N/A,FALSE,"costSum"}</definedName>
    <definedName name="yyhhhh" localSheetId="6" hidden="1">{#N/A,#N/A,FALSE,"Pricing";#N/A,#N/A,FALSE,"Summary";#N/A,#N/A,FALSE,"CompProd";#N/A,#N/A,FALSE,"CompJobhrs";#N/A,#N/A,FALSE,"Escalation";#N/A,#N/A,FALSE,"Contingency";#N/A,#N/A,FALSE,"GM";#N/A,#N/A,FALSE,"CompWage";#N/A,#N/A,FALSE,"costSum"}</definedName>
    <definedName name="yyhhhh" localSheetId="3" hidden="1">{#N/A,#N/A,FALSE,"Pricing";#N/A,#N/A,FALSE,"Summary";#N/A,#N/A,FALSE,"CompProd";#N/A,#N/A,FALSE,"CompJobhrs";#N/A,#N/A,FALSE,"Escalation";#N/A,#N/A,FALSE,"Contingency";#N/A,#N/A,FALSE,"GM";#N/A,#N/A,FALSE,"CompWage";#N/A,#N/A,FALSE,"costSum"}</definedName>
    <definedName name="yyhhhh" localSheetId="4" hidden="1">{#N/A,#N/A,FALSE,"Pricing";#N/A,#N/A,FALSE,"Summary";#N/A,#N/A,FALSE,"CompProd";#N/A,#N/A,FALSE,"CompJobhrs";#N/A,#N/A,FALSE,"Escalation";#N/A,#N/A,FALSE,"Contingency";#N/A,#N/A,FALSE,"GM";#N/A,#N/A,FALSE,"CompWage";#N/A,#N/A,FALSE,"costSum"}</definedName>
    <definedName name="yyhhhh" localSheetId="13" hidden="1">{#N/A,#N/A,FALSE,"Pricing";#N/A,#N/A,FALSE,"Summary";#N/A,#N/A,FALSE,"CompProd";#N/A,#N/A,FALSE,"CompJobhrs";#N/A,#N/A,FALSE,"Escalation";#N/A,#N/A,FALSE,"Contingency";#N/A,#N/A,FALSE,"GM";#N/A,#N/A,FALSE,"CompWage";#N/A,#N/A,FALSE,"costSum"}</definedName>
    <definedName name="yyhhhh" hidden="1">{#N/A,#N/A,FALSE,"Pricing";#N/A,#N/A,FALSE,"Summary";#N/A,#N/A,FALSE,"CompProd";#N/A,#N/A,FALSE,"CompJobhrs";#N/A,#N/A,FALSE,"Escalation";#N/A,#N/A,FALSE,"Contingency";#N/A,#N/A,FALSE,"GM";#N/A,#N/A,FALSE,"CompWage";#N/A,#N/A,FALSE,"costSum"}</definedName>
    <definedName name="yyy" localSheetId="5" hidden="1">{#N/A,#N/A,FALSE,"SumD";#N/A,#N/A,FALSE,"ElecD";#N/A,#N/A,FALSE,"MechD";#N/A,#N/A,FALSE,"GeotD";#N/A,#N/A,FALSE,"PrcsD";#N/A,#N/A,FALSE,"TunnD";#N/A,#N/A,FALSE,"CivlD";#N/A,#N/A,FALSE,"NtwkD";#N/A,#N/A,FALSE,"EstgD";#N/A,#N/A,FALSE,"PEngD"}</definedName>
    <definedName name="yyy" localSheetId="6" hidden="1">{#N/A,#N/A,FALSE,"SumD";#N/A,#N/A,FALSE,"ElecD";#N/A,#N/A,FALSE,"MechD";#N/A,#N/A,FALSE,"GeotD";#N/A,#N/A,FALSE,"PrcsD";#N/A,#N/A,FALSE,"TunnD";#N/A,#N/A,FALSE,"CivlD";#N/A,#N/A,FALSE,"NtwkD";#N/A,#N/A,FALSE,"EstgD";#N/A,#N/A,FALSE,"PEngD"}</definedName>
    <definedName name="yyy" localSheetId="4" hidden="1">{#N/A,#N/A,FALSE,"SumD";#N/A,#N/A,FALSE,"ElecD";#N/A,#N/A,FALSE,"MechD";#N/A,#N/A,FALSE,"GeotD";#N/A,#N/A,FALSE,"PrcsD";#N/A,#N/A,FALSE,"TunnD";#N/A,#N/A,FALSE,"CivlD";#N/A,#N/A,FALSE,"NtwkD";#N/A,#N/A,FALSE,"EstgD";#N/A,#N/A,FALSE,"PEngD"}</definedName>
    <definedName name="yyy" localSheetId="13" hidden="1">{#N/A,#N/A,FALSE,"SumD";#N/A,#N/A,FALSE,"ElecD";#N/A,#N/A,FALSE,"MechD";#N/A,#N/A,FALSE,"GeotD";#N/A,#N/A,FALSE,"PrcsD";#N/A,#N/A,FALSE,"TunnD";#N/A,#N/A,FALSE,"CivlD";#N/A,#N/A,FALSE,"NtwkD";#N/A,#N/A,FALSE,"EstgD";#N/A,#N/A,FALSE,"PEngD"}</definedName>
    <definedName name="yyy" hidden="1">{#N/A,#N/A,FALSE,"SumD";#N/A,#N/A,FALSE,"ElecD";#N/A,#N/A,FALSE,"MechD";#N/A,#N/A,FALSE,"GeotD";#N/A,#N/A,FALSE,"PrcsD";#N/A,#N/A,FALSE,"TunnD";#N/A,#N/A,FALSE,"CivlD";#N/A,#N/A,FALSE,"NtwkD";#N/A,#N/A,FALSE,"EstgD";#N/A,#N/A,FALSE,"PEngD"}</definedName>
    <definedName name="yyyhhh" localSheetId="5" hidden="1">{#N/A,#N/A,FALSE,"SumG";#N/A,#N/A,FALSE,"ElecG";#N/A,#N/A,FALSE,"MechG";#N/A,#N/A,FALSE,"GeotG";#N/A,#N/A,FALSE,"PrcsG";#N/A,#N/A,FALSE,"TunnG";#N/A,#N/A,FALSE,"CivlG";#N/A,#N/A,FALSE,"NtwkG";#N/A,#N/A,FALSE,"EstgG";#N/A,#N/A,FALSE,"PEngG"}</definedName>
    <definedName name="yyyhhh" localSheetId="6" hidden="1">{#N/A,#N/A,FALSE,"SumG";#N/A,#N/A,FALSE,"ElecG";#N/A,#N/A,FALSE,"MechG";#N/A,#N/A,FALSE,"GeotG";#N/A,#N/A,FALSE,"PrcsG";#N/A,#N/A,FALSE,"TunnG";#N/A,#N/A,FALSE,"CivlG";#N/A,#N/A,FALSE,"NtwkG";#N/A,#N/A,FALSE,"EstgG";#N/A,#N/A,FALSE,"PEngG"}</definedName>
    <definedName name="yyyhhh" localSheetId="3" hidden="1">{#N/A,#N/A,FALSE,"SumG";#N/A,#N/A,FALSE,"ElecG";#N/A,#N/A,FALSE,"MechG";#N/A,#N/A,FALSE,"GeotG";#N/A,#N/A,FALSE,"PrcsG";#N/A,#N/A,FALSE,"TunnG";#N/A,#N/A,FALSE,"CivlG";#N/A,#N/A,FALSE,"NtwkG";#N/A,#N/A,FALSE,"EstgG";#N/A,#N/A,FALSE,"PEngG"}</definedName>
    <definedName name="yyyhhh" localSheetId="4" hidden="1">{#N/A,#N/A,FALSE,"SumG";#N/A,#N/A,FALSE,"ElecG";#N/A,#N/A,FALSE,"MechG";#N/A,#N/A,FALSE,"GeotG";#N/A,#N/A,FALSE,"PrcsG";#N/A,#N/A,FALSE,"TunnG";#N/A,#N/A,FALSE,"CivlG";#N/A,#N/A,FALSE,"NtwkG";#N/A,#N/A,FALSE,"EstgG";#N/A,#N/A,FALSE,"PEngG"}</definedName>
    <definedName name="yyyhhh" localSheetId="13" hidden="1">{#N/A,#N/A,FALSE,"SumG";#N/A,#N/A,FALSE,"ElecG";#N/A,#N/A,FALSE,"MechG";#N/A,#N/A,FALSE,"GeotG";#N/A,#N/A,FALSE,"PrcsG";#N/A,#N/A,FALSE,"TunnG";#N/A,#N/A,FALSE,"CivlG";#N/A,#N/A,FALSE,"NtwkG";#N/A,#N/A,FALSE,"EstgG";#N/A,#N/A,FALSE,"PEngG"}</definedName>
    <definedName name="yyyhhh" hidden="1">{#N/A,#N/A,FALSE,"SumG";#N/A,#N/A,FALSE,"ElecG";#N/A,#N/A,FALSE,"MechG";#N/A,#N/A,FALSE,"GeotG";#N/A,#N/A,FALSE,"PrcsG";#N/A,#N/A,FALSE,"TunnG";#N/A,#N/A,FALSE,"CivlG";#N/A,#N/A,FALSE,"NtwkG";#N/A,#N/A,FALSE,"EstgG";#N/A,#N/A,FALSE,"PEngG"}</definedName>
    <definedName name="yyyyyhh" localSheetId="5" hidden="1">{#N/A,#N/A,FALSE,"SumG";#N/A,#N/A,FALSE,"ElecG";#N/A,#N/A,FALSE,"MechG";#N/A,#N/A,FALSE,"GeotG";#N/A,#N/A,FALSE,"PrcsG";#N/A,#N/A,FALSE,"TunnG";#N/A,#N/A,FALSE,"CivlG";#N/A,#N/A,FALSE,"NtwkG";#N/A,#N/A,FALSE,"EstgG";#N/A,#N/A,FALSE,"PEngG"}</definedName>
    <definedName name="yyyyyhh" localSheetId="6" hidden="1">{#N/A,#N/A,FALSE,"SumG";#N/A,#N/A,FALSE,"ElecG";#N/A,#N/A,FALSE,"MechG";#N/A,#N/A,FALSE,"GeotG";#N/A,#N/A,FALSE,"PrcsG";#N/A,#N/A,FALSE,"TunnG";#N/A,#N/A,FALSE,"CivlG";#N/A,#N/A,FALSE,"NtwkG";#N/A,#N/A,FALSE,"EstgG";#N/A,#N/A,FALSE,"PEngG"}</definedName>
    <definedName name="yyyyyhh" localSheetId="3" hidden="1">{#N/A,#N/A,FALSE,"SumG";#N/A,#N/A,FALSE,"ElecG";#N/A,#N/A,FALSE,"MechG";#N/A,#N/A,FALSE,"GeotG";#N/A,#N/A,FALSE,"PrcsG";#N/A,#N/A,FALSE,"TunnG";#N/A,#N/A,FALSE,"CivlG";#N/A,#N/A,FALSE,"NtwkG";#N/A,#N/A,FALSE,"EstgG";#N/A,#N/A,FALSE,"PEngG"}</definedName>
    <definedName name="yyyyyhh" localSheetId="4" hidden="1">{#N/A,#N/A,FALSE,"SumG";#N/A,#N/A,FALSE,"ElecG";#N/A,#N/A,FALSE,"MechG";#N/A,#N/A,FALSE,"GeotG";#N/A,#N/A,FALSE,"PrcsG";#N/A,#N/A,FALSE,"TunnG";#N/A,#N/A,FALSE,"CivlG";#N/A,#N/A,FALSE,"NtwkG";#N/A,#N/A,FALSE,"EstgG";#N/A,#N/A,FALSE,"PEngG"}</definedName>
    <definedName name="yyyyyhh" localSheetId="13" hidden="1">{#N/A,#N/A,FALSE,"SumG";#N/A,#N/A,FALSE,"ElecG";#N/A,#N/A,FALSE,"MechG";#N/A,#N/A,FALSE,"GeotG";#N/A,#N/A,FALSE,"PrcsG";#N/A,#N/A,FALSE,"TunnG";#N/A,#N/A,FALSE,"CivlG";#N/A,#N/A,FALSE,"NtwkG";#N/A,#N/A,FALSE,"EstgG";#N/A,#N/A,FALSE,"PEngG"}</definedName>
    <definedName name="yyyyyhh" hidden="1">{#N/A,#N/A,FALSE,"SumG";#N/A,#N/A,FALSE,"ElecG";#N/A,#N/A,FALSE,"MechG";#N/A,#N/A,FALSE,"GeotG";#N/A,#N/A,FALSE,"PrcsG";#N/A,#N/A,FALSE,"TunnG";#N/A,#N/A,FALSE,"CivlG";#N/A,#N/A,FALSE,"NtwkG";#N/A,#N/A,FALSE,"EstgG";#N/A,#N/A,FALSE,"PEngG"}</definedName>
    <definedName name="Z_56770540_A97A_11D1_870B_00002143DF72_.wvu.Rows" hidden="1">#REF!,#REF!,#REF!,#REF!,#REF!,#REF!,#REF!,#REF!,#REF!,#REF!,#REF!,#REF!,#REF!</definedName>
    <definedName name="Z_6104898C_BDC8_4F17_AC01_8428510C4C82_.wvu.Cols" hidden="1">#REF!,#REF!</definedName>
    <definedName name="Z_6104898C_BDC8_4F17_AC01_8428510C4C82_.wvu.PrintArea" hidden="1">#REF!</definedName>
    <definedName name="Zapatas" localSheetId="5" hidden="1">{#N/A,#N/A,TRUE,"INGENIERIA";#N/A,#N/A,TRUE,"COMPRAS";#N/A,#N/A,TRUE,"DIRECCION";#N/A,#N/A,TRUE,"RESUMEN"}</definedName>
    <definedName name="Zapatas" localSheetId="6" hidden="1">{#N/A,#N/A,TRUE,"INGENIERIA";#N/A,#N/A,TRUE,"COMPRAS";#N/A,#N/A,TRUE,"DIRECCION";#N/A,#N/A,TRUE,"RESUMEN"}</definedName>
    <definedName name="Zapatas" localSheetId="3" hidden="1">{#N/A,#N/A,TRUE,"INGENIERIA";#N/A,#N/A,TRUE,"COMPRAS";#N/A,#N/A,TRUE,"DIRECCION";#N/A,#N/A,TRUE,"RESUMEN"}</definedName>
    <definedName name="Zapatas" localSheetId="4" hidden="1">{#N/A,#N/A,TRUE,"INGENIERIA";#N/A,#N/A,TRUE,"COMPRAS";#N/A,#N/A,TRUE,"DIRECCION";#N/A,#N/A,TRUE,"RESUMEN"}</definedName>
    <definedName name="Zapatas" localSheetId="13" hidden="1">{#N/A,#N/A,TRUE,"INGENIERIA";#N/A,#N/A,TRUE,"COMPRAS";#N/A,#N/A,TRUE,"DIRECCION";#N/A,#N/A,TRUE,"RESUMEN"}</definedName>
    <definedName name="Zapatas" hidden="1">{#N/A,#N/A,TRUE,"INGENIERIA";#N/A,#N/A,TRUE,"COMPRAS";#N/A,#N/A,TRUE,"DIRECCION";#N/A,#N/A,TRUE,"RESUMEN"}</definedName>
    <definedName name="zdvsdv" hidden="1">#REF!</definedName>
    <definedName name="zse" localSheetId="5" hidden="1">{#N/A,#N/A,FALSE,"SumG";#N/A,#N/A,FALSE,"ElecG";#N/A,#N/A,FALSE,"MechG";#N/A,#N/A,FALSE,"GeotG";#N/A,#N/A,FALSE,"PrcsG";#N/A,#N/A,FALSE,"TunnG";#N/A,#N/A,FALSE,"CivlG";#N/A,#N/A,FALSE,"NtwkG";#N/A,#N/A,FALSE,"EstgG";#N/A,#N/A,FALSE,"PEngG"}</definedName>
    <definedName name="zse" localSheetId="6" hidden="1">{#N/A,#N/A,FALSE,"SumG";#N/A,#N/A,FALSE,"ElecG";#N/A,#N/A,FALSE,"MechG";#N/A,#N/A,FALSE,"GeotG";#N/A,#N/A,FALSE,"PrcsG";#N/A,#N/A,FALSE,"TunnG";#N/A,#N/A,FALSE,"CivlG";#N/A,#N/A,FALSE,"NtwkG";#N/A,#N/A,FALSE,"EstgG";#N/A,#N/A,FALSE,"PEngG"}</definedName>
    <definedName name="zse" localSheetId="3" hidden="1">{#N/A,#N/A,FALSE,"SumG";#N/A,#N/A,FALSE,"ElecG";#N/A,#N/A,FALSE,"MechG";#N/A,#N/A,FALSE,"GeotG";#N/A,#N/A,FALSE,"PrcsG";#N/A,#N/A,FALSE,"TunnG";#N/A,#N/A,FALSE,"CivlG";#N/A,#N/A,FALSE,"NtwkG";#N/A,#N/A,FALSE,"EstgG";#N/A,#N/A,FALSE,"PEngG"}</definedName>
    <definedName name="zse" localSheetId="4"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FG" localSheetId="5" hidden="1">{#N/A,#N/A,FALSE,"SumD";#N/A,#N/A,FALSE,"ElecD";#N/A,#N/A,FALSE,"MechD";#N/A,#N/A,FALSE,"GeotD";#N/A,#N/A,FALSE,"PrcsD";#N/A,#N/A,FALSE,"TunnD";#N/A,#N/A,FALSE,"CivlD";#N/A,#N/A,FALSE,"NtwkD";#N/A,#N/A,FALSE,"EstgD";#N/A,#N/A,FALSE,"PEngD"}</definedName>
    <definedName name="ZXFG" localSheetId="6" hidden="1">{#N/A,#N/A,FALSE,"SumD";#N/A,#N/A,FALSE,"ElecD";#N/A,#N/A,FALSE,"MechD";#N/A,#N/A,FALSE,"GeotD";#N/A,#N/A,FALSE,"PrcsD";#N/A,#N/A,FALSE,"TunnD";#N/A,#N/A,FALSE,"CivlD";#N/A,#N/A,FALSE,"NtwkD";#N/A,#N/A,FALSE,"EstgD";#N/A,#N/A,FALSE,"PEngD"}</definedName>
    <definedName name="ZXFG" localSheetId="4"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5" hidden="1">{#N/A,#N/A,FALSE,"SumD";#N/A,#N/A,FALSE,"ElecD";#N/A,#N/A,FALSE,"MechD";#N/A,#N/A,FALSE,"GeotD";#N/A,#N/A,FALSE,"PrcsD";#N/A,#N/A,FALSE,"TunnD";#N/A,#N/A,FALSE,"CivlD";#N/A,#N/A,FALSE,"NtwkD";#N/A,#N/A,FALSE,"EstgD";#N/A,#N/A,FALSE,"PEngD"}</definedName>
    <definedName name="zz" localSheetId="6" hidden="1">{#N/A,#N/A,FALSE,"SumD";#N/A,#N/A,FALSE,"ElecD";#N/A,#N/A,FALSE,"MechD";#N/A,#N/A,FALSE,"GeotD";#N/A,#N/A,FALSE,"PrcsD";#N/A,#N/A,FALSE,"TunnD";#N/A,#N/A,FALSE,"CivlD";#N/A,#N/A,FALSE,"NtwkD";#N/A,#N/A,FALSE,"EstgD";#N/A,#N/A,FALSE,"PEngD"}</definedName>
    <definedName name="zz" localSheetId="3" hidden="1">{#N/A,#N/A,FALSE,"SumD";#N/A,#N/A,FALSE,"ElecD";#N/A,#N/A,FALSE,"MechD";#N/A,#N/A,FALSE,"GeotD";#N/A,#N/A,FALSE,"PrcsD";#N/A,#N/A,FALSE,"TunnD";#N/A,#N/A,FALSE,"CivlD";#N/A,#N/A,FALSE,"NtwkD";#N/A,#N/A,FALSE,"EstgD";#N/A,#N/A,FALSE,"PEngD"}</definedName>
    <definedName name="zz" localSheetId="4"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z" localSheetId="5" hidden="1">{#N/A,#N/A,FALSE,"SumG";#N/A,#N/A,FALSE,"ElecG";#N/A,#N/A,FALSE,"MechG";#N/A,#N/A,FALSE,"GeotG";#N/A,#N/A,FALSE,"PrcsG";#N/A,#N/A,FALSE,"TunnG";#N/A,#N/A,FALSE,"CivlG";#N/A,#N/A,FALSE,"NtwkG";#N/A,#N/A,FALSE,"EstgG";#N/A,#N/A,FALSE,"PEngG"}</definedName>
    <definedName name="zzzz" localSheetId="6" hidden="1">{#N/A,#N/A,FALSE,"SumG";#N/A,#N/A,FALSE,"ElecG";#N/A,#N/A,FALSE,"MechG";#N/A,#N/A,FALSE,"GeotG";#N/A,#N/A,FALSE,"PrcsG";#N/A,#N/A,FALSE,"TunnG";#N/A,#N/A,FALSE,"CivlG";#N/A,#N/A,FALSE,"NtwkG";#N/A,#N/A,FALSE,"EstgG";#N/A,#N/A,FALSE,"PEngG"}</definedName>
    <definedName name="zzzz" localSheetId="3" hidden="1">{#N/A,#N/A,FALSE,"SumG";#N/A,#N/A,FALSE,"ElecG";#N/A,#N/A,FALSE,"MechG";#N/A,#N/A,FALSE,"GeotG";#N/A,#N/A,FALSE,"PrcsG";#N/A,#N/A,FALSE,"TunnG";#N/A,#N/A,FALSE,"CivlG";#N/A,#N/A,FALSE,"NtwkG";#N/A,#N/A,FALSE,"EstgG";#N/A,#N/A,FALSE,"PEngG"}</definedName>
    <definedName name="zzzz" localSheetId="4" hidden="1">{#N/A,#N/A,FALSE,"SumG";#N/A,#N/A,FALSE,"ElecG";#N/A,#N/A,FALSE,"MechG";#N/A,#N/A,FALSE,"GeotG";#N/A,#N/A,FALSE,"PrcsG";#N/A,#N/A,FALSE,"TunnG";#N/A,#N/A,FALSE,"CivlG";#N/A,#N/A,FALSE,"NtwkG";#N/A,#N/A,FALSE,"EstgG";#N/A,#N/A,FALSE,"PEngG"}</definedName>
    <definedName name="zzzz" localSheetId="13" hidden="1">{#N/A,#N/A,FALSE,"SumG";#N/A,#N/A,FALSE,"ElecG";#N/A,#N/A,FALSE,"MechG";#N/A,#N/A,FALSE,"GeotG";#N/A,#N/A,FALSE,"PrcsG";#N/A,#N/A,FALSE,"TunnG";#N/A,#N/A,FALSE,"CivlG";#N/A,#N/A,FALSE,"NtwkG";#N/A,#N/A,FALSE,"EstgG";#N/A,#N/A,FALSE,"PEngG"}</definedName>
    <definedName name="zzzz" hidden="1">{#N/A,#N/A,FALSE,"SumG";#N/A,#N/A,FALSE,"ElecG";#N/A,#N/A,FALSE,"MechG";#N/A,#N/A,FALSE,"GeotG";#N/A,#N/A,FALSE,"PrcsG";#N/A,#N/A,FALSE,"TunnG";#N/A,#N/A,FALSE,"CivlG";#N/A,#N/A,FALSE,"NtwkG";#N/A,#N/A,FALSE,"EstgG";#N/A,#N/A,FALSE,"PEngG"}</definedName>
    <definedName name="zzzzzz" localSheetId="5" hidden="1">{#N/A,#N/A,FALSE,"SumD";#N/A,#N/A,FALSE,"ElecD";#N/A,#N/A,FALSE,"MechD";#N/A,#N/A,FALSE,"GeotD";#N/A,#N/A,FALSE,"PrcsD";#N/A,#N/A,FALSE,"TunnD";#N/A,#N/A,FALSE,"CivlD";#N/A,#N/A,FALSE,"NtwkD";#N/A,#N/A,FALSE,"EstgD";#N/A,#N/A,FALSE,"PEngD"}</definedName>
    <definedName name="zzzzzz" localSheetId="6" hidden="1">{#N/A,#N/A,FALSE,"SumD";#N/A,#N/A,FALSE,"ElecD";#N/A,#N/A,FALSE,"MechD";#N/A,#N/A,FALSE,"GeotD";#N/A,#N/A,FALSE,"PrcsD";#N/A,#N/A,FALSE,"TunnD";#N/A,#N/A,FALSE,"CivlD";#N/A,#N/A,FALSE,"NtwkD";#N/A,#N/A,FALSE,"EstgD";#N/A,#N/A,FALSE,"PEngD"}</definedName>
    <definedName name="zzzzzz" localSheetId="3" hidden="1">{#N/A,#N/A,FALSE,"SumD";#N/A,#N/A,FALSE,"ElecD";#N/A,#N/A,FALSE,"MechD";#N/A,#N/A,FALSE,"GeotD";#N/A,#N/A,FALSE,"PrcsD";#N/A,#N/A,FALSE,"TunnD";#N/A,#N/A,FALSE,"CivlD";#N/A,#N/A,FALSE,"NtwkD";#N/A,#N/A,FALSE,"EstgD";#N/A,#N/A,FALSE,"PEngD"}</definedName>
    <definedName name="zzzzzz" localSheetId="4"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당초계획" hidden="1">#REF!</definedName>
    <definedName name="보충" hidden="1">#REF!</definedName>
    <definedName name="부대공사" hidden="1">#REF!</definedName>
    <definedName name="사업부양식2" hidden="1">#REF!</definedName>
    <definedName name="손익계산서"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27" l="1"/>
  <c r="G2" i="127"/>
  <c r="B4" i="127"/>
  <c r="F28" i="21"/>
  <c r="H22" i="135"/>
  <c r="H18" i="135"/>
  <c r="F27" i="21"/>
  <c r="D71" i="21"/>
  <c r="B5" i="109"/>
  <c r="I103" i="109" l="1"/>
  <c r="G103" i="109" l="1"/>
  <c r="H103" i="109"/>
  <c r="J103" i="109" s="1"/>
  <c r="G646" i="109"/>
  <c r="H646" i="109"/>
  <c r="H645" i="109"/>
  <c r="G645" i="109"/>
  <c r="D36" i="133" l="1"/>
  <c r="I1091" i="109"/>
  <c r="H1091" i="109"/>
  <c r="G1091" i="109"/>
  <c r="J1091" i="109" l="1"/>
  <c r="G644" i="109" l="1"/>
  <c r="H644" i="109"/>
  <c r="I633" i="109"/>
  <c r="G633" i="109"/>
  <c r="H633" i="109"/>
  <c r="I340" i="109"/>
  <c r="G340" i="109"/>
  <c r="J339" i="109"/>
  <c r="J633" i="109" l="1"/>
  <c r="H340" i="109"/>
  <c r="J340" i="109" s="1"/>
  <c r="I464" i="109" l="1"/>
  <c r="H50" i="126" l="1"/>
  <c r="H49" i="126"/>
  <c r="H48" i="126"/>
  <c r="H47" i="126"/>
  <c r="H46" i="126"/>
  <c r="H45" i="126"/>
  <c r="I60" i="126" l="1"/>
  <c r="E150" i="132" l="1"/>
  <c r="G150" i="132" s="1"/>
  <c r="I150" i="132" s="1"/>
  <c r="G180" i="133"/>
  <c r="I180" i="133" s="1"/>
  <c r="H86" i="136" l="1"/>
  <c r="G86" i="136"/>
  <c r="I86" i="136" s="1"/>
  <c r="H84" i="136"/>
  <c r="G84" i="136"/>
  <c r="I84" i="136" s="1"/>
  <c r="H83" i="136"/>
  <c r="G83" i="136"/>
  <c r="I83" i="136" s="1"/>
  <c r="H82" i="136"/>
  <c r="G82" i="136"/>
  <c r="H81" i="136"/>
  <c r="G81" i="136"/>
  <c r="I81" i="136" s="1"/>
  <c r="H80" i="136"/>
  <c r="G80" i="136"/>
  <c r="I80" i="136" s="1"/>
  <c r="H79" i="136"/>
  <c r="G79" i="136"/>
  <c r="I79" i="136" s="1"/>
  <c r="H78" i="136"/>
  <c r="G78" i="136"/>
  <c r="I78" i="136" s="1"/>
  <c r="H77" i="136"/>
  <c r="G77" i="136"/>
  <c r="I77" i="136" s="1"/>
  <c r="H76" i="136"/>
  <c r="G76" i="136"/>
  <c r="I76" i="136" s="1"/>
  <c r="H74" i="136"/>
  <c r="G74" i="136"/>
  <c r="I74" i="136" s="1"/>
  <c r="I73" i="136"/>
  <c r="F38" i="21" s="1"/>
  <c r="H72" i="136"/>
  <c r="G72" i="136"/>
  <c r="I72" i="136" s="1"/>
  <c r="I71" i="136"/>
  <c r="E25" i="21" s="1"/>
  <c r="H70" i="136"/>
  <c r="G70" i="136"/>
  <c r="I70" i="136" s="1"/>
  <c r="I69" i="136"/>
  <c r="E30" i="21" s="1"/>
  <c r="H68" i="136"/>
  <c r="G68" i="136"/>
  <c r="I68" i="136" s="1"/>
  <c r="H66" i="136"/>
  <c r="G66" i="136"/>
  <c r="I66" i="136" s="1"/>
  <c r="H65" i="136"/>
  <c r="G65" i="136"/>
  <c r="I65" i="136" s="1"/>
  <c r="H64" i="136"/>
  <c r="G64" i="136"/>
  <c r="I64" i="136" s="1"/>
  <c r="H63" i="136"/>
  <c r="G63" i="136"/>
  <c r="I63" i="136" s="1"/>
  <c r="H62" i="136"/>
  <c r="G62" i="136"/>
  <c r="I62" i="136" s="1"/>
  <c r="H61" i="136"/>
  <c r="G61" i="136"/>
  <c r="H60" i="136"/>
  <c r="G60" i="136"/>
  <c r="H59" i="136"/>
  <c r="G59" i="136"/>
  <c r="I59" i="136" s="1"/>
  <c r="H57" i="136"/>
  <c r="G57" i="136"/>
  <c r="I57" i="136" s="1"/>
  <c r="H56" i="136"/>
  <c r="G56" i="136"/>
  <c r="I56" i="136" s="1"/>
  <c r="H54" i="136"/>
  <c r="G54" i="136"/>
  <c r="I54" i="136" s="1"/>
  <c r="H53" i="136"/>
  <c r="G53" i="136"/>
  <c r="I53" i="136" s="1"/>
  <c r="H52" i="136"/>
  <c r="G52" i="136"/>
  <c r="I52" i="136" s="1"/>
  <c r="H51" i="136"/>
  <c r="G51" i="136"/>
  <c r="I51" i="136" s="1"/>
  <c r="H50" i="136"/>
  <c r="G50" i="136"/>
  <c r="I50" i="136" s="1"/>
  <c r="H49" i="136"/>
  <c r="G49" i="136"/>
  <c r="I49" i="136" s="1"/>
  <c r="H47" i="136"/>
  <c r="G47" i="136"/>
  <c r="I47" i="136" s="1"/>
  <c r="H46" i="136"/>
  <c r="G46" i="136"/>
  <c r="I46" i="136" s="1"/>
  <c r="H45" i="136"/>
  <c r="G45" i="136"/>
  <c r="H42" i="136"/>
  <c r="G42" i="136"/>
  <c r="H41" i="136"/>
  <c r="G41" i="136"/>
  <c r="I41" i="136" s="1"/>
  <c r="H38" i="136"/>
  <c r="G38" i="136"/>
  <c r="I38" i="136" s="1"/>
  <c r="H37" i="136"/>
  <c r="G37" i="136"/>
  <c r="I37" i="136" s="1"/>
  <c r="H36" i="136"/>
  <c r="G36" i="136"/>
  <c r="I36" i="136" s="1"/>
  <c r="H35" i="136"/>
  <c r="G35" i="136"/>
  <c r="I35" i="136" s="1"/>
  <c r="H34" i="136"/>
  <c r="G34" i="136"/>
  <c r="I34" i="136" s="1"/>
  <c r="H33" i="136"/>
  <c r="G33" i="136"/>
  <c r="I33" i="136" s="1"/>
  <c r="H32" i="136"/>
  <c r="G32" i="136"/>
  <c r="H30" i="136"/>
  <c r="G30" i="136"/>
  <c r="I30" i="136" s="1"/>
  <c r="H29" i="136"/>
  <c r="G29" i="136"/>
  <c r="I29" i="136" s="1"/>
  <c r="H28" i="136"/>
  <c r="G28" i="136"/>
  <c r="I28" i="136" s="1"/>
  <c r="H27" i="136"/>
  <c r="G27" i="136"/>
  <c r="I27" i="136" s="1"/>
  <c r="H26" i="136"/>
  <c r="G26" i="136"/>
  <c r="I26" i="136" s="1"/>
  <c r="H25" i="136"/>
  <c r="G25" i="136"/>
  <c r="I25" i="136" s="1"/>
  <c r="H24" i="136"/>
  <c r="G24" i="136"/>
  <c r="I24" i="136" s="1"/>
  <c r="H23" i="136"/>
  <c r="G23" i="136"/>
  <c r="H22" i="136"/>
  <c r="G22" i="136"/>
  <c r="I22" i="136" s="1"/>
  <c r="H21" i="136"/>
  <c r="G21" i="136"/>
  <c r="I21" i="136" s="1"/>
  <c r="H20" i="136"/>
  <c r="G20" i="136"/>
  <c r="I20" i="136" s="1"/>
  <c r="H18" i="136"/>
  <c r="G18" i="136"/>
  <c r="I18" i="136" s="1"/>
  <c r="H17" i="136"/>
  <c r="G17" i="136"/>
  <c r="H16" i="136"/>
  <c r="G16" i="136"/>
  <c r="I16" i="136" s="1"/>
  <c r="H15" i="136"/>
  <c r="G15" i="136"/>
  <c r="I15" i="136" s="1"/>
  <c r="H14" i="136"/>
  <c r="G14" i="136"/>
  <c r="I14" i="136" s="1"/>
  <c r="H13" i="136"/>
  <c r="G13" i="136"/>
  <c r="I13" i="136" s="1"/>
  <c r="H12" i="136"/>
  <c r="G12" i="136"/>
  <c r="H11" i="136"/>
  <c r="G11" i="136"/>
  <c r="I11" i="136" s="1"/>
  <c r="G22" i="135"/>
  <c r="G18" i="135"/>
  <c r="I17" i="135"/>
  <c r="H16" i="135"/>
  <c r="G16" i="135"/>
  <c r="H15" i="135"/>
  <c r="G15" i="135"/>
  <c r="I15" i="135" s="1"/>
  <c r="H13" i="135"/>
  <c r="G13" i="135"/>
  <c r="I13" i="135" s="1"/>
  <c r="H11" i="135"/>
  <c r="G11" i="135"/>
  <c r="H141" i="134"/>
  <c r="G141" i="134"/>
  <c r="I141" i="134" s="1"/>
  <c r="I140" i="134"/>
  <c r="H139" i="134"/>
  <c r="G139" i="134"/>
  <c r="H138" i="134"/>
  <c r="G138" i="134"/>
  <c r="I138" i="134" s="1"/>
  <c r="H137" i="134"/>
  <c r="G137" i="134"/>
  <c r="I137" i="134" s="1"/>
  <c r="H136" i="134"/>
  <c r="G136" i="134"/>
  <c r="I136" i="134" s="1"/>
  <c r="I135" i="134"/>
  <c r="F35" i="21" s="1"/>
  <c r="H134" i="134"/>
  <c r="G134" i="134"/>
  <c r="H133" i="134"/>
  <c r="G133" i="134"/>
  <c r="I133" i="134" s="1"/>
  <c r="H132" i="134"/>
  <c r="G132" i="134"/>
  <c r="I132" i="134" s="1"/>
  <c r="H130" i="134"/>
  <c r="G130" i="134"/>
  <c r="I130" i="134" s="1"/>
  <c r="H129" i="134"/>
  <c r="G129" i="134"/>
  <c r="I129" i="134" s="1"/>
  <c r="H128" i="134"/>
  <c r="G128" i="134"/>
  <c r="I128" i="134" s="1"/>
  <c r="H126" i="134"/>
  <c r="G126" i="134"/>
  <c r="H124" i="134"/>
  <c r="G124" i="134"/>
  <c r="H123" i="134"/>
  <c r="G123" i="134"/>
  <c r="I123" i="134" s="1"/>
  <c r="H120" i="134"/>
  <c r="G120" i="134"/>
  <c r="I120" i="134" s="1"/>
  <c r="H119" i="134"/>
  <c r="G119" i="134"/>
  <c r="I119" i="134" s="1"/>
  <c r="H118" i="134"/>
  <c r="G118" i="134"/>
  <c r="I118" i="134" s="1"/>
  <c r="H117" i="134"/>
  <c r="G117" i="134"/>
  <c r="I117" i="134" s="1"/>
  <c r="H115" i="134"/>
  <c r="G115" i="134"/>
  <c r="I115" i="134" s="1"/>
  <c r="H113" i="134"/>
  <c r="G113" i="134"/>
  <c r="I113" i="134" s="1"/>
  <c r="H112" i="134"/>
  <c r="G112" i="134"/>
  <c r="I112" i="134" s="1"/>
  <c r="H111" i="134"/>
  <c r="G111" i="134"/>
  <c r="I111" i="134" s="1"/>
  <c r="H110" i="134"/>
  <c r="G110" i="134"/>
  <c r="I110" i="134" s="1"/>
  <c r="H108" i="134"/>
  <c r="G108" i="134"/>
  <c r="I108" i="134" s="1"/>
  <c r="H106" i="134"/>
  <c r="G106" i="134"/>
  <c r="I106" i="134" s="1"/>
  <c r="H105" i="134"/>
  <c r="G105" i="134"/>
  <c r="I105" i="134" s="1"/>
  <c r="H104" i="134"/>
  <c r="G104" i="134"/>
  <c r="I104" i="134" s="1"/>
  <c r="H102" i="134"/>
  <c r="G102" i="134"/>
  <c r="I102" i="134" s="1"/>
  <c r="H100" i="134"/>
  <c r="G100" i="134"/>
  <c r="H99" i="134"/>
  <c r="G99" i="134"/>
  <c r="I99" i="134" s="1"/>
  <c r="H98" i="134"/>
  <c r="G98" i="134"/>
  <c r="I98" i="134" s="1"/>
  <c r="H97" i="134"/>
  <c r="G97" i="134"/>
  <c r="I97" i="134" s="1"/>
  <c r="H95" i="134"/>
  <c r="G95" i="134"/>
  <c r="I95" i="134" s="1"/>
  <c r="H93" i="134"/>
  <c r="G93" i="134"/>
  <c r="H92" i="134"/>
  <c r="G92" i="134"/>
  <c r="H91" i="134"/>
  <c r="G91" i="134"/>
  <c r="I91" i="134" s="1"/>
  <c r="H90" i="134"/>
  <c r="G90" i="134"/>
  <c r="I90" i="134" s="1"/>
  <c r="H88" i="134"/>
  <c r="G88" i="134"/>
  <c r="I88" i="134" s="1"/>
  <c r="H86" i="134"/>
  <c r="G86" i="134"/>
  <c r="I86" i="134" s="1"/>
  <c r="H85" i="134"/>
  <c r="G85" i="134"/>
  <c r="I85" i="134" s="1"/>
  <c r="H84" i="134"/>
  <c r="G84" i="134"/>
  <c r="I84" i="134" s="1"/>
  <c r="H83" i="134"/>
  <c r="G83" i="134"/>
  <c r="I83" i="134" s="1"/>
  <c r="H82" i="134"/>
  <c r="G82" i="134"/>
  <c r="I82" i="134" s="1"/>
  <c r="H81" i="134"/>
  <c r="G81" i="134"/>
  <c r="I81" i="134" s="1"/>
  <c r="H79" i="134"/>
  <c r="G79" i="134"/>
  <c r="I79" i="134" s="1"/>
  <c r="H77" i="134"/>
  <c r="G77" i="134"/>
  <c r="H76" i="134"/>
  <c r="G76" i="134"/>
  <c r="I76" i="134" s="1"/>
  <c r="H75" i="134"/>
  <c r="G75" i="134"/>
  <c r="I75" i="134" s="1"/>
  <c r="H74" i="134"/>
  <c r="G74" i="134"/>
  <c r="I74" i="134" s="1"/>
  <c r="H72" i="134"/>
  <c r="G72" i="134"/>
  <c r="H69" i="134"/>
  <c r="G69" i="134"/>
  <c r="H68" i="134"/>
  <c r="G68" i="134"/>
  <c r="I68" i="134" s="1"/>
  <c r="H66" i="134"/>
  <c r="G66" i="134"/>
  <c r="H64" i="134"/>
  <c r="G64" i="134"/>
  <c r="I64" i="134" s="1"/>
  <c r="H63" i="134"/>
  <c r="G63" i="134"/>
  <c r="I63" i="134" s="1"/>
  <c r="H62" i="134"/>
  <c r="G62" i="134"/>
  <c r="I62" i="134" s="1"/>
  <c r="H60" i="134"/>
  <c r="G60" i="134"/>
  <c r="H59" i="134"/>
  <c r="G59" i="134"/>
  <c r="I59" i="134" s="1"/>
  <c r="H58" i="134"/>
  <c r="G58" i="134"/>
  <c r="I58" i="134" s="1"/>
  <c r="H57" i="134"/>
  <c r="G57" i="134"/>
  <c r="I57" i="134" s="1"/>
  <c r="H56" i="134"/>
  <c r="G56" i="134"/>
  <c r="I56" i="134" s="1"/>
  <c r="H54" i="134"/>
  <c r="G54" i="134"/>
  <c r="I54" i="134" s="1"/>
  <c r="H53" i="134"/>
  <c r="G53" i="134"/>
  <c r="I53" i="134" s="1"/>
  <c r="H52" i="134"/>
  <c r="G52" i="134"/>
  <c r="I52" i="134" s="1"/>
  <c r="H50" i="134"/>
  <c r="G50" i="134"/>
  <c r="H49" i="134"/>
  <c r="G49" i="134"/>
  <c r="H48" i="134"/>
  <c r="G48" i="134"/>
  <c r="I48" i="134" s="1"/>
  <c r="H47" i="134"/>
  <c r="G47" i="134"/>
  <c r="I47" i="134" s="1"/>
  <c r="H46" i="134"/>
  <c r="G46" i="134"/>
  <c r="I46" i="134" s="1"/>
  <c r="H45" i="134"/>
  <c r="G45" i="134"/>
  <c r="I45" i="134" s="1"/>
  <c r="H44" i="134"/>
  <c r="G44" i="134"/>
  <c r="I44" i="134" s="1"/>
  <c r="H43" i="134"/>
  <c r="G43" i="134"/>
  <c r="I43" i="134" s="1"/>
  <c r="H42" i="134"/>
  <c r="G42" i="134"/>
  <c r="H41" i="134"/>
  <c r="G41" i="134"/>
  <c r="I41" i="134" s="1"/>
  <c r="H39" i="134"/>
  <c r="G39" i="134"/>
  <c r="I39" i="134" s="1"/>
  <c r="H38" i="134"/>
  <c r="G38" i="134"/>
  <c r="I38" i="134" s="1"/>
  <c r="H37" i="134"/>
  <c r="G37" i="134"/>
  <c r="I37" i="134" s="1"/>
  <c r="H35" i="134"/>
  <c r="G35" i="134"/>
  <c r="I35" i="134" s="1"/>
  <c r="H34" i="134"/>
  <c r="G34" i="134"/>
  <c r="H33" i="134"/>
  <c r="G33" i="134"/>
  <c r="I33" i="134" s="1"/>
  <c r="H32" i="134"/>
  <c r="G32" i="134"/>
  <c r="I32" i="134" s="1"/>
  <c r="H31" i="134"/>
  <c r="G31" i="134"/>
  <c r="I31" i="134" s="1"/>
  <c r="H30" i="134"/>
  <c r="G30" i="134"/>
  <c r="I30" i="134" s="1"/>
  <c r="H29" i="134"/>
  <c r="G29" i="134"/>
  <c r="I29" i="134" s="1"/>
  <c r="H28" i="134"/>
  <c r="G28" i="134"/>
  <c r="H27" i="134"/>
  <c r="G27" i="134"/>
  <c r="I27" i="134" s="1"/>
  <c r="H26" i="134"/>
  <c r="G26" i="134"/>
  <c r="I26" i="134" s="1"/>
  <c r="H25" i="134"/>
  <c r="G25" i="134"/>
  <c r="I25" i="134" s="1"/>
  <c r="H24" i="134"/>
  <c r="G24" i="134"/>
  <c r="I24" i="134" s="1"/>
  <c r="H23" i="134"/>
  <c r="G23" i="134"/>
  <c r="I23" i="134" s="1"/>
  <c r="H21" i="134"/>
  <c r="G21" i="134"/>
  <c r="I21" i="134" s="1"/>
  <c r="H20" i="134"/>
  <c r="G20" i="134"/>
  <c r="I20" i="134" s="1"/>
  <c r="H19" i="134"/>
  <c r="G19" i="134"/>
  <c r="I19" i="134" s="1"/>
  <c r="H18" i="134"/>
  <c r="G18" i="134"/>
  <c r="I18" i="134" s="1"/>
  <c r="H17" i="134"/>
  <c r="G17" i="134"/>
  <c r="H16" i="134"/>
  <c r="G16" i="134"/>
  <c r="I16" i="134" s="1"/>
  <c r="H15" i="134"/>
  <c r="G15" i="134"/>
  <c r="I15" i="134" s="1"/>
  <c r="H14" i="134"/>
  <c r="G14" i="134"/>
  <c r="I14" i="134" s="1"/>
  <c r="H13" i="134"/>
  <c r="G13" i="134"/>
  <c r="I13" i="134" s="1"/>
  <c r="H12" i="134"/>
  <c r="G12" i="134"/>
  <c r="I12" i="134" s="1"/>
  <c r="H11" i="134"/>
  <c r="G11" i="134"/>
  <c r="H179" i="133"/>
  <c r="G179" i="133"/>
  <c r="H178" i="133"/>
  <c r="G178" i="133"/>
  <c r="I178" i="133" s="1"/>
  <c r="H177" i="133"/>
  <c r="G177" i="133"/>
  <c r="H176" i="133"/>
  <c r="G176" i="133"/>
  <c r="I176" i="133" s="1"/>
  <c r="H175" i="133"/>
  <c r="G175" i="133"/>
  <c r="I175" i="133" s="1"/>
  <c r="H174" i="133"/>
  <c r="G174" i="133"/>
  <c r="H173" i="133"/>
  <c r="G173" i="133"/>
  <c r="I173" i="133" s="1"/>
  <c r="H172" i="133"/>
  <c r="G172" i="133"/>
  <c r="I172" i="133" s="1"/>
  <c r="H171" i="133"/>
  <c r="G171" i="133"/>
  <c r="I171" i="133" s="1"/>
  <c r="H170" i="133"/>
  <c r="G170" i="133"/>
  <c r="I170" i="133" s="1"/>
  <c r="H169" i="133"/>
  <c r="G169" i="133"/>
  <c r="H168" i="133"/>
  <c r="G168" i="133"/>
  <c r="I168" i="133" s="1"/>
  <c r="H167" i="133"/>
  <c r="G167" i="133"/>
  <c r="H166" i="133"/>
  <c r="G166" i="133"/>
  <c r="I166" i="133" s="1"/>
  <c r="H165" i="133"/>
  <c r="G165" i="133"/>
  <c r="H164" i="133"/>
  <c r="G164" i="133"/>
  <c r="I164" i="133" s="1"/>
  <c r="H163" i="133"/>
  <c r="G163" i="133"/>
  <c r="I163" i="133" s="1"/>
  <c r="H162" i="133"/>
  <c r="G162" i="133"/>
  <c r="I162" i="133" s="1"/>
  <c r="H161" i="133"/>
  <c r="G161" i="133"/>
  <c r="I161" i="133" s="1"/>
  <c r="H160" i="133"/>
  <c r="G160" i="133"/>
  <c r="I160" i="133" s="1"/>
  <c r="H159" i="133"/>
  <c r="G159" i="133"/>
  <c r="I159" i="133" s="1"/>
  <c r="H158" i="133"/>
  <c r="G158" i="133"/>
  <c r="I158" i="133" s="1"/>
  <c r="H157" i="133"/>
  <c r="G157" i="133"/>
  <c r="I157" i="133" s="1"/>
  <c r="H156" i="133"/>
  <c r="G156" i="133"/>
  <c r="H155" i="133"/>
  <c r="G155" i="133"/>
  <c r="I155" i="133" s="1"/>
  <c r="H154" i="133"/>
  <c r="G154" i="133"/>
  <c r="I154" i="133" s="1"/>
  <c r="H153" i="133"/>
  <c r="G153" i="133"/>
  <c r="I153" i="133" s="1"/>
  <c r="H152" i="133"/>
  <c r="G152" i="133"/>
  <c r="I152" i="133" s="1"/>
  <c r="H151" i="133"/>
  <c r="G151" i="133"/>
  <c r="I151" i="133" s="1"/>
  <c r="H150" i="133"/>
  <c r="G150" i="133"/>
  <c r="I150" i="133" s="1"/>
  <c r="H149" i="133"/>
  <c r="G149" i="133"/>
  <c r="H148" i="133"/>
  <c r="G148" i="133"/>
  <c r="I148" i="133" s="1"/>
  <c r="H147" i="133"/>
  <c r="G147" i="133"/>
  <c r="H146" i="133"/>
  <c r="G146" i="133"/>
  <c r="H145" i="133"/>
  <c r="G145" i="133"/>
  <c r="I145" i="133" s="1"/>
  <c r="H144" i="133"/>
  <c r="G144" i="133"/>
  <c r="I144" i="133" s="1"/>
  <c r="H143" i="133"/>
  <c r="G143" i="133"/>
  <c r="H142" i="133"/>
  <c r="G142" i="133"/>
  <c r="I142" i="133" s="1"/>
  <c r="H141" i="133"/>
  <c r="G141" i="133"/>
  <c r="I141" i="133" s="1"/>
  <c r="H140" i="133"/>
  <c r="G140" i="133"/>
  <c r="I140" i="133" s="1"/>
  <c r="H139" i="133"/>
  <c r="G139" i="133"/>
  <c r="I139" i="133" s="1"/>
  <c r="H138" i="133"/>
  <c r="G138" i="133"/>
  <c r="H137" i="133"/>
  <c r="G137" i="133"/>
  <c r="I137" i="133" s="1"/>
  <c r="H136" i="133"/>
  <c r="G136" i="133"/>
  <c r="H135" i="133"/>
  <c r="G135" i="133"/>
  <c r="I135" i="133" s="1"/>
  <c r="H134" i="133"/>
  <c r="G134" i="133"/>
  <c r="I134" i="133" s="1"/>
  <c r="H133" i="133"/>
  <c r="G133" i="133"/>
  <c r="I133" i="133" s="1"/>
  <c r="H132" i="133"/>
  <c r="G132" i="133"/>
  <c r="I132" i="133" s="1"/>
  <c r="H131" i="133"/>
  <c r="G131" i="133"/>
  <c r="I131" i="133" s="1"/>
  <c r="H130" i="133"/>
  <c r="G130" i="133"/>
  <c r="I130" i="133" s="1"/>
  <c r="H129" i="133"/>
  <c r="G129" i="133"/>
  <c r="H128" i="133"/>
  <c r="G128" i="133"/>
  <c r="H127" i="133"/>
  <c r="G127" i="133"/>
  <c r="I127" i="133" s="1"/>
  <c r="H126" i="133"/>
  <c r="G126" i="133"/>
  <c r="H125" i="133"/>
  <c r="G125" i="133"/>
  <c r="H124" i="133"/>
  <c r="G124" i="133"/>
  <c r="I124" i="133" s="1"/>
  <c r="H123" i="133"/>
  <c r="G123" i="133"/>
  <c r="I123" i="133" s="1"/>
  <c r="H122" i="133"/>
  <c r="G122" i="133"/>
  <c r="I122" i="133" s="1"/>
  <c r="H121" i="133"/>
  <c r="G121" i="133"/>
  <c r="H120" i="133"/>
  <c r="G120" i="133"/>
  <c r="I120" i="133" s="1"/>
  <c r="H119" i="133"/>
  <c r="G119" i="133"/>
  <c r="I119" i="133" s="1"/>
  <c r="H118" i="133"/>
  <c r="G118" i="133"/>
  <c r="I118" i="133" s="1"/>
  <c r="H117" i="133"/>
  <c r="G117" i="133"/>
  <c r="I117" i="133" s="1"/>
  <c r="H116" i="133"/>
  <c r="G116" i="133"/>
  <c r="I116" i="133" s="1"/>
  <c r="H115" i="133"/>
  <c r="G115" i="133"/>
  <c r="H114" i="133"/>
  <c r="G114" i="133"/>
  <c r="I114" i="133" s="1"/>
  <c r="H113" i="133"/>
  <c r="G113" i="133"/>
  <c r="I113" i="133" s="1"/>
  <c r="H112" i="133"/>
  <c r="G112" i="133"/>
  <c r="I112" i="133" s="1"/>
  <c r="H111" i="133"/>
  <c r="G111" i="133"/>
  <c r="I111" i="133" s="1"/>
  <c r="H110" i="133"/>
  <c r="G110" i="133"/>
  <c r="I110" i="133" s="1"/>
  <c r="H109" i="133"/>
  <c r="G109" i="133"/>
  <c r="I109" i="133" s="1"/>
  <c r="H108" i="133"/>
  <c r="G108" i="133"/>
  <c r="I108" i="133" s="1"/>
  <c r="H107" i="133"/>
  <c r="G107" i="133"/>
  <c r="H106" i="133"/>
  <c r="G106" i="133"/>
  <c r="I106" i="133" s="1"/>
  <c r="H105" i="133"/>
  <c r="G105" i="133"/>
  <c r="I105" i="133" s="1"/>
  <c r="H104" i="133"/>
  <c r="G104" i="133"/>
  <c r="I104" i="133" s="1"/>
  <c r="H103" i="133"/>
  <c r="G103" i="133"/>
  <c r="H102" i="133"/>
  <c r="G102" i="133"/>
  <c r="I102" i="133" s="1"/>
  <c r="H101" i="133"/>
  <c r="G101" i="133"/>
  <c r="I101" i="133" s="1"/>
  <c r="H100" i="133"/>
  <c r="G100" i="133"/>
  <c r="I100" i="133" s="1"/>
  <c r="H99" i="133"/>
  <c r="G99" i="133"/>
  <c r="H98" i="133"/>
  <c r="G98" i="133"/>
  <c r="I98" i="133" s="1"/>
  <c r="H97" i="133"/>
  <c r="G97" i="133"/>
  <c r="H96" i="133"/>
  <c r="G96" i="133"/>
  <c r="I96" i="133" s="1"/>
  <c r="H95" i="133"/>
  <c r="G95" i="133"/>
  <c r="H94" i="133"/>
  <c r="G94" i="133"/>
  <c r="I94" i="133" s="1"/>
  <c r="H93" i="133"/>
  <c r="G93" i="133"/>
  <c r="I93" i="133" s="1"/>
  <c r="H92" i="133"/>
  <c r="G92" i="133"/>
  <c r="H91" i="133"/>
  <c r="G91" i="133"/>
  <c r="I91" i="133" s="1"/>
  <c r="H90" i="133"/>
  <c r="G90" i="133"/>
  <c r="I90" i="133" s="1"/>
  <c r="H89" i="133"/>
  <c r="G89" i="133"/>
  <c r="I89" i="133" s="1"/>
  <c r="H88" i="133"/>
  <c r="G88" i="133"/>
  <c r="I88" i="133" s="1"/>
  <c r="H87" i="133"/>
  <c r="G87" i="133"/>
  <c r="I87" i="133" s="1"/>
  <c r="H86" i="133"/>
  <c r="G86" i="133"/>
  <c r="I86" i="133" s="1"/>
  <c r="H85" i="133"/>
  <c r="G85" i="133"/>
  <c r="I85" i="133" s="1"/>
  <c r="H84" i="133"/>
  <c r="G84" i="133"/>
  <c r="I84" i="133" s="1"/>
  <c r="H83" i="133"/>
  <c r="G83" i="133"/>
  <c r="I83" i="133" s="1"/>
  <c r="H82" i="133"/>
  <c r="G82" i="133"/>
  <c r="I82" i="133" s="1"/>
  <c r="H81" i="133"/>
  <c r="G81" i="133"/>
  <c r="H80" i="133"/>
  <c r="G80" i="133"/>
  <c r="I80" i="133" s="1"/>
  <c r="H79" i="133"/>
  <c r="G79" i="133"/>
  <c r="I79" i="133" s="1"/>
  <c r="H78" i="133"/>
  <c r="G78" i="133"/>
  <c r="I78" i="133" s="1"/>
  <c r="H77" i="133"/>
  <c r="G77" i="133"/>
  <c r="H76" i="133"/>
  <c r="G76" i="133"/>
  <c r="I76" i="133" s="1"/>
  <c r="H75" i="133"/>
  <c r="G75" i="133"/>
  <c r="I75" i="133" s="1"/>
  <c r="H74" i="133"/>
  <c r="G74" i="133"/>
  <c r="H73" i="133"/>
  <c r="G73" i="133"/>
  <c r="I73" i="133" s="1"/>
  <c r="H72" i="133"/>
  <c r="G72" i="133"/>
  <c r="I72" i="133" s="1"/>
  <c r="H71" i="133"/>
  <c r="G71" i="133"/>
  <c r="I71" i="133" s="1"/>
  <c r="H70" i="133"/>
  <c r="G70" i="133"/>
  <c r="I70" i="133" s="1"/>
  <c r="H69" i="133"/>
  <c r="G69" i="133"/>
  <c r="H68" i="133"/>
  <c r="G68" i="133"/>
  <c r="I68" i="133" s="1"/>
  <c r="H67" i="133"/>
  <c r="G67" i="133"/>
  <c r="I67" i="133" s="1"/>
  <c r="H66" i="133"/>
  <c r="G66" i="133"/>
  <c r="H65" i="133"/>
  <c r="G65" i="133"/>
  <c r="I65" i="133" s="1"/>
  <c r="H64" i="133"/>
  <c r="G64" i="133"/>
  <c r="H63" i="133"/>
  <c r="G63" i="133"/>
  <c r="H62" i="133"/>
  <c r="G62" i="133"/>
  <c r="I62" i="133" s="1"/>
  <c r="H61" i="133"/>
  <c r="G61" i="133"/>
  <c r="I61" i="133" s="1"/>
  <c r="H60" i="133"/>
  <c r="G60" i="133"/>
  <c r="H59" i="133"/>
  <c r="G59" i="133"/>
  <c r="H58" i="133"/>
  <c r="G58" i="133"/>
  <c r="I58" i="133" s="1"/>
  <c r="H57" i="133"/>
  <c r="G57" i="133"/>
  <c r="I57" i="133" s="1"/>
  <c r="H56" i="133"/>
  <c r="G56" i="133"/>
  <c r="H55" i="133"/>
  <c r="G55" i="133"/>
  <c r="H54" i="133"/>
  <c r="G54" i="133"/>
  <c r="H53" i="133"/>
  <c r="G53" i="133"/>
  <c r="I53" i="133" s="1"/>
  <c r="H52" i="133"/>
  <c r="G52" i="133"/>
  <c r="I52" i="133" s="1"/>
  <c r="H51" i="133"/>
  <c r="G51" i="133"/>
  <c r="I51" i="133" s="1"/>
  <c r="H50" i="133"/>
  <c r="G50" i="133"/>
  <c r="H49" i="133"/>
  <c r="G49" i="133"/>
  <c r="I49" i="133" s="1"/>
  <c r="H48" i="133"/>
  <c r="G48" i="133"/>
  <c r="I48" i="133" s="1"/>
  <c r="H47" i="133"/>
  <c r="G47" i="133"/>
  <c r="I47" i="133" s="1"/>
  <c r="H46" i="133"/>
  <c r="G46" i="133"/>
  <c r="I46" i="133" s="1"/>
  <c r="H45" i="133"/>
  <c r="G45" i="133"/>
  <c r="H44" i="133"/>
  <c r="G44" i="133"/>
  <c r="I44" i="133" s="1"/>
  <c r="H43" i="133"/>
  <c r="G43" i="133"/>
  <c r="H42" i="133"/>
  <c r="G42" i="133"/>
  <c r="I42" i="133" s="1"/>
  <c r="H41" i="133"/>
  <c r="G41" i="133"/>
  <c r="I41" i="133" s="1"/>
  <c r="H40" i="133"/>
  <c r="G40" i="133"/>
  <c r="I40" i="133" s="1"/>
  <c r="H39" i="133"/>
  <c r="G39" i="133"/>
  <c r="I39" i="133" s="1"/>
  <c r="H38" i="133"/>
  <c r="G38" i="133"/>
  <c r="I38" i="133" s="1"/>
  <c r="H37" i="133"/>
  <c r="G37" i="133"/>
  <c r="H36" i="133"/>
  <c r="G36" i="133"/>
  <c r="H35" i="133"/>
  <c r="G35" i="133"/>
  <c r="H34" i="133"/>
  <c r="G34" i="133"/>
  <c r="I34" i="133" s="1"/>
  <c r="H33" i="133"/>
  <c r="G33" i="133"/>
  <c r="H32" i="133"/>
  <c r="G32" i="133"/>
  <c r="I32" i="133" s="1"/>
  <c r="H31" i="133"/>
  <c r="G31" i="133"/>
  <c r="I31" i="133" s="1"/>
  <c r="H30" i="133"/>
  <c r="G30" i="133"/>
  <c r="I30" i="133" s="1"/>
  <c r="H29" i="133"/>
  <c r="G29" i="133"/>
  <c r="I29" i="133" s="1"/>
  <c r="H28" i="133"/>
  <c r="G28" i="133"/>
  <c r="I28" i="133" s="1"/>
  <c r="H27" i="133"/>
  <c r="G27" i="133"/>
  <c r="I27" i="133" s="1"/>
  <c r="H26" i="133"/>
  <c r="G26" i="133"/>
  <c r="I26" i="133" s="1"/>
  <c r="H25" i="133"/>
  <c r="G25" i="133"/>
  <c r="I25" i="133" s="1"/>
  <c r="H24" i="133"/>
  <c r="G24" i="133"/>
  <c r="H23" i="133"/>
  <c r="G23" i="133"/>
  <c r="I23" i="133" s="1"/>
  <c r="H22" i="133"/>
  <c r="G22" i="133"/>
  <c r="I22" i="133" s="1"/>
  <c r="H21" i="133"/>
  <c r="G21" i="133"/>
  <c r="I21" i="133" s="1"/>
  <c r="H20" i="133"/>
  <c r="G20" i="133"/>
  <c r="I20" i="133" s="1"/>
  <c r="H19" i="133"/>
  <c r="G19" i="133"/>
  <c r="I19" i="133" s="1"/>
  <c r="H18" i="133"/>
  <c r="G18" i="133"/>
  <c r="I18" i="133" s="1"/>
  <c r="H17" i="133"/>
  <c r="G17" i="133"/>
  <c r="I17" i="133" s="1"/>
  <c r="H16" i="133"/>
  <c r="G16" i="133"/>
  <c r="I16" i="133" s="1"/>
  <c r="H15" i="133"/>
  <c r="G15" i="133"/>
  <c r="H14" i="133"/>
  <c r="G14" i="133"/>
  <c r="I14" i="133" s="1"/>
  <c r="H13" i="133"/>
  <c r="G13" i="133"/>
  <c r="I13" i="133" s="1"/>
  <c r="H12" i="133"/>
  <c r="G12" i="133"/>
  <c r="H149" i="132"/>
  <c r="G149" i="132"/>
  <c r="I149" i="132" s="1"/>
  <c r="H148" i="132"/>
  <c r="G148" i="132"/>
  <c r="H147" i="132"/>
  <c r="G147" i="132"/>
  <c r="H146" i="132"/>
  <c r="G146" i="132"/>
  <c r="I146" i="132" s="1"/>
  <c r="H145" i="132"/>
  <c r="G145" i="132"/>
  <c r="H144" i="132"/>
  <c r="G144" i="132"/>
  <c r="H143" i="132"/>
  <c r="G143" i="132"/>
  <c r="I143" i="132" s="1"/>
  <c r="H142" i="132"/>
  <c r="G142" i="132"/>
  <c r="I142" i="132" s="1"/>
  <c r="H141" i="132"/>
  <c r="G141" i="132"/>
  <c r="H140" i="132"/>
  <c r="G140" i="132"/>
  <c r="I140" i="132" s="1"/>
  <c r="H139" i="132"/>
  <c r="G139" i="132"/>
  <c r="I139" i="132" s="1"/>
  <c r="H138" i="132"/>
  <c r="G138" i="132"/>
  <c r="H137" i="132"/>
  <c r="G137" i="132"/>
  <c r="I137" i="132" s="1"/>
  <c r="H136" i="132"/>
  <c r="G136" i="132"/>
  <c r="I136" i="132" s="1"/>
  <c r="H135" i="132"/>
  <c r="G135" i="132"/>
  <c r="H134" i="132"/>
  <c r="G134" i="132"/>
  <c r="I134" i="132" s="1"/>
  <c r="H133" i="132"/>
  <c r="G133" i="132"/>
  <c r="I133" i="132" s="1"/>
  <c r="H132" i="132"/>
  <c r="G132" i="132"/>
  <c r="H131" i="132"/>
  <c r="G131" i="132"/>
  <c r="I131" i="132" s="1"/>
  <c r="H130" i="132"/>
  <c r="G130" i="132"/>
  <c r="H129" i="132"/>
  <c r="G129" i="132"/>
  <c r="H128" i="132"/>
  <c r="G128" i="132"/>
  <c r="H127" i="132"/>
  <c r="G127" i="132"/>
  <c r="I127" i="132" s="1"/>
  <c r="H126" i="132"/>
  <c r="G126" i="132"/>
  <c r="I126" i="132" s="1"/>
  <c r="H125" i="132"/>
  <c r="G125" i="132"/>
  <c r="H124" i="132"/>
  <c r="G124" i="132"/>
  <c r="I124" i="132" s="1"/>
  <c r="H123" i="132"/>
  <c r="G123" i="132"/>
  <c r="I123" i="132" s="1"/>
  <c r="H122" i="132"/>
  <c r="G122" i="132"/>
  <c r="H121" i="132"/>
  <c r="G121" i="132"/>
  <c r="I121" i="132" s="1"/>
  <c r="H120" i="132"/>
  <c r="G120" i="132"/>
  <c r="I120" i="132" s="1"/>
  <c r="H119" i="132"/>
  <c r="G119" i="132"/>
  <c r="I119" i="132" s="1"/>
  <c r="H118" i="132"/>
  <c r="G118" i="132"/>
  <c r="H117" i="132"/>
  <c r="G117" i="132"/>
  <c r="I117" i="132" s="1"/>
  <c r="H116" i="132"/>
  <c r="G116" i="132"/>
  <c r="I116" i="132" s="1"/>
  <c r="H115" i="132"/>
  <c r="G115" i="132"/>
  <c r="I115" i="132" s="1"/>
  <c r="H114" i="132"/>
  <c r="G114" i="132"/>
  <c r="I114" i="132" s="1"/>
  <c r="H113" i="132"/>
  <c r="G113" i="132"/>
  <c r="H112" i="132"/>
  <c r="G112" i="132"/>
  <c r="H111" i="132"/>
  <c r="G111" i="132"/>
  <c r="I111" i="132" s="1"/>
  <c r="H110" i="132"/>
  <c r="G110" i="132"/>
  <c r="I110" i="132" s="1"/>
  <c r="H109" i="132"/>
  <c r="G109" i="132"/>
  <c r="H108" i="132"/>
  <c r="G108" i="132"/>
  <c r="H107" i="132"/>
  <c r="G107" i="132"/>
  <c r="H106" i="132"/>
  <c r="G106" i="132"/>
  <c r="I106" i="132" s="1"/>
  <c r="H105" i="132"/>
  <c r="G105" i="132"/>
  <c r="H104" i="132"/>
  <c r="G104" i="132"/>
  <c r="I104" i="132" s="1"/>
  <c r="H103" i="132"/>
  <c r="G103" i="132"/>
  <c r="I103" i="132" s="1"/>
  <c r="H102" i="132"/>
  <c r="G102" i="132"/>
  <c r="H101" i="132"/>
  <c r="G101" i="132"/>
  <c r="I101" i="132" s="1"/>
  <c r="H100" i="132"/>
  <c r="G100" i="132"/>
  <c r="H99" i="132"/>
  <c r="G99" i="132"/>
  <c r="I99" i="132" s="1"/>
  <c r="H98" i="132"/>
  <c r="G98" i="132"/>
  <c r="I98" i="132" s="1"/>
  <c r="H97" i="132"/>
  <c r="G97" i="132"/>
  <c r="I97" i="132" s="1"/>
  <c r="H96" i="132"/>
  <c r="G96" i="132"/>
  <c r="I96" i="132" s="1"/>
  <c r="H95" i="132"/>
  <c r="G95" i="132"/>
  <c r="H94" i="132"/>
  <c r="G94" i="132"/>
  <c r="I94" i="132" s="1"/>
  <c r="H93" i="132"/>
  <c r="G93" i="132"/>
  <c r="I93" i="132" s="1"/>
  <c r="H92" i="132"/>
  <c r="G92" i="132"/>
  <c r="H91" i="132"/>
  <c r="G91" i="132"/>
  <c r="H90" i="132"/>
  <c r="G90" i="132"/>
  <c r="I90" i="132" s="1"/>
  <c r="H89" i="132"/>
  <c r="G89" i="132"/>
  <c r="I89" i="132" s="1"/>
  <c r="H88" i="132"/>
  <c r="G88" i="132"/>
  <c r="I88" i="132" s="1"/>
  <c r="H87" i="132"/>
  <c r="G87" i="132"/>
  <c r="I87" i="132" s="1"/>
  <c r="H86" i="132"/>
  <c r="G86" i="132"/>
  <c r="H85" i="132"/>
  <c r="G85" i="132"/>
  <c r="H84" i="132"/>
  <c r="G84" i="132"/>
  <c r="I84" i="132" s="1"/>
  <c r="H83" i="132"/>
  <c r="G83" i="132"/>
  <c r="I83" i="132" s="1"/>
  <c r="H82" i="132"/>
  <c r="G82" i="132"/>
  <c r="H81" i="132"/>
  <c r="G81" i="132"/>
  <c r="I81" i="132" s="1"/>
  <c r="H80" i="132"/>
  <c r="G80" i="132"/>
  <c r="H79" i="132"/>
  <c r="G79" i="132"/>
  <c r="I79" i="132" s="1"/>
  <c r="H78" i="132"/>
  <c r="G78" i="132"/>
  <c r="H77" i="132"/>
  <c r="G77" i="132"/>
  <c r="I77" i="132" s="1"/>
  <c r="H76" i="132"/>
  <c r="G76" i="132"/>
  <c r="H75" i="132"/>
  <c r="G75" i="132"/>
  <c r="H74" i="132"/>
  <c r="G74" i="132"/>
  <c r="I74" i="132" s="1"/>
  <c r="H73" i="132"/>
  <c r="G73" i="132"/>
  <c r="I73" i="132" s="1"/>
  <c r="H72" i="132"/>
  <c r="G72" i="132"/>
  <c r="I72" i="132" s="1"/>
  <c r="H71" i="132"/>
  <c r="G71" i="132"/>
  <c r="I71" i="132" s="1"/>
  <c r="H70" i="132"/>
  <c r="G70" i="132"/>
  <c r="I70" i="132" s="1"/>
  <c r="H69" i="132"/>
  <c r="G69" i="132"/>
  <c r="H68" i="132"/>
  <c r="G68" i="132"/>
  <c r="I68" i="132" s="1"/>
  <c r="H67" i="132"/>
  <c r="G67" i="132"/>
  <c r="I67" i="132" s="1"/>
  <c r="H66" i="132"/>
  <c r="G66" i="132"/>
  <c r="I66" i="132" s="1"/>
  <c r="H65" i="132"/>
  <c r="G65" i="132"/>
  <c r="H64" i="132"/>
  <c r="G64" i="132"/>
  <c r="H63" i="132"/>
  <c r="G63" i="132"/>
  <c r="I63" i="132" s="1"/>
  <c r="H62" i="132"/>
  <c r="G62" i="132"/>
  <c r="H61" i="132"/>
  <c r="G61" i="132"/>
  <c r="H60" i="132"/>
  <c r="G60" i="132"/>
  <c r="I60" i="132" s="1"/>
  <c r="H59" i="132"/>
  <c r="G59" i="132"/>
  <c r="I59" i="132" s="1"/>
  <c r="H58" i="132"/>
  <c r="G58" i="132"/>
  <c r="I58" i="132" s="1"/>
  <c r="H57" i="132"/>
  <c r="G57" i="132"/>
  <c r="I57" i="132" s="1"/>
  <c r="H56" i="132"/>
  <c r="G56" i="132"/>
  <c r="H55" i="132"/>
  <c r="G55" i="132"/>
  <c r="I55" i="132" s="1"/>
  <c r="H54" i="132"/>
  <c r="G54" i="132"/>
  <c r="I54" i="132" s="1"/>
  <c r="H53" i="132"/>
  <c r="G53" i="132"/>
  <c r="I53" i="132" s="1"/>
  <c r="H52" i="132"/>
  <c r="G52" i="132"/>
  <c r="H51" i="132"/>
  <c r="G51" i="132"/>
  <c r="H50" i="132"/>
  <c r="G50" i="132"/>
  <c r="I50" i="132" s="1"/>
  <c r="H49" i="132"/>
  <c r="G49" i="132"/>
  <c r="I49" i="132" s="1"/>
  <c r="H48" i="132"/>
  <c r="G48" i="132"/>
  <c r="I48" i="132" s="1"/>
  <c r="H47" i="132"/>
  <c r="G47" i="132"/>
  <c r="H46" i="132"/>
  <c r="G46" i="132"/>
  <c r="I46" i="132" s="1"/>
  <c r="H45" i="132"/>
  <c r="G45" i="132"/>
  <c r="I45" i="132" s="1"/>
  <c r="H44" i="132"/>
  <c r="G44" i="132"/>
  <c r="H43" i="132"/>
  <c r="G43" i="132"/>
  <c r="I43" i="132" s="1"/>
  <c r="H42" i="132"/>
  <c r="G42" i="132"/>
  <c r="H41" i="132"/>
  <c r="G41" i="132"/>
  <c r="H40" i="132"/>
  <c r="G40" i="132"/>
  <c r="I40" i="132" s="1"/>
  <c r="H39" i="132"/>
  <c r="G39" i="132"/>
  <c r="I39" i="132" s="1"/>
  <c r="H38" i="132"/>
  <c r="G38" i="132"/>
  <c r="I38" i="132" s="1"/>
  <c r="H37" i="132"/>
  <c r="G37" i="132"/>
  <c r="I37" i="132" s="1"/>
  <c r="H36" i="132"/>
  <c r="G36" i="132"/>
  <c r="I36" i="132" s="1"/>
  <c r="H35" i="132"/>
  <c r="G35" i="132"/>
  <c r="I35" i="132" s="1"/>
  <c r="H34" i="132"/>
  <c r="G34" i="132"/>
  <c r="H33" i="132"/>
  <c r="G33" i="132"/>
  <c r="I33" i="132" s="1"/>
  <c r="H32" i="132"/>
  <c r="G32" i="132"/>
  <c r="I32" i="132" s="1"/>
  <c r="H31" i="132"/>
  <c r="G31" i="132"/>
  <c r="I31" i="132" s="1"/>
  <c r="H30" i="132"/>
  <c r="G30" i="132"/>
  <c r="I30" i="132" s="1"/>
  <c r="H29" i="132"/>
  <c r="G29" i="132"/>
  <c r="I29" i="132" s="1"/>
  <c r="H28" i="132"/>
  <c r="G28" i="132"/>
  <c r="I28" i="132" s="1"/>
  <c r="H27" i="132"/>
  <c r="G27" i="132"/>
  <c r="I27" i="132" s="1"/>
  <c r="H26" i="132"/>
  <c r="G26" i="132"/>
  <c r="H25" i="132"/>
  <c r="G25" i="132"/>
  <c r="H24" i="132"/>
  <c r="G24" i="132"/>
  <c r="I24" i="132" s="1"/>
  <c r="H23" i="132"/>
  <c r="G23" i="132"/>
  <c r="I23" i="132" s="1"/>
  <c r="H22" i="132"/>
  <c r="G22" i="132"/>
  <c r="H21" i="132"/>
  <c r="G21" i="132"/>
  <c r="H20" i="132"/>
  <c r="G20" i="132"/>
  <c r="H19" i="132"/>
  <c r="G19" i="132"/>
  <c r="I19" i="132" s="1"/>
  <c r="H18" i="132"/>
  <c r="G18" i="132"/>
  <c r="I18" i="132" s="1"/>
  <c r="H17" i="132"/>
  <c r="G17" i="132"/>
  <c r="I17" i="132" s="1"/>
  <c r="H16" i="132"/>
  <c r="G16" i="132"/>
  <c r="H15" i="132"/>
  <c r="G15" i="132"/>
  <c r="I15" i="132" s="1"/>
  <c r="H14" i="132"/>
  <c r="G14" i="132"/>
  <c r="I14" i="132" s="1"/>
  <c r="H13" i="132"/>
  <c r="G13" i="132"/>
  <c r="H12" i="132"/>
  <c r="G12" i="132"/>
  <c r="I18" i="135" l="1"/>
  <c r="I11" i="135"/>
  <c r="I9" i="135"/>
  <c r="F24" i="21" s="1"/>
  <c r="I22" i="135"/>
  <c r="I16" i="135"/>
  <c r="I36" i="133"/>
  <c r="I12" i="136"/>
  <c r="I66" i="134"/>
  <c r="I28" i="134"/>
  <c r="I147" i="132"/>
  <c r="I107" i="132"/>
  <c r="I105" i="132"/>
  <c r="I125" i="132"/>
  <c r="I80" i="132"/>
  <c r="I129" i="133"/>
  <c r="I50" i="133"/>
  <c r="I129" i="132"/>
  <c r="I44" i="132"/>
  <c r="I63" i="133"/>
  <c r="I42" i="136"/>
  <c r="I60" i="133"/>
  <c r="I69" i="133"/>
  <c r="I12" i="132"/>
  <c r="G9" i="132"/>
  <c r="E23" i="21" s="1"/>
  <c r="I32" i="136"/>
  <c r="I139" i="134"/>
  <c r="I93" i="134"/>
  <c r="I77" i="134"/>
  <c r="I72" i="134"/>
  <c r="I49" i="134"/>
  <c r="I82" i="136"/>
  <c r="I17" i="136"/>
  <c r="I126" i="134"/>
  <c r="I50" i="134"/>
  <c r="I60" i="134"/>
  <c r="I149" i="133"/>
  <c r="I147" i="133"/>
  <c r="I61" i="136"/>
  <c r="I92" i="133"/>
  <c r="I66" i="133"/>
  <c r="I33" i="133"/>
  <c r="G9" i="133"/>
  <c r="E22" i="21" s="1"/>
  <c r="I75" i="136"/>
  <c r="F32" i="21" s="1"/>
  <c r="I60" i="136"/>
  <c r="I43" i="136"/>
  <c r="F31" i="21" s="1"/>
  <c r="I92" i="134"/>
  <c r="I45" i="136"/>
  <c r="I23" i="136"/>
  <c r="I9" i="136" s="1"/>
  <c r="E33" i="21" s="1"/>
  <c r="I134" i="134"/>
  <c r="I131" i="134"/>
  <c r="F34" i="21" s="1"/>
  <c r="I124" i="134"/>
  <c r="I100" i="134"/>
  <c r="I69" i="134"/>
  <c r="I42" i="134"/>
  <c r="I34" i="134"/>
  <c r="I9" i="134"/>
  <c r="F29" i="21" s="1"/>
  <c r="I11" i="134"/>
  <c r="I128" i="133"/>
  <c r="I145" i="132"/>
  <c r="I144" i="132"/>
  <c r="I130" i="132"/>
  <c r="I122" i="132"/>
  <c r="I85" i="132"/>
  <c r="I76" i="132"/>
  <c r="I61" i="132"/>
  <c r="I42" i="132"/>
  <c r="I41" i="132"/>
  <c r="I20" i="135"/>
  <c r="I62" i="132"/>
  <c r="I82" i="132"/>
  <c r="I92" i="132"/>
  <c r="I102" i="132"/>
  <c r="I112" i="132"/>
  <c r="I132" i="132"/>
  <c r="I113" i="132"/>
  <c r="I34" i="132"/>
  <c r="I25" i="132"/>
  <c r="I64" i="132"/>
  <c r="I16" i="132"/>
  <c r="I26" i="132"/>
  <c r="I65" i="132"/>
  <c r="I75" i="132"/>
  <c r="I95" i="132"/>
  <c r="I135" i="132"/>
  <c r="I118" i="132"/>
  <c r="I128" i="132"/>
  <c r="I138" i="132"/>
  <c r="I148" i="132"/>
  <c r="I108" i="132"/>
  <c r="I109" i="132"/>
  <c r="I69" i="132"/>
  <c r="I56" i="132"/>
  <c r="I20" i="132"/>
  <c r="I21" i="132"/>
  <c r="I51" i="132"/>
  <c r="I100" i="132"/>
  <c r="I141" i="132"/>
  <c r="I47" i="132"/>
  <c r="I86" i="132"/>
  <c r="I78" i="132"/>
  <c r="I22" i="132"/>
  <c r="I52" i="132"/>
  <c r="I91" i="132"/>
  <c r="I54" i="133"/>
  <c r="I64" i="133"/>
  <c r="I95" i="133"/>
  <c r="I136" i="133"/>
  <c r="I177" i="133"/>
  <c r="I55" i="133"/>
  <c r="I24" i="133"/>
  <c r="I35" i="133"/>
  <c r="I45" i="133"/>
  <c r="I56" i="133"/>
  <c r="I97" i="133"/>
  <c r="I107" i="133"/>
  <c r="I138" i="133"/>
  <c r="I169" i="133"/>
  <c r="I179" i="133"/>
  <c r="I103" i="133"/>
  <c r="I77" i="133"/>
  <c r="I121" i="133"/>
  <c r="I165" i="133"/>
  <c r="I15" i="133"/>
  <c r="I125" i="133"/>
  <c r="I146" i="133"/>
  <c r="I37" i="133"/>
  <c r="I99" i="133"/>
  <c r="I59" i="133"/>
  <c r="I81" i="133"/>
  <c r="I143" i="133"/>
  <c r="I174" i="133"/>
  <c r="I43" i="133"/>
  <c r="I74" i="133"/>
  <c r="I115" i="133"/>
  <c r="I126" i="133"/>
  <c r="I156" i="133"/>
  <c r="I167" i="133"/>
  <c r="I17" i="134"/>
  <c r="H9" i="133"/>
  <c r="F22" i="21" s="1"/>
  <c r="I12" i="133"/>
  <c r="I13" i="132"/>
  <c r="H9" i="132"/>
  <c r="F23" i="21" s="1"/>
  <c r="I9" i="133" l="1"/>
  <c r="I9" i="132"/>
  <c r="F90" i="127" l="1"/>
  <c r="G89" i="127" s="1"/>
  <c r="I1089" i="109" l="1"/>
  <c r="H1089" i="109"/>
  <c r="G1089" i="109"/>
  <c r="I1087" i="109"/>
  <c r="H1087" i="109"/>
  <c r="G1087" i="109"/>
  <c r="G1074" i="109"/>
  <c r="H1074" i="109"/>
  <c r="I1074" i="109"/>
  <c r="G1060" i="109"/>
  <c r="H1060" i="109"/>
  <c r="I1060" i="109"/>
  <c r="G1061" i="109"/>
  <c r="H1061" i="109"/>
  <c r="I1061" i="109"/>
  <c r="G1062" i="109"/>
  <c r="H1062" i="109"/>
  <c r="I1062" i="109"/>
  <c r="G1063" i="109"/>
  <c r="H1063" i="109"/>
  <c r="I1063" i="109"/>
  <c r="I1055" i="109"/>
  <c r="I1056" i="109"/>
  <c r="I1057" i="109"/>
  <c r="I1058" i="109"/>
  <c r="I67" i="126"/>
  <c r="H67" i="126"/>
  <c r="G67" i="126"/>
  <c r="I66" i="126"/>
  <c r="H66" i="126"/>
  <c r="G66" i="126"/>
  <c r="I65" i="126"/>
  <c r="H65" i="126"/>
  <c r="G65" i="126"/>
  <c r="I64" i="126"/>
  <c r="H64" i="126"/>
  <c r="G64" i="126"/>
  <c r="J998" i="109"/>
  <c r="J994" i="109"/>
  <c r="J990" i="109"/>
  <c r="J986" i="109"/>
  <c r="J982" i="109"/>
  <c r="J979" i="109"/>
  <c r="J975" i="109"/>
  <c r="J972" i="109"/>
  <c r="J969" i="109"/>
  <c r="J965" i="109"/>
  <c r="J961" i="109"/>
  <c r="J1074" i="109" l="1"/>
  <c r="J64" i="126"/>
  <c r="J66" i="126"/>
  <c r="J65" i="126"/>
  <c r="J1060" i="109"/>
  <c r="J1062" i="109"/>
  <c r="J1089" i="109"/>
  <c r="J1087" i="109"/>
  <c r="J1063" i="109"/>
  <c r="J1061" i="109"/>
  <c r="J67" i="126"/>
  <c r="H916" i="109" l="1"/>
  <c r="H917" i="109"/>
  <c r="H918" i="109"/>
  <c r="H919" i="109"/>
  <c r="H920" i="109"/>
  <c r="H913" i="109"/>
  <c r="H914" i="109"/>
  <c r="H899" i="109"/>
  <c r="G775" i="109"/>
  <c r="H775" i="109"/>
  <c r="I775" i="109"/>
  <c r="G776" i="109"/>
  <c r="H776" i="109"/>
  <c r="I776" i="109"/>
  <c r="G777" i="109"/>
  <c r="H777" i="109"/>
  <c r="I777" i="109"/>
  <c r="G778" i="109"/>
  <c r="H778" i="109"/>
  <c r="I778" i="109"/>
  <c r="I779" i="109"/>
  <c r="I780" i="109"/>
  <c r="G779" i="109"/>
  <c r="J775" i="109" l="1"/>
  <c r="J778" i="109"/>
  <c r="H779" i="109"/>
  <c r="J779" i="109" s="1"/>
  <c r="J777" i="109"/>
  <c r="J776" i="109"/>
  <c r="H734" i="109"/>
  <c r="H737" i="109"/>
  <c r="H731" i="109"/>
  <c r="H692" i="109"/>
  <c r="H693" i="109"/>
  <c r="H699" i="109"/>
  <c r="H702" i="109"/>
  <c r="H703" i="109"/>
  <c r="H704" i="109"/>
  <c r="H710" i="109"/>
  <c r="H711" i="109"/>
  <c r="H713" i="109"/>
  <c r="H714" i="109"/>
  <c r="H721" i="109"/>
  <c r="H722" i="109"/>
  <c r="H724" i="109"/>
  <c r="H674" i="109"/>
  <c r="H676" i="109"/>
  <c r="H677" i="109"/>
  <c r="H678" i="109"/>
  <c r="H679" i="109"/>
  <c r="H681" i="109"/>
  <c r="H682" i="109"/>
  <c r="H684" i="109"/>
  <c r="H685" i="109"/>
  <c r="H686" i="109"/>
  <c r="H687" i="109"/>
  <c r="H688" i="109"/>
  <c r="H665" i="109"/>
  <c r="H654" i="109"/>
  <c r="H675" i="109" l="1"/>
  <c r="H32" i="126"/>
  <c r="H43" i="126"/>
  <c r="H39" i="126"/>
  <c r="H33" i="126"/>
  <c r="H30" i="126"/>
  <c r="H34" i="126"/>
  <c r="H31" i="126"/>
  <c r="H35" i="126"/>
  <c r="H38" i="126"/>
  <c r="H736" i="109"/>
  <c r="H741" i="109"/>
  <c r="H742" i="109"/>
  <c r="H735" i="109"/>
  <c r="H739" i="109"/>
  <c r="H733" i="109"/>
  <c r="H738" i="109"/>
  <c r="H732" i="109"/>
  <c r="H740" i="109"/>
  <c r="H23" i="126"/>
  <c r="H24" i="126"/>
  <c r="H25" i="126"/>
  <c r="H17" i="126"/>
  <c r="H22" i="126"/>
  <c r="H18" i="126"/>
  <c r="H19" i="126"/>
  <c r="H15" i="126"/>
  <c r="H20" i="126"/>
  <c r="H745" i="109"/>
  <c r="H748" i="109"/>
  <c r="H747" i="109"/>
  <c r="H749" i="109"/>
  <c r="H746" i="109"/>
  <c r="H744" i="109"/>
  <c r="H730" i="109"/>
  <c r="H709" i="109"/>
  <c r="H715" i="109"/>
  <c r="H708" i="109"/>
  <c r="H706" i="109"/>
  <c r="H719" i="109"/>
  <c r="H691" i="109"/>
  <c r="H701" i="109"/>
  <c r="H712" i="109"/>
  <c r="H700" i="109"/>
  <c r="H720" i="109"/>
  <c r="H717" i="109"/>
  <c r="H698" i="109"/>
  <c r="H723" i="109"/>
  <c r="H695" i="109"/>
  <c r="H716" i="109"/>
  <c r="H705" i="109"/>
  <c r="H694" i="109"/>
  <c r="H690" i="109"/>
  <c r="H697" i="109"/>
  <c r="H718" i="109"/>
  <c r="H707" i="109"/>
  <c r="H696" i="109"/>
  <c r="H680" i="109"/>
  <c r="H670" i="109"/>
  <c r="H671" i="109"/>
  <c r="H668" i="109"/>
  <c r="H669" i="109"/>
  <c r="H528" i="109"/>
  <c r="H529" i="109"/>
  <c r="H530" i="109"/>
  <c r="H531" i="109"/>
  <c r="H532" i="109"/>
  <c r="H533" i="109"/>
  <c r="H507" i="109"/>
  <c r="J508" i="109"/>
  <c r="J281" i="109"/>
  <c r="J279" i="109"/>
  <c r="J277" i="109"/>
  <c r="J251" i="109"/>
  <c r="J228" i="109"/>
  <c r="H40" i="126" l="1"/>
  <c r="H683" i="109"/>
  <c r="H41" i="126"/>
  <c r="H37" i="126"/>
  <c r="H42" i="126"/>
  <c r="H36" i="126"/>
  <c r="H21" i="126"/>
  <c r="H26" i="126"/>
  <c r="H27" i="126"/>
  <c r="H13" i="126"/>
  <c r="H14" i="126"/>
  <c r="H28" i="126"/>
  <c r="H16" i="126"/>
  <c r="H12" i="126"/>
  <c r="H593" i="109"/>
  <c r="H579" i="109" l="1"/>
  <c r="H594" i="109"/>
  <c r="H592" i="109"/>
  <c r="J265" i="103" l="1"/>
  <c r="I265" i="103"/>
  <c r="K265" i="103" s="1"/>
  <c r="H265" i="103"/>
  <c r="J134" i="103" l="1"/>
  <c r="J133" i="103"/>
  <c r="J132" i="103"/>
  <c r="J136" i="103" l="1"/>
  <c r="J135" i="103"/>
  <c r="L24" i="86" l="1"/>
  <c r="K20" i="86"/>
  <c r="K18" i="86" l="1"/>
  <c r="K19" i="86"/>
  <c r="J24" i="86" l="1"/>
  <c r="K24" i="86"/>
  <c r="M24" i="86" s="1"/>
  <c r="I134" i="9"/>
  <c r="H134" i="9"/>
  <c r="J134" i="9" s="1"/>
  <c r="A134" i="9"/>
  <c r="A135" i="9" s="1"/>
  <c r="G135" i="9"/>
  <c r="H135" i="9"/>
  <c r="I135" i="9"/>
  <c r="H133" i="9" l="1"/>
  <c r="J135" i="9"/>
  <c r="K133" i="9" s="1"/>
  <c r="G134" i="9"/>
  <c r="I133" i="9"/>
  <c r="E18" i="21" l="1"/>
  <c r="H406" i="109" l="1"/>
  <c r="I1154" i="109" l="1"/>
  <c r="K152" i="108"/>
  <c r="L298" i="86"/>
  <c r="H127" i="109" l="1"/>
  <c r="G451" i="109" l="1"/>
  <c r="H451" i="109"/>
  <c r="I451" i="109"/>
  <c r="G452" i="109"/>
  <c r="H452" i="109"/>
  <c r="I452" i="109"/>
  <c r="I453" i="109"/>
  <c r="G454" i="109"/>
  <c r="H454" i="109"/>
  <c r="I454" i="109"/>
  <c r="G455" i="109"/>
  <c r="H455" i="109"/>
  <c r="I455" i="109"/>
  <c r="I456" i="109" l="1"/>
  <c r="J454" i="109"/>
  <c r="J455" i="109"/>
  <c r="J451" i="109"/>
  <c r="J452" i="109"/>
  <c r="G456" i="109" l="1"/>
  <c r="H456" i="109" l="1"/>
  <c r="J456" i="109" s="1"/>
  <c r="G1154" i="109" l="1"/>
  <c r="H1154" i="109"/>
  <c r="J1154" i="109" s="1"/>
  <c r="J298" i="86"/>
  <c r="K298" i="86"/>
  <c r="M298" i="86" s="1"/>
  <c r="J152" i="108"/>
  <c r="I152" i="108"/>
  <c r="F84" i="127"/>
  <c r="F83" i="127"/>
  <c r="F82" i="127"/>
  <c r="F81" i="127"/>
  <c r="F80" i="127"/>
  <c r="F79" i="127"/>
  <c r="F78" i="127"/>
  <c r="F77" i="127"/>
  <c r="F76" i="127"/>
  <c r="F73" i="127"/>
  <c r="G72" i="127" s="1"/>
  <c r="F70" i="127"/>
  <c r="F69" i="127"/>
  <c r="F68" i="127"/>
  <c r="F67" i="127"/>
  <c r="F66" i="127"/>
  <c r="F65" i="127"/>
  <c r="F64" i="127"/>
  <c r="F63" i="127"/>
  <c r="F62" i="127"/>
  <c r="F61" i="127"/>
  <c r="F60" i="127"/>
  <c r="F59" i="127"/>
  <c r="F58" i="127"/>
  <c r="F57" i="127"/>
  <c r="F56" i="127"/>
  <c r="F55" i="127"/>
  <c r="F54" i="127"/>
  <c r="F53" i="127"/>
  <c r="F52" i="127"/>
  <c r="F51" i="127"/>
  <c r="F50" i="127"/>
  <c r="F49" i="127"/>
  <c r="F46" i="127"/>
  <c r="F45" i="127"/>
  <c r="F44" i="127"/>
  <c r="F43" i="127"/>
  <c r="F42" i="127"/>
  <c r="F41" i="127"/>
  <c r="F40" i="127"/>
  <c r="F39" i="127"/>
  <c r="F38" i="127"/>
  <c r="F37" i="127"/>
  <c r="F36" i="127"/>
  <c r="F35" i="127"/>
  <c r="F32" i="127"/>
  <c r="F31" i="127"/>
  <c r="F27" i="127"/>
  <c r="F26" i="127"/>
  <c r="F25" i="127"/>
  <c r="F24" i="127"/>
  <c r="F23" i="127"/>
  <c r="F22" i="127"/>
  <c r="F20" i="127"/>
  <c r="F19" i="127"/>
  <c r="F18" i="127"/>
  <c r="F17" i="127"/>
  <c r="F16" i="127"/>
  <c r="F15" i="127"/>
  <c r="F14" i="127"/>
  <c r="F13" i="127"/>
  <c r="F12" i="127"/>
  <c r="E42" i="21" l="1"/>
  <c r="L152" i="108"/>
  <c r="G30" i="127"/>
  <c r="G48" i="127"/>
  <c r="G34" i="127"/>
  <c r="G75" i="127"/>
  <c r="F21" i="127"/>
  <c r="G11" i="127" s="1"/>
  <c r="G42" i="21" l="1"/>
  <c r="G86" i="127"/>
  <c r="E41" i="21" s="1"/>
  <c r="E58" i="21" l="1"/>
  <c r="G6" i="126"/>
  <c r="H6" i="126"/>
  <c r="I6" i="126"/>
  <c r="G8" i="126"/>
  <c r="H8" i="126"/>
  <c r="I8" i="126"/>
  <c r="G9" i="126"/>
  <c r="H9" i="126"/>
  <c r="I9" i="126"/>
  <c r="G10" i="126"/>
  <c r="H10" i="126"/>
  <c r="I10" i="126"/>
  <c r="G11" i="126"/>
  <c r="H11" i="126"/>
  <c r="I11" i="126"/>
  <c r="G29" i="126"/>
  <c r="H29" i="126"/>
  <c r="I29" i="126"/>
  <c r="G51" i="126"/>
  <c r="H51" i="126"/>
  <c r="I51" i="126"/>
  <c r="G53" i="126"/>
  <c r="H53" i="126"/>
  <c r="I53" i="126"/>
  <c r="G54" i="126"/>
  <c r="G56" i="126"/>
  <c r="H56" i="126"/>
  <c r="I56" i="126"/>
  <c r="G57" i="126"/>
  <c r="H57" i="126"/>
  <c r="I57" i="126"/>
  <c r="G58" i="126"/>
  <c r="I62" i="126"/>
  <c r="G63" i="126"/>
  <c r="H63" i="126"/>
  <c r="I63" i="126"/>
  <c r="G68" i="126"/>
  <c r="H68" i="126"/>
  <c r="I68" i="126"/>
  <c r="G69" i="126"/>
  <c r="H69" i="126"/>
  <c r="I69" i="126"/>
  <c r="G70" i="126"/>
  <c r="H70" i="126"/>
  <c r="I70" i="126"/>
  <c r="G71" i="126"/>
  <c r="H71" i="126"/>
  <c r="I71" i="126"/>
  <c r="G72" i="126"/>
  <c r="H72" i="126"/>
  <c r="I72" i="126"/>
  <c r="G73" i="126"/>
  <c r="H73" i="126"/>
  <c r="I73" i="126"/>
  <c r="I58" i="126"/>
  <c r="J51" i="126" l="1"/>
  <c r="J72" i="126"/>
  <c r="J69" i="126"/>
  <c r="J6" i="126"/>
  <c r="J9" i="126"/>
  <c r="J53" i="126"/>
  <c r="J73" i="126"/>
  <c r="J63" i="126"/>
  <c r="J68" i="126"/>
  <c r="J29" i="126"/>
  <c r="J71" i="126"/>
  <c r="J56" i="126"/>
  <c r="J8" i="126"/>
  <c r="J11" i="126"/>
  <c r="J57" i="126"/>
  <c r="J10" i="126"/>
  <c r="H58" i="126"/>
  <c r="J58" i="126" s="1"/>
  <c r="J70" i="126"/>
  <c r="K63" i="126" l="1"/>
  <c r="I54" i="126"/>
  <c r="H54" i="126"/>
  <c r="J54" i="126" l="1"/>
  <c r="K51" i="126" s="1"/>
  <c r="I5" i="126"/>
  <c r="B4" i="126"/>
  <c r="I4" i="126" l="1"/>
  <c r="H7" i="126"/>
  <c r="K71" i="126"/>
  <c r="K8" i="126" l="1"/>
  <c r="J153" i="108" l="1"/>
  <c r="J154" i="108"/>
  <c r="J155" i="108"/>
  <c r="J156" i="108"/>
  <c r="J62" i="103"/>
  <c r="D62" i="21"/>
  <c r="I125" i="9"/>
  <c r="G38" i="21"/>
  <c r="G30" i="21"/>
  <c r="G33" i="21"/>
  <c r="G119" i="109"/>
  <c r="I119" i="109"/>
  <c r="H756" i="109"/>
  <c r="H755" i="109"/>
  <c r="G756" i="109"/>
  <c r="J754" i="109"/>
  <c r="G755" i="109"/>
  <c r="H140" i="103"/>
  <c r="J141" i="103"/>
  <c r="H139" i="103"/>
  <c r="H873" i="109"/>
  <c r="H877" i="109"/>
  <c r="H900" i="109"/>
  <c r="H901" i="109"/>
  <c r="H902" i="109"/>
  <c r="H903" i="109"/>
  <c r="H904" i="109"/>
  <c r="H905" i="109"/>
  <c r="H906" i="109"/>
  <c r="H907" i="109"/>
  <c r="H128" i="109"/>
  <c r="J205" i="103"/>
  <c r="J207" i="103"/>
  <c r="H152" i="109"/>
  <c r="H139" i="109"/>
  <c r="H140" i="109"/>
  <c r="H141" i="109"/>
  <c r="H142" i="109"/>
  <c r="H153" i="109"/>
  <c r="H155" i="109"/>
  <c r="H156" i="109"/>
  <c r="F7" i="112"/>
  <c r="F6" i="112"/>
  <c r="F5" i="112"/>
  <c r="F42" i="111"/>
  <c r="F43" i="111"/>
  <c r="F44" i="111"/>
  <c r="F45" i="111"/>
  <c r="F46" i="111"/>
  <c r="F48" i="111"/>
  <c r="F49" i="111"/>
  <c r="F51" i="111"/>
  <c r="F52" i="111"/>
  <c r="F53" i="111"/>
  <c r="F54" i="111"/>
  <c r="F55" i="111"/>
  <c r="F57" i="111"/>
  <c r="F59" i="111"/>
  <c r="F38" i="111"/>
  <c r="F7" i="111"/>
  <c r="F13" i="111"/>
  <c r="F14" i="111"/>
  <c r="F15" i="111"/>
  <c r="F16" i="111"/>
  <c r="F17" i="111"/>
  <c r="F18" i="111"/>
  <c r="F19" i="111"/>
  <c r="F20" i="111"/>
  <c r="F21" i="111"/>
  <c r="F22" i="111"/>
  <c r="F23" i="111"/>
  <c r="F24" i="111"/>
  <c r="F25" i="111"/>
  <c r="F26" i="111"/>
  <c r="F27" i="111"/>
  <c r="F28" i="111"/>
  <c r="F29" i="111"/>
  <c r="F30" i="111"/>
  <c r="F31" i="111"/>
  <c r="F32" i="111"/>
  <c r="F33" i="111"/>
  <c r="F34" i="111"/>
  <c r="F35" i="111"/>
  <c r="F36" i="111"/>
  <c r="F37" i="111"/>
  <c r="F5" i="111"/>
  <c r="F6" i="111"/>
  <c r="F8" i="111"/>
  <c r="F9" i="111"/>
  <c r="F10" i="111"/>
  <c r="F11" i="111"/>
  <c r="F12" i="111"/>
  <c r="H824" i="109"/>
  <c r="H823" i="109"/>
  <c r="H822" i="109"/>
  <c r="H821" i="109"/>
  <c r="G820" i="109"/>
  <c r="H819" i="109"/>
  <c r="I819" i="109"/>
  <c r="I820" i="109"/>
  <c r="I821" i="109"/>
  <c r="I822" i="109"/>
  <c r="I823" i="109"/>
  <c r="I824" i="109"/>
  <c r="J23" i="109"/>
  <c r="J31" i="109"/>
  <c r="J41" i="109"/>
  <c r="J49" i="109"/>
  <c r="J51" i="109"/>
  <c r="J54" i="109"/>
  <c r="J59" i="109"/>
  <c r="J62" i="109"/>
  <c r="J66" i="109"/>
  <c r="J75" i="109"/>
  <c r="J98" i="109"/>
  <c r="J107" i="109"/>
  <c r="J108" i="109"/>
  <c r="J116" i="109"/>
  <c r="J129" i="109"/>
  <c r="J130" i="109"/>
  <c r="J157" i="109"/>
  <c r="J162" i="109"/>
  <c r="J166" i="109"/>
  <c r="J170" i="109"/>
  <c r="J191" i="109"/>
  <c r="J198" i="109"/>
  <c r="J199" i="109"/>
  <c r="J201" i="109"/>
  <c r="J202" i="109"/>
  <c r="J204" i="109"/>
  <c r="J206" i="109"/>
  <c r="J208" i="109"/>
  <c r="J210" i="109"/>
  <c r="J211" i="109"/>
  <c r="J213" i="109"/>
  <c r="J215" i="109"/>
  <c r="J217" i="109"/>
  <c r="J218" i="109"/>
  <c r="J220" i="109"/>
  <c r="J222" i="109"/>
  <c r="J224" i="109"/>
  <c r="J225" i="109"/>
  <c r="J226" i="109"/>
  <c r="J230" i="109"/>
  <c r="J232" i="109"/>
  <c r="J234" i="109"/>
  <c r="J236" i="109"/>
  <c r="J238" i="109"/>
  <c r="J240" i="109"/>
  <c r="J241" i="109"/>
  <c r="J243" i="109"/>
  <c r="J245" i="109"/>
  <c r="J247" i="109"/>
  <c r="J249" i="109"/>
  <c r="J253" i="109"/>
  <c r="J255" i="109"/>
  <c r="J257" i="109"/>
  <c r="J259" i="109"/>
  <c r="J261" i="109"/>
  <c r="J263" i="109"/>
  <c r="J265" i="109"/>
  <c r="J267" i="109"/>
  <c r="J269" i="109"/>
  <c r="J271" i="109"/>
  <c r="J273" i="109"/>
  <c r="J275" i="109"/>
  <c r="J283" i="109"/>
  <c r="J284" i="109"/>
  <c r="J286" i="109"/>
  <c r="J288" i="109"/>
  <c r="J290" i="109"/>
  <c r="J291" i="109"/>
  <c r="J292" i="109"/>
  <c r="J293" i="109"/>
  <c r="J297" i="109"/>
  <c r="J299" i="109"/>
  <c r="J301" i="109"/>
  <c r="J302" i="109"/>
  <c r="J304" i="109"/>
  <c r="J305" i="109"/>
  <c r="J307" i="109"/>
  <c r="J309" i="109"/>
  <c r="J310" i="109"/>
  <c r="J321" i="109"/>
  <c r="J327" i="109"/>
  <c r="J330" i="109"/>
  <c r="J333" i="109"/>
  <c r="J341" i="109"/>
  <c r="J344" i="109"/>
  <c r="J348" i="109"/>
  <c r="J351" i="109"/>
  <c r="J353" i="109"/>
  <c r="J354" i="109"/>
  <c r="J356" i="109"/>
  <c r="J358" i="109"/>
  <c r="J359" i="109"/>
  <c r="J360" i="109"/>
  <c r="J362" i="109"/>
  <c r="J364" i="109"/>
  <c r="J366" i="109"/>
  <c r="J368" i="109"/>
  <c r="J370" i="109"/>
  <c r="J372" i="109"/>
  <c r="J375" i="109"/>
  <c r="J377" i="109"/>
  <c r="J379" i="109"/>
  <c r="J381" i="109"/>
  <c r="J385" i="109"/>
  <c r="J387" i="109"/>
  <c r="J389" i="109"/>
  <c r="J392" i="109"/>
  <c r="J395" i="109"/>
  <c r="J396" i="109"/>
  <c r="J397" i="109"/>
  <c r="J399" i="109"/>
  <c r="J401" i="109"/>
  <c r="J403" i="109"/>
  <c r="J407" i="109"/>
  <c r="J409" i="109"/>
  <c r="J411" i="109"/>
  <c r="J413" i="109"/>
  <c r="J415" i="109"/>
  <c r="J418" i="109"/>
  <c r="J419" i="109"/>
  <c r="J427" i="109"/>
  <c r="J435" i="109"/>
  <c r="J442" i="109"/>
  <c r="J443" i="109"/>
  <c r="J445" i="109"/>
  <c r="J447" i="109"/>
  <c r="J459" i="109"/>
  <c r="J466" i="109"/>
  <c r="J467" i="109"/>
  <c r="J474" i="109"/>
  <c r="J485" i="109"/>
  <c r="J491" i="109"/>
  <c r="J494" i="109"/>
  <c r="J495" i="109"/>
  <c r="J496" i="109"/>
  <c r="J509" i="109"/>
  <c r="J534" i="109"/>
  <c r="J540" i="109"/>
  <c r="J562" i="109"/>
  <c r="J563" i="109"/>
  <c r="J595" i="109"/>
  <c r="J596" i="109"/>
  <c r="J647" i="109"/>
  <c r="J648" i="109"/>
  <c r="J725" i="109"/>
  <c r="J750" i="109"/>
  <c r="J752" i="109"/>
  <c r="J757" i="109"/>
  <c r="J758" i="109"/>
  <c r="J760" i="109"/>
  <c r="J762" i="109"/>
  <c r="J766" i="109"/>
  <c r="J846" i="109"/>
  <c r="J851" i="109"/>
  <c r="J852" i="109"/>
  <c r="J853" i="109"/>
  <c r="J854" i="109"/>
  <c r="J858" i="109"/>
  <c r="J859" i="109"/>
  <c r="J860" i="109"/>
  <c r="J861" i="109"/>
  <c r="J863" i="109"/>
  <c r="J865" i="109"/>
  <c r="J867" i="109"/>
  <c r="J869" i="109"/>
  <c r="J871" i="109"/>
  <c r="J872" i="109"/>
  <c r="J874" i="109"/>
  <c r="J876" i="109"/>
  <c r="J878" i="109"/>
  <c r="J879" i="109"/>
  <c r="J882" i="109"/>
  <c r="J884" i="109"/>
  <c r="J885" i="109"/>
  <c r="J888" i="109"/>
  <c r="J890" i="109"/>
  <c r="J891" i="109"/>
  <c r="J908" i="109"/>
  <c r="J922" i="109"/>
  <c r="J923" i="109"/>
  <c r="J927" i="109"/>
  <c r="J928" i="109"/>
  <c r="J929" i="109"/>
  <c r="J930" i="109"/>
  <c r="J932" i="109"/>
  <c r="J934" i="109"/>
  <c r="J936" i="109"/>
  <c r="J938" i="109"/>
  <c r="J940" i="109"/>
  <c r="J942" i="109"/>
  <c r="J943" i="109"/>
  <c r="J946" i="109"/>
  <c r="J949" i="109"/>
  <c r="J951" i="109"/>
  <c r="J953" i="109"/>
  <c r="J1003" i="109"/>
  <c r="J1005" i="109"/>
  <c r="J1007" i="109"/>
  <c r="J1009" i="109"/>
  <c r="J1011" i="109"/>
  <c r="J1013" i="109"/>
  <c r="J1015" i="109"/>
  <c r="J1017" i="109"/>
  <c r="J1018" i="109"/>
  <c r="J1020" i="109"/>
  <c r="J1022" i="109"/>
  <c r="J1024" i="109"/>
  <c r="J1026" i="109"/>
  <c r="J1028" i="109"/>
  <c r="J1030" i="109"/>
  <c r="J1035" i="109"/>
  <c r="J1037" i="109"/>
  <c r="J1039" i="109"/>
  <c r="J1041" i="109"/>
  <c r="J1043" i="109"/>
  <c r="J1045" i="109"/>
  <c r="J1052" i="109"/>
  <c r="J1053" i="109"/>
  <c r="J1064" i="109"/>
  <c r="J1067" i="109"/>
  <c r="J1105" i="109"/>
  <c r="J1127" i="109"/>
  <c r="J1129" i="109"/>
  <c r="J1147" i="109"/>
  <c r="J1151" i="109"/>
  <c r="J1153" i="109"/>
  <c r="G1099" i="109"/>
  <c r="G1098" i="109"/>
  <c r="I1092" i="109"/>
  <c r="G1090" i="109"/>
  <c r="G1088" i="109"/>
  <c r="G1086" i="109"/>
  <c r="G1079" i="109"/>
  <c r="G1080" i="109"/>
  <c r="G1081" i="109"/>
  <c r="G1082" i="109"/>
  <c r="G1083" i="109"/>
  <c r="G1084" i="109"/>
  <c r="I1079" i="109"/>
  <c r="H1079" i="109"/>
  <c r="I1070" i="109"/>
  <c r="I1068" i="109"/>
  <c r="H1068" i="109"/>
  <c r="G1069" i="109"/>
  <c r="H1069" i="109"/>
  <c r="H1070" i="109"/>
  <c r="I1071" i="109"/>
  <c r="H1071" i="109"/>
  <c r="G1072" i="109"/>
  <c r="H1072" i="109"/>
  <c r="G1073" i="109"/>
  <c r="H1073" i="109"/>
  <c r="I1073" i="109"/>
  <c r="I1075" i="109"/>
  <c r="H1075" i="109"/>
  <c r="G1076" i="109"/>
  <c r="H1076" i="109"/>
  <c r="G1077" i="109"/>
  <c r="H1077" i="109"/>
  <c r="I1078" i="109"/>
  <c r="G1078" i="109"/>
  <c r="H1078" i="109"/>
  <c r="H1080" i="109"/>
  <c r="H1081" i="109"/>
  <c r="H1082" i="109"/>
  <c r="H1083" i="109"/>
  <c r="I1084" i="109"/>
  <c r="H1084" i="109"/>
  <c r="G1085" i="109"/>
  <c r="H1085" i="109"/>
  <c r="I1085" i="109"/>
  <c r="H1086" i="109"/>
  <c r="I1088" i="109"/>
  <c r="H1088" i="109"/>
  <c r="H1090" i="109"/>
  <c r="H1092" i="109"/>
  <c r="G1093" i="109"/>
  <c r="H1093" i="109"/>
  <c r="G1094" i="109"/>
  <c r="H1094" i="109"/>
  <c r="I1095" i="109"/>
  <c r="H1095" i="109"/>
  <c r="I1096" i="109"/>
  <c r="H1096" i="109"/>
  <c r="I1097" i="109"/>
  <c r="H1097" i="109"/>
  <c r="H1098" i="109"/>
  <c r="H1099" i="109"/>
  <c r="G1100" i="109"/>
  <c r="H1100" i="109"/>
  <c r="I1101" i="109"/>
  <c r="H1101" i="109"/>
  <c r="G1102" i="109"/>
  <c r="H1102" i="109"/>
  <c r="G1103" i="109"/>
  <c r="H1103" i="109"/>
  <c r="I1104" i="109"/>
  <c r="H1104" i="109"/>
  <c r="H1106" i="109"/>
  <c r="H1107" i="109"/>
  <c r="H1108" i="109"/>
  <c r="H1109" i="109"/>
  <c r="H1110" i="109"/>
  <c r="H1111" i="109"/>
  <c r="H1112" i="109"/>
  <c r="H1113" i="109"/>
  <c r="H1114" i="109"/>
  <c r="H1115" i="109"/>
  <c r="H1116" i="109"/>
  <c r="H1117" i="109"/>
  <c r="H1118" i="109"/>
  <c r="H1119" i="109"/>
  <c r="H1120" i="109"/>
  <c r="H1121" i="109"/>
  <c r="H1122" i="109"/>
  <c r="H1123" i="109"/>
  <c r="H1124" i="109"/>
  <c r="H1125" i="109"/>
  <c r="H1126" i="109"/>
  <c r="I1094" i="109"/>
  <c r="G1095" i="109"/>
  <c r="I1082" i="109"/>
  <c r="I1100" i="109"/>
  <c r="G1096" i="109"/>
  <c r="I1076" i="109"/>
  <c r="G1071" i="109"/>
  <c r="I1090" i="109"/>
  <c r="G1104" i="109"/>
  <c r="G1101" i="109"/>
  <c r="I1081" i="109"/>
  <c r="I1103" i="109"/>
  <c r="I1080" i="109"/>
  <c r="G1075" i="109"/>
  <c r="I1069" i="109"/>
  <c r="I1102" i="109"/>
  <c r="I1093" i="109"/>
  <c r="G1097" i="109"/>
  <c r="I1083" i="109"/>
  <c r="I1072" i="109"/>
  <c r="I1077" i="109"/>
  <c r="H1155" i="109"/>
  <c r="H58" i="109"/>
  <c r="G954" i="109"/>
  <c r="H954" i="109"/>
  <c r="I954" i="109"/>
  <c r="H1027" i="109"/>
  <c r="H1029" i="109"/>
  <c r="G1033" i="109"/>
  <c r="H1033" i="109"/>
  <c r="I1033" i="109"/>
  <c r="G1034" i="109"/>
  <c r="H1034" i="109"/>
  <c r="I1034" i="109"/>
  <c r="G1047" i="109"/>
  <c r="H1047" i="109"/>
  <c r="I1047" i="109"/>
  <c r="G1048" i="109"/>
  <c r="H1048" i="109"/>
  <c r="I1048" i="109"/>
  <c r="G1049" i="109"/>
  <c r="H1049" i="109"/>
  <c r="I1049" i="109"/>
  <c r="G1050" i="109"/>
  <c r="H1050" i="109"/>
  <c r="I1050" i="109"/>
  <c r="G1051" i="109"/>
  <c r="H1051" i="109"/>
  <c r="I1051" i="109"/>
  <c r="H909" i="109"/>
  <c r="H911" i="109"/>
  <c r="H921" i="109"/>
  <c r="H887" i="109"/>
  <c r="G848" i="109"/>
  <c r="H848" i="109"/>
  <c r="G847" i="109"/>
  <c r="I831" i="109"/>
  <c r="H830" i="109"/>
  <c r="I829" i="109"/>
  <c r="H828" i="109"/>
  <c r="H818" i="109"/>
  <c r="G817" i="109"/>
  <c r="H816" i="109"/>
  <c r="H815" i="109"/>
  <c r="H814" i="109"/>
  <c r="H812" i="109"/>
  <c r="G811" i="109"/>
  <c r="H810" i="109"/>
  <c r="H809" i="109"/>
  <c r="H807" i="109"/>
  <c r="H806" i="109"/>
  <c r="H805" i="109"/>
  <c r="G804" i="109"/>
  <c r="H803" i="109"/>
  <c r="G801" i="109"/>
  <c r="G800" i="109"/>
  <c r="H799" i="109"/>
  <c r="H798" i="109"/>
  <c r="G797" i="109"/>
  <c r="H796" i="109"/>
  <c r="G795" i="109"/>
  <c r="G794" i="109"/>
  <c r="G793" i="109"/>
  <c r="G792" i="109"/>
  <c r="H790" i="109"/>
  <c r="H789" i="109"/>
  <c r="G788" i="109"/>
  <c r="G787" i="109"/>
  <c r="G785" i="109"/>
  <c r="G784" i="109"/>
  <c r="H783" i="109"/>
  <c r="G782" i="109"/>
  <c r="G781" i="109"/>
  <c r="G834" i="109"/>
  <c r="H834" i="109"/>
  <c r="I834" i="109"/>
  <c r="I835" i="109"/>
  <c r="I836" i="109"/>
  <c r="G837" i="109"/>
  <c r="H837" i="109"/>
  <c r="I837" i="109"/>
  <c r="I838" i="109"/>
  <c r="I839" i="109"/>
  <c r="G840" i="109"/>
  <c r="H840" i="109"/>
  <c r="I840" i="109"/>
  <c r="I841" i="109"/>
  <c r="I842" i="109"/>
  <c r="G843" i="109"/>
  <c r="H843" i="109"/>
  <c r="I843" i="109"/>
  <c r="G844" i="109"/>
  <c r="H844" i="109"/>
  <c r="I844" i="109"/>
  <c r="I845" i="109"/>
  <c r="G835" i="109"/>
  <c r="I833" i="109"/>
  <c r="H833" i="109"/>
  <c r="G833" i="109"/>
  <c r="I832" i="109"/>
  <c r="H832" i="109"/>
  <c r="G832" i="109"/>
  <c r="G831" i="109"/>
  <c r="G830" i="109"/>
  <c r="G829" i="109"/>
  <c r="G828" i="109"/>
  <c r="I827" i="109"/>
  <c r="H827" i="109"/>
  <c r="G827" i="109"/>
  <c r="I826" i="109"/>
  <c r="H826" i="109"/>
  <c r="G826" i="109"/>
  <c r="I825" i="109"/>
  <c r="H825" i="109"/>
  <c r="G825" i="109"/>
  <c r="I818" i="109"/>
  <c r="I817" i="109"/>
  <c r="I816" i="109"/>
  <c r="I815" i="109"/>
  <c r="I814" i="109"/>
  <c r="I813" i="109"/>
  <c r="I812" i="109"/>
  <c r="I811" i="109"/>
  <c r="I810" i="109"/>
  <c r="I809" i="109"/>
  <c r="I808" i="109"/>
  <c r="I807" i="109"/>
  <c r="I806" i="109"/>
  <c r="I805" i="109"/>
  <c r="I804" i="109"/>
  <c r="I803" i="109"/>
  <c r="I802" i="109"/>
  <c r="I801" i="109"/>
  <c r="I800" i="109"/>
  <c r="I799" i="109"/>
  <c r="I798" i="109"/>
  <c r="I797" i="109"/>
  <c r="I796" i="109"/>
  <c r="I795" i="109"/>
  <c r="I794" i="109"/>
  <c r="I793" i="109"/>
  <c r="I792" i="109"/>
  <c r="I791" i="109"/>
  <c r="I790" i="109"/>
  <c r="I789" i="109"/>
  <c r="I788" i="109"/>
  <c r="I787" i="109"/>
  <c r="I786" i="109"/>
  <c r="I785" i="109"/>
  <c r="I784" i="109"/>
  <c r="I783" i="109"/>
  <c r="I782" i="109"/>
  <c r="I781" i="109"/>
  <c r="I774" i="109"/>
  <c r="H774" i="109"/>
  <c r="G774" i="109"/>
  <c r="I773" i="109"/>
  <c r="H773" i="109"/>
  <c r="G773" i="109"/>
  <c r="I772" i="109"/>
  <c r="H772" i="109"/>
  <c r="G772" i="109"/>
  <c r="I771" i="109"/>
  <c r="H771" i="109"/>
  <c r="G771" i="109"/>
  <c r="I770" i="109"/>
  <c r="H770" i="109"/>
  <c r="G770" i="109"/>
  <c r="I769" i="109"/>
  <c r="H769" i="109"/>
  <c r="G769" i="109"/>
  <c r="I768" i="109"/>
  <c r="H768" i="109"/>
  <c r="G768" i="109"/>
  <c r="I767" i="109"/>
  <c r="H767" i="109"/>
  <c r="G767" i="109"/>
  <c r="G765" i="109"/>
  <c r="H765" i="109"/>
  <c r="I765" i="109"/>
  <c r="I764" i="109"/>
  <c r="H759" i="109"/>
  <c r="H761" i="109"/>
  <c r="H728" i="109"/>
  <c r="H729" i="109"/>
  <c r="H726" i="109"/>
  <c r="H641" i="109"/>
  <c r="H640" i="109"/>
  <c r="H626" i="109"/>
  <c r="H625" i="109"/>
  <c r="H614" i="109"/>
  <c r="H605" i="109"/>
  <c r="H602" i="109"/>
  <c r="H598" i="109"/>
  <c r="H912" i="109"/>
  <c r="H915" i="109"/>
  <c r="H630" i="109"/>
  <c r="H629" i="109"/>
  <c r="H628" i="109"/>
  <c r="H615" i="109"/>
  <c r="H642" i="109"/>
  <c r="H599" i="109"/>
  <c r="H600" i="109"/>
  <c r="H601" i="109"/>
  <c r="H603" i="109"/>
  <c r="H604" i="109"/>
  <c r="H606" i="109"/>
  <c r="H607" i="109"/>
  <c r="H608" i="109"/>
  <c r="H609" i="109"/>
  <c r="H610" i="109"/>
  <c r="H611" i="109"/>
  <c r="H612" i="109"/>
  <c r="H613" i="109"/>
  <c r="H616" i="109"/>
  <c r="H617" i="109"/>
  <c r="H618" i="109"/>
  <c r="H619" i="109"/>
  <c r="H620" i="109"/>
  <c r="H621" i="109"/>
  <c r="H622" i="109"/>
  <c r="H623" i="109"/>
  <c r="H624" i="109"/>
  <c r="H627" i="109"/>
  <c r="G631" i="109"/>
  <c r="H631" i="109"/>
  <c r="G632" i="109"/>
  <c r="H632" i="109"/>
  <c r="H634" i="109"/>
  <c r="H635" i="109"/>
  <c r="H636" i="109"/>
  <c r="H637" i="109"/>
  <c r="H638" i="109"/>
  <c r="H639" i="109"/>
  <c r="H643" i="109"/>
  <c r="H597" i="109"/>
  <c r="I632" i="109"/>
  <c r="I631" i="109"/>
  <c r="H539" i="109"/>
  <c r="H538" i="109"/>
  <c r="H537" i="109"/>
  <c r="H536" i="109"/>
  <c r="H526" i="109"/>
  <c r="H525" i="109"/>
  <c r="H524" i="109"/>
  <c r="H523" i="109"/>
  <c r="H522" i="109"/>
  <c r="H521" i="109"/>
  <c r="H520" i="109"/>
  <c r="H519" i="109"/>
  <c r="H517" i="109"/>
  <c r="H516" i="109"/>
  <c r="H515" i="109"/>
  <c r="H514" i="109"/>
  <c r="H513" i="109"/>
  <c r="H512" i="109"/>
  <c r="H510" i="109"/>
  <c r="H511" i="109"/>
  <c r="H518" i="109"/>
  <c r="H527" i="109"/>
  <c r="H493" i="109"/>
  <c r="H492" i="109"/>
  <c r="H503" i="109"/>
  <c r="I471" i="109"/>
  <c r="H498" i="109"/>
  <c r="H506" i="109"/>
  <c r="H505" i="109"/>
  <c r="H504" i="109"/>
  <c r="H502" i="109"/>
  <c r="H501" i="109"/>
  <c r="H471" i="109"/>
  <c r="H500" i="109"/>
  <c r="H499" i="109"/>
  <c r="H497" i="109"/>
  <c r="I468" i="109"/>
  <c r="H373" i="109"/>
  <c r="H374" i="109"/>
  <c r="H394" i="109"/>
  <c r="H393" i="109"/>
  <c r="H388" i="109"/>
  <c r="H390" i="109"/>
  <c r="H391" i="109"/>
  <c r="H398" i="109"/>
  <c r="H417" i="109"/>
  <c r="H416" i="109"/>
  <c r="H414" i="109"/>
  <c r="H380" i="109"/>
  <c r="H343" i="109"/>
  <c r="G316" i="109"/>
  <c r="H316" i="109"/>
  <c r="I316" i="109"/>
  <c r="G317" i="109"/>
  <c r="H317" i="109"/>
  <c r="I317" i="109"/>
  <c r="G318" i="109"/>
  <c r="H318" i="109"/>
  <c r="I318" i="109"/>
  <c r="I319" i="109"/>
  <c r="I320" i="109"/>
  <c r="G322" i="109"/>
  <c r="H322" i="109"/>
  <c r="I322" i="109"/>
  <c r="G323" i="109"/>
  <c r="H323" i="109"/>
  <c r="I323" i="109"/>
  <c r="G324" i="109"/>
  <c r="H324" i="109"/>
  <c r="I324" i="109"/>
  <c r="G325" i="109"/>
  <c r="H325" i="109"/>
  <c r="I325" i="109"/>
  <c r="G326" i="109"/>
  <c r="H326" i="109"/>
  <c r="I326" i="109"/>
  <c r="G328" i="109"/>
  <c r="H328" i="109"/>
  <c r="I328" i="109"/>
  <c r="I329" i="109"/>
  <c r="G331" i="109"/>
  <c r="H331" i="109"/>
  <c r="I331" i="109"/>
  <c r="G332" i="109"/>
  <c r="H332" i="109"/>
  <c r="I332" i="109"/>
  <c r="G334" i="109"/>
  <c r="H334" i="109"/>
  <c r="I334" i="109"/>
  <c r="G335" i="109"/>
  <c r="H335" i="109"/>
  <c r="I335" i="109"/>
  <c r="G336" i="109"/>
  <c r="H336" i="109"/>
  <c r="I336" i="109"/>
  <c r="G337" i="109"/>
  <c r="H337" i="109"/>
  <c r="I337" i="109"/>
  <c r="G338" i="109"/>
  <c r="H338" i="109"/>
  <c r="I338" i="109"/>
  <c r="G342" i="109"/>
  <c r="H342" i="109"/>
  <c r="I342" i="109"/>
  <c r="I343" i="109"/>
  <c r="G345" i="109"/>
  <c r="H345" i="109"/>
  <c r="I345" i="109"/>
  <c r="G346" i="109"/>
  <c r="H346" i="109"/>
  <c r="I346" i="109"/>
  <c r="G347" i="109"/>
  <c r="H347" i="109"/>
  <c r="I347" i="109"/>
  <c r="I349" i="109"/>
  <c r="G350" i="109"/>
  <c r="H350" i="109"/>
  <c r="I350" i="109"/>
  <c r="I352" i="109"/>
  <c r="G319" i="109"/>
  <c r="G315" i="109"/>
  <c r="H315" i="109"/>
  <c r="I315" i="109"/>
  <c r="G311" i="109"/>
  <c r="H311" i="109"/>
  <c r="I311" i="109"/>
  <c r="G312" i="109"/>
  <c r="H312" i="109"/>
  <c r="I312" i="109"/>
  <c r="G313" i="109"/>
  <c r="H313" i="109"/>
  <c r="I313" i="109"/>
  <c r="G314" i="109"/>
  <c r="H314" i="109"/>
  <c r="I314" i="109"/>
  <c r="H274" i="109"/>
  <c r="H171" i="109"/>
  <c r="H172" i="109"/>
  <c r="H173" i="109"/>
  <c r="H174" i="109"/>
  <c r="H175" i="109"/>
  <c r="H176" i="109"/>
  <c r="H177" i="109"/>
  <c r="H178" i="109"/>
  <c r="H179" i="109"/>
  <c r="H180" i="109"/>
  <c r="H181" i="109"/>
  <c r="H182" i="109"/>
  <c r="H183" i="109"/>
  <c r="H184" i="109"/>
  <c r="H185" i="109"/>
  <c r="H186" i="109"/>
  <c r="H197" i="109"/>
  <c r="H196" i="109"/>
  <c r="H195" i="109"/>
  <c r="H194" i="109"/>
  <c r="H193" i="109"/>
  <c r="H192" i="109"/>
  <c r="H144" i="109"/>
  <c r="H145" i="109"/>
  <c r="H146" i="109"/>
  <c r="H147" i="109"/>
  <c r="H148" i="109"/>
  <c r="H149" i="109"/>
  <c r="H150" i="109"/>
  <c r="H151" i="109"/>
  <c r="H143" i="109"/>
  <c r="H120" i="109"/>
  <c r="H226" i="103"/>
  <c r="I226" i="103"/>
  <c r="J226" i="103"/>
  <c r="H227" i="103"/>
  <c r="I227" i="103"/>
  <c r="J227" i="103"/>
  <c r="H228" i="103"/>
  <c r="I228" i="103"/>
  <c r="J228" i="103"/>
  <c r="H229" i="103"/>
  <c r="I229" i="103"/>
  <c r="J229" i="103"/>
  <c r="H230" i="103"/>
  <c r="I230" i="103"/>
  <c r="J230" i="103"/>
  <c r="H231" i="103"/>
  <c r="I231" i="103"/>
  <c r="J231" i="103"/>
  <c r="H232" i="103"/>
  <c r="I232" i="103"/>
  <c r="J232" i="103"/>
  <c r="H233" i="103"/>
  <c r="I233" i="103"/>
  <c r="J233" i="103"/>
  <c r="H234" i="103"/>
  <c r="I234" i="103"/>
  <c r="J234" i="103"/>
  <c r="I235" i="103"/>
  <c r="H236" i="103"/>
  <c r="I236" i="103"/>
  <c r="J236" i="103"/>
  <c r="H237" i="103"/>
  <c r="I237" i="103"/>
  <c r="J237" i="103"/>
  <c r="H235" i="103"/>
  <c r="H240" i="103"/>
  <c r="I240" i="103"/>
  <c r="J240" i="103"/>
  <c r="H241" i="103"/>
  <c r="I241" i="103"/>
  <c r="J241" i="103"/>
  <c r="H242" i="103"/>
  <c r="I242" i="103"/>
  <c r="J242" i="103"/>
  <c r="H243" i="103"/>
  <c r="I243" i="103"/>
  <c r="J243" i="103"/>
  <c r="H244" i="103"/>
  <c r="I244" i="103"/>
  <c r="J244" i="103"/>
  <c r="H245" i="103"/>
  <c r="I245" i="103"/>
  <c r="J245" i="103"/>
  <c r="H246" i="103"/>
  <c r="I246" i="103"/>
  <c r="J246" i="103"/>
  <c r="H247" i="103"/>
  <c r="I247" i="103"/>
  <c r="J247" i="103"/>
  <c r="H248" i="103"/>
  <c r="I248" i="103"/>
  <c r="J248" i="103"/>
  <c r="H249" i="103"/>
  <c r="I249" i="103"/>
  <c r="J249" i="103"/>
  <c r="H250" i="103"/>
  <c r="I250" i="103"/>
  <c r="J250" i="103"/>
  <c r="H251" i="103"/>
  <c r="I251" i="103"/>
  <c r="J251" i="103"/>
  <c r="H252" i="103"/>
  <c r="I252" i="103"/>
  <c r="J252" i="103"/>
  <c r="H253" i="103"/>
  <c r="I253" i="103"/>
  <c r="J253" i="103"/>
  <c r="H254" i="103"/>
  <c r="I254" i="103"/>
  <c r="J254" i="103"/>
  <c r="H255" i="103"/>
  <c r="I255" i="103"/>
  <c r="J255" i="103"/>
  <c r="J239" i="103"/>
  <c r="I239" i="103"/>
  <c r="H239" i="103"/>
  <c r="J51" i="103"/>
  <c r="I51" i="103"/>
  <c r="H51" i="103"/>
  <c r="J185" i="103"/>
  <c r="J200" i="103"/>
  <c r="J183" i="103"/>
  <c r="J181" i="103"/>
  <c r="J190" i="103"/>
  <c r="H190" i="103"/>
  <c r="J189" i="103"/>
  <c r="I189" i="103"/>
  <c r="I190" i="103"/>
  <c r="H189" i="103"/>
  <c r="J130" i="103"/>
  <c r="J128" i="103"/>
  <c r="J127" i="103"/>
  <c r="J126" i="103"/>
  <c r="J120" i="103"/>
  <c r="J122" i="103"/>
  <c r="J173" i="103"/>
  <c r="I173" i="103"/>
  <c r="H173" i="103"/>
  <c r="I196" i="103"/>
  <c r="H195" i="103"/>
  <c r="I195" i="103"/>
  <c r="J195" i="103"/>
  <c r="H196" i="103"/>
  <c r="J196" i="103"/>
  <c r="H197" i="103"/>
  <c r="I197" i="103"/>
  <c r="J197" i="103"/>
  <c r="H100" i="103"/>
  <c r="I100" i="103"/>
  <c r="J100" i="103"/>
  <c r="H99" i="103"/>
  <c r="J99" i="103"/>
  <c r="J98" i="103"/>
  <c r="I98" i="103"/>
  <c r="H98" i="103"/>
  <c r="J64" i="103"/>
  <c r="I64" i="109"/>
  <c r="I65" i="109"/>
  <c r="I461" i="109"/>
  <c r="I465" i="109"/>
  <c r="I463" i="109"/>
  <c r="I462" i="109"/>
  <c r="I460" i="109"/>
  <c r="J14" i="109"/>
  <c r="I14" i="109"/>
  <c r="H14" i="109"/>
  <c r="G14" i="109"/>
  <c r="J13" i="109"/>
  <c r="I13" i="109"/>
  <c r="H13" i="109"/>
  <c r="G13" i="109"/>
  <c r="J12" i="109"/>
  <c r="I12" i="109"/>
  <c r="H12" i="109"/>
  <c r="G12" i="109"/>
  <c r="B11" i="109"/>
  <c r="C8" i="103"/>
  <c r="B8" i="109" s="1"/>
  <c r="C6" i="103"/>
  <c r="B6" i="109" s="1"/>
  <c r="C7" i="103"/>
  <c r="B7" i="109" s="1"/>
  <c r="K56" i="86"/>
  <c r="K62" i="86"/>
  <c r="K75" i="86"/>
  <c r="K89" i="86"/>
  <c r="K97" i="86"/>
  <c r="L99" i="86"/>
  <c r="K100" i="86"/>
  <c r="L102" i="86"/>
  <c r="L103" i="86"/>
  <c r="L104" i="86"/>
  <c r="L105" i="86"/>
  <c r="L106" i="86"/>
  <c r="L108" i="86"/>
  <c r="K110" i="86"/>
  <c r="K130" i="86"/>
  <c r="K135" i="86"/>
  <c r="K290" i="86"/>
  <c r="K297" i="86"/>
  <c r="K300" i="86"/>
  <c r="K301" i="86"/>
  <c r="K302" i="86"/>
  <c r="K15" i="86"/>
  <c r="K16" i="86"/>
  <c r="K26" i="86"/>
  <c r="K33" i="86"/>
  <c r="K35" i="86"/>
  <c r="K36" i="86"/>
  <c r="K37" i="86"/>
  <c r="K78" i="86"/>
  <c r="I224" i="103"/>
  <c r="I50" i="103"/>
  <c r="I221" i="103"/>
  <c r="J50" i="103"/>
  <c r="H50" i="103"/>
  <c r="J92" i="103"/>
  <c r="J82" i="103"/>
  <c r="J55" i="103"/>
  <c r="J272" i="103"/>
  <c r="H272" i="103"/>
  <c r="J271" i="103"/>
  <c r="I271" i="103"/>
  <c r="H271" i="103"/>
  <c r="J270" i="103"/>
  <c r="I270" i="103"/>
  <c r="H270" i="103"/>
  <c r="J269" i="103"/>
  <c r="I269" i="103"/>
  <c r="H269" i="103"/>
  <c r="J267" i="103"/>
  <c r="I267" i="103"/>
  <c r="H267" i="103"/>
  <c r="J266" i="103"/>
  <c r="I266" i="103"/>
  <c r="H266" i="103"/>
  <c r="J264" i="103"/>
  <c r="I264" i="103"/>
  <c r="H264" i="103"/>
  <c r="J263" i="103"/>
  <c r="I263" i="103"/>
  <c r="H263" i="103"/>
  <c r="J262" i="103"/>
  <c r="I262" i="103"/>
  <c r="H262" i="103"/>
  <c r="J261" i="103"/>
  <c r="I261" i="103"/>
  <c r="H261" i="103"/>
  <c r="B260" i="103"/>
  <c r="B261" i="103" s="1"/>
  <c r="B262" i="103" s="1"/>
  <c r="B263" i="103" s="1"/>
  <c r="J259" i="103"/>
  <c r="I259" i="103"/>
  <c r="H259" i="103"/>
  <c r="J258" i="103"/>
  <c r="I258" i="103"/>
  <c r="H258" i="103"/>
  <c r="J257" i="103"/>
  <c r="H257" i="103"/>
  <c r="A256" i="103"/>
  <c r="J238" i="103"/>
  <c r="I238" i="103"/>
  <c r="H238" i="103"/>
  <c r="J224" i="103"/>
  <c r="J223" i="103"/>
  <c r="J221" i="103"/>
  <c r="J220" i="103"/>
  <c r="I220" i="103"/>
  <c r="J219" i="103"/>
  <c r="I219" i="103"/>
  <c r="J217" i="103"/>
  <c r="I217" i="103"/>
  <c r="H217" i="103"/>
  <c r="J216" i="103"/>
  <c r="I216" i="103"/>
  <c r="H216" i="103"/>
  <c r="J215" i="103"/>
  <c r="I215" i="103"/>
  <c r="H215" i="103"/>
  <c r="J214" i="103"/>
  <c r="I214" i="103"/>
  <c r="H214" i="103"/>
  <c r="J211" i="103"/>
  <c r="I211" i="103"/>
  <c r="H211" i="103"/>
  <c r="J213" i="103"/>
  <c r="I213" i="103"/>
  <c r="H213" i="103"/>
  <c r="J212" i="103"/>
  <c r="I212" i="103"/>
  <c r="H212" i="103"/>
  <c r="J210" i="103"/>
  <c r="I210" i="103"/>
  <c r="H210" i="103"/>
  <c r="J209" i="103"/>
  <c r="I209" i="103"/>
  <c r="H209" i="103"/>
  <c r="J206" i="103"/>
  <c r="J203" i="103"/>
  <c r="I203" i="103"/>
  <c r="H203" i="103"/>
  <c r="J201" i="103"/>
  <c r="J194" i="103"/>
  <c r="J192" i="103"/>
  <c r="J187" i="103"/>
  <c r="J177" i="103"/>
  <c r="I177" i="103"/>
  <c r="H177" i="103"/>
  <c r="J176" i="103"/>
  <c r="I176" i="103"/>
  <c r="H176" i="103"/>
  <c r="J175" i="103"/>
  <c r="I175" i="103"/>
  <c r="H175" i="103"/>
  <c r="J174" i="103"/>
  <c r="I174" i="103"/>
  <c r="H174" i="103"/>
  <c r="J172" i="103"/>
  <c r="I172" i="103"/>
  <c r="H172" i="103"/>
  <c r="J171" i="103"/>
  <c r="I171" i="103"/>
  <c r="H171" i="103"/>
  <c r="J170" i="103"/>
  <c r="I170" i="103"/>
  <c r="H170" i="103"/>
  <c r="J169" i="103"/>
  <c r="I169" i="103"/>
  <c r="J168" i="103"/>
  <c r="H168" i="103"/>
  <c r="J167" i="103"/>
  <c r="I167" i="103"/>
  <c r="H167" i="103"/>
  <c r="J166" i="103"/>
  <c r="I166" i="103"/>
  <c r="H166" i="103"/>
  <c r="J165" i="103"/>
  <c r="I165" i="103"/>
  <c r="H165" i="103"/>
  <c r="J164" i="103"/>
  <c r="I164" i="103"/>
  <c r="H164" i="103"/>
  <c r="J162" i="103"/>
  <c r="I162" i="103"/>
  <c r="H162" i="103"/>
  <c r="J159" i="103"/>
  <c r="I159" i="103"/>
  <c r="H159" i="103"/>
  <c r="J158" i="103"/>
  <c r="I158" i="103"/>
  <c r="H158" i="103"/>
  <c r="J157" i="103"/>
  <c r="I157" i="103"/>
  <c r="H157" i="103"/>
  <c r="J156" i="103"/>
  <c r="I156" i="103"/>
  <c r="H156" i="103"/>
  <c r="J155" i="103"/>
  <c r="I155" i="103"/>
  <c r="H155" i="103"/>
  <c r="J154" i="103"/>
  <c r="I154" i="103"/>
  <c r="H154" i="103"/>
  <c r="J153" i="103"/>
  <c r="I153" i="103"/>
  <c r="H153" i="103"/>
  <c r="J150" i="103"/>
  <c r="I150" i="103"/>
  <c r="H150" i="103"/>
  <c r="H149" i="103"/>
  <c r="I149" i="103"/>
  <c r="J147" i="103"/>
  <c r="I147" i="103"/>
  <c r="H147" i="103"/>
  <c r="J146" i="103"/>
  <c r="I146" i="103"/>
  <c r="H146" i="103"/>
  <c r="J144" i="103"/>
  <c r="K144" i="103" s="1"/>
  <c r="I143" i="103"/>
  <c r="I142" i="103"/>
  <c r="I141" i="103"/>
  <c r="I152" i="103"/>
  <c r="I140" i="103"/>
  <c r="J138" i="103"/>
  <c r="I138" i="103"/>
  <c r="H138" i="103"/>
  <c r="J137" i="103"/>
  <c r="I137" i="103"/>
  <c r="H137" i="103"/>
  <c r="J124" i="103"/>
  <c r="J123" i="103"/>
  <c r="J119" i="103"/>
  <c r="J118" i="103"/>
  <c r="J115" i="103"/>
  <c r="I115" i="103"/>
  <c r="J112" i="103"/>
  <c r="J110" i="103"/>
  <c r="H110" i="103"/>
  <c r="J108" i="103"/>
  <c r="I108" i="103"/>
  <c r="H108" i="103"/>
  <c r="J106" i="103"/>
  <c r="I106" i="103"/>
  <c r="H106" i="103"/>
  <c r="J104" i="103"/>
  <c r="H104" i="103"/>
  <c r="J102" i="103"/>
  <c r="H102" i="103"/>
  <c r="J97" i="103"/>
  <c r="J95" i="103"/>
  <c r="J90" i="103"/>
  <c r="J88" i="103"/>
  <c r="J86" i="103"/>
  <c r="J84" i="103"/>
  <c r="J80" i="103"/>
  <c r="J78" i="103"/>
  <c r="J76" i="103"/>
  <c r="J74" i="103"/>
  <c r="J72" i="103"/>
  <c r="J71" i="103"/>
  <c r="I71" i="103"/>
  <c r="H71" i="103"/>
  <c r="J67" i="103"/>
  <c r="I67" i="103"/>
  <c r="H67" i="103"/>
  <c r="J65" i="103"/>
  <c r="J63" i="103"/>
  <c r="J59" i="103"/>
  <c r="I59" i="103"/>
  <c r="H59" i="103"/>
  <c r="J58" i="103"/>
  <c r="J57" i="103"/>
  <c r="J56" i="103"/>
  <c r="J54" i="103"/>
  <c r="J53" i="103"/>
  <c r="J48" i="103"/>
  <c r="I48" i="103"/>
  <c r="J46" i="103"/>
  <c r="I46" i="103"/>
  <c r="J45" i="103"/>
  <c r="I43" i="103"/>
  <c r="H43" i="103"/>
  <c r="I41" i="103"/>
  <c r="J39" i="103"/>
  <c r="J34" i="103"/>
  <c r="J33" i="103"/>
  <c r="J32" i="103"/>
  <c r="J31" i="103"/>
  <c r="J29" i="103"/>
  <c r="J28" i="103"/>
  <c r="J27" i="103"/>
  <c r="J25" i="103"/>
  <c r="J24" i="103"/>
  <c r="J23" i="103"/>
  <c r="J22" i="103"/>
  <c r="J21" i="103"/>
  <c r="J19" i="103"/>
  <c r="J18" i="103"/>
  <c r="J17" i="103"/>
  <c r="J16" i="103"/>
  <c r="K14" i="103"/>
  <c r="J14" i="103"/>
  <c r="I14" i="103"/>
  <c r="H14" i="103"/>
  <c r="K13" i="103"/>
  <c r="J13" i="103"/>
  <c r="I13" i="103"/>
  <c r="H13" i="103"/>
  <c r="K12" i="103"/>
  <c r="J12" i="103"/>
  <c r="I12" i="103"/>
  <c r="H12" i="103"/>
  <c r="B12" i="103"/>
  <c r="B52" i="103" s="1"/>
  <c r="C11" i="103"/>
  <c r="C5" i="103"/>
  <c r="I257" i="103"/>
  <c r="J149" i="103"/>
  <c r="H41" i="103"/>
  <c r="H169" i="103"/>
  <c r="J152" i="103"/>
  <c r="H152" i="103"/>
  <c r="H219" i="103"/>
  <c r="J41" i="103"/>
  <c r="H46" i="103"/>
  <c r="H48" i="103"/>
  <c r="J38" i="103"/>
  <c r="J43" i="103"/>
  <c r="I88" i="103"/>
  <c r="H88" i="103"/>
  <c r="H115" i="103"/>
  <c r="I104" i="103"/>
  <c r="H220" i="103"/>
  <c r="B51" i="103"/>
  <c r="B271" i="103"/>
  <c r="B272" i="103" s="1"/>
  <c r="J299" i="86"/>
  <c r="J98" i="86"/>
  <c r="D8" i="86"/>
  <c r="C8" i="108" s="1"/>
  <c r="D7" i="86"/>
  <c r="C7" i="108" s="1"/>
  <c r="G37" i="21"/>
  <c r="J101" i="86"/>
  <c r="J110" i="86"/>
  <c r="J297" i="86"/>
  <c r="G124" i="9"/>
  <c r="H124" i="9"/>
  <c r="I124" i="9"/>
  <c r="B22" i="21"/>
  <c r="B23" i="21" s="1"/>
  <c r="B24" i="21" s="1"/>
  <c r="B28" i="21"/>
  <c r="B29" i="21" s="1"/>
  <c r="B30" i="21" s="1"/>
  <c r="B31" i="21" s="1"/>
  <c r="B32" i="21" s="1"/>
  <c r="B33" i="21" s="1"/>
  <c r="B34" i="21" s="1"/>
  <c r="B35" i="21" s="1"/>
  <c r="B36" i="21" s="1"/>
  <c r="B37" i="21" s="1"/>
  <c r="B38" i="21" s="1"/>
  <c r="D6" i="86"/>
  <c r="H1157" i="109"/>
  <c r="B3" i="21"/>
  <c r="C6" i="21" s="1"/>
  <c r="B2" i="127" s="1"/>
  <c r="A118" i="9"/>
  <c r="A126" i="9" s="1"/>
  <c r="I129" i="9"/>
  <c r="G114" i="9"/>
  <c r="G110" i="9"/>
  <c r="G106" i="9"/>
  <c r="G101" i="9"/>
  <c r="I90" i="9"/>
  <c r="G90" i="9"/>
  <c r="G89" i="9"/>
  <c r="G83" i="9"/>
  <c r="G82" i="9"/>
  <c r="H83" i="9"/>
  <c r="I83" i="9"/>
  <c r="I119" i="9"/>
  <c r="I120" i="9"/>
  <c r="H34" i="9"/>
  <c r="I37" i="9"/>
  <c r="I10" i="21"/>
  <c r="I116" i="9"/>
  <c r="I112" i="9"/>
  <c r="I109" i="9"/>
  <c r="G109" i="9"/>
  <c r="I104" i="9"/>
  <c r="H104" i="9"/>
  <c r="G104" i="9"/>
  <c r="G100" i="9"/>
  <c r="I99" i="9"/>
  <c r="H99" i="9"/>
  <c r="G99" i="9"/>
  <c r="I97" i="9"/>
  <c r="H90" i="9"/>
  <c r="I89" i="9"/>
  <c r="H89" i="9"/>
  <c r="I88" i="9"/>
  <c r="H88" i="9"/>
  <c r="G88" i="9"/>
  <c r="I86" i="9"/>
  <c r="H86" i="9"/>
  <c r="G86" i="9"/>
  <c r="I85" i="9"/>
  <c r="H85" i="9"/>
  <c r="G85" i="9"/>
  <c r="I80" i="9"/>
  <c r="I78" i="9"/>
  <c r="H78" i="9"/>
  <c r="G78" i="9"/>
  <c r="I77" i="9"/>
  <c r="H77" i="9"/>
  <c r="J77" i="9" s="1"/>
  <c r="G77" i="9"/>
  <c r="I75" i="9"/>
  <c r="I74" i="9"/>
  <c r="G73" i="9"/>
  <c r="G72" i="9"/>
  <c r="I67" i="9"/>
  <c r="H67" i="9"/>
  <c r="I66" i="9"/>
  <c r="G66" i="9"/>
  <c r="I65" i="9"/>
  <c r="H65" i="9"/>
  <c r="G53" i="9"/>
  <c r="I52" i="9"/>
  <c r="H52" i="9"/>
  <c r="G52" i="9"/>
  <c r="I51" i="9"/>
  <c r="H51" i="9"/>
  <c r="G51" i="9"/>
  <c r="I50" i="9"/>
  <c r="H50" i="9"/>
  <c r="G50" i="9"/>
  <c r="I49" i="9"/>
  <c r="H49" i="9"/>
  <c r="G49" i="9"/>
  <c r="I48" i="9"/>
  <c r="H48" i="9"/>
  <c r="G48" i="9"/>
  <c r="I47" i="9"/>
  <c r="H47" i="9"/>
  <c r="G47" i="9"/>
  <c r="I46" i="9"/>
  <c r="H46" i="9"/>
  <c r="G46" i="9"/>
  <c r="I45" i="9"/>
  <c r="H45" i="9"/>
  <c r="G45" i="9"/>
  <c r="I44" i="9"/>
  <c r="H44" i="9"/>
  <c r="G44" i="9"/>
  <c r="H40" i="9"/>
  <c r="G38" i="9"/>
  <c r="G37" i="9"/>
  <c r="I35" i="9"/>
  <c r="H35" i="9"/>
  <c r="G35" i="9"/>
  <c r="I34" i="9"/>
  <c r="I31" i="9"/>
  <c r="I30" i="9"/>
  <c r="I29" i="9"/>
  <c r="I24" i="9"/>
  <c r="I22" i="9"/>
  <c r="H22" i="9"/>
  <c r="G22" i="9"/>
  <c r="I21" i="9"/>
  <c r="G21" i="9"/>
  <c r="I20" i="9"/>
  <c r="I19" i="9"/>
  <c r="I18" i="9"/>
  <c r="I17" i="9"/>
  <c r="I15" i="9"/>
  <c r="J14" i="9"/>
  <c r="I14" i="9"/>
  <c r="H14" i="9"/>
  <c r="G14" i="9"/>
  <c r="A14" i="9"/>
  <c r="A36" i="9" s="1"/>
  <c r="B8" i="9"/>
  <c r="B7" i="9"/>
  <c r="B6" i="9"/>
  <c r="B5" i="9"/>
  <c r="B4" i="9"/>
  <c r="I484" i="109"/>
  <c r="I753" i="109"/>
  <c r="I1054" i="109"/>
  <c r="I475" i="109"/>
  <c r="I476" i="109"/>
  <c r="I477" i="109"/>
  <c r="I478" i="109"/>
  <c r="I469" i="109"/>
  <c r="I479" i="109"/>
  <c r="I480" i="109"/>
  <c r="I102" i="109"/>
  <c r="I481" i="109"/>
  <c r="I1128" i="109"/>
  <c r="I751" i="109"/>
  <c r="I482" i="109"/>
  <c r="I470" i="109"/>
  <c r="I483" i="109"/>
  <c r="I25" i="9"/>
  <c r="I16" i="9"/>
  <c r="G16" i="9"/>
  <c r="G113" i="9"/>
  <c r="H113" i="9"/>
  <c r="I113" i="9"/>
  <c r="G97" i="9"/>
  <c r="H97" i="9"/>
  <c r="H889" i="109"/>
  <c r="H886" i="109"/>
  <c r="I65" i="103"/>
  <c r="H65" i="103"/>
  <c r="G481" i="109"/>
  <c r="H481" i="109"/>
  <c r="H476" i="109"/>
  <c r="G476" i="109"/>
  <c r="H469" i="109"/>
  <c r="G469" i="109"/>
  <c r="H892" i="109"/>
  <c r="H898" i="109"/>
  <c r="H478" i="109"/>
  <c r="G478" i="109"/>
  <c r="H881" i="109"/>
  <c r="H1149" i="109"/>
  <c r="H475" i="109"/>
  <c r="G475" i="109"/>
  <c r="H855" i="109"/>
  <c r="H875" i="109"/>
  <c r="H868" i="109"/>
  <c r="H239" i="109"/>
  <c r="H57" i="109"/>
  <c r="H883" i="109"/>
  <c r="H285" i="109"/>
  <c r="H862" i="109"/>
  <c r="H1152" i="109"/>
  <c r="H1150" i="109"/>
  <c r="G480" i="109"/>
  <c r="H480" i="109"/>
  <c r="H287" i="109"/>
  <c r="H468" i="109"/>
  <c r="H477" i="109"/>
  <c r="G477" i="109"/>
  <c r="H1148" i="109"/>
  <c r="H117" i="109"/>
  <c r="H896" i="109"/>
  <c r="H61" i="109"/>
  <c r="H1065" i="109"/>
  <c r="H895" i="109"/>
  <c r="H106" i="109"/>
  <c r="H870" i="109"/>
  <c r="H897" i="109"/>
  <c r="G484" i="109"/>
  <c r="H484" i="109"/>
  <c r="H482" i="109"/>
  <c r="G482" i="109"/>
  <c r="H126" i="109"/>
  <c r="H470" i="109"/>
  <c r="G470" i="109"/>
  <c r="H118" i="109"/>
  <c r="H893" i="109"/>
  <c r="H535" i="109"/>
  <c r="G479" i="109"/>
  <c r="H479" i="109"/>
  <c r="H894" i="109"/>
  <c r="G483" i="109"/>
  <c r="H483" i="109"/>
  <c r="J16" i="86"/>
  <c r="L16" i="86"/>
  <c r="J97" i="86"/>
  <c r="I105" i="9"/>
  <c r="I98" i="9"/>
  <c r="H164" i="109"/>
  <c r="H163" i="109"/>
  <c r="G36" i="21"/>
  <c r="G34" i="21"/>
  <c r="G105" i="9"/>
  <c r="H864" i="109"/>
  <c r="A116" i="9"/>
  <c r="F41" i="111"/>
  <c r="K271" i="103" l="1"/>
  <c r="K164" i="103"/>
  <c r="K172" i="103"/>
  <c r="J51" i="9"/>
  <c r="J22" i="9"/>
  <c r="J97" i="9"/>
  <c r="K299" i="86"/>
  <c r="L299" i="86"/>
  <c r="G3" i="112"/>
  <c r="E35" i="21" s="1"/>
  <c r="I103" i="9"/>
  <c r="H103" i="9"/>
  <c r="G103" i="9"/>
  <c r="K103" i="108"/>
  <c r="K130" i="108"/>
  <c r="K13" i="108"/>
  <c r="K46" i="108"/>
  <c r="K76" i="108"/>
  <c r="G80" i="9"/>
  <c r="H80" i="9"/>
  <c r="J80" i="9" s="1"/>
  <c r="G39" i="9"/>
  <c r="I39" i="9"/>
  <c r="F39" i="111"/>
  <c r="L101" i="86"/>
  <c r="K101" i="86"/>
  <c r="L255" i="86"/>
  <c r="L284" i="86"/>
  <c r="K272" i="86"/>
  <c r="L280" i="86"/>
  <c r="L182" i="86"/>
  <c r="L152" i="86"/>
  <c r="L167" i="86"/>
  <c r="L162" i="86"/>
  <c r="L124" i="86"/>
  <c r="L191" i="86"/>
  <c r="K266" i="86"/>
  <c r="K269" i="86"/>
  <c r="L193" i="86"/>
  <c r="L179" i="86"/>
  <c r="L163" i="86"/>
  <c r="L189" i="86"/>
  <c r="L86" i="86"/>
  <c r="L66" i="86"/>
  <c r="L214" i="86"/>
  <c r="K274" i="86"/>
  <c r="K276" i="86"/>
  <c r="L210" i="86"/>
  <c r="L139" i="86"/>
  <c r="L112" i="86"/>
  <c r="L136" i="86"/>
  <c r="L173" i="86"/>
  <c r="L119" i="86"/>
  <c r="L180" i="86"/>
  <c r="L123" i="86"/>
  <c r="L85" i="86"/>
  <c r="L230" i="86"/>
  <c r="L223" i="86"/>
  <c r="L225" i="86"/>
  <c r="L226" i="86"/>
  <c r="K270" i="86"/>
  <c r="F4" i="111"/>
  <c r="H63" i="9"/>
  <c r="I63" i="9"/>
  <c r="K27" i="108"/>
  <c r="K144" i="108"/>
  <c r="K166" i="108"/>
  <c r="K141" i="108"/>
  <c r="K170" i="108"/>
  <c r="K167" i="108"/>
  <c r="K146" i="108"/>
  <c r="K168" i="108"/>
  <c r="K147" i="108"/>
  <c r="K149" i="108"/>
  <c r="K148" i="108"/>
  <c r="L295" i="86"/>
  <c r="L292" i="86"/>
  <c r="L293" i="86"/>
  <c r="L146" i="86"/>
  <c r="K140" i="108"/>
  <c r="K142" i="108"/>
  <c r="K162" i="108"/>
  <c r="K161" i="108"/>
  <c r="L147" i="86"/>
  <c r="L149" i="86"/>
  <c r="K164" i="108"/>
  <c r="K150" i="108"/>
  <c r="I995" i="109"/>
  <c r="I978" i="109"/>
  <c r="I964" i="109"/>
  <c r="I977" i="109"/>
  <c r="I956" i="109"/>
  <c r="I970" i="109"/>
  <c r="I968" i="109"/>
  <c r="I996" i="109"/>
  <c r="I976" i="109"/>
  <c r="I960" i="109"/>
  <c r="I966" i="109"/>
  <c r="I963" i="109"/>
  <c r="I993" i="109"/>
  <c r="I959" i="109"/>
  <c r="I987" i="109"/>
  <c r="I1001" i="109"/>
  <c r="I992" i="109"/>
  <c r="I957" i="109"/>
  <c r="I980" i="109"/>
  <c r="I991" i="109"/>
  <c r="I985" i="109"/>
  <c r="I962" i="109"/>
  <c r="I974" i="109"/>
  <c r="I973" i="109"/>
  <c r="I988" i="109"/>
  <c r="I984" i="109"/>
  <c r="I967" i="109"/>
  <c r="I999" i="109"/>
  <c r="I997" i="109"/>
  <c r="I983" i="109"/>
  <c r="I971" i="109"/>
  <c r="I1000" i="109"/>
  <c r="I981" i="109"/>
  <c r="I666" i="109"/>
  <c r="I278" i="109"/>
  <c r="I252" i="109"/>
  <c r="I561" i="109"/>
  <c r="I280" i="109"/>
  <c r="I229" i="109"/>
  <c r="I560" i="109"/>
  <c r="I282" i="109"/>
  <c r="I558" i="109"/>
  <c r="I559" i="109"/>
  <c r="K203" i="103"/>
  <c r="K153" i="103"/>
  <c r="K226" i="103"/>
  <c r="K254" i="103"/>
  <c r="G780" i="109"/>
  <c r="H780" i="109"/>
  <c r="J780" i="109" s="1"/>
  <c r="H666" i="109"/>
  <c r="H541" i="109"/>
  <c r="H547" i="109"/>
  <c r="J483" i="109"/>
  <c r="J1083" i="109"/>
  <c r="J1077" i="109"/>
  <c r="J1093" i="109"/>
  <c r="J805" i="109"/>
  <c r="G1068" i="109"/>
  <c r="J1094" i="109"/>
  <c r="J770" i="109"/>
  <c r="J312" i="109"/>
  <c r="G819" i="109"/>
  <c r="G810" i="109"/>
  <c r="J798" i="109"/>
  <c r="B264" i="103"/>
  <c r="B266" i="103" s="1"/>
  <c r="B267" i="103" s="1"/>
  <c r="B265" i="103"/>
  <c r="J235" i="103"/>
  <c r="K235" i="103" s="1"/>
  <c r="K228" i="103"/>
  <c r="K212" i="103"/>
  <c r="K215" i="103"/>
  <c r="K259" i="103"/>
  <c r="K252" i="103"/>
  <c r="K171" i="103"/>
  <c r="K214" i="103"/>
  <c r="K165" i="103"/>
  <c r="K65" i="103"/>
  <c r="K236" i="103"/>
  <c r="K115" i="103"/>
  <c r="K220" i="103"/>
  <c r="K227" i="103"/>
  <c r="K243" i="103"/>
  <c r="K170" i="103"/>
  <c r="K264" i="103"/>
  <c r="I272" i="103"/>
  <c r="K272" i="103" s="1"/>
  <c r="K249" i="103"/>
  <c r="K242" i="103"/>
  <c r="K244" i="103"/>
  <c r="K255" i="103"/>
  <c r="K231" i="103"/>
  <c r="K154" i="103"/>
  <c r="K173" i="103"/>
  <c r="K270" i="103"/>
  <c r="J121" i="103"/>
  <c r="K71" i="103"/>
  <c r="K251" i="103"/>
  <c r="K266" i="103"/>
  <c r="K258" i="103"/>
  <c r="K98" i="103"/>
  <c r="K209" i="103"/>
  <c r="K239" i="103"/>
  <c r="K217" i="103"/>
  <c r="I99" i="103"/>
  <c r="K99" i="103" s="1"/>
  <c r="K263" i="103"/>
  <c r="K159" i="103"/>
  <c r="K176" i="103"/>
  <c r="K261" i="103"/>
  <c r="K157" i="103"/>
  <c r="K224" i="103"/>
  <c r="K169" i="103"/>
  <c r="K213" i="103"/>
  <c r="K253" i="103"/>
  <c r="K149" i="103"/>
  <c r="K28" i="86"/>
  <c r="K25" i="86"/>
  <c r="K50" i="86"/>
  <c r="L97" i="86"/>
  <c r="M97" i="86" s="1"/>
  <c r="K55" i="86"/>
  <c r="K30" i="86"/>
  <c r="K98" i="86"/>
  <c r="K27" i="86"/>
  <c r="L47" i="86"/>
  <c r="K31" i="86"/>
  <c r="L297" i="86"/>
  <c r="M297" i="86" s="1"/>
  <c r="L110" i="86"/>
  <c r="M110" i="86" s="1"/>
  <c r="K49" i="86"/>
  <c r="J99" i="9"/>
  <c r="J78" i="9"/>
  <c r="J65" i="9"/>
  <c r="I68" i="9"/>
  <c r="H66" i="9"/>
  <c r="J66" i="9" s="1"/>
  <c r="I40" i="9"/>
  <c r="J40" i="9" s="1"/>
  <c r="J52" i="9"/>
  <c r="A37" i="9"/>
  <c r="A38" i="9" s="1"/>
  <c r="A39" i="9" s="1"/>
  <c r="A40" i="9" s="1"/>
  <c r="A41" i="9"/>
  <c r="A42" i="9" s="1"/>
  <c r="J47" i="9"/>
  <c r="G65" i="9"/>
  <c r="H39" i="9"/>
  <c r="G40" i="9"/>
  <c r="A15" i="9"/>
  <c r="A16" i="9" s="1"/>
  <c r="A17" i="9" s="1"/>
  <c r="A18" i="9" s="1"/>
  <c r="A19" i="9" s="1"/>
  <c r="A20" i="9" s="1"/>
  <c r="A21" i="9" s="1"/>
  <c r="A22" i="9" s="1"/>
  <c r="A23" i="9" s="1"/>
  <c r="A24" i="9" s="1"/>
  <c r="A25" i="9" s="1"/>
  <c r="A26" i="9" s="1"/>
  <c r="A27" i="9" s="1"/>
  <c r="A28" i="9" s="1"/>
  <c r="A29" i="9" s="1"/>
  <c r="A30" i="9" s="1"/>
  <c r="A31" i="9" s="1"/>
  <c r="A32" i="9" s="1"/>
  <c r="A33" i="9" s="1"/>
  <c r="A34" i="9" s="1"/>
  <c r="A35" i="9" s="1"/>
  <c r="J45" i="9"/>
  <c r="H68" i="9"/>
  <c r="G68" i="9"/>
  <c r="J85" i="9"/>
  <c r="J48" i="9"/>
  <c r="J50" i="9"/>
  <c r="J44" i="9"/>
  <c r="G34" i="9"/>
  <c r="J113" i="9"/>
  <c r="J34" i="9"/>
  <c r="A119" i="9"/>
  <c r="A120" i="9" s="1"/>
  <c r="A121" i="9" s="1"/>
  <c r="A122" i="9" s="1"/>
  <c r="A123" i="9" s="1"/>
  <c r="A124" i="9" s="1"/>
  <c r="A125" i="9" s="1"/>
  <c r="L44" i="86"/>
  <c r="K17" i="86"/>
  <c r="L39" i="86"/>
  <c r="K29" i="86"/>
  <c r="L42" i="86"/>
  <c r="K54" i="86"/>
  <c r="L40" i="86"/>
  <c r="M16" i="86"/>
  <c r="K14" i="86"/>
  <c r="K216" i="103"/>
  <c r="K250" i="103"/>
  <c r="K175" i="103"/>
  <c r="K232" i="103"/>
  <c r="K156" i="103"/>
  <c r="K50" i="103"/>
  <c r="K241" i="103"/>
  <c r="K248" i="103"/>
  <c r="K240" i="103"/>
  <c r="K262" i="103"/>
  <c r="K247" i="103"/>
  <c r="K230" i="103"/>
  <c r="K158" i="103"/>
  <c r="K238" i="103"/>
  <c r="K246" i="103"/>
  <c r="K43" i="103"/>
  <c r="H221" i="103"/>
  <c r="K104" i="103"/>
  <c r="K234" i="103"/>
  <c r="B13" i="103"/>
  <c r="B42" i="103" s="1"/>
  <c r="B44" i="103" s="1"/>
  <c r="B45" i="103" s="1"/>
  <c r="B46" i="103" s="1"/>
  <c r="B47" i="103" s="1"/>
  <c r="B48" i="103" s="1"/>
  <c r="K108" i="103"/>
  <c r="K174" i="103"/>
  <c r="K155" i="103"/>
  <c r="L256" i="103"/>
  <c r="I110" i="103"/>
  <c r="K110" i="103" s="1"/>
  <c r="H56" i="9"/>
  <c r="K23" i="86"/>
  <c r="K13" i="86"/>
  <c r="H38" i="9"/>
  <c r="H109" i="9"/>
  <c r="J109" i="9" s="1"/>
  <c r="J35" i="9"/>
  <c r="J86" i="9"/>
  <c r="J88" i="9"/>
  <c r="J49" i="9"/>
  <c r="J90" i="9"/>
  <c r="I33" i="9"/>
  <c r="I115" i="9"/>
  <c r="I32" i="9"/>
  <c r="G32" i="9"/>
  <c r="G112" i="9"/>
  <c r="J78" i="86"/>
  <c r="J15" i="86"/>
  <c r="K131" i="86"/>
  <c r="L151" i="86"/>
  <c r="L154" i="86"/>
  <c r="K118" i="86"/>
  <c r="L208" i="86"/>
  <c r="K281" i="86"/>
  <c r="L50" i="86"/>
  <c r="J110" i="108"/>
  <c r="K134" i="108"/>
  <c r="K108" i="108"/>
  <c r="K80" i="108"/>
  <c r="K51" i="108"/>
  <c r="L68" i="86"/>
  <c r="L90" i="86"/>
  <c r="L127" i="86"/>
  <c r="L134" i="86"/>
  <c r="L176" i="86"/>
  <c r="L129" i="86"/>
  <c r="L200" i="86"/>
  <c r="L272" i="86"/>
  <c r="L221" i="86"/>
  <c r="K133" i="108"/>
  <c r="K106" i="108"/>
  <c r="K79" i="108"/>
  <c r="K50" i="108"/>
  <c r="K25" i="108"/>
  <c r="L199" i="86"/>
  <c r="L253" i="86"/>
  <c r="J106" i="108"/>
  <c r="K105" i="108"/>
  <c r="K78" i="108"/>
  <c r="K23" i="108"/>
  <c r="L59" i="86"/>
  <c r="L82" i="86"/>
  <c r="L195" i="86"/>
  <c r="L169" i="86"/>
  <c r="L206" i="86"/>
  <c r="L268" i="86"/>
  <c r="K229" i="86"/>
  <c r="L94" i="86"/>
  <c r="L72" i="86"/>
  <c r="L158" i="86"/>
  <c r="L115" i="86"/>
  <c r="L187" i="86"/>
  <c r="L160" i="86"/>
  <c r="K279" i="86"/>
  <c r="K228" i="86"/>
  <c r="L254" i="86"/>
  <c r="J104" i="108"/>
  <c r="I131" i="108"/>
  <c r="K104" i="108"/>
  <c r="K77" i="108"/>
  <c r="K48" i="108"/>
  <c r="K22" i="108"/>
  <c r="L258" i="86"/>
  <c r="L168" i="86"/>
  <c r="K18" i="108"/>
  <c r="K128" i="108"/>
  <c r="K102" i="108"/>
  <c r="K75" i="108"/>
  <c r="K45" i="108"/>
  <c r="K20" i="108"/>
  <c r="L256" i="86"/>
  <c r="K17" i="108"/>
  <c r="K127" i="108"/>
  <c r="K44" i="108"/>
  <c r="K16" i="108"/>
  <c r="K100" i="108"/>
  <c r="K73" i="108"/>
  <c r="K43" i="108"/>
  <c r="L135" i="86"/>
  <c r="M135" i="86" s="1"/>
  <c r="I61" i="9"/>
  <c r="K268" i="86"/>
  <c r="L260" i="86"/>
  <c r="K15" i="108"/>
  <c r="K125" i="108"/>
  <c r="K98" i="108"/>
  <c r="K69" i="108"/>
  <c r="K42" i="108"/>
  <c r="L279" i="86"/>
  <c r="L261" i="86"/>
  <c r="K14" i="108"/>
  <c r="K123" i="108"/>
  <c r="K97" i="108"/>
  <c r="K68" i="108"/>
  <c r="K41" i="108"/>
  <c r="J89" i="86"/>
  <c r="L282" i="86"/>
  <c r="L93" i="86"/>
  <c r="L142" i="86"/>
  <c r="L130" i="86"/>
  <c r="M130" i="86" s="1"/>
  <c r="L233" i="86"/>
  <c r="L273" i="86"/>
  <c r="L61" i="86"/>
  <c r="L84" i="86"/>
  <c r="L71" i="86"/>
  <c r="L116" i="86"/>
  <c r="K175" i="86"/>
  <c r="L170" i="86"/>
  <c r="L204" i="86"/>
  <c r="L275" i="86"/>
  <c r="L262" i="86"/>
  <c r="I156" i="108"/>
  <c r="K122" i="108"/>
  <c r="K96" i="108"/>
  <c r="K67" i="108"/>
  <c r="L153" i="86"/>
  <c r="L264" i="86"/>
  <c r="J83" i="108"/>
  <c r="K155" i="108"/>
  <c r="L155" i="108" s="1"/>
  <c r="K95" i="108"/>
  <c r="K66" i="108"/>
  <c r="K39" i="108"/>
  <c r="I62" i="9"/>
  <c r="L81" i="86"/>
  <c r="J25" i="86"/>
  <c r="L74" i="86"/>
  <c r="L120" i="86"/>
  <c r="L237" i="86"/>
  <c r="J49" i="86"/>
  <c r="J301" i="86"/>
  <c r="L65" i="86"/>
  <c r="J54" i="86"/>
  <c r="L133" i="86"/>
  <c r="L196" i="86"/>
  <c r="L140" i="86"/>
  <c r="L234" i="86"/>
  <c r="K267" i="86"/>
  <c r="L215" i="86"/>
  <c r="L224" i="86"/>
  <c r="I154" i="108"/>
  <c r="K120" i="108"/>
  <c r="K94" i="108"/>
  <c r="K65" i="108"/>
  <c r="K37" i="108"/>
  <c r="L88" i="86"/>
  <c r="K179" i="86"/>
  <c r="K239" i="86"/>
  <c r="L62" i="86"/>
  <c r="M62" i="86" s="1"/>
  <c r="L177" i="86"/>
  <c r="L87" i="86"/>
  <c r="L46" i="86"/>
  <c r="L43" i="86"/>
  <c r="L159" i="86"/>
  <c r="L184" i="86"/>
  <c r="L203" i="86"/>
  <c r="L281" i="86"/>
  <c r="L219" i="86"/>
  <c r="L235" i="86"/>
  <c r="J71" i="108"/>
  <c r="I153" i="108"/>
  <c r="K118" i="108"/>
  <c r="K64" i="108"/>
  <c r="K36" i="108"/>
  <c r="L80" i="86"/>
  <c r="L267" i="86"/>
  <c r="L79" i="86"/>
  <c r="L29" i="86"/>
  <c r="J35" i="86"/>
  <c r="K154" i="86"/>
  <c r="K192" i="86"/>
  <c r="L175" i="86"/>
  <c r="K273" i="86"/>
  <c r="L216" i="86"/>
  <c r="J290" i="86"/>
  <c r="K117" i="108"/>
  <c r="K92" i="108"/>
  <c r="K63" i="108"/>
  <c r="K35" i="108"/>
  <c r="L69" i="86"/>
  <c r="L17" i="86"/>
  <c r="J26" i="86"/>
  <c r="L113" i="86"/>
  <c r="L194" i="86"/>
  <c r="L207" i="86"/>
  <c r="L276" i="86"/>
  <c r="L31" i="86"/>
  <c r="L243" i="86"/>
  <c r="L289" i="86"/>
  <c r="J135" i="108"/>
  <c r="J59" i="108"/>
  <c r="K116" i="108"/>
  <c r="K91" i="108"/>
  <c r="K34" i="108"/>
  <c r="L244" i="86"/>
  <c r="L287" i="86"/>
  <c r="J58" i="108"/>
  <c r="K90" i="108"/>
  <c r="K61" i="108"/>
  <c r="K33" i="108"/>
  <c r="L186" i="86"/>
  <c r="J105" i="86"/>
  <c r="L245" i="86"/>
  <c r="L286" i="86"/>
  <c r="K114" i="108"/>
  <c r="K89" i="108"/>
  <c r="K56" i="108"/>
  <c r="K32" i="108"/>
  <c r="L121" i="86"/>
  <c r="L144" i="86"/>
  <c r="L222" i="86"/>
  <c r="L91" i="86"/>
  <c r="L156" i="86"/>
  <c r="K203" i="86"/>
  <c r="K52" i="86"/>
  <c r="L33" i="86"/>
  <c r="L83" i="86"/>
  <c r="K176" i="86"/>
  <c r="L131" i="86"/>
  <c r="L232" i="86"/>
  <c r="L278" i="86"/>
  <c r="K213" i="86"/>
  <c r="K99" i="86"/>
  <c r="J23" i="86"/>
  <c r="L73" i="86"/>
  <c r="K195" i="86"/>
  <c r="L178" i="86"/>
  <c r="K160" i="86"/>
  <c r="L181" i="86"/>
  <c r="L202" i="86"/>
  <c r="L274" i="86"/>
  <c r="L217" i="86"/>
  <c r="L246" i="86"/>
  <c r="K113" i="108"/>
  <c r="K88" i="108"/>
  <c r="K55" i="108"/>
  <c r="L155" i="86"/>
  <c r="K46" i="86"/>
  <c r="J13" i="86"/>
  <c r="K275" i="86"/>
  <c r="J302" i="86"/>
  <c r="L56" i="86"/>
  <c r="M56" i="86" s="1"/>
  <c r="L192" i="86"/>
  <c r="K191" i="86"/>
  <c r="L126" i="86"/>
  <c r="L241" i="86"/>
  <c r="L270" i="86"/>
  <c r="L111" i="86"/>
  <c r="L247" i="86"/>
  <c r="K111" i="108"/>
  <c r="K54" i="108"/>
  <c r="K30" i="108"/>
  <c r="L300" i="86"/>
  <c r="L205" i="86"/>
  <c r="L52" i="86"/>
  <c r="L118" i="86"/>
  <c r="L212" i="86"/>
  <c r="L95" i="86"/>
  <c r="J37" i="86"/>
  <c r="K106" i="86"/>
  <c r="M106" i="86" s="1"/>
  <c r="L197" i="86"/>
  <c r="L171" i="86"/>
  <c r="L165" i="86"/>
  <c r="L236" i="86"/>
  <c r="L266" i="86"/>
  <c r="L213" i="86"/>
  <c r="K249" i="86"/>
  <c r="J113" i="108"/>
  <c r="K137" i="108"/>
  <c r="K110" i="108"/>
  <c r="K85" i="108"/>
  <c r="K53" i="108"/>
  <c r="K28" i="108"/>
  <c r="L251" i="86"/>
  <c r="K135" i="108"/>
  <c r="K81" i="108"/>
  <c r="K52" i="108"/>
  <c r="J89" i="9"/>
  <c r="J124" i="9"/>
  <c r="J46" i="9"/>
  <c r="J104" i="9"/>
  <c r="A127" i="9"/>
  <c r="A128" i="9"/>
  <c r="A129" i="9" s="1"/>
  <c r="J67" i="9"/>
  <c r="H129" i="9"/>
  <c r="J129" i="9" s="1"/>
  <c r="K128" i="9" s="1"/>
  <c r="I127" i="9"/>
  <c r="I70" i="9"/>
  <c r="H32" i="9"/>
  <c r="G84" i="9"/>
  <c r="G107" i="9"/>
  <c r="I107" i="9"/>
  <c r="I26" i="9"/>
  <c r="I108" i="9"/>
  <c r="I122" i="9"/>
  <c r="I76" i="9"/>
  <c r="J83" i="9"/>
  <c r="J131" i="108"/>
  <c r="K221" i="103"/>
  <c r="I755" i="109"/>
  <c r="G806" i="109"/>
  <c r="I756" i="109"/>
  <c r="H792" i="109"/>
  <c r="J809" i="109"/>
  <c r="J1048" i="109"/>
  <c r="J1080" i="109"/>
  <c r="H793" i="109"/>
  <c r="J793" i="109" s="1"/>
  <c r="H910" i="109"/>
  <c r="J823" i="109"/>
  <c r="G798" i="109"/>
  <c r="J471" i="109"/>
  <c r="H800" i="109"/>
  <c r="G471" i="109"/>
  <c r="G803" i="109"/>
  <c r="G1092" i="109"/>
  <c r="J143" i="103"/>
  <c r="K143" i="103" s="1"/>
  <c r="H143" i="103"/>
  <c r="J139" i="103"/>
  <c r="K48" i="103"/>
  <c r="K237" i="103"/>
  <c r="K229" i="103"/>
  <c r="K141" i="103"/>
  <c r="K245" i="103"/>
  <c r="K59" i="103"/>
  <c r="K166" i="103"/>
  <c r="L260" i="103"/>
  <c r="K233" i="103"/>
  <c r="H224" i="103"/>
  <c r="K167" i="103"/>
  <c r="L66" i="103"/>
  <c r="I168" i="103"/>
  <c r="L163" i="103" s="1"/>
  <c r="K210" i="103"/>
  <c r="J140" i="103"/>
  <c r="K140" i="103" s="1"/>
  <c r="L218" i="103"/>
  <c r="K137" i="103"/>
  <c r="K177" i="103"/>
  <c r="L113" i="103"/>
  <c r="K100" i="103"/>
  <c r="K106" i="103"/>
  <c r="K138" i="103"/>
  <c r="J129" i="103"/>
  <c r="K51" i="103"/>
  <c r="K88" i="103"/>
  <c r="B14" i="103"/>
  <c r="B16" i="103" s="1"/>
  <c r="K46" i="103"/>
  <c r="K150" i="103"/>
  <c r="B60" i="103"/>
  <c r="B53" i="103"/>
  <c r="B54" i="103" s="1"/>
  <c r="J142" i="103"/>
  <c r="K142" i="103" s="1"/>
  <c r="H142" i="103"/>
  <c r="K269" i="103"/>
  <c r="J70" i="103"/>
  <c r="I102" i="103"/>
  <c r="K102" i="103" s="1"/>
  <c r="K67" i="103"/>
  <c r="K146" i="103"/>
  <c r="L238" i="103"/>
  <c r="K257" i="103"/>
  <c r="I139" i="103"/>
  <c r="J61" i="103"/>
  <c r="K219" i="103"/>
  <c r="K152" i="103"/>
  <c r="K267" i="103"/>
  <c r="H141" i="103"/>
  <c r="L98" i="86"/>
  <c r="I105" i="109"/>
  <c r="K196" i="103"/>
  <c r="I935" i="109"/>
  <c r="H784" i="109"/>
  <c r="I1086" i="109"/>
  <c r="J827" i="109"/>
  <c r="J311" i="109"/>
  <c r="I847" i="109"/>
  <c r="J1069" i="109"/>
  <c r="G468" i="109"/>
  <c r="J328" i="109"/>
  <c r="J771" i="109"/>
  <c r="J350" i="109"/>
  <c r="J833" i="109"/>
  <c r="J1079" i="109"/>
  <c r="J773" i="109"/>
  <c r="J814" i="109"/>
  <c r="H651" i="109"/>
  <c r="G807" i="109"/>
  <c r="H782" i="109"/>
  <c r="J844" i="109"/>
  <c r="H795" i="109"/>
  <c r="J795" i="109" s="1"/>
  <c r="J1049" i="109"/>
  <c r="G823" i="109"/>
  <c r="J331" i="109"/>
  <c r="G783" i="109"/>
  <c r="H781" i="109"/>
  <c r="G796" i="109"/>
  <c r="J810" i="109"/>
  <c r="I1099" i="109"/>
  <c r="J1100" i="109"/>
  <c r="J1084" i="109"/>
  <c r="J768" i="109"/>
  <c r="H811" i="109"/>
  <c r="J1081" i="109"/>
  <c r="J1082" i="109"/>
  <c r="H850" i="109"/>
  <c r="J1047" i="109"/>
  <c r="J484" i="109"/>
  <c r="J632" i="109"/>
  <c r="J840" i="109"/>
  <c r="J815" i="109"/>
  <c r="J317" i="109"/>
  <c r="G816" i="109"/>
  <c r="J1096" i="109"/>
  <c r="G1070" i="109"/>
  <c r="J325" i="109"/>
  <c r="H787" i="109"/>
  <c r="J787" i="109" s="1"/>
  <c r="J1095" i="109"/>
  <c r="J1070" i="109"/>
  <c r="H556" i="109"/>
  <c r="J336" i="109"/>
  <c r="J343" i="109"/>
  <c r="J837" i="109"/>
  <c r="J789" i="109"/>
  <c r="H804" i="109"/>
  <c r="J804" i="109" s="1"/>
  <c r="H56" i="109"/>
  <c r="G805" i="109"/>
  <c r="I830" i="109"/>
  <c r="J765" i="109"/>
  <c r="J806" i="109"/>
  <c r="J772" i="109"/>
  <c r="J477" i="109"/>
  <c r="J478" i="109"/>
  <c r="H794" i="109"/>
  <c r="J794" i="109" s="1"/>
  <c r="J1102" i="109"/>
  <c r="J821" i="109"/>
  <c r="I203" i="109"/>
  <c r="I1031" i="109"/>
  <c r="H21" i="9"/>
  <c r="J21" i="9" s="1"/>
  <c r="G18" i="21"/>
  <c r="G25" i="21"/>
  <c r="I950" i="109"/>
  <c r="H650" i="109"/>
  <c r="H320" i="109"/>
  <c r="J320" i="109" s="1"/>
  <c r="G814" i="109"/>
  <c r="J1072" i="109"/>
  <c r="J476" i="109"/>
  <c r="H662" i="109"/>
  <c r="G815" i="109"/>
  <c r="G789" i="109"/>
  <c r="H663" i="109"/>
  <c r="J832" i="109"/>
  <c r="J1101" i="109"/>
  <c r="J1071" i="109"/>
  <c r="J338" i="109"/>
  <c r="G799" i="109"/>
  <c r="H652" i="109"/>
  <c r="H817" i="109"/>
  <c r="J817" i="109" s="1"/>
  <c r="J1068" i="109"/>
  <c r="J468" i="109"/>
  <c r="J316" i="109"/>
  <c r="G818" i="109"/>
  <c r="J1097" i="109"/>
  <c r="G821" i="109"/>
  <c r="H664" i="109"/>
  <c r="H831" i="109"/>
  <c r="J831" i="109" s="1"/>
  <c r="H653" i="109"/>
  <c r="J818" i="109"/>
  <c r="G320" i="109"/>
  <c r="H655" i="109"/>
  <c r="G822" i="109"/>
  <c r="J469" i="109"/>
  <c r="J822" i="109"/>
  <c r="J825" i="109"/>
  <c r="J324" i="109"/>
  <c r="H820" i="109"/>
  <c r="J820" i="109" s="1"/>
  <c r="J826" i="109"/>
  <c r="G809" i="109"/>
  <c r="J954" i="109"/>
  <c r="H578" i="109"/>
  <c r="G824" i="109"/>
  <c r="H1156" i="109"/>
  <c r="J334" i="109"/>
  <c r="H319" i="109"/>
  <c r="J319" i="109" s="1"/>
  <c r="J1075" i="109"/>
  <c r="H580" i="109"/>
  <c r="J332" i="109"/>
  <c r="J769" i="109"/>
  <c r="J1090" i="109"/>
  <c r="H571" i="109"/>
  <c r="J470" i="109"/>
  <c r="J812" i="109"/>
  <c r="H849" i="109"/>
  <c r="J1103" i="109"/>
  <c r="J1088" i="109"/>
  <c r="H727" i="109"/>
  <c r="J480" i="109"/>
  <c r="D5" i="86"/>
  <c r="C5" i="108" s="1"/>
  <c r="C4" i="103"/>
  <c r="B4" i="109" s="1"/>
  <c r="K162" i="103"/>
  <c r="I38" i="9"/>
  <c r="K190" i="103"/>
  <c r="H165" i="109"/>
  <c r="H1032" i="109"/>
  <c r="K197" i="103"/>
  <c r="K211" i="103"/>
  <c r="K41" i="103"/>
  <c r="K189" i="103"/>
  <c r="I57" i="9"/>
  <c r="G67" i="9"/>
  <c r="K147" i="103"/>
  <c r="L138" i="86"/>
  <c r="K195" i="103"/>
  <c r="H61" i="9"/>
  <c r="L160" i="103"/>
  <c r="I42" i="9"/>
  <c r="K107" i="86"/>
  <c r="K250" i="86"/>
  <c r="L208" i="103"/>
  <c r="K104" i="86"/>
  <c r="M104" i="86" s="1"/>
  <c r="J482" i="109"/>
  <c r="J1051" i="109"/>
  <c r="J342" i="109"/>
  <c r="H591" i="109"/>
  <c r="I1098" i="109"/>
  <c r="G343" i="109"/>
  <c r="J631" i="109"/>
  <c r="H785" i="109"/>
  <c r="J785" i="109" s="1"/>
  <c r="J774" i="109"/>
  <c r="J1092" i="109"/>
  <c r="J347" i="109"/>
  <c r="H659" i="109"/>
  <c r="J314" i="109"/>
  <c r="J323" i="109"/>
  <c r="J335" i="109"/>
  <c r="J313" i="109"/>
  <c r="J1085" i="109"/>
  <c r="J807" i="109"/>
  <c r="J318" i="109"/>
  <c r="H590" i="109"/>
  <c r="H119" i="109"/>
  <c r="J119" i="109" s="1"/>
  <c r="J315" i="109"/>
  <c r="H788" i="109"/>
  <c r="J788" i="109" s="1"/>
  <c r="G812" i="109"/>
  <c r="J1078" i="109"/>
  <c r="J824" i="109"/>
  <c r="J1034" i="109"/>
  <c r="J843" i="109"/>
  <c r="J479" i="109"/>
  <c r="J475" i="109"/>
  <c r="H801" i="109"/>
  <c r="J337" i="109"/>
  <c r="J326" i="109"/>
  <c r="G790" i="109"/>
  <c r="J345" i="109"/>
  <c r="J783" i="109"/>
  <c r="J816" i="109"/>
  <c r="J790" i="109"/>
  <c r="J1076" i="109"/>
  <c r="J481" i="109"/>
  <c r="H658" i="109"/>
  <c r="H839" i="109"/>
  <c r="J839" i="109" s="1"/>
  <c r="G839" i="109"/>
  <c r="J767" i="109"/>
  <c r="J834" i="109"/>
  <c r="H791" i="109"/>
  <c r="J791" i="109" s="1"/>
  <c r="G791" i="109"/>
  <c r="J803" i="109"/>
  <c r="H836" i="109"/>
  <c r="J836" i="109" s="1"/>
  <c r="G836" i="109"/>
  <c r="H557" i="109"/>
  <c r="H553" i="109"/>
  <c r="H329" i="109"/>
  <c r="J329" i="109" s="1"/>
  <c r="G329" i="109"/>
  <c r="H564" i="109"/>
  <c r="H847" i="109"/>
  <c r="H661" i="109"/>
  <c r="H829" i="109"/>
  <c r="J829" i="109" s="1"/>
  <c r="J1104" i="109"/>
  <c r="H589" i="109"/>
  <c r="H797" i="109"/>
  <c r="J797" i="109" s="1"/>
  <c r="J346" i="109"/>
  <c r="H786" i="109"/>
  <c r="J786" i="109" s="1"/>
  <c r="G786" i="109"/>
  <c r="H573" i="109"/>
  <c r="H546" i="109"/>
  <c r="H125" i="109"/>
  <c r="H808" i="109"/>
  <c r="J808" i="109" s="1"/>
  <c r="G808" i="109"/>
  <c r="I828" i="109"/>
  <c r="H574" i="109"/>
  <c r="J799" i="109"/>
  <c r="J322" i="109"/>
  <c r="H554" i="109"/>
  <c r="H586" i="109"/>
  <c r="H555" i="109"/>
  <c r="H570" i="109"/>
  <c r="H543" i="109"/>
  <c r="H584" i="109"/>
  <c r="H581" i="109"/>
  <c r="H568" i="109"/>
  <c r="H583" i="109"/>
  <c r="H544" i="109"/>
  <c r="H552" i="109"/>
  <c r="H567" i="109"/>
  <c r="H587" i="109"/>
  <c r="H582" i="109"/>
  <c r="H588" i="109"/>
  <c r="H551" i="109"/>
  <c r="H566" i="109"/>
  <c r="H585" i="109"/>
  <c r="H572" i="109"/>
  <c r="H542" i="109"/>
  <c r="H565" i="109"/>
  <c r="H549" i="109"/>
  <c r="H569" i="109"/>
  <c r="H577" i="109"/>
  <c r="J1033" i="109"/>
  <c r="J1050" i="109"/>
  <c r="H575" i="109"/>
  <c r="H548" i="109"/>
  <c r="J819" i="109"/>
  <c r="H813" i="109"/>
  <c r="J813" i="109" s="1"/>
  <c r="G813" i="109"/>
  <c r="G349" i="109"/>
  <c r="H349" i="109"/>
  <c r="J349" i="109" s="1"/>
  <c r="J1073" i="109"/>
  <c r="H545" i="109"/>
  <c r="J796" i="109"/>
  <c r="H576" i="109"/>
  <c r="H550" i="109"/>
  <c r="H835" i="109"/>
  <c r="J835" i="109" s="1"/>
  <c r="H802" i="109"/>
  <c r="J802" i="109" s="1"/>
  <c r="G802" i="109"/>
  <c r="I848" i="109"/>
  <c r="K208" i="86"/>
  <c r="H57" i="9"/>
  <c r="I28" i="9"/>
  <c r="K74" i="86"/>
  <c r="J18" i="108"/>
  <c r="I212" i="109"/>
  <c r="I583" i="109"/>
  <c r="I74" i="109"/>
  <c r="G1107" i="109"/>
  <c r="I110" i="109"/>
  <c r="I52" i="109"/>
  <c r="I143" i="109"/>
  <c r="I1066" i="109"/>
  <c r="G641" i="109"/>
  <c r="G629" i="109"/>
  <c r="I429" i="109"/>
  <c r="I96" i="109"/>
  <c r="I763" i="109"/>
  <c r="I242" i="109"/>
  <c r="I588" i="109"/>
  <c r="I248" i="109"/>
  <c r="H412" i="109"/>
  <c r="I1027" i="109"/>
  <c r="G881" i="109"/>
  <c r="G905" i="109"/>
  <c r="H70" i="109"/>
  <c r="I1019" i="109"/>
  <c r="I15" i="109"/>
  <c r="I37" i="109"/>
  <c r="I428" i="109"/>
  <c r="I374" i="109"/>
  <c r="I567" i="109"/>
  <c r="I185" i="109"/>
  <c r="I63" i="109"/>
  <c r="I80" i="109"/>
  <c r="I1025" i="109"/>
  <c r="G1029" i="109"/>
  <c r="I38" i="109"/>
  <c r="G394" i="109"/>
  <c r="G186" i="109"/>
  <c r="I270" i="109"/>
  <c r="I179" i="109"/>
  <c r="I473" i="109"/>
  <c r="H764" i="109"/>
  <c r="I915" i="109"/>
  <c r="I221" i="109"/>
  <c r="I223" i="109"/>
  <c r="I219" i="109"/>
  <c r="I609" i="109"/>
  <c r="I67" i="109"/>
  <c r="I142" i="109"/>
  <c r="G525" i="109"/>
  <c r="G388" i="109"/>
  <c r="I246" i="109"/>
  <c r="I133" i="109"/>
  <c r="H268" i="109"/>
  <c r="H52" i="109"/>
  <c r="I227" i="109"/>
  <c r="I43" i="109"/>
  <c r="I44" i="109"/>
  <c r="I931" i="109"/>
  <c r="I78" i="109"/>
  <c r="G58" i="109"/>
  <c r="H460" i="109"/>
  <c r="H82" i="109"/>
  <c r="I152" i="109"/>
  <c r="G1113" i="109"/>
  <c r="I1044" i="109"/>
  <c r="I1021" i="109"/>
  <c r="G624" i="109"/>
  <c r="H402" i="109"/>
  <c r="I410" i="109"/>
  <c r="I274" i="109"/>
  <c r="H465" i="109"/>
  <c r="I296" i="109"/>
  <c r="I85" i="109"/>
  <c r="I759" i="109"/>
  <c r="G883" i="109"/>
  <c r="I260" i="109"/>
  <c r="H46" i="109"/>
  <c r="I235" i="109"/>
  <c r="H69" i="109"/>
  <c r="I933" i="109"/>
  <c r="I656" i="109"/>
  <c r="G622" i="109"/>
  <c r="G599" i="109"/>
  <c r="G498" i="109"/>
  <c r="I438" i="109"/>
  <c r="H386" i="109"/>
  <c r="H221" i="109"/>
  <c r="G171" i="109"/>
  <c r="H295" i="109"/>
  <c r="I357" i="109"/>
  <c r="I106" i="109"/>
  <c r="I53" i="109"/>
  <c r="H99" i="109"/>
  <c r="I123" i="109"/>
  <c r="I894" i="109"/>
  <c r="I426" i="109"/>
  <c r="I902" i="109"/>
  <c r="G150" i="109"/>
  <c r="G1106" i="109"/>
  <c r="G623" i="109"/>
  <c r="G600" i="109"/>
  <c r="I505" i="109"/>
  <c r="I437" i="109"/>
  <c r="I433" i="109"/>
  <c r="G181" i="109"/>
  <c r="H473" i="109"/>
  <c r="I97" i="109"/>
  <c r="I22" i="109"/>
  <c r="H856" i="109"/>
  <c r="I168" i="109"/>
  <c r="I24" i="109"/>
  <c r="I855" i="109"/>
  <c r="I952" i="109"/>
  <c r="I70" i="109"/>
  <c r="I1032" i="109"/>
  <c r="G659" i="109"/>
  <c r="I617" i="109"/>
  <c r="I612" i="109"/>
  <c r="I523" i="109"/>
  <c r="I886" i="109"/>
  <c r="G172" i="109"/>
  <c r="I136" i="109"/>
  <c r="I244" i="109"/>
  <c r="I371" i="109"/>
  <c r="I268" i="109"/>
  <c r="H1066" i="109"/>
  <c r="H68" i="109"/>
  <c r="I188" i="109"/>
  <c r="H945" i="109"/>
  <c r="I71" i="109"/>
  <c r="I1111" i="109"/>
  <c r="I1042" i="109"/>
  <c r="G630" i="109"/>
  <c r="I432" i="109"/>
  <c r="I378" i="109"/>
  <c r="G173" i="109"/>
  <c r="I138" i="109"/>
  <c r="H490" i="109"/>
  <c r="I870" i="109"/>
  <c r="I575" i="109"/>
  <c r="I308" i="109"/>
  <c r="I266" i="109"/>
  <c r="I420" i="109"/>
  <c r="I289" i="109"/>
  <c r="I69" i="109"/>
  <c r="H79" i="109"/>
  <c r="I424" i="109"/>
  <c r="I113" i="109"/>
  <c r="I472" i="109"/>
  <c r="G147" i="109"/>
  <c r="G1112" i="109"/>
  <c r="I1040" i="109"/>
  <c r="G597" i="109"/>
  <c r="I376" i="109"/>
  <c r="H203" i="109"/>
  <c r="I193" i="109"/>
  <c r="I896" i="109"/>
  <c r="I880" i="109"/>
  <c r="I369" i="109"/>
  <c r="I300" i="109"/>
  <c r="H361" i="109"/>
  <c r="I486" i="109"/>
  <c r="I189" i="109"/>
  <c r="I205" i="109"/>
  <c r="I153" i="109"/>
  <c r="G1126" i="109"/>
  <c r="I1012" i="109"/>
  <c r="I514" i="109"/>
  <c r="I177" i="109"/>
  <c r="I28" i="109"/>
  <c r="H84" i="109"/>
  <c r="H763" i="109"/>
  <c r="I20" i="109"/>
  <c r="I32" i="109"/>
  <c r="I167" i="109"/>
  <c r="I487" i="109"/>
  <c r="G892" i="109"/>
  <c r="G126" i="109"/>
  <c r="I48" i="109"/>
  <c r="I1014" i="109"/>
  <c r="I615" i="109"/>
  <c r="G515" i="109"/>
  <c r="I39" i="109"/>
  <c r="H880" i="109"/>
  <c r="H948" i="109"/>
  <c r="I42" i="109"/>
  <c r="I200" i="109"/>
  <c r="I34" i="109"/>
  <c r="I35" i="109"/>
  <c r="I925" i="109"/>
  <c r="H462" i="109"/>
  <c r="I237" i="109"/>
  <c r="I425" i="109"/>
  <c r="G906" i="109"/>
  <c r="I1122" i="109"/>
  <c r="I1016" i="109"/>
  <c r="G643" i="109"/>
  <c r="I519" i="109"/>
  <c r="I434" i="109"/>
  <c r="I207" i="109"/>
  <c r="I578" i="109"/>
  <c r="G875" i="109"/>
  <c r="H489" i="109"/>
  <c r="G761" i="109"/>
  <c r="I1038" i="109"/>
  <c r="G620" i="109"/>
  <c r="H384" i="109"/>
  <c r="I250" i="109"/>
  <c r="I163" i="109"/>
  <c r="I542" i="109"/>
  <c r="I77" i="109"/>
  <c r="I36" i="103"/>
  <c r="H463" i="109"/>
  <c r="I262" i="109"/>
  <c r="I82" i="109"/>
  <c r="H47" i="109"/>
  <c r="G900" i="109"/>
  <c r="I634" i="109"/>
  <c r="I440" i="109"/>
  <c r="I295" i="109"/>
  <c r="I264" i="109"/>
  <c r="I553" i="109"/>
  <c r="I577" i="109"/>
  <c r="H472" i="109"/>
  <c r="I272" i="109"/>
  <c r="I68" i="109"/>
  <c r="I365" i="109"/>
  <c r="G903" i="109"/>
  <c r="I585" i="109"/>
  <c r="G613" i="109"/>
  <c r="I500" i="109"/>
  <c r="H404" i="109"/>
  <c r="I367" i="109"/>
  <c r="I45" i="109"/>
  <c r="G57" i="109"/>
  <c r="I926" i="109"/>
  <c r="I16" i="109"/>
  <c r="I81" i="109"/>
  <c r="I628" i="109"/>
  <c r="I122" i="109"/>
  <c r="G56" i="109"/>
  <c r="I489" i="109"/>
  <c r="G611" i="109"/>
  <c r="I521" i="109"/>
  <c r="G175" i="109"/>
  <c r="I135" i="109"/>
  <c r="H72" i="109"/>
  <c r="I18" i="109"/>
  <c r="I21" i="109"/>
  <c r="I114" i="109"/>
  <c r="I581" i="109"/>
  <c r="I1010" i="109"/>
  <c r="I527" i="109"/>
  <c r="I430" i="109"/>
  <c r="G176" i="109"/>
  <c r="I137" i="109"/>
  <c r="H1054" i="109"/>
  <c r="G492" i="109"/>
  <c r="I866" i="109"/>
  <c r="I190" i="109"/>
  <c r="I1125" i="109"/>
  <c r="G184" i="109"/>
  <c r="I73" i="109"/>
  <c r="I941" i="109"/>
  <c r="I444" i="109"/>
  <c r="I29" i="109"/>
  <c r="I76" i="109"/>
  <c r="G864" i="109"/>
  <c r="I877" i="109"/>
  <c r="G895" i="109"/>
  <c r="I134" i="109"/>
  <c r="I256" i="109"/>
  <c r="I60" i="109"/>
  <c r="I1114" i="109"/>
  <c r="I619" i="109"/>
  <c r="G503" i="109"/>
  <c r="G417" i="109"/>
  <c r="I197" i="109"/>
  <c r="I132" i="109"/>
  <c r="I17" i="109"/>
  <c r="I40" i="109"/>
  <c r="I898" i="109"/>
  <c r="I121" i="109"/>
  <c r="H952" i="109"/>
  <c r="I924" i="109"/>
  <c r="I1149" i="109"/>
  <c r="I441" i="109"/>
  <c r="G1065" i="109"/>
  <c r="I1036" i="109"/>
  <c r="I1004" i="109"/>
  <c r="G598" i="109"/>
  <c r="I446" i="109"/>
  <c r="I180" i="109"/>
  <c r="I897" i="109"/>
  <c r="I33" i="109"/>
  <c r="G728" i="109"/>
  <c r="I276" i="109"/>
  <c r="I306" i="109"/>
  <c r="I25" i="109"/>
  <c r="H857" i="109"/>
  <c r="I439" i="109"/>
  <c r="I83" i="109"/>
  <c r="I112" i="109"/>
  <c r="I139" i="109"/>
  <c r="G727" i="109"/>
  <c r="I115" i="109"/>
  <c r="I493" i="109"/>
  <c r="H48" i="109"/>
  <c r="I1046" i="109"/>
  <c r="I610" i="109"/>
  <c r="I450" i="109"/>
  <c r="I380" i="109"/>
  <c r="G174" i="109"/>
  <c r="I39" i="103"/>
  <c r="K39" i="103" s="1"/>
  <c r="I947" i="109"/>
  <c r="I165" i="109"/>
  <c r="I538" i="109"/>
  <c r="I47" i="109"/>
  <c r="I141" i="109"/>
  <c r="G182" i="109"/>
  <c r="H50" i="109"/>
  <c r="I209" i="109"/>
  <c r="I233" i="109"/>
  <c r="I944" i="109"/>
  <c r="I298" i="109"/>
  <c r="I36" i="109"/>
  <c r="I602" i="109"/>
  <c r="I72" i="109"/>
  <c r="G603" i="109"/>
  <c r="H751" i="109"/>
  <c r="J751" i="109" s="1"/>
  <c r="I160" i="109"/>
  <c r="G155" i="109"/>
  <c r="I502" i="109"/>
  <c r="H30" i="109"/>
  <c r="I421" i="109"/>
  <c r="I627" i="109"/>
  <c r="I423" i="109"/>
  <c r="I161" i="109"/>
  <c r="G118" i="109"/>
  <c r="I1110" i="109"/>
  <c r="I400" i="109"/>
  <c r="H67" i="109"/>
  <c r="I729" i="109"/>
  <c r="I448" i="109"/>
  <c r="G1152" i="109"/>
  <c r="G535" i="109"/>
  <c r="H78" i="109"/>
  <c r="I355" i="109"/>
  <c r="I1123" i="109"/>
  <c r="H461" i="109"/>
  <c r="H80" i="109"/>
  <c r="I516" i="109"/>
  <c r="I431" i="109"/>
  <c r="I131" i="109"/>
  <c r="I449" i="109"/>
  <c r="I1008" i="109"/>
  <c r="G504" i="109"/>
  <c r="G1155" i="109"/>
  <c r="I873" i="109"/>
  <c r="H214" i="109"/>
  <c r="I373" i="109"/>
  <c r="H96" i="109"/>
  <c r="G536" i="109"/>
  <c r="I258" i="109"/>
  <c r="I216" i="109"/>
  <c r="I19" i="109"/>
  <c r="I422" i="109"/>
  <c r="I294" i="109"/>
  <c r="I912" i="109"/>
  <c r="I436" i="109"/>
  <c r="I231" i="109"/>
  <c r="I30" i="109"/>
  <c r="H60" i="109"/>
  <c r="I408" i="109"/>
  <c r="I887" i="109"/>
  <c r="I518" i="109"/>
  <c r="I27" i="109"/>
  <c r="I497" i="109"/>
  <c r="I488" i="109"/>
  <c r="G526" i="109"/>
  <c r="I111" i="109"/>
  <c r="G1115" i="109"/>
  <c r="I158" i="109"/>
  <c r="I1023" i="109"/>
  <c r="I26" i="109"/>
  <c r="H383" i="109"/>
  <c r="I939" i="109"/>
  <c r="I490" i="109"/>
  <c r="I127" i="109"/>
  <c r="J127" i="109" s="1"/>
  <c r="I187" i="109"/>
  <c r="I303" i="109"/>
  <c r="I169" i="109"/>
  <c r="I1006" i="109"/>
  <c r="H753" i="109"/>
  <c r="G753" i="109"/>
  <c r="J103" i="9" l="1"/>
  <c r="M299" i="86"/>
  <c r="M101" i="86"/>
  <c r="M29" i="86"/>
  <c r="K153" i="86"/>
  <c r="M153" i="86" s="1"/>
  <c r="H161" i="109"/>
  <c r="G159" i="109"/>
  <c r="G35" i="21"/>
  <c r="M17" i="86"/>
  <c r="J39" i="9"/>
  <c r="H24" i="9"/>
  <c r="J24" i="9" s="1"/>
  <c r="H15" i="9"/>
  <c r="J63" i="9"/>
  <c r="J68" i="9"/>
  <c r="M50" i="86"/>
  <c r="J269" i="86"/>
  <c r="H16" i="9"/>
  <c r="J16" i="9" s="1"/>
  <c r="J163" i="86"/>
  <c r="G30" i="9"/>
  <c r="J180" i="86"/>
  <c r="K180" i="86"/>
  <c r="M180" i="86" s="1"/>
  <c r="L14" i="86"/>
  <c r="M14" i="86" s="1"/>
  <c r="J14" i="86"/>
  <c r="J55" i="86"/>
  <c r="L55" i="86"/>
  <c r="M55" i="86" s="1"/>
  <c r="J27" i="86"/>
  <c r="L27" i="86"/>
  <c r="M27" i="86" s="1"/>
  <c r="J28" i="86"/>
  <c r="L28" i="86"/>
  <c r="M28" i="86" s="1"/>
  <c r="L100" i="86"/>
  <c r="M100" i="86" s="1"/>
  <c r="J100" i="86"/>
  <c r="L36" i="86"/>
  <c r="M36" i="86" s="1"/>
  <c r="J36" i="86"/>
  <c r="L30" i="86"/>
  <c r="M30" i="86" s="1"/>
  <c r="J30" i="86"/>
  <c r="J75" i="86"/>
  <c r="L75" i="86"/>
  <c r="M75" i="86" s="1"/>
  <c r="E55" i="21"/>
  <c r="J18" i="86"/>
  <c r="L18" i="86"/>
  <c r="M18" i="86" s="1"/>
  <c r="J19" i="86"/>
  <c r="L19" i="86"/>
  <c r="M19" i="86" s="1"/>
  <c r="L20" i="86"/>
  <c r="M20" i="86" s="1"/>
  <c r="J20" i="86"/>
  <c r="M98" i="86"/>
  <c r="G561" i="109"/>
  <c r="G666" i="109"/>
  <c r="G507" i="109"/>
  <c r="I507" i="109"/>
  <c r="J507" i="109" s="1"/>
  <c r="G704" i="109"/>
  <c r="I704" i="109"/>
  <c r="J704" i="109" s="1"/>
  <c r="G687" i="109"/>
  <c r="I687" i="109"/>
  <c r="J687" i="109" s="1"/>
  <c r="I736" i="109"/>
  <c r="J736" i="109" s="1"/>
  <c r="G736" i="109"/>
  <c r="I682" i="109"/>
  <c r="J682" i="109" s="1"/>
  <c r="G682" i="109"/>
  <c r="I26" i="126"/>
  <c r="J26" i="126" s="1"/>
  <c r="G26" i="126"/>
  <c r="G674" i="109"/>
  <c r="I674" i="109"/>
  <c r="J674" i="109" s="1"/>
  <c r="I716" i="109"/>
  <c r="J716" i="109" s="1"/>
  <c r="G716" i="109"/>
  <c r="I40" i="126"/>
  <c r="J40" i="126" s="1"/>
  <c r="G40" i="126"/>
  <c r="G734" i="109"/>
  <c r="I734" i="109"/>
  <c r="J734" i="109" s="1"/>
  <c r="I730" i="109"/>
  <c r="J730" i="109" s="1"/>
  <c r="G730" i="109"/>
  <c r="I532" i="109"/>
  <c r="J532" i="109" s="1"/>
  <c r="G532" i="109"/>
  <c r="G702" i="109"/>
  <c r="I702" i="109"/>
  <c r="J702" i="109" s="1"/>
  <c r="I694" i="109"/>
  <c r="J694" i="109" s="1"/>
  <c r="G694" i="109"/>
  <c r="I675" i="109"/>
  <c r="J675" i="109" s="1"/>
  <c r="G675" i="109"/>
  <c r="I654" i="109"/>
  <c r="G654" i="109"/>
  <c r="I676" i="109"/>
  <c r="J676" i="109" s="1"/>
  <c r="G676" i="109"/>
  <c r="G1058" i="109"/>
  <c r="H1058" i="109"/>
  <c r="J1058" i="109" s="1"/>
  <c r="I721" i="109"/>
  <c r="J721" i="109" s="1"/>
  <c r="G721" i="109"/>
  <c r="I14" i="126"/>
  <c r="J14" i="126" s="1"/>
  <c r="G14" i="126"/>
  <c r="I746" i="109"/>
  <c r="J746" i="109" s="1"/>
  <c r="G746" i="109"/>
  <c r="I707" i="109"/>
  <c r="J707" i="109" s="1"/>
  <c r="G707" i="109"/>
  <c r="I531" i="109"/>
  <c r="J531" i="109" s="1"/>
  <c r="G531" i="109"/>
  <c r="I23" i="126"/>
  <c r="J23" i="126" s="1"/>
  <c r="G23" i="126"/>
  <c r="I25" i="126"/>
  <c r="J25" i="126" s="1"/>
  <c r="G25" i="126"/>
  <c r="I691" i="109"/>
  <c r="J691" i="109" s="1"/>
  <c r="G691" i="109"/>
  <c r="I670" i="109"/>
  <c r="G670" i="109"/>
  <c r="I733" i="109"/>
  <c r="J733" i="109" s="1"/>
  <c r="G733" i="109"/>
  <c r="I593" i="109"/>
  <c r="G593" i="109"/>
  <c r="I36" i="126"/>
  <c r="J36" i="126" s="1"/>
  <c r="G36" i="126"/>
  <c r="I38" i="126"/>
  <c r="J38" i="126" s="1"/>
  <c r="G38" i="126"/>
  <c r="I735" i="109"/>
  <c r="J735" i="109" s="1"/>
  <c r="G735" i="109"/>
  <c r="I15" i="126"/>
  <c r="J15" i="126" s="1"/>
  <c r="G15" i="126"/>
  <c r="I899" i="109"/>
  <c r="G899" i="109"/>
  <c r="I719" i="109"/>
  <c r="J719" i="109" s="1"/>
  <c r="G719" i="109"/>
  <c r="I705" i="109"/>
  <c r="J705" i="109" s="1"/>
  <c r="G705" i="109"/>
  <c r="I31" i="126"/>
  <c r="G31" i="126"/>
  <c r="I671" i="109"/>
  <c r="G671" i="109"/>
  <c r="G919" i="109"/>
  <c r="I919" i="109"/>
  <c r="J919" i="109" s="1"/>
  <c r="I683" i="109"/>
  <c r="J683" i="109" s="1"/>
  <c r="G683" i="109"/>
  <c r="I530" i="109"/>
  <c r="J530" i="109" s="1"/>
  <c r="G530" i="109"/>
  <c r="I697" i="109"/>
  <c r="J697" i="109" s="1"/>
  <c r="G697" i="109"/>
  <c r="I747" i="109"/>
  <c r="J747" i="109" s="1"/>
  <c r="G747" i="109"/>
  <c r="G724" i="109"/>
  <c r="I724" i="109"/>
  <c r="J724" i="109" s="1"/>
  <c r="I690" i="109"/>
  <c r="J690" i="109" s="1"/>
  <c r="G690" i="109"/>
  <c r="G914" i="109"/>
  <c r="I914" i="109"/>
  <c r="J914" i="109" s="1"/>
  <c r="I32" i="126"/>
  <c r="J32" i="126" s="1"/>
  <c r="G32" i="126"/>
  <c r="I739" i="109"/>
  <c r="J739" i="109" s="1"/>
  <c r="G739" i="109"/>
  <c r="I699" i="109"/>
  <c r="J699" i="109" s="1"/>
  <c r="G699" i="109"/>
  <c r="I744" i="109"/>
  <c r="J744" i="109" s="1"/>
  <c r="G744" i="109"/>
  <c r="G731" i="109"/>
  <c r="I731" i="109"/>
  <c r="J731" i="109" s="1"/>
  <c r="I918" i="109"/>
  <c r="J918" i="109" s="1"/>
  <c r="G918" i="109"/>
  <c r="I48" i="126"/>
  <c r="J48" i="126" s="1"/>
  <c r="G48" i="126"/>
  <c r="I681" i="109"/>
  <c r="J681" i="109" s="1"/>
  <c r="G681" i="109"/>
  <c r="I529" i="109"/>
  <c r="J529" i="109" s="1"/>
  <c r="G529" i="109"/>
  <c r="I700" i="109"/>
  <c r="J700" i="109" s="1"/>
  <c r="G700" i="109"/>
  <c r="I720" i="109"/>
  <c r="J720" i="109" s="1"/>
  <c r="G720" i="109"/>
  <c r="I668" i="109"/>
  <c r="G668" i="109"/>
  <c r="I711" i="109"/>
  <c r="J711" i="109" s="1"/>
  <c r="G711" i="109"/>
  <c r="G913" i="109"/>
  <c r="I913" i="109"/>
  <c r="J913" i="109" s="1"/>
  <c r="G46" i="126"/>
  <c r="I46" i="126"/>
  <c r="J46" i="126" s="1"/>
  <c r="I723" i="109"/>
  <c r="J723" i="109" s="1"/>
  <c r="G723" i="109"/>
  <c r="I16" i="126"/>
  <c r="J16" i="126" s="1"/>
  <c r="G16" i="126"/>
  <c r="I43" i="126"/>
  <c r="J43" i="126" s="1"/>
  <c r="G43" i="126"/>
  <c r="I37" i="126"/>
  <c r="J37" i="126" s="1"/>
  <c r="G37" i="126"/>
  <c r="I696" i="109"/>
  <c r="J696" i="109" s="1"/>
  <c r="G696" i="109"/>
  <c r="I692" i="109"/>
  <c r="J692" i="109" s="1"/>
  <c r="G692" i="109"/>
  <c r="I678" i="109"/>
  <c r="J678" i="109" s="1"/>
  <c r="G678" i="109"/>
  <c r="G916" i="109"/>
  <c r="I916" i="109"/>
  <c r="J916" i="109" s="1"/>
  <c r="G45" i="126"/>
  <c r="I45" i="126"/>
  <c r="J45" i="126" s="1"/>
  <c r="I732" i="109"/>
  <c r="J732" i="109" s="1"/>
  <c r="G732" i="109"/>
  <c r="I745" i="109"/>
  <c r="J745" i="109" s="1"/>
  <c r="G745" i="109"/>
  <c r="I24" i="126"/>
  <c r="J24" i="126" s="1"/>
  <c r="G24" i="126"/>
  <c r="G713" i="109"/>
  <c r="I713" i="109"/>
  <c r="J713" i="109" s="1"/>
  <c r="I677" i="109"/>
  <c r="J677" i="109" s="1"/>
  <c r="G677" i="109"/>
  <c r="I920" i="109"/>
  <c r="J920" i="109" s="1"/>
  <c r="G920" i="109"/>
  <c r="I49" i="126"/>
  <c r="J49" i="126" s="1"/>
  <c r="G49" i="126"/>
  <c r="G533" i="109"/>
  <c r="I533" i="109"/>
  <c r="J533" i="109" s="1"/>
  <c r="I12" i="126"/>
  <c r="J12" i="126" s="1"/>
  <c r="G12" i="126"/>
  <c r="I669" i="109"/>
  <c r="G669" i="109"/>
  <c r="I714" i="109"/>
  <c r="J714" i="109" s="1"/>
  <c r="G714" i="109"/>
  <c r="I709" i="109"/>
  <c r="J709" i="109" s="1"/>
  <c r="G709" i="109"/>
  <c r="I680" i="109"/>
  <c r="J680" i="109" s="1"/>
  <c r="G680" i="109"/>
  <c r="I33" i="126"/>
  <c r="J33" i="126" s="1"/>
  <c r="G33" i="126"/>
  <c r="I13" i="126"/>
  <c r="J13" i="126" s="1"/>
  <c r="G13" i="126"/>
  <c r="I686" i="109"/>
  <c r="J686" i="109" s="1"/>
  <c r="G686" i="109"/>
  <c r="I712" i="109"/>
  <c r="J712" i="109" s="1"/>
  <c r="G712" i="109"/>
  <c r="I708" i="109"/>
  <c r="J708" i="109" s="1"/>
  <c r="G708" i="109"/>
  <c r="I917" i="109"/>
  <c r="J917" i="109" s="1"/>
  <c r="G917" i="109"/>
  <c r="I47" i="126"/>
  <c r="J47" i="126" s="1"/>
  <c r="G47" i="126"/>
  <c r="I592" i="109"/>
  <c r="G592" i="109"/>
  <c r="I742" i="109"/>
  <c r="J742" i="109" s="1"/>
  <c r="G742" i="109"/>
  <c r="I695" i="109"/>
  <c r="J695" i="109" s="1"/>
  <c r="G695" i="109"/>
  <c r="G685" i="109"/>
  <c r="I685" i="109"/>
  <c r="J685" i="109" s="1"/>
  <c r="I27" i="126"/>
  <c r="J27" i="126" s="1"/>
  <c r="G27" i="126"/>
  <c r="I18" i="126"/>
  <c r="J18" i="126" s="1"/>
  <c r="G18" i="126"/>
  <c r="G1057" i="109"/>
  <c r="H1057" i="109"/>
  <c r="J1057" i="109" s="1"/>
  <c r="I50" i="126"/>
  <c r="J50" i="126" s="1"/>
  <c r="G50" i="126"/>
  <c r="I34" i="126"/>
  <c r="J34" i="126" s="1"/>
  <c r="G34" i="126"/>
  <c r="I738" i="109"/>
  <c r="J738" i="109" s="1"/>
  <c r="G738" i="109"/>
  <c r="I715" i="109"/>
  <c r="J715" i="109" s="1"/>
  <c r="G715" i="109"/>
  <c r="I679" i="109"/>
  <c r="J679" i="109" s="1"/>
  <c r="G679" i="109"/>
  <c r="I30" i="126"/>
  <c r="G30" i="126"/>
  <c r="G1056" i="109"/>
  <c r="H1056" i="109"/>
  <c r="J1056" i="109" s="1"/>
  <c r="H464" i="109"/>
  <c r="G464" i="109"/>
  <c r="I741" i="109"/>
  <c r="J741" i="109" s="1"/>
  <c r="G741" i="109"/>
  <c r="I19" i="126"/>
  <c r="J19" i="126" s="1"/>
  <c r="G19" i="126"/>
  <c r="G693" i="109"/>
  <c r="I693" i="109"/>
  <c r="J693" i="109" s="1"/>
  <c r="I710" i="109"/>
  <c r="J710" i="109" s="1"/>
  <c r="G710" i="109"/>
  <c r="I42" i="126"/>
  <c r="J42" i="126" s="1"/>
  <c r="G42" i="126"/>
  <c r="I579" i="109"/>
  <c r="G579" i="109"/>
  <c r="I749" i="109"/>
  <c r="J749" i="109" s="1"/>
  <c r="G749" i="109"/>
  <c r="I703" i="109"/>
  <c r="J703" i="109" s="1"/>
  <c r="G703" i="109"/>
  <c r="I737" i="109"/>
  <c r="J737" i="109" s="1"/>
  <c r="G737" i="109"/>
  <c r="I17" i="126"/>
  <c r="J17" i="126" s="1"/>
  <c r="G17" i="126"/>
  <c r="I665" i="109"/>
  <c r="G665" i="109"/>
  <c r="I594" i="109"/>
  <c r="G594" i="109"/>
  <c r="I717" i="109"/>
  <c r="J717" i="109" s="1"/>
  <c r="G717" i="109"/>
  <c r="I21" i="126"/>
  <c r="J21" i="126" s="1"/>
  <c r="G21" i="126"/>
  <c r="I528" i="109"/>
  <c r="J528" i="109" s="1"/>
  <c r="G528" i="109"/>
  <c r="I22" i="126"/>
  <c r="J22" i="126" s="1"/>
  <c r="G22" i="126"/>
  <c r="I722" i="109"/>
  <c r="J722" i="109" s="1"/>
  <c r="G722" i="109"/>
  <c r="I684" i="109"/>
  <c r="J684" i="109" s="1"/>
  <c r="G684" i="109"/>
  <c r="I28" i="126"/>
  <c r="J28" i="126" s="1"/>
  <c r="G28" i="126"/>
  <c r="I20" i="126"/>
  <c r="J20" i="126" s="1"/>
  <c r="G20" i="126"/>
  <c r="G1055" i="109"/>
  <c r="H1055" i="109"/>
  <c r="J1055" i="109" s="1"/>
  <c r="I35" i="126"/>
  <c r="J35" i="126" s="1"/>
  <c r="G35" i="126"/>
  <c r="I688" i="109"/>
  <c r="J688" i="109" s="1"/>
  <c r="G688" i="109"/>
  <c r="I39" i="126"/>
  <c r="J39" i="126" s="1"/>
  <c r="G39" i="126"/>
  <c r="I41" i="126"/>
  <c r="J41" i="126" s="1"/>
  <c r="G41" i="126"/>
  <c r="I701" i="109"/>
  <c r="J701" i="109" s="1"/>
  <c r="G701" i="109"/>
  <c r="I706" i="109"/>
  <c r="J706" i="109" s="1"/>
  <c r="G706" i="109"/>
  <c r="I718" i="109"/>
  <c r="J718" i="109" s="1"/>
  <c r="G718" i="109"/>
  <c r="I740" i="109"/>
  <c r="J740" i="109" s="1"/>
  <c r="G740" i="109"/>
  <c r="I748" i="109"/>
  <c r="J748" i="109" s="1"/>
  <c r="G748" i="109"/>
  <c r="I698" i="109"/>
  <c r="J698" i="109" s="1"/>
  <c r="G698" i="109"/>
  <c r="M276" i="86"/>
  <c r="L225" i="103"/>
  <c r="H984" i="109"/>
  <c r="G984" i="109"/>
  <c r="H996" i="109"/>
  <c r="G996" i="109"/>
  <c r="H963" i="109"/>
  <c r="G963" i="109"/>
  <c r="H977" i="109"/>
  <c r="G977" i="109"/>
  <c r="H967" i="109"/>
  <c r="G967" i="109"/>
  <c r="H1000" i="109"/>
  <c r="G1000" i="109"/>
  <c r="H992" i="109"/>
  <c r="G992" i="109"/>
  <c r="G568" i="109"/>
  <c r="H561" i="109"/>
  <c r="J561" i="109" s="1"/>
  <c r="J666" i="109"/>
  <c r="H559" i="109"/>
  <c r="G559" i="109"/>
  <c r="G560" i="109"/>
  <c r="H560" i="109"/>
  <c r="H558" i="109"/>
  <c r="G558" i="109"/>
  <c r="G574" i="109"/>
  <c r="I124" i="109"/>
  <c r="J792" i="109"/>
  <c r="J781" i="109"/>
  <c r="I850" i="109"/>
  <c r="J850" i="109" s="1"/>
  <c r="J1086" i="109"/>
  <c r="I849" i="109"/>
  <c r="J755" i="109"/>
  <c r="J782" i="109"/>
  <c r="J756" i="109"/>
  <c r="J800" i="109"/>
  <c r="J784" i="109"/>
  <c r="I125" i="109"/>
  <c r="K168" i="103"/>
  <c r="L268" i="103"/>
  <c r="B43" i="103"/>
  <c r="K139" i="103"/>
  <c r="L18" i="108"/>
  <c r="M266" i="86"/>
  <c r="M274" i="86"/>
  <c r="M31" i="86"/>
  <c r="M179" i="86"/>
  <c r="A43" i="9"/>
  <c r="H112" i="9"/>
  <c r="J112" i="9" s="1"/>
  <c r="G79" i="9"/>
  <c r="I79" i="9"/>
  <c r="J38" i="9"/>
  <c r="J32" i="9"/>
  <c r="K43" i="9"/>
  <c r="H79" i="9"/>
  <c r="J134" i="86"/>
  <c r="M176" i="86"/>
  <c r="M270" i="86"/>
  <c r="M272" i="86"/>
  <c r="K163" i="86"/>
  <c r="M163" i="86" s="1"/>
  <c r="M118" i="86"/>
  <c r="H105" i="9"/>
  <c r="J105" i="9" s="1"/>
  <c r="K181" i="86"/>
  <c r="M181" i="86" s="1"/>
  <c r="J60" i="108"/>
  <c r="K131" i="108"/>
  <c r="L131" i="108" s="1"/>
  <c r="K255" i="86"/>
  <c r="M255" i="86" s="1"/>
  <c r="M300" i="86"/>
  <c r="K263" i="86"/>
  <c r="I111" i="108"/>
  <c r="K156" i="108"/>
  <c r="L156" i="108" s="1"/>
  <c r="J135" i="86"/>
  <c r="M279" i="86"/>
  <c r="B49" i="103"/>
  <c r="B50" i="103" s="1"/>
  <c r="L78" i="86"/>
  <c r="M78" i="86" s="1"/>
  <c r="J272" i="86"/>
  <c r="M281" i="86"/>
  <c r="J200" i="86"/>
  <c r="K105" i="86"/>
  <c r="M105" i="86" s="1"/>
  <c r="K154" i="108"/>
  <c r="L154" i="108" s="1"/>
  <c r="L25" i="86"/>
  <c r="M25" i="86" s="1"/>
  <c r="J43" i="86"/>
  <c r="J276" i="86"/>
  <c r="J31" i="86"/>
  <c r="K152" i="86"/>
  <c r="M152" i="86" s="1"/>
  <c r="J56" i="86"/>
  <c r="J155" i="86"/>
  <c r="J82" i="86"/>
  <c r="K206" i="86"/>
  <c r="M206" i="86" s="1"/>
  <c r="K85" i="86"/>
  <c r="M85" i="86" s="1"/>
  <c r="J79" i="86"/>
  <c r="J33" i="86"/>
  <c r="J29" i="86"/>
  <c r="L106" i="108"/>
  <c r="I106" i="108"/>
  <c r="J32" i="108"/>
  <c r="L35" i="86"/>
  <c r="M35" i="86" s="1"/>
  <c r="K103" i="86"/>
  <c r="K59" i="86"/>
  <c r="M195" i="86"/>
  <c r="M52" i="86"/>
  <c r="L89" i="86"/>
  <c r="M89" i="86" s="1"/>
  <c r="M267" i="86"/>
  <c r="J204" i="86"/>
  <c r="G410" i="109"/>
  <c r="J176" i="86"/>
  <c r="L26" i="86"/>
  <c r="M26" i="86" s="1"/>
  <c r="J279" i="86"/>
  <c r="J50" i="86"/>
  <c r="I55" i="9"/>
  <c r="G115" i="9"/>
  <c r="H115" i="9"/>
  <c r="J115" i="9" s="1"/>
  <c r="I96" i="9"/>
  <c r="G62" i="9"/>
  <c r="H62" i="9"/>
  <c r="J62" i="9" s="1"/>
  <c r="G63" i="9"/>
  <c r="L104" i="108"/>
  <c r="M74" i="86"/>
  <c r="M268" i="86"/>
  <c r="J267" i="86"/>
  <c r="J175" i="86"/>
  <c r="M275" i="86"/>
  <c r="M154" i="86"/>
  <c r="L110" i="108"/>
  <c r="I110" i="108"/>
  <c r="L290" i="86"/>
  <c r="M290" i="86" s="1"/>
  <c r="J52" i="86"/>
  <c r="M46" i="86"/>
  <c r="M131" i="86"/>
  <c r="L269" i="86"/>
  <c r="M269" i="86" s="1"/>
  <c r="L15" i="86"/>
  <c r="M15" i="86" s="1"/>
  <c r="J281" i="86"/>
  <c r="L54" i="86"/>
  <c r="K200" i="86"/>
  <c r="M200" i="86" s="1"/>
  <c r="J268" i="86"/>
  <c r="I113" i="108"/>
  <c r="J111" i="108"/>
  <c r="L111" i="108" s="1"/>
  <c r="J131" i="86"/>
  <c r="J17" i="86"/>
  <c r="L49" i="86"/>
  <c r="M49" i="86" s="1"/>
  <c r="M192" i="86"/>
  <c r="J99" i="86"/>
  <c r="M203" i="86"/>
  <c r="J195" i="86"/>
  <c r="J106" i="86"/>
  <c r="L37" i="86"/>
  <c r="M37" i="86" s="1"/>
  <c r="J274" i="86"/>
  <c r="I155" i="108"/>
  <c r="K153" i="108"/>
  <c r="L153" i="108" s="1"/>
  <c r="M213" i="86"/>
  <c r="J118" i="86"/>
  <c r="K43" i="86"/>
  <c r="M43" i="86" s="1"/>
  <c r="J192" i="86"/>
  <c r="J266" i="86"/>
  <c r="J203" i="86"/>
  <c r="J273" i="86"/>
  <c r="I104" i="108"/>
  <c r="L23" i="86"/>
  <c r="M23" i="86" s="1"/>
  <c r="J275" i="86"/>
  <c r="J160" i="86"/>
  <c r="J191" i="86"/>
  <c r="M160" i="86"/>
  <c r="M191" i="86"/>
  <c r="M208" i="86"/>
  <c r="I135" i="108"/>
  <c r="J62" i="86"/>
  <c r="L302" i="86"/>
  <c r="M302" i="86" s="1"/>
  <c r="K140" i="86"/>
  <c r="M140" i="86" s="1"/>
  <c r="J80" i="86"/>
  <c r="J205" i="86"/>
  <c r="L13" i="86"/>
  <c r="J130" i="86"/>
  <c r="J84" i="86"/>
  <c r="L135" i="108"/>
  <c r="J213" i="86"/>
  <c r="J154" i="86"/>
  <c r="J179" i="86"/>
  <c r="J46" i="86"/>
  <c r="M273" i="86"/>
  <c r="J300" i="86"/>
  <c r="L301" i="86"/>
  <c r="M301" i="86" s="1"/>
  <c r="J270" i="86"/>
  <c r="H107" i="9"/>
  <c r="J107" i="9" s="1"/>
  <c r="G129" i="9"/>
  <c r="G108" i="9"/>
  <c r="H55" i="9"/>
  <c r="I84" i="9"/>
  <c r="J61" i="9"/>
  <c r="H84" i="9"/>
  <c r="H25" i="9"/>
  <c r="J25" i="9" s="1"/>
  <c r="G25" i="9"/>
  <c r="G27" i="9"/>
  <c r="H27" i="9"/>
  <c r="I27" i="9"/>
  <c r="H23" i="9"/>
  <c r="G23" i="9"/>
  <c r="I23" i="9"/>
  <c r="G26" i="9"/>
  <c r="H26" i="9"/>
  <c r="J26" i="9" s="1"/>
  <c r="I71" i="9"/>
  <c r="H71" i="9"/>
  <c r="G71" i="9"/>
  <c r="H87" i="9"/>
  <c r="G87" i="9"/>
  <c r="I87" i="9"/>
  <c r="G76" i="9"/>
  <c r="I81" i="9"/>
  <c r="H76" i="9"/>
  <c r="J76" i="9" s="1"/>
  <c r="H29" i="9"/>
  <c r="J29" i="9" s="1"/>
  <c r="G29" i="9"/>
  <c r="G406" i="109"/>
  <c r="I406" i="109"/>
  <c r="I109" i="109"/>
  <c r="G1036" i="109"/>
  <c r="I384" i="109"/>
  <c r="J384" i="109" s="1"/>
  <c r="J830" i="109"/>
  <c r="G554" i="109"/>
  <c r="L137" i="103"/>
  <c r="B20" i="103"/>
  <c r="B15" i="103"/>
  <c r="B56" i="103"/>
  <c r="B57" i="103" s="1"/>
  <c r="B55" i="103"/>
  <c r="B68" i="103"/>
  <c r="B61" i="103"/>
  <c r="B63" i="103" s="1"/>
  <c r="J142" i="86"/>
  <c r="K162" i="86"/>
  <c r="J801" i="109"/>
  <c r="G582" i="109"/>
  <c r="G544" i="109"/>
  <c r="G571" i="109"/>
  <c r="J811" i="109"/>
  <c r="J848" i="109"/>
  <c r="G850" i="109"/>
  <c r="J1099" i="109"/>
  <c r="J828" i="109"/>
  <c r="J1098" i="109"/>
  <c r="H931" i="109"/>
  <c r="J931" i="109" s="1"/>
  <c r="I948" i="109"/>
  <c r="J134" i="108"/>
  <c r="L134" i="108" s="1"/>
  <c r="I404" i="109"/>
  <c r="L76" i="86"/>
  <c r="I412" i="109"/>
  <c r="K187" i="86"/>
  <c r="M187" i="86" s="1"/>
  <c r="I1029" i="109"/>
  <c r="J1029" i="109" s="1"/>
  <c r="G41" i="21"/>
  <c r="J753" i="109"/>
  <c r="J128" i="108"/>
  <c r="L128" i="108" s="1"/>
  <c r="H939" i="109"/>
  <c r="J939" i="109" s="1"/>
  <c r="J567" i="109"/>
  <c r="J519" i="109"/>
  <c r="J374" i="109"/>
  <c r="K170" i="86"/>
  <c r="M170" i="86" s="1"/>
  <c r="J628" i="109"/>
  <c r="J542" i="109"/>
  <c r="J493" i="109"/>
  <c r="J373" i="109"/>
  <c r="J461" i="109"/>
  <c r="J141" i="109"/>
  <c r="J1125" i="109"/>
  <c r="J497" i="109"/>
  <c r="J1123" i="109"/>
  <c r="J139" i="109"/>
  <c r="J877" i="109"/>
  <c r="J163" i="109"/>
  <c r="J615" i="109"/>
  <c r="J886" i="109"/>
  <c r="J609" i="109"/>
  <c r="J577" i="109"/>
  <c r="J153" i="109"/>
  <c r="J523" i="109"/>
  <c r="J152" i="109"/>
  <c r="J588" i="109"/>
  <c r="J1122" i="109"/>
  <c r="J612" i="109"/>
  <c r="J106" i="109"/>
  <c r="J617" i="109"/>
  <c r="J518" i="109"/>
  <c r="J1149" i="109"/>
  <c r="J873" i="109"/>
  <c r="J602" i="109"/>
  <c r="J729" i="109"/>
  <c r="J1111" i="109"/>
  <c r="J505" i="109"/>
  <c r="J759" i="109"/>
  <c r="J915" i="109"/>
  <c r="J462" i="109"/>
  <c r="J142" i="109"/>
  <c r="J764" i="109"/>
  <c r="J465" i="109"/>
  <c r="J912" i="109"/>
  <c r="J627" i="109"/>
  <c r="J143" i="109"/>
  <c r="G1014" i="109"/>
  <c r="J516" i="109"/>
  <c r="J527" i="109"/>
  <c r="J521" i="109"/>
  <c r="G856" i="109"/>
  <c r="J197" i="109"/>
  <c r="J897" i="109"/>
  <c r="J610" i="109"/>
  <c r="J500" i="109"/>
  <c r="J502" i="109"/>
  <c r="J180" i="109"/>
  <c r="J619" i="109"/>
  <c r="J581" i="109"/>
  <c r="J1110" i="109"/>
  <c r="J274" i="109"/>
  <c r="J1027" i="109"/>
  <c r="J538" i="109"/>
  <c r="J1054" i="109"/>
  <c r="J898" i="109"/>
  <c r="J634" i="109"/>
  <c r="J380" i="109"/>
  <c r="J763" i="109"/>
  <c r="J896" i="109"/>
  <c r="J193" i="109"/>
  <c r="J179" i="109"/>
  <c r="J585" i="109"/>
  <c r="J1114" i="109"/>
  <c r="J902" i="109"/>
  <c r="J463" i="109"/>
  <c r="J177" i="109"/>
  <c r="J870" i="109"/>
  <c r="J855" i="109"/>
  <c r="J185" i="109"/>
  <c r="J514" i="109"/>
  <c r="J894" i="109"/>
  <c r="J23" i="108"/>
  <c r="L23" i="108" s="1"/>
  <c r="J887" i="109"/>
  <c r="H656" i="109"/>
  <c r="J656" i="109" s="1"/>
  <c r="G564" i="109"/>
  <c r="G570" i="109"/>
  <c r="J578" i="109"/>
  <c r="G569" i="109"/>
  <c r="G660" i="109"/>
  <c r="J553" i="109"/>
  <c r="G849" i="109"/>
  <c r="J165" i="109"/>
  <c r="H657" i="109"/>
  <c r="G55" i="9"/>
  <c r="G61" i="9"/>
  <c r="H1046" i="109"/>
  <c r="J1046" i="109" s="1"/>
  <c r="K72" i="108"/>
  <c r="G1023" i="109"/>
  <c r="I78" i="108"/>
  <c r="J53" i="108"/>
  <c r="L53" i="108" s="1"/>
  <c r="I90" i="108"/>
  <c r="I66" i="108"/>
  <c r="J234" i="86"/>
  <c r="J223" i="86"/>
  <c r="J245" i="86"/>
  <c r="K76" i="86"/>
  <c r="G57" i="9"/>
  <c r="J57" i="9"/>
  <c r="H1025" i="109"/>
  <c r="J1025" i="109" s="1"/>
  <c r="J70" i="108"/>
  <c r="K257" i="86"/>
  <c r="I17" i="108"/>
  <c r="J28" i="108"/>
  <c r="L28" i="108" s="1"/>
  <c r="H31" i="9"/>
  <c r="J31" i="9" s="1"/>
  <c r="K240" i="86"/>
  <c r="J72" i="108"/>
  <c r="J84" i="108"/>
  <c r="L113" i="108"/>
  <c r="G274" i="109"/>
  <c r="G465" i="109"/>
  <c r="G583" i="109"/>
  <c r="G74" i="109"/>
  <c r="I600" i="109"/>
  <c r="G460" i="109"/>
  <c r="I883" i="109"/>
  <c r="I171" i="109"/>
  <c r="G152" i="109"/>
  <c r="G617" i="109"/>
  <c r="J82" i="109"/>
  <c r="K80" i="86"/>
  <c r="M80" i="86" s="1"/>
  <c r="G523" i="109"/>
  <c r="I97" i="108"/>
  <c r="I599" i="109"/>
  <c r="G759" i="109"/>
  <c r="G1111" i="109"/>
  <c r="I58" i="109"/>
  <c r="K134" i="86"/>
  <c r="M134" i="86" s="1"/>
  <c r="G52" i="109"/>
  <c r="I150" i="109"/>
  <c r="G177" i="109"/>
  <c r="I498" i="109"/>
  <c r="G1122" i="109"/>
  <c r="I394" i="109"/>
  <c r="K155" i="86"/>
  <c r="M155" i="86" s="1"/>
  <c r="I1113" i="109"/>
  <c r="I184" i="109"/>
  <c r="J208" i="86"/>
  <c r="G505" i="109"/>
  <c r="J104" i="86"/>
  <c r="J196" i="86"/>
  <c r="J36" i="108"/>
  <c r="L36" i="108" s="1"/>
  <c r="J68" i="109"/>
  <c r="G764" i="109"/>
  <c r="J78" i="109"/>
  <c r="I905" i="109"/>
  <c r="K1067" i="109"/>
  <c r="J583" i="109"/>
  <c r="G588" i="109"/>
  <c r="G567" i="109"/>
  <c r="G838" i="109"/>
  <c r="H838" i="109"/>
  <c r="J847" i="109"/>
  <c r="H842" i="109"/>
  <c r="G842" i="109"/>
  <c r="J575" i="109"/>
  <c r="G573" i="109"/>
  <c r="G845" i="109"/>
  <c r="H845" i="109"/>
  <c r="H74" i="103"/>
  <c r="H294" i="109"/>
  <c r="J294" i="109" s="1"/>
  <c r="J57" i="108"/>
  <c r="J82" i="108"/>
  <c r="K217" i="86"/>
  <c r="M217" i="86" s="1"/>
  <c r="K182" i="86"/>
  <c r="M182" i="86" s="1"/>
  <c r="I46" i="108"/>
  <c r="J66" i="86"/>
  <c r="K262" i="86"/>
  <c r="M262" i="86" s="1"/>
  <c r="I105" i="108"/>
  <c r="G20" i="9"/>
  <c r="H20" i="9"/>
  <c r="J20" i="9" s="1"/>
  <c r="G24" i="9"/>
  <c r="J171" i="86"/>
  <c r="J74" i="86"/>
  <c r="J123" i="108"/>
  <c r="L123" i="108" s="1"/>
  <c r="I123" i="108"/>
  <c r="I18" i="108"/>
  <c r="G298" i="109"/>
  <c r="G877" i="109"/>
  <c r="I623" i="109"/>
  <c r="I515" i="109"/>
  <c r="G15" i="9"/>
  <c r="G19" i="9"/>
  <c r="H19" i="9"/>
  <c r="J19" i="9" s="1"/>
  <c r="M175" i="86"/>
  <c r="G73" i="109"/>
  <c r="I571" i="109"/>
  <c r="I659" i="109"/>
  <c r="H296" i="109"/>
  <c r="J296" i="109" s="1"/>
  <c r="K287" i="86"/>
  <c r="M287" i="86" s="1"/>
  <c r="J287" i="86"/>
  <c r="G489" i="109"/>
  <c r="I97" i="103"/>
  <c r="K97" i="103" s="1"/>
  <c r="M33" i="86"/>
  <c r="J69" i="109"/>
  <c r="K121" i="86"/>
  <c r="M121" i="86" s="1"/>
  <c r="J121" i="86"/>
  <c r="J221" i="109"/>
  <c r="K156" i="86"/>
  <c r="M156" i="86" s="1"/>
  <c r="J156" i="86"/>
  <c r="H276" i="109"/>
  <c r="J276" i="109" s="1"/>
  <c r="G187" i="109"/>
  <c r="M99" i="86"/>
  <c r="I525" i="109"/>
  <c r="G1027" i="109"/>
  <c r="G221" i="109"/>
  <c r="I892" i="109"/>
  <c r="J96" i="109"/>
  <c r="I570" i="109"/>
  <c r="J70" i="109"/>
  <c r="I1112" i="109"/>
  <c r="G185" i="109"/>
  <c r="I388" i="109"/>
  <c r="G69" i="109"/>
  <c r="I564" i="109"/>
  <c r="H378" i="109"/>
  <c r="J378" i="109" s="1"/>
  <c r="H376" i="109"/>
  <c r="J376" i="109" s="1"/>
  <c r="I1065" i="109"/>
  <c r="G1125" i="109"/>
  <c r="G165" i="109"/>
  <c r="I881" i="109"/>
  <c r="G106" i="109"/>
  <c r="H357" i="109"/>
  <c r="J357" i="109" s="1"/>
  <c r="I147" i="109"/>
  <c r="I554" i="109"/>
  <c r="I182" i="109"/>
  <c r="J72" i="109"/>
  <c r="G143" i="109"/>
  <c r="I186" i="109"/>
  <c r="I181" i="109"/>
  <c r="H246" i="109"/>
  <c r="J246" i="109" s="1"/>
  <c r="J48" i="109"/>
  <c r="I383" i="109"/>
  <c r="G612" i="109"/>
  <c r="I56" i="109"/>
  <c r="G161" i="109"/>
  <c r="G1021" i="109"/>
  <c r="J268" i="109"/>
  <c r="G1149" i="109"/>
  <c r="I895" i="109"/>
  <c r="I1106" i="109"/>
  <c r="J47" i="109"/>
  <c r="G855" i="109"/>
  <c r="H1021" i="109"/>
  <c r="J1021" i="109" s="1"/>
  <c r="I175" i="109"/>
  <c r="I569" i="109"/>
  <c r="G870" i="109"/>
  <c r="I622" i="109"/>
  <c r="G500" i="109"/>
  <c r="G1066" i="109"/>
  <c r="I620" i="109"/>
  <c r="G82" i="109"/>
  <c r="G193" i="109"/>
  <c r="G78" i="109"/>
  <c r="I573" i="109"/>
  <c r="G380" i="109"/>
  <c r="G519" i="109"/>
  <c r="I174" i="109"/>
  <c r="J80" i="109"/>
  <c r="G461" i="109"/>
  <c r="G915" i="109"/>
  <c r="I172" i="109"/>
  <c r="G619" i="109"/>
  <c r="G514" i="109"/>
  <c r="G578" i="109"/>
  <c r="I535" i="109"/>
  <c r="I611" i="109"/>
  <c r="G585" i="109"/>
  <c r="H363" i="109"/>
  <c r="G634" i="109"/>
  <c r="I630" i="109"/>
  <c r="I728" i="109"/>
  <c r="G68" i="109"/>
  <c r="G902" i="109"/>
  <c r="G615" i="109"/>
  <c r="G516" i="109"/>
  <c r="G163" i="109"/>
  <c r="G70" i="109"/>
  <c r="I613" i="109"/>
  <c r="I1107" i="109"/>
  <c r="G609" i="109"/>
  <c r="H39" i="103"/>
  <c r="J952" i="109"/>
  <c r="G763" i="109"/>
  <c r="J203" i="109"/>
  <c r="J473" i="109"/>
  <c r="I641" i="109"/>
  <c r="G295" i="109"/>
  <c r="I643" i="109"/>
  <c r="G751" i="109"/>
  <c r="I176" i="109"/>
  <c r="G627" i="109"/>
  <c r="I1155" i="109"/>
  <c r="I492" i="109"/>
  <c r="G463" i="109"/>
  <c r="I154" i="109"/>
  <c r="G518" i="109"/>
  <c r="G1032" i="109"/>
  <c r="J1032" i="109"/>
  <c r="I906" i="109"/>
  <c r="G497" i="109"/>
  <c r="G493" i="109"/>
  <c r="I568" i="109"/>
  <c r="I900" i="109"/>
  <c r="G628" i="109"/>
  <c r="G610" i="109"/>
  <c r="G521" i="109"/>
  <c r="G125" i="109"/>
  <c r="G462" i="109"/>
  <c r="G873" i="109"/>
  <c r="G446" i="109"/>
  <c r="J880" i="109"/>
  <c r="I629" i="109"/>
  <c r="G67" i="109"/>
  <c r="I875" i="109"/>
  <c r="G887" i="109"/>
  <c r="I541" i="109"/>
  <c r="G541" i="109"/>
  <c r="G912" i="109"/>
  <c r="I1156" i="109"/>
  <c r="G1156" i="109"/>
  <c r="I903" i="109"/>
  <c r="I57" i="109"/>
  <c r="G179" i="109"/>
  <c r="I727" i="109"/>
  <c r="H53" i="109"/>
  <c r="J53" i="109" s="1"/>
  <c r="G53" i="109"/>
  <c r="H71" i="109"/>
  <c r="J71" i="109" s="1"/>
  <c r="G71" i="109"/>
  <c r="I937" i="109"/>
  <c r="G96" i="109"/>
  <c r="G880" i="109"/>
  <c r="G80" i="109"/>
  <c r="I552" i="109"/>
  <c r="G552" i="109"/>
  <c r="G374" i="109"/>
  <c r="I417" i="109"/>
  <c r="G1114" i="109"/>
  <c r="G60" i="109"/>
  <c r="H73" i="109"/>
  <c r="J73" i="109" s="1"/>
  <c r="H102" i="109"/>
  <c r="G102" i="109"/>
  <c r="I650" i="109"/>
  <c r="G650" i="109"/>
  <c r="H74" i="109"/>
  <c r="J74" i="109" s="1"/>
  <c r="G527" i="109"/>
  <c r="G602" i="109"/>
  <c r="G1123" i="109"/>
  <c r="H190" i="109"/>
  <c r="J190" i="109" s="1"/>
  <c r="G190" i="109"/>
  <c r="I155" i="109"/>
  <c r="G896" i="109"/>
  <c r="G180" i="109"/>
  <c r="G553" i="109"/>
  <c r="I1115" i="109"/>
  <c r="G47" i="109"/>
  <c r="G1110" i="109"/>
  <c r="I889" i="109"/>
  <c r="G889" i="109"/>
  <c r="G289" i="109"/>
  <c r="G537" i="109"/>
  <c r="I537" i="109"/>
  <c r="I159" i="109"/>
  <c r="H1008" i="109"/>
  <c r="J1008" i="109" s="1"/>
  <c r="G1008" i="109"/>
  <c r="H486" i="109"/>
  <c r="J486" i="109" s="1"/>
  <c r="G486" i="109"/>
  <c r="H355" i="109"/>
  <c r="J355" i="109" s="1"/>
  <c r="I566" i="109"/>
  <c r="G566" i="109"/>
  <c r="G897" i="109"/>
  <c r="G658" i="109"/>
  <c r="I658" i="109"/>
  <c r="J489" i="109"/>
  <c r="J472" i="109"/>
  <c r="I382" i="109"/>
  <c r="I402" i="109"/>
  <c r="J52" i="109"/>
  <c r="J295" i="109"/>
  <c r="I92" i="103"/>
  <c r="K92" i="103" s="1"/>
  <c r="H242" i="109"/>
  <c r="J242" i="109" s="1"/>
  <c r="G242" i="109"/>
  <c r="G61" i="109"/>
  <c r="I61" i="109"/>
  <c r="I862" i="109"/>
  <c r="G862" i="109"/>
  <c r="G565" i="109"/>
  <c r="I565" i="109"/>
  <c r="G196" i="109"/>
  <c r="I196" i="109"/>
  <c r="I285" i="109"/>
  <c r="G285" i="109"/>
  <c r="H38" i="103"/>
  <c r="I38" i="103"/>
  <c r="K38" i="103" s="1"/>
  <c r="I591" i="109"/>
  <c r="G591" i="109"/>
  <c r="G99" i="109"/>
  <c r="I99" i="109"/>
  <c r="G48" i="109"/>
  <c r="G551" i="109"/>
  <c r="I551" i="109"/>
  <c r="G120" i="109"/>
  <c r="I120" i="109"/>
  <c r="G416" i="109"/>
  <c r="I416" i="109"/>
  <c r="G952" i="109"/>
  <c r="G898" i="109"/>
  <c r="G268" i="109"/>
  <c r="G501" i="109"/>
  <c r="I501" i="109"/>
  <c r="G512" i="109"/>
  <c r="I512" i="109"/>
  <c r="H97" i="109"/>
  <c r="J97" i="109" s="1"/>
  <c r="G97" i="109"/>
  <c r="I1120" i="109"/>
  <c r="G1120" i="109"/>
  <c r="I1157" i="109"/>
  <c r="G1157" i="109"/>
  <c r="I597" i="109"/>
  <c r="G1121" i="109"/>
  <c r="I1121" i="109"/>
  <c r="I909" i="109"/>
  <c r="G909" i="109"/>
  <c r="I761" i="109"/>
  <c r="G1124" i="109"/>
  <c r="I1124" i="109"/>
  <c r="G502" i="109"/>
  <c r="G539" i="109"/>
  <c r="I539" i="109"/>
  <c r="G904" i="109"/>
  <c r="I904" i="109"/>
  <c r="G1116" i="109"/>
  <c r="I1116" i="109"/>
  <c r="I660" i="109"/>
  <c r="I624" i="109"/>
  <c r="H1031" i="109"/>
  <c r="J1031" i="109" s="1"/>
  <c r="G1031" i="109"/>
  <c r="G1128" i="109"/>
  <c r="H1128" i="109"/>
  <c r="I1126" i="109"/>
  <c r="H487" i="109"/>
  <c r="J487" i="109" s="1"/>
  <c r="G487" i="109"/>
  <c r="H446" i="109"/>
  <c r="J446" i="109" s="1"/>
  <c r="I607" i="109"/>
  <c r="G607" i="109"/>
  <c r="G472" i="109"/>
  <c r="G153" i="109"/>
  <c r="J67" i="109"/>
  <c r="I608" i="109"/>
  <c r="G608" i="109"/>
  <c r="G581" i="109"/>
  <c r="I393" i="109"/>
  <c r="G393" i="109"/>
  <c r="G84" i="109"/>
  <c r="I84" i="109"/>
  <c r="I555" i="109"/>
  <c r="G555" i="109"/>
  <c r="G639" i="109"/>
  <c r="I639" i="109"/>
  <c r="I46" i="109"/>
  <c r="G46" i="109"/>
  <c r="I576" i="109"/>
  <c r="G576" i="109"/>
  <c r="I618" i="109"/>
  <c r="G618" i="109"/>
  <c r="G653" i="109"/>
  <c r="I653" i="109"/>
  <c r="G142" i="109"/>
  <c r="G626" i="109"/>
  <c r="I626" i="109"/>
  <c r="I664" i="109"/>
  <c r="G664" i="109"/>
  <c r="J30" i="109"/>
  <c r="I214" i="109"/>
  <c r="G214" i="109"/>
  <c r="G857" i="109"/>
  <c r="I857" i="109"/>
  <c r="G85" i="109"/>
  <c r="H85" i="109"/>
  <c r="J85" i="109" s="1"/>
  <c r="I907" i="109"/>
  <c r="G907" i="109"/>
  <c r="I173" i="109"/>
  <c r="G729" i="109"/>
  <c r="I79" i="109"/>
  <c r="G79" i="109"/>
  <c r="G911" i="109"/>
  <c r="I911" i="109"/>
  <c r="G63" i="109"/>
  <c r="H63" i="109"/>
  <c r="J63" i="109" s="1"/>
  <c r="I614" i="109"/>
  <c r="G614" i="109"/>
  <c r="G543" i="109"/>
  <c r="I543" i="109"/>
  <c r="G149" i="109"/>
  <c r="I149" i="109"/>
  <c r="I621" i="109"/>
  <c r="G621" i="109"/>
  <c r="H289" i="109"/>
  <c r="J289" i="109" s="1"/>
  <c r="G203" i="109"/>
  <c r="G886" i="109"/>
  <c r="I499" i="109"/>
  <c r="G499" i="109"/>
  <c r="G145" i="109"/>
  <c r="I145" i="109"/>
  <c r="I151" i="109"/>
  <c r="G151" i="109"/>
  <c r="I586" i="109"/>
  <c r="G586" i="109"/>
  <c r="G510" i="109"/>
  <c r="I510" i="109"/>
  <c r="I128" i="109"/>
  <c r="G128" i="109"/>
  <c r="G194" i="109"/>
  <c r="I194" i="109"/>
  <c r="G601" i="109"/>
  <c r="I601" i="109"/>
  <c r="G511" i="109"/>
  <c r="I511" i="109"/>
  <c r="I254" i="109"/>
  <c r="H1016" i="109"/>
  <c r="J1016" i="109" s="1"/>
  <c r="G1016" i="109"/>
  <c r="G547" i="109"/>
  <c r="I547" i="109"/>
  <c r="G655" i="109"/>
  <c r="I655" i="109"/>
  <c r="G606" i="109"/>
  <c r="I606" i="109"/>
  <c r="G183" i="109"/>
  <c r="I183" i="109"/>
  <c r="I893" i="109"/>
  <c r="G893" i="109"/>
  <c r="H83" i="109"/>
  <c r="J83" i="109" s="1"/>
  <c r="G83" i="109"/>
  <c r="G548" i="109"/>
  <c r="I548" i="109"/>
  <c r="G148" i="109"/>
  <c r="I148" i="109"/>
  <c r="G661" i="109"/>
  <c r="I661" i="109"/>
  <c r="G642" i="109"/>
  <c r="I642" i="109"/>
  <c r="I604" i="109"/>
  <c r="G604" i="109"/>
  <c r="G550" i="109"/>
  <c r="I550" i="109"/>
  <c r="G1117" i="109"/>
  <c r="I1117" i="109"/>
  <c r="G473" i="109"/>
  <c r="I178" i="109"/>
  <c r="G178" i="109"/>
  <c r="H382" i="109"/>
  <c r="G546" i="109"/>
  <c r="I546" i="109"/>
  <c r="I662" i="109"/>
  <c r="G662" i="109"/>
  <c r="G30" i="109"/>
  <c r="G81" i="109"/>
  <c r="H81" i="109"/>
  <c r="J81" i="109" s="1"/>
  <c r="I549" i="109"/>
  <c r="G549" i="109"/>
  <c r="I637" i="109"/>
  <c r="G637" i="109"/>
  <c r="G556" i="109"/>
  <c r="I556" i="109"/>
  <c r="I901" i="109"/>
  <c r="G901" i="109"/>
  <c r="I386" i="109"/>
  <c r="G386" i="109"/>
  <c r="G164" i="109"/>
  <c r="I164" i="109"/>
  <c r="I504" i="109"/>
  <c r="G894" i="109"/>
  <c r="H488" i="109"/>
  <c r="J488" i="109" s="1"/>
  <c r="G488" i="109"/>
  <c r="G726" i="109"/>
  <c r="I726" i="109"/>
  <c r="G910" i="109"/>
  <c r="I910" i="109"/>
  <c r="G580" i="109"/>
  <c r="I580" i="109"/>
  <c r="H154" i="109"/>
  <c r="I572" i="109"/>
  <c r="G572" i="109"/>
  <c r="G522" i="109"/>
  <c r="I522" i="109"/>
  <c r="G517" i="109"/>
  <c r="I517" i="109"/>
  <c r="I391" i="109"/>
  <c r="G391" i="109"/>
  <c r="I414" i="109"/>
  <c r="G414" i="109"/>
  <c r="G117" i="109"/>
  <c r="I117" i="109"/>
  <c r="G390" i="109"/>
  <c r="I390" i="109"/>
  <c r="G868" i="109"/>
  <c r="I868" i="109"/>
  <c r="I616" i="109"/>
  <c r="G616" i="109"/>
  <c r="I636" i="109"/>
  <c r="G636" i="109"/>
  <c r="G663" i="109"/>
  <c r="I663" i="109"/>
  <c r="G545" i="109"/>
  <c r="I545" i="109"/>
  <c r="J60" i="109"/>
  <c r="I864" i="109"/>
  <c r="G140" i="109"/>
  <c r="I140" i="109"/>
  <c r="I287" i="109"/>
  <c r="G287" i="109"/>
  <c r="G146" i="109"/>
  <c r="I146" i="109"/>
  <c r="I223" i="103"/>
  <c r="H223" i="103"/>
  <c r="G55" i="109"/>
  <c r="I118" i="109"/>
  <c r="I921" i="109"/>
  <c r="G921" i="109"/>
  <c r="G538" i="109"/>
  <c r="G197" i="109"/>
  <c r="G1118" i="109"/>
  <c r="I1118" i="109"/>
  <c r="I635" i="109"/>
  <c r="G635" i="109"/>
  <c r="G524" i="109"/>
  <c r="I524" i="109"/>
  <c r="G141" i="109"/>
  <c r="G1109" i="109"/>
  <c r="I1109" i="109"/>
  <c r="I544" i="109"/>
  <c r="I503" i="109"/>
  <c r="G139" i="109"/>
  <c r="I574" i="109"/>
  <c r="G1054" i="109"/>
  <c r="G575" i="109"/>
  <c r="G1119" i="109"/>
  <c r="I1119" i="109"/>
  <c r="I192" i="109"/>
  <c r="G192" i="109"/>
  <c r="I557" i="109"/>
  <c r="G557" i="109"/>
  <c r="I657" i="109"/>
  <c r="I589" i="109"/>
  <c r="G589" i="109"/>
  <c r="I520" i="109"/>
  <c r="G520" i="109"/>
  <c r="G398" i="109"/>
  <c r="I398" i="109"/>
  <c r="I126" i="109"/>
  <c r="I156" i="109"/>
  <c r="G156" i="109"/>
  <c r="I651" i="109"/>
  <c r="G651" i="109"/>
  <c r="I1152" i="109"/>
  <c r="G542" i="109"/>
  <c r="I603" i="109"/>
  <c r="G373" i="109"/>
  <c r="G1108" i="109"/>
  <c r="I1108" i="109"/>
  <c r="G1148" i="109"/>
  <c r="I1148" i="109"/>
  <c r="I587" i="109"/>
  <c r="G587" i="109"/>
  <c r="G490" i="109"/>
  <c r="I526" i="109"/>
  <c r="I239" i="109"/>
  <c r="G239" i="109"/>
  <c r="G625" i="109"/>
  <c r="I625" i="109"/>
  <c r="I584" i="109"/>
  <c r="G584" i="109"/>
  <c r="G144" i="109"/>
  <c r="I144" i="109"/>
  <c r="I640" i="109"/>
  <c r="G640" i="109"/>
  <c r="I598" i="109"/>
  <c r="I590" i="109"/>
  <c r="G590" i="109"/>
  <c r="I195" i="109"/>
  <c r="G195" i="109"/>
  <c r="I536" i="109"/>
  <c r="I582" i="109"/>
  <c r="G1150" i="109"/>
  <c r="I1150" i="109"/>
  <c r="G652" i="109"/>
  <c r="I652" i="109"/>
  <c r="I605" i="109"/>
  <c r="G605" i="109"/>
  <c r="G577" i="109"/>
  <c r="G72" i="109"/>
  <c r="G638" i="109"/>
  <c r="I638" i="109"/>
  <c r="G513" i="109"/>
  <c r="I513" i="109"/>
  <c r="I506" i="109"/>
  <c r="G506" i="109"/>
  <c r="J490" i="109"/>
  <c r="J460" i="109"/>
  <c r="J1066" i="109"/>
  <c r="J79" i="9" l="1"/>
  <c r="J161" i="109"/>
  <c r="I42" i="108"/>
  <c r="N96" i="86"/>
  <c r="J44" i="86"/>
  <c r="J76" i="108"/>
  <c r="L76" i="108" s="1"/>
  <c r="J139" i="86"/>
  <c r="H159" i="109"/>
  <c r="J159" i="109" s="1"/>
  <c r="N53" i="86"/>
  <c r="H30" i="9"/>
  <c r="J30" i="9" s="1"/>
  <c r="K202" i="86"/>
  <c r="G102" i="9"/>
  <c r="H42" i="9"/>
  <c r="J42" i="9" s="1"/>
  <c r="K41" i="9" s="1"/>
  <c r="G42" i="9"/>
  <c r="G95" i="9"/>
  <c r="H95" i="9"/>
  <c r="I95" i="9"/>
  <c r="G55" i="21"/>
  <c r="I55" i="21" s="1"/>
  <c r="J55" i="21" s="1"/>
  <c r="H55" i="109"/>
  <c r="I55" i="109"/>
  <c r="A53" i="9"/>
  <c r="A44" i="9"/>
  <c r="A45" i="9" s="1"/>
  <c r="A46" i="9" s="1"/>
  <c r="A47" i="9" s="1"/>
  <c r="G154" i="109"/>
  <c r="K458" i="109"/>
  <c r="I363" i="109"/>
  <c r="G363" i="109"/>
  <c r="K1052" i="109"/>
  <c r="J579" i="109"/>
  <c r="J899" i="109"/>
  <c r="J594" i="109"/>
  <c r="J593" i="109"/>
  <c r="J665" i="109"/>
  <c r="J464" i="109"/>
  <c r="J671" i="109"/>
  <c r="J670" i="109"/>
  <c r="J654" i="109"/>
  <c r="J30" i="126"/>
  <c r="J31" i="126"/>
  <c r="J592" i="109"/>
  <c r="J669" i="109"/>
  <c r="J668" i="109"/>
  <c r="G58" i="21"/>
  <c r="I42" i="21"/>
  <c r="J42" i="21" s="1"/>
  <c r="I30" i="21"/>
  <c r="J30" i="21" s="1"/>
  <c r="I102" i="9"/>
  <c r="I33" i="21"/>
  <c r="J33" i="21" s="1"/>
  <c r="H102" i="9"/>
  <c r="I36" i="21"/>
  <c r="J36" i="21" s="1"/>
  <c r="I18" i="21"/>
  <c r="J18" i="21" s="1"/>
  <c r="I35" i="21"/>
  <c r="J35" i="21" s="1"/>
  <c r="J992" i="109"/>
  <c r="J1000" i="109"/>
  <c r="J967" i="109"/>
  <c r="J977" i="109"/>
  <c r="J963" i="109"/>
  <c r="J996" i="109"/>
  <c r="H122" i="103"/>
  <c r="J984" i="109"/>
  <c r="K562" i="109"/>
  <c r="K540" i="109"/>
  <c r="J560" i="109"/>
  <c r="J559" i="109"/>
  <c r="J558" i="109"/>
  <c r="K846" i="109"/>
  <c r="J849" i="109"/>
  <c r="J125" i="109"/>
  <c r="M13" i="86"/>
  <c r="N12" i="86"/>
  <c r="J255" i="86"/>
  <c r="K169" i="108"/>
  <c r="J167" i="108"/>
  <c r="L167" i="108" s="1"/>
  <c r="I167" i="108"/>
  <c r="I149" i="108"/>
  <c r="J149" i="108"/>
  <c r="L149" i="108" s="1"/>
  <c r="J147" i="108"/>
  <c r="L147" i="108" s="1"/>
  <c r="I147" i="108"/>
  <c r="I168" i="108"/>
  <c r="J168" i="108"/>
  <c r="L168" i="108" s="1"/>
  <c r="I25" i="21"/>
  <c r="J25" i="21" s="1"/>
  <c r="G18" i="9"/>
  <c r="J152" i="86"/>
  <c r="K119" i="108"/>
  <c r="K163" i="108"/>
  <c r="K143" i="108"/>
  <c r="L294" i="86"/>
  <c r="L148" i="86"/>
  <c r="L164" i="86"/>
  <c r="M162" i="86"/>
  <c r="J27" i="108"/>
  <c r="L27" i="108" s="1"/>
  <c r="J34" i="108"/>
  <c r="L34" i="108" s="1"/>
  <c r="J181" i="86"/>
  <c r="I59" i="108"/>
  <c r="K60" i="108"/>
  <c r="L60" i="108" s="1"/>
  <c r="K71" i="108"/>
  <c r="L71" i="108" s="1"/>
  <c r="J141" i="108"/>
  <c r="L141" i="108" s="1"/>
  <c r="I141" i="108"/>
  <c r="J126" i="86"/>
  <c r="L238" i="86"/>
  <c r="N297" i="86"/>
  <c r="J142" i="108"/>
  <c r="L142" i="108" s="1"/>
  <c r="I142" i="108"/>
  <c r="J162" i="86"/>
  <c r="K292" i="86"/>
  <c r="J292" i="86"/>
  <c r="J162" i="108"/>
  <c r="L162" i="108" s="1"/>
  <c r="I162" i="108"/>
  <c r="J47" i="108"/>
  <c r="K147" i="86"/>
  <c r="J147" i="86"/>
  <c r="H81" i="9"/>
  <c r="J81" i="9" s="1"/>
  <c r="J85" i="86"/>
  <c r="J93" i="86"/>
  <c r="J81" i="86"/>
  <c r="K88" i="86"/>
  <c r="M88" i="86" s="1"/>
  <c r="I43" i="108"/>
  <c r="K90" i="86"/>
  <c r="M90" i="86" s="1"/>
  <c r="K82" i="86"/>
  <c r="M82" i="86" s="1"/>
  <c r="J96" i="108"/>
  <c r="L96" i="108" s="1"/>
  <c r="J138" i="86"/>
  <c r="K92" i="86"/>
  <c r="G408" i="109"/>
  <c r="J153" i="86"/>
  <c r="K61" i="86"/>
  <c r="M61" i="86" s="1"/>
  <c r="I44" i="108"/>
  <c r="K57" i="108"/>
  <c r="L57" i="108" s="1"/>
  <c r="K70" i="108"/>
  <c r="L70" i="108" s="1"/>
  <c r="L248" i="86"/>
  <c r="L263" i="86"/>
  <c r="M263" i="86" s="1"/>
  <c r="K82" i="108"/>
  <c r="L82" i="108" s="1"/>
  <c r="H950" i="109"/>
  <c r="J950" i="109" s="1"/>
  <c r="J55" i="9"/>
  <c r="J280" i="86"/>
  <c r="J94" i="86"/>
  <c r="K84" i="86"/>
  <c r="M84" i="86" s="1"/>
  <c r="G400" i="109"/>
  <c r="L257" i="86"/>
  <c r="M257" i="86" s="1"/>
  <c r="K79" i="86"/>
  <c r="M79" i="86" s="1"/>
  <c r="L227" i="86"/>
  <c r="J103" i="86"/>
  <c r="L239" i="86"/>
  <c r="M239" i="86" s="1"/>
  <c r="H410" i="109"/>
  <c r="J410" i="109" s="1"/>
  <c r="N21" i="86"/>
  <c r="I38" i="21"/>
  <c r="J38" i="21" s="1"/>
  <c r="I34" i="21"/>
  <c r="J34" i="21" s="1"/>
  <c r="H96" i="9"/>
  <c r="J96" i="9" s="1"/>
  <c r="G96" i="9"/>
  <c r="I37" i="21"/>
  <c r="J37" i="21" s="1"/>
  <c r="J87" i="86"/>
  <c r="N48" i="86"/>
  <c r="M54" i="86"/>
  <c r="N32" i="86"/>
  <c r="I32" i="108"/>
  <c r="J140" i="86"/>
  <c r="M151" i="108"/>
  <c r="K58" i="108"/>
  <c r="L58" i="108" s="1"/>
  <c r="I83" i="108"/>
  <c r="J228" i="86"/>
  <c r="J168" i="86"/>
  <c r="J59" i="86"/>
  <c r="K124" i="86"/>
  <c r="M124" i="86" s="1"/>
  <c r="K91" i="86"/>
  <c r="M91" i="86" s="1"/>
  <c r="L249" i="86"/>
  <c r="M249" i="86" s="1"/>
  <c r="H108" i="9"/>
  <c r="J108" i="9" s="1"/>
  <c r="G28" i="21"/>
  <c r="G31" i="21"/>
  <c r="G23" i="21"/>
  <c r="G32" i="21"/>
  <c r="J84" i="9"/>
  <c r="J27" i="9"/>
  <c r="G70" i="9"/>
  <c r="J23" i="9"/>
  <c r="I123" i="9"/>
  <c r="G123" i="9"/>
  <c r="H123" i="9"/>
  <c r="J87" i="9"/>
  <c r="I94" i="9"/>
  <c r="I92" i="9"/>
  <c r="J71" i="9"/>
  <c r="H1036" i="109"/>
  <c r="J1036" i="109" s="1"/>
  <c r="H1040" i="109"/>
  <c r="J1040" i="109" s="1"/>
  <c r="J406" i="109"/>
  <c r="H1044" i="109"/>
  <c r="J1044" i="109" s="1"/>
  <c r="I104" i="109"/>
  <c r="G384" i="109"/>
  <c r="K119" i="86"/>
  <c r="J194" i="86"/>
  <c r="I117" i="108"/>
  <c r="J16" i="108"/>
  <c r="L16" i="108" s="1"/>
  <c r="J178" i="86"/>
  <c r="I62" i="103"/>
  <c r="K62" i="103" s="1"/>
  <c r="K65" i="86"/>
  <c r="M65" i="86" s="1"/>
  <c r="B17" i="103"/>
  <c r="B18" i="103" s="1"/>
  <c r="B19" i="103" s="1"/>
  <c r="B26" i="103"/>
  <c r="B27" i="103" s="1"/>
  <c r="B28" i="103" s="1"/>
  <c r="B29" i="103" s="1"/>
  <c r="B21" i="103"/>
  <c r="B22" i="103" s="1"/>
  <c r="B23" i="103" s="1"/>
  <c r="B24" i="103" s="1"/>
  <c r="B25" i="103" s="1"/>
  <c r="B30" i="103"/>
  <c r="B71" i="103"/>
  <c r="B100" i="103"/>
  <c r="B66" i="103"/>
  <c r="B67" i="103" s="1"/>
  <c r="B58" i="103"/>
  <c r="B59" i="103" s="1"/>
  <c r="B65" i="103"/>
  <c r="B64" i="103"/>
  <c r="J15" i="108"/>
  <c r="L15" i="108" s="1"/>
  <c r="G933" i="109"/>
  <c r="H453" i="109"/>
  <c r="J229" i="86"/>
  <c r="I945" i="109"/>
  <c r="J945" i="109" s="1"/>
  <c r="I1145" i="109"/>
  <c r="I1141" i="109"/>
  <c r="I1142" i="109"/>
  <c r="H122" i="109"/>
  <c r="J107" i="86"/>
  <c r="L72" i="108"/>
  <c r="G116" i="9"/>
  <c r="G656" i="109"/>
  <c r="G404" i="109"/>
  <c r="J838" i="109"/>
  <c r="J845" i="109"/>
  <c r="G657" i="109"/>
  <c r="J842" i="109"/>
  <c r="I87" i="109"/>
  <c r="K84" i="108"/>
  <c r="L84" i="108" s="1"/>
  <c r="I94" i="109"/>
  <c r="G931" i="109"/>
  <c r="I86" i="109"/>
  <c r="I41" i="21"/>
  <c r="J41" i="21" s="1"/>
  <c r="I50" i="109"/>
  <c r="J36" i="103"/>
  <c r="K36" i="103" s="1"/>
  <c r="I1134" i="109"/>
  <c r="I134" i="108"/>
  <c r="I88" i="109"/>
  <c r="I1139" i="109"/>
  <c r="I1137" i="109"/>
  <c r="I1130" i="109"/>
  <c r="J47" i="103"/>
  <c r="I1132" i="109"/>
  <c r="I92" i="109"/>
  <c r="K244" i="86"/>
  <c r="M244" i="86" s="1"/>
  <c r="K188" i="86"/>
  <c r="J119" i="108"/>
  <c r="J412" i="109"/>
  <c r="J404" i="109"/>
  <c r="J107" i="108"/>
  <c r="K67" i="86"/>
  <c r="K77" i="86"/>
  <c r="G412" i="109"/>
  <c r="J187" i="86"/>
  <c r="J38" i="108"/>
  <c r="M76" i="86"/>
  <c r="I128" i="108"/>
  <c r="J99" i="108"/>
  <c r="K167" i="86"/>
  <c r="M167" i="86" s="1"/>
  <c r="K223" i="86"/>
  <c r="M223" i="86" s="1"/>
  <c r="K143" i="86"/>
  <c r="H1006" i="109"/>
  <c r="J19" i="108"/>
  <c r="G1019" i="109"/>
  <c r="G939" i="109"/>
  <c r="K198" i="86"/>
  <c r="H947" i="109"/>
  <c r="J947" i="109" s="1"/>
  <c r="J78" i="108"/>
  <c r="L78" i="108" s="1"/>
  <c r="K172" i="86"/>
  <c r="H944" i="109"/>
  <c r="J944" i="109" s="1"/>
  <c r="J112" i="108"/>
  <c r="J29" i="108"/>
  <c r="K122" i="86"/>
  <c r="K157" i="86"/>
  <c r="K218" i="86"/>
  <c r="K183" i="86"/>
  <c r="J24" i="108"/>
  <c r="K288" i="86"/>
  <c r="J87" i="108"/>
  <c r="K128" i="86"/>
  <c r="I13" i="108"/>
  <c r="H1014" i="109"/>
  <c r="J1014" i="109" s="1"/>
  <c r="J129" i="108"/>
  <c r="J136" i="108"/>
  <c r="J124" i="108"/>
  <c r="K283" i="86"/>
  <c r="K209" i="86"/>
  <c r="I856" i="109"/>
  <c r="J183" i="109"/>
  <c r="J571" i="109"/>
  <c r="J510" i="109"/>
  <c r="J618" i="109"/>
  <c r="J948" i="109"/>
  <c r="J150" i="109"/>
  <c r="J171" i="109"/>
  <c r="J597" i="109"/>
  <c r="J727" i="109"/>
  <c r="J498" i="109"/>
  <c r="J544" i="109"/>
  <c r="J1109" i="109"/>
  <c r="J905" i="109"/>
  <c r="J883" i="109"/>
  <c r="J388" i="109"/>
  <c r="J889" i="109"/>
  <c r="J182" i="109"/>
  <c r="J398" i="109"/>
  <c r="J1157" i="109"/>
  <c r="J520" i="109"/>
  <c r="J608" i="109"/>
  <c r="J600" i="109"/>
  <c r="J653" i="109"/>
  <c r="J630" i="109"/>
  <c r="J580" i="109"/>
  <c r="J1117" i="109"/>
  <c r="J904" i="109"/>
  <c r="J61" i="109"/>
  <c r="J1120" i="109"/>
  <c r="J118" i="109"/>
  <c r="J194" i="109"/>
  <c r="J492" i="109"/>
  <c r="J573" i="109"/>
  <c r="J99" i="109"/>
  <c r="J728" i="109"/>
  <c r="J659" i="109"/>
  <c r="J862" i="109"/>
  <c r="J640" i="109"/>
  <c r="J414" i="109"/>
  <c r="J144" i="109"/>
  <c r="J903" i="109"/>
  <c r="J598" i="109"/>
  <c r="J79" i="109"/>
  <c r="J176" i="109"/>
  <c r="J178" i="109"/>
  <c r="J605" i="109"/>
  <c r="J606" i="109"/>
  <c r="J643" i="109"/>
  <c r="J621" i="109"/>
  <c r="J892" i="109"/>
  <c r="J910" i="109"/>
  <c r="J512" i="109"/>
  <c r="J546" i="109"/>
  <c r="J611" i="109"/>
  <c r="J652" i="109"/>
  <c r="J383" i="109"/>
  <c r="J587" i="109"/>
  <c r="J901" i="109"/>
  <c r="J17" i="108"/>
  <c r="L17" i="108" s="1"/>
  <c r="J117" i="109"/>
  <c r="J128" i="109"/>
  <c r="J173" i="109"/>
  <c r="J641" i="109"/>
  <c r="J622" i="109"/>
  <c r="J900" i="109"/>
  <c r="J554" i="109"/>
  <c r="J555" i="109"/>
  <c r="J1124" i="109"/>
  <c r="J590" i="109"/>
  <c r="J893" i="109"/>
  <c r="J566" i="109"/>
  <c r="J539" i="109"/>
  <c r="J1108" i="109"/>
  <c r="J639" i="109"/>
  <c r="J584" i="109"/>
  <c r="J591" i="109"/>
  <c r="J569" i="109"/>
  <c r="J663" i="109"/>
  <c r="J547" i="109"/>
  <c r="J22" i="108"/>
  <c r="L22" i="108" s="1"/>
  <c r="J145" i="109"/>
  <c r="J543" i="109"/>
  <c r="J541" i="109"/>
  <c r="J181" i="109"/>
  <c r="J525" i="109"/>
  <c r="J536" i="109"/>
  <c r="J239" i="109"/>
  <c r="J549" i="109"/>
  <c r="J661" i="109"/>
  <c r="J664" i="109"/>
  <c r="J1126" i="109"/>
  <c r="J1107" i="109"/>
  <c r="J172" i="109"/>
  <c r="J1065" i="109"/>
  <c r="I23" i="108"/>
  <c r="J515" i="109"/>
  <c r="J499" i="109"/>
  <c r="J620" i="109"/>
  <c r="J907" i="109"/>
  <c r="J576" i="109"/>
  <c r="J57" i="109"/>
  <c r="J857" i="109"/>
  <c r="J589" i="109"/>
  <c r="J149" i="109"/>
  <c r="J155" i="109"/>
  <c r="J604" i="109"/>
  <c r="J568" i="109"/>
  <c r="J175" i="109"/>
  <c r="L240" i="86"/>
  <c r="M240" i="86" s="1"/>
  <c r="J390" i="109"/>
  <c r="J524" i="109"/>
  <c r="J550" i="109"/>
  <c r="J46" i="109"/>
  <c r="J417" i="109"/>
  <c r="J556" i="109"/>
  <c r="J586" i="109"/>
  <c r="J726" i="109"/>
  <c r="J625" i="109"/>
  <c r="J214" i="109"/>
  <c r="J552" i="109"/>
  <c r="J637" i="109"/>
  <c r="J582" i="109"/>
  <c r="J557" i="109"/>
  <c r="J1118" i="109"/>
  <c r="J146" i="109"/>
  <c r="J517" i="109"/>
  <c r="J1152" i="109"/>
  <c r="J614" i="109"/>
  <c r="J84" i="109"/>
  <c r="J761" i="109"/>
  <c r="J285" i="109"/>
  <c r="J906" i="109"/>
  <c r="J613" i="109"/>
  <c r="J186" i="109"/>
  <c r="J1119" i="109"/>
  <c r="J287" i="109"/>
  <c r="J636" i="109"/>
  <c r="J148" i="109"/>
  <c r="J196" i="109"/>
  <c r="J895" i="109"/>
  <c r="J147" i="109"/>
  <c r="J222" i="86"/>
  <c r="J184" i="109"/>
  <c r="J638" i="109"/>
  <c r="K1147" i="109"/>
  <c r="J545" i="109"/>
  <c r="J58" i="109"/>
  <c r="J607" i="109"/>
  <c r="J655" i="109"/>
  <c r="J1156" i="109"/>
  <c r="J391" i="109"/>
  <c r="J501" i="109"/>
  <c r="J881" i="109"/>
  <c r="J599" i="109"/>
  <c r="J635" i="109"/>
  <c r="J151" i="109"/>
  <c r="J642" i="109"/>
  <c r="J603" i="109"/>
  <c r="J522" i="109"/>
  <c r="J416" i="109"/>
  <c r="J1106" i="109"/>
  <c r="J140" i="109"/>
  <c r="J626" i="109"/>
  <c r="J1128" i="109"/>
  <c r="J909" i="109"/>
  <c r="J120" i="109"/>
  <c r="J875" i="109"/>
  <c r="J170" i="86"/>
  <c r="J1113" i="109"/>
  <c r="J56" i="109"/>
  <c r="J624" i="109"/>
  <c r="J1116" i="109"/>
  <c r="J1115" i="109"/>
  <c r="J570" i="109"/>
  <c r="J623" i="109"/>
  <c r="J186" i="86"/>
  <c r="J386" i="109"/>
  <c r="J1155" i="109"/>
  <c r="J503" i="109"/>
  <c r="J402" i="109"/>
  <c r="J195" i="109"/>
  <c r="J526" i="109"/>
  <c r="J1121" i="109"/>
  <c r="J551" i="109"/>
  <c r="J537" i="109"/>
  <c r="J662" i="109"/>
  <c r="J126" i="109"/>
  <c r="J1112" i="109"/>
  <c r="J1150" i="109"/>
  <c r="J651" i="109"/>
  <c r="J616" i="109"/>
  <c r="J572" i="109"/>
  <c r="J504" i="109"/>
  <c r="J548" i="109"/>
  <c r="J511" i="109"/>
  <c r="J393" i="109"/>
  <c r="J658" i="109"/>
  <c r="J650" i="109"/>
  <c r="J174" i="109"/>
  <c r="J506" i="109"/>
  <c r="J868" i="109"/>
  <c r="J164" i="109"/>
  <c r="J564" i="109"/>
  <c r="J513" i="109"/>
  <c r="J156" i="109"/>
  <c r="J574" i="109"/>
  <c r="J921" i="109"/>
  <c r="J601" i="109"/>
  <c r="J911" i="109"/>
  <c r="J565" i="109"/>
  <c r="J102" i="109"/>
  <c r="J629" i="109"/>
  <c r="J154" i="109"/>
  <c r="L250" i="86"/>
  <c r="M250" i="86" s="1"/>
  <c r="I72" i="108"/>
  <c r="J864" i="109"/>
  <c r="J394" i="109"/>
  <c r="H660" i="109"/>
  <c r="K647" i="109" s="1"/>
  <c r="J657" i="109"/>
  <c r="J1148" i="109"/>
  <c r="J535" i="109"/>
  <c r="K534" i="109"/>
  <c r="G1025" i="109"/>
  <c r="H1023" i="109"/>
  <c r="G1046" i="109"/>
  <c r="J66" i="108"/>
  <c r="L66" i="108" s="1"/>
  <c r="K71" i="86"/>
  <c r="M71" i="86" s="1"/>
  <c r="I53" i="108"/>
  <c r="K245" i="86"/>
  <c r="M245" i="86" s="1"/>
  <c r="K234" i="86"/>
  <c r="M234" i="86" s="1"/>
  <c r="J90" i="108"/>
  <c r="L90" i="108" s="1"/>
  <c r="K29" i="108"/>
  <c r="J221" i="86"/>
  <c r="L122" i="86"/>
  <c r="I77" i="108"/>
  <c r="I28" i="108"/>
  <c r="J76" i="86"/>
  <c r="I90" i="103"/>
  <c r="K90" i="103" s="1"/>
  <c r="K260" i="86"/>
  <c r="K243" i="86"/>
  <c r="J253" i="86"/>
  <c r="I64" i="108"/>
  <c r="J51" i="108"/>
  <c r="L51" i="108" s="1"/>
  <c r="I95" i="108"/>
  <c r="L92" i="86"/>
  <c r="K129" i="108"/>
  <c r="K87" i="108"/>
  <c r="K24" i="108"/>
  <c r="K112" i="108"/>
  <c r="K47" i="108"/>
  <c r="K136" i="108"/>
  <c r="I59" i="9"/>
  <c r="L283" i="86"/>
  <c r="L183" i="86"/>
  <c r="L188" i="86"/>
  <c r="L218" i="86"/>
  <c r="L143" i="86"/>
  <c r="L288" i="86"/>
  <c r="L128" i="86"/>
  <c r="L77" i="86"/>
  <c r="K99" i="108"/>
  <c r="L209" i="86"/>
  <c r="L67" i="86"/>
  <c r="L157" i="86"/>
  <c r="K124" i="108"/>
  <c r="K38" i="108"/>
  <c r="K19" i="108"/>
  <c r="K107" i="108"/>
  <c r="L198" i="86"/>
  <c r="G31" i="9"/>
  <c r="L172" i="86"/>
  <c r="I41" i="108"/>
  <c r="L114" i="86"/>
  <c r="J97" i="108"/>
  <c r="L97" i="108" s="1"/>
  <c r="H95" i="103"/>
  <c r="H188" i="109"/>
  <c r="K142" i="86"/>
  <c r="H440" i="109"/>
  <c r="H123" i="109"/>
  <c r="J262" i="86"/>
  <c r="K204" i="86"/>
  <c r="M204" i="86" s="1"/>
  <c r="K227" i="86"/>
  <c r="H298" i="109"/>
  <c r="J105" i="108"/>
  <c r="L105" i="108" s="1"/>
  <c r="K248" i="86"/>
  <c r="I74" i="103"/>
  <c r="K74" i="103" s="1"/>
  <c r="K196" i="86"/>
  <c r="M196" i="86" s="1"/>
  <c r="J206" i="86"/>
  <c r="I36" i="108"/>
  <c r="K171" i="86"/>
  <c r="M171" i="86" s="1"/>
  <c r="G1040" i="109"/>
  <c r="I75" i="108"/>
  <c r="I56" i="9"/>
  <c r="G56" i="9"/>
  <c r="G258" i="109"/>
  <c r="K238" i="86"/>
  <c r="J46" i="108"/>
  <c r="L46" i="108" s="1"/>
  <c r="H53" i="103"/>
  <c r="I181" i="103"/>
  <c r="K181" i="103" s="1"/>
  <c r="H187" i="109"/>
  <c r="H841" i="109"/>
  <c r="G841" i="109"/>
  <c r="J151" i="86"/>
  <c r="K151" i="86"/>
  <c r="M151" i="86" s="1"/>
  <c r="G33" i="9"/>
  <c r="J182" i="86"/>
  <c r="G371" i="109"/>
  <c r="K66" i="86"/>
  <c r="M66" i="86" s="1"/>
  <c r="G294" i="109"/>
  <c r="G223" i="109"/>
  <c r="K205" i="86"/>
  <c r="M205" i="86" s="1"/>
  <c r="J217" i="86"/>
  <c r="G74" i="9"/>
  <c r="H74" i="9"/>
  <c r="J74" i="9" s="1"/>
  <c r="H17" i="9"/>
  <c r="J17" i="9" s="1"/>
  <c r="G17" i="9"/>
  <c r="K216" i="86"/>
  <c r="M216" i="86" s="1"/>
  <c r="J216" i="86"/>
  <c r="J33" i="108"/>
  <c r="L33" i="108" s="1"/>
  <c r="I33" i="108"/>
  <c r="J212" i="86"/>
  <c r="H303" i="109"/>
  <c r="K133" i="86"/>
  <c r="M133" i="86" s="1"/>
  <c r="J133" i="86"/>
  <c r="J45" i="108"/>
  <c r="L45" i="108" s="1"/>
  <c r="I45" i="108"/>
  <c r="K207" i="86"/>
  <c r="M207" i="86" s="1"/>
  <c r="J207" i="86"/>
  <c r="K282" i="86"/>
  <c r="M282" i="86" s="1"/>
  <c r="J282" i="86"/>
  <c r="H308" i="109"/>
  <c r="J118" i="108"/>
  <c r="L118" i="108" s="1"/>
  <c r="I118" i="108"/>
  <c r="J83" i="86"/>
  <c r="K83" i="86"/>
  <c r="M83" i="86" s="1"/>
  <c r="K256" i="86"/>
  <c r="M256" i="86" s="1"/>
  <c r="J256" i="86"/>
  <c r="G200" i="109"/>
  <c r="H216" i="109"/>
  <c r="K102" i="86"/>
  <c r="M102" i="86" s="1"/>
  <c r="J102" i="86"/>
  <c r="I98" i="108"/>
  <c r="J98" i="108"/>
  <c r="L98" i="108" s="1"/>
  <c r="K72" i="86"/>
  <c r="M72" i="86" s="1"/>
  <c r="J72" i="86"/>
  <c r="K159" i="86"/>
  <c r="M159" i="86" s="1"/>
  <c r="J159" i="86"/>
  <c r="K73" i="86"/>
  <c r="M73" i="86" s="1"/>
  <c r="J73" i="86"/>
  <c r="J37" i="108"/>
  <c r="L37" i="108" s="1"/>
  <c r="I37" i="108"/>
  <c r="H37" i="9"/>
  <c r="J37" i="9" s="1"/>
  <c r="K36" i="9" s="1"/>
  <c r="H28" i="9"/>
  <c r="J28" i="9" s="1"/>
  <c r="G28" i="9"/>
  <c r="K197" i="86"/>
  <c r="M197" i="86" s="1"/>
  <c r="J197" i="86"/>
  <c r="K233" i="86"/>
  <c r="M233" i="86" s="1"/>
  <c r="J233" i="86"/>
  <c r="I67" i="108"/>
  <c r="J67" i="108"/>
  <c r="L67" i="108" s="1"/>
  <c r="I76" i="108"/>
  <c r="M59" i="86"/>
  <c r="G246" i="109"/>
  <c r="J54" i="108"/>
  <c r="L54" i="108" s="1"/>
  <c r="I54" i="108"/>
  <c r="I361" i="109"/>
  <c r="G361" i="109"/>
  <c r="G296" i="109"/>
  <c r="J79" i="108"/>
  <c r="L79" i="108" s="1"/>
  <c r="I79" i="108"/>
  <c r="K235" i="86"/>
  <c r="M235" i="86" s="1"/>
  <c r="J235" i="86"/>
  <c r="K215" i="86"/>
  <c r="M215" i="86" s="1"/>
  <c r="J215" i="86"/>
  <c r="J237" i="86"/>
  <c r="K237" i="86"/>
  <c r="M237" i="86" s="1"/>
  <c r="J116" i="108"/>
  <c r="I116" i="108"/>
  <c r="J224" i="86"/>
  <c r="K224" i="86"/>
  <c r="M224" i="86" s="1"/>
  <c r="H97" i="103"/>
  <c r="G383" i="109"/>
  <c r="L32" i="108"/>
  <c r="J122" i="108"/>
  <c r="I122" i="108"/>
  <c r="I56" i="108"/>
  <c r="J56" i="108"/>
  <c r="L56" i="108" s="1"/>
  <c r="K113" i="86"/>
  <c r="M113" i="86" s="1"/>
  <c r="J113" i="86"/>
  <c r="J247" i="86"/>
  <c r="K247" i="86"/>
  <c r="M247" i="86" s="1"/>
  <c r="G276" i="109"/>
  <c r="G112" i="109"/>
  <c r="J15" i="9"/>
  <c r="H112" i="103"/>
  <c r="I112" i="103"/>
  <c r="J89" i="108"/>
  <c r="L89" i="108" s="1"/>
  <c r="I89" i="108"/>
  <c r="J226" i="86"/>
  <c r="K226" i="86"/>
  <c r="M226" i="86" s="1"/>
  <c r="H434" i="109"/>
  <c r="J35" i="108"/>
  <c r="L35" i="108" s="1"/>
  <c r="I35" i="108"/>
  <c r="M103" i="86"/>
  <c r="J81" i="108"/>
  <c r="L81" i="108" s="1"/>
  <c r="I81" i="108"/>
  <c r="K127" i="86"/>
  <c r="M127" i="86" s="1"/>
  <c r="J127" i="86"/>
  <c r="J169" i="86"/>
  <c r="K169" i="86"/>
  <c r="M169" i="86" s="1"/>
  <c r="I91" i="108"/>
  <c r="J91" i="108"/>
  <c r="L91" i="108" s="1"/>
  <c r="J69" i="108"/>
  <c r="L69" i="108" s="1"/>
  <c r="I69" i="108"/>
  <c r="G357" i="109"/>
  <c r="G378" i="109"/>
  <c r="G376" i="109"/>
  <c r="H121" i="109"/>
  <c r="H424" i="109"/>
  <c r="H189" i="109"/>
  <c r="G948" i="109"/>
  <c r="G382" i="109"/>
  <c r="H92" i="103"/>
  <c r="K353" i="109"/>
  <c r="J382" i="109"/>
  <c r="G402" i="109"/>
  <c r="G355" i="109"/>
  <c r="H63" i="103"/>
  <c r="G432" i="109"/>
  <c r="K1153" i="109"/>
  <c r="H115" i="109"/>
  <c r="K757" i="109"/>
  <c r="H130" i="103"/>
  <c r="H167" i="109"/>
  <c r="G167" i="109"/>
  <c r="K191" i="109"/>
  <c r="J192" i="109"/>
  <c r="H448" i="109"/>
  <c r="G448" i="109"/>
  <c r="H369" i="109"/>
  <c r="G369" i="109"/>
  <c r="K223" i="103"/>
  <c r="L222" i="103"/>
  <c r="K1151" i="109"/>
  <c r="K596" i="109"/>
  <c r="H1004" i="109"/>
  <c r="G1004" i="109"/>
  <c r="K762" i="109"/>
  <c r="K1105" i="109"/>
  <c r="H64" i="103"/>
  <c r="I64" i="103"/>
  <c r="I61" i="103"/>
  <c r="H61" i="103"/>
  <c r="J102" i="9" l="1"/>
  <c r="J42" i="108"/>
  <c r="L42" i="108" s="1"/>
  <c r="I100" i="109"/>
  <c r="I101" i="109"/>
  <c r="K139" i="86"/>
  <c r="M139" i="86" s="1"/>
  <c r="J50" i="108"/>
  <c r="L50" i="108" s="1"/>
  <c r="J63" i="108"/>
  <c r="L63" i="108" s="1"/>
  <c r="J94" i="108"/>
  <c r="L94" i="108" s="1"/>
  <c r="J102" i="108"/>
  <c r="L102" i="108" s="1"/>
  <c r="H160" i="109"/>
  <c r="G160" i="109"/>
  <c r="J55" i="109"/>
  <c r="J103" i="108"/>
  <c r="L103" i="108" s="1"/>
  <c r="I140" i="108"/>
  <c r="J202" i="86"/>
  <c r="K171" i="108"/>
  <c r="J95" i="9"/>
  <c r="H365" i="109"/>
  <c r="G365" i="109"/>
  <c r="H367" i="109"/>
  <c r="G367" i="109"/>
  <c r="A72" i="9"/>
  <c r="A73" i="9" s="1"/>
  <c r="A54" i="9"/>
  <c r="A55" i="9" s="1"/>
  <c r="A56" i="9" s="1"/>
  <c r="A57" i="9" s="1"/>
  <c r="A49" i="9"/>
  <c r="A50" i="9" s="1"/>
  <c r="A51" i="9" s="1"/>
  <c r="A52" i="9" s="1"/>
  <c r="A48" i="9"/>
  <c r="J363" i="109"/>
  <c r="K11" i="126"/>
  <c r="G62" i="126"/>
  <c r="H62" i="126"/>
  <c r="J62" i="126" s="1"/>
  <c r="G109" i="109"/>
  <c r="H75" i="9"/>
  <c r="J75" i="9" s="1"/>
  <c r="K72" i="9" s="1"/>
  <c r="I122" i="103"/>
  <c r="K122" i="103" s="1"/>
  <c r="G168" i="109"/>
  <c r="H278" i="109"/>
  <c r="G278" i="109"/>
  <c r="H280" i="109"/>
  <c r="G280" i="109"/>
  <c r="H252" i="109"/>
  <c r="G252" i="109"/>
  <c r="G282" i="109"/>
  <c r="H282" i="109"/>
  <c r="H431" i="109"/>
  <c r="J431" i="109" s="1"/>
  <c r="H136" i="103"/>
  <c r="I136" i="103"/>
  <c r="K136" i="103" s="1"/>
  <c r="G991" i="109"/>
  <c r="H991" i="109"/>
  <c r="G229" i="109"/>
  <c r="H229" i="109"/>
  <c r="H959" i="109"/>
  <c r="G959" i="109"/>
  <c r="H956" i="109"/>
  <c r="G956" i="109"/>
  <c r="H970" i="109"/>
  <c r="G970" i="109"/>
  <c r="G981" i="109"/>
  <c r="H981" i="109"/>
  <c r="H995" i="109"/>
  <c r="G995" i="109"/>
  <c r="H957" i="109"/>
  <c r="G957" i="109"/>
  <c r="H980" i="109"/>
  <c r="G980" i="109"/>
  <c r="G960" i="109"/>
  <c r="H960" i="109"/>
  <c r="G976" i="109"/>
  <c r="H976" i="109"/>
  <c r="H974" i="109"/>
  <c r="G974" i="109"/>
  <c r="H983" i="109"/>
  <c r="G983" i="109"/>
  <c r="H1001" i="109"/>
  <c r="G1001" i="109"/>
  <c r="H966" i="109"/>
  <c r="G966" i="109"/>
  <c r="H968" i="109"/>
  <c r="G968" i="109"/>
  <c r="H987" i="109"/>
  <c r="G987" i="109"/>
  <c r="H993" i="109"/>
  <c r="G993" i="109"/>
  <c r="H999" i="109"/>
  <c r="G999" i="109"/>
  <c r="H997" i="109"/>
  <c r="G997" i="109"/>
  <c r="H962" i="109"/>
  <c r="G962" i="109"/>
  <c r="H985" i="109"/>
  <c r="G985" i="109"/>
  <c r="G973" i="109"/>
  <c r="H973" i="109"/>
  <c r="H971" i="109"/>
  <c r="G971" i="109"/>
  <c r="H439" i="109"/>
  <c r="H964" i="109"/>
  <c r="G964" i="109"/>
  <c r="H988" i="109"/>
  <c r="G988" i="109"/>
  <c r="I119" i="103"/>
  <c r="K119" i="103" s="1"/>
  <c r="I118" i="103"/>
  <c r="H978" i="109"/>
  <c r="G978" i="109"/>
  <c r="K254" i="86"/>
  <c r="M254" i="86" s="1"/>
  <c r="J42" i="86"/>
  <c r="K44" i="86"/>
  <c r="M44" i="86" s="1"/>
  <c r="I71" i="108"/>
  <c r="J169" i="108"/>
  <c r="L169" i="108" s="1"/>
  <c r="I169" i="108"/>
  <c r="J146" i="108"/>
  <c r="I146" i="108"/>
  <c r="J166" i="108"/>
  <c r="I166" i="108"/>
  <c r="H18" i="9"/>
  <c r="J18" i="9" s="1"/>
  <c r="J148" i="108"/>
  <c r="L148" i="108" s="1"/>
  <c r="I148" i="108"/>
  <c r="G120" i="9"/>
  <c r="I58" i="21"/>
  <c r="J58" i="21" s="1"/>
  <c r="G81" i="9"/>
  <c r="J238" i="86"/>
  <c r="K126" i="86"/>
  <c r="M126" i="86" s="1"/>
  <c r="I27" i="108"/>
  <c r="L119" i="108"/>
  <c r="M238" i="86"/>
  <c r="I60" i="108"/>
  <c r="I65" i="108"/>
  <c r="J293" i="86"/>
  <c r="K293" i="86"/>
  <c r="M293" i="86" s="1"/>
  <c r="K193" i="86"/>
  <c r="M193" i="86" s="1"/>
  <c r="J193" i="86"/>
  <c r="J161" i="108"/>
  <c r="I161" i="108"/>
  <c r="M142" i="86"/>
  <c r="K164" i="86"/>
  <c r="J164" i="86"/>
  <c r="J143" i="108"/>
  <c r="L143" i="108" s="1"/>
  <c r="I143" i="108"/>
  <c r="J146" i="86"/>
  <c r="K146" i="86"/>
  <c r="M146" i="86" s="1"/>
  <c r="J294" i="86"/>
  <c r="K294" i="86"/>
  <c r="M294" i="86" s="1"/>
  <c r="I163" i="108"/>
  <c r="J163" i="108"/>
  <c r="L163" i="108" s="1"/>
  <c r="J61" i="108"/>
  <c r="L61" i="108" s="1"/>
  <c r="I34" i="108"/>
  <c r="K148" i="86"/>
  <c r="M148" i="86" s="1"/>
  <c r="J148" i="86"/>
  <c r="K59" i="108"/>
  <c r="L59" i="108" s="1"/>
  <c r="M292" i="86"/>
  <c r="M147" i="86"/>
  <c r="K93" i="86"/>
  <c r="M93" i="86" s="1"/>
  <c r="J88" i="86"/>
  <c r="M92" i="86"/>
  <c r="H116" i="9"/>
  <c r="J116" i="9" s="1"/>
  <c r="K138" i="86"/>
  <c r="M138" i="86" s="1"/>
  <c r="M248" i="86"/>
  <c r="K81" i="86"/>
  <c r="M81" i="86" s="1"/>
  <c r="J43" i="108"/>
  <c r="L43" i="108" s="1"/>
  <c r="J52" i="108"/>
  <c r="L52" i="108" s="1"/>
  <c r="J90" i="86"/>
  <c r="J61" i="86"/>
  <c r="H408" i="109"/>
  <c r="J408" i="109" s="1"/>
  <c r="N57" i="86"/>
  <c r="J248" i="86"/>
  <c r="K94" i="86"/>
  <c r="M94" i="86" s="1"/>
  <c r="J227" i="86"/>
  <c r="I57" i="108"/>
  <c r="J263" i="86"/>
  <c r="K280" i="86"/>
  <c r="M280" i="86" s="1"/>
  <c r="J44" i="108"/>
  <c r="L44" i="108" s="1"/>
  <c r="K111" i="86"/>
  <c r="M111" i="86" s="1"/>
  <c r="J69" i="86"/>
  <c r="I70" i="108"/>
  <c r="I82" i="108"/>
  <c r="J257" i="86"/>
  <c r="G950" i="109"/>
  <c r="J173" i="86"/>
  <c r="I25" i="108"/>
  <c r="H39" i="109"/>
  <c r="J39" i="109" s="1"/>
  <c r="I14" i="108"/>
  <c r="H400" i="109"/>
  <c r="J400" i="109" s="1"/>
  <c r="H429" i="109"/>
  <c r="I126" i="103"/>
  <c r="K126" i="103" s="1"/>
  <c r="J239" i="86"/>
  <c r="M227" i="86"/>
  <c r="G437" i="109"/>
  <c r="J137" i="108"/>
  <c r="L137" i="108" s="1"/>
  <c r="J136" i="86"/>
  <c r="J189" i="86"/>
  <c r="G4" i="126"/>
  <c r="H1130" i="109"/>
  <c r="I19" i="103"/>
  <c r="K19" i="103" s="1"/>
  <c r="H86" i="109"/>
  <c r="J86" i="109" s="1"/>
  <c r="J284" i="86"/>
  <c r="J130" i="108"/>
  <c r="L130" i="108" s="1"/>
  <c r="H1135" i="109"/>
  <c r="J251" i="86"/>
  <c r="K184" i="86"/>
  <c r="M184" i="86" s="1"/>
  <c r="I48" i="108"/>
  <c r="J115" i="86"/>
  <c r="G1134" i="109"/>
  <c r="K123" i="86"/>
  <c r="M123" i="86" s="1"/>
  <c r="I100" i="108"/>
  <c r="H1139" i="109"/>
  <c r="J1139" i="109" s="1"/>
  <c r="H34" i="103"/>
  <c r="H17" i="103"/>
  <c r="K87" i="86"/>
  <c r="M87" i="86" s="1"/>
  <c r="G421" i="109"/>
  <c r="J85" i="108"/>
  <c r="L85" i="108" s="1"/>
  <c r="I58" i="108"/>
  <c r="J116" i="86"/>
  <c r="H36" i="109"/>
  <c r="J36" i="109" s="1"/>
  <c r="H35" i="109"/>
  <c r="J35" i="109" s="1"/>
  <c r="H125" i="9"/>
  <c r="J125" i="9" s="1"/>
  <c r="G125" i="9"/>
  <c r="G29" i="21"/>
  <c r="G27" i="21"/>
  <c r="G24" i="21"/>
  <c r="G22" i="21"/>
  <c r="J119" i="86"/>
  <c r="L228" i="86"/>
  <c r="M228" i="86" s="1"/>
  <c r="J249" i="86"/>
  <c r="K83" i="108"/>
  <c r="L83" i="108" s="1"/>
  <c r="K168" i="86"/>
  <c r="M168" i="86" s="1"/>
  <c r="J124" i="86"/>
  <c r="J117" i="108"/>
  <c r="L117" i="108" s="1"/>
  <c r="J68" i="86"/>
  <c r="I125" i="108"/>
  <c r="K129" i="86"/>
  <c r="M129" i="86" s="1"/>
  <c r="J95" i="86"/>
  <c r="J108" i="108"/>
  <c r="L108" i="108" s="1"/>
  <c r="K241" i="86"/>
  <c r="M241" i="86" s="1"/>
  <c r="K219" i="86"/>
  <c r="M219" i="86" s="1"/>
  <c r="H1131" i="109"/>
  <c r="I114" i="108"/>
  <c r="J199" i="86"/>
  <c r="H1132" i="109"/>
  <c r="G100" i="109"/>
  <c r="J258" i="86"/>
  <c r="I30" i="108"/>
  <c r="G94" i="109"/>
  <c r="K289" i="86"/>
  <c r="M289" i="86" s="1"/>
  <c r="K144" i="86"/>
  <c r="M144" i="86" s="1"/>
  <c r="J158" i="86"/>
  <c r="I120" i="108"/>
  <c r="H88" i="109"/>
  <c r="J88" i="109" s="1"/>
  <c r="J230" i="86"/>
  <c r="J73" i="108"/>
  <c r="L73" i="108" s="1"/>
  <c r="H1136" i="109"/>
  <c r="J108" i="86"/>
  <c r="H1137" i="109"/>
  <c r="J1137" i="109" s="1"/>
  <c r="I20" i="108"/>
  <c r="H1145" i="109"/>
  <c r="I39" i="108"/>
  <c r="J210" i="86"/>
  <c r="I92" i="108"/>
  <c r="J264" i="86"/>
  <c r="J91" i="86"/>
  <c r="G94" i="9"/>
  <c r="I32" i="21"/>
  <c r="J32" i="21" s="1"/>
  <c r="I28" i="21"/>
  <c r="J28" i="21" s="1"/>
  <c r="I23" i="21"/>
  <c r="J23" i="21" s="1"/>
  <c r="I31" i="21"/>
  <c r="J31" i="21" s="1"/>
  <c r="H70" i="9"/>
  <c r="J70" i="9" s="1"/>
  <c r="J123" i="9"/>
  <c r="H94" i="9"/>
  <c r="H1038" i="109"/>
  <c r="J1038" i="109" s="1"/>
  <c r="H1042" i="109"/>
  <c r="J1042" i="109" s="1"/>
  <c r="G1044" i="109"/>
  <c r="G131" i="109"/>
  <c r="H131" i="109"/>
  <c r="J131" i="109" s="1"/>
  <c r="G24" i="109"/>
  <c r="G28" i="109"/>
  <c r="G45" i="109"/>
  <c r="G34" i="109"/>
  <c r="G29" i="109"/>
  <c r="H31" i="103"/>
  <c r="H5" i="126"/>
  <c r="J5" i="126" s="1"/>
  <c r="H22" i="109"/>
  <c r="J22" i="109" s="1"/>
  <c r="H42" i="109"/>
  <c r="H24" i="103"/>
  <c r="H37" i="109"/>
  <c r="J37" i="109" s="1"/>
  <c r="J278" i="86"/>
  <c r="H59" i="9"/>
  <c r="H15" i="109"/>
  <c r="J15" i="109" s="1"/>
  <c r="H40" i="109"/>
  <c r="H38" i="109"/>
  <c r="J38" i="109" s="1"/>
  <c r="I18" i="103"/>
  <c r="K18" i="103" s="1"/>
  <c r="H21" i="109"/>
  <c r="G25" i="109"/>
  <c r="H56" i="103"/>
  <c r="G110" i="109"/>
  <c r="H33" i="109"/>
  <c r="H20" i="109"/>
  <c r="J20" i="109" s="1"/>
  <c r="K178" i="86"/>
  <c r="M178" i="86" s="1"/>
  <c r="K194" i="86"/>
  <c r="M194" i="86" s="1"/>
  <c r="H62" i="103"/>
  <c r="I16" i="108"/>
  <c r="I91" i="109"/>
  <c r="J65" i="86"/>
  <c r="K177" i="86"/>
  <c r="M177" i="86" s="1"/>
  <c r="G231" i="109"/>
  <c r="I78" i="103"/>
  <c r="K78" i="103" s="1"/>
  <c r="H54" i="103"/>
  <c r="H55" i="103"/>
  <c r="J660" i="109"/>
  <c r="B35" i="103"/>
  <c r="B31" i="103"/>
  <c r="B32" i="103" s="1"/>
  <c r="B33" i="103" s="1"/>
  <c r="B34" i="103" s="1"/>
  <c r="B116" i="103"/>
  <c r="B101" i="103"/>
  <c r="B73" i="103"/>
  <c r="B72" i="103"/>
  <c r="I15" i="108"/>
  <c r="H124" i="109"/>
  <c r="J124" i="109" s="1"/>
  <c r="J244" i="86"/>
  <c r="L229" i="86"/>
  <c r="M229" i="86" s="1"/>
  <c r="G122" i="9"/>
  <c r="H122" i="9"/>
  <c r="J122" i="9" s="1"/>
  <c r="G453" i="109"/>
  <c r="I1140" i="109"/>
  <c r="G945" i="109"/>
  <c r="H933" i="109"/>
  <c r="J933" i="109" s="1"/>
  <c r="G1042" i="109"/>
  <c r="I1133" i="109"/>
  <c r="I1135" i="109"/>
  <c r="G124" i="109"/>
  <c r="I121" i="103"/>
  <c r="K121" i="103" s="1"/>
  <c r="I1143" i="109"/>
  <c r="I1136" i="109"/>
  <c r="G50" i="109"/>
  <c r="J13" i="108"/>
  <c r="H423" i="109"/>
  <c r="I84" i="108"/>
  <c r="I129" i="103"/>
  <c r="K129" i="103" s="1"/>
  <c r="G438" i="109"/>
  <c r="G122" i="109"/>
  <c r="J167" i="86"/>
  <c r="I119" i="108"/>
  <c r="K114" i="86"/>
  <c r="M114" i="86" s="1"/>
  <c r="L107" i="86"/>
  <c r="M107" i="86" s="1"/>
  <c r="I457" i="109"/>
  <c r="I1138" i="109"/>
  <c r="H36" i="103"/>
  <c r="J273" i="103"/>
  <c r="J453" i="109"/>
  <c r="I89" i="109"/>
  <c r="I93" i="109"/>
  <c r="G944" i="109"/>
  <c r="I1144" i="109"/>
  <c r="H111" i="109"/>
  <c r="G7" i="126"/>
  <c r="G1006" i="109"/>
  <c r="I90" i="109"/>
  <c r="H1019" i="109"/>
  <c r="J1019" i="109" s="1"/>
  <c r="K222" i="86"/>
  <c r="M222" i="86" s="1"/>
  <c r="J122" i="86"/>
  <c r="G935" i="109"/>
  <c r="I128" i="103"/>
  <c r="K128" i="103" s="1"/>
  <c r="H422" i="109"/>
  <c r="H430" i="109"/>
  <c r="K186" i="86"/>
  <c r="M186" i="86" s="1"/>
  <c r="I120" i="103"/>
  <c r="K120" i="103" s="1"/>
  <c r="H1012" i="109"/>
  <c r="J71" i="86"/>
  <c r="K253" i="86"/>
  <c r="G1038" i="109"/>
  <c r="G947" i="109"/>
  <c r="G941" i="109"/>
  <c r="I51" i="108"/>
  <c r="M77" i="86"/>
  <c r="K851" i="109"/>
  <c r="K221" i="86"/>
  <c r="M221" i="86" s="1"/>
  <c r="J856" i="109"/>
  <c r="J1006" i="109"/>
  <c r="J167" i="109"/>
  <c r="I29" i="108"/>
  <c r="J123" i="109"/>
  <c r="L29" i="108"/>
  <c r="J440" i="109"/>
  <c r="G113" i="109"/>
  <c r="J121" i="109"/>
  <c r="J189" i="109"/>
  <c r="J361" i="109"/>
  <c r="J1023" i="109"/>
  <c r="J50" i="109"/>
  <c r="J187" i="109"/>
  <c r="J250" i="86"/>
  <c r="J198" i="86"/>
  <c r="M128" i="86"/>
  <c r="J303" i="109"/>
  <c r="I22" i="108"/>
  <c r="J122" i="109"/>
  <c r="J216" i="109"/>
  <c r="J240" i="86"/>
  <c r="J308" i="109"/>
  <c r="J448" i="109"/>
  <c r="J243" i="86"/>
  <c r="J424" i="109"/>
  <c r="J115" i="109"/>
  <c r="J1004" i="109"/>
  <c r="J434" i="109"/>
  <c r="J128" i="86"/>
  <c r="J369" i="109"/>
  <c r="J298" i="109"/>
  <c r="I38" i="108"/>
  <c r="G98" i="9"/>
  <c r="H98" i="9"/>
  <c r="J98" i="9" s="1"/>
  <c r="I136" i="108"/>
  <c r="I47" i="108"/>
  <c r="M172" i="86"/>
  <c r="L47" i="108"/>
  <c r="L38" i="108"/>
  <c r="I107" i="108"/>
  <c r="J172" i="86"/>
  <c r="L136" i="108"/>
  <c r="J143" i="86"/>
  <c r="M288" i="86"/>
  <c r="J288" i="86"/>
  <c r="M143" i="86"/>
  <c r="H90" i="103"/>
  <c r="J260" i="86"/>
  <c r="H127" i="9"/>
  <c r="J127" i="9" s="1"/>
  <c r="K126" i="9" s="1"/>
  <c r="M198" i="86"/>
  <c r="M122" i="86"/>
  <c r="J64" i="108"/>
  <c r="L64" i="108" s="1"/>
  <c r="L107" i="108"/>
  <c r="I99" i="108"/>
  <c r="M209" i="86"/>
  <c r="L87" i="108"/>
  <c r="I19" i="108"/>
  <c r="J77" i="86"/>
  <c r="L99" i="108"/>
  <c r="J209" i="86"/>
  <c r="I129" i="108"/>
  <c r="I87" i="108"/>
  <c r="L129" i="108"/>
  <c r="J67" i="86"/>
  <c r="M67" i="86"/>
  <c r="J95" i="108"/>
  <c r="L95" i="108" s="1"/>
  <c r="J114" i="86"/>
  <c r="M188" i="86"/>
  <c r="M283" i="86"/>
  <c r="M157" i="86"/>
  <c r="J41" i="108"/>
  <c r="L41" i="108" s="1"/>
  <c r="L24" i="108"/>
  <c r="J183" i="86"/>
  <c r="M183" i="86"/>
  <c r="M218" i="86"/>
  <c r="L112" i="108"/>
  <c r="H227" i="109"/>
  <c r="J283" i="86"/>
  <c r="J157" i="86"/>
  <c r="G444" i="109"/>
  <c r="J92" i="86"/>
  <c r="L124" i="108"/>
  <c r="J218" i="86"/>
  <c r="I84" i="103"/>
  <c r="K84" i="103" s="1"/>
  <c r="H86" i="103"/>
  <c r="H1010" i="109"/>
  <c r="G1010" i="109"/>
  <c r="I24" i="108"/>
  <c r="J188" i="86"/>
  <c r="I112" i="108"/>
  <c r="I124" i="108"/>
  <c r="L19" i="108"/>
  <c r="G111" i="9"/>
  <c r="I111" i="9"/>
  <c r="I13" i="9" s="1"/>
  <c r="F13" i="21" s="1"/>
  <c r="H111" i="9"/>
  <c r="I95" i="103"/>
  <c r="K95" i="103" s="1"/>
  <c r="G188" i="109"/>
  <c r="G440" i="109"/>
  <c r="G123" i="109"/>
  <c r="H181" i="103"/>
  <c r="H258" i="109"/>
  <c r="J77" i="108"/>
  <c r="L77" i="108" s="1"/>
  <c r="J75" i="108"/>
  <c r="L75" i="108" s="1"/>
  <c r="H158" i="109"/>
  <c r="I96" i="108"/>
  <c r="I53" i="103"/>
  <c r="K53" i="103" s="1"/>
  <c r="H449" i="109"/>
  <c r="J56" i="9"/>
  <c r="H371" i="109"/>
  <c r="G303" i="109"/>
  <c r="J841" i="109"/>
  <c r="K766" i="109"/>
  <c r="H223" i="109"/>
  <c r="H428" i="109"/>
  <c r="G420" i="109"/>
  <c r="H123" i="103"/>
  <c r="G441" i="109"/>
  <c r="H127" i="103"/>
  <c r="H425" i="109"/>
  <c r="H33" i="9"/>
  <c r="J33" i="9" s="1"/>
  <c r="G121" i="109"/>
  <c r="H200" i="109"/>
  <c r="H266" i="109"/>
  <c r="G266" i="109"/>
  <c r="G65" i="109"/>
  <c r="I54" i="103"/>
  <c r="K54" i="103" s="1"/>
  <c r="H260" i="109"/>
  <c r="G260" i="109"/>
  <c r="H264" i="109"/>
  <c r="G264" i="109"/>
  <c r="K212" i="86"/>
  <c r="M212" i="86" s="1"/>
  <c r="K86" i="86"/>
  <c r="M86" i="86" s="1"/>
  <c r="J86" i="86"/>
  <c r="H112" i="109"/>
  <c r="G308" i="109"/>
  <c r="G216" i="109"/>
  <c r="J286" i="86"/>
  <c r="K286" i="86"/>
  <c r="I80" i="108"/>
  <c r="J80" i="108"/>
  <c r="L80" i="108" s="1"/>
  <c r="H244" i="109"/>
  <c r="G244" i="109"/>
  <c r="J120" i="86"/>
  <c r="K120" i="86"/>
  <c r="M120" i="86" s="1"/>
  <c r="K225" i="86"/>
  <c r="M225" i="86" s="1"/>
  <c r="J225" i="86"/>
  <c r="J261" i="86"/>
  <c r="K261" i="86"/>
  <c r="M261" i="86" s="1"/>
  <c r="K246" i="86"/>
  <c r="M246" i="86" s="1"/>
  <c r="J246" i="86"/>
  <c r="K112" i="86"/>
  <c r="M112" i="86" s="1"/>
  <c r="J112" i="86"/>
  <c r="M260" i="86"/>
  <c r="J236" i="86"/>
  <c r="K236" i="86"/>
  <c r="M236" i="86" s="1"/>
  <c r="K47" i="86"/>
  <c r="M47" i="86" s="1"/>
  <c r="J47" i="86"/>
  <c r="I127" i="108"/>
  <c r="J127" i="108"/>
  <c r="J214" i="86"/>
  <c r="K214" i="86"/>
  <c r="M214" i="86" s="1"/>
  <c r="J68" i="108"/>
  <c r="L68" i="108" s="1"/>
  <c r="I68" i="108"/>
  <c r="I88" i="108"/>
  <c r="J88" i="108"/>
  <c r="L88" i="108" s="1"/>
  <c r="G189" i="109"/>
  <c r="H426" i="109"/>
  <c r="I55" i="108"/>
  <c r="J55" i="108"/>
  <c r="L55" i="108" s="1"/>
  <c r="M202" i="86"/>
  <c r="L116" i="108"/>
  <c r="H27" i="103"/>
  <c r="M243" i="86"/>
  <c r="L122" i="108"/>
  <c r="H248" i="109"/>
  <c r="G248" i="109"/>
  <c r="M119" i="86"/>
  <c r="I1131" i="109"/>
  <c r="I1146" i="109"/>
  <c r="I133" i="108"/>
  <c r="J133" i="108"/>
  <c r="L100" i="103"/>
  <c r="K112" i="103"/>
  <c r="K64" i="103"/>
  <c r="H76" i="103"/>
  <c r="H80" i="103"/>
  <c r="H235" i="109"/>
  <c r="G237" i="109"/>
  <c r="H233" i="109"/>
  <c r="H72" i="103"/>
  <c r="H937" i="109"/>
  <c r="G937" i="109"/>
  <c r="G424" i="109"/>
  <c r="G434" i="109"/>
  <c r="I63" i="103"/>
  <c r="K63" i="103" s="1"/>
  <c r="H432" i="109"/>
  <c r="I130" i="103"/>
  <c r="K130" i="103" s="1"/>
  <c r="H205" i="109"/>
  <c r="G205" i="109"/>
  <c r="H300" i="109"/>
  <c r="G300" i="109"/>
  <c r="H207" i="109"/>
  <c r="G207" i="109"/>
  <c r="G212" i="109"/>
  <c r="H212" i="109"/>
  <c r="G115" i="109"/>
  <c r="I58" i="103"/>
  <c r="K58" i="103" s="1"/>
  <c r="H58" i="103"/>
  <c r="H114" i="109"/>
  <c r="G114" i="109"/>
  <c r="H262" i="109"/>
  <c r="G262" i="109"/>
  <c r="H250" i="109"/>
  <c r="G250" i="109"/>
  <c r="H306" i="109"/>
  <c r="G306" i="109"/>
  <c r="H209" i="109"/>
  <c r="G209" i="109"/>
  <c r="H433" i="109"/>
  <c r="G433" i="109"/>
  <c r="K61" i="103"/>
  <c r="H32" i="109"/>
  <c r="G32" i="109"/>
  <c r="H256" i="109"/>
  <c r="G256" i="109"/>
  <c r="K170" i="109"/>
  <c r="J188" i="109"/>
  <c r="I57" i="103"/>
  <c r="K57" i="103" s="1"/>
  <c r="H57" i="103"/>
  <c r="G352" i="109"/>
  <c r="H352" i="109"/>
  <c r="H254" i="109"/>
  <c r="G254" i="109"/>
  <c r="H82" i="103"/>
  <c r="I82" i="103"/>
  <c r="K82" i="103" s="1"/>
  <c r="G219" i="109"/>
  <c r="H219" i="109"/>
  <c r="H272" i="109"/>
  <c r="G272" i="109"/>
  <c r="H270" i="109"/>
  <c r="G270" i="109"/>
  <c r="F20" i="21" l="1"/>
  <c r="E15" i="21"/>
  <c r="A91" i="9"/>
  <c r="A92" i="9" s="1"/>
  <c r="A58" i="9"/>
  <c r="I63" i="108"/>
  <c r="I102" i="108"/>
  <c r="I94" i="108"/>
  <c r="I50" i="108"/>
  <c r="J140" i="108"/>
  <c r="L140" i="108" s="1"/>
  <c r="I103" i="108"/>
  <c r="J365" i="109"/>
  <c r="J160" i="109"/>
  <c r="J367" i="109"/>
  <c r="L146" i="108"/>
  <c r="G60" i="126"/>
  <c r="H60" i="126"/>
  <c r="J60" i="126" s="1"/>
  <c r="K57" i="126" s="1"/>
  <c r="H109" i="109"/>
  <c r="L13" i="108"/>
  <c r="G75" i="9"/>
  <c r="H119" i="103"/>
  <c r="H118" i="103"/>
  <c r="H168" i="109"/>
  <c r="G431" i="109"/>
  <c r="H134" i="103"/>
  <c r="I134" i="103"/>
  <c r="K134" i="103" s="1"/>
  <c r="J1001" i="109"/>
  <c r="J959" i="109"/>
  <c r="J966" i="109"/>
  <c r="J229" i="109"/>
  <c r="J956" i="109"/>
  <c r="J973" i="109"/>
  <c r="J983" i="109"/>
  <c r="J993" i="109"/>
  <c r="J995" i="109"/>
  <c r="J964" i="109"/>
  <c r="J974" i="109"/>
  <c r="J976" i="109"/>
  <c r="J960" i="109"/>
  <c r="J980" i="109"/>
  <c r="J978" i="109"/>
  <c r="J252" i="109"/>
  <c r="I133" i="103"/>
  <c r="K133" i="103" s="1"/>
  <c r="H133" i="103"/>
  <c r="J981" i="109"/>
  <c r="J280" i="109"/>
  <c r="G439" i="109"/>
  <c r="J987" i="109"/>
  <c r="J971" i="109"/>
  <c r="J985" i="109"/>
  <c r="J997" i="109"/>
  <c r="J278" i="109"/>
  <c r="J999" i="109"/>
  <c r="I132" i="103"/>
  <c r="K132" i="103" s="1"/>
  <c r="H132" i="103"/>
  <c r="J991" i="109"/>
  <c r="H135" i="103"/>
  <c r="I135" i="103"/>
  <c r="K135" i="103" s="1"/>
  <c r="J962" i="109"/>
  <c r="J282" i="109"/>
  <c r="J957" i="109"/>
  <c r="J988" i="109"/>
  <c r="J968" i="109"/>
  <c r="J970" i="109"/>
  <c r="J254" i="86"/>
  <c r="H120" i="9"/>
  <c r="J120" i="9" s="1"/>
  <c r="K40" i="86"/>
  <c r="M40" i="86" s="1"/>
  <c r="K39" i="86"/>
  <c r="M39" i="86" s="1"/>
  <c r="L166" i="108"/>
  <c r="K14" i="9"/>
  <c r="I150" i="108"/>
  <c r="J150" i="108"/>
  <c r="L150" i="108" s="1"/>
  <c r="I170" i="108"/>
  <c r="J170" i="108"/>
  <c r="L170" i="108" s="1"/>
  <c r="J65" i="108"/>
  <c r="L65" i="108" s="1"/>
  <c r="I61" i="108"/>
  <c r="M164" i="86"/>
  <c r="K165" i="86"/>
  <c r="M165" i="86" s="1"/>
  <c r="J165" i="86"/>
  <c r="I164" i="108"/>
  <c r="J164" i="108"/>
  <c r="J144" i="108"/>
  <c r="I144" i="108"/>
  <c r="L161" i="108"/>
  <c r="N285" i="86"/>
  <c r="J295" i="86"/>
  <c r="K295" i="86"/>
  <c r="M295" i="86" s="1"/>
  <c r="K149" i="86"/>
  <c r="M149" i="86" s="1"/>
  <c r="J149" i="86"/>
  <c r="N141" i="86"/>
  <c r="M253" i="86"/>
  <c r="N137" i="86"/>
  <c r="I52" i="108"/>
  <c r="H1134" i="109"/>
  <c r="J1134" i="109" s="1"/>
  <c r="G429" i="109"/>
  <c r="H44" i="109"/>
  <c r="K42" i="86"/>
  <c r="M42" i="86" s="1"/>
  <c r="H19" i="109"/>
  <c r="J19" i="109" s="1"/>
  <c r="K173" i="86"/>
  <c r="M173" i="86" s="1"/>
  <c r="I24" i="21"/>
  <c r="J24" i="21" s="1"/>
  <c r="I29" i="21"/>
  <c r="J29" i="21" s="1"/>
  <c r="I27" i="21"/>
  <c r="J27" i="21" s="1"/>
  <c r="J25" i="108"/>
  <c r="L25" i="108" s="1"/>
  <c r="K115" i="86"/>
  <c r="M115" i="86" s="1"/>
  <c r="H126" i="103"/>
  <c r="H1133" i="109"/>
  <c r="I34" i="103"/>
  <c r="K34" i="103" s="1"/>
  <c r="H21" i="103"/>
  <c r="H87" i="109"/>
  <c r="K69" i="86"/>
  <c r="M69" i="86" s="1"/>
  <c r="J111" i="86"/>
  <c r="K136" i="86"/>
  <c r="M136" i="86" s="1"/>
  <c r="H1144" i="109"/>
  <c r="G1139" i="109"/>
  <c r="J100" i="108"/>
  <c r="L100" i="108" s="1"/>
  <c r="J1135" i="109"/>
  <c r="G44" i="109"/>
  <c r="H437" i="109"/>
  <c r="J437" i="109" s="1"/>
  <c r="G1141" i="109"/>
  <c r="K251" i="86"/>
  <c r="M251" i="86" s="1"/>
  <c r="G39" i="109"/>
  <c r="J14" i="108"/>
  <c r="L14" i="108" s="1"/>
  <c r="K189" i="86"/>
  <c r="M189" i="86" s="1"/>
  <c r="I130" i="108"/>
  <c r="H19" i="103"/>
  <c r="G86" i="109"/>
  <c r="K116" i="86"/>
  <c r="M116" i="86" s="1"/>
  <c r="I85" i="108"/>
  <c r="J184" i="86"/>
  <c r="I137" i="108"/>
  <c r="J48" i="108"/>
  <c r="L48" i="108" s="1"/>
  <c r="I108" i="108"/>
  <c r="I32" i="103"/>
  <c r="K32" i="103" s="1"/>
  <c r="H4" i="126"/>
  <c r="J4" i="126" s="1"/>
  <c r="I17" i="103"/>
  <c r="K17" i="103" s="1"/>
  <c r="J123" i="86"/>
  <c r="H17" i="109"/>
  <c r="J17" i="109" s="1"/>
  <c r="G1135" i="109"/>
  <c r="K284" i="86"/>
  <c r="M284" i="86" s="1"/>
  <c r="G1138" i="109"/>
  <c r="I33" i="103"/>
  <c r="K33" i="103" s="1"/>
  <c r="H421" i="109"/>
  <c r="J421" i="109" s="1"/>
  <c r="G35" i="109"/>
  <c r="I29" i="103"/>
  <c r="K29" i="103" s="1"/>
  <c r="I23" i="103"/>
  <c r="K23" i="103" s="1"/>
  <c r="H94" i="109"/>
  <c r="J94" i="109" s="1"/>
  <c r="I25" i="103"/>
  <c r="K25" i="103" s="1"/>
  <c r="G1136" i="109"/>
  <c r="G36" i="109"/>
  <c r="H101" i="109"/>
  <c r="H1143" i="109"/>
  <c r="J111" i="9"/>
  <c r="K100" i="9" s="1"/>
  <c r="I22" i="21"/>
  <c r="J22" i="21" s="1"/>
  <c r="G1131" i="109"/>
  <c r="H1146" i="109"/>
  <c r="J1146" i="109" s="1"/>
  <c r="K278" i="86"/>
  <c r="J219" i="86"/>
  <c r="K264" i="86"/>
  <c r="M264" i="86" s="1"/>
  <c r="I73" i="108"/>
  <c r="K230" i="86"/>
  <c r="M230" i="86" s="1"/>
  <c r="H105" i="109"/>
  <c r="J1132" i="109"/>
  <c r="J92" i="108"/>
  <c r="L92" i="108" s="1"/>
  <c r="J120" i="108"/>
  <c r="L120" i="108" s="1"/>
  <c r="J30" i="108"/>
  <c r="L30" i="108" s="1"/>
  <c r="J289" i="86"/>
  <c r="G1132" i="109"/>
  <c r="G88" i="109"/>
  <c r="J129" i="86"/>
  <c r="H34" i="109"/>
  <c r="J34" i="109" s="1"/>
  <c r="H18" i="103"/>
  <c r="M101" i="108"/>
  <c r="H132" i="109"/>
  <c r="J132" i="109" s="1"/>
  <c r="G132" i="109"/>
  <c r="H169" i="109"/>
  <c r="N125" i="86"/>
  <c r="H24" i="109"/>
  <c r="K157" i="108"/>
  <c r="G92" i="109"/>
  <c r="K95" i="86"/>
  <c r="M95" i="86" s="1"/>
  <c r="J39" i="108"/>
  <c r="L39" i="108" s="1"/>
  <c r="J241" i="86"/>
  <c r="H93" i="109"/>
  <c r="H1140" i="109"/>
  <c r="K158" i="86"/>
  <c r="M158" i="86" s="1"/>
  <c r="K210" i="86"/>
  <c r="M210" i="86" s="1"/>
  <c r="J1136" i="109"/>
  <c r="G1145" i="109"/>
  <c r="H92" i="109"/>
  <c r="G1137" i="109"/>
  <c r="J20" i="108"/>
  <c r="L20" i="108" s="1"/>
  <c r="G1140" i="109"/>
  <c r="K199" i="86"/>
  <c r="M199" i="86" s="1"/>
  <c r="K258" i="86"/>
  <c r="M258" i="86" s="1"/>
  <c r="H28" i="109"/>
  <c r="J28" i="109" s="1"/>
  <c r="K68" i="86"/>
  <c r="M68" i="86" s="1"/>
  <c r="J125" i="108"/>
  <c r="L125" i="108" s="1"/>
  <c r="J114" i="108"/>
  <c r="L114" i="108" s="1"/>
  <c r="J144" i="86"/>
  <c r="K108" i="86"/>
  <c r="M108" i="86" s="1"/>
  <c r="A74" i="9"/>
  <c r="A75" i="9" s="1"/>
  <c r="A76" i="9" s="1"/>
  <c r="A77" i="9" s="1"/>
  <c r="A78" i="9" s="1"/>
  <c r="A79" i="9" s="1"/>
  <c r="A80" i="9" s="1"/>
  <c r="A81" i="9" s="1"/>
  <c r="A82" i="9"/>
  <c r="A60" i="9"/>
  <c r="A59" i="9"/>
  <c r="J94" i="9"/>
  <c r="K93" i="9" s="1"/>
  <c r="G59" i="9"/>
  <c r="G26" i="109"/>
  <c r="H26" i="109"/>
  <c r="J26" i="109" s="1"/>
  <c r="I56" i="103"/>
  <c r="K56" i="103" s="1"/>
  <c r="H25" i="109"/>
  <c r="J25" i="109" s="1"/>
  <c r="G20" i="109"/>
  <c r="H29" i="109"/>
  <c r="H16" i="109"/>
  <c r="J16" i="109" s="1"/>
  <c r="G16" i="109"/>
  <c r="J40" i="109"/>
  <c r="G22" i="109"/>
  <c r="H45" i="109"/>
  <c r="J45" i="109" s="1"/>
  <c r="I31" i="103"/>
  <c r="K31" i="103" s="1"/>
  <c r="G38" i="109"/>
  <c r="G40" i="109"/>
  <c r="G37" i="109"/>
  <c r="G5" i="126"/>
  <c r="J42" i="109"/>
  <c r="H27" i="109"/>
  <c r="G15" i="109"/>
  <c r="H43" i="109"/>
  <c r="J43" i="109" s="1"/>
  <c r="H22" i="103"/>
  <c r="G21" i="109"/>
  <c r="J21" i="109"/>
  <c r="I24" i="103"/>
  <c r="K24" i="103" s="1"/>
  <c r="H18" i="109"/>
  <c r="G33" i="109"/>
  <c r="I28" i="103"/>
  <c r="K28" i="103" s="1"/>
  <c r="G42" i="109"/>
  <c r="I47" i="103"/>
  <c r="K47" i="103" s="1"/>
  <c r="H78" i="103"/>
  <c r="H231" i="109"/>
  <c r="J231" i="109" s="1"/>
  <c r="J177" i="86"/>
  <c r="N174" i="86"/>
  <c r="I55" i="103"/>
  <c r="K55" i="103" s="1"/>
  <c r="B37" i="103"/>
  <c r="B36" i="103"/>
  <c r="B75" i="103"/>
  <c r="B74" i="103"/>
  <c r="B103" i="103"/>
  <c r="B102" i="103"/>
  <c r="B137" i="103"/>
  <c r="B117" i="103"/>
  <c r="B118" i="103" s="1"/>
  <c r="B119" i="103" s="1"/>
  <c r="B120" i="103" s="1"/>
  <c r="B121" i="103" s="1"/>
  <c r="B122" i="103" s="1"/>
  <c r="B123" i="103" s="1"/>
  <c r="B124" i="103" s="1"/>
  <c r="B125" i="103" s="1"/>
  <c r="B126" i="103" s="1"/>
  <c r="B127" i="103" s="1"/>
  <c r="B128" i="103" s="1"/>
  <c r="B129" i="103" s="1"/>
  <c r="B130" i="103" s="1"/>
  <c r="B131" i="103" s="1"/>
  <c r="B132" i="103" s="1"/>
  <c r="B133" i="103" s="1"/>
  <c r="B134" i="103" s="1"/>
  <c r="B135" i="103" s="1"/>
  <c r="B136" i="103" s="1"/>
  <c r="H121" i="103"/>
  <c r="H438" i="109"/>
  <c r="J438" i="109" s="1"/>
  <c r="H129" i="103"/>
  <c r="G423" i="109"/>
  <c r="H935" i="109"/>
  <c r="J935" i="109" s="1"/>
  <c r="G127" i="9"/>
  <c r="G93" i="109"/>
  <c r="G457" i="109"/>
  <c r="H457" i="109"/>
  <c r="I95" i="109"/>
  <c r="I1158" i="109" s="1"/>
  <c r="L303" i="86"/>
  <c r="F16" i="21" s="1"/>
  <c r="G111" i="109"/>
  <c r="I7" i="126"/>
  <c r="J7" i="126" s="1"/>
  <c r="H941" i="109"/>
  <c r="H113" i="109"/>
  <c r="J113" i="109" s="1"/>
  <c r="H128" i="103"/>
  <c r="H120" i="103"/>
  <c r="G430" i="109"/>
  <c r="G1012" i="109"/>
  <c r="H90" i="109"/>
  <c r="J90" i="109" s="1"/>
  <c r="G422" i="109"/>
  <c r="K232" i="86"/>
  <c r="M232" i="86" s="1"/>
  <c r="J232" i="86"/>
  <c r="J1012" i="109"/>
  <c r="J250" i="109"/>
  <c r="J429" i="109"/>
  <c r="J422" i="109"/>
  <c r="J270" i="109"/>
  <c r="J254" i="109"/>
  <c r="J207" i="109"/>
  <c r="J32" i="109"/>
  <c r="J262" i="109"/>
  <c r="J235" i="109"/>
  <c r="J264" i="109"/>
  <c r="J1010" i="109"/>
  <c r="J425" i="109"/>
  <c r="J432" i="109"/>
  <c r="J428" i="109"/>
  <c r="J1145" i="109"/>
  <c r="J219" i="109"/>
  <c r="J114" i="109"/>
  <c r="J1130" i="109"/>
  <c r="J426" i="109"/>
  <c r="J244" i="109"/>
  <c r="J223" i="109"/>
  <c r="J423" i="109"/>
  <c r="J449" i="109"/>
  <c r="J227" i="109"/>
  <c r="J430" i="109"/>
  <c r="J111" i="109"/>
  <c r="J258" i="109"/>
  <c r="J248" i="109"/>
  <c r="J272" i="109"/>
  <c r="J433" i="109"/>
  <c r="J112" i="109"/>
  <c r="J158" i="109"/>
  <c r="J209" i="109"/>
  <c r="J937" i="109"/>
  <c r="J266" i="109"/>
  <c r="J205" i="109"/>
  <c r="J371" i="109"/>
  <c r="J256" i="109"/>
  <c r="J439" i="109"/>
  <c r="J33" i="109"/>
  <c r="J300" i="109"/>
  <c r="J233" i="109"/>
  <c r="J200" i="109"/>
  <c r="J352" i="109"/>
  <c r="J212" i="109"/>
  <c r="J260" i="109"/>
  <c r="I86" i="103"/>
  <c r="K86" i="103" s="1"/>
  <c r="G227" i="109"/>
  <c r="H84" i="103"/>
  <c r="H444" i="109"/>
  <c r="G1130" i="109"/>
  <c r="L93" i="103"/>
  <c r="H110" i="109"/>
  <c r="H100" i="109"/>
  <c r="G158" i="109"/>
  <c r="K358" i="109"/>
  <c r="H441" i="109"/>
  <c r="G425" i="109"/>
  <c r="I127" i="103"/>
  <c r="K127" i="103" s="1"/>
  <c r="G449" i="109"/>
  <c r="G428" i="109"/>
  <c r="H420" i="109"/>
  <c r="H436" i="109"/>
  <c r="G436" i="109"/>
  <c r="I123" i="103"/>
  <c r="K123" i="103" s="1"/>
  <c r="J1131" i="109"/>
  <c r="I72" i="103"/>
  <c r="K72" i="103" s="1"/>
  <c r="G233" i="109"/>
  <c r="H65" i="109"/>
  <c r="I70" i="103"/>
  <c r="K70" i="103" s="1"/>
  <c r="H70" i="103"/>
  <c r="G235" i="109"/>
  <c r="G426" i="109"/>
  <c r="I80" i="103"/>
  <c r="K80" i="103" s="1"/>
  <c r="J59" i="9"/>
  <c r="H237" i="109"/>
  <c r="H866" i="109"/>
  <c r="N117" i="86"/>
  <c r="N211" i="86"/>
  <c r="M138" i="108"/>
  <c r="I27" i="103"/>
  <c r="K27" i="103" s="1"/>
  <c r="L133" i="108"/>
  <c r="M132" i="108"/>
  <c r="H124" i="103"/>
  <c r="I124" i="103"/>
  <c r="K124" i="103" s="1"/>
  <c r="I76" i="103"/>
  <c r="K76" i="103" s="1"/>
  <c r="H450" i="109"/>
  <c r="G450" i="109"/>
  <c r="L127" i="108"/>
  <c r="M126" i="108"/>
  <c r="M286" i="86"/>
  <c r="H64" i="109"/>
  <c r="G64" i="109"/>
  <c r="L60" i="103"/>
  <c r="H91" i="109"/>
  <c r="G91" i="109"/>
  <c r="H133" i="109"/>
  <c r="G133" i="109"/>
  <c r="I183" i="103"/>
  <c r="H183" i="103"/>
  <c r="H95" i="109"/>
  <c r="K118" i="103"/>
  <c r="I185" i="103"/>
  <c r="K185" i="103" s="1"/>
  <c r="H185" i="103"/>
  <c r="J306" i="109"/>
  <c r="K290" i="109"/>
  <c r="H76" i="109"/>
  <c r="G76" i="109"/>
  <c r="F21" i="21" l="1"/>
  <c r="A93" i="9"/>
  <c r="L164" i="108"/>
  <c r="L171" i="108" s="1"/>
  <c r="J171" i="108"/>
  <c r="E19" i="21" s="1"/>
  <c r="L144" i="108"/>
  <c r="L157" i="108" s="1"/>
  <c r="M139" i="108"/>
  <c r="J109" i="109"/>
  <c r="K107" i="109"/>
  <c r="F17" i="21"/>
  <c r="L116" i="103"/>
  <c r="J157" i="108"/>
  <c r="M165" i="108"/>
  <c r="J168" i="109"/>
  <c r="J40" i="86"/>
  <c r="G92" i="9"/>
  <c r="M160" i="108"/>
  <c r="N242" i="86"/>
  <c r="N252" i="86"/>
  <c r="M278" i="86"/>
  <c r="M303" i="86" s="1"/>
  <c r="N277" i="86"/>
  <c r="N291" i="86"/>
  <c r="N161" i="86"/>
  <c r="N145" i="86"/>
  <c r="N166" i="86"/>
  <c r="H16" i="103"/>
  <c r="G19" i="109"/>
  <c r="J44" i="109"/>
  <c r="N41" i="86"/>
  <c r="G1144" i="109"/>
  <c r="G87" i="109"/>
  <c r="I21" i="103"/>
  <c r="K21" i="103" s="1"/>
  <c r="G1133" i="109"/>
  <c r="M21" i="108"/>
  <c r="H1141" i="109"/>
  <c r="H33" i="103"/>
  <c r="J93" i="109"/>
  <c r="N220" i="86"/>
  <c r="N132" i="86"/>
  <c r="M93" i="108"/>
  <c r="N185" i="86"/>
  <c r="N109" i="86"/>
  <c r="H1138" i="109"/>
  <c r="J1138" i="109" s="1"/>
  <c r="G77" i="109"/>
  <c r="H32" i="103"/>
  <c r="G17" i="109"/>
  <c r="K3" i="126"/>
  <c r="K75" i="126" s="1"/>
  <c r="J101" i="109"/>
  <c r="H23" i="103"/>
  <c r="G101" i="109"/>
  <c r="G1143" i="109"/>
  <c r="H29" i="103"/>
  <c r="M40" i="108"/>
  <c r="G1142" i="109"/>
  <c r="G1146" i="109"/>
  <c r="H25" i="103"/>
  <c r="H1142" i="109"/>
  <c r="N259" i="86"/>
  <c r="J24" i="109"/>
  <c r="H104" i="109"/>
  <c r="J104" i="109" s="1"/>
  <c r="M26" i="108"/>
  <c r="M115" i="108"/>
  <c r="G104" i="109"/>
  <c r="J92" i="109"/>
  <c r="F19" i="21"/>
  <c r="G105" i="109"/>
  <c r="N63" i="86"/>
  <c r="N190" i="86"/>
  <c r="M12" i="108"/>
  <c r="M31" i="108"/>
  <c r="G169" i="109"/>
  <c r="M121" i="108"/>
  <c r="N150" i="86"/>
  <c r="J29" i="109"/>
  <c r="N201" i="86"/>
  <c r="N101" i="86"/>
  <c r="J1140" i="109"/>
  <c r="A64" i="9"/>
  <c r="A61" i="9"/>
  <c r="A62" i="9" s="1"/>
  <c r="A63" i="9" s="1"/>
  <c r="A85" i="9"/>
  <c r="A83" i="9"/>
  <c r="A84" i="9" s="1"/>
  <c r="A94" i="9"/>
  <c r="A95" i="9" s="1"/>
  <c r="A96" i="9" s="1"/>
  <c r="A97" i="9" s="1"/>
  <c r="A98" i="9" s="1"/>
  <c r="A99" i="9" s="1"/>
  <c r="A100" i="9"/>
  <c r="A101" i="9" s="1"/>
  <c r="G27" i="109"/>
  <c r="I22" i="103"/>
  <c r="K22" i="103" s="1"/>
  <c r="I16" i="103"/>
  <c r="K16" i="103" s="1"/>
  <c r="J27" i="109"/>
  <c r="G43" i="109"/>
  <c r="J18" i="109"/>
  <c r="G18" i="109"/>
  <c r="H28" i="103"/>
  <c r="H47" i="103"/>
  <c r="L52" i="103"/>
  <c r="B40" i="103"/>
  <c r="B41" i="103" s="1"/>
  <c r="B38" i="103"/>
  <c r="B39" i="103" s="1"/>
  <c r="B160" i="103"/>
  <c r="B138" i="103"/>
  <c r="B104" i="103"/>
  <c r="B107" i="103"/>
  <c r="B108" i="103" s="1"/>
  <c r="B105" i="103"/>
  <c r="B76" i="103"/>
  <c r="B77" i="103"/>
  <c r="J457" i="109"/>
  <c r="K451" i="109"/>
  <c r="J95" i="109"/>
  <c r="K927" i="109"/>
  <c r="J75" i="126"/>
  <c r="J941" i="109"/>
  <c r="G95" i="109"/>
  <c r="N231" i="86"/>
  <c r="G90" i="109"/>
  <c r="G89" i="109"/>
  <c r="J100" i="109"/>
  <c r="J105" i="109"/>
  <c r="J436" i="109"/>
  <c r="J65" i="109"/>
  <c r="J1144" i="109"/>
  <c r="J76" i="109"/>
  <c r="J64" i="109"/>
  <c r="J420" i="109"/>
  <c r="J110" i="109"/>
  <c r="J237" i="109"/>
  <c r="J441" i="109"/>
  <c r="J1133" i="109"/>
  <c r="J444" i="109"/>
  <c r="J91" i="109"/>
  <c r="J450" i="109"/>
  <c r="J133" i="109"/>
  <c r="J87" i="109"/>
  <c r="J1143" i="109"/>
  <c r="K198" i="109"/>
  <c r="N38" i="86"/>
  <c r="K303" i="86"/>
  <c r="E16" i="21" s="1"/>
  <c r="J39" i="86"/>
  <c r="G866" i="109"/>
  <c r="K53" i="9"/>
  <c r="L68" i="103"/>
  <c r="K418" i="109"/>
  <c r="J866" i="109"/>
  <c r="H134" i="109"/>
  <c r="G134" i="109"/>
  <c r="K183" i="103"/>
  <c r="I187" i="103"/>
  <c r="K187" i="103" s="1"/>
  <c r="H187" i="103"/>
  <c r="J169" i="109"/>
  <c r="K166" i="109"/>
  <c r="E54" i="21" l="1"/>
  <c r="G54" i="21" s="1"/>
  <c r="F39" i="21"/>
  <c r="F56" i="21" s="1"/>
  <c r="F59" i="21" s="1"/>
  <c r="F61" i="21" s="1"/>
  <c r="M171" i="108"/>
  <c r="G15" i="21"/>
  <c r="H92" i="9"/>
  <c r="I45" i="103"/>
  <c r="K45" i="103" s="1"/>
  <c r="H45" i="103"/>
  <c r="J1141" i="109"/>
  <c r="E17" i="21"/>
  <c r="H77" i="109"/>
  <c r="J77" i="109" s="1"/>
  <c r="K1127" i="109"/>
  <c r="J1142" i="109"/>
  <c r="A106" i="9"/>
  <c r="A102" i="9"/>
  <c r="A88" i="9"/>
  <c r="A89" i="9" s="1"/>
  <c r="A90" i="9" s="1"/>
  <c r="A86" i="9"/>
  <c r="A87" i="9" s="1"/>
  <c r="A65" i="9"/>
  <c r="A66" i="9" s="1"/>
  <c r="A67" i="9" s="1"/>
  <c r="A68" i="9" s="1"/>
  <c r="A69" i="9"/>
  <c r="A70" i="9" s="1"/>
  <c r="A71" i="9" s="1"/>
  <c r="B78" i="103"/>
  <c r="B79" i="103"/>
  <c r="B106" i="103"/>
  <c r="B109" i="103"/>
  <c r="B144" i="103"/>
  <c r="B139" i="103"/>
  <c r="B140" i="103" s="1"/>
  <c r="B152" i="103" s="1"/>
  <c r="B141" i="103" s="1"/>
  <c r="B142" i="103" s="1"/>
  <c r="B143" i="103" s="1"/>
  <c r="B163" i="103"/>
  <c r="B161" i="103"/>
  <c r="B162" i="103" s="1"/>
  <c r="N303" i="86"/>
  <c r="H89" i="109"/>
  <c r="I54" i="21"/>
  <c r="J54" i="21" s="1"/>
  <c r="H121" i="9"/>
  <c r="I121" i="9"/>
  <c r="I117" i="9" s="1"/>
  <c r="I130" i="9" s="1"/>
  <c r="G121" i="9"/>
  <c r="J134" i="109"/>
  <c r="H192" i="103"/>
  <c r="I192" i="103"/>
  <c r="G135" i="109"/>
  <c r="H135" i="109"/>
  <c r="M157" i="108" l="1"/>
  <c r="F62" i="21"/>
  <c r="F64" i="21" s="1"/>
  <c r="I15" i="21"/>
  <c r="J15" i="21" s="1"/>
  <c r="H13" i="9"/>
  <c r="J92" i="9"/>
  <c r="K91" i="9" s="1"/>
  <c r="K12" i="109"/>
  <c r="L12" i="103"/>
  <c r="G17" i="21"/>
  <c r="A107" i="9"/>
  <c r="A110" i="9"/>
  <c r="F43" i="21"/>
  <c r="F45" i="21" s="1"/>
  <c r="F46" i="21" s="1"/>
  <c r="F48" i="21" s="1"/>
  <c r="G16" i="21"/>
  <c r="H200" i="103"/>
  <c r="I200" i="103"/>
  <c r="B164" i="103"/>
  <c r="B165" i="103" s="1"/>
  <c r="B166" i="103" s="1"/>
  <c r="B167" i="103" s="1"/>
  <c r="B168" i="103" s="1"/>
  <c r="B169" i="103" s="1"/>
  <c r="B170" i="103" s="1"/>
  <c r="B171" i="103" s="1"/>
  <c r="B172" i="103" s="1"/>
  <c r="B173" i="103" s="1"/>
  <c r="B174" i="103" s="1"/>
  <c r="B178" i="103"/>
  <c r="B148" i="103"/>
  <c r="B149" i="103" s="1"/>
  <c r="B150" i="103" s="1"/>
  <c r="B145" i="103"/>
  <c r="B146" i="103" s="1"/>
  <c r="B147" i="103" s="1"/>
  <c r="B111" i="103"/>
  <c r="B112" i="103" s="1"/>
  <c r="B110" i="103"/>
  <c r="B80" i="103"/>
  <c r="B81" i="103"/>
  <c r="B113" i="103"/>
  <c r="B114" i="103" s="1"/>
  <c r="B115" i="103" s="1"/>
  <c r="J89" i="109"/>
  <c r="J135" i="109"/>
  <c r="K192" i="103"/>
  <c r="J121" i="9"/>
  <c r="I194" i="103"/>
  <c r="H194" i="103"/>
  <c r="H136" i="109"/>
  <c r="G136" i="109"/>
  <c r="K13" i="9" l="1"/>
  <c r="G19" i="21"/>
  <c r="I17" i="21"/>
  <c r="J17" i="21" s="1"/>
  <c r="B82" i="103"/>
  <c r="B83" i="103"/>
  <c r="E13" i="21"/>
  <c r="A114" i="9"/>
  <c r="A115" i="9" s="1"/>
  <c r="A111" i="9"/>
  <c r="A112" i="9" s="1"/>
  <c r="A113" i="9" s="1"/>
  <c r="A108" i="9"/>
  <c r="A109" i="9" s="1"/>
  <c r="A105" i="9"/>
  <c r="I16" i="21"/>
  <c r="J16" i="21" s="1"/>
  <c r="I205" i="103"/>
  <c r="K205" i="103" s="1"/>
  <c r="H205" i="103"/>
  <c r="I201" i="103"/>
  <c r="H201" i="103"/>
  <c r="K200" i="103"/>
  <c r="B179" i="103"/>
  <c r="B208" i="103"/>
  <c r="B180" i="103"/>
  <c r="B181" i="103" s="1"/>
  <c r="B175" i="103"/>
  <c r="B176" i="103" s="1"/>
  <c r="B177" i="103" s="1"/>
  <c r="J136" i="109"/>
  <c r="H119" i="9"/>
  <c r="H137" i="109"/>
  <c r="G137" i="109"/>
  <c r="K194" i="103"/>
  <c r="I19" i="21" l="1"/>
  <c r="J19" i="21" s="1"/>
  <c r="B85" i="103"/>
  <c r="B84" i="103"/>
  <c r="B93" i="103" s="1"/>
  <c r="B94" i="103" s="1"/>
  <c r="B95" i="103" s="1"/>
  <c r="G13" i="21"/>
  <c r="G119" i="9"/>
  <c r="K201" i="103"/>
  <c r="H206" i="103"/>
  <c r="I206" i="103"/>
  <c r="H925" i="109"/>
  <c r="G925" i="109"/>
  <c r="B185" i="103"/>
  <c r="B209" i="103"/>
  <c r="B210" i="103" s="1"/>
  <c r="B212" i="103" s="1"/>
  <c r="B218" i="103"/>
  <c r="B182" i="103"/>
  <c r="B184" i="103"/>
  <c r="B204" i="103"/>
  <c r="B205" i="103" s="1"/>
  <c r="B206" i="103" s="1"/>
  <c r="B207" i="103" s="1"/>
  <c r="H117" i="9"/>
  <c r="E14" i="21" s="1"/>
  <c r="J119" i="9"/>
  <c r="H138" i="109"/>
  <c r="G138" i="109"/>
  <c r="J137" i="109"/>
  <c r="B96" i="103" l="1"/>
  <c r="B97" i="103" s="1"/>
  <c r="B98" i="103" s="1"/>
  <c r="B99" i="103" s="1"/>
  <c r="B86" i="103"/>
  <c r="B87" i="103"/>
  <c r="I13" i="21"/>
  <c r="J925" i="109"/>
  <c r="G926" i="109"/>
  <c r="H926" i="109"/>
  <c r="H924" i="109"/>
  <c r="H1158" i="109" s="1"/>
  <c r="G924" i="109"/>
  <c r="K206" i="103"/>
  <c r="H207" i="103"/>
  <c r="I207" i="103"/>
  <c r="K207" i="103" s="1"/>
  <c r="B213" i="103"/>
  <c r="B211" i="103"/>
  <c r="B214" i="103" s="1"/>
  <c r="B215" i="103" s="1"/>
  <c r="B216" i="103" s="1"/>
  <c r="B217" i="103" s="1"/>
  <c r="B186" i="103"/>
  <c r="B183" i="103"/>
  <c r="B222" i="103"/>
  <c r="B219" i="103"/>
  <c r="B221" i="103" s="1"/>
  <c r="J138" i="109"/>
  <c r="K129" i="109"/>
  <c r="K118" i="9"/>
  <c r="J130" i="9"/>
  <c r="H130" i="9"/>
  <c r="E21" i="21" l="1"/>
  <c r="K117" i="9"/>
  <c r="J13" i="21"/>
  <c r="B88" i="103"/>
  <c r="B89" i="103"/>
  <c r="L178" i="103"/>
  <c r="I273" i="103"/>
  <c r="K273" i="103"/>
  <c r="K858" i="109"/>
  <c r="J924" i="109"/>
  <c r="J926" i="109"/>
  <c r="B223" i="103"/>
  <c r="B225" i="103"/>
  <c r="B238" i="103" s="1"/>
  <c r="B256" i="103" s="1"/>
  <c r="B188" i="103"/>
  <c r="B189" i="103" s="1"/>
  <c r="B190" i="103" s="1"/>
  <c r="B193" i="103"/>
  <c r="B194" i="103" s="1"/>
  <c r="B198" i="103" s="1"/>
  <c r="B187" i="103"/>
  <c r="B191" i="103" s="1"/>
  <c r="B192" i="103" s="1"/>
  <c r="G14" i="21"/>
  <c r="K130" i="9" l="1"/>
  <c r="E20" i="21"/>
  <c r="B91" i="103"/>
  <c r="B92" i="103" s="1"/>
  <c r="B90" i="103"/>
  <c r="K1158" i="109"/>
  <c r="J1158" i="109"/>
  <c r="L273" i="103"/>
  <c r="B202" i="103"/>
  <c r="B203" i="103" s="1"/>
  <c r="B199" i="103"/>
  <c r="B200" i="103" s="1"/>
  <c r="B201" i="103" s="1"/>
  <c r="B257" i="103"/>
  <c r="B258" i="103" s="1"/>
  <c r="B259" i="103" s="1"/>
  <c r="B268" i="103"/>
  <c r="B269" i="103" s="1"/>
  <c r="B270" i="103" s="1"/>
  <c r="I14" i="21"/>
  <c r="G21" i="21"/>
  <c r="J14" i="21" l="1"/>
  <c r="E39" i="21"/>
  <c r="E56" i="21" s="1"/>
  <c r="E59" i="21" s="1"/>
  <c r="E61" i="21" s="1"/>
  <c r="G20" i="21"/>
  <c r="I21" i="21"/>
  <c r="J21" i="21" s="1"/>
  <c r="E43" i="21" l="1"/>
  <c r="E45" i="21" s="1"/>
  <c r="E62" i="21"/>
  <c r="E64" i="21" s="1"/>
  <c r="G39" i="21"/>
  <c r="G56" i="21" s="1"/>
  <c r="I20" i="21"/>
  <c r="J20" i="21" l="1"/>
  <c r="J39" i="21" s="1"/>
  <c r="J56" i="21" s="1"/>
  <c r="I39" i="21"/>
  <c r="I56" i="21" s="1"/>
  <c r="G59" i="21"/>
  <c r="G61" i="21" s="1"/>
  <c r="G62" i="21" s="1"/>
  <c r="G43" i="21"/>
  <c r="D41" i="21"/>
  <c r="E46" i="21"/>
  <c r="G45" i="21" l="1"/>
  <c r="D58" i="21"/>
  <c r="I43" i="21"/>
  <c r="J43" i="21" s="1"/>
  <c r="J45" i="21" s="1"/>
  <c r="E48" i="21"/>
  <c r="I59" i="21" l="1"/>
  <c r="J59" i="21" s="1"/>
  <c r="J61" i="21" s="1"/>
  <c r="G46" i="21"/>
  <c r="I45" i="21"/>
  <c r="G48" i="21" l="1"/>
  <c r="I61" i="21"/>
  <c r="I46" i="21"/>
  <c r="J46" i="21" s="1"/>
  <c r="G64" i="21" l="1"/>
  <c r="I62" i="21"/>
  <c r="J62" i="21" s="1"/>
  <c r="I48" i="21"/>
  <c r="J48" i="21" l="1"/>
  <c r="I64" i="21"/>
  <c r="J64" i="21" l="1"/>
</calcChain>
</file>

<file path=xl/sharedStrings.xml><?xml version="1.0" encoding="utf-8"?>
<sst xmlns="http://schemas.openxmlformats.org/spreadsheetml/2006/main" count="6523" uniqueCount="2828">
  <si>
    <t>AC :</t>
  </si>
  <si>
    <t>TC :</t>
  </si>
  <si>
    <t>Código S10</t>
  </si>
  <si>
    <t>xxxx</t>
  </si>
  <si>
    <t xml:space="preserve">Proyecto     </t>
  </si>
  <si>
    <t>GERMANIA</t>
  </si>
  <si>
    <t>REV :</t>
  </si>
  <si>
    <t>Presupuesto</t>
  </si>
  <si>
    <t>AREA CONSTRUIDA TOTAL :</t>
  </si>
  <si>
    <t>M2</t>
  </si>
  <si>
    <t>Cliente</t>
  </si>
  <si>
    <t>VYV INMOBILIARIA</t>
  </si>
  <si>
    <t>Lugar</t>
  </si>
  <si>
    <t>SURQUILLO</t>
  </si>
  <si>
    <t>PLAZO :</t>
  </si>
  <si>
    <t xml:space="preserve">Fecha          </t>
  </si>
  <si>
    <t>MESES</t>
  </si>
  <si>
    <t>TOTAL (S/)</t>
  </si>
  <si>
    <t>S/ x m2</t>
  </si>
  <si>
    <t>$ x m2</t>
  </si>
  <si>
    <t>ITEM</t>
  </si>
  <si>
    <t>DESCRIPCIÓN</t>
  </si>
  <si>
    <t>MONTO PARCIAL (S/)</t>
  </si>
  <si>
    <t>MONTO PARCIAL (US$)</t>
  </si>
  <si>
    <t xml:space="preserve">OBRAS PROVISIONALES </t>
  </si>
  <si>
    <t xml:space="preserve">SEGURIDAD Y SALUD </t>
  </si>
  <si>
    <t xml:space="preserve">ESTRUCTURAS SÓTANO </t>
  </si>
  <si>
    <t xml:space="preserve"> </t>
  </si>
  <si>
    <t>ESTRUCTURAS TORRE</t>
  </si>
  <si>
    <t>DETALLE DE FACHADA</t>
  </si>
  <si>
    <t>ARQUITECTURA SÓTANO</t>
  </si>
  <si>
    <t>ARQUITECTURA TORRE</t>
  </si>
  <si>
    <t xml:space="preserve">INSTALACIONES ELÉCTRICAS </t>
  </si>
  <si>
    <t xml:space="preserve">INSTALACIONES SANITARIAS </t>
  </si>
  <si>
    <t>EQUIPAMIENTO DE BOMBAS (IISS)</t>
  </si>
  <si>
    <t>EQUIPAMIENTO DE PISCINA + REVESTIMIENTO DE LÁMINA (IISS)</t>
  </si>
  <si>
    <t>Total</t>
  </si>
  <si>
    <t>SISTEMA DE AGUA CONTRAINCENDIO</t>
  </si>
  <si>
    <t xml:space="preserve">EQUIPAMIENTO DE AGUA CONTRAINCENDIO </t>
  </si>
  <si>
    <t xml:space="preserve">SISTEMA DE VENTILACIÓN Y EXTRACCIÓN </t>
  </si>
  <si>
    <t>SISTEMA DE GAS (2 PTOS DE GAS) GN tub cobre + Pe Al Pe (ingreso dep)</t>
  </si>
  <si>
    <t>SISTEMA DE DETECCIÓN Y ALARMA</t>
  </si>
  <si>
    <t xml:space="preserve">SISTEMA DE CCTV </t>
  </si>
  <si>
    <t xml:space="preserve">EQUIPAMIENTO (INTERCOMUNICADORES) </t>
  </si>
  <si>
    <t xml:space="preserve">GRUPO ELECTROGENO </t>
  </si>
  <si>
    <t xml:space="preserve">ASCENSORES </t>
  </si>
  <si>
    <t xml:space="preserve">PLATAFORMA DISCAPACITADOS </t>
  </si>
  <si>
    <t>OBRAS EXTERIORES (NO SE INCLUYE)</t>
  </si>
  <si>
    <t>SISTEMA FOTOVOLTAICO</t>
  </si>
  <si>
    <t>COSTO DIRECTO</t>
  </si>
  <si>
    <t xml:space="preserve">GASTOS GENERALES </t>
  </si>
  <si>
    <t>UTILIDAD CD</t>
  </si>
  <si>
    <t>VALOR DE VENTA</t>
  </si>
  <si>
    <t>IGV</t>
  </si>
  <si>
    <t>TOTAL</t>
  </si>
  <si>
    <t>Área techada sótanos =</t>
  </si>
  <si>
    <t>PARTIDA COMPLEMENTARIAS</t>
  </si>
  <si>
    <t>Área techada torre =</t>
  </si>
  <si>
    <t>Área techada total =</t>
  </si>
  <si>
    <t>OFICINAS</t>
  </si>
  <si>
    <t>Área de terreno =</t>
  </si>
  <si>
    <t>DETALLE DE FACHADA EN ESTRUCTURAS</t>
  </si>
  <si>
    <t>MALLAS ANTICAÍDAS Y ENCAPSULADO NUEVO ESTÁNDAR DE SEGURIDAD</t>
  </si>
  <si>
    <t>PAISAJISMO (SERÁ CONTRATADO POR INMOBILIARIA)</t>
  </si>
  <si>
    <t>N° Departamentos =</t>
  </si>
  <si>
    <t>( 7 Sótanos Inc. Cisterna)</t>
  </si>
  <si>
    <t>(27 pisos + Azotea)</t>
  </si>
  <si>
    <t>Subpresupuesto</t>
  </si>
  <si>
    <t>Fecha</t>
  </si>
  <si>
    <t>DESCRIPCION</t>
  </si>
  <si>
    <t>UND</t>
  </si>
  <si>
    <t>METRADO</t>
  </si>
  <si>
    <t>P.U. (PEN)</t>
  </si>
  <si>
    <t>P.U. (USD)</t>
  </si>
  <si>
    <t>P.U. TOTAL (PEN)</t>
  </si>
  <si>
    <t>PRECIO PARCIAL (PEN)</t>
  </si>
  <si>
    <t>PRECIO PARCIAL (USD)</t>
  </si>
  <si>
    <t>PARCIAL TOTAL (PEN)</t>
  </si>
  <si>
    <t>MUROS Y TABIQUES</t>
  </si>
  <si>
    <t>MUROS Y TABIQUES SILICO CALCAREOS</t>
  </si>
  <si>
    <t>ALTURA &lt; 2.60</t>
  </si>
  <si>
    <t>LADRILLO SILICO CALCAREO TIPO P7 H&lt;2.6M</t>
  </si>
  <si>
    <t>m2</t>
  </si>
  <si>
    <t>LADRILLO SILICO CALCAREO TIPO P10 H&lt;2.6M</t>
  </si>
  <si>
    <t>LADRILLO SILICO CALCAREO TIPO P12 H&lt;2.6M</t>
  </si>
  <si>
    <t>LADRILLO SILICO CALCAREO TIPO P14 H&lt;2.6M</t>
  </si>
  <si>
    <t>LADRILLO SILICO CALCAREO TIPO P20 H&lt;2.6M</t>
  </si>
  <si>
    <t>LADRILLO SILICO CALCAREO TIPO P25 H&lt;2.6M</t>
  </si>
  <si>
    <t>LADRILLO SILICO CALCAREO TIPO P30 H&lt;2.6M</t>
  </si>
  <si>
    <t>LADRILLO SILICO CALCAREO TIPO P40 H&lt;2.6M</t>
  </si>
  <si>
    <t>ALTURA &gt; 2.60</t>
  </si>
  <si>
    <t>LADRILLO SILICO CALCAREO TIPO P7 H&gt;2.6M</t>
  </si>
  <si>
    <t>LADRILLO SILICO CALCAREO TIPO P10 H&gt;2.6M</t>
  </si>
  <si>
    <t>LADRILLO SILICO CALCAREO TIPO P12 H&gt;2.6M</t>
  </si>
  <si>
    <t>LADRILLO SILICO CALCAREO TIPO P14 H&gt;2.6M</t>
  </si>
  <si>
    <t>LADRILLO SILICO CALCAREO TIPO P20 H&gt;2.6M</t>
  </si>
  <si>
    <t>LADRILLO SILICO CALCAREO TIPO P25 H&gt;2.6M</t>
  </si>
  <si>
    <t>LADRILLO SILICO CALCAREO TIPO P55 H&gt;2.6M</t>
  </si>
  <si>
    <t>CORTAFUEGO &lt; 2.60</t>
  </si>
  <si>
    <t>LADRILLO SILICO CALCAREO TIPO P10 RF:2 HRS H&lt;2.6M (ALVEOLOS COMPLETAMENTE LLENO)</t>
  </si>
  <si>
    <t>LADRILLO SILICO CALCAREO TIPO P12 RF:2 HRS H&lt;2.6M (ALVEOLOS PARCIALMENTE LLENO)</t>
  </si>
  <si>
    <t>LADRILLO SILICO CALCAREO TIPO P14 RF:2 HRS H&lt;2.6M (ALVEOLOS PARCIALMENTE LLENO)</t>
  </si>
  <si>
    <t>LADRILLO SILICO CALCAREO TIPO P20 RF:2 HRS H&lt;2.6M (ALVEOLOS PARCIALMENTE LLENO)</t>
  </si>
  <si>
    <t>LADRILLO SILICO CALCAREO TIPO P30 RF:2 HRS H&lt;2.6M (ALVEOLOS PARCIALMENTE LLENO)</t>
  </si>
  <si>
    <t>LADRILLO SILICO CALCAREO TIPO P35 RF:2 HRS H&lt;2.6M (ALVEOLOS PARCIALMENTE LLENO)</t>
  </si>
  <si>
    <t>LADRILLO SILICO CALCAREO TIPO P40 RF:2 HRS H&lt;2.6M (ALVEOLOS PARCIALMENTE LLENO)</t>
  </si>
  <si>
    <t>LADRILLO SILICO CALCAREO TIPO P45 RF:2 HRS H&lt;2.6M (ALVEOLOS PARCIALMENTE LLENO)</t>
  </si>
  <si>
    <t>LADRILLO SILICO CALCAREO TIPO P50 RF:2 HRS H&lt;2.6M (ALVEOLOS PARCIALMENTE LLENO)</t>
  </si>
  <si>
    <t>CORTAFUEGO &gt; 2.60</t>
  </si>
  <si>
    <t>LADRILLO SILICO CALCAREO TIPO P7 RF:2 HRS H&gt;2.6M (ALVEOLOS COMPLETAMENTE LLENO)</t>
  </si>
  <si>
    <t>LADRILLO SILICO CALCAREO TIPO P10 RF:2 HRS H&gt;2.6M (ALVEOLOS COMPLETAMENTE LLENO)</t>
  </si>
  <si>
    <t>LADRILLO SILICO CALCAREO TIPO P12 RF:2 HRS H&gt;2.6M (ALVEOLOS PARCIALMENTE LLENO)</t>
  </si>
  <si>
    <t>LADRILLO SILICO CALCAREO TIPO P14 RF:2 HRS H&gt;2.6M (ALVEOLOS PARCIALMENTE LLENO)</t>
  </si>
  <si>
    <t>LADRILLO SILICO CALCAREO TIPO P25 RF:2 HRS H&gt;2.6M (ALVEOLOS COMPLETAMENTE LLENO)</t>
  </si>
  <si>
    <t>LADRILLO SILICO CALCAREO TIPO P30 RF:2 HRS H&gt;2.6M (ALVEOLOS COMPLETAMENTE LLENO)</t>
  </si>
  <si>
    <t>LADRILLO SILICO CALCAREO TIPO P60 RF:2 HRS H&gt;2.6M (ALVEOLOS COMPLETAMENTE LLENO)</t>
  </si>
  <si>
    <t>ACERO DE REFUERZO</t>
  </si>
  <si>
    <t>ACERO DE REFUERZO FY= 4200 kg/cm2 GRADO 60 PARA TABIQUERÍA</t>
  </si>
  <si>
    <t>kg</t>
  </si>
  <si>
    <t>DINTELES</t>
  </si>
  <si>
    <t>DINTELES DE LADRILLOS SILICO CALCAREO</t>
  </si>
  <si>
    <t>und</t>
  </si>
  <si>
    <t xml:space="preserve">DINTELES DE LADRILLO SILICO CALCAREO RF </t>
  </si>
  <si>
    <t>TRABAJOS COMPLEMENTARIOS DE TABIQUERIA</t>
  </si>
  <si>
    <t>FORJADO DE TABLEROS</t>
  </si>
  <si>
    <t>ENCOFRADO DE TUBERIAS DE MONTANTE DE VENTILACIÓN</t>
  </si>
  <si>
    <t>PASES DE MANGUERA (0.20x0.20M)</t>
  </si>
  <si>
    <t>NICHOS PARA EXTRACTOR DE SSHH Y VESTIBULOS PREVIOS</t>
  </si>
  <si>
    <t>OTROS TABIQUERIA</t>
  </si>
  <si>
    <t>CASETA, ALMACEN DE HERRAMIENTAS, VESTIBULO Y BANCAS-SC TABIQUERIA</t>
  </si>
  <si>
    <t>glb</t>
  </si>
  <si>
    <t xml:space="preserve">SC PREVENCIONISTA DE RIESGO-SC TABIQUERIA </t>
  </si>
  <si>
    <t>mes</t>
  </si>
  <si>
    <t>MEDIDORES</t>
  </si>
  <si>
    <t>MURO DE ALBAÑILERIA KK E:25CM</t>
  </si>
  <si>
    <t>MURO DE ALBAÑILERIA KK BANCO DE MEDIDORES H=3.00M, E: 25CM</t>
  </si>
  <si>
    <t>MURO DE ALBAÑILERIA KK BANCO DE MEDIDORES H=6.00M, E: 25CM</t>
  </si>
  <si>
    <t>MUROS Y TABIQUES DRYWALL</t>
  </si>
  <si>
    <t>DRYWALL PERIMETRAL H=3.00M CON PLANCHA DE MATERIAL LIVIANO</t>
  </si>
  <si>
    <t>ESTRUCTURA DE MATERIAL LIGERO H: 3.00 M</t>
  </si>
  <si>
    <t>DINTELES DE DRYWALL RH (SOBRE LAVANDERIAS)</t>
  </si>
  <si>
    <t>ml</t>
  </si>
  <si>
    <t xml:space="preserve">DINTELES DE LADRILLO SILICO CALCAREO EN MAMPARAS </t>
  </si>
  <si>
    <t>DINTEL FCR RF:2HRS (MONTANTES DUCTO)</t>
  </si>
  <si>
    <t>SOBREMURO</t>
  </si>
  <si>
    <t>TABIQUE DRYWALL E=0.10m</t>
  </si>
  <si>
    <t>TABIQUE DRYWALL E=0.12m</t>
  </si>
  <si>
    <t>PARAPETOS Y SARDINELES</t>
  </si>
  <si>
    <t>PARAPETOS EN VENTANAS (E=0.10M, H=VARIADAS)</t>
  </si>
  <si>
    <t>PARAPETOS EN VENTANAS (E=0.12M, H=VARIADAS)</t>
  </si>
  <si>
    <t>PARAPETO E=0.10M, H=0.60M (JARDINERA FACHADA INTERNA)</t>
  </si>
  <si>
    <t>PARAPETO E=0.10M, H=0.90M (JARDINERA 1P Y AZOTEA)</t>
  </si>
  <si>
    <t>PARAPETO A=0.12M , H=1.20ML (ELEVADOR DISCAP)</t>
  </si>
  <si>
    <t>PARAPETO E=0.10M, H=1.20M/1.30M (AZOTEA - JARDINERA)</t>
  </si>
  <si>
    <t xml:space="preserve">PARAPETO E=0.15M, H=1.30M (AZOTEA -JARDINERA) </t>
  </si>
  <si>
    <t>SARDINELES DUCHAS (A=0.10M) , H=0.10M</t>
  </si>
  <si>
    <t>SARDINEL MAMPARAS EN GENERAL (A=0.10M) , H=0.08M - DPTOS</t>
  </si>
  <si>
    <t>SARDINEL VENTANAS</t>
  </si>
  <si>
    <t xml:space="preserve">SARDINEL EN CLOSET DE LAVANDERÍA </t>
  </si>
  <si>
    <t>SARDINEL EN CUARTO DE ACOPIO H:0.10M (E=10CM)</t>
  </si>
  <si>
    <t>SARDINEL DUCTOS TECNICOS H=0.10M, E=0.12M</t>
  </si>
  <si>
    <t xml:space="preserve">SARDINELES BARANDAS DE VIDRIO AZOTEA (A=0.12/0.15M , H=0.35M) - PARRILLAS 25P Y AZOT.  </t>
  </si>
  <si>
    <t xml:space="preserve">SARDINELES JARDINES (A=0.10M , H=0.40M) - PARRILLAS 25P Y AZOT.  </t>
  </si>
  <si>
    <t>SARDINELES A NIVEL DE VEREDA  (A=0.10M , H=RAZ DE VERDAD)</t>
  </si>
  <si>
    <t>SARDINEL H = 0.10 E =  0.20</t>
  </si>
  <si>
    <t>SARDINEL H = 0.10 E =  0.41</t>
  </si>
  <si>
    <t>ESTRUCTURAS DE CONCRETO (TABLEROS, BANCAS)</t>
  </si>
  <si>
    <t>Bancas rectas de patio interior</t>
  </si>
  <si>
    <t>BANCA CON JARDINERA DE CONCRETO , REVESTIDO CON TERRAZO NEGRO PREMEZCLADO COLOR NEGRO CARBÓN GRANO Nª1. *CONSIDERAR JUNTA DE DILATACIÒN CON PERFIL DE ALUMINIO(L=3.00M, A=0.55M, H=0.75M), INCL. ACABADO</t>
  </si>
  <si>
    <t xml:space="preserve">MUEBLE PARRILLA VACIADO DE CONCRETO CON TABLERO DE GRANITO NEGRO *CONSIDERAR PARRILLA A EMPOTRAR *CONSIDERAR LAVACOPAS *VER D-01 EN LÁMINA A-05 H: 90cm , A=0.60 , L=2.80m </t>
  </si>
  <si>
    <t>BANQUETA DE MADERA Ò SIMILAR  (L=5.60M, A=0.45M, H=0.45M) INCL. ACABADO</t>
  </si>
  <si>
    <t>TABLERO PARRILLAS</t>
  </si>
  <si>
    <t>TABLERO PARA BAÑOS DE LOBBY EN  OFICINAS</t>
  </si>
  <si>
    <t>TABLERO PARA LAVADERO COMÚN</t>
  </si>
  <si>
    <t>REVOQUES Y ENLUCIDOS EN INTERIORES</t>
  </si>
  <si>
    <t>INTERIORES (DPTO) Y AREAS COMUNES</t>
  </si>
  <si>
    <t xml:space="preserve">SOLAQUEO EN MUROS POSTERIORMENTE A PINTAR </t>
  </si>
  <si>
    <t>SOLAQUEO DE DUCTOS DE ASCENSORES</t>
  </si>
  <si>
    <t xml:space="preserve">SOLAQUEO DE MUROS Y PLACAS DE ESCALERA </t>
  </si>
  <si>
    <t>TARRAJEO DE MUROS LADRILLO KK</t>
  </si>
  <si>
    <t>SOLAQUEO DE COLUMNAS Y PLACAS</t>
  </si>
  <si>
    <t>LIMPIEZA DE DUCTOS DE VENTILACION</t>
  </si>
  <si>
    <t>VESTIDURA DE DERRAMES EN VANOS</t>
  </si>
  <si>
    <t>IMPERMEABILIZACIONES</t>
  </si>
  <si>
    <t>IMPERMEABILIZACION DE PISO DE DUCHAS</t>
  </si>
  <si>
    <t xml:space="preserve">IMPERMEABILIZACION DE PARED DE DUCHAS (H=0.30M) </t>
  </si>
  <si>
    <t>IMPERMEABILIZACIÓN EN LAVANDERÍAS</t>
  </si>
  <si>
    <t>IMPERMEABILIZACION  EN LAVAMOP. MURO Y PISO - CTO DE BASUR. 1P</t>
  </si>
  <si>
    <t>PISO PULIDO DE SUPERFICIE PARA IMPERMEABILIZAR - JARDINERAS</t>
  </si>
  <si>
    <t>ACABADO DE PAREDES DE JARDINERAS</t>
  </si>
  <si>
    <t>BOLEADO DE ARISTAS EN JARDINERAS</t>
  </si>
  <si>
    <t>CONTRAPISO PARA PISO DE JARDINERAS</t>
  </si>
  <si>
    <t>IMPERMEABILIZACION PISO JARDINERAS</t>
  </si>
  <si>
    <t>IMPERMEABILIZACION PARED JARDINERAS</t>
  </si>
  <si>
    <t>IMPERMEABILIZACIÓN ÁREAS COMUNES SIN TECHAR.</t>
  </si>
  <si>
    <t>IMPERMEABILIZACIÓN PISCINA</t>
  </si>
  <si>
    <t>REVOQUES Y ENLUCIDOS EN FACHADA</t>
  </si>
  <si>
    <t>FACHADA // EXTERIORES</t>
  </si>
  <si>
    <t>TARRAJEO EN MUROS EXTERIORES</t>
  </si>
  <si>
    <t>TARRAJEO 1 EN MUROS EXTERIORES (ALTURA) - PLOMO 1P</t>
  </si>
  <si>
    <t>TARRAJEO 1 EN MUROS EXTERIORES (ALTURA) - GUINDA / NARANJA</t>
  </si>
  <si>
    <t>TARRAJEO 1 EN MUROS EXTERIORES (ALTURA) - BALCONES INTERNOS</t>
  </si>
  <si>
    <t>TARRAJEO 1 EN MUROS EXTERIORES (ALTURA) - PARAP. SUP.</t>
  </si>
  <si>
    <t>TARRAJEO  EN VOLADO BASE/CIELOR EXT. 1P (VERTICALES)</t>
  </si>
  <si>
    <t>TARRAJEO  EN VOLADO CIELOR EXT. / BALCONES SUP.</t>
  </si>
  <si>
    <t>TARRAJEO  EN MUROS EXTERIORES AZOT. (ALTURA)</t>
  </si>
  <si>
    <t>TARRAJEO DE VOLADOS H=0.51 , PROF.=0.80ML - HORIZONT.</t>
  </si>
  <si>
    <t>TARRAJEO DE VOLADOS H=0.22 , PROF.=0.30ML - HORIZONT.</t>
  </si>
  <si>
    <t>TARRAJEO DE VOLADOS H=0.25 , PROF.=0.15ML - VERT.</t>
  </si>
  <si>
    <t>TARRAJEO DE VOLADOS H=0.30 , PROF.=0.15ML - VERT.</t>
  </si>
  <si>
    <t>PINTURA LATEX EXT. INGRESPO 1P</t>
  </si>
  <si>
    <t>PINTURA 1 LATEX FACH. (ALTURA) - ACABADO PLOMO 1P</t>
  </si>
  <si>
    <t>PINTURA 2 LATEX FACH. (ALTURA) - ACABADO GUINDA / NARANJA</t>
  </si>
  <si>
    <t>PINTURA 3 LATEX FACH. (ALTURA) - ACABADO PLOMO ALT.</t>
  </si>
  <si>
    <t>PINTURA 4 LATEX FACH. (ALTURA) / BALCONES INT.</t>
  </si>
  <si>
    <t>PINTURA 5 LATEX FACH. (ALTURA) / PARAP.  SUP.</t>
  </si>
  <si>
    <t xml:space="preserve">PINTURA LATEX FACHAD FRONT CIELORASOS 1P </t>
  </si>
  <si>
    <t>PINTURA LATEX FACHAD FRONT CIELORASOS  / BALCONES SUP.</t>
  </si>
  <si>
    <t>PINTURA LATEX AZOTEA</t>
  </si>
  <si>
    <t>PINTURA DE VIGAS , H=0.43 - HORIZONT.</t>
  </si>
  <si>
    <t>PINTURA DE VOLADOS H=0.51 , PROF.=0.80ML</t>
  </si>
  <si>
    <t>PINTURA DE VOLADOS H=0.25 , PROF.=0.15ML - VERT.</t>
  </si>
  <si>
    <t>PINTURA DE VOLADOS H=0.30 , PROF.=0.15ML - VERT.</t>
  </si>
  <si>
    <t>FACHADA // INTERIORES</t>
  </si>
  <si>
    <t>CAL CEMENTO CON PLANCHA</t>
  </si>
  <si>
    <t>PINTURA , EMPAST CIELORASO ALT. - BALCONES FACH INT</t>
  </si>
  <si>
    <t xml:space="preserve">FACHADA CIEGA </t>
  </si>
  <si>
    <t>ACABADO SOLAQUEADO EN FACHADA CIEGA</t>
  </si>
  <si>
    <t>PINTADO CON CAL CEMENTO EN FACHADA EXTERIOR</t>
  </si>
  <si>
    <t>ANDAMIO PARA TRABAJOS DE TARRAJEO, SOLAQUEO Y LIMPIEZA DE FACHADA EXTERIORES, INTERIORES Y CIEGAS</t>
  </si>
  <si>
    <t>CIELORASOS</t>
  </si>
  <si>
    <t>LIMPIEZA Y RESANE DE PRELOSAS + SELLADO DE JUNTAS</t>
  </si>
  <si>
    <t>TARRAJEO DE VIGAS EN TORRE (EN FONDO Y COSTADO)</t>
  </si>
  <si>
    <t>TARRAJEO DE CIELO  BALCONES</t>
  </si>
  <si>
    <t>FALSOS CIELOS Y COBERTURAS</t>
  </si>
  <si>
    <t>FALSO CIELO RASO DE DRYWALL STD Ó SIMILAR - LOBBY RECEPCION 1P</t>
  </si>
  <si>
    <t>FALSA VIGA DE DRYWALL H: 2.10M DESDE NPT. ±0.00M - LOBBY RECEPCION 1P</t>
  </si>
  <si>
    <t>FALSO CIELO RASO DE DRYWALL STD Ó SIMILARLOBBY - OFICIN. 1P</t>
  </si>
  <si>
    <t>FALSO CIELO RASO DE DRYWALL STD Ó SIMILAR (DPTO: SALA , CLOSET) - TORRE</t>
  </si>
  <si>
    <t>FALSO CIELO RASO DE DRYWALL STD Ó SIMILAR (AREAS COMUNES ) AZOT / COWORK</t>
  </si>
  <si>
    <t>FALSO CIELO RASO DE DRYWALL STD Ó SIMILAR (AREAS COMUNES ) AZOT / SALA DE JOVENES</t>
  </si>
  <si>
    <t xml:space="preserve">FALSO CIELO RASO DE DRYWALL STD Ó SIMILAR (AREAS COMUNES ) AZOT / SUM </t>
  </si>
  <si>
    <t>FALSO CIELO RASO DE DRYWALL RH - SHH  (DPTO) - TORRE</t>
  </si>
  <si>
    <t>FALSO CIELO RASO DE DRYWALL RH - SHH  (A.C.) - TORRE</t>
  </si>
  <si>
    <t>CORTAGOTA DESUPERBOARD PINTADO COLOR NEGRO. VOLADIZO: 3CM , SOBRE MUROS  - PARRILLAS 25P Y AZOT.</t>
  </si>
  <si>
    <t>CERAMICO AMERICA BLANCO 45x45CM. CELIMA</t>
  </si>
  <si>
    <t>COBERTURA DE LADRILLO PASTELERO (PLANTA DE TECHOS)</t>
  </si>
  <si>
    <t>BORDE DE LADRILLO PASTELERO EN MURO</t>
  </si>
  <si>
    <t>TAPA DE SUPERBOARD CON PARANTERÍA DE ALUMINIO  (DUCTOS)</t>
  </si>
  <si>
    <t>CARPINTERIA DE MADERA</t>
  </si>
  <si>
    <t>ESTRUCTURA METÁLICA DE SOL Y SOMBRA H: 2.55 m , (3.26x5.74M) , PLANCHA DE TECHO DE POLICARBONADO 6MM CLEAR FORMATO: 2.95X1.05 PROVEEDOR: SODIMAC - PARRILLA 5</t>
  </si>
  <si>
    <t>ESTRUCTURA METÁLICA DE SOL Y SOMBRA H: 2.55 m , (3.35x6.25M) , PLANCHA DE TECHO DE POLICARBONADO 6MM CLEAR FORMATO: 2.95X1.05 PROVEEDOR: SODIMAC - PARRILLA 6</t>
  </si>
  <si>
    <t>SOL Y SOMBRA 1 SOL Y SOMBRA DE ALUMINIO COLOR NEGRO H: 2.40M DESDE NPT.+74.17M *CONSIDERAR POLICARBONATO INCOLORO SOBRE ESTRUCTURA *CONSIDERAR 2% DE PENDIENTE *VER DETALLE 3 EN LÁMINA A-03 - AZOT.  (L:7.76m , A:1.35m) - PISCINA AZOT.</t>
  </si>
  <si>
    <t>SOL Y SOMBRA 1 SOL Y SOMBRA DE ALUMINIO COLOR NEGRO H: 2.40M DESDE NPT.+74.17M *CONSIDERAR POLICARBONATO INCOLORO SOBRE ESTRUCTURA *CONSIDERAR 2% DE PENDIENTE *VER DETALLE 3 EN LÁMINA A-03 - AZOT.  (L:2.75m , A:1.35m) - PISCINA AZOT.</t>
  </si>
  <si>
    <t>SOL Y SOMBRA 1 SOL Y SOMBRA DE ALUMINIO COLOR NEGRO H: 2.40M DESDE NPT.+74.17M *CONSIDERAR POLICARBONATO INCOLORO SOBRE ESTRUCTURA *CONSIDERAR 2% DE PENDIENTE *VER DETALLE 3 EN LÁMINA A-03 - AZOT.  (L:3.97m , A:1.35m) - PISCINA AZOT.</t>
  </si>
  <si>
    <t>ESTRUCTURA METÁLICA  DE SOL Y SOMBRA H: 2.55 m *VER D-05 EN LÁMINA A-08.  (L:6.36m , A:1.20m) - SUM TERRAZA  AZOT.</t>
  </si>
  <si>
    <t>PISOS</t>
  </si>
  <si>
    <t xml:space="preserve">NIVELACIÓN DE PISO </t>
  </si>
  <si>
    <t>NIVELACIÓN DE PISO</t>
  </si>
  <si>
    <t>DEPARTAMENTOS</t>
  </si>
  <si>
    <t>SALA COMEDOR / DORMITORIO / ESTUDIO/KITCHENETTE</t>
  </si>
  <si>
    <t>SPC CLICK PISOPAK HOME ROBLE 122X180CM 5.0MM</t>
  </si>
  <si>
    <t>BAÑOS PRINCIPAL, SECUNDARIO</t>
  </si>
  <si>
    <t>Cerámico marca Celima color Cemento Gris Plata B2B 45x45cm o similar</t>
  </si>
  <si>
    <t>CENTRO DE LAVADO</t>
  </si>
  <si>
    <t>BALCON Y TERRAZA</t>
  </si>
  <si>
    <t>CERAMICO TERRE GRIS 60x60CM. CELIMA</t>
  </si>
  <si>
    <t>LOCAL COMERCIAL</t>
  </si>
  <si>
    <t>BAÑOS</t>
  </si>
  <si>
    <t>SIN ACABADO</t>
  </si>
  <si>
    <t>CUARTO DE ACOPIO</t>
  </si>
  <si>
    <t xml:space="preserve">ÁREAS COMUNES </t>
  </si>
  <si>
    <t>PISOS DE CEMENTO</t>
  </si>
  <si>
    <t>RAMPAS</t>
  </si>
  <si>
    <t>PISO CEMENTO BRUÑADO</t>
  </si>
  <si>
    <t>CIRCULAC. / ESTACIONAM. 1P</t>
  </si>
  <si>
    <t>CEMENTO FROTACHADO_</t>
  </si>
  <si>
    <t>RAMPAS PEATONAL</t>
  </si>
  <si>
    <t>TOTALIZADOR</t>
  </si>
  <si>
    <t>PISO CEMENTO PULIDO</t>
  </si>
  <si>
    <t>VESTIBULO PREVIO</t>
  </si>
  <si>
    <t>PATIO</t>
  </si>
  <si>
    <t>P. LISTONES DE CONCRETO SOBRE GRASS NATURAL</t>
  </si>
  <si>
    <t>PISOS DE CERAMICO</t>
  </si>
  <si>
    <t>INGRESO/ PLAZA FRONT. 1P</t>
  </si>
  <si>
    <t>PISO SPC ANTIDESLIZANTE</t>
  </si>
  <si>
    <t>LOBBY VIVIENDA</t>
  </si>
  <si>
    <t>P. PORCELANATO ALAPLANA ESMALATADO TENBY BEIGE MATE. FORMATO 1,20 X 0,60</t>
  </si>
  <si>
    <t>LOBBY OF. 1P</t>
  </si>
  <si>
    <t>PORCELANATO ESMALATADO ROMANA GREIGE MATE. FORMATO 1,20 X 0,60</t>
  </si>
  <si>
    <t>HAL DE ASCENSORES NIVEL 01</t>
  </si>
  <si>
    <t>HALL DE ACENSORES</t>
  </si>
  <si>
    <t>TOTALIZADOR 1P</t>
  </si>
  <si>
    <t xml:space="preserve">HALL DE ASCENSORES </t>
  </si>
  <si>
    <t>PARRILLAS</t>
  </si>
  <si>
    <t>PORCELANATO ESMALTADO BONN WHITE MATE. FORMATO 1,20 X 0,595</t>
  </si>
  <si>
    <t>SUM BAR AZOT</t>
  </si>
  <si>
    <t>TERRAZA A.C. AZOT.</t>
  </si>
  <si>
    <t>CUARTO DE COMUNICACIONES, CONSERJE , KITCHENETTE CONSERJE</t>
  </si>
  <si>
    <t>Porcelanato Romantic Galaxy Stone Gris mate esmaltado 60x60</t>
  </si>
  <si>
    <t>COWORKING</t>
  </si>
  <si>
    <t>PISO SPC POWER FLOOR SPOTLIGHT OAK SUPREME. FORMATO 17.8 X 123,5 CM.</t>
  </si>
  <si>
    <t>ZONA DE JOVENES</t>
  </si>
  <si>
    <t>PISCINA EN ZONA DE JOVENES</t>
  </si>
  <si>
    <t>P. PISCINA REVESTIDA EN ESPUMA DE ALTA DENSIDAD ELABORADO CON LINO DE ALTO PESADO,  DE COLOR  AP117-5 ENDICOTT POST. ACABADO SATINADO - ZONA DE JOVENES AZOT.</t>
  </si>
  <si>
    <t>DEPOSIT. 25P</t>
  </si>
  <si>
    <t>PORCELANATO ESMALTADO LARIX WENGUE MATE. FORMATO 1,50 X 0,305</t>
  </si>
  <si>
    <t>ACELEROGRAF. AZOT</t>
  </si>
  <si>
    <t>SOBRE ASC. AZOT</t>
  </si>
  <si>
    <t>OTROS</t>
  </si>
  <si>
    <t>BORDE DE PISCINA AZOT.</t>
  </si>
  <si>
    <t>TERRAZO PREMEZCLADO GRIS CLARO, GRANO 1</t>
  </si>
  <si>
    <t>GIMNASIO</t>
  </si>
  <si>
    <t>BALDOSA DE CAUCHO UPFLEX FC NEGRO CON EPDM BLANCO 50x50CM. ISTALIMA</t>
  </si>
  <si>
    <t>JARDINERA EXT. 1P Y AZOTEA ( SE CONSIDERA EN ÁREA VERDE)</t>
  </si>
  <si>
    <t>P. PIEDRA SINTERIZADA Ò SIMILAR  - JARDINERA EXTERIOR 1P Y AZOT</t>
  </si>
  <si>
    <t>ZÓCALOS</t>
  </si>
  <si>
    <t xml:space="preserve">BAÑOS PRINCIPAL Y SECUNDARIO </t>
  </si>
  <si>
    <t>DUCHAS</t>
  </si>
  <si>
    <t>Ceramico Celima Molle Blanco 20x60cm</t>
  </si>
  <si>
    <t>ZÓCALO DE CUARZO COLOR BLANCO, ALTURA 10 CM, CON BORDES PULIDOS</t>
  </si>
  <si>
    <t xml:space="preserve">Mayolica Celima Blanco New Br 30 x 60 </t>
  </si>
  <si>
    <t xml:space="preserve">KITCHENETTE </t>
  </si>
  <si>
    <t xml:space="preserve">Cerámico Kali Blanco Brillante 27x45cm </t>
  </si>
  <si>
    <t>LAVANDERIA</t>
  </si>
  <si>
    <t>LOCAL COMERCIAL (BAÑOS)</t>
  </si>
  <si>
    <t>ZOCALOS DE CERAMICO</t>
  </si>
  <si>
    <t>SSHH DISCAP.  1P</t>
  </si>
  <si>
    <t>CTO BASURA 1 Y 2 - 1P</t>
  </si>
  <si>
    <t>LOBBY</t>
  </si>
  <si>
    <t xml:space="preserve">ZOC. VINIL INFEEL OAK MATT WOOD MW  PEGADO SOBRE MURO  *CONSIDERAR BRUÑAS EN MUROS CON RECUBRIMIENTO DE VINIL - (5) LOBBY 1P </t>
  </si>
  <si>
    <t xml:space="preserve">ZOC. VINIL INFEEL OAK MATT WOOD MW  PEGADO SOBRE MDF*CONSIDERAR TAPACANTO DELGADO - (6) LOBBY 1P </t>
  </si>
  <si>
    <t xml:space="preserve">ZOC.  MELAMINA 18MM CANTERA TEXSTONE PROVEEDOR: MASISA *CONSIDERAR TAPACANTO DELGADO IDEM MELAMINA - (10) LOBBY 1P </t>
  </si>
  <si>
    <t xml:space="preserve">BRUÑA SOBRE MURO EXISTENTE - (14) LOBBY 1P </t>
  </si>
  <si>
    <t>PANEL DE MDF 18MM RECUBIERTO CON VINIL INFEEL OAK WD 184 PEGADO SOBRE MDF 18MM *CONSIDERAR CALADO  RECUBIERTO CON VINIL H:1.00M - (3) LOBBY OFICIN. 1P</t>
  </si>
  <si>
    <t>MURO ACABADO MICROCEMENTO COLOR ESPUMA GELADA PANTONERA SUVINIL. PROVEEDOR TEXTURAS PERUANAS .*CONSIDERAR ESPACIO TECTURIZADO CON 1 MANO DE COLOR ENTERO / DOBLE ALTURA - (4) LOBBY OFICIN. 1P</t>
  </si>
  <si>
    <t>MURO ACABADO MICROCEMENTO COLOR GRISALHO PANTONERA SUVIVIL.PROVEEDOR TEXTURAS PERUANAS  *CONSIDERAR ESPACIO TECTURIZADO CON 1 MANO DE COLOR ENTERO - (5) LOBBY OFICIN. 1P</t>
  </si>
  <si>
    <t>TERRAZO NEGRO PREMEZCLADO COLORNEGRO CARBÓN GRANO Nª1. CONSIDERAR JUNTA DE DILATACIÒN CON PERFIL DE ALUMINIO - SARDINELES COLINDANTES A LAS BANCAS - PARRILLAS 25P Y AZOT.</t>
  </si>
  <si>
    <t>MURO ACABADO MICROCEMENTO GRIS COLOR AP54-1 GRAY FOAM. PANTONERA COLOR CENTRO. PROVEEDOR TEXTURAS PERUANAS (3) - PARRILLAS 25P Y AZOT.</t>
  </si>
  <si>
    <t>MURO ACABADO MICROCEMENTO GRIS COLOR AP54-3 PLATINIUM COLOR CENTRO. PROVEEDOR TEXTURAS PERUANAS (4) -  PARRILLAS 25P Y AZOT.</t>
  </si>
  <si>
    <t>TERRAZO NEGRO PREMEZCLADO COLORNEGRO CARBÓN GRANO Nª1. CONSIDERAR JUNTA DE DILATACIÒN CON PERFIL DE ALUMINIO (5) -  PARRILLAS 25P Y AZOT.</t>
  </si>
  <si>
    <t>LADRILLO REFRACTARIO (6) - PARRILLAS 25P Y AZOT.</t>
  </si>
  <si>
    <t>COWORK AZOT.</t>
  </si>
  <si>
    <t>VINIL ANIGRE WD307. PEGADO SOBRE MURO PINTADO COLOR NEGRO SATINADO *CONSIDERAR BRUÑAS EN MUROS SIN RECUBRIMIENTO DE VINIL - (3) COWORK AZOT.</t>
  </si>
  <si>
    <t>PIEDRA SINTERIZADA 6MM TIPO PIEDRA  - (7)  COWORK AZOT.</t>
  </si>
  <si>
    <t>SALA DE JOV. AZOT.</t>
  </si>
  <si>
    <t>VINIL INFEEL OAK WD 184 PEGADO SOBRE MURO PINTADO COLOR NEGRO SATINADO
*CONSIDERAR BRUÑAS EN MUROS SIN RECUBRIMIENTO DE VINIL - (3) SALA DE JOV. AZOT.</t>
  </si>
  <si>
    <t>MDF TROPICALIZADO PINTADO EN COLOR AP148-3 CARAMEL SUGAR. ACABADO SATINADO. PANTONERA COLOR CENTRO</t>
  </si>
  <si>
    <t>PISCINA AZOT.</t>
  </si>
  <si>
    <t>MURO ACABADO MICROCEMENTO GRIS COLOR AP54-1 GRAY FOAM. - (4) PISCINA AZOT.</t>
  </si>
  <si>
    <t>MURO ACABADO MICROCEMENTO GRIS COLOR AP54-3 PLATINIUM - (5) PISCINA AZOT.</t>
  </si>
  <si>
    <t>MURO ACABADO MICROCEMENTO GRIS COLOR AP171-6 BLACK NIGHT - (6) PISCINA AZOT.</t>
  </si>
  <si>
    <t>TERRAZO MATIZADO COLOR - (12) PISCINA AZOT.</t>
  </si>
  <si>
    <t>BRUÑA SOBRE MURO EXISTENTE. ACABADO IDEM MURO - (9) PISCINA AZOT.</t>
  </si>
  <si>
    <t>SUM AZOT.</t>
  </si>
  <si>
    <t>MURO ACABADO MICROCEMENTO GRIS COLOR AP54-3 PLATINIUM COLOR CENTRO. - (2) SUM AZOT.</t>
  </si>
  <si>
    <t>PIEDRA SINTERIZADA POR DEFINIR  MARCA: LAMINAN *CONSIDERAR CANTO PULIDO - (5) SUM AZOT.</t>
  </si>
  <si>
    <t>TERR. AZOT.</t>
  </si>
  <si>
    <t>MURO ACABADO MICROCEMENTO GRIS COLOR AP54-3 PLATINIUM COLOR CENTRO. - (2) TERR. AZOT.</t>
  </si>
  <si>
    <t>MURO ACABADO MICROCEMENTO GRIS COLOR AP54-1 GRAY FOAM. PANTONERA COLOR CENTRO - (10) TERR. AZOT.</t>
  </si>
  <si>
    <t>TERRAZO NEGRO PREMEZCLADO COLOR GRIS OSCURO GRANO Nª1. CONSIDERAR JUNTA DE DILATACIÒN CON PERFIL DE ALUMINIO- (8) TERR. AZOT.</t>
  </si>
  <si>
    <t>GIMN. AZOT.</t>
  </si>
  <si>
    <t>MALLA DE GALLINERO ELECTROESTÁTICA PINTADA COLOR NEGRO - GIMN. AZOT.</t>
  </si>
  <si>
    <t>ACABADO MICROCEMENTO COLOR AP54-1 GRAY FOAM. PANTONERA COLOR CENTRO. PROVEEDOR TEXTURAS PERUANAS - GIMN. AZOT.</t>
  </si>
  <si>
    <t>LAVADO COM. AZOT.</t>
  </si>
  <si>
    <t>ENCHAPES ESPECIALES</t>
  </si>
  <si>
    <t>ENCHAPE DE SARDINEL BAÑOS PRINCIPALES (IDEM PISO - 3 CARAS POR METRO)</t>
  </si>
  <si>
    <t>LAVANDERÍAS</t>
  </si>
  <si>
    <t>ENCHAPE DE SARDINEL CLOSET DE LAVADO</t>
  </si>
  <si>
    <t>CONTRAZÓCALOS</t>
  </si>
  <si>
    <t>SALA COMEDOR / DORMITORIOS Y ESTUDIO</t>
  </si>
  <si>
    <t>ZOCALO SPC BOLEADO ROBLE 8cm x 2.4m</t>
  </si>
  <si>
    <t>KITCHENETTE</t>
  </si>
  <si>
    <t>CONTRAZOCALO Cerámico Celima Gris Plata B2B 45x45cm</t>
  </si>
  <si>
    <t xml:space="preserve"> BALCONES</t>
  </si>
  <si>
    <t>CONTRAZOCALO CERAMICO TERRE GRIS 60x60CM. CELIMA</t>
  </si>
  <si>
    <t xml:space="preserve">TERRAZA </t>
  </si>
  <si>
    <t>CTRZ  N.E. - INGR1  EXTERIOR</t>
  </si>
  <si>
    <t>m</t>
  </si>
  <si>
    <t>CTRZ  N.E. - INGR2  EXTERIOR</t>
  </si>
  <si>
    <t xml:space="preserve">HALL Y CORREDOR 1 </t>
  </si>
  <si>
    <t>CONTRAZOCALO DE ALUMINIO COLOR NEGRO H=9CM</t>
  </si>
  <si>
    <t>HALL Y CORREDOR 2</t>
  </si>
  <si>
    <t>MEDIDORES 1P</t>
  </si>
  <si>
    <t>CTRZ  PINTURA DE TRAFICO COLOR GRAFITO 10CM. - MED</t>
  </si>
  <si>
    <t xml:space="preserve"> LOBBY RECEP. 1P</t>
  </si>
  <si>
    <t>CTRZ CONTRAZÓCALO EPS POLIESTIRENO NEGRO H: 7CM</t>
  </si>
  <si>
    <t>LOBBY OFICIN. 1P</t>
  </si>
  <si>
    <t>ESTAC. Y RAMPAS 1P</t>
  </si>
  <si>
    <t>CTRZ  PINTURA DE TRAFICO COLOR GRAFITO 10CM N.E. - EST1P</t>
  </si>
  <si>
    <t>OFICINAS (NO SE CONSIDERA)</t>
  </si>
  <si>
    <t>CTRZ  PINTURA DE TRAFICO COLOR GRAFITO 10CM N.E. - OF.</t>
  </si>
  <si>
    <t>CTRZ  PINTURA DE TRAFICO COLOR GRAFITO 10CM N.E. - OFIC.</t>
  </si>
  <si>
    <t>COMERCIAL (NO SE CONSIDERA)</t>
  </si>
  <si>
    <t>CTRZ COMERC1</t>
  </si>
  <si>
    <t>CTRZ COMERC2</t>
  </si>
  <si>
    <t>CTRZ COMERC3</t>
  </si>
  <si>
    <t>CTRZ COMERC4</t>
  </si>
  <si>
    <t>CTRZ  PINTURA DE TRAFICO COLOR GRAFITO 10CM N.E. - TOTALIZAD.</t>
  </si>
  <si>
    <t>ZONA PARRILLAS 25P Y AZOT</t>
  </si>
  <si>
    <t>CONTRAZOCALO PORCELANATO ESMALTADO BONN WHITE MATE. FORMATO 1,20 X 0,595</t>
  </si>
  <si>
    <t>ZONA COWORKING AZOT.</t>
  </si>
  <si>
    <t>ZONA DE JOVENES AZOT.</t>
  </si>
  <si>
    <t>PISCINA AZOT</t>
  </si>
  <si>
    <t xml:space="preserve">CTRZ DECK - N.E. </t>
  </si>
  <si>
    <t>SUM AZOT</t>
  </si>
  <si>
    <t>CTRZ PINTURA TRAFICO COLOR GRAFITO H=15CM , VESTIB</t>
  </si>
  <si>
    <t>ESCALERA DE EVACUACIÓN</t>
  </si>
  <si>
    <t>CTRZ PINTURA TRAFICO COLOR GRAFITO H=15CM , ESCT1</t>
  </si>
  <si>
    <t>CTRZ PINTURA TRAFICO COLOR GRAFITO H=15CM , ESCT2</t>
  </si>
  <si>
    <t>REVESTIMIENTOS DE ESCALERAS</t>
  </si>
  <si>
    <r>
      <t>ESCALERA DE EVACUACIÓN - ESC 01  TORRE</t>
    </r>
    <r>
      <rPr>
        <b/>
        <sz val="8"/>
        <color rgb="FFFF0000"/>
        <rFont val="Garamond"/>
        <family val="1"/>
      </rPr>
      <t xml:space="preserve"> </t>
    </r>
  </si>
  <si>
    <t>FORJADO DE PASOS Y CONTRAPASOS (ESCALERA DE EVACUACION)</t>
  </si>
  <si>
    <t>FORJADO DE DESCANSO (ESCALERA DE EVACUACION)</t>
  </si>
  <si>
    <t>ACABADO EN CEMENTO PULIDO DE DESCANSO (ESCALERA DE EVACUACION)</t>
  </si>
  <si>
    <t>ACABADO EN CEMENTO PULIDO DE PASOS Y CONTRAPASOS (ESCALERA DE EVACUACION)</t>
  </si>
  <si>
    <t>CANTONERA DE BRUÑAS (2UND) (ESCALERA DE EVACUACION)</t>
  </si>
  <si>
    <t>SOLAQUEO DE FONDO DE ESCALERA (ESCALERA DE EVACUACION)</t>
  </si>
  <si>
    <t>DERRAME EN COSTADO DE ESCALERA (ESCALERA DE EVACUACION)</t>
  </si>
  <si>
    <r>
      <t>ESCALERA DE EVACUACIÓN - ESC 02  TORRE</t>
    </r>
    <r>
      <rPr>
        <b/>
        <sz val="8"/>
        <color rgb="FFFF0000"/>
        <rFont val="Garamond"/>
        <family val="1"/>
      </rPr>
      <t xml:space="preserve"> </t>
    </r>
  </si>
  <si>
    <t>ESC. TORRE - COMERCIAL 1P</t>
  </si>
  <si>
    <t>DERRAME EN COSTADO DE ESCALERA  (COMERC. 1P)</t>
  </si>
  <si>
    <t>ESCALERA TORRE -PISCINA AZOT</t>
  </si>
  <si>
    <t>FORJADO DE DESCANSO (ESCALERA DE EVACUACION)_</t>
  </si>
  <si>
    <t>CONTRAZOCALO PORCELANATO ESMALTADO LARIX WENGUE MATE. FORMATO 1,50 X 0,305</t>
  </si>
  <si>
    <t>ACABADO EN CEMENTO PULIDO "ENCHAP. EN MADERA Ò SIMILAR" DE DESCANSO (PISCINA AZOT.)</t>
  </si>
  <si>
    <t>CANTONERA BRUÑADA /2 POR PASO , ANCHO=2.38M (PISCINA AZOT.)</t>
  </si>
  <si>
    <t>SISTEMA ACÚSTICO</t>
  </si>
  <si>
    <t>SISTEMA ACUSTICO (SOLO EN LA ZONA DE COWORKING, ALREDEDOR DE PISCINA, TERRAZA, SUM, SALA DE JÓVENES, GIMNASIO, PARRILLAS, CENTRO DE LAVADO). NO SE CONSIDERA ÁREAS VERDES, NI BAÑOS, NI DEPOSITOS, NI HALL DE ASCENSORES, NI ESCALERAS</t>
  </si>
  <si>
    <t>CONTRAPISO   (AZOTEA)</t>
  </si>
  <si>
    <t xml:space="preserve">LAMINA ANTRACITA </t>
  </si>
  <si>
    <t>CINTA MAXTAPE</t>
  </si>
  <si>
    <t>COLOCACION DE LAMINA ANTRACITA, MAXTAPE</t>
  </si>
  <si>
    <t xml:space="preserve">MALLA DE TEMPERATURA </t>
  </si>
  <si>
    <t>PUERTAS</t>
  </si>
  <si>
    <t xml:space="preserve">PUERTAS CORTAFUEGO </t>
  </si>
  <si>
    <t>PCF. 01(1x2.2)P. MET C.F. 90MIN NIVEL 01</t>
  </si>
  <si>
    <t>PCF. 01(1x2.2)P. MET C.F. 90MIN ESCALERA DE EVACUACIÓN</t>
  </si>
  <si>
    <t>PCF. 03(0.9x2.2)P. MET C.F. 90MIN BAÑO LOBBY</t>
  </si>
  <si>
    <t>PCF. 05(1.2x2.2)P. MET C.F. 90MIN CUARTO DE BASURA</t>
  </si>
  <si>
    <t xml:space="preserve">PCF. 00(1.09x1.20M) N.E. - P. MET C.F. 90MIN </t>
  </si>
  <si>
    <t>PUERTAS CONTRAPLACADAS</t>
  </si>
  <si>
    <t>P2-(1.00 x 2.10)  - INGRESO A DPTOS</t>
  </si>
  <si>
    <t>PV.02 - (0.80X2.10) DORMITORIOS</t>
  </si>
  <si>
    <t>PV.03 - (0.70X2.10) BAÑOS</t>
  </si>
  <si>
    <t xml:space="preserve"> PV.08 - (0.80X2.10) CUARTO DE LAVADO</t>
  </si>
  <si>
    <t>P8C-(0.80x2.10) - CUARTO DE LAVADO</t>
  </si>
  <si>
    <t>P17-(0.80x2.10) - CUARTO DE LAVADO</t>
  </si>
  <si>
    <t>AREAS COMUNES</t>
  </si>
  <si>
    <t>PS.01 T(0.8x2.2)P. CONTRAPL. BATIENTE</t>
  </si>
  <si>
    <t>PS.02(1.02x2.2)P. CONTRAPL. BATIENTE</t>
  </si>
  <si>
    <t>PS.02'(1.05x2.2)P. CONTRAPL. BATIENTE</t>
  </si>
  <si>
    <t xml:space="preserve">PC.04(0.8x2.2)P. CONTRAPL. </t>
  </si>
  <si>
    <t xml:space="preserve">PC.05(1.13x2.2)P. CONTRAPL. </t>
  </si>
  <si>
    <t xml:space="preserve">PZ. 01(1.05x2.2)P. CONTRAPL. </t>
  </si>
  <si>
    <t xml:space="preserve">PZ. 04(0.8x2.2)P. CONTRAPL. </t>
  </si>
  <si>
    <t xml:space="preserve">PS.02(1x2.2)P. CONTRAPL. </t>
  </si>
  <si>
    <t xml:space="preserve">PS.03(0.8x2.2)P. CONTRAPL. </t>
  </si>
  <si>
    <t xml:space="preserve">PS.04(1x2.2)P. CONTRAPL. </t>
  </si>
  <si>
    <t>TOPE DE PUERTA</t>
  </si>
  <si>
    <t>Tope para piso de acero inoxidable. (PUERTAS PRINCIPALES)</t>
  </si>
  <si>
    <t>Tope para piso de acero inoxidable. (DORMITORIOS)</t>
  </si>
  <si>
    <t>Tope para piso de acero inoxidable. (BAÑOS)</t>
  </si>
  <si>
    <t>Tope para piso de acero inoxidable. (LAVANDERÍA)</t>
  </si>
  <si>
    <t>Tope para piso de acero inoxidable. (ÁREAS COMUNES)</t>
  </si>
  <si>
    <t>SELLADO Y PROTECCIÓN DE PUERTAS</t>
  </si>
  <si>
    <t>SELLADO DE PUERTAS CONTRAPLACADAS</t>
  </si>
  <si>
    <t>PROTECCION DE PUERTAS CONTRAPLACADAS PRINCIPALES</t>
  </si>
  <si>
    <t>PUERTAS MELAMINE E=18MM</t>
  </si>
  <si>
    <t>LAVANDERIAS</t>
  </si>
  <si>
    <t xml:space="preserve">PV.04 (1.48x2.1)P. CORREDIZA MELAMINE Ò SIMLAR </t>
  </si>
  <si>
    <t xml:space="preserve">PV.05 (1.58x2.1)P. CORREDIZA MELAMINE Ò SIMLAR </t>
  </si>
  <si>
    <t xml:space="preserve">PV.06 (1.4x2.1)P. CORREDIZA MELAMINE Ò SIMLAR </t>
  </si>
  <si>
    <t xml:space="preserve">PV.07 (1.65x2.1)P. CORREDIZA MELAMINE Ò SIMLAR </t>
  </si>
  <si>
    <t xml:space="preserve">PV.09 (1.66x2.1)P. CORREDIZA MELAMINE Ò SIMLAR </t>
  </si>
  <si>
    <t xml:space="preserve">PV.10(1.78x2.1)P. CORREDIZA MELAMINE Ò SIMLAR </t>
  </si>
  <si>
    <t xml:space="preserve">PV.11 (0.93x2.1)P. CORREDIZA MELAMINE Ò SIMLAR </t>
  </si>
  <si>
    <t xml:space="preserve">PV.12 (0.85x2.1)P. CORREDIZA MELAMINE Ò SIMLAR </t>
  </si>
  <si>
    <t xml:space="preserve">PV.13(0.87x2.1)P. CORREDIZA MELAMINE Ò SIMLAR </t>
  </si>
  <si>
    <t xml:space="preserve">PV.14(1.57x2.1)P. CORREDIZA MELAMINE Ò SIMLAR </t>
  </si>
  <si>
    <t xml:space="preserve">PV.15(1.5x2.1)P. CORREDIZA MELAMINE Ò SIMLAR </t>
  </si>
  <si>
    <t>DUCTOS</t>
  </si>
  <si>
    <t>ÁREAS COMUNES</t>
  </si>
  <si>
    <t>PP.01(1.56x2)P. BATIENT MELAMINE</t>
  </si>
  <si>
    <t>PP.02(0.93x2)P. BATIENT MELAMINE</t>
  </si>
  <si>
    <t>PP.03(1.68x2)P. BATIENT MELAMINE</t>
  </si>
  <si>
    <t>PP.04(1.82x2)P. BATIENT MELAMINE</t>
  </si>
  <si>
    <t>PP.05(1.87x2)P. BATIENT MELAMINE</t>
  </si>
  <si>
    <t>PP.06(1.3x2)P. BATIENT MELAMINE</t>
  </si>
  <si>
    <t>PP.07(1.34x2)P. BATIENT MELAMINE</t>
  </si>
  <si>
    <t>PP.08(1.91x2)P. BATIENT MELAMINE</t>
  </si>
  <si>
    <t>PP.09(0.94x2)P. BATIENT MELAMINE</t>
  </si>
  <si>
    <t>PP.10 (0.94x2)P. BATIENT MELAMINE</t>
  </si>
  <si>
    <t>PP.11(1.18x2)P. BATIENT MELAMINE</t>
  </si>
  <si>
    <t>PP.12(1.25x2)P. BATIENT MELAMINE</t>
  </si>
  <si>
    <t>PP.13(1.16x2)P. BATIENT MELAMINE</t>
  </si>
  <si>
    <t>PP.14 (1.2x2)P. BATIENT MELAMINE</t>
  </si>
  <si>
    <t>PP.15(1.41x2)P. BATIENT MELAMINE</t>
  </si>
  <si>
    <t>PP.16(1.91x2)P. BATIENT MELAMINE</t>
  </si>
  <si>
    <t>PP.17(1.28x2)P. BATIENT MELAMINE</t>
  </si>
  <si>
    <t>PP.18 (0.72x2)P. BATIENT MELAMINE</t>
  </si>
  <si>
    <t>PP.19(1.3x2)P. BATIENT MELAMINE</t>
  </si>
  <si>
    <t>PP.20(2.18x2)P. BATIENT MELAMINE</t>
  </si>
  <si>
    <t>PP.21(1.77x2)P. BATIENT MELAMINE</t>
  </si>
  <si>
    <t>PP.23(0.9x2)P. BATIENT MELAMINE</t>
  </si>
  <si>
    <t>PP.24(2.18x2)P. BATIENT MELAMINE</t>
  </si>
  <si>
    <t>PP.25(0.93x2)P. BATIENT MELAMINE</t>
  </si>
  <si>
    <t>CERRAJERÍA Y ACCESORIOS</t>
  </si>
  <si>
    <t>CERRADURA DE 03 GOLPES MODELO ESTANDAR PARA PUERTA PRINCIPAL</t>
  </si>
  <si>
    <t>CERRADYRA DE PERILLA TIPO BOLA PARA PUERTA DE DORMITORIO</t>
  </si>
  <si>
    <t>CERRADYRA DE PERILLA TIPO BOLA PARA PUERTA DE BAÑO</t>
  </si>
  <si>
    <t>CERRADYRA DE PERILLA TIPO BOLA PARA PUERTA DE LAVANDERÍAS</t>
  </si>
  <si>
    <t>CERRADYRA DE PERILLA TIPO BOLA PARA PUERTA DE ÁREAS COMUNES</t>
  </si>
  <si>
    <t>MUEBLES DE COCINA (ALLCENTER)</t>
  </si>
  <si>
    <t>COCINA - 01</t>
  </si>
  <si>
    <t>COCINA - 02</t>
  </si>
  <si>
    <t>COCINA - 03</t>
  </si>
  <si>
    <t>COCINA - 04</t>
  </si>
  <si>
    <t>COCINA - 05</t>
  </si>
  <si>
    <t>COCINA - 06</t>
  </si>
  <si>
    <t>COCINA - 07</t>
  </si>
  <si>
    <t>COCINA - 08</t>
  </si>
  <si>
    <t>COCINA - 09</t>
  </si>
  <si>
    <t>COCINA - 10</t>
  </si>
  <si>
    <t>COCINA - 11</t>
  </si>
  <si>
    <t>COCINA - 12</t>
  </si>
  <si>
    <t>COCINA - 13</t>
  </si>
  <si>
    <t>COCINA - 14</t>
  </si>
  <si>
    <t>COCINA - 15</t>
  </si>
  <si>
    <t>COCINA - 16</t>
  </si>
  <si>
    <t>COCINA - 17</t>
  </si>
  <si>
    <t>COCINA - 18</t>
  </si>
  <si>
    <t>COCINA - 19</t>
  </si>
  <si>
    <t>COCINA - 20</t>
  </si>
  <si>
    <t>COCINA - 21</t>
  </si>
  <si>
    <t>CLOSETS Y VESTIDORES (ALLCENTER)</t>
  </si>
  <si>
    <t>DPTO: (301 - 2701)</t>
  </si>
  <si>
    <t>DPTO: (302 - 2702)</t>
  </si>
  <si>
    <t>DPTO: (303 - 2703)</t>
  </si>
  <si>
    <t>(304 - 2704),(305 - 2005)</t>
  </si>
  <si>
    <t>(304 - 2704)</t>
  </si>
  <si>
    <t>DPTO: (305 - 2005)</t>
  </si>
  <si>
    <t>DPTO: (306 - 2006)</t>
  </si>
  <si>
    <t>DPTO: (307 - 2007)</t>
  </si>
  <si>
    <t>DPTO: (308 - 2008)</t>
  </si>
  <si>
    <t>DPTO: (309 - 2009), (2108 - 2408)</t>
  </si>
  <si>
    <t>DPTO: (310 - 2010), (2109 - 2309)</t>
  </si>
  <si>
    <t>DPTO: 311</t>
  </si>
  <si>
    <t>DPTO: (411 - 2011), (2110 - 2410), 2607, 2707</t>
  </si>
  <si>
    <t>DPTO: 312</t>
  </si>
  <si>
    <t>DPTO: (412 - 2012)</t>
  </si>
  <si>
    <t>DPTO: (312 - 2012), (2111 - 2411) (2508 - 2708)</t>
  </si>
  <si>
    <t>DPTO: (313 - 2013), (2112 - 2412), (2509 - 2709)</t>
  </si>
  <si>
    <t>DPTO: (314 - 2014) (2113 - 2413), (2510 - 2710)</t>
  </si>
  <si>
    <t>DPTO: (2105 - 2705)</t>
  </si>
  <si>
    <t>DPTO: 2106</t>
  </si>
  <si>
    <t>DPTO: (2106 - 2406)</t>
  </si>
  <si>
    <t>DPTO: (2206 - 2406)</t>
  </si>
  <si>
    <t>DPTO: (2107 - 2407)</t>
  </si>
  <si>
    <t>DPTO: (2506 - 2706)</t>
  </si>
  <si>
    <t>DPTO: 2507</t>
  </si>
  <si>
    <t>DPTO: 2409</t>
  </si>
  <si>
    <t>MUEBLES AREAS COMUNES</t>
  </si>
  <si>
    <t xml:space="preserve">COUNTER DE RECEPCIÓN CON CARPINTERÍA DE MDF 18MM CON RECUBRIMIENTO "ANDES WHITE TRAVERTINO - ONWALL" Y ESTRUCTURA DE FIERRO 1X1". H: 1.10M *CONSIDERAR 6 CAJONES CON CORREDERA TELESCÓPICA Y 2 PUERTAS BATIE - TIPO COUNT.  A=1.00m , L=3.80m - LOBBY 1P  </t>
  </si>
  <si>
    <t xml:space="preserve">REPISA DE MELAMINA 18MM ADOSADA AL MUROCON RETRO ILUMINACIÓN LED 3000K H: 0.90M, H: 1.35M , H: 1.80M *CONSIDERAR SALIDA ELÉCTRICA Y ESPACIO PARA DRIVER OCULTO*VER DETALLE 2 EN LÁMINA  "A=0.60m"  - LOBBY 1P  </t>
  </si>
  <si>
    <t xml:space="preserve">REPISA DE MELAMINA 18MM ADOSADA AL MURO CON RETROILUMINACIÓN LED 3000K H: 0.90M, H: 1.35M H: 1.80M *CONSIDERAR SALIDA ELÉCTRICA Y ESPACIO PARA DRIVER OCULTO *VER DETALLE 2 EN LÁMINA A-06  "A=0.55m"  - LOBBY 1P  </t>
  </si>
  <si>
    <t>REPISA DE MELAMINA 18MM ADOSADA AL MURO CON RETROILUMINACIÓN LED 3000K H: 0.90M, H: 1.35M, H: 1.80M *CONSIDERAR SALIDA ELÉCTRICA Y ESPACIO PARA DRIVER OCULTO</t>
  </si>
  <si>
    <t xml:space="preserve">MUEBLE OCULTO EN MURO DE MDF 18MM *COSNDISERAR 3 PUERTAS BATIENTES , "A=1.62M"  *VER DETALLE 6 EN LÁMINA A-07 - LOBBY 1P  </t>
  </si>
  <si>
    <t xml:space="preserve">PERFIL TUBULAR CUADRADO DE FIERRO PINTADO AL HORNO COLOR NEGRO 1X1" (L=3.63M) - (13) LOBBY 1P </t>
  </si>
  <si>
    <t xml:space="preserve">ESPEJO INCOLOR 4MM CON LÁMINA DE SEGURIDAD 3M (0.30x3.25)*CONSIDERAR BISEL MÍNIMO.  - (7) LOBBY 1P </t>
  </si>
  <si>
    <t xml:space="preserve">ESPEJO INCOLOR 4MM CON LÁMINA DE SEGURIDAD 3M (0.45x3.25)*CONSIDERAR BISEL MÍNIMO. - (7) LOBBY 1P </t>
  </si>
  <si>
    <t xml:space="preserve">PERFIL TUBULAR RECTANGULAR DE FIERRO PINTADO AL HORNO COLOR NEGRO 2X1" (L=3.70M) - (12) LOBBY 1P </t>
  </si>
  <si>
    <t xml:space="preserve">NÚMERO DE NIVEL EN MDF 18MM PINTADO CON POLIURETANO COLOR NEGRO CON RETROILUMINACIÓN DIM: 90X35CM , H: 90CM *CONSIDERAR SALIDA ELÉCTRICA Y ESPACIO PARA DRIVER OCULTO - (7) LOBBY 1P </t>
  </si>
  <si>
    <t xml:space="preserve">COUNTER DE RECEPCIÓN CON CARPINT. DE MELAMINE NEGRA  18MM CON RECUBR. DE PIEDRA SINTERIZADA Y ESTRUCT.DE FIERRO 1X1". H: 1.10M *CONSIDERAR 6 CAJONES CON CORREDERA TELESCÓPICA Y 4 PUERT. BATIENT. *VER DETALLE 01 EN LÁMINA A-07  A=0.75 , L=3.88m </t>
  </si>
  <si>
    <t xml:space="preserve">MUEBLE FIJO  DE MELAMINE Ò SIMILAR A=0.40 , L=1.00m </t>
  </si>
  <si>
    <t>LETRAS DE MDF COLOR ( ) CON RETROILUMINACIÓN EN LA PARTE POSTERIOR. *VER DETALLE ( ) EN LÁMINA (DIM.: 1.72x0.44M )  - LOBBY OFICIN. 1P</t>
  </si>
  <si>
    <t>TORNIQUETE - INGRESO</t>
  </si>
  <si>
    <t>BARRA DE MDF 18MM EN FÓRMICA TIPO GRANITO CON ESTRUCTURA INTERNA DE FIERRO 2X2" DIM: 2.35X0.50X0.07M H: 1.00M , L=2.35ML</t>
  </si>
  <si>
    <t>JARDINERA DE MDF 18MM PINTADA ADOSADA AL MURO CON RETROILUMINACIÓN LED 3000K DIM: 3.40X0.25X0.10M H: 2.10M , L=3.45ML</t>
  </si>
  <si>
    <t>REPISA ADOSADADA AL MURO DE MDF 18MM PINTADAS H: 2.00M , DIM.=2.35x2.10ML</t>
  </si>
  <si>
    <t>REPISA ADOSADADA AL MURO DE MDF 18MM PINTADAS H: 2.00M , DIM.=0.45x0.20ML</t>
  </si>
  <si>
    <t>MUEBLE KITCHENETTE CARPTINTERÍA DE MDF 18MM CON TABLERO DE GRANITO *CONSIDERAR 2 PUERTAS BATIENTES *VER D-06 EN LÁMINA A-07 H: 90CM , L=0.60ML - SALA DE JOV. AZOT.</t>
  </si>
  <si>
    <t>MURO REVESTIDO EN MDF 18MM PINTADO COLOR (24.50 x2.75M) - BAJO PINTURA (4) SEGÚN DETALLE - SALA DE JOV. AZOT.</t>
  </si>
  <si>
    <t>REPISA MDF 18MM PINTADO COLOR L=2.00ML , A=0.60M  SOBRE LAVADERO - SALA DE JOV. AZOT.</t>
  </si>
  <si>
    <t>LOGO DE TALLA DE MDF 12MM PINTADO COLOR BLANCO DIM: 1.46 X 0.45M ,VER DETALLE 2EN LÁMINA A-07  -  SALA DE JOV. AZOT.</t>
  </si>
  <si>
    <t>MDF TROPICALIZADO PINTADO EN COLOR AP148-3 CARAMEL SUGAR. ACABADO SATINADO. PANTONERA COLOR CENTRO , L=0.95ml - (7) SALA DE JOV. AZOT.</t>
  </si>
  <si>
    <t>BANCA DE MDF 18MMPINTADAH: 30CM , L=3.00ML - (12) SALA DE JOV. AZOT.</t>
  </si>
  <si>
    <t>NICHO CIRCULAR DE MDF 36MM ADOSADO Y PINTADO Ø: 90CM  *VER DETALLE 5 EN - (7) SALA DE JOV. AZOT.</t>
  </si>
  <si>
    <t>VINIL DE PIZARRA BLANCA MAGNETIZADA ADOSADO EN MURO DIM: 1.80X0.75M - SALA DE JOV. AZOT.</t>
  </si>
  <si>
    <t>VINIL DE PIZARRA NEGRA PARA TIZA CON MARCO DE MELAMINA 18MM ADOSADO EN MURO DIM: 1.80X0.75M - SALA DE JOV. AZOT.</t>
  </si>
  <si>
    <t>DADOS SUSPENDIDOS EN PERFIL CIRCULAR DE FIERRO Ø:1" - SALA DE JOV. AZOT.</t>
  </si>
  <si>
    <t>REPISA MELAMINA RH NACAR PELIKANO  E:18MM. (L=1.65M) - (4) SUM AZOT.</t>
  </si>
  <si>
    <t>REPISA MELAMINA RH NACAR PELIKANO  E:18MM. (L=0.50M) - (4) SUM AZOT.</t>
  </si>
  <si>
    <t>REPISA MELAMINA RH NACAR PELIKANO  E:18MM. (L=0.20M) - (4) SUM AZOT.</t>
  </si>
  <si>
    <t>MUEBLE DE TV  MELAMINA  18MM CON TABLERO DE PIEDRA SINTERIZADA 12MM  *VER D-01 EN LÁMINA A-06 H: 45cm. (L=1.95M) -  SUM AZOT.</t>
  </si>
  <si>
    <t>MUEBLE KITCHENETTE CARPTINTERÍA DE MDF 18MM CON TABLERO DE PIEDRA SINTERIZADA 12MM *CONSIDERAR ESPACIO  PARA FRIGOBAR *CONSIDERAR 3  PUERTAS BATIENTES  *VER D-03 EN LÁMINA A-07 H: 90cm</t>
  </si>
  <si>
    <t>BARRA PULLUP BAR H=2.15M</t>
  </si>
  <si>
    <t>PROYECCIÓN DE BARRA DE FIERRO PINTADO AL HORNO COLOR NEGRO , EN CIELORASO L=4.80ML</t>
  </si>
  <si>
    <t>PROYECCIÓN DE BARRA DE FIERRO PINTADO AL HORNO COLOR NEGRO , EN CIELORASO L=3.35ML</t>
  </si>
  <si>
    <t>CARPINTERÍA DE ALUMINIO ACABADO COLOR NEGRO , EN MURO L=2.80ML</t>
  </si>
  <si>
    <t>MUEBLE CENTRO DE LAV. AZOT.  CARPTINTERÍA DE MDF 18MM CON TABLERO DE GRANITO (2.40x0.60M)*CONSIDERAR 2 PUERTAS BATIENTES *VER D-06 EN LÁMINA A-07 H: 90CM , (N.E.)</t>
  </si>
  <si>
    <t xml:space="preserve">VIDRIOS Y CRISTALES </t>
  </si>
  <si>
    <t>VENTANAS</t>
  </si>
  <si>
    <t>T2.13.01.01 - VV.01 - (1.30X2.10)</t>
  </si>
  <si>
    <t>T2.13.01.02 - VV.02 - (1.20X2.10)</t>
  </si>
  <si>
    <t>T2.13.01.03 - VV.03 - (0.90X2.10)</t>
  </si>
  <si>
    <t>T2.13.01.04 - VV.04 - (1.50X2.10)</t>
  </si>
  <si>
    <t>T2.13.01.05 - VV.05 - (1.35X2.10)</t>
  </si>
  <si>
    <t>T2.13.01.06 - VV.06 - (1.50X1.00)</t>
  </si>
  <si>
    <t>T2.13.01.08 - VV.07 - (0.90X1.00)</t>
  </si>
  <si>
    <t>T2.13.01.10 - VV.08b - (1.20X2.10)</t>
  </si>
  <si>
    <t>T2.13.01.12 - VV.10 - (1.10X1.00)</t>
  </si>
  <si>
    <t>T2.13.01.13 - VV.11 - (1.00X1.00)</t>
  </si>
  <si>
    <t>T2.13.01.14 - VV.12 - (1.50X2.10)</t>
  </si>
  <si>
    <t>MAMPARAS</t>
  </si>
  <si>
    <t>PUERTAS VENTANAS</t>
  </si>
  <si>
    <t>PARAPETO DE VIDRIOS</t>
  </si>
  <si>
    <t>B-01 (22.17 x 1.25m)</t>
  </si>
  <si>
    <t>PROTECTORES Y SELLADOS</t>
  </si>
  <si>
    <t>FORRADO DE VIDRIOS Y ALUMINIO CON CARTON, FILM Y CINTA AZUL PARA LAS RIELES</t>
  </si>
  <si>
    <t xml:space="preserve">SC PREVENCIONISTA DE RIESGO-SC VIDRIOS Y CRISTALES </t>
  </si>
  <si>
    <t>CELOSÍA</t>
  </si>
  <si>
    <t>CELOSIA PARA VENTILACIÓN (1.00 x 3.30 m)</t>
  </si>
  <si>
    <t>CELOSIA PARA VENTILACIÓN (1.00 x 3.43 m)</t>
  </si>
  <si>
    <t>BARANDAS METALICAS</t>
  </si>
  <si>
    <t>BARANDAS FACHADA PRINCIPAL</t>
  </si>
  <si>
    <t>BARANDAS 01 H: 1.10 M</t>
  </si>
  <si>
    <t>BARANDAS FACHADA INTERNA</t>
  </si>
  <si>
    <t>BARANDA X01 H:1.10 m</t>
  </si>
  <si>
    <t>PUERTA VEHICULAR</t>
  </si>
  <si>
    <t>PUERTA VEHICULAR 01 (6.30 M X 2.40 M)</t>
  </si>
  <si>
    <t xml:space="preserve">CONTROLES </t>
  </si>
  <si>
    <t>BARRERA VEHICULAR</t>
  </si>
  <si>
    <t>CARPINTERIA METÁLICA</t>
  </si>
  <si>
    <t>ESCALERA MET. DE GATO ANCLADA A PARED CON PROTECCIÒN (A=0.55 , H=3.00M)</t>
  </si>
  <si>
    <t>ASCENSOR Ò SIMILAR</t>
  </si>
  <si>
    <t>P-ASC 1 UND /#1 PUERTA (ASCENSOR PRINCIPAL)</t>
  </si>
  <si>
    <t>P-ASC 1 UND /#1 PUERTA (ASCENSOR OFICINAS)</t>
  </si>
  <si>
    <t>P-ELEVADOR 1 PUERTA - PISCINA AZOTEA</t>
  </si>
  <si>
    <t>ACCESORIOS METALICOS</t>
  </si>
  <si>
    <t>PARRILLA REJILLA (0.85x0.60M)</t>
  </si>
  <si>
    <t xml:space="preserve">REJILLAS </t>
  </si>
  <si>
    <t>TAPA DE CONCRETO DESMONTABLE P/ INGR DE EQUIPOS (.32x2.60M)</t>
  </si>
  <si>
    <t>REJILLAS MET 1 P/ DESMONTABLE INGR SUBEST(1.00x1.00M)</t>
  </si>
  <si>
    <t>REJILLAS MET 2 P/ DESMONTABLE INGR SUBEST(1.00x1.00M)</t>
  </si>
  <si>
    <t>REJILLAS MET 3 P/ DESMONTABLE INYECC DE AIRE (0.76x0.76M)</t>
  </si>
  <si>
    <t>REJILLAS MET 4 P/ DESMONTABLE INYECC DE AIRE (0.798x1.13M)</t>
  </si>
  <si>
    <t>REJILLAS MET 5 P/ DESMONTABLE INYECC DE AIRE (0.46x0.90M)</t>
  </si>
  <si>
    <t>REJILLAS MET 6 P/ DESMONTABLE INYECC DE AIRE (0.46x0.68M)</t>
  </si>
  <si>
    <t>REJILLAS MET 7 P/ DESMONTABLE INYECC DE AIRE (0.46x0.95M)</t>
  </si>
  <si>
    <t>REJILLAS MET 8 P/ DESMONTABLE INYECC DE AIRE (0.46x3.03M)</t>
  </si>
  <si>
    <t>REJILLAS MET 9 P/ DESMONTABLE INYECC DE AIRE (0.82x0.79M)</t>
  </si>
  <si>
    <t>REJILLAS MET 10 P/ DESMONTABLE INYECC DE AIRE (0.82x4.01M)</t>
  </si>
  <si>
    <t>REJILLAS MET 11 P/ DESMONTABLE INYECC DE AIRE (0.48x0.66M)</t>
  </si>
  <si>
    <t>REJILLAS MET 12 P/ DESMONTABLE INYECC DE AIRE (0.66x0.66M)</t>
  </si>
  <si>
    <t>REJILLAS MET 13 P/ DESMONTABLE INYECC DE AIRE (0.88x0.40M)</t>
  </si>
  <si>
    <t>REJILLAS MET 14 P/ DESMONTABLE INYECC DE AIRE (0.28x1.98M)</t>
  </si>
  <si>
    <t>REJILLAS MET 15 P/ DESMONTABLE INYECC DE AIRE (0.91x0.34M)</t>
  </si>
  <si>
    <t>REJILLAS MET 16 P/ DESMONTABLE INYECC DE AIRE (1.26x0.25M)</t>
  </si>
  <si>
    <t>REJILLAS MET 17 P/ DESMONTABLE INYECC DE AIRE (0.93x0.25M)</t>
  </si>
  <si>
    <t>REJILLAS MET 18 P/ DESMONTABLE INYECC DE AIRE (0.25x1.58M)</t>
  </si>
  <si>
    <t>REJILLAS MET 19 P/ DESMONTABLE INYECC DE AIRE (0.50x0.50M)</t>
  </si>
  <si>
    <t>REJILLAS MET 20 P/ DESMONTABLE INYECC DE AIRE (0.40x1.68M)</t>
  </si>
  <si>
    <t>REJILLAS MET 21 P/ DESMONTABLE INYECC DE AIRE (0.42x1.08M)</t>
  </si>
  <si>
    <t>REJILLAS MET 22 P/ DESMONTABLE INYECC DE AIRE (1.45x0.45M)</t>
  </si>
  <si>
    <t>REJILLAS MET 23 P/ DESMONTABLE INYECC DE AIRE (1.31x0.41M)</t>
  </si>
  <si>
    <t>REJILLAS MET 24 P/ DESMONTABLE INYECC DE AIRE (0.51x1.16M)</t>
  </si>
  <si>
    <t>REJILLAS MET 25 P/ DESMONTABLE INYECC DE AIRE (0.51x1.39M)</t>
  </si>
  <si>
    <t>REJILLAS MET 26 P/ DESMONTABLE INYECC DE AIRE (0.25x0.60M)</t>
  </si>
  <si>
    <t>REJILLAS MET 27 P/ DESMONTABLE INYECC DE AIRE (0.60x1.65M)</t>
  </si>
  <si>
    <t>REJILLAS MET 28 P/ DESMONTABLE INYECC DE AIRE (0.43x0.68M)</t>
  </si>
  <si>
    <t>REJILLAS MET 29 P/ DESMONTABLE INYECC DE AIRE (0.58x0.76M)</t>
  </si>
  <si>
    <t>REJILLAS MET 30 P/ DESMONTABLE INYECC DE AIRE (0.86x0.68M)</t>
  </si>
  <si>
    <t>REJILLAS MET 31 P/ DESMONTABLE INYECC DE AIRE (0.58x0.50M)</t>
  </si>
  <si>
    <t>REJILLAS MET 32 P/ DESMONTABLE INYECC DE AIRE (0.33x1.91M)</t>
  </si>
  <si>
    <t>REJILLAS MET 33 P/ DESMONTABLE INYECC DE AIRE (0.33x1.20M)</t>
  </si>
  <si>
    <t>REJILLAS MET 34 P/ DESMONTABLE INYECC DE AIRE (0.33x0.94M)</t>
  </si>
  <si>
    <t>REJILLAS MET 35 P/ DESMONTABLE INYECC DE AIRE (0.33x0.71M)</t>
  </si>
  <si>
    <t>REJILLAS MET 36 P/ DESMONTABLE INYECC DE AIRE (0.60x0.55M)</t>
  </si>
  <si>
    <t>REJILLAS MET 37 P/ DESMONTABLE INYECC DE AIRE (0.60x0.42M)</t>
  </si>
  <si>
    <t>REJILLAS MET 38 P/ DESMONTABLE INYECC DE AIRE (1.28x0.47M)</t>
  </si>
  <si>
    <t>REJILLAS MET P/ DESMONTABLE INGR DE EQUIPOS (.32x2.60M)</t>
  </si>
  <si>
    <t>Und</t>
  </si>
  <si>
    <t>TAPA DE CONCRETO DESMONTABLE P/ INGR DE EQUIPOS (.33x2.60M)</t>
  </si>
  <si>
    <t>REJILLAS MET 3 P/ DESMONTABLE INYECC DE AIRE (0.98x1.13M)</t>
  </si>
  <si>
    <t>TEATINA EN TECHO METALICA CON VIDRIO Ò SIMILAR (1.42x0.5) NO SE CONSIDERA</t>
  </si>
  <si>
    <t>CELOSIAS Y REJILLAS RM (REJA METALICA INSPECCIÒN HVAC Ò SIMILAR)</t>
  </si>
  <si>
    <t>CANALETA SUM A:45CM  - ACABADO PULIDO - SOT</t>
  </si>
  <si>
    <t>CELOSÍA DE ALUMINIO COLOR NEGRO COD: #5218 *VER D-03 EN LÁMINA A-05 , H=4.17M</t>
  </si>
  <si>
    <t>CELOSÍA DE ALUMINIO COLOR NEGRO COD: #5218 *VER D-03 EN LÁMINA A-05 , L=4.45M</t>
  </si>
  <si>
    <t>PERFIL DE ALUMINIO DE 4X4" COLOR NEGRO COD: #5126 , H=2.50M</t>
  </si>
  <si>
    <t>PERFIL DE ALUMINIO DE 1X4" COLOR NEGRO COD: #7857 , H=2.50M</t>
  </si>
  <si>
    <t>CELOSÍA DE FIERRO PINTADO AL HORNO COLOR DORADO CHAMPÁN 3 LISTONES CON  POSICIÓN EN MURO DE  2X1" / 2X2" / 2X1" H: HASTA EL TECHO - VERTICAL INTERIOR - SUM AZOT.</t>
  </si>
  <si>
    <t>CELOSIA HORIZONTAL DE ALUMNIO H=2.40M , INT. (INLUYE LETRAS - "NUEVA METROPOLIS")</t>
  </si>
  <si>
    <t xml:space="preserve">ESCALERA 01 - EVAC. </t>
  </si>
  <si>
    <t>PASAMANOS A PARED   H=0.90M</t>
  </si>
  <si>
    <t>BARANDAS A PISO   H=0.90M</t>
  </si>
  <si>
    <t xml:space="preserve">ESCALERA 02 - EVAC. </t>
  </si>
  <si>
    <t>ESCALERA 03 - COMERC. 1P</t>
  </si>
  <si>
    <t>ESCALERA 04 - ENLACE PISCINA AZOT</t>
  </si>
  <si>
    <t>TAPAJUNTAS</t>
  </si>
  <si>
    <t>TAPAJUNTAS SPC</t>
  </si>
  <si>
    <t>TAPAJUNTAS DE ALUMINIO</t>
  </si>
  <si>
    <t>TAPAJUNTAS EN ÁREAS COMUNES</t>
  </si>
  <si>
    <t>TAPAJUNTAS EN MAMPARAS</t>
  </si>
  <si>
    <t>PAPEL MURAL</t>
  </si>
  <si>
    <t>MUROS</t>
  </si>
  <si>
    <t>DORMITORIO, ESTUDIO, SALA, PASADIZO, KITCHENETTE</t>
  </si>
  <si>
    <t xml:space="preserve">PREPARACIÓN DE PAPEL </t>
  </si>
  <si>
    <t>SUMINISTRO E INSTALACION DE Papel mural de 180g</t>
  </si>
  <si>
    <t>MOLDURA DE POLIESTIRENO COLOR BLANCO</t>
  </si>
  <si>
    <t>PINTURA</t>
  </si>
  <si>
    <t>Empastado y pintado en OLEOMATE color blanco - Marca VENCELATEX.</t>
  </si>
  <si>
    <t>COCINAS</t>
  </si>
  <si>
    <t>EMPASTADO Y PINTADO 03 MANOS COLOR BLANCO OLEO MATE</t>
  </si>
  <si>
    <t>LAVANDERÍA</t>
  </si>
  <si>
    <t>TERRAZA</t>
  </si>
  <si>
    <t>Empastado y pintado en EXTERIOR color blanco - Marca VENCELATEX.</t>
  </si>
  <si>
    <t>CIELO RASO</t>
  </si>
  <si>
    <t>DPTOS AMBIENTES GENERALES</t>
  </si>
  <si>
    <t>Empastado y pintado con pintura látex Blanco. Se considera pintura PATO.</t>
  </si>
  <si>
    <t>BAÑOS, LAVANDERÍA, KITCHENETTE</t>
  </si>
  <si>
    <t>BALCON  (INCLUIDO EN FACHADA)</t>
  </si>
  <si>
    <t>Solaqueado de cemento, arena, cal y pegamento. Limpieza fina de rebabas.</t>
  </si>
  <si>
    <t>Empastado y pintado en Óleomate color Blanco - CPP(BAÑO)</t>
  </si>
  <si>
    <t xml:space="preserve">Empastado y pintado con pintura látex Blanco. </t>
  </si>
  <si>
    <t>AREA COMUN</t>
  </si>
  <si>
    <t>PINTURA COLOR BLANCO, ACABADO SATINADO PROVEEDOR: COLOR CENTRO - (4) LOBBY PRINCIPAL - 1P</t>
  </si>
  <si>
    <t>PINTURA COLOR BLANCO, ACABADO SATINADO PROVEEDOR: COLOR CENTRO - LOBBY OFIC. 1P</t>
  </si>
  <si>
    <t>PINTURA TIPO MICROCEMENTO GRIS CLARO - (5) COWORK AZOT.</t>
  </si>
  <si>
    <t>PINTURA COLOR AP148-3 CARAMEL SUGAR. ACABADO SATINADO. PANTONERA COLOR CENTRO - (5) SALA DE JOV. AZOT.</t>
  </si>
  <si>
    <t>PINTURA COLOR AP117-5 ENDICOTT POST. ACABADO SATINADO. PANTONERA COLOR CENTRO - (6) SALA DE JOV. AZOT.</t>
  </si>
  <si>
    <t>PINTURA COLOR BLANCO POR DEFINIR- SALA DE JOV. AZOT.</t>
  </si>
  <si>
    <t>PINTURA COLOR CHAMPAGNE ACABADO SATINADO - (3) SUM AZOT.</t>
  </si>
  <si>
    <t>EMPASTADO Y PINTADO DE MUROS CON LATEX  - (AMBIENTES COMUNES VARIADOS) - 1P</t>
  </si>
  <si>
    <t>EMPASTADO Y PINTADO DE MUROS CON VENCELATEX  - (HALL Y CORREDORES)</t>
  </si>
  <si>
    <t>EMPASTADO Y PINTADO DE MUROS 2 MANOS OLEO MATE - (SH / VEST AZOT) - A.C.</t>
  </si>
  <si>
    <t>EMPASTADO Y PINTADO DE MUROS 2 MANOS OLEO MATE - (SSHH MIXTO Y DISC. - 1P Y ZOT) - A.C.</t>
  </si>
  <si>
    <t>EMPASTADO Y PINTADO CON LATEX DEL MURO COLINDANTE 1P  H&gt;=2.60m - COLOR POR DEFINIR</t>
  </si>
  <si>
    <t>EMPASTADO Y PINTADO DE MUROS CON LATEX COLOR  (AREAS COMUNES) - AZOTEA</t>
  </si>
  <si>
    <t>EMPASTADO Y PINTADO CON LATEX COLOR  (PARAPETOS TECHO)</t>
  </si>
  <si>
    <t>EMPASTADO Y PINTADO CON LATEX COLOR  (SARDINLES AREAS COMUNES) H=0.90ML APROX.</t>
  </si>
  <si>
    <t>PINTURA COLOR BRILHO DE ESTRELLA 211, PANTONE DUVINIL, ACABADO SATINADO PROVEEDOR: AMERICAN COLORS - LOBBY PRINCIPAL 1P</t>
  </si>
  <si>
    <t>PINTURA COLOR BRILHO DE ESTRELLA 211, PANTONE DUVINIL, ACABADO SATINADO PROVEEDOR: AMERICAN COLORS - DEPOSIT. LOBBY PRINC. 1P</t>
  </si>
  <si>
    <t>PINTURA COLOR BRILHO DE ESTRELLA 211, PANTONE DUVINIL, ACABADO SATINADO PROVEEDOR: AMERICAN COLORS - LOBBY OFICIN. 1P</t>
  </si>
  <si>
    <t>PINTURA COLOR BLANCO SATINADO VENCELATEX</t>
  </si>
  <si>
    <t>PINTURA COLOR BLANCO ACABADO SATINADO</t>
  </si>
  <si>
    <t>TECHO CON ACABADO DE PINTURA DE TECHO COLOR NEGRO / BALNCO , ACABADO SATINADO.</t>
  </si>
  <si>
    <t>ESCALERAS Y VESTÍBULO PREVIO</t>
  </si>
  <si>
    <t>MUROS VESTIBULO PREVIO Y ESCALERA</t>
  </si>
  <si>
    <t>EMPASTE DE CAL+CEMENTO EN MUROS DE ESCALERAS</t>
  </si>
  <si>
    <t>EMPASTE DE CAL+CEMENTO EN CIELORRASO DE ESCALERAS</t>
  </si>
  <si>
    <t>EMPASTE DE CAL+CEMENTO EN FONDO DE ESCALERAS</t>
  </si>
  <si>
    <t>APARATOS Y ACCESORIOS SANITARIOS</t>
  </si>
  <si>
    <t>APARATOS SANITARIOS</t>
  </si>
  <si>
    <t>BAÑO PRINCIPAL</t>
  </si>
  <si>
    <t>INODORO MODELO RAPID JET COLOR BLANCO, MARCA TREBOL</t>
  </si>
  <si>
    <t>BAÑO SECUNDARIO</t>
  </si>
  <si>
    <t>VANITORIO 2 PUERTAS, MODELO VB24-014. TECSO</t>
  </si>
  <si>
    <t>LAVATORIO MANCORA DE PEDESTAL COLOR BLANCO, MARCA TREBOL</t>
  </si>
  <si>
    <t>COCINA</t>
  </si>
  <si>
    <t>LI54:Lavadero de acero inoxidable.Dimensiones exteriores:430x430x180mm. Acero inoxidable calidad 304 Incluye sumidero, canasta, y tapa.  Sin rebosadero.</t>
  </si>
  <si>
    <t>LAVATORIO AMAZONAS TREBOL</t>
  </si>
  <si>
    <t>GRIFERIAS</t>
  </si>
  <si>
    <t>MEZCLADORA DE LAVATORIO, AL MUEBLE, MODELO AHORRADOR CERTIFICADO POR SEDAPAL PARA BONO VERDE, COD ML41AHP. TECSO</t>
  </si>
  <si>
    <t>MEZCLADOR DE DUCHA MD41 Y DIFUSOR DE DUCHA DD02AHP. TECSO</t>
  </si>
  <si>
    <t>MONOMANDO LAVAPLATOS/COCINA LINEA CAPRI</t>
  </si>
  <si>
    <t>LLAVE ECO CROMADO 1/2", MARCA TREBOL</t>
  </si>
  <si>
    <t>SH COMUN MIXTO</t>
  </si>
  <si>
    <t>ONE PIECE TREBOL SAVONA LUX BLANCO C/PUL DESC/UNICA 4.8 LT</t>
  </si>
  <si>
    <t xml:space="preserve">URINARIO CADET COLOR BLANCO, MARCA TREBOL </t>
  </si>
  <si>
    <t>SH DISC</t>
  </si>
  <si>
    <t xml:space="preserve">Lavatorio Ancón 2.0 </t>
  </si>
  <si>
    <t>SH COMUN OF. / LOBBY</t>
  </si>
  <si>
    <t>BOWL TREBOL PRIANO COLOR BLANCO</t>
  </si>
  <si>
    <t>Lavadero de empotrar Ginebra 1 poza 33.4x33.4x18 cm</t>
  </si>
  <si>
    <t>DEPOSIT LOBBY 1P</t>
  </si>
  <si>
    <t>LAVANDERIA -AREAS COMUNES</t>
  </si>
  <si>
    <t>Lavadero de Cocina Record Acero Inoxidable 1 Poza Indico 34x40cm</t>
  </si>
  <si>
    <t>ACOPIO LOCAL COMERC. 4</t>
  </si>
  <si>
    <t>CTO DE ACOPIO OF.  1P- VIVIEND</t>
  </si>
  <si>
    <t xml:space="preserve">SUM AZOT. </t>
  </si>
  <si>
    <t>Lavadero de empotrar Queen 1 poza 43x43x17 cm</t>
  </si>
  <si>
    <t>SALA NIÑOS</t>
  </si>
  <si>
    <t>Lavadero de acero para empotrar Be Rs15 50.40 Teka</t>
  </si>
  <si>
    <t>ACOPIO LOCAL COMERC. 5</t>
  </si>
  <si>
    <t>Llave de Lavatorio Italgrif Buzios Lever Alta Cromada</t>
  </si>
  <si>
    <t>LLAVE DE LAVATORIO BAJA BUZIOS LEVER, MARCA ITALGRIF</t>
  </si>
  <si>
    <t>GRIF 7 GRIFERIA URINARIO</t>
  </si>
  <si>
    <t>GRIF 8 GRIFERIA URINARIO</t>
  </si>
  <si>
    <t xml:space="preserve"> ROCIADOR DE DUCHA FORMENTERA BAJA</t>
  </si>
  <si>
    <t>ECO MEZCLADORA DE 8” PARA DUCHA</t>
  </si>
  <si>
    <t xml:space="preserve">ESPEJO INCLINADO </t>
  </si>
  <si>
    <t>PARRILLAS COMUN</t>
  </si>
  <si>
    <t>MONO URBAN PCOCINA NEGRO MATE 6 LPM</t>
  </si>
  <si>
    <t>CENTRO DE LAVADO - AZOT.</t>
  </si>
  <si>
    <t>SALA JOVENES AZOT.</t>
  </si>
  <si>
    <t>GRIFERÍA MONOCOMANDO DE COCINA SOFT NEGRO. MARCA KIPLEN</t>
  </si>
  <si>
    <t>BARRAS SOPORTE SH INODORO DISCP. LONG. 0.87ml -ACCESORIOS DE ACERO INOX EN BAÑO DE DISCAPACITADOS (BARANDAS DE SEGURIDAD)</t>
  </si>
  <si>
    <t>BARRAS SOPORTE SH URINARIO DISCP. LONG. 0.50ml -ACCESORIOS DE ACERO INOX EN BAÑO DE DISCAPACITADOS (BARANDAS DE SEGURIDAD)</t>
  </si>
  <si>
    <t>TABLEROS GRANITO SERENA</t>
  </si>
  <si>
    <t>PROTECCION Y SELLADO DE TABLEROS</t>
  </si>
  <si>
    <t>PROTECCION DE TABLERO DE GRANITO (INC EN OBRAS PROVISIONALES)</t>
  </si>
  <si>
    <t>SELLADO CON SILICONA</t>
  </si>
  <si>
    <t>LUMINARIAS</t>
  </si>
  <si>
    <t>L1</t>
  </si>
  <si>
    <t>L2</t>
  </si>
  <si>
    <t>L6</t>
  </si>
  <si>
    <t>L7</t>
  </si>
  <si>
    <t>L8</t>
  </si>
  <si>
    <t>L8S</t>
  </si>
  <si>
    <t>L9S</t>
  </si>
  <si>
    <t>L10</t>
  </si>
  <si>
    <t>RIEL2M</t>
  </si>
  <si>
    <t>L11</t>
  </si>
  <si>
    <t>L13</t>
  </si>
  <si>
    <t>72W</t>
  </si>
  <si>
    <t>PERFIL</t>
  </si>
  <si>
    <t>L14</t>
  </si>
  <si>
    <t>L15</t>
  </si>
  <si>
    <t>L16</t>
  </si>
  <si>
    <t>L17</t>
  </si>
  <si>
    <t>L19</t>
  </si>
  <si>
    <t>L20</t>
  </si>
  <si>
    <t>L21</t>
  </si>
  <si>
    <t>L21S</t>
  </si>
  <si>
    <t>L22</t>
  </si>
  <si>
    <t>L23</t>
  </si>
  <si>
    <t>L24</t>
  </si>
  <si>
    <t>ST</t>
  </si>
  <si>
    <t>EMG</t>
  </si>
  <si>
    <t>EMG1</t>
  </si>
  <si>
    <t>EMG2</t>
  </si>
  <si>
    <t>SEÑALETICA</t>
  </si>
  <si>
    <t>SEÑAL DE "SALIDA" ILUMINADA  FOTOLUMINISCENTES</t>
  </si>
  <si>
    <t>SEÑAL DE ''SALIDA DE EMERGENCIA" ILUMINADA FOTOLUMINISCENTES</t>
  </si>
  <si>
    <t>SEÑAL DE "INDICADOR DE SALIDA" FOTOLUMNISCENTES  IZQ. / DER.</t>
  </si>
  <si>
    <t>SEÑAL "ZONA SEGURA" EN CASO DE SISMOS</t>
  </si>
  <si>
    <t>SEÑAL "INDICADOR DE PISO Ò NIVEL"</t>
  </si>
  <si>
    <t>SEÑAL "NO USAR EN CASO DE SISMOS O INCENDIO)</t>
  </si>
  <si>
    <t>SEÑAL LUZ DE EMERGENCIA (ADOSADA)</t>
  </si>
  <si>
    <t>SENSOR DE HUMO / TEMPERATURA</t>
  </si>
  <si>
    <t>ROCIADOR DE CONTRA INCENDIOS</t>
  </si>
  <si>
    <t xml:space="preserve">SEÑAL "ZONA SEGURA DE REUNIÒN" </t>
  </si>
  <si>
    <t>SEÑAL "BOTIQUIN  PRIMEROS AUXILIOS"</t>
  </si>
  <si>
    <t>TOMA VALVULA SIAMESA - CONEXIÓN DEL SISTEMA CONTRAINCENDIOS</t>
  </si>
  <si>
    <t>GABINETE MANGUERA CONTRA INCENDIOS 30.00ML</t>
  </si>
  <si>
    <t>SEÑAL DE "ESCALERA CONTRA INCENDIOS" ARRIBA / ABAJO</t>
  </si>
  <si>
    <t xml:space="preserve">SEÑAL PARA PUERTA RF CONTRAFUEGO Y HUMO  CERTIFICADA RF=90MIN </t>
  </si>
  <si>
    <t>PULSADOR  "ALARMA CONTRA INCENDIO"</t>
  </si>
  <si>
    <t>"AVISADOR SONORO"  ALARMA CONTRAINCENDIOS</t>
  </si>
  <si>
    <t>SEÑAL DE "RIESGO ELECTRICO"</t>
  </si>
  <si>
    <t>VALVULA 2 1/2" H=0.60 SNPT</t>
  </si>
  <si>
    <t>PASE MANGUERA CI (0.20x0.20M)</t>
  </si>
  <si>
    <t>CENTRAL DE ALARMA CONTRA INCENDIO - CACI</t>
  </si>
  <si>
    <t>SELLOS CORTAFUEGO</t>
  </si>
  <si>
    <t>LOSAS EN CTOS TÉCNICOS</t>
  </si>
  <si>
    <t>SELLADO DUCTO (1.56x2.00)</t>
  </si>
  <si>
    <t>SELLADO DUCTO (0.93x2.00)</t>
  </si>
  <si>
    <t>SELLADO DUCTO (1.68x2.00)</t>
  </si>
  <si>
    <t>SELLADO DUCTO (1.82x2.00)</t>
  </si>
  <si>
    <t>SELLADO DUCTO(1.44x2.00)</t>
  </si>
  <si>
    <t>SELLADO DUCTO (1.20x2.00)</t>
  </si>
  <si>
    <t>SELLADO DUCTO (1.91x2.00)</t>
  </si>
  <si>
    <t>SELLADO DUCTO (1.30x2.00)</t>
  </si>
  <si>
    <t>SELLADO DUCTO (2.08x2.00)</t>
  </si>
  <si>
    <t xml:space="preserve">PP.12(1.39x2)P. CONTRAPL. </t>
  </si>
  <si>
    <t xml:space="preserve">PP.13(1.16x2)P. CONTRAPL. </t>
  </si>
  <si>
    <t xml:space="preserve">PP.14(1.2x2)P. CONTRAPL. </t>
  </si>
  <si>
    <t xml:space="preserve">PP.15(1.27x2)P. CONTRAPL. </t>
  </si>
  <si>
    <t xml:space="preserve">PP.16(1.91x2)P. CONTRAPL. </t>
  </si>
  <si>
    <t>PP.00 (N.E)(0.72x2)</t>
  </si>
  <si>
    <t>NUMERACIONES EN TORRE</t>
  </si>
  <si>
    <t xml:space="preserve">NUMERACIÓN DE PISOS </t>
  </si>
  <si>
    <t>NUMERACIÓN DE DPTOS  EN ACERO INOXIDABLE</t>
  </si>
  <si>
    <t>NUMERACIÓN DE FACHADA CON LETRAS DE ACERO INOXIDABLE (INGRESO PRINCIPAL)</t>
  </si>
  <si>
    <t xml:space="preserve">EXTINTORES </t>
  </si>
  <si>
    <t>EXTINTOR PORTATIL "PQS"  6KG</t>
  </si>
  <si>
    <t>VARIOS</t>
  </si>
  <si>
    <t>CAPATAZ ARQUITECTURA</t>
  </si>
  <si>
    <t>BAÑOS OFICINAS: CUBICULO DE SSHH DIVISORES DE ESTRUCTURA DE ALUMINIO NEGRO Y MELAMINE PELIKANO ESPRESSO PORO (EN CASO CORRESPONDA) , S/ PUERTA</t>
  </si>
  <si>
    <t>Topellantas de L= 0.55 m</t>
  </si>
  <si>
    <t>RESANES // TODISTAS</t>
  </si>
  <si>
    <t xml:space="preserve">                                                                </t>
  </si>
  <si>
    <t>OBRAS PROVISIONALES</t>
  </si>
  <si>
    <t>CANTIDAD</t>
  </si>
  <si>
    <t>P.U. (TOTAL)</t>
  </si>
  <si>
    <t>PRECIO TOTAL (PEN)</t>
  </si>
  <si>
    <t>01</t>
  </si>
  <si>
    <t>OBRAS PROVISIONALES, TRABAJOS PRELIMINARES</t>
  </si>
  <si>
    <t>CONSTRUCCIONES PROVISIONALES</t>
  </si>
  <si>
    <t>OFICINA DE OBRA PARA CONTRATISTA</t>
  </si>
  <si>
    <t>OFICINA DE OBRA PARA SUPERVISIÓN</t>
  </si>
  <si>
    <t>OFICINA SALA DE REUNIONES</t>
  </si>
  <si>
    <t>ALMACEN DE OBRA</t>
  </si>
  <si>
    <t>COMEDOR PERSONAL OBRERO</t>
  </si>
  <si>
    <t>VESTUARIO PARA OBREROS</t>
  </si>
  <si>
    <t>TRASLADO DE CAMPAMENTO PROVISIONAL A SOTANOS</t>
  </si>
  <si>
    <t>CASETA PARA GUARDIANIA</t>
  </si>
  <si>
    <t>BAÑOS PORTATILES DE OBRA PARA PERSONAL STAFF Y SUPERVISION COMPARTIDOS</t>
  </si>
  <si>
    <t xml:space="preserve">CONSTRUCCION DE SSHH (1ER NIVEL) </t>
  </si>
  <si>
    <t>SSHH PORTATILES PARA OBREROS</t>
  </si>
  <si>
    <t>DUCHAS PORTATILES  PARA OBREROS</t>
  </si>
  <si>
    <t>ALQUILER LAVAMANOS PARA OBREROS</t>
  </si>
  <si>
    <t>ALQUILER DE ESCUADRAS METÁLICAS</t>
  </si>
  <si>
    <t>VENTILACION PROVISIONAL EN SOTANOS</t>
  </si>
  <si>
    <t>PROTECCIÓN DE VECINOS CON MALLA RASCHEL (ENCAPSULADO)</t>
  </si>
  <si>
    <t xml:space="preserve">RENOVACIÓN DE MALLA RACHEL  </t>
  </si>
  <si>
    <t xml:space="preserve">CERCO METALICO DE OBRA </t>
  </si>
  <si>
    <t>MANTENIMIENTO, BASTIDORES+MALLA Y DESMONTAJE DE CERCO METALICO</t>
  </si>
  <si>
    <t>PROTECCION PERIMETRAL INICIAL DE VECINOS</t>
  </si>
  <si>
    <t>CARTEL DE OBRA</t>
  </si>
  <si>
    <t xml:space="preserve">CAMPAMENTO Y SALA DE VENTAS CLIENTE - NO SE CONSIDERA </t>
  </si>
  <si>
    <t>ESCUADRAS Y TABLAS PARA CASETA DE VENTAS EN VOLADIZO</t>
  </si>
  <si>
    <t xml:space="preserve">TRASLADO DE CONTENEDOR SALA DE VENTAS CLIENTE (MOVIMIENTO 1 VEZ) </t>
  </si>
  <si>
    <t>ESCALERA METALICA (1-2 PISO) INGRESO DE SALA VENTAS A DEP PILOTO</t>
  </si>
  <si>
    <t xml:space="preserve">PROTECCION A ACCESO VERTICAL (1- PISO) </t>
  </si>
  <si>
    <t>MOVILIZACION DE CAMPAMENTO, MAQUINARIA Y HERRAMIENTAS</t>
  </si>
  <si>
    <t>MOVILIZACION Y DESMOVILIZACION (FLETES DURANTE LA OBRA)</t>
  </si>
  <si>
    <t>MAQUINARIA Y HERRAMIENTAS</t>
  </si>
  <si>
    <t>NIVEL TOPOGRAFICO (INC CUADRILLA TOPOGRAFIA)</t>
  </si>
  <si>
    <t>TEODOLITO ELECTRICO (INC CUADRILLA TOPOGRAFIA)</t>
  </si>
  <si>
    <t>VIBRADOR ELECTRICO (INC EN APU DE CONCRETO)</t>
  </si>
  <si>
    <t>COMPACTADORA TIPO PLANCHA (INC EN APU EST SOT)</t>
  </si>
  <si>
    <t>APISONADOR TIPO CANGURO (INC EN APU EST SOT)</t>
  </si>
  <si>
    <t>MARTILLO ELECTRICO</t>
  </si>
  <si>
    <t>AMOLADORAS Y RADIALES</t>
  </si>
  <si>
    <t>KIT DE SOLAQUEO (ASPIRADORA DE POLVO UNIVERSAL)</t>
  </si>
  <si>
    <t>HIDROLAVADORA</t>
  </si>
  <si>
    <t>TRANSPORTE VERTICAL Y HORIZONTAL</t>
  </si>
  <si>
    <t xml:space="preserve">ALQUILER GRUA TORRE </t>
  </si>
  <si>
    <t>ALQUILER Y OPERACIÓN DE GRUA TORRE</t>
  </si>
  <si>
    <t>MONTAJE GRUA TORRE</t>
  </si>
  <si>
    <t>DESMONTAJE DE GRUA TORRE</t>
  </si>
  <si>
    <t>CIMENTACIÓN PARA TORRE GRÚA</t>
  </si>
  <si>
    <t>ZAPATA PARA TORRE GRUA</t>
  </si>
  <si>
    <t>ALQUILER ELEVADOR VERTICAL</t>
  </si>
  <si>
    <t>TRANSPORTE VERTICAL CON ELEVADOR</t>
  </si>
  <si>
    <t>MONTAJE DE ELEVADOR</t>
  </si>
  <si>
    <t>DESMONTAJE DE ELEVADOR</t>
  </si>
  <si>
    <t>ACCESORIOS PARA ACARREO</t>
  </si>
  <si>
    <t>PULPO DE CADENA, ESTROBO Y ESLINGA</t>
  </si>
  <si>
    <t>PLATAFORMAS Y STOCKAS PARA DESCARGAS DE PARIHUELAS (COMPRA 100%)</t>
  </si>
  <si>
    <t>INSTALACION Y DESISTALACION DE PLATAFORMA DESCARGA DE PARIHUELAS</t>
  </si>
  <si>
    <t>ALQUILER GRUA TELESCOPICA PARA ACARREO</t>
  </si>
  <si>
    <t>día</t>
  </si>
  <si>
    <t>TRASLADO Y ACARREO HORIZONTAL</t>
  </si>
  <si>
    <t>TRASLADO Y ACARREO HORIZONTAL (PEONES)</t>
  </si>
  <si>
    <t>ALQUILER DE EQUIPO BOBCAT Y MONTACARGA</t>
  </si>
  <si>
    <t>INSTALACIONES PROVISIONALES, AGUA Y ENERGIA</t>
  </si>
  <si>
    <t>INSTALACIONES PROVISIONALES</t>
  </si>
  <si>
    <t>INSTALACIÓN PROVISIONAL DE AGUA Y DESAGUE PARA LA CONSTRUCCIÓN</t>
  </si>
  <si>
    <t>INSTALACIÓN PROVISIONAL DE ENERGÍA PARA LA CONSTRUCCIÓN (VENTA DEL 60% A ALMACEN)</t>
  </si>
  <si>
    <t>POZO A TIERRA PROVISIONAL (NORMATIVA)</t>
  </si>
  <si>
    <t>AMPLIACION DE CARGA</t>
  </si>
  <si>
    <t>CONSUMO DE AGUA PARA LA OBRA</t>
  </si>
  <si>
    <t>AGUA PARA LLENADO DE CISTERNA (PRUEBA HIDRAULICA)</t>
  </si>
  <si>
    <t>vje</t>
  </si>
  <si>
    <t xml:space="preserve">CONSUMO DE ELECTRICIDAD PARA LA OBRA </t>
  </si>
  <si>
    <t xml:space="preserve">TRANSPORTE DE GRUPO ELECTROGENO 100KW PARA GRUA </t>
  </si>
  <si>
    <t>vez</t>
  </si>
  <si>
    <t>ALQUILER DE GRUPO ELECTROGENO 100KW PARA TORRE GRUA (inc mantenimiento y combustible)</t>
  </si>
  <si>
    <t>GRUPO ELECTROGENO PARA ELEVADOR VERTICAL (SE CONSIDERA QUE SE CONECTA AL MEDIDOR PÚBLICO)</t>
  </si>
  <si>
    <t xml:space="preserve">TRANSPORTE DE GRUPO ELECTROGENO 80KW PARA ELEVADOR </t>
  </si>
  <si>
    <t>ALQUILER DE GRUPO ELECTROGENO 80 KW PARA ELEVADOR (inc mantenimiento y combustible)</t>
  </si>
  <si>
    <t>GRUPO ELECTROGENO PARA MAQUINA DE ANCLAJES (INC EN COSTO DE ANCLAJES)</t>
  </si>
  <si>
    <t>TRANSPORTE DE GRUPO ELECTROGENO 80KW PARA MAQUINA DE ANCLAJES</t>
  </si>
  <si>
    <t>ALQUILER DE GRUPO ELECTROGENO 80 KW PARA MAQUINA DE ANCLAJES (inc mantenimiento y combustible)</t>
  </si>
  <si>
    <t>TRAZOS, NIVELES Y REPLANTEO</t>
  </si>
  <si>
    <t xml:space="preserve">TRAZO Y REPLANTEO DURANTE LA EJECUCIÓN DE OBRA </t>
  </si>
  <si>
    <t>LIMPIEZA DE OBRA</t>
  </si>
  <si>
    <t>PERSONAL DE LIMPIEZA PERMANENTE EN OBRA</t>
  </si>
  <si>
    <t>ELIMINACIÓN MATERIAL DE DESMONTE, RESIDUOS,  DURANTE LA OBRA</t>
  </si>
  <si>
    <t>m3</t>
  </si>
  <si>
    <t>ELIMINACIÓN MATERIAL DE DESMONTE, RESIDUOS CON CAJA ECOLOGICA (V= 8 M3),  DURANTE LA OBRA</t>
  </si>
  <si>
    <t>CHUTE PARA ELIMINACION VERTICAL</t>
  </si>
  <si>
    <t>LIMPIEZA FINA DE DEPARTAMENTOS Y ZONAS COMUNES</t>
  </si>
  <si>
    <t>LIMPIEZA DE VIDRIOS FIJOS EXTERIORES</t>
  </si>
  <si>
    <t>SERVICIOS GENERAES - OTROS</t>
  </si>
  <si>
    <t>PROTECCION Y LIMPIEZA FINAL DE PISOS Y VENTANAS</t>
  </si>
  <si>
    <t>PROTECCION CON CARTON Y PLASTICO (PISOS, TABLEROS, PCF)</t>
  </si>
  <si>
    <t>PROTECCION DE VENTANA, MAMPARA Y BARANDA DE VIDRIOS (ES A COSTO DEL SUBCONTRATISTA)</t>
  </si>
  <si>
    <r>
      <t xml:space="preserve">PLASTICO DE PROTECCION DE VENTANA, MAMPARA Y BARANDA DE VIDRIOS </t>
    </r>
    <r>
      <rPr>
        <sz val="8"/>
        <color rgb="FF000000"/>
        <rFont val="Arial"/>
        <family val="2"/>
      </rPr>
      <t>EXTERIORES</t>
    </r>
    <r>
      <rPr>
        <sz val="8"/>
        <color indexed="72"/>
        <rFont val="Arial"/>
        <family val="2"/>
      </rPr>
      <t>, PARA EL TARRAJEO ( A COSTO DEL SUBCONTRATISTA)</t>
    </r>
  </si>
  <si>
    <t>PROTECCION DE BARANDAS DE FIERRO ESCALERAS Y FACHADAS</t>
  </si>
  <si>
    <t>ANDAMIOS Y ESCALERAS DE ACCESO</t>
  </si>
  <si>
    <t>ALQUILER DE ESCALERA PARA ACCCESO AL SOTANO</t>
  </si>
  <si>
    <t xml:space="preserve">ALQUILER DE ANDAMIOS INTERIORES </t>
  </si>
  <si>
    <t>ALQUILER Y ARMADO DE ANDAMIO PARA TARRAJEOS DE FACHADAS (INC PRECIO DE ACABADO DE FACHADA)</t>
  </si>
  <si>
    <t>ENSAYOS DE CALIDAD</t>
  </si>
  <si>
    <t>ENSAYOS DE CALIDAD PROBETAS DE CONCRETO</t>
  </si>
  <si>
    <t>muestra</t>
  </si>
  <si>
    <t>ENSAYOS DE LABORATORIO DE SUELOS</t>
  </si>
  <si>
    <t>ENSAYO INYECCION DE LECHADA MUROS ANCLADOS</t>
  </si>
  <si>
    <t>DEMOLICION Y REPOSICION DE VEREDAS DE ACCESOS</t>
  </si>
  <si>
    <t>LLAVEROS (CONTROL)</t>
  </si>
  <si>
    <t>02</t>
  </si>
  <si>
    <t>SEGURIDAD</t>
  </si>
  <si>
    <t>ELABORACIÓN, IMPLEMENTACIÓN Y ADMINISTRACIÓN DEL PLAN DE SEGURIDAD Y SALUD EN EL TRABAJO</t>
  </si>
  <si>
    <t>EQUIPOS DE PROTECCION INDIVIDUAL (STAFF Y OBREROS)</t>
  </si>
  <si>
    <t>EQUPO DE PROTECCION COLECTIVA</t>
  </si>
  <si>
    <t>SC EXAMEN MEDICO OCUPACIONAL</t>
  </si>
  <si>
    <t>DESVIO DE TRANSITO (02 SEÑALERO x FRENTE)</t>
  </si>
  <si>
    <t>SC MONITOREO OCUPACIONAL (SERVICIO TERCERO)</t>
  </si>
  <si>
    <t>SC MONITOREO DE CALIDAD DE AIRE Y RUIDO</t>
  </si>
  <si>
    <t>MALLAS ANTICAÍDAS</t>
  </si>
  <si>
    <t>MONITORES</t>
  </si>
  <si>
    <t>MONITORES DE SEGURIDAD (ASISTENTES Y AYUDANTES)</t>
  </si>
  <si>
    <t>VIGILANCIA DENTRO DEL CAMPAMENTO</t>
  </si>
  <si>
    <t>CAMARAS DE SEGURIDAD</t>
  </si>
  <si>
    <t>ESTRUCTURAS SOTANOS</t>
  </si>
  <si>
    <t>Presupuesto:</t>
  </si>
  <si>
    <t>Subpresupuesto:</t>
  </si>
  <si>
    <t>Cliente:</t>
  </si>
  <si>
    <t>Lugar:</t>
  </si>
  <si>
    <t xml:space="preserve">CANTIDAD </t>
  </si>
  <si>
    <t>ESTRUCTURAS SÓTANO</t>
  </si>
  <si>
    <t>02.01</t>
  </si>
  <si>
    <t xml:space="preserve">   OBRAS PRELIMINARES MOVIMIENTOS DE TIERRA</t>
  </si>
  <si>
    <t>02.01.01</t>
  </si>
  <si>
    <t xml:space="preserve">      MOVILIZACION Y DESMOVILIZACION DE EQUIPOS MOVIMIENTO TIERRAS</t>
  </si>
  <si>
    <t>02.01.02</t>
  </si>
  <si>
    <t xml:space="preserve">      EXTRACCION DE EQUIPOS MOVIMIENTO TIERRAS</t>
  </si>
  <si>
    <t>02.01.03</t>
  </si>
  <si>
    <t xml:space="preserve">      INSTALACION Y DESISTALACION DE PLATAFORMA</t>
  </si>
  <si>
    <t>02.01.04</t>
  </si>
  <si>
    <t xml:space="preserve">        EXTRACCION DE EQUIPOS PERFORACION CON GRUAS</t>
  </si>
  <si>
    <t>02.01.05</t>
  </si>
  <si>
    <t xml:space="preserve">      Control de polvo durante la excavación masiva.</t>
  </si>
  <si>
    <t xml:space="preserve">       Biombo para eliminación en la via pública</t>
  </si>
  <si>
    <t xml:space="preserve">      Movilización y Desmovilización de Excavadora sobre orugas o neumática para el Proceso de Pasamanos</t>
  </si>
  <si>
    <t xml:space="preserve">      Movilización y Desmovilizacion de plataforma + escuadras para eliminacion (incluye montaje y desmontaje)</t>
  </si>
  <si>
    <t>02.02</t>
  </si>
  <si>
    <t xml:space="preserve">   MOVIMIENTO DE TIERRAS</t>
  </si>
  <si>
    <t>02.02.01</t>
  </si>
  <si>
    <t xml:space="preserve">      EXCAVACIÓN Y ELIMINACION MASIVA POR NIVEL </t>
  </si>
  <si>
    <t>GASTOS GENERALES</t>
  </si>
  <si>
    <t>02.02.01.01</t>
  </si>
  <si>
    <t>Excavacion Masiva y Eliminación del Sótano 01 c/01 Excavadora por Rampa (Material contaminado) (botadero autorizado</t>
  </si>
  <si>
    <t>Excavacion Masiva y Eliminación del Sótano 01 c/01 Excavadora por Rampa (de -0.00 a -3.45 )</t>
  </si>
  <si>
    <t>02.02.01.03</t>
  </si>
  <si>
    <t>Excavacion Masiva y Eliminación del Sótano 02 c/02 Excavadoras por Rampa (de -3.45 a -6.30)</t>
  </si>
  <si>
    <t>02.02.01.04</t>
  </si>
  <si>
    <t>Excavacion Masiva y Eliminación del Sótano 03 c/03 Excavadoras por Rampa y Pasamanos (de -6.30 a -9.15)</t>
  </si>
  <si>
    <t>02.02.01.05</t>
  </si>
  <si>
    <t>Excavacion Masiva y Eliminación del sótano 04 c/03 Excavadoras por plataforma + Pasamanos (de -9.15 a -12.00)</t>
  </si>
  <si>
    <t>02.02.01.06</t>
  </si>
  <si>
    <t>Excavacion Masiva y Eliminación del sótano 05 c/03 Excavadoras por plataforma + Pasamanos (de -12.00 a -14.85)</t>
  </si>
  <si>
    <t>02.02.01.07</t>
  </si>
  <si>
    <t>Excavacion Masiva y Eliminación del sótano 06 c/02 Excavadoras + Grúa Telescópica + balde (de -14.85 a -18.00)</t>
  </si>
  <si>
    <t>02.02.01.09</t>
  </si>
  <si>
    <t>Excavacion Masiva y Eliminación del sótano 07 c/02 Excavadoras + Grúa Telescópica + balde (de -18.00 a -19.80) + cisterna -22.82</t>
  </si>
  <si>
    <t xml:space="preserve">      Excavacion de cisternas y cuarto de bombas (N -23.00)</t>
  </si>
  <si>
    <t>02.02.02</t>
  </si>
  <si>
    <t xml:space="preserve">      EXCAVACIÓN LOCALIZADA</t>
  </si>
  <si>
    <t>02.02.02.01</t>
  </si>
  <si>
    <t xml:space="preserve">         EXCAVACION Y ELIIMINACION DE ZAPATAS, CIMIENTOS DE MURO ANCLADO CON BALDE Y GRUA</t>
  </si>
  <si>
    <t>02.02.02.02</t>
  </si>
  <si>
    <t>EXCAVACION LOCALIZADA PARA VIGAS DE CIMENTACION</t>
  </si>
  <si>
    <t xml:space="preserve">         EXCAVACION LOCALIZADA PARA PAÑO DE MUROS ANCLADOS BAJO LA LINEA DE TALUD (SEGÚN GRAFICO DEL 29/11 POR CORREO)</t>
  </si>
  <si>
    <t>02.02.02.03</t>
  </si>
  <si>
    <t xml:space="preserve">         EXCAVACION MANUAL PARA CIMIENTOS DE TABIQUES (BATEA DE CIMENTACION)</t>
  </si>
  <si>
    <t xml:space="preserve">         EXCAVACION MANUAL PARA CALZADURA FALSA ZAPATA </t>
  </si>
  <si>
    <t>02.02.03</t>
  </si>
  <si>
    <t xml:space="preserve">      RELLENO Y COMPACTACIÓN</t>
  </si>
  <si>
    <t>02.02.03.01</t>
  </si>
  <si>
    <t>RELLENO COMPACTADO CON MATERIAL PROPIO</t>
  </si>
  <si>
    <t>02.02.04</t>
  </si>
  <si>
    <t xml:space="preserve">      NIVELACION, APISONADO Y BASE DE AFIRMADO</t>
  </si>
  <si>
    <t>02.02.04.01</t>
  </si>
  <si>
    <t>NIVELACION Y COMPACTACION DE SUBRASANTE</t>
  </si>
  <si>
    <t>02.02.04.02</t>
  </si>
  <si>
    <t xml:space="preserve">         SUB BASE DE AFIRMADO COMPACTADO, e= 25 cm</t>
  </si>
  <si>
    <t>02.02.04.03</t>
  </si>
  <si>
    <t>BASE DE AFIRMADO COMPACTADO, E=15CM (conforme a EMS)</t>
  </si>
  <si>
    <t>02.02.05</t>
  </si>
  <si>
    <t xml:space="preserve">      ELIMINACIÓN DE MATERIAL EXCEDENTE</t>
  </si>
  <si>
    <t>02.02.05.01</t>
  </si>
  <si>
    <t xml:space="preserve">         ELIMINACION DE MATERIAL EXCEDENTE EN CISTERNA</t>
  </si>
  <si>
    <t>02.02.05.02</t>
  </si>
  <si>
    <t>ACARREO Y ELIMINACION DE MATERIAL EXCEDENTE</t>
  </si>
  <si>
    <t>02.02.06</t>
  </si>
  <si>
    <t xml:space="preserve">     SACAR CIMENTACION DE PARED PERIMETRICA</t>
  </si>
  <si>
    <t>02.02.06.01</t>
  </si>
  <si>
    <t>Demolición y eliminación de cimentación colindate a propiedad de terceros</t>
  </si>
  <si>
    <t>02.02.06.02</t>
  </si>
  <si>
    <t>Eliminacion de cimentacion</t>
  </si>
  <si>
    <t>02.02.07</t>
  </si>
  <si>
    <t xml:space="preserve">      ESTABILIZACION DE TALUD</t>
  </si>
  <si>
    <t>02.02.07.01</t>
  </si>
  <si>
    <t xml:space="preserve">         ESTABILIZACION DE TALUD</t>
  </si>
  <si>
    <t>02.02.08</t>
  </si>
  <si>
    <t xml:space="preserve">      OTROS</t>
  </si>
  <si>
    <t>02.02.08.01</t>
  </si>
  <si>
    <t xml:space="preserve">         ALQUILER DE EXCAVADORA PARA EXCAV. MURO PANTALLA</t>
  </si>
  <si>
    <t>hm</t>
  </si>
  <si>
    <t>02.02.08.02</t>
  </si>
  <si>
    <t xml:space="preserve">        2 Vigias para maquina excavadora durante la excavación</t>
  </si>
  <si>
    <t>02.02.08.03</t>
  </si>
  <si>
    <t xml:space="preserve">        Prevención de seguridad (Ssoma)</t>
  </si>
  <si>
    <t>02.03</t>
  </si>
  <si>
    <t xml:space="preserve">   CONCRETO SIMPLE</t>
  </si>
  <si>
    <t>02.03.01</t>
  </si>
  <si>
    <t xml:space="preserve">      SOLADOS</t>
  </si>
  <si>
    <t>02.03.01.01</t>
  </si>
  <si>
    <t>CONCRETO PREMEZCLADO, CEMENTO TIPO I, SOLADO f'c=100 kg/cm2</t>
  </si>
  <si>
    <t>02.03.02</t>
  </si>
  <si>
    <t xml:space="preserve">      SUBZAPATAS</t>
  </si>
  <si>
    <t>02.03.02.01</t>
  </si>
  <si>
    <t>CONCRETO PREMEZCLADO, CEMENTO TIPO I, FALZA ZAPATAS 1:12 + 40%P.G.</t>
  </si>
  <si>
    <t>02.03.02.02</t>
  </si>
  <si>
    <t xml:space="preserve">         ENCOFRADO EN SUBZAPATAS</t>
  </si>
  <si>
    <t>02.04</t>
  </si>
  <si>
    <t xml:space="preserve">   CONCRETO ARMADO</t>
  </si>
  <si>
    <t>02.04.01</t>
  </si>
  <si>
    <t xml:space="preserve">      CIMIENTOS ARMADOS DE MURO ANCLADO</t>
  </si>
  <si>
    <t>02.04.01.01</t>
  </si>
  <si>
    <t>CONCRETO PREMEZCLADO, CEMENTO TIPO I, CIMIENTOS REFORZADOS f'c=280 kg/cm2</t>
  </si>
  <si>
    <t>02.04.01.02</t>
  </si>
  <si>
    <t>ENCOFRADO Y DESENCOFRADO PARA CIMIENTOS REFORZADOS</t>
  </si>
  <si>
    <t>02.04.01.03</t>
  </si>
  <si>
    <t>ACERO DE REFUERZO FY= 4200 kg/cm2, GRADO 60</t>
  </si>
  <si>
    <t>02.04.01.04</t>
  </si>
  <si>
    <t>CURADO DE ELEMENTOS ESTRUCTURALES EXPUESTOS</t>
  </si>
  <si>
    <t>02.04.01.05</t>
  </si>
  <si>
    <t>PINTURA ASFALTICA EN CIMENTACIONES</t>
  </si>
  <si>
    <t>02.04.02</t>
  </si>
  <si>
    <t xml:space="preserve">      MURO PANTALLA (ANCLADO)</t>
  </si>
  <si>
    <t>02.04.02.01</t>
  </si>
  <si>
    <t>CONCRETO PREMEZCLADO, CEMENTO TIPO I, MURO PANTALLA f'c=350 kg/cm2</t>
  </si>
  <si>
    <t>02.04.02.02</t>
  </si>
  <si>
    <t>CONCRETO PREMEZCLADO, CEMENTO TIPO I, MURO PANTALLA f'c=420 kg/cm2</t>
  </si>
  <si>
    <t>02.04.02.03</t>
  </si>
  <si>
    <t>02.04.02.04</t>
  </si>
  <si>
    <t>ENCOFRADO Y DESENCOFRADO PARA MURO PANTALLA</t>
  </si>
  <si>
    <t>02.04.02.05</t>
  </si>
  <si>
    <t>02.04.02.06</t>
  </si>
  <si>
    <t>ACERO DE REFUERZO FY= 4200 kg/cm2, GRADO 60 (MURO PANTALLA)</t>
  </si>
  <si>
    <t>02.04.02.07</t>
  </si>
  <si>
    <t xml:space="preserve">         RECARGO POR CONSUMO MINIMO DE BOMBA</t>
  </si>
  <si>
    <t>02.04.02.08</t>
  </si>
  <si>
    <t xml:space="preserve">CONCRETO PREMEZCLADO, CEMENTO TIPO I, EN CACHIMBAS f'c=350  kg/cm2 </t>
  </si>
  <si>
    <t>02.04.02.09</t>
  </si>
  <si>
    <t>ENCOFRADO Y DESENCOFRADO DE CACHIMBAS</t>
  </si>
  <si>
    <t>02.04.02.11</t>
  </si>
  <si>
    <t>PICADO DE CACHIMBAS DE MURO PANTALLA</t>
  </si>
  <si>
    <t>PICADO DE PESTAÑAS DE ORIFICIO DE ANCLAJE</t>
  </si>
  <si>
    <t>02.04.02.12</t>
  </si>
  <si>
    <t>TECNOPOR EN ENCUENTRO DE LOSAS CON MURO PANTALLA</t>
  </si>
  <si>
    <t>02.04.02.13</t>
  </si>
  <si>
    <t>RETIRO DE TECNOPOR Y ESCARIFICADO EN ENCUENTRO DE LOSAS CON MURO PANTALLA</t>
  </si>
  <si>
    <t>02.04.02.14</t>
  </si>
  <si>
    <t>EPOXICO DE UNION Y ESCARIFICADO ENTRE LOSAS DE TECHO DE SOTANOS Y MURO PANTALLA</t>
  </si>
  <si>
    <t>02.04.02.18</t>
  </si>
  <si>
    <t>TECNOPOR EN ENCUENTRO DE VIGAS CON MURO PANTALLA</t>
  </si>
  <si>
    <t>02.04.02.19</t>
  </si>
  <si>
    <t>RETIRO DE TECNOPORT EN ENCUENTRO DE COLUMNAS CON MURO PANTALLA</t>
  </si>
  <si>
    <t>02.04.02.20</t>
  </si>
  <si>
    <t>EPOXICO DE UNION ENTRE COLUMNAS CON MURO PANTALLA</t>
  </si>
  <si>
    <t>02.04.02.21</t>
  </si>
  <si>
    <t xml:space="preserve">         PERFILADO DE BANQUETAS Y TALUDES</t>
  </si>
  <si>
    <t>02.04.02.22</t>
  </si>
  <si>
    <t>PAÑETEO DE MUROS PANTALLA</t>
  </si>
  <si>
    <t>02.04.02.23</t>
  </si>
  <si>
    <t>PLASTICO CONTRA TERRENO</t>
  </si>
  <si>
    <t>02.04.02.24</t>
  </si>
  <si>
    <t xml:space="preserve">ANCLAJE 1/2", ENCUENTRO DE LOSAS CON MUROS </t>
  </si>
  <si>
    <t>02.04.02.25</t>
  </si>
  <si>
    <t>RESANE DE ORIFICIO DE ANCLAJE</t>
  </si>
  <si>
    <t>02.04.02.26</t>
  </si>
  <si>
    <t>RESANE Y PICADO DE CACHIMBAS</t>
  </si>
  <si>
    <t>02.04.02.27</t>
  </si>
  <si>
    <t>02.04.03</t>
  </si>
  <si>
    <t xml:space="preserve">      ANCLAJES DE MURO PANTALLA</t>
  </si>
  <si>
    <t>02.04.03.01</t>
  </si>
  <si>
    <t xml:space="preserve">         MOVILIZACIÓN Y DESMOVILIZACIÓN DE ANCLAJES</t>
  </si>
  <si>
    <t>02.04.03.02</t>
  </si>
  <si>
    <t xml:space="preserve">         ANCLAJES POSTENSADOS SC</t>
  </si>
  <si>
    <t xml:space="preserve">         TENSADO DE ANCLAJES</t>
  </si>
  <si>
    <t xml:space="preserve"> CAMBIO DE INGENIERÍA</t>
  </si>
  <si>
    <t>02.04.04</t>
  </si>
  <si>
    <t xml:space="preserve">      MURO PERIMETRAL (SIN ANCLAJES)</t>
  </si>
  <si>
    <t>02.04.04.01</t>
  </si>
  <si>
    <t>CONCRETO PREMEZCLADO, CEMENTO TIPO I, MURO PERIMETRAL f'c=280 kg/cm2</t>
  </si>
  <si>
    <t>CONCRETO PREMEZCLADO, CEMENTO TIPO I, MURO PERIMETRAL f'c=420 kg/cm2</t>
  </si>
  <si>
    <t>02.04.04.02</t>
  </si>
  <si>
    <t>ENCOFRADO Y DESENCOFRADO MURO UNA CARA</t>
  </si>
  <si>
    <t>02.04.04.03</t>
  </si>
  <si>
    <t xml:space="preserve">         ENCOFRADO Y DESENCOFRADO MURO UNA CARA A DOBLE ALTURA</t>
  </si>
  <si>
    <t>02.04.04.04</t>
  </si>
  <si>
    <t xml:space="preserve">         PLASTICO CONTRA TERRENENO</t>
  </si>
  <si>
    <t>02.04.04.05</t>
  </si>
  <si>
    <t>02.04.04.06</t>
  </si>
  <si>
    <t xml:space="preserve">      ZAPATAS</t>
  </si>
  <si>
    <t xml:space="preserve">         CONCRETO PREMEZCLADO, CEMENTO TIPO I, ZAPATAS f'c=210 kg/cm2 </t>
  </si>
  <si>
    <t>CONCRETO PREMEZCLADO, CEMENTO TIPO I, ZAPATAS f'c=280 kg/cm2</t>
  </si>
  <si>
    <t>CONCRETO PREMEZCLADO, CEMENTO TIPO I, ZAPATAS f'c=350 kg/cm2</t>
  </si>
  <si>
    <t>ENCOFRADO Y DESENCOFRADO PARA ZAPATAS</t>
  </si>
  <si>
    <t>02.04.05</t>
  </si>
  <si>
    <t xml:space="preserve">      CIMIENTOS ARMADOS </t>
  </si>
  <si>
    <t>02.04.05.01</t>
  </si>
  <si>
    <t xml:space="preserve">         CONCRETO PREMEZCLADO, CEMENTO TIPO I, CIMIENTOS ARMADOS f'c=210 kg/cm2 </t>
  </si>
  <si>
    <t>02.04.05.02</t>
  </si>
  <si>
    <t>02.04.05.03</t>
  </si>
  <si>
    <t>02.04.05.04</t>
  </si>
  <si>
    <t>02.04.05.05</t>
  </si>
  <si>
    <t>02.04.06</t>
  </si>
  <si>
    <t xml:space="preserve">      VIGAS DE CIMENTACION (INC VIGAS DE CISTERNA)</t>
  </si>
  <si>
    <t>02.04.06.01</t>
  </si>
  <si>
    <t xml:space="preserve">CONCRETO PREMEZCLADO, CEMENTO TIPO I, VIGAS DE CIMENTACION f'c=280 kg/cm2 </t>
  </si>
  <si>
    <t>02.04.06.02</t>
  </si>
  <si>
    <t xml:space="preserve">         ENCOFRADO Y DESENCOFRADO PARA VIGAS DE CIMENTACION</t>
  </si>
  <si>
    <t>02.04.06.03</t>
  </si>
  <si>
    <t>02.04.06.04</t>
  </si>
  <si>
    <t>02.04.06.05</t>
  </si>
  <si>
    <t xml:space="preserve">         TECNOPORT EN VIGA DE CIMENTACION</t>
  </si>
  <si>
    <t>02.04.06.06</t>
  </si>
  <si>
    <t xml:space="preserve">         PINTURA ASFALTICA EN CIMENTACIONES</t>
  </si>
  <si>
    <t>02.04.08</t>
  </si>
  <si>
    <t xml:space="preserve">      LOSA SOBRE TERRENO (E= 15 CM)</t>
  </si>
  <si>
    <t>02.04.08.01</t>
  </si>
  <si>
    <t>CONCRETO PREMEZCLADO, CEMENTO TIPO I, LOSA DE PISO, H=10CM, f'c=210 kg/cm2</t>
  </si>
  <si>
    <t>02.04.08.02</t>
  </si>
  <si>
    <t>ENCOFRADO Y DESENCOFRADO NORMAL PARA LOSA DE PISO</t>
  </si>
  <si>
    <t>02.04.12.03</t>
  </si>
  <si>
    <t>DOWELS</t>
  </si>
  <si>
    <t>02.04.08.03</t>
  </si>
  <si>
    <t>02.04.09</t>
  </si>
  <si>
    <t xml:space="preserve">      JUNTAS DE LOSA DE PISO</t>
  </si>
  <si>
    <t>02.04.09.01</t>
  </si>
  <si>
    <t>JUNTA DE CONSTRUCCION (J.D)</t>
  </si>
  <si>
    <t>02.04.09.02</t>
  </si>
  <si>
    <t>JUNTA DE AISLAMIENTO (EN BORDES DE COLUMNAS Y EXTREMOS)</t>
  </si>
  <si>
    <t>02.04.09.03</t>
  </si>
  <si>
    <t>JUNTA ASERRADA (J.C)</t>
  </si>
  <si>
    <t>02.04.11</t>
  </si>
  <si>
    <t xml:space="preserve">      LOSA PISO DE CISTERNA (E= 15 CM)</t>
  </si>
  <si>
    <t>02.04.11.01</t>
  </si>
  <si>
    <t>CONCRETO PREMEZCLADO, CEMENTO TIPO I, LOSA DE PISO, H=10CM, f'c=280 kg/cm2</t>
  </si>
  <si>
    <t>02.04.11.02</t>
  </si>
  <si>
    <t>02.04.11.03</t>
  </si>
  <si>
    <t xml:space="preserve">      CIMIENTOS DE CISTERNA</t>
  </si>
  <si>
    <t>02.04.12</t>
  </si>
  <si>
    <t xml:space="preserve">      MUROS DE CISTERNA</t>
  </si>
  <si>
    <t>02.04.12.01</t>
  </si>
  <si>
    <t>CONCRETO PREMEZCLADO, CEMENTO TIPO I, CISTERNA f'c=280 kg/cm2 (W/C=0.50). Por procedimiento constructivo</t>
  </si>
  <si>
    <t>02.04.12.02</t>
  </si>
  <si>
    <t>CONCRETO PREMEZCLADO, CEMENTO TIPO I, CISTERNA f'c=350 kg/cm2 (W/C=0.50). Por procedimiento constructivo</t>
  </si>
  <si>
    <t>CONCRETO PREMEZCLADO, CEMENTO TIPO I, CISTERNA f'c=420 kg/cm2 (W/C=0.50). Por procedimiento constructivo</t>
  </si>
  <si>
    <t>02.04.12.04</t>
  </si>
  <si>
    <t xml:space="preserve">         CONCRETO PREMEZCLADO, CEMENTO TIPO I, CISTERNA  f'c=500 kg/cm2 (W/C = 0.50 )</t>
  </si>
  <si>
    <t>02.04.12.05</t>
  </si>
  <si>
    <t>ENCOFRADO Y DESENCOFRADO DE CISTERNA</t>
  </si>
  <si>
    <t>02.04.12.06</t>
  </si>
  <si>
    <t>ENCOFRADO Y DESENCOFRADO DE CISTERNA DOBLE ALTURA</t>
  </si>
  <si>
    <t>02.04.12.07</t>
  </si>
  <si>
    <t>02.04.12.08</t>
  </si>
  <si>
    <t>02.04.12.09</t>
  </si>
  <si>
    <t>JUNTA DE WATER STOP 6"</t>
  </si>
  <si>
    <t>02.04.12.10</t>
  </si>
  <si>
    <t xml:space="preserve">         EMPALME MECANICO BARSPLICE 1 3/8"</t>
  </si>
  <si>
    <t>02.04.13</t>
  </si>
  <si>
    <t xml:space="preserve">      MUROS CAMARA DE DESAGUE Y POZO SUMIDERO</t>
  </si>
  <si>
    <t>02.04.13.01</t>
  </si>
  <si>
    <t xml:space="preserve">         CONCRETO PREMEZCLADO, CEMENTO TIPO I, POZO SUMIDERO  f'c=280 kg/cm2 (W/C = 0.50 ). Por proceso constructivo</t>
  </si>
  <si>
    <t>02.04.13.02</t>
  </si>
  <si>
    <t xml:space="preserve">         ENCOFRADO Y DESENCOFRADO DE POZO SUMIDERO</t>
  </si>
  <si>
    <t>02.04.13.03</t>
  </si>
  <si>
    <t>02.04.13.04</t>
  </si>
  <si>
    <t>02.04.14</t>
  </si>
  <si>
    <t xml:space="preserve">      CORTES DE MURO</t>
  </si>
  <si>
    <t>02.04.14.01</t>
  </si>
  <si>
    <t>CONCRETO PREMEZCLADO, CEMENTO TIPO I, PLACAS f'c=210 kg/cm2</t>
  </si>
  <si>
    <t>CONCRETO PREMEZCLADO, CEMENTO TIPO I, PLACAS f'c=280 kg/cm2</t>
  </si>
  <si>
    <t>CONCRETO PREMEZCLADO, CEMENTO TIPO I, PLACAS f'c=420 kg/cm2</t>
  </si>
  <si>
    <t>02.04.14.04</t>
  </si>
  <si>
    <t>ENCOFRADO Y DESENCOFRADO DE MUROS Y PLACAS</t>
  </si>
  <si>
    <t>02.04.14.05</t>
  </si>
  <si>
    <t>ENCOFRADO Y DESENCOFRADO DE MUROS Y PLACAS DOBLE ALTURA</t>
  </si>
  <si>
    <t>02.04.14.06</t>
  </si>
  <si>
    <t>02.04.14.07</t>
  </si>
  <si>
    <t>02.04.15</t>
  </si>
  <si>
    <t xml:space="preserve">      PLACAS</t>
  </si>
  <si>
    <t>02.04.15.01</t>
  </si>
  <si>
    <t xml:space="preserve">         CONCRETO PREMEZCLADO, CEMENTO TIPO I, PLACAS, f'c=210 kg/cm2</t>
  </si>
  <si>
    <t>02.04.15.02</t>
  </si>
  <si>
    <t xml:space="preserve">         CONCRETO PREMEZCLADO, CEMENTO TIPO I, PLACAS, f'c=280 kg/cm2</t>
  </si>
  <si>
    <t>02.04.15.03</t>
  </si>
  <si>
    <t>CONCRETO PREMEZCLADO, CEMENTO TIPO I, PLACAS f'c=350 kg/cm2</t>
  </si>
  <si>
    <t>02.04.15.04</t>
  </si>
  <si>
    <t>02.04.15.05</t>
  </si>
  <si>
    <t xml:space="preserve">         CONCRETO PREMEZCLADO, CEMENTO TIPO I, PLACAS, f'c=500 kg/cm2</t>
  </si>
  <si>
    <t>02.04.15.06</t>
  </si>
  <si>
    <t xml:space="preserve">         CONCRETO PREMEZCLADO, CEMENTO TIPO I, PIT DE ASCENSOR, f'c=210 kg/cm2</t>
  </si>
  <si>
    <t>02.04.15.07</t>
  </si>
  <si>
    <t>02.04.15.08</t>
  </si>
  <si>
    <t>02.04.15.09</t>
  </si>
  <si>
    <t>02.04.15.10</t>
  </si>
  <si>
    <t>02.04.16</t>
  </si>
  <si>
    <t xml:space="preserve">      JARDINERASTECHO DE SOTANO 1</t>
  </si>
  <si>
    <t>02.04.16.01</t>
  </si>
  <si>
    <t>02.04.16.02</t>
  </si>
  <si>
    <t>02.04.16.03</t>
  </si>
  <si>
    <t>02.04.16.04</t>
  </si>
  <si>
    <t>02.04.17</t>
  </si>
  <si>
    <t xml:space="preserve">      COLUMNAS</t>
  </si>
  <si>
    <t>02.04.17.01</t>
  </si>
  <si>
    <t xml:space="preserve">         CONCRETO PREMEZCLADO, CEMENTO TIPO I, COLUMNAS, f'c=210 kg/cm2</t>
  </si>
  <si>
    <t>02.04.17.02</t>
  </si>
  <si>
    <t xml:space="preserve">         CONCRETO PREMEZCLADO, CEMENTO TIPO I, COLUMNAS, f'c=280 kg/cm2</t>
  </si>
  <si>
    <t>02.04.17.03</t>
  </si>
  <si>
    <t>CONCRETO PREMEZCLADO, CEMENTO TIPO I, COLUMNAS f'c=350 kg/cm2</t>
  </si>
  <si>
    <t>02.04.17.04</t>
  </si>
  <si>
    <t>CONCRETO PREMEZCLADO, CEMENTO TIPO I, COLUMNAS f'c=420 kg/cm2</t>
  </si>
  <si>
    <t>02.04.17.05</t>
  </si>
  <si>
    <t xml:space="preserve">         CONCRETO PREMEZCLADO, CEMENTO TIPO I, COLUMNAS, f'c=500 kg/cm2</t>
  </si>
  <si>
    <t>02.04.17.06</t>
  </si>
  <si>
    <t>ENCOFRADO Y DESENCOFRADO DE COLUMNAS</t>
  </si>
  <si>
    <t>02.04.17.07</t>
  </si>
  <si>
    <t>ENCOFRADO Y DESENCOFRADO DE COLUMNAS DOBLE ALTURA</t>
  </si>
  <si>
    <t>02.04.17.08</t>
  </si>
  <si>
    <t>02.04.17.09</t>
  </si>
  <si>
    <t>02.04.17.10</t>
  </si>
  <si>
    <t>02.04.18</t>
  </si>
  <si>
    <t xml:space="preserve">      VIGAS</t>
  </si>
  <si>
    <t>02.04.18.01</t>
  </si>
  <si>
    <t>CONCRETO PREMEZCLADO, CEMENTO TIPO I, VIGAS SOTANO f'c=210 kg/cm2</t>
  </si>
  <si>
    <t>02.04.18.02</t>
  </si>
  <si>
    <t xml:space="preserve">         CONCRETO PREMEZCLADO, CEMENTO TIPO I, LOSAS Y VIGAS, f'c=245 kg/cm2</t>
  </si>
  <si>
    <t>02.04.18.03</t>
  </si>
  <si>
    <t xml:space="preserve">CONCRETO PREMEZCLADO, CEMENTO TIPO I, VIGAS SOTANO f'c=280 kg/cm2 </t>
  </si>
  <si>
    <t>02.04.18.04</t>
  </si>
  <si>
    <t xml:space="preserve">CONCRETO PREMEZCLADO, CEMENTO TIPO I, VIGAS SOTANO f'c=350 kg/cm2 </t>
  </si>
  <si>
    <t>02.04.18.05</t>
  </si>
  <si>
    <t>CONCRETO PREMEZCLADO, CEMENTO TIPO I, VIGAS SOTANO f'c=420 kg/cm2</t>
  </si>
  <si>
    <t>02.04.18.06</t>
  </si>
  <si>
    <t>ENCOFRADO Y DESENCOFRADO DE VIGAS</t>
  </si>
  <si>
    <t>02.04.18.07</t>
  </si>
  <si>
    <t>ENCOFRADO Y DESENCOFRADO DE VIGAS DOBLE ALTURA</t>
  </si>
  <si>
    <t>02.04.18.08</t>
  </si>
  <si>
    <t>02.04.18.09</t>
  </si>
  <si>
    <t xml:space="preserve">      VIGAS CHATAS</t>
  </si>
  <si>
    <t>SUMINISTRO DE PRELOSA MACIZA H=20CM</t>
  </si>
  <si>
    <t>INSTALACIÓN DE PRELOSA E=5CM</t>
  </si>
  <si>
    <t>02.04.19</t>
  </si>
  <si>
    <t xml:space="preserve">     PRELOSA ALIGERADA H=0.20M, UN SENTIDO</t>
  </si>
  <si>
    <t>02.04.19.01</t>
  </si>
  <si>
    <t>CONCRETO PREMEZCLADO, CEMENTO TIPO I, LOSA ALIGERADA SOTANO f'c=210 kg/cm2</t>
  </si>
  <si>
    <t>02.04.19.02</t>
  </si>
  <si>
    <t>CONCRETO PREMEZCLADO, CEMENTO TIPO I, LOSA ALIGERADA SOTANO f'c=420 kg/cm2</t>
  </si>
  <si>
    <t>02.04.19.03</t>
  </si>
  <si>
    <t>ENCOFRADO Y DESENCOFRADO DE PRELOSA ALIGERADA</t>
  </si>
  <si>
    <t>ENCOFRADO Y DESENCOFRADO DE PRELOSA ALIGERADA DOBLE ALTURA</t>
  </si>
  <si>
    <t>02.04.19.04</t>
  </si>
  <si>
    <t>SUMINISTRO DE PRELOSA ALIGERADA EN UNA DIRECCION H=20CM</t>
  </si>
  <si>
    <t>02.04.19.05</t>
  </si>
  <si>
    <t>02.04.19.06</t>
  </si>
  <si>
    <t>ACERO DE REFUERZO FY= 4200 kg/cm2, GRADO 60 (PUESTO EN OBRA)</t>
  </si>
  <si>
    <t>02.04.19.07</t>
  </si>
  <si>
    <t>ACERO DE REFUERZO FY= 4200 kg/cm2, GRADO 60 (EMBEBIDO EN PRELOSA)</t>
  </si>
  <si>
    <t>02.04.19.08</t>
  </si>
  <si>
    <t>ACERO DE REFUERZO FY= 4200 kg/cm2, GRADO 60 BASE Y DISTRIBUCIÓN (EMBEBIDO EN PRELOSA)</t>
  </si>
  <si>
    <t>02.04.19.09</t>
  </si>
  <si>
    <t>02.04.20</t>
  </si>
  <si>
    <t xml:space="preserve">     PRELOSA ALIGERADA H=0.20M, DOS SENTIDOS</t>
  </si>
  <si>
    <t>02.04.20.01</t>
  </si>
  <si>
    <t>02.04.20.02</t>
  </si>
  <si>
    <t>02.04.20.03</t>
  </si>
  <si>
    <t>02.04.20.04</t>
  </si>
  <si>
    <t>SUMINISTRO DE PRELOSA ALIGERADA EN DOS DIRECCIONES H=20CM</t>
  </si>
  <si>
    <t>02.04.20.05</t>
  </si>
  <si>
    <t>02.04.20.06</t>
  </si>
  <si>
    <t>02.04.20.07</t>
  </si>
  <si>
    <t>02.04.20.08</t>
  </si>
  <si>
    <t>ACERO DE REFUERZO FY= 4200 kg/cm2, GRADO 60 DE CONTINUIDAD (PUESTO EN OBRA)</t>
  </si>
  <si>
    <t>02.04.20.09</t>
  </si>
  <si>
    <t xml:space="preserve">     PRELOSA MACIZA H=0.20M</t>
  </si>
  <si>
    <t>CONCRETO PREMEZCLADO, CEMENTO TIPO I, LOSA MACIZA SOTANO f'c=210 kg/cm2</t>
  </si>
  <si>
    <t xml:space="preserve">     LOSA MACIZA H=0.20M</t>
  </si>
  <si>
    <t xml:space="preserve">CONCRETO PREMEZCLADO, CEMENTO TIPO I, LOSA ALIGERADA SOTANO f'c=350 kg/cm2 </t>
  </si>
  <si>
    <t>ENCOFRADO Y DESENCOFRADO DE LOSA MACIZA</t>
  </si>
  <si>
    <t>ENCOFRADO Y DESENCOFRADO DE LOSA MACIZA DOBLE ALTURA</t>
  </si>
  <si>
    <t>02.04.22</t>
  </si>
  <si>
    <t xml:space="preserve">      SOBRELOSA </t>
  </si>
  <si>
    <t>02.04.22.01</t>
  </si>
  <si>
    <t xml:space="preserve">         CONCRETO PREMEZCLADO, CEMENTO TIPO I, LOSAS Y VIGAS, f'c=210 kg/cm2</t>
  </si>
  <si>
    <t>02.04.22.02</t>
  </si>
  <si>
    <t xml:space="preserve">         ENCOFRADO Y DESENCOFRADO DE SOBRELOSA</t>
  </si>
  <si>
    <t>02.04.22.03</t>
  </si>
  <si>
    <t xml:space="preserve">         ACERO FY= 4200 kg/cm2</t>
  </si>
  <si>
    <t>02.04.22.04</t>
  </si>
  <si>
    <t xml:space="preserve">         CURADO DE ELEMENTOS ESTRUCTURALES EXPUESTOS</t>
  </si>
  <si>
    <t>02.04.22.05</t>
  </si>
  <si>
    <t xml:space="preserve">         TECNOPOR</t>
  </si>
  <si>
    <t>02.04.23</t>
  </si>
  <si>
    <t xml:space="preserve">      RELLENO LIVIANO EN SOTANOS</t>
  </si>
  <si>
    <t>02.04.23.01</t>
  </si>
  <si>
    <t>02.04.23.02</t>
  </si>
  <si>
    <t xml:space="preserve">         ENCOFRADO EN SOBRELOSA</t>
  </si>
  <si>
    <t>02.04.23.03</t>
  </si>
  <si>
    <t>02.04.23.04</t>
  </si>
  <si>
    <t xml:space="preserve">         RELLENO DE POLIESTIRENO EXPANDIDO (10 KGR/M3)</t>
  </si>
  <si>
    <t>02.04.23.05</t>
  </si>
  <si>
    <t>02.04.24</t>
  </si>
  <si>
    <t xml:space="preserve">      ESCALERA </t>
  </si>
  <si>
    <t>02.04.24.01</t>
  </si>
  <si>
    <t>CONCRETO PREMEZCLADO, CEMENTO TIPO I, ESCALERAS f'c=210 kg/cm2</t>
  </si>
  <si>
    <t>02.04.24.02</t>
  </si>
  <si>
    <t xml:space="preserve">         CONCRETO PREMEZCLADO, CEMENTO TIPO I, ESCALERAS f'c=245 kg/cm2</t>
  </si>
  <si>
    <t>02.04.24.03</t>
  </si>
  <si>
    <t>CONCRETO PREMEZCLADO, CEMENTO TIPO I, ESCALERAS f'c=280 kg/cm2</t>
  </si>
  <si>
    <t>02.04.24.04</t>
  </si>
  <si>
    <t xml:space="preserve">         CONCRETO PREMEZCLADO, CEMENTO TIPO I, ESCALERAS f'c=350 kg/cm2</t>
  </si>
  <si>
    <t>02.04.24.05</t>
  </si>
  <si>
    <t>ENCOFRADO Y DESENCOFRADO DE ESCALERAS</t>
  </si>
  <si>
    <t>02.04.24.06</t>
  </si>
  <si>
    <t>02.04.24.07</t>
  </si>
  <si>
    <t>03.01.08</t>
  </si>
  <si>
    <t xml:space="preserve">      BASES DE EQUIPOS</t>
  </si>
  <si>
    <t>03.01.08.01</t>
  </si>
  <si>
    <t>CONCRETO PREMEZCLADO, CEMENTO TIPO I, BASES DE EQUIPOS f'c=210 kg/cm2</t>
  </si>
  <si>
    <t>03.01.08.02</t>
  </si>
  <si>
    <t>ENCOFRADO Y DESENCOFRADO DE BASES DE EQUIPOS</t>
  </si>
  <si>
    <t>03.01.08.03</t>
  </si>
  <si>
    <t>03.01.08.04</t>
  </si>
  <si>
    <t>03.01.08.05</t>
  </si>
  <si>
    <t xml:space="preserve">         PLANCHA DE LANA DE ROCA . E= 2" NEOPRENO Y 100 KG/M3</t>
  </si>
  <si>
    <t>LOSA DE PIT DE ASCENSORES</t>
  </si>
  <si>
    <t>CONCRETO PREMEZCLADO, CEMENTO TIPO I, CANALETA f'c=210 kg/cm2</t>
  </si>
  <si>
    <t>ENCOFRADO Y DESENCOFRADO DE BASES DE EQUIPOS (MANUAL)</t>
  </si>
  <si>
    <t>03.02</t>
  </si>
  <si>
    <t xml:space="preserve">   OTROS</t>
  </si>
  <si>
    <t>03.02.01</t>
  </si>
  <si>
    <t xml:space="preserve">      FRISOS </t>
  </si>
  <si>
    <t>CAPATAZ DE ESTRUCTURAS</t>
  </si>
  <si>
    <t>03.02.01.03</t>
  </si>
  <si>
    <t xml:space="preserve">        BOLSAS DE CEMENTO PARA LUBRICACIÓN DE TUBERÍAS</t>
  </si>
  <si>
    <t>bls</t>
  </si>
  <si>
    <t>03.02.01.04</t>
  </si>
  <si>
    <t xml:space="preserve">         PDR PARA ENCOFRADOS </t>
  </si>
  <si>
    <t>03.02.01.05</t>
  </si>
  <si>
    <t xml:space="preserve">         MOVILIZACIÓN, DESMOVILIZACION PARA ENCOFRADOS </t>
  </si>
  <si>
    <t>03.02.01.06</t>
  </si>
  <si>
    <t xml:space="preserve">         PDR PARA ACERO</t>
  </si>
  <si>
    <t>02.01.01.01</t>
  </si>
  <si>
    <t>02.01.01.02</t>
  </si>
  <si>
    <t>02.01.01.03</t>
  </si>
  <si>
    <t>02.01.01.04</t>
  </si>
  <si>
    <t>02.01.01.05</t>
  </si>
  <si>
    <t>02.01.01.06</t>
  </si>
  <si>
    <t>02.01.01.07</t>
  </si>
  <si>
    <t>02.01.01.08</t>
  </si>
  <si>
    <t xml:space="preserve">      MUROS P/ JARDINERAS - - CORTES TECHO SOTANO 01</t>
  </si>
  <si>
    <t>02.02.01.02</t>
  </si>
  <si>
    <t xml:space="preserve">    MUROS PISCINA</t>
  </si>
  <si>
    <t>CONCRETO PREMEZCLADO, CEMENTO TIPO I, COLUMNAS f'c=210 kg/cm2</t>
  </si>
  <si>
    <t>02.03.01.02</t>
  </si>
  <si>
    <t>CONCRETO PREMEZCLADO, CEMENTO TIPO I, COLUMNAS f'c=280 kg/cm2</t>
  </si>
  <si>
    <t>02.03.01.03</t>
  </si>
  <si>
    <t>02.03.01.04</t>
  </si>
  <si>
    <t>02.03.01.05</t>
  </si>
  <si>
    <t>02.03.01.06</t>
  </si>
  <si>
    <t>02.03.01.07</t>
  </si>
  <si>
    <t>02.03.01.08</t>
  </si>
  <si>
    <t>CONCRETO PREMEZCLADO, CEMENTO TIPO I, VIGAS TORRE f'c=280 kg/cm2</t>
  </si>
  <si>
    <t>CONCRETO PREMEZCLADO, CEMENTO TIPO I, VIGAS TORRE f'c=210 kg/cm2</t>
  </si>
  <si>
    <t>CONCRETO PREMEZCLADO, CEMENTO TIPO I, VIGAS TORRE f'c=350 kg/cm2</t>
  </si>
  <si>
    <t>CONCRETO PREMEZCLADO, CEMENTO TIPO I, VIGAS TORRE f'c=420 kg/cm2</t>
  </si>
  <si>
    <t>02.04.01.06</t>
  </si>
  <si>
    <t>02.04.01.07</t>
  </si>
  <si>
    <t>CONCRETO PREMEZCLADO, CEMENTO TIPO I, LOSA ALIGERADA TORRE f'c=280 kg/cm2</t>
  </si>
  <si>
    <t>CONCRETO PREMEZCLADO, CEMENTO TIPO I, LOSA ALIGERADA TORRE f'c=350 kg/cm2</t>
  </si>
  <si>
    <t>CONCRETO PREMEZCLADO, CEMENTO TIPO I, LOSA ALIGERADA TORRE f'c=420 kg/cm2</t>
  </si>
  <si>
    <t>ACERO DE REFUERZO FY= 4200 kg/cm2, GRADO 60 (COSTURA PRELOSA)</t>
  </si>
  <si>
    <t>CONCRETO PREMEZCLADO, CEMENTO TIPO I, LOSA MACIZA TORRE f'c=280 kg/cm2</t>
  </si>
  <si>
    <t>CONCRETO PREMEZCLADO, CEMENTO TIPO I, LOSA MACIZA TORRE f'c=350 kg/cm2</t>
  </si>
  <si>
    <t>CONCRETO PREMEZCLADO, CEMENTO TIPO I, LOSA MACIZA TORRE f'c=420 kg/cm2</t>
  </si>
  <si>
    <t xml:space="preserve">    VIGAS CHATAS</t>
  </si>
  <si>
    <t>02.05.01</t>
  </si>
  <si>
    <t xml:space="preserve">       LOSA MACIZA H=0.20 M </t>
  </si>
  <si>
    <t>02.05.01.01</t>
  </si>
  <si>
    <t>02.05.01.02</t>
  </si>
  <si>
    <t>02.05.01.04</t>
  </si>
  <si>
    <t>02.05.01.05</t>
  </si>
  <si>
    <t>02.05.01.06</t>
  </si>
  <si>
    <t>02.06.01</t>
  </si>
  <si>
    <t xml:space="preserve">       LOSA MACIZA H=0.25 m</t>
  </si>
  <si>
    <t>02.06.01.01</t>
  </si>
  <si>
    <t>02.06.01.02</t>
  </si>
  <si>
    <t>02.06.01.03</t>
  </si>
  <si>
    <t xml:space="preserve">         CONCRETO PREMEZCLADO, CEMENTO TIPO I, LOSAS Y VIGAS, f'c=350 kg/cm2. (POR DETALLE DE VACIADO PARA CONCRETO DE DIFERENTES RESISTENCIAS EN TECHO ALREDEDOR DE COLUMNAS Y PLACAS)</t>
  </si>
  <si>
    <t>02.06.01.04</t>
  </si>
  <si>
    <t>02.06.01.05</t>
  </si>
  <si>
    <t xml:space="preserve">         ENCOFRADO Y DESENCOFRADO DE LOSAS MACIZAS DOBLE ALTURA</t>
  </si>
  <si>
    <t>02.06.01.06</t>
  </si>
  <si>
    <t>02.06.01.08</t>
  </si>
  <si>
    <t>02.07.01</t>
  </si>
  <si>
    <t xml:space="preserve">      RELLENO LIGERO EN  PISO 1 (SOBRELOSA)</t>
  </si>
  <si>
    <t>02.07.01.01</t>
  </si>
  <si>
    <t>02.07.01.02</t>
  </si>
  <si>
    <t>02.07.01.03</t>
  </si>
  <si>
    <t>02.07.01.04</t>
  </si>
  <si>
    <t xml:space="preserve">         RELLENO DE POLIESTIRENO EXPANDIDO (10 KGR/M3) 105.92 M2 H ENTRE 0.17 - 0.58 M</t>
  </si>
  <si>
    <t>02.07.01.05</t>
  </si>
  <si>
    <t xml:space="preserve">    MURO PERIMETRAL Y PARAPETOS</t>
  </si>
  <si>
    <t>02.08.01</t>
  </si>
  <si>
    <t xml:space="preserve">      ESCALERA</t>
  </si>
  <si>
    <t>02.08.01.01</t>
  </si>
  <si>
    <t>02.08.01.02</t>
  </si>
  <si>
    <t>02.08.01.03</t>
  </si>
  <si>
    <t>02.08.01.04</t>
  </si>
  <si>
    <t>02.08.01.05</t>
  </si>
  <si>
    <t>02.08.02</t>
  </si>
  <si>
    <t xml:space="preserve">    PISCINA</t>
  </si>
  <si>
    <t>02.08.02.01</t>
  </si>
  <si>
    <t>CONCRETO PREMEZCLADO, CEMENTO TIPO I, PISCINA f'c=280 kg/cm2 (W/C=0.50).Por procedimiento constructivo</t>
  </si>
  <si>
    <t>02.08.02.02</t>
  </si>
  <si>
    <t>ENCOFRADO Y DESENCOFRADO DE COLUMNETAS Y VIGAS DE AMARRE DOBLE ALTURA</t>
  </si>
  <si>
    <t>02.08.02.03</t>
  </si>
  <si>
    <t>02.08.02.04</t>
  </si>
  <si>
    <t>02.09.01</t>
  </si>
  <si>
    <t>02.09.01.01</t>
  </si>
  <si>
    <t>02.09.01.02</t>
  </si>
  <si>
    <t>02.09.01.03</t>
  </si>
  <si>
    <t>02.09.01.04</t>
  </si>
  <si>
    <t>02.09.01.05</t>
  </si>
  <si>
    <t xml:space="preserve">         PLANCHA DE LANA DE ROCA . E= 2" NEOPRENO Y 100 KG/M3, ANCLAJES A LOSAS, TECNOPORT, OTROS</t>
  </si>
  <si>
    <t>02.10.01</t>
  </si>
  <si>
    <t xml:space="preserve">     MUROS M1 EN ASCENSOR</t>
  </si>
  <si>
    <t>02.10.01.01</t>
  </si>
  <si>
    <t>CONCRETO PREMEZCLADO, CEMENTO TIPO I, COLUMNETAS f'c=210 kg/cm2</t>
  </si>
  <si>
    <t>02.10.01.02</t>
  </si>
  <si>
    <t>02.10.01.03</t>
  </si>
  <si>
    <t xml:space="preserve">         ENCOFRADO Y DESENCOFRADO DE PARAPETOS DOBLE ALTURA</t>
  </si>
  <si>
    <t>02.10.01.04</t>
  </si>
  <si>
    <t>02.10.01.05</t>
  </si>
  <si>
    <t>FACHADA</t>
  </si>
  <si>
    <t>CONCRETO PREMEZCLADO, CEMENTO TIPO I, LOSA ALIGERADA TORRE f'c=210 kg/cm2</t>
  </si>
  <si>
    <t>OTRO</t>
  </si>
  <si>
    <t>ARQUITECTURA SÓTANOS</t>
  </si>
  <si>
    <t>05</t>
  </si>
  <si>
    <t>LADRILLO SILICO CALCAREO TIPO P20 RF:2 HRS H&gt;2.6M (ALVEOLOS COMPLETAMENTE LLENO)</t>
  </si>
  <si>
    <t xml:space="preserve">PASES DE MANGUERA (0.20x20M) DOBLE PLACA DE ROCA DE YESO </t>
  </si>
  <si>
    <t>DINTELES DRYWALL RF. DUCTOS INST. TEC. , H=0.30M APROX.</t>
  </si>
  <si>
    <t>PARAPETO A=0.10M , H=1.20ML (ESTACIONAM SOT)</t>
  </si>
  <si>
    <t>SARDINELES POZO SUMIDERO SOT (A=0.20M) , H=0.15M</t>
  </si>
  <si>
    <t>SARDINLES CLOSET SOT (A=0.10M) , H=0.10M</t>
  </si>
  <si>
    <t>TRABAJOS DE CONCRETO</t>
  </si>
  <si>
    <t>LAVAMOPAS CUARTO DE ACOPIO</t>
  </si>
  <si>
    <t>LAVADERO EN PETZONE</t>
  </si>
  <si>
    <t>REVOQUES Y ENLUCIDOS</t>
  </si>
  <si>
    <t>SOLAQUEO DE MURO PANTALLA</t>
  </si>
  <si>
    <t>SOLAQUEO EN COLUMNAS Y PLACAS</t>
  </si>
  <si>
    <t>SOLAQUEO EN COLUMNAS Y PLACAS A DOBLE ALTURA</t>
  </si>
  <si>
    <t>IMPERMEABILIZACION DE CISTERNAS:</t>
  </si>
  <si>
    <t xml:space="preserve">CIELORASOS </t>
  </si>
  <si>
    <t>LIMPIEZA Y RESANE DE PRELOSAS EN SÓTANOS</t>
  </si>
  <si>
    <t>SOLAQUEO DE CIELO RASO EN SÓTANOS (INC SOLAQUEO DE TECHO DE CISTERNA Y CTO BOMBAS)</t>
  </si>
  <si>
    <t>SOLAQUEO DE VIGAS EN SOTANOS (EN FONDO Y COSTADO)</t>
  </si>
  <si>
    <t>SOLAQUEO DE VIGAS EN SOTANOS (EN FONDO Y COSTADO) A DOBLE ALTURA</t>
  </si>
  <si>
    <t>FALSO CIELO RASO DE DRYWALL ESCALERA</t>
  </si>
  <si>
    <t>GRUPO ELECTROGENO</t>
  </si>
  <si>
    <t>HALL DE ASCENSORES</t>
  </si>
  <si>
    <t xml:space="preserve">CERAMICO CEMENTO GRIS 45X45CM </t>
  </si>
  <si>
    <t>DEPOSITOS, ESP ABIERTO Y PASILLO</t>
  </si>
  <si>
    <t>PISO CEMENTO SEMIPULIDO</t>
  </si>
  <si>
    <t>ESTACIONAMIENTOS VEHICULARES</t>
  </si>
  <si>
    <t>ESCALERA</t>
  </si>
  <si>
    <t>ESTACIONAMIENTO DE BICICLETAS</t>
  </si>
  <si>
    <t>PISO CEMENTO BARRIDO</t>
  </si>
  <si>
    <t>RAMPAS VEHICULAR</t>
  </si>
  <si>
    <t>CTO BOMBAS / TRAMPA SOT.</t>
  </si>
  <si>
    <t>CISTERNA</t>
  </si>
  <si>
    <t xml:space="preserve">IMPERMEABILIZADO EN CISTERNA </t>
  </si>
  <si>
    <t>CTO DE ACOPIO</t>
  </si>
  <si>
    <t>PET ZONE</t>
  </si>
  <si>
    <t>PORCELANATO ESMALATADO WUART DE LUNE MATE 20 X 20</t>
  </si>
  <si>
    <t>ZOCALOS</t>
  </si>
  <si>
    <t>ACOPIOS SOT</t>
  </si>
  <si>
    <t>CERAMICO ESMALTADO URBAN BRICK BLACK MATE</t>
  </si>
  <si>
    <t>TERRAZO MATIZADO (LAVADERO) - PET ZONE / SOT</t>
  </si>
  <si>
    <t>WAL PANEL PINTADO COLOR AP54 - 1 GRAY FOAM. PANTONE COLOR CENTRO - PET ZONE / SOT</t>
  </si>
  <si>
    <t xml:space="preserve">Contrazócalo cemento pulido </t>
  </si>
  <si>
    <t>HALL ASCENSORES</t>
  </si>
  <si>
    <t>DEPOSITO</t>
  </si>
  <si>
    <t xml:space="preserve">PINTURA TRAFICO COLOR AMARILLO H=15CM </t>
  </si>
  <si>
    <t xml:space="preserve">ESTACIONAMIENTO Y CIRCULACION VEHICULAR </t>
  </si>
  <si>
    <t>ESCALERA EVACUACION</t>
  </si>
  <si>
    <t>Pintura de tráfico a base de resinas color negro, resistente a la abrasión y al tránsito vehicular y debe pintarse con maquinaria. Según diseño h=10cm</t>
  </si>
  <si>
    <t xml:space="preserve">PET ZONE </t>
  </si>
  <si>
    <t>CONTRAZOCALO PORCELANATO ESMALATADO WUART DE LUNE MATE 20 X 20</t>
  </si>
  <si>
    <t>ENCHAPE SARDNEL CTO ACOPIO (CONSIDERAR PRECIO DE 3 CARAS POR METRO)</t>
  </si>
  <si>
    <t>ESCALERA DE ENLACE EN EST.- CIST.</t>
  </si>
  <si>
    <t>ESCALERA DE ENLACE EN EST.- SOT7</t>
  </si>
  <si>
    <t xml:space="preserve"> PCF-01-(1.00x2.10) - ESCALERA EVACUACIÓN</t>
  </si>
  <si>
    <t>PCF-05-(0.90x2.10) - CTO ACOPIO</t>
  </si>
  <si>
    <t>PCF-01-(1.00x2.10) - CTO BOMBAS</t>
  </si>
  <si>
    <t>PCF-09-(2.00x2.10) - CTO TABLEROS GRUPO ELECTROGENO</t>
  </si>
  <si>
    <t>PC3 -(1.00x2.10) ACELOROGRAFO</t>
  </si>
  <si>
    <t>PUERTAS CONTRAPLACADAS (TECSO)</t>
  </si>
  <si>
    <t>DEPOSITOS</t>
  </si>
  <si>
    <t>PS-01-(0.80x2.10) - DEPOSITOS - INCLUYE 1 REJILLA INFERIORES DE 30x20cm</t>
  </si>
  <si>
    <t>PCER (1.00 X 2.10 m) PUERTA EN CERCO</t>
  </si>
  <si>
    <t>PROTECCIÓN DE PUERTAS CONTRAPLACADAS</t>
  </si>
  <si>
    <t>PUERTA DE ALUMINIO + VIDRIO</t>
  </si>
  <si>
    <t>P - 04 (1.00x2.10) - PET ZONE</t>
  </si>
  <si>
    <t>CLOSET DE MELAMINA</t>
  </si>
  <si>
    <t>PP.22 (0.6x2)P. BATIENT MELAMINE</t>
  </si>
  <si>
    <t>TOPE DE PUETA, SELLADO Y PROTECCIÓN DE PUERTAS</t>
  </si>
  <si>
    <t>Tope para piso de acero inoxidable. (DEPOSITOS)</t>
  </si>
  <si>
    <t>Tope para piso de acero inoxidable. (CUARTO DE ACOPIO)</t>
  </si>
  <si>
    <t>CERRADURA TIPO POMO</t>
  </si>
  <si>
    <t>CARPINTERÍA METÁLICA</t>
  </si>
  <si>
    <t>REJILLA EN CUARTO DE BOMBAS 2.48 m x 0.60 m</t>
  </si>
  <si>
    <t>REJILLA CON SUMIDERO (A=0.45M)</t>
  </si>
  <si>
    <t>ESTACIONAMIENTOS DE BICICLETAS VERTICALES</t>
  </si>
  <si>
    <t>TAPA METÁLICA CISTERNA</t>
  </si>
  <si>
    <t>REJILLA 2(0.20x2.20) EN PISO</t>
  </si>
  <si>
    <t>TAPA DE POZO SUMIDERO</t>
  </si>
  <si>
    <t>SUMIDERO RECT1 C/ REJILLA(0.15x1.15) SOT PISO</t>
  </si>
  <si>
    <t>ESC. MET. DE GATO - CIST - SOTANO (A=0.50, H=2.20M)</t>
  </si>
  <si>
    <t>ESC. MET. DE GATO - SUBESTACIÓN</t>
  </si>
  <si>
    <t>R-01 - REGISTRO VENT CIST</t>
  </si>
  <si>
    <t>PASAMANOS DE ESCALERA DE EVACUACIÓN</t>
  </si>
  <si>
    <t>BARANDA METÁLICO EN ESCALERA EVACUACION SOTANOS</t>
  </si>
  <si>
    <t>BARANDA METÁLICA H:1.00 m</t>
  </si>
  <si>
    <t>MURO PANTALLA</t>
  </si>
  <si>
    <t>EMPASTE DE CAL+CEMENTO EN MURO PANTALLA</t>
  </si>
  <si>
    <t>COLUMNAS Y PLACAS</t>
  </si>
  <si>
    <t>EMPASTE DE CAL+CEMENTO EN COLUMNAS Y PLACAS INTERIORES (ÁREA DE ESTACIONAMIENTOS)</t>
  </si>
  <si>
    <t xml:space="preserve">CTO ACOPIO </t>
  </si>
  <si>
    <t>EMPASTE DE CAL+CEMENTO</t>
  </si>
  <si>
    <t>ACABADO PINTADO TEXTURADO AP5-4-1 GRAY FOAM. PANTONE COLOR CENTRO (4) - PET ZONE / SOT</t>
  </si>
  <si>
    <t>ACABADO PINTURA COLOR AP1 119 BLUE RIGDE PANTONERA COLOR CENTRO - PET ZONE / SOT</t>
  </si>
  <si>
    <t>CTO BOMBAS, ACELEROGRAFO, GRUPO ELEC Y ESCLUSA</t>
  </si>
  <si>
    <t>BICICLETAS  SOT1</t>
  </si>
  <si>
    <t>ESTACIONAMIENTO</t>
  </si>
  <si>
    <t>EMPASTE DE CAL + CEMENTO EN CIELO RASO EN SÓTANOS Y VIGAS SOTANOS (EN FONDO Y COSTADO)</t>
  </si>
  <si>
    <t>EMPASTE DE CAL + CEMENTO EN CIELO RASO EN SÓTANOS Y VIGAS SOTANOS (CIELOS)</t>
  </si>
  <si>
    <t>ACABADO PINTURA COLOR 11-0602 TCX SNOW WHITE. PANTONERA PANTONE - PET ZONE SOT1</t>
  </si>
  <si>
    <t>ESCALERAS</t>
  </si>
  <si>
    <t>PINTURA DE TRÁFICO</t>
  </si>
  <si>
    <t xml:space="preserve">PINTURA SEPARACION DE CAJON EN PISO </t>
  </si>
  <si>
    <t>NUMERACION EN PARED PARA ESTACIONAMIENTOS</t>
  </si>
  <si>
    <t>NUMERACION EN PISO PARA ESTACIONAMIENTOS</t>
  </si>
  <si>
    <t>FLECHA DIRECCIONAL DE UN SENTIDO COLOR BLANCO (ESTACIONAMIENTO SOT)</t>
  </si>
  <si>
    <t>FECHA DIRECCIONAL DE GIRO</t>
  </si>
  <si>
    <t>LINEA DE PASO PEATONAL DE 1.20x0.20M COLOR AMARILLO</t>
  </si>
  <si>
    <t>PINTURA COLOR NEGRO SEPARACION DE ESTACIONAMIENTO DE BICICLETA EN PISO</t>
  </si>
  <si>
    <t>PINTURA COLOR NEGRO SEPARACION DE ESTACIONAMIENTO DE BICICLETA EN MUROS</t>
  </si>
  <si>
    <t>PINTURA PARA NUMERACIÓN DE BICICLETA EN PARED</t>
  </si>
  <si>
    <t>SEÑALIZACIÓN</t>
  </si>
  <si>
    <t>PROTECTOR DE COLUMNAS ESQUINERO MODELO DE ALTO IMPACTO 80 CM DE ALTO Y 10 CM DE LADOS</t>
  </si>
  <si>
    <t>ESPEJO CONVEXO 60 CM EXTERIOR</t>
  </si>
  <si>
    <t>Grifería PET ZONE</t>
  </si>
  <si>
    <t>L9</t>
  </si>
  <si>
    <t>L12A</t>
  </si>
  <si>
    <t>L21A</t>
  </si>
  <si>
    <t>L21AS</t>
  </si>
  <si>
    <t>EMERG</t>
  </si>
  <si>
    <t>SEÑALÉTICA (Fotoluminiscente)</t>
  </si>
  <si>
    <t>SEÑAL DE "SALIDA"  FOTOLUMINISCENTES</t>
  </si>
  <si>
    <t>SEÑAL DE ''SALIDA DE EMERGENCIA" FOTOLUMINISCENTES</t>
  </si>
  <si>
    <t>VALVULA 2 1/2"</t>
  </si>
  <si>
    <t>PASE MANGUERA CI</t>
  </si>
  <si>
    <t>LUMINARIA LUZ DE EMERGENCIA</t>
  </si>
  <si>
    <t>EXTINTORES</t>
  </si>
  <si>
    <t>EXTINTOR PORTATIL "CO2"  15LBS</t>
  </si>
  <si>
    <t>GANCHO DE SOSTENIMIENTO PARA EXTINTORES</t>
  </si>
  <si>
    <t>NUMERACIÓN EN PISOS</t>
  </si>
  <si>
    <t>NUMERACION CTO BOMBAS</t>
  </si>
  <si>
    <t>NUMERACION ACELEROGRAFO</t>
  </si>
  <si>
    <t>NUMERACION DEPOSITOS</t>
  </si>
  <si>
    <t>NUMERACIÓN DUCTOS</t>
  </si>
  <si>
    <t>NUMERACIÓN CUARTO DE ACOPIO</t>
  </si>
  <si>
    <t>NUMERACIÓN CUARTO DE TABLEROS</t>
  </si>
  <si>
    <t>CONTENEDORES DE BASURA DE 240LTS (NO SE CONSIDERA)</t>
  </si>
  <si>
    <t>CONTENEDORES DE BASURA DE 660LTS (NO SE CONSIDERA)</t>
  </si>
  <si>
    <t>PROTECTORES DE MONTANTES DE DRYWALL</t>
  </si>
  <si>
    <t>NOMENCLATURA EN CUARTO DE BASURA /EXTRAC./SSSHH COMUN</t>
  </si>
  <si>
    <t>TABIQUERÍA</t>
  </si>
  <si>
    <t>T2.17.03.01 - ACABADO POR DEFINIR - LOBBY DE OFICINAS, HALL DE ASCENSORES, CORREDORES Y ESCALERA OFICINAS</t>
  </si>
  <si>
    <t>INSTALACIONES</t>
  </si>
  <si>
    <t>ASCENSORES</t>
  </si>
  <si>
    <t>IEE Y IISS</t>
  </si>
  <si>
    <t>INSTALACIONES SANITARIAS</t>
  </si>
  <si>
    <t>Glb</t>
  </si>
  <si>
    <t>Proyecto</t>
  </si>
  <si>
    <t>Gastos Generales</t>
  </si>
  <si>
    <t>PRECIO</t>
  </si>
  <si>
    <t>PARCIAL</t>
  </si>
  <si>
    <t>12</t>
  </si>
  <si>
    <t>12.01</t>
  </si>
  <si>
    <t>PERSONAL STAFF</t>
  </si>
  <si>
    <t>12.01.01</t>
  </si>
  <si>
    <t>Superintendente</t>
  </si>
  <si>
    <t>12.01.02</t>
  </si>
  <si>
    <t>Ingeniero Residente</t>
  </si>
  <si>
    <t>12.01.03</t>
  </si>
  <si>
    <t>Jefe de Oficina Técnica</t>
  </si>
  <si>
    <t>12.01.04</t>
  </si>
  <si>
    <t>Asistente de Oficina Técnica</t>
  </si>
  <si>
    <t>12.01.05</t>
  </si>
  <si>
    <t>Jefe de producción</t>
  </si>
  <si>
    <t>12.01.06</t>
  </si>
  <si>
    <t>Asistente de Producción</t>
  </si>
  <si>
    <t>12.01.07</t>
  </si>
  <si>
    <t>Ingeniero de Calidad</t>
  </si>
  <si>
    <t>12.01.08</t>
  </si>
  <si>
    <t>Asistente de Calidad</t>
  </si>
  <si>
    <t>12.01.09</t>
  </si>
  <si>
    <t>Ingeniero Electromecánico</t>
  </si>
  <si>
    <t>12.01.11</t>
  </si>
  <si>
    <t>Arquitecto de Acabados</t>
  </si>
  <si>
    <t>12.01.12</t>
  </si>
  <si>
    <t>Asistente de Acabados_1</t>
  </si>
  <si>
    <t>12.01.14</t>
  </si>
  <si>
    <t>Prevencionista de Riesgos</t>
  </si>
  <si>
    <t>12.01.16</t>
  </si>
  <si>
    <t>Administrador de Obra</t>
  </si>
  <si>
    <t>12.01.17</t>
  </si>
  <si>
    <t>Ingeniero de Bim</t>
  </si>
  <si>
    <t>12.01.18</t>
  </si>
  <si>
    <t>Jefe de Almacén</t>
  </si>
  <si>
    <t>12.01.19</t>
  </si>
  <si>
    <t>Asistente de Almacén</t>
  </si>
  <si>
    <t>12.02</t>
  </si>
  <si>
    <t>PERSONAL TECNICO</t>
  </si>
  <si>
    <t>12.02.03</t>
  </si>
  <si>
    <t>Maestro de Obra</t>
  </si>
  <si>
    <t>12.02.11</t>
  </si>
  <si>
    <t>Guardian de Obra</t>
  </si>
  <si>
    <t>12.03</t>
  </si>
  <si>
    <t>EQUIPO Y MOBILIARIO DE OFICINA</t>
  </si>
  <si>
    <t>12.03.01</t>
  </si>
  <si>
    <t>Computadora</t>
  </si>
  <si>
    <t>12.03.02</t>
  </si>
  <si>
    <t>Celular</t>
  </si>
  <si>
    <t>12.03.03</t>
  </si>
  <si>
    <t>Radio</t>
  </si>
  <si>
    <t>12.03.04</t>
  </si>
  <si>
    <t>IMPRESORA A3</t>
  </si>
  <si>
    <t>12.03.05</t>
  </si>
  <si>
    <t>COMUNICACION TELEFONO EXTERNO / INTERNET</t>
  </si>
  <si>
    <t>12.03.06</t>
  </si>
  <si>
    <t>ESCRITORIOS Y SILLAS (CONTRATISTA)</t>
  </si>
  <si>
    <t>12.03.07</t>
  </si>
  <si>
    <t>MESAS DE TRABAJO Y DE REUNION</t>
  </si>
  <si>
    <t>12.03.08</t>
  </si>
  <si>
    <t>UTILES DE OFICINA Y ECONOMATO</t>
  </si>
  <si>
    <t>12.03.09</t>
  </si>
  <si>
    <t>LICENCIA SOFWARE S10</t>
  </si>
  <si>
    <t>12.03.10</t>
  </si>
  <si>
    <t>LICENCIA MS OFFICE 365</t>
  </si>
  <si>
    <t>12.03.11</t>
  </si>
  <si>
    <t>LICENCIA AUTOCAD</t>
  </si>
  <si>
    <t>12.03.12</t>
  </si>
  <si>
    <t>LICENCIA REVIT</t>
  </si>
  <si>
    <t>12.04</t>
  </si>
  <si>
    <t>12.04.01</t>
  </si>
  <si>
    <t>INSUMOS PARA LIMPIEZA</t>
  </si>
  <si>
    <t>12.04.02</t>
  </si>
  <si>
    <t>PERSONAL DE LIMPIEZA (OFICINAS)</t>
  </si>
  <si>
    <t>12.04.03</t>
  </si>
  <si>
    <t>FOTOCOPIADO</t>
  </si>
  <si>
    <t>12.04.04</t>
  </si>
  <si>
    <t>COPIA DE PLANOS Y PLANOS DE REPLANTEO DE OBRA</t>
  </si>
  <si>
    <t>12.04.05</t>
  </si>
  <si>
    <t>PLANOS Y EXPEDIENTE FIRMA DE CONTRATO (3 COPIAS)</t>
  </si>
  <si>
    <t>12.04.06</t>
  </si>
  <si>
    <t>DOSSIER DE CALIDAD</t>
  </si>
  <si>
    <t>12.04.07</t>
  </si>
  <si>
    <t>GASTOS ADMINISTRATIVOS</t>
  </si>
  <si>
    <t>12.04.08</t>
  </si>
  <si>
    <t>AGUA POTABLE PARA PERSONAL</t>
  </si>
  <si>
    <t>12.04.09</t>
  </si>
  <si>
    <t>BOTIQUIN DE OBRA</t>
  </si>
  <si>
    <t>12.04.10</t>
  </si>
  <si>
    <t>MANTENIMIENTO DE EQUIPOS PROPIO</t>
  </si>
  <si>
    <t>12.04.11</t>
  </si>
  <si>
    <t>MOVILIDAD</t>
  </si>
  <si>
    <t>12.04.12</t>
  </si>
  <si>
    <t xml:space="preserve">CONTRIBUCION OFICINA CENTRAL </t>
  </si>
  <si>
    <t>12.04.13</t>
  </si>
  <si>
    <t>GASTOS DE POSTVENTA (0.5% CD)</t>
  </si>
  <si>
    <t>12.04.14</t>
  </si>
  <si>
    <t>GASTOS NOTARIALES PARA INSPECCION DE VECINOS</t>
  </si>
  <si>
    <t>12.04.15</t>
  </si>
  <si>
    <t>ATENCION RECLAMO VECINOS (PARTIDA ABIERTA)</t>
  </si>
  <si>
    <t>12.04.16</t>
  </si>
  <si>
    <t>PERMISOS VARIOS (CIERRE DE VIAS, MONTAJE Y DESMONTAJE DE GRUA Y TRAMITES MUNICIPALES)</t>
  </si>
  <si>
    <t>12.04.17</t>
  </si>
  <si>
    <t>GESTION - LUZ DEL SUR, SEDAPAL</t>
  </si>
  <si>
    <t>12.04.18</t>
  </si>
  <si>
    <t>MODELAMIENTO Y GESTIÓN BIM</t>
  </si>
  <si>
    <t>12.01.20</t>
  </si>
  <si>
    <t>SCTR (Pensión y Salud) - Staff Obra</t>
  </si>
  <si>
    <t>12.01.21</t>
  </si>
  <si>
    <t>Seguro de Vida Ley - Staff Obra</t>
  </si>
  <si>
    <t>12.02.13</t>
  </si>
  <si>
    <t>SCTR (Pensión y Salud) - Personal Obrero</t>
  </si>
  <si>
    <t>12.02.14</t>
  </si>
  <si>
    <t>Seguro de Vida Ley - Personal Obrero</t>
  </si>
  <si>
    <t>12.05</t>
  </si>
  <si>
    <t>PAZ SOCIAL</t>
  </si>
  <si>
    <t>12.05.01</t>
  </si>
  <si>
    <t>POLICITY SECURITY</t>
  </si>
  <si>
    <t>12.06</t>
  </si>
  <si>
    <t>GASTOS ADMINISTRATIVOS Y FINANCIEROS</t>
  </si>
  <si>
    <t>12.06.01</t>
  </si>
  <si>
    <t xml:space="preserve">POLIZA CAR+RC </t>
  </si>
  <si>
    <t>12.06.02</t>
  </si>
  <si>
    <t>POLIZA 3D</t>
  </si>
  <si>
    <t>12.06.03</t>
  </si>
  <si>
    <t xml:space="preserve">CARTA FIANZA POR ADELANTO </t>
  </si>
  <si>
    <t>12.06.04</t>
  </si>
  <si>
    <t>CARTA FIANZA POR FIEL CUMPLIMIENTO</t>
  </si>
  <si>
    <t>12.06.05</t>
  </si>
  <si>
    <t>CARTA FIANZA POR POST VENTA - 12 MESES (5%)</t>
  </si>
  <si>
    <t>12.06.06</t>
  </si>
  <si>
    <t>COSTO RETENCION FONDO GARANTIA 5 %</t>
  </si>
  <si>
    <t>12.06.07</t>
  </si>
  <si>
    <t>COSTO FINANCIERO DE CAPITAL DE TRABAJO</t>
  </si>
  <si>
    <t>12.06.08</t>
  </si>
  <si>
    <t>GASTOS FINANCIEROS - ITF - 0.005%</t>
  </si>
  <si>
    <t>12.06.09</t>
  </si>
  <si>
    <t>SENCICO</t>
  </si>
  <si>
    <t>T.C</t>
  </si>
  <si>
    <t>INSTALACIONES MECANICAS</t>
  </si>
  <si>
    <t>: V&amp;V Bravo S.A.C</t>
  </si>
  <si>
    <t>Costo al</t>
  </si>
  <si>
    <t>P.U (S/.)</t>
  </si>
  <si>
    <t>P.U ($.)</t>
  </si>
  <si>
    <t>PARCIAL (S/.)</t>
  </si>
  <si>
    <t>PARCIAL ($)</t>
  </si>
  <si>
    <t>01.01</t>
  </si>
  <si>
    <t>INTERCOMUNICADORES</t>
  </si>
  <si>
    <t>DISPOSITIVOS PRINCIPALES DE COMUNICACIÓN</t>
  </si>
  <si>
    <t>01.01.01.01</t>
  </si>
  <si>
    <t>01.01.01.02</t>
  </si>
  <si>
    <t>01.01.01.03</t>
  </si>
  <si>
    <t>01.01.01.04</t>
  </si>
  <si>
    <t>01.01.01.05</t>
  </si>
  <si>
    <t>01.01.01.06</t>
  </si>
  <si>
    <t>01.01.01.07</t>
  </si>
  <si>
    <t>01.01.01.08</t>
  </si>
  <si>
    <t>Servicio de instalación y configuración de intercomunicadores incluye: Cableado estructuado y energizado de fuentes. Interconexión modulo</t>
  </si>
  <si>
    <t>01.02</t>
  </si>
  <si>
    <t>DETECCION CONTRAINCENDIOS</t>
  </si>
  <si>
    <t>UNIDAD DE PROCESAMIENTO Y COMPLEMENTOS</t>
  </si>
  <si>
    <t>Panel de Alarma contra Incendio Convencional/Direccionable
Marca: KIDDE
Modelo: VS4-R-2</t>
  </si>
  <si>
    <t>Bateria de 12v/7Ah</t>
  </si>
  <si>
    <t>DISPOSITIVOS DE INICIACIÓN</t>
  </si>
  <si>
    <t xml:space="preserve"> Detector de Humo Convencional UL
Marca: Sentek
Modelo: SD 4H 119</t>
  </si>
  <si>
    <t xml:space="preserve">Detector de Temperatura Convencional UL
Marca: Hagroy
Modelo: EPA 183 </t>
  </si>
  <si>
    <t>Detector de Humo/Temperatura Convencional  UL
Marca: SENTEK
Modelo: SD H 1199</t>
  </si>
  <si>
    <t>Detector de humo en ducto UL. Incluye tubo de muestro 8"
Marca: KIDDE
Modelo: GSA-SD</t>
  </si>
  <si>
    <t xml:space="preserve">Estación manual doble acción convencional 
Marca: FIRE LITE HONEYWELL
Modelo: </t>
  </si>
  <si>
    <t>Sensor de Aniego con procesador Marca :Winland</t>
  </si>
  <si>
    <t>DISPOSITIVO DE NOTIFICACIÓN</t>
  </si>
  <si>
    <t>Fuente de alimentación Booster NACs para sirenas. Certificado UL
Marca: KIDDE
Modelo: MIRBPS10A/230</t>
  </si>
  <si>
    <t>MODULOS</t>
  </si>
  <si>
    <t>Módulo de control para interconexión con sistema Extracción de CO
* 1 en Tablero TC-CO para monitoreo o control del sistema
Marca: KIDDE 
Modelo: GSA-CR</t>
  </si>
  <si>
    <t>Módulo de control para interconexión con sistema de ascensores 
* 1 en Tablero TC-CO para monitoreo o control del sistema
Marca: KIDDE 
Modelo: GSA-CR</t>
  </si>
  <si>
    <t xml:space="preserve">
Módulo de señal para zonificación de sirenas
* 1 zona por cada nivel en el edificio
Marca: KIDDE 
Modelo: GSA-CC1</t>
  </si>
  <si>
    <t>Módulo  de aislamiento 
Marca: KIDDE 
Modelo: GSA-IM</t>
  </si>
  <si>
    <t>INSTALACION</t>
  </si>
  <si>
    <t>01.05</t>
  </si>
  <si>
    <t>SISTEMA DE GAS</t>
  </si>
  <si>
    <t>Sistema de gas 
Redes internas PealPe
Montantes de cobre</t>
  </si>
  <si>
    <t>PISCINA CONVENCIONAL</t>
  </si>
  <si>
    <t>Sistema de piscina convencional con revestimiento PVC</t>
  </si>
  <si>
    <t>Sistema de paneles fotovoltaicos</t>
  </si>
  <si>
    <t>SISTEMA CCTV</t>
  </si>
  <si>
    <t>CUARTO DE BOMBAS - ACI</t>
  </si>
  <si>
    <t>EQUIPAMIENTO</t>
  </si>
  <si>
    <t>SISTEMA DE PRESION CONSTANTE Y SUMIDEROS</t>
  </si>
  <si>
    <t>SISTEMA DE PRESIÓN CONSTANTE Y VELOCIDAD VARIABLE AGUA POTABLE I</t>
  </si>
  <si>
    <t>Und.</t>
  </si>
  <si>
    <t>SISTEMA DE PRESIÓN CONSTANTE Y VELOCIDAD VARIABLE AGUA POTABLE II</t>
  </si>
  <si>
    <t>SUMINISTRO E  INSTALACIÓN SISTEMA DE BOMBEOSUMIDERO</t>
  </si>
  <si>
    <t>01.01.01.09</t>
  </si>
  <si>
    <t>Instalación Equipo de Bombeo
contraincendio en sala de
Bombas</t>
  </si>
  <si>
    <t>SISTEMA DE AGUA CONTRAINCENDIO - ROCIADORES Y GABINETES</t>
  </si>
  <si>
    <t>RED DE TUBERIA COLGADA Y ADOSADAS DE ACERO SCH-10 Y SCH-40</t>
  </si>
  <si>
    <t>Suministro e Instalación de
Sistema de Rociadores y
Gabinetes
*Suministro de materiales red de Gabinetes y Rociadores.
*Montaje mecanico del sistema de Gabinetes y Rociadores</t>
  </si>
  <si>
    <t>VENTILACIÓN MECÁNICA</t>
  </si>
  <si>
    <t>VESTIBULO PREVIO VENTILADO Y ESCALERA</t>
  </si>
  <si>
    <t>SENSOR DE HUMO</t>
  </si>
  <si>
    <r>
      <t xml:space="preserve">DAMPER BAROMÉTRICO  24"X24" </t>
    </r>
    <r>
      <rPr>
        <b/>
        <sz val="8"/>
        <rFont val="Arial"/>
        <family val="2"/>
      </rPr>
      <t>ACP</t>
    </r>
  </si>
  <si>
    <t>FILTRO DE MALLA DE ALUMINIO DE 47"X47"X1" suministro e instalación</t>
  </si>
  <si>
    <t>FILTRO DE MALLA DE ALUMINIO DE 48"X48"X1" suministro e instalación</t>
  </si>
  <si>
    <t>FILTRO DE MALLA DE ALUMINIO DE 54"X54"X1" suministro e instalación</t>
  </si>
  <si>
    <t>EXTRACCIÓN DE MONÓXIDO DE CARBONO</t>
  </si>
  <si>
    <t>Damper de gravedad de fabricación nacional suminsitro e instalación</t>
  </si>
  <si>
    <t>DAMPER CORTA FUEGO nacional 44"X41" Con fusible UL</t>
  </si>
  <si>
    <t xml:space="preserve">VENTILACIÓN EN CUARTO DE BOMBAS </t>
  </si>
  <si>
    <t>DAMPER CORTA FUEGO nacional 46"X12" Con fusible UL</t>
  </si>
  <si>
    <t>VENTILACIÓN EN CUARTO DE BASURA</t>
  </si>
  <si>
    <t>DAMPER CORTA FUEGO nacional DE 12"X12" Con fusible UL</t>
  </si>
  <si>
    <t>DAMPER CORTA FUEGO nacional DE 14"X10" Con fusible UL</t>
  </si>
  <si>
    <t>DAMPER CORTA FUEGO nacional  DE 15"X10" Con fusible UL</t>
  </si>
  <si>
    <t>DAMPER CORTA FUEGO nacional  DE 18"X12" Con fusible UL</t>
  </si>
  <si>
    <t>DAMPER CORTA FUEGO nacional  DE 18"X14" Con fusible UL</t>
  </si>
  <si>
    <t>Damper de gravedad de fabricación nacional de 10"X10"</t>
  </si>
  <si>
    <t>Damper de gravedad de fabricación nacional de 12"X12"</t>
  </si>
  <si>
    <t>VENTILACIÓN DE PASILLOS</t>
  </si>
  <si>
    <t>FILTRO DE MALLA DE ALUMINIO DE 34"X34"X1" suministro e instalación</t>
  </si>
  <si>
    <t>VENTILACIÓN DE ESCLUSA Y ACELERÓGRAFO</t>
  </si>
  <si>
    <t>DAMPER CORTA FUEGO nacional  DE 6"X4" Con fusible UL</t>
  </si>
  <si>
    <t>DAMPER CORTA FUEGO nacional  DE 8"X6" Con fusible UL</t>
  </si>
  <si>
    <t>VENTILACIÓN DE GRUPO ELECTRÓGENO</t>
  </si>
  <si>
    <t>DAMPER CORTA FUEGO nacional  DE 23"X23" Con fusible UL</t>
  </si>
  <si>
    <t>DAMPER CORTA FUEGO nacional  DE 30"X30" Con fusible UL</t>
  </si>
  <si>
    <t>VENTILACIÓN DE PET ZONTE</t>
  </si>
  <si>
    <t>VENTILACIÓN DE BAÑOS Y CENTRO DE LAVADO</t>
  </si>
  <si>
    <t>EXTRACTOR EÓLICO suministro e instalación</t>
  </si>
  <si>
    <r>
      <t xml:space="preserve">Suministro e instalación de ductos metálicos de fierro galvanizado fabricados de acuerdo a la normativa </t>
    </r>
    <r>
      <rPr>
        <b/>
        <sz val="8"/>
        <rFont val="Arial"/>
        <family val="2"/>
      </rPr>
      <t>SMACNA</t>
    </r>
  </si>
  <si>
    <t>SUMINISTRO E INSTALACIÓN DE REJILLAS DE FIERRO GALVANIZADO INCLUYE PROTECCIÓN ANTICORROSIVA, PINTADO CON ESMALTE DE COLOR BLANCO AL HORNO y DAMPER DE REGULACIÓN MANUAL</t>
  </si>
  <si>
    <t>REJILLAS DE INYECCIÓN Y EXTRACCIÓN</t>
  </si>
  <si>
    <t>Instalación mecánica de ventilador centrífugo</t>
  </si>
  <si>
    <t>instalación de sensor de humo</t>
  </si>
  <si>
    <t>Instalación mecánica extractor AXIAL</t>
  </si>
  <si>
    <t>Instalación mecánica  intector AXIAL</t>
  </si>
  <si>
    <t>Instalación mecánica de jet fan</t>
  </si>
  <si>
    <t xml:space="preserve">Instalación de detector de monóxido de carbono, cableado de comunicación y coneccion eléctrica </t>
  </si>
  <si>
    <t>VENTILACIÓN EN CUARTO DE BOMBAS</t>
  </si>
  <si>
    <r>
      <t xml:space="preserve">Suministro e instalación de ductos metálicos de fierro galvanizado fabricados de acuerdo a la normativa </t>
    </r>
    <r>
      <rPr>
        <b/>
        <sz val="8"/>
        <rFont val="Arial"/>
        <family val="2"/>
      </rPr>
      <t>SMACNA</t>
    </r>
    <r>
      <rPr>
        <sz val="8"/>
        <rFont val="Arial"/>
        <family val="2"/>
      </rPr>
      <t>,</t>
    </r>
  </si>
  <si>
    <t>Instalación de damper corta fuego</t>
  </si>
  <si>
    <t>TABLERO DE CONTROL</t>
  </si>
  <si>
    <t xml:space="preserve">TABLERO DE CONTROL </t>
  </si>
  <si>
    <t>Instalación mecánica de ventilador helicocentrífugo</t>
  </si>
  <si>
    <r>
      <t>Instalación electromecánica de extractores axiales encendido mediante interruptor de luminaria. Montaje de equipo y conección eléctrica. Puesta en marcha, pruebas y ajustes</t>
    </r>
    <r>
      <rPr>
        <b/>
        <sz val="8"/>
        <rFont val="Arial"/>
        <family val="2"/>
      </rPr>
      <t xml:space="preserve"> (NO INCLUYE BOTONERAS)</t>
    </r>
  </si>
  <si>
    <t>Instalación mecánica de ventilador AXIAL</t>
  </si>
  <si>
    <t xml:space="preserve">Instalación mecánica de ventilador AXIAL encendido mediante luminaria - TIMER </t>
  </si>
  <si>
    <t xml:space="preserve">TRAMPA DE HUMO DE 10 CM </t>
  </si>
  <si>
    <t>01.01.02</t>
  </si>
  <si>
    <t>01.01.02.01</t>
  </si>
  <si>
    <t>01.01.02.03</t>
  </si>
  <si>
    <t>01.01.02.04</t>
  </si>
  <si>
    <t>01.01.02.05</t>
  </si>
  <si>
    <t>01.01.02.06</t>
  </si>
  <si>
    <t>01.01.02.07</t>
  </si>
  <si>
    <t>COMBUSTIBLE Y PRIMER MANTENIMIENTO</t>
  </si>
  <si>
    <t>ASCENSOR DE PASAJEROS</t>
  </si>
  <si>
    <t>ASCENSOR COMERCIO</t>
  </si>
  <si>
    <t>01.01.02.02</t>
  </si>
  <si>
    <t>PREVENCIONISTA</t>
  </si>
  <si>
    <t>VIGAS DIVISORIAS</t>
  </si>
  <si>
    <t>PLATAFORMA DE DISCAPACITADOS</t>
  </si>
  <si>
    <t>INSTALACIONES ELECTRICAS</t>
  </si>
  <si>
    <t>INSTALACIONES  ELECTRICAS</t>
  </si>
  <si>
    <t>SISTEMA DE ALUMBRADO</t>
  </si>
  <si>
    <t>01.01.01</t>
  </si>
  <si>
    <t xml:space="preserve">    SALIDAS DE ALUMBRADO</t>
  </si>
  <si>
    <t xml:space="preserve">        SALIDA PARA LUMINARIA EN TECHO</t>
  </si>
  <si>
    <t>pto</t>
  </si>
  <si>
    <t xml:space="preserve">        SALIDA PARA LUMINARIA DE EMERGENCIA</t>
  </si>
  <si>
    <t xml:space="preserve">        SALIDA PARA LUMINARIA HERMETICA/FLUORESCENTE</t>
  </si>
  <si>
    <t xml:space="preserve">        SALIDA PARA SENSOR DE MOVIMIENTO</t>
  </si>
  <si>
    <t xml:space="preserve">        SALIDA PARA BRAQUETTE</t>
  </si>
  <si>
    <t xml:space="preserve">        SALIDA PARA PISCINA</t>
  </si>
  <si>
    <t xml:space="preserve">        SALIDA PARA CINTA LED</t>
  </si>
  <si>
    <t xml:space="preserve">        SALIDA PARA ESTACA</t>
  </si>
  <si>
    <t xml:space="preserve">        SALIDA PARA LUMINARIA CON SENSOR</t>
  </si>
  <si>
    <t>01.01.01.10</t>
  </si>
  <si>
    <t xml:space="preserve">        SALIDA PARA EXTRACTOR EN BAÑOS/DEPOSITOS</t>
  </si>
  <si>
    <t xml:space="preserve">    SALIDAS DE ALUMBRADO EN DEPARTAMENTOS</t>
  </si>
  <si>
    <t xml:space="preserve">        SALIDA PARA LUMINARIA EN BALCONES</t>
  </si>
  <si>
    <t>01.01.03</t>
  </si>
  <si>
    <t xml:space="preserve">    SALIDAS DE INTERRUPTORES</t>
  </si>
  <si>
    <t>01.01.03.01</t>
  </si>
  <si>
    <t xml:space="preserve">        SALIDA PARA INTERRUPTOR SIMPLE</t>
  </si>
  <si>
    <t>01.01.03.02</t>
  </si>
  <si>
    <t xml:space="preserve">        SALIDA PARA INTERRUPTOR DOBLE</t>
  </si>
  <si>
    <t>01.01.03.03</t>
  </si>
  <si>
    <t xml:space="preserve">        SALIDA PARA INTERRUPTOR DE CONMUTACION SIMPLE</t>
  </si>
  <si>
    <t>01.01.03.04</t>
  </si>
  <si>
    <t xml:space="preserve">        SALIDA PARA INTERRUPTOR DE CONMUTACION DOBLE</t>
  </si>
  <si>
    <t>TABLEROS ELECTRICOS</t>
  </si>
  <si>
    <t>SALIDAS DE FUERZA Y ALIMENTADORES</t>
  </si>
  <si>
    <t>01.02.01</t>
  </si>
  <si>
    <t xml:space="preserve">    SALIDAS DE TOMACORRIENTE Y SALIDAS DE FUERZA</t>
  </si>
  <si>
    <t>01.02.01.01</t>
  </si>
  <si>
    <t xml:space="preserve">        SALIDA PARA TOMACORRIENTE BIPOLAR DOBLE CON ESPIGA A TIERRA TIPO 1</t>
  </si>
  <si>
    <t>01.02.01.02</t>
  </si>
  <si>
    <t xml:space="preserve">        SALIDA PARA TOMACORRIENTE BIPOLAR DOBLE CON ESPIGA A TIERRA TIPO 2</t>
  </si>
  <si>
    <t xml:space="preserve">        SALIDA PARA TOMACORRIENTE A PRUEBA DE AGUA</t>
  </si>
  <si>
    <t xml:space="preserve">        SALIDA PARA TIMBRE</t>
  </si>
  <si>
    <t xml:space="preserve">        SALIDA PARA PULSADOR DE TIMBRE</t>
  </si>
  <si>
    <t xml:space="preserve">        SALIDA PARA CAMPANA EXTRACTORA</t>
  </si>
  <si>
    <t xml:space="preserve">        SALIDA DE FUERZA PARA SECADORA ELECTRICA</t>
  </si>
  <si>
    <t xml:space="preserve">        SALIDA DE FUERZA PARA LAVADORA Y SECADORA (T-LAV)</t>
  </si>
  <si>
    <t xml:space="preserve">        SALIDA PARA CALENTARO DE ACEITE</t>
  </si>
  <si>
    <t xml:space="preserve">        SALIDA PARA MODULO DE CONTROL G.E</t>
  </si>
  <si>
    <t xml:space="preserve">        SALIDA PARA CARGADOR DE BATERIAS</t>
  </si>
  <si>
    <t xml:space="preserve">        SALIDA DE FUERZA PARA BOMBAS DE AGUA</t>
  </si>
  <si>
    <t xml:space="preserve">        SALIDA DE FUERZA PARA BOMBA JOCKEY</t>
  </si>
  <si>
    <t xml:space="preserve">        SALIDA DE FUERZA PARA BOMBA SUMIDERO</t>
  </si>
  <si>
    <t xml:space="preserve">        CONTROL DE NIVEL</t>
  </si>
  <si>
    <t xml:space="preserve">        SALIDA DE FUERZA PARA JET FAN</t>
  </si>
  <si>
    <t xml:space="preserve">        SALIDA DE FUERZA PARA VENTILADOR AXIAL</t>
  </si>
  <si>
    <t xml:space="preserve">        SALIDA DE FUERZA PARA EXTRACTOR AXIAL</t>
  </si>
  <si>
    <t xml:space="preserve">        SALIDA DE FUERZA PARA EXTRACTOR CENTRIFUGO (ACOPIO)</t>
  </si>
  <si>
    <t xml:space="preserve">        SALIDA DE FUERZA PARA EXTRACTOR AXIAL G.E</t>
  </si>
  <si>
    <t xml:space="preserve">        SALIDA DE FUERZA PARA VENTILADOR CENTRIFUGO (AZOTEA)</t>
  </si>
  <si>
    <t xml:space="preserve">        SALIDA DE FUERZA PARA EXTRACTOR CENTRIFUGO (AZOTEA)</t>
  </si>
  <si>
    <t xml:space="preserve">        SALIDA DE FUERZA PARA VC E-01</t>
  </si>
  <si>
    <t xml:space="preserve">        SALIDA DE FUERZA PARA EC E-02</t>
  </si>
  <si>
    <t xml:space="preserve">        SALIDA DE FUERZA PARA VC V-02</t>
  </si>
  <si>
    <t xml:space="preserve">        SALIDA DE FUERZA PARA EC V-01</t>
  </si>
  <si>
    <t xml:space="preserve">        SALIDA DE FUERZA PARA VC V-01</t>
  </si>
  <si>
    <t xml:space="preserve">        SALIDA DE FUERZA PARA TROTADORA</t>
  </si>
  <si>
    <t xml:space="preserve">        SALIDA DE FUERZA PARA ELECTROBOMBA PISCINA</t>
  </si>
  <si>
    <t>01.02.02</t>
  </si>
  <si>
    <t>SUMINISTRO E INSTALACION DE ALIMENTADORES ELECTRICOS</t>
  </si>
  <si>
    <t>01.02.02.01</t>
  </si>
  <si>
    <t xml:space="preserve">    ALIMENTADORES EN AREAS COMUNES</t>
  </si>
  <si>
    <t xml:space="preserve">        LSOHX 3-1x240mm2 + LSOH 1Tx35mm2</t>
  </si>
  <si>
    <t xml:space="preserve">        LSOHX 3-1x185mm2 + LSOH 1Tx16mm2</t>
  </si>
  <si>
    <t xml:space="preserve">        LSOHX(90°C) 3-1x95mm2 + LSOH(80°C) 1Tx25mm2</t>
  </si>
  <si>
    <t xml:space="preserve">        LSOHX 3-1x70mm2 + LSOH 1Tx10mm2</t>
  </si>
  <si>
    <t xml:space="preserve">        LSOHX 3-1x50mm2 + LSOH 1Tx10mm2</t>
  </si>
  <si>
    <t xml:space="preserve">        LSOHX 3-1x50mm2 + LSOH 1Tx6mm2</t>
  </si>
  <si>
    <t xml:space="preserve">        LSOHX 3-1x35mm2 + LSOH 1Tx10mm2</t>
  </si>
  <si>
    <t xml:space="preserve">        LSOHX 3-1x25mm2 + LSOH 1Tx10mm2</t>
  </si>
  <si>
    <t xml:space="preserve">        LSOHX 2-1x25mm2 + LSOH 1Tx10mm2</t>
  </si>
  <si>
    <t xml:space="preserve">        LSOHX 3-1x25mm2 + LSOH 1Tx4mm2</t>
  </si>
  <si>
    <t xml:space="preserve">        LS0HX 3-16xmm2 + LS0H 1Tx10mm2</t>
  </si>
  <si>
    <t xml:space="preserve">        LS0HX 3-16xmm2 + LS0H 1Tx6mm2</t>
  </si>
  <si>
    <t xml:space="preserve">        LSOHX 3-1x10mm2 + LSOH 1Tx6mm2</t>
  </si>
  <si>
    <t xml:space="preserve">        LSOHX 3-1x10mm2 + LSOH 1Tx4mm2</t>
  </si>
  <si>
    <t xml:space="preserve">        LSOHX 3-1x6mm2 + LSOH 1Tx10mm2</t>
  </si>
  <si>
    <t xml:space="preserve">        LSOHX 3-1x6mm2 + LSOH 1Tx6mm2</t>
  </si>
  <si>
    <t xml:space="preserve">        LS0HX 3-1x6mm2 + LS0HX 1Tx4mm2</t>
  </si>
  <si>
    <t xml:space="preserve">        LS0HX 3-1x4mm2 + LS0HX 1Tx4mm2</t>
  </si>
  <si>
    <t>01.02.02.02</t>
  </si>
  <si>
    <t xml:space="preserve">    ALIMENTADORES PARA DEPARTAMENTOS</t>
  </si>
  <si>
    <t xml:space="preserve">        2-1x16mm2 LSOHX + 1Tx10mm2 LSOH</t>
  </si>
  <si>
    <t xml:space="preserve">        2-1x25mm2 LSOHX + 1Tx10mm2 LSOH</t>
  </si>
  <si>
    <t>01.02.03</t>
  </si>
  <si>
    <t xml:space="preserve">    CANALIZACION DE FUERZA Y ALIMENTADORES</t>
  </si>
  <si>
    <t>01.02.03.01</t>
  </si>
  <si>
    <t xml:space="preserve">        TUBERIA ELECTRICA Ø35mm EMT</t>
  </si>
  <si>
    <t>01.02.03.02</t>
  </si>
  <si>
    <t xml:space="preserve">        TUBERIA ELECTRICA Ø40mm EMT</t>
  </si>
  <si>
    <t xml:space="preserve">        TUBERIA ELECTRICA Ø50mm EMT</t>
  </si>
  <si>
    <t xml:space="preserve">        TUBERIA ELECTRICA Ø100mm EMT</t>
  </si>
  <si>
    <t xml:space="preserve">        TUBERIA PVC-SAP ELECTRICA DE 25 mm</t>
  </si>
  <si>
    <t xml:space="preserve">        TUBERIA PVC-SAP ELECTRICA DE 35 mm</t>
  </si>
  <si>
    <t xml:space="preserve">        TUBERIA PVC-SAP ELECTRICA DE 40 mm</t>
  </si>
  <si>
    <t xml:space="preserve">        TUBERIA PVC-SAP ELECTRICA DE 65 mm</t>
  </si>
  <si>
    <t xml:space="preserve">        TUBERIA PVC-SAP ELECTRICA DE 100 mm</t>
  </si>
  <si>
    <t>01.02.04</t>
  </si>
  <si>
    <t xml:space="preserve">    CAJAS DE PASE</t>
  </si>
  <si>
    <t>01.02.04.01</t>
  </si>
  <si>
    <t xml:space="preserve">        CAJA DE PASE OCTOGONAL</t>
  </si>
  <si>
    <t xml:space="preserve">        CAJA DE PASE 100X100X55mm</t>
  </si>
  <si>
    <t xml:space="preserve">        CAJA DE PASE 150X150X100mm</t>
  </si>
  <si>
    <t xml:space="preserve">        CAJA DE PASE 250X150X100mm</t>
  </si>
  <si>
    <t xml:space="preserve">        CAJA DE PASE 1100X700X150MM</t>
  </si>
  <si>
    <t>01.03</t>
  </si>
  <si>
    <t>BANDEJAS ELECTRICAS Y DE COMUNICACIONES</t>
  </si>
  <si>
    <t>01.03.02</t>
  </si>
  <si>
    <t xml:space="preserve">    BANDEJA PORTACABLE TIPO RANURADA DE 300X100X2400MM</t>
  </si>
  <si>
    <t>01.03.03</t>
  </si>
  <si>
    <t xml:space="preserve">    BANDEJA PORTACABLE TIPO RANURADA DE 400X100X2400MM</t>
  </si>
  <si>
    <t>01.03.04</t>
  </si>
  <si>
    <t xml:space="preserve">    BANDEJA PORTACABLE TIPO RANURADA DE 550X100X2400MM</t>
  </si>
  <si>
    <t>01.03.05</t>
  </si>
  <si>
    <t xml:space="preserve">    BANDEJA PORTACABLE TIPO RANURADA DE 750X100X2400MM</t>
  </si>
  <si>
    <t>01.03.06</t>
  </si>
  <si>
    <t xml:space="preserve">    BANDEJA PORTACABLE TIPO RANURADA DE 1000X100X2400MM</t>
  </si>
  <si>
    <t>01.03.07</t>
  </si>
  <si>
    <t xml:space="preserve">    ATERRAMIENTO DE BANDEJA CON CABLE DESNUDO 1x35mm²</t>
  </si>
  <si>
    <t>01.03.08</t>
  </si>
  <si>
    <t xml:space="preserve">    SALIDA PARA CONEXION A BANDEJA</t>
  </si>
  <si>
    <t>01.04</t>
  </si>
  <si>
    <t>ACCESORIOS ELECTRICOS/INSTALACION DE LUMINARIAS</t>
  </si>
  <si>
    <t>01.04.01</t>
  </si>
  <si>
    <t xml:space="preserve">    SUMINISTRO E INSTALACION DE PLACA INTERRUPTOR SIMPLE</t>
  </si>
  <si>
    <t>01.04.02</t>
  </si>
  <si>
    <t xml:space="preserve">    SUMINISTRO E INSTALACION DE PLACA INTERRUPTOR DOBLE</t>
  </si>
  <si>
    <t>01.04.03</t>
  </si>
  <si>
    <t xml:space="preserve">    SUMINISTRO E INSTALACION DE PLACA INTERRUPTOR 3 VIAS SIMPLE</t>
  </si>
  <si>
    <t>01.04.04</t>
  </si>
  <si>
    <t xml:space="preserve">    SUMINISTRO E INSTALACION DE PLACA INTERRUPTOR 3 VIAS +INT SIMPLE</t>
  </si>
  <si>
    <t xml:space="preserve">    SUMINISTRO E INSTALACION DE PLACA TOMACORRIENTE</t>
  </si>
  <si>
    <t xml:space="preserve">    SUMINISTRO E INSTALACION DE PLACA TOMACORRIENTE P.A</t>
  </si>
  <si>
    <t xml:space="preserve">    SUMINISTRO E INSTALACION DE PLACA TOMACORRIENTE SCHUCKO</t>
  </si>
  <si>
    <t xml:space="preserve">    SUMINISTRO E INSTALACION DE PLACA PARA CAMPANA (SOLO TAPA CIEGA)</t>
  </si>
  <si>
    <t xml:space="preserve">    SUMINISTRO E INSTALACION DE TIMBRE</t>
  </si>
  <si>
    <t xml:space="preserve">    SUMINISTRO E INSTALACION DE PULSADOR TIMBRE</t>
  </si>
  <si>
    <t xml:space="preserve">    SUMINISTRO E INSTALACION DE PLACA TE</t>
  </si>
  <si>
    <t xml:space="preserve">    SUMINISTRO E INSTALACION DE PLACA TV(TAPA CIEGA)</t>
  </si>
  <si>
    <t xml:space="preserve">    INSTALACION DE LUMINARIAS</t>
  </si>
  <si>
    <t>SISTEMA DE PUESTA A TIERRA</t>
  </si>
  <si>
    <t>01.05.01</t>
  </si>
  <si>
    <t xml:space="preserve">    POZOS A TIERRA-CAJAS EQUIPOTENCIALES</t>
  </si>
  <si>
    <t xml:space="preserve">        POZO DE TIERRA</t>
  </si>
  <si>
    <t xml:space="preserve">        SOLDADURA EXOTERMICA</t>
  </si>
  <si>
    <t xml:space="preserve">        CAJA BORNERA</t>
  </si>
  <si>
    <t xml:space="preserve">        TRAZO Y REPLANTEO PARA IIEE</t>
  </si>
  <si>
    <t xml:space="preserve">        EXCAVACIÓN DE ZANJA</t>
  </si>
  <si>
    <t xml:space="preserve">        RELLENO COMPACTADO CON MATERIAL DE PRESTAMO</t>
  </si>
  <si>
    <t xml:space="preserve">        ACARREO DE DESMONTE A PUNTO DE ACOPIO (D=30m.)</t>
  </si>
  <si>
    <t>01.05.02</t>
  </si>
  <si>
    <t xml:space="preserve">    CONDUCTORES DEL SISTEMA PUESTA A TIERRA</t>
  </si>
  <si>
    <t xml:space="preserve">        CONDUCTOR DESNUDO 70 mm2</t>
  </si>
  <si>
    <t xml:space="preserve">        1x35mm2 LSOH-80</t>
  </si>
  <si>
    <t xml:space="preserve">        1x50mm2 LSOH-80</t>
  </si>
  <si>
    <t xml:space="preserve">        1x70mm2 LSOH-80</t>
  </si>
  <si>
    <t xml:space="preserve">        1x95mm2 LSOH-80</t>
  </si>
  <si>
    <t>01.05.03</t>
  </si>
  <si>
    <t xml:space="preserve">    CANALIZACION DEL SISTEMA PUESTA A TIERRA</t>
  </si>
  <si>
    <t>01.06</t>
  </si>
  <si>
    <t>CONEXIONES Y PRUEBAS ELECTRICAS DE BAJA TENSION</t>
  </si>
  <si>
    <t>01.06.01</t>
  </si>
  <si>
    <t xml:space="preserve">    CONEXION AL BANCO DE MEDIDORES</t>
  </si>
  <si>
    <t>01.06.02</t>
  </si>
  <si>
    <t xml:space="preserve">    PRUEBAS ELECTRICAS DE BAJA TENSION</t>
  </si>
  <si>
    <t>01.07</t>
  </si>
  <si>
    <t>SISTEMA DE CORRIENTES DEBILES</t>
  </si>
  <si>
    <t>01.07.01</t>
  </si>
  <si>
    <t xml:space="preserve">    SALIDAS</t>
  </si>
  <si>
    <t>01.07.01.01</t>
  </si>
  <si>
    <t xml:space="preserve">        SALIDA PARA TELEFONO EXTERNO</t>
  </si>
  <si>
    <t>01.07.01.02</t>
  </si>
  <si>
    <t xml:space="preserve">        SALIDA PARA TV-CABLE</t>
  </si>
  <si>
    <t>01.07.01.03</t>
  </si>
  <si>
    <t xml:space="preserve">        SALIDA PARA INTERCOMUNICADOR</t>
  </si>
  <si>
    <t>01.07.01.04</t>
  </si>
  <si>
    <t xml:space="preserve">        SALIDA PARA CCTV</t>
  </si>
  <si>
    <t>01.07.01.05</t>
  </si>
  <si>
    <t xml:space="preserve">        SALIDA PARA DATA</t>
  </si>
  <si>
    <t>01.07.01.06</t>
  </si>
  <si>
    <t xml:space="preserve">        SALIDA PARA CHAPA ELECTRICA / CACI</t>
  </si>
  <si>
    <t>01.07.01.07</t>
  </si>
  <si>
    <t xml:space="preserve">        SALIDA PARA INTERCOMUNICADOR PORTERO</t>
  </si>
  <si>
    <t xml:space="preserve">        SALIDA PARA DETECTOR DE HUMO</t>
  </si>
  <si>
    <t xml:space="preserve">        SALIDA PARA DETECTOR DE TEMPERATURA</t>
  </si>
  <si>
    <t xml:space="preserve">        SALIDA PARA PULSADOR MANUAL</t>
  </si>
  <si>
    <t xml:space="preserve">        SALIDA PARA LUZ ESTROBOSCOPICA</t>
  </si>
  <si>
    <t xml:space="preserve">        SALIDA PARA SIRENA</t>
  </si>
  <si>
    <t xml:space="preserve">        SALIDA PARA MODULO MONITOREO</t>
  </si>
  <si>
    <t>01.07.02</t>
  </si>
  <si>
    <t xml:space="preserve">    CAJAS METALICAS</t>
  </si>
  <si>
    <t>01.07.02.02</t>
  </si>
  <si>
    <t>01.07.02.03</t>
  </si>
  <si>
    <t>01.07.02.04</t>
  </si>
  <si>
    <t xml:space="preserve">        CAJA DE PASE 200X200X100mm</t>
  </si>
  <si>
    <t xml:space="preserve">        CAJA DE PASE 300X300X100mm</t>
  </si>
  <si>
    <t xml:space="preserve">        CAJA DE PASE 650X350X150mm</t>
  </si>
  <si>
    <t>01.07.03</t>
  </si>
  <si>
    <t xml:space="preserve">    CANALIZACION</t>
  </si>
  <si>
    <t xml:space="preserve">        TUBERIA PVC-SAP ELECTRICA DE 20 mm</t>
  </si>
  <si>
    <t xml:space="preserve">        TUBERIA ELECTRICA Ø80mm EMT</t>
  </si>
  <si>
    <t xml:space="preserve">        TUBERIA ELECTRICA Ø25mm EMT</t>
  </si>
  <si>
    <t>SISTEMA DE AGUA FRÍA</t>
  </si>
  <si>
    <t xml:space="preserve">    SALIDAS DE AGUA FRIA (EN POLIPROPILENO)</t>
  </si>
  <si>
    <t xml:space="preserve">        SALIDA AGUA FRIA PPR 20mm (Ø1/2")</t>
  </si>
  <si>
    <t xml:space="preserve">        SALIDA AGUA FRIA PPR 25mm(3/4")</t>
  </si>
  <si>
    <t xml:space="preserve">        SALIDA AGUA FRIA PPR 32mm(1")</t>
  </si>
  <si>
    <t xml:space="preserve">        SALIDA AGUA FRIA PPR 40mm(1.1/4")</t>
  </si>
  <si>
    <t xml:space="preserve">    REDES DE DISTRIBUCION DE AGUA (EN POLIPROPILENO)</t>
  </si>
  <si>
    <t xml:space="preserve">        TUBERIA PPR PN-10 EMPOTRADA DE 1/2"</t>
  </si>
  <si>
    <t xml:space="preserve">        TUBERIA PPR PN-10 EMPOTRADA DE 3/4"</t>
  </si>
  <si>
    <t xml:space="preserve">        TUBERIA PPR PN-10 EMPOTRADA DE 1"</t>
  </si>
  <si>
    <t xml:space="preserve">        TUBERIA PPR PN-10 EMPOTRADA DE 1.1/4"</t>
  </si>
  <si>
    <t xml:space="preserve">        TUBERIA PPR PN-10 EMPOTRADA DE 1.1/2"</t>
  </si>
  <si>
    <t xml:space="preserve">        TUBERIA PPR PN-10 EMPOTRADA DE 3"</t>
  </si>
  <si>
    <t xml:space="preserve">        TUBERIA PPR PN-10 COLGADA DE 1/2"</t>
  </si>
  <si>
    <t>01.01.02.08</t>
  </si>
  <si>
    <t xml:space="preserve">        TUBERIA PPR PN-10 COLGADA DE 3/4"</t>
  </si>
  <si>
    <t>01.01.02.09</t>
  </si>
  <si>
    <t xml:space="preserve">        TUBERIA PPR PN-10 COLGADA DE 1"</t>
  </si>
  <si>
    <t>01.01.02.10</t>
  </si>
  <si>
    <t xml:space="preserve">        TUBERIA PPR PN-10 COLGADA DE 1.1/4"</t>
  </si>
  <si>
    <t>01.01.02.11</t>
  </si>
  <si>
    <t xml:space="preserve">        TUBERIA PPR PN-10 COLGADA DE 1.1/2"</t>
  </si>
  <si>
    <t>01.01.02.12</t>
  </si>
  <si>
    <t xml:space="preserve">        TUBERIA PPR PN-10 COLGADA DE 2"</t>
  </si>
  <si>
    <t>01.01.02.13</t>
  </si>
  <si>
    <t xml:space="preserve">        TUBERIA PPR PN-10 COLGADA DE 2.1/2"</t>
  </si>
  <si>
    <t>01.01.02.14</t>
  </si>
  <si>
    <t xml:space="preserve">        TUBERIA PPR PN-10 COLGADA DE 3"</t>
  </si>
  <si>
    <t>01.01.02.15</t>
  </si>
  <si>
    <t xml:space="preserve">        TUBERIA PPR PN-10 COLGADA DE 4"</t>
  </si>
  <si>
    <t xml:space="preserve">    MONTANTE DE AGUA FRIA (EN POLIPROPILENO)</t>
  </si>
  <si>
    <t xml:space="preserve">        TUBERIA PPR PN-10 ADOSADA DE 3/4"</t>
  </si>
  <si>
    <t xml:space="preserve">        TUBERIA PPR PN-10 ADOSADA DE 1"</t>
  </si>
  <si>
    <t xml:space="preserve">        TUBERIA PPR PN-10 ADOSADA DE 1.1/4"</t>
  </si>
  <si>
    <t xml:space="preserve">        TUBERIA PPR PN-10 ADOSADA DE 2"</t>
  </si>
  <si>
    <t>01.01.03.05</t>
  </si>
  <si>
    <t xml:space="preserve">        TUBERIA PPR PN-10 ADOSADA DE 2.1/2"</t>
  </si>
  <si>
    <t>01.01.03.06</t>
  </si>
  <si>
    <t xml:space="preserve">        TUBERIA PPR PN-10 ADOSADA DE 3"</t>
  </si>
  <si>
    <t>01.01.03.07</t>
  </si>
  <si>
    <t xml:space="preserve">        TUBERIA PPR PN-10 ADOSADA DE 4"</t>
  </si>
  <si>
    <t>01.01.04</t>
  </si>
  <si>
    <t xml:space="preserve">    LLAVES Y VALVULAS - RED DE DESTRIBUCION (SIST. POLIPROPILENO)</t>
  </si>
  <si>
    <t>01.01.04.01</t>
  </si>
  <si>
    <t xml:space="preserve">        LLAVE DE PASO SIST. POLIPROPILENO 20mm (1/2")</t>
  </si>
  <si>
    <t>01.01.04.02</t>
  </si>
  <si>
    <t xml:space="preserve">        LLAVE DE PASO SIST. POLIPROPILENO 25mm (3/4")</t>
  </si>
  <si>
    <t>01.01.04.03</t>
  </si>
  <si>
    <t xml:space="preserve">        LLAVE DE PASO SIST. POLIPROPILENO 32mm (1")</t>
  </si>
  <si>
    <t>01.01.04.04</t>
  </si>
  <si>
    <t xml:space="preserve">        LLAVE DE PASO SIST. POLIPROPILENO 40mm (1.1/4")</t>
  </si>
  <si>
    <t>01.01.04.05</t>
  </si>
  <si>
    <t xml:space="preserve">        LLAVE DE PASO SIST. POLIPROPILENO (2")</t>
  </si>
  <si>
    <t>01.01.05</t>
  </si>
  <si>
    <t xml:space="preserve">    PRUEBAS HIDRAULICAS</t>
  </si>
  <si>
    <t>01.01.05.01</t>
  </si>
  <si>
    <t xml:space="preserve">        PRUEBA HIDRAULICA PARA AGUA FRIA</t>
  </si>
  <si>
    <t>01.01.05.02</t>
  </si>
  <si>
    <t xml:space="preserve">        LIMPIEZA Y DESINFECCION DE TUBERIAS  AGUA FRIA</t>
  </si>
  <si>
    <t>01.01.05.03</t>
  </si>
  <si>
    <t xml:space="preserve">        LIMPIEZA Y DESINFECCION DE CISTERNAS</t>
  </si>
  <si>
    <t>01.01.06</t>
  </si>
  <si>
    <t xml:space="preserve">    VARIOS</t>
  </si>
  <si>
    <t>01.01.06.01</t>
  </si>
  <si>
    <t xml:space="preserve">        MEDIDOR DE AGUA DE 3/4" (INC. BATERIA)</t>
  </si>
  <si>
    <t>01.01.06.02</t>
  </si>
  <si>
    <t xml:space="preserve">        MEDIDOR DE AGUA DE 1.1/2" (INC. BATERIA)</t>
  </si>
  <si>
    <t>01.01.06.03</t>
  </si>
  <si>
    <t xml:space="preserve">        MEDIDOR DE AGUA DE 2" (INC. BATERIA)</t>
  </si>
  <si>
    <t>01.01.06.04</t>
  </si>
  <si>
    <t xml:space="preserve">        ESTACIONES REDUCTORAS DE PRESION  4"</t>
  </si>
  <si>
    <t xml:space="preserve">        ESTACIONES REDUCTORAS DE PRESION  3/4"</t>
  </si>
  <si>
    <t>01.01.06.05</t>
  </si>
  <si>
    <t xml:space="preserve">        GRIFO DE RIEGO Ø1/2"</t>
  </si>
  <si>
    <t>01.01.07</t>
  </si>
  <si>
    <t xml:space="preserve">    CUARTO DE BOMBAS</t>
  </si>
  <si>
    <t>01.01.07.01</t>
  </si>
  <si>
    <t xml:space="preserve">        BRIDA ROMPEAGUA 3"</t>
  </si>
  <si>
    <t>01.01.07.02</t>
  </si>
  <si>
    <t xml:space="preserve">        BRIDA ROMPEAGUA 4"</t>
  </si>
  <si>
    <t>01.01.07.03</t>
  </si>
  <si>
    <t xml:space="preserve">        BRIDA ROMPEAGUA 6"</t>
  </si>
  <si>
    <t>01.01.07.04</t>
  </si>
  <si>
    <t xml:space="preserve">        BRIDA ROMPEAGUA 8"</t>
  </si>
  <si>
    <t>01.01.07.05</t>
  </si>
  <si>
    <t xml:space="preserve">        VALVULA FLOTADORA DE 1.1/2"</t>
  </si>
  <si>
    <t>01.01.07.06</t>
  </si>
  <si>
    <t xml:space="preserve">        VALVULA COMPUERTADE 1.1/2"</t>
  </si>
  <si>
    <t>SISTEMA DE AGUA CALIENTE</t>
  </si>
  <si>
    <t xml:space="preserve">    SALIDAS DE AGUA CALIENTE (EN POLIPROPILENO)</t>
  </si>
  <si>
    <t xml:space="preserve">        SALIDA AGUA CALIENTE PPR 20mm (Ø1/2")</t>
  </si>
  <si>
    <t xml:space="preserve">        SALIDA AGUA CALIENTE PPR 25mm (Ø3/4")</t>
  </si>
  <si>
    <t xml:space="preserve">    REDES DE DISTRIBUCION DE AGUA CALIENTE (EN POLIPROPILENO)</t>
  </si>
  <si>
    <t xml:space="preserve">        TUBERIA PPR PN-16 EMPOTRADA DE 1/2"</t>
  </si>
  <si>
    <t xml:space="preserve">        TUBERIA PPR PN-16 EMPOTRADA DE 3/4"</t>
  </si>
  <si>
    <t xml:space="preserve">        PRUEBA HIDRAULICA PARA AGUA CALIENTE Y DESINFECCION</t>
  </si>
  <si>
    <t>SISTEMA DE DESAGUE</t>
  </si>
  <si>
    <t>01.03.01</t>
  </si>
  <si>
    <t xml:space="preserve">    SALIDAS DE DRENAJE, DESAGUE Y VENTILACION</t>
  </si>
  <si>
    <t>01.03.01.01</t>
  </si>
  <si>
    <t xml:space="preserve">        SALIDA DESAGUE DE PVC SAP 2"</t>
  </si>
  <si>
    <t>01.03.01.02</t>
  </si>
  <si>
    <t xml:space="preserve">        SALIDA DESAGUE DE PVC SAP 2" (SUMIDEROS Y REGISTROS)</t>
  </si>
  <si>
    <t>01.03.01.03</t>
  </si>
  <si>
    <t xml:space="preserve">        SALIDA DESAGUE DE PVC SAP 2" (LAVANDERÍA)</t>
  </si>
  <si>
    <t>01.03.01.04</t>
  </si>
  <si>
    <t xml:space="preserve">        SALIDA DESAGUE DE PVC SAP 3" (SUMIDEROS Y REGISTROS)</t>
  </si>
  <si>
    <t>01.03.01.05</t>
  </si>
  <si>
    <t xml:space="preserve">        SALIDA DESAGUE DE PVC SAP 4"</t>
  </si>
  <si>
    <t>01.03.01.06</t>
  </si>
  <si>
    <t xml:space="preserve">        SALIDA DESAGUE DE PVC SAP 4" (SUMIDEROS Y REGISTROS)</t>
  </si>
  <si>
    <t>01.03.01.07</t>
  </si>
  <si>
    <t xml:space="preserve">        SALIDA DESAGUE DE PVC SAP 6" (SUMIDEROS Y REGISTROS)</t>
  </si>
  <si>
    <t>01.03.01.08</t>
  </si>
  <si>
    <t xml:space="preserve">        SALIDA VENTILACION DE PVC SAP 2"</t>
  </si>
  <si>
    <t xml:space="preserve">    REDES DE DESAGUE Y DRENAJE</t>
  </si>
  <si>
    <t>01.03.02.01</t>
  </si>
  <si>
    <t xml:space="preserve">        TUBERIA PVC SAP EMPOTRADA DE 2"</t>
  </si>
  <si>
    <t>01.03.02.02</t>
  </si>
  <si>
    <t xml:space="preserve">        TUBERIA PVC SAP EMPOTRADA DE 3"</t>
  </si>
  <si>
    <t>01.03.02.03</t>
  </si>
  <si>
    <t xml:space="preserve">        TUBERIA PVC SAP EMPOTRADA DE 4"</t>
  </si>
  <si>
    <t>01.03.02.04</t>
  </si>
  <si>
    <t xml:space="preserve">        TUBERIA VENTILACION PVC SAL EMPOTRADA DE 2"</t>
  </si>
  <si>
    <t>01.03.02.05</t>
  </si>
  <si>
    <t xml:space="preserve">        TUBERIA VENTILACION PVC SAL EMPOTRADA DE 3"</t>
  </si>
  <si>
    <t>01.03.02.06</t>
  </si>
  <si>
    <t xml:space="preserve">        TUBERIA VENTILACION PVC SAL EMPOTRADA DE 4"</t>
  </si>
  <si>
    <t xml:space="preserve">    REDES ENTERRADAS</t>
  </si>
  <si>
    <t>01.03.03.01</t>
  </si>
  <si>
    <t xml:space="preserve">        TUBERIA PVC SAP DE 2"</t>
  </si>
  <si>
    <t>01.03.03.02</t>
  </si>
  <si>
    <t xml:space="preserve">        TUBERIA PVC SAP DE 3"</t>
  </si>
  <si>
    <t>01.03.03.03</t>
  </si>
  <si>
    <t xml:space="preserve">        TUBERIA PVC SAP DE 4"</t>
  </si>
  <si>
    <t>01.03.03.04</t>
  </si>
  <si>
    <t xml:space="preserve">        TUBERIA PVC SAP DE 6"</t>
  </si>
  <si>
    <t>01.03.03.05</t>
  </si>
  <si>
    <t xml:space="preserve">        TRAZO Y REPLANTEO PARA IISS</t>
  </si>
  <si>
    <t>01.03.03.06</t>
  </si>
  <si>
    <t xml:space="preserve">        EXCAVACIÓN DE ZANJA  -COLOCACIÓN DE TUBERÍA</t>
  </si>
  <si>
    <t>01.03.03.07</t>
  </si>
  <si>
    <t xml:space="preserve">        CAMA DE ARENA</t>
  </si>
  <si>
    <t>01.03.03.08</t>
  </si>
  <si>
    <t xml:space="preserve">        RELLENO COMPACTADO CON MATERIAL PROPIO</t>
  </si>
  <si>
    <t>01.03.03.09</t>
  </si>
  <si>
    <t xml:space="preserve">    REDES COLGADAS (INC. ACCESORIOS)</t>
  </si>
  <si>
    <t>01.03.04.01</t>
  </si>
  <si>
    <t xml:space="preserve">        TUBERIA PVC SAP COLGADA DE 2"</t>
  </si>
  <si>
    <t>01.03.04.02</t>
  </si>
  <si>
    <t xml:space="preserve">        TUBERIA PVC SAP COLGADA DE 3"</t>
  </si>
  <si>
    <t>01.03.04.03</t>
  </si>
  <si>
    <t xml:space="preserve">        TUBERIA PVC SAP COLGADA DE 4"</t>
  </si>
  <si>
    <t>01.03.04.04</t>
  </si>
  <si>
    <t xml:space="preserve">        TUBERIA PVC SAP COLGADA DE 6"</t>
  </si>
  <si>
    <t>01.03.04.05</t>
  </si>
  <si>
    <t xml:space="preserve">        TUBERIA PVC SAP COLGADA DE 8"</t>
  </si>
  <si>
    <t>01.03.04.06</t>
  </si>
  <si>
    <t>01.03.04.07</t>
  </si>
  <si>
    <t xml:space="preserve">        REGISTRO COLGADO TIPO DADO, Ø2"</t>
  </si>
  <si>
    <t>01.03.04.08</t>
  </si>
  <si>
    <t xml:space="preserve">        REGISTRO COLGADO TIPO DADO, Ø3"</t>
  </si>
  <si>
    <t>01.03.04.09</t>
  </si>
  <si>
    <t xml:space="preserve">        REGISTRO COLGADO TIPO DADO, Ø4"</t>
  </si>
  <si>
    <t>01.03.04.10</t>
  </si>
  <si>
    <t xml:space="preserve">        REGISTRO COLGADO TIPO DADO, Ø6"</t>
  </si>
  <si>
    <t>01.03.04.11</t>
  </si>
  <si>
    <t xml:space="preserve">        REGISTRO COLGADO TIPO DADO, Ø8"</t>
  </si>
  <si>
    <t>01.03.04.12</t>
  </si>
  <si>
    <t xml:space="preserve">        PASES EN VIGA DE 3"</t>
  </si>
  <si>
    <t>01.03.04.13</t>
  </si>
  <si>
    <t xml:space="preserve">        PASES EN VIGA DE 4"</t>
  </si>
  <si>
    <t xml:space="preserve">    MONTANTES DE DESAGUE Y VENTILACION</t>
  </si>
  <si>
    <t>01.03.05.01</t>
  </si>
  <si>
    <t xml:space="preserve">        MONTANTE DE VENTILACION PVC, Ø2"</t>
  </si>
  <si>
    <t>01.03.05.02</t>
  </si>
  <si>
    <t xml:space="preserve">        MONTANTE DE VENTILACION PVC, Ø3"</t>
  </si>
  <si>
    <t>01.03.05.03</t>
  </si>
  <si>
    <t xml:space="preserve">        MONTANTE DE VENTILACION PVC, Ø4"</t>
  </si>
  <si>
    <t>01.03.05.04</t>
  </si>
  <si>
    <t xml:space="preserve">        MONTANTE DE DESAGUE PVC, Ø2"</t>
  </si>
  <si>
    <t>01.03.05.05</t>
  </si>
  <si>
    <t xml:space="preserve">        MONTANTE DE DESAGUE PVC, Ø3"</t>
  </si>
  <si>
    <t>01.03.05.06</t>
  </si>
  <si>
    <t xml:space="preserve">        MONTANTE DE DESAGUE PVC, Ø4"</t>
  </si>
  <si>
    <t>01.03.05.07</t>
  </si>
  <si>
    <t xml:space="preserve">        MONTANTE DE DESAGUE PVC, Ø6"</t>
  </si>
  <si>
    <t>01.03.05.08</t>
  </si>
  <si>
    <t xml:space="preserve">        SOMBRERO DE VENTILACION 2"</t>
  </si>
  <si>
    <t>01.03.05.09</t>
  </si>
  <si>
    <t xml:space="preserve">        SOMBRERO DE VENTILACION 3"</t>
  </si>
  <si>
    <t>01.03.05.10</t>
  </si>
  <si>
    <t xml:space="preserve">        SOMBRERO DE VENTILACION 4"</t>
  </si>
  <si>
    <t xml:space="preserve">    SUMIDEROS Y REGISTROS</t>
  </si>
  <si>
    <t>01.03.06.01</t>
  </si>
  <si>
    <t xml:space="preserve">        REGISTRO ROSCADO DE BRONCE, Ø2"</t>
  </si>
  <si>
    <t>01.03.06.02</t>
  </si>
  <si>
    <t xml:space="preserve">        REGISTRO ROSCADO DE BRONCE, Ø3"</t>
  </si>
  <si>
    <t>01.03.06.03</t>
  </si>
  <si>
    <t xml:space="preserve">        REGISTRO ROSCADO DE BRONCE, Ø4"</t>
  </si>
  <si>
    <t>01.03.06.04</t>
  </si>
  <si>
    <t xml:space="preserve">        REGISTRO ROSCADO DE BRONCE, Ø6"</t>
  </si>
  <si>
    <t>01.03.06.05</t>
  </si>
  <si>
    <t xml:space="preserve">        SUMIDERO DE BRONCE, Ø2"</t>
  </si>
  <si>
    <t>01.03.06.06</t>
  </si>
  <si>
    <t xml:space="preserve">        SUMIDERO DE BRONCE, Ø3"</t>
  </si>
  <si>
    <t>01.03.06.07</t>
  </si>
  <si>
    <t xml:space="preserve">        SUMIDERO DE BRONCE, Ø4"</t>
  </si>
  <si>
    <t>01.03.06.08</t>
  </si>
  <si>
    <t xml:space="preserve">        SUMIDERO DE BRONCE, Ø6"</t>
  </si>
  <si>
    <t>01.03.07.01</t>
  </si>
  <si>
    <t xml:space="preserve">        PINTURA EN TUBERIAS DE INSTALACIONES</t>
  </si>
  <si>
    <t>01.03.07.02</t>
  </si>
  <si>
    <t xml:space="preserve">        PRUEBA HIDRAULICA PARA TUBERIAS DESAGUE</t>
  </si>
  <si>
    <t>01.03.07.03</t>
  </si>
  <si>
    <t xml:space="preserve">        EMPALME A RED PUBLICA DE AGUA Y DESAGUE</t>
  </si>
  <si>
    <t>01.03.07.04</t>
  </si>
  <si>
    <t xml:space="preserve">        CAJAS DE REGISTRO DE DESAGUE 24" x 24"</t>
  </si>
  <si>
    <t>01.03.07.05</t>
  </si>
  <si>
    <t xml:space="preserve">        CAJAS DE REGISTRO DE DESAGUE 12" x 24" - RØ6</t>
  </si>
  <si>
    <t>01.03.07.06</t>
  </si>
  <si>
    <t xml:space="preserve">        VALVULA ANTIRRETORNO</t>
  </si>
  <si>
    <t>01.03.07.07</t>
  </si>
  <si>
    <t xml:space="preserve">        VALVULA DE ADMISION DE AIRE Ø2"</t>
  </si>
  <si>
    <t xml:space="preserve">    INSTALACION DE APARATOS SANITARIOS</t>
  </si>
  <si>
    <t>01.03.08.01</t>
  </si>
  <si>
    <t xml:space="preserve">        INSTALACION DE INODORO</t>
  </si>
  <si>
    <t>01.03.08.02</t>
  </si>
  <si>
    <t xml:space="preserve">        INSTALACION DE URINARIO</t>
  </si>
  <si>
    <t>01.03.08.03</t>
  </si>
  <si>
    <t xml:space="preserve">        INSTALACION DE DUCHAS (MEZCLADORA)</t>
  </si>
  <si>
    <t>01.03.08.04</t>
  </si>
  <si>
    <t xml:space="preserve">        INSTALACION DE LAVADEROS Y OVALINES (INC. GRIFERIA)</t>
  </si>
  <si>
    <t>OBRAS CIVILES</t>
  </si>
  <si>
    <t>OBRAS CIVILES PARA LA COLOCACIÓN DE ASCENSOR</t>
  </si>
  <si>
    <t>IMPERMEABILIZACIÓN ASCENSOR COMERCIAL</t>
  </si>
  <si>
    <t>ESTRUCTURAS (DINTELES METÁLICOS/COLUMNAS METÁLICAS)</t>
  </si>
  <si>
    <t>PAISAJISMO</t>
  </si>
  <si>
    <t>Aglonema</t>
  </si>
  <si>
    <t>Aptenia variegada</t>
  </si>
  <si>
    <t>Aptenia verde</t>
  </si>
  <si>
    <t>Ave del paraíso</t>
  </si>
  <si>
    <t>Carissa</t>
  </si>
  <si>
    <t>Coprosma</t>
  </si>
  <si>
    <t>Cordelyne rojo</t>
  </si>
  <si>
    <t>Croton enano</t>
  </si>
  <si>
    <t>Dianela</t>
  </si>
  <si>
    <t>Dietes</t>
  </si>
  <si>
    <t>Dracaena tricolor</t>
  </si>
  <si>
    <t>Duranta</t>
  </si>
  <si>
    <t>Espárrago vela</t>
  </si>
  <si>
    <t>Heliconia</t>
  </si>
  <si>
    <t>Imperata</t>
  </si>
  <si>
    <t>Liriope variegada</t>
  </si>
  <si>
    <t>Liriope verde</t>
  </si>
  <si>
    <t>Palmera hawaiana</t>
  </si>
  <si>
    <t>Palmera robeline</t>
  </si>
  <si>
    <t>Pennisetum rojo</t>
  </si>
  <si>
    <t>Pennisetum verde</t>
  </si>
  <si>
    <t>Peperomia</t>
  </si>
  <si>
    <t>Phormium bronce</t>
  </si>
  <si>
    <t>Sanserviera</t>
  </si>
  <si>
    <t>Wedelia</t>
  </si>
  <si>
    <t>Westringia</t>
  </si>
  <si>
    <t>Grass americano</t>
  </si>
  <si>
    <t>SUSTRATOS</t>
  </si>
  <si>
    <t>Tierra preparada (Tierra de chacra 40%, Aserrín 30%, Arena de río 20%, Compost 10%)</t>
  </si>
  <si>
    <t>Mulch marrón</t>
  </si>
  <si>
    <t>saco</t>
  </si>
  <si>
    <t>SERVICIOS PROFESIONALES E INSTALACIÓN</t>
  </si>
  <si>
    <t>Instalación</t>
  </si>
  <si>
    <t>FLETES Y TRANSPORTES</t>
  </si>
  <si>
    <t>Fletes y Transportes</t>
  </si>
  <si>
    <t>SISTEMA DE RIEGO AUTOMATICO</t>
  </si>
  <si>
    <t>DISTRIBUCIÓN DE RIEGO</t>
  </si>
  <si>
    <t>Tubo pesado de PVC 1" C - 10 Pavco</t>
  </si>
  <si>
    <t>Tubo pesado de PVC 1/2" C - 10 Pavco</t>
  </si>
  <si>
    <t>Cemento para PVC Oatey 1/4 Galón Oatey</t>
  </si>
  <si>
    <t>Unión universal 1" Sanking</t>
  </si>
  <si>
    <t>Accesorios de PVC (Varios)</t>
  </si>
  <si>
    <t>Accesorios de Polietileno (Varios)</t>
  </si>
  <si>
    <t>EMISORES DE RIEGO</t>
  </si>
  <si>
    <t>Manguera ciega PE 16mm - Azud - España</t>
  </si>
  <si>
    <t>mts</t>
  </si>
  <si>
    <t>Manguera PE 16mm; 2.3 LPH; enterrable; AZUD-ESPAÑA</t>
  </si>
  <si>
    <t>AUTOMATIZACION DEL SISTEMA</t>
  </si>
  <si>
    <t>Programador de riego 4 estaciones Rainbird - USA</t>
  </si>
  <si>
    <t>Electroválvula de 1" Rainbird - US</t>
  </si>
  <si>
    <t>Válvula esférica 1" CIM-VAL - Italia</t>
  </si>
  <si>
    <t>Caja porta llave Rainbird - USA</t>
  </si>
  <si>
    <t>Caja porta válvulas (1V) Rainbird - USA</t>
  </si>
  <si>
    <t>Fletes y transportes</t>
  </si>
  <si>
    <t>T2.13.01.09 - VV.08 - (2.92X1.00)</t>
  </si>
  <si>
    <t>T2.13.01.14 - VV.14- (2.7X2.10)</t>
  </si>
  <si>
    <t>T2.13.01.14 - VV.13 - (1.50X2.10)</t>
  </si>
  <si>
    <t>T2.13.01.04 - VV.04A - (1.50X1.50)</t>
  </si>
  <si>
    <t>T2.13.01.07 - VV.06b - (1.50X1.00)</t>
  </si>
  <si>
    <t>VZ.01 (0.6x0.45)VENT. DE VIDRIO TEMPL. 8MM C/ CARP. MET.</t>
  </si>
  <si>
    <t>VZ.02 (0.6x0.5)VENT. DE VIDRIO TEMPL. 8MM C/ CARP. MET.</t>
  </si>
  <si>
    <t xml:space="preserve">VZ03(0.8x0.5) </t>
  </si>
  <si>
    <t>MV.01 (2.8x2.1)</t>
  </si>
  <si>
    <t>MV.02 (1.5x2.1)</t>
  </si>
  <si>
    <t>MV.03 (2.7x2.1)</t>
  </si>
  <si>
    <t>MV.04 (2.08x2.1)</t>
  </si>
  <si>
    <t>MV.05 (2.05x2.1)</t>
  </si>
  <si>
    <t>MV.06 (2.38x2.1)</t>
  </si>
  <si>
    <t>MV.07 (1.5x2.1)</t>
  </si>
  <si>
    <t>MV.08 (2.32x2.1)</t>
  </si>
  <si>
    <t>MV.09 (2.92x2.1)</t>
  </si>
  <si>
    <t>MV.11 (1.8x2.1)</t>
  </si>
  <si>
    <t>MV.12 (2.3x2.1)</t>
  </si>
  <si>
    <t>MV.13 (1.6x2.1)</t>
  </si>
  <si>
    <t>MV.14 (2.6x2.1)</t>
  </si>
  <si>
    <t>MV.15 (2.49x2.1)</t>
  </si>
  <si>
    <t>MC.01 (4.08x3.3)MAMP DE VIDRIO , MARCO ALUMN</t>
  </si>
  <si>
    <t>MC.02 (3.47x3.3)MAMP DE VIDRIO , MARCO ALUMN</t>
  </si>
  <si>
    <t>MC.03 (4.36x3.3)MAMP DE VIDRIO , MARCO ALUMN</t>
  </si>
  <si>
    <t>MC.04 (5.48x3.3)MAMP DE VIDRIO , MARCO ALUMN</t>
  </si>
  <si>
    <t>MC.05 (4.78x3.3)MAMP DE VIDRIO , MARCO ALUMN</t>
  </si>
  <si>
    <t>MZ.01 (5.52x3.3)MAMP DE VIDRIO , MARCO ALUMN</t>
  </si>
  <si>
    <t>MZ.02 (5.6x2.15)MAMP DE VIDRIO</t>
  </si>
  <si>
    <t>MZ.03 (1.5x2.15)MAMP DE VIDRIO</t>
  </si>
  <si>
    <t>MZ.04 (5.28x2.15)MAMP DE VIDRIO</t>
  </si>
  <si>
    <t>MZ.05 (7.37x2.15)MAMP DE VIDRIO</t>
  </si>
  <si>
    <t>MZ.06 (1.67x2.15)MAMP DE VIDRIO</t>
  </si>
  <si>
    <t>MZ.07 (1.62x2.15)MAMP DE VIDRIO</t>
  </si>
  <si>
    <t>MZ.08 (2.29x2.15)MAMP DE VIDRIO</t>
  </si>
  <si>
    <t>MZ.09 (2.52x2.15)MAMP DE VIDRIO</t>
  </si>
  <si>
    <t>MZ.10 (0.79x2.1)MAMP DE VIDRIO , MARCO ALUMN</t>
  </si>
  <si>
    <t>MZ.11 (3.9x3.7)MAMP DE VIDRIO , MARCO ALUMN</t>
  </si>
  <si>
    <t>MZ.12 (4.26x3.7)MAMP DE VIDRIO , MARCO ALUMN</t>
  </si>
  <si>
    <t>MZ.13 (4.36x3.7)MAMP DE VIDRIO , MARCO ALUMN</t>
  </si>
  <si>
    <t>MZ.14 (5.46x3.7)MAMP DE VIDRIO , MARCO ALUMN</t>
  </si>
  <si>
    <t>MZ.15 (3.6x3.7)MAMP DE VIDRIO , MARCO ALUMN</t>
  </si>
  <si>
    <t>MZ.16 (4.78x3.7)MAMP DE VIDRIO , MARCO ALUMN</t>
  </si>
  <si>
    <t>MZ.17 (4.42x3.41)MAMP DE VIDRIO , MARCO ALUMN</t>
  </si>
  <si>
    <t>MZ.18' (2.78x3.41)MAMP DE VIDRIO , MARCO ALUMN</t>
  </si>
  <si>
    <t>MZ.18 (2.59x3.41)MAMP DE VIDRIO , MARCO ALUMN</t>
  </si>
  <si>
    <t>MZ.19 (1.53x3.41)MAMP DE VIDRIO , MARCO ALUMN</t>
  </si>
  <si>
    <t>MZ.20 (4.94x3.7)MAMP DE VIDRIO , MARCO ALUMN</t>
  </si>
  <si>
    <t>MZ.21 (1.82x3.7)MAMP DE VIDRIO , MARCO ALUMN</t>
  </si>
  <si>
    <t>MZ.22 (3.33x3.7)MAMP DE VIDRIO , MARCO ALUMN</t>
  </si>
  <si>
    <t>MZ.23 (2.69x3.7)MAMP DE VIDRIO , MARCO ALUMN</t>
  </si>
  <si>
    <t>MZ.24 (2.32x3.52)MAMP DE VIDRIO , MARCO ALUMN</t>
  </si>
  <si>
    <t>MZ.25 (3.82x3.52)MAMP DE VIDRIO , MARCO ALUMN</t>
  </si>
  <si>
    <t>MZ.26 (3.25x3.52)MAMP DE VIDRIO , MARCO ALUMN</t>
  </si>
  <si>
    <t>MZ.27 (2.52x2.15)MAMP DE VIDRIO</t>
  </si>
  <si>
    <t>MZ.28 (2.37x2.15)MAMP DE VIDRIO</t>
  </si>
  <si>
    <t>MZ.29 (2.1x2.15)MAMP DE VIDRIO</t>
  </si>
  <si>
    <t>PVV.01 (0.9x2.2) VIDRIO TEMPL. 10MM C/ CARP. MET.</t>
  </si>
  <si>
    <t>PZ.01 (1.05x2.1)P. CONTRAPL. BATIENTE</t>
  </si>
  <si>
    <t>PZ.02 (1.5x2.1)P. CONTRAPL. BATIENTE</t>
  </si>
  <si>
    <t>PZ.03 (2.66x2.1)P. CONTRAPL. BATIENTE</t>
  </si>
  <si>
    <t>PZ.04 (0.8x2.1)P. CONTRAPL. BATIENTE</t>
  </si>
  <si>
    <t>PZ.05 (1x2.1)P. CONTRAPL. BATIENTE</t>
  </si>
  <si>
    <t>PZ.06 (1.06x2.1)P. CONTRAPL. BATIENTE</t>
  </si>
  <si>
    <t>PZ.07 (1.1x2.1)P. CONTRAPL. BATIENTE</t>
  </si>
  <si>
    <t>PZ.08 (5.52x2.1)P. CONTRAPL. BATIENTE</t>
  </si>
  <si>
    <t>PZ.09 (4.44x2.1)P. CONTRAPL. BATIENTE</t>
  </si>
  <si>
    <t>PZ.10 (2.63x2.1)P. CONTRAPL. BATIENTE</t>
  </si>
  <si>
    <t>PZ.11 (2.63x2.1)P. CONTRAPL. BATIENTE</t>
  </si>
  <si>
    <t>PZ.12 (6.98x2.1)P. CONTRAPL. BATIENTE</t>
  </si>
  <si>
    <t>PZ.13 (1.52x2.2)P. CONTRAPL. BATIENTE</t>
  </si>
  <si>
    <t>PZ.14 (1.73x2.2)P. CONTRAPL. BATIENTE</t>
  </si>
  <si>
    <t>PZ.15 (6.69x2.2)P. CONTRAPL. BATIENTE</t>
  </si>
  <si>
    <t>PZ.16 (4.61x2.2)P. CONTRAPL. BATIENTE</t>
  </si>
  <si>
    <t>B-02 (2.30 x 1.25m)</t>
  </si>
  <si>
    <t>B-03 (31.26 x 1.25m)</t>
  </si>
  <si>
    <t>B-04 (15.02 x 1.25m)</t>
  </si>
  <si>
    <t>B-05 (37.09 x 1.25m)</t>
  </si>
  <si>
    <t>B-06 (24.28x 1.25m)</t>
  </si>
  <si>
    <t>REJILLAS MET P/ DESMONTABLE INGR DE EQUIPOS (0.83x0.74M)</t>
  </si>
  <si>
    <t>REJILLAS MET P/ DESMONTABLE INGR DE EQUIPOS (0.83x1.13M)</t>
  </si>
  <si>
    <t>REJILLAS MET P/ DESMONTABLE INGR DE EQUIPOS (1.00x1.01M)</t>
  </si>
  <si>
    <t>TAPA DE CONCRETO DESMONTABLE P/ INGR DE EQUIPOS (L=2.62 , A=0.33M)</t>
  </si>
  <si>
    <t>REJILLAS MET 1 P/ DESMONTABLE INGR SUBEST  (L=2.62 , A=0.33M)</t>
  </si>
  <si>
    <t>PINTURA COLOR AP119-4 BLUE RIDGE. PANTONERA COLOR CENTRO - GIMN. AZOT.</t>
  </si>
  <si>
    <t>PINTURA POR DEFINIR COWORKING</t>
  </si>
  <si>
    <t>PINTURA POR DEFINIR</t>
  </si>
  <si>
    <t>LOBBY DE VIVIENDAS</t>
  </si>
  <si>
    <t>LOBBY DE OFICINAS</t>
  </si>
  <si>
    <t>SH DISC (HOMBRES) PARA PÚBLICO</t>
  </si>
  <si>
    <t>SH MIXTO PARA EMPLEADOS</t>
  </si>
  <si>
    <t>SSHH (MUJERES) PARA PÚBLICO</t>
  </si>
  <si>
    <t>SSHH (MUJERES) PISO 02</t>
  </si>
  <si>
    <t>SH DISC PISO 02</t>
  </si>
  <si>
    <t>SSHH (HOMBRES) PISO 02</t>
  </si>
  <si>
    <t>SH DISC PISO AZOTEA</t>
  </si>
  <si>
    <t>VESTIDOR AZOTEA</t>
  </si>
  <si>
    <t>SSHH EMPLEADOS (LOCAL COMERCIAL 03)</t>
  </si>
  <si>
    <t>SSHH EMPLEADOS (LOCAL COMERCIAL 02)</t>
  </si>
  <si>
    <t>SSHH EMPLEADOS (LOCAL COMERCIAL 01)</t>
  </si>
  <si>
    <t>SH MUJERES</t>
  </si>
  <si>
    <t>ÁREA COMÚN</t>
  </si>
  <si>
    <t>TABL. COCINA (A=0.60M) , TABLERO DE CUARZO BLANCO 10MM EN MESADA CON ZOCALO DE 10CM</t>
  </si>
  <si>
    <t>TABL. COCINA (A=0.40M), TABLERO DE CUARZO BLANCO 10MM EN MESADA - COMEDOR</t>
  </si>
  <si>
    <t>TABL. COCINA (A=0.60M), TABLERO DE CUARZO BLANCO 10MM EN MESADA - COMEDOR</t>
  </si>
  <si>
    <t>TABL. COCINA (A=0.70M), TABLERO DE CUARZO BLANCO 10MM EN MESADA - COMEDOR</t>
  </si>
  <si>
    <t>TABL. COCINA (A=0.80M), TABLERO DE CUARZO BLANCO 10MM EN MESADA - COMEDOR</t>
  </si>
  <si>
    <t>TABLERO GRANITO BLANCO SERENA, MANDIL 20CM Y ZOCALO DE 30CM DE SSHH MIXTO (A=3.37x0.50M) / AZOT  Incl. Corte de Encimera</t>
  </si>
  <si>
    <t>TABLERO GRANITO BLANCO SERENA, MANDIL 20CM Y ZOCALO DE 30CM DE SSHH MIXTO (A=3.13x0.50M) / AZOT  Incl. Corte de Encimera</t>
  </si>
  <si>
    <t>TABLERO ZONA DE PARR. 01  (L=2.80 , A=0.60M) / AZOT  Incl. Corte de Encimera</t>
  </si>
  <si>
    <t>DEPOSITOS Y MUROS</t>
  </si>
  <si>
    <t>01.01.06.06</t>
  </si>
  <si>
    <t xml:space="preserve">    SUMINISTRO E INSTALACION DE TABLEROS ELECTRICOS</t>
  </si>
  <si>
    <t xml:space="preserve">        SUMINISTRO E INSTALACION DE TABLEROS ELECTRICOS</t>
  </si>
  <si>
    <t>01.03.01.09</t>
  </si>
  <si>
    <t>01.03.01.10</t>
  </si>
  <si>
    <t>01.03.01.11</t>
  </si>
  <si>
    <t>01.03.01.12</t>
  </si>
  <si>
    <t>01.03.01.13</t>
  </si>
  <si>
    <t>01.03.01.14</t>
  </si>
  <si>
    <t>01.03.01.15</t>
  </si>
  <si>
    <t>01.03.01.16</t>
  </si>
  <si>
    <t>01.03.01.17</t>
  </si>
  <si>
    <t>01.03.01.18</t>
  </si>
  <si>
    <t>01.03.01.19</t>
  </si>
  <si>
    <t>01.03.01.20</t>
  </si>
  <si>
    <t>01.03.01.21</t>
  </si>
  <si>
    <t>01.03.01.22</t>
  </si>
  <si>
    <t>01.03.01.23</t>
  </si>
  <si>
    <t>01.03.01.24</t>
  </si>
  <si>
    <t>01.03.01.25</t>
  </si>
  <si>
    <t>01.03.01.26</t>
  </si>
  <si>
    <t>01.03.01.27</t>
  </si>
  <si>
    <t>01.03.01.28</t>
  </si>
  <si>
    <t>01.03.01.29</t>
  </si>
  <si>
    <t>01.03.01.30</t>
  </si>
  <si>
    <t>01.04.01.01</t>
  </si>
  <si>
    <t xml:space="preserve">        LSOHX 3(3-1x300mm2) + LSOH 1Tx95mm2</t>
  </si>
  <si>
    <t>01.04.01.02</t>
  </si>
  <si>
    <t>01.04.01.03</t>
  </si>
  <si>
    <t xml:space="preserve">        LSOHX 3-1x150mm2 + LSOH 1Tx25mm2</t>
  </si>
  <si>
    <t>01.04.01.04</t>
  </si>
  <si>
    <t xml:space="preserve">        LSOHX 3-1x150mm2 + LSOH 1Tx16mm2</t>
  </si>
  <si>
    <t>01.04.01.05</t>
  </si>
  <si>
    <t>01.04.01.06</t>
  </si>
  <si>
    <t>01.04.01.07</t>
  </si>
  <si>
    <t xml:space="preserve">        LSOHX 3-1x70mm2 + LSOH 1Tx16mm2</t>
  </si>
  <si>
    <t>01.04.01.08</t>
  </si>
  <si>
    <t>01.04.01.09</t>
  </si>
  <si>
    <t>01.04.01.10</t>
  </si>
  <si>
    <t>01.04.01.11</t>
  </si>
  <si>
    <t>01.04.01.12</t>
  </si>
  <si>
    <t>01.04.01.13</t>
  </si>
  <si>
    <t>01.04.01.14</t>
  </si>
  <si>
    <t>01.04.01.15</t>
  </si>
  <si>
    <t>01.04.01.16</t>
  </si>
  <si>
    <t>01.04.01.17</t>
  </si>
  <si>
    <t>01.04.01.18</t>
  </si>
  <si>
    <t>01.04.01.19</t>
  </si>
  <si>
    <t>01.04.01.20</t>
  </si>
  <si>
    <t>01.04.01.21</t>
  </si>
  <si>
    <t>01.04.01.22</t>
  </si>
  <si>
    <t>01.04.02.01</t>
  </si>
  <si>
    <t>01.04.02.02</t>
  </si>
  <si>
    <t>01.04.03.01</t>
  </si>
  <si>
    <t>01.04.03.02</t>
  </si>
  <si>
    <t>01.04.03.03</t>
  </si>
  <si>
    <t>01.04.03.04</t>
  </si>
  <si>
    <t>01.04.03.05</t>
  </si>
  <si>
    <t>01.04.03.06</t>
  </si>
  <si>
    <t>01.04.03.07</t>
  </si>
  <si>
    <t>01.04.03.08</t>
  </si>
  <si>
    <t>01.04.03.09</t>
  </si>
  <si>
    <t>01.04.04.01</t>
  </si>
  <si>
    <t>01.04.04.02</t>
  </si>
  <si>
    <t>01.04.04.03</t>
  </si>
  <si>
    <t>01.04.04.04</t>
  </si>
  <si>
    <t>01.04.04.05</t>
  </si>
  <si>
    <t>01.05.04</t>
  </si>
  <si>
    <t>01.05.05</t>
  </si>
  <si>
    <t>01.05.06</t>
  </si>
  <si>
    <t>01.05.07</t>
  </si>
  <si>
    <t>01.06.03</t>
  </si>
  <si>
    <t>01.06.04</t>
  </si>
  <si>
    <t>01.06.05</t>
  </si>
  <si>
    <t>01.06.06</t>
  </si>
  <si>
    <t>01.06.07</t>
  </si>
  <si>
    <t>01.06.08</t>
  </si>
  <si>
    <t>01.06.09</t>
  </si>
  <si>
    <t>01.06.10</t>
  </si>
  <si>
    <t>01.06.11</t>
  </si>
  <si>
    <t>01.06.12</t>
  </si>
  <si>
    <t>01.06.13</t>
  </si>
  <si>
    <t>01.07.02.01</t>
  </si>
  <si>
    <t>01.07.02.05</t>
  </si>
  <si>
    <t>01.07.03.01</t>
  </si>
  <si>
    <t>01.07.03.02</t>
  </si>
  <si>
    <t>01.08</t>
  </si>
  <si>
    <t>01.08.01</t>
  </si>
  <si>
    <t>01.08.02</t>
  </si>
  <si>
    <t>01.09</t>
  </si>
  <si>
    <t>01.09.01</t>
  </si>
  <si>
    <t>01.09.01.01</t>
  </si>
  <si>
    <t>01.09.01.02</t>
  </si>
  <si>
    <t>01.09.01.03</t>
  </si>
  <si>
    <t>01.09.01.04</t>
  </si>
  <si>
    <t>01.09.01.05</t>
  </si>
  <si>
    <t>01.09.01.06</t>
  </si>
  <si>
    <t>01.09.01.07</t>
  </si>
  <si>
    <t>01.09.01.08</t>
  </si>
  <si>
    <t>01.09.01.09</t>
  </si>
  <si>
    <t>01.09.01.10</t>
  </si>
  <si>
    <t>01.09.01.11</t>
  </si>
  <si>
    <t>01.09.01.12</t>
  </si>
  <si>
    <t>01.09.01.13</t>
  </si>
  <si>
    <t>01.09.02</t>
  </si>
  <si>
    <t>01.09.02.01</t>
  </si>
  <si>
    <t>01.09.02.02</t>
  </si>
  <si>
    <t>01.09.02.03</t>
  </si>
  <si>
    <t>01.09.02.04</t>
  </si>
  <si>
    <t>01.09.02.05</t>
  </si>
  <si>
    <t>01.09.02.06</t>
  </si>
  <si>
    <t>01.09.03</t>
  </si>
  <si>
    <t>01.09.03.01</t>
  </si>
  <si>
    <t>01.09.03.02</t>
  </si>
  <si>
    <t>01.09.03.03</t>
  </si>
  <si>
    <t>01.09.03.04</t>
  </si>
  <si>
    <t>01.09.03.05</t>
  </si>
  <si>
    <t>INYECTOR CENTRÍFUGO EN GABINETE Marca: System air o similar Modelo: KVB Características: 5,600 CFM - 1.5"c.a. - 220V-3F-60Hz</t>
  </si>
  <si>
    <t>INYECTOR CENTRÍFUGO EN GABINETE Marca: System air o similar Modelo: KVB Características: 7,860 CFM - 1.5"c.a. - 220V-3F-60Hz</t>
  </si>
  <si>
    <t>INYECTOR CENTRÍFUGO EN GABINETE Marca: System air o similar Modelo: KVB Características: 8,200 CFM - 1.5"c.a. - 220V-3F-60Hz</t>
  </si>
  <si>
    <t>INYECTOR CENTRÍFUGO EN GABINETE Marca: System air o similar Modelo: KVB Características: 9,600 CFM - 1.5"c.a. - 220V-3F-60Hz</t>
  </si>
  <si>
    <t>EXTARCTOR CENTRÍFUGO EN GABINETE Marca: System air o similar Modelo: KVB Características: 8,400 CFM - 1.5"c.a. - 220V-3F-60Hz</t>
  </si>
  <si>
    <t>EXTARCTOR CENTRÍFUGO EN GABINETE Marca: System air o similar Modelo: KVB Características: 11,780 CFM - 1.5"c.a. - 220V-3F-60Hz</t>
  </si>
  <si>
    <t>INYECTOR AXIAL 
Marca: System air o similar
Modelo: AWE
Características: 4,100 CFM - 0.5"c.a. - 220V-3F-60Hz</t>
  </si>
  <si>
    <t>INYECTOR AXIAL Marca: System air o similar Modelo: AWE Características: 4,600 CFM - 0.5"c.a. - 220V-3F-60Hz</t>
  </si>
  <si>
    <t>INYECTOR AXIAL Marca: System air o similar Modelo: AWE Características: 4,650 CFM - 0.5"c.a. - 220V-3F-60Hz</t>
  </si>
  <si>
    <t>INYECTOR AXIAL Marca: System air o similar Modelo: AWE Características: 5,700 CFM - 0.5"c.a. - 220V-3F-60Hz</t>
  </si>
  <si>
    <t>EXTRACTOR AXIAL Marca: System air o similar Modelo: WPA Características: 3,600 CFM - 1.0"c.a. - 220V-3F-60Hz</t>
  </si>
  <si>
    <t>EXTRACTOR AXIAL Marca: System air o similar Modelo: WPA Características: 4,600 CFM - 1.0"c.a. - 220V-3F-60Hz</t>
  </si>
  <si>
    <t>EXTRACTOR AXIAL Marca: System air o similar Modelo: WPA Características: 4,650 CFM - 1.0"c.a. - 220V-3F-60Hz</t>
  </si>
  <si>
    <t>EXTRACTOR AXIAL Marca: System air o similar Modelo: WPA Características: 5,700 CFM - 1.0"c.a. - 220V-3F-60Hz</t>
  </si>
  <si>
    <t>EXTRACTOR AXIAL Marca: System air o similar Modelo: WPA Características: 6,700 CFM - 1.0"c.a. - 220V-3F-60Hz</t>
  </si>
  <si>
    <t>JET FAN TUBULAR Marca: System air o similar Modelo: AJ8M Características: 3,100 CFM - 25N - 220V-3F-60Hz</t>
  </si>
  <si>
    <t>DETECTOR DE MONÓXIDO Marca: GREYSTONE Modelo: CMD5B1 Caracteristicas: Consumo: 50mA max - Señal de salida :0-20mA</t>
  </si>
  <si>
    <t>INYECTOR CENTRÍFUGO EN GABINETE Marca: System air o similar Modelo: KVB Características: 4,500 CFM - 0.7"c.a. - 220V-3F-60Hz</t>
  </si>
  <si>
    <t>EXTRACTOR CENTRÍFUGO EN GABINETE Marca: System air o similar Modelo: KVB Características: 4,500 CFM - 0.7"c.a. - 220V-3F-60Hz</t>
  </si>
  <si>
    <t>EXTRACTOR CENTRÍFUGO EN GABINETE Marca: System air o similar Modelo: CDRE Características: 500 CFM - 1.0"c.a. - 220V-1F-60Hz</t>
  </si>
  <si>
    <t>EXTRACTOR CENTRÍFUGO EN GABINETE Marca: System air o similar Modelo: CDRE Características: 900 CFM - 1.0"c.a. - 220V-1F-60Hz</t>
  </si>
  <si>
    <t>EXTRACTOR CENTRÍFUGO EN GABINETE Marca: System air o similar Modelo: CDRE Características: 900 CFM - 1.3"c.a. - 220V-1F-60Hz</t>
  </si>
  <si>
    <t>INYECTOR CENTRÍFUGO EN GABINETE Marca: System air o similar Modelo: KVB Características: 4,100 CFM - 1.5"c.a. - 220V-3F-60Hz</t>
  </si>
  <si>
    <t>EXTRACTOR CENTRÍFUGO EN GABINETE Marca: System air o similar Modelo: KVB Características: 4,100 CFM - 1.5"c.a. - 220V-3F-60Hz</t>
  </si>
  <si>
    <t>INYECTOR HELICOCENTRÍFUGO Marca: System air o similar Modelo: k Características: 180 CFM - 0.7" c.a. - 220V-1F-60Hz</t>
  </si>
  <si>
    <t>EXTRACTOR HELICOCENTRÍFUGO Marca: System air o similar Modelo: k Características: 180 CFM - 0.7" c.a. - 220V-1F-60Hz</t>
  </si>
  <si>
    <t>EXTRACTOR AXIAL CON DAMPER Marca: System air o similar Modelo: BF SLIM 150 Características: 150 CFM - 0.05" c.a. - 220V-1F-60Hz</t>
  </si>
  <si>
    <t>EXTRACTOR AXIAL Marca: System air o similar Modelo: AWE Características: 1,400 CFM - 0.15"c.a. - 220V-1F-60Hz</t>
  </si>
  <si>
    <t>EXTRACTOR AXIAL Marca: System air o similar Modelo: AWE Características: 500 CFM - 0.15"c.a. - 220V-1F-60Hz</t>
  </si>
  <si>
    <t>EXTRACTOR AXIAL CON DAMPER Marca: System air o similar Modelo: BF SLIM 150 Características: 100 CFM - 0.1" c.a. - 220V-1F-60Hz</t>
  </si>
  <si>
    <t>pulg2</t>
  </si>
  <si>
    <t>tablero de control de (6)Centrífugos (2) Tableros eléctricos fabricado con plancha de fierro galvanizado 2 mm de espesor con recubrimiento anticorrosivo epóxico, hermético al polvo (IP-65) incluye: (3) contactores , (3) selectores MOA, (1) LED, (1) transformador y Borneras. difernecial + timer -se deja bornera para la conección del cuarto del control al tablero</t>
  </si>
  <si>
    <t>TABLERO DE CONTROL de (27) jet fan, (13) Inyectores y (13) Extractores . (7) Tableros eléctricos fabricado con plancha de fierro galvanizado 2 mm de espesor con recubrimiento anticorrosivo epóxico, hermetico al polvo (IP-55) incluye: (1) contactores jet fan ,(1) contactor extracción, (1) contactor inyector,(1) selectores MOA, (1) LED, (1) transformador y Borneras. difernecial + timer -se deja bornera para la conección del cuarto del control al tablero</t>
  </si>
  <si>
    <t>Suministro de grupo electrógeno:
- Grupo electrógeno de: 45Kw / Stand by
- Modelo: GPC-45GF
- Marca: GENPEPOWER
- Motor: CUMMINS
- Generador: STAMFORD
- Voltaje: 220v/3F/60hz.</t>
  </si>
  <si>
    <t>Instalación de grupo electrógeno:
- Instalación de 18 m de enchaquetado térmico (sótano 1 y piso 2), con tratamiento intermedio de lana de roca de 2” de espesor.
- Instalación de ducto de salida de aire caliente, 4m aprox. fabricado con plancha de fierro galvanizado de 1/32”, se usará una tela de lona para no transmitir la vibración del GE. Incluye el montaje de una rejilla en el tramo final.</t>
  </si>
  <si>
    <t>Electrobomba multietapa vertical VSE 10 12-100 con motor de 10 HP 3F x 220V Marca: Barnes Caudal: 3.89 L/S Altura (HDT): 115.28 m</t>
  </si>
  <si>
    <t>SISTEMA PRESION CONSTANTE N°2 Electrobomba multietapa vertical VSE 15 8-150 con motor de 15 HP 3F x 220V Marca: Barnes Caudal: 6.01 L/S Altura (HDT): 93.43 m</t>
  </si>
  <si>
    <t>SISTEMA SUMIDERO Bomba Sumergible NE 3 30-2-220 de 60HZ con motor de 3HP 3 x 220D Marca: Barnes Caudal: 1.5 L/S Altura (HDT): 27 m</t>
  </si>
  <si>
    <t>INSTALACION DE BOMBAS Y MANIFOLD</t>
  </si>
  <si>
    <t>EQUIPO DE AGUA CONTRAINCENDIO LISTADA UL</t>
  </si>
  <si>
    <t>Motobomba listada UL/FM – ESPAÑA Marca: GENERAL PUMPS Modelo: FGHC 125-100-400 Tipo: Horizontal Split Case Rotación: Horaria Punto de Diseño: - Caudal: 750 GPM</t>
  </si>
  <si>
    <t>Terr/Caja Emp Newsfera 3mod</t>
  </si>
  <si>
    <t>Terr/Marco Sop Newsfera 3mod</t>
  </si>
  <si>
    <t xml:space="preserve">Terr/Mod Fon Newsfera SOFT 2H </t>
  </si>
  <si>
    <t>Terr/Mod Display Newsfera 2h</t>
  </si>
  <si>
    <t>Terr/Mod Teclado Newsfera 2h</t>
  </si>
  <si>
    <t>Terr/Placa Fon+ 1p Newsfera</t>
  </si>
  <si>
    <t>Terr/Placa P/Display Newsfera</t>
  </si>
  <si>
    <t>Terr/Placa P/Teclado Newsfera</t>
  </si>
  <si>
    <t>ACCESORIOS Y ELEMENTOS DE CONFIGURACIÓN DEL SISTEMA</t>
  </si>
  <si>
    <t>Alimentador 2 hilos Audio/Video 6mod</t>
  </si>
  <si>
    <t>01.01.01.11</t>
  </si>
  <si>
    <t>Modulo expansorr de instalacion de 2 hilos</t>
  </si>
  <si>
    <t>01.01.01.12</t>
  </si>
  <si>
    <t>Configurador N°1 (paquete de 10 piezas)</t>
  </si>
  <si>
    <t>01.01.01.13</t>
  </si>
  <si>
    <t>Configurador N°2 (paquete de 10 piezas)</t>
  </si>
  <si>
    <t>01.01.01.14</t>
  </si>
  <si>
    <t>Configurador N°3 (paquete de 10 piezas)</t>
  </si>
  <si>
    <t>01.01.01.15</t>
  </si>
  <si>
    <t>Configurador N°4 (paquete de 10 piezas)</t>
  </si>
  <si>
    <t>01.01.01.16</t>
  </si>
  <si>
    <t>Configurador N°5 (paquete de 10 piezas)</t>
  </si>
  <si>
    <t>01.01.01.17</t>
  </si>
  <si>
    <t>Configurador N°6 (paquete de 10 piezas)</t>
  </si>
  <si>
    <t>01.01.01.18</t>
  </si>
  <si>
    <t>Configurador N°7 (paquete de 10 piezas)</t>
  </si>
  <si>
    <t>01.01.01.19</t>
  </si>
  <si>
    <t>Configurador N°8 (paquete de 10 piezas)</t>
  </si>
  <si>
    <t>01.01.01.20</t>
  </si>
  <si>
    <t>Configurador N°9 (paquete de 10 piezas)</t>
  </si>
  <si>
    <t>01.01.01.21</t>
  </si>
  <si>
    <t>01.01.01.22</t>
  </si>
  <si>
    <t>Centralita de conserjería digital 2 Hilos</t>
  </si>
  <si>
    <t>01.01.01.23</t>
  </si>
  <si>
    <t>Alimentador adicional 2 hilos, 2 mód. DIN, 27V - 600mA</t>
  </si>
  <si>
    <t>01.01.01.24</t>
  </si>
  <si>
    <t>Toma 8 contactos serie LIGHT</t>
  </si>
  <si>
    <t>01.01.01.25</t>
  </si>
  <si>
    <t>Placa Tecnopolímero 3 mód. LIVING-LIGHT Rectangular Blanco</t>
  </si>
  <si>
    <t>01.01.01.26</t>
  </si>
  <si>
    <t>mód. ciego 1 mód. LIVING-LIGHT Blanco</t>
  </si>
  <si>
    <t>01.01.01.27</t>
  </si>
  <si>
    <t>Soporte de resina para placas 3 mód. LIVING-LIGHT</t>
  </si>
  <si>
    <t>01.01.01.28</t>
  </si>
  <si>
    <t>Cable 8h  negro con conector para centralita</t>
  </si>
  <si>
    <t>01.01.01.29</t>
  </si>
  <si>
    <t>DPTOS COMPUESTO POR:</t>
  </si>
  <si>
    <t>01.01.01.30</t>
  </si>
  <si>
    <t>01 ANEXOS AUDIO</t>
  </si>
  <si>
    <t>01.01.01.31</t>
  </si>
  <si>
    <t>Telefono 2h audio sprint L2</t>
  </si>
  <si>
    <t>01.01.01.33</t>
  </si>
  <si>
    <t>Tarjeta expansora  de 2 lazos/250 direcciones</t>
  </si>
  <si>
    <t>Sirena con Luz Estroboscópica multicandela para Pared. Certicado UL
Marca: Hagroy
Modelo: SYSTEM SENSOR SY SYH</t>
  </si>
  <si>
    <t>Módulo de monitoreo para zonificación de equipos convencionales
* 373 zonas [ 1 zona por sótano en el edificio, 1 zona en cto de bomba,1 zonas por cada dpto,1 zona por cada area comun de cada piso]
Marca: KIDDE 
Modelo: GSA-CT1</t>
  </si>
  <si>
    <t>Módulo de monitoreo para interconexion en cuarto de bomba y sensor de aniego
Marca: KIDDE 
Modelo: GSA-CT1</t>
  </si>
  <si>
    <t>Módulo de monitoreo doble para interconexion
* 1 en cada sótano para válvulas de sector. y sensores de flujo de agua
Marca: KIDDE 
Modelo: GSA-CT2</t>
  </si>
  <si>
    <t>Módulo de control para interconexión con sistema Ventilación, grupo electrógeno  y transferencia
* 3 en Tablero TC-VP para control de sistema presurizado
Marca: KIDDE 
Modelo: GSA-CR</t>
  </si>
  <si>
    <t>Instalación, mano de obra y cableado</t>
  </si>
  <si>
    <t xml:space="preserve">Monitor a color LED de 24"  Full HD Samsumg </t>
  </si>
  <si>
    <t>Camaras TUBO  a color  Full  HD 1/3"  con lente de 2.8 mm, con infrarojo 700TVL de resolución 1080P, día y noche 0.01 Lux Mod. DS-12E16DOT</t>
  </si>
  <si>
    <t>Camaras MINI DOMO   a color  FULL HD 1/3"  con lente de 2.8mm, con infrarojo 700TVL de resolución 1080P, día y noche 0.01 Lux Mod. HK-DS2CE56DOT</t>
  </si>
  <si>
    <t>Grabador digital DVR de 32 canales Mod. HK-DS7232HQHI</t>
  </si>
  <si>
    <t>Grabador digital DVR de 08 canales Mod. HK-DS7208HQHI</t>
  </si>
  <si>
    <t>Disco duro de 8 TB</t>
  </si>
  <si>
    <t>Disco duro de 4 TB</t>
  </si>
  <si>
    <t>Fuentes de alimentación de 12V</t>
  </si>
  <si>
    <t>Ganinete metalico de 4 RU</t>
  </si>
  <si>
    <t>Instalacion,programacion,mano de obra y cableado</t>
  </si>
  <si>
    <t>Cable utp cat 5e,cable mellizo,conectores,material menudo.</t>
  </si>
  <si>
    <t>COLGAJO</t>
  </si>
  <si>
    <t>POLICE SECURITY (VIGILANTE ARMADO A TIEMPO COMPLETO)</t>
  </si>
  <si>
    <t>MV.09 (1.10x2.1)</t>
  </si>
  <si>
    <t>T2.13.01.11 - VV.09 - (2.9X1.00)</t>
  </si>
  <si>
    <t xml:space="preserve">PS.05(0.8x2.2)P. CONTRAPL. </t>
  </si>
  <si>
    <t>PUERTAS MELAMINE</t>
  </si>
  <si>
    <t>PC.04 (1.25 x 2.10m)</t>
  </si>
  <si>
    <t>PC.05 (1.40 x 2.10m)</t>
  </si>
  <si>
    <t>PC.03 (1.32 x 2.10m)</t>
  </si>
  <si>
    <t>PC.01 (1.00 x 2.10m)</t>
  </si>
  <si>
    <t>FALSO CIELO RASO DE DRYWALL STD Ó SIMILAR - HALL 1P</t>
  </si>
  <si>
    <t>FALSO CIELO RASO DE DRYWALL STD Ó SIMILAR ESTACIONAM. - 1P</t>
  </si>
  <si>
    <t>FALSO CIELO RASO DE DRYWALL STD Ó SIMILAR (AREAS COMUNES 1P) / OF. 10X - 1P</t>
  </si>
  <si>
    <t>FALSO CIELO RASO DE DRYWALL STD Ó SIMILAR (AREAS COMUNES 2P) / OF. 20X - 2P</t>
  </si>
  <si>
    <t>FALSO CIELO RASO DE DRYWALL STD Ó SIMILAR  -CORRED 2P.</t>
  </si>
  <si>
    <t xml:space="preserve">PCF. 08(1.12x2.2)P. MET C.F. 90MIN </t>
  </si>
  <si>
    <t>CERAMICO BLANCO EN VOLADOS H=0.22 , PROF.=0.30ML - HORIZONT.</t>
  </si>
  <si>
    <t>OFICIAL DE IIEE E IISS, PARA CABLEADOS, INSTALACIONES PROVISIONALES DURANTE LA OBRA</t>
  </si>
  <si>
    <t>SOLAQUEADO DE FACHADA INTERNA</t>
  </si>
  <si>
    <t>PIEDRA SINTERIZADA MODELO PIETRA GREY NEOLITH  12 MM. / COUNTER - (6) LOBBY OFICIN. 1P (INCLUIDO EN PU DE COUNTER)</t>
  </si>
  <si>
    <t>PIEDRA SINTERIZADA GRIS NATURAL STORM INALCO 12 MM. / COUNTER - (7) LOBBY OFICIN. 1P (INCLUIDO EN PU DE COUNTER)</t>
  </si>
  <si>
    <t>TOTEM PUBLICITARIO (0.30x2.10M) , DE 7.00M DE ALTO.</t>
  </si>
  <si>
    <t>REVESTIMIENTO LAMINAN EN LAVADERO</t>
  </si>
  <si>
    <t>PERFIL EN PETZONE</t>
  </si>
  <si>
    <t xml:space="preserve"> AREAS COMUNES</t>
  </si>
  <si>
    <t xml:space="preserve">TABLERO - MESA Ò SIMILAR  A=0.60m , L=2.72m / AZOT  </t>
  </si>
  <si>
    <t>REPISA EN GIMNASIO</t>
  </si>
  <si>
    <t xml:space="preserve">ESTRUCTURA PARA PELOTAS GIMNASIO </t>
  </si>
  <si>
    <t>PERFIL TUBULAR RECTANGULAR DE FIERRO PINTADO AL HORNO COLOR CELESTE POR DEFINIR 1X2" , L=2.40ML - HORIZ. (COWORKING)</t>
  </si>
  <si>
    <t>PERFIL TUBULAR RECTANGULAR DE FIERRO PINTADO AL HORNO COLOR CELESTE POR DEFINIR 1X2" , L=2.00ML - VERT. (COWORKING)</t>
  </si>
  <si>
    <t>PERFIL TUBULAR RECTANGULAR DE FIERRO PINTADO AL HORNO COLOR CELESTE POR DEFINIR 1X2" , L=3.40ML - HORIZ. (COWORKING)</t>
  </si>
  <si>
    <t>L15A</t>
  </si>
  <si>
    <t>ESTRUCTURA PERIMETRAL EN PISCINA DE SALA DE JOVENES</t>
  </si>
  <si>
    <t>ESTRUCTURA PERIMETRAL EN PISCINA DE SALA DE JOVENES (Ancho: 0.6m)</t>
  </si>
  <si>
    <t>ESPEJO BRONCE 4MM CON LÁMINA DE SEGURIDAD 3M *CONSIDERAR BISEL MÍNIMO (DIM:0.55x1.25M) - (6) SUM AZOT. (NO SE CONSIDERA)</t>
  </si>
  <si>
    <t>ESPEJO 4MM CON LAMINA DE SEGURIDAD 3M, COLOR BRONCE - GIMN. AZOT. (DIM. 0.71x2.64) (NO SE CONSIDERA)</t>
  </si>
  <si>
    <t>ESPEJO 4MM CON LAMINA DE SEGURIDAD 3M, COLOR BRONCE - GIMN. AZOT. (DIM. 0.99x2.64) (NO SE CONSIDERA)</t>
  </si>
  <si>
    <t>ESPEJO 4MM CON LAMINA DE SEGURIDAD 3M, COLOR BRONCE - GIMN. AZOT. (DIM. 0.76x2.64) (NO SE CONSIDERA)</t>
  </si>
  <si>
    <t>ESPEJO 4MM CON LAMINA DE SEGURIDAD 3M, COLOR BRONCE - GIMN. AZOT. (DIM. 0.77x2.64) (NO SE CONSIDERA)</t>
  </si>
  <si>
    <t>GRUPO ELECTROGENO PARA GRUA TORRE ((SE CONSIDERA QUE SE CONECTA AL MEDIDOR PÚBLICO)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</si>
</sst>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7">
    <numFmt numFmtId="5" formatCode="&quot;$&quot;#,##0_);\(&quot;$&quot;#,##0\)"/>
    <numFmt numFmtId="42" formatCode="_(&quot;$&quot;* #,##0_);_(&quot;$&quot;* \(#,##0\);_(&quot;$&quot;* &quot;-&quot;_);_(@_)"/>
    <numFmt numFmtId="43" formatCode="_(* #,##0.00_);_(* \(#,##0.00\);_(* &quot;-&quot;??_);_(@_)"/>
    <numFmt numFmtId="164" formatCode="_-&quot;S/&quot;\ * #,##0.00_-;\-&quot;S/&quot;\ * #,##0.00_-;_-&quot;S/&quot;\ * &quot;-&quot;??_-;_-@_-"/>
    <numFmt numFmtId="165" formatCode="_-* #,##0.00_-;\-* #,##0.00_-;_-* &quot;-&quot;??_-;_-@_-"/>
    <numFmt numFmtId="166" formatCode="_-&quot;S.&quot;* #,##0.00_-;\-&quot;S.&quot;* #,##0.00_-;_-&quot;S.&quot;* &quot;-&quot;??_-;_-@_-"/>
    <numFmt numFmtId="167" formatCode="_-* #,##0.00\ &quot;€&quot;_-;\-* #,##0.00\ &quot;€&quot;_-;_-* &quot;-&quot;??\ &quot;€&quot;_-;_-@_-"/>
    <numFmt numFmtId="168" formatCode="###,###,###,##0.00"/>
    <numFmt numFmtId="169" formatCode="&quot;S/.&quot;\ #,##0.00"/>
    <numFmt numFmtId="170" formatCode="#,##0.000"/>
    <numFmt numFmtId="171" formatCode="[$$-409]#,##0.00"/>
    <numFmt numFmtId="172" formatCode="_ * #,##0.00_ ;_ * \-#,##0.00_ ;_ * &quot;-&quot;??_ ;_ @_ "/>
    <numFmt numFmtId="173" formatCode="0.000"/>
    <numFmt numFmtId="174" formatCode="[$$-409]#,##0.00_ ;\-[$$-409]#,##0.00\ "/>
    <numFmt numFmtId="175" formatCode="[$$-2C0A]\ #,##0.00"/>
    <numFmt numFmtId="176" formatCode="00.00.00"/>
    <numFmt numFmtId="177" formatCode="00.00.00.00"/>
    <numFmt numFmtId="178" formatCode="[$S/-280A]#,##0.00;\-[$S/-280A]#,##0.00"/>
    <numFmt numFmtId="179" formatCode="[$$-540A]#,##0.00_ ;\-[$$-540A]#,##0.00\ "/>
    <numFmt numFmtId="180" formatCode="[$S/-280A]#,##0.00"/>
    <numFmt numFmtId="181" formatCode="_-[$S/-280A]\ * #,##0.00_-;\-[$S/-280A]\ * #,##0.00_-;_-[$S/-280A]\ * &quot;-&quot;??_-;_-@_-"/>
    <numFmt numFmtId="182" formatCode="[$S/.-280A]\ #,##0.00"/>
    <numFmt numFmtId="183" formatCode="[$$-540A]#,##0.00"/>
    <numFmt numFmtId="184" formatCode="[$S/-280A]\ #,##0.00"/>
    <numFmt numFmtId="185" formatCode="0.0%"/>
    <numFmt numFmtId="186" formatCode="[$$-409]#,##0_ ;\-[$$-409]#,##0\ "/>
    <numFmt numFmtId="187" formatCode="_-* #,##0_-;\-* #,##0_-;_-* &quot;-&quot;??_-;_-@_-"/>
    <numFmt numFmtId="188" formatCode="00.00"/>
    <numFmt numFmtId="189" formatCode="_ * #,##0_ ;_ * \-#,##0_ ;_ * &quot;-&quot;_ ;_ @_ "/>
    <numFmt numFmtId="190" formatCode="_ &quot;S/.&quot;\ * #,##0.00_ ;_ &quot;S/.&quot;\ * \-#,##0.00_ ;_ &quot;S/.&quot;\ * &quot;-&quot;??_ ;_ @_ "/>
    <numFmt numFmtId="191" formatCode="_([$€]\ * #,##0.00_);_([$€]\ * \(#,##0.00\);_([$€]\ * &quot;-&quot;??_);_(@_)"/>
    <numFmt numFmtId="192" formatCode="_-[$$-409]* #,##0.00_ ;_-[$$-409]* \-#,##0.00\ ;_-[$$-409]* &quot;-&quot;??_ ;_-@_ "/>
    <numFmt numFmtId="193" formatCode="0.0000000000"/>
    <numFmt numFmtId="194" formatCode="0.0000"/>
    <numFmt numFmtId="195" formatCode="#,##0.0"/>
    <numFmt numFmtId="196" formatCode="mmmm\ d\,\ yyyy"/>
    <numFmt numFmtId="197" formatCode="_-* #,##0.0000\ _P_t_s_-;\-* #,##0.0000\ _P_t_s_-;_-* &quot;-&quot;??\ _P_t_s_-;_-@_-"/>
    <numFmt numFmtId="198" formatCode="[$$-1009]#,##0"/>
    <numFmt numFmtId="199" formatCode="_([$€-2]\ * #,##0.00_);_([$€-2]\ * \(#,##0.00\);_([$€-2]\ * &quot;-&quot;??_)"/>
    <numFmt numFmtId="200" formatCode="#.##000"/>
    <numFmt numFmtId="201" formatCode="_ &quot;$&quot;\ * #,##0_ ;_ &quot;$&quot;\ * \-#,##0_ ;_ &quot;$&quot;\ * &quot;-&quot;_ ;_ @_ "/>
    <numFmt numFmtId="202" formatCode="_(&quot;Solel&quot;\ * #,##0.00_);_(&quot;Solel&quot;\ * \(#,##0.00\);_(&quot;Solel&quot;\ * &quot;-&quot;??_);_(@_)"/>
    <numFmt numFmtId="203" formatCode="_-* #,##0.00\ [$€]_-;\-* #,##0.00\ [$€]_-;_-* &quot;-&quot;??\ [$€]_-;_-@_-"/>
    <numFmt numFmtId="204" formatCode="0.00000000"/>
    <numFmt numFmtId="205" formatCode="#,##0.0000_);\-#,##0.0000"/>
    <numFmt numFmtId="206" formatCode="0.0000000"/>
    <numFmt numFmtId="207" formatCode="_-* #,##0\ \-;\-* #,##0\ _-;_-* &quot;-&quot;\ _-;_-@_-"/>
    <numFmt numFmtId="208" formatCode="\$#,#00"/>
    <numFmt numFmtId="209" formatCode="&quot;$&quot;#,##0\ ;\(&quot;$&quot;#,##0\)"/>
    <numFmt numFmtId="210" formatCode="_-* #,##0.00\ _€_-;\-* #,##0.00\ _€_-;_-* &quot;-&quot;??\ _€_-;_-@_-"/>
    <numFmt numFmtId="211" formatCode="m\o\n\th\ d\,\ \y\y\y\y"/>
    <numFmt numFmtId="212" formatCode="0.00_)"/>
    <numFmt numFmtId="213" formatCode="[$-280A]General"/>
    <numFmt numFmtId="214" formatCode="#,#00"/>
    <numFmt numFmtId="215" formatCode="_(* #,##0.00_);_(* \(#,##0.00\);_(* \-??_);_(@_)"/>
    <numFmt numFmtId="216" formatCode="0.00000000000"/>
    <numFmt numFmtId="217" formatCode="_ * #,##0.00_ ;_ * \-#,##0.00_ ;_ * \-??_ ;_ @_ "/>
    <numFmt numFmtId="218" formatCode="&quot;S.&quot;\ #,##0;[Red]&quot;S.&quot;\ \-#,##0"/>
    <numFmt numFmtId="219" formatCode="_(&quot;S/.&quot;\ * #,##0.00_);_(&quot;S/.&quot;\ * \(#,##0.00\);_(&quot;S/.&quot;\ * &quot;-&quot;??_);_(@_)"/>
    <numFmt numFmtId="220" formatCode="&quot;S/.&quot;\ #,##0"/>
    <numFmt numFmtId="221" formatCode="&quot;$&quot;#,##0.00;[Red]\-&quot;$&quot;#,##0.00"/>
    <numFmt numFmtId="222" formatCode="#.#####"/>
    <numFmt numFmtId="223" formatCode="#,"/>
    <numFmt numFmtId="224" formatCode="#,##0.00\ ;&quot; -&quot;#,##0.00\ ;&quot; -&quot;#\ ;@\ "/>
    <numFmt numFmtId="225" formatCode="_ * #.##0.00_ ;_ * \-#.##0.00_ ;_ * &quot;-&quot;??_ ;_ @_ "/>
    <numFmt numFmtId="226" formatCode="_-&quot;S/&quot;\ * #,##0.0000_-;\-&quot;S/&quot;\ * #,##0.0000_-;_-&quot;S/&quot;\ * &quot;-&quot;??_-;_-@_-"/>
    <numFmt numFmtId="227" formatCode="_-[$$-540A]* #,##0.00_ ;_-[$$-540A]* \-#,##0.00\ ;_-[$$-540A]* &quot;-&quot;??_ ;_-@_ "/>
    <numFmt numFmtId="228" formatCode="###,###,###,##0.00000"/>
    <numFmt numFmtId="229" formatCode="#,##0.0000"/>
    <numFmt numFmtId="230" formatCode="#,##0.000000"/>
    <numFmt numFmtId="231" formatCode="#,##0.0000000000"/>
    <numFmt numFmtId="232" formatCode="00.00.00.00.00"/>
    <numFmt numFmtId="233" formatCode="00.00.00.00.00.00"/>
    <numFmt numFmtId="234" formatCode="[$S/-280A]#,##0.00000"/>
    <numFmt numFmtId="235" formatCode="[$S/-280A]\ #,##0.00;\-[$S/-280A]\ #,##0.00"/>
    <numFmt numFmtId="236" formatCode="0.00000%"/>
    <numFmt numFmtId="237" formatCode="#,##0.0000000000000"/>
  </numFmts>
  <fonts count="111">
    <font>
      <sz val="11"/>
      <color theme="1"/>
      <name val="Calibri"/>
      <family val="2"/>
      <scheme val="minor"/>
    </font>
    <font>
      <sz val="11"/>
      <color theme="1"/>
      <name val="Calibri"/>
      <family val="2"/>
      <scheme val="minor"/>
    </font>
    <font>
      <sz val="10"/>
      <name val="Arial"/>
      <family val="2"/>
    </font>
    <font>
      <sz val="8"/>
      <name val="Arial"/>
      <family val="2"/>
    </font>
    <font>
      <b/>
      <sz val="11"/>
      <color indexed="8"/>
      <name val="Arial"/>
      <family val="2"/>
    </font>
    <font>
      <sz val="8"/>
      <color indexed="72"/>
      <name val="Arial"/>
      <family val="2"/>
    </font>
    <font>
      <b/>
      <sz val="8"/>
      <color indexed="8"/>
      <name val="Arial Narrow"/>
      <family val="2"/>
    </font>
    <font>
      <b/>
      <sz val="8"/>
      <color theme="0"/>
      <name val="Arial"/>
      <family val="2"/>
    </font>
    <font>
      <b/>
      <sz val="8"/>
      <color indexed="12"/>
      <name val="Arial"/>
      <family val="2"/>
    </font>
    <font>
      <sz val="8"/>
      <color theme="1"/>
      <name val="Arial"/>
      <family val="2"/>
    </font>
    <font>
      <b/>
      <sz val="7"/>
      <color indexed="8"/>
      <name val="Arial Narrow"/>
      <family val="2"/>
    </font>
    <font>
      <b/>
      <sz val="8"/>
      <name val="Arial"/>
      <family val="2"/>
    </font>
    <font>
      <b/>
      <sz val="11"/>
      <color theme="1"/>
      <name val="Calibri"/>
      <family val="2"/>
      <scheme val="minor"/>
    </font>
    <font>
      <sz val="8"/>
      <name val="Calibri"/>
      <family val="2"/>
      <scheme val="minor"/>
    </font>
    <font>
      <sz val="11"/>
      <name val="Arial"/>
      <family val="2"/>
    </font>
    <font>
      <b/>
      <sz val="7"/>
      <color theme="0"/>
      <name val="Arial Narrow"/>
      <family val="2"/>
    </font>
    <font>
      <b/>
      <sz val="8"/>
      <color theme="1"/>
      <name val="Arial"/>
      <family val="2"/>
    </font>
    <font>
      <sz val="10"/>
      <color indexed="8"/>
      <name val="MS Sans Serif"/>
    </font>
    <font>
      <b/>
      <sz val="8"/>
      <color indexed="8"/>
      <name val="Arial"/>
      <family val="2"/>
    </font>
    <font>
      <b/>
      <sz val="8"/>
      <color rgb="FF0000CC"/>
      <name val="Arial"/>
      <family val="2"/>
    </font>
    <font>
      <b/>
      <sz val="8"/>
      <color indexed="52"/>
      <name val="Arial"/>
      <family val="2"/>
    </font>
    <font>
      <b/>
      <sz val="8"/>
      <color rgb="FFFF0000"/>
      <name val="Arial"/>
      <family val="2"/>
    </font>
    <font>
      <sz val="8"/>
      <color rgb="FF0000CC"/>
      <name val="Arial"/>
      <family val="2"/>
    </font>
    <font>
      <sz val="10"/>
      <color indexed="8"/>
      <name val="Arial"/>
      <family val="2"/>
    </font>
    <font>
      <b/>
      <sz val="12"/>
      <name val="Arial"/>
      <family val="2"/>
    </font>
    <font>
      <b/>
      <sz val="10"/>
      <name val="Arial"/>
      <family val="2"/>
    </font>
    <font>
      <sz val="9"/>
      <color indexed="10"/>
      <name val="Geneva"/>
    </font>
    <font>
      <b/>
      <sz val="9"/>
      <name val="Arial"/>
      <family val="2"/>
    </font>
    <font>
      <sz val="11"/>
      <color theme="1"/>
      <name val="Arial"/>
      <family val="2"/>
    </font>
    <font>
      <sz val="8"/>
      <color theme="1"/>
      <name val="Calibri"/>
      <family val="2"/>
      <scheme val="minor"/>
    </font>
    <font>
      <sz val="8"/>
      <color rgb="FF000000"/>
      <name val="Arial"/>
      <family val="2"/>
    </font>
    <font>
      <sz val="10"/>
      <color theme="0" tint="-0.249977111117893"/>
      <name val="Arial"/>
      <family val="2"/>
    </font>
    <font>
      <b/>
      <sz val="8"/>
      <color indexed="72"/>
      <name val="Arial"/>
      <family val="2"/>
    </font>
    <font>
      <sz val="10"/>
      <name val="Arial"/>
      <family val="2"/>
    </font>
    <font>
      <sz val="1"/>
      <color indexed="8"/>
      <name val="Courier"/>
      <family val="3"/>
    </font>
    <font>
      <b/>
      <sz val="18"/>
      <name val="Arial"/>
      <family val="2"/>
    </font>
    <font>
      <b/>
      <sz val="1"/>
      <color indexed="8"/>
      <name val="Courier"/>
      <family val="3"/>
    </font>
    <font>
      <sz val="11"/>
      <color indexed="8"/>
      <name val="Calibri"/>
      <family val="2"/>
    </font>
    <font>
      <sz val="9"/>
      <color indexed="10"/>
      <name val="Geneva"/>
      <family val="2"/>
    </font>
    <font>
      <sz val="10"/>
      <name val="Book Antiqua"/>
      <family val="1"/>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sz val="10"/>
      <color indexed="8"/>
      <name val="MS Sans Serif"/>
      <family val="2"/>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u/>
      <sz val="8"/>
      <color indexed="12"/>
      <name val="Arial"/>
      <family val="2"/>
    </font>
    <font>
      <sz val="10"/>
      <name val="Helv"/>
      <family val="2"/>
    </font>
    <font>
      <sz val="10"/>
      <name val="Helv"/>
      <charset val="204"/>
    </font>
    <font>
      <sz val="10"/>
      <name val="Courier"/>
      <family val="3"/>
    </font>
    <font>
      <b/>
      <sz val="11"/>
      <color indexed="10"/>
      <name val="Calibri"/>
      <family val="2"/>
    </font>
    <font>
      <b/>
      <sz val="11"/>
      <color indexed="62"/>
      <name val="Calibri"/>
      <family val="2"/>
    </font>
    <font>
      <u/>
      <sz val="9"/>
      <color indexed="12"/>
      <name val="Times New Roman"/>
      <family val="1"/>
    </font>
    <font>
      <sz val="12"/>
      <name val="Helv"/>
    </font>
    <font>
      <sz val="11"/>
      <color indexed="19"/>
      <name val="Calibri"/>
      <family val="2"/>
    </font>
    <font>
      <b/>
      <sz val="15"/>
      <color indexed="62"/>
      <name val="Calibri"/>
      <family val="2"/>
    </font>
    <font>
      <b/>
      <sz val="18"/>
      <color indexed="62"/>
      <name val="Cambria"/>
      <family val="2"/>
    </font>
    <font>
      <b/>
      <sz val="13"/>
      <color indexed="62"/>
      <name val="Calibri"/>
      <family val="2"/>
    </font>
    <font>
      <sz val="12"/>
      <name val="Arial"/>
      <family val="2"/>
    </font>
    <font>
      <sz val="11"/>
      <color rgb="FF000000"/>
      <name val="Calibri"/>
      <family val="2"/>
      <charset val="204"/>
    </font>
    <font>
      <sz val="11"/>
      <color indexed="8"/>
      <name val="Calibri"/>
      <family val="2"/>
      <charset val="1"/>
    </font>
    <font>
      <sz val="10"/>
      <name val="Helv"/>
    </font>
    <font>
      <sz val="10"/>
      <name val="BERNHARD"/>
    </font>
    <font>
      <sz val="12"/>
      <color indexed="24"/>
      <name val="Times New Roman"/>
      <family val="1"/>
    </font>
    <font>
      <sz val="11"/>
      <color rgb="FF000000"/>
      <name val="Calibri"/>
      <family val="2"/>
    </font>
    <font>
      <b/>
      <sz val="10"/>
      <name val="BERNHARD"/>
    </font>
    <font>
      <sz val="1"/>
      <color indexed="16"/>
      <name val="Courier"/>
      <family val="3"/>
    </font>
    <font>
      <i/>
      <sz val="1"/>
      <color indexed="16"/>
      <name val="Courier"/>
      <family val="3"/>
    </font>
    <font>
      <i/>
      <sz val="1"/>
      <color indexed="8"/>
      <name val="Courier"/>
      <family val="3"/>
    </font>
    <font>
      <b/>
      <sz val="14"/>
      <name val="BERNHARD"/>
    </font>
    <font>
      <b/>
      <sz val="14"/>
      <name val="Arial"/>
      <family val="2"/>
    </font>
    <font>
      <sz val="8"/>
      <name val="BERNHARD"/>
    </font>
    <font>
      <sz val="18"/>
      <name val="Times New Roman"/>
      <family val="1"/>
    </font>
    <font>
      <u/>
      <sz val="10"/>
      <color indexed="14"/>
      <name val="MS Sans Serif"/>
      <family val="2"/>
    </font>
    <font>
      <sz val="10"/>
      <color indexed="24"/>
      <name val="Arial"/>
      <family val="2"/>
    </font>
    <font>
      <sz val="8"/>
      <color indexed="24"/>
      <name val="Times New Roman"/>
      <family val="1"/>
    </font>
    <font>
      <i/>
      <sz val="10"/>
      <name val="Arial"/>
      <family val="2"/>
    </font>
    <font>
      <u/>
      <sz val="10"/>
      <color indexed="12"/>
      <name val="MS Sans Serif"/>
      <family val="2"/>
    </font>
    <font>
      <sz val="10"/>
      <color indexed="8"/>
      <name val="ARIAL"/>
      <family val="2"/>
      <charset val="1"/>
    </font>
    <font>
      <sz val="8"/>
      <name val="Helv"/>
    </font>
    <font>
      <sz val="1"/>
      <color indexed="8"/>
      <name val="Courier New"/>
      <family val="3"/>
    </font>
    <font>
      <sz val="10"/>
      <name val="Mangal"/>
      <family val="2"/>
    </font>
    <font>
      <b/>
      <sz val="1"/>
      <color indexed="8"/>
      <name val="Courier New"/>
      <family val="3"/>
    </font>
    <font>
      <sz val="11"/>
      <color theme="0"/>
      <name val="Calibri"/>
      <family val="2"/>
      <scheme val="minor"/>
    </font>
    <font>
      <b/>
      <sz val="11"/>
      <color rgb="FFC00000"/>
      <name val="Calibri"/>
      <family val="2"/>
      <scheme val="minor"/>
    </font>
    <font>
      <b/>
      <sz val="11"/>
      <color rgb="FFFF0000"/>
      <name val="Calibri"/>
      <family val="2"/>
      <scheme val="minor"/>
    </font>
    <font>
      <b/>
      <sz val="8"/>
      <color theme="6" tint="-0.249977111117893"/>
      <name val="Arial"/>
      <family val="2"/>
    </font>
    <font>
      <b/>
      <u/>
      <sz val="8"/>
      <color theme="2" tint="-0.499984740745262"/>
      <name val="Arial"/>
      <family val="2"/>
    </font>
    <font>
      <sz val="8"/>
      <name val="Garamond"/>
      <family val="1"/>
    </font>
    <font>
      <b/>
      <sz val="8"/>
      <color rgb="FFFF0000"/>
      <name val="Garamond"/>
      <family val="1"/>
    </font>
    <font>
      <sz val="8"/>
      <color indexed="12"/>
      <name val="Arial"/>
      <family val="2"/>
    </font>
    <font>
      <b/>
      <sz val="8"/>
      <color rgb="FFFF0000"/>
      <name val="Calibri"/>
      <family val="2"/>
    </font>
    <font>
      <sz val="8"/>
      <name val="Calibri"/>
      <family val="2"/>
    </font>
    <font>
      <sz val="8"/>
      <color rgb="FF000000"/>
      <name val="Calibri"/>
      <family val="2"/>
    </font>
    <font>
      <b/>
      <sz val="8"/>
      <color indexed="9"/>
      <name val="Arial"/>
      <family val="2"/>
    </font>
    <font>
      <sz val="8"/>
      <color rgb="FF0000FF"/>
      <name val="Arial"/>
      <family val="2"/>
    </font>
    <font>
      <b/>
      <sz val="8"/>
      <color theme="4" tint="-0.249977111117893"/>
      <name val="Arial"/>
      <family val="2"/>
    </font>
    <font>
      <sz val="8"/>
      <color rgb="FF080000"/>
      <name val="Arial"/>
      <family val="2"/>
    </font>
    <font>
      <b/>
      <sz val="8"/>
      <color rgb="FF080000"/>
      <name val="Arial"/>
      <family val="2"/>
    </font>
    <font>
      <sz val="8"/>
      <color theme="0"/>
      <name val="Arial"/>
      <family val="2"/>
    </font>
  </fonts>
  <fills count="6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C00000"/>
        <bgColor indexed="64"/>
      </patternFill>
    </fill>
    <fill>
      <patternFill patternType="solid">
        <fgColor theme="0" tint="-0.499984740745262"/>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rgb="FFFFC000"/>
        <bgColor indexed="64"/>
      </patternFill>
    </fill>
    <fill>
      <patternFill patternType="solid">
        <fgColor indexed="26"/>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9"/>
      </patternFill>
    </fill>
    <fill>
      <patternFill patternType="solid">
        <fgColor indexed="56"/>
      </patternFill>
    </fill>
    <fill>
      <patternFill patternType="solid">
        <fgColor indexed="5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15"/>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38"/>
      </patternFill>
    </fill>
    <fill>
      <patternFill patternType="solid">
        <fgColor indexed="10"/>
        <bgColor indexed="60"/>
      </patternFill>
    </fill>
    <fill>
      <patternFill patternType="solid">
        <fgColor indexed="57"/>
        <bgColor indexed="54"/>
      </patternFill>
    </fill>
    <fill>
      <patternFill patternType="solid">
        <fgColor indexed="53"/>
        <bgColor indexed="52"/>
      </patternFill>
    </fill>
    <fill>
      <patternFill patternType="solid">
        <fgColor indexed="22"/>
        <bgColor indexed="50"/>
      </patternFill>
    </fill>
    <fill>
      <patternFill patternType="solid">
        <fgColor indexed="55"/>
        <bgColor indexed="23"/>
      </patternFill>
    </fill>
    <fill>
      <patternFill patternType="solid">
        <fgColor indexed="26"/>
        <bgColor indexed="9"/>
      </patternFill>
    </fill>
    <fill>
      <patternFill patternType="solid">
        <fgColor rgb="FF92D050"/>
        <bgColor indexed="64"/>
      </patternFill>
    </fill>
    <fill>
      <patternFill patternType="solid">
        <fgColor indexed="23"/>
        <bgColor indexed="64"/>
      </patternFill>
    </fill>
    <fill>
      <patternFill patternType="solid">
        <fgColor theme="1" tint="0.499984740745262"/>
        <bgColor indexed="64"/>
      </patternFill>
    </fill>
  </fills>
  <borders count="1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style="double">
        <color indexed="64"/>
      </top>
      <bottom/>
      <diagonal/>
    </border>
    <border>
      <left style="double">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medium">
        <color indexed="64"/>
      </right>
      <top style="medium">
        <color indexed="64"/>
      </top>
      <bottom style="medium">
        <color auto="1"/>
      </bottom>
      <diagonal/>
    </border>
    <border>
      <left/>
      <right style="medium">
        <color indexed="64"/>
      </right>
      <top/>
      <bottom style="medium">
        <color indexed="64"/>
      </bottom>
      <diagonal/>
    </border>
    <border>
      <left/>
      <right/>
      <top style="double">
        <color indexed="64"/>
      </top>
      <bottom/>
      <diagonal/>
    </border>
    <border>
      <left style="double">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hair">
        <color indexed="64"/>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style="medium">
        <color indexed="64"/>
      </right>
      <top/>
      <bottom/>
      <diagonal/>
    </border>
    <border>
      <left style="medium">
        <color auto="1"/>
      </left>
      <right style="thin">
        <color auto="1"/>
      </right>
      <top/>
      <bottom style="medium">
        <color indexed="64"/>
      </bottom>
      <diagonal/>
    </border>
    <border>
      <left style="thin">
        <color indexed="64"/>
      </left>
      <right style="double">
        <color indexed="64"/>
      </right>
      <top style="double">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diagonal/>
    </border>
    <border>
      <left style="thin">
        <color indexed="22"/>
      </left>
      <right style="thin">
        <color indexed="22"/>
      </right>
      <top style="thin">
        <color indexed="22"/>
      </top>
      <bottom style="thin">
        <color indexed="22"/>
      </bottom>
      <diagonal/>
    </border>
    <border>
      <left/>
      <right/>
      <top style="double">
        <color indexed="8"/>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double">
        <color indexed="10"/>
      </bottom>
      <diagonal/>
    </border>
    <border>
      <left/>
      <right style="thin">
        <color indexed="8"/>
      </right>
      <top/>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right/>
      <top/>
      <bottom style="hair">
        <color indexed="12"/>
      </bottom>
      <diagonal/>
    </border>
    <border>
      <left/>
      <right/>
      <top/>
      <bottom style="double">
        <color indexed="64"/>
      </bottom>
      <diagonal/>
    </border>
    <border>
      <left/>
      <right/>
      <top style="thin">
        <color auto="1"/>
      </top>
      <bottom/>
      <diagonal/>
    </border>
    <border>
      <left/>
      <right style="double">
        <color indexed="64"/>
      </right>
      <top style="double">
        <color indexed="64"/>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style="hair">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auto="1"/>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dotted">
        <color auto="1"/>
      </top>
      <bottom style="dotted">
        <color auto="1"/>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dotted">
        <color indexed="64"/>
      </bottom>
      <diagonal/>
    </border>
    <border>
      <left/>
      <right style="double">
        <color indexed="64"/>
      </right>
      <top/>
      <bottom style="double">
        <color indexed="64"/>
      </bottom>
      <diagonal/>
    </border>
    <border>
      <left style="thin">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double">
        <color indexed="64"/>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double">
        <color indexed="64"/>
      </right>
      <top style="double">
        <color indexed="64"/>
      </top>
      <bottom/>
      <diagonal/>
    </border>
    <border>
      <left style="thin">
        <color indexed="64"/>
      </left>
      <right style="double">
        <color indexed="64"/>
      </right>
      <top/>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double">
        <color indexed="64"/>
      </left>
      <right style="double">
        <color indexed="64"/>
      </right>
      <top/>
      <bottom/>
      <diagonal/>
    </border>
    <border>
      <left/>
      <right style="double">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double">
        <color indexed="64"/>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thin">
        <color auto="1"/>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double">
        <color indexed="64"/>
      </right>
      <top/>
      <bottom style="thin">
        <color rgb="FF000000"/>
      </bottom>
      <diagonal/>
    </border>
    <border>
      <left style="double">
        <color indexed="64"/>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double">
        <color indexed="64"/>
      </right>
      <top style="thin">
        <color rgb="FF000000"/>
      </top>
      <bottom style="thin">
        <color rgb="FF000000"/>
      </bottom>
      <diagonal/>
    </border>
    <border>
      <left style="double">
        <color indexed="64"/>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double">
        <color indexed="64"/>
      </left>
      <right/>
      <top style="thin">
        <color rgb="FF000000"/>
      </top>
      <bottom style="double">
        <color indexed="64"/>
      </bottom>
      <diagonal/>
    </border>
    <border>
      <left style="thin">
        <color rgb="FF000000"/>
      </left>
      <right/>
      <top style="thin">
        <color rgb="FF000000"/>
      </top>
      <bottom style="double">
        <color indexed="64"/>
      </bottom>
      <diagonal/>
    </border>
    <border>
      <left style="thin">
        <color rgb="FF000000"/>
      </left>
      <right style="thin">
        <color rgb="FF000000"/>
      </right>
      <top style="thin">
        <color rgb="FF000000"/>
      </top>
      <bottom style="double">
        <color indexed="64"/>
      </bottom>
      <diagonal/>
    </border>
    <border>
      <left style="thin">
        <color rgb="FF000000"/>
      </left>
      <right style="double">
        <color indexed="64"/>
      </right>
      <top style="thin">
        <color rgb="FF000000"/>
      </top>
      <bottom style="double">
        <color indexed="64"/>
      </bottom>
      <diagonal/>
    </border>
    <border>
      <left style="double">
        <color indexed="64"/>
      </left>
      <right/>
      <top style="double">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style="hair">
        <color auto="1"/>
      </bottom>
      <diagonal/>
    </border>
    <border>
      <left style="thin">
        <color indexed="64"/>
      </left>
      <right style="double">
        <color indexed="64"/>
      </right>
      <top style="medium">
        <color indexed="64"/>
      </top>
      <bottom/>
      <diagonal/>
    </border>
    <border>
      <left style="double">
        <color indexed="64"/>
      </left>
      <right style="medium">
        <color indexed="64"/>
      </right>
      <top style="medium">
        <color indexed="64"/>
      </top>
      <bottom/>
      <diagonal/>
    </border>
    <border>
      <left style="thin">
        <color indexed="64"/>
      </left>
      <right style="double">
        <color indexed="64"/>
      </right>
      <top/>
      <bottom style="medium">
        <color indexed="64"/>
      </bottom>
      <diagonal/>
    </border>
  </borders>
  <cellStyleXfs count="58380">
    <xf numFmtId="0" fontId="0" fillId="0" borderId="0"/>
    <xf numFmtId="165" fontId="1" fillId="0" borderId="0" applyFont="0" applyFill="0" applyBorder="0" applyAlignment="0" applyProtection="0"/>
    <xf numFmtId="0" fontId="2" fillId="0" borderId="0"/>
    <xf numFmtId="0" fontId="3" fillId="0" borderId="0">
      <alignment vertical="center"/>
    </xf>
    <xf numFmtId="0" fontId="3" fillId="0" borderId="0">
      <alignment vertical="center"/>
    </xf>
    <xf numFmtId="165" fontId="2" fillId="0" borderId="0" applyFont="0" applyFill="0" applyBorder="0" applyAlignment="0" applyProtection="0"/>
    <xf numFmtId="9" fontId="1" fillId="0" borderId="0" applyFont="0" applyFill="0" applyBorder="0" applyAlignment="0" applyProtection="0"/>
    <xf numFmtId="0" fontId="2" fillId="0" borderId="0"/>
    <xf numFmtId="0" fontId="3" fillId="0" borderId="0">
      <alignment vertical="center"/>
    </xf>
    <xf numFmtId="0" fontId="17" fillId="0" borderId="0"/>
    <xf numFmtId="172" fontId="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165" fontId="1" fillId="0" borderId="0" applyFont="0" applyFill="0" applyBorder="0" applyAlignment="0" applyProtection="0"/>
    <xf numFmtId="0" fontId="2" fillId="0" borderId="0"/>
    <xf numFmtId="0" fontId="1" fillId="0" borderId="0"/>
    <xf numFmtId="0" fontId="2" fillId="0" borderId="0"/>
    <xf numFmtId="0" fontId="2" fillId="0" borderId="0"/>
    <xf numFmtId="175" fontId="1" fillId="0" borderId="0"/>
    <xf numFmtId="0" fontId="23" fillId="0" borderId="0">
      <alignment vertical="top"/>
    </xf>
    <xf numFmtId="43" fontId="2" fillId="0" borderId="0" applyFont="0" applyFill="0" applyBorder="0" applyAlignment="0" applyProtection="0">
      <alignment vertical="center"/>
    </xf>
    <xf numFmtId="0" fontId="2" fillId="0" borderId="0"/>
    <xf numFmtId="9" fontId="2" fillId="0" borderId="0" applyFont="0" applyFill="0" applyBorder="0" applyAlignment="0" applyProtection="0"/>
    <xf numFmtId="172" fontId="2" fillId="0" borderId="0" applyFont="0" applyFill="0" applyBorder="0" applyAlignment="0" applyProtection="0"/>
    <xf numFmtId="0" fontId="26" fillId="0" borderId="0"/>
    <xf numFmtId="172" fontId="1" fillId="0" borderId="0" applyFont="0" applyFill="0" applyBorder="0" applyAlignment="0" applyProtection="0"/>
    <xf numFmtId="0" fontId="2" fillId="0" borderId="0"/>
    <xf numFmtId="165" fontId="2" fillId="0" borderId="0" applyFont="0" applyFill="0" applyBorder="0" applyAlignment="0" applyProtection="0"/>
    <xf numFmtId="165" fontId="1" fillId="0" borderId="0" applyFont="0" applyFill="0" applyBorder="0" applyAlignment="0" applyProtection="0"/>
    <xf numFmtId="0" fontId="2" fillId="0" borderId="0"/>
    <xf numFmtId="0" fontId="1" fillId="0" borderId="0"/>
    <xf numFmtId="0" fontId="33" fillId="0" borderId="0"/>
    <xf numFmtId="0" fontId="37" fillId="0" borderId="0"/>
    <xf numFmtId="191" fontId="2" fillId="0" borderId="0">
      <protection locked="0"/>
    </xf>
    <xf numFmtId="0" fontId="35" fillId="0" borderId="0" applyNumberFormat="0" applyFill="0" applyBorder="0" applyAlignment="0" applyProtection="0"/>
    <xf numFmtId="0" fontId="24" fillId="0" borderId="0" applyNumberFormat="0" applyFill="0" applyBorder="0" applyAlignment="0" applyProtection="0"/>
    <xf numFmtId="0" fontId="38" fillId="0" borderId="0"/>
    <xf numFmtId="191" fontId="2" fillId="0" borderId="0" applyFont="0" applyFill="0" applyBorder="0" applyAlignment="0" applyProtection="0"/>
    <xf numFmtId="194" fontId="2" fillId="0" borderId="0" applyFont="0" applyFill="0" applyBorder="0" applyAlignment="0" applyProtection="0"/>
    <xf numFmtId="191" fontId="2" fillId="0" borderId="0" applyFon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applyFont="0" applyFill="0" applyBorder="0" applyAlignment="0" applyProtection="0"/>
    <xf numFmtId="2" fontId="2" fillId="0" borderId="0" applyFont="0" applyFill="0" applyBorder="0" applyAlignment="0" applyProtection="0"/>
    <xf numFmtId="192" fontId="2" fillId="0" borderId="0">
      <protection locked="0"/>
    </xf>
    <xf numFmtId="0" fontId="36" fillId="0" borderId="0">
      <protection locked="0"/>
    </xf>
    <xf numFmtId="0" fontId="36" fillId="0" borderId="0">
      <protection locked="0"/>
    </xf>
    <xf numFmtId="192" fontId="2" fillId="0" borderId="0" applyFont="0" applyFill="0" applyBorder="0" applyAlignment="0" applyProtection="0"/>
    <xf numFmtId="172" fontId="37"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5" fontId="2" fillId="0" borderId="0" applyFont="0" applyFill="0" applyBorder="0" applyAlignment="0" applyProtection="0"/>
    <xf numFmtId="0" fontId="1" fillId="0" borderId="0"/>
    <xf numFmtId="0" fontId="2" fillId="0" borderId="0"/>
    <xf numFmtId="0" fontId="37" fillId="0" borderId="0"/>
    <xf numFmtId="0" fontId="37" fillId="0" borderId="0"/>
    <xf numFmtId="0" fontId="37" fillId="13" borderId="40" applyNumberFormat="0" applyFont="0" applyAlignment="0" applyProtection="0"/>
    <xf numFmtId="0" fontId="37" fillId="13" borderId="40" applyNumberFormat="0" applyFont="0" applyAlignment="0" applyProtection="0"/>
    <xf numFmtId="9" fontId="2" fillId="0" borderId="0" applyFont="0" applyFill="0" applyBorder="0" applyAlignment="0" applyProtection="0"/>
    <xf numFmtId="9" fontId="37" fillId="0" borderId="0" applyFont="0" applyFill="0" applyBorder="0" applyAlignment="0" applyProtection="0"/>
    <xf numFmtId="3" fontId="2" fillId="0" borderId="0" applyFont="0" applyFill="0" applyBorder="0" applyAlignment="0" applyProtection="0"/>
    <xf numFmtId="0" fontId="2" fillId="0" borderId="41" applyNumberFormat="0" applyFont="0" applyFill="0" applyAlignment="0" applyProtection="0"/>
    <xf numFmtId="165"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0" fontId="2" fillId="0" borderId="0"/>
    <xf numFmtId="0" fontId="3" fillId="0" borderId="0">
      <alignment vertical="center"/>
    </xf>
    <xf numFmtId="0" fontId="3" fillId="0" borderId="0">
      <alignment vertical="center"/>
    </xf>
    <xf numFmtId="165" fontId="2" fillId="0" borderId="0" applyFont="0" applyFill="0" applyBorder="0" applyAlignment="0" applyProtection="0"/>
    <xf numFmtId="0" fontId="37" fillId="14" borderId="0" applyNumberFormat="0" applyBorder="0" applyAlignment="0" applyProtection="0"/>
    <xf numFmtId="0" fontId="37" fillId="15" borderId="0" applyNumberFormat="0" applyBorder="0" applyAlignment="0" applyProtection="0"/>
    <xf numFmtId="0" fontId="37" fillId="16" borderId="0" applyNumberFormat="0" applyBorder="0" applyAlignment="0" applyProtection="0"/>
    <xf numFmtId="0" fontId="37"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37" fillId="20" borderId="0" applyNumberFormat="0" applyBorder="0" applyAlignment="0" applyProtection="0"/>
    <xf numFmtId="0" fontId="37" fillId="21" borderId="0" applyNumberFormat="0" applyBorder="0" applyAlignment="0" applyProtection="0"/>
    <xf numFmtId="0" fontId="37" fillId="22" borderId="0" applyNumberFormat="0" applyBorder="0" applyAlignment="0" applyProtection="0"/>
    <xf numFmtId="0" fontId="37" fillId="17" borderId="0" applyNumberFormat="0" applyBorder="0" applyAlignment="0" applyProtection="0"/>
    <xf numFmtId="0" fontId="37" fillId="20" borderId="0" applyNumberFormat="0" applyBorder="0" applyAlignment="0" applyProtection="0"/>
    <xf numFmtId="0" fontId="37" fillId="23" borderId="0" applyNumberFormat="0" applyBorder="0" applyAlignment="0" applyProtection="0"/>
    <xf numFmtId="0" fontId="40" fillId="24"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40" fillId="27" borderId="0" applyNumberFormat="0" applyBorder="0" applyAlignment="0" applyProtection="0"/>
    <xf numFmtId="0" fontId="41" fillId="16" borderId="0" applyNumberFormat="0" applyBorder="0" applyAlignment="0" applyProtection="0"/>
    <xf numFmtId="0" fontId="42" fillId="28" borderId="42" applyNumberFormat="0" applyAlignment="0" applyProtection="0"/>
    <xf numFmtId="0" fontId="43" fillId="29" borderId="43" applyNumberFormat="0" applyAlignment="0" applyProtection="0"/>
    <xf numFmtId="0" fontId="44" fillId="0" borderId="44" applyNumberFormat="0" applyFill="0" applyAlignment="0" applyProtection="0"/>
    <xf numFmtId="195"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191" fontId="2" fillId="0" borderId="0">
      <protection locked="0"/>
    </xf>
    <xf numFmtId="191" fontId="2" fillId="0" borderId="0">
      <protection locked="0"/>
    </xf>
    <xf numFmtId="191" fontId="2" fillId="0" borderId="0">
      <protection locked="0"/>
    </xf>
    <xf numFmtId="5" fontId="2" fillId="0" borderId="0" applyFill="0" applyBorder="0" applyAlignment="0" applyProtection="0"/>
    <xf numFmtId="5" fontId="2" fillId="0" borderId="0" applyFill="0" applyBorder="0" applyAlignment="0" applyProtection="0"/>
    <xf numFmtId="196" fontId="2" fillId="0" borderId="0" applyFill="0" applyBorder="0" applyAlignment="0" applyProtection="0"/>
    <xf numFmtId="196" fontId="2" fillId="0" borderId="0" applyFill="0" applyBorder="0" applyAlignment="0" applyProtection="0"/>
    <xf numFmtId="0" fontId="45" fillId="0" borderId="0" applyNumberFormat="0" applyFill="0" applyBorder="0" applyAlignment="0" applyProtection="0"/>
    <xf numFmtId="0" fontId="40" fillId="30" borderId="0" applyNumberFormat="0" applyBorder="0" applyAlignment="0" applyProtection="0"/>
    <xf numFmtId="0" fontId="40" fillId="31" borderId="0" applyNumberFormat="0" applyBorder="0" applyAlignment="0" applyProtection="0"/>
    <xf numFmtId="0" fontId="40" fillId="32"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40" fillId="33" borderId="0" applyNumberFormat="0" applyBorder="0" applyAlignment="0" applyProtection="0"/>
    <xf numFmtId="0" fontId="46" fillId="19" borderId="42" applyNumberFormat="0" applyAlignment="0" applyProtection="0"/>
    <xf numFmtId="194"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192" fontId="2" fillId="0" borderId="0">
      <protection locked="0"/>
    </xf>
    <xf numFmtId="192" fontId="2" fillId="0" borderId="0">
      <protection locked="0"/>
    </xf>
    <xf numFmtId="192" fontId="2" fillId="0" borderId="0">
      <protection locked="0"/>
    </xf>
    <xf numFmtId="192" fontId="2" fillId="0" borderId="0">
      <protection locked="0"/>
    </xf>
    <xf numFmtId="0" fontId="35" fillId="0" borderId="0" applyNumberFormat="0" applyFill="0" applyBorder="0" applyAlignment="0" applyProtection="0"/>
    <xf numFmtId="0" fontId="24" fillId="0" borderId="0" applyNumberFormat="0" applyFill="0" applyBorder="0" applyAlignment="0" applyProtection="0"/>
    <xf numFmtId="0" fontId="47" fillId="15" borderId="0" applyNumberFormat="0" applyBorder="0" applyAlignment="0" applyProtection="0"/>
    <xf numFmtId="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5" fontId="2" fillId="0" borderId="0" applyFont="0" applyFill="0" applyBorder="0" applyAlignment="0" applyProtection="0"/>
    <xf numFmtId="0" fontId="48" fillId="34" borderId="0" applyNumberFormat="0" applyBorder="0" applyAlignment="0" applyProtection="0"/>
    <xf numFmtId="0" fontId="2" fillId="0" borderId="0"/>
    <xf numFmtId="0" fontId="2" fillId="0" borderId="0"/>
    <xf numFmtId="0" fontId="3" fillId="0" borderId="0">
      <alignment vertical="center"/>
    </xf>
    <xf numFmtId="0" fontId="3" fillId="0" borderId="0">
      <alignment vertical="center"/>
    </xf>
    <xf numFmtId="0" fontId="2" fillId="0" borderId="0"/>
    <xf numFmtId="0" fontId="49" fillId="0" borderId="0"/>
    <xf numFmtId="193" fontId="2" fillId="0" borderId="0">
      <protection locked="0"/>
    </xf>
    <xf numFmtId="193" fontId="2" fillId="0" borderId="0">
      <protection locked="0"/>
    </xf>
    <xf numFmtId="193" fontId="2" fillId="0" borderId="0">
      <protection locked="0"/>
    </xf>
    <xf numFmtId="193" fontId="2" fillId="0" borderId="0">
      <protection locked="0"/>
    </xf>
    <xf numFmtId="9" fontId="2" fillId="0" borderId="0" applyFont="0" applyFill="0" applyBorder="0" applyAlignment="0" applyProtection="0"/>
    <xf numFmtId="9"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0" fontId="50" fillId="28" borderId="45" applyNumberFormat="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53" fillId="0" borderId="46" applyNumberFormat="0" applyFill="0" applyAlignment="0" applyProtection="0"/>
    <xf numFmtId="0" fontId="54" fillId="0" borderId="47" applyNumberFormat="0" applyFill="0" applyAlignment="0" applyProtection="0"/>
    <xf numFmtId="0" fontId="45" fillId="0" borderId="48" applyNumberFormat="0" applyFill="0" applyAlignment="0" applyProtection="0"/>
    <xf numFmtId="0" fontId="55" fillId="0" borderId="0" applyNumberFormat="0" applyFill="0" applyBorder="0" applyAlignment="0" applyProtection="0"/>
    <xf numFmtId="0" fontId="56" fillId="0" borderId="49" applyNumberFormat="0" applyFill="0" applyAlignment="0" applyProtection="0"/>
    <xf numFmtId="0" fontId="2" fillId="0" borderId="41" applyNumberFormat="0" applyFont="0" applyFill="0" applyAlignment="0" applyProtection="0"/>
    <xf numFmtId="165" fontId="2" fillId="0" borderId="0" applyFont="0" applyFill="0" applyBorder="0" applyAlignment="0" applyProtection="0"/>
    <xf numFmtId="0" fontId="2" fillId="0" borderId="0"/>
    <xf numFmtId="0" fontId="2" fillId="0" borderId="0"/>
    <xf numFmtId="0" fontId="3" fillId="0" borderId="0"/>
    <xf numFmtId="197" fontId="37" fillId="0" borderId="0" applyFont="0" applyFill="0" applyBorder="0" applyAlignment="0" applyProtection="0"/>
    <xf numFmtId="189" fontId="2" fillId="0" borderId="0" applyFont="0" applyFill="0" applyBorder="0" applyAlignment="0" applyProtection="0"/>
    <xf numFmtId="198" fontId="37" fillId="0" borderId="0" applyFont="0" applyFill="0" applyBorder="0" applyAlignment="0" applyProtection="0"/>
    <xf numFmtId="172" fontId="2" fillId="0" borderId="0" applyFont="0" applyFill="0" applyBorder="0" applyAlignment="0" applyProtection="0"/>
    <xf numFmtId="0" fontId="57" fillId="0" borderId="0" applyNumberFormat="0" applyFill="0" applyBorder="0" applyAlignment="0" applyProtection="0">
      <alignment vertical="top"/>
      <protection locked="0"/>
    </xf>
    <xf numFmtId="0" fontId="26" fillId="0" borderId="0"/>
    <xf numFmtId="165" fontId="2" fillId="0" borderId="0" applyFont="0" applyFill="0" applyBorder="0" applyAlignment="0" applyProtection="0"/>
    <xf numFmtId="165"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0" fontId="1" fillId="0" borderId="0"/>
    <xf numFmtId="0" fontId="3" fillId="13" borderId="40" applyNumberFormat="0" applyFont="0" applyAlignment="0" applyProtection="0"/>
    <xf numFmtId="194" fontId="2" fillId="0" borderId="0" applyFont="0" applyFill="0" applyBorder="0" applyAlignment="0" applyProtection="0"/>
    <xf numFmtId="192" fontId="2" fillId="0" borderId="0" applyFont="0" applyFill="0" applyBorder="0" applyAlignment="0" applyProtection="0"/>
    <xf numFmtId="172" fontId="37" fillId="0" borderId="0" applyFont="0" applyFill="0" applyBorder="0" applyAlignment="0" applyProtection="0"/>
    <xf numFmtId="165" fontId="2" fillId="0" borderId="0" applyFont="0" applyFill="0" applyBorder="0" applyAlignment="0" applyProtection="0"/>
    <xf numFmtId="0" fontId="1" fillId="0" borderId="0"/>
    <xf numFmtId="0" fontId="2" fillId="0" borderId="0"/>
    <xf numFmtId="0" fontId="37" fillId="13" borderId="40" applyNumberFormat="0" applyFont="0" applyAlignment="0" applyProtection="0"/>
    <xf numFmtId="9"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0" fontId="2" fillId="0" borderId="0"/>
    <xf numFmtId="0" fontId="58" fillId="0" borderId="0"/>
    <xf numFmtId="0" fontId="38" fillId="0" borderId="0"/>
    <xf numFmtId="0" fontId="59" fillId="0" borderId="0"/>
    <xf numFmtId="0" fontId="58" fillId="0" borderId="0"/>
    <xf numFmtId="0" fontId="58" fillId="0" borderId="0"/>
    <xf numFmtId="0" fontId="58" fillId="0" borderId="0"/>
    <xf numFmtId="0" fontId="59" fillId="0" borderId="0"/>
    <xf numFmtId="0" fontId="58" fillId="0" borderId="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60" fillId="0" borderId="1"/>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41" fillId="18" borderId="0" applyNumberFormat="0" applyBorder="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61" fillId="35" borderId="42" applyNumberFormat="0" applyAlignment="0" applyProtection="0"/>
    <xf numFmtId="0" fontId="2" fillId="0" borderId="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43" fillId="29" borderId="43" applyNumberFormat="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51" fillId="0" borderId="50" applyNumberFormat="0" applyFill="0" applyAlignment="0" applyProtection="0"/>
    <xf numFmtId="0" fontId="34" fillId="0" borderId="0">
      <protection locked="0"/>
    </xf>
    <xf numFmtId="0" fontId="36" fillId="0" borderId="0">
      <protection locked="0"/>
    </xf>
    <xf numFmtId="0" fontId="36" fillId="0" borderId="0">
      <protection locked="0"/>
    </xf>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6"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3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37"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46" fillId="34" borderId="42" applyNumberFormat="0" applyAlignment="0" applyProtection="0"/>
    <xf numFmtId="0" fontId="26" fillId="0" borderId="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200" fontId="34" fillId="0" borderId="0">
      <protection locked="0"/>
    </xf>
    <xf numFmtId="0" fontId="63" fillId="0" borderId="0" applyNumberFormat="0" applyFill="0" applyBorder="0" applyAlignment="0" applyProtection="0">
      <alignment vertical="top"/>
      <protection locked="0"/>
    </xf>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0" fontId="47" fillId="17" borderId="0" applyNumberFormat="0" applyBorder="0" applyAlignment="0" applyProtection="0"/>
    <xf numFmtId="201" fontId="2" fillId="0" borderId="0" applyFont="0" applyFill="0" applyBorder="0" applyAlignment="0" applyProtection="0"/>
    <xf numFmtId="172"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alignment vertical="center"/>
    </xf>
    <xf numFmtId="175" fontId="2" fillId="0" borderId="0" applyFont="0" applyFill="0" applyBorder="0" applyAlignment="0" applyProtection="0"/>
    <xf numFmtId="203" fontId="2" fillId="0" borderId="0" applyFont="0" applyFill="0" applyBorder="0" applyAlignment="0" applyProtection="0">
      <alignment vertical="center"/>
    </xf>
    <xf numFmtId="204" fontId="2" fillId="0" borderId="0" applyFont="0" applyFill="0" applyBorder="0" applyAlignment="0" applyProtection="0"/>
    <xf numFmtId="205" fontId="2" fillId="0" borderId="0" applyFont="0" applyFill="0" applyBorder="0" applyAlignment="0" applyProtection="0"/>
    <xf numFmtId="204" fontId="2" fillId="0" borderId="0" applyFont="0" applyFill="0" applyBorder="0" applyAlignment="0" applyProtection="0"/>
    <xf numFmtId="201" fontId="2" fillId="0" borderId="0" applyFont="0" applyFill="0" applyBorder="0" applyAlignment="0" applyProtection="0"/>
    <xf numFmtId="206" fontId="2" fillId="0" borderId="0" applyFont="0" applyFill="0" applyBorder="0" applyAlignment="0" applyProtection="0"/>
    <xf numFmtId="207" fontId="64" fillId="0" borderId="51" applyFont="0" applyBorder="0" applyAlignment="0"/>
    <xf numFmtId="208" fontId="34" fillId="0" borderId="0">
      <protection locked="0"/>
    </xf>
    <xf numFmtId="209" fontId="2" fillId="0" borderId="0" applyFont="0" applyFill="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39" fillId="0" borderId="0"/>
    <xf numFmtId="0" fontId="2" fillId="0" borderId="0"/>
    <xf numFmtId="0" fontId="37" fillId="0" borderId="0"/>
    <xf numFmtId="0" fontId="37" fillId="0" borderId="0"/>
    <xf numFmtId="0" fontId="2" fillId="0" borderId="0"/>
    <xf numFmtId="0" fontId="2" fillId="0" borderId="0"/>
    <xf numFmtId="0" fontId="2" fillId="0" borderId="0"/>
    <xf numFmtId="0" fontId="37" fillId="0" borderId="0"/>
    <xf numFmtId="0" fontId="3" fillId="0" borderId="0">
      <alignment vertical="center"/>
    </xf>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2" fillId="0" borderId="0"/>
    <xf numFmtId="0" fontId="3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alignment vertical="center"/>
    </xf>
    <xf numFmtId="0" fontId="3"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37" fillId="0" borderId="0"/>
    <xf numFmtId="0" fontId="2" fillId="0" borderId="0"/>
    <xf numFmtId="0" fontId="37" fillId="0" borderId="0"/>
    <xf numFmtId="0" fontId="2"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2" fillId="0" borderId="0"/>
    <xf numFmtId="0" fontId="37" fillId="0" borderId="0"/>
    <xf numFmtId="0" fontId="2" fillId="0" borderId="0"/>
    <xf numFmtId="0" fontId="37"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3" fillId="0" borderId="0">
      <alignment vertical="top"/>
    </xf>
    <xf numFmtId="0" fontId="1" fillId="0" borderId="0"/>
    <xf numFmtId="0" fontId="3" fillId="0" borderId="0">
      <alignment vertical="center"/>
    </xf>
    <xf numFmtId="0" fontId="3" fillId="0" borderId="0">
      <alignment vertical="center"/>
    </xf>
    <xf numFmtId="0" fontId="3"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0" fontId="2" fillId="13" borderId="40" applyNumberFormat="0" applyFont="0" applyAlignment="0" applyProtection="0"/>
    <xf numFmtId="9" fontId="37" fillId="0" borderId="0" applyFont="0" applyFill="0" applyBorder="0" applyAlignment="0" applyProtection="0"/>
    <xf numFmtId="9" fontId="37" fillId="0" borderId="0" applyFont="0" applyFill="0" applyBorder="0" applyAlignment="0" applyProtection="0"/>
    <xf numFmtId="9" fontId="2" fillId="0" borderId="0" applyFont="0" applyFill="0" applyBorder="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0" fillId="35" borderId="45" applyNumberFormat="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6" fillId="0" borderId="52" applyNumberFormat="0" applyFill="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2" fillId="0" borderId="54" applyNumberFormat="0" applyFill="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56" fillId="0" borderId="55" applyNumberFormat="0" applyFill="0" applyAlignment="0" applyProtection="0"/>
    <xf numFmtId="0" fontId="1" fillId="0" borderId="0"/>
    <xf numFmtId="172" fontId="1" fillId="0" borderId="0" applyFont="0" applyFill="0" applyBorder="0" applyAlignment="0" applyProtection="0"/>
    <xf numFmtId="0" fontId="1" fillId="0" borderId="0"/>
    <xf numFmtId="0" fontId="2" fillId="0" borderId="0"/>
    <xf numFmtId="172" fontId="1" fillId="0" borderId="0" applyFont="0" applyFill="0" applyBorder="0" applyAlignment="0" applyProtection="0"/>
    <xf numFmtId="172" fontId="70" fillId="0" borderId="0" applyFont="0" applyFill="0" applyBorder="0" applyAlignment="0" applyProtection="0"/>
    <xf numFmtId="0" fontId="70" fillId="0" borderId="0"/>
    <xf numFmtId="0" fontId="2" fillId="0" borderId="0"/>
    <xf numFmtId="0" fontId="38" fillId="0" borderId="0"/>
    <xf numFmtId="0" fontId="38" fillId="0" borderId="0"/>
    <xf numFmtId="0" fontId="60" fillId="0" borderId="1"/>
    <xf numFmtId="0" fontId="71" fillId="0" borderId="0"/>
    <xf numFmtId="0" fontId="2" fillId="0" borderId="0"/>
    <xf numFmtId="0" fontId="26" fillId="0" borderId="0"/>
    <xf numFmtId="0" fontId="2" fillId="0" borderId="0"/>
    <xf numFmtId="0" fontId="26" fillId="0" borderId="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210" fontId="2" fillId="0" borderId="0" applyFont="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200" fontId="34" fillId="0" borderId="0">
      <protection locked="0"/>
    </xf>
    <xf numFmtId="195" fontId="2" fillId="0" borderId="0" applyFill="0" applyBorder="0" applyAlignment="0" applyProtection="0"/>
    <xf numFmtId="195" fontId="2" fillId="0" borderId="0" applyFill="0" applyBorder="0" applyAlignment="0" applyProtection="0"/>
    <xf numFmtId="200" fontId="34" fillId="0" borderId="0">
      <protection locked="0"/>
    </xf>
    <xf numFmtId="200" fontId="34" fillId="0" borderId="0">
      <protection locked="0"/>
    </xf>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195" fontId="2" fillId="0" borderId="0" applyFill="0" applyBorder="0" applyAlignment="0" applyProtection="0"/>
    <xf numFmtId="200" fontId="34" fillId="0" borderId="0">
      <protection locked="0"/>
    </xf>
    <xf numFmtId="195" fontId="2" fillId="0" borderId="0" applyFill="0" applyBorder="0" applyAlignment="0" applyProtection="0"/>
    <xf numFmtId="195" fontId="2" fillId="0" borderId="0" applyFill="0" applyBorder="0" applyAlignment="0" applyProtection="0"/>
    <xf numFmtId="0" fontId="72" fillId="0" borderId="0"/>
    <xf numFmtId="0" fontId="73" fillId="0" borderId="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74"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74"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74" fillId="0" borderId="0" applyFont="0" applyFill="0" applyBorder="0" applyAlignment="0" applyProtection="0"/>
    <xf numFmtId="3" fontId="74"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3" fontId="74" fillId="0" borderId="0" applyFont="0" applyFill="0" applyBorder="0" applyAlignment="0" applyProtection="0"/>
    <xf numFmtId="3" fontId="2" fillId="0" borderId="0" applyFill="0" applyBorder="0" applyAlignment="0" applyProtection="0"/>
    <xf numFmtId="3" fontId="2" fillId="0" borderId="0" applyFill="0" applyBorder="0" applyAlignment="0" applyProtection="0"/>
    <xf numFmtId="3" fontId="2" fillId="0" borderId="0" applyFill="0" applyBorder="0" applyAlignment="0" applyProtection="0"/>
    <xf numFmtId="0" fontId="73" fillId="0" borderId="0"/>
    <xf numFmtId="0" fontId="72" fillId="0" borderId="0"/>
    <xf numFmtId="5" fontId="2" fillId="0" borderId="0" applyFill="0" applyBorder="0" applyAlignment="0" applyProtection="0"/>
    <xf numFmtId="211" fontId="34" fillId="0" borderId="0">
      <protection locked="0"/>
    </xf>
    <xf numFmtId="212" fontId="2" fillId="0" borderId="0" applyFill="0" applyBorder="0" applyAlignment="0" applyProtection="0"/>
    <xf numFmtId="196" fontId="2" fillId="0" borderId="0" applyFill="0" applyBorder="0" applyAlignment="0" applyProtection="0"/>
    <xf numFmtId="0" fontId="69" fillId="0" borderId="0" applyProtection="0"/>
    <xf numFmtId="0" fontId="34" fillId="0" borderId="0">
      <protection locked="0"/>
    </xf>
    <xf numFmtId="0" fontId="34" fillId="0" borderId="0">
      <protection locked="0"/>
    </xf>
    <xf numFmtId="0" fontId="34" fillId="0" borderId="0">
      <protection locked="0"/>
    </xf>
    <xf numFmtId="0" fontId="69" fillId="0" borderId="0" applyProtection="0"/>
    <xf numFmtId="0" fontId="69" fillId="0" borderId="0" applyProtection="0"/>
    <xf numFmtId="0" fontId="69" fillId="0" borderId="0" applyProtection="0"/>
    <xf numFmtId="0" fontId="69" fillId="0" borderId="0" applyProtection="0"/>
    <xf numFmtId="0" fontId="69" fillId="0" borderId="0" applyProtection="0"/>
    <xf numFmtId="0" fontId="69" fillId="0" borderId="0" applyProtection="0"/>
    <xf numFmtId="0" fontId="69" fillId="0" borderId="0" applyProtection="0"/>
    <xf numFmtId="0" fontId="35" fillId="0" borderId="0" applyProtection="0"/>
    <xf numFmtId="0" fontId="36" fillId="0" borderId="0">
      <protection locked="0"/>
    </xf>
    <xf numFmtId="0" fontId="36" fillId="0" borderId="0">
      <protection locked="0"/>
    </xf>
    <xf numFmtId="0" fontId="36" fillId="0" borderId="0">
      <protection locked="0"/>
    </xf>
    <xf numFmtId="0" fontId="35" fillId="0" borderId="0" applyProtection="0"/>
    <xf numFmtId="0" fontId="35" fillId="0" borderId="0" applyProtection="0"/>
    <xf numFmtId="0" fontId="35" fillId="0" borderId="0" applyProtection="0"/>
    <xf numFmtId="0" fontId="35" fillId="0" borderId="0" applyProtection="0"/>
    <xf numFmtId="0" fontId="35" fillId="0" borderId="0" applyProtection="0"/>
    <xf numFmtId="0" fontId="35" fillId="0" borderId="0" applyProtection="0"/>
    <xf numFmtId="0" fontId="35" fillId="0" borderId="0" applyProtection="0"/>
    <xf numFmtId="0" fontId="24" fillId="0" borderId="0" applyProtection="0"/>
    <xf numFmtId="0" fontId="36" fillId="0" borderId="0">
      <protection locked="0"/>
    </xf>
    <xf numFmtId="0" fontId="36" fillId="0" borderId="0">
      <protection locked="0"/>
    </xf>
    <xf numFmtId="0" fontId="36" fillId="0" borderId="0">
      <protection locked="0"/>
    </xf>
    <xf numFmtId="0" fontId="24" fillId="0" borderId="0" applyProtection="0"/>
    <xf numFmtId="0" fontId="24" fillId="0" borderId="0" applyProtection="0"/>
    <xf numFmtId="0" fontId="24" fillId="0" borderId="0" applyProtection="0"/>
    <xf numFmtId="0" fontId="24" fillId="0" borderId="0" applyProtection="0"/>
    <xf numFmtId="0" fontId="24" fillId="0" borderId="0" applyProtection="0"/>
    <xf numFmtId="0" fontId="24" fillId="0" borderId="0" applyProtection="0"/>
    <xf numFmtId="0" fontId="24" fillId="0" borderId="0" applyProtection="0"/>
    <xf numFmtId="0" fontId="2" fillId="0" borderId="0"/>
    <xf numFmtId="0" fontId="26" fillId="0" borderId="0"/>
    <xf numFmtId="213" fontId="75" fillId="0" borderId="0"/>
    <xf numFmtId="0" fontId="37" fillId="0" borderId="0"/>
    <xf numFmtId="0" fontId="76"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77"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77" fillId="0" borderId="0">
      <protection locked="0"/>
    </xf>
    <xf numFmtId="0" fontId="34" fillId="0" borderId="0">
      <protection locked="0"/>
    </xf>
    <xf numFmtId="0" fontId="34" fillId="0" borderId="0">
      <protection locked="0"/>
    </xf>
    <xf numFmtId="0" fontId="77" fillId="0" borderId="0">
      <protection locked="0"/>
    </xf>
    <xf numFmtId="0" fontId="77"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77" fillId="0" borderId="0">
      <protection locked="0"/>
    </xf>
    <xf numFmtId="0" fontId="34" fillId="0" borderId="0">
      <protection locked="0"/>
    </xf>
    <xf numFmtId="0" fontId="34" fillId="0" borderId="0">
      <protection locked="0"/>
    </xf>
    <xf numFmtId="0" fontId="25" fillId="0" borderId="0" applyNumberFormat="0" applyFill="0" applyBorder="0" applyAlignment="0" applyProtection="0"/>
    <xf numFmtId="0" fontId="64"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77"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77" fillId="0" borderId="0">
      <protection locked="0"/>
    </xf>
    <xf numFmtId="0" fontId="34" fillId="0" borderId="0">
      <protection locked="0"/>
    </xf>
    <xf numFmtId="0" fontId="34" fillId="0" borderId="0">
      <protection locked="0"/>
    </xf>
    <xf numFmtId="0" fontId="77" fillId="0" borderId="0">
      <protection locked="0"/>
    </xf>
    <xf numFmtId="0" fontId="77"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77" fillId="0" borderId="0">
      <protection locked="0"/>
    </xf>
    <xf numFmtId="0" fontId="34" fillId="0" borderId="0">
      <protection locked="0"/>
    </xf>
    <xf numFmtId="0" fontId="34" fillId="0" borderId="0">
      <protection locked="0"/>
    </xf>
    <xf numFmtId="0" fontId="3" fillId="0" borderId="0" applyProtection="0"/>
    <xf numFmtId="0" fontId="78" fillId="0" borderId="0">
      <protection locked="0"/>
    </xf>
    <xf numFmtId="0" fontId="79" fillId="0" borderId="0">
      <protection locked="0"/>
    </xf>
    <xf numFmtId="0" fontId="80"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77"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77" fillId="0" borderId="0">
      <protection locked="0"/>
    </xf>
    <xf numFmtId="0" fontId="34" fillId="0" borderId="0">
      <protection locked="0"/>
    </xf>
    <xf numFmtId="0" fontId="34" fillId="0" borderId="0">
      <protection locked="0"/>
    </xf>
    <xf numFmtId="0" fontId="77" fillId="0" borderId="0">
      <protection locked="0"/>
    </xf>
    <xf numFmtId="0" fontId="77"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77" fillId="0" borderId="0">
      <protection locked="0"/>
    </xf>
    <xf numFmtId="0" fontId="34" fillId="0" borderId="0">
      <protection locked="0"/>
    </xf>
    <xf numFmtId="0" fontId="34" fillId="0" borderId="0">
      <protection locked="0"/>
    </xf>
    <xf numFmtId="0" fontId="81" fillId="0" borderId="0" applyNumberFormat="0" applyFill="0" applyBorder="0" applyAlignment="0" applyProtection="0"/>
    <xf numFmtId="0" fontId="8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77"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77" fillId="0" borderId="0">
      <protection locked="0"/>
    </xf>
    <xf numFmtId="0" fontId="34" fillId="0" borderId="0">
      <protection locked="0"/>
    </xf>
    <xf numFmtId="0" fontId="34" fillId="0" borderId="0">
      <protection locked="0"/>
    </xf>
    <xf numFmtId="0" fontId="77" fillId="0" borderId="0">
      <protection locked="0"/>
    </xf>
    <xf numFmtId="0" fontId="77"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77" fillId="0" borderId="0">
      <protection locked="0"/>
    </xf>
    <xf numFmtId="0" fontId="34" fillId="0" borderId="0">
      <protection locked="0"/>
    </xf>
    <xf numFmtId="0" fontId="34" fillId="0" borderId="0">
      <protection locked="0"/>
    </xf>
    <xf numFmtId="0" fontId="83" fillId="0" borderId="0" applyProtection="0"/>
    <xf numFmtId="0" fontId="77" fillId="0" borderId="0">
      <protection locked="0"/>
    </xf>
    <xf numFmtId="0" fontId="34" fillId="0" borderId="0">
      <protection locked="0"/>
    </xf>
    <xf numFmtId="0" fontId="78" fillId="0" borderId="0">
      <protection locked="0"/>
    </xf>
    <xf numFmtId="0" fontId="79" fillId="0" borderId="0">
      <protection locked="0"/>
    </xf>
    <xf numFmtId="2" fontId="69" fillId="0" borderId="0" applyProtection="0"/>
    <xf numFmtId="214" fontId="34" fillId="0" borderId="0">
      <protection locked="0"/>
    </xf>
    <xf numFmtId="214" fontId="34" fillId="0" borderId="0">
      <protection locked="0"/>
    </xf>
    <xf numFmtId="2" fontId="69" fillId="0" borderId="0" applyProtection="0"/>
    <xf numFmtId="2" fontId="69" fillId="0" borderId="0" applyProtection="0"/>
    <xf numFmtId="2" fontId="69" fillId="0" borderId="0" applyProtection="0"/>
    <xf numFmtId="2" fontId="69" fillId="0" borderId="0" applyProtection="0"/>
    <xf numFmtId="2" fontId="69" fillId="0" borderId="0" applyProtection="0"/>
    <xf numFmtId="2" fontId="69" fillId="0" borderId="0" applyProtection="0"/>
    <xf numFmtId="4" fontId="69" fillId="0" borderId="0" applyProtection="0"/>
    <xf numFmtId="200" fontId="34" fillId="0" borderId="0">
      <protection locked="0"/>
    </xf>
    <xf numFmtId="200" fontId="34" fillId="0" borderId="0">
      <protection locked="0"/>
    </xf>
    <xf numFmtId="200" fontId="34" fillId="0" borderId="0">
      <protection locked="0"/>
    </xf>
    <xf numFmtId="4" fontId="69" fillId="0" borderId="0" applyProtection="0"/>
    <xf numFmtId="4" fontId="69" fillId="0" borderId="0" applyProtection="0"/>
    <xf numFmtId="4" fontId="69" fillId="0" borderId="0" applyProtection="0"/>
    <xf numFmtId="4" fontId="69" fillId="0" borderId="0" applyProtection="0"/>
    <xf numFmtId="4" fontId="69" fillId="0" borderId="0" applyProtection="0"/>
    <xf numFmtId="4" fontId="69" fillId="0" borderId="0" applyProtection="0"/>
    <xf numFmtId="4" fontId="69" fillId="0" borderId="0" applyProtection="0"/>
    <xf numFmtId="0" fontId="84" fillId="0" borderId="0" applyNumberFormat="0" applyFill="0" applyBorder="0" applyAlignment="0" applyProtection="0"/>
    <xf numFmtId="0" fontId="85" fillId="0" borderId="0" applyNumberFormat="0" applyFill="0" applyBorder="0" applyAlignment="0" applyProtection="0"/>
    <xf numFmtId="0" fontId="35" fillId="0" borderId="0" applyNumberFormat="0" applyFill="0" applyBorder="0" applyAlignment="0" applyProtection="0"/>
    <xf numFmtId="0" fontId="86" fillId="0" borderId="0" applyNumberFormat="0" applyFill="0" applyBorder="0" applyAlignment="0" applyProtection="0"/>
    <xf numFmtId="0" fontId="24" fillId="0" borderId="0" applyNumberFormat="0" applyFill="0" applyBorder="0" applyAlignment="0" applyProtection="0"/>
    <xf numFmtId="49" fontId="2" fillId="0" borderId="56" applyNumberFormat="0" applyProtection="0">
      <alignment horizontal="left" vertical="top"/>
    </xf>
    <xf numFmtId="49" fontId="87" fillId="0" borderId="56" applyNumberFormat="0" applyProtection="0">
      <alignment horizontal="left" vertical="top"/>
    </xf>
    <xf numFmtId="0" fontId="88" fillId="0" borderId="0" applyNumberFormat="0" applyFill="0" applyBorder="0" applyAlignment="0" applyProtection="0"/>
    <xf numFmtId="215" fontId="2" fillId="0" borderId="0" applyFill="0" applyBorder="0" applyAlignment="0" applyProtection="0"/>
    <xf numFmtId="215" fontId="2" fillId="0" borderId="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216" fontId="2"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217" fontId="89" fillId="0" borderId="0" applyFill="0" applyBorder="0" applyProtection="0">
      <alignment vertical="top"/>
    </xf>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218" fontId="37"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167"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220" fontId="2" fillId="0" borderId="0" applyFont="0" applyFill="0" applyBorder="0" applyAlignment="0" applyProtection="0"/>
    <xf numFmtId="219" fontId="2" fillId="0" borderId="0" applyFont="0" applyFill="0" applyBorder="0" applyAlignment="0" applyProtection="0"/>
    <xf numFmtId="219" fontId="2" fillId="0" borderId="0" applyFont="0" applyFill="0" applyBorder="0" applyAlignment="0" applyProtection="0"/>
    <xf numFmtId="190" fontId="2" fillId="0" borderId="0" applyFont="0" applyFill="0" applyBorder="0" applyAlignment="0" applyProtection="0"/>
    <xf numFmtId="221" fontId="2" fillId="0" borderId="0" applyProtection="0"/>
    <xf numFmtId="208" fontId="34" fillId="0" borderId="0">
      <protection locked="0"/>
    </xf>
    <xf numFmtId="208" fontId="34" fillId="0" borderId="0">
      <protection locked="0"/>
    </xf>
    <xf numFmtId="208" fontId="34" fillId="0" borderId="0">
      <protection locked="0"/>
    </xf>
    <xf numFmtId="221" fontId="2" fillId="0" borderId="0" applyProtection="0"/>
    <xf numFmtId="221" fontId="2" fillId="0" borderId="0" applyProtection="0"/>
    <xf numFmtId="221" fontId="2" fillId="0" borderId="0" applyProtection="0"/>
    <xf numFmtId="221" fontId="2" fillId="0" borderId="0" applyProtection="0"/>
    <xf numFmtId="221" fontId="2" fillId="0" borderId="0" applyProtection="0"/>
    <xf numFmtId="221" fontId="2" fillId="0" borderId="0" applyProtection="0"/>
    <xf numFmtId="221" fontId="2" fillId="0" borderId="0" applyProtection="0"/>
    <xf numFmtId="0" fontId="23" fillId="0" borderId="0">
      <alignment vertical="top"/>
    </xf>
    <xf numFmtId="0" fontId="1" fillId="0" borderId="0"/>
    <xf numFmtId="0" fontId="1" fillId="0" borderId="0"/>
    <xf numFmtId="0" fontId="1" fillId="0" borderId="0"/>
    <xf numFmtId="0" fontId="1" fillId="0" borderId="0"/>
    <xf numFmtId="0" fontId="23" fillId="0" borderId="0">
      <alignment vertical="top"/>
    </xf>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23" fillId="0" borderId="0">
      <alignment vertical="top"/>
    </xf>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2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0" borderId="0"/>
    <xf numFmtId="0" fontId="1" fillId="0" borderId="0"/>
    <xf numFmtId="0" fontId="1" fillId="0" borderId="0"/>
    <xf numFmtId="0" fontId="1" fillId="0" borderId="0"/>
    <xf numFmtId="0" fontId="1" fillId="0" borderId="0"/>
    <xf numFmtId="0" fontId="3" fillId="0" borderId="0">
      <alignment vertical="center"/>
    </xf>
    <xf numFmtId="0" fontId="49"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1" fillId="0" borderId="0"/>
    <xf numFmtId="0" fontId="1" fillId="0" borderId="0"/>
    <xf numFmtId="0" fontId="1" fillId="0" borderId="0"/>
    <xf numFmtId="0" fontId="1" fillId="0" borderId="0"/>
    <xf numFmtId="0" fontId="3" fillId="0" borderId="0">
      <alignment vertical="center"/>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38" fontId="90" fillId="0" borderId="0"/>
    <xf numFmtId="49" fontId="27" fillId="0" borderId="57">
      <alignment horizontal="center" vertical="center"/>
    </xf>
    <xf numFmtId="0" fontId="2" fillId="0" borderId="0"/>
    <xf numFmtId="0" fontId="1" fillId="0" borderId="0"/>
    <xf numFmtId="172" fontId="1" fillId="0" borderId="0" applyFont="0" applyFill="0" applyBorder="0" applyAlignment="0" applyProtection="0"/>
    <xf numFmtId="0" fontId="69" fillId="0" borderId="0"/>
    <xf numFmtId="0" fontId="37" fillId="0" borderId="0"/>
    <xf numFmtId="0" fontId="1" fillId="0" borderId="0"/>
    <xf numFmtId="0" fontId="1" fillId="0" borderId="0"/>
    <xf numFmtId="9" fontId="37" fillId="0" borderId="0" applyFont="0" applyFill="0" applyBorder="0" applyAlignment="0" applyProtection="0"/>
    <xf numFmtId="0" fontId="1" fillId="0" borderId="0"/>
    <xf numFmtId="172" fontId="1" fillId="0" borderId="0" applyFont="0" applyFill="0" applyBorder="0" applyAlignment="0" applyProtection="0"/>
    <xf numFmtId="0" fontId="23" fillId="0" borderId="0">
      <alignment vertical="top"/>
    </xf>
    <xf numFmtId="0" fontId="2" fillId="0" borderId="0"/>
    <xf numFmtId="0" fontId="56" fillId="0" borderId="55" applyNumberFormat="0" applyFill="0" applyAlignment="0" applyProtection="0"/>
    <xf numFmtId="0" fontId="1" fillId="0" borderId="0"/>
    <xf numFmtId="172" fontId="1" fillId="0" borderId="0" applyFont="0" applyFill="0" applyBorder="0" applyAlignment="0" applyProtection="0"/>
    <xf numFmtId="175" fontId="2" fillId="0" borderId="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3" fillId="0" borderId="0">
      <alignment vertical="center"/>
    </xf>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1"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5" borderId="0" applyNumberFormat="0" applyBorder="0" applyAlignment="0" applyProtection="0"/>
    <xf numFmtId="0" fontId="37" fillId="46" borderId="0" applyNumberFormat="0" applyBorder="0" applyAlignment="0" applyProtection="0"/>
    <xf numFmtId="0" fontId="37" fillId="41" borderId="0" applyNumberFormat="0" applyBorder="0" applyAlignment="0" applyProtection="0"/>
    <xf numFmtId="0" fontId="37" fillId="44" borderId="0" applyNumberFormat="0" applyBorder="0" applyAlignment="0" applyProtection="0"/>
    <xf numFmtId="0" fontId="37" fillId="47" borderId="0" applyNumberFormat="0" applyBorder="0" applyAlignment="0" applyProtection="0"/>
    <xf numFmtId="0" fontId="40" fillId="48" borderId="0" applyNumberFormat="0" applyBorder="0" applyAlignment="0" applyProtection="0"/>
    <xf numFmtId="0" fontId="40" fillId="45" borderId="0" applyNumberFormat="0" applyBorder="0" applyAlignment="0" applyProtection="0"/>
    <xf numFmtId="0" fontId="40" fillId="46" borderId="0" applyNumberFormat="0" applyBorder="0" applyAlignment="0" applyProtection="0"/>
    <xf numFmtId="0" fontId="40" fillId="49" borderId="0" applyNumberFormat="0" applyBorder="0" applyAlignment="0" applyProtection="0"/>
    <xf numFmtId="0" fontId="40" fillId="50" borderId="0" applyNumberFormat="0" applyBorder="0" applyAlignment="0" applyProtection="0"/>
    <xf numFmtId="0" fontId="40" fillId="51" borderId="0" applyNumberFormat="0" applyBorder="0" applyAlignment="0" applyProtection="0"/>
    <xf numFmtId="0" fontId="40" fillId="52" borderId="0" applyNumberFormat="0" applyBorder="0" applyAlignment="0" applyProtection="0"/>
    <xf numFmtId="0" fontId="40" fillId="53" borderId="0" applyNumberFormat="0" applyBorder="0" applyAlignment="0" applyProtection="0"/>
    <xf numFmtId="0" fontId="40" fillId="54" borderId="0" applyNumberFormat="0" applyBorder="0" applyAlignment="0" applyProtection="0"/>
    <xf numFmtId="0" fontId="40" fillId="49" borderId="0" applyNumberFormat="0" applyBorder="0" applyAlignment="0" applyProtection="0"/>
    <xf numFmtId="0" fontId="40" fillId="50" borderId="0" applyNumberFormat="0" applyBorder="0" applyAlignment="0" applyProtection="0"/>
    <xf numFmtId="0" fontId="40" fillId="55" borderId="0" applyNumberFormat="0" applyBorder="0" applyAlignment="0" applyProtection="0"/>
    <xf numFmtId="0" fontId="47" fillId="39" borderId="0" applyNumberFormat="0" applyBorder="0" applyAlignment="0" applyProtection="0"/>
    <xf numFmtId="0" fontId="42" fillId="56" borderId="42" applyNumberFormat="0" applyAlignment="0" applyProtection="0"/>
    <xf numFmtId="0" fontId="43" fillId="57" borderId="43" applyNumberFormat="0" applyAlignment="0" applyProtection="0"/>
    <xf numFmtId="0" fontId="38" fillId="0" borderId="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199" fontId="2" fillId="0" borderId="0" applyFont="0" applyFill="0" applyBorder="0" applyAlignment="0" applyProtection="0"/>
    <xf numFmtId="0" fontId="37" fillId="0" borderId="0"/>
    <xf numFmtId="0" fontId="52" fillId="0" borderId="0" applyNumberFormat="0" applyFill="0" applyBorder="0" applyAlignment="0" applyProtection="0"/>
    <xf numFmtId="0" fontId="41" fillId="40" borderId="0" applyNumberFormat="0" applyBorder="0" applyAlignment="0" applyProtection="0"/>
    <xf numFmtId="223" fontId="93" fillId="0" borderId="0">
      <protection locked="0"/>
    </xf>
    <xf numFmtId="0" fontId="46" fillId="43" borderId="42" applyNumberFormat="0" applyAlignment="0" applyProtection="0"/>
    <xf numFmtId="0" fontId="44" fillId="0" borderId="44" applyNumberFormat="0" applyFill="0" applyAlignment="0" applyProtection="0"/>
    <xf numFmtId="0" fontId="2" fillId="0" borderId="0" applyFont="0" applyFill="0" applyBorder="0" applyAlignment="0" applyProtection="0"/>
    <xf numFmtId="224" fontId="92" fillId="0" borderId="0" applyFill="0" applyBorder="0" applyAlignment="0" applyProtection="0"/>
    <xf numFmtId="167" fontId="2"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center"/>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1" fillId="0" borderId="0"/>
    <xf numFmtId="0" fontId="92" fillId="58" borderId="40" applyNumberFormat="0" applyAlignment="0" applyProtection="0"/>
    <xf numFmtId="0" fontId="50" fillId="56" borderId="45" applyNumberFormat="0" applyAlignment="0" applyProtection="0"/>
    <xf numFmtId="9" fontId="1" fillId="0" borderId="0" applyFont="0" applyFill="0" applyBorder="0" applyAlignment="0" applyProtection="0"/>
    <xf numFmtId="9" fontId="1" fillId="0" borderId="0" applyFont="0" applyFill="0" applyBorder="0" applyAlignment="0" applyProtection="0"/>
    <xf numFmtId="0" fontId="51" fillId="0" borderId="0" applyNumberFormat="0" applyFill="0" applyBorder="0" applyAlignment="0" applyProtection="0"/>
    <xf numFmtId="172" fontId="1" fillId="0" borderId="0" applyFont="0" applyFill="0" applyBorder="0" applyAlignment="0" applyProtection="0"/>
    <xf numFmtId="0" fontId="1" fillId="0" borderId="0"/>
    <xf numFmtId="0" fontId="2" fillId="0" borderId="0"/>
    <xf numFmtId="165" fontId="2" fillId="0" borderId="0" applyFont="0" applyFill="0" applyBorder="0" applyAlignment="0" applyProtection="0"/>
    <xf numFmtId="0" fontId="1" fillId="0" borderId="0"/>
    <xf numFmtId="0" fontId="2" fillId="0" borderId="41" applyNumberFormat="0" applyFont="0" applyFill="0" applyAlignment="0" applyProtection="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9" fontId="2" fillId="0" borderId="0" applyFont="0" applyFill="0" applyBorder="0" applyAlignment="0" applyProtection="0"/>
    <xf numFmtId="0" fontId="1" fillId="0" borderId="0"/>
    <xf numFmtId="0" fontId="3" fillId="0" borderId="0">
      <alignment vertical="center"/>
    </xf>
    <xf numFmtId="182" fontId="23" fillId="0" borderId="0">
      <alignment vertical="top"/>
    </xf>
    <xf numFmtId="225" fontId="23" fillId="0" borderId="0" applyFont="0" applyFill="0" applyBorder="0" applyAlignment="0" applyProtection="0">
      <alignment vertical="top"/>
    </xf>
    <xf numFmtId="182" fontId="2" fillId="0" borderId="0"/>
    <xf numFmtId="182" fontId="1" fillId="0" borderId="0"/>
    <xf numFmtId="225" fontId="2" fillId="0" borderId="0" applyFont="0" applyFill="0" applyBorder="0" applyAlignment="0" applyProtection="0"/>
    <xf numFmtId="0" fontId="1" fillId="0" borderId="0"/>
    <xf numFmtId="0" fontId="2" fillId="0" borderId="0"/>
    <xf numFmtId="165" fontId="2" fillId="0" borderId="0" applyFont="0" applyFill="0" applyBorder="0" applyAlignment="0" applyProtection="0"/>
    <xf numFmtId="0" fontId="1" fillId="0" borderId="0"/>
    <xf numFmtId="0" fontId="2" fillId="0" borderId="41" applyNumberFormat="0" applyFont="0" applyFill="0" applyAlignment="0" applyProtection="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0" fontId="1" fillId="0" borderId="0"/>
    <xf numFmtId="182" fontId="1" fillId="0" borderId="0"/>
    <xf numFmtId="0" fontId="1" fillId="0" borderId="0"/>
    <xf numFmtId="0" fontId="1" fillId="0" borderId="0"/>
    <xf numFmtId="0" fontId="2" fillId="0" borderId="0"/>
    <xf numFmtId="165" fontId="2" fillId="0" borderId="0" applyFont="0" applyFill="0" applyBorder="0" applyAlignment="0" applyProtection="0"/>
    <xf numFmtId="0" fontId="1" fillId="0" borderId="0"/>
    <xf numFmtId="0" fontId="2" fillId="0" borderId="41" applyNumberFormat="0" applyFont="0" applyFill="0" applyAlignment="0" applyProtection="0"/>
    <xf numFmtId="0" fontId="1" fillId="0" borderId="0"/>
    <xf numFmtId="0" fontId="1" fillId="0" borderId="0"/>
    <xf numFmtId="0" fontId="2" fillId="0" borderId="0"/>
    <xf numFmtId="165" fontId="2" fillId="0" borderId="0" applyFont="0" applyFill="0" applyBorder="0" applyAlignment="0" applyProtection="0"/>
    <xf numFmtId="0" fontId="2" fillId="0" borderId="41" applyNumberFormat="0" applyFont="0" applyFill="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0" fontId="1" fillId="0" borderId="0"/>
    <xf numFmtId="182"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0" fontId="1" fillId="0" borderId="0"/>
    <xf numFmtId="182"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165" fontId="2" fillId="0" borderId="0" applyFont="0" applyFill="0" applyBorder="0" applyAlignment="0" applyProtection="0"/>
    <xf numFmtId="0" fontId="1" fillId="0" borderId="0"/>
    <xf numFmtId="0" fontId="2" fillId="0" borderId="41" applyNumberFormat="0" applyFont="0" applyFill="0" applyAlignment="0" applyProtection="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0" fontId="1" fillId="0" borderId="0"/>
    <xf numFmtId="182"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0" fontId="1" fillId="0" borderId="0"/>
    <xf numFmtId="182"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0" fontId="1" fillId="0" borderId="0"/>
    <xf numFmtId="182"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172"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72" fontId="1" fillId="0" borderId="0" applyFont="0" applyFill="0" applyBorder="0" applyAlignment="0" applyProtection="0"/>
    <xf numFmtId="0" fontId="1" fillId="0" borderId="0"/>
    <xf numFmtId="172" fontId="1" fillId="0" borderId="0" applyFont="0" applyFill="0" applyBorder="0" applyAlignment="0" applyProtection="0"/>
    <xf numFmtId="172" fontId="1"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0" fontId="1" fillId="0" borderId="0"/>
    <xf numFmtId="172"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172" fontId="1" fillId="0" borderId="0" applyFont="0" applyFill="0" applyBorder="0" applyAlignment="0" applyProtection="0"/>
    <xf numFmtId="0" fontId="1" fillId="0" borderId="0"/>
    <xf numFmtId="182" fontId="1" fillId="0" borderId="0"/>
    <xf numFmtId="0" fontId="1" fillId="0" borderId="0"/>
    <xf numFmtId="0" fontId="1" fillId="0" borderId="0"/>
    <xf numFmtId="0" fontId="1" fillId="0" borderId="0"/>
    <xf numFmtId="0" fontId="1" fillId="0" borderId="0"/>
    <xf numFmtId="0" fontId="1" fillId="0" borderId="0"/>
    <xf numFmtId="0" fontId="2" fillId="0" borderId="0"/>
    <xf numFmtId="182" fontId="2" fillId="0" borderId="0"/>
    <xf numFmtId="182" fontId="1" fillId="0" borderId="0"/>
    <xf numFmtId="225" fontId="2" fillId="0" borderId="0" applyFont="0" applyFill="0" applyBorder="0" applyAlignment="0" applyProtection="0"/>
    <xf numFmtId="225" fontId="2" fillId="0" borderId="0" applyFont="0" applyFill="0" applyBorder="0" applyAlignment="0" applyProtection="0"/>
    <xf numFmtId="172" fontId="23" fillId="0" borderId="0" applyFont="0" applyFill="0" applyBorder="0" applyAlignment="0" applyProtection="0">
      <alignment vertical="top"/>
    </xf>
    <xf numFmtId="225" fontId="23" fillId="0" borderId="0" applyFont="0" applyFill="0" applyBorder="0" applyAlignment="0" applyProtection="0">
      <alignment vertical="top"/>
    </xf>
    <xf numFmtId="9" fontId="23" fillId="0" borderId="0" applyFont="0" applyFill="0" applyBorder="0" applyAlignment="0" applyProtection="0"/>
    <xf numFmtId="0" fontId="73" fillId="0" borderId="0"/>
    <xf numFmtId="0" fontId="73" fillId="0" borderId="0"/>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165" fontId="2" fillId="0" borderId="0" applyFont="0" applyFill="0" applyBorder="0" applyAlignment="0" applyProtection="0">
      <alignment vertical="center"/>
    </xf>
    <xf numFmtId="0" fontId="60"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3" fillId="0" borderId="0">
      <alignment vertical="center"/>
    </xf>
    <xf numFmtId="0" fontId="3" fillId="0" borderId="0">
      <alignment vertical="center"/>
    </xf>
    <xf numFmtId="0" fontId="1" fillId="0" borderId="0"/>
    <xf numFmtId="0" fontId="2" fillId="0" borderId="0"/>
    <xf numFmtId="165" fontId="2" fillId="0" borderId="0" applyFont="0" applyFill="0" applyBorder="0" applyAlignment="0" applyProtection="0"/>
    <xf numFmtId="165" fontId="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172" fontId="3" fillId="0" borderId="0" applyFont="0" applyFill="0" applyBorder="0" applyAlignment="0" applyProtection="0"/>
    <xf numFmtId="166" fontId="1" fillId="0" borderId="0" applyFont="0" applyFill="0" applyBorder="0" applyAlignment="0" applyProtection="0"/>
    <xf numFmtId="165" fontId="2" fillId="0" borderId="0" applyFont="0" applyFill="0" applyBorder="0" applyAlignment="0" applyProtection="0">
      <alignment vertical="center"/>
    </xf>
    <xf numFmtId="0" fontId="2" fillId="0" borderId="0"/>
    <xf numFmtId="165" fontId="2" fillId="0" borderId="0" applyFont="0" applyFill="0" applyBorder="0" applyAlignment="0" applyProtection="0"/>
    <xf numFmtId="0" fontId="3" fillId="0" borderId="0">
      <alignment vertical="center"/>
    </xf>
    <xf numFmtId="43" fontId="2" fillId="0" borderId="0" applyFont="0" applyFill="0" applyBorder="0" applyAlignment="0" applyProtection="0">
      <alignment vertical="center"/>
    </xf>
    <xf numFmtId="0" fontId="49" fillId="0" borderId="0"/>
    <xf numFmtId="172" fontId="1" fillId="0" borderId="0" applyFont="0" applyFill="0" applyBorder="0" applyAlignment="0" applyProtection="0"/>
    <xf numFmtId="0" fontId="49" fillId="0" borderId="0"/>
    <xf numFmtId="0" fontId="2" fillId="0" borderId="0"/>
    <xf numFmtId="0" fontId="1" fillId="0" borderId="0"/>
  </cellStyleXfs>
  <cellXfs count="789">
    <xf numFmtId="0" fontId="0" fillId="0" borderId="0" xfId="0"/>
    <xf numFmtId="0" fontId="25" fillId="9" borderId="66" xfId="12" applyFont="1" applyFill="1" applyBorder="1" applyAlignment="1">
      <alignment horizontal="center" vertical="center"/>
    </xf>
    <xf numFmtId="0" fontId="25" fillId="9" borderId="65" xfId="12" applyFont="1" applyFill="1" applyBorder="1" applyAlignment="1">
      <alignment horizontal="center" vertical="center"/>
    </xf>
    <xf numFmtId="176" fontId="5" fillId="0" borderId="20" xfId="3" applyNumberFormat="1" applyFont="1" applyBorder="1" applyAlignment="1" applyProtection="1">
      <alignment horizontal="left" vertical="center"/>
      <protection locked="0"/>
    </xf>
    <xf numFmtId="168" fontId="5" fillId="0" borderId="21" xfId="0" applyNumberFormat="1" applyFont="1" applyBorder="1" applyAlignment="1" applyProtection="1">
      <alignment vertical="center"/>
      <protection locked="0"/>
    </xf>
    <xf numFmtId="0" fontId="9" fillId="0" borderId="0" xfId="0" applyFont="1" applyAlignment="1">
      <alignment horizontal="left" vertical="center" wrapText="1"/>
    </xf>
    <xf numFmtId="177" fontId="5" fillId="0" borderId="20" xfId="3" applyNumberFormat="1" applyFont="1" applyBorder="1" applyAlignment="1" applyProtection="1">
      <alignment horizontal="left" vertical="center"/>
      <protection locked="0"/>
    </xf>
    <xf numFmtId="164" fontId="5" fillId="0" borderId="21" xfId="0" applyNumberFormat="1" applyFont="1" applyBorder="1" applyAlignment="1" applyProtection="1">
      <alignment vertical="center"/>
      <protection locked="0"/>
    </xf>
    <xf numFmtId="0" fontId="5" fillId="0" borderId="21" xfId="3" applyFont="1" applyBorder="1" applyAlignment="1" applyProtection="1">
      <alignment vertical="center" wrapText="1"/>
      <protection locked="0"/>
    </xf>
    <xf numFmtId="164" fontId="5" fillId="0" borderId="38" xfId="3" applyNumberFormat="1" applyFont="1" applyBorder="1" applyProtection="1">
      <alignment vertical="center"/>
      <protection locked="0"/>
    </xf>
    <xf numFmtId="228" fontId="5" fillId="0" borderId="21" xfId="3" applyNumberFormat="1" applyFont="1" applyBorder="1" applyProtection="1">
      <alignment vertical="center"/>
      <protection locked="0"/>
    </xf>
    <xf numFmtId="171" fontId="5" fillId="0" borderId="21" xfId="3" applyNumberFormat="1" applyFont="1" applyBorder="1" applyProtection="1">
      <alignment vertical="center"/>
      <protection locked="0"/>
    </xf>
    <xf numFmtId="164" fontId="5" fillId="0" borderId="21" xfId="3" applyNumberFormat="1" applyFont="1" applyBorder="1" applyProtection="1">
      <alignment vertical="center"/>
      <protection locked="0"/>
    </xf>
    <xf numFmtId="0" fontId="5" fillId="0" borderId="21" xfId="3" applyFont="1" applyBorder="1" applyAlignment="1" applyProtection="1">
      <alignment horizontal="center" vertical="center"/>
      <protection locked="0"/>
    </xf>
    <xf numFmtId="0" fontId="3" fillId="0" borderId="0" xfId="3">
      <alignment vertical="center"/>
    </xf>
    <xf numFmtId="0" fontId="3" fillId="0" borderId="0" xfId="3" applyAlignment="1">
      <alignment horizontal="center" vertical="center"/>
    </xf>
    <xf numFmtId="0" fontId="3" fillId="0" borderId="0" xfId="4">
      <alignment vertical="center"/>
    </xf>
    <xf numFmtId="4" fontId="3" fillId="0" borderId="0" xfId="3" applyNumberFormat="1">
      <alignment vertical="center"/>
    </xf>
    <xf numFmtId="0" fontId="5" fillId="0" borderId="0" xfId="3" applyFont="1" applyProtection="1">
      <alignment vertical="center"/>
      <protection locked="0"/>
    </xf>
    <xf numFmtId="15" fontId="6" fillId="0" borderId="0" xfId="3" applyNumberFormat="1" applyFont="1" applyAlignment="1">
      <alignment horizontal="center" vertical="top"/>
    </xf>
    <xf numFmtId="15" fontId="6" fillId="0" borderId="0" xfId="3" applyNumberFormat="1" applyFont="1" applyAlignment="1">
      <alignment horizontal="left" vertical="top"/>
    </xf>
    <xf numFmtId="0" fontId="3" fillId="0" borderId="0" xfId="4" applyAlignment="1">
      <alignment horizontal="center" vertical="center"/>
    </xf>
    <xf numFmtId="0" fontId="7" fillId="5" borderId="4" xfId="3" applyFont="1" applyFill="1" applyBorder="1" applyAlignment="1" applyProtection="1">
      <alignment horizontal="center" vertical="center"/>
      <protection locked="0"/>
    </xf>
    <xf numFmtId="0" fontId="7" fillId="5" borderId="5" xfId="3" applyFont="1" applyFill="1" applyBorder="1" applyAlignment="1" applyProtection="1">
      <alignment horizontal="center" vertical="center"/>
      <protection locked="0"/>
    </xf>
    <xf numFmtId="168" fontId="7" fillId="5" borderId="5" xfId="3" applyNumberFormat="1" applyFont="1" applyFill="1" applyBorder="1" applyAlignment="1" applyProtection="1">
      <alignment horizontal="center" vertical="center"/>
      <protection locked="0"/>
    </xf>
    <xf numFmtId="168" fontId="7" fillId="5" borderId="6" xfId="3" applyNumberFormat="1" applyFont="1" applyFill="1" applyBorder="1" applyAlignment="1" applyProtection="1">
      <alignment horizontal="center" vertical="center"/>
      <protection locked="0"/>
    </xf>
    <xf numFmtId="0" fontId="7" fillId="6" borderId="5" xfId="3" applyFont="1" applyFill="1" applyBorder="1" applyProtection="1">
      <alignment vertical="center"/>
      <protection locked="0"/>
    </xf>
    <xf numFmtId="0" fontId="7" fillId="6" borderId="5" xfId="3" applyFont="1" applyFill="1" applyBorder="1" applyAlignment="1" applyProtection="1">
      <alignment horizontal="center" vertical="center"/>
      <protection locked="0"/>
    </xf>
    <xf numFmtId="168" fontId="7" fillId="6" borderId="5" xfId="3" applyNumberFormat="1" applyFont="1" applyFill="1" applyBorder="1" applyProtection="1">
      <alignment vertical="center"/>
      <protection locked="0"/>
    </xf>
    <xf numFmtId="168" fontId="7" fillId="6" borderId="6" xfId="3" applyNumberFormat="1" applyFont="1" applyFill="1" applyBorder="1" applyProtection="1">
      <alignment vertical="center"/>
      <protection locked="0"/>
    </xf>
    <xf numFmtId="165" fontId="3" fillId="0" borderId="0" xfId="3" applyNumberFormat="1">
      <alignment vertical="center"/>
    </xf>
    <xf numFmtId="0" fontId="3" fillId="0" borderId="0" xfId="3" applyAlignment="1">
      <alignment horizontal="right" vertical="center"/>
    </xf>
    <xf numFmtId="0" fontId="3" fillId="0" borderId="0" xfId="3" applyAlignment="1">
      <alignment horizontal="left" vertical="center"/>
    </xf>
    <xf numFmtId="0" fontId="14" fillId="3" borderId="0" xfId="7" applyFont="1" applyFill="1" applyAlignment="1">
      <alignment horizontal="left"/>
    </xf>
    <xf numFmtId="4" fontId="14" fillId="3" borderId="0" xfId="7" applyNumberFormat="1" applyFont="1" applyFill="1" applyAlignment="1">
      <alignment horizontal="center" vertical="center"/>
    </xf>
    <xf numFmtId="0" fontId="3" fillId="0" borderId="17" xfId="3" applyBorder="1">
      <alignment vertical="center"/>
    </xf>
    <xf numFmtId="0" fontId="10" fillId="0" borderId="17" xfId="3" applyFont="1" applyBorder="1" applyAlignment="1">
      <alignment wrapText="1"/>
    </xf>
    <xf numFmtId="169" fontId="15" fillId="5" borderId="5" xfId="3" applyNumberFormat="1" applyFont="1" applyFill="1" applyBorder="1" applyAlignment="1"/>
    <xf numFmtId="0" fontId="14" fillId="3" borderId="0" xfId="7" applyFont="1" applyFill="1" applyAlignment="1">
      <alignment horizontal="center"/>
    </xf>
    <xf numFmtId="168" fontId="5" fillId="0" borderId="21" xfId="3" applyNumberFormat="1" applyFont="1" applyBorder="1" applyProtection="1">
      <alignment vertical="center"/>
      <protection locked="0"/>
    </xf>
    <xf numFmtId="0" fontId="9" fillId="0" borderId="0" xfId="0" applyFont="1"/>
    <xf numFmtId="0" fontId="9" fillId="0" borderId="0" xfId="0" applyFont="1" applyAlignment="1">
      <alignment horizontal="left" vertical="center"/>
    </xf>
    <xf numFmtId="0" fontId="9" fillId="0" borderId="0" xfId="0" applyFont="1" applyAlignment="1">
      <alignment horizontal="center" vertical="center"/>
    </xf>
    <xf numFmtId="0" fontId="3" fillId="0" borderId="0" xfId="0" applyFont="1"/>
    <xf numFmtId="0" fontId="3" fillId="0" borderId="0" xfId="0" applyFont="1" applyAlignment="1">
      <alignment horizontal="center" vertical="center"/>
    </xf>
    <xf numFmtId="0" fontId="9" fillId="0" borderId="0" xfId="0" applyFont="1" applyAlignment="1">
      <alignment vertical="center" wrapText="1"/>
    </xf>
    <xf numFmtId="0" fontId="3" fillId="0" borderId="0" xfId="3" applyAlignment="1">
      <alignment vertical="center" wrapText="1"/>
    </xf>
    <xf numFmtId="0" fontId="3" fillId="0" borderId="0" xfId="4" applyAlignment="1">
      <alignment horizontal="left" vertical="center"/>
    </xf>
    <xf numFmtId="0" fontId="3" fillId="0" borderId="0" xfId="4" applyAlignment="1">
      <alignment vertical="center" wrapText="1"/>
    </xf>
    <xf numFmtId="0" fontId="7" fillId="5" borderId="5" xfId="3" applyFont="1" applyFill="1" applyBorder="1" applyAlignment="1" applyProtection="1">
      <alignment horizontal="center" vertical="center" wrapText="1"/>
      <protection locked="0"/>
    </xf>
    <xf numFmtId="49" fontId="7" fillId="6" borderId="4" xfId="3" applyNumberFormat="1" applyFont="1" applyFill="1" applyBorder="1" applyAlignment="1" applyProtection="1">
      <alignment horizontal="left" vertical="center"/>
      <protection locked="0"/>
    </xf>
    <xf numFmtId="0" fontId="3" fillId="0" borderId="2" xfId="8" applyBorder="1">
      <alignment vertical="center"/>
    </xf>
    <xf numFmtId="0" fontId="3" fillId="0" borderId="0" xfId="0" applyFont="1" applyAlignment="1">
      <alignment vertical="center"/>
    </xf>
    <xf numFmtId="168" fontId="7" fillId="5" borderId="5" xfId="3" applyNumberFormat="1" applyFont="1" applyFill="1" applyBorder="1" applyAlignment="1" applyProtection="1">
      <alignment horizontal="center" vertical="center" wrapText="1"/>
      <protection locked="0"/>
    </xf>
    <xf numFmtId="0" fontId="6" fillId="0" borderId="0" xfId="3" applyFont="1" applyAlignment="1">
      <alignment horizontal="left" vertical="center"/>
    </xf>
    <xf numFmtId="0" fontId="6" fillId="0" borderId="0" xfId="3" applyFont="1">
      <alignment vertical="center"/>
    </xf>
    <xf numFmtId="169" fontId="15" fillId="5" borderId="4" xfId="3" applyNumberFormat="1" applyFont="1" applyFill="1" applyBorder="1">
      <alignment vertical="center"/>
    </xf>
    <xf numFmtId="171" fontId="5" fillId="3" borderId="21" xfId="3" applyNumberFormat="1" applyFont="1" applyFill="1" applyBorder="1" applyProtection="1">
      <alignment vertical="center"/>
      <protection locked="0"/>
    </xf>
    <xf numFmtId="0" fontId="2" fillId="3" borderId="0" xfId="22" applyFill="1"/>
    <xf numFmtId="165" fontId="3" fillId="0" borderId="0" xfId="5" applyFont="1" applyFill="1" applyBorder="1" applyAlignment="1">
      <alignment horizontal="right" vertical="center"/>
    </xf>
    <xf numFmtId="0" fontId="2" fillId="3" borderId="0" xfId="22" applyFill="1" applyAlignment="1">
      <alignment vertical="center"/>
    </xf>
    <xf numFmtId="0" fontId="25" fillId="9" borderId="3" xfId="12" applyFont="1" applyFill="1" applyBorder="1" applyAlignment="1">
      <alignment horizontal="center" vertical="center"/>
    </xf>
    <xf numFmtId="0" fontId="25" fillId="3" borderId="3" xfId="22" applyFont="1" applyFill="1" applyBorder="1" applyAlignment="1">
      <alignment horizontal="center" vertical="center"/>
    </xf>
    <xf numFmtId="0" fontId="25" fillId="3" borderId="2" xfId="22" applyFont="1" applyFill="1" applyBorder="1" applyAlignment="1">
      <alignment horizontal="center" vertical="center"/>
    </xf>
    <xf numFmtId="178" fontId="2" fillId="0" borderId="2" xfId="5" applyNumberFormat="1" applyFont="1" applyFill="1" applyBorder="1" applyAlignment="1">
      <alignment horizontal="right"/>
    </xf>
    <xf numFmtId="179" fontId="2" fillId="0" borderId="0" xfId="5" applyNumberFormat="1" applyFont="1" applyFill="1" applyBorder="1" applyAlignment="1">
      <alignment horizontal="right"/>
    </xf>
    <xf numFmtId="183" fontId="25" fillId="0" borderId="0" xfId="5" applyNumberFormat="1" applyFont="1" applyFill="1" applyBorder="1" applyAlignment="1">
      <alignment horizontal="right"/>
    </xf>
    <xf numFmtId="183" fontId="2" fillId="0" borderId="0" xfId="5" applyNumberFormat="1" applyFont="1" applyFill="1" applyBorder="1" applyAlignment="1">
      <alignment horizontal="right"/>
    </xf>
    <xf numFmtId="172" fontId="21" fillId="0" borderId="0" xfId="24" applyFont="1" applyFill="1" applyBorder="1"/>
    <xf numFmtId="0" fontId="2" fillId="0" borderId="0" xfId="22"/>
    <xf numFmtId="0" fontId="3" fillId="0" borderId="0" xfId="12" applyFont="1" applyAlignment="1">
      <alignment horizontal="right"/>
    </xf>
    <xf numFmtId="0" fontId="2" fillId="0" borderId="30" xfId="22" applyBorder="1"/>
    <xf numFmtId="0" fontId="14" fillId="0" borderId="31" xfId="12" applyFont="1" applyBorder="1"/>
    <xf numFmtId="0" fontId="14" fillId="0" borderId="29" xfId="12" applyFont="1" applyBorder="1"/>
    <xf numFmtId="0" fontId="14" fillId="0" borderId="29" xfId="12" applyFont="1" applyBorder="1" applyAlignment="1">
      <alignment horizontal="center" vertical="center"/>
    </xf>
    <xf numFmtId="0" fontId="2" fillId="0" borderId="32" xfId="22" applyBorder="1"/>
    <xf numFmtId="0" fontId="24" fillId="0" borderId="0" xfId="12" applyFont="1" applyAlignment="1">
      <alignment horizontal="center" vertical="center"/>
    </xf>
    <xf numFmtId="0" fontId="3" fillId="0" borderId="0" xfId="22" applyFont="1"/>
    <xf numFmtId="0" fontId="25" fillId="0" borderId="0" xfId="12" applyFont="1" applyAlignment="1">
      <alignment horizontal="center" vertical="center" wrapText="1"/>
    </xf>
    <xf numFmtId="0" fontId="25" fillId="0" borderId="0" xfId="12" applyFont="1" applyAlignment="1">
      <alignment horizontal="center" vertical="center"/>
    </xf>
    <xf numFmtId="0" fontId="2" fillId="0" borderId="3" xfId="22" applyBorder="1"/>
    <xf numFmtId="180" fontId="2" fillId="0" borderId="0" xfId="22" applyNumberFormat="1" applyAlignment="1">
      <alignment horizontal="right"/>
    </xf>
    <xf numFmtId="0" fontId="2" fillId="0" borderId="2" xfId="22" applyBorder="1"/>
    <xf numFmtId="165" fontId="2" fillId="0" borderId="0" xfId="22" applyNumberFormat="1"/>
    <xf numFmtId="183" fontId="2" fillId="0" borderId="3" xfId="5" applyNumberFormat="1" applyFont="1" applyFill="1" applyBorder="1" applyAlignment="1">
      <alignment horizontal="right"/>
    </xf>
    <xf numFmtId="180" fontId="2" fillId="0" borderId="2" xfId="22" applyNumberFormat="1" applyBorder="1" applyAlignment="1">
      <alignment horizontal="right"/>
    </xf>
    <xf numFmtId="10" fontId="2" fillId="0" borderId="30" xfId="23" applyNumberFormat="1" applyFont="1" applyFill="1" applyBorder="1" applyAlignment="1">
      <alignment horizontal="center"/>
    </xf>
    <xf numFmtId="0" fontId="2" fillId="0" borderId="30" xfId="22" applyBorder="1" applyAlignment="1">
      <alignment horizontal="center"/>
    </xf>
    <xf numFmtId="0" fontId="25" fillId="0" borderId="3" xfId="22" applyFont="1" applyBorder="1"/>
    <xf numFmtId="0" fontId="25" fillId="0" borderId="30" xfId="22" applyFont="1" applyBorder="1" applyAlignment="1">
      <alignment horizontal="center"/>
    </xf>
    <xf numFmtId="178" fontId="25" fillId="0" borderId="2" xfId="5" applyNumberFormat="1" applyFont="1" applyFill="1" applyBorder="1" applyAlignment="1">
      <alignment horizontal="right"/>
    </xf>
    <xf numFmtId="183" fontId="25" fillId="0" borderId="3" xfId="5" applyNumberFormat="1" applyFont="1" applyFill="1" applyBorder="1" applyAlignment="1">
      <alignment horizontal="right"/>
    </xf>
    <xf numFmtId="0" fontId="25" fillId="0" borderId="30" xfId="22" applyFont="1" applyBorder="1"/>
    <xf numFmtId="0" fontId="2" fillId="0" borderId="22" xfId="22" applyBorder="1"/>
    <xf numFmtId="0" fontId="2" fillId="0" borderId="31" xfId="22" applyBorder="1"/>
    <xf numFmtId="182" fontId="2" fillId="0" borderId="22" xfId="22" applyNumberFormat="1" applyBorder="1" applyAlignment="1">
      <alignment horizontal="center"/>
    </xf>
    <xf numFmtId="182" fontId="2" fillId="0" borderId="31" xfId="22" applyNumberFormat="1" applyBorder="1" applyAlignment="1">
      <alignment horizontal="center"/>
    </xf>
    <xf numFmtId="0" fontId="14" fillId="0" borderId="0" xfId="22" applyFont="1"/>
    <xf numFmtId="180" fontId="14" fillId="0" borderId="0" xfId="22" applyNumberFormat="1" applyFont="1" applyAlignment="1">
      <alignment horizontal="center"/>
    </xf>
    <xf numFmtId="184" fontId="2" fillId="0" borderId="0" xfId="22" applyNumberFormat="1"/>
    <xf numFmtId="182" fontId="14" fillId="0" borderId="0" xfId="22" applyNumberFormat="1" applyFont="1" applyAlignment="1">
      <alignment horizontal="center"/>
    </xf>
    <xf numFmtId="0" fontId="3" fillId="0" borderId="0" xfId="22" applyFont="1" applyAlignment="1">
      <alignment horizontal="right"/>
    </xf>
    <xf numFmtId="172" fontId="3" fillId="0" borderId="0" xfId="24" applyFont="1" applyFill="1"/>
    <xf numFmtId="0" fontId="21" fillId="0" borderId="0" xfId="22" applyFont="1" applyAlignment="1">
      <alignment horizontal="right"/>
    </xf>
    <xf numFmtId="0" fontId="3" fillId="0" borderId="30" xfId="22" applyFont="1" applyBorder="1" applyAlignment="1">
      <alignment horizontal="left" vertical="center"/>
    </xf>
    <xf numFmtId="186" fontId="3" fillId="0" borderId="0" xfId="1" applyNumberFormat="1" applyFont="1" applyFill="1" applyBorder="1" applyAlignment="1">
      <alignment vertical="center"/>
    </xf>
    <xf numFmtId="0" fontId="3" fillId="0" borderId="0" xfId="12" applyFont="1" applyAlignment="1">
      <alignment horizontal="right" vertical="center"/>
    </xf>
    <xf numFmtId="0" fontId="3" fillId="0" borderId="3" xfId="12" applyFont="1" applyBorder="1" applyAlignment="1">
      <alignment vertical="center"/>
    </xf>
    <xf numFmtId="0" fontId="3" fillId="0" borderId="0" xfId="12" applyFont="1" applyAlignment="1">
      <alignment vertical="center"/>
    </xf>
    <xf numFmtId="14" fontId="3" fillId="0" borderId="0" xfId="12" applyNumberFormat="1" applyFont="1" applyAlignment="1">
      <alignment horizontal="left" vertical="center"/>
    </xf>
    <xf numFmtId="0" fontId="3" fillId="0" borderId="0" xfId="3" applyAlignment="1" applyProtection="1">
      <alignment horizontal="left" vertical="center"/>
      <protection locked="0"/>
    </xf>
    <xf numFmtId="172" fontId="3" fillId="0" borderId="0" xfId="24" applyFont="1" applyFill="1" applyAlignment="1"/>
    <xf numFmtId="178" fontId="7" fillId="11" borderId="33" xfId="24" applyNumberFormat="1" applyFont="1" applyFill="1" applyBorder="1" applyAlignment="1">
      <alignment horizontal="center" vertical="center" wrapText="1"/>
    </xf>
    <xf numFmtId="179" fontId="7" fillId="11" borderId="15" xfId="24" applyNumberFormat="1" applyFont="1" applyFill="1" applyBorder="1" applyAlignment="1">
      <alignment horizontal="center" vertical="center" wrapText="1"/>
    </xf>
    <xf numFmtId="172" fontId="3" fillId="0" borderId="13" xfId="24" applyFont="1" applyBorder="1"/>
    <xf numFmtId="178" fontId="7" fillId="11" borderId="11" xfId="24" applyNumberFormat="1" applyFont="1" applyFill="1" applyBorder="1" applyAlignment="1">
      <alignment horizontal="center" vertical="center" wrapText="1"/>
    </xf>
    <xf numFmtId="179" fontId="7" fillId="11" borderId="12" xfId="24" applyNumberFormat="1" applyFont="1" applyFill="1" applyBorder="1" applyAlignment="1">
      <alignment horizontal="center" vertical="center" wrapText="1"/>
    </xf>
    <xf numFmtId="168" fontId="7" fillId="0" borderId="0" xfId="3" applyNumberFormat="1" applyFont="1" applyAlignment="1" applyProtection="1">
      <alignment horizontal="center" vertical="center"/>
      <protection locked="0"/>
    </xf>
    <xf numFmtId="0" fontId="3" fillId="0" borderId="0" xfId="22" applyFont="1" applyAlignment="1">
      <alignment vertical="center"/>
    </xf>
    <xf numFmtId="169" fontId="7" fillId="5" borderId="5" xfId="3" applyNumberFormat="1" applyFont="1" applyFill="1" applyBorder="1">
      <alignment vertical="center"/>
    </xf>
    <xf numFmtId="0" fontId="8" fillId="0" borderId="19" xfId="3" applyFont="1" applyBorder="1" applyAlignment="1" applyProtection="1">
      <alignment horizontal="center" vertical="center"/>
      <protection locked="0"/>
    </xf>
    <xf numFmtId="0" fontId="5" fillId="0" borderId="21" xfId="3" applyFont="1" applyBorder="1" applyProtection="1">
      <alignment vertical="center"/>
      <protection locked="0"/>
    </xf>
    <xf numFmtId="0" fontId="8" fillId="0" borderId="21" xfId="3" applyFont="1" applyBorder="1" applyAlignment="1" applyProtection="1">
      <alignment horizontal="center" vertical="center"/>
      <protection locked="0"/>
    </xf>
    <xf numFmtId="174" fontId="5" fillId="0" borderId="19" xfId="5" applyNumberFormat="1" applyFont="1" applyBorder="1" applyAlignment="1" applyProtection="1">
      <alignment vertical="center"/>
      <protection locked="0"/>
    </xf>
    <xf numFmtId="174" fontId="5" fillId="0" borderId="21" xfId="5" applyNumberFormat="1" applyFont="1" applyBorder="1" applyAlignment="1" applyProtection="1">
      <alignment vertical="center"/>
      <protection locked="0"/>
    </xf>
    <xf numFmtId="171" fontId="7" fillId="5" borderId="5" xfId="3" applyNumberFormat="1" applyFont="1" applyFill="1" applyBorder="1">
      <alignment vertical="center"/>
    </xf>
    <xf numFmtId="171" fontId="8" fillId="0" borderId="19" xfId="3" applyNumberFormat="1" applyFont="1" applyBorder="1" applyProtection="1">
      <alignment vertical="center"/>
      <protection locked="0"/>
    </xf>
    <xf numFmtId="164" fontId="8" fillId="0" borderId="37" xfId="3" applyNumberFormat="1" applyFont="1" applyBorder="1" applyProtection="1">
      <alignment vertical="center"/>
      <protection locked="0"/>
    </xf>
    <xf numFmtId="164" fontId="8" fillId="0" borderId="38" xfId="3" applyNumberFormat="1" applyFont="1" applyBorder="1" applyProtection="1">
      <alignment vertical="center"/>
      <protection locked="0"/>
    </xf>
    <xf numFmtId="164" fontId="7" fillId="5" borderId="6" xfId="3" applyNumberFormat="1" applyFont="1" applyFill="1" applyBorder="1">
      <alignment vertical="center"/>
    </xf>
    <xf numFmtId="164" fontId="5" fillId="0" borderId="19" xfId="5" applyNumberFormat="1" applyFont="1" applyBorder="1" applyAlignment="1" applyProtection="1">
      <alignment vertical="center"/>
      <protection locked="0"/>
    </xf>
    <xf numFmtId="164" fontId="5" fillId="0" borderId="21" xfId="5" applyNumberFormat="1" applyFont="1" applyBorder="1" applyAlignment="1" applyProtection="1">
      <alignment vertical="center"/>
      <protection locked="0"/>
    </xf>
    <xf numFmtId="164" fontId="7" fillId="5" borderId="5" xfId="3" applyNumberFormat="1" applyFont="1" applyFill="1" applyBorder="1">
      <alignment vertical="center"/>
    </xf>
    <xf numFmtId="188" fontId="8" fillId="0" borderId="20" xfId="3" quotePrefix="1" applyNumberFormat="1" applyFont="1" applyBorder="1" applyAlignment="1" applyProtection="1">
      <alignment horizontal="left" vertical="center"/>
      <protection locked="0"/>
    </xf>
    <xf numFmtId="0" fontId="8" fillId="0" borderId="19" xfId="3" applyFont="1" applyBorder="1" applyAlignment="1" applyProtection="1">
      <alignment vertical="center" wrapText="1"/>
      <protection locked="0"/>
    </xf>
    <xf numFmtId="164" fontId="8" fillId="0" borderId="19" xfId="3" applyNumberFormat="1" applyFont="1" applyBorder="1" applyProtection="1">
      <alignment vertical="center"/>
      <protection locked="0"/>
    </xf>
    <xf numFmtId="164" fontId="3" fillId="0" borderId="21" xfId="3" applyNumberFormat="1" applyBorder="1" applyProtection="1">
      <alignment vertical="center"/>
      <protection locked="0"/>
    </xf>
    <xf numFmtId="164" fontId="8" fillId="0" borderId="21" xfId="3" applyNumberFormat="1" applyFont="1" applyBorder="1" applyProtection="1">
      <alignment vertical="center"/>
      <protection locked="0"/>
    </xf>
    <xf numFmtId="181" fontId="9" fillId="0" borderId="0" xfId="0" applyNumberFormat="1" applyFont="1"/>
    <xf numFmtId="0" fontId="9" fillId="0" borderId="0" xfId="0" applyFont="1" applyAlignment="1">
      <alignment vertical="center"/>
    </xf>
    <xf numFmtId="180" fontId="25" fillId="0" borderId="2" xfId="22" applyNumberFormat="1" applyFont="1" applyBorder="1" applyAlignment="1">
      <alignment horizontal="right"/>
    </xf>
    <xf numFmtId="165" fontId="0" fillId="0" borderId="0" xfId="0" applyNumberFormat="1"/>
    <xf numFmtId="164" fontId="5" fillId="2" borderId="21" xfId="0" applyNumberFormat="1" applyFont="1" applyFill="1" applyBorder="1" applyAlignment="1" applyProtection="1">
      <alignment vertical="center"/>
      <protection locked="0"/>
    </xf>
    <xf numFmtId="165" fontId="3" fillId="0" borderId="0" xfId="4" applyNumberFormat="1">
      <alignment vertical="center"/>
    </xf>
    <xf numFmtId="0" fontId="24" fillId="0" borderId="58" xfId="12" applyFont="1" applyBorder="1" applyAlignment="1">
      <alignment vertical="center"/>
    </xf>
    <xf numFmtId="164" fontId="5" fillId="0" borderId="21" xfId="5" applyNumberFormat="1" applyFont="1" applyFill="1" applyBorder="1" applyAlignment="1" applyProtection="1">
      <alignment vertical="center"/>
      <protection locked="0"/>
    </xf>
    <xf numFmtId="174" fontId="5" fillId="0" borderId="21" xfId="5" applyNumberFormat="1" applyFont="1" applyFill="1" applyBorder="1" applyAlignment="1" applyProtection="1">
      <alignment vertical="center"/>
      <protection locked="0"/>
    </xf>
    <xf numFmtId="0" fontId="0" fillId="0" borderId="61" xfId="0" applyBorder="1"/>
    <xf numFmtId="0" fontId="0" fillId="0" borderId="16" xfId="0" applyBorder="1"/>
    <xf numFmtId="0" fontId="3" fillId="0" borderId="21" xfId="17" applyFont="1" applyBorder="1" applyAlignment="1" applyProtection="1">
      <alignment horizontal="left" vertical="center"/>
      <protection locked="0"/>
    </xf>
    <xf numFmtId="0" fontId="3" fillId="0" borderId="21" xfId="0" applyFont="1" applyBorder="1" applyAlignment="1">
      <alignment horizontal="left" vertical="center" wrapText="1"/>
    </xf>
    <xf numFmtId="0" fontId="3" fillId="3" borderId="21" xfId="0" applyFont="1" applyFill="1" applyBorder="1" applyAlignment="1">
      <alignment horizontal="left" vertical="center" wrapText="1"/>
    </xf>
    <xf numFmtId="181" fontId="0" fillId="0" borderId="0" xfId="0" applyNumberFormat="1"/>
    <xf numFmtId="165" fontId="0" fillId="0" borderId="0" xfId="1" applyFont="1"/>
    <xf numFmtId="0" fontId="0" fillId="0" borderId="0" xfId="0" applyAlignment="1">
      <alignment horizontal="center"/>
    </xf>
    <xf numFmtId="168" fontId="3" fillId="0" borderId="0" xfId="4" applyNumberFormat="1">
      <alignment vertical="center"/>
    </xf>
    <xf numFmtId="0" fontId="12" fillId="0" borderId="0" xfId="0" applyFont="1"/>
    <xf numFmtId="0" fontId="29" fillId="0" borderId="0" xfId="0" applyFont="1"/>
    <xf numFmtId="181" fontId="7" fillId="6" borderId="5" xfId="3" applyNumberFormat="1" applyFont="1" applyFill="1" applyBorder="1" applyProtection="1">
      <alignment vertical="center"/>
      <protection locked="0"/>
    </xf>
    <xf numFmtId="181" fontId="7" fillId="6" borderId="6" xfId="3" applyNumberFormat="1" applyFont="1" applyFill="1" applyBorder="1" applyProtection="1">
      <alignment vertical="center"/>
      <protection locked="0"/>
    </xf>
    <xf numFmtId="183" fontId="7" fillId="6" borderId="5" xfId="3" applyNumberFormat="1" applyFont="1" applyFill="1" applyBorder="1" applyProtection="1">
      <alignment vertical="center"/>
      <protection locked="0"/>
    </xf>
    <xf numFmtId="164" fontId="5" fillId="2" borderId="21" xfId="5" applyNumberFormat="1" applyFont="1" applyFill="1" applyBorder="1" applyAlignment="1" applyProtection="1">
      <alignment vertical="center"/>
      <protection locked="0"/>
    </xf>
    <xf numFmtId="174" fontId="5" fillId="2" borderId="21" xfId="5" applyNumberFormat="1" applyFont="1" applyFill="1" applyBorder="1" applyAlignment="1" applyProtection="1">
      <alignment vertical="center"/>
      <protection locked="0"/>
    </xf>
    <xf numFmtId="0" fontId="6" fillId="0" borderId="0" xfId="3" applyFont="1" applyAlignment="1">
      <alignment horizontal="left" vertical="center" wrapText="1"/>
    </xf>
    <xf numFmtId="0" fontId="6" fillId="0" borderId="0" xfId="3" applyFont="1" applyAlignment="1">
      <alignment vertical="center" wrapText="1"/>
    </xf>
    <xf numFmtId="15" fontId="6" fillId="0" borderId="0" xfId="3" applyNumberFormat="1" applyFont="1" applyAlignment="1">
      <alignment horizontal="left" vertical="top" wrapText="1"/>
    </xf>
    <xf numFmtId="0" fontId="7" fillId="6" borderId="5" xfId="3" applyFont="1" applyFill="1" applyBorder="1" applyAlignment="1" applyProtection="1">
      <alignment vertical="center" wrapText="1"/>
      <protection locked="0"/>
    </xf>
    <xf numFmtId="0" fontId="8" fillId="0" borderId="21" xfId="3" applyFont="1" applyBorder="1" applyAlignment="1" applyProtection="1">
      <alignment vertical="center" wrapText="1"/>
      <protection locked="0"/>
    </xf>
    <xf numFmtId="0" fontId="3" fillId="0" borderId="17" xfId="3" applyBorder="1" applyAlignment="1">
      <alignment vertical="center" wrapText="1"/>
    </xf>
    <xf numFmtId="0" fontId="14" fillId="3" borderId="0" xfId="7" applyFont="1" applyFill="1" applyAlignment="1">
      <alignment horizontal="left" wrapText="1"/>
    </xf>
    <xf numFmtId="0" fontId="9" fillId="0" borderId="0" xfId="0" applyFont="1" applyAlignment="1">
      <alignment wrapText="1"/>
    </xf>
    <xf numFmtId="0" fontId="5" fillId="0" borderId="0" xfId="3" applyFont="1" applyAlignment="1" applyProtection="1">
      <alignment horizontal="left" vertical="center"/>
      <protection locked="0"/>
    </xf>
    <xf numFmtId="230" fontId="3" fillId="0" borderId="0" xfId="3" applyNumberFormat="1">
      <alignment vertical="center"/>
    </xf>
    <xf numFmtId="229" fontId="3" fillId="0" borderId="0" xfId="4" applyNumberFormat="1">
      <alignment vertical="center"/>
    </xf>
    <xf numFmtId="0" fontId="3" fillId="0" borderId="0" xfId="3" applyAlignment="1" applyProtection="1">
      <alignment horizontal="center" vertical="center"/>
      <protection locked="0"/>
    </xf>
    <xf numFmtId="173" fontId="3" fillId="0" borderId="0" xfId="3" applyNumberFormat="1">
      <alignment vertical="center"/>
    </xf>
    <xf numFmtId="4" fontId="3" fillId="0" borderId="0" xfId="3" applyNumberFormat="1" applyAlignment="1" applyProtection="1">
      <alignment horizontal="center" vertical="center"/>
      <protection locked="0"/>
    </xf>
    <xf numFmtId="166" fontId="7" fillId="5" borderId="2" xfId="3" applyNumberFormat="1" applyFont="1" applyFill="1" applyBorder="1">
      <alignment vertical="center"/>
    </xf>
    <xf numFmtId="180" fontId="7" fillId="5" borderId="2" xfId="3" applyNumberFormat="1" applyFont="1" applyFill="1" applyBorder="1">
      <alignment vertical="center"/>
    </xf>
    <xf numFmtId="228" fontId="3" fillId="0" borderId="0" xfId="3" applyNumberFormat="1">
      <alignment vertical="center"/>
    </xf>
    <xf numFmtId="228" fontId="7" fillId="6" borderId="5" xfId="3" applyNumberFormat="1" applyFont="1" applyFill="1" applyBorder="1" applyProtection="1">
      <alignment vertical="center"/>
      <protection locked="0"/>
    </xf>
    <xf numFmtId="228" fontId="8" fillId="0" borderId="19" xfId="3" applyNumberFormat="1" applyFont="1" applyBorder="1" applyProtection="1">
      <alignment vertical="center"/>
      <protection locked="0"/>
    </xf>
    <xf numFmtId="228" fontId="8" fillId="0" borderId="21" xfId="3" applyNumberFormat="1" applyFont="1" applyBorder="1" applyProtection="1">
      <alignment vertical="center"/>
      <protection locked="0"/>
    </xf>
    <xf numFmtId="228" fontId="15" fillId="5" borderId="4" xfId="3" applyNumberFormat="1" applyFont="1" applyFill="1" applyBorder="1">
      <alignment vertical="center"/>
    </xf>
    <xf numFmtId="228" fontId="14" fillId="3" borderId="0" xfId="7" applyNumberFormat="1" applyFont="1" applyFill="1" applyAlignment="1">
      <alignment horizontal="center"/>
    </xf>
    <xf numFmtId="0" fontId="3" fillId="0" borderId="21" xfId="3" applyBorder="1" applyAlignment="1" applyProtection="1">
      <alignment horizontal="left" vertical="center" wrapText="1"/>
      <protection locked="0"/>
    </xf>
    <xf numFmtId="0" fontId="3" fillId="0" borderId="21" xfId="3" applyBorder="1" applyAlignment="1" applyProtection="1">
      <alignment horizontal="center" vertical="center"/>
      <protection locked="0"/>
    </xf>
    <xf numFmtId="228" fontId="3" fillId="0" borderId="21" xfId="3" applyNumberFormat="1" applyBorder="1" applyProtection="1">
      <alignment vertical="center"/>
      <protection locked="0"/>
    </xf>
    <xf numFmtId="171" fontId="3" fillId="0" borderId="21" xfId="3" applyNumberFormat="1" applyBorder="1" applyProtection="1">
      <alignment vertical="center"/>
      <protection locked="0"/>
    </xf>
    <xf numFmtId="164" fontId="3" fillId="0" borderId="38" xfId="3" applyNumberFormat="1" applyBorder="1" applyProtection="1">
      <alignment vertical="center"/>
      <protection locked="0"/>
    </xf>
    <xf numFmtId="0" fontId="31" fillId="0" borderId="0" xfId="0" applyFont="1"/>
    <xf numFmtId="0" fontId="5" fillId="0" borderId="21" xfId="3" applyFont="1" applyBorder="1" applyAlignment="1" applyProtection="1">
      <alignment horizontal="left" vertical="center" wrapText="1"/>
      <protection locked="0"/>
    </xf>
    <xf numFmtId="164" fontId="5" fillId="0" borderId="39" xfId="3" applyNumberFormat="1" applyFont="1" applyBorder="1" applyProtection="1">
      <alignment vertical="center"/>
      <protection locked="0"/>
    </xf>
    <xf numFmtId="176" fontId="3" fillId="0" borderId="20" xfId="3" applyNumberFormat="1" applyBorder="1" applyAlignment="1" applyProtection="1">
      <alignment horizontal="left" vertical="center"/>
      <protection locked="0"/>
    </xf>
    <xf numFmtId="0" fontId="3" fillId="0" borderId="21" xfId="3" applyBorder="1" applyAlignment="1" applyProtection="1">
      <alignment vertical="center" wrapText="1"/>
      <protection locked="0"/>
    </xf>
    <xf numFmtId="176" fontId="32" fillId="0" borderId="20" xfId="3" applyNumberFormat="1" applyFont="1" applyBorder="1" applyAlignment="1" applyProtection="1">
      <alignment horizontal="left" vertical="center"/>
      <protection locked="0"/>
    </xf>
    <xf numFmtId="0" fontId="11" fillId="0" borderId="21" xfId="3" applyFont="1" applyBorder="1" applyAlignment="1" applyProtection="1">
      <alignment vertical="center" wrapText="1"/>
      <protection locked="0"/>
    </xf>
    <xf numFmtId="176" fontId="11" fillId="0" borderId="20" xfId="3" applyNumberFormat="1" applyFont="1" applyBorder="1" applyAlignment="1" applyProtection="1">
      <alignment horizontal="left" vertical="center"/>
      <protection locked="0"/>
    </xf>
    <xf numFmtId="0" fontId="11" fillId="0" borderId="21" xfId="3" applyFont="1" applyBorder="1" applyAlignment="1" applyProtection="1">
      <alignment horizontal="left" vertical="center" wrapText="1"/>
      <protection locked="0"/>
    </xf>
    <xf numFmtId="228" fontId="5" fillId="0" borderId="2" xfId="3" applyNumberFormat="1" applyFont="1" applyBorder="1" applyProtection="1">
      <alignment vertical="center"/>
      <protection locked="0"/>
    </xf>
    <xf numFmtId="0" fontId="94" fillId="0" borderId="0" xfId="0" applyFont="1"/>
    <xf numFmtId="0" fontId="5" fillId="2" borderId="21" xfId="3" applyFont="1" applyFill="1" applyBorder="1" applyAlignment="1" applyProtection="1">
      <alignment horizontal="center" vertical="center"/>
      <protection locked="0"/>
    </xf>
    <xf numFmtId="228" fontId="5" fillId="2" borderId="21" xfId="3" applyNumberFormat="1" applyFont="1" applyFill="1" applyBorder="1" applyProtection="1">
      <alignment vertical="center"/>
      <protection locked="0"/>
    </xf>
    <xf numFmtId="164" fontId="5" fillId="2" borderId="21" xfId="3" applyNumberFormat="1" applyFont="1" applyFill="1" applyBorder="1" applyProtection="1">
      <alignment vertical="center"/>
      <protection locked="0"/>
    </xf>
    <xf numFmtId="171" fontId="5" fillId="2" borderId="21" xfId="3" applyNumberFormat="1" applyFont="1" applyFill="1" applyBorder="1" applyProtection="1">
      <alignment vertical="center"/>
      <protection locked="0"/>
    </xf>
    <xf numFmtId="164" fontId="5" fillId="2" borderId="38" xfId="3" applyNumberFormat="1" applyFont="1" applyFill="1" applyBorder="1" applyProtection="1">
      <alignment vertical="center"/>
      <protection locked="0"/>
    </xf>
    <xf numFmtId="0" fontId="5" fillId="2" borderId="21" xfId="3" applyFont="1" applyFill="1" applyBorder="1" applyAlignment="1" applyProtection="1">
      <alignment vertical="center" wrapText="1"/>
      <protection locked="0"/>
    </xf>
    <xf numFmtId="0" fontId="7" fillId="6" borderId="17" xfId="3" applyFont="1" applyFill="1" applyBorder="1" applyAlignment="1" applyProtection="1">
      <alignment horizontal="center" vertical="center"/>
      <protection locked="0"/>
    </xf>
    <xf numFmtId="168" fontId="3" fillId="0" borderId="0" xfId="3" applyNumberFormat="1">
      <alignment vertical="center"/>
    </xf>
    <xf numFmtId="231" fontId="3" fillId="0" borderId="0" xfId="3" applyNumberFormat="1">
      <alignment vertical="center"/>
    </xf>
    <xf numFmtId="49" fontId="8" fillId="0" borderId="9" xfId="0" applyNumberFormat="1" applyFont="1" applyBorder="1" applyAlignment="1" applyProtection="1">
      <alignment vertical="center"/>
      <protection locked="0"/>
    </xf>
    <xf numFmtId="0" fontId="8" fillId="0" borderId="71" xfId="0" applyFont="1" applyBorder="1" applyAlignment="1" applyProtection="1">
      <alignment vertical="center"/>
      <protection locked="0"/>
    </xf>
    <xf numFmtId="0" fontId="8" fillId="0" borderId="71" xfId="0" applyFont="1" applyBorder="1" applyAlignment="1" applyProtection="1">
      <alignment horizontal="center" vertical="center"/>
      <protection locked="0"/>
    </xf>
    <xf numFmtId="168" fontId="5" fillId="0" borderId="71" xfId="0" applyNumberFormat="1" applyFont="1" applyBorder="1" applyAlignment="1" applyProtection="1">
      <alignment vertical="center"/>
      <protection locked="0"/>
    </xf>
    <xf numFmtId="168" fontId="5" fillId="0" borderId="65" xfId="0" applyNumberFormat="1" applyFont="1" applyBorder="1" applyAlignment="1" applyProtection="1">
      <alignment vertical="center"/>
      <protection locked="0"/>
    </xf>
    <xf numFmtId="165" fontId="5" fillId="0" borderId="72" xfId="5" applyFont="1" applyFill="1" applyBorder="1" applyAlignment="1" applyProtection="1">
      <alignment vertical="center"/>
      <protection locked="0"/>
    </xf>
    <xf numFmtId="180" fontId="5" fillId="0" borderId="65" xfId="0" applyNumberFormat="1" applyFont="1" applyBorder="1" applyAlignment="1" applyProtection="1">
      <alignment vertical="center"/>
      <protection locked="0"/>
    </xf>
    <xf numFmtId="49" fontId="5" fillId="0" borderId="34" xfId="0" applyNumberFormat="1" applyFont="1" applyBorder="1" applyAlignment="1" applyProtection="1">
      <alignment vertical="center"/>
      <protection locked="0"/>
    </xf>
    <xf numFmtId="0" fontId="5" fillId="0" borderId="2" xfId="0" applyFont="1" applyBorder="1" applyAlignment="1" applyProtection="1">
      <alignment horizontal="center" vertical="center"/>
      <protection locked="0"/>
    </xf>
    <xf numFmtId="168" fontId="5" fillId="0" borderId="2" xfId="0" applyNumberFormat="1" applyFont="1" applyBorder="1" applyAlignment="1" applyProtection="1">
      <alignment vertical="center"/>
      <protection locked="0"/>
    </xf>
    <xf numFmtId="174" fontId="5" fillId="0" borderId="21" xfId="0" applyNumberFormat="1" applyFont="1" applyBorder="1" applyAlignment="1" applyProtection="1">
      <alignment vertical="center"/>
      <protection locked="0"/>
    </xf>
    <xf numFmtId="180" fontId="5" fillId="0" borderId="3" xfId="0" applyNumberFormat="1" applyFont="1" applyBorder="1" applyAlignment="1" applyProtection="1">
      <alignment vertical="center"/>
      <protection locked="0"/>
    </xf>
    <xf numFmtId="49" fontId="20" fillId="0" borderId="34" xfId="0" applyNumberFormat="1" applyFont="1" applyBorder="1" applyAlignment="1" applyProtection="1">
      <alignment vertical="center"/>
      <protection locked="0"/>
    </xf>
    <xf numFmtId="0" fontId="20" fillId="0" borderId="2" xfId="0" applyFont="1" applyBorder="1" applyAlignment="1" applyProtection="1">
      <alignment vertical="center"/>
      <protection locked="0"/>
    </xf>
    <xf numFmtId="0" fontId="20" fillId="0" borderId="2" xfId="0" applyFont="1" applyBorder="1" applyAlignment="1" applyProtection="1">
      <alignment horizontal="center" vertical="center"/>
      <protection locked="0"/>
    </xf>
    <xf numFmtId="180" fontId="7" fillId="5" borderId="22" xfId="3" applyNumberFormat="1" applyFont="1" applyFill="1" applyBorder="1">
      <alignment vertical="center"/>
    </xf>
    <xf numFmtId="227" fontId="7" fillId="5" borderId="22" xfId="3" applyNumberFormat="1" applyFont="1" applyFill="1" applyBorder="1">
      <alignment vertical="center"/>
    </xf>
    <xf numFmtId="168" fontId="8" fillId="0" borderId="10" xfId="0" applyNumberFormat="1" applyFont="1" applyBorder="1" applyAlignment="1" applyProtection="1">
      <alignment vertical="center"/>
      <protection locked="0"/>
    </xf>
    <xf numFmtId="168" fontId="5" fillId="0" borderId="35" xfId="0" applyNumberFormat="1" applyFont="1" applyBorder="1" applyAlignment="1" applyProtection="1">
      <alignment vertical="center"/>
      <protection locked="0"/>
    </xf>
    <xf numFmtId="168" fontId="8" fillId="0" borderId="35" xfId="0" applyNumberFormat="1" applyFont="1" applyBorder="1" applyAlignment="1" applyProtection="1">
      <alignment vertical="center"/>
      <protection locked="0"/>
    </xf>
    <xf numFmtId="0" fontId="9" fillId="0" borderId="0" xfId="0" applyFont="1" applyAlignment="1">
      <alignment horizontal="left" vertical="center" wrapText="1" indent="3"/>
    </xf>
    <xf numFmtId="0" fontId="9" fillId="0" borderId="0" xfId="0" applyFont="1" applyAlignment="1">
      <alignment horizontal="left" vertical="center" wrapText="1" indent="2"/>
    </xf>
    <xf numFmtId="164" fontId="5" fillId="0" borderId="75" xfId="5" applyNumberFormat="1" applyFont="1" applyFill="1" applyBorder="1" applyAlignment="1" applyProtection="1">
      <alignment vertical="center"/>
      <protection locked="0"/>
    </xf>
    <xf numFmtId="0" fontId="5" fillId="0" borderId="74" xfId="0" applyFont="1" applyBorder="1" applyAlignment="1" applyProtection="1">
      <alignment vertical="center"/>
      <protection locked="0"/>
    </xf>
    <xf numFmtId="0" fontId="5" fillId="0" borderId="74" xfId="0" applyFont="1" applyBorder="1" applyAlignment="1" applyProtection="1">
      <alignment horizontal="center" vertical="center"/>
      <protection locked="0"/>
    </xf>
    <xf numFmtId="168" fontId="5" fillId="0" borderId="74" xfId="0" applyNumberFormat="1" applyFont="1" applyBorder="1" applyAlignment="1" applyProtection="1">
      <alignment vertical="center"/>
      <protection locked="0"/>
    </xf>
    <xf numFmtId="164" fontId="5" fillId="0" borderId="75" xfId="0" applyNumberFormat="1" applyFont="1" applyBorder="1" applyAlignment="1" applyProtection="1">
      <alignment vertical="center"/>
      <protection locked="0"/>
    </xf>
    <xf numFmtId="180" fontId="5" fillId="0" borderId="76" xfId="0" applyNumberFormat="1" applyFont="1" applyBorder="1" applyAlignment="1" applyProtection="1">
      <alignment vertical="center"/>
      <protection locked="0"/>
    </xf>
    <xf numFmtId="168" fontId="5" fillId="0" borderId="77" xfId="0" applyNumberFormat="1" applyFont="1" applyBorder="1" applyAlignment="1" applyProtection="1">
      <alignment vertical="center"/>
      <protection locked="0"/>
    </xf>
    <xf numFmtId="0" fontId="0" fillId="0" borderId="70" xfId="0" applyBorder="1"/>
    <xf numFmtId="176" fontId="5" fillId="2" borderId="20" xfId="3" applyNumberFormat="1" applyFont="1" applyFill="1" applyBorder="1" applyAlignment="1" applyProtection="1">
      <alignment horizontal="left" vertical="center"/>
      <protection locked="0"/>
    </xf>
    <xf numFmtId="178" fontId="7" fillId="11" borderId="36" xfId="24" applyNumberFormat="1" applyFont="1" applyFill="1" applyBorder="1" applyAlignment="1">
      <alignment horizontal="center" vertical="center" wrapText="1"/>
    </xf>
    <xf numFmtId="179" fontId="7" fillId="11" borderId="77" xfId="24" applyNumberFormat="1" applyFont="1" applyFill="1" applyBorder="1" applyAlignment="1">
      <alignment horizontal="center" vertical="center" wrapText="1"/>
    </xf>
    <xf numFmtId="172" fontId="3" fillId="0" borderId="24" xfId="24" applyFont="1" applyBorder="1"/>
    <xf numFmtId="172" fontId="3" fillId="0" borderId="23" xfId="24" applyFont="1" applyBorder="1"/>
    <xf numFmtId="172" fontId="3" fillId="0" borderId="23" xfId="24" applyFont="1" applyFill="1" applyBorder="1"/>
    <xf numFmtId="0" fontId="27" fillId="11" borderId="9" xfId="25" applyFont="1" applyFill="1" applyBorder="1" applyAlignment="1">
      <alignment horizontal="center" vertical="center" wrapText="1"/>
    </xf>
    <xf numFmtId="0" fontId="27" fillId="11" borderId="71" xfId="25" applyFont="1" applyFill="1" applyBorder="1" applyAlignment="1">
      <alignment horizontal="center" vertical="center" wrapText="1"/>
    </xf>
    <xf numFmtId="227" fontId="5" fillId="0" borderId="3" xfId="0" applyNumberFormat="1" applyFont="1" applyBorder="1" applyAlignment="1" applyProtection="1">
      <alignment vertical="center"/>
      <protection locked="0"/>
    </xf>
    <xf numFmtId="227" fontId="5" fillId="0" borderId="76" xfId="0" applyNumberFormat="1" applyFont="1" applyBorder="1" applyAlignment="1" applyProtection="1">
      <alignment vertical="center"/>
      <protection locked="0"/>
    </xf>
    <xf numFmtId="172" fontId="3" fillId="0" borderId="0" xfId="3" applyNumberFormat="1" applyAlignment="1">
      <alignment horizontal="center" vertical="center"/>
    </xf>
    <xf numFmtId="172" fontId="3" fillId="0" borderId="0" xfId="4" applyNumberFormat="1">
      <alignment vertical="center"/>
    </xf>
    <xf numFmtId="15" fontId="6" fillId="0" borderId="0" xfId="3" applyNumberFormat="1" applyFont="1" applyAlignment="1">
      <alignment horizontal="left" vertical="center"/>
    </xf>
    <xf numFmtId="168" fontId="7" fillId="5" borderId="78" xfId="3" applyNumberFormat="1" applyFont="1" applyFill="1" applyBorder="1" applyAlignment="1" applyProtection="1">
      <alignment horizontal="center" vertical="center"/>
      <protection locked="0"/>
    </xf>
    <xf numFmtId="0" fontId="7" fillId="6" borderId="5" xfId="3" applyFont="1" applyFill="1" applyBorder="1" applyAlignment="1" applyProtection="1">
      <alignment horizontal="left" vertical="center" wrapText="1"/>
      <protection locked="0"/>
    </xf>
    <xf numFmtId="168" fontId="7" fillId="6" borderId="79" xfId="3" applyNumberFormat="1" applyFont="1" applyFill="1" applyBorder="1" applyProtection="1">
      <alignment vertical="center"/>
      <protection locked="0"/>
    </xf>
    <xf numFmtId="168" fontId="7" fillId="6" borderId="80" xfId="3" applyNumberFormat="1" applyFont="1" applyFill="1" applyBorder="1" applyProtection="1">
      <alignment vertical="center"/>
      <protection locked="0"/>
    </xf>
    <xf numFmtId="168" fontId="7" fillId="6" borderId="81" xfId="3" applyNumberFormat="1" applyFont="1" applyFill="1" applyBorder="1" applyProtection="1">
      <alignment vertical="center"/>
      <protection locked="0"/>
    </xf>
    <xf numFmtId="168" fontId="7" fillId="6" borderId="78" xfId="3" applyNumberFormat="1" applyFont="1" applyFill="1" applyBorder="1" applyProtection="1">
      <alignment vertical="center"/>
      <protection locked="0"/>
    </xf>
    <xf numFmtId="188" fontId="21" fillId="8" borderId="18" xfId="0" applyNumberFormat="1" applyFont="1" applyFill="1" applyBorder="1" applyAlignment="1">
      <alignment horizontal="left" vertical="center"/>
    </xf>
    <xf numFmtId="0" fontId="21" fillId="8" borderId="19" xfId="0" applyFont="1" applyFill="1" applyBorder="1" applyAlignment="1">
      <alignment horizontal="left" vertical="center" wrapText="1"/>
    </xf>
    <xf numFmtId="0" fontId="5" fillId="8" borderId="19" xfId="0" applyFont="1" applyFill="1" applyBorder="1" applyAlignment="1" applyProtection="1">
      <alignment horizontal="center" vertical="center"/>
      <protection locked="0"/>
    </xf>
    <xf numFmtId="172" fontId="5" fillId="8" borderId="19" xfId="0" applyNumberFormat="1" applyFont="1" applyFill="1" applyBorder="1" applyAlignment="1" applyProtection="1">
      <alignment horizontal="center" vertical="center"/>
      <protection locked="0"/>
    </xf>
    <xf numFmtId="164" fontId="5" fillId="8" borderId="19" xfId="0" applyNumberFormat="1" applyFont="1" applyFill="1" applyBorder="1" applyAlignment="1" applyProtection="1">
      <alignment vertical="center"/>
      <protection locked="0"/>
    </xf>
    <xf numFmtId="168" fontId="5" fillId="8" borderId="19" xfId="0" applyNumberFormat="1" applyFont="1" applyFill="1" applyBorder="1" applyAlignment="1" applyProtection="1">
      <alignment vertical="center"/>
      <protection locked="0"/>
    </xf>
    <xf numFmtId="164" fontId="5" fillId="8" borderId="21" xfId="0" applyNumberFormat="1" applyFont="1" applyFill="1" applyBorder="1" applyAlignment="1" applyProtection="1">
      <alignment vertical="center"/>
      <protection locked="0"/>
    </xf>
    <xf numFmtId="164" fontId="5" fillId="8" borderId="19" xfId="3" applyNumberFormat="1" applyFont="1" applyFill="1" applyBorder="1" applyProtection="1">
      <alignment vertical="center"/>
      <protection locked="0"/>
    </xf>
    <xf numFmtId="171" fontId="5" fillId="8" borderId="21" xfId="3" applyNumberFormat="1" applyFont="1" applyFill="1" applyBorder="1" applyProtection="1">
      <alignment vertical="center"/>
      <protection locked="0"/>
    </xf>
    <xf numFmtId="164" fontId="21" fillId="8" borderId="82" xfId="3" applyNumberFormat="1" applyFont="1" applyFill="1" applyBorder="1" applyProtection="1">
      <alignment vertical="center"/>
      <protection locked="0"/>
    </xf>
    <xf numFmtId="164" fontId="3" fillId="0" borderId="0" xfId="4" applyNumberFormat="1">
      <alignment vertical="center"/>
    </xf>
    <xf numFmtId="176" fontId="19" fillId="3" borderId="20" xfId="0" quotePrefix="1" applyNumberFormat="1" applyFont="1" applyFill="1" applyBorder="1" applyAlignment="1">
      <alignment horizontal="left" vertical="center"/>
    </xf>
    <xf numFmtId="0" fontId="19" fillId="0" borderId="64" xfId="0" applyFont="1" applyBorder="1" applyAlignment="1">
      <alignment horizontal="left" vertical="center" wrapText="1"/>
    </xf>
    <xf numFmtId="0" fontId="5" fillId="0" borderId="64" xfId="0" applyFont="1" applyBorder="1" applyAlignment="1" applyProtection="1">
      <alignment horizontal="center" vertical="center"/>
      <protection locked="0"/>
    </xf>
    <xf numFmtId="172" fontId="5" fillId="0" borderId="64" xfId="0" applyNumberFormat="1" applyFont="1" applyBorder="1" applyAlignment="1" applyProtection="1">
      <alignment horizontal="center" vertical="center"/>
      <protection locked="0"/>
    </xf>
    <xf numFmtId="168" fontId="5" fillId="0" borderId="64" xfId="0" applyNumberFormat="1" applyFont="1" applyBorder="1" applyAlignment="1" applyProtection="1">
      <alignment vertical="center"/>
      <protection locked="0"/>
    </xf>
    <xf numFmtId="164" fontId="5" fillId="3" borderId="21" xfId="3" applyNumberFormat="1" applyFont="1" applyFill="1" applyBorder="1" applyProtection="1">
      <alignment vertical="center"/>
      <protection locked="0"/>
    </xf>
    <xf numFmtId="164" fontId="21" fillId="0" borderId="83" xfId="3" applyNumberFormat="1" applyFont="1" applyBorder="1" applyProtection="1">
      <alignment vertical="center"/>
      <protection locked="0"/>
    </xf>
    <xf numFmtId="176" fontId="11" fillId="3" borderId="20" xfId="0" quotePrefix="1" applyNumberFormat="1" applyFont="1" applyFill="1" applyBorder="1" applyAlignment="1">
      <alignment horizontal="left" vertical="center"/>
    </xf>
    <xf numFmtId="0" fontId="11" fillId="3" borderId="21" xfId="17" applyFont="1" applyFill="1" applyBorder="1" applyAlignment="1" applyProtection="1">
      <alignment horizontal="left" vertical="center"/>
      <protection locked="0"/>
    </xf>
    <xf numFmtId="0" fontId="3" fillId="0" borderId="21" xfId="0" applyFont="1" applyBorder="1" applyAlignment="1" applyProtection="1">
      <alignment horizontal="center" vertical="center"/>
      <protection locked="0"/>
    </xf>
    <xf numFmtId="172" fontId="3" fillId="0" borderId="21" xfId="0" applyNumberFormat="1" applyFont="1" applyBorder="1" applyAlignment="1" applyProtection="1">
      <alignment horizontal="center" vertical="center"/>
      <protection locked="0"/>
    </xf>
    <xf numFmtId="168" fontId="3" fillId="0" borderId="21" xfId="0" applyNumberFormat="1" applyFont="1" applyBorder="1" applyAlignment="1" applyProtection="1">
      <alignment vertical="center"/>
      <protection locked="0"/>
    </xf>
    <xf numFmtId="164" fontId="3" fillId="0" borderId="83" xfId="4" applyNumberFormat="1" applyBorder="1">
      <alignment vertical="center"/>
    </xf>
    <xf numFmtId="177" fontId="9" fillId="3" borderId="20" xfId="0" quotePrefix="1" applyNumberFormat="1" applyFont="1" applyFill="1" applyBorder="1" applyAlignment="1">
      <alignment horizontal="left" vertical="center"/>
    </xf>
    <xf numFmtId="0" fontId="3" fillId="3" borderId="21" xfId="17" applyFont="1" applyFill="1" applyBorder="1" applyAlignment="1" applyProtection="1">
      <alignment horizontal="left" vertical="center"/>
      <protection locked="0"/>
    </xf>
    <xf numFmtId="0" fontId="5" fillId="0" borderId="21" xfId="0" applyFont="1" applyBorder="1" applyAlignment="1" applyProtection="1">
      <alignment horizontal="center" vertical="center"/>
      <protection locked="0"/>
    </xf>
    <xf numFmtId="172" fontId="5" fillId="0" borderId="21" xfId="0" applyNumberFormat="1" applyFont="1" applyBorder="1" applyAlignment="1" applyProtection="1">
      <alignment horizontal="center" vertical="center"/>
      <protection locked="0"/>
    </xf>
    <xf numFmtId="171" fontId="5" fillId="0" borderId="21" xfId="0" applyNumberFormat="1" applyFont="1" applyBorder="1" applyAlignment="1" applyProtection="1">
      <alignment vertical="center"/>
      <protection locked="0"/>
    </xf>
    <xf numFmtId="164" fontId="22" fillId="0" borderId="21" xfId="0" applyNumberFormat="1" applyFont="1" applyBorder="1" applyAlignment="1" applyProtection="1">
      <alignment vertical="center"/>
      <protection locked="0"/>
    </xf>
    <xf numFmtId="0" fontId="3" fillId="0" borderId="83" xfId="4" applyBorder="1">
      <alignment vertical="center"/>
    </xf>
    <xf numFmtId="0" fontId="22" fillId="0" borderId="21" xfId="0" applyFont="1" applyBorder="1" applyAlignment="1" applyProtection="1">
      <alignment horizontal="center" vertical="center"/>
      <protection locked="0"/>
    </xf>
    <xf numFmtId="0" fontId="22" fillId="0" borderId="0" xfId="4" applyFont="1">
      <alignment vertical="center"/>
    </xf>
    <xf numFmtId="188" fontId="21" fillId="8" borderId="20" xfId="0" applyNumberFormat="1" applyFont="1" applyFill="1" applyBorder="1" applyAlignment="1">
      <alignment horizontal="left" vertical="center"/>
    </xf>
    <xf numFmtId="0" fontId="21" fillId="8" borderId="21" xfId="0" applyFont="1" applyFill="1" applyBorder="1" applyAlignment="1">
      <alignment horizontal="left" vertical="center" wrapText="1"/>
    </xf>
    <xf numFmtId="0" fontId="5" fillId="8" borderId="21" xfId="0" applyFont="1" applyFill="1" applyBorder="1" applyAlignment="1" applyProtection="1">
      <alignment horizontal="center" vertical="center"/>
      <protection locked="0"/>
    </xf>
    <xf numFmtId="168" fontId="5" fillId="8" borderId="21" xfId="0" applyNumberFormat="1" applyFont="1" applyFill="1" applyBorder="1" applyAlignment="1" applyProtection="1">
      <alignment vertical="center"/>
      <protection locked="0"/>
    </xf>
    <xf numFmtId="164" fontId="21" fillId="8" borderId="83" xfId="3" applyNumberFormat="1" applyFont="1" applyFill="1" applyBorder="1" applyProtection="1">
      <alignment vertical="center"/>
      <protection locked="0"/>
    </xf>
    <xf numFmtId="176" fontId="9" fillId="3" borderId="20" xfId="0" quotePrefix="1" applyNumberFormat="1" applyFont="1" applyFill="1" applyBorder="1" applyAlignment="1">
      <alignment horizontal="left" vertical="center"/>
    </xf>
    <xf numFmtId="176" fontId="9" fillId="0" borderId="20" xfId="0" quotePrefix="1" applyNumberFormat="1" applyFont="1" applyBorder="1" applyAlignment="1">
      <alignment horizontal="left" vertical="center"/>
    </xf>
    <xf numFmtId="0" fontId="21" fillId="8" borderId="21" xfId="0" applyFont="1" applyFill="1" applyBorder="1" applyAlignment="1">
      <alignment horizontal="left" vertical="center"/>
    </xf>
    <xf numFmtId="0" fontId="19" fillId="3" borderId="21" xfId="17" applyFont="1" applyFill="1" applyBorder="1" applyAlignment="1" applyProtection="1">
      <alignment horizontal="left" vertical="center" wrapText="1"/>
      <protection locked="0"/>
    </xf>
    <xf numFmtId="176" fontId="19" fillId="0" borderId="20" xfId="0" quotePrefix="1" applyNumberFormat="1" applyFont="1" applyBorder="1" applyAlignment="1">
      <alignment horizontal="left" vertical="center"/>
    </xf>
    <xf numFmtId="0" fontId="5" fillId="0" borderId="21" xfId="2549" applyFont="1" applyBorder="1" applyAlignment="1" applyProtection="1">
      <alignment horizontal="center" vertical="center"/>
      <protection locked="0"/>
    </xf>
    <xf numFmtId="0" fontId="9" fillId="0" borderId="21" xfId="0" applyFont="1" applyBorder="1" applyAlignment="1">
      <alignment horizontal="left" vertical="center" wrapText="1"/>
    </xf>
    <xf numFmtId="0" fontId="3" fillId="0" borderId="17" xfId="4" applyBorder="1" applyAlignment="1">
      <alignment horizontal="left" vertical="center"/>
    </xf>
    <xf numFmtId="0" fontId="3" fillId="0" borderId="17" xfId="4" applyBorder="1" applyAlignment="1">
      <alignment vertical="center" wrapText="1"/>
    </xf>
    <xf numFmtId="169" fontId="15" fillId="5" borderId="5" xfId="3" applyNumberFormat="1" applyFont="1" applyFill="1" applyBorder="1">
      <alignment vertical="center"/>
    </xf>
    <xf numFmtId="164" fontId="15" fillId="5" borderId="5" xfId="3" applyNumberFormat="1" applyFont="1" applyFill="1" applyBorder="1">
      <alignment vertical="center"/>
    </xf>
    <xf numFmtId="174" fontId="15" fillId="5" borderId="5" xfId="3" applyNumberFormat="1" applyFont="1" applyFill="1" applyBorder="1">
      <alignment vertical="center"/>
    </xf>
    <xf numFmtId="164" fontId="15" fillId="5" borderId="6" xfId="3" applyNumberFormat="1" applyFont="1" applyFill="1" applyBorder="1">
      <alignment vertical="center"/>
    </xf>
    <xf numFmtId="0" fontId="3" fillId="3" borderId="0" xfId="4" applyFill="1">
      <alignment vertical="center"/>
    </xf>
    <xf numFmtId="0" fontId="29" fillId="0" borderId="0" xfId="0" applyFont="1" applyAlignment="1">
      <alignment horizontal="right"/>
    </xf>
    <xf numFmtId="14" fontId="29" fillId="0" borderId="0" xfId="0" applyNumberFormat="1" applyFont="1" applyAlignment="1">
      <alignment horizontal="right"/>
    </xf>
    <xf numFmtId="0" fontId="95" fillId="0" borderId="0" xfId="0" applyFont="1"/>
    <xf numFmtId="165" fontId="7" fillId="5" borderId="5" xfId="1" applyFont="1" applyFill="1" applyBorder="1" applyAlignment="1" applyProtection="1">
      <alignment horizontal="center" vertical="center"/>
      <protection locked="0"/>
    </xf>
    <xf numFmtId="49" fontId="7" fillId="6" borderId="4" xfId="3" applyNumberFormat="1" applyFont="1" applyFill="1" applyBorder="1" applyProtection="1">
      <alignment vertical="center"/>
      <protection locked="0"/>
    </xf>
    <xf numFmtId="165" fontId="7" fillId="6" borderId="5" xfId="1" applyFont="1" applyFill="1" applyBorder="1" applyAlignment="1" applyProtection="1">
      <alignment horizontal="center" vertical="center"/>
      <protection locked="0"/>
    </xf>
    <xf numFmtId="165" fontId="5" fillId="0" borderId="2" xfId="1" applyFont="1" applyFill="1" applyBorder="1" applyAlignment="1" applyProtection="1">
      <alignment horizontal="center"/>
      <protection locked="0"/>
    </xf>
    <xf numFmtId="165" fontId="5" fillId="0" borderId="2" xfId="1" applyFont="1" applyFill="1" applyBorder="1" applyAlignment="1" applyProtection="1">
      <alignment horizontal="center" vertical="center"/>
      <protection locked="0"/>
    </xf>
    <xf numFmtId="165" fontId="8" fillId="0" borderId="2" xfId="1" applyFont="1" applyFill="1" applyBorder="1" applyAlignment="1" applyProtection="1">
      <alignment horizontal="center" vertical="center"/>
      <protection locked="0"/>
    </xf>
    <xf numFmtId="165" fontId="5" fillId="0" borderId="89" xfId="1" applyFont="1" applyFill="1" applyBorder="1" applyAlignment="1" applyProtection="1">
      <alignment horizontal="center" vertical="center"/>
      <protection locked="0"/>
    </xf>
    <xf numFmtId="165" fontId="5" fillId="0" borderId="90" xfId="1" applyFont="1" applyFill="1" applyBorder="1" applyAlignment="1" applyProtection="1">
      <alignment horizontal="center" vertical="center"/>
      <protection locked="0"/>
    </xf>
    <xf numFmtId="169" fontId="7" fillId="5" borderId="4" xfId="3" applyNumberFormat="1" applyFont="1" applyFill="1" applyBorder="1">
      <alignment vertical="center"/>
    </xf>
    <xf numFmtId="169" fontId="7" fillId="5" borderId="6" xfId="3" applyNumberFormat="1" applyFont="1" applyFill="1" applyBorder="1">
      <alignment vertical="center"/>
    </xf>
    <xf numFmtId="172" fontId="3" fillId="0" borderId="11" xfId="24" applyFont="1" applyFill="1" applyBorder="1"/>
    <xf numFmtId="172" fontId="3" fillId="0" borderId="12" xfId="24" applyFont="1" applyFill="1" applyBorder="1"/>
    <xf numFmtId="172" fontId="3" fillId="0" borderId="24" xfId="24" applyFont="1" applyFill="1" applyBorder="1"/>
    <xf numFmtId="172" fontId="3" fillId="0" borderId="16" xfId="24" applyFont="1" applyFill="1" applyBorder="1"/>
    <xf numFmtId="165" fontId="3" fillId="0" borderId="0" xfId="1" applyFont="1" applyAlignment="1">
      <alignment vertical="center"/>
    </xf>
    <xf numFmtId="0" fontId="3" fillId="2" borderId="21" xfId="3" applyFill="1" applyBorder="1" applyAlignment="1" applyProtection="1">
      <alignment horizontal="left" vertical="center" wrapText="1"/>
      <protection locked="0"/>
    </xf>
    <xf numFmtId="0" fontId="3" fillId="2" borderId="21" xfId="3" applyFill="1" applyBorder="1" applyAlignment="1" applyProtection="1">
      <alignment horizontal="center" vertical="center"/>
      <protection locked="0"/>
    </xf>
    <xf numFmtId="228" fontId="3" fillId="2" borderId="21" xfId="3" applyNumberFormat="1" applyFill="1" applyBorder="1" applyProtection="1">
      <alignment vertical="center"/>
      <protection locked="0"/>
    </xf>
    <xf numFmtId="171" fontId="3" fillId="2" borderId="21" xfId="3" applyNumberFormat="1" applyFill="1" applyBorder="1" applyProtection="1">
      <alignment vertical="center"/>
      <protection locked="0"/>
    </xf>
    <xf numFmtId="164" fontId="3" fillId="2" borderId="38" xfId="3" applyNumberFormat="1" applyFill="1" applyBorder="1" applyProtection="1">
      <alignment vertical="center"/>
      <protection locked="0"/>
    </xf>
    <xf numFmtId="0" fontId="7" fillId="5" borderId="92" xfId="3" applyFont="1" applyFill="1" applyBorder="1" applyAlignment="1" applyProtection="1">
      <alignment horizontal="center" vertical="center"/>
      <protection locked="0"/>
    </xf>
    <xf numFmtId="168" fontId="7" fillId="5" borderId="92" xfId="3" applyNumberFormat="1" applyFont="1" applyFill="1" applyBorder="1" applyAlignment="1" applyProtection="1">
      <alignment horizontal="center" vertical="center" wrapText="1"/>
      <protection locked="0"/>
    </xf>
    <xf numFmtId="234" fontId="7" fillId="5" borderId="22" xfId="3" applyNumberFormat="1" applyFont="1" applyFill="1" applyBorder="1">
      <alignment vertical="center"/>
    </xf>
    <xf numFmtId="169" fontId="15" fillId="5" borderId="22" xfId="3" applyNumberFormat="1" applyFont="1" applyFill="1" applyBorder="1" applyAlignment="1">
      <alignment horizontal="center" vertical="center"/>
    </xf>
    <xf numFmtId="166" fontId="7" fillId="5" borderId="22" xfId="3" applyNumberFormat="1" applyFont="1" applyFill="1" applyBorder="1">
      <alignment vertical="center"/>
    </xf>
    <xf numFmtId="49" fontId="20" fillId="0" borderId="9" xfId="0" applyNumberFormat="1" applyFont="1" applyBorder="1" applyAlignment="1" applyProtection="1">
      <alignment vertical="center"/>
      <protection locked="0"/>
    </xf>
    <xf numFmtId="0" fontId="20" fillId="0" borderId="71" xfId="0" applyFont="1" applyBorder="1" applyAlignment="1" applyProtection="1">
      <alignment vertical="center"/>
      <protection locked="0"/>
    </xf>
    <xf numFmtId="0" fontId="20" fillId="0" borderId="71" xfId="0" applyFont="1" applyBorder="1" applyAlignment="1" applyProtection="1">
      <alignment horizontal="center" vertical="center"/>
      <protection locked="0"/>
    </xf>
    <xf numFmtId="183" fontId="5" fillId="0" borderId="65" xfId="0" applyNumberFormat="1" applyFont="1" applyBorder="1" applyAlignment="1" applyProtection="1">
      <alignment vertical="center"/>
      <protection locked="0"/>
    </xf>
    <xf numFmtId="49" fontId="5" fillId="0" borderId="36" xfId="0" applyNumberFormat="1" applyFont="1" applyBorder="1" applyAlignment="1" applyProtection="1">
      <alignment vertical="center"/>
      <protection locked="0"/>
    </xf>
    <xf numFmtId="164" fontId="5" fillId="0" borderId="75" xfId="5" applyNumberFormat="1" applyFont="1" applyBorder="1" applyAlignment="1" applyProtection="1">
      <alignment vertical="center"/>
      <protection locked="0"/>
    </xf>
    <xf numFmtId="4" fontId="3" fillId="0" borderId="0" xfId="3" applyNumberFormat="1" applyAlignment="1">
      <alignment horizontal="center" vertical="center"/>
    </xf>
    <xf numFmtId="15" fontId="6" fillId="0" borderId="0" xfId="3" applyNumberFormat="1" applyFont="1" applyAlignment="1">
      <alignment horizontal="left" vertical="center" wrapText="1"/>
    </xf>
    <xf numFmtId="168" fontId="8" fillId="8" borderId="19" xfId="0" applyNumberFormat="1" applyFont="1" applyFill="1" applyBorder="1" applyAlignment="1" applyProtection="1">
      <alignment vertical="center"/>
      <protection locked="0"/>
    </xf>
    <xf numFmtId="171" fontId="5" fillId="8" borderId="19" xfId="3" applyNumberFormat="1" applyFont="1" applyFill="1" applyBorder="1" applyProtection="1">
      <alignment vertical="center"/>
      <protection locked="0"/>
    </xf>
    <xf numFmtId="0" fontId="19" fillId="0" borderId="21" xfId="0" applyFont="1" applyBorder="1" applyAlignment="1">
      <alignment horizontal="left" vertical="center" wrapText="1"/>
    </xf>
    <xf numFmtId="0" fontId="11" fillId="3" borderId="21" xfId="17" applyFont="1" applyFill="1" applyBorder="1" applyAlignment="1" applyProtection="1">
      <alignment horizontal="left" vertical="center" wrapText="1"/>
      <protection locked="0"/>
    </xf>
    <xf numFmtId="165" fontId="5" fillId="0" borderId="21" xfId="1" applyFont="1" applyFill="1" applyBorder="1" applyAlignment="1" applyProtection="1">
      <alignment horizontal="center" vertical="center"/>
      <protection locked="0"/>
    </xf>
    <xf numFmtId="164" fontId="32" fillId="0" borderId="21" xfId="5" applyNumberFormat="1" applyFont="1" applyFill="1" applyBorder="1" applyAlignment="1" applyProtection="1">
      <alignment vertical="center"/>
      <protection locked="0"/>
    </xf>
    <xf numFmtId="174" fontId="32" fillId="0" borderId="21" xfId="5" applyNumberFormat="1" applyFont="1" applyFill="1" applyBorder="1" applyAlignment="1" applyProtection="1">
      <alignment vertical="center"/>
      <protection locked="0"/>
    </xf>
    <xf numFmtId="0" fontId="3" fillId="0" borderId="21" xfId="17" applyFont="1" applyBorder="1" applyAlignment="1" applyProtection="1">
      <alignment horizontal="left" vertical="center" wrapText="1"/>
      <protection locked="0"/>
    </xf>
    <xf numFmtId="0" fontId="11" fillId="0" borderId="21" xfId="17" applyFont="1" applyBorder="1" applyAlignment="1" applyProtection="1">
      <alignment horizontal="left" vertical="center" wrapText="1"/>
      <protection locked="0"/>
    </xf>
    <xf numFmtId="172" fontId="22" fillId="0" borderId="21" xfId="0" applyNumberFormat="1" applyFont="1" applyBorder="1" applyAlignment="1" applyProtection="1">
      <alignment horizontal="center" vertical="center"/>
      <protection locked="0"/>
    </xf>
    <xf numFmtId="0" fontId="98" fillId="0" borderId="21" xfId="18" applyFont="1" applyBorder="1" applyAlignment="1" applyProtection="1">
      <alignment horizontal="left" vertical="center" wrapText="1"/>
      <protection locked="0"/>
    </xf>
    <xf numFmtId="177" fontId="19" fillId="0" borderId="20" xfId="0" quotePrefix="1" applyNumberFormat="1" applyFont="1" applyBorder="1" applyAlignment="1">
      <alignment horizontal="left" vertical="center"/>
    </xf>
    <xf numFmtId="43" fontId="99" fillId="0" borderId="63" xfId="21" applyFont="1" applyFill="1" applyBorder="1" applyAlignment="1" applyProtection="1">
      <alignment horizontal="left" vertical="center" wrapText="1"/>
      <protection locked="0"/>
    </xf>
    <xf numFmtId="0" fontId="25" fillId="9" borderId="92" xfId="12" applyFont="1" applyFill="1" applyBorder="1" applyAlignment="1">
      <alignment horizontal="center" vertical="center" wrapText="1"/>
    </xf>
    <xf numFmtId="172" fontId="3" fillId="0" borderId="93" xfId="24" applyFont="1" applyBorder="1"/>
    <xf numFmtId="168" fontId="7" fillId="5" borderId="92" xfId="3" applyNumberFormat="1" applyFont="1" applyFill="1" applyBorder="1" applyAlignment="1" applyProtection="1">
      <alignment horizontal="center" vertical="center"/>
      <protection locked="0"/>
    </xf>
    <xf numFmtId="49" fontId="7" fillId="6" borderId="95" xfId="3" applyNumberFormat="1" applyFont="1" applyFill="1" applyBorder="1" applyAlignment="1" applyProtection="1">
      <alignment horizontal="left" vertical="center"/>
      <protection locked="0"/>
    </xf>
    <xf numFmtId="0" fontId="7" fillId="6" borderId="95" xfId="3" applyFont="1" applyFill="1" applyBorder="1" applyProtection="1">
      <alignment vertical="center"/>
      <protection locked="0"/>
    </xf>
    <xf numFmtId="168" fontId="7" fillId="6" borderId="95" xfId="3" applyNumberFormat="1" applyFont="1" applyFill="1" applyBorder="1" applyProtection="1">
      <alignment vertical="center"/>
      <protection locked="0"/>
    </xf>
    <xf numFmtId="168" fontId="7" fillId="6" borderId="96" xfId="3" applyNumberFormat="1" applyFont="1" applyFill="1" applyBorder="1" applyProtection="1">
      <alignment vertical="center"/>
      <protection locked="0"/>
    </xf>
    <xf numFmtId="0" fontId="7" fillId="6" borderId="95" xfId="3" applyFont="1" applyFill="1" applyBorder="1" applyAlignment="1" applyProtection="1">
      <alignment horizontal="center" vertical="center"/>
      <protection locked="0"/>
    </xf>
    <xf numFmtId="13" fontId="5" fillId="0" borderId="21" xfId="1" applyNumberFormat="1" applyFont="1" applyFill="1" applyBorder="1" applyAlignment="1" applyProtection="1">
      <alignment horizontal="center" vertical="center"/>
      <protection locked="0"/>
    </xf>
    <xf numFmtId="181" fontId="7" fillId="5" borderId="5" xfId="3" applyNumberFormat="1" applyFont="1" applyFill="1" applyBorder="1" applyAlignment="1" applyProtection="1">
      <alignment horizontal="center" vertical="center"/>
      <protection locked="0"/>
    </xf>
    <xf numFmtId="0" fontId="7" fillId="6" borderId="17" xfId="3" applyFont="1" applyFill="1" applyBorder="1" applyAlignment="1" applyProtection="1">
      <alignment vertical="center" wrapText="1"/>
      <protection locked="0"/>
    </xf>
    <xf numFmtId="165" fontId="7" fillId="6" borderId="17" xfId="1" applyFont="1" applyFill="1" applyBorder="1" applyAlignment="1" applyProtection="1">
      <alignment vertical="center"/>
      <protection locked="0"/>
    </xf>
    <xf numFmtId="181" fontId="7" fillId="6" borderId="17" xfId="3" applyNumberFormat="1" applyFont="1" applyFill="1" applyBorder="1" applyProtection="1">
      <alignment vertical="center"/>
      <protection locked="0"/>
    </xf>
    <xf numFmtId="0" fontId="0" fillId="0" borderId="67" xfId="0" applyBorder="1" applyAlignment="1">
      <alignment horizontal="center"/>
    </xf>
    <xf numFmtId="165" fontId="0" fillId="0" borderId="67" xfId="1" applyFont="1" applyBorder="1"/>
    <xf numFmtId="181" fontId="0" fillId="0" borderId="67" xfId="0" applyNumberFormat="1" applyBorder="1"/>
    <xf numFmtId="181" fontId="0" fillId="0" borderId="68" xfId="0" applyNumberFormat="1" applyBorder="1"/>
    <xf numFmtId="0" fontId="0" fillId="0" borderId="24" xfId="0" applyBorder="1"/>
    <xf numFmtId="165" fontId="0" fillId="0" borderId="0" xfId="1" applyFont="1" applyBorder="1"/>
    <xf numFmtId="181" fontId="0" fillId="0" borderId="23" xfId="0" applyNumberFormat="1" applyBorder="1"/>
    <xf numFmtId="0" fontId="0" fillId="0" borderId="14" xfId="0" applyBorder="1"/>
    <xf numFmtId="0" fontId="0" fillId="0" borderId="61" xfId="0" applyBorder="1" applyAlignment="1">
      <alignment horizontal="center"/>
    </xf>
    <xf numFmtId="165" fontId="0" fillId="0" borderId="61" xfId="1" applyFont="1" applyBorder="1"/>
    <xf numFmtId="181" fontId="0" fillId="0" borderId="61" xfId="0" applyNumberFormat="1" applyBorder="1"/>
    <xf numFmtId="181" fontId="0" fillId="0" borderId="16" xfId="0" applyNumberFormat="1" applyBorder="1"/>
    <xf numFmtId="0" fontId="7" fillId="5" borderId="4" xfId="3" applyFont="1" applyFill="1" applyBorder="1" applyAlignment="1" applyProtection="1">
      <alignment horizontal="left" vertical="center" wrapText="1"/>
      <protection locked="0"/>
    </xf>
    <xf numFmtId="165" fontId="7" fillId="5" borderId="6" xfId="5" applyFont="1" applyFill="1" applyBorder="1" applyAlignment="1" applyProtection="1">
      <alignment horizontal="center" vertical="center"/>
      <protection locked="0"/>
    </xf>
    <xf numFmtId="168" fontId="7" fillId="5" borderId="59" xfId="3" applyNumberFormat="1" applyFont="1" applyFill="1" applyBorder="1" applyAlignment="1" applyProtection="1">
      <alignment horizontal="center" vertical="center"/>
      <protection locked="0"/>
    </xf>
    <xf numFmtId="0" fontId="8" fillId="59" borderId="98" xfId="3" applyFont="1" applyFill="1" applyBorder="1" applyProtection="1">
      <alignment vertical="center"/>
      <protection locked="0"/>
    </xf>
    <xf numFmtId="0" fontId="8" fillId="59" borderId="99" xfId="3" applyFont="1" applyFill="1" applyBorder="1" applyAlignment="1" applyProtection="1">
      <alignment horizontal="center" vertical="center"/>
      <protection locked="0"/>
    </xf>
    <xf numFmtId="43" fontId="101" fillId="59" borderId="99" xfId="21" applyFont="1" applyFill="1" applyBorder="1" applyAlignment="1" applyProtection="1">
      <alignment horizontal="center" vertical="center"/>
      <protection locked="0"/>
    </xf>
    <xf numFmtId="43" fontId="8" fillId="59" borderId="99" xfId="21" applyFont="1" applyFill="1" applyBorder="1" applyAlignment="1" applyProtection="1">
      <alignment horizontal="right" vertical="center"/>
      <protection locked="0"/>
    </xf>
    <xf numFmtId="164" fontId="8" fillId="59" borderId="100" xfId="21" applyNumberFormat="1" applyFont="1" applyFill="1" applyBorder="1" applyAlignment="1" applyProtection="1">
      <alignment horizontal="right" vertical="center"/>
      <protection locked="0"/>
    </xf>
    <xf numFmtId="164" fontId="8" fillId="59" borderId="101" xfId="21" applyNumberFormat="1" applyFont="1" applyFill="1" applyBorder="1" applyAlignment="1" applyProtection="1">
      <alignment vertical="center"/>
      <protection locked="0"/>
    </xf>
    <xf numFmtId="0" fontId="102" fillId="0" borderId="102" xfId="2648" applyFont="1" applyBorder="1" applyAlignment="1">
      <alignment horizontal="left" vertical="center" wrapText="1"/>
    </xf>
    <xf numFmtId="0" fontId="103" fillId="0" borderId="103" xfId="2646" applyFont="1" applyBorder="1" applyAlignment="1">
      <alignment horizontal="center" vertical="center" wrapText="1"/>
    </xf>
    <xf numFmtId="43" fontId="103" fillId="0" borderId="104" xfId="21" applyFont="1" applyBorder="1" applyAlignment="1">
      <alignment horizontal="center" vertical="center" shrinkToFit="1"/>
    </xf>
    <xf numFmtId="43" fontId="104" fillId="0" borderId="104" xfId="21" applyFont="1" applyBorder="1" applyAlignment="1">
      <alignment vertical="center" shrinkToFit="1"/>
    </xf>
    <xf numFmtId="164" fontId="104" fillId="0" borderId="105" xfId="21" applyNumberFormat="1" applyFont="1" applyBorder="1" applyAlignment="1">
      <alignment vertical="center" shrinkToFit="1"/>
    </xf>
    <xf numFmtId="164" fontId="105" fillId="0" borderId="86" xfId="21" applyNumberFormat="1" applyFont="1" applyBorder="1" applyAlignment="1" applyProtection="1">
      <alignment vertical="center"/>
      <protection locked="0"/>
    </xf>
    <xf numFmtId="0" fontId="103" fillId="0" borderId="106" xfId="2648" applyFont="1" applyBorder="1" applyAlignment="1">
      <alignment horizontal="left" vertical="center" wrapText="1"/>
    </xf>
    <xf numFmtId="0" fontId="103" fillId="0" borderId="107" xfId="2646" applyFont="1" applyBorder="1" applyAlignment="1">
      <alignment horizontal="center" vertical="center" wrapText="1"/>
    </xf>
    <xf numFmtId="43" fontId="103" fillId="0" borderId="60" xfId="21" applyFont="1" applyFill="1" applyBorder="1" applyAlignment="1">
      <alignment horizontal="center" vertical="center" shrinkToFit="1"/>
    </xf>
    <xf numFmtId="164" fontId="104" fillId="0" borderId="60" xfId="21" applyNumberFormat="1" applyFont="1" applyFill="1" applyBorder="1" applyAlignment="1">
      <alignment vertical="center" shrinkToFit="1"/>
    </xf>
    <xf numFmtId="164" fontId="104" fillId="0" borderId="108" xfId="21" applyNumberFormat="1" applyFont="1" applyFill="1" applyBorder="1" applyAlignment="1">
      <alignment vertical="center" shrinkToFit="1"/>
    </xf>
    <xf numFmtId="0" fontId="103" fillId="0" borderId="109" xfId="2648" applyFont="1" applyBorder="1" applyAlignment="1">
      <alignment horizontal="left" vertical="center" wrapText="1"/>
    </xf>
    <xf numFmtId="0" fontId="103" fillId="0" borderId="110" xfId="2646" applyFont="1" applyBorder="1" applyAlignment="1">
      <alignment horizontal="center" vertical="center" wrapText="1"/>
    </xf>
    <xf numFmtId="43" fontId="103" fillId="0" borderId="111" xfId="21" applyFont="1" applyFill="1" applyBorder="1" applyAlignment="1">
      <alignment horizontal="center" vertical="center" shrinkToFit="1"/>
    </xf>
    <xf numFmtId="164" fontId="104" fillId="0" borderId="111" xfId="21" applyNumberFormat="1" applyFont="1" applyFill="1" applyBorder="1" applyAlignment="1">
      <alignment vertical="center" shrinkToFit="1"/>
    </xf>
    <xf numFmtId="0" fontId="103" fillId="0" borderId="112" xfId="2648" applyFont="1" applyBorder="1" applyAlignment="1">
      <alignment horizontal="left" vertical="center" wrapText="1"/>
    </xf>
    <xf numFmtId="0" fontId="103" fillId="0" borderId="113" xfId="2646" applyFont="1" applyBorder="1" applyAlignment="1">
      <alignment horizontal="center" vertical="center" wrapText="1"/>
    </xf>
    <xf numFmtId="43" fontId="103" fillId="0" borderId="114" xfId="21" applyFont="1" applyFill="1" applyBorder="1" applyAlignment="1">
      <alignment horizontal="center" vertical="center" shrinkToFit="1"/>
    </xf>
    <xf numFmtId="164" fontId="104" fillId="0" borderId="114" xfId="21" applyNumberFormat="1" applyFont="1" applyFill="1" applyBorder="1" applyAlignment="1">
      <alignment vertical="center" shrinkToFit="1"/>
    </xf>
    <xf numFmtId="164" fontId="104" fillId="0" borderId="115" xfId="21" applyNumberFormat="1" applyFont="1" applyFill="1" applyBorder="1" applyAlignment="1">
      <alignment vertical="center" shrinkToFit="1"/>
    </xf>
    <xf numFmtId="164" fontId="105" fillId="0" borderId="91" xfId="21" applyNumberFormat="1" applyFont="1" applyBorder="1" applyAlignment="1" applyProtection="1">
      <alignment vertical="center"/>
      <protection locked="0"/>
    </xf>
    <xf numFmtId="165" fontId="2" fillId="0" borderId="0" xfId="1" applyFont="1"/>
    <xf numFmtId="0" fontId="3" fillId="0" borderId="0" xfId="3" applyAlignment="1">
      <alignment horizontal="left" vertical="center" wrapText="1"/>
    </xf>
    <xf numFmtId="181" fontId="3" fillId="0" borderId="0" xfId="3" applyNumberFormat="1">
      <alignment vertical="center"/>
    </xf>
    <xf numFmtId="192" fontId="3" fillId="0" borderId="0" xfId="3" applyNumberFormat="1">
      <alignment vertical="center"/>
    </xf>
    <xf numFmtId="227" fontId="3" fillId="0" borderId="0" xfId="3" applyNumberFormat="1">
      <alignment vertical="center"/>
    </xf>
    <xf numFmtId="227" fontId="3" fillId="2" borderId="0" xfId="3" applyNumberFormat="1" applyFill="1">
      <alignment vertical="center"/>
    </xf>
    <xf numFmtId="181" fontId="9" fillId="2" borderId="0" xfId="0" applyNumberFormat="1" applyFont="1" applyFill="1"/>
    <xf numFmtId="0" fontId="18" fillId="0" borderId="0" xfId="3" applyFont="1" applyAlignment="1">
      <alignment horizontal="left" vertical="top" wrapText="1"/>
    </xf>
    <xf numFmtId="165" fontId="3" fillId="0" borderId="0" xfId="1" applyFont="1" applyAlignment="1">
      <alignment horizontal="left" vertical="center"/>
    </xf>
    <xf numFmtId="165" fontId="3" fillId="0" borderId="0" xfId="1" applyFont="1" applyAlignment="1">
      <alignment horizontal="left" vertical="top"/>
    </xf>
    <xf numFmtId="165" fontId="3" fillId="0" borderId="0" xfId="1" applyFont="1" applyAlignment="1" applyProtection="1">
      <alignment horizontal="left" vertical="top"/>
      <protection locked="0"/>
    </xf>
    <xf numFmtId="14" fontId="18" fillId="0" borderId="0" xfId="1" applyNumberFormat="1" applyFont="1" applyBorder="1" applyAlignment="1">
      <alignment horizontal="center" vertical="top"/>
    </xf>
    <xf numFmtId="227" fontId="18" fillId="0" borderId="0" xfId="3" applyNumberFormat="1" applyFont="1" applyAlignment="1">
      <alignment horizontal="center" vertical="top"/>
    </xf>
    <xf numFmtId="0" fontId="7" fillId="5" borderId="116" xfId="3" applyFont="1" applyFill="1" applyBorder="1" applyAlignment="1" applyProtection="1">
      <alignment horizontal="left" vertical="center"/>
      <protection locked="0"/>
    </xf>
    <xf numFmtId="0" fontId="7" fillId="5" borderId="17" xfId="3" applyFont="1" applyFill="1" applyBorder="1" applyAlignment="1" applyProtection="1">
      <alignment horizontal="left" vertical="center" wrapText="1"/>
      <protection locked="0"/>
    </xf>
    <xf numFmtId="0" fontId="7" fillId="5" borderId="17" xfId="3" applyFont="1" applyFill="1" applyBorder="1" applyAlignment="1" applyProtection="1">
      <alignment horizontal="center" vertical="center" wrapText="1"/>
      <protection locked="0"/>
    </xf>
    <xf numFmtId="165" fontId="7" fillId="5" borderId="17" xfId="1" applyFont="1" applyFill="1" applyBorder="1" applyAlignment="1" applyProtection="1">
      <alignment horizontal="center" vertical="center" wrapText="1"/>
      <protection locked="0"/>
    </xf>
    <xf numFmtId="181" fontId="7" fillId="5" borderId="17" xfId="1" applyNumberFormat="1" applyFont="1" applyFill="1" applyBorder="1" applyAlignment="1" applyProtection="1">
      <alignment horizontal="center" vertical="center" wrapText="1"/>
      <protection locked="0"/>
    </xf>
    <xf numFmtId="192" fontId="7" fillId="5" borderId="17" xfId="1" applyNumberFormat="1" applyFont="1" applyFill="1" applyBorder="1" applyAlignment="1" applyProtection="1">
      <alignment horizontal="center" vertical="center" wrapText="1"/>
      <protection locked="0"/>
    </xf>
    <xf numFmtId="227" fontId="7" fillId="5" borderId="17" xfId="1" applyNumberFormat="1" applyFont="1" applyFill="1" applyBorder="1" applyAlignment="1" applyProtection="1">
      <alignment horizontal="center" vertical="center" wrapText="1"/>
      <protection locked="0"/>
    </xf>
    <xf numFmtId="181" fontId="7" fillId="5" borderId="59" xfId="1" applyNumberFormat="1" applyFont="1" applyFill="1" applyBorder="1" applyAlignment="1" applyProtection="1">
      <alignment horizontal="center" vertical="center"/>
      <protection locked="0"/>
    </xf>
    <xf numFmtId="49" fontId="105" fillId="60" borderId="92" xfId="3" applyNumberFormat="1" applyFont="1" applyFill="1" applyBorder="1" applyAlignment="1" applyProtection="1">
      <alignment horizontal="left" vertical="center"/>
      <protection locked="0"/>
    </xf>
    <xf numFmtId="0" fontId="105" fillId="60" borderId="92" xfId="3" applyFont="1" applyFill="1" applyBorder="1" applyAlignment="1" applyProtection="1">
      <alignment horizontal="left" vertical="center"/>
      <protection locked="0"/>
    </xf>
    <xf numFmtId="172" fontId="105" fillId="61" borderId="92" xfId="58368" applyFont="1" applyFill="1" applyBorder="1" applyAlignment="1" applyProtection="1">
      <alignment horizontal="center" vertical="center"/>
      <protection locked="0"/>
    </xf>
    <xf numFmtId="192" fontId="7" fillId="6" borderId="92" xfId="3" applyNumberFormat="1" applyFont="1" applyFill="1" applyBorder="1" applyAlignment="1" applyProtection="1">
      <alignment horizontal="right" vertical="center"/>
      <protection locked="0"/>
    </xf>
    <xf numFmtId="181" fontId="7" fillId="6" borderId="92" xfId="3" applyNumberFormat="1" applyFont="1" applyFill="1" applyBorder="1" applyAlignment="1" applyProtection="1">
      <alignment horizontal="right" vertical="center"/>
      <protection locked="0"/>
    </xf>
    <xf numFmtId="227" fontId="7" fillId="6" borderId="92" xfId="3" applyNumberFormat="1" applyFont="1" applyFill="1" applyBorder="1" applyAlignment="1" applyProtection="1">
      <alignment horizontal="right" vertical="center"/>
      <protection locked="0"/>
    </xf>
    <xf numFmtId="49" fontId="107" fillId="0" borderId="92" xfId="0" applyNumberFormat="1" applyFont="1" applyBorder="1"/>
    <xf numFmtId="0" fontId="0" fillId="0" borderId="92" xfId="0" applyBorder="1"/>
    <xf numFmtId="49" fontId="16" fillId="0" borderId="92" xfId="0" applyNumberFormat="1" applyFont="1" applyBorder="1"/>
    <xf numFmtId="49" fontId="108" fillId="0" borderId="92" xfId="0" applyNumberFormat="1" applyFont="1" applyBorder="1"/>
    <xf numFmtId="168" fontId="108" fillId="0" borderId="92" xfId="0" applyNumberFormat="1" applyFont="1" applyBorder="1"/>
    <xf numFmtId="181" fontId="9" fillId="0" borderId="92" xfId="1" applyNumberFormat="1" applyFont="1" applyFill="1" applyBorder="1"/>
    <xf numFmtId="227" fontId="9" fillId="0" borderId="92" xfId="1" applyNumberFormat="1" applyFont="1" applyFill="1" applyBorder="1"/>
    <xf numFmtId="165" fontId="7" fillId="5" borderId="17" xfId="1" applyFont="1" applyFill="1" applyBorder="1" applyAlignment="1" applyProtection="1">
      <alignment horizontal="center" wrapText="1"/>
      <protection locked="0"/>
    </xf>
    <xf numFmtId="165" fontId="7" fillId="5" borderId="17" xfId="1" applyFont="1" applyFill="1" applyBorder="1" applyAlignment="1" applyProtection="1">
      <alignment horizontal="left" vertical="center" wrapText="1"/>
      <protection locked="0"/>
    </xf>
    <xf numFmtId="0" fontId="105" fillId="60" borderId="92" xfId="3" applyFont="1" applyFill="1" applyBorder="1" applyAlignment="1" applyProtection="1">
      <alignment horizontal="left" vertical="center" wrapText="1"/>
      <protection locked="0"/>
    </xf>
    <xf numFmtId="165" fontId="7" fillId="6" borderId="92" xfId="1" applyFont="1" applyFill="1" applyBorder="1" applyAlignment="1" applyProtection="1">
      <alignment horizontal="left" vertical="center"/>
      <protection locked="0"/>
    </xf>
    <xf numFmtId="165" fontId="9" fillId="0" borderId="92" xfId="1" applyFont="1" applyFill="1" applyBorder="1" applyAlignment="1">
      <alignment horizontal="left" vertical="center"/>
    </xf>
    <xf numFmtId="0" fontId="8" fillId="0" borderId="92" xfId="168" applyFont="1" applyBorder="1" applyAlignment="1">
      <alignment horizontal="left" vertical="center" wrapText="1"/>
    </xf>
    <xf numFmtId="49" fontId="108" fillId="0" borderId="92" xfId="0" applyNumberFormat="1" applyFont="1" applyBorder="1" applyAlignment="1">
      <alignment horizontal="center" vertical="center"/>
    </xf>
    <xf numFmtId="168" fontId="108" fillId="0" borderId="92" xfId="0" applyNumberFormat="1" applyFont="1" applyBorder="1" applyAlignment="1">
      <alignment vertical="center"/>
    </xf>
    <xf numFmtId="165" fontId="9" fillId="0" borderId="92" xfId="1" applyFont="1" applyBorder="1" applyAlignment="1">
      <alignment horizontal="left" vertical="center"/>
    </xf>
    <xf numFmtId="181" fontId="9" fillId="0" borderId="92" xfId="1" applyNumberFormat="1" applyFont="1" applyFill="1" applyBorder="1" applyAlignment="1">
      <alignment vertical="center"/>
    </xf>
    <xf numFmtId="227" fontId="9" fillId="0" borderId="92" xfId="1" applyNumberFormat="1" applyFont="1" applyFill="1" applyBorder="1" applyAlignment="1">
      <alignment vertical="center"/>
    </xf>
    <xf numFmtId="227" fontId="3" fillId="0" borderId="0" xfId="3" applyNumberFormat="1" applyAlignment="1" applyProtection="1">
      <alignment horizontal="center" vertical="center"/>
      <protection locked="0"/>
    </xf>
    <xf numFmtId="181" fontId="7" fillId="6" borderId="92" xfId="3" applyNumberFormat="1" applyFont="1" applyFill="1" applyBorder="1" applyAlignment="1" applyProtection="1">
      <alignment horizontal="center" vertical="center"/>
      <protection locked="0"/>
    </xf>
    <xf numFmtId="49" fontId="107" fillId="0" borderId="92" xfId="0" applyNumberFormat="1" applyFont="1" applyBorder="1" applyAlignment="1">
      <alignment wrapText="1"/>
    </xf>
    <xf numFmtId="0" fontId="9" fillId="0" borderId="92" xfId="0" applyFont="1" applyBorder="1" applyAlignment="1">
      <alignment horizontal="center" vertical="center"/>
    </xf>
    <xf numFmtId="0" fontId="9" fillId="0" borderId="92" xfId="0" applyFont="1" applyBorder="1" applyAlignment="1">
      <alignment horizontal="center"/>
    </xf>
    <xf numFmtId="181" fontId="9" fillId="0" borderId="92" xfId="0" applyNumberFormat="1" applyFont="1" applyBorder="1"/>
    <xf numFmtId="227" fontId="9" fillId="0" borderId="92" xfId="0" applyNumberFormat="1" applyFont="1" applyBorder="1"/>
    <xf numFmtId="181" fontId="106" fillId="0" borderId="92" xfId="0" applyNumberFormat="1" applyFont="1" applyBorder="1"/>
    <xf numFmtId="49" fontId="3" fillId="0" borderId="92" xfId="0" applyNumberFormat="1" applyFont="1" applyBorder="1" applyAlignment="1">
      <alignment vertical="center"/>
    </xf>
    <xf numFmtId="49" fontId="3" fillId="0" borderId="92" xfId="0" applyNumberFormat="1" applyFont="1" applyBorder="1" applyAlignment="1">
      <alignment vertical="center" wrapText="1"/>
    </xf>
    <xf numFmtId="49" fontId="3" fillId="0" borderId="92" xfId="0" applyNumberFormat="1" applyFont="1" applyBorder="1" applyAlignment="1">
      <alignment horizontal="center" vertical="center"/>
    </xf>
    <xf numFmtId="165" fontId="3" fillId="0" borderId="92" xfId="1" applyFont="1" applyBorder="1" applyAlignment="1">
      <alignment horizontal="left" vertical="center"/>
    </xf>
    <xf numFmtId="181" fontId="3" fillId="0" borderId="92" xfId="0" applyNumberFormat="1" applyFont="1" applyBorder="1" applyAlignment="1">
      <alignment vertical="center"/>
    </xf>
    <xf numFmtId="227" fontId="3" fillId="0" borderId="92" xfId="0" applyNumberFormat="1" applyFont="1" applyBorder="1" applyAlignment="1">
      <alignment vertical="center"/>
    </xf>
    <xf numFmtId="181" fontId="3" fillId="0" borderId="92" xfId="1" applyNumberFormat="1" applyFont="1" applyFill="1" applyBorder="1" applyAlignment="1">
      <alignment vertical="center"/>
    </xf>
    <xf numFmtId="227" fontId="3" fillId="0" borderId="92" xfId="1" applyNumberFormat="1" applyFont="1" applyFill="1" applyBorder="1" applyAlignment="1">
      <alignment vertical="center"/>
    </xf>
    <xf numFmtId="49" fontId="108" fillId="0" borderId="92" xfId="0" applyNumberFormat="1" applyFont="1" applyBorder="1" applyAlignment="1">
      <alignment horizontal="left" vertical="top" wrapText="1"/>
    </xf>
    <xf numFmtId="49" fontId="108" fillId="0" borderId="92" xfId="0" applyNumberFormat="1" applyFont="1" applyBorder="1" applyAlignment="1">
      <alignment wrapText="1"/>
    </xf>
    <xf numFmtId="49" fontId="109" fillId="0" borderId="92" xfId="0" applyNumberFormat="1" applyFont="1" applyBorder="1" applyAlignment="1">
      <alignment wrapText="1"/>
    </xf>
    <xf numFmtId="168" fontId="108" fillId="0" borderId="92" xfId="0" applyNumberFormat="1" applyFont="1" applyBorder="1" applyAlignment="1">
      <alignment horizontal="center"/>
    </xf>
    <xf numFmtId="181" fontId="108" fillId="0" borderId="92" xfId="0" applyNumberFormat="1" applyFont="1" applyBorder="1"/>
    <xf numFmtId="227" fontId="108" fillId="0" borderId="92" xfId="0" applyNumberFormat="1" applyFont="1" applyBorder="1"/>
    <xf numFmtId="168" fontId="108" fillId="0" borderId="92" xfId="0" applyNumberFormat="1" applyFont="1" applyBorder="1" applyAlignment="1">
      <alignment horizontal="center" vertical="center"/>
    </xf>
    <xf numFmtId="181" fontId="108" fillId="0" borderId="92" xfId="0" applyNumberFormat="1" applyFont="1" applyBorder="1" applyAlignment="1">
      <alignment vertical="center"/>
    </xf>
    <xf numFmtId="227" fontId="108" fillId="0" borderId="92" xfId="0" applyNumberFormat="1" applyFont="1" applyBorder="1" applyAlignment="1">
      <alignment vertical="center"/>
    </xf>
    <xf numFmtId="0" fontId="9" fillId="0" borderId="0" xfId="0" applyFont="1" applyAlignment="1">
      <alignment horizontal="center"/>
    </xf>
    <xf numFmtId="49" fontId="109" fillId="0" borderId="92" xfId="0" applyNumberFormat="1" applyFont="1" applyBorder="1"/>
    <xf numFmtId="227" fontId="0" fillId="0" borderId="0" xfId="0" applyNumberFormat="1"/>
    <xf numFmtId="181" fontId="0" fillId="0" borderId="92" xfId="0" applyNumberFormat="1" applyBorder="1" applyAlignment="1">
      <alignment vertical="center"/>
    </xf>
    <xf numFmtId="49" fontId="108" fillId="0" borderId="92" xfId="0" applyNumberFormat="1" applyFont="1" applyBorder="1" applyAlignment="1">
      <alignment vertical="center" wrapText="1"/>
    </xf>
    <xf numFmtId="0" fontId="0" fillId="0" borderId="0" xfId="0" applyAlignment="1">
      <alignment horizontal="center" vertical="center"/>
    </xf>
    <xf numFmtId="2" fontId="2" fillId="0" borderId="24" xfId="22" applyNumberFormat="1" applyBorder="1" applyAlignment="1">
      <alignment horizontal="center"/>
    </xf>
    <xf numFmtId="180" fontId="25" fillId="0" borderId="35" xfId="22" applyNumberFormat="1" applyFont="1" applyBorder="1" applyAlignment="1">
      <alignment horizontal="right"/>
    </xf>
    <xf numFmtId="0" fontId="2" fillId="0" borderId="24" xfId="22" applyBorder="1"/>
    <xf numFmtId="180" fontId="2" fillId="0" borderId="35" xfId="22" applyNumberFormat="1" applyBorder="1" applyAlignment="1">
      <alignment horizontal="right"/>
    </xf>
    <xf numFmtId="165" fontId="2" fillId="0" borderId="0" xfId="1" applyFont="1" applyBorder="1"/>
    <xf numFmtId="0" fontId="2" fillId="0" borderId="23" xfId="22" applyBorder="1"/>
    <xf numFmtId="0" fontId="2" fillId="0" borderId="14" xfId="22" applyBorder="1"/>
    <xf numFmtId="0" fontId="25" fillId="0" borderId="76" xfId="22" applyFont="1" applyBorder="1"/>
    <xf numFmtId="0" fontId="25" fillId="0" borderId="117" xfId="22" applyFont="1" applyBorder="1"/>
    <xf numFmtId="178" fontId="25" fillId="0" borderId="74" xfId="5" applyNumberFormat="1" applyFont="1" applyFill="1" applyBorder="1" applyAlignment="1">
      <alignment horizontal="right"/>
    </xf>
    <xf numFmtId="183" fontId="25" fillId="0" borderId="76" xfId="5" applyNumberFormat="1" applyFont="1" applyFill="1" applyBorder="1" applyAlignment="1">
      <alignment horizontal="right"/>
    </xf>
    <xf numFmtId="180" fontId="25" fillId="0" borderId="77" xfId="22" applyNumberFormat="1" applyFont="1" applyBorder="1" applyAlignment="1">
      <alignment horizontal="right"/>
    </xf>
    <xf numFmtId="2" fontId="2" fillId="0" borderId="3" xfId="22" applyNumberFormat="1" applyBorder="1" applyAlignment="1">
      <alignment horizontal="center"/>
    </xf>
    <xf numFmtId="178" fontId="2" fillId="0" borderId="2" xfId="5" applyNumberFormat="1" applyFont="1" applyFill="1" applyBorder="1" applyAlignment="1">
      <alignment horizontal="right" vertical="center"/>
    </xf>
    <xf numFmtId="179" fontId="2" fillId="0" borderId="2" xfId="5" applyNumberFormat="1" applyFont="1" applyFill="1" applyBorder="1" applyAlignment="1">
      <alignment horizontal="right" vertical="center"/>
    </xf>
    <xf numFmtId="180" fontId="2" fillId="0" borderId="30" xfId="22" applyNumberFormat="1" applyBorder="1" applyAlignment="1">
      <alignment horizontal="right" vertical="center"/>
    </xf>
    <xf numFmtId="181" fontId="7" fillId="0" borderId="0" xfId="1" applyNumberFormat="1" applyFont="1" applyFill="1" applyBorder="1" applyAlignment="1" applyProtection="1">
      <alignment horizontal="center" vertical="center"/>
      <protection locked="0"/>
    </xf>
    <xf numFmtId="181" fontId="7" fillId="0" borderId="0" xfId="3" applyNumberFormat="1" applyFont="1" applyAlignment="1" applyProtection="1">
      <alignment horizontal="right" vertical="center"/>
      <protection locked="0"/>
    </xf>
    <xf numFmtId="0" fontId="75" fillId="0" borderId="92" xfId="0" applyFont="1" applyBorder="1"/>
    <xf numFmtId="0" fontId="0" fillId="0" borderId="0" xfId="0" applyAlignment="1">
      <alignment wrapText="1"/>
    </xf>
    <xf numFmtId="227"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180" fontId="25" fillId="0" borderId="95" xfId="22" applyNumberFormat="1" applyFont="1" applyBorder="1" applyAlignment="1">
      <alignment horizontal="right"/>
    </xf>
    <xf numFmtId="0" fontId="7" fillId="0" borderId="0" xfId="3" applyFont="1" applyAlignment="1" applyProtection="1">
      <alignment horizontal="center" vertical="center" wrapText="1"/>
      <protection locked="0"/>
    </xf>
    <xf numFmtId="177" fontId="16" fillId="0" borderId="0" xfId="0" quotePrefix="1" applyNumberFormat="1" applyFont="1" applyAlignment="1">
      <alignment horizontal="left" vertical="center"/>
    </xf>
    <xf numFmtId="0" fontId="7" fillId="5" borderId="17" xfId="3" applyFont="1" applyFill="1" applyBorder="1" applyAlignment="1" applyProtection="1">
      <alignment horizontal="center" vertical="center"/>
      <protection locked="0"/>
    </xf>
    <xf numFmtId="168" fontId="7" fillId="5" borderId="17" xfId="3" applyNumberFormat="1" applyFont="1" applyFill="1" applyBorder="1" applyAlignment="1" applyProtection="1">
      <alignment horizontal="center" vertical="center" wrapText="1"/>
      <protection locked="0"/>
    </xf>
    <xf numFmtId="168" fontId="7" fillId="5" borderId="17" xfId="3" applyNumberFormat="1" applyFont="1" applyFill="1" applyBorder="1" applyAlignment="1" applyProtection="1">
      <alignment horizontal="center" vertical="center"/>
      <protection locked="0"/>
    </xf>
    <xf numFmtId="168" fontId="7" fillId="5" borderId="82" xfId="3" applyNumberFormat="1" applyFont="1" applyFill="1" applyBorder="1" applyAlignment="1" applyProtection="1">
      <alignment horizontal="center" vertical="center"/>
      <protection locked="0"/>
    </xf>
    <xf numFmtId="164" fontId="15" fillId="5" borderId="57" xfId="3" applyNumberFormat="1" applyFont="1" applyFill="1" applyBorder="1">
      <alignment vertical="center"/>
    </xf>
    <xf numFmtId="164" fontId="15" fillId="5" borderId="73" xfId="3" applyNumberFormat="1" applyFont="1" applyFill="1" applyBorder="1">
      <alignment vertical="center"/>
    </xf>
    <xf numFmtId="168" fontId="7" fillId="0" borderId="67" xfId="3" applyNumberFormat="1" applyFont="1" applyBorder="1" applyAlignment="1" applyProtection="1">
      <alignment horizontal="center" vertical="center" wrapText="1"/>
      <protection locked="0"/>
    </xf>
    <xf numFmtId="168" fontId="7" fillId="0" borderId="67" xfId="3" applyNumberFormat="1" applyFont="1" applyBorder="1" applyAlignment="1" applyProtection="1">
      <alignment horizontal="center" vertical="center"/>
      <protection locked="0"/>
    </xf>
    <xf numFmtId="165" fontId="3" fillId="0" borderId="23" xfId="1" applyFont="1" applyFill="1" applyBorder="1" applyAlignment="1">
      <alignment vertical="center"/>
    </xf>
    <xf numFmtId="0" fontId="0" fillId="0" borderId="23" xfId="0" applyBorder="1"/>
    <xf numFmtId="0" fontId="7" fillId="0" borderId="67" xfId="3" applyFont="1" applyBorder="1" applyAlignment="1" applyProtection="1">
      <alignment horizontal="center" vertical="center"/>
      <protection locked="0"/>
    </xf>
    <xf numFmtId="165" fontId="5" fillId="0" borderId="0" xfId="1" applyFont="1" applyFill="1" applyBorder="1" applyAlignment="1" applyProtection="1">
      <alignment horizontal="center" vertical="center"/>
      <protection locked="0"/>
    </xf>
    <xf numFmtId="164" fontId="5" fillId="0" borderId="0" xfId="5" applyNumberFormat="1" applyFont="1" applyFill="1" applyBorder="1" applyAlignment="1" applyProtection="1">
      <alignment vertical="center"/>
      <protection locked="0"/>
    </xf>
    <xf numFmtId="174" fontId="5" fillId="0" borderId="0" xfId="5" applyNumberFormat="1" applyFont="1" applyFill="1" applyBorder="1" applyAlignment="1" applyProtection="1">
      <alignment vertical="center"/>
      <protection locked="0"/>
    </xf>
    <xf numFmtId="0" fontId="19" fillId="0" borderId="70" xfId="0" applyFont="1" applyBorder="1" applyAlignment="1">
      <alignment horizontal="left" vertical="center" wrapText="1"/>
    </xf>
    <xf numFmtId="0" fontId="3" fillId="0" borderId="24" xfId="0" applyFont="1" applyBorder="1" applyAlignment="1">
      <alignment horizontal="left" vertical="center" wrapText="1"/>
    </xf>
    <xf numFmtId="0" fontId="19" fillId="0" borderId="24" xfId="0" applyFont="1" applyBorder="1" applyAlignment="1">
      <alignment horizontal="left" vertical="center" wrapText="1"/>
    </xf>
    <xf numFmtId="164" fontId="21" fillId="0" borderId="23" xfId="3" applyNumberFormat="1" applyFont="1" applyBorder="1" applyProtection="1">
      <alignment vertical="center"/>
      <protection locked="0"/>
    </xf>
    <xf numFmtId="0" fontId="5" fillId="0" borderId="0" xfId="2549" applyFont="1" applyAlignment="1" applyProtection="1">
      <alignment horizontal="center" vertical="center"/>
      <protection locked="0"/>
    </xf>
    <xf numFmtId="164" fontId="5" fillId="0" borderId="0" xfId="0" applyNumberFormat="1" applyFont="1" applyAlignment="1" applyProtection="1">
      <alignment vertical="center"/>
      <protection locked="0"/>
    </xf>
    <xf numFmtId="0" fontId="11" fillId="0" borderId="24" xfId="0" applyFont="1" applyBorder="1" applyAlignment="1">
      <alignment horizontal="left" vertical="center" wrapText="1"/>
    </xf>
    <xf numFmtId="164" fontId="21" fillId="0" borderId="68" xfId="3" applyNumberFormat="1" applyFont="1" applyBorder="1" applyProtection="1">
      <alignment vertical="center"/>
      <protection locked="0"/>
    </xf>
    <xf numFmtId="171" fontId="5" fillId="0" borderId="0" xfId="0" applyNumberFormat="1" applyFont="1" applyAlignment="1" applyProtection="1">
      <alignment vertical="center"/>
      <protection locked="0"/>
    </xf>
    <xf numFmtId="168" fontId="7" fillId="0" borderId="0" xfId="3" applyNumberFormat="1" applyFont="1" applyAlignment="1" applyProtection="1">
      <alignment horizontal="center" vertical="center" wrapText="1"/>
      <protection locked="0"/>
    </xf>
    <xf numFmtId="164" fontId="5" fillId="0" borderId="23" xfId="0" applyNumberFormat="1" applyFont="1" applyBorder="1" applyAlignment="1" applyProtection="1">
      <alignment vertical="center"/>
      <protection locked="0"/>
    </xf>
    <xf numFmtId="0" fontId="5" fillId="0" borderId="0" xfId="0" applyFont="1" applyAlignment="1" applyProtection="1">
      <alignment horizontal="center" vertical="center"/>
      <protection locked="0"/>
    </xf>
    <xf numFmtId="0" fontId="3" fillId="0" borderId="24" xfId="17" applyFont="1" applyBorder="1" applyAlignment="1" applyProtection="1">
      <alignment horizontal="left" vertical="center" wrapText="1"/>
      <protection locked="0"/>
    </xf>
    <xf numFmtId="0" fontId="9" fillId="0" borderId="24" xfId="0" applyFont="1" applyBorder="1" applyAlignment="1">
      <alignment horizontal="left" vertical="center" wrapText="1"/>
    </xf>
    <xf numFmtId="0" fontId="3" fillId="0" borderId="24" xfId="8" applyBorder="1" applyAlignment="1">
      <alignment horizontal="left" vertical="center"/>
    </xf>
    <xf numFmtId="0" fontId="3" fillId="0" borderId="23" xfId="4" applyBorder="1">
      <alignment vertical="center"/>
    </xf>
    <xf numFmtId="0" fontId="11" fillId="0" borderId="24" xfId="18" applyFont="1" applyBorder="1" applyAlignment="1" applyProtection="1">
      <alignment horizontal="left" vertical="center" wrapText="1"/>
      <protection locked="0"/>
    </xf>
    <xf numFmtId="172" fontId="3" fillId="0" borderId="70" xfId="24" applyFont="1" applyFill="1" applyBorder="1"/>
    <xf numFmtId="172" fontId="3" fillId="0" borderId="68" xfId="24" applyFont="1" applyFill="1" applyBorder="1"/>
    <xf numFmtId="172" fontId="21" fillId="0" borderId="58" xfId="24" applyFont="1" applyFill="1" applyBorder="1"/>
    <xf numFmtId="0" fontId="0" fillId="0" borderId="68" xfId="0" applyBorder="1"/>
    <xf numFmtId="9" fontId="2" fillId="0" borderId="0" xfId="58367" applyFont="1"/>
    <xf numFmtId="184" fontId="0" fillId="0" borderId="0" xfId="0" applyNumberFormat="1"/>
    <xf numFmtId="226" fontId="5" fillId="0" borderId="21" xfId="5" applyNumberFormat="1" applyFont="1" applyFill="1" applyBorder="1" applyAlignment="1" applyProtection="1">
      <alignment vertical="center"/>
      <protection locked="0"/>
    </xf>
    <xf numFmtId="164" fontId="5" fillId="0" borderId="118" xfId="0" applyNumberFormat="1" applyFont="1" applyBorder="1" applyAlignment="1" applyProtection="1">
      <alignment vertical="center"/>
      <protection locked="0"/>
    </xf>
    <xf numFmtId="174" fontId="5" fillId="0" borderId="118" xfId="0" applyNumberFormat="1" applyFont="1" applyBorder="1" applyAlignment="1" applyProtection="1">
      <alignment vertical="center"/>
      <protection locked="0"/>
    </xf>
    <xf numFmtId="164" fontId="5" fillId="0" borderId="118" xfId="5" applyNumberFormat="1" applyFont="1" applyBorder="1" applyAlignment="1" applyProtection="1">
      <alignment vertical="center"/>
      <protection locked="0"/>
    </xf>
    <xf numFmtId="227" fontId="5" fillId="0" borderId="65" xfId="0" applyNumberFormat="1" applyFont="1" applyBorder="1" applyAlignment="1" applyProtection="1">
      <alignment vertical="center"/>
      <protection locked="0"/>
    </xf>
    <xf numFmtId="0" fontId="25" fillId="9" borderId="70" xfId="12" applyFont="1" applyFill="1" applyBorder="1" applyAlignment="1">
      <alignment horizontal="center" vertical="center"/>
    </xf>
    <xf numFmtId="0" fontId="25" fillId="9" borderId="71" xfId="12" applyFont="1" applyFill="1" applyBorder="1" applyAlignment="1">
      <alignment horizontal="center" vertical="center" wrapText="1"/>
    </xf>
    <xf numFmtId="0" fontId="25" fillId="9" borderId="68" xfId="12" applyFont="1" applyFill="1" applyBorder="1" applyAlignment="1">
      <alignment horizontal="center" vertical="center"/>
    </xf>
    <xf numFmtId="2" fontId="2" fillId="0" borderId="70" xfId="22" applyNumberFormat="1" applyBorder="1" applyAlignment="1">
      <alignment horizontal="center"/>
    </xf>
    <xf numFmtId="0" fontId="2" fillId="0" borderId="67" xfId="22" applyBorder="1"/>
    <xf numFmtId="178" fontId="2" fillId="0" borderId="67" xfId="5" applyNumberFormat="1" applyFont="1" applyFill="1" applyBorder="1" applyAlignment="1">
      <alignment horizontal="right" vertical="center"/>
    </xf>
    <xf numFmtId="179" fontId="2" fillId="0" borderId="67" xfId="5" applyNumberFormat="1" applyFont="1" applyFill="1" applyBorder="1" applyAlignment="1">
      <alignment horizontal="right" vertical="center"/>
    </xf>
    <xf numFmtId="180" fontId="2" fillId="0" borderId="68" xfId="22" applyNumberFormat="1" applyBorder="1" applyAlignment="1">
      <alignment horizontal="right" vertical="center"/>
    </xf>
    <xf numFmtId="2" fontId="2" fillId="2" borderId="14" xfId="22" applyNumberFormat="1" applyFill="1" applyBorder="1" applyAlignment="1">
      <alignment horizontal="center"/>
    </xf>
    <xf numFmtId="0" fontId="2" fillId="2" borderId="61" xfId="22" applyFill="1" applyBorder="1"/>
    <xf numFmtId="178" fontId="2" fillId="2" borderId="61" xfId="5" applyNumberFormat="1" applyFont="1" applyFill="1" applyBorder="1" applyAlignment="1">
      <alignment horizontal="right" vertical="center"/>
    </xf>
    <xf numFmtId="179" fontId="2" fillId="2" borderId="61" xfId="5" applyNumberFormat="1" applyFont="1" applyFill="1" applyBorder="1" applyAlignment="1">
      <alignment horizontal="right" vertical="center"/>
    </xf>
    <xf numFmtId="180" fontId="2" fillId="2" borderId="16" xfId="22" applyNumberFormat="1" applyFill="1" applyBorder="1" applyAlignment="1">
      <alignment horizontal="right" vertical="center"/>
    </xf>
    <xf numFmtId="0" fontId="24" fillId="0" borderId="96" xfId="12" applyFont="1" applyBorder="1" applyAlignment="1">
      <alignment vertical="center"/>
    </xf>
    <xf numFmtId="0" fontId="2" fillId="0" borderId="97" xfId="22" applyBorder="1"/>
    <xf numFmtId="0" fontId="25" fillId="9" borderId="94" xfId="12" applyFont="1" applyFill="1" applyBorder="1" applyAlignment="1">
      <alignment horizontal="center" vertical="center"/>
    </xf>
    <xf numFmtId="0" fontId="25" fillId="3" borderId="96" xfId="22" applyFont="1" applyFill="1" applyBorder="1" applyAlignment="1">
      <alignment horizontal="center" vertical="center"/>
    </xf>
    <xf numFmtId="0" fontId="25" fillId="3" borderId="97" xfId="22" applyFont="1" applyFill="1" applyBorder="1" applyAlignment="1">
      <alignment horizontal="center" vertical="center"/>
    </xf>
    <xf numFmtId="0" fontId="25" fillId="0" borderId="97" xfId="22" applyFont="1" applyBorder="1" applyAlignment="1">
      <alignment horizontal="center" vertical="center"/>
    </xf>
    <xf numFmtId="0" fontId="2" fillId="0" borderId="95" xfId="22" applyBorder="1"/>
    <xf numFmtId="0" fontId="25" fillId="0" borderId="96" xfId="22" applyFont="1" applyBorder="1"/>
    <xf numFmtId="0" fontId="25" fillId="0" borderId="97" xfId="22" applyFont="1" applyBorder="1"/>
    <xf numFmtId="178" fontId="25" fillId="0" borderId="95" xfId="5" applyNumberFormat="1" applyFont="1" applyFill="1" applyBorder="1" applyAlignment="1">
      <alignment horizontal="right"/>
    </xf>
    <xf numFmtId="183" fontId="25" fillId="0" borderId="96" xfId="5" applyNumberFormat="1" applyFont="1" applyFill="1" applyBorder="1" applyAlignment="1">
      <alignment horizontal="right"/>
    </xf>
    <xf numFmtId="172" fontId="3" fillId="0" borderId="0" xfId="3" applyNumberFormat="1">
      <alignment vertical="center"/>
    </xf>
    <xf numFmtId="227" fontId="3" fillId="0" borderId="0" xfId="3" applyNumberFormat="1" applyAlignment="1">
      <alignment horizontal="left" vertical="center"/>
    </xf>
    <xf numFmtId="181" fontId="9" fillId="0" borderId="0" xfId="0" applyNumberFormat="1" applyFont="1" applyAlignment="1">
      <alignment horizontal="left" vertical="center"/>
    </xf>
    <xf numFmtId="165" fontId="9" fillId="0" borderId="0" xfId="1" applyFont="1" applyAlignment="1">
      <alignment horizontal="left" vertical="center"/>
    </xf>
    <xf numFmtId="227" fontId="3" fillId="2" borderId="0" xfId="3" applyNumberFormat="1" applyFill="1" applyAlignment="1">
      <alignment horizontal="left" vertical="center"/>
    </xf>
    <xf numFmtId="181" fontId="9" fillId="2" borderId="0" xfId="0" applyNumberFormat="1" applyFont="1" applyFill="1" applyAlignment="1">
      <alignment horizontal="left" vertical="center"/>
    </xf>
    <xf numFmtId="0" fontId="18" fillId="0" borderId="0" xfId="3" applyFont="1" applyAlignment="1">
      <alignment horizontal="left" vertical="center" wrapText="1"/>
    </xf>
    <xf numFmtId="165" fontId="3" fillId="0" borderId="0" xfId="1" applyFont="1" applyAlignment="1" applyProtection="1">
      <alignment horizontal="left" vertical="center"/>
      <protection locked="0"/>
    </xf>
    <xf numFmtId="14" fontId="18" fillId="0" borderId="0" xfId="1" applyNumberFormat="1" applyFont="1" applyBorder="1" applyAlignment="1">
      <alignment horizontal="left" vertical="center"/>
    </xf>
    <xf numFmtId="227" fontId="18" fillId="0" borderId="0" xfId="3" applyNumberFormat="1" applyFont="1" applyAlignment="1">
      <alignment horizontal="left" vertical="center"/>
    </xf>
    <xf numFmtId="227" fontId="7" fillId="5" borderId="17" xfId="1" applyNumberFormat="1" applyFont="1" applyFill="1" applyBorder="1" applyAlignment="1" applyProtection="1">
      <alignment horizontal="left" vertical="center" wrapText="1"/>
      <protection locked="0"/>
    </xf>
    <xf numFmtId="181" fontId="7" fillId="5" borderId="59" xfId="1" applyNumberFormat="1" applyFont="1" applyFill="1" applyBorder="1" applyAlignment="1" applyProtection="1">
      <alignment horizontal="left" vertical="center"/>
      <protection locked="0"/>
    </xf>
    <xf numFmtId="172" fontId="105" fillId="61" borderId="92" xfId="58368" applyFont="1" applyFill="1" applyBorder="1" applyAlignment="1" applyProtection="1">
      <alignment horizontal="left" vertical="center"/>
      <protection locked="0"/>
    </xf>
    <xf numFmtId="227" fontId="7" fillId="6" borderId="92" xfId="3" applyNumberFormat="1" applyFont="1" applyFill="1" applyBorder="1" applyAlignment="1" applyProtection="1">
      <alignment horizontal="left" vertical="center"/>
      <protection locked="0"/>
    </xf>
    <xf numFmtId="0" fontId="110" fillId="0" borderId="0" xfId="0" applyFont="1" applyAlignment="1">
      <alignment horizontal="left" vertical="center"/>
    </xf>
    <xf numFmtId="165" fontId="110" fillId="0" borderId="0" xfId="1" applyFont="1" applyFill="1" applyAlignment="1">
      <alignment horizontal="left" vertical="center"/>
    </xf>
    <xf numFmtId="0" fontId="9" fillId="0" borderId="92" xfId="0" applyFont="1" applyBorder="1" applyAlignment="1">
      <alignment horizontal="left" vertical="center"/>
    </xf>
    <xf numFmtId="0" fontId="3" fillId="0" borderId="92" xfId="168" applyFont="1" applyBorder="1" applyAlignment="1">
      <alignment horizontal="left" vertical="center" wrapText="1"/>
    </xf>
    <xf numFmtId="165" fontId="9" fillId="0" borderId="0" xfId="0" applyNumberFormat="1" applyFont="1" applyAlignment="1">
      <alignment horizontal="left" vertical="center"/>
    </xf>
    <xf numFmtId="0" fontId="11" fillId="0" borderId="92" xfId="168" applyFont="1" applyBorder="1" applyAlignment="1">
      <alignment horizontal="left" vertical="center" wrapText="1"/>
    </xf>
    <xf numFmtId="0" fontId="9" fillId="0" borderId="92" xfId="0" applyFont="1" applyBorder="1" applyAlignment="1">
      <alignment horizontal="left" vertical="center" wrapText="1"/>
    </xf>
    <xf numFmtId="0" fontId="3" fillId="3" borderId="92" xfId="168" applyFont="1" applyFill="1" applyBorder="1" applyAlignment="1">
      <alignment horizontal="left" vertical="center" wrapText="1"/>
    </xf>
    <xf numFmtId="0" fontId="11" fillId="3" borderId="92" xfId="168" applyFont="1" applyFill="1" applyBorder="1" applyAlignment="1">
      <alignment horizontal="left" vertical="center" wrapText="1"/>
    </xf>
    <xf numFmtId="49" fontId="108" fillId="0" borderId="92" xfId="0" applyNumberFormat="1" applyFont="1" applyBorder="1" applyAlignment="1">
      <alignment horizontal="left" vertical="center"/>
    </xf>
    <xf numFmtId="49" fontId="108" fillId="0" borderId="92" xfId="0" applyNumberFormat="1" applyFont="1" applyBorder="1" applyAlignment="1">
      <alignment horizontal="left" vertical="center" wrapText="1"/>
    </xf>
    <xf numFmtId="168" fontId="108" fillId="0" borderId="92" xfId="0" applyNumberFormat="1" applyFont="1" applyBorder="1" applyAlignment="1">
      <alignment horizontal="left" vertical="center"/>
    </xf>
    <xf numFmtId="181" fontId="9" fillId="0" borderId="92" xfId="1" applyNumberFormat="1" applyFont="1" applyFill="1" applyBorder="1" applyAlignment="1">
      <alignment horizontal="left" vertical="center"/>
    </xf>
    <xf numFmtId="227" fontId="9" fillId="0" borderId="92" xfId="1" applyNumberFormat="1" applyFont="1" applyFill="1" applyBorder="1" applyAlignment="1">
      <alignment horizontal="left" vertical="center"/>
    </xf>
    <xf numFmtId="165" fontId="3" fillId="0" borderId="92" xfId="1" applyFont="1" applyFill="1" applyBorder="1" applyAlignment="1">
      <alignment horizontal="left" vertical="center"/>
    </xf>
    <xf numFmtId="237" fontId="0" fillId="0" borderId="0" xfId="0" applyNumberFormat="1"/>
    <xf numFmtId="170" fontId="0" fillId="0" borderId="0" xfId="0" applyNumberFormat="1"/>
    <xf numFmtId="49" fontId="109" fillId="0" borderId="92" xfId="0" applyNumberFormat="1" applyFont="1" applyBorder="1" applyAlignment="1">
      <alignment vertical="center" wrapText="1"/>
    </xf>
    <xf numFmtId="181" fontId="9" fillId="0" borderId="92" xfId="1" applyNumberFormat="1" applyFont="1" applyFill="1" applyBorder="1" applyAlignment="1">
      <alignment horizontal="center" vertical="center"/>
    </xf>
    <xf numFmtId="227" fontId="9" fillId="0" borderId="92" xfId="1" applyNumberFormat="1" applyFont="1" applyFill="1" applyBorder="1" applyAlignment="1">
      <alignment horizontal="center" vertical="center"/>
    </xf>
    <xf numFmtId="0" fontId="25" fillId="0" borderId="65" xfId="22" applyFont="1" applyBorder="1"/>
    <xf numFmtId="0" fontId="25" fillId="0" borderId="66" xfId="22" applyFont="1" applyBorder="1"/>
    <xf numFmtId="178" fontId="25" fillId="0" borderId="71" xfId="5" applyNumberFormat="1" applyFont="1" applyFill="1" applyBorder="1" applyAlignment="1">
      <alignment horizontal="right"/>
    </xf>
    <xf numFmtId="183" fontId="25" fillId="0" borderId="65" xfId="5" applyNumberFormat="1" applyFont="1" applyFill="1" applyBorder="1" applyAlignment="1">
      <alignment horizontal="right"/>
    </xf>
    <xf numFmtId="180" fontId="25" fillId="0" borderId="10" xfId="22" applyNumberFormat="1" applyFont="1" applyBorder="1" applyAlignment="1">
      <alignment horizontal="right"/>
    </xf>
    <xf numFmtId="2" fontId="2" fillId="12" borderId="24" xfId="22" applyNumberFormat="1" applyFill="1" applyBorder="1" applyAlignment="1">
      <alignment horizontal="center"/>
    </xf>
    <xf numFmtId="0" fontId="2" fillId="12" borderId="0" xfId="22" applyFill="1"/>
    <xf numFmtId="178" fontId="2" fillId="12" borderId="0" xfId="5" applyNumberFormat="1" applyFont="1" applyFill="1" applyBorder="1" applyAlignment="1">
      <alignment horizontal="right" vertical="center"/>
    </xf>
    <xf numFmtId="179" fontId="2" fillId="12" borderId="0" xfId="5" applyNumberFormat="1" applyFont="1" applyFill="1" applyBorder="1" applyAlignment="1">
      <alignment horizontal="right" vertical="center"/>
    </xf>
    <xf numFmtId="180" fontId="2" fillId="12" borderId="23" xfId="22" applyNumberFormat="1" applyFill="1" applyBorder="1" applyAlignment="1">
      <alignment horizontal="right" vertical="center"/>
    </xf>
    <xf numFmtId="172" fontId="3" fillId="0" borderId="14" xfId="24" applyFont="1" applyFill="1" applyBorder="1"/>
    <xf numFmtId="177" fontId="19" fillId="0" borderId="0" xfId="0" quotePrefix="1" applyNumberFormat="1" applyFont="1" applyAlignment="1">
      <alignment horizontal="left" vertical="center"/>
    </xf>
    <xf numFmtId="0" fontId="5" fillId="0" borderId="2" xfId="0" applyFont="1" applyBorder="1" applyAlignment="1" applyProtection="1">
      <alignment vertical="center"/>
      <protection locked="0"/>
    </xf>
    <xf numFmtId="49" fontId="8" fillId="0" borderId="34" xfId="0" applyNumberFormat="1" applyFont="1" applyBorder="1" applyAlignment="1" applyProtection="1">
      <alignment vertical="center"/>
      <protection locked="0"/>
    </xf>
    <xf numFmtId="0" fontId="8" fillId="0" borderId="2" xfId="0" applyFont="1" applyBorder="1" applyAlignment="1" applyProtection="1">
      <alignment vertical="center"/>
      <protection locked="0"/>
    </xf>
    <xf numFmtId="0" fontId="8" fillId="0" borderId="2" xfId="0" applyFont="1" applyBorder="1" applyAlignment="1" applyProtection="1">
      <alignment horizontal="center" vertical="center"/>
      <protection locked="0"/>
    </xf>
    <xf numFmtId="168" fontId="20" fillId="0" borderId="35" xfId="0" applyNumberFormat="1" applyFont="1" applyBorder="1" applyAlignment="1" applyProtection="1">
      <alignment vertical="center"/>
      <protection locked="0"/>
    </xf>
    <xf numFmtId="0" fontId="5" fillId="0" borderId="2" xfId="143" applyFont="1" applyBorder="1" applyAlignment="1" applyProtection="1">
      <alignment horizontal="left" vertical="center" indent="2"/>
      <protection locked="0"/>
    </xf>
    <xf numFmtId="0" fontId="5" fillId="0" borderId="2" xfId="143" applyFont="1" applyBorder="1" applyAlignment="1" applyProtection="1">
      <alignment vertical="center"/>
      <protection locked="0"/>
    </xf>
    <xf numFmtId="0" fontId="20" fillId="0" borderId="34" xfId="0" applyFont="1" applyBorder="1" applyAlignment="1" applyProtection="1">
      <alignment vertical="center"/>
      <protection locked="0"/>
    </xf>
    <xf numFmtId="0" fontId="20" fillId="0" borderId="2" xfId="0" applyFont="1" applyBorder="1" applyAlignment="1" applyProtection="1">
      <alignment horizontal="left" vertical="center"/>
      <protection locked="0"/>
    </xf>
    <xf numFmtId="0" fontId="5" fillId="0" borderId="2" xfId="0" applyFont="1" applyBorder="1" applyAlignment="1" applyProtection="1">
      <alignment horizontal="left" vertical="center"/>
      <protection locked="0"/>
    </xf>
    <xf numFmtId="0" fontId="5" fillId="0" borderId="2" xfId="0" applyFont="1" applyBorder="1" applyAlignment="1" applyProtection="1">
      <alignment horizontal="left" vertical="center" indent="1"/>
      <protection locked="0"/>
    </xf>
    <xf numFmtId="0" fontId="5" fillId="0" borderId="2" xfId="0" applyFont="1" applyBorder="1" applyAlignment="1" applyProtection="1">
      <alignment horizontal="left" vertical="center" indent="2"/>
      <protection locked="0"/>
    </xf>
    <xf numFmtId="0" fontId="20" fillId="0" borderId="2" xfId="0" applyFont="1" applyBorder="1" applyAlignment="1" applyProtection="1">
      <alignment horizontal="left" vertical="center" wrapText="1"/>
      <protection locked="0"/>
    </xf>
    <xf numFmtId="0" fontId="5" fillId="0" borderId="2" xfId="0" applyFont="1" applyBorder="1" applyAlignment="1" applyProtection="1">
      <alignment horizontal="left" vertical="center" wrapText="1"/>
      <protection locked="0"/>
    </xf>
    <xf numFmtId="0" fontId="3" fillId="0" borderId="2" xfId="0" applyFont="1" applyBorder="1" applyAlignment="1" applyProtection="1">
      <alignment horizontal="left" vertical="center" wrapText="1"/>
      <protection locked="0"/>
    </xf>
    <xf numFmtId="49" fontId="20" fillId="0" borderId="8" xfId="0" applyNumberFormat="1" applyFont="1" applyBorder="1" applyAlignment="1" applyProtection="1">
      <alignment vertical="center"/>
      <protection locked="0"/>
    </xf>
    <xf numFmtId="0" fontId="20" fillId="0" borderId="2" xfId="0" applyFont="1" applyBorder="1" applyAlignment="1" applyProtection="1">
      <alignment vertical="center" wrapText="1"/>
      <protection locked="0"/>
    </xf>
    <xf numFmtId="49" fontId="5" fillId="0" borderId="8" xfId="0" applyNumberFormat="1" applyFont="1" applyBorder="1" applyAlignment="1" applyProtection="1">
      <alignment vertical="center"/>
      <protection locked="0"/>
    </xf>
    <xf numFmtId="0" fontId="5" fillId="0" borderId="2" xfId="0" applyFont="1" applyBorder="1" applyAlignment="1" applyProtection="1">
      <alignment vertical="center" wrapText="1"/>
      <protection locked="0"/>
    </xf>
    <xf numFmtId="0" fontId="3" fillId="0" borderId="2" xfId="0" applyFont="1" applyBorder="1" applyAlignment="1" applyProtection="1">
      <alignment vertical="center" wrapText="1"/>
      <protection locked="0"/>
    </xf>
    <xf numFmtId="49" fontId="8" fillId="0" borderId="8" xfId="0" applyNumberFormat="1" applyFont="1" applyBorder="1" applyAlignment="1" applyProtection="1">
      <alignment vertical="center"/>
      <protection locked="0"/>
    </xf>
    <xf numFmtId="174" fontId="5" fillId="0" borderId="75" xfId="0" applyNumberFormat="1" applyFont="1" applyBorder="1" applyAlignment="1" applyProtection="1">
      <alignment vertical="center"/>
      <protection locked="0"/>
    </xf>
    <xf numFmtId="49" fontId="8" fillId="0" borderId="84" xfId="4" applyNumberFormat="1" applyFont="1" applyBorder="1" applyProtection="1">
      <alignment vertical="center"/>
      <protection locked="0"/>
    </xf>
    <xf numFmtId="0" fontId="8" fillId="0" borderId="85" xfId="4" applyFont="1" applyBorder="1" applyAlignment="1" applyProtection="1">
      <alignment horizontal="left" vertical="center" indent="1"/>
      <protection locked="0"/>
    </xf>
    <xf numFmtId="0" fontId="8" fillId="0" borderId="85" xfId="4" applyFont="1" applyBorder="1" applyAlignment="1" applyProtection="1">
      <alignment horizontal="center" vertical="center"/>
      <protection locked="0"/>
    </xf>
    <xf numFmtId="165" fontId="8" fillId="0" borderId="85" xfId="1" applyFont="1" applyFill="1" applyBorder="1" applyAlignment="1" applyProtection="1">
      <alignment horizontal="center" vertical="center"/>
      <protection locked="0"/>
    </xf>
    <xf numFmtId="168" fontId="8" fillId="0" borderId="7" xfId="4" applyNumberFormat="1" applyFont="1" applyBorder="1" applyProtection="1">
      <alignment vertical="center"/>
      <protection locked="0"/>
    </xf>
    <xf numFmtId="168" fontId="8" fillId="0" borderId="82" xfId="4" applyNumberFormat="1" applyFont="1" applyBorder="1" applyProtection="1">
      <alignment vertical="center"/>
      <protection locked="0"/>
    </xf>
    <xf numFmtId="49" fontId="5" fillId="0" borderId="8" xfId="4" applyNumberFormat="1" applyFont="1" applyBorder="1" applyProtection="1">
      <alignment vertical="center"/>
      <protection locked="0"/>
    </xf>
    <xf numFmtId="0" fontId="5" fillId="0" borderId="2" xfId="4" applyFont="1" applyBorder="1" applyAlignment="1" applyProtection="1">
      <alignment horizontal="left" vertical="center" indent="2"/>
      <protection locked="0"/>
    </xf>
    <xf numFmtId="0" fontId="5" fillId="0" borderId="2" xfId="4" applyFont="1" applyBorder="1" applyAlignment="1" applyProtection="1">
      <alignment horizontal="center" vertical="center"/>
      <protection locked="0"/>
    </xf>
    <xf numFmtId="168" fontId="5" fillId="0" borderId="3" xfId="4" applyNumberFormat="1" applyFont="1" applyBorder="1" applyProtection="1">
      <alignment vertical="center"/>
      <protection locked="0"/>
    </xf>
    <xf numFmtId="168" fontId="5" fillId="0" borderId="83" xfId="4" applyNumberFormat="1" applyFont="1" applyBorder="1" applyProtection="1">
      <alignment vertical="center"/>
      <protection locked="0"/>
    </xf>
    <xf numFmtId="0" fontId="5" fillId="0" borderId="2" xfId="3" applyFont="1" applyBorder="1" applyAlignment="1" applyProtection="1">
      <alignment horizontal="center" vertical="center"/>
      <protection locked="0"/>
    </xf>
    <xf numFmtId="49" fontId="8" fillId="0" borderId="8" xfId="4" applyNumberFormat="1" applyFont="1" applyBorder="1" applyProtection="1">
      <alignment vertical="center"/>
      <protection locked="0"/>
    </xf>
    <xf numFmtId="0" fontId="8" fillId="0" borderId="2" xfId="4" applyFont="1" applyBorder="1" applyAlignment="1" applyProtection="1">
      <alignment horizontal="left" vertical="center" indent="1"/>
      <protection locked="0"/>
    </xf>
    <xf numFmtId="0" fontId="8" fillId="0" borderId="2" xfId="4" applyFont="1" applyBorder="1" applyAlignment="1" applyProtection="1">
      <alignment horizontal="center" vertical="center"/>
      <protection locked="0"/>
    </xf>
    <xf numFmtId="168" fontId="8" fillId="0" borderId="3" xfId="4" applyNumberFormat="1" applyFont="1" applyBorder="1" applyProtection="1">
      <alignment vertical="center"/>
      <protection locked="0"/>
    </xf>
    <xf numFmtId="168" fontId="8" fillId="0" borderId="86" xfId="4" applyNumberFormat="1" applyFont="1" applyBorder="1" applyProtection="1">
      <alignment vertical="center"/>
      <protection locked="0"/>
    </xf>
    <xf numFmtId="168" fontId="5" fillId="0" borderId="86" xfId="4" applyNumberFormat="1" applyFont="1" applyBorder="1" applyProtection="1">
      <alignment vertical="center"/>
      <protection locked="0"/>
    </xf>
    <xf numFmtId="10" fontId="5" fillId="0" borderId="2" xfId="1" applyNumberFormat="1" applyFont="1" applyFill="1" applyBorder="1" applyAlignment="1" applyProtection="1">
      <alignment horizontal="center" vertical="center"/>
      <protection locked="0"/>
    </xf>
    <xf numFmtId="0" fontId="5" fillId="0" borderId="2" xfId="4" applyFont="1" applyBorder="1" applyAlignment="1" applyProtection="1">
      <alignment horizontal="left" vertical="center" wrapText="1" indent="2"/>
      <protection locked="0"/>
    </xf>
    <xf numFmtId="168" fontId="5" fillId="0" borderId="87" xfId="4" applyNumberFormat="1" applyFont="1" applyBorder="1" applyProtection="1">
      <alignment vertical="center"/>
      <protection locked="0"/>
    </xf>
    <xf numFmtId="0" fontId="9" fillId="0" borderId="2" xfId="4" applyFont="1" applyBorder="1" applyAlignment="1" applyProtection="1">
      <alignment horizontal="left" vertical="center" indent="2"/>
      <protection locked="0"/>
    </xf>
    <xf numFmtId="49" fontId="5" fillId="0" borderId="88" xfId="4" applyNumberFormat="1" applyFont="1" applyBorder="1" applyProtection="1">
      <alignment vertical="center"/>
      <protection locked="0"/>
    </xf>
    <xf numFmtId="0" fontId="5" fillId="0" borderId="89" xfId="4" applyFont="1" applyBorder="1" applyAlignment="1" applyProtection="1">
      <alignment horizontal="left" vertical="center" indent="2"/>
      <protection locked="0"/>
    </xf>
    <xf numFmtId="0" fontId="5" fillId="0" borderId="89" xfId="4" applyFont="1" applyBorder="1" applyAlignment="1" applyProtection="1">
      <alignment horizontal="center" vertical="center"/>
      <protection locked="0"/>
    </xf>
    <xf numFmtId="168" fontId="5" fillId="0" borderId="91" xfId="4" applyNumberFormat="1" applyFont="1" applyBorder="1" applyProtection="1">
      <alignment vertical="center"/>
      <protection locked="0"/>
    </xf>
    <xf numFmtId="228" fontId="7" fillId="5" borderId="57" xfId="3" applyNumberFormat="1" applyFont="1" applyFill="1" applyBorder="1" applyAlignment="1" applyProtection="1">
      <alignment horizontal="center" vertical="center"/>
      <protection locked="0"/>
    </xf>
    <xf numFmtId="168" fontId="7" fillId="5" borderId="57" xfId="3" applyNumberFormat="1" applyFont="1" applyFill="1" applyBorder="1" applyAlignment="1" applyProtection="1">
      <alignment horizontal="center" vertical="center"/>
      <protection locked="0"/>
    </xf>
    <xf numFmtId="168" fontId="7" fillId="5" borderId="57" xfId="3" applyNumberFormat="1" applyFont="1" applyFill="1" applyBorder="1" applyAlignment="1" applyProtection="1">
      <alignment horizontal="center" vertical="center" wrapText="1"/>
      <protection locked="0"/>
    </xf>
    <xf numFmtId="168" fontId="7" fillId="5" borderId="73" xfId="3" applyNumberFormat="1" applyFont="1" applyFill="1" applyBorder="1" applyAlignment="1" applyProtection="1">
      <alignment horizontal="center" vertical="center"/>
      <protection locked="0"/>
    </xf>
    <xf numFmtId="165" fontId="3" fillId="0" borderId="0" xfId="5" applyFont="1" applyFill="1" applyBorder="1" applyAlignment="1">
      <alignment horizontal="center" vertical="center"/>
    </xf>
    <xf numFmtId="187" fontId="3" fillId="0" borderId="0" xfId="3" applyNumberFormat="1" applyAlignment="1">
      <alignment horizontal="left" vertical="center" indent="2"/>
    </xf>
    <xf numFmtId="183" fontId="3" fillId="0" borderId="0" xfId="3" applyNumberFormat="1">
      <alignment vertical="center"/>
    </xf>
    <xf numFmtId="181" fontId="7" fillId="0" borderId="0" xfId="3" applyNumberFormat="1" applyFont="1" applyProtection="1">
      <alignment vertical="center"/>
      <protection locked="0"/>
    </xf>
    <xf numFmtId="168" fontId="5" fillId="0" borderId="23" xfId="0" applyNumberFormat="1" applyFont="1" applyBorder="1" applyAlignment="1" applyProtection="1">
      <alignment vertical="center"/>
      <protection locked="0"/>
    </xf>
    <xf numFmtId="0" fontId="5" fillId="0" borderId="74" xfId="0" applyFont="1" applyBorder="1" applyAlignment="1" applyProtection="1">
      <alignment vertical="center" wrapText="1"/>
      <protection locked="0"/>
    </xf>
    <xf numFmtId="177" fontId="9" fillId="0" borderId="20" xfId="0" quotePrefix="1" applyNumberFormat="1" applyFont="1" applyBorder="1" applyAlignment="1">
      <alignment horizontal="left" vertical="center"/>
    </xf>
    <xf numFmtId="176" fontId="11" fillId="0" borderId="20" xfId="0" quotePrefix="1" applyNumberFormat="1" applyFont="1" applyBorder="1" applyAlignment="1">
      <alignment horizontal="left" vertical="center"/>
    </xf>
    <xf numFmtId="0" fontId="11" fillId="0" borderId="21" xfId="17" applyFont="1" applyBorder="1" applyAlignment="1" applyProtection="1">
      <alignment horizontal="left" vertical="center"/>
      <protection locked="0"/>
    </xf>
    <xf numFmtId="0" fontId="22" fillId="0" borderId="0" xfId="4" applyFont="1" applyAlignment="1">
      <alignment horizontal="center" vertical="center"/>
    </xf>
    <xf numFmtId="0" fontId="19" fillId="0" borderId="21" xfId="0" applyFont="1" applyBorder="1" applyAlignment="1">
      <alignment horizontal="left" vertical="center"/>
    </xf>
    <xf numFmtId="0" fontId="19" fillId="0" borderId="21" xfId="17" applyFont="1" applyBorder="1" applyAlignment="1" applyProtection="1">
      <alignment horizontal="left" vertical="center"/>
      <protection locked="0"/>
    </xf>
    <xf numFmtId="188" fontId="21" fillId="0" borderId="20" xfId="0" applyNumberFormat="1" applyFont="1" applyBorder="1" applyAlignment="1">
      <alignment horizontal="left" vertical="center"/>
    </xf>
    <xf numFmtId="0" fontId="21" fillId="0" borderId="21" xfId="0" applyFont="1" applyBorder="1" applyAlignment="1">
      <alignment horizontal="left" vertical="center" wrapText="1"/>
    </xf>
    <xf numFmtId="2" fontId="19" fillId="0" borderId="62" xfId="19" applyNumberFormat="1" applyFont="1" applyBorder="1" applyAlignment="1" applyProtection="1">
      <alignment horizontal="left" vertical="center" wrapText="1"/>
      <protection locked="0"/>
    </xf>
    <xf numFmtId="168" fontId="3" fillId="0" borderId="21" xfId="3" applyNumberFormat="1" applyBorder="1" applyProtection="1">
      <alignment vertical="center"/>
      <protection locked="0"/>
    </xf>
    <xf numFmtId="0" fontId="19" fillId="0" borderId="21" xfId="17" applyFont="1" applyBorder="1" applyAlignment="1" applyProtection="1">
      <alignment horizontal="left" vertical="center" wrapText="1"/>
      <protection locked="0"/>
    </xf>
    <xf numFmtId="177" fontId="16" fillId="0" borderId="20" xfId="0" quotePrefix="1" applyNumberFormat="1" applyFont="1" applyBorder="1" applyAlignment="1">
      <alignment horizontal="left" vertical="center"/>
    </xf>
    <xf numFmtId="232" fontId="9" fillId="0" borderId="20" xfId="0" quotePrefix="1" applyNumberFormat="1" applyFont="1" applyBorder="1" applyAlignment="1">
      <alignment horizontal="left" vertical="center"/>
    </xf>
    <xf numFmtId="0" fontId="3" fillId="0" borderId="21" xfId="0" applyFont="1" applyBorder="1" applyAlignment="1">
      <alignment horizontal="left" vertical="center"/>
    </xf>
    <xf numFmtId="0" fontId="5" fillId="0" borderId="21" xfId="2" applyFont="1" applyBorder="1" applyAlignment="1" applyProtection="1">
      <alignment horizontal="center" vertical="center"/>
      <protection locked="0"/>
    </xf>
    <xf numFmtId="0" fontId="11" fillId="0" borderId="21" xfId="18" applyFont="1" applyBorder="1" applyAlignment="1" applyProtection="1">
      <alignment horizontal="left" vertical="center" wrapText="1"/>
      <protection locked="0"/>
    </xf>
    <xf numFmtId="171" fontId="22" fillId="0" borderId="21" xfId="0" applyNumberFormat="1" applyFont="1" applyBorder="1" applyAlignment="1" applyProtection="1">
      <alignment vertical="center"/>
      <protection locked="0"/>
    </xf>
    <xf numFmtId="233" fontId="9" fillId="0" borderId="20" xfId="0" quotePrefix="1" applyNumberFormat="1" applyFont="1" applyBorder="1" applyAlignment="1">
      <alignment horizontal="left" vertical="center"/>
    </xf>
    <xf numFmtId="176" fontId="3" fillId="0" borderId="20" xfId="0" quotePrefix="1" applyNumberFormat="1" applyFont="1" applyBorder="1" applyAlignment="1">
      <alignment horizontal="left" vertical="center"/>
    </xf>
    <xf numFmtId="0" fontId="3" fillId="0" borderId="2" xfId="8" applyBorder="1" applyAlignment="1">
      <alignment horizontal="left" vertical="center" wrapText="1"/>
    </xf>
    <xf numFmtId="0" fontId="3" fillId="0" borderId="21" xfId="18" applyFont="1" applyBorder="1" applyAlignment="1" applyProtection="1">
      <alignment horizontal="left" vertical="center"/>
      <protection locked="0"/>
    </xf>
    <xf numFmtId="0" fontId="99" fillId="0" borderId="63" xfId="13" applyFont="1" applyBorder="1" applyAlignment="1" applyProtection="1">
      <alignment horizontal="left" vertical="center" wrapText="1"/>
      <protection locked="0"/>
    </xf>
    <xf numFmtId="0" fontId="3" fillId="0" borderId="28" xfId="0" applyFont="1" applyBorder="1" applyAlignment="1">
      <alignment horizontal="left" vertical="center"/>
    </xf>
    <xf numFmtId="164" fontId="19" fillId="0" borderId="83" xfId="3" applyNumberFormat="1" applyFont="1" applyBorder="1" applyProtection="1">
      <alignment vertical="center"/>
      <protection locked="0"/>
    </xf>
    <xf numFmtId="0" fontId="3" fillId="0" borderId="0" xfId="0" applyFont="1" applyAlignment="1">
      <alignment wrapText="1"/>
    </xf>
    <xf numFmtId="0" fontId="11" fillId="0" borderId="0" xfId="17" applyFont="1" applyAlignment="1" applyProtection="1">
      <alignment horizontal="left" vertical="center" wrapText="1"/>
      <protection locked="0"/>
    </xf>
    <xf numFmtId="0" fontId="97" fillId="0" borderId="21" xfId="17" applyFont="1" applyBorder="1" applyAlignment="1" applyProtection="1">
      <alignment horizontal="left" vertical="center" wrapText="1"/>
      <protection locked="0"/>
    </xf>
    <xf numFmtId="0" fontId="3" fillId="0" borderId="2" xfId="8" applyBorder="1" applyAlignment="1">
      <alignment vertical="center" wrapText="1"/>
    </xf>
    <xf numFmtId="0" fontId="3" fillId="0" borderId="2" xfId="17" applyFont="1" applyBorder="1" applyAlignment="1" applyProtection="1">
      <alignment horizontal="left" vertical="center"/>
      <protection locked="0"/>
    </xf>
    <xf numFmtId="0" fontId="3" fillId="0" borderId="21" xfId="8" applyBorder="1" applyAlignment="1">
      <alignment vertical="center" wrapText="1"/>
    </xf>
    <xf numFmtId="0" fontId="32" fillId="0" borderId="21" xfId="0" applyFont="1" applyBorder="1" applyAlignment="1" applyProtection="1">
      <alignment horizontal="center" vertical="center"/>
      <protection locked="0"/>
    </xf>
    <xf numFmtId="172" fontId="32" fillId="0" borderId="21" xfId="0" applyNumberFormat="1" applyFont="1" applyBorder="1" applyAlignment="1" applyProtection="1">
      <alignment horizontal="center" vertical="center"/>
      <protection locked="0"/>
    </xf>
    <xf numFmtId="0" fontId="11" fillId="0" borderId="0" xfId="4" applyFont="1">
      <alignment vertical="center"/>
    </xf>
    <xf numFmtId="0" fontId="11" fillId="0" borderId="21" xfId="0" applyFont="1" applyBorder="1" applyAlignment="1">
      <alignment horizontal="left" vertical="center" wrapText="1"/>
    </xf>
    <xf numFmtId="0" fontId="16" fillId="0" borderId="21" xfId="0" applyFont="1" applyBorder="1" applyAlignment="1">
      <alignment horizontal="left" vertical="center" wrapText="1"/>
    </xf>
    <xf numFmtId="0" fontId="3" fillId="0" borderId="69" xfId="0" applyFont="1" applyBorder="1" applyAlignment="1">
      <alignment horizontal="left" vertical="center" wrapText="1"/>
    </xf>
    <xf numFmtId="0" fontId="9" fillId="0" borderId="21" xfId="0" applyFont="1" applyBorder="1" applyAlignment="1" applyProtection="1">
      <alignment horizontal="center" vertical="center"/>
      <protection locked="0"/>
    </xf>
    <xf numFmtId="172" fontId="9" fillId="0" borderId="21" xfId="0" applyNumberFormat="1" applyFont="1" applyBorder="1" applyAlignment="1" applyProtection="1">
      <alignment horizontal="center" vertical="center"/>
      <protection locked="0"/>
    </xf>
    <xf numFmtId="0" fontId="98" fillId="0" borderId="28" xfId="18" applyFont="1" applyBorder="1" applyAlignment="1" applyProtection="1">
      <alignment horizontal="left" vertical="center" wrapText="1"/>
      <protection locked="0"/>
    </xf>
    <xf numFmtId="0" fontId="3" fillId="0" borderId="28" xfId="0" applyFont="1" applyBorder="1" applyAlignment="1">
      <alignment horizontal="left" vertical="center" wrapText="1"/>
    </xf>
    <xf numFmtId="0" fontId="5" fillId="0" borderId="21" xfId="2549" applyFont="1" applyBorder="1" applyAlignment="1" applyProtection="1">
      <alignment horizontal="center" vertical="center" wrapText="1"/>
      <protection locked="0"/>
    </xf>
    <xf numFmtId="165" fontId="5" fillId="0" borderId="21" xfId="1" applyFont="1" applyFill="1" applyBorder="1" applyAlignment="1" applyProtection="1">
      <alignment horizontal="center" vertical="center" wrapText="1"/>
      <protection locked="0"/>
    </xf>
    <xf numFmtId="0" fontId="3" fillId="0" borderId="28" xfId="18" applyFont="1" applyBorder="1" applyAlignment="1" applyProtection="1">
      <alignment horizontal="left" vertical="center" wrapText="1"/>
      <protection locked="0"/>
    </xf>
    <xf numFmtId="0" fontId="21" fillId="0" borderId="21" xfId="18" applyFont="1" applyBorder="1" applyAlignment="1" applyProtection="1">
      <alignment horizontal="left" vertical="center" wrapText="1"/>
      <protection locked="0"/>
    </xf>
    <xf numFmtId="0" fontId="3" fillId="0" borderId="2" xfId="8" applyBorder="1" applyAlignment="1">
      <alignment horizontal="left" vertical="center"/>
    </xf>
    <xf numFmtId="0" fontId="3" fillId="0" borderId="2" xfId="0" applyFont="1" applyBorder="1" applyAlignment="1">
      <alignment horizontal="left" vertical="center" wrapText="1"/>
    </xf>
    <xf numFmtId="0" fontId="11" fillId="0" borderId="2" xfId="8" applyFont="1" applyBorder="1">
      <alignment vertical="center"/>
    </xf>
    <xf numFmtId="0" fontId="11" fillId="0" borderId="28" xfId="18" applyFont="1" applyBorder="1" applyAlignment="1" applyProtection="1">
      <alignment horizontal="left" vertical="center" wrapText="1"/>
      <protection locked="0"/>
    </xf>
    <xf numFmtId="172" fontId="3" fillId="0" borderId="0" xfId="24" applyFont="1" applyFill="1" applyBorder="1"/>
    <xf numFmtId="165" fontId="9" fillId="0" borderId="0" xfId="5" applyFont="1" applyFill="1" applyBorder="1"/>
    <xf numFmtId="0" fontId="27" fillId="0" borderId="0" xfId="25" applyFont="1" applyAlignment="1">
      <alignment horizontal="center" vertical="center" wrapText="1"/>
    </xf>
    <xf numFmtId="0" fontId="28" fillId="0" borderId="0" xfId="0" applyFont="1"/>
    <xf numFmtId="165" fontId="0" fillId="0" borderId="0" xfId="1" applyFont="1" applyFill="1" applyBorder="1"/>
    <xf numFmtId="172" fontId="27" fillId="0" borderId="0" xfId="26" applyFont="1" applyFill="1" applyBorder="1" applyAlignment="1">
      <alignment horizontal="center" vertical="center" wrapText="1"/>
    </xf>
    <xf numFmtId="184" fontId="94" fillId="0" borderId="0" xfId="0" applyNumberFormat="1" applyFont="1"/>
    <xf numFmtId="236" fontId="0" fillId="0" borderId="0" xfId="58367" applyNumberFormat="1" applyFont="1" applyFill="1" applyBorder="1"/>
    <xf numFmtId="185" fontId="2" fillId="0" borderId="0" xfId="23" applyNumberFormat="1" applyFont="1" applyFill="1" applyBorder="1"/>
    <xf numFmtId="165" fontId="12" fillId="0" borderId="0" xfId="1" applyFont="1" applyFill="1" applyBorder="1"/>
    <xf numFmtId="181" fontId="12" fillId="0" borderId="0" xfId="0" applyNumberFormat="1" applyFont="1"/>
    <xf numFmtId="235" fontId="0" fillId="0" borderId="0" xfId="0" applyNumberFormat="1"/>
    <xf numFmtId="181" fontId="96" fillId="0" borderId="0" xfId="0" applyNumberFormat="1" applyFont="1"/>
    <xf numFmtId="10" fontId="0" fillId="0" borderId="0" xfId="58367" applyNumberFormat="1" applyFont="1" applyFill="1" applyBorder="1"/>
    <xf numFmtId="181" fontId="25" fillId="0" borderId="0" xfId="22" applyNumberFormat="1" applyFont="1"/>
    <xf numFmtId="165" fontId="12" fillId="0" borderId="0" xfId="0" applyNumberFormat="1" applyFont="1"/>
    <xf numFmtId="165" fontId="3" fillId="0" borderId="0" xfId="1" applyFont="1" applyFill="1" applyBorder="1"/>
    <xf numFmtId="49" fontId="8" fillId="0" borderId="9" xfId="4" applyNumberFormat="1" applyFont="1" applyBorder="1" applyProtection="1">
      <alignment vertical="center"/>
      <protection locked="0"/>
    </xf>
    <xf numFmtId="0" fontId="8" fillId="0" borderId="71" xfId="4" applyFont="1" applyBorder="1" applyAlignment="1" applyProtection="1">
      <alignment horizontal="left" vertical="center" indent="1"/>
      <protection locked="0"/>
    </xf>
    <xf numFmtId="0" fontId="8" fillId="0" borderId="71" xfId="4" applyFont="1" applyBorder="1" applyAlignment="1" applyProtection="1">
      <alignment horizontal="center" vertical="center"/>
      <protection locked="0"/>
    </xf>
    <xf numFmtId="165" fontId="8" fillId="0" borderId="71" xfId="1" applyFont="1" applyFill="1" applyBorder="1" applyAlignment="1" applyProtection="1">
      <alignment horizontal="center" vertical="center"/>
      <protection locked="0"/>
    </xf>
    <xf numFmtId="168" fontId="8" fillId="0" borderId="65" xfId="4" applyNumberFormat="1" applyFont="1" applyBorder="1" applyProtection="1">
      <alignment vertical="center"/>
      <protection locked="0"/>
    </xf>
    <xf numFmtId="168" fontId="5" fillId="0" borderId="119" xfId="4" applyNumberFormat="1" applyFont="1" applyBorder="1" applyProtection="1">
      <alignment vertical="center"/>
      <protection locked="0"/>
    </xf>
    <xf numFmtId="168" fontId="8" fillId="0" borderId="120" xfId="4" applyNumberFormat="1" applyFont="1" applyBorder="1" applyProtection="1">
      <alignment vertical="center"/>
      <protection locked="0"/>
    </xf>
    <xf numFmtId="49" fontId="5" fillId="0" borderId="36" xfId="4" applyNumberFormat="1" applyFont="1" applyBorder="1" applyProtection="1">
      <alignment vertical="center"/>
      <protection locked="0"/>
    </xf>
    <xf numFmtId="0" fontId="5" fillId="0" borderId="74" xfId="4" applyFont="1" applyBorder="1" applyAlignment="1" applyProtection="1">
      <alignment horizontal="left" vertical="center" indent="2"/>
      <protection locked="0"/>
    </xf>
    <xf numFmtId="0" fontId="5" fillId="0" borderId="74" xfId="4" applyFont="1" applyBorder="1" applyAlignment="1" applyProtection="1">
      <alignment horizontal="center" vertical="center"/>
      <protection locked="0"/>
    </xf>
    <xf numFmtId="165" fontId="5" fillId="0" borderId="74" xfId="1" applyFont="1" applyFill="1" applyBorder="1" applyAlignment="1" applyProtection="1">
      <alignment horizontal="center" vertical="center"/>
      <protection locked="0"/>
    </xf>
    <xf numFmtId="168" fontId="5" fillId="0" borderId="76" xfId="4" applyNumberFormat="1" applyFont="1" applyBorder="1" applyProtection="1">
      <alignment vertical="center"/>
      <protection locked="0"/>
    </xf>
    <xf numFmtId="168" fontId="5" fillId="0" borderId="121" xfId="4" applyNumberFormat="1" applyFont="1" applyBorder="1" applyProtection="1">
      <alignment vertical="center"/>
      <protection locked="0"/>
    </xf>
    <xf numFmtId="168" fontId="5" fillId="0" borderId="77" xfId="4" applyNumberFormat="1" applyFont="1" applyBorder="1" applyProtection="1">
      <alignment vertical="center"/>
      <protection locked="0"/>
    </xf>
    <xf numFmtId="0" fontId="24" fillId="10" borderId="3" xfId="12" applyFont="1" applyFill="1" applyBorder="1" applyAlignment="1">
      <alignment horizontal="center" vertical="center"/>
    </xf>
    <xf numFmtId="0" fontId="24" fillId="10" borderId="0" xfId="12" applyFont="1" applyFill="1" applyAlignment="1">
      <alignment horizontal="center" vertical="center"/>
    </xf>
    <xf numFmtId="0" fontId="24" fillId="10" borderId="30" xfId="12" applyFont="1" applyFill="1" applyBorder="1" applyAlignment="1">
      <alignment horizontal="center" vertical="center"/>
    </xf>
    <xf numFmtId="0" fontId="27" fillId="9" borderId="25" xfId="25" applyFont="1" applyFill="1" applyBorder="1" applyAlignment="1">
      <alignment horizontal="center" vertical="center" wrapText="1"/>
    </xf>
    <xf numFmtId="0" fontId="27" fillId="9" borderId="27" xfId="25" applyFont="1" applyFill="1" applyBorder="1" applyAlignment="1">
      <alignment horizontal="center" vertical="center" wrapText="1"/>
    </xf>
    <xf numFmtId="0" fontId="25" fillId="9" borderId="96" xfId="12" applyFont="1" applyFill="1" applyBorder="1" applyAlignment="1">
      <alignment horizontal="center" vertical="center"/>
    </xf>
    <xf numFmtId="0" fontId="25" fillId="9" borderId="97" xfId="12" applyFont="1" applyFill="1" applyBorder="1" applyAlignment="1">
      <alignment horizontal="center" vertical="center"/>
    </xf>
    <xf numFmtId="0" fontId="25" fillId="7" borderId="25" xfId="22" applyFont="1" applyFill="1" applyBorder="1" applyAlignment="1">
      <alignment horizontal="center"/>
    </xf>
    <xf numFmtId="0" fontId="25" fillId="7" borderId="27" xfId="22" applyFont="1" applyFill="1" applyBorder="1" applyAlignment="1">
      <alignment horizontal="center"/>
    </xf>
    <xf numFmtId="0" fontId="25" fillId="7" borderId="26" xfId="22" applyFont="1" applyFill="1" applyBorder="1" applyAlignment="1">
      <alignment horizontal="center"/>
    </xf>
    <xf numFmtId="0" fontId="4" fillId="4" borderId="0" xfId="3" applyFont="1" applyFill="1" applyAlignment="1">
      <alignment horizontal="center" vertical="center" wrapText="1" readingOrder="1"/>
    </xf>
    <xf numFmtId="0" fontId="4" fillId="2" borderId="92" xfId="3" applyFont="1" applyFill="1" applyBorder="1" applyAlignment="1">
      <alignment horizontal="center" vertical="top" wrapText="1" readingOrder="1"/>
    </xf>
    <xf numFmtId="169" fontId="15" fillId="5" borderId="2" xfId="3" applyNumberFormat="1" applyFont="1" applyFill="1" applyBorder="1" applyAlignment="1">
      <alignment horizontal="center" vertical="center"/>
    </xf>
    <xf numFmtId="181" fontId="108" fillId="0" borderId="95" xfId="1" applyNumberFormat="1" applyFont="1" applyBorder="1" applyAlignment="1">
      <alignment horizontal="center" vertical="center"/>
    </xf>
    <xf numFmtId="181" fontId="108" fillId="0" borderId="22" xfId="1" applyNumberFormat="1" applyFont="1" applyBorder="1" applyAlignment="1">
      <alignment horizontal="center" vertical="center"/>
    </xf>
    <xf numFmtId="0" fontId="18" fillId="0" borderId="0" xfId="3" applyFont="1" applyAlignment="1">
      <alignment horizontal="center" vertical="top" wrapText="1" readingOrder="1"/>
    </xf>
    <xf numFmtId="168" fontId="9" fillId="0" borderId="95" xfId="0" applyNumberFormat="1" applyFont="1" applyBorder="1" applyAlignment="1">
      <alignment horizontal="center" vertical="center"/>
    </xf>
    <xf numFmtId="168" fontId="9" fillId="0" borderId="22" xfId="0" applyNumberFormat="1" applyFont="1" applyBorder="1" applyAlignment="1">
      <alignment horizontal="center" vertical="center"/>
    </xf>
    <xf numFmtId="181" fontId="3" fillId="0" borderId="95" xfId="0" applyNumberFormat="1" applyFont="1" applyBorder="1" applyAlignment="1">
      <alignment horizontal="center" vertical="center"/>
    </xf>
    <xf numFmtId="181" fontId="3" fillId="0" borderId="22" xfId="0" applyNumberFormat="1" applyFont="1" applyBorder="1" applyAlignment="1">
      <alignment horizontal="center" vertical="center"/>
    </xf>
    <xf numFmtId="227" fontId="108" fillId="0" borderId="95" xfId="1" applyNumberFormat="1" applyFont="1" applyBorder="1" applyAlignment="1">
      <alignment horizontal="center" vertical="center"/>
    </xf>
    <xf numFmtId="227" fontId="108" fillId="0" borderId="22" xfId="1" applyNumberFormat="1" applyFont="1" applyBorder="1" applyAlignment="1">
      <alignment horizontal="center" vertical="center"/>
    </xf>
    <xf numFmtId="0" fontId="18" fillId="0" borderId="0" xfId="3" applyFont="1" applyAlignment="1">
      <alignment horizontal="center" vertical="center" wrapText="1" readingOrder="1"/>
    </xf>
  </cellXfs>
  <cellStyles count="58380">
    <cellStyle name="%" xfId="3418" xr:uid="{00000000-0005-0000-0000-000000000000}"/>
    <cellStyle name="_01 Itemizado Tottus La Polvora Lima rev@1" xfId="195" xr:uid="{00000000-0005-0000-0000-000001000000}"/>
    <cellStyle name="_5. Formato Propuesta Tottus Naciones Unidas-comerc.Rev.1" xfId="196" xr:uid="{00000000-0005-0000-0000-000002000000}"/>
    <cellStyle name="_5. Formato Propuesta Tottus Naciones Unidas-comerc.Rev.1_Estructura Presupuesto Huacho 160511" xfId="3419" xr:uid="{00000000-0005-0000-0000-000003000000}"/>
    <cellStyle name="_5. Formato Propuesta Tottus Naciones Unidas-comerc.Rev.1_formato de metrado arquitectura" xfId="3420" xr:uid="{00000000-0005-0000-0000-000004000000}"/>
    <cellStyle name="_ADICIONAL ADO -ATI- V3-Jumbo Los Andes 29-06-06-mm" xfId="197" xr:uid="{00000000-0005-0000-0000-000005000000}"/>
    <cellStyle name="_Analisis%20de%20PU(1)" xfId="167" xr:uid="{00000000-0005-0000-0000-000006000000}"/>
    <cellStyle name="_comparativo SISA OSORNO-CURAUMA PTO MONTT" xfId="198" xr:uid="{00000000-0005-0000-0000-000007000000}"/>
    <cellStyle name="_Equipamiento Comprado por Obras Cencosud" xfId="199" xr:uid="{00000000-0005-0000-0000-000008000000}"/>
    <cellStyle name="_ITEMIZADO JUMBO SAN ANTONIO" xfId="200" xr:uid="{00000000-0005-0000-0000-000009000000}"/>
    <cellStyle name="_Presupuesto Estimado Jumbo Easy Portal Maipu SALFA REV2- 21-06-06" xfId="201" xr:uid="{00000000-0005-0000-0000-00000A000000}"/>
    <cellStyle name="_Presupuesto Portal Maipu FINAL-CSC-SALFA 17.07.06" xfId="202" xr:uid="{00000000-0005-0000-0000-00000B000000}"/>
    <cellStyle name="_PTTO CAMBIO TRANSF SET STA ROSA NUEVA1" xfId="3421" xr:uid="{00000000-0005-0000-0000-00000C000000}"/>
    <cellStyle name="_x0004_¥" xfId="33" xr:uid="{00000000-0005-0000-0000-00000D000000}"/>
    <cellStyle name="_x0004_¥ 2" xfId="168" xr:uid="{00000000-0005-0000-0000-00000E000000}"/>
    <cellStyle name="_x0004_¥ 2 2" xfId="7291" xr:uid="{00000000-0005-0000-0000-00000F000000}"/>
    <cellStyle name="_x0004_¥ 2 3" xfId="7302" xr:uid="{00000000-0005-0000-0000-000010000000}"/>
    <cellStyle name="_x0004_¥ 3" xfId="3422" xr:uid="{00000000-0005-0000-0000-000011000000}"/>
    <cellStyle name="_x0004_¥ 4" xfId="7303" xr:uid="{00000000-0005-0000-0000-000012000000}"/>
    <cellStyle name="_x0004_¥_COMPARATIVO BALTA" xfId="3423" xr:uid="{00000000-0005-0000-0000-000013000000}"/>
    <cellStyle name="20% - Accent1" xfId="7316" xr:uid="{00000000-0005-0000-0000-000014000000}"/>
    <cellStyle name="20% - Accent2" xfId="7317" xr:uid="{00000000-0005-0000-0000-000015000000}"/>
    <cellStyle name="20% - Accent3" xfId="7318" xr:uid="{00000000-0005-0000-0000-000016000000}"/>
    <cellStyle name="20% - Accent4" xfId="7319" xr:uid="{00000000-0005-0000-0000-000017000000}"/>
    <cellStyle name="20% - Accent5" xfId="7320" xr:uid="{00000000-0005-0000-0000-000018000000}"/>
    <cellStyle name="20% - Accent6" xfId="7321" xr:uid="{00000000-0005-0000-0000-000019000000}"/>
    <cellStyle name="20% - Énfasis1 10" xfId="203" xr:uid="{00000000-0005-0000-0000-00001A000000}"/>
    <cellStyle name="20% - Énfasis1 11" xfId="204" xr:uid="{00000000-0005-0000-0000-00001B000000}"/>
    <cellStyle name="20% - Énfasis1 12" xfId="205" xr:uid="{00000000-0005-0000-0000-00001C000000}"/>
    <cellStyle name="20% - Énfasis1 13" xfId="206" xr:uid="{00000000-0005-0000-0000-00001D000000}"/>
    <cellStyle name="20% - Énfasis1 14" xfId="207" xr:uid="{00000000-0005-0000-0000-00001E000000}"/>
    <cellStyle name="20% - Énfasis1 15" xfId="208" xr:uid="{00000000-0005-0000-0000-00001F000000}"/>
    <cellStyle name="20% - Énfasis1 16" xfId="209" xr:uid="{00000000-0005-0000-0000-000020000000}"/>
    <cellStyle name="20% - Énfasis1 17" xfId="210" xr:uid="{00000000-0005-0000-0000-000021000000}"/>
    <cellStyle name="20% - Énfasis1 18" xfId="211" xr:uid="{00000000-0005-0000-0000-000022000000}"/>
    <cellStyle name="20% - Énfasis1 19" xfId="212" xr:uid="{00000000-0005-0000-0000-000023000000}"/>
    <cellStyle name="20% - Énfasis1 2" xfId="76" xr:uid="{00000000-0005-0000-0000-000024000000}"/>
    <cellStyle name="20% - Énfasis1 2 2" xfId="213" xr:uid="{00000000-0005-0000-0000-000025000000}"/>
    <cellStyle name="20% - Énfasis1 2 3" xfId="214" xr:uid="{00000000-0005-0000-0000-000026000000}"/>
    <cellStyle name="20% - Énfasis1 2 4" xfId="215" xr:uid="{00000000-0005-0000-0000-000027000000}"/>
    <cellStyle name="20% - Énfasis1 2 5" xfId="216" xr:uid="{00000000-0005-0000-0000-000028000000}"/>
    <cellStyle name="20% - Énfasis1 20" xfId="217" xr:uid="{00000000-0005-0000-0000-000029000000}"/>
    <cellStyle name="20% - Énfasis1 21" xfId="218" xr:uid="{00000000-0005-0000-0000-00002A000000}"/>
    <cellStyle name="20% - Énfasis1 22" xfId="219" xr:uid="{00000000-0005-0000-0000-00002B000000}"/>
    <cellStyle name="20% - Énfasis1 23" xfId="220" xr:uid="{00000000-0005-0000-0000-00002C000000}"/>
    <cellStyle name="20% - Énfasis1 24" xfId="221" xr:uid="{00000000-0005-0000-0000-00002D000000}"/>
    <cellStyle name="20% - Énfasis1 25" xfId="222" xr:uid="{00000000-0005-0000-0000-00002E000000}"/>
    <cellStyle name="20% - Énfasis1 26" xfId="223" xr:uid="{00000000-0005-0000-0000-00002F000000}"/>
    <cellStyle name="20% - Énfasis1 27" xfId="224" xr:uid="{00000000-0005-0000-0000-000030000000}"/>
    <cellStyle name="20% - Énfasis1 28" xfId="225" xr:uid="{00000000-0005-0000-0000-000031000000}"/>
    <cellStyle name="20% - Énfasis1 29" xfId="226" xr:uid="{00000000-0005-0000-0000-000032000000}"/>
    <cellStyle name="20% - Énfasis1 3" xfId="227" xr:uid="{00000000-0005-0000-0000-000033000000}"/>
    <cellStyle name="20% - Énfasis1 30" xfId="228" xr:uid="{00000000-0005-0000-0000-000034000000}"/>
    <cellStyle name="20% - Énfasis1 31" xfId="229" xr:uid="{00000000-0005-0000-0000-000035000000}"/>
    <cellStyle name="20% - Énfasis1 32" xfId="230" xr:uid="{00000000-0005-0000-0000-000036000000}"/>
    <cellStyle name="20% - Énfasis1 33" xfId="231" xr:uid="{00000000-0005-0000-0000-000037000000}"/>
    <cellStyle name="20% - Énfasis1 34" xfId="232" xr:uid="{00000000-0005-0000-0000-000038000000}"/>
    <cellStyle name="20% - Énfasis1 35" xfId="233" xr:uid="{00000000-0005-0000-0000-000039000000}"/>
    <cellStyle name="20% - Énfasis1 36" xfId="234" xr:uid="{00000000-0005-0000-0000-00003A000000}"/>
    <cellStyle name="20% - Énfasis1 37" xfId="235" xr:uid="{00000000-0005-0000-0000-00003B000000}"/>
    <cellStyle name="20% - Énfasis1 38" xfId="236" xr:uid="{00000000-0005-0000-0000-00003C000000}"/>
    <cellStyle name="20% - Énfasis1 39" xfId="237" xr:uid="{00000000-0005-0000-0000-00003D000000}"/>
    <cellStyle name="20% - Énfasis1 4" xfId="238" xr:uid="{00000000-0005-0000-0000-00003E000000}"/>
    <cellStyle name="20% - Énfasis1 40" xfId="239" xr:uid="{00000000-0005-0000-0000-00003F000000}"/>
    <cellStyle name="20% - Énfasis1 41" xfId="240" xr:uid="{00000000-0005-0000-0000-000040000000}"/>
    <cellStyle name="20% - Énfasis1 42" xfId="241" xr:uid="{00000000-0005-0000-0000-000041000000}"/>
    <cellStyle name="20% - Énfasis1 43" xfId="242" xr:uid="{00000000-0005-0000-0000-000042000000}"/>
    <cellStyle name="20% - Énfasis1 44" xfId="243" xr:uid="{00000000-0005-0000-0000-000043000000}"/>
    <cellStyle name="20% - Énfasis1 45" xfId="244" xr:uid="{00000000-0005-0000-0000-000044000000}"/>
    <cellStyle name="20% - Énfasis1 46" xfId="245" xr:uid="{00000000-0005-0000-0000-000045000000}"/>
    <cellStyle name="20% - Énfasis1 47" xfId="246" xr:uid="{00000000-0005-0000-0000-000046000000}"/>
    <cellStyle name="20% - Énfasis1 48" xfId="247" xr:uid="{00000000-0005-0000-0000-000047000000}"/>
    <cellStyle name="20% - Énfasis1 49" xfId="248" xr:uid="{00000000-0005-0000-0000-000048000000}"/>
    <cellStyle name="20% - Énfasis1 5" xfId="249" xr:uid="{00000000-0005-0000-0000-000049000000}"/>
    <cellStyle name="20% - Énfasis1 50" xfId="250" xr:uid="{00000000-0005-0000-0000-00004A000000}"/>
    <cellStyle name="20% - Énfasis1 51" xfId="251" xr:uid="{00000000-0005-0000-0000-00004B000000}"/>
    <cellStyle name="20% - Énfasis1 52" xfId="252" xr:uid="{00000000-0005-0000-0000-00004C000000}"/>
    <cellStyle name="20% - Énfasis1 53" xfId="253" xr:uid="{00000000-0005-0000-0000-00004D000000}"/>
    <cellStyle name="20% - Énfasis1 54" xfId="254" xr:uid="{00000000-0005-0000-0000-00004E000000}"/>
    <cellStyle name="20% - Énfasis1 55" xfId="255" xr:uid="{00000000-0005-0000-0000-00004F000000}"/>
    <cellStyle name="20% - Énfasis1 56" xfId="256" xr:uid="{00000000-0005-0000-0000-000050000000}"/>
    <cellStyle name="20% - Énfasis1 57" xfId="257" xr:uid="{00000000-0005-0000-0000-000051000000}"/>
    <cellStyle name="20% - Énfasis1 58" xfId="258" xr:uid="{00000000-0005-0000-0000-000052000000}"/>
    <cellStyle name="20% - Énfasis1 59" xfId="259" xr:uid="{00000000-0005-0000-0000-000053000000}"/>
    <cellStyle name="20% - Énfasis1 6" xfId="260" xr:uid="{00000000-0005-0000-0000-000054000000}"/>
    <cellStyle name="20% - Énfasis1 60" xfId="261" xr:uid="{00000000-0005-0000-0000-000055000000}"/>
    <cellStyle name="20% - Énfasis1 61" xfId="262" xr:uid="{00000000-0005-0000-0000-000056000000}"/>
    <cellStyle name="20% - Énfasis1 62" xfId="263" xr:uid="{00000000-0005-0000-0000-000057000000}"/>
    <cellStyle name="20% - Énfasis1 63" xfId="264" xr:uid="{00000000-0005-0000-0000-000058000000}"/>
    <cellStyle name="20% - Énfasis1 64" xfId="265" xr:uid="{00000000-0005-0000-0000-000059000000}"/>
    <cellStyle name="20% - Énfasis1 65" xfId="266" xr:uid="{00000000-0005-0000-0000-00005A000000}"/>
    <cellStyle name="20% - Énfasis1 66" xfId="267" xr:uid="{00000000-0005-0000-0000-00005B000000}"/>
    <cellStyle name="20% - Énfasis1 67" xfId="268" xr:uid="{00000000-0005-0000-0000-00005C000000}"/>
    <cellStyle name="20% - Énfasis1 7" xfId="269" xr:uid="{00000000-0005-0000-0000-00005D000000}"/>
    <cellStyle name="20% - Énfasis1 8" xfId="270" xr:uid="{00000000-0005-0000-0000-00005E000000}"/>
    <cellStyle name="20% - Énfasis1 9" xfId="271" xr:uid="{00000000-0005-0000-0000-00005F000000}"/>
    <cellStyle name="20% - Énfasis2 10" xfId="272" xr:uid="{00000000-0005-0000-0000-000060000000}"/>
    <cellStyle name="20% - Énfasis2 11" xfId="273" xr:uid="{00000000-0005-0000-0000-000061000000}"/>
    <cellStyle name="20% - Énfasis2 12" xfId="274" xr:uid="{00000000-0005-0000-0000-000062000000}"/>
    <cellStyle name="20% - Énfasis2 13" xfId="275" xr:uid="{00000000-0005-0000-0000-000063000000}"/>
    <cellStyle name="20% - Énfasis2 14" xfId="276" xr:uid="{00000000-0005-0000-0000-000064000000}"/>
    <cellStyle name="20% - Énfasis2 15" xfId="277" xr:uid="{00000000-0005-0000-0000-000065000000}"/>
    <cellStyle name="20% - Énfasis2 16" xfId="278" xr:uid="{00000000-0005-0000-0000-000066000000}"/>
    <cellStyle name="20% - Énfasis2 17" xfId="279" xr:uid="{00000000-0005-0000-0000-000067000000}"/>
    <cellStyle name="20% - Énfasis2 18" xfId="280" xr:uid="{00000000-0005-0000-0000-000068000000}"/>
    <cellStyle name="20% - Énfasis2 19" xfId="281" xr:uid="{00000000-0005-0000-0000-000069000000}"/>
    <cellStyle name="20% - Énfasis2 2" xfId="77" xr:uid="{00000000-0005-0000-0000-00006A000000}"/>
    <cellStyle name="20% - Énfasis2 2 2" xfId="282" xr:uid="{00000000-0005-0000-0000-00006B000000}"/>
    <cellStyle name="20% - Énfasis2 2 3" xfId="283" xr:uid="{00000000-0005-0000-0000-00006C000000}"/>
    <cellStyle name="20% - Énfasis2 2 4" xfId="284" xr:uid="{00000000-0005-0000-0000-00006D000000}"/>
    <cellStyle name="20% - Énfasis2 2 5" xfId="285" xr:uid="{00000000-0005-0000-0000-00006E000000}"/>
    <cellStyle name="20% - Énfasis2 20" xfId="286" xr:uid="{00000000-0005-0000-0000-00006F000000}"/>
    <cellStyle name="20% - Énfasis2 21" xfId="287" xr:uid="{00000000-0005-0000-0000-000070000000}"/>
    <cellStyle name="20% - Énfasis2 22" xfId="288" xr:uid="{00000000-0005-0000-0000-000071000000}"/>
    <cellStyle name="20% - Énfasis2 23" xfId="289" xr:uid="{00000000-0005-0000-0000-000072000000}"/>
    <cellStyle name="20% - Énfasis2 24" xfId="290" xr:uid="{00000000-0005-0000-0000-000073000000}"/>
    <cellStyle name="20% - Énfasis2 25" xfId="291" xr:uid="{00000000-0005-0000-0000-000074000000}"/>
    <cellStyle name="20% - Énfasis2 26" xfId="292" xr:uid="{00000000-0005-0000-0000-000075000000}"/>
    <cellStyle name="20% - Énfasis2 27" xfId="293" xr:uid="{00000000-0005-0000-0000-000076000000}"/>
    <cellStyle name="20% - Énfasis2 28" xfId="294" xr:uid="{00000000-0005-0000-0000-000077000000}"/>
    <cellStyle name="20% - Énfasis2 29" xfId="295" xr:uid="{00000000-0005-0000-0000-000078000000}"/>
    <cellStyle name="20% - Énfasis2 3" xfId="296" xr:uid="{00000000-0005-0000-0000-000079000000}"/>
    <cellStyle name="20% - Énfasis2 30" xfId="297" xr:uid="{00000000-0005-0000-0000-00007A000000}"/>
    <cellStyle name="20% - Énfasis2 31" xfId="298" xr:uid="{00000000-0005-0000-0000-00007B000000}"/>
    <cellStyle name="20% - Énfasis2 32" xfId="299" xr:uid="{00000000-0005-0000-0000-00007C000000}"/>
    <cellStyle name="20% - Énfasis2 33" xfId="300" xr:uid="{00000000-0005-0000-0000-00007D000000}"/>
    <cellStyle name="20% - Énfasis2 34" xfId="301" xr:uid="{00000000-0005-0000-0000-00007E000000}"/>
    <cellStyle name="20% - Énfasis2 35" xfId="302" xr:uid="{00000000-0005-0000-0000-00007F000000}"/>
    <cellStyle name="20% - Énfasis2 36" xfId="303" xr:uid="{00000000-0005-0000-0000-000080000000}"/>
    <cellStyle name="20% - Énfasis2 37" xfId="304" xr:uid="{00000000-0005-0000-0000-000081000000}"/>
    <cellStyle name="20% - Énfasis2 38" xfId="305" xr:uid="{00000000-0005-0000-0000-000082000000}"/>
    <cellStyle name="20% - Énfasis2 39" xfId="306" xr:uid="{00000000-0005-0000-0000-000083000000}"/>
    <cellStyle name="20% - Énfasis2 4" xfId="307" xr:uid="{00000000-0005-0000-0000-000084000000}"/>
    <cellStyle name="20% - Énfasis2 40" xfId="308" xr:uid="{00000000-0005-0000-0000-000085000000}"/>
    <cellStyle name="20% - Énfasis2 41" xfId="309" xr:uid="{00000000-0005-0000-0000-000086000000}"/>
    <cellStyle name="20% - Énfasis2 42" xfId="310" xr:uid="{00000000-0005-0000-0000-000087000000}"/>
    <cellStyle name="20% - Énfasis2 43" xfId="311" xr:uid="{00000000-0005-0000-0000-000088000000}"/>
    <cellStyle name="20% - Énfasis2 44" xfId="312" xr:uid="{00000000-0005-0000-0000-000089000000}"/>
    <cellStyle name="20% - Énfasis2 45" xfId="313" xr:uid="{00000000-0005-0000-0000-00008A000000}"/>
    <cellStyle name="20% - Énfasis2 46" xfId="314" xr:uid="{00000000-0005-0000-0000-00008B000000}"/>
    <cellStyle name="20% - Énfasis2 47" xfId="315" xr:uid="{00000000-0005-0000-0000-00008C000000}"/>
    <cellStyle name="20% - Énfasis2 48" xfId="316" xr:uid="{00000000-0005-0000-0000-00008D000000}"/>
    <cellStyle name="20% - Énfasis2 49" xfId="317" xr:uid="{00000000-0005-0000-0000-00008E000000}"/>
    <cellStyle name="20% - Énfasis2 5" xfId="318" xr:uid="{00000000-0005-0000-0000-00008F000000}"/>
    <cellStyle name="20% - Énfasis2 50" xfId="319" xr:uid="{00000000-0005-0000-0000-000090000000}"/>
    <cellStyle name="20% - Énfasis2 51" xfId="320" xr:uid="{00000000-0005-0000-0000-000091000000}"/>
    <cellStyle name="20% - Énfasis2 52" xfId="321" xr:uid="{00000000-0005-0000-0000-000092000000}"/>
    <cellStyle name="20% - Énfasis2 53" xfId="322" xr:uid="{00000000-0005-0000-0000-000093000000}"/>
    <cellStyle name="20% - Énfasis2 54" xfId="323" xr:uid="{00000000-0005-0000-0000-000094000000}"/>
    <cellStyle name="20% - Énfasis2 55" xfId="324" xr:uid="{00000000-0005-0000-0000-000095000000}"/>
    <cellStyle name="20% - Énfasis2 56" xfId="325" xr:uid="{00000000-0005-0000-0000-000096000000}"/>
    <cellStyle name="20% - Énfasis2 57" xfId="326" xr:uid="{00000000-0005-0000-0000-000097000000}"/>
    <cellStyle name="20% - Énfasis2 58" xfId="327" xr:uid="{00000000-0005-0000-0000-000098000000}"/>
    <cellStyle name="20% - Énfasis2 59" xfId="328" xr:uid="{00000000-0005-0000-0000-000099000000}"/>
    <cellStyle name="20% - Énfasis2 6" xfId="329" xr:uid="{00000000-0005-0000-0000-00009A000000}"/>
    <cellStyle name="20% - Énfasis2 60" xfId="330" xr:uid="{00000000-0005-0000-0000-00009B000000}"/>
    <cellStyle name="20% - Énfasis2 61" xfId="331" xr:uid="{00000000-0005-0000-0000-00009C000000}"/>
    <cellStyle name="20% - Énfasis2 62" xfId="332" xr:uid="{00000000-0005-0000-0000-00009D000000}"/>
    <cellStyle name="20% - Énfasis2 63" xfId="333" xr:uid="{00000000-0005-0000-0000-00009E000000}"/>
    <cellStyle name="20% - Énfasis2 64" xfId="334" xr:uid="{00000000-0005-0000-0000-00009F000000}"/>
    <cellStyle name="20% - Énfasis2 65" xfId="335" xr:uid="{00000000-0005-0000-0000-0000A0000000}"/>
    <cellStyle name="20% - Énfasis2 66" xfId="336" xr:uid="{00000000-0005-0000-0000-0000A1000000}"/>
    <cellStyle name="20% - Énfasis2 67" xfId="337" xr:uid="{00000000-0005-0000-0000-0000A2000000}"/>
    <cellStyle name="20% - Énfasis2 7" xfId="338" xr:uid="{00000000-0005-0000-0000-0000A3000000}"/>
    <cellStyle name="20% - Énfasis2 8" xfId="339" xr:uid="{00000000-0005-0000-0000-0000A4000000}"/>
    <cellStyle name="20% - Énfasis2 9" xfId="340" xr:uid="{00000000-0005-0000-0000-0000A5000000}"/>
    <cellStyle name="20% - Énfasis3 10" xfId="341" xr:uid="{00000000-0005-0000-0000-0000A6000000}"/>
    <cellStyle name="20% - Énfasis3 11" xfId="342" xr:uid="{00000000-0005-0000-0000-0000A7000000}"/>
    <cellStyle name="20% - Énfasis3 12" xfId="343" xr:uid="{00000000-0005-0000-0000-0000A8000000}"/>
    <cellStyle name="20% - Énfasis3 13" xfId="344" xr:uid="{00000000-0005-0000-0000-0000A9000000}"/>
    <cellStyle name="20% - Énfasis3 14" xfId="345" xr:uid="{00000000-0005-0000-0000-0000AA000000}"/>
    <cellStyle name="20% - Énfasis3 15" xfId="346" xr:uid="{00000000-0005-0000-0000-0000AB000000}"/>
    <cellStyle name="20% - Énfasis3 16" xfId="347" xr:uid="{00000000-0005-0000-0000-0000AC000000}"/>
    <cellStyle name="20% - Énfasis3 17" xfId="348" xr:uid="{00000000-0005-0000-0000-0000AD000000}"/>
    <cellStyle name="20% - Énfasis3 18" xfId="349" xr:uid="{00000000-0005-0000-0000-0000AE000000}"/>
    <cellStyle name="20% - Énfasis3 19" xfId="350" xr:uid="{00000000-0005-0000-0000-0000AF000000}"/>
    <cellStyle name="20% - Énfasis3 2" xfId="78" xr:uid="{00000000-0005-0000-0000-0000B0000000}"/>
    <cellStyle name="20% - Énfasis3 2 2" xfId="351" xr:uid="{00000000-0005-0000-0000-0000B1000000}"/>
    <cellStyle name="20% - Énfasis3 2 3" xfId="352" xr:uid="{00000000-0005-0000-0000-0000B2000000}"/>
    <cellStyle name="20% - Énfasis3 2 4" xfId="353" xr:uid="{00000000-0005-0000-0000-0000B3000000}"/>
    <cellStyle name="20% - Énfasis3 2 5" xfId="354" xr:uid="{00000000-0005-0000-0000-0000B4000000}"/>
    <cellStyle name="20% - Énfasis3 20" xfId="355" xr:uid="{00000000-0005-0000-0000-0000B5000000}"/>
    <cellStyle name="20% - Énfasis3 21" xfId="356" xr:uid="{00000000-0005-0000-0000-0000B6000000}"/>
    <cellStyle name="20% - Énfasis3 22" xfId="357" xr:uid="{00000000-0005-0000-0000-0000B7000000}"/>
    <cellStyle name="20% - Énfasis3 23" xfId="358" xr:uid="{00000000-0005-0000-0000-0000B8000000}"/>
    <cellStyle name="20% - Énfasis3 24" xfId="359" xr:uid="{00000000-0005-0000-0000-0000B9000000}"/>
    <cellStyle name="20% - Énfasis3 25" xfId="360" xr:uid="{00000000-0005-0000-0000-0000BA000000}"/>
    <cellStyle name="20% - Énfasis3 26" xfId="361" xr:uid="{00000000-0005-0000-0000-0000BB000000}"/>
    <cellStyle name="20% - Énfasis3 27" xfId="362" xr:uid="{00000000-0005-0000-0000-0000BC000000}"/>
    <cellStyle name="20% - Énfasis3 28" xfId="363" xr:uid="{00000000-0005-0000-0000-0000BD000000}"/>
    <cellStyle name="20% - Énfasis3 29" xfId="364" xr:uid="{00000000-0005-0000-0000-0000BE000000}"/>
    <cellStyle name="20% - Énfasis3 3" xfId="365" xr:uid="{00000000-0005-0000-0000-0000BF000000}"/>
    <cellStyle name="20% - Énfasis3 30" xfId="366" xr:uid="{00000000-0005-0000-0000-0000C0000000}"/>
    <cellStyle name="20% - Énfasis3 31" xfId="367" xr:uid="{00000000-0005-0000-0000-0000C1000000}"/>
    <cellStyle name="20% - Énfasis3 32" xfId="368" xr:uid="{00000000-0005-0000-0000-0000C2000000}"/>
    <cellStyle name="20% - Énfasis3 33" xfId="369" xr:uid="{00000000-0005-0000-0000-0000C3000000}"/>
    <cellStyle name="20% - Énfasis3 34" xfId="370" xr:uid="{00000000-0005-0000-0000-0000C4000000}"/>
    <cellStyle name="20% - Énfasis3 35" xfId="371" xr:uid="{00000000-0005-0000-0000-0000C5000000}"/>
    <cellStyle name="20% - Énfasis3 36" xfId="372" xr:uid="{00000000-0005-0000-0000-0000C6000000}"/>
    <cellStyle name="20% - Énfasis3 37" xfId="373" xr:uid="{00000000-0005-0000-0000-0000C7000000}"/>
    <cellStyle name="20% - Énfasis3 38" xfId="374" xr:uid="{00000000-0005-0000-0000-0000C8000000}"/>
    <cellStyle name="20% - Énfasis3 39" xfId="375" xr:uid="{00000000-0005-0000-0000-0000C9000000}"/>
    <cellStyle name="20% - Énfasis3 4" xfId="376" xr:uid="{00000000-0005-0000-0000-0000CA000000}"/>
    <cellStyle name="20% - Énfasis3 40" xfId="377" xr:uid="{00000000-0005-0000-0000-0000CB000000}"/>
    <cellStyle name="20% - Énfasis3 41" xfId="378" xr:uid="{00000000-0005-0000-0000-0000CC000000}"/>
    <cellStyle name="20% - Énfasis3 42" xfId="379" xr:uid="{00000000-0005-0000-0000-0000CD000000}"/>
    <cellStyle name="20% - Énfasis3 43" xfId="380" xr:uid="{00000000-0005-0000-0000-0000CE000000}"/>
    <cellStyle name="20% - Énfasis3 44" xfId="381" xr:uid="{00000000-0005-0000-0000-0000CF000000}"/>
    <cellStyle name="20% - Énfasis3 45" xfId="382" xr:uid="{00000000-0005-0000-0000-0000D0000000}"/>
    <cellStyle name="20% - Énfasis3 46" xfId="383" xr:uid="{00000000-0005-0000-0000-0000D1000000}"/>
    <cellStyle name="20% - Énfasis3 47" xfId="384" xr:uid="{00000000-0005-0000-0000-0000D2000000}"/>
    <cellStyle name="20% - Énfasis3 48" xfId="385" xr:uid="{00000000-0005-0000-0000-0000D3000000}"/>
    <cellStyle name="20% - Énfasis3 49" xfId="386" xr:uid="{00000000-0005-0000-0000-0000D4000000}"/>
    <cellStyle name="20% - Énfasis3 5" xfId="387" xr:uid="{00000000-0005-0000-0000-0000D5000000}"/>
    <cellStyle name="20% - Énfasis3 50" xfId="388" xr:uid="{00000000-0005-0000-0000-0000D6000000}"/>
    <cellStyle name="20% - Énfasis3 51" xfId="389" xr:uid="{00000000-0005-0000-0000-0000D7000000}"/>
    <cellStyle name="20% - Énfasis3 52" xfId="390" xr:uid="{00000000-0005-0000-0000-0000D8000000}"/>
    <cellStyle name="20% - Énfasis3 53" xfId="391" xr:uid="{00000000-0005-0000-0000-0000D9000000}"/>
    <cellStyle name="20% - Énfasis3 54" xfId="392" xr:uid="{00000000-0005-0000-0000-0000DA000000}"/>
    <cellStyle name="20% - Énfasis3 55" xfId="393" xr:uid="{00000000-0005-0000-0000-0000DB000000}"/>
    <cellStyle name="20% - Énfasis3 56" xfId="394" xr:uid="{00000000-0005-0000-0000-0000DC000000}"/>
    <cellStyle name="20% - Énfasis3 57" xfId="395" xr:uid="{00000000-0005-0000-0000-0000DD000000}"/>
    <cellStyle name="20% - Énfasis3 58" xfId="396" xr:uid="{00000000-0005-0000-0000-0000DE000000}"/>
    <cellStyle name="20% - Énfasis3 59" xfId="397" xr:uid="{00000000-0005-0000-0000-0000DF000000}"/>
    <cellStyle name="20% - Énfasis3 6" xfId="398" xr:uid="{00000000-0005-0000-0000-0000E0000000}"/>
    <cellStyle name="20% - Énfasis3 60" xfId="399" xr:uid="{00000000-0005-0000-0000-0000E1000000}"/>
    <cellStyle name="20% - Énfasis3 61" xfId="400" xr:uid="{00000000-0005-0000-0000-0000E2000000}"/>
    <cellStyle name="20% - Énfasis3 62" xfId="401" xr:uid="{00000000-0005-0000-0000-0000E3000000}"/>
    <cellStyle name="20% - Énfasis3 63" xfId="402" xr:uid="{00000000-0005-0000-0000-0000E4000000}"/>
    <cellStyle name="20% - Énfasis3 64" xfId="403" xr:uid="{00000000-0005-0000-0000-0000E5000000}"/>
    <cellStyle name="20% - Énfasis3 65" xfId="404" xr:uid="{00000000-0005-0000-0000-0000E6000000}"/>
    <cellStyle name="20% - Énfasis3 66" xfId="405" xr:uid="{00000000-0005-0000-0000-0000E7000000}"/>
    <cellStyle name="20% - Énfasis3 67" xfId="406" xr:uid="{00000000-0005-0000-0000-0000E8000000}"/>
    <cellStyle name="20% - Énfasis3 7" xfId="407" xr:uid="{00000000-0005-0000-0000-0000E9000000}"/>
    <cellStyle name="20% - Énfasis3 8" xfId="408" xr:uid="{00000000-0005-0000-0000-0000EA000000}"/>
    <cellStyle name="20% - Énfasis3 9" xfId="409" xr:uid="{00000000-0005-0000-0000-0000EB000000}"/>
    <cellStyle name="20% - Énfasis4 10" xfId="410" xr:uid="{00000000-0005-0000-0000-0000EC000000}"/>
    <cellStyle name="20% - Énfasis4 11" xfId="411" xr:uid="{00000000-0005-0000-0000-0000ED000000}"/>
    <cellStyle name="20% - Énfasis4 12" xfId="412" xr:uid="{00000000-0005-0000-0000-0000EE000000}"/>
    <cellStyle name="20% - Énfasis4 13" xfId="413" xr:uid="{00000000-0005-0000-0000-0000EF000000}"/>
    <cellStyle name="20% - Énfasis4 14" xfId="414" xr:uid="{00000000-0005-0000-0000-0000F0000000}"/>
    <cellStyle name="20% - Énfasis4 15" xfId="415" xr:uid="{00000000-0005-0000-0000-0000F1000000}"/>
    <cellStyle name="20% - Énfasis4 16" xfId="416" xr:uid="{00000000-0005-0000-0000-0000F2000000}"/>
    <cellStyle name="20% - Énfasis4 17" xfId="417" xr:uid="{00000000-0005-0000-0000-0000F3000000}"/>
    <cellStyle name="20% - Énfasis4 18" xfId="418" xr:uid="{00000000-0005-0000-0000-0000F4000000}"/>
    <cellStyle name="20% - Énfasis4 19" xfId="419" xr:uid="{00000000-0005-0000-0000-0000F5000000}"/>
    <cellStyle name="20% - Énfasis4 2" xfId="79" xr:uid="{00000000-0005-0000-0000-0000F6000000}"/>
    <cellStyle name="20% - Énfasis4 2 2" xfId="420" xr:uid="{00000000-0005-0000-0000-0000F7000000}"/>
    <cellStyle name="20% - Énfasis4 2 3" xfId="421" xr:uid="{00000000-0005-0000-0000-0000F8000000}"/>
    <cellStyle name="20% - Énfasis4 2 4" xfId="422" xr:uid="{00000000-0005-0000-0000-0000F9000000}"/>
    <cellStyle name="20% - Énfasis4 2 5" xfId="423" xr:uid="{00000000-0005-0000-0000-0000FA000000}"/>
    <cellStyle name="20% - Énfasis4 20" xfId="424" xr:uid="{00000000-0005-0000-0000-0000FB000000}"/>
    <cellStyle name="20% - Énfasis4 21" xfId="425" xr:uid="{00000000-0005-0000-0000-0000FC000000}"/>
    <cellStyle name="20% - Énfasis4 22" xfId="426" xr:uid="{00000000-0005-0000-0000-0000FD000000}"/>
    <cellStyle name="20% - Énfasis4 23" xfId="427" xr:uid="{00000000-0005-0000-0000-0000FE000000}"/>
    <cellStyle name="20% - Énfasis4 24" xfId="428" xr:uid="{00000000-0005-0000-0000-0000FF000000}"/>
    <cellStyle name="20% - Énfasis4 25" xfId="429" xr:uid="{00000000-0005-0000-0000-000000010000}"/>
    <cellStyle name="20% - Énfasis4 26" xfId="430" xr:uid="{00000000-0005-0000-0000-000001010000}"/>
    <cellStyle name="20% - Énfasis4 27" xfId="431" xr:uid="{00000000-0005-0000-0000-000002010000}"/>
    <cellStyle name="20% - Énfasis4 28" xfId="432" xr:uid="{00000000-0005-0000-0000-000003010000}"/>
    <cellStyle name="20% - Énfasis4 29" xfId="433" xr:uid="{00000000-0005-0000-0000-000004010000}"/>
    <cellStyle name="20% - Énfasis4 3" xfId="434" xr:uid="{00000000-0005-0000-0000-000005010000}"/>
    <cellStyle name="20% - Énfasis4 30" xfId="435" xr:uid="{00000000-0005-0000-0000-000006010000}"/>
    <cellStyle name="20% - Énfasis4 31" xfId="436" xr:uid="{00000000-0005-0000-0000-000007010000}"/>
    <cellStyle name="20% - Énfasis4 32" xfId="437" xr:uid="{00000000-0005-0000-0000-000008010000}"/>
    <cellStyle name="20% - Énfasis4 33" xfId="438" xr:uid="{00000000-0005-0000-0000-000009010000}"/>
    <cellStyle name="20% - Énfasis4 34" xfId="439" xr:uid="{00000000-0005-0000-0000-00000A010000}"/>
    <cellStyle name="20% - Énfasis4 35" xfId="440" xr:uid="{00000000-0005-0000-0000-00000B010000}"/>
    <cellStyle name="20% - Énfasis4 36" xfId="441" xr:uid="{00000000-0005-0000-0000-00000C010000}"/>
    <cellStyle name="20% - Énfasis4 37" xfId="442" xr:uid="{00000000-0005-0000-0000-00000D010000}"/>
    <cellStyle name="20% - Énfasis4 38" xfId="443" xr:uid="{00000000-0005-0000-0000-00000E010000}"/>
    <cellStyle name="20% - Énfasis4 39" xfId="444" xr:uid="{00000000-0005-0000-0000-00000F010000}"/>
    <cellStyle name="20% - Énfasis4 4" xfId="445" xr:uid="{00000000-0005-0000-0000-000010010000}"/>
    <cellStyle name="20% - Énfasis4 40" xfId="446" xr:uid="{00000000-0005-0000-0000-000011010000}"/>
    <cellStyle name="20% - Énfasis4 41" xfId="447" xr:uid="{00000000-0005-0000-0000-000012010000}"/>
    <cellStyle name="20% - Énfasis4 42" xfId="448" xr:uid="{00000000-0005-0000-0000-000013010000}"/>
    <cellStyle name="20% - Énfasis4 43" xfId="449" xr:uid="{00000000-0005-0000-0000-000014010000}"/>
    <cellStyle name="20% - Énfasis4 44" xfId="450" xr:uid="{00000000-0005-0000-0000-000015010000}"/>
    <cellStyle name="20% - Énfasis4 45" xfId="451" xr:uid="{00000000-0005-0000-0000-000016010000}"/>
    <cellStyle name="20% - Énfasis4 46" xfId="452" xr:uid="{00000000-0005-0000-0000-000017010000}"/>
    <cellStyle name="20% - Énfasis4 47" xfId="453" xr:uid="{00000000-0005-0000-0000-000018010000}"/>
    <cellStyle name="20% - Énfasis4 48" xfId="454" xr:uid="{00000000-0005-0000-0000-000019010000}"/>
    <cellStyle name="20% - Énfasis4 49" xfId="455" xr:uid="{00000000-0005-0000-0000-00001A010000}"/>
    <cellStyle name="20% - Énfasis4 5" xfId="456" xr:uid="{00000000-0005-0000-0000-00001B010000}"/>
    <cellStyle name="20% - Énfasis4 50" xfId="457" xr:uid="{00000000-0005-0000-0000-00001C010000}"/>
    <cellStyle name="20% - Énfasis4 51" xfId="458" xr:uid="{00000000-0005-0000-0000-00001D010000}"/>
    <cellStyle name="20% - Énfasis4 52" xfId="459" xr:uid="{00000000-0005-0000-0000-00001E010000}"/>
    <cellStyle name="20% - Énfasis4 53" xfId="460" xr:uid="{00000000-0005-0000-0000-00001F010000}"/>
    <cellStyle name="20% - Énfasis4 54" xfId="461" xr:uid="{00000000-0005-0000-0000-000020010000}"/>
    <cellStyle name="20% - Énfasis4 55" xfId="462" xr:uid="{00000000-0005-0000-0000-000021010000}"/>
    <cellStyle name="20% - Énfasis4 56" xfId="463" xr:uid="{00000000-0005-0000-0000-000022010000}"/>
    <cellStyle name="20% - Énfasis4 57" xfId="464" xr:uid="{00000000-0005-0000-0000-000023010000}"/>
    <cellStyle name="20% - Énfasis4 58" xfId="465" xr:uid="{00000000-0005-0000-0000-000024010000}"/>
    <cellStyle name="20% - Énfasis4 59" xfId="466" xr:uid="{00000000-0005-0000-0000-000025010000}"/>
    <cellStyle name="20% - Énfasis4 6" xfId="467" xr:uid="{00000000-0005-0000-0000-000026010000}"/>
    <cellStyle name="20% - Énfasis4 60" xfId="468" xr:uid="{00000000-0005-0000-0000-000027010000}"/>
    <cellStyle name="20% - Énfasis4 61" xfId="469" xr:uid="{00000000-0005-0000-0000-000028010000}"/>
    <cellStyle name="20% - Énfasis4 62" xfId="470" xr:uid="{00000000-0005-0000-0000-000029010000}"/>
    <cellStyle name="20% - Énfasis4 63" xfId="471" xr:uid="{00000000-0005-0000-0000-00002A010000}"/>
    <cellStyle name="20% - Énfasis4 64" xfId="472" xr:uid="{00000000-0005-0000-0000-00002B010000}"/>
    <cellStyle name="20% - Énfasis4 65" xfId="473" xr:uid="{00000000-0005-0000-0000-00002C010000}"/>
    <cellStyle name="20% - Énfasis4 66" xfId="474" xr:uid="{00000000-0005-0000-0000-00002D010000}"/>
    <cellStyle name="20% - Énfasis4 67" xfId="475" xr:uid="{00000000-0005-0000-0000-00002E010000}"/>
    <cellStyle name="20% - Énfasis4 7" xfId="476" xr:uid="{00000000-0005-0000-0000-00002F010000}"/>
    <cellStyle name="20% - Énfasis4 8" xfId="477" xr:uid="{00000000-0005-0000-0000-000030010000}"/>
    <cellStyle name="20% - Énfasis4 9" xfId="478" xr:uid="{00000000-0005-0000-0000-000031010000}"/>
    <cellStyle name="20% - Énfasis5 10" xfId="479" xr:uid="{00000000-0005-0000-0000-000032010000}"/>
    <cellStyle name="20% - Énfasis5 11" xfId="480" xr:uid="{00000000-0005-0000-0000-000033010000}"/>
    <cellStyle name="20% - Énfasis5 12" xfId="481" xr:uid="{00000000-0005-0000-0000-000034010000}"/>
    <cellStyle name="20% - Énfasis5 13" xfId="482" xr:uid="{00000000-0005-0000-0000-000035010000}"/>
    <cellStyle name="20% - Énfasis5 14" xfId="483" xr:uid="{00000000-0005-0000-0000-000036010000}"/>
    <cellStyle name="20% - Énfasis5 15" xfId="484" xr:uid="{00000000-0005-0000-0000-000037010000}"/>
    <cellStyle name="20% - Énfasis5 16" xfId="485" xr:uid="{00000000-0005-0000-0000-000038010000}"/>
    <cellStyle name="20% - Énfasis5 17" xfId="486" xr:uid="{00000000-0005-0000-0000-000039010000}"/>
    <cellStyle name="20% - Énfasis5 18" xfId="487" xr:uid="{00000000-0005-0000-0000-00003A010000}"/>
    <cellStyle name="20% - Énfasis5 19" xfId="488" xr:uid="{00000000-0005-0000-0000-00003B010000}"/>
    <cellStyle name="20% - Énfasis5 2" xfId="80" xr:uid="{00000000-0005-0000-0000-00003C010000}"/>
    <cellStyle name="20% - Énfasis5 2 2" xfId="489" xr:uid="{00000000-0005-0000-0000-00003D010000}"/>
    <cellStyle name="20% - Énfasis5 2 3" xfId="490" xr:uid="{00000000-0005-0000-0000-00003E010000}"/>
    <cellStyle name="20% - Énfasis5 2 4" xfId="491" xr:uid="{00000000-0005-0000-0000-00003F010000}"/>
    <cellStyle name="20% - Énfasis5 2 5" xfId="492" xr:uid="{00000000-0005-0000-0000-000040010000}"/>
    <cellStyle name="20% - Énfasis5 20" xfId="493" xr:uid="{00000000-0005-0000-0000-000041010000}"/>
    <cellStyle name="20% - Énfasis5 21" xfId="494" xr:uid="{00000000-0005-0000-0000-000042010000}"/>
    <cellStyle name="20% - Énfasis5 22" xfId="495" xr:uid="{00000000-0005-0000-0000-000043010000}"/>
    <cellStyle name="20% - Énfasis5 23" xfId="496" xr:uid="{00000000-0005-0000-0000-000044010000}"/>
    <cellStyle name="20% - Énfasis5 24" xfId="497" xr:uid="{00000000-0005-0000-0000-000045010000}"/>
    <cellStyle name="20% - Énfasis5 25" xfId="498" xr:uid="{00000000-0005-0000-0000-000046010000}"/>
    <cellStyle name="20% - Énfasis5 26" xfId="499" xr:uid="{00000000-0005-0000-0000-000047010000}"/>
    <cellStyle name="20% - Énfasis5 27" xfId="500" xr:uid="{00000000-0005-0000-0000-000048010000}"/>
    <cellStyle name="20% - Énfasis5 28" xfId="501" xr:uid="{00000000-0005-0000-0000-000049010000}"/>
    <cellStyle name="20% - Énfasis5 29" xfId="502" xr:uid="{00000000-0005-0000-0000-00004A010000}"/>
    <cellStyle name="20% - Énfasis5 3" xfId="503" xr:uid="{00000000-0005-0000-0000-00004B010000}"/>
    <cellStyle name="20% - Énfasis5 30" xfId="504" xr:uid="{00000000-0005-0000-0000-00004C010000}"/>
    <cellStyle name="20% - Énfasis5 31" xfId="505" xr:uid="{00000000-0005-0000-0000-00004D010000}"/>
    <cellStyle name="20% - Énfasis5 32" xfId="506" xr:uid="{00000000-0005-0000-0000-00004E010000}"/>
    <cellStyle name="20% - Énfasis5 33" xfId="507" xr:uid="{00000000-0005-0000-0000-00004F010000}"/>
    <cellStyle name="20% - Énfasis5 34" xfId="508" xr:uid="{00000000-0005-0000-0000-000050010000}"/>
    <cellStyle name="20% - Énfasis5 35" xfId="509" xr:uid="{00000000-0005-0000-0000-000051010000}"/>
    <cellStyle name="20% - Énfasis5 36" xfId="510" xr:uid="{00000000-0005-0000-0000-000052010000}"/>
    <cellStyle name="20% - Énfasis5 37" xfId="511" xr:uid="{00000000-0005-0000-0000-000053010000}"/>
    <cellStyle name="20% - Énfasis5 38" xfId="512" xr:uid="{00000000-0005-0000-0000-000054010000}"/>
    <cellStyle name="20% - Énfasis5 39" xfId="513" xr:uid="{00000000-0005-0000-0000-000055010000}"/>
    <cellStyle name="20% - Énfasis5 4" xfId="514" xr:uid="{00000000-0005-0000-0000-000056010000}"/>
    <cellStyle name="20% - Énfasis5 40" xfId="515" xr:uid="{00000000-0005-0000-0000-000057010000}"/>
    <cellStyle name="20% - Énfasis5 41" xfId="516" xr:uid="{00000000-0005-0000-0000-000058010000}"/>
    <cellStyle name="20% - Énfasis5 42" xfId="517" xr:uid="{00000000-0005-0000-0000-000059010000}"/>
    <cellStyle name="20% - Énfasis5 43" xfId="518" xr:uid="{00000000-0005-0000-0000-00005A010000}"/>
    <cellStyle name="20% - Énfasis5 44" xfId="519" xr:uid="{00000000-0005-0000-0000-00005B010000}"/>
    <cellStyle name="20% - Énfasis5 45" xfId="520" xr:uid="{00000000-0005-0000-0000-00005C010000}"/>
    <cellStyle name="20% - Énfasis5 46" xfId="521" xr:uid="{00000000-0005-0000-0000-00005D010000}"/>
    <cellStyle name="20% - Énfasis5 47" xfId="522" xr:uid="{00000000-0005-0000-0000-00005E010000}"/>
    <cellStyle name="20% - Énfasis5 48" xfId="523" xr:uid="{00000000-0005-0000-0000-00005F010000}"/>
    <cellStyle name="20% - Énfasis5 49" xfId="524" xr:uid="{00000000-0005-0000-0000-000060010000}"/>
    <cellStyle name="20% - Énfasis5 5" xfId="525" xr:uid="{00000000-0005-0000-0000-000061010000}"/>
    <cellStyle name="20% - Énfasis5 50" xfId="526" xr:uid="{00000000-0005-0000-0000-000062010000}"/>
    <cellStyle name="20% - Énfasis5 51" xfId="527" xr:uid="{00000000-0005-0000-0000-000063010000}"/>
    <cellStyle name="20% - Énfasis5 52" xfId="528" xr:uid="{00000000-0005-0000-0000-000064010000}"/>
    <cellStyle name="20% - Énfasis5 53" xfId="529" xr:uid="{00000000-0005-0000-0000-000065010000}"/>
    <cellStyle name="20% - Énfasis5 54" xfId="530" xr:uid="{00000000-0005-0000-0000-000066010000}"/>
    <cellStyle name="20% - Énfasis5 55" xfId="531" xr:uid="{00000000-0005-0000-0000-000067010000}"/>
    <cellStyle name="20% - Énfasis5 56" xfId="532" xr:uid="{00000000-0005-0000-0000-000068010000}"/>
    <cellStyle name="20% - Énfasis5 57" xfId="533" xr:uid="{00000000-0005-0000-0000-000069010000}"/>
    <cellStyle name="20% - Énfasis5 58" xfId="534" xr:uid="{00000000-0005-0000-0000-00006A010000}"/>
    <cellStyle name="20% - Énfasis5 59" xfId="535" xr:uid="{00000000-0005-0000-0000-00006B010000}"/>
    <cellStyle name="20% - Énfasis5 6" xfId="536" xr:uid="{00000000-0005-0000-0000-00006C010000}"/>
    <cellStyle name="20% - Énfasis5 60" xfId="537" xr:uid="{00000000-0005-0000-0000-00006D010000}"/>
    <cellStyle name="20% - Énfasis5 61" xfId="538" xr:uid="{00000000-0005-0000-0000-00006E010000}"/>
    <cellStyle name="20% - Énfasis5 62" xfId="539" xr:uid="{00000000-0005-0000-0000-00006F010000}"/>
    <cellStyle name="20% - Énfasis5 63" xfId="540" xr:uid="{00000000-0005-0000-0000-000070010000}"/>
    <cellStyle name="20% - Énfasis5 64" xfId="541" xr:uid="{00000000-0005-0000-0000-000071010000}"/>
    <cellStyle name="20% - Énfasis5 65" xfId="542" xr:uid="{00000000-0005-0000-0000-000072010000}"/>
    <cellStyle name="20% - Énfasis5 66" xfId="543" xr:uid="{00000000-0005-0000-0000-000073010000}"/>
    <cellStyle name="20% - Énfasis5 67" xfId="544" xr:uid="{00000000-0005-0000-0000-000074010000}"/>
    <cellStyle name="20% - Énfasis5 7" xfId="545" xr:uid="{00000000-0005-0000-0000-000075010000}"/>
    <cellStyle name="20% - Énfasis5 8" xfId="546" xr:uid="{00000000-0005-0000-0000-000076010000}"/>
    <cellStyle name="20% - Énfasis5 9" xfId="547" xr:uid="{00000000-0005-0000-0000-000077010000}"/>
    <cellStyle name="20% - Énfasis6 10" xfId="548" xr:uid="{00000000-0005-0000-0000-000078010000}"/>
    <cellStyle name="20% - Énfasis6 11" xfId="549" xr:uid="{00000000-0005-0000-0000-000079010000}"/>
    <cellStyle name="20% - Énfasis6 12" xfId="550" xr:uid="{00000000-0005-0000-0000-00007A010000}"/>
    <cellStyle name="20% - Énfasis6 13" xfId="551" xr:uid="{00000000-0005-0000-0000-00007B010000}"/>
    <cellStyle name="20% - Énfasis6 14" xfId="552" xr:uid="{00000000-0005-0000-0000-00007C010000}"/>
    <cellStyle name="20% - Énfasis6 15" xfId="553" xr:uid="{00000000-0005-0000-0000-00007D010000}"/>
    <cellStyle name="20% - Énfasis6 16" xfId="554" xr:uid="{00000000-0005-0000-0000-00007E010000}"/>
    <cellStyle name="20% - Énfasis6 17" xfId="555" xr:uid="{00000000-0005-0000-0000-00007F010000}"/>
    <cellStyle name="20% - Énfasis6 18" xfId="556" xr:uid="{00000000-0005-0000-0000-000080010000}"/>
    <cellStyle name="20% - Énfasis6 19" xfId="557" xr:uid="{00000000-0005-0000-0000-000081010000}"/>
    <cellStyle name="20% - Énfasis6 2" xfId="81" xr:uid="{00000000-0005-0000-0000-000082010000}"/>
    <cellStyle name="20% - Énfasis6 2 2" xfId="558" xr:uid="{00000000-0005-0000-0000-000083010000}"/>
    <cellStyle name="20% - Énfasis6 2 3" xfId="559" xr:uid="{00000000-0005-0000-0000-000084010000}"/>
    <cellStyle name="20% - Énfasis6 2 4" xfId="560" xr:uid="{00000000-0005-0000-0000-000085010000}"/>
    <cellStyle name="20% - Énfasis6 2 5" xfId="561" xr:uid="{00000000-0005-0000-0000-000086010000}"/>
    <cellStyle name="20% - Énfasis6 20" xfId="562" xr:uid="{00000000-0005-0000-0000-000087010000}"/>
    <cellStyle name="20% - Énfasis6 21" xfId="563" xr:uid="{00000000-0005-0000-0000-000088010000}"/>
    <cellStyle name="20% - Énfasis6 22" xfId="564" xr:uid="{00000000-0005-0000-0000-000089010000}"/>
    <cellStyle name="20% - Énfasis6 23" xfId="565" xr:uid="{00000000-0005-0000-0000-00008A010000}"/>
    <cellStyle name="20% - Énfasis6 24" xfId="566" xr:uid="{00000000-0005-0000-0000-00008B010000}"/>
    <cellStyle name="20% - Énfasis6 25" xfId="567" xr:uid="{00000000-0005-0000-0000-00008C010000}"/>
    <cellStyle name="20% - Énfasis6 26" xfId="568" xr:uid="{00000000-0005-0000-0000-00008D010000}"/>
    <cellStyle name="20% - Énfasis6 27" xfId="569" xr:uid="{00000000-0005-0000-0000-00008E010000}"/>
    <cellStyle name="20% - Énfasis6 28" xfId="570" xr:uid="{00000000-0005-0000-0000-00008F010000}"/>
    <cellStyle name="20% - Énfasis6 29" xfId="571" xr:uid="{00000000-0005-0000-0000-000090010000}"/>
    <cellStyle name="20% - Énfasis6 3" xfId="572" xr:uid="{00000000-0005-0000-0000-000091010000}"/>
    <cellStyle name="20% - Énfasis6 30" xfId="573" xr:uid="{00000000-0005-0000-0000-000092010000}"/>
    <cellStyle name="20% - Énfasis6 31" xfId="574" xr:uid="{00000000-0005-0000-0000-000093010000}"/>
    <cellStyle name="20% - Énfasis6 32" xfId="575" xr:uid="{00000000-0005-0000-0000-000094010000}"/>
    <cellStyle name="20% - Énfasis6 33" xfId="576" xr:uid="{00000000-0005-0000-0000-000095010000}"/>
    <cellStyle name="20% - Énfasis6 34" xfId="577" xr:uid="{00000000-0005-0000-0000-000096010000}"/>
    <cellStyle name="20% - Énfasis6 35" xfId="578" xr:uid="{00000000-0005-0000-0000-000097010000}"/>
    <cellStyle name="20% - Énfasis6 36" xfId="579" xr:uid="{00000000-0005-0000-0000-000098010000}"/>
    <cellStyle name="20% - Énfasis6 37" xfId="580" xr:uid="{00000000-0005-0000-0000-000099010000}"/>
    <cellStyle name="20% - Énfasis6 38" xfId="581" xr:uid="{00000000-0005-0000-0000-00009A010000}"/>
    <cellStyle name="20% - Énfasis6 39" xfId="582" xr:uid="{00000000-0005-0000-0000-00009B010000}"/>
    <cellStyle name="20% - Énfasis6 4" xfId="583" xr:uid="{00000000-0005-0000-0000-00009C010000}"/>
    <cellStyle name="20% - Énfasis6 40" xfId="584" xr:uid="{00000000-0005-0000-0000-00009D010000}"/>
    <cellStyle name="20% - Énfasis6 41" xfId="585" xr:uid="{00000000-0005-0000-0000-00009E010000}"/>
    <cellStyle name="20% - Énfasis6 42" xfId="586" xr:uid="{00000000-0005-0000-0000-00009F010000}"/>
    <cellStyle name="20% - Énfasis6 43" xfId="587" xr:uid="{00000000-0005-0000-0000-0000A0010000}"/>
    <cellStyle name="20% - Énfasis6 44" xfId="588" xr:uid="{00000000-0005-0000-0000-0000A1010000}"/>
    <cellStyle name="20% - Énfasis6 45" xfId="589" xr:uid="{00000000-0005-0000-0000-0000A2010000}"/>
    <cellStyle name="20% - Énfasis6 46" xfId="590" xr:uid="{00000000-0005-0000-0000-0000A3010000}"/>
    <cellStyle name="20% - Énfasis6 47" xfId="591" xr:uid="{00000000-0005-0000-0000-0000A4010000}"/>
    <cellStyle name="20% - Énfasis6 48" xfId="592" xr:uid="{00000000-0005-0000-0000-0000A5010000}"/>
    <cellStyle name="20% - Énfasis6 49" xfId="593" xr:uid="{00000000-0005-0000-0000-0000A6010000}"/>
    <cellStyle name="20% - Énfasis6 5" xfId="594" xr:uid="{00000000-0005-0000-0000-0000A7010000}"/>
    <cellStyle name="20% - Énfasis6 50" xfId="595" xr:uid="{00000000-0005-0000-0000-0000A8010000}"/>
    <cellStyle name="20% - Énfasis6 51" xfId="596" xr:uid="{00000000-0005-0000-0000-0000A9010000}"/>
    <cellStyle name="20% - Énfasis6 52" xfId="597" xr:uid="{00000000-0005-0000-0000-0000AA010000}"/>
    <cellStyle name="20% - Énfasis6 53" xfId="598" xr:uid="{00000000-0005-0000-0000-0000AB010000}"/>
    <cellStyle name="20% - Énfasis6 54" xfId="599" xr:uid="{00000000-0005-0000-0000-0000AC010000}"/>
    <cellStyle name="20% - Énfasis6 55" xfId="600" xr:uid="{00000000-0005-0000-0000-0000AD010000}"/>
    <cellStyle name="20% - Énfasis6 56" xfId="601" xr:uid="{00000000-0005-0000-0000-0000AE010000}"/>
    <cellStyle name="20% - Énfasis6 57" xfId="602" xr:uid="{00000000-0005-0000-0000-0000AF010000}"/>
    <cellStyle name="20% - Énfasis6 58" xfId="603" xr:uid="{00000000-0005-0000-0000-0000B0010000}"/>
    <cellStyle name="20% - Énfasis6 59" xfId="604" xr:uid="{00000000-0005-0000-0000-0000B1010000}"/>
    <cellStyle name="20% - Énfasis6 6" xfId="605" xr:uid="{00000000-0005-0000-0000-0000B2010000}"/>
    <cellStyle name="20% - Énfasis6 60" xfId="606" xr:uid="{00000000-0005-0000-0000-0000B3010000}"/>
    <cellStyle name="20% - Énfasis6 61" xfId="607" xr:uid="{00000000-0005-0000-0000-0000B4010000}"/>
    <cellStyle name="20% - Énfasis6 62" xfId="608" xr:uid="{00000000-0005-0000-0000-0000B5010000}"/>
    <cellStyle name="20% - Énfasis6 63" xfId="609" xr:uid="{00000000-0005-0000-0000-0000B6010000}"/>
    <cellStyle name="20% - Énfasis6 64" xfId="610" xr:uid="{00000000-0005-0000-0000-0000B7010000}"/>
    <cellStyle name="20% - Énfasis6 65" xfId="611" xr:uid="{00000000-0005-0000-0000-0000B8010000}"/>
    <cellStyle name="20% - Énfasis6 66" xfId="612" xr:uid="{00000000-0005-0000-0000-0000B9010000}"/>
    <cellStyle name="20% - Énfasis6 67" xfId="613" xr:uid="{00000000-0005-0000-0000-0000BA010000}"/>
    <cellStyle name="20% - Énfasis6 7" xfId="614" xr:uid="{00000000-0005-0000-0000-0000BB010000}"/>
    <cellStyle name="20% - Énfasis6 8" xfId="615" xr:uid="{00000000-0005-0000-0000-0000BC010000}"/>
    <cellStyle name="20% - Énfasis6 9" xfId="616" xr:uid="{00000000-0005-0000-0000-0000BD010000}"/>
    <cellStyle name="40% - Accent1" xfId="7322" xr:uid="{00000000-0005-0000-0000-0000BE010000}"/>
    <cellStyle name="40% - Accent2" xfId="7323" xr:uid="{00000000-0005-0000-0000-0000BF010000}"/>
    <cellStyle name="40% - Accent3" xfId="7324" xr:uid="{00000000-0005-0000-0000-0000C0010000}"/>
    <cellStyle name="40% - Accent4" xfId="7325" xr:uid="{00000000-0005-0000-0000-0000C1010000}"/>
    <cellStyle name="40% - Accent5" xfId="7326" xr:uid="{00000000-0005-0000-0000-0000C2010000}"/>
    <cellStyle name="40% - Accent6" xfId="7327" xr:uid="{00000000-0005-0000-0000-0000C3010000}"/>
    <cellStyle name="40% - Énfasis1 10" xfId="617" xr:uid="{00000000-0005-0000-0000-0000C4010000}"/>
    <cellStyle name="40% - Énfasis1 11" xfId="618" xr:uid="{00000000-0005-0000-0000-0000C5010000}"/>
    <cellStyle name="40% - Énfasis1 12" xfId="619" xr:uid="{00000000-0005-0000-0000-0000C6010000}"/>
    <cellStyle name="40% - Énfasis1 13" xfId="620" xr:uid="{00000000-0005-0000-0000-0000C7010000}"/>
    <cellStyle name="40% - Énfasis1 14" xfId="621" xr:uid="{00000000-0005-0000-0000-0000C8010000}"/>
    <cellStyle name="40% - Énfasis1 15" xfId="622" xr:uid="{00000000-0005-0000-0000-0000C9010000}"/>
    <cellStyle name="40% - Énfasis1 16" xfId="623" xr:uid="{00000000-0005-0000-0000-0000CA010000}"/>
    <cellStyle name="40% - Énfasis1 17" xfId="624" xr:uid="{00000000-0005-0000-0000-0000CB010000}"/>
    <cellStyle name="40% - Énfasis1 18" xfId="625" xr:uid="{00000000-0005-0000-0000-0000CC010000}"/>
    <cellStyle name="40% - Énfasis1 19" xfId="626" xr:uid="{00000000-0005-0000-0000-0000CD010000}"/>
    <cellStyle name="40% - Énfasis1 2" xfId="82" xr:uid="{00000000-0005-0000-0000-0000CE010000}"/>
    <cellStyle name="40% - Énfasis1 2 2" xfId="627" xr:uid="{00000000-0005-0000-0000-0000CF010000}"/>
    <cellStyle name="40% - Énfasis1 2 3" xfId="628" xr:uid="{00000000-0005-0000-0000-0000D0010000}"/>
    <cellStyle name="40% - Énfasis1 2 4" xfId="629" xr:uid="{00000000-0005-0000-0000-0000D1010000}"/>
    <cellStyle name="40% - Énfasis1 2 5" xfId="630" xr:uid="{00000000-0005-0000-0000-0000D2010000}"/>
    <cellStyle name="40% - Énfasis1 20" xfId="631" xr:uid="{00000000-0005-0000-0000-0000D3010000}"/>
    <cellStyle name="40% - Énfasis1 21" xfId="632" xr:uid="{00000000-0005-0000-0000-0000D4010000}"/>
    <cellStyle name="40% - Énfasis1 22" xfId="633" xr:uid="{00000000-0005-0000-0000-0000D5010000}"/>
    <cellStyle name="40% - Énfasis1 23" xfId="634" xr:uid="{00000000-0005-0000-0000-0000D6010000}"/>
    <cellStyle name="40% - Énfasis1 24" xfId="635" xr:uid="{00000000-0005-0000-0000-0000D7010000}"/>
    <cellStyle name="40% - Énfasis1 25" xfId="636" xr:uid="{00000000-0005-0000-0000-0000D8010000}"/>
    <cellStyle name="40% - Énfasis1 26" xfId="637" xr:uid="{00000000-0005-0000-0000-0000D9010000}"/>
    <cellStyle name="40% - Énfasis1 27" xfId="638" xr:uid="{00000000-0005-0000-0000-0000DA010000}"/>
    <cellStyle name="40% - Énfasis1 28" xfId="639" xr:uid="{00000000-0005-0000-0000-0000DB010000}"/>
    <cellStyle name="40% - Énfasis1 29" xfId="640" xr:uid="{00000000-0005-0000-0000-0000DC010000}"/>
    <cellStyle name="40% - Énfasis1 3" xfId="641" xr:uid="{00000000-0005-0000-0000-0000DD010000}"/>
    <cellStyle name="40% - Énfasis1 30" xfId="642" xr:uid="{00000000-0005-0000-0000-0000DE010000}"/>
    <cellStyle name="40% - Énfasis1 31" xfId="643" xr:uid="{00000000-0005-0000-0000-0000DF010000}"/>
    <cellStyle name="40% - Énfasis1 32" xfId="644" xr:uid="{00000000-0005-0000-0000-0000E0010000}"/>
    <cellStyle name="40% - Énfasis1 33" xfId="645" xr:uid="{00000000-0005-0000-0000-0000E1010000}"/>
    <cellStyle name="40% - Énfasis1 34" xfId="646" xr:uid="{00000000-0005-0000-0000-0000E2010000}"/>
    <cellStyle name="40% - Énfasis1 35" xfId="647" xr:uid="{00000000-0005-0000-0000-0000E3010000}"/>
    <cellStyle name="40% - Énfasis1 36" xfId="648" xr:uid="{00000000-0005-0000-0000-0000E4010000}"/>
    <cellStyle name="40% - Énfasis1 37" xfId="649" xr:uid="{00000000-0005-0000-0000-0000E5010000}"/>
    <cellStyle name="40% - Énfasis1 38" xfId="650" xr:uid="{00000000-0005-0000-0000-0000E6010000}"/>
    <cellStyle name="40% - Énfasis1 39" xfId="651" xr:uid="{00000000-0005-0000-0000-0000E7010000}"/>
    <cellStyle name="40% - Énfasis1 4" xfId="652" xr:uid="{00000000-0005-0000-0000-0000E8010000}"/>
    <cellStyle name="40% - Énfasis1 40" xfId="653" xr:uid="{00000000-0005-0000-0000-0000E9010000}"/>
    <cellStyle name="40% - Énfasis1 41" xfId="654" xr:uid="{00000000-0005-0000-0000-0000EA010000}"/>
    <cellStyle name="40% - Énfasis1 42" xfId="655" xr:uid="{00000000-0005-0000-0000-0000EB010000}"/>
    <cellStyle name="40% - Énfasis1 43" xfId="656" xr:uid="{00000000-0005-0000-0000-0000EC010000}"/>
    <cellStyle name="40% - Énfasis1 44" xfId="657" xr:uid="{00000000-0005-0000-0000-0000ED010000}"/>
    <cellStyle name="40% - Énfasis1 45" xfId="658" xr:uid="{00000000-0005-0000-0000-0000EE010000}"/>
    <cellStyle name="40% - Énfasis1 46" xfId="659" xr:uid="{00000000-0005-0000-0000-0000EF010000}"/>
    <cellStyle name="40% - Énfasis1 47" xfId="660" xr:uid="{00000000-0005-0000-0000-0000F0010000}"/>
    <cellStyle name="40% - Énfasis1 48" xfId="661" xr:uid="{00000000-0005-0000-0000-0000F1010000}"/>
    <cellStyle name="40% - Énfasis1 49" xfId="662" xr:uid="{00000000-0005-0000-0000-0000F2010000}"/>
    <cellStyle name="40% - Énfasis1 5" xfId="663" xr:uid="{00000000-0005-0000-0000-0000F3010000}"/>
    <cellStyle name="40% - Énfasis1 50" xfId="664" xr:uid="{00000000-0005-0000-0000-0000F4010000}"/>
    <cellStyle name="40% - Énfasis1 51" xfId="665" xr:uid="{00000000-0005-0000-0000-0000F5010000}"/>
    <cellStyle name="40% - Énfasis1 52" xfId="666" xr:uid="{00000000-0005-0000-0000-0000F6010000}"/>
    <cellStyle name="40% - Énfasis1 53" xfId="667" xr:uid="{00000000-0005-0000-0000-0000F7010000}"/>
    <cellStyle name="40% - Énfasis1 54" xfId="668" xr:uid="{00000000-0005-0000-0000-0000F8010000}"/>
    <cellStyle name="40% - Énfasis1 55" xfId="669" xr:uid="{00000000-0005-0000-0000-0000F9010000}"/>
    <cellStyle name="40% - Énfasis1 56" xfId="670" xr:uid="{00000000-0005-0000-0000-0000FA010000}"/>
    <cellStyle name="40% - Énfasis1 57" xfId="671" xr:uid="{00000000-0005-0000-0000-0000FB010000}"/>
    <cellStyle name="40% - Énfasis1 58" xfId="672" xr:uid="{00000000-0005-0000-0000-0000FC010000}"/>
    <cellStyle name="40% - Énfasis1 59" xfId="673" xr:uid="{00000000-0005-0000-0000-0000FD010000}"/>
    <cellStyle name="40% - Énfasis1 6" xfId="674" xr:uid="{00000000-0005-0000-0000-0000FE010000}"/>
    <cellStyle name="40% - Énfasis1 60" xfId="675" xr:uid="{00000000-0005-0000-0000-0000FF010000}"/>
    <cellStyle name="40% - Énfasis1 61" xfId="676" xr:uid="{00000000-0005-0000-0000-000000020000}"/>
    <cellStyle name="40% - Énfasis1 62" xfId="677" xr:uid="{00000000-0005-0000-0000-000001020000}"/>
    <cellStyle name="40% - Énfasis1 63" xfId="678" xr:uid="{00000000-0005-0000-0000-000002020000}"/>
    <cellStyle name="40% - Énfasis1 64" xfId="679" xr:uid="{00000000-0005-0000-0000-000003020000}"/>
    <cellStyle name="40% - Énfasis1 65" xfId="680" xr:uid="{00000000-0005-0000-0000-000004020000}"/>
    <cellStyle name="40% - Énfasis1 66" xfId="681" xr:uid="{00000000-0005-0000-0000-000005020000}"/>
    <cellStyle name="40% - Énfasis1 67" xfId="682" xr:uid="{00000000-0005-0000-0000-000006020000}"/>
    <cellStyle name="40% - Énfasis1 7" xfId="683" xr:uid="{00000000-0005-0000-0000-000007020000}"/>
    <cellStyle name="40% - Énfasis1 8" xfId="684" xr:uid="{00000000-0005-0000-0000-000008020000}"/>
    <cellStyle name="40% - Énfasis1 9" xfId="685" xr:uid="{00000000-0005-0000-0000-000009020000}"/>
    <cellStyle name="40% - Énfasis2 10" xfId="686" xr:uid="{00000000-0005-0000-0000-00000A020000}"/>
    <cellStyle name="40% - Énfasis2 11" xfId="687" xr:uid="{00000000-0005-0000-0000-00000B020000}"/>
    <cellStyle name="40% - Énfasis2 12" xfId="688" xr:uid="{00000000-0005-0000-0000-00000C020000}"/>
    <cellStyle name="40% - Énfasis2 13" xfId="689" xr:uid="{00000000-0005-0000-0000-00000D020000}"/>
    <cellStyle name="40% - Énfasis2 14" xfId="690" xr:uid="{00000000-0005-0000-0000-00000E020000}"/>
    <cellStyle name="40% - Énfasis2 15" xfId="691" xr:uid="{00000000-0005-0000-0000-00000F020000}"/>
    <cellStyle name="40% - Énfasis2 16" xfId="692" xr:uid="{00000000-0005-0000-0000-000010020000}"/>
    <cellStyle name="40% - Énfasis2 17" xfId="693" xr:uid="{00000000-0005-0000-0000-000011020000}"/>
    <cellStyle name="40% - Énfasis2 18" xfId="694" xr:uid="{00000000-0005-0000-0000-000012020000}"/>
    <cellStyle name="40% - Énfasis2 19" xfId="695" xr:uid="{00000000-0005-0000-0000-000013020000}"/>
    <cellStyle name="40% - Énfasis2 2" xfId="83" xr:uid="{00000000-0005-0000-0000-000014020000}"/>
    <cellStyle name="40% - Énfasis2 2 2" xfId="696" xr:uid="{00000000-0005-0000-0000-000015020000}"/>
    <cellStyle name="40% - Énfasis2 2 3" xfId="697" xr:uid="{00000000-0005-0000-0000-000016020000}"/>
    <cellStyle name="40% - Énfasis2 2 4" xfId="698" xr:uid="{00000000-0005-0000-0000-000017020000}"/>
    <cellStyle name="40% - Énfasis2 2 5" xfId="699" xr:uid="{00000000-0005-0000-0000-000018020000}"/>
    <cellStyle name="40% - Énfasis2 20" xfId="700" xr:uid="{00000000-0005-0000-0000-000019020000}"/>
    <cellStyle name="40% - Énfasis2 21" xfId="701" xr:uid="{00000000-0005-0000-0000-00001A020000}"/>
    <cellStyle name="40% - Énfasis2 22" xfId="702" xr:uid="{00000000-0005-0000-0000-00001B020000}"/>
    <cellStyle name="40% - Énfasis2 23" xfId="703" xr:uid="{00000000-0005-0000-0000-00001C020000}"/>
    <cellStyle name="40% - Énfasis2 24" xfId="704" xr:uid="{00000000-0005-0000-0000-00001D020000}"/>
    <cellStyle name="40% - Énfasis2 25" xfId="705" xr:uid="{00000000-0005-0000-0000-00001E020000}"/>
    <cellStyle name="40% - Énfasis2 26" xfId="706" xr:uid="{00000000-0005-0000-0000-00001F020000}"/>
    <cellStyle name="40% - Énfasis2 27" xfId="707" xr:uid="{00000000-0005-0000-0000-000020020000}"/>
    <cellStyle name="40% - Énfasis2 28" xfId="708" xr:uid="{00000000-0005-0000-0000-000021020000}"/>
    <cellStyle name="40% - Énfasis2 29" xfId="709" xr:uid="{00000000-0005-0000-0000-000022020000}"/>
    <cellStyle name="40% - Énfasis2 3" xfId="710" xr:uid="{00000000-0005-0000-0000-000023020000}"/>
    <cellStyle name="40% - Énfasis2 30" xfId="711" xr:uid="{00000000-0005-0000-0000-000024020000}"/>
    <cellStyle name="40% - Énfasis2 31" xfId="712" xr:uid="{00000000-0005-0000-0000-000025020000}"/>
    <cellStyle name="40% - Énfasis2 32" xfId="713" xr:uid="{00000000-0005-0000-0000-000026020000}"/>
    <cellStyle name="40% - Énfasis2 33" xfId="714" xr:uid="{00000000-0005-0000-0000-000027020000}"/>
    <cellStyle name="40% - Énfasis2 34" xfId="715" xr:uid="{00000000-0005-0000-0000-000028020000}"/>
    <cellStyle name="40% - Énfasis2 35" xfId="716" xr:uid="{00000000-0005-0000-0000-000029020000}"/>
    <cellStyle name="40% - Énfasis2 36" xfId="717" xr:uid="{00000000-0005-0000-0000-00002A020000}"/>
    <cellStyle name="40% - Énfasis2 37" xfId="718" xr:uid="{00000000-0005-0000-0000-00002B020000}"/>
    <cellStyle name="40% - Énfasis2 38" xfId="719" xr:uid="{00000000-0005-0000-0000-00002C020000}"/>
    <cellStyle name="40% - Énfasis2 39" xfId="720" xr:uid="{00000000-0005-0000-0000-00002D020000}"/>
    <cellStyle name="40% - Énfasis2 4" xfId="721" xr:uid="{00000000-0005-0000-0000-00002E020000}"/>
    <cellStyle name="40% - Énfasis2 40" xfId="722" xr:uid="{00000000-0005-0000-0000-00002F020000}"/>
    <cellStyle name="40% - Énfasis2 41" xfId="723" xr:uid="{00000000-0005-0000-0000-000030020000}"/>
    <cellStyle name="40% - Énfasis2 42" xfId="724" xr:uid="{00000000-0005-0000-0000-000031020000}"/>
    <cellStyle name="40% - Énfasis2 43" xfId="725" xr:uid="{00000000-0005-0000-0000-000032020000}"/>
    <cellStyle name="40% - Énfasis2 44" xfId="726" xr:uid="{00000000-0005-0000-0000-000033020000}"/>
    <cellStyle name="40% - Énfasis2 45" xfId="727" xr:uid="{00000000-0005-0000-0000-000034020000}"/>
    <cellStyle name="40% - Énfasis2 46" xfId="728" xr:uid="{00000000-0005-0000-0000-000035020000}"/>
    <cellStyle name="40% - Énfasis2 47" xfId="729" xr:uid="{00000000-0005-0000-0000-000036020000}"/>
    <cellStyle name="40% - Énfasis2 48" xfId="730" xr:uid="{00000000-0005-0000-0000-000037020000}"/>
    <cellStyle name="40% - Énfasis2 49" xfId="731" xr:uid="{00000000-0005-0000-0000-000038020000}"/>
    <cellStyle name="40% - Énfasis2 5" xfId="732" xr:uid="{00000000-0005-0000-0000-000039020000}"/>
    <cellStyle name="40% - Énfasis2 50" xfId="733" xr:uid="{00000000-0005-0000-0000-00003A020000}"/>
    <cellStyle name="40% - Énfasis2 51" xfId="734" xr:uid="{00000000-0005-0000-0000-00003B020000}"/>
    <cellStyle name="40% - Énfasis2 52" xfId="735" xr:uid="{00000000-0005-0000-0000-00003C020000}"/>
    <cellStyle name="40% - Énfasis2 53" xfId="736" xr:uid="{00000000-0005-0000-0000-00003D020000}"/>
    <cellStyle name="40% - Énfasis2 54" xfId="737" xr:uid="{00000000-0005-0000-0000-00003E020000}"/>
    <cellStyle name="40% - Énfasis2 55" xfId="738" xr:uid="{00000000-0005-0000-0000-00003F020000}"/>
    <cellStyle name="40% - Énfasis2 56" xfId="739" xr:uid="{00000000-0005-0000-0000-000040020000}"/>
    <cellStyle name="40% - Énfasis2 57" xfId="740" xr:uid="{00000000-0005-0000-0000-000041020000}"/>
    <cellStyle name="40% - Énfasis2 58" xfId="741" xr:uid="{00000000-0005-0000-0000-000042020000}"/>
    <cellStyle name="40% - Énfasis2 59" xfId="742" xr:uid="{00000000-0005-0000-0000-000043020000}"/>
    <cellStyle name="40% - Énfasis2 6" xfId="743" xr:uid="{00000000-0005-0000-0000-000044020000}"/>
    <cellStyle name="40% - Énfasis2 60" xfId="744" xr:uid="{00000000-0005-0000-0000-000045020000}"/>
    <cellStyle name="40% - Énfasis2 61" xfId="745" xr:uid="{00000000-0005-0000-0000-000046020000}"/>
    <cellStyle name="40% - Énfasis2 62" xfId="746" xr:uid="{00000000-0005-0000-0000-000047020000}"/>
    <cellStyle name="40% - Énfasis2 63" xfId="747" xr:uid="{00000000-0005-0000-0000-000048020000}"/>
    <cellStyle name="40% - Énfasis2 64" xfId="748" xr:uid="{00000000-0005-0000-0000-000049020000}"/>
    <cellStyle name="40% - Énfasis2 65" xfId="749" xr:uid="{00000000-0005-0000-0000-00004A020000}"/>
    <cellStyle name="40% - Énfasis2 66" xfId="750" xr:uid="{00000000-0005-0000-0000-00004B020000}"/>
    <cellStyle name="40% - Énfasis2 67" xfId="751" xr:uid="{00000000-0005-0000-0000-00004C020000}"/>
    <cellStyle name="40% - Énfasis2 7" xfId="752" xr:uid="{00000000-0005-0000-0000-00004D020000}"/>
    <cellStyle name="40% - Énfasis2 8" xfId="753" xr:uid="{00000000-0005-0000-0000-00004E020000}"/>
    <cellStyle name="40% - Énfasis2 9" xfId="754" xr:uid="{00000000-0005-0000-0000-00004F020000}"/>
    <cellStyle name="40% - Énfasis3 10" xfId="755" xr:uid="{00000000-0005-0000-0000-000050020000}"/>
    <cellStyle name="40% - Énfasis3 11" xfId="756" xr:uid="{00000000-0005-0000-0000-000051020000}"/>
    <cellStyle name="40% - Énfasis3 12" xfId="757" xr:uid="{00000000-0005-0000-0000-000052020000}"/>
    <cellStyle name="40% - Énfasis3 13" xfId="758" xr:uid="{00000000-0005-0000-0000-000053020000}"/>
    <cellStyle name="40% - Énfasis3 14" xfId="759" xr:uid="{00000000-0005-0000-0000-000054020000}"/>
    <cellStyle name="40% - Énfasis3 15" xfId="760" xr:uid="{00000000-0005-0000-0000-000055020000}"/>
    <cellStyle name="40% - Énfasis3 16" xfId="761" xr:uid="{00000000-0005-0000-0000-000056020000}"/>
    <cellStyle name="40% - Énfasis3 17" xfId="762" xr:uid="{00000000-0005-0000-0000-000057020000}"/>
    <cellStyle name="40% - Énfasis3 18" xfId="763" xr:uid="{00000000-0005-0000-0000-000058020000}"/>
    <cellStyle name="40% - Énfasis3 19" xfId="764" xr:uid="{00000000-0005-0000-0000-000059020000}"/>
    <cellStyle name="40% - Énfasis3 2" xfId="84" xr:uid="{00000000-0005-0000-0000-00005A020000}"/>
    <cellStyle name="40% - Énfasis3 2 2" xfId="765" xr:uid="{00000000-0005-0000-0000-00005B020000}"/>
    <cellStyle name="40% - Énfasis3 2 3" xfId="766" xr:uid="{00000000-0005-0000-0000-00005C020000}"/>
    <cellStyle name="40% - Énfasis3 2 4" xfId="767" xr:uid="{00000000-0005-0000-0000-00005D020000}"/>
    <cellStyle name="40% - Énfasis3 2 5" xfId="768" xr:uid="{00000000-0005-0000-0000-00005E020000}"/>
    <cellStyle name="40% - Énfasis3 20" xfId="769" xr:uid="{00000000-0005-0000-0000-00005F020000}"/>
    <cellStyle name="40% - Énfasis3 21" xfId="770" xr:uid="{00000000-0005-0000-0000-000060020000}"/>
    <cellStyle name="40% - Énfasis3 22" xfId="771" xr:uid="{00000000-0005-0000-0000-000061020000}"/>
    <cellStyle name="40% - Énfasis3 23" xfId="772" xr:uid="{00000000-0005-0000-0000-000062020000}"/>
    <cellStyle name="40% - Énfasis3 24" xfId="773" xr:uid="{00000000-0005-0000-0000-000063020000}"/>
    <cellStyle name="40% - Énfasis3 25" xfId="774" xr:uid="{00000000-0005-0000-0000-000064020000}"/>
    <cellStyle name="40% - Énfasis3 26" xfId="775" xr:uid="{00000000-0005-0000-0000-000065020000}"/>
    <cellStyle name="40% - Énfasis3 27" xfId="776" xr:uid="{00000000-0005-0000-0000-000066020000}"/>
    <cellStyle name="40% - Énfasis3 28" xfId="777" xr:uid="{00000000-0005-0000-0000-000067020000}"/>
    <cellStyle name="40% - Énfasis3 29" xfId="778" xr:uid="{00000000-0005-0000-0000-000068020000}"/>
    <cellStyle name="40% - Énfasis3 3" xfId="779" xr:uid="{00000000-0005-0000-0000-000069020000}"/>
    <cellStyle name="40% - Énfasis3 30" xfId="780" xr:uid="{00000000-0005-0000-0000-00006A020000}"/>
    <cellStyle name="40% - Énfasis3 31" xfId="781" xr:uid="{00000000-0005-0000-0000-00006B020000}"/>
    <cellStyle name="40% - Énfasis3 32" xfId="782" xr:uid="{00000000-0005-0000-0000-00006C020000}"/>
    <cellStyle name="40% - Énfasis3 33" xfId="783" xr:uid="{00000000-0005-0000-0000-00006D020000}"/>
    <cellStyle name="40% - Énfasis3 34" xfId="784" xr:uid="{00000000-0005-0000-0000-00006E020000}"/>
    <cellStyle name="40% - Énfasis3 35" xfId="785" xr:uid="{00000000-0005-0000-0000-00006F020000}"/>
    <cellStyle name="40% - Énfasis3 36" xfId="786" xr:uid="{00000000-0005-0000-0000-000070020000}"/>
    <cellStyle name="40% - Énfasis3 37" xfId="787" xr:uid="{00000000-0005-0000-0000-000071020000}"/>
    <cellStyle name="40% - Énfasis3 38" xfId="788" xr:uid="{00000000-0005-0000-0000-000072020000}"/>
    <cellStyle name="40% - Énfasis3 39" xfId="789" xr:uid="{00000000-0005-0000-0000-000073020000}"/>
    <cellStyle name="40% - Énfasis3 4" xfId="790" xr:uid="{00000000-0005-0000-0000-000074020000}"/>
    <cellStyle name="40% - Énfasis3 40" xfId="791" xr:uid="{00000000-0005-0000-0000-000075020000}"/>
    <cellStyle name="40% - Énfasis3 41" xfId="792" xr:uid="{00000000-0005-0000-0000-000076020000}"/>
    <cellStyle name="40% - Énfasis3 42" xfId="793" xr:uid="{00000000-0005-0000-0000-000077020000}"/>
    <cellStyle name="40% - Énfasis3 43" xfId="794" xr:uid="{00000000-0005-0000-0000-000078020000}"/>
    <cellStyle name="40% - Énfasis3 44" xfId="795" xr:uid="{00000000-0005-0000-0000-000079020000}"/>
    <cellStyle name="40% - Énfasis3 45" xfId="796" xr:uid="{00000000-0005-0000-0000-00007A020000}"/>
    <cellStyle name="40% - Énfasis3 46" xfId="797" xr:uid="{00000000-0005-0000-0000-00007B020000}"/>
    <cellStyle name="40% - Énfasis3 47" xfId="798" xr:uid="{00000000-0005-0000-0000-00007C020000}"/>
    <cellStyle name="40% - Énfasis3 48" xfId="799" xr:uid="{00000000-0005-0000-0000-00007D020000}"/>
    <cellStyle name="40% - Énfasis3 49" xfId="800" xr:uid="{00000000-0005-0000-0000-00007E020000}"/>
    <cellStyle name="40% - Énfasis3 5" xfId="801" xr:uid="{00000000-0005-0000-0000-00007F020000}"/>
    <cellStyle name="40% - Énfasis3 50" xfId="802" xr:uid="{00000000-0005-0000-0000-000080020000}"/>
    <cellStyle name="40% - Énfasis3 51" xfId="803" xr:uid="{00000000-0005-0000-0000-000081020000}"/>
    <cellStyle name="40% - Énfasis3 52" xfId="804" xr:uid="{00000000-0005-0000-0000-000082020000}"/>
    <cellStyle name="40% - Énfasis3 53" xfId="805" xr:uid="{00000000-0005-0000-0000-000083020000}"/>
    <cellStyle name="40% - Énfasis3 54" xfId="806" xr:uid="{00000000-0005-0000-0000-000084020000}"/>
    <cellStyle name="40% - Énfasis3 55" xfId="807" xr:uid="{00000000-0005-0000-0000-000085020000}"/>
    <cellStyle name="40% - Énfasis3 56" xfId="808" xr:uid="{00000000-0005-0000-0000-000086020000}"/>
    <cellStyle name="40% - Énfasis3 57" xfId="809" xr:uid="{00000000-0005-0000-0000-000087020000}"/>
    <cellStyle name="40% - Énfasis3 58" xfId="810" xr:uid="{00000000-0005-0000-0000-000088020000}"/>
    <cellStyle name="40% - Énfasis3 59" xfId="811" xr:uid="{00000000-0005-0000-0000-000089020000}"/>
    <cellStyle name="40% - Énfasis3 6" xfId="812" xr:uid="{00000000-0005-0000-0000-00008A020000}"/>
    <cellStyle name="40% - Énfasis3 60" xfId="813" xr:uid="{00000000-0005-0000-0000-00008B020000}"/>
    <cellStyle name="40% - Énfasis3 61" xfId="814" xr:uid="{00000000-0005-0000-0000-00008C020000}"/>
    <cellStyle name="40% - Énfasis3 62" xfId="815" xr:uid="{00000000-0005-0000-0000-00008D020000}"/>
    <cellStyle name="40% - Énfasis3 63" xfId="816" xr:uid="{00000000-0005-0000-0000-00008E020000}"/>
    <cellStyle name="40% - Énfasis3 64" xfId="817" xr:uid="{00000000-0005-0000-0000-00008F020000}"/>
    <cellStyle name="40% - Énfasis3 65" xfId="818" xr:uid="{00000000-0005-0000-0000-000090020000}"/>
    <cellStyle name="40% - Énfasis3 66" xfId="819" xr:uid="{00000000-0005-0000-0000-000091020000}"/>
    <cellStyle name="40% - Énfasis3 67" xfId="820" xr:uid="{00000000-0005-0000-0000-000092020000}"/>
    <cellStyle name="40% - Énfasis3 7" xfId="821" xr:uid="{00000000-0005-0000-0000-000093020000}"/>
    <cellStyle name="40% - Énfasis3 8" xfId="822" xr:uid="{00000000-0005-0000-0000-000094020000}"/>
    <cellStyle name="40% - Énfasis3 9" xfId="823" xr:uid="{00000000-0005-0000-0000-000095020000}"/>
    <cellStyle name="40% - Énfasis4 10" xfId="824" xr:uid="{00000000-0005-0000-0000-000096020000}"/>
    <cellStyle name="40% - Énfasis4 11" xfId="825" xr:uid="{00000000-0005-0000-0000-000097020000}"/>
    <cellStyle name="40% - Énfasis4 12" xfId="826" xr:uid="{00000000-0005-0000-0000-000098020000}"/>
    <cellStyle name="40% - Énfasis4 13" xfId="827" xr:uid="{00000000-0005-0000-0000-000099020000}"/>
    <cellStyle name="40% - Énfasis4 14" xfId="828" xr:uid="{00000000-0005-0000-0000-00009A020000}"/>
    <cellStyle name="40% - Énfasis4 15" xfId="829" xr:uid="{00000000-0005-0000-0000-00009B020000}"/>
    <cellStyle name="40% - Énfasis4 16" xfId="830" xr:uid="{00000000-0005-0000-0000-00009C020000}"/>
    <cellStyle name="40% - Énfasis4 17" xfId="831" xr:uid="{00000000-0005-0000-0000-00009D020000}"/>
    <cellStyle name="40% - Énfasis4 18" xfId="832" xr:uid="{00000000-0005-0000-0000-00009E020000}"/>
    <cellStyle name="40% - Énfasis4 19" xfId="833" xr:uid="{00000000-0005-0000-0000-00009F020000}"/>
    <cellStyle name="40% - Énfasis4 2" xfId="85" xr:uid="{00000000-0005-0000-0000-0000A0020000}"/>
    <cellStyle name="40% - Énfasis4 2 2" xfId="834" xr:uid="{00000000-0005-0000-0000-0000A1020000}"/>
    <cellStyle name="40% - Énfasis4 2 3" xfId="835" xr:uid="{00000000-0005-0000-0000-0000A2020000}"/>
    <cellStyle name="40% - Énfasis4 2 4" xfId="836" xr:uid="{00000000-0005-0000-0000-0000A3020000}"/>
    <cellStyle name="40% - Énfasis4 2 5" xfId="837" xr:uid="{00000000-0005-0000-0000-0000A4020000}"/>
    <cellStyle name="40% - Énfasis4 20" xfId="838" xr:uid="{00000000-0005-0000-0000-0000A5020000}"/>
    <cellStyle name="40% - Énfasis4 21" xfId="839" xr:uid="{00000000-0005-0000-0000-0000A6020000}"/>
    <cellStyle name="40% - Énfasis4 22" xfId="840" xr:uid="{00000000-0005-0000-0000-0000A7020000}"/>
    <cellStyle name="40% - Énfasis4 23" xfId="841" xr:uid="{00000000-0005-0000-0000-0000A8020000}"/>
    <cellStyle name="40% - Énfasis4 24" xfId="842" xr:uid="{00000000-0005-0000-0000-0000A9020000}"/>
    <cellStyle name="40% - Énfasis4 25" xfId="843" xr:uid="{00000000-0005-0000-0000-0000AA020000}"/>
    <cellStyle name="40% - Énfasis4 26" xfId="844" xr:uid="{00000000-0005-0000-0000-0000AB020000}"/>
    <cellStyle name="40% - Énfasis4 27" xfId="845" xr:uid="{00000000-0005-0000-0000-0000AC020000}"/>
    <cellStyle name="40% - Énfasis4 28" xfId="846" xr:uid="{00000000-0005-0000-0000-0000AD020000}"/>
    <cellStyle name="40% - Énfasis4 29" xfId="847" xr:uid="{00000000-0005-0000-0000-0000AE020000}"/>
    <cellStyle name="40% - Énfasis4 3" xfId="848" xr:uid="{00000000-0005-0000-0000-0000AF020000}"/>
    <cellStyle name="40% - Énfasis4 30" xfId="849" xr:uid="{00000000-0005-0000-0000-0000B0020000}"/>
    <cellStyle name="40% - Énfasis4 31" xfId="850" xr:uid="{00000000-0005-0000-0000-0000B1020000}"/>
    <cellStyle name="40% - Énfasis4 32" xfId="851" xr:uid="{00000000-0005-0000-0000-0000B2020000}"/>
    <cellStyle name="40% - Énfasis4 33" xfId="852" xr:uid="{00000000-0005-0000-0000-0000B3020000}"/>
    <cellStyle name="40% - Énfasis4 34" xfId="853" xr:uid="{00000000-0005-0000-0000-0000B4020000}"/>
    <cellStyle name="40% - Énfasis4 35" xfId="854" xr:uid="{00000000-0005-0000-0000-0000B5020000}"/>
    <cellStyle name="40% - Énfasis4 36" xfId="855" xr:uid="{00000000-0005-0000-0000-0000B6020000}"/>
    <cellStyle name="40% - Énfasis4 37" xfId="856" xr:uid="{00000000-0005-0000-0000-0000B7020000}"/>
    <cellStyle name="40% - Énfasis4 38" xfId="857" xr:uid="{00000000-0005-0000-0000-0000B8020000}"/>
    <cellStyle name="40% - Énfasis4 39" xfId="858" xr:uid="{00000000-0005-0000-0000-0000B9020000}"/>
    <cellStyle name="40% - Énfasis4 4" xfId="859" xr:uid="{00000000-0005-0000-0000-0000BA020000}"/>
    <cellStyle name="40% - Énfasis4 40" xfId="860" xr:uid="{00000000-0005-0000-0000-0000BB020000}"/>
    <cellStyle name="40% - Énfasis4 41" xfId="861" xr:uid="{00000000-0005-0000-0000-0000BC020000}"/>
    <cellStyle name="40% - Énfasis4 42" xfId="862" xr:uid="{00000000-0005-0000-0000-0000BD020000}"/>
    <cellStyle name="40% - Énfasis4 43" xfId="863" xr:uid="{00000000-0005-0000-0000-0000BE020000}"/>
    <cellStyle name="40% - Énfasis4 44" xfId="864" xr:uid="{00000000-0005-0000-0000-0000BF020000}"/>
    <cellStyle name="40% - Énfasis4 45" xfId="865" xr:uid="{00000000-0005-0000-0000-0000C0020000}"/>
    <cellStyle name="40% - Énfasis4 46" xfId="866" xr:uid="{00000000-0005-0000-0000-0000C1020000}"/>
    <cellStyle name="40% - Énfasis4 47" xfId="867" xr:uid="{00000000-0005-0000-0000-0000C2020000}"/>
    <cellStyle name="40% - Énfasis4 48" xfId="868" xr:uid="{00000000-0005-0000-0000-0000C3020000}"/>
    <cellStyle name="40% - Énfasis4 49" xfId="869" xr:uid="{00000000-0005-0000-0000-0000C4020000}"/>
    <cellStyle name="40% - Énfasis4 5" xfId="870" xr:uid="{00000000-0005-0000-0000-0000C5020000}"/>
    <cellStyle name="40% - Énfasis4 50" xfId="871" xr:uid="{00000000-0005-0000-0000-0000C6020000}"/>
    <cellStyle name="40% - Énfasis4 51" xfId="872" xr:uid="{00000000-0005-0000-0000-0000C7020000}"/>
    <cellStyle name="40% - Énfasis4 52" xfId="873" xr:uid="{00000000-0005-0000-0000-0000C8020000}"/>
    <cellStyle name="40% - Énfasis4 53" xfId="874" xr:uid="{00000000-0005-0000-0000-0000C9020000}"/>
    <cellStyle name="40% - Énfasis4 54" xfId="875" xr:uid="{00000000-0005-0000-0000-0000CA020000}"/>
    <cellStyle name="40% - Énfasis4 55" xfId="876" xr:uid="{00000000-0005-0000-0000-0000CB020000}"/>
    <cellStyle name="40% - Énfasis4 56" xfId="877" xr:uid="{00000000-0005-0000-0000-0000CC020000}"/>
    <cellStyle name="40% - Énfasis4 57" xfId="878" xr:uid="{00000000-0005-0000-0000-0000CD020000}"/>
    <cellStyle name="40% - Énfasis4 58" xfId="879" xr:uid="{00000000-0005-0000-0000-0000CE020000}"/>
    <cellStyle name="40% - Énfasis4 59" xfId="880" xr:uid="{00000000-0005-0000-0000-0000CF020000}"/>
    <cellStyle name="40% - Énfasis4 6" xfId="881" xr:uid="{00000000-0005-0000-0000-0000D0020000}"/>
    <cellStyle name="40% - Énfasis4 60" xfId="882" xr:uid="{00000000-0005-0000-0000-0000D1020000}"/>
    <cellStyle name="40% - Énfasis4 61" xfId="883" xr:uid="{00000000-0005-0000-0000-0000D2020000}"/>
    <cellStyle name="40% - Énfasis4 62" xfId="884" xr:uid="{00000000-0005-0000-0000-0000D3020000}"/>
    <cellStyle name="40% - Énfasis4 63" xfId="885" xr:uid="{00000000-0005-0000-0000-0000D4020000}"/>
    <cellStyle name="40% - Énfasis4 64" xfId="886" xr:uid="{00000000-0005-0000-0000-0000D5020000}"/>
    <cellStyle name="40% - Énfasis4 65" xfId="887" xr:uid="{00000000-0005-0000-0000-0000D6020000}"/>
    <cellStyle name="40% - Énfasis4 66" xfId="888" xr:uid="{00000000-0005-0000-0000-0000D7020000}"/>
    <cellStyle name="40% - Énfasis4 67" xfId="889" xr:uid="{00000000-0005-0000-0000-0000D8020000}"/>
    <cellStyle name="40% - Énfasis4 7" xfId="890" xr:uid="{00000000-0005-0000-0000-0000D9020000}"/>
    <cellStyle name="40% - Énfasis4 8" xfId="891" xr:uid="{00000000-0005-0000-0000-0000DA020000}"/>
    <cellStyle name="40% - Énfasis4 9" xfId="892" xr:uid="{00000000-0005-0000-0000-0000DB020000}"/>
    <cellStyle name="40% - Énfasis5 10" xfId="893" xr:uid="{00000000-0005-0000-0000-0000DC020000}"/>
    <cellStyle name="40% - Énfasis5 11" xfId="894" xr:uid="{00000000-0005-0000-0000-0000DD020000}"/>
    <cellStyle name="40% - Énfasis5 12" xfId="895" xr:uid="{00000000-0005-0000-0000-0000DE020000}"/>
    <cellStyle name="40% - Énfasis5 13" xfId="896" xr:uid="{00000000-0005-0000-0000-0000DF020000}"/>
    <cellStyle name="40% - Énfasis5 14" xfId="897" xr:uid="{00000000-0005-0000-0000-0000E0020000}"/>
    <cellStyle name="40% - Énfasis5 15" xfId="898" xr:uid="{00000000-0005-0000-0000-0000E1020000}"/>
    <cellStyle name="40% - Énfasis5 16" xfId="899" xr:uid="{00000000-0005-0000-0000-0000E2020000}"/>
    <cellStyle name="40% - Énfasis5 17" xfId="900" xr:uid="{00000000-0005-0000-0000-0000E3020000}"/>
    <cellStyle name="40% - Énfasis5 18" xfId="901" xr:uid="{00000000-0005-0000-0000-0000E4020000}"/>
    <cellStyle name="40% - Énfasis5 19" xfId="902" xr:uid="{00000000-0005-0000-0000-0000E5020000}"/>
    <cellStyle name="40% - Énfasis5 2" xfId="86" xr:uid="{00000000-0005-0000-0000-0000E6020000}"/>
    <cellStyle name="40% - Énfasis5 2 2" xfId="903" xr:uid="{00000000-0005-0000-0000-0000E7020000}"/>
    <cellStyle name="40% - Énfasis5 2 3" xfId="904" xr:uid="{00000000-0005-0000-0000-0000E8020000}"/>
    <cellStyle name="40% - Énfasis5 2 4" xfId="905" xr:uid="{00000000-0005-0000-0000-0000E9020000}"/>
    <cellStyle name="40% - Énfasis5 2 5" xfId="906" xr:uid="{00000000-0005-0000-0000-0000EA020000}"/>
    <cellStyle name="40% - Énfasis5 20" xfId="907" xr:uid="{00000000-0005-0000-0000-0000EB020000}"/>
    <cellStyle name="40% - Énfasis5 21" xfId="908" xr:uid="{00000000-0005-0000-0000-0000EC020000}"/>
    <cellStyle name="40% - Énfasis5 22" xfId="909" xr:uid="{00000000-0005-0000-0000-0000ED020000}"/>
    <cellStyle name="40% - Énfasis5 23" xfId="910" xr:uid="{00000000-0005-0000-0000-0000EE020000}"/>
    <cellStyle name="40% - Énfasis5 24" xfId="911" xr:uid="{00000000-0005-0000-0000-0000EF020000}"/>
    <cellStyle name="40% - Énfasis5 25" xfId="912" xr:uid="{00000000-0005-0000-0000-0000F0020000}"/>
    <cellStyle name="40% - Énfasis5 26" xfId="913" xr:uid="{00000000-0005-0000-0000-0000F1020000}"/>
    <cellStyle name="40% - Énfasis5 27" xfId="914" xr:uid="{00000000-0005-0000-0000-0000F2020000}"/>
    <cellStyle name="40% - Énfasis5 28" xfId="915" xr:uid="{00000000-0005-0000-0000-0000F3020000}"/>
    <cellStyle name="40% - Énfasis5 29" xfId="916" xr:uid="{00000000-0005-0000-0000-0000F4020000}"/>
    <cellStyle name="40% - Énfasis5 3" xfId="917" xr:uid="{00000000-0005-0000-0000-0000F5020000}"/>
    <cellStyle name="40% - Énfasis5 30" xfId="918" xr:uid="{00000000-0005-0000-0000-0000F6020000}"/>
    <cellStyle name="40% - Énfasis5 31" xfId="919" xr:uid="{00000000-0005-0000-0000-0000F7020000}"/>
    <cellStyle name="40% - Énfasis5 32" xfId="920" xr:uid="{00000000-0005-0000-0000-0000F8020000}"/>
    <cellStyle name="40% - Énfasis5 33" xfId="921" xr:uid="{00000000-0005-0000-0000-0000F9020000}"/>
    <cellStyle name="40% - Énfasis5 34" xfId="922" xr:uid="{00000000-0005-0000-0000-0000FA020000}"/>
    <cellStyle name="40% - Énfasis5 35" xfId="923" xr:uid="{00000000-0005-0000-0000-0000FB020000}"/>
    <cellStyle name="40% - Énfasis5 36" xfId="924" xr:uid="{00000000-0005-0000-0000-0000FC020000}"/>
    <cellStyle name="40% - Énfasis5 37" xfId="925" xr:uid="{00000000-0005-0000-0000-0000FD020000}"/>
    <cellStyle name="40% - Énfasis5 38" xfId="926" xr:uid="{00000000-0005-0000-0000-0000FE020000}"/>
    <cellStyle name="40% - Énfasis5 39" xfId="927" xr:uid="{00000000-0005-0000-0000-0000FF020000}"/>
    <cellStyle name="40% - Énfasis5 4" xfId="928" xr:uid="{00000000-0005-0000-0000-000000030000}"/>
    <cellStyle name="40% - Énfasis5 40" xfId="929" xr:uid="{00000000-0005-0000-0000-000001030000}"/>
    <cellStyle name="40% - Énfasis5 41" xfId="930" xr:uid="{00000000-0005-0000-0000-000002030000}"/>
    <cellStyle name="40% - Énfasis5 42" xfId="931" xr:uid="{00000000-0005-0000-0000-000003030000}"/>
    <cellStyle name="40% - Énfasis5 43" xfId="932" xr:uid="{00000000-0005-0000-0000-000004030000}"/>
    <cellStyle name="40% - Énfasis5 44" xfId="933" xr:uid="{00000000-0005-0000-0000-000005030000}"/>
    <cellStyle name="40% - Énfasis5 45" xfId="934" xr:uid="{00000000-0005-0000-0000-000006030000}"/>
    <cellStyle name="40% - Énfasis5 46" xfId="935" xr:uid="{00000000-0005-0000-0000-000007030000}"/>
    <cellStyle name="40% - Énfasis5 47" xfId="936" xr:uid="{00000000-0005-0000-0000-000008030000}"/>
    <cellStyle name="40% - Énfasis5 48" xfId="937" xr:uid="{00000000-0005-0000-0000-000009030000}"/>
    <cellStyle name="40% - Énfasis5 49" xfId="938" xr:uid="{00000000-0005-0000-0000-00000A030000}"/>
    <cellStyle name="40% - Énfasis5 5" xfId="939" xr:uid="{00000000-0005-0000-0000-00000B030000}"/>
    <cellStyle name="40% - Énfasis5 50" xfId="940" xr:uid="{00000000-0005-0000-0000-00000C030000}"/>
    <cellStyle name="40% - Énfasis5 51" xfId="941" xr:uid="{00000000-0005-0000-0000-00000D030000}"/>
    <cellStyle name="40% - Énfasis5 52" xfId="942" xr:uid="{00000000-0005-0000-0000-00000E030000}"/>
    <cellStyle name="40% - Énfasis5 53" xfId="943" xr:uid="{00000000-0005-0000-0000-00000F030000}"/>
    <cellStyle name="40% - Énfasis5 54" xfId="944" xr:uid="{00000000-0005-0000-0000-000010030000}"/>
    <cellStyle name="40% - Énfasis5 55" xfId="945" xr:uid="{00000000-0005-0000-0000-000011030000}"/>
    <cellStyle name="40% - Énfasis5 56" xfId="946" xr:uid="{00000000-0005-0000-0000-000012030000}"/>
    <cellStyle name="40% - Énfasis5 57" xfId="947" xr:uid="{00000000-0005-0000-0000-000013030000}"/>
    <cellStyle name="40% - Énfasis5 58" xfId="948" xr:uid="{00000000-0005-0000-0000-000014030000}"/>
    <cellStyle name="40% - Énfasis5 59" xfId="949" xr:uid="{00000000-0005-0000-0000-000015030000}"/>
    <cellStyle name="40% - Énfasis5 6" xfId="950" xr:uid="{00000000-0005-0000-0000-000016030000}"/>
    <cellStyle name="40% - Énfasis5 60" xfId="951" xr:uid="{00000000-0005-0000-0000-000017030000}"/>
    <cellStyle name="40% - Énfasis5 61" xfId="952" xr:uid="{00000000-0005-0000-0000-000018030000}"/>
    <cellStyle name="40% - Énfasis5 62" xfId="953" xr:uid="{00000000-0005-0000-0000-000019030000}"/>
    <cellStyle name="40% - Énfasis5 63" xfId="954" xr:uid="{00000000-0005-0000-0000-00001A030000}"/>
    <cellStyle name="40% - Énfasis5 64" xfId="955" xr:uid="{00000000-0005-0000-0000-00001B030000}"/>
    <cellStyle name="40% - Énfasis5 65" xfId="956" xr:uid="{00000000-0005-0000-0000-00001C030000}"/>
    <cellStyle name="40% - Énfasis5 66" xfId="957" xr:uid="{00000000-0005-0000-0000-00001D030000}"/>
    <cellStyle name="40% - Énfasis5 67" xfId="958" xr:uid="{00000000-0005-0000-0000-00001E030000}"/>
    <cellStyle name="40% - Énfasis5 7" xfId="959" xr:uid="{00000000-0005-0000-0000-00001F030000}"/>
    <cellStyle name="40% - Énfasis5 8" xfId="960" xr:uid="{00000000-0005-0000-0000-000020030000}"/>
    <cellStyle name="40% - Énfasis5 9" xfId="961" xr:uid="{00000000-0005-0000-0000-000021030000}"/>
    <cellStyle name="40% - Énfasis6 10" xfId="962" xr:uid="{00000000-0005-0000-0000-000022030000}"/>
    <cellStyle name="40% - Énfasis6 11" xfId="963" xr:uid="{00000000-0005-0000-0000-000023030000}"/>
    <cellStyle name="40% - Énfasis6 12" xfId="964" xr:uid="{00000000-0005-0000-0000-000024030000}"/>
    <cellStyle name="40% - Énfasis6 13" xfId="965" xr:uid="{00000000-0005-0000-0000-000025030000}"/>
    <cellStyle name="40% - Énfasis6 14" xfId="966" xr:uid="{00000000-0005-0000-0000-000026030000}"/>
    <cellStyle name="40% - Énfasis6 15" xfId="967" xr:uid="{00000000-0005-0000-0000-000027030000}"/>
    <cellStyle name="40% - Énfasis6 16" xfId="968" xr:uid="{00000000-0005-0000-0000-000028030000}"/>
    <cellStyle name="40% - Énfasis6 17" xfId="969" xr:uid="{00000000-0005-0000-0000-000029030000}"/>
    <cellStyle name="40% - Énfasis6 18" xfId="970" xr:uid="{00000000-0005-0000-0000-00002A030000}"/>
    <cellStyle name="40% - Énfasis6 19" xfId="971" xr:uid="{00000000-0005-0000-0000-00002B030000}"/>
    <cellStyle name="40% - Énfasis6 2" xfId="87" xr:uid="{00000000-0005-0000-0000-00002C030000}"/>
    <cellStyle name="40% - Énfasis6 2 2" xfId="972" xr:uid="{00000000-0005-0000-0000-00002D030000}"/>
    <cellStyle name="40% - Énfasis6 2 3" xfId="973" xr:uid="{00000000-0005-0000-0000-00002E030000}"/>
    <cellStyle name="40% - Énfasis6 2 4" xfId="974" xr:uid="{00000000-0005-0000-0000-00002F030000}"/>
    <cellStyle name="40% - Énfasis6 2 5" xfId="975" xr:uid="{00000000-0005-0000-0000-000030030000}"/>
    <cellStyle name="40% - Énfasis6 20" xfId="976" xr:uid="{00000000-0005-0000-0000-000031030000}"/>
    <cellStyle name="40% - Énfasis6 21" xfId="977" xr:uid="{00000000-0005-0000-0000-000032030000}"/>
    <cellStyle name="40% - Énfasis6 22" xfId="978" xr:uid="{00000000-0005-0000-0000-000033030000}"/>
    <cellStyle name="40% - Énfasis6 23" xfId="979" xr:uid="{00000000-0005-0000-0000-000034030000}"/>
    <cellStyle name="40% - Énfasis6 24" xfId="980" xr:uid="{00000000-0005-0000-0000-000035030000}"/>
    <cellStyle name="40% - Énfasis6 25" xfId="981" xr:uid="{00000000-0005-0000-0000-000036030000}"/>
    <cellStyle name="40% - Énfasis6 26" xfId="982" xr:uid="{00000000-0005-0000-0000-000037030000}"/>
    <cellStyle name="40% - Énfasis6 27" xfId="983" xr:uid="{00000000-0005-0000-0000-000038030000}"/>
    <cellStyle name="40% - Énfasis6 28" xfId="984" xr:uid="{00000000-0005-0000-0000-000039030000}"/>
    <cellStyle name="40% - Énfasis6 29" xfId="985" xr:uid="{00000000-0005-0000-0000-00003A030000}"/>
    <cellStyle name="40% - Énfasis6 3" xfId="986" xr:uid="{00000000-0005-0000-0000-00003B030000}"/>
    <cellStyle name="40% - Énfasis6 30" xfId="987" xr:uid="{00000000-0005-0000-0000-00003C030000}"/>
    <cellStyle name="40% - Énfasis6 31" xfId="988" xr:uid="{00000000-0005-0000-0000-00003D030000}"/>
    <cellStyle name="40% - Énfasis6 32" xfId="989" xr:uid="{00000000-0005-0000-0000-00003E030000}"/>
    <cellStyle name="40% - Énfasis6 33" xfId="990" xr:uid="{00000000-0005-0000-0000-00003F030000}"/>
    <cellStyle name="40% - Énfasis6 34" xfId="991" xr:uid="{00000000-0005-0000-0000-000040030000}"/>
    <cellStyle name="40% - Énfasis6 35" xfId="992" xr:uid="{00000000-0005-0000-0000-000041030000}"/>
    <cellStyle name="40% - Énfasis6 36" xfId="993" xr:uid="{00000000-0005-0000-0000-000042030000}"/>
    <cellStyle name="40% - Énfasis6 37" xfId="994" xr:uid="{00000000-0005-0000-0000-000043030000}"/>
    <cellStyle name="40% - Énfasis6 38" xfId="995" xr:uid="{00000000-0005-0000-0000-000044030000}"/>
    <cellStyle name="40% - Énfasis6 39" xfId="996" xr:uid="{00000000-0005-0000-0000-000045030000}"/>
    <cellStyle name="40% - Énfasis6 4" xfId="997" xr:uid="{00000000-0005-0000-0000-000046030000}"/>
    <cellStyle name="40% - Énfasis6 40" xfId="998" xr:uid="{00000000-0005-0000-0000-000047030000}"/>
    <cellStyle name="40% - Énfasis6 41" xfId="999" xr:uid="{00000000-0005-0000-0000-000048030000}"/>
    <cellStyle name="40% - Énfasis6 42" xfId="1000" xr:uid="{00000000-0005-0000-0000-000049030000}"/>
    <cellStyle name="40% - Énfasis6 43" xfId="1001" xr:uid="{00000000-0005-0000-0000-00004A030000}"/>
    <cellStyle name="40% - Énfasis6 44" xfId="1002" xr:uid="{00000000-0005-0000-0000-00004B030000}"/>
    <cellStyle name="40% - Énfasis6 45" xfId="1003" xr:uid="{00000000-0005-0000-0000-00004C030000}"/>
    <cellStyle name="40% - Énfasis6 46" xfId="1004" xr:uid="{00000000-0005-0000-0000-00004D030000}"/>
    <cellStyle name="40% - Énfasis6 47" xfId="1005" xr:uid="{00000000-0005-0000-0000-00004E030000}"/>
    <cellStyle name="40% - Énfasis6 48" xfId="1006" xr:uid="{00000000-0005-0000-0000-00004F030000}"/>
    <cellStyle name="40% - Énfasis6 49" xfId="1007" xr:uid="{00000000-0005-0000-0000-000050030000}"/>
    <cellStyle name="40% - Énfasis6 5" xfId="1008" xr:uid="{00000000-0005-0000-0000-000051030000}"/>
    <cellStyle name="40% - Énfasis6 50" xfId="1009" xr:uid="{00000000-0005-0000-0000-000052030000}"/>
    <cellStyle name="40% - Énfasis6 51" xfId="1010" xr:uid="{00000000-0005-0000-0000-000053030000}"/>
    <cellStyle name="40% - Énfasis6 52" xfId="1011" xr:uid="{00000000-0005-0000-0000-000054030000}"/>
    <cellStyle name="40% - Énfasis6 53" xfId="1012" xr:uid="{00000000-0005-0000-0000-000055030000}"/>
    <cellStyle name="40% - Énfasis6 54" xfId="1013" xr:uid="{00000000-0005-0000-0000-000056030000}"/>
    <cellStyle name="40% - Énfasis6 55" xfId="1014" xr:uid="{00000000-0005-0000-0000-000057030000}"/>
    <cellStyle name="40% - Énfasis6 56" xfId="1015" xr:uid="{00000000-0005-0000-0000-000058030000}"/>
    <cellStyle name="40% - Énfasis6 57" xfId="1016" xr:uid="{00000000-0005-0000-0000-000059030000}"/>
    <cellStyle name="40% - Énfasis6 58" xfId="1017" xr:uid="{00000000-0005-0000-0000-00005A030000}"/>
    <cellStyle name="40% - Énfasis6 59" xfId="1018" xr:uid="{00000000-0005-0000-0000-00005B030000}"/>
    <cellStyle name="40% - Énfasis6 6" xfId="1019" xr:uid="{00000000-0005-0000-0000-00005C030000}"/>
    <cellStyle name="40% - Énfasis6 60" xfId="1020" xr:uid="{00000000-0005-0000-0000-00005D030000}"/>
    <cellStyle name="40% - Énfasis6 61" xfId="1021" xr:uid="{00000000-0005-0000-0000-00005E030000}"/>
    <cellStyle name="40% - Énfasis6 62" xfId="1022" xr:uid="{00000000-0005-0000-0000-00005F030000}"/>
    <cellStyle name="40% - Énfasis6 63" xfId="1023" xr:uid="{00000000-0005-0000-0000-000060030000}"/>
    <cellStyle name="40% - Énfasis6 64" xfId="1024" xr:uid="{00000000-0005-0000-0000-000061030000}"/>
    <cellStyle name="40% - Énfasis6 65" xfId="1025" xr:uid="{00000000-0005-0000-0000-000062030000}"/>
    <cellStyle name="40% - Énfasis6 66" xfId="1026" xr:uid="{00000000-0005-0000-0000-000063030000}"/>
    <cellStyle name="40% - Énfasis6 67" xfId="1027" xr:uid="{00000000-0005-0000-0000-000064030000}"/>
    <cellStyle name="40% - Énfasis6 7" xfId="1028" xr:uid="{00000000-0005-0000-0000-000065030000}"/>
    <cellStyle name="40% - Énfasis6 8" xfId="1029" xr:uid="{00000000-0005-0000-0000-000066030000}"/>
    <cellStyle name="40% - Énfasis6 9" xfId="1030" xr:uid="{00000000-0005-0000-0000-000067030000}"/>
    <cellStyle name="60% - Accent1" xfId="7328" xr:uid="{00000000-0005-0000-0000-000068030000}"/>
    <cellStyle name="60% - Accent2" xfId="7329" xr:uid="{00000000-0005-0000-0000-000069030000}"/>
    <cellStyle name="60% - Accent3" xfId="7330" xr:uid="{00000000-0005-0000-0000-00006A030000}"/>
    <cellStyle name="60% - Accent4" xfId="7331" xr:uid="{00000000-0005-0000-0000-00006B030000}"/>
    <cellStyle name="60% - Accent5" xfId="7332" xr:uid="{00000000-0005-0000-0000-00006C030000}"/>
    <cellStyle name="60% - Accent6" xfId="7333" xr:uid="{00000000-0005-0000-0000-00006D030000}"/>
    <cellStyle name="60% - Énfasis1 10" xfId="1031" xr:uid="{00000000-0005-0000-0000-00006E030000}"/>
    <cellStyle name="60% - Énfasis1 11" xfId="1032" xr:uid="{00000000-0005-0000-0000-00006F030000}"/>
    <cellStyle name="60% - Énfasis1 12" xfId="1033" xr:uid="{00000000-0005-0000-0000-000070030000}"/>
    <cellStyle name="60% - Énfasis1 13" xfId="1034" xr:uid="{00000000-0005-0000-0000-000071030000}"/>
    <cellStyle name="60% - Énfasis1 14" xfId="1035" xr:uid="{00000000-0005-0000-0000-000072030000}"/>
    <cellStyle name="60% - Énfasis1 15" xfId="1036" xr:uid="{00000000-0005-0000-0000-000073030000}"/>
    <cellStyle name="60% - Énfasis1 16" xfId="1037" xr:uid="{00000000-0005-0000-0000-000074030000}"/>
    <cellStyle name="60% - Énfasis1 17" xfId="1038" xr:uid="{00000000-0005-0000-0000-000075030000}"/>
    <cellStyle name="60% - Énfasis1 18" xfId="1039" xr:uid="{00000000-0005-0000-0000-000076030000}"/>
    <cellStyle name="60% - Énfasis1 19" xfId="1040" xr:uid="{00000000-0005-0000-0000-000077030000}"/>
    <cellStyle name="60% - Énfasis1 2" xfId="88" xr:uid="{00000000-0005-0000-0000-000078030000}"/>
    <cellStyle name="60% - Énfasis1 2 2" xfId="1041" xr:uid="{00000000-0005-0000-0000-000079030000}"/>
    <cellStyle name="60% - Énfasis1 2 3" xfId="1042" xr:uid="{00000000-0005-0000-0000-00007A030000}"/>
    <cellStyle name="60% - Énfasis1 2 4" xfId="1043" xr:uid="{00000000-0005-0000-0000-00007B030000}"/>
    <cellStyle name="60% - Énfasis1 2 5" xfId="1044" xr:uid="{00000000-0005-0000-0000-00007C030000}"/>
    <cellStyle name="60% - Énfasis1 20" xfId="1045" xr:uid="{00000000-0005-0000-0000-00007D030000}"/>
    <cellStyle name="60% - Énfasis1 21" xfId="1046" xr:uid="{00000000-0005-0000-0000-00007E030000}"/>
    <cellStyle name="60% - Énfasis1 22" xfId="1047" xr:uid="{00000000-0005-0000-0000-00007F030000}"/>
    <cellStyle name="60% - Énfasis1 23" xfId="1048" xr:uid="{00000000-0005-0000-0000-000080030000}"/>
    <cellStyle name="60% - Énfasis1 24" xfId="1049" xr:uid="{00000000-0005-0000-0000-000081030000}"/>
    <cellStyle name="60% - Énfasis1 25" xfId="1050" xr:uid="{00000000-0005-0000-0000-000082030000}"/>
    <cellStyle name="60% - Énfasis1 26" xfId="1051" xr:uid="{00000000-0005-0000-0000-000083030000}"/>
    <cellStyle name="60% - Énfasis1 27" xfId="1052" xr:uid="{00000000-0005-0000-0000-000084030000}"/>
    <cellStyle name="60% - Énfasis1 28" xfId="1053" xr:uid="{00000000-0005-0000-0000-000085030000}"/>
    <cellStyle name="60% - Énfasis1 29" xfId="1054" xr:uid="{00000000-0005-0000-0000-000086030000}"/>
    <cellStyle name="60% - Énfasis1 3" xfId="1055" xr:uid="{00000000-0005-0000-0000-000087030000}"/>
    <cellStyle name="60% - Énfasis1 30" xfId="1056" xr:uid="{00000000-0005-0000-0000-000088030000}"/>
    <cellStyle name="60% - Énfasis1 31" xfId="1057" xr:uid="{00000000-0005-0000-0000-000089030000}"/>
    <cellStyle name="60% - Énfasis1 32" xfId="1058" xr:uid="{00000000-0005-0000-0000-00008A030000}"/>
    <cellStyle name="60% - Énfasis1 33" xfId="1059" xr:uid="{00000000-0005-0000-0000-00008B030000}"/>
    <cellStyle name="60% - Énfasis1 34" xfId="1060" xr:uid="{00000000-0005-0000-0000-00008C030000}"/>
    <cellStyle name="60% - Énfasis1 35" xfId="1061" xr:uid="{00000000-0005-0000-0000-00008D030000}"/>
    <cellStyle name="60% - Énfasis1 36" xfId="1062" xr:uid="{00000000-0005-0000-0000-00008E030000}"/>
    <cellStyle name="60% - Énfasis1 37" xfId="1063" xr:uid="{00000000-0005-0000-0000-00008F030000}"/>
    <cellStyle name="60% - Énfasis1 38" xfId="1064" xr:uid="{00000000-0005-0000-0000-000090030000}"/>
    <cellStyle name="60% - Énfasis1 39" xfId="1065" xr:uid="{00000000-0005-0000-0000-000091030000}"/>
    <cellStyle name="60% - Énfasis1 4" xfId="1066" xr:uid="{00000000-0005-0000-0000-000092030000}"/>
    <cellStyle name="60% - Énfasis1 40" xfId="1067" xr:uid="{00000000-0005-0000-0000-000093030000}"/>
    <cellStyle name="60% - Énfasis1 41" xfId="1068" xr:uid="{00000000-0005-0000-0000-000094030000}"/>
    <cellStyle name="60% - Énfasis1 42" xfId="1069" xr:uid="{00000000-0005-0000-0000-000095030000}"/>
    <cellStyle name="60% - Énfasis1 43" xfId="1070" xr:uid="{00000000-0005-0000-0000-000096030000}"/>
    <cellStyle name="60% - Énfasis1 44" xfId="1071" xr:uid="{00000000-0005-0000-0000-000097030000}"/>
    <cellStyle name="60% - Énfasis1 45" xfId="1072" xr:uid="{00000000-0005-0000-0000-000098030000}"/>
    <cellStyle name="60% - Énfasis1 46" xfId="1073" xr:uid="{00000000-0005-0000-0000-000099030000}"/>
    <cellStyle name="60% - Énfasis1 47" xfId="1074" xr:uid="{00000000-0005-0000-0000-00009A030000}"/>
    <cellStyle name="60% - Énfasis1 48" xfId="1075" xr:uid="{00000000-0005-0000-0000-00009B030000}"/>
    <cellStyle name="60% - Énfasis1 49" xfId="1076" xr:uid="{00000000-0005-0000-0000-00009C030000}"/>
    <cellStyle name="60% - Énfasis1 5" xfId="1077" xr:uid="{00000000-0005-0000-0000-00009D030000}"/>
    <cellStyle name="60% - Énfasis1 50" xfId="1078" xr:uid="{00000000-0005-0000-0000-00009E030000}"/>
    <cellStyle name="60% - Énfasis1 51" xfId="1079" xr:uid="{00000000-0005-0000-0000-00009F030000}"/>
    <cellStyle name="60% - Énfasis1 52" xfId="1080" xr:uid="{00000000-0005-0000-0000-0000A0030000}"/>
    <cellStyle name="60% - Énfasis1 53" xfId="1081" xr:uid="{00000000-0005-0000-0000-0000A1030000}"/>
    <cellStyle name="60% - Énfasis1 54" xfId="1082" xr:uid="{00000000-0005-0000-0000-0000A2030000}"/>
    <cellStyle name="60% - Énfasis1 55" xfId="1083" xr:uid="{00000000-0005-0000-0000-0000A3030000}"/>
    <cellStyle name="60% - Énfasis1 56" xfId="1084" xr:uid="{00000000-0005-0000-0000-0000A4030000}"/>
    <cellStyle name="60% - Énfasis1 57" xfId="1085" xr:uid="{00000000-0005-0000-0000-0000A5030000}"/>
    <cellStyle name="60% - Énfasis1 58" xfId="1086" xr:uid="{00000000-0005-0000-0000-0000A6030000}"/>
    <cellStyle name="60% - Énfasis1 59" xfId="1087" xr:uid="{00000000-0005-0000-0000-0000A7030000}"/>
    <cellStyle name="60% - Énfasis1 6" xfId="1088" xr:uid="{00000000-0005-0000-0000-0000A8030000}"/>
    <cellStyle name="60% - Énfasis1 60" xfId="1089" xr:uid="{00000000-0005-0000-0000-0000A9030000}"/>
    <cellStyle name="60% - Énfasis1 61" xfId="1090" xr:uid="{00000000-0005-0000-0000-0000AA030000}"/>
    <cellStyle name="60% - Énfasis1 62" xfId="1091" xr:uid="{00000000-0005-0000-0000-0000AB030000}"/>
    <cellStyle name="60% - Énfasis1 63" xfId="1092" xr:uid="{00000000-0005-0000-0000-0000AC030000}"/>
    <cellStyle name="60% - Énfasis1 64" xfId="1093" xr:uid="{00000000-0005-0000-0000-0000AD030000}"/>
    <cellStyle name="60% - Énfasis1 65" xfId="1094" xr:uid="{00000000-0005-0000-0000-0000AE030000}"/>
    <cellStyle name="60% - Énfasis1 66" xfId="1095" xr:uid="{00000000-0005-0000-0000-0000AF030000}"/>
    <cellStyle name="60% - Énfasis1 67" xfId="1096" xr:uid="{00000000-0005-0000-0000-0000B0030000}"/>
    <cellStyle name="60% - Énfasis1 7" xfId="1097" xr:uid="{00000000-0005-0000-0000-0000B1030000}"/>
    <cellStyle name="60% - Énfasis1 8" xfId="1098" xr:uid="{00000000-0005-0000-0000-0000B2030000}"/>
    <cellStyle name="60% - Énfasis1 9" xfId="1099" xr:uid="{00000000-0005-0000-0000-0000B3030000}"/>
    <cellStyle name="60% - Énfasis2 10" xfId="1100" xr:uid="{00000000-0005-0000-0000-0000B4030000}"/>
    <cellStyle name="60% - Énfasis2 11" xfId="1101" xr:uid="{00000000-0005-0000-0000-0000B5030000}"/>
    <cellStyle name="60% - Énfasis2 12" xfId="1102" xr:uid="{00000000-0005-0000-0000-0000B6030000}"/>
    <cellStyle name="60% - Énfasis2 13" xfId="1103" xr:uid="{00000000-0005-0000-0000-0000B7030000}"/>
    <cellStyle name="60% - Énfasis2 14" xfId="1104" xr:uid="{00000000-0005-0000-0000-0000B8030000}"/>
    <cellStyle name="60% - Énfasis2 15" xfId="1105" xr:uid="{00000000-0005-0000-0000-0000B9030000}"/>
    <cellStyle name="60% - Énfasis2 16" xfId="1106" xr:uid="{00000000-0005-0000-0000-0000BA030000}"/>
    <cellStyle name="60% - Énfasis2 17" xfId="1107" xr:uid="{00000000-0005-0000-0000-0000BB030000}"/>
    <cellStyle name="60% - Énfasis2 18" xfId="1108" xr:uid="{00000000-0005-0000-0000-0000BC030000}"/>
    <cellStyle name="60% - Énfasis2 19" xfId="1109" xr:uid="{00000000-0005-0000-0000-0000BD030000}"/>
    <cellStyle name="60% - Énfasis2 2" xfId="89" xr:uid="{00000000-0005-0000-0000-0000BE030000}"/>
    <cellStyle name="60% - Énfasis2 2 2" xfId="1110" xr:uid="{00000000-0005-0000-0000-0000BF030000}"/>
    <cellStyle name="60% - Énfasis2 2 3" xfId="1111" xr:uid="{00000000-0005-0000-0000-0000C0030000}"/>
    <cellStyle name="60% - Énfasis2 2 4" xfId="1112" xr:uid="{00000000-0005-0000-0000-0000C1030000}"/>
    <cellStyle name="60% - Énfasis2 2 5" xfId="1113" xr:uid="{00000000-0005-0000-0000-0000C2030000}"/>
    <cellStyle name="60% - Énfasis2 20" xfId="1114" xr:uid="{00000000-0005-0000-0000-0000C3030000}"/>
    <cellStyle name="60% - Énfasis2 21" xfId="1115" xr:uid="{00000000-0005-0000-0000-0000C4030000}"/>
    <cellStyle name="60% - Énfasis2 22" xfId="1116" xr:uid="{00000000-0005-0000-0000-0000C5030000}"/>
    <cellStyle name="60% - Énfasis2 23" xfId="1117" xr:uid="{00000000-0005-0000-0000-0000C6030000}"/>
    <cellStyle name="60% - Énfasis2 24" xfId="1118" xr:uid="{00000000-0005-0000-0000-0000C7030000}"/>
    <cellStyle name="60% - Énfasis2 25" xfId="1119" xr:uid="{00000000-0005-0000-0000-0000C8030000}"/>
    <cellStyle name="60% - Énfasis2 26" xfId="1120" xr:uid="{00000000-0005-0000-0000-0000C9030000}"/>
    <cellStyle name="60% - Énfasis2 27" xfId="1121" xr:uid="{00000000-0005-0000-0000-0000CA030000}"/>
    <cellStyle name="60% - Énfasis2 28" xfId="1122" xr:uid="{00000000-0005-0000-0000-0000CB030000}"/>
    <cellStyle name="60% - Énfasis2 29" xfId="1123" xr:uid="{00000000-0005-0000-0000-0000CC030000}"/>
    <cellStyle name="60% - Énfasis2 3" xfId="1124" xr:uid="{00000000-0005-0000-0000-0000CD030000}"/>
    <cellStyle name="60% - Énfasis2 30" xfId="1125" xr:uid="{00000000-0005-0000-0000-0000CE030000}"/>
    <cellStyle name="60% - Énfasis2 31" xfId="1126" xr:uid="{00000000-0005-0000-0000-0000CF030000}"/>
    <cellStyle name="60% - Énfasis2 32" xfId="1127" xr:uid="{00000000-0005-0000-0000-0000D0030000}"/>
    <cellStyle name="60% - Énfasis2 33" xfId="1128" xr:uid="{00000000-0005-0000-0000-0000D1030000}"/>
    <cellStyle name="60% - Énfasis2 34" xfId="1129" xr:uid="{00000000-0005-0000-0000-0000D2030000}"/>
    <cellStyle name="60% - Énfasis2 35" xfId="1130" xr:uid="{00000000-0005-0000-0000-0000D3030000}"/>
    <cellStyle name="60% - Énfasis2 36" xfId="1131" xr:uid="{00000000-0005-0000-0000-0000D4030000}"/>
    <cellStyle name="60% - Énfasis2 37" xfId="1132" xr:uid="{00000000-0005-0000-0000-0000D5030000}"/>
    <cellStyle name="60% - Énfasis2 38" xfId="1133" xr:uid="{00000000-0005-0000-0000-0000D6030000}"/>
    <cellStyle name="60% - Énfasis2 39" xfId="1134" xr:uid="{00000000-0005-0000-0000-0000D7030000}"/>
    <cellStyle name="60% - Énfasis2 4" xfId="1135" xr:uid="{00000000-0005-0000-0000-0000D8030000}"/>
    <cellStyle name="60% - Énfasis2 40" xfId="1136" xr:uid="{00000000-0005-0000-0000-0000D9030000}"/>
    <cellStyle name="60% - Énfasis2 41" xfId="1137" xr:uid="{00000000-0005-0000-0000-0000DA030000}"/>
    <cellStyle name="60% - Énfasis2 42" xfId="1138" xr:uid="{00000000-0005-0000-0000-0000DB030000}"/>
    <cellStyle name="60% - Énfasis2 43" xfId="1139" xr:uid="{00000000-0005-0000-0000-0000DC030000}"/>
    <cellStyle name="60% - Énfasis2 44" xfId="1140" xr:uid="{00000000-0005-0000-0000-0000DD030000}"/>
    <cellStyle name="60% - Énfasis2 45" xfId="1141" xr:uid="{00000000-0005-0000-0000-0000DE030000}"/>
    <cellStyle name="60% - Énfasis2 46" xfId="1142" xr:uid="{00000000-0005-0000-0000-0000DF030000}"/>
    <cellStyle name="60% - Énfasis2 47" xfId="1143" xr:uid="{00000000-0005-0000-0000-0000E0030000}"/>
    <cellStyle name="60% - Énfasis2 48" xfId="1144" xr:uid="{00000000-0005-0000-0000-0000E1030000}"/>
    <cellStyle name="60% - Énfasis2 49" xfId="1145" xr:uid="{00000000-0005-0000-0000-0000E2030000}"/>
    <cellStyle name="60% - Énfasis2 5" xfId="1146" xr:uid="{00000000-0005-0000-0000-0000E3030000}"/>
    <cellStyle name="60% - Énfasis2 50" xfId="1147" xr:uid="{00000000-0005-0000-0000-0000E4030000}"/>
    <cellStyle name="60% - Énfasis2 51" xfId="1148" xr:uid="{00000000-0005-0000-0000-0000E5030000}"/>
    <cellStyle name="60% - Énfasis2 52" xfId="1149" xr:uid="{00000000-0005-0000-0000-0000E6030000}"/>
    <cellStyle name="60% - Énfasis2 53" xfId="1150" xr:uid="{00000000-0005-0000-0000-0000E7030000}"/>
    <cellStyle name="60% - Énfasis2 54" xfId="1151" xr:uid="{00000000-0005-0000-0000-0000E8030000}"/>
    <cellStyle name="60% - Énfasis2 55" xfId="1152" xr:uid="{00000000-0005-0000-0000-0000E9030000}"/>
    <cellStyle name="60% - Énfasis2 56" xfId="1153" xr:uid="{00000000-0005-0000-0000-0000EA030000}"/>
    <cellStyle name="60% - Énfasis2 57" xfId="1154" xr:uid="{00000000-0005-0000-0000-0000EB030000}"/>
    <cellStyle name="60% - Énfasis2 58" xfId="1155" xr:uid="{00000000-0005-0000-0000-0000EC030000}"/>
    <cellStyle name="60% - Énfasis2 59" xfId="1156" xr:uid="{00000000-0005-0000-0000-0000ED030000}"/>
    <cellStyle name="60% - Énfasis2 6" xfId="1157" xr:uid="{00000000-0005-0000-0000-0000EE030000}"/>
    <cellStyle name="60% - Énfasis2 60" xfId="1158" xr:uid="{00000000-0005-0000-0000-0000EF030000}"/>
    <cellStyle name="60% - Énfasis2 61" xfId="1159" xr:uid="{00000000-0005-0000-0000-0000F0030000}"/>
    <cellStyle name="60% - Énfasis2 62" xfId="1160" xr:uid="{00000000-0005-0000-0000-0000F1030000}"/>
    <cellStyle name="60% - Énfasis2 63" xfId="1161" xr:uid="{00000000-0005-0000-0000-0000F2030000}"/>
    <cellStyle name="60% - Énfasis2 64" xfId="1162" xr:uid="{00000000-0005-0000-0000-0000F3030000}"/>
    <cellStyle name="60% - Énfasis2 65" xfId="1163" xr:uid="{00000000-0005-0000-0000-0000F4030000}"/>
    <cellStyle name="60% - Énfasis2 66" xfId="1164" xr:uid="{00000000-0005-0000-0000-0000F5030000}"/>
    <cellStyle name="60% - Énfasis2 67" xfId="1165" xr:uid="{00000000-0005-0000-0000-0000F6030000}"/>
    <cellStyle name="60% - Énfasis2 7" xfId="1166" xr:uid="{00000000-0005-0000-0000-0000F7030000}"/>
    <cellStyle name="60% - Énfasis2 8" xfId="1167" xr:uid="{00000000-0005-0000-0000-0000F8030000}"/>
    <cellStyle name="60% - Énfasis2 9" xfId="1168" xr:uid="{00000000-0005-0000-0000-0000F9030000}"/>
    <cellStyle name="60% - Énfasis3 10" xfId="1169" xr:uid="{00000000-0005-0000-0000-0000FA030000}"/>
    <cellStyle name="60% - Énfasis3 11" xfId="1170" xr:uid="{00000000-0005-0000-0000-0000FB030000}"/>
    <cellStyle name="60% - Énfasis3 12" xfId="1171" xr:uid="{00000000-0005-0000-0000-0000FC030000}"/>
    <cellStyle name="60% - Énfasis3 13" xfId="1172" xr:uid="{00000000-0005-0000-0000-0000FD030000}"/>
    <cellStyle name="60% - Énfasis3 14" xfId="1173" xr:uid="{00000000-0005-0000-0000-0000FE030000}"/>
    <cellStyle name="60% - Énfasis3 15" xfId="1174" xr:uid="{00000000-0005-0000-0000-0000FF030000}"/>
    <cellStyle name="60% - Énfasis3 16" xfId="1175" xr:uid="{00000000-0005-0000-0000-000000040000}"/>
    <cellStyle name="60% - Énfasis3 17" xfId="1176" xr:uid="{00000000-0005-0000-0000-000001040000}"/>
    <cellStyle name="60% - Énfasis3 18" xfId="1177" xr:uid="{00000000-0005-0000-0000-000002040000}"/>
    <cellStyle name="60% - Énfasis3 19" xfId="1178" xr:uid="{00000000-0005-0000-0000-000003040000}"/>
    <cellStyle name="60% - Énfasis3 2" xfId="90" xr:uid="{00000000-0005-0000-0000-000004040000}"/>
    <cellStyle name="60% - Énfasis3 2 2" xfId="1179" xr:uid="{00000000-0005-0000-0000-000005040000}"/>
    <cellStyle name="60% - Énfasis3 2 3" xfId="1180" xr:uid="{00000000-0005-0000-0000-000006040000}"/>
    <cellStyle name="60% - Énfasis3 2 4" xfId="1181" xr:uid="{00000000-0005-0000-0000-000007040000}"/>
    <cellStyle name="60% - Énfasis3 2 5" xfId="1182" xr:uid="{00000000-0005-0000-0000-000008040000}"/>
    <cellStyle name="60% - Énfasis3 20" xfId="1183" xr:uid="{00000000-0005-0000-0000-000009040000}"/>
    <cellStyle name="60% - Énfasis3 21" xfId="1184" xr:uid="{00000000-0005-0000-0000-00000A040000}"/>
    <cellStyle name="60% - Énfasis3 22" xfId="1185" xr:uid="{00000000-0005-0000-0000-00000B040000}"/>
    <cellStyle name="60% - Énfasis3 23" xfId="1186" xr:uid="{00000000-0005-0000-0000-00000C040000}"/>
    <cellStyle name="60% - Énfasis3 24" xfId="1187" xr:uid="{00000000-0005-0000-0000-00000D040000}"/>
    <cellStyle name="60% - Énfasis3 25" xfId="1188" xr:uid="{00000000-0005-0000-0000-00000E040000}"/>
    <cellStyle name="60% - Énfasis3 26" xfId="1189" xr:uid="{00000000-0005-0000-0000-00000F040000}"/>
    <cellStyle name="60% - Énfasis3 27" xfId="1190" xr:uid="{00000000-0005-0000-0000-000010040000}"/>
    <cellStyle name="60% - Énfasis3 28" xfId="1191" xr:uid="{00000000-0005-0000-0000-000011040000}"/>
    <cellStyle name="60% - Énfasis3 29" xfId="1192" xr:uid="{00000000-0005-0000-0000-000012040000}"/>
    <cellStyle name="60% - Énfasis3 3" xfId="1193" xr:uid="{00000000-0005-0000-0000-000013040000}"/>
    <cellStyle name="60% - Énfasis3 30" xfId="1194" xr:uid="{00000000-0005-0000-0000-000014040000}"/>
    <cellStyle name="60% - Énfasis3 31" xfId="1195" xr:uid="{00000000-0005-0000-0000-000015040000}"/>
    <cellStyle name="60% - Énfasis3 32" xfId="1196" xr:uid="{00000000-0005-0000-0000-000016040000}"/>
    <cellStyle name="60% - Énfasis3 33" xfId="1197" xr:uid="{00000000-0005-0000-0000-000017040000}"/>
    <cellStyle name="60% - Énfasis3 34" xfId="1198" xr:uid="{00000000-0005-0000-0000-000018040000}"/>
    <cellStyle name="60% - Énfasis3 35" xfId="1199" xr:uid="{00000000-0005-0000-0000-000019040000}"/>
    <cellStyle name="60% - Énfasis3 36" xfId="1200" xr:uid="{00000000-0005-0000-0000-00001A040000}"/>
    <cellStyle name="60% - Énfasis3 37" xfId="1201" xr:uid="{00000000-0005-0000-0000-00001B040000}"/>
    <cellStyle name="60% - Énfasis3 38" xfId="1202" xr:uid="{00000000-0005-0000-0000-00001C040000}"/>
    <cellStyle name="60% - Énfasis3 39" xfId="1203" xr:uid="{00000000-0005-0000-0000-00001D040000}"/>
    <cellStyle name="60% - Énfasis3 4" xfId="1204" xr:uid="{00000000-0005-0000-0000-00001E040000}"/>
    <cellStyle name="60% - Énfasis3 40" xfId="1205" xr:uid="{00000000-0005-0000-0000-00001F040000}"/>
    <cellStyle name="60% - Énfasis3 41" xfId="1206" xr:uid="{00000000-0005-0000-0000-000020040000}"/>
    <cellStyle name="60% - Énfasis3 42" xfId="1207" xr:uid="{00000000-0005-0000-0000-000021040000}"/>
    <cellStyle name="60% - Énfasis3 43" xfId="1208" xr:uid="{00000000-0005-0000-0000-000022040000}"/>
    <cellStyle name="60% - Énfasis3 44" xfId="1209" xr:uid="{00000000-0005-0000-0000-000023040000}"/>
    <cellStyle name="60% - Énfasis3 45" xfId="1210" xr:uid="{00000000-0005-0000-0000-000024040000}"/>
    <cellStyle name="60% - Énfasis3 46" xfId="1211" xr:uid="{00000000-0005-0000-0000-000025040000}"/>
    <cellStyle name="60% - Énfasis3 47" xfId="1212" xr:uid="{00000000-0005-0000-0000-000026040000}"/>
    <cellStyle name="60% - Énfasis3 48" xfId="1213" xr:uid="{00000000-0005-0000-0000-000027040000}"/>
    <cellStyle name="60% - Énfasis3 49" xfId="1214" xr:uid="{00000000-0005-0000-0000-000028040000}"/>
    <cellStyle name="60% - Énfasis3 5" xfId="1215" xr:uid="{00000000-0005-0000-0000-000029040000}"/>
    <cellStyle name="60% - Énfasis3 50" xfId="1216" xr:uid="{00000000-0005-0000-0000-00002A040000}"/>
    <cellStyle name="60% - Énfasis3 51" xfId="1217" xr:uid="{00000000-0005-0000-0000-00002B040000}"/>
    <cellStyle name="60% - Énfasis3 52" xfId="1218" xr:uid="{00000000-0005-0000-0000-00002C040000}"/>
    <cellStyle name="60% - Énfasis3 53" xfId="1219" xr:uid="{00000000-0005-0000-0000-00002D040000}"/>
    <cellStyle name="60% - Énfasis3 54" xfId="1220" xr:uid="{00000000-0005-0000-0000-00002E040000}"/>
    <cellStyle name="60% - Énfasis3 55" xfId="1221" xr:uid="{00000000-0005-0000-0000-00002F040000}"/>
    <cellStyle name="60% - Énfasis3 56" xfId="1222" xr:uid="{00000000-0005-0000-0000-000030040000}"/>
    <cellStyle name="60% - Énfasis3 57" xfId="1223" xr:uid="{00000000-0005-0000-0000-000031040000}"/>
    <cellStyle name="60% - Énfasis3 58" xfId="1224" xr:uid="{00000000-0005-0000-0000-000032040000}"/>
    <cellStyle name="60% - Énfasis3 59" xfId="1225" xr:uid="{00000000-0005-0000-0000-000033040000}"/>
    <cellStyle name="60% - Énfasis3 6" xfId="1226" xr:uid="{00000000-0005-0000-0000-000034040000}"/>
    <cellStyle name="60% - Énfasis3 60" xfId="1227" xr:uid="{00000000-0005-0000-0000-000035040000}"/>
    <cellStyle name="60% - Énfasis3 61" xfId="1228" xr:uid="{00000000-0005-0000-0000-000036040000}"/>
    <cellStyle name="60% - Énfasis3 62" xfId="1229" xr:uid="{00000000-0005-0000-0000-000037040000}"/>
    <cellStyle name="60% - Énfasis3 63" xfId="1230" xr:uid="{00000000-0005-0000-0000-000038040000}"/>
    <cellStyle name="60% - Énfasis3 64" xfId="1231" xr:uid="{00000000-0005-0000-0000-000039040000}"/>
    <cellStyle name="60% - Énfasis3 65" xfId="1232" xr:uid="{00000000-0005-0000-0000-00003A040000}"/>
    <cellStyle name="60% - Énfasis3 66" xfId="1233" xr:uid="{00000000-0005-0000-0000-00003B040000}"/>
    <cellStyle name="60% - Énfasis3 67" xfId="1234" xr:uid="{00000000-0005-0000-0000-00003C040000}"/>
    <cellStyle name="60% - Énfasis3 7" xfId="1235" xr:uid="{00000000-0005-0000-0000-00003D040000}"/>
    <cellStyle name="60% - Énfasis3 8" xfId="1236" xr:uid="{00000000-0005-0000-0000-00003E040000}"/>
    <cellStyle name="60% - Énfasis3 9" xfId="1237" xr:uid="{00000000-0005-0000-0000-00003F040000}"/>
    <cellStyle name="60% - Énfasis4 10" xfId="1238" xr:uid="{00000000-0005-0000-0000-000040040000}"/>
    <cellStyle name="60% - Énfasis4 11" xfId="1239" xr:uid="{00000000-0005-0000-0000-000041040000}"/>
    <cellStyle name="60% - Énfasis4 12" xfId="1240" xr:uid="{00000000-0005-0000-0000-000042040000}"/>
    <cellStyle name="60% - Énfasis4 13" xfId="1241" xr:uid="{00000000-0005-0000-0000-000043040000}"/>
    <cellStyle name="60% - Énfasis4 14" xfId="1242" xr:uid="{00000000-0005-0000-0000-000044040000}"/>
    <cellStyle name="60% - Énfasis4 15" xfId="1243" xr:uid="{00000000-0005-0000-0000-000045040000}"/>
    <cellStyle name="60% - Énfasis4 16" xfId="1244" xr:uid="{00000000-0005-0000-0000-000046040000}"/>
    <cellStyle name="60% - Énfasis4 17" xfId="1245" xr:uid="{00000000-0005-0000-0000-000047040000}"/>
    <cellStyle name="60% - Énfasis4 18" xfId="1246" xr:uid="{00000000-0005-0000-0000-000048040000}"/>
    <cellStyle name="60% - Énfasis4 19" xfId="1247" xr:uid="{00000000-0005-0000-0000-000049040000}"/>
    <cellStyle name="60% - Énfasis4 2" xfId="91" xr:uid="{00000000-0005-0000-0000-00004A040000}"/>
    <cellStyle name="60% - Énfasis4 2 2" xfId="1248" xr:uid="{00000000-0005-0000-0000-00004B040000}"/>
    <cellStyle name="60% - Énfasis4 2 3" xfId="1249" xr:uid="{00000000-0005-0000-0000-00004C040000}"/>
    <cellStyle name="60% - Énfasis4 2 4" xfId="1250" xr:uid="{00000000-0005-0000-0000-00004D040000}"/>
    <cellStyle name="60% - Énfasis4 2 5" xfId="1251" xr:uid="{00000000-0005-0000-0000-00004E040000}"/>
    <cellStyle name="60% - Énfasis4 20" xfId="1252" xr:uid="{00000000-0005-0000-0000-00004F040000}"/>
    <cellStyle name="60% - Énfasis4 21" xfId="1253" xr:uid="{00000000-0005-0000-0000-000050040000}"/>
    <cellStyle name="60% - Énfasis4 22" xfId="1254" xr:uid="{00000000-0005-0000-0000-000051040000}"/>
    <cellStyle name="60% - Énfasis4 23" xfId="1255" xr:uid="{00000000-0005-0000-0000-000052040000}"/>
    <cellStyle name="60% - Énfasis4 24" xfId="1256" xr:uid="{00000000-0005-0000-0000-000053040000}"/>
    <cellStyle name="60% - Énfasis4 25" xfId="1257" xr:uid="{00000000-0005-0000-0000-000054040000}"/>
    <cellStyle name="60% - Énfasis4 26" xfId="1258" xr:uid="{00000000-0005-0000-0000-000055040000}"/>
    <cellStyle name="60% - Énfasis4 27" xfId="1259" xr:uid="{00000000-0005-0000-0000-000056040000}"/>
    <cellStyle name="60% - Énfasis4 28" xfId="1260" xr:uid="{00000000-0005-0000-0000-000057040000}"/>
    <cellStyle name="60% - Énfasis4 29" xfId="1261" xr:uid="{00000000-0005-0000-0000-000058040000}"/>
    <cellStyle name="60% - Énfasis4 3" xfId="1262" xr:uid="{00000000-0005-0000-0000-000059040000}"/>
    <cellStyle name="60% - Énfasis4 30" xfId="1263" xr:uid="{00000000-0005-0000-0000-00005A040000}"/>
    <cellStyle name="60% - Énfasis4 31" xfId="1264" xr:uid="{00000000-0005-0000-0000-00005B040000}"/>
    <cellStyle name="60% - Énfasis4 32" xfId="1265" xr:uid="{00000000-0005-0000-0000-00005C040000}"/>
    <cellStyle name="60% - Énfasis4 33" xfId="1266" xr:uid="{00000000-0005-0000-0000-00005D040000}"/>
    <cellStyle name="60% - Énfasis4 34" xfId="1267" xr:uid="{00000000-0005-0000-0000-00005E040000}"/>
    <cellStyle name="60% - Énfasis4 35" xfId="1268" xr:uid="{00000000-0005-0000-0000-00005F040000}"/>
    <cellStyle name="60% - Énfasis4 36" xfId="1269" xr:uid="{00000000-0005-0000-0000-000060040000}"/>
    <cellStyle name="60% - Énfasis4 37" xfId="1270" xr:uid="{00000000-0005-0000-0000-000061040000}"/>
    <cellStyle name="60% - Énfasis4 38" xfId="1271" xr:uid="{00000000-0005-0000-0000-000062040000}"/>
    <cellStyle name="60% - Énfasis4 39" xfId="1272" xr:uid="{00000000-0005-0000-0000-000063040000}"/>
    <cellStyle name="60% - Énfasis4 4" xfId="1273" xr:uid="{00000000-0005-0000-0000-000064040000}"/>
    <cellStyle name="60% - Énfasis4 40" xfId="1274" xr:uid="{00000000-0005-0000-0000-000065040000}"/>
    <cellStyle name="60% - Énfasis4 41" xfId="1275" xr:uid="{00000000-0005-0000-0000-000066040000}"/>
    <cellStyle name="60% - Énfasis4 42" xfId="1276" xr:uid="{00000000-0005-0000-0000-000067040000}"/>
    <cellStyle name="60% - Énfasis4 43" xfId="1277" xr:uid="{00000000-0005-0000-0000-000068040000}"/>
    <cellStyle name="60% - Énfasis4 44" xfId="1278" xr:uid="{00000000-0005-0000-0000-000069040000}"/>
    <cellStyle name="60% - Énfasis4 45" xfId="1279" xr:uid="{00000000-0005-0000-0000-00006A040000}"/>
    <cellStyle name="60% - Énfasis4 46" xfId="1280" xr:uid="{00000000-0005-0000-0000-00006B040000}"/>
    <cellStyle name="60% - Énfasis4 47" xfId="1281" xr:uid="{00000000-0005-0000-0000-00006C040000}"/>
    <cellStyle name="60% - Énfasis4 48" xfId="1282" xr:uid="{00000000-0005-0000-0000-00006D040000}"/>
    <cellStyle name="60% - Énfasis4 49" xfId="1283" xr:uid="{00000000-0005-0000-0000-00006E040000}"/>
    <cellStyle name="60% - Énfasis4 5" xfId="1284" xr:uid="{00000000-0005-0000-0000-00006F040000}"/>
    <cellStyle name="60% - Énfasis4 50" xfId="1285" xr:uid="{00000000-0005-0000-0000-000070040000}"/>
    <cellStyle name="60% - Énfasis4 51" xfId="1286" xr:uid="{00000000-0005-0000-0000-000071040000}"/>
    <cellStyle name="60% - Énfasis4 52" xfId="1287" xr:uid="{00000000-0005-0000-0000-000072040000}"/>
    <cellStyle name="60% - Énfasis4 53" xfId="1288" xr:uid="{00000000-0005-0000-0000-000073040000}"/>
    <cellStyle name="60% - Énfasis4 54" xfId="1289" xr:uid="{00000000-0005-0000-0000-000074040000}"/>
    <cellStyle name="60% - Énfasis4 55" xfId="1290" xr:uid="{00000000-0005-0000-0000-000075040000}"/>
    <cellStyle name="60% - Énfasis4 56" xfId="1291" xr:uid="{00000000-0005-0000-0000-000076040000}"/>
    <cellStyle name="60% - Énfasis4 57" xfId="1292" xr:uid="{00000000-0005-0000-0000-000077040000}"/>
    <cellStyle name="60% - Énfasis4 58" xfId="1293" xr:uid="{00000000-0005-0000-0000-000078040000}"/>
    <cellStyle name="60% - Énfasis4 59" xfId="1294" xr:uid="{00000000-0005-0000-0000-000079040000}"/>
    <cellStyle name="60% - Énfasis4 6" xfId="1295" xr:uid="{00000000-0005-0000-0000-00007A040000}"/>
    <cellStyle name="60% - Énfasis4 60" xfId="1296" xr:uid="{00000000-0005-0000-0000-00007B040000}"/>
    <cellStyle name="60% - Énfasis4 61" xfId="1297" xr:uid="{00000000-0005-0000-0000-00007C040000}"/>
    <cellStyle name="60% - Énfasis4 62" xfId="1298" xr:uid="{00000000-0005-0000-0000-00007D040000}"/>
    <cellStyle name="60% - Énfasis4 63" xfId="1299" xr:uid="{00000000-0005-0000-0000-00007E040000}"/>
    <cellStyle name="60% - Énfasis4 64" xfId="1300" xr:uid="{00000000-0005-0000-0000-00007F040000}"/>
    <cellStyle name="60% - Énfasis4 65" xfId="1301" xr:uid="{00000000-0005-0000-0000-000080040000}"/>
    <cellStyle name="60% - Énfasis4 66" xfId="1302" xr:uid="{00000000-0005-0000-0000-000081040000}"/>
    <cellStyle name="60% - Énfasis4 67" xfId="1303" xr:uid="{00000000-0005-0000-0000-000082040000}"/>
    <cellStyle name="60% - Énfasis4 7" xfId="1304" xr:uid="{00000000-0005-0000-0000-000083040000}"/>
    <cellStyle name="60% - Énfasis4 8" xfId="1305" xr:uid="{00000000-0005-0000-0000-000084040000}"/>
    <cellStyle name="60% - Énfasis4 9" xfId="1306" xr:uid="{00000000-0005-0000-0000-000085040000}"/>
    <cellStyle name="60% - Énfasis5 10" xfId="1307" xr:uid="{00000000-0005-0000-0000-000086040000}"/>
    <cellStyle name="60% - Énfasis5 11" xfId="1308" xr:uid="{00000000-0005-0000-0000-000087040000}"/>
    <cellStyle name="60% - Énfasis5 12" xfId="1309" xr:uid="{00000000-0005-0000-0000-000088040000}"/>
    <cellStyle name="60% - Énfasis5 13" xfId="1310" xr:uid="{00000000-0005-0000-0000-000089040000}"/>
    <cellStyle name="60% - Énfasis5 14" xfId="1311" xr:uid="{00000000-0005-0000-0000-00008A040000}"/>
    <cellStyle name="60% - Énfasis5 15" xfId="1312" xr:uid="{00000000-0005-0000-0000-00008B040000}"/>
    <cellStyle name="60% - Énfasis5 16" xfId="1313" xr:uid="{00000000-0005-0000-0000-00008C040000}"/>
    <cellStyle name="60% - Énfasis5 17" xfId="1314" xr:uid="{00000000-0005-0000-0000-00008D040000}"/>
    <cellStyle name="60% - Énfasis5 18" xfId="1315" xr:uid="{00000000-0005-0000-0000-00008E040000}"/>
    <cellStyle name="60% - Énfasis5 19" xfId="1316" xr:uid="{00000000-0005-0000-0000-00008F040000}"/>
    <cellStyle name="60% - Énfasis5 2" xfId="92" xr:uid="{00000000-0005-0000-0000-000090040000}"/>
    <cellStyle name="60% - Énfasis5 2 2" xfId="1317" xr:uid="{00000000-0005-0000-0000-000091040000}"/>
    <cellStyle name="60% - Énfasis5 2 3" xfId="1318" xr:uid="{00000000-0005-0000-0000-000092040000}"/>
    <cellStyle name="60% - Énfasis5 2 4" xfId="1319" xr:uid="{00000000-0005-0000-0000-000093040000}"/>
    <cellStyle name="60% - Énfasis5 2 5" xfId="1320" xr:uid="{00000000-0005-0000-0000-000094040000}"/>
    <cellStyle name="60% - Énfasis5 20" xfId="1321" xr:uid="{00000000-0005-0000-0000-000095040000}"/>
    <cellStyle name="60% - Énfasis5 21" xfId="1322" xr:uid="{00000000-0005-0000-0000-000096040000}"/>
    <cellStyle name="60% - Énfasis5 22" xfId="1323" xr:uid="{00000000-0005-0000-0000-000097040000}"/>
    <cellStyle name="60% - Énfasis5 23" xfId="1324" xr:uid="{00000000-0005-0000-0000-000098040000}"/>
    <cellStyle name="60% - Énfasis5 24" xfId="1325" xr:uid="{00000000-0005-0000-0000-000099040000}"/>
    <cellStyle name="60% - Énfasis5 25" xfId="1326" xr:uid="{00000000-0005-0000-0000-00009A040000}"/>
    <cellStyle name="60% - Énfasis5 26" xfId="1327" xr:uid="{00000000-0005-0000-0000-00009B040000}"/>
    <cellStyle name="60% - Énfasis5 27" xfId="1328" xr:uid="{00000000-0005-0000-0000-00009C040000}"/>
    <cellStyle name="60% - Énfasis5 28" xfId="1329" xr:uid="{00000000-0005-0000-0000-00009D040000}"/>
    <cellStyle name="60% - Énfasis5 29" xfId="1330" xr:uid="{00000000-0005-0000-0000-00009E040000}"/>
    <cellStyle name="60% - Énfasis5 3" xfId="1331" xr:uid="{00000000-0005-0000-0000-00009F040000}"/>
    <cellStyle name="60% - Énfasis5 30" xfId="1332" xr:uid="{00000000-0005-0000-0000-0000A0040000}"/>
    <cellStyle name="60% - Énfasis5 31" xfId="1333" xr:uid="{00000000-0005-0000-0000-0000A1040000}"/>
    <cellStyle name="60% - Énfasis5 32" xfId="1334" xr:uid="{00000000-0005-0000-0000-0000A2040000}"/>
    <cellStyle name="60% - Énfasis5 33" xfId="1335" xr:uid="{00000000-0005-0000-0000-0000A3040000}"/>
    <cellStyle name="60% - Énfasis5 34" xfId="1336" xr:uid="{00000000-0005-0000-0000-0000A4040000}"/>
    <cellStyle name="60% - Énfasis5 35" xfId="1337" xr:uid="{00000000-0005-0000-0000-0000A5040000}"/>
    <cellStyle name="60% - Énfasis5 36" xfId="1338" xr:uid="{00000000-0005-0000-0000-0000A6040000}"/>
    <cellStyle name="60% - Énfasis5 37" xfId="1339" xr:uid="{00000000-0005-0000-0000-0000A7040000}"/>
    <cellStyle name="60% - Énfasis5 38" xfId="1340" xr:uid="{00000000-0005-0000-0000-0000A8040000}"/>
    <cellStyle name="60% - Énfasis5 39" xfId="1341" xr:uid="{00000000-0005-0000-0000-0000A9040000}"/>
    <cellStyle name="60% - Énfasis5 4" xfId="1342" xr:uid="{00000000-0005-0000-0000-0000AA040000}"/>
    <cellStyle name="60% - Énfasis5 40" xfId="1343" xr:uid="{00000000-0005-0000-0000-0000AB040000}"/>
    <cellStyle name="60% - Énfasis5 41" xfId="1344" xr:uid="{00000000-0005-0000-0000-0000AC040000}"/>
    <cellStyle name="60% - Énfasis5 42" xfId="1345" xr:uid="{00000000-0005-0000-0000-0000AD040000}"/>
    <cellStyle name="60% - Énfasis5 43" xfId="1346" xr:uid="{00000000-0005-0000-0000-0000AE040000}"/>
    <cellStyle name="60% - Énfasis5 44" xfId="1347" xr:uid="{00000000-0005-0000-0000-0000AF040000}"/>
    <cellStyle name="60% - Énfasis5 45" xfId="1348" xr:uid="{00000000-0005-0000-0000-0000B0040000}"/>
    <cellStyle name="60% - Énfasis5 46" xfId="1349" xr:uid="{00000000-0005-0000-0000-0000B1040000}"/>
    <cellStyle name="60% - Énfasis5 47" xfId="1350" xr:uid="{00000000-0005-0000-0000-0000B2040000}"/>
    <cellStyle name="60% - Énfasis5 48" xfId="1351" xr:uid="{00000000-0005-0000-0000-0000B3040000}"/>
    <cellStyle name="60% - Énfasis5 49" xfId="1352" xr:uid="{00000000-0005-0000-0000-0000B4040000}"/>
    <cellStyle name="60% - Énfasis5 5" xfId="1353" xr:uid="{00000000-0005-0000-0000-0000B5040000}"/>
    <cellStyle name="60% - Énfasis5 50" xfId="1354" xr:uid="{00000000-0005-0000-0000-0000B6040000}"/>
    <cellStyle name="60% - Énfasis5 51" xfId="1355" xr:uid="{00000000-0005-0000-0000-0000B7040000}"/>
    <cellStyle name="60% - Énfasis5 52" xfId="1356" xr:uid="{00000000-0005-0000-0000-0000B8040000}"/>
    <cellStyle name="60% - Énfasis5 53" xfId="1357" xr:uid="{00000000-0005-0000-0000-0000B9040000}"/>
    <cellStyle name="60% - Énfasis5 54" xfId="1358" xr:uid="{00000000-0005-0000-0000-0000BA040000}"/>
    <cellStyle name="60% - Énfasis5 55" xfId="1359" xr:uid="{00000000-0005-0000-0000-0000BB040000}"/>
    <cellStyle name="60% - Énfasis5 56" xfId="1360" xr:uid="{00000000-0005-0000-0000-0000BC040000}"/>
    <cellStyle name="60% - Énfasis5 57" xfId="1361" xr:uid="{00000000-0005-0000-0000-0000BD040000}"/>
    <cellStyle name="60% - Énfasis5 58" xfId="1362" xr:uid="{00000000-0005-0000-0000-0000BE040000}"/>
    <cellStyle name="60% - Énfasis5 59" xfId="1363" xr:uid="{00000000-0005-0000-0000-0000BF040000}"/>
    <cellStyle name="60% - Énfasis5 6" xfId="1364" xr:uid="{00000000-0005-0000-0000-0000C0040000}"/>
    <cellStyle name="60% - Énfasis5 60" xfId="1365" xr:uid="{00000000-0005-0000-0000-0000C1040000}"/>
    <cellStyle name="60% - Énfasis5 61" xfId="1366" xr:uid="{00000000-0005-0000-0000-0000C2040000}"/>
    <cellStyle name="60% - Énfasis5 62" xfId="1367" xr:uid="{00000000-0005-0000-0000-0000C3040000}"/>
    <cellStyle name="60% - Énfasis5 63" xfId="1368" xr:uid="{00000000-0005-0000-0000-0000C4040000}"/>
    <cellStyle name="60% - Énfasis5 64" xfId="1369" xr:uid="{00000000-0005-0000-0000-0000C5040000}"/>
    <cellStyle name="60% - Énfasis5 65" xfId="1370" xr:uid="{00000000-0005-0000-0000-0000C6040000}"/>
    <cellStyle name="60% - Énfasis5 66" xfId="1371" xr:uid="{00000000-0005-0000-0000-0000C7040000}"/>
    <cellStyle name="60% - Énfasis5 67" xfId="1372" xr:uid="{00000000-0005-0000-0000-0000C8040000}"/>
    <cellStyle name="60% - Énfasis5 7" xfId="1373" xr:uid="{00000000-0005-0000-0000-0000C9040000}"/>
    <cellStyle name="60% - Énfasis5 8" xfId="1374" xr:uid="{00000000-0005-0000-0000-0000CA040000}"/>
    <cellStyle name="60% - Énfasis5 9" xfId="1375" xr:uid="{00000000-0005-0000-0000-0000CB040000}"/>
    <cellStyle name="60% - Énfasis6 10" xfId="1376" xr:uid="{00000000-0005-0000-0000-0000CC040000}"/>
    <cellStyle name="60% - Énfasis6 11" xfId="1377" xr:uid="{00000000-0005-0000-0000-0000CD040000}"/>
    <cellStyle name="60% - Énfasis6 12" xfId="1378" xr:uid="{00000000-0005-0000-0000-0000CE040000}"/>
    <cellStyle name="60% - Énfasis6 13" xfId="1379" xr:uid="{00000000-0005-0000-0000-0000CF040000}"/>
    <cellStyle name="60% - Énfasis6 14" xfId="1380" xr:uid="{00000000-0005-0000-0000-0000D0040000}"/>
    <cellStyle name="60% - Énfasis6 15" xfId="1381" xr:uid="{00000000-0005-0000-0000-0000D1040000}"/>
    <cellStyle name="60% - Énfasis6 16" xfId="1382" xr:uid="{00000000-0005-0000-0000-0000D2040000}"/>
    <cellStyle name="60% - Énfasis6 17" xfId="1383" xr:uid="{00000000-0005-0000-0000-0000D3040000}"/>
    <cellStyle name="60% - Énfasis6 18" xfId="1384" xr:uid="{00000000-0005-0000-0000-0000D4040000}"/>
    <cellStyle name="60% - Énfasis6 19" xfId="1385" xr:uid="{00000000-0005-0000-0000-0000D5040000}"/>
    <cellStyle name="60% - Énfasis6 2" xfId="93" xr:uid="{00000000-0005-0000-0000-0000D6040000}"/>
    <cellStyle name="60% - Énfasis6 2 2" xfId="1386" xr:uid="{00000000-0005-0000-0000-0000D7040000}"/>
    <cellStyle name="60% - Énfasis6 2 3" xfId="1387" xr:uid="{00000000-0005-0000-0000-0000D8040000}"/>
    <cellStyle name="60% - Énfasis6 2 4" xfId="1388" xr:uid="{00000000-0005-0000-0000-0000D9040000}"/>
    <cellStyle name="60% - Énfasis6 2 5" xfId="1389" xr:uid="{00000000-0005-0000-0000-0000DA040000}"/>
    <cellStyle name="60% - Énfasis6 20" xfId="1390" xr:uid="{00000000-0005-0000-0000-0000DB040000}"/>
    <cellStyle name="60% - Énfasis6 21" xfId="1391" xr:uid="{00000000-0005-0000-0000-0000DC040000}"/>
    <cellStyle name="60% - Énfasis6 22" xfId="1392" xr:uid="{00000000-0005-0000-0000-0000DD040000}"/>
    <cellStyle name="60% - Énfasis6 23" xfId="1393" xr:uid="{00000000-0005-0000-0000-0000DE040000}"/>
    <cellStyle name="60% - Énfasis6 24" xfId="1394" xr:uid="{00000000-0005-0000-0000-0000DF040000}"/>
    <cellStyle name="60% - Énfasis6 25" xfId="1395" xr:uid="{00000000-0005-0000-0000-0000E0040000}"/>
    <cellStyle name="60% - Énfasis6 26" xfId="1396" xr:uid="{00000000-0005-0000-0000-0000E1040000}"/>
    <cellStyle name="60% - Énfasis6 27" xfId="1397" xr:uid="{00000000-0005-0000-0000-0000E2040000}"/>
    <cellStyle name="60% - Énfasis6 28" xfId="1398" xr:uid="{00000000-0005-0000-0000-0000E3040000}"/>
    <cellStyle name="60% - Énfasis6 29" xfId="1399" xr:uid="{00000000-0005-0000-0000-0000E4040000}"/>
    <cellStyle name="60% - Énfasis6 3" xfId="1400" xr:uid="{00000000-0005-0000-0000-0000E5040000}"/>
    <cellStyle name="60% - Énfasis6 30" xfId="1401" xr:uid="{00000000-0005-0000-0000-0000E6040000}"/>
    <cellStyle name="60% - Énfasis6 31" xfId="1402" xr:uid="{00000000-0005-0000-0000-0000E7040000}"/>
    <cellStyle name="60% - Énfasis6 32" xfId="1403" xr:uid="{00000000-0005-0000-0000-0000E8040000}"/>
    <cellStyle name="60% - Énfasis6 33" xfId="1404" xr:uid="{00000000-0005-0000-0000-0000E9040000}"/>
    <cellStyle name="60% - Énfasis6 34" xfId="1405" xr:uid="{00000000-0005-0000-0000-0000EA040000}"/>
    <cellStyle name="60% - Énfasis6 35" xfId="1406" xr:uid="{00000000-0005-0000-0000-0000EB040000}"/>
    <cellStyle name="60% - Énfasis6 36" xfId="1407" xr:uid="{00000000-0005-0000-0000-0000EC040000}"/>
    <cellStyle name="60% - Énfasis6 37" xfId="1408" xr:uid="{00000000-0005-0000-0000-0000ED040000}"/>
    <cellStyle name="60% - Énfasis6 38" xfId="1409" xr:uid="{00000000-0005-0000-0000-0000EE040000}"/>
    <cellStyle name="60% - Énfasis6 39" xfId="1410" xr:uid="{00000000-0005-0000-0000-0000EF040000}"/>
    <cellStyle name="60% - Énfasis6 4" xfId="1411" xr:uid="{00000000-0005-0000-0000-0000F0040000}"/>
    <cellStyle name="60% - Énfasis6 40" xfId="1412" xr:uid="{00000000-0005-0000-0000-0000F1040000}"/>
    <cellStyle name="60% - Énfasis6 41" xfId="1413" xr:uid="{00000000-0005-0000-0000-0000F2040000}"/>
    <cellStyle name="60% - Énfasis6 42" xfId="1414" xr:uid="{00000000-0005-0000-0000-0000F3040000}"/>
    <cellStyle name="60% - Énfasis6 43" xfId="1415" xr:uid="{00000000-0005-0000-0000-0000F4040000}"/>
    <cellStyle name="60% - Énfasis6 44" xfId="1416" xr:uid="{00000000-0005-0000-0000-0000F5040000}"/>
    <cellStyle name="60% - Énfasis6 45" xfId="1417" xr:uid="{00000000-0005-0000-0000-0000F6040000}"/>
    <cellStyle name="60% - Énfasis6 46" xfId="1418" xr:uid="{00000000-0005-0000-0000-0000F7040000}"/>
    <cellStyle name="60% - Énfasis6 47" xfId="1419" xr:uid="{00000000-0005-0000-0000-0000F8040000}"/>
    <cellStyle name="60% - Énfasis6 48" xfId="1420" xr:uid="{00000000-0005-0000-0000-0000F9040000}"/>
    <cellStyle name="60% - Énfasis6 49" xfId="1421" xr:uid="{00000000-0005-0000-0000-0000FA040000}"/>
    <cellStyle name="60% - Énfasis6 5" xfId="1422" xr:uid="{00000000-0005-0000-0000-0000FB040000}"/>
    <cellStyle name="60% - Énfasis6 50" xfId="1423" xr:uid="{00000000-0005-0000-0000-0000FC040000}"/>
    <cellStyle name="60% - Énfasis6 51" xfId="1424" xr:uid="{00000000-0005-0000-0000-0000FD040000}"/>
    <cellStyle name="60% - Énfasis6 52" xfId="1425" xr:uid="{00000000-0005-0000-0000-0000FE040000}"/>
    <cellStyle name="60% - Énfasis6 53" xfId="1426" xr:uid="{00000000-0005-0000-0000-0000FF040000}"/>
    <cellStyle name="60% - Énfasis6 54" xfId="1427" xr:uid="{00000000-0005-0000-0000-000000050000}"/>
    <cellStyle name="60% - Énfasis6 55" xfId="1428" xr:uid="{00000000-0005-0000-0000-000001050000}"/>
    <cellStyle name="60% - Énfasis6 56" xfId="1429" xr:uid="{00000000-0005-0000-0000-000002050000}"/>
    <cellStyle name="60% - Énfasis6 57" xfId="1430" xr:uid="{00000000-0005-0000-0000-000003050000}"/>
    <cellStyle name="60% - Énfasis6 58" xfId="1431" xr:uid="{00000000-0005-0000-0000-000004050000}"/>
    <cellStyle name="60% - Énfasis6 59" xfId="1432" xr:uid="{00000000-0005-0000-0000-000005050000}"/>
    <cellStyle name="60% - Énfasis6 6" xfId="1433" xr:uid="{00000000-0005-0000-0000-000006050000}"/>
    <cellStyle name="60% - Énfasis6 60" xfId="1434" xr:uid="{00000000-0005-0000-0000-000007050000}"/>
    <cellStyle name="60% - Énfasis6 61" xfId="1435" xr:uid="{00000000-0005-0000-0000-000008050000}"/>
    <cellStyle name="60% - Énfasis6 62" xfId="1436" xr:uid="{00000000-0005-0000-0000-000009050000}"/>
    <cellStyle name="60% - Énfasis6 63" xfId="1437" xr:uid="{00000000-0005-0000-0000-00000A050000}"/>
    <cellStyle name="60% - Énfasis6 64" xfId="1438" xr:uid="{00000000-0005-0000-0000-00000B050000}"/>
    <cellStyle name="60% - Énfasis6 65" xfId="1439" xr:uid="{00000000-0005-0000-0000-00000C050000}"/>
    <cellStyle name="60% - Énfasis6 66" xfId="1440" xr:uid="{00000000-0005-0000-0000-00000D050000}"/>
    <cellStyle name="60% - Énfasis6 67" xfId="1441" xr:uid="{00000000-0005-0000-0000-00000E050000}"/>
    <cellStyle name="60% - Énfasis6 7" xfId="1442" xr:uid="{00000000-0005-0000-0000-00000F050000}"/>
    <cellStyle name="60% - Énfasis6 8" xfId="1443" xr:uid="{00000000-0005-0000-0000-000010050000}"/>
    <cellStyle name="60% - Énfasis6 9" xfId="1444" xr:uid="{00000000-0005-0000-0000-000011050000}"/>
    <cellStyle name="A3 297 x 420 mm" xfId="1445" xr:uid="{00000000-0005-0000-0000-000012050000}"/>
    <cellStyle name="Accent1" xfId="7334" xr:uid="{00000000-0005-0000-0000-000013050000}"/>
    <cellStyle name="Accent2" xfId="7335" xr:uid="{00000000-0005-0000-0000-000014050000}"/>
    <cellStyle name="Accent3" xfId="7336" xr:uid="{00000000-0005-0000-0000-000015050000}"/>
    <cellStyle name="Accent4" xfId="7337" xr:uid="{00000000-0005-0000-0000-000016050000}"/>
    <cellStyle name="Accent5" xfId="7338" xr:uid="{00000000-0005-0000-0000-000017050000}"/>
    <cellStyle name="Accent6" xfId="7339" xr:uid="{00000000-0005-0000-0000-000018050000}"/>
    <cellStyle name="Bad" xfId="7340" xr:uid="{00000000-0005-0000-0000-000019050000}"/>
    <cellStyle name="Buena 10" xfId="1446" xr:uid="{00000000-0005-0000-0000-00001A050000}"/>
    <cellStyle name="Buena 11" xfId="1447" xr:uid="{00000000-0005-0000-0000-00001B050000}"/>
    <cellStyle name="Buena 12" xfId="1448" xr:uid="{00000000-0005-0000-0000-00001C050000}"/>
    <cellStyle name="Buena 13" xfId="1449" xr:uid="{00000000-0005-0000-0000-00001D050000}"/>
    <cellStyle name="Buena 14" xfId="1450" xr:uid="{00000000-0005-0000-0000-00001E050000}"/>
    <cellStyle name="Buena 15" xfId="1451" xr:uid="{00000000-0005-0000-0000-00001F050000}"/>
    <cellStyle name="Buena 16" xfId="1452" xr:uid="{00000000-0005-0000-0000-000020050000}"/>
    <cellStyle name="Buena 17" xfId="1453" xr:uid="{00000000-0005-0000-0000-000021050000}"/>
    <cellStyle name="Buena 18" xfId="1454" xr:uid="{00000000-0005-0000-0000-000022050000}"/>
    <cellStyle name="Buena 19" xfId="1455" xr:uid="{00000000-0005-0000-0000-000023050000}"/>
    <cellStyle name="Buena 2" xfId="94" xr:uid="{00000000-0005-0000-0000-000024050000}"/>
    <cellStyle name="Buena 2 2" xfId="1456" xr:uid="{00000000-0005-0000-0000-000025050000}"/>
    <cellStyle name="Buena 2 3" xfId="1457" xr:uid="{00000000-0005-0000-0000-000026050000}"/>
    <cellStyle name="Buena 2 4" xfId="1458" xr:uid="{00000000-0005-0000-0000-000027050000}"/>
    <cellStyle name="Buena 2 5" xfId="1459" xr:uid="{00000000-0005-0000-0000-000028050000}"/>
    <cellStyle name="Buena 20" xfId="1460" xr:uid="{00000000-0005-0000-0000-000029050000}"/>
    <cellStyle name="Buena 21" xfId="1461" xr:uid="{00000000-0005-0000-0000-00002A050000}"/>
    <cellStyle name="Buena 22" xfId="1462" xr:uid="{00000000-0005-0000-0000-00002B050000}"/>
    <cellStyle name="Buena 23" xfId="1463" xr:uid="{00000000-0005-0000-0000-00002C050000}"/>
    <cellStyle name="Buena 24" xfId="1464" xr:uid="{00000000-0005-0000-0000-00002D050000}"/>
    <cellStyle name="Buena 25" xfId="1465" xr:uid="{00000000-0005-0000-0000-00002E050000}"/>
    <cellStyle name="Buena 26" xfId="1466" xr:uid="{00000000-0005-0000-0000-00002F050000}"/>
    <cellStyle name="Buena 27" xfId="1467" xr:uid="{00000000-0005-0000-0000-000030050000}"/>
    <cellStyle name="Buena 28" xfId="1468" xr:uid="{00000000-0005-0000-0000-000031050000}"/>
    <cellStyle name="Buena 29" xfId="1469" xr:uid="{00000000-0005-0000-0000-000032050000}"/>
    <cellStyle name="Buena 3" xfId="1470" xr:uid="{00000000-0005-0000-0000-000033050000}"/>
    <cellStyle name="Buena 30" xfId="1471" xr:uid="{00000000-0005-0000-0000-000034050000}"/>
    <cellStyle name="Buena 31" xfId="1472" xr:uid="{00000000-0005-0000-0000-000035050000}"/>
    <cellStyle name="Buena 32" xfId="1473" xr:uid="{00000000-0005-0000-0000-000036050000}"/>
    <cellStyle name="Buena 33" xfId="1474" xr:uid="{00000000-0005-0000-0000-000037050000}"/>
    <cellStyle name="Buena 34" xfId="1475" xr:uid="{00000000-0005-0000-0000-000038050000}"/>
    <cellStyle name="Buena 35" xfId="1476" xr:uid="{00000000-0005-0000-0000-000039050000}"/>
    <cellStyle name="Buena 36" xfId="1477" xr:uid="{00000000-0005-0000-0000-00003A050000}"/>
    <cellStyle name="Buena 37" xfId="1478" xr:uid="{00000000-0005-0000-0000-00003B050000}"/>
    <cellStyle name="Buena 38" xfId="1479" xr:uid="{00000000-0005-0000-0000-00003C050000}"/>
    <cellStyle name="Buena 39" xfId="1480" xr:uid="{00000000-0005-0000-0000-00003D050000}"/>
    <cellStyle name="Buena 4" xfId="1481" xr:uid="{00000000-0005-0000-0000-00003E050000}"/>
    <cellStyle name="Buena 40" xfId="1482" xr:uid="{00000000-0005-0000-0000-00003F050000}"/>
    <cellStyle name="Buena 41" xfId="1483" xr:uid="{00000000-0005-0000-0000-000040050000}"/>
    <cellStyle name="Buena 42" xfId="1484" xr:uid="{00000000-0005-0000-0000-000041050000}"/>
    <cellStyle name="Buena 43" xfId="1485" xr:uid="{00000000-0005-0000-0000-000042050000}"/>
    <cellStyle name="Buena 44" xfId="1486" xr:uid="{00000000-0005-0000-0000-000043050000}"/>
    <cellStyle name="Buena 45" xfId="1487" xr:uid="{00000000-0005-0000-0000-000044050000}"/>
    <cellStyle name="Buena 46" xfId="1488" xr:uid="{00000000-0005-0000-0000-000045050000}"/>
    <cellStyle name="Buena 47" xfId="1489" xr:uid="{00000000-0005-0000-0000-000046050000}"/>
    <cellStyle name="Buena 48" xfId="1490" xr:uid="{00000000-0005-0000-0000-000047050000}"/>
    <cellStyle name="Buena 49" xfId="1491" xr:uid="{00000000-0005-0000-0000-000048050000}"/>
    <cellStyle name="Buena 5" xfId="1492" xr:uid="{00000000-0005-0000-0000-000049050000}"/>
    <cellStyle name="Buena 50" xfId="1493" xr:uid="{00000000-0005-0000-0000-00004A050000}"/>
    <cellStyle name="Buena 51" xfId="1494" xr:uid="{00000000-0005-0000-0000-00004B050000}"/>
    <cellStyle name="Buena 52" xfId="1495" xr:uid="{00000000-0005-0000-0000-00004C050000}"/>
    <cellStyle name="Buena 53" xfId="1496" xr:uid="{00000000-0005-0000-0000-00004D050000}"/>
    <cellStyle name="Buena 54" xfId="1497" xr:uid="{00000000-0005-0000-0000-00004E050000}"/>
    <cellStyle name="Buena 55" xfId="1498" xr:uid="{00000000-0005-0000-0000-00004F050000}"/>
    <cellStyle name="Buena 56" xfId="1499" xr:uid="{00000000-0005-0000-0000-000050050000}"/>
    <cellStyle name="Buena 57" xfId="1500" xr:uid="{00000000-0005-0000-0000-000051050000}"/>
    <cellStyle name="Buena 58" xfId="1501" xr:uid="{00000000-0005-0000-0000-000052050000}"/>
    <cellStyle name="Buena 59" xfId="1502" xr:uid="{00000000-0005-0000-0000-000053050000}"/>
    <cellStyle name="Buena 6" xfId="1503" xr:uid="{00000000-0005-0000-0000-000054050000}"/>
    <cellStyle name="Buena 60" xfId="1504" xr:uid="{00000000-0005-0000-0000-000055050000}"/>
    <cellStyle name="Buena 61" xfId="1505" xr:uid="{00000000-0005-0000-0000-000056050000}"/>
    <cellStyle name="Buena 62" xfId="1506" xr:uid="{00000000-0005-0000-0000-000057050000}"/>
    <cellStyle name="Buena 63" xfId="1507" xr:uid="{00000000-0005-0000-0000-000058050000}"/>
    <cellStyle name="Buena 64" xfId="1508" xr:uid="{00000000-0005-0000-0000-000059050000}"/>
    <cellStyle name="Buena 65" xfId="1509" xr:uid="{00000000-0005-0000-0000-00005A050000}"/>
    <cellStyle name="Buena 66" xfId="1510" xr:uid="{00000000-0005-0000-0000-00005B050000}"/>
    <cellStyle name="Buena 67" xfId="1511" xr:uid="{00000000-0005-0000-0000-00005C050000}"/>
    <cellStyle name="Buena 7" xfId="1512" xr:uid="{00000000-0005-0000-0000-00005D050000}"/>
    <cellStyle name="Buena 8" xfId="1513" xr:uid="{00000000-0005-0000-0000-00005E050000}"/>
    <cellStyle name="Buena 9" xfId="1514" xr:uid="{00000000-0005-0000-0000-00005F050000}"/>
    <cellStyle name="Calculation" xfId="7341" xr:uid="{00000000-0005-0000-0000-000060050000}"/>
    <cellStyle name="Cálculo 10" xfId="1515" xr:uid="{00000000-0005-0000-0000-000061050000}"/>
    <cellStyle name="Cálculo 11" xfId="1516" xr:uid="{00000000-0005-0000-0000-000062050000}"/>
    <cellStyle name="Cálculo 12" xfId="1517" xr:uid="{00000000-0005-0000-0000-000063050000}"/>
    <cellStyle name="Cálculo 13" xfId="1518" xr:uid="{00000000-0005-0000-0000-000064050000}"/>
    <cellStyle name="Cálculo 14" xfId="1519" xr:uid="{00000000-0005-0000-0000-000065050000}"/>
    <cellStyle name="Cálculo 15" xfId="1520" xr:uid="{00000000-0005-0000-0000-000066050000}"/>
    <cellStyle name="Cálculo 16" xfId="1521" xr:uid="{00000000-0005-0000-0000-000067050000}"/>
    <cellStyle name="Cálculo 17" xfId="1522" xr:uid="{00000000-0005-0000-0000-000068050000}"/>
    <cellStyle name="Cálculo 18" xfId="1523" xr:uid="{00000000-0005-0000-0000-000069050000}"/>
    <cellStyle name="Cálculo 19" xfId="1524" xr:uid="{00000000-0005-0000-0000-00006A050000}"/>
    <cellStyle name="Cálculo 2" xfId="95" xr:uid="{00000000-0005-0000-0000-00006B050000}"/>
    <cellStyle name="Cálculo 2 2" xfId="1525" xr:uid="{00000000-0005-0000-0000-00006C050000}"/>
    <cellStyle name="Cálculo 2 3" xfId="1526" xr:uid="{00000000-0005-0000-0000-00006D050000}"/>
    <cellStyle name="Cálculo 2 4" xfId="1527" xr:uid="{00000000-0005-0000-0000-00006E050000}"/>
    <cellStyle name="Cálculo 2 5" xfId="1528" xr:uid="{00000000-0005-0000-0000-00006F050000}"/>
    <cellStyle name="Cálculo 20" xfId="1529" xr:uid="{00000000-0005-0000-0000-000070050000}"/>
    <cellStyle name="Cálculo 21" xfId="1530" xr:uid="{00000000-0005-0000-0000-000071050000}"/>
    <cellStyle name="Cálculo 22" xfId="1531" xr:uid="{00000000-0005-0000-0000-000072050000}"/>
    <cellStyle name="Cálculo 23" xfId="1532" xr:uid="{00000000-0005-0000-0000-000073050000}"/>
    <cellStyle name="Cálculo 24" xfId="1533" xr:uid="{00000000-0005-0000-0000-000074050000}"/>
    <cellStyle name="Cálculo 25" xfId="1534" xr:uid="{00000000-0005-0000-0000-000075050000}"/>
    <cellStyle name="Cálculo 26" xfId="1535" xr:uid="{00000000-0005-0000-0000-000076050000}"/>
    <cellStyle name="Cálculo 27" xfId="1536" xr:uid="{00000000-0005-0000-0000-000077050000}"/>
    <cellStyle name="Cálculo 28" xfId="1537" xr:uid="{00000000-0005-0000-0000-000078050000}"/>
    <cellStyle name="Cálculo 29" xfId="1538" xr:uid="{00000000-0005-0000-0000-000079050000}"/>
    <cellStyle name="Cálculo 3" xfId="1539" xr:uid="{00000000-0005-0000-0000-00007A050000}"/>
    <cellStyle name="Cálculo 30" xfId="1540" xr:uid="{00000000-0005-0000-0000-00007B050000}"/>
    <cellStyle name="Cálculo 31" xfId="1541" xr:uid="{00000000-0005-0000-0000-00007C050000}"/>
    <cellStyle name="Cálculo 32" xfId="1542" xr:uid="{00000000-0005-0000-0000-00007D050000}"/>
    <cellStyle name="Cálculo 33" xfId="1543" xr:uid="{00000000-0005-0000-0000-00007E050000}"/>
    <cellStyle name="Cálculo 34" xfId="1544" xr:uid="{00000000-0005-0000-0000-00007F050000}"/>
    <cellStyle name="Cálculo 35" xfId="1545" xr:uid="{00000000-0005-0000-0000-000080050000}"/>
    <cellStyle name="Cálculo 36" xfId="1546" xr:uid="{00000000-0005-0000-0000-000081050000}"/>
    <cellStyle name="Cálculo 37" xfId="1547" xr:uid="{00000000-0005-0000-0000-000082050000}"/>
    <cellStyle name="Cálculo 38" xfId="1548" xr:uid="{00000000-0005-0000-0000-000083050000}"/>
    <cellStyle name="Cálculo 39" xfId="1549" xr:uid="{00000000-0005-0000-0000-000084050000}"/>
    <cellStyle name="Cálculo 4" xfId="1550" xr:uid="{00000000-0005-0000-0000-000085050000}"/>
    <cellStyle name="Cálculo 40" xfId="1551" xr:uid="{00000000-0005-0000-0000-000086050000}"/>
    <cellStyle name="Cálculo 41" xfId="1552" xr:uid="{00000000-0005-0000-0000-000087050000}"/>
    <cellStyle name="Cálculo 42" xfId="1553" xr:uid="{00000000-0005-0000-0000-000088050000}"/>
    <cellStyle name="Cálculo 43" xfId="1554" xr:uid="{00000000-0005-0000-0000-000089050000}"/>
    <cellStyle name="Cálculo 44" xfId="1555" xr:uid="{00000000-0005-0000-0000-00008A050000}"/>
    <cellStyle name="Cálculo 45" xfId="1556" xr:uid="{00000000-0005-0000-0000-00008B050000}"/>
    <cellStyle name="Cálculo 46" xfId="1557" xr:uid="{00000000-0005-0000-0000-00008C050000}"/>
    <cellStyle name="Cálculo 47" xfId="1558" xr:uid="{00000000-0005-0000-0000-00008D050000}"/>
    <cellStyle name="Cálculo 48" xfId="1559" xr:uid="{00000000-0005-0000-0000-00008E050000}"/>
    <cellStyle name="Cálculo 49" xfId="1560" xr:uid="{00000000-0005-0000-0000-00008F050000}"/>
    <cellStyle name="Cálculo 5" xfId="1561" xr:uid="{00000000-0005-0000-0000-000090050000}"/>
    <cellStyle name="Cálculo 50" xfId="1562" xr:uid="{00000000-0005-0000-0000-000091050000}"/>
    <cellStyle name="Cálculo 51" xfId="1563" xr:uid="{00000000-0005-0000-0000-000092050000}"/>
    <cellStyle name="Cálculo 52" xfId="1564" xr:uid="{00000000-0005-0000-0000-000093050000}"/>
    <cellStyle name="Cálculo 53" xfId="1565" xr:uid="{00000000-0005-0000-0000-000094050000}"/>
    <cellStyle name="Cálculo 54" xfId="1566" xr:uid="{00000000-0005-0000-0000-000095050000}"/>
    <cellStyle name="Cálculo 55" xfId="1567" xr:uid="{00000000-0005-0000-0000-000096050000}"/>
    <cellStyle name="Cálculo 56" xfId="1568" xr:uid="{00000000-0005-0000-0000-000097050000}"/>
    <cellStyle name="Cálculo 57" xfId="1569" xr:uid="{00000000-0005-0000-0000-000098050000}"/>
    <cellStyle name="Cálculo 58" xfId="1570" xr:uid="{00000000-0005-0000-0000-000099050000}"/>
    <cellStyle name="Cálculo 59" xfId="1571" xr:uid="{00000000-0005-0000-0000-00009A050000}"/>
    <cellStyle name="Cálculo 6" xfId="1572" xr:uid="{00000000-0005-0000-0000-00009B050000}"/>
    <cellStyle name="Cálculo 60" xfId="1573" xr:uid="{00000000-0005-0000-0000-00009C050000}"/>
    <cellStyle name="Cálculo 61" xfId="1574" xr:uid="{00000000-0005-0000-0000-00009D050000}"/>
    <cellStyle name="Cálculo 62" xfId="1575" xr:uid="{00000000-0005-0000-0000-00009E050000}"/>
    <cellStyle name="Cálculo 63" xfId="1576" xr:uid="{00000000-0005-0000-0000-00009F050000}"/>
    <cellStyle name="Cálculo 64" xfId="1577" xr:uid="{00000000-0005-0000-0000-0000A0050000}"/>
    <cellStyle name="Cálculo 65" xfId="1578" xr:uid="{00000000-0005-0000-0000-0000A1050000}"/>
    <cellStyle name="Cálculo 66" xfId="1579" xr:uid="{00000000-0005-0000-0000-0000A2050000}"/>
    <cellStyle name="Cálculo 67" xfId="1580" xr:uid="{00000000-0005-0000-0000-0000A3050000}"/>
    <cellStyle name="Cálculo 7" xfId="1581" xr:uid="{00000000-0005-0000-0000-0000A4050000}"/>
    <cellStyle name="Cálculo 8" xfId="1582" xr:uid="{00000000-0005-0000-0000-0000A5050000}"/>
    <cellStyle name="Cálculo 9" xfId="1583" xr:uid="{00000000-0005-0000-0000-0000A6050000}"/>
    <cellStyle name="Cancel" xfId="169" xr:uid="{00000000-0005-0000-0000-0000A7050000}"/>
    <cellStyle name="Cancel 2" xfId="1584" xr:uid="{00000000-0005-0000-0000-0000A8050000}"/>
    <cellStyle name="Cancel 2 2" xfId="3424" xr:uid="{00000000-0005-0000-0000-0000A9050000}"/>
    <cellStyle name="Cancel 2_MPCAD MALECON BALTA - IISS ACI - revisado" xfId="3425" xr:uid="{00000000-0005-0000-0000-0000AA050000}"/>
    <cellStyle name="Cancel_COMPARATIVO BALTA" xfId="3426" xr:uid="{00000000-0005-0000-0000-0000AB050000}"/>
    <cellStyle name="Celda de comprobación 10" xfId="1585" xr:uid="{00000000-0005-0000-0000-0000AC050000}"/>
    <cellStyle name="Celda de comprobación 11" xfId="1586" xr:uid="{00000000-0005-0000-0000-0000AD050000}"/>
    <cellStyle name="Celda de comprobación 12" xfId="1587" xr:uid="{00000000-0005-0000-0000-0000AE050000}"/>
    <cellStyle name="Celda de comprobación 13" xfId="1588" xr:uid="{00000000-0005-0000-0000-0000AF050000}"/>
    <cellStyle name="Celda de comprobación 14" xfId="1589" xr:uid="{00000000-0005-0000-0000-0000B0050000}"/>
    <cellStyle name="Celda de comprobación 15" xfId="1590" xr:uid="{00000000-0005-0000-0000-0000B1050000}"/>
    <cellStyle name="Celda de comprobación 16" xfId="1591" xr:uid="{00000000-0005-0000-0000-0000B2050000}"/>
    <cellStyle name="Celda de comprobación 17" xfId="1592" xr:uid="{00000000-0005-0000-0000-0000B3050000}"/>
    <cellStyle name="Celda de comprobación 18" xfId="1593" xr:uid="{00000000-0005-0000-0000-0000B4050000}"/>
    <cellStyle name="Celda de comprobación 19" xfId="1594" xr:uid="{00000000-0005-0000-0000-0000B5050000}"/>
    <cellStyle name="Celda de comprobación 2" xfId="96" xr:uid="{00000000-0005-0000-0000-0000B6050000}"/>
    <cellStyle name="Celda de comprobación 2 2" xfId="1595" xr:uid="{00000000-0005-0000-0000-0000B7050000}"/>
    <cellStyle name="Celda de comprobación 2 3" xfId="1596" xr:uid="{00000000-0005-0000-0000-0000B8050000}"/>
    <cellStyle name="Celda de comprobación 2 4" xfId="1597" xr:uid="{00000000-0005-0000-0000-0000B9050000}"/>
    <cellStyle name="Celda de comprobación 2 5" xfId="1598" xr:uid="{00000000-0005-0000-0000-0000BA050000}"/>
    <cellStyle name="Celda de comprobación 20" xfId="1599" xr:uid="{00000000-0005-0000-0000-0000BB050000}"/>
    <cellStyle name="Celda de comprobación 21" xfId="1600" xr:uid="{00000000-0005-0000-0000-0000BC050000}"/>
    <cellStyle name="Celda de comprobación 22" xfId="1601" xr:uid="{00000000-0005-0000-0000-0000BD050000}"/>
    <cellStyle name="Celda de comprobación 23" xfId="1602" xr:uid="{00000000-0005-0000-0000-0000BE050000}"/>
    <cellStyle name="Celda de comprobación 24" xfId="1603" xr:uid="{00000000-0005-0000-0000-0000BF050000}"/>
    <cellStyle name="Celda de comprobación 25" xfId="1604" xr:uid="{00000000-0005-0000-0000-0000C0050000}"/>
    <cellStyle name="Celda de comprobación 26" xfId="1605" xr:uid="{00000000-0005-0000-0000-0000C1050000}"/>
    <cellStyle name="Celda de comprobación 27" xfId="1606" xr:uid="{00000000-0005-0000-0000-0000C2050000}"/>
    <cellStyle name="Celda de comprobación 28" xfId="1607" xr:uid="{00000000-0005-0000-0000-0000C3050000}"/>
    <cellStyle name="Celda de comprobación 29" xfId="1608" xr:uid="{00000000-0005-0000-0000-0000C4050000}"/>
    <cellStyle name="Celda de comprobación 3" xfId="1609" xr:uid="{00000000-0005-0000-0000-0000C5050000}"/>
    <cellStyle name="Celda de comprobación 30" xfId="1610" xr:uid="{00000000-0005-0000-0000-0000C6050000}"/>
    <cellStyle name="Celda de comprobación 31" xfId="1611" xr:uid="{00000000-0005-0000-0000-0000C7050000}"/>
    <cellStyle name="Celda de comprobación 32" xfId="1612" xr:uid="{00000000-0005-0000-0000-0000C8050000}"/>
    <cellStyle name="Celda de comprobación 33" xfId="1613" xr:uid="{00000000-0005-0000-0000-0000C9050000}"/>
    <cellStyle name="Celda de comprobación 34" xfId="1614" xr:uid="{00000000-0005-0000-0000-0000CA050000}"/>
    <cellStyle name="Celda de comprobación 35" xfId="1615" xr:uid="{00000000-0005-0000-0000-0000CB050000}"/>
    <cellStyle name="Celda de comprobación 36" xfId="1616" xr:uid="{00000000-0005-0000-0000-0000CC050000}"/>
    <cellStyle name="Celda de comprobación 37" xfId="1617" xr:uid="{00000000-0005-0000-0000-0000CD050000}"/>
    <cellStyle name="Celda de comprobación 38" xfId="1618" xr:uid="{00000000-0005-0000-0000-0000CE050000}"/>
    <cellStyle name="Celda de comprobación 39" xfId="1619" xr:uid="{00000000-0005-0000-0000-0000CF050000}"/>
    <cellStyle name="Celda de comprobación 4" xfId="1620" xr:uid="{00000000-0005-0000-0000-0000D0050000}"/>
    <cellStyle name="Celda de comprobación 40" xfId="1621" xr:uid="{00000000-0005-0000-0000-0000D1050000}"/>
    <cellStyle name="Celda de comprobación 41" xfId="1622" xr:uid="{00000000-0005-0000-0000-0000D2050000}"/>
    <cellStyle name="Celda de comprobación 42" xfId="1623" xr:uid="{00000000-0005-0000-0000-0000D3050000}"/>
    <cellStyle name="Celda de comprobación 43" xfId="1624" xr:uid="{00000000-0005-0000-0000-0000D4050000}"/>
    <cellStyle name="Celda de comprobación 44" xfId="1625" xr:uid="{00000000-0005-0000-0000-0000D5050000}"/>
    <cellStyle name="Celda de comprobación 45" xfId="1626" xr:uid="{00000000-0005-0000-0000-0000D6050000}"/>
    <cellStyle name="Celda de comprobación 46" xfId="1627" xr:uid="{00000000-0005-0000-0000-0000D7050000}"/>
    <cellStyle name="Celda de comprobación 47" xfId="1628" xr:uid="{00000000-0005-0000-0000-0000D8050000}"/>
    <cellStyle name="Celda de comprobación 48" xfId="1629" xr:uid="{00000000-0005-0000-0000-0000D9050000}"/>
    <cellStyle name="Celda de comprobación 49" xfId="1630" xr:uid="{00000000-0005-0000-0000-0000DA050000}"/>
    <cellStyle name="Celda de comprobación 5" xfId="1631" xr:uid="{00000000-0005-0000-0000-0000DB050000}"/>
    <cellStyle name="Celda de comprobación 50" xfId="1632" xr:uid="{00000000-0005-0000-0000-0000DC050000}"/>
    <cellStyle name="Celda de comprobación 51" xfId="1633" xr:uid="{00000000-0005-0000-0000-0000DD050000}"/>
    <cellStyle name="Celda de comprobación 52" xfId="1634" xr:uid="{00000000-0005-0000-0000-0000DE050000}"/>
    <cellStyle name="Celda de comprobación 53" xfId="1635" xr:uid="{00000000-0005-0000-0000-0000DF050000}"/>
    <cellStyle name="Celda de comprobación 54" xfId="1636" xr:uid="{00000000-0005-0000-0000-0000E0050000}"/>
    <cellStyle name="Celda de comprobación 55" xfId="1637" xr:uid="{00000000-0005-0000-0000-0000E1050000}"/>
    <cellStyle name="Celda de comprobación 56" xfId="1638" xr:uid="{00000000-0005-0000-0000-0000E2050000}"/>
    <cellStyle name="Celda de comprobación 57" xfId="1639" xr:uid="{00000000-0005-0000-0000-0000E3050000}"/>
    <cellStyle name="Celda de comprobación 58" xfId="1640" xr:uid="{00000000-0005-0000-0000-0000E4050000}"/>
    <cellStyle name="Celda de comprobación 59" xfId="1641" xr:uid="{00000000-0005-0000-0000-0000E5050000}"/>
    <cellStyle name="Celda de comprobación 6" xfId="1642" xr:uid="{00000000-0005-0000-0000-0000E6050000}"/>
    <cellStyle name="Celda de comprobación 60" xfId="1643" xr:uid="{00000000-0005-0000-0000-0000E7050000}"/>
    <cellStyle name="Celda de comprobación 61" xfId="1644" xr:uid="{00000000-0005-0000-0000-0000E8050000}"/>
    <cellStyle name="Celda de comprobación 62" xfId="1645" xr:uid="{00000000-0005-0000-0000-0000E9050000}"/>
    <cellStyle name="Celda de comprobación 63" xfId="1646" xr:uid="{00000000-0005-0000-0000-0000EA050000}"/>
    <cellStyle name="Celda de comprobación 64" xfId="1647" xr:uid="{00000000-0005-0000-0000-0000EB050000}"/>
    <cellStyle name="Celda de comprobación 65" xfId="1648" xr:uid="{00000000-0005-0000-0000-0000EC050000}"/>
    <cellStyle name="Celda de comprobación 66" xfId="1649" xr:uid="{00000000-0005-0000-0000-0000ED050000}"/>
    <cellStyle name="Celda de comprobación 67" xfId="1650" xr:uid="{00000000-0005-0000-0000-0000EE050000}"/>
    <cellStyle name="Celda de comprobación 7" xfId="1651" xr:uid="{00000000-0005-0000-0000-0000EF050000}"/>
    <cellStyle name="Celda de comprobación 8" xfId="1652" xr:uid="{00000000-0005-0000-0000-0000F0050000}"/>
    <cellStyle name="Celda de comprobación 9" xfId="1653" xr:uid="{00000000-0005-0000-0000-0000F1050000}"/>
    <cellStyle name="Celda vinculada 10" xfId="1654" xr:uid="{00000000-0005-0000-0000-0000F2050000}"/>
    <cellStyle name="Celda vinculada 11" xfId="1655" xr:uid="{00000000-0005-0000-0000-0000F3050000}"/>
    <cellStyle name="Celda vinculada 12" xfId="1656" xr:uid="{00000000-0005-0000-0000-0000F4050000}"/>
    <cellStyle name="Celda vinculada 13" xfId="1657" xr:uid="{00000000-0005-0000-0000-0000F5050000}"/>
    <cellStyle name="Celda vinculada 14" xfId="1658" xr:uid="{00000000-0005-0000-0000-0000F6050000}"/>
    <cellStyle name="Celda vinculada 15" xfId="1659" xr:uid="{00000000-0005-0000-0000-0000F7050000}"/>
    <cellStyle name="Celda vinculada 16" xfId="1660" xr:uid="{00000000-0005-0000-0000-0000F8050000}"/>
    <cellStyle name="Celda vinculada 17" xfId="1661" xr:uid="{00000000-0005-0000-0000-0000F9050000}"/>
    <cellStyle name="Celda vinculada 18" xfId="1662" xr:uid="{00000000-0005-0000-0000-0000FA050000}"/>
    <cellStyle name="Celda vinculada 19" xfId="1663" xr:uid="{00000000-0005-0000-0000-0000FB050000}"/>
    <cellStyle name="Celda vinculada 2" xfId="97" xr:uid="{00000000-0005-0000-0000-0000FC050000}"/>
    <cellStyle name="Celda vinculada 2 2" xfId="1664" xr:uid="{00000000-0005-0000-0000-0000FD050000}"/>
    <cellStyle name="Celda vinculada 2 3" xfId="1665" xr:uid="{00000000-0005-0000-0000-0000FE050000}"/>
    <cellStyle name="Celda vinculada 2 4" xfId="1666" xr:uid="{00000000-0005-0000-0000-0000FF050000}"/>
    <cellStyle name="Celda vinculada 2 5" xfId="1667" xr:uid="{00000000-0005-0000-0000-000000060000}"/>
    <cellStyle name="Celda vinculada 20" xfId="1668" xr:uid="{00000000-0005-0000-0000-000001060000}"/>
    <cellStyle name="Celda vinculada 21" xfId="1669" xr:uid="{00000000-0005-0000-0000-000002060000}"/>
    <cellStyle name="Celda vinculada 22" xfId="1670" xr:uid="{00000000-0005-0000-0000-000003060000}"/>
    <cellStyle name="Celda vinculada 23" xfId="1671" xr:uid="{00000000-0005-0000-0000-000004060000}"/>
    <cellStyle name="Celda vinculada 24" xfId="1672" xr:uid="{00000000-0005-0000-0000-000005060000}"/>
    <cellStyle name="Celda vinculada 25" xfId="1673" xr:uid="{00000000-0005-0000-0000-000006060000}"/>
    <cellStyle name="Celda vinculada 26" xfId="1674" xr:uid="{00000000-0005-0000-0000-000007060000}"/>
    <cellStyle name="Celda vinculada 27" xfId="1675" xr:uid="{00000000-0005-0000-0000-000008060000}"/>
    <cellStyle name="Celda vinculada 28" xfId="1676" xr:uid="{00000000-0005-0000-0000-000009060000}"/>
    <cellStyle name="Celda vinculada 29" xfId="1677" xr:uid="{00000000-0005-0000-0000-00000A060000}"/>
    <cellStyle name="Celda vinculada 3" xfId="1678" xr:uid="{00000000-0005-0000-0000-00000B060000}"/>
    <cellStyle name="Celda vinculada 30" xfId="1679" xr:uid="{00000000-0005-0000-0000-00000C060000}"/>
    <cellStyle name="Celda vinculada 31" xfId="1680" xr:uid="{00000000-0005-0000-0000-00000D060000}"/>
    <cellStyle name="Celda vinculada 32" xfId="1681" xr:uid="{00000000-0005-0000-0000-00000E060000}"/>
    <cellStyle name="Celda vinculada 33" xfId="1682" xr:uid="{00000000-0005-0000-0000-00000F060000}"/>
    <cellStyle name="Celda vinculada 34" xfId="1683" xr:uid="{00000000-0005-0000-0000-000010060000}"/>
    <cellStyle name="Celda vinculada 35" xfId="1684" xr:uid="{00000000-0005-0000-0000-000011060000}"/>
    <cellStyle name="Celda vinculada 36" xfId="1685" xr:uid="{00000000-0005-0000-0000-000012060000}"/>
    <cellStyle name="Celda vinculada 37" xfId="1686" xr:uid="{00000000-0005-0000-0000-000013060000}"/>
    <cellStyle name="Celda vinculada 38" xfId="1687" xr:uid="{00000000-0005-0000-0000-000014060000}"/>
    <cellStyle name="Celda vinculada 39" xfId="1688" xr:uid="{00000000-0005-0000-0000-000015060000}"/>
    <cellStyle name="Celda vinculada 4" xfId="1689" xr:uid="{00000000-0005-0000-0000-000016060000}"/>
    <cellStyle name="Celda vinculada 40" xfId="1690" xr:uid="{00000000-0005-0000-0000-000017060000}"/>
    <cellStyle name="Celda vinculada 41" xfId="1691" xr:uid="{00000000-0005-0000-0000-000018060000}"/>
    <cellStyle name="Celda vinculada 42" xfId="1692" xr:uid="{00000000-0005-0000-0000-000019060000}"/>
    <cellStyle name="Celda vinculada 43" xfId="1693" xr:uid="{00000000-0005-0000-0000-00001A060000}"/>
    <cellStyle name="Celda vinculada 44" xfId="1694" xr:uid="{00000000-0005-0000-0000-00001B060000}"/>
    <cellStyle name="Celda vinculada 45" xfId="1695" xr:uid="{00000000-0005-0000-0000-00001C060000}"/>
    <cellStyle name="Celda vinculada 46" xfId="1696" xr:uid="{00000000-0005-0000-0000-00001D060000}"/>
    <cellStyle name="Celda vinculada 47" xfId="1697" xr:uid="{00000000-0005-0000-0000-00001E060000}"/>
    <cellStyle name="Celda vinculada 48" xfId="1698" xr:uid="{00000000-0005-0000-0000-00001F060000}"/>
    <cellStyle name="Celda vinculada 49" xfId="1699" xr:uid="{00000000-0005-0000-0000-000020060000}"/>
    <cellStyle name="Celda vinculada 5" xfId="1700" xr:uid="{00000000-0005-0000-0000-000021060000}"/>
    <cellStyle name="Celda vinculada 50" xfId="1701" xr:uid="{00000000-0005-0000-0000-000022060000}"/>
    <cellStyle name="Celda vinculada 51" xfId="1702" xr:uid="{00000000-0005-0000-0000-000023060000}"/>
    <cellStyle name="Celda vinculada 52" xfId="1703" xr:uid="{00000000-0005-0000-0000-000024060000}"/>
    <cellStyle name="Celda vinculada 53" xfId="1704" xr:uid="{00000000-0005-0000-0000-000025060000}"/>
    <cellStyle name="Celda vinculada 54" xfId="1705" xr:uid="{00000000-0005-0000-0000-000026060000}"/>
    <cellStyle name="Celda vinculada 55" xfId="1706" xr:uid="{00000000-0005-0000-0000-000027060000}"/>
    <cellStyle name="Celda vinculada 56" xfId="1707" xr:uid="{00000000-0005-0000-0000-000028060000}"/>
    <cellStyle name="Celda vinculada 57" xfId="1708" xr:uid="{00000000-0005-0000-0000-000029060000}"/>
    <cellStyle name="Celda vinculada 58" xfId="1709" xr:uid="{00000000-0005-0000-0000-00002A060000}"/>
    <cellStyle name="Celda vinculada 59" xfId="1710" xr:uid="{00000000-0005-0000-0000-00002B060000}"/>
    <cellStyle name="Celda vinculada 6" xfId="1711" xr:uid="{00000000-0005-0000-0000-00002C060000}"/>
    <cellStyle name="Celda vinculada 60" xfId="1712" xr:uid="{00000000-0005-0000-0000-00002D060000}"/>
    <cellStyle name="Celda vinculada 61" xfId="1713" xr:uid="{00000000-0005-0000-0000-00002E060000}"/>
    <cellStyle name="Celda vinculada 62" xfId="1714" xr:uid="{00000000-0005-0000-0000-00002F060000}"/>
    <cellStyle name="Celda vinculada 63" xfId="1715" xr:uid="{00000000-0005-0000-0000-000030060000}"/>
    <cellStyle name="Celda vinculada 64" xfId="1716" xr:uid="{00000000-0005-0000-0000-000031060000}"/>
    <cellStyle name="Celda vinculada 65" xfId="1717" xr:uid="{00000000-0005-0000-0000-000032060000}"/>
    <cellStyle name="Celda vinculada 66" xfId="1718" xr:uid="{00000000-0005-0000-0000-000033060000}"/>
    <cellStyle name="Celda vinculada 67" xfId="1719" xr:uid="{00000000-0005-0000-0000-000034060000}"/>
    <cellStyle name="Celda vinculada 7" xfId="1720" xr:uid="{00000000-0005-0000-0000-000035060000}"/>
    <cellStyle name="Celda vinculada 8" xfId="1721" xr:uid="{00000000-0005-0000-0000-000036060000}"/>
    <cellStyle name="Celda vinculada 9" xfId="1722" xr:uid="{00000000-0005-0000-0000-000037060000}"/>
    <cellStyle name="Check Cell" xfId="7342" xr:uid="{00000000-0005-0000-0000-000038060000}"/>
    <cellStyle name="Comma" xfId="1" xr:uid="{00000000-0005-0000-0000-000039060000}"/>
    <cellStyle name="Comma [0] 2" xfId="170" xr:uid="{00000000-0005-0000-0000-00003A060000}"/>
    <cellStyle name="Comma [0] 3" xfId="171" xr:uid="{00000000-0005-0000-0000-00003B060000}"/>
    <cellStyle name="Comma 10" xfId="3427" xr:uid="{00000000-0005-0000-0000-00003D060000}"/>
    <cellStyle name="Comma 11" xfId="3428" xr:uid="{00000000-0005-0000-0000-00003E060000}"/>
    <cellStyle name="Comma 12" xfId="3429" xr:uid="{00000000-0005-0000-0000-00003F060000}"/>
    <cellStyle name="Comma 13" xfId="3430" xr:uid="{00000000-0005-0000-0000-000040060000}"/>
    <cellStyle name="Comma 14" xfId="3431" xr:uid="{00000000-0005-0000-0000-000041060000}"/>
    <cellStyle name="Comma 15" xfId="3432" xr:uid="{00000000-0005-0000-0000-000042060000}"/>
    <cellStyle name="Comma 16" xfId="3433" xr:uid="{00000000-0005-0000-0000-000043060000}"/>
    <cellStyle name="Comma 17" xfId="3434" xr:uid="{00000000-0005-0000-0000-000044060000}"/>
    <cellStyle name="Comma 18" xfId="3435" xr:uid="{00000000-0005-0000-0000-000045060000}"/>
    <cellStyle name="Comma 19" xfId="3436" xr:uid="{00000000-0005-0000-0000-000046060000}"/>
    <cellStyle name="Comma 2" xfId="98" xr:uid="{00000000-0005-0000-0000-000047060000}"/>
    <cellStyle name="Comma 2 2" xfId="3437" xr:uid="{00000000-0005-0000-0000-000048060000}"/>
    <cellStyle name="Comma 20" xfId="3438" xr:uid="{00000000-0005-0000-0000-000049060000}"/>
    <cellStyle name="Comma 21" xfId="3439" xr:uid="{00000000-0005-0000-0000-00004A060000}"/>
    <cellStyle name="Comma 22" xfId="3440" xr:uid="{00000000-0005-0000-0000-00004B060000}"/>
    <cellStyle name="Comma 23" xfId="3441" xr:uid="{00000000-0005-0000-0000-00004C060000}"/>
    <cellStyle name="Comma 24" xfId="3442" xr:uid="{00000000-0005-0000-0000-00004D060000}"/>
    <cellStyle name="Comma 25" xfId="3443" xr:uid="{00000000-0005-0000-0000-00004E060000}"/>
    <cellStyle name="Comma 26" xfId="3444" xr:uid="{00000000-0005-0000-0000-00004F060000}"/>
    <cellStyle name="Comma 27" xfId="3445" xr:uid="{00000000-0005-0000-0000-000050060000}"/>
    <cellStyle name="Comma 28" xfId="3446" xr:uid="{00000000-0005-0000-0000-000051060000}"/>
    <cellStyle name="Comma 29" xfId="3447" xr:uid="{00000000-0005-0000-0000-000052060000}"/>
    <cellStyle name="Comma 3" xfId="172" xr:uid="{00000000-0005-0000-0000-000053060000}"/>
    <cellStyle name="Comma 30" xfId="3448" xr:uid="{00000000-0005-0000-0000-000054060000}"/>
    <cellStyle name="Comma 31" xfId="3449" xr:uid="{00000000-0005-0000-0000-000055060000}"/>
    <cellStyle name="Comma 32" xfId="3450" xr:uid="{00000000-0005-0000-0000-000056060000}"/>
    <cellStyle name="Comma 33" xfId="3451" xr:uid="{00000000-0005-0000-0000-000057060000}"/>
    <cellStyle name="Comma 34" xfId="3452" xr:uid="{00000000-0005-0000-0000-000058060000}"/>
    <cellStyle name="Comma 35" xfId="3453" xr:uid="{00000000-0005-0000-0000-000059060000}"/>
    <cellStyle name="Comma 36" xfId="3454" xr:uid="{00000000-0005-0000-0000-00005A060000}"/>
    <cellStyle name="Comma 37" xfId="3455" xr:uid="{00000000-0005-0000-0000-00005B060000}"/>
    <cellStyle name="Comma 38" xfId="3456" xr:uid="{00000000-0005-0000-0000-00005C060000}"/>
    <cellStyle name="Comma 39" xfId="3457" xr:uid="{00000000-0005-0000-0000-00005D060000}"/>
    <cellStyle name="Comma 4" xfId="173" xr:uid="{00000000-0005-0000-0000-00005E060000}"/>
    <cellStyle name="Comma 40" xfId="3458" xr:uid="{00000000-0005-0000-0000-00005F060000}"/>
    <cellStyle name="Comma 41" xfId="3459" xr:uid="{00000000-0005-0000-0000-000060060000}"/>
    <cellStyle name="Comma 42" xfId="3460" xr:uid="{00000000-0005-0000-0000-000061060000}"/>
    <cellStyle name="Comma 43" xfId="3461" xr:uid="{00000000-0005-0000-0000-000062060000}"/>
    <cellStyle name="Comma 44" xfId="3462" xr:uid="{00000000-0005-0000-0000-000063060000}"/>
    <cellStyle name="Comma 45" xfId="3463" xr:uid="{00000000-0005-0000-0000-000064060000}"/>
    <cellStyle name="Comma 46" xfId="3464" xr:uid="{00000000-0005-0000-0000-000065060000}"/>
    <cellStyle name="Comma 47" xfId="3465" xr:uid="{00000000-0005-0000-0000-000066060000}"/>
    <cellStyle name="Comma 48" xfId="3466" xr:uid="{00000000-0005-0000-0000-000067060000}"/>
    <cellStyle name="Comma 49" xfId="3467" xr:uid="{00000000-0005-0000-0000-000068060000}"/>
    <cellStyle name="Comma 5" xfId="3468" xr:uid="{00000000-0005-0000-0000-000069060000}"/>
    <cellStyle name="Comma 50" xfId="3469" xr:uid="{00000000-0005-0000-0000-00006A060000}"/>
    <cellStyle name="Comma 51" xfId="3470" xr:uid="{00000000-0005-0000-0000-00006B060000}"/>
    <cellStyle name="Comma 52" xfId="3471" xr:uid="{00000000-0005-0000-0000-00006C060000}"/>
    <cellStyle name="Comma 53" xfId="3472" xr:uid="{00000000-0005-0000-0000-00006D060000}"/>
    <cellStyle name="Comma 54" xfId="3473" xr:uid="{00000000-0005-0000-0000-00006E060000}"/>
    <cellStyle name="Comma 55" xfId="3474" xr:uid="{00000000-0005-0000-0000-00006F060000}"/>
    <cellStyle name="Comma 56" xfId="3475" xr:uid="{00000000-0005-0000-0000-000070060000}"/>
    <cellStyle name="Comma 57" xfId="3476" xr:uid="{00000000-0005-0000-0000-000071060000}"/>
    <cellStyle name="Comma 58" xfId="3477" xr:uid="{00000000-0005-0000-0000-000072060000}"/>
    <cellStyle name="Comma 59" xfId="3478" xr:uid="{00000000-0005-0000-0000-000073060000}"/>
    <cellStyle name="Comma 6" xfId="3479" xr:uid="{00000000-0005-0000-0000-000074060000}"/>
    <cellStyle name="Comma 60" xfId="3480" xr:uid="{00000000-0005-0000-0000-000075060000}"/>
    <cellStyle name="Comma 61" xfId="3481" xr:uid="{00000000-0005-0000-0000-000076060000}"/>
    <cellStyle name="Comma 62" xfId="3482" xr:uid="{00000000-0005-0000-0000-000077060000}"/>
    <cellStyle name="Comma 63" xfId="3483" xr:uid="{00000000-0005-0000-0000-000078060000}"/>
    <cellStyle name="Comma 64" xfId="3484" xr:uid="{00000000-0005-0000-0000-000079060000}"/>
    <cellStyle name="Comma 65" xfId="3485" xr:uid="{00000000-0005-0000-0000-00007A060000}"/>
    <cellStyle name="Comma 66" xfId="3486" xr:uid="{00000000-0005-0000-0000-00007B060000}"/>
    <cellStyle name="Comma 67" xfId="3487" xr:uid="{00000000-0005-0000-0000-00007C060000}"/>
    <cellStyle name="Comma 68" xfId="3488" xr:uid="{00000000-0005-0000-0000-00007D060000}"/>
    <cellStyle name="Comma 69" xfId="3489" xr:uid="{00000000-0005-0000-0000-00007E060000}"/>
    <cellStyle name="Comma 7" xfId="3490" xr:uid="{00000000-0005-0000-0000-00007F060000}"/>
    <cellStyle name="Comma 70" xfId="3491" xr:uid="{00000000-0005-0000-0000-000080060000}"/>
    <cellStyle name="Comma 71" xfId="3492" xr:uid="{00000000-0005-0000-0000-000081060000}"/>
    <cellStyle name="Comma 72" xfId="3493" xr:uid="{00000000-0005-0000-0000-000082060000}"/>
    <cellStyle name="Comma 73" xfId="3494" xr:uid="{00000000-0005-0000-0000-000083060000}"/>
    <cellStyle name="Comma 74" xfId="3495" xr:uid="{00000000-0005-0000-0000-000084060000}"/>
    <cellStyle name="Comma 75" xfId="3496" xr:uid="{00000000-0005-0000-0000-000085060000}"/>
    <cellStyle name="Comma 76" xfId="3497" xr:uid="{00000000-0005-0000-0000-000086060000}"/>
    <cellStyle name="Comma 77" xfId="3498" xr:uid="{00000000-0005-0000-0000-000087060000}"/>
    <cellStyle name="Comma 8" xfId="3499" xr:uid="{00000000-0005-0000-0000-000088060000}"/>
    <cellStyle name="Comma 9" xfId="3500" xr:uid="{00000000-0005-0000-0000-000089060000}"/>
    <cellStyle name="Comma0" xfId="99" xr:uid="{00000000-0005-0000-0000-00008B060000}"/>
    <cellStyle name="Comma0 - Modelo1" xfId="58343" xr:uid="{00000000-0005-0000-0000-00008C060000}"/>
    <cellStyle name="Comma0 - Style1" xfId="3501" xr:uid="{00000000-0005-0000-0000-00008D060000}"/>
    <cellStyle name="Comma0 - Style2" xfId="3502" xr:uid="{00000000-0005-0000-0000-00008E060000}"/>
    <cellStyle name="Comma0 10" xfId="3503" xr:uid="{00000000-0005-0000-0000-00008F060000}"/>
    <cellStyle name="Comma0 11" xfId="3504" xr:uid="{00000000-0005-0000-0000-000090060000}"/>
    <cellStyle name="Comma0 12" xfId="3505" xr:uid="{00000000-0005-0000-0000-000091060000}"/>
    <cellStyle name="Comma0 13" xfId="3506" xr:uid="{00000000-0005-0000-0000-000092060000}"/>
    <cellStyle name="Comma0 14" xfId="3507" xr:uid="{00000000-0005-0000-0000-000093060000}"/>
    <cellStyle name="Comma0 15" xfId="3508" xr:uid="{00000000-0005-0000-0000-000094060000}"/>
    <cellStyle name="Comma0 16" xfId="3509" xr:uid="{00000000-0005-0000-0000-000095060000}"/>
    <cellStyle name="Comma0 17" xfId="3510" xr:uid="{00000000-0005-0000-0000-000096060000}"/>
    <cellStyle name="Comma0 18" xfId="3511" xr:uid="{00000000-0005-0000-0000-000097060000}"/>
    <cellStyle name="Comma0 19" xfId="3512" xr:uid="{00000000-0005-0000-0000-000098060000}"/>
    <cellStyle name="Comma0 2" xfId="100" xr:uid="{00000000-0005-0000-0000-000099060000}"/>
    <cellStyle name="Comma0 20" xfId="3513" xr:uid="{00000000-0005-0000-0000-00009A060000}"/>
    <cellStyle name="Comma0 21" xfId="3514" xr:uid="{00000000-0005-0000-0000-00009B060000}"/>
    <cellStyle name="Comma0 22" xfId="3515" xr:uid="{00000000-0005-0000-0000-00009C060000}"/>
    <cellStyle name="Comma0 23" xfId="3516" xr:uid="{00000000-0005-0000-0000-00009D060000}"/>
    <cellStyle name="Comma0 24" xfId="3517" xr:uid="{00000000-0005-0000-0000-00009E060000}"/>
    <cellStyle name="Comma0 25" xfId="3518" xr:uid="{00000000-0005-0000-0000-00009F060000}"/>
    <cellStyle name="Comma0 26" xfId="3519" xr:uid="{00000000-0005-0000-0000-0000A0060000}"/>
    <cellStyle name="Comma0 27" xfId="3520" xr:uid="{00000000-0005-0000-0000-0000A1060000}"/>
    <cellStyle name="Comma0 28" xfId="3521" xr:uid="{00000000-0005-0000-0000-0000A2060000}"/>
    <cellStyle name="Comma0 29" xfId="3522" xr:uid="{00000000-0005-0000-0000-0000A3060000}"/>
    <cellStyle name="Comma0 3" xfId="3523" xr:uid="{00000000-0005-0000-0000-0000A4060000}"/>
    <cellStyle name="Comma0 30" xfId="3524" xr:uid="{00000000-0005-0000-0000-0000A5060000}"/>
    <cellStyle name="Comma0 31" xfId="3525" xr:uid="{00000000-0005-0000-0000-0000A6060000}"/>
    <cellStyle name="Comma0 32" xfId="3526" xr:uid="{00000000-0005-0000-0000-0000A7060000}"/>
    <cellStyle name="Comma0 33" xfId="3527" xr:uid="{00000000-0005-0000-0000-0000A8060000}"/>
    <cellStyle name="Comma0 34" xfId="3528" xr:uid="{00000000-0005-0000-0000-0000A9060000}"/>
    <cellStyle name="Comma0 35" xfId="3529" xr:uid="{00000000-0005-0000-0000-0000AA060000}"/>
    <cellStyle name="Comma0 36" xfId="3530" xr:uid="{00000000-0005-0000-0000-0000AB060000}"/>
    <cellStyle name="Comma0 37" xfId="3531" xr:uid="{00000000-0005-0000-0000-0000AC060000}"/>
    <cellStyle name="Comma0 38" xfId="3532" xr:uid="{00000000-0005-0000-0000-0000AD060000}"/>
    <cellStyle name="Comma0 39" xfId="3533" xr:uid="{00000000-0005-0000-0000-0000AE060000}"/>
    <cellStyle name="Comma0 4" xfId="3534" xr:uid="{00000000-0005-0000-0000-0000AF060000}"/>
    <cellStyle name="Comma0 40" xfId="3535" xr:uid="{00000000-0005-0000-0000-0000B0060000}"/>
    <cellStyle name="Comma0 41" xfId="3536" xr:uid="{00000000-0005-0000-0000-0000B1060000}"/>
    <cellStyle name="Comma0 42" xfId="3537" xr:uid="{00000000-0005-0000-0000-0000B2060000}"/>
    <cellStyle name="Comma0 43" xfId="3538" xr:uid="{00000000-0005-0000-0000-0000B3060000}"/>
    <cellStyle name="Comma0 44" xfId="3539" xr:uid="{00000000-0005-0000-0000-0000B4060000}"/>
    <cellStyle name="Comma0 45" xfId="3540" xr:uid="{00000000-0005-0000-0000-0000B5060000}"/>
    <cellStyle name="Comma0 46" xfId="3541" xr:uid="{00000000-0005-0000-0000-0000B6060000}"/>
    <cellStyle name="Comma0 47" xfId="3542" xr:uid="{00000000-0005-0000-0000-0000B7060000}"/>
    <cellStyle name="Comma0 48" xfId="3543" xr:uid="{00000000-0005-0000-0000-0000B8060000}"/>
    <cellStyle name="Comma0 49" xfId="3544" xr:uid="{00000000-0005-0000-0000-0000B9060000}"/>
    <cellStyle name="Comma0 5" xfId="3545" xr:uid="{00000000-0005-0000-0000-0000BA060000}"/>
    <cellStyle name="Comma0 50" xfId="3546" xr:uid="{00000000-0005-0000-0000-0000BB060000}"/>
    <cellStyle name="Comma0 51" xfId="3547" xr:uid="{00000000-0005-0000-0000-0000BC060000}"/>
    <cellStyle name="Comma0 52" xfId="3548" xr:uid="{00000000-0005-0000-0000-0000BD060000}"/>
    <cellStyle name="Comma0 53" xfId="3549" xr:uid="{00000000-0005-0000-0000-0000BE060000}"/>
    <cellStyle name="Comma0 54" xfId="3550" xr:uid="{00000000-0005-0000-0000-0000BF060000}"/>
    <cellStyle name="Comma0 55" xfId="3551" xr:uid="{00000000-0005-0000-0000-0000C0060000}"/>
    <cellStyle name="Comma0 56" xfId="3552" xr:uid="{00000000-0005-0000-0000-0000C1060000}"/>
    <cellStyle name="Comma0 57" xfId="3553" xr:uid="{00000000-0005-0000-0000-0000C2060000}"/>
    <cellStyle name="Comma0 58" xfId="3554" xr:uid="{00000000-0005-0000-0000-0000C3060000}"/>
    <cellStyle name="Comma0 59" xfId="3555" xr:uid="{00000000-0005-0000-0000-0000C4060000}"/>
    <cellStyle name="Comma0 6" xfId="3556" xr:uid="{00000000-0005-0000-0000-0000C5060000}"/>
    <cellStyle name="Comma0 60" xfId="3557" xr:uid="{00000000-0005-0000-0000-0000C6060000}"/>
    <cellStyle name="Comma0 61" xfId="3558" xr:uid="{00000000-0005-0000-0000-0000C7060000}"/>
    <cellStyle name="Comma0 62" xfId="3559" xr:uid="{00000000-0005-0000-0000-0000C8060000}"/>
    <cellStyle name="Comma0 63" xfId="3560" xr:uid="{00000000-0005-0000-0000-0000C9060000}"/>
    <cellStyle name="Comma0 64" xfId="3561" xr:uid="{00000000-0005-0000-0000-0000CA060000}"/>
    <cellStyle name="Comma0 65" xfId="3562" xr:uid="{00000000-0005-0000-0000-0000CB060000}"/>
    <cellStyle name="Comma0 66" xfId="3563" xr:uid="{00000000-0005-0000-0000-0000CC060000}"/>
    <cellStyle name="Comma0 67" xfId="3564" xr:uid="{00000000-0005-0000-0000-0000CD060000}"/>
    <cellStyle name="Comma0 68" xfId="3565" xr:uid="{00000000-0005-0000-0000-0000CE060000}"/>
    <cellStyle name="Comma0 69" xfId="3566" xr:uid="{00000000-0005-0000-0000-0000CF060000}"/>
    <cellStyle name="Comma0 7" xfId="3567" xr:uid="{00000000-0005-0000-0000-0000D0060000}"/>
    <cellStyle name="Comma0 70" xfId="3568" xr:uid="{00000000-0005-0000-0000-0000D1060000}"/>
    <cellStyle name="Comma0 71" xfId="3569" xr:uid="{00000000-0005-0000-0000-0000D2060000}"/>
    <cellStyle name="Comma0 72" xfId="3570" xr:uid="{00000000-0005-0000-0000-0000D3060000}"/>
    <cellStyle name="Comma0 73" xfId="3571" xr:uid="{00000000-0005-0000-0000-0000D4060000}"/>
    <cellStyle name="Comma0 74" xfId="3572" xr:uid="{00000000-0005-0000-0000-0000D5060000}"/>
    <cellStyle name="Comma0 75" xfId="3573" xr:uid="{00000000-0005-0000-0000-0000D6060000}"/>
    <cellStyle name="Comma0 76" xfId="3574" xr:uid="{00000000-0005-0000-0000-0000D7060000}"/>
    <cellStyle name="Comma0 8" xfId="3575" xr:uid="{00000000-0005-0000-0000-0000D8060000}"/>
    <cellStyle name="Comma0 9" xfId="3576" xr:uid="{00000000-0005-0000-0000-0000D9060000}"/>
    <cellStyle name="Comma0_FIBRA-Edif. EUREKA-Listado de Partidas" xfId="3577" xr:uid="{00000000-0005-0000-0000-0000DA060000}"/>
    <cellStyle name="Comma1 - Modelo2" xfId="58344" xr:uid="{00000000-0005-0000-0000-0000DB060000}"/>
    <cellStyle name="Comma1 - Style1" xfId="3578" xr:uid="{00000000-0005-0000-0000-0000DC060000}"/>
    <cellStyle name="Comma1 - Style2" xfId="3579" xr:uid="{00000000-0005-0000-0000-0000DD060000}"/>
    <cellStyle name="Currency" xfId="34" xr:uid="{00000000-0005-0000-0000-0000DE060000}"/>
    <cellStyle name="Currency 2" xfId="101" xr:uid="{00000000-0005-0000-0000-0000E0060000}"/>
    <cellStyle name="Currency 2 2" xfId="102" xr:uid="{00000000-0005-0000-0000-0000E1060000}"/>
    <cellStyle name="Currency 3" xfId="103" xr:uid="{00000000-0005-0000-0000-0000E2060000}"/>
    <cellStyle name="Currency0" xfId="104" xr:uid="{00000000-0005-0000-0000-0000E4060000}"/>
    <cellStyle name="Currency0 2" xfId="105" xr:uid="{00000000-0005-0000-0000-0000E5060000}"/>
    <cellStyle name="Currency0_FIBRA-Edif. EUREKA-Listado de Partidas" xfId="3580" xr:uid="{00000000-0005-0000-0000-0000E6060000}"/>
    <cellStyle name="Date" xfId="106" xr:uid="{00000000-0005-0000-0000-0000E7060000}"/>
    <cellStyle name="Date 2" xfId="107" xr:uid="{00000000-0005-0000-0000-0000E8060000}"/>
    <cellStyle name="Date 3" xfId="3581" xr:uid="{00000000-0005-0000-0000-0000E9060000}"/>
    <cellStyle name="Date 4" xfId="3582" xr:uid="{00000000-0005-0000-0000-0000EA060000}"/>
    <cellStyle name="Date_FIBRA-Edif. EUREKA-Listado de Partidas" xfId="3583" xr:uid="{00000000-0005-0000-0000-0000EB060000}"/>
    <cellStyle name="Dia" xfId="1723" xr:uid="{00000000-0005-0000-0000-0000EC060000}"/>
    <cellStyle name="DIA 10" xfId="3584" xr:uid="{00000000-0005-0000-0000-0000ED060000}"/>
    <cellStyle name="Dia 11" xfId="3585" xr:uid="{00000000-0005-0000-0000-0000EE060000}"/>
    <cellStyle name="Dia 12" xfId="3586" xr:uid="{00000000-0005-0000-0000-0000EF060000}"/>
    <cellStyle name="Dia 2" xfId="3587" xr:uid="{00000000-0005-0000-0000-0000F0060000}"/>
    <cellStyle name="DIA 3" xfId="3588" xr:uid="{00000000-0005-0000-0000-0000F1060000}"/>
    <cellStyle name="DIA 4" xfId="3589" xr:uid="{00000000-0005-0000-0000-0000F2060000}"/>
    <cellStyle name="DIA 5" xfId="3590" xr:uid="{00000000-0005-0000-0000-0000F3060000}"/>
    <cellStyle name="DIA 6" xfId="3591" xr:uid="{00000000-0005-0000-0000-0000F4060000}"/>
    <cellStyle name="DIA 7" xfId="3592" xr:uid="{00000000-0005-0000-0000-0000F5060000}"/>
    <cellStyle name="DIA 8" xfId="3593" xr:uid="{00000000-0005-0000-0000-0000F6060000}"/>
    <cellStyle name="DIA 9" xfId="3594" xr:uid="{00000000-0005-0000-0000-0000F7060000}"/>
    <cellStyle name="Encabez1" xfId="1724" xr:uid="{00000000-0005-0000-0000-0000F8060000}"/>
    <cellStyle name="ENCABEZ1 10" xfId="3595" xr:uid="{00000000-0005-0000-0000-0000F9060000}"/>
    <cellStyle name="Encabez1 11" xfId="3596" xr:uid="{00000000-0005-0000-0000-0000FA060000}"/>
    <cellStyle name="Encabez1 12" xfId="3597" xr:uid="{00000000-0005-0000-0000-0000FB060000}"/>
    <cellStyle name="Encabez1 2" xfId="3598" xr:uid="{00000000-0005-0000-0000-0000FC060000}"/>
    <cellStyle name="ENCABEZ1 3" xfId="3599" xr:uid="{00000000-0005-0000-0000-0000FD060000}"/>
    <cellStyle name="ENCABEZ1 4" xfId="3600" xr:uid="{00000000-0005-0000-0000-0000FE060000}"/>
    <cellStyle name="ENCABEZ1 5" xfId="3601" xr:uid="{00000000-0005-0000-0000-0000FF060000}"/>
    <cellStyle name="ENCABEZ1 6" xfId="3602" xr:uid="{00000000-0005-0000-0000-000000070000}"/>
    <cellStyle name="ENCABEZ1 7" xfId="3603" xr:uid="{00000000-0005-0000-0000-000001070000}"/>
    <cellStyle name="ENCABEZ1 8" xfId="3604" xr:uid="{00000000-0005-0000-0000-000002070000}"/>
    <cellStyle name="ENCABEZ1 9" xfId="3605" xr:uid="{00000000-0005-0000-0000-000003070000}"/>
    <cellStyle name="Encabez2" xfId="1725" xr:uid="{00000000-0005-0000-0000-000004070000}"/>
    <cellStyle name="ENCABEZ2 10" xfId="3606" xr:uid="{00000000-0005-0000-0000-000005070000}"/>
    <cellStyle name="Encabez2 11" xfId="3607" xr:uid="{00000000-0005-0000-0000-000006070000}"/>
    <cellStyle name="Encabez2 12" xfId="3608" xr:uid="{00000000-0005-0000-0000-000007070000}"/>
    <cellStyle name="Encabez2 2" xfId="3609" xr:uid="{00000000-0005-0000-0000-000008070000}"/>
    <cellStyle name="ENCABEZ2 3" xfId="3610" xr:uid="{00000000-0005-0000-0000-000009070000}"/>
    <cellStyle name="ENCABEZ2 4" xfId="3611" xr:uid="{00000000-0005-0000-0000-00000A070000}"/>
    <cellStyle name="ENCABEZ2 5" xfId="3612" xr:uid="{00000000-0005-0000-0000-00000B070000}"/>
    <cellStyle name="ENCABEZ2 6" xfId="3613" xr:uid="{00000000-0005-0000-0000-00000C070000}"/>
    <cellStyle name="ENCABEZ2 7" xfId="3614" xr:uid="{00000000-0005-0000-0000-00000D070000}"/>
    <cellStyle name="ENCABEZ2 8" xfId="3615" xr:uid="{00000000-0005-0000-0000-00000E070000}"/>
    <cellStyle name="ENCABEZ2 9" xfId="3616" xr:uid="{00000000-0005-0000-0000-00000F070000}"/>
    <cellStyle name="Encabezado 1 2" xfId="35" xr:uid="{00000000-0005-0000-0000-000010070000}"/>
    <cellStyle name="Encabezado 2" xfId="36" xr:uid="{00000000-0005-0000-0000-000011070000}"/>
    <cellStyle name="Encabezado 4 10" xfId="1726" xr:uid="{00000000-0005-0000-0000-000012070000}"/>
    <cellStyle name="Encabezado 4 11" xfId="1727" xr:uid="{00000000-0005-0000-0000-000013070000}"/>
    <cellStyle name="Encabezado 4 12" xfId="1728" xr:uid="{00000000-0005-0000-0000-000014070000}"/>
    <cellStyle name="Encabezado 4 13" xfId="1729" xr:uid="{00000000-0005-0000-0000-000015070000}"/>
    <cellStyle name="Encabezado 4 14" xfId="1730" xr:uid="{00000000-0005-0000-0000-000016070000}"/>
    <cellStyle name="Encabezado 4 15" xfId="1731" xr:uid="{00000000-0005-0000-0000-000017070000}"/>
    <cellStyle name="Encabezado 4 16" xfId="1732" xr:uid="{00000000-0005-0000-0000-000018070000}"/>
    <cellStyle name="Encabezado 4 17" xfId="1733" xr:uid="{00000000-0005-0000-0000-000019070000}"/>
    <cellStyle name="Encabezado 4 18" xfId="1734" xr:uid="{00000000-0005-0000-0000-00001A070000}"/>
    <cellStyle name="Encabezado 4 19" xfId="1735" xr:uid="{00000000-0005-0000-0000-00001B070000}"/>
    <cellStyle name="Encabezado 4 2" xfId="108" xr:uid="{00000000-0005-0000-0000-00001C070000}"/>
    <cellStyle name="Encabezado 4 2 2" xfId="1736" xr:uid="{00000000-0005-0000-0000-00001D070000}"/>
    <cellStyle name="Encabezado 4 2 3" xfId="1737" xr:uid="{00000000-0005-0000-0000-00001E070000}"/>
    <cellStyle name="Encabezado 4 2 4" xfId="1738" xr:uid="{00000000-0005-0000-0000-00001F070000}"/>
    <cellStyle name="Encabezado 4 2 5" xfId="1739" xr:uid="{00000000-0005-0000-0000-000020070000}"/>
    <cellStyle name="Encabezado 4 20" xfId="1740" xr:uid="{00000000-0005-0000-0000-000021070000}"/>
    <cellStyle name="Encabezado 4 21" xfId="1741" xr:uid="{00000000-0005-0000-0000-000022070000}"/>
    <cellStyle name="Encabezado 4 22" xfId="1742" xr:uid="{00000000-0005-0000-0000-000023070000}"/>
    <cellStyle name="Encabezado 4 23" xfId="1743" xr:uid="{00000000-0005-0000-0000-000024070000}"/>
    <cellStyle name="Encabezado 4 24" xfId="1744" xr:uid="{00000000-0005-0000-0000-000025070000}"/>
    <cellStyle name="Encabezado 4 25" xfId="1745" xr:uid="{00000000-0005-0000-0000-000026070000}"/>
    <cellStyle name="Encabezado 4 26" xfId="1746" xr:uid="{00000000-0005-0000-0000-000027070000}"/>
    <cellStyle name="Encabezado 4 27" xfId="1747" xr:uid="{00000000-0005-0000-0000-000028070000}"/>
    <cellStyle name="Encabezado 4 28" xfId="1748" xr:uid="{00000000-0005-0000-0000-000029070000}"/>
    <cellStyle name="Encabezado 4 29" xfId="1749" xr:uid="{00000000-0005-0000-0000-00002A070000}"/>
    <cellStyle name="Encabezado 4 3" xfId="1750" xr:uid="{00000000-0005-0000-0000-00002B070000}"/>
    <cellStyle name="Encabezado 4 30" xfId="1751" xr:uid="{00000000-0005-0000-0000-00002C070000}"/>
    <cellStyle name="Encabezado 4 31" xfId="1752" xr:uid="{00000000-0005-0000-0000-00002D070000}"/>
    <cellStyle name="Encabezado 4 32" xfId="1753" xr:uid="{00000000-0005-0000-0000-00002E070000}"/>
    <cellStyle name="Encabezado 4 33" xfId="1754" xr:uid="{00000000-0005-0000-0000-00002F070000}"/>
    <cellStyle name="Encabezado 4 34" xfId="1755" xr:uid="{00000000-0005-0000-0000-000030070000}"/>
    <cellStyle name="Encabezado 4 35" xfId="1756" xr:uid="{00000000-0005-0000-0000-000031070000}"/>
    <cellStyle name="Encabezado 4 36" xfId="1757" xr:uid="{00000000-0005-0000-0000-000032070000}"/>
    <cellStyle name="Encabezado 4 37" xfId="1758" xr:uid="{00000000-0005-0000-0000-000033070000}"/>
    <cellStyle name="Encabezado 4 38" xfId="1759" xr:uid="{00000000-0005-0000-0000-000034070000}"/>
    <cellStyle name="Encabezado 4 39" xfId="1760" xr:uid="{00000000-0005-0000-0000-000035070000}"/>
    <cellStyle name="Encabezado 4 4" xfId="1761" xr:uid="{00000000-0005-0000-0000-000036070000}"/>
    <cellStyle name="Encabezado 4 40" xfId="1762" xr:uid="{00000000-0005-0000-0000-000037070000}"/>
    <cellStyle name="Encabezado 4 41" xfId="1763" xr:uid="{00000000-0005-0000-0000-000038070000}"/>
    <cellStyle name="Encabezado 4 42" xfId="1764" xr:uid="{00000000-0005-0000-0000-000039070000}"/>
    <cellStyle name="Encabezado 4 43" xfId="1765" xr:uid="{00000000-0005-0000-0000-00003A070000}"/>
    <cellStyle name="Encabezado 4 44" xfId="1766" xr:uid="{00000000-0005-0000-0000-00003B070000}"/>
    <cellStyle name="Encabezado 4 45" xfId="1767" xr:uid="{00000000-0005-0000-0000-00003C070000}"/>
    <cellStyle name="Encabezado 4 46" xfId="1768" xr:uid="{00000000-0005-0000-0000-00003D070000}"/>
    <cellStyle name="Encabezado 4 47" xfId="1769" xr:uid="{00000000-0005-0000-0000-00003E070000}"/>
    <cellStyle name="Encabezado 4 48" xfId="1770" xr:uid="{00000000-0005-0000-0000-00003F070000}"/>
    <cellStyle name="Encabezado 4 49" xfId="1771" xr:uid="{00000000-0005-0000-0000-000040070000}"/>
    <cellStyle name="Encabezado 4 5" xfId="1772" xr:uid="{00000000-0005-0000-0000-000041070000}"/>
    <cellStyle name="Encabezado 4 50" xfId="1773" xr:uid="{00000000-0005-0000-0000-000042070000}"/>
    <cellStyle name="Encabezado 4 51" xfId="1774" xr:uid="{00000000-0005-0000-0000-000043070000}"/>
    <cellStyle name="Encabezado 4 52" xfId="1775" xr:uid="{00000000-0005-0000-0000-000044070000}"/>
    <cellStyle name="Encabezado 4 53" xfId="1776" xr:uid="{00000000-0005-0000-0000-000045070000}"/>
    <cellStyle name="Encabezado 4 54" xfId="1777" xr:uid="{00000000-0005-0000-0000-000046070000}"/>
    <cellStyle name="Encabezado 4 55" xfId="1778" xr:uid="{00000000-0005-0000-0000-000047070000}"/>
    <cellStyle name="Encabezado 4 56" xfId="1779" xr:uid="{00000000-0005-0000-0000-000048070000}"/>
    <cellStyle name="Encabezado 4 57" xfId="1780" xr:uid="{00000000-0005-0000-0000-000049070000}"/>
    <cellStyle name="Encabezado 4 58" xfId="1781" xr:uid="{00000000-0005-0000-0000-00004A070000}"/>
    <cellStyle name="Encabezado 4 59" xfId="1782" xr:uid="{00000000-0005-0000-0000-00004B070000}"/>
    <cellStyle name="Encabezado 4 6" xfId="1783" xr:uid="{00000000-0005-0000-0000-00004C070000}"/>
    <cellStyle name="Encabezado 4 60" xfId="1784" xr:uid="{00000000-0005-0000-0000-00004D070000}"/>
    <cellStyle name="Encabezado 4 61" xfId="1785" xr:uid="{00000000-0005-0000-0000-00004E070000}"/>
    <cellStyle name="Encabezado 4 62" xfId="1786" xr:uid="{00000000-0005-0000-0000-00004F070000}"/>
    <cellStyle name="Encabezado 4 63" xfId="1787" xr:uid="{00000000-0005-0000-0000-000050070000}"/>
    <cellStyle name="Encabezado 4 64" xfId="1788" xr:uid="{00000000-0005-0000-0000-000051070000}"/>
    <cellStyle name="Encabezado 4 65" xfId="1789" xr:uid="{00000000-0005-0000-0000-000052070000}"/>
    <cellStyle name="Encabezado 4 66" xfId="1790" xr:uid="{00000000-0005-0000-0000-000053070000}"/>
    <cellStyle name="Encabezado 4 67" xfId="1791" xr:uid="{00000000-0005-0000-0000-000054070000}"/>
    <cellStyle name="Encabezado 4 7" xfId="1792" xr:uid="{00000000-0005-0000-0000-000055070000}"/>
    <cellStyle name="Encabezado 4 8" xfId="1793" xr:uid="{00000000-0005-0000-0000-000056070000}"/>
    <cellStyle name="Encabezado 4 9" xfId="1794" xr:uid="{00000000-0005-0000-0000-000057070000}"/>
    <cellStyle name="Énfasis1 10" xfId="1795" xr:uid="{00000000-0005-0000-0000-000058070000}"/>
    <cellStyle name="Énfasis1 11" xfId="1796" xr:uid="{00000000-0005-0000-0000-000059070000}"/>
    <cellStyle name="Énfasis1 12" xfId="1797" xr:uid="{00000000-0005-0000-0000-00005A070000}"/>
    <cellStyle name="Énfasis1 13" xfId="1798" xr:uid="{00000000-0005-0000-0000-00005B070000}"/>
    <cellStyle name="Énfasis1 14" xfId="1799" xr:uid="{00000000-0005-0000-0000-00005C070000}"/>
    <cellStyle name="Énfasis1 15" xfId="1800" xr:uid="{00000000-0005-0000-0000-00005D070000}"/>
    <cellStyle name="Énfasis1 16" xfId="1801" xr:uid="{00000000-0005-0000-0000-00005E070000}"/>
    <cellStyle name="Énfasis1 17" xfId="1802" xr:uid="{00000000-0005-0000-0000-00005F070000}"/>
    <cellStyle name="Énfasis1 18" xfId="1803" xr:uid="{00000000-0005-0000-0000-000060070000}"/>
    <cellStyle name="Énfasis1 19" xfId="1804" xr:uid="{00000000-0005-0000-0000-000061070000}"/>
    <cellStyle name="Énfasis1 2" xfId="109" xr:uid="{00000000-0005-0000-0000-000062070000}"/>
    <cellStyle name="Énfasis1 2 2" xfId="1805" xr:uid="{00000000-0005-0000-0000-000063070000}"/>
    <cellStyle name="Énfasis1 2 3" xfId="1806" xr:uid="{00000000-0005-0000-0000-000064070000}"/>
    <cellStyle name="Énfasis1 2 4" xfId="1807" xr:uid="{00000000-0005-0000-0000-000065070000}"/>
    <cellStyle name="Énfasis1 2 5" xfId="1808" xr:uid="{00000000-0005-0000-0000-000066070000}"/>
    <cellStyle name="Énfasis1 20" xfId="1809" xr:uid="{00000000-0005-0000-0000-000067070000}"/>
    <cellStyle name="Énfasis1 21" xfId="1810" xr:uid="{00000000-0005-0000-0000-000068070000}"/>
    <cellStyle name="Énfasis1 22" xfId="1811" xr:uid="{00000000-0005-0000-0000-000069070000}"/>
    <cellStyle name="Énfasis1 23" xfId="1812" xr:uid="{00000000-0005-0000-0000-00006A070000}"/>
    <cellStyle name="Énfasis1 24" xfId="1813" xr:uid="{00000000-0005-0000-0000-00006B070000}"/>
    <cellStyle name="Énfasis1 25" xfId="1814" xr:uid="{00000000-0005-0000-0000-00006C070000}"/>
    <cellStyle name="Énfasis1 26" xfId="1815" xr:uid="{00000000-0005-0000-0000-00006D070000}"/>
    <cellStyle name="Énfasis1 27" xfId="1816" xr:uid="{00000000-0005-0000-0000-00006E070000}"/>
    <cellStyle name="Énfasis1 28" xfId="1817" xr:uid="{00000000-0005-0000-0000-00006F070000}"/>
    <cellStyle name="Énfasis1 29" xfId="1818" xr:uid="{00000000-0005-0000-0000-000070070000}"/>
    <cellStyle name="Énfasis1 3" xfId="1819" xr:uid="{00000000-0005-0000-0000-000071070000}"/>
    <cellStyle name="Énfasis1 30" xfId="1820" xr:uid="{00000000-0005-0000-0000-000072070000}"/>
    <cellStyle name="Énfasis1 31" xfId="1821" xr:uid="{00000000-0005-0000-0000-000073070000}"/>
    <cellStyle name="Énfasis1 32" xfId="1822" xr:uid="{00000000-0005-0000-0000-000074070000}"/>
    <cellStyle name="Énfasis1 33" xfId="1823" xr:uid="{00000000-0005-0000-0000-000075070000}"/>
    <cellStyle name="Énfasis1 34" xfId="1824" xr:uid="{00000000-0005-0000-0000-000076070000}"/>
    <cellStyle name="Énfasis1 35" xfId="1825" xr:uid="{00000000-0005-0000-0000-000077070000}"/>
    <cellStyle name="Énfasis1 36" xfId="1826" xr:uid="{00000000-0005-0000-0000-000078070000}"/>
    <cellStyle name="Énfasis1 37" xfId="1827" xr:uid="{00000000-0005-0000-0000-000079070000}"/>
    <cellStyle name="Énfasis1 38" xfId="1828" xr:uid="{00000000-0005-0000-0000-00007A070000}"/>
    <cellStyle name="Énfasis1 39" xfId="1829" xr:uid="{00000000-0005-0000-0000-00007B070000}"/>
    <cellStyle name="Énfasis1 4" xfId="1830" xr:uid="{00000000-0005-0000-0000-00007C070000}"/>
    <cellStyle name="Énfasis1 40" xfId="1831" xr:uid="{00000000-0005-0000-0000-00007D070000}"/>
    <cellStyle name="Énfasis1 41" xfId="1832" xr:uid="{00000000-0005-0000-0000-00007E070000}"/>
    <cellStyle name="Énfasis1 42" xfId="1833" xr:uid="{00000000-0005-0000-0000-00007F070000}"/>
    <cellStyle name="Énfasis1 43" xfId="1834" xr:uid="{00000000-0005-0000-0000-000080070000}"/>
    <cellStyle name="Énfasis1 44" xfId="1835" xr:uid="{00000000-0005-0000-0000-000081070000}"/>
    <cellStyle name="Énfasis1 45" xfId="1836" xr:uid="{00000000-0005-0000-0000-000082070000}"/>
    <cellStyle name="Énfasis1 46" xfId="1837" xr:uid="{00000000-0005-0000-0000-000083070000}"/>
    <cellStyle name="Énfasis1 47" xfId="1838" xr:uid="{00000000-0005-0000-0000-000084070000}"/>
    <cellStyle name="Énfasis1 48" xfId="1839" xr:uid="{00000000-0005-0000-0000-000085070000}"/>
    <cellStyle name="Énfasis1 49" xfId="1840" xr:uid="{00000000-0005-0000-0000-000086070000}"/>
    <cellStyle name="Énfasis1 5" xfId="1841" xr:uid="{00000000-0005-0000-0000-000087070000}"/>
    <cellStyle name="Énfasis1 50" xfId="1842" xr:uid="{00000000-0005-0000-0000-000088070000}"/>
    <cellStyle name="Énfasis1 51" xfId="1843" xr:uid="{00000000-0005-0000-0000-000089070000}"/>
    <cellStyle name="Énfasis1 52" xfId="1844" xr:uid="{00000000-0005-0000-0000-00008A070000}"/>
    <cellStyle name="Énfasis1 53" xfId="1845" xr:uid="{00000000-0005-0000-0000-00008B070000}"/>
    <cellStyle name="Énfasis1 54" xfId="1846" xr:uid="{00000000-0005-0000-0000-00008C070000}"/>
    <cellStyle name="Énfasis1 55" xfId="1847" xr:uid="{00000000-0005-0000-0000-00008D070000}"/>
    <cellStyle name="Énfasis1 56" xfId="1848" xr:uid="{00000000-0005-0000-0000-00008E070000}"/>
    <cellStyle name="Énfasis1 57" xfId="1849" xr:uid="{00000000-0005-0000-0000-00008F070000}"/>
    <cellStyle name="Énfasis1 58" xfId="1850" xr:uid="{00000000-0005-0000-0000-000090070000}"/>
    <cellStyle name="Énfasis1 59" xfId="1851" xr:uid="{00000000-0005-0000-0000-000091070000}"/>
    <cellStyle name="Énfasis1 6" xfId="1852" xr:uid="{00000000-0005-0000-0000-000092070000}"/>
    <cellStyle name="Énfasis1 60" xfId="1853" xr:uid="{00000000-0005-0000-0000-000093070000}"/>
    <cellStyle name="Énfasis1 61" xfId="1854" xr:uid="{00000000-0005-0000-0000-000094070000}"/>
    <cellStyle name="Énfasis1 62" xfId="1855" xr:uid="{00000000-0005-0000-0000-000095070000}"/>
    <cellStyle name="Énfasis1 63" xfId="1856" xr:uid="{00000000-0005-0000-0000-000096070000}"/>
    <cellStyle name="Énfasis1 64" xfId="1857" xr:uid="{00000000-0005-0000-0000-000097070000}"/>
    <cellStyle name="Énfasis1 65" xfId="1858" xr:uid="{00000000-0005-0000-0000-000098070000}"/>
    <cellStyle name="Énfasis1 66" xfId="1859" xr:uid="{00000000-0005-0000-0000-000099070000}"/>
    <cellStyle name="Énfasis1 67" xfId="1860" xr:uid="{00000000-0005-0000-0000-00009A070000}"/>
    <cellStyle name="Énfasis1 7" xfId="1861" xr:uid="{00000000-0005-0000-0000-00009B070000}"/>
    <cellStyle name="Énfasis1 8" xfId="1862" xr:uid="{00000000-0005-0000-0000-00009C070000}"/>
    <cellStyle name="Énfasis1 9" xfId="1863" xr:uid="{00000000-0005-0000-0000-00009D070000}"/>
    <cellStyle name="Énfasis2 10" xfId="1864" xr:uid="{00000000-0005-0000-0000-00009E070000}"/>
    <cellStyle name="Énfasis2 11" xfId="1865" xr:uid="{00000000-0005-0000-0000-00009F070000}"/>
    <cellStyle name="Énfasis2 12" xfId="1866" xr:uid="{00000000-0005-0000-0000-0000A0070000}"/>
    <cellStyle name="Énfasis2 13" xfId="1867" xr:uid="{00000000-0005-0000-0000-0000A1070000}"/>
    <cellStyle name="Énfasis2 14" xfId="1868" xr:uid="{00000000-0005-0000-0000-0000A2070000}"/>
    <cellStyle name="Énfasis2 15" xfId="1869" xr:uid="{00000000-0005-0000-0000-0000A3070000}"/>
    <cellStyle name="Énfasis2 16" xfId="1870" xr:uid="{00000000-0005-0000-0000-0000A4070000}"/>
    <cellStyle name="Énfasis2 17" xfId="1871" xr:uid="{00000000-0005-0000-0000-0000A5070000}"/>
    <cellStyle name="Énfasis2 18" xfId="1872" xr:uid="{00000000-0005-0000-0000-0000A6070000}"/>
    <cellStyle name="Énfasis2 19" xfId="1873" xr:uid="{00000000-0005-0000-0000-0000A7070000}"/>
    <cellStyle name="Énfasis2 2" xfId="110" xr:uid="{00000000-0005-0000-0000-0000A8070000}"/>
    <cellStyle name="Énfasis2 2 2" xfId="1874" xr:uid="{00000000-0005-0000-0000-0000A9070000}"/>
    <cellStyle name="Énfasis2 2 3" xfId="1875" xr:uid="{00000000-0005-0000-0000-0000AA070000}"/>
    <cellStyle name="Énfasis2 2 4" xfId="1876" xr:uid="{00000000-0005-0000-0000-0000AB070000}"/>
    <cellStyle name="Énfasis2 2 5" xfId="1877" xr:uid="{00000000-0005-0000-0000-0000AC070000}"/>
    <cellStyle name="Énfasis2 20" xfId="1878" xr:uid="{00000000-0005-0000-0000-0000AD070000}"/>
    <cellStyle name="Énfasis2 21" xfId="1879" xr:uid="{00000000-0005-0000-0000-0000AE070000}"/>
    <cellStyle name="Énfasis2 22" xfId="1880" xr:uid="{00000000-0005-0000-0000-0000AF070000}"/>
    <cellStyle name="Énfasis2 23" xfId="1881" xr:uid="{00000000-0005-0000-0000-0000B0070000}"/>
    <cellStyle name="Énfasis2 24" xfId="1882" xr:uid="{00000000-0005-0000-0000-0000B1070000}"/>
    <cellStyle name="Énfasis2 25" xfId="1883" xr:uid="{00000000-0005-0000-0000-0000B2070000}"/>
    <cellStyle name="Énfasis2 26" xfId="1884" xr:uid="{00000000-0005-0000-0000-0000B3070000}"/>
    <cellStyle name="Énfasis2 27" xfId="1885" xr:uid="{00000000-0005-0000-0000-0000B4070000}"/>
    <cellStyle name="Énfasis2 28" xfId="1886" xr:uid="{00000000-0005-0000-0000-0000B5070000}"/>
    <cellStyle name="Énfasis2 29" xfId="1887" xr:uid="{00000000-0005-0000-0000-0000B6070000}"/>
    <cellStyle name="Énfasis2 3" xfId="1888" xr:uid="{00000000-0005-0000-0000-0000B7070000}"/>
    <cellStyle name="Énfasis2 30" xfId="1889" xr:uid="{00000000-0005-0000-0000-0000B8070000}"/>
    <cellStyle name="Énfasis2 31" xfId="1890" xr:uid="{00000000-0005-0000-0000-0000B9070000}"/>
    <cellStyle name="Énfasis2 32" xfId="1891" xr:uid="{00000000-0005-0000-0000-0000BA070000}"/>
    <cellStyle name="Énfasis2 33" xfId="1892" xr:uid="{00000000-0005-0000-0000-0000BB070000}"/>
    <cellStyle name="Énfasis2 34" xfId="1893" xr:uid="{00000000-0005-0000-0000-0000BC070000}"/>
    <cellStyle name="Énfasis2 35" xfId="1894" xr:uid="{00000000-0005-0000-0000-0000BD070000}"/>
    <cellStyle name="Énfasis2 36" xfId="1895" xr:uid="{00000000-0005-0000-0000-0000BE070000}"/>
    <cellStyle name="Énfasis2 37" xfId="1896" xr:uid="{00000000-0005-0000-0000-0000BF070000}"/>
    <cellStyle name="Énfasis2 38" xfId="1897" xr:uid="{00000000-0005-0000-0000-0000C0070000}"/>
    <cellStyle name="Énfasis2 39" xfId="1898" xr:uid="{00000000-0005-0000-0000-0000C1070000}"/>
    <cellStyle name="Énfasis2 4" xfId="1899" xr:uid="{00000000-0005-0000-0000-0000C2070000}"/>
    <cellStyle name="Énfasis2 40" xfId="1900" xr:uid="{00000000-0005-0000-0000-0000C3070000}"/>
    <cellStyle name="Énfasis2 41" xfId="1901" xr:uid="{00000000-0005-0000-0000-0000C4070000}"/>
    <cellStyle name="Énfasis2 42" xfId="1902" xr:uid="{00000000-0005-0000-0000-0000C5070000}"/>
    <cellStyle name="Énfasis2 43" xfId="1903" xr:uid="{00000000-0005-0000-0000-0000C6070000}"/>
    <cellStyle name="Énfasis2 44" xfId="1904" xr:uid="{00000000-0005-0000-0000-0000C7070000}"/>
    <cellStyle name="Énfasis2 45" xfId="1905" xr:uid="{00000000-0005-0000-0000-0000C8070000}"/>
    <cellStyle name="Énfasis2 46" xfId="1906" xr:uid="{00000000-0005-0000-0000-0000C9070000}"/>
    <cellStyle name="Énfasis2 47" xfId="1907" xr:uid="{00000000-0005-0000-0000-0000CA070000}"/>
    <cellStyle name="Énfasis2 48" xfId="1908" xr:uid="{00000000-0005-0000-0000-0000CB070000}"/>
    <cellStyle name="Énfasis2 49" xfId="1909" xr:uid="{00000000-0005-0000-0000-0000CC070000}"/>
    <cellStyle name="Énfasis2 5" xfId="1910" xr:uid="{00000000-0005-0000-0000-0000CD070000}"/>
    <cellStyle name="Énfasis2 50" xfId="1911" xr:uid="{00000000-0005-0000-0000-0000CE070000}"/>
    <cellStyle name="Énfasis2 51" xfId="1912" xr:uid="{00000000-0005-0000-0000-0000CF070000}"/>
    <cellStyle name="Énfasis2 52" xfId="1913" xr:uid="{00000000-0005-0000-0000-0000D0070000}"/>
    <cellStyle name="Énfasis2 53" xfId="1914" xr:uid="{00000000-0005-0000-0000-0000D1070000}"/>
    <cellStyle name="Énfasis2 54" xfId="1915" xr:uid="{00000000-0005-0000-0000-0000D2070000}"/>
    <cellStyle name="Énfasis2 55" xfId="1916" xr:uid="{00000000-0005-0000-0000-0000D3070000}"/>
    <cellStyle name="Énfasis2 56" xfId="1917" xr:uid="{00000000-0005-0000-0000-0000D4070000}"/>
    <cellStyle name="Énfasis2 57" xfId="1918" xr:uid="{00000000-0005-0000-0000-0000D5070000}"/>
    <cellStyle name="Énfasis2 58" xfId="1919" xr:uid="{00000000-0005-0000-0000-0000D6070000}"/>
    <cellStyle name="Énfasis2 59" xfId="1920" xr:uid="{00000000-0005-0000-0000-0000D7070000}"/>
    <cellStyle name="Énfasis2 6" xfId="1921" xr:uid="{00000000-0005-0000-0000-0000D8070000}"/>
    <cellStyle name="Énfasis2 60" xfId="1922" xr:uid="{00000000-0005-0000-0000-0000D9070000}"/>
    <cellStyle name="Énfasis2 61" xfId="1923" xr:uid="{00000000-0005-0000-0000-0000DA070000}"/>
    <cellStyle name="Énfasis2 62" xfId="1924" xr:uid="{00000000-0005-0000-0000-0000DB070000}"/>
    <cellStyle name="Énfasis2 63" xfId="1925" xr:uid="{00000000-0005-0000-0000-0000DC070000}"/>
    <cellStyle name="Énfasis2 64" xfId="1926" xr:uid="{00000000-0005-0000-0000-0000DD070000}"/>
    <cellStyle name="Énfasis2 65" xfId="1927" xr:uid="{00000000-0005-0000-0000-0000DE070000}"/>
    <cellStyle name="Énfasis2 66" xfId="1928" xr:uid="{00000000-0005-0000-0000-0000DF070000}"/>
    <cellStyle name="Énfasis2 67" xfId="1929" xr:uid="{00000000-0005-0000-0000-0000E0070000}"/>
    <cellStyle name="Énfasis2 7" xfId="1930" xr:uid="{00000000-0005-0000-0000-0000E1070000}"/>
    <cellStyle name="Énfasis2 8" xfId="1931" xr:uid="{00000000-0005-0000-0000-0000E2070000}"/>
    <cellStyle name="Énfasis2 9" xfId="1932" xr:uid="{00000000-0005-0000-0000-0000E3070000}"/>
    <cellStyle name="Énfasis3 10" xfId="1933" xr:uid="{00000000-0005-0000-0000-0000E4070000}"/>
    <cellStyle name="Énfasis3 11" xfId="1934" xr:uid="{00000000-0005-0000-0000-0000E5070000}"/>
    <cellStyle name="Énfasis3 12" xfId="1935" xr:uid="{00000000-0005-0000-0000-0000E6070000}"/>
    <cellStyle name="Énfasis3 13" xfId="1936" xr:uid="{00000000-0005-0000-0000-0000E7070000}"/>
    <cellStyle name="Énfasis3 14" xfId="1937" xr:uid="{00000000-0005-0000-0000-0000E8070000}"/>
    <cellStyle name="Énfasis3 15" xfId="1938" xr:uid="{00000000-0005-0000-0000-0000E9070000}"/>
    <cellStyle name="Énfasis3 16" xfId="1939" xr:uid="{00000000-0005-0000-0000-0000EA070000}"/>
    <cellStyle name="Énfasis3 17" xfId="1940" xr:uid="{00000000-0005-0000-0000-0000EB070000}"/>
    <cellStyle name="Énfasis3 18" xfId="1941" xr:uid="{00000000-0005-0000-0000-0000EC070000}"/>
    <cellStyle name="Énfasis3 19" xfId="1942" xr:uid="{00000000-0005-0000-0000-0000ED070000}"/>
    <cellStyle name="Énfasis3 2" xfId="111" xr:uid="{00000000-0005-0000-0000-0000EE070000}"/>
    <cellStyle name="Énfasis3 2 2" xfId="1943" xr:uid="{00000000-0005-0000-0000-0000EF070000}"/>
    <cellStyle name="Énfasis3 2 3" xfId="1944" xr:uid="{00000000-0005-0000-0000-0000F0070000}"/>
    <cellStyle name="Énfasis3 2 4" xfId="1945" xr:uid="{00000000-0005-0000-0000-0000F1070000}"/>
    <cellStyle name="Énfasis3 2 5" xfId="1946" xr:uid="{00000000-0005-0000-0000-0000F2070000}"/>
    <cellStyle name="Énfasis3 20" xfId="1947" xr:uid="{00000000-0005-0000-0000-0000F3070000}"/>
    <cellStyle name="Énfasis3 21" xfId="1948" xr:uid="{00000000-0005-0000-0000-0000F4070000}"/>
    <cellStyle name="Énfasis3 22" xfId="1949" xr:uid="{00000000-0005-0000-0000-0000F5070000}"/>
    <cellStyle name="Énfasis3 23" xfId="1950" xr:uid="{00000000-0005-0000-0000-0000F6070000}"/>
    <cellStyle name="Énfasis3 24" xfId="1951" xr:uid="{00000000-0005-0000-0000-0000F7070000}"/>
    <cellStyle name="Énfasis3 25" xfId="1952" xr:uid="{00000000-0005-0000-0000-0000F8070000}"/>
    <cellStyle name="Énfasis3 26" xfId="1953" xr:uid="{00000000-0005-0000-0000-0000F9070000}"/>
    <cellStyle name="Énfasis3 27" xfId="1954" xr:uid="{00000000-0005-0000-0000-0000FA070000}"/>
    <cellStyle name="Énfasis3 28" xfId="1955" xr:uid="{00000000-0005-0000-0000-0000FB070000}"/>
    <cellStyle name="Énfasis3 29" xfId="1956" xr:uid="{00000000-0005-0000-0000-0000FC070000}"/>
    <cellStyle name="Énfasis3 3" xfId="1957" xr:uid="{00000000-0005-0000-0000-0000FD070000}"/>
    <cellStyle name="Énfasis3 30" xfId="1958" xr:uid="{00000000-0005-0000-0000-0000FE070000}"/>
    <cellStyle name="Énfasis3 31" xfId="1959" xr:uid="{00000000-0005-0000-0000-0000FF070000}"/>
    <cellStyle name="Énfasis3 32" xfId="1960" xr:uid="{00000000-0005-0000-0000-000000080000}"/>
    <cellStyle name="Énfasis3 33" xfId="1961" xr:uid="{00000000-0005-0000-0000-000001080000}"/>
    <cellStyle name="Énfasis3 34" xfId="1962" xr:uid="{00000000-0005-0000-0000-000002080000}"/>
    <cellStyle name="Énfasis3 35" xfId="1963" xr:uid="{00000000-0005-0000-0000-000003080000}"/>
    <cellStyle name="Énfasis3 36" xfId="1964" xr:uid="{00000000-0005-0000-0000-000004080000}"/>
    <cellStyle name="Énfasis3 37" xfId="1965" xr:uid="{00000000-0005-0000-0000-000005080000}"/>
    <cellStyle name="Énfasis3 38" xfId="1966" xr:uid="{00000000-0005-0000-0000-000006080000}"/>
    <cellStyle name="Énfasis3 39" xfId="1967" xr:uid="{00000000-0005-0000-0000-000007080000}"/>
    <cellStyle name="Énfasis3 4" xfId="1968" xr:uid="{00000000-0005-0000-0000-000008080000}"/>
    <cellStyle name="Énfasis3 40" xfId="1969" xr:uid="{00000000-0005-0000-0000-000009080000}"/>
    <cellStyle name="Énfasis3 41" xfId="1970" xr:uid="{00000000-0005-0000-0000-00000A080000}"/>
    <cellStyle name="Énfasis3 42" xfId="1971" xr:uid="{00000000-0005-0000-0000-00000B080000}"/>
    <cellStyle name="Énfasis3 43" xfId="1972" xr:uid="{00000000-0005-0000-0000-00000C080000}"/>
    <cellStyle name="Énfasis3 44" xfId="1973" xr:uid="{00000000-0005-0000-0000-00000D080000}"/>
    <cellStyle name="Énfasis3 45" xfId="1974" xr:uid="{00000000-0005-0000-0000-00000E080000}"/>
    <cellStyle name="Énfasis3 46" xfId="1975" xr:uid="{00000000-0005-0000-0000-00000F080000}"/>
    <cellStyle name="Énfasis3 47" xfId="1976" xr:uid="{00000000-0005-0000-0000-000010080000}"/>
    <cellStyle name="Énfasis3 48" xfId="1977" xr:uid="{00000000-0005-0000-0000-000011080000}"/>
    <cellStyle name="Énfasis3 49" xfId="1978" xr:uid="{00000000-0005-0000-0000-000012080000}"/>
    <cellStyle name="Énfasis3 5" xfId="1979" xr:uid="{00000000-0005-0000-0000-000013080000}"/>
    <cellStyle name="Énfasis3 50" xfId="1980" xr:uid="{00000000-0005-0000-0000-000014080000}"/>
    <cellStyle name="Énfasis3 51" xfId="1981" xr:uid="{00000000-0005-0000-0000-000015080000}"/>
    <cellStyle name="Énfasis3 52" xfId="1982" xr:uid="{00000000-0005-0000-0000-000016080000}"/>
    <cellStyle name="Énfasis3 53" xfId="1983" xr:uid="{00000000-0005-0000-0000-000017080000}"/>
    <cellStyle name="Énfasis3 54" xfId="1984" xr:uid="{00000000-0005-0000-0000-000018080000}"/>
    <cellStyle name="Énfasis3 55" xfId="1985" xr:uid="{00000000-0005-0000-0000-000019080000}"/>
    <cellStyle name="Énfasis3 56" xfId="1986" xr:uid="{00000000-0005-0000-0000-00001A080000}"/>
    <cellStyle name="Énfasis3 57" xfId="1987" xr:uid="{00000000-0005-0000-0000-00001B080000}"/>
    <cellStyle name="Énfasis3 58" xfId="1988" xr:uid="{00000000-0005-0000-0000-00001C080000}"/>
    <cellStyle name="Énfasis3 59" xfId="1989" xr:uid="{00000000-0005-0000-0000-00001D080000}"/>
    <cellStyle name="Énfasis3 6" xfId="1990" xr:uid="{00000000-0005-0000-0000-00001E080000}"/>
    <cellStyle name="Énfasis3 60" xfId="1991" xr:uid="{00000000-0005-0000-0000-00001F080000}"/>
    <cellStyle name="Énfasis3 61" xfId="1992" xr:uid="{00000000-0005-0000-0000-000020080000}"/>
    <cellStyle name="Énfasis3 62" xfId="1993" xr:uid="{00000000-0005-0000-0000-000021080000}"/>
    <cellStyle name="Énfasis3 63" xfId="1994" xr:uid="{00000000-0005-0000-0000-000022080000}"/>
    <cellStyle name="Énfasis3 64" xfId="1995" xr:uid="{00000000-0005-0000-0000-000023080000}"/>
    <cellStyle name="Énfasis3 65" xfId="1996" xr:uid="{00000000-0005-0000-0000-000024080000}"/>
    <cellStyle name="Énfasis3 66" xfId="1997" xr:uid="{00000000-0005-0000-0000-000025080000}"/>
    <cellStyle name="Énfasis3 67" xfId="1998" xr:uid="{00000000-0005-0000-0000-000026080000}"/>
    <cellStyle name="Énfasis3 7" xfId="1999" xr:uid="{00000000-0005-0000-0000-000027080000}"/>
    <cellStyle name="Énfasis3 8" xfId="2000" xr:uid="{00000000-0005-0000-0000-000028080000}"/>
    <cellStyle name="Énfasis3 9" xfId="2001" xr:uid="{00000000-0005-0000-0000-000029080000}"/>
    <cellStyle name="Énfasis4 10" xfId="2002" xr:uid="{00000000-0005-0000-0000-00002A080000}"/>
    <cellStyle name="Énfasis4 11" xfId="2003" xr:uid="{00000000-0005-0000-0000-00002B080000}"/>
    <cellStyle name="Énfasis4 12" xfId="2004" xr:uid="{00000000-0005-0000-0000-00002C080000}"/>
    <cellStyle name="Énfasis4 13" xfId="2005" xr:uid="{00000000-0005-0000-0000-00002D080000}"/>
    <cellStyle name="Énfasis4 14" xfId="2006" xr:uid="{00000000-0005-0000-0000-00002E080000}"/>
    <cellStyle name="Énfasis4 15" xfId="2007" xr:uid="{00000000-0005-0000-0000-00002F080000}"/>
    <cellStyle name="Énfasis4 16" xfId="2008" xr:uid="{00000000-0005-0000-0000-000030080000}"/>
    <cellStyle name="Énfasis4 17" xfId="2009" xr:uid="{00000000-0005-0000-0000-000031080000}"/>
    <cellStyle name="Énfasis4 18" xfId="2010" xr:uid="{00000000-0005-0000-0000-000032080000}"/>
    <cellStyle name="Énfasis4 19" xfId="2011" xr:uid="{00000000-0005-0000-0000-000033080000}"/>
    <cellStyle name="Énfasis4 2" xfId="112" xr:uid="{00000000-0005-0000-0000-000034080000}"/>
    <cellStyle name="Énfasis4 2 2" xfId="2012" xr:uid="{00000000-0005-0000-0000-000035080000}"/>
    <cellStyle name="Énfasis4 2 3" xfId="2013" xr:uid="{00000000-0005-0000-0000-000036080000}"/>
    <cellStyle name="Énfasis4 2 4" xfId="2014" xr:uid="{00000000-0005-0000-0000-000037080000}"/>
    <cellStyle name="Énfasis4 2 5" xfId="2015" xr:uid="{00000000-0005-0000-0000-000038080000}"/>
    <cellStyle name="Énfasis4 20" xfId="2016" xr:uid="{00000000-0005-0000-0000-000039080000}"/>
    <cellStyle name="Énfasis4 21" xfId="2017" xr:uid="{00000000-0005-0000-0000-00003A080000}"/>
    <cellStyle name="Énfasis4 22" xfId="2018" xr:uid="{00000000-0005-0000-0000-00003B080000}"/>
    <cellStyle name="Énfasis4 23" xfId="2019" xr:uid="{00000000-0005-0000-0000-00003C080000}"/>
    <cellStyle name="Énfasis4 24" xfId="2020" xr:uid="{00000000-0005-0000-0000-00003D080000}"/>
    <cellStyle name="Énfasis4 25" xfId="2021" xr:uid="{00000000-0005-0000-0000-00003E080000}"/>
    <cellStyle name="Énfasis4 26" xfId="2022" xr:uid="{00000000-0005-0000-0000-00003F080000}"/>
    <cellStyle name="Énfasis4 27" xfId="2023" xr:uid="{00000000-0005-0000-0000-000040080000}"/>
    <cellStyle name="Énfasis4 28" xfId="2024" xr:uid="{00000000-0005-0000-0000-000041080000}"/>
    <cellStyle name="Énfasis4 29" xfId="2025" xr:uid="{00000000-0005-0000-0000-000042080000}"/>
    <cellStyle name="Énfasis4 3" xfId="2026" xr:uid="{00000000-0005-0000-0000-000043080000}"/>
    <cellStyle name="Énfasis4 30" xfId="2027" xr:uid="{00000000-0005-0000-0000-000044080000}"/>
    <cellStyle name="Énfasis4 31" xfId="2028" xr:uid="{00000000-0005-0000-0000-000045080000}"/>
    <cellStyle name="Énfasis4 32" xfId="2029" xr:uid="{00000000-0005-0000-0000-000046080000}"/>
    <cellStyle name="Énfasis4 33" xfId="2030" xr:uid="{00000000-0005-0000-0000-000047080000}"/>
    <cellStyle name="Énfasis4 34" xfId="2031" xr:uid="{00000000-0005-0000-0000-000048080000}"/>
    <cellStyle name="Énfasis4 35" xfId="2032" xr:uid="{00000000-0005-0000-0000-000049080000}"/>
    <cellStyle name="Énfasis4 36" xfId="2033" xr:uid="{00000000-0005-0000-0000-00004A080000}"/>
    <cellStyle name="Énfasis4 37" xfId="2034" xr:uid="{00000000-0005-0000-0000-00004B080000}"/>
    <cellStyle name="Énfasis4 38" xfId="2035" xr:uid="{00000000-0005-0000-0000-00004C080000}"/>
    <cellStyle name="Énfasis4 39" xfId="2036" xr:uid="{00000000-0005-0000-0000-00004D080000}"/>
    <cellStyle name="Énfasis4 4" xfId="2037" xr:uid="{00000000-0005-0000-0000-00004E080000}"/>
    <cellStyle name="Énfasis4 40" xfId="2038" xr:uid="{00000000-0005-0000-0000-00004F080000}"/>
    <cellStyle name="Énfasis4 41" xfId="2039" xr:uid="{00000000-0005-0000-0000-000050080000}"/>
    <cellStyle name="Énfasis4 42" xfId="2040" xr:uid="{00000000-0005-0000-0000-000051080000}"/>
    <cellStyle name="Énfasis4 43" xfId="2041" xr:uid="{00000000-0005-0000-0000-000052080000}"/>
    <cellStyle name="Énfasis4 44" xfId="2042" xr:uid="{00000000-0005-0000-0000-000053080000}"/>
    <cellStyle name="Énfasis4 45" xfId="2043" xr:uid="{00000000-0005-0000-0000-000054080000}"/>
    <cellStyle name="Énfasis4 46" xfId="2044" xr:uid="{00000000-0005-0000-0000-000055080000}"/>
    <cellStyle name="Énfasis4 47" xfId="2045" xr:uid="{00000000-0005-0000-0000-000056080000}"/>
    <cellStyle name="Énfasis4 48" xfId="2046" xr:uid="{00000000-0005-0000-0000-000057080000}"/>
    <cellStyle name="Énfasis4 49" xfId="2047" xr:uid="{00000000-0005-0000-0000-000058080000}"/>
    <cellStyle name="Énfasis4 5" xfId="2048" xr:uid="{00000000-0005-0000-0000-000059080000}"/>
    <cellStyle name="Énfasis4 50" xfId="2049" xr:uid="{00000000-0005-0000-0000-00005A080000}"/>
    <cellStyle name="Énfasis4 51" xfId="2050" xr:uid="{00000000-0005-0000-0000-00005B080000}"/>
    <cellStyle name="Énfasis4 52" xfId="2051" xr:uid="{00000000-0005-0000-0000-00005C080000}"/>
    <cellStyle name="Énfasis4 53" xfId="2052" xr:uid="{00000000-0005-0000-0000-00005D080000}"/>
    <cellStyle name="Énfasis4 54" xfId="2053" xr:uid="{00000000-0005-0000-0000-00005E080000}"/>
    <cellStyle name="Énfasis4 55" xfId="2054" xr:uid="{00000000-0005-0000-0000-00005F080000}"/>
    <cellStyle name="Énfasis4 56" xfId="2055" xr:uid="{00000000-0005-0000-0000-000060080000}"/>
    <cellStyle name="Énfasis4 57" xfId="2056" xr:uid="{00000000-0005-0000-0000-000061080000}"/>
    <cellStyle name="Énfasis4 58" xfId="2057" xr:uid="{00000000-0005-0000-0000-000062080000}"/>
    <cellStyle name="Énfasis4 59" xfId="2058" xr:uid="{00000000-0005-0000-0000-000063080000}"/>
    <cellStyle name="Énfasis4 6" xfId="2059" xr:uid="{00000000-0005-0000-0000-000064080000}"/>
    <cellStyle name="Énfasis4 60" xfId="2060" xr:uid="{00000000-0005-0000-0000-000065080000}"/>
    <cellStyle name="Énfasis4 61" xfId="2061" xr:uid="{00000000-0005-0000-0000-000066080000}"/>
    <cellStyle name="Énfasis4 62" xfId="2062" xr:uid="{00000000-0005-0000-0000-000067080000}"/>
    <cellStyle name="Énfasis4 63" xfId="2063" xr:uid="{00000000-0005-0000-0000-000068080000}"/>
    <cellStyle name="Énfasis4 64" xfId="2064" xr:uid="{00000000-0005-0000-0000-000069080000}"/>
    <cellStyle name="Énfasis4 65" xfId="2065" xr:uid="{00000000-0005-0000-0000-00006A080000}"/>
    <cellStyle name="Énfasis4 66" xfId="2066" xr:uid="{00000000-0005-0000-0000-00006B080000}"/>
    <cellStyle name="Énfasis4 67" xfId="2067" xr:uid="{00000000-0005-0000-0000-00006C080000}"/>
    <cellStyle name="Énfasis4 7" xfId="2068" xr:uid="{00000000-0005-0000-0000-00006D080000}"/>
    <cellStyle name="Énfasis4 8" xfId="2069" xr:uid="{00000000-0005-0000-0000-00006E080000}"/>
    <cellStyle name="Énfasis4 9" xfId="2070" xr:uid="{00000000-0005-0000-0000-00006F080000}"/>
    <cellStyle name="Énfasis5 10" xfId="2071" xr:uid="{00000000-0005-0000-0000-000070080000}"/>
    <cellStyle name="Énfasis5 11" xfId="2072" xr:uid="{00000000-0005-0000-0000-000071080000}"/>
    <cellStyle name="Énfasis5 12" xfId="2073" xr:uid="{00000000-0005-0000-0000-000072080000}"/>
    <cellStyle name="Énfasis5 13" xfId="2074" xr:uid="{00000000-0005-0000-0000-000073080000}"/>
    <cellStyle name="Énfasis5 14" xfId="2075" xr:uid="{00000000-0005-0000-0000-000074080000}"/>
    <cellStyle name="Énfasis5 15" xfId="2076" xr:uid="{00000000-0005-0000-0000-000075080000}"/>
    <cellStyle name="Énfasis5 16" xfId="2077" xr:uid="{00000000-0005-0000-0000-000076080000}"/>
    <cellStyle name="Énfasis5 17" xfId="2078" xr:uid="{00000000-0005-0000-0000-000077080000}"/>
    <cellStyle name="Énfasis5 18" xfId="2079" xr:uid="{00000000-0005-0000-0000-000078080000}"/>
    <cellStyle name="Énfasis5 19" xfId="2080" xr:uid="{00000000-0005-0000-0000-000079080000}"/>
    <cellStyle name="Énfasis5 2" xfId="113" xr:uid="{00000000-0005-0000-0000-00007A080000}"/>
    <cellStyle name="Énfasis5 2 2" xfId="2081" xr:uid="{00000000-0005-0000-0000-00007B080000}"/>
    <cellStyle name="Énfasis5 2 3" xfId="2082" xr:uid="{00000000-0005-0000-0000-00007C080000}"/>
    <cellStyle name="Énfasis5 2 4" xfId="2083" xr:uid="{00000000-0005-0000-0000-00007D080000}"/>
    <cellStyle name="Énfasis5 2 5" xfId="2084" xr:uid="{00000000-0005-0000-0000-00007E080000}"/>
    <cellStyle name="Énfasis5 20" xfId="2085" xr:uid="{00000000-0005-0000-0000-00007F080000}"/>
    <cellStyle name="Énfasis5 21" xfId="2086" xr:uid="{00000000-0005-0000-0000-000080080000}"/>
    <cellStyle name="Énfasis5 22" xfId="2087" xr:uid="{00000000-0005-0000-0000-000081080000}"/>
    <cellStyle name="Énfasis5 23" xfId="2088" xr:uid="{00000000-0005-0000-0000-000082080000}"/>
    <cellStyle name="Énfasis5 24" xfId="2089" xr:uid="{00000000-0005-0000-0000-000083080000}"/>
    <cellStyle name="Énfasis5 25" xfId="2090" xr:uid="{00000000-0005-0000-0000-000084080000}"/>
    <cellStyle name="Énfasis5 26" xfId="2091" xr:uid="{00000000-0005-0000-0000-000085080000}"/>
    <cellStyle name="Énfasis5 27" xfId="2092" xr:uid="{00000000-0005-0000-0000-000086080000}"/>
    <cellStyle name="Énfasis5 28" xfId="2093" xr:uid="{00000000-0005-0000-0000-000087080000}"/>
    <cellStyle name="Énfasis5 29" xfId="2094" xr:uid="{00000000-0005-0000-0000-000088080000}"/>
    <cellStyle name="Énfasis5 3" xfId="2095" xr:uid="{00000000-0005-0000-0000-000089080000}"/>
    <cellStyle name="Énfasis5 30" xfId="2096" xr:uid="{00000000-0005-0000-0000-00008A080000}"/>
    <cellStyle name="Énfasis5 31" xfId="2097" xr:uid="{00000000-0005-0000-0000-00008B080000}"/>
    <cellStyle name="Énfasis5 32" xfId="2098" xr:uid="{00000000-0005-0000-0000-00008C080000}"/>
    <cellStyle name="Énfasis5 33" xfId="2099" xr:uid="{00000000-0005-0000-0000-00008D080000}"/>
    <cellStyle name="Énfasis5 34" xfId="2100" xr:uid="{00000000-0005-0000-0000-00008E080000}"/>
    <cellStyle name="Énfasis5 35" xfId="2101" xr:uid="{00000000-0005-0000-0000-00008F080000}"/>
    <cellStyle name="Énfasis5 36" xfId="2102" xr:uid="{00000000-0005-0000-0000-000090080000}"/>
    <cellStyle name="Énfasis5 37" xfId="2103" xr:uid="{00000000-0005-0000-0000-000091080000}"/>
    <cellStyle name="Énfasis5 38" xfId="2104" xr:uid="{00000000-0005-0000-0000-000092080000}"/>
    <cellStyle name="Énfasis5 39" xfId="2105" xr:uid="{00000000-0005-0000-0000-000093080000}"/>
    <cellStyle name="Énfasis5 4" xfId="2106" xr:uid="{00000000-0005-0000-0000-000094080000}"/>
    <cellStyle name="Énfasis5 40" xfId="2107" xr:uid="{00000000-0005-0000-0000-000095080000}"/>
    <cellStyle name="Énfasis5 41" xfId="2108" xr:uid="{00000000-0005-0000-0000-000096080000}"/>
    <cellStyle name="Énfasis5 42" xfId="2109" xr:uid="{00000000-0005-0000-0000-000097080000}"/>
    <cellStyle name="Énfasis5 43" xfId="2110" xr:uid="{00000000-0005-0000-0000-000098080000}"/>
    <cellStyle name="Énfasis5 44" xfId="2111" xr:uid="{00000000-0005-0000-0000-000099080000}"/>
    <cellStyle name="Énfasis5 45" xfId="2112" xr:uid="{00000000-0005-0000-0000-00009A080000}"/>
    <cellStyle name="Énfasis5 46" xfId="2113" xr:uid="{00000000-0005-0000-0000-00009B080000}"/>
    <cellStyle name="Énfasis5 47" xfId="2114" xr:uid="{00000000-0005-0000-0000-00009C080000}"/>
    <cellStyle name="Énfasis5 48" xfId="2115" xr:uid="{00000000-0005-0000-0000-00009D080000}"/>
    <cellStyle name="Énfasis5 49" xfId="2116" xr:uid="{00000000-0005-0000-0000-00009E080000}"/>
    <cellStyle name="Énfasis5 5" xfId="2117" xr:uid="{00000000-0005-0000-0000-00009F080000}"/>
    <cellStyle name="Énfasis5 50" xfId="2118" xr:uid="{00000000-0005-0000-0000-0000A0080000}"/>
    <cellStyle name="Énfasis5 51" xfId="2119" xr:uid="{00000000-0005-0000-0000-0000A1080000}"/>
    <cellStyle name="Énfasis5 52" xfId="2120" xr:uid="{00000000-0005-0000-0000-0000A2080000}"/>
    <cellStyle name="Énfasis5 53" xfId="2121" xr:uid="{00000000-0005-0000-0000-0000A3080000}"/>
    <cellStyle name="Énfasis5 54" xfId="2122" xr:uid="{00000000-0005-0000-0000-0000A4080000}"/>
    <cellStyle name="Énfasis5 55" xfId="2123" xr:uid="{00000000-0005-0000-0000-0000A5080000}"/>
    <cellStyle name="Énfasis5 56" xfId="2124" xr:uid="{00000000-0005-0000-0000-0000A6080000}"/>
    <cellStyle name="Énfasis5 57" xfId="2125" xr:uid="{00000000-0005-0000-0000-0000A7080000}"/>
    <cellStyle name="Énfasis5 58" xfId="2126" xr:uid="{00000000-0005-0000-0000-0000A8080000}"/>
    <cellStyle name="Énfasis5 59" xfId="2127" xr:uid="{00000000-0005-0000-0000-0000A9080000}"/>
    <cellStyle name="Énfasis5 6" xfId="2128" xr:uid="{00000000-0005-0000-0000-0000AA080000}"/>
    <cellStyle name="Énfasis5 60" xfId="2129" xr:uid="{00000000-0005-0000-0000-0000AB080000}"/>
    <cellStyle name="Énfasis5 61" xfId="2130" xr:uid="{00000000-0005-0000-0000-0000AC080000}"/>
    <cellStyle name="Énfasis5 62" xfId="2131" xr:uid="{00000000-0005-0000-0000-0000AD080000}"/>
    <cellStyle name="Énfasis5 63" xfId="2132" xr:uid="{00000000-0005-0000-0000-0000AE080000}"/>
    <cellStyle name="Énfasis5 64" xfId="2133" xr:uid="{00000000-0005-0000-0000-0000AF080000}"/>
    <cellStyle name="Énfasis5 65" xfId="2134" xr:uid="{00000000-0005-0000-0000-0000B0080000}"/>
    <cellStyle name="Énfasis5 66" xfId="2135" xr:uid="{00000000-0005-0000-0000-0000B1080000}"/>
    <cellStyle name="Énfasis5 67" xfId="2136" xr:uid="{00000000-0005-0000-0000-0000B2080000}"/>
    <cellStyle name="Énfasis5 7" xfId="2137" xr:uid="{00000000-0005-0000-0000-0000B3080000}"/>
    <cellStyle name="Énfasis5 8" xfId="2138" xr:uid="{00000000-0005-0000-0000-0000B4080000}"/>
    <cellStyle name="Énfasis5 9" xfId="2139" xr:uid="{00000000-0005-0000-0000-0000B5080000}"/>
    <cellStyle name="Énfasis6 10" xfId="2140" xr:uid="{00000000-0005-0000-0000-0000B6080000}"/>
    <cellStyle name="Énfasis6 11" xfId="2141" xr:uid="{00000000-0005-0000-0000-0000B7080000}"/>
    <cellStyle name="Énfasis6 12" xfId="2142" xr:uid="{00000000-0005-0000-0000-0000B8080000}"/>
    <cellStyle name="Énfasis6 13" xfId="2143" xr:uid="{00000000-0005-0000-0000-0000B9080000}"/>
    <cellStyle name="Énfasis6 14" xfId="2144" xr:uid="{00000000-0005-0000-0000-0000BA080000}"/>
    <cellStyle name="Énfasis6 15" xfId="2145" xr:uid="{00000000-0005-0000-0000-0000BB080000}"/>
    <cellStyle name="Énfasis6 16" xfId="2146" xr:uid="{00000000-0005-0000-0000-0000BC080000}"/>
    <cellStyle name="Énfasis6 17" xfId="2147" xr:uid="{00000000-0005-0000-0000-0000BD080000}"/>
    <cellStyle name="Énfasis6 18" xfId="2148" xr:uid="{00000000-0005-0000-0000-0000BE080000}"/>
    <cellStyle name="Énfasis6 19" xfId="2149" xr:uid="{00000000-0005-0000-0000-0000BF080000}"/>
    <cellStyle name="Énfasis6 2" xfId="114" xr:uid="{00000000-0005-0000-0000-0000C0080000}"/>
    <cellStyle name="Énfasis6 2 2" xfId="2150" xr:uid="{00000000-0005-0000-0000-0000C1080000}"/>
    <cellStyle name="Énfasis6 2 3" xfId="2151" xr:uid="{00000000-0005-0000-0000-0000C2080000}"/>
    <cellStyle name="Énfasis6 2 4" xfId="2152" xr:uid="{00000000-0005-0000-0000-0000C3080000}"/>
    <cellStyle name="Énfasis6 2 5" xfId="2153" xr:uid="{00000000-0005-0000-0000-0000C4080000}"/>
    <cellStyle name="Énfasis6 20" xfId="2154" xr:uid="{00000000-0005-0000-0000-0000C5080000}"/>
    <cellStyle name="Énfasis6 21" xfId="2155" xr:uid="{00000000-0005-0000-0000-0000C6080000}"/>
    <cellStyle name="Énfasis6 22" xfId="2156" xr:uid="{00000000-0005-0000-0000-0000C7080000}"/>
    <cellStyle name="Énfasis6 23" xfId="2157" xr:uid="{00000000-0005-0000-0000-0000C8080000}"/>
    <cellStyle name="Énfasis6 24" xfId="2158" xr:uid="{00000000-0005-0000-0000-0000C9080000}"/>
    <cellStyle name="Énfasis6 25" xfId="2159" xr:uid="{00000000-0005-0000-0000-0000CA080000}"/>
    <cellStyle name="Énfasis6 26" xfId="2160" xr:uid="{00000000-0005-0000-0000-0000CB080000}"/>
    <cellStyle name="Énfasis6 27" xfId="2161" xr:uid="{00000000-0005-0000-0000-0000CC080000}"/>
    <cellStyle name="Énfasis6 28" xfId="2162" xr:uid="{00000000-0005-0000-0000-0000CD080000}"/>
    <cellStyle name="Énfasis6 29" xfId="2163" xr:uid="{00000000-0005-0000-0000-0000CE080000}"/>
    <cellStyle name="Énfasis6 3" xfId="2164" xr:uid="{00000000-0005-0000-0000-0000CF080000}"/>
    <cellStyle name="Énfasis6 30" xfId="2165" xr:uid="{00000000-0005-0000-0000-0000D0080000}"/>
    <cellStyle name="Énfasis6 31" xfId="2166" xr:uid="{00000000-0005-0000-0000-0000D1080000}"/>
    <cellStyle name="Énfasis6 32" xfId="2167" xr:uid="{00000000-0005-0000-0000-0000D2080000}"/>
    <cellStyle name="Énfasis6 33" xfId="2168" xr:uid="{00000000-0005-0000-0000-0000D3080000}"/>
    <cellStyle name="Énfasis6 34" xfId="2169" xr:uid="{00000000-0005-0000-0000-0000D4080000}"/>
    <cellStyle name="Énfasis6 35" xfId="2170" xr:uid="{00000000-0005-0000-0000-0000D5080000}"/>
    <cellStyle name="Énfasis6 36" xfId="2171" xr:uid="{00000000-0005-0000-0000-0000D6080000}"/>
    <cellStyle name="Énfasis6 37" xfId="2172" xr:uid="{00000000-0005-0000-0000-0000D7080000}"/>
    <cellStyle name="Énfasis6 38" xfId="2173" xr:uid="{00000000-0005-0000-0000-0000D8080000}"/>
    <cellStyle name="Énfasis6 39" xfId="2174" xr:uid="{00000000-0005-0000-0000-0000D9080000}"/>
    <cellStyle name="Énfasis6 4" xfId="2175" xr:uid="{00000000-0005-0000-0000-0000DA080000}"/>
    <cellStyle name="Énfasis6 40" xfId="2176" xr:uid="{00000000-0005-0000-0000-0000DB080000}"/>
    <cellStyle name="Énfasis6 41" xfId="2177" xr:uid="{00000000-0005-0000-0000-0000DC080000}"/>
    <cellStyle name="Énfasis6 42" xfId="2178" xr:uid="{00000000-0005-0000-0000-0000DD080000}"/>
    <cellStyle name="Énfasis6 43" xfId="2179" xr:uid="{00000000-0005-0000-0000-0000DE080000}"/>
    <cellStyle name="Énfasis6 44" xfId="2180" xr:uid="{00000000-0005-0000-0000-0000DF080000}"/>
    <cellStyle name="Énfasis6 45" xfId="2181" xr:uid="{00000000-0005-0000-0000-0000E0080000}"/>
    <cellStyle name="Énfasis6 46" xfId="2182" xr:uid="{00000000-0005-0000-0000-0000E1080000}"/>
    <cellStyle name="Énfasis6 47" xfId="2183" xr:uid="{00000000-0005-0000-0000-0000E2080000}"/>
    <cellStyle name="Énfasis6 48" xfId="2184" xr:uid="{00000000-0005-0000-0000-0000E3080000}"/>
    <cellStyle name="Énfasis6 49" xfId="2185" xr:uid="{00000000-0005-0000-0000-0000E4080000}"/>
    <cellStyle name="Énfasis6 5" xfId="2186" xr:uid="{00000000-0005-0000-0000-0000E5080000}"/>
    <cellStyle name="Énfasis6 50" xfId="2187" xr:uid="{00000000-0005-0000-0000-0000E6080000}"/>
    <cellStyle name="Énfasis6 51" xfId="2188" xr:uid="{00000000-0005-0000-0000-0000E7080000}"/>
    <cellStyle name="Énfasis6 52" xfId="2189" xr:uid="{00000000-0005-0000-0000-0000E8080000}"/>
    <cellStyle name="Énfasis6 53" xfId="2190" xr:uid="{00000000-0005-0000-0000-0000E9080000}"/>
    <cellStyle name="Énfasis6 54" xfId="2191" xr:uid="{00000000-0005-0000-0000-0000EA080000}"/>
    <cellStyle name="Énfasis6 55" xfId="2192" xr:uid="{00000000-0005-0000-0000-0000EB080000}"/>
    <cellStyle name="Énfasis6 56" xfId="2193" xr:uid="{00000000-0005-0000-0000-0000EC080000}"/>
    <cellStyle name="Énfasis6 57" xfId="2194" xr:uid="{00000000-0005-0000-0000-0000ED080000}"/>
    <cellStyle name="Énfasis6 58" xfId="2195" xr:uid="{00000000-0005-0000-0000-0000EE080000}"/>
    <cellStyle name="Énfasis6 59" xfId="2196" xr:uid="{00000000-0005-0000-0000-0000EF080000}"/>
    <cellStyle name="Énfasis6 6" xfId="2197" xr:uid="{00000000-0005-0000-0000-0000F0080000}"/>
    <cellStyle name="Énfasis6 60" xfId="2198" xr:uid="{00000000-0005-0000-0000-0000F1080000}"/>
    <cellStyle name="Énfasis6 61" xfId="2199" xr:uid="{00000000-0005-0000-0000-0000F2080000}"/>
    <cellStyle name="Énfasis6 62" xfId="2200" xr:uid="{00000000-0005-0000-0000-0000F3080000}"/>
    <cellStyle name="Énfasis6 63" xfId="2201" xr:uid="{00000000-0005-0000-0000-0000F4080000}"/>
    <cellStyle name="Énfasis6 64" xfId="2202" xr:uid="{00000000-0005-0000-0000-0000F5080000}"/>
    <cellStyle name="Énfasis6 65" xfId="2203" xr:uid="{00000000-0005-0000-0000-0000F6080000}"/>
    <cellStyle name="Énfasis6 66" xfId="2204" xr:uid="{00000000-0005-0000-0000-0000F7080000}"/>
    <cellStyle name="Énfasis6 67" xfId="2205" xr:uid="{00000000-0005-0000-0000-0000F8080000}"/>
    <cellStyle name="Énfasis6 7" xfId="2206" xr:uid="{00000000-0005-0000-0000-0000F9080000}"/>
    <cellStyle name="Énfasis6 8" xfId="2207" xr:uid="{00000000-0005-0000-0000-0000FA080000}"/>
    <cellStyle name="Énfasis6 9" xfId="2208" xr:uid="{00000000-0005-0000-0000-0000FB080000}"/>
    <cellStyle name="Entrada 10" xfId="2209" xr:uid="{00000000-0005-0000-0000-0000FC080000}"/>
    <cellStyle name="Entrada 11" xfId="2210" xr:uid="{00000000-0005-0000-0000-0000FD080000}"/>
    <cellStyle name="Entrada 12" xfId="2211" xr:uid="{00000000-0005-0000-0000-0000FE080000}"/>
    <cellStyle name="Entrada 13" xfId="2212" xr:uid="{00000000-0005-0000-0000-0000FF080000}"/>
    <cellStyle name="Entrada 14" xfId="2213" xr:uid="{00000000-0005-0000-0000-000000090000}"/>
    <cellStyle name="Entrada 15" xfId="2214" xr:uid="{00000000-0005-0000-0000-000001090000}"/>
    <cellStyle name="Entrada 16" xfId="2215" xr:uid="{00000000-0005-0000-0000-000002090000}"/>
    <cellStyle name="Entrada 17" xfId="2216" xr:uid="{00000000-0005-0000-0000-000003090000}"/>
    <cellStyle name="Entrada 18" xfId="2217" xr:uid="{00000000-0005-0000-0000-000004090000}"/>
    <cellStyle name="Entrada 19" xfId="2218" xr:uid="{00000000-0005-0000-0000-000005090000}"/>
    <cellStyle name="Entrada 2" xfId="115" xr:uid="{00000000-0005-0000-0000-000006090000}"/>
    <cellStyle name="Entrada 2 2" xfId="2219" xr:uid="{00000000-0005-0000-0000-000007090000}"/>
    <cellStyle name="Entrada 2 3" xfId="2220" xr:uid="{00000000-0005-0000-0000-000008090000}"/>
    <cellStyle name="Entrada 2 4" xfId="2221" xr:uid="{00000000-0005-0000-0000-000009090000}"/>
    <cellStyle name="Entrada 2 5" xfId="2222" xr:uid="{00000000-0005-0000-0000-00000A090000}"/>
    <cellStyle name="Entrada 20" xfId="2223" xr:uid="{00000000-0005-0000-0000-00000B090000}"/>
    <cellStyle name="Entrada 21" xfId="2224" xr:uid="{00000000-0005-0000-0000-00000C090000}"/>
    <cellStyle name="Entrada 22" xfId="2225" xr:uid="{00000000-0005-0000-0000-00000D090000}"/>
    <cellStyle name="Entrada 23" xfId="2226" xr:uid="{00000000-0005-0000-0000-00000E090000}"/>
    <cellStyle name="Entrada 24" xfId="2227" xr:uid="{00000000-0005-0000-0000-00000F090000}"/>
    <cellStyle name="Entrada 25" xfId="2228" xr:uid="{00000000-0005-0000-0000-000010090000}"/>
    <cellStyle name="Entrada 26" xfId="2229" xr:uid="{00000000-0005-0000-0000-000011090000}"/>
    <cellStyle name="Entrada 27" xfId="2230" xr:uid="{00000000-0005-0000-0000-000012090000}"/>
    <cellStyle name="Entrada 28" xfId="2231" xr:uid="{00000000-0005-0000-0000-000013090000}"/>
    <cellStyle name="Entrada 29" xfId="2232" xr:uid="{00000000-0005-0000-0000-000014090000}"/>
    <cellStyle name="Entrada 3" xfId="2233" xr:uid="{00000000-0005-0000-0000-000015090000}"/>
    <cellStyle name="Entrada 30" xfId="2234" xr:uid="{00000000-0005-0000-0000-000016090000}"/>
    <cellStyle name="Entrada 31" xfId="2235" xr:uid="{00000000-0005-0000-0000-000017090000}"/>
    <cellStyle name="Entrada 32" xfId="2236" xr:uid="{00000000-0005-0000-0000-000018090000}"/>
    <cellStyle name="Entrada 33" xfId="2237" xr:uid="{00000000-0005-0000-0000-000019090000}"/>
    <cellStyle name="Entrada 34" xfId="2238" xr:uid="{00000000-0005-0000-0000-00001A090000}"/>
    <cellStyle name="Entrada 35" xfId="2239" xr:uid="{00000000-0005-0000-0000-00001B090000}"/>
    <cellStyle name="Entrada 36" xfId="2240" xr:uid="{00000000-0005-0000-0000-00001C090000}"/>
    <cellStyle name="Entrada 37" xfId="2241" xr:uid="{00000000-0005-0000-0000-00001D090000}"/>
    <cellStyle name="Entrada 38" xfId="2242" xr:uid="{00000000-0005-0000-0000-00001E090000}"/>
    <cellStyle name="Entrada 39" xfId="2243" xr:uid="{00000000-0005-0000-0000-00001F090000}"/>
    <cellStyle name="Entrada 4" xfId="2244" xr:uid="{00000000-0005-0000-0000-000020090000}"/>
    <cellStyle name="Entrada 40" xfId="2245" xr:uid="{00000000-0005-0000-0000-000021090000}"/>
    <cellStyle name="Entrada 41" xfId="2246" xr:uid="{00000000-0005-0000-0000-000022090000}"/>
    <cellStyle name="Entrada 42" xfId="2247" xr:uid="{00000000-0005-0000-0000-000023090000}"/>
    <cellStyle name="Entrada 43" xfId="2248" xr:uid="{00000000-0005-0000-0000-000024090000}"/>
    <cellStyle name="Entrada 44" xfId="2249" xr:uid="{00000000-0005-0000-0000-000025090000}"/>
    <cellStyle name="Entrada 45" xfId="2250" xr:uid="{00000000-0005-0000-0000-000026090000}"/>
    <cellStyle name="Entrada 46" xfId="2251" xr:uid="{00000000-0005-0000-0000-000027090000}"/>
    <cellStyle name="Entrada 47" xfId="2252" xr:uid="{00000000-0005-0000-0000-000028090000}"/>
    <cellStyle name="Entrada 48" xfId="2253" xr:uid="{00000000-0005-0000-0000-000029090000}"/>
    <cellStyle name="Entrada 49" xfId="2254" xr:uid="{00000000-0005-0000-0000-00002A090000}"/>
    <cellStyle name="Entrada 5" xfId="2255" xr:uid="{00000000-0005-0000-0000-00002B090000}"/>
    <cellStyle name="Entrada 50" xfId="2256" xr:uid="{00000000-0005-0000-0000-00002C090000}"/>
    <cellStyle name="Entrada 51" xfId="2257" xr:uid="{00000000-0005-0000-0000-00002D090000}"/>
    <cellStyle name="Entrada 52" xfId="2258" xr:uid="{00000000-0005-0000-0000-00002E090000}"/>
    <cellStyle name="Entrada 53" xfId="2259" xr:uid="{00000000-0005-0000-0000-00002F090000}"/>
    <cellStyle name="Entrada 54" xfId="2260" xr:uid="{00000000-0005-0000-0000-000030090000}"/>
    <cellStyle name="Entrada 55" xfId="2261" xr:uid="{00000000-0005-0000-0000-000031090000}"/>
    <cellStyle name="Entrada 56" xfId="2262" xr:uid="{00000000-0005-0000-0000-000032090000}"/>
    <cellStyle name="Entrada 57" xfId="2263" xr:uid="{00000000-0005-0000-0000-000033090000}"/>
    <cellStyle name="Entrada 58" xfId="2264" xr:uid="{00000000-0005-0000-0000-000034090000}"/>
    <cellStyle name="Entrada 59" xfId="2265" xr:uid="{00000000-0005-0000-0000-000035090000}"/>
    <cellStyle name="Entrada 6" xfId="2266" xr:uid="{00000000-0005-0000-0000-000036090000}"/>
    <cellStyle name="Entrada 60" xfId="2267" xr:uid="{00000000-0005-0000-0000-000037090000}"/>
    <cellStyle name="Entrada 61" xfId="2268" xr:uid="{00000000-0005-0000-0000-000038090000}"/>
    <cellStyle name="Entrada 62" xfId="2269" xr:uid="{00000000-0005-0000-0000-000039090000}"/>
    <cellStyle name="Entrada 63" xfId="2270" xr:uid="{00000000-0005-0000-0000-00003A090000}"/>
    <cellStyle name="Entrada 64" xfId="2271" xr:uid="{00000000-0005-0000-0000-00003B090000}"/>
    <cellStyle name="Entrada 65" xfId="2272" xr:uid="{00000000-0005-0000-0000-00003C090000}"/>
    <cellStyle name="Entrada 66" xfId="2273" xr:uid="{00000000-0005-0000-0000-00003D090000}"/>
    <cellStyle name="Entrada 67" xfId="2274" xr:uid="{00000000-0005-0000-0000-00003E090000}"/>
    <cellStyle name="Entrada 7" xfId="2275" xr:uid="{00000000-0005-0000-0000-00003F090000}"/>
    <cellStyle name="Entrada 8" xfId="2276" xr:uid="{00000000-0005-0000-0000-000040090000}"/>
    <cellStyle name="Entrada 9" xfId="2277" xr:uid="{00000000-0005-0000-0000-000041090000}"/>
    <cellStyle name="Estilo 1" xfId="37" xr:uid="{00000000-0005-0000-0000-000042090000}"/>
    <cellStyle name="Estilo 1 2" xfId="2278" xr:uid="{00000000-0005-0000-0000-000043090000}"/>
    <cellStyle name="Estilo 1 26" xfId="7343" xr:uid="{00000000-0005-0000-0000-000044090000}"/>
    <cellStyle name="Estilo 1 3" xfId="3617" xr:uid="{00000000-0005-0000-0000-000045090000}"/>
    <cellStyle name="Estilo 1 4" xfId="3618" xr:uid="{00000000-0005-0000-0000-000046090000}"/>
    <cellStyle name="Euro" xfId="38" xr:uid="{00000000-0005-0000-0000-000047090000}"/>
    <cellStyle name="Euro 10" xfId="7344" xr:uid="{00000000-0005-0000-0000-000048090000}"/>
    <cellStyle name="Euro 11" xfId="7345" xr:uid="{00000000-0005-0000-0000-000049090000}"/>
    <cellStyle name="Euro 12" xfId="7346" xr:uid="{00000000-0005-0000-0000-00004A090000}"/>
    <cellStyle name="Euro 13" xfId="7347" xr:uid="{00000000-0005-0000-0000-00004B090000}"/>
    <cellStyle name="Euro 14" xfId="7348" xr:uid="{00000000-0005-0000-0000-00004C090000}"/>
    <cellStyle name="Euro 15" xfId="7349" xr:uid="{00000000-0005-0000-0000-00004D090000}"/>
    <cellStyle name="Euro 16" xfId="7350" xr:uid="{00000000-0005-0000-0000-00004E090000}"/>
    <cellStyle name="Euro 17" xfId="7351" xr:uid="{00000000-0005-0000-0000-00004F090000}"/>
    <cellStyle name="Euro 18" xfId="7352" xr:uid="{00000000-0005-0000-0000-000050090000}"/>
    <cellStyle name="Euro 19" xfId="7353" xr:uid="{00000000-0005-0000-0000-000051090000}"/>
    <cellStyle name="Euro 2" xfId="39" xr:uid="{00000000-0005-0000-0000-000052090000}"/>
    <cellStyle name="Euro 2 2" xfId="116" xr:uid="{00000000-0005-0000-0000-000053090000}"/>
    <cellStyle name="Euro 2 3" xfId="182" xr:uid="{00000000-0005-0000-0000-000054090000}"/>
    <cellStyle name="Euro 20" xfId="7354" xr:uid="{00000000-0005-0000-0000-000055090000}"/>
    <cellStyle name="Euro 21" xfId="7355" xr:uid="{00000000-0005-0000-0000-000056090000}"/>
    <cellStyle name="Euro 22" xfId="7356" xr:uid="{00000000-0005-0000-0000-000057090000}"/>
    <cellStyle name="Euro 23" xfId="7357" xr:uid="{00000000-0005-0000-0000-000058090000}"/>
    <cellStyle name="Euro 24" xfId="7358" xr:uid="{00000000-0005-0000-0000-000059090000}"/>
    <cellStyle name="Euro 25" xfId="7359" xr:uid="{00000000-0005-0000-0000-00005A090000}"/>
    <cellStyle name="Euro 26" xfId="7360" xr:uid="{00000000-0005-0000-0000-00005B090000}"/>
    <cellStyle name="Euro 27" xfId="7361" xr:uid="{00000000-0005-0000-0000-00005C090000}"/>
    <cellStyle name="Euro 28" xfId="7362" xr:uid="{00000000-0005-0000-0000-00005D090000}"/>
    <cellStyle name="Euro 29" xfId="7363" xr:uid="{00000000-0005-0000-0000-00005E090000}"/>
    <cellStyle name="Euro 3" xfId="117" xr:uid="{00000000-0005-0000-0000-00005F090000}"/>
    <cellStyle name="Euro 3 2" xfId="118" xr:uid="{00000000-0005-0000-0000-000060090000}"/>
    <cellStyle name="Euro 30" xfId="7364" xr:uid="{00000000-0005-0000-0000-000061090000}"/>
    <cellStyle name="Euro 31" xfId="7365" xr:uid="{00000000-0005-0000-0000-000062090000}"/>
    <cellStyle name="Euro 32" xfId="7366" xr:uid="{00000000-0005-0000-0000-000063090000}"/>
    <cellStyle name="Euro 33" xfId="7367" xr:uid="{00000000-0005-0000-0000-000064090000}"/>
    <cellStyle name="Euro 34" xfId="7368" xr:uid="{00000000-0005-0000-0000-000065090000}"/>
    <cellStyle name="Euro 35" xfId="7369" xr:uid="{00000000-0005-0000-0000-000066090000}"/>
    <cellStyle name="Euro 36" xfId="7370" xr:uid="{00000000-0005-0000-0000-000067090000}"/>
    <cellStyle name="Euro 37" xfId="7371" xr:uid="{00000000-0005-0000-0000-000068090000}"/>
    <cellStyle name="Euro 4" xfId="2279" xr:uid="{00000000-0005-0000-0000-000069090000}"/>
    <cellStyle name="Euro 5" xfId="2280" xr:uid="{00000000-0005-0000-0000-00006A090000}"/>
    <cellStyle name="Euro 6" xfId="2281" xr:uid="{00000000-0005-0000-0000-00006B090000}"/>
    <cellStyle name="Euro 7" xfId="7372" xr:uid="{00000000-0005-0000-0000-00006C090000}"/>
    <cellStyle name="Euro 8" xfId="7373" xr:uid="{00000000-0005-0000-0000-00006D090000}"/>
    <cellStyle name="Euro 9" xfId="7374" xr:uid="{00000000-0005-0000-0000-00006E090000}"/>
    <cellStyle name="Euro_2010.09.13 Av. Venezuela Ratio rev3" xfId="40" xr:uid="{00000000-0005-0000-0000-00006F090000}"/>
    <cellStyle name="Excel Built-in Normal" xfId="3619" xr:uid="{00000000-0005-0000-0000-000070090000}"/>
    <cellStyle name="Excel Built-in Normal 1" xfId="7375" xr:uid="{00000000-0005-0000-0000-000071090000}"/>
    <cellStyle name="Excel Built-in Normal 2" xfId="3620" xr:uid="{00000000-0005-0000-0000-000072090000}"/>
    <cellStyle name="Explanatory Text" xfId="7376" xr:uid="{00000000-0005-0000-0000-000073090000}"/>
    <cellStyle name="F2" xfId="41" xr:uid="{00000000-0005-0000-0000-000074090000}"/>
    <cellStyle name="F2 - Modelo2" xfId="3621" xr:uid="{00000000-0005-0000-0000-000075090000}"/>
    <cellStyle name="F2 10" xfId="3622" xr:uid="{00000000-0005-0000-0000-000076090000}"/>
    <cellStyle name="F2 11" xfId="3623" xr:uid="{00000000-0005-0000-0000-000077090000}"/>
    <cellStyle name="F2 12" xfId="3624" xr:uid="{00000000-0005-0000-0000-000078090000}"/>
    <cellStyle name="F2 13" xfId="3625" xr:uid="{00000000-0005-0000-0000-000079090000}"/>
    <cellStyle name="F2 14" xfId="3626" xr:uid="{00000000-0005-0000-0000-00007A090000}"/>
    <cellStyle name="F2 15" xfId="3627" xr:uid="{00000000-0005-0000-0000-00007B090000}"/>
    <cellStyle name="F2 16" xfId="3628" xr:uid="{00000000-0005-0000-0000-00007C090000}"/>
    <cellStyle name="F2 17" xfId="3629" xr:uid="{00000000-0005-0000-0000-00007D090000}"/>
    <cellStyle name="F2 18" xfId="3630" xr:uid="{00000000-0005-0000-0000-00007E090000}"/>
    <cellStyle name="F2 19" xfId="3631" xr:uid="{00000000-0005-0000-0000-00007F090000}"/>
    <cellStyle name="F2 2" xfId="3632" xr:uid="{00000000-0005-0000-0000-000080090000}"/>
    <cellStyle name="F2 20" xfId="3633" xr:uid="{00000000-0005-0000-0000-000081090000}"/>
    <cellStyle name="F2 21" xfId="3634" xr:uid="{00000000-0005-0000-0000-000082090000}"/>
    <cellStyle name="F2 22" xfId="3635" xr:uid="{00000000-0005-0000-0000-000083090000}"/>
    <cellStyle name="F2 23" xfId="3636" xr:uid="{00000000-0005-0000-0000-000084090000}"/>
    <cellStyle name="F2 24" xfId="3637" xr:uid="{00000000-0005-0000-0000-000085090000}"/>
    <cellStyle name="F2 25" xfId="3638" xr:uid="{00000000-0005-0000-0000-000086090000}"/>
    <cellStyle name="F2 26" xfId="3639" xr:uid="{00000000-0005-0000-0000-000087090000}"/>
    <cellStyle name="F2 27" xfId="3640" xr:uid="{00000000-0005-0000-0000-000088090000}"/>
    <cellStyle name="F2 28" xfId="3641" xr:uid="{00000000-0005-0000-0000-000089090000}"/>
    <cellStyle name="F2 29" xfId="3642" xr:uid="{00000000-0005-0000-0000-00008A090000}"/>
    <cellStyle name="F2 3" xfId="3643" xr:uid="{00000000-0005-0000-0000-00008B090000}"/>
    <cellStyle name="F2 30" xfId="3644" xr:uid="{00000000-0005-0000-0000-00008C090000}"/>
    <cellStyle name="F2 31" xfId="3645" xr:uid="{00000000-0005-0000-0000-00008D090000}"/>
    <cellStyle name="F2 32" xfId="3646" xr:uid="{00000000-0005-0000-0000-00008E090000}"/>
    <cellStyle name="F2 33" xfId="3647" xr:uid="{00000000-0005-0000-0000-00008F090000}"/>
    <cellStyle name="F2 34" xfId="3648" xr:uid="{00000000-0005-0000-0000-000090090000}"/>
    <cellStyle name="F2 35" xfId="3649" xr:uid="{00000000-0005-0000-0000-000091090000}"/>
    <cellStyle name="F2 36" xfId="3650" xr:uid="{00000000-0005-0000-0000-000092090000}"/>
    <cellStyle name="F2 37" xfId="3651" xr:uid="{00000000-0005-0000-0000-000093090000}"/>
    <cellStyle name="F2 38" xfId="3652" xr:uid="{00000000-0005-0000-0000-000094090000}"/>
    <cellStyle name="F2 39" xfId="3653" xr:uid="{00000000-0005-0000-0000-000095090000}"/>
    <cellStyle name="F2 4" xfId="3654" xr:uid="{00000000-0005-0000-0000-000096090000}"/>
    <cellStyle name="F2 40" xfId="3655" xr:uid="{00000000-0005-0000-0000-000097090000}"/>
    <cellStyle name="F2 41" xfId="3656" xr:uid="{00000000-0005-0000-0000-000098090000}"/>
    <cellStyle name="F2 42" xfId="3657" xr:uid="{00000000-0005-0000-0000-000099090000}"/>
    <cellStyle name="F2 43" xfId="3658" xr:uid="{00000000-0005-0000-0000-00009A090000}"/>
    <cellStyle name="F2 44" xfId="3659" xr:uid="{00000000-0005-0000-0000-00009B090000}"/>
    <cellStyle name="F2 45" xfId="3660" xr:uid="{00000000-0005-0000-0000-00009C090000}"/>
    <cellStyle name="F2 46" xfId="3661" xr:uid="{00000000-0005-0000-0000-00009D090000}"/>
    <cellStyle name="F2 47" xfId="3662" xr:uid="{00000000-0005-0000-0000-00009E090000}"/>
    <cellStyle name="F2 48" xfId="3663" xr:uid="{00000000-0005-0000-0000-00009F090000}"/>
    <cellStyle name="F2 49" xfId="3664" xr:uid="{00000000-0005-0000-0000-0000A0090000}"/>
    <cellStyle name="F2 5" xfId="3665" xr:uid="{00000000-0005-0000-0000-0000A1090000}"/>
    <cellStyle name="F2 50" xfId="3666" xr:uid="{00000000-0005-0000-0000-0000A2090000}"/>
    <cellStyle name="F2 51" xfId="3667" xr:uid="{00000000-0005-0000-0000-0000A3090000}"/>
    <cellStyle name="F2 52" xfId="3668" xr:uid="{00000000-0005-0000-0000-0000A4090000}"/>
    <cellStyle name="F2 53" xfId="3669" xr:uid="{00000000-0005-0000-0000-0000A5090000}"/>
    <cellStyle name="F2 54" xfId="3670" xr:uid="{00000000-0005-0000-0000-0000A6090000}"/>
    <cellStyle name="F2 55" xfId="3671" xr:uid="{00000000-0005-0000-0000-0000A7090000}"/>
    <cellStyle name="F2 56" xfId="3672" xr:uid="{00000000-0005-0000-0000-0000A8090000}"/>
    <cellStyle name="F2 57" xfId="3673" xr:uid="{00000000-0005-0000-0000-0000A9090000}"/>
    <cellStyle name="F2 58" xfId="3674" xr:uid="{00000000-0005-0000-0000-0000AA090000}"/>
    <cellStyle name="F2 59" xfId="3675" xr:uid="{00000000-0005-0000-0000-0000AB090000}"/>
    <cellStyle name="F2 6" xfId="3676" xr:uid="{00000000-0005-0000-0000-0000AC090000}"/>
    <cellStyle name="F2 60" xfId="3677" xr:uid="{00000000-0005-0000-0000-0000AD090000}"/>
    <cellStyle name="F2 61" xfId="3678" xr:uid="{00000000-0005-0000-0000-0000AE090000}"/>
    <cellStyle name="F2 62" xfId="3679" xr:uid="{00000000-0005-0000-0000-0000AF090000}"/>
    <cellStyle name="F2 63" xfId="3680" xr:uid="{00000000-0005-0000-0000-0000B0090000}"/>
    <cellStyle name="F2 64" xfId="3681" xr:uid="{00000000-0005-0000-0000-0000B1090000}"/>
    <cellStyle name="F2 65" xfId="3682" xr:uid="{00000000-0005-0000-0000-0000B2090000}"/>
    <cellStyle name="F2 66" xfId="3683" xr:uid="{00000000-0005-0000-0000-0000B3090000}"/>
    <cellStyle name="F2 67" xfId="3684" xr:uid="{00000000-0005-0000-0000-0000B4090000}"/>
    <cellStyle name="F2 68" xfId="3685" xr:uid="{00000000-0005-0000-0000-0000B5090000}"/>
    <cellStyle name="F2 69" xfId="3686" xr:uid="{00000000-0005-0000-0000-0000B6090000}"/>
    <cellStyle name="F2 7" xfId="3687" xr:uid="{00000000-0005-0000-0000-0000B7090000}"/>
    <cellStyle name="F2 70" xfId="3688" xr:uid="{00000000-0005-0000-0000-0000B8090000}"/>
    <cellStyle name="F2 71" xfId="3689" xr:uid="{00000000-0005-0000-0000-0000B9090000}"/>
    <cellStyle name="F2 72" xfId="3690" xr:uid="{00000000-0005-0000-0000-0000BA090000}"/>
    <cellStyle name="F2 73" xfId="3691" xr:uid="{00000000-0005-0000-0000-0000BB090000}"/>
    <cellStyle name="F2 74" xfId="3692" xr:uid="{00000000-0005-0000-0000-0000BC090000}"/>
    <cellStyle name="F2 75" xfId="3693" xr:uid="{00000000-0005-0000-0000-0000BD090000}"/>
    <cellStyle name="F2 76" xfId="3694" xr:uid="{00000000-0005-0000-0000-0000BE090000}"/>
    <cellStyle name="F2 8" xfId="3695" xr:uid="{00000000-0005-0000-0000-0000BF090000}"/>
    <cellStyle name="F2 9" xfId="3696" xr:uid="{00000000-0005-0000-0000-0000C0090000}"/>
    <cellStyle name="F2_Ampliación Set Ingenieros" xfId="3697" xr:uid="{00000000-0005-0000-0000-0000C1090000}"/>
    <cellStyle name="F3" xfId="42" xr:uid="{00000000-0005-0000-0000-0000C2090000}"/>
    <cellStyle name="F3 - Modelo4" xfId="3698" xr:uid="{00000000-0005-0000-0000-0000C3090000}"/>
    <cellStyle name="F3 10" xfId="3699" xr:uid="{00000000-0005-0000-0000-0000C4090000}"/>
    <cellStyle name="F3 11" xfId="3700" xr:uid="{00000000-0005-0000-0000-0000C5090000}"/>
    <cellStyle name="F3 12" xfId="3701" xr:uid="{00000000-0005-0000-0000-0000C6090000}"/>
    <cellStyle name="F3 13" xfId="3702" xr:uid="{00000000-0005-0000-0000-0000C7090000}"/>
    <cellStyle name="F3 14" xfId="3703" xr:uid="{00000000-0005-0000-0000-0000C8090000}"/>
    <cellStyle name="F3 15" xfId="3704" xr:uid="{00000000-0005-0000-0000-0000C9090000}"/>
    <cellStyle name="F3 16" xfId="3705" xr:uid="{00000000-0005-0000-0000-0000CA090000}"/>
    <cellStyle name="F3 17" xfId="3706" xr:uid="{00000000-0005-0000-0000-0000CB090000}"/>
    <cellStyle name="F3 18" xfId="3707" xr:uid="{00000000-0005-0000-0000-0000CC090000}"/>
    <cellStyle name="F3 19" xfId="3708" xr:uid="{00000000-0005-0000-0000-0000CD090000}"/>
    <cellStyle name="F3 2" xfId="3709" xr:uid="{00000000-0005-0000-0000-0000CE090000}"/>
    <cellStyle name="F3 20" xfId="3710" xr:uid="{00000000-0005-0000-0000-0000CF090000}"/>
    <cellStyle name="F3 21" xfId="3711" xr:uid="{00000000-0005-0000-0000-0000D0090000}"/>
    <cellStyle name="F3 22" xfId="3712" xr:uid="{00000000-0005-0000-0000-0000D1090000}"/>
    <cellStyle name="F3 23" xfId="3713" xr:uid="{00000000-0005-0000-0000-0000D2090000}"/>
    <cellStyle name="F3 24" xfId="3714" xr:uid="{00000000-0005-0000-0000-0000D3090000}"/>
    <cellStyle name="F3 25" xfId="3715" xr:uid="{00000000-0005-0000-0000-0000D4090000}"/>
    <cellStyle name="F3 26" xfId="3716" xr:uid="{00000000-0005-0000-0000-0000D5090000}"/>
    <cellStyle name="F3 27" xfId="3717" xr:uid="{00000000-0005-0000-0000-0000D6090000}"/>
    <cellStyle name="F3 28" xfId="3718" xr:uid="{00000000-0005-0000-0000-0000D7090000}"/>
    <cellStyle name="F3 29" xfId="3719" xr:uid="{00000000-0005-0000-0000-0000D8090000}"/>
    <cellStyle name="F3 3" xfId="3720" xr:uid="{00000000-0005-0000-0000-0000D9090000}"/>
    <cellStyle name="F3 30" xfId="3721" xr:uid="{00000000-0005-0000-0000-0000DA090000}"/>
    <cellStyle name="F3 31" xfId="3722" xr:uid="{00000000-0005-0000-0000-0000DB090000}"/>
    <cellStyle name="F3 32" xfId="3723" xr:uid="{00000000-0005-0000-0000-0000DC090000}"/>
    <cellStyle name="F3 33" xfId="3724" xr:uid="{00000000-0005-0000-0000-0000DD090000}"/>
    <cellStyle name="F3 34" xfId="3725" xr:uid="{00000000-0005-0000-0000-0000DE090000}"/>
    <cellStyle name="F3 35" xfId="3726" xr:uid="{00000000-0005-0000-0000-0000DF090000}"/>
    <cellStyle name="F3 36" xfId="3727" xr:uid="{00000000-0005-0000-0000-0000E0090000}"/>
    <cellStyle name="F3 37" xfId="3728" xr:uid="{00000000-0005-0000-0000-0000E1090000}"/>
    <cellStyle name="F3 38" xfId="3729" xr:uid="{00000000-0005-0000-0000-0000E2090000}"/>
    <cellStyle name="F3 39" xfId="3730" xr:uid="{00000000-0005-0000-0000-0000E3090000}"/>
    <cellStyle name="F3 4" xfId="3731" xr:uid="{00000000-0005-0000-0000-0000E4090000}"/>
    <cellStyle name="F3 40" xfId="3732" xr:uid="{00000000-0005-0000-0000-0000E5090000}"/>
    <cellStyle name="F3 41" xfId="3733" xr:uid="{00000000-0005-0000-0000-0000E6090000}"/>
    <cellStyle name="F3 42" xfId="3734" xr:uid="{00000000-0005-0000-0000-0000E7090000}"/>
    <cellStyle name="F3 43" xfId="3735" xr:uid="{00000000-0005-0000-0000-0000E8090000}"/>
    <cellStyle name="F3 44" xfId="3736" xr:uid="{00000000-0005-0000-0000-0000E9090000}"/>
    <cellStyle name="F3 45" xfId="3737" xr:uid="{00000000-0005-0000-0000-0000EA090000}"/>
    <cellStyle name="F3 46" xfId="3738" xr:uid="{00000000-0005-0000-0000-0000EB090000}"/>
    <cellStyle name="F3 47" xfId="3739" xr:uid="{00000000-0005-0000-0000-0000EC090000}"/>
    <cellStyle name="F3 48" xfId="3740" xr:uid="{00000000-0005-0000-0000-0000ED090000}"/>
    <cellStyle name="F3 49" xfId="3741" xr:uid="{00000000-0005-0000-0000-0000EE090000}"/>
    <cellStyle name="F3 5" xfId="3742" xr:uid="{00000000-0005-0000-0000-0000EF090000}"/>
    <cellStyle name="F3 50" xfId="3743" xr:uid="{00000000-0005-0000-0000-0000F0090000}"/>
    <cellStyle name="F3 51" xfId="3744" xr:uid="{00000000-0005-0000-0000-0000F1090000}"/>
    <cellStyle name="F3 52" xfId="3745" xr:uid="{00000000-0005-0000-0000-0000F2090000}"/>
    <cellStyle name="F3 53" xfId="3746" xr:uid="{00000000-0005-0000-0000-0000F3090000}"/>
    <cellStyle name="F3 54" xfId="3747" xr:uid="{00000000-0005-0000-0000-0000F4090000}"/>
    <cellStyle name="F3 55" xfId="3748" xr:uid="{00000000-0005-0000-0000-0000F5090000}"/>
    <cellStyle name="F3 56" xfId="3749" xr:uid="{00000000-0005-0000-0000-0000F6090000}"/>
    <cellStyle name="F3 57" xfId="3750" xr:uid="{00000000-0005-0000-0000-0000F7090000}"/>
    <cellStyle name="F3 58" xfId="3751" xr:uid="{00000000-0005-0000-0000-0000F8090000}"/>
    <cellStyle name="F3 59" xfId="3752" xr:uid="{00000000-0005-0000-0000-0000F9090000}"/>
    <cellStyle name="F3 6" xfId="3753" xr:uid="{00000000-0005-0000-0000-0000FA090000}"/>
    <cellStyle name="F3 60" xfId="3754" xr:uid="{00000000-0005-0000-0000-0000FB090000}"/>
    <cellStyle name="F3 61" xfId="3755" xr:uid="{00000000-0005-0000-0000-0000FC090000}"/>
    <cellStyle name="F3 62" xfId="3756" xr:uid="{00000000-0005-0000-0000-0000FD090000}"/>
    <cellStyle name="F3 63" xfId="3757" xr:uid="{00000000-0005-0000-0000-0000FE090000}"/>
    <cellStyle name="F3 64" xfId="3758" xr:uid="{00000000-0005-0000-0000-0000FF090000}"/>
    <cellStyle name="F3 65" xfId="3759" xr:uid="{00000000-0005-0000-0000-0000000A0000}"/>
    <cellStyle name="F3 66" xfId="3760" xr:uid="{00000000-0005-0000-0000-0000010A0000}"/>
    <cellStyle name="F3 67" xfId="3761" xr:uid="{00000000-0005-0000-0000-0000020A0000}"/>
    <cellStyle name="F3 68" xfId="3762" xr:uid="{00000000-0005-0000-0000-0000030A0000}"/>
    <cellStyle name="F3 69" xfId="3763" xr:uid="{00000000-0005-0000-0000-0000040A0000}"/>
    <cellStyle name="F3 7" xfId="3764" xr:uid="{00000000-0005-0000-0000-0000050A0000}"/>
    <cellStyle name="F3 70" xfId="3765" xr:uid="{00000000-0005-0000-0000-0000060A0000}"/>
    <cellStyle name="F3 71" xfId="3766" xr:uid="{00000000-0005-0000-0000-0000070A0000}"/>
    <cellStyle name="F3 72" xfId="3767" xr:uid="{00000000-0005-0000-0000-0000080A0000}"/>
    <cellStyle name="F3 73" xfId="3768" xr:uid="{00000000-0005-0000-0000-0000090A0000}"/>
    <cellStyle name="F3 74" xfId="3769" xr:uid="{00000000-0005-0000-0000-00000A0A0000}"/>
    <cellStyle name="F3 75" xfId="3770" xr:uid="{00000000-0005-0000-0000-00000B0A0000}"/>
    <cellStyle name="F3 76" xfId="3771" xr:uid="{00000000-0005-0000-0000-00000C0A0000}"/>
    <cellStyle name="F3 8" xfId="3772" xr:uid="{00000000-0005-0000-0000-00000D0A0000}"/>
    <cellStyle name="F3 9" xfId="3773" xr:uid="{00000000-0005-0000-0000-00000E0A0000}"/>
    <cellStyle name="F3_PPTO U DE LIMA COMPARATIVO IE 1 final" xfId="3774" xr:uid="{00000000-0005-0000-0000-00000F0A0000}"/>
    <cellStyle name="F4" xfId="43" xr:uid="{00000000-0005-0000-0000-0000100A0000}"/>
    <cellStyle name="F4 2" xfId="3775" xr:uid="{00000000-0005-0000-0000-0000110A0000}"/>
    <cellStyle name="F4 3" xfId="3776" xr:uid="{00000000-0005-0000-0000-0000120A0000}"/>
    <cellStyle name="F5" xfId="44" xr:uid="{00000000-0005-0000-0000-0000130A0000}"/>
    <cellStyle name="F5 - Modelo1" xfId="3777" xr:uid="{00000000-0005-0000-0000-0000140A0000}"/>
    <cellStyle name="F5 10" xfId="3778" xr:uid="{00000000-0005-0000-0000-0000150A0000}"/>
    <cellStyle name="F5 11" xfId="3779" xr:uid="{00000000-0005-0000-0000-0000160A0000}"/>
    <cellStyle name="F5 12" xfId="3780" xr:uid="{00000000-0005-0000-0000-0000170A0000}"/>
    <cellStyle name="F5 13" xfId="3781" xr:uid="{00000000-0005-0000-0000-0000180A0000}"/>
    <cellStyle name="F5 14" xfId="3782" xr:uid="{00000000-0005-0000-0000-0000190A0000}"/>
    <cellStyle name="F5 15" xfId="3783" xr:uid="{00000000-0005-0000-0000-00001A0A0000}"/>
    <cellStyle name="F5 16" xfId="3784" xr:uid="{00000000-0005-0000-0000-00001B0A0000}"/>
    <cellStyle name="F5 17" xfId="3785" xr:uid="{00000000-0005-0000-0000-00001C0A0000}"/>
    <cellStyle name="F5 18" xfId="3786" xr:uid="{00000000-0005-0000-0000-00001D0A0000}"/>
    <cellStyle name="F5 19" xfId="3787" xr:uid="{00000000-0005-0000-0000-00001E0A0000}"/>
    <cellStyle name="F5 2" xfId="3788" xr:uid="{00000000-0005-0000-0000-00001F0A0000}"/>
    <cellStyle name="F5 20" xfId="3789" xr:uid="{00000000-0005-0000-0000-0000200A0000}"/>
    <cellStyle name="F5 21" xfId="3790" xr:uid="{00000000-0005-0000-0000-0000210A0000}"/>
    <cellStyle name="F5 22" xfId="3791" xr:uid="{00000000-0005-0000-0000-0000220A0000}"/>
    <cellStyle name="F5 23" xfId="3792" xr:uid="{00000000-0005-0000-0000-0000230A0000}"/>
    <cellStyle name="F5 24" xfId="3793" xr:uid="{00000000-0005-0000-0000-0000240A0000}"/>
    <cellStyle name="F5 25" xfId="3794" xr:uid="{00000000-0005-0000-0000-0000250A0000}"/>
    <cellStyle name="F5 26" xfId="3795" xr:uid="{00000000-0005-0000-0000-0000260A0000}"/>
    <cellStyle name="F5 27" xfId="3796" xr:uid="{00000000-0005-0000-0000-0000270A0000}"/>
    <cellStyle name="F5 28" xfId="3797" xr:uid="{00000000-0005-0000-0000-0000280A0000}"/>
    <cellStyle name="F5 29" xfId="3798" xr:uid="{00000000-0005-0000-0000-0000290A0000}"/>
    <cellStyle name="F5 3" xfId="3799" xr:uid="{00000000-0005-0000-0000-00002A0A0000}"/>
    <cellStyle name="F5 30" xfId="3800" xr:uid="{00000000-0005-0000-0000-00002B0A0000}"/>
    <cellStyle name="F5 31" xfId="3801" xr:uid="{00000000-0005-0000-0000-00002C0A0000}"/>
    <cellStyle name="F5 32" xfId="3802" xr:uid="{00000000-0005-0000-0000-00002D0A0000}"/>
    <cellStyle name="F5 33" xfId="3803" xr:uid="{00000000-0005-0000-0000-00002E0A0000}"/>
    <cellStyle name="F5 34" xfId="3804" xr:uid="{00000000-0005-0000-0000-00002F0A0000}"/>
    <cellStyle name="F5 35" xfId="3805" xr:uid="{00000000-0005-0000-0000-0000300A0000}"/>
    <cellStyle name="F5 36" xfId="3806" xr:uid="{00000000-0005-0000-0000-0000310A0000}"/>
    <cellStyle name="F5 37" xfId="3807" xr:uid="{00000000-0005-0000-0000-0000320A0000}"/>
    <cellStyle name="F5 38" xfId="3808" xr:uid="{00000000-0005-0000-0000-0000330A0000}"/>
    <cellStyle name="F5 39" xfId="3809" xr:uid="{00000000-0005-0000-0000-0000340A0000}"/>
    <cellStyle name="F5 4" xfId="3810" xr:uid="{00000000-0005-0000-0000-0000350A0000}"/>
    <cellStyle name="F5 40" xfId="3811" xr:uid="{00000000-0005-0000-0000-0000360A0000}"/>
    <cellStyle name="F5 41" xfId="3812" xr:uid="{00000000-0005-0000-0000-0000370A0000}"/>
    <cellStyle name="F5 42" xfId="3813" xr:uid="{00000000-0005-0000-0000-0000380A0000}"/>
    <cellStyle name="F5 43" xfId="3814" xr:uid="{00000000-0005-0000-0000-0000390A0000}"/>
    <cellStyle name="F5 44" xfId="3815" xr:uid="{00000000-0005-0000-0000-00003A0A0000}"/>
    <cellStyle name="F5 45" xfId="3816" xr:uid="{00000000-0005-0000-0000-00003B0A0000}"/>
    <cellStyle name="F5 46" xfId="3817" xr:uid="{00000000-0005-0000-0000-00003C0A0000}"/>
    <cellStyle name="F5 47" xfId="3818" xr:uid="{00000000-0005-0000-0000-00003D0A0000}"/>
    <cellStyle name="F5 48" xfId="3819" xr:uid="{00000000-0005-0000-0000-00003E0A0000}"/>
    <cellStyle name="F5 49" xfId="3820" xr:uid="{00000000-0005-0000-0000-00003F0A0000}"/>
    <cellStyle name="F5 5" xfId="3821" xr:uid="{00000000-0005-0000-0000-0000400A0000}"/>
    <cellStyle name="F5 50" xfId="3822" xr:uid="{00000000-0005-0000-0000-0000410A0000}"/>
    <cellStyle name="F5 51" xfId="3823" xr:uid="{00000000-0005-0000-0000-0000420A0000}"/>
    <cellStyle name="F5 52" xfId="3824" xr:uid="{00000000-0005-0000-0000-0000430A0000}"/>
    <cellStyle name="F5 53" xfId="3825" xr:uid="{00000000-0005-0000-0000-0000440A0000}"/>
    <cellStyle name="F5 54" xfId="3826" xr:uid="{00000000-0005-0000-0000-0000450A0000}"/>
    <cellStyle name="F5 55" xfId="3827" xr:uid="{00000000-0005-0000-0000-0000460A0000}"/>
    <cellStyle name="F5 56" xfId="3828" xr:uid="{00000000-0005-0000-0000-0000470A0000}"/>
    <cellStyle name="F5 57" xfId="3829" xr:uid="{00000000-0005-0000-0000-0000480A0000}"/>
    <cellStyle name="F5 58" xfId="3830" xr:uid="{00000000-0005-0000-0000-0000490A0000}"/>
    <cellStyle name="F5 59" xfId="3831" xr:uid="{00000000-0005-0000-0000-00004A0A0000}"/>
    <cellStyle name="F5 6" xfId="3832" xr:uid="{00000000-0005-0000-0000-00004B0A0000}"/>
    <cellStyle name="F5 60" xfId="3833" xr:uid="{00000000-0005-0000-0000-00004C0A0000}"/>
    <cellStyle name="F5 61" xfId="3834" xr:uid="{00000000-0005-0000-0000-00004D0A0000}"/>
    <cellStyle name="F5 62" xfId="3835" xr:uid="{00000000-0005-0000-0000-00004E0A0000}"/>
    <cellStyle name="F5 63" xfId="3836" xr:uid="{00000000-0005-0000-0000-00004F0A0000}"/>
    <cellStyle name="F5 64" xfId="3837" xr:uid="{00000000-0005-0000-0000-0000500A0000}"/>
    <cellStyle name="F5 65" xfId="3838" xr:uid="{00000000-0005-0000-0000-0000510A0000}"/>
    <cellStyle name="F5 66" xfId="3839" xr:uid="{00000000-0005-0000-0000-0000520A0000}"/>
    <cellStyle name="F5 67" xfId="3840" xr:uid="{00000000-0005-0000-0000-0000530A0000}"/>
    <cellStyle name="F5 68" xfId="3841" xr:uid="{00000000-0005-0000-0000-0000540A0000}"/>
    <cellStyle name="F5 69" xfId="3842" xr:uid="{00000000-0005-0000-0000-0000550A0000}"/>
    <cellStyle name="F5 7" xfId="3843" xr:uid="{00000000-0005-0000-0000-0000560A0000}"/>
    <cellStyle name="F5 70" xfId="3844" xr:uid="{00000000-0005-0000-0000-0000570A0000}"/>
    <cellStyle name="F5 71" xfId="3845" xr:uid="{00000000-0005-0000-0000-0000580A0000}"/>
    <cellStyle name="F5 72" xfId="3846" xr:uid="{00000000-0005-0000-0000-0000590A0000}"/>
    <cellStyle name="F5 73" xfId="3847" xr:uid="{00000000-0005-0000-0000-00005A0A0000}"/>
    <cellStyle name="F5 74" xfId="3848" xr:uid="{00000000-0005-0000-0000-00005B0A0000}"/>
    <cellStyle name="F5 75" xfId="3849" xr:uid="{00000000-0005-0000-0000-00005C0A0000}"/>
    <cellStyle name="F5 76" xfId="3850" xr:uid="{00000000-0005-0000-0000-00005D0A0000}"/>
    <cellStyle name="F5 8" xfId="3851" xr:uid="{00000000-0005-0000-0000-00005E0A0000}"/>
    <cellStyle name="F5 9" xfId="3852" xr:uid="{00000000-0005-0000-0000-00005F0A0000}"/>
    <cellStyle name="F5_Ampliación Set Ingenieros" xfId="3853" xr:uid="{00000000-0005-0000-0000-0000600A0000}"/>
    <cellStyle name="F6" xfId="45" xr:uid="{00000000-0005-0000-0000-0000610A0000}"/>
    <cellStyle name="F6 - Modelo3" xfId="3854" xr:uid="{00000000-0005-0000-0000-0000620A0000}"/>
    <cellStyle name="F6 10" xfId="3855" xr:uid="{00000000-0005-0000-0000-0000630A0000}"/>
    <cellStyle name="F6 11" xfId="3856" xr:uid="{00000000-0005-0000-0000-0000640A0000}"/>
    <cellStyle name="F6 12" xfId="3857" xr:uid="{00000000-0005-0000-0000-0000650A0000}"/>
    <cellStyle name="F6 13" xfId="3858" xr:uid="{00000000-0005-0000-0000-0000660A0000}"/>
    <cellStyle name="F6 14" xfId="3859" xr:uid="{00000000-0005-0000-0000-0000670A0000}"/>
    <cellStyle name="F6 15" xfId="3860" xr:uid="{00000000-0005-0000-0000-0000680A0000}"/>
    <cellStyle name="F6 16" xfId="3861" xr:uid="{00000000-0005-0000-0000-0000690A0000}"/>
    <cellStyle name="F6 17" xfId="3862" xr:uid="{00000000-0005-0000-0000-00006A0A0000}"/>
    <cellStyle name="F6 18" xfId="3863" xr:uid="{00000000-0005-0000-0000-00006B0A0000}"/>
    <cellStyle name="F6 19" xfId="3864" xr:uid="{00000000-0005-0000-0000-00006C0A0000}"/>
    <cellStyle name="F6 2" xfId="3865" xr:uid="{00000000-0005-0000-0000-00006D0A0000}"/>
    <cellStyle name="F6 20" xfId="3866" xr:uid="{00000000-0005-0000-0000-00006E0A0000}"/>
    <cellStyle name="F6 21" xfId="3867" xr:uid="{00000000-0005-0000-0000-00006F0A0000}"/>
    <cellStyle name="F6 22" xfId="3868" xr:uid="{00000000-0005-0000-0000-0000700A0000}"/>
    <cellStyle name="F6 23" xfId="3869" xr:uid="{00000000-0005-0000-0000-0000710A0000}"/>
    <cellStyle name="F6 24" xfId="3870" xr:uid="{00000000-0005-0000-0000-0000720A0000}"/>
    <cellStyle name="F6 25" xfId="3871" xr:uid="{00000000-0005-0000-0000-0000730A0000}"/>
    <cellStyle name="F6 26" xfId="3872" xr:uid="{00000000-0005-0000-0000-0000740A0000}"/>
    <cellStyle name="F6 27" xfId="3873" xr:uid="{00000000-0005-0000-0000-0000750A0000}"/>
    <cellStyle name="F6 28" xfId="3874" xr:uid="{00000000-0005-0000-0000-0000760A0000}"/>
    <cellStyle name="F6 29" xfId="3875" xr:uid="{00000000-0005-0000-0000-0000770A0000}"/>
    <cellStyle name="F6 3" xfId="3876" xr:uid="{00000000-0005-0000-0000-0000780A0000}"/>
    <cellStyle name="F6 30" xfId="3877" xr:uid="{00000000-0005-0000-0000-0000790A0000}"/>
    <cellStyle name="F6 31" xfId="3878" xr:uid="{00000000-0005-0000-0000-00007A0A0000}"/>
    <cellStyle name="F6 32" xfId="3879" xr:uid="{00000000-0005-0000-0000-00007B0A0000}"/>
    <cellStyle name="F6 33" xfId="3880" xr:uid="{00000000-0005-0000-0000-00007C0A0000}"/>
    <cellStyle name="F6 34" xfId="3881" xr:uid="{00000000-0005-0000-0000-00007D0A0000}"/>
    <cellStyle name="F6 35" xfId="3882" xr:uid="{00000000-0005-0000-0000-00007E0A0000}"/>
    <cellStyle name="F6 36" xfId="3883" xr:uid="{00000000-0005-0000-0000-00007F0A0000}"/>
    <cellStyle name="F6 37" xfId="3884" xr:uid="{00000000-0005-0000-0000-0000800A0000}"/>
    <cellStyle name="F6 38" xfId="3885" xr:uid="{00000000-0005-0000-0000-0000810A0000}"/>
    <cellStyle name="F6 39" xfId="3886" xr:uid="{00000000-0005-0000-0000-0000820A0000}"/>
    <cellStyle name="F6 4" xfId="3887" xr:uid="{00000000-0005-0000-0000-0000830A0000}"/>
    <cellStyle name="F6 40" xfId="3888" xr:uid="{00000000-0005-0000-0000-0000840A0000}"/>
    <cellStyle name="F6 41" xfId="3889" xr:uid="{00000000-0005-0000-0000-0000850A0000}"/>
    <cellStyle name="F6 42" xfId="3890" xr:uid="{00000000-0005-0000-0000-0000860A0000}"/>
    <cellStyle name="F6 43" xfId="3891" xr:uid="{00000000-0005-0000-0000-0000870A0000}"/>
    <cellStyle name="F6 44" xfId="3892" xr:uid="{00000000-0005-0000-0000-0000880A0000}"/>
    <cellStyle name="F6 45" xfId="3893" xr:uid="{00000000-0005-0000-0000-0000890A0000}"/>
    <cellStyle name="F6 46" xfId="3894" xr:uid="{00000000-0005-0000-0000-00008A0A0000}"/>
    <cellStyle name="F6 47" xfId="3895" xr:uid="{00000000-0005-0000-0000-00008B0A0000}"/>
    <cellStyle name="F6 48" xfId="3896" xr:uid="{00000000-0005-0000-0000-00008C0A0000}"/>
    <cellStyle name="F6 49" xfId="3897" xr:uid="{00000000-0005-0000-0000-00008D0A0000}"/>
    <cellStyle name="F6 5" xfId="3898" xr:uid="{00000000-0005-0000-0000-00008E0A0000}"/>
    <cellStyle name="F6 50" xfId="3899" xr:uid="{00000000-0005-0000-0000-00008F0A0000}"/>
    <cellStyle name="F6 51" xfId="3900" xr:uid="{00000000-0005-0000-0000-0000900A0000}"/>
    <cellStyle name="F6 52" xfId="3901" xr:uid="{00000000-0005-0000-0000-0000910A0000}"/>
    <cellStyle name="F6 53" xfId="3902" xr:uid="{00000000-0005-0000-0000-0000920A0000}"/>
    <cellStyle name="F6 54" xfId="3903" xr:uid="{00000000-0005-0000-0000-0000930A0000}"/>
    <cellStyle name="F6 55" xfId="3904" xr:uid="{00000000-0005-0000-0000-0000940A0000}"/>
    <cellStyle name="F6 56" xfId="3905" xr:uid="{00000000-0005-0000-0000-0000950A0000}"/>
    <cellStyle name="F6 57" xfId="3906" xr:uid="{00000000-0005-0000-0000-0000960A0000}"/>
    <cellStyle name="F6 58" xfId="3907" xr:uid="{00000000-0005-0000-0000-0000970A0000}"/>
    <cellStyle name="F6 59" xfId="3908" xr:uid="{00000000-0005-0000-0000-0000980A0000}"/>
    <cellStyle name="F6 6" xfId="3909" xr:uid="{00000000-0005-0000-0000-0000990A0000}"/>
    <cellStyle name="F6 60" xfId="3910" xr:uid="{00000000-0005-0000-0000-00009A0A0000}"/>
    <cellStyle name="F6 61" xfId="3911" xr:uid="{00000000-0005-0000-0000-00009B0A0000}"/>
    <cellStyle name="F6 62" xfId="3912" xr:uid="{00000000-0005-0000-0000-00009C0A0000}"/>
    <cellStyle name="F6 63" xfId="3913" xr:uid="{00000000-0005-0000-0000-00009D0A0000}"/>
    <cellStyle name="F6 64" xfId="3914" xr:uid="{00000000-0005-0000-0000-00009E0A0000}"/>
    <cellStyle name="F6 65" xfId="3915" xr:uid="{00000000-0005-0000-0000-00009F0A0000}"/>
    <cellStyle name="F6 66" xfId="3916" xr:uid="{00000000-0005-0000-0000-0000A00A0000}"/>
    <cellStyle name="F6 67" xfId="3917" xr:uid="{00000000-0005-0000-0000-0000A10A0000}"/>
    <cellStyle name="F6 68" xfId="3918" xr:uid="{00000000-0005-0000-0000-0000A20A0000}"/>
    <cellStyle name="F6 69" xfId="3919" xr:uid="{00000000-0005-0000-0000-0000A30A0000}"/>
    <cellStyle name="F6 7" xfId="3920" xr:uid="{00000000-0005-0000-0000-0000A40A0000}"/>
    <cellStyle name="F6 70" xfId="3921" xr:uid="{00000000-0005-0000-0000-0000A50A0000}"/>
    <cellStyle name="F6 71" xfId="3922" xr:uid="{00000000-0005-0000-0000-0000A60A0000}"/>
    <cellStyle name="F6 72" xfId="3923" xr:uid="{00000000-0005-0000-0000-0000A70A0000}"/>
    <cellStyle name="F6 73" xfId="3924" xr:uid="{00000000-0005-0000-0000-0000A80A0000}"/>
    <cellStyle name="F6 74" xfId="3925" xr:uid="{00000000-0005-0000-0000-0000A90A0000}"/>
    <cellStyle name="F6 75" xfId="3926" xr:uid="{00000000-0005-0000-0000-0000AA0A0000}"/>
    <cellStyle name="F6 76" xfId="3927" xr:uid="{00000000-0005-0000-0000-0000AB0A0000}"/>
    <cellStyle name="F6 8" xfId="3928" xr:uid="{00000000-0005-0000-0000-0000AC0A0000}"/>
    <cellStyle name="F6 9" xfId="3929" xr:uid="{00000000-0005-0000-0000-0000AD0A0000}"/>
    <cellStyle name="F6_PPTO U DE LIMA COMPARATIVO IE 1 final" xfId="3930" xr:uid="{00000000-0005-0000-0000-0000AE0A0000}"/>
    <cellStyle name="F7" xfId="46" xr:uid="{00000000-0005-0000-0000-0000AF0A0000}"/>
    <cellStyle name="F7 2" xfId="3931" xr:uid="{00000000-0005-0000-0000-0000B00A0000}"/>
    <cellStyle name="F7 3" xfId="3932" xr:uid="{00000000-0005-0000-0000-0000B10A0000}"/>
    <cellStyle name="F8" xfId="47" xr:uid="{00000000-0005-0000-0000-0000B20A0000}"/>
    <cellStyle name="F8 2" xfId="3933" xr:uid="{00000000-0005-0000-0000-0000B30A0000}"/>
    <cellStyle name="F8 3" xfId="3934" xr:uid="{00000000-0005-0000-0000-0000B40A0000}"/>
    <cellStyle name="Fecha" xfId="48" xr:uid="{00000000-0005-0000-0000-0000B50A0000}"/>
    <cellStyle name="Fecha 2" xfId="119" xr:uid="{00000000-0005-0000-0000-0000B60A0000}"/>
    <cellStyle name="Fecha 2 2" xfId="120" xr:uid="{00000000-0005-0000-0000-0000B70A0000}"/>
    <cellStyle name="Fecha 3" xfId="121" xr:uid="{00000000-0005-0000-0000-0000B80A0000}"/>
    <cellStyle name="Fijo" xfId="49" xr:uid="{00000000-0005-0000-0000-0000B90A0000}"/>
    <cellStyle name="FIJO 10" xfId="3935" xr:uid="{00000000-0005-0000-0000-0000BA0A0000}"/>
    <cellStyle name="Fijo 11" xfId="3936" xr:uid="{00000000-0005-0000-0000-0000BB0A0000}"/>
    <cellStyle name="Fijo 12" xfId="3937" xr:uid="{00000000-0005-0000-0000-0000BC0A0000}"/>
    <cellStyle name="Fijo 2" xfId="122" xr:uid="{00000000-0005-0000-0000-0000BD0A0000}"/>
    <cellStyle name="Fijo 2 2" xfId="123" xr:uid="{00000000-0005-0000-0000-0000BE0A0000}"/>
    <cellStyle name="Fijo 3" xfId="124" xr:uid="{00000000-0005-0000-0000-0000BF0A0000}"/>
    <cellStyle name="FIJO 4" xfId="3938" xr:uid="{00000000-0005-0000-0000-0000C00A0000}"/>
    <cellStyle name="FIJO 5" xfId="3939" xr:uid="{00000000-0005-0000-0000-0000C10A0000}"/>
    <cellStyle name="FIJO 6" xfId="3940" xr:uid="{00000000-0005-0000-0000-0000C20A0000}"/>
    <cellStyle name="FIJO 7" xfId="3941" xr:uid="{00000000-0005-0000-0000-0000C30A0000}"/>
    <cellStyle name="FIJO 8" xfId="3942" xr:uid="{00000000-0005-0000-0000-0000C40A0000}"/>
    <cellStyle name="FIJO 9" xfId="3943" xr:uid="{00000000-0005-0000-0000-0000C50A0000}"/>
    <cellStyle name="Financiero" xfId="2282" xr:uid="{00000000-0005-0000-0000-0000C60A0000}"/>
    <cellStyle name="FINANCIERO 10" xfId="3944" xr:uid="{00000000-0005-0000-0000-0000C70A0000}"/>
    <cellStyle name="Financiero 11" xfId="3945" xr:uid="{00000000-0005-0000-0000-0000C80A0000}"/>
    <cellStyle name="Financiero 12" xfId="3946" xr:uid="{00000000-0005-0000-0000-0000C90A0000}"/>
    <cellStyle name="Financiero 2" xfId="3947" xr:uid="{00000000-0005-0000-0000-0000CA0A0000}"/>
    <cellStyle name="FINANCIERO 3" xfId="3948" xr:uid="{00000000-0005-0000-0000-0000CB0A0000}"/>
    <cellStyle name="FINANCIERO 4" xfId="3949" xr:uid="{00000000-0005-0000-0000-0000CC0A0000}"/>
    <cellStyle name="FINANCIERO 5" xfId="3950" xr:uid="{00000000-0005-0000-0000-0000CD0A0000}"/>
    <cellStyle name="FINANCIERO 6" xfId="3951" xr:uid="{00000000-0005-0000-0000-0000CE0A0000}"/>
    <cellStyle name="FINANCIERO 7" xfId="3952" xr:uid="{00000000-0005-0000-0000-0000CF0A0000}"/>
    <cellStyle name="FINANCIERO 8" xfId="3953" xr:uid="{00000000-0005-0000-0000-0000D00A0000}"/>
    <cellStyle name="FINANCIERO 9" xfId="3954" xr:uid="{00000000-0005-0000-0000-0000D10A0000}"/>
    <cellStyle name="Fixed" xfId="50" xr:uid="{00000000-0005-0000-0000-0000D20A0000}"/>
    <cellStyle name="Fixed 2" xfId="125" xr:uid="{00000000-0005-0000-0000-0000D30A0000}"/>
    <cellStyle name="Fixed 2 2" xfId="126" xr:uid="{00000000-0005-0000-0000-0000D40A0000}"/>
    <cellStyle name="Fixed 3" xfId="127" xr:uid="{00000000-0005-0000-0000-0000D50A0000}"/>
    <cellStyle name="Fixed_3.- Metrado SAN ANDRES (Ricardo Villavicencio)_ Rev.02" xfId="128" xr:uid="{00000000-0005-0000-0000-0000D60A0000}"/>
    <cellStyle name="Followed Hyperlink" xfId="3955" xr:uid="{00000000-0005-0000-0000-0000D70A0000}"/>
    <cellStyle name="Good" xfId="7377" xr:uid="{00000000-0005-0000-0000-0000D80A0000}"/>
    <cellStyle name="Heading 1" xfId="129" xr:uid="{00000000-0005-0000-0000-0000D90A0000}"/>
    <cellStyle name="Heading 1 2" xfId="3956" xr:uid="{00000000-0005-0000-0000-0000DA0A0000}"/>
    <cellStyle name="Heading 1 3" xfId="3957" xr:uid="{00000000-0005-0000-0000-0000DB0A0000}"/>
    <cellStyle name="Heading 2" xfId="130" xr:uid="{00000000-0005-0000-0000-0000DC0A0000}"/>
    <cellStyle name="Heading 2 2" xfId="3958" xr:uid="{00000000-0005-0000-0000-0000DD0A0000}"/>
    <cellStyle name="Heading 2 3" xfId="3959" xr:uid="{00000000-0005-0000-0000-0000DE0A0000}"/>
    <cellStyle name="Heading 3" xfId="3960" xr:uid="{00000000-0005-0000-0000-0000DF0A0000}"/>
    <cellStyle name="Heading 4" xfId="3961" xr:uid="{00000000-0005-0000-0000-0000E00A0000}"/>
    <cellStyle name="Heading1" xfId="51" xr:uid="{00000000-0005-0000-0000-0000E10A0000}"/>
    <cellStyle name="Heading1 1" xfId="7378" xr:uid="{00000000-0005-0000-0000-0000E20A0000}"/>
    <cellStyle name="Heading2" xfId="52" xr:uid="{00000000-0005-0000-0000-0000E30A0000}"/>
    <cellStyle name="Hipervínculo 2" xfId="2283" xr:uid="{00000000-0005-0000-0000-0000E40A0000}"/>
    <cellStyle name="Hyperlink" xfId="3962" xr:uid="{00000000-0005-0000-0000-0000E50A0000}"/>
    <cellStyle name="Hyperlink 2" xfId="174" xr:uid="{00000000-0005-0000-0000-0000E60A0000}"/>
    <cellStyle name="Incorrecto 10" xfId="2284" xr:uid="{00000000-0005-0000-0000-0000E70A0000}"/>
    <cellStyle name="Incorrecto 11" xfId="2285" xr:uid="{00000000-0005-0000-0000-0000E80A0000}"/>
    <cellStyle name="Incorrecto 12" xfId="2286" xr:uid="{00000000-0005-0000-0000-0000E90A0000}"/>
    <cellStyle name="Incorrecto 13" xfId="2287" xr:uid="{00000000-0005-0000-0000-0000EA0A0000}"/>
    <cellStyle name="Incorrecto 14" xfId="2288" xr:uid="{00000000-0005-0000-0000-0000EB0A0000}"/>
    <cellStyle name="Incorrecto 15" xfId="2289" xr:uid="{00000000-0005-0000-0000-0000EC0A0000}"/>
    <cellStyle name="Incorrecto 16" xfId="2290" xr:uid="{00000000-0005-0000-0000-0000ED0A0000}"/>
    <cellStyle name="Incorrecto 17" xfId="2291" xr:uid="{00000000-0005-0000-0000-0000EE0A0000}"/>
    <cellStyle name="Incorrecto 18" xfId="2292" xr:uid="{00000000-0005-0000-0000-0000EF0A0000}"/>
    <cellStyle name="Incorrecto 19" xfId="2293" xr:uid="{00000000-0005-0000-0000-0000F00A0000}"/>
    <cellStyle name="Incorrecto 2" xfId="131" xr:uid="{00000000-0005-0000-0000-0000F10A0000}"/>
    <cellStyle name="Incorrecto 2 2" xfId="2294" xr:uid="{00000000-0005-0000-0000-0000F20A0000}"/>
    <cellStyle name="Incorrecto 2 3" xfId="2295" xr:uid="{00000000-0005-0000-0000-0000F30A0000}"/>
    <cellStyle name="Incorrecto 2 4" xfId="2296" xr:uid="{00000000-0005-0000-0000-0000F40A0000}"/>
    <cellStyle name="Incorrecto 2 5" xfId="2297" xr:uid="{00000000-0005-0000-0000-0000F50A0000}"/>
    <cellStyle name="Incorrecto 20" xfId="2298" xr:uid="{00000000-0005-0000-0000-0000F60A0000}"/>
    <cellStyle name="Incorrecto 21" xfId="2299" xr:uid="{00000000-0005-0000-0000-0000F70A0000}"/>
    <cellStyle name="Incorrecto 22" xfId="2300" xr:uid="{00000000-0005-0000-0000-0000F80A0000}"/>
    <cellStyle name="Incorrecto 23" xfId="2301" xr:uid="{00000000-0005-0000-0000-0000F90A0000}"/>
    <cellStyle name="Incorrecto 24" xfId="2302" xr:uid="{00000000-0005-0000-0000-0000FA0A0000}"/>
    <cellStyle name="Incorrecto 25" xfId="2303" xr:uid="{00000000-0005-0000-0000-0000FB0A0000}"/>
    <cellStyle name="Incorrecto 26" xfId="2304" xr:uid="{00000000-0005-0000-0000-0000FC0A0000}"/>
    <cellStyle name="Incorrecto 27" xfId="2305" xr:uid="{00000000-0005-0000-0000-0000FD0A0000}"/>
    <cellStyle name="Incorrecto 28" xfId="2306" xr:uid="{00000000-0005-0000-0000-0000FE0A0000}"/>
    <cellStyle name="Incorrecto 29" xfId="2307" xr:uid="{00000000-0005-0000-0000-0000FF0A0000}"/>
    <cellStyle name="Incorrecto 3" xfId="2308" xr:uid="{00000000-0005-0000-0000-0000000B0000}"/>
    <cellStyle name="Incorrecto 30" xfId="2309" xr:uid="{00000000-0005-0000-0000-0000010B0000}"/>
    <cellStyle name="Incorrecto 31" xfId="2310" xr:uid="{00000000-0005-0000-0000-0000020B0000}"/>
    <cellStyle name="Incorrecto 32" xfId="2311" xr:uid="{00000000-0005-0000-0000-0000030B0000}"/>
    <cellStyle name="Incorrecto 33" xfId="2312" xr:uid="{00000000-0005-0000-0000-0000040B0000}"/>
    <cellStyle name="Incorrecto 34" xfId="2313" xr:uid="{00000000-0005-0000-0000-0000050B0000}"/>
    <cellStyle name="Incorrecto 35" xfId="2314" xr:uid="{00000000-0005-0000-0000-0000060B0000}"/>
    <cellStyle name="Incorrecto 36" xfId="2315" xr:uid="{00000000-0005-0000-0000-0000070B0000}"/>
    <cellStyle name="Incorrecto 37" xfId="2316" xr:uid="{00000000-0005-0000-0000-0000080B0000}"/>
    <cellStyle name="Incorrecto 38" xfId="2317" xr:uid="{00000000-0005-0000-0000-0000090B0000}"/>
    <cellStyle name="Incorrecto 39" xfId="2318" xr:uid="{00000000-0005-0000-0000-00000A0B0000}"/>
    <cellStyle name="Incorrecto 4" xfId="2319" xr:uid="{00000000-0005-0000-0000-00000B0B0000}"/>
    <cellStyle name="Incorrecto 40" xfId="2320" xr:uid="{00000000-0005-0000-0000-00000C0B0000}"/>
    <cellStyle name="Incorrecto 41" xfId="2321" xr:uid="{00000000-0005-0000-0000-00000D0B0000}"/>
    <cellStyle name="Incorrecto 42" xfId="2322" xr:uid="{00000000-0005-0000-0000-00000E0B0000}"/>
    <cellStyle name="Incorrecto 43" xfId="2323" xr:uid="{00000000-0005-0000-0000-00000F0B0000}"/>
    <cellStyle name="Incorrecto 44" xfId="2324" xr:uid="{00000000-0005-0000-0000-0000100B0000}"/>
    <cellStyle name="Incorrecto 45" xfId="2325" xr:uid="{00000000-0005-0000-0000-0000110B0000}"/>
    <cellStyle name="Incorrecto 46" xfId="2326" xr:uid="{00000000-0005-0000-0000-0000120B0000}"/>
    <cellStyle name="Incorrecto 47" xfId="2327" xr:uid="{00000000-0005-0000-0000-0000130B0000}"/>
    <cellStyle name="Incorrecto 48" xfId="2328" xr:uid="{00000000-0005-0000-0000-0000140B0000}"/>
    <cellStyle name="Incorrecto 49" xfId="2329" xr:uid="{00000000-0005-0000-0000-0000150B0000}"/>
    <cellStyle name="Incorrecto 5" xfId="2330" xr:uid="{00000000-0005-0000-0000-0000160B0000}"/>
    <cellStyle name="Incorrecto 50" xfId="2331" xr:uid="{00000000-0005-0000-0000-0000170B0000}"/>
    <cellStyle name="Incorrecto 51" xfId="2332" xr:uid="{00000000-0005-0000-0000-0000180B0000}"/>
    <cellStyle name="Incorrecto 52" xfId="2333" xr:uid="{00000000-0005-0000-0000-0000190B0000}"/>
    <cellStyle name="Incorrecto 53" xfId="2334" xr:uid="{00000000-0005-0000-0000-00001A0B0000}"/>
    <cellStyle name="Incorrecto 54" xfId="2335" xr:uid="{00000000-0005-0000-0000-00001B0B0000}"/>
    <cellStyle name="Incorrecto 55" xfId="2336" xr:uid="{00000000-0005-0000-0000-00001C0B0000}"/>
    <cellStyle name="Incorrecto 56" xfId="2337" xr:uid="{00000000-0005-0000-0000-00001D0B0000}"/>
    <cellStyle name="Incorrecto 57" xfId="2338" xr:uid="{00000000-0005-0000-0000-00001E0B0000}"/>
    <cellStyle name="Incorrecto 58" xfId="2339" xr:uid="{00000000-0005-0000-0000-00001F0B0000}"/>
    <cellStyle name="Incorrecto 59" xfId="2340" xr:uid="{00000000-0005-0000-0000-0000200B0000}"/>
    <cellStyle name="Incorrecto 6" xfId="2341" xr:uid="{00000000-0005-0000-0000-0000210B0000}"/>
    <cellStyle name="Incorrecto 60" xfId="2342" xr:uid="{00000000-0005-0000-0000-0000220B0000}"/>
    <cellStyle name="Incorrecto 61" xfId="2343" xr:uid="{00000000-0005-0000-0000-0000230B0000}"/>
    <cellStyle name="Incorrecto 62" xfId="2344" xr:uid="{00000000-0005-0000-0000-0000240B0000}"/>
    <cellStyle name="Incorrecto 63" xfId="2345" xr:uid="{00000000-0005-0000-0000-0000250B0000}"/>
    <cellStyle name="Incorrecto 64" xfId="2346" xr:uid="{00000000-0005-0000-0000-0000260B0000}"/>
    <cellStyle name="Incorrecto 65" xfId="2347" xr:uid="{00000000-0005-0000-0000-0000270B0000}"/>
    <cellStyle name="Incorrecto 66" xfId="2348" xr:uid="{00000000-0005-0000-0000-0000280B0000}"/>
    <cellStyle name="Incorrecto 67" xfId="2349" xr:uid="{00000000-0005-0000-0000-0000290B0000}"/>
    <cellStyle name="Incorrecto 7" xfId="2350" xr:uid="{00000000-0005-0000-0000-00002A0B0000}"/>
    <cellStyle name="Incorrecto 8" xfId="2351" xr:uid="{00000000-0005-0000-0000-00002B0B0000}"/>
    <cellStyle name="Incorrecto 9" xfId="2352" xr:uid="{00000000-0005-0000-0000-00002C0B0000}"/>
    <cellStyle name="Input" xfId="7379" xr:uid="{00000000-0005-0000-0000-00002D0B0000}"/>
    <cellStyle name="Linked Cell" xfId="7380" xr:uid="{00000000-0005-0000-0000-00002E0B0000}"/>
    <cellStyle name="Millares 10" xfId="5" xr:uid="{00000000-0005-0000-0000-0000300B0000}"/>
    <cellStyle name="Millares 10 2" xfId="58361" xr:uid="{00000000-0005-0000-0000-0000310B0000}"/>
    <cellStyle name="Millares 10 2 4 2 2 2" xfId="28" xr:uid="{00000000-0005-0000-0000-0000320B0000}"/>
    <cellStyle name="Millares 10 3" xfId="2353" xr:uid="{00000000-0005-0000-0000-0000330B0000}"/>
    <cellStyle name="Millares 10 3 2 2 2" xfId="58362" xr:uid="{00000000-0005-0000-0000-0000340B0000}"/>
    <cellStyle name="Millares 10 4" xfId="58372" xr:uid="{94954EEC-4D15-4F1A-822D-3F5A9A2785C3}"/>
    <cellStyle name="Millares 10 6" xfId="7304" xr:uid="{00000000-0005-0000-0000-0000350B0000}"/>
    <cellStyle name="Millares 11" xfId="2354" xr:uid="{00000000-0005-0000-0000-0000370B0000}"/>
    <cellStyle name="Millares 11 2" xfId="3416" xr:uid="{00000000-0005-0000-0000-0000380B0000}"/>
    <cellStyle name="Millares 11 2 2" xfId="58345" xr:uid="{00000000-0005-0000-0000-0000390B0000}"/>
    <cellStyle name="Millares 11 2 2 2" xfId="58346" xr:uid="{00000000-0005-0000-0000-00003A0B0000}"/>
    <cellStyle name="Millares 11 2 2 2 2" xfId="58347" xr:uid="{00000000-0005-0000-0000-00003B0B0000}"/>
    <cellStyle name="Millares 11 2 2 3" xfId="58348" xr:uid="{00000000-0005-0000-0000-00003C0B0000}"/>
    <cellStyle name="Millares 11 2 3" xfId="58349" xr:uid="{00000000-0005-0000-0000-00003D0B0000}"/>
    <cellStyle name="Millares 11 2 3 2" xfId="58350" xr:uid="{00000000-0005-0000-0000-00003E0B0000}"/>
    <cellStyle name="Millares 11 2 4" xfId="58351" xr:uid="{00000000-0005-0000-0000-00003F0B0000}"/>
    <cellStyle name="Millares 11 3" xfId="7453" xr:uid="{00000000-0005-0000-0000-0000400B0000}"/>
    <cellStyle name="Millares 11 3 2" xfId="14242" xr:uid="{00000000-0005-0000-0000-0000410B0000}"/>
    <cellStyle name="Millares 11 3 2 2" xfId="27810" xr:uid="{00000000-0005-0000-0000-0000420B0000}"/>
    <cellStyle name="Millares 11 3 2 2 2" xfId="54943" xr:uid="{00000000-0005-0000-0000-0000430B0000}"/>
    <cellStyle name="Millares 11 3 2 3" xfId="41381" xr:uid="{00000000-0005-0000-0000-0000440B0000}"/>
    <cellStyle name="Millares 11 3 3" xfId="21029" xr:uid="{00000000-0005-0000-0000-0000450B0000}"/>
    <cellStyle name="Millares 11 3 3 2" xfId="48162" xr:uid="{00000000-0005-0000-0000-0000460B0000}"/>
    <cellStyle name="Millares 11 3 4" xfId="34600" xr:uid="{00000000-0005-0000-0000-0000470B0000}"/>
    <cellStyle name="Millares 11 4" xfId="10853" xr:uid="{00000000-0005-0000-0000-0000480B0000}"/>
    <cellStyle name="Millares 11 4 2" xfId="24421" xr:uid="{00000000-0005-0000-0000-0000490B0000}"/>
    <cellStyle name="Millares 11 4 2 2" xfId="51554" xr:uid="{00000000-0005-0000-0000-00004A0B0000}"/>
    <cellStyle name="Millares 11 4 3" xfId="37992" xr:uid="{00000000-0005-0000-0000-00004B0B0000}"/>
    <cellStyle name="Millares 11 5" xfId="17640" xr:uid="{00000000-0005-0000-0000-00004C0B0000}"/>
    <cellStyle name="Millares 11 5 2" xfId="44773" xr:uid="{00000000-0005-0000-0000-00004D0B0000}"/>
    <cellStyle name="Millares 11 6" xfId="31211" xr:uid="{00000000-0005-0000-0000-00004E0B0000}"/>
    <cellStyle name="Millares 12" xfId="3412" xr:uid="{00000000-0005-0000-0000-00004F0B0000}"/>
    <cellStyle name="Millares 12 2" xfId="7575" xr:uid="{00000000-0005-0000-0000-0000500B0000}"/>
    <cellStyle name="Millares 12 2 2" xfId="14364" xr:uid="{00000000-0005-0000-0000-0000510B0000}"/>
    <cellStyle name="Millares 12 2 2 2" xfId="27932" xr:uid="{00000000-0005-0000-0000-0000520B0000}"/>
    <cellStyle name="Millares 12 2 2 2 2" xfId="55065" xr:uid="{00000000-0005-0000-0000-0000530B0000}"/>
    <cellStyle name="Millares 12 2 2 3" xfId="41503" xr:uid="{00000000-0005-0000-0000-0000540B0000}"/>
    <cellStyle name="Millares 12 2 3" xfId="21151" xr:uid="{00000000-0005-0000-0000-0000550B0000}"/>
    <cellStyle name="Millares 12 2 3 2" xfId="48284" xr:uid="{00000000-0005-0000-0000-0000560B0000}"/>
    <cellStyle name="Millares 12 2 4" xfId="34722" xr:uid="{00000000-0005-0000-0000-0000570B0000}"/>
    <cellStyle name="Millares 12 3" xfId="10975" xr:uid="{00000000-0005-0000-0000-0000580B0000}"/>
    <cellStyle name="Millares 12 3 2" xfId="24543" xr:uid="{00000000-0005-0000-0000-0000590B0000}"/>
    <cellStyle name="Millares 12 3 2 2" xfId="51676" xr:uid="{00000000-0005-0000-0000-00005A0B0000}"/>
    <cellStyle name="Millares 12 3 3" xfId="38114" xr:uid="{00000000-0005-0000-0000-00005B0B0000}"/>
    <cellStyle name="Millares 12 4" xfId="17762" xr:uid="{00000000-0005-0000-0000-00005C0B0000}"/>
    <cellStyle name="Millares 12 4 2" xfId="44895" xr:uid="{00000000-0005-0000-0000-00005D0B0000}"/>
    <cellStyle name="Millares 12 5" xfId="31333" xr:uid="{00000000-0005-0000-0000-00005E0B0000}"/>
    <cellStyle name="Millares 122 2" xfId="58376" xr:uid="{98DF23BF-1FB4-4A7A-9A00-3176E41B1918}"/>
    <cellStyle name="Millares 13" xfId="3415" xr:uid="{00000000-0005-0000-0000-00005F0B0000}"/>
    <cellStyle name="Millares 13 2" xfId="7577" xr:uid="{00000000-0005-0000-0000-0000600B0000}"/>
    <cellStyle name="Millares 13 2 2" xfId="14366" xr:uid="{00000000-0005-0000-0000-0000610B0000}"/>
    <cellStyle name="Millares 13 2 2 2" xfId="27934" xr:uid="{00000000-0005-0000-0000-0000620B0000}"/>
    <cellStyle name="Millares 13 2 2 2 2" xfId="55067" xr:uid="{00000000-0005-0000-0000-0000630B0000}"/>
    <cellStyle name="Millares 13 2 2 3" xfId="41505" xr:uid="{00000000-0005-0000-0000-0000640B0000}"/>
    <cellStyle name="Millares 13 2 3" xfId="21153" xr:uid="{00000000-0005-0000-0000-0000650B0000}"/>
    <cellStyle name="Millares 13 2 3 2" xfId="48286" xr:uid="{00000000-0005-0000-0000-0000660B0000}"/>
    <cellStyle name="Millares 13 2 4" xfId="34724" xr:uid="{00000000-0005-0000-0000-0000670B0000}"/>
    <cellStyle name="Millares 13 3" xfId="10977" xr:uid="{00000000-0005-0000-0000-0000680B0000}"/>
    <cellStyle name="Millares 13 3 2" xfId="24545" xr:uid="{00000000-0005-0000-0000-0000690B0000}"/>
    <cellStyle name="Millares 13 3 2 2" xfId="51678" xr:uid="{00000000-0005-0000-0000-00006A0B0000}"/>
    <cellStyle name="Millares 13 3 3" xfId="38116" xr:uid="{00000000-0005-0000-0000-00006B0B0000}"/>
    <cellStyle name="Millares 13 4" xfId="17764" xr:uid="{00000000-0005-0000-0000-00006C0B0000}"/>
    <cellStyle name="Millares 13 4 2" xfId="44897" xr:uid="{00000000-0005-0000-0000-00006D0B0000}"/>
    <cellStyle name="Millares 13 5" xfId="31335" xr:uid="{00000000-0005-0000-0000-00006E0B0000}"/>
    <cellStyle name="Millares 14" xfId="7289" xr:uid="{00000000-0005-0000-0000-00006F0B0000}"/>
    <cellStyle name="Millares 14 2" xfId="10790" xr:uid="{00000000-0005-0000-0000-0000700B0000}"/>
    <cellStyle name="Millares 14 2 2" xfId="17579" xr:uid="{00000000-0005-0000-0000-0000710B0000}"/>
    <cellStyle name="Millares 14 2 2 2" xfId="31147" xr:uid="{00000000-0005-0000-0000-0000720B0000}"/>
    <cellStyle name="Millares 14 2 2 2 2" xfId="58280" xr:uid="{00000000-0005-0000-0000-0000730B0000}"/>
    <cellStyle name="Millares 14 2 2 3" xfId="44718" xr:uid="{00000000-0005-0000-0000-0000740B0000}"/>
    <cellStyle name="Millares 14 2 3" xfId="24366" xr:uid="{00000000-0005-0000-0000-0000750B0000}"/>
    <cellStyle name="Millares 14 2 3 2" xfId="51499" xr:uid="{00000000-0005-0000-0000-0000760B0000}"/>
    <cellStyle name="Millares 14 2 4" xfId="37937" xr:uid="{00000000-0005-0000-0000-0000770B0000}"/>
    <cellStyle name="Millares 14 3" xfId="14190" xr:uid="{00000000-0005-0000-0000-0000780B0000}"/>
    <cellStyle name="Millares 14 3 2" xfId="27758" xr:uid="{00000000-0005-0000-0000-0000790B0000}"/>
    <cellStyle name="Millares 14 3 2 2" xfId="54891" xr:uid="{00000000-0005-0000-0000-00007A0B0000}"/>
    <cellStyle name="Millares 14 3 3" xfId="41329" xr:uid="{00000000-0005-0000-0000-00007B0B0000}"/>
    <cellStyle name="Millares 14 4" xfId="20977" xr:uid="{00000000-0005-0000-0000-00007C0B0000}"/>
    <cellStyle name="Millares 14 4 2" xfId="48110" xr:uid="{00000000-0005-0000-0000-00007D0B0000}"/>
    <cellStyle name="Millares 14 5" xfId="34548" xr:uid="{00000000-0005-0000-0000-00007E0B0000}"/>
    <cellStyle name="Millares 149" xfId="26" xr:uid="{00000000-0005-0000-0000-00007F0B0000}"/>
    <cellStyle name="Millares 15" xfId="3963" xr:uid="{00000000-0005-0000-0000-0000800B0000}"/>
    <cellStyle name="Millares 15 2" xfId="7301" xr:uid="{00000000-0005-0000-0000-0000810B0000}"/>
    <cellStyle name="Millares 15 2 2" xfId="7308" xr:uid="{00000000-0005-0000-0000-0000820B0000}"/>
    <cellStyle name="Millares 15 2 2 2" xfId="10798" xr:uid="{00000000-0005-0000-0000-0000830B0000}"/>
    <cellStyle name="Millares 15 2 2 2 2" xfId="17587" xr:uid="{00000000-0005-0000-0000-0000840B0000}"/>
    <cellStyle name="Millares 15 2 2 2 2 2" xfId="31155" xr:uid="{00000000-0005-0000-0000-0000850B0000}"/>
    <cellStyle name="Millares 15 2 2 2 2 2 2" xfId="58288" xr:uid="{00000000-0005-0000-0000-0000860B0000}"/>
    <cellStyle name="Millares 15 2 2 2 2 3" xfId="44726" xr:uid="{00000000-0005-0000-0000-0000870B0000}"/>
    <cellStyle name="Millares 15 2 2 2 3" xfId="24374" xr:uid="{00000000-0005-0000-0000-0000880B0000}"/>
    <cellStyle name="Millares 15 2 2 2 3 2" xfId="51507" xr:uid="{00000000-0005-0000-0000-0000890B0000}"/>
    <cellStyle name="Millares 15 2 2 2 4" xfId="37945" xr:uid="{00000000-0005-0000-0000-00008A0B0000}"/>
    <cellStyle name="Millares 15 2 2 3" xfId="14198" xr:uid="{00000000-0005-0000-0000-00008B0B0000}"/>
    <cellStyle name="Millares 15 2 2 3 2" xfId="27766" xr:uid="{00000000-0005-0000-0000-00008C0B0000}"/>
    <cellStyle name="Millares 15 2 2 3 2 2" xfId="54899" xr:uid="{00000000-0005-0000-0000-00008D0B0000}"/>
    <cellStyle name="Millares 15 2 2 3 3" xfId="41337" xr:uid="{00000000-0005-0000-0000-00008E0B0000}"/>
    <cellStyle name="Millares 15 2 2 4" xfId="20985" xr:uid="{00000000-0005-0000-0000-00008F0B0000}"/>
    <cellStyle name="Millares 15 2 2 4 2" xfId="48118" xr:uid="{00000000-0005-0000-0000-0000900B0000}"/>
    <cellStyle name="Millares 15 2 2 5" xfId="34556" xr:uid="{00000000-0005-0000-0000-0000910B0000}"/>
    <cellStyle name="Millares 15 2 3" xfId="7310" xr:uid="{00000000-0005-0000-0000-0000920B0000}"/>
    <cellStyle name="Millares 15 2 3 2" xfId="10800" xr:uid="{00000000-0005-0000-0000-0000930B0000}"/>
    <cellStyle name="Millares 15 2 3 2 2" xfId="17589" xr:uid="{00000000-0005-0000-0000-0000940B0000}"/>
    <cellStyle name="Millares 15 2 3 2 2 2" xfId="31157" xr:uid="{00000000-0005-0000-0000-0000950B0000}"/>
    <cellStyle name="Millares 15 2 3 2 2 2 2" xfId="58290" xr:uid="{00000000-0005-0000-0000-0000960B0000}"/>
    <cellStyle name="Millares 15 2 3 2 2 3" xfId="44728" xr:uid="{00000000-0005-0000-0000-0000970B0000}"/>
    <cellStyle name="Millares 15 2 3 2 3" xfId="24376" xr:uid="{00000000-0005-0000-0000-0000980B0000}"/>
    <cellStyle name="Millares 15 2 3 2 3 2" xfId="51509" xr:uid="{00000000-0005-0000-0000-0000990B0000}"/>
    <cellStyle name="Millares 15 2 3 2 4" xfId="37947" xr:uid="{00000000-0005-0000-0000-00009A0B0000}"/>
    <cellStyle name="Millares 15 2 3 3" xfId="14200" xr:uid="{00000000-0005-0000-0000-00009B0B0000}"/>
    <cellStyle name="Millares 15 2 3 3 2" xfId="27768" xr:uid="{00000000-0005-0000-0000-00009C0B0000}"/>
    <cellStyle name="Millares 15 2 3 3 2 2" xfId="54901" xr:uid="{00000000-0005-0000-0000-00009D0B0000}"/>
    <cellStyle name="Millares 15 2 3 3 3" xfId="41339" xr:uid="{00000000-0005-0000-0000-00009E0B0000}"/>
    <cellStyle name="Millares 15 2 3 4" xfId="20987" xr:uid="{00000000-0005-0000-0000-00009F0B0000}"/>
    <cellStyle name="Millares 15 2 3 4 2" xfId="48120" xr:uid="{00000000-0005-0000-0000-0000A00B0000}"/>
    <cellStyle name="Millares 15 2 3 5" xfId="34558" xr:uid="{00000000-0005-0000-0000-0000A10B0000}"/>
    <cellStyle name="Millares 15 2 4" xfId="7313" xr:uid="{00000000-0005-0000-0000-0000A20B0000}"/>
    <cellStyle name="Millares 15 2 4 2" xfId="10803" xr:uid="{00000000-0005-0000-0000-0000A30B0000}"/>
    <cellStyle name="Millares 15 2 4 2 2" xfId="17592" xr:uid="{00000000-0005-0000-0000-0000A40B0000}"/>
    <cellStyle name="Millares 15 2 4 2 2 2" xfId="31160" xr:uid="{00000000-0005-0000-0000-0000A50B0000}"/>
    <cellStyle name="Millares 15 2 4 2 2 2 2" xfId="58293" xr:uid="{00000000-0005-0000-0000-0000A60B0000}"/>
    <cellStyle name="Millares 15 2 4 2 2 3" xfId="44731" xr:uid="{00000000-0005-0000-0000-0000A70B0000}"/>
    <cellStyle name="Millares 15 2 4 2 3" xfId="24379" xr:uid="{00000000-0005-0000-0000-0000A80B0000}"/>
    <cellStyle name="Millares 15 2 4 2 3 2" xfId="51512" xr:uid="{00000000-0005-0000-0000-0000A90B0000}"/>
    <cellStyle name="Millares 15 2 4 2 4" xfId="37950" xr:uid="{00000000-0005-0000-0000-0000AA0B0000}"/>
    <cellStyle name="Millares 15 2 4 3" xfId="14203" xr:uid="{00000000-0005-0000-0000-0000AB0B0000}"/>
    <cellStyle name="Millares 15 2 4 3 2" xfId="27771" xr:uid="{00000000-0005-0000-0000-0000AC0B0000}"/>
    <cellStyle name="Millares 15 2 4 3 2 2" xfId="54904" xr:uid="{00000000-0005-0000-0000-0000AD0B0000}"/>
    <cellStyle name="Millares 15 2 4 3 3" xfId="41342" xr:uid="{00000000-0005-0000-0000-0000AE0B0000}"/>
    <cellStyle name="Millares 15 2 4 4" xfId="20990" xr:uid="{00000000-0005-0000-0000-0000AF0B0000}"/>
    <cellStyle name="Millares 15 2 4 4 2" xfId="48123" xr:uid="{00000000-0005-0000-0000-0000B00B0000}"/>
    <cellStyle name="Millares 15 2 4 5" xfId="34561" xr:uid="{00000000-0005-0000-0000-0000B10B0000}"/>
    <cellStyle name="Millares 15 2 5" xfId="10797" xr:uid="{00000000-0005-0000-0000-0000B20B0000}"/>
    <cellStyle name="Millares 15 2 5 2" xfId="17586" xr:uid="{00000000-0005-0000-0000-0000B30B0000}"/>
    <cellStyle name="Millares 15 2 5 2 2" xfId="31154" xr:uid="{00000000-0005-0000-0000-0000B40B0000}"/>
    <cellStyle name="Millares 15 2 5 2 2 2" xfId="58287" xr:uid="{00000000-0005-0000-0000-0000B50B0000}"/>
    <cellStyle name="Millares 15 2 5 2 3" xfId="44725" xr:uid="{00000000-0005-0000-0000-0000B60B0000}"/>
    <cellStyle name="Millares 15 2 5 3" xfId="24373" xr:uid="{00000000-0005-0000-0000-0000B70B0000}"/>
    <cellStyle name="Millares 15 2 5 3 2" xfId="51506" xr:uid="{00000000-0005-0000-0000-0000B80B0000}"/>
    <cellStyle name="Millares 15 2 5 4" xfId="37944" xr:uid="{00000000-0005-0000-0000-0000B90B0000}"/>
    <cellStyle name="Millares 15 2 6" xfId="14197" xr:uid="{00000000-0005-0000-0000-0000BA0B0000}"/>
    <cellStyle name="Millares 15 2 6 2" xfId="27765" xr:uid="{00000000-0005-0000-0000-0000BB0B0000}"/>
    <cellStyle name="Millares 15 2 6 2 2" xfId="54898" xr:uid="{00000000-0005-0000-0000-0000BC0B0000}"/>
    <cellStyle name="Millares 15 2 6 3" xfId="41336" xr:uid="{00000000-0005-0000-0000-0000BD0B0000}"/>
    <cellStyle name="Millares 15 2 7" xfId="20984" xr:uid="{00000000-0005-0000-0000-0000BE0B0000}"/>
    <cellStyle name="Millares 15 2 7 2" xfId="48117" xr:uid="{00000000-0005-0000-0000-0000BF0B0000}"/>
    <cellStyle name="Millares 15 2 8" xfId="34555" xr:uid="{00000000-0005-0000-0000-0000C00B0000}"/>
    <cellStyle name="Millares 16" xfId="3964" xr:uid="{00000000-0005-0000-0000-0000C10B0000}"/>
    <cellStyle name="Millares 17" xfId="7296" xr:uid="{00000000-0005-0000-0000-0000C20B0000}"/>
    <cellStyle name="Millares 17 2" xfId="10795" xr:uid="{00000000-0005-0000-0000-0000C30B0000}"/>
    <cellStyle name="Millares 17 2 2" xfId="17584" xr:uid="{00000000-0005-0000-0000-0000C40B0000}"/>
    <cellStyle name="Millares 17 2 2 2" xfId="31152" xr:uid="{00000000-0005-0000-0000-0000C50B0000}"/>
    <cellStyle name="Millares 17 2 2 2 2" xfId="58285" xr:uid="{00000000-0005-0000-0000-0000C60B0000}"/>
    <cellStyle name="Millares 17 2 2 3" xfId="44723" xr:uid="{00000000-0005-0000-0000-0000C70B0000}"/>
    <cellStyle name="Millares 17 2 3" xfId="24371" xr:uid="{00000000-0005-0000-0000-0000C80B0000}"/>
    <cellStyle name="Millares 17 2 3 2" xfId="51504" xr:uid="{00000000-0005-0000-0000-0000C90B0000}"/>
    <cellStyle name="Millares 17 2 4" xfId="37942" xr:uid="{00000000-0005-0000-0000-0000CA0B0000}"/>
    <cellStyle name="Millares 17 3" xfId="14195" xr:uid="{00000000-0005-0000-0000-0000CB0B0000}"/>
    <cellStyle name="Millares 17 3 2" xfId="27763" xr:uid="{00000000-0005-0000-0000-0000CC0B0000}"/>
    <cellStyle name="Millares 17 3 2 2" xfId="54896" xr:uid="{00000000-0005-0000-0000-0000CD0B0000}"/>
    <cellStyle name="Millares 17 3 3" xfId="41334" xr:uid="{00000000-0005-0000-0000-0000CE0B0000}"/>
    <cellStyle name="Millares 17 4" xfId="20982" xr:uid="{00000000-0005-0000-0000-0000CF0B0000}"/>
    <cellStyle name="Millares 17 4 2" xfId="48115" xr:uid="{00000000-0005-0000-0000-0000D00B0000}"/>
    <cellStyle name="Millares 17 5" xfId="34553" xr:uid="{00000000-0005-0000-0000-0000D10B0000}"/>
    <cellStyle name="Millares 18" xfId="3965" xr:uid="{00000000-0005-0000-0000-0000D20B0000}"/>
    <cellStyle name="Millares 18 2" xfId="3966" xr:uid="{00000000-0005-0000-0000-0000D30B0000}"/>
    <cellStyle name="Millares 19" xfId="7445" xr:uid="{00000000-0005-0000-0000-0000D40B0000}"/>
    <cellStyle name="Millares 19 2" xfId="10837" xr:uid="{00000000-0005-0000-0000-0000D50B0000}"/>
    <cellStyle name="Millares 19 2 2" xfId="17626" xr:uid="{00000000-0005-0000-0000-0000D60B0000}"/>
    <cellStyle name="Millares 19 2 2 2" xfId="31194" xr:uid="{00000000-0005-0000-0000-0000D70B0000}"/>
    <cellStyle name="Millares 19 2 2 2 2" xfId="58327" xr:uid="{00000000-0005-0000-0000-0000D80B0000}"/>
    <cellStyle name="Millares 19 2 2 3" xfId="44765" xr:uid="{00000000-0005-0000-0000-0000D90B0000}"/>
    <cellStyle name="Millares 19 2 3" xfId="24413" xr:uid="{00000000-0005-0000-0000-0000DA0B0000}"/>
    <cellStyle name="Millares 19 2 3 2" xfId="51546" xr:uid="{00000000-0005-0000-0000-0000DB0B0000}"/>
    <cellStyle name="Millares 19 2 4" xfId="37984" xr:uid="{00000000-0005-0000-0000-0000DC0B0000}"/>
    <cellStyle name="Millares 19 3" xfId="14237" xr:uid="{00000000-0005-0000-0000-0000DD0B0000}"/>
    <cellStyle name="Millares 19 3 2" xfId="27805" xr:uid="{00000000-0005-0000-0000-0000DE0B0000}"/>
    <cellStyle name="Millares 19 3 2 2" xfId="54938" xr:uid="{00000000-0005-0000-0000-0000DF0B0000}"/>
    <cellStyle name="Millares 19 3 3" xfId="41376" xr:uid="{00000000-0005-0000-0000-0000E00B0000}"/>
    <cellStyle name="Millares 19 4" xfId="21024" xr:uid="{00000000-0005-0000-0000-0000E10B0000}"/>
    <cellStyle name="Millares 19 4 2" xfId="48157" xr:uid="{00000000-0005-0000-0000-0000E20B0000}"/>
    <cellStyle name="Millares 19 5" xfId="34595" xr:uid="{00000000-0005-0000-0000-0000E30B0000}"/>
    <cellStyle name="Millares 2" xfId="53" xr:uid="{00000000-0005-0000-0000-0000E40B0000}"/>
    <cellStyle name="Millares 2 10" xfId="2355" xr:uid="{00000000-0005-0000-0000-0000E50B0000}"/>
    <cellStyle name="Millares 2 10 2" xfId="3967" xr:uid="{00000000-0005-0000-0000-0000E60B0000}"/>
    <cellStyle name="Millares 2 10 2 2" xfId="3968" xr:uid="{00000000-0005-0000-0000-0000E70B0000}"/>
    <cellStyle name="Millares 2 10 2 2 2" xfId="3969" xr:uid="{00000000-0005-0000-0000-0000E80B0000}"/>
    <cellStyle name="Millares 2 10 2 2 2 2" xfId="7580" xr:uid="{00000000-0005-0000-0000-0000E90B0000}"/>
    <cellStyle name="Millares 2 10 2 2 2 2 2" xfId="14369" xr:uid="{00000000-0005-0000-0000-0000EA0B0000}"/>
    <cellStyle name="Millares 2 10 2 2 2 2 2 2" xfId="27937" xr:uid="{00000000-0005-0000-0000-0000EB0B0000}"/>
    <cellStyle name="Millares 2 10 2 2 2 2 2 2 2" xfId="55070" xr:uid="{00000000-0005-0000-0000-0000EC0B0000}"/>
    <cellStyle name="Millares 2 10 2 2 2 2 2 3" xfId="41508" xr:uid="{00000000-0005-0000-0000-0000ED0B0000}"/>
    <cellStyle name="Millares 2 10 2 2 2 2 3" xfId="21156" xr:uid="{00000000-0005-0000-0000-0000EE0B0000}"/>
    <cellStyle name="Millares 2 10 2 2 2 2 3 2" xfId="48289" xr:uid="{00000000-0005-0000-0000-0000EF0B0000}"/>
    <cellStyle name="Millares 2 10 2 2 2 2 4" xfId="34727" xr:uid="{00000000-0005-0000-0000-0000F00B0000}"/>
    <cellStyle name="Millares 2 10 2 2 2 3" xfId="10980" xr:uid="{00000000-0005-0000-0000-0000F10B0000}"/>
    <cellStyle name="Millares 2 10 2 2 2 3 2" xfId="24548" xr:uid="{00000000-0005-0000-0000-0000F20B0000}"/>
    <cellStyle name="Millares 2 10 2 2 2 3 2 2" xfId="51681" xr:uid="{00000000-0005-0000-0000-0000F30B0000}"/>
    <cellStyle name="Millares 2 10 2 2 2 3 3" xfId="38119" xr:uid="{00000000-0005-0000-0000-0000F40B0000}"/>
    <cellStyle name="Millares 2 10 2 2 2 4" xfId="17767" xr:uid="{00000000-0005-0000-0000-0000F50B0000}"/>
    <cellStyle name="Millares 2 10 2 2 2 4 2" xfId="44900" xr:uid="{00000000-0005-0000-0000-0000F60B0000}"/>
    <cellStyle name="Millares 2 10 2 2 2 5" xfId="31338" xr:uid="{00000000-0005-0000-0000-0000F70B0000}"/>
    <cellStyle name="Millares 2 10 2 2 3" xfId="3970" xr:uid="{00000000-0005-0000-0000-0000F80B0000}"/>
    <cellStyle name="Millares 2 10 2 2 3 2" xfId="7581" xr:uid="{00000000-0005-0000-0000-0000F90B0000}"/>
    <cellStyle name="Millares 2 10 2 2 3 2 2" xfId="14370" xr:uid="{00000000-0005-0000-0000-0000FA0B0000}"/>
    <cellStyle name="Millares 2 10 2 2 3 2 2 2" xfId="27938" xr:uid="{00000000-0005-0000-0000-0000FB0B0000}"/>
    <cellStyle name="Millares 2 10 2 2 3 2 2 2 2" xfId="55071" xr:uid="{00000000-0005-0000-0000-0000FC0B0000}"/>
    <cellStyle name="Millares 2 10 2 2 3 2 2 3" xfId="41509" xr:uid="{00000000-0005-0000-0000-0000FD0B0000}"/>
    <cellStyle name="Millares 2 10 2 2 3 2 3" xfId="21157" xr:uid="{00000000-0005-0000-0000-0000FE0B0000}"/>
    <cellStyle name="Millares 2 10 2 2 3 2 3 2" xfId="48290" xr:uid="{00000000-0005-0000-0000-0000FF0B0000}"/>
    <cellStyle name="Millares 2 10 2 2 3 2 4" xfId="34728" xr:uid="{00000000-0005-0000-0000-0000000C0000}"/>
    <cellStyle name="Millares 2 10 2 2 3 3" xfId="10981" xr:uid="{00000000-0005-0000-0000-0000010C0000}"/>
    <cellStyle name="Millares 2 10 2 2 3 3 2" xfId="24549" xr:uid="{00000000-0005-0000-0000-0000020C0000}"/>
    <cellStyle name="Millares 2 10 2 2 3 3 2 2" xfId="51682" xr:uid="{00000000-0005-0000-0000-0000030C0000}"/>
    <cellStyle name="Millares 2 10 2 2 3 3 3" xfId="38120" xr:uid="{00000000-0005-0000-0000-0000040C0000}"/>
    <cellStyle name="Millares 2 10 2 2 3 4" xfId="17768" xr:uid="{00000000-0005-0000-0000-0000050C0000}"/>
    <cellStyle name="Millares 2 10 2 2 3 4 2" xfId="44901" xr:uid="{00000000-0005-0000-0000-0000060C0000}"/>
    <cellStyle name="Millares 2 10 2 2 3 5" xfId="31339" xr:uid="{00000000-0005-0000-0000-0000070C0000}"/>
    <cellStyle name="Millares 2 10 2 2 4" xfId="7579" xr:uid="{00000000-0005-0000-0000-0000080C0000}"/>
    <cellStyle name="Millares 2 10 2 2 4 2" xfId="14368" xr:uid="{00000000-0005-0000-0000-0000090C0000}"/>
    <cellStyle name="Millares 2 10 2 2 4 2 2" xfId="27936" xr:uid="{00000000-0005-0000-0000-00000A0C0000}"/>
    <cellStyle name="Millares 2 10 2 2 4 2 2 2" xfId="55069" xr:uid="{00000000-0005-0000-0000-00000B0C0000}"/>
    <cellStyle name="Millares 2 10 2 2 4 2 3" xfId="41507" xr:uid="{00000000-0005-0000-0000-00000C0C0000}"/>
    <cellStyle name="Millares 2 10 2 2 4 3" xfId="21155" xr:uid="{00000000-0005-0000-0000-00000D0C0000}"/>
    <cellStyle name="Millares 2 10 2 2 4 3 2" xfId="48288" xr:uid="{00000000-0005-0000-0000-00000E0C0000}"/>
    <cellStyle name="Millares 2 10 2 2 4 4" xfId="34726" xr:uid="{00000000-0005-0000-0000-00000F0C0000}"/>
    <cellStyle name="Millares 2 10 2 2 5" xfId="10979" xr:uid="{00000000-0005-0000-0000-0000100C0000}"/>
    <cellStyle name="Millares 2 10 2 2 5 2" xfId="24547" xr:uid="{00000000-0005-0000-0000-0000110C0000}"/>
    <cellStyle name="Millares 2 10 2 2 5 2 2" xfId="51680" xr:uid="{00000000-0005-0000-0000-0000120C0000}"/>
    <cellStyle name="Millares 2 10 2 2 5 3" xfId="38118" xr:uid="{00000000-0005-0000-0000-0000130C0000}"/>
    <cellStyle name="Millares 2 10 2 2 6" xfId="17766" xr:uid="{00000000-0005-0000-0000-0000140C0000}"/>
    <cellStyle name="Millares 2 10 2 2 6 2" xfId="44899" xr:uid="{00000000-0005-0000-0000-0000150C0000}"/>
    <cellStyle name="Millares 2 10 2 2 7" xfId="31337" xr:uid="{00000000-0005-0000-0000-0000160C0000}"/>
    <cellStyle name="Millares 2 10 2 3" xfId="3971" xr:uid="{00000000-0005-0000-0000-0000170C0000}"/>
    <cellStyle name="Millares 2 10 2 3 2" xfId="3972" xr:uid="{00000000-0005-0000-0000-0000180C0000}"/>
    <cellStyle name="Millares 2 10 2 3 2 2" xfId="7583" xr:uid="{00000000-0005-0000-0000-0000190C0000}"/>
    <cellStyle name="Millares 2 10 2 3 2 2 2" xfId="14372" xr:uid="{00000000-0005-0000-0000-00001A0C0000}"/>
    <cellStyle name="Millares 2 10 2 3 2 2 2 2" xfId="27940" xr:uid="{00000000-0005-0000-0000-00001B0C0000}"/>
    <cellStyle name="Millares 2 10 2 3 2 2 2 2 2" xfId="55073" xr:uid="{00000000-0005-0000-0000-00001C0C0000}"/>
    <cellStyle name="Millares 2 10 2 3 2 2 2 3" xfId="41511" xr:uid="{00000000-0005-0000-0000-00001D0C0000}"/>
    <cellStyle name="Millares 2 10 2 3 2 2 3" xfId="21159" xr:uid="{00000000-0005-0000-0000-00001E0C0000}"/>
    <cellStyle name="Millares 2 10 2 3 2 2 3 2" xfId="48292" xr:uid="{00000000-0005-0000-0000-00001F0C0000}"/>
    <cellStyle name="Millares 2 10 2 3 2 2 4" xfId="34730" xr:uid="{00000000-0005-0000-0000-0000200C0000}"/>
    <cellStyle name="Millares 2 10 2 3 2 3" xfId="10983" xr:uid="{00000000-0005-0000-0000-0000210C0000}"/>
    <cellStyle name="Millares 2 10 2 3 2 3 2" xfId="24551" xr:uid="{00000000-0005-0000-0000-0000220C0000}"/>
    <cellStyle name="Millares 2 10 2 3 2 3 2 2" xfId="51684" xr:uid="{00000000-0005-0000-0000-0000230C0000}"/>
    <cellStyle name="Millares 2 10 2 3 2 3 3" xfId="38122" xr:uid="{00000000-0005-0000-0000-0000240C0000}"/>
    <cellStyle name="Millares 2 10 2 3 2 4" xfId="17770" xr:uid="{00000000-0005-0000-0000-0000250C0000}"/>
    <cellStyle name="Millares 2 10 2 3 2 4 2" xfId="44903" xr:uid="{00000000-0005-0000-0000-0000260C0000}"/>
    <cellStyle name="Millares 2 10 2 3 2 5" xfId="31341" xr:uid="{00000000-0005-0000-0000-0000270C0000}"/>
    <cellStyle name="Millares 2 10 2 3 3" xfId="7582" xr:uid="{00000000-0005-0000-0000-0000280C0000}"/>
    <cellStyle name="Millares 2 10 2 3 3 2" xfId="14371" xr:uid="{00000000-0005-0000-0000-0000290C0000}"/>
    <cellStyle name="Millares 2 10 2 3 3 2 2" xfId="27939" xr:uid="{00000000-0005-0000-0000-00002A0C0000}"/>
    <cellStyle name="Millares 2 10 2 3 3 2 2 2" xfId="55072" xr:uid="{00000000-0005-0000-0000-00002B0C0000}"/>
    <cellStyle name="Millares 2 10 2 3 3 2 3" xfId="41510" xr:uid="{00000000-0005-0000-0000-00002C0C0000}"/>
    <cellStyle name="Millares 2 10 2 3 3 3" xfId="21158" xr:uid="{00000000-0005-0000-0000-00002D0C0000}"/>
    <cellStyle name="Millares 2 10 2 3 3 3 2" xfId="48291" xr:uid="{00000000-0005-0000-0000-00002E0C0000}"/>
    <cellStyle name="Millares 2 10 2 3 3 4" xfId="34729" xr:uid="{00000000-0005-0000-0000-00002F0C0000}"/>
    <cellStyle name="Millares 2 10 2 3 4" xfId="10982" xr:uid="{00000000-0005-0000-0000-0000300C0000}"/>
    <cellStyle name="Millares 2 10 2 3 4 2" xfId="24550" xr:uid="{00000000-0005-0000-0000-0000310C0000}"/>
    <cellStyle name="Millares 2 10 2 3 4 2 2" xfId="51683" xr:uid="{00000000-0005-0000-0000-0000320C0000}"/>
    <cellStyle name="Millares 2 10 2 3 4 3" xfId="38121" xr:uid="{00000000-0005-0000-0000-0000330C0000}"/>
    <cellStyle name="Millares 2 10 2 3 5" xfId="17769" xr:uid="{00000000-0005-0000-0000-0000340C0000}"/>
    <cellStyle name="Millares 2 10 2 3 5 2" xfId="44902" xr:uid="{00000000-0005-0000-0000-0000350C0000}"/>
    <cellStyle name="Millares 2 10 2 3 6" xfId="31340" xr:uid="{00000000-0005-0000-0000-0000360C0000}"/>
    <cellStyle name="Millares 2 10 2 4" xfId="3973" xr:uid="{00000000-0005-0000-0000-0000370C0000}"/>
    <cellStyle name="Millares 2 10 2 4 2" xfId="7584" xr:uid="{00000000-0005-0000-0000-0000380C0000}"/>
    <cellStyle name="Millares 2 10 2 4 2 2" xfId="14373" xr:uid="{00000000-0005-0000-0000-0000390C0000}"/>
    <cellStyle name="Millares 2 10 2 4 2 2 2" xfId="27941" xr:uid="{00000000-0005-0000-0000-00003A0C0000}"/>
    <cellStyle name="Millares 2 10 2 4 2 2 2 2" xfId="55074" xr:uid="{00000000-0005-0000-0000-00003B0C0000}"/>
    <cellStyle name="Millares 2 10 2 4 2 2 3" xfId="41512" xr:uid="{00000000-0005-0000-0000-00003C0C0000}"/>
    <cellStyle name="Millares 2 10 2 4 2 3" xfId="21160" xr:uid="{00000000-0005-0000-0000-00003D0C0000}"/>
    <cellStyle name="Millares 2 10 2 4 2 3 2" xfId="48293" xr:uid="{00000000-0005-0000-0000-00003E0C0000}"/>
    <cellStyle name="Millares 2 10 2 4 2 4" xfId="34731" xr:uid="{00000000-0005-0000-0000-00003F0C0000}"/>
    <cellStyle name="Millares 2 10 2 4 3" xfId="10984" xr:uid="{00000000-0005-0000-0000-0000400C0000}"/>
    <cellStyle name="Millares 2 10 2 4 3 2" xfId="24552" xr:uid="{00000000-0005-0000-0000-0000410C0000}"/>
    <cellStyle name="Millares 2 10 2 4 3 2 2" xfId="51685" xr:uid="{00000000-0005-0000-0000-0000420C0000}"/>
    <cellStyle name="Millares 2 10 2 4 3 3" xfId="38123" xr:uid="{00000000-0005-0000-0000-0000430C0000}"/>
    <cellStyle name="Millares 2 10 2 4 4" xfId="17771" xr:uid="{00000000-0005-0000-0000-0000440C0000}"/>
    <cellStyle name="Millares 2 10 2 4 4 2" xfId="44904" xr:uid="{00000000-0005-0000-0000-0000450C0000}"/>
    <cellStyle name="Millares 2 10 2 4 5" xfId="31342" xr:uid="{00000000-0005-0000-0000-0000460C0000}"/>
    <cellStyle name="Millares 2 10 2 5" xfId="3974" xr:uid="{00000000-0005-0000-0000-0000470C0000}"/>
    <cellStyle name="Millares 2 10 2 5 2" xfId="7585" xr:uid="{00000000-0005-0000-0000-0000480C0000}"/>
    <cellStyle name="Millares 2 10 2 5 2 2" xfId="14374" xr:uid="{00000000-0005-0000-0000-0000490C0000}"/>
    <cellStyle name="Millares 2 10 2 5 2 2 2" xfId="27942" xr:uid="{00000000-0005-0000-0000-00004A0C0000}"/>
    <cellStyle name="Millares 2 10 2 5 2 2 2 2" xfId="55075" xr:uid="{00000000-0005-0000-0000-00004B0C0000}"/>
    <cellStyle name="Millares 2 10 2 5 2 2 3" xfId="41513" xr:uid="{00000000-0005-0000-0000-00004C0C0000}"/>
    <cellStyle name="Millares 2 10 2 5 2 3" xfId="21161" xr:uid="{00000000-0005-0000-0000-00004D0C0000}"/>
    <cellStyle name="Millares 2 10 2 5 2 3 2" xfId="48294" xr:uid="{00000000-0005-0000-0000-00004E0C0000}"/>
    <cellStyle name="Millares 2 10 2 5 2 4" xfId="34732" xr:uid="{00000000-0005-0000-0000-00004F0C0000}"/>
    <cellStyle name="Millares 2 10 2 5 3" xfId="10985" xr:uid="{00000000-0005-0000-0000-0000500C0000}"/>
    <cellStyle name="Millares 2 10 2 5 3 2" xfId="24553" xr:uid="{00000000-0005-0000-0000-0000510C0000}"/>
    <cellStyle name="Millares 2 10 2 5 3 2 2" xfId="51686" xr:uid="{00000000-0005-0000-0000-0000520C0000}"/>
    <cellStyle name="Millares 2 10 2 5 3 3" xfId="38124" xr:uid="{00000000-0005-0000-0000-0000530C0000}"/>
    <cellStyle name="Millares 2 10 2 5 4" xfId="17772" xr:uid="{00000000-0005-0000-0000-0000540C0000}"/>
    <cellStyle name="Millares 2 10 2 5 4 2" xfId="44905" xr:uid="{00000000-0005-0000-0000-0000550C0000}"/>
    <cellStyle name="Millares 2 10 2 5 5" xfId="31343" xr:uid="{00000000-0005-0000-0000-0000560C0000}"/>
    <cellStyle name="Millares 2 10 2 6" xfId="7578" xr:uid="{00000000-0005-0000-0000-0000570C0000}"/>
    <cellStyle name="Millares 2 10 2 6 2" xfId="14367" xr:uid="{00000000-0005-0000-0000-0000580C0000}"/>
    <cellStyle name="Millares 2 10 2 6 2 2" xfId="27935" xr:uid="{00000000-0005-0000-0000-0000590C0000}"/>
    <cellStyle name="Millares 2 10 2 6 2 2 2" xfId="55068" xr:uid="{00000000-0005-0000-0000-00005A0C0000}"/>
    <cellStyle name="Millares 2 10 2 6 2 3" xfId="41506" xr:uid="{00000000-0005-0000-0000-00005B0C0000}"/>
    <cellStyle name="Millares 2 10 2 6 3" xfId="21154" xr:uid="{00000000-0005-0000-0000-00005C0C0000}"/>
    <cellStyle name="Millares 2 10 2 6 3 2" xfId="48287" xr:uid="{00000000-0005-0000-0000-00005D0C0000}"/>
    <cellStyle name="Millares 2 10 2 6 4" xfId="34725" xr:uid="{00000000-0005-0000-0000-00005E0C0000}"/>
    <cellStyle name="Millares 2 10 2 7" xfId="10978" xr:uid="{00000000-0005-0000-0000-00005F0C0000}"/>
    <cellStyle name="Millares 2 10 2 7 2" xfId="24546" xr:uid="{00000000-0005-0000-0000-0000600C0000}"/>
    <cellStyle name="Millares 2 10 2 7 2 2" xfId="51679" xr:uid="{00000000-0005-0000-0000-0000610C0000}"/>
    <cellStyle name="Millares 2 10 2 7 3" xfId="38117" xr:uid="{00000000-0005-0000-0000-0000620C0000}"/>
    <cellStyle name="Millares 2 10 2 8" xfId="17765" xr:uid="{00000000-0005-0000-0000-0000630C0000}"/>
    <cellStyle name="Millares 2 10 2 8 2" xfId="44898" xr:uid="{00000000-0005-0000-0000-0000640C0000}"/>
    <cellStyle name="Millares 2 10 2 9" xfId="31336" xr:uid="{00000000-0005-0000-0000-0000650C0000}"/>
    <cellStyle name="Millares 2 10 3" xfId="3975" xr:uid="{00000000-0005-0000-0000-0000660C0000}"/>
    <cellStyle name="Millares 2 10 3 2" xfId="3976" xr:uid="{00000000-0005-0000-0000-0000670C0000}"/>
    <cellStyle name="Millares 2 10 3 2 2" xfId="3977" xr:uid="{00000000-0005-0000-0000-0000680C0000}"/>
    <cellStyle name="Millares 2 10 3 2 2 2" xfId="7588" xr:uid="{00000000-0005-0000-0000-0000690C0000}"/>
    <cellStyle name="Millares 2 10 3 2 2 2 2" xfId="14377" xr:uid="{00000000-0005-0000-0000-00006A0C0000}"/>
    <cellStyle name="Millares 2 10 3 2 2 2 2 2" xfId="27945" xr:uid="{00000000-0005-0000-0000-00006B0C0000}"/>
    <cellStyle name="Millares 2 10 3 2 2 2 2 2 2" xfId="55078" xr:uid="{00000000-0005-0000-0000-00006C0C0000}"/>
    <cellStyle name="Millares 2 10 3 2 2 2 2 3" xfId="41516" xr:uid="{00000000-0005-0000-0000-00006D0C0000}"/>
    <cellStyle name="Millares 2 10 3 2 2 2 3" xfId="21164" xr:uid="{00000000-0005-0000-0000-00006E0C0000}"/>
    <cellStyle name="Millares 2 10 3 2 2 2 3 2" xfId="48297" xr:uid="{00000000-0005-0000-0000-00006F0C0000}"/>
    <cellStyle name="Millares 2 10 3 2 2 2 4" xfId="34735" xr:uid="{00000000-0005-0000-0000-0000700C0000}"/>
    <cellStyle name="Millares 2 10 3 2 2 3" xfId="10988" xr:uid="{00000000-0005-0000-0000-0000710C0000}"/>
    <cellStyle name="Millares 2 10 3 2 2 3 2" xfId="24556" xr:uid="{00000000-0005-0000-0000-0000720C0000}"/>
    <cellStyle name="Millares 2 10 3 2 2 3 2 2" xfId="51689" xr:uid="{00000000-0005-0000-0000-0000730C0000}"/>
    <cellStyle name="Millares 2 10 3 2 2 3 3" xfId="38127" xr:uid="{00000000-0005-0000-0000-0000740C0000}"/>
    <cellStyle name="Millares 2 10 3 2 2 4" xfId="17775" xr:uid="{00000000-0005-0000-0000-0000750C0000}"/>
    <cellStyle name="Millares 2 10 3 2 2 4 2" xfId="44908" xr:uid="{00000000-0005-0000-0000-0000760C0000}"/>
    <cellStyle name="Millares 2 10 3 2 2 5" xfId="31346" xr:uid="{00000000-0005-0000-0000-0000770C0000}"/>
    <cellStyle name="Millares 2 10 3 2 3" xfId="3978" xr:uid="{00000000-0005-0000-0000-0000780C0000}"/>
    <cellStyle name="Millares 2 10 3 2 3 2" xfId="7589" xr:uid="{00000000-0005-0000-0000-0000790C0000}"/>
    <cellStyle name="Millares 2 10 3 2 3 2 2" xfId="14378" xr:uid="{00000000-0005-0000-0000-00007A0C0000}"/>
    <cellStyle name="Millares 2 10 3 2 3 2 2 2" xfId="27946" xr:uid="{00000000-0005-0000-0000-00007B0C0000}"/>
    <cellStyle name="Millares 2 10 3 2 3 2 2 2 2" xfId="55079" xr:uid="{00000000-0005-0000-0000-00007C0C0000}"/>
    <cellStyle name="Millares 2 10 3 2 3 2 2 3" xfId="41517" xr:uid="{00000000-0005-0000-0000-00007D0C0000}"/>
    <cellStyle name="Millares 2 10 3 2 3 2 3" xfId="21165" xr:uid="{00000000-0005-0000-0000-00007E0C0000}"/>
    <cellStyle name="Millares 2 10 3 2 3 2 3 2" xfId="48298" xr:uid="{00000000-0005-0000-0000-00007F0C0000}"/>
    <cellStyle name="Millares 2 10 3 2 3 2 4" xfId="34736" xr:uid="{00000000-0005-0000-0000-0000800C0000}"/>
    <cellStyle name="Millares 2 10 3 2 3 3" xfId="10989" xr:uid="{00000000-0005-0000-0000-0000810C0000}"/>
    <cellStyle name="Millares 2 10 3 2 3 3 2" xfId="24557" xr:uid="{00000000-0005-0000-0000-0000820C0000}"/>
    <cellStyle name="Millares 2 10 3 2 3 3 2 2" xfId="51690" xr:uid="{00000000-0005-0000-0000-0000830C0000}"/>
    <cellStyle name="Millares 2 10 3 2 3 3 3" xfId="38128" xr:uid="{00000000-0005-0000-0000-0000840C0000}"/>
    <cellStyle name="Millares 2 10 3 2 3 4" xfId="17776" xr:uid="{00000000-0005-0000-0000-0000850C0000}"/>
    <cellStyle name="Millares 2 10 3 2 3 4 2" xfId="44909" xr:uid="{00000000-0005-0000-0000-0000860C0000}"/>
    <cellStyle name="Millares 2 10 3 2 3 5" xfId="31347" xr:uid="{00000000-0005-0000-0000-0000870C0000}"/>
    <cellStyle name="Millares 2 10 3 2 4" xfId="7587" xr:uid="{00000000-0005-0000-0000-0000880C0000}"/>
    <cellStyle name="Millares 2 10 3 2 4 2" xfId="14376" xr:uid="{00000000-0005-0000-0000-0000890C0000}"/>
    <cellStyle name="Millares 2 10 3 2 4 2 2" xfId="27944" xr:uid="{00000000-0005-0000-0000-00008A0C0000}"/>
    <cellStyle name="Millares 2 10 3 2 4 2 2 2" xfId="55077" xr:uid="{00000000-0005-0000-0000-00008B0C0000}"/>
    <cellStyle name="Millares 2 10 3 2 4 2 3" xfId="41515" xr:uid="{00000000-0005-0000-0000-00008C0C0000}"/>
    <cellStyle name="Millares 2 10 3 2 4 3" xfId="21163" xr:uid="{00000000-0005-0000-0000-00008D0C0000}"/>
    <cellStyle name="Millares 2 10 3 2 4 3 2" xfId="48296" xr:uid="{00000000-0005-0000-0000-00008E0C0000}"/>
    <cellStyle name="Millares 2 10 3 2 4 4" xfId="34734" xr:uid="{00000000-0005-0000-0000-00008F0C0000}"/>
    <cellStyle name="Millares 2 10 3 2 5" xfId="10987" xr:uid="{00000000-0005-0000-0000-0000900C0000}"/>
    <cellStyle name="Millares 2 10 3 2 5 2" xfId="24555" xr:uid="{00000000-0005-0000-0000-0000910C0000}"/>
    <cellStyle name="Millares 2 10 3 2 5 2 2" xfId="51688" xr:uid="{00000000-0005-0000-0000-0000920C0000}"/>
    <cellStyle name="Millares 2 10 3 2 5 3" xfId="38126" xr:uid="{00000000-0005-0000-0000-0000930C0000}"/>
    <cellStyle name="Millares 2 10 3 2 6" xfId="17774" xr:uid="{00000000-0005-0000-0000-0000940C0000}"/>
    <cellStyle name="Millares 2 10 3 2 6 2" xfId="44907" xr:uid="{00000000-0005-0000-0000-0000950C0000}"/>
    <cellStyle name="Millares 2 10 3 2 7" xfId="31345" xr:uid="{00000000-0005-0000-0000-0000960C0000}"/>
    <cellStyle name="Millares 2 10 3 3" xfId="3979" xr:uid="{00000000-0005-0000-0000-0000970C0000}"/>
    <cellStyle name="Millares 2 10 3 3 2" xfId="7590" xr:uid="{00000000-0005-0000-0000-0000980C0000}"/>
    <cellStyle name="Millares 2 10 3 3 2 2" xfId="14379" xr:uid="{00000000-0005-0000-0000-0000990C0000}"/>
    <cellStyle name="Millares 2 10 3 3 2 2 2" xfId="27947" xr:uid="{00000000-0005-0000-0000-00009A0C0000}"/>
    <cellStyle name="Millares 2 10 3 3 2 2 2 2" xfId="55080" xr:uid="{00000000-0005-0000-0000-00009B0C0000}"/>
    <cellStyle name="Millares 2 10 3 3 2 2 3" xfId="41518" xr:uid="{00000000-0005-0000-0000-00009C0C0000}"/>
    <cellStyle name="Millares 2 10 3 3 2 3" xfId="21166" xr:uid="{00000000-0005-0000-0000-00009D0C0000}"/>
    <cellStyle name="Millares 2 10 3 3 2 3 2" xfId="48299" xr:uid="{00000000-0005-0000-0000-00009E0C0000}"/>
    <cellStyle name="Millares 2 10 3 3 2 4" xfId="34737" xr:uid="{00000000-0005-0000-0000-00009F0C0000}"/>
    <cellStyle name="Millares 2 10 3 3 3" xfId="10990" xr:uid="{00000000-0005-0000-0000-0000A00C0000}"/>
    <cellStyle name="Millares 2 10 3 3 3 2" xfId="24558" xr:uid="{00000000-0005-0000-0000-0000A10C0000}"/>
    <cellStyle name="Millares 2 10 3 3 3 2 2" xfId="51691" xr:uid="{00000000-0005-0000-0000-0000A20C0000}"/>
    <cellStyle name="Millares 2 10 3 3 3 3" xfId="38129" xr:uid="{00000000-0005-0000-0000-0000A30C0000}"/>
    <cellStyle name="Millares 2 10 3 3 4" xfId="17777" xr:uid="{00000000-0005-0000-0000-0000A40C0000}"/>
    <cellStyle name="Millares 2 10 3 3 4 2" xfId="44910" xr:uid="{00000000-0005-0000-0000-0000A50C0000}"/>
    <cellStyle name="Millares 2 10 3 3 5" xfId="31348" xr:uid="{00000000-0005-0000-0000-0000A60C0000}"/>
    <cellStyle name="Millares 2 10 3 4" xfId="3980" xr:uid="{00000000-0005-0000-0000-0000A70C0000}"/>
    <cellStyle name="Millares 2 10 3 4 2" xfId="7591" xr:uid="{00000000-0005-0000-0000-0000A80C0000}"/>
    <cellStyle name="Millares 2 10 3 4 2 2" xfId="14380" xr:uid="{00000000-0005-0000-0000-0000A90C0000}"/>
    <cellStyle name="Millares 2 10 3 4 2 2 2" xfId="27948" xr:uid="{00000000-0005-0000-0000-0000AA0C0000}"/>
    <cellStyle name="Millares 2 10 3 4 2 2 2 2" xfId="55081" xr:uid="{00000000-0005-0000-0000-0000AB0C0000}"/>
    <cellStyle name="Millares 2 10 3 4 2 2 3" xfId="41519" xr:uid="{00000000-0005-0000-0000-0000AC0C0000}"/>
    <cellStyle name="Millares 2 10 3 4 2 3" xfId="21167" xr:uid="{00000000-0005-0000-0000-0000AD0C0000}"/>
    <cellStyle name="Millares 2 10 3 4 2 3 2" xfId="48300" xr:uid="{00000000-0005-0000-0000-0000AE0C0000}"/>
    <cellStyle name="Millares 2 10 3 4 2 4" xfId="34738" xr:uid="{00000000-0005-0000-0000-0000AF0C0000}"/>
    <cellStyle name="Millares 2 10 3 4 3" xfId="10991" xr:uid="{00000000-0005-0000-0000-0000B00C0000}"/>
    <cellStyle name="Millares 2 10 3 4 3 2" xfId="24559" xr:uid="{00000000-0005-0000-0000-0000B10C0000}"/>
    <cellStyle name="Millares 2 10 3 4 3 2 2" xfId="51692" xr:uid="{00000000-0005-0000-0000-0000B20C0000}"/>
    <cellStyle name="Millares 2 10 3 4 3 3" xfId="38130" xr:uid="{00000000-0005-0000-0000-0000B30C0000}"/>
    <cellStyle name="Millares 2 10 3 4 4" xfId="17778" xr:uid="{00000000-0005-0000-0000-0000B40C0000}"/>
    <cellStyle name="Millares 2 10 3 4 4 2" xfId="44911" xr:uid="{00000000-0005-0000-0000-0000B50C0000}"/>
    <cellStyle name="Millares 2 10 3 4 5" xfId="31349" xr:uid="{00000000-0005-0000-0000-0000B60C0000}"/>
    <cellStyle name="Millares 2 10 3 5" xfId="7586" xr:uid="{00000000-0005-0000-0000-0000B70C0000}"/>
    <cellStyle name="Millares 2 10 3 5 2" xfId="14375" xr:uid="{00000000-0005-0000-0000-0000B80C0000}"/>
    <cellStyle name="Millares 2 10 3 5 2 2" xfId="27943" xr:uid="{00000000-0005-0000-0000-0000B90C0000}"/>
    <cellStyle name="Millares 2 10 3 5 2 2 2" xfId="55076" xr:uid="{00000000-0005-0000-0000-0000BA0C0000}"/>
    <cellStyle name="Millares 2 10 3 5 2 3" xfId="41514" xr:uid="{00000000-0005-0000-0000-0000BB0C0000}"/>
    <cellStyle name="Millares 2 10 3 5 3" xfId="21162" xr:uid="{00000000-0005-0000-0000-0000BC0C0000}"/>
    <cellStyle name="Millares 2 10 3 5 3 2" xfId="48295" xr:uid="{00000000-0005-0000-0000-0000BD0C0000}"/>
    <cellStyle name="Millares 2 10 3 5 4" xfId="34733" xr:uid="{00000000-0005-0000-0000-0000BE0C0000}"/>
    <cellStyle name="Millares 2 10 3 6" xfId="10986" xr:uid="{00000000-0005-0000-0000-0000BF0C0000}"/>
    <cellStyle name="Millares 2 10 3 6 2" xfId="24554" xr:uid="{00000000-0005-0000-0000-0000C00C0000}"/>
    <cellStyle name="Millares 2 10 3 6 2 2" xfId="51687" xr:uid="{00000000-0005-0000-0000-0000C10C0000}"/>
    <cellStyle name="Millares 2 10 3 6 3" xfId="38125" xr:uid="{00000000-0005-0000-0000-0000C20C0000}"/>
    <cellStyle name="Millares 2 10 3 7" xfId="17773" xr:uid="{00000000-0005-0000-0000-0000C30C0000}"/>
    <cellStyle name="Millares 2 10 3 7 2" xfId="44906" xr:uid="{00000000-0005-0000-0000-0000C40C0000}"/>
    <cellStyle name="Millares 2 10 3 8" xfId="31344" xr:uid="{00000000-0005-0000-0000-0000C50C0000}"/>
    <cellStyle name="Millares 2 10 4" xfId="3981" xr:uid="{00000000-0005-0000-0000-0000C60C0000}"/>
    <cellStyle name="Millares 2 10 4 2" xfId="3982" xr:uid="{00000000-0005-0000-0000-0000C70C0000}"/>
    <cellStyle name="Millares 2 10 4 2 2" xfId="7593" xr:uid="{00000000-0005-0000-0000-0000C80C0000}"/>
    <cellStyle name="Millares 2 10 4 2 2 2" xfId="14382" xr:uid="{00000000-0005-0000-0000-0000C90C0000}"/>
    <cellStyle name="Millares 2 10 4 2 2 2 2" xfId="27950" xr:uid="{00000000-0005-0000-0000-0000CA0C0000}"/>
    <cellStyle name="Millares 2 10 4 2 2 2 2 2" xfId="55083" xr:uid="{00000000-0005-0000-0000-0000CB0C0000}"/>
    <cellStyle name="Millares 2 10 4 2 2 2 3" xfId="41521" xr:uid="{00000000-0005-0000-0000-0000CC0C0000}"/>
    <cellStyle name="Millares 2 10 4 2 2 3" xfId="21169" xr:uid="{00000000-0005-0000-0000-0000CD0C0000}"/>
    <cellStyle name="Millares 2 10 4 2 2 3 2" xfId="48302" xr:uid="{00000000-0005-0000-0000-0000CE0C0000}"/>
    <cellStyle name="Millares 2 10 4 2 2 4" xfId="34740" xr:uid="{00000000-0005-0000-0000-0000CF0C0000}"/>
    <cellStyle name="Millares 2 10 4 2 3" xfId="10993" xr:uid="{00000000-0005-0000-0000-0000D00C0000}"/>
    <cellStyle name="Millares 2 10 4 2 3 2" xfId="24561" xr:uid="{00000000-0005-0000-0000-0000D10C0000}"/>
    <cellStyle name="Millares 2 10 4 2 3 2 2" xfId="51694" xr:uid="{00000000-0005-0000-0000-0000D20C0000}"/>
    <cellStyle name="Millares 2 10 4 2 3 3" xfId="38132" xr:uid="{00000000-0005-0000-0000-0000D30C0000}"/>
    <cellStyle name="Millares 2 10 4 2 4" xfId="17780" xr:uid="{00000000-0005-0000-0000-0000D40C0000}"/>
    <cellStyle name="Millares 2 10 4 2 4 2" xfId="44913" xr:uid="{00000000-0005-0000-0000-0000D50C0000}"/>
    <cellStyle name="Millares 2 10 4 2 5" xfId="31351" xr:uid="{00000000-0005-0000-0000-0000D60C0000}"/>
    <cellStyle name="Millares 2 10 4 3" xfId="3983" xr:uid="{00000000-0005-0000-0000-0000D70C0000}"/>
    <cellStyle name="Millares 2 10 4 3 2" xfId="7594" xr:uid="{00000000-0005-0000-0000-0000D80C0000}"/>
    <cellStyle name="Millares 2 10 4 3 2 2" xfId="14383" xr:uid="{00000000-0005-0000-0000-0000D90C0000}"/>
    <cellStyle name="Millares 2 10 4 3 2 2 2" xfId="27951" xr:uid="{00000000-0005-0000-0000-0000DA0C0000}"/>
    <cellStyle name="Millares 2 10 4 3 2 2 2 2" xfId="55084" xr:uid="{00000000-0005-0000-0000-0000DB0C0000}"/>
    <cellStyle name="Millares 2 10 4 3 2 2 3" xfId="41522" xr:uid="{00000000-0005-0000-0000-0000DC0C0000}"/>
    <cellStyle name="Millares 2 10 4 3 2 3" xfId="21170" xr:uid="{00000000-0005-0000-0000-0000DD0C0000}"/>
    <cellStyle name="Millares 2 10 4 3 2 3 2" xfId="48303" xr:uid="{00000000-0005-0000-0000-0000DE0C0000}"/>
    <cellStyle name="Millares 2 10 4 3 2 4" xfId="34741" xr:uid="{00000000-0005-0000-0000-0000DF0C0000}"/>
    <cellStyle name="Millares 2 10 4 3 3" xfId="10994" xr:uid="{00000000-0005-0000-0000-0000E00C0000}"/>
    <cellStyle name="Millares 2 10 4 3 3 2" xfId="24562" xr:uid="{00000000-0005-0000-0000-0000E10C0000}"/>
    <cellStyle name="Millares 2 10 4 3 3 2 2" xfId="51695" xr:uid="{00000000-0005-0000-0000-0000E20C0000}"/>
    <cellStyle name="Millares 2 10 4 3 3 3" xfId="38133" xr:uid="{00000000-0005-0000-0000-0000E30C0000}"/>
    <cellStyle name="Millares 2 10 4 3 4" xfId="17781" xr:uid="{00000000-0005-0000-0000-0000E40C0000}"/>
    <cellStyle name="Millares 2 10 4 3 4 2" xfId="44914" xr:uid="{00000000-0005-0000-0000-0000E50C0000}"/>
    <cellStyle name="Millares 2 10 4 3 5" xfId="31352" xr:uid="{00000000-0005-0000-0000-0000E60C0000}"/>
    <cellStyle name="Millares 2 10 4 4" xfId="7592" xr:uid="{00000000-0005-0000-0000-0000E70C0000}"/>
    <cellStyle name="Millares 2 10 4 4 2" xfId="14381" xr:uid="{00000000-0005-0000-0000-0000E80C0000}"/>
    <cellStyle name="Millares 2 10 4 4 2 2" xfId="27949" xr:uid="{00000000-0005-0000-0000-0000E90C0000}"/>
    <cellStyle name="Millares 2 10 4 4 2 2 2" xfId="55082" xr:uid="{00000000-0005-0000-0000-0000EA0C0000}"/>
    <cellStyle name="Millares 2 10 4 4 2 3" xfId="41520" xr:uid="{00000000-0005-0000-0000-0000EB0C0000}"/>
    <cellStyle name="Millares 2 10 4 4 3" xfId="21168" xr:uid="{00000000-0005-0000-0000-0000EC0C0000}"/>
    <cellStyle name="Millares 2 10 4 4 3 2" xfId="48301" xr:uid="{00000000-0005-0000-0000-0000ED0C0000}"/>
    <cellStyle name="Millares 2 10 4 4 4" xfId="34739" xr:uid="{00000000-0005-0000-0000-0000EE0C0000}"/>
    <cellStyle name="Millares 2 10 4 5" xfId="10992" xr:uid="{00000000-0005-0000-0000-0000EF0C0000}"/>
    <cellStyle name="Millares 2 10 4 5 2" xfId="24560" xr:uid="{00000000-0005-0000-0000-0000F00C0000}"/>
    <cellStyle name="Millares 2 10 4 5 2 2" xfId="51693" xr:uid="{00000000-0005-0000-0000-0000F10C0000}"/>
    <cellStyle name="Millares 2 10 4 5 3" xfId="38131" xr:uid="{00000000-0005-0000-0000-0000F20C0000}"/>
    <cellStyle name="Millares 2 10 4 6" xfId="17779" xr:uid="{00000000-0005-0000-0000-0000F30C0000}"/>
    <cellStyle name="Millares 2 10 4 6 2" xfId="44912" xr:uid="{00000000-0005-0000-0000-0000F40C0000}"/>
    <cellStyle name="Millares 2 10 4 7" xfId="31350" xr:uid="{00000000-0005-0000-0000-0000F50C0000}"/>
    <cellStyle name="Millares 2 10 5" xfId="3984" xr:uid="{00000000-0005-0000-0000-0000F60C0000}"/>
    <cellStyle name="Millares 2 10 5 2" xfId="3985" xr:uid="{00000000-0005-0000-0000-0000F70C0000}"/>
    <cellStyle name="Millares 2 10 5 2 2" xfId="7596" xr:uid="{00000000-0005-0000-0000-0000F80C0000}"/>
    <cellStyle name="Millares 2 10 5 2 2 2" xfId="14385" xr:uid="{00000000-0005-0000-0000-0000F90C0000}"/>
    <cellStyle name="Millares 2 10 5 2 2 2 2" xfId="27953" xr:uid="{00000000-0005-0000-0000-0000FA0C0000}"/>
    <cellStyle name="Millares 2 10 5 2 2 2 2 2" xfId="55086" xr:uid="{00000000-0005-0000-0000-0000FB0C0000}"/>
    <cellStyle name="Millares 2 10 5 2 2 2 3" xfId="41524" xr:uid="{00000000-0005-0000-0000-0000FC0C0000}"/>
    <cellStyle name="Millares 2 10 5 2 2 3" xfId="21172" xr:uid="{00000000-0005-0000-0000-0000FD0C0000}"/>
    <cellStyle name="Millares 2 10 5 2 2 3 2" xfId="48305" xr:uid="{00000000-0005-0000-0000-0000FE0C0000}"/>
    <cellStyle name="Millares 2 10 5 2 2 4" xfId="34743" xr:uid="{00000000-0005-0000-0000-0000FF0C0000}"/>
    <cellStyle name="Millares 2 10 5 2 3" xfId="10996" xr:uid="{00000000-0005-0000-0000-0000000D0000}"/>
    <cellStyle name="Millares 2 10 5 2 3 2" xfId="24564" xr:uid="{00000000-0005-0000-0000-0000010D0000}"/>
    <cellStyle name="Millares 2 10 5 2 3 2 2" xfId="51697" xr:uid="{00000000-0005-0000-0000-0000020D0000}"/>
    <cellStyle name="Millares 2 10 5 2 3 3" xfId="38135" xr:uid="{00000000-0005-0000-0000-0000030D0000}"/>
    <cellStyle name="Millares 2 10 5 2 4" xfId="17783" xr:uid="{00000000-0005-0000-0000-0000040D0000}"/>
    <cellStyle name="Millares 2 10 5 2 4 2" xfId="44916" xr:uid="{00000000-0005-0000-0000-0000050D0000}"/>
    <cellStyle name="Millares 2 10 5 2 5" xfId="31354" xr:uid="{00000000-0005-0000-0000-0000060D0000}"/>
    <cellStyle name="Millares 2 10 5 3" xfId="7595" xr:uid="{00000000-0005-0000-0000-0000070D0000}"/>
    <cellStyle name="Millares 2 10 5 3 2" xfId="14384" xr:uid="{00000000-0005-0000-0000-0000080D0000}"/>
    <cellStyle name="Millares 2 10 5 3 2 2" xfId="27952" xr:uid="{00000000-0005-0000-0000-0000090D0000}"/>
    <cellStyle name="Millares 2 10 5 3 2 2 2" xfId="55085" xr:uid="{00000000-0005-0000-0000-00000A0D0000}"/>
    <cellStyle name="Millares 2 10 5 3 2 3" xfId="41523" xr:uid="{00000000-0005-0000-0000-00000B0D0000}"/>
    <cellStyle name="Millares 2 10 5 3 3" xfId="21171" xr:uid="{00000000-0005-0000-0000-00000C0D0000}"/>
    <cellStyle name="Millares 2 10 5 3 3 2" xfId="48304" xr:uid="{00000000-0005-0000-0000-00000D0D0000}"/>
    <cellStyle name="Millares 2 10 5 3 4" xfId="34742" xr:uid="{00000000-0005-0000-0000-00000E0D0000}"/>
    <cellStyle name="Millares 2 10 5 4" xfId="10995" xr:uid="{00000000-0005-0000-0000-00000F0D0000}"/>
    <cellStyle name="Millares 2 10 5 4 2" xfId="24563" xr:uid="{00000000-0005-0000-0000-0000100D0000}"/>
    <cellStyle name="Millares 2 10 5 4 2 2" xfId="51696" xr:uid="{00000000-0005-0000-0000-0000110D0000}"/>
    <cellStyle name="Millares 2 10 5 4 3" xfId="38134" xr:uid="{00000000-0005-0000-0000-0000120D0000}"/>
    <cellStyle name="Millares 2 10 5 5" xfId="17782" xr:uid="{00000000-0005-0000-0000-0000130D0000}"/>
    <cellStyle name="Millares 2 10 5 5 2" xfId="44915" xr:uid="{00000000-0005-0000-0000-0000140D0000}"/>
    <cellStyle name="Millares 2 10 5 6" xfId="31353" xr:uid="{00000000-0005-0000-0000-0000150D0000}"/>
    <cellStyle name="Millares 2 10 6" xfId="3986" xr:uid="{00000000-0005-0000-0000-0000160D0000}"/>
    <cellStyle name="Millares 2 10 6 2" xfId="7597" xr:uid="{00000000-0005-0000-0000-0000170D0000}"/>
    <cellStyle name="Millares 2 10 6 2 2" xfId="14386" xr:uid="{00000000-0005-0000-0000-0000180D0000}"/>
    <cellStyle name="Millares 2 10 6 2 2 2" xfId="27954" xr:uid="{00000000-0005-0000-0000-0000190D0000}"/>
    <cellStyle name="Millares 2 10 6 2 2 2 2" xfId="55087" xr:uid="{00000000-0005-0000-0000-00001A0D0000}"/>
    <cellStyle name="Millares 2 10 6 2 2 3" xfId="41525" xr:uid="{00000000-0005-0000-0000-00001B0D0000}"/>
    <cellStyle name="Millares 2 10 6 2 3" xfId="21173" xr:uid="{00000000-0005-0000-0000-00001C0D0000}"/>
    <cellStyle name="Millares 2 10 6 2 3 2" xfId="48306" xr:uid="{00000000-0005-0000-0000-00001D0D0000}"/>
    <cellStyle name="Millares 2 10 6 2 4" xfId="34744" xr:uid="{00000000-0005-0000-0000-00001E0D0000}"/>
    <cellStyle name="Millares 2 10 6 3" xfId="10997" xr:uid="{00000000-0005-0000-0000-00001F0D0000}"/>
    <cellStyle name="Millares 2 10 6 3 2" xfId="24565" xr:uid="{00000000-0005-0000-0000-0000200D0000}"/>
    <cellStyle name="Millares 2 10 6 3 2 2" xfId="51698" xr:uid="{00000000-0005-0000-0000-0000210D0000}"/>
    <cellStyle name="Millares 2 10 6 3 3" xfId="38136" xr:uid="{00000000-0005-0000-0000-0000220D0000}"/>
    <cellStyle name="Millares 2 10 6 4" xfId="17784" xr:uid="{00000000-0005-0000-0000-0000230D0000}"/>
    <cellStyle name="Millares 2 10 6 4 2" xfId="44917" xr:uid="{00000000-0005-0000-0000-0000240D0000}"/>
    <cellStyle name="Millares 2 10 6 5" xfId="31355" xr:uid="{00000000-0005-0000-0000-0000250D0000}"/>
    <cellStyle name="Millares 2 10 7" xfId="3987" xr:uid="{00000000-0005-0000-0000-0000260D0000}"/>
    <cellStyle name="Millares 2 10 7 2" xfId="7598" xr:uid="{00000000-0005-0000-0000-0000270D0000}"/>
    <cellStyle name="Millares 2 10 7 2 2" xfId="14387" xr:uid="{00000000-0005-0000-0000-0000280D0000}"/>
    <cellStyle name="Millares 2 10 7 2 2 2" xfId="27955" xr:uid="{00000000-0005-0000-0000-0000290D0000}"/>
    <cellStyle name="Millares 2 10 7 2 2 2 2" xfId="55088" xr:uid="{00000000-0005-0000-0000-00002A0D0000}"/>
    <cellStyle name="Millares 2 10 7 2 2 3" xfId="41526" xr:uid="{00000000-0005-0000-0000-00002B0D0000}"/>
    <cellStyle name="Millares 2 10 7 2 3" xfId="21174" xr:uid="{00000000-0005-0000-0000-00002C0D0000}"/>
    <cellStyle name="Millares 2 10 7 2 3 2" xfId="48307" xr:uid="{00000000-0005-0000-0000-00002D0D0000}"/>
    <cellStyle name="Millares 2 10 7 2 4" xfId="34745" xr:uid="{00000000-0005-0000-0000-00002E0D0000}"/>
    <cellStyle name="Millares 2 10 7 3" xfId="10998" xr:uid="{00000000-0005-0000-0000-00002F0D0000}"/>
    <cellStyle name="Millares 2 10 7 3 2" xfId="24566" xr:uid="{00000000-0005-0000-0000-0000300D0000}"/>
    <cellStyle name="Millares 2 10 7 3 2 2" xfId="51699" xr:uid="{00000000-0005-0000-0000-0000310D0000}"/>
    <cellStyle name="Millares 2 10 7 3 3" xfId="38137" xr:uid="{00000000-0005-0000-0000-0000320D0000}"/>
    <cellStyle name="Millares 2 10 7 4" xfId="17785" xr:uid="{00000000-0005-0000-0000-0000330D0000}"/>
    <cellStyle name="Millares 2 10 7 4 2" xfId="44918" xr:uid="{00000000-0005-0000-0000-0000340D0000}"/>
    <cellStyle name="Millares 2 10 7 5" xfId="31356" xr:uid="{00000000-0005-0000-0000-0000350D0000}"/>
    <cellStyle name="Millares 2 11" xfId="2356" xr:uid="{00000000-0005-0000-0000-0000360D0000}"/>
    <cellStyle name="Millares 2 11 2" xfId="3988" xr:uid="{00000000-0005-0000-0000-0000370D0000}"/>
    <cellStyle name="Millares 2 11 2 2" xfId="3989" xr:uid="{00000000-0005-0000-0000-0000380D0000}"/>
    <cellStyle name="Millares 2 11 2 2 2" xfId="7600" xr:uid="{00000000-0005-0000-0000-0000390D0000}"/>
    <cellStyle name="Millares 2 11 2 2 2 2" xfId="14389" xr:uid="{00000000-0005-0000-0000-00003A0D0000}"/>
    <cellStyle name="Millares 2 11 2 2 2 2 2" xfId="27957" xr:uid="{00000000-0005-0000-0000-00003B0D0000}"/>
    <cellStyle name="Millares 2 11 2 2 2 2 2 2" xfId="55090" xr:uid="{00000000-0005-0000-0000-00003C0D0000}"/>
    <cellStyle name="Millares 2 11 2 2 2 2 3" xfId="41528" xr:uid="{00000000-0005-0000-0000-00003D0D0000}"/>
    <cellStyle name="Millares 2 11 2 2 2 3" xfId="21176" xr:uid="{00000000-0005-0000-0000-00003E0D0000}"/>
    <cellStyle name="Millares 2 11 2 2 2 3 2" xfId="48309" xr:uid="{00000000-0005-0000-0000-00003F0D0000}"/>
    <cellStyle name="Millares 2 11 2 2 2 4" xfId="34747" xr:uid="{00000000-0005-0000-0000-0000400D0000}"/>
    <cellStyle name="Millares 2 11 2 2 3" xfId="11000" xr:uid="{00000000-0005-0000-0000-0000410D0000}"/>
    <cellStyle name="Millares 2 11 2 2 3 2" xfId="24568" xr:uid="{00000000-0005-0000-0000-0000420D0000}"/>
    <cellStyle name="Millares 2 11 2 2 3 2 2" xfId="51701" xr:uid="{00000000-0005-0000-0000-0000430D0000}"/>
    <cellStyle name="Millares 2 11 2 2 3 3" xfId="38139" xr:uid="{00000000-0005-0000-0000-0000440D0000}"/>
    <cellStyle name="Millares 2 11 2 2 4" xfId="17787" xr:uid="{00000000-0005-0000-0000-0000450D0000}"/>
    <cellStyle name="Millares 2 11 2 2 4 2" xfId="44920" xr:uid="{00000000-0005-0000-0000-0000460D0000}"/>
    <cellStyle name="Millares 2 11 2 2 5" xfId="31358" xr:uid="{00000000-0005-0000-0000-0000470D0000}"/>
    <cellStyle name="Millares 2 11 2 3" xfId="3990" xr:uid="{00000000-0005-0000-0000-0000480D0000}"/>
    <cellStyle name="Millares 2 11 2 3 2" xfId="7601" xr:uid="{00000000-0005-0000-0000-0000490D0000}"/>
    <cellStyle name="Millares 2 11 2 3 2 2" xfId="14390" xr:uid="{00000000-0005-0000-0000-00004A0D0000}"/>
    <cellStyle name="Millares 2 11 2 3 2 2 2" xfId="27958" xr:uid="{00000000-0005-0000-0000-00004B0D0000}"/>
    <cellStyle name="Millares 2 11 2 3 2 2 2 2" xfId="55091" xr:uid="{00000000-0005-0000-0000-00004C0D0000}"/>
    <cellStyle name="Millares 2 11 2 3 2 2 3" xfId="41529" xr:uid="{00000000-0005-0000-0000-00004D0D0000}"/>
    <cellStyle name="Millares 2 11 2 3 2 3" xfId="21177" xr:uid="{00000000-0005-0000-0000-00004E0D0000}"/>
    <cellStyle name="Millares 2 11 2 3 2 3 2" xfId="48310" xr:uid="{00000000-0005-0000-0000-00004F0D0000}"/>
    <cellStyle name="Millares 2 11 2 3 2 4" xfId="34748" xr:uid="{00000000-0005-0000-0000-0000500D0000}"/>
    <cellStyle name="Millares 2 11 2 3 3" xfId="11001" xr:uid="{00000000-0005-0000-0000-0000510D0000}"/>
    <cellStyle name="Millares 2 11 2 3 3 2" xfId="24569" xr:uid="{00000000-0005-0000-0000-0000520D0000}"/>
    <cellStyle name="Millares 2 11 2 3 3 2 2" xfId="51702" xr:uid="{00000000-0005-0000-0000-0000530D0000}"/>
    <cellStyle name="Millares 2 11 2 3 3 3" xfId="38140" xr:uid="{00000000-0005-0000-0000-0000540D0000}"/>
    <cellStyle name="Millares 2 11 2 3 4" xfId="17788" xr:uid="{00000000-0005-0000-0000-0000550D0000}"/>
    <cellStyle name="Millares 2 11 2 3 4 2" xfId="44921" xr:uid="{00000000-0005-0000-0000-0000560D0000}"/>
    <cellStyle name="Millares 2 11 2 3 5" xfId="31359" xr:uid="{00000000-0005-0000-0000-0000570D0000}"/>
    <cellStyle name="Millares 2 11 2 4" xfId="7599" xr:uid="{00000000-0005-0000-0000-0000580D0000}"/>
    <cellStyle name="Millares 2 11 2 4 2" xfId="14388" xr:uid="{00000000-0005-0000-0000-0000590D0000}"/>
    <cellStyle name="Millares 2 11 2 4 2 2" xfId="27956" xr:uid="{00000000-0005-0000-0000-00005A0D0000}"/>
    <cellStyle name="Millares 2 11 2 4 2 2 2" xfId="55089" xr:uid="{00000000-0005-0000-0000-00005B0D0000}"/>
    <cellStyle name="Millares 2 11 2 4 2 3" xfId="41527" xr:uid="{00000000-0005-0000-0000-00005C0D0000}"/>
    <cellStyle name="Millares 2 11 2 4 3" xfId="21175" xr:uid="{00000000-0005-0000-0000-00005D0D0000}"/>
    <cellStyle name="Millares 2 11 2 4 3 2" xfId="48308" xr:uid="{00000000-0005-0000-0000-00005E0D0000}"/>
    <cellStyle name="Millares 2 11 2 4 4" xfId="34746" xr:uid="{00000000-0005-0000-0000-00005F0D0000}"/>
    <cellStyle name="Millares 2 11 2 5" xfId="10999" xr:uid="{00000000-0005-0000-0000-0000600D0000}"/>
    <cellStyle name="Millares 2 11 2 5 2" xfId="24567" xr:uid="{00000000-0005-0000-0000-0000610D0000}"/>
    <cellStyle name="Millares 2 11 2 5 2 2" xfId="51700" xr:uid="{00000000-0005-0000-0000-0000620D0000}"/>
    <cellStyle name="Millares 2 11 2 5 3" xfId="38138" xr:uid="{00000000-0005-0000-0000-0000630D0000}"/>
    <cellStyle name="Millares 2 11 2 6" xfId="17786" xr:uid="{00000000-0005-0000-0000-0000640D0000}"/>
    <cellStyle name="Millares 2 11 2 6 2" xfId="44919" xr:uid="{00000000-0005-0000-0000-0000650D0000}"/>
    <cellStyle name="Millares 2 11 2 7" xfId="31357" xr:uid="{00000000-0005-0000-0000-0000660D0000}"/>
    <cellStyle name="Millares 2 11 3" xfId="3991" xr:uid="{00000000-0005-0000-0000-0000670D0000}"/>
    <cellStyle name="Millares 2 11 3 2" xfId="3992" xr:uid="{00000000-0005-0000-0000-0000680D0000}"/>
    <cellStyle name="Millares 2 11 3 2 2" xfId="7603" xr:uid="{00000000-0005-0000-0000-0000690D0000}"/>
    <cellStyle name="Millares 2 11 3 2 2 2" xfId="14392" xr:uid="{00000000-0005-0000-0000-00006A0D0000}"/>
    <cellStyle name="Millares 2 11 3 2 2 2 2" xfId="27960" xr:uid="{00000000-0005-0000-0000-00006B0D0000}"/>
    <cellStyle name="Millares 2 11 3 2 2 2 2 2" xfId="55093" xr:uid="{00000000-0005-0000-0000-00006C0D0000}"/>
    <cellStyle name="Millares 2 11 3 2 2 2 3" xfId="41531" xr:uid="{00000000-0005-0000-0000-00006D0D0000}"/>
    <cellStyle name="Millares 2 11 3 2 2 3" xfId="21179" xr:uid="{00000000-0005-0000-0000-00006E0D0000}"/>
    <cellStyle name="Millares 2 11 3 2 2 3 2" xfId="48312" xr:uid="{00000000-0005-0000-0000-00006F0D0000}"/>
    <cellStyle name="Millares 2 11 3 2 2 4" xfId="34750" xr:uid="{00000000-0005-0000-0000-0000700D0000}"/>
    <cellStyle name="Millares 2 11 3 2 3" xfId="11003" xr:uid="{00000000-0005-0000-0000-0000710D0000}"/>
    <cellStyle name="Millares 2 11 3 2 3 2" xfId="24571" xr:uid="{00000000-0005-0000-0000-0000720D0000}"/>
    <cellStyle name="Millares 2 11 3 2 3 2 2" xfId="51704" xr:uid="{00000000-0005-0000-0000-0000730D0000}"/>
    <cellStyle name="Millares 2 11 3 2 3 3" xfId="38142" xr:uid="{00000000-0005-0000-0000-0000740D0000}"/>
    <cellStyle name="Millares 2 11 3 2 4" xfId="17790" xr:uid="{00000000-0005-0000-0000-0000750D0000}"/>
    <cellStyle name="Millares 2 11 3 2 4 2" xfId="44923" xr:uid="{00000000-0005-0000-0000-0000760D0000}"/>
    <cellStyle name="Millares 2 11 3 2 5" xfId="31361" xr:uid="{00000000-0005-0000-0000-0000770D0000}"/>
    <cellStyle name="Millares 2 11 3 3" xfId="7602" xr:uid="{00000000-0005-0000-0000-0000780D0000}"/>
    <cellStyle name="Millares 2 11 3 3 2" xfId="14391" xr:uid="{00000000-0005-0000-0000-0000790D0000}"/>
    <cellStyle name="Millares 2 11 3 3 2 2" xfId="27959" xr:uid="{00000000-0005-0000-0000-00007A0D0000}"/>
    <cellStyle name="Millares 2 11 3 3 2 2 2" xfId="55092" xr:uid="{00000000-0005-0000-0000-00007B0D0000}"/>
    <cellStyle name="Millares 2 11 3 3 2 3" xfId="41530" xr:uid="{00000000-0005-0000-0000-00007C0D0000}"/>
    <cellStyle name="Millares 2 11 3 3 3" xfId="21178" xr:uid="{00000000-0005-0000-0000-00007D0D0000}"/>
    <cellStyle name="Millares 2 11 3 3 3 2" xfId="48311" xr:uid="{00000000-0005-0000-0000-00007E0D0000}"/>
    <cellStyle name="Millares 2 11 3 3 4" xfId="34749" xr:uid="{00000000-0005-0000-0000-00007F0D0000}"/>
    <cellStyle name="Millares 2 11 3 4" xfId="11002" xr:uid="{00000000-0005-0000-0000-0000800D0000}"/>
    <cellStyle name="Millares 2 11 3 4 2" xfId="24570" xr:uid="{00000000-0005-0000-0000-0000810D0000}"/>
    <cellStyle name="Millares 2 11 3 4 2 2" xfId="51703" xr:uid="{00000000-0005-0000-0000-0000820D0000}"/>
    <cellStyle name="Millares 2 11 3 4 3" xfId="38141" xr:uid="{00000000-0005-0000-0000-0000830D0000}"/>
    <cellStyle name="Millares 2 11 3 5" xfId="17789" xr:uid="{00000000-0005-0000-0000-0000840D0000}"/>
    <cellStyle name="Millares 2 11 3 5 2" xfId="44922" xr:uid="{00000000-0005-0000-0000-0000850D0000}"/>
    <cellStyle name="Millares 2 11 3 6" xfId="31360" xr:uid="{00000000-0005-0000-0000-0000860D0000}"/>
    <cellStyle name="Millares 2 11 4" xfId="3993" xr:uid="{00000000-0005-0000-0000-0000870D0000}"/>
    <cellStyle name="Millares 2 11 4 2" xfId="7604" xr:uid="{00000000-0005-0000-0000-0000880D0000}"/>
    <cellStyle name="Millares 2 11 4 2 2" xfId="14393" xr:uid="{00000000-0005-0000-0000-0000890D0000}"/>
    <cellStyle name="Millares 2 11 4 2 2 2" xfId="27961" xr:uid="{00000000-0005-0000-0000-00008A0D0000}"/>
    <cellStyle name="Millares 2 11 4 2 2 2 2" xfId="55094" xr:uid="{00000000-0005-0000-0000-00008B0D0000}"/>
    <cellStyle name="Millares 2 11 4 2 2 3" xfId="41532" xr:uid="{00000000-0005-0000-0000-00008C0D0000}"/>
    <cellStyle name="Millares 2 11 4 2 3" xfId="21180" xr:uid="{00000000-0005-0000-0000-00008D0D0000}"/>
    <cellStyle name="Millares 2 11 4 2 3 2" xfId="48313" xr:uid="{00000000-0005-0000-0000-00008E0D0000}"/>
    <cellStyle name="Millares 2 11 4 2 4" xfId="34751" xr:uid="{00000000-0005-0000-0000-00008F0D0000}"/>
    <cellStyle name="Millares 2 11 4 3" xfId="11004" xr:uid="{00000000-0005-0000-0000-0000900D0000}"/>
    <cellStyle name="Millares 2 11 4 3 2" xfId="24572" xr:uid="{00000000-0005-0000-0000-0000910D0000}"/>
    <cellStyle name="Millares 2 11 4 3 2 2" xfId="51705" xr:uid="{00000000-0005-0000-0000-0000920D0000}"/>
    <cellStyle name="Millares 2 11 4 3 3" xfId="38143" xr:uid="{00000000-0005-0000-0000-0000930D0000}"/>
    <cellStyle name="Millares 2 11 4 4" xfId="17791" xr:uid="{00000000-0005-0000-0000-0000940D0000}"/>
    <cellStyle name="Millares 2 11 4 4 2" xfId="44924" xr:uid="{00000000-0005-0000-0000-0000950D0000}"/>
    <cellStyle name="Millares 2 11 4 5" xfId="31362" xr:uid="{00000000-0005-0000-0000-0000960D0000}"/>
    <cellStyle name="Millares 2 11 5" xfId="3994" xr:uid="{00000000-0005-0000-0000-0000970D0000}"/>
    <cellStyle name="Millares 2 11 5 2" xfId="7605" xr:uid="{00000000-0005-0000-0000-0000980D0000}"/>
    <cellStyle name="Millares 2 11 5 2 2" xfId="14394" xr:uid="{00000000-0005-0000-0000-0000990D0000}"/>
    <cellStyle name="Millares 2 11 5 2 2 2" xfId="27962" xr:uid="{00000000-0005-0000-0000-00009A0D0000}"/>
    <cellStyle name="Millares 2 11 5 2 2 2 2" xfId="55095" xr:uid="{00000000-0005-0000-0000-00009B0D0000}"/>
    <cellStyle name="Millares 2 11 5 2 2 3" xfId="41533" xr:uid="{00000000-0005-0000-0000-00009C0D0000}"/>
    <cellStyle name="Millares 2 11 5 2 3" xfId="21181" xr:uid="{00000000-0005-0000-0000-00009D0D0000}"/>
    <cellStyle name="Millares 2 11 5 2 3 2" xfId="48314" xr:uid="{00000000-0005-0000-0000-00009E0D0000}"/>
    <cellStyle name="Millares 2 11 5 2 4" xfId="34752" xr:uid="{00000000-0005-0000-0000-00009F0D0000}"/>
    <cellStyle name="Millares 2 11 5 3" xfId="11005" xr:uid="{00000000-0005-0000-0000-0000A00D0000}"/>
    <cellStyle name="Millares 2 11 5 3 2" xfId="24573" xr:uid="{00000000-0005-0000-0000-0000A10D0000}"/>
    <cellStyle name="Millares 2 11 5 3 2 2" xfId="51706" xr:uid="{00000000-0005-0000-0000-0000A20D0000}"/>
    <cellStyle name="Millares 2 11 5 3 3" xfId="38144" xr:uid="{00000000-0005-0000-0000-0000A30D0000}"/>
    <cellStyle name="Millares 2 11 5 4" xfId="17792" xr:uid="{00000000-0005-0000-0000-0000A40D0000}"/>
    <cellStyle name="Millares 2 11 5 4 2" xfId="44925" xr:uid="{00000000-0005-0000-0000-0000A50D0000}"/>
    <cellStyle name="Millares 2 11 5 5" xfId="31363" xr:uid="{00000000-0005-0000-0000-0000A60D0000}"/>
    <cellStyle name="Millares 2 12" xfId="2357" xr:uid="{00000000-0005-0000-0000-0000A70D0000}"/>
    <cellStyle name="Millares 2 12 2" xfId="3995" xr:uid="{00000000-0005-0000-0000-0000A80D0000}"/>
    <cellStyle name="Millares 2 12 2 2" xfId="3996" xr:uid="{00000000-0005-0000-0000-0000A90D0000}"/>
    <cellStyle name="Millares 2 12 2 2 2" xfId="7607" xr:uid="{00000000-0005-0000-0000-0000AA0D0000}"/>
    <cellStyle name="Millares 2 12 2 2 2 2" xfId="14396" xr:uid="{00000000-0005-0000-0000-0000AB0D0000}"/>
    <cellStyle name="Millares 2 12 2 2 2 2 2" xfId="27964" xr:uid="{00000000-0005-0000-0000-0000AC0D0000}"/>
    <cellStyle name="Millares 2 12 2 2 2 2 2 2" xfId="55097" xr:uid="{00000000-0005-0000-0000-0000AD0D0000}"/>
    <cellStyle name="Millares 2 12 2 2 2 2 3" xfId="41535" xr:uid="{00000000-0005-0000-0000-0000AE0D0000}"/>
    <cellStyle name="Millares 2 12 2 2 2 3" xfId="21183" xr:uid="{00000000-0005-0000-0000-0000AF0D0000}"/>
    <cellStyle name="Millares 2 12 2 2 2 3 2" xfId="48316" xr:uid="{00000000-0005-0000-0000-0000B00D0000}"/>
    <cellStyle name="Millares 2 12 2 2 2 4" xfId="34754" xr:uid="{00000000-0005-0000-0000-0000B10D0000}"/>
    <cellStyle name="Millares 2 12 2 2 3" xfId="11007" xr:uid="{00000000-0005-0000-0000-0000B20D0000}"/>
    <cellStyle name="Millares 2 12 2 2 3 2" xfId="24575" xr:uid="{00000000-0005-0000-0000-0000B30D0000}"/>
    <cellStyle name="Millares 2 12 2 2 3 2 2" xfId="51708" xr:uid="{00000000-0005-0000-0000-0000B40D0000}"/>
    <cellStyle name="Millares 2 12 2 2 3 3" xfId="38146" xr:uid="{00000000-0005-0000-0000-0000B50D0000}"/>
    <cellStyle name="Millares 2 12 2 2 4" xfId="17794" xr:uid="{00000000-0005-0000-0000-0000B60D0000}"/>
    <cellStyle name="Millares 2 12 2 2 4 2" xfId="44927" xr:uid="{00000000-0005-0000-0000-0000B70D0000}"/>
    <cellStyle name="Millares 2 12 2 2 5" xfId="31365" xr:uid="{00000000-0005-0000-0000-0000B80D0000}"/>
    <cellStyle name="Millares 2 12 2 3" xfId="3997" xr:uid="{00000000-0005-0000-0000-0000B90D0000}"/>
    <cellStyle name="Millares 2 12 2 3 2" xfId="7608" xr:uid="{00000000-0005-0000-0000-0000BA0D0000}"/>
    <cellStyle name="Millares 2 12 2 3 2 2" xfId="14397" xr:uid="{00000000-0005-0000-0000-0000BB0D0000}"/>
    <cellStyle name="Millares 2 12 2 3 2 2 2" xfId="27965" xr:uid="{00000000-0005-0000-0000-0000BC0D0000}"/>
    <cellStyle name="Millares 2 12 2 3 2 2 2 2" xfId="55098" xr:uid="{00000000-0005-0000-0000-0000BD0D0000}"/>
    <cellStyle name="Millares 2 12 2 3 2 2 3" xfId="41536" xr:uid="{00000000-0005-0000-0000-0000BE0D0000}"/>
    <cellStyle name="Millares 2 12 2 3 2 3" xfId="21184" xr:uid="{00000000-0005-0000-0000-0000BF0D0000}"/>
    <cellStyle name="Millares 2 12 2 3 2 3 2" xfId="48317" xr:uid="{00000000-0005-0000-0000-0000C00D0000}"/>
    <cellStyle name="Millares 2 12 2 3 2 4" xfId="34755" xr:uid="{00000000-0005-0000-0000-0000C10D0000}"/>
    <cellStyle name="Millares 2 12 2 3 3" xfId="11008" xr:uid="{00000000-0005-0000-0000-0000C20D0000}"/>
    <cellStyle name="Millares 2 12 2 3 3 2" xfId="24576" xr:uid="{00000000-0005-0000-0000-0000C30D0000}"/>
    <cellStyle name="Millares 2 12 2 3 3 2 2" xfId="51709" xr:uid="{00000000-0005-0000-0000-0000C40D0000}"/>
    <cellStyle name="Millares 2 12 2 3 3 3" xfId="38147" xr:uid="{00000000-0005-0000-0000-0000C50D0000}"/>
    <cellStyle name="Millares 2 12 2 3 4" xfId="17795" xr:uid="{00000000-0005-0000-0000-0000C60D0000}"/>
    <cellStyle name="Millares 2 12 2 3 4 2" xfId="44928" xr:uid="{00000000-0005-0000-0000-0000C70D0000}"/>
    <cellStyle name="Millares 2 12 2 3 5" xfId="31366" xr:uid="{00000000-0005-0000-0000-0000C80D0000}"/>
    <cellStyle name="Millares 2 12 2 4" xfId="7606" xr:uid="{00000000-0005-0000-0000-0000C90D0000}"/>
    <cellStyle name="Millares 2 12 2 4 2" xfId="14395" xr:uid="{00000000-0005-0000-0000-0000CA0D0000}"/>
    <cellStyle name="Millares 2 12 2 4 2 2" xfId="27963" xr:uid="{00000000-0005-0000-0000-0000CB0D0000}"/>
    <cellStyle name="Millares 2 12 2 4 2 2 2" xfId="55096" xr:uid="{00000000-0005-0000-0000-0000CC0D0000}"/>
    <cellStyle name="Millares 2 12 2 4 2 3" xfId="41534" xr:uid="{00000000-0005-0000-0000-0000CD0D0000}"/>
    <cellStyle name="Millares 2 12 2 4 3" xfId="21182" xr:uid="{00000000-0005-0000-0000-0000CE0D0000}"/>
    <cellStyle name="Millares 2 12 2 4 3 2" xfId="48315" xr:uid="{00000000-0005-0000-0000-0000CF0D0000}"/>
    <cellStyle name="Millares 2 12 2 4 4" xfId="34753" xr:uid="{00000000-0005-0000-0000-0000D00D0000}"/>
    <cellStyle name="Millares 2 12 2 5" xfId="11006" xr:uid="{00000000-0005-0000-0000-0000D10D0000}"/>
    <cellStyle name="Millares 2 12 2 5 2" xfId="24574" xr:uid="{00000000-0005-0000-0000-0000D20D0000}"/>
    <cellStyle name="Millares 2 12 2 5 2 2" xfId="51707" xr:uid="{00000000-0005-0000-0000-0000D30D0000}"/>
    <cellStyle name="Millares 2 12 2 5 3" xfId="38145" xr:uid="{00000000-0005-0000-0000-0000D40D0000}"/>
    <cellStyle name="Millares 2 12 2 6" xfId="17793" xr:uid="{00000000-0005-0000-0000-0000D50D0000}"/>
    <cellStyle name="Millares 2 12 2 6 2" xfId="44926" xr:uid="{00000000-0005-0000-0000-0000D60D0000}"/>
    <cellStyle name="Millares 2 12 2 7" xfId="31364" xr:uid="{00000000-0005-0000-0000-0000D70D0000}"/>
    <cellStyle name="Millares 2 12 3" xfId="3998" xr:uid="{00000000-0005-0000-0000-0000D80D0000}"/>
    <cellStyle name="Millares 2 12 3 2" xfId="7609" xr:uid="{00000000-0005-0000-0000-0000D90D0000}"/>
    <cellStyle name="Millares 2 12 3 2 2" xfId="14398" xr:uid="{00000000-0005-0000-0000-0000DA0D0000}"/>
    <cellStyle name="Millares 2 12 3 2 2 2" xfId="27966" xr:uid="{00000000-0005-0000-0000-0000DB0D0000}"/>
    <cellStyle name="Millares 2 12 3 2 2 2 2" xfId="55099" xr:uid="{00000000-0005-0000-0000-0000DC0D0000}"/>
    <cellStyle name="Millares 2 12 3 2 2 3" xfId="41537" xr:uid="{00000000-0005-0000-0000-0000DD0D0000}"/>
    <cellStyle name="Millares 2 12 3 2 3" xfId="21185" xr:uid="{00000000-0005-0000-0000-0000DE0D0000}"/>
    <cellStyle name="Millares 2 12 3 2 3 2" xfId="48318" xr:uid="{00000000-0005-0000-0000-0000DF0D0000}"/>
    <cellStyle name="Millares 2 12 3 2 4" xfId="34756" xr:uid="{00000000-0005-0000-0000-0000E00D0000}"/>
    <cellStyle name="Millares 2 12 3 3" xfId="11009" xr:uid="{00000000-0005-0000-0000-0000E10D0000}"/>
    <cellStyle name="Millares 2 12 3 3 2" xfId="24577" xr:uid="{00000000-0005-0000-0000-0000E20D0000}"/>
    <cellStyle name="Millares 2 12 3 3 2 2" xfId="51710" xr:uid="{00000000-0005-0000-0000-0000E30D0000}"/>
    <cellStyle name="Millares 2 12 3 3 3" xfId="38148" xr:uid="{00000000-0005-0000-0000-0000E40D0000}"/>
    <cellStyle name="Millares 2 12 3 4" xfId="17796" xr:uid="{00000000-0005-0000-0000-0000E50D0000}"/>
    <cellStyle name="Millares 2 12 3 4 2" xfId="44929" xr:uid="{00000000-0005-0000-0000-0000E60D0000}"/>
    <cellStyle name="Millares 2 12 3 5" xfId="31367" xr:uid="{00000000-0005-0000-0000-0000E70D0000}"/>
    <cellStyle name="Millares 2 12 4" xfId="3999" xr:uid="{00000000-0005-0000-0000-0000E80D0000}"/>
    <cellStyle name="Millares 2 12 4 2" xfId="7610" xr:uid="{00000000-0005-0000-0000-0000E90D0000}"/>
    <cellStyle name="Millares 2 12 4 2 2" xfId="14399" xr:uid="{00000000-0005-0000-0000-0000EA0D0000}"/>
    <cellStyle name="Millares 2 12 4 2 2 2" xfId="27967" xr:uid="{00000000-0005-0000-0000-0000EB0D0000}"/>
    <cellStyle name="Millares 2 12 4 2 2 2 2" xfId="55100" xr:uid="{00000000-0005-0000-0000-0000EC0D0000}"/>
    <cellStyle name="Millares 2 12 4 2 2 3" xfId="41538" xr:uid="{00000000-0005-0000-0000-0000ED0D0000}"/>
    <cellStyle name="Millares 2 12 4 2 3" xfId="21186" xr:uid="{00000000-0005-0000-0000-0000EE0D0000}"/>
    <cellStyle name="Millares 2 12 4 2 3 2" xfId="48319" xr:uid="{00000000-0005-0000-0000-0000EF0D0000}"/>
    <cellStyle name="Millares 2 12 4 2 4" xfId="34757" xr:uid="{00000000-0005-0000-0000-0000F00D0000}"/>
    <cellStyle name="Millares 2 12 4 3" xfId="11010" xr:uid="{00000000-0005-0000-0000-0000F10D0000}"/>
    <cellStyle name="Millares 2 12 4 3 2" xfId="24578" xr:uid="{00000000-0005-0000-0000-0000F20D0000}"/>
    <cellStyle name="Millares 2 12 4 3 2 2" xfId="51711" xr:uid="{00000000-0005-0000-0000-0000F30D0000}"/>
    <cellStyle name="Millares 2 12 4 3 3" xfId="38149" xr:uid="{00000000-0005-0000-0000-0000F40D0000}"/>
    <cellStyle name="Millares 2 12 4 4" xfId="17797" xr:uid="{00000000-0005-0000-0000-0000F50D0000}"/>
    <cellStyle name="Millares 2 12 4 4 2" xfId="44930" xr:uid="{00000000-0005-0000-0000-0000F60D0000}"/>
    <cellStyle name="Millares 2 12 4 5" xfId="31368" xr:uid="{00000000-0005-0000-0000-0000F70D0000}"/>
    <cellStyle name="Millares 2 13" xfId="2358" xr:uid="{00000000-0005-0000-0000-0000F80D0000}"/>
    <cellStyle name="Millares 2 13 2" xfId="4000" xr:uid="{00000000-0005-0000-0000-0000F90D0000}"/>
    <cellStyle name="Millares 2 13 2 2" xfId="4001" xr:uid="{00000000-0005-0000-0000-0000FA0D0000}"/>
    <cellStyle name="Millares 2 13 2 2 2" xfId="7612" xr:uid="{00000000-0005-0000-0000-0000FB0D0000}"/>
    <cellStyle name="Millares 2 13 2 2 2 2" xfId="14401" xr:uid="{00000000-0005-0000-0000-0000FC0D0000}"/>
    <cellStyle name="Millares 2 13 2 2 2 2 2" xfId="27969" xr:uid="{00000000-0005-0000-0000-0000FD0D0000}"/>
    <cellStyle name="Millares 2 13 2 2 2 2 2 2" xfId="55102" xr:uid="{00000000-0005-0000-0000-0000FE0D0000}"/>
    <cellStyle name="Millares 2 13 2 2 2 2 3" xfId="41540" xr:uid="{00000000-0005-0000-0000-0000FF0D0000}"/>
    <cellStyle name="Millares 2 13 2 2 2 3" xfId="21188" xr:uid="{00000000-0005-0000-0000-0000000E0000}"/>
    <cellStyle name="Millares 2 13 2 2 2 3 2" xfId="48321" xr:uid="{00000000-0005-0000-0000-0000010E0000}"/>
    <cellStyle name="Millares 2 13 2 2 2 4" xfId="34759" xr:uid="{00000000-0005-0000-0000-0000020E0000}"/>
    <cellStyle name="Millares 2 13 2 2 3" xfId="11012" xr:uid="{00000000-0005-0000-0000-0000030E0000}"/>
    <cellStyle name="Millares 2 13 2 2 3 2" xfId="24580" xr:uid="{00000000-0005-0000-0000-0000040E0000}"/>
    <cellStyle name="Millares 2 13 2 2 3 2 2" xfId="51713" xr:uid="{00000000-0005-0000-0000-0000050E0000}"/>
    <cellStyle name="Millares 2 13 2 2 3 3" xfId="38151" xr:uid="{00000000-0005-0000-0000-0000060E0000}"/>
    <cellStyle name="Millares 2 13 2 2 4" xfId="17799" xr:uid="{00000000-0005-0000-0000-0000070E0000}"/>
    <cellStyle name="Millares 2 13 2 2 4 2" xfId="44932" xr:uid="{00000000-0005-0000-0000-0000080E0000}"/>
    <cellStyle name="Millares 2 13 2 2 5" xfId="31370" xr:uid="{00000000-0005-0000-0000-0000090E0000}"/>
    <cellStyle name="Millares 2 13 2 3" xfId="4002" xr:uid="{00000000-0005-0000-0000-00000A0E0000}"/>
    <cellStyle name="Millares 2 13 2 3 2" xfId="7613" xr:uid="{00000000-0005-0000-0000-00000B0E0000}"/>
    <cellStyle name="Millares 2 13 2 3 2 2" xfId="14402" xr:uid="{00000000-0005-0000-0000-00000C0E0000}"/>
    <cellStyle name="Millares 2 13 2 3 2 2 2" xfId="27970" xr:uid="{00000000-0005-0000-0000-00000D0E0000}"/>
    <cellStyle name="Millares 2 13 2 3 2 2 2 2" xfId="55103" xr:uid="{00000000-0005-0000-0000-00000E0E0000}"/>
    <cellStyle name="Millares 2 13 2 3 2 2 3" xfId="41541" xr:uid="{00000000-0005-0000-0000-00000F0E0000}"/>
    <cellStyle name="Millares 2 13 2 3 2 3" xfId="21189" xr:uid="{00000000-0005-0000-0000-0000100E0000}"/>
    <cellStyle name="Millares 2 13 2 3 2 3 2" xfId="48322" xr:uid="{00000000-0005-0000-0000-0000110E0000}"/>
    <cellStyle name="Millares 2 13 2 3 2 4" xfId="34760" xr:uid="{00000000-0005-0000-0000-0000120E0000}"/>
    <cellStyle name="Millares 2 13 2 3 3" xfId="11013" xr:uid="{00000000-0005-0000-0000-0000130E0000}"/>
    <cellStyle name="Millares 2 13 2 3 3 2" xfId="24581" xr:uid="{00000000-0005-0000-0000-0000140E0000}"/>
    <cellStyle name="Millares 2 13 2 3 3 2 2" xfId="51714" xr:uid="{00000000-0005-0000-0000-0000150E0000}"/>
    <cellStyle name="Millares 2 13 2 3 3 3" xfId="38152" xr:uid="{00000000-0005-0000-0000-0000160E0000}"/>
    <cellStyle name="Millares 2 13 2 3 4" xfId="17800" xr:uid="{00000000-0005-0000-0000-0000170E0000}"/>
    <cellStyle name="Millares 2 13 2 3 4 2" xfId="44933" xr:uid="{00000000-0005-0000-0000-0000180E0000}"/>
    <cellStyle name="Millares 2 13 2 3 5" xfId="31371" xr:uid="{00000000-0005-0000-0000-0000190E0000}"/>
    <cellStyle name="Millares 2 13 2 4" xfId="7611" xr:uid="{00000000-0005-0000-0000-00001A0E0000}"/>
    <cellStyle name="Millares 2 13 2 4 2" xfId="14400" xr:uid="{00000000-0005-0000-0000-00001B0E0000}"/>
    <cellStyle name="Millares 2 13 2 4 2 2" xfId="27968" xr:uid="{00000000-0005-0000-0000-00001C0E0000}"/>
    <cellStyle name="Millares 2 13 2 4 2 2 2" xfId="55101" xr:uid="{00000000-0005-0000-0000-00001D0E0000}"/>
    <cellStyle name="Millares 2 13 2 4 2 3" xfId="41539" xr:uid="{00000000-0005-0000-0000-00001E0E0000}"/>
    <cellStyle name="Millares 2 13 2 4 3" xfId="21187" xr:uid="{00000000-0005-0000-0000-00001F0E0000}"/>
    <cellStyle name="Millares 2 13 2 4 3 2" xfId="48320" xr:uid="{00000000-0005-0000-0000-0000200E0000}"/>
    <cellStyle name="Millares 2 13 2 4 4" xfId="34758" xr:uid="{00000000-0005-0000-0000-0000210E0000}"/>
    <cellStyle name="Millares 2 13 2 5" xfId="11011" xr:uid="{00000000-0005-0000-0000-0000220E0000}"/>
    <cellStyle name="Millares 2 13 2 5 2" xfId="24579" xr:uid="{00000000-0005-0000-0000-0000230E0000}"/>
    <cellStyle name="Millares 2 13 2 5 2 2" xfId="51712" xr:uid="{00000000-0005-0000-0000-0000240E0000}"/>
    <cellStyle name="Millares 2 13 2 5 3" xfId="38150" xr:uid="{00000000-0005-0000-0000-0000250E0000}"/>
    <cellStyle name="Millares 2 13 2 6" xfId="17798" xr:uid="{00000000-0005-0000-0000-0000260E0000}"/>
    <cellStyle name="Millares 2 13 2 6 2" xfId="44931" xr:uid="{00000000-0005-0000-0000-0000270E0000}"/>
    <cellStyle name="Millares 2 13 2 7" xfId="31369" xr:uid="{00000000-0005-0000-0000-0000280E0000}"/>
    <cellStyle name="Millares 2 13 3" xfId="4003" xr:uid="{00000000-0005-0000-0000-0000290E0000}"/>
    <cellStyle name="Millares 2 13 3 2" xfId="7614" xr:uid="{00000000-0005-0000-0000-00002A0E0000}"/>
    <cellStyle name="Millares 2 13 3 2 2" xfId="14403" xr:uid="{00000000-0005-0000-0000-00002B0E0000}"/>
    <cellStyle name="Millares 2 13 3 2 2 2" xfId="27971" xr:uid="{00000000-0005-0000-0000-00002C0E0000}"/>
    <cellStyle name="Millares 2 13 3 2 2 2 2" xfId="55104" xr:uid="{00000000-0005-0000-0000-00002D0E0000}"/>
    <cellStyle name="Millares 2 13 3 2 2 3" xfId="41542" xr:uid="{00000000-0005-0000-0000-00002E0E0000}"/>
    <cellStyle name="Millares 2 13 3 2 3" xfId="21190" xr:uid="{00000000-0005-0000-0000-00002F0E0000}"/>
    <cellStyle name="Millares 2 13 3 2 3 2" xfId="48323" xr:uid="{00000000-0005-0000-0000-0000300E0000}"/>
    <cellStyle name="Millares 2 13 3 2 4" xfId="34761" xr:uid="{00000000-0005-0000-0000-0000310E0000}"/>
    <cellStyle name="Millares 2 13 3 3" xfId="11014" xr:uid="{00000000-0005-0000-0000-0000320E0000}"/>
    <cellStyle name="Millares 2 13 3 3 2" xfId="24582" xr:uid="{00000000-0005-0000-0000-0000330E0000}"/>
    <cellStyle name="Millares 2 13 3 3 2 2" xfId="51715" xr:uid="{00000000-0005-0000-0000-0000340E0000}"/>
    <cellStyle name="Millares 2 13 3 3 3" xfId="38153" xr:uid="{00000000-0005-0000-0000-0000350E0000}"/>
    <cellStyle name="Millares 2 13 3 4" xfId="17801" xr:uid="{00000000-0005-0000-0000-0000360E0000}"/>
    <cellStyle name="Millares 2 13 3 4 2" xfId="44934" xr:uid="{00000000-0005-0000-0000-0000370E0000}"/>
    <cellStyle name="Millares 2 13 3 5" xfId="31372" xr:uid="{00000000-0005-0000-0000-0000380E0000}"/>
    <cellStyle name="Millares 2 13 4" xfId="4004" xr:uid="{00000000-0005-0000-0000-0000390E0000}"/>
    <cellStyle name="Millares 2 13 4 2" xfId="7615" xr:uid="{00000000-0005-0000-0000-00003A0E0000}"/>
    <cellStyle name="Millares 2 13 4 2 2" xfId="14404" xr:uid="{00000000-0005-0000-0000-00003B0E0000}"/>
    <cellStyle name="Millares 2 13 4 2 2 2" xfId="27972" xr:uid="{00000000-0005-0000-0000-00003C0E0000}"/>
    <cellStyle name="Millares 2 13 4 2 2 2 2" xfId="55105" xr:uid="{00000000-0005-0000-0000-00003D0E0000}"/>
    <cellStyle name="Millares 2 13 4 2 2 3" xfId="41543" xr:uid="{00000000-0005-0000-0000-00003E0E0000}"/>
    <cellStyle name="Millares 2 13 4 2 3" xfId="21191" xr:uid="{00000000-0005-0000-0000-00003F0E0000}"/>
    <cellStyle name="Millares 2 13 4 2 3 2" xfId="48324" xr:uid="{00000000-0005-0000-0000-0000400E0000}"/>
    <cellStyle name="Millares 2 13 4 2 4" xfId="34762" xr:uid="{00000000-0005-0000-0000-0000410E0000}"/>
    <cellStyle name="Millares 2 13 4 3" xfId="11015" xr:uid="{00000000-0005-0000-0000-0000420E0000}"/>
    <cellStyle name="Millares 2 13 4 3 2" xfId="24583" xr:uid="{00000000-0005-0000-0000-0000430E0000}"/>
    <cellStyle name="Millares 2 13 4 3 2 2" xfId="51716" xr:uid="{00000000-0005-0000-0000-0000440E0000}"/>
    <cellStyle name="Millares 2 13 4 3 3" xfId="38154" xr:uid="{00000000-0005-0000-0000-0000450E0000}"/>
    <cellStyle name="Millares 2 13 4 4" xfId="17802" xr:uid="{00000000-0005-0000-0000-0000460E0000}"/>
    <cellStyle name="Millares 2 13 4 4 2" xfId="44935" xr:uid="{00000000-0005-0000-0000-0000470E0000}"/>
    <cellStyle name="Millares 2 13 4 5" xfId="31373" xr:uid="{00000000-0005-0000-0000-0000480E0000}"/>
    <cellStyle name="Millares 2 14" xfId="2359" xr:uid="{00000000-0005-0000-0000-0000490E0000}"/>
    <cellStyle name="Millares 2 14 2" xfId="4005" xr:uid="{00000000-0005-0000-0000-00004A0E0000}"/>
    <cellStyle name="Millares 2 14 2 2" xfId="7616" xr:uid="{00000000-0005-0000-0000-00004B0E0000}"/>
    <cellStyle name="Millares 2 14 2 2 2" xfId="14405" xr:uid="{00000000-0005-0000-0000-00004C0E0000}"/>
    <cellStyle name="Millares 2 14 2 2 2 2" xfId="27973" xr:uid="{00000000-0005-0000-0000-00004D0E0000}"/>
    <cellStyle name="Millares 2 14 2 2 2 2 2" xfId="55106" xr:uid="{00000000-0005-0000-0000-00004E0E0000}"/>
    <cellStyle name="Millares 2 14 2 2 2 3" xfId="41544" xr:uid="{00000000-0005-0000-0000-00004F0E0000}"/>
    <cellStyle name="Millares 2 14 2 2 3" xfId="21192" xr:uid="{00000000-0005-0000-0000-0000500E0000}"/>
    <cellStyle name="Millares 2 14 2 2 3 2" xfId="48325" xr:uid="{00000000-0005-0000-0000-0000510E0000}"/>
    <cellStyle name="Millares 2 14 2 2 4" xfId="34763" xr:uid="{00000000-0005-0000-0000-0000520E0000}"/>
    <cellStyle name="Millares 2 14 2 3" xfId="11016" xr:uid="{00000000-0005-0000-0000-0000530E0000}"/>
    <cellStyle name="Millares 2 14 2 3 2" xfId="24584" xr:uid="{00000000-0005-0000-0000-0000540E0000}"/>
    <cellStyle name="Millares 2 14 2 3 2 2" xfId="51717" xr:uid="{00000000-0005-0000-0000-0000550E0000}"/>
    <cellStyle name="Millares 2 14 2 3 3" xfId="38155" xr:uid="{00000000-0005-0000-0000-0000560E0000}"/>
    <cellStyle name="Millares 2 14 2 4" xfId="17803" xr:uid="{00000000-0005-0000-0000-0000570E0000}"/>
    <cellStyle name="Millares 2 14 2 4 2" xfId="44936" xr:uid="{00000000-0005-0000-0000-0000580E0000}"/>
    <cellStyle name="Millares 2 14 2 5" xfId="31374" xr:uid="{00000000-0005-0000-0000-0000590E0000}"/>
    <cellStyle name="Millares 2 15" xfId="2360" xr:uid="{00000000-0005-0000-0000-00005A0E0000}"/>
    <cellStyle name="Millares 2 16" xfId="2361" xr:uid="{00000000-0005-0000-0000-00005B0E0000}"/>
    <cellStyle name="Millares 2 17" xfId="2362" xr:uid="{00000000-0005-0000-0000-00005C0E0000}"/>
    <cellStyle name="Millares 2 18" xfId="2363" xr:uid="{00000000-0005-0000-0000-00005D0E0000}"/>
    <cellStyle name="Millares 2 19" xfId="2364" xr:uid="{00000000-0005-0000-0000-00005E0E0000}"/>
    <cellStyle name="Millares 2 2" xfId="24" xr:uid="{00000000-0005-0000-0000-00005F0E0000}"/>
    <cellStyle name="Millares 2 2 10" xfId="54" xr:uid="{00000000-0005-0000-0000-0000600E0000}"/>
    <cellStyle name="Millares 2 2 2" xfId="184" xr:uid="{00000000-0005-0000-0000-0000610E0000}"/>
    <cellStyle name="Millares 2 2 3" xfId="179" xr:uid="{00000000-0005-0000-0000-0000620E0000}"/>
    <cellStyle name="Millares 2 2 4" xfId="2365" xr:uid="{00000000-0005-0000-0000-0000630E0000}"/>
    <cellStyle name="Millares 2 2 5" xfId="2366" xr:uid="{00000000-0005-0000-0000-0000640E0000}"/>
    <cellStyle name="Millares 2 2 6" xfId="2367" xr:uid="{00000000-0005-0000-0000-0000650E0000}"/>
    <cellStyle name="Millares 2 2 7" xfId="2368" xr:uid="{00000000-0005-0000-0000-0000660E0000}"/>
    <cellStyle name="Millares 2 2 8" xfId="2369" xr:uid="{00000000-0005-0000-0000-0000670E0000}"/>
    <cellStyle name="Millares 2 2 9" xfId="2370" xr:uid="{00000000-0005-0000-0000-0000680E0000}"/>
    <cellStyle name="Millares 2 20" xfId="2371" xr:uid="{00000000-0005-0000-0000-0000690E0000}"/>
    <cellStyle name="Millares 2 21" xfId="2372" xr:uid="{00000000-0005-0000-0000-00006A0E0000}"/>
    <cellStyle name="Millares 2 22" xfId="2373" xr:uid="{00000000-0005-0000-0000-00006B0E0000}"/>
    <cellStyle name="Millares 2 23" xfId="2374" xr:uid="{00000000-0005-0000-0000-00006C0E0000}"/>
    <cellStyle name="Millares 2 24" xfId="2375" xr:uid="{00000000-0005-0000-0000-00006D0E0000}"/>
    <cellStyle name="Millares 2 25" xfId="2376" xr:uid="{00000000-0005-0000-0000-00006E0E0000}"/>
    <cellStyle name="Millares 2 26" xfId="2377" xr:uid="{00000000-0005-0000-0000-00006F0E0000}"/>
    <cellStyle name="Millares 2 27" xfId="2378" xr:uid="{00000000-0005-0000-0000-0000700E0000}"/>
    <cellStyle name="Millares 2 28" xfId="2379" xr:uid="{00000000-0005-0000-0000-0000710E0000}"/>
    <cellStyle name="Millares 2 29" xfId="2380" xr:uid="{00000000-0005-0000-0000-0000720E0000}"/>
    <cellStyle name="Millares 2 3" xfId="183" xr:uid="{00000000-0005-0000-0000-0000730E0000}"/>
    <cellStyle name="Millares 2 3 2" xfId="4006" xr:uid="{00000000-0005-0000-0000-0000740E0000}"/>
    <cellStyle name="Millares 2 3 2 10" xfId="4007" xr:uid="{00000000-0005-0000-0000-0000750E0000}"/>
    <cellStyle name="Millares 2 3 2 10 2" xfId="7618" xr:uid="{00000000-0005-0000-0000-0000760E0000}"/>
    <cellStyle name="Millares 2 3 2 10 2 2" xfId="14407" xr:uid="{00000000-0005-0000-0000-0000770E0000}"/>
    <cellStyle name="Millares 2 3 2 10 2 2 2" xfId="27975" xr:uid="{00000000-0005-0000-0000-0000780E0000}"/>
    <cellStyle name="Millares 2 3 2 10 2 2 2 2" xfId="55108" xr:uid="{00000000-0005-0000-0000-0000790E0000}"/>
    <cellStyle name="Millares 2 3 2 10 2 2 3" xfId="41546" xr:uid="{00000000-0005-0000-0000-00007A0E0000}"/>
    <cellStyle name="Millares 2 3 2 10 2 3" xfId="21194" xr:uid="{00000000-0005-0000-0000-00007B0E0000}"/>
    <cellStyle name="Millares 2 3 2 10 2 3 2" xfId="48327" xr:uid="{00000000-0005-0000-0000-00007C0E0000}"/>
    <cellStyle name="Millares 2 3 2 10 2 4" xfId="34765" xr:uid="{00000000-0005-0000-0000-00007D0E0000}"/>
    <cellStyle name="Millares 2 3 2 10 3" xfId="11018" xr:uid="{00000000-0005-0000-0000-00007E0E0000}"/>
    <cellStyle name="Millares 2 3 2 10 3 2" xfId="24586" xr:uid="{00000000-0005-0000-0000-00007F0E0000}"/>
    <cellStyle name="Millares 2 3 2 10 3 2 2" xfId="51719" xr:uid="{00000000-0005-0000-0000-0000800E0000}"/>
    <cellStyle name="Millares 2 3 2 10 3 3" xfId="38157" xr:uid="{00000000-0005-0000-0000-0000810E0000}"/>
    <cellStyle name="Millares 2 3 2 10 4" xfId="17805" xr:uid="{00000000-0005-0000-0000-0000820E0000}"/>
    <cellStyle name="Millares 2 3 2 10 4 2" xfId="44938" xr:uid="{00000000-0005-0000-0000-0000830E0000}"/>
    <cellStyle name="Millares 2 3 2 10 5" xfId="31376" xr:uid="{00000000-0005-0000-0000-0000840E0000}"/>
    <cellStyle name="Millares 2 3 2 11" xfId="7617" xr:uid="{00000000-0005-0000-0000-0000850E0000}"/>
    <cellStyle name="Millares 2 3 2 11 2" xfId="14406" xr:uid="{00000000-0005-0000-0000-0000860E0000}"/>
    <cellStyle name="Millares 2 3 2 11 2 2" xfId="27974" xr:uid="{00000000-0005-0000-0000-0000870E0000}"/>
    <cellStyle name="Millares 2 3 2 11 2 2 2" xfId="55107" xr:uid="{00000000-0005-0000-0000-0000880E0000}"/>
    <cellStyle name="Millares 2 3 2 11 2 3" xfId="41545" xr:uid="{00000000-0005-0000-0000-0000890E0000}"/>
    <cellStyle name="Millares 2 3 2 11 3" xfId="21193" xr:uid="{00000000-0005-0000-0000-00008A0E0000}"/>
    <cellStyle name="Millares 2 3 2 11 3 2" xfId="48326" xr:uid="{00000000-0005-0000-0000-00008B0E0000}"/>
    <cellStyle name="Millares 2 3 2 11 4" xfId="34764" xr:uid="{00000000-0005-0000-0000-00008C0E0000}"/>
    <cellStyle name="Millares 2 3 2 12" xfId="11017" xr:uid="{00000000-0005-0000-0000-00008D0E0000}"/>
    <cellStyle name="Millares 2 3 2 12 2" xfId="24585" xr:uid="{00000000-0005-0000-0000-00008E0E0000}"/>
    <cellStyle name="Millares 2 3 2 12 2 2" xfId="51718" xr:uid="{00000000-0005-0000-0000-00008F0E0000}"/>
    <cellStyle name="Millares 2 3 2 12 3" xfId="38156" xr:uid="{00000000-0005-0000-0000-0000900E0000}"/>
    <cellStyle name="Millares 2 3 2 13" xfId="17804" xr:uid="{00000000-0005-0000-0000-0000910E0000}"/>
    <cellStyle name="Millares 2 3 2 13 2" xfId="44937" xr:uid="{00000000-0005-0000-0000-0000920E0000}"/>
    <cellStyle name="Millares 2 3 2 14" xfId="31375" xr:uid="{00000000-0005-0000-0000-0000930E0000}"/>
    <cellStyle name="Millares 2 3 2 2" xfId="4008" xr:uid="{00000000-0005-0000-0000-0000940E0000}"/>
    <cellStyle name="Millares 2 3 2 2 10" xfId="11019" xr:uid="{00000000-0005-0000-0000-0000950E0000}"/>
    <cellStyle name="Millares 2 3 2 2 10 2" xfId="24587" xr:uid="{00000000-0005-0000-0000-0000960E0000}"/>
    <cellStyle name="Millares 2 3 2 2 10 2 2" xfId="51720" xr:uid="{00000000-0005-0000-0000-0000970E0000}"/>
    <cellStyle name="Millares 2 3 2 2 10 3" xfId="38158" xr:uid="{00000000-0005-0000-0000-0000980E0000}"/>
    <cellStyle name="Millares 2 3 2 2 11" xfId="17806" xr:uid="{00000000-0005-0000-0000-0000990E0000}"/>
    <cellStyle name="Millares 2 3 2 2 11 2" xfId="44939" xr:uid="{00000000-0005-0000-0000-00009A0E0000}"/>
    <cellStyle name="Millares 2 3 2 2 12" xfId="31377" xr:uid="{00000000-0005-0000-0000-00009B0E0000}"/>
    <cellStyle name="Millares 2 3 2 2 2" xfId="4009" xr:uid="{00000000-0005-0000-0000-00009C0E0000}"/>
    <cellStyle name="Millares 2 3 2 2 2 10" xfId="31378" xr:uid="{00000000-0005-0000-0000-00009D0E0000}"/>
    <cellStyle name="Millares 2 3 2 2 2 2" xfId="4010" xr:uid="{00000000-0005-0000-0000-00009E0E0000}"/>
    <cellStyle name="Millares 2 3 2 2 2 2 2" xfId="4011" xr:uid="{00000000-0005-0000-0000-00009F0E0000}"/>
    <cellStyle name="Millares 2 3 2 2 2 2 2 2" xfId="4012" xr:uid="{00000000-0005-0000-0000-0000A00E0000}"/>
    <cellStyle name="Millares 2 3 2 2 2 2 2 2 2" xfId="7623" xr:uid="{00000000-0005-0000-0000-0000A10E0000}"/>
    <cellStyle name="Millares 2 3 2 2 2 2 2 2 2 2" xfId="14412" xr:uid="{00000000-0005-0000-0000-0000A20E0000}"/>
    <cellStyle name="Millares 2 3 2 2 2 2 2 2 2 2 2" xfId="27980" xr:uid="{00000000-0005-0000-0000-0000A30E0000}"/>
    <cellStyle name="Millares 2 3 2 2 2 2 2 2 2 2 2 2" xfId="55113" xr:uid="{00000000-0005-0000-0000-0000A40E0000}"/>
    <cellStyle name="Millares 2 3 2 2 2 2 2 2 2 2 3" xfId="41551" xr:uid="{00000000-0005-0000-0000-0000A50E0000}"/>
    <cellStyle name="Millares 2 3 2 2 2 2 2 2 2 3" xfId="21199" xr:uid="{00000000-0005-0000-0000-0000A60E0000}"/>
    <cellStyle name="Millares 2 3 2 2 2 2 2 2 2 3 2" xfId="48332" xr:uid="{00000000-0005-0000-0000-0000A70E0000}"/>
    <cellStyle name="Millares 2 3 2 2 2 2 2 2 2 4" xfId="34770" xr:uid="{00000000-0005-0000-0000-0000A80E0000}"/>
    <cellStyle name="Millares 2 3 2 2 2 2 2 2 3" xfId="11023" xr:uid="{00000000-0005-0000-0000-0000A90E0000}"/>
    <cellStyle name="Millares 2 3 2 2 2 2 2 2 3 2" xfId="24591" xr:uid="{00000000-0005-0000-0000-0000AA0E0000}"/>
    <cellStyle name="Millares 2 3 2 2 2 2 2 2 3 2 2" xfId="51724" xr:uid="{00000000-0005-0000-0000-0000AB0E0000}"/>
    <cellStyle name="Millares 2 3 2 2 2 2 2 2 3 3" xfId="38162" xr:uid="{00000000-0005-0000-0000-0000AC0E0000}"/>
    <cellStyle name="Millares 2 3 2 2 2 2 2 2 4" xfId="17810" xr:uid="{00000000-0005-0000-0000-0000AD0E0000}"/>
    <cellStyle name="Millares 2 3 2 2 2 2 2 2 4 2" xfId="44943" xr:uid="{00000000-0005-0000-0000-0000AE0E0000}"/>
    <cellStyle name="Millares 2 3 2 2 2 2 2 2 5" xfId="31381" xr:uid="{00000000-0005-0000-0000-0000AF0E0000}"/>
    <cellStyle name="Millares 2 3 2 2 2 2 2 3" xfId="4013" xr:uid="{00000000-0005-0000-0000-0000B00E0000}"/>
    <cellStyle name="Millares 2 3 2 2 2 2 2 3 2" xfId="7624" xr:uid="{00000000-0005-0000-0000-0000B10E0000}"/>
    <cellStyle name="Millares 2 3 2 2 2 2 2 3 2 2" xfId="14413" xr:uid="{00000000-0005-0000-0000-0000B20E0000}"/>
    <cellStyle name="Millares 2 3 2 2 2 2 2 3 2 2 2" xfId="27981" xr:uid="{00000000-0005-0000-0000-0000B30E0000}"/>
    <cellStyle name="Millares 2 3 2 2 2 2 2 3 2 2 2 2" xfId="55114" xr:uid="{00000000-0005-0000-0000-0000B40E0000}"/>
    <cellStyle name="Millares 2 3 2 2 2 2 2 3 2 2 3" xfId="41552" xr:uid="{00000000-0005-0000-0000-0000B50E0000}"/>
    <cellStyle name="Millares 2 3 2 2 2 2 2 3 2 3" xfId="21200" xr:uid="{00000000-0005-0000-0000-0000B60E0000}"/>
    <cellStyle name="Millares 2 3 2 2 2 2 2 3 2 3 2" xfId="48333" xr:uid="{00000000-0005-0000-0000-0000B70E0000}"/>
    <cellStyle name="Millares 2 3 2 2 2 2 2 3 2 4" xfId="34771" xr:uid="{00000000-0005-0000-0000-0000B80E0000}"/>
    <cellStyle name="Millares 2 3 2 2 2 2 2 3 3" xfId="11024" xr:uid="{00000000-0005-0000-0000-0000B90E0000}"/>
    <cellStyle name="Millares 2 3 2 2 2 2 2 3 3 2" xfId="24592" xr:uid="{00000000-0005-0000-0000-0000BA0E0000}"/>
    <cellStyle name="Millares 2 3 2 2 2 2 2 3 3 2 2" xfId="51725" xr:uid="{00000000-0005-0000-0000-0000BB0E0000}"/>
    <cellStyle name="Millares 2 3 2 2 2 2 2 3 3 3" xfId="38163" xr:uid="{00000000-0005-0000-0000-0000BC0E0000}"/>
    <cellStyle name="Millares 2 3 2 2 2 2 2 3 4" xfId="17811" xr:uid="{00000000-0005-0000-0000-0000BD0E0000}"/>
    <cellStyle name="Millares 2 3 2 2 2 2 2 3 4 2" xfId="44944" xr:uid="{00000000-0005-0000-0000-0000BE0E0000}"/>
    <cellStyle name="Millares 2 3 2 2 2 2 2 3 5" xfId="31382" xr:uid="{00000000-0005-0000-0000-0000BF0E0000}"/>
    <cellStyle name="Millares 2 3 2 2 2 2 2 4" xfId="7622" xr:uid="{00000000-0005-0000-0000-0000C00E0000}"/>
    <cellStyle name="Millares 2 3 2 2 2 2 2 4 2" xfId="14411" xr:uid="{00000000-0005-0000-0000-0000C10E0000}"/>
    <cellStyle name="Millares 2 3 2 2 2 2 2 4 2 2" xfId="27979" xr:uid="{00000000-0005-0000-0000-0000C20E0000}"/>
    <cellStyle name="Millares 2 3 2 2 2 2 2 4 2 2 2" xfId="55112" xr:uid="{00000000-0005-0000-0000-0000C30E0000}"/>
    <cellStyle name="Millares 2 3 2 2 2 2 2 4 2 3" xfId="41550" xr:uid="{00000000-0005-0000-0000-0000C40E0000}"/>
    <cellStyle name="Millares 2 3 2 2 2 2 2 4 3" xfId="21198" xr:uid="{00000000-0005-0000-0000-0000C50E0000}"/>
    <cellStyle name="Millares 2 3 2 2 2 2 2 4 3 2" xfId="48331" xr:uid="{00000000-0005-0000-0000-0000C60E0000}"/>
    <cellStyle name="Millares 2 3 2 2 2 2 2 4 4" xfId="34769" xr:uid="{00000000-0005-0000-0000-0000C70E0000}"/>
    <cellStyle name="Millares 2 3 2 2 2 2 2 5" xfId="11022" xr:uid="{00000000-0005-0000-0000-0000C80E0000}"/>
    <cellStyle name="Millares 2 3 2 2 2 2 2 5 2" xfId="24590" xr:uid="{00000000-0005-0000-0000-0000C90E0000}"/>
    <cellStyle name="Millares 2 3 2 2 2 2 2 5 2 2" xfId="51723" xr:uid="{00000000-0005-0000-0000-0000CA0E0000}"/>
    <cellStyle name="Millares 2 3 2 2 2 2 2 5 3" xfId="38161" xr:uid="{00000000-0005-0000-0000-0000CB0E0000}"/>
    <cellStyle name="Millares 2 3 2 2 2 2 2 6" xfId="17809" xr:uid="{00000000-0005-0000-0000-0000CC0E0000}"/>
    <cellStyle name="Millares 2 3 2 2 2 2 2 6 2" xfId="44942" xr:uid="{00000000-0005-0000-0000-0000CD0E0000}"/>
    <cellStyle name="Millares 2 3 2 2 2 2 2 7" xfId="31380" xr:uid="{00000000-0005-0000-0000-0000CE0E0000}"/>
    <cellStyle name="Millares 2 3 2 2 2 2 3" xfId="4014" xr:uid="{00000000-0005-0000-0000-0000CF0E0000}"/>
    <cellStyle name="Millares 2 3 2 2 2 2 3 2" xfId="4015" xr:uid="{00000000-0005-0000-0000-0000D00E0000}"/>
    <cellStyle name="Millares 2 3 2 2 2 2 3 2 2" xfId="7626" xr:uid="{00000000-0005-0000-0000-0000D10E0000}"/>
    <cellStyle name="Millares 2 3 2 2 2 2 3 2 2 2" xfId="14415" xr:uid="{00000000-0005-0000-0000-0000D20E0000}"/>
    <cellStyle name="Millares 2 3 2 2 2 2 3 2 2 2 2" xfId="27983" xr:uid="{00000000-0005-0000-0000-0000D30E0000}"/>
    <cellStyle name="Millares 2 3 2 2 2 2 3 2 2 2 2 2" xfId="55116" xr:uid="{00000000-0005-0000-0000-0000D40E0000}"/>
    <cellStyle name="Millares 2 3 2 2 2 2 3 2 2 2 3" xfId="41554" xr:uid="{00000000-0005-0000-0000-0000D50E0000}"/>
    <cellStyle name="Millares 2 3 2 2 2 2 3 2 2 3" xfId="21202" xr:uid="{00000000-0005-0000-0000-0000D60E0000}"/>
    <cellStyle name="Millares 2 3 2 2 2 2 3 2 2 3 2" xfId="48335" xr:uid="{00000000-0005-0000-0000-0000D70E0000}"/>
    <cellStyle name="Millares 2 3 2 2 2 2 3 2 2 4" xfId="34773" xr:uid="{00000000-0005-0000-0000-0000D80E0000}"/>
    <cellStyle name="Millares 2 3 2 2 2 2 3 2 3" xfId="11026" xr:uid="{00000000-0005-0000-0000-0000D90E0000}"/>
    <cellStyle name="Millares 2 3 2 2 2 2 3 2 3 2" xfId="24594" xr:uid="{00000000-0005-0000-0000-0000DA0E0000}"/>
    <cellStyle name="Millares 2 3 2 2 2 2 3 2 3 2 2" xfId="51727" xr:uid="{00000000-0005-0000-0000-0000DB0E0000}"/>
    <cellStyle name="Millares 2 3 2 2 2 2 3 2 3 3" xfId="38165" xr:uid="{00000000-0005-0000-0000-0000DC0E0000}"/>
    <cellStyle name="Millares 2 3 2 2 2 2 3 2 4" xfId="17813" xr:uid="{00000000-0005-0000-0000-0000DD0E0000}"/>
    <cellStyle name="Millares 2 3 2 2 2 2 3 2 4 2" xfId="44946" xr:uid="{00000000-0005-0000-0000-0000DE0E0000}"/>
    <cellStyle name="Millares 2 3 2 2 2 2 3 2 5" xfId="31384" xr:uid="{00000000-0005-0000-0000-0000DF0E0000}"/>
    <cellStyle name="Millares 2 3 2 2 2 2 3 3" xfId="7625" xr:uid="{00000000-0005-0000-0000-0000E00E0000}"/>
    <cellStyle name="Millares 2 3 2 2 2 2 3 3 2" xfId="14414" xr:uid="{00000000-0005-0000-0000-0000E10E0000}"/>
    <cellStyle name="Millares 2 3 2 2 2 2 3 3 2 2" xfId="27982" xr:uid="{00000000-0005-0000-0000-0000E20E0000}"/>
    <cellStyle name="Millares 2 3 2 2 2 2 3 3 2 2 2" xfId="55115" xr:uid="{00000000-0005-0000-0000-0000E30E0000}"/>
    <cellStyle name="Millares 2 3 2 2 2 2 3 3 2 3" xfId="41553" xr:uid="{00000000-0005-0000-0000-0000E40E0000}"/>
    <cellStyle name="Millares 2 3 2 2 2 2 3 3 3" xfId="21201" xr:uid="{00000000-0005-0000-0000-0000E50E0000}"/>
    <cellStyle name="Millares 2 3 2 2 2 2 3 3 3 2" xfId="48334" xr:uid="{00000000-0005-0000-0000-0000E60E0000}"/>
    <cellStyle name="Millares 2 3 2 2 2 2 3 3 4" xfId="34772" xr:uid="{00000000-0005-0000-0000-0000E70E0000}"/>
    <cellStyle name="Millares 2 3 2 2 2 2 3 4" xfId="11025" xr:uid="{00000000-0005-0000-0000-0000E80E0000}"/>
    <cellStyle name="Millares 2 3 2 2 2 2 3 4 2" xfId="24593" xr:uid="{00000000-0005-0000-0000-0000E90E0000}"/>
    <cellStyle name="Millares 2 3 2 2 2 2 3 4 2 2" xfId="51726" xr:uid="{00000000-0005-0000-0000-0000EA0E0000}"/>
    <cellStyle name="Millares 2 3 2 2 2 2 3 4 3" xfId="38164" xr:uid="{00000000-0005-0000-0000-0000EB0E0000}"/>
    <cellStyle name="Millares 2 3 2 2 2 2 3 5" xfId="17812" xr:uid="{00000000-0005-0000-0000-0000EC0E0000}"/>
    <cellStyle name="Millares 2 3 2 2 2 2 3 5 2" xfId="44945" xr:uid="{00000000-0005-0000-0000-0000ED0E0000}"/>
    <cellStyle name="Millares 2 3 2 2 2 2 3 6" xfId="31383" xr:uid="{00000000-0005-0000-0000-0000EE0E0000}"/>
    <cellStyle name="Millares 2 3 2 2 2 2 4" xfId="4016" xr:uid="{00000000-0005-0000-0000-0000EF0E0000}"/>
    <cellStyle name="Millares 2 3 2 2 2 2 4 2" xfId="7627" xr:uid="{00000000-0005-0000-0000-0000F00E0000}"/>
    <cellStyle name="Millares 2 3 2 2 2 2 4 2 2" xfId="14416" xr:uid="{00000000-0005-0000-0000-0000F10E0000}"/>
    <cellStyle name="Millares 2 3 2 2 2 2 4 2 2 2" xfId="27984" xr:uid="{00000000-0005-0000-0000-0000F20E0000}"/>
    <cellStyle name="Millares 2 3 2 2 2 2 4 2 2 2 2" xfId="55117" xr:uid="{00000000-0005-0000-0000-0000F30E0000}"/>
    <cellStyle name="Millares 2 3 2 2 2 2 4 2 2 3" xfId="41555" xr:uid="{00000000-0005-0000-0000-0000F40E0000}"/>
    <cellStyle name="Millares 2 3 2 2 2 2 4 2 3" xfId="21203" xr:uid="{00000000-0005-0000-0000-0000F50E0000}"/>
    <cellStyle name="Millares 2 3 2 2 2 2 4 2 3 2" xfId="48336" xr:uid="{00000000-0005-0000-0000-0000F60E0000}"/>
    <cellStyle name="Millares 2 3 2 2 2 2 4 2 4" xfId="34774" xr:uid="{00000000-0005-0000-0000-0000F70E0000}"/>
    <cellStyle name="Millares 2 3 2 2 2 2 4 3" xfId="11027" xr:uid="{00000000-0005-0000-0000-0000F80E0000}"/>
    <cellStyle name="Millares 2 3 2 2 2 2 4 3 2" xfId="24595" xr:uid="{00000000-0005-0000-0000-0000F90E0000}"/>
    <cellStyle name="Millares 2 3 2 2 2 2 4 3 2 2" xfId="51728" xr:uid="{00000000-0005-0000-0000-0000FA0E0000}"/>
    <cellStyle name="Millares 2 3 2 2 2 2 4 3 3" xfId="38166" xr:uid="{00000000-0005-0000-0000-0000FB0E0000}"/>
    <cellStyle name="Millares 2 3 2 2 2 2 4 4" xfId="17814" xr:uid="{00000000-0005-0000-0000-0000FC0E0000}"/>
    <cellStyle name="Millares 2 3 2 2 2 2 4 4 2" xfId="44947" xr:uid="{00000000-0005-0000-0000-0000FD0E0000}"/>
    <cellStyle name="Millares 2 3 2 2 2 2 4 5" xfId="31385" xr:uid="{00000000-0005-0000-0000-0000FE0E0000}"/>
    <cellStyle name="Millares 2 3 2 2 2 2 5" xfId="4017" xr:uid="{00000000-0005-0000-0000-0000FF0E0000}"/>
    <cellStyle name="Millares 2 3 2 2 2 2 5 2" xfId="7628" xr:uid="{00000000-0005-0000-0000-0000000F0000}"/>
    <cellStyle name="Millares 2 3 2 2 2 2 5 2 2" xfId="14417" xr:uid="{00000000-0005-0000-0000-0000010F0000}"/>
    <cellStyle name="Millares 2 3 2 2 2 2 5 2 2 2" xfId="27985" xr:uid="{00000000-0005-0000-0000-0000020F0000}"/>
    <cellStyle name="Millares 2 3 2 2 2 2 5 2 2 2 2" xfId="55118" xr:uid="{00000000-0005-0000-0000-0000030F0000}"/>
    <cellStyle name="Millares 2 3 2 2 2 2 5 2 2 3" xfId="41556" xr:uid="{00000000-0005-0000-0000-0000040F0000}"/>
    <cellStyle name="Millares 2 3 2 2 2 2 5 2 3" xfId="21204" xr:uid="{00000000-0005-0000-0000-0000050F0000}"/>
    <cellStyle name="Millares 2 3 2 2 2 2 5 2 3 2" xfId="48337" xr:uid="{00000000-0005-0000-0000-0000060F0000}"/>
    <cellStyle name="Millares 2 3 2 2 2 2 5 2 4" xfId="34775" xr:uid="{00000000-0005-0000-0000-0000070F0000}"/>
    <cellStyle name="Millares 2 3 2 2 2 2 5 3" xfId="11028" xr:uid="{00000000-0005-0000-0000-0000080F0000}"/>
    <cellStyle name="Millares 2 3 2 2 2 2 5 3 2" xfId="24596" xr:uid="{00000000-0005-0000-0000-0000090F0000}"/>
    <cellStyle name="Millares 2 3 2 2 2 2 5 3 2 2" xfId="51729" xr:uid="{00000000-0005-0000-0000-00000A0F0000}"/>
    <cellStyle name="Millares 2 3 2 2 2 2 5 3 3" xfId="38167" xr:uid="{00000000-0005-0000-0000-00000B0F0000}"/>
    <cellStyle name="Millares 2 3 2 2 2 2 5 4" xfId="17815" xr:uid="{00000000-0005-0000-0000-00000C0F0000}"/>
    <cellStyle name="Millares 2 3 2 2 2 2 5 4 2" xfId="44948" xr:uid="{00000000-0005-0000-0000-00000D0F0000}"/>
    <cellStyle name="Millares 2 3 2 2 2 2 5 5" xfId="31386" xr:uid="{00000000-0005-0000-0000-00000E0F0000}"/>
    <cellStyle name="Millares 2 3 2 2 2 2 6" xfId="7621" xr:uid="{00000000-0005-0000-0000-00000F0F0000}"/>
    <cellStyle name="Millares 2 3 2 2 2 2 6 2" xfId="14410" xr:uid="{00000000-0005-0000-0000-0000100F0000}"/>
    <cellStyle name="Millares 2 3 2 2 2 2 6 2 2" xfId="27978" xr:uid="{00000000-0005-0000-0000-0000110F0000}"/>
    <cellStyle name="Millares 2 3 2 2 2 2 6 2 2 2" xfId="55111" xr:uid="{00000000-0005-0000-0000-0000120F0000}"/>
    <cellStyle name="Millares 2 3 2 2 2 2 6 2 3" xfId="41549" xr:uid="{00000000-0005-0000-0000-0000130F0000}"/>
    <cellStyle name="Millares 2 3 2 2 2 2 6 3" xfId="21197" xr:uid="{00000000-0005-0000-0000-0000140F0000}"/>
    <cellStyle name="Millares 2 3 2 2 2 2 6 3 2" xfId="48330" xr:uid="{00000000-0005-0000-0000-0000150F0000}"/>
    <cellStyle name="Millares 2 3 2 2 2 2 6 4" xfId="34768" xr:uid="{00000000-0005-0000-0000-0000160F0000}"/>
    <cellStyle name="Millares 2 3 2 2 2 2 7" xfId="11021" xr:uid="{00000000-0005-0000-0000-0000170F0000}"/>
    <cellStyle name="Millares 2 3 2 2 2 2 7 2" xfId="24589" xr:uid="{00000000-0005-0000-0000-0000180F0000}"/>
    <cellStyle name="Millares 2 3 2 2 2 2 7 2 2" xfId="51722" xr:uid="{00000000-0005-0000-0000-0000190F0000}"/>
    <cellStyle name="Millares 2 3 2 2 2 2 7 3" xfId="38160" xr:uid="{00000000-0005-0000-0000-00001A0F0000}"/>
    <cellStyle name="Millares 2 3 2 2 2 2 8" xfId="17808" xr:uid="{00000000-0005-0000-0000-00001B0F0000}"/>
    <cellStyle name="Millares 2 3 2 2 2 2 8 2" xfId="44941" xr:uid="{00000000-0005-0000-0000-00001C0F0000}"/>
    <cellStyle name="Millares 2 3 2 2 2 2 9" xfId="31379" xr:uid="{00000000-0005-0000-0000-00001D0F0000}"/>
    <cellStyle name="Millares 2 3 2 2 2 3" xfId="4018" xr:uid="{00000000-0005-0000-0000-00001E0F0000}"/>
    <cellStyle name="Millares 2 3 2 2 2 3 2" xfId="4019" xr:uid="{00000000-0005-0000-0000-00001F0F0000}"/>
    <cellStyle name="Millares 2 3 2 2 2 3 2 2" xfId="7630" xr:uid="{00000000-0005-0000-0000-0000200F0000}"/>
    <cellStyle name="Millares 2 3 2 2 2 3 2 2 2" xfId="14419" xr:uid="{00000000-0005-0000-0000-0000210F0000}"/>
    <cellStyle name="Millares 2 3 2 2 2 3 2 2 2 2" xfId="27987" xr:uid="{00000000-0005-0000-0000-0000220F0000}"/>
    <cellStyle name="Millares 2 3 2 2 2 3 2 2 2 2 2" xfId="55120" xr:uid="{00000000-0005-0000-0000-0000230F0000}"/>
    <cellStyle name="Millares 2 3 2 2 2 3 2 2 2 3" xfId="41558" xr:uid="{00000000-0005-0000-0000-0000240F0000}"/>
    <cellStyle name="Millares 2 3 2 2 2 3 2 2 3" xfId="21206" xr:uid="{00000000-0005-0000-0000-0000250F0000}"/>
    <cellStyle name="Millares 2 3 2 2 2 3 2 2 3 2" xfId="48339" xr:uid="{00000000-0005-0000-0000-0000260F0000}"/>
    <cellStyle name="Millares 2 3 2 2 2 3 2 2 4" xfId="34777" xr:uid="{00000000-0005-0000-0000-0000270F0000}"/>
    <cellStyle name="Millares 2 3 2 2 2 3 2 3" xfId="11030" xr:uid="{00000000-0005-0000-0000-0000280F0000}"/>
    <cellStyle name="Millares 2 3 2 2 2 3 2 3 2" xfId="24598" xr:uid="{00000000-0005-0000-0000-0000290F0000}"/>
    <cellStyle name="Millares 2 3 2 2 2 3 2 3 2 2" xfId="51731" xr:uid="{00000000-0005-0000-0000-00002A0F0000}"/>
    <cellStyle name="Millares 2 3 2 2 2 3 2 3 3" xfId="38169" xr:uid="{00000000-0005-0000-0000-00002B0F0000}"/>
    <cellStyle name="Millares 2 3 2 2 2 3 2 4" xfId="17817" xr:uid="{00000000-0005-0000-0000-00002C0F0000}"/>
    <cellStyle name="Millares 2 3 2 2 2 3 2 4 2" xfId="44950" xr:uid="{00000000-0005-0000-0000-00002D0F0000}"/>
    <cellStyle name="Millares 2 3 2 2 2 3 2 5" xfId="31388" xr:uid="{00000000-0005-0000-0000-00002E0F0000}"/>
    <cellStyle name="Millares 2 3 2 2 2 3 3" xfId="4020" xr:uid="{00000000-0005-0000-0000-00002F0F0000}"/>
    <cellStyle name="Millares 2 3 2 2 2 3 3 2" xfId="7631" xr:uid="{00000000-0005-0000-0000-0000300F0000}"/>
    <cellStyle name="Millares 2 3 2 2 2 3 3 2 2" xfId="14420" xr:uid="{00000000-0005-0000-0000-0000310F0000}"/>
    <cellStyle name="Millares 2 3 2 2 2 3 3 2 2 2" xfId="27988" xr:uid="{00000000-0005-0000-0000-0000320F0000}"/>
    <cellStyle name="Millares 2 3 2 2 2 3 3 2 2 2 2" xfId="55121" xr:uid="{00000000-0005-0000-0000-0000330F0000}"/>
    <cellStyle name="Millares 2 3 2 2 2 3 3 2 2 3" xfId="41559" xr:uid="{00000000-0005-0000-0000-0000340F0000}"/>
    <cellStyle name="Millares 2 3 2 2 2 3 3 2 3" xfId="21207" xr:uid="{00000000-0005-0000-0000-0000350F0000}"/>
    <cellStyle name="Millares 2 3 2 2 2 3 3 2 3 2" xfId="48340" xr:uid="{00000000-0005-0000-0000-0000360F0000}"/>
    <cellStyle name="Millares 2 3 2 2 2 3 3 2 4" xfId="34778" xr:uid="{00000000-0005-0000-0000-0000370F0000}"/>
    <cellStyle name="Millares 2 3 2 2 2 3 3 3" xfId="11031" xr:uid="{00000000-0005-0000-0000-0000380F0000}"/>
    <cellStyle name="Millares 2 3 2 2 2 3 3 3 2" xfId="24599" xr:uid="{00000000-0005-0000-0000-0000390F0000}"/>
    <cellStyle name="Millares 2 3 2 2 2 3 3 3 2 2" xfId="51732" xr:uid="{00000000-0005-0000-0000-00003A0F0000}"/>
    <cellStyle name="Millares 2 3 2 2 2 3 3 3 3" xfId="38170" xr:uid="{00000000-0005-0000-0000-00003B0F0000}"/>
    <cellStyle name="Millares 2 3 2 2 2 3 3 4" xfId="17818" xr:uid="{00000000-0005-0000-0000-00003C0F0000}"/>
    <cellStyle name="Millares 2 3 2 2 2 3 3 4 2" xfId="44951" xr:uid="{00000000-0005-0000-0000-00003D0F0000}"/>
    <cellStyle name="Millares 2 3 2 2 2 3 3 5" xfId="31389" xr:uid="{00000000-0005-0000-0000-00003E0F0000}"/>
    <cellStyle name="Millares 2 3 2 2 2 3 4" xfId="7629" xr:uid="{00000000-0005-0000-0000-00003F0F0000}"/>
    <cellStyle name="Millares 2 3 2 2 2 3 4 2" xfId="14418" xr:uid="{00000000-0005-0000-0000-0000400F0000}"/>
    <cellStyle name="Millares 2 3 2 2 2 3 4 2 2" xfId="27986" xr:uid="{00000000-0005-0000-0000-0000410F0000}"/>
    <cellStyle name="Millares 2 3 2 2 2 3 4 2 2 2" xfId="55119" xr:uid="{00000000-0005-0000-0000-0000420F0000}"/>
    <cellStyle name="Millares 2 3 2 2 2 3 4 2 3" xfId="41557" xr:uid="{00000000-0005-0000-0000-0000430F0000}"/>
    <cellStyle name="Millares 2 3 2 2 2 3 4 3" xfId="21205" xr:uid="{00000000-0005-0000-0000-0000440F0000}"/>
    <cellStyle name="Millares 2 3 2 2 2 3 4 3 2" xfId="48338" xr:uid="{00000000-0005-0000-0000-0000450F0000}"/>
    <cellStyle name="Millares 2 3 2 2 2 3 4 4" xfId="34776" xr:uid="{00000000-0005-0000-0000-0000460F0000}"/>
    <cellStyle name="Millares 2 3 2 2 2 3 5" xfId="11029" xr:uid="{00000000-0005-0000-0000-0000470F0000}"/>
    <cellStyle name="Millares 2 3 2 2 2 3 5 2" xfId="24597" xr:uid="{00000000-0005-0000-0000-0000480F0000}"/>
    <cellStyle name="Millares 2 3 2 2 2 3 5 2 2" xfId="51730" xr:uid="{00000000-0005-0000-0000-0000490F0000}"/>
    <cellStyle name="Millares 2 3 2 2 2 3 5 3" xfId="38168" xr:uid="{00000000-0005-0000-0000-00004A0F0000}"/>
    <cellStyle name="Millares 2 3 2 2 2 3 6" xfId="17816" xr:uid="{00000000-0005-0000-0000-00004B0F0000}"/>
    <cellStyle name="Millares 2 3 2 2 2 3 6 2" xfId="44949" xr:uid="{00000000-0005-0000-0000-00004C0F0000}"/>
    <cellStyle name="Millares 2 3 2 2 2 3 7" xfId="31387" xr:uid="{00000000-0005-0000-0000-00004D0F0000}"/>
    <cellStyle name="Millares 2 3 2 2 2 4" xfId="4021" xr:uid="{00000000-0005-0000-0000-00004E0F0000}"/>
    <cellStyle name="Millares 2 3 2 2 2 4 2" xfId="4022" xr:uid="{00000000-0005-0000-0000-00004F0F0000}"/>
    <cellStyle name="Millares 2 3 2 2 2 4 2 2" xfId="7633" xr:uid="{00000000-0005-0000-0000-0000500F0000}"/>
    <cellStyle name="Millares 2 3 2 2 2 4 2 2 2" xfId="14422" xr:uid="{00000000-0005-0000-0000-0000510F0000}"/>
    <cellStyle name="Millares 2 3 2 2 2 4 2 2 2 2" xfId="27990" xr:uid="{00000000-0005-0000-0000-0000520F0000}"/>
    <cellStyle name="Millares 2 3 2 2 2 4 2 2 2 2 2" xfId="55123" xr:uid="{00000000-0005-0000-0000-0000530F0000}"/>
    <cellStyle name="Millares 2 3 2 2 2 4 2 2 2 3" xfId="41561" xr:uid="{00000000-0005-0000-0000-0000540F0000}"/>
    <cellStyle name="Millares 2 3 2 2 2 4 2 2 3" xfId="21209" xr:uid="{00000000-0005-0000-0000-0000550F0000}"/>
    <cellStyle name="Millares 2 3 2 2 2 4 2 2 3 2" xfId="48342" xr:uid="{00000000-0005-0000-0000-0000560F0000}"/>
    <cellStyle name="Millares 2 3 2 2 2 4 2 2 4" xfId="34780" xr:uid="{00000000-0005-0000-0000-0000570F0000}"/>
    <cellStyle name="Millares 2 3 2 2 2 4 2 3" xfId="11033" xr:uid="{00000000-0005-0000-0000-0000580F0000}"/>
    <cellStyle name="Millares 2 3 2 2 2 4 2 3 2" xfId="24601" xr:uid="{00000000-0005-0000-0000-0000590F0000}"/>
    <cellStyle name="Millares 2 3 2 2 2 4 2 3 2 2" xfId="51734" xr:uid="{00000000-0005-0000-0000-00005A0F0000}"/>
    <cellStyle name="Millares 2 3 2 2 2 4 2 3 3" xfId="38172" xr:uid="{00000000-0005-0000-0000-00005B0F0000}"/>
    <cellStyle name="Millares 2 3 2 2 2 4 2 4" xfId="17820" xr:uid="{00000000-0005-0000-0000-00005C0F0000}"/>
    <cellStyle name="Millares 2 3 2 2 2 4 2 4 2" xfId="44953" xr:uid="{00000000-0005-0000-0000-00005D0F0000}"/>
    <cellStyle name="Millares 2 3 2 2 2 4 2 5" xfId="31391" xr:uid="{00000000-0005-0000-0000-00005E0F0000}"/>
    <cellStyle name="Millares 2 3 2 2 2 4 3" xfId="7632" xr:uid="{00000000-0005-0000-0000-00005F0F0000}"/>
    <cellStyle name="Millares 2 3 2 2 2 4 3 2" xfId="14421" xr:uid="{00000000-0005-0000-0000-0000600F0000}"/>
    <cellStyle name="Millares 2 3 2 2 2 4 3 2 2" xfId="27989" xr:uid="{00000000-0005-0000-0000-0000610F0000}"/>
    <cellStyle name="Millares 2 3 2 2 2 4 3 2 2 2" xfId="55122" xr:uid="{00000000-0005-0000-0000-0000620F0000}"/>
    <cellStyle name="Millares 2 3 2 2 2 4 3 2 3" xfId="41560" xr:uid="{00000000-0005-0000-0000-0000630F0000}"/>
    <cellStyle name="Millares 2 3 2 2 2 4 3 3" xfId="21208" xr:uid="{00000000-0005-0000-0000-0000640F0000}"/>
    <cellStyle name="Millares 2 3 2 2 2 4 3 3 2" xfId="48341" xr:uid="{00000000-0005-0000-0000-0000650F0000}"/>
    <cellStyle name="Millares 2 3 2 2 2 4 3 4" xfId="34779" xr:uid="{00000000-0005-0000-0000-0000660F0000}"/>
    <cellStyle name="Millares 2 3 2 2 2 4 4" xfId="11032" xr:uid="{00000000-0005-0000-0000-0000670F0000}"/>
    <cellStyle name="Millares 2 3 2 2 2 4 4 2" xfId="24600" xr:uid="{00000000-0005-0000-0000-0000680F0000}"/>
    <cellStyle name="Millares 2 3 2 2 2 4 4 2 2" xfId="51733" xr:uid="{00000000-0005-0000-0000-0000690F0000}"/>
    <cellStyle name="Millares 2 3 2 2 2 4 4 3" xfId="38171" xr:uid="{00000000-0005-0000-0000-00006A0F0000}"/>
    <cellStyle name="Millares 2 3 2 2 2 4 5" xfId="17819" xr:uid="{00000000-0005-0000-0000-00006B0F0000}"/>
    <cellStyle name="Millares 2 3 2 2 2 4 5 2" xfId="44952" xr:uid="{00000000-0005-0000-0000-00006C0F0000}"/>
    <cellStyle name="Millares 2 3 2 2 2 4 6" xfId="31390" xr:uid="{00000000-0005-0000-0000-00006D0F0000}"/>
    <cellStyle name="Millares 2 3 2 2 2 5" xfId="4023" xr:uid="{00000000-0005-0000-0000-00006E0F0000}"/>
    <cellStyle name="Millares 2 3 2 2 2 5 2" xfId="7634" xr:uid="{00000000-0005-0000-0000-00006F0F0000}"/>
    <cellStyle name="Millares 2 3 2 2 2 5 2 2" xfId="14423" xr:uid="{00000000-0005-0000-0000-0000700F0000}"/>
    <cellStyle name="Millares 2 3 2 2 2 5 2 2 2" xfId="27991" xr:uid="{00000000-0005-0000-0000-0000710F0000}"/>
    <cellStyle name="Millares 2 3 2 2 2 5 2 2 2 2" xfId="55124" xr:uid="{00000000-0005-0000-0000-0000720F0000}"/>
    <cellStyle name="Millares 2 3 2 2 2 5 2 2 3" xfId="41562" xr:uid="{00000000-0005-0000-0000-0000730F0000}"/>
    <cellStyle name="Millares 2 3 2 2 2 5 2 3" xfId="21210" xr:uid="{00000000-0005-0000-0000-0000740F0000}"/>
    <cellStyle name="Millares 2 3 2 2 2 5 2 3 2" xfId="48343" xr:uid="{00000000-0005-0000-0000-0000750F0000}"/>
    <cellStyle name="Millares 2 3 2 2 2 5 2 4" xfId="34781" xr:uid="{00000000-0005-0000-0000-0000760F0000}"/>
    <cellStyle name="Millares 2 3 2 2 2 5 3" xfId="11034" xr:uid="{00000000-0005-0000-0000-0000770F0000}"/>
    <cellStyle name="Millares 2 3 2 2 2 5 3 2" xfId="24602" xr:uid="{00000000-0005-0000-0000-0000780F0000}"/>
    <cellStyle name="Millares 2 3 2 2 2 5 3 2 2" xfId="51735" xr:uid="{00000000-0005-0000-0000-0000790F0000}"/>
    <cellStyle name="Millares 2 3 2 2 2 5 3 3" xfId="38173" xr:uid="{00000000-0005-0000-0000-00007A0F0000}"/>
    <cellStyle name="Millares 2 3 2 2 2 5 4" xfId="17821" xr:uid="{00000000-0005-0000-0000-00007B0F0000}"/>
    <cellStyle name="Millares 2 3 2 2 2 5 4 2" xfId="44954" xr:uid="{00000000-0005-0000-0000-00007C0F0000}"/>
    <cellStyle name="Millares 2 3 2 2 2 5 5" xfId="31392" xr:uid="{00000000-0005-0000-0000-00007D0F0000}"/>
    <cellStyle name="Millares 2 3 2 2 2 6" xfId="4024" xr:uid="{00000000-0005-0000-0000-00007E0F0000}"/>
    <cellStyle name="Millares 2 3 2 2 2 6 2" xfId="7635" xr:uid="{00000000-0005-0000-0000-00007F0F0000}"/>
    <cellStyle name="Millares 2 3 2 2 2 6 2 2" xfId="14424" xr:uid="{00000000-0005-0000-0000-0000800F0000}"/>
    <cellStyle name="Millares 2 3 2 2 2 6 2 2 2" xfId="27992" xr:uid="{00000000-0005-0000-0000-0000810F0000}"/>
    <cellStyle name="Millares 2 3 2 2 2 6 2 2 2 2" xfId="55125" xr:uid="{00000000-0005-0000-0000-0000820F0000}"/>
    <cellStyle name="Millares 2 3 2 2 2 6 2 2 3" xfId="41563" xr:uid="{00000000-0005-0000-0000-0000830F0000}"/>
    <cellStyle name="Millares 2 3 2 2 2 6 2 3" xfId="21211" xr:uid="{00000000-0005-0000-0000-0000840F0000}"/>
    <cellStyle name="Millares 2 3 2 2 2 6 2 3 2" xfId="48344" xr:uid="{00000000-0005-0000-0000-0000850F0000}"/>
    <cellStyle name="Millares 2 3 2 2 2 6 2 4" xfId="34782" xr:uid="{00000000-0005-0000-0000-0000860F0000}"/>
    <cellStyle name="Millares 2 3 2 2 2 6 3" xfId="11035" xr:uid="{00000000-0005-0000-0000-0000870F0000}"/>
    <cellStyle name="Millares 2 3 2 2 2 6 3 2" xfId="24603" xr:uid="{00000000-0005-0000-0000-0000880F0000}"/>
    <cellStyle name="Millares 2 3 2 2 2 6 3 2 2" xfId="51736" xr:uid="{00000000-0005-0000-0000-0000890F0000}"/>
    <cellStyle name="Millares 2 3 2 2 2 6 3 3" xfId="38174" xr:uid="{00000000-0005-0000-0000-00008A0F0000}"/>
    <cellStyle name="Millares 2 3 2 2 2 6 4" xfId="17822" xr:uid="{00000000-0005-0000-0000-00008B0F0000}"/>
    <cellStyle name="Millares 2 3 2 2 2 6 4 2" xfId="44955" xr:uid="{00000000-0005-0000-0000-00008C0F0000}"/>
    <cellStyle name="Millares 2 3 2 2 2 6 5" xfId="31393" xr:uid="{00000000-0005-0000-0000-00008D0F0000}"/>
    <cellStyle name="Millares 2 3 2 2 2 7" xfId="7620" xr:uid="{00000000-0005-0000-0000-00008E0F0000}"/>
    <cellStyle name="Millares 2 3 2 2 2 7 2" xfId="14409" xr:uid="{00000000-0005-0000-0000-00008F0F0000}"/>
    <cellStyle name="Millares 2 3 2 2 2 7 2 2" xfId="27977" xr:uid="{00000000-0005-0000-0000-0000900F0000}"/>
    <cellStyle name="Millares 2 3 2 2 2 7 2 2 2" xfId="55110" xr:uid="{00000000-0005-0000-0000-0000910F0000}"/>
    <cellStyle name="Millares 2 3 2 2 2 7 2 3" xfId="41548" xr:uid="{00000000-0005-0000-0000-0000920F0000}"/>
    <cellStyle name="Millares 2 3 2 2 2 7 3" xfId="21196" xr:uid="{00000000-0005-0000-0000-0000930F0000}"/>
    <cellStyle name="Millares 2 3 2 2 2 7 3 2" xfId="48329" xr:uid="{00000000-0005-0000-0000-0000940F0000}"/>
    <cellStyle name="Millares 2 3 2 2 2 7 4" xfId="34767" xr:uid="{00000000-0005-0000-0000-0000950F0000}"/>
    <cellStyle name="Millares 2 3 2 2 2 8" xfId="11020" xr:uid="{00000000-0005-0000-0000-0000960F0000}"/>
    <cellStyle name="Millares 2 3 2 2 2 8 2" xfId="24588" xr:uid="{00000000-0005-0000-0000-0000970F0000}"/>
    <cellStyle name="Millares 2 3 2 2 2 8 2 2" xfId="51721" xr:uid="{00000000-0005-0000-0000-0000980F0000}"/>
    <cellStyle name="Millares 2 3 2 2 2 8 3" xfId="38159" xr:uid="{00000000-0005-0000-0000-0000990F0000}"/>
    <cellStyle name="Millares 2 3 2 2 2 9" xfId="17807" xr:uid="{00000000-0005-0000-0000-00009A0F0000}"/>
    <cellStyle name="Millares 2 3 2 2 2 9 2" xfId="44940" xr:uid="{00000000-0005-0000-0000-00009B0F0000}"/>
    <cellStyle name="Millares 2 3 2 2 3" xfId="4025" xr:uid="{00000000-0005-0000-0000-00009C0F0000}"/>
    <cellStyle name="Millares 2 3 2 2 3 2" xfId="4026" xr:uid="{00000000-0005-0000-0000-00009D0F0000}"/>
    <cellStyle name="Millares 2 3 2 2 3 2 2" xfId="4027" xr:uid="{00000000-0005-0000-0000-00009E0F0000}"/>
    <cellStyle name="Millares 2 3 2 2 3 2 2 2" xfId="7638" xr:uid="{00000000-0005-0000-0000-00009F0F0000}"/>
    <cellStyle name="Millares 2 3 2 2 3 2 2 2 2" xfId="14427" xr:uid="{00000000-0005-0000-0000-0000A00F0000}"/>
    <cellStyle name="Millares 2 3 2 2 3 2 2 2 2 2" xfId="27995" xr:uid="{00000000-0005-0000-0000-0000A10F0000}"/>
    <cellStyle name="Millares 2 3 2 2 3 2 2 2 2 2 2" xfId="55128" xr:uid="{00000000-0005-0000-0000-0000A20F0000}"/>
    <cellStyle name="Millares 2 3 2 2 3 2 2 2 2 3" xfId="41566" xr:uid="{00000000-0005-0000-0000-0000A30F0000}"/>
    <cellStyle name="Millares 2 3 2 2 3 2 2 2 3" xfId="21214" xr:uid="{00000000-0005-0000-0000-0000A40F0000}"/>
    <cellStyle name="Millares 2 3 2 2 3 2 2 2 3 2" xfId="48347" xr:uid="{00000000-0005-0000-0000-0000A50F0000}"/>
    <cellStyle name="Millares 2 3 2 2 3 2 2 2 4" xfId="34785" xr:uid="{00000000-0005-0000-0000-0000A60F0000}"/>
    <cellStyle name="Millares 2 3 2 2 3 2 2 3" xfId="11038" xr:uid="{00000000-0005-0000-0000-0000A70F0000}"/>
    <cellStyle name="Millares 2 3 2 2 3 2 2 3 2" xfId="24606" xr:uid="{00000000-0005-0000-0000-0000A80F0000}"/>
    <cellStyle name="Millares 2 3 2 2 3 2 2 3 2 2" xfId="51739" xr:uid="{00000000-0005-0000-0000-0000A90F0000}"/>
    <cellStyle name="Millares 2 3 2 2 3 2 2 3 3" xfId="38177" xr:uid="{00000000-0005-0000-0000-0000AA0F0000}"/>
    <cellStyle name="Millares 2 3 2 2 3 2 2 4" xfId="17825" xr:uid="{00000000-0005-0000-0000-0000AB0F0000}"/>
    <cellStyle name="Millares 2 3 2 2 3 2 2 4 2" xfId="44958" xr:uid="{00000000-0005-0000-0000-0000AC0F0000}"/>
    <cellStyle name="Millares 2 3 2 2 3 2 2 5" xfId="31396" xr:uid="{00000000-0005-0000-0000-0000AD0F0000}"/>
    <cellStyle name="Millares 2 3 2 2 3 2 3" xfId="4028" xr:uid="{00000000-0005-0000-0000-0000AE0F0000}"/>
    <cellStyle name="Millares 2 3 2 2 3 2 3 2" xfId="7639" xr:uid="{00000000-0005-0000-0000-0000AF0F0000}"/>
    <cellStyle name="Millares 2 3 2 2 3 2 3 2 2" xfId="14428" xr:uid="{00000000-0005-0000-0000-0000B00F0000}"/>
    <cellStyle name="Millares 2 3 2 2 3 2 3 2 2 2" xfId="27996" xr:uid="{00000000-0005-0000-0000-0000B10F0000}"/>
    <cellStyle name="Millares 2 3 2 2 3 2 3 2 2 2 2" xfId="55129" xr:uid="{00000000-0005-0000-0000-0000B20F0000}"/>
    <cellStyle name="Millares 2 3 2 2 3 2 3 2 2 3" xfId="41567" xr:uid="{00000000-0005-0000-0000-0000B30F0000}"/>
    <cellStyle name="Millares 2 3 2 2 3 2 3 2 3" xfId="21215" xr:uid="{00000000-0005-0000-0000-0000B40F0000}"/>
    <cellStyle name="Millares 2 3 2 2 3 2 3 2 3 2" xfId="48348" xr:uid="{00000000-0005-0000-0000-0000B50F0000}"/>
    <cellStyle name="Millares 2 3 2 2 3 2 3 2 4" xfId="34786" xr:uid="{00000000-0005-0000-0000-0000B60F0000}"/>
    <cellStyle name="Millares 2 3 2 2 3 2 3 3" xfId="11039" xr:uid="{00000000-0005-0000-0000-0000B70F0000}"/>
    <cellStyle name="Millares 2 3 2 2 3 2 3 3 2" xfId="24607" xr:uid="{00000000-0005-0000-0000-0000B80F0000}"/>
    <cellStyle name="Millares 2 3 2 2 3 2 3 3 2 2" xfId="51740" xr:uid="{00000000-0005-0000-0000-0000B90F0000}"/>
    <cellStyle name="Millares 2 3 2 2 3 2 3 3 3" xfId="38178" xr:uid="{00000000-0005-0000-0000-0000BA0F0000}"/>
    <cellStyle name="Millares 2 3 2 2 3 2 3 4" xfId="17826" xr:uid="{00000000-0005-0000-0000-0000BB0F0000}"/>
    <cellStyle name="Millares 2 3 2 2 3 2 3 4 2" xfId="44959" xr:uid="{00000000-0005-0000-0000-0000BC0F0000}"/>
    <cellStyle name="Millares 2 3 2 2 3 2 3 5" xfId="31397" xr:uid="{00000000-0005-0000-0000-0000BD0F0000}"/>
    <cellStyle name="Millares 2 3 2 2 3 2 4" xfId="7637" xr:uid="{00000000-0005-0000-0000-0000BE0F0000}"/>
    <cellStyle name="Millares 2 3 2 2 3 2 4 2" xfId="14426" xr:uid="{00000000-0005-0000-0000-0000BF0F0000}"/>
    <cellStyle name="Millares 2 3 2 2 3 2 4 2 2" xfId="27994" xr:uid="{00000000-0005-0000-0000-0000C00F0000}"/>
    <cellStyle name="Millares 2 3 2 2 3 2 4 2 2 2" xfId="55127" xr:uid="{00000000-0005-0000-0000-0000C10F0000}"/>
    <cellStyle name="Millares 2 3 2 2 3 2 4 2 3" xfId="41565" xr:uid="{00000000-0005-0000-0000-0000C20F0000}"/>
    <cellStyle name="Millares 2 3 2 2 3 2 4 3" xfId="21213" xr:uid="{00000000-0005-0000-0000-0000C30F0000}"/>
    <cellStyle name="Millares 2 3 2 2 3 2 4 3 2" xfId="48346" xr:uid="{00000000-0005-0000-0000-0000C40F0000}"/>
    <cellStyle name="Millares 2 3 2 2 3 2 4 4" xfId="34784" xr:uid="{00000000-0005-0000-0000-0000C50F0000}"/>
    <cellStyle name="Millares 2 3 2 2 3 2 5" xfId="11037" xr:uid="{00000000-0005-0000-0000-0000C60F0000}"/>
    <cellStyle name="Millares 2 3 2 2 3 2 5 2" xfId="24605" xr:uid="{00000000-0005-0000-0000-0000C70F0000}"/>
    <cellStyle name="Millares 2 3 2 2 3 2 5 2 2" xfId="51738" xr:uid="{00000000-0005-0000-0000-0000C80F0000}"/>
    <cellStyle name="Millares 2 3 2 2 3 2 5 3" xfId="38176" xr:uid="{00000000-0005-0000-0000-0000C90F0000}"/>
    <cellStyle name="Millares 2 3 2 2 3 2 6" xfId="17824" xr:uid="{00000000-0005-0000-0000-0000CA0F0000}"/>
    <cellStyle name="Millares 2 3 2 2 3 2 6 2" xfId="44957" xr:uid="{00000000-0005-0000-0000-0000CB0F0000}"/>
    <cellStyle name="Millares 2 3 2 2 3 2 7" xfId="31395" xr:uid="{00000000-0005-0000-0000-0000CC0F0000}"/>
    <cellStyle name="Millares 2 3 2 2 3 3" xfId="4029" xr:uid="{00000000-0005-0000-0000-0000CD0F0000}"/>
    <cellStyle name="Millares 2 3 2 2 3 3 2" xfId="4030" xr:uid="{00000000-0005-0000-0000-0000CE0F0000}"/>
    <cellStyle name="Millares 2 3 2 2 3 3 2 2" xfId="7641" xr:uid="{00000000-0005-0000-0000-0000CF0F0000}"/>
    <cellStyle name="Millares 2 3 2 2 3 3 2 2 2" xfId="14430" xr:uid="{00000000-0005-0000-0000-0000D00F0000}"/>
    <cellStyle name="Millares 2 3 2 2 3 3 2 2 2 2" xfId="27998" xr:uid="{00000000-0005-0000-0000-0000D10F0000}"/>
    <cellStyle name="Millares 2 3 2 2 3 3 2 2 2 2 2" xfId="55131" xr:uid="{00000000-0005-0000-0000-0000D20F0000}"/>
    <cellStyle name="Millares 2 3 2 2 3 3 2 2 2 3" xfId="41569" xr:uid="{00000000-0005-0000-0000-0000D30F0000}"/>
    <cellStyle name="Millares 2 3 2 2 3 3 2 2 3" xfId="21217" xr:uid="{00000000-0005-0000-0000-0000D40F0000}"/>
    <cellStyle name="Millares 2 3 2 2 3 3 2 2 3 2" xfId="48350" xr:uid="{00000000-0005-0000-0000-0000D50F0000}"/>
    <cellStyle name="Millares 2 3 2 2 3 3 2 2 4" xfId="34788" xr:uid="{00000000-0005-0000-0000-0000D60F0000}"/>
    <cellStyle name="Millares 2 3 2 2 3 3 2 3" xfId="11041" xr:uid="{00000000-0005-0000-0000-0000D70F0000}"/>
    <cellStyle name="Millares 2 3 2 2 3 3 2 3 2" xfId="24609" xr:uid="{00000000-0005-0000-0000-0000D80F0000}"/>
    <cellStyle name="Millares 2 3 2 2 3 3 2 3 2 2" xfId="51742" xr:uid="{00000000-0005-0000-0000-0000D90F0000}"/>
    <cellStyle name="Millares 2 3 2 2 3 3 2 3 3" xfId="38180" xr:uid="{00000000-0005-0000-0000-0000DA0F0000}"/>
    <cellStyle name="Millares 2 3 2 2 3 3 2 4" xfId="17828" xr:uid="{00000000-0005-0000-0000-0000DB0F0000}"/>
    <cellStyle name="Millares 2 3 2 2 3 3 2 4 2" xfId="44961" xr:uid="{00000000-0005-0000-0000-0000DC0F0000}"/>
    <cellStyle name="Millares 2 3 2 2 3 3 2 5" xfId="31399" xr:uid="{00000000-0005-0000-0000-0000DD0F0000}"/>
    <cellStyle name="Millares 2 3 2 2 3 3 3" xfId="7640" xr:uid="{00000000-0005-0000-0000-0000DE0F0000}"/>
    <cellStyle name="Millares 2 3 2 2 3 3 3 2" xfId="14429" xr:uid="{00000000-0005-0000-0000-0000DF0F0000}"/>
    <cellStyle name="Millares 2 3 2 2 3 3 3 2 2" xfId="27997" xr:uid="{00000000-0005-0000-0000-0000E00F0000}"/>
    <cellStyle name="Millares 2 3 2 2 3 3 3 2 2 2" xfId="55130" xr:uid="{00000000-0005-0000-0000-0000E10F0000}"/>
    <cellStyle name="Millares 2 3 2 2 3 3 3 2 3" xfId="41568" xr:uid="{00000000-0005-0000-0000-0000E20F0000}"/>
    <cellStyle name="Millares 2 3 2 2 3 3 3 3" xfId="21216" xr:uid="{00000000-0005-0000-0000-0000E30F0000}"/>
    <cellStyle name="Millares 2 3 2 2 3 3 3 3 2" xfId="48349" xr:uid="{00000000-0005-0000-0000-0000E40F0000}"/>
    <cellStyle name="Millares 2 3 2 2 3 3 3 4" xfId="34787" xr:uid="{00000000-0005-0000-0000-0000E50F0000}"/>
    <cellStyle name="Millares 2 3 2 2 3 3 4" xfId="11040" xr:uid="{00000000-0005-0000-0000-0000E60F0000}"/>
    <cellStyle name="Millares 2 3 2 2 3 3 4 2" xfId="24608" xr:uid="{00000000-0005-0000-0000-0000E70F0000}"/>
    <cellStyle name="Millares 2 3 2 2 3 3 4 2 2" xfId="51741" xr:uid="{00000000-0005-0000-0000-0000E80F0000}"/>
    <cellStyle name="Millares 2 3 2 2 3 3 4 3" xfId="38179" xr:uid="{00000000-0005-0000-0000-0000E90F0000}"/>
    <cellStyle name="Millares 2 3 2 2 3 3 5" xfId="17827" xr:uid="{00000000-0005-0000-0000-0000EA0F0000}"/>
    <cellStyle name="Millares 2 3 2 2 3 3 5 2" xfId="44960" xr:uid="{00000000-0005-0000-0000-0000EB0F0000}"/>
    <cellStyle name="Millares 2 3 2 2 3 3 6" xfId="31398" xr:uid="{00000000-0005-0000-0000-0000EC0F0000}"/>
    <cellStyle name="Millares 2 3 2 2 3 4" xfId="4031" xr:uid="{00000000-0005-0000-0000-0000ED0F0000}"/>
    <cellStyle name="Millares 2 3 2 2 3 4 2" xfId="7642" xr:uid="{00000000-0005-0000-0000-0000EE0F0000}"/>
    <cellStyle name="Millares 2 3 2 2 3 4 2 2" xfId="14431" xr:uid="{00000000-0005-0000-0000-0000EF0F0000}"/>
    <cellStyle name="Millares 2 3 2 2 3 4 2 2 2" xfId="27999" xr:uid="{00000000-0005-0000-0000-0000F00F0000}"/>
    <cellStyle name="Millares 2 3 2 2 3 4 2 2 2 2" xfId="55132" xr:uid="{00000000-0005-0000-0000-0000F10F0000}"/>
    <cellStyle name="Millares 2 3 2 2 3 4 2 2 3" xfId="41570" xr:uid="{00000000-0005-0000-0000-0000F20F0000}"/>
    <cellStyle name="Millares 2 3 2 2 3 4 2 3" xfId="21218" xr:uid="{00000000-0005-0000-0000-0000F30F0000}"/>
    <cellStyle name="Millares 2 3 2 2 3 4 2 3 2" xfId="48351" xr:uid="{00000000-0005-0000-0000-0000F40F0000}"/>
    <cellStyle name="Millares 2 3 2 2 3 4 2 4" xfId="34789" xr:uid="{00000000-0005-0000-0000-0000F50F0000}"/>
    <cellStyle name="Millares 2 3 2 2 3 4 3" xfId="11042" xr:uid="{00000000-0005-0000-0000-0000F60F0000}"/>
    <cellStyle name="Millares 2 3 2 2 3 4 3 2" xfId="24610" xr:uid="{00000000-0005-0000-0000-0000F70F0000}"/>
    <cellStyle name="Millares 2 3 2 2 3 4 3 2 2" xfId="51743" xr:uid="{00000000-0005-0000-0000-0000F80F0000}"/>
    <cellStyle name="Millares 2 3 2 2 3 4 3 3" xfId="38181" xr:uid="{00000000-0005-0000-0000-0000F90F0000}"/>
    <cellStyle name="Millares 2 3 2 2 3 4 4" xfId="17829" xr:uid="{00000000-0005-0000-0000-0000FA0F0000}"/>
    <cellStyle name="Millares 2 3 2 2 3 4 4 2" xfId="44962" xr:uid="{00000000-0005-0000-0000-0000FB0F0000}"/>
    <cellStyle name="Millares 2 3 2 2 3 4 5" xfId="31400" xr:uid="{00000000-0005-0000-0000-0000FC0F0000}"/>
    <cellStyle name="Millares 2 3 2 2 3 5" xfId="4032" xr:uid="{00000000-0005-0000-0000-0000FD0F0000}"/>
    <cellStyle name="Millares 2 3 2 2 3 5 2" xfId="7643" xr:uid="{00000000-0005-0000-0000-0000FE0F0000}"/>
    <cellStyle name="Millares 2 3 2 2 3 5 2 2" xfId="14432" xr:uid="{00000000-0005-0000-0000-0000FF0F0000}"/>
    <cellStyle name="Millares 2 3 2 2 3 5 2 2 2" xfId="28000" xr:uid="{00000000-0005-0000-0000-000000100000}"/>
    <cellStyle name="Millares 2 3 2 2 3 5 2 2 2 2" xfId="55133" xr:uid="{00000000-0005-0000-0000-000001100000}"/>
    <cellStyle name="Millares 2 3 2 2 3 5 2 2 3" xfId="41571" xr:uid="{00000000-0005-0000-0000-000002100000}"/>
    <cellStyle name="Millares 2 3 2 2 3 5 2 3" xfId="21219" xr:uid="{00000000-0005-0000-0000-000003100000}"/>
    <cellStyle name="Millares 2 3 2 2 3 5 2 3 2" xfId="48352" xr:uid="{00000000-0005-0000-0000-000004100000}"/>
    <cellStyle name="Millares 2 3 2 2 3 5 2 4" xfId="34790" xr:uid="{00000000-0005-0000-0000-000005100000}"/>
    <cellStyle name="Millares 2 3 2 2 3 5 3" xfId="11043" xr:uid="{00000000-0005-0000-0000-000006100000}"/>
    <cellStyle name="Millares 2 3 2 2 3 5 3 2" xfId="24611" xr:uid="{00000000-0005-0000-0000-000007100000}"/>
    <cellStyle name="Millares 2 3 2 2 3 5 3 2 2" xfId="51744" xr:uid="{00000000-0005-0000-0000-000008100000}"/>
    <cellStyle name="Millares 2 3 2 2 3 5 3 3" xfId="38182" xr:uid="{00000000-0005-0000-0000-000009100000}"/>
    <cellStyle name="Millares 2 3 2 2 3 5 4" xfId="17830" xr:uid="{00000000-0005-0000-0000-00000A100000}"/>
    <cellStyle name="Millares 2 3 2 2 3 5 4 2" xfId="44963" xr:uid="{00000000-0005-0000-0000-00000B100000}"/>
    <cellStyle name="Millares 2 3 2 2 3 5 5" xfId="31401" xr:uid="{00000000-0005-0000-0000-00000C100000}"/>
    <cellStyle name="Millares 2 3 2 2 3 6" xfId="7636" xr:uid="{00000000-0005-0000-0000-00000D100000}"/>
    <cellStyle name="Millares 2 3 2 2 3 6 2" xfId="14425" xr:uid="{00000000-0005-0000-0000-00000E100000}"/>
    <cellStyle name="Millares 2 3 2 2 3 6 2 2" xfId="27993" xr:uid="{00000000-0005-0000-0000-00000F100000}"/>
    <cellStyle name="Millares 2 3 2 2 3 6 2 2 2" xfId="55126" xr:uid="{00000000-0005-0000-0000-000010100000}"/>
    <cellStyle name="Millares 2 3 2 2 3 6 2 3" xfId="41564" xr:uid="{00000000-0005-0000-0000-000011100000}"/>
    <cellStyle name="Millares 2 3 2 2 3 6 3" xfId="21212" xr:uid="{00000000-0005-0000-0000-000012100000}"/>
    <cellStyle name="Millares 2 3 2 2 3 6 3 2" xfId="48345" xr:uid="{00000000-0005-0000-0000-000013100000}"/>
    <cellStyle name="Millares 2 3 2 2 3 6 4" xfId="34783" xr:uid="{00000000-0005-0000-0000-000014100000}"/>
    <cellStyle name="Millares 2 3 2 2 3 7" xfId="11036" xr:uid="{00000000-0005-0000-0000-000015100000}"/>
    <cellStyle name="Millares 2 3 2 2 3 7 2" xfId="24604" xr:uid="{00000000-0005-0000-0000-000016100000}"/>
    <cellStyle name="Millares 2 3 2 2 3 7 2 2" xfId="51737" xr:uid="{00000000-0005-0000-0000-000017100000}"/>
    <cellStyle name="Millares 2 3 2 2 3 7 3" xfId="38175" xr:uid="{00000000-0005-0000-0000-000018100000}"/>
    <cellStyle name="Millares 2 3 2 2 3 8" xfId="17823" xr:uid="{00000000-0005-0000-0000-000019100000}"/>
    <cellStyle name="Millares 2 3 2 2 3 8 2" xfId="44956" xr:uid="{00000000-0005-0000-0000-00001A100000}"/>
    <cellStyle name="Millares 2 3 2 2 3 9" xfId="31394" xr:uid="{00000000-0005-0000-0000-00001B100000}"/>
    <cellStyle name="Millares 2 3 2 2 4" xfId="4033" xr:uid="{00000000-0005-0000-0000-00001C100000}"/>
    <cellStyle name="Millares 2 3 2 2 4 2" xfId="4034" xr:uid="{00000000-0005-0000-0000-00001D100000}"/>
    <cellStyle name="Millares 2 3 2 2 4 2 2" xfId="4035" xr:uid="{00000000-0005-0000-0000-00001E100000}"/>
    <cellStyle name="Millares 2 3 2 2 4 2 2 2" xfId="7646" xr:uid="{00000000-0005-0000-0000-00001F100000}"/>
    <cellStyle name="Millares 2 3 2 2 4 2 2 2 2" xfId="14435" xr:uid="{00000000-0005-0000-0000-000020100000}"/>
    <cellStyle name="Millares 2 3 2 2 4 2 2 2 2 2" xfId="28003" xr:uid="{00000000-0005-0000-0000-000021100000}"/>
    <cellStyle name="Millares 2 3 2 2 4 2 2 2 2 2 2" xfId="55136" xr:uid="{00000000-0005-0000-0000-000022100000}"/>
    <cellStyle name="Millares 2 3 2 2 4 2 2 2 2 3" xfId="41574" xr:uid="{00000000-0005-0000-0000-000023100000}"/>
    <cellStyle name="Millares 2 3 2 2 4 2 2 2 3" xfId="21222" xr:uid="{00000000-0005-0000-0000-000024100000}"/>
    <cellStyle name="Millares 2 3 2 2 4 2 2 2 3 2" xfId="48355" xr:uid="{00000000-0005-0000-0000-000025100000}"/>
    <cellStyle name="Millares 2 3 2 2 4 2 2 2 4" xfId="34793" xr:uid="{00000000-0005-0000-0000-000026100000}"/>
    <cellStyle name="Millares 2 3 2 2 4 2 2 3" xfId="11046" xr:uid="{00000000-0005-0000-0000-000027100000}"/>
    <cellStyle name="Millares 2 3 2 2 4 2 2 3 2" xfId="24614" xr:uid="{00000000-0005-0000-0000-000028100000}"/>
    <cellStyle name="Millares 2 3 2 2 4 2 2 3 2 2" xfId="51747" xr:uid="{00000000-0005-0000-0000-000029100000}"/>
    <cellStyle name="Millares 2 3 2 2 4 2 2 3 3" xfId="38185" xr:uid="{00000000-0005-0000-0000-00002A100000}"/>
    <cellStyle name="Millares 2 3 2 2 4 2 2 4" xfId="17833" xr:uid="{00000000-0005-0000-0000-00002B100000}"/>
    <cellStyle name="Millares 2 3 2 2 4 2 2 4 2" xfId="44966" xr:uid="{00000000-0005-0000-0000-00002C100000}"/>
    <cellStyle name="Millares 2 3 2 2 4 2 2 5" xfId="31404" xr:uid="{00000000-0005-0000-0000-00002D100000}"/>
    <cellStyle name="Millares 2 3 2 2 4 2 3" xfId="4036" xr:uid="{00000000-0005-0000-0000-00002E100000}"/>
    <cellStyle name="Millares 2 3 2 2 4 2 3 2" xfId="7647" xr:uid="{00000000-0005-0000-0000-00002F100000}"/>
    <cellStyle name="Millares 2 3 2 2 4 2 3 2 2" xfId="14436" xr:uid="{00000000-0005-0000-0000-000030100000}"/>
    <cellStyle name="Millares 2 3 2 2 4 2 3 2 2 2" xfId="28004" xr:uid="{00000000-0005-0000-0000-000031100000}"/>
    <cellStyle name="Millares 2 3 2 2 4 2 3 2 2 2 2" xfId="55137" xr:uid="{00000000-0005-0000-0000-000032100000}"/>
    <cellStyle name="Millares 2 3 2 2 4 2 3 2 2 3" xfId="41575" xr:uid="{00000000-0005-0000-0000-000033100000}"/>
    <cellStyle name="Millares 2 3 2 2 4 2 3 2 3" xfId="21223" xr:uid="{00000000-0005-0000-0000-000034100000}"/>
    <cellStyle name="Millares 2 3 2 2 4 2 3 2 3 2" xfId="48356" xr:uid="{00000000-0005-0000-0000-000035100000}"/>
    <cellStyle name="Millares 2 3 2 2 4 2 3 2 4" xfId="34794" xr:uid="{00000000-0005-0000-0000-000036100000}"/>
    <cellStyle name="Millares 2 3 2 2 4 2 3 3" xfId="11047" xr:uid="{00000000-0005-0000-0000-000037100000}"/>
    <cellStyle name="Millares 2 3 2 2 4 2 3 3 2" xfId="24615" xr:uid="{00000000-0005-0000-0000-000038100000}"/>
    <cellStyle name="Millares 2 3 2 2 4 2 3 3 2 2" xfId="51748" xr:uid="{00000000-0005-0000-0000-000039100000}"/>
    <cellStyle name="Millares 2 3 2 2 4 2 3 3 3" xfId="38186" xr:uid="{00000000-0005-0000-0000-00003A100000}"/>
    <cellStyle name="Millares 2 3 2 2 4 2 3 4" xfId="17834" xr:uid="{00000000-0005-0000-0000-00003B100000}"/>
    <cellStyle name="Millares 2 3 2 2 4 2 3 4 2" xfId="44967" xr:uid="{00000000-0005-0000-0000-00003C100000}"/>
    <cellStyle name="Millares 2 3 2 2 4 2 3 5" xfId="31405" xr:uid="{00000000-0005-0000-0000-00003D100000}"/>
    <cellStyle name="Millares 2 3 2 2 4 2 4" xfId="7645" xr:uid="{00000000-0005-0000-0000-00003E100000}"/>
    <cellStyle name="Millares 2 3 2 2 4 2 4 2" xfId="14434" xr:uid="{00000000-0005-0000-0000-00003F100000}"/>
    <cellStyle name="Millares 2 3 2 2 4 2 4 2 2" xfId="28002" xr:uid="{00000000-0005-0000-0000-000040100000}"/>
    <cellStyle name="Millares 2 3 2 2 4 2 4 2 2 2" xfId="55135" xr:uid="{00000000-0005-0000-0000-000041100000}"/>
    <cellStyle name="Millares 2 3 2 2 4 2 4 2 3" xfId="41573" xr:uid="{00000000-0005-0000-0000-000042100000}"/>
    <cellStyle name="Millares 2 3 2 2 4 2 4 3" xfId="21221" xr:uid="{00000000-0005-0000-0000-000043100000}"/>
    <cellStyle name="Millares 2 3 2 2 4 2 4 3 2" xfId="48354" xr:uid="{00000000-0005-0000-0000-000044100000}"/>
    <cellStyle name="Millares 2 3 2 2 4 2 4 4" xfId="34792" xr:uid="{00000000-0005-0000-0000-000045100000}"/>
    <cellStyle name="Millares 2 3 2 2 4 2 5" xfId="11045" xr:uid="{00000000-0005-0000-0000-000046100000}"/>
    <cellStyle name="Millares 2 3 2 2 4 2 5 2" xfId="24613" xr:uid="{00000000-0005-0000-0000-000047100000}"/>
    <cellStyle name="Millares 2 3 2 2 4 2 5 2 2" xfId="51746" xr:uid="{00000000-0005-0000-0000-000048100000}"/>
    <cellStyle name="Millares 2 3 2 2 4 2 5 3" xfId="38184" xr:uid="{00000000-0005-0000-0000-000049100000}"/>
    <cellStyle name="Millares 2 3 2 2 4 2 6" xfId="17832" xr:uid="{00000000-0005-0000-0000-00004A100000}"/>
    <cellStyle name="Millares 2 3 2 2 4 2 6 2" xfId="44965" xr:uid="{00000000-0005-0000-0000-00004B100000}"/>
    <cellStyle name="Millares 2 3 2 2 4 2 7" xfId="31403" xr:uid="{00000000-0005-0000-0000-00004C100000}"/>
    <cellStyle name="Millares 2 3 2 2 4 3" xfId="4037" xr:uid="{00000000-0005-0000-0000-00004D100000}"/>
    <cellStyle name="Millares 2 3 2 2 4 3 2" xfId="7648" xr:uid="{00000000-0005-0000-0000-00004E100000}"/>
    <cellStyle name="Millares 2 3 2 2 4 3 2 2" xfId="14437" xr:uid="{00000000-0005-0000-0000-00004F100000}"/>
    <cellStyle name="Millares 2 3 2 2 4 3 2 2 2" xfId="28005" xr:uid="{00000000-0005-0000-0000-000050100000}"/>
    <cellStyle name="Millares 2 3 2 2 4 3 2 2 2 2" xfId="55138" xr:uid="{00000000-0005-0000-0000-000051100000}"/>
    <cellStyle name="Millares 2 3 2 2 4 3 2 2 3" xfId="41576" xr:uid="{00000000-0005-0000-0000-000052100000}"/>
    <cellStyle name="Millares 2 3 2 2 4 3 2 3" xfId="21224" xr:uid="{00000000-0005-0000-0000-000053100000}"/>
    <cellStyle name="Millares 2 3 2 2 4 3 2 3 2" xfId="48357" xr:uid="{00000000-0005-0000-0000-000054100000}"/>
    <cellStyle name="Millares 2 3 2 2 4 3 2 4" xfId="34795" xr:uid="{00000000-0005-0000-0000-000055100000}"/>
    <cellStyle name="Millares 2 3 2 2 4 3 3" xfId="11048" xr:uid="{00000000-0005-0000-0000-000056100000}"/>
    <cellStyle name="Millares 2 3 2 2 4 3 3 2" xfId="24616" xr:uid="{00000000-0005-0000-0000-000057100000}"/>
    <cellStyle name="Millares 2 3 2 2 4 3 3 2 2" xfId="51749" xr:uid="{00000000-0005-0000-0000-000058100000}"/>
    <cellStyle name="Millares 2 3 2 2 4 3 3 3" xfId="38187" xr:uid="{00000000-0005-0000-0000-000059100000}"/>
    <cellStyle name="Millares 2 3 2 2 4 3 4" xfId="17835" xr:uid="{00000000-0005-0000-0000-00005A100000}"/>
    <cellStyle name="Millares 2 3 2 2 4 3 4 2" xfId="44968" xr:uid="{00000000-0005-0000-0000-00005B100000}"/>
    <cellStyle name="Millares 2 3 2 2 4 3 5" xfId="31406" xr:uid="{00000000-0005-0000-0000-00005C100000}"/>
    <cellStyle name="Millares 2 3 2 2 4 4" xfId="4038" xr:uid="{00000000-0005-0000-0000-00005D100000}"/>
    <cellStyle name="Millares 2 3 2 2 4 4 2" xfId="7649" xr:uid="{00000000-0005-0000-0000-00005E100000}"/>
    <cellStyle name="Millares 2 3 2 2 4 4 2 2" xfId="14438" xr:uid="{00000000-0005-0000-0000-00005F100000}"/>
    <cellStyle name="Millares 2 3 2 2 4 4 2 2 2" xfId="28006" xr:uid="{00000000-0005-0000-0000-000060100000}"/>
    <cellStyle name="Millares 2 3 2 2 4 4 2 2 2 2" xfId="55139" xr:uid="{00000000-0005-0000-0000-000061100000}"/>
    <cellStyle name="Millares 2 3 2 2 4 4 2 2 3" xfId="41577" xr:uid="{00000000-0005-0000-0000-000062100000}"/>
    <cellStyle name="Millares 2 3 2 2 4 4 2 3" xfId="21225" xr:uid="{00000000-0005-0000-0000-000063100000}"/>
    <cellStyle name="Millares 2 3 2 2 4 4 2 3 2" xfId="48358" xr:uid="{00000000-0005-0000-0000-000064100000}"/>
    <cellStyle name="Millares 2 3 2 2 4 4 2 4" xfId="34796" xr:uid="{00000000-0005-0000-0000-000065100000}"/>
    <cellStyle name="Millares 2 3 2 2 4 4 3" xfId="11049" xr:uid="{00000000-0005-0000-0000-000066100000}"/>
    <cellStyle name="Millares 2 3 2 2 4 4 3 2" xfId="24617" xr:uid="{00000000-0005-0000-0000-000067100000}"/>
    <cellStyle name="Millares 2 3 2 2 4 4 3 2 2" xfId="51750" xr:uid="{00000000-0005-0000-0000-000068100000}"/>
    <cellStyle name="Millares 2 3 2 2 4 4 3 3" xfId="38188" xr:uid="{00000000-0005-0000-0000-000069100000}"/>
    <cellStyle name="Millares 2 3 2 2 4 4 4" xfId="17836" xr:uid="{00000000-0005-0000-0000-00006A100000}"/>
    <cellStyle name="Millares 2 3 2 2 4 4 4 2" xfId="44969" xr:uid="{00000000-0005-0000-0000-00006B100000}"/>
    <cellStyle name="Millares 2 3 2 2 4 4 5" xfId="31407" xr:uid="{00000000-0005-0000-0000-00006C100000}"/>
    <cellStyle name="Millares 2 3 2 2 4 5" xfId="7644" xr:uid="{00000000-0005-0000-0000-00006D100000}"/>
    <cellStyle name="Millares 2 3 2 2 4 5 2" xfId="14433" xr:uid="{00000000-0005-0000-0000-00006E100000}"/>
    <cellStyle name="Millares 2 3 2 2 4 5 2 2" xfId="28001" xr:uid="{00000000-0005-0000-0000-00006F100000}"/>
    <cellStyle name="Millares 2 3 2 2 4 5 2 2 2" xfId="55134" xr:uid="{00000000-0005-0000-0000-000070100000}"/>
    <cellStyle name="Millares 2 3 2 2 4 5 2 3" xfId="41572" xr:uid="{00000000-0005-0000-0000-000071100000}"/>
    <cellStyle name="Millares 2 3 2 2 4 5 3" xfId="21220" xr:uid="{00000000-0005-0000-0000-000072100000}"/>
    <cellStyle name="Millares 2 3 2 2 4 5 3 2" xfId="48353" xr:uid="{00000000-0005-0000-0000-000073100000}"/>
    <cellStyle name="Millares 2 3 2 2 4 5 4" xfId="34791" xr:uid="{00000000-0005-0000-0000-000074100000}"/>
    <cellStyle name="Millares 2 3 2 2 4 6" xfId="11044" xr:uid="{00000000-0005-0000-0000-000075100000}"/>
    <cellStyle name="Millares 2 3 2 2 4 6 2" xfId="24612" xr:uid="{00000000-0005-0000-0000-000076100000}"/>
    <cellStyle name="Millares 2 3 2 2 4 6 2 2" xfId="51745" xr:uid="{00000000-0005-0000-0000-000077100000}"/>
    <cellStyle name="Millares 2 3 2 2 4 6 3" xfId="38183" xr:uid="{00000000-0005-0000-0000-000078100000}"/>
    <cellStyle name="Millares 2 3 2 2 4 7" xfId="17831" xr:uid="{00000000-0005-0000-0000-000079100000}"/>
    <cellStyle name="Millares 2 3 2 2 4 7 2" xfId="44964" xr:uid="{00000000-0005-0000-0000-00007A100000}"/>
    <cellStyle name="Millares 2 3 2 2 4 8" xfId="31402" xr:uid="{00000000-0005-0000-0000-00007B100000}"/>
    <cellStyle name="Millares 2 3 2 2 5" xfId="4039" xr:uid="{00000000-0005-0000-0000-00007C100000}"/>
    <cellStyle name="Millares 2 3 2 2 5 2" xfId="4040" xr:uid="{00000000-0005-0000-0000-00007D100000}"/>
    <cellStyle name="Millares 2 3 2 2 5 2 2" xfId="7651" xr:uid="{00000000-0005-0000-0000-00007E100000}"/>
    <cellStyle name="Millares 2 3 2 2 5 2 2 2" xfId="14440" xr:uid="{00000000-0005-0000-0000-00007F100000}"/>
    <cellStyle name="Millares 2 3 2 2 5 2 2 2 2" xfId="28008" xr:uid="{00000000-0005-0000-0000-000080100000}"/>
    <cellStyle name="Millares 2 3 2 2 5 2 2 2 2 2" xfId="55141" xr:uid="{00000000-0005-0000-0000-000081100000}"/>
    <cellStyle name="Millares 2 3 2 2 5 2 2 2 3" xfId="41579" xr:uid="{00000000-0005-0000-0000-000082100000}"/>
    <cellStyle name="Millares 2 3 2 2 5 2 2 3" xfId="21227" xr:uid="{00000000-0005-0000-0000-000083100000}"/>
    <cellStyle name="Millares 2 3 2 2 5 2 2 3 2" xfId="48360" xr:uid="{00000000-0005-0000-0000-000084100000}"/>
    <cellStyle name="Millares 2 3 2 2 5 2 2 4" xfId="34798" xr:uid="{00000000-0005-0000-0000-000085100000}"/>
    <cellStyle name="Millares 2 3 2 2 5 2 3" xfId="11051" xr:uid="{00000000-0005-0000-0000-000086100000}"/>
    <cellStyle name="Millares 2 3 2 2 5 2 3 2" xfId="24619" xr:uid="{00000000-0005-0000-0000-000087100000}"/>
    <cellStyle name="Millares 2 3 2 2 5 2 3 2 2" xfId="51752" xr:uid="{00000000-0005-0000-0000-000088100000}"/>
    <cellStyle name="Millares 2 3 2 2 5 2 3 3" xfId="38190" xr:uid="{00000000-0005-0000-0000-000089100000}"/>
    <cellStyle name="Millares 2 3 2 2 5 2 4" xfId="17838" xr:uid="{00000000-0005-0000-0000-00008A100000}"/>
    <cellStyle name="Millares 2 3 2 2 5 2 4 2" xfId="44971" xr:uid="{00000000-0005-0000-0000-00008B100000}"/>
    <cellStyle name="Millares 2 3 2 2 5 2 5" xfId="31409" xr:uid="{00000000-0005-0000-0000-00008C100000}"/>
    <cellStyle name="Millares 2 3 2 2 5 3" xfId="4041" xr:uid="{00000000-0005-0000-0000-00008D100000}"/>
    <cellStyle name="Millares 2 3 2 2 5 3 2" xfId="7652" xr:uid="{00000000-0005-0000-0000-00008E100000}"/>
    <cellStyle name="Millares 2 3 2 2 5 3 2 2" xfId="14441" xr:uid="{00000000-0005-0000-0000-00008F100000}"/>
    <cellStyle name="Millares 2 3 2 2 5 3 2 2 2" xfId="28009" xr:uid="{00000000-0005-0000-0000-000090100000}"/>
    <cellStyle name="Millares 2 3 2 2 5 3 2 2 2 2" xfId="55142" xr:uid="{00000000-0005-0000-0000-000091100000}"/>
    <cellStyle name="Millares 2 3 2 2 5 3 2 2 3" xfId="41580" xr:uid="{00000000-0005-0000-0000-000092100000}"/>
    <cellStyle name="Millares 2 3 2 2 5 3 2 3" xfId="21228" xr:uid="{00000000-0005-0000-0000-000093100000}"/>
    <cellStyle name="Millares 2 3 2 2 5 3 2 3 2" xfId="48361" xr:uid="{00000000-0005-0000-0000-000094100000}"/>
    <cellStyle name="Millares 2 3 2 2 5 3 2 4" xfId="34799" xr:uid="{00000000-0005-0000-0000-000095100000}"/>
    <cellStyle name="Millares 2 3 2 2 5 3 3" xfId="11052" xr:uid="{00000000-0005-0000-0000-000096100000}"/>
    <cellStyle name="Millares 2 3 2 2 5 3 3 2" xfId="24620" xr:uid="{00000000-0005-0000-0000-000097100000}"/>
    <cellStyle name="Millares 2 3 2 2 5 3 3 2 2" xfId="51753" xr:uid="{00000000-0005-0000-0000-000098100000}"/>
    <cellStyle name="Millares 2 3 2 2 5 3 3 3" xfId="38191" xr:uid="{00000000-0005-0000-0000-000099100000}"/>
    <cellStyle name="Millares 2 3 2 2 5 3 4" xfId="17839" xr:uid="{00000000-0005-0000-0000-00009A100000}"/>
    <cellStyle name="Millares 2 3 2 2 5 3 4 2" xfId="44972" xr:uid="{00000000-0005-0000-0000-00009B100000}"/>
    <cellStyle name="Millares 2 3 2 2 5 3 5" xfId="31410" xr:uid="{00000000-0005-0000-0000-00009C100000}"/>
    <cellStyle name="Millares 2 3 2 2 5 4" xfId="7650" xr:uid="{00000000-0005-0000-0000-00009D100000}"/>
    <cellStyle name="Millares 2 3 2 2 5 4 2" xfId="14439" xr:uid="{00000000-0005-0000-0000-00009E100000}"/>
    <cellStyle name="Millares 2 3 2 2 5 4 2 2" xfId="28007" xr:uid="{00000000-0005-0000-0000-00009F100000}"/>
    <cellStyle name="Millares 2 3 2 2 5 4 2 2 2" xfId="55140" xr:uid="{00000000-0005-0000-0000-0000A0100000}"/>
    <cellStyle name="Millares 2 3 2 2 5 4 2 3" xfId="41578" xr:uid="{00000000-0005-0000-0000-0000A1100000}"/>
    <cellStyle name="Millares 2 3 2 2 5 4 3" xfId="21226" xr:uid="{00000000-0005-0000-0000-0000A2100000}"/>
    <cellStyle name="Millares 2 3 2 2 5 4 3 2" xfId="48359" xr:uid="{00000000-0005-0000-0000-0000A3100000}"/>
    <cellStyle name="Millares 2 3 2 2 5 4 4" xfId="34797" xr:uid="{00000000-0005-0000-0000-0000A4100000}"/>
    <cellStyle name="Millares 2 3 2 2 5 5" xfId="11050" xr:uid="{00000000-0005-0000-0000-0000A5100000}"/>
    <cellStyle name="Millares 2 3 2 2 5 5 2" xfId="24618" xr:uid="{00000000-0005-0000-0000-0000A6100000}"/>
    <cellStyle name="Millares 2 3 2 2 5 5 2 2" xfId="51751" xr:uid="{00000000-0005-0000-0000-0000A7100000}"/>
    <cellStyle name="Millares 2 3 2 2 5 5 3" xfId="38189" xr:uid="{00000000-0005-0000-0000-0000A8100000}"/>
    <cellStyle name="Millares 2 3 2 2 5 6" xfId="17837" xr:uid="{00000000-0005-0000-0000-0000A9100000}"/>
    <cellStyle name="Millares 2 3 2 2 5 6 2" xfId="44970" xr:uid="{00000000-0005-0000-0000-0000AA100000}"/>
    <cellStyle name="Millares 2 3 2 2 5 7" xfId="31408" xr:uid="{00000000-0005-0000-0000-0000AB100000}"/>
    <cellStyle name="Millares 2 3 2 2 6" xfId="4042" xr:uid="{00000000-0005-0000-0000-0000AC100000}"/>
    <cellStyle name="Millares 2 3 2 2 6 2" xfId="4043" xr:uid="{00000000-0005-0000-0000-0000AD100000}"/>
    <cellStyle name="Millares 2 3 2 2 6 2 2" xfId="7654" xr:uid="{00000000-0005-0000-0000-0000AE100000}"/>
    <cellStyle name="Millares 2 3 2 2 6 2 2 2" xfId="14443" xr:uid="{00000000-0005-0000-0000-0000AF100000}"/>
    <cellStyle name="Millares 2 3 2 2 6 2 2 2 2" xfId="28011" xr:uid="{00000000-0005-0000-0000-0000B0100000}"/>
    <cellStyle name="Millares 2 3 2 2 6 2 2 2 2 2" xfId="55144" xr:uid="{00000000-0005-0000-0000-0000B1100000}"/>
    <cellStyle name="Millares 2 3 2 2 6 2 2 2 3" xfId="41582" xr:uid="{00000000-0005-0000-0000-0000B2100000}"/>
    <cellStyle name="Millares 2 3 2 2 6 2 2 3" xfId="21230" xr:uid="{00000000-0005-0000-0000-0000B3100000}"/>
    <cellStyle name="Millares 2 3 2 2 6 2 2 3 2" xfId="48363" xr:uid="{00000000-0005-0000-0000-0000B4100000}"/>
    <cellStyle name="Millares 2 3 2 2 6 2 2 4" xfId="34801" xr:uid="{00000000-0005-0000-0000-0000B5100000}"/>
    <cellStyle name="Millares 2 3 2 2 6 2 3" xfId="11054" xr:uid="{00000000-0005-0000-0000-0000B6100000}"/>
    <cellStyle name="Millares 2 3 2 2 6 2 3 2" xfId="24622" xr:uid="{00000000-0005-0000-0000-0000B7100000}"/>
    <cellStyle name="Millares 2 3 2 2 6 2 3 2 2" xfId="51755" xr:uid="{00000000-0005-0000-0000-0000B8100000}"/>
    <cellStyle name="Millares 2 3 2 2 6 2 3 3" xfId="38193" xr:uid="{00000000-0005-0000-0000-0000B9100000}"/>
    <cellStyle name="Millares 2 3 2 2 6 2 4" xfId="17841" xr:uid="{00000000-0005-0000-0000-0000BA100000}"/>
    <cellStyle name="Millares 2 3 2 2 6 2 4 2" xfId="44974" xr:uid="{00000000-0005-0000-0000-0000BB100000}"/>
    <cellStyle name="Millares 2 3 2 2 6 2 5" xfId="31412" xr:uid="{00000000-0005-0000-0000-0000BC100000}"/>
    <cellStyle name="Millares 2 3 2 2 6 3" xfId="4044" xr:uid="{00000000-0005-0000-0000-0000BD100000}"/>
    <cellStyle name="Millares 2 3 2 2 6 3 2" xfId="7655" xr:uid="{00000000-0005-0000-0000-0000BE100000}"/>
    <cellStyle name="Millares 2 3 2 2 6 3 2 2" xfId="14444" xr:uid="{00000000-0005-0000-0000-0000BF100000}"/>
    <cellStyle name="Millares 2 3 2 2 6 3 2 2 2" xfId="28012" xr:uid="{00000000-0005-0000-0000-0000C0100000}"/>
    <cellStyle name="Millares 2 3 2 2 6 3 2 2 2 2" xfId="55145" xr:uid="{00000000-0005-0000-0000-0000C1100000}"/>
    <cellStyle name="Millares 2 3 2 2 6 3 2 2 3" xfId="41583" xr:uid="{00000000-0005-0000-0000-0000C2100000}"/>
    <cellStyle name="Millares 2 3 2 2 6 3 2 3" xfId="21231" xr:uid="{00000000-0005-0000-0000-0000C3100000}"/>
    <cellStyle name="Millares 2 3 2 2 6 3 2 3 2" xfId="48364" xr:uid="{00000000-0005-0000-0000-0000C4100000}"/>
    <cellStyle name="Millares 2 3 2 2 6 3 2 4" xfId="34802" xr:uid="{00000000-0005-0000-0000-0000C5100000}"/>
    <cellStyle name="Millares 2 3 2 2 6 3 3" xfId="11055" xr:uid="{00000000-0005-0000-0000-0000C6100000}"/>
    <cellStyle name="Millares 2 3 2 2 6 3 3 2" xfId="24623" xr:uid="{00000000-0005-0000-0000-0000C7100000}"/>
    <cellStyle name="Millares 2 3 2 2 6 3 3 2 2" xfId="51756" xr:uid="{00000000-0005-0000-0000-0000C8100000}"/>
    <cellStyle name="Millares 2 3 2 2 6 3 3 3" xfId="38194" xr:uid="{00000000-0005-0000-0000-0000C9100000}"/>
    <cellStyle name="Millares 2 3 2 2 6 3 4" xfId="17842" xr:uid="{00000000-0005-0000-0000-0000CA100000}"/>
    <cellStyle name="Millares 2 3 2 2 6 3 4 2" xfId="44975" xr:uid="{00000000-0005-0000-0000-0000CB100000}"/>
    <cellStyle name="Millares 2 3 2 2 6 3 5" xfId="31413" xr:uid="{00000000-0005-0000-0000-0000CC100000}"/>
    <cellStyle name="Millares 2 3 2 2 6 4" xfId="7653" xr:uid="{00000000-0005-0000-0000-0000CD100000}"/>
    <cellStyle name="Millares 2 3 2 2 6 4 2" xfId="14442" xr:uid="{00000000-0005-0000-0000-0000CE100000}"/>
    <cellStyle name="Millares 2 3 2 2 6 4 2 2" xfId="28010" xr:uid="{00000000-0005-0000-0000-0000CF100000}"/>
    <cellStyle name="Millares 2 3 2 2 6 4 2 2 2" xfId="55143" xr:uid="{00000000-0005-0000-0000-0000D0100000}"/>
    <cellStyle name="Millares 2 3 2 2 6 4 2 3" xfId="41581" xr:uid="{00000000-0005-0000-0000-0000D1100000}"/>
    <cellStyle name="Millares 2 3 2 2 6 4 3" xfId="21229" xr:uid="{00000000-0005-0000-0000-0000D2100000}"/>
    <cellStyle name="Millares 2 3 2 2 6 4 3 2" xfId="48362" xr:uid="{00000000-0005-0000-0000-0000D3100000}"/>
    <cellStyle name="Millares 2 3 2 2 6 4 4" xfId="34800" xr:uid="{00000000-0005-0000-0000-0000D4100000}"/>
    <cellStyle name="Millares 2 3 2 2 6 5" xfId="11053" xr:uid="{00000000-0005-0000-0000-0000D5100000}"/>
    <cellStyle name="Millares 2 3 2 2 6 5 2" xfId="24621" xr:uid="{00000000-0005-0000-0000-0000D6100000}"/>
    <cellStyle name="Millares 2 3 2 2 6 5 2 2" xfId="51754" xr:uid="{00000000-0005-0000-0000-0000D7100000}"/>
    <cellStyle name="Millares 2 3 2 2 6 5 3" xfId="38192" xr:uid="{00000000-0005-0000-0000-0000D8100000}"/>
    <cellStyle name="Millares 2 3 2 2 6 6" xfId="17840" xr:uid="{00000000-0005-0000-0000-0000D9100000}"/>
    <cellStyle name="Millares 2 3 2 2 6 6 2" xfId="44973" xr:uid="{00000000-0005-0000-0000-0000DA100000}"/>
    <cellStyle name="Millares 2 3 2 2 6 7" xfId="31411" xr:uid="{00000000-0005-0000-0000-0000DB100000}"/>
    <cellStyle name="Millares 2 3 2 2 7" xfId="4045" xr:uid="{00000000-0005-0000-0000-0000DC100000}"/>
    <cellStyle name="Millares 2 3 2 2 7 2" xfId="7656" xr:uid="{00000000-0005-0000-0000-0000DD100000}"/>
    <cellStyle name="Millares 2 3 2 2 7 2 2" xfId="14445" xr:uid="{00000000-0005-0000-0000-0000DE100000}"/>
    <cellStyle name="Millares 2 3 2 2 7 2 2 2" xfId="28013" xr:uid="{00000000-0005-0000-0000-0000DF100000}"/>
    <cellStyle name="Millares 2 3 2 2 7 2 2 2 2" xfId="55146" xr:uid="{00000000-0005-0000-0000-0000E0100000}"/>
    <cellStyle name="Millares 2 3 2 2 7 2 2 3" xfId="41584" xr:uid="{00000000-0005-0000-0000-0000E1100000}"/>
    <cellStyle name="Millares 2 3 2 2 7 2 3" xfId="21232" xr:uid="{00000000-0005-0000-0000-0000E2100000}"/>
    <cellStyle name="Millares 2 3 2 2 7 2 3 2" xfId="48365" xr:uid="{00000000-0005-0000-0000-0000E3100000}"/>
    <cellStyle name="Millares 2 3 2 2 7 2 4" xfId="34803" xr:uid="{00000000-0005-0000-0000-0000E4100000}"/>
    <cellStyle name="Millares 2 3 2 2 7 3" xfId="11056" xr:uid="{00000000-0005-0000-0000-0000E5100000}"/>
    <cellStyle name="Millares 2 3 2 2 7 3 2" xfId="24624" xr:uid="{00000000-0005-0000-0000-0000E6100000}"/>
    <cellStyle name="Millares 2 3 2 2 7 3 2 2" xfId="51757" xr:uid="{00000000-0005-0000-0000-0000E7100000}"/>
    <cellStyle name="Millares 2 3 2 2 7 3 3" xfId="38195" xr:uid="{00000000-0005-0000-0000-0000E8100000}"/>
    <cellStyle name="Millares 2 3 2 2 7 4" xfId="17843" xr:uid="{00000000-0005-0000-0000-0000E9100000}"/>
    <cellStyle name="Millares 2 3 2 2 7 4 2" xfId="44976" xr:uid="{00000000-0005-0000-0000-0000EA100000}"/>
    <cellStyle name="Millares 2 3 2 2 7 5" xfId="31414" xr:uid="{00000000-0005-0000-0000-0000EB100000}"/>
    <cellStyle name="Millares 2 3 2 2 8" xfId="4046" xr:uid="{00000000-0005-0000-0000-0000EC100000}"/>
    <cellStyle name="Millares 2 3 2 2 8 2" xfId="7657" xr:uid="{00000000-0005-0000-0000-0000ED100000}"/>
    <cellStyle name="Millares 2 3 2 2 8 2 2" xfId="14446" xr:uid="{00000000-0005-0000-0000-0000EE100000}"/>
    <cellStyle name="Millares 2 3 2 2 8 2 2 2" xfId="28014" xr:uid="{00000000-0005-0000-0000-0000EF100000}"/>
    <cellStyle name="Millares 2 3 2 2 8 2 2 2 2" xfId="55147" xr:uid="{00000000-0005-0000-0000-0000F0100000}"/>
    <cellStyle name="Millares 2 3 2 2 8 2 2 3" xfId="41585" xr:uid="{00000000-0005-0000-0000-0000F1100000}"/>
    <cellStyle name="Millares 2 3 2 2 8 2 3" xfId="21233" xr:uid="{00000000-0005-0000-0000-0000F2100000}"/>
    <cellStyle name="Millares 2 3 2 2 8 2 3 2" xfId="48366" xr:uid="{00000000-0005-0000-0000-0000F3100000}"/>
    <cellStyle name="Millares 2 3 2 2 8 2 4" xfId="34804" xr:uid="{00000000-0005-0000-0000-0000F4100000}"/>
    <cellStyle name="Millares 2 3 2 2 8 3" xfId="11057" xr:uid="{00000000-0005-0000-0000-0000F5100000}"/>
    <cellStyle name="Millares 2 3 2 2 8 3 2" xfId="24625" xr:uid="{00000000-0005-0000-0000-0000F6100000}"/>
    <cellStyle name="Millares 2 3 2 2 8 3 2 2" xfId="51758" xr:uid="{00000000-0005-0000-0000-0000F7100000}"/>
    <cellStyle name="Millares 2 3 2 2 8 3 3" xfId="38196" xr:uid="{00000000-0005-0000-0000-0000F8100000}"/>
    <cellStyle name="Millares 2 3 2 2 8 4" xfId="17844" xr:uid="{00000000-0005-0000-0000-0000F9100000}"/>
    <cellStyle name="Millares 2 3 2 2 8 4 2" xfId="44977" xr:uid="{00000000-0005-0000-0000-0000FA100000}"/>
    <cellStyle name="Millares 2 3 2 2 8 5" xfId="31415" xr:uid="{00000000-0005-0000-0000-0000FB100000}"/>
    <cellStyle name="Millares 2 3 2 2 9" xfId="7619" xr:uid="{00000000-0005-0000-0000-0000FC100000}"/>
    <cellStyle name="Millares 2 3 2 2 9 2" xfId="14408" xr:uid="{00000000-0005-0000-0000-0000FD100000}"/>
    <cellStyle name="Millares 2 3 2 2 9 2 2" xfId="27976" xr:uid="{00000000-0005-0000-0000-0000FE100000}"/>
    <cellStyle name="Millares 2 3 2 2 9 2 2 2" xfId="55109" xr:uid="{00000000-0005-0000-0000-0000FF100000}"/>
    <cellStyle name="Millares 2 3 2 2 9 2 3" xfId="41547" xr:uid="{00000000-0005-0000-0000-000000110000}"/>
    <cellStyle name="Millares 2 3 2 2 9 3" xfId="21195" xr:uid="{00000000-0005-0000-0000-000001110000}"/>
    <cellStyle name="Millares 2 3 2 2 9 3 2" xfId="48328" xr:uid="{00000000-0005-0000-0000-000002110000}"/>
    <cellStyle name="Millares 2 3 2 2 9 4" xfId="34766" xr:uid="{00000000-0005-0000-0000-000003110000}"/>
    <cellStyle name="Millares 2 3 2 3" xfId="4047" xr:uid="{00000000-0005-0000-0000-000004110000}"/>
    <cellStyle name="Millares 2 3 2 3 10" xfId="31416" xr:uid="{00000000-0005-0000-0000-000005110000}"/>
    <cellStyle name="Millares 2 3 2 3 2" xfId="4048" xr:uid="{00000000-0005-0000-0000-000006110000}"/>
    <cellStyle name="Millares 2 3 2 3 2 2" xfId="4049" xr:uid="{00000000-0005-0000-0000-000007110000}"/>
    <cellStyle name="Millares 2 3 2 3 2 2 2" xfId="4050" xr:uid="{00000000-0005-0000-0000-000008110000}"/>
    <cellStyle name="Millares 2 3 2 3 2 2 2 2" xfId="7661" xr:uid="{00000000-0005-0000-0000-000009110000}"/>
    <cellStyle name="Millares 2 3 2 3 2 2 2 2 2" xfId="14450" xr:uid="{00000000-0005-0000-0000-00000A110000}"/>
    <cellStyle name="Millares 2 3 2 3 2 2 2 2 2 2" xfId="28018" xr:uid="{00000000-0005-0000-0000-00000B110000}"/>
    <cellStyle name="Millares 2 3 2 3 2 2 2 2 2 2 2" xfId="55151" xr:uid="{00000000-0005-0000-0000-00000C110000}"/>
    <cellStyle name="Millares 2 3 2 3 2 2 2 2 2 3" xfId="41589" xr:uid="{00000000-0005-0000-0000-00000D110000}"/>
    <cellStyle name="Millares 2 3 2 3 2 2 2 2 3" xfId="21237" xr:uid="{00000000-0005-0000-0000-00000E110000}"/>
    <cellStyle name="Millares 2 3 2 3 2 2 2 2 3 2" xfId="48370" xr:uid="{00000000-0005-0000-0000-00000F110000}"/>
    <cellStyle name="Millares 2 3 2 3 2 2 2 2 4" xfId="34808" xr:uid="{00000000-0005-0000-0000-000010110000}"/>
    <cellStyle name="Millares 2 3 2 3 2 2 2 3" xfId="11061" xr:uid="{00000000-0005-0000-0000-000011110000}"/>
    <cellStyle name="Millares 2 3 2 3 2 2 2 3 2" xfId="24629" xr:uid="{00000000-0005-0000-0000-000012110000}"/>
    <cellStyle name="Millares 2 3 2 3 2 2 2 3 2 2" xfId="51762" xr:uid="{00000000-0005-0000-0000-000013110000}"/>
    <cellStyle name="Millares 2 3 2 3 2 2 2 3 3" xfId="38200" xr:uid="{00000000-0005-0000-0000-000014110000}"/>
    <cellStyle name="Millares 2 3 2 3 2 2 2 4" xfId="17848" xr:uid="{00000000-0005-0000-0000-000015110000}"/>
    <cellStyle name="Millares 2 3 2 3 2 2 2 4 2" xfId="44981" xr:uid="{00000000-0005-0000-0000-000016110000}"/>
    <cellStyle name="Millares 2 3 2 3 2 2 2 5" xfId="31419" xr:uid="{00000000-0005-0000-0000-000017110000}"/>
    <cellStyle name="Millares 2 3 2 3 2 2 3" xfId="4051" xr:uid="{00000000-0005-0000-0000-000018110000}"/>
    <cellStyle name="Millares 2 3 2 3 2 2 3 2" xfId="7662" xr:uid="{00000000-0005-0000-0000-000019110000}"/>
    <cellStyle name="Millares 2 3 2 3 2 2 3 2 2" xfId="14451" xr:uid="{00000000-0005-0000-0000-00001A110000}"/>
    <cellStyle name="Millares 2 3 2 3 2 2 3 2 2 2" xfId="28019" xr:uid="{00000000-0005-0000-0000-00001B110000}"/>
    <cellStyle name="Millares 2 3 2 3 2 2 3 2 2 2 2" xfId="55152" xr:uid="{00000000-0005-0000-0000-00001C110000}"/>
    <cellStyle name="Millares 2 3 2 3 2 2 3 2 2 3" xfId="41590" xr:uid="{00000000-0005-0000-0000-00001D110000}"/>
    <cellStyle name="Millares 2 3 2 3 2 2 3 2 3" xfId="21238" xr:uid="{00000000-0005-0000-0000-00001E110000}"/>
    <cellStyle name="Millares 2 3 2 3 2 2 3 2 3 2" xfId="48371" xr:uid="{00000000-0005-0000-0000-00001F110000}"/>
    <cellStyle name="Millares 2 3 2 3 2 2 3 2 4" xfId="34809" xr:uid="{00000000-0005-0000-0000-000020110000}"/>
    <cellStyle name="Millares 2 3 2 3 2 2 3 3" xfId="11062" xr:uid="{00000000-0005-0000-0000-000021110000}"/>
    <cellStyle name="Millares 2 3 2 3 2 2 3 3 2" xfId="24630" xr:uid="{00000000-0005-0000-0000-000022110000}"/>
    <cellStyle name="Millares 2 3 2 3 2 2 3 3 2 2" xfId="51763" xr:uid="{00000000-0005-0000-0000-000023110000}"/>
    <cellStyle name="Millares 2 3 2 3 2 2 3 3 3" xfId="38201" xr:uid="{00000000-0005-0000-0000-000024110000}"/>
    <cellStyle name="Millares 2 3 2 3 2 2 3 4" xfId="17849" xr:uid="{00000000-0005-0000-0000-000025110000}"/>
    <cellStyle name="Millares 2 3 2 3 2 2 3 4 2" xfId="44982" xr:uid="{00000000-0005-0000-0000-000026110000}"/>
    <cellStyle name="Millares 2 3 2 3 2 2 3 5" xfId="31420" xr:uid="{00000000-0005-0000-0000-000027110000}"/>
    <cellStyle name="Millares 2 3 2 3 2 2 4" xfId="7660" xr:uid="{00000000-0005-0000-0000-000028110000}"/>
    <cellStyle name="Millares 2 3 2 3 2 2 4 2" xfId="14449" xr:uid="{00000000-0005-0000-0000-000029110000}"/>
    <cellStyle name="Millares 2 3 2 3 2 2 4 2 2" xfId="28017" xr:uid="{00000000-0005-0000-0000-00002A110000}"/>
    <cellStyle name="Millares 2 3 2 3 2 2 4 2 2 2" xfId="55150" xr:uid="{00000000-0005-0000-0000-00002B110000}"/>
    <cellStyle name="Millares 2 3 2 3 2 2 4 2 3" xfId="41588" xr:uid="{00000000-0005-0000-0000-00002C110000}"/>
    <cellStyle name="Millares 2 3 2 3 2 2 4 3" xfId="21236" xr:uid="{00000000-0005-0000-0000-00002D110000}"/>
    <cellStyle name="Millares 2 3 2 3 2 2 4 3 2" xfId="48369" xr:uid="{00000000-0005-0000-0000-00002E110000}"/>
    <cellStyle name="Millares 2 3 2 3 2 2 4 4" xfId="34807" xr:uid="{00000000-0005-0000-0000-00002F110000}"/>
    <cellStyle name="Millares 2 3 2 3 2 2 5" xfId="11060" xr:uid="{00000000-0005-0000-0000-000030110000}"/>
    <cellStyle name="Millares 2 3 2 3 2 2 5 2" xfId="24628" xr:uid="{00000000-0005-0000-0000-000031110000}"/>
    <cellStyle name="Millares 2 3 2 3 2 2 5 2 2" xfId="51761" xr:uid="{00000000-0005-0000-0000-000032110000}"/>
    <cellStyle name="Millares 2 3 2 3 2 2 5 3" xfId="38199" xr:uid="{00000000-0005-0000-0000-000033110000}"/>
    <cellStyle name="Millares 2 3 2 3 2 2 6" xfId="17847" xr:uid="{00000000-0005-0000-0000-000034110000}"/>
    <cellStyle name="Millares 2 3 2 3 2 2 6 2" xfId="44980" xr:uid="{00000000-0005-0000-0000-000035110000}"/>
    <cellStyle name="Millares 2 3 2 3 2 2 7" xfId="31418" xr:uid="{00000000-0005-0000-0000-000036110000}"/>
    <cellStyle name="Millares 2 3 2 3 2 3" xfId="4052" xr:uid="{00000000-0005-0000-0000-000037110000}"/>
    <cellStyle name="Millares 2 3 2 3 2 3 2" xfId="4053" xr:uid="{00000000-0005-0000-0000-000038110000}"/>
    <cellStyle name="Millares 2 3 2 3 2 3 2 2" xfId="7664" xr:uid="{00000000-0005-0000-0000-000039110000}"/>
    <cellStyle name="Millares 2 3 2 3 2 3 2 2 2" xfId="14453" xr:uid="{00000000-0005-0000-0000-00003A110000}"/>
    <cellStyle name="Millares 2 3 2 3 2 3 2 2 2 2" xfId="28021" xr:uid="{00000000-0005-0000-0000-00003B110000}"/>
    <cellStyle name="Millares 2 3 2 3 2 3 2 2 2 2 2" xfId="55154" xr:uid="{00000000-0005-0000-0000-00003C110000}"/>
    <cellStyle name="Millares 2 3 2 3 2 3 2 2 2 3" xfId="41592" xr:uid="{00000000-0005-0000-0000-00003D110000}"/>
    <cellStyle name="Millares 2 3 2 3 2 3 2 2 3" xfId="21240" xr:uid="{00000000-0005-0000-0000-00003E110000}"/>
    <cellStyle name="Millares 2 3 2 3 2 3 2 2 3 2" xfId="48373" xr:uid="{00000000-0005-0000-0000-00003F110000}"/>
    <cellStyle name="Millares 2 3 2 3 2 3 2 2 4" xfId="34811" xr:uid="{00000000-0005-0000-0000-000040110000}"/>
    <cellStyle name="Millares 2 3 2 3 2 3 2 3" xfId="11064" xr:uid="{00000000-0005-0000-0000-000041110000}"/>
    <cellStyle name="Millares 2 3 2 3 2 3 2 3 2" xfId="24632" xr:uid="{00000000-0005-0000-0000-000042110000}"/>
    <cellStyle name="Millares 2 3 2 3 2 3 2 3 2 2" xfId="51765" xr:uid="{00000000-0005-0000-0000-000043110000}"/>
    <cellStyle name="Millares 2 3 2 3 2 3 2 3 3" xfId="38203" xr:uid="{00000000-0005-0000-0000-000044110000}"/>
    <cellStyle name="Millares 2 3 2 3 2 3 2 4" xfId="17851" xr:uid="{00000000-0005-0000-0000-000045110000}"/>
    <cellStyle name="Millares 2 3 2 3 2 3 2 4 2" xfId="44984" xr:uid="{00000000-0005-0000-0000-000046110000}"/>
    <cellStyle name="Millares 2 3 2 3 2 3 2 5" xfId="31422" xr:uid="{00000000-0005-0000-0000-000047110000}"/>
    <cellStyle name="Millares 2 3 2 3 2 3 3" xfId="7663" xr:uid="{00000000-0005-0000-0000-000048110000}"/>
    <cellStyle name="Millares 2 3 2 3 2 3 3 2" xfId="14452" xr:uid="{00000000-0005-0000-0000-000049110000}"/>
    <cellStyle name="Millares 2 3 2 3 2 3 3 2 2" xfId="28020" xr:uid="{00000000-0005-0000-0000-00004A110000}"/>
    <cellStyle name="Millares 2 3 2 3 2 3 3 2 2 2" xfId="55153" xr:uid="{00000000-0005-0000-0000-00004B110000}"/>
    <cellStyle name="Millares 2 3 2 3 2 3 3 2 3" xfId="41591" xr:uid="{00000000-0005-0000-0000-00004C110000}"/>
    <cellStyle name="Millares 2 3 2 3 2 3 3 3" xfId="21239" xr:uid="{00000000-0005-0000-0000-00004D110000}"/>
    <cellStyle name="Millares 2 3 2 3 2 3 3 3 2" xfId="48372" xr:uid="{00000000-0005-0000-0000-00004E110000}"/>
    <cellStyle name="Millares 2 3 2 3 2 3 3 4" xfId="34810" xr:uid="{00000000-0005-0000-0000-00004F110000}"/>
    <cellStyle name="Millares 2 3 2 3 2 3 4" xfId="11063" xr:uid="{00000000-0005-0000-0000-000050110000}"/>
    <cellStyle name="Millares 2 3 2 3 2 3 4 2" xfId="24631" xr:uid="{00000000-0005-0000-0000-000051110000}"/>
    <cellStyle name="Millares 2 3 2 3 2 3 4 2 2" xfId="51764" xr:uid="{00000000-0005-0000-0000-000052110000}"/>
    <cellStyle name="Millares 2 3 2 3 2 3 4 3" xfId="38202" xr:uid="{00000000-0005-0000-0000-000053110000}"/>
    <cellStyle name="Millares 2 3 2 3 2 3 5" xfId="17850" xr:uid="{00000000-0005-0000-0000-000054110000}"/>
    <cellStyle name="Millares 2 3 2 3 2 3 5 2" xfId="44983" xr:uid="{00000000-0005-0000-0000-000055110000}"/>
    <cellStyle name="Millares 2 3 2 3 2 3 6" xfId="31421" xr:uid="{00000000-0005-0000-0000-000056110000}"/>
    <cellStyle name="Millares 2 3 2 3 2 4" xfId="4054" xr:uid="{00000000-0005-0000-0000-000057110000}"/>
    <cellStyle name="Millares 2 3 2 3 2 4 2" xfId="7665" xr:uid="{00000000-0005-0000-0000-000058110000}"/>
    <cellStyle name="Millares 2 3 2 3 2 4 2 2" xfId="14454" xr:uid="{00000000-0005-0000-0000-000059110000}"/>
    <cellStyle name="Millares 2 3 2 3 2 4 2 2 2" xfId="28022" xr:uid="{00000000-0005-0000-0000-00005A110000}"/>
    <cellStyle name="Millares 2 3 2 3 2 4 2 2 2 2" xfId="55155" xr:uid="{00000000-0005-0000-0000-00005B110000}"/>
    <cellStyle name="Millares 2 3 2 3 2 4 2 2 3" xfId="41593" xr:uid="{00000000-0005-0000-0000-00005C110000}"/>
    <cellStyle name="Millares 2 3 2 3 2 4 2 3" xfId="21241" xr:uid="{00000000-0005-0000-0000-00005D110000}"/>
    <cellStyle name="Millares 2 3 2 3 2 4 2 3 2" xfId="48374" xr:uid="{00000000-0005-0000-0000-00005E110000}"/>
    <cellStyle name="Millares 2 3 2 3 2 4 2 4" xfId="34812" xr:uid="{00000000-0005-0000-0000-00005F110000}"/>
    <cellStyle name="Millares 2 3 2 3 2 4 3" xfId="11065" xr:uid="{00000000-0005-0000-0000-000060110000}"/>
    <cellStyle name="Millares 2 3 2 3 2 4 3 2" xfId="24633" xr:uid="{00000000-0005-0000-0000-000061110000}"/>
    <cellStyle name="Millares 2 3 2 3 2 4 3 2 2" xfId="51766" xr:uid="{00000000-0005-0000-0000-000062110000}"/>
    <cellStyle name="Millares 2 3 2 3 2 4 3 3" xfId="38204" xr:uid="{00000000-0005-0000-0000-000063110000}"/>
    <cellStyle name="Millares 2 3 2 3 2 4 4" xfId="17852" xr:uid="{00000000-0005-0000-0000-000064110000}"/>
    <cellStyle name="Millares 2 3 2 3 2 4 4 2" xfId="44985" xr:uid="{00000000-0005-0000-0000-000065110000}"/>
    <cellStyle name="Millares 2 3 2 3 2 4 5" xfId="31423" xr:uid="{00000000-0005-0000-0000-000066110000}"/>
    <cellStyle name="Millares 2 3 2 3 2 5" xfId="4055" xr:uid="{00000000-0005-0000-0000-000067110000}"/>
    <cellStyle name="Millares 2 3 2 3 2 5 2" xfId="7666" xr:uid="{00000000-0005-0000-0000-000068110000}"/>
    <cellStyle name="Millares 2 3 2 3 2 5 2 2" xfId="14455" xr:uid="{00000000-0005-0000-0000-000069110000}"/>
    <cellStyle name="Millares 2 3 2 3 2 5 2 2 2" xfId="28023" xr:uid="{00000000-0005-0000-0000-00006A110000}"/>
    <cellStyle name="Millares 2 3 2 3 2 5 2 2 2 2" xfId="55156" xr:uid="{00000000-0005-0000-0000-00006B110000}"/>
    <cellStyle name="Millares 2 3 2 3 2 5 2 2 3" xfId="41594" xr:uid="{00000000-0005-0000-0000-00006C110000}"/>
    <cellStyle name="Millares 2 3 2 3 2 5 2 3" xfId="21242" xr:uid="{00000000-0005-0000-0000-00006D110000}"/>
    <cellStyle name="Millares 2 3 2 3 2 5 2 3 2" xfId="48375" xr:uid="{00000000-0005-0000-0000-00006E110000}"/>
    <cellStyle name="Millares 2 3 2 3 2 5 2 4" xfId="34813" xr:uid="{00000000-0005-0000-0000-00006F110000}"/>
    <cellStyle name="Millares 2 3 2 3 2 5 3" xfId="11066" xr:uid="{00000000-0005-0000-0000-000070110000}"/>
    <cellStyle name="Millares 2 3 2 3 2 5 3 2" xfId="24634" xr:uid="{00000000-0005-0000-0000-000071110000}"/>
    <cellStyle name="Millares 2 3 2 3 2 5 3 2 2" xfId="51767" xr:uid="{00000000-0005-0000-0000-000072110000}"/>
    <cellStyle name="Millares 2 3 2 3 2 5 3 3" xfId="38205" xr:uid="{00000000-0005-0000-0000-000073110000}"/>
    <cellStyle name="Millares 2 3 2 3 2 5 4" xfId="17853" xr:uid="{00000000-0005-0000-0000-000074110000}"/>
    <cellStyle name="Millares 2 3 2 3 2 5 4 2" xfId="44986" xr:uid="{00000000-0005-0000-0000-000075110000}"/>
    <cellStyle name="Millares 2 3 2 3 2 5 5" xfId="31424" xr:uid="{00000000-0005-0000-0000-000076110000}"/>
    <cellStyle name="Millares 2 3 2 3 2 6" xfId="7659" xr:uid="{00000000-0005-0000-0000-000077110000}"/>
    <cellStyle name="Millares 2 3 2 3 2 6 2" xfId="14448" xr:uid="{00000000-0005-0000-0000-000078110000}"/>
    <cellStyle name="Millares 2 3 2 3 2 6 2 2" xfId="28016" xr:uid="{00000000-0005-0000-0000-000079110000}"/>
    <cellStyle name="Millares 2 3 2 3 2 6 2 2 2" xfId="55149" xr:uid="{00000000-0005-0000-0000-00007A110000}"/>
    <cellStyle name="Millares 2 3 2 3 2 6 2 3" xfId="41587" xr:uid="{00000000-0005-0000-0000-00007B110000}"/>
    <cellStyle name="Millares 2 3 2 3 2 6 3" xfId="21235" xr:uid="{00000000-0005-0000-0000-00007C110000}"/>
    <cellStyle name="Millares 2 3 2 3 2 6 3 2" xfId="48368" xr:uid="{00000000-0005-0000-0000-00007D110000}"/>
    <cellStyle name="Millares 2 3 2 3 2 6 4" xfId="34806" xr:uid="{00000000-0005-0000-0000-00007E110000}"/>
    <cellStyle name="Millares 2 3 2 3 2 7" xfId="11059" xr:uid="{00000000-0005-0000-0000-00007F110000}"/>
    <cellStyle name="Millares 2 3 2 3 2 7 2" xfId="24627" xr:uid="{00000000-0005-0000-0000-000080110000}"/>
    <cellStyle name="Millares 2 3 2 3 2 7 2 2" xfId="51760" xr:uid="{00000000-0005-0000-0000-000081110000}"/>
    <cellStyle name="Millares 2 3 2 3 2 7 3" xfId="38198" xr:uid="{00000000-0005-0000-0000-000082110000}"/>
    <cellStyle name="Millares 2 3 2 3 2 8" xfId="17846" xr:uid="{00000000-0005-0000-0000-000083110000}"/>
    <cellStyle name="Millares 2 3 2 3 2 8 2" xfId="44979" xr:uid="{00000000-0005-0000-0000-000084110000}"/>
    <cellStyle name="Millares 2 3 2 3 2 9" xfId="31417" xr:uid="{00000000-0005-0000-0000-000085110000}"/>
    <cellStyle name="Millares 2 3 2 3 3" xfId="4056" xr:uid="{00000000-0005-0000-0000-000086110000}"/>
    <cellStyle name="Millares 2 3 2 3 3 2" xfId="4057" xr:uid="{00000000-0005-0000-0000-000087110000}"/>
    <cellStyle name="Millares 2 3 2 3 3 2 2" xfId="7668" xr:uid="{00000000-0005-0000-0000-000088110000}"/>
    <cellStyle name="Millares 2 3 2 3 3 2 2 2" xfId="14457" xr:uid="{00000000-0005-0000-0000-000089110000}"/>
    <cellStyle name="Millares 2 3 2 3 3 2 2 2 2" xfId="28025" xr:uid="{00000000-0005-0000-0000-00008A110000}"/>
    <cellStyle name="Millares 2 3 2 3 3 2 2 2 2 2" xfId="55158" xr:uid="{00000000-0005-0000-0000-00008B110000}"/>
    <cellStyle name="Millares 2 3 2 3 3 2 2 2 3" xfId="41596" xr:uid="{00000000-0005-0000-0000-00008C110000}"/>
    <cellStyle name="Millares 2 3 2 3 3 2 2 3" xfId="21244" xr:uid="{00000000-0005-0000-0000-00008D110000}"/>
    <cellStyle name="Millares 2 3 2 3 3 2 2 3 2" xfId="48377" xr:uid="{00000000-0005-0000-0000-00008E110000}"/>
    <cellStyle name="Millares 2 3 2 3 3 2 2 4" xfId="34815" xr:uid="{00000000-0005-0000-0000-00008F110000}"/>
    <cellStyle name="Millares 2 3 2 3 3 2 3" xfId="11068" xr:uid="{00000000-0005-0000-0000-000090110000}"/>
    <cellStyle name="Millares 2 3 2 3 3 2 3 2" xfId="24636" xr:uid="{00000000-0005-0000-0000-000091110000}"/>
    <cellStyle name="Millares 2 3 2 3 3 2 3 2 2" xfId="51769" xr:uid="{00000000-0005-0000-0000-000092110000}"/>
    <cellStyle name="Millares 2 3 2 3 3 2 3 3" xfId="38207" xr:uid="{00000000-0005-0000-0000-000093110000}"/>
    <cellStyle name="Millares 2 3 2 3 3 2 4" xfId="17855" xr:uid="{00000000-0005-0000-0000-000094110000}"/>
    <cellStyle name="Millares 2 3 2 3 3 2 4 2" xfId="44988" xr:uid="{00000000-0005-0000-0000-000095110000}"/>
    <cellStyle name="Millares 2 3 2 3 3 2 5" xfId="31426" xr:uid="{00000000-0005-0000-0000-000096110000}"/>
    <cellStyle name="Millares 2 3 2 3 3 3" xfId="4058" xr:uid="{00000000-0005-0000-0000-000097110000}"/>
    <cellStyle name="Millares 2 3 2 3 3 3 2" xfId="7669" xr:uid="{00000000-0005-0000-0000-000098110000}"/>
    <cellStyle name="Millares 2 3 2 3 3 3 2 2" xfId="14458" xr:uid="{00000000-0005-0000-0000-000099110000}"/>
    <cellStyle name="Millares 2 3 2 3 3 3 2 2 2" xfId="28026" xr:uid="{00000000-0005-0000-0000-00009A110000}"/>
    <cellStyle name="Millares 2 3 2 3 3 3 2 2 2 2" xfId="55159" xr:uid="{00000000-0005-0000-0000-00009B110000}"/>
    <cellStyle name="Millares 2 3 2 3 3 3 2 2 3" xfId="41597" xr:uid="{00000000-0005-0000-0000-00009C110000}"/>
    <cellStyle name="Millares 2 3 2 3 3 3 2 3" xfId="21245" xr:uid="{00000000-0005-0000-0000-00009D110000}"/>
    <cellStyle name="Millares 2 3 2 3 3 3 2 3 2" xfId="48378" xr:uid="{00000000-0005-0000-0000-00009E110000}"/>
    <cellStyle name="Millares 2 3 2 3 3 3 2 4" xfId="34816" xr:uid="{00000000-0005-0000-0000-00009F110000}"/>
    <cellStyle name="Millares 2 3 2 3 3 3 3" xfId="11069" xr:uid="{00000000-0005-0000-0000-0000A0110000}"/>
    <cellStyle name="Millares 2 3 2 3 3 3 3 2" xfId="24637" xr:uid="{00000000-0005-0000-0000-0000A1110000}"/>
    <cellStyle name="Millares 2 3 2 3 3 3 3 2 2" xfId="51770" xr:uid="{00000000-0005-0000-0000-0000A2110000}"/>
    <cellStyle name="Millares 2 3 2 3 3 3 3 3" xfId="38208" xr:uid="{00000000-0005-0000-0000-0000A3110000}"/>
    <cellStyle name="Millares 2 3 2 3 3 3 4" xfId="17856" xr:uid="{00000000-0005-0000-0000-0000A4110000}"/>
    <cellStyle name="Millares 2 3 2 3 3 3 4 2" xfId="44989" xr:uid="{00000000-0005-0000-0000-0000A5110000}"/>
    <cellStyle name="Millares 2 3 2 3 3 3 5" xfId="31427" xr:uid="{00000000-0005-0000-0000-0000A6110000}"/>
    <cellStyle name="Millares 2 3 2 3 3 4" xfId="7667" xr:uid="{00000000-0005-0000-0000-0000A7110000}"/>
    <cellStyle name="Millares 2 3 2 3 3 4 2" xfId="14456" xr:uid="{00000000-0005-0000-0000-0000A8110000}"/>
    <cellStyle name="Millares 2 3 2 3 3 4 2 2" xfId="28024" xr:uid="{00000000-0005-0000-0000-0000A9110000}"/>
    <cellStyle name="Millares 2 3 2 3 3 4 2 2 2" xfId="55157" xr:uid="{00000000-0005-0000-0000-0000AA110000}"/>
    <cellStyle name="Millares 2 3 2 3 3 4 2 3" xfId="41595" xr:uid="{00000000-0005-0000-0000-0000AB110000}"/>
    <cellStyle name="Millares 2 3 2 3 3 4 3" xfId="21243" xr:uid="{00000000-0005-0000-0000-0000AC110000}"/>
    <cellStyle name="Millares 2 3 2 3 3 4 3 2" xfId="48376" xr:uid="{00000000-0005-0000-0000-0000AD110000}"/>
    <cellStyle name="Millares 2 3 2 3 3 4 4" xfId="34814" xr:uid="{00000000-0005-0000-0000-0000AE110000}"/>
    <cellStyle name="Millares 2 3 2 3 3 5" xfId="11067" xr:uid="{00000000-0005-0000-0000-0000AF110000}"/>
    <cellStyle name="Millares 2 3 2 3 3 5 2" xfId="24635" xr:uid="{00000000-0005-0000-0000-0000B0110000}"/>
    <cellStyle name="Millares 2 3 2 3 3 5 2 2" xfId="51768" xr:uid="{00000000-0005-0000-0000-0000B1110000}"/>
    <cellStyle name="Millares 2 3 2 3 3 5 3" xfId="38206" xr:uid="{00000000-0005-0000-0000-0000B2110000}"/>
    <cellStyle name="Millares 2 3 2 3 3 6" xfId="17854" xr:uid="{00000000-0005-0000-0000-0000B3110000}"/>
    <cellStyle name="Millares 2 3 2 3 3 6 2" xfId="44987" xr:uid="{00000000-0005-0000-0000-0000B4110000}"/>
    <cellStyle name="Millares 2 3 2 3 3 7" xfId="31425" xr:uid="{00000000-0005-0000-0000-0000B5110000}"/>
    <cellStyle name="Millares 2 3 2 3 4" xfId="4059" xr:uid="{00000000-0005-0000-0000-0000B6110000}"/>
    <cellStyle name="Millares 2 3 2 3 4 2" xfId="4060" xr:uid="{00000000-0005-0000-0000-0000B7110000}"/>
    <cellStyle name="Millares 2 3 2 3 4 2 2" xfId="7671" xr:uid="{00000000-0005-0000-0000-0000B8110000}"/>
    <cellStyle name="Millares 2 3 2 3 4 2 2 2" xfId="14460" xr:uid="{00000000-0005-0000-0000-0000B9110000}"/>
    <cellStyle name="Millares 2 3 2 3 4 2 2 2 2" xfId="28028" xr:uid="{00000000-0005-0000-0000-0000BA110000}"/>
    <cellStyle name="Millares 2 3 2 3 4 2 2 2 2 2" xfId="55161" xr:uid="{00000000-0005-0000-0000-0000BB110000}"/>
    <cellStyle name="Millares 2 3 2 3 4 2 2 2 3" xfId="41599" xr:uid="{00000000-0005-0000-0000-0000BC110000}"/>
    <cellStyle name="Millares 2 3 2 3 4 2 2 3" xfId="21247" xr:uid="{00000000-0005-0000-0000-0000BD110000}"/>
    <cellStyle name="Millares 2 3 2 3 4 2 2 3 2" xfId="48380" xr:uid="{00000000-0005-0000-0000-0000BE110000}"/>
    <cellStyle name="Millares 2 3 2 3 4 2 2 4" xfId="34818" xr:uid="{00000000-0005-0000-0000-0000BF110000}"/>
    <cellStyle name="Millares 2 3 2 3 4 2 3" xfId="11071" xr:uid="{00000000-0005-0000-0000-0000C0110000}"/>
    <cellStyle name="Millares 2 3 2 3 4 2 3 2" xfId="24639" xr:uid="{00000000-0005-0000-0000-0000C1110000}"/>
    <cellStyle name="Millares 2 3 2 3 4 2 3 2 2" xfId="51772" xr:uid="{00000000-0005-0000-0000-0000C2110000}"/>
    <cellStyle name="Millares 2 3 2 3 4 2 3 3" xfId="38210" xr:uid="{00000000-0005-0000-0000-0000C3110000}"/>
    <cellStyle name="Millares 2 3 2 3 4 2 4" xfId="17858" xr:uid="{00000000-0005-0000-0000-0000C4110000}"/>
    <cellStyle name="Millares 2 3 2 3 4 2 4 2" xfId="44991" xr:uid="{00000000-0005-0000-0000-0000C5110000}"/>
    <cellStyle name="Millares 2 3 2 3 4 2 5" xfId="31429" xr:uid="{00000000-0005-0000-0000-0000C6110000}"/>
    <cellStyle name="Millares 2 3 2 3 4 3" xfId="7670" xr:uid="{00000000-0005-0000-0000-0000C7110000}"/>
    <cellStyle name="Millares 2 3 2 3 4 3 2" xfId="14459" xr:uid="{00000000-0005-0000-0000-0000C8110000}"/>
    <cellStyle name="Millares 2 3 2 3 4 3 2 2" xfId="28027" xr:uid="{00000000-0005-0000-0000-0000C9110000}"/>
    <cellStyle name="Millares 2 3 2 3 4 3 2 2 2" xfId="55160" xr:uid="{00000000-0005-0000-0000-0000CA110000}"/>
    <cellStyle name="Millares 2 3 2 3 4 3 2 3" xfId="41598" xr:uid="{00000000-0005-0000-0000-0000CB110000}"/>
    <cellStyle name="Millares 2 3 2 3 4 3 3" xfId="21246" xr:uid="{00000000-0005-0000-0000-0000CC110000}"/>
    <cellStyle name="Millares 2 3 2 3 4 3 3 2" xfId="48379" xr:uid="{00000000-0005-0000-0000-0000CD110000}"/>
    <cellStyle name="Millares 2 3 2 3 4 3 4" xfId="34817" xr:uid="{00000000-0005-0000-0000-0000CE110000}"/>
    <cellStyle name="Millares 2 3 2 3 4 4" xfId="11070" xr:uid="{00000000-0005-0000-0000-0000CF110000}"/>
    <cellStyle name="Millares 2 3 2 3 4 4 2" xfId="24638" xr:uid="{00000000-0005-0000-0000-0000D0110000}"/>
    <cellStyle name="Millares 2 3 2 3 4 4 2 2" xfId="51771" xr:uid="{00000000-0005-0000-0000-0000D1110000}"/>
    <cellStyle name="Millares 2 3 2 3 4 4 3" xfId="38209" xr:uid="{00000000-0005-0000-0000-0000D2110000}"/>
    <cellStyle name="Millares 2 3 2 3 4 5" xfId="17857" xr:uid="{00000000-0005-0000-0000-0000D3110000}"/>
    <cellStyle name="Millares 2 3 2 3 4 5 2" xfId="44990" xr:uid="{00000000-0005-0000-0000-0000D4110000}"/>
    <cellStyle name="Millares 2 3 2 3 4 6" xfId="31428" xr:uid="{00000000-0005-0000-0000-0000D5110000}"/>
    <cellStyle name="Millares 2 3 2 3 5" xfId="4061" xr:uid="{00000000-0005-0000-0000-0000D6110000}"/>
    <cellStyle name="Millares 2 3 2 3 5 2" xfId="7672" xr:uid="{00000000-0005-0000-0000-0000D7110000}"/>
    <cellStyle name="Millares 2 3 2 3 5 2 2" xfId="14461" xr:uid="{00000000-0005-0000-0000-0000D8110000}"/>
    <cellStyle name="Millares 2 3 2 3 5 2 2 2" xfId="28029" xr:uid="{00000000-0005-0000-0000-0000D9110000}"/>
    <cellStyle name="Millares 2 3 2 3 5 2 2 2 2" xfId="55162" xr:uid="{00000000-0005-0000-0000-0000DA110000}"/>
    <cellStyle name="Millares 2 3 2 3 5 2 2 3" xfId="41600" xr:uid="{00000000-0005-0000-0000-0000DB110000}"/>
    <cellStyle name="Millares 2 3 2 3 5 2 3" xfId="21248" xr:uid="{00000000-0005-0000-0000-0000DC110000}"/>
    <cellStyle name="Millares 2 3 2 3 5 2 3 2" xfId="48381" xr:uid="{00000000-0005-0000-0000-0000DD110000}"/>
    <cellStyle name="Millares 2 3 2 3 5 2 4" xfId="34819" xr:uid="{00000000-0005-0000-0000-0000DE110000}"/>
    <cellStyle name="Millares 2 3 2 3 5 3" xfId="11072" xr:uid="{00000000-0005-0000-0000-0000DF110000}"/>
    <cellStyle name="Millares 2 3 2 3 5 3 2" xfId="24640" xr:uid="{00000000-0005-0000-0000-0000E0110000}"/>
    <cellStyle name="Millares 2 3 2 3 5 3 2 2" xfId="51773" xr:uid="{00000000-0005-0000-0000-0000E1110000}"/>
    <cellStyle name="Millares 2 3 2 3 5 3 3" xfId="38211" xr:uid="{00000000-0005-0000-0000-0000E2110000}"/>
    <cellStyle name="Millares 2 3 2 3 5 4" xfId="17859" xr:uid="{00000000-0005-0000-0000-0000E3110000}"/>
    <cellStyle name="Millares 2 3 2 3 5 4 2" xfId="44992" xr:uid="{00000000-0005-0000-0000-0000E4110000}"/>
    <cellStyle name="Millares 2 3 2 3 5 5" xfId="31430" xr:uid="{00000000-0005-0000-0000-0000E5110000}"/>
    <cellStyle name="Millares 2 3 2 3 6" xfId="4062" xr:uid="{00000000-0005-0000-0000-0000E6110000}"/>
    <cellStyle name="Millares 2 3 2 3 6 2" xfId="7673" xr:uid="{00000000-0005-0000-0000-0000E7110000}"/>
    <cellStyle name="Millares 2 3 2 3 6 2 2" xfId="14462" xr:uid="{00000000-0005-0000-0000-0000E8110000}"/>
    <cellStyle name="Millares 2 3 2 3 6 2 2 2" xfId="28030" xr:uid="{00000000-0005-0000-0000-0000E9110000}"/>
    <cellStyle name="Millares 2 3 2 3 6 2 2 2 2" xfId="55163" xr:uid="{00000000-0005-0000-0000-0000EA110000}"/>
    <cellStyle name="Millares 2 3 2 3 6 2 2 3" xfId="41601" xr:uid="{00000000-0005-0000-0000-0000EB110000}"/>
    <cellStyle name="Millares 2 3 2 3 6 2 3" xfId="21249" xr:uid="{00000000-0005-0000-0000-0000EC110000}"/>
    <cellStyle name="Millares 2 3 2 3 6 2 3 2" xfId="48382" xr:uid="{00000000-0005-0000-0000-0000ED110000}"/>
    <cellStyle name="Millares 2 3 2 3 6 2 4" xfId="34820" xr:uid="{00000000-0005-0000-0000-0000EE110000}"/>
    <cellStyle name="Millares 2 3 2 3 6 3" xfId="11073" xr:uid="{00000000-0005-0000-0000-0000EF110000}"/>
    <cellStyle name="Millares 2 3 2 3 6 3 2" xfId="24641" xr:uid="{00000000-0005-0000-0000-0000F0110000}"/>
    <cellStyle name="Millares 2 3 2 3 6 3 2 2" xfId="51774" xr:uid="{00000000-0005-0000-0000-0000F1110000}"/>
    <cellStyle name="Millares 2 3 2 3 6 3 3" xfId="38212" xr:uid="{00000000-0005-0000-0000-0000F2110000}"/>
    <cellStyle name="Millares 2 3 2 3 6 4" xfId="17860" xr:uid="{00000000-0005-0000-0000-0000F3110000}"/>
    <cellStyle name="Millares 2 3 2 3 6 4 2" xfId="44993" xr:uid="{00000000-0005-0000-0000-0000F4110000}"/>
    <cellStyle name="Millares 2 3 2 3 6 5" xfId="31431" xr:uid="{00000000-0005-0000-0000-0000F5110000}"/>
    <cellStyle name="Millares 2 3 2 3 7" xfId="7658" xr:uid="{00000000-0005-0000-0000-0000F6110000}"/>
    <cellStyle name="Millares 2 3 2 3 7 2" xfId="14447" xr:uid="{00000000-0005-0000-0000-0000F7110000}"/>
    <cellStyle name="Millares 2 3 2 3 7 2 2" xfId="28015" xr:uid="{00000000-0005-0000-0000-0000F8110000}"/>
    <cellStyle name="Millares 2 3 2 3 7 2 2 2" xfId="55148" xr:uid="{00000000-0005-0000-0000-0000F9110000}"/>
    <cellStyle name="Millares 2 3 2 3 7 2 3" xfId="41586" xr:uid="{00000000-0005-0000-0000-0000FA110000}"/>
    <cellStyle name="Millares 2 3 2 3 7 3" xfId="21234" xr:uid="{00000000-0005-0000-0000-0000FB110000}"/>
    <cellStyle name="Millares 2 3 2 3 7 3 2" xfId="48367" xr:uid="{00000000-0005-0000-0000-0000FC110000}"/>
    <cellStyle name="Millares 2 3 2 3 7 4" xfId="34805" xr:uid="{00000000-0005-0000-0000-0000FD110000}"/>
    <cellStyle name="Millares 2 3 2 3 8" xfId="11058" xr:uid="{00000000-0005-0000-0000-0000FE110000}"/>
    <cellStyle name="Millares 2 3 2 3 8 2" xfId="24626" xr:uid="{00000000-0005-0000-0000-0000FF110000}"/>
    <cellStyle name="Millares 2 3 2 3 8 2 2" xfId="51759" xr:uid="{00000000-0005-0000-0000-000000120000}"/>
    <cellStyle name="Millares 2 3 2 3 8 3" xfId="38197" xr:uid="{00000000-0005-0000-0000-000001120000}"/>
    <cellStyle name="Millares 2 3 2 3 9" xfId="17845" xr:uid="{00000000-0005-0000-0000-000002120000}"/>
    <cellStyle name="Millares 2 3 2 3 9 2" xfId="44978" xr:uid="{00000000-0005-0000-0000-000003120000}"/>
    <cellStyle name="Millares 2 3 2 4" xfId="4063" xr:uid="{00000000-0005-0000-0000-000004120000}"/>
    <cellStyle name="Millares 2 3 2 4 2" xfId="4064" xr:uid="{00000000-0005-0000-0000-000005120000}"/>
    <cellStyle name="Millares 2 3 2 4 2 2" xfId="4065" xr:uid="{00000000-0005-0000-0000-000006120000}"/>
    <cellStyle name="Millares 2 3 2 4 2 2 2" xfId="7676" xr:uid="{00000000-0005-0000-0000-000007120000}"/>
    <cellStyle name="Millares 2 3 2 4 2 2 2 2" xfId="14465" xr:uid="{00000000-0005-0000-0000-000008120000}"/>
    <cellStyle name="Millares 2 3 2 4 2 2 2 2 2" xfId="28033" xr:uid="{00000000-0005-0000-0000-000009120000}"/>
    <cellStyle name="Millares 2 3 2 4 2 2 2 2 2 2" xfId="55166" xr:uid="{00000000-0005-0000-0000-00000A120000}"/>
    <cellStyle name="Millares 2 3 2 4 2 2 2 2 3" xfId="41604" xr:uid="{00000000-0005-0000-0000-00000B120000}"/>
    <cellStyle name="Millares 2 3 2 4 2 2 2 3" xfId="21252" xr:uid="{00000000-0005-0000-0000-00000C120000}"/>
    <cellStyle name="Millares 2 3 2 4 2 2 2 3 2" xfId="48385" xr:uid="{00000000-0005-0000-0000-00000D120000}"/>
    <cellStyle name="Millares 2 3 2 4 2 2 2 4" xfId="34823" xr:uid="{00000000-0005-0000-0000-00000E120000}"/>
    <cellStyle name="Millares 2 3 2 4 2 2 3" xfId="11076" xr:uid="{00000000-0005-0000-0000-00000F120000}"/>
    <cellStyle name="Millares 2 3 2 4 2 2 3 2" xfId="24644" xr:uid="{00000000-0005-0000-0000-000010120000}"/>
    <cellStyle name="Millares 2 3 2 4 2 2 3 2 2" xfId="51777" xr:uid="{00000000-0005-0000-0000-000011120000}"/>
    <cellStyle name="Millares 2 3 2 4 2 2 3 3" xfId="38215" xr:uid="{00000000-0005-0000-0000-000012120000}"/>
    <cellStyle name="Millares 2 3 2 4 2 2 4" xfId="17863" xr:uid="{00000000-0005-0000-0000-000013120000}"/>
    <cellStyle name="Millares 2 3 2 4 2 2 4 2" xfId="44996" xr:uid="{00000000-0005-0000-0000-000014120000}"/>
    <cellStyle name="Millares 2 3 2 4 2 2 5" xfId="31434" xr:uid="{00000000-0005-0000-0000-000015120000}"/>
    <cellStyle name="Millares 2 3 2 4 2 3" xfId="4066" xr:uid="{00000000-0005-0000-0000-000016120000}"/>
    <cellStyle name="Millares 2 3 2 4 2 3 2" xfId="7677" xr:uid="{00000000-0005-0000-0000-000017120000}"/>
    <cellStyle name="Millares 2 3 2 4 2 3 2 2" xfId="14466" xr:uid="{00000000-0005-0000-0000-000018120000}"/>
    <cellStyle name="Millares 2 3 2 4 2 3 2 2 2" xfId="28034" xr:uid="{00000000-0005-0000-0000-000019120000}"/>
    <cellStyle name="Millares 2 3 2 4 2 3 2 2 2 2" xfId="55167" xr:uid="{00000000-0005-0000-0000-00001A120000}"/>
    <cellStyle name="Millares 2 3 2 4 2 3 2 2 3" xfId="41605" xr:uid="{00000000-0005-0000-0000-00001B120000}"/>
    <cellStyle name="Millares 2 3 2 4 2 3 2 3" xfId="21253" xr:uid="{00000000-0005-0000-0000-00001C120000}"/>
    <cellStyle name="Millares 2 3 2 4 2 3 2 3 2" xfId="48386" xr:uid="{00000000-0005-0000-0000-00001D120000}"/>
    <cellStyle name="Millares 2 3 2 4 2 3 2 4" xfId="34824" xr:uid="{00000000-0005-0000-0000-00001E120000}"/>
    <cellStyle name="Millares 2 3 2 4 2 3 3" xfId="11077" xr:uid="{00000000-0005-0000-0000-00001F120000}"/>
    <cellStyle name="Millares 2 3 2 4 2 3 3 2" xfId="24645" xr:uid="{00000000-0005-0000-0000-000020120000}"/>
    <cellStyle name="Millares 2 3 2 4 2 3 3 2 2" xfId="51778" xr:uid="{00000000-0005-0000-0000-000021120000}"/>
    <cellStyle name="Millares 2 3 2 4 2 3 3 3" xfId="38216" xr:uid="{00000000-0005-0000-0000-000022120000}"/>
    <cellStyle name="Millares 2 3 2 4 2 3 4" xfId="17864" xr:uid="{00000000-0005-0000-0000-000023120000}"/>
    <cellStyle name="Millares 2 3 2 4 2 3 4 2" xfId="44997" xr:uid="{00000000-0005-0000-0000-000024120000}"/>
    <cellStyle name="Millares 2 3 2 4 2 3 5" xfId="31435" xr:uid="{00000000-0005-0000-0000-000025120000}"/>
    <cellStyle name="Millares 2 3 2 4 2 4" xfId="7675" xr:uid="{00000000-0005-0000-0000-000026120000}"/>
    <cellStyle name="Millares 2 3 2 4 2 4 2" xfId="14464" xr:uid="{00000000-0005-0000-0000-000027120000}"/>
    <cellStyle name="Millares 2 3 2 4 2 4 2 2" xfId="28032" xr:uid="{00000000-0005-0000-0000-000028120000}"/>
    <cellStyle name="Millares 2 3 2 4 2 4 2 2 2" xfId="55165" xr:uid="{00000000-0005-0000-0000-000029120000}"/>
    <cellStyle name="Millares 2 3 2 4 2 4 2 3" xfId="41603" xr:uid="{00000000-0005-0000-0000-00002A120000}"/>
    <cellStyle name="Millares 2 3 2 4 2 4 3" xfId="21251" xr:uid="{00000000-0005-0000-0000-00002B120000}"/>
    <cellStyle name="Millares 2 3 2 4 2 4 3 2" xfId="48384" xr:uid="{00000000-0005-0000-0000-00002C120000}"/>
    <cellStyle name="Millares 2 3 2 4 2 4 4" xfId="34822" xr:uid="{00000000-0005-0000-0000-00002D120000}"/>
    <cellStyle name="Millares 2 3 2 4 2 5" xfId="11075" xr:uid="{00000000-0005-0000-0000-00002E120000}"/>
    <cellStyle name="Millares 2 3 2 4 2 5 2" xfId="24643" xr:uid="{00000000-0005-0000-0000-00002F120000}"/>
    <cellStyle name="Millares 2 3 2 4 2 5 2 2" xfId="51776" xr:uid="{00000000-0005-0000-0000-000030120000}"/>
    <cellStyle name="Millares 2 3 2 4 2 5 3" xfId="38214" xr:uid="{00000000-0005-0000-0000-000031120000}"/>
    <cellStyle name="Millares 2 3 2 4 2 6" xfId="17862" xr:uid="{00000000-0005-0000-0000-000032120000}"/>
    <cellStyle name="Millares 2 3 2 4 2 6 2" xfId="44995" xr:uid="{00000000-0005-0000-0000-000033120000}"/>
    <cellStyle name="Millares 2 3 2 4 2 7" xfId="31433" xr:uid="{00000000-0005-0000-0000-000034120000}"/>
    <cellStyle name="Millares 2 3 2 4 3" xfId="4067" xr:uid="{00000000-0005-0000-0000-000035120000}"/>
    <cellStyle name="Millares 2 3 2 4 3 2" xfId="4068" xr:uid="{00000000-0005-0000-0000-000036120000}"/>
    <cellStyle name="Millares 2 3 2 4 3 2 2" xfId="7679" xr:uid="{00000000-0005-0000-0000-000037120000}"/>
    <cellStyle name="Millares 2 3 2 4 3 2 2 2" xfId="14468" xr:uid="{00000000-0005-0000-0000-000038120000}"/>
    <cellStyle name="Millares 2 3 2 4 3 2 2 2 2" xfId="28036" xr:uid="{00000000-0005-0000-0000-000039120000}"/>
    <cellStyle name="Millares 2 3 2 4 3 2 2 2 2 2" xfId="55169" xr:uid="{00000000-0005-0000-0000-00003A120000}"/>
    <cellStyle name="Millares 2 3 2 4 3 2 2 2 3" xfId="41607" xr:uid="{00000000-0005-0000-0000-00003B120000}"/>
    <cellStyle name="Millares 2 3 2 4 3 2 2 3" xfId="21255" xr:uid="{00000000-0005-0000-0000-00003C120000}"/>
    <cellStyle name="Millares 2 3 2 4 3 2 2 3 2" xfId="48388" xr:uid="{00000000-0005-0000-0000-00003D120000}"/>
    <cellStyle name="Millares 2 3 2 4 3 2 2 4" xfId="34826" xr:uid="{00000000-0005-0000-0000-00003E120000}"/>
    <cellStyle name="Millares 2 3 2 4 3 2 3" xfId="11079" xr:uid="{00000000-0005-0000-0000-00003F120000}"/>
    <cellStyle name="Millares 2 3 2 4 3 2 3 2" xfId="24647" xr:uid="{00000000-0005-0000-0000-000040120000}"/>
    <cellStyle name="Millares 2 3 2 4 3 2 3 2 2" xfId="51780" xr:uid="{00000000-0005-0000-0000-000041120000}"/>
    <cellStyle name="Millares 2 3 2 4 3 2 3 3" xfId="38218" xr:uid="{00000000-0005-0000-0000-000042120000}"/>
    <cellStyle name="Millares 2 3 2 4 3 2 4" xfId="17866" xr:uid="{00000000-0005-0000-0000-000043120000}"/>
    <cellStyle name="Millares 2 3 2 4 3 2 4 2" xfId="44999" xr:uid="{00000000-0005-0000-0000-000044120000}"/>
    <cellStyle name="Millares 2 3 2 4 3 2 5" xfId="31437" xr:uid="{00000000-0005-0000-0000-000045120000}"/>
    <cellStyle name="Millares 2 3 2 4 3 3" xfId="7678" xr:uid="{00000000-0005-0000-0000-000046120000}"/>
    <cellStyle name="Millares 2 3 2 4 3 3 2" xfId="14467" xr:uid="{00000000-0005-0000-0000-000047120000}"/>
    <cellStyle name="Millares 2 3 2 4 3 3 2 2" xfId="28035" xr:uid="{00000000-0005-0000-0000-000048120000}"/>
    <cellStyle name="Millares 2 3 2 4 3 3 2 2 2" xfId="55168" xr:uid="{00000000-0005-0000-0000-000049120000}"/>
    <cellStyle name="Millares 2 3 2 4 3 3 2 3" xfId="41606" xr:uid="{00000000-0005-0000-0000-00004A120000}"/>
    <cellStyle name="Millares 2 3 2 4 3 3 3" xfId="21254" xr:uid="{00000000-0005-0000-0000-00004B120000}"/>
    <cellStyle name="Millares 2 3 2 4 3 3 3 2" xfId="48387" xr:uid="{00000000-0005-0000-0000-00004C120000}"/>
    <cellStyle name="Millares 2 3 2 4 3 3 4" xfId="34825" xr:uid="{00000000-0005-0000-0000-00004D120000}"/>
    <cellStyle name="Millares 2 3 2 4 3 4" xfId="11078" xr:uid="{00000000-0005-0000-0000-00004E120000}"/>
    <cellStyle name="Millares 2 3 2 4 3 4 2" xfId="24646" xr:uid="{00000000-0005-0000-0000-00004F120000}"/>
    <cellStyle name="Millares 2 3 2 4 3 4 2 2" xfId="51779" xr:uid="{00000000-0005-0000-0000-000050120000}"/>
    <cellStyle name="Millares 2 3 2 4 3 4 3" xfId="38217" xr:uid="{00000000-0005-0000-0000-000051120000}"/>
    <cellStyle name="Millares 2 3 2 4 3 5" xfId="17865" xr:uid="{00000000-0005-0000-0000-000052120000}"/>
    <cellStyle name="Millares 2 3 2 4 3 5 2" xfId="44998" xr:uid="{00000000-0005-0000-0000-000053120000}"/>
    <cellStyle name="Millares 2 3 2 4 3 6" xfId="31436" xr:uid="{00000000-0005-0000-0000-000054120000}"/>
    <cellStyle name="Millares 2 3 2 4 4" xfId="4069" xr:uid="{00000000-0005-0000-0000-000055120000}"/>
    <cellStyle name="Millares 2 3 2 4 4 2" xfId="7680" xr:uid="{00000000-0005-0000-0000-000056120000}"/>
    <cellStyle name="Millares 2 3 2 4 4 2 2" xfId="14469" xr:uid="{00000000-0005-0000-0000-000057120000}"/>
    <cellStyle name="Millares 2 3 2 4 4 2 2 2" xfId="28037" xr:uid="{00000000-0005-0000-0000-000058120000}"/>
    <cellStyle name="Millares 2 3 2 4 4 2 2 2 2" xfId="55170" xr:uid="{00000000-0005-0000-0000-000059120000}"/>
    <cellStyle name="Millares 2 3 2 4 4 2 2 3" xfId="41608" xr:uid="{00000000-0005-0000-0000-00005A120000}"/>
    <cellStyle name="Millares 2 3 2 4 4 2 3" xfId="21256" xr:uid="{00000000-0005-0000-0000-00005B120000}"/>
    <cellStyle name="Millares 2 3 2 4 4 2 3 2" xfId="48389" xr:uid="{00000000-0005-0000-0000-00005C120000}"/>
    <cellStyle name="Millares 2 3 2 4 4 2 4" xfId="34827" xr:uid="{00000000-0005-0000-0000-00005D120000}"/>
    <cellStyle name="Millares 2 3 2 4 4 3" xfId="11080" xr:uid="{00000000-0005-0000-0000-00005E120000}"/>
    <cellStyle name="Millares 2 3 2 4 4 3 2" xfId="24648" xr:uid="{00000000-0005-0000-0000-00005F120000}"/>
    <cellStyle name="Millares 2 3 2 4 4 3 2 2" xfId="51781" xr:uid="{00000000-0005-0000-0000-000060120000}"/>
    <cellStyle name="Millares 2 3 2 4 4 3 3" xfId="38219" xr:uid="{00000000-0005-0000-0000-000061120000}"/>
    <cellStyle name="Millares 2 3 2 4 4 4" xfId="17867" xr:uid="{00000000-0005-0000-0000-000062120000}"/>
    <cellStyle name="Millares 2 3 2 4 4 4 2" xfId="45000" xr:uid="{00000000-0005-0000-0000-000063120000}"/>
    <cellStyle name="Millares 2 3 2 4 4 5" xfId="31438" xr:uid="{00000000-0005-0000-0000-000064120000}"/>
    <cellStyle name="Millares 2 3 2 4 5" xfId="4070" xr:uid="{00000000-0005-0000-0000-000065120000}"/>
    <cellStyle name="Millares 2 3 2 4 5 2" xfId="7681" xr:uid="{00000000-0005-0000-0000-000066120000}"/>
    <cellStyle name="Millares 2 3 2 4 5 2 2" xfId="14470" xr:uid="{00000000-0005-0000-0000-000067120000}"/>
    <cellStyle name="Millares 2 3 2 4 5 2 2 2" xfId="28038" xr:uid="{00000000-0005-0000-0000-000068120000}"/>
    <cellStyle name="Millares 2 3 2 4 5 2 2 2 2" xfId="55171" xr:uid="{00000000-0005-0000-0000-000069120000}"/>
    <cellStyle name="Millares 2 3 2 4 5 2 2 3" xfId="41609" xr:uid="{00000000-0005-0000-0000-00006A120000}"/>
    <cellStyle name="Millares 2 3 2 4 5 2 3" xfId="21257" xr:uid="{00000000-0005-0000-0000-00006B120000}"/>
    <cellStyle name="Millares 2 3 2 4 5 2 3 2" xfId="48390" xr:uid="{00000000-0005-0000-0000-00006C120000}"/>
    <cellStyle name="Millares 2 3 2 4 5 2 4" xfId="34828" xr:uid="{00000000-0005-0000-0000-00006D120000}"/>
    <cellStyle name="Millares 2 3 2 4 5 3" xfId="11081" xr:uid="{00000000-0005-0000-0000-00006E120000}"/>
    <cellStyle name="Millares 2 3 2 4 5 3 2" xfId="24649" xr:uid="{00000000-0005-0000-0000-00006F120000}"/>
    <cellStyle name="Millares 2 3 2 4 5 3 2 2" xfId="51782" xr:uid="{00000000-0005-0000-0000-000070120000}"/>
    <cellStyle name="Millares 2 3 2 4 5 3 3" xfId="38220" xr:uid="{00000000-0005-0000-0000-000071120000}"/>
    <cellStyle name="Millares 2 3 2 4 5 4" xfId="17868" xr:uid="{00000000-0005-0000-0000-000072120000}"/>
    <cellStyle name="Millares 2 3 2 4 5 4 2" xfId="45001" xr:uid="{00000000-0005-0000-0000-000073120000}"/>
    <cellStyle name="Millares 2 3 2 4 5 5" xfId="31439" xr:uid="{00000000-0005-0000-0000-000074120000}"/>
    <cellStyle name="Millares 2 3 2 4 6" xfId="7674" xr:uid="{00000000-0005-0000-0000-000075120000}"/>
    <cellStyle name="Millares 2 3 2 4 6 2" xfId="14463" xr:uid="{00000000-0005-0000-0000-000076120000}"/>
    <cellStyle name="Millares 2 3 2 4 6 2 2" xfId="28031" xr:uid="{00000000-0005-0000-0000-000077120000}"/>
    <cellStyle name="Millares 2 3 2 4 6 2 2 2" xfId="55164" xr:uid="{00000000-0005-0000-0000-000078120000}"/>
    <cellStyle name="Millares 2 3 2 4 6 2 3" xfId="41602" xr:uid="{00000000-0005-0000-0000-000079120000}"/>
    <cellStyle name="Millares 2 3 2 4 6 3" xfId="21250" xr:uid="{00000000-0005-0000-0000-00007A120000}"/>
    <cellStyle name="Millares 2 3 2 4 6 3 2" xfId="48383" xr:uid="{00000000-0005-0000-0000-00007B120000}"/>
    <cellStyle name="Millares 2 3 2 4 6 4" xfId="34821" xr:uid="{00000000-0005-0000-0000-00007C120000}"/>
    <cellStyle name="Millares 2 3 2 4 7" xfId="11074" xr:uid="{00000000-0005-0000-0000-00007D120000}"/>
    <cellStyle name="Millares 2 3 2 4 7 2" xfId="24642" xr:uid="{00000000-0005-0000-0000-00007E120000}"/>
    <cellStyle name="Millares 2 3 2 4 7 2 2" xfId="51775" xr:uid="{00000000-0005-0000-0000-00007F120000}"/>
    <cellStyle name="Millares 2 3 2 4 7 3" xfId="38213" xr:uid="{00000000-0005-0000-0000-000080120000}"/>
    <cellStyle name="Millares 2 3 2 4 8" xfId="17861" xr:uid="{00000000-0005-0000-0000-000081120000}"/>
    <cellStyle name="Millares 2 3 2 4 8 2" xfId="44994" xr:uid="{00000000-0005-0000-0000-000082120000}"/>
    <cellStyle name="Millares 2 3 2 4 9" xfId="31432" xr:uid="{00000000-0005-0000-0000-000083120000}"/>
    <cellStyle name="Millares 2 3 2 5" xfId="4071" xr:uid="{00000000-0005-0000-0000-000084120000}"/>
    <cellStyle name="Millares 2 3 2 5 2" xfId="4072" xr:uid="{00000000-0005-0000-0000-000085120000}"/>
    <cellStyle name="Millares 2 3 2 5 2 2" xfId="4073" xr:uid="{00000000-0005-0000-0000-000086120000}"/>
    <cellStyle name="Millares 2 3 2 5 2 2 2" xfId="7684" xr:uid="{00000000-0005-0000-0000-000087120000}"/>
    <cellStyle name="Millares 2 3 2 5 2 2 2 2" xfId="14473" xr:uid="{00000000-0005-0000-0000-000088120000}"/>
    <cellStyle name="Millares 2 3 2 5 2 2 2 2 2" xfId="28041" xr:uid="{00000000-0005-0000-0000-000089120000}"/>
    <cellStyle name="Millares 2 3 2 5 2 2 2 2 2 2" xfId="55174" xr:uid="{00000000-0005-0000-0000-00008A120000}"/>
    <cellStyle name="Millares 2 3 2 5 2 2 2 2 3" xfId="41612" xr:uid="{00000000-0005-0000-0000-00008B120000}"/>
    <cellStyle name="Millares 2 3 2 5 2 2 2 3" xfId="21260" xr:uid="{00000000-0005-0000-0000-00008C120000}"/>
    <cellStyle name="Millares 2 3 2 5 2 2 2 3 2" xfId="48393" xr:uid="{00000000-0005-0000-0000-00008D120000}"/>
    <cellStyle name="Millares 2 3 2 5 2 2 2 4" xfId="34831" xr:uid="{00000000-0005-0000-0000-00008E120000}"/>
    <cellStyle name="Millares 2 3 2 5 2 2 3" xfId="11084" xr:uid="{00000000-0005-0000-0000-00008F120000}"/>
    <cellStyle name="Millares 2 3 2 5 2 2 3 2" xfId="24652" xr:uid="{00000000-0005-0000-0000-000090120000}"/>
    <cellStyle name="Millares 2 3 2 5 2 2 3 2 2" xfId="51785" xr:uid="{00000000-0005-0000-0000-000091120000}"/>
    <cellStyle name="Millares 2 3 2 5 2 2 3 3" xfId="38223" xr:uid="{00000000-0005-0000-0000-000092120000}"/>
    <cellStyle name="Millares 2 3 2 5 2 2 4" xfId="17871" xr:uid="{00000000-0005-0000-0000-000093120000}"/>
    <cellStyle name="Millares 2 3 2 5 2 2 4 2" xfId="45004" xr:uid="{00000000-0005-0000-0000-000094120000}"/>
    <cellStyle name="Millares 2 3 2 5 2 2 5" xfId="31442" xr:uid="{00000000-0005-0000-0000-000095120000}"/>
    <cellStyle name="Millares 2 3 2 5 2 3" xfId="4074" xr:uid="{00000000-0005-0000-0000-000096120000}"/>
    <cellStyle name="Millares 2 3 2 5 2 3 2" xfId="7685" xr:uid="{00000000-0005-0000-0000-000097120000}"/>
    <cellStyle name="Millares 2 3 2 5 2 3 2 2" xfId="14474" xr:uid="{00000000-0005-0000-0000-000098120000}"/>
    <cellStyle name="Millares 2 3 2 5 2 3 2 2 2" xfId="28042" xr:uid="{00000000-0005-0000-0000-000099120000}"/>
    <cellStyle name="Millares 2 3 2 5 2 3 2 2 2 2" xfId="55175" xr:uid="{00000000-0005-0000-0000-00009A120000}"/>
    <cellStyle name="Millares 2 3 2 5 2 3 2 2 3" xfId="41613" xr:uid="{00000000-0005-0000-0000-00009B120000}"/>
    <cellStyle name="Millares 2 3 2 5 2 3 2 3" xfId="21261" xr:uid="{00000000-0005-0000-0000-00009C120000}"/>
    <cellStyle name="Millares 2 3 2 5 2 3 2 3 2" xfId="48394" xr:uid="{00000000-0005-0000-0000-00009D120000}"/>
    <cellStyle name="Millares 2 3 2 5 2 3 2 4" xfId="34832" xr:uid="{00000000-0005-0000-0000-00009E120000}"/>
    <cellStyle name="Millares 2 3 2 5 2 3 3" xfId="11085" xr:uid="{00000000-0005-0000-0000-00009F120000}"/>
    <cellStyle name="Millares 2 3 2 5 2 3 3 2" xfId="24653" xr:uid="{00000000-0005-0000-0000-0000A0120000}"/>
    <cellStyle name="Millares 2 3 2 5 2 3 3 2 2" xfId="51786" xr:uid="{00000000-0005-0000-0000-0000A1120000}"/>
    <cellStyle name="Millares 2 3 2 5 2 3 3 3" xfId="38224" xr:uid="{00000000-0005-0000-0000-0000A2120000}"/>
    <cellStyle name="Millares 2 3 2 5 2 3 4" xfId="17872" xr:uid="{00000000-0005-0000-0000-0000A3120000}"/>
    <cellStyle name="Millares 2 3 2 5 2 3 4 2" xfId="45005" xr:uid="{00000000-0005-0000-0000-0000A4120000}"/>
    <cellStyle name="Millares 2 3 2 5 2 3 5" xfId="31443" xr:uid="{00000000-0005-0000-0000-0000A5120000}"/>
    <cellStyle name="Millares 2 3 2 5 2 4" xfId="7683" xr:uid="{00000000-0005-0000-0000-0000A6120000}"/>
    <cellStyle name="Millares 2 3 2 5 2 4 2" xfId="14472" xr:uid="{00000000-0005-0000-0000-0000A7120000}"/>
    <cellStyle name="Millares 2 3 2 5 2 4 2 2" xfId="28040" xr:uid="{00000000-0005-0000-0000-0000A8120000}"/>
    <cellStyle name="Millares 2 3 2 5 2 4 2 2 2" xfId="55173" xr:uid="{00000000-0005-0000-0000-0000A9120000}"/>
    <cellStyle name="Millares 2 3 2 5 2 4 2 3" xfId="41611" xr:uid="{00000000-0005-0000-0000-0000AA120000}"/>
    <cellStyle name="Millares 2 3 2 5 2 4 3" xfId="21259" xr:uid="{00000000-0005-0000-0000-0000AB120000}"/>
    <cellStyle name="Millares 2 3 2 5 2 4 3 2" xfId="48392" xr:uid="{00000000-0005-0000-0000-0000AC120000}"/>
    <cellStyle name="Millares 2 3 2 5 2 4 4" xfId="34830" xr:uid="{00000000-0005-0000-0000-0000AD120000}"/>
    <cellStyle name="Millares 2 3 2 5 2 5" xfId="11083" xr:uid="{00000000-0005-0000-0000-0000AE120000}"/>
    <cellStyle name="Millares 2 3 2 5 2 5 2" xfId="24651" xr:uid="{00000000-0005-0000-0000-0000AF120000}"/>
    <cellStyle name="Millares 2 3 2 5 2 5 2 2" xfId="51784" xr:uid="{00000000-0005-0000-0000-0000B0120000}"/>
    <cellStyle name="Millares 2 3 2 5 2 5 3" xfId="38222" xr:uid="{00000000-0005-0000-0000-0000B1120000}"/>
    <cellStyle name="Millares 2 3 2 5 2 6" xfId="17870" xr:uid="{00000000-0005-0000-0000-0000B2120000}"/>
    <cellStyle name="Millares 2 3 2 5 2 6 2" xfId="45003" xr:uid="{00000000-0005-0000-0000-0000B3120000}"/>
    <cellStyle name="Millares 2 3 2 5 2 7" xfId="31441" xr:uid="{00000000-0005-0000-0000-0000B4120000}"/>
    <cellStyle name="Millares 2 3 2 5 3" xfId="4075" xr:uid="{00000000-0005-0000-0000-0000B5120000}"/>
    <cellStyle name="Millares 2 3 2 5 3 2" xfId="7686" xr:uid="{00000000-0005-0000-0000-0000B6120000}"/>
    <cellStyle name="Millares 2 3 2 5 3 2 2" xfId="14475" xr:uid="{00000000-0005-0000-0000-0000B7120000}"/>
    <cellStyle name="Millares 2 3 2 5 3 2 2 2" xfId="28043" xr:uid="{00000000-0005-0000-0000-0000B8120000}"/>
    <cellStyle name="Millares 2 3 2 5 3 2 2 2 2" xfId="55176" xr:uid="{00000000-0005-0000-0000-0000B9120000}"/>
    <cellStyle name="Millares 2 3 2 5 3 2 2 3" xfId="41614" xr:uid="{00000000-0005-0000-0000-0000BA120000}"/>
    <cellStyle name="Millares 2 3 2 5 3 2 3" xfId="21262" xr:uid="{00000000-0005-0000-0000-0000BB120000}"/>
    <cellStyle name="Millares 2 3 2 5 3 2 3 2" xfId="48395" xr:uid="{00000000-0005-0000-0000-0000BC120000}"/>
    <cellStyle name="Millares 2 3 2 5 3 2 4" xfId="34833" xr:uid="{00000000-0005-0000-0000-0000BD120000}"/>
    <cellStyle name="Millares 2 3 2 5 3 3" xfId="11086" xr:uid="{00000000-0005-0000-0000-0000BE120000}"/>
    <cellStyle name="Millares 2 3 2 5 3 3 2" xfId="24654" xr:uid="{00000000-0005-0000-0000-0000BF120000}"/>
    <cellStyle name="Millares 2 3 2 5 3 3 2 2" xfId="51787" xr:uid="{00000000-0005-0000-0000-0000C0120000}"/>
    <cellStyle name="Millares 2 3 2 5 3 3 3" xfId="38225" xr:uid="{00000000-0005-0000-0000-0000C1120000}"/>
    <cellStyle name="Millares 2 3 2 5 3 4" xfId="17873" xr:uid="{00000000-0005-0000-0000-0000C2120000}"/>
    <cellStyle name="Millares 2 3 2 5 3 4 2" xfId="45006" xr:uid="{00000000-0005-0000-0000-0000C3120000}"/>
    <cellStyle name="Millares 2 3 2 5 3 5" xfId="31444" xr:uid="{00000000-0005-0000-0000-0000C4120000}"/>
    <cellStyle name="Millares 2 3 2 5 4" xfId="4076" xr:uid="{00000000-0005-0000-0000-0000C5120000}"/>
    <cellStyle name="Millares 2 3 2 5 4 2" xfId="7687" xr:uid="{00000000-0005-0000-0000-0000C6120000}"/>
    <cellStyle name="Millares 2 3 2 5 4 2 2" xfId="14476" xr:uid="{00000000-0005-0000-0000-0000C7120000}"/>
    <cellStyle name="Millares 2 3 2 5 4 2 2 2" xfId="28044" xr:uid="{00000000-0005-0000-0000-0000C8120000}"/>
    <cellStyle name="Millares 2 3 2 5 4 2 2 2 2" xfId="55177" xr:uid="{00000000-0005-0000-0000-0000C9120000}"/>
    <cellStyle name="Millares 2 3 2 5 4 2 2 3" xfId="41615" xr:uid="{00000000-0005-0000-0000-0000CA120000}"/>
    <cellStyle name="Millares 2 3 2 5 4 2 3" xfId="21263" xr:uid="{00000000-0005-0000-0000-0000CB120000}"/>
    <cellStyle name="Millares 2 3 2 5 4 2 3 2" xfId="48396" xr:uid="{00000000-0005-0000-0000-0000CC120000}"/>
    <cellStyle name="Millares 2 3 2 5 4 2 4" xfId="34834" xr:uid="{00000000-0005-0000-0000-0000CD120000}"/>
    <cellStyle name="Millares 2 3 2 5 4 3" xfId="11087" xr:uid="{00000000-0005-0000-0000-0000CE120000}"/>
    <cellStyle name="Millares 2 3 2 5 4 3 2" xfId="24655" xr:uid="{00000000-0005-0000-0000-0000CF120000}"/>
    <cellStyle name="Millares 2 3 2 5 4 3 2 2" xfId="51788" xr:uid="{00000000-0005-0000-0000-0000D0120000}"/>
    <cellStyle name="Millares 2 3 2 5 4 3 3" xfId="38226" xr:uid="{00000000-0005-0000-0000-0000D1120000}"/>
    <cellStyle name="Millares 2 3 2 5 4 4" xfId="17874" xr:uid="{00000000-0005-0000-0000-0000D2120000}"/>
    <cellStyle name="Millares 2 3 2 5 4 4 2" xfId="45007" xr:uid="{00000000-0005-0000-0000-0000D3120000}"/>
    <cellStyle name="Millares 2 3 2 5 4 5" xfId="31445" xr:uid="{00000000-0005-0000-0000-0000D4120000}"/>
    <cellStyle name="Millares 2 3 2 5 5" xfId="7682" xr:uid="{00000000-0005-0000-0000-0000D5120000}"/>
    <cellStyle name="Millares 2 3 2 5 5 2" xfId="14471" xr:uid="{00000000-0005-0000-0000-0000D6120000}"/>
    <cellStyle name="Millares 2 3 2 5 5 2 2" xfId="28039" xr:uid="{00000000-0005-0000-0000-0000D7120000}"/>
    <cellStyle name="Millares 2 3 2 5 5 2 2 2" xfId="55172" xr:uid="{00000000-0005-0000-0000-0000D8120000}"/>
    <cellStyle name="Millares 2 3 2 5 5 2 3" xfId="41610" xr:uid="{00000000-0005-0000-0000-0000D9120000}"/>
    <cellStyle name="Millares 2 3 2 5 5 3" xfId="21258" xr:uid="{00000000-0005-0000-0000-0000DA120000}"/>
    <cellStyle name="Millares 2 3 2 5 5 3 2" xfId="48391" xr:uid="{00000000-0005-0000-0000-0000DB120000}"/>
    <cellStyle name="Millares 2 3 2 5 5 4" xfId="34829" xr:uid="{00000000-0005-0000-0000-0000DC120000}"/>
    <cellStyle name="Millares 2 3 2 5 6" xfId="11082" xr:uid="{00000000-0005-0000-0000-0000DD120000}"/>
    <cellStyle name="Millares 2 3 2 5 6 2" xfId="24650" xr:uid="{00000000-0005-0000-0000-0000DE120000}"/>
    <cellStyle name="Millares 2 3 2 5 6 2 2" xfId="51783" xr:uid="{00000000-0005-0000-0000-0000DF120000}"/>
    <cellStyle name="Millares 2 3 2 5 6 3" xfId="38221" xr:uid="{00000000-0005-0000-0000-0000E0120000}"/>
    <cellStyle name="Millares 2 3 2 5 7" xfId="17869" xr:uid="{00000000-0005-0000-0000-0000E1120000}"/>
    <cellStyle name="Millares 2 3 2 5 7 2" xfId="45002" xr:uid="{00000000-0005-0000-0000-0000E2120000}"/>
    <cellStyle name="Millares 2 3 2 5 8" xfId="31440" xr:uid="{00000000-0005-0000-0000-0000E3120000}"/>
    <cellStyle name="Millares 2 3 2 6" xfId="4077" xr:uid="{00000000-0005-0000-0000-0000E4120000}"/>
    <cellStyle name="Millares 2 3 2 6 2" xfId="4078" xr:uid="{00000000-0005-0000-0000-0000E5120000}"/>
    <cellStyle name="Millares 2 3 2 6 2 2" xfId="4079" xr:uid="{00000000-0005-0000-0000-0000E6120000}"/>
    <cellStyle name="Millares 2 3 2 6 2 2 2" xfId="7690" xr:uid="{00000000-0005-0000-0000-0000E7120000}"/>
    <cellStyle name="Millares 2 3 2 6 2 2 2 2" xfId="14479" xr:uid="{00000000-0005-0000-0000-0000E8120000}"/>
    <cellStyle name="Millares 2 3 2 6 2 2 2 2 2" xfId="28047" xr:uid="{00000000-0005-0000-0000-0000E9120000}"/>
    <cellStyle name="Millares 2 3 2 6 2 2 2 2 2 2" xfId="55180" xr:uid="{00000000-0005-0000-0000-0000EA120000}"/>
    <cellStyle name="Millares 2 3 2 6 2 2 2 2 3" xfId="41618" xr:uid="{00000000-0005-0000-0000-0000EB120000}"/>
    <cellStyle name="Millares 2 3 2 6 2 2 2 3" xfId="21266" xr:uid="{00000000-0005-0000-0000-0000EC120000}"/>
    <cellStyle name="Millares 2 3 2 6 2 2 2 3 2" xfId="48399" xr:uid="{00000000-0005-0000-0000-0000ED120000}"/>
    <cellStyle name="Millares 2 3 2 6 2 2 2 4" xfId="34837" xr:uid="{00000000-0005-0000-0000-0000EE120000}"/>
    <cellStyle name="Millares 2 3 2 6 2 2 3" xfId="11090" xr:uid="{00000000-0005-0000-0000-0000EF120000}"/>
    <cellStyle name="Millares 2 3 2 6 2 2 3 2" xfId="24658" xr:uid="{00000000-0005-0000-0000-0000F0120000}"/>
    <cellStyle name="Millares 2 3 2 6 2 2 3 2 2" xfId="51791" xr:uid="{00000000-0005-0000-0000-0000F1120000}"/>
    <cellStyle name="Millares 2 3 2 6 2 2 3 3" xfId="38229" xr:uid="{00000000-0005-0000-0000-0000F2120000}"/>
    <cellStyle name="Millares 2 3 2 6 2 2 4" xfId="17877" xr:uid="{00000000-0005-0000-0000-0000F3120000}"/>
    <cellStyle name="Millares 2 3 2 6 2 2 4 2" xfId="45010" xr:uid="{00000000-0005-0000-0000-0000F4120000}"/>
    <cellStyle name="Millares 2 3 2 6 2 2 5" xfId="31448" xr:uid="{00000000-0005-0000-0000-0000F5120000}"/>
    <cellStyle name="Millares 2 3 2 6 2 3" xfId="4080" xr:uid="{00000000-0005-0000-0000-0000F6120000}"/>
    <cellStyle name="Millares 2 3 2 6 2 3 2" xfId="7691" xr:uid="{00000000-0005-0000-0000-0000F7120000}"/>
    <cellStyle name="Millares 2 3 2 6 2 3 2 2" xfId="14480" xr:uid="{00000000-0005-0000-0000-0000F8120000}"/>
    <cellStyle name="Millares 2 3 2 6 2 3 2 2 2" xfId="28048" xr:uid="{00000000-0005-0000-0000-0000F9120000}"/>
    <cellStyle name="Millares 2 3 2 6 2 3 2 2 2 2" xfId="55181" xr:uid="{00000000-0005-0000-0000-0000FA120000}"/>
    <cellStyle name="Millares 2 3 2 6 2 3 2 2 3" xfId="41619" xr:uid="{00000000-0005-0000-0000-0000FB120000}"/>
    <cellStyle name="Millares 2 3 2 6 2 3 2 3" xfId="21267" xr:uid="{00000000-0005-0000-0000-0000FC120000}"/>
    <cellStyle name="Millares 2 3 2 6 2 3 2 3 2" xfId="48400" xr:uid="{00000000-0005-0000-0000-0000FD120000}"/>
    <cellStyle name="Millares 2 3 2 6 2 3 2 4" xfId="34838" xr:uid="{00000000-0005-0000-0000-0000FE120000}"/>
    <cellStyle name="Millares 2 3 2 6 2 3 3" xfId="11091" xr:uid="{00000000-0005-0000-0000-0000FF120000}"/>
    <cellStyle name="Millares 2 3 2 6 2 3 3 2" xfId="24659" xr:uid="{00000000-0005-0000-0000-000000130000}"/>
    <cellStyle name="Millares 2 3 2 6 2 3 3 2 2" xfId="51792" xr:uid="{00000000-0005-0000-0000-000001130000}"/>
    <cellStyle name="Millares 2 3 2 6 2 3 3 3" xfId="38230" xr:uid="{00000000-0005-0000-0000-000002130000}"/>
    <cellStyle name="Millares 2 3 2 6 2 3 4" xfId="17878" xr:uid="{00000000-0005-0000-0000-000003130000}"/>
    <cellStyle name="Millares 2 3 2 6 2 3 4 2" xfId="45011" xr:uid="{00000000-0005-0000-0000-000004130000}"/>
    <cellStyle name="Millares 2 3 2 6 2 3 5" xfId="31449" xr:uid="{00000000-0005-0000-0000-000005130000}"/>
    <cellStyle name="Millares 2 3 2 6 2 4" xfId="7689" xr:uid="{00000000-0005-0000-0000-000006130000}"/>
    <cellStyle name="Millares 2 3 2 6 2 4 2" xfId="14478" xr:uid="{00000000-0005-0000-0000-000007130000}"/>
    <cellStyle name="Millares 2 3 2 6 2 4 2 2" xfId="28046" xr:uid="{00000000-0005-0000-0000-000008130000}"/>
    <cellStyle name="Millares 2 3 2 6 2 4 2 2 2" xfId="55179" xr:uid="{00000000-0005-0000-0000-000009130000}"/>
    <cellStyle name="Millares 2 3 2 6 2 4 2 3" xfId="41617" xr:uid="{00000000-0005-0000-0000-00000A130000}"/>
    <cellStyle name="Millares 2 3 2 6 2 4 3" xfId="21265" xr:uid="{00000000-0005-0000-0000-00000B130000}"/>
    <cellStyle name="Millares 2 3 2 6 2 4 3 2" xfId="48398" xr:uid="{00000000-0005-0000-0000-00000C130000}"/>
    <cellStyle name="Millares 2 3 2 6 2 4 4" xfId="34836" xr:uid="{00000000-0005-0000-0000-00000D130000}"/>
    <cellStyle name="Millares 2 3 2 6 2 5" xfId="11089" xr:uid="{00000000-0005-0000-0000-00000E130000}"/>
    <cellStyle name="Millares 2 3 2 6 2 5 2" xfId="24657" xr:uid="{00000000-0005-0000-0000-00000F130000}"/>
    <cellStyle name="Millares 2 3 2 6 2 5 2 2" xfId="51790" xr:uid="{00000000-0005-0000-0000-000010130000}"/>
    <cellStyle name="Millares 2 3 2 6 2 5 3" xfId="38228" xr:uid="{00000000-0005-0000-0000-000011130000}"/>
    <cellStyle name="Millares 2 3 2 6 2 6" xfId="17876" xr:uid="{00000000-0005-0000-0000-000012130000}"/>
    <cellStyle name="Millares 2 3 2 6 2 6 2" xfId="45009" xr:uid="{00000000-0005-0000-0000-000013130000}"/>
    <cellStyle name="Millares 2 3 2 6 2 7" xfId="31447" xr:uid="{00000000-0005-0000-0000-000014130000}"/>
    <cellStyle name="Millares 2 3 2 6 3" xfId="4081" xr:uid="{00000000-0005-0000-0000-000015130000}"/>
    <cellStyle name="Millares 2 3 2 6 3 2" xfId="7692" xr:uid="{00000000-0005-0000-0000-000016130000}"/>
    <cellStyle name="Millares 2 3 2 6 3 2 2" xfId="14481" xr:uid="{00000000-0005-0000-0000-000017130000}"/>
    <cellStyle name="Millares 2 3 2 6 3 2 2 2" xfId="28049" xr:uid="{00000000-0005-0000-0000-000018130000}"/>
    <cellStyle name="Millares 2 3 2 6 3 2 2 2 2" xfId="55182" xr:uid="{00000000-0005-0000-0000-000019130000}"/>
    <cellStyle name="Millares 2 3 2 6 3 2 2 3" xfId="41620" xr:uid="{00000000-0005-0000-0000-00001A130000}"/>
    <cellStyle name="Millares 2 3 2 6 3 2 3" xfId="21268" xr:uid="{00000000-0005-0000-0000-00001B130000}"/>
    <cellStyle name="Millares 2 3 2 6 3 2 3 2" xfId="48401" xr:uid="{00000000-0005-0000-0000-00001C130000}"/>
    <cellStyle name="Millares 2 3 2 6 3 2 4" xfId="34839" xr:uid="{00000000-0005-0000-0000-00001D130000}"/>
    <cellStyle name="Millares 2 3 2 6 3 3" xfId="11092" xr:uid="{00000000-0005-0000-0000-00001E130000}"/>
    <cellStyle name="Millares 2 3 2 6 3 3 2" xfId="24660" xr:uid="{00000000-0005-0000-0000-00001F130000}"/>
    <cellStyle name="Millares 2 3 2 6 3 3 2 2" xfId="51793" xr:uid="{00000000-0005-0000-0000-000020130000}"/>
    <cellStyle name="Millares 2 3 2 6 3 3 3" xfId="38231" xr:uid="{00000000-0005-0000-0000-000021130000}"/>
    <cellStyle name="Millares 2 3 2 6 3 4" xfId="17879" xr:uid="{00000000-0005-0000-0000-000022130000}"/>
    <cellStyle name="Millares 2 3 2 6 3 4 2" xfId="45012" xr:uid="{00000000-0005-0000-0000-000023130000}"/>
    <cellStyle name="Millares 2 3 2 6 3 5" xfId="31450" xr:uid="{00000000-0005-0000-0000-000024130000}"/>
    <cellStyle name="Millares 2 3 2 6 4" xfId="4082" xr:uid="{00000000-0005-0000-0000-000025130000}"/>
    <cellStyle name="Millares 2 3 2 6 4 2" xfId="7693" xr:uid="{00000000-0005-0000-0000-000026130000}"/>
    <cellStyle name="Millares 2 3 2 6 4 2 2" xfId="14482" xr:uid="{00000000-0005-0000-0000-000027130000}"/>
    <cellStyle name="Millares 2 3 2 6 4 2 2 2" xfId="28050" xr:uid="{00000000-0005-0000-0000-000028130000}"/>
    <cellStyle name="Millares 2 3 2 6 4 2 2 2 2" xfId="55183" xr:uid="{00000000-0005-0000-0000-000029130000}"/>
    <cellStyle name="Millares 2 3 2 6 4 2 2 3" xfId="41621" xr:uid="{00000000-0005-0000-0000-00002A130000}"/>
    <cellStyle name="Millares 2 3 2 6 4 2 3" xfId="21269" xr:uid="{00000000-0005-0000-0000-00002B130000}"/>
    <cellStyle name="Millares 2 3 2 6 4 2 3 2" xfId="48402" xr:uid="{00000000-0005-0000-0000-00002C130000}"/>
    <cellStyle name="Millares 2 3 2 6 4 2 4" xfId="34840" xr:uid="{00000000-0005-0000-0000-00002D130000}"/>
    <cellStyle name="Millares 2 3 2 6 4 3" xfId="11093" xr:uid="{00000000-0005-0000-0000-00002E130000}"/>
    <cellStyle name="Millares 2 3 2 6 4 3 2" xfId="24661" xr:uid="{00000000-0005-0000-0000-00002F130000}"/>
    <cellStyle name="Millares 2 3 2 6 4 3 2 2" xfId="51794" xr:uid="{00000000-0005-0000-0000-000030130000}"/>
    <cellStyle name="Millares 2 3 2 6 4 3 3" xfId="38232" xr:uid="{00000000-0005-0000-0000-000031130000}"/>
    <cellStyle name="Millares 2 3 2 6 4 4" xfId="17880" xr:uid="{00000000-0005-0000-0000-000032130000}"/>
    <cellStyle name="Millares 2 3 2 6 4 4 2" xfId="45013" xr:uid="{00000000-0005-0000-0000-000033130000}"/>
    <cellStyle name="Millares 2 3 2 6 4 5" xfId="31451" xr:uid="{00000000-0005-0000-0000-000034130000}"/>
    <cellStyle name="Millares 2 3 2 6 5" xfId="7688" xr:uid="{00000000-0005-0000-0000-000035130000}"/>
    <cellStyle name="Millares 2 3 2 6 5 2" xfId="14477" xr:uid="{00000000-0005-0000-0000-000036130000}"/>
    <cellStyle name="Millares 2 3 2 6 5 2 2" xfId="28045" xr:uid="{00000000-0005-0000-0000-000037130000}"/>
    <cellStyle name="Millares 2 3 2 6 5 2 2 2" xfId="55178" xr:uid="{00000000-0005-0000-0000-000038130000}"/>
    <cellStyle name="Millares 2 3 2 6 5 2 3" xfId="41616" xr:uid="{00000000-0005-0000-0000-000039130000}"/>
    <cellStyle name="Millares 2 3 2 6 5 3" xfId="21264" xr:uid="{00000000-0005-0000-0000-00003A130000}"/>
    <cellStyle name="Millares 2 3 2 6 5 3 2" xfId="48397" xr:uid="{00000000-0005-0000-0000-00003B130000}"/>
    <cellStyle name="Millares 2 3 2 6 5 4" xfId="34835" xr:uid="{00000000-0005-0000-0000-00003C130000}"/>
    <cellStyle name="Millares 2 3 2 6 6" xfId="11088" xr:uid="{00000000-0005-0000-0000-00003D130000}"/>
    <cellStyle name="Millares 2 3 2 6 6 2" xfId="24656" xr:uid="{00000000-0005-0000-0000-00003E130000}"/>
    <cellStyle name="Millares 2 3 2 6 6 2 2" xfId="51789" xr:uid="{00000000-0005-0000-0000-00003F130000}"/>
    <cellStyle name="Millares 2 3 2 6 6 3" xfId="38227" xr:uid="{00000000-0005-0000-0000-000040130000}"/>
    <cellStyle name="Millares 2 3 2 6 7" xfId="17875" xr:uid="{00000000-0005-0000-0000-000041130000}"/>
    <cellStyle name="Millares 2 3 2 6 7 2" xfId="45008" xr:uid="{00000000-0005-0000-0000-000042130000}"/>
    <cellStyle name="Millares 2 3 2 6 8" xfId="31446" xr:uid="{00000000-0005-0000-0000-000043130000}"/>
    <cellStyle name="Millares 2 3 2 7" xfId="4083" xr:uid="{00000000-0005-0000-0000-000044130000}"/>
    <cellStyle name="Millares 2 3 2 7 2" xfId="4084" xr:uid="{00000000-0005-0000-0000-000045130000}"/>
    <cellStyle name="Millares 2 3 2 7 2 2" xfId="7695" xr:uid="{00000000-0005-0000-0000-000046130000}"/>
    <cellStyle name="Millares 2 3 2 7 2 2 2" xfId="14484" xr:uid="{00000000-0005-0000-0000-000047130000}"/>
    <cellStyle name="Millares 2 3 2 7 2 2 2 2" xfId="28052" xr:uid="{00000000-0005-0000-0000-000048130000}"/>
    <cellStyle name="Millares 2 3 2 7 2 2 2 2 2" xfId="55185" xr:uid="{00000000-0005-0000-0000-000049130000}"/>
    <cellStyle name="Millares 2 3 2 7 2 2 2 3" xfId="41623" xr:uid="{00000000-0005-0000-0000-00004A130000}"/>
    <cellStyle name="Millares 2 3 2 7 2 2 3" xfId="21271" xr:uid="{00000000-0005-0000-0000-00004B130000}"/>
    <cellStyle name="Millares 2 3 2 7 2 2 3 2" xfId="48404" xr:uid="{00000000-0005-0000-0000-00004C130000}"/>
    <cellStyle name="Millares 2 3 2 7 2 2 4" xfId="34842" xr:uid="{00000000-0005-0000-0000-00004D130000}"/>
    <cellStyle name="Millares 2 3 2 7 2 3" xfId="11095" xr:uid="{00000000-0005-0000-0000-00004E130000}"/>
    <cellStyle name="Millares 2 3 2 7 2 3 2" xfId="24663" xr:uid="{00000000-0005-0000-0000-00004F130000}"/>
    <cellStyle name="Millares 2 3 2 7 2 3 2 2" xfId="51796" xr:uid="{00000000-0005-0000-0000-000050130000}"/>
    <cellStyle name="Millares 2 3 2 7 2 3 3" xfId="38234" xr:uid="{00000000-0005-0000-0000-000051130000}"/>
    <cellStyle name="Millares 2 3 2 7 2 4" xfId="17882" xr:uid="{00000000-0005-0000-0000-000052130000}"/>
    <cellStyle name="Millares 2 3 2 7 2 4 2" xfId="45015" xr:uid="{00000000-0005-0000-0000-000053130000}"/>
    <cellStyle name="Millares 2 3 2 7 2 5" xfId="31453" xr:uid="{00000000-0005-0000-0000-000054130000}"/>
    <cellStyle name="Millares 2 3 2 7 3" xfId="4085" xr:uid="{00000000-0005-0000-0000-000055130000}"/>
    <cellStyle name="Millares 2 3 2 7 3 2" xfId="7696" xr:uid="{00000000-0005-0000-0000-000056130000}"/>
    <cellStyle name="Millares 2 3 2 7 3 2 2" xfId="14485" xr:uid="{00000000-0005-0000-0000-000057130000}"/>
    <cellStyle name="Millares 2 3 2 7 3 2 2 2" xfId="28053" xr:uid="{00000000-0005-0000-0000-000058130000}"/>
    <cellStyle name="Millares 2 3 2 7 3 2 2 2 2" xfId="55186" xr:uid="{00000000-0005-0000-0000-000059130000}"/>
    <cellStyle name="Millares 2 3 2 7 3 2 2 3" xfId="41624" xr:uid="{00000000-0005-0000-0000-00005A130000}"/>
    <cellStyle name="Millares 2 3 2 7 3 2 3" xfId="21272" xr:uid="{00000000-0005-0000-0000-00005B130000}"/>
    <cellStyle name="Millares 2 3 2 7 3 2 3 2" xfId="48405" xr:uid="{00000000-0005-0000-0000-00005C130000}"/>
    <cellStyle name="Millares 2 3 2 7 3 2 4" xfId="34843" xr:uid="{00000000-0005-0000-0000-00005D130000}"/>
    <cellStyle name="Millares 2 3 2 7 3 3" xfId="11096" xr:uid="{00000000-0005-0000-0000-00005E130000}"/>
    <cellStyle name="Millares 2 3 2 7 3 3 2" xfId="24664" xr:uid="{00000000-0005-0000-0000-00005F130000}"/>
    <cellStyle name="Millares 2 3 2 7 3 3 2 2" xfId="51797" xr:uid="{00000000-0005-0000-0000-000060130000}"/>
    <cellStyle name="Millares 2 3 2 7 3 3 3" xfId="38235" xr:uid="{00000000-0005-0000-0000-000061130000}"/>
    <cellStyle name="Millares 2 3 2 7 3 4" xfId="17883" xr:uid="{00000000-0005-0000-0000-000062130000}"/>
    <cellStyle name="Millares 2 3 2 7 3 4 2" xfId="45016" xr:uid="{00000000-0005-0000-0000-000063130000}"/>
    <cellStyle name="Millares 2 3 2 7 3 5" xfId="31454" xr:uid="{00000000-0005-0000-0000-000064130000}"/>
    <cellStyle name="Millares 2 3 2 7 4" xfId="7694" xr:uid="{00000000-0005-0000-0000-000065130000}"/>
    <cellStyle name="Millares 2 3 2 7 4 2" xfId="14483" xr:uid="{00000000-0005-0000-0000-000066130000}"/>
    <cellStyle name="Millares 2 3 2 7 4 2 2" xfId="28051" xr:uid="{00000000-0005-0000-0000-000067130000}"/>
    <cellStyle name="Millares 2 3 2 7 4 2 2 2" xfId="55184" xr:uid="{00000000-0005-0000-0000-000068130000}"/>
    <cellStyle name="Millares 2 3 2 7 4 2 3" xfId="41622" xr:uid="{00000000-0005-0000-0000-000069130000}"/>
    <cellStyle name="Millares 2 3 2 7 4 3" xfId="21270" xr:uid="{00000000-0005-0000-0000-00006A130000}"/>
    <cellStyle name="Millares 2 3 2 7 4 3 2" xfId="48403" xr:uid="{00000000-0005-0000-0000-00006B130000}"/>
    <cellStyle name="Millares 2 3 2 7 4 4" xfId="34841" xr:uid="{00000000-0005-0000-0000-00006C130000}"/>
    <cellStyle name="Millares 2 3 2 7 5" xfId="11094" xr:uid="{00000000-0005-0000-0000-00006D130000}"/>
    <cellStyle name="Millares 2 3 2 7 5 2" xfId="24662" xr:uid="{00000000-0005-0000-0000-00006E130000}"/>
    <cellStyle name="Millares 2 3 2 7 5 2 2" xfId="51795" xr:uid="{00000000-0005-0000-0000-00006F130000}"/>
    <cellStyle name="Millares 2 3 2 7 5 3" xfId="38233" xr:uid="{00000000-0005-0000-0000-000070130000}"/>
    <cellStyle name="Millares 2 3 2 7 6" xfId="17881" xr:uid="{00000000-0005-0000-0000-000071130000}"/>
    <cellStyle name="Millares 2 3 2 7 6 2" xfId="45014" xr:uid="{00000000-0005-0000-0000-000072130000}"/>
    <cellStyle name="Millares 2 3 2 7 7" xfId="31452" xr:uid="{00000000-0005-0000-0000-000073130000}"/>
    <cellStyle name="Millares 2 3 2 8" xfId="4086" xr:uid="{00000000-0005-0000-0000-000074130000}"/>
    <cellStyle name="Millares 2 3 2 8 2" xfId="4087" xr:uid="{00000000-0005-0000-0000-000075130000}"/>
    <cellStyle name="Millares 2 3 2 8 2 2" xfId="7698" xr:uid="{00000000-0005-0000-0000-000076130000}"/>
    <cellStyle name="Millares 2 3 2 8 2 2 2" xfId="14487" xr:uid="{00000000-0005-0000-0000-000077130000}"/>
    <cellStyle name="Millares 2 3 2 8 2 2 2 2" xfId="28055" xr:uid="{00000000-0005-0000-0000-000078130000}"/>
    <cellStyle name="Millares 2 3 2 8 2 2 2 2 2" xfId="55188" xr:uid="{00000000-0005-0000-0000-000079130000}"/>
    <cellStyle name="Millares 2 3 2 8 2 2 2 3" xfId="41626" xr:uid="{00000000-0005-0000-0000-00007A130000}"/>
    <cellStyle name="Millares 2 3 2 8 2 2 3" xfId="21274" xr:uid="{00000000-0005-0000-0000-00007B130000}"/>
    <cellStyle name="Millares 2 3 2 8 2 2 3 2" xfId="48407" xr:uid="{00000000-0005-0000-0000-00007C130000}"/>
    <cellStyle name="Millares 2 3 2 8 2 2 4" xfId="34845" xr:uid="{00000000-0005-0000-0000-00007D130000}"/>
    <cellStyle name="Millares 2 3 2 8 2 3" xfId="11098" xr:uid="{00000000-0005-0000-0000-00007E130000}"/>
    <cellStyle name="Millares 2 3 2 8 2 3 2" xfId="24666" xr:uid="{00000000-0005-0000-0000-00007F130000}"/>
    <cellStyle name="Millares 2 3 2 8 2 3 2 2" xfId="51799" xr:uid="{00000000-0005-0000-0000-000080130000}"/>
    <cellStyle name="Millares 2 3 2 8 2 3 3" xfId="38237" xr:uid="{00000000-0005-0000-0000-000081130000}"/>
    <cellStyle name="Millares 2 3 2 8 2 4" xfId="17885" xr:uid="{00000000-0005-0000-0000-000082130000}"/>
    <cellStyle name="Millares 2 3 2 8 2 4 2" xfId="45018" xr:uid="{00000000-0005-0000-0000-000083130000}"/>
    <cellStyle name="Millares 2 3 2 8 2 5" xfId="31456" xr:uid="{00000000-0005-0000-0000-000084130000}"/>
    <cellStyle name="Millares 2 3 2 8 3" xfId="4088" xr:uid="{00000000-0005-0000-0000-000085130000}"/>
    <cellStyle name="Millares 2 3 2 8 3 2" xfId="7699" xr:uid="{00000000-0005-0000-0000-000086130000}"/>
    <cellStyle name="Millares 2 3 2 8 3 2 2" xfId="14488" xr:uid="{00000000-0005-0000-0000-000087130000}"/>
    <cellStyle name="Millares 2 3 2 8 3 2 2 2" xfId="28056" xr:uid="{00000000-0005-0000-0000-000088130000}"/>
    <cellStyle name="Millares 2 3 2 8 3 2 2 2 2" xfId="55189" xr:uid="{00000000-0005-0000-0000-000089130000}"/>
    <cellStyle name="Millares 2 3 2 8 3 2 2 3" xfId="41627" xr:uid="{00000000-0005-0000-0000-00008A130000}"/>
    <cellStyle name="Millares 2 3 2 8 3 2 3" xfId="21275" xr:uid="{00000000-0005-0000-0000-00008B130000}"/>
    <cellStyle name="Millares 2 3 2 8 3 2 3 2" xfId="48408" xr:uid="{00000000-0005-0000-0000-00008C130000}"/>
    <cellStyle name="Millares 2 3 2 8 3 2 4" xfId="34846" xr:uid="{00000000-0005-0000-0000-00008D130000}"/>
    <cellStyle name="Millares 2 3 2 8 3 3" xfId="11099" xr:uid="{00000000-0005-0000-0000-00008E130000}"/>
    <cellStyle name="Millares 2 3 2 8 3 3 2" xfId="24667" xr:uid="{00000000-0005-0000-0000-00008F130000}"/>
    <cellStyle name="Millares 2 3 2 8 3 3 2 2" xfId="51800" xr:uid="{00000000-0005-0000-0000-000090130000}"/>
    <cellStyle name="Millares 2 3 2 8 3 3 3" xfId="38238" xr:uid="{00000000-0005-0000-0000-000091130000}"/>
    <cellStyle name="Millares 2 3 2 8 3 4" xfId="17886" xr:uid="{00000000-0005-0000-0000-000092130000}"/>
    <cellStyle name="Millares 2 3 2 8 3 4 2" xfId="45019" xr:uid="{00000000-0005-0000-0000-000093130000}"/>
    <cellStyle name="Millares 2 3 2 8 3 5" xfId="31457" xr:uid="{00000000-0005-0000-0000-000094130000}"/>
    <cellStyle name="Millares 2 3 2 8 4" xfId="7697" xr:uid="{00000000-0005-0000-0000-000095130000}"/>
    <cellStyle name="Millares 2 3 2 8 4 2" xfId="14486" xr:uid="{00000000-0005-0000-0000-000096130000}"/>
    <cellStyle name="Millares 2 3 2 8 4 2 2" xfId="28054" xr:uid="{00000000-0005-0000-0000-000097130000}"/>
    <cellStyle name="Millares 2 3 2 8 4 2 2 2" xfId="55187" xr:uid="{00000000-0005-0000-0000-000098130000}"/>
    <cellStyle name="Millares 2 3 2 8 4 2 3" xfId="41625" xr:uid="{00000000-0005-0000-0000-000099130000}"/>
    <cellStyle name="Millares 2 3 2 8 4 3" xfId="21273" xr:uid="{00000000-0005-0000-0000-00009A130000}"/>
    <cellStyle name="Millares 2 3 2 8 4 3 2" xfId="48406" xr:uid="{00000000-0005-0000-0000-00009B130000}"/>
    <cellStyle name="Millares 2 3 2 8 4 4" xfId="34844" xr:uid="{00000000-0005-0000-0000-00009C130000}"/>
    <cellStyle name="Millares 2 3 2 8 5" xfId="11097" xr:uid="{00000000-0005-0000-0000-00009D130000}"/>
    <cellStyle name="Millares 2 3 2 8 5 2" xfId="24665" xr:uid="{00000000-0005-0000-0000-00009E130000}"/>
    <cellStyle name="Millares 2 3 2 8 5 2 2" xfId="51798" xr:uid="{00000000-0005-0000-0000-00009F130000}"/>
    <cellStyle name="Millares 2 3 2 8 5 3" xfId="38236" xr:uid="{00000000-0005-0000-0000-0000A0130000}"/>
    <cellStyle name="Millares 2 3 2 8 6" xfId="17884" xr:uid="{00000000-0005-0000-0000-0000A1130000}"/>
    <cellStyle name="Millares 2 3 2 8 6 2" xfId="45017" xr:uid="{00000000-0005-0000-0000-0000A2130000}"/>
    <cellStyle name="Millares 2 3 2 8 7" xfId="31455" xr:uid="{00000000-0005-0000-0000-0000A3130000}"/>
    <cellStyle name="Millares 2 3 2 9" xfId="4089" xr:uid="{00000000-0005-0000-0000-0000A4130000}"/>
    <cellStyle name="Millares 2 3 2 9 2" xfId="7700" xr:uid="{00000000-0005-0000-0000-0000A5130000}"/>
    <cellStyle name="Millares 2 3 2 9 2 2" xfId="14489" xr:uid="{00000000-0005-0000-0000-0000A6130000}"/>
    <cellStyle name="Millares 2 3 2 9 2 2 2" xfId="28057" xr:uid="{00000000-0005-0000-0000-0000A7130000}"/>
    <cellStyle name="Millares 2 3 2 9 2 2 2 2" xfId="55190" xr:uid="{00000000-0005-0000-0000-0000A8130000}"/>
    <cellStyle name="Millares 2 3 2 9 2 2 3" xfId="41628" xr:uid="{00000000-0005-0000-0000-0000A9130000}"/>
    <cellStyle name="Millares 2 3 2 9 2 3" xfId="21276" xr:uid="{00000000-0005-0000-0000-0000AA130000}"/>
    <cellStyle name="Millares 2 3 2 9 2 3 2" xfId="48409" xr:uid="{00000000-0005-0000-0000-0000AB130000}"/>
    <cellStyle name="Millares 2 3 2 9 2 4" xfId="34847" xr:uid="{00000000-0005-0000-0000-0000AC130000}"/>
    <cellStyle name="Millares 2 3 2 9 3" xfId="11100" xr:uid="{00000000-0005-0000-0000-0000AD130000}"/>
    <cellStyle name="Millares 2 3 2 9 3 2" xfId="24668" xr:uid="{00000000-0005-0000-0000-0000AE130000}"/>
    <cellStyle name="Millares 2 3 2 9 3 2 2" xfId="51801" xr:uid="{00000000-0005-0000-0000-0000AF130000}"/>
    <cellStyle name="Millares 2 3 2 9 3 3" xfId="38239" xr:uid="{00000000-0005-0000-0000-0000B0130000}"/>
    <cellStyle name="Millares 2 3 2 9 4" xfId="17887" xr:uid="{00000000-0005-0000-0000-0000B1130000}"/>
    <cellStyle name="Millares 2 3 2 9 4 2" xfId="45020" xr:uid="{00000000-0005-0000-0000-0000B2130000}"/>
    <cellStyle name="Millares 2 3 2 9 5" xfId="31458" xr:uid="{00000000-0005-0000-0000-0000B3130000}"/>
    <cellStyle name="Millares 2 3 3" xfId="4090" xr:uid="{00000000-0005-0000-0000-0000B4130000}"/>
    <cellStyle name="Millares 2 3 4" xfId="4091" xr:uid="{00000000-0005-0000-0000-0000B5130000}"/>
    <cellStyle name="Millares 2 3 4 2" xfId="4092" xr:uid="{00000000-0005-0000-0000-0000B6130000}"/>
    <cellStyle name="Millares 2 3 4 2 2" xfId="7702" xr:uid="{00000000-0005-0000-0000-0000B7130000}"/>
    <cellStyle name="Millares 2 3 4 2 2 2" xfId="14491" xr:uid="{00000000-0005-0000-0000-0000B8130000}"/>
    <cellStyle name="Millares 2 3 4 2 2 2 2" xfId="28059" xr:uid="{00000000-0005-0000-0000-0000B9130000}"/>
    <cellStyle name="Millares 2 3 4 2 2 2 2 2" xfId="55192" xr:uid="{00000000-0005-0000-0000-0000BA130000}"/>
    <cellStyle name="Millares 2 3 4 2 2 2 3" xfId="41630" xr:uid="{00000000-0005-0000-0000-0000BB130000}"/>
    <cellStyle name="Millares 2 3 4 2 2 3" xfId="21278" xr:uid="{00000000-0005-0000-0000-0000BC130000}"/>
    <cellStyle name="Millares 2 3 4 2 2 3 2" xfId="48411" xr:uid="{00000000-0005-0000-0000-0000BD130000}"/>
    <cellStyle name="Millares 2 3 4 2 2 4" xfId="34849" xr:uid="{00000000-0005-0000-0000-0000BE130000}"/>
    <cellStyle name="Millares 2 3 4 2 3" xfId="11102" xr:uid="{00000000-0005-0000-0000-0000BF130000}"/>
    <cellStyle name="Millares 2 3 4 2 3 2" xfId="24670" xr:uid="{00000000-0005-0000-0000-0000C0130000}"/>
    <cellStyle name="Millares 2 3 4 2 3 2 2" xfId="51803" xr:uid="{00000000-0005-0000-0000-0000C1130000}"/>
    <cellStyle name="Millares 2 3 4 2 3 3" xfId="38241" xr:uid="{00000000-0005-0000-0000-0000C2130000}"/>
    <cellStyle name="Millares 2 3 4 2 4" xfId="17889" xr:uid="{00000000-0005-0000-0000-0000C3130000}"/>
    <cellStyle name="Millares 2 3 4 2 4 2" xfId="45022" xr:uid="{00000000-0005-0000-0000-0000C4130000}"/>
    <cellStyle name="Millares 2 3 4 2 5" xfId="31460" xr:uid="{00000000-0005-0000-0000-0000C5130000}"/>
    <cellStyle name="Millares 2 3 4 3" xfId="4093" xr:uid="{00000000-0005-0000-0000-0000C6130000}"/>
    <cellStyle name="Millares 2 3 4 3 2" xfId="7703" xr:uid="{00000000-0005-0000-0000-0000C7130000}"/>
    <cellStyle name="Millares 2 3 4 3 2 2" xfId="14492" xr:uid="{00000000-0005-0000-0000-0000C8130000}"/>
    <cellStyle name="Millares 2 3 4 3 2 2 2" xfId="28060" xr:uid="{00000000-0005-0000-0000-0000C9130000}"/>
    <cellStyle name="Millares 2 3 4 3 2 2 2 2" xfId="55193" xr:uid="{00000000-0005-0000-0000-0000CA130000}"/>
    <cellStyle name="Millares 2 3 4 3 2 2 3" xfId="41631" xr:uid="{00000000-0005-0000-0000-0000CB130000}"/>
    <cellStyle name="Millares 2 3 4 3 2 3" xfId="21279" xr:uid="{00000000-0005-0000-0000-0000CC130000}"/>
    <cellStyle name="Millares 2 3 4 3 2 3 2" xfId="48412" xr:uid="{00000000-0005-0000-0000-0000CD130000}"/>
    <cellStyle name="Millares 2 3 4 3 2 4" xfId="34850" xr:uid="{00000000-0005-0000-0000-0000CE130000}"/>
    <cellStyle name="Millares 2 3 4 3 3" xfId="11103" xr:uid="{00000000-0005-0000-0000-0000CF130000}"/>
    <cellStyle name="Millares 2 3 4 3 3 2" xfId="24671" xr:uid="{00000000-0005-0000-0000-0000D0130000}"/>
    <cellStyle name="Millares 2 3 4 3 3 2 2" xfId="51804" xr:uid="{00000000-0005-0000-0000-0000D1130000}"/>
    <cellStyle name="Millares 2 3 4 3 3 3" xfId="38242" xr:uid="{00000000-0005-0000-0000-0000D2130000}"/>
    <cellStyle name="Millares 2 3 4 3 4" xfId="17890" xr:uid="{00000000-0005-0000-0000-0000D3130000}"/>
    <cellStyle name="Millares 2 3 4 3 4 2" xfId="45023" xr:uid="{00000000-0005-0000-0000-0000D4130000}"/>
    <cellStyle name="Millares 2 3 4 3 5" xfId="31461" xr:uid="{00000000-0005-0000-0000-0000D5130000}"/>
    <cellStyle name="Millares 2 3 4 4" xfId="7701" xr:uid="{00000000-0005-0000-0000-0000D6130000}"/>
    <cellStyle name="Millares 2 3 4 4 2" xfId="14490" xr:uid="{00000000-0005-0000-0000-0000D7130000}"/>
    <cellStyle name="Millares 2 3 4 4 2 2" xfId="28058" xr:uid="{00000000-0005-0000-0000-0000D8130000}"/>
    <cellStyle name="Millares 2 3 4 4 2 2 2" xfId="55191" xr:uid="{00000000-0005-0000-0000-0000D9130000}"/>
    <cellStyle name="Millares 2 3 4 4 2 3" xfId="41629" xr:uid="{00000000-0005-0000-0000-0000DA130000}"/>
    <cellStyle name="Millares 2 3 4 4 3" xfId="21277" xr:uid="{00000000-0005-0000-0000-0000DB130000}"/>
    <cellStyle name="Millares 2 3 4 4 3 2" xfId="48410" xr:uid="{00000000-0005-0000-0000-0000DC130000}"/>
    <cellStyle name="Millares 2 3 4 4 4" xfId="34848" xr:uid="{00000000-0005-0000-0000-0000DD130000}"/>
    <cellStyle name="Millares 2 3 4 5" xfId="11101" xr:uid="{00000000-0005-0000-0000-0000DE130000}"/>
    <cellStyle name="Millares 2 3 4 5 2" xfId="24669" xr:uid="{00000000-0005-0000-0000-0000DF130000}"/>
    <cellStyle name="Millares 2 3 4 5 2 2" xfId="51802" xr:uid="{00000000-0005-0000-0000-0000E0130000}"/>
    <cellStyle name="Millares 2 3 4 5 3" xfId="38240" xr:uid="{00000000-0005-0000-0000-0000E1130000}"/>
    <cellStyle name="Millares 2 3 4 6" xfId="17888" xr:uid="{00000000-0005-0000-0000-0000E2130000}"/>
    <cellStyle name="Millares 2 3 4 6 2" xfId="45021" xr:uid="{00000000-0005-0000-0000-0000E3130000}"/>
    <cellStyle name="Millares 2 3 4 7" xfId="31459" xr:uid="{00000000-0005-0000-0000-0000E4130000}"/>
    <cellStyle name="Millares 2 3 5" xfId="4094" xr:uid="{00000000-0005-0000-0000-0000E5130000}"/>
    <cellStyle name="Millares 2 3 5 2" xfId="7704" xr:uid="{00000000-0005-0000-0000-0000E6130000}"/>
    <cellStyle name="Millares 2 3 5 2 2" xfId="14493" xr:uid="{00000000-0005-0000-0000-0000E7130000}"/>
    <cellStyle name="Millares 2 3 5 2 2 2" xfId="28061" xr:uid="{00000000-0005-0000-0000-0000E8130000}"/>
    <cellStyle name="Millares 2 3 5 2 2 2 2" xfId="55194" xr:uid="{00000000-0005-0000-0000-0000E9130000}"/>
    <cellStyle name="Millares 2 3 5 2 2 3" xfId="41632" xr:uid="{00000000-0005-0000-0000-0000EA130000}"/>
    <cellStyle name="Millares 2 3 5 2 3" xfId="21280" xr:uid="{00000000-0005-0000-0000-0000EB130000}"/>
    <cellStyle name="Millares 2 3 5 2 3 2" xfId="48413" xr:uid="{00000000-0005-0000-0000-0000EC130000}"/>
    <cellStyle name="Millares 2 3 5 2 4" xfId="34851" xr:uid="{00000000-0005-0000-0000-0000ED130000}"/>
    <cellStyle name="Millares 2 3 5 3" xfId="11104" xr:uid="{00000000-0005-0000-0000-0000EE130000}"/>
    <cellStyle name="Millares 2 3 5 3 2" xfId="24672" xr:uid="{00000000-0005-0000-0000-0000EF130000}"/>
    <cellStyle name="Millares 2 3 5 3 2 2" xfId="51805" xr:uid="{00000000-0005-0000-0000-0000F0130000}"/>
    <cellStyle name="Millares 2 3 5 3 3" xfId="38243" xr:uid="{00000000-0005-0000-0000-0000F1130000}"/>
    <cellStyle name="Millares 2 3 5 4" xfId="17891" xr:uid="{00000000-0005-0000-0000-0000F2130000}"/>
    <cellStyle name="Millares 2 3 5 4 2" xfId="45024" xr:uid="{00000000-0005-0000-0000-0000F3130000}"/>
    <cellStyle name="Millares 2 3 5 5" xfId="31462" xr:uid="{00000000-0005-0000-0000-0000F4130000}"/>
    <cellStyle name="Millares 2 30" xfId="2381" xr:uid="{00000000-0005-0000-0000-0000F5130000}"/>
    <cellStyle name="Millares 2 31" xfId="2382" xr:uid="{00000000-0005-0000-0000-0000F6130000}"/>
    <cellStyle name="Millares 2 32" xfId="2383" xr:uid="{00000000-0005-0000-0000-0000F7130000}"/>
    <cellStyle name="Millares 2 33" xfId="2384" xr:uid="{00000000-0005-0000-0000-0000F8130000}"/>
    <cellStyle name="Millares 2 34" xfId="2385" xr:uid="{00000000-0005-0000-0000-0000F9130000}"/>
    <cellStyle name="Millares 2 35" xfId="2386" xr:uid="{00000000-0005-0000-0000-0000FA130000}"/>
    <cellStyle name="Millares 2 36" xfId="2387" xr:uid="{00000000-0005-0000-0000-0000FB130000}"/>
    <cellStyle name="Millares 2 37" xfId="2388" xr:uid="{00000000-0005-0000-0000-0000FC130000}"/>
    <cellStyle name="Millares 2 38" xfId="2389" xr:uid="{00000000-0005-0000-0000-0000FD130000}"/>
    <cellStyle name="Millares 2 39" xfId="2390" xr:uid="{00000000-0005-0000-0000-0000FE130000}"/>
    <cellStyle name="Millares 2 4" xfId="177" xr:uid="{00000000-0005-0000-0000-0000FF130000}"/>
    <cellStyle name="Millares 2 40" xfId="2391" xr:uid="{00000000-0005-0000-0000-000000140000}"/>
    <cellStyle name="Millares 2 41" xfId="2392" xr:uid="{00000000-0005-0000-0000-000001140000}"/>
    <cellStyle name="Millares 2 42" xfId="2393" xr:uid="{00000000-0005-0000-0000-000002140000}"/>
    <cellStyle name="Millares 2 43" xfId="2394" xr:uid="{00000000-0005-0000-0000-000003140000}"/>
    <cellStyle name="Millares 2 44" xfId="2395" xr:uid="{00000000-0005-0000-0000-000004140000}"/>
    <cellStyle name="Millares 2 45" xfId="2396" xr:uid="{00000000-0005-0000-0000-000005140000}"/>
    <cellStyle name="Millares 2 46" xfId="2397" xr:uid="{00000000-0005-0000-0000-000006140000}"/>
    <cellStyle name="Millares 2 47" xfId="2398" xr:uid="{00000000-0005-0000-0000-000007140000}"/>
    <cellStyle name="Millares 2 48" xfId="2399" xr:uid="{00000000-0005-0000-0000-000008140000}"/>
    <cellStyle name="Millares 2 49" xfId="2400" xr:uid="{00000000-0005-0000-0000-000009140000}"/>
    <cellStyle name="Millares 2 5" xfId="178" xr:uid="{00000000-0005-0000-0000-00000A140000}"/>
    <cellStyle name="Millares 2 5 10" xfId="4095" xr:uid="{00000000-0005-0000-0000-00000B140000}"/>
    <cellStyle name="Millares 2 5 10 2" xfId="7705" xr:uid="{00000000-0005-0000-0000-00000C140000}"/>
    <cellStyle name="Millares 2 5 10 2 2" xfId="14494" xr:uid="{00000000-0005-0000-0000-00000D140000}"/>
    <cellStyle name="Millares 2 5 10 2 2 2" xfId="28062" xr:uid="{00000000-0005-0000-0000-00000E140000}"/>
    <cellStyle name="Millares 2 5 10 2 2 2 2" xfId="55195" xr:uid="{00000000-0005-0000-0000-00000F140000}"/>
    <cellStyle name="Millares 2 5 10 2 2 3" xfId="41633" xr:uid="{00000000-0005-0000-0000-000010140000}"/>
    <cellStyle name="Millares 2 5 10 2 3" xfId="21281" xr:uid="{00000000-0005-0000-0000-000011140000}"/>
    <cellStyle name="Millares 2 5 10 2 3 2" xfId="48414" xr:uid="{00000000-0005-0000-0000-000012140000}"/>
    <cellStyle name="Millares 2 5 10 2 4" xfId="34852" xr:uid="{00000000-0005-0000-0000-000013140000}"/>
    <cellStyle name="Millares 2 5 10 3" xfId="11105" xr:uid="{00000000-0005-0000-0000-000014140000}"/>
    <cellStyle name="Millares 2 5 10 3 2" xfId="24673" xr:uid="{00000000-0005-0000-0000-000015140000}"/>
    <cellStyle name="Millares 2 5 10 3 2 2" xfId="51806" xr:uid="{00000000-0005-0000-0000-000016140000}"/>
    <cellStyle name="Millares 2 5 10 3 3" xfId="38244" xr:uid="{00000000-0005-0000-0000-000017140000}"/>
    <cellStyle name="Millares 2 5 10 4" xfId="17892" xr:uid="{00000000-0005-0000-0000-000018140000}"/>
    <cellStyle name="Millares 2 5 10 4 2" xfId="45025" xr:uid="{00000000-0005-0000-0000-000019140000}"/>
    <cellStyle name="Millares 2 5 10 5" xfId="31463" xr:uid="{00000000-0005-0000-0000-00001A140000}"/>
    <cellStyle name="Millares 2 5 11" xfId="4096" xr:uid="{00000000-0005-0000-0000-00001B140000}"/>
    <cellStyle name="Millares 2 5 11 2" xfId="7706" xr:uid="{00000000-0005-0000-0000-00001C140000}"/>
    <cellStyle name="Millares 2 5 11 2 2" xfId="14495" xr:uid="{00000000-0005-0000-0000-00001D140000}"/>
    <cellStyle name="Millares 2 5 11 2 2 2" xfId="28063" xr:uid="{00000000-0005-0000-0000-00001E140000}"/>
    <cellStyle name="Millares 2 5 11 2 2 2 2" xfId="55196" xr:uid="{00000000-0005-0000-0000-00001F140000}"/>
    <cellStyle name="Millares 2 5 11 2 2 3" xfId="41634" xr:uid="{00000000-0005-0000-0000-000020140000}"/>
    <cellStyle name="Millares 2 5 11 2 3" xfId="21282" xr:uid="{00000000-0005-0000-0000-000021140000}"/>
    <cellStyle name="Millares 2 5 11 2 3 2" xfId="48415" xr:uid="{00000000-0005-0000-0000-000022140000}"/>
    <cellStyle name="Millares 2 5 11 2 4" xfId="34853" xr:uid="{00000000-0005-0000-0000-000023140000}"/>
    <cellStyle name="Millares 2 5 11 3" xfId="11106" xr:uid="{00000000-0005-0000-0000-000024140000}"/>
    <cellStyle name="Millares 2 5 11 3 2" xfId="24674" xr:uid="{00000000-0005-0000-0000-000025140000}"/>
    <cellStyle name="Millares 2 5 11 3 2 2" xfId="51807" xr:uid="{00000000-0005-0000-0000-000026140000}"/>
    <cellStyle name="Millares 2 5 11 3 3" xfId="38245" xr:uid="{00000000-0005-0000-0000-000027140000}"/>
    <cellStyle name="Millares 2 5 11 4" xfId="17893" xr:uid="{00000000-0005-0000-0000-000028140000}"/>
    <cellStyle name="Millares 2 5 11 4 2" xfId="45026" xr:uid="{00000000-0005-0000-0000-000029140000}"/>
    <cellStyle name="Millares 2 5 11 5" xfId="31464" xr:uid="{00000000-0005-0000-0000-00002A140000}"/>
    <cellStyle name="Millares 2 5 2" xfId="4097" xr:uid="{00000000-0005-0000-0000-00002B140000}"/>
    <cellStyle name="Millares 2 5 2 10" xfId="7707" xr:uid="{00000000-0005-0000-0000-00002C140000}"/>
    <cellStyle name="Millares 2 5 2 10 2" xfId="14496" xr:uid="{00000000-0005-0000-0000-00002D140000}"/>
    <cellStyle name="Millares 2 5 2 10 2 2" xfId="28064" xr:uid="{00000000-0005-0000-0000-00002E140000}"/>
    <cellStyle name="Millares 2 5 2 10 2 2 2" xfId="55197" xr:uid="{00000000-0005-0000-0000-00002F140000}"/>
    <cellStyle name="Millares 2 5 2 10 2 3" xfId="41635" xr:uid="{00000000-0005-0000-0000-000030140000}"/>
    <cellStyle name="Millares 2 5 2 10 3" xfId="21283" xr:uid="{00000000-0005-0000-0000-000031140000}"/>
    <cellStyle name="Millares 2 5 2 10 3 2" xfId="48416" xr:uid="{00000000-0005-0000-0000-000032140000}"/>
    <cellStyle name="Millares 2 5 2 10 4" xfId="34854" xr:uid="{00000000-0005-0000-0000-000033140000}"/>
    <cellStyle name="Millares 2 5 2 11" xfId="11107" xr:uid="{00000000-0005-0000-0000-000034140000}"/>
    <cellStyle name="Millares 2 5 2 11 2" xfId="24675" xr:uid="{00000000-0005-0000-0000-000035140000}"/>
    <cellStyle name="Millares 2 5 2 11 2 2" xfId="51808" xr:uid="{00000000-0005-0000-0000-000036140000}"/>
    <cellStyle name="Millares 2 5 2 11 3" xfId="38246" xr:uid="{00000000-0005-0000-0000-000037140000}"/>
    <cellStyle name="Millares 2 5 2 12" xfId="17894" xr:uid="{00000000-0005-0000-0000-000038140000}"/>
    <cellStyle name="Millares 2 5 2 12 2" xfId="45027" xr:uid="{00000000-0005-0000-0000-000039140000}"/>
    <cellStyle name="Millares 2 5 2 13" xfId="31465" xr:uid="{00000000-0005-0000-0000-00003A140000}"/>
    <cellStyle name="Millares 2 5 2 2" xfId="4098" xr:uid="{00000000-0005-0000-0000-00003B140000}"/>
    <cellStyle name="Millares 2 5 2 2 10" xfId="31466" xr:uid="{00000000-0005-0000-0000-00003C140000}"/>
    <cellStyle name="Millares 2 5 2 2 2" xfId="4099" xr:uid="{00000000-0005-0000-0000-00003D140000}"/>
    <cellStyle name="Millares 2 5 2 2 2 2" xfId="4100" xr:uid="{00000000-0005-0000-0000-00003E140000}"/>
    <cellStyle name="Millares 2 5 2 2 2 2 2" xfId="4101" xr:uid="{00000000-0005-0000-0000-00003F140000}"/>
    <cellStyle name="Millares 2 5 2 2 2 2 2 2" xfId="7711" xr:uid="{00000000-0005-0000-0000-000040140000}"/>
    <cellStyle name="Millares 2 5 2 2 2 2 2 2 2" xfId="14500" xr:uid="{00000000-0005-0000-0000-000041140000}"/>
    <cellStyle name="Millares 2 5 2 2 2 2 2 2 2 2" xfId="28068" xr:uid="{00000000-0005-0000-0000-000042140000}"/>
    <cellStyle name="Millares 2 5 2 2 2 2 2 2 2 2 2" xfId="55201" xr:uid="{00000000-0005-0000-0000-000043140000}"/>
    <cellStyle name="Millares 2 5 2 2 2 2 2 2 2 3" xfId="41639" xr:uid="{00000000-0005-0000-0000-000044140000}"/>
    <cellStyle name="Millares 2 5 2 2 2 2 2 2 3" xfId="21287" xr:uid="{00000000-0005-0000-0000-000045140000}"/>
    <cellStyle name="Millares 2 5 2 2 2 2 2 2 3 2" xfId="48420" xr:uid="{00000000-0005-0000-0000-000046140000}"/>
    <cellStyle name="Millares 2 5 2 2 2 2 2 2 4" xfId="34858" xr:uid="{00000000-0005-0000-0000-000047140000}"/>
    <cellStyle name="Millares 2 5 2 2 2 2 2 3" xfId="11111" xr:uid="{00000000-0005-0000-0000-000048140000}"/>
    <cellStyle name="Millares 2 5 2 2 2 2 2 3 2" xfId="24679" xr:uid="{00000000-0005-0000-0000-000049140000}"/>
    <cellStyle name="Millares 2 5 2 2 2 2 2 3 2 2" xfId="51812" xr:uid="{00000000-0005-0000-0000-00004A140000}"/>
    <cellStyle name="Millares 2 5 2 2 2 2 2 3 3" xfId="38250" xr:uid="{00000000-0005-0000-0000-00004B140000}"/>
    <cellStyle name="Millares 2 5 2 2 2 2 2 4" xfId="17898" xr:uid="{00000000-0005-0000-0000-00004C140000}"/>
    <cellStyle name="Millares 2 5 2 2 2 2 2 4 2" xfId="45031" xr:uid="{00000000-0005-0000-0000-00004D140000}"/>
    <cellStyle name="Millares 2 5 2 2 2 2 2 5" xfId="31469" xr:uid="{00000000-0005-0000-0000-00004E140000}"/>
    <cellStyle name="Millares 2 5 2 2 2 2 3" xfId="4102" xr:uid="{00000000-0005-0000-0000-00004F140000}"/>
    <cellStyle name="Millares 2 5 2 2 2 2 3 2" xfId="7712" xr:uid="{00000000-0005-0000-0000-000050140000}"/>
    <cellStyle name="Millares 2 5 2 2 2 2 3 2 2" xfId="14501" xr:uid="{00000000-0005-0000-0000-000051140000}"/>
    <cellStyle name="Millares 2 5 2 2 2 2 3 2 2 2" xfId="28069" xr:uid="{00000000-0005-0000-0000-000052140000}"/>
    <cellStyle name="Millares 2 5 2 2 2 2 3 2 2 2 2" xfId="55202" xr:uid="{00000000-0005-0000-0000-000053140000}"/>
    <cellStyle name="Millares 2 5 2 2 2 2 3 2 2 3" xfId="41640" xr:uid="{00000000-0005-0000-0000-000054140000}"/>
    <cellStyle name="Millares 2 5 2 2 2 2 3 2 3" xfId="21288" xr:uid="{00000000-0005-0000-0000-000055140000}"/>
    <cellStyle name="Millares 2 5 2 2 2 2 3 2 3 2" xfId="48421" xr:uid="{00000000-0005-0000-0000-000056140000}"/>
    <cellStyle name="Millares 2 5 2 2 2 2 3 2 4" xfId="34859" xr:uid="{00000000-0005-0000-0000-000057140000}"/>
    <cellStyle name="Millares 2 5 2 2 2 2 3 3" xfId="11112" xr:uid="{00000000-0005-0000-0000-000058140000}"/>
    <cellStyle name="Millares 2 5 2 2 2 2 3 3 2" xfId="24680" xr:uid="{00000000-0005-0000-0000-000059140000}"/>
    <cellStyle name="Millares 2 5 2 2 2 2 3 3 2 2" xfId="51813" xr:uid="{00000000-0005-0000-0000-00005A140000}"/>
    <cellStyle name="Millares 2 5 2 2 2 2 3 3 3" xfId="38251" xr:uid="{00000000-0005-0000-0000-00005B140000}"/>
    <cellStyle name="Millares 2 5 2 2 2 2 3 4" xfId="17899" xr:uid="{00000000-0005-0000-0000-00005C140000}"/>
    <cellStyle name="Millares 2 5 2 2 2 2 3 4 2" xfId="45032" xr:uid="{00000000-0005-0000-0000-00005D140000}"/>
    <cellStyle name="Millares 2 5 2 2 2 2 3 5" xfId="31470" xr:uid="{00000000-0005-0000-0000-00005E140000}"/>
    <cellStyle name="Millares 2 5 2 2 2 2 4" xfId="7710" xr:uid="{00000000-0005-0000-0000-00005F140000}"/>
    <cellStyle name="Millares 2 5 2 2 2 2 4 2" xfId="14499" xr:uid="{00000000-0005-0000-0000-000060140000}"/>
    <cellStyle name="Millares 2 5 2 2 2 2 4 2 2" xfId="28067" xr:uid="{00000000-0005-0000-0000-000061140000}"/>
    <cellStyle name="Millares 2 5 2 2 2 2 4 2 2 2" xfId="55200" xr:uid="{00000000-0005-0000-0000-000062140000}"/>
    <cellStyle name="Millares 2 5 2 2 2 2 4 2 3" xfId="41638" xr:uid="{00000000-0005-0000-0000-000063140000}"/>
    <cellStyle name="Millares 2 5 2 2 2 2 4 3" xfId="21286" xr:uid="{00000000-0005-0000-0000-000064140000}"/>
    <cellStyle name="Millares 2 5 2 2 2 2 4 3 2" xfId="48419" xr:uid="{00000000-0005-0000-0000-000065140000}"/>
    <cellStyle name="Millares 2 5 2 2 2 2 4 4" xfId="34857" xr:uid="{00000000-0005-0000-0000-000066140000}"/>
    <cellStyle name="Millares 2 5 2 2 2 2 5" xfId="11110" xr:uid="{00000000-0005-0000-0000-000067140000}"/>
    <cellStyle name="Millares 2 5 2 2 2 2 5 2" xfId="24678" xr:uid="{00000000-0005-0000-0000-000068140000}"/>
    <cellStyle name="Millares 2 5 2 2 2 2 5 2 2" xfId="51811" xr:uid="{00000000-0005-0000-0000-000069140000}"/>
    <cellStyle name="Millares 2 5 2 2 2 2 5 3" xfId="38249" xr:uid="{00000000-0005-0000-0000-00006A140000}"/>
    <cellStyle name="Millares 2 5 2 2 2 2 6" xfId="17897" xr:uid="{00000000-0005-0000-0000-00006B140000}"/>
    <cellStyle name="Millares 2 5 2 2 2 2 6 2" xfId="45030" xr:uid="{00000000-0005-0000-0000-00006C140000}"/>
    <cellStyle name="Millares 2 5 2 2 2 2 7" xfId="31468" xr:uid="{00000000-0005-0000-0000-00006D140000}"/>
    <cellStyle name="Millares 2 5 2 2 2 3" xfId="4103" xr:uid="{00000000-0005-0000-0000-00006E140000}"/>
    <cellStyle name="Millares 2 5 2 2 2 3 2" xfId="4104" xr:uid="{00000000-0005-0000-0000-00006F140000}"/>
    <cellStyle name="Millares 2 5 2 2 2 3 2 2" xfId="7714" xr:uid="{00000000-0005-0000-0000-000070140000}"/>
    <cellStyle name="Millares 2 5 2 2 2 3 2 2 2" xfId="14503" xr:uid="{00000000-0005-0000-0000-000071140000}"/>
    <cellStyle name="Millares 2 5 2 2 2 3 2 2 2 2" xfId="28071" xr:uid="{00000000-0005-0000-0000-000072140000}"/>
    <cellStyle name="Millares 2 5 2 2 2 3 2 2 2 2 2" xfId="55204" xr:uid="{00000000-0005-0000-0000-000073140000}"/>
    <cellStyle name="Millares 2 5 2 2 2 3 2 2 2 3" xfId="41642" xr:uid="{00000000-0005-0000-0000-000074140000}"/>
    <cellStyle name="Millares 2 5 2 2 2 3 2 2 3" xfId="21290" xr:uid="{00000000-0005-0000-0000-000075140000}"/>
    <cellStyle name="Millares 2 5 2 2 2 3 2 2 3 2" xfId="48423" xr:uid="{00000000-0005-0000-0000-000076140000}"/>
    <cellStyle name="Millares 2 5 2 2 2 3 2 2 4" xfId="34861" xr:uid="{00000000-0005-0000-0000-000077140000}"/>
    <cellStyle name="Millares 2 5 2 2 2 3 2 3" xfId="11114" xr:uid="{00000000-0005-0000-0000-000078140000}"/>
    <cellStyle name="Millares 2 5 2 2 2 3 2 3 2" xfId="24682" xr:uid="{00000000-0005-0000-0000-000079140000}"/>
    <cellStyle name="Millares 2 5 2 2 2 3 2 3 2 2" xfId="51815" xr:uid="{00000000-0005-0000-0000-00007A140000}"/>
    <cellStyle name="Millares 2 5 2 2 2 3 2 3 3" xfId="38253" xr:uid="{00000000-0005-0000-0000-00007B140000}"/>
    <cellStyle name="Millares 2 5 2 2 2 3 2 4" xfId="17901" xr:uid="{00000000-0005-0000-0000-00007C140000}"/>
    <cellStyle name="Millares 2 5 2 2 2 3 2 4 2" xfId="45034" xr:uid="{00000000-0005-0000-0000-00007D140000}"/>
    <cellStyle name="Millares 2 5 2 2 2 3 2 5" xfId="31472" xr:uid="{00000000-0005-0000-0000-00007E140000}"/>
    <cellStyle name="Millares 2 5 2 2 2 3 3" xfId="7713" xr:uid="{00000000-0005-0000-0000-00007F140000}"/>
    <cellStyle name="Millares 2 5 2 2 2 3 3 2" xfId="14502" xr:uid="{00000000-0005-0000-0000-000080140000}"/>
    <cellStyle name="Millares 2 5 2 2 2 3 3 2 2" xfId="28070" xr:uid="{00000000-0005-0000-0000-000081140000}"/>
    <cellStyle name="Millares 2 5 2 2 2 3 3 2 2 2" xfId="55203" xr:uid="{00000000-0005-0000-0000-000082140000}"/>
    <cellStyle name="Millares 2 5 2 2 2 3 3 2 3" xfId="41641" xr:uid="{00000000-0005-0000-0000-000083140000}"/>
    <cellStyle name="Millares 2 5 2 2 2 3 3 3" xfId="21289" xr:uid="{00000000-0005-0000-0000-000084140000}"/>
    <cellStyle name="Millares 2 5 2 2 2 3 3 3 2" xfId="48422" xr:uid="{00000000-0005-0000-0000-000085140000}"/>
    <cellStyle name="Millares 2 5 2 2 2 3 3 4" xfId="34860" xr:uid="{00000000-0005-0000-0000-000086140000}"/>
    <cellStyle name="Millares 2 5 2 2 2 3 4" xfId="11113" xr:uid="{00000000-0005-0000-0000-000087140000}"/>
    <cellStyle name="Millares 2 5 2 2 2 3 4 2" xfId="24681" xr:uid="{00000000-0005-0000-0000-000088140000}"/>
    <cellStyle name="Millares 2 5 2 2 2 3 4 2 2" xfId="51814" xr:uid="{00000000-0005-0000-0000-000089140000}"/>
    <cellStyle name="Millares 2 5 2 2 2 3 4 3" xfId="38252" xr:uid="{00000000-0005-0000-0000-00008A140000}"/>
    <cellStyle name="Millares 2 5 2 2 2 3 5" xfId="17900" xr:uid="{00000000-0005-0000-0000-00008B140000}"/>
    <cellStyle name="Millares 2 5 2 2 2 3 5 2" xfId="45033" xr:uid="{00000000-0005-0000-0000-00008C140000}"/>
    <cellStyle name="Millares 2 5 2 2 2 3 6" xfId="31471" xr:uid="{00000000-0005-0000-0000-00008D140000}"/>
    <cellStyle name="Millares 2 5 2 2 2 4" xfId="4105" xr:uid="{00000000-0005-0000-0000-00008E140000}"/>
    <cellStyle name="Millares 2 5 2 2 2 4 2" xfId="7715" xr:uid="{00000000-0005-0000-0000-00008F140000}"/>
    <cellStyle name="Millares 2 5 2 2 2 4 2 2" xfId="14504" xr:uid="{00000000-0005-0000-0000-000090140000}"/>
    <cellStyle name="Millares 2 5 2 2 2 4 2 2 2" xfId="28072" xr:uid="{00000000-0005-0000-0000-000091140000}"/>
    <cellStyle name="Millares 2 5 2 2 2 4 2 2 2 2" xfId="55205" xr:uid="{00000000-0005-0000-0000-000092140000}"/>
    <cellStyle name="Millares 2 5 2 2 2 4 2 2 3" xfId="41643" xr:uid="{00000000-0005-0000-0000-000093140000}"/>
    <cellStyle name="Millares 2 5 2 2 2 4 2 3" xfId="21291" xr:uid="{00000000-0005-0000-0000-000094140000}"/>
    <cellStyle name="Millares 2 5 2 2 2 4 2 3 2" xfId="48424" xr:uid="{00000000-0005-0000-0000-000095140000}"/>
    <cellStyle name="Millares 2 5 2 2 2 4 2 4" xfId="34862" xr:uid="{00000000-0005-0000-0000-000096140000}"/>
    <cellStyle name="Millares 2 5 2 2 2 4 3" xfId="11115" xr:uid="{00000000-0005-0000-0000-000097140000}"/>
    <cellStyle name="Millares 2 5 2 2 2 4 3 2" xfId="24683" xr:uid="{00000000-0005-0000-0000-000098140000}"/>
    <cellStyle name="Millares 2 5 2 2 2 4 3 2 2" xfId="51816" xr:uid="{00000000-0005-0000-0000-000099140000}"/>
    <cellStyle name="Millares 2 5 2 2 2 4 3 3" xfId="38254" xr:uid="{00000000-0005-0000-0000-00009A140000}"/>
    <cellStyle name="Millares 2 5 2 2 2 4 4" xfId="17902" xr:uid="{00000000-0005-0000-0000-00009B140000}"/>
    <cellStyle name="Millares 2 5 2 2 2 4 4 2" xfId="45035" xr:uid="{00000000-0005-0000-0000-00009C140000}"/>
    <cellStyle name="Millares 2 5 2 2 2 4 5" xfId="31473" xr:uid="{00000000-0005-0000-0000-00009D140000}"/>
    <cellStyle name="Millares 2 5 2 2 2 5" xfId="4106" xr:uid="{00000000-0005-0000-0000-00009E140000}"/>
    <cellStyle name="Millares 2 5 2 2 2 5 2" xfId="7716" xr:uid="{00000000-0005-0000-0000-00009F140000}"/>
    <cellStyle name="Millares 2 5 2 2 2 5 2 2" xfId="14505" xr:uid="{00000000-0005-0000-0000-0000A0140000}"/>
    <cellStyle name="Millares 2 5 2 2 2 5 2 2 2" xfId="28073" xr:uid="{00000000-0005-0000-0000-0000A1140000}"/>
    <cellStyle name="Millares 2 5 2 2 2 5 2 2 2 2" xfId="55206" xr:uid="{00000000-0005-0000-0000-0000A2140000}"/>
    <cellStyle name="Millares 2 5 2 2 2 5 2 2 3" xfId="41644" xr:uid="{00000000-0005-0000-0000-0000A3140000}"/>
    <cellStyle name="Millares 2 5 2 2 2 5 2 3" xfId="21292" xr:uid="{00000000-0005-0000-0000-0000A4140000}"/>
    <cellStyle name="Millares 2 5 2 2 2 5 2 3 2" xfId="48425" xr:uid="{00000000-0005-0000-0000-0000A5140000}"/>
    <cellStyle name="Millares 2 5 2 2 2 5 2 4" xfId="34863" xr:uid="{00000000-0005-0000-0000-0000A6140000}"/>
    <cellStyle name="Millares 2 5 2 2 2 5 3" xfId="11116" xr:uid="{00000000-0005-0000-0000-0000A7140000}"/>
    <cellStyle name="Millares 2 5 2 2 2 5 3 2" xfId="24684" xr:uid="{00000000-0005-0000-0000-0000A8140000}"/>
    <cellStyle name="Millares 2 5 2 2 2 5 3 2 2" xfId="51817" xr:uid="{00000000-0005-0000-0000-0000A9140000}"/>
    <cellStyle name="Millares 2 5 2 2 2 5 3 3" xfId="38255" xr:uid="{00000000-0005-0000-0000-0000AA140000}"/>
    <cellStyle name="Millares 2 5 2 2 2 5 4" xfId="17903" xr:uid="{00000000-0005-0000-0000-0000AB140000}"/>
    <cellStyle name="Millares 2 5 2 2 2 5 4 2" xfId="45036" xr:uid="{00000000-0005-0000-0000-0000AC140000}"/>
    <cellStyle name="Millares 2 5 2 2 2 5 5" xfId="31474" xr:uid="{00000000-0005-0000-0000-0000AD140000}"/>
    <cellStyle name="Millares 2 5 2 2 2 6" xfId="7709" xr:uid="{00000000-0005-0000-0000-0000AE140000}"/>
    <cellStyle name="Millares 2 5 2 2 2 6 2" xfId="14498" xr:uid="{00000000-0005-0000-0000-0000AF140000}"/>
    <cellStyle name="Millares 2 5 2 2 2 6 2 2" xfId="28066" xr:uid="{00000000-0005-0000-0000-0000B0140000}"/>
    <cellStyle name="Millares 2 5 2 2 2 6 2 2 2" xfId="55199" xr:uid="{00000000-0005-0000-0000-0000B1140000}"/>
    <cellStyle name="Millares 2 5 2 2 2 6 2 3" xfId="41637" xr:uid="{00000000-0005-0000-0000-0000B2140000}"/>
    <cellStyle name="Millares 2 5 2 2 2 6 3" xfId="21285" xr:uid="{00000000-0005-0000-0000-0000B3140000}"/>
    <cellStyle name="Millares 2 5 2 2 2 6 3 2" xfId="48418" xr:uid="{00000000-0005-0000-0000-0000B4140000}"/>
    <cellStyle name="Millares 2 5 2 2 2 6 4" xfId="34856" xr:uid="{00000000-0005-0000-0000-0000B5140000}"/>
    <cellStyle name="Millares 2 5 2 2 2 7" xfId="11109" xr:uid="{00000000-0005-0000-0000-0000B6140000}"/>
    <cellStyle name="Millares 2 5 2 2 2 7 2" xfId="24677" xr:uid="{00000000-0005-0000-0000-0000B7140000}"/>
    <cellStyle name="Millares 2 5 2 2 2 7 2 2" xfId="51810" xr:uid="{00000000-0005-0000-0000-0000B8140000}"/>
    <cellStyle name="Millares 2 5 2 2 2 7 3" xfId="38248" xr:uid="{00000000-0005-0000-0000-0000B9140000}"/>
    <cellStyle name="Millares 2 5 2 2 2 8" xfId="17896" xr:uid="{00000000-0005-0000-0000-0000BA140000}"/>
    <cellStyle name="Millares 2 5 2 2 2 8 2" xfId="45029" xr:uid="{00000000-0005-0000-0000-0000BB140000}"/>
    <cellStyle name="Millares 2 5 2 2 2 9" xfId="31467" xr:uid="{00000000-0005-0000-0000-0000BC140000}"/>
    <cellStyle name="Millares 2 5 2 2 3" xfId="4107" xr:uid="{00000000-0005-0000-0000-0000BD140000}"/>
    <cellStyle name="Millares 2 5 2 2 3 2" xfId="4108" xr:uid="{00000000-0005-0000-0000-0000BE140000}"/>
    <cellStyle name="Millares 2 5 2 2 3 2 2" xfId="7718" xr:uid="{00000000-0005-0000-0000-0000BF140000}"/>
    <cellStyle name="Millares 2 5 2 2 3 2 2 2" xfId="14507" xr:uid="{00000000-0005-0000-0000-0000C0140000}"/>
    <cellStyle name="Millares 2 5 2 2 3 2 2 2 2" xfId="28075" xr:uid="{00000000-0005-0000-0000-0000C1140000}"/>
    <cellStyle name="Millares 2 5 2 2 3 2 2 2 2 2" xfId="55208" xr:uid="{00000000-0005-0000-0000-0000C2140000}"/>
    <cellStyle name="Millares 2 5 2 2 3 2 2 2 3" xfId="41646" xr:uid="{00000000-0005-0000-0000-0000C3140000}"/>
    <cellStyle name="Millares 2 5 2 2 3 2 2 3" xfId="21294" xr:uid="{00000000-0005-0000-0000-0000C4140000}"/>
    <cellStyle name="Millares 2 5 2 2 3 2 2 3 2" xfId="48427" xr:uid="{00000000-0005-0000-0000-0000C5140000}"/>
    <cellStyle name="Millares 2 5 2 2 3 2 2 4" xfId="34865" xr:uid="{00000000-0005-0000-0000-0000C6140000}"/>
    <cellStyle name="Millares 2 5 2 2 3 2 3" xfId="11118" xr:uid="{00000000-0005-0000-0000-0000C7140000}"/>
    <cellStyle name="Millares 2 5 2 2 3 2 3 2" xfId="24686" xr:uid="{00000000-0005-0000-0000-0000C8140000}"/>
    <cellStyle name="Millares 2 5 2 2 3 2 3 2 2" xfId="51819" xr:uid="{00000000-0005-0000-0000-0000C9140000}"/>
    <cellStyle name="Millares 2 5 2 2 3 2 3 3" xfId="38257" xr:uid="{00000000-0005-0000-0000-0000CA140000}"/>
    <cellStyle name="Millares 2 5 2 2 3 2 4" xfId="17905" xr:uid="{00000000-0005-0000-0000-0000CB140000}"/>
    <cellStyle name="Millares 2 5 2 2 3 2 4 2" xfId="45038" xr:uid="{00000000-0005-0000-0000-0000CC140000}"/>
    <cellStyle name="Millares 2 5 2 2 3 2 5" xfId="31476" xr:uid="{00000000-0005-0000-0000-0000CD140000}"/>
    <cellStyle name="Millares 2 5 2 2 3 3" xfId="4109" xr:uid="{00000000-0005-0000-0000-0000CE140000}"/>
    <cellStyle name="Millares 2 5 2 2 3 3 2" xfId="7719" xr:uid="{00000000-0005-0000-0000-0000CF140000}"/>
    <cellStyle name="Millares 2 5 2 2 3 3 2 2" xfId="14508" xr:uid="{00000000-0005-0000-0000-0000D0140000}"/>
    <cellStyle name="Millares 2 5 2 2 3 3 2 2 2" xfId="28076" xr:uid="{00000000-0005-0000-0000-0000D1140000}"/>
    <cellStyle name="Millares 2 5 2 2 3 3 2 2 2 2" xfId="55209" xr:uid="{00000000-0005-0000-0000-0000D2140000}"/>
    <cellStyle name="Millares 2 5 2 2 3 3 2 2 3" xfId="41647" xr:uid="{00000000-0005-0000-0000-0000D3140000}"/>
    <cellStyle name="Millares 2 5 2 2 3 3 2 3" xfId="21295" xr:uid="{00000000-0005-0000-0000-0000D4140000}"/>
    <cellStyle name="Millares 2 5 2 2 3 3 2 3 2" xfId="48428" xr:uid="{00000000-0005-0000-0000-0000D5140000}"/>
    <cellStyle name="Millares 2 5 2 2 3 3 2 4" xfId="34866" xr:uid="{00000000-0005-0000-0000-0000D6140000}"/>
    <cellStyle name="Millares 2 5 2 2 3 3 3" xfId="11119" xr:uid="{00000000-0005-0000-0000-0000D7140000}"/>
    <cellStyle name="Millares 2 5 2 2 3 3 3 2" xfId="24687" xr:uid="{00000000-0005-0000-0000-0000D8140000}"/>
    <cellStyle name="Millares 2 5 2 2 3 3 3 2 2" xfId="51820" xr:uid="{00000000-0005-0000-0000-0000D9140000}"/>
    <cellStyle name="Millares 2 5 2 2 3 3 3 3" xfId="38258" xr:uid="{00000000-0005-0000-0000-0000DA140000}"/>
    <cellStyle name="Millares 2 5 2 2 3 3 4" xfId="17906" xr:uid="{00000000-0005-0000-0000-0000DB140000}"/>
    <cellStyle name="Millares 2 5 2 2 3 3 4 2" xfId="45039" xr:uid="{00000000-0005-0000-0000-0000DC140000}"/>
    <cellStyle name="Millares 2 5 2 2 3 3 5" xfId="31477" xr:uid="{00000000-0005-0000-0000-0000DD140000}"/>
    <cellStyle name="Millares 2 5 2 2 3 4" xfId="7717" xr:uid="{00000000-0005-0000-0000-0000DE140000}"/>
    <cellStyle name="Millares 2 5 2 2 3 4 2" xfId="14506" xr:uid="{00000000-0005-0000-0000-0000DF140000}"/>
    <cellStyle name="Millares 2 5 2 2 3 4 2 2" xfId="28074" xr:uid="{00000000-0005-0000-0000-0000E0140000}"/>
    <cellStyle name="Millares 2 5 2 2 3 4 2 2 2" xfId="55207" xr:uid="{00000000-0005-0000-0000-0000E1140000}"/>
    <cellStyle name="Millares 2 5 2 2 3 4 2 3" xfId="41645" xr:uid="{00000000-0005-0000-0000-0000E2140000}"/>
    <cellStyle name="Millares 2 5 2 2 3 4 3" xfId="21293" xr:uid="{00000000-0005-0000-0000-0000E3140000}"/>
    <cellStyle name="Millares 2 5 2 2 3 4 3 2" xfId="48426" xr:uid="{00000000-0005-0000-0000-0000E4140000}"/>
    <cellStyle name="Millares 2 5 2 2 3 4 4" xfId="34864" xr:uid="{00000000-0005-0000-0000-0000E5140000}"/>
    <cellStyle name="Millares 2 5 2 2 3 5" xfId="11117" xr:uid="{00000000-0005-0000-0000-0000E6140000}"/>
    <cellStyle name="Millares 2 5 2 2 3 5 2" xfId="24685" xr:uid="{00000000-0005-0000-0000-0000E7140000}"/>
    <cellStyle name="Millares 2 5 2 2 3 5 2 2" xfId="51818" xr:uid="{00000000-0005-0000-0000-0000E8140000}"/>
    <cellStyle name="Millares 2 5 2 2 3 5 3" xfId="38256" xr:uid="{00000000-0005-0000-0000-0000E9140000}"/>
    <cellStyle name="Millares 2 5 2 2 3 6" xfId="17904" xr:uid="{00000000-0005-0000-0000-0000EA140000}"/>
    <cellStyle name="Millares 2 5 2 2 3 6 2" xfId="45037" xr:uid="{00000000-0005-0000-0000-0000EB140000}"/>
    <cellStyle name="Millares 2 5 2 2 3 7" xfId="31475" xr:uid="{00000000-0005-0000-0000-0000EC140000}"/>
    <cellStyle name="Millares 2 5 2 2 4" xfId="4110" xr:uid="{00000000-0005-0000-0000-0000ED140000}"/>
    <cellStyle name="Millares 2 5 2 2 4 2" xfId="4111" xr:uid="{00000000-0005-0000-0000-0000EE140000}"/>
    <cellStyle name="Millares 2 5 2 2 4 2 2" xfId="7721" xr:uid="{00000000-0005-0000-0000-0000EF140000}"/>
    <cellStyle name="Millares 2 5 2 2 4 2 2 2" xfId="14510" xr:uid="{00000000-0005-0000-0000-0000F0140000}"/>
    <cellStyle name="Millares 2 5 2 2 4 2 2 2 2" xfId="28078" xr:uid="{00000000-0005-0000-0000-0000F1140000}"/>
    <cellStyle name="Millares 2 5 2 2 4 2 2 2 2 2" xfId="55211" xr:uid="{00000000-0005-0000-0000-0000F2140000}"/>
    <cellStyle name="Millares 2 5 2 2 4 2 2 2 3" xfId="41649" xr:uid="{00000000-0005-0000-0000-0000F3140000}"/>
    <cellStyle name="Millares 2 5 2 2 4 2 2 3" xfId="21297" xr:uid="{00000000-0005-0000-0000-0000F4140000}"/>
    <cellStyle name="Millares 2 5 2 2 4 2 2 3 2" xfId="48430" xr:uid="{00000000-0005-0000-0000-0000F5140000}"/>
    <cellStyle name="Millares 2 5 2 2 4 2 2 4" xfId="34868" xr:uid="{00000000-0005-0000-0000-0000F6140000}"/>
    <cellStyle name="Millares 2 5 2 2 4 2 3" xfId="11121" xr:uid="{00000000-0005-0000-0000-0000F7140000}"/>
    <cellStyle name="Millares 2 5 2 2 4 2 3 2" xfId="24689" xr:uid="{00000000-0005-0000-0000-0000F8140000}"/>
    <cellStyle name="Millares 2 5 2 2 4 2 3 2 2" xfId="51822" xr:uid="{00000000-0005-0000-0000-0000F9140000}"/>
    <cellStyle name="Millares 2 5 2 2 4 2 3 3" xfId="38260" xr:uid="{00000000-0005-0000-0000-0000FA140000}"/>
    <cellStyle name="Millares 2 5 2 2 4 2 4" xfId="17908" xr:uid="{00000000-0005-0000-0000-0000FB140000}"/>
    <cellStyle name="Millares 2 5 2 2 4 2 4 2" xfId="45041" xr:uid="{00000000-0005-0000-0000-0000FC140000}"/>
    <cellStyle name="Millares 2 5 2 2 4 2 5" xfId="31479" xr:uid="{00000000-0005-0000-0000-0000FD140000}"/>
    <cellStyle name="Millares 2 5 2 2 4 3" xfId="7720" xr:uid="{00000000-0005-0000-0000-0000FE140000}"/>
    <cellStyle name="Millares 2 5 2 2 4 3 2" xfId="14509" xr:uid="{00000000-0005-0000-0000-0000FF140000}"/>
    <cellStyle name="Millares 2 5 2 2 4 3 2 2" xfId="28077" xr:uid="{00000000-0005-0000-0000-000000150000}"/>
    <cellStyle name="Millares 2 5 2 2 4 3 2 2 2" xfId="55210" xr:uid="{00000000-0005-0000-0000-000001150000}"/>
    <cellStyle name="Millares 2 5 2 2 4 3 2 3" xfId="41648" xr:uid="{00000000-0005-0000-0000-000002150000}"/>
    <cellStyle name="Millares 2 5 2 2 4 3 3" xfId="21296" xr:uid="{00000000-0005-0000-0000-000003150000}"/>
    <cellStyle name="Millares 2 5 2 2 4 3 3 2" xfId="48429" xr:uid="{00000000-0005-0000-0000-000004150000}"/>
    <cellStyle name="Millares 2 5 2 2 4 3 4" xfId="34867" xr:uid="{00000000-0005-0000-0000-000005150000}"/>
    <cellStyle name="Millares 2 5 2 2 4 4" xfId="11120" xr:uid="{00000000-0005-0000-0000-000006150000}"/>
    <cellStyle name="Millares 2 5 2 2 4 4 2" xfId="24688" xr:uid="{00000000-0005-0000-0000-000007150000}"/>
    <cellStyle name="Millares 2 5 2 2 4 4 2 2" xfId="51821" xr:uid="{00000000-0005-0000-0000-000008150000}"/>
    <cellStyle name="Millares 2 5 2 2 4 4 3" xfId="38259" xr:uid="{00000000-0005-0000-0000-000009150000}"/>
    <cellStyle name="Millares 2 5 2 2 4 5" xfId="17907" xr:uid="{00000000-0005-0000-0000-00000A150000}"/>
    <cellStyle name="Millares 2 5 2 2 4 5 2" xfId="45040" xr:uid="{00000000-0005-0000-0000-00000B150000}"/>
    <cellStyle name="Millares 2 5 2 2 4 6" xfId="31478" xr:uid="{00000000-0005-0000-0000-00000C150000}"/>
    <cellStyle name="Millares 2 5 2 2 5" xfId="4112" xr:uid="{00000000-0005-0000-0000-00000D150000}"/>
    <cellStyle name="Millares 2 5 2 2 5 2" xfId="7722" xr:uid="{00000000-0005-0000-0000-00000E150000}"/>
    <cellStyle name="Millares 2 5 2 2 5 2 2" xfId="14511" xr:uid="{00000000-0005-0000-0000-00000F150000}"/>
    <cellStyle name="Millares 2 5 2 2 5 2 2 2" xfId="28079" xr:uid="{00000000-0005-0000-0000-000010150000}"/>
    <cellStyle name="Millares 2 5 2 2 5 2 2 2 2" xfId="55212" xr:uid="{00000000-0005-0000-0000-000011150000}"/>
    <cellStyle name="Millares 2 5 2 2 5 2 2 3" xfId="41650" xr:uid="{00000000-0005-0000-0000-000012150000}"/>
    <cellStyle name="Millares 2 5 2 2 5 2 3" xfId="21298" xr:uid="{00000000-0005-0000-0000-000013150000}"/>
    <cellStyle name="Millares 2 5 2 2 5 2 3 2" xfId="48431" xr:uid="{00000000-0005-0000-0000-000014150000}"/>
    <cellStyle name="Millares 2 5 2 2 5 2 4" xfId="34869" xr:uid="{00000000-0005-0000-0000-000015150000}"/>
    <cellStyle name="Millares 2 5 2 2 5 3" xfId="11122" xr:uid="{00000000-0005-0000-0000-000016150000}"/>
    <cellStyle name="Millares 2 5 2 2 5 3 2" xfId="24690" xr:uid="{00000000-0005-0000-0000-000017150000}"/>
    <cellStyle name="Millares 2 5 2 2 5 3 2 2" xfId="51823" xr:uid="{00000000-0005-0000-0000-000018150000}"/>
    <cellStyle name="Millares 2 5 2 2 5 3 3" xfId="38261" xr:uid="{00000000-0005-0000-0000-000019150000}"/>
    <cellStyle name="Millares 2 5 2 2 5 4" xfId="17909" xr:uid="{00000000-0005-0000-0000-00001A150000}"/>
    <cellStyle name="Millares 2 5 2 2 5 4 2" xfId="45042" xr:uid="{00000000-0005-0000-0000-00001B150000}"/>
    <cellStyle name="Millares 2 5 2 2 5 5" xfId="31480" xr:uid="{00000000-0005-0000-0000-00001C150000}"/>
    <cellStyle name="Millares 2 5 2 2 6" xfId="4113" xr:uid="{00000000-0005-0000-0000-00001D150000}"/>
    <cellStyle name="Millares 2 5 2 2 6 2" xfId="7723" xr:uid="{00000000-0005-0000-0000-00001E150000}"/>
    <cellStyle name="Millares 2 5 2 2 6 2 2" xfId="14512" xr:uid="{00000000-0005-0000-0000-00001F150000}"/>
    <cellStyle name="Millares 2 5 2 2 6 2 2 2" xfId="28080" xr:uid="{00000000-0005-0000-0000-000020150000}"/>
    <cellStyle name="Millares 2 5 2 2 6 2 2 2 2" xfId="55213" xr:uid="{00000000-0005-0000-0000-000021150000}"/>
    <cellStyle name="Millares 2 5 2 2 6 2 2 3" xfId="41651" xr:uid="{00000000-0005-0000-0000-000022150000}"/>
    <cellStyle name="Millares 2 5 2 2 6 2 3" xfId="21299" xr:uid="{00000000-0005-0000-0000-000023150000}"/>
    <cellStyle name="Millares 2 5 2 2 6 2 3 2" xfId="48432" xr:uid="{00000000-0005-0000-0000-000024150000}"/>
    <cellStyle name="Millares 2 5 2 2 6 2 4" xfId="34870" xr:uid="{00000000-0005-0000-0000-000025150000}"/>
    <cellStyle name="Millares 2 5 2 2 6 3" xfId="11123" xr:uid="{00000000-0005-0000-0000-000026150000}"/>
    <cellStyle name="Millares 2 5 2 2 6 3 2" xfId="24691" xr:uid="{00000000-0005-0000-0000-000027150000}"/>
    <cellStyle name="Millares 2 5 2 2 6 3 2 2" xfId="51824" xr:uid="{00000000-0005-0000-0000-000028150000}"/>
    <cellStyle name="Millares 2 5 2 2 6 3 3" xfId="38262" xr:uid="{00000000-0005-0000-0000-000029150000}"/>
    <cellStyle name="Millares 2 5 2 2 6 4" xfId="17910" xr:uid="{00000000-0005-0000-0000-00002A150000}"/>
    <cellStyle name="Millares 2 5 2 2 6 4 2" xfId="45043" xr:uid="{00000000-0005-0000-0000-00002B150000}"/>
    <cellStyle name="Millares 2 5 2 2 6 5" xfId="31481" xr:uid="{00000000-0005-0000-0000-00002C150000}"/>
    <cellStyle name="Millares 2 5 2 2 7" xfId="7708" xr:uid="{00000000-0005-0000-0000-00002D150000}"/>
    <cellStyle name="Millares 2 5 2 2 7 2" xfId="14497" xr:uid="{00000000-0005-0000-0000-00002E150000}"/>
    <cellStyle name="Millares 2 5 2 2 7 2 2" xfId="28065" xr:uid="{00000000-0005-0000-0000-00002F150000}"/>
    <cellStyle name="Millares 2 5 2 2 7 2 2 2" xfId="55198" xr:uid="{00000000-0005-0000-0000-000030150000}"/>
    <cellStyle name="Millares 2 5 2 2 7 2 3" xfId="41636" xr:uid="{00000000-0005-0000-0000-000031150000}"/>
    <cellStyle name="Millares 2 5 2 2 7 3" xfId="21284" xr:uid="{00000000-0005-0000-0000-000032150000}"/>
    <cellStyle name="Millares 2 5 2 2 7 3 2" xfId="48417" xr:uid="{00000000-0005-0000-0000-000033150000}"/>
    <cellStyle name="Millares 2 5 2 2 7 4" xfId="34855" xr:uid="{00000000-0005-0000-0000-000034150000}"/>
    <cellStyle name="Millares 2 5 2 2 8" xfId="11108" xr:uid="{00000000-0005-0000-0000-000035150000}"/>
    <cellStyle name="Millares 2 5 2 2 8 2" xfId="24676" xr:uid="{00000000-0005-0000-0000-000036150000}"/>
    <cellStyle name="Millares 2 5 2 2 8 2 2" xfId="51809" xr:uid="{00000000-0005-0000-0000-000037150000}"/>
    <cellStyle name="Millares 2 5 2 2 8 3" xfId="38247" xr:uid="{00000000-0005-0000-0000-000038150000}"/>
    <cellStyle name="Millares 2 5 2 2 9" xfId="17895" xr:uid="{00000000-0005-0000-0000-000039150000}"/>
    <cellStyle name="Millares 2 5 2 2 9 2" xfId="45028" xr:uid="{00000000-0005-0000-0000-00003A150000}"/>
    <cellStyle name="Millares 2 5 2 3" xfId="4114" xr:uid="{00000000-0005-0000-0000-00003B150000}"/>
    <cellStyle name="Millares 2 5 2 3 2" xfId="4115" xr:uid="{00000000-0005-0000-0000-00003C150000}"/>
    <cellStyle name="Millares 2 5 2 3 2 2" xfId="4116" xr:uid="{00000000-0005-0000-0000-00003D150000}"/>
    <cellStyle name="Millares 2 5 2 3 2 2 2" xfId="7726" xr:uid="{00000000-0005-0000-0000-00003E150000}"/>
    <cellStyle name="Millares 2 5 2 3 2 2 2 2" xfId="14515" xr:uid="{00000000-0005-0000-0000-00003F150000}"/>
    <cellStyle name="Millares 2 5 2 3 2 2 2 2 2" xfId="28083" xr:uid="{00000000-0005-0000-0000-000040150000}"/>
    <cellStyle name="Millares 2 5 2 3 2 2 2 2 2 2" xfId="55216" xr:uid="{00000000-0005-0000-0000-000041150000}"/>
    <cellStyle name="Millares 2 5 2 3 2 2 2 2 3" xfId="41654" xr:uid="{00000000-0005-0000-0000-000042150000}"/>
    <cellStyle name="Millares 2 5 2 3 2 2 2 3" xfId="21302" xr:uid="{00000000-0005-0000-0000-000043150000}"/>
    <cellStyle name="Millares 2 5 2 3 2 2 2 3 2" xfId="48435" xr:uid="{00000000-0005-0000-0000-000044150000}"/>
    <cellStyle name="Millares 2 5 2 3 2 2 2 4" xfId="34873" xr:uid="{00000000-0005-0000-0000-000045150000}"/>
    <cellStyle name="Millares 2 5 2 3 2 2 3" xfId="11126" xr:uid="{00000000-0005-0000-0000-000046150000}"/>
    <cellStyle name="Millares 2 5 2 3 2 2 3 2" xfId="24694" xr:uid="{00000000-0005-0000-0000-000047150000}"/>
    <cellStyle name="Millares 2 5 2 3 2 2 3 2 2" xfId="51827" xr:uid="{00000000-0005-0000-0000-000048150000}"/>
    <cellStyle name="Millares 2 5 2 3 2 2 3 3" xfId="38265" xr:uid="{00000000-0005-0000-0000-000049150000}"/>
    <cellStyle name="Millares 2 5 2 3 2 2 4" xfId="17913" xr:uid="{00000000-0005-0000-0000-00004A150000}"/>
    <cellStyle name="Millares 2 5 2 3 2 2 4 2" xfId="45046" xr:uid="{00000000-0005-0000-0000-00004B150000}"/>
    <cellStyle name="Millares 2 5 2 3 2 2 5" xfId="31484" xr:uid="{00000000-0005-0000-0000-00004C150000}"/>
    <cellStyle name="Millares 2 5 2 3 2 3" xfId="4117" xr:uid="{00000000-0005-0000-0000-00004D150000}"/>
    <cellStyle name="Millares 2 5 2 3 2 3 2" xfId="7727" xr:uid="{00000000-0005-0000-0000-00004E150000}"/>
    <cellStyle name="Millares 2 5 2 3 2 3 2 2" xfId="14516" xr:uid="{00000000-0005-0000-0000-00004F150000}"/>
    <cellStyle name="Millares 2 5 2 3 2 3 2 2 2" xfId="28084" xr:uid="{00000000-0005-0000-0000-000050150000}"/>
    <cellStyle name="Millares 2 5 2 3 2 3 2 2 2 2" xfId="55217" xr:uid="{00000000-0005-0000-0000-000051150000}"/>
    <cellStyle name="Millares 2 5 2 3 2 3 2 2 3" xfId="41655" xr:uid="{00000000-0005-0000-0000-000052150000}"/>
    <cellStyle name="Millares 2 5 2 3 2 3 2 3" xfId="21303" xr:uid="{00000000-0005-0000-0000-000053150000}"/>
    <cellStyle name="Millares 2 5 2 3 2 3 2 3 2" xfId="48436" xr:uid="{00000000-0005-0000-0000-000054150000}"/>
    <cellStyle name="Millares 2 5 2 3 2 3 2 4" xfId="34874" xr:uid="{00000000-0005-0000-0000-000055150000}"/>
    <cellStyle name="Millares 2 5 2 3 2 3 3" xfId="11127" xr:uid="{00000000-0005-0000-0000-000056150000}"/>
    <cellStyle name="Millares 2 5 2 3 2 3 3 2" xfId="24695" xr:uid="{00000000-0005-0000-0000-000057150000}"/>
    <cellStyle name="Millares 2 5 2 3 2 3 3 2 2" xfId="51828" xr:uid="{00000000-0005-0000-0000-000058150000}"/>
    <cellStyle name="Millares 2 5 2 3 2 3 3 3" xfId="38266" xr:uid="{00000000-0005-0000-0000-000059150000}"/>
    <cellStyle name="Millares 2 5 2 3 2 3 4" xfId="17914" xr:uid="{00000000-0005-0000-0000-00005A150000}"/>
    <cellStyle name="Millares 2 5 2 3 2 3 4 2" xfId="45047" xr:uid="{00000000-0005-0000-0000-00005B150000}"/>
    <cellStyle name="Millares 2 5 2 3 2 3 5" xfId="31485" xr:uid="{00000000-0005-0000-0000-00005C150000}"/>
    <cellStyle name="Millares 2 5 2 3 2 4" xfId="7725" xr:uid="{00000000-0005-0000-0000-00005D150000}"/>
    <cellStyle name="Millares 2 5 2 3 2 4 2" xfId="14514" xr:uid="{00000000-0005-0000-0000-00005E150000}"/>
    <cellStyle name="Millares 2 5 2 3 2 4 2 2" xfId="28082" xr:uid="{00000000-0005-0000-0000-00005F150000}"/>
    <cellStyle name="Millares 2 5 2 3 2 4 2 2 2" xfId="55215" xr:uid="{00000000-0005-0000-0000-000060150000}"/>
    <cellStyle name="Millares 2 5 2 3 2 4 2 3" xfId="41653" xr:uid="{00000000-0005-0000-0000-000061150000}"/>
    <cellStyle name="Millares 2 5 2 3 2 4 3" xfId="21301" xr:uid="{00000000-0005-0000-0000-000062150000}"/>
    <cellStyle name="Millares 2 5 2 3 2 4 3 2" xfId="48434" xr:uid="{00000000-0005-0000-0000-000063150000}"/>
    <cellStyle name="Millares 2 5 2 3 2 4 4" xfId="34872" xr:uid="{00000000-0005-0000-0000-000064150000}"/>
    <cellStyle name="Millares 2 5 2 3 2 5" xfId="11125" xr:uid="{00000000-0005-0000-0000-000065150000}"/>
    <cellStyle name="Millares 2 5 2 3 2 5 2" xfId="24693" xr:uid="{00000000-0005-0000-0000-000066150000}"/>
    <cellStyle name="Millares 2 5 2 3 2 5 2 2" xfId="51826" xr:uid="{00000000-0005-0000-0000-000067150000}"/>
    <cellStyle name="Millares 2 5 2 3 2 5 3" xfId="38264" xr:uid="{00000000-0005-0000-0000-000068150000}"/>
    <cellStyle name="Millares 2 5 2 3 2 6" xfId="17912" xr:uid="{00000000-0005-0000-0000-000069150000}"/>
    <cellStyle name="Millares 2 5 2 3 2 6 2" xfId="45045" xr:uid="{00000000-0005-0000-0000-00006A150000}"/>
    <cellStyle name="Millares 2 5 2 3 2 7" xfId="31483" xr:uid="{00000000-0005-0000-0000-00006B150000}"/>
    <cellStyle name="Millares 2 5 2 3 3" xfId="4118" xr:uid="{00000000-0005-0000-0000-00006C150000}"/>
    <cellStyle name="Millares 2 5 2 3 3 2" xfId="4119" xr:uid="{00000000-0005-0000-0000-00006D150000}"/>
    <cellStyle name="Millares 2 5 2 3 3 2 2" xfId="7729" xr:uid="{00000000-0005-0000-0000-00006E150000}"/>
    <cellStyle name="Millares 2 5 2 3 3 2 2 2" xfId="14518" xr:uid="{00000000-0005-0000-0000-00006F150000}"/>
    <cellStyle name="Millares 2 5 2 3 3 2 2 2 2" xfId="28086" xr:uid="{00000000-0005-0000-0000-000070150000}"/>
    <cellStyle name="Millares 2 5 2 3 3 2 2 2 2 2" xfId="55219" xr:uid="{00000000-0005-0000-0000-000071150000}"/>
    <cellStyle name="Millares 2 5 2 3 3 2 2 2 3" xfId="41657" xr:uid="{00000000-0005-0000-0000-000072150000}"/>
    <cellStyle name="Millares 2 5 2 3 3 2 2 3" xfId="21305" xr:uid="{00000000-0005-0000-0000-000073150000}"/>
    <cellStyle name="Millares 2 5 2 3 3 2 2 3 2" xfId="48438" xr:uid="{00000000-0005-0000-0000-000074150000}"/>
    <cellStyle name="Millares 2 5 2 3 3 2 2 4" xfId="34876" xr:uid="{00000000-0005-0000-0000-000075150000}"/>
    <cellStyle name="Millares 2 5 2 3 3 2 3" xfId="11129" xr:uid="{00000000-0005-0000-0000-000076150000}"/>
    <cellStyle name="Millares 2 5 2 3 3 2 3 2" xfId="24697" xr:uid="{00000000-0005-0000-0000-000077150000}"/>
    <cellStyle name="Millares 2 5 2 3 3 2 3 2 2" xfId="51830" xr:uid="{00000000-0005-0000-0000-000078150000}"/>
    <cellStyle name="Millares 2 5 2 3 3 2 3 3" xfId="38268" xr:uid="{00000000-0005-0000-0000-000079150000}"/>
    <cellStyle name="Millares 2 5 2 3 3 2 4" xfId="17916" xr:uid="{00000000-0005-0000-0000-00007A150000}"/>
    <cellStyle name="Millares 2 5 2 3 3 2 4 2" xfId="45049" xr:uid="{00000000-0005-0000-0000-00007B150000}"/>
    <cellStyle name="Millares 2 5 2 3 3 2 5" xfId="31487" xr:uid="{00000000-0005-0000-0000-00007C150000}"/>
    <cellStyle name="Millares 2 5 2 3 3 3" xfId="7728" xr:uid="{00000000-0005-0000-0000-00007D150000}"/>
    <cellStyle name="Millares 2 5 2 3 3 3 2" xfId="14517" xr:uid="{00000000-0005-0000-0000-00007E150000}"/>
    <cellStyle name="Millares 2 5 2 3 3 3 2 2" xfId="28085" xr:uid="{00000000-0005-0000-0000-00007F150000}"/>
    <cellStyle name="Millares 2 5 2 3 3 3 2 2 2" xfId="55218" xr:uid="{00000000-0005-0000-0000-000080150000}"/>
    <cellStyle name="Millares 2 5 2 3 3 3 2 3" xfId="41656" xr:uid="{00000000-0005-0000-0000-000081150000}"/>
    <cellStyle name="Millares 2 5 2 3 3 3 3" xfId="21304" xr:uid="{00000000-0005-0000-0000-000082150000}"/>
    <cellStyle name="Millares 2 5 2 3 3 3 3 2" xfId="48437" xr:uid="{00000000-0005-0000-0000-000083150000}"/>
    <cellStyle name="Millares 2 5 2 3 3 3 4" xfId="34875" xr:uid="{00000000-0005-0000-0000-000084150000}"/>
    <cellStyle name="Millares 2 5 2 3 3 4" xfId="11128" xr:uid="{00000000-0005-0000-0000-000085150000}"/>
    <cellStyle name="Millares 2 5 2 3 3 4 2" xfId="24696" xr:uid="{00000000-0005-0000-0000-000086150000}"/>
    <cellStyle name="Millares 2 5 2 3 3 4 2 2" xfId="51829" xr:uid="{00000000-0005-0000-0000-000087150000}"/>
    <cellStyle name="Millares 2 5 2 3 3 4 3" xfId="38267" xr:uid="{00000000-0005-0000-0000-000088150000}"/>
    <cellStyle name="Millares 2 5 2 3 3 5" xfId="17915" xr:uid="{00000000-0005-0000-0000-000089150000}"/>
    <cellStyle name="Millares 2 5 2 3 3 5 2" xfId="45048" xr:uid="{00000000-0005-0000-0000-00008A150000}"/>
    <cellStyle name="Millares 2 5 2 3 3 6" xfId="31486" xr:uid="{00000000-0005-0000-0000-00008B150000}"/>
    <cellStyle name="Millares 2 5 2 3 4" xfId="4120" xr:uid="{00000000-0005-0000-0000-00008C150000}"/>
    <cellStyle name="Millares 2 5 2 3 4 2" xfId="7730" xr:uid="{00000000-0005-0000-0000-00008D150000}"/>
    <cellStyle name="Millares 2 5 2 3 4 2 2" xfId="14519" xr:uid="{00000000-0005-0000-0000-00008E150000}"/>
    <cellStyle name="Millares 2 5 2 3 4 2 2 2" xfId="28087" xr:uid="{00000000-0005-0000-0000-00008F150000}"/>
    <cellStyle name="Millares 2 5 2 3 4 2 2 2 2" xfId="55220" xr:uid="{00000000-0005-0000-0000-000090150000}"/>
    <cellStyle name="Millares 2 5 2 3 4 2 2 3" xfId="41658" xr:uid="{00000000-0005-0000-0000-000091150000}"/>
    <cellStyle name="Millares 2 5 2 3 4 2 3" xfId="21306" xr:uid="{00000000-0005-0000-0000-000092150000}"/>
    <cellStyle name="Millares 2 5 2 3 4 2 3 2" xfId="48439" xr:uid="{00000000-0005-0000-0000-000093150000}"/>
    <cellStyle name="Millares 2 5 2 3 4 2 4" xfId="34877" xr:uid="{00000000-0005-0000-0000-000094150000}"/>
    <cellStyle name="Millares 2 5 2 3 4 3" xfId="11130" xr:uid="{00000000-0005-0000-0000-000095150000}"/>
    <cellStyle name="Millares 2 5 2 3 4 3 2" xfId="24698" xr:uid="{00000000-0005-0000-0000-000096150000}"/>
    <cellStyle name="Millares 2 5 2 3 4 3 2 2" xfId="51831" xr:uid="{00000000-0005-0000-0000-000097150000}"/>
    <cellStyle name="Millares 2 5 2 3 4 3 3" xfId="38269" xr:uid="{00000000-0005-0000-0000-000098150000}"/>
    <cellStyle name="Millares 2 5 2 3 4 4" xfId="17917" xr:uid="{00000000-0005-0000-0000-000099150000}"/>
    <cellStyle name="Millares 2 5 2 3 4 4 2" xfId="45050" xr:uid="{00000000-0005-0000-0000-00009A150000}"/>
    <cellStyle name="Millares 2 5 2 3 4 5" xfId="31488" xr:uid="{00000000-0005-0000-0000-00009B150000}"/>
    <cellStyle name="Millares 2 5 2 3 5" xfId="4121" xr:uid="{00000000-0005-0000-0000-00009C150000}"/>
    <cellStyle name="Millares 2 5 2 3 5 2" xfId="7731" xr:uid="{00000000-0005-0000-0000-00009D150000}"/>
    <cellStyle name="Millares 2 5 2 3 5 2 2" xfId="14520" xr:uid="{00000000-0005-0000-0000-00009E150000}"/>
    <cellStyle name="Millares 2 5 2 3 5 2 2 2" xfId="28088" xr:uid="{00000000-0005-0000-0000-00009F150000}"/>
    <cellStyle name="Millares 2 5 2 3 5 2 2 2 2" xfId="55221" xr:uid="{00000000-0005-0000-0000-0000A0150000}"/>
    <cellStyle name="Millares 2 5 2 3 5 2 2 3" xfId="41659" xr:uid="{00000000-0005-0000-0000-0000A1150000}"/>
    <cellStyle name="Millares 2 5 2 3 5 2 3" xfId="21307" xr:uid="{00000000-0005-0000-0000-0000A2150000}"/>
    <cellStyle name="Millares 2 5 2 3 5 2 3 2" xfId="48440" xr:uid="{00000000-0005-0000-0000-0000A3150000}"/>
    <cellStyle name="Millares 2 5 2 3 5 2 4" xfId="34878" xr:uid="{00000000-0005-0000-0000-0000A4150000}"/>
    <cellStyle name="Millares 2 5 2 3 5 3" xfId="11131" xr:uid="{00000000-0005-0000-0000-0000A5150000}"/>
    <cellStyle name="Millares 2 5 2 3 5 3 2" xfId="24699" xr:uid="{00000000-0005-0000-0000-0000A6150000}"/>
    <cellStyle name="Millares 2 5 2 3 5 3 2 2" xfId="51832" xr:uid="{00000000-0005-0000-0000-0000A7150000}"/>
    <cellStyle name="Millares 2 5 2 3 5 3 3" xfId="38270" xr:uid="{00000000-0005-0000-0000-0000A8150000}"/>
    <cellStyle name="Millares 2 5 2 3 5 4" xfId="17918" xr:uid="{00000000-0005-0000-0000-0000A9150000}"/>
    <cellStyle name="Millares 2 5 2 3 5 4 2" xfId="45051" xr:uid="{00000000-0005-0000-0000-0000AA150000}"/>
    <cellStyle name="Millares 2 5 2 3 5 5" xfId="31489" xr:uid="{00000000-0005-0000-0000-0000AB150000}"/>
    <cellStyle name="Millares 2 5 2 3 6" xfId="7724" xr:uid="{00000000-0005-0000-0000-0000AC150000}"/>
    <cellStyle name="Millares 2 5 2 3 6 2" xfId="14513" xr:uid="{00000000-0005-0000-0000-0000AD150000}"/>
    <cellStyle name="Millares 2 5 2 3 6 2 2" xfId="28081" xr:uid="{00000000-0005-0000-0000-0000AE150000}"/>
    <cellStyle name="Millares 2 5 2 3 6 2 2 2" xfId="55214" xr:uid="{00000000-0005-0000-0000-0000AF150000}"/>
    <cellStyle name="Millares 2 5 2 3 6 2 3" xfId="41652" xr:uid="{00000000-0005-0000-0000-0000B0150000}"/>
    <cellStyle name="Millares 2 5 2 3 6 3" xfId="21300" xr:uid="{00000000-0005-0000-0000-0000B1150000}"/>
    <cellStyle name="Millares 2 5 2 3 6 3 2" xfId="48433" xr:uid="{00000000-0005-0000-0000-0000B2150000}"/>
    <cellStyle name="Millares 2 5 2 3 6 4" xfId="34871" xr:uid="{00000000-0005-0000-0000-0000B3150000}"/>
    <cellStyle name="Millares 2 5 2 3 7" xfId="11124" xr:uid="{00000000-0005-0000-0000-0000B4150000}"/>
    <cellStyle name="Millares 2 5 2 3 7 2" xfId="24692" xr:uid="{00000000-0005-0000-0000-0000B5150000}"/>
    <cellStyle name="Millares 2 5 2 3 7 2 2" xfId="51825" xr:uid="{00000000-0005-0000-0000-0000B6150000}"/>
    <cellStyle name="Millares 2 5 2 3 7 3" xfId="38263" xr:uid="{00000000-0005-0000-0000-0000B7150000}"/>
    <cellStyle name="Millares 2 5 2 3 8" xfId="17911" xr:uid="{00000000-0005-0000-0000-0000B8150000}"/>
    <cellStyle name="Millares 2 5 2 3 8 2" xfId="45044" xr:uid="{00000000-0005-0000-0000-0000B9150000}"/>
    <cellStyle name="Millares 2 5 2 3 9" xfId="31482" xr:uid="{00000000-0005-0000-0000-0000BA150000}"/>
    <cellStyle name="Millares 2 5 2 4" xfId="4122" xr:uid="{00000000-0005-0000-0000-0000BB150000}"/>
    <cellStyle name="Millares 2 5 2 4 2" xfId="4123" xr:uid="{00000000-0005-0000-0000-0000BC150000}"/>
    <cellStyle name="Millares 2 5 2 4 2 2" xfId="4124" xr:uid="{00000000-0005-0000-0000-0000BD150000}"/>
    <cellStyle name="Millares 2 5 2 4 2 2 2" xfId="7734" xr:uid="{00000000-0005-0000-0000-0000BE150000}"/>
    <cellStyle name="Millares 2 5 2 4 2 2 2 2" xfId="14523" xr:uid="{00000000-0005-0000-0000-0000BF150000}"/>
    <cellStyle name="Millares 2 5 2 4 2 2 2 2 2" xfId="28091" xr:uid="{00000000-0005-0000-0000-0000C0150000}"/>
    <cellStyle name="Millares 2 5 2 4 2 2 2 2 2 2" xfId="55224" xr:uid="{00000000-0005-0000-0000-0000C1150000}"/>
    <cellStyle name="Millares 2 5 2 4 2 2 2 2 3" xfId="41662" xr:uid="{00000000-0005-0000-0000-0000C2150000}"/>
    <cellStyle name="Millares 2 5 2 4 2 2 2 3" xfId="21310" xr:uid="{00000000-0005-0000-0000-0000C3150000}"/>
    <cellStyle name="Millares 2 5 2 4 2 2 2 3 2" xfId="48443" xr:uid="{00000000-0005-0000-0000-0000C4150000}"/>
    <cellStyle name="Millares 2 5 2 4 2 2 2 4" xfId="34881" xr:uid="{00000000-0005-0000-0000-0000C5150000}"/>
    <cellStyle name="Millares 2 5 2 4 2 2 3" xfId="11134" xr:uid="{00000000-0005-0000-0000-0000C6150000}"/>
    <cellStyle name="Millares 2 5 2 4 2 2 3 2" xfId="24702" xr:uid="{00000000-0005-0000-0000-0000C7150000}"/>
    <cellStyle name="Millares 2 5 2 4 2 2 3 2 2" xfId="51835" xr:uid="{00000000-0005-0000-0000-0000C8150000}"/>
    <cellStyle name="Millares 2 5 2 4 2 2 3 3" xfId="38273" xr:uid="{00000000-0005-0000-0000-0000C9150000}"/>
    <cellStyle name="Millares 2 5 2 4 2 2 4" xfId="17921" xr:uid="{00000000-0005-0000-0000-0000CA150000}"/>
    <cellStyle name="Millares 2 5 2 4 2 2 4 2" xfId="45054" xr:uid="{00000000-0005-0000-0000-0000CB150000}"/>
    <cellStyle name="Millares 2 5 2 4 2 2 5" xfId="31492" xr:uid="{00000000-0005-0000-0000-0000CC150000}"/>
    <cellStyle name="Millares 2 5 2 4 2 3" xfId="4125" xr:uid="{00000000-0005-0000-0000-0000CD150000}"/>
    <cellStyle name="Millares 2 5 2 4 2 3 2" xfId="7735" xr:uid="{00000000-0005-0000-0000-0000CE150000}"/>
    <cellStyle name="Millares 2 5 2 4 2 3 2 2" xfId="14524" xr:uid="{00000000-0005-0000-0000-0000CF150000}"/>
    <cellStyle name="Millares 2 5 2 4 2 3 2 2 2" xfId="28092" xr:uid="{00000000-0005-0000-0000-0000D0150000}"/>
    <cellStyle name="Millares 2 5 2 4 2 3 2 2 2 2" xfId="55225" xr:uid="{00000000-0005-0000-0000-0000D1150000}"/>
    <cellStyle name="Millares 2 5 2 4 2 3 2 2 3" xfId="41663" xr:uid="{00000000-0005-0000-0000-0000D2150000}"/>
    <cellStyle name="Millares 2 5 2 4 2 3 2 3" xfId="21311" xr:uid="{00000000-0005-0000-0000-0000D3150000}"/>
    <cellStyle name="Millares 2 5 2 4 2 3 2 3 2" xfId="48444" xr:uid="{00000000-0005-0000-0000-0000D4150000}"/>
    <cellStyle name="Millares 2 5 2 4 2 3 2 4" xfId="34882" xr:uid="{00000000-0005-0000-0000-0000D5150000}"/>
    <cellStyle name="Millares 2 5 2 4 2 3 3" xfId="11135" xr:uid="{00000000-0005-0000-0000-0000D6150000}"/>
    <cellStyle name="Millares 2 5 2 4 2 3 3 2" xfId="24703" xr:uid="{00000000-0005-0000-0000-0000D7150000}"/>
    <cellStyle name="Millares 2 5 2 4 2 3 3 2 2" xfId="51836" xr:uid="{00000000-0005-0000-0000-0000D8150000}"/>
    <cellStyle name="Millares 2 5 2 4 2 3 3 3" xfId="38274" xr:uid="{00000000-0005-0000-0000-0000D9150000}"/>
    <cellStyle name="Millares 2 5 2 4 2 3 4" xfId="17922" xr:uid="{00000000-0005-0000-0000-0000DA150000}"/>
    <cellStyle name="Millares 2 5 2 4 2 3 4 2" xfId="45055" xr:uid="{00000000-0005-0000-0000-0000DB150000}"/>
    <cellStyle name="Millares 2 5 2 4 2 3 5" xfId="31493" xr:uid="{00000000-0005-0000-0000-0000DC150000}"/>
    <cellStyle name="Millares 2 5 2 4 2 4" xfId="7733" xr:uid="{00000000-0005-0000-0000-0000DD150000}"/>
    <cellStyle name="Millares 2 5 2 4 2 4 2" xfId="14522" xr:uid="{00000000-0005-0000-0000-0000DE150000}"/>
    <cellStyle name="Millares 2 5 2 4 2 4 2 2" xfId="28090" xr:uid="{00000000-0005-0000-0000-0000DF150000}"/>
    <cellStyle name="Millares 2 5 2 4 2 4 2 2 2" xfId="55223" xr:uid="{00000000-0005-0000-0000-0000E0150000}"/>
    <cellStyle name="Millares 2 5 2 4 2 4 2 3" xfId="41661" xr:uid="{00000000-0005-0000-0000-0000E1150000}"/>
    <cellStyle name="Millares 2 5 2 4 2 4 3" xfId="21309" xr:uid="{00000000-0005-0000-0000-0000E2150000}"/>
    <cellStyle name="Millares 2 5 2 4 2 4 3 2" xfId="48442" xr:uid="{00000000-0005-0000-0000-0000E3150000}"/>
    <cellStyle name="Millares 2 5 2 4 2 4 4" xfId="34880" xr:uid="{00000000-0005-0000-0000-0000E4150000}"/>
    <cellStyle name="Millares 2 5 2 4 2 5" xfId="11133" xr:uid="{00000000-0005-0000-0000-0000E5150000}"/>
    <cellStyle name="Millares 2 5 2 4 2 5 2" xfId="24701" xr:uid="{00000000-0005-0000-0000-0000E6150000}"/>
    <cellStyle name="Millares 2 5 2 4 2 5 2 2" xfId="51834" xr:uid="{00000000-0005-0000-0000-0000E7150000}"/>
    <cellStyle name="Millares 2 5 2 4 2 5 3" xfId="38272" xr:uid="{00000000-0005-0000-0000-0000E8150000}"/>
    <cellStyle name="Millares 2 5 2 4 2 6" xfId="17920" xr:uid="{00000000-0005-0000-0000-0000E9150000}"/>
    <cellStyle name="Millares 2 5 2 4 2 6 2" xfId="45053" xr:uid="{00000000-0005-0000-0000-0000EA150000}"/>
    <cellStyle name="Millares 2 5 2 4 2 7" xfId="31491" xr:uid="{00000000-0005-0000-0000-0000EB150000}"/>
    <cellStyle name="Millares 2 5 2 4 3" xfId="4126" xr:uid="{00000000-0005-0000-0000-0000EC150000}"/>
    <cellStyle name="Millares 2 5 2 4 3 2" xfId="7736" xr:uid="{00000000-0005-0000-0000-0000ED150000}"/>
    <cellStyle name="Millares 2 5 2 4 3 2 2" xfId="14525" xr:uid="{00000000-0005-0000-0000-0000EE150000}"/>
    <cellStyle name="Millares 2 5 2 4 3 2 2 2" xfId="28093" xr:uid="{00000000-0005-0000-0000-0000EF150000}"/>
    <cellStyle name="Millares 2 5 2 4 3 2 2 2 2" xfId="55226" xr:uid="{00000000-0005-0000-0000-0000F0150000}"/>
    <cellStyle name="Millares 2 5 2 4 3 2 2 3" xfId="41664" xr:uid="{00000000-0005-0000-0000-0000F1150000}"/>
    <cellStyle name="Millares 2 5 2 4 3 2 3" xfId="21312" xr:uid="{00000000-0005-0000-0000-0000F2150000}"/>
    <cellStyle name="Millares 2 5 2 4 3 2 3 2" xfId="48445" xr:uid="{00000000-0005-0000-0000-0000F3150000}"/>
    <cellStyle name="Millares 2 5 2 4 3 2 4" xfId="34883" xr:uid="{00000000-0005-0000-0000-0000F4150000}"/>
    <cellStyle name="Millares 2 5 2 4 3 3" xfId="11136" xr:uid="{00000000-0005-0000-0000-0000F5150000}"/>
    <cellStyle name="Millares 2 5 2 4 3 3 2" xfId="24704" xr:uid="{00000000-0005-0000-0000-0000F6150000}"/>
    <cellStyle name="Millares 2 5 2 4 3 3 2 2" xfId="51837" xr:uid="{00000000-0005-0000-0000-0000F7150000}"/>
    <cellStyle name="Millares 2 5 2 4 3 3 3" xfId="38275" xr:uid="{00000000-0005-0000-0000-0000F8150000}"/>
    <cellStyle name="Millares 2 5 2 4 3 4" xfId="17923" xr:uid="{00000000-0005-0000-0000-0000F9150000}"/>
    <cellStyle name="Millares 2 5 2 4 3 4 2" xfId="45056" xr:uid="{00000000-0005-0000-0000-0000FA150000}"/>
    <cellStyle name="Millares 2 5 2 4 3 5" xfId="31494" xr:uid="{00000000-0005-0000-0000-0000FB150000}"/>
    <cellStyle name="Millares 2 5 2 4 4" xfId="4127" xr:uid="{00000000-0005-0000-0000-0000FC150000}"/>
    <cellStyle name="Millares 2 5 2 4 4 2" xfId="7737" xr:uid="{00000000-0005-0000-0000-0000FD150000}"/>
    <cellStyle name="Millares 2 5 2 4 4 2 2" xfId="14526" xr:uid="{00000000-0005-0000-0000-0000FE150000}"/>
    <cellStyle name="Millares 2 5 2 4 4 2 2 2" xfId="28094" xr:uid="{00000000-0005-0000-0000-0000FF150000}"/>
    <cellStyle name="Millares 2 5 2 4 4 2 2 2 2" xfId="55227" xr:uid="{00000000-0005-0000-0000-000000160000}"/>
    <cellStyle name="Millares 2 5 2 4 4 2 2 3" xfId="41665" xr:uid="{00000000-0005-0000-0000-000001160000}"/>
    <cellStyle name="Millares 2 5 2 4 4 2 3" xfId="21313" xr:uid="{00000000-0005-0000-0000-000002160000}"/>
    <cellStyle name="Millares 2 5 2 4 4 2 3 2" xfId="48446" xr:uid="{00000000-0005-0000-0000-000003160000}"/>
    <cellStyle name="Millares 2 5 2 4 4 2 4" xfId="34884" xr:uid="{00000000-0005-0000-0000-000004160000}"/>
    <cellStyle name="Millares 2 5 2 4 4 3" xfId="11137" xr:uid="{00000000-0005-0000-0000-000005160000}"/>
    <cellStyle name="Millares 2 5 2 4 4 3 2" xfId="24705" xr:uid="{00000000-0005-0000-0000-000006160000}"/>
    <cellStyle name="Millares 2 5 2 4 4 3 2 2" xfId="51838" xr:uid="{00000000-0005-0000-0000-000007160000}"/>
    <cellStyle name="Millares 2 5 2 4 4 3 3" xfId="38276" xr:uid="{00000000-0005-0000-0000-000008160000}"/>
    <cellStyle name="Millares 2 5 2 4 4 4" xfId="17924" xr:uid="{00000000-0005-0000-0000-000009160000}"/>
    <cellStyle name="Millares 2 5 2 4 4 4 2" xfId="45057" xr:uid="{00000000-0005-0000-0000-00000A160000}"/>
    <cellStyle name="Millares 2 5 2 4 4 5" xfId="31495" xr:uid="{00000000-0005-0000-0000-00000B160000}"/>
    <cellStyle name="Millares 2 5 2 4 5" xfId="7732" xr:uid="{00000000-0005-0000-0000-00000C160000}"/>
    <cellStyle name="Millares 2 5 2 4 5 2" xfId="14521" xr:uid="{00000000-0005-0000-0000-00000D160000}"/>
    <cellStyle name="Millares 2 5 2 4 5 2 2" xfId="28089" xr:uid="{00000000-0005-0000-0000-00000E160000}"/>
    <cellStyle name="Millares 2 5 2 4 5 2 2 2" xfId="55222" xr:uid="{00000000-0005-0000-0000-00000F160000}"/>
    <cellStyle name="Millares 2 5 2 4 5 2 3" xfId="41660" xr:uid="{00000000-0005-0000-0000-000010160000}"/>
    <cellStyle name="Millares 2 5 2 4 5 3" xfId="21308" xr:uid="{00000000-0005-0000-0000-000011160000}"/>
    <cellStyle name="Millares 2 5 2 4 5 3 2" xfId="48441" xr:uid="{00000000-0005-0000-0000-000012160000}"/>
    <cellStyle name="Millares 2 5 2 4 5 4" xfId="34879" xr:uid="{00000000-0005-0000-0000-000013160000}"/>
    <cellStyle name="Millares 2 5 2 4 6" xfId="11132" xr:uid="{00000000-0005-0000-0000-000014160000}"/>
    <cellStyle name="Millares 2 5 2 4 6 2" xfId="24700" xr:uid="{00000000-0005-0000-0000-000015160000}"/>
    <cellStyle name="Millares 2 5 2 4 6 2 2" xfId="51833" xr:uid="{00000000-0005-0000-0000-000016160000}"/>
    <cellStyle name="Millares 2 5 2 4 6 3" xfId="38271" xr:uid="{00000000-0005-0000-0000-000017160000}"/>
    <cellStyle name="Millares 2 5 2 4 7" xfId="17919" xr:uid="{00000000-0005-0000-0000-000018160000}"/>
    <cellStyle name="Millares 2 5 2 4 7 2" xfId="45052" xr:uid="{00000000-0005-0000-0000-000019160000}"/>
    <cellStyle name="Millares 2 5 2 4 8" xfId="31490" xr:uid="{00000000-0005-0000-0000-00001A160000}"/>
    <cellStyle name="Millares 2 5 2 5" xfId="4128" xr:uid="{00000000-0005-0000-0000-00001B160000}"/>
    <cellStyle name="Millares 2 5 2 5 2" xfId="4129" xr:uid="{00000000-0005-0000-0000-00001C160000}"/>
    <cellStyle name="Millares 2 5 2 5 2 2" xfId="4130" xr:uid="{00000000-0005-0000-0000-00001D160000}"/>
    <cellStyle name="Millares 2 5 2 5 2 2 2" xfId="7740" xr:uid="{00000000-0005-0000-0000-00001E160000}"/>
    <cellStyle name="Millares 2 5 2 5 2 2 2 2" xfId="14529" xr:uid="{00000000-0005-0000-0000-00001F160000}"/>
    <cellStyle name="Millares 2 5 2 5 2 2 2 2 2" xfId="28097" xr:uid="{00000000-0005-0000-0000-000020160000}"/>
    <cellStyle name="Millares 2 5 2 5 2 2 2 2 2 2" xfId="55230" xr:uid="{00000000-0005-0000-0000-000021160000}"/>
    <cellStyle name="Millares 2 5 2 5 2 2 2 2 3" xfId="41668" xr:uid="{00000000-0005-0000-0000-000022160000}"/>
    <cellStyle name="Millares 2 5 2 5 2 2 2 3" xfId="21316" xr:uid="{00000000-0005-0000-0000-000023160000}"/>
    <cellStyle name="Millares 2 5 2 5 2 2 2 3 2" xfId="48449" xr:uid="{00000000-0005-0000-0000-000024160000}"/>
    <cellStyle name="Millares 2 5 2 5 2 2 2 4" xfId="34887" xr:uid="{00000000-0005-0000-0000-000025160000}"/>
    <cellStyle name="Millares 2 5 2 5 2 2 3" xfId="11140" xr:uid="{00000000-0005-0000-0000-000026160000}"/>
    <cellStyle name="Millares 2 5 2 5 2 2 3 2" xfId="24708" xr:uid="{00000000-0005-0000-0000-000027160000}"/>
    <cellStyle name="Millares 2 5 2 5 2 2 3 2 2" xfId="51841" xr:uid="{00000000-0005-0000-0000-000028160000}"/>
    <cellStyle name="Millares 2 5 2 5 2 2 3 3" xfId="38279" xr:uid="{00000000-0005-0000-0000-000029160000}"/>
    <cellStyle name="Millares 2 5 2 5 2 2 4" xfId="17927" xr:uid="{00000000-0005-0000-0000-00002A160000}"/>
    <cellStyle name="Millares 2 5 2 5 2 2 4 2" xfId="45060" xr:uid="{00000000-0005-0000-0000-00002B160000}"/>
    <cellStyle name="Millares 2 5 2 5 2 2 5" xfId="31498" xr:uid="{00000000-0005-0000-0000-00002C160000}"/>
    <cellStyle name="Millares 2 5 2 5 2 3" xfId="4131" xr:uid="{00000000-0005-0000-0000-00002D160000}"/>
    <cellStyle name="Millares 2 5 2 5 2 3 2" xfId="7741" xr:uid="{00000000-0005-0000-0000-00002E160000}"/>
    <cellStyle name="Millares 2 5 2 5 2 3 2 2" xfId="14530" xr:uid="{00000000-0005-0000-0000-00002F160000}"/>
    <cellStyle name="Millares 2 5 2 5 2 3 2 2 2" xfId="28098" xr:uid="{00000000-0005-0000-0000-000030160000}"/>
    <cellStyle name="Millares 2 5 2 5 2 3 2 2 2 2" xfId="55231" xr:uid="{00000000-0005-0000-0000-000031160000}"/>
    <cellStyle name="Millares 2 5 2 5 2 3 2 2 3" xfId="41669" xr:uid="{00000000-0005-0000-0000-000032160000}"/>
    <cellStyle name="Millares 2 5 2 5 2 3 2 3" xfId="21317" xr:uid="{00000000-0005-0000-0000-000033160000}"/>
    <cellStyle name="Millares 2 5 2 5 2 3 2 3 2" xfId="48450" xr:uid="{00000000-0005-0000-0000-000034160000}"/>
    <cellStyle name="Millares 2 5 2 5 2 3 2 4" xfId="34888" xr:uid="{00000000-0005-0000-0000-000035160000}"/>
    <cellStyle name="Millares 2 5 2 5 2 3 3" xfId="11141" xr:uid="{00000000-0005-0000-0000-000036160000}"/>
    <cellStyle name="Millares 2 5 2 5 2 3 3 2" xfId="24709" xr:uid="{00000000-0005-0000-0000-000037160000}"/>
    <cellStyle name="Millares 2 5 2 5 2 3 3 2 2" xfId="51842" xr:uid="{00000000-0005-0000-0000-000038160000}"/>
    <cellStyle name="Millares 2 5 2 5 2 3 3 3" xfId="38280" xr:uid="{00000000-0005-0000-0000-000039160000}"/>
    <cellStyle name="Millares 2 5 2 5 2 3 4" xfId="17928" xr:uid="{00000000-0005-0000-0000-00003A160000}"/>
    <cellStyle name="Millares 2 5 2 5 2 3 4 2" xfId="45061" xr:uid="{00000000-0005-0000-0000-00003B160000}"/>
    <cellStyle name="Millares 2 5 2 5 2 3 5" xfId="31499" xr:uid="{00000000-0005-0000-0000-00003C160000}"/>
    <cellStyle name="Millares 2 5 2 5 2 4" xfId="7739" xr:uid="{00000000-0005-0000-0000-00003D160000}"/>
    <cellStyle name="Millares 2 5 2 5 2 4 2" xfId="14528" xr:uid="{00000000-0005-0000-0000-00003E160000}"/>
    <cellStyle name="Millares 2 5 2 5 2 4 2 2" xfId="28096" xr:uid="{00000000-0005-0000-0000-00003F160000}"/>
    <cellStyle name="Millares 2 5 2 5 2 4 2 2 2" xfId="55229" xr:uid="{00000000-0005-0000-0000-000040160000}"/>
    <cellStyle name="Millares 2 5 2 5 2 4 2 3" xfId="41667" xr:uid="{00000000-0005-0000-0000-000041160000}"/>
    <cellStyle name="Millares 2 5 2 5 2 4 3" xfId="21315" xr:uid="{00000000-0005-0000-0000-000042160000}"/>
    <cellStyle name="Millares 2 5 2 5 2 4 3 2" xfId="48448" xr:uid="{00000000-0005-0000-0000-000043160000}"/>
    <cellStyle name="Millares 2 5 2 5 2 4 4" xfId="34886" xr:uid="{00000000-0005-0000-0000-000044160000}"/>
    <cellStyle name="Millares 2 5 2 5 2 5" xfId="11139" xr:uid="{00000000-0005-0000-0000-000045160000}"/>
    <cellStyle name="Millares 2 5 2 5 2 5 2" xfId="24707" xr:uid="{00000000-0005-0000-0000-000046160000}"/>
    <cellStyle name="Millares 2 5 2 5 2 5 2 2" xfId="51840" xr:uid="{00000000-0005-0000-0000-000047160000}"/>
    <cellStyle name="Millares 2 5 2 5 2 5 3" xfId="38278" xr:uid="{00000000-0005-0000-0000-000048160000}"/>
    <cellStyle name="Millares 2 5 2 5 2 6" xfId="17926" xr:uid="{00000000-0005-0000-0000-000049160000}"/>
    <cellStyle name="Millares 2 5 2 5 2 6 2" xfId="45059" xr:uid="{00000000-0005-0000-0000-00004A160000}"/>
    <cellStyle name="Millares 2 5 2 5 2 7" xfId="31497" xr:uid="{00000000-0005-0000-0000-00004B160000}"/>
    <cellStyle name="Millares 2 5 2 5 3" xfId="4132" xr:uid="{00000000-0005-0000-0000-00004C160000}"/>
    <cellStyle name="Millares 2 5 2 5 3 2" xfId="7742" xr:uid="{00000000-0005-0000-0000-00004D160000}"/>
    <cellStyle name="Millares 2 5 2 5 3 2 2" xfId="14531" xr:uid="{00000000-0005-0000-0000-00004E160000}"/>
    <cellStyle name="Millares 2 5 2 5 3 2 2 2" xfId="28099" xr:uid="{00000000-0005-0000-0000-00004F160000}"/>
    <cellStyle name="Millares 2 5 2 5 3 2 2 2 2" xfId="55232" xr:uid="{00000000-0005-0000-0000-000050160000}"/>
    <cellStyle name="Millares 2 5 2 5 3 2 2 3" xfId="41670" xr:uid="{00000000-0005-0000-0000-000051160000}"/>
    <cellStyle name="Millares 2 5 2 5 3 2 3" xfId="21318" xr:uid="{00000000-0005-0000-0000-000052160000}"/>
    <cellStyle name="Millares 2 5 2 5 3 2 3 2" xfId="48451" xr:uid="{00000000-0005-0000-0000-000053160000}"/>
    <cellStyle name="Millares 2 5 2 5 3 2 4" xfId="34889" xr:uid="{00000000-0005-0000-0000-000054160000}"/>
    <cellStyle name="Millares 2 5 2 5 3 3" xfId="11142" xr:uid="{00000000-0005-0000-0000-000055160000}"/>
    <cellStyle name="Millares 2 5 2 5 3 3 2" xfId="24710" xr:uid="{00000000-0005-0000-0000-000056160000}"/>
    <cellStyle name="Millares 2 5 2 5 3 3 2 2" xfId="51843" xr:uid="{00000000-0005-0000-0000-000057160000}"/>
    <cellStyle name="Millares 2 5 2 5 3 3 3" xfId="38281" xr:uid="{00000000-0005-0000-0000-000058160000}"/>
    <cellStyle name="Millares 2 5 2 5 3 4" xfId="17929" xr:uid="{00000000-0005-0000-0000-000059160000}"/>
    <cellStyle name="Millares 2 5 2 5 3 4 2" xfId="45062" xr:uid="{00000000-0005-0000-0000-00005A160000}"/>
    <cellStyle name="Millares 2 5 2 5 3 5" xfId="31500" xr:uid="{00000000-0005-0000-0000-00005B160000}"/>
    <cellStyle name="Millares 2 5 2 5 4" xfId="4133" xr:uid="{00000000-0005-0000-0000-00005C160000}"/>
    <cellStyle name="Millares 2 5 2 5 4 2" xfId="7743" xr:uid="{00000000-0005-0000-0000-00005D160000}"/>
    <cellStyle name="Millares 2 5 2 5 4 2 2" xfId="14532" xr:uid="{00000000-0005-0000-0000-00005E160000}"/>
    <cellStyle name="Millares 2 5 2 5 4 2 2 2" xfId="28100" xr:uid="{00000000-0005-0000-0000-00005F160000}"/>
    <cellStyle name="Millares 2 5 2 5 4 2 2 2 2" xfId="55233" xr:uid="{00000000-0005-0000-0000-000060160000}"/>
    <cellStyle name="Millares 2 5 2 5 4 2 2 3" xfId="41671" xr:uid="{00000000-0005-0000-0000-000061160000}"/>
    <cellStyle name="Millares 2 5 2 5 4 2 3" xfId="21319" xr:uid="{00000000-0005-0000-0000-000062160000}"/>
    <cellStyle name="Millares 2 5 2 5 4 2 3 2" xfId="48452" xr:uid="{00000000-0005-0000-0000-000063160000}"/>
    <cellStyle name="Millares 2 5 2 5 4 2 4" xfId="34890" xr:uid="{00000000-0005-0000-0000-000064160000}"/>
    <cellStyle name="Millares 2 5 2 5 4 3" xfId="11143" xr:uid="{00000000-0005-0000-0000-000065160000}"/>
    <cellStyle name="Millares 2 5 2 5 4 3 2" xfId="24711" xr:uid="{00000000-0005-0000-0000-000066160000}"/>
    <cellStyle name="Millares 2 5 2 5 4 3 2 2" xfId="51844" xr:uid="{00000000-0005-0000-0000-000067160000}"/>
    <cellStyle name="Millares 2 5 2 5 4 3 3" xfId="38282" xr:uid="{00000000-0005-0000-0000-000068160000}"/>
    <cellStyle name="Millares 2 5 2 5 4 4" xfId="17930" xr:uid="{00000000-0005-0000-0000-000069160000}"/>
    <cellStyle name="Millares 2 5 2 5 4 4 2" xfId="45063" xr:uid="{00000000-0005-0000-0000-00006A160000}"/>
    <cellStyle name="Millares 2 5 2 5 4 5" xfId="31501" xr:uid="{00000000-0005-0000-0000-00006B160000}"/>
    <cellStyle name="Millares 2 5 2 5 5" xfId="7738" xr:uid="{00000000-0005-0000-0000-00006C160000}"/>
    <cellStyle name="Millares 2 5 2 5 5 2" xfId="14527" xr:uid="{00000000-0005-0000-0000-00006D160000}"/>
    <cellStyle name="Millares 2 5 2 5 5 2 2" xfId="28095" xr:uid="{00000000-0005-0000-0000-00006E160000}"/>
    <cellStyle name="Millares 2 5 2 5 5 2 2 2" xfId="55228" xr:uid="{00000000-0005-0000-0000-00006F160000}"/>
    <cellStyle name="Millares 2 5 2 5 5 2 3" xfId="41666" xr:uid="{00000000-0005-0000-0000-000070160000}"/>
    <cellStyle name="Millares 2 5 2 5 5 3" xfId="21314" xr:uid="{00000000-0005-0000-0000-000071160000}"/>
    <cellStyle name="Millares 2 5 2 5 5 3 2" xfId="48447" xr:uid="{00000000-0005-0000-0000-000072160000}"/>
    <cellStyle name="Millares 2 5 2 5 5 4" xfId="34885" xr:uid="{00000000-0005-0000-0000-000073160000}"/>
    <cellStyle name="Millares 2 5 2 5 6" xfId="11138" xr:uid="{00000000-0005-0000-0000-000074160000}"/>
    <cellStyle name="Millares 2 5 2 5 6 2" xfId="24706" xr:uid="{00000000-0005-0000-0000-000075160000}"/>
    <cellStyle name="Millares 2 5 2 5 6 2 2" xfId="51839" xr:uid="{00000000-0005-0000-0000-000076160000}"/>
    <cellStyle name="Millares 2 5 2 5 6 3" xfId="38277" xr:uid="{00000000-0005-0000-0000-000077160000}"/>
    <cellStyle name="Millares 2 5 2 5 7" xfId="17925" xr:uid="{00000000-0005-0000-0000-000078160000}"/>
    <cellStyle name="Millares 2 5 2 5 7 2" xfId="45058" xr:uid="{00000000-0005-0000-0000-000079160000}"/>
    <cellStyle name="Millares 2 5 2 5 8" xfId="31496" xr:uid="{00000000-0005-0000-0000-00007A160000}"/>
    <cellStyle name="Millares 2 5 2 6" xfId="4134" xr:uid="{00000000-0005-0000-0000-00007B160000}"/>
    <cellStyle name="Millares 2 5 2 6 2" xfId="4135" xr:uid="{00000000-0005-0000-0000-00007C160000}"/>
    <cellStyle name="Millares 2 5 2 6 2 2" xfId="7745" xr:uid="{00000000-0005-0000-0000-00007D160000}"/>
    <cellStyle name="Millares 2 5 2 6 2 2 2" xfId="14534" xr:uid="{00000000-0005-0000-0000-00007E160000}"/>
    <cellStyle name="Millares 2 5 2 6 2 2 2 2" xfId="28102" xr:uid="{00000000-0005-0000-0000-00007F160000}"/>
    <cellStyle name="Millares 2 5 2 6 2 2 2 2 2" xfId="55235" xr:uid="{00000000-0005-0000-0000-000080160000}"/>
    <cellStyle name="Millares 2 5 2 6 2 2 2 3" xfId="41673" xr:uid="{00000000-0005-0000-0000-000081160000}"/>
    <cellStyle name="Millares 2 5 2 6 2 2 3" xfId="21321" xr:uid="{00000000-0005-0000-0000-000082160000}"/>
    <cellStyle name="Millares 2 5 2 6 2 2 3 2" xfId="48454" xr:uid="{00000000-0005-0000-0000-000083160000}"/>
    <cellStyle name="Millares 2 5 2 6 2 2 4" xfId="34892" xr:uid="{00000000-0005-0000-0000-000084160000}"/>
    <cellStyle name="Millares 2 5 2 6 2 3" xfId="11145" xr:uid="{00000000-0005-0000-0000-000085160000}"/>
    <cellStyle name="Millares 2 5 2 6 2 3 2" xfId="24713" xr:uid="{00000000-0005-0000-0000-000086160000}"/>
    <cellStyle name="Millares 2 5 2 6 2 3 2 2" xfId="51846" xr:uid="{00000000-0005-0000-0000-000087160000}"/>
    <cellStyle name="Millares 2 5 2 6 2 3 3" xfId="38284" xr:uid="{00000000-0005-0000-0000-000088160000}"/>
    <cellStyle name="Millares 2 5 2 6 2 4" xfId="17932" xr:uid="{00000000-0005-0000-0000-000089160000}"/>
    <cellStyle name="Millares 2 5 2 6 2 4 2" xfId="45065" xr:uid="{00000000-0005-0000-0000-00008A160000}"/>
    <cellStyle name="Millares 2 5 2 6 2 5" xfId="31503" xr:uid="{00000000-0005-0000-0000-00008B160000}"/>
    <cellStyle name="Millares 2 5 2 6 3" xfId="4136" xr:uid="{00000000-0005-0000-0000-00008C160000}"/>
    <cellStyle name="Millares 2 5 2 6 3 2" xfId="7746" xr:uid="{00000000-0005-0000-0000-00008D160000}"/>
    <cellStyle name="Millares 2 5 2 6 3 2 2" xfId="14535" xr:uid="{00000000-0005-0000-0000-00008E160000}"/>
    <cellStyle name="Millares 2 5 2 6 3 2 2 2" xfId="28103" xr:uid="{00000000-0005-0000-0000-00008F160000}"/>
    <cellStyle name="Millares 2 5 2 6 3 2 2 2 2" xfId="55236" xr:uid="{00000000-0005-0000-0000-000090160000}"/>
    <cellStyle name="Millares 2 5 2 6 3 2 2 3" xfId="41674" xr:uid="{00000000-0005-0000-0000-000091160000}"/>
    <cellStyle name="Millares 2 5 2 6 3 2 3" xfId="21322" xr:uid="{00000000-0005-0000-0000-000092160000}"/>
    <cellStyle name="Millares 2 5 2 6 3 2 3 2" xfId="48455" xr:uid="{00000000-0005-0000-0000-000093160000}"/>
    <cellStyle name="Millares 2 5 2 6 3 2 4" xfId="34893" xr:uid="{00000000-0005-0000-0000-000094160000}"/>
    <cellStyle name="Millares 2 5 2 6 3 3" xfId="11146" xr:uid="{00000000-0005-0000-0000-000095160000}"/>
    <cellStyle name="Millares 2 5 2 6 3 3 2" xfId="24714" xr:uid="{00000000-0005-0000-0000-000096160000}"/>
    <cellStyle name="Millares 2 5 2 6 3 3 2 2" xfId="51847" xr:uid="{00000000-0005-0000-0000-000097160000}"/>
    <cellStyle name="Millares 2 5 2 6 3 3 3" xfId="38285" xr:uid="{00000000-0005-0000-0000-000098160000}"/>
    <cellStyle name="Millares 2 5 2 6 3 4" xfId="17933" xr:uid="{00000000-0005-0000-0000-000099160000}"/>
    <cellStyle name="Millares 2 5 2 6 3 4 2" xfId="45066" xr:uid="{00000000-0005-0000-0000-00009A160000}"/>
    <cellStyle name="Millares 2 5 2 6 3 5" xfId="31504" xr:uid="{00000000-0005-0000-0000-00009B160000}"/>
    <cellStyle name="Millares 2 5 2 6 4" xfId="7744" xr:uid="{00000000-0005-0000-0000-00009C160000}"/>
    <cellStyle name="Millares 2 5 2 6 4 2" xfId="14533" xr:uid="{00000000-0005-0000-0000-00009D160000}"/>
    <cellStyle name="Millares 2 5 2 6 4 2 2" xfId="28101" xr:uid="{00000000-0005-0000-0000-00009E160000}"/>
    <cellStyle name="Millares 2 5 2 6 4 2 2 2" xfId="55234" xr:uid="{00000000-0005-0000-0000-00009F160000}"/>
    <cellStyle name="Millares 2 5 2 6 4 2 3" xfId="41672" xr:uid="{00000000-0005-0000-0000-0000A0160000}"/>
    <cellStyle name="Millares 2 5 2 6 4 3" xfId="21320" xr:uid="{00000000-0005-0000-0000-0000A1160000}"/>
    <cellStyle name="Millares 2 5 2 6 4 3 2" xfId="48453" xr:uid="{00000000-0005-0000-0000-0000A2160000}"/>
    <cellStyle name="Millares 2 5 2 6 4 4" xfId="34891" xr:uid="{00000000-0005-0000-0000-0000A3160000}"/>
    <cellStyle name="Millares 2 5 2 6 5" xfId="11144" xr:uid="{00000000-0005-0000-0000-0000A4160000}"/>
    <cellStyle name="Millares 2 5 2 6 5 2" xfId="24712" xr:uid="{00000000-0005-0000-0000-0000A5160000}"/>
    <cellStyle name="Millares 2 5 2 6 5 2 2" xfId="51845" xr:uid="{00000000-0005-0000-0000-0000A6160000}"/>
    <cellStyle name="Millares 2 5 2 6 5 3" xfId="38283" xr:uid="{00000000-0005-0000-0000-0000A7160000}"/>
    <cellStyle name="Millares 2 5 2 6 6" xfId="17931" xr:uid="{00000000-0005-0000-0000-0000A8160000}"/>
    <cellStyle name="Millares 2 5 2 6 6 2" xfId="45064" xr:uid="{00000000-0005-0000-0000-0000A9160000}"/>
    <cellStyle name="Millares 2 5 2 6 7" xfId="31502" xr:uid="{00000000-0005-0000-0000-0000AA160000}"/>
    <cellStyle name="Millares 2 5 2 7" xfId="4137" xr:uid="{00000000-0005-0000-0000-0000AB160000}"/>
    <cellStyle name="Millares 2 5 2 7 2" xfId="4138" xr:uid="{00000000-0005-0000-0000-0000AC160000}"/>
    <cellStyle name="Millares 2 5 2 7 2 2" xfId="7748" xr:uid="{00000000-0005-0000-0000-0000AD160000}"/>
    <cellStyle name="Millares 2 5 2 7 2 2 2" xfId="14537" xr:uid="{00000000-0005-0000-0000-0000AE160000}"/>
    <cellStyle name="Millares 2 5 2 7 2 2 2 2" xfId="28105" xr:uid="{00000000-0005-0000-0000-0000AF160000}"/>
    <cellStyle name="Millares 2 5 2 7 2 2 2 2 2" xfId="55238" xr:uid="{00000000-0005-0000-0000-0000B0160000}"/>
    <cellStyle name="Millares 2 5 2 7 2 2 2 3" xfId="41676" xr:uid="{00000000-0005-0000-0000-0000B1160000}"/>
    <cellStyle name="Millares 2 5 2 7 2 2 3" xfId="21324" xr:uid="{00000000-0005-0000-0000-0000B2160000}"/>
    <cellStyle name="Millares 2 5 2 7 2 2 3 2" xfId="48457" xr:uid="{00000000-0005-0000-0000-0000B3160000}"/>
    <cellStyle name="Millares 2 5 2 7 2 2 4" xfId="34895" xr:uid="{00000000-0005-0000-0000-0000B4160000}"/>
    <cellStyle name="Millares 2 5 2 7 2 3" xfId="11148" xr:uid="{00000000-0005-0000-0000-0000B5160000}"/>
    <cellStyle name="Millares 2 5 2 7 2 3 2" xfId="24716" xr:uid="{00000000-0005-0000-0000-0000B6160000}"/>
    <cellStyle name="Millares 2 5 2 7 2 3 2 2" xfId="51849" xr:uid="{00000000-0005-0000-0000-0000B7160000}"/>
    <cellStyle name="Millares 2 5 2 7 2 3 3" xfId="38287" xr:uid="{00000000-0005-0000-0000-0000B8160000}"/>
    <cellStyle name="Millares 2 5 2 7 2 4" xfId="17935" xr:uid="{00000000-0005-0000-0000-0000B9160000}"/>
    <cellStyle name="Millares 2 5 2 7 2 4 2" xfId="45068" xr:uid="{00000000-0005-0000-0000-0000BA160000}"/>
    <cellStyle name="Millares 2 5 2 7 2 5" xfId="31506" xr:uid="{00000000-0005-0000-0000-0000BB160000}"/>
    <cellStyle name="Millares 2 5 2 7 3" xfId="4139" xr:uid="{00000000-0005-0000-0000-0000BC160000}"/>
    <cellStyle name="Millares 2 5 2 7 3 2" xfId="7749" xr:uid="{00000000-0005-0000-0000-0000BD160000}"/>
    <cellStyle name="Millares 2 5 2 7 3 2 2" xfId="14538" xr:uid="{00000000-0005-0000-0000-0000BE160000}"/>
    <cellStyle name="Millares 2 5 2 7 3 2 2 2" xfId="28106" xr:uid="{00000000-0005-0000-0000-0000BF160000}"/>
    <cellStyle name="Millares 2 5 2 7 3 2 2 2 2" xfId="55239" xr:uid="{00000000-0005-0000-0000-0000C0160000}"/>
    <cellStyle name="Millares 2 5 2 7 3 2 2 3" xfId="41677" xr:uid="{00000000-0005-0000-0000-0000C1160000}"/>
    <cellStyle name="Millares 2 5 2 7 3 2 3" xfId="21325" xr:uid="{00000000-0005-0000-0000-0000C2160000}"/>
    <cellStyle name="Millares 2 5 2 7 3 2 3 2" xfId="48458" xr:uid="{00000000-0005-0000-0000-0000C3160000}"/>
    <cellStyle name="Millares 2 5 2 7 3 2 4" xfId="34896" xr:uid="{00000000-0005-0000-0000-0000C4160000}"/>
    <cellStyle name="Millares 2 5 2 7 3 3" xfId="11149" xr:uid="{00000000-0005-0000-0000-0000C5160000}"/>
    <cellStyle name="Millares 2 5 2 7 3 3 2" xfId="24717" xr:uid="{00000000-0005-0000-0000-0000C6160000}"/>
    <cellStyle name="Millares 2 5 2 7 3 3 2 2" xfId="51850" xr:uid="{00000000-0005-0000-0000-0000C7160000}"/>
    <cellStyle name="Millares 2 5 2 7 3 3 3" xfId="38288" xr:uid="{00000000-0005-0000-0000-0000C8160000}"/>
    <cellStyle name="Millares 2 5 2 7 3 4" xfId="17936" xr:uid="{00000000-0005-0000-0000-0000C9160000}"/>
    <cellStyle name="Millares 2 5 2 7 3 4 2" xfId="45069" xr:uid="{00000000-0005-0000-0000-0000CA160000}"/>
    <cellStyle name="Millares 2 5 2 7 3 5" xfId="31507" xr:uid="{00000000-0005-0000-0000-0000CB160000}"/>
    <cellStyle name="Millares 2 5 2 7 4" xfId="7747" xr:uid="{00000000-0005-0000-0000-0000CC160000}"/>
    <cellStyle name="Millares 2 5 2 7 4 2" xfId="14536" xr:uid="{00000000-0005-0000-0000-0000CD160000}"/>
    <cellStyle name="Millares 2 5 2 7 4 2 2" xfId="28104" xr:uid="{00000000-0005-0000-0000-0000CE160000}"/>
    <cellStyle name="Millares 2 5 2 7 4 2 2 2" xfId="55237" xr:uid="{00000000-0005-0000-0000-0000CF160000}"/>
    <cellStyle name="Millares 2 5 2 7 4 2 3" xfId="41675" xr:uid="{00000000-0005-0000-0000-0000D0160000}"/>
    <cellStyle name="Millares 2 5 2 7 4 3" xfId="21323" xr:uid="{00000000-0005-0000-0000-0000D1160000}"/>
    <cellStyle name="Millares 2 5 2 7 4 3 2" xfId="48456" xr:uid="{00000000-0005-0000-0000-0000D2160000}"/>
    <cellStyle name="Millares 2 5 2 7 4 4" xfId="34894" xr:uid="{00000000-0005-0000-0000-0000D3160000}"/>
    <cellStyle name="Millares 2 5 2 7 5" xfId="11147" xr:uid="{00000000-0005-0000-0000-0000D4160000}"/>
    <cellStyle name="Millares 2 5 2 7 5 2" xfId="24715" xr:uid="{00000000-0005-0000-0000-0000D5160000}"/>
    <cellStyle name="Millares 2 5 2 7 5 2 2" xfId="51848" xr:uid="{00000000-0005-0000-0000-0000D6160000}"/>
    <cellStyle name="Millares 2 5 2 7 5 3" xfId="38286" xr:uid="{00000000-0005-0000-0000-0000D7160000}"/>
    <cellStyle name="Millares 2 5 2 7 6" xfId="17934" xr:uid="{00000000-0005-0000-0000-0000D8160000}"/>
    <cellStyle name="Millares 2 5 2 7 6 2" xfId="45067" xr:uid="{00000000-0005-0000-0000-0000D9160000}"/>
    <cellStyle name="Millares 2 5 2 7 7" xfId="31505" xr:uid="{00000000-0005-0000-0000-0000DA160000}"/>
    <cellStyle name="Millares 2 5 2 8" xfId="4140" xr:uid="{00000000-0005-0000-0000-0000DB160000}"/>
    <cellStyle name="Millares 2 5 2 8 2" xfId="7750" xr:uid="{00000000-0005-0000-0000-0000DC160000}"/>
    <cellStyle name="Millares 2 5 2 8 2 2" xfId="14539" xr:uid="{00000000-0005-0000-0000-0000DD160000}"/>
    <cellStyle name="Millares 2 5 2 8 2 2 2" xfId="28107" xr:uid="{00000000-0005-0000-0000-0000DE160000}"/>
    <cellStyle name="Millares 2 5 2 8 2 2 2 2" xfId="55240" xr:uid="{00000000-0005-0000-0000-0000DF160000}"/>
    <cellStyle name="Millares 2 5 2 8 2 2 3" xfId="41678" xr:uid="{00000000-0005-0000-0000-0000E0160000}"/>
    <cellStyle name="Millares 2 5 2 8 2 3" xfId="21326" xr:uid="{00000000-0005-0000-0000-0000E1160000}"/>
    <cellStyle name="Millares 2 5 2 8 2 3 2" xfId="48459" xr:uid="{00000000-0005-0000-0000-0000E2160000}"/>
    <cellStyle name="Millares 2 5 2 8 2 4" xfId="34897" xr:uid="{00000000-0005-0000-0000-0000E3160000}"/>
    <cellStyle name="Millares 2 5 2 8 3" xfId="11150" xr:uid="{00000000-0005-0000-0000-0000E4160000}"/>
    <cellStyle name="Millares 2 5 2 8 3 2" xfId="24718" xr:uid="{00000000-0005-0000-0000-0000E5160000}"/>
    <cellStyle name="Millares 2 5 2 8 3 2 2" xfId="51851" xr:uid="{00000000-0005-0000-0000-0000E6160000}"/>
    <cellStyle name="Millares 2 5 2 8 3 3" xfId="38289" xr:uid="{00000000-0005-0000-0000-0000E7160000}"/>
    <cellStyle name="Millares 2 5 2 8 4" xfId="17937" xr:uid="{00000000-0005-0000-0000-0000E8160000}"/>
    <cellStyle name="Millares 2 5 2 8 4 2" xfId="45070" xr:uid="{00000000-0005-0000-0000-0000E9160000}"/>
    <cellStyle name="Millares 2 5 2 8 5" xfId="31508" xr:uid="{00000000-0005-0000-0000-0000EA160000}"/>
    <cellStyle name="Millares 2 5 2 9" xfId="4141" xr:uid="{00000000-0005-0000-0000-0000EB160000}"/>
    <cellStyle name="Millares 2 5 2 9 2" xfId="7751" xr:uid="{00000000-0005-0000-0000-0000EC160000}"/>
    <cellStyle name="Millares 2 5 2 9 2 2" xfId="14540" xr:uid="{00000000-0005-0000-0000-0000ED160000}"/>
    <cellStyle name="Millares 2 5 2 9 2 2 2" xfId="28108" xr:uid="{00000000-0005-0000-0000-0000EE160000}"/>
    <cellStyle name="Millares 2 5 2 9 2 2 2 2" xfId="55241" xr:uid="{00000000-0005-0000-0000-0000EF160000}"/>
    <cellStyle name="Millares 2 5 2 9 2 2 3" xfId="41679" xr:uid="{00000000-0005-0000-0000-0000F0160000}"/>
    <cellStyle name="Millares 2 5 2 9 2 3" xfId="21327" xr:uid="{00000000-0005-0000-0000-0000F1160000}"/>
    <cellStyle name="Millares 2 5 2 9 2 3 2" xfId="48460" xr:uid="{00000000-0005-0000-0000-0000F2160000}"/>
    <cellStyle name="Millares 2 5 2 9 2 4" xfId="34898" xr:uid="{00000000-0005-0000-0000-0000F3160000}"/>
    <cellStyle name="Millares 2 5 2 9 3" xfId="11151" xr:uid="{00000000-0005-0000-0000-0000F4160000}"/>
    <cellStyle name="Millares 2 5 2 9 3 2" xfId="24719" xr:uid="{00000000-0005-0000-0000-0000F5160000}"/>
    <cellStyle name="Millares 2 5 2 9 3 2 2" xfId="51852" xr:uid="{00000000-0005-0000-0000-0000F6160000}"/>
    <cellStyle name="Millares 2 5 2 9 3 3" xfId="38290" xr:uid="{00000000-0005-0000-0000-0000F7160000}"/>
    <cellStyle name="Millares 2 5 2 9 4" xfId="17938" xr:uid="{00000000-0005-0000-0000-0000F8160000}"/>
    <cellStyle name="Millares 2 5 2 9 4 2" xfId="45071" xr:uid="{00000000-0005-0000-0000-0000F9160000}"/>
    <cellStyle name="Millares 2 5 2 9 5" xfId="31509" xr:uid="{00000000-0005-0000-0000-0000FA160000}"/>
    <cellStyle name="Millares 2 5 3" xfId="4142" xr:uid="{00000000-0005-0000-0000-0000FB160000}"/>
    <cellStyle name="Millares 2 5 3 10" xfId="7752" xr:uid="{00000000-0005-0000-0000-0000FC160000}"/>
    <cellStyle name="Millares 2 5 3 10 2" xfId="14541" xr:uid="{00000000-0005-0000-0000-0000FD160000}"/>
    <cellStyle name="Millares 2 5 3 10 2 2" xfId="28109" xr:uid="{00000000-0005-0000-0000-0000FE160000}"/>
    <cellStyle name="Millares 2 5 3 10 2 2 2" xfId="55242" xr:uid="{00000000-0005-0000-0000-0000FF160000}"/>
    <cellStyle name="Millares 2 5 3 10 2 3" xfId="41680" xr:uid="{00000000-0005-0000-0000-000000170000}"/>
    <cellStyle name="Millares 2 5 3 10 3" xfId="21328" xr:uid="{00000000-0005-0000-0000-000001170000}"/>
    <cellStyle name="Millares 2 5 3 10 3 2" xfId="48461" xr:uid="{00000000-0005-0000-0000-000002170000}"/>
    <cellStyle name="Millares 2 5 3 10 4" xfId="34899" xr:uid="{00000000-0005-0000-0000-000003170000}"/>
    <cellStyle name="Millares 2 5 3 11" xfId="11152" xr:uid="{00000000-0005-0000-0000-000004170000}"/>
    <cellStyle name="Millares 2 5 3 11 2" xfId="24720" xr:uid="{00000000-0005-0000-0000-000005170000}"/>
    <cellStyle name="Millares 2 5 3 11 2 2" xfId="51853" xr:uid="{00000000-0005-0000-0000-000006170000}"/>
    <cellStyle name="Millares 2 5 3 11 3" xfId="38291" xr:uid="{00000000-0005-0000-0000-000007170000}"/>
    <cellStyle name="Millares 2 5 3 12" xfId="17939" xr:uid="{00000000-0005-0000-0000-000008170000}"/>
    <cellStyle name="Millares 2 5 3 12 2" xfId="45072" xr:uid="{00000000-0005-0000-0000-000009170000}"/>
    <cellStyle name="Millares 2 5 3 13" xfId="31510" xr:uid="{00000000-0005-0000-0000-00000A170000}"/>
    <cellStyle name="Millares 2 5 3 2" xfId="4143" xr:uid="{00000000-0005-0000-0000-00000B170000}"/>
    <cellStyle name="Millares 2 5 3 2 10" xfId="31511" xr:uid="{00000000-0005-0000-0000-00000C170000}"/>
    <cellStyle name="Millares 2 5 3 2 2" xfId="4144" xr:uid="{00000000-0005-0000-0000-00000D170000}"/>
    <cellStyle name="Millares 2 5 3 2 2 2" xfId="4145" xr:uid="{00000000-0005-0000-0000-00000E170000}"/>
    <cellStyle name="Millares 2 5 3 2 2 2 2" xfId="4146" xr:uid="{00000000-0005-0000-0000-00000F170000}"/>
    <cellStyle name="Millares 2 5 3 2 2 2 2 2" xfId="7756" xr:uid="{00000000-0005-0000-0000-000010170000}"/>
    <cellStyle name="Millares 2 5 3 2 2 2 2 2 2" xfId="14545" xr:uid="{00000000-0005-0000-0000-000011170000}"/>
    <cellStyle name="Millares 2 5 3 2 2 2 2 2 2 2" xfId="28113" xr:uid="{00000000-0005-0000-0000-000012170000}"/>
    <cellStyle name="Millares 2 5 3 2 2 2 2 2 2 2 2" xfId="55246" xr:uid="{00000000-0005-0000-0000-000013170000}"/>
    <cellStyle name="Millares 2 5 3 2 2 2 2 2 2 3" xfId="41684" xr:uid="{00000000-0005-0000-0000-000014170000}"/>
    <cellStyle name="Millares 2 5 3 2 2 2 2 2 3" xfId="21332" xr:uid="{00000000-0005-0000-0000-000015170000}"/>
    <cellStyle name="Millares 2 5 3 2 2 2 2 2 3 2" xfId="48465" xr:uid="{00000000-0005-0000-0000-000016170000}"/>
    <cellStyle name="Millares 2 5 3 2 2 2 2 2 4" xfId="34903" xr:uid="{00000000-0005-0000-0000-000017170000}"/>
    <cellStyle name="Millares 2 5 3 2 2 2 2 3" xfId="11156" xr:uid="{00000000-0005-0000-0000-000018170000}"/>
    <cellStyle name="Millares 2 5 3 2 2 2 2 3 2" xfId="24724" xr:uid="{00000000-0005-0000-0000-000019170000}"/>
    <cellStyle name="Millares 2 5 3 2 2 2 2 3 2 2" xfId="51857" xr:uid="{00000000-0005-0000-0000-00001A170000}"/>
    <cellStyle name="Millares 2 5 3 2 2 2 2 3 3" xfId="38295" xr:uid="{00000000-0005-0000-0000-00001B170000}"/>
    <cellStyle name="Millares 2 5 3 2 2 2 2 4" xfId="17943" xr:uid="{00000000-0005-0000-0000-00001C170000}"/>
    <cellStyle name="Millares 2 5 3 2 2 2 2 4 2" xfId="45076" xr:uid="{00000000-0005-0000-0000-00001D170000}"/>
    <cellStyle name="Millares 2 5 3 2 2 2 2 5" xfId="31514" xr:uid="{00000000-0005-0000-0000-00001E170000}"/>
    <cellStyle name="Millares 2 5 3 2 2 2 3" xfId="4147" xr:uid="{00000000-0005-0000-0000-00001F170000}"/>
    <cellStyle name="Millares 2 5 3 2 2 2 3 2" xfId="7757" xr:uid="{00000000-0005-0000-0000-000020170000}"/>
    <cellStyle name="Millares 2 5 3 2 2 2 3 2 2" xfId="14546" xr:uid="{00000000-0005-0000-0000-000021170000}"/>
    <cellStyle name="Millares 2 5 3 2 2 2 3 2 2 2" xfId="28114" xr:uid="{00000000-0005-0000-0000-000022170000}"/>
    <cellStyle name="Millares 2 5 3 2 2 2 3 2 2 2 2" xfId="55247" xr:uid="{00000000-0005-0000-0000-000023170000}"/>
    <cellStyle name="Millares 2 5 3 2 2 2 3 2 2 3" xfId="41685" xr:uid="{00000000-0005-0000-0000-000024170000}"/>
    <cellStyle name="Millares 2 5 3 2 2 2 3 2 3" xfId="21333" xr:uid="{00000000-0005-0000-0000-000025170000}"/>
    <cellStyle name="Millares 2 5 3 2 2 2 3 2 3 2" xfId="48466" xr:uid="{00000000-0005-0000-0000-000026170000}"/>
    <cellStyle name="Millares 2 5 3 2 2 2 3 2 4" xfId="34904" xr:uid="{00000000-0005-0000-0000-000027170000}"/>
    <cellStyle name="Millares 2 5 3 2 2 2 3 3" xfId="11157" xr:uid="{00000000-0005-0000-0000-000028170000}"/>
    <cellStyle name="Millares 2 5 3 2 2 2 3 3 2" xfId="24725" xr:uid="{00000000-0005-0000-0000-000029170000}"/>
    <cellStyle name="Millares 2 5 3 2 2 2 3 3 2 2" xfId="51858" xr:uid="{00000000-0005-0000-0000-00002A170000}"/>
    <cellStyle name="Millares 2 5 3 2 2 2 3 3 3" xfId="38296" xr:uid="{00000000-0005-0000-0000-00002B170000}"/>
    <cellStyle name="Millares 2 5 3 2 2 2 3 4" xfId="17944" xr:uid="{00000000-0005-0000-0000-00002C170000}"/>
    <cellStyle name="Millares 2 5 3 2 2 2 3 4 2" xfId="45077" xr:uid="{00000000-0005-0000-0000-00002D170000}"/>
    <cellStyle name="Millares 2 5 3 2 2 2 3 5" xfId="31515" xr:uid="{00000000-0005-0000-0000-00002E170000}"/>
    <cellStyle name="Millares 2 5 3 2 2 2 4" xfId="7755" xr:uid="{00000000-0005-0000-0000-00002F170000}"/>
    <cellStyle name="Millares 2 5 3 2 2 2 4 2" xfId="14544" xr:uid="{00000000-0005-0000-0000-000030170000}"/>
    <cellStyle name="Millares 2 5 3 2 2 2 4 2 2" xfId="28112" xr:uid="{00000000-0005-0000-0000-000031170000}"/>
    <cellStyle name="Millares 2 5 3 2 2 2 4 2 2 2" xfId="55245" xr:uid="{00000000-0005-0000-0000-000032170000}"/>
    <cellStyle name="Millares 2 5 3 2 2 2 4 2 3" xfId="41683" xr:uid="{00000000-0005-0000-0000-000033170000}"/>
    <cellStyle name="Millares 2 5 3 2 2 2 4 3" xfId="21331" xr:uid="{00000000-0005-0000-0000-000034170000}"/>
    <cellStyle name="Millares 2 5 3 2 2 2 4 3 2" xfId="48464" xr:uid="{00000000-0005-0000-0000-000035170000}"/>
    <cellStyle name="Millares 2 5 3 2 2 2 4 4" xfId="34902" xr:uid="{00000000-0005-0000-0000-000036170000}"/>
    <cellStyle name="Millares 2 5 3 2 2 2 5" xfId="11155" xr:uid="{00000000-0005-0000-0000-000037170000}"/>
    <cellStyle name="Millares 2 5 3 2 2 2 5 2" xfId="24723" xr:uid="{00000000-0005-0000-0000-000038170000}"/>
    <cellStyle name="Millares 2 5 3 2 2 2 5 2 2" xfId="51856" xr:uid="{00000000-0005-0000-0000-000039170000}"/>
    <cellStyle name="Millares 2 5 3 2 2 2 5 3" xfId="38294" xr:uid="{00000000-0005-0000-0000-00003A170000}"/>
    <cellStyle name="Millares 2 5 3 2 2 2 6" xfId="17942" xr:uid="{00000000-0005-0000-0000-00003B170000}"/>
    <cellStyle name="Millares 2 5 3 2 2 2 6 2" xfId="45075" xr:uid="{00000000-0005-0000-0000-00003C170000}"/>
    <cellStyle name="Millares 2 5 3 2 2 2 7" xfId="31513" xr:uid="{00000000-0005-0000-0000-00003D170000}"/>
    <cellStyle name="Millares 2 5 3 2 2 3" xfId="4148" xr:uid="{00000000-0005-0000-0000-00003E170000}"/>
    <cellStyle name="Millares 2 5 3 2 2 3 2" xfId="4149" xr:uid="{00000000-0005-0000-0000-00003F170000}"/>
    <cellStyle name="Millares 2 5 3 2 2 3 2 2" xfId="7759" xr:uid="{00000000-0005-0000-0000-000040170000}"/>
    <cellStyle name="Millares 2 5 3 2 2 3 2 2 2" xfId="14548" xr:uid="{00000000-0005-0000-0000-000041170000}"/>
    <cellStyle name="Millares 2 5 3 2 2 3 2 2 2 2" xfId="28116" xr:uid="{00000000-0005-0000-0000-000042170000}"/>
    <cellStyle name="Millares 2 5 3 2 2 3 2 2 2 2 2" xfId="55249" xr:uid="{00000000-0005-0000-0000-000043170000}"/>
    <cellStyle name="Millares 2 5 3 2 2 3 2 2 2 3" xfId="41687" xr:uid="{00000000-0005-0000-0000-000044170000}"/>
    <cellStyle name="Millares 2 5 3 2 2 3 2 2 3" xfId="21335" xr:uid="{00000000-0005-0000-0000-000045170000}"/>
    <cellStyle name="Millares 2 5 3 2 2 3 2 2 3 2" xfId="48468" xr:uid="{00000000-0005-0000-0000-000046170000}"/>
    <cellStyle name="Millares 2 5 3 2 2 3 2 2 4" xfId="34906" xr:uid="{00000000-0005-0000-0000-000047170000}"/>
    <cellStyle name="Millares 2 5 3 2 2 3 2 3" xfId="11159" xr:uid="{00000000-0005-0000-0000-000048170000}"/>
    <cellStyle name="Millares 2 5 3 2 2 3 2 3 2" xfId="24727" xr:uid="{00000000-0005-0000-0000-000049170000}"/>
    <cellStyle name="Millares 2 5 3 2 2 3 2 3 2 2" xfId="51860" xr:uid="{00000000-0005-0000-0000-00004A170000}"/>
    <cellStyle name="Millares 2 5 3 2 2 3 2 3 3" xfId="38298" xr:uid="{00000000-0005-0000-0000-00004B170000}"/>
    <cellStyle name="Millares 2 5 3 2 2 3 2 4" xfId="17946" xr:uid="{00000000-0005-0000-0000-00004C170000}"/>
    <cellStyle name="Millares 2 5 3 2 2 3 2 4 2" xfId="45079" xr:uid="{00000000-0005-0000-0000-00004D170000}"/>
    <cellStyle name="Millares 2 5 3 2 2 3 2 5" xfId="31517" xr:uid="{00000000-0005-0000-0000-00004E170000}"/>
    <cellStyle name="Millares 2 5 3 2 2 3 3" xfId="7758" xr:uid="{00000000-0005-0000-0000-00004F170000}"/>
    <cellStyle name="Millares 2 5 3 2 2 3 3 2" xfId="14547" xr:uid="{00000000-0005-0000-0000-000050170000}"/>
    <cellStyle name="Millares 2 5 3 2 2 3 3 2 2" xfId="28115" xr:uid="{00000000-0005-0000-0000-000051170000}"/>
    <cellStyle name="Millares 2 5 3 2 2 3 3 2 2 2" xfId="55248" xr:uid="{00000000-0005-0000-0000-000052170000}"/>
    <cellStyle name="Millares 2 5 3 2 2 3 3 2 3" xfId="41686" xr:uid="{00000000-0005-0000-0000-000053170000}"/>
    <cellStyle name="Millares 2 5 3 2 2 3 3 3" xfId="21334" xr:uid="{00000000-0005-0000-0000-000054170000}"/>
    <cellStyle name="Millares 2 5 3 2 2 3 3 3 2" xfId="48467" xr:uid="{00000000-0005-0000-0000-000055170000}"/>
    <cellStyle name="Millares 2 5 3 2 2 3 3 4" xfId="34905" xr:uid="{00000000-0005-0000-0000-000056170000}"/>
    <cellStyle name="Millares 2 5 3 2 2 3 4" xfId="11158" xr:uid="{00000000-0005-0000-0000-000057170000}"/>
    <cellStyle name="Millares 2 5 3 2 2 3 4 2" xfId="24726" xr:uid="{00000000-0005-0000-0000-000058170000}"/>
    <cellStyle name="Millares 2 5 3 2 2 3 4 2 2" xfId="51859" xr:uid="{00000000-0005-0000-0000-000059170000}"/>
    <cellStyle name="Millares 2 5 3 2 2 3 4 3" xfId="38297" xr:uid="{00000000-0005-0000-0000-00005A170000}"/>
    <cellStyle name="Millares 2 5 3 2 2 3 5" xfId="17945" xr:uid="{00000000-0005-0000-0000-00005B170000}"/>
    <cellStyle name="Millares 2 5 3 2 2 3 5 2" xfId="45078" xr:uid="{00000000-0005-0000-0000-00005C170000}"/>
    <cellStyle name="Millares 2 5 3 2 2 3 6" xfId="31516" xr:uid="{00000000-0005-0000-0000-00005D170000}"/>
    <cellStyle name="Millares 2 5 3 2 2 4" xfId="4150" xr:uid="{00000000-0005-0000-0000-00005E170000}"/>
    <cellStyle name="Millares 2 5 3 2 2 4 2" xfId="7760" xr:uid="{00000000-0005-0000-0000-00005F170000}"/>
    <cellStyle name="Millares 2 5 3 2 2 4 2 2" xfId="14549" xr:uid="{00000000-0005-0000-0000-000060170000}"/>
    <cellStyle name="Millares 2 5 3 2 2 4 2 2 2" xfId="28117" xr:uid="{00000000-0005-0000-0000-000061170000}"/>
    <cellStyle name="Millares 2 5 3 2 2 4 2 2 2 2" xfId="55250" xr:uid="{00000000-0005-0000-0000-000062170000}"/>
    <cellStyle name="Millares 2 5 3 2 2 4 2 2 3" xfId="41688" xr:uid="{00000000-0005-0000-0000-000063170000}"/>
    <cellStyle name="Millares 2 5 3 2 2 4 2 3" xfId="21336" xr:uid="{00000000-0005-0000-0000-000064170000}"/>
    <cellStyle name="Millares 2 5 3 2 2 4 2 3 2" xfId="48469" xr:uid="{00000000-0005-0000-0000-000065170000}"/>
    <cellStyle name="Millares 2 5 3 2 2 4 2 4" xfId="34907" xr:uid="{00000000-0005-0000-0000-000066170000}"/>
    <cellStyle name="Millares 2 5 3 2 2 4 3" xfId="11160" xr:uid="{00000000-0005-0000-0000-000067170000}"/>
    <cellStyle name="Millares 2 5 3 2 2 4 3 2" xfId="24728" xr:uid="{00000000-0005-0000-0000-000068170000}"/>
    <cellStyle name="Millares 2 5 3 2 2 4 3 2 2" xfId="51861" xr:uid="{00000000-0005-0000-0000-000069170000}"/>
    <cellStyle name="Millares 2 5 3 2 2 4 3 3" xfId="38299" xr:uid="{00000000-0005-0000-0000-00006A170000}"/>
    <cellStyle name="Millares 2 5 3 2 2 4 4" xfId="17947" xr:uid="{00000000-0005-0000-0000-00006B170000}"/>
    <cellStyle name="Millares 2 5 3 2 2 4 4 2" xfId="45080" xr:uid="{00000000-0005-0000-0000-00006C170000}"/>
    <cellStyle name="Millares 2 5 3 2 2 4 5" xfId="31518" xr:uid="{00000000-0005-0000-0000-00006D170000}"/>
    <cellStyle name="Millares 2 5 3 2 2 5" xfId="4151" xr:uid="{00000000-0005-0000-0000-00006E170000}"/>
    <cellStyle name="Millares 2 5 3 2 2 5 2" xfId="7761" xr:uid="{00000000-0005-0000-0000-00006F170000}"/>
    <cellStyle name="Millares 2 5 3 2 2 5 2 2" xfId="14550" xr:uid="{00000000-0005-0000-0000-000070170000}"/>
    <cellStyle name="Millares 2 5 3 2 2 5 2 2 2" xfId="28118" xr:uid="{00000000-0005-0000-0000-000071170000}"/>
    <cellStyle name="Millares 2 5 3 2 2 5 2 2 2 2" xfId="55251" xr:uid="{00000000-0005-0000-0000-000072170000}"/>
    <cellStyle name="Millares 2 5 3 2 2 5 2 2 3" xfId="41689" xr:uid="{00000000-0005-0000-0000-000073170000}"/>
    <cellStyle name="Millares 2 5 3 2 2 5 2 3" xfId="21337" xr:uid="{00000000-0005-0000-0000-000074170000}"/>
    <cellStyle name="Millares 2 5 3 2 2 5 2 3 2" xfId="48470" xr:uid="{00000000-0005-0000-0000-000075170000}"/>
    <cellStyle name="Millares 2 5 3 2 2 5 2 4" xfId="34908" xr:uid="{00000000-0005-0000-0000-000076170000}"/>
    <cellStyle name="Millares 2 5 3 2 2 5 3" xfId="11161" xr:uid="{00000000-0005-0000-0000-000077170000}"/>
    <cellStyle name="Millares 2 5 3 2 2 5 3 2" xfId="24729" xr:uid="{00000000-0005-0000-0000-000078170000}"/>
    <cellStyle name="Millares 2 5 3 2 2 5 3 2 2" xfId="51862" xr:uid="{00000000-0005-0000-0000-000079170000}"/>
    <cellStyle name="Millares 2 5 3 2 2 5 3 3" xfId="38300" xr:uid="{00000000-0005-0000-0000-00007A170000}"/>
    <cellStyle name="Millares 2 5 3 2 2 5 4" xfId="17948" xr:uid="{00000000-0005-0000-0000-00007B170000}"/>
    <cellStyle name="Millares 2 5 3 2 2 5 4 2" xfId="45081" xr:uid="{00000000-0005-0000-0000-00007C170000}"/>
    <cellStyle name="Millares 2 5 3 2 2 5 5" xfId="31519" xr:uid="{00000000-0005-0000-0000-00007D170000}"/>
    <cellStyle name="Millares 2 5 3 2 2 6" xfId="7754" xr:uid="{00000000-0005-0000-0000-00007E170000}"/>
    <cellStyle name="Millares 2 5 3 2 2 6 2" xfId="14543" xr:uid="{00000000-0005-0000-0000-00007F170000}"/>
    <cellStyle name="Millares 2 5 3 2 2 6 2 2" xfId="28111" xr:uid="{00000000-0005-0000-0000-000080170000}"/>
    <cellStyle name="Millares 2 5 3 2 2 6 2 2 2" xfId="55244" xr:uid="{00000000-0005-0000-0000-000081170000}"/>
    <cellStyle name="Millares 2 5 3 2 2 6 2 3" xfId="41682" xr:uid="{00000000-0005-0000-0000-000082170000}"/>
    <cellStyle name="Millares 2 5 3 2 2 6 3" xfId="21330" xr:uid="{00000000-0005-0000-0000-000083170000}"/>
    <cellStyle name="Millares 2 5 3 2 2 6 3 2" xfId="48463" xr:uid="{00000000-0005-0000-0000-000084170000}"/>
    <cellStyle name="Millares 2 5 3 2 2 6 4" xfId="34901" xr:uid="{00000000-0005-0000-0000-000085170000}"/>
    <cellStyle name="Millares 2 5 3 2 2 7" xfId="11154" xr:uid="{00000000-0005-0000-0000-000086170000}"/>
    <cellStyle name="Millares 2 5 3 2 2 7 2" xfId="24722" xr:uid="{00000000-0005-0000-0000-000087170000}"/>
    <cellStyle name="Millares 2 5 3 2 2 7 2 2" xfId="51855" xr:uid="{00000000-0005-0000-0000-000088170000}"/>
    <cellStyle name="Millares 2 5 3 2 2 7 3" xfId="38293" xr:uid="{00000000-0005-0000-0000-000089170000}"/>
    <cellStyle name="Millares 2 5 3 2 2 8" xfId="17941" xr:uid="{00000000-0005-0000-0000-00008A170000}"/>
    <cellStyle name="Millares 2 5 3 2 2 8 2" xfId="45074" xr:uid="{00000000-0005-0000-0000-00008B170000}"/>
    <cellStyle name="Millares 2 5 3 2 2 9" xfId="31512" xr:uid="{00000000-0005-0000-0000-00008C170000}"/>
    <cellStyle name="Millares 2 5 3 2 3" xfId="4152" xr:uid="{00000000-0005-0000-0000-00008D170000}"/>
    <cellStyle name="Millares 2 5 3 2 3 2" xfId="4153" xr:uid="{00000000-0005-0000-0000-00008E170000}"/>
    <cellStyle name="Millares 2 5 3 2 3 2 2" xfId="7763" xr:uid="{00000000-0005-0000-0000-00008F170000}"/>
    <cellStyle name="Millares 2 5 3 2 3 2 2 2" xfId="14552" xr:uid="{00000000-0005-0000-0000-000090170000}"/>
    <cellStyle name="Millares 2 5 3 2 3 2 2 2 2" xfId="28120" xr:uid="{00000000-0005-0000-0000-000091170000}"/>
    <cellStyle name="Millares 2 5 3 2 3 2 2 2 2 2" xfId="55253" xr:uid="{00000000-0005-0000-0000-000092170000}"/>
    <cellStyle name="Millares 2 5 3 2 3 2 2 2 3" xfId="41691" xr:uid="{00000000-0005-0000-0000-000093170000}"/>
    <cellStyle name="Millares 2 5 3 2 3 2 2 3" xfId="21339" xr:uid="{00000000-0005-0000-0000-000094170000}"/>
    <cellStyle name="Millares 2 5 3 2 3 2 2 3 2" xfId="48472" xr:uid="{00000000-0005-0000-0000-000095170000}"/>
    <cellStyle name="Millares 2 5 3 2 3 2 2 4" xfId="34910" xr:uid="{00000000-0005-0000-0000-000096170000}"/>
    <cellStyle name="Millares 2 5 3 2 3 2 3" xfId="11163" xr:uid="{00000000-0005-0000-0000-000097170000}"/>
    <cellStyle name="Millares 2 5 3 2 3 2 3 2" xfId="24731" xr:uid="{00000000-0005-0000-0000-000098170000}"/>
    <cellStyle name="Millares 2 5 3 2 3 2 3 2 2" xfId="51864" xr:uid="{00000000-0005-0000-0000-000099170000}"/>
    <cellStyle name="Millares 2 5 3 2 3 2 3 3" xfId="38302" xr:uid="{00000000-0005-0000-0000-00009A170000}"/>
    <cellStyle name="Millares 2 5 3 2 3 2 4" xfId="17950" xr:uid="{00000000-0005-0000-0000-00009B170000}"/>
    <cellStyle name="Millares 2 5 3 2 3 2 4 2" xfId="45083" xr:uid="{00000000-0005-0000-0000-00009C170000}"/>
    <cellStyle name="Millares 2 5 3 2 3 2 5" xfId="31521" xr:uid="{00000000-0005-0000-0000-00009D170000}"/>
    <cellStyle name="Millares 2 5 3 2 3 3" xfId="4154" xr:uid="{00000000-0005-0000-0000-00009E170000}"/>
    <cellStyle name="Millares 2 5 3 2 3 3 2" xfId="7764" xr:uid="{00000000-0005-0000-0000-00009F170000}"/>
    <cellStyle name="Millares 2 5 3 2 3 3 2 2" xfId="14553" xr:uid="{00000000-0005-0000-0000-0000A0170000}"/>
    <cellStyle name="Millares 2 5 3 2 3 3 2 2 2" xfId="28121" xr:uid="{00000000-0005-0000-0000-0000A1170000}"/>
    <cellStyle name="Millares 2 5 3 2 3 3 2 2 2 2" xfId="55254" xr:uid="{00000000-0005-0000-0000-0000A2170000}"/>
    <cellStyle name="Millares 2 5 3 2 3 3 2 2 3" xfId="41692" xr:uid="{00000000-0005-0000-0000-0000A3170000}"/>
    <cellStyle name="Millares 2 5 3 2 3 3 2 3" xfId="21340" xr:uid="{00000000-0005-0000-0000-0000A4170000}"/>
    <cellStyle name="Millares 2 5 3 2 3 3 2 3 2" xfId="48473" xr:uid="{00000000-0005-0000-0000-0000A5170000}"/>
    <cellStyle name="Millares 2 5 3 2 3 3 2 4" xfId="34911" xr:uid="{00000000-0005-0000-0000-0000A6170000}"/>
    <cellStyle name="Millares 2 5 3 2 3 3 3" xfId="11164" xr:uid="{00000000-0005-0000-0000-0000A7170000}"/>
    <cellStyle name="Millares 2 5 3 2 3 3 3 2" xfId="24732" xr:uid="{00000000-0005-0000-0000-0000A8170000}"/>
    <cellStyle name="Millares 2 5 3 2 3 3 3 2 2" xfId="51865" xr:uid="{00000000-0005-0000-0000-0000A9170000}"/>
    <cellStyle name="Millares 2 5 3 2 3 3 3 3" xfId="38303" xr:uid="{00000000-0005-0000-0000-0000AA170000}"/>
    <cellStyle name="Millares 2 5 3 2 3 3 4" xfId="17951" xr:uid="{00000000-0005-0000-0000-0000AB170000}"/>
    <cellStyle name="Millares 2 5 3 2 3 3 4 2" xfId="45084" xr:uid="{00000000-0005-0000-0000-0000AC170000}"/>
    <cellStyle name="Millares 2 5 3 2 3 3 5" xfId="31522" xr:uid="{00000000-0005-0000-0000-0000AD170000}"/>
    <cellStyle name="Millares 2 5 3 2 3 4" xfId="7762" xr:uid="{00000000-0005-0000-0000-0000AE170000}"/>
    <cellStyle name="Millares 2 5 3 2 3 4 2" xfId="14551" xr:uid="{00000000-0005-0000-0000-0000AF170000}"/>
    <cellStyle name="Millares 2 5 3 2 3 4 2 2" xfId="28119" xr:uid="{00000000-0005-0000-0000-0000B0170000}"/>
    <cellStyle name="Millares 2 5 3 2 3 4 2 2 2" xfId="55252" xr:uid="{00000000-0005-0000-0000-0000B1170000}"/>
    <cellStyle name="Millares 2 5 3 2 3 4 2 3" xfId="41690" xr:uid="{00000000-0005-0000-0000-0000B2170000}"/>
    <cellStyle name="Millares 2 5 3 2 3 4 3" xfId="21338" xr:uid="{00000000-0005-0000-0000-0000B3170000}"/>
    <cellStyle name="Millares 2 5 3 2 3 4 3 2" xfId="48471" xr:uid="{00000000-0005-0000-0000-0000B4170000}"/>
    <cellStyle name="Millares 2 5 3 2 3 4 4" xfId="34909" xr:uid="{00000000-0005-0000-0000-0000B5170000}"/>
    <cellStyle name="Millares 2 5 3 2 3 5" xfId="11162" xr:uid="{00000000-0005-0000-0000-0000B6170000}"/>
    <cellStyle name="Millares 2 5 3 2 3 5 2" xfId="24730" xr:uid="{00000000-0005-0000-0000-0000B7170000}"/>
    <cellStyle name="Millares 2 5 3 2 3 5 2 2" xfId="51863" xr:uid="{00000000-0005-0000-0000-0000B8170000}"/>
    <cellStyle name="Millares 2 5 3 2 3 5 3" xfId="38301" xr:uid="{00000000-0005-0000-0000-0000B9170000}"/>
    <cellStyle name="Millares 2 5 3 2 3 6" xfId="17949" xr:uid="{00000000-0005-0000-0000-0000BA170000}"/>
    <cellStyle name="Millares 2 5 3 2 3 6 2" xfId="45082" xr:uid="{00000000-0005-0000-0000-0000BB170000}"/>
    <cellStyle name="Millares 2 5 3 2 3 7" xfId="31520" xr:uid="{00000000-0005-0000-0000-0000BC170000}"/>
    <cellStyle name="Millares 2 5 3 2 4" xfId="4155" xr:uid="{00000000-0005-0000-0000-0000BD170000}"/>
    <cellStyle name="Millares 2 5 3 2 4 2" xfId="4156" xr:uid="{00000000-0005-0000-0000-0000BE170000}"/>
    <cellStyle name="Millares 2 5 3 2 4 2 2" xfId="7766" xr:uid="{00000000-0005-0000-0000-0000BF170000}"/>
    <cellStyle name="Millares 2 5 3 2 4 2 2 2" xfId="14555" xr:uid="{00000000-0005-0000-0000-0000C0170000}"/>
    <cellStyle name="Millares 2 5 3 2 4 2 2 2 2" xfId="28123" xr:uid="{00000000-0005-0000-0000-0000C1170000}"/>
    <cellStyle name="Millares 2 5 3 2 4 2 2 2 2 2" xfId="55256" xr:uid="{00000000-0005-0000-0000-0000C2170000}"/>
    <cellStyle name="Millares 2 5 3 2 4 2 2 2 3" xfId="41694" xr:uid="{00000000-0005-0000-0000-0000C3170000}"/>
    <cellStyle name="Millares 2 5 3 2 4 2 2 3" xfId="21342" xr:uid="{00000000-0005-0000-0000-0000C4170000}"/>
    <cellStyle name="Millares 2 5 3 2 4 2 2 3 2" xfId="48475" xr:uid="{00000000-0005-0000-0000-0000C5170000}"/>
    <cellStyle name="Millares 2 5 3 2 4 2 2 4" xfId="34913" xr:uid="{00000000-0005-0000-0000-0000C6170000}"/>
    <cellStyle name="Millares 2 5 3 2 4 2 3" xfId="11166" xr:uid="{00000000-0005-0000-0000-0000C7170000}"/>
    <cellStyle name="Millares 2 5 3 2 4 2 3 2" xfId="24734" xr:uid="{00000000-0005-0000-0000-0000C8170000}"/>
    <cellStyle name="Millares 2 5 3 2 4 2 3 2 2" xfId="51867" xr:uid="{00000000-0005-0000-0000-0000C9170000}"/>
    <cellStyle name="Millares 2 5 3 2 4 2 3 3" xfId="38305" xr:uid="{00000000-0005-0000-0000-0000CA170000}"/>
    <cellStyle name="Millares 2 5 3 2 4 2 4" xfId="17953" xr:uid="{00000000-0005-0000-0000-0000CB170000}"/>
    <cellStyle name="Millares 2 5 3 2 4 2 4 2" xfId="45086" xr:uid="{00000000-0005-0000-0000-0000CC170000}"/>
    <cellStyle name="Millares 2 5 3 2 4 2 5" xfId="31524" xr:uid="{00000000-0005-0000-0000-0000CD170000}"/>
    <cellStyle name="Millares 2 5 3 2 4 3" xfId="7765" xr:uid="{00000000-0005-0000-0000-0000CE170000}"/>
    <cellStyle name="Millares 2 5 3 2 4 3 2" xfId="14554" xr:uid="{00000000-0005-0000-0000-0000CF170000}"/>
    <cellStyle name="Millares 2 5 3 2 4 3 2 2" xfId="28122" xr:uid="{00000000-0005-0000-0000-0000D0170000}"/>
    <cellStyle name="Millares 2 5 3 2 4 3 2 2 2" xfId="55255" xr:uid="{00000000-0005-0000-0000-0000D1170000}"/>
    <cellStyle name="Millares 2 5 3 2 4 3 2 3" xfId="41693" xr:uid="{00000000-0005-0000-0000-0000D2170000}"/>
    <cellStyle name="Millares 2 5 3 2 4 3 3" xfId="21341" xr:uid="{00000000-0005-0000-0000-0000D3170000}"/>
    <cellStyle name="Millares 2 5 3 2 4 3 3 2" xfId="48474" xr:uid="{00000000-0005-0000-0000-0000D4170000}"/>
    <cellStyle name="Millares 2 5 3 2 4 3 4" xfId="34912" xr:uid="{00000000-0005-0000-0000-0000D5170000}"/>
    <cellStyle name="Millares 2 5 3 2 4 4" xfId="11165" xr:uid="{00000000-0005-0000-0000-0000D6170000}"/>
    <cellStyle name="Millares 2 5 3 2 4 4 2" xfId="24733" xr:uid="{00000000-0005-0000-0000-0000D7170000}"/>
    <cellStyle name="Millares 2 5 3 2 4 4 2 2" xfId="51866" xr:uid="{00000000-0005-0000-0000-0000D8170000}"/>
    <cellStyle name="Millares 2 5 3 2 4 4 3" xfId="38304" xr:uid="{00000000-0005-0000-0000-0000D9170000}"/>
    <cellStyle name="Millares 2 5 3 2 4 5" xfId="17952" xr:uid="{00000000-0005-0000-0000-0000DA170000}"/>
    <cellStyle name="Millares 2 5 3 2 4 5 2" xfId="45085" xr:uid="{00000000-0005-0000-0000-0000DB170000}"/>
    <cellStyle name="Millares 2 5 3 2 4 6" xfId="31523" xr:uid="{00000000-0005-0000-0000-0000DC170000}"/>
    <cellStyle name="Millares 2 5 3 2 5" xfId="4157" xr:uid="{00000000-0005-0000-0000-0000DD170000}"/>
    <cellStyle name="Millares 2 5 3 2 5 2" xfId="7767" xr:uid="{00000000-0005-0000-0000-0000DE170000}"/>
    <cellStyle name="Millares 2 5 3 2 5 2 2" xfId="14556" xr:uid="{00000000-0005-0000-0000-0000DF170000}"/>
    <cellStyle name="Millares 2 5 3 2 5 2 2 2" xfId="28124" xr:uid="{00000000-0005-0000-0000-0000E0170000}"/>
    <cellStyle name="Millares 2 5 3 2 5 2 2 2 2" xfId="55257" xr:uid="{00000000-0005-0000-0000-0000E1170000}"/>
    <cellStyle name="Millares 2 5 3 2 5 2 2 3" xfId="41695" xr:uid="{00000000-0005-0000-0000-0000E2170000}"/>
    <cellStyle name="Millares 2 5 3 2 5 2 3" xfId="21343" xr:uid="{00000000-0005-0000-0000-0000E3170000}"/>
    <cellStyle name="Millares 2 5 3 2 5 2 3 2" xfId="48476" xr:uid="{00000000-0005-0000-0000-0000E4170000}"/>
    <cellStyle name="Millares 2 5 3 2 5 2 4" xfId="34914" xr:uid="{00000000-0005-0000-0000-0000E5170000}"/>
    <cellStyle name="Millares 2 5 3 2 5 3" xfId="11167" xr:uid="{00000000-0005-0000-0000-0000E6170000}"/>
    <cellStyle name="Millares 2 5 3 2 5 3 2" xfId="24735" xr:uid="{00000000-0005-0000-0000-0000E7170000}"/>
    <cellStyle name="Millares 2 5 3 2 5 3 2 2" xfId="51868" xr:uid="{00000000-0005-0000-0000-0000E8170000}"/>
    <cellStyle name="Millares 2 5 3 2 5 3 3" xfId="38306" xr:uid="{00000000-0005-0000-0000-0000E9170000}"/>
    <cellStyle name="Millares 2 5 3 2 5 4" xfId="17954" xr:uid="{00000000-0005-0000-0000-0000EA170000}"/>
    <cellStyle name="Millares 2 5 3 2 5 4 2" xfId="45087" xr:uid="{00000000-0005-0000-0000-0000EB170000}"/>
    <cellStyle name="Millares 2 5 3 2 5 5" xfId="31525" xr:uid="{00000000-0005-0000-0000-0000EC170000}"/>
    <cellStyle name="Millares 2 5 3 2 6" xfId="4158" xr:uid="{00000000-0005-0000-0000-0000ED170000}"/>
    <cellStyle name="Millares 2 5 3 2 6 2" xfId="7768" xr:uid="{00000000-0005-0000-0000-0000EE170000}"/>
    <cellStyle name="Millares 2 5 3 2 6 2 2" xfId="14557" xr:uid="{00000000-0005-0000-0000-0000EF170000}"/>
    <cellStyle name="Millares 2 5 3 2 6 2 2 2" xfId="28125" xr:uid="{00000000-0005-0000-0000-0000F0170000}"/>
    <cellStyle name="Millares 2 5 3 2 6 2 2 2 2" xfId="55258" xr:uid="{00000000-0005-0000-0000-0000F1170000}"/>
    <cellStyle name="Millares 2 5 3 2 6 2 2 3" xfId="41696" xr:uid="{00000000-0005-0000-0000-0000F2170000}"/>
    <cellStyle name="Millares 2 5 3 2 6 2 3" xfId="21344" xr:uid="{00000000-0005-0000-0000-0000F3170000}"/>
    <cellStyle name="Millares 2 5 3 2 6 2 3 2" xfId="48477" xr:uid="{00000000-0005-0000-0000-0000F4170000}"/>
    <cellStyle name="Millares 2 5 3 2 6 2 4" xfId="34915" xr:uid="{00000000-0005-0000-0000-0000F5170000}"/>
    <cellStyle name="Millares 2 5 3 2 6 3" xfId="11168" xr:uid="{00000000-0005-0000-0000-0000F6170000}"/>
    <cellStyle name="Millares 2 5 3 2 6 3 2" xfId="24736" xr:uid="{00000000-0005-0000-0000-0000F7170000}"/>
    <cellStyle name="Millares 2 5 3 2 6 3 2 2" xfId="51869" xr:uid="{00000000-0005-0000-0000-0000F8170000}"/>
    <cellStyle name="Millares 2 5 3 2 6 3 3" xfId="38307" xr:uid="{00000000-0005-0000-0000-0000F9170000}"/>
    <cellStyle name="Millares 2 5 3 2 6 4" xfId="17955" xr:uid="{00000000-0005-0000-0000-0000FA170000}"/>
    <cellStyle name="Millares 2 5 3 2 6 4 2" xfId="45088" xr:uid="{00000000-0005-0000-0000-0000FB170000}"/>
    <cellStyle name="Millares 2 5 3 2 6 5" xfId="31526" xr:uid="{00000000-0005-0000-0000-0000FC170000}"/>
    <cellStyle name="Millares 2 5 3 2 7" xfId="7753" xr:uid="{00000000-0005-0000-0000-0000FD170000}"/>
    <cellStyle name="Millares 2 5 3 2 7 2" xfId="14542" xr:uid="{00000000-0005-0000-0000-0000FE170000}"/>
    <cellStyle name="Millares 2 5 3 2 7 2 2" xfId="28110" xr:uid="{00000000-0005-0000-0000-0000FF170000}"/>
    <cellStyle name="Millares 2 5 3 2 7 2 2 2" xfId="55243" xr:uid="{00000000-0005-0000-0000-000000180000}"/>
    <cellStyle name="Millares 2 5 3 2 7 2 3" xfId="41681" xr:uid="{00000000-0005-0000-0000-000001180000}"/>
    <cellStyle name="Millares 2 5 3 2 7 3" xfId="21329" xr:uid="{00000000-0005-0000-0000-000002180000}"/>
    <cellStyle name="Millares 2 5 3 2 7 3 2" xfId="48462" xr:uid="{00000000-0005-0000-0000-000003180000}"/>
    <cellStyle name="Millares 2 5 3 2 7 4" xfId="34900" xr:uid="{00000000-0005-0000-0000-000004180000}"/>
    <cellStyle name="Millares 2 5 3 2 8" xfId="11153" xr:uid="{00000000-0005-0000-0000-000005180000}"/>
    <cellStyle name="Millares 2 5 3 2 8 2" xfId="24721" xr:uid="{00000000-0005-0000-0000-000006180000}"/>
    <cellStyle name="Millares 2 5 3 2 8 2 2" xfId="51854" xr:uid="{00000000-0005-0000-0000-000007180000}"/>
    <cellStyle name="Millares 2 5 3 2 8 3" xfId="38292" xr:uid="{00000000-0005-0000-0000-000008180000}"/>
    <cellStyle name="Millares 2 5 3 2 9" xfId="17940" xr:uid="{00000000-0005-0000-0000-000009180000}"/>
    <cellStyle name="Millares 2 5 3 2 9 2" xfId="45073" xr:uid="{00000000-0005-0000-0000-00000A180000}"/>
    <cellStyle name="Millares 2 5 3 3" xfId="4159" xr:uid="{00000000-0005-0000-0000-00000B180000}"/>
    <cellStyle name="Millares 2 5 3 3 2" xfId="4160" xr:uid="{00000000-0005-0000-0000-00000C180000}"/>
    <cellStyle name="Millares 2 5 3 3 2 2" xfId="4161" xr:uid="{00000000-0005-0000-0000-00000D180000}"/>
    <cellStyle name="Millares 2 5 3 3 2 2 2" xfId="7771" xr:uid="{00000000-0005-0000-0000-00000E180000}"/>
    <cellStyle name="Millares 2 5 3 3 2 2 2 2" xfId="14560" xr:uid="{00000000-0005-0000-0000-00000F180000}"/>
    <cellStyle name="Millares 2 5 3 3 2 2 2 2 2" xfId="28128" xr:uid="{00000000-0005-0000-0000-000010180000}"/>
    <cellStyle name="Millares 2 5 3 3 2 2 2 2 2 2" xfId="55261" xr:uid="{00000000-0005-0000-0000-000011180000}"/>
    <cellStyle name="Millares 2 5 3 3 2 2 2 2 3" xfId="41699" xr:uid="{00000000-0005-0000-0000-000012180000}"/>
    <cellStyle name="Millares 2 5 3 3 2 2 2 3" xfId="21347" xr:uid="{00000000-0005-0000-0000-000013180000}"/>
    <cellStyle name="Millares 2 5 3 3 2 2 2 3 2" xfId="48480" xr:uid="{00000000-0005-0000-0000-000014180000}"/>
    <cellStyle name="Millares 2 5 3 3 2 2 2 4" xfId="34918" xr:uid="{00000000-0005-0000-0000-000015180000}"/>
    <cellStyle name="Millares 2 5 3 3 2 2 3" xfId="11171" xr:uid="{00000000-0005-0000-0000-000016180000}"/>
    <cellStyle name="Millares 2 5 3 3 2 2 3 2" xfId="24739" xr:uid="{00000000-0005-0000-0000-000017180000}"/>
    <cellStyle name="Millares 2 5 3 3 2 2 3 2 2" xfId="51872" xr:uid="{00000000-0005-0000-0000-000018180000}"/>
    <cellStyle name="Millares 2 5 3 3 2 2 3 3" xfId="38310" xr:uid="{00000000-0005-0000-0000-000019180000}"/>
    <cellStyle name="Millares 2 5 3 3 2 2 4" xfId="17958" xr:uid="{00000000-0005-0000-0000-00001A180000}"/>
    <cellStyle name="Millares 2 5 3 3 2 2 4 2" xfId="45091" xr:uid="{00000000-0005-0000-0000-00001B180000}"/>
    <cellStyle name="Millares 2 5 3 3 2 2 5" xfId="31529" xr:uid="{00000000-0005-0000-0000-00001C180000}"/>
    <cellStyle name="Millares 2 5 3 3 2 3" xfId="4162" xr:uid="{00000000-0005-0000-0000-00001D180000}"/>
    <cellStyle name="Millares 2 5 3 3 2 3 2" xfId="7772" xr:uid="{00000000-0005-0000-0000-00001E180000}"/>
    <cellStyle name="Millares 2 5 3 3 2 3 2 2" xfId="14561" xr:uid="{00000000-0005-0000-0000-00001F180000}"/>
    <cellStyle name="Millares 2 5 3 3 2 3 2 2 2" xfId="28129" xr:uid="{00000000-0005-0000-0000-000020180000}"/>
    <cellStyle name="Millares 2 5 3 3 2 3 2 2 2 2" xfId="55262" xr:uid="{00000000-0005-0000-0000-000021180000}"/>
    <cellStyle name="Millares 2 5 3 3 2 3 2 2 3" xfId="41700" xr:uid="{00000000-0005-0000-0000-000022180000}"/>
    <cellStyle name="Millares 2 5 3 3 2 3 2 3" xfId="21348" xr:uid="{00000000-0005-0000-0000-000023180000}"/>
    <cellStyle name="Millares 2 5 3 3 2 3 2 3 2" xfId="48481" xr:uid="{00000000-0005-0000-0000-000024180000}"/>
    <cellStyle name="Millares 2 5 3 3 2 3 2 4" xfId="34919" xr:uid="{00000000-0005-0000-0000-000025180000}"/>
    <cellStyle name="Millares 2 5 3 3 2 3 3" xfId="11172" xr:uid="{00000000-0005-0000-0000-000026180000}"/>
    <cellStyle name="Millares 2 5 3 3 2 3 3 2" xfId="24740" xr:uid="{00000000-0005-0000-0000-000027180000}"/>
    <cellStyle name="Millares 2 5 3 3 2 3 3 2 2" xfId="51873" xr:uid="{00000000-0005-0000-0000-000028180000}"/>
    <cellStyle name="Millares 2 5 3 3 2 3 3 3" xfId="38311" xr:uid="{00000000-0005-0000-0000-000029180000}"/>
    <cellStyle name="Millares 2 5 3 3 2 3 4" xfId="17959" xr:uid="{00000000-0005-0000-0000-00002A180000}"/>
    <cellStyle name="Millares 2 5 3 3 2 3 4 2" xfId="45092" xr:uid="{00000000-0005-0000-0000-00002B180000}"/>
    <cellStyle name="Millares 2 5 3 3 2 3 5" xfId="31530" xr:uid="{00000000-0005-0000-0000-00002C180000}"/>
    <cellStyle name="Millares 2 5 3 3 2 4" xfId="7770" xr:uid="{00000000-0005-0000-0000-00002D180000}"/>
    <cellStyle name="Millares 2 5 3 3 2 4 2" xfId="14559" xr:uid="{00000000-0005-0000-0000-00002E180000}"/>
    <cellStyle name="Millares 2 5 3 3 2 4 2 2" xfId="28127" xr:uid="{00000000-0005-0000-0000-00002F180000}"/>
    <cellStyle name="Millares 2 5 3 3 2 4 2 2 2" xfId="55260" xr:uid="{00000000-0005-0000-0000-000030180000}"/>
    <cellStyle name="Millares 2 5 3 3 2 4 2 3" xfId="41698" xr:uid="{00000000-0005-0000-0000-000031180000}"/>
    <cellStyle name="Millares 2 5 3 3 2 4 3" xfId="21346" xr:uid="{00000000-0005-0000-0000-000032180000}"/>
    <cellStyle name="Millares 2 5 3 3 2 4 3 2" xfId="48479" xr:uid="{00000000-0005-0000-0000-000033180000}"/>
    <cellStyle name="Millares 2 5 3 3 2 4 4" xfId="34917" xr:uid="{00000000-0005-0000-0000-000034180000}"/>
    <cellStyle name="Millares 2 5 3 3 2 5" xfId="11170" xr:uid="{00000000-0005-0000-0000-000035180000}"/>
    <cellStyle name="Millares 2 5 3 3 2 5 2" xfId="24738" xr:uid="{00000000-0005-0000-0000-000036180000}"/>
    <cellStyle name="Millares 2 5 3 3 2 5 2 2" xfId="51871" xr:uid="{00000000-0005-0000-0000-000037180000}"/>
    <cellStyle name="Millares 2 5 3 3 2 5 3" xfId="38309" xr:uid="{00000000-0005-0000-0000-000038180000}"/>
    <cellStyle name="Millares 2 5 3 3 2 6" xfId="17957" xr:uid="{00000000-0005-0000-0000-000039180000}"/>
    <cellStyle name="Millares 2 5 3 3 2 6 2" xfId="45090" xr:uid="{00000000-0005-0000-0000-00003A180000}"/>
    <cellStyle name="Millares 2 5 3 3 2 7" xfId="31528" xr:uid="{00000000-0005-0000-0000-00003B180000}"/>
    <cellStyle name="Millares 2 5 3 3 3" xfId="4163" xr:uid="{00000000-0005-0000-0000-00003C180000}"/>
    <cellStyle name="Millares 2 5 3 3 3 2" xfId="4164" xr:uid="{00000000-0005-0000-0000-00003D180000}"/>
    <cellStyle name="Millares 2 5 3 3 3 2 2" xfId="7774" xr:uid="{00000000-0005-0000-0000-00003E180000}"/>
    <cellStyle name="Millares 2 5 3 3 3 2 2 2" xfId="14563" xr:uid="{00000000-0005-0000-0000-00003F180000}"/>
    <cellStyle name="Millares 2 5 3 3 3 2 2 2 2" xfId="28131" xr:uid="{00000000-0005-0000-0000-000040180000}"/>
    <cellStyle name="Millares 2 5 3 3 3 2 2 2 2 2" xfId="55264" xr:uid="{00000000-0005-0000-0000-000041180000}"/>
    <cellStyle name="Millares 2 5 3 3 3 2 2 2 3" xfId="41702" xr:uid="{00000000-0005-0000-0000-000042180000}"/>
    <cellStyle name="Millares 2 5 3 3 3 2 2 3" xfId="21350" xr:uid="{00000000-0005-0000-0000-000043180000}"/>
    <cellStyle name="Millares 2 5 3 3 3 2 2 3 2" xfId="48483" xr:uid="{00000000-0005-0000-0000-000044180000}"/>
    <cellStyle name="Millares 2 5 3 3 3 2 2 4" xfId="34921" xr:uid="{00000000-0005-0000-0000-000045180000}"/>
    <cellStyle name="Millares 2 5 3 3 3 2 3" xfId="11174" xr:uid="{00000000-0005-0000-0000-000046180000}"/>
    <cellStyle name="Millares 2 5 3 3 3 2 3 2" xfId="24742" xr:uid="{00000000-0005-0000-0000-000047180000}"/>
    <cellStyle name="Millares 2 5 3 3 3 2 3 2 2" xfId="51875" xr:uid="{00000000-0005-0000-0000-000048180000}"/>
    <cellStyle name="Millares 2 5 3 3 3 2 3 3" xfId="38313" xr:uid="{00000000-0005-0000-0000-000049180000}"/>
    <cellStyle name="Millares 2 5 3 3 3 2 4" xfId="17961" xr:uid="{00000000-0005-0000-0000-00004A180000}"/>
    <cellStyle name="Millares 2 5 3 3 3 2 4 2" xfId="45094" xr:uid="{00000000-0005-0000-0000-00004B180000}"/>
    <cellStyle name="Millares 2 5 3 3 3 2 5" xfId="31532" xr:uid="{00000000-0005-0000-0000-00004C180000}"/>
    <cellStyle name="Millares 2 5 3 3 3 3" xfId="7773" xr:uid="{00000000-0005-0000-0000-00004D180000}"/>
    <cellStyle name="Millares 2 5 3 3 3 3 2" xfId="14562" xr:uid="{00000000-0005-0000-0000-00004E180000}"/>
    <cellStyle name="Millares 2 5 3 3 3 3 2 2" xfId="28130" xr:uid="{00000000-0005-0000-0000-00004F180000}"/>
    <cellStyle name="Millares 2 5 3 3 3 3 2 2 2" xfId="55263" xr:uid="{00000000-0005-0000-0000-000050180000}"/>
    <cellStyle name="Millares 2 5 3 3 3 3 2 3" xfId="41701" xr:uid="{00000000-0005-0000-0000-000051180000}"/>
    <cellStyle name="Millares 2 5 3 3 3 3 3" xfId="21349" xr:uid="{00000000-0005-0000-0000-000052180000}"/>
    <cellStyle name="Millares 2 5 3 3 3 3 3 2" xfId="48482" xr:uid="{00000000-0005-0000-0000-000053180000}"/>
    <cellStyle name="Millares 2 5 3 3 3 3 4" xfId="34920" xr:uid="{00000000-0005-0000-0000-000054180000}"/>
    <cellStyle name="Millares 2 5 3 3 3 4" xfId="11173" xr:uid="{00000000-0005-0000-0000-000055180000}"/>
    <cellStyle name="Millares 2 5 3 3 3 4 2" xfId="24741" xr:uid="{00000000-0005-0000-0000-000056180000}"/>
    <cellStyle name="Millares 2 5 3 3 3 4 2 2" xfId="51874" xr:uid="{00000000-0005-0000-0000-000057180000}"/>
    <cellStyle name="Millares 2 5 3 3 3 4 3" xfId="38312" xr:uid="{00000000-0005-0000-0000-000058180000}"/>
    <cellStyle name="Millares 2 5 3 3 3 5" xfId="17960" xr:uid="{00000000-0005-0000-0000-000059180000}"/>
    <cellStyle name="Millares 2 5 3 3 3 5 2" xfId="45093" xr:uid="{00000000-0005-0000-0000-00005A180000}"/>
    <cellStyle name="Millares 2 5 3 3 3 6" xfId="31531" xr:uid="{00000000-0005-0000-0000-00005B180000}"/>
    <cellStyle name="Millares 2 5 3 3 4" xfId="4165" xr:uid="{00000000-0005-0000-0000-00005C180000}"/>
    <cellStyle name="Millares 2 5 3 3 4 2" xfId="7775" xr:uid="{00000000-0005-0000-0000-00005D180000}"/>
    <cellStyle name="Millares 2 5 3 3 4 2 2" xfId="14564" xr:uid="{00000000-0005-0000-0000-00005E180000}"/>
    <cellStyle name="Millares 2 5 3 3 4 2 2 2" xfId="28132" xr:uid="{00000000-0005-0000-0000-00005F180000}"/>
    <cellStyle name="Millares 2 5 3 3 4 2 2 2 2" xfId="55265" xr:uid="{00000000-0005-0000-0000-000060180000}"/>
    <cellStyle name="Millares 2 5 3 3 4 2 2 3" xfId="41703" xr:uid="{00000000-0005-0000-0000-000061180000}"/>
    <cellStyle name="Millares 2 5 3 3 4 2 3" xfId="21351" xr:uid="{00000000-0005-0000-0000-000062180000}"/>
    <cellStyle name="Millares 2 5 3 3 4 2 3 2" xfId="48484" xr:uid="{00000000-0005-0000-0000-000063180000}"/>
    <cellStyle name="Millares 2 5 3 3 4 2 4" xfId="34922" xr:uid="{00000000-0005-0000-0000-000064180000}"/>
    <cellStyle name="Millares 2 5 3 3 4 3" xfId="11175" xr:uid="{00000000-0005-0000-0000-000065180000}"/>
    <cellStyle name="Millares 2 5 3 3 4 3 2" xfId="24743" xr:uid="{00000000-0005-0000-0000-000066180000}"/>
    <cellStyle name="Millares 2 5 3 3 4 3 2 2" xfId="51876" xr:uid="{00000000-0005-0000-0000-000067180000}"/>
    <cellStyle name="Millares 2 5 3 3 4 3 3" xfId="38314" xr:uid="{00000000-0005-0000-0000-000068180000}"/>
    <cellStyle name="Millares 2 5 3 3 4 4" xfId="17962" xr:uid="{00000000-0005-0000-0000-000069180000}"/>
    <cellStyle name="Millares 2 5 3 3 4 4 2" xfId="45095" xr:uid="{00000000-0005-0000-0000-00006A180000}"/>
    <cellStyle name="Millares 2 5 3 3 4 5" xfId="31533" xr:uid="{00000000-0005-0000-0000-00006B180000}"/>
    <cellStyle name="Millares 2 5 3 3 5" xfId="4166" xr:uid="{00000000-0005-0000-0000-00006C180000}"/>
    <cellStyle name="Millares 2 5 3 3 5 2" xfId="7776" xr:uid="{00000000-0005-0000-0000-00006D180000}"/>
    <cellStyle name="Millares 2 5 3 3 5 2 2" xfId="14565" xr:uid="{00000000-0005-0000-0000-00006E180000}"/>
    <cellStyle name="Millares 2 5 3 3 5 2 2 2" xfId="28133" xr:uid="{00000000-0005-0000-0000-00006F180000}"/>
    <cellStyle name="Millares 2 5 3 3 5 2 2 2 2" xfId="55266" xr:uid="{00000000-0005-0000-0000-000070180000}"/>
    <cellStyle name="Millares 2 5 3 3 5 2 2 3" xfId="41704" xr:uid="{00000000-0005-0000-0000-000071180000}"/>
    <cellStyle name="Millares 2 5 3 3 5 2 3" xfId="21352" xr:uid="{00000000-0005-0000-0000-000072180000}"/>
    <cellStyle name="Millares 2 5 3 3 5 2 3 2" xfId="48485" xr:uid="{00000000-0005-0000-0000-000073180000}"/>
    <cellStyle name="Millares 2 5 3 3 5 2 4" xfId="34923" xr:uid="{00000000-0005-0000-0000-000074180000}"/>
    <cellStyle name="Millares 2 5 3 3 5 3" xfId="11176" xr:uid="{00000000-0005-0000-0000-000075180000}"/>
    <cellStyle name="Millares 2 5 3 3 5 3 2" xfId="24744" xr:uid="{00000000-0005-0000-0000-000076180000}"/>
    <cellStyle name="Millares 2 5 3 3 5 3 2 2" xfId="51877" xr:uid="{00000000-0005-0000-0000-000077180000}"/>
    <cellStyle name="Millares 2 5 3 3 5 3 3" xfId="38315" xr:uid="{00000000-0005-0000-0000-000078180000}"/>
    <cellStyle name="Millares 2 5 3 3 5 4" xfId="17963" xr:uid="{00000000-0005-0000-0000-000079180000}"/>
    <cellStyle name="Millares 2 5 3 3 5 4 2" xfId="45096" xr:uid="{00000000-0005-0000-0000-00007A180000}"/>
    <cellStyle name="Millares 2 5 3 3 5 5" xfId="31534" xr:uid="{00000000-0005-0000-0000-00007B180000}"/>
    <cellStyle name="Millares 2 5 3 3 6" xfId="7769" xr:uid="{00000000-0005-0000-0000-00007C180000}"/>
    <cellStyle name="Millares 2 5 3 3 6 2" xfId="14558" xr:uid="{00000000-0005-0000-0000-00007D180000}"/>
    <cellStyle name="Millares 2 5 3 3 6 2 2" xfId="28126" xr:uid="{00000000-0005-0000-0000-00007E180000}"/>
    <cellStyle name="Millares 2 5 3 3 6 2 2 2" xfId="55259" xr:uid="{00000000-0005-0000-0000-00007F180000}"/>
    <cellStyle name="Millares 2 5 3 3 6 2 3" xfId="41697" xr:uid="{00000000-0005-0000-0000-000080180000}"/>
    <cellStyle name="Millares 2 5 3 3 6 3" xfId="21345" xr:uid="{00000000-0005-0000-0000-000081180000}"/>
    <cellStyle name="Millares 2 5 3 3 6 3 2" xfId="48478" xr:uid="{00000000-0005-0000-0000-000082180000}"/>
    <cellStyle name="Millares 2 5 3 3 6 4" xfId="34916" xr:uid="{00000000-0005-0000-0000-000083180000}"/>
    <cellStyle name="Millares 2 5 3 3 7" xfId="11169" xr:uid="{00000000-0005-0000-0000-000084180000}"/>
    <cellStyle name="Millares 2 5 3 3 7 2" xfId="24737" xr:uid="{00000000-0005-0000-0000-000085180000}"/>
    <cellStyle name="Millares 2 5 3 3 7 2 2" xfId="51870" xr:uid="{00000000-0005-0000-0000-000086180000}"/>
    <cellStyle name="Millares 2 5 3 3 7 3" xfId="38308" xr:uid="{00000000-0005-0000-0000-000087180000}"/>
    <cellStyle name="Millares 2 5 3 3 8" xfId="17956" xr:uid="{00000000-0005-0000-0000-000088180000}"/>
    <cellStyle name="Millares 2 5 3 3 8 2" xfId="45089" xr:uid="{00000000-0005-0000-0000-000089180000}"/>
    <cellStyle name="Millares 2 5 3 3 9" xfId="31527" xr:uid="{00000000-0005-0000-0000-00008A180000}"/>
    <cellStyle name="Millares 2 5 3 4" xfId="4167" xr:uid="{00000000-0005-0000-0000-00008B180000}"/>
    <cellStyle name="Millares 2 5 3 4 2" xfId="4168" xr:uid="{00000000-0005-0000-0000-00008C180000}"/>
    <cellStyle name="Millares 2 5 3 4 2 2" xfId="4169" xr:uid="{00000000-0005-0000-0000-00008D180000}"/>
    <cellStyle name="Millares 2 5 3 4 2 2 2" xfId="7779" xr:uid="{00000000-0005-0000-0000-00008E180000}"/>
    <cellStyle name="Millares 2 5 3 4 2 2 2 2" xfId="14568" xr:uid="{00000000-0005-0000-0000-00008F180000}"/>
    <cellStyle name="Millares 2 5 3 4 2 2 2 2 2" xfId="28136" xr:uid="{00000000-0005-0000-0000-000090180000}"/>
    <cellStyle name="Millares 2 5 3 4 2 2 2 2 2 2" xfId="55269" xr:uid="{00000000-0005-0000-0000-000091180000}"/>
    <cellStyle name="Millares 2 5 3 4 2 2 2 2 3" xfId="41707" xr:uid="{00000000-0005-0000-0000-000092180000}"/>
    <cellStyle name="Millares 2 5 3 4 2 2 2 3" xfId="21355" xr:uid="{00000000-0005-0000-0000-000093180000}"/>
    <cellStyle name="Millares 2 5 3 4 2 2 2 3 2" xfId="48488" xr:uid="{00000000-0005-0000-0000-000094180000}"/>
    <cellStyle name="Millares 2 5 3 4 2 2 2 4" xfId="34926" xr:uid="{00000000-0005-0000-0000-000095180000}"/>
    <cellStyle name="Millares 2 5 3 4 2 2 3" xfId="11179" xr:uid="{00000000-0005-0000-0000-000096180000}"/>
    <cellStyle name="Millares 2 5 3 4 2 2 3 2" xfId="24747" xr:uid="{00000000-0005-0000-0000-000097180000}"/>
    <cellStyle name="Millares 2 5 3 4 2 2 3 2 2" xfId="51880" xr:uid="{00000000-0005-0000-0000-000098180000}"/>
    <cellStyle name="Millares 2 5 3 4 2 2 3 3" xfId="38318" xr:uid="{00000000-0005-0000-0000-000099180000}"/>
    <cellStyle name="Millares 2 5 3 4 2 2 4" xfId="17966" xr:uid="{00000000-0005-0000-0000-00009A180000}"/>
    <cellStyle name="Millares 2 5 3 4 2 2 4 2" xfId="45099" xr:uid="{00000000-0005-0000-0000-00009B180000}"/>
    <cellStyle name="Millares 2 5 3 4 2 2 5" xfId="31537" xr:uid="{00000000-0005-0000-0000-00009C180000}"/>
    <cellStyle name="Millares 2 5 3 4 2 3" xfId="4170" xr:uid="{00000000-0005-0000-0000-00009D180000}"/>
    <cellStyle name="Millares 2 5 3 4 2 3 2" xfId="7780" xr:uid="{00000000-0005-0000-0000-00009E180000}"/>
    <cellStyle name="Millares 2 5 3 4 2 3 2 2" xfId="14569" xr:uid="{00000000-0005-0000-0000-00009F180000}"/>
    <cellStyle name="Millares 2 5 3 4 2 3 2 2 2" xfId="28137" xr:uid="{00000000-0005-0000-0000-0000A0180000}"/>
    <cellStyle name="Millares 2 5 3 4 2 3 2 2 2 2" xfId="55270" xr:uid="{00000000-0005-0000-0000-0000A1180000}"/>
    <cellStyle name="Millares 2 5 3 4 2 3 2 2 3" xfId="41708" xr:uid="{00000000-0005-0000-0000-0000A2180000}"/>
    <cellStyle name="Millares 2 5 3 4 2 3 2 3" xfId="21356" xr:uid="{00000000-0005-0000-0000-0000A3180000}"/>
    <cellStyle name="Millares 2 5 3 4 2 3 2 3 2" xfId="48489" xr:uid="{00000000-0005-0000-0000-0000A4180000}"/>
    <cellStyle name="Millares 2 5 3 4 2 3 2 4" xfId="34927" xr:uid="{00000000-0005-0000-0000-0000A5180000}"/>
    <cellStyle name="Millares 2 5 3 4 2 3 3" xfId="11180" xr:uid="{00000000-0005-0000-0000-0000A6180000}"/>
    <cellStyle name="Millares 2 5 3 4 2 3 3 2" xfId="24748" xr:uid="{00000000-0005-0000-0000-0000A7180000}"/>
    <cellStyle name="Millares 2 5 3 4 2 3 3 2 2" xfId="51881" xr:uid="{00000000-0005-0000-0000-0000A8180000}"/>
    <cellStyle name="Millares 2 5 3 4 2 3 3 3" xfId="38319" xr:uid="{00000000-0005-0000-0000-0000A9180000}"/>
    <cellStyle name="Millares 2 5 3 4 2 3 4" xfId="17967" xr:uid="{00000000-0005-0000-0000-0000AA180000}"/>
    <cellStyle name="Millares 2 5 3 4 2 3 4 2" xfId="45100" xr:uid="{00000000-0005-0000-0000-0000AB180000}"/>
    <cellStyle name="Millares 2 5 3 4 2 3 5" xfId="31538" xr:uid="{00000000-0005-0000-0000-0000AC180000}"/>
    <cellStyle name="Millares 2 5 3 4 2 4" xfId="7778" xr:uid="{00000000-0005-0000-0000-0000AD180000}"/>
    <cellStyle name="Millares 2 5 3 4 2 4 2" xfId="14567" xr:uid="{00000000-0005-0000-0000-0000AE180000}"/>
    <cellStyle name="Millares 2 5 3 4 2 4 2 2" xfId="28135" xr:uid="{00000000-0005-0000-0000-0000AF180000}"/>
    <cellStyle name="Millares 2 5 3 4 2 4 2 2 2" xfId="55268" xr:uid="{00000000-0005-0000-0000-0000B0180000}"/>
    <cellStyle name="Millares 2 5 3 4 2 4 2 3" xfId="41706" xr:uid="{00000000-0005-0000-0000-0000B1180000}"/>
    <cellStyle name="Millares 2 5 3 4 2 4 3" xfId="21354" xr:uid="{00000000-0005-0000-0000-0000B2180000}"/>
    <cellStyle name="Millares 2 5 3 4 2 4 3 2" xfId="48487" xr:uid="{00000000-0005-0000-0000-0000B3180000}"/>
    <cellStyle name="Millares 2 5 3 4 2 4 4" xfId="34925" xr:uid="{00000000-0005-0000-0000-0000B4180000}"/>
    <cellStyle name="Millares 2 5 3 4 2 5" xfId="11178" xr:uid="{00000000-0005-0000-0000-0000B5180000}"/>
    <cellStyle name="Millares 2 5 3 4 2 5 2" xfId="24746" xr:uid="{00000000-0005-0000-0000-0000B6180000}"/>
    <cellStyle name="Millares 2 5 3 4 2 5 2 2" xfId="51879" xr:uid="{00000000-0005-0000-0000-0000B7180000}"/>
    <cellStyle name="Millares 2 5 3 4 2 5 3" xfId="38317" xr:uid="{00000000-0005-0000-0000-0000B8180000}"/>
    <cellStyle name="Millares 2 5 3 4 2 6" xfId="17965" xr:uid="{00000000-0005-0000-0000-0000B9180000}"/>
    <cellStyle name="Millares 2 5 3 4 2 6 2" xfId="45098" xr:uid="{00000000-0005-0000-0000-0000BA180000}"/>
    <cellStyle name="Millares 2 5 3 4 2 7" xfId="31536" xr:uid="{00000000-0005-0000-0000-0000BB180000}"/>
    <cellStyle name="Millares 2 5 3 4 3" xfId="4171" xr:uid="{00000000-0005-0000-0000-0000BC180000}"/>
    <cellStyle name="Millares 2 5 3 4 3 2" xfId="7781" xr:uid="{00000000-0005-0000-0000-0000BD180000}"/>
    <cellStyle name="Millares 2 5 3 4 3 2 2" xfId="14570" xr:uid="{00000000-0005-0000-0000-0000BE180000}"/>
    <cellStyle name="Millares 2 5 3 4 3 2 2 2" xfId="28138" xr:uid="{00000000-0005-0000-0000-0000BF180000}"/>
    <cellStyle name="Millares 2 5 3 4 3 2 2 2 2" xfId="55271" xr:uid="{00000000-0005-0000-0000-0000C0180000}"/>
    <cellStyle name="Millares 2 5 3 4 3 2 2 3" xfId="41709" xr:uid="{00000000-0005-0000-0000-0000C1180000}"/>
    <cellStyle name="Millares 2 5 3 4 3 2 3" xfId="21357" xr:uid="{00000000-0005-0000-0000-0000C2180000}"/>
    <cellStyle name="Millares 2 5 3 4 3 2 3 2" xfId="48490" xr:uid="{00000000-0005-0000-0000-0000C3180000}"/>
    <cellStyle name="Millares 2 5 3 4 3 2 4" xfId="34928" xr:uid="{00000000-0005-0000-0000-0000C4180000}"/>
    <cellStyle name="Millares 2 5 3 4 3 3" xfId="11181" xr:uid="{00000000-0005-0000-0000-0000C5180000}"/>
    <cellStyle name="Millares 2 5 3 4 3 3 2" xfId="24749" xr:uid="{00000000-0005-0000-0000-0000C6180000}"/>
    <cellStyle name="Millares 2 5 3 4 3 3 2 2" xfId="51882" xr:uid="{00000000-0005-0000-0000-0000C7180000}"/>
    <cellStyle name="Millares 2 5 3 4 3 3 3" xfId="38320" xr:uid="{00000000-0005-0000-0000-0000C8180000}"/>
    <cellStyle name="Millares 2 5 3 4 3 4" xfId="17968" xr:uid="{00000000-0005-0000-0000-0000C9180000}"/>
    <cellStyle name="Millares 2 5 3 4 3 4 2" xfId="45101" xr:uid="{00000000-0005-0000-0000-0000CA180000}"/>
    <cellStyle name="Millares 2 5 3 4 3 5" xfId="31539" xr:uid="{00000000-0005-0000-0000-0000CB180000}"/>
    <cellStyle name="Millares 2 5 3 4 4" xfId="4172" xr:uid="{00000000-0005-0000-0000-0000CC180000}"/>
    <cellStyle name="Millares 2 5 3 4 4 2" xfId="7782" xr:uid="{00000000-0005-0000-0000-0000CD180000}"/>
    <cellStyle name="Millares 2 5 3 4 4 2 2" xfId="14571" xr:uid="{00000000-0005-0000-0000-0000CE180000}"/>
    <cellStyle name="Millares 2 5 3 4 4 2 2 2" xfId="28139" xr:uid="{00000000-0005-0000-0000-0000CF180000}"/>
    <cellStyle name="Millares 2 5 3 4 4 2 2 2 2" xfId="55272" xr:uid="{00000000-0005-0000-0000-0000D0180000}"/>
    <cellStyle name="Millares 2 5 3 4 4 2 2 3" xfId="41710" xr:uid="{00000000-0005-0000-0000-0000D1180000}"/>
    <cellStyle name="Millares 2 5 3 4 4 2 3" xfId="21358" xr:uid="{00000000-0005-0000-0000-0000D2180000}"/>
    <cellStyle name="Millares 2 5 3 4 4 2 3 2" xfId="48491" xr:uid="{00000000-0005-0000-0000-0000D3180000}"/>
    <cellStyle name="Millares 2 5 3 4 4 2 4" xfId="34929" xr:uid="{00000000-0005-0000-0000-0000D4180000}"/>
    <cellStyle name="Millares 2 5 3 4 4 3" xfId="11182" xr:uid="{00000000-0005-0000-0000-0000D5180000}"/>
    <cellStyle name="Millares 2 5 3 4 4 3 2" xfId="24750" xr:uid="{00000000-0005-0000-0000-0000D6180000}"/>
    <cellStyle name="Millares 2 5 3 4 4 3 2 2" xfId="51883" xr:uid="{00000000-0005-0000-0000-0000D7180000}"/>
    <cellStyle name="Millares 2 5 3 4 4 3 3" xfId="38321" xr:uid="{00000000-0005-0000-0000-0000D8180000}"/>
    <cellStyle name="Millares 2 5 3 4 4 4" xfId="17969" xr:uid="{00000000-0005-0000-0000-0000D9180000}"/>
    <cellStyle name="Millares 2 5 3 4 4 4 2" xfId="45102" xr:uid="{00000000-0005-0000-0000-0000DA180000}"/>
    <cellStyle name="Millares 2 5 3 4 4 5" xfId="31540" xr:uid="{00000000-0005-0000-0000-0000DB180000}"/>
    <cellStyle name="Millares 2 5 3 4 5" xfId="7777" xr:uid="{00000000-0005-0000-0000-0000DC180000}"/>
    <cellStyle name="Millares 2 5 3 4 5 2" xfId="14566" xr:uid="{00000000-0005-0000-0000-0000DD180000}"/>
    <cellStyle name="Millares 2 5 3 4 5 2 2" xfId="28134" xr:uid="{00000000-0005-0000-0000-0000DE180000}"/>
    <cellStyle name="Millares 2 5 3 4 5 2 2 2" xfId="55267" xr:uid="{00000000-0005-0000-0000-0000DF180000}"/>
    <cellStyle name="Millares 2 5 3 4 5 2 3" xfId="41705" xr:uid="{00000000-0005-0000-0000-0000E0180000}"/>
    <cellStyle name="Millares 2 5 3 4 5 3" xfId="21353" xr:uid="{00000000-0005-0000-0000-0000E1180000}"/>
    <cellStyle name="Millares 2 5 3 4 5 3 2" xfId="48486" xr:uid="{00000000-0005-0000-0000-0000E2180000}"/>
    <cellStyle name="Millares 2 5 3 4 5 4" xfId="34924" xr:uid="{00000000-0005-0000-0000-0000E3180000}"/>
    <cellStyle name="Millares 2 5 3 4 6" xfId="11177" xr:uid="{00000000-0005-0000-0000-0000E4180000}"/>
    <cellStyle name="Millares 2 5 3 4 6 2" xfId="24745" xr:uid="{00000000-0005-0000-0000-0000E5180000}"/>
    <cellStyle name="Millares 2 5 3 4 6 2 2" xfId="51878" xr:uid="{00000000-0005-0000-0000-0000E6180000}"/>
    <cellStyle name="Millares 2 5 3 4 6 3" xfId="38316" xr:uid="{00000000-0005-0000-0000-0000E7180000}"/>
    <cellStyle name="Millares 2 5 3 4 7" xfId="17964" xr:uid="{00000000-0005-0000-0000-0000E8180000}"/>
    <cellStyle name="Millares 2 5 3 4 7 2" xfId="45097" xr:uid="{00000000-0005-0000-0000-0000E9180000}"/>
    <cellStyle name="Millares 2 5 3 4 8" xfId="31535" xr:uid="{00000000-0005-0000-0000-0000EA180000}"/>
    <cellStyle name="Millares 2 5 3 5" xfId="4173" xr:uid="{00000000-0005-0000-0000-0000EB180000}"/>
    <cellStyle name="Millares 2 5 3 5 2" xfId="4174" xr:uid="{00000000-0005-0000-0000-0000EC180000}"/>
    <cellStyle name="Millares 2 5 3 5 2 2" xfId="4175" xr:uid="{00000000-0005-0000-0000-0000ED180000}"/>
    <cellStyle name="Millares 2 5 3 5 2 2 2" xfId="7785" xr:uid="{00000000-0005-0000-0000-0000EE180000}"/>
    <cellStyle name="Millares 2 5 3 5 2 2 2 2" xfId="14574" xr:uid="{00000000-0005-0000-0000-0000EF180000}"/>
    <cellStyle name="Millares 2 5 3 5 2 2 2 2 2" xfId="28142" xr:uid="{00000000-0005-0000-0000-0000F0180000}"/>
    <cellStyle name="Millares 2 5 3 5 2 2 2 2 2 2" xfId="55275" xr:uid="{00000000-0005-0000-0000-0000F1180000}"/>
    <cellStyle name="Millares 2 5 3 5 2 2 2 2 3" xfId="41713" xr:uid="{00000000-0005-0000-0000-0000F2180000}"/>
    <cellStyle name="Millares 2 5 3 5 2 2 2 3" xfId="21361" xr:uid="{00000000-0005-0000-0000-0000F3180000}"/>
    <cellStyle name="Millares 2 5 3 5 2 2 2 3 2" xfId="48494" xr:uid="{00000000-0005-0000-0000-0000F4180000}"/>
    <cellStyle name="Millares 2 5 3 5 2 2 2 4" xfId="34932" xr:uid="{00000000-0005-0000-0000-0000F5180000}"/>
    <cellStyle name="Millares 2 5 3 5 2 2 3" xfId="11185" xr:uid="{00000000-0005-0000-0000-0000F6180000}"/>
    <cellStyle name="Millares 2 5 3 5 2 2 3 2" xfId="24753" xr:uid="{00000000-0005-0000-0000-0000F7180000}"/>
    <cellStyle name="Millares 2 5 3 5 2 2 3 2 2" xfId="51886" xr:uid="{00000000-0005-0000-0000-0000F8180000}"/>
    <cellStyle name="Millares 2 5 3 5 2 2 3 3" xfId="38324" xr:uid="{00000000-0005-0000-0000-0000F9180000}"/>
    <cellStyle name="Millares 2 5 3 5 2 2 4" xfId="17972" xr:uid="{00000000-0005-0000-0000-0000FA180000}"/>
    <cellStyle name="Millares 2 5 3 5 2 2 4 2" xfId="45105" xr:uid="{00000000-0005-0000-0000-0000FB180000}"/>
    <cellStyle name="Millares 2 5 3 5 2 2 5" xfId="31543" xr:uid="{00000000-0005-0000-0000-0000FC180000}"/>
    <cellStyle name="Millares 2 5 3 5 2 3" xfId="4176" xr:uid="{00000000-0005-0000-0000-0000FD180000}"/>
    <cellStyle name="Millares 2 5 3 5 2 3 2" xfId="7786" xr:uid="{00000000-0005-0000-0000-0000FE180000}"/>
    <cellStyle name="Millares 2 5 3 5 2 3 2 2" xfId="14575" xr:uid="{00000000-0005-0000-0000-0000FF180000}"/>
    <cellStyle name="Millares 2 5 3 5 2 3 2 2 2" xfId="28143" xr:uid="{00000000-0005-0000-0000-000000190000}"/>
    <cellStyle name="Millares 2 5 3 5 2 3 2 2 2 2" xfId="55276" xr:uid="{00000000-0005-0000-0000-000001190000}"/>
    <cellStyle name="Millares 2 5 3 5 2 3 2 2 3" xfId="41714" xr:uid="{00000000-0005-0000-0000-000002190000}"/>
    <cellStyle name="Millares 2 5 3 5 2 3 2 3" xfId="21362" xr:uid="{00000000-0005-0000-0000-000003190000}"/>
    <cellStyle name="Millares 2 5 3 5 2 3 2 3 2" xfId="48495" xr:uid="{00000000-0005-0000-0000-000004190000}"/>
    <cellStyle name="Millares 2 5 3 5 2 3 2 4" xfId="34933" xr:uid="{00000000-0005-0000-0000-000005190000}"/>
    <cellStyle name="Millares 2 5 3 5 2 3 3" xfId="11186" xr:uid="{00000000-0005-0000-0000-000006190000}"/>
    <cellStyle name="Millares 2 5 3 5 2 3 3 2" xfId="24754" xr:uid="{00000000-0005-0000-0000-000007190000}"/>
    <cellStyle name="Millares 2 5 3 5 2 3 3 2 2" xfId="51887" xr:uid="{00000000-0005-0000-0000-000008190000}"/>
    <cellStyle name="Millares 2 5 3 5 2 3 3 3" xfId="38325" xr:uid="{00000000-0005-0000-0000-000009190000}"/>
    <cellStyle name="Millares 2 5 3 5 2 3 4" xfId="17973" xr:uid="{00000000-0005-0000-0000-00000A190000}"/>
    <cellStyle name="Millares 2 5 3 5 2 3 4 2" xfId="45106" xr:uid="{00000000-0005-0000-0000-00000B190000}"/>
    <cellStyle name="Millares 2 5 3 5 2 3 5" xfId="31544" xr:uid="{00000000-0005-0000-0000-00000C190000}"/>
    <cellStyle name="Millares 2 5 3 5 2 4" xfId="7784" xr:uid="{00000000-0005-0000-0000-00000D190000}"/>
    <cellStyle name="Millares 2 5 3 5 2 4 2" xfId="14573" xr:uid="{00000000-0005-0000-0000-00000E190000}"/>
    <cellStyle name="Millares 2 5 3 5 2 4 2 2" xfId="28141" xr:uid="{00000000-0005-0000-0000-00000F190000}"/>
    <cellStyle name="Millares 2 5 3 5 2 4 2 2 2" xfId="55274" xr:uid="{00000000-0005-0000-0000-000010190000}"/>
    <cellStyle name="Millares 2 5 3 5 2 4 2 3" xfId="41712" xr:uid="{00000000-0005-0000-0000-000011190000}"/>
    <cellStyle name="Millares 2 5 3 5 2 4 3" xfId="21360" xr:uid="{00000000-0005-0000-0000-000012190000}"/>
    <cellStyle name="Millares 2 5 3 5 2 4 3 2" xfId="48493" xr:uid="{00000000-0005-0000-0000-000013190000}"/>
    <cellStyle name="Millares 2 5 3 5 2 4 4" xfId="34931" xr:uid="{00000000-0005-0000-0000-000014190000}"/>
    <cellStyle name="Millares 2 5 3 5 2 5" xfId="11184" xr:uid="{00000000-0005-0000-0000-000015190000}"/>
    <cellStyle name="Millares 2 5 3 5 2 5 2" xfId="24752" xr:uid="{00000000-0005-0000-0000-000016190000}"/>
    <cellStyle name="Millares 2 5 3 5 2 5 2 2" xfId="51885" xr:uid="{00000000-0005-0000-0000-000017190000}"/>
    <cellStyle name="Millares 2 5 3 5 2 5 3" xfId="38323" xr:uid="{00000000-0005-0000-0000-000018190000}"/>
    <cellStyle name="Millares 2 5 3 5 2 6" xfId="17971" xr:uid="{00000000-0005-0000-0000-000019190000}"/>
    <cellStyle name="Millares 2 5 3 5 2 6 2" xfId="45104" xr:uid="{00000000-0005-0000-0000-00001A190000}"/>
    <cellStyle name="Millares 2 5 3 5 2 7" xfId="31542" xr:uid="{00000000-0005-0000-0000-00001B190000}"/>
    <cellStyle name="Millares 2 5 3 5 3" xfId="4177" xr:uid="{00000000-0005-0000-0000-00001C190000}"/>
    <cellStyle name="Millares 2 5 3 5 3 2" xfId="7787" xr:uid="{00000000-0005-0000-0000-00001D190000}"/>
    <cellStyle name="Millares 2 5 3 5 3 2 2" xfId="14576" xr:uid="{00000000-0005-0000-0000-00001E190000}"/>
    <cellStyle name="Millares 2 5 3 5 3 2 2 2" xfId="28144" xr:uid="{00000000-0005-0000-0000-00001F190000}"/>
    <cellStyle name="Millares 2 5 3 5 3 2 2 2 2" xfId="55277" xr:uid="{00000000-0005-0000-0000-000020190000}"/>
    <cellStyle name="Millares 2 5 3 5 3 2 2 3" xfId="41715" xr:uid="{00000000-0005-0000-0000-000021190000}"/>
    <cellStyle name="Millares 2 5 3 5 3 2 3" xfId="21363" xr:uid="{00000000-0005-0000-0000-000022190000}"/>
    <cellStyle name="Millares 2 5 3 5 3 2 3 2" xfId="48496" xr:uid="{00000000-0005-0000-0000-000023190000}"/>
    <cellStyle name="Millares 2 5 3 5 3 2 4" xfId="34934" xr:uid="{00000000-0005-0000-0000-000024190000}"/>
    <cellStyle name="Millares 2 5 3 5 3 3" xfId="11187" xr:uid="{00000000-0005-0000-0000-000025190000}"/>
    <cellStyle name="Millares 2 5 3 5 3 3 2" xfId="24755" xr:uid="{00000000-0005-0000-0000-000026190000}"/>
    <cellStyle name="Millares 2 5 3 5 3 3 2 2" xfId="51888" xr:uid="{00000000-0005-0000-0000-000027190000}"/>
    <cellStyle name="Millares 2 5 3 5 3 3 3" xfId="38326" xr:uid="{00000000-0005-0000-0000-000028190000}"/>
    <cellStyle name="Millares 2 5 3 5 3 4" xfId="17974" xr:uid="{00000000-0005-0000-0000-000029190000}"/>
    <cellStyle name="Millares 2 5 3 5 3 4 2" xfId="45107" xr:uid="{00000000-0005-0000-0000-00002A190000}"/>
    <cellStyle name="Millares 2 5 3 5 3 5" xfId="31545" xr:uid="{00000000-0005-0000-0000-00002B190000}"/>
    <cellStyle name="Millares 2 5 3 5 4" xfId="4178" xr:uid="{00000000-0005-0000-0000-00002C190000}"/>
    <cellStyle name="Millares 2 5 3 5 4 2" xfId="7788" xr:uid="{00000000-0005-0000-0000-00002D190000}"/>
    <cellStyle name="Millares 2 5 3 5 4 2 2" xfId="14577" xr:uid="{00000000-0005-0000-0000-00002E190000}"/>
    <cellStyle name="Millares 2 5 3 5 4 2 2 2" xfId="28145" xr:uid="{00000000-0005-0000-0000-00002F190000}"/>
    <cellStyle name="Millares 2 5 3 5 4 2 2 2 2" xfId="55278" xr:uid="{00000000-0005-0000-0000-000030190000}"/>
    <cellStyle name="Millares 2 5 3 5 4 2 2 3" xfId="41716" xr:uid="{00000000-0005-0000-0000-000031190000}"/>
    <cellStyle name="Millares 2 5 3 5 4 2 3" xfId="21364" xr:uid="{00000000-0005-0000-0000-000032190000}"/>
    <cellStyle name="Millares 2 5 3 5 4 2 3 2" xfId="48497" xr:uid="{00000000-0005-0000-0000-000033190000}"/>
    <cellStyle name="Millares 2 5 3 5 4 2 4" xfId="34935" xr:uid="{00000000-0005-0000-0000-000034190000}"/>
    <cellStyle name="Millares 2 5 3 5 4 3" xfId="11188" xr:uid="{00000000-0005-0000-0000-000035190000}"/>
    <cellStyle name="Millares 2 5 3 5 4 3 2" xfId="24756" xr:uid="{00000000-0005-0000-0000-000036190000}"/>
    <cellStyle name="Millares 2 5 3 5 4 3 2 2" xfId="51889" xr:uid="{00000000-0005-0000-0000-000037190000}"/>
    <cellStyle name="Millares 2 5 3 5 4 3 3" xfId="38327" xr:uid="{00000000-0005-0000-0000-000038190000}"/>
    <cellStyle name="Millares 2 5 3 5 4 4" xfId="17975" xr:uid="{00000000-0005-0000-0000-000039190000}"/>
    <cellStyle name="Millares 2 5 3 5 4 4 2" xfId="45108" xr:uid="{00000000-0005-0000-0000-00003A190000}"/>
    <cellStyle name="Millares 2 5 3 5 4 5" xfId="31546" xr:uid="{00000000-0005-0000-0000-00003B190000}"/>
    <cellStyle name="Millares 2 5 3 5 5" xfId="7783" xr:uid="{00000000-0005-0000-0000-00003C190000}"/>
    <cellStyle name="Millares 2 5 3 5 5 2" xfId="14572" xr:uid="{00000000-0005-0000-0000-00003D190000}"/>
    <cellStyle name="Millares 2 5 3 5 5 2 2" xfId="28140" xr:uid="{00000000-0005-0000-0000-00003E190000}"/>
    <cellStyle name="Millares 2 5 3 5 5 2 2 2" xfId="55273" xr:uid="{00000000-0005-0000-0000-00003F190000}"/>
    <cellStyle name="Millares 2 5 3 5 5 2 3" xfId="41711" xr:uid="{00000000-0005-0000-0000-000040190000}"/>
    <cellStyle name="Millares 2 5 3 5 5 3" xfId="21359" xr:uid="{00000000-0005-0000-0000-000041190000}"/>
    <cellStyle name="Millares 2 5 3 5 5 3 2" xfId="48492" xr:uid="{00000000-0005-0000-0000-000042190000}"/>
    <cellStyle name="Millares 2 5 3 5 5 4" xfId="34930" xr:uid="{00000000-0005-0000-0000-000043190000}"/>
    <cellStyle name="Millares 2 5 3 5 6" xfId="11183" xr:uid="{00000000-0005-0000-0000-000044190000}"/>
    <cellStyle name="Millares 2 5 3 5 6 2" xfId="24751" xr:uid="{00000000-0005-0000-0000-000045190000}"/>
    <cellStyle name="Millares 2 5 3 5 6 2 2" xfId="51884" xr:uid="{00000000-0005-0000-0000-000046190000}"/>
    <cellStyle name="Millares 2 5 3 5 6 3" xfId="38322" xr:uid="{00000000-0005-0000-0000-000047190000}"/>
    <cellStyle name="Millares 2 5 3 5 7" xfId="17970" xr:uid="{00000000-0005-0000-0000-000048190000}"/>
    <cellStyle name="Millares 2 5 3 5 7 2" xfId="45103" xr:uid="{00000000-0005-0000-0000-000049190000}"/>
    <cellStyle name="Millares 2 5 3 5 8" xfId="31541" xr:uid="{00000000-0005-0000-0000-00004A190000}"/>
    <cellStyle name="Millares 2 5 3 6" xfId="4179" xr:uid="{00000000-0005-0000-0000-00004B190000}"/>
    <cellStyle name="Millares 2 5 3 6 2" xfId="4180" xr:uid="{00000000-0005-0000-0000-00004C190000}"/>
    <cellStyle name="Millares 2 5 3 6 2 2" xfId="7790" xr:uid="{00000000-0005-0000-0000-00004D190000}"/>
    <cellStyle name="Millares 2 5 3 6 2 2 2" xfId="14579" xr:uid="{00000000-0005-0000-0000-00004E190000}"/>
    <cellStyle name="Millares 2 5 3 6 2 2 2 2" xfId="28147" xr:uid="{00000000-0005-0000-0000-00004F190000}"/>
    <cellStyle name="Millares 2 5 3 6 2 2 2 2 2" xfId="55280" xr:uid="{00000000-0005-0000-0000-000050190000}"/>
    <cellStyle name="Millares 2 5 3 6 2 2 2 3" xfId="41718" xr:uid="{00000000-0005-0000-0000-000051190000}"/>
    <cellStyle name="Millares 2 5 3 6 2 2 3" xfId="21366" xr:uid="{00000000-0005-0000-0000-000052190000}"/>
    <cellStyle name="Millares 2 5 3 6 2 2 3 2" xfId="48499" xr:uid="{00000000-0005-0000-0000-000053190000}"/>
    <cellStyle name="Millares 2 5 3 6 2 2 4" xfId="34937" xr:uid="{00000000-0005-0000-0000-000054190000}"/>
    <cellStyle name="Millares 2 5 3 6 2 3" xfId="11190" xr:uid="{00000000-0005-0000-0000-000055190000}"/>
    <cellStyle name="Millares 2 5 3 6 2 3 2" xfId="24758" xr:uid="{00000000-0005-0000-0000-000056190000}"/>
    <cellStyle name="Millares 2 5 3 6 2 3 2 2" xfId="51891" xr:uid="{00000000-0005-0000-0000-000057190000}"/>
    <cellStyle name="Millares 2 5 3 6 2 3 3" xfId="38329" xr:uid="{00000000-0005-0000-0000-000058190000}"/>
    <cellStyle name="Millares 2 5 3 6 2 4" xfId="17977" xr:uid="{00000000-0005-0000-0000-000059190000}"/>
    <cellStyle name="Millares 2 5 3 6 2 4 2" xfId="45110" xr:uid="{00000000-0005-0000-0000-00005A190000}"/>
    <cellStyle name="Millares 2 5 3 6 2 5" xfId="31548" xr:uid="{00000000-0005-0000-0000-00005B190000}"/>
    <cellStyle name="Millares 2 5 3 6 3" xfId="4181" xr:uid="{00000000-0005-0000-0000-00005C190000}"/>
    <cellStyle name="Millares 2 5 3 6 3 2" xfId="7791" xr:uid="{00000000-0005-0000-0000-00005D190000}"/>
    <cellStyle name="Millares 2 5 3 6 3 2 2" xfId="14580" xr:uid="{00000000-0005-0000-0000-00005E190000}"/>
    <cellStyle name="Millares 2 5 3 6 3 2 2 2" xfId="28148" xr:uid="{00000000-0005-0000-0000-00005F190000}"/>
    <cellStyle name="Millares 2 5 3 6 3 2 2 2 2" xfId="55281" xr:uid="{00000000-0005-0000-0000-000060190000}"/>
    <cellStyle name="Millares 2 5 3 6 3 2 2 3" xfId="41719" xr:uid="{00000000-0005-0000-0000-000061190000}"/>
    <cellStyle name="Millares 2 5 3 6 3 2 3" xfId="21367" xr:uid="{00000000-0005-0000-0000-000062190000}"/>
    <cellStyle name="Millares 2 5 3 6 3 2 3 2" xfId="48500" xr:uid="{00000000-0005-0000-0000-000063190000}"/>
    <cellStyle name="Millares 2 5 3 6 3 2 4" xfId="34938" xr:uid="{00000000-0005-0000-0000-000064190000}"/>
    <cellStyle name="Millares 2 5 3 6 3 3" xfId="11191" xr:uid="{00000000-0005-0000-0000-000065190000}"/>
    <cellStyle name="Millares 2 5 3 6 3 3 2" xfId="24759" xr:uid="{00000000-0005-0000-0000-000066190000}"/>
    <cellStyle name="Millares 2 5 3 6 3 3 2 2" xfId="51892" xr:uid="{00000000-0005-0000-0000-000067190000}"/>
    <cellStyle name="Millares 2 5 3 6 3 3 3" xfId="38330" xr:uid="{00000000-0005-0000-0000-000068190000}"/>
    <cellStyle name="Millares 2 5 3 6 3 4" xfId="17978" xr:uid="{00000000-0005-0000-0000-000069190000}"/>
    <cellStyle name="Millares 2 5 3 6 3 4 2" xfId="45111" xr:uid="{00000000-0005-0000-0000-00006A190000}"/>
    <cellStyle name="Millares 2 5 3 6 3 5" xfId="31549" xr:uid="{00000000-0005-0000-0000-00006B190000}"/>
    <cellStyle name="Millares 2 5 3 6 4" xfId="7789" xr:uid="{00000000-0005-0000-0000-00006C190000}"/>
    <cellStyle name="Millares 2 5 3 6 4 2" xfId="14578" xr:uid="{00000000-0005-0000-0000-00006D190000}"/>
    <cellStyle name="Millares 2 5 3 6 4 2 2" xfId="28146" xr:uid="{00000000-0005-0000-0000-00006E190000}"/>
    <cellStyle name="Millares 2 5 3 6 4 2 2 2" xfId="55279" xr:uid="{00000000-0005-0000-0000-00006F190000}"/>
    <cellStyle name="Millares 2 5 3 6 4 2 3" xfId="41717" xr:uid="{00000000-0005-0000-0000-000070190000}"/>
    <cellStyle name="Millares 2 5 3 6 4 3" xfId="21365" xr:uid="{00000000-0005-0000-0000-000071190000}"/>
    <cellStyle name="Millares 2 5 3 6 4 3 2" xfId="48498" xr:uid="{00000000-0005-0000-0000-000072190000}"/>
    <cellStyle name="Millares 2 5 3 6 4 4" xfId="34936" xr:uid="{00000000-0005-0000-0000-000073190000}"/>
    <cellStyle name="Millares 2 5 3 6 5" xfId="11189" xr:uid="{00000000-0005-0000-0000-000074190000}"/>
    <cellStyle name="Millares 2 5 3 6 5 2" xfId="24757" xr:uid="{00000000-0005-0000-0000-000075190000}"/>
    <cellStyle name="Millares 2 5 3 6 5 2 2" xfId="51890" xr:uid="{00000000-0005-0000-0000-000076190000}"/>
    <cellStyle name="Millares 2 5 3 6 5 3" xfId="38328" xr:uid="{00000000-0005-0000-0000-000077190000}"/>
    <cellStyle name="Millares 2 5 3 6 6" xfId="17976" xr:uid="{00000000-0005-0000-0000-000078190000}"/>
    <cellStyle name="Millares 2 5 3 6 6 2" xfId="45109" xr:uid="{00000000-0005-0000-0000-000079190000}"/>
    <cellStyle name="Millares 2 5 3 6 7" xfId="31547" xr:uid="{00000000-0005-0000-0000-00007A190000}"/>
    <cellStyle name="Millares 2 5 3 7" xfId="4182" xr:uid="{00000000-0005-0000-0000-00007B190000}"/>
    <cellStyle name="Millares 2 5 3 7 2" xfId="4183" xr:uid="{00000000-0005-0000-0000-00007C190000}"/>
    <cellStyle name="Millares 2 5 3 7 2 2" xfId="7793" xr:uid="{00000000-0005-0000-0000-00007D190000}"/>
    <cellStyle name="Millares 2 5 3 7 2 2 2" xfId="14582" xr:uid="{00000000-0005-0000-0000-00007E190000}"/>
    <cellStyle name="Millares 2 5 3 7 2 2 2 2" xfId="28150" xr:uid="{00000000-0005-0000-0000-00007F190000}"/>
    <cellStyle name="Millares 2 5 3 7 2 2 2 2 2" xfId="55283" xr:uid="{00000000-0005-0000-0000-000080190000}"/>
    <cellStyle name="Millares 2 5 3 7 2 2 2 3" xfId="41721" xr:uid="{00000000-0005-0000-0000-000081190000}"/>
    <cellStyle name="Millares 2 5 3 7 2 2 3" xfId="21369" xr:uid="{00000000-0005-0000-0000-000082190000}"/>
    <cellStyle name="Millares 2 5 3 7 2 2 3 2" xfId="48502" xr:uid="{00000000-0005-0000-0000-000083190000}"/>
    <cellStyle name="Millares 2 5 3 7 2 2 4" xfId="34940" xr:uid="{00000000-0005-0000-0000-000084190000}"/>
    <cellStyle name="Millares 2 5 3 7 2 3" xfId="11193" xr:uid="{00000000-0005-0000-0000-000085190000}"/>
    <cellStyle name="Millares 2 5 3 7 2 3 2" xfId="24761" xr:uid="{00000000-0005-0000-0000-000086190000}"/>
    <cellStyle name="Millares 2 5 3 7 2 3 2 2" xfId="51894" xr:uid="{00000000-0005-0000-0000-000087190000}"/>
    <cellStyle name="Millares 2 5 3 7 2 3 3" xfId="38332" xr:uid="{00000000-0005-0000-0000-000088190000}"/>
    <cellStyle name="Millares 2 5 3 7 2 4" xfId="17980" xr:uid="{00000000-0005-0000-0000-000089190000}"/>
    <cellStyle name="Millares 2 5 3 7 2 4 2" xfId="45113" xr:uid="{00000000-0005-0000-0000-00008A190000}"/>
    <cellStyle name="Millares 2 5 3 7 2 5" xfId="31551" xr:uid="{00000000-0005-0000-0000-00008B190000}"/>
    <cellStyle name="Millares 2 5 3 7 3" xfId="7792" xr:uid="{00000000-0005-0000-0000-00008C190000}"/>
    <cellStyle name="Millares 2 5 3 7 3 2" xfId="14581" xr:uid="{00000000-0005-0000-0000-00008D190000}"/>
    <cellStyle name="Millares 2 5 3 7 3 2 2" xfId="28149" xr:uid="{00000000-0005-0000-0000-00008E190000}"/>
    <cellStyle name="Millares 2 5 3 7 3 2 2 2" xfId="55282" xr:uid="{00000000-0005-0000-0000-00008F190000}"/>
    <cellStyle name="Millares 2 5 3 7 3 2 3" xfId="41720" xr:uid="{00000000-0005-0000-0000-000090190000}"/>
    <cellStyle name="Millares 2 5 3 7 3 3" xfId="21368" xr:uid="{00000000-0005-0000-0000-000091190000}"/>
    <cellStyle name="Millares 2 5 3 7 3 3 2" xfId="48501" xr:uid="{00000000-0005-0000-0000-000092190000}"/>
    <cellStyle name="Millares 2 5 3 7 3 4" xfId="34939" xr:uid="{00000000-0005-0000-0000-000093190000}"/>
    <cellStyle name="Millares 2 5 3 7 4" xfId="11192" xr:uid="{00000000-0005-0000-0000-000094190000}"/>
    <cellStyle name="Millares 2 5 3 7 4 2" xfId="24760" xr:uid="{00000000-0005-0000-0000-000095190000}"/>
    <cellStyle name="Millares 2 5 3 7 4 2 2" xfId="51893" xr:uid="{00000000-0005-0000-0000-000096190000}"/>
    <cellStyle name="Millares 2 5 3 7 4 3" xfId="38331" xr:uid="{00000000-0005-0000-0000-000097190000}"/>
    <cellStyle name="Millares 2 5 3 7 5" xfId="17979" xr:uid="{00000000-0005-0000-0000-000098190000}"/>
    <cellStyle name="Millares 2 5 3 7 5 2" xfId="45112" xr:uid="{00000000-0005-0000-0000-000099190000}"/>
    <cellStyle name="Millares 2 5 3 7 6" xfId="31550" xr:uid="{00000000-0005-0000-0000-00009A190000}"/>
    <cellStyle name="Millares 2 5 3 8" xfId="4184" xr:uid="{00000000-0005-0000-0000-00009B190000}"/>
    <cellStyle name="Millares 2 5 3 8 2" xfId="7794" xr:uid="{00000000-0005-0000-0000-00009C190000}"/>
    <cellStyle name="Millares 2 5 3 8 2 2" xfId="14583" xr:uid="{00000000-0005-0000-0000-00009D190000}"/>
    <cellStyle name="Millares 2 5 3 8 2 2 2" xfId="28151" xr:uid="{00000000-0005-0000-0000-00009E190000}"/>
    <cellStyle name="Millares 2 5 3 8 2 2 2 2" xfId="55284" xr:uid="{00000000-0005-0000-0000-00009F190000}"/>
    <cellStyle name="Millares 2 5 3 8 2 2 3" xfId="41722" xr:uid="{00000000-0005-0000-0000-0000A0190000}"/>
    <cellStyle name="Millares 2 5 3 8 2 3" xfId="21370" xr:uid="{00000000-0005-0000-0000-0000A1190000}"/>
    <cellStyle name="Millares 2 5 3 8 2 3 2" xfId="48503" xr:uid="{00000000-0005-0000-0000-0000A2190000}"/>
    <cellStyle name="Millares 2 5 3 8 2 4" xfId="34941" xr:uid="{00000000-0005-0000-0000-0000A3190000}"/>
    <cellStyle name="Millares 2 5 3 8 3" xfId="11194" xr:uid="{00000000-0005-0000-0000-0000A4190000}"/>
    <cellStyle name="Millares 2 5 3 8 3 2" xfId="24762" xr:uid="{00000000-0005-0000-0000-0000A5190000}"/>
    <cellStyle name="Millares 2 5 3 8 3 2 2" xfId="51895" xr:uid="{00000000-0005-0000-0000-0000A6190000}"/>
    <cellStyle name="Millares 2 5 3 8 3 3" xfId="38333" xr:uid="{00000000-0005-0000-0000-0000A7190000}"/>
    <cellStyle name="Millares 2 5 3 8 4" xfId="17981" xr:uid="{00000000-0005-0000-0000-0000A8190000}"/>
    <cellStyle name="Millares 2 5 3 8 4 2" xfId="45114" xr:uid="{00000000-0005-0000-0000-0000A9190000}"/>
    <cellStyle name="Millares 2 5 3 8 5" xfId="31552" xr:uid="{00000000-0005-0000-0000-0000AA190000}"/>
    <cellStyle name="Millares 2 5 3 9" xfId="4185" xr:uid="{00000000-0005-0000-0000-0000AB190000}"/>
    <cellStyle name="Millares 2 5 3 9 2" xfId="7795" xr:uid="{00000000-0005-0000-0000-0000AC190000}"/>
    <cellStyle name="Millares 2 5 3 9 2 2" xfId="14584" xr:uid="{00000000-0005-0000-0000-0000AD190000}"/>
    <cellStyle name="Millares 2 5 3 9 2 2 2" xfId="28152" xr:uid="{00000000-0005-0000-0000-0000AE190000}"/>
    <cellStyle name="Millares 2 5 3 9 2 2 2 2" xfId="55285" xr:uid="{00000000-0005-0000-0000-0000AF190000}"/>
    <cellStyle name="Millares 2 5 3 9 2 2 3" xfId="41723" xr:uid="{00000000-0005-0000-0000-0000B0190000}"/>
    <cellStyle name="Millares 2 5 3 9 2 3" xfId="21371" xr:uid="{00000000-0005-0000-0000-0000B1190000}"/>
    <cellStyle name="Millares 2 5 3 9 2 3 2" xfId="48504" xr:uid="{00000000-0005-0000-0000-0000B2190000}"/>
    <cellStyle name="Millares 2 5 3 9 2 4" xfId="34942" xr:uid="{00000000-0005-0000-0000-0000B3190000}"/>
    <cellStyle name="Millares 2 5 3 9 3" xfId="11195" xr:uid="{00000000-0005-0000-0000-0000B4190000}"/>
    <cellStyle name="Millares 2 5 3 9 3 2" xfId="24763" xr:uid="{00000000-0005-0000-0000-0000B5190000}"/>
    <cellStyle name="Millares 2 5 3 9 3 2 2" xfId="51896" xr:uid="{00000000-0005-0000-0000-0000B6190000}"/>
    <cellStyle name="Millares 2 5 3 9 3 3" xfId="38334" xr:uid="{00000000-0005-0000-0000-0000B7190000}"/>
    <cellStyle name="Millares 2 5 3 9 4" xfId="17982" xr:uid="{00000000-0005-0000-0000-0000B8190000}"/>
    <cellStyle name="Millares 2 5 3 9 4 2" xfId="45115" xr:uid="{00000000-0005-0000-0000-0000B9190000}"/>
    <cellStyle name="Millares 2 5 3 9 5" xfId="31553" xr:uid="{00000000-0005-0000-0000-0000BA190000}"/>
    <cellStyle name="Millares 2 5 4" xfId="4186" xr:uid="{00000000-0005-0000-0000-0000BB190000}"/>
    <cellStyle name="Millares 2 5 4 10" xfId="31554" xr:uid="{00000000-0005-0000-0000-0000BC190000}"/>
    <cellStyle name="Millares 2 5 4 2" xfId="4187" xr:uid="{00000000-0005-0000-0000-0000BD190000}"/>
    <cellStyle name="Millares 2 5 4 2 2" xfId="4188" xr:uid="{00000000-0005-0000-0000-0000BE190000}"/>
    <cellStyle name="Millares 2 5 4 2 2 2" xfId="4189" xr:uid="{00000000-0005-0000-0000-0000BF190000}"/>
    <cellStyle name="Millares 2 5 4 2 2 2 2" xfId="7799" xr:uid="{00000000-0005-0000-0000-0000C0190000}"/>
    <cellStyle name="Millares 2 5 4 2 2 2 2 2" xfId="14588" xr:uid="{00000000-0005-0000-0000-0000C1190000}"/>
    <cellStyle name="Millares 2 5 4 2 2 2 2 2 2" xfId="28156" xr:uid="{00000000-0005-0000-0000-0000C2190000}"/>
    <cellStyle name="Millares 2 5 4 2 2 2 2 2 2 2" xfId="55289" xr:uid="{00000000-0005-0000-0000-0000C3190000}"/>
    <cellStyle name="Millares 2 5 4 2 2 2 2 2 3" xfId="41727" xr:uid="{00000000-0005-0000-0000-0000C4190000}"/>
    <cellStyle name="Millares 2 5 4 2 2 2 2 3" xfId="21375" xr:uid="{00000000-0005-0000-0000-0000C5190000}"/>
    <cellStyle name="Millares 2 5 4 2 2 2 2 3 2" xfId="48508" xr:uid="{00000000-0005-0000-0000-0000C6190000}"/>
    <cellStyle name="Millares 2 5 4 2 2 2 2 4" xfId="34946" xr:uid="{00000000-0005-0000-0000-0000C7190000}"/>
    <cellStyle name="Millares 2 5 4 2 2 2 3" xfId="11199" xr:uid="{00000000-0005-0000-0000-0000C8190000}"/>
    <cellStyle name="Millares 2 5 4 2 2 2 3 2" xfId="24767" xr:uid="{00000000-0005-0000-0000-0000C9190000}"/>
    <cellStyle name="Millares 2 5 4 2 2 2 3 2 2" xfId="51900" xr:uid="{00000000-0005-0000-0000-0000CA190000}"/>
    <cellStyle name="Millares 2 5 4 2 2 2 3 3" xfId="38338" xr:uid="{00000000-0005-0000-0000-0000CB190000}"/>
    <cellStyle name="Millares 2 5 4 2 2 2 4" xfId="17986" xr:uid="{00000000-0005-0000-0000-0000CC190000}"/>
    <cellStyle name="Millares 2 5 4 2 2 2 4 2" xfId="45119" xr:uid="{00000000-0005-0000-0000-0000CD190000}"/>
    <cellStyle name="Millares 2 5 4 2 2 2 5" xfId="31557" xr:uid="{00000000-0005-0000-0000-0000CE190000}"/>
    <cellStyle name="Millares 2 5 4 2 2 3" xfId="4190" xr:uid="{00000000-0005-0000-0000-0000CF190000}"/>
    <cellStyle name="Millares 2 5 4 2 2 3 2" xfId="7800" xr:uid="{00000000-0005-0000-0000-0000D0190000}"/>
    <cellStyle name="Millares 2 5 4 2 2 3 2 2" xfId="14589" xr:uid="{00000000-0005-0000-0000-0000D1190000}"/>
    <cellStyle name="Millares 2 5 4 2 2 3 2 2 2" xfId="28157" xr:uid="{00000000-0005-0000-0000-0000D2190000}"/>
    <cellStyle name="Millares 2 5 4 2 2 3 2 2 2 2" xfId="55290" xr:uid="{00000000-0005-0000-0000-0000D3190000}"/>
    <cellStyle name="Millares 2 5 4 2 2 3 2 2 3" xfId="41728" xr:uid="{00000000-0005-0000-0000-0000D4190000}"/>
    <cellStyle name="Millares 2 5 4 2 2 3 2 3" xfId="21376" xr:uid="{00000000-0005-0000-0000-0000D5190000}"/>
    <cellStyle name="Millares 2 5 4 2 2 3 2 3 2" xfId="48509" xr:uid="{00000000-0005-0000-0000-0000D6190000}"/>
    <cellStyle name="Millares 2 5 4 2 2 3 2 4" xfId="34947" xr:uid="{00000000-0005-0000-0000-0000D7190000}"/>
    <cellStyle name="Millares 2 5 4 2 2 3 3" xfId="11200" xr:uid="{00000000-0005-0000-0000-0000D8190000}"/>
    <cellStyle name="Millares 2 5 4 2 2 3 3 2" xfId="24768" xr:uid="{00000000-0005-0000-0000-0000D9190000}"/>
    <cellStyle name="Millares 2 5 4 2 2 3 3 2 2" xfId="51901" xr:uid="{00000000-0005-0000-0000-0000DA190000}"/>
    <cellStyle name="Millares 2 5 4 2 2 3 3 3" xfId="38339" xr:uid="{00000000-0005-0000-0000-0000DB190000}"/>
    <cellStyle name="Millares 2 5 4 2 2 3 4" xfId="17987" xr:uid="{00000000-0005-0000-0000-0000DC190000}"/>
    <cellStyle name="Millares 2 5 4 2 2 3 4 2" xfId="45120" xr:uid="{00000000-0005-0000-0000-0000DD190000}"/>
    <cellStyle name="Millares 2 5 4 2 2 3 5" xfId="31558" xr:uid="{00000000-0005-0000-0000-0000DE190000}"/>
    <cellStyle name="Millares 2 5 4 2 2 4" xfId="7798" xr:uid="{00000000-0005-0000-0000-0000DF190000}"/>
    <cellStyle name="Millares 2 5 4 2 2 4 2" xfId="14587" xr:uid="{00000000-0005-0000-0000-0000E0190000}"/>
    <cellStyle name="Millares 2 5 4 2 2 4 2 2" xfId="28155" xr:uid="{00000000-0005-0000-0000-0000E1190000}"/>
    <cellStyle name="Millares 2 5 4 2 2 4 2 2 2" xfId="55288" xr:uid="{00000000-0005-0000-0000-0000E2190000}"/>
    <cellStyle name="Millares 2 5 4 2 2 4 2 3" xfId="41726" xr:uid="{00000000-0005-0000-0000-0000E3190000}"/>
    <cellStyle name="Millares 2 5 4 2 2 4 3" xfId="21374" xr:uid="{00000000-0005-0000-0000-0000E4190000}"/>
    <cellStyle name="Millares 2 5 4 2 2 4 3 2" xfId="48507" xr:uid="{00000000-0005-0000-0000-0000E5190000}"/>
    <cellStyle name="Millares 2 5 4 2 2 4 4" xfId="34945" xr:uid="{00000000-0005-0000-0000-0000E6190000}"/>
    <cellStyle name="Millares 2 5 4 2 2 5" xfId="11198" xr:uid="{00000000-0005-0000-0000-0000E7190000}"/>
    <cellStyle name="Millares 2 5 4 2 2 5 2" xfId="24766" xr:uid="{00000000-0005-0000-0000-0000E8190000}"/>
    <cellStyle name="Millares 2 5 4 2 2 5 2 2" xfId="51899" xr:uid="{00000000-0005-0000-0000-0000E9190000}"/>
    <cellStyle name="Millares 2 5 4 2 2 5 3" xfId="38337" xr:uid="{00000000-0005-0000-0000-0000EA190000}"/>
    <cellStyle name="Millares 2 5 4 2 2 6" xfId="17985" xr:uid="{00000000-0005-0000-0000-0000EB190000}"/>
    <cellStyle name="Millares 2 5 4 2 2 6 2" xfId="45118" xr:uid="{00000000-0005-0000-0000-0000EC190000}"/>
    <cellStyle name="Millares 2 5 4 2 2 7" xfId="31556" xr:uid="{00000000-0005-0000-0000-0000ED190000}"/>
    <cellStyle name="Millares 2 5 4 2 3" xfId="4191" xr:uid="{00000000-0005-0000-0000-0000EE190000}"/>
    <cellStyle name="Millares 2 5 4 2 3 2" xfId="4192" xr:uid="{00000000-0005-0000-0000-0000EF190000}"/>
    <cellStyle name="Millares 2 5 4 2 3 2 2" xfId="7802" xr:uid="{00000000-0005-0000-0000-0000F0190000}"/>
    <cellStyle name="Millares 2 5 4 2 3 2 2 2" xfId="14591" xr:uid="{00000000-0005-0000-0000-0000F1190000}"/>
    <cellStyle name="Millares 2 5 4 2 3 2 2 2 2" xfId="28159" xr:uid="{00000000-0005-0000-0000-0000F2190000}"/>
    <cellStyle name="Millares 2 5 4 2 3 2 2 2 2 2" xfId="55292" xr:uid="{00000000-0005-0000-0000-0000F3190000}"/>
    <cellStyle name="Millares 2 5 4 2 3 2 2 2 3" xfId="41730" xr:uid="{00000000-0005-0000-0000-0000F4190000}"/>
    <cellStyle name="Millares 2 5 4 2 3 2 2 3" xfId="21378" xr:uid="{00000000-0005-0000-0000-0000F5190000}"/>
    <cellStyle name="Millares 2 5 4 2 3 2 2 3 2" xfId="48511" xr:uid="{00000000-0005-0000-0000-0000F6190000}"/>
    <cellStyle name="Millares 2 5 4 2 3 2 2 4" xfId="34949" xr:uid="{00000000-0005-0000-0000-0000F7190000}"/>
    <cellStyle name="Millares 2 5 4 2 3 2 3" xfId="11202" xr:uid="{00000000-0005-0000-0000-0000F8190000}"/>
    <cellStyle name="Millares 2 5 4 2 3 2 3 2" xfId="24770" xr:uid="{00000000-0005-0000-0000-0000F9190000}"/>
    <cellStyle name="Millares 2 5 4 2 3 2 3 2 2" xfId="51903" xr:uid="{00000000-0005-0000-0000-0000FA190000}"/>
    <cellStyle name="Millares 2 5 4 2 3 2 3 3" xfId="38341" xr:uid="{00000000-0005-0000-0000-0000FB190000}"/>
    <cellStyle name="Millares 2 5 4 2 3 2 4" xfId="17989" xr:uid="{00000000-0005-0000-0000-0000FC190000}"/>
    <cellStyle name="Millares 2 5 4 2 3 2 4 2" xfId="45122" xr:uid="{00000000-0005-0000-0000-0000FD190000}"/>
    <cellStyle name="Millares 2 5 4 2 3 2 5" xfId="31560" xr:uid="{00000000-0005-0000-0000-0000FE190000}"/>
    <cellStyle name="Millares 2 5 4 2 3 3" xfId="7801" xr:uid="{00000000-0005-0000-0000-0000FF190000}"/>
    <cellStyle name="Millares 2 5 4 2 3 3 2" xfId="14590" xr:uid="{00000000-0005-0000-0000-0000001A0000}"/>
    <cellStyle name="Millares 2 5 4 2 3 3 2 2" xfId="28158" xr:uid="{00000000-0005-0000-0000-0000011A0000}"/>
    <cellStyle name="Millares 2 5 4 2 3 3 2 2 2" xfId="55291" xr:uid="{00000000-0005-0000-0000-0000021A0000}"/>
    <cellStyle name="Millares 2 5 4 2 3 3 2 3" xfId="41729" xr:uid="{00000000-0005-0000-0000-0000031A0000}"/>
    <cellStyle name="Millares 2 5 4 2 3 3 3" xfId="21377" xr:uid="{00000000-0005-0000-0000-0000041A0000}"/>
    <cellStyle name="Millares 2 5 4 2 3 3 3 2" xfId="48510" xr:uid="{00000000-0005-0000-0000-0000051A0000}"/>
    <cellStyle name="Millares 2 5 4 2 3 3 4" xfId="34948" xr:uid="{00000000-0005-0000-0000-0000061A0000}"/>
    <cellStyle name="Millares 2 5 4 2 3 4" xfId="11201" xr:uid="{00000000-0005-0000-0000-0000071A0000}"/>
    <cellStyle name="Millares 2 5 4 2 3 4 2" xfId="24769" xr:uid="{00000000-0005-0000-0000-0000081A0000}"/>
    <cellStyle name="Millares 2 5 4 2 3 4 2 2" xfId="51902" xr:uid="{00000000-0005-0000-0000-0000091A0000}"/>
    <cellStyle name="Millares 2 5 4 2 3 4 3" xfId="38340" xr:uid="{00000000-0005-0000-0000-00000A1A0000}"/>
    <cellStyle name="Millares 2 5 4 2 3 5" xfId="17988" xr:uid="{00000000-0005-0000-0000-00000B1A0000}"/>
    <cellStyle name="Millares 2 5 4 2 3 5 2" xfId="45121" xr:uid="{00000000-0005-0000-0000-00000C1A0000}"/>
    <cellStyle name="Millares 2 5 4 2 3 6" xfId="31559" xr:uid="{00000000-0005-0000-0000-00000D1A0000}"/>
    <cellStyle name="Millares 2 5 4 2 4" xfId="4193" xr:uid="{00000000-0005-0000-0000-00000E1A0000}"/>
    <cellStyle name="Millares 2 5 4 2 4 2" xfId="7803" xr:uid="{00000000-0005-0000-0000-00000F1A0000}"/>
    <cellStyle name="Millares 2 5 4 2 4 2 2" xfId="14592" xr:uid="{00000000-0005-0000-0000-0000101A0000}"/>
    <cellStyle name="Millares 2 5 4 2 4 2 2 2" xfId="28160" xr:uid="{00000000-0005-0000-0000-0000111A0000}"/>
    <cellStyle name="Millares 2 5 4 2 4 2 2 2 2" xfId="55293" xr:uid="{00000000-0005-0000-0000-0000121A0000}"/>
    <cellStyle name="Millares 2 5 4 2 4 2 2 3" xfId="41731" xr:uid="{00000000-0005-0000-0000-0000131A0000}"/>
    <cellStyle name="Millares 2 5 4 2 4 2 3" xfId="21379" xr:uid="{00000000-0005-0000-0000-0000141A0000}"/>
    <cellStyle name="Millares 2 5 4 2 4 2 3 2" xfId="48512" xr:uid="{00000000-0005-0000-0000-0000151A0000}"/>
    <cellStyle name="Millares 2 5 4 2 4 2 4" xfId="34950" xr:uid="{00000000-0005-0000-0000-0000161A0000}"/>
    <cellStyle name="Millares 2 5 4 2 4 3" xfId="11203" xr:uid="{00000000-0005-0000-0000-0000171A0000}"/>
    <cellStyle name="Millares 2 5 4 2 4 3 2" xfId="24771" xr:uid="{00000000-0005-0000-0000-0000181A0000}"/>
    <cellStyle name="Millares 2 5 4 2 4 3 2 2" xfId="51904" xr:uid="{00000000-0005-0000-0000-0000191A0000}"/>
    <cellStyle name="Millares 2 5 4 2 4 3 3" xfId="38342" xr:uid="{00000000-0005-0000-0000-00001A1A0000}"/>
    <cellStyle name="Millares 2 5 4 2 4 4" xfId="17990" xr:uid="{00000000-0005-0000-0000-00001B1A0000}"/>
    <cellStyle name="Millares 2 5 4 2 4 4 2" xfId="45123" xr:uid="{00000000-0005-0000-0000-00001C1A0000}"/>
    <cellStyle name="Millares 2 5 4 2 4 5" xfId="31561" xr:uid="{00000000-0005-0000-0000-00001D1A0000}"/>
    <cellStyle name="Millares 2 5 4 2 5" xfId="4194" xr:uid="{00000000-0005-0000-0000-00001E1A0000}"/>
    <cellStyle name="Millares 2 5 4 2 5 2" xfId="7804" xr:uid="{00000000-0005-0000-0000-00001F1A0000}"/>
    <cellStyle name="Millares 2 5 4 2 5 2 2" xfId="14593" xr:uid="{00000000-0005-0000-0000-0000201A0000}"/>
    <cellStyle name="Millares 2 5 4 2 5 2 2 2" xfId="28161" xr:uid="{00000000-0005-0000-0000-0000211A0000}"/>
    <cellStyle name="Millares 2 5 4 2 5 2 2 2 2" xfId="55294" xr:uid="{00000000-0005-0000-0000-0000221A0000}"/>
    <cellStyle name="Millares 2 5 4 2 5 2 2 3" xfId="41732" xr:uid="{00000000-0005-0000-0000-0000231A0000}"/>
    <cellStyle name="Millares 2 5 4 2 5 2 3" xfId="21380" xr:uid="{00000000-0005-0000-0000-0000241A0000}"/>
    <cellStyle name="Millares 2 5 4 2 5 2 3 2" xfId="48513" xr:uid="{00000000-0005-0000-0000-0000251A0000}"/>
    <cellStyle name="Millares 2 5 4 2 5 2 4" xfId="34951" xr:uid="{00000000-0005-0000-0000-0000261A0000}"/>
    <cellStyle name="Millares 2 5 4 2 5 3" xfId="11204" xr:uid="{00000000-0005-0000-0000-0000271A0000}"/>
    <cellStyle name="Millares 2 5 4 2 5 3 2" xfId="24772" xr:uid="{00000000-0005-0000-0000-0000281A0000}"/>
    <cellStyle name="Millares 2 5 4 2 5 3 2 2" xfId="51905" xr:uid="{00000000-0005-0000-0000-0000291A0000}"/>
    <cellStyle name="Millares 2 5 4 2 5 3 3" xfId="38343" xr:uid="{00000000-0005-0000-0000-00002A1A0000}"/>
    <cellStyle name="Millares 2 5 4 2 5 4" xfId="17991" xr:uid="{00000000-0005-0000-0000-00002B1A0000}"/>
    <cellStyle name="Millares 2 5 4 2 5 4 2" xfId="45124" xr:uid="{00000000-0005-0000-0000-00002C1A0000}"/>
    <cellStyle name="Millares 2 5 4 2 5 5" xfId="31562" xr:uid="{00000000-0005-0000-0000-00002D1A0000}"/>
    <cellStyle name="Millares 2 5 4 2 6" xfId="7797" xr:uid="{00000000-0005-0000-0000-00002E1A0000}"/>
    <cellStyle name="Millares 2 5 4 2 6 2" xfId="14586" xr:uid="{00000000-0005-0000-0000-00002F1A0000}"/>
    <cellStyle name="Millares 2 5 4 2 6 2 2" xfId="28154" xr:uid="{00000000-0005-0000-0000-0000301A0000}"/>
    <cellStyle name="Millares 2 5 4 2 6 2 2 2" xfId="55287" xr:uid="{00000000-0005-0000-0000-0000311A0000}"/>
    <cellStyle name="Millares 2 5 4 2 6 2 3" xfId="41725" xr:uid="{00000000-0005-0000-0000-0000321A0000}"/>
    <cellStyle name="Millares 2 5 4 2 6 3" xfId="21373" xr:uid="{00000000-0005-0000-0000-0000331A0000}"/>
    <cellStyle name="Millares 2 5 4 2 6 3 2" xfId="48506" xr:uid="{00000000-0005-0000-0000-0000341A0000}"/>
    <cellStyle name="Millares 2 5 4 2 6 4" xfId="34944" xr:uid="{00000000-0005-0000-0000-0000351A0000}"/>
    <cellStyle name="Millares 2 5 4 2 7" xfId="11197" xr:uid="{00000000-0005-0000-0000-0000361A0000}"/>
    <cellStyle name="Millares 2 5 4 2 7 2" xfId="24765" xr:uid="{00000000-0005-0000-0000-0000371A0000}"/>
    <cellStyle name="Millares 2 5 4 2 7 2 2" xfId="51898" xr:uid="{00000000-0005-0000-0000-0000381A0000}"/>
    <cellStyle name="Millares 2 5 4 2 7 3" xfId="38336" xr:uid="{00000000-0005-0000-0000-0000391A0000}"/>
    <cellStyle name="Millares 2 5 4 2 8" xfId="17984" xr:uid="{00000000-0005-0000-0000-00003A1A0000}"/>
    <cellStyle name="Millares 2 5 4 2 8 2" xfId="45117" xr:uid="{00000000-0005-0000-0000-00003B1A0000}"/>
    <cellStyle name="Millares 2 5 4 2 9" xfId="31555" xr:uid="{00000000-0005-0000-0000-00003C1A0000}"/>
    <cellStyle name="Millares 2 5 4 3" xfId="4195" xr:uid="{00000000-0005-0000-0000-00003D1A0000}"/>
    <cellStyle name="Millares 2 5 4 3 2" xfId="4196" xr:uid="{00000000-0005-0000-0000-00003E1A0000}"/>
    <cellStyle name="Millares 2 5 4 3 2 2" xfId="7806" xr:uid="{00000000-0005-0000-0000-00003F1A0000}"/>
    <cellStyle name="Millares 2 5 4 3 2 2 2" xfId="14595" xr:uid="{00000000-0005-0000-0000-0000401A0000}"/>
    <cellStyle name="Millares 2 5 4 3 2 2 2 2" xfId="28163" xr:uid="{00000000-0005-0000-0000-0000411A0000}"/>
    <cellStyle name="Millares 2 5 4 3 2 2 2 2 2" xfId="55296" xr:uid="{00000000-0005-0000-0000-0000421A0000}"/>
    <cellStyle name="Millares 2 5 4 3 2 2 2 3" xfId="41734" xr:uid="{00000000-0005-0000-0000-0000431A0000}"/>
    <cellStyle name="Millares 2 5 4 3 2 2 3" xfId="21382" xr:uid="{00000000-0005-0000-0000-0000441A0000}"/>
    <cellStyle name="Millares 2 5 4 3 2 2 3 2" xfId="48515" xr:uid="{00000000-0005-0000-0000-0000451A0000}"/>
    <cellStyle name="Millares 2 5 4 3 2 2 4" xfId="34953" xr:uid="{00000000-0005-0000-0000-0000461A0000}"/>
    <cellStyle name="Millares 2 5 4 3 2 3" xfId="11206" xr:uid="{00000000-0005-0000-0000-0000471A0000}"/>
    <cellStyle name="Millares 2 5 4 3 2 3 2" xfId="24774" xr:uid="{00000000-0005-0000-0000-0000481A0000}"/>
    <cellStyle name="Millares 2 5 4 3 2 3 2 2" xfId="51907" xr:uid="{00000000-0005-0000-0000-0000491A0000}"/>
    <cellStyle name="Millares 2 5 4 3 2 3 3" xfId="38345" xr:uid="{00000000-0005-0000-0000-00004A1A0000}"/>
    <cellStyle name="Millares 2 5 4 3 2 4" xfId="17993" xr:uid="{00000000-0005-0000-0000-00004B1A0000}"/>
    <cellStyle name="Millares 2 5 4 3 2 4 2" xfId="45126" xr:uid="{00000000-0005-0000-0000-00004C1A0000}"/>
    <cellStyle name="Millares 2 5 4 3 2 5" xfId="31564" xr:uid="{00000000-0005-0000-0000-00004D1A0000}"/>
    <cellStyle name="Millares 2 5 4 3 3" xfId="4197" xr:uid="{00000000-0005-0000-0000-00004E1A0000}"/>
    <cellStyle name="Millares 2 5 4 3 3 2" xfId="7807" xr:uid="{00000000-0005-0000-0000-00004F1A0000}"/>
    <cellStyle name="Millares 2 5 4 3 3 2 2" xfId="14596" xr:uid="{00000000-0005-0000-0000-0000501A0000}"/>
    <cellStyle name="Millares 2 5 4 3 3 2 2 2" xfId="28164" xr:uid="{00000000-0005-0000-0000-0000511A0000}"/>
    <cellStyle name="Millares 2 5 4 3 3 2 2 2 2" xfId="55297" xr:uid="{00000000-0005-0000-0000-0000521A0000}"/>
    <cellStyle name="Millares 2 5 4 3 3 2 2 3" xfId="41735" xr:uid="{00000000-0005-0000-0000-0000531A0000}"/>
    <cellStyle name="Millares 2 5 4 3 3 2 3" xfId="21383" xr:uid="{00000000-0005-0000-0000-0000541A0000}"/>
    <cellStyle name="Millares 2 5 4 3 3 2 3 2" xfId="48516" xr:uid="{00000000-0005-0000-0000-0000551A0000}"/>
    <cellStyle name="Millares 2 5 4 3 3 2 4" xfId="34954" xr:uid="{00000000-0005-0000-0000-0000561A0000}"/>
    <cellStyle name="Millares 2 5 4 3 3 3" xfId="11207" xr:uid="{00000000-0005-0000-0000-0000571A0000}"/>
    <cellStyle name="Millares 2 5 4 3 3 3 2" xfId="24775" xr:uid="{00000000-0005-0000-0000-0000581A0000}"/>
    <cellStyle name="Millares 2 5 4 3 3 3 2 2" xfId="51908" xr:uid="{00000000-0005-0000-0000-0000591A0000}"/>
    <cellStyle name="Millares 2 5 4 3 3 3 3" xfId="38346" xr:uid="{00000000-0005-0000-0000-00005A1A0000}"/>
    <cellStyle name="Millares 2 5 4 3 3 4" xfId="17994" xr:uid="{00000000-0005-0000-0000-00005B1A0000}"/>
    <cellStyle name="Millares 2 5 4 3 3 4 2" xfId="45127" xr:uid="{00000000-0005-0000-0000-00005C1A0000}"/>
    <cellStyle name="Millares 2 5 4 3 3 5" xfId="31565" xr:uid="{00000000-0005-0000-0000-00005D1A0000}"/>
    <cellStyle name="Millares 2 5 4 3 4" xfId="7805" xr:uid="{00000000-0005-0000-0000-00005E1A0000}"/>
    <cellStyle name="Millares 2 5 4 3 4 2" xfId="14594" xr:uid="{00000000-0005-0000-0000-00005F1A0000}"/>
    <cellStyle name="Millares 2 5 4 3 4 2 2" xfId="28162" xr:uid="{00000000-0005-0000-0000-0000601A0000}"/>
    <cellStyle name="Millares 2 5 4 3 4 2 2 2" xfId="55295" xr:uid="{00000000-0005-0000-0000-0000611A0000}"/>
    <cellStyle name="Millares 2 5 4 3 4 2 3" xfId="41733" xr:uid="{00000000-0005-0000-0000-0000621A0000}"/>
    <cellStyle name="Millares 2 5 4 3 4 3" xfId="21381" xr:uid="{00000000-0005-0000-0000-0000631A0000}"/>
    <cellStyle name="Millares 2 5 4 3 4 3 2" xfId="48514" xr:uid="{00000000-0005-0000-0000-0000641A0000}"/>
    <cellStyle name="Millares 2 5 4 3 4 4" xfId="34952" xr:uid="{00000000-0005-0000-0000-0000651A0000}"/>
    <cellStyle name="Millares 2 5 4 3 5" xfId="11205" xr:uid="{00000000-0005-0000-0000-0000661A0000}"/>
    <cellStyle name="Millares 2 5 4 3 5 2" xfId="24773" xr:uid="{00000000-0005-0000-0000-0000671A0000}"/>
    <cellStyle name="Millares 2 5 4 3 5 2 2" xfId="51906" xr:uid="{00000000-0005-0000-0000-0000681A0000}"/>
    <cellStyle name="Millares 2 5 4 3 5 3" xfId="38344" xr:uid="{00000000-0005-0000-0000-0000691A0000}"/>
    <cellStyle name="Millares 2 5 4 3 6" xfId="17992" xr:uid="{00000000-0005-0000-0000-00006A1A0000}"/>
    <cellStyle name="Millares 2 5 4 3 6 2" xfId="45125" xr:uid="{00000000-0005-0000-0000-00006B1A0000}"/>
    <cellStyle name="Millares 2 5 4 3 7" xfId="31563" xr:uid="{00000000-0005-0000-0000-00006C1A0000}"/>
    <cellStyle name="Millares 2 5 4 4" xfId="4198" xr:uid="{00000000-0005-0000-0000-00006D1A0000}"/>
    <cellStyle name="Millares 2 5 4 4 2" xfId="4199" xr:uid="{00000000-0005-0000-0000-00006E1A0000}"/>
    <cellStyle name="Millares 2 5 4 4 2 2" xfId="7809" xr:uid="{00000000-0005-0000-0000-00006F1A0000}"/>
    <cellStyle name="Millares 2 5 4 4 2 2 2" xfId="14598" xr:uid="{00000000-0005-0000-0000-0000701A0000}"/>
    <cellStyle name="Millares 2 5 4 4 2 2 2 2" xfId="28166" xr:uid="{00000000-0005-0000-0000-0000711A0000}"/>
    <cellStyle name="Millares 2 5 4 4 2 2 2 2 2" xfId="55299" xr:uid="{00000000-0005-0000-0000-0000721A0000}"/>
    <cellStyle name="Millares 2 5 4 4 2 2 2 3" xfId="41737" xr:uid="{00000000-0005-0000-0000-0000731A0000}"/>
    <cellStyle name="Millares 2 5 4 4 2 2 3" xfId="21385" xr:uid="{00000000-0005-0000-0000-0000741A0000}"/>
    <cellStyle name="Millares 2 5 4 4 2 2 3 2" xfId="48518" xr:uid="{00000000-0005-0000-0000-0000751A0000}"/>
    <cellStyle name="Millares 2 5 4 4 2 2 4" xfId="34956" xr:uid="{00000000-0005-0000-0000-0000761A0000}"/>
    <cellStyle name="Millares 2 5 4 4 2 3" xfId="11209" xr:uid="{00000000-0005-0000-0000-0000771A0000}"/>
    <cellStyle name="Millares 2 5 4 4 2 3 2" xfId="24777" xr:uid="{00000000-0005-0000-0000-0000781A0000}"/>
    <cellStyle name="Millares 2 5 4 4 2 3 2 2" xfId="51910" xr:uid="{00000000-0005-0000-0000-0000791A0000}"/>
    <cellStyle name="Millares 2 5 4 4 2 3 3" xfId="38348" xr:uid="{00000000-0005-0000-0000-00007A1A0000}"/>
    <cellStyle name="Millares 2 5 4 4 2 4" xfId="17996" xr:uid="{00000000-0005-0000-0000-00007B1A0000}"/>
    <cellStyle name="Millares 2 5 4 4 2 4 2" xfId="45129" xr:uid="{00000000-0005-0000-0000-00007C1A0000}"/>
    <cellStyle name="Millares 2 5 4 4 2 5" xfId="31567" xr:uid="{00000000-0005-0000-0000-00007D1A0000}"/>
    <cellStyle name="Millares 2 5 4 4 3" xfId="7808" xr:uid="{00000000-0005-0000-0000-00007E1A0000}"/>
    <cellStyle name="Millares 2 5 4 4 3 2" xfId="14597" xr:uid="{00000000-0005-0000-0000-00007F1A0000}"/>
    <cellStyle name="Millares 2 5 4 4 3 2 2" xfId="28165" xr:uid="{00000000-0005-0000-0000-0000801A0000}"/>
    <cellStyle name="Millares 2 5 4 4 3 2 2 2" xfId="55298" xr:uid="{00000000-0005-0000-0000-0000811A0000}"/>
    <cellStyle name="Millares 2 5 4 4 3 2 3" xfId="41736" xr:uid="{00000000-0005-0000-0000-0000821A0000}"/>
    <cellStyle name="Millares 2 5 4 4 3 3" xfId="21384" xr:uid="{00000000-0005-0000-0000-0000831A0000}"/>
    <cellStyle name="Millares 2 5 4 4 3 3 2" xfId="48517" xr:uid="{00000000-0005-0000-0000-0000841A0000}"/>
    <cellStyle name="Millares 2 5 4 4 3 4" xfId="34955" xr:uid="{00000000-0005-0000-0000-0000851A0000}"/>
    <cellStyle name="Millares 2 5 4 4 4" xfId="11208" xr:uid="{00000000-0005-0000-0000-0000861A0000}"/>
    <cellStyle name="Millares 2 5 4 4 4 2" xfId="24776" xr:uid="{00000000-0005-0000-0000-0000871A0000}"/>
    <cellStyle name="Millares 2 5 4 4 4 2 2" xfId="51909" xr:uid="{00000000-0005-0000-0000-0000881A0000}"/>
    <cellStyle name="Millares 2 5 4 4 4 3" xfId="38347" xr:uid="{00000000-0005-0000-0000-0000891A0000}"/>
    <cellStyle name="Millares 2 5 4 4 5" xfId="17995" xr:uid="{00000000-0005-0000-0000-00008A1A0000}"/>
    <cellStyle name="Millares 2 5 4 4 5 2" xfId="45128" xr:uid="{00000000-0005-0000-0000-00008B1A0000}"/>
    <cellStyle name="Millares 2 5 4 4 6" xfId="31566" xr:uid="{00000000-0005-0000-0000-00008C1A0000}"/>
    <cellStyle name="Millares 2 5 4 5" xfId="4200" xr:uid="{00000000-0005-0000-0000-00008D1A0000}"/>
    <cellStyle name="Millares 2 5 4 5 2" xfId="7810" xr:uid="{00000000-0005-0000-0000-00008E1A0000}"/>
    <cellStyle name="Millares 2 5 4 5 2 2" xfId="14599" xr:uid="{00000000-0005-0000-0000-00008F1A0000}"/>
    <cellStyle name="Millares 2 5 4 5 2 2 2" xfId="28167" xr:uid="{00000000-0005-0000-0000-0000901A0000}"/>
    <cellStyle name="Millares 2 5 4 5 2 2 2 2" xfId="55300" xr:uid="{00000000-0005-0000-0000-0000911A0000}"/>
    <cellStyle name="Millares 2 5 4 5 2 2 3" xfId="41738" xr:uid="{00000000-0005-0000-0000-0000921A0000}"/>
    <cellStyle name="Millares 2 5 4 5 2 3" xfId="21386" xr:uid="{00000000-0005-0000-0000-0000931A0000}"/>
    <cellStyle name="Millares 2 5 4 5 2 3 2" xfId="48519" xr:uid="{00000000-0005-0000-0000-0000941A0000}"/>
    <cellStyle name="Millares 2 5 4 5 2 4" xfId="34957" xr:uid="{00000000-0005-0000-0000-0000951A0000}"/>
    <cellStyle name="Millares 2 5 4 5 3" xfId="11210" xr:uid="{00000000-0005-0000-0000-0000961A0000}"/>
    <cellStyle name="Millares 2 5 4 5 3 2" xfId="24778" xr:uid="{00000000-0005-0000-0000-0000971A0000}"/>
    <cellStyle name="Millares 2 5 4 5 3 2 2" xfId="51911" xr:uid="{00000000-0005-0000-0000-0000981A0000}"/>
    <cellStyle name="Millares 2 5 4 5 3 3" xfId="38349" xr:uid="{00000000-0005-0000-0000-0000991A0000}"/>
    <cellStyle name="Millares 2 5 4 5 4" xfId="17997" xr:uid="{00000000-0005-0000-0000-00009A1A0000}"/>
    <cellStyle name="Millares 2 5 4 5 4 2" xfId="45130" xr:uid="{00000000-0005-0000-0000-00009B1A0000}"/>
    <cellStyle name="Millares 2 5 4 5 5" xfId="31568" xr:uid="{00000000-0005-0000-0000-00009C1A0000}"/>
    <cellStyle name="Millares 2 5 4 6" xfId="4201" xr:uid="{00000000-0005-0000-0000-00009D1A0000}"/>
    <cellStyle name="Millares 2 5 4 6 2" xfId="7811" xr:uid="{00000000-0005-0000-0000-00009E1A0000}"/>
    <cellStyle name="Millares 2 5 4 6 2 2" xfId="14600" xr:uid="{00000000-0005-0000-0000-00009F1A0000}"/>
    <cellStyle name="Millares 2 5 4 6 2 2 2" xfId="28168" xr:uid="{00000000-0005-0000-0000-0000A01A0000}"/>
    <cellStyle name="Millares 2 5 4 6 2 2 2 2" xfId="55301" xr:uid="{00000000-0005-0000-0000-0000A11A0000}"/>
    <cellStyle name="Millares 2 5 4 6 2 2 3" xfId="41739" xr:uid="{00000000-0005-0000-0000-0000A21A0000}"/>
    <cellStyle name="Millares 2 5 4 6 2 3" xfId="21387" xr:uid="{00000000-0005-0000-0000-0000A31A0000}"/>
    <cellStyle name="Millares 2 5 4 6 2 3 2" xfId="48520" xr:uid="{00000000-0005-0000-0000-0000A41A0000}"/>
    <cellStyle name="Millares 2 5 4 6 2 4" xfId="34958" xr:uid="{00000000-0005-0000-0000-0000A51A0000}"/>
    <cellStyle name="Millares 2 5 4 6 3" xfId="11211" xr:uid="{00000000-0005-0000-0000-0000A61A0000}"/>
    <cellStyle name="Millares 2 5 4 6 3 2" xfId="24779" xr:uid="{00000000-0005-0000-0000-0000A71A0000}"/>
    <cellStyle name="Millares 2 5 4 6 3 2 2" xfId="51912" xr:uid="{00000000-0005-0000-0000-0000A81A0000}"/>
    <cellStyle name="Millares 2 5 4 6 3 3" xfId="38350" xr:uid="{00000000-0005-0000-0000-0000A91A0000}"/>
    <cellStyle name="Millares 2 5 4 6 4" xfId="17998" xr:uid="{00000000-0005-0000-0000-0000AA1A0000}"/>
    <cellStyle name="Millares 2 5 4 6 4 2" xfId="45131" xr:uid="{00000000-0005-0000-0000-0000AB1A0000}"/>
    <cellStyle name="Millares 2 5 4 6 5" xfId="31569" xr:uid="{00000000-0005-0000-0000-0000AC1A0000}"/>
    <cellStyle name="Millares 2 5 4 7" xfId="7796" xr:uid="{00000000-0005-0000-0000-0000AD1A0000}"/>
    <cellStyle name="Millares 2 5 4 7 2" xfId="14585" xr:uid="{00000000-0005-0000-0000-0000AE1A0000}"/>
    <cellStyle name="Millares 2 5 4 7 2 2" xfId="28153" xr:uid="{00000000-0005-0000-0000-0000AF1A0000}"/>
    <cellStyle name="Millares 2 5 4 7 2 2 2" xfId="55286" xr:uid="{00000000-0005-0000-0000-0000B01A0000}"/>
    <cellStyle name="Millares 2 5 4 7 2 3" xfId="41724" xr:uid="{00000000-0005-0000-0000-0000B11A0000}"/>
    <cellStyle name="Millares 2 5 4 7 3" xfId="21372" xr:uid="{00000000-0005-0000-0000-0000B21A0000}"/>
    <cellStyle name="Millares 2 5 4 7 3 2" xfId="48505" xr:uid="{00000000-0005-0000-0000-0000B31A0000}"/>
    <cellStyle name="Millares 2 5 4 7 4" xfId="34943" xr:uid="{00000000-0005-0000-0000-0000B41A0000}"/>
    <cellStyle name="Millares 2 5 4 8" xfId="11196" xr:uid="{00000000-0005-0000-0000-0000B51A0000}"/>
    <cellStyle name="Millares 2 5 4 8 2" xfId="24764" xr:uid="{00000000-0005-0000-0000-0000B61A0000}"/>
    <cellStyle name="Millares 2 5 4 8 2 2" xfId="51897" xr:uid="{00000000-0005-0000-0000-0000B71A0000}"/>
    <cellStyle name="Millares 2 5 4 8 3" xfId="38335" xr:uid="{00000000-0005-0000-0000-0000B81A0000}"/>
    <cellStyle name="Millares 2 5 4 9" xfId="17983" xr:uid="{00000000-0005-0000-0000-0000B91A0000}"/>
    <cellStyle name="Millares 2 5 4 9 2" xfId="45116" xr:uid="{00000000-0005-0000-0000-0000BA1A0000}"/>
    <cellStyle name="Millares 2 5 5" xfId="4202" xr:uid="{00000000-0005-0000-0000-0000BB1A0000}"/>
    <cellStyle name="Millares 2 5 5 2" xfId="4203" xr:uid="{00000000-0005-0000-0000-0000BC1A0000}"/>
    <cellStyle name="Millares 2 5 5 2 2" xfId="4204" xr:uid="{00000000-0005-0000-0000-0000BD1A0000}"/>
    <cellStyle name="Millares 2 5 5 2 2 2" xfId="7814" xr:uid="{00000000-0005-0000-0000-0000BE1A0000}"/>
    <cellStyle name="Millares 2 5 5 2 2 2 2" xfId="14603" xr:uid="{00000000-0005-0000-0000-0000BF1A0000}"/>
    <cellStyle name="Millares 2 5 5 2 2 2 2 2" xfId="28171" xr:uid="{00000000-0005-0000-0000-0000C01A0000}"/>
    <cellStyle name="Millares 2 5 5 2 2 2 2 2 2" xfId="55304" xr:uid="{00000000-0005-0000-0000-0000C11A0000}"/>
    <cellStyle name="Millares 2 5 5 2 2 2 2 3" xfId="41742" xr:uid="{00000000-0005-0000-0000-0000C21A0000}"/>
    <cellStyle name="Millares 2 5 5 2 2 2 3" xfId="21390" xr:uid="{00000000-0005-0000-0000-0000C31A0000}"/>
    <cellStyle name="Millares 2 5 5 2 2 2 3 2" xfId="48523" xr:uid="{00000000-0005-0000-0000-0000C41A0000}"/>
    <cellStyle name="Millares 2 5 5 2 2 2 4" xfId="34961" xr:uid="{00000000-0005-0000-0000-0000C51A0000}"/>
    <cellStyle name="Millares 2 5 5 2 2 3" xfId="11214" xr:uid="{00000000-0005-0000-0000-0000C61A0000}"/>
    <cellStyle name="Millares 2 5 5 2 2 3 2" xfId="24782" xr:uid="{00000000-0005-0000-0000-0000C71A0000}"/>
    <cellStyle name="Millares 2 5 5 2 2 3 2 2" xfId="51915" xr:uid="{00000000-0005-0000-0000-0000C81A0000}"/>
    <cellStyle name="Millares 2 5 5 2 2 3 3" xfId="38353" xr:uid="{00000000-0005-0000-0000-0000C91A0000}"/>
    <cellStyle name="Millares 2 5 5 2 2 4" xfId="18001" xr:uid="{00000000-0005-0000-0000-0000CA1A0000}"/>
    <cellStyle name="Millares 2 5 5 2 2 4 2" xfId="45134" xr:uid="{00000000-0005-0000-0000-0000CB1A0000}"/>
    <cellStyle name="Millares 2 5 5 2 2 5" xfId="31572" xr:uid="{00000000-0005-0000-0000-0000CC1A0000}"/>
    <cellStyle name="Millares 2 5 5 2 3" xfId="4205" xr:uid="{00000000-0005-0000-0000-0000CD1A0000}"/>
    <cellStyle name="Millares 2 5 5 2 3 2" xfId="7815" xr:uid="{00000000-0005-0000-0000-0000CE1A0000}"/>
    <cellStyle name="Millares 2 5 5 2 3 2 2" xfId="14604" xr:uid="{00000000-0005-0000-0000-0000CF1A0000}"/>
    <cellStyle name="Millares 2 5 5 2 3 2 2 2" xfId="28172" xr:uid="{00000000-0005-0000-0000-0000D01A0000}"/>
    <cellStyle name="Millares 2 5 5 2 3 2 2 2 2" xfId="55305" xr:uid="{00000000-0005-0000-0000-0000D11A0000}"/>
    <cellStyle name="Millares 2 5 5 2 3 2 2 3" xfId="41743" xr:uid="{00000000-0005-0000-0000-0000D21A0000}"/>
    <cellStyle name="Millares 2 5 5 2 3 2 3" xfId="21391" xr:uid="{00000000-0005-0000-0000-0000D31A0000}"/>
    <cellStyle name="Millares 2 5 5 2 3 2 3 2" xfId="48524" xr:uid="{00000000-0005-0000-0000-0000D41A0000}"/>
    <cellStyle name="Millares 2 5 5 2 3 2 4" xfId="34962" xr:uid="{00000000-0005-0000-0000-0000D51A0000}"/>
    <cellStyle name="Millares 2 5 5 2 3 3" xfId="11215" xr:uid="{00000000-0005-0000-0000-0000D61A0000}"/>
    <cellStyle name="Millares 2 5 5 2 3 3 2" xfId="24783" xr:uid="{00000000-0005-0000-0000-0000D71A0000}"/>
    <cellStyle name="Millares 2 5 5 2 3 3 2 2" xfId="51916" xr:uid="{00000000-0005-0000-0000-0000D81A0000}"/>
    <cellStyle name="Millares 2 5 5 2 3 3 3" xfId="38354" xr:uid="{00000000-0005-0000-0000-0000D91A0000}"/>
    <cellStyle name="Millares 2 5 5 2 3 4" xfId="18002" xr:uid="{00000000-0005-0000-0000-0000DA1A0000}"/>
    <cellStyle name="Millares 2 5 5 2 3 4 2" xfId="45135" xr:uid="{00000000-0005-0000-0000-0000DB1A0000}"/>
    <cellStyle name="Millares 2 5 5 2 3 5" xfId="31573" xr:uid="{00000000-0005-0000-0000-0000DC1A0000}"/>
    <cellStyle name="Millares 2 5 5 2 4" xfId="7813" xr:uid="{00000000-0005-0000-0000-0000DD1A0000}"/>
    <cellStyle name="Millares 2 5 5 2 4 2" xfId="14602" xr:uid="{00000000-0005-0000-0000-0000DE1A0000}"/>
    <cellStyle name="Millares 2 5 5 2 4 2 2" xfId="28170" xr:uid="{00000000-0005-0000-0000-0000DF1A0000}"/>
    <cellStyle name="Millares 2 5 5 2 4 2 2 2" xfId="55303" xr:uid="{00000000-0005-0000-0000-0000E01A0000}"/>
    <cellStyle name="Millares 2 5 5 2 4 2 3" xfId="41741" xr:uid="{00000000-0005-0000-0000-0000E11A0000}"/>
    <cellStyle name="Millares 2 5 5 2 4 3" xfId="21389" xr:uid="{00000000-0005-0000-0000-0000E21A0000}"/>
    <cellStyle name="Millares 2 5 5 2 4 3 2" xfId="48522" xr:uid="{00000000-0005-0000-0000-0000E31A0000}"/>
    <cellStyle name="Millares 2 5 5 2 4 4" xfId="34960" xr:uid="{00000000-0005-0000-0000-0000E41A0000}"/>
    <cellStyle name="Millares 2 5 5 2 5" xfId="11213" xr:uid="{00000000-0005-0000-0000-0000E51A0000}"/>
    <cellStyle name="Millares 2 5 5 2 5 2" xfId="24781" xr:uid="{00000000-0005-0000-0000-0000E61A0000}"/>
    <cellStyle name="Millares 2 5 5 2 5 2 2" xfId="51914" xr:uid="{00000000-0005-0000-0000-0000E71A0000}"/>
    <cellStyle name="Millares 2 5 5 2 5 3" xfId="38352" xr:uid="{00000000-0005-0000-0000-0000E81A0000}"/>
    <cellStyle name="Millares 2 5 5 2 6" xfId="18000" xr:uid="{00000000-0005-0000-0000-0000E91A0000}"/>
    <cellStyle name="Millares 2 5 5 2 6 2" xfId="45133" xr:uid="{00000000-0005-0000-0000-0000EA1A0000}"/>
    <cellStyle name="Millares 2 5 5 2 7" xfId="31571" xr:uid="{00000000-0005-0000-0000-0000EB1A0000}"/>
    <cellStyle name="Millares 2 5 5 3" xfId="4206" xr:uid="{00000000-0005-0000-0000-0000EC1A0000}"/>
    <cellStyle name="Millares 2 5 5 3 2" xfId="4207" xr:uid="{00000000-0005-0000-0000-0000ED1A0000}"/>
    <cellStyle name="Millares 2 5 5 3 2 2" xfId="7817" xr:uid="{00000000-0005-0000-0000-0000EE1A0000}"/>
    <cellStyle name="Millares 2 5 5 3 2 2 2" xfId="14606" xr:uid="{00000000-0005-0000-0000-0000EF1A0000}"/>
    <cellStyle name="Millares 2 5 5 3 2 2 2 2" xfId="28174" xr:uid="{00000000-0005-0000-0000-0000F01A0000}"/>
    <cellStyle name="Millares 2 5 5 3 2 2 2 2 2" xfId="55307" xr:uid="{00000000-0005-0000-0000-0000F11A0000}"/>
    <cellStyle name="Millares 2 5 5 3 2 2 2 3" xfId="41745" xr:uid="{00000000-0005-0000-0000-0000F21A0000}"/>
    <cellStyle name="Millares 2 5 5 3 2 2 3" xfId="21393" xr:uid="{00000000-0005-0000-0000-0000F31A0000}"/>
    <cellStyle name="Millares 2 5 5 3 2 2 3 2" xfId="48526" xr:uid="{00000000-0005-0000-0000-0000F41A0000}"/>
    <cellStyle name="Millares 2 5 5 3 2 2 4" xfId="34964" xr:uid="{00000000-0005-0000-0000-0000F51A0000}"/>
    <cellStyle name="Millares 2 5 5 3 2 3" xfId="11217" xr:uid="{00000000-0005-0000-0000-0000F61A0000}"/>
    <cellStyle name="Millares 2 5 5 3 2 3 2" xfId="24785" xr:uid="{00000000-0005-0000-0000-0000F71A0000}"/>
    <cellStyle name="Millares 2 5 5 3 2 3 2 2" xfId="51918" xr:uid="{00000000-0005-0000-0000-0000F81A0000}"/>
    <cellStyle name="Millares 2 5 5 3 2 3 3" xfId="38356" xr:uid="{00000000-0005-0000-0000-0000F91A0000}"/>
    <cellStyle name="Millares 2 5 5 3 2 4" xfId="18004" xr:uid="{00000000-0005-0000-0000-0000FA1A0000}"/>
    <cellStyle name="Millares 2 5 5 3 2 4 2" xfId="45137" xr:uid="{00000000-0005-0000-0000-0000FB1A0000}"/>
    <cellStyle name="Millares 2 5 5 3 2 5" xfId="31575" xr:uid="{00000000-0005-0000-0000-0000FC1A0000}"/>
    <cellStyle name="Millares 2 5 5 3 3" xfId="7816" xr:uid="{00000000-0005-0000-0000-0000FD1A0000}"/>
    <cellStyle name="Millares 2 5 5 3 3 2" xfId="14605" xr:uid="{00000000-0005-0000-0000-0000FE1A0000}"/>
    <cellStyle name="Millares 2 5 5 3 3 2 2" xfId="28173" xr:uid="{00000000-0005-0000-0000-0000FF1A0000}"/>
    <cellStyle name="Millares 2 5 5 3 3 2 2 2" xfId="55306" xr:uid="{00000000-0005-0000-0000-0000001B0000}"/>
    <cellStyle name="Millares 2 5 5 3 3 2 3" xfId="41744" xr:uid="{00000000-0005-0000-0000-0000011B0000}"/>
    <cellStyle name="Millares 2 5 5 3 3 3" xfId="21392" xr:uid="{00000000-0005-0000-0000-0000021B0000}"/>
    <cellStyle name="Millares 2 5 5 3 3 3 2" xfId="48525" xr:uid="{00000000-0005-0000-0000-0000031B0000}"/>
    <cellStyle name="Millares 2 5 5 3 3 4" xfId="34963" xr:uid="{00000000-0005-0000-0000-0000041B0000}"/>
    <cellStyle name="Millares 2 5 5 3 4" xfId="11216" xr:uid="{00000000-0005-0000-0000-0000051B0000}"/>
    <cellStyle name="Millares 2 5 5 3 4 2" xfId="24784" xr:uid="{00000000-0005-0000-0000-0000061B0000}"/>
    <cellStyle name="Millares 2 5 5 3 4 2 2" xfId="51917" xr:uid="{00000000-0005-0000-0000-0000071B0000}"/>
    <cellStyle name="Millares 2 5 5 3 4 3" xfId="38355" xr:uid="{00000000-0005-0000-0000-0000081B0000}"/>
    <cellStyle name="Millares 2 5 5 3 5" xfId="18003" xr:uid="{00000000-0005-0000-0000-0000091B0000}"/>
    <cellStyle name="Millares 2 5 5 3 5 2" xfId="45136" xr:uid="{00000000-0005-0000-0000-00000A1B0000}"/>
    <cellStyle name="Millares 2 5 5 3 6" xfId="31574" xr:uid="{00000000-0005-0000-0000-00000B1B0000}"/>
    <cellStyle name="Millares 2 5 5 4" xfId="4208" xr:uid="{00000000-0005-0000-0000-00000C1B0000}"/>
    <cellStyle name="Millares 2 5 5 4 2" xfId="7818" xr:uid="{00000000-0005-0000-0000-00000D1B0000}"/>
    <cellStyle name="Millares 2 5 5 4 2 2" xfId="14607" xr:uid="{00000000-0005-0000-0000-00000E1B0000}"/>
    <cellStyle name="Millares 2 5 5 4 2 2 2" xfId="28175" xr:uid="{00000000-0005-0000-0000-00000F1B0000}"/>
    <cellStyle name="Millares 2 5 5 4 2 2 2 2" xfId="55308" xr:uid="{00000000-0005-0000-0000-0000101B0000}"/>
    <cellStyle name="Millares 2 5 5 4 2 2 3" xfId="41746" xr:uid="{00000000-0005-0000-0000-0000111B0000}"/>
    <cellStyle name="Millares 2 5 5 4 2 3" xfId="21394" xr:uid="{00000000-0005-0000-0000-0000121B0000}"/>
    <cellStyle name="Millares 2 5 5 4 2 3 2" xfId="48527" xr:uid="{00000000-0005-0000-0000-0000131B0000}"/>
    <cellStyle name="Millares 2 5 5 4 2 4" xfId="34965" xr:uid="{00000000-0005-0000-0000-0000141B0000}"/>
    <cellStyle name="Millares 2 5 5 4 3" xfId="11218" xr:uid="{00000000-0005-0000-0000-0000151B0000}"/>
    <cellStyle name="Millares 2 5 5 4 3 2" xfId="24786" xr:uid="{00000000-0005-0000-0000-0000161B0000}"/>
    <cellStyle name="Millares 2 5 5 4 3 2 2" xfId="51919" xr:uid="{00000000-0005-0000-0000-0000171B0000}"/>
    <cellStyle name="Millares 2 5 5 4 3 3" xfId="38357" xr:uid="{00000000-0005-0000-0000-0000181B0000}"/>
    <cellStyle name="Millares 2 5 5 4 4" xfId="18005" xr:uid="{00000000-0005-0000-0000-0000191B0000}"/>
    <cellStyle name="Millares 2 5 5 4 4 2" xfId="45138" xr:uid="{00000000-0005-0000-0000-00001A1B0000}"/>
    <cellStyle name="Millares 2 5 5 4 5" xfId="31576" xr:uid="{00000000-0005-0000-0000-00001B1B0000}"/>
    <cellStyle name="Millares 2 5 5 5" xfId="4209" xr:uid="{00000000-0005-0000-0000-00001C1B0000}"/>
    <cellStyle name="Millares 2 5 5 5 2" xfId="7819" xr:uid="{00000000-0005-0000-0000-00001D1B0000}"/>
    <cellStyle name="Millares 2 5 5 5 2 2" xfId="14608" xr:uid="{00000000-0005-0000-0000-00001E1B0000}"/>
    <cellStyle name="Millares 2 5 5 5 2 2 2" xfId="28176" xr:uid="{00000000-0005-0000-0000-00001F1B0000}"/>
    <cellStyle name="Millares 2 5 5 5 2 2 2 2" xfId="55309" xr:uid="{00000000-0005-0000-0000-0000201B0000}"/>
    <cellStyle name="Millares 2 5 5 5 2 2 3" xfId="41747" xr:uid="{00000000-0005-0000-0000-0000211B0000}"/>
    <cellStyle name="Millares 2 5 5 5 2 3" xfId="21395" xr:uid="{00000000-0005-0000-0000-0000221B0000}"/>
    <cellStyle name="Millares 2 5 5 5 2 3 2" xfId="48528" xr:uid="{00000000-0005-0000-0000-0000231B0000}"/>
    <cellStyle name="Millares 2 5 5 5 2 4" xfId="34966" xr:uid="{00000000-0005-0000-0000-0000241B0000}"/>
    <cellStyle name="Millares 2 5 5 5 3" xfId="11219" xr:uid="{00000000-0005-0000-0000-0000251B0000}"/>
    <cellStyle name="Millares 2 5 5 5 3 2" xfId="24787" xr:uid="{00000000-0005-0000-0000-0000261B0000}"/>
    <cellStyle name="Millares 2 5 5 5 3 2 2" xfId="51920" xr:uid="{00000000-0005-0000-0000-0000271B0000}"/>
    <cellStyle name="Millares 2 5 5 5 3 3" xfId="38358" xr:uid="{00000000-0005-0000-0000-0000281B0000}"/>
    <cellStyle name="Millares 2 5 5 5 4" xfId="18006" xr:uid="{00000000-0005-0000-0000-0000291B0000}"/>
    <cellStyle name="Millares 2 5 5 5 4 2" xfId="45139" xr:uid="{00000000-0005-0000-0000-00002A1B0000}"/>
    <cellStyle name="Millares 2 5 5 5 5" xfId="31577" xr:uid="{00000000-0005-0000-0000-00002B1B0000}"/>
    <cellStyle name="Millares 2 5 5 6" xfId="7812" xr:uid="{00000000-0005-0000-0000-00002C1B0000}"/>
    <cellStyle name="Millares 2 5 5 6 2" xfId="14601" xr:uid="{00000000-0005-0000-0000-00002D1B0000}"/>
    <cellStyle name="Millares 2 5 5 6 2 2" xfId="28169" xr:uid="{00000000-0005-0000-0000-00002E1B0000}"/>
    <cellStyle name="Millares 2 5 5 6 2 2 2" xfId="55302" xr:uid="{00000000-0005-0000-0000-00002F1B0000}"/>
    <cellStyle name="Millares 2 5 5 6 2 3" xfId="41740" xr:uid="{00000000-0005-0000-0000-0000301B0000}"/>
    <cellStyle name="Millares 2 5 5 6 3" xfId="21388" xr:uid="{00000000-0005-0000-0000-0000311B0000}"/>
    <cellStyle name="Millares 2 5 5 6 3 2" xfId="48521" xr:uid="{00000000-0005-0000-0000-0000321B0000}"/>
    <cellStyle name="Millares 2 5 5 6 4" xfId="34959" xr:uid="{00000000-0005-0000-0000-0000331B0000}"/>
    <cellStyle name="Millares 2 5 5 7" xfId="11212" xr:uid="{00000000-0005-0000-0000-0000341B0000}"/>
    <cellStyle name="Millares 2 5 5 7 2" xfId="24780" xr:uid="{00000000-0005-0000-0000-0000351B0000}"/>
    <cellStyle name="Millares 2 5 5 7 2 2" xfId="51913" xr:uid="{00000000-0005-0000-0000-0000361B0000}"/>
    <cellStyle name="Millares 2 5 5 7 3" xfId="38351" xr:uid="{00000000-0005-0000-0000-0000371B0000}"/>
    <cellStyle name="Millares 2 5 5 8" xfId="17999" xr:uid="{00000000-0005-0000-0000-0000381B0000}"/>
    <cellStyle name="Millares 2 5 5 8 2" xfId="45132" xr:uid="{00000000-0005-0000-0000-0000391B0000}"/>
    <cellStyle name="Millares 2 5 5 9" xfId="31570" xr:uid="{00000000-0005-0000-0000-00003A1B0000}"/>
    <cellStyle name="Millares 2 5 6" xfId="4210" xr:uid="{00000000-0005-0000-0000-00003B1B0000}"/>
    <cellStyle name="Millares 2 5 6 2" xfId="4211" xr:uid="{00000000-0005-0000-0000-00003C1B0000}"/>
    <cellStyle name="Millares 2 5 6 2 2" xfId="4212" xr:uid="{00000000-0005-0000-0000-00003D1B0000}"/>
    <cellStyle name="Millares 2 5 6 2 2 2" xfId="7822" xr:uid="{00000000-0005-0000-0000-00003E1B0000}"/>
    <cellStyle name="Millares 2 5 6 2 2 2 2" xfId="14611" xr:uid="{00000000-0005-0000-0000-00003F1B0000}"/>
    <cellStyle name="Millares 2 5 6 2 2 2 2 2" xfId="28179" xr:uid="{00000000-0005-0000-0000-0000401B0000}"/>
    <cellStyle name="Millares 2 5 6 2 2 2 2 2 2" xfId="55312" xr:uid="{00000000-0005-0000-0000-0000411B0000}"/>
    <cellStyle name="Millares 2 5 6 2 2 2 2 3" xfId="41750" xr:uid="{00000000-0005-0000-0000-0000421B0000}"/>
    <cellStyle name="Millares 2 5 6 2 2 2 3" xfId="21398" xr:uid="{00000000-0005-0000-0000-0000431B0000}"/>
    <cellStyle name="Millares 2 5 6 2 2 2 3 2" xfId="48531" xr:uid="{00000000-0005-0000-0000-0000441B0000}"/>
    <cellStyle name="Millares 2 5 6 2 2 2 4" xfId="34969" xr:uid="{00000000-0005-0000-0000-0000451B0000}"/>
    <cellStyle name="Millares 2 5 6 2 2 3" xfId="11222" xr:uid="{00000000-0005-0000-0000-0000461B0000}"/>
    <cellStyle name="Millares 2 5 6 2 2 3 2" xfId="24790" xr:uid="{00000000-0005-0000-0000-0000471B0000}"/>
    <cellStyle name="Millares 2 5 6 2 2 3 2 2" xfId="51923" xr:uid="{00000000-0005-0000-0000-0000481B0000}"/>
    <cellStyle name="Millares 2 5 6 2 2 3 3" xfId="38361" xr:uid="{00000000-0005-0000-0000-0000491B0000}"/>
    <cellStyle name="Millares 2 5 6 2 2 4" xfId="18009" xr:uid="{00000000-0005-0000-0000-00004A1B0000}"/>
    <cellStyle name="Millares 2 5 6 2 2 4 2" xfId="45142" xr:uid="{00000000-0005-0000-0000-00004B1B0000}"/>
    <cellStyle name="Millares 2 5 6 2 2 5" xfId="31580" xr:uid="{00000000-0005-0000-0000-00004C1B0000}"/>
    <cellStyle name="Millares 2 5 6 2 3" xfId="4213" xr:uid="{00000000-0005-0000-0000-00004D1B0000}"/>
    <cellStyle name="Millares 2 5 6 2 3 2" xfId="7823" xr:uid="{00000000-0005-0000-0000-00004E1B0000}"/>
    <cellStyle name="Millares 2 5 6 2 3 2 2" xfId="14612" xr:uid="{00000000-0005-0000-0000-00004F1B0000}"/>
    <cellStyle name="Millares 2 5 6 2 3 2 2 2" xfId="28180" xr:uid="{00000000-0005-0000-0000-0000501B0000}"/>
    <cellStyle name="Millares 2 5 6 2 3 2 2 2 2" xfId="55313" xr:uid="{00000000-0005-0000-0000-0000511B0000}"/>
    <cellStyle name="Millares 2 5 6 2 3 2 2 3" xfId="41751" xr:uid="{00000000-0005-0000-0000-0000521B0000}"/>
    <cellStyle name="Millares 2 5 6 2 3 2 3" xfId="21399" xr:uid="{00000000-0005-0000-0000-0000531B0000}"/>
    <cellStyle name="Millares 2 5 6 2 3 2 3 2" xfId="48532" xr:uid="{00000000-0005-0000-0000-0000541B0000}"/>
    <cellStyle name="Millares 2 5 6 2 3 2 4" xfId="34970" xr:uid="{00000000-0005-0000-0000-0000551B0000}"/>
    <cellStyle name="Millares 2 5 6 2 3 3" xfId="11223" xr:uid="{00000000-0005-0000-0000-0000561B0000}"/>
    <cellStyle name="Millares 2 5 6 2 3 3 2" xfId="24791" xr:uid="{00000000-0005-0000-0000-0000571B0000}"/>
    <cellStyle name="Millares 2 5 6 2 3 3 2 2" xfId="51924" xr:uid="{00000000-0005-0000-0000-0000581B0000}"/>
    <cellStyle name="Millares 2 5 6 2 3 3 3" xfId="38362" xr:uid="{00000000-0005-0000-0000-0000591B0000}"/>
    <cellStyle name="Millares 2 5 6 2 3 4" xfId="18010" xr:uid="{00000000-0005-0000-0000-00005A1B0000}"/>
    <cellStyle name="Millares 2 5 6 2 3 4 2" xfId="45143" xr:uid="{00000000-0005-0000-0000-00005B1B0000}"/>
    <cellStyle name="Millares 2 5 6 2 3 5" xfId="31581" xr:uid="{00000000-0005-0000-0000-00005C1B0000}"/>
    <cellStyle name="Millares 2 5 6 2 4" xfId="7821" xr:uid="{00000000-0005-0000-0000-00005D1B0000}"/>
    <cellStyle name="Millares 2 5 6 2 4 2" xfId="14610" xr:uid="{00000000-0005-0000-0000-00005E1B0000}"/>
    <cellStyle name="Millares 2 5 6 2 4 2 2" xfId="28178" xr:uid="{00000000-0005-0000-0000-00005F1B0000}"/>
    <cellStyle name="Millares 2 5 6 2 4 2 2 2" xfId="55311" xr:uid="{00000000-0005-0000-0000-0000601B0000}"/>
    <cellStyle name="Millares 2 5 6 2 4 2 3" xfId="41749" xr:uid="{00000000-0005-0000-0000-0000611B0000}"/>
    <cellStyle name="Millares 2 5 6 2 4 3" xfId="21397" xr:uid="{00000000-0005-0000-0000-0000621B0000}"/>
    <cellStyle name="Millares 2 5 6 2 4 3 2" xfId="48530" xr:uid="{00000000-0005-0000-0000-0000631B0000}"/>
    <cellStyle name="Millares 2 5 6 2 4 4" xfId="34968" xr:uid="{00000000-0005-0000-0000-0000641B0000}"/>
    <cellStyle name="Millares 2 5 6 2 5" xfId="11221" xr:uid="{00000000-0005-0000-0000-0000651B0000}"/>
    <cellStyle name="Millares 2 5 6 2 5 2" xfId="24789" xr:uid="{00000000-0005-0000-0000-0000661B0000}"/>
    <cellStyle name="Millares 2 5 6 2 5 2 2" xfId="51922" xr:uid="{00000000-0005-0000-0000-0000671B0000}"/>
    <cellStyle name="Millares 2 5 6 2 5 3" xfId="38360" xr:uid="{00000000-0005-0000-0000-0000681B0000}"/>
    <cellStyle name="Millares 2 5 6 2 6" xfId="18008" xr:uid="{00000000-0005-0000-0000-0000691B0000}"/>
    <cellStyle name="Millares 2 5 6 2 6 2" xfId="45141" xr:uid="{00000000-0005-0000-0000-00006A1B0000}"/>
    <cellStyle name="Millares 2 5 6 2 7" xfId="31579" xr:uid="{00000000-0005-0000-0000-00006B1B0000}"/>
    <cellStyle name="Millares 2 5 6 3" xfId="4214" xr:uid="{00000000-0005-0000-0000-00006C1B0000}"/>
    <cellStyle name="Millares 2 5 6 3 2" xfId="7824" xr:uid="{00000000-0005-0000-0000-00006D1B0000}"/>
    <cellStyle name="Millares 2 5 6 3 2 2" xfId="14613" xr:uid="{00000000-0005-0000-0000-00006E1B0000}"/>
    <cellStyle name="Millares 2 5 6 3 2 2 2" xfId="28181" xr:uid="{00000000-0005-0000-0000-00006F1B0000}"/>
    <cellStyle name="Millares 2 5 6 3 2 2 2 2" xfId="55314" xr:uid="{00000000-0005-0000-0000-0000701B0000}"/>
    <cellStyle name="Millares 2 5 6 3 2 2 3" xfId="41752" xr:uid="{00000000-0005-0000-0000-0000711B0000}"/>
    <cellStyle name="Millares 2 5 6 3 2 3" xfId="21400" xr:uid="{00000000-0005-0000-0000-0000721B0000}"/>
    <cellStyle name="Millares 2 5 6 3 2 3 2" xfId="48533" xr:uid="{00000000-0005-0000-0000-0000731B0000}"/>
    <cellStyle name="Millares 2 5 6 3 2 4" xfId="34971" xr:uid="{00000000-0005-0000-0000-0000741B0000}"/>
    <cellStyle name="Millares 2 5 6 3 3" xfId="11224" xr:uid="{00000000-0005-0000-0000-0000751B0000}"/>
    <cellStyle name="Millares 2 5 6 3 3 2" xfId="24792" xr:uid="{00000000-0005-0000-0000-0000761B0000}"/>
    <cellStyle name="Millares 2 5 6 3 3 2 2" xfId="51925" xr:uid="{00000000-0005-0000-0000-0000771B0000}"/>
    <cellStyle name="Millares 2 5 6 3 3 3" xfId="38363" xr:uid="{00000000-0005-0000-0000-0000781B0000}"/>
    <cellStyle name="Millares 2 5 6 3 4" xfId="18011" xr:uid="{00000000-0005-0000-0000-0000791B0000}"/>
    <cellStyle name="Millares 2 5 6 3 4 2" xfId="45144" xr:uid="{00000000-0005-0000-0000-00007A1B0000}"/>
    <cellStyle name="Millares 2 5 6 3 5" xfId="31582" xr:uid="{00000000-0005-0000-0000-00007B1B0000}"/>
    <cellStyle name="Millares 2 5 6 4" xfId="4215" xr:uid="{00000000-0005-0000-0000-00007C1B0000}"/>
    <cellStyle name="Millares 2 5 6 4 2" xfId="7825" xr:uid="{00000000-0005-0000-0000-00007D1B0000}"/>
    <cellStyle name="Millares 2 5 6 4 2 2" xfId="14614" xr:uid="{00000000-0005-0000-0000-00007E1B0000}"/>
    <cellStyle name="Millares 2 5 6 4 2 2 2" xfId="28182" xr:uid="{00000000-0005-0000-0000-00007F1B0000}"/>
    <cellStyle name="Millares 2 5 6 4 2 2 2 2" xfId="55315" xr:uid="{00000000-0005-0000-0000-0000801B0000}"/>
    <cellStyle name="Millares 2 5 6 4 2 2 3" xfId="41753" xr:uid="{00000000-0005-0000-0000-0000811B0000}"/>
    <cellStyle name="Millares 2 5 6 4 2 3" xfId="21401" xr:uid="{00000000-0005-0000-0000-0000821B0000}"/>
    <cellStyle name="Millares 2 5 6 4 2 3 2" xfId="48534" xr:uid="{00000000-0005-0000-0000-0000831B0000}"/>
    <cellStyle name="Millares 2 5 6 4 2 4" xfId="34972" xr:uid="{00000000-0005-0000-0000-0000841B0000}"/>
    <cellStyle name="Millares 2 5 6 4 3" xfId="11225" xr:uid="{00000000-0005-0000-0000-0000851B0000}"/>
    <cellStyle name="Millares 2 5 6 4 3 2" xfId="24793" xr:uid="{00000000-0005-0000-0000-0000861B0000}"/>
    <cellStyle name="Millares 2 5 6 4 3 2 2" xfId="51926" xr:uid="{00000000-0005-0000-0000-0000871B0000}"/>
    <cellStyle name="Millares 2 5 6 4 3 3" xfId="38364" xr:uid="{00000000-0005-0000-0000-0000881B0000}"/>
    <cellStyle name="Millares 2 5 6 4 4" xfId="18012" xr:uid="{00000000-0005-0000-0000-0000891B0000}"/>
    <cellStyle name="Millares 2 5 6 4 4 2" xfId="45145" xr:uid="{00000000-0005-0000-0000-00008A1B0000}"/>
    <cellStyle name="Millares 2 5 6 4 5" xfId="31583" xr:uid="{00000000-0005-0000-0000-00008B1B0000}"/>
    <cellStyle name="Millares 2 5 6 5" xfId="7820" xr:uid="{00000000-0005-0000-0000-00008C1B0000}"/>
    <cellStyle name="Millares 2 5 6 5 2" xfId="14609" xr:uid="{00000000-0005-0000-0000-00008D1B0000}"/>
    <cellStyle name="Millares 2 5 6 5 2 2" xfId="28177" xr:uid="{00000000-0005-0000-0000-00008E1B0000}"/>
    <cellStyle name="Millares 2 5 6 5 2 2 2" xfId="55310" xr:uid="{00000000-0005-0000-0000-00008F1B0000}"/>
    <cellStyle name="Millares 2 5 6 5 2 3" xfId="41748" xr:uid="{00000000-0005-0000-0000-0000901B0000}"/>
    <cellStyle name="Millares 2 5 6 5 3" xfId="21396" xr:uid="{00000000-0005-0000-0000-0000911B0000}"/>
    <cellStyle name="Millares 2 5 6 5 3 2" xfId="48529" xr:uid="{00000000-0005-0000-0000-0000921B0000}"/>
    <cellStyle name="Millares 2 5 6 5 4" xfId="34967" xr:uid="{00000000-0005-0000-0000-0000931B0000}"/>
    <cellStyle name="Millares 2 5 6 6" xfId="11220" xr:uid="{00000000-0005-0000-0000-0000941B0000}"/>
    <cellStyle name="Millares 2 5 6 6 2" xfId="24788" xr:uid="{00000000-0005-0000-0000-0000951B0000}"/>
    <cellStyle name="Millares 2 5 6 6 2 2" xfId="51921" xr:uid="{00000000-0005-0000-0000-0000961B0000}"/>
    <cellStyle name="Millares 2 5 6 6 3" xfId="38359" xr:uid="{00000000-0005-0000-0000-0000971B0000}"/>
    <cellStyle name="Millares 2 5 6 7" xfId="18007" xr:uid="{00000000-0005-0000-0000-0000981B0000}"/>
    <cellStyle name="Millares 2 5 6 7 2" xfId="45140" xr:uid="{00000000-0005-0000-0000-0000991B0000}"/>
    <cellStyle name="Millares 2 5 6 8" xfId="31578" xr:uid="{00000000-0005-0000-0000-00009A1B0000}"/>
    <cellStyle name="Millares 2 5 7" xfId="4216" xr:uid="{00000000-0005-0000-0000-00009B1B0000}"/>
    <cellStyle name="Millares 2 5 7 2" xfId="4217" xr:uid="{00000000-0005-0000-0000-00009C1B0000}"/>
    <cellStyle name="Millares 2 5 7 2 2" xfId="4218" xr:uid="{00000000-0005-0000-0000-00009D1B0000}"/>
    <cellStyle name="Millares 2 5 7 2 2 2" xfId="7828" xr:uid="{00000000-0005-0000-0000-00009E1B0000}"/>
    <cellStyle name="Millares 2 5 7 2 2 2 2" xfId="14617" xr:uid="{00000000-0005-0000-0000-00009F1B0000}"/>
    <cellStyle name="Millares 2 5 7 2 2 2 2 2" xfId="28185" xr:uid="{00000000-0005-0000-0000-0000A01B0000}"/>
    <cellStyle name="Millares 2 5 7 2 2 2 2 2 2" xfId="55318" xr:uid="{00000000-0005-0000-0000-0000A11B0000}"/>
    <cellStyle name="Millares 2 5 7 2 2 2 2 3" xfId="41756" xr:uid="{00000000-0005-0000-0000-0000A21B0000}"/>
    <cellStyle name="Millares 2 5 7 2 2 2 3" xfId="21404" xr:uid="{00000000-0005-0000-0000-0000A31B0000}"/>
    <cellStyle name="Millares 2 5 7 2 2 2 3 2" xfId="48537" xr:uid="{00000000-0005-0000-0000-0000A41B0000}"/>
    <cellStyle name="Millares 2 5 7 2 2 2 4" xfId="34975" xr:uid="{00000000-0005-0000-0000-0000A51B0000}"/>
    <cellStyle name="Millares 2 5 7 2 2 3" xfId="11228" xr:uid="{00000000-0005-0000-0000-0000A61B0000}"/>
    <cellStyle name="Millares 2 5 7 2 2 3 2" xfId="24796" xr:uid="{00000000-0005-0000-0000-0000A71B0000}"/>
    <cellStyle name="Millares 2 5 7 2 2 3 2 2" xfId="51929" xr:uid="{00000000-0005-0000-0000-0000A81B0000}"/>
    <cellStyle name="Millares 2 5 7 2 2 3 3" xfId="38367" xr:uid="{00000000-0005-0000-0000-0000A91B0000}"/>
    <cellStyle name="Millares 2 5 7 2 2 4" xfId="18015" xr:uid="{00000000-0005-0000-0000-0000AA1B0000}"/>
    <cellStyle name="Millares 2 5 7 2 2 4 2" xfId="45148" xr:uid="{00000000-0005-0000-0000-0000AB1B0000}"/>
    <cellStyle name="Millares 2 5 7 2 2 5" xfId="31586" xr:uid="{00000000-0005-0000-0000-0000AC1B0000}"/>
    <cellStyle name="Millares 2 5 7 2 3" xfId="4219" xr:uid="{00000000-0005-0000-0000-0000AD1B0000}"/>
    <cellStyle name="Millares 2 5 7 2 3 2" xfId="7829" xr:uid="{00000000-0005-0000-0000-0000AE1B0000}"/>
    <cellStyle name="Millares 2 5 7 2 3 2 2" xfId="14618" xr:uid="{00000000-0005-0000-0000-0000AF1B0000}"/>
    <cellStyle name="Millares 2 5 7 2 3 2 2 2" xfId="28186" xr:uid="{00000000-0005-0000-0000-0000B01B0000}"/>
    <cellStyle name="Millares 2 5 7 2 3 2 2 2 2" xfId="55319" xr:uid="{00000000-0005-0000-0000-0000B11B0000}"/>
    <cellStyle name="Millares 2 5 7 2 3 2 2 3" xfId="41757" xr:uid="{00000000-0005-0000-0000-0000B21B0000}"/>
    <cellStyle name="Millares 2 5 7 2 3 2 3" xfId="21405" xr:uid="{00000000-0005-0000-0000-0000B31B0000}"/>
    <cellStyle name="Millares 2 5 7 2 3 2 3 2" xfId="48538" xr:uid="{00000000-0005-0000-0000-0000B41B0000}"/>
    <cellStyle name="Millares 2 5 7 2 3 2 4" xfId="34976" xr:uid="{00000000-0005-0000-0000-0000B51B0000}"/>
    <cellStyle name="Millares 2 5 7 2 3 3" xfId="11229" xr:uid="{00000000-0005-0000-0000-0000B61B0000}"/>
    <cellStyle name="Millares 2 5 7 2 3 3 2" xfId="24797" xr:uid="{00000000-0005-0000-0000-0000B71B0000}"/>
    <cellStyle name="Millares 2 5 7 2 3 3 2 2" xfId="51930" xr:uid="{00000000-0005-0000-0000-0000B81B0000}"/>
    <cellStyle name="Millares 2 5 7 2 3 3 3" xfId="38368" xr:uid="{00000000-0005-0000-0000-0000B91B0000}"/>
    <cellStyle name="Millares 2 5 7 2 3 4" xfId="18016" xr:uid="{00000000-0005-0000-0000-0000BA1B0000}"/>
    <cellStyle name="Millares 2 5 7 2 3 4 2" xfId="45149" xr:uid="{00000000-0005-0000-0000-0000BB1B0000}"/>
    <cellStyle name="Millares 2 5 7 2 3 5" xfId="31587" xr:uid="{00000000-0005-0000-0000-0000BC1B0000}"/>
    <cellStyle name="Millares 2 5 7 2 4" xfId="7827" xr:uid="{00000000-0005-0000-0000-0000BD1B0000}"/>
    <cellStyle name="Millares 2 5 7 2 4 2" xfId="14616" xr:uid="{00000000-0005-0000-0000-0000BE1B0000}"/>
    <cellStyle name="Millares 2 5 7 2 4 2 2" xfId="28184" xr:uid="{00000000-0005-0000-0000-0000BF1B0000}"/>
    <cellStyle name="Millares 2 5 7 2 4 2 2 2" xfId="55317" xr:uid="{00000000-0005-0000-0000-0000C01B0000}"/>
    <cellStyle name="Millares 2 5 7 2 4 2 3" xfId="41755" xr:uid="{00000000-0005-0000-0000-0000C11B0000}"/>
    <cellStyle name="Millares 2 5 7 2 4 3" xfId="21403" xr:uid="{00000000-0005-0000-0000-0000C21B0000}"/>
    <cellStyle name="Millares 2 5 7 2 4 3 2" xfId="48536" xr:uid="{00000000-0005-0000-0000-0000C31B0000}"/>
    <cellStyle name="Millares 2 5 7 2 4 4" xfId="34974" xr:uid="{00000000-0005-0000-0000-0000C41B0000}"/>
    <cellStyle name="Millares 2 5 7 2 5" xfId="11227" xr:uid="{00000000-0005-0000-0000-0000C51B0000}"/>
    <cellStyle name="Millares 2 5 7 2 5 2" xfId="24795" xr:uid="{00000000-0005-0000-0000-0000C61B0000}"/>
    <cellStyle name="Millares 2 5 7 2 5 2 2" xfId="51928" xr:uid="{00000000-0005-0000-0000-0000C71B0000}"/>
    <cellStyle name="Millares 2 5 7 2 5 3" xfId="38366" xr:uid="{00000000-0005-0000-0000-0000C81B0000}"/>
    <cellStyle name="Millares 2 5 7 2 6" xfId="18014" xr:uid="{00000000-0005-0000-0000-0000C91B0000}"/>
    <cellStyle name="Millares 2 5 7 2 6 2" xfId="45147" xr:uid="{00000000-0005-0000-0000-0000CA1B0000}"/>
    <cellStyle name="Millares 2 5 7 2 7" xfId="31585" xr:uid="{00000000-0005-0000-0000-0000CB1B0000}"/>
    <cellStyle name="Millares 2 5 7 3" xfId="4220" xr:uid="{00000000-0005-0000-0000-0000CC1B0000}"/>
    <cellStyle name="Millares 2 5 7 3 2" xfId="7830" xr:uid="{00000000-0005-0000-0000-0000CD1B0000}"/>
    <cellStyle name="Millares 2 5 7 3 2 2" xfId="14619" xr:uid="{00000000-0005-0000-0000-0000CE1B0000}"/>
    <cellStyle name="Millares 2 5 7 3 2 2 2" xfId="28187" xr:uid="{00000000-0005-0000-0000-0000CF1B0000}"/>
    <cellStyle name="Millares 2 5 7 3 2 2 2 2" xfId="55320" xr:uid="{00000000-0005-0000-0000-0000D01B0000}"/>
    <cellStyle name="Millares 2 5 7 3 2 2 3" xfId="41758" xr:uid="{00000000-0005-0000-0000-0000D11B0000}"/>
    <cellStyle name="Millares 2 5 7 3 2 3" xfId="21406" xr:uid="{00000000-0005-0000-0000-0000D21B0000}"/>
    <cellStyle name="Millares 2 5 7 3 2 3 2" xfId="48539" xr:uid="{00000000-0005-0000-0000-0000D31B0000}"/>
    <cellStyle name="Millares 2 5 7 3 2 4" xfId="34977" xr:uid="{00000000-0005-0000-0000-0000D41B0000}"/>
    <cellStyle name="Millares 2 5 7 3 3" xfId="11230" xr:uid="{00000000-0005-0000-0000-0000D51B0000}"/>
    <cellStyle name="Millares 2 5 7 3 3 2" xfId="24798" xr:uid="{00000000-0005-0000-0000-0000D61B0000}"/>
    <cellStyle name="Millares 2 5 7 3 3 2 2" xfId="51931" xr:uid="{00000000-0005-0000-0000-0000D71B0000}"/>
    <cellStyle name="Millares 2 5 7 3 3 3" xfId="38369" xr:uid="{00000000-0005-0000-0000-0000D81B0000}"/>
    <cellStyle name="Millares 2 5 7 3 4" xfId="18017" xr:uid="{00000000-0005-0000-0000-0000D91B0000}"/>
    <cellStyle name="Millares 2 5 7 3 4 2" xfId="45150" xr:uid="{00000000-0005-0000-0000-0000DA1B0000}"/>
    <cellStyle name="Millares 2 5 7 3 5" xfId="31588" xr:uid="{00000000-0005-0000-0000-0000DB1B0000}"/>
    <cellStyle name="Millares 2 5 7 4" xfId="4221" xr:uid="{00000000-0005-0000-0000-0000DC1B0000}"/>
    <cellStyle name="Millares 2 5 7 4 2" xfId="7831" xr:uid="{00000000-0005-0000-0000-0000DD1B0000}"/>
    <cellStyle name="Millares 2 5 7 4 2 2" xfId="14620" xr:uid="{00000000-0005-0000-0000-0000DE1B0000}"/>
    <cellStyle name="Millares 2 5 7 4 2 2 2" xfId="28188" xr:uid="{00000000-0005-0000-0000-0000DF1B0000}"/>
    <cellStyle name="Millares 2 5 7 4 2 2 2 2" xfId="55321" xr:uid="{00000000-0005-0000-0000-0000E01B0000}"/>
    <cellStyle name="Millares 2 5 7 4 2 2 3" xfId="41759" xr:uid="{00000000-0005-0000-0000-0000E11B0000}"/>
    <cellStyle name="Millares 2 5 7 4 2 3" xfId="21407" xr:uid="{00000000-0005-0000-0000-0000E21B0000}"/>
    <cellStyle name="Millares 2 5 7 4 2 3 2" xfId="48540" xr:uid="{00000000-0005-0000-0000-0000E31B0000}"/>
    <cellStyle name="Millares 2 5 7 4 2 4" xfId="34978" xr:uid="{00000000-0005-0000-0000-0000E41B0000}"/>
    <cellStyle name="Millares 2 5 7 4 3" xfId="11231" xr:uid="{00000000-0005-0000-0000-0000E51B0000}"/>
    <cellStyle name="Millares 2 5 7 4 3 2" xfId="24799" xr:uid="{00000000-0005-0000-0000-0000E61B0000}"/>
    <cellStyle name="Millares 2 5 7 4 3 2 2" xfId="51932" xr:uid="{00000000-0005-0000-0000-0000E71B0000}"/>
    <cellStyle name="Millares 2 5 7 4 3 3" xfId="38370" xr:uid="{00000000-0005-0000-0000-0000E81B0000}"/>
    <cellStyle name="Millares 2 5 7 4 4" xfId="18018" xr:uid="{00000000-0005-0000-0000-0000E91B0000}"/>
    <cellStyle name="Millares 2 5 7 4 4 2" xfId="45151" xr:uid="{00000000-0005-0000-0000-0000EA1B0000}"/>
    <cellStyle name="Millares 2 5 7 4 5" xfId="31589" xr:uid="{00000000-0005-0000-0000-0000EB1B0000}"/>
    <cellStyle name="Millares 2 5 7 5" xfId="7826" xr:uid="{00000000-0005-0000-0000-0000EC1B0000}"/>
    <cellStyle name="Millares 2 5 7 5 2" xfId="14615" xr:uid="{00000000-0005-0000-0000-0000ED1B0000}"/>
    <cellStyle name="Millares 2 5 7 5 2 2" xfId="28183" xr:uid="{00000000-0005-0000-0000-0000EE1B0000}"/>
    <cellStyle name="Millares 2 5 7 5 2 2 2" xfId="55316" xr:uid="{00000000-0005-0000-0000-0000EF1B0000}"/>
    <cellStyle name="Millares 2 5 7 5 2 3" xfId="41754" xr:uid="{00000000-0005-0000-0000-0000F01B0000}"/>
    <cellStyle name="Millares 2 5 7 5 3" xfId="21402" xr:uid="{00000000-0005-0000-0000-0000F11B0000}"/>
    <cellStyle name="Millares 2 5 7 5 3 2" xfId="48535" xr:uid="{00000000-0005-0000-0000-0000F21B0000}"/>
    <cellStyle name="Millares 2 5 7 5 4" xfId="34973" xr:uid="{00000000-0005-0000-0000-0000F31B0000}"/>
    <cellStyle name="Millares 2 5 7 6" xfId="11226" xr:uid="{00000000-0005-0000-0000-0000F41B0000}"/>
    <cellStyle name="Millares 2 5 7 6 2" xfId="24794" xr:uid="{00000000-0005-0000-0000-0000F51B0000}"/>
    <cellStyle name="Millares 2 5 7 6 2 2" xfId="51927" xr:uid="{00000000-0005-0000-0000-0000F61B0000}"/>
    <cellStyle name="Millares 2 5 7 6 3" xfId="38365" xr:uid="{00000000-0005-0000-0000-0000F71B0000}"/>
    <cellStyle name="Millares 2 5 7 7" xfId="18013" xr:uid="{00000000-0005-0000-0000-0000F81B0000}"/>
    <cellStyle name="Millares 2 5 7 7 2" xfId="45146" xr:uid="{00000000-0005-0000-0000-0000F91B0000}"/>
    <cellStyle name="Millares 2 5 7 8" xfId="31584" xr:uid="{00000000-0005-0000-0000-0000FA1B0000}"/>
    <cellStyle name="Millares 2 5 8" xfId="4222" xr:uid="{00000000-0005-0000-0000-0000FB1B0000}"/>
    <cellStyle name="Millares 2 5 8 2" xfId="4223" xr:uid="{00000000-0005-0000-0000-0000FC1B0000}"/>
    <cellStyle name="Millares 2 5 8 2 2" xfId="7833" xr:uid="{00000000-0005-0000-0000-0000FD1B0000}"/>
    <cellStyle name="Millares 2 5 8 2 2 2" xfId="14622" xr:uid="{00000000-0005-0000-0000-0000FE1B0000}"/>
    <cellStyle name="Millares 2 5 8 2 2 2 2" xfId="28190" xr:uid="{00000000-0005-0000-0000-0000FF1B0000}"/>
    <cellStyle name="Millares 2 5 8 2 2 2 2 2" xfId="55323" xr:uid="{00000000-0005-0000-0000-0000001C0000}"/>
    <cellStyle name="Millares 2 5 8 2 2 2 3" xfId="41761" xr:uid="{00000000-0005-0000-0000-0000011C0000}"/>
    <cellStyle name="Millares 2 5 8 2 2 3" xfId="21409" xr:uid="{00000000-0005-0000-0000-0000021C0000}"/>
    <cellStyle name="Millares 2 5 8 2 2 3 2" xfId="48542" xr:uid="{00000000-0005-0000-0000-0000031C0000}"/>
    <cellStyle name="Millares 2 5 8 2 2 4" xfId="34980" xr:uid="{00000000-0005-0000-0000-0000041C0000}"/>
    <cellStyle name="Millares 2 5 8 2 3" xfId="11233" xr:uid="{00000000-0005-0000-0000-0000051C0000}"/>
    <cellStyle name="Millares 2 5 8 2 3 2" xfId="24801" xr:uid="{00000000-0005-0000-0000-0000061C0000}"/>
    <cellStyle name="Millares 2 5 8 2 3 2 2" xfId="51934" xr:uid="{00000000-0005-0000-0000-0000071C0000}"/>
    <cellStyle name="Millares 2 5 8 2 3 3" xfId="38372" xr:uid="{00000000-0005-0000-0000-0000081C0000}"/>
    <cellStyle name="Millares 2 5 8 2 4" xfId="18020" xr:uid="{00000000-0005-0000-0000-0000091C0000}"/>
    <cellStyle name="Millares 2 5 8 2 4 2" xfId="45153" xr:uid="{00000000-0005-0000-0000-00000A1C0000}"/>
    <cellStyle name="Millares 2 5 8 2 5" xfId="31591" xr:uid="{00000000-0005-0000-0000-00000B1C0000}"/>
    <cellStyle name="Millares 2 5 8 3" xfId="4224" xr:uid="{00000000-0005-0000-0000-00000C1C0000}"/>
    <cellStyle name="Millares 2 5 8 3 2" xfId="7834" xr:uid="{00000000-0005-0000-0000-00000D1C0000}"/>
    <cellStyle name="Millares 2 5 8 3 2 2" xfId="14623" xr:uid="{00000000-0005-0000-0000-00000E1C0000}"/>
    <cellStyle name="Millares 2 5 8 3 2 2 2" xfId="28191" xr:uid="{00000000-0005-0000-0000-00000F1C0000}"/>
    <cellStyle name="Millares 2 5 8 3 2 2 2 2" xfId="55324" xr:uid="{00000000-0005-0000-0000-0000101C0000}"/>
    <cellStyle name="Millares 2 5 8 3 2 2 3" xfId="41762" xr:uid="{00000000-0005-0000-0000-0000111C0000}"/>
    <cellStyle name="Millares 2 5 8 3 2 3" xfId="21410" xr:uid="{00000000-0005-0000-0000-0000121C0000}"/>
    <cellStyle name="Millares 2 5 8 3 2 3 2" xfId="48543" xr:uid="{00000000-0005-0000-0000-0000131C0000}"/>
    <cellStyle name="Millares 2 5 8 3 2 4" xfId="34981" xr:uid="{00000000-0005-0000-0000-0000141C0000}"/>
    <cellStyle name="Millares 2 5 8 3 3" xfId="11234" xr:uid="{00000000-0005-0000-0000-0000151C0000}"/>
    <cellStyle name="Millares 2 5 8 3 3 2" xfId="24802" xr:uid="{00000000-0005-0000-0000-0000161C0000}"/>
    <cellStyle name="Millares 2 5 8 3 3 2 2" xfId="51935" xr:uid="{00000000-0005-0000-0000-0000171C0000}"/>
    <cellStyle name="Millares 2 5 8 3 3 3" xfId="38373" xr:uid="{00000000-0005-0000-0000-0000181C0000}"/>
    <cellStyle name="Millares 2 5 8 3 4" xfId="18021" xr:uid="{00000000-0005-0000-0000-0000191C0000}"/>
    <cellStyle name="Millares 2 5 8 3 4 2" xfId="45154" xr:uid="{00000000-0005-0000-0000-00001A1C0000}"/>
    <cellStyle name="Millares 2 5 8 3 5" xfId="31592" xr:uid="{00000000-0005-0000-0000-00001B1C0000}"/>
    <cellStyle name="Millares 2 5 8 4" xfId="7832" xr:uid="{00000000-0005-0000-0000-00001C1C0000}"/>
    <cellStyle name="Millares 2 5 8 4 2" xfId="14621" xr:uid="{00000000-0005-0000-0000-00001D1C0000}"/>
    <cellStyle name="Millares 2 5 8 4 2 2" xfId="28189" xr:uid="{00000000-0005-0000-0000-00001E1C0000}"/>
    <cellStyle name="Millares 2 5 8 4 2 2 2" xfId="55322" xr:uid="{00000000-0005-0000-0000-00001F1C0000}"/>
    <cellStyle name="Millares 2 5 8 4 2 3" xfId="41760" xr:uid="{00000000-0005-0000-0000-0000201C0000}"/>
    <cellStyle name="Millares 2 5 8 4 3" xfId="21408" xr:uid="{00000000-0005-0000-0000-0000211C0000}"/>
    <cellStyle name="Millares 2 5 8 4 3 2" xfId="48541" xr:uid="{00000000-0005-0000-0000-0000221C0000}"/>
    <cellStyle name="Millares 2 5 8 4 4" xfId="34979" xr:uid="{00000000-0005-0000-0000-0000231C0000}"/>
    <cellStyle name="Millares 2 5 8 5" xfId="11232" xr:uid="{00000000-0005-0000-0000-0000241C0000}"/>
    <cellStyle name="Millares 2 5 8 5 2" xfId="24800" xr:uid="{00000000-0005-0000-0000-0000251C0000}"/>
    <cellStyle name="Millares 2 5 8 5 2 2" xfId="51933" xr:uid="{00000000-0005-0000-0000-0000261C0000}"/>
    <cellStyle name="Millares 2 5 8 5 3" xfId="38371" xr:uid="{00000000-0005-0000-0000-0000271C0000}"/>
    <cellStyle name="Millares 2 5 8 6" xfId="18019" xr:uid="{00000000-0005-0000-0000-0000281C0000}"/>
    <cellStyle name="Millares 2 5 8 6 2" xfId="45152" xr:uid="{00000000-0005-0000-0000-0000291C0000}"/>
    <cellStyle name="Millares 2 5 8 7" xfId="31590" xr:uid="{00000000-0005-0000-0000-00002A1C0000}"/>
    <cellStyle name="Millares 2 5 9" xfId="4225" xr:uid="{00000000-0005-0000-0000-00002B1C0000}"/>
    <cellStyle name="Millares 2 5 9 2" xfId="4226" xr:uid="{00000000-0005-0000-0000-00002C1C0000}"/>
    <cellStyle name="Millares 2 5 9 2 2" xfId="7836" xr:uid="{00000000-0005-0000-0000-00002D1C0000}"/>
    <cellStyle name="Millares 2 5 9 2 2 2" xfId="14625" xr:uid="{00000000-0005-0000-0000-00002E1C0000}"/>
    <cellStyle name="Millares 2 5 9 2 2 2 2" xfId="28193" xr:uid="{00000000-0005-0000-0000-00002F1C0000}"/>
    <cellStyle name="Millares 2 5 9 2 2 2 2 2" xfId="55326" xr:uid="{00000000-0005-0000-0000-0000301C0000}"/>
    <cellStyle name="Millares 2 5 9 2 2 2 3" xfId="41764" xr:uid="{00000000-0005-0000-0000-0000311C0000}"/>
    <cellStyle name="Millares 2 5 9 2 2 3" xfId="21412" xr:uid="{00000000-0005-0000-0000-0000321C0000}"/>
    <cellStyle name="Millares 2 5 9 2 2 3 2" xfId="48545" xr:uid="{00000000-0005-0000-0000-0000331C0000}"/>
    <cellStyle name="Millares 2 5 9 2 2 4" xfId="34983" xr:uid="{00000000-0005-0000-0000-0000341C0000}"/>
    <cellStyle name="Millares 2 5 9 2 3" xfId="11236" xr:uid="{00000000-0005-0000-0000-0000351C0000}"/>
    <cellStyle name="Millares 2 5 9 2 3 2" xfId="24804" xr:uid="{00000000-0005-0000-0000-0000361C0000}"/>
    <cellStyle name="Millares 2 5 9 2 3 2 2" xfId="51937" xr:uid="{00000000-0005-0000-0000-0000371C0000}"/>
    <cellStyle name="Millares 2 5 9 2 3 3" xfId="38375" xr:uid="{00000000-0005-0000-0000-0000381C0000}"/>
    <cellStyle name="Millares 2 5 9 2 4" xfId="18023" xr:uid="{00000000-0005-0000-0000-0000391C0000}"/>
    <cellStyle name="Millares 2 5 9 2 4 2" xfId="45156" xr:uid="{00000000-0005-0000-0000-00003A1C0000}"/>
    <cellStyle name="Millares 2 5 9 2 5" xfId="31594" xr:uid="{00000000-0005-0000-0000-00003B1C0000}"/>
    <cellStyle name="Millares 2 5 9 3" xfId="4227" xr:uid="{00000000-0005-0000-0000-00003C1C0000}"/>
    <cellStyle name="Millares 2 5 9 3 2" xfId="7837" xr:uid="{00000000-0005-0000-0000-00003D1C0000}"/>
    <cellStyle name="Millares 2 5 9 3 2 2" xfId="14626" xr:uid="{00000000-0005-0000-0000-00003E1C0000}"/>
    <cellStyle name="Millares 2 5 9 3 2 2 2" xfId="28194" xr:uid="{00000000-0005-0000-0000-00003F1C0000}"/>
    <cellStyle name="Millares 2 5 9 3 2 2 2 2" xfId="55327" xr:uid="{00000000-0005-0000-0000-0000401C0000}"/>
    <cellStyle name="Millares 2 5 9 3 2 2 3" xfId="41765" xr:uid="{00000000-0005-0000-0000-0000411C0000}"/>
    <cellStyle name="Millares 2 5 9 3 2 3" xfId="21413" xr:uid="{00000000-0005-0000-0000-0000421C0000}"/>
    <cellStyle name="Millares 2 5 9 3 2 3 2" xfId="48546" xr:uid="{00000000-0005-0000-0000-0000431C0000}"/>
    <cellStyle name="Millares 2 5 9 3 2 4" xfId="34984" xr:uid="{00000000-0005-0000-0000-0000441C0000}"/>
    <cellStyle name="Millares 2 5 9 3 3" xfId="11237" xr:uid="{00000000-0005-0000-0000-0000451C0000}"/>
    <cellStyle name="Millares 2 5 9 3 3 2" xfId="24805" xr:uid="{00000000-0005-0000-0000-0000461C0000}"/>
    <cellStyle name="Millares 2 5 9 3 3 2 2" xfId="51938" xr:uid="{00000000-0005-0000-0000-0000471C0000}"/>
    <cellStyle name="Millares 2 5 9 3 3 3" xfId="38376" xr:uid="{00000000-0005-0000-0000-0000481C0000}"/>
    <cellStyle name="Millares 2 5 9 3 4" xfId="18024" xr:uid="{00000000-0005-0000-0000-0000491C0000}"/>
    <cellStyle name="Millares 2 5 9 3 4 2" xfId="45157" xr:uid="{00000000-0005-0000-0000-00004A1C0000}"/>
    <cellStyle name="Millares 2 5 9 3 5" xfId="31595" xr:uid="{00000000-0005-0000-0000-00004B1C0000}"/>
    <cellStyle name="Millares 2 5 9 4" xfId="7835" xr:uid="{00000000-0005-0000-0000-00004C1C0000}"/>
    <cellStyle name="Millares 2 5 9 4 2" xfId="14624" xr:uid="{00000000-0005-0000-0000-00004D1C0000}"/>
    <cellStyle name="Millares 2 5 9 4 2 2" xfId="28192" xr:uid="{00000000-0005-0000-0000-00004E1C0000}"/>
    <cellStyle name="Millares 2 5 9 4 2 2 2" xfId="55325" xr:uid="{00000000-0005-0000-0000-00004F1C0000}"/>
    <cellStyle name="Millares 2 5 9 4 2 3" xfId="41763" xr:uid="{00000000-0005-0000-0000-0000501C0000}"/>
    <cellStyle name="Millares 2 5 9 4 3" xfId="21411" xr:uid="{00000000-0005-0000-0000-0000511C0000}"/>
    <cellStyle name="Millares 2 5 9 4 3 2" xfId="48544" xr:uid="{00000000-0005-0000-0000-0000521C0000}"/>
    <cellStyle name="Millares 2 5 9 4 4" xfId="34982" xr:uid="{00000000-0005-0000-0000-0000531C0000}"/>
    <cellStyle name="Millares 2 5 9 5" xfId="11235" xr:uid="{00000000-0005-0000-0000-0000541C0000}"/>
    <cellStyle name="Millares 2 5 9 5 2" xfId="24803" xr:uid="{00000000-0005-0000-0000-0000551C0000}"/>
    <cellStyle name="Millares 2 5 9 5 2 2" xfId="51936" xr:uid="{00000000-0005-0000-0000-0000561C0000}"/>
    <cellStyle name="Millares 2 5 9 5 3" xfId="38374" xr:uid="{00000000-0005-0000-0000-0000571C0000}"/>
    <cellStyle name="Millares 2 5 9 6" xfId="18022" xr:uid="{00000000-0005-0000-0000-0000581C0000}"/>
    <cellStyle name="Millares 2 5 9 6 2" xfId="45155" xr:uid="{00000000-0005-0000-0000-0000591C0000}"/>
    <cellStyle name="Millares 2 5 9 7" xfId="31593" xr:uid="{00000000-0005-0000-0000-00005A1C0000}"/>
    <cellStyle name="Millares 2 50" xfId="2401" xr:uid="{00000000-0005-0000-0000-00005B1C0000}"/>
    <cellStyle name="Millares 2 51" xfId="2402" xr:uid="{00000000-0005-0000-0000-00005C1C0000}"/>
    <cellStyle name="Millares 2 52" xfId="2403" xr:uid="{00000000-0005-0000-0000-00005D1C0000}"/>
    <cellStyle name="Millares 2 53" xfId="2404" xr:uid="{00000000-0005-0000-0000-00005E1C0000}"/>
    <cellStyle name="Millares 2 54" xfId="2405" xr:uid="{00000000-0005-0000-0000-00005F1C0000}"/>
    <cellStyle name="Millares 2 55" xfId="2406" xr:uid="{00000000-0005-0000-0000-0000601C0000}"/>
    <cellStyle name="Millares 2 56" xfId="2407" xr:uid="{00000000-0005-0000-0000-0000611C0000}"/>
    <cellStyle name="Millares 2 57" xfId="10" xr:uid="{00000000-0005-0000-0000-0000621C0000}"/>
    <cellStyle name="Millares 2 57 2" xfId="2408" xr:uid="{00000000-0005-0000-0000-0000631C0000}"/>
    <cellStyle name="Millares 2 58" xfId="2409" xr:uid="{00000000-0005-0000-0000-0000641C0000}"/>
    <cellStyle name="Millares 2 59" xfId="2410" xr:uid="{00000000-0005-0000-0000-0000651C0000}"/>
    <cellStyle name="Millares 2 6" xfId="2411" xr:uid="{00000000-0005-0000-0000-0000661C0000}"/>
    <cellStyle name="Millares 2 6 10" xfId="4228" xr:uid="{00000000-0005-0000-0000-0000671C0000}"/>
    <cellStyle name="Millares 2 6 10 2" xfId="7838" xr:uid="{00000000-0005-0000-0000-0000681C0000}"/>
    <cellStyle name="Millares 2 6 10 2 2" xfId="14627" xr:uid="{00000000-0005-0000-0000-0000691C0000}"/>
    <cellStyle name="Millares 2 6 10 2 2 2" xfId="28195" xr:uid="{00000000-0005-0000-0000-00006A1C0000}"/>
    <cellStyle name="Millares 2 6 10 2 2 2 2" xfId="55328" xr:uid="{00000000-0005-0000-0000-00006B1C0000}"/>
    <cellStyle name="Millares 2 6 10 2 2 3" xfId="41766" xr:uid="{00000000-0005-0000-0000-00006C1C0000}"/>
    <cellStyle name="Millares 2 6 10 2 3" xfId="21414" xr:uid="{00000000-0005-0000-0000-00006D1C0000}"/>
    <cellStyle name="Millares 2 6 10 2 3 2" xfId="48547" xr:uid="{00000000-0005-0000-0000-00006E1C0000}"/>
    <cellStyle name="Millares 2 6 10 2 4" xfId="34985" xr:uid="{00000000-0005-0000-0000-00006F1C0000}"/>
    <cellStyle name="Millares 2 6 10 3" xfId="11238" xr:uid="{00000000-0005-0000-0000-0000701C0000}"/>
    <cellStyle name="Millares 2 6 10 3 2" xfId="24806" xr:uid="{00000000-0005-0000-0000-0000711C0000}"/>
    <cellStyle name="Millares 2 6 10 3 2 2" xfId="51939" xr:uid="{00000000-0005-0000-0000-0000721C0000}"/>
    <cellStyle name="Millares 2 6 10 3 3" xfId="38377" xr:uid="{00000000-0005-0000-0000-0000731C0000}"/>
    <cellStyle name="Millares 2 6 10 4" xfId="18025" xr:uid="{00000000-0005-0000-0000-0000741C0000}"/>
    <cellStyle name="Millares 2 6 10 4 2" xfId="45158" xr:uid="{00000000-0005-0000-0000-0000751C0000}"/>
    <cellStyle name="Millares 2 6 10 5" xfId="31596" xr:uid="{00000000-0005-0000-0000-0000761C0000}"/>
    <cellStyle name="Millares 2 6 11" xfId="4229" xr:uid="{00000000-0005-0000-0000-0000771C0000}"/>
    <cellStyle name="Millares 2 6 11 2" xfId="7839" xr:uid="{00000000-0005-0000-0000-0000781C0000}"/>
    <cellStyle name="Millares 2 6 11 2 2" xfId="14628" xr:uid="{00000000-0005-0000-0000-0000791C0000}"/>
    <cellStyle name="Millares 2 6 11 2 2 2" xfId="28196" xr:uid="{00000000-0005-0000-0000-00007A1C0000}"/>
    <cellStyle name="Millares 2 6 11 2 2 2 2" xfId="55329" xr:uid="{00000000-0005-0000-0000-00007B1C0000}"/>
    <cellStyle name="Millares 2 6 11 2 2 3" xfId="41767" xr:uid="{00000000-0005-0000-0000-00007C1C0000}"/>
    <cellStyle name="Millares 2 6 11 2 3" xfId="21415" xr:uid="{00000000-0005-0000-0000-00007D1C0000}"/>
    <cellStyle name="Millares 2 6 11 2 3 2" xfId="48548" xr:uid="{00000000-0005-0000-0000-00007E1C0000}"/>
    <cellStyle name="Millares 2 6 11 2 4" xfId="34986" xr:uid="{00000000-0005-0000-0000-00007F1C0000}"/>
    <cellStyle name="Millares 2 6 11 3" xfId="11239" xr:uid="{00000000-0005-0000-0000-0000801C0000}"/>
    <cellStyle name="Millares 2 6 11 3 2" xfId="24807" xr:uid="{00000000-0005-0000-0000-0000811C0000}"/>
    <cellStyle name="Millares 2 6 11 3 2 2" xfId="51940" xr:uid="{00000000-0005-0000-0000-0000821C0000}"/>
    <cellStyle name="Millares 2 6 11 3 3" xfId="38378" xr:uid="{00000000-0005-0000-0000-0000831C0000}"/>
    <cellStyle name="Millares 2 6 11 4" xfId="18026" xr:uid="{00000000-0005-0000-0000-0000841C0000}"/>
    <cellStyle name="Millares 2 6 11 4 2" xfId="45159" xr:uid="{00000000-0005-0000-0000-0000851C0000}"/>
    <cellStyle name="Millares 2 6 11 5" xfId="31597" xr:uid="{00000000-0005-0000-0000-0000861C0000}"/>
    <cellStyle name="Millares 2 6 2" xfId="4230" xr:uid="{00000000-0005-0000-0000-0000871C0000}"/>
    <cellStyle name="Millares 2 6 2 10" xfId="7840" xr:uid="{00000000-0005-0000-0000-0000881C0000}"/>
    <cellStyle name="Millares 2 6 2 10 2" xfId="14629" xr:uid="{00000000-0005-0000-0000-0000891C0000}"/>
    <cellStyle name="Millares 2 6 2 10 2 2" xfId="28197" xr:uid="{00000000-0005-0000-0000-00008A1C0000}"/>
    <cellStyle name="Millares 2 6 2 10 2 2 2" xfId="55330" xr:uid="{00000000-0005-0000-0000-00008B1C0000}"/>
    <cellStyle name="Millares 2 6 2 10 2 3" xfId="41768" xr:uid="{00000000-0005-0000-0000-00008C1C0000}"/>
    <cellStyle name="Millares 2 6 2 10 3" xfId="21416" xr:uid="{00000000-0005-0000-0000-00008D1C0000}"/>
    <cellStyle name="Millares 2 6 2 10 3 2" xfId="48549" xr:uid="{00000000-0005-0000-0000-00008E1C0000}"/>
    <cellStyle name="Millares 2 6 2 10 4" xfId="34987" xr:uid="{00000000-0005-0000-0000-00008F1C0000}"/>
    <cellStyle name="Millares 2 6 2 11" xfId="11240" xr:uid="{00000000-0005-0000-0000-0000901C0000}"/>
    <cellStyle name="Millares 2 6 2 11 2" xfId="24808" xr:uid="{00000000-0005-0000-0000-0000911C0000}"/>
    <cellStyle name="Millares 2 6 2 11 2 2" xfId="51941" xr:uid="{00000000-0005-0000-0000-0000921C0000}"/>
    <cellStyle name="Millares 2 6 2 11 3" xfId="38379" xr:uid="{00000000-0005-0000-0000-0000931C0000}"/>
    <cellStyle name="Millares 2 6 2 12" xfId="18027" xr:uid="{00000000-0005-0000-0000-0000941C0000}"/>
    <cellStyle name="Millares 2 6 2 12 2" xfId="45160" xr:uid="{00000000-0005-0000-0000-0000951C0000}"/>
    <cellStyle name="Millares 2 6 2 13" xfId="31598" xr:uid="{00000000-0005-0000-0000-0000961C0000}"/>
    <cellStyle name="Millares 2 6 2 2" xfId="4231" xr:uid="{00000000-0005-0000-0000-0000971C0000}"/>
    <cellStyle name="Millares 2 6 2 2 10" xfId="31599" xr:uid="{00000000-0005-0000-0000-0000981C0000}"/>
    <cellStyle name="Millares 2 6 2 2 2" xfId="4232" xr:uid="{00000000-0005-0000-0000-0000991C0000}"/>
    <cellStyle name="Millares 2 6 2 2 2 2" xfId="4233" xr:uid="{00000000-0005-0000-0000-00009A1C0000}"/>
    <cellStyle name="Millares 2 6 2 2 2 2 2" xfId="4234" xr:uid="{00000000-0005-0000-0000-00009B1C0000}"/>
    <cellStyle name="Millares 2 6 2 2 2 2 2 2" xfId="7844" xr:uid="{00000000-0005-0000-0000-00009C1C0000}"/>
    <cellStyle name="Millares 2 6 2 2 2 2 2 2 2" xfId="14633" xr:uid="{00000000-0005-0000-0000-00009D1C0000}"/>
    <cellStyle name="Millares 2 6 2 2 2 2 2 2 2 2" xfId="28201" xr:uid="{00000000-0005-0000-0000-00009E1C0000}"/>
    <cellStyle name="Millares 2 6 2 2 2 2 2 2 2 2 2" xfId="55334" xr:uid="{00000000-0005-0000-0000-00009F1C0000}"/>
    <cellStyle name="Millares 2 6 2 2 2 2 2 2 2 3" xfId="41772" xr:uid="{00000000-0005-0000-0000-0000A01C0000}"/>
    <cellStyle name="Millares 2 6 2 2 2 2 2 2 3" xfId="21420" xr:uid="{00000000-0005-0000-0000-0000A11C0000}"/>
    <cellStyle name="Millares 2 6 2 2 2 2 2 2 3 2" xfId="48553" xr:uid="{00000000-0005-0000-0000-0000A21C0000}"/>
    <cellStyle name="Millares 2 6 2 2 2 2 2 2 4" xfId="34991" xr:uid="{00000000-0005-0000-0000-0000A31C0000}"/>
    <cellStyle name="Millares 2 6 2 2 2 2 2 3" xfId="11244" xr:uid="{00000000-0005-0000-0000-0000A41C0000}"/>
    <cellStyle name="Millares 2 6 2 2 2 2 2 3 2" xfId="24812" xr:uid="{00000000-0005-0000-0000-0000A51C0000}"/>
    <cellStyle name="Millares 2 6 2 2 2 2 2 3 2 2" xfId="51945" xr:uid="{00000000-0005-0000-0000-0000A61C0000}"/>
    <cellStyle name="Millares 2 6 2 2 2 2 2 3 3" xfId="38383" xr:uid="{00000000-0005-0000-0000-0000A71C0000}"/>
    <cellStyle name="Millares 2 6 2 2 2 2 2 4" xfId="18031" xr:uid="{00000000-0005-0000-0000-0000A81C0000}"/>
    <cellStyle name="Millares 2 6 2 2 2 2 2 4 2" xfId="45164" xr:uid="{00000000-0005-0000-0000-0000A91C0000}"/>
    <cellStyle name="Millares 2 6 2 2 2 2 2 5" xfId="31602" xr:uid="{00000000-0005-0000-0000-0000AA1C0000}"/>
    <cellStyle name="Millares 2 6 2 2 2 2 3" xfId="4235" xr:uid="{00000000-0005-0000-0000-0000AB1C0000}"/>
    <cellStyle name="Millares 2 6 2 2 2 2 3 2" xfId="7845" xr:uid="{00000000-0005-0000-0000-0000AC1C0000}"/>
    <cellStyle name="Millares 2 6 2 2 2 2 3 2 2" xfId="14634" xr:uid="{00000000-0005-0000-0000-0000AD1C0000}"/>
    <cellStyle name="Millares 2 6 2 2 2 2 3 2 2 2" xfId="28202" xr:uid="{00000000-0005-0000-0000-0000AE1C0000}"/>
    <cellStyle name="Millares 2 6 2 2 2 2 3 2 2 2 2" xfId="55335" xr:uid="{00000000-0005-0000-0000-0000AF1C0000}"/>
    <cellStyle name="Millares 2 6 2 2 2 2 3 2 2 3" xfId="41773" xr:uid="{00000000-0005-0000-0000-0000B01C0000}"/>
    <cellStyle name="Millares 2 6 2 2 2 2 3 2 3" xfId="21421" xr:uid="{00000000-0005-0000-0000-0000B11C0000}"/>
    <cellStyle name="Millares 2 6 2 2 2 2 3 2 3 2" xfId="48554" xr:uid="{00000000-0005-0000-0000-0000B21C0000}"/>
    <cellStyle name="Millares 2 6 2 2 2 2 3 2 4" xfId="34992" xr:uid="{00000000-0005-0000-0000-0000B31C0000}"/>
    <cellStyle name="Millares 2 6 2 2 2 2 3 3" xfId="11245" xr:uid="{00000000-0005-0000-0000-0000B41C0000}"/>
    <cellStyle name="Millares 2 6 2 2 2 2 3 3 2" xfId="24813" xr:uid="{00000000-0005-0000-0000-0000B51C0000}"/>
    <cellStyle name="Millares 2 6 2 2 2 2 3 3 2 2" xfId="51946" xr:uid="{00000000-0005-0000-0000-0000B61C0000}"/>
    <cellStyle name="Millares 2 6 2 2 2 2 3 3 3" xfId="38384" xr:uid="{00000000-0005-0000-0000-0000B71C0000}"/>
    <cellStyle name="Millares 2 6 2 2 2 2 3 4" xfId="18032" xr:uid="{00000000-0005-0000-0000-0000B81C0000}"/>
    <cellStyle name="Millares 2 6 2 2 2 2 3 4 2" xfId="45165" xr:uid="{00000000-0005-0000-0000-0000B91C0000}"/>
    <cellStyle name="Millares 2 6 2 2 2 2 3 5" xfId="31603" xr:uid="{00000000-0005-0000-0000-0000BA1C0000}"/>
    <cellStyle name="Millares 2 6 2 2 2 2 4" xfId="7843" xr:uid="{00000000-0005-0000-0000-0000BB1C0000}"/>
    <cellStyle name="Millares 2 6 2 2 2 2 4 2" xfId="14632" xr:uid="{00000000-0005-0000-0000-0000BC1C0000}"/>
    <cellStyle name="Millares 2 6 2 2 2 2 4 2 2" xfId="28200" xr:uid="{00000000-0005-0000-0000-0000BD1C0000}"/>
    <cellStyle name="Millares 2 6 2 2 2 2 4 2 2 2" xfId="55333" xr:uid="{00000000-0005-0000-0000-0000BE1C0000}"/>
    <cellStyle name="Millares 2 6 2 2 2 2 4 2 3" xfId="41771" xr:uid="{00000000-0005-0000-0000-0000BF1C0000}"/>
    <cellStyle name="Millares 2 6 2 2 2 2 4 3" xfId="21419" xr:uid="{00000000-0005-0000-0000-0000C01C0000}"/>
    <cellStyle name="Millares 2 6 2 2 2 2 4 3 2" xfId="48552" xr:uid="{00000000-0005-0000-0000-0000C11C0000}"/>
    <cellStyle name="Millares 2 6 2 2 2 2 4 4" xfId="34990" xr:uid="{00000000-0005-0000-0000-0000C21C0000}"/>
    <cellStyle name="Millares 2 6 2 2 2 2 5" xfId="11243" xr:uid="{00000000-0005-0000-0000-0000C31C0000}"/>
    <cellStyle name="Millares 2 6 2 2 2 2 5 2" xfId="24811" xr:uid="{00000000-0005-0000-0000-0000C41C0000}"/>
    <cellStyle name="Millares 2 6 2 2 2 2 5 2 2" xfId="51944" xr:uid="{00000000-0005-0000-0000-0000C51C0000}"/>
    <cellStyle name="Millares 2 6 2 2 2 2 5 3" xfId="38382" xr:uid="{00000000-0005-0000-0000-0000C61C0000}"/>
    <cellStyle name="Millares 2 6 2 2 2 2 6" xfId="18030" xr:uid="{00000000-0005-0000-0000-0000C71C0000}"/>
    <cellStyle name="Millares 2 6 2 2 2 2 6 2" xfId="45163" xr:uid="{00000000-0005-0000-0000-0000C81C0000}"/>
    <cellStyle name="Millares 2 6 2 2 2 2 7" xfId="31601" xr:uid="{00000000-0005-0000-0000-0000C91C0000}"/>
    <cellStyle name="Millares 2 6 2 2 2 3" xfId="4236" xr:uid="{00000000-0005-0000-0000-0000CA1C0000}"/>
    <cellStyle name="Millares 2 6 2 2 2 3 2" xfId="4237" xr:uid="{00000000-0005-0000-0000-0000CB1C0000}"/>
    <cellStyle name="Millares 2 6 2 2 2 3 2 2" xfId="7847" xr:uid="{00000000-0005-0000-0000-0000CC1C0000}"/>
    <cellStyle name="Millares 2 6 2 2 2 3 2 2 2" xfId="14636" xr:uid="{00000000-0005-0000-0000-0000CD1C0000}"/>
    <cellStyle name="Millares 2 6 2 2 2 3 2 2 2 2" xfId="28204" xr:uid="{00000000-0005-0000-0000-0000CE1C0000}"/>
    <cellStyle name="Millares 2 6 2 2 2 3 2 2 2 2 2" xfId="55337" xr:uid="{00000000-0005-0000-0000-0000CF1C0000}"/>
    <cellStyle name="Millares 2 6 2 2 2 3 2 2 2 3" xfId="41775" xr:uid="{00000000-0005-0000-0000-0000D01C0000}"/>
    <cellStyle name="Millares 2 6 2 2 2 3 2 2 3" xfId="21423" xr:uid="{00000000-0005-0000-0000-0000D11C0000}"/>
    <cellStyle name="Millares 2 6 2 2 2 3 2 2 3 2" xfId="48556" xr:uid="{00000000-0005-0000-0000-0000D21C0000}"/>
    <cellStyle name="Millares 2 6 2 2 2 3 2 2 4" xfId="34994" xr:uid="{00000000-0005-0000-0000-0000D31C0000}"/>
    <cellStyle name="Millares 2 6 2 2 2 3 2 3" xfId="11247" xr:uid="{00000000-0005-0000-0000-0000D41C0000}"/>
    <cellStyle name="Millares 2 6 2 2 2 3 2 3 2" xfId="24815" xr:uid="{00000000-0005-0000-0000-0000D51C0000}"/>
    <cellStyle name="Millares 2 6 2 2 2 3 2 3 2 2" xfId="51948" xr:uid="{00000000-0005-0000-0000-0000D61C0000}"/>
    <cellStyle name="Millares 2 6 2 2 2 3 2 3 3" xfId="38386" xr:uid="{00000000-0005-0000-0000-0000D71C0000}"/>
    <cellStyle name="Millares 2 6 2 2 2 3 2 4" xfId="18034" xr:uid="{00000000-0005-0000-0000-0000D81C0000}"/>
    <cellStyle name="Millares 2 6 2 2 2 3 2 4 2" xfId="45167" xr:uid="{00000000-0005-0000-0000-0000D91C0000}"/>
    <cellStyle name="Millares 2 6 2 2 2 3 2 5" xfId="31605" xr:uid="{00000000-0005-0000-0000-0000DA1C0000}"/>
    <cellStyle name="Millares 2 6 2 2 2 3 3" xfId="7846" xr:uid="{00000000-0005-0000-0000-0000DB1C0000}"/>
    <cellStyle name="Millares 2 6 2 2 2 3 3 2" xfId="14635" xr:uid="{00000000-0005-0000-0000-0000DC1C0000}"/>
    <cellStyle name="Millares 2 6 2 2 2 3 3 2 2" xfId="28203" xr:uid="{00000000-0005-0000-0000-0000DD1C0000}"/>
    <cellStyle name="Millares 2 6 2 2 2 3 3 2 2 2" xfId="55336" xr:uid="{00000000-0005-0000-0000-0000DE1C0000}"/>
    <cellStyle name="Millares 2 6 2 2 2 3 3 2 3" xfId="41774" xr:uid="{00000000-0005-0000-0000-0000DF1C0000}"/>
    <cellStyle name="Millares 2 6 2 2 2 3 3 3" xfId="21422" xr:uid="{00000000-0005-0000-0000-0000E01C0000}"/>
    <cellStyle name="Millares 2 6 2 2 2 3 3 3 2" xfId="48555" xr:uid="{00000000-0005-0000-0000-0000E11C0000}"/>
    <cellStyle name="Millares 2 6 2 2 2 3 3 4" xfId="34993" xr:uid="{00000000-0005-0000-0000-0000E21C0000}"/>
    <cellStyle name="Millares 2 6 2 2 2 3 4" xfId="11246" xr:uid="{00000000-0005-0000-0000-0000E31C0000}"/>
    <cellStyle name="Millares 2 6 2 2 2 3 4 2" xfId="24814" xr:uid="{00000000-0005-0000-0000-0000E41C0000}"/>
    <cellStyle name="Millares 2 6 2 2 2 3 4 2 2" xfId="51947" xr:uid="{00000000-0005-0000-0000-0000E51C0000}"/>
    <cellStyle name="Millares 2 6 2 2 2 3 4 3" xfId="38385" xr:uid="{00000000-0005-0000-0000-0000E61C0000}"/>
    <cellStyle name="Millares 2 6 2 2 2 3 5" xfId="18033" xr:uid="{00000000-0005-0000-0000-0000E71C0000}"/>
    <cellStyle name="Millares 2 6 2 2 2 3 5 2" xfId="45166" xr:uid="{00000000-0005-0000-0000-0000E81C0000}"/>
    <cellStyle name="Millares 2 6 2 2 2 3 6" xfId="31604" xr:uid="{00000000-0005-0000-0000-0000E91C0000}"/>
    <cellStyle name="Millares 2 6 2 2 2 4" xfId="4238" xr:uid="{00000000-0005-0000-0000-0000EA1C0000}"/>
    <cellStyle name="Millares 2 6 2 2 2 4 2" xfId="7848" xr:uid="{00000000-0005-0000-0000-0000EB1C0000}"/>
    <cellStyle name="Millares 2 6 2 2 2 4 2 2" xfId="14637" xr:uid="{00000000-0005-0000-0000-0000EC1C0000}"/>
    <cellStyle name="Millares 2 6 2 2 2 4 2 2 2" xfId="28205" xr:uid="{00000000-0005-0000-0000-0000ED1C0000}"/>
    <cellStyle name="Millares 2 6 2 2 2 4 2 2 2 2" xfId="55338" xr:uid="{00000000-0005-0000-0000-0000EE1C0000}"/>
    <cellStyle name="Millares 2 6 2 2 2 4 2 2 3" xfId="41776" xr:uid="{00000000-0005-0000-0000-0000EF1C0000}"/>
    <cellStyle name="Millares 2 6 2 2 2 4 2 3" xfId="21424" xr:uid="{00000000-0005-0000-0000-0000F01C0000}"/>
    <cellStyle name="Millares 2 6 2 2 2 4 2 3 2" xfId="48557" xr:uid="{00000000-0005-0000-0000-0000F11C0000}"/>
    <cellStyle name="Millares 2 6 2 2 2 4 2 4" xfId="34995" xr:uid="{00000000-0005-0000-0000-0000F21C0000}"/>
    <cellStyle name="Millares 2 6 2 2 2 4 3" xfId="11248" xr:uid="{00000000-0005-0000-0000-0000F31C0000}"/>
    <cellStyle name="Millares 2 6 2 2 2 4 3 2" xfId="24816" xr:uid="{00000000-0005-0000-0000-0000F41C0000}"/>
    <cellStyle name="Millares 2 6 2 2 2 4 3 2 2" xfId="51949" xr:uid="{00000000-0005-0000-0000-0000F51C0000}"/>
    <cellStyle name="Millares 2 6 2 2 2 4 3 3" xfId="38387" xr:uid="{00000000-0005-0000-0000-0000F61C0000}"/>
    <cellStyle name="Millares 2 6 2 2 2 4 4" xfId="18035" xr:uid="{00000000-0005-0000-0000-0000F71C0000}"/>
    <cellStyle name="Millares 2 6 2 2 2 4 4 2" xfId="45168" xr:uid="{00000000-0005-0000-0000-0000F81C0000}"/>
    <cellStyle name="Millares 2 6 2 2 2 4 5" xfId="31606" xr:uid="{00000000-0005-0000-0000-0000F91C0000}"/>
    <cellStyle name="Millares 2 6 2 2 2 5" xfId="4239" xr:uid="{00000000-0005-0000-0000-0000FA1C0000}"/>
    <cellStyle name="Millares 2 6 2 2 2 5 2" xfId="7849" xr:uid="{00000000-0005-0000-0000-0000FB1C0000}"/>
    <cellStyle name="Millares 2 6 2 2 2 5 2 2" xfId="14638" xr:uid="{00000000-0005-0000-0000-0000FC1C0000}"/>
    <cellStyle name="Millares 2 6 2 2 2 5 2 2 2" xfId="28206" xr:uid="{00000000-0005-0000-0000-0000FD1C0000}"/>
    <cellStyle name="Millares 2 6 2 2 2 5 2 2 2 2" xfId="55339" xr:uid="{00000000-0005-0000-0000-0000FE1C0000}"/>
    <cellStyle name="Millares 2 6 2 2 2 5 2 2 3" xfId="41777" xr:uid="{00000000-0005-0000-0000-0000FF1C0000}"/>
    <cellStyle name="Millares 2 6 2 2 2 5 2 3" xfId="21425" xr:uid="{00000000-0005-0000-0000-0000001D0000}"/>
    <cellStyle name="Millares 2 6 2 2 2 5 2 3 2" xfId="48558" xr:uid="{00000000-0005-0000-0000-0000011D0000}"/>
    <cellStyle name="Millares 2 6 2 2 2 5 2 4" xfId="34996" xr:uid="{00000000-0005-0000-0000-0000021D0000}"/>
    <cellStyle name="Millares 2 6 2 2 2 5 3" xfId="11249" xr:uid="{00000000-0005-0000-0000-0000031D0000}"/>
    <cellStyle name="Millares 2 6 2 2 2 5 3 2" xfId="24817" xr:uid="{00000000-0005-0000-0000-0000041D0000}"/>
    <cellStyle name="Millares 2 6 2 2 2 5 3 2 2" xfId="51950" xr:uid="{00000000-0005-0000-0000-0000051D0000}"/>
    <cellStyle name="Millares 2 6 2 2 2 5 3 3" xfId="38388" xr:uid="{00000000-0005-0000-0000-0000061D0000}"/>
    <cellStyle name="Millares 2 6 2 2 2 5 4" xfId="18036" xr:uid="{00000000-0005-0000-0000-0000071D0000}"/>
    <cellStyle name="Millares 2 6 2 2 2 5 4 2" xfId="45169" xr:uid="{00000000-0005-0000-0000-0000081D0000}"/>
    <cellStyle name="Millares 2 6 2 2 2 5 5" xfId="31607" xr:uid="{00000000-0005-0000-0000-0000091D0000}"/>
    <cellStyle name="Millares 2 6 2 2 2 6" xfId="7842" xr:uid="{00000000-0005-0000-0000-00000A1D0000}"/>
    <cellStyle name="Millares 2 6 2 2 2 6 2" xfId="14631" xr:uid="{00000000-0005-0000-0000-00000B1D0000}"/>
    <cellStyle name="Millares 2 6 2 2 2 6 2 2" xfId="28199" xr:uid="{00000000-0005-0000-0000-00000C1D0000}"/>
    <cellStyle name="Millares 2 6 2 2 2 6 2 2 2" xfId="55332" xr:uid="{00000000-0005-0000-0000-00000D1D0000}"/>
    <cellStyle name="Millares 2 6 2 2 2 6 2 3" xfId="41770" xr:uid="{00000000-0005-0000-0000-00000E1D0000}"/>
    <cellStyle name="Millares 2 6 2 2 2 6 3" xfId="21418" xr:uid="{00000000-0005-0000-0000-00000F1D0000}"/>
    <cellStyle name="Millares 2 6 2 2 2 6 3 2" xfId="48551" xr:uid="{00000000-0005-0000-0000-0000101D0000}"/>
    <cellStyle name="Millares 2 6 2 2 2 6 4" xfId="34989" xr:uid="{00000000-0005-0000-0000-0000111D0000}"/>
    <cellStyle name="Millares 2 6 2 2 2 7" xfId="11242" xr:uid="{00000000-0005-0000-0000-0000121D0000}"/>
    <cellStyle name="Millares 2 6 2 2 2 7 2" xfId="24810" xr:uid="{00000000-0005-0000-0000-0000131D0000}"/>
    <cellStyle name="Millares 2 6 2 2 2 7 2 2" xfId="51943" xr:uid="{00000000-0005-0000-0000-0000141D0000}"/>
    <cellStyle name="Millares 2 6 2 2 2 7 3" xfId="38381" xr:uid="{00000000-0005-0000-0000-0000151D0000}"/>
    <cellStyle name="Millares 2 6 2 2 2 8" xfId="18029" xr:uid="{00000000-0005-0000-0000-0000161D0000}"/>
    <cellStyle name="Millares 2 6 2 2 2 8 2" xfId="45162" xr:uid="{00000000-0005-0000-0000-0000171D0000}"/>
    <cellStyle name="Millares 2 6 2 2 2 9" xfId="31600" xr:uid="{00000000-0005-0000-0000-0000181D0000}"/>
    <cellStyle name="Millares 2 6 2 2 3" xfId="4240" xr:uid="{00000000-0005-0000-0000-0000191D0000}"/>
    <cellStyle name="Millares 2 6 2 2 3 2" xfId="4241" xr:uid="{00000000-0005-0000-0000-00001A1D0000}"/>
    <cellStyle name="Millares 2 6 2 2 3 2 2" xfId="7851" xr:uid="{00000000-0005-0000-0000-00001B1D0000}"/>
    <cellStyle name="Millares 2 6 2 2 3 2 2 2" xfId="14640" xr:uid="{00000000-0005-0000-0000-00001C1D0000}"/>
    <cellStyle name="Millares 2 6 2 2 3 2 2 2 2" xfId="28208" xr:uid="{00000000-0005-0000-0000-00001D1D0000}"/>
    <cellStyle name="Millares 2 6 2 2 3 2 2 2 2 2" xfId="55341" xr:uid="{00000000-0005-0000-0000-00001E1D0000}"/>
    <cellStyle name="Millares 2 6 2 2 3 2 2 2 3" xfId="41779" xr:uid="{00000000-0005-0000-0000-00001F1D0000}"/>
    <cellStyle name="Millares 2 6 2 2 3 2 2 3" xfId="21427" xr:uid="{00000000-0005-0000-0000-0000201D0000}"/>
    <cellStyle name="Millares 2 6 2 2 3 2 2 3 2" xfId="48560" xr:uid="{00000000-0005-0000-0000-0000211D0000}"/>
    <cellStyle name="Millares 2 6 2 2 3 2 2 4" xfId="34998" xr:uid="{00000000-0005-0000-0000-0000221D0000}"/>
    <cellStyle name="Millares 2 6 2 2 3 2 3" xfId="11251" xr:uid="{00000000-0005-0000-0000-0000231D0000}"/>
    <cellStyle name="Millares 2 6 2 2 3 2 3 2" xfId="24819" xr:uid="{00000000-0005-0000-0000-0000241D0000}"/>
    <cellStyle name="Millares 2 6 2 2 3 2 3 2 2" xfId="51952" xr:uid="{00000000-0005-0000-0000-0000251D0000}"/>
    <cellStyle name="Millares 2 6 2 2 3 2 3 3" xfId="38390" xr:uid="{00000000-0005-0000-0000-0000261D0000}"/>
    <cellStyle name="Millares 2 6 2 2 3 2 4" xfId="18038" xr:uid="{00000000-0005-0000-0000-0000271D0000}"/>
    <cellStyle name="Millares 2 6 2 2 3 2 4 2" xfId="45171" xr:uid="{00000000-0005-0000-0000-0000281D0000}"/>
    <cellStyle name="Millares 2 6 2 2 3 2 5" xfId="31609" xr:uid="{00000000-0005-0000-0000-0000291D0000}"/>
    <cellStyle name="Millares 2 6 2 2 3 3" xfId="4242" xr:uid="{00000000-0005-0000-0000-00002A1D0000}"/>
    <cellStyle name="Millares 2 6 2 2 3 3 2" xfId="7852" xr:uid="{00000000-0005-0000-0000-00002B1D0000}"/>
    <cellStyle name="Millares 2 6 2 2 3 3 2 2" xfId="14641" xr:uid="{00000000-0005-0000-0000-00002C1D0000}"/>
    <cellStyle name="Millares 2 6 2 2 3 3 2 2 2" xfId="28209" xr:uid="{00000000-0005-0000-0000-00002D1D0000}"/>
    <cellStyle name="Millares 2 6 2 2 3 3 2 2 2 2" xfId="55342" xr:uid="{00000000-0005-0000-0000-00002E1D0000}"/>
    <cellStyle name="Millares 2 6 2 2 3 3 2 2 3" xfId="41780" xr:uid="{00000000-0005-0000-0000-00002F1D0000}"/>
    <cellStyle name="Millares 2 6 2 2 3 3 2 3" xfId="21428" xr:uid="{00000000-0005-0000-0000-0000301D0000}"/>
    <cellStyle name="Millares 2 6 2 2 3 3 2 3 2" xfId="48561" xr:uid="{00000000-0005-0000-0000-0000311D0000}"/>
    <cellStyle name="Millares 2 6 2 2 3 3 2 4" xfId="34999" xr:uid="{00000000-0005-0000-0000-0000321D0000}"/>
    <cellStyle name="Millares 2 6 2 2 3 3 3" xfId="11252" xr:uid="{00000000-0005-0000-0000-0000331D0000}"/>
    <cellStyle name="Millares 2 6 2 2 3 3 3 2" xfId="24820" xr:uid="{00000000-0005-0000-0000-0000341D0000}"/>
    <cellStyle name="Millares 2 6 2 2 3 3 3 2 2" xfId="51953" xr:uid="{00000000-0005-0000-0000-0000351D0000}"/>
    <cellStyle name="Millares 2 6 2 2 3 3 3 3" xfId="38391" xr:uid="{00000000-0005-0000-0000-0000361D0000}"/>
    <cellStyle name="Millares 2 6 2 2 3 3 4" xfId="18039" xr:uid="{00000000-0005-0000-0000-0000371D0000}"/>
    <cellStyle name="Millares 2 6 2 2 3 3 4 2" xfId="45172" xr:uid="{00000000-0005-0000-0000-0000381D0000}"/>
    <cellStyle name="Millares 2 6 2 2 3 3 5" xfId="31610" xr:uid="{00000000-0005-0000-0000-0000391D0000}"/>
    <cellStyle name="Millares 2 6 2 2 3 4" xfId="7850" xr:uid="{00000000-0005-0000-0000-00003A1D0000}"/>
    <cellStyle name="Millares 2 6 2 2 3 4 2" xfId="14639" xr:uid="{00000000-0005-0000-0000-00003B1D0000}"/>
    <cellStyle name="Millares 2 6 2 2 3 4 2 2" xfId="28207" xr:uid="{00000000-0005-0000-0000-00003C1D0000}"/>
    <cellStyle name="Millares 2 6 2 2 3 4 2 2 2" xfId="55340" xr:uid="{00000000-0005-0000-0000-00003D1D0000}"/>
    <cellStyle name="Millares 2 6 2 2 3 4 2 3" xfId="41778" xr:uid="{00000000-0005-0000-0000-00003E1D0000}"/>
    <cellStyle name="Millares 2 6 2 2 3 4 3" xfId="21426" xr:uid="{00000000-0005-0000-0000-00003F1D0000}"/>
    <cellStyle name="Millares 2 6 2 2 3 4 3 2" xfId="48559" xr:uid="{00000000-0005-0000-0000-0000401D0000}"/>
    <cellStyle name="Millares 2 6 2 2 3 4 4" xfId="34997" xr:uid="{00000000-0005-0000-0000-0000411D0000}"/>
    <cellStyle name="Millares 2 6 2 2 3 5" xfId="11250" xr:uid="{00000000-0005-0000-0000-0000421D0000}"/>
    <cellStyle name="Millares 2 6 2 2 3 5 2" xfId="24818" xr:uid="{00000000-0005-0000-0000-0000431D0000}"/>
    <cellStyle name="Millares 2 6 2 2 3 5 2 2" xfId="51951" xr:uid="{00000000-0005-0000-0000-0000441D0000}"/>
    <cellStyle name="Millares 2 6 2 2 3 5 3" xfId="38389" xr:uid="{00000000-0005-0000-0000-0000451D0000}"/>
    <cellStyle name="Millares 2 6 2 2 3 6" xfId="18037" xr:uid="{00000000-0005-0000-0000-0000461D0000}"/>
    <cellStyle name="Millares 2 6 2 2 3 6 2" xfId="45170" xr:uid="{00000000-0005-0000-0000-0000471D0000}"/>
    <cellStyle name="Millares 2 6 2 2 3 7" xfId="31608" xr:uid="{00000000-0005-0000-0000-0000481D0000}"/>
    <cellStyle name="Millares 2 6 2 2 4" xfId="4243" xr:uid="{00000000-0005-0000-0000-0000491D0000}"/>
    <cellStyle name="Millares 2 6 2 2 4 2" xfId="4244" xr:uid="{00000000-0005-0000-0000-00004A1D0000}"/>
    <cellStyle name="Millares 2 6 2 2 4 2 2" xfId="7854" xr:uid="{00000000-0005-0000-0000-00004B1D0000}"/>
    <cellStyle name="Millares 2 6 2 2 4 2 2 2" xfId="14643" xr:uid="{00000000-0005-0000-0000-00004C1D0000}"/>
    <cellStyle name="Millares 2 6 2 2 4 2 2 2 2" xfId="28211" xr:uid="{00000000-0005-0000-0000-00004D1D0000}"/>
    <cellStyle name="Millares 2 6 2 2 4 2 2 2 2 2" xfId="55344" xr:uid="{00000000-0005-0000-0000-00004E1D0000}"/>
    <cellStyle name="Millares 2 6 2 2 4 2 2 2 3" xfId="41782" xr:uid="{00000000-0005-0000-0000-00004F1D0000}"/>
    <cellStyle name="Millares 2 6 2 2 4 2 2 3" xfId="21430" xr:uid="{00000000-0005-0000-0000-0000501D0000}"/>
    <cellStyle name="Millares 2 6 2 2 4 2 2 3 2" xfId="48563" xr:uid="{00000000-0005-0000-0000-0000511D0000}"/>
    <cellStyle name="Millares 2 6 2 2 4 2 2 4" xfId="35001" xr:uid="{00000000-0005-0000-0000-0000521D0000}"/>
    <cellStyle name="Millares 2 6 2 2 4 2 3" xfId="11254" xr:uid="{00000000-0005-0000-0000-0000531D0000}"/>
    <cellStyle name="Millares 2 6 2 2 4 2 3 2" xfId="24822" xr:uid="{00000000-0005-0000-0000-0000541D0000}"/>
    <cellStyle name="Millares 2 6 2 2 4 2 3 2 2" xfId="51955" xr:uid="{00000000-0005-0000-0000-0000551D0000}"/>
    <cellStyle name="Millares 2 6 2 2 4 2 3 3" xfId="38393" xr:uid="{00000000-0005-0000-0000-0000561D0000}"/>
    <cellStyle name="Millares 2 6 2 2 4 2 4" xfId="18041" xr:uid="{00000000-0005-0000-0000-0000571D0000}"/>
    <cellStyle name="Millares 2 6 2 2 4 2 4 2" xfId="45174" xr:uid="{00000000-0005-0000-0000-0000581D0000}"/>
    <cellStyle name="Millares 2 6 2 2 4 2 5" xfId="31612" xr:uid="{00000000-0005-0000-0000-0000591D0000}"/>
    <cellStyle name="Millares 2 6 2 2 4 3" xfId="7853" xr:uid="{00000000-0005-0000-0000-00005A1D0000}"/>
    <cellStyle name="Millares 2 6 2 2 4 3 2" xfId="14642" xr:uid="{00000000-0005-0000-0000-00005B1D0000}"/>
    <cellStyle name="Millares 2 6 2 2 4 3 2 2" xfId="28210" xr:uid="{00000000-0005-0000-0000-00005C1D0000}"/>
    <cellStyle name="Millares 2 6 2 2 4 3 2 2 2" xfId="55343" xr:uid="{00000000-0005-0000-0000-00005D1D0000}"/>
    <cellStyle name="Millares 2 6 2 2 4 3 2 3" xfId="41781" xr:uid="{00000000-0005-0000-0000-00005E1D0000}"/>
    <cellStyle name="Millares 2 6 2 2 4 3 3" xfId="21429" xr:uid="{00000000-0005-0000-0000-00005F1D0000}"/>
    <cellStyle name="Millares 2 6 2 2 4 3 3 2" xfId="48562" xr:uid="{00000000-0005-0000-0000-0000601D0000}"/>
    <cellStyle name="Millares 2 6 2 2 4 3 4" xfId="35000" xr:uid="{00000000-0005-0000-0000-0000611D0000}"/>
    <cellStyle name="Millares 2 6 2 2 4 4" xfId="11253" xr:uid="{00000000-0005-0000-0000-0000621D0000}"/>
    <cellStyle name="Millares 2 6 2 2 4 4 2" xfId="24821" xr:uid="{00000000-0005-0000-0000-0000631D0000}"/>
    <cellStyle name="Millares 2 6 2 2 4 4 2 2" xfId="51954" xr:uid="{00000000-0005-0000-0000-0000641D0000}"/>
    <cellStyle name="Millares 2 6 2 2 4 4 3" xfId="38392" xr:uid="{00000000-0005-0000-0000-0000651D0000}"/>
    <cellStyle name="Millares 2 6 2 2 4 5" xfId="18040" xr:uid="{00000000-0005-0000-0000-0000661D0000}"/>
    <cellStyle name="Millares 2 6 2 2 4 5 2" xfId="45173" xr:uid="{00000000-0005-0000-0000-0000671D0000}"/>
    <cellStyle name="Millares 2 6 2 2 4 6" xfId="31611" xr:uid="{00000000-0005-0000-0000-0000681D0000}"/>
    <cellStyle name="Millares 2 6 2 2 5" xfId="4245" xr:uid="{00000000-0005-0000-0000-0000691D0000}"/>
    <cellStyle name="Millares 2 6 2 2 5 2" xfId="7855" xr:uid="{00000000-0005-0000-0000-00006A1D0000}"/>
    <cellStyle name="Millares 2 6 2 2 5 2 2" xfId="14644" xr:uid="{00000000-0005-0000-0000-00006B1D0000}"/>
    <cellStyle name="Millares 2 6 2 2 5 2 2 2" xfId="28212" xr:uid="{00000000-0005-0000-0000-00006C1D0000}"/>
    <cellStyle name="Millares 2 6 2 2 5 2 2 2 2" xfId="55345" xr:uid="{00000000-0005-0000-0000-00006D1D0000}"/>
    <cellStyle name="Millares 2 6 2 2 5 2 2 3" xfId="41783" xr:uid="{00000000-0005-0000-0000-00006E1D0000}"/>
    <cellStyle name="Millares 2 6 2 2 5 2 3" xfId="21431" xr:uid="{00000000-0005-0000-0000-00006F1D0000}"/>
    <cellStyle name="Millares 2 6 2 2 5 2 3 2" xfId="48564" xr:uid="{00000000-0005-0000-0000-0000701D0000}"/>
    <cellStyle name="Millares 2 6 2 2 5 2 4" xfId="35002" xr:uid="{00000000-0005-0000-0000-0000711D0000}"/>
    <cellStyle name="Millares 2 6 2 2 5 3" xfId="11255" xr:uid="{00000000-0005-0000-0000-0000721D0000}"/>
    <cellStyle name="Millares 2 6 2 2 5 3 2" xfId="24823" xr:uid="{00000000-0005-0000-0000-0000731D0000}"/>
    <cellStyle name="Millares 2 6 2 2 5 3 2 2" xfId="51956" xr:uid="{00000000-0005-0000-0000-0000741D0000}"/>
    <cellStyle name="Millares 2 6 2 2 5 3 3" xfId="38394" xr:uid="{00000000-0005-0000-0000-0000751D0000}"/>
    <cellStyle name="Millares 2 6 2 2 5 4" xfId="18042" xr:uid="{00000000-0005-0000-0000-0000761D0000}"/>
    <cellStyle name="Millares 2 6 2 2 5 4 2" xfId="45175" xr:uid="{00000000-0005-0000-0000-0000771D0000}"/>
    <cellStyle name="Millares 2 6 2 2 5 5" xfId="31613" xr:uid="{00000000-0005-0000-0000-0000781D0000}"/>
    <cellStyle name="Millares 2 6 2 2 6" xfId="4246" xr:uid="{00000000-0005-0000-0000-0000791D0000}"/>
    <cellStyle name="Millares 2 6 2 2 6 2" xfId="7856" xr:uid="{00000000-0005-0000-0000-00007A1D0000}"/>
    <cellStyle name="Millares 2 6 2 2 6 2 2" xfId="14645" xr:uid="{00000000-0005-0000-0000-00007B1D0000}"/>
    <cellStyle name="Millares 2 6 2 2 6 2 2 2" xfId="28213" xr:uid="{00000000-0005-0000-0000-00007C1D0000}"/>
    <cellStyle name="Millares 2 6 2 2 6 2 2 2 2" xfId="55346" xr:uid="{00000000-0005-0000-0000-00007D1D0000}"/>
    <cellStyle name="Millares 2 6 2 2 6 2 2 3" xfId="41784" xr:uid="{00000000-0005-0000-0000-00007E1D0000}"/>
    <cellStyle name="Millares 2 6 2 2 6 2 3" xfId="21432" xr:uid="{00000000-0005-0000-0000-00007F1D0000}"/>
    <cellStyle name="Millares 2 6 2 2 6 2 3 2" xfId="48565" xr:uid="{00000000-0005-0000-0000-0000801D0000}"/>
    <cellStyle name="Millares 2 6 2 2 6 2 4" xfId="35003" xr:uid="{00000000-0005-0000-0000-0000811D0000}"/>
    <cellStyle name="Millares 2 6 2 2 6 3" xfId="11256" xr:uid="{00000000-0005-0000-0000-0000821D0000}"/>
    <cellStyle name="Millares 2 6 2 2 6 3 2" xfId="24824" xr:uid="{00000000-0005-0000-0000-0000831D0000}"/>
    <cellStyle name="Millares 2 6 2 2 6 3 2 2" xfId="51957" xr:uid="{00000000-0005-0000-0000-0000841D0000}"/>
    <cellStyle name="Millares 2 6 2 2 6 3 3" xfId="38395" xr:uid="{00000000-0005-0000-0000-0000851D0000}"/>
    <cellStyle name="Millares 2 6 2 2 6 4" xfId="18043" xr:uid="{00000000-0005-0000-0000-0000861D0000}"/>
    <cellStyle name="Millares 2 6 2 2 6 4 2" xfId="45176" xr:uid="{00000000-0005-0000-0000-0000871D0000}"/>
    <cellStyle name="Millares 2 6 2 2 6 5" xfId="31614" xr:uid="{00000000-0005-0000-0000-0000881D0000}"/>
    <cellStyle name="Millares 2 6 2 2 7" xfId="7841" xr:uid="{00000000-0005-0000-0000-0000891D0000}"/>
    <cellStyle name="Millares 2 6 2 2 7 2" xfId="14630" xr:uid="{00000000-0005-0000-0000-00008A1D0000}"/>
    <cellStyle name="Millares 2 6 2 2 7 2 2" xfId="28198" xr:uid="{00000000-0005-0000-0000-00008B1D0000}"/>
    <cellStyle name="Millares 2 6 2 2 7 2 2 2" xfId="55331" xr:uid="{00000000-0005-0000-0000-00008C1D0000}"/>
    <cellStyle name="Millares 2 6 2 2 7 2 3" xfId="41769" xr:uid="{00000000-0005-0000-0000-00008D1D0000}"/>
    <cellStyle name="Millares 2 6 2 2 7 3" xfId="21417" xr:uid="{00000000-0005-0000-0000-00008E1D0000}"/>
    <cellStyle name="Millares 2 6 2 2 7 3 2" xfId="48550" xr:uid="{00000000-0005-0000-0000-00008F1D0000}"/>
    <cellStyle name="Millares 2 6 2 2 7 4" xfId="34988" xr:uid="{00000000-0005-0000-0000-0000901D0000}"/>
    <cellStyle name="Millares 2 6 2 2 8" xfId="11241" xr:uid="{00000000-0005-0000-0000-0000911D0000}"/>
    <cellStyle name="Millares 2 6 2 2 8 2" xfId="24809" xr:uid="{00000000-0005-0000-0000-0000921D0000}"/>
    <cellStyle name="Millares 2 6 2 2 8 2 2" xfId="51942" xr:uid="{00000000-0005-0000-0000-0000931D0000}"/>
    <cellStyle name="Millares 2 6 2 2 8 3" xfId="38380" xr:uid="{00000000-0005-0000-0000-0000941D0000}"/>
    <cellStyle name="Millares 2 6 2 2 9" xfId="18028" xr:uid="{00000000-0005-0000-0000-0000951D0000}"/>
    <cellStyle name="Millares 2 6 2 2 9 2" xfId="45161" xr:uid="{00000000-0005-0000-0000-0000961D0000}"/>
    <cellStyle name="Millares 2 6 2 3" xfId="4247" xr:uid="{00000000-0005-0000-0000-0000971D0000}"/>
    <cellStyle name="Millares 2 6 2 3 2" xfId="4248" xr:uid="{00000000-0005-0000-0000-0000981D0000}"/>
    <cellStyle name="Millares 2 6 2 3 2 2" xfId="4249" xr:uid="{00000000-0005-0000-0000-0000991D0000}"/>
    <cellStyle name="Millares 2 6 2 3 2 2 2" xfId="7859" xr:uid="{00000000-0005-0000-0000-00009A1D0000}"/>
    <cellStyle name="Millares 2 6 2 3 2 2 2 2" xfId="14648" xr:uid="{00000000-0005-0000-0000-00009B1D0000}"/>
    <cellStyle name="Millares 2 6 2 3 2 2 2 2 2" xfId="28216" xr:uid="{00000000-0005-0000-0000-00009C1D0000}"/>
    <cellStyle name="Millares 2 6 2 3 2 2 2 2 2 2" xfId="55349" xr:uid="{00000000-0005-0000-0000-00009D1D0000}"/>
    <cellStyle name="Millares 2 6 2 3 2 2 2 2 3" xfId="41787" xr:uid="{00000000-0005-0000-0000-00009E1D0000}"/>
    <cellStyle name="Millares 2 6 2 3 2 2 2 3" xfId="21435" xr:uid="{00000000-0005-0000-0000-00009F1D0000}"/>
    <cellStyle name="Millares 2 6 2 3 2 2 2 3 2" xfId="48568" xr:uid="{00000000-0005-0000-0000-0000A01D0000}"/>
    <cellStyle name="Millares 2 6 2 3 2 2 2 4" xfId="35006" xr:uid="{00000000-0005-0000-0000-0000A11D0000}"/>
    <cellStyle name="Millares 2 6 2 3 2 2 3" xfId="11259" xr:uid="{00000000-0005-0000-0000-0000A21D0000}"/>
    <cellStyle name="Millares 2 6 2 3 2 2 3 2" xfId="24827" xr:uid="{00000000-0005-0000-0000-0000A31D0000}"/>
    <cellStyle name="Millares 2 6 2 3 2 2 3 2 2" xfId="51960" xr:uid="{00000000-0005-0000-0000-0000A41D0000}"/>
    <cellStyle name="Millares 2 6 2 3 2 2 3 3" xfId="38398" xr:uid="{00000000-0005-0000-0000-0000A51D0000}"/>
    <cellStyle name="Millares 2 6 2 3 2 2 4" xfId="18046" xr:uid="{00000000-0005-0000-0000-0000A61D0000}"/>
    <cellStyle name="Millares 2 6 2 3 2 2 4 2" xfId="45179" xr:uid="{00000000-0005-0000-0000-0000A71D0000}"/>
    <cellStyle name="Millares 2 6 2 3 2 2 5" xfId="31617" xr:uid="{00000000-0005-0000-0000-0000A81D0000}"/>
    <cellStyle name="Millares 2 6 2 3 2 3" xfId="4250" xr:uid="{00000000-0005-0000-0000-0000A91D0000}"/>
    <cellStyle name="Millares 2 6 2 3 2 3 2" xfId="7860" xr:uid="{00000000-0005-0000-0000-0000AA1D0000}"/>
    <cellStyle name="Millares 2 6 2 3 2 3 2 2" xfId="14649" xr:uid="{00000000-0005-0000-0000-0000AB1D0000}"/>
    <cellStyle name="Millares 2 6 2 3 2 3 2 2 2" xfId="28217" xr:uid="{00000000-0005-0000-0000-0000AC1D0000}"/>
    <cellStyle name="Millares 2 6 2 3 2 3 2 2 2 2" xfId="55350" xr:uid="{00000000-0005-0000-0000-0000AD1D0000}"/>
    <cellStyle name="Millares 2 6 2 3 2 3 2 2 3" xfId="41788" xr:uid="{00000000-0005-0000-0000-0000AE1D0000}"/>
    <cellStyle name="Millares 2 6 2 3 2 3 2 3" xfId="21436" xr:uid="{00000000-0005-0000-0000-0000AF1D0000}"/>
    <cellStyle name="Millares 2 6 2 3 2 3 2 3 2" xfId="48569" xr:uid="{00000000-0005-0000-0000-0000B01D0000}"/>
    <cellStyle name="Millares 2 6 2 3 2 3 2 4" xfId="35007" xr:uid="{00000000-0005-0000-0000-0000B11D0000}"/>
    <cellStyle name="Millares 2 6 2 3 2 3 3" xfId="11260" xr:uid="{00000000-0005-0000-0000-0000B21D0000}"/>
    <cellStyle name="Millares 2 6 2 3 2 3 3 2" xfId="24828" xr:uid="{00000000-0005-0000-0000-0000B31D0000}"/>
    <cellStyle name="Millares 2 6 2 3 2 3 3 2 2" xfId="51961" xr:uid="{00000000-0005-0000-0000-0000B41D0000}"/>
    <cellStyle name="Millares 2 6 2 3 2 3 3 3" xfId="38399" xr:uid="{00000000-0005-0000-0000-0000B51D0000}"/>
    <cellStyle name="Millares 2 6 2 3 2 3 4" xfId="18047" xr:uid="{00000000-0005-0000-0000-0000B61D0000}"/>
    <cellStyle name="Millares 2 6 2 3 2 3 4 2" xfId="45180" xr:uid="{00000000-0005-0000-0000-0000B71D0000}"/>
    <cellStyle name="Millares 2 6 2 3 2 3 5" xfId="31618" xr:uid="{00000000-0005-0000-0000-0000B81D0000}"/>
    <cellStyle name="Millares 2 6 2 3 2 4" xfId="7858" xr:uid="{00000000-0005-0000-0000-0000B91D0000}"/>
    <cellStyle name="Millares 2 6 2 3 2 4 2" xfId="14647" xr:uid="{00000000-0005-0000-0000-0000BA1D0000}"/>
    <cellStyle name="Millares 2 6 2 3 2 4 2 2" xfId="28215" xr:uid="{00000000-0005-0000-0000-0000BB1D0000}"/>
    <cellStyle name="Millares 2 6 2 3 2 4 2 2 2" xfId="55348" xr:uid="{00000000-0005-0000-0000-0000BC1D0000}"/>
    <cellStyle name="Millares 2 6 2 3 2 4 2 3" xfId="41786" xr:uid="{00000000-0005-0000-0000-0000BD1D0000}"/>
    <cellStyle name="Millares 2 6 2 3 2 4 3" xfId="21434" xr:uid="{00000000-0005-0000-0000-0000BE1D0000}"/>
    <cellStyle name="Millares 2 6 2 3 2 4 3 2" xfId="48567" xr:uid="{00000000-0005-0000-0000-0000BF1D0000}"/>
    <cellStyle name="Millares 2 6 2 3 2 4 4" xfId="35005" xr:uid="{00000000-0005-0000-0000-0000C01D0000}"/>
    <cellStyle name="Millares 2 6 2 3 2 5" xfId="11258" xr:uid="{00000000-0005-0000-0000-0000C11D0000}"/>
    <cellStyle name="Millares 2 6 2 3 2 5 2" xfId="24826" xr:uid="{00000000-0005-0000-0000-0000C21D0000}"/>
    <cellStyle name="Millares 2 6 2 3 2 5 2 2" xfId="51959" xr:uid="{00000000-0005-0000-0000-0000C31D0000}"/>
    <cellStyle name="Millares 2 6 2 3 2 5 3" xfId="38397" xr:uid="{00000000-0005-0000-0000-0000C41D0000}"/>
    <cellStyle name="Millares 2 6 2 3 2 6" xfId="18045" xr:uid="{00000000-0005-0000-0000-0000C51D0000}"/>
    <cellStyle name="Millares 2 6 2 3 2 6 2" xfId="45178" xr:uid="{00000000-0005-0000-0000-0000C61D0000}"/>
    <cellStyle name="Millares 2 6 2 3 2 7" xfId="31616" xr:uid="{00000000-0005-0000-0000-0000C71D0000}"/>
    <cellStyle name="Millares 2 6 2 3 3" xfId="4251" xr:uid="{00000000-0005-0000-0000-0000C81D0000}"/>
    <cellStyle name="Millares 2 6 2 3 3 2" xfId="4252" xr:uid="{00000000-0005-0000-0000-0000C91D0000}"/>
    <cellStyle name="Millares 2 6 2 3 3 2 2" xfId="7862" xr:uid="{00000000-0005-0000-0000-0000CA1D0000}"/>
    <cellStyle name="Millares 2 6 2 3 3 2 2 2" xfId="14651" xr:uid="{00000000-0005-0000-0000-0000CB1D0000}"/>
    <cellStyle name="Millares 2 6 2 3 3 2 2 2 2" xfId="28219" xr:uid="{00000000-0005-0000-0000-0000CC1D0000}"/>
    <cellStyle name="Millares 2 6 2 3 3 2 2 2 2 2" xfId="55352" xr:uid="{00000000-0005-0000-0000-0000CD1D0000}"/>
    <cellStyle name="Millares 2 6 2 3 3 2 2 2 3" xfId="41790" xr:uid="{00000000-0005-0000-0000-0000CE1D0000}"/>
    <cellStyle name="Millares 2 6 2 3 3 2 2 3" xfId="21438" xr:uid="{00000000-0005-0000-0000-0000CF1D0000}"/>
    <cellStyle name="Millares 2 6 2 3 3 2 2 3 2" xfId="48571" xr:uid="{00000000-0005-0000-0000-0000D01D0000}"/>
    <cellStyle name="Millares 2 6 2 3 3 2 2 4" xfId="35009" xr:uid="{00000000-0005-0000-0000-0000D11D0000}"/>
    <cellStyle name="Millares 2 6 2 3 3 2 3" xfId="11262" xr:uid="{00000000-0005-0000-0000-0000D21D0000}"/>
    <cellStyle name="Millares 2 6 2 3 3 2 3 2" xfId="24830" xr:uid="{00000000-0005-0000-0000-0000D31D0000}"/>
    <cellStyle name="Millares 2 6 2 3 3 2 3 2 2" xfId="51963" xr:uid="{00000000-0005-0000-0000-0000D41D0000}"/>
    <cellStyle name="Millares 2 6 2 3 3 2 3 3" xfId="38401" xr:uid="{00000000-0005-0000-0000-0000D51D0000}"/>
    <cellStyle name="Millares 2 6 2 3 3 2 4" xfId="18049" xr:uid="{00000000-0005-0000-0000-0000D61D0000}"/>
    <cellStyle name="Millares 2 6 2 3 3 2 4 2" xfId="45182" xr:uid="{00000000-0005-0000-0000-0000D71D0000}"/>
    <cellStyle name="Millares 2 6 2 3 3 2 5" xfId="31620" xr:uid="{00000000-0005-0000-0000-0000D81D0000}"/>
    <cellStyle name="Millares 2 6 2 3 3 3" xfId="7861" xr:uid="{00000000-0005-0000-0000-0000D91D0000}"/>
    <cellStyle name="Millares 2 6 2 3 3 3 2" xfId="14650" xr:uid="{00000000-0005-0000-0000-0000DA1D0000}"/>
    <cellStyle name="Millares 2 6 2 3 3 3 2 2" xfId="28218" xr:uid="{00000000-0005-0000-0000-0000DB1D0000}"/>
    <cellStyle name="Millares 2 6 2 3 3 3 2 2 2" xfId="55351" xr:uid="{00000000-0005-0000-0000-0000DC1D0000}"/>
    <cellStyle name="Millares 2 6 2 3 3 3 2 3" xfId="41789" xr:uid="{00000000-0005-0000-0000-0000DD1D0000}"/>
    <cellStyle name="Millares 2 6 2 3 3 3 3" xfId="21437" xr:uid="{00000000-0005-0000-0000-0000DE1D0000}"/>
    <cellStyle name="Millares 2 6 2 3 3 3 3 2" xfId="48570" xr:uid="{00000000-0005-0000-0000-0000DF1D0000}"/>
    <cellStyle name="Millares 2 6 2 3 3 3 4" xfId="35008" xr:uid="{00000000-0005-0000-0000-0000E01D0000}"/>
    <cellStyle name="Millares 2 6 2 3 3 4" xfId="11261" xr:uid="{00000000-0005-0000-0000-0000E11D0000}"/>
    <cellStyle name="Millares 2 6 2 3 3 4 2" xfId="24829" xr:uid="{00000000-0005-0000-0000-0000E21D0000}"/>
    <cellStyle name="Millares 2 6 2 3 3 4 2 2" xfId="51962" xr:uid="{00000000-0005-0000-0000-0000E31D0000}"/>
    <cellStyle name="Millares 2 6 2 3 3 4 3" xfId="38400" xr:uid="{00000000-0005-0000-0000-0000E41D0000}"/>
    <cellStyle name="Millares 2 6 2 3 3 5" xfId="18048" xr:uid="{00000000-0005-0000-0000-0000E51D0000}"/>
    <cellStyle name="Millares 2 6 2 3 3 5 2" xfId="45181" xr:uid="{00000000-0005-0000-0000-0000E61D0000}"/>
    <cellStyle name="Millares 2 6 2 3 3 6" xfId="31619" xr:uid="{00000000-0005-0000-0000-0000E71D0000}"/>
    <cellStyle name="Millares 2 6 2 3 4" xfId="4253" xr:uid="{00000000-0005-0000-0000-0000E81D0000}"/>
    <cellStyle name="Millares 2 6 2 3 4 2" xfId="7863" xr:uid="{00000000-0005-0000-0000-0000E91D0000}"/>
    <cellStyle name="Millares 2 6 2 3 4 2 2" xfId="14652" xr:uid="{00000000-0005-0000-0000-0000EA1D0000}"/>
    <cellStyle name="Millares 2 6 2 3 4 2 2 2" xfId="28220" xr:uid="{00000000-0005-0000-0000-0000EB1D0000}"/>
    <cellStyle name="Millares 2 6 2 3 4 2 2 2 2" xfId="55353" xr:uid="{00000000-0005-0000-0000-0000EC1D0000}"/>
    <cellStyle name="Millares 2 6 2 3 4 2 2 3" xfId="41791" xr:uid="{00000000-0005-0000-0000-0000ED1D0000}"/>
    <cellStyle name="Millares 2 6 2 3 4 2 3" xfId="21439" xr:uid="{00000000-0005-0000-0000-0000EE1D0000}"/>
    <cellStyle name="Millares 2 6 2 3 4 2 3 2" xfId="48572" xr:uid="{00000000-0005-0000-0000-0000EF1D0000}"/>
    <cellStyle name="Millares 2 6 2 3 4 2 4" xfId="35010" xr:uid="{00000000-0005-0000-0000-0000F01D0000}"/>
    <cellStyle name="Millares 2 6 2 3 4 3" xfId="11263" xr:uid="{00000000-0005-0000-0000-0000F11D0000}"/>
    <cellStyle name="Millares 2 6 2 3 4 3 2" xfId="24831" xr:uid="{00000000-0005-0000-0000-0000F21D0000}"/>
    <cellStyle name="Millares 2 6 2 3 4 3 2 2" xfId="51964" xr:uid="{00000000-0005-0000-0000-0000F31D0000}"/>
    <cellStyle name="Millares 2 6 2 3 4 3 3" xfId="38402" xr:uid="{00000000-0005-0000-0000-0000F41D0000}"/>
    <cellStyle name="Millares 2 6 2 3 4 4" xfId="18050" xr:uid="{00000000-0005-0000-0000-0000F51D0000}"/>
    <cellStyle name="Millares 2 6 2 3 4 4 2" xfId="45183" xr:uid="{00000000-0005-0000-0000-0000F61D0000}"/>
    <cellStyle name="Millares 2 6 2 3 4 5" xfId="31621" xr:uid="{00000000-0005-0000-0000-0000F71D0000}"/>
    <cellStyle name="Millares 2 6 2 3 5" xfId="4254" xr:uid="{00000000-0005-0000-0000-0000F81D0000}"/>
    <cellStyle name="Millares 2 6 2 3 5 2" xfId="7864" xr:uid="{00000000-0005-0000-0000-0000F91D0000}"/>
    <cellStyle name="Millares 2 6 2 3 5 2 2" xfId="14653" xr:uid="{00000000-0005-0000-0000-0000FA1D0000}"/>
    <cellStyle name="Millares 2 6 2 3 5 2 2 2" xfId="28221" xr:uid="{00000000-0005-0000-0000-0000FB1D0000}"/>
    <cellStyle name="Millares 2 6 2 3 5 2 2 2 2" xfId="55354" xr:uid="{00000000-0005-0000-0000-0000FC1D0000}"/>
    <cellStyle name="Millares 2 6 2 3 5 2 2 3" xfId="41792" xr:uid="{00000000-0005-0000-0000-0000FD1D0000}"/>
    <cellStyle name="Millares 2 6 2 3 5 2 3" xfId="21440" xr:uid="{00000000-0005-0000-0000-0000FE1D0000}"/>
    <cellStyle name="Millares 2 6 2 3 5 2 3 2" xfId="48573" xr:uid="{00000000-0005-0000-0000-0000FF1D0000}"/>
    <cellStyle name="Millares 2 6 2 3 5 2 4" xfId="35011" xr:uid="{00000000-0005-0000-0000-0000001E0000}"/>
    <cellStyle name="Millares 2 6 2 3 5 3" xfId="11264" xr:uid="{00000000-0005-0000-0000-0000011E0000}"/>
    <cellStyle name="Millares 2 6 2 3 5 3 2" xfId="24832" xr:uid="{00000000-0005-0000-0000-0000021E0000}"/>
    <cellStyle name="Millares 2 6 2 3 5 3 2 2" xfId="51965" xr:uid="{00000000-0005-0000-0000-0000031E0000}"/>
    <cellStyle name="Millares 2 6 2 3 5 3 3" xfId="38403" xr:uid="{00000000-0005-0000-0000-0000041E0000}"/>
    <cellStyle name="Millares 2 6 2 3 5 4" xfId="18051" xr:uid="{00000000-0005-0000-0000-0000051E0000}"/>
    <cellStyle name="Millares 2 6 2 3 5 4 2" xfId="45184" xr:uid="{00000000-0005-0000-0000-0000061E0000}"/>
    <cellStyle name="Millares 2 6 2 3 5 5" xfId="31622" xr:uid="{00000000-0005-0000-0000-0000071E0000}"/>
    <cellStyle name="Millares 2 6 2 3 6" xfId="7857" xr:uid="{00000000-0005-0000-0000-0000081E0000}"/>
    <cellStyle name="Millares 2 6 2 3 6 2" xfId="14646" xr:uid="{00000000-0005-0000-0000-0000091E0000}"/>
    <cellStyle name="Millares 2 6 2 3 6 2 2" xfId="28214" xr:uid="{00000000-0005-0000-0000-00000A1E0000}"/>
    <cellStyle name="Millares 2 6 2 3 6 2 2 2" xfId="55347" xr:uid="{00000000-0005-0000-0000-00000B1E0000}"/>
    <cellStyle name="Millares 2 6 2 3 6 2 3" xfId="41785" xr:uid="{00000000-0005-0000-0000-00000C1E0000}"/>
    <cellStyle name="Millares 2 6 2 3 6 3" xfId="21433" xr:uid="{00000000-0005-0000-0000-00000D1E0000}"/>
    <cellStyle name="Millares 2 6 2 3 6 3 2" xfId="48566" xr:uid="{00000000-0005-0000-0000-00000E1E0000}"/>
    <cellStyle name="Millares 2 6 2 3 6 4" xfId="35004" xr:uid="{00000000-0005-0000-0000-00000F1E0000}"/>
    <cellStyle name="Millares 2 6 2 3 7" xfId="11257" xr:uid="{00000000-0005-0000-0000-0000101E0000}"/>
    <cellStyle name="Millares 2 6 2 3 7 2" xfId="24825" xr:uid="{00000000-0005-0000-0000-0000111E0000}"/>
    <cellStyle name="Millares 2 6 2 3 7 2 2" xfId="51958" xr:uid="{00000000-0005-0000-0000-0000121E0000}"/>
    <cellStyle name="Millares 2 6 2 3 7 3" xfId="38396" xr:uid="{00000000-0005-0000-0000-0000131E0000}"/>
    <cellStyle name="Millares 2 6 2 3 8" xfId="18044" xr:uid="{00000000-0005-0000-0000-0000141E0000}"/>
    <cellStyle name="Millares 2 6 2 3 8 2" xfId="45177" xr:uid="{00000000-0005-0000-0000-0000151E0000}"/>
    <cellStyle name="Millares 2 6 2 3 9" xfId="31615" xr:uid="{00000000-0005-0000-0000-0000161E0000}"/>
    <cellStyle name="Millares 2 6 2 4" xfId="4255" xr:uid="{00000000-0005-0000-0000-0000171E0000}"/>
    <cellStyle name="Millares 2 6 2 4 2" xfId="4256" xr:uid="{00000000-0005-0000-0000-0000181E0000}"/>
    <cellStyle name="Millares 2 6 2 4 2 2" xfId="4257" xr:uid="{00000000-0005-0000-0000-0000191E0000}"/>
    <cellStyle name="Millares 2 6 2 4 2 2 2" xfId="7867" xr:uid="{00000000-0005-0000-0000-00001A1E0000}"/>
    <cellStyle name="Millares 2 6 2 4 2 2 2 2" xfId="14656" xr:uid="{00000000-0005-0000-0000-00001B1E0000}"/>
    <cellStyle name="Millares 2 6 2 4 2 2 2 2 2" xfId="28224" xr:uid="{00000000-0005-0000-0000-00001C1E0000}"/>
    <cellStyle name="Millares 2 6 2 4 2 2 2 2 2 2" xfId="55357" xr:uid="{00000000-0005-0000-0000-00001D1E0000}"/>
    <cellStyle name="Millares 2 6 2 4 2 2 2 2 3" xfId="41795" xr:uid="{00000000-0005-0000-0000-00001E1E0000}"/>
    <cellStyle name="Millares 2 6 2 4 2 2 2 3" xfId="21443" xr:uid="{00000000-0005-0000-0000-00001F1E0000}"/>
    <cellStyle name="Millares 2 6 2 4 2 2 2 3 2" xfId="48576" xr:uid="{00000000-0005-0000-0000-0000201E0000}"/>
    <cellStyle name="Millares 2 6 2 4 2 2 2 4" xfId="35014" xr:uid="{00000000-0005-0000-0000-0000211E0000}"/>
    <cellStyle name="Millares 2 6 2 4 2 2 3" xfId="11267" xr:uid="{00000000-0005-0000-0000-0000221E0000}"/>
    <cellStyle name="Millares 2 6 2 4 2 2 3 2" xfId="24835" xr:uid="{00000000-0005-0000-0000-0000231E0000}"/>
    <cellStyle name="Millares 2 6 2 4 2 2 3 2 2" xfId="51968" xr:uid="{00000000-0005-0000-0000-0000241E0000}"/>
    <cellStyle name="Millares 2 6 2 4 2 2 3 3" xfId="38406" xr:uid="{00000000-0005-0000-0000-0000251E0000}"/>
    <cellStyle name="Millares 2 6 2 4 2 2 4" xfId="18054" xr:uid="{00000000-0005-0000-0000-0000261E0000}"/>
    <cellStyle name="Millares 2 6 2 4 2 2 4 2" xfId="45187" xr:uid="{00000000-0005-0000-0000-0000271E0000}"/>
    <cellStyle name="Millares 2 6 2 4 2 2 5" xfId="31625" xr:uid="{00000000-0005-0000-0000-0000281E0000}"/>
    <cellStyle name="Millares 2 6 2 4 2 3" xfId="4258" xr:uid="{00000000-0005-0000-0000-0000291E0000}"/>
    <cellStyle name="Millares 2 6 2 4 2 3 2" xfId="7868" xr:uid="{00000000-0005-0000-0000-00002A1E0000}"/>
    <cellStyle name="Millares 2 6 2 4 2 3 2 2" xfId="14657" xr:uid="{00000000-0005-0000-0000-00002B1E0000}"/>
    <cellStyle name="Millares 2 6 2 4 2 3 2 2 2" xfId="28225" xr:uid="{00000000-0005-0000-0000-00002C1E0000}"/>
    <cellStyle name="Millares 2 6 2 4 2 3 2 2 2 2" xfId="55358" xr:uid="{00000000-0005-0000-0000-00002D1E0000}"/>
    <cellStyle name="Millares 2 6 2 4 2 3 2 2 3" xfId="41796" xr:uid="{00000000-0005-0000-0000-00002E1E0000}"/>
    <cellStyle name="Millares 2 6 2 4 2 3 2 3" xfId="21444" xr:uid="{00000000-0005-0000-0000-00002F1E0000}"/>
    <cellStyle name="Millares 2 6 2 4 2 3 2 3 2" xfId="48577" xr:uid="{00000000-0005-0000-0000-0000301E0000}"/>
    <cellStyle name="Millares 2 6 2 4 2 3 2 4" xfId="35015" xr:uid="{00000000-0005-0000-0000-0000311E0000}"/>
    <cellStyle name="Millares 2 6 2 4 2 3 3" xfId="11268" xr:uid="{00000000-0005-0000-0000-0000321E0000}"/>
    <cellStyle name="Millares 2 6 2 4 2 3 3 2" xfId="24836" xr:uid="{00000000-0005-0000-0000-0000331E0000}"/>
    <cellStyle name="Millares 2 6 2 4 2 3 3 2 2" xfId="51969" xr:uid="{00000000-0005-0000-0000-0000341E0000}"/>
    <cellStyle name="Millares 2 6 2 4 2 3 3 3" xfId="38407" xr:uid="{00000000-0005-0000-0000-0000351E0000}"/>
    <cellStyle name="Millares 2 6 2 4 2 3 4" xfId="18055" xr:uid="{00000000-0005-0000-0000-0000361E0000}"/>
    <cellStyle name="Millares 2 6 2 4 2 3 4 2" xfId="45188" xr:uid="{00000000-0005-0000-0000-0000371E0000}"/>
    <cellStyle name="Millares 2 6 2 4 2 3 5" xfId="31626" xr:uid="{00000000-0005-0000-0000-0000381E0000}"/>
    <cellStyle name="Millares 2 6 2 4 2 4" xfId="7866" xr:uid="{00000000-0005-0000-0000-0000391E0000}"/>
    <cellStyle name="Millares 2 6 2 4 2 4 2" xfId="14655" xr:uid="{00000000-0005-0000-0000-00003A1E0000}"/>
    <cellStyle name="Millares 2 6 2 4 2 4 2 2" xfId="28223" xr:uid="{00000000-0005-0000-0000-00003B1E0000}"/>
    <cellStyle name="Millares 2 6 2 4 2 4 2 2 2" xfId="55356" xr:uid="{00000000-0005-0000-0000-00003C1E0000}"/>
    <cellStyle name="Millares 2 6 2 4 2 4 2 3" xfId="41794" xr:uid="{00000000-0005-0000-0000-00003D1E0000}"/>
    <cellStyle name="Millares 2 6 2 4 2 4 3" xfId="21442" xr:uid="{00000000-0005-0000-0000-00003E1E0000}"/>
    <cellStyle name="Millares 2 6 2 4 2 4 3 2" xfId="48575" xr:uid="{00000000-0005-0000-0000-00003F1E0000}"/>
    <cellStyle name="Millares 2 6 2 4 2 4 4" xfId="35013" xr:uid="{00000000-0005-0000-0000-0000401E0000}"/>
    <cellStyle name="Millares 2 6 2 4 2 5" xfId="11266" xr:uid="{00000000-0005-0000-0000-0000411E0000}"/>
    <cellStyle name="Millares 2 6 2 4 2 5 2" xfId="24834" xr:uid="{00000000-0005-0000-0000-0000421E0000}"/>
    <cellStyle name="Millares 2 6 2 4 2 5 2 2" xfId="51967" xr:uid="{00000000-0005-0000-0000-0000431E0000}"/>
    <cellStyle name="Millares 2 6 2 4 2 5 3" xfId="38405" xr:uid="{00000000-0005-0000-0000-0000441E0000}"/>
    <cellStyle name="Millares 2 6 2 4 2 6" xfId="18053" xr:uid="{00000000-0005-0000-0000-0000451E0000}"/>
    <cellStyle name="Millares 2 6 2 4 2 6 2" xfId="45186" xr:uid="{00000000-0005-0000-0000-0000461E0000}"/>
    <cellStyle name="Millares 2 6 2 4 2 7" xfId="31624" xr:uid="{00000000-0005-0000-0000-0000471E0000}"/>
    <cellStyle name="Millares 2 6 2 4 3" xfId="4259" xr:uid="{00000000-0005-0000-0000-0000481E0000}"/>
    <cellStyle name="Millares 2 6 2 4 3 2" xfId="7869" xr:uid="{00000000-0005-0000-0000-0000491E0000}"/>
    <cellStyle name="Millares 2 6 2 4 3 2 2" xfId="14658" xr:uid="{00000000-0005-0000-0000-00004A1E0000}"/>
    <cellStyle name="Millares 2 6 2 4 3 2 2 2" xfId="28226" xr:uid="{00000000-0005-0000-0000-00004B1E0000}"/>
    <cellStyle name="Millares 2 6 2 4 3 2 2 2 2" xfId="55359" xr:uid="{00000000-0005-0000-0000-00004C1E0000}"/>
    <cellStyle name="Millares 2 6 2 4 3 2 2 3" xfId="41797" xr:uid="{00000000-0005-0000-0000-00004D1E0000}"/>
    <cellStyle name="Millares 2 6 2 4 3 2 3" xfId="21445" xr:uid="{00000000-0005-0000-0000-00004E1E0000}"/>
    <cellStyle name="Millares 2 6 2 4 3 2 3 2" xfId="48578" xr:uid="{00000000-0005-0000-0000-00004F1E0000}"/>
    <cellStyle name="Millares 2 6 2 4 3 2 4" xfId="35016" xr:uid="{00000000-0005-0000-0000-0000501E0000}"/>
    <cellStyle name="Millares 2 6 2 4 3 3" xfId="11269" xr:uid="{00000000-0005-0000-0000-0000511E0000}"/>
    <cellStyle name="Millares 2 6 2 4 3 3 2" xfId="24837" xr:uid="{00000000-0005-0000-0000-0000521E0000}"/>
    <cellStyle name="Millares 2 6 2 4 3 3 2 2" xfId="51970" xr:uid="{00000000-0005-0000-0000-0000531E0000}"/>
    <cellStyle name="Millares 2 6 2 4 3 3 3" xfId="38408" xr:uid="{00000000-0005-0000-0000-0000541E0000}"/>
    <cellStyle name="Millares 2 6 2 4 3 4" xfId="18056" xr:uid="{00000000-0005-0000-0000-0000551E0000}"/>
    <cellStyle name="Millares 2 6 2 4 3 4 2" xfId="45189" xr:uid="{00000000-0005-0000-0000-0000561E0000}"/>
    <cellStyle name="Millares 2 6 2 4 3 5" xfId="31627" xr:uid="{00000000-0005-0000-0000-0000571E0000}"/>
    <cellStyle name="Millares 2 6 2 4 4" xfId="4260" xr:uid="{00000000-0005-0000-0000-0000581E0000}"/>
    <cellStyle name="Millares 2 6 2 4 4 2" xfId="7870" xr:uid="{00000000-0005-0000-0000-0000591E0000}"/>
    <cellStyle name="Millares 2 6 2 4 4 2 2" xfId="14659" xr:uid="{00000000-0005-0000-0000-00005A1E0000}"/>
    <cellStyle name="Millares 2 6 2 4 4 2 2 2" xfId="28227" xr:uid="{00000000-0005-0000-0000-00005B1E0000}"/>
    <cellStyle name="Millares 2 6 2 4 4 2 2 2 2" xfId="55360" xr:uid="{00000000-0005-0000-0000-00005C1E0000}"/>
    <cellStyle name="Millares 2 6 2 4 4 2 2 3" xfId="41798" xr:uid="{00000000-0005-0000-0000-00005D1E0000}"/>
    <cellStyle name="Millares 2 6 2 4 4 2 3" xfId="21446" xr:uid="{00000000-0005-0000-0000-00005E1E0000}"/>
    <cellStyle name="Millares 2 6 2 4 4 2 3 2" xfId="48579" xr:uid="{00000000-0005-0000-0000-00005F1E0000}"/>
    <cellStyle name="Millares 2 6 2 4 4 2 4" xfId="35017" xr:uid="{00000000-0005-0000-0000-0000601E0000}"/>
    <cellStyle name="Millares 2 6 2 4 4 3" xfId="11270" xr:uid="{00000000-0005-0000-0000-0000611E0000}"/>
    <cellStyle name="Millares 2 6 2 4 4 3 2" xfId="24838" xr:uid="{00000000-0005-0000-0000-0000621E0000}"/>
    <cellStyle name="Millares 2 6 2 4 4 3 2 2" xfId="51971" xr:uid="{00000000-0005-0000-0000-0000631E0000}"/>
    <cellStyle name="Millares 2 6 2 4 4 3 3" xfId="38409" xr:uid="{00000000-0005-0000-0000-0000641E0000}"/>
    <cellStyle name="Millares 2 6 2 4 4 4" xfId="18057" xr:uid="{00000000-0005-0000-0000-0000651E0000}"/>
    <cellStyle name="Millares 2 6 2 4 4 4 2" xfId="45190" xr:uid="{00000000-0005-0000-0000-0000661E0000}"/>
    <cellStyle name="Millares 2 6 2 4 4 5" xfId="31628" xr:uid="{00000000-0005-0000-0000-0000671E0000}"/>
    <cellStyle name="Millares 2 6 2 4 5" xfId="7865" xr:uid="{00000000-0005-0000-0000-0000681E0000}"/>
    <cellStyle name="Millares 2 6 2 4 5 2" xfId="14654" xr:uid="{00000000-0005-0000-0000-0000691E0000}"/>
    <cellStyle name="Millares 2 6 2 4 5 2 2" xfId="28222" xr:uid="{00000000-0005-0000-0000-00006A1E0000}"/>
    <cellStyle name="Millares 2 6 2 4 5 2 2 2" xfId="55355" xr:uid="{00000000-0005-0000-0000-00006B1E0000}"/>
    <cellStyle name="Millares 2 6 2 4 5 2 3" xfId="41793" xr:uid="{00000000-0005-0000-0000-00006C1E0000}"/>
    <cellStyle name="Millares 2 6 2 4 5 3" xfId="21441" xr:uid="{00000000-0005-0000-0000-00006D1E0000}"/>
    <cellStyle name="Millares 2 6 2 4 5 3 2" xfId="48574" xr:uid="{00000000-0005-0000-0000-00006E1E0000}"/>
    <cellStyle name="Millares 2 6 2 4 5 4" xfId="35012" xr:uid="{00000000-0005-0000-0000-00006F1E0000}"/>
    <cellStyle name="Millares 2 6 2 4 6" xfId="11265" xr:uid="{00000000-0005-0000-0000-0000701E0000}"/>
    <cellStyle name="Millares 2 6 2 4 6 2" xfId="24833" xr:uid="{00000000-0005-0000-0000-0000711E0000}"/>
    <cellStyle name="Millares 2 6 2 4 6 2 2" xfId="51966" xr:uid="{00000000-0005-0000-0000-0000721E0000}"/>
    <cellStyle name="Millares 2 6 2 4 6 3" xfId="38404" xr:uid="{00000000-0005-0000-0000-0000731E0000}"/>
    <cellStyle name="Millares 2 6 2 4 7" xfId="18052" xr:uid="{00000000-0005-0000-0000-0000741E0000}"/>
    <cellStyle name="Millares 2 6 2 4 7 2" xfId="45185" xr:uid="{00000000-0005-0000-0000-0000751E0000}"/>
    <cellStyle name="Millares 2 6 2 4 8" xfId="31623" xr:uid="{00000000-0005-0000-0000-0000761E0000}"/>
    <cellStyle name="Millares 2 6 2 5" xfId="4261" xr:uid="{00000000-0005-0000-0000-0000771E0000}"/>
    <cellStyle name="Millares 2 6 2 5 2" xfId="4262" xr:uid="{00000000-0005-0000-0000-0000781E0000}"/>
    <cellStyle name="Millares 2 6 2 5 2 2" xfId="4263" xr:uid="{00000000-0005-0000-0000-0000791E0000}"/>
    <cellStyle name="Millares 2 6 2 5 2 2 2" xfId="7873" xr:uid="{00000000-0005-0000-0000-00007A1E0000}"/>
    <cellStyle name="Millares 2 6 2 5 2 2 2 2" xfId="14662" xr:uid="{00000000-0005-0000-0000-00007B1E0000}"/>
    <cellStyle name="Millares 2 6 2 5 2 2 2 2 2" xfId="28230" xr:uid="{00000000-0005-0000-0000-00007C1E0000}"/>
    <cellStyle name="Millares 2 6 2 5 2 2 2 2 2 2" xfId="55363" xr:uid="{00000000-0005-0000-0000-00007D1E0000}"/>
    <cellStyle name="Millares 2 6 2 5 2 2 2 2 3" xfId="41801" xr:uid="{00000000-0005-0000-0000-00007E1E0000}"/>
    <cellStyle name="Millares 2 6 2 5 2 2 2 3" xfId="21449" xr:uid="{00000000-0005-0000-0000-00007F1E0000}"/>
    <cellStyle name="Millares 2 6 2 5 2 2 2 3 2" xfId="48582" xr:uid="{00000000-0005-0000-0000-0000801E0000}"/>
    <cellStyle name="Millares 2 6 2 5 2 2 2 4" xfId="35020" xr:uid="{00000000-0005-0000-0000-0000811E0000}"/>
    <cellStyle name="Millares 2 6 2 5 2 2 3" xfId="11273" xr:uid="{00000000-0005-0000-0000-0000821E0000}"/>
    <cellStyle name="Millares 2 6 2 5 2 2 3 2" xfId="24841" xr:uid="{00000000-0005-0000-0000-0000831E0000}"/>
    <cellStyle name="Millares 2 6 2 5 2 2 3 2 2" xfId="51974" xr:uid="{00000000-0005-0000-0000-0000841E0000}"/>
    <cellStyle name="Millares 2 6 2 5 2 2 3 3" xfId="38412" xr:uid="{00000000-0005-0000-0000-0000851E0000}"/>
    <cellStyle name="Millares 2 6 2 5 2 2 4" xfId="18060" xr:uid="{00000000-0005-0000-0000-0000861E0000}"/>
    <cellStyle name="Millares 2 6 2 5 2 2 4 2" xfId="45193" xr:uid="{00000000-0005-0000-0000-0000871E0000}"/>
    <cellStyle name="Millares 2 6 2 5 2 2 5" xfId="31631" xr:uid="{00000000-0005-0000-0000-0000881E0000}"/>
    <cellStyle name="Millares 2 6 2 5 2 3" xfId="4264" xr:uid="{00000000-0005-0000-0000-0000891E0000}"/>
    <cellStyle name="Millares 2 6 2 5 2 3 2" xfId="7874" xr:uid="{00000000-0005-0000-0000-00008A1E0000}"/>
    <cellStyle name="Millares 2 6 2 5 2 3 2 2" xfId="14663" xr:uid="{00000000-0005-0000-0000-00008B1E0000}"/>
    <cellStyle name="Millares 2 6 2 5 2 3 2 2 2" xfId="28231" xr:uid="{00000000-0005-0000-0000-00008C1E0000}"/>
    <cellStyle name="Millares 2 6 2 5 2 3 2 2 2 2" xfId="55364" xr:uid="{00000000-0005-0000-0000-00008D1E0000}"/>
    <cellStyle name="Millares 2 6 2 5 2 3 2 2 3" xfId="41802" xr:uid="{00000000-0005-0000-0000-00008E1E0000}"/>
    <cellStyle name="Millares 2 6 2 5 2 3 2 3" xfId="21450" xr:uid="{00000000-0005-0000-0000-00008F1E0000}"/>
    <cellStyle name="Millares 2 6 2 5 2 3 2 3 2" xfId="48583" xr:uid="{00000000-0005-0000-0000-0000901E0000}"/>
    <cellStyle name="Millares 2 6 2 5 2 3 2 4" xfId="35021" xr:uid="{00000000-0005-0000-0000-0000911E0000}"/>
    <cellStyle name="Millares 2 6 2 5 2 3 3" xfId="11274" xr:uid="{00000000-0005-0000-0000-0000921E0000}"/>
    <cellStyle name="Millares 2 6 2 5 2 3 3 2" xfId="24842" xr:uid="{00000000-0005-0000-0000-0000931E0000}"/>
    <cellStyle name="Millares 2 6 2 5 2 3 3 2 2" xfId="51975" xr:uid="{00000000-0005-0000-0000-0000941E0000}"/>
    <cellStyle name="Millares 2 6 2 5 2 3 3 3" xfId="38413" xr:uid="{00000000-0005-0000-0000-0000951E0000}"/>
    <cellStyle name="Millares 2 6 2 5 2 3 4" xfId="18061" xr:uid="{00000000-0005-0000-0000-0000961E0000}"/>
    <cellStyle name="Millares 2 6 2 5 2 3 4 2" xfId="45194" xr:uid="{00000000-0005-0000-0000-0000971E0000}"/>
    <cellStyle name="Millares 2 6 2 5 2 3 5" xfId="31632" xr:uid="{00000000-0005-0000-0000-0000981E0000}"/>
    <cellStyle name="Millares 2 6 2 5 2 4" xfId="7872" xr:uid="{00000000-0005-0000-0000-0000991E0000}"/>
    <cellStyle name="Millares 2 6 2 5 2 4 2" xfId="14661" xr:uid="{00000000-0005-0000-0000-00009A1E0000}"/>
    <cellStyle name="Millares 2 6 2 5 2 4 2 2" xfId="28229" xr:uid="{00000000-0005-0000-0000-00009B1E0000}"/>
    <cellStyle name="Millares 2 6 2 5 2 4 2 2 2" xfId="55362" xr:uid="{00000000-0005-0000-0000-00009C1E0000}"/>
    <cellStyle name="Millares 2 6 2 5 2 4 2 3" xfId="41800" xr:uid="{00000000-0005-0000-0000-00009D1E0000}"/>
    <cellStyle name="Millares 2 6 2 5 2 4 3" xfId="21448" xr:uid="{00000000-0005-0000-0000-00009E1E0000}"/>
    <cellStyle name="Millares 2 6 2 5 2 4 3 2" xfId="48581" xr:uid="{00000000-0005-0000-0000-00009F1E0000}"/>
    <cellStyle name="Millares 2 6 2 5 2 4 4" xfId="35019" xr:uid="{00000000-0005-0000-0000-0000A01E0000}"/>
    <cellStyle name="Millares 2 6 2 5 2 5" xfId="11272" xr:uid="{00000000-0005-0000-0000-0000A11E0000}"/>
    <cellStyle name="Millares 2 6 2 5 2 5 2" xfId="24840" xr:uid="{00000000-0005-0000-0000-0000A21E0000}"/>
    <cellStyle name="Millares 2 6 2 5 2 5 2 2" xfId="51973" xr:uid="{00000000-0005-0000-0000-0000A31E0000}"/>
    <cellStyle name="Millares 2 6 2 5 2 5 3" xfId="38411" xr:uid="{00000000-0005-0000-0000-0000A41E0000}"/>
    <cellStyle name="Millares 2 6 2 5 2 6" xfId="18059" xr:uid="{00000000-0005-0000-0000-0000A51E0000}"/>
    <cellStyle name="Millares 2 6 2 5 2 6 2" xfId="45192" xr:uid="{00000000-0005-0000-0000-0000A61E0000}"/>
    <cellStyle name="Millares 2 6 2 5 2 7" xfId="31630" xr:uid="{00000000-0005-0000-0000-0000A71E0000}"/>
    <cellStyle name="Millares 2 6 2 5 3" xfId="4265" xr:uid="{00000000-0005-0000-0000-0000A81E0000}"/>
    <cellStyle name="Millares 2 6 2 5 3 2" xfId="7875" xr:uid="{00000000-0005-0000-0000-0000A91E0000}"/>
    <cellStyle name="Millares 2 6 2 5 3 2 2" xfId="14664" xr:uid="{00000000-0005-0000-0000-0000AA1E0000}"/>
    <cellStyle name="Millares 2 6 2 5 3 2 2 2" xfId="28232" xr:uid="{00000000-0005-0000-0000-0000AB1E0000}"/>
    <cellStyle name="Millares 2 6 2 5 3 2 2 2 2" xfId="55365" xr:uid="{00000000-0005-0000-0000-0000AC1E0000}"/>
    <cellStyle name="Millares 2 6 2 5 3 2 2 3" xfId="41803" xr:uid="{00000000-0005-0000-0000-0000AD1E0000}"/>
    <cellStyle name="Millares 2 6 2 5 3 2 3" xfId="21451" xr:uid="{00000000-0005-0000-0000-0000AE1E0000}"/>
    <cellStyle name="Millares 2 6 2 5 3 2 3 2" xfId="48584" xr:uid="{00000000-0005-0000-0000-0000AF1E0000}"/>
    <cellStyle name="Millares 2 6 2 5 3 2 4" xfId="35022" xr:uid="{00000000-0005-0000-0000-0000B01E0000}"/>
    <cellStyle name="Millares 2 6 2 5 3 3" xfId="11275" xr:uid="{00000000-0005-0000-0000-0000B11E0000}"/>
    <cellStyle name="Millares 2 6 2 5 3 3 2" xfId="24843" xr:uid="{00000000-0005-0000-0000-0000B21E0000}"/>
    <cellStyle name="Millares 2 6 2 5 3 3 2 2" xfId="51976" xr:uid="{00000000-0005-0000-0000-0000B31E0000}"/>
    <cellStyle name="Millares 2 6 2 5 3 3 3" xfId="38414" xr:uid="{00000000-0005-0000-0000-0000B41E0000}"/>
    <cellStyle name="Millares 2 6 2 5 3 4" xfId="18062" xr:uid="{00000000-0005-0000-0000-0000B51E0000}"/>
    <cellStyle name="Millares 2 6 2 5 3 4 2" xfId="45195" xr:uid="{00000000-0005-0000-0000-0000B61E0000}"/>
    <cellStyle name="Millares 2 6 2 5 3 5" xfId="31633" xr:uid="{00000000-0005-0000-0000-0000B71E0000}"/>
    <cellStyle name="Millares 2 6 2 5 4" xfId="4266" xr:uid="{00000000-0005-0000-0000-0000B81E0000}"/>
    <cellStyle name="Millares 2 6 2 5 4 2" xfId="7876" xr:uid="{00000000-0005-0000-0000-0000B91E0000}"/>
    <cellStyle name="Millares 2 6 2 5 4 2 2" xfId="14665" xr:uid="{00000000-0005-0000-0000-0000BA1E0000}"/>
    <cellStyle name="Millares 2 6 2 5 4 2 2 2" xfId="28233" xr:uid="{00000000-0005-0000-0000-0000BB1E0000}"/>
    <cellStyle name="Millares 2 6 2 5 4 2 2 2 2" xfId="55366" xr:uid="{00000000-0005-0000-0000-0000BC1E0000}"/>
    <cellStyle name="Millares 2 6 2 5 4 2 2 3" xfId="41804" xr:uid="{00000000-0005-0000-0000-0000BD1E0000}"/>
    <cellStyle name="Millares 2 6 2 5 4 2 3" xfId="21452" xr:uid="{00000000-0005-0000-0000-0000BE1E0000}"/>
    <cellStyle name="Millares 2 6 2 5 4 2 3 2" xfId="48585" xr:uid="{00000000-0005-0000-0000-0000BF1E0000}"/>
    <cellStyle name="Millares 2 6 2 5 4 2 4" xfId="35023" xr:uid="{00000000-0005-0000-0000-0000C01E0000}"/>
    <cellStyle name="Millares 2 6 2 5 4 3" xfId="11276" xr:uid="{00000000-0005-0000-0000-0000C11E0000}"/>
    <cellStyle name="Millares 2 6 2 5 4 3 2" xfId="24844" xr:uid="{00000000-0005-0000-0000-0000C21E0000}"/>
    <cellStyle name="Millares 2 6 2 5 4 3 2 2" xfId="51977" xr:uid="{00000000-0005-0000-0000-0000C31E0000}"/>
    <cellStyle name="Millares 2 6 2 5 4 3 3" xfId="38415" xr:uid="{00000000-0005-0000-0000-0000C41E0000}"/>
    <cellStyle name="Millares 2 6 2 5 4 4" xfId="18063" xr:uid="{00000000-0005-0000-0000-0000C51E0000}"/>
    <cellStyle name="Millares 2 6 2 5 4 4 2" xfId="45196" xr:uid="{00000000-0005-0000-0000-0000C61E0000}"/>
    <cellStyle name="Millares 2 6 2 5 4 5" xfId="31634" xr:uid="{00000000-0005-0000-0000-0000C71E0000}"/>
    <cellStyle name="Millares 2 6 2 5 5" xfId="7871" xr:uid="{00000000-0005-0000-0000-0000C81E0000}"/>
    <cellStyle name="Millares 2 6 2 5 5 2" xfId="14660" xr:uid="{00000000-0005-0000-0000-0000C91E0000}"/>
    <cellStyle name="Millares 2 6 2 5 5 2 2" xfId="28228" xr:uid="{00000000-0005-0000-0000-0000CA1E0000}"/>
    <cellStyle name="Millares 2 6 2 5 5 2 2 2" xfId="55361" xr:uid="{00000000-0005-0000-0000-0000CB1E0000}"/>
    <cellStyle name="Millares 2 6 2 5 5 2 3" xfId="41799" xr:uid="{00000000-0005-0000-0000-0000CC1E0000}"/>
    <cellStyle name="Millares 2 6 2 5 5 3" xfId="21447" xr:uid="{00000000-0005-0000-0000-0000CD1E0000}"/>
    <cellStyle name="Millares 2 6 2 5 5 3 2" xfId="48580" xr:uid="{00000000-0005-0000-0000-0000CE1E0000}"/>
    <cellStyle name="Millares 2 6 2 5 5 4" xfId="35018" xr:uid="{00000000-0005-0000-0000-0000CF1E0000}"/>
    <cellStyle name="Millares 2 6 2 5 6" xfId="11271" xr:uid="{00000000-0005-0000-0000-0000D01E0000}"/>
    <cellStyle name="Millares 2 6 2 5 6 2" xfId="24839" xr:uid="{00000000-0005-0000-0000-0000D11E0000}"/>
    <cellStyle name="Millares 2 6 2 5 6 2 2" xfId="51972" xr:uid="{00000000-0005-0000-0000-0000D21E0000}"/>
    <cellStyle name="Millares 2 6 2 5 6 3" xfId="38410" xr:uid="{00000000-0005-0000-0000-0000D31E0000}"/>
    <cellStyle name="Millares 2 6 2 5 7" xfId="18058" xr:uid="{00000000-0005-0000-0000-0000D41E0000}"/>
    <cellStyle name="Millares 2 6 2 5 7 2" xfId="45191" xr:uid="{00000000-0005-0000-0000-0000D51E0000}"/>
    <cellStyle name="Millares 2 6 2 5 8" xfId="31629" xr:uid="{00000000-0005-0000-0000-0000D61E0000}"/>
    <cellStyle name="Millares 2 6 2 6" xfId="4267" xr:uid="{00000000-0005-0000-0000-0000D71E0000}"/>
    <cellStyle name="Millares 2 6 2 6 2" xfId="4268" xr:uid="{00000000-0005-0000-0000-0000D81E0000}"/>
    <cellStyle name="Millares 2 6 2 6 2 2" xfId="7878" xr:uid="{00000000-0005-0000-0000-0000D91E0000}"/>
    <cellStyle name="Millares 2 6 2 6 2 2 2" xfId="14667" xr:uid="{00000000-0005-0000-0000-0000DA1E0000}"/>
    <cellStyle name="Millares 2 6 2 6 2 2 2 2" xfId="28235" xr:uid="{00000000-0005-0000-0000-0000DB1E0000}"/>
    <cellStyle name="Millares 2 6 2 6 2 2 2 2 2" xfId="55368" xr:uid="{00000000-0005-0000-0000-0000DC1E0000}"/>
    <cellStyle name="Millares 2 6 2 6 2 2 2 3" xfId="41806" xr:uid="{00000000-0005-0000-0000-0000DD1E0000}"/>
    <cellStyle name="Millares 2 6 2 6 2 2 3" xfId="21454" xr:uid="{00000000-0005-0000-0000-0000DE1E0000}"/>
    <cellStyle name="Millares 2 6 2 6 2 2 3 2" xfId="48587" xr:uid="{00000000-0005-0000-0000-0000DF1E0000}"/>
    <cellStyle name="Millares 2 6 2 6 2 2 4" xfId="35025" xr:uid="{00000000-0005-0000-0000-0000E01E0000}"/>
    <cellStyle name="Millares 2 6 2 6 2 3" xfId="11278" xr:uid="{00000000-0005-0000-0000-0000E11E0000}"/>
    <cellStyle name="Millares 2 6 2 6 2 3 2" xfId="24846" xr:uid="{00000000-0005-0000-0000-0000E21E0000}"/>
    <cellStyle name="Millares 2 6 2 6 2 3 2 2" xfId="51979" xr:uid="{00000000-0005-0000-0000-0000E31E0000}"/>
    <cellStyle name="Millares 2 6 2 6 2 3 3" xfId="38417" xr:uid="{00000000-0005-0000-0000-0000E41E0000}"/>
    <cellStyle name="Millares 2 6 2 6 2 4" xfId="18065" xr:uid="{00000000-0005-0000-0000-0000E51E0000}"/>
    <cellStyle name="Millares 2 6 2 6 2 4 2" xfId="45198" xr:uid="{00000000-0005-0000-0000-0000E61E0000}"/>
    <cellStyle name="Millares 2 6 2 6 2 5" xfId="31636" xr:uid="{00000000-0005-0000-0000-0000E71E0000}"/>
    <cellStyle name="Millares 2 6 2 6 3" xfId="4269" xr:uid="{00000000-0005-0000-0000-0000E81E0000}"/>
    <cellStyle name="Millares 2 6 2 6 3 2" xfId="7879" xr:uid="{00000000-0005-0000-0000-0000E91E0000}"/>
    <cellStyle name="Millares 2 6 2 6 3 2 2" xfId="14668" xr:uid="{00000000-0005-0000-0000-0000EA1E0000}"/>
    <cellStyle name="Millares 2 6 2 6 3 2 2 2" xfId="28236" xr:uid="{00000000-0005-0000-0000-0000EB1E0000}"/>
    <cellStyle name="Millares 2 6 2 6 3 2 2 2 2" xfId="55369" xr:uid="{00000000-0005-0000-0000-0000EC1E0000}"/>
    <cellStyle name="Millares 2 6 2 6 3 2 2 3" xfId="41807" xr:uid="{00000000-0005-0000-0000-0000ED1E0000}"/>
    <cellStyle name="Millares 2 6 2 6 3 2 3" xfId="21455" xr:uid="{00000000-0005-0000-0000-0000EE1E0000}"/>
    <cellStyle name="Millares 2 6 2 6 3 2 3 2" xfId="48588" xr:uid="{00000000-0005-0000-0000-0000EF1E0000}"/>
    <cellStyle name="Millares 2 6 2 6 3 2 4" xfId="35026" xr:uid="{00000000-0005-0000-0000-0000F01E0000}"/>
    <cellStyle name="Millares 2 6 2 6 3 3" xfId="11279" xr:uid="{00000000-0005-0000-0000-0000F11E0000}"/>
    <cellStyle name="Millares 2 6 2 6 3 3 2" xfId="24847" xr:uid="{00000000-0005-0000-0000-0000F21E0000}"/>
    <cellStyle name="Millares 2 6 2 6 3 3 2 2" xfId="51980" xr:uid="{00000000-0005-0000-0000-0000F31E0000}"/>
    <cellStyle name="Millares 2 6 2 6 3 3 3" xfId="38418" xr:uid="{00000000-0005-0000-0000-0000F41E0000}"/>
    <cellStyle name="Millares 2 6 2 6 3 4" xfId="18066" xr:uid="{00000000-0005-0000-0000-0000F51E0000}"/>
    <cellStyle name="Millares 2 6 2 6 3 4 2" xfId="45199" xr:uid="{00000000-0005-0000-0000-0000F61E0000}"/>
    <cellStyle name="Millares 2 6 2 6 3 5" xfId="31637" xr:uid="{00000000-0005-0000-0000-0000F71E0000}"/>
    <cellStyle name="Millares 2 6 2 6 4" xfId="7877" xr:uid="{00000000-0005-0000-0000-0000F81E0000}"/>
    <cellStyle name="Millares 2 6 2 6 4 2" xfId="14666" xr:uid="{00000000-0005-0000-0000-0000F91E0000}"/>
    <cellStyle name="Millares 2 6 2 6 4 2 2" xfId="28234" xr:uid="{00000000-0005-0000-0000-0000FA1E0000}"/>
    <cellStyle name="Millares 2 6 2 6 4 2 2 2" xfId="55367" xr:uid="{00000000-0005-0000-0000-0000FB1E0000}"/>
    <cellStyle name="Millares 2 6 2 6 4 2 3" xfId="41805" xr:uid="{00000000-0005-0000-0000-0000FC1E0000}"/>
    <cellStyle name="Millares 2 6 2 6 4 3" xfId="21453" xr:uid="{00000000-0005-0000-0000-0000FD1E0000}"/>
    <cellStyle name="Millares 2 6 2 6 4 3 2" xfId="48586" xr:uid="{00000000-0005-0000-0000-0000FE1E0000}"/>
    <cellStyle name="Millares 2 6 2 6 4 4" xfId="35024" xr:uid="{00000000-0005-0000-0000-0000FF1E0000}"/>
    <cellStyle name="Millares 2 6 2 6 5" xfId="11277" xr:uid="{00000000-0005-0000-0000-0000001F0000}"/>
    <cellStyle name="Millares 2 6 2 6 5 2" xfId="24845" xr:uid="{00000000-0005-0000-0000-0000011F0000}"/>
    <cellStyle name="Millares 2 6 2 6 5 2 2" xfId="51978" xr:uid="{00000000-0005-0000-0000-0000021F0000}"/>
    <cellStyle name="Millares 2 6 2 6 5 3" xfId="38416" xr:uid="{00000000-0005-0000-0000-0000031F0000}"/>
    <cellStyle name="Millares 2 6 2 6 6" xfId="18064" xr:uid="{00000000-0005-0000-0000-0000041F0000}"/>
    <cellStyle name="Millares 2 6 2 6 6 2" xfId="45197" xr:uid="{00000000-0005-0000-0000-0000051F0000}"/>
    <cellStyle name="Millares 2 6 2 6 7" xfId="31635" xr:uid="{00000000-0005-0000-0000-0000061F0000}"/>
    <cellStyle name="Millares 2 6 2 7" xfId="4270" xr:uid="{00000000-0005-0000-0000-0000071F0000}"/>
    <cellStyle name="Millares 2 6 2 7 2" xfId="4271" xr:uid="{00000000-0005-0000-0000-0000081F0000}"/>
    <cellStyle name="Millares 2 6 2 7 2 2" xfId="7881" xr:uid="{00000000-0005-0000-0000-0000091F0000}"/>
    <cellStyle name="Millares 2 6 2 7 2 2 2" xfId="14670" xr:uid="{00000000-0005-0000-0000-00000A1F0000}"/>
    <cellStyle name="Millares 2 6 2 7 2 2 2 2" xfId="28238" xr:uid="{00000000-0005-0000-0000-00000B1F0000}"/>
    <cellStyle name="Millares 2 6 2 7 2 2 2 2 2" xfId="55371" xr:uid="{00000000-0005-0000-0000-00000C1F0000}"/>
    <cellStyle name="Millares 2 6 2 7 2 2 2 3" xfId="41809" xr:uid="{00000000-0005-0000-0000-00000D1F0000}"/>
    <cellStyle name="Millares 2 6 2 7 2 2 3" xfId="21457" xr:uid="{00000000-0005-0000-0000-00000E1F0000}"/>
    <cellStyle name="Millares 2 6 2 7 2 2 3 2" xfId="48590" xr:uid="{00000000-0005-0000-0000-00000F1F0000}"/>
    <cellStyle name="Millares 2 6 2 7 2 2 4" xfId="35028" xr:uid="{00000000-0005-0000-0000-0000101F0000}"/>
    <cellStyle name="Millares 2 6 2 7 2 3" xfId="11281" xr:uid="{00000000-0005-0000-0000-0000111F0000}"/>
    <cellStyle name="Millares 2 6 2 7 2 3 2" xfId="24849" xr:uid="{00000000-0005-0000-0000-0000121F0000}"/>
    <cellStyle name="Millares 2 6 2 7 2 3 2 2" xfId="51982" xr:uid="{00000000-0005-0000-0000-0000131F0000}"/>
    <cellStyle name="Millares 2 6 2 7 2 3 3" xfId="38420" xr:uid="{00000000-0005-0000-0000-0000141F0000}"/>
    <cellStyle name="Millares 2 6 2 7 2 4" xfId="18068" xr:uid="{00000000-0005-0000-0000-0000151F0000}"/>
    <cellStyle name="Millares 2 6 2 7 2 4 2" xfId="45201" xr:uid="{00000000-0005-0000-0000-0000161F0000}"/>
    <cellStyle name="Millares 2 6 2 7 2 5" xfId="31639" xr:uid="{00000000-0005-0000-0000-0000171F0000}"/>
    <cellStyle name="Millares 2 6 2 7 3" xfId="4272" xr:uid="{00000000-0005-0000-0000-0000181F0000}"/>
    <cellStyle name="Millares 2 6 2 7 3 2" xfId="7882" xr:uid="{00000000-0005-0000-0000-0000191F0000}"/>
    <cellStyle name="Millares 2 6 2 7 3 2 2" xfId="14671" xr:uid="{00000000-0005-0000-0000-00001A1F0000}"/>
    <cellStyle name="Millares 2 6 2 7 3 2 2 2" xfId="28239" xr:uid="{00000000-0005-0000-0000-00001B1F0000}"/>
    <cellStyle name="Millares 2 6 2 7 3 2 2 2 2" xfId="55372" xr:uid="{00000000-0005-0000-0000-00001C1F0000}"/>
    <cellStyle name="Millares 2 6 2 7 3 2 2 3" xfId="41810" xr:uid="{00000000-0005-0000-0000-00001D1F0000}"/>
    <cellStyle name="Millares 2 6 2 7 3 2 3" xfId="21458" xr:uid="{00000000-0005-0000-0000-00001E1F0000}"/>
    <cellStyle name="Millares 2 6 2 7 3 2 3 2" xfId="48591" xr:uid="{00000000-0005-0000-0000-00001F1F0000}"/>
    <cellStyle name="Millares 2 6 2 7 3 2 4" xfId="35029" xr:uid="{00000000-0005-0000-0000-0000201F0000}"/>
    <cellStyle name="Millares 2 6 2 7 3 3" xfId="11282" xr:uid="{00000000-0005-0000-0000-0000211F0000}"/>
    <cellStyle name="Millares 2 6 2 7 3 3 2" xfId="24850" xr:uid="{00000000-0005-0000-0000-0000221F0000}"/>
    <cellStyle name="Millares 2 6 2 7 3 3 2 2" xfId="51983" xr:uid="{00000000-0005-0000-0000-0000231F0000}"/>
    <cellStyle name="Millares 2 6 2 7 3 3 3" xfId="38421" xr:uid="{00000000-0005-0000-0000-0000241F0000}"/>
    <cellStyle name="Millares 2 6 2 7 3 4" xfId="18069" xr:uid="{00000000-0005-0000-0000-0000251F0000}"/>
    <cellStyle name="Millares 2 6 2 7 3 4 2" xfId="45202" xr:uid="{00000000-0005-0000-0000-0000261F0000}"/>
    <cellStyle name="Millares 2 6 2 7 3 5" xfId="31640" xr:uid="{00000000-0005-0000-0000-0000271F0000}"/>
    <cellStyle name="Millares 2 6 2 7 4" xfId="7880" xr:uid="{00000000-0005-0000-0000-0000281F0000}"/>
    <cellStyle name="Millares 2 6 2 7 4 2" xfId="14669" xr:uid="{00000000-0005-0000-0000-0000291F0000}"/>
    <cellStyle name="Millares 2 6 2 7 4 2 2" xfId="28237" xr:uid="{00000000-0005-0000-0000-00002A1F0000}"/>
    <cellStyle name="Millares 2 6 2 7 4 2 2 2" xfId="55370" xr:uid="{00000000-0005-0000-0000-00002B1F0000}"/>
    <cellStyle name="Millares 2 6 2 7 4 2 3" xfId="41808" xr:uid="{00000000-0005-0000-0000-00002C1F0000}"/>
    <cellStyle name="Millares 2 6 2 7 4 3" xfId="21456" xr:uid="{00000000-0005-0000-0000-00002D1F0000}"/>
    <cellStyle name="Millares 2 6 2 7 4 3 2" xfId="48589" xr:uid="{00000000-0005-0000-0000-00002E1F0000}"/>
    <cellStyle name="Millares 2 6 2 7 4 4" xfId="35027" xr:uid="{00000000-0005-0000-0000-00002F1F0000}"/>
    <cellStyle name="Millares 2 6 2 7 5" xfId="11280" xr:uid="{00000000-0005-0000-0000-0000301F0000}"/>
    <cellStyle name="Millares 2 6 2 7 5 2" xfId="24848" xr:uid="{00000000-0005-0000-0000-0000311F0000}"/>
    <cellStyle name="Millares 2 6 2 7 5 2 2" xfId="51981" xr:uid="{00000000-0005-0000-0000-0000321F0000}"/>
    <cellStyle name="Millares 2 6 2 7 5 3" xfId="38419" xr:uid="{00000000-0005-0000-0000-0000331F0000}"/>
    <cellStyle name="Millares 2 6 2 7 6" xfId="18067" xr:uid="{00000000-0005-0000-0000-0000341F0000}"/>
    <cellStyle name="Millares 2 6 2 7 6 2" xfId="45200" xr:uid="{00000000-0005-0000-0000-0000351F0000}"/>
    <cellStyle name="Millares 2 6 2 7 7" xfId="31638" xr:uid="{00000000-0005-0000-0000-0000361F0000}"/>
    <cellStyle name="Millares 2 6 2 8" xfId="4273" xr:uid="{00000000-0005-0000-0000-0000371F0000}"/>
    <cellStyle name="Millares 2 6 2 8 2" xfId="7883" xr:uid="{00000000-0005-0000-0000-0000381F0000}"/>
    <cellStyle name="Millares 2 6 2 8 2 2" xfId="14672" xr:uid="{00000000-0005-0000-0000-0000391F0000}"/>
    <cellStyle name="Millares 2 6 2 8 2 2 2" xfId="28240" xr:uid="{00000000-0005-0000-0000-00003A1F0000}"/>
    <cellStyle name="Millares 2 6 2 8 2 2 2 2" xfId="55373" xr:uid="{00000000-0005-0000-0000-00003B1F0000}"/>
    <cellStyle name="Millares 2 6 2 8 2 2 3" xfId="41811" xr:uid="{00000000-0005-0000-0000-00003C1F0000}"/>
    <cellStyle name="Millares 2 6 2 8 2 3" xfId="21459" xr:uid="{00000000-0005-0000-0000-00003D1F0000}"/>
    <cellStyle name="Millares 2 6 2 8 2 3 2" xfId="48592" xr:uid="{00000000-0005-0000-0000-00003E1F0000}"/>
    <cellStyle name="Millares 2 6 2 8 2 4" xfId="35030" xr:uid="{00000000-0005-0000-0000-00003F1F0000}"/>
    <cellStyle name="Millares 2 6 2 8 3" xfId="11283" xr:uid="{00000000-0005-0000-0000-0000401F0000}"/>
    <cellStyle name="Millares 2 6 2 8 3 2" xfId="24851" xr:uid="{00000000-0005-0000-0000-0000411F0000}"/>
    <cellStyle name="Millares 2 6 2 8 3 2 2" xfId="51984" xr:uid="{00000000-0005-0000-0000-0000421F0000}"/>
    <cellStyle name="Millares 2 6 2 8 3 3" xfId="38422" xr:uid="{00000000-0005-0000-0000-0000431F0000}"/>
    <cellStyle name="Millares 2 6 2 8 4" xfId="18070" xr:uid="{00000000-0005-0000-0000-0000441F0000}"/>
    <cellStyle name="Millares 2 6 2 8 4 2" xfId="45203" xr:uid="{00000000-0005-0000-0000-0000451F0000}"/>
    <cellStyle name="Millares 2 6 2 8 5" xfId="31641" xr:uid="{00000000-0005-0000-0000-0000461F0000}"/>
    <cellStyle name="Millares 2 6 2 9" xfId="4274" xr:uid="{00000000-0005-0000-0000-0000471F0000}"/>
    <cellStyle name="Millares 2 6 2 9 2" xfId="7884" xr:uid="{00000000-0005-0000-0000-0000481F0000}"/>
    <cellStyle name="Millares 2 6 2 9 2 2" xfId="14673" xr:uid="{00000000-0005-0000-0000-0000491F0000}"/>
    <cellStyle name="Millares 2 6 2 9 2 2 2" xfId="28241" xr:uid="{00000000-0005-0000-0000-00004A1F0000}"/>
    <cellStyle name="Millares 2 6 2 9 2 2 2 2" xfId="55374" xr:uid="{00000000-0005-0000-0000-00004B1F0000}"/>
    <cellStyle name="Millares 2 6 2 9 2 2 3" xfId="41812" xr:uid="{00000000-0005-0000-0000-00004C1F0000}"/>
    <cellStyle name="Millares 2 6 2 9 2 3" xfId="21460" xr:uid="{00000000-0005-0000-0000-00004D1F0000}"/>
    <cellStyle name="Millares 2 6 2 9 2 3 2" xfId="48593" xr:uid="{00000000-0005-0000-0000-00004E1F0000}"/>
    <cellStyle name="Millares 2 6 2 9 2 4" xfId="35031" xr:uid="{00000000-0005-0000-0000-00004F1F0000}"/>
    <cellStyle name="Millares 2 6 2 9 3" xfId="11284" xr:uid="{00000000-0005-0000-0000-0000501F0000}"/>
    <cellStyle name="Millares 2 6 2 9 3 2" xfId="24852" xr:uid="{00000000-0005-0000-0000-0000511F0000}"/>
    <cellStyle name="Millares 2 6 2 9 3 2 2" xfId="51985" xr:uid="{00000000-0005-0000-0000-0000521F0000}"/>
    <cellStyle name="Millares 2 6 2 9 3 3" xfId="38423" xr:uid="{00000000-0005-0000-0000-0000531F0000}"/>
    <cellStyle name="Millares 2 6 2 9 4" xfId="18071" xr:uid="{00000000-0005-0000-0000-0000541F0000}"/>
    <cellStyle name="Millares 2 6 2 9 4 2" xfId="45204" xr:uid="{00000000-0005-0000-0000-0000551F0000}"/>
    <cellStyle name="Millares 2 6 2 9 5" xfId="31642" xr:uid="{00000000-0005-0000-0000-0000561F0000}"/>
    <cellStyle name="Millares 2 6 3" xfId="4275" xr:uid="{00000000-0005-0000-0000-0000571F0000}"/>
    <cellStyle name="Millares 2 6 3 10" xfId="11285" xr:uid="{00000000-0005-0000-0000-0000581F0000}"/>
    <cellStyle name="Millares 2 6 3 10 2" xfId="24853" xr:uid="{00000000-0005-0000-0000-0000591F0000}"/>
    <cellStyle name="Millares 2 6 3 10 2 2" xfId="51986" xr:uid="{00000000-0005-0000-0000-00005A1F0000}"/>
    <cellStyle name="Millares 2 6 3 10 3" xfId="38424" xr:uid="{00000000-0005-0000-0000-00005B1F0000}"/>
    <cellStyle name="Millares 2 6 3 11" xfId="18072" xr:uid="{00000000-0005-0000-0000-00005C1F0000}"/>
    <cellStyle name="Millares 2 6 3 11 2" xfId="45205" xr:uid="{00000000-0005-0000-0000-00005D1F0000}"/>
    <cellStyle name="Millares 2 6 3 12" xfId="31643" xr:uid="{00000000-0005-0000-0000-00005E1F0000}"/>
    <cellStyle name="Millares 2 6 3 2" xfId="4276" xr:uid="{00000000-0005-0000-0000-00005F1F0000}"/>
    <cellStyle name="Millares 2 6 3 2 10" xfId="31644" xr:uid="{00000000-0005-0000-0000-0000601F0000}"/>
    <cellStyle name="Millares 2 6 3 2 2" xfId="4277" xr:uid="{00000000-0005-0000-0000-0000611F0000}"/>
    <cellStyle name="Millares 2 6 3 2 2 2" xfId="4278" xr:uid="{00000000-0005-0000-0000-0000621F0000}"/>
    <cellStyle name="Millares 2 6 3 2 2 2 2" xfId="4279" xr:uid="{00000000-0005-0000-0000-0000631F0000}"/>
    <cellStyle name="Millares 2 6 3 2 2 2 2 2" xfId="7889" xr:uid="{00000000-0005-0000-0000-0000641F0000}"/>
    <cellStyle name="Millares 2 6 3 2 2 2 2 2 2" xfId="14678" xr:uid="{00000000-0005-0000-0000-0000651F0000}"/>
    <cellStyle name="Millares 2 6 3 2 2 2 2 2 2 2" xfId="28246" xr:uid="{00000000-0005-0000-0000-0000661F0000}"/>
    <cellStyle name="Millares 2 6 3 2 2 2 2 2 2 2 2" xfId="55379" xr:uid="{00000000-0005-0000-0000-0000671F0000}"/>
    <cellStyle name="Millares 2 6 3 2 2 2 2 2 2 3" xfId="41817" xr:uid="{00000000-0005-0000-0000-0000681F0000}"/>
    <cellStyle name="Millares 2 6 3 2 2 2 2 2 3" xfId="21465" xr:uid="{00000000-0005-0000-0000-0000691F0000}"/>
    <cellStyle name="Millares 2 6 3 2 2 2 2 2 3 2" xfId="48598" xr:uid="{00000000-0005-0000-0000-00006A1F0000}"/>
    <cellStyle name="Millares 2 6 3 2 2 2 2 2 4" xfId="35036" xr:uid="{00000000-0005-0000-0000-00006B1F0000}"/>
    <cellStyle name="Millares 2 6 3 2 2 2 2 3" xfId="11289" xr:uid="{00000000-0005-0000-0000-00006C1F0000}"/>
    <cellStyle name="Millares 2 6 3 2 2 2 2 3 2" xfId="24857" xr:uid="{00000000-0005-0000-0000-00006D1F0000}"/>
    <cellStyle name="Millares 2 6 3 2 2 2 2 3 2 2" xfId="51990" xr:uid="{00000000-0005-0000-0000-00006E1F0000}"/>
    <cellStyle name="Millares 2 6 3 2 2 2 2 3 3" xfId="38428" xr:uid="{00000000-0005-0000-0000-00006F1F0000}"/>
    <cellStyle name="Millares 2 6 3 2 2 2 2 4" xfId="18076" xr:uid="{00000000-0005-0000-0000-0000701F0000}"/>
    <cellStyle name="Millares 2 6 3 2 2 2 2 4 2" xfId="45209" xr:uid="{00000000-0005-0000-0000-0000711F0000}"/>
    <cellStyle name="Millares 2 6 3 2 2 2 2 5" xfId="31647" xr:uid="{00000000-0005-0000-0000-0000721F0000}"/>
    <cellStyle name="Millares 2 6 3 2 2 2 3" xfId="4280" xr:uid="{00000000-0005-0000-0000-0000731F0000}"/>
    <cellStyle name="Millares 2 6 3 2 2 2 3 2" xfId="7890" xr:uid="{00000000-0005-0000-0000-0000741F0000}"/>
    <cellStyle name="Millares 2 6 3 2 2 2 3 2 2" xfId="14679" xr:uid="{00000000-0005-0000-0000-0000751F0000}"/>
    <cellStyle name="Millares 2 6 3 2 2 2 3 2 2 2" xfId="28247" xr:uid="{00000000-0005-0000-0000-0000761F0000}"/>
    <cellStyle name="Millares 2 6 3 2 2 2 3 2 2 2 2" xfId="55380" xr:uid="{00000000-0005-0000-0000-0000771F0000}"/>
    <cellStyle name="Millares 2 6 3 2 2 2 3 2 2 3" xfId="41818" xr:uid="{00000000-0005-0000-0000-0000781F0000}"/>
    <cellStyle name="Millares 2 6 3 2 2 2 3 2 3" xfId="21466" xr:uid="{00000000-0005-0000-0000-0000791F0000}"/>
    <cellStyle name="Millares 2 6 3 2 2 2 3 2 3 2" xfId="48599" xr:uid="{00000000-0005-0000-0000-00007A1F0000}"/>
    <cellStyle name="Millares 2 6 3 2 2 2 3 2 4" xfId="35037" xr:uid="{00000000-0005-0000-0000-00007B1F0000}"/>
    <cellStyle name="Millares 2 6 3 2 2 2 3 3" xfId="11290" xr:uid="{00000000-0005-0000-0000-00007C1F0000}"/>
    <cellStyle name="Millares 2 6 3 2 2 2 3 3 2" xfId="24858" xr:uid="{00000000-0005-0000-0000-00007D1F0000}"/>
    <cellStyle name="Millares 2 6 3 2 2 2 3 3 2 2" xfId="51991" xr:uid="{00000000-0005-0000-0000-00007E1F0000}"/>
    <cellStyle name="Millares 2 6 3 2 2 2 3 3 3" xfId="38429" xr:uid="{00000000-0005-0000-0000-00007F1F0000}"/>
    <cellStyle name="Millares 2 6 3 2 2 2 3 4" xfId="18077" xr:uid="{00000000-0005-0000-0000-0000801F0000}"/>
    <cellStyle name="Millares 2 6 3 2 2 2 3 4 2" xfId="45210" xr:uid="{00000000-0005-0000-0000-0000811F0000}"/>
    <cellStyle name="Millares 2 6 3 2 2 2 3 5" xfId="31648" xr:uid="{00000000-0005-0000-0000-0000821F0000}"/>
    <cellStyle name="Millares 2 6 3 2 2 2 4" xfId="7888" xr:uid="{00000000-0005-0000-0000-0000831F0000}"/>
    <cellStyle name="Millares 2 6 3 2 2 2 4 2" xfId="14677" xr:uid="{00000000-0005-0000-0000-0000841F0000}"/>
    <cellStyle name="Millares 2 6 3 2 2 2 4 2 2" xfId="28245" xr:uid="{00000000-0005-0000-0000-0000851F0000}"/>
    <cellStyle name="Millares 2 6 3 2 2 2 4 2 2 2" xfId="55378" xr:uid="{00000000-0005-0000-0000-0000861F0000}"/>
    <cellStyle name="Millares 2 6 3 2 2 2 4 2 3" xfId="41816" xr:uid="{00000000-0005-0000-0000-0000871F0000}"/>
    <cellStyle name="Millares 2 6 3 2 2 2 4 3" xfId="21464" xr:uid="{00000000-0005-0000-0000-0000881F0000}"/>
    <cellStyle name="Millares 2 6 3 2 2 2 4 3 2" xfId="48597" xr:uid="{00000000-0005-0000-0000-0000891F0000}"/>
    <cellStyle name="Millares 2 6 3 2 2 2 4 4" xfId="35035" xr:uid="{00000000-0005-0000-0000-00008A1F0000}"/>
    <cellStyle name="Millares 2 6 3 2 2 2 5" xfId="11288" xr:uid="{00000000-0005-0000-0000-00008B1F0000}"/>
    <cellStyle name="Millares 2 6 3 2 2 2 5 2" xfId="24856" xr:uid="{00000000-0005-0000-0000-00008C1F0000}"/>
    <cellStyle name="Millares 2 6 3 2 2 2 5 2 2" xfId="51989" xr:uid="{00000000-0005-0000-0000-00008D1F0000}"/>
    <cellStyle name="Millares 2 6 3 2 2 2 5 3" xfId="38427" xr:uid="{00000000-0005-0000-0000-00008E1F0000}"/>
    <cellStyle name="Millares 2 6 3 2 2 2 6" xfId="18075" xr:uid="{00000000-0005-0000-0000-00008F1F0000}"/>
    <cellStyle name="Millares 2 6 3 2 2 2 6 2" xfId="45208" xr:uid="{00000000-0005-0000-0000-0000901F0000}"/>
    <cellStyle name="Millares 2 6 3 2 2 2 7" xfId="31646" xr:uid="{00000000-0005-0000-0000-0000911F0000}"/>
    <cellStyle name="Millares 2 6 3 2 2 3" xfId="4281" xr:uid="{00000000-0005-0000-0000-0000921F0000}"/>
    <cellStyle name="Millares 2 6 3 2 2 3 2" xfId="4282" xr:uid="{00000000-0005-0000-0000-0000931F0000}"/>
    <cellStyle name="Millares 2 6 3 2 2 3 2 2" xfId="7892" xr:uid="{00000000-0005-0000-0000-0000941F0000}"/>
    <cellStyle name="Millares 2 6 3 2 2 3 2 2 2" xfId="14681" xr:uid="{00000000-0005-0000-0000-0000951F0000}"/>
    <cellStyle name="Millares 2 6 3 2 2 3 2 2 2 2" xfId="28249" xr:uid="{00000000-0005-0000-0000-0000961F0000}"/>
    <cellStyle name="Millares 2 6 3 2 2 3 2 2 2 2 2" xfId="55382" xr:uid="{00000000-0005-0000-0000-0000971F0000}"/>
    <cellStyle name="Millares 2 6 3 2 2 3 2 2 2 3" xfId="41820" xr:uid="{00000000-0005-0000-0000-0000981F0000}"/>
    <cellStyle name="Millares 2 6 3 2 2 3 2 2 3" xfId="21468" xr:uid="{00000000-0005-0000-0000-0000991F0000}"/>
    <cellStyle name="Millares 2 6 3 2 2 3 2 2 3 2" xfId="48601" xr:uid="{00000000-0005-0000-0000-00009A1F0000}"/>
    <cellStyle name="Millares 2 6 3 2 2 3 2 2 4" xfId="35039" xr:uid="{00000000-0005-0000-0000-00009B1F0000}"/>
    <cellStyle name="Millares 2 6 3 2 2 3 2 3" xfId="11292" xr:uid="{00000000-0005-0000-0000-00009C1F0000}"/>
    <cellStyle name="Millares 2 6 3 2 2 3 2 3 2" xfId="24860" xr:uid="{00000000-0005-0000-0000-00009D1F0000}"/>
    <cellStyle name="Millares 2 6 3 2 2 3 2 3 2 2" xfId="51993" xr:uid="{00000000-0005-0000-0000-00009E1F0000}"/>
    <cellStyle name="Millares 2 6 3 2 2 3 2 3 3" xfId="38431" xr:uid="{00000000-0005-0000-0000-00009F1F0000}"/>
    <cellStyle name="Millares 2 6 3 2 2 3 2 4" xfId="18079" xr:uid="{00000000-0005-0000-0000-0000A01F0000}"/>
    <cellStyle name="Millares 2 6 3 2 2 3 2 4 2" xfId="45212" xr:uid="{00000000-0005-0000-0000-0000A11F0000}"/>
    <cellStyle name="Millares 2 6 3 2 2 3 2 5" xfId="31650" xr:uid="{00000000-0005-0000-0000-0000A21F0000}"/>
    <cellStyle name="Millares 2 6 3 2 2 3 3" xfId="7891" xr:uid="{00000000-0005-0000-0000-0000A31F0000}"/>
    <cellStyle name="Millares 2 6 3 2 2 3 3 2" xfId="14680" xr:uid="{00000000-0005-0000-0000-0000A41F0000}"/>
    <cellStyle name="Millares 2 6 3 2 2 3 3 2 2" xfId="28248" xr:uid="{00000000-0005-0000-0000-0000A51F0000}"/>
    <cellStyle name="Millares 2 6 3 2 2 3 3 2 2 2" xfId="55381" xr:uid="{00000000-0005-0000-0000-0000A61F0000}"/>
    <cellStyle name="Millares 2 6 3 2 2 3 3 2 3" xfId="41819" xr:uid="{00000000-0005-0000-0000-0000A71F0000}"/>
    <cellStyle name="Millares 2 6 3 2 2 3 3 3" xfId="21467" xr:uid="{00000000-0005-0000-0000-0000A81F0000}"/>
    <cellStyle name="Millares 2 6 3 2 2 3 3 3 2" xfId="48600" xr:uid="{00000000-0005-0000-0000-0000A91F0000}"/>
    <cellStyle name="Millares 2 6 3 2 2 3 3 4" xfId="35038" xr:uid="{00000000-0005-0000-0000-0000AA1F0000}"/>
    <cellStyle name="Millares 2 6 3 2 2 3 4" xfId="11291" xr:uid="{00000000-0005-0000-0000-0000AB1F0000}"/>
    <cellStyle name="Millares 2 6 3 2 2 3 4 2" xfId="24859" xr:uid="{00000000-0005-0000-0000-0000AC1F0000}"/>
    <cellStyle name="Millares 2 6 3 2 2 3 4 2 2" xfId="51992" xr:uid="{00000000-0005-0000-0000-0000AD1F0000}"/>
    <cellStyle name="Millares 2 6 3 2 2 3 4 3" xfId="38430" xr:uid="{00000000-0005-0000-0000-0000AE1F0000}"/>
    <cellStyle name="Millares 2 6 3 2 2 3 5" xfId="18078" xr:uid="{00000000-0005-0000-0000-0000AF1F0000}"/>
    <cellStyle name="Millares 2 6 3 2 2 3 5 2" xfId="45211" xr:uid="{00000000-0005-0000-0000-0000B01F0000}"/>
    <cellStyle name="Millares 2 6 3 2 2 3 6" xfId="31649" xr:uid="{00000000-0005-0000-0000-0000B11F0000}"/>
    <cellStyle name="Millares 2 6 3 2 2 4" xfId="4283" xr:uid="{00000000-0005-0000-0000-0000B21F0000}"/>
    <cellStyle name="Millares 2 6 3 2 2 4 2" xfId="7893" xr:uid="{00000000-0005-0000-0000-0000B31F0000}"/>
    <cellStyle name="Millares 2 6 3 2 2 4 2 2" xfId="14682" xr:uid="{00000000-0005-0000-0000-0000B41F0000}"/>
    <cellStyle name="Millares 2 6 3 2 2 4 2 2 2" xfId="28250" xr:uid="{00000000-0005-0000-0000-0000B51F0000}"/>
    <cellStyle name="Millares 2 6 3 2 2 4 2 2 2 2" xfId="55383" xr:uid="{00000000-0005-0000-0000-0000B61F0000}"/>
    <cellStyle name="Millares 2 6 3 2 2 4 2 2 3" xfId="41821" xr:uid="{00000000-0005-0000-0000-0000B71F0000}"/>
    <cellStyle name="Millares 2 6 3 2 2 4 2 3" xfId="21469" xr:uid="{00000000-0005-0000-0000-0000B81F0000}"/>
    <cellStyle name="Millares 2 6 3 2 2 4 2 3 2" xfId="48602" xr:uid="{00000000-0005-0000-0000-0000B91F0000}"/>
    <cellStyle name="Millares 2 6 3 2 2 4 2 4" xfId="35040" xr:uid="{00000000-0005-0000-0000-0000BA1F0000}"/>
    <cellStyle name="Millares 2 6 3 2 2 4 3" xfId="11293" xr:uid="{00000000-0005-0000-0000-0000BB1F0000}"/>
    <cellStyle name="Millares 2 6 3 2 2 4 3 2" xfId="24861" xr:uid="{00000000-0005-0000-0000-0000BC1F0000}"/>
    <cellStyle name="Millares 2 6 3 2 2 4 3 2 2" xfId="51994" xr:uid="{00000000-0005-0000-0000-0000BD1F0000}"/>
    <cellStyle name="Millares 2 6 3 2 2 4 3 3" xfId="38432" xr:uid="{00000000-0005-0000-0000-0000BE1F0000}"/>
    <cellStyle name="Millares 2 6 3 2 2 4 4" xfId="18080" xr:uid="{00000000-0005-0000-0000-0000BF1F0000}"/>
    <cellStyle name="Millares 2 6 3 2 2 4 4 2" xfId="45213" xr:uid="{00000000-0005-0000-0000-0000C01F0000}"/>
    <cellStyle name="Millares 2 6 3 2 2 4 5" xfId="31651" xr:uid="{00000000-0005-0000-0000-0000C11F0000}"/>
    <cellStyle name="Millares 2 6 3 2 2 5" xfId="4284" xr:uid="{00000000-0005-0000-0000-0000C21F0000}"/>
    <cellStyle name="Millares 2 6 3 2 2 5 2" xfId="7894" xr:uid="{00000000-0005-0000-0000-0000C31F0000}"/>
    <cellStyle name="Millares 2 6 3 2 2 5 2 2" xfId="14683" xr:uid="{00000000-0005-0000-0000-0000C41F0000}"/>
    <cellStyle name="Millares 2 6 3 2 2 5 2 2 2" xfId="28251" xr:uid="{00000000-0005-0000-0000-0000C51F0000}"/>
    <cellStyle name="Millares 2 6 3 2 2 5 2 2 2 2" xfId="55384" xr:uid="{00000000-0005-0000-0000-0000C61F0000}"/>
    <cellStyle name="Millares 2 6 3 2 2 5 2 2 3" xfId="41822" xr:uid="{00000000-0005-0000-0000-0000C71F0000}"/>
    <cellStyle name="Millares 2 6 3 2 2 5 2 3" xfId="21470" xr:uid="{00000000-0005-0000-0000-0000C81F0000}"/>
    <cellStyle name="Millares 2 6 3 2 2 5 2 3 2" xfId="48603" xr:uid="{00000000-0005-0000-0000-0000C91F0000}"/>
    <cellStyle name="Millares 2 6 3 2 2 5 2 4" xfId="35041" xr:uid="{00000000-0005-0000-0000-0000CA1F0000}"/>
    <cellStyle name="Millares 2 6 3 2 2 5 3" xfId="11294" xr:uid="{00000000-0005-0000-0000-0000CB1F0000}"/>
    <cellStyle name="Millares 2 6 3 2 2 5 3 2" xfId="24862" xr:uid="{00000000-0005-0000-0000-0000CC1F0000}"/>
    <cellStyle name="Millares 2 6 3 2 2 5 3 2 2" xfId="51995" xr:uid="{00000000-0005-0000-0000-0000CD1F0000}"/>
    <cellStyle name="Millares 2 6 3 2 2 5 3 3" xfId="38433" xr:uid="{00000000-0005-0000-0000-0000CE1F0000}"/>
    <cellStyle name="Millares 2 6 3 2 2 5 4" xfId="18081" xr:uid="{00000000-0005-0000-0000-0000CF1F0000}"/>
    <cellStyle name="Millares 2 6 3 2 2 5 4 2" xfId="45214" xr:uid="{00000000-0005-0000-0000-0000D01F0000}"/>
    <cellStyle name="Millares 2 6 3 2 2 5 5" xfId="31652" xr:uid="{00000000-0005-0000-0000-0000D11F0000}"/>
    <cellStyle name="Millares 2 6 3 2 2 6" xfId="7887" xr:uid="{00000000-0005-0000-0000-0000D21F0000}"/>
    <cellStyle name="Millares 2 6 3 2 2 6 2" xfId="14676" xr:uid="{00000000-0005-0000-0000-0000D31F0000}"/>
    <cellStyle name="Millares 2 6 3 2 2 6 2 2" xfId="28244" xr:uid="{00000000-0005-0000-0000-0000D41F0000}"/>
    <cellStyle name="Millares 2 6 3 2 2 6 2 2 2" xfId="55377" xr:uid="{00000000-0005-0000-0000-0000D51F0000}"/>
    <cellStyle name="Millares 2 6 3 2 2 6 2 3" xfId="41815" xr:uid="{00000000-0005-0000-0000-0000D61F0000}"/>
    <cellStyle name="Millares 2 6 3 2 2 6 3" xfId="21463" xr:uid="{00000000-0005-0000-0000-0000D71F0000}"/>
    <cellStyle name="Millares 2 6 3 2 2 6 3 2" xfId="48596" xr:uid="{00000000-0005-0000-0000-0000D81F0000}"/>
    <cellStyle name="Millares 2 6 3 2 2 6 4" xfId="35034" xr:uid="{00000000-0005-0000-0000-0000D91F0000}"/>
    <cellStyle name="Millares 2 6 3 2 2 7" xfId="11287" xr:uid="{00000000-0005-0000-0000-0000DA1F0000}"/>
    <cellStyle name="Millares 2 6 3 2 2 7 2" xfId="24855" xr:uid="{00000000-0005-0000-0000-0000DB1F0000}"/>
    <cellStyle name="Millares 2 6 3 2 2 7 2 2" xfId="51988" xr:uid="{00000000-0005-0000-0000-0000DC1F0000}"/>
    <cellStyle name="Millares 2 6 3 2 2 7 3" xfId="38426" xr:uid="{00000000-0005-0000-0000-0000DD1F0000}"/>
    <cellStyle name="Millares 2 6 3 2 2 8" xfId="18074" xr:uid="{00000000-0005-0000-0000-0000DE1F0000}"/>
    <cellStyle name="Millares 2 6 3 2 2 8 2" xfId="45207" xr:uid="{00000000-0005-0000-0000-0000DF1F0000}"/>
    <cellStyle name="Millares 2 6 3 2 2 9" xfId="31645" xr:uid="{00000000-0005-0000-0000-0000E01F0000}"/>
    <cellStyle name="Millares 2 6 3 2 3" xfId="4285" xr:uid="{00000000-0005-0000-0000-0000E11F0000}"/>
    <cellStyle name="Millares 2 6 3 2 3 2" xfId="4286" xr:uid="{00000000-0005-0000-0000-0000E21F0000}"/>
    <cellStyle name="Millares 2 6 3 2 3 2 2" xfId="7896" xr:uid="{00000000-0005-0000-0000-0000E31F0000}"/>
    <cellStyle name="Millares 2 6 3 2 3 2 2 2" xfId="14685" xr:uid="{00000000-0005-0000-0000-0000E41F0000}"/>
    <cellStyle name="Millares 2 6 3 2 3 2 2 2 2" xfId="28253" xr:uid="{00000000-0005-0000-0000-0000E51F0000}"/>
    <cellStyle name="Millares 2 6 3 2 3 2 2 2 2 2" xfId="55386" xr:uid="{00000000-0005-0000-0000-0000E61F0000}"/>
    <cellStyle name="Millares 2 6 3 2 3 2 2 2 3" xfId="41824" xr:uid="{00000000-0005-0000-0000-0000E71F0000}"/>
    <cellStyle name="Millares 2 6 3 2 3 2 2 3" xfId="21472" xr:uid="{00000000-0005-0000-0000-0000E81F0000}"/>
    <cellStyle name="Millares 2 6 3 2 3 2 2 3 2" xfId="48605" xr:uid="{00000000-0005-0000-0000-0000E91F0000}"/>
    <cellStyle name="Millares 2 6 3 2 3 2 2 4" xfId="35043" xr:uid="{00000000-0005-0000-0000-0000EA1F0000}"/>
    <cellStyle name="Millares 2 6 3 2 3 2 3" xfId="11296" xr:uid="{00000000-0005-0000-0000-0000EB1F0000}"/>
    <cellStyle name="Millares 2 6 3 2 3 2 3 2" xfId="24864" xr:uid="{00000000-0005-0000-0000-0000EC1F0000}"/>
    <cellStyle name="Millares 2 6 3 2 3 2 3 2 2" xfId="51997" xr:uid="{00000000-0005-0000-0000-0000ED1F0000}"/>
    <cellStyle name="Millares 2 6 3 2 3 2 3 3" xfId="38435" xr:uid="{00000000-0005-0000-0000-0000EE1F0000}"/>
    <cellStyle name="Millares 2 6 3 2 3 2 4" xfId="18083" xr:uid="{00000000-0005-0000-0000-0000EF1F0000}"/>
    <cellStyle name="Millares 2 6 3 2 3 2 4 2" xfId="45216" xr:uid="{00000000-0005-0000-0000-0000F01F0000}"/>
    <cellStyle name="Millares 2 6 3 2 3 2 5" xfId="31654" xr:uid="{00000000-0005-0000-0000-0000F11F0000}"/>
    <cellStyle name="Millares 2 6 3 2 3 3" xfId="4287" xr:uid="{00000000-0005-0000-0000-0000F21F0000}"/>
    <cellStyle name="Millares 2 6 3 2 3 3 2" xfId="7897" xr:uid="{00000000-0005-0000-0000-0000F31F0000}"/>
    <cellStyle name="Millares 2 6 3 2 3 3 2 2" xfId="14686" xr:uid="{00000000-0005-0000-0000-0000F41F0000}"/>
    <cellStyle name="Millares 2 6 3 2 3 3 2 2 2" xfId="28254" xr:uid="{00000000-0005-0000-0000-0000F51F0000}"/>
    <cellStyle name="Millares 2 6 3 2 3 3 2 2 2 2" xfId="55387" xr:uid="{00000000-0005-0000-0000-0000F61F0000}"/>
    <cellStyle name="Millares 2 6 3 2 3 3 2 2 3" xfId="41825" xr:uid="{00000000-0005-0000-0000-0000F71F0000}"/>
    <cellStyle name="Millares 2 6 3 2 3 3 2 3" xfId="21473" xr:uid="{00000000-0005-0000-0000-0000F81F0000}"/>
    <cellStyle name="Millares 2 6 3 2 3 3 2 3 2" xfId="48606" xr:uid="{00000000-0005-0000-0000-0000F91F0000}"/>
    <cellStyle name="Millares 2 6 3 2 3 3 2 4" xfId="35044" xr:uid="{00000000-0005-0000-0000-0000FA1F0000}"/>
    <cellStyle name="Millares 2 6 3 2 3 3 3" xfId="11297" xr:uid="{00000000-0005-0000-0000-0000FB1F0000}"/>
    <cellStyle name="Millares 2 6 3 2 3 3 3 2" xfId="24865" xr:uid="{00000000-0005-0000-0000-0000FC1F0000}"/>
    <cellStyle name="Millares 2 6 3 2 3 3 3 2 2" xfId="51998" xr:uid="{00000000-0005-0000-0000-0000FD1F0000}"/>
    <cellStyle name="Millares 2 6 3 2 3 3 3 3" xfId="38436" xr:uid="{00000000-0005-0000-0000-0000FE1F0000}"/>
    <cellStyle name="Millares 2 6 3 2 3 3 4" xfId="18084" xr:uid="{00000000-0005-0000-0000-0000FF1F0000}"/>
    <cellStyle name="Millares 2 6 3 2 3 3 4 2" xfId="45217" xr:uid="{00000000-0005-0000-0000-000000200000}"/>
    <cellStyle name="Millares 2 6 3 2 3 3 5" xfId="31655" xr:uid="{00000000-0005-0000-0000-000001200000}"/>
    <cellStyle name="Millares 2 6 3 2 3 4" xfId="7895" xr:uid="{00000000-0005-0000-0000-000002200000}"/>
    <cellStyle name="Millares 2 6 3 2 3 4 2" xfId="14684" xr:uid="{00000000-0005-0000-0000-000003200000}"/>
    <cellStyle name="Millares 2 6 3 2 3 4 2 2" xfId="28252" xr:uid="{00000000-0005-0000-0000-000004200000}"/>
    <cellStyle name="Millares 2 6 3 2 3 4 2 2 2" xfId="55385" xr:uid="{00000000-0005-0000-0000-000005200000}"/>
    <cellStyle name="Millares 2 6 3 2 3 4 2 3" xfId="41823" xr:uid="{00000000-0005-0000-0000-000006200000}"/>
    <cellStyle name="Millares 2 6 3 2 3 4 3" xfId="21471" xr:uid="{00000000-0005-0000-0000-000007200000}"/>
    <cellStyle name="Millares 2 6 3 2 3 4 3 2" xfId="48604" xr:uid="{00000000-0005-0000-0000-000008200000}"/>
    <cellStyle name="Millares 2 6 3 2 3 4 4" xfId="35042" xr:uid="{00000000-0005-0000-0000-000009200000}"/>
    <cellStyle name="Millares 2 6 3 2 3 5" xfId="11295" xr:uid="{00000000-0005-0000-0000-00000A200000}"/>
    <cellStyle name="Millares 2 6 3 2 3 5 2" xfId="24863" xr:uid="{00000000-0005-0000-0000-00000B200000}"/>
    <cellStyle name="Millares 2 6 3 2 3 5 2 2" xfId="51996" xr:uid="{00000000-0005-0000-0000-00000C200000}"/>
    <cellStyle name="Millares 2 6 3 2 3 5 3" xfId="38434" xr:uid="{00000000-0005-0000-0000-00000D200000}"/>
    <cellStyle name="Millares 2 6 3 2 3 6" xfId="18082" xr:uid="{00000000-0005-0000-0000-00000E200000}"/>
    <cellStyle name="Millares 2 6 3 2 3 6 2" xfId="45215" xr:uid="{00000000-0005-0000-0000-00000F200000}"/>
    <cellStyle name="Millares 2 6 3 2 3 7" xfId="31653" xr:uid="{00000000-0005-0000-0000-000010200000}"/>
    <cellStyle name="Millares 2 6 3 2 4" xfId="4288" xr:uid="{00000000-0005-0000-0000-000011200000}"/>
    <cellStyle name="Millares 2 6 3 2 4 2" xfId="4289" xr:uid="{00000000-0005-0000-0000-000012200000}"/>
    <cellStyle name="Millares 2 6 3 2 4 2 2" xfId="7899" xr:uid="{00000000-0005-0000-0000-000013200000}"/>
    <cellStyle name="Millares 2 6 3 2 4 2 2 2" xfId="14688" xr:uid="{00000000-0005-0000-0000-000014200000}"/>
    <cellStyle name="Millares 2 6 3 2 4 2 2 2 2" xfId="28256" xr:uid="{00000000-0005-0000-0000-000015200000}"/>
    <cellStyle name="Millares 2 6 3 2 4 2 2 2 2 2" xfId="55389" xr:uid="{00000000-0005-0000-0000-000016200000}"/>
    <cellStyle name="Millares 2 6 3 2 4 2 2 2 3" xfId="41827" xr:uid="{00000000-0005-0000-0000-000017200000}"/>
    <cellStyle name="Millares 2 6 3 2 4 2 2 3" xfId="21475" xr:uid="{00000000-0005-0000-0000-000018200000}"/>
    <cellStyle name="Millares 2 6 3 2 4 2 2 3 2" xfId="48608" xr:uid="{00000000-0005-0000-0000-000019200000}"/>
    <cellStyle name="Millares 2 6 3 2 4 2 2 4" xfId="35046" xr:uid="{00000000-0005-0000-0000-00001A200000}"/>
    <cellStyle name="Millares 2 6 3 2 4 2 3" xfId="11299" xr:uid="{00000000-0005-0000-0000-00001B200000}"/>
    <cellStyle name="Millares 2 6 3 2 4 2 3 2" xfId="24867" xr:uid="{00000000-0005-0000-0000-00001C200000}"/>
    <cellStyle name="Millares 2 6 3 2 4 2 3 2 2" xfId="52000" xr:uid="{00000000-0005-0000-0000-00001D200000}"/>
    <cellStyle name="Millares 2 6 3 2 4 2 3 3" xfId="38438" xr:uid="{00000000-0005-0000-0000-00001E200000}"/>
    <cellStyle name="Millares 2 6 3 2 4 2 4" xfId="18086" xr:uid="{00000000-0005-0000-0000-00001F200000}"/>
    <cellStyle name="Millares 2 6 3 2 4 2 4 2" xfId="45219" xr:uid="{00000000-0005-0000-0000-000020200000}"/>
    <cellStyle name="Millares 2 6 3 2 4 2 5" xfId="31657" xr:uid="{00000000-0005-0000-0000-000021200000}"/>
    <cellStyle name="Millares 2 6 3 2 4 3" xfId="7898" xr:uid="{00000000-0005-0000-0000-000022200000}"/>
    <cellStyle name="Millares 2 6 3 2 4 3 2" xfId="14687" xr:uid="{00000000-0005-0000-0000-000023200000}"/>
    <cellStyle name="Millares 2 6 3 2 4 3 2 2" xfId="28255" xr:uid="{00000000-0005-0000-0000-000024200000}"/>
    <cellStyle name="Millares 2 6 3 2 4 3 2 2 2" xfId="55388" xr:uid="{00000000-0005-0000-0000-000025200000}"/>
    <cellStyle name="Millares 2 6 3 2 4 3 2 3" xfId="41826" xr:uid="{00000000-0005-0000-0000-000026200000}"/>
    <cellStyle name="Millares 2 6 3 2 4 3 3" xfId="21474" xr:uid="{00000000-0005-0000-0000-000027200000}"/>
    <cellStyle name="Millares 2 6 3 2 4 3 3 2" xfId="48607" xr:uid="{00000000-0005-0000-0000-000028200000}"/>
    <cellStyle name="Millares 2 6 3 2 4 3 4" xfId="35045" xr:uid="{00000000-0005-0000-0000-000029200000}"/>
    <cellStyle name="Millares 2 6 3 2 4 4" xfId="11298" xr:uid="{00000000-0005-0000-0000-00002A200000}"/>
    <cellStyle name="Millares 2 6 3 2 4 4 2" xfId="24866" xr:uid="{00000000-0005-0000-0000-00002B200000}"/>
    <cellStyle name="Millares 2 6 3 2 4 4 2 2" xfId="51999" xr:uid="{00000000-0005-0000-0000-00002C200000}"/>
    <cellStyle name="Millares 2 6 3 2 4 4 3" xfId="38437" xr:uid="{00000000-0005-0000-0000-00002D200000}"/>
    <cellStyle name="Millares 2 6 3 2 4 5" xfId="18085" xr:uid="{00000000-0005-0000-0000-00002E200000}"/>
    <cellStyle name="Millares 2 6 3 2 4 5 2" xfId="45218" xr:uid="{00000000-0005-0000-0000-00002F200000}"/>
    <cellStyle name="Millares 2 6 3 2 4 6" xfId="31656" xr:uid="{00000000-0005-0000-0000-000030200000}"/>
    <cellStyle name="Millares 2 6 3 2 5" xfId="4290" xr:uid="{00000000-0005-0000-0000-000031200000}"/>
    <cellStyle name="Millares 2 6 3 2 5 2" xfId="7900" xr:uid="{00000000-0005-0000-0000-000032200000}"/>
    <cellStyle name="Millares 2 6 3 2 5 2 2" xfId="14689" xr:uid="{00000000-0005-0000-0000-000033200000}"/>
    <cellStyle name="Millares 2 6 3 2 5 2 2 2" xfId="28257" xr:uid="{00000000-0005-0000-0000-000034200000}"/>
    <cellStyle name="Millares 2 6 3 2 5 2 2 2 2" xfId="55390" xr:uid="{00000000-0005-0000-0000-000035200000}"/>
    <cellStyle name="Millares 2 6 3 2 5 2 2 3" xfId="41828" xr:uid="{00000000-0005-0000-0000-000036200000}"/>
    <cellStyle name="Millares 2 6 3 2 5 2 3" xfId="21476" xr:uid="{00000000-0005-0000-0000-000037200000}"/>
    <cellStyle name="Millares 2 6 3 2 5 2 3 2" xfId="48609" xr:uid="{00000000-0005-0000-0000-000038200000}"/>
    <cellStyle name="Millares 2 6 3 2 5 2 4" xfId="35047" xr:uid="{00000000-0005-0000-0000-000039200000}"/>
    <cellStyle name="Millares 2 6 3 2 5 3" xfId="11300" xr:uid="{00000000-0005-0000-0000-00003A200000}"/>
    <cellStyle name="Millares 2 6 3 2 5 3 2" xfId="24868" xr:uid="{00000000-0005-0000-0000-00003B200000}"/>
    <cellStyle name="Millares 2 6 3 2 5 3 2 2" xfId="52001" xr:uid="{00000000-0005-0000-0000-00003C200000}"/>
    <cellStyle name="Millares 2 6 3 2 5 3 3" xfId="38439" xr:uid="{00000000-0005-0000-0000-00003D200000}"/>
    <cellStyle name="Millares 2 6 3 2 5 4" xfId="18087" xr:uid="{00000000-0005-0000-0000-00003E200000}"/>
    <cellStyle name="Millares 2 6 3 2 5 4 2" xfId="45220" xr:uid="{00000000-0005-0000-0000-00003F200000}"/>
    <cellStyle name="Millares 2 6 3 2 5 5" xfId="31658" xr:uid="{00000000-0005-0000-0000-000040200000}"/>
    <cellStyle name="Millares 2 6 3 2 6" xfId="4291" xr:uid="{00000000-0005-0000-0000-000041200000}"/>
    <cellStyle name="Millares 2 6 3 2 6 2" xfId="7901" xr:uid="{00000000-0005-0000-0000-000042200000}"/>
    <cellStyle name="Millares 2 6 3 2 6 2 2" xfId="14690" xr:uid="{00000000-0005-0000-0000-000043200000}"/>
    <cellStyle name="Millares 2 6 3 2 6 2 2 2" xfId="28258" xr:uid="{00000000-0005-0000-0000-000044200000}"/>
    <cellStyle name="Millares 2 6 3 2 6 2 2 2 2" xfId="55391" xr:uid="{00000000-0005-0000-0000-000045200000}"/>
    <cellStyle name="Millares 2 6 3 2 6 2 2 3" xfId="41829" xr:uid="{00000000-0005-0000-0000-000046200000}"/>
    <cellStyle name="Millares 2 6 3 2 6 2 3" xfId="21477" xr:uid="{00000000-0005-0000-0000-000047200000}"/>
    <cellStyle name="Millares 2 6 3 2 6 2 3 2" xfId="48610" xr:uid="{00000000-0005-0000-0000-000048200000}"/>
    <cellStyle name="Millares 2 6 3 2 6 2 4" xfId="35048" xr:uid="{00000000-0005-0000-0000-000049200000}"/>
    <cellStyle name="Millares 2 6 3 2 6 3" xfId="11301" xr:uid="{00000000-0005-0000-0000-00004A200000}"/>
    <cellStyle name="Millares 2 6 3 2 6 3 2" xfId="24869" xr:uid="{00000000-0005-0000-0000-00004B200000}"/>
    <cellStyle name="Millares 2 6 3 2 6 3 2 2" xfId="52002" xr:uid="{00000000-0005-0000-0000-00004C200000}"/>
    <cellStyle name="Millares 2 6 3 2 6 3 3" xfId="38440" xr:uid="{00000000-0005-0000-0000-00004D200000}"/>
    <cellStyle name="Millares 2 6 3 2 6 4" xfId="18088" xr:uid="{00000000-0005-0000-0000-00004E200000}"/>
    <cellStyle name="Millares 2 6 3 2 6 4 2" xfId="45221" xr:uid="{00000000-0005-0000-0000-00004F200000}"/>
    <cellStyle name="Millares 2 6 3 2 6 5" xfId="31659" xr:uid="{00000000-0005-0000-0000-000050200000}"/>
    <cellStyle name="Millares 2 6 3 2 7" xfId="7886" xr:uid="{00000000-0005-0000-0000-000051200000}"/>
    <cellStyle name="Millares 2 6 3 2 7 2" xfId="14675" xr:uid="{00000000-0005-0000-0000-000052200000}"/>
    <cellStyle name="Millares 2 6 3 2 7 2 2" xfId="28243" xr:uid="{00000000-0005-0000-0000-000053200000}"/>
    <cellStyle name="Millares 2 6 3 2 7 2 2 2" xfId="55376" xr:uid="{00000000-0005-0000-0000-000054200000}"/>
    <cellStyle name="Millares 2 6 3 2 7 2 3" xfId="41814" xr:uid="{00000000-0005-0000-0000-000055200000}"/>
    <cellStyle name="Millares 2 6 3 2 7 3" xfId="21462" xr:uid="{00000000-0005-0000-0000-000056200000}"/>
    <cellStyle name="Millares 2 6 3 2 7 3 2" xfId="48595" xr:uid="{00000000-0005-0000-0000-000057200000}"/>
    <cellStyle name="Millares 2 6 3 2 7 4" xfId="35033" xr:uid="{00000000-0005-0000-0000-000058200000}"/>
    <cellStyle name="Millares 2 6 3 2 8" xfId="11286" xr:uid="{00000000-0005-0000-0000-000059200000}"/>
    <cellStyle name="Millares 2 6 3 2 8 2" xfId="24854" xr:uid="{00000000-0005-0000-0000-00005A200000}"/>
    <cellStyle name="Millares 2 6 3 2 8 2 2" xfId="51987" xr:uid="{00000000-0005-0000-0000-00005B200000}"/>
    <cellStyle name="Millares 2 6 3 2 8 3" xfId="38425" xr:uid="{00000000-0005-0000-0000-00005C200000}"/>
    <cellStyle name="Millares 2 6 3 2 9" xfId="18073" xr:uid="{00000000-0005-0000-0000-00005D200000}"/>
    <cellStyle name="Millares 2 6 3 2 9 2" xfId="45206" xr:uid="{00000000-0005-0000-0000-00005E200000}"/>
    <cellStyle name="Millares 2 6 3 3" xfId="4292" xr:uid="{00000000-0005-0000-0000-00005F200000}"/>
    <cellStyle name="Millares 2 6 3 3 2" xfId="4293" xr:uid="{00000000-0005-0000-0000-000060200000}"/>
    <cellStyle name="Millares 2 6 3 3 2 2" xfId="4294" xr:uid="{00000000-0005-0000-0000-000061200000}"/>
    <cellStyle name="Millares 2 6 3 3 2 2 2" xfId="7904" xr:uid="{00000000-0005-0000-0000-000062200000}"/>
    <cellStyle name="Millares 2 6 3 3 2 2 2 2" xfId="14693" xr:uid="{00000000-0005-0000-0000-000063200000}"/>
    <cellStyle name="Millares 2 6 3 3 2 2 2 2 2" xfId="28261" xr:uid="{00000000-0005-0000-0000-000064200000}"/>
    <cellStyle name="Millares 2 6 3 3 2 2 2 2 2 2" xfId="55394" xr:uid="{00000000-0005-0000-0000-000065200000}"/>
    <cellStyle name="Millares 2 6 3 3 2 2 2 2 3" xfId="41832" xr:uid="{00000000-0005-0000-0000-000066200000}"/>
    <cellStyle name="Millares 2 6 3 3 2 2 2 3" xfId="21480" xr:uid="{00000000-0005-0000-0000-000067200000}"/>
    <cellStyle name="Millares 2 6 3 3 2 2 2 3 2" xfId="48613" xr:uid="{00000000-0005-0000-0000-000068200000}"/>
    <cellStyle name="Millares 2 6 3 3 2 2 2 4" xfId="35051" xr:uid="{00000000-0005-0000-0000-000069200000}"/>
    <cellStyle name="Millares 2 6 3 3 2 2 3" xfId="11304" xr:uid="{00000000-0005-0000-0000-00006A200000}"/>
    <cellStyle name="Millares 2 6 3 3 2 2 3 2" xfId="24872" xr:uid="{00000000-0005-0000-0000-00006B200000}"/>
    <cellStyle name="Millares 2 6 3 3 2 2 3 2 2" xfId="52005" xr:uid="{00000000-0005-0000-0000-00006C200000}"/>
    <cellStyle name="Millares 2 6 3 3 2 2 3 3" xfId="38443" xr:uid="{00000000-0005-0000-0000-00006D200000}"/>
    <cellStyle name="Millares 2 6 3 3 2 2 4" xfId="18091" xr:uid="{00000000-0005-0000-0000-00006E200000}"/>
    <cellStyle name="Millares 2 6 3 3 2 2 4 2" xfId="45224" xr:uid="{00000000-0005-0000-0000-00006F200000}"/>
    <cellStyle name="Millares 2 6 3 3 2 2 5" xfId="31662" xr:uid="{00000000-0005-0000-0000-000070200000}"/>
    <cellStyle name="Millares 2 6 3 3 2 3" xfId="4295" xr:uid="{00000000-0005-0000-0000-000071200000}"/>
    <cellStyle name="Millares 2 6 3 3 2 3 2" xfId="7905" xr:uid="{00000000-0005-0000-0000-000072200000}"/>
    <cellStyle name="Millares 2 6 3 3 2 3 2 2" xfId="14694" xr:uid="{00000000-0005-0000-0000-000073200000}"/>
    <cellStyle name="Millares 2 6 3 3 2 3 2 2 2" xfId="28262" xr:uid="{00000000-0005-0000-0000-000074200000}"/>
    <cellStyle name="Millares 2 6 3 3 2 3 2 2 2 2" xfId="55395" xr:uid="{00000000-0005-0000-0000-000075200000}"/>
    <cellStyle name="Millares 2 6 3 3 2 3 2 2 3" xfId="41833" xr:uid="{00000000-0005-0000-0000-000076200000}"/>
    <cellStyle name="Millares 2 6 3 3 2 3 2 3" xfId="21481" xr:uid="{00000000-0005-0000-0000-000077200000}"/>
    <cellStyle name="Millares 2 6 3 3 2 3 2 3 2" xfId="48614" xr:uid="{00000000-0005-0000-0000-000078200000}"/>
    <cellStyle name="Millares 2 6 3 3 2 3 2 4" xfId="35052" xr:uid="{00000000-0005-0000-0000-000079200000}"/>
    <cellStyle name="Millares 2 6 3 3 2 3 3" xfId="11305" xr:uid="{00000000-0005-0000-0000-00007A200000}"/>
    <cellStyle name="Millares 2 6 3 3 2 3 3 2" xfId="24873" xr:uid="{00000000-0005-0000-0000-00007B200000}"/>
    <cellStyle name="Millares 2 6 3 3 2 3 3 2 2" xfId="52006" xr:uid="{00000000-0005-0000-0000-00007C200000}"/>
    <cellStyle name="Millares 2 6 3 3 2 3 3 3" xfId="38444" xr:uid="{00000000-0005-0000-0000-00007D200000}"/>
    <cellStyle name="Millares 2 6 3 3 2 3 4" xfId="18092" xr:uid="{00000000-0005-0000-0000-00007E200000}"/>
    <cellStyle name="Millares 2 6 3 3 2 3 4 2" xfId="45225" xr:uid="{00000000-0005-0000-0000-00007F200000}"/>
    <cellStyle name="Millares 2 6 3 3 2 3 5" xfId="31663" xr:uid="{00000000-0005-0000-0000-000080200000}"/>
    <cellStyle name="Millares 2 6 3 3 2 4" xfId="7903" xr:uid="{00000000-0005-0000-0000-000081200000}"/>
    <cellStyle name="Millares 2 6 3 3 2 4 2" xfId="14692" xr:uid="{00000000-0005-0000-0000-000082200000}"/>
    <cellStyle name="Millares 2 6 3 3 2 4 2 2" xfId="28260" xr:uid="{00000000-0005-0000-0000-000083200000}"/>
    <cellStyle name="Millares 2 6 3 3 2 4 2 2 2" xfId="55393" xr:uid="{00000000-0005-0000-0000-000084200000}"/>
    <cellStyle name="Millares 2 6 3 3 2 4 2 3" xfId="41831" xr:uid="{00000000-0005-0000-0000-000085200000}"/>
    <cellStyle name="Millares 2 6 3 3 2 4 3" xfId="21479" xr:uid="{00000000-0005-0000-0000-000086200000}"/>
    <cellStyle name="Millares 2 6 3 3 2 4 3 2" xfId="48612" xr:uid="{00000000-0005-0000-0000-000087200000}"/>
    <cellStyle name="Millares 2 6 3 3 2 4 4" xfId="35050" xr:uid="{00000000-0005-0000-0000-000088200000}"/>
    <cellStyle name="Millares 2 6 3 3 2 5" xfId="11303" xr:uid="{00000000-0005-0000-0000-000089200000}"/>
    <cellStyle name="Millares 2 6 3 3 2 5 2" xfId="24871" xr:uid="{00000000-0005-0000-0000-00008A200000}"/>
    <cellStyle name="Millares 2 6 3 3 2 5 2 2" xfId="52004" xr:uid="{00000000-0005-0000-0000-00008B200000}"/>
    <cellStyle name="Millares 2 6 3 3 2 5 3" xfId="38442" xr:uid="{00000000-0005-0000-0000-00008C200000}"/>
    <cellStyle name="Millares 2 6 3 3 2 6" xfId="18090" xr:uid="{00000000-0005-0000-0000-00008D200000}"/>
    <cellStyle name="Millares 2 6 3 3 2 6 2" xfId="45223" xr:uid="{00000000-0005-0000-0000-00008E200000}"/>
    <cellStyle name="Millares 2 6 3 3 2 7" xfId="31661" xr:uid="{00000000-0005-0000-0000-00008F200000}"/>
    <cellStyle name="Millares 2 6 3 3 3" xfId="4296" xr:uid="{00000000-0005-0000-0000-000090200000}"/>
    <cellStyle name="Millares 2 6 3 3 3 2" xfId="4297" xr:uid="{00000000-0005-0000-0000-000091200000}"/>
    <cellStyle name="Millares 2 6 3 3 3 2 2" xfId="7907" xr:uid="{00000000-0005-0000-0000-000092200000}"/>
    <cellStyle name="Millares 2 6 3 3 3 2 2 2" xfId="14696" xr:uid="{00000000-0005-0000-0000-000093200000}"/>
    <cellStyle name="Millares 2 6 3 3 3 2 2 2 2" xfId="28264" xr:uid="{00000000-0005-0000-0000-000094200000}"/>
    <cellStyle name="Millares 2 6 3 3 3 2 2 2 2 2" xfId="55397" xr:uid="{00000000-0005-0000-0000-000095200000}"/>
    <cellStyle name="Millares 2 6 3 3 3 2 2 2 3" xfId="41835" xr:uid="{00000000-0005-0000-0000-000096200000}"/>
    <cellStyle name="Millares 2 6 3 3 3 2 2 3" xfId="21483" xr:uid="{00000000-0005-0000-0000-000097200000}"/>
    <cellStyle name="Millares 2 6 3 3 3 2 2 3 2" xfId="48616" xr:uid="{00000000-0005-0000-0000-000098200000}"/>
    <cellStyle name="Millares 2 6 3 3 3 2 2 4" xfId="35054" xr:uid="{00000000-0005-0000-0000-000099200000}"/>
    <cellStyle name="Millares 2 6 3 3 3 2 3" xfId="11307" xr:uid="{00000000-0005-0000-0000-00009A200000}"/>
    <cellStyle name="Millares 2 6 3 3 3 2 3 2" xfId="24875" xr:uid="{00000000-0005-0000-0000-00009B200000}"/>
    <cellStyle name="Millares 2 6 3 3 3 2 3 2 2" xfId="52008" xr:uid="{00000000-0005-0000-0000-00009C200000}"/>
    <cellStyle name="Millares 2 6 3 3 3 2 3 3" xfId="38446" xr:uid="{00000000-0005-0000-0000-00009D200000}"/>
    <cellStyle name="Millares 2 6 3 3 3 2 4" xfId="18094" xr:uid="{00000000-0005-0000-0000-00009E200000}"/>
    <cellStyle name="Millares 2 6 3 3 3 2 4 2" xfId="45227" xr:uid="{00000000-0005-0000-0000-00009F200000}"/>
    <cellStyle name="Millares 2 6 3 3 3 2 5" xfId="31665" xr:uid="{00000000-0005-0000-0000-0000A0200000}"/>
    <cellStyle name="Millares 2 6 3 3 3 3" xfId="7906" xr:uid="{00000000-0005-0000-0000-0000A1200000}"/>
    <cellStyle name="Millares 2 6 3 3 3 3 2" xfId="14695" xr:uid="{00000000-0005-0000-0000-0000A2200000}"/>
    <cellStyle name="Millares 2 6 3 3 3 3 2 2" xfId="28263" xr:uid="{00000000-0005-0000-0000-0000A3200000}"/>
    <cellStyle name="Millares 2 6 3 3 3 3 2 2 2" xfId="55396" xr:uid="{00000000-0005-0000-0000-0000A4200000}"/>
    <cellStyle name="Millares 2 6 3 3 3 3 2 3" xfId="41834" xr:uid="{00000000-0005-0000-0000-0000A5200000}"/>
    <cellStyle name="Millares 2 6 3 3 3 3 3" xfId="21482" xr:uid="{00000000-0005-0000-0000-0000A6200000}"/>
    <cellStyle name="Millares 2 6 3 3 3 3 3 2" xfId="48615" xr:uid="{00000000-0005-0000-0000-0000A7200000}"/>
    <cellStyle name="Millares 2 6 3 3 3 3 4" xfId="35053" xr:uid="{00000000-0005-0000-0000-0000A8200000}"/>
    <cellStyle name="Millares 2 6 3 3 3 4" xfId="11306" xr:uid="{00000000-0005-0000-0000-0000A9200000}"/>
    <cellStyle name="Millares 2 6 3 3 3 4 2" xfId="24874" xr:uid="{00000000-0005-0000-0000-0000AA200000}"/>
    <cellStyle name="Millares 2 6 3 3 3 4 2 2" xfId="52007" xr:uid="{00000000-0005-0000-0000-0000AB200000}"/>
    <cellStyle name="Millares 2 6 3 3 3 4 3" xfId="38445" xr:uid="{00000000-0005-0000-0000-0000AC200000}"/>
    <cellStyle name="Millares 2 6 3 3 3 5" xfId="18093" xr:uid="{00000000-0005-0000-0000-0000AD200000}"/>
    <cellStyle name="Millares 2 6 3 3 3 5 2" xfId="45226" xr:uid="{00000000-0005-0000-0000-0000AE200000}"/>
    <cellStyle name="Millares 2 6 3 3 3 6" xfId="31664" xr:uid="{00000000-0005-0000-0000-0000AF200000}"/>
    <cellStyle name="Millares 2 6 3 3 4" xfId="4298" xr:uid="{00000000-0005-0000-0000-0000B0200000}"/>
    <cellStyle name="Millares 2 6 3 3 4 2" xfId="7908" xr:uid="{00000000-0005-0000-0000-0000B1200000}"/>
    <cellStyle name="Millares 2 6 3 3 4 2 2" xfId="14697" xr:uid="{00000000-0005-0000-0000-0000B2200000}"/>
    <cellStyle name="Millares 2 6 3 3 4 2 2 2" xfId="28265" xr:uid="{00000000-0005-0000-0000-0000B3200000}"/>
    <cellStyle name="Millares 2 6 3 3 4 2 2 2 2" xfId="55398" xr:uid="{00000000-0005-0000-0000-0000B4200000}"/>
    <cellStyle name="Millares 2 6 3 3 4 2 2 3" xfId="41836" xr:uid="{00000000-0005-0000-0000-0000B5200000}"/>
    <cellStyle name="Millares 2 6 3 3 4 2 3" xfId="21484" xr:uid="{00000000-0005-0000-0000-0000B6200000}"/>
    <cellStyle name="Millares 2 6 3 3 4 2 3 2" xfId="48617" xr:uid="{00000000-0005-0000-0000-0000B7200000}"/>
    <cellStyle name="Millares 2 6 3 3 4 2 4" xfId="35055" xr:uid="{00000000-0005-0000-0000-0000B8200000}"/>
    <cellStyle name="Millares 2 6 3 3 4 3" xfId="11308" xr:uid="{00000000-0005-0000-0000-0000B9200000}"/>
    <cellStyle name="Millares 2 6 3 3 4 3 2" xfId="24876" xr:uid="{00000000-0005-0000-0000-0000BA200000}"/>
    <cellStyle name="Millares 2 6 3 3 4 3 2 2" xfId="52009" xr:uid="{00000000-0005-0000-0000-0000BB200000}"/>
    <cellStyle name="Millares 2 6 3 3 4 3 3" xfId="38447" xr:uid="{00000000-0005-0000-0000-0000BC200000}"/>
    <cellStyle name="Millares 2 6 3 3 4 4" xfId="18095" xr:uid="{00000000-0005-0000-0000-0000BD200000}"/>
    <cellStyle name="Millares 2 6 3 3 4 4 2" xfId="45228" xr:uid="{00000000-0005-0000-0000-0000BE200000}"/>
    <cellStyle name="Millares 2 6 3 3 4 5" xfId="31666" xr:uid="{00000000-0005-0000-0000-0000BF200000}"/>
    <cellStyle name="Millares 2 6 3 3 5" xfId="4299" xr:uid="{00000000-0005-0000-0000-0000C0200000}"/>
    <cellStyle name="Millares 2 6 3 3 5 2" xfId="7909" xr:uid="{00000000-0005-0000-0000-0000C1200000}"/>
    <cellStyle name="Millares 2 6 3 3 5 2 2" xfId="14698" xr:uid="{00000000-0005-0000-0000-0000C2200000}"/>
    <cellStyle name="Millares 2 6 3 3 5 2 2 2" xfId="28266" xr:uid="{00000000-0005-0000-0000-0000C3200000}"/>
    <cellStyle name="Millares 2 6 3 3 5 2 2 2 2" xfId="55399" xr:uid="{00000000-0005-0000-0000-0000C4200000}"/>
    <cellStyle name="Millares 2 6 3 3 5 2 2 3" xfId="41837" xr:uid="{00000000-0005-0000-0000-0000C5200000}"/>
    <cellStyle name="Millares 2 6 3 3 5 2 3" xfId="21485" xr:uid="{00000000-0005-0000-0000-0000C6200000}"/>
    <cellStyle name="Millares 2 6 3 3 5 2 3 2" xfId="48618" xr:uid="{00000000-0005-0000-0000-0000C7200000}"/>
    <cellStyle name="Millares 2 6 3 3 5 2 4" xfId="35056" xr:uid="{00000000-0005-0000-0000-0000C8200000}"/>
    <cellStyle name="Millares 2 6 3 3 5 3" xfId="11309" xr:uid="{00000000-0005-0000-0000-0000C9200000}"/>
    <cellStyle name="Millares 2 6 3 3 5 3 2" xfId="24877" xr:uid="{00000000-0005-0000-0000-0000CA200000}"/>
    <cellStyle name="Millares 2 6 3 3 5 3 2 2" xfId="52010" xr:uid="{00000000-0005-0000-0000-0000CB200000}"/>
    <cellStyle name="Millares 2 6 3 3 5 3 3" xfId="38448" xr:uid="{00000000-0005-0000-0000-0000CC200000}"/>
    <cellStyle name="Millares 2 6 3 3 5 4" xfId="18096" xr:uid="{00000000-0005-0000-0000-0000CD200000}"/>
    <cellStyle name="Millares 2 6 3 3 5 4 2" xfId="45229" xr:uid="{00000000-0005-0000-0000-0000CE200000}"/>
    <cellStyle name="Millares 2 6 3 3 5 5" xfId="31667" xr:uid="{00000000-0005-0000-0000-0000CF200000}"/>
    <cellStyle name="Millares 2 6 3 3 6" xfId="7902" xr:uid="{00000000-0005-0000-0000-0000D0200000}"/>
    <cellStyle name="Millares 2 6 3 3 6 2" xfId="14691" xr:uid="{00000000-0005-0000-0000-0000D1200000}"/>
    <cellStyle name="Millares 2 6 3 3 6 2 2" xfId="28259" xr:uid="{00000000-0005-0000-0000-0000D2200000}"/>
    <cellStyle name="Millares 2 6 3 3 6 2 2 2" xfId="55392" xr:uid="{00000000-0005-0000-0000-0000D3200000}"/>
    <cellStyle name="Millares 2 6 3 3 6 2 3" xfId="41830" xr:uid="{00000000-0005-0000-0000-0000D4200000}"/>
    <cellStyle name="Millares 2 6 3 3 6 3" xfId="21478" xr:uid="{00000000-0005-0000-0000-0000D5200000}"/>
    <cellStyle name="Millares 2 6 3 3 6 3 2" xfId="48611" xr:uid="{00000000-0005-0000-0000-0000D6200000}"/>
    <cellStyle name="Millares 2 6 3 3 6 4" xfId="35049" xr:uid="{00000000-0005-0000-0000-0000D7200000}"/>
    <cellStyle name="Millares 2 6 3 3 7" xfId="11302" xr:uid="{00000000-0005-0000-0000-0000D8200000}"/>
    <cellStyle name="Millares 2 6 3 3 7 2" xfId="24870" xr:uid="{00000000-0005-0000-0000-0000D9200000}"/>
    <cellStyle name="Millares 2 6 3 3 7 2 2" xfId="52003" xr:uid="{00000000-0005-0000-0000-0000DA200000}"/>
    <cellStyle name="Millares 2 6 3 3 7 3" xfId="38441" xr:uid="{00000000-0005-0000-0000-0000DB200000}"/>
    <cellStyle name="Millares 2 6 3 3 8" xfId="18089" xr:uid="{00000000-0005-0000-0000-0000DC200000}"/>
    <cellStyle name="Millares 2 6 3 3 8 2" xfId="45222" xr:uid="{00000000-0005-0000-0000-0000DD200000}"/>
    <cellStyle name="Millares 2 6 3 3 9" xfId="31660" xr:uid="{00000000-0005-0000-0000-0000DE200000}"/>
    <cellStyle name="Millares 2 6 3 4" xfId="4300" xr:uid="{00000000-0005-0000-0000-0000DF200000}"/>
    <cellStyle name="Millares 2 6 3 4 2" xfId="4301" xr:uid="{00000000-0005-0000-0000-0000E0200000}"/>
    <cellStyle name="Millares 2 6 3 4 2 2" xfId="4302" xr:uid="{00000000-0005-0000-0000-0000E1200000}"/>
    <cellStyle name="Millares 2 6 3 4 2 2 2" xfId="7912" xr:uid="{00000000-0005-0000-0000-0000E2200000}"/>
    <cellStyle name="Millares 2 6 3 4 2 2 2 2" xfId="14701" xr:uid="{00000000-0005-0000-0000-0000E3200000}"/>
    <cellStyle name="Millares 2 6 3 4 2 2 2 2 2" xfId="28269" xr:uid="{00000000-0005-0000-0000-0000E4200000}"/>
    <cellStyle name="Millares 2 6 3 4 2 2 2 2 2 2" xfId="55402" xr:uid="{00000000-0005-0000-0000-0000E5200000}"/>
    <cellStyle name="Millares 2 6 3 4 2 2 2 2 3" xfId="41840" xr:uid="{00000000-0005-0000-0000-0000E6200000}"/>
    <cellStyle name="Millares 2 6 3 4 2 2 2 3" xfId="21488" xr:uid="{00000000-0005-0000-0000-0000E7200000}"/>
    <cellStyle name="Millares 2 6 3 4 2 2 2 3 2" xfId="48621" xr:uid="{00000000-0005-0000-0000-0000E8200000}"/>
    <cellStyle name="Millares 2 6 3 4 2 2 2 4" xfId="35059" xr:uid="{00000000-0005-0000-0000-0000E9200000}"/>
    <cellStyle name="Millares 2 6 3 4 2 2 3" xfId="11312" xr:uid="{00000000-0005-0000-0000-0000EA200000}"/>
    <cellStyle name="Millares 2 6 3 4 2 2 3 2" xfId="24880" xr:uid="{00000000-0005-0000-0000-0000EB200000}"/>
    <cellStyle name="Millares 2 6 3 4 2 2 3 2 2" xfId="52013" xr:uid="{00000000-0005-0000-0000-0000EC200000}"/>
    <cellStyle name="Millares 2 6 3 4 2 2 3 3" xfId="38451" xr:uid="{00000000-0005-0000-0000-0000ED200000}"/>
    <cellStyle name="Millares 2 6 3 4 2 2 4" xfId="18099" xr:uid="{00000000-0005-0000-0000-0000EE200000}"/>
    <cellStyle name="Millares 2 6 3 4 2 2 4 2" xfId="45232" xr:uid="{00000000-0005-0000-0000-0000EF200000}"/>
    <cellStyle name="Millares 2 6 3 4 2 2 5" xfId="31670" xr:uid="{00000000-0005-0000-0000-0000F0200000}"/>
    <cellStyle name="Millares 2 6 3 4 2 3" xfId="4303" xr:uid="{00000000-0005-0000-0000-0000F1200000}"/>
    <cellStyle name="Millares 2 6 3 4 2 3 2" xfId="7913" xr:uid="{00000000-0005-0000-0000-0000F2200000}"/>
    <cellStyle name="Millares 2 6 3 4 2 3 2 2" xfId="14702" xr:uid="{00000000-0005-0000-0000-0000F3200000}"/>
    <cellStyle name="Millares 2 6 3 4 2 3 2 2 2" xfId="28270" xr:uid="{00000000-0005-0000-0000-0000F4200000}"/>
    <cellStyle name="Millares 2 6 3 4 2 3 2 2 2 2" xfId="55403" xr:uid="{00000000-0005-0000-0000-0000F5200000}"/>
    <cellStyle name="Millares 2 6 3 4 2 3 2 2 3" xfId="41841" xr:uid="{00000000-0005-0000-0000-0000F6200000}"/>
    <cellStyle name="Millares 2 6 3 4 2 3 2 3" xfId="21489" xr:uid="{00000000-0005-0000-0000-0000F7200000}"/>
    <cellStyle name="Millares 2 6 3 4 2 3 2 3 2" xfId="48622" xr:uid="{00000000-0005-0000-0000-0000F8200000}"/>
    <cellStyle name="Millares 2 6 3 4 2 3 2 4" xfId="35060" xr:uid="{00000000-0005-0000-0000-0000F9200000}"/>
    <cellStyle name="Millares 2 6 3 4 2 3 3" xfId="11313" xr:uid="{00000000-0005-0000-0000-0000FA200000}"/>
    <cellStyle name="Millares 2 6 3 4 2 3 3 2" xfId="24881" xr:uid="{00000000-0005-0000-0000-0000FB200000}"/>
    <cellStyle name="Millares 2 6 3 4 2 3 3 2 2" xfId="52014" xr:uid="{00000000-0005-0000-0000-0000FC200000}"/>
    <cellStyle name="Millares 2 6 3 4 2 3 3 3" xfId="38452" xr:uid="{00000000-0005-0000-0000-0000FD200000}"/>
    <cellStyle name="Millares 2 6 3 4 2 3 4" xfId="18100" xr:uid="{00000000-0005-0000-0000-0000FE200000}"/>
    <cellStyle name="Millares 2 6 3 4 2 3 4 2" xfId="45233" xr:uid="{00000000-0005-0000-0000-0000FF200000}"/>
    <cellStyle name="Millares 2 6 3 4 2 3 5" xfId="31671" xr:uid="{00000000-0005-0000-0000-000000210000}"/>
    <cellStyle name="Millares 2 6 3 4 2 4" xfId="7911" xr:uid="{00000000-0005-0000-0000-000001210000}"/>
    <cellStyle name="Millares 2 6 3 4 2 4 2" xfId="14700" xr:uid="{00000000-0005-0000-0000-000002210000}"/>
    <cellStyle name="Millares 2 6 3 4 2 4 2 2" xfId="28268" xr:uid="{00000000-0005-0000-0000-000003210000}"/>
    <cellStyle name="Millares 2 6 3 4 2 4 2 2 2" xfId="55401" xr:uid="{00000000-0005-0000-0000-000004210000}"/>
    <cellStyle name="Millares 2 6 3 4 2 4 2 3" xfId="41839" xr:uid="{00000000-0005-0000-0000-000005210000}"/>
    <cellStyle name="Millares 2 6 3 4 2 4 3" xfId="21487" xr:uid="{00000000-0005-0000-0000-000006210000}"/>
    <cellStyle name="Millares 2 6 3 4 2 4 3 2" xfId="48620" xr:uid="{00000000-0005-0000-0000-000007210000}"/>
    <cellStyle name="Millares 2 6 3 4 2 4 4" xfId="35058" xr:uid="{00000000-0005-0000-0000-000008210000}"/>
    <cellStyle name="Millares 2 6 3 4 2 5" xfId="11311" xr:uid="{00000000-0005-0000-0000-000009210000}"/>
    <cellStyle name="Millares 2 6 3 4 2 5 2" xfId="24879" xr:uid="{00000000-0005-0000-0000-00000A210000}"/>
    <cellStyle name="Millares 2 6 3 4 2 5 2 2" xfId="52012" xr:uid="{00000000-0005-0000-0000-00000B210000}"/>
    <cellStyle name="Millares 2 6 3 4 2 5 3" xfId="38450" xr:uid="{00000000-0005-0000-0000-00000C210000}"/>
    <cellStyle name="Millares 2 6 3 4 2 6" xfId="18098" xr:uid="{00000000-0005-0000-0000-00000D210000}"/>
    <cellStyle name="Millares 2 6 3 4 2 6 2" xfId="45231" xr:uid="{00000000-0005-0000-0000-00000E210000}"/>
    <cellStyle name="Millares 2 6 3 4 2 7" xfId="31669" xr:uid="{00000000-0005-0000-0000-00000F210000}"/>
    <cellStyle name="Millares 2 6 3 4 3" xfId="4304" xr:uid="{00000000-0005-0000-0000-000010210000}"/>
    <cellStyle name="Millares 2 6 3 4 3 2" xfId="7914" xr:uid="{00000000-0005-0000-0000-000011210000}"/>
    <cellStyle name="Millares 2 6 3 4 3 2 2" xfId="14703" xr:uid="{00000000-0005-0000-0000-000012210000}"/>
    <cellStyle name="Millares 2 6 3 4 3 2 2 2" xfId="28271" xr:uid="{00000000-0005-0000-0000-000013210000}"/>
    <cellStyle name="Millares 2 6 3 4 3 2 2 2 2" xfId="55404" xr:uid="{00000000-0005-0000-0000-000014210000}"/>
    <cellStyle name="Millares 2 6 3 4 3 2 2 3" xfId="41842" xr:uid="{00000000-0005-0000-0000-000015210000}"/>
    <cellStyle name="Millares 2 6 3 4 3 2 3" xfId="21490" xr:uid="{00000000-0005-0000-0000-000016210000}"/>
    <cellStyle name="Millares 2 6 3 4 3 2 3 2" xfId="48623" xr:uid="{00000000-0005-0000-0000-000017210000}"/>
    <cellStyle name="Millares 2 6 3 4 3 2 4" xfId="35061" xr:uid="{00000000-0005-0000-0000-000018210000}"/>
    <cellStyle name="Millares 2 6 3 4 3 3" xfId="11314" xr:uid="{00000000-0005-0000-0000-000019210000}"/>
    <cellStyle name="Millares 2 6 3 4 3 3 2" xfId="24882" xr:uid="{00000000-0005-0000-0000-00001A210000}"/>
    <cellStyle name="Millares 2 6 3 4 3 3 2 2" xfId="52015" xr:uid="{00000000-0005-0000-0000-00001B210000}"/>
    <cellStyle name="Millares 2 6 3 4 3 3 3" xfId="38453" xr:uid="{00000000-0005-0000-0000-00001C210000}"/>
    <cellStyle name="Millares 2 6 3 4 3 4" xfId="18101" xr:uid="{00000000-0005-0000-0000-00001D210000}"/>
    <cellStyle name="Millares 2 6 3 4 3 4 2" xfId="45234" xr:uid="{00000000-0005-0000-0000-00001E210000}"/>
    <cellStyle name="Millares 2 6 3 4 3 5" xfId="31672" xr:uid="{00000000-0005-0000-0000-00001F210000}"/>
    <cellStyle name="Millares 2 6 3 4 4" xfId="4305" xr:uid="{00000000-0005-0000-0000-000020210000}"/>
    <cellStyle name="Millares 2 6 3 4 4 2" xfId="7915" xr:uid="{00000000-0005-0000-0000-000021210000}"/>
    <cellStyle name="Millares 2 6 3 4 4 2 2" xfId="14704" xr:uid="{00000000-0005-0000-0000-000022210000}"/>
    <cellStyle name="Millares 2 6 3 4 4 2 2 2" xfId="28272" xr:uid="{00000000-0005-0000-0000-000023210000}"/>
    <cellStyle name="Millares 2 6 3 4 4 2 2 2 2" xfId="55405" xr:uid="{00000000-0005-0000-0000-000024210000}"/>
    <cellStyle name="Millares 2 6 3 4 4 2 2 3" xfId="41843" xr:uid="{00000000-0005-0000-0000-000025210000}"/>
    <cellStyle name="Millares 2 6 3 4 4 2 3" xfId="21491" xr:uid="{00000000-0005-0000-0000-000026210000}"/>
    <cellStyle name="Millares 2 6 3 4 4 2 3 2" xfId="48624" xr:uid="{00000000-0005-0000-0000-000027210000}"/>
    <cellStyle name="Millares 2 6 3 4 4 2 4" xfId="35062" xr:uid="{00000000-0005-0000-0000-000028210000}"/>
    <cellStyle name="Millares 2 6 3 4 4 3" xfId="11315" xr:uid="{00000000-0005-0000-0000-000029210000}"/>
    <cellStyle name="Millares 2 6 3 4 4 3 2" xfId="24883" xr:uid="{00000000-0005-0000-0000-00002A210000}"/>
    <cellStyle name="Millares 2 6 3 4 4 3 2 2" xfId="52016" xr:uid="{00000000-0005-0000-0000-00002B210000}"/>
    <cellStyle name="Millares 2 6 3 4 4 3 3" xfId="38454" xr:uid="{00000000-0005-0000-0000-00002C210000}"/>
    <cellStyle name="Millares 2 6 3 4 4 4" xfId="18102" xr:uid="{00000000-0005-0000-0000-00002D210000}"/>
    <cellStyle name="Millares 2 6 3 4 4 4 2" xfId="45235" xr:uid="{00000000-0005-0000-0000-00002E210000}"/>
    <cellStyle name="Millares 2 6 3 4 4 5" xfId="31673" xr:uid="{00000000-0005-0000-0000-00002F210000}"/>
    <cellStyle name="Millares 2 6 3 4 5" xfId="7910" xr:uid="{00000000-0005-0000-0000-000030210000}"/>
    <cellStyle name="Millares 2 6 3 4 5 2" xfId="14699" xr:uid="{00000000-0005-0000-0000-000031210000}"/>
    <cellStyle name="Millares 2 6 3 4 5 2 2" xfId="28267" xr:uid="{00000000-0005-0000-0000-000032210000}"/>
    <cellStyle name="Millares 2 6 3 4 5 2 2 2" xfId="55400" xr:uid="{00000000-0005-0000-0000-000033210000}"/>
    <cellStyle name="Millares 2 6 3 4 5 2 3" xfId="41838" xr:uid="{00000000-0005-0000-0000-000034210000}"/>
    <cellStyle name="Millares 2 6 3 4 5 3" xfId="21486" xr:uid="{00000000-0005-0000-0000-000035210000}"/>
    <cellStyle name="Millares 2 6 3 4 5 3 2" xfId="48619" xr:uid="{00000000-0005-0000-0000-000036210000}"/>
    <cellStyle name="Millares 2 6 3 4 5 4" xfId="35057" xr:uid="{00000000-0005-0000-0000-000037210000}"/>
    <cellStyle name="Millares 2 6 3 4 6" xfId="11310" xr:uid="{00000000-0005-0000-0000-000038210000}"/>
    <cellStyle name="Millares 2 6 3 4 6 2" xfId="24878" xr:uid="{00000000-0005-0000-0000-000039210000}"/>
    <cellStyle name="Millares 2 6 3 4 6 2 2" xfId="52011" xr:uid="{00000000-0005-0000-0000-00003A210000}"/>
    <cellStyle name="Millares 2 6 3 4 6 3" xfId="38449" xr:uid="{00000000-0005-0000-0000-00003B210000}"/>
    <cellStyle name="Millares 2 6 3 4 7" xfId="18097" xr:uid="{00000000-0005-0000-0000-00003C210000}"/>
    <cellStyle name="Millares 2 6 3 4 7 2" xfId="45230" xr:uid="{00000000-0005-0000-0000-00003D210000}"/>
    <cellStyle name="Millares 2 6 3 4 8" xfId="31668" xr:uid="{00000000-0005-0000-0000-00003E210000}"/>
    <cellStyle name="Millares 2 6 3 5" xfId="4306" xr:uid="{00000000-0005-0000-0000-00003F210000}"/>
    <cellStyle name="Millares 2 6 3 5 2" xfId="4307" xr:uid="{00000000-0005-0000-0000-000040210000}"/>
    <cellStyle name="Millares 2 6 3 5 2 2" xfId="7917" xr:uid="{00000000-0005-0000-0000-000041210000}"/>
    <cellStyle name="Millares 2 6 3 5 2 2 2" xfId="14706" xr:uid="{00000000-0005-0000-0000-000042210000}"/>
    <cellStyle name="Millares 2 6 3 5 2 2 2 2" xfId="28274" xr:uid="{00000000-0005-0000-0000-000043210000}"/>
    <cellStyle name="Millares 2 6 3 5 2 2 2 2 2" xfId="55407" xr:uid="{00000000-0005-0000-0000-000044210000}"/>
    <cellStyle name="Millares 2 6 3 5 2 2 2 3" xfId="41845" xr:uid="{00000000-0005-0000-0000-000045210000}"/>
    <cellStyle name="Millares 2 6 3 5 2 2 3" xfId="21493" xr:uid="{00000000-0005-0000-0000-000046210000}"/>
    <cellStyle name="Millares 2 6 3 5 2 2 3 2" xfId="48626" xr:uid="{00000000-0005-0000-0000-000047210000}"/>
    <cellStyle name="Millares 2 6 3 5 2 2 4" xfId="35064" xr:uid="{00000000-0005-0000-0000-000048210000}"/>
    <cellStyle name="Millares 2 6 3 5 2 3" xfId="11317" xr:uid="{00000000-0005-0000-0000-000049210000}"/>
    <cellStyle name="Millares 2 6 3 5 2 3 2" xfId="24885" xr:uid="{00000000-0005-0000-0000-00004A210000}"/>
    <cellStyle name="Millares 2 6 3 5 2 3 2 2" xfId="52018" xr:uid="{00000000-0005-0000-0000-00004B210000}"/>
    <cellStyle name="Millares 2 6 3 5 2 3 3" xfId="38456" xr:uid="{00000000-0005-0000-0000-00004C210000}"/>
    <cellStyle name="Millares 2 6 3 5 2 4" xfId="18104" xr:uid="{00000000-0005-0000-0000-00004D210000}"/>
    <cellStyle name="Millares 2 6 3 5 2 4 2" xfId="45237" xr:uid="{00000000-0005-0000-0000-00004E210000}"/>
    <cellStyle name="Millares 2 6 3 5 2 5" xfId="31675" xr:uid="{00000000-0005-0000-0000-00004F210000}"/>
    <cellStyle name="Millares 2 6 3 5 3" xfId="4308" xr:uid="{00000000-0005-0000-0000-000050210000}"/>
    <cellStyle name="Millares 2 6 3 5 3 2" xfId="7918" xr:uid="{00000000-0005-0000-0000-000051210000}"/>
    <cellStyle name="Millares 2 6 3 5 3 2 2" xfId="14707" xr:uid="{00000000-0005-0000-0000-000052210000}"/>
    <cellStyle name="Millares 2 6 3 5 3 2 2 2" xfId="28275" xr:uid="{00000000-0005-0000-0000-000053210000}"/>
    <cellStyle name="Millares 2 6 3 5 3 2 2 2 2" xfId="55408" xr:uid="{00000000-0005-0000-0000-000054210000}"/>
    <cellStyle name="Millares 2 6 3 5 3 2 2 3" xfId="41846" xr:uid="{00000000-0005-0000-0000-000055210000}"/>
    <cellStyle name="Millares 2 6 3 5 3 2 3" xfId="21494" xr:uid="{00000000-0005-0000-0000-000056210000}"/>
    <cellStyle name="Millares 2 6 3 5 3 2 3 2" xfId="48627" xr:uid="{00000000-0005-0000-0000-000057210000}"/>
    <cellStyle name="Millares 2 6 3 5 3 2 4" xfId="35065" xr:uid="{00000000-0005-0000-0000-000058210000}"/>
    <cellStyle name="Millares 2 6 3 5 3 3" xfId="11318" xr:uid="{00000000-0005-0000-0000-000059210000}"/>
    <cellStyle name="Millares 2 6 3 5 3 3 2" xfId="24886" xr:uid="{00000000-0005-0000-0000-00005A210000}"/>
    <cellStyle name="Millares 2 6 3 5 3 3 2 2" xfId="52019" xr:uid="{00000000-0005-0000-0000-00005B210000}"/>
    <cellStyle name="Millares 2 6 3 5 3 3 3" xfId="38457" xr:uid="{00000000-0005-0000-0000-00005C210000}"/>
    <cellStyle name="Millares 2 6 3 5 3 4" xfId="18105" xr:uid="{00000000-0005-0000-0000-00005D210000}"/>
    <cellStyle name="Millares 2 6 3 5 3 4 2" xfId="45238" xr:uid="{00000000-0005-0000-0000-00005E210000}"/>
    <cellStyle name="Millares 2 6 3 5 3 5" xfId="31676" xr:uid="{00000000-0005-0000-0000-00005F210000}"/>
    <cellStyle name="Millares 2 6 3 5 4" xfId="7916" xr:uid="{00000000-0005-0000-0000-000060210000}"/>
    <cellStyle name="Millares 2 6 3 5 4 2" xfId="14705" xr:uid="{00000000-0005-0000-0000-000061210000}"/>
    <cellStyle name="Millares 2 6 3 5 4 2 2" xfId="28273" xr:uid="{00000000-0005-0000-0000-000062210000}"/>
    <cellStyle name="Millares 2 6 3 5 4 2 2 2" xfId="55406" xr:uid="{00000000-0005-0000-0000-000063210000}"/>
    <cellStyle name="Millares 2 6 3 5 4 2 3" xfId="41844" xr:uid="{00000000-0005-0000-0000-000064210000}"/>
    <cellStyle name="Millares 2 6 3 5 4 3" xfId="21492" xr:uid="{00000000-0005-0000-0000-000065210000}"/>
    <cellStyle name="Millares 2 6 3 5 4 3 2" xfId="48625" xr:uid="{00000000-0005-0000-0000-000066210000}"/>
    <cellStyle name="Millares 2 6 3 5 4 4" xfId="35063" xr:uid="{00000000-0005-0000-0000-000067210000}"/>
    <cellStyle name="Millares 2 6 3 5 5" xfId="11316" xr:uid="{00000000-0005-0000-0000-000068210000}"/>
    <cellStyle name="Millares 2 6 3 5 5 2" xfId="24884" xr:uid="{00000000-0005-0000-0000-000069210000}"/>
    <cellStyle name="Millares 2 6 3 5 5 2 2" xfId="52017" xr:uid="{00000000-0005-0000-0000-00006A210000}"/>
    <cellStyle name="Millares 2 6 3 5 5 3" xfId="38455" xr:uid="{00000000-0005-0000-0000-00006B210000}"/>
    <cellStyle name="Millares 2 6 3 5 6" xfId="18103" xr:uid="{00000000-0005-0000-0000-00006C210000}"/>
    <cellStyle name="Millares 2 6 3 5 6 2" xfId="45236" xr:uid="{00000000-0005-0000-0000-00006D210000}"/>
    <cellStyle name="Millares 2 6 3 5 7" xfId="31674" xr:uid="{00000000-0005-0000-0000-00006E210000}"/>
    <cellStyle name="Millares 2 6 3 6" xfId="4309" xr:uid="{00000000-0005-0000-0000-00006F210000}"/>
    <cellStyle name="Millares 2 6 3 6 2" xfId="4310" xr:uid="{00000000-0005-0000-0000-000070210000}"/>
    <cellStyle name="Millares 2 6 3 6 2 2" xfId="7920" xr:uid="{00000000-0005-0000-0000-000071210000}"/>
    <cellStyle name="Millares 2 6 3 6 2 2 2" xfId="14709" xr:uid="{00000000-0005-0000-0000-000072210000}"/>
    <cellStyle name="Millares 2 6 3 6 2 2 2 2" xfId="28277" xr:uid="{00000000-0005-0000-0000-000073210000}"/>
    <cellStyle name="Millares 2 6 3 6 2 2 2 2 2" xfId="55410" xr:uid="{00000000-0005-0000-0000-000074210000}"/>
    <cellStyle name="Millares 2 6 3 6 2 2 2 3" xfId="41848" xr:uid="{00000000-0005-0000-0000-000075210000}"/>
    <cellStyle name="Millares 2 6 3 6 2 2 3" xfId="21496" xr:uid="{00000000-0005-0000-0000-000076210000}"/>
    <cellStyle name="Millares 2 6 3 6 2 2 3 2" xfId="48629" xr:uid="{00000000-0005-0000-0000-000077210000}"/>
    <cellStyle name="Millares 2 6 3 6 2 2 4" xfId="35067" xr:uid="{00000000-0005-0000-0000-000078210000}"/>
    <cellStyle name="Millares 2 6 3 6 2 3" xfId="11320" xr:uid="{00000000-0005-0000-0000-000079210000}"/>
    <cellStyle name="Millares 2 6 3 6 2 3 2" xfId="24888" xr:uid="{00000000-0005-0000-0000-00007A210000}"/>
    <cellStyle name="Millares 2 6 3 6 2 3 2 2" xfId="52021" xr:uid="{00000000-0005-0000-0000-00007B210000}"/>
    <cellStyle name="Millares 2 6 3 6 2 3 3" xfId="38459" xr:uid="{00000000-0005-0000-0000-00007C210000}"/>
    <cellStyle name="Millares 2 6 3 6 2 4" xfId="18107" xr:uid="{00000000-0005-0000-0000-00007D210000}"/>
    <cellStyle name="Millares 2 6 3 6 2 4 2" xfId="45240" xr:uid="{00000000-0005-0000-0000-00007E210000}"/>
    <cellStyle name="Millares 2 6 3 6 2 5" xfId="31678" xr:uid="{00000000-0005-0000-0000-00007F210000}"/>
    <cellStyle name="Millares 2 6 3 6 3" xfId="7919" xr:uid="{00000000-0005-0000-0000-000080210000}"/>
    <cellStyle name="Millares 2 6 3 6 3 2" xfId="14708" xr:uid="{00000000-0005-0000-0000-000081210000}"/>
    <cellStyle name="Millares 2 6 3 6 3 2 2" xfId="28276" xr:uid="{00000000-0005-0000-0000-000082210000}"/>
    <cellStyle name="Millares 2 6 3 6 3 2 2 2" xfId="55409" xr:uid="{00000000-0005-0000-0000-000083210000}"/>
    <cellStyle name="Millares 2 6 3 6 3 2 3" xfId="41847" xr:uid="{00000000-0005-0000-0000-000084210000}"/>
    <cellStyle name="Millares 2 6 3 6 3 3" xfId="21495" xr:uid="{00000000-0005-0000-0000-000085210000}"/>
    <cellStyle name="Millares 2 6 3 6 3 3 2" xfId="48628" xr:uid="{00000000-0005-0000-0000-000086210000}"/>
    <cellStyle name="Millares 2 6 3 6 3 4" xfId="35066" xr:uid="{00000000-0005-0000-0000-000087210000}"/>
    <cellStyle name="Millares 2 6 3 6 4" xfId="11319" xr:uid="{00000000-0005-0000-0000-000088210000}"/>
    <cellStyle name="Millares 2 6 3 6 4 2" xfId="24887" xr:uid="{00000000-0005-0000-0000-000089210000}"/>
    <cellStyle name="Millares 2 6 3 6 4 2 2" xfId="52020" xr:uid="{00000000-0005-0000-0000-00008A210000}"/>
    <cellStyle name="Millares 2 6 3 6 4 3" xfId="38458" xr:uid="{00000000-0005-0000-0000-00008B210000}"/>
    <cellStyle name="Millares 2 6 3 6 5" xfId="18106" xr:uid="{00000000-0005-0000-0000-00008C210000}"/>
    <cellStyle name="Millares 2 6 3 6 5 2" xfId="45239" xr:uid="{00000000-0005-0000-0000-00008D210000}"/>
    <cellStyle name="Millares 2 6 3 6 6" xfId="31677" xr:uid="{00000000-0005-0000-0000-00008E210000}"/>
    <cellStyle name="Millares 2 6 3 7" xfId="4311" xr:uid="{00000000-0005-0000-0000-00008F210000}"/>
    <cellStyle name="Millares 2 6 3 7 2" xfId="7921" xr:uid="{00000000-0005-0000-0000-000090210000}"/>
    <cellStyle name="Millares 2 6 3 7 2 2" xfId="14710" xr:uid="{00000000-0005-0000-0000-000091210000}"/>
    <cellStyle name="Millares 2 6 3 7 2 2 2" xfId="28278" xr:uid="{00000000-0005-0000-0000-000092210000}"/>
    <cellStyle name="Millares 2 6 3 7 2 2 2 2" xfId="55411" xr:uid="{00000000-0005-0000-0000-000093210000}"/>
    <cellStyle name="Millares 2 6 3 7 2 2 3" xfId="41849" xr:uid="{00000000-0005-0000-0000-000094210000}"/>
    <cellStyle name="Millares 2 6 3 7 2 3" xfId="21497" xr:uid="{00000000-0005-0000-0000-000095210000}"/>
    <cellStyle name="Millares 2 6 3 7 2 3 2" xfId="48630" xr:uid="{00000000-0005-0000-0000-000096210000}"/>
    <cellStyle name="Millares 2 6 3 7 2 4" xfId="35068" xr:uid="{00000000-0005-0000-0000-000097210000}"/>
    <cellStyle name="Millares 2 6 3 7 3" xfId="11321" xr:uid="{00000000-0005-0000-0000-000098210000}"/>
    <cellStyle name="Millares 2 6 3 7 3 2" xfId="24889" xr:uid="{00000000-0005-0000-0000-000099210000}"/>
    <cellStyle name="Millares 2 6 3 7 3 2 2" xfId="52022" xr:uid="{00000000-0005-0000-0000-00009A210000}"/>
    <cellStyle name="Millares 2 6 3 7 3 3" xfId="38460" xr:uid="{00000000-0005-0000-0000-00009B210000}"/>
    <cellStyle name="Millares 2 6 3 7 4" xfId="18108" xr:uid="{00000000-0005-0000-0000-00009C210000}"/>
    <cellStyle name="Millares 2 6 3 7 4 2" xfId="45241" xr:uid="{00000000-0005-0000-0000-00009D210000}"/>
    <cellStyle name="Millares 2 6 3 7 5" xfId="31679" xr:uid="{00000000-0005-0000-0000-00009E210000}"/>
    <cellStyle name="Millares 2 6 3 8" xfId="4312" xr:uid="{00000000-0005-0000-0000-00009F210000}"/>
    <cellStyle name="Millares 2 6 3 8 2" xfId="7922" xr:uid="{00000000-0005-0000-0000-0000A0210000}"/>
    <cellStyle name="Millares 2 6 3 8 2 2" xfId="14711" xr:uid="{00000000-0005-0000-0000-0000A1210000}"/>
    <cellStyle name="Millares 2 6 3 8 2 2 2" xfId="28279" xr:uid="{00000000-0005-0000-0000-0000A2210000}"/>
    <cellStyle name="Millares 2 6 3 8 2 2 2 2" xfId="55412" xr:uid="{00000000-0005-0000-0000-0000A3210000}"/>
    <cellStyle name="Millares 2 6 3 8 2 2 3" xfId="41850" xr:uid="{00000000-0005-0000-0000-0000A4210000}"/>
    <cellStyle name="Millares 2 6 3 8 2 3" xfId="21498" xr:uid="{00000000-0005-0000-0000-0000A5210000}"/>
    <cellStyle name="Millares 2 6 3 8 2 3 2" xfId="48631" xr:uid="{00000000-0005-0000-0000-0000A6210000}"/>
    <cellStyle name="Millares 2 6 3 8 2 4" xfId="35069" xr:uid="{00000000-0005-0000-0000-0000A7210000}"/>
    <cellStyle name="Millares 2 6 3 8 3" xfId="11322" xr:uid="{00000000-0005-0000-0000-0000A8210000}"/>
    <cellStyle name="Millares 2 6 3 8 3 2" xfId="24890" xr:uid="{00000000-0005-0000-0000-0000A9210000}"/>
    <cellStyle name="Millares 2 6 3 8 3 2 2" xfId="52023" xr:uid="{00000000-0005-0000-0000-0000AA210000}"/>
    <cellStyle name="Millares 2 6 3 8 3 3" xfId="38461" xr:uid="{00000000-0005-0000-0000-0000AB210000}"/>
    <cellStyle name="Millares 2 6 3 8 4" xfId="18109" xr:uid="{00000000-0005-0000-0000-0000AC210000}"/>
    <cellStyle name="Millares 2 6 3 8 4 2" xfId="45242" xr:uid="{00000000-0005-0000-0000-0000AD210000}"/>
    <cellStyle name="Millares 2 6 3 8 5" xfId="31680" xr:uid="{00000000-0005-0000-0000-0000AE210000}"/>
    <cellStyle name="Millares 2 6 3 9" xfId="7885" xr:uid="{00000000-0005-0000-0000-0000AF210000}"/>
    <cellStyle name="Millares 2 6 3 9 2" xfId="14674" xr:uid="{00000000-0005-0000-0000-0000B0210000}"/>
    <cellStyle name="Millares 2 6 3 9 2 2" xfId="28242" xr:uid="{00000000-0005-0000-0000-0000B1210000}"/>
    <cellStyle name="Millares 2 6 3 9 2 2 2" xfId="55375" xr:uid="{00000000-0005-0000-0000-0000B2210000}"/>
    <cellStyle name="Millares 2 6 3 9 2 3" xfId="41813" xr:uid="{00000000-0005-0000-0000-0000B3210000}"/>
    <cellStyle name="Millares 2 6 3 9 3" xfId="21461" xr:uid="{00000000-0005-0000-0000-0000B4210000}"/>
    <cellStyle name="Millares 2 6 3 9 3 2" xfId="48594" xr:uid="{00000000-0005-0000-0000-0000B5210000}"/>
    <cellStyle name="Millares 2 6 3 9 4" xfId="35032" xr:uid="{00000000-0005-0000-0000-0000B6210000}"/>
    <cellStyle name="Millares 2 6 4" xfId="4313" xr:uid="{00000000-0005-0000-0000-0000B7210000}"/>
    <cellStyle name="Millares 2 6 4 10" xfId="31681" xr:uid="{00000000-0005-0000-0000-0000B8210000}"/>
    <cellStyle name="Millares 2 6 4 2" xfId="4314" xr:uid="{00000000-0005-0000-0000-0000B9210000}"/>
    <cellStyle name="Millares 2 6 4 2 2" xfId="4315" xr:uid="{00000000-0005-0000-0000-0000BA210000}"/>
    <cellStyle name="Millares 2 6 4 2 2 2" xfId="4316" xr:uid="{00000000-0005-0000-0000-0000BB210000}"/>
    <cellStyle name="Millares 2 6 4 2 2 2 2" xfId="7926" xr:uid="{00000000-0005-0000-0000-0000BC210000}"/>
    <cellStyle name="Millares 2 6 4 2 2 2 2 2" xfId="14715" xr:uid="{00000000-0005-0000-0000-0000BD210000}"/>
    <cellStyle name="Millares 2 6 4 2 2 2 2 2 2" xfId="28283" xr:uid="{00000000-0005-0000-0000-0000BE210000}"/>
    <cellStyle name="Millares 2 6 4 2 2 2 2 2 2 2" xfId="55416" xr:uid="{00000000-0005-0000-0000-0000BF210000}"/>
    <cellStyle name="Millares 2 6 4 2 2 2 2 2 3" xfId="41854" xr:uid="{00000000-0005-0000-0000-0000C0210000}"/>
    <cellStyle name="Millares 2 6 4 2 2 2 2 3" xfId="21502" xr:uid="{00000000-0005-0000-0000-0000C1210000}"/>
    <cellStyle name="Millares 2 6 4 2 2 2 2 3 2" xfId="48635" xr:uid="{00000000-0005-0000-0000-0000C2210000}"/>
    <cellStyle name="Millares 2 6 4 2 2 2 2 4" xfId="35073" xr:uid="{00000000-0005-0000-0000-0000C3210000}"/>
    <cellStyle name="Millares 2 6 4 2 2 2 3" xfId="11326" xr:uid="{00000000-0005-0000-0000-0000C4210000}"/>
    <cellStyle name="Millares 2 6 4 2 2 2 3 2" xfId="24894" xr:uid="{00000000-0005-0000-0000-0000C5210000}"/>
    <cellStyle name="Millares 2 6 4 2 2 2 3 2 2" xfId="52027" xr:uid="{00000000-0005-0000-0000-0000C6210000}"/>
    <cellStyle name="Millares 2 6 4 2 2 2 3 3" xfId="38465" xr:uid="{00000000-0005-0000-0000-0000C7210000}"/>
    <cellStyle name="Millares 2 6 4 2 2 2 4" xfId="18113" xr:uid="{00000000-0005-0000-0000-0000C8210000}"/>
    <cellStyle name="Millares 2 6 4 2 2 2 4 2" xfId="45246" xr:uid="{00000000-0005-0000-0000-0000C9210000}"/>
    <cellStyle name="Millares 2 6 4 2 2 2 5" xfId="31684" xr:uid="{00000000-0005-0000-0000-0000CA210000}"/>
    <cellStyle name="Millares 2 6 4 2 2 3" xfId="4317" xr:uid="{00000000-0005-0000-0000-0000CB210000}"/>
    <cellStyle name="Millares 2 6 4 2 2 3 2" xfId="7927" xr:uid="{00000000-0005-0000-0000-0000CC210000}"/>
    <cellStyle name="Millares 2 6 4 2 2 3 2 2" xfId="14716" xr:uid="{00000000-0005-0000-0000-0000CD210000}"/>
    <cellStyle name="Millares 2 6 4 2 2 3 2 2 2" xfId="28284" xr:uid="{00000000-0005-0000-0000-0000CE210000}"/>
    <cellStyle name="Millares 2 6 4 2 2 3 2 2 2 2" xfId="55417" xr:uid="{00000000-0005-0000-0000-0000CF210000}"/>
    <cellStyle name="Millares 2 6 4 2 2 3 2 2 3" xfId="41855" xr:uid="{00000000-0005-0000-0000-0000D0210000}"/>
    <cellStyle name="Millares 2 6 4 2 2 3 2 3" xfId="21503" xr:uid="{00000000-0005-0000-0000-0000D1210000}"/>
    <cellStyle name="Millares 2 6 4 2 2 3 2 3 2" xfId="48636" xr:uid="{00000000-0005-0000-0000-0000D2210000}"/>
    <cellStyle name="Millares 2 6 4 2 2 3 2 4" xfId="35074" xr:uid="{00000000-0005-0000-0000-0000D3210000}"/>
    <cellStyle name="Millares 2 6 4 2 2 3 3" xfId="11327" xr:uid="{00000000-0005-0000-0000-0000D4210000}"/>
    <cellStyle name="Millares 2 6 4 2 2 3 3 2" xfId="24895" xr:uid="{00000000-0005-0000-0000-0000D5210000}"/>
    <cellStyle name="Millares 2 6 4 2 2 3 3 2 2" xfId="52028" xr:uid="{00000000-0005-0000-0000-0000D6210000}"/>
    <cellStyle name="Millares 2 6 4 2 2 3 3 3" xfId="38466" xr:uid="{00000000-0005-0000-0000-0000D7210000}"/>
    <cellStyle name="Millares 2 6 4 2 2 3 4" xfId="18114" xr:uid="{00000000-0005-0000-0000-0000D8210000}"/>
    <cellStyle name="Millares 2 6 4 2 2 3 4 2" xfId="45247" xr:uid="{00000000-0005-0000-0000-0000D9210000}"/>
    <cellStyle name="Millares 2 6 4 2 2 3 5" xfId="31685" xr:uid="{00000000-0005-0000-0000-0000DA210000}"/>
    <cellStyle name="Millares 2 6 4 2 2 4" xfId="7925" xr:uid="{00000000-0005-0000-0000-0000DB210000}"/>
    <cellStyle name="Millares 2 6 4 2 2 4 2" xfId="14714" xr:uid="{00000000-0005-0000-0000-0000DC210000}"/>
    <cellStyle name="Millares 2 6 4 2 2 4 2 2" xfId="28282" xr:uid="{00000000-0005-0000-0000-0000DD210000}"/>
    <cellStyle name="Millares 2 6 4 2 2 4 2 2 2" xfId="55415" xr:uid="{00000000-0005-0000-0000-0000DE210000}"/>
    <cellStyle name="Millares 2 6 4 2 2 4 2 3" xfId="41853" xr:uid="{00000000-0005-0000-0000-0000DF210000}"/>
    <cellStyle name="Millares 2 6 4 2 2 4 3" xfId="21501" xr:uid="{00000000-0005-0000-0000-0000E0210000}"/>
    <cellStyle name="Millares 2 6 4 2 2 4 3 2" xfId="48634" xr:uid="{00000000-0005-0000-0000-0000E1210000}"/>
    <cellStyle name="Millares 2 6 4 2 2 4 4" xfId="35072" xr:uid="{00000000-0005-0000-0000-0000E2210000}"/>
    <cellStyle name="Millares 2 6 4 2 2 5" xfId="11325" xr:uid="{00000000-0005-0000-0000-0000E3210000}"/>
    <cellStyle name="Millares 2 6 4 2 2 5 2" xfId="24893" xr:uid="{00000000-0005-0000-0000-0000E4210000}"/>
    <cellStyle name="Millares 2 6 4 2 2 5 2 2" xfId="52026" xr:uid="{00000000-0005-0000-0000-0000E5210000}"/>
    <cellStyle name="Millares 2 6 4 2 2 5 3" xfId="38464" xr:uid="{00000000-0005-0000-0000-0000E6210000}"/>
    <cellStyle name="Millares 2 6 4 2 2 6" xfId="18112" xr:uid="{00000000-0005-0000-0000-0000E7210000}"/>
    <cellStyle name="Millares 2 6 4 2 2 6 2" xfId="45245" xr:uid="{00000000-0005-0000-0000-0000E8210000}"/>
    <cellStyle name="Millares 2 6 4 2 2 7" xfId="31683" xr:uid="{00000000-0005-0000-0000-0000E9210000}"/>
    <cellStyle name="Millares 2 6 4 2 3" xfId="4318" xr:uid="{00000000-0005-0000-0000-0000EA210000}"/>
    <cellStyle name="Millares 2 6 4 2 3 2" xfId="4319" xr:uid="{00000000-0005-0000-0000-0000EB210000}"/>
    <cellStyle name="Millares 2 6 4 2 3 2 2" xfId="7929" xr:uid="{00000000-0005-0000-0000-0000EC210000}"/>
    <cellStyle name="Millares 2 6 4 2 3 2 2 2" xfId="14718" xr:uid="{00000000-0005-0000-0000-0000ED210000}"/>
    <cellStyle name="Millares 2 6 4 2 3 2 2 2 2" xfId="28286" xr:uid="{00000000-0005-0000-0000-0000EE210000}"/>
    <cellStyle name="Millares 2 6 4 2 3 2 2 2 2 2" xfId="55419" xr:uid="{00000000-0005-0000-0000-0000EF210000}"/>
    <cellStyle name="Millares 2 6 4 2 3 2 2 2 3" xfId="41857" xr:uid="{00000000-0005-0000-0000-0000F0210000}"/>
    <cellStyle name="Millares 2 6 4 2 3 2 2 3" xfId="21505" xr:uid="{00000000-0005-0000-0000-0000F1210000}"/>
    <cellStyle name="Millares 2 6 4 2 3 2 2 3 2" xfId="48638" xr:uid="{00000000-0005-0000-0000-0000F2210000}"/>
    <cellStyle name="Millares 2 6 4 2 3 2 2 4" xfId="35076" xr:uid="{00000000-0005-0000-0000-0000F3210000}"/>
    <cellStyle name="Millares 2 6 4 2 3 2 3" xfId="11329" xr:uid="{00000000-0005-0000-0000-0000F4210000}"/>
    <cellStyle name="Millares 2 6 4 2 3 2 3 2" xfId="24897" xr:uid="{00000000-0005-0000-0000-0000F5210000}"/>
    <cellStyle name="Millares 2 6 4 2 3 2 3 2 2" xfId="52030" xr:uid="{00000000-0005-0000-0000-0000F6210000}"/>
    <cellStyle name="Millares 2 6 4 2 3 2 3 3" xfId="38468" xr:uid="{00000000-0005-0000-0000-0000F7210000}"/>
    <cellStyle name="Millares 2 6 4 2 3 2 4" xfId="18116" xr:uid="{00000000-0005-0000-0000-0000F8210000}"/>
    <cellStyle name="Millares 2 6 4 2 3 2 4 2" xfId="45249" xr:uid="{00000000-0005-0000-0000-0000F9210000}"/>
    <cellStyle name="Millares 2 6 4 2 3 2 5" xfId="31687" xr:uid="{00000000-0005-0000-0000-0000FA210000}"/>
    <cellStyle name="Millares 2 6 4 2 3 3" xfId="7928" xr:uid="{00000000-0005-0000-0000-0000FB210000}"/>
    <cellStyle name="Millares 2 6 4 2 3 3 2" xfId="14717" xr:uid="{00000000-0005-0000-0000-0000FC210000}"/>
    <cellStyle name="Millares 2 6 4 2 3 3 2 2" xfId="28285" xr:uid="{00000000-0005-0000-0000-0000FD210000}"/>
    <cellStyle name="Millares 2 6 4 2 3 3 2 2 2" xfId="55418" xr:uid="{00000000-0005-0000-0000-0000FE210000}"/>
    <cellStyle name="Millares 2 6 4 2 3 3 2 3" xfId="41856" xr:uid="{00000000-0005-0000-0000-0000FF210000}"/>
    <cellStyle name="Millares 2 6 4 2 3 3 3" xfId="21504" xr:uid="{00000000-0005-0000-0000-000000220000}"/>
    <cellStyle name="Millares 2 6 4 2 3 3 3 2" xfId="48637" xr:uid="{00000000-0005-0000-0000-000001220000}"/>
    <cellStyle name="Millares 2 6 4 2 3 3 4" xfId="35075" xr:uid="{00000000-0005-0000-0000-000002220000}"/>
    <cellStyle name="Millares 2 6 4 2 3 4" xfId="11328" xr:uid="{00000000-0005-0000-0000-000003220000}"/>
    <cellStyle name="Millares 2 6 4 2 3 4 2" xfId="24896" xr:uid="{00000000-0005-0000-0000-000004220000}"/>
    <cellStyle name="Millares 2 6 4 2 3 4 2 2" xfId="52029" xr:uid="{00000000-0005-0000-0000-000005220000}"/>
    <cellStyle name="Millares 2 6 4 2 3 4 3" xfId="38467" xr:uid="{00000000-0005-0000-0000-000006220000}"/>
    <cellStyle name="Millares 2 6 4 2 3 5" xfId="18115" xr:uid="{00000000-0005-0000-0000-000007220000}"/>
    <cellStyle name="Millares 2 6 4 2 3 5 2" xfId="45248" xr:uid="{00000000-0005-0000-0000-000008220000}"/>
    <cellStyle name="Millares 2 6 4 2 3 6" xfId="31686" xr:uid="{00000000-0005-0000-0000-000009220000}"/>
    <cellStyle name="Millares 2 6 4 2 4" xfId="4320" xr:uid="{00000000-0005-0000-0000-00000A220000}"/>
    <cellStyle name="Millares 2 6 4 2 4 2" xfId="7930" xr:uid="{00000000-0005-0000-0000-00000B220000}"/>
    <cellStyle name="Millares 2 6 4 2 4 2 2" xfId="14719" xr:uid="{00000000-0005-0000-0000-00000C220000}"/>
    <cellStyle name="Millares 2 6 4 2 4 2 2 2" xfId="28287" xr:uid="{00000000-0005-0000-0000-00000D220000}"/>
    <cellStyle name="Millares 2 6 4 2 4 2 2 2 2" xfId="55420" xr:uid="{00000000-0005-0000-0000-00000E220000}"/>
    <cellStyle name="Millares 2 6 4 2 4 2 2 3" xfId="41858" xr:uid="{00000000-0005-0000-0000-00000F220000}"/>
    <cellStyle name="Millares 2 6 4 2 4 2 3" xfId="21506" xr:uid="{00000000-0005-0000-0000-000010220000}"/>
    <cellStyle name="Millares 2 6 4 2 4 2 3 2" xfId="48639" xr:uid="{00000000-0005-0000-0000-000011220000}"/>
    <cellStyle name="Millares 2 6 4 2 4 2 4" xfId="35077" xr:uid="{00000000-0005-0000-0000-000012220000}"/>
    <cellStyle name="Millares 2 6 4 2 4 3" xfId="11330" xr:uid="{00000000-0005-0000-0000-000013220000}"/>
    <cellStyle name="Millares 2 6 4 2 4 3 2" xfId="24898" xr:uid="{00000000-0005-0000-0000-000014220000}"/>
    <cellStyle name="Millares 2 6 4 2 4 3 2 2" xfId="52031" xr:uid="{00000000-0005-0000-0000-000015220000}"/>
    <cellStyle name="Millares 2 6 4 2 4 3 3" xfId="38469" xr:uid="{00000000-0005-0000-0000-000016220000}"/>
    <cellStyle name="Millares 2 6 4 2 4 4" xfId="18117" xr:uid="{00000000-0005-0000-0000-000017220000}"/>
    <cellStyle name="Millares 2 6 4 2 4 4 2" xfId="45250" xr:uid="{00000000-0005-0000-0000-000018220000}"/>
    <cellStyle name="Millares 2 6 4 2 4 5" xfId="31688" xr:uid="{00000000-0005-0000-0000-000019220000}"/>
    <cellStyle name="Millares 2 6 4 2 5" xfId="4321" xr:uid="{00000000-0005-0000-0000-00001A220000}"/>
    <cellStyle name="Millares 2 6 4 2 5 2" xfId="7931" xr:uid="{00000000-0005-0000-0000-00001B220000}"/>
    <cellStyle name="Millares 2 6 4 2 5 2 2" xfId="14720" xr:uid="{00000000-0005-0000-0000-00001C220000}"/>
    <cellStyle name="Millares 2 6 4 2 5 2 2 2" xfId="28288" xr:uid="{00000000-0005-0000-0000-00001D220000}"/>
    <cellStyle name="Millares 2 6 4 2 5 2 2 2 2" xfId="55421" xr:uid="{00000000-0005-0000-0000-00001E220000}"/>
    <cellStyle name="Millares 2 6 4 2 5 2 2 3" xfId="41859" xr:uid="{00000000-0005-0000-0000-00001F220000}"/>
    <cellStyle name="Millares 2 6 4 2 5 2 3" xfId="21507" xr:uid="{00000000-0005-0000-0000-000020220000}"/>
    <cellStyle name="Millares 2 6 4 2 5 2 3 2" xfId="48640" xr:uid="{00000000-0005-0000-0000-000021220000}"/>
    <cellStyle name="Millares 2 6 4 2 5 2 4" xfId="35078" xr:uid="{00000000-0005-0000-0000-000022220000}"/>
    <cellStyle name="Millares 2 6 4 2 5 3" xfId="11331" xr:uid="{00000000-0005-0000-0000-000023220000}"/>
    <cellStyle name="Millares 2 6 4 2 5 3 2" xfId="24899" xr:uid="{00000000-0005-0000-0000-000024220000}"/>
    <cellStyle name="Millares 2 6 4 2 5 3 2 2" xfId="52032" xr:uid="{00000000-0005-0000-0000-000025220000}"/>
    <cellStyle name="Millares 2 6 4 2 5 3 3" xfId="38470" xr:uid="{00000000-0005-0000-0000-000026220000}"/>
    <cellStyle name="Millares 2 6 4 2 5 4" xfId="18118" xr:uid="{00000000-0005-0000-0000-000027220000}"/>
    <cellStyle name="Millares 2 6 4 2 5 4 2" xfId="45251" xr:uid="{00000000-0005-0000-0000-000028220000}"/>
    <cellStyle name="Millares 2 6 4 2 5 5" xfId="31689" xr:uid="{00000000-0005-0000-0000-000029220000}"/>
    <cellStyle name="Millares 2 6 4 2 6" xfId="7924" xr:uid="{00000000-0005-0000-0000-00002A220000}"/>
    <cellStyle name="Millares 2 6 4 2 6 2" xfId="14713" xr:uid="{00000000-0005-0000-0000-00002B220000}"/>
    <cellStyle name="Millares 2 6 4 2 6 2 2" xfId="28281" xr:uid="{00000000-0005-0000-0000-00002C220000}"/>
    <cellStyle name="Millares 2 6 4 2 6 2 2 2" xfId="55414" xr:uid="{00000000-0005-0000-0000-00002D220000}"/>
    <cellStyle name="Millares 2 6 4 2 6 2 3" xfId="41852" xr:uid="{00000000-0005-0000-0000-00002E220000}"/>
    <cellStyle name="Millares 2 6 4 2 6 3" xfId="21500" xr:uid="{00000000-0005-0000-0000-00002F220000}"/>
    <cellStyle name="Millares 2 6 4 2 6 3 2" xfId="48633" xr:uid="{00000000-0005-0000-0000-000030220000}"/>
    <cellStyle name="Millares 2 6 4 2 6 4" xfId="35071" xr:uid="{00000000-0005-0000-0000-000031220000}"/>
    <cellStyle name="Millares 2 6 4 2 7" xfId="11324" xr:uid="{00000000-0005-0000-0000-000032220000}"/>
    <cellStyle name="Millares 2 6 4 2 7 2" xfId="24892" xr:uid="{00000000-0005-0000-0000-000033220000}"/>
    <cellStyle name="Millares 2 6 4 2 7 2 2" xfId="52025" xr:uid="{00000000-0005-0000-0000-000034220000}"/>
    <cellStyle name="Millares 2 6 4 2 7 3" xfId="38463" xr:uid="{00000000-0005-0000-0000-000035220000}"/>
    <cellStyle name="Millares 2 6 4 2 8" xfId="18111" xr:uid="{00000000-0005-0000-0000-000036220000}"/>
    <cellStyle name="Millares 2 6 4 2 8 2" xfId="45244" xr:uid="{00000000-0005-0000-0000-000037220000}"/>
    <cellStyle name="Millares 2 6 4 2 9" xfId="31682" xr:uid="{00000000-0005-0000-0000-000038220000}"/>
    <cellStyle name="Millares 2 6 4 3" xfId="4322" xr:uid="{00000000-0005-0000-0000-000039220000}"/>
    <cellStyle name="Millares 2 6 4 3 2" xfId="4323" xr:uid="{00000000-0005-0000-0000-00003A220000}"/>
    <cellStyle name="Millares 2 6 4 3 2 2" xfId="7933" xr:uid="{00000000-0005-0000-0000-00003B220000}"/>
    <cellStyle name="Millares 2 6 4 3 2 2 2" xfId="14722" xr:uid="{00000000-0005-0000-0000-00003C220000}"/>
    <cellStyle name="Millares 2 6 4 3 2 2 2 2" xfId="28290" xr:uid="{00000000-0005-0000-0000-00003D220000}"/>
    <cellStyle name="Millares 2 6 4 3 2 2 2 2 2" xfId="55423" xr:uid="{00000000-0005-0000-0000-00003E220000}"/>
    <cellStyle name="Millares 2 6 4 3 2 2 2 3" xfId="41861" xr:uid="{00000000-0005-0000-0000-00003F220000}"/>
    <cellStyle name="Millares 2 6 4 3 2 2 3" xfId="21509" xr:uid="{00000000-0005-0000-0000-000040220000}"/>
    <cellStyle name="Millares 2 6 4 3 2 2 3 2" xfId="48642" xr:uid="{00000000-0005-0000-0000-000041220000}"/>
    <cellStyle name="Millares 2 6 4 3 2 2 4" xfId="35080" xr:uid="{00000000-0005-0000-0000-000042220000}"/>
    <cellStyle name="Millares 2 6 4 3 2 3" xfId="11333" xr:uid="{00000000-0005-0000-0000-000043220000}"/>
    <cellStyle name="Millares 2 6 4 3 2 3 2" xfId="24901" xr:uid="{00000000-0005-0000-0000-000044220000}"/>
    <cellStyle name="Millares 2 6 4 3 2 3 2 2" xfId="52034" xr:uid="{00000000-0005-0000-0000-000045220000}"/>
    <cellStyle name="Millares 2 6 4 3 2 3 3" xfId="38472" xr:uid="{00000000-0005-0000-0000-000046220000}"/>
    <cellStyle name="Millares 2 6 4 3 2 4" xfId="18120" xr:uid="{00000000-0005-0000-0000-000047220000}"/>
    <cellStyle name="Millares 2 6 4 3 2 4 2" xfId="45253" xr:uid="{00000000-0005-0000-0000-000048220000}"/>
    <cellStyle name="Millares 2 6 4 3 2 5" xfId="31691" xr:uid="{00000000-0005-0000-0000-000049220000}"/>
    <cellStyle name="Millares 2 6 4 3 3" xfId="4324" xr:uid="{00000000-0005-0000-0000-00004A220000}"/>
    <cellStyle name="Millares 2 6 4 3 3 2" xfId="7934" xr:uid="{00000000-0005-0000-0000-00004B220000}"/>
    <cellStyle name="Millares 2 6 4 3 3 2 2" xfId="14723" xr:uid="{00000000-0005-0000-0000-00004C220000}"/>
    <cellStyle name="Millares 2 6 4 3 3 2 2 2" xfId="28291" xr:uid="{00000000-0005-0000-0000-00004D220000}"/>
    <cellStyle name="Millares 2 6 4 3 3 2 2 2 2" xfId="55424" xr:uid="{00000000-0005-0000-0000-00004E220000}"/>
    <cellStyle name="Millares 2 6 4 3 3 2 2 3" xfId="41862" xr:uid="{00000000-0005-0000-0000-00004F220000}"/>
    <cellStyle name="Millares 2 6 4 3 3 2 3" xfId="21510" xr:uid="{00000000-0005-0000-0000-000050220000}"/>
    <cellStyle name="Millares 2 6 4 3 3 2 3 2" xfId="48643" xr:uid="{00000000-0005-0000-0000-000051220000}"/>
    <cellStyle name="Millares 2 6 4 3 3 2 4" xfId="35081" xr:uid="{00000000-0005-0000-0000-000052220000}"/>
    <cellStyle name="Millares 2 6 4 3 3 3" xfId="11334" xr:uid="{00000000-0005-0000-0000-000053220000}"/>
    <cellStyle name="Millares 2 6 4 3 3 3 2" xfId="24902" xr:uid="{00000000-0005-0000-0000-000054220000}"/>
    <cellStyle name="Millares 2 6 4 3 3 3 2 2" xfId="52035" xr:uid="{00000000-0005-0000-0000-000055220000}"/>
    <cellStyle name="Millares 2 6 4 3 3 3 3" xfId="38473" xr:uid="{00000000-0005-0000-0000-000056220000}"/>
    <cellStyle name="Millares 2 6 4 3 3 4" xfId="18121" xr:uid="{00000000-0005-0000-0000-000057220000}"/>
    <cellStyle name="Millares 2 6 4 3 3 4 2" xfId="45254" xr:uid="{00000000-0005-0000-0000-000058220000}"/>
    <cellStyle name="Millares 2 6 4 3 3 5" xfId="31692" xr:uid="{00000000-0005-0000-0000-000059220000}"/>
    <cellStyle name="Millares 2 6 4 3 4" xfId="7932" xr:uid="{00000000-0005-0000-0000-00005A220000}"/>
    <cellStyle name="Millares 2 6 4 3 4 2" xfId="14721" xr:uid="{00000000-0005-0000-0000-00005B220000}"/>
    <cellStyle name="Millares 2 6 4 3 4 2 2" xfId="28289" xr:uid="{00000000-0005-0000-0000-00005C220000}"/>
    <cellStyle name="Millares 2 6 4 3 4 2 2 2" xfId="55422" xr:uid="{00000000-0005-0000-0000-00005D220000}"/>
    <cellStyle name="Millares 2 6 4 3 4 2 3" xfId="41860" xr:uid="{00000000-0005-0000-0000-00005E220000}"/>
    <cellStyle name="Millares 2 6 4 3 4 3" xfId="21508" xr:uid="{00000000-0005-0000-0000-00005F220000}"/>
    <cellStyle name="Millares 2 6 4 3 4 3 2" xfId="48641" xr:uid="{00000000-0005-0000-0000-000060220000}"/>
    <cellStyle name="Millares 2 6 4 3 4 4" xfId="35079" xr:uid="{00000000-0005-0000-0000-000061220000}"/>
    <cellStyle name="Millares 2 6 4 3 5" xfId="11332" xr:uid="{00000000-0005-0000-0000-000062220000}"/>
    <cellStyle name="Millares 2 6 4 3 5 2" xfId="24900" xr:uid="{00000000-0005-0000-0000-000063220000}"/>
    <cellStyle name="Millares 2 6 4 3 5 2 2" xfId="52033" xr:uid="{00000000-0005-0000-0000-000064220000}"/>
    <cellStyle name="Millares 2 6 4 3 5 3" xfId="38471" xr:uid="{00000000-0005-0000-0000-000065220000}"/>
    <cellStyle name="Millares 2 6 4 3 6" xfId="18119" xr:uid="{00000000-0005-0000-0000-000066220000}"/>
    <cellStyle name="Millares 2 6 4 3 6 2" xfId="45252" xr:uid="{00000000-0005-0000-0000-000067220000}"/>
    <cellStyle name="Millares 2 6 4 3 7" xfId="31690" xr:uid="{00000000-0005-0000-0000-000068220000}"/>
    <cellStyle name="Millares 2 6 4 4" xfId="4325" xr:uid="{00000000-0005-0000-0000-000069220000}"/>
    <cellStyle name="Millares 2 6 4 4 2" xfId="4326" xr:uid="{00000000-0005-0000-0000-00006A220000}"/>
    <cellStyle name="Millares 2 6 4 4 2 2" xfId="7936" xr:uid="{00000000-0005-0000-0000-00006B220000}"/>
    <cellStyle name="Millares 2 6 4 4 2 2 2" xfId="14725" xr:uid="{00000000-0005-0000-0000-00006C220000}"/>
    <cellStyle name="Millares 2 6 4 4 2 2 2 2" xfId="28293" xr:uid="{00000000-0005-0000-0000-00006D220000}"/>
    <cellStyle name="Millares 2 6 4 4 2 2 2 2 2" xfId="55426" xr:uid="{00000000-0005-0000-0000-00006E220000}"/>
    <cellStyle name="Millares 2 6 4 4 2 2 2 3" xfId="41864" xr:uid="{00000000-0005-0000-0000-00006F220000}"/>
    <cellStyle name="Millares 2 6 4 4 2 2 3" xfId="21512" xr:uid="{00000000-0005-0000-0000-000070220000}"/>
    <cellStyle name="Millares 2 6 4 4 2 2 3 2" xfId="48645" xr:uid="{00000000-0005-0000-0000-000071220000}"/>
    <cellStyle name="Millares 2 6 4 4 2 2 4" xfId="35083" xr:uid="{00000000-0005-0000-0000-000072220000}"/>
    <cellStyle name="Millares 2 6 4 4 2 3" xfId="11336" xr:uid="{00000000-0005-0000-0000-000073220000}"/>
    <cellStyle name="Millares 2 6 4 4 2 3 2" xfId="24904" xr:uid="{00000000-0005-0000-0000-000074220000}"/>
    <cellStyle name="Millares 2 6 4 4 2 3 2 2" xfId="52037" xr:uid="{00000000-0005-0000-0000-000075220000}"/>
    <cellStyle name="Millares 2 6 4 4 2 3 3" xfId="38475" xr:uid="{00000000-0005-0000-0000-000076220000}"/>
    <cellStyle name="Millares 2 6 4 4 2 4" xfId="18123" xr:uid="{00000000-0005-0000-0000-000077220000}"/>
    <cellStyle name="Millares 2 6 4 4 2 4 2" xfId="45256" xr:uid="{00000000-0005-0000-0000-000078220000}"/>
    <cellStyle name="Millares 2 6 4 4 2 5" xfId="31694" xr:uid="{00000000-0005-0000-0000-000079220000}"/>
    <cellStyle name="Millares 2 6 4 4 3" xfId="7935" xr:uid="{00000000-0005-0000-0000-00007A220000}"/>
    <cellStyle name="Millares 2 6 4 4 3 2" xfId="14724" xr:uid="{00000000-0005-0000-0000-00007B220000}"/>
    <cellStyle name="Millares 2 6 4 4 3 2 2" xfId="28292" xr:uid="{00000000-0005-0000-0000-00007C220000}"/>
    <cellStyle name="Millares 2 6 4 4 3 2 2 2" xfId="55425" xr:uid="{00000000-0005-0000-0000-00007D220000}"/>
    <cellStyle name="Millares 2 6 4 4 3 2 3" xfId="41863" xr:uid="{00000000-0005-0000-0000-00007E220000}"/>
    <cellStyle name="Millares 2 6 4 4 3 3" xfId="21511" xr:uid="{00000000-0005-0000-0000-00007F220000}"/>
    <cellStyle name="Millares 2 6 4 4 3 3 2" xfId="48644" xr:uid="{00000000-0005-0000-0000-000080220000}"/>
    <cellStyle name="Millares 2 6 4 4 3 4" xfId="35082" xr:uid="{00000000-0005-0000-0000-000081220000}"/>
    <cellStyle name="Millares 2 6 4 4 4" xfId="11335" xr:uid="{00000000-0005-0000-0000-000082220000}"/>
    <cellStyle name="Millares 2 6 4 4 4 2" xfId="24903" xr:uid="{00000000-0005-0000-0000-000083220000}"/>
    <cellStyle name="Millares 2 6 4 4 4 2 2" xfId="52036" xr:uid="{00000000-0005-0000-0000-000084220000}"/>
    <cellStyle name="Millares 2 6 4 4 4 3" xfId="38474" xr:uid="{00000000-0005-0000-0000-000085220000}"/>
    <cellStyle name="Millares 2 6 4 4 5" xfId="18122" xr:uid="{00000000-0005-0000-0000-000086220000}"/>
    <cellStyle name="Millares 2 6 4 4 5 2" xfId="45255" xr:uid="{00000000-0005-0000-0000-000087220000}"/>
    <cellStyle name="Millares 2 6 4 4 6" xfId="31693" xr:uid="{00000000-0005-0000-0000-000088220000}"/>
    <cellStyle name="Millares 2 6 4 5" xfId="4327" xr:uid="{00000000-0005-0000-0000-000089220000}"/>
    <cellStyle name="Millares 2 6 4 5 2" xfId="7937" xr:uid="{00000000-0005-0000-0000-00008A220000}"/>
    <cellStyle name="Millares 2 6 4 5 2 2" xfId="14726" xr:uid="{00000000-0005-0000-0000-00008B220000}"/>
    <cellStyle name="Millares 2 6 4 5 2 2 2" xfId="28294" xr:uid="{00000000-0005-0000-0000-00008C220000}"/>
    <cellStyle name="Millares 2 6 4 5 2 2 2 2" xfId="55427" xr:uid="{00000000-0005-0000-0000-00008D220000}"/>
    <cellStyle name="Millares 2 6 4 5 2 2 3" xfId="41865" xr:uid="{00000000-0005-0000-0000-00008E220000}"/>
    <cellStyle name="Millares 2 6 4 5 2 3" xfId="21513" xr:uid="{00000000-0005-0000-0000-00008F220000}"/>
    <cellStyle name="Millares 2 6 4 5 2 3 2" xfId="48646" xr:uid="{00000000-0005-0000-0000-000090220000}"/>
    <cellStyle name="Millares 2 6 4 5 2 4" xfId="35084" xr:uid="{00000000-0005-0000-0000-000091220000}"/>
    <cellStyle name="Millares 2 6 4 5 3" xfId="11337" xr:uid="{00000000-0005-0000-0000-000092220000}"/>
    <cellStyle name="Millares 2 6 4 5 3 2" xfId="24905" xr:uid="{00000000-0005-0000-0000-000093220000}"/>
    <cellStyle name="Millares 2 6 4 5 3 2 2" xfId="52038" xr:uid="{00000000-0005-0000-0000-000094220000}"/>
    <cellStyle name="Millares 2 6 4 5 3 3" xfId="38476" xr:uid="{00000000-0005-0000-0000-000095220000}"/>
    <cellStyle name="Millares 2 6 4 5 4" xfId="18124" xr:uid="{00000000-0005-0000-0000-000096220000}"/>
    <cellStyle name="Millares 2 6 4 5 4 2" xfId="45257" xr:uid="{00000000-0005-0000-0000-000097220000}"/>
    <cellStyle name="Millares 2 6 4 5 5" xfId="31695" xr:uid="{00000000-0005-0000-0000-000098220000}"/>
    <cellStyle name="Millares 2 6 4 6" xfId="4328" xr:uid="{00000000-0005-0000-0000-000099220000}"/>
    <cellStyle name="Millares 2 6 4 6 2" xfId="7938" xr:uid="{00000000-0005-0000-0000-00009A220000}"/>
    <cellStyle name="Millares 2 6 4 6 2 2" xfId="14727" xr:uid="{00000000-0005-0000-0000-00009B220000}"/>
    <cellStyle name="Millares 2 6 4 6 2 2 2" xfId="28295" xr:uid="{00000000-0005-0000-0000-00009C220000}"/>
    <cellStyle name="Millares 2 6 4 6 2 2 2 2" xfId="55428" xr:uid="{00000000-0005-0000-0000-00009D220000}"/>
    <cellStyle name="Millares 2 6 4 6 2 2 3" xfId="41866" xr:uid="{00000000-0005-0000-0000-00009E220000}"/>
    <cellStyle name="Millares 2 6 4 6 2 3" xfId="21514" xr:uid="{00000000-0005-0000-0000-00009F220000}"/>
    <cellStyle name="Millares 2 6 4 6 2 3 2" xfId="48647" xr:uid="{00000000-0005-0000-0000-0000A0220000}"/>
    <cellStyle name="Millares 2 6 4 6 2 4" xfId="35085" xr:uid="{00000000-0005-0000-0000-0000A1220000}"/>
    <cellStyle name="Millares 2 6 4 6 3" xfId="11338" xr:uid="{00000000-0005-0000-0000-0000A2220000}"/>
    <cellStyle name="Millares 2 6 4 6 3 2" xfId="24906" xr:uid="{00000000-0005-0000-0000-0000A3220000}"/>
    <cellStyle name="Millares 2 6 4 6 3 2 2" xfId="52039" xr:uid="{00000000-0005-0000-0000-0000A4220000}"/>
    <cellStyle name="Millares 2 6 4 6 3 3" xfId="38477" xr:uid="{00000000-0005-0000-0000-0000A5220000}"/>
    <cellStyle name="Millares 2 6 4 6 4" xfId="18125" xr:uid="{00000000-0005-0000-0000-0000A6220000}"/>
    <cellStyle name="Millares 2 6 4 6 4 2" xfId="45258" xr:uid="{00000000-0005-0000-0000-0000A7220000}"/>
    <cellStyle name="Millares 2 6 4 6 5" xfId="31696" xr:uid="{00000000-0005-0000-0000-0000A8220000}"/>
    <cellStyle name="Millares 2 6 4 7" xfId="7923" xr:uid="{00000000-0005-0000-0000-0000A9220000}"/>
    <cellStyle name="Millares 2 6 4 7 2" xfId="14712" xr:uid="{00000000-0005-0000-0000-0000AA220000}"/>
    <cellStyle name="Millares 2 6 4 7 2 2" xfId="28280" xr:uid="{00000000-0005-0000-0000-0000AB220000}"/>
    <cellStyle name="Millares 2 6 4 7 2 2 2" xfId="55413" xr:uid="{00000000-0005-0000-0000-0000AC220000}"/>
    <cellStyle name="Millares 2 6 4 7 2 3" xfId="41851" xr:uid="{00000000-0005-0000-0000-0000AD220000}"/>
    <cellStyle name="Millares 2 6 4 7 3" xfId="21499" xr:uid="{00000000-0005-0000-0000-0000AE220000}"/>
    <cellStyle name="Millares 2 6 4 7 3 2" xfId="48632" xr:uid="{00000000-0005-0000-0000-0000AF220000}"/>
    <cellStyle name="Millares 2 6 4 7 4" xfId="35070" xr:uid="{00000000-0005-0000-0000-0000B0220000}"/>
    <cellStyle name="Millares 2 6 4 8" xfId="11323" xr:uid="{00000000-0005-0000-0000-0000B1220000}"/>
    <cellStyle name="Millares 2 6 4 8 2" xfId="24891" xr:uid="{00000000-0005-0000-0000-0000B2220000}"/>
    <cellStyle name="Millares 2 6 4 8 2 2" xfId="52024" xr:uid="{00000000-0005-0000-0000-0000B3220000}"/>
    <cellStyle name="Millares 2 6 4 8 3" xfId="38462" xr:uid="{00000000-0005-0000-0000-0000B4220000}"/>
    <cellStyle name="Millares 2 6 4 9" xfId="18110" xr:uid="{00000000-0005-0000-0000-0000B5220000}"/>
    <cellStyle name="Millares 2 6 4 9 2" xfId="45243" xr:uid="{00000000-0005-0000-0000-0000B6220000}"/>
    <cellStyle name="Millares 2 6 5" xfId="4329" xr:uid="{00000000-0005-0000-0000-0000B7220000}"/>
    <cellStyle name="Millares 2 6 5 2" xfId="4330" xr:uid="{00000000-0005-0000-0000-0000B8220000}"/>
    <cellStyle name="Millares 2 6 5 2 2" xfId="4331" xr:uid="{00000000-0005-0000-0000-0000B9220000}"/>
    <cellStyle name="Millares 2 6 5 2 2 2" xfId="7941" xr:uid="{00000000-0005-0000-0000-0000BA220000}"/>
    <cellStyle name="Millares 2 6 5 2 2 2 2" xfId="14730" xr:uid="{00000000-0005-0000-0000-0000BB220000}"/>
    <cellStyle name="Millares 2 6 5 2 2 2 2 2" xfId="28298" xr:uid="{00000000-0005-0000-0000-0000BC220000}"/>
    <cellStyle name="Millares 2 6 5 2 2 2 2 2 2" xfId="55431" xr:uid="{00000000-0005-0000-0000-0000BD220000}"/>
    <cellStyle name="Millares 2 6 5 2 2 2 2 3" xfId="41869" xr:uid="{00000000-0005-0000-0000-0000BE220000}"/>
    <cellStyle name="Millares 2 6 5 2 2 2 3" xfId="21517" xr:uid="{00000000-0005-0000-0000-0000BF220000}"/>
    <cellStyle name="Millares 2 6 5 2 2 2 3 2" xfId="48650" xr:uid="{00000000-0005-0000-0000-0000C0220000}"/>
    <cellStyle name="Millares 2 6 5 2 2 2 4" xfId="35088" xr:uid="{00000000-0005-0000-0000-0000C1220000}"/>
    <cellStyle name="Millares 2 6 5 2 2 3" xfId="11341" xr:uid="{00000000-0005-0000-0000-0000C2220000}"/>
    <cellStyle name="Millares 2 6 5 2 2 3 2" xfId="24909" xr:uid="{00000000-0005-0000-0000-0000C3220000}"/>
    <cellStyle name="Millares 2 6 5 2 2 3 2 2" xfId="52042" xr:uid="{00000000-0005-0000-0000-0000C4220000}"/>
    <cellStyle name="Millares 2 6 5 2 2 3 3" xfId="38480" xr:uid="{00000000-0005-0000-0000-0000C5220000}"/>
    <cellStyle name="Millares 2 6 5 2 2 4" xfId="18128" xr:uid="{00000000-0005-0000-0000-0000C6220000}"/>
    <cellStyle name="Millares 2 6 5 2 2 4 2" xfId="45261" xr:uid="{00000000-0005-0000-0000-0000C7220000}"/>
    <cellStyle name="Millares 2 6 5 2 2 5" xfId="31699" xr:uid="{00000000-0005-0000-0000-0000C8220000}"/>
    <cellStyle name="Millares 2 6 5 2 3" xfId="4332" xr:uid="{00000000-0005-0000-0000-0000C9220000}"/>
    <cellStyle name="Millares 2 6 5 2 3 2" xfId="7942" xr:uid="{00000000-0005-0000-0000-0000CA220000}"/>
    <cellStyle name="Millares 2 6 5 2 3 2 2" xfId="14731" xr:uid="{00000000-0005-0000-0000-0000CB220000}"/>
    <cellStyle name="Millares 2 6 5 2 3 2 2 2" xfId="28299" xr:uid="{00000000-0005-0000-0000-0000CC220000}"/>
    <cellStyle name="Millares 2 6 5 2 3 2 2 2 2" xfId="55432" xr:uid="{00000000-0005-0000-0000-0000CD220000}"/>
    <cellStyle name="Millares 2 6 5 2 3 2 2 3" xfId="41870" xr:uid="{00000000-0005-0000-0000-0000CE220000}"/>
    <cellStyle name="Millares 2 6 5 2 3 2 3" xfId="21518" xr:uid="{00000000-0005-0000-0000-0000CF220000}"/>
    <cellStyle name="Millares 2 6 5 2 3 2 3 2" xfId="48651" xr:uid="{00000000-0005-0000-0000-0000D0220000}"/>
    <cellStyle name="Millares 2 6 5 2 3 2 4" xfId="35089" xr:uid="{00000000-0005-0000-0000-0000D1220000}"/>
    <cellStyle name="Millares 2 6 5 2 3 3" xfId="11342" xr:uid="{00000000-0005-0000-0000-0000D2220000}"/>
    <cellStyle name="Millares 2 6 5 2 3 3 2" xfId="24910" xr:uid="{00000000-0005-0000-0000-0000D3220000}"/>
    <cellStyle name="Millares 2 6 5 2 3 3 2 2" xfId="52043" xr:uid="{00000000-0005-0000-0000-0000D4220000}"/>
    <cellStyle name="Millares 2 6 5 2 3 3 3" xfId="38481" xr:uid="{00000000-0005-0000-0000-0000D5220000}"/>
    <cellStyle name="Millares 2 6 5 2 3 4" xfId="18129" xr:uid="{00000000-0005-0000-0000-0000D6220000}"/>
    <cellStyle name="Millares 2 6 5 2 3 4 2" xfId="45262" xr:uid="{00000000-0005-0000-0000-0000D7220000}"/>
    <cellStyle name="Millares 2 6 5 2 3 5" xfId="31700" xr:uid="{00000000-0005-0000-0000-0000D8220000}"/>
    <cellStyle name="Millares 2 6 5 2 4" xfId="7940" xr:uid="{00000000-0005-0000-0000-0000D9220000}"/>
    <cellStyle name="Millares 2 6 5 2 4 2" xfId="14729" xr:uid="{00000000-0005-0000-0000-0000DA220000}"/>
    <cellStyle name="Millares 2 6 5 2 4 2 2" xfId="28297" xr:uid="{00000000-0005-0000-0000-0000DB220000}"/>
    <cellStyle name="Millares 2 6 5 2 4 2 2 2" xfId="55430" xr:uid="{00000000-0005-0000-0000-0000DC220000}"/>
    <cellStyle name="Millares 2 6 5 2 4 2 3" xfId="41868" xr:uid="{00000000-0005-0000-0000-0000DD220000}"/>
    <cellStyle name="Millares 2 6 5 2 4 3" xfId="21516" xr:uid="{00000000-0005-0000-0000-0000DE220000}"/>
    <cellStyle name="Millares 2 6 5 2 4 3 2" xfId="48649" xr:uid="{00000000-0005-0000-0000-0000DF220000}"/>
    <cellStyle name="Millares 2 6 5 2 4 4" xfId="35087" xr:uid="{00000000-0005-0000-0000-0000E0220000}"/>
    <cellStyle name="Millares 2 6 5 2 5" xfId="11340" xr:uid="{00000000-0005-0000-0000-0000E1220000}"/>
    <cellStyle name="Millares 2 6 5 2 5 2" xfId="24908" xr:uid="{00000000-0005-0000-0000-0000E2220000}"/>
    <cellStyle name="Millares 2 6 5 2 5 2 2" xfId="52041" xr:uid="{00000000-0005-0000-0000-0000E3220000}"/>
    <cellStyle name="Millares 2 6 5 2 5 3" xfId="38479" xr:uid="{00000000-0005-0000-0000-0000E4220000}"/>
    <cellStyle name="Millares 2 6 5 2 6" xfId="18127" xr:uid="{00000000-0005-0000-0000-0000E5220000}"/>
    <cellStyle name="Millares 2 6 5 2 6 2" xfId="45260" xr:uid="{00000000-0005-0000-0000-0000E6220000}"/>
    <cellStyle name="Millares 2 6 5 2 7" xfId="31698" xr:uid="{00000000-0005-0000-0000-0000E7220000}"/>
    <cellStyle name="Millares 2 6 5 3" xfId="4333" xr:uid="{00000000-0005-0000-0000-0000E8220000}"/>
    <cellStyle name="Millares 2 6 5 3 2" xfId="4334" xr:uid="{00000000-0005-0000-0000-0000E9220000}"/>
    <cellStyle name="Millares 2 6 5 3 2 2" xfId="7944" xr:uid="{00000000-0005-0000-0000-0000EA220000}"/>
    <cellStyle name="Millares 2 6 5 3 2 2 2" xfId="14733" xr:uid="{00000000-0005-0000-0000-0000EB220000}"/>
    <cellStyle name="Millares 2 6 5 3 2 2 2 2" xfId="28301" xr:uid="{00000000-0005-0000-0000-0000EC220000}"/>
    <cellStyle name="Millares 2 6 5 3 2 2 2 2 2" xfId="55434" xr:uid="{00000000-0005-0000-0000-0000ED220000}"/>
    <cellStyle name="Millares 2 6 5 3 2 2 2 3" xfId="41872" xr:uid="{00000000-0005-0000-0000-0000EE220000}"/>
    <cellStyle name="Millares 2 6 5 3 2 2 3" xfId="21520" xr:uid="{00000000-0005-0000-0000-0000EF220000}"/>
    <cellStyle name="Millares 2 6 5 3 2 2 3 2" xfId="48653" xr:uid="{00000000-0005-0000-0000-0000F0220000}"/>
    <cellStyle name="Millares 2 6 5 3 2 2 4" xfId="35091" xr:uid="{00000000-0005-0000-0000-0000F1220000}"/>
    <cellStyle name="Millares 2 6 5 3 2 3" xfId="11344" xr:uid="{00000000-0005-0000-0000-0000F2220000}"/>
    <cellStyle name="Millares 2 6 5 3 2 3 2" xfId="24912" xr:uid="{00000000-0005-0000-0000-0000F3220000}"/>
    <cellStyle name="Millares 2 6 5 3 2 3 2 2" xfId="52045" xr:uid="{00000000-0005-0000-0000-0000F4220000}"/>
    <cellStyle name="Millares 2 6 5 3 2 3 3" xfId="38483" xr:uid="{00000000-0005-0000-0000-0000F5220000}"/>
    <cellStyle name="Millares 2 6 5 3 2 4" xfId="18131" xr:uid="{00000000-0005-0000-0000-0000F6220000}"/>
    <cellStyle name="Millares 2 6 5 3 2 4 2" xfId="45264" xr:uid="{00000000-0005-0000-0000-0000F7220000}"/>
    <cellStyle name="Millares 2 6 5 3 2 5" xfId="31702" xr:uid="{00000000-0005-0000-0000-0000F8220000}"/>
    <cellStyle name="Millares 2 6 5 3 3" xfId="7943" xr:uid="{00000000-0005-0000-0000-0000F9220000}"/>
    <cellStyle name="Millares 2 6 5 3 3 2" xfId="14732" xr:uid="{00000000-0005-0000-0000-0000FA220000}"/>
    <cellStyle name="Millares 2 6 5 3 3 2 2" xfId="28300" xr:uid="{00000000-0005-0000-0000-0000FB220000}"/>
    <cellStyle name="Millares 2 6 5 3 3 2 2 2" xfId="55433" xr:uid="{00000000-0005-0000-0000-0000FC220000}"/>
    <cellStyle name="Millares 2 6 5 3 3 2 3" xfId="41871" xr:uid="{00000000-0005-0000-0000-0000FD220000}"/>
    <cellStyle name="Millares 2 6 5 3 3 3" xfId="21519" xr:uid="{00000000-0005-0000-0000-0000FE220000}"/>
    <cellStyle name="Millares 2 6 5 3 3 3 2" xfId="48652" xr:uid="{00000000-0005-0000-0000-0000FF220000}"/>
    <cellStyle name="Millares 2 6 5 3 3 4" xfId="35090" xr:uid="{00000000-0005-0000-0000-000000230000}"/>
    <cellStyle name="Millares 2 6 5 3 4" xfId="11343" xr:uid="{00000000-0005-0000-0000-000001230000}"/>
    <cellStyle name="Millares 2 6 5 3 4 2" xfId="24911" xr:uid="{00000000-0005-0000-0000-000002230000}"/>
    <cellStyle name="Millares 2 6 5 3 4 2 2" xfId="52044" xr:uid="{00000000-0005-0000-0000-000003230000}"/>
    <cellStyle name="Millares 2 6 5 3 4 3" xfId="38482" xr:uid="{00000000-0005-0000-0000-000004230000}"/>
    <cellStyle name="Millares 2 6 5 3 5" xfId="18130" xr:uid="{00000000-0005-0000-0000-000005230000}"/>
    <cellStyle name="Millares 2 6 5 3 5 2" xfId="45263" xr:uid="{00000000-0005-0000-0000-000006230000}"/>
    <cellStyle name="Millares 2 6 5 3 6" xfId="31701" xr:uid="{00000000-0005-0000-0000-000007230000}"/>
    <cellStyle name="Millares 2 6 5 4" xfId="4335" xr:uid="{00000000-0005-0000-0000-000008230000}"/>
    <cellStyle name="Millares 2 6 5 4 2" xfId="7945" xr:uid="{00000000-0005-0000-0000-000009230000}"/>
    <cellStyle name="Millares 2 6 5 4 2 2" xfId="14734" xr:uid="{00000000-0005-0000-0000-00000A230000}"/>
    <cellStyle name="Millares 2 6 5 4 2 2 2" xfId="28302" xr:uid="{00000000-0005-0000-0000-00000B230000}"/>
    <cellStyle name="Millares 2 6 5 4 2 2 2 2" xfId="55435" xr:uid="{00000000-0005-0000-0000-00000C230000}"/>
    <cellStyle name="Millares 2 6 5 4 2 2 3" xfId="41873" xr:uid="{00000000-0005-0000-0000-00000D230000}"/>
    <cellStyle name="Millares 2 6 5 4 2 3" xfId="21521" xr:uid="{00000000-0005-0000-0000-00000E230000}"/>
    <cellStyle name="Millares 2 6 5 4 2 3 2" xfId="48654" xr:uid="{00000000-0005-0000-0000-00000F230000}"/>
    <cellStyle name="Millares 2 6 5 4 2 4" xfId="35092" xr:uid="{00000000-0005-0000-0000-000010230000}"/>
    <cellStyle name="Millares 2 6 5 4 3" xfId="11345" xr:uid="{00000000-0005-0000-0000-000011230000}"/>
    <cellStyle name="Millares 2 6 5 4 3 2" xfId="24913" xr:uid="{00000000-0005-0000-0000-000012230000}"/>
    <cellStyle name="Millares 2 6 5 4 3 2 2" xfId="52046" xr:uid="{00000000-0005-0000-0000-000013230000}"/>
    <cellStyle name="Millares 2 6 5 4 3 3" xfId="38484" xr:uid="{00000000-0005-0000-0000-000014230000}"/>
    <cellStyle name="Millares 2 6 5 4 4" xfId="18132" xr:uid="{00000000-0005-0000-0000-000015230000}"/>
    <cellStyle name="Millares 2 6 5 4 4 2" xfId="45265" xr:uid="{00000000-0005-0000-0000-000016230000}"/>
    <cellStyle name="Millares 2 6 5 4 5" xfId="31703" xr:uid="{00000000-0005-0000-0000-000017230000}"/>
    <cellStyle name="Millares 2 6 5 5" xfId="4336" xr:uid="{00000000-0005-0000-0000-000018230000}"/>
    <cellStyle name="Millares 2 6 5 5 2" xfId="7946" xr:uid="{00000000-0005-0000-0000-000019230000}"/>
    <cellStyle name="Millares 2 6 5 5 2 2" xfId="14735" xr:uid="{00000000-0005-0000-0000-00001A230000}"/>
    <cellStyle name="Millares 2 6 5 5 2 2 2" xfId="28303" xr:uid="{00000000-0005-0000-0000-00001B230000}"/>
    <cellStyle name="Millares 2 6 5 5 2 2 2 2" xfId="55436" xr:uid="{00000000-0005-0000-0000-00001C230000}"/>
    <cellStyle name="Millares 2 6 5 5 2 2 3" xfId="41874" xr:uid="{00000000-0005-0000-0000-00001D230000}"/>
    <cellStyle name="Millares 2 6 5 5 2 3" xfId="21522" xr:uid="{00000000-0005-0000-0000-00001E230000}"/>
    <cellStyle name="Millares 2 6 5 5 2 3 2" xfId="48655" xr:uid="{00000000-0005-0000-0000-00001F230000}"/>
    <cellStyle name="Millares 2 6 5 5 2 4" xfId="35093" xr:uid="{00000000-0005-0000-0000-000020230000}"/>
    <cellStyle name="Millares 2 6 5 5 3" xfId="11346" xr:uid="{00000000-0005-0000-0000-000021230000}"/>
    <cellStyle name="Millares 2 6 5 5 3 2" xfId="24914" xr:uid="{00000000-0005-0000-0000-000022230000}"/>
    <cellStyle name="Millares 2 6 5 5 3 2 2" xfId="52047" xr:uid="{00000000-0005-0000-0000-000023230000}"/>
    <cellStyle name="Millares 2 6 5 5 3 3" xfId="38485" xr:uid="{00000000-0005-0000-0000-000024230000}"/>
    <cellStyle name="Millares 2 6 5 5 4" xfId="18133" xr:uid="{00000000-0005-0000-0000-000025230000}"/>
    <cellStyle name="Millares 2 6 5 5 4 2" xfId="45266" xr:uid="{00000000-0005-0000-0000-000026230000}"/>
    <cellStyle name="Millares 2 6 5 5 5" xfId="31704" xr:uid="{00000000-0005-0000-0000-000027230000}"/>
    <cellStyle name="Millares 2 6 5 6" xfId="7939" xr:uid="{00000000-0005-0000-0000-000028230000}"/>
    <cellStyle name="Millares 2 6 5 6 2" xfId="14728" xr:uid="{00000000-0005-0000-0000-000029230000}"/>
    <cellStyle name="Millares 2 6 5 6 2 2" xfId="28296" xr:uid="{00000000-0005-0000-0000-00002A230000}"/>
    <cellStyle name="Millares 2 6 5 6 2 2 2" xfId="55429" xr:uid="{00000000-0005-0000-0000-00002B230000}"/>
    <cellStyle name="Millares 2 6 5 6 2 3" xfId="41867" xr:uid="{00000000-0005-0000-0000-00002C230000}"/>
    <cellStyle name="Millares 2 6 5 6 3" xfId="21515" xr:uid="{00000000-0005-0000-0000-00002D230000}"/>
    <cellStyle name="Millares 2 6 5 6 3 2" xfId="48648" xr:uid="{00000000-0005-0000-0000-00002E230000}"/>
    <cellStyle name="Millares 2 6 5 6 4" xfId="35086" xr:uid="{00000000-0005-0000-0000-00002F230000}"/>
    <cellStyle name="Millares 2 6 5 7" xfId="11339" xr:uid="{00000000-0005-0000-0000-000030230000}"/>
    <cellStyle name="Millares 2 6 5 7 2" xfId="24907" xr:uid="{00000000-0005-0000-0000-000031230000}"/>
    <cellStyle name="Millares 2 6 5 7 2 2" xfId="52040" xr:uid="{00000000-0005-0000-0000-000032230000}"/>
    <cellStyle name="Millares 2 6 5 7 3" xfId="38478" xr:uid="{00000000-0005-0000-0000-000033230000}"/>
    <cellStyle name="Millares 2 6 5 8" xfId="18126" xr:uid="{00000000-0005-0000-0000-000034230000}"/>
    <cellStyle name="Millares 2 6 5 8 2" xfId="45259" xr:uid="{00000000-0005-0000-0000-000035230000}"/>
    <cellStyle name="Millares 2 6 5 9" xfId="31697" xr:uid="{00000000-0005-0000-0000-000036230000}"/>
    <cellStyle name="Millares 2 6 6" xfId="4337" xr:uid="{00000000-0005-0000-0000-000037230000}"/>
    <cellStyle name="Millares 2 6 6 2" xfId="4338" xr:uid="{00000000-0005-0000-0000-000038230000}"/>
    <cellStyle name="Millares 2 6 6 2 2" xfId="4339" xr:uid="{00000000-0005-0000-0000-000039230000}"/>
    <cellStyle name="Millares 2 6 6 2 2 2" xfId="7949" xr:uid="{00000000-0005-0000-0000-00003A230000}"/>
    <cellStyle name="Millares 2 6 6 2 2 2 2" xfId="14738" xr:uid="{00000000-0005-0000-0000-00003B230000}"/>
    <cellStyle name="Millares 2 6 6 2 2 2 2 2" xfId="28306" xr:uid="{00000000-0005-0000-0000-00003C230000}"/>
    <cellStyle name="Millares 2 6 6 2 2 2 2 2 2" xfId="55439" xr:uid="{00000000-0005-0000-0000-00003D230000}"/>
    <cellStyle name="Millares 2 6 6 2 2 2 2 3" xfId="41877" xr:uid="{00000000-0005-0000-0000-00003E230000}"/>
    <cellStyle name="Millares 2 6 6 2 2 2 3" xfId="21525" xr:uid="{00000000-0005-0000-0000-00003F230000}"/>
    <cellStyle name="Millares 2 6 6 2 2 2 3 2" xfId="48658" xr:uid="{00000000-0005-0000-0000-000040230000}"/>
    <cellStyle name="Millares 2 6 6 2 2 2 4" xfId="35096" xr:uid="{00000000-0005-0000-0000-000041230000}"/>
    <cellStyle name="Millares 2 6 6 2 2 3" xfId="11349" xr:uid="{00000000-0005-0000-0000-000042230000}"/>
    <cellStyle name="Millares 2 6 6 2 2 3 2" xfId="24917" xr:uid="{00000000-0005-0000-0000-000043230000}"/>
    <cellStyle name="Millares 2 6 6 2 2 3 2 2" xfId="52050" xr:uid="{00000000-0005-0000-0000-000044230000}"/>
    <cellStyle name="Millares 2 6 6 2 2 3 3" xfId="38488" xr:uid="{00000000-0005-0000-0000-000045230000}"/>
    <cellStyle name="Millares 2 6 6 2 2 4" xfId="18136" xr:uid="{00000000-0005-0000-0000-000046230000}"/>
    <cellStyle name="Millares 2 6 6 2 2 4 2" xfId="45269" xr:uid="{00000000-0005-0000-0000-000047230000}"/>
    <cellStyle name="Millares 2 6 6 2 2 5" xfId="31707" xr:uid="{00000000-0005-0000-0000-000048230000}"/>
    <cellStyle name="Millares 2 6 6 2 3" xfId="4340" xr:uid="{00000000-0005-0000-0000-000049230000}"/>
    <cellStyle name="Millares 2 6 6 2 3 2" xfId="7950" xr:uid="{00000000-0005-0000-0000-00004A230000}"/>
    <cellStyle name="Millares 2 6 6 2 3 2 2" xfId="14739" xr:uid="{00000000-0005-0000-0000-00004B230000}"/>
    <cellStyle name="Millares 2 6 6 2 3 2 2 2" xfId="28307" xr:uid="{00000000-0005-0000-0000-00004C230000}"/>
    <cellStyle name="Millares 2 6 6 2 3 2 2 2 2" xfId="55440" xr:uid="{00000000-0005-0000-0000-00004D230000}"/>
    <cellStyle name="Millares 2 6 6 2 3 2 2 3" xfId="41878" xr:uid="{00000000-0005-0000-0000-00004E230000}"/>
    <cellStyle name="Millares 2 6 6 2 3 2 3" xfId="21526" xr:uid="{00000000-0005-0000-0000-00004F230000}"/>
    <cellStyle name="Millares 2 6 6 2 3 2 3 2" xfId="48659" xr:uid="{00000000-0005-0000-0000-000050230000}"/>
    <cellStyle name="Millares 2 6 6 2 3 2 4" xfId="35097" xr:uid="{00000000-0005-0000-0000-000051230000}"/>
    <cellStyle name="Millares 2 6 6 2 3 3" xfId="11350" xr:uid="{00000000-0005-0000-0000-000052230000}"/>
    <cellStyle name="Millares 2 6 6 2 3 3 2" xfId="24918" xr:uid="{00000000-0005-0000-0000-000053230000}"/>
    <cellStyle name="Millares 2 6 6 2 3 3 2 2" xfId="52051" xr:uid="{00000000-0005-0000-0000-000054230000}"/>
    <cellStyle name="Millares 2 6 6 2 3 3 3" xfId="38489" xr:uid="{00000000-0005-0000-0000-000055230000}"/>
    <cellStyle name="Millares 2 6 6 2 3 4" xfId="18137" xr:uid="{00000000-0005-0000-0000-000056230000}"/>
    <cellStyle name="Millares 2 6 6 2 3 4 2" xfId="45270" xr:uid="{00000000-0005-0000-0000-000057230000}"/>
    <cellStyle name="Millares 2 6 6 2 3 5" xfId="31708" xr:uid="{00000000-0005-0000-0000-000058230000}"/>
    <cellStyle name="Millares 2 6 6 2 4" xfId="7948" xr:uid="{00000000-0005-0000-0000-000059230000}"/>
    <cellStyle name="Millares 2 6 6 2 4 2" xfId="14737" xr:uid="{00000000-0005-0000-0000-00005A230000}"/>
    <cellStyle name="Millares 2 6 6 2 4 2 2" xfId="28305" xr:uid="{00000000-0005-0000-0000-00005B230000}"/>
    <cellStyle name="Millares 2 6 6 2 4 2 2 2" xfId="55438" xr:uid="{00000000-0005-0000-0000-00005C230000}"/>
    <cellStyle name="Millares 2 6 6 2 4 2 3" xfId="41876" xr:uid="{00000000-0005-0000-0000-00005D230000}"/>
    <cellStyle name="Millares 2 6 6 2 4 3" xfId="21524" xr:uid="{00000000-0005-0000-0000-00005E230000}"/>
    <cellStyle name="Millares 2 6 6 2 4 3 2" xfId="48657" xr:uid="{00000000-0005-0000-0000-00005F230000}"/>
    <cellStyle name="Millares 2 6 6 2 4 4" xfId="35095" xr:uid="{00000000-0005-0000-0000-000060230000}"/>
    <cellStyle name="Millares 2 6 6 2 5" xfId="11348" xr:uid="{00000000-0005-0000-0000-000061230000}"/>
    <cellStyle name="Millares 2 6 6 2 5 2" xfId="24916" xr:uid="{00000000-0005-0000-0000-000062230000}"/>
    <cellStyle name="Millares 2 6 6 2 5 2 2" xfId="52049" xr:uid="{00000000-0005-0000-0000-000063230000}"/>
    <cellStyle name="Millares 2 6 6 2 5 3" xfId="38487" xr:uid="{00000000-0005-0000-0000-000064230000}"/>
    <cellStyle name="Millares 2 6 6 2 6" xfId="18135" xr:uid="{00000000-0005-0000-0000-000065230000}"/>
    <cellStyle name="Millares 2 6 6 2 6 2" xfId="45268" xr:uid="{00000000-0005-0000-0000-000066230000}"/>
    <cellStyle name="Millares 2 6 6 2 7" xfId="31706" xr:uid="{00000000-0005-0000-0000-000067230000}"/>
    <cellStyle name="Millares 2 6 6 3" xfId="4341" xr:uid="{00000000-0005-0000-0000-000068230000}"/>
    <cellStyle name="Millares 2 6 6 3 2" xfId="7951" xr:uid="{00000000-0005-0000-0000-000069230000}"/>
    <cellStyle name="Millares 2 6 6 3 2 2" xfId="14740" xr:uid="{00000000-0005-0000-0000-00006A230000}"/>
    <cellStyle name="Millares 2 6 6 3 2 2 2" xfId="28308" xr:uid="{00000000-0005-0000-0000-00006B230000}"/>
    <cellStyle name="Millares 2 6 6 3 2 2 2 2" xfId="55441" xr:uid="{00000000-0005-0000-0000-00006C230000}"/>
    <cellStyle name="Millares 2 6 6 3 2 2 3" xfId="41879" xr:uid="{00000000-0005-0000-0000-00006D230000}"/>
    <cellStyle name="Millares 2 6 6 3 2 3" xfId="21527" xr:uid="{00000000-0005-0000-0000-00006E230000}"/>
    <cellStyle name="Millares 2 6 6 3 2 3 2" xfId="48660" xr:uid="{00000000-0005-0000-0000-00006F230000}"/>
    <cellStyle name="Millares 2 6 6 3 2 4" xfId="35098" xr:uid="{00000000-0005-0000-0000-000070230000}"/>
    <cellStyle name="Millares 2 6 6 3 3" xfId="11351" xr:uid="{00000000-0005-0000-0000-000071230000}"/>
    <cellStyle name="Millares 2 6 6 3 3 2" xfId="24919" xr:uid="{00000000-0005-0000-0000-000072230000}"/>
    <cellStyle name="Millares 2 6 6 3 3 2 2" xfId="52052" xr:uid="{00000000-0005-0000-0000-000073230000}"/>
    <cellStyle name="Millares 2 6 6 3 3 3" xfId="38490" xr:uid="{00000000-0005-0000-0000-000074230000}"/>
    <cellStyle name="Millares 2 6 6 3 4" xfId="18138" xr:uid="{00000000-0005-0000-0000-000075230000}"/>
    <cellStyle name="Millares 2 6 6 3 4 2" xfId="45271" xr:uid="{00000000-0005-0000-0000-000076230000}"/>
    <cellStyle name="Millares 2 6 6 3 5" xfId="31709" xr:uid="{00000000-0005-0000-0000-000077230000}"/>
    <cellStyle name="Millares 2 6 6 4" xfId="4342" xr:uid="{00000000-0005-0000-0000-000078230000}"/>
    <cellStyle name="Millares 2 6 6 4 2" xfId="7952" xr:uid="{00000000-0005-0000-0000-000079230000}"/>
    <cellStyle name="Millares 2 6 6 4 2 2" xfId="14741" xr:uid="{00000000-0005-0000-0000-00007A230000}"/>
    <cellStyle name="Millares 2 6 6 4 2 2 2" xfId="28309" xr:uid="{00000000-0005-0000-0000-00007B230000}"/>
    <cellStyle name="Millares 2 6 6 4 2 2 2 2" xfId="55442" xr:uid="{00000000-0005-0000-0000-00007C230000}"/>
    <cellStyle name="Millares 2 6 6 4 2 2 3" xfId="41880" xr:uid="{00000000-0005-0000-0000-00007D230000}"/>
    <cellStyle name="Millares 2 6 6 4 2 3" xfId="21528" xr:uid="{00000000-0005-0000-0000-00007E230000}"/>
    <cellStyle name="Millares 2 6 6 4 2 3 2" xfId="48661" xr:uid="{00000000-0005-0000-0000-00007F230000}"/>
    <cellStyle name="Millares 2 6 6 4 2 4" xfId="35099" xr:uid="{00000000-0005-0000-0000-000080230000}"/>
    <cellStyle name="Millares 2 6 6 4 3" xfId="11352" xr:uid="{00000000-0005-0000-0000-000081230000}"/>
    <cellStyle name="Millares 2 6 6 4 3 2" xfId="24920" xr:uid="{00000000-0005-0000-0000-000082230000}"/>
    <cellStyle name="Millares 2 6 6 4 3 2 2" xfId="52053" xr:uid="{00000000-0005-0000-0000-000083230000}"/>
    <cellStyle name="Millares 2 6 6 4 3 3" xfId="38491" xr:uid="{00000000-0005-0000-0000-000084230000}"/>
    <cellStyle name="Millares 2 6 6 4 4" xfId="18139" xr:uid="{00000000-0005-0000-0000-000085230000}"/>
    <cellStyle name="Millares 2 6 6 4 4 2" xfId="45272" xr:uid="{00000000-0005-0000-0000-000086230000}"/>
    <cellStyle name="Millares 2 6 6 4 5" xfId="31710" xr:uid="{00000000-0005-0000-0000-000087230000}"/>
    <cellStyle name="Millares 2 6 6 5" xfId="7947" xr:uid="{00000000-0005-0000-0000-000088230000}"/>
    <cellStyle name="Millares 2 6 6 5 2" xfId="14736" xr:uid="{00000000-0005-0000-0000-000089230000}"/>
    <cellStyle name="Millares 2 6 6 5 2 2" xfId="28304" xr:uid="{00000000-0005-0000-0000-00008A230000}"/>
    <cellStyle name="Millares 2 6 6 5 2 2 2" xfId="55437" xr:uid="{00000000-0005-0000-0000-00008B230000}"/>
    <cellStyle name="Millares 2 6 6 5 2 3" xfId="41875" xr:uid="{00000000-0005-0000-0000-00008C230000}"/>
    <cellStyle name="Millares 2 6 6 5 3" xfId="21523" xr:uid="{00000000-0005-0000-0000-00008D230000}"/>
    <cellStyle name="Millares 2 6 6 5 3 2" xfId="48656" xr:uid="{00000000-0005-0000-0000-00008E230000}"/>
    <cellStyle name="Millares 2 6 6 5 4" xfId="35094" xr:uid="{00000000-0005-0000-0000-00008F230000}"/>
    <cellStyle name="Millares 2 6 6 6" xfId="11347" xr:uid="{00000000-0005-0000-0000-000090230000}"/>
    <cellStyle name="Millares 2 6 6 6 2" xfId="24915" xr:uid="{00000000-0005-0000-0000-000091230000}"/>
    <cellStyle name="Millares 2 6 6 6 2 2" xfId="52048" xr:uid="{00000000-0005-0000-0000-000092230000}"/>
    <cellStyle name="Millares 2 6 6 6 3" xfId="38486" xr:uid="{00000000-0005-0000-0000-000093230000}"/>
    <cellStyle name="Millares 2 6 6 7" xfId="18134" xr:uid="{00000000-0005-0000-0000-000094230000}"/>
    <cellStyle name="Millares 2 6 6 7 2" xfId="45267" xr:uid="{00000000-0005-0000-0000-000095230000}"/>
    <cellStyle name="Millares 2 6 6 8" xfId="31705" xr:uid="{00000000-0005-0000-0000-000096230000}"/>
    <cellStyle name="Millares 2 6 7" xfId="4343" xr:uid="{00000000-0005-0000-0000-000097230000}"/>
    <cellStyle name="Millares 2 6 7 2" xfId="4344" xr:uid="{00000000-0005-0000-0000-000098230000}"/>
    <cellStyle name="Millares 2 6 7 2 2" xfId="4345" xr:uid="{00000000-0005-0000-0000-000099230000}"/>
    <cellStyle name="Millares 2 6 7 2 2 2" xfId="7955" xr:uid="{00000000-0005-0000-0000-00009A230000}"/>
    <cellStyle name="Millares 2 6 7 2 2 2 2" xfId="14744" xr:uid="{00000000-0005-0000-0000-00009B230000}"/>
    <cellStyle name="Millares 2 6 7 2 2 2 2 2" xfId="28312" xr:uid="{00000000-0005-0000-0000-00009C230000}"/>
    <cellStyle name="Millares 2 6 7 2 2 2 2 2 2" xfId="55445" xr:uid="{00000000-0005-0000-0000-00009D230000}"/>
    <cellStyle name="Millares 2 6 7 2 2 2 2 3" xfId="41883" xr:uid="{00000000-0005-0000-0000-00009E230000}"/>
    <cellStyle name="Millares 2 6 7 2 2 2 3" xfId="21531" xr:uid="{00000000-0005-0000-0000-00009F230000}"/>
    <cellStyle name="Millares 2 6 7 2 2 2 3 2" xfId="48664" xr:uid="{00000000-0005-0000-0000-0000A0230000}"/>
    <cellStyle name="Millares 2 6 7 2 2 2 4" xfId="35102" xr:uid="{00000000-0005-0000-0000-0000A1230000}"/>
    <cellStyle name="Millares 2 6 7 2 2 3" xfId="11355" xr:uid="{00000000-0005-0000-0000-0000A2230000}"/>
    <cellStyle name="Millares 2 6 7 2 2 3 2" xfId="24923" xr:uid="{00000000-0005-0000-0000-0000A3230000}"/>
    <cellStyle name="Millares 2 6 7 2 2 3 2 2" xfId="52056" xr:uid="{00000000-0005-0000-0000-0000A4230000}"/>
    <cellStyle name="Millares 2 6 7 2 2 3 3" xfId="38494" xr:uid="{00000000-0005-0000-0000-0000A5230000}"/>
    <cellStyle name="Millares 2 6 7 2 2 4" xfId="18142" xr:uid="{00000000-0005-0000-0000-0000A6230000}"/>
    <cellStyle name="Millares 2 6 7 2 2 4 2" xfId="45275" xr:uid="{00000000-0005-0000-0000-0000A7230000}"/>
    <cellStyle name="Millares 2 6 7 2 2 5" xfId="31713" xr:uid="{00000000-0005-0000-0000-0000A8230000}"/>
    <cellStyle name="Millares 2 6 7 2 3" xfId="4346" xr:uid="{00000000-0005-0000-0000-0000A9230000}"/>
    <cellStyle name="Millares 2 6 7 2 3 2" xfId="7956" xr:uid="{00000000-0005-0000-0000-0000AA230000}"/>
    <cellStyle name="Millares 2 6 7 2 3 2 2" xfId="14745" xr:uid="{00000000-0005-0000-0000-0000AB230000}"/>
    <cellStyle name="Millares 2 6 7 2 3 2 2 2" xfId="28313" xr:uid="{00000000-0005-0000-0000-0000AC230000}"/>
    <cellStyle name="Millares 2 6 7 2 3 2 2 2 2" xfId="55446" xr:uid="{00000000-0005-0000-0000-0000AD230000}"/>
    <cellStyle name="Millares 2 6 7 2 3 2 2 3" xfId="41884" xr:uid="{00000000-0005-0000-0000-0000AE230000}"/>
    <cellStyle name="Millares 2 6 7 2 3 2 3" xfId="21532" xr:uid="{00000000-0005-0000-0000-0000AF230000}"/>
    <cellStyle name="Millares 2 6 7 2 3 2 3 2" xfId="48665" xr:uid="{00000000-0005-0000-0000-0000B0230000}"/>
    <cellStyle name="Millares 2 6 7 2 3 2 4" xfId="35103" xr:uid="{00000000-0005-0000-0000-0000B1230000}"/>
    <cellStyle name="Millares 2 6 7 2 3 3" xfId="11356" xr:uid="{00000000-0005-0000-0000-0000B2230000}"/>
    <cellStyle name="Millares 2 6 7 2 3 3 2" xfId="24924" xr:uid="{00000000-0005-0000-0000-0000B3230000}"/>
    <cellStyle name="Millares 2 6 7 2 3 3 2 2" xfId="52057" xr:uid="{00000000-0005-0000-0000-0000B4230000}"/>
    <cellStyle name="Millares 2 6 7 2 3 3 3" xfId="38495" xr:uid="{00000000-0005-0000-0000-0000B5230000}"/>
    <cellStyle name="Millares 2 6 7 2 3 4" xfId="18143" xr:uid="{00000000-0005-0000-0000-0000B6230000}"/>
    <cellStyle name="Millares 2 6 7 2 3 4 2" xfId="45276" xr:uid="{00000000-0005-0000-0000-0000B7230000}"/>
    <cellStyle name="Millares 2 6 7 2 3 5" xfId="31714" xr:uid="{00000000-0005-0000-0000-0000B8230000}"/>
    <cellStyle name="Millares 2 6 7 2 4" xfId="7954" xr:uid="{00000000-0005-0000-0000-0000B9230000}"/>
    <cellStyle name="Millares 2 6 7 2 4 2" xfId="14743" xr:uid="{00000000-0005-0000-0000-0000BA230000}"/>
    <cellStyle name="Millares 2 6 7 2 4 2 2" xfId="28311" xr:uid="{00000000-0005-0000-0000-0000BB230000}"/>
    <cellStyle name="Millares 2 6 7 2 4 2 2 2" xfId="55444" xr:uid="{00000000-0005-0000-0000-0000BC230000}"/>
    <cellStyle name="Millares 2 6 7 2 4 2 3" xfId="41882" xr:uid="{00000000-0005-0000-0000-0000BD230000}"/>
    <cellStyle name="Millares 2 6 7 2 4 3" xfId="21530" xr:uid="{00000000-0005-0000-0000-0000BE230000}"/>
    <cellStyle name="Millares 2 6 7 2 4 3 2" xfId="48663" xr:uid="{00000000-0005-0000-0000-0000BF230000}"/>
    <cellStyle name="Millares 2 6 7 2 4 4" xfId="35101" xr:uid="{00000000-0005-0000-0000-0000C0230000}"/>
    <cellStyle name="Millares 2 6 7 2 5" xfId="11354" xr:uid="{00000000-0005-0000-0000-0000C1230000}"/>
    <cellStyle name="Millares 2 6 7 2 5 2" xfId="24922" xr:uid="{00000000-0005-0000-0000-0000C2230000}"/>
    <cellStyle name="Millares 2 6 7 2 5 2 2" xfId="52055" xr:uid="{00000000-0005-0000-0000-0000C3230000}"/>
    <cellStyle name="Millares 2 6 7 2 5 3" xfId="38493" xr:uid="{00000000-0005-0000-0000-0000C4230000}"/>
    <cellStyle name="Millares 2 6 7 2 6" xfId="18141" xr:uid="{00000000-0005-0000-0000-0000C5230000}"/>
    <cellStyle name="Millares 2 6 7 2 6 2" xfId="45274" xr:uid="{00000000-0005-0000-0000-0000C6230000}"/>
    <cellStyle name="Millares 2 6 7 2 7" xfId="31712" xr:uid="{00000000-0005-0000-0000-0000C7230000}"/>
    <cellStyle name="Millares 2 6 7 3" xfId="4347" xr:uid="{00000000-0005-0000-0000-0000C8230000}"/>
    <cellStyle name="Millares 2 6 7 3 2" xfId="7957" xr:uid="{00000000-0005-0000-0000-0000C9230000}"/>
    <cellStyle name="Millares 2 6 7 3 2 2" xfId="14746" xr:uid="{00000000-0005-0000-0000-0000CA230000}"/>
    <cellStyle name="Millares 2 6 7 3 2 2 2" xfId="28314" xr:uid="{00000000-0005-0000-0000-0000CB230000}"/>
    <cellStyle name="Millares 2 6 7 3 2 2 2 2" xfId="55447" xr:uid="{00000000-0005-0000-0000-0000CC230000}"/>
    <cellStyle name="Millares 2 6 7 3 2 2 3" xfId="41885" xr:uid="{00000000-0005-0000-0000-0000CD230000}"/>
    <cellStyle name="Millares 2 6 7 3 2 3" xfId="21533" xr:uid="{00000000-0005-0000-0000-0000CE230000}"/>
    <cellStyle name="Millares 2 6 7 3 2 3 2" xfId="48666" xr:uid="{00000000-0005-0000-0000-0000CF230000}"/>
    <cellStyle name="Millares 2 6 7 3 2 4" xfId="35104" xr:uid="{00000000-0005-0000-0000-0000D0230000}"/>
    <cellStyle name="Millares 2 6 7 3 3" xfId="11357" xr:uid="{00000000-0005-0000-0000-0000D1230000}"/>
    <cellStyle name="Millares 2 6 7 3 3 2" xfId="24925" xr:uid="{00000000-0005-0000-0000-0000D2230000}"/>
    <cellStyle name="Millares 2 6 7 3 3 2 2" xfId="52058" xr:uid="{00000000-0005-0000-0000-0000D3230000}"/>
    <cellStyle name="Millares 2 6 7 3 3 3" xfId="38496" xr:uid="{00000000-0005-0000-0000-0000D4230000}"/>
    <cellStyle name="Millares 2 6 7 3 4" xfId="18144" xr:uid="{00000000-0005-0000-0000-0000D5230000}"/>
    <cellStyle name="Millares 2 6 7 3 4 2" xfId="45277" xr:uid="{00000000-0005-0000-0000-0000D6230000}"/>
    <cellStyle name="Millares 2 6 7 3 5" xfId="31715" xr:uid="{00000000-0005-0000-0000-0000D7230000}"/>
    <cellStyle name="Millares 2 6 7 4" xfId="4348" xr:uid="{00000000-0005-0000-0000-0000D8230000}"/>
    <cellStyle name="Millares 2 6 7 4 2" xfId="7958" xr:uid="{00000000-0005-0000-0000-0000D9230000}"/>
    <cellStyle name="Millares 2 6 7 4 2 2" xfId="14747" xr:uid="{00000000-0005-0000-0000-0000DA230000}"/>
    <cellStyle name="Millares 2 6 7 4 2 2 2" xfId="28315" xr:uid="{00000000-0005-0000-0000-0000DB230000}"/>
    <cellStyle name="Millares 2 6 7 4 2 2 2 2" xfId="55448" xr:uid="{00000000-0005-0000-0000-0000DC230000}"/>
    <cellStyle name="Millares 2 6 7 4 2 2 3" xfId="41886" xr:uid="{00000000-0005-0000-0000-0000DD230000}"/>
    <cellStyle name="Millares 2 6 7 4 2 3" xfId="21534" xr:uid="{00000000-0005-0000-0000-0000DE230000}"/>
    <cellStyle name="Millares 2 6 7 4 2 3 2" xfId="48667" xr:uid="{00000000-0005-0000-0000-0000DF230000}"/>
    <cellStyle name="Millares 2 6 7 4 2 4" xfId="35105" xr:uid="{00000000-0005-0000-0000-0000E0230000}"/>
    <cellStyle name="Millares 2 6 7 4 3" xfId="11358" xr:uid="{00000000-0005-0000-0000-0000E1230000}"/>
    <cellStyle name="Millares 2 6 7 4 3 2" xfId="24926" xr:uid="{00000000-0005-0000-0000-0000E2230000}"/>
    <cellStyle name="Millares 2 6 7 4 3 2 2" xfId="52059" xr:uid="{00000000-0005-0000-0000-0000E3230000}"/>
    <cellStyle name="Millares 2 6 7 4 3 3" xfId="38497" xr:uid="{00000000-0005-0000-0000-0000E4230000}"/>
    <cellStyle name="Millares 2 6 7 4 4" xfId="18145" xr:uid="{00000000-0005-0000-0000-0000E5230000}"/>
    <cellStyle name="Millares 2 6 7 4 4 2" xfId="45278" xr:uid="{00000000-0005-0000-0000-0000E6230000}"/>
    <cellStyle name="Millares 2 6 7 4 5" xfId="31716" xr:uid="{00000000-0005-0000-0000-0000E7230000}"/>
    <cellStyle name="Millares 2 6 7 5" xfId="7953" xr:uid="{00000000-0005-0000-0000-0000E8230000}"/>
    <cellStyle name="Millares 2 6 7 5 2" xfId="14742" xr:uid="{00000000-0005-0000-0000-0000E9230000}"/>
    <cellStyle name="Millares 2 6 7 5 2 2" xfId="28310" xr:uid="{00000000-0005-0000-0000-0000EA230000}"/>
    <cellStyle name="Millares 2 6 7 5 2 2 2" xfId="55443" xr:uid="{00000000-0005-0000-0000-0000EB230000}"/>
    <cellStyle name="Millares 2 6 7 5 2 3" xfId="41881" xr:uid="{00000000-0005-0000-0000-0000EC230000}"/>
    <cellStyle name="Millares 2 6 7 5 3" xfId="21529" xr:uid="{00000000-0005-0000-0000-0000ED230000}"/>
    <cellStyle name="Millares 2 6 7 5 3 2" xfId="48662" xr:uid="{00000000-0005-0000-0000-0000EE230000}"/>
    <cellStyle name="Millares 2 6 7 5 4" xfId="35100" xr:uid="{00000000-0005-0000-0000-0000EF230000}"/>
    <cellStyle name="Millares 2 6 7 6" xfId="11353" xr:uid="{00000000-0005-0000-0000-0000F0230000}"/>
    <cellStyle name="Millares 2 6 7 6 2" xfId="24921" xr:uid="{00000000-0005-0000-0000-0000F1230000}"/>
    <cellStyle name="Millares 2 6 7 6 2 2" xfId="52054" xr:uid="{00000000-0005-0000-0000-0000F2230000}"/>
    <cellStyle name="Millares 2 6 7 6 3" xfId="38492" xr:uid="{00000000-0005-0000-0000-0000F3230000}"/>
    <cellStyle name="Millares 2 6 7 7" xfId="18140" xr:uid="{00000000-0005-0000-0000-0000F4230000}"/>
    <cellStyle name="Millares 2 6 7 7 2" xfId="45273" xr:uid="{00000000-0005-0000-0000-0000F5230000}"/>
    <cellStyle name="Millares 2 6 7 8" xfId="31711" xr:uid="{00000000-0005-0000-0000-0000F6230000}"/>
    <cellStyle name="Millares 2 6 8" xfId="4349" xr:uid="{00000000-0005-0000-0000-0000F7230000}"/>
    <cellStyle name="Millares 2 6 8 2" xfId="4350" xr:uid="{00000000-0005-0000-0000-0000F8230000}"/>
    <cellStyle name="Millares 2 6 8 2 2" xfId="7960" xr:uid="{00000000-0005-0000-0000-0000F9230000}"/>
    <cellStyle name="Millares 2 6 8 2 2 2" xfId="14749" xr:uid="{00000000-0005-0000-0000-0000FA230000}"/>
    <cellStyle name="Millares 2 6 8 2 2 2 2" xfId="28317" xr:uid="{00000000-0005-0000-0000-0000FB230000}"/>
    <cellStyle name="Millares 2 6 8 2 2 2 2 2" xfId="55450" xr:uid="{00000000-0005-0000-0000-0000FC230000}"/>
    <cellStyle name="Millares 2 6 8 2 2 2 3" xfId="41888" xr:uid="{00000000-0005-0000-0000-0000FD230000}"/>
    <cellStyle name="Millares 2 6 8 2 2 3" xfId="21536" xr:uid="{00000000-0005-0000-0000-0000FE230000}"/>
    <cellStyle name="Millares 2 6 8 2 2 3 2" xfId="48669" xr:uid="{00000000-0005-0000-0000-0000FF230000}"/>
    <cellStyle name="Millares 2 6 8 2 2 4" xfId="35107" xr:uid="{00000000-0005-0000-0000-000000240000}"/>
    <cellStyle name="Millares 2 6 8 2 3" xfId="11360" xr:uid="{00000000-0005-0000-0000-000001240000}"/>
    <cellStyle name="Millares 2 6 8 2 3 2" xfId="24928" xr:uid="{00000000-0005-0000-0000-000002240000}"/>
    <cellStyle name="Millares 2 6 8 2 3 2 2" xfId="52061" xr:uid="{00000000-0005-0000-0000-000003240000}"/>
    <cellStyle name="Millares 2 6 8 2 3 3" xfId="38499" xr:uid="{00000000-0005-0000-0000-000004240000}"/>
    <cellStyle name="Millares 2 6 8 2 4" xfId="18147" xr:uid="{00000000-0005-0000-0000-000005240000}"/>
    <cellStyle name="Millares 2 6 8 2 4 2" xfId="45280" xr:uid="{00000000-0005-0000-0000-000006240000}"/>
    <cellStyle name="Millares 2 6 8 2 5" xfId="31718" xr:uid="{00000000-0005-0000-0000-000007240000}"/>
    <cellStyle name="Millares 2 6 8 3" xfId="4351" xr:uid="{00000000-0005-0000-0000-000008240000}"/>
    <cellStyle name="Millares 2 6 8 3 2" xfId="7961" xr:uid="{00000000-0005-0000-0000-000009240000}"/>
    <cellStyle name="Millares 2 6 8 3 2 2" xfId="14750" xr:uid="{00000000-0005-0000-0000-00000A240000}"/>
    <cellStyle name="Millares 2 6 8 3 2 2 2" xfId="28318" xr:uid="{00000000-0005-0000-0000-00000B240000}"/>
    <cellStyle name="Millares 2 6 8 3 2 2 2 2" xfId="55451" xr:uid="{00000000-0005-0000-0000-00000C240000}"/>
    <cellStyle name="Millares 2 6 8 3 2 2 3" xfId="41889" xr:uid="{00000000-0005-0000-0000-00000D240000}"/>
    <cellStyle name="Millares 2 6 8 3 2 3" xfId="21537" xr:uid="{00000000-0005-0000-0000-00000E240000}"/>
    <cellStyle name="Millares 2 6 8 3 2 3 2" xfId="48670" xr:uid="{00000000-0005-0000-0000-00000F240000}"/>
    <cellStyle name="Millares 2 6 8 3 2 4" xfId="35108" xr:uid="{00000000-0005-0000-0000-000010240000}"/>
    <cellStyle name="Millares 2 6 8 3 3" xfId="11361" xr:uid="{00000000-0005-0000-0000-000011240000}"/>
    <cellStyle name="Millares 2 6 8 3 3 2" xfId="24929" xr:uid="{00000000-0005-0000-0000-000012240000}"/>
    <cellStyle name="Millares 2 6 8 3 3 2 2" xfId="52062" xr:uid="{00000000-0005-0000-0000-000013240000}"/>
    <cellStyle name="Millares 2 6 8 3 3 3" xfId="38500" xr:uid="{00000000-0005-0000-0000-000014240000}"/>
    <cellStyle name="Millares 2 6 8 3 4" xfId="18148" xr:uid="{00000000-0005-0000-0000-000015240000}"/>
    <cellStyle name="Millares 2 6 8 3 4 2" xfId="45281" xr:uid="{00000000-0005-0000-0000-000016240000}"/>
    <cellStyle name="Millares 2 6 8 3 5" xfId="31719" xr:uid="{00000000-0005-0000-0000-000017240000}"/>
    <cellStyle name="Millares 2 6 8 4" xfId="7959" xr:uid="{00000000-0005-0000-0000-000018240000}"/>
    <cellStyle name="Millares 2 6 8 4 2" xfId="14748" xr:uid="{00000000-0005-0000-0000-000019240000}"/>
    <cellStyle name="Millares 2 6 8 4 2 2" xfId="28316" xr:uid="{00000000-0005-0000-0000-00001A240000}"/>
    <cellStyle name="Millares 2 6 8 4 2 2 2" xfId="55449" xr:uid="{00000000-0005-0000-0000-00001B240000}"/>
    <cellStyle name="Millares 2 6 8 4 2 3" xfId="41887" xr:uid="{00000000-0005-0000-0000-00001C240000}"/>
    <cellStyle name="Millares 2 6 8 4 3" xfId="21535" xr:uid="{00000000-0005-0000-0000-00001D240000}"/>
    <cellStyle name="Millares 2 6 8 4 3 2" xfId="48668" xr:uid="{00000000-0005-0000-0000-00001E240000}"/>
    <cellStyle name="Millares 2 6 8 4 4" xfId="35106" xr:uid="{00000000-0005-0000-0000-00001F240000}"/>
    <cellStyle name="Millares 2 6 8 5" xfId="11359" xr:uid="{00000000-0005-0000-0000-000020240000}"/>
    <cellStyle name="Millares 2 6 8 5 2" xfId="24927" xr:uid="{00000000-0005-0000-0000-000021240000}"/>
    <cellStyle name="Millares 2 6 8 5 2 2" xfId="52060" xr:uid="{00000000-0005-0000-0000-000022240000}"/>
    <cellStyle name="Millares 2 6 8 5 3" xfId="38498" xr:uid="{00000000-0005-0000-0000-000023240000}"/>
    <cellStyle name="Millares 2 6 8 6" xfId="18146" xr:uid="{00000000-0005-0000-0000-000024240000}"/>
    <cellStyle name="Millares 2 6 8 6 2" xfId="45279" xr:uid="{00000000-0005-0000-0000-000025240000}"/>
    <cellStyle name="Millares 2 6 8 7" xfId="31717" xr:uid="{00000000-0005-0000-0000-000026240000}"/>
    <cellStyle name="Millares 2 6 9" xfId="4352" xr:uid="{00000000-0005-0000-0000-000027240000}"/>
    <cellStyle name="Millares 2 6 9 2" xfId="4353" xr:uid="{00000000-0005-0000-0000-000028240000}"/>
    <cellStyle name="Millares 2 6 9 2 2" xfId="7963" xr:uid="{00000000-0005-0000-0000-000029240000}"/>
    <cellStyle name="Millares 2 6 9 2 2 2" xfId="14752" xr:uid="{00000000-0005-0000-0000-00002A240000}"/>
    <cellStyle name="Millares 2 6 9 2 2 2 2" xfId="28320" xr:uid="{00000000-0005-0000-0000-00002B240000}"/>
    <cellStyle name="Millares 2 6 9 2 2 2 2 2" xfId="55453" xr:uid="{00000000-0005-0000-0000-00002C240000}"/>
    <cellStyle name="Millares 2 6 9 2 2 2 3" xfId="41891" xr:uid="{00000000-0005-0000-0000-00002D240000}"/>
    <cellStyle name="Millares 2 6 9 2 2 3" xfId="21539" xr:uid="{00000000-0005-0000-0000-00002E240000}"/>
    <cellStyle name="Millares 2 6 9 2 2 3 2" xfId="48672" xr:uid="{00000000-0005-0000-0000-00002F240000}"/>
    <cellStyle name="Millares 2 6 9 2 2 4" xfId="35110" xr:uid="{00000000-0005-0000-0000-000030240000}"/>
    <cellStyle name="Millares 2 6 9 2 3" xfId="11363" xr:uid="{00000000-0005-0000-0000-000031240000}"/>
    <cellStyle name="Millares 2 6 9 2 3 2" xfId="24931" xr:uid="{00000000-0005-0000-0000-000032240000}"/>
    <cellStyle name="Millares 2 6 9 2 3 2 2" xfId="52064" xr:uid="{00000000-0005-0000-0000-000033240000}"/>
    <cellStyle name="Millares 2 6 9 2 3 3" xfId="38502" xr:uid="{00000000-0005-0000-0000-000034240000}"/>
    <cellStyle name="Millares 2 6 9 2 4" xfId="18150" xr:uid="{00000000-0005-0000-0000-000035240000}"/>
    <cellStyle name="Millares 2 6 9 2 4 2" xfId="45283" xr:uid="{00000000-0005-0000-0000-000036240000}"/>
    <cellStyle name="Millares 2 6 9 2 5" xfId="31721" xr:uid="{00000000-0005-0000-0000-000037240000}"/>
    <cellStyle name="Millares 2 6 9 3" xfId="4354" xr:uid="{00000000-0005-0000-0000-000038240000}"/>
    <cellStyle name="Millares 2 6 9 3 2" xfId="7964" xr:uid="{00000000-0005-0000-0000-000039240000}"/>
    <cellStyle name="Millares 2 6 9 3 2 2" xfId="14753" xr:uid="{00000000-0005-0000-0000-00003A240000}"/>
    <cellStyle name="Millares 2 6 9 3 2 2 2" xfId="28321" xr:uid="{00000000-0005-0000-0000-00003B240000}"/>
    <cellStyle name="Millares 2 6 9 3 2 2 2 2" xfId="55454" xr:uid="{00000000-0005-0000-0000-00003C240000}"/>
    <cellStyle name="Millares 2 6 9 3 2 2 3" xfId="41892" xr:uid="{00000000-0005-0000-0000-00003D240000}"/>
    <cellStyle name="Millares 2 6 9 3 2 3" xfId="21540" xr:uid="{00000000-0005-0000-0000-00003E240000}"/>
    <cellStyle name="Millares 2 6 9 3 2 3 2" xfId="48673" xr:uid="{00000000-0005-0000-0000-00003F240000}"/>
    <cellStyle name="Millares 2 6 9 3 2 4" xfId="35111" xr:uid="{00000000-0005-0000-0000-000040240000}"/>
    <cellStyle name="Millares 2 6 9 3 3" xfId="11364" xr:uid="{00000000-0005-0000-0000-000041240000}"/>
    <cellStyle name="Millares 2 6 9 3 3 2" xfId="24932" xr:uid="{00000000-0005-0000-0000-000042240000}"/>
    <cellStyle name="Millares 2 6 9 3 3 2 2" xfId="52065" xr:uid="{00000000-0005-0000-0000-000043240000}"/>
    <cellStyle name="Millares 2 6 9 3 3 3" xfId="38503" xr:uid="{00000000-0005-0000-0000-000044240000}"/>
    <cellStyle name="Millares 2 6 9 3 4" xfId="18151" xr:uid="{00000000-0005-0000-0000-000045240000}"/>
    <cellStyle name="Millares 2 6 9 3 4 2" xfId="45284" xr:uid="{00000000-0005-0000-0000-000046240000}"/>
    <cellStyle name="Millares 2 6 9 3 5" xfId="31722" xr:uid="{00000000-0005-0000-0000-000047240000}"/>
    <cellStyle name="Millares 2 6 9 4" xfId="7962" xr:uid="{00000000-0005-0000-0000-000048240000}"/>
    <cellStyle name="Millares 2 6 9 4 2" xfId="14751" xr:uid="{00000000-0005-0000-0000-000049240000}"/>
    <cellStyle name="Millares 2 6 9 4 2 2" xfId="28319" xr:uid="{00000000-0005-0000-0000-00004A240000}"/>
    <cellStyle name="Millares 2 6 9 4 2 2 2" xfId="55452" xr:uid="{00000000-0005-0000-0000-00004B240000}"/>
    <cellStyle name="Millares 2 6 9 4 2 3" xfId="41890" xr:uid="{00000000-0005-0000-0000-00004C240000}"/>
    <cellStyle name="Millares 2 6 9 4 3" xfId="21538" xr:uid="{00000000-0005-0000-0000-00004D240000}"/>
    <cellStyle name="Millares 2 6 9 4 3 2" xfId="48671" xr:uid="{00000000-0005-0000-0000-00004E240000}"/>
    <cellStyle name="Millares 2 6 9 4 4" xfId="35109" xr:uid="{00000000-0005-0000-0000-00004F240000}"/>
    <cellStyle name="Millares 2 6 9 5" xfId="11362" xr:uid="{00000000-0005-0000-0000-000050240000}"/>
    <cellStyle name="Millares 2 6 9 5 2" xfId="24930" xr:uid="{00000000-0005-0000-0000-000051240000}"/>
    <cellStyle name="Millares 2 6 9 5 2 2" xfId="52063" xr:uid="{00000000-0005-0000-0000-000052240000}"/>
    <cellStyle name="Millares 2 6 9 5 3" xfId="38501" xr:uid="{00000000-0005-0000-0000-000053240000}"/>
    <cellStyle name="Millares 2 6 9 6" xfId="18149" xr:uid="{00000000-0005-0000-0000-000054240000}"/>
    <cellStyle name="Millares 2 6 9 6 2" xfId="45282" xr:uid="{00000000-0005-0000-0000-000055240000}"/>
    <cellStyle name="Millares 2 6 9 7" xfId="31720" xr:uid="{00000000-0005-0000-0000-000056240000}"/>
    <cellStyle name="Millares 2 60" xfId="2412" xr:uid="{00000000-0005-0000-0000-000057240000}"/>
    <cellStyle name="Millares 2 61" xfId="2413" xr:uid="{00000000-0005-0000-0000-000058240000}"/>
    <cellStyle name="Millares 2 62" xfId="2414" xr:uid="{00000000-0005-0000-0000-000059240000}"/>
    <cellStyle name="Millares 2 63" xfId="2415" xr:uid="{00000000-0005-0000-0000-00005A240000}"/>
    <cellStyle name="Millares 2 64" xfId="2416" xr:uid="{00000000-0005-0000-0000-00005B240000}"/>
    <cellStyle name="Millares 2 65" xfId="2417" xr:uid="{00000000-0005-0000-0000-00005C240000}"/>
    <cellStyle name="Millares 2 66" xfId="2418" xr:uid="{00000000-0005-0000-0000-00005D240000}"/>
    <cellStyle name="Millares 2 67" xfId="2419" xr:uid="{00000000-0005-0000-0000-00005E240000}"/>
    <cellStyle name="Millares 2 68" xfId="2420" xr:uid="{00000000-0005-0000-0000-00005F240000}"/>
    <cellStyle name="Millares 2 69" xfId="2421" xr:uid="{00000000-0005-0000-0000-000060240000}"/>
    <cellStyle name="Millares 2 7" xfId="2422" xr:uid="{00000000-0005-0000-0000-000061240000}"/>
    <cellStyle name="Millares 2 7 10" xfId="4355" xr:uid="{00000000-0005-0000-0000-000062240000}"/>
    <cellStyle name="Millares 2 7 10 2" xfId="7965" xr:uid="{00000000-0005-0000-0000-000063240000}"/>
    <cellStyle name="Millares 2 7 10 2 2" xfId="14754" xr:uid="{00000000-0005-0000-0000-000064240000}"/>
    <cellStyle name="Millares 2 7 10 2 2 2" xfId="28322" xr:uid="{00000000-0005-0000-0000-000065240000}"/>
    <cellStyle name="Millares 2 7 10 2 2 2 2" xfId="55455" xr:uid="{00000000-0005-0000-0000-000066240000}"/>
    <cellStyle name="Millares 2 7 10 2 2 3" xfId="41893" xr:uid="{00000000-0005-0000-0000-000067240000}"/>
    <cellStyle name="Millares 2 7 10 2 3" xfId="21541" xr:uid="{00000000-0005-0000-0000-000068240000}"/>
    <cellStyle name="Millares 2 7 10 2 3 2" xfId="48674" xr:uid="{00000000-0005-0000-0000-000069240000}"/>
    <cellStyle name="Millares 2 7 10 2 4" xfId="35112" xr:uid="{00000000-0005-0000-0000-00006A240000}"/>
    <cellStyle name="Millares 2 7 10 3" xfId="11365" xr:uid="{00000000-0005-0000-0000-00006B240000}"/>
    <cellStyle name="Millares 2 7 10 3 2" xfId="24933" xr:uid="{00000000-0005-0000-0000-00006C240000}"/>
    <cellStyle name="Millares 2 7 10 3 2 2" xfId="52066" xr:uid="{00000000-0005-0000-0000-00006D240000}"/>
    <cellStyle name="Millares 2 7 10 3 3" xfId="38504" xr:uid="{00000000-0005-0000-0000-00006E240000}"/>
    <cellStyle name="Millares 2 7 10 4" xfId="18152" xr:uid="{00000000-0005-0000-0000-00006F240000}"/>
    <cellStyle name="Millares 2 7 10 4 2" xfId="45285" xr:uid="{00000000-0005-0000-0000-000070240000}"/>
    <cellStyle name="Millares 2 7 10 5" xfId="31723" xr:uid="{00000000-0005-0000-0000-000071240000}"/>
    <cellStyle name="Millares 2 7 2" xfId="4356" xr:uid="{00000000-0005-0000-0000-000072240000}"/>
    <cellStyle name="Millares 2 7 2 10" xfId="11366" xr:uid="{00000000-0005-0000-0000-000073240000}"/>
    <cellStyle name="Millares 2 7 2 10 2" xfId="24934" xr:uid="{00000000-0005-0000-0000-000074240000}"/>
    <cellStyle name="Millares 2 7 2 10 2 2" xfId="52067" xr:uid="{00000000-0005-0000-0000-000075240000}"/>
    <cellStyle name="Millares 2 7 2 10 3" xfId="38505" xr:uid="{00000000-0005-0000-0000-000076240000}"/>
    <cellStyle name="Millares 2 7 2 11" xfId="18153" xr:uid="{00000000-0005-0000-0000-000077240000}"/>
    <cellStyle name="Millares 2 7 2 11 2" xfId="45286" xr:uid="{00000000-0005-0000-0000-000078240000}"/>
    <cellStyle name="Millares 2 7 2 12" xfId="31724" xr:uid="{00000000-0005-0000-0000-000079240000}"/>
    <cellStyle name="Millares 2 7 2 2" xfId="4357" xr:uid="{00000000-0005-0000-0000-00007A240000}"/>
    <cellStyle name="Millares 2 7 2 2 10" xfId="31725" xr:uid="{00000000-0005-0000-0000-00007B240000}"/>
    <cellStyle name="Millares 2 7 2 2 2" xfId="4358" xr:uid="{00000000-0005-0000-0000-00007C240000}"/>
    <cellStyle name="Millares 2 7 2 2 2 2" xfId="4359" xr:uid="{00000000-0005-0000-0000-00007D240000}"/>
    <cellStyle name="Millares 2 7 2 2 2 2 2" xfId="4360" xr:uid="{00000000-0005-0000-0000-00007E240000}"/>
    <cellStyle name="Millares 2 7 2 2 2 2 2 2" xfId="7970" xr:uid="{00000000-0005-0000-0000-00007F240000}"/>
    <cellStyle name="Millares 2 7 2 2 2 2 2 2 2" xfId="14759" xr:uid="{00000000-0005-0000-0000-000080240000}"/>
    <cellStyle name="Millares 2 7 2 2 2 2 2 2 2 2" xfId="28327" xr:uid="{00000000-0005-0000-0000-000081240000}"/>
    <cellStyle name="Millares 2 7 2 2 2 2 2 2 2 2 2" xfId="55460" xr:uid="{00000000-0005-0000-0000-000082240000}"/>
    <cellStyle name="Millares 2 7 2 2 2 2 2 2 2 3" xfId="41898" xr:uid="{00000000-0005-0000-0000-000083240000}"/>
    <cellStyle name="Millares 2 7 2 2 2 2 2 2 3" xfId="21546" xr:uid="{00000000-0005-0000-0000-000084240000}"/>
    <cellStyle name="Millares 2 7 2 2 2 2 2 2 3 2" xfId="48679" xr:uid="{00000000-0005-0000-0000-000085240000}"/>
    <cellStyle name="Millares 2 7 2 2 2 2 2 2 4" xfId="35117" xr:uid="{00000000-0005-0000-0000-000086240000}"/>
    <cellStyle name="Millares 2 7 2 2 2 2 2 3" xfId="11370" xr:uid="{00000000-0005-0000-0000-000087240000}"/>
    <cellStyle name="Millares 2 7 2 2 2 2 2 3 2" xfId="24938" xr:uid="{00000000-0005-0000-0000-000088240000}"/>
    <cellStyle name="Millares 2 7 2 2 2 2 2 3 2 2" xfId="52071" xr:uid="{00000000-0005-0000-0000-000089240000}"/>
    <cellStyle name="Millares 2 7 2 2 2 2 2 3 3" xfId="38509" xr:uid="{00000000-0005-0000-0000-00008A240000}"/>
    <cellStyle name="Millares 2 7 2 2 2 2 2 4" xfId="18157" xr:uid="{00000000-0005-0000-0000-00008B240000}"/>
    <cellStyle name="Millares 2 7 2 2 2 2 2 4 2" xfId="45290" xr:uid="{00000000-0005-0000-0000-00008C240000}"/>
    <cellStyle name="Millares 2 7 2 2 2 2 2 5" xfId="31728" xr:uid="{00000000-0005-0000-0000-00008D240000}"/>
    <cellStyle name="Millares 2 7 2 2 2 2 3" xfId="4361" xr:uid="{00000000-0005-0000-0000-00008E240000}"/>
    <cellStyle name="Millares 2 7 2 2 2 2 3 2" xfId="7971" xr:uid="{00000000-0005-0000-0000-00008F240000}"/>
    <cellStyle name="Millares 2 7 2 2 2 2 3 2 2" xfId="14760" xr:uid="{00000000-0005-0000-0000-000090240000}"/>
    <cellStyle name="Millares 2 7 2 2 2 2 3 2 2 2" xfId="28328" xr:uid="{00000000-0005-0000-0000-000091240000}"/>
    <cellStyle name="Millares 2 7 2 2 2 2 3 2 2 2 2" xfId="55461" xr:uid="{00000000-0005-0000-0000-000092240000}"/>
    <cellStyle name="Millares 2 7 2 2 2 2 3 2 2 3" xfId="41899" xr:uid="{00000000-0005-0000-0000-000093240000}"/>
    <cellStyle name="Millares 2 7 2 2 2 2 3 2 3" xfId="21547" xr:uid="{00000000-0005-0000-0000-000094240000}"/>
    <cellStyle name="Millares 2 7 2 2 2 2 3 2 3 2" xfId="48680" xr:uid="{00000000-0005-0000-0000-000095240000}"/>
    <cellStyle name="Millares 2 7 2 2 2 2 3 2 4" xfId="35118" xr:uid="{00000000-0005-0000-0000-000096240000}"/>
    <cellStyle name="Millares 2 7 2 2 2 2 3 3" xfId="11371" xr:uid="{00000000-0005-0000-0000-000097240000}"/>
    <cellStyle name="Millares 2 7 2 2 2 2 3 3 2" xfId="24939" xr:uid="{00000000-0005-0000-0000-000098240000}"/>
    <cellStyle name="Millares 2 7 2 2 2 2 3 3 2 2" xfId="52072" xr:uid="{00000000-0005-0000-0000-000099240000}"/>
    <cellStyle name="Millares 2 7 2 2 2 2 3 3 3" xfId="38510" xr:uid="{00000000-0005-0000-0000-00009A240000}"/>
    <cellStyle name="Millares 2 7 2 2 2 2 3 4" xfId="18158" xr:uid="{00000000-0005-0000-0000-00009B240000}"/>
    <cellStyle name="Millares 2 7 2 2 2 2 3 4 2" xfId="45291" xr:uid="{00000000-0005-0000-0000-00009C240000}"/>
    <cellStyle name="Millares 2 7 2 2 2 2 3 5" xfId="31729" xr:uid="{00000000-0005-0000-0000-00009D240000}"/>
    <cellStyle name="Millares 2 7 2 2 2 2 4" xfId="7969" xr:uid="{00000000-0005-0000-0000-00009E240000}"/>
    <cellStyle name="Millares 2 7 2 2 2 2 4 2" xfId="14758" xr:uid="{00000000-0005-0000-0000-00009F240000}"/>
    <cellStyle name="Millares 2 7 2 2 2 2 4 2 2" xfId="28326" xr:uid="{00000000-0005-0000-0000-0000A0240000}"/>
    <cellStyle name="Millares 2 7 2 2 2 2 4 2 2 2" xfId="55459" xr:uid="{00000000-0005-0000-0000-0000A1240000}"/>
    <cellStyle name="Millares 2 7 2 2 2 2 4 2 3" xfId="41897" xr:uid="{00000000-0005-0000-0000-0000A2240000}"/>
    <cellStyle name="Millares 2 7 2 2 2 2 4 3" xfId="21545" xr:uid="{00000000-0005-0000-0000-0000A3240000}"/>
    <cellStyle name="Millares 2 7 2 2 2 2 4 3 2" xfId="48678" xr:uid="{00000000-0005-0000-0000-0000A4240000}"/>
    <cellStyle name="Millares 2 7 2 2 2 2 4 4" xfId="35116" xr:uid="{00000000-0005-0000-0000-0000A5240000}"/>
    <cellStyle name="Millares 2 7 2 2 2 2 5" xfId="11369" xr:uid="{00000000-0005-0000-0000-0000A6240000}"/>
    <cellStyle name="Millares 2 7 2 2 2 2 5 2" xfId="24937" xr:uid="{00000000-0005-0000-0000-0000A7240000}"/>
    <cellStyle name="Millares 2 7 2 2 2 2 5 2 2" xfId="52070" xr:uid="{00000000-0005-0000-0000-0000A8240000}"/>
    <cellStyle name="Millares 2 7 2 2 2 2 5 3" xfId="38508" xr:uid="{00000000-0005-0000-0000-0000A9240000}"/>
    <cellStyle name="Millares 2 7 2 2 2 2 6" xfId="18156" xr:uid="{00000000-0005-0000-0000-0000AA240000}"/>
    <cellStyle name="Millares 2 7 2 2 2 2 6 2" xfId="45289" xr:uid="{00000000-0005-0000-0000-0000AB240000}"/>
    <cellStyle name="Millares 2 7 2 2 2 2 7" xfId="31727" xr:uid="{00000000-0005-0000-0000-0000AC240000}"/>
    <cellStyle name="Millares 2 7 2 2 2 3" xfId="4362" xr:uid="{00000000-0005-0000-0000-0000AD240000}"/>
    <cellStyle name="Millares 2 7 2 2 2 3 2" xfId="4363" xr:uid="{00000000-0005-0000-0000-0000AE240000}"/>
    <cellStyle name="Millares 2 7 2 2 2 3 2 2" xfId="7973" xr:uid="{00000000-0005-0000-0000-0000AF240000}"/>
    <cellStyle name="Millares 2 7 2 2 2 3 2 2 2" xfId="14762" xr:uid="{00000000-0005-0000-0000-0000B0240000}"/>
    <cellStyle name="Millares 2 7 2 2 2 3 2 2 2 2" xfId="28330" xr:uid="{00000000-0005-0000-0000-0000B1240000}"/>
    <cellStyle name="Millares 2 7 2 2 2 3 2 2 2 2 2" xfId="55463" xr:uid="{00000000-0005-0000-0000-0000B2240000}"/>
    <cellStyle name="Millares 2 7 2 2 2 3 2 2 2 3" xfId="41901" xr:uid="{00000000-0005-0000-0000-0000B3240000}"/>
    <cellStyle name="Millares 2 7 2 2 2 3 2 2 3" xfId="21549" xr:uid="{00000000-0005-0000-0000-0000B4240000}"/>
    <cellStyle name="Millares 2 7 2 2 2 3 2 2 3 2" xfId="48682" xr:uid="{00000000-0005-0000-0000-0000B5240000}"/>
    <cellStyle name="Millares 2 7 2 2 2 3 2 2 4" xfId="35120" xr:uid="{00000000-0005-0000-0000-0000B6240000}"/>
    <cellStyle name="Millares 2 7 2 2 2 3 2 3" xfId="11373" xr:uid="{00000000-0005-0000-0000-0000B7240000}"/>
    <cellStyle name="Millares 2 7 2 2 2 3 2 3 2" xfId="24941" xr:uid="{00000000-0005-0000-0000-0000B8240000}"/>
    <cellStyle name="Millares 2 7 2 2 2 3 2 3 2 2" xfId="52074" xr:uid="{00000000-0005-0000-0000-0000B9240000}"/>
    <cellStyle name="Millares 2 7 2 2 2 3 2 3 3" xfId="38512" xr:uid="{00000000-0005-0000-0000-0000BA240000}"/>
    <cellStyle name="Millares 2 7 2 2 2 3 2 4" xfId="18160" xr:uid="{00000000-0005-0000-0000-0000BB240000}"/>
    <cellStyle name="Millares 2 7 2 2 2 3 2 4 2" xfId="45293" xr:uid="{00000000-0005-0000-0000-0000BC240000}"/>
    <cellStyle name="Millares 2 7 2 2 2 3 2 5" xfId="31731" xr:uid="{00000000-0005-0000-0000-0000BD240000}"/>
    <cellStyle name="Millares 2 7 2 2 2 3 3" xfId="7972" xr:uid="{00000000-0005-0000-0000-0000BE240000}"/>
    <cellStyle name="Millares 2 7 2 2 2 3 3 2" xfId="14761" xr:uid="{00000000-0005-0000-0000-0000BF240000}"/>
    <cellStyle name="Millares 2 7 2 2 2 3 3 2 2" xfId="28329" xr:uid="{00000000-0005-0000-0000-0000C0240000}"/>
    <cellStyle name="Millares 2 7 2 2 2 3 3 2 2 2" xfId="55462" xr:uid="{00000000-0005-0000-0000-0000C1240000}"/>
    <cellStyle name="Millares 2 7 2 2 2 3 3 2 3" xfId="41900" xr:uid="{00000000-0005-0000-0000-0000C2240000}"/>
    <cellStyle name="Millares 2 7 2 2 2 3 3 3" xfId="21548" xr:uid="{00000000-0005-0000-0000-0000C3240000}"/>
    <cellStyle name="Millares 2 7 2 2 2 3 3 3 2" xfId="48681" xr:uid="{00000000-0005-0000-0000-0000C4240000}"/>
    <cellStyle name="Millares 2 7 2 2 2 3 3 4" xfId="35119" xr:uid="{00000000-0005-0000-0000-0000C5240000}"/>
    <cellStyle name="Millares 2 7 2 2 2 3 4" xfId="11372" xr:uid="{00000000-0005-0000-0000-0000C6240000}"/>
    <cellStyle name="Millares 2 7 2 2 2 3 4 2" xfId="24940" xr:uid="{00000000-0005-0000-0000-0000C7240000}"/>
    <cellStyle name="Millares 2 7 2 2 2 3 4 2 2" xfId="52073" xr:uid="{00000000-0005-0000-0000-0000C8240000}"/>
    <cellStyle name="Millares 2 7 2 2 2 3 4 3" xfId="38511" xr:uid="{00000000-0005-0000-0000-0000C9240000}"/>
    <cellStyle name="Millares 2 7 2 2 2 3 5" xfId="18159" xr:uid="{00000000-0005-0000-0000-0000CA240000}"/>
    <cellStyle name="Millares 2 7 2 2 2 3 5 2" xfId="45292" xr:uid="{00000000-0005-0000-0000-0000CB240000}"/>
    <cellStyle name="Millares 2 7 2 2 2 3 6" xfId="31730" xr:uid="{00000000-0005-0000-0000-0000CC240000}"/>
    <cellStyle name="Millares 2 7 2 2 2 4" xfId="4364" xr:uid="{00000000-0005-0000-0000-0000CD240000}"/>
    <cellStyle name="Millares 2 7 2 2 2 4 2" xfId="7974" xr:uid="{00000000-0005-0000-0000-0000CE240000}"/>
    <cellStyle name="Millares 2 7 2 2 2 4 2 2" xfId="14763" xr:uid="{00000000-0005-0000-0000-0000CF240000}"/>
    <cellStyle name="Millares 2 7 2 2 2 4 2 2 2" xfId="28331" xr:uid="{00000000-0005-0000-0000-0000D0240000}"/>
    <cellStyle name="Millares 2 7 2 2 2 4 2 2 2 2" xfId="55464" xr:uid="{00000000-0005-0000-0000-0000D1240000}"/>
    <cellStyle name="Millares 2 7 2 2 2 4 2 2 3" xfId="41902" xr:uid="{00000000-0005-0000-0000-0000D2240000}"/>
    <cellStyle name="Millares 2 7 2 2 2 4 2 3" xfId="21550" xr:uid="{00000000-0005-0000-0000-0000D3240000}"/>
    <cellStyle name="Millares 2 7 2 2 2 4 2 3 2" xfId="48683" xr:uid="{00000000-0005-0000-0000-0000D4240000}"/>
    <cellStyle name="Millares 2 7 2 2 2 4 2 4" xfId="35121" xr:uid="{00000000-0005-0000-0000-0000D5240000}"/>
    <cellStyle name="Millares 2 7 2 2 2 4 3" xfId="11374" xr:uid="{00000000-0005-0000-0000-0000D6240000}"/>
    <cellStyle name="Millares 2 7 2 2 2 4 3 2" xfId="24942" xr:uid="{00000000-0005-0000-0000-0000D7240000}"/>
    <cellStyle name="Millares 2 7 2 2 2 4 3 2 2" xfId="52075" xr:uid="{00000000-0005-0000-0000-0000D8240000}"/>
    <cellStyle name="Millares 2 7 2 2 2 4 3 3" xfId="38513" xr:uid="{00000000-0005-0000-0000-0000D9240000}"/>
    <cellStyle name="Millares 2 7 2 2 2 4 4" xfId="18161" xr:uid="{00000000-0005-0000-0000-0000DA240000}"/>
    <cellStyle name="Millares 2 7 2 2 2 4 4 2" xfId="45294" xr:uid="{00000000-0005-0000-0000-0000DB240000}"/>
    <cellStyle name="Millares 2 7 2 2 2 4 5" xfId="31732" xr:uid="{00000000-0005-0000-0000-0000DC240000}"/>
    <cellStyle name="Millares 2 7 2 2 2 5" xfId="4365" xr:uid="{00000000-0005-0000-0000-0000DD240000}"/>
    <cellStyle name="Millares 2 7 2 2 2 5 2" xfId="7975" xr:uid="{00000000-0005-0000-0000-0000DE240000}"/>
    <cellStyle name="Millares 2 7 2 2 2 5 2 2" xfId="14764" xr:uid="{00000000-0005-0000-0000-0000DF240000}"/>
    <cellStyle name="Millares 2 7 2 2 2 5 2 2 2" xfId="28332" xr:uid="{00000000-0005-0000-0000-0000E0240000}"/>
    <cellStyle name="Millares 2 7 2 2 2 5 2 2 2 2" xfId="55465" xr:uid="{00000000-0005-0000-0000-0000E1240000}"/>
    <cellStyle name="Millares 2 7 2 2 2 5 2 2 3" xfId="41903" xr:uid="{00000000-0005-0000-0000-0000E2240000}"/>
    <cellStyle name="Millares 2 7 2 2 2 5 2 3" xfId="21551" xr:uid="{00000000-0005-0000-0000-0000E3240000}"/>
    <cellStyle name="Millares 2 7 2 2 2 5 2 3 2" xfId="48684" xr:uid="{00000000-0005-0000-0000-0000E4240000}"/>
    <cellStyle name="Millares 2 7 2 2 2 5 2 4" xfId="35122" xr:uid="{00000000-0005-0000-0000-0000E5240000}"/>
    <cellStyle name="Millares 2 7 2 2 2 5 3" xfId="11375" xr:uid="{00000000-0005-0000-0000-0000E6240000}"/>
    <cellStyle name="Millares 2 7 2 2 2 5 3 2" xfId="24943" xr:uid="{00000000-0005-0000-0000-0000E7240000}"/>
    <cellStyle name="Millares 2 7 2 2 2 5 3 2 2" xfId="52076" xr:uid="{00000000-0005-0000-0000-0000E8240000}"/>
    <cellStyle name="Millares 2 7 2 2 2 5 3 3" xfId="38514" xr:uid="{00000000-0005-0000-0000-0000E9240000}"/>
    <cellStyle name="Millares 2 7 2 2 2 5 4" xfId="18162" xr:uid="{00000000-0005-0000-0000-0000EA240000}"/>
    <cellStyle name="Millares 2 7 2 2 2 5 4 2" xfId="45295" xr:uid="{00000000-0005-0000-0000-0000EB240000}"/>
    <cellStyle name="Millares 2 7 2 2 2 5 5" xfId="31733" xr:uid="{00000000-0005-0000-0000-0000EC240000}"/>
    <cellStyle name="Millares 2 7 2 2 2 6" xfId="7968" xr:uid="{00000000-0005-0000-0000-0000ED240000}"/>
    <cellStyle name="Millares 2 7 2 2 2 6 2" xfId="14757" xr:uid="{00000000-0005-0000-0000-0000EE240000}"/>
    <cellStyle name="Millares 2 7 2 2 2 6 2 2" xfId="28325" xr:uid="{00000000-0005-0000-0000-0000EF240000}"/>
    <cellStyle name="Millares 2 7 2 2 2 6 2 2 2" xfId="55458" xr:uid="{00000000-0005-0000-0000-0000F0240000}"/>
    <cellStyle name="Millares 2 7 2 2 2 6 2 3" xfId="41896" xr:uid="{00000000-0005-0000-0000-0000F1240000}"/>
    <cellStyle name="Millares 2 7 2 2 2 6 3" xfId="21544" xr:uid="{00000000-0005-0000-0000-0000F2240000}"/>
    <cellStyle name="Millares 2 7 2 2 2 6 3 2" xfId="48677" xr:uid="{00000000-0005-0000-0000-0000F3240000}"/>
    <cellStyle name="Millares 2 7 2 2 2 6 4" xfId="35115" xr:uid="{00000000-0005-0000-0000-0000F4240000}"/>
    <cellStyle name="Millares 2 7 2 2 2 7" xfId="11368" xr:uid="{00000000-0005-0000-0000-0000F5240000}"/>
    <cellStyle name="Millares 2 7 2 2 2 7 2" xfId="24936" xr:uid="{00000000-0005-0000-0000-0000F6240000}"/>
    <cellStyle name="Millares 2 7 2 2 2 7 2 2" xfId="52069" xr:uid="{00000000-0005-0000-0000-0000F7240000}"/>
    <cellStyle name="Millares 2 7 2 2 2 7 3" xfId="38507" xr:uid="{00000000-0005-0000-0000-0000F8240000}"/>
    <cellStyle name="Millares 2 7 2 2 2 8" xfId="18155" xr:uid="{00000000-0005-0000-0000-0000F9240000}"/>
    <cellStyle name="Millares 2 7 2 2 2 8 2" xfId="45288" xr:uid="{00000000-0005-0000-0000-0000FA240000}"/>
    <cellStyle name="Millares 2 7 2 2 2 9" xfId="31726" xr:uid="{00000000-0005-0000-0000-0000FB240000}"/>
    <cellStyle name="Millares 2 7 2 2 3" xfId="4366" xr:uid="{00000000-0005-0000-0000-0000FC240000}"/>
    <cellStyle name="Millares 2 7 2 2 3 2" xfId="4367" xr:uid="{00000000-0005-0000-0000-0000FD240000}"/>
    <cellStyle name="Millares 2 7 2 2 3 2 2" xfId="7977" xr:uid="{00000000-0005-0000-0000-0000FE240000}"/>
    <cellStyle name="Millares 2 7 2 2 3 2 2 2" xfId="14766" xr:uid="{00000000-0005-0000-0000-0000FF240000}"/>
    <cellStyle name="Millares 2 7 2 2 3 2 2 2 2" xfId="28334" xr:uid="{00000000-0005-0000-0000-000000250000}"/>
    <cellStyle name="Millares 2 7 2 2 3 2 2 2 2 2" xfId="55467" xr:uid="{00000000-0005-0000-0000-000001250000}"/>
    <cellStyle name="Millares 2 7 2 2 3 2 2 2 3" xfId="41905" xr:uid="{00000000-0005-0000-0000-000002250000}"/>
    <cellStyle name="Millares 2 7 2 2 3 2 2 3" xfId="21553" xr:uid="{00000000-0005-0000-0000-000003250000}"/>
    <cellStyle name="Millares 2 7 2 2 3 2 2 3 2" xfId="48686" xr:uid="{00000000-0005-0000-0000-000004250000}"/>
    <cellStyle name="Millares 2 7 2 2 3 2 2 4" xfId="35124" xr:uid="{00000000-0005-0000-0000-000005250000}"/>
    <cellStyle name="Millares 2 7 2 2 3 2 3" xfId="11377" xr:uid="{00000000-0005-0000-0000-000006250000}"/>
    <cellStyle name="Millares 2 7 2 2 3 2 3 2" xfId="24945" xr:uid="{00000000-0005-0000-0000-000007250000}"/>
    <cellStyle name="Millares 2 7 2 2 3 2 3 2 2" xfId="52078" xr:uid="{00000000-0005-0000-0000-000008250000}"/>
    <cellStyle name="Millares 2 7 2 2 3 2 3 3" xfId="38516" xr:uid="{00000000-0005-0000-0000-000009250000}"/>
    <cellStyle name="Millares 2 7 2 2 3 2 4" xfId="18164" xr:uid="{00000000-0005-0000-0000-00000A250000}"/>
    <cellStyle name="Millares 2 7 2 2 3 2 4 2" xfId="45297" xr:uid="{00000000-0005-0000-0000-00000B250000}"/>
    <cellStyle name="Millares 2 7 2 2 3 2 5" xfId="31735" xr:uid="{00000000-0005-0000-0000-00000C250000}"/>
    <cellStyle name="Millares 2 7 2 2 3 3" xfId="4368" xr:uid="{00000000-0005-0000-0000-00000D250000}"/>
    <cellStyle name="Millares 2 7 2 2 3 3 2" xfId="7978" xr:uid="{00000000-0005-0000-0000-00000E250000}"/>
    <cellStyle name="Millares 2 7 2 2 3 3 2 2" xfId="14767" xr:uid="{00000000-0005-0000-0000-00000F250000}"/>
    <cellStyle name="Millares 2 7 2 2 3 3 2 2 2" xfId="28335" xr:uid="{00000000-0005-0000-0000-000010250000}"/>
    <cellStyle name="Millares 2 7 2 2 3 3 2 2 2 2" xfId="55468" xr:uid="{00000000-0005-0000-0000-000011250000}"/>
    <cellStyle name="Millares 2 7 2 2 3 3 2 2 3" xfId="41906" xr:uid="{00000000-0005-0000-0000-000012250000}"/>
    <cellStyle name="Millares 2 7 2 2 3 3 2 3" xfId="21554" xr:uid="{00000000-0005-0000-0000-000013250000}"/>
    <cellStyle name="Millares 2 7 2 2 3 3 2 3 2" xfId="48687" xr:uid="{00000000-0005-0000-0000-000014250000}"/>
    <cellStyle name="Millares 2 7 2 2 3 3 2 4" xfId="35125" xr:uid="{00000000-0005-0000-0000-000015250000}"/>
    <cellStyle name="Millares 2 7 2 2 3 3 3" xfId="11378" xr:uid="{00000000-0005-0000-0000-000016250000}"/>
    <cellStyle name="Millares 2 7 2 2 3 3 3 2" xfId="24946" xr:uid="{00000000-0005-0000-0000-000017250000}"/>
    <cellStyle name="Millares 2 7 2 2 3 3 3 2 2" xfId="52079" xr:uid="{00000000-0005-0000-0000-000018250000}"/>
    <cellStyle name="Millares 2 7 2 2 3 3 3 3" xfId="38517" xr:uid="{00000000-0005-0000-0000-000019250000}"/>
    <cellStyle name="Millares 2 7 2 2 3 3 4" xfId="18165" xr:uid="{00000000-0005-0000-0000-00001A250000}"/>
    <cellStyle name="Millares 2 7 2 2 3 3 4 2" xfId="45298" xr:uid="{00000000-0005-0000-0000-00001B250000}"/>
    <cellStyle name="Millares 2 7 2 2 3 3 5" xfId="31736" xr:uid="{00000000-0005-0000-0000-00001C250000}"/>
    <cellStyle name="Millares 2 7 2 2 3 4" xfId="7976" xr:uid="{00000000-0005-0000-0000-00001D250000}"/>
    <cellStyle name="Millares 2 7 2 2 3 4 2" xfId="14765" xr:uid="{00000000-0005-0000-0000-00001E250000}"/>
    <cellStyle name="Millares 2 7 2 2 3 4 2 2" xfId="28333" xr:uid="{00000000-0005-0000-0000-00001F250000}"/>
    <cellStyle name="Millares 2 7 2 2 3 4 2 2 2" xfId="55466" xr:uid="{00000000-0005-0000-0000-000020250000}"/>
    <cellStyle name="Millares 2 7 2 2 3 4 2 3" xfId="41904" xr:uid="{00000000-0005-0000-0000-000021250000}"/>
    <cellStyle name="Millares 2 7 2 2 3 4 3" xfId="21552" xr:uid="{00000000-0005-0000-0000-000022250000}"/>
    <cellStyle name="Millares 2 7 2 2 3 4 3 2" xfId="48685" xr:uid="{00000000-0005-0000-0000-000023250000}"/>
    <cellStyle name="Millares 2 7 2 2 3 4 4" xfId="35123" xr:uid="{00000000-0005-0000-0000-000024250000}"/>
    <cellStyle name="Millares 2 7 2 2 3 5" xfId="11376" xr:uid="{00000000-0005-0000-0000-000025250000}"/>
    <cellStyle name="Millares 2 7 2 2 3 5 2" xfId="24944" xr:uid="{00000000-0005-0000-0000-000026250000}"/>
    <cellStyle name="Millares 2 7 2 2 3 5 2 2" xfId="52077" xr:uid="{00000000-0005-0000-0000-000027250000}"/>
    <cellStyle name="Millares 2 7 2 2 3 5 3" xfId="38515" xr:uid="{00000000-0005-0000-0000-000028250000}"/>
    <cellStyle name="Millares 2 7 2 2 3 6" xfId="18163" xr:uid="{00000000-0005-0000-0000-000029250000}"/>
    <cellStyle name="Millares 2 7 2 2 3 6 2" xfId="45296" xr:uid="{00000000-0005-0000-0000-00002A250000}"/>
    <cellStyle name="Millares 2 7 2 2 3 7" xfId="31734" xr:uid="{00000000-0005-0000-0000-00002B250000}"/>
    <cellStyle name="Millares 2 7 2 2 4" xfId="4369" xr:uid="{00000000-0005-0000-0000-00002C250000}"/>
    <cellStyle name="Millares 2 7 2 2 4 2" xfId="4370" xr:uid="{00000000-0005-0000-0000-00002D250000}"/>
    <cellStyle name="Millares 2 7 2 2 4 2 2" xfId="7980" xr:uid="{00000000-0005-0000-0000-00002E250000}"/>
    <cellStyle name="Millares 2 7 2 2 4 2 2 2" xfId="14769" xr:uid="{00000000-0005-0000-0000-00002F250000}"/>
    <cellStyle name="Millares 2 7 2 2 4 2 2 2 2" xfId="28337" xr:uid="{00000000-0005-0000-0000-000030250000}"/>
    <cellStyle name="Millares 2 7 2 2 4 2 2 2 2 2" xfId="55470" xr:uid="{00000000-0005-0000-0000-000031250000}"/>
    <cellStyle name="Millares 2 7 2 2 4 2 2 2 3" xfId="41908" xr:uid="{00000000-0005-0000-0000-000032250000}"/>
    <cellStyle name="Millares 2 7 2 2 4 2 2 3" xfId="21556" xr:uid="{00000000-0005-0000-0000-000033250000}"/>
    <cellStyle name="Millares 2 7 2 2 4 2 2 3 2" xfId="48689" xr:uid="{00000000-0005-0000-0000-000034250000}"/>
    <cellStyle name="Millares 2 7 2 2 4 2 2 4" xfId="35127" xr:uid="{00000000-0005-0000-0000-000035250000}"/>
    <cellStyle name="Millares 2 7 2 2 4 2 3" xfId="11380" xr:uid="{00000000-0005-0000-0000-000036250000}"/>
    <cellStyle name="Millares 2 7 2 2 4 2 3 2" xfId="24948" xr:uid="{00000000-0005-0000-0000-000037250000}"/>
    <cellStyle name="Millares 2 7 2 2 4 2 3 2 2" xfId="52081" xr:uid="{00000000-0005-0000-0000-000038250000}"/>
    <cellStyle name="Millares 2 7 2 2 4 2 3 3" xfId="38519" xr:uid="{00000000-0005-0000-0000-000039250000}"/>
    <cellStyle name="Millares 2 7 2 2 4 2 4" xfId="18167" xr:uid="{00000000-0005-0000-0000-00003A250000}"/>
    <cellStyle name="Millares 2 7 2 2 4 2 4 2" xfId="45300" xr:uid="{00000000-0005-0000-0000-00003B250000}"/>
    <cellStyle name="Millares 2 7 2 2 4 2 5" xfId="31738" xr:uid="{00000000-0005-0000-0000-00003C250000}"/>
    <cellStyle name="Millares 2 7 2 2 4 3" xfId="7979" xr:uid="{00000000-0005-0000-0000-00003D250000}"/>
    <cellStyle name="Millares 2 7 2 2 4 3 2" xfId="14768" xr:uid="{00000000-0005-0000-0000-00003E250000}"/>
    <cellStyle name="Millares 2 7 2 2 4 3 2 2" xfId="28336" xr:uid="{00000000-0005-0000-0000-00003F250000}"/>
    <cellStyle name="Millares 2 7 2 2 4 3 2 2 2" xfId="55469" xr:uid="{00000000-0005-0000-0000-000040250000}"/>
    <cellStyle name="Millares 2 7 2 2 4 3 2 3" xfId="41907" xr:uid="{00000000-0005-0000-0000-000041250000}"/>
    <cellStyle name="Millares 2 7 2 2 4 3 3" xfId="21555" xr:uid="{00000000-0005-0000-0000-000042250000}"/>
    <cellStyle name="Millares 2 7 2 2 4 3 3 2" xfId="48688" xr:uid="{00000000-0005-0000-0000-000043250000}"/>
    <cellStyle name="Millares 2 7 2 2 4 3 4" xfId="35126" xr:uid="{00000000-0005-0000-0000-000044250000}"/>
    <cellStyle name="Millares 2 7 2 2 4 4" xfId="11379" xr:uid="{00000000-0005-0000-0000-000045250000}"/>
    <cellStyle name="Millares 2 7 2 2 4 4 2" xfId="24947" xr:uid="{00000000-0005-0000-0000-000046250000}"/>
    <cellStyle name="Millares 2 7 2 2 4 4 2 2" xfId="52080" xr:uid="{00000000-0005-0000-0000-000047250000}"/>
    <cellStyle name="Millares 2 7 2 2 4 4 3" xfId="38518" xr:uid="{00000000-0005-0000-0000-000048250000}"/>
    <cellStyle name="Millares 2 7 2 2 4 5" xfId="18166" xr:uid="{00000000-0005-0000-0000-000049250000}"/>
    <cellStyle name="Millares 2 7 2 2 4 5 2" xfId="45299" xr:uid="{00000000-0005-0000-0000-00004A250000}"/>
    <cellStyle name="Millares 2 7 2 2 4 6" xfId="31737" xr:uid="{00000000-0005-0000-0000-00004B250000}"/>
    <cellStyle name="Millares 2 7 2 2 5" xfId="4371" xr:uid="{00000000-0005-0000-0000-00004C250000}"/>
    <cellStyle name="Millares 2 7 2 2 5 2" xfId="7981" xr:uid="{00000000-0005-0000-0000-00004D250000}"/>
    <cellStyle name="Millares 2 7 2 2 5 2 2" xfId="14770" xr:uid="{00000000-0005-0000-0000-00004E250000}"/>
    <cellStyle name="Millares 2 7 2 2 5 2 2 2" xfId="28338" xr:uid="{00000000-0005-0000-0000-00004F250000}"/>
    <cellStyle name="Millares 2 7 2 2 5 2 2 2 2" xfId="55471" xr:uid="{00000000-0005-0000-0000-000050250000}"/>
    <cellStyle name="Millares 2 7 2 2 5 2 2 3" xfId="41909" xr:uid="{00000000-0005-0000-0000-000051250000}"/>
    <cellStyle name="Millares 2 7 2 2 5 2 3" xfId="21557" xr:uid="{00000000-0005-0000-0000-000052250000}"/>
    <cellStyle name="Millares 2 7 2 2 5 2 3 2" xfId="48690" xr:uid="{00000000-0005-0000-0000-000053250000}"/>
    <cellStyle name="Millares 2 7 2 2 5 2 4" xfId="35128" xr:uid="{00000000-0005-0000-0000-000054250000}"/>
    <cellStyle name="Millares 2 7 2 2 5 3" xfId="11381" xr:uid="{00000000-0005-0000-0000-000055250000}"/>
    <cellStyle name="Millares 2 7 2 2 5 3 2" xfId="24949" xr:uid="{00000000-0005-0000-0000-000056250000}"/>
    <cellStyle name="Millares 2 7 2 2 5 3 2 2" xfId="52082" xr:uid="{00000000-0005-0000-0000-000057250000}"/>
    <cellStyle name="Millares 2 7 2 2 5 3 3" xfId="38520" xr:uid="{00000000-0005-0000-0000-000058250000}"/>
    <cellStyle name="Millares 2 7 2 2 5 4" xfId="18168" xr:uid="{00000000-0005-0000-0000-000059250000}"/>
    <cellStyle name="Millares 2 7 2 2 5 4 2" xfId="45301" xr:uid="{00000000-0005-0000-0000-00005A250000}"/>
    <cellStyle name="Millares 2 7 2 2 5 5" xfId="31739" xr:uid="{00000000-0005-0000-0000-00005B250000}"/>
    <cellStyle name="Millares 2 7 2 2 6" xfId="4372" xr:uid="{00000000-0005-0000-0000-00005C250000}"/>
    <cellStyle name="Millares 2 7 2 2 6 2" xfId="7982" xr:uid="{00000000-0005-0000-0000-00005D250000}"/>
    <cellStyle name="Millares 2 7 2 2 6 2 2" xfId="14771" xr:uid="{00000000-0005-0000-0000-00005E250000}"/>
    <cellStyle name="Millares 2 7 2 2 6 2 2 2" xfId="28339" xr:uid="{00000000-0005-0000-0000-00005F250000}"/>
    <cellStyle name="Millares 2 7 2 2 6 2 2 2 2" xfId="55472" xr:uid="{00000000-0005-0000-0000-000060250000}"/>
    <cellStyle name="Millares 2 7 2 2 6 2 2 3" xfId="41910" xr:uid="{00000000-0005-0000-0000-000061250000}"/>
    <cellStyle name="Millares 2 7 2 2 6 2 3" xfId="21558" xr:uid="{00000000-0005-0000-0000-000062250000}"/>
    <cellStyle name="Millares 2 7 2 2 6 2 3 2" xfId="48691" xr:uid="{00000000-0005-0000-0000-000063250000}"/>
    <cellStyle name="Millares 2 7 2 2 6 2 4" xfId="35129" xr:uid="{00000000-0005-0000-0000-000064250000}"/>
    <cellStyle name="Millares 2 7 2 2 6 3" xfId="11382" xr:uid="{00000000-0005-0000-0000-000065250000}"/>
    <cellStyle name="Millares 2 7 2 2 6 3 2" xfId="24950" xr:uid="{00000000-0005-0000-0000-000066250000}"/>
    <cellStyle name="Millares 2 7 2 2 6 3 2 2" xfId="52083" xr:uid="{00000000-0005-0000-0000-000067250000}"/>
    <cellStyle name="Millares 2 7 2 2 6 3 3" xfId="38521" xr:uid="{00000000-0005-0000-0000-000068250000}"/>
    <cellStyle name="Millares 2 7 2 2 6 4" xfId="18169" xr:uid="{00000000-0005-0000-0000-000069250000}"/>
    <cellStyle name="Millares 2 7 2 2 6 4 2" xfId="45302" xr:uid="{00000000-0005-0000-0000-00006A250000}"/>
    <cellStyle name="Millares 2 7 2 2 6 5" xfId="31740" xr:uid="{00000000-0005-0000-0000-00006B250000}"/>
    <cellStyle name="Millares 2 7 2 2 7" xfId="7967" xr:uid="{00000000-0005-0000-0000-00006C250000}"/>
    <cellStyle name="Millares 2 7 2 2 7 2" xfId="14756" xr:uid="{00000000-0005-0000-0000-00006D250000}"/>
    <cellStyle name="Millares 2 7 2 2 7 2 2" xfId="28324" xr:uid="{00000000-0005-0000-0000-00006E250000}"/>
    <cellStyle name="Millares 2 7 2 2 7 2 2 2" xfId="55457" xr:uid="{00000000-0005-0000-0000-00006F250000}"/>
    <cellStyle name="Millares 2 7 2 2 7 2 3" xfId="41895" xr:uid="{00000000-0005-0000-0000-000070250000}"/>
    <cellStyle name="Millares 2 7 2 2 7 3" xfId="21543" xr:uid="{00000000-0005-0000-0000-000071250000}"/>
    <cellStyle name="Millares 2 7 2 2 7 3 2" xfId="48676" xr:uid="{00000000-0005-0000-0000-000072250000}"/>
    <cellStyle name="Millares 2 7 2 2 7 4" xfId="35114" xr:uid="{00000000-0005-0000-0000-000073250000}"/>
    <cellStyle name="Millares 2 7 2 2 8" xfId="11367" xr:uid="{00000000-0005-0000-0000-000074250000}"/>
    <cellStyle name="Millares 2 7 2 2 8 2" xfId="24935" xr:uid="{00000000-0005-0000-0000-000075250000}"/>
    <cellStyle name="Millares 2 7 2 2 8 2 2" xfId="52068" xr:uid="{00000000-0005-0000-0000-000076250000}"/>
    <cellStyle name="Millares 2 7 2 2 8 3" xfId="38506" xr:uid="{00000000-0005-0000-0000-000077250000}"/>
    <cellStyle name="Millares 2 7 2 2 9" xfId="18154" xr:uid="{00000000-0005-0000-0000-000078250000}"/>
    <cellStyle name="Millares 2 7 2 2 9 2" xfId="45287" xr:uid="{00000000-0005-0000-0000-000079250000}"/>
    <cellStyle name="Millares 2 7 2 3" xfId="4373" xr:uid="{00000000-0005-0000-0000-00007A250000}"/>
    <cellStyle name="Millares 2 7 2 3 2" xfId="4374" xr:uid="{00000000-0005-0000-0000-00007B250000}"/>
    <cellStyle name="Millares 2 7 2 3 2 2" xfId="4375" xr:uid="{00000000-0005-0000-0000-00007C250000}"/>
    <cellStyle name="Millares 2 7 2 3 2 2 2" xfId="7985" xr:uid="{00000000-0005-0000-0000-00007D250000}"/>
    <cellStyle name="Millares 2 7 2 3 2 2 2 2" xfId="14774" xr:uid="{00000000-0005-0000-0000-00007E250000}"/>
    <cellStyle name="Millares 2 7 2 3 2 2 2 2 2" xfId="28342" xr:uid="{00000000-0005-0000-0000-00007F250000}"/>
    <cellStyle name="Millares 2 7 2 3 2 2 2 2 2 2" xfId="55475" xr:uid="{00000000-0005-0000-0000-000080250000}"/>
    <cellStyle name="Millares 2 7 2 3 2 2 2 2 3" xfId="41913" xr:uid="{00000000-0005-0000-0000-000081250000}"/>
    <cellStyle name="Millares 2 7 2 3 2 2 2 3" xfId="21561" xr:uid="{00000000-0005-0000-0000-000082250000}"/>
    <cellStyle name="Millares 2 7 2 3 2 2 2 3 2" xfId="48694" xr:uid="{00000000-0005-0000-0000-000083250000}"/>
    <cellStyle name="Millares 2 7 2 3 2 2 2 4" xfId="35132" xr:uid="{00000000-0005-0000-0000-000084250000}"/>
    <cellStyle name="Millares 2 7 2 3 2 2 3" xfId="11385" xr:uid="{00000000-0005-0000-0000-000085250000}"/>
    <cellStyle name="Millares 2 7 2 3 2 2 3 2" xfId="24953" xr:uid="{00000000-0005-0000-0000-000086250000}"/>
    <cellStyle name="Millares 2 7 2 3 2 2 3 2 2" xfId="52086" xr:uid="{00000000-0005-0000-0000-000087250000}"/>
    <cellStyle name="Millares 2 7 2 3 2 2 3 3" xfId="38524" xr:uid="{00000000-0005-0000-0000-000088250000}"/>
    <cellStyle name="Millares 2 7 2 3 2 2 4" xfId="18172" xr:uid="{00000000-0005-0000-0000-000089250000}"/>
    <cellStyle name="Millares 2 7 2 3 2 2 4 2" xfId="45305" xr:uid="{00000000-0005-0000-0000-00008A250000}"/>
    <cellStyle name="Millares 2 7 2 3 2 2 5" xfId="31743" xr:uid="{00000000-0005-0000-0000-00008B250000}"/>
    <cellStyle name="Millares 2 7 2 3 2 3" xfId="4376" xr:uid="{00000000-0005-0000-0000-00008C250000}"/>
    <cellStyle name="Millares 2 7 2 3 2 3 2" xfId="7986" xr:uid="{00000000-0005-0000-0000-00008D250000}"/>
    <cellStyle name="Millares 2 7 2 3 2 3 2 2" xfId="14775" xr:uid="{00000000-0005-0000-0000-00008E250000}"/>
    <cellStyle name="Millares 2 7 2 3 2 3 2 2 2" xfId="28343" xr:uid="{00000000-0005-0000-0000-00008F250000}"/>
    <cellStyle name="Millares 2 7 2 3 2 3 2 2 2 2" xfId="55476" xr:uid="{00000000-0005-0000-0000-000090250000}"/>
    <cellStyle name="Millares 2 7 2 3 2 3 2 2 3" xfId="41914" xr:uid="{00000000-0005-0000-0000-000091250000}"/>
    <cellStyle name="Millares 2 7 2 3 2 3 2 3" xfId="21562" xr:uid="{00000000-0005-0000-0000-000092250000}"/>
    <cellStyle name="Millares 2 7 2 3 2 3 2 3 2" xfId="48695" xr:uid="{00000000-0005-0000-0000-000093250000}"/>
    <cellStyle name="Millares 2 7 2 3 2 3 2 4" xfId="35133" xr:uid="{00000000-0005-0000-0000-000094250000}"/>
    <cellStyle name="Millares 2 7 2 3 2 3 3" xfId="11386" xr:uid="{00000000-0005-0000-0000-000095250000}"/>
    <cellStyle name="Millares 2 7 2 3 2 3 3 2" xfId="24954" xr:uid="{00000000-0005-0000-0000-000096250000}"/>
    <cellStyle name="Millares 2 7 2 3 2 3 3 2 2" xfId="52087" xr:uid="{00000000-0005-0000-0000-000097250000}"/>
    <cellStyle name="Millares 2 7 2 3 2 3 3 3" xfId="38525" xr:uid="{00000000-0005-0000-0000-000098250000}"/>
    <cellStyle name="Millares 2 7 2 3 2 3 4" xfId="18173" xr:uid="{00000000-0005-0000-0000-000099250000}"/>
    <cellStyle name="Millares 2 7 2 3 2 3 4 2" xfId="45306" xr:uid="{00000000-0005-0000-0000-00009A250000}"/>
    <cellStyle name="Millares 2 7 2 3 2 3 5" xfId="31744" xr:uid="{00000000-0005-0000-0000-00009B250000}"/>
    <cellStyle name="Millares 2 7 2 3 2 4" xfId="7984" xr:uid="{00000000-0005-0000-0000-00009C250000}"/>
    <cellStyle name="Millares 2 7 2 3 2 4 2" xfId="14773" xr:uid="{00000000-0005-0000-0000-00009D250000}"/>
    <cellStyle name="Millares 2 7 2 3 2 4 2 2" xfId="28341" xr:uid="{00000000-0005-0000-0000-00009E250000}"/>
    <cellStyle name="Millares 2 7 2 3 2 4 2 2 2" xfId="55474" xr:uid="{00000000-0005-0000-0000-00009F250000}"/>
    <cellStyle name="Millares 2 7 2 3 2 4 2 3" xfId="41912" xr:uid="{00000000-0005-0000-0000-0000A0250000}"/>
    <cellStyle name="Millares 2 7 2 3 2 4 3" xfId="21560" xr:uid="{00000000-0005-0000-0000-0000A1250000}"/>
    <cellStyle name="Millares 2 7 2 3 2 4 3 2" xfId="48693" xr:uid="{00000000-0005-0000-0000-0000A2250000}"/>
    <cellStyle name="Millares 2 7 2 3 2 4 4" xfId="35131" xr:uid="{00000000-0005-0000-0000-0000A3250000}"/>
    <cellStyle name="Millares 2 7 2 3 2 5" xfId="11384" xr:uid="{00000000-0005-0000-0000-0000A4250000}"/>
    <cellStyle name="Millares 2 7 2 3 2 5 2" xfId="24952" xr:uid="{00000000-0005-0000-0000-0000A5250000}"/>
    <cellStyle name="Millares 2 7 2 3 2 5 2 2" xfId="52085" xr:uid="{00000000-0005-0000-0000-0000A6250000}"/>
    <cellStyle name="Millares 2 7 2 3 2 5 3" xfId="38523" xr:uid="{00000000-0005-0000-0000-0000A7250000}"/>
    <cellStyle name="Millares 2 7 2 3 2 6" xfId="18171" xr:uid="{00000000-0005-0000-0000-0000A8250000}"/>
    <cellStyle name="Millares 2 7 2 3 2 6 2" xfId="45304" xr:uid="{00000000-0005-0000-0000-0000A9250000}"/>
    <cellStyle name="Millares 2 7 2 3 2 7" xfId="31742" xr:uid="{00000000-0005-0000-0000-0000AA250000}"/>
    <cellStyle name="Millares 2 7 2 3 3" xfId="4377" xr:uid="{00000000-0005-0000-0000-0000AB250000}"/>
    <cellStyle name="Millares 2 7 2 3 3 2" xfId="4378" xr:uid="{00000000-0005-0000-0000-0000AC250000}"/>
    <cellStyle name="Millares 2 7 2 3 3 2 2" xfId="7988" xr:uid="{00000000-0005-0000-0000-0000AD250000}"/>
    <cellStyle name="Millares 2 7 2 3 3 2 2 2" xfId="14777" xr:uid="{00000000-0005-0000-0000-0000AE250000}"/>
    <cellStyle name="Millares 2 7 2 3 3 2 2 2 2" xfId="28345" xr:uid="{00000000-0005-0000-0000-0000AF250000}"/>
    <cellStyle name="Millares 2 7 2 3 3 2 2 2 2 2" xfId="55478" xr:uid="{00000000-0005-0000-0000-0000B0250000}"/>
    <cellStyle name="Millares 2 7 2 3 3 2 2 2 3" xfId="41916" xr:uid="{00000000-0005-0000-0000-0000B1250000}"/>
    <cellStyle name="Millares 2 7 2 3 3 2 2 3" xfId="21564" xr:uid="{00000000-0005-0000-0000-0000B2250000}"/>
    <cellStyle name="Millares 2 7 2 3 3 2 2 3 2" xfId="48697" xr:uid="{00000000-0005-0000-0000-0000B3250000}"/>
    <cellStyle name="Millares 2 7 2 3 3 2 2 4" xfId="35135" xr:uid="{00000000-0005-0000-0000-0000B4250000}"/>
    <cellStyle name="Millares 2 7 2 3 3 2 3" xfId="11388" xr:uid="{00000000-0005-0000-0000-0000B5250000}"/>
    <cellStyle name="Millares 2 7 2 3 3 2 3 2" xfId="24956" xr:uid="{00000000-0005-0000-0000-0000B6250000}"/>
    <cellStyle name="Millares 2 7 2 3 3 2 3 2 2" xfId="52089" xr:uid="{00000000-0005-0000-0000-0000B7250000}"/>
    <cellStyle name="Millares 2 7 2 3 3 2 3 3" xfId="38527" xr:uid="{00000000-0005-0000-0000-0000B8250000}"/>
    <cellStyle name="Millares 2 7 2 3 3 2 4" xfId="18175" xr:uid="{00000000-0005-0000-0000-0000B9250000}"/>
    <cellStyle name="Millares 2 7 2 3 3 2 4 2" xfId="45308" xr:uid="{00000000-0005-0000-0000-0000BA250000}"/>
    <cellStyle name="Millares 2 7 2 3 3 2 5" xfId="31746" xr:uid="{00000000-0005-0000-0000-0000BB250000}"/>
    <cellStyle name="Millares 2 7 2 3 3 3" xfId="7987" xr:uid="{00000000-0005-0000-0000-0000BC250000}"/>
    <cellStyle name="Millares 2 7 2 3 3 3 2" xfId="14776" xr:uid="{00000000-0005-0000-0000-0000BD250000}"/>
    <cellStyle name="Millares 2 7 2 3 3 3 2 2" xfId="28344" xr:uid="{00000000-0005-0000-0000-0000BE250000}"/>
    <cellStyle name="Millares 2 7 2 3 3 3 2 2 2" xfId="55477" xr:uid="{00000000-0005-0000-0000-0000BF250000}"/>
    <cellStyle name="Millares 2 7 2 3 3 3 2 3" xfId="41915" xr:uid="{00000000-0005-0000-0000-0000C0250000}"/>
    <cellStyle name="Millares 2 7 2 3 3 3 3" xfId="21563" xr:uid="{00000000-0005-0000-0000-0000C1250000}"/>
    <cellStyle name="Millares 2 7 2 3 3 3 3 2" xfId="48696" xr:uid="{00000000-0005-0000-0000-0000C2250000}"/>
    <cellStyle name="Millares 2 7 2 3 3 3 4" xfId="35134" xr:uid="{00000000-0005-0000-0000-0000C3250000}"/>
    <cellStyle name="Millares 2 7 2 3 3 4" xfId="11387" xr:uid="{00000000-0005-0000-0000-0000C4250000}"/>
    <cellStyle name="Millares 2 7 2 3 3 4 2" xfId="24955" xr:uid="{00000000-0005-0000-0000-0000C5250000}"/>
    <cellStyle name="Millares 2 7 2 3 3 4 2 2" xfId="52088" xr:uid="{00000000-0005-0000-0000-0000C6250000}"/>
    <cellStyle name="Millares 2 7 2 3 3 4 3" xfId="38526" xr:uid="{00000000-0005-0000-0000-0000C7250000}"/>
    <cellStyle name="Millares 2 7 2 3 3 5" xfId="18174" xr:uid="{00000000-0005-0000-0000-0000C8250000}"/>
    <cellStyle name="Millares 2 7 2 3 3 5 2" xfId="45307" xr:uid="{00000000-0005-0000-0000-0000C9250000}"/>
    <cellStyle name="Millares 2 7 2 3 3 6" xfId="31745" xr:uid="{00000000-0005-0000-0000-0000CA250000}"/>
    <cellStyle name="Millares 2 7 2 3 4" xfId="4379" xr:uid="{00000000-0005-0000-0000-0000CB250000}"/>
    <cellStyle name="Millares 2 7 2 3 4 2" xfId="7989" xr:uid="{00000000-0005-0000-0000-0000CC250000}"/>
    <cellStyle name="Millares 2 7 2 3 4 2 2" xfId="14778" xr:uid="{00000000-0005-0000-0000-0000CD250000}"/>
    <cellStyle name="Millares 2 7 2 3 4 2 2 2" xfId="28346" xr:uid="{00000000-0005-0000-0000-0000CE250000}"/>
    <cellStyle name="Millares 2 7 2 3 4 2 2 2 2" xfId="55479" xr:uid="{00000000-0005-0000-0000-0000CF250000}"/>
    <cellStyle name="Millares 2 7 2 3 4 2 2 3" xfId="41917" xr:uid="{00000000-0005-0000-0000-0000D0250000}"/>
    <cellStyle name="Millares 2 7 2 3 4 2 3" xfId="21565" xr:uid="{00000000-0005-0000-0000-0000D1250000}"/>
    <cellStyle name="Millares 2 7 2 3 4 2 3 2" xfId="48698" xr:uid="{00000000-0005-0000-0000-0000D2250000}"/>
    <cellStyle name="Millares 2 7 2 3 4 2 4" xfId="35136" xr:uid="{00000000-0005-0000-0000-0000D3250000}"/>
    <cellStyle name="Millares 2 7 2 3 4 3" xfId="11389" xr:uid="{00000000-0005-0000-0000-0000D4250000}"/>
    <cellStyle name="Millares 2 7 2 3 4 3 2" xfId="24957" xr:uid="{00000000-0005-0000-0000-0000D5250000}"/>
    <cellStyle name="Millares 2 7 2 3 4 3 2 2" xfId="52090" xr:uid="{00000000-0005-0000-0000-0000D6250000}"/>
    <cellStyle name="Millares 2 7 2 3 4 3 3" xfId="38528" xr:uid="{00000000-0005-0000-0000-0000D7250000}"/>
    <cellStyle name="Millares 2 7 2 3 4 4" xfId="18176" xr:uid="{00000000-0005-0000-0000-0000D8250000}"/>
    <cellStyle name="Millares 2 7 2 3 4 4 2" xfId="45309" xr:uid="{00000000-0005-0000-0000-0000D9250000}"/>
    <cellStyle name="Millares 2 7 2 3 4 5" xfId="31747" xr:uid="{00000000-0005-0000-0000-0000DA250000}"/>
    <cellStyle name="Millares 2 7 2 3 5" xfId="4380" xr:uid="{00000000-0005-0000-0000-0000DB250000}"/>
    <cellStyle name="Millares 2 7 2 3 5 2" xfId="7990" xr:uid="{00000000-0005-0000-0000-0000DC250000}"/>
    <cellStyle name="Millares 2 7 2 3 5 2 2" xfId="14779" xr:uid="{00000000-0005-0000-0000-0000DD250000}"/>
    <cellStyle name="Millares 2 7 2 3 5 2 2 2" xfId="28347" xr:uid="{00000000-0005-0000-0000-0000DE250000}"/>
    <cellStyle name="Millares 2 7 2 3 5 2 2 2 2" xfId="55480" xr:uid="{00000000-0005-0000-0000-0000DF250000}"/>
    <cellStyle name="Millares 2 7 2 3 5 2 2 3" xfId="41918" xr:uid="{00000000-0005-0000-0000-0000E0250000}"/>
    <cellStyle name="Millares 2 7 2 3 5 2 3" xfId="21566" xr:uid="{00000000-0005-0000-0000-0000E1250000}"/>
    <cellStyle name="Millares 2 7 2 3 5 2 3 2" xfId="48699" xr:uid="{00000000-0005-0000-0000-0000E2250000}"/>
    <cellStyle name="Millares 2 7 2 3 5 2 4" xfId="35137" xr:uid="{00000000-0005-0000-0000-0000E3250000}"/>
    <cellStyle name="Millares 2 7 2 3 5 3" xfId="11390" xr:uid="{00000000-0005-0000-0000-0000E4250000}"/>
    <cellStyle name="Millares 2 7 2 3 5 3 2" xfId="24958" xr:uid="{00000000-0005-0000-0000-0000E5250000}"/>
    <cellStyle name="Millares 2 7 2 3 5 3 2 2" xfId="52091" xr:uid="{00000000-0005-0000-0000-0000E6250000}"/>
    <cellStyle name="Millares 2 7 2 3 5 3 3" xfId="38529" xr:uid="{00000000-0005-0000-0000-0000E7250000}"/>
    <cellStyle name="Millares 2 7 2 3 5 4" xfId="18177" xr:uid="{00000000-0005-0000-0000-0000E8250000}"/>
    <cellStyle name="Millares 2 7 2 3 5 4 2" xfId="45310" xr:uid="{00000000-0005-0000-0000-0000E9250000}"/>
    <cellStyle name="Millares 2 7 2 3 5 5" xfId="31748" xr:uid="{00000000-0005-0000-0000-0000EA250000}"/>
    <cellStyle name="Millares 2 7 2 3 6" xfId="7983" xr:uid="{00000000-0005-0000-0000-0000EB250000}"/>
    <cellStyle name="Millares 2 7 2 3 6 2" xfId="14772" xr:uid="{00000000-0005-0000-0000-0000EC250000}"/>
    <cellStyle name="Millares 2 7 2 3 6 2 2" xfId="28340" xr:uid="{00000000-0005-0000-0000-0000ED250000}"/>
    <cellStyle name="Millares 2 7 2 3 6 2 2 2" xfId="55473" xr:uid="{00000000-0005-0000-0000-0000EE250000}"/>
    <cellStyle name="Millares 2 7 2 3 6 2 3" xfId="41911" xr:uid="{00000000-0005-0000-0000-0000EF250000}"/>
    <cellStyle name="Millares 2 7 2 3 6 3" xfId="21559" xr:uid="{00000000-0005-0000-0000-0000F0250000}"/>
    <cellStyle name="Millares 2 7 2 3 6 3 2" xfId="48692" xr:uid="{00000000-0005-0000-0000-0000F1250000}"/>
    <cellStyle name="Millares 2 7 2 3 6 4" xfId="35130" xr:uid="{00000000-0005-0000-0000-0000F2250000}"/>
    <cellStyle name="Millares 2 7 2 3 7" xfId="11383" xr:uid="{00000000-0005-0000-0000-0000F3250000}"/>
    <cellStyle name="Millares 2 7 2 3 7 2" xfId="24951" xr:uid="{00000000-0005-0000-0000-0000F4250000}"/>
    <cellStyle name="Millares 2 7 2 3 7 2 2" xfId="52084" xr:uid="{00000000-0005-0000-0000-0000F5250000}"/>
    <cellStyle name="Millares 2 7 2 3 7 3" xfId="38522" xr:uid="{00000000-0005-0000-0000-0000F6250000}"/>
    <cellStyle name="Millares 2 7 2 3 8" xfId="18170" xr:uid="{00000000-0005-0000-0000-0000F7250000}"/>
    <cellStyle name="Millares 2 7 2 3 8 2" xfId="45303" xr:uid="{00000000-0005-0000-0000-0000F8250000}"/>
    <cellStyle name="Millares 2 7 2 3 9" xfId="31741" xr:uid="{00000000-0005-0000-0000-0000F9250000}"/>
    <cellStyle name="Millares 2 7 2 4" xfId="4381" xr:uid="{00000000-0005-0000-0000-0000FA250000}"/>
    <cellStyle name="Millares 2 7 2 4 2" xfId="4382" xr:uid="{00000000-0005-0000-0000-0000FB250000}"/>
    <cellStyle name="Millares 2 7 2 4 2 2" xfId="4383" xr:uid="{00000000-0005-0000-0000-0000FC250000}"/>
    <cellStyle name="Millares 2 7 2 4 2 2 2" xfId="7993" xr:uid="{00000000-0005-0000-0000-0000FD250000}"/>
    <cellStyle name="Millares 2 7 2 4 2 2 2 2" xfId="14782" xr:uid="{00000000-0005-0000-0000-0000FE250000}"/>
    <cellStyle name="Millares 2 7 2 4 2 2 2 2 2" xfId="28350" xr:uid="{00000000-0005-0000-0000-0000FF250000}"/>
    <cellStyle name="Millares 2 7 2 4 2 2 2 2 2 2" xfId="55483" xr:uid="{00000000-0005-0000-0000-000000260000}"/>
    <cellStyle name="Millares 2 7 2 4 2 2 2 2 3" xfId="41921" xr:uid="{00000000-0005-0000-0000-000001260000}"/>
    <cellStyle name="Millares 2 7 2 4 2 2 2 3" xfId="21569" xr:uid="{00000000-0005-0000-0000-000002260000}"/>
    <cellStyle name="Millares 2 7 2 4 2 2 2 3 2" xfId="48702" xr:uid="{00000000-0005-0000-0000-000003260000}"/>
    <cellStyle name="Millares 2 7 2 4 2 2 2 4" xfId="35140" xr:uid="{00000000-0005-0000-0000-000004260000}"/>
    <cellStyle name="Millares 2 7 2 4 2 2 3" xfId="11393" xr:uid="{00000000-0005-0000-0000-000005260000}"/>
    <cellStyle name="Millares 2 7 2 4 2 2 3 2" xfId="24961" xr:uid="{00000000-0005-0000-0000-000006260000}"/>
    <cellStyle name="Millares 2 7 2 4 2 2 3 2 2" xfId="52094" xr:uid="{00000000-0005-0000-0000-000007260000}"/>
    <cellStyle name="Millares 2 7 2 4 2 2 3 3" xfId="38532" xr:uid="{00000000-0005-0000-0000-000008260000}"/>
    <cellStyle name="Millares 2 7 2 4 2 2 4" xfId="18180" xr:uid="{00000000-0005-0000-0000-000009260000}"/>
    <cellStyle name="Millares 2 7 2 4 2 2 4 2" xfId="45313" xr:uid="{00000000-0005-0000-0000-00000A260000}"/>
    <cellStyle name="Millares 2 7 2 4 2 2 5" xfId="31751" xr:uid="{00000000-0005-0000-0000-00000B260000}"/>
    <cellStyle name="Millares 2 7 2 4 2 3" xfId="4384" xr:uid="{00000000-0005-0000-0000-00000C260000}"/>
    <cellStyle name="Millares 2 7 2 4 2 3 2" xfId="7994" xr:uid="{00000000-0005-0000-0000-00000D260000}"/>
    <cellStyle name="Millares 2 7 2 4 2 3 2 2" xfId="14783" xr:uid="{00000000-0005-0000-0000-00000E260000}"/>
    <cellStyle name="Millares 2 7 2 4 2 3 2 2 2" xfId="28351" xr:uid="{00000000-0005-0000-0000-00000F260000}"/>
    <cellStyle name="Millares 2 7 2 4 2 3 2 2 2 2" xfId="55484" xr:uid="{00000000-0005-0000-0000-000010260000}"/>
    <cellStyle name="Millares 2 7 2 4 2 3 2 2 3" xfId="41922" xr:uid="{00000000-0005-0000-0000-000011260000}"/>
    <cellStyle name="Millares 2 7 2 4 2 3 2 3" xfId="21570" xr:uid="{00000000-0005-0000-0000-000012260000}"/>
    <cellStyle name="Millares 2 7 2 4 2 3 2 3 2" xfId="48703" xr:uid="{00000000-0005-0000-0000-000013260000}"/>
    <cellStyle name="Millares 2 7 2 4 2 3 2 4" xfId="35141" xr:uid="{00000000-0005-0000-0000-000014260000}"/>
    <cellStyle name="Millares 2 7 2 4 2 3 3" xfId="11394" xr:uid="{00000000-0005-0000-0000-000015260000}"/>
    <cellStyle name="Millares 2 7 2 4 2 3 3 2" xfId="24962" xr:uid="{00000000-0005-0000-0000-000016260000}"/>
    <cellStyle name="Millares 2 7 2 4 2 3 3 2 2" xfId="52095" xr:uid="{00000000-0005-0000-0000-000017260000}"/>
    <cellStyle name="Millares 2 7 2 4 2 3 3 3" xfId="38533" xr:uid="{00000000-0005-0000-0000-000018260000}"/>
    <cellStyle name="Millares 2 7 2 4 2 3 4" xfId="18181" xr:uid="{00000000-0005-0000-0000-000019260000}"/>
    <cellStyle name="Millares 2 7 2 4 2 3 4 2" xfId="45314" xr:uid="{00000000-0005-0000-0000-00001A260000}"/>
    <cellStyle name="Millares 2 7 2 4 2 3 5" xfId="31752" xr:uid="{00000000-0005-0000-0000-00001B260000}"/>
    <cellStyle name="Millares 2 7 2 4 2 4" xfId="7992" xr:uid="{00000000-0005-0000-0000-00001C260000}"/>
    <cellStyle name="Millares 2 7 2 4 2 4 2" xfId="14781" xr:uid="{00000000-0005-0000-0000-00001D260000}"/>
    <cellStyle name="Millares 2 7 2 4 2 4 2 2" xfId="28349" xr:uid="{00000000-0005-0000-0000-00001E260000}"/>
    <cellStyle name="Millares 2 7 2 4 2 4 2 2 2" xfId="55482" xr:uid="{00000000-0005-0000-0000-00001F260000}"/>
    <cellStyle name="Millares 2 7 2 4 2 4 2 3" xfId="41920" xr:uid="{00000000-0005-0000-0000-000020260000}"/>
    <cellStyle name="Millares 2 7 2 4 2 4 3" xfId="21568" xr:uid="{00000000-0005-0000-0000-000021260000}"/>
    <cellStyle name="Millares 2 7 2 4 2 4 3 2" xfId="48701" xr:uid="{00000000-0005-0000-0000-000022260000}"/>
    <cellStyle name="Millares 2 7 2 4 2 4 4" xfId="35139" xr:uid="{00000000-0005-0000-0000-000023260000}"/>
    <cellStyle name="Millares 2 7 2 4 2 5" xfId="11392" xr:uid="{00000000-0005-0000-0000-000024260000}"/>
    <cellStyle name="Millares 2 7 2 4 2 5 2" xfId="24960" xr:uid="{00000000-0005-0000-0000-000025260000}"/>
    <cellStyle name="Millares 2 7 2 4 2 5 2 2" xfId="52093" xr:uid="{00000000-0005-0000-0000-000026260000}"/>
    <cellStyle name="Millares 2 7 2 4 2 5 3" xfId="38531" xr:uid="{00000000-0005-0000-0000-000027260000}"/>
    <cellStyle name="Millares 2 7 2 4 2 6" xfId="18179" xr:uid="{00000000-0005-0000-0000-000028260000}"/>
    <cellStyle name="Millares 2 7 2 4 2 6 2" xfId="45312" xr:uid="{00000000-0005-0000-0000-000029260000}"/>
    <cellStyle name="Millares 2 7 2 4 2 7" xfId="31750" xr:uid="{00000000-0005-0000-0000-00002A260000}"/>
    <cellStyle name="Millares 2 7 2 4 3" xfId="4385" xr:uid="{00000000-0005-0000-0000-00002B260000}"/>
    <cellStyle name="Millares 2 7 2 4 3 2" xfId="7995" xr:uid="{00000000-0005-0000-0000-00002C260000}"/>
    <cellStyle name="Millares 2 7 2 4 3 2 2" xfId="14784" xr:uid="{00000000-0005-0000-0000-00002D260000}"/>
    <cellStyle name="Millares 2 7 2 4 3 2 2 2" xfId="28352" xr:uid="{00000000-0005-0000-0000-00002E260000}"/>
    <cellStyle name="Millares 2 7 2 4 3 2 2 2 2" xfId="55485" xr:uid="{00000000-0005-0000-0000-00002F260000}"/>
    <cellStyle name="Millares 2 7 2 4 3 2 2 3" xfId="41923" xr:uid="{00000000-0005-0000-0000-000030260000}"/>
    <cellStyle name="Millares 2 7 2 4 3 2 3" xfId="21571" xr:uid="{00000000-0005-0000-0000-000031260000}"/>
    <cellStyle name="Millares 2 7 2 4 3 2 3 2" xfId="48704" xr:uid="{00000000-0005-0000-0000-000032260000}"/>
    <cellStyle name="Millares 2 7 2 4 3 2 4" xfId="35142" xr:uid="{00000000-0005-0000-0000-000033260000}"/>
    <cellStyle name="Millares 2 7 2 4 3 3" xfId="11395" xr:uid="{00000000-0005-0000-0000-000034260000}"/>
    <cellStyle name="Millares 2 7 2 4 3 3 2" xfId="24963" xr:uid="{00000000-0005-0000-0000-000035260000}"/>
    <cellStyle name="Millares 2 7 2 4 3 3 2 2" xfId="52096" xr:uid="{00000000-0005-0000-0000-000036260000}"/>
    <cellStyle name="Millares 2 7 2 4 3 3 3" xfId="38534" xr:uid="{00000000-0005-0000-0000-000037260000}"/>
    <cellStyle name="Millares 2 7 2 4 3 4" xfId="18182" xr:uid="{00000000-0005-0000-0000-000038260000}"/>
    <cellStyle name="Millares 2 7 2 4 3 4 2" xfId="45315" xr:uid="{00000000-0005-0000-0000-000039260000}"/>
    <cellStyle name="Millares 2 7 2 4 3 5" xfId="31753" xr:uid="{00000000-0005-0000-0000-00003A260000}"/>
    <cellStyle name="Millares 2 7 2 4 4" xfId="4386" xr:uid="{00000000-0005-0000-0000-00003B260000}"/>
    <cellStyle name="Millares 2 7 2 4 4 2" xfId="7996" xr:uid="{00000000-0005-0000-0000-00003C260000}"/>
    <cellStyle name="Millares 2 7 2 4 4 2 2" xfId="14785" xr:uid="{00000000-0005-0000-0000-00003D260000}"/>
    <cellStyle name="Millares 2 7 2 4 4 2 2 2" xfId="28353" xr:uid="{00000000-0005-0000-0000-00003E260000}"/>
    <cellStyle name="Millares 2 7 2 4 4 2 2 2 2" xfId="55486" xr:uid="{00000000-0005-0000-0000-00003F260000}"/>
    <cellStyle name="Millares 2 7 2 4 4 2 2 3" xfId="41924" xr:uid="{00000000-0005-0000-0000-000040260000}"/>
    <cellStyle name="Millares 2 7 2 4 4 2 3" xfId="21572" xr:uid="{00000000-0005-0000-0000-000041260000}"/>
    <cellStyle name="Millares 2 7 2 4 4 2 3 2" xfId="48705" xr:uid="{00000000-0005-0000-0000-000042260000}"/>
    <cellStyle name="Millares 2 7 2 4 4 2 4" xfId="35143" xr:uid="{00000000-0005-0000-0000-000043260000}"/>
    <cellStyle name="Millares 2 7 2 4 4 3" xfId="11396" xr:uid="{00000000-0005-0000-0000-000044260000}"/>
    <cellStyle name="Millares 2 7 2 4 4 3 2" xfId="24964" xr:uid="{00000000-0005-0000-0000-000045260000}"/>
    <cellStyle name="Millares 2 7 2 4 4 3 2 2" xfId="52097" xr:uid="{00000000-0005-0000-0000-000046260000}"/>
    <cellStyle name="Millares 2 7 2 4 4 3 3" xfId="38535" xr:uid="{00000000-0005-0000-0000-000047260000}"/>
    <cellStyle name="Millares 2 7 2 4 4 4" xfId="18183" xr:uid="{00000000-0005-0000-0000-000048260000}"/>
    <cellStyle name="Millares 2 7 2 4 4 4 2" xfId="45316" xr:uid="{00000000-0005-0000-0000-000049260000}"/>
    <cellStyle name="Millares 2 7 2 4 4 5" xfId="31754" xr:uid="{00000000-0005-0000-0000-00004A260000}"/>
    <cellStyle name="Millares 2 7 2 4 5" xfId="7991" xr:uid="{00000000-0005-0000-0000-00004B260000}"/>
    <cellStyle name="Millares 2 7 2 4 5 2" xfId="14780" xr:uid="{00000000-0005-0000-0000-00004C260000}"/>
    <cellStyle name="Millares 2 7 2 4 5 2 2" xfId="28348" xr:uid="{00000000-0005-0000-0000-00004D260000}"/>
    <cellStyle name="Millares 2 7 2 4 5 2 2 2" xfId="55481" xr:uid="{00000000-0005-0000-0000-00004E260000}"/>
    <cellStyle name="Millares 2 7 2 4 5 2 3" xfId="41919" xr:uid="{00000000-0005-0000-0000-00004F260000}"/>
    <cellStyle name="Millares 2 7 2 4 5 3" xfId="21567" xr:uid="{00000000-0005-0000-0000-000050260000}"/>
    <cellStyle name="Millares 2 7 2 4 5 3 2" xfId="48700" xr:uid="{00000000-0005-0000-0000-000051260000}"/>
    <cellStyle name="Millares 2 7 2 4 5 4" xfId="35138" xr:uid="{00000000-0005-0000-0000-000052260000}"/>
    <cellStyle name="Millares 2 7 2 4 6" xfId="11391" xr:uid="{00000000-0005-0000-0000-000053260000}"/>
    <cellStyle name="Millares 2 7 2 4 6 2" xfId="24959" xr:uid="{00000000-0005-0000-0000-000054260000}"/>
    <cellStyle name="Millares 2 7 2 4 6 2 2" xfId="52092" xr:uid="{00000000-0005-0000-0000-000055260000}"/>
    <cellStyle name="Millares 2 7 2 4 6 3" xfId="38530" xr:uid="{00000000-0005-0000-0000-000056260000}"/>
    <cellStyle name="Millares 2 7 2 4 7" xfId="18178" xr:uid="{00000000-0005-0000-0000-000057260000}"/>
    <cellStyle name="Millares 2 7 2 4 7 2" xfId="45311" xr:uid="{00000000-0005-0000-0000-000058260000}"/>
    <cellStyle name="Millares 2 7 2 4 8" xfId="31749" xr:uid="{00000000-0005-0000-0000-000059260000}"/>
    <cellStyle name="Millares 2 7 2 5" xfId="4387" xr:uid="{00000000-0005-0000-0000-00005A260000}"/>
    <cellStyle name="Millares 2 7 2 5 2" xfId="4388" xr:uid="{00000000-0005-0000-0000-00005B260000}"/>
    <cellStyle name="Millares 2 7 2 5 2 2" xfId="7998" xr:uid="{00000000-0005-0000-0000-00005C260000}"/>
    <cellStyle name="Millares 2 7 2 5 2 2 2" xfId="14787" xr:uid="{00000000-0005-0000-0000-00005D260000}"/>
    <cellStyle name="Millares 2 7 2 5 2 2 2 2" xfId="28355" xr:uid="{00000000-0005-0000-0000-00005E260000}"/>
    <cellStyle name="Millares 2 7 2 5 2 2 2 2 2" xfId="55488" xr:uid="{00000000-0005-0000-0000-00005F260000}"/>
    <cellStyle name="Millares 2 7 2 5 2 2 2 3" xfId="41926" xr:uid="{00000000-0005-0000-0000-000060260000}"/>
    <cellStyle name="Millares 2 7 2 5 2 2 3" xfId="21574" xr:uid="{00000000-0005-0000-0000-000061260000}"/>
    <cellStyle name="Millares 2 7 2 5 2 2 3 2" xfId="48707" xr:uid="{00000000-0005-0000-0000-000062260000}"/>
    <cellStyle name="Millares 2 7 2 5 2 2 4" xfId="35145" xr:uid="{00000000-0005-0000-0000-000063260000}"/>
    <cellStyle name="Millares 2 7 2 5 2 3" xfId="11398" xr:uid="{00000000-0005-0000-0000-000064260000}"/>
    <cellStyle name="Millares 2 7 2 5 2 3 2" xfId="24966" xr:uid="{00000000-0005-0000-0000-000065260000}"/>
    <cellStyle name="Millares 2 7 2 5 2 3 2 2" xfId="52099" xr:uid="{00000000-0005-0000-0000-000066260000}"/>
    <cellStyle name="Millares 2 7 2 5 2 3 3" xfId="38537" xr:uid="{00000000-0005-0000-0000-000067260000}"/>
    <cellStyle name="Millares 2 7 2 5 2 4" xfId="18185" xr:uid="{00000000-0005-0000-0000-000068260000}"/>
    <cellStyle name="Millares 2 7 2 5 2 4 2" xfId="45318" xr:uid="{00000000-0005-0000-0000-000069260000}"/>
    <cellStyle name="Millares 2 7 2 5 2 5" xfId="31756" xr:uid="{00000000-0005-0000-0000-00006A260000}"/>
    <cellStyle name="Millares 2 7 2 5 3" xfId="4389" xr:uid="{00000000-0005-0000-0000-00006B260000}"/>
    <cellStyle name="Millares 2 7 2 5 3 2" xfId="7999" xr:uid="{00000000-0005-0000-0000-00006C260000}"/>
    <cellStyle name="Millares 2 7 2 5 3 2 2" xfId="14788" xr:uid="{00000000-0005-0000-0000-00006D260000}"/>
    <cellStyle name="Millares 2 7 2 5 3 2 2 2" xfId="28356" xr:uid="{00000000-0005-0000-0000-00006E260000}"/>
    <cellStyle name="Millares 2 7 2 5 3 2 2 2 2" xfId="55489" xr:uid="{00000000-0005-0000-0000-00006F260000}"/>
    <cellStyle name="Millares 2 7 2 5 3 2 2 3" xfId="41927" xr:uid="{00000000-0005-0000-0000-000070260000}"/>
    <cellStyle name="Millares 2 7 2 5 3 2 3" xfId="21575" xr:uid="{00000000-0005-0000-0000-000071260000}"/>
    <cellStyle name="Millares 2 7 2 5 3 2 3 2" xfId="48708" xr:uid="{00000000-0005-0000-0000-000072260000}"/>
    <cellStyle name="Millares 2 7 2 5 3 2 4" xfId="35146" xr:uid="{00000000-0005-0000-0000-000073260000}"/>
    <cellStyle name="Millares 2 7 2 5 3 3" xfId="11399" xr:uid="{00000000-0005-0000-0000-000074260000}"/>
    <cellStyle name="Millares 2 7 2 5 3 3 2" xfId="24967" xr:uid="{00000000-0005-0000-0000-000075260000}"/>
    <cellStyle name="Millares 2 7 2 5 3 3 2 2" xfId="52100" xr:uid="{00000000-0005-0000-0000-000076260000}"/>
    <cellStyle name="Millares 2 7 2 5 3 3 3" xfId="38538" xr:uid="{00000000-0005-0000-0000-000077260000}"/>
    <cellStyle name="Millares 2 7 2 5 3 4" xfId="18186" xr:uid="{00000000-0005-0000-0000-000078260000}"/>
    <cellStyle name="Millares 2 7 2 5 3 4 2" xfId="45319" xr:uid="{00000000-0005-0000-0000-000079260000}"/>
    <cellStyle name="Millares 2 7 2 5 3 5" xfId="31757" xr:uid="{00000000-0005-0000-0000-00007A260000}"/>
    <cellStyle name="Millares 2 7 2 5 4" xfId="7997" xr:uid="{00000000-0005-0000-0000-00007B260000}"/>
    <cellStyle name="Millares 2 7 2 5 4 2" xfId="14786" xr:uid="{00000000-0005-0000-0000-00007C260000}"/>
    <cellStyle name="Millares 2 7 2 5 4 2 2" xfId="28354" xr:uid="{00000000-0005-0000-0000-00007D260000}"/>
    <cellStyle name="Millares 2 7 2 5 4 2 2 2" xfId="55487" xr:uid="{00000000-0005-0000-0000-00007E260000}"/>
    <cellStyle name="Millares 2 7 2 5 4 2 3" xfId="41925" xr:uid="{00000000-0005-0000-0000-00007F260000}"/>
    <cellStyle name="Millares 2 7 2 5 4 3" xfId="21573" xr:uid="{00000000-0005-0000-0000-000080260000}"/>
    <cellStyle name="Millares 2 7 2 5 4 3 2" xfId="48706" xr:uid="{00000000-0005-0000-0000-000081260000}"/>
    <cellStyle name="Millares 2 7 2 5 4 4" xfId="35144" xr:uid="{00000000-0005-0000-0000-000082260000}"/>
    <cellStyle name="Millares 2 7 2 5 5" xfId="11397" xr:uid="{00000000-0005-0000-0000-000083260000}"/>
    <cellStyle name="Millares 2 7 2 5 5 2" xfId="24965" xr:uid="{00000000-0005-0000-0000-000084260000}"/>
    <cellStyle name="Millares 2 7 2 5 5 2 2" xfId="52098" xr:uid="{00000000-0005-0000-0000-000085260000}"/>
    <cellStyle name="Millares 2 7 2 5 5 3" xfId="38536" xr:uid="{00000000-0005-0000-0000-000086260000}"/>
    <cellStyle name="Millares 2 7 2 5 6" xfId="18184" xr:uid="{00000000-0005-0000-0000-000087260000}"/>
    <cellStyle name="Millares 2 7 2 5 6 2" xfId="45317" xr:uid="{00000000-0005-0000-0000-000088260000}"/>
    <cellStyle name="Millares 2 7 2 5 7" xfId="31755" xr:uid="{00000000-0005-0000-0000-000089260000}"/>
    <cellStyle name="Millares 2 7 2 6" xfId="4390" xr:uid="{00000000-0005-0000-0000-00008A260000}"/>
    <cellStyle name="Millares 2 7 2 6 2" xfId="4391" xr:uid="{00000000-0005-0000-0000-00008B260000}"/>
    <cellStyle name="Millares 2 7 2 6 2 2" xfId="8001" xr:uid="{00000000-0005-0000-0000-00008C260000}"/>
    <cellStyle name="Millares 2 7 2 6 2 2 2" xfId="14790" xr:uid="{00000000-0005-0000-0000-00008D260000}"/>
    <cellStyle name="Millares 2 7 2 6 2 2 2 2" xfId="28358" xr:uid="{00000000-0005-0000-0000-00008E260000}"/>
    <cellStyle name="Millares 2 7 2 6 2 2 2 2 2" xfId="55491" xr:uid="{00000000-0005-0000-0000-00008F260000}"/>
    <cellStyle name="Millares 2 7 2 6 2 2 2 3" xfId="41929" xr:uid="{00000000-0005-0000-0000-000090260000}"/>
    <cellStyle name="Millares 2 7 2 6 2 2 3" xfId="21577" xr:uid="{00000000-0005-0000-0000-000091260000}"/>
    <cellStyle name="Millares 2 7 2 6 2 2 3 2" xfId="48710" xr:uid="{00000000-0005-0000-0000-000092260000}"/>
    <cellStyle name="Millares 2 7 2 6 2 2 4" xfId="35148" xr:uid="{00000000-0005-0000-0000-000093260000}"/>
    <cellStyle name="Millares 2 7 2 6 2 3" xfId="11401" xr:uid="{00000000-0005-0000-0000-000094260000}"/>
    <cellStyle name="Millares 2 7 2 6 2 3 2" xfId="24969" xr:uid="{00000000-0005-0000-0000-000095260000}"/>
    <cellStyle name="Millares 2 7 2 6 2 3 2 2" xfId="52102" xr:uid="{00000000-0005-0000-0000-000096260000}"/>
    <cellStyle name="Millares 2 7 2 6 2 3 3" xfId="38540" xr:uid="{00000000-0005-0000-0000-000097260000}"/>
    <cellStyle name="Millares 2 7 2 6 2 4" xfId="18188" xr:uid="{00000000-0005-0000-0000-000098260000}"/>
    <cellStyle name="Millares 2 7 2 6 2 4 2" xfId="45321" xr:uid="{00000000-0005-0000-0000-000099260000}"/>
    <cellStyle name="Millares 2 7 2 6 2 5" xfId="31759" xr:uid="{00000000-0005-0000-0000-00009A260000}"/>
    <cellStyle name="Millares 2 7 2 6 3" xfId="4392" xr:uid="{00000000-0005-0000-0000-00009B260000}"/>
    <cellStyle name="Millares 2 7 2 6 3 2" xfId="8002" xr:uid="{00000000-0005-0000-0000-00009C260000}"/>
    <cellStyle name="Millares 2 7 2 6 3 2 2" xfId="14791" xr:uid="{00000000-0005-0000-0000-00009D260000}"/>
    <cellStyle name="Millares 2 7 2 6 3 2 2 2" xfId="28359" xr:uid="{00000000-0005-0000-0000-00009E260000}"/>
    <cellStyle name="Millares 2 7 2 6 3 2 2 2 2" xfId="55492" xr:uid="{00000000-0005-0000-0000-00009F260000}"/>
    <cellStyle name="Millares 2 7 2 6 3 2 2 3" xfId="41930" xr:uid="{00000000-0005-0000-0000-0000A0260000}"/>
    <cellStyle name="Millares 2 7 2 6 3 2 3" xfId="21578" xr:uid="{00000000-0005-0000-0000-0000A1260000}"/>
    <cellStyle name="Millares 2 7 2 6 3 2 3 2" xfId="48711" xr:uid="{00000000-0005-0000-0000-0000A2260000}"/>
    <cellStyle name="Millares 2 7 2 6 3 2 4" xfId="35149" xr:uid="{00000000-0005-0000-0000-0000A3260000}"/>
    <cellStyle name="Millares 2 7 2 6 3 3" xfId="11402" xr:uid="{00000000-0005-0000-0000-0000A4260000}"/>
    <cellStyle name="Millares 2 7 2 6 3 3 2" xfId="24970" xr:uid="{00000000-0005-0000-0000-0000A5260000}"/>
    <cellStyle name="Millares 2 7 2 6 3 3 2 2" xfId="52103" xr:uid="{00000000-0005-0000-0000-0000A6260000}"/>
    <cellStyle name="Millares 2 7 2 6 3 3 3" xfId="38541" xr:uid="{00000000-0005-0000-0000-0000A7260000}"/>
    <cellStyle name="Millares 2 7 2 6 3 4" xfId="18189" xr:uid="{00000000-0005-0000-0000-0000A8260000}"/>
    <cellStyle name="Millares 2 7 2 6 3 4 2" xfId="45322" xr:uid="{00000000-0005-0000-0000-0000A9260000}"/>
    <cellStyle name="Millares 2 7 2 6 3 5" xfId="31760" xr:uid="{00000000-0005-0000-0000-0000AA260000}"/>
    <cellStyle name="Millares 2 7 2 6 4" xfId="8000" xr:uid="{00000000-0005-0000-0000-0000AB260000}"/>
    <cellStyle name="Millares 2 7 2 6 4 2" xfId="14789" xr:uid="{00000000-0005-0000-0000-0000AC260000}"/>
    <cellStyle name="Millares 2 7 2 6 4 2 2" xfId="28357" xr:uid="{00000000-0005-0000-0000-0000AD260000}"/>
    <cellStyle name="Millares 2 7 2 6 4 2 2 2" xfId="55490" xr:uid="{00000000-0005-0000-0000-0000AE260000}"/>
    <cellStyle name="Millares 2 7 2 6 4 2 3" xfId="41928" xr:uid="{00000000-0005-0000-0000-0000AF260000}"/>
    <cellStyle name="Millares 2 7 2 6 4 3" xfId="21576" xr:uid="{00000000-0005-0000-0000-0000B0260000}"/>
    <cellStyle name="Millares 2 7 2 6 4 3 2" xfId="48709" xr:uid="{00000000-0005-0000-0000-0000B1260000}"/>
    <cellStyle name="Millares 2 7 2 6 4 4" xfId="35147" xr:uid="{00000000-0005-0000-0000-0000B2260000}"/>
    <cellStyle name="Millares 2 7 2 6 5" xfId="11400" xr:uid="{00000000-0005-0000-0000-0000B3260000}"/>
    <cellStyle name="Millares 2 7 2 6 5 2" xfId="24968" xr:uid="{00000000-0005-0000-0000-0000B4260000}"/>
    <cellStyle name="Millares 2 7 2 6 5 2 2" xfId="52101" xr:uid="{00000000-0005-0000-0000-0000B5260000}"/>
    <cellStyle name="Millares 2 7 2 6 5 3" xfId="38539" xr:uid="{00000000-0005-0000-0000-0000B6260000}"/>
    <cellStyle name="Millares 2 7 2 6 6" xfId="18187" xr:uid="{00000000-0005-0000-0000-0000B7260000}"/>
    <cellStyle name="Millares 2 7 2 6 6 2" xfId="45320" xr:uid="{00000000-0005-0000-0000-0000B8260000}"/>
    <cellStyle name="Millares 2 7 2 6 7" xfId="31758" xr:uid="{00000000-0005-0000-0000-0000B9260000}"/>
    <cellStyle name="Millares 2 7 2 7" xfId="4393" xr:uid="{00000000-0005-0000-0000-0000BA260000}"/>
    <cellStyle name="Millares 2 7 2 7 2" xfId="8003" xr:uid="{00000000-0005-0000-0000-0000BB260000}"/>
    <cellStyle name="Millares 2 7 2 7 2 2" xfId="14792" xr:uid="{00000000-0005-0000-0000-0000BC260000}"/>
    <cellStyle name="Millares 2 7 2 7 2 2 2" xfId="28360" xr:uid="{00000000-0005-0000-0000-0000BD260000}"/>
    <cellStyle name="Millares 2 7 2 7 2 2 2 2" xfId="55493" xr:uid="{00000000-0005-0000-0000-0000BE260000}"/>
    <cellStyle name="Millares 2 7 2 7 2 2 3" xfId="41931" xr:uid="{00000000-0005-0000-0000-0000BF260000}"/>
    <cellStyle name="Millares 2 7 2 7 2 3" xfId="21579" xr:uid="{00000000-0005-0000-0000-0000C0260000}"/>
    <cellStyle name="Millares 2 7 2 7 2 3 2" xfId="48712" xr:uid="{00000000-0005-0000-0000-0000C1260000}"/>
    <cellStyle name="Millares 2 7 2 7 2 4" xfId="35150" xr:uid="{00000000-0005-0000-0000-0000C2260000}"/>
    <cellStyle name="Millares 2 7 2 7 3" xfId="11403" xr:uid="{00000000-0005-0000-0000-0000C3260000}"/>
    <cellStyle name="Millares 2 7 2 7 3 2" xfId="24971" xr:uid="{00000000-0005-0000-0000-0000C4260000}"/>
    <cellStyle name="Millares 2 7 2 7 3 2 2" xfId="52104" xr:uid="{00000000-0005-0000-0000-0000C5260000}"/>
    <cellStyle name="Millares 2 7 2 7 3 3" xfId="38542" xr:uid="{00000000-0005-0000-0000-0000C6260000}"/>
    <cellStyle name="Millares 2 7 2 7 4" xfId="18190" xr:uid="{00000000-0005-0000-0000-0000C7260000}"/>
    <cellStyle name="Millares 2 7 2 7 4 2" xfId="45323" xr:uid="{00000000-0005-0000-0000-0000C8260000}"/>
    <cellStyle name="Millares 2 7 2 7 5" xfId="31761" xr:uid="{00000000-0005-0000-0000-0000C9260000}"/>
    <cellStyle name="Millares 2 7 2 8" xfId="4394" xr:uid="{00000000-0005-0000-0000-0000CA260000}"/>
    <cellStyle name="Millares 2 7 2 8 2" xfId="8004" xr:uid="{00000000-0005-0000-0000-0000CB260000}"/>
    <cellStyle name="Millares 2 7 2 8 2 2" xfId="14793" xr:uid="{00000000-0005-0000-0000-0000CC260000}"/>
    <cellStyle name="Millares 2 7 2 8 2 2 2" xfId="28361" xr:uid="{00000000-0005-0000-0000-0000CD260000}"/>
    <cellStyle name="Millares 2 7 2 8 2 2 2 2" xfId="55494" xr:uid="{00000000-0005-0000-0000-0000CE260000}"/>
    <cellStyle name="Millares 2 7 2 8 2 2 3" xfId="41932" xr:uid="{00000000-0005-0000-0000-0000CF260000}"/>
    <cellStyle name="Millares 2 7 2 8 2 3" xfId="21580" xr:uid="{00000000-0005-0000-0000-0000D0260000}"/>
    <cellStyle name="Millares 2 7 2 8 2 3 2" xfId="48713" xr:uid="{00000000-0005-0000-0000-0000D1260000}"/>
    <cellStyle name="Millares 2 7 2 8 2 4" xfId="35151" xr:uid="{00000000-0005-0000-0000-0000D2260000}"/>
    <cellStyle name="Millares 2 7 2 8 3" xfId="11404" xr:uid="{00000000-0005-0000-0000-0000D3260000}"/>
    <cellStyle name="Millares 2 7 2 8 3 2" xfId="24972" xr:uid="{00000000-0005-0000-0000-0000D4260000}"/>
    <cellStyle name="Millares 2 7 2 8 3 2 2" xfId="52105" xr:uid="{00000000-0005-0000-0000-0000D5260000}"/>
    <cellStyle name="Millares 2 7 2 8 3 3" xfId="38543" xr:uid="{00000000-0005-0000-0000-0000D6260000}"/>
    <cellStyle name="Millares 2 7 2 8 4" xfId="18191" xr:uid="{00000000-0005-0000-0000-0000D7260000}"/>
    <cellStyle name="Millares 2 7 2 8 4 2" xfId="45324" xr:uid="{00000000-0005-0000-0000-0000D8260000}"/>
    <cellStyle name="Millares 2 7 2 8 5" xfId="31762" xr:uid="{00000000-0005-0000-0000-0000D9260000}"/>
    <cellStyle name="Millares 2 7 2 9" xfId="7966" xr:uid="{00000000-0005-0000-0000-0000DA260000}"/>
    <cellStyle name="Millares 2 7 2 9 2" xfId="14755" xr:uid="{00000000-0005-0000-0000-0000DB260000}"/>
    <cellStyle name="Millares 2 7 2 9 2 2" xfId="28323" xr:uid="{00000000-0005-0000-0000-0000DC260000}"/>
    <cellStyle name="Millares 2 7 2 9 2 2 2" xfId="55456" xr:uid="{00000000-0005-0000-0000-0000DD260000}"/>
    <cellStyle name="Millares 2 7 2 9 2 3" xfId="41894" xr:uid="{00000000-0005-0000-0000-0000DE260000}"/>
    <cellStyle name="Millares 2 7 2 9 3" xfId="21542" xr:uid="{00000000-0005-0000-0000-0000DF260000}"/>
    <cellStyle name="Millares 2 7 2 9 3 2" xfId="48675" xr:uid="{00000000-0005-0000-0000-0000E0260000}"/>
    <cellStyle name="Millares 2 7 2 9 4" xfId="35113" xr:uid="{00000000-0005-0000-0000-0000E1260000}"/>
    <cellStyle name="Millares 2 7 3" xfId="4395" xr:uid="{00000000-0005-0000-0000-0000E2260000}"/>
    <cellStyle name="Millares 2 7 3 10" xfId="31763" xr:uid="{00000000-0005-0000-0000-0000E3260000}"/>
    <cellStyle name="Millares 2 7 3 2" xfId="4396" xr:uid="{00000000-0005-0000-0000-0000E4260000}"/>
    <cellStyle name="Millares 2 7 3 2 2" xfId="4397" xr:uid="{00000000-0005-0000-0000-0000E5260000}"/>
    <cellStyle name="Millares 2 7 3 2 2 2" xfId="4398" xr:uid="{00000000-0005-0000-0000-0000E6260000}"/>
    <cellStyle name="Millares 2 7 3 2 2 2 2" xfId="8008" xr:uid="{00000000-0005-0000-0000-0000E7260000}"/>
    <cellStyle name="Millares 2 7 3 2 2 2 2 2" xfId="14797" xr:uid="{00000000-0005-0000-0000-0000E8260000}"/>
    <cellStyle name="Millares 2 7 3 2 2 2 2 2 2" xfId="28365" xr:uid="{00000000-0005-0000-0000-0000E9260000}"/>
    <cellStyle name="Millares 2 7 3 2 2 2 2 2 2 2" xfId="55498" xr:uid="{00000000-0005-0000-0000-0000EA260000}"/>
    <cellStyle name="Millares 2 7 3 2 2 2 2 2 3" xfId="41936" xr:uid="{00000000-0005-0000-0000-0000EB260000}"/>
    <cellStyle name="Millares 2 7 3 2 2 2 2 3" xfId="21584" xr:uid="{00000000-0005-0000-0000-0000EC260000}"/>
    <cellStyle name="Millares 2 7 3 2 2 2 2 3 2" xfId="48717" xr:uid="{00000000-0005-0000-0000-0000ED260000}"/>
    <cellStyle name="Millares 2 7 3 2 2 2 2 4" xfId="35155" xr:uid="{00000000-0005-0000-0000-0000EE260000}"/>
    <cellStyle name="Millares 2 7 3 2 2 2 3" xfId="11408" xr:uid="{00000000-0005-0000-0000-0000EF260000}"/>
    <cellStyle name="Millares 2 7 3 2 2 2 3 2" xfId="24976" xr:uid="{00000000-0005-0000-0000-0000F0260000}"/>
    <cellStyle name="Millares 2 7 3 2 2 2 3 2 2" xfId="52109" xr:uid="{00000000-0005-0000-0000-0000F1260000}"/>
    <cellStyle name="Millares 2 7 3 2 2 2 3 3" xfId="38547" xr:uid="{00000000-0005-0000-0000-0000F2260000}"/>
    <cellStyle name="Millares 2 7 3 2 2 2 4" xfId="18195" xr:uid="{00000000-0005-0000-0000-0000F3260000}"/>
    <cellStyle name="Millares 2 7 3 2 2 2 4 2" xfId="45328" xr:uid="{00000000-0005-0000-0000-0000F4260000}"/>
    <cellStyle name="Millares 2 7 3 2 2 2 5" xfId="31766" xr:uid="{00000000-0005-0000-0000-0000F5260000}"/>
    <cellStyle name="Millares 2 7 3 2 2 3" xfId="4399" xr:uid="{00000000-0005-0000-0000-0000F6260000}"/>
    <cellStyle name="Millares 2 7 3 2 2 3 2" xfId="8009" xr:uid="{00000000-0005-0000-0000-0000F7260000}"/>
    <cellStyle name="Millares 2 7 3 2 2 3 2 2" xfId="14798" xr:uid="{00000000-0005-0000-0000-0000F8260000}"/>
    <cellStyle name="Millares 2 7 3 2 2 3 2 2 2" xfId="28366" xr:uid="{00000000-0005-0000-0000-0000F9260000}"/>
    <cellStyle name="Millares 2 7 3 2 2 3 2 2 2 2" xfId="55499" xr:uid="{00000000-0005-0000-0000-0000FA260000}"/>
    <cellStyle name="Millares 2 7 3 2 2 3 2 2 3" xfId="41937" xr:uid="{00000000-0005-0000-0000-0000FB260000}"/>
    <cellStyle name="Millares 2 7 3 2 2 3 2 3" xfId="21585" xr:uid="{00000000-0005-0000-0000-0000FC260000}"/>
    <cellStyle name="Millares 2 7 3 2 2 3 2 3 2" xfId="48718" xr:uid="{00000000-0005-0000-0000-0000FD260000}"/>
    <cellStyle name="Millares 2 7 3 2 2 3 2 4" xfId="35156" xr:uid="{00000000-0005-0000-0000-0000FE260000}"/>
    <cellStyle name="Millares 2 7 3 2 2 3 3" xfId="11409" xr:uid="{00000000-0005-0000-0000-0000FF260000}"/>
    <cellStyle name="Millares 2 7 3 2 2 3 3 2" xfId="24977" xr:uid="{00000000-0005-0000-0000-000000270000}"/>
    <cellStyle name="Millares 2 7 3 2 2 3 3 2 2" xfId="52110" xr:uid="{00000000-0005-0000-0000-000001270000}"/>
    <cellStyle name="Millares 2 7 3 2 2 3 3 3" xfId="38548" xr:uid="{00000000-0005-0000-0000-000002270000}"/>
    <cellStyle name="Millares 2 7 3 2 2 3 4" xfId="18196" xr:uid="{00000000-0005-0000-0000-000003270000}"/>
    <cellStyle name="Millares 2 7 3 2 2 3 4 2" xfId="45329" xr:uid="{00000000-0005-0000-0000-000004270000}"/>
    <cellStyle name="Millares 2 7 3 2 2 3 5" xfId="31767" xr:uid="{00000000-0005-0000-0000-000005270000}"/>
    <cellStyle name="Millares 2 7 3 2 2 4" xfId="8007" xr:uid="{00000000-0005-0000-0000-000006270000}"/>
    <cellStyle name="Millares 2 7 3 2 2 4 2" xfId="14796" xr:uid="{00000000-0005-0000-0000-000007270000}"/>
    <cellStyle name="Millares 2 7 3 2 2 4 2 2" xfId="28364" xr:uid="{00000000-0005-0000-0000-000008270000}"/>
    <cellStyle name="Millares 2 7 3 2 2 4 2 2 2" xfId="55497" xr:uid="{00000000-0005-0000-0000-000009270000}"/>
    <cellStyle name="Millares 2 7 3 2 2 4 2 3" xfId="41935" xr:uid="{00000000-0005-0000-0000-00000A270000}"/>
    <cellStyle name="Millares 2 7 3 2 2 4 3" xfId="21583" xr:uid="{00000000-0005-0000-0000-00000B270000}"/>
    <cellStyle name="Millares 2 7 3 2 2 4 3 2" xfId="48716" xr:uid="{00000000-0005-0000-0000-00000C270000}"/>
    <cellStyle name="Millares 2 7 3 2 2 4 4" xfId="35154" xr:uid="{00000000-0005-0000-0000-00000D270000}"/>
    <cellStyle name="Millares 2 7 3 2 2 5" xfId="11407" xr:uid="{00000000-0005-0000-0000-00000E270000}"/>
    <cellStyle name="Millares 2 7 3 2 2 5 2" xfId="24975" xr:uid="{00000000-0005-0000-0000-00000F270000}"/>
    <cellStyle name="Millares 2 7 3 2 2 5 2 2" xfId="52108" xr:uid="{00000000-0005-0000-0000-000010270000}"/>
    <cellStyle name="Millares 2 7 3 2 2 5 3" xfId="38546" xr:uid="{00000000-0005-0000-0000-000011270000}"/>
    <cellStyle name="Millares 2 7 3 2 2 6" xfId="18194" xr:uid="{00000000-0005-0000-0000-000012270000}"/>
    <cellStyle name="Millares 2 7 3 2 2 6 2" xfId="45327" xr:uid="{00000000-0005-0000-0000-000013270000}"/>
    <cellStyle name="Millares 2 7 3 2 2 7" xfId="31765" xr:uid="{00000000-0005-0000-0000-000014270000}"/>
    <cellStyle name="Millares 2 7 3 2 3" xfId="4400" xr:uid="{00000000-0005-0000-0000-000015270000}"/>
    <cellStyle name="Millares 2 7 3 2 3 2" xfId="4401" xr:uid="{00000000-0005-0000-0000-000016270000}"/>
    <cellStyle name="Millares 2 7 3 2 3 2 2" xfId="8011" xr:uid="{00000000-0005-0000-0000-000017270000}"/>
    <cellStyle name="Millares 2 7 3 2 3 2 2 2" xfId="14800" xr:uid="{00000000-0005-0000-0000-000018270000}"/>
    <cellStyle name="Millares 2 7 3 2 3 2 2 2 2" xfId="28368" xr:uid="{00000000-0005-0000-0000-000019270000}"/>
    <cellStyle name="Millares 2 7 3 2 3 2 2 2 2 2" xfId="55501" xr:uid="{00000000-0005-0000-0000-00001A270000}"/>
    <cellStyle name="Millares 2 7 3 2 3 2 2 2 3" xfId="41939" xr:uid="{00000000-0005-0000-0000-00001B270000}"/>
    <cellStyle name="Millares 2 7 3 2 3 2 2 3" xfId="21587" xr:uid="{00000000-0005-0000-0000-00001C270000}"/>
    <cellStyle name="Millares 2 7 3 2 3 2 2 3 2" xfId="48720" xr:uid="{00000000-0005-0000-0000-00001D270000}"/>
    <cellStyle name="Millares 2 7 3 2 3 2 2 4" xfId="35158" xr:uid="{00000000-0005-0000-0000-00001E270000}"/>
    <cellStyle name="Millares 2 7 3 2 3 2 3" xfId="11411" xr:uid="{00000000-0005-0000-0000-00001F270000}"/>
    <cellStyle name="Millares 2 7 3 2 3 2 3 2" xfId="24979" xr:uid="{00000000-0005-0000-0000-000020270000}"/>
    <cellStyle name="Millares 2 7 3 2 3 2 3 2 2" xfId="52112" xr:uid="{00000000-0005-0000-0000-000021270000}"/>
    <cellStyle name="Millares 2 7 3 2 3 2 3 3" xfId="38550" xr:uid="{00000000-0005-0000-0000-000022270000}"/>
    <cellStyle name="Millares 2 7 3 2 3 2 4" xfId="18198" xr:uid="{00000000-0005-0000-0000-000023270000}"/>
    <cellStyle name="Millares 2 7 3 2 3 2 4 2" xfId="45331" xr:uid="{00000000-0005-0000-0000-000024270000}"/>
    <cellStyle name="Millares 2 7 3 2 3 2 5" xfId="31769" xr:uid="{00000000-0005-0000-0000-000025270000}"/>
    <cellStyle name="Millares 2 7 3 2 3 3" xfId="8010" xr:uid="{00000000-0005-0000-0000-000026270000}"/>
    <cellStyle name="Millares 2 7 3 2 3 3 2" xfId="14799" xr:uid="{00000000-0005-0000-0000-000027270000}"/>
    <cellStyle name="Millares 2 7 3 2 3 3 2 2" xfId="28367" xr:uid="{00000000-0005-0000-0000-000028270000}"/>
    <cellStyle name="Millares 2 7 3 2 3 3 2 2 2" xfId="55500" xr:uid="{00000000-0005-0000-0000-000029270000}"/>
    <cellStyle name="Millares 2 7 3 2 3 3 2 3" xfId="41938" xr:uid="{00000000-0005-0000-0000-00002A270000}"/>
    <cellStyle name="Millares 2 7 3 2 3 3 3" xfId="21586" xr:uid="{00000000-0005-0000-0000-00002B270000}"/>
    <cellStyle name="Millares 2 7 3 2 3 3 3 2" xfId="48719" xr:uid="{00000000-0005-0000-0000-00002C270000}"/>
    <cellStyle name="Millares 2 7 3 2 3 3 4" xfId="35157" xr:uid="{00000000-0005-0000-0000-00002D270000}"/>
    <cellStyle name="Millares 2 7 3 2 3 4" xfId="11410" xr:uid="{00000000-0005-0000-0000-00002E270000}"/>
    <cellStyle name="Millares 2 7 3 2 3 4 2" xfId="24978" xr:uid="{00000000-0005-0000-0000-00002F270000}"/>
    <cellStyle name="Millares 2 7 3 2 3 4 2 2" xfId="52111" xr:uid="{00000000-0005-0000-0000-000030270000}"/>
    <cellStyle name="Millares 2 7 3 2 3 4 3" xfId="38549" xr:uid="{00000000-0005-0000-0000-000031270000}"/>
    <cellStyle name="Millares 2 7 3 2 3 5" xfId="18197" xr:uid="{00000000-0005-0000-0000-000032270000}"/>
    <cellStyle name="Millares 2 7 3 2 3 5 2" xfId="45330" xr:uid="{00000000-0005-0000-0000-000033270000}"/>
    <cellStyle name="Millares 2 7 3 2 3 6" xfId="31768" xr:uid="{00000000-0005-0000-0000-000034270000}"/>
    <cellStyle name="Millares 2 7 3 2 4" xfId="4402" xr:uid="{00000000-0005-0000-0000-000035270000}"/>
    <cellStyle name="Millares 2 7 3 2 4 2" xfId="8012" xr:uid="{00000000-0005-0000-0000-000036270000}"/>
    <cellStyle name="Millares 2 7 3 2 4 2 2" xfId="14801" xr:uid="{00000000-0005-0000-0000-000037270000}"/>
    <cellStyle name="Millares 2 7 3 2 4 2 2 2" xfId="28369" xr:uid="{00000000-0005-0000-0000-000038270000}"/>
    <cellStyle name="Millares 2 7 3 2 4 2 2 2 2" xfId="55502" xr:uid="{00000000-0005-0000-0000-000039270000}"/>
    <cellStyle name="Millares 2 7 3 2 4 2 2 3" xfId="41940" xr:uid="{00000000-0005-0000-0000-00003A270000}"/>
    <cellStyle name="Millares 2 7 3 2 4 2 3" xfId="21588" xr:uid="{00000000-0005-0000-0000-00003B270000}"/>
    <cellStyle name="Millares 2 7 3 2 4 2 3 2" xfId="48721" xr:uid="{00000000-0005-0000-0000-00003C270000}"/>
    <cellStyle name="Millares 2 7 3 2 4 2 4" xfId="35159" xr:uid="{00000000-0005-0000-0000-00003D270000}"/>
    <cellStyle name="Millares 2 7 3 2 4 3" xfId="11412" xr:uid="{00000000-0005-0000-0000-00003E270000}"/>
    <cellStyle name="Millares 2 7 3 2 4 3 2" xfId="24980" xr:uid="{00000000-0005-0000-0000-00003F270000}"/>
    <cellStyle name="Millares 2 7 3 2 4 3 2 2" xfId="52113" xr:uid="{00000000-0005-0000-0000-000040270000}"/>
    <cellStyle name="Millares 2 7 3 2 4 3 3" xfId="38551" xr:uid="{00000000-0005-0000-0000-000041270000}"/>
    <cellStyle name="Millares 2 7 3 2 4 4" xfId="18199" xr:uid="{00000000-0005-0000-0000-000042270000}"/>
    <cellStyle name="Millares 2 7 3 2 4 4 2" xfId="45332" xr:uid="{00000000-0005-0000-0000-000043270000}"/>
    <cellStyle name="Millares 2 7 3 2 4 5" xfId="31770" xr:uid="{00000000-0005-0000-0000-000044270000}"/>
    <cellStyle name="Millares 2 7 3 2 5" xfId="4403" xr:uid="{00000000-0005-0000-0000-000045270000}"/>
    <cellStyle name="Millares 2 7 3 2 5 2" xfId="8013" xr:uid="{00000000-0005-0000-0000-000046270000}"/>
    <cellStyle name="Millares 2 7 3 2 5 2 2" xfId="14802" xr:uid="{00000000-0005-0000-0000-000047270000}"/>
    <cellStyle name="Millares 2 7 3 2 5 2 2 2" xfId="28370" xr:uid="{00000000-0005-0000-0000-000048270000}"/>
    <cellStyle name="Millares 2 7 3 2 5 2 2 2 2" xfId="55503" xr:uid="{00000000-0005-0000-0000-000049270000}"/>
    <cellStyle name="Millares 2 7 3 2 5 2 2 3" xfId="41941" xr:uid="{00000000-0005-0000-0000-00004A270000}"/>
    <cellStyle name="Millares 2 7 3 2 5 2 3" xfId="21589" xr:uid="{00000000-0005-0000-0000-00004B270000}"/>
    <cellStyle name="Millares 2 7 3 2 5 2 3 2" xfId="48722" xr:uid="{00000000-0005-0000-0000-00004C270000}"/>
    <cellStyle name="Millares 2 7 3 2 5 2 4" xfId="35160" xr:uid="{00000000-0005-0000-0000-00004D270000}"/>
    <cellStyle name="Millares 2 7 3 2 5 3" xfId="11413" xr:uid="{00000000-0005-0000-0000-00004E270000}"/>
    <cellStyle name="Millares 2 7 3 2 5 3 2" xfId="24981" xr:uid="{00000000-0005-0000-0000-00004F270000}"/>
    <cellStyle name="Millares 2 7 3 2 5 3 2 2" xfId="52114" xr:uid="{00000000-0005-0000-0000-000050270000}"/>
    <cellStyle name="Millares 2 7 3 2 5 3 3" xfId="38552" xr:uid="{00000000-0005-0000-0000-000051270000}"/>
    <cellStyle name="Millares 2 7 3 2 5 4" xfId="18200" xr:uid="{00000000-0005-0000-0000-000052270000}"/>
    <cellStyle name="Millares 2 7 3 2 5 4 2" xfId="45333" xr:uid="{00000000-0005-0000-0000-000053270000}"/>
    <cellStyle name="Millares 2 7 3 2 5 5" xfId="31771" xr:uid="{00000000-0005-0000-0000-000054270000}"/>
    <cellStyle name="Millares 2 7 3 2 6" xfId="8006" xr:uid="{00000000-0005-0000-0000-000055270000}"/>
    <cellStyle name="Millares 2 7 3 2 6 2" xfId="14795" xr:uid="{00000000-0005-0000-0000-000056270000}"/>
    <cellStyle name="Millares 2 7 3 2 6 2 2" xfId="28363" xr:uid="{00000000-0005-0000-0000-000057270000}"/>
    <cellStyle name="Millares 2 7 3 2 6 2 2 2" xfId="55496" xr:uid="{00000000-0005-0000-0000-000058270000}"/>
    <cellStyle name="Millares 2 7 3 2 6 2 3" xfId="41934" xr:uid="{00000000-0005-0000-0000-000059270000}"/>
    <cellStyle name="Millares 2 7 3 2 6 3" xfId="21582" xr:uid="{00000000-0005-0000-0000-00005A270000}"/>
    <cellStyle name="Millares 2 7 3 2 6 3 2" xfId="48715" xr:uid="{00000000-0005-0000-0000-00005B270000}"/>
    <cellStyle name="Millares 2 7 3 2 6 4" xfId="35153" xr:uid="{00000000-0005-0000-0000-00005C270000}"/>
    <cellStyle name="Millares 2 7 3 2 7" xfId="11406" xr:uid="{00000000-0005-0000-0000-00005D270000}"/>
    <cellStyle name="Millares 2 7 3 2 7 2" xfId="24974" xr:uid="{00000000-0005-0000-0000-00005E270000}"/>
    <cellStyle name="Millares 2 7 3 2 7 2 2" xfId="52107" xr:uid="{00000000-0005-0000-0000-00005F270000}"/>
    <cellStyle name="Millares 2 7 3 2 7 3" xfId="38545" xr:uid="{00000000-0005-0000-0000-000060270000}"/>
    <cellStyle name="Millares 2 7 3 2 8" xfId="18193" xr:uid="{00000000-0005-0000-0000-000061270000}"/>
    <cellStyle name="Millares 2 7 3 2 8 2" xfId="45326" xr:uid="{00000000-0005-0000-0000-000062270000}"/>
    <cellStyle name="Millares 2 7 3 2 9" xfId="31764" xr:uid="{00000000-0005-0000-0000-000063270000}"/>
    <cellStyle name="Millares 2 7 3 3" xfId="4404" xr:uid="{00000000-0005-0000-0000-000064270000}"/>
    <cellStyle name="Millares 2 7 3 3 2" xfId="4405" xr:uid="{00000000-0005-0000-0000-000065270000}"/>
    <cellStyle name="Millares 2 7 3 3 2 2" xfId="8015" xr:uid="{00000000-0005-0000-0000-000066270000}"/>
    <cellStyle name="Millares 2 7 3 3 2 2 2" xfId="14804" xr:uid="{00000000-0005-0000-0000-000067270000}"/>
    <cellStyle name="Millares 2 7 3 3 2 2 2 2" xfId="28372" xr:uid="{00000000-0005-0000-0000-000068270000}"/>
    <cellStyle name="Millares 2 7 3 3 2 2 2 2 2" xfId="55505" xr:uid="{00000000-0005-0000-0000-000069270000}"/>
    <cellStyle name="Millares 2 7 3 3 2 2 2 3" xfId="41943" xr:uid="{00000000-0005-0000-0000-00006A270000}"/>
    <cellStyle name="Millares 2 7 3 3 2 2 3" xfId="21591" xr:uid="{00000000-0005-0000-0000-00006B270000}"/>
    <cellStyle name="Millares 2 7 3 3 2 2 3 2" xfId="48724" xr:uid="{00000000-0005-0000-0000-00006C270000}"/>
    <cellStyle name="Millares 2 7 3 3 2 2 4" xfId="35162" xr:uid="{00000000-0005-0000-0000-00006D270000}"/>
    <cellStyle name="Millares 2 7 3 3 2 3" xfId="11415" xr:uid="{00000000-0005-0000-0000-00006E270000}"/>
    <cellStyle name="Millares 2 7 3 3 2 3 2" xfId="24983" xr:uid="{00000000-0005-0000-0000-00006F270000}"/>
    <cellStyle name="Millares 2 7 3 3 2 3 2 2" xfId="52116" xr:uid="{00000000-0005-0000-0000-000070270000}"/>
    <cellStyle name="Millares 2 7 3 3 2 3 3" xfId="38554" xr:uid="{00000000-0005-0000-0000-000071270000}"/>
    <cellStyle name="Millares 2 7 3 3 2 4" xfId="18202" xr:uid="{00000000-0005-0000-0000-000072270000}"/>
    <cellStyle name="Millares 2 7 3 3 2 4 2" xfId="45335" xr:uid="{00000000-0005-0000-0000-000073270000}"/>
    <cellStyle name="Millares 2 7 3 3 2 5" xfId="31773" xr:uid="{00000000-0005-0000-0000-000074270000}"/>
    <cellStyle name="Millares 2 7 3 3 3" xfId="4406" xr:uid="{00000000-0005-0000-0000-000075270000}"/>
    <cellStyle name="Millares 2 7 3 3 3 2" xfId="8016" xr:uid="{00000000-0005-0000-0000-000076270000}"/>
    <cellStyle name="Millares 2 7 3 3 3 2 2" xfId="14805" xr:uid="{00000000-0005-0000-0000-000077270000}"/>
    <cellStyle name="Millares 2 7 3 3 3 2 2 2" xfId="28373" xr:uid="{00000000-0005-0000-0000-000078270000}"/>
    <cellStyle name="Millares 2 7 3 3 3 2 2 2 2" xfId="55506" xr:uid="{00000000-0005-0000-0000-000079270000}"/>
    <cellStyle name="Millares 2 7 3 3 3 2 2 3" xfId="41944" xr:uid="{00000000-0005-0000-0000-00007A270000}"/>
    <cellStyle name="Millares 2 7 3 3 3 2 3" xfId="21592" xr:uid="{00000000-0005-0000-0000-00007B270000}"/>
    <cellStyle name="Millares 2 7 3 3 3 2 3 2" xfId="48725" xr:uid="{00000000-0005-0000-0000-00007C270000}"/>
    <cellStyle name="Millares 2 7 3 3 3 2 4" xfId="35163" xr:uid="{00000000-0005-0000-0000-00007D270000}"/>
    <cellStyle name="Millares 2 7 3 3 3 3" xfId="11416" xr:uid="{00000000-0005-0000-0000-00007E270000}"/>
    <cellStyle name="Millares 2 7 3 3 3 3 2" xfId="24984" xr:uid="{00000000-0005-0000-0000-00007F270000}"/>
    <cellStyle name="Millares 2 7 3 3 3 3 2 2" xfId="52117" xr:uid="{00000000-0005-0000-0000-000080270000}"/>
    <cellStyle name="Millares 2 7 3 3 3 3 3" xfId="38555" xr:uid="{00000000-0005-0000-0000-000081270000}"/>
    <cellStyle name="Millares 2 7 3 3 3 4" xfId="18203" xr:uid="{00000000-0005-0000-0000-000082270000}"/>
    <cellStyle name="Millares 2 7 3 3 3 4 2" xfId="45336" xr:uid="{00000000-0005-0000-0000-000083270000}"/>
    <cellStyle name="Millares 2 7 3 3 3 5" xfId="31774" xr:uid="{00000000-0005-0000-0000-000084270000}"/>
    <cellStyle name="Millares 2 7 3 3 4" xfId="8014" xr:uid="{00000000-0005-0000-0000-000085270000}"/>
    <cellStyle name="Millares 2 7 3 3 4 2" xfId="14803" xr:uid="{00000000-0005-0000-0000-000086270000}"/>
    <cellStyle name="Millares 2 7 3 3 4 2 2" xfId="28371" xr:uid="{00000000-0005-0000-0000-000087270000}"/>
    <cellStyle name="Millares 2 7 3 3 4 2 2 2" xfId="55504" xr:uid="{00000000-0005-0000-0000-000088270000}"/>
    <cellStyle name="Millares 2 7 3 3 4 2 3" xfId="41942" xr:uid="{00000000-0005-0000-0000-000089270000}"/>
    <cellStyle name="Millares 2 7 3 3 4 3" xfId="21590" xr:uid="{00000000-0005-0000-0000-00008A270000}"/>
    <cellStyle name="Millares 2 7 3 3 4 3 2" xfId="48723" xr:uid="{00000000-0005-0000-0000-00008B270000}"/>
    <cellStyle name="Millares 2 7 3 3 4 4" xfId="35161" xr:uid="{00000000-0005-0000-0000-00008C270000}"/>
    <cellStyle name="Millares 2 7 3 3 5" xfId="11414" xr:uid="{00000000-0005-0000-0000-00008D270000}"/>
    <cellStyle name="Millares 2 7 3 3 5 2" xfId="24982" xr:uid="{00000000-0005-0000-0000-00008E270000}"/>
    <cellStyle name="Millares 2 7 3 3 5 2 2" xfId="52115" xr:uid="{00000000-0005-0000-0000-00008F270000}"/>
    <cellStyle name="Millares 2 7 3 3 5 3" xfId="38553" xr:uid="{00000000-0005-0000-0000-000090270000}"/>
    <cellStyle name="Millares 2 7 3 3 6" xfId="18201" xr:uid="{00000000-0005-0000-0000-000091270000}"/>
    <cellStyle name="Millares 2 7 3 3 6 2" xfId="45334" xr:uid="{00000000-0005-0000-0000-000092270000}"/>
    <cellStyle name="Millares 2 7 3 3 7" xfId="31772" xr:uid="{00000000-0005-0000-0000-000093270000}"/>
    <cellStyle name="Millares 2 7 3 4" xfId="4407" xr:uid="{00000000-0005-0000-0000-000094270000}"/>
    <cellStyle name="Millares 2 7 3 4 2" xfId="4408" xr:uid="{00000000-0005-0000-0000-000095270000}"/>
    <cellStyle name="Millares 2 7 3 4 2 2" xfId="8018" xr:uid="{00000000-0005-0000-0000-000096270000}"/>
    <cellStyle name="Millares 2 7 3 4 2 2 2" xfId="14807" xr:uid="{00000000-0005-0000-0000-000097270000}"/>
    <cellStyle name="Millares 2 7 3 4 2 2 2 2" xfId="28375" xr:uid="{00000000-0005-0000-0000-000098270000}"/>
    <cellStyle name="Millares 2 7 3 4 2 2 2 2 2" xfId="55508" xr:uid="{00000000-0005-0000-0000-000099270000}"/>
    <cellStyle name="Millares 2 7 3 4 2 2 2 3" xfId="41946" xr:uid="{00000000-0005-0000-0000-00009A270000}"/>
    <cellStyle name="Millares 2 7 3 4 2 2 3" xfId="21594" xr:uid="{00000000-0005-0000-0000-00009B270000}"/>
    <cellStyle name="Millares 2 7 3 4 2 2 3 2" xfId="48727" xr:uid="{00000000-0005-0000-0000-00009C270000}"/>
    <cellStyle name="Millares 2 7 3 4 2 2 4" xfId="35165" xr:uid="{00000000-0005-0000-0000-00009D270000}"/>
    <cellStyle name="Millares 2 7 3 4 2 3" xfId="11418" xr:uid="{00000000-0005-0000-0000-00009E270000}"/>
    <cellStyle name="Millares 2 7 3 4 2 3 2" xfId="24986" xr:uid="{00000000-0005-0000-0000-00009F270000}"/>
    <cellStyle name="Millares 2 7 3 4 2 3 2 2" xfId="52119" xr:uid="{00000000-0005-0000-0000-0000A0270000}"/>
    <cellStyle name="Millares 2 7 3 4 2 3 3" xfId="38557" xr:uid="{00000000-0005-0000-0000-0000A1270000}"/>
    <cellStyle name="Millares 2 7 3 4 2 4" xfId="18205" xr:uid="{00000000-0005-0000-0000-0000A2270000}"/>
    <cellStyle name="Millares 2 7 3 4 2 4 2" xfId="45338" xr:uid="{00000000-0005-0000-0000-0000A3270000}"/>
    <cellStyle name="Millares 2 7 3 4 2 5" xfId="31776" xr:uid="{00000000-0005-0000-0000-0000A4270000}"/>
    <cellStyle name="Millares 2 7 3 4 3" xfId="8017" xr:uid="{00000000-0005-0000-0000-0000A5270000}"/>
    <cellStyle name="Millares 2 7 3 4 3 2" xfId="14806" xr:uid="{00000000-0005-0000-0000-0000A6270000}"/>
    <cellStyle name="Millares 2 7 3 4 3 2 2" xfId="28374" xr:uid="{00000000-0005-0000-0000-0000A7270000}"/>
    <cellStyle name="Millares 2 7 3 4 3 2 2 2" xfId="55507" xr:uid="{00000000-0005-0000-0000-0000A8270000}"/>
    <cellStyle name="Millares 2 7 3 4 3 2 3" xfId="41945" xr:uid="{00000000-0005-0000-0000-0000A9270000}"/>
    <cellStyle name="Millares 2 7 3 4 3 3" xfId="21593" xr:uid="{00000000-0005-0000-0000-0000AA270000}"/>
    <cellStyle name="Millares 2 7 3 4 3 3 2" xfId="48726" xr:uid="{00000000-0005-0000-0000-0000AB270000}"/>
    <cellStyle name="Millares 2 7 3 4 3 4" xfId="35164" xr:uid="{00000000-0005-0000-0000-0000AC270000}"/>
    <cellStyle name="Millares 2 7 3 4 4" xfId="11417" xr:uid="{00000000-0005-0000-0000-0000AD270000}"/>
    <cellStyle name="Millares 2 7 3 4 4 2" xfId="24985" xr:uid="{00000000-0005-0000-0000-0000AE270000}"/>
    <cellStyle name="Millares 2 7 3 4 4 2 2" xfId="52118" xr:uid="{00000000-0005-0000-0000-0000AF270000}"/>
    <cellStyle name="Millares 2 7 3 4 4 3" xfId="38556" xr:uid="{00000000-0005-0000-0000-0000B0270000}"/>
    <cellStyle name="Millares 2 7 3 4 5" xfId="18204" xr:uid="{00000000-0005-0000-0000-0000B1270000}"/>
    <cellStyle name="Millares 2 7 3 4 5 2" xfId="45337" xr:uid="{00000000-0005-0000-0000-0000B2270000}"/>
    <cellStyle name="Millares 2 7 3 4 6" xfId="31775" xr:uid="{00000000-0005-0000-0000-0000B3270000}"/>
    <cellStyle name="Millares 2 7 3 5" xfId="4409" xr:uid="{00000000-0005-0000-0000-0000B4270000}"/>
    <cellStyle name="Millares 2 7 3 5 2" xfId="8019" xr:uid="{00000000-0005-0000-0000-0000B5270000}"/>
    <cellStyle name="Millares 2 7 3 5 2 2" xfId="14808" xr:uid="{00000000-0005-0000-0000-0000B6270000}"/>
    <cellStyle name="Millares 2 7 3 5 2 2 2" xfId="28376" xr:uid="{00000000-0005-0000-0000-0000B7270000}"/>
    <cellStyle name="Millares 2 7 3 5 2 2 2 2" xfId="55509" xr:uid="{00000000-0005-0000-0000-0000B8270000}"/>
    <cellStyle name="Millares 2 7 3 5 2 2 3" xfId="41947" xr:uid="{00000000-0005-0000-0000-0000B9270000}"/>
    <cellStyle name="Millares 2 7 3 5 2 3" xfId="21595" xr:uid="{00000000-0005-0000-0000-0000BA270000}"/>
    <cellStyle name="Millares 2 7 3 5 2 3 2" xfId="48728" xr:uid="{00000000-0005-0000-0000-0000BB270000}"/>
    <cellStyle name="Millares 2 7 3 5 2 4" xfId="35166" xr:uid="{00000000-0005-0000-0000-0000BC270000}"/>
    <cellStyle name="Millares 2 7 3 5 3" xfId="11419" xr:uid="{00000000-0005-0000-0000-0000BD270000}"/>
    <cellStyle name="Millares 2 7 3 5 3 2" xfId="24987" xr:uid="{00000000-0005-0000-0000-0000BE270000}"/>
    <cellStyle name="Millares 2 7 3 5 3 2 2" xfId="52120" xr:uid="{00000000-0005-0000-0000-0000BF270000}"/>
    <cellStyle name="Millares 2 7 3 5 3 3" xfId="38558" xr:uid="{00000000-0005-0000-0000-0000C0270000}"/>
    <cellStyle name="Millares 2 7 3 5 4" xfId="18206" xr:uid="{00000000-0005-0000-0000-0000C1270000}"/>
    <cellStyle name="Millares 2 7 3 5 4 2" xfId="45339" xr:uid="{00000000-0005-0000-0000-0000C2270000}"/>
    <cellStyle name="Millares 2 7 3 5 5" xfId="31777" xr:uid="{00000000-0005-0000-0000-0000C3270000}"/>
    <cellStyle name="Millares 2 7 3 6" xfId="4410" xr:uid="{00000000-0005-0000-0000-0000C4270000}"/>
    <cellStyle name="Millares 2 7 3 6 2" xfId="8020" xr:uid="{00000000-0005-0000-0000-0000C5270000}"/>
    <cellStyle name="Millares 2 7 3 6 2 2" xfId="14809" xr:uid="{00000000-0005-0000-0000-0000C6270000}"/>
    <cellStyle name="Millares 2 7 3 6 2 2 2" xfId="28377" xr:uid="{00000000-0005-0000-0000-0000C7270000}"/>
    <cellStyle name="Millares 2 7 3 6 2 2 2 2" xfId="55510" xr:uid="{00000000-0005-0000-0000-0000C8270000}"/>
    <cellStyle name="Millares 2 7 3 6 2 2 3" xfId="41948" xr:uid="{00000000-0005-0000-0000-0000C9270000}"/>
    <cellStyle name="Millares 2 7 3 6 2 3" xfId="21596" xr:uid="{00000000-0005-0000-0000-0000CA270000}"/>
    <cellStyle name="Millares 2 7 3 6 2 3 2" xfId="48729" xr:uid="{00000000-0005-0000-0000-0000CB270000}"/>
    <cellStyle name="Millares 2 7 3 6 2 4" xfId="35167" xr:uid="{00000000-0005-0000-0000-0000CC270000}"/>
    <cellStyle name="Millares 2 7 3 6 3" xfId="11420" xr:uid="{00000000-0005-0000-0000-0000CD270000}"/>
    <cellStyle name="Millares 2 7 3 6 3 2" xfId="24988" xr:uid="{00000000-0005-0000-0000-0000CE270000}"/>
    <cellStyle name="Millares 2 7 3 6 3 2 2" xfId="52121" xr:uid="{00000000-0005-0000-0000-0000CF270000}"/>
    <cellStyle name="Millares 2 7 3 6 3 3" xfId="38559" xr:uid="{00000000-0005-0000-0000-0000D0270000}"/>
    <cellStyle name="Millares 2 7 3 6 4" xfId="18207" xr:uid="{00000000-0005-0000-0000-0000D1270000}"/>
    <cellStyle name="Millares 2 7 3 6 4 2" xfId="45340" xr:uid="{00000000-0005-0000-0000-0000D2270000}"/>
    <cellStyle name="Millares 2 7 3 6 5" xfId="31778" xr:uid="{00000000-0005-0000-0000-0000D3270000}"/>
    <cellStyle name="Millares 2 7 3 7" xfId="8005" xr:uid="{00000000-0005-0000-0000-0000D4270000}"/>
    <cellStyle name="Millares 2 7 3 7 2" xfId="14794" xr:uid="{00000000-0005-0000-0000-0000D5270000}"/>
    <cellStyle name="Millares 2 7 3 7 2 2" xfId="28362" xr:uid="{00000000-0005-0000-0000-0000D6270000}"/>
    <cellStyle name="Millares 2 7 3 7 2 2 2" xfId="55495" xr:uid="{00000000-0005-0000-0000-0000D7270000}"/>
    <cellStyle name="Millares 2 7 3 7 2 3" xfId="41933" xr:uid="{00000000-0005-0000-0000-0000D8270000}"/>
    <cellStyle name="Millares 2 7 3 7 3" xfId="21581" xr:uid="{00000000-0005-0000-0000-0000D9270000}"/>
    <cellStyle name="Millares 2 7 3 7 3 2" xfId="48714" xr:uid="{00000000-0005-0000-0000-0000DA270000}"/>
    <cellStyle name="Millares 2 7 3 7 4" xfId="35152" xr:uid="{00000000-0005-0000-0000-0000DB270000}"/>
    <cellStyle name="Millares 2 7 3 8" xfId="11405" xr:uid="{00000000-0005-0000-0000-0000DC270000}"/>
    <cellStyle name="Millares 2 7 3 8 2" xfId="24973" xr:uid="{00000000-0005-0000-0000-0000DD270000}"/>
    <cellStyle name="Millares 2 7 3 8 2 2" xfId="52106" xr:uid="{00000000-0005-0000-0000-0000DE270000}"/>
    <cellStyle name="Millares 2 7 3 8 3" xfId="38544" xr:uid="{00000000-0005-0000-0000-0000DF270000}"/>
    <cellStyle name="Millares 2 7 3 9" xfId="18192" xr:uid="{00000000-0005-0000-0000-0000E0270000}"/>
    <cellStyle name="Millares 2 7 3 9 2" xfId="45325" xr:uid="{00000000-0005-0000-0000-0000E1270000}"/>
    <cellStyle name="Millares 2 7 4" xfId="4411" xr:uid="{00000000-0005-0000-0000-0000E2270000}"/>
    <cellStyle name="Millares 2 7 4 2" xfId="4412" xr:uid="{00000000-0005-0000-0000-0000E3270000}"/>
    <cellStyle name="Millares 2 7 4 2 2" xfId="4413" xr:uid="{00000000-0005-0000-0000-0000E4270000}"/>
    <cellStyle name="Millares 2 7 4 2 2 2" xfId="8023" xr:uid="{00000000-0005-0000-0000-0000E5270000}"/>
    <cellStyle name="Millares 2 7 4 2 2 2 2" xfId="14812" xr:uid="{00000000-0005-0000-0000-0000E6270000}"/>
    <cellStyle name="Millares 2 7 4 2 2 2 2 2" xfId="28380" xr:uid="{00000000-0005-0000-0000-0000E7270000}"/>
    <cellStyle name="Millares 2 7 4 2 2 2 2 2 2" xfId="55513" xr:uid="{00000000-0005-0000-0000-0000E8270000}"/>
    <cellStyle name="Millares 2 7 4 2 2 2 2 3" xfId="41951" xr:uid="{00000000-0005-0000-0000-0000E9270000}"/>
    <cellStyle name="Millares 2 7 4 2 2 2 3" xfId="21599" xr:uid="{00000000-0005-0000-0000-0000EA270000}"/>
    <cellStyle name="Millares 2 7 4 2 2 2 3 2" xfId="48732" xr:uid="{00000000-0005-0000-0000-0000EB270000}"/>
    <cellStyle name="Millares 2 7 4 2 2 2 4" xfId="35170" xr:uid="{00000000-0005-0000-0000-0000EC270000}"/>
    <cellStyle name="Millares 2 7 4 2 2 3" xfId="11423" xr:uid="{00000000-0005-0000-0000-0000ED270000}"/>
    <cellStyle name="Millares 2 7 4 2 2 3 2" xfId="24991" xr:uid="{00000000-0005-0000-0000-0000EE270000}"/>
    <cellStyle name="Millares 2 7 4 2 2 3 2 2" xfId="52124" xr:uid="{00000000-0005-0000-0000-0000EF270000}"/>
    <cellStyle name="Millares 2 7 4 2 2 3 3" xfId="38562" xr:uid="{00000000-0005-0000-0000-0000F0270000}"/>
    <cellStyle name="Millares 2 7 4 2 2 4" xfId="18210" xr:uid="{00000000-0005-0000-0000-0000F1270000}"/>
    <cellStyle name="Millares 2 7 4 2 2 4 2" xfId="45343" xr:uid="{00000000-0005-0000-0000-0000F2270000}"/>
    <cellStyle name="Millares 2 7 4 2 2 5" xfId="31781" xr:uid="{00000000-0005-0000-0000-0000F3270000}"/>
    <cellStyle name="Millares 2 7 4 2 3" xfId="4414" xr:uid="{00000000-0005-0000-0000-0000F4270000}"/>
    <cellStyle name="Millares 2 7 4 2 3 2" xfId="8024" xr:uid="{00000000-0005-0000-0000-0000F5270000}"/>
    <cellStyle name="Millares 2 7 4 2 3 2 2" xfId="14813" xr:uid="{00000000-0005-0000-0000-0000F6270000}"/>
    <cellStyle name="Millares 2 7 4 2 3 2 2 2" xfId="28381" xr:uid="{00000000-0005-0000-0000-0000F7270000}"/>
    <cellStyle name="Millares 2 7 4 2 3 2 2 2 2" xfId="55514" xr:uid="{00000000-0005-0000-0000-0000F8270000}"/>
    <cellStyle name="Millares 2 7 4 2 3 2 2 3" xfId="41952" xr:uid="{00000000-0005-0000-0000-0000F9270000}"/>
    <cellStyle name="Millares 2 7 4 2 3 2 3" xfId="21600" xr:uid="{00000000-0005-0000-0000-0000FA270000}"/>
    <cellStyle name="Millares 2 7 4 2 3 2 3 2" xfId="48733" xr:uid="{00000000-0005-0000-0000-0000FB270000}"/>
    <cellStyle name="Millares 2 7 4 2 3 2 4" xfId="35171" xr:uid="{00000000-0005-0000-0000-0000FC270000}"/>
    <cellStyle name="Millares 2 7 4 2 3 3" xfId="11424" xr:uid="{00000000-0005-0000-0000-0000FD270000}"/>
    <cellStyle name="Millares 2 7 4 2 3 3 2" xfId="24992" xr:uid="{00000000-0005-0000-0000-0000FE270000}"/>
    <cellStyle name="Millares 2 7 4 2 3 3 2 2" xfId="52125" xr:uid="{00000000-0005-0000-0000-0000FF270000}"/>
    <cellStyle name="Millares 2 7 4 2 3 3 3" xfId="38563" xr:uid="{00000000-0005-0000-0000-000000280000}"/>
    <cellStyle name="Millares 2 7 4 2 3 4" xfId="18211" xr:uid="{00000000-0005-0000-0000-000001280000}"/>
    <cellStyle name="Millares 2 7 4 2 3 4 2" xfId="45344" xr:uid="{00000000-0005-0000-0000-000002280000}"/>
    <cellStyle name="Millares 2 7 4 2 3 5" xfId="31782" xr:uid="{00000000-0005-0000-0000-000003280000}"/>
    <cellStyle name="Millares 2 7 4 2 4" xfId="8022" xr:uid="{00000000-0005-0000-0000-000004280000}"/>
    <cellStyle name="Millares 2 7 4 2 4 2" xfId="14811" xr:uid="{00000000-0005-0000-0000-000005280000}"/>
    <cellStyle name="Millares 2 7 4 2 4 2 2" xfId="28379" xr:uid="{00000000-0005-0000-0000-000006280000}"/>
    <cellStyle name="Millares 2 7 4 2 4 2 2 2" xfId="55512" xr:uid="{00000000-0005-0000-0000-000007280000}"/>
    <cellStyle name="Millares 2 7 4 2 4 2 3" xfId="41950" xr:uid="{00000000-0005-0000-0000-000008280000}"/>
    <cellStyle name="Millares 2 7 4 2 4 3" xfId="21598" xr:uid="{00000000-0005-0000-0000-000009280000}"/>
    <cellStyle name="Millares 2 7 4 2 4 3 2" xfId="48731" xr:uid="{00000000-0005-0000-0000-00000A280000}"/>
    <cellStyle name="Millares 2 7 4 2 4 4" xfId="35169" xr:uid="{00000000-0005-0000-0000-00000B280000}"/>
    <cellStyle name="Millares 2 7 4 2 5" xfId="11422" xr:uid="{00000000-0005-0000-0000-00000C280000}"/>
    <cellStyle name="Millares 2 7 4 2 5 2" xfId="24990" xr:uid="{00000000-0005-0000-0000-00000D280000}"/>
    <cellStyle name="Millares 2 7 4 2 5 2 2" xfId="52123" xr:uid="{00000000-0005-0000-0000-00000E280000}"/>
    <cellStyle name="Millares 2 7 4 2 5 3" xfId="38561" xr:uid="{00000000-0005-0000-0000-00000F280000}"/>
    <cellStyle name="Millares 2 7 4 2 6" xfId="18209" xr:uid="{00000000-0005-0000-0000-000010280000}"/>
    <cellStyle name="Millares 2 7 4 2 6 2" xfId="45342" xr:uid="{00000000-0005-0000-0000-000011280000}"/>
    <cellStyle name="Millares 2 7 4 2 7" xfId="31780" xr:uid="{00000000-0005-0000-0000-000012280000}"/>
    <cellStyle name="Millares 2 7 4 3" xfId="4415" xr:uid="{00000000-0005-0000-0000-000013280000}"/>
    <cellStyle name="Millares 2 7 4 3 2" xfId="4416" xr:uid="{00000000-0005-0000-0000-000014280000}"/>
    <cellStyle name="Millares 2 7 4 3 2 2" xfId="8026" xr:uid="{00000000-0005-0000-0000-000015280000}"/>
    <cellStyle name="Millares 2 7 4 3 2 2 2" xfId="14815" xr:uid="{00000000-0005-0000-0000-000016280000}"/>
    <cellStyle name="Millares 2 7 4 3 2 2 2 2" xfId="28383" xr:uid="{00000000-0005-0000-0000-000017280000}"/>
    <cellStyle name="Millares 2 7 4 3 2 2 2 2 2" xfId="55516" xr:uid="{00000000-0005-0000-0000-000018280000}"/>
    <cellStyle name="Millares 2 7 4 3 2 2 2 3" xfId="41954" xr:uid="{00000000-0005-0000-0000-000019280000}"/>
    <cellStyle name="Millares 2 7 4 3 2 2 3" xfId="21602" xr:uid="{00000000-0005-0000-0000-00001A280000}"/>
    <cellStyle name="Millares 2 7 4 3 2 2 3 2" xfId="48735" xr:uid="{00000000-0005-0000-0000-00001B280000}"/>
    <cellStyle name="Millares 2 7 4 3 2 2 4" xfId="35173" xr:uid="{00000000-0005-0000-0000-00001C280000}"/>
    <cellStyle name="Millares 2 7 4 3 2 3" xfId="11426" xr:uid="{00000000-0005-0000-0000-00001D280000}"/>
    <cellStyle name="Millares 2 7 4 3 2 3 2" xfId="24994" xr:uid="{00000000-0005-0000-0000-00001E280000}"/>
    <cellStyle name="Millares 2 7 4 3 2 3 2 2" xfId="52127" xr:uid="{00000000-0005-0000-0000-00001F280000}"/>
    <cellStyle name="Millares 2 7 4 3 2 3 3" xfId="38565" xr:uid="{00000000-0005-0000-0000-000020280000}"/>
    <cellStyle name="Millares 2 7 4 3 2 4" xfId="18213" xr:uid="{00000000-0005-0000-0000-000021280000}"/>
    <cellStyle name="Millares 2 7 4 3 2 4 2" xfId="45346" xr:uid="{00000000-0005-0000-0000-000022280000}"/>
    <cellStyle name="Millares 2 7 4 3 2 5" xfId="31784" xr:uid="{00000000-0005-0000-0000-000023280000}"/>
    <cellStyle name="Millares 2 7 4 3 3" xfId="8025" xr:uid="{00000000-0005-0000-0000-000024280000}"/>
    <cellStyle name="Millares 2 7 4 3 3 2" xfId="14814" xr:uid="{00000000-0005-0000-0000-000025280000}"/>
    <cellStyle name="Millares 2 7 4 3 3 2 2" xfId="28382" xr:uid="{00000000-0005-0000-0000-000026280000}"/>
    <cellStyle name="Millares 2 7 4 3 3 2 2 2" xfId="55515" xr:uid="{00000000-0005-0000-0000-000027280000}"/>
    <cellStyle name="Millares 2 7 4 3 3 2 3" xfId="41953" xr:uid="{00000000-0005-0000-0000-000028280000}"/>
    <cellStyle name="Millares 2 7 4 3 3 3" xfId="21601" xr:uid="{00000000-0005-0000-0000-000029280000}"/>
    <cellStyle name="Millares 2 7 4 3 3 3 2" xfId="48734" xr:uid="{00000000-0005-0000-0000-00002A280000}"/>
    <cellStyle name="Millares 2 7 4 3 3 4" xfId="35172" xr:uid="{00000000-0005-0000-0000-00002B280000}"/>
    <cellStyle name="Millares 2 7 4 3 4" xfId="11425" xr:uid="{00000000-0005-0000-0000-00002C280000}"/>
    <cellStyle name="Millares 2 7 4 3 4 2" xfId="24993" xr:uid="{00000000-0005-0000-0000-00002D280000}"/>
    <cellStyle name="Millares 2 7 4 3 4 2 2" xfId="52126" xr:uid="{00000000-0005-0000-0000-00002E280000}"/>
    <cellStyle name="Millares 2 7 4 3 4 3" xfId="38564" xr:uid="{00000000-0005-0000-0000-00002F280000}"/>
    <cellStyle name="Millares 2 7 4 3 5" xfId="18212" xr:uid="{00000000-0005-0000-0000-000030280000}"/>
    <cellStyle name="Millares 2 7 4 3 5 2" xfId="45345" xr:uid="{00000000-0005-0000-0000-000031280000}"/>
    <cellStyle name="Millares 2 7 4 3 6" xfId="31783" xr:uid="{00000000-0005-0000-0000-000032280000}"/>
    <cellStyle name="Millares 2 7 4 4" xfId="4417" xr:uid="{00000000-0005-0000-0000-000033280000}"/>
    <cellStyle name="Millares 2 7 4 4 2" xfId="8027" xr:uid="{00000000-0005-0000-0000-000034280000}"/>
    <cellStyle name="Millares 2 7 4 4 2 2" xfId="14816" xr:uid="{00000000-0005-0000-0000-000035280000}"/>
    <cellStyle name="Millares 2 7 4 4 2 2 2" xfId="28384" xr:uid="{00000000-0005-0000-0000-000036280000}"/>
    <cellStyle name="Millares 2 7 4 4 2 2 2 2" xfId="55517" xr:uid="{00000000-0005-0000-0000-000037280000}"/>
    <cellStyle name="Millares 2 7 4 4 2 2 3" xfId="41955" xr:uid="{00000000-0005-0000-0000-000038280000}"/>
    <cellStyle name="Millares 2 7 4 4 2 3" xfId="21603" xr:uid="{00000000-0005-0000-0000-000039280000}"/>
    <cellStyle name="Millares 2 7 4 4 2 3 2" xfId="48736" xr:uid="{00000000-0005-0000-0000-00003A280000}"/>
    <cellStyle name="Millares 2 7 4 4 2 4" xfId="35174" xr:uid="{00000000-0005-0000-0000-00003B280000}"/>
    <cellStyle name="Millares 2 7 4 4 3" xfId="11427" xr:uid="{00000000-0005-0000-0000-00003C280000}"/>
    <cellStyle name="Millares 2 7 4 4 3 2" xfId="24995" xr:uid="{00000000-0005-0000-0000-00003D280000}"/>
    <cellStyle name="Millares 2 7 4 4 3 2 2" xfId="52128" xr:uid="{00000000-0005-0000-0000-00003E280000}"/>
    <cellStyle name="Millares 2 7 4 4 3 3" xfId="38566" xr:uid="{00000000-0005-0000-0000-00003F280000}"/>
    <cellStyle name="Millares 2 7 4 4 4" xfId="18214" xr:uid="{00000000-0005-0000-0000-000040280000}"/>
    <cellStyle name="Millares 2 7 4 4 4 2" xfId="45347" xr:uid="{00000000-0005-0000-0000-000041280000}"/>
    <cellStyle name="Millares 2 7 4 4 5" xfId="31785" xr:uid="{00000000-0005-0000-0000-000042280000}"/>
    <cellStyle name="Millares 2 7 4 5" xfId="4418" xr:uid="{00000000-0005-0000-0000-000043280000}"/>
    <cellStyle name="Millares 2 7 4 5 2" xfId="8028" xr:uid="{00000000-0005-0000-0000-000044280000}"/>
    <cellStyle name="Millares 2 7 4 5 2 2" xfId="14817" xr:uid="{00000000-0005-0000-0000-000045280000}"/>
    <cellStyle name="Millares 2 7 4 5 2 2 2" xfId="28385" xr:uid="{00000000-0005-0000-0000-000046280000}"/>
    <cellStyle name="Millares 2 7 4 5 2 2 2 2" xfId="55518" xr:uid="{00000000-0005-0000-0000-000047280000}"/>
    <cellStyle name="Millares 2 7 4 5 2 2 3" xfId="41956" xr:uid="{00000000-0005-0000-0000-000048280000}"/>
    <cellStyle name="Millares 2 7 4 5 2 3" xfId="21604" xr:uid="{00000000-0005-0000-0000-000049280000}"/>
    <cellStyle name="Millares 2 7 4 5 2 3 2" xfId="48737" xr:uid="{00000000-0005-0000-0000-00004A280000}"/>
    <cellStyle name="Millares 2 7 4 5 2 4" xfId="35175" xr:uid="{00000000-0005-0000-0000-00004B280000}"/>
    <cellStyle name="Millares 2 7 4 5 3" xfId="11428" xr:uid="{00000000-0005-0000-0000-00004C280000}"/>
    <cellStyle name="Millares 2 7 4 5 3 2" xfId="24996" xr:uid="{00000000-0005-0000-0000-00004D280000}"/>
    <cellStyle name="Millares 2 7 4 5 3 2 2" xfId="52129" xr:uid="{00000000-0005-0000-0000-00004E280000}"/>
    <cellStyle name="Millares 2 7 4 5 3 3" xfId="38567" xr:uid="{00000000-0005-0000-0000-00004F280000}"/>
    <cellStyle name="Millares 2 7 4 5 4" xfId="18215" xr:uid="{00000000-0005-0000-0000-000050280000}"/>
    <cellStyle name="Millares 2 7 4 5 4 2" xfId="45348" xr:uid="{00000000-0005-0000-0000-000051280000}"/>
    <cellStyle name="Millares 2 7 4 5 5" xfId="31786" xr:uid="{00000000-0005-0000-0000-000052280000}"/>
    <cellStyle name="Millares 2 7 4 6" xfId="8021" xr:uid="{00000000-0005-0000-0000-000053280000}"/>
    <cellStyle name="Millares 2 7 4 6 2" xfId="14810" xr:uid="{00000000-0005-0000-0000-000054280000}"/>
    <cellStyle name="Millares 2 7 4 6 2 2" xfId="28378" xr:uid="{00000000-0005-0000-0000-000055280000}"/>
    <cellStyle name="Millares 2 7 4 6 2 2 2" xfId="55511" xr:uid="{00000000-0005-0000-0000-000056280000}"/>
    <cellStyle name="Millares 2 7 4 6 2 3" xfId="41949" xr:uid="{00000000-0005-0000-0000-000057280000}"/>
    <cellStyle name="Millares 2 7 4 6 3" xfId="21597" xr:uid="{00000000-0005-0000-0000-000058280000}"/>
    <cellStyle name="Millares 2 7 4 6 3 2" xfId="48730" xr:uid="{00000000-0005-0000-0000-000059280000}"/>
    <cellStyle name="Millares 2 7 4 6 4" xfId="35168" xr:uid="{00000000-0005-0000-0000-00005A280000}"/>
    <cellStyle name="Millares 2 7 4 7" xfId="11421" xr:uid="{00000000-0005-0000-0000-00005B280000}"/>
    <cellStyle name="Millares 2 7 4 7 2" xfId="24989" xr:uid="{00000000-0005-0000-0000-00005C280000}"/>
    <cellStyle name="Millares 2 7 4 7 2 2" xfId="52122" xr:uid="{00000000-0005-0000-0000-00005D280000}"/>
    <cellStyle name="Millares 2 7 4 7 3" xfId="38560" xr:uid="{00000000-0005-0000-0000-00005E280000}"/>
    <cellStyle name="Millares 2 7 4 8" xfId="18208" xr:uid="{00000000-0005-0000-0000-00005F280000}"/>
    <cellStyle name="Millares 2 7 4 8 2" xfId="45341" xr:uid="{00000000-0005-0000-0000-000060280000}"/>
    <cellStyle name="Millares 2 7 4 9" xfId="31779" xr:uid="{00000000-0005-0000-0000-000061280000}"/>
    <cellStyle name="Millares 2 7 5" xfId="4419" xr:uid="{00000000-0005-0000-0000-000062280000}"/>
    <cellStyle name="Millares 2 7 5 2" xfId="4420" xr:uid="{00000000-0005-0000-0000-000063280000}"/>
    <cellStyle name="Millares 2 7 5 2 2" xfId="4421" xr:uid="{00000000-0005-0000-0000-000064280000}"/>
    <cellStyle name="Millares 2 7 5 2 2 2" xfId="8031" xr:uid="{00000000-0005-0000-0000-000065280000}"/>
    <cellStyle name="Millares 2 7 5 2 2 2 2" xfId="14820" xr:uid="{00000000-0005-0000-0000-000066280000}"/>
    <cellStyle name="Millares 2 7 5 2 2 2 2 2" xfId="28388" xr:uid="{00000000-0005-0000-0000-000067280000}"/>
    <cellStyle name="Millares 2 7 5 2 2 2 2 2 2" xfId="55521" xr:uid="{00000000-0005-0000-0000-000068280000}"/>
    <cellStyle name="Millares 2 7 5 2 2 2 2 3" xfId="41959" xr:uid="{00000000-0005-0000-0000-000069280000}"/>
    <cellStyle name="Millares 2 7 5 2 2 2 3" xfId="21607" xr:uid="{00000000-0005-0000-0000-00006A280000}"/>
    <cellStyle name="Millares 2 7 5 2 2 2 3 2" xfId="48740" xr:uid="{00000000-0005-0000-0000-00006B280000}"/>
    <cellStyle name="Millares 2 7 5 2 2 2 4" xfId="35178" xr:uid="{00000000-0005-0000-0000-00006C280000}"/>
    <cellStyle name="Millares 2 7 5 2 2 3" xfId="11431" xr:uid="{00000000-0005-0000-0000-00006D280000}"/>
    <cellStyle name="Millares 2 7 5 2 2 3 2" xfId="24999" xr:uid="{00000000-0005-0000-0000-00006E280000}"/>
    <cellStyle name="Millares 2 7 5 2 2 3 2 2" xfId="52132" xr:uid="{00000000-0005-0000-0000-00006F280000}"/>
    <cellStyle name="Millares 2 7 5 2 2 3 3" xfId="38570" xr:uid="{00000000-0005-0000-0000-000070280000}"/>
    <cellStyle name="Millares 2 7 5 2 2 4" xfId="18218" xr:uid="{00000000-0005-0000-0000-000071280000}"/>
    <cellStyle name="Millares 2 7 5 2 2 4 2" xfId="45351" xr:uid="{00000000-0005-0000-0000-000072280000}"/>
    <cellStyle name="Millares 2 7 5 2 2 5" xfId="31789" xr:uid="{00000000-0005-0000-0000-000073280000}"/>
    <cellStyle name="Millares 2 7 5 2 3" xfId="4422" xr:uid="{00000000-0005-0000-0000-000074280000}"/>
    <cellStyle name="Millares 2 7 5 2 3 2" xfId="8032" xr:uid="{00000000-0005-0000-0000-000075280000}"/>
    <cellStyle name="Millares 2 7 5 2 3 2 2" xfId="14821" xr:uid="{00000000-0005-0000-0000-000076280000}"/>
    <cellStyle name="Millares 2 7 5 2 3 2 2 2" xfId="28389" xr:uid="{00000000-0005-0000-0000-000077280000}"/>
    <cellStyle name="Millares 2 7 5 2 3 2 2 2 2" xfId="55522" xr:uid="{00000000-0005-0000-0000-000078280000}"/>
    <cellStyle name="Millares 2 7 5 2 3 2 2 3" xfId="41960" xr:uid="{00000000-0005-0000-0000-000079280000}"/>
    <cellStyle name="Millares 2 7 5 2 3 2 3" xfId="21608" xr:uid="{00000000-0005-0000-0000-00007A280000}"/>
    <cellStyle name="Millares 2 7 5 2 3 2 3 2" xfId="48741" xr:uid="{00000000-0005-0000-0000-00007B280000}"/>
    <cellStyle name="Millares 2 7 5 2 3 2 4" xfId="35179" xr:uid="{00000000-0005-0000-0000-00007C280000}"/>
    <cellStyle name="Millares 2 7 5 2 3 3" xfId="11432" xr:uid="{00000000-0005-0000-0000-00007D280000}"/>
    <cellStyle name="Millares 2 7 5 2 3 3 2" xfId="25000" xr:uid="{00000000-0005-0000-0000-00007E280000}"/>
    <cellStyle name="Millares 2 7 5 2 3 3 2 2" xfId="52133" xr:uid="{00000000-0005-0000-0000-00007F280000}"/>
    <cellStyle name="Millares 2 7 5 2 3 3 3" xfId="38571" xr:uid="{00000000-0005-0000-0000-000080280000}"/>
    <cellStyle name="Millares 2 7 5 2 3 4" xfId="18219" xr:uid="{00000000-0005-0000-0000-000081280000}"/>
    <cellStyle name="Millares 2 7 5 2 3 4 2" xfId="45352" xr:uid="{00000000-0005-0000-0000-000082280000}"/>
    <cellStyle name="Millares 2 7 5 2 3 5" xfId="31790" xr:uid="{00000000-0005-0000-0000-000083280000}"/>
    <cellStyle name="Millares 2 7 5 2 4" xfId="8030" xr:uid="{00000000-0005-0000-0000-000084280000}"/>
    <cellStyle name="Millares 2 7 5 2 4 2" xfId="14819" xr:uid="{00000000-0005-0000-0000-000085280000}"/>
    <cellStyle name="Millares 2 7 5 2 4 2 2" xfId="28387" xr:uid="{00000000-0005-0000-0000-000086280000}"/>
    <cellStyle name="Millares 2 7 5 2 4 2 2 2" xfId="55520" xr:uid="{00000000-0005-0000-0000-000087280000}"/>
    <cellStyle name="Millares 2 7 5 2 4 2 3" xfId="41958" xr:uid="{00000000-0005-0000-0000-000088280000}"/>
    <cellStyle name="Millares 2 7 5 2 4 3" xfId="21606" xr:uid="{00000000-0005-0000-0000-000089280000}"/>
    <cellStyle name="Millares 2 7 5 2 4 3 2" xfId="48739" xr:uid="{00000000-0005-0000-0000-00008A280000}"/>
    <cellStyle name="Millares 2 7 5 2 4 4" xfId="35177" xr:uid="{00000000-0005-0000-0000-00008B280000}"/>
    <cellStyle name="Millares 2 7 5 2 5" xfId="11430" xr:uid="{00000000-0005-0000-0000-00008C280000}"/>
    <cellStyle name="Millares 2 7 5 2 5 2" xfId="24998" xr:uid="{00000000-0005-0000-0000-00008D280000}"/>
    <cellStyle name="Millares 2 7 5 2 5 2 2" xfId="52131" xr:uid="{00000000-0005-0000-0000-00008E280000}"/>
    <cellStyle name="Millares 2 7 5 2 5 3" xfId="38569" xr:uid="{00000000-0005-0000-0000-00008F280000}"/>
    <cellStyle name="Millares 2 7 5 2 6" xfId="18217" xr:uid="{00000000-0005-0000-0000-000090280000}"/>
    <cellStyle name="Millares 2 7 5 2 6 2" xfId="45350" xr:uid="{00000000-0005-0000-0000-000091280000}"/>
    <cellStyle name="Millares 2 7 5 2 7" xfId="31788" xr:uid="{00000000-0005-0000-0000-000092280000}"/>
    <cellStyle name="Millares 2 7 5 3" xfId="4423" xr:uid="{00000000-0005-0000-0000-000093280000}"/>
    <cellStyle name="Millares 2 7 5 3 2" xfId="8033" xr:uid="{00000000-0005-0000-0000-000094280000}"/>
    <cellStyle name="Millares 2 7 5 3 2 2" xfId="14822" xr:uid="{00000000-0005-0000-0000-000095280000}"/>
    <cellStyle name="Millares 2 7 5 3 2 2 2" xfId="28390" xr:uid="{00000000-0005-0000-0000-000096280000}"/>
    <cellStyle name="Millares 2 7 5 3 2 2 2 2" xfId="55523" xr:uid="{00000000-0005-0000-0000-000097280000}"/>
    <cellStyle name="Millares 2 7 5 3 2 2 3" xfId="41961" xr:uid="{00000000-0005-0000-0000-000098280000}"/>
    <cellStyle name="Millares 2 7 5 3 2 3" xfId="21609" xr:uid="{00000000-0005-0000-0000-000099280000}"/>
    <cellStyle name="Millares 2 7 5 3 2 3 2" xfId="48742" xr:uid="{00000000-0005-0000-0000-00009A280000}"/>
    <cellStyle name="Millares 2 7 5 3 2 4" xfId="35180" xr:uid="{00000000-0005-0000-0000-00009B280000}"/>
    <cellStyle name="Millares 2 7 5 3 3" xfId="11433" xr:uid="{00000000-0005-0000-0000-00009C280000}"/>
    <cellStyle name="Millares 2 7 5 3 3 2" xfId="25001" xr:uid="{00000000-0005-0000-0000-00009D280000}"/>
    <cellStyle name="Millares 2 7 5 3 3 2 2" xfId="52134" xr:uid="{00000000-0005-0000-0000-00009E280000}"/>
    <cellStyle name="Millares 2 7 5 3 3 3" xfId="38572" xr:uid="{00000000-0005-0000-0000-00009F280000}"/>
    <cellStyle name="Millares 2 7 5 3 4" xfId="18220" xr:uid="{00000000-0005-0000-0000-0000A0280000}"/>
    <cellStyle name="Millares 2 7 5 3 4 2" xfId="45353" xr:uid="{00000000-0005-0000-0000-0000A1280000}"/>
    <cellStyle name="Millares 2 7 5 3 5" xfId="31791" xr:uid="{00000000-0005-0000-0000-0000A2280000}"/>
    <cellStyle name="Millares 2 7 5 4" xfId="4424" xr:uid="{00000000-0005-0000-0000-0000A3280000}"/>
    <cellStyle name="Millares 2 7 5 4 2" xfId="8034" xr:uid="{00000000-0005-0000-0000-0000A4280000}"/>
    <cellStyle name="Millares 2 7 5 4 2 2" xfId="14823" xr:uid="{00000000-0005-0000-0000-0000A5280000}"/>
    <cellStyle name="Millares 2 7 5 4 2 2 2" xfId="28391" xr:uid="{00000000-0005-0000-0000-0000A6280000}"/>
    <cellStyle name="Millares 2 7 5 4 2 2 2 2" xfId="55524" xr:uid="{00000000-0005-0000-0000-0000A7280000}"/>
    <cellStyle name="Millares 2 7 5 4 2 2 3" xfId="41962" xr:uid="{00000000-0005-0000-0000-0000A8280000}"/>
    <cellStyle name="Millares 2 7 5 4 2 3" xfId="21610" xr:uid="{00000000-0005-0000-0000-0000A9280000}"/>
    <cellStyle name="Millares 2 7 5 4 2 3 2" xfId="48743" xr:uid="{00000000-0005-0000-0000-0000AA280000}"/>
    <cellStyle name="Millares 2 7 5 4 2 4" xfId="35181" xr:uid="{00000000-0005-0000-0000-0000AB280000}"/>
    <cellStyle name="Millares 2 7 5 4 3" xfId="11434" xr:uid="{00000000-0005-0000-0000-0000AC280000}"/>
    <cellStyle name="Millares 2 7 5 4 3 2" xfId="25002" xr:uid="{00000000-0005-0000-0000-0000AD280000}"/>
    <cellStyle name="Millares 2 7 5 4 3 2 2" xfId="52135" xr:uid="{00000000-0005-0000-0000-0000AE280000}"/>
    <cellStyle name="Millares 2 7 5 4 3 3" xfId="38573" xr:uid="{00000000-0005-0000-0000-0000AF280000}"/>
    <cellStyle name="Millares 2 7 5 4 4" xfId="18221" xr:uid="{00000000-0005-0000-0000-0000B0280000}"/>
    <cellStyle name="Millares 2 7 5 4 4 2" xfId="45354" xr:uid="{00000000-0005-0000-0000-0000B1280000}"/>
    <cellStyle name="Millares 2 7 5 4 5" xfId="31792" xr:uid="{00000000-0005-0000-0000-0000B2280000}"/>
    <cellStyle name="Millares 2 7 5 5" xfId="8029" xr:uid="{00000000-0005-0000-0000-0000B3280000}"/>
    <cellStyle name="Millares 2 7 5 5 2" xfId="14818" xr:uid="{00000000-0005-0000-0000-0000B4280000}"/>
    <cellStyle name="Millares 2 7 5 5 2 2" xfId="28386" xr:uid="{00000000-0005-0000-0000-0000B5280000}"/>
    <cellStyle name="Millares 2 7 5 5 2 2 2" xfId="55519" xr:uid="{00000000-0005-0000-0000-0000B6280000}"/>
    <cellStyle name="Millares 2 7 5 5 2 3" xfId="41957" xr:uid="{00000000-0005-0000-0000-0000B7280000}"/>
    <cellStyle name="Millares 2 7 5 5 3" xfId="21605" xr:uid="{00000000-0005-0000-0000-0000B8280000}"/>
    <cellStyle name="Millares 2 7 5 5 3 2" xfId="48738" xr:uid="{00000000-0005-0000-0000-0000B9280000}"/>
    <cellStyle name="Millares 2 7 5 5 4" xfId="35176" xr:uid="{00000000-0005-0000-0000-0000BA280000}"/>
    <cellStyle name="Millares 2 7 5 6" xfId="11429" xr:uid="{00000000-0005-0000-0000-0000BB280000}"/>
    <cellStyle name="Millares 2 7 5 6 2" xfId="24997" xr:uid="{00000000-0005-0000-0000-0000BC280000}"/>
    <cellStyle name="Millares 2 7 5 6 2 2" xfId="52130" xr:uid="{00000000-0005-0000-0000-0000BD280000}"/>
    <cellStyle name="Millares 2 7 5 6 3" xfId="38568" xr:uid="{00000000-0005-0000-0000-0000BE280000}"/>
    <cellStyle name="Millares 2 7 5 7" xfId="18216" xr:uid="{00000000-0005-0000-0000-0000BF280000}"/>
    <cellStyle name="Millares 2 7 5 7 2" xfId="45349" xr:uid="{00000000-0005-0000-0000-0000C0280000}"/>
    <cellStyle name="Millares 2 7 5 8" xfId="31787" xr:uid="{00000000-0005-0000-0000-0000C1280000}"/>
    <cellStyle name="Millares 2 7 6" xfId="4425" xr:uid="{00000000-0005-0000-0000-0000C2280000}"/>
    <cellStyle name="Millares 2 7 6 2" xfId="4426" xr:uid="{00000000-0005-0000-0000-0000C3280000}"/>
    <cellStyle name="Millares 2 7 6 2 2" xfId="4427" xr:uid="{00000000-0005-0000-0000-0000C4280000}"/>
    <cellStyle name="Millares 2 7 6 2 2 2" xfId="8037" xr:uid="{00000000-0005-0000-0000-0000C5280000}"/>
    <cellStyle name="Millares 2 7 6 2 2 2 2" xfId="14826" xr:uid="{00000000-0005-0000-0000-0000C6280000}"/>
    <cellStyle name="Millares 2 7 6 2 2 2 2 2" xfId="28394" xr:uid="{00000000-0005-0000-0000-0000C7280000}"/>
    <cellStyle name="Millares 2 7 6 2 2 2 2 2 2" xfId="55527" xr:uid="{00000000-0005-0000-0000-0000C8280000}"/>
    <cellStyle name="Millares 2 7 6 2 2 2 2 3" xfId="41965" xr:uid="{00000000-0005-0000-0000-0000C9280000}"/>
    <cellStyle name="Millares 2 7 6 2 2 2 3" xfId="21613" xr:uid="{00000000-0005-0000-0000-0000CA280000}"/>
    <cellStyle name="Millares 2 7 6 2 2 2 3 2" xfId="48746" xr:uid="{00000000-0005-0000-0000-0000CB280000}"/>
    <cellStyle name="Millares 2 7 6 2 2 2 4" xfId="35184" xr:uid="{00000000-0005-0000-0000-0000CC280000}"/>
    <cellStyle name="Millares 2 7 6 2 2 3" xfId="11437" xr:uid="{00000000-0005-0000-0000-0000CD280000}"/>
    <cellStyle name="Millares 2 7 6 2 2 3 2" xfId="25005" xr:uid="{00000000-0005-0000-0000-0000CE280000}"/>
    <cellStyle name="Millares 2 7 6 2 2 3 2 2" xfId="52138" xr:uid="{00000000-0005-0000-0000-0000CF280000}"/>
    <cellStyle name="Millares 2 7 6 2 2 3 3" xfId="38576" xr:uid="{00000000-0005-0000-0000-0000D0280000}"/>
    <cellStyle name="Millares 2 7 6 2 2 4" xfId="18224" xr:uid="{00000000-0005-0000-0000-0000D1280000}"/>
    <cellStyle name="Millares 2 7 6 2 2 4 2" xfId="45357" xr:uid="{00000000-0005-0000-0000-0000D2280000}"/>
    <cellStyle name="Millares 2 7 6 2 2 5" xfId="31795" xr:uid="{00000000-0005-0000-0000-0000D3280000}"/>
    <cellStyle name="Millares 2 7 6 2 3" xfId="4428" xr:uid="{00000000-0005-0000-0000-0000D4280000}"/>
    <cellStyle name="Millares 2 7 6 2 3 2" xfId="8038" xr:uid="{00000000-0005-0000-0000-0000D5280000}"/>
    <cellStyle name="Millares 2 7 6 2 3 2 2" xfId="14827" xr:uid="{00000000-0005-0000-0000-0000D6280000}"/>
    <cellStyle name="Millares 2 7 6 2 3 2 2 2" xfId="28395" xr:uid="{00000000-0005-0000-0000-0000D7280000}"/>
    <cellStyle name="Millares 2 7 6 2 3 2 2 2 2" xfId="55528" xr:uid="{00000000-0005-0000-0000-0000D8280000}"/>
    <cellStyle name="Millares 2 7 6 2 3 2 2 3" xfId="41966" xr:uid="{00000000-0005-0000-0000-0000D9280000}"/>
    <cellStyle name="Millares 2 7 6 2 3 2 3" xfId="21614" xr:uid="{00000000-0005-0000-0000-0000DA280000}"/>
    <cellStyle name="Millares 2 7 6 2 3 2 3 2" xfId="48747" xr:uid="{00000000-0005-0000-0000-0000DB280000}"/>
    <cellStyle name="Millares 2 7 6 2 3 2 4" xfId="35185" xr:uid="{00000000-0005-0000-0000-0000DC280000}"/>
    <cellStyle name="Millares 2 7 6 2 3 3" xfId="11438" xr:uid="{00000000-0005-0000-0000-0000DD280000}"/>
    <cellStyle name="Millares 2 7 6 2 3 3 2" xfId="25006" xr:uid="{00000000-0005-0000-0000-0000DE280000}"/>
    <cellStyle name="Millares 2 7 6 2 3 3 2 2" xfId="52139" xr:uid="{00000000-0005-0000-0000-0000DF280000}"/>
    <cellStyle name="Millares 2 7 6 2 3 3 3" xfId="38577" xr:uid="{00000000-0005-0000-0000-0000E0280000}"/>
    <cellStyle name="Millares 2 7 6 2 3 4" xfId="18225" xr:uid="{00000000-0005-0000-0000-0000E1280000}"/>
    <cellStyle name="Millares 2 7 6 2 3 4 2" xfId="45358" xr:uid="{00000000-0005-0000-0000-0000E2280000}"/>
    <cellStyle name="Millares 2 7 6 2 3 5" xfId="31796" xr:uid="{00000000-0005-0000-0000-0000E3280000}"/>
    <cellStyle name="Millares 2 7 6 2 4" xfId="8036" xr:uid="{00000000-0005-0000-0000-0000E4280000}"/>
    <cellStyle name="Millares 2 7 6 2 4 2" xfId="14825" xr:uid="{00000000-0005-0000-0000-0000E5280000}"/>
    <cellStyle name="Millares 2 7 6 2 4 2 2" xfId="28393" xr:uid="{00000000-0005-0000-0000-0000E6280000}"/>
    <cellStyle name="Millares 2 7 6 2 4 2 2 2" xfId="55526" xr:uid="{00000000-0005-0000-0000-0000E7280000}"/>
    <cellStyle name="Millares 2 7 6 2 4 2 3" xfId="41964" xr:uid="{00000000-0005-0000-0000-0000E8280000}"/>
    <cellStyle name="Millares 2 7 6 2 4 3" xfId="21612" xr:uid="{00000000-0005-0000-0000-0000E9280000}"/>
    <cellStyle name="Millares 2 7 6 2 4 3 2" xfId="48745" xr:uid="{00000000-0005-0000-0000-0000EA280000}"/>
    <cellStyle name="Millares 2 7 6 2 4 4" xfId="35183" xr:uid="{00000000-0005-0000-0000-0000EB280000}"/>
    <cellStyle name="Millares 2 7 6 2 5" xfId="11436" xr:uid="{00000000-0005-0000-0000-0000EC280000}"/>
    <cellStyle name="Millares 2 7 6 2 5 2" xfId="25004" xr:uid="{00000000-0005-0000-0000-0000ED280000}"/>
    <cellStyle name="Millares 2 7 6 2 5 2 2" xfId="52137" xr:uid="{00000000-0005-0000-0000-0000EE280000}"/>
    <cellStyle name="Millares 2 7 6 2 5 3" xfId="38575" xr:uid="{00000000-0005-0000-0000-0000EF280000}"/>
    <cellStyle name="Millares 2 7 6 2 6" xfId="18223" xr:uid="{00000000-0005-0000-0000-0000F0280000}"/>
    <cellStyle name="Millares 2 7 6 2 6 2" xfId="45356" xr:uid="{00000000-0005-0000-0000-0000F1280000}"/>
    <cellStyle name="Millares 2 7 6 2 7" xfId="31794" xr:uid="{00000000-0005-0000-0000-0000F2280000}"/>
    <cellStyle name="Millares 2 7 6 3" xfId="4429" xr:uid="{00000000-0005-0000-0000-0000F3280000}"/>
    <cellStyle name="Millares 2 7 6 3 2" xfId="8039" xr:uid="{00000000-0005-0000-0000-0000F4280000}"/>
    <cellStyle name="Millares 2 7 6 3 2 2" xfId="14828" xr:uid="{00000000-0005-0000-0000-0000F5280000}"/>
    <cellStyle name="Millares 2 7 6 3 2 2 2" xfId="28396" xr:uid="{00000000-0005-0000-0000-0000F6280000}"/>
    <cellStyle name="Millares 2 7 6 3 2 2 2 2" xfId="55529" xr:uid="{00000000-0005-0000-0000-0000F7280000}"/>
    <cellStyle name="Millares 2 7 6 3 2 2 3" xfId="41967" xr:uid="{00000000-0005-0000-0000-0000F8280000}"/>
    <cellStyle name="Millares 2 7 6 3 2 3" xfId="21615" xr:uid="{00000000-0005-0000-0000-0000F9280000}"/>
    <cellStyle name="Millares 2 7 6 3 2 3 2" xfId="48748" xr:uid="{00000000-0005-0000-0000-0000FA280000}"/>
    <cellStyle name="Millares 2 7 6 3 2 4" xfId="35186" xr:uid="{00000000-0005-0000-0000-0000FB280000}"/>
    <cellStyle name="Millares 2 7 6 3 3" xfId="11439" xr:uid="{00000000-0005-0000-0000-0000FC280000}"/>
    <cellStyle name="Millares 2 7 6 3 3 2" xfId="25007" xr:uid="{00000000-0005-0000-0000-0000FD280000}"/>
    <cellStyle name="Millares 2 7 6 3 3 2 2" xfId="52140" xr:uid="{00000000-0005-0000-0000-0000FE280000}"/>
    <cellStyle name="Millares 2 7 6 3 3 3" xfId="38578" xr:uid="{00000000-0005-0000-0000-0000FF280000}"/>
    <cellStyle name="Millares 2 7 6 3 4" xfId="18226" xr:uid="{00000000-0005-0000-0000-000000290000}"/>
    <cellStyle name="Millares 2 7 6 3 4 2" xfId="45359" xr:uid="{00000000-0005-0000-0000-000001290000}"/>
    <cellStyle name="Millares 2 7 6 3 5" xfId="31797" xr:uid="{00000000-0005-0000-0000-000002290000}"/>
    <cellStyle name="Millares 2 7 6 4" xfId="4430" xr:uid="{00000000-0005-0000-0000-000003290000}"/>
    <cellStyle name="Millares 2 7 6 4 2" xfId="8040" xr:uid="{00000000-0005-0000-0000-000004290000}"/>
    <cellStyle name="Millares 2 7 6 4 2 2" xfId="14829" xr:uid="{00000000-0005-0000-0000-000005290000}"/>
    <cellStyle name="Millares 2 7 6 4 2 2 2" xfId="28397" xr:uid="{00000000-0005-0000-0000-000006290000}"/>
    <cellStyle name="Millares 2 7 6 4 2 2 2 2" xfId="55530" xr:uid="{00000000-0005-0000-0000-000007290000}"/>
    <cellStyle name="Millares 2 7 6 4 2 2 3" xfId="41968" xr:uid="{00000000-0005-0000-0000-000008290000}"/>
    <cellStyle name="Millares 2 7 6 4 2 3" xfId="21616" xr:uid="{00000000-0005-0000-0000-000009290000}"/>
    <cellStyle name="Millares 2 7 6 4 2 3 2" xfId="48749" xr:uid="{00000000-0005-0000-0000-00000A290000}"/>
    <cellStyle name="Millares 2 7 6 4 2 4" xfId="35187" xr:uid="{00000000-0005-0000-0000-00000B290000}"/>
    <cellStyle name="Millares 2 7 6 4 3" xfId="11440" xr:uid="{00000000-0005-0000-0000-00000C290000}"/>
    <cellStyle name="Millares 2 7 6 4 3 2" xfId="25008" xr:uid="{00000000-0005-0000-0000-00000D290000}"/>
    <cellStyle name="Millares 2 7 6 4 3 2 2" xfId="52141" xr:uid="{00000000-0005-0000-0000-00000E290000}"/>
    <cellStyle name="Millares 2 7 6 4 3 3" xfId="38579" xr:uid="{00000000-0005-0000-0000-00000F290000}"/>
    <cellStyle name="Millares 2 7 6 4 4" xfId="18227" xr:uid="{00000000-0005-0000-0000-000010290000}"/>
    <cellStyle name="Millares 2 7 6 4 4 2" xfId="45360" xr:uid="{00000000-0005-0000-0000-000011290000}"/>
    <cellStyle name="Millares 2 7 6 4 5" xfId="31798" xr:uid="{00000000-0005-0000-0000-000012290000}"/>
    <cellStyle name="Millares 2 7 6 5" xfId="8035" xr:uid="{00000000-0005-0000-0000-000013290000}"/>
    <cellStyle name="Millares 2 7 6 5 2" xfId="14824" xr:uid="{00000000-0005-0000-0000-000014290000}"/>
    <cellStyle name="Millares 2 7 6 5 2 2" xfId="28392" xr:uid="{00000000-0005-0000-0000-000015290000}"/>
    <cellStyle name="Millares 2 7 6 5 2 2 2" xfId="55525" xr:uid="{00000000-0005-0000-0000-000016290000}"/>
    <cellStyle name="Millares 2 7 6 5 2 3" xfId="41963" xr:uid="{00000000-0005-0000-0000-000017290000}"/>
    <cellStyle name="Millares 2 7 6 5 3" xfId="21611" xr:uid="{00000000-0005-0000-0000-000018290000}"/>
    <cellStyle name="Millares 2 7 6 5 3 2" xfId="48744" xr:uid="{00000000-0005-0000-0000-000019290000}"/>
    <cellStyle name="Millares 2 7 6 5 4" xfId="35182" xr:uid="{00000000-0005-0000-0000-00001A290000}"/>
    <cellStyle name="Millares 2 7 6 6" xfId="11435" xr:uid="{00000000-0005-0000-0000-00001B290000}"/>
    <cellStyle name="Millares 2 7 6 6 2" xfId="25003" xr:uid="{00000000-0005-0000-0000-00001C290000}"/>
    <cellStyle name="Millares 2 7 6 6 2 2" xfId="52136" xr:uid="{00000000-0005-0000-0000-00001D290000}"/>
    <cellStyle name="Millares 2 7 6 6 3" xfId="38574" xr:uid="{00000000-0005-0000-0000-00001E290000}"/>
    <cellStyle name="Millares 2 7 6 7" xfId="18222" xr:uid="{00000000-0005-0000-0000-00001F290000}"/>
    <cellStyle name="Millares 2 7 6 7 2" xfId="45355" xr:uid="{00000000-0005-0000-0000-000020290000}"/>
    <cellStyle name="Millares 2 7 6 8" xfId="31793" xr:uid="{00000000-0005-0000-0000-000021290000}"/>
    <cellStyle name="Millares 2 7 7" xfId="4431" xr:uid="{00000000-0005-0000-0000-000022290000}"/>
    <cellStyle name="Millares 2 7 7 2" xfId="4432" xr:uid="{00000000-0005-0000-0000-000023290000}"/>
    <cellStyle name="Millares 2 7 7 2 2" xfId="8042" xr:uid="{00000000-0005-0000-0000-000024290000}"/>
    <cellStyle name="Millares 2 7 7 2 2 2" xfId="14831" xr:uid="{00000000-0005-0000-0000-000025290000}"/>
    <cellStyle name="Millares 2 7 7 2 2 2 2" xfId="28399" xr:uid="{00000000-0005-0000-0000-000026290000}"/>
    <cellStyle name="Millares 2 7 7 2 2 2 2 2" xfId="55532" xr:uid="{00000000-0005-0000-0000-000027290000}"/>
    <cellStyle name="Millares 2 7 7 2 2 2 3" xfId="41970" xr:uid="{00000000-0005-0000-0000-000028290000}"/>
    <cellStyle name="Millares 2 7 7 2 2 3" xfId="21618" xr:uid="{00000000-0005-0000-0000-000029290000}"/>
    <cellStyle name="Millares 2 7 7 2 2 3 2" xfId="48751" xr:uid="{00000000-0005-0000-0000-00002A290000}"/>
    <cellStyle name="Millares 2 7 7 2 2 4" xfId="35189" xr:uid="{00000000-0005-0000-0000-00002B290000}"/>
    <cellStyle name="Millares 2 7 7 2 3" xfId="11442" xr:uid="{00000000-0005-0000-0000-00002C290000}"/>
    <cellStyle name="Millares 2 7 7 2 3 2" xfId="25010" xr:uid="{00000000-0005-0000-0000-00002D290000}"/>
    <cellStyle name="Millares 2 7 7 2 3 2 2" xfId="52143" xr:uid="{00000000-0005-0000-0000-00002E290000}"/>
    <cellStyle name="Millares 2 7 7 2 3 3" xfId="38581" xr:uid="{00000000-0005-0000-0000-00002F290000}"/>
    <cellStyle name="Millares 2 7 7 2 4" xfId="18229" xr:uid="{00000000-0005-0000-0000-000030290000}"/>
    <cellStyle name="Millares 2 7 7 2 4 2" xfId="45362" xr:uid="{00000000-0005-0000-0000-000031290000}"/>
    <cellStyle name="Millares 2 7 7 2 5" xfId="31800" xr:uid="{00000000-0005-0000-0000-000032290000}"/>
    <cellStyle name="Millares 2 7 7 3" xfId="4433" xr:uid="{00000000-0005-0000-0000-000033290000}"/>
    <cellStyle name="Millares 2 7 7 3 2" xfId="8043" xr:uid="{00000000-0005-0000-0000-000034290000}"/>
    <cellStyle name="Millares 2 7 7 3 2 2" xfId="14832" xr:uid="{00000000-0005-0000-0000-000035290000}"/>
    <cellStyle name="Millares 2 7 7 3 2 2 2" xfId="28400" xr:uid="{00000000-0005-0000-0000-000036290000}"/>
    <cellStyle name="Millares 2 7 7 3 2 2 2 2" xfId="55533" xr:uid="{00000000-0005-0000-0000-000037290000}"/>
    <cellStyle name="Millares 2 7 7 3 2 2 3" xfId="41971" xr:uid="{00000000-0005-0000-0000-000038290000}"/>
    <cellStyle name="Millares 2 7 7 3 2 3" xfId="21619" xr:uid="{00000000-0005-0000-0000-000039290000}"/>
    <cellStyle name="Millares 2 7 7 3 2 3 2" xfId="48752" xr:uid="{00000000-0005-0000-0000-00003A290000}"/>
    <cellStyle name="Millares 2 7 7 3 2 4" xfId="35190" xr:uid="{00000000-0005-0000-0000-00003B290000}"/>
    <cellStyle name="Millares 2 7 7 3 3" xfId="11443" xr:uid="{00000000-0005-0000-0000-00003C290000}"/>
    <cellStyle name="Millares 2 7 7 3 3 2" xfId="25011" xr:uid="{00000000-0005-0000-0000-00003D290000}"/>
    <cellStyle name="Millares 2 7 7 3 3 2 2" xfId="52144" xr:uid="{00000000-0005-0000-0000-00003E290000}"/>
    <cellStyle name="Millares 2 7 7 3 3 3" xfId="38582" xr:uid="{00000000-0005-0000-0000-00003F290000}"/>
    <cellStyle name="Millares 2 7 7 3 4" xfId="18230" xr:uid="{00000000-0005-0000-0000-000040290000}"/>
    <cellStyle name="Millares 2 7 7 3 4 2" xfId="45363" xr:uid="{00000000-0005-0000-0000-000041290000}"/>
    <cellStyle name="Millares 2 7 7 3 5" xfId="31801" xr:uid="{00000000-0005-0000-0000-000042290000}"/>
    <cellStyle name="Millares 2 7 7 4" xfId="8041" xr:uid="{00000000-0005-0000-0000-000043290000}"/>
    <cellStyle name="Millares 2 7 7 4 2" xfId="14830" xr:uid="{00000000-0005-0000-0000-000044290000}"/>
    <cellStyle name="Millares 2 7 7 4 2 2" xfId="28398" xr:uid="{00000000-0005-0000-0000-000045290000}"/>
    <cellStyle name="Millares 2 7 7 4 2 2 2" xfId="55531" xr:uid="{00000000-0005-0000-0000-000046290000}"/>
    <cellStyle name="Millares 2 7 7 4 2 3" xfId="41969" xr:uid="{00000000-0005-0000-0000-000047290000}"/>
    <cellStyle name="Millares 2 7 7 4 3" xfId="21617" xr:uid="{00000000-0005-0000-0000-000048290000}"/>
    <cellStyle name="Millares 2 7 7 4 3 2" xfId="48750" xr:uid="{00000000-0005-0000-0000-000049290000}"/>
    <cellStyle name="Millares 2 7 7 4 4" xfId="35188" xr:uid="{00000000-0005-0000-0000-00004A290000}"/>
    <cellStyle name="Millares 2 7 7 5" xfId="11441" xr:uid="{00000000-0005-0000-0000-00004B290000}"/>
    <cellStyle name="Millares 2 7 7 5 2" xfId="25009" xr:uid="{00000000-0005-0000-0000-00004C290000}"/>
    <cellStyle name="Millares 2 7 7 5 2 2" xfId="52142" xr:uid="{00000000-0005-0000-0000-00004D290000}"/>
    <cellStyle name="Millares 2 7 7 5 3" xfId="38580" xr:uid="{00000000-0005-0000-0000-00004E290000}"/>
    <cellStyle name="Millares 2 7 7 6" xfId="18228" xr:uid="{00000000-0005-0000-0000-00004F290000}"/>
    <cellStyle name="Millares 2 7 7 6 2" xfId="45361" xr:uid="{00000000-0005-0000-0000-000050290000}"/>
    <cellStyle name="Millares 2 7 7 7" xfId="31799" xr:uid="{00000000-0005-0000-0000-000051290000}"/>
    <cellStyle name="Millares 2 7 8" xfId="4434" xr:uid="{00000000-0005-0000-0000-000052290000}"/>
    <cellStyle name="Millares 2 7 8 2" xfId="4435" xr:uid="{00000000-0005-0000-0000-000053290000}"/>
    <cellStyle name="Millares 2 7 8 2 2" xfId="8045" xr:uid="{00000000-0005-0000-0000-000054290000}"/>
    <cellStyle name="Millares 2 7 8 2 2 2" xfId="14834" xr:uid="{00000000-0005-0000-0000-000055290000}"/>
    <cellStyle name="Millares 2 7 8 2 2 2 2" xfId="28402" xr:uid="{00000000-0005-0000-0000-000056290000}"/>
    <cellStyle name="Millares 2 7 8 2 2 2 2 2" xfId="55535" xr:uid="{00000000-0005-0000-0000-000057290000}"/>
    <cellStyle name="Millares 2 7 8 2 2 2 3" xfId="41973" xr:uid="{00000000-0005-0000-0000-000058290000}"/>
    <cellStyle name="Millares 2 7 8 2 2 3" xfId="21621" xr:uid="{00000000-0005-0000-0000-000059290000}"/>
    <cellStyle name="Millares 2 7 8 2 2 3 2" xfId="48754" xr:uid="{00000000-0005-0000-0000-00005A290000}"/>
    <cellStyle name="Millares 2 7 8 2 2 4" xfId="35192" xr:uid="{00000000-0005-0000-0000-00005B290000}"/>
    <cellStyle name="Millares 2 7 8 2 3" xfId="11445" xr:uid="{00000000-0005-0000-0000-00005C290000}"/>
    <cellStyle name="Millares 2 7 8 2 3 2" xfId="25013" xr:uid="{00000000-0005-0000-0000-00005D290000}"/>
    <cellStyle name="Millares 2 7 8 2 3 2 2" xfId="52146" xr:uid="{00000000-0005-0000-0000-00005E290000}"/>
    <cellStyle name="Millares 2 7 8 2 3 3" xfId="38584" xr:uid="{00000000-0005-0000-0000-00005F290000}"/>
    <cellStyle name="Millares 2 7 8 2 4" xfId="18232" xr:uid="{00000000-0005-0000-0000-000060290000}"/>
    <cellStyle name="Millares 2 7 8 2 4 2" xfId="45365" xr:uid="{00000000-0005-0000-0000-000061290000}"/>
    <cellStyle name="Millares 2 7 8 2 5" xfId="31803" xr:uid="{00000000-0005-0000-0000-000062290000}"/>
    <cellStyle name="Millares 2 7 8 3" xfId="4436" xr:uid="{00000000-0005-0000-0000-000063290000}"/>
    <cellStyle name="Millares 2 7 8 3 2" xfId="8046" xr:uid="{00000000-0005-0000-0000-000064290000}"/>
    <cellStyle name="Millares 2 7 8 3 2 2" xfId="14835" xr:uid="{00000000-0005-0000-0000-000065290000}"/>
    <cellStyle name="Millares 2 7 8 3 2 2 2" xfId="28403" xr:uid="{00000000-0005-0000-0000-000066290000}"/>
    <cellStyle name="Millares 2 7 8 3 2 2 2 2" xfId="55536" xr:uid="{00000000-0005-0000-0000-000067290000}"/>
    <cellStyle name="Millares 2 7 8 3 2 2 3" xfId="41974" xr:uid="{00000000-0005-0000-0000-000068290000}"/>
    <cellStyle name="Millares 2 7 8 3 2 3" xfId="21622" xr:uid="{00000000-0005-0000-0000-000069290000}"/>
    <cellStyle name="Millares 2 7 8 3 2 3 2" xfId="48755" xr:uid="{00000000-0005-0000-0000-00006A290000}"/>
    <cellStyle name="Millares 2 7 8 3 2 4" xfId="35193" xr:uid="{00000000-0005-0000-0000-00006B290000}"/>
    <cellStyle name="Millares 2 7 8 3 3" xfId="11446" xr:uid="{00000000-0005-0000-0000-00006C290000}"/>
    <cellStyle name="Millares 2 7 8 3 3 2" xfId="25014" xr:uid="{00000000-0005-0000-0000-00006D290000}"/>
    <cellStyle name="Millares 2 7 8 3 3 2 2" xfId="52147" xr:uid="{00000000-0005-0000-0000-00006E290000}"/>
    <cellStyle name="Millares 2 7 8 3 3 3" xfId="38585" xr:uid="{00000000-0005-0000-0000-00006F290000}"/>
    <cellStyle name="Millares 2 7 8 3 4" xfId="18233" xr:uid="{00000000-0005-0000-0000-000070290000}"/>
    <cellStyle name="Millares 2 7 8 3 4 2" xfId="45366" xr:uid="{00000000-0005-0000-0000-000071290000}"/>
    <cellStyle name="Millares 2 7 8 3 5" xfId="31804" xr:uid="{00000000-0005-0000-0000-000072290000}"/>
    <cellStyle name="Millares 2 7 8 4" xfId="8044" xr:uid="{00000000-0005-0000-0000-000073290000}"/>
    <cellStyle name="Millares 2 7 8 4 2" xfId="14833" xr:uid="{00000000-0005-0000-0000-000074290000}"/>
    <cellStyle name="Millares 2 7 8 4 2 2" xfId="28401" xr:uid="{00000000-0005-0000-0000-000075290000}"/>
    <cellStyle name="Millares 2 7 8 4 2 2 2" xfId="55534" xr:uid="{00000000-0005-0000-0000-000076290000}"/>
    <cellStyle name="Millares 2 7 8 4 2 3" xfId="41972" xr:uid="{00000000-0005-0000-0000-000077290000}"/>
    <cellStyle name="Millares 2 7 8 4 3" xfId="21620" xr:uid="{00000000-0005-0000-0000-000078290000}"/>
    <cellStyle name="Millares 2 7 8 4 3 2" xfId="48753" xr:uid="{00000000-0005-0000-0000-000079290000}"/>
    <cellStyle name="Millares 2 7 8 4 4" xfId="35191" xr:uid="{00000000-0005-0000-0000-00007A290000}"/>
    <cellStyle name="Millares 2 7 8 5" xfId="11444" xr:uid="{00000000-0005-0000-0000-00007B290000}"/>
    <cellStyle name="Millares 2 7 8 5 2" xfId="25012" xr:uid="{00000000-0005-0000-0000-00007C290000}"/>
    <cellStyle name="Millares 2 7 8 5 2 2" xfId="52145" xr:uid="{00000000-0005-0000-0000-00007D290000}"/>
    <cellStyle name="Millares 2 7 8 5 3" xfId="38583" xr:uid="{00000000-0005-0000-0000-00007E290000}"/>
    <cellStyle name="Millares 2 7 8 6" xfId="18231" xr:uid="{00000000-0005-0000-0000-00007F290000}"/>
    <cellStyle name="Millares 2 7 8 6 2" xfId="45364" xr:uid="{00000000-0005-0000-0000-000080290000}"/>
    <cellStyle name="Millares 2 7 8 7" xfId="31802" xr:uid="{00000000-0005-0000-0000-000081290000}"/>
    <cellStyle name="Millares 2 7 9" xfId="4437" xr:uid="{00000000-0005-0000-0000-000082290000}"/>
    <cellStyle name="Millares 2 7 9 2" xfId="8047" xr:uid="{00000000-0005-0000-0000-000083290000}"/>
    <cellStyle name="Millares 2 7 9 2 2" xfId="14836" xr:uid="{00000000-0005-0000-0000-000084290000}"/>
    <cellStyle name="Millares 2 7 9 2 2 2" xfId="28404" xr:uid="{00000000-0005-0000-0000-000085290000}"/>
    <cellStyle name="Millares 2 7 9 2 2 2 2" xfId="55537" xr:uid="{00000000-0005-0000-0000-000086290000}"/>
    <cellStyle name="Millares 2 7 9 2 2 3" xfId="41975" xr:uid="{00000000-0005-0000-0000-000087290000}"/>
    <cellStyle name="Millares 2 7 9 2 3" xfId="21623" xr:uid="{00000000-0005-0000-0000-000088290000}"/>
    <cellStyle name="Millares 2 7 9 2 3 2" xfId="48756" xr:uid="{00000000-0005-0000-0000-000089290000}"/>
    <cellStyle name="Millares 2 7 9 2 4" xfId="35194" xr:uid="{00000000-0005-0000-0000-00008A290000}"/>
    <cellStyle name="Millares 2 7 9 3" xfId="11447" xr:uid="{00000000-0005-0000-0000-00008B290000}"/>
    <cellStyle name="Millares 2 7 9 3 2" xfId="25015" xr:uid="{00000000-0005-0000-0000-00008C290000}"/>
    <cellStyle name="Millares 2 7 9 3 2 2" xfId="52148" xr:uid="{00000000-0005-0000-0000-00008D290000}"/>
    <cellStyle name="Millares 2 7 9 3 3" xfId="38586" xr:uid="{00000000-0005-0000-0000-00008E290000}"/>
    <cellStyle name="Millares 2 7 9 4" xfId="18234" xr:uid="{00000000-0005-0000-0000-00008F290000}"/>
    <cellStyle name="Millares 2 7 9 4 2" xfId="45367" xr:uid="{00000000-0005-0000-0000-000090290000}"/>
    <cellStyle name="Millares 2 7 9 5" xfId="31805" xr:uid="{00000000-0005-0000-0000-000091290000}"/>
    <cellStyle name="Millares 2 70" xfId="2423" xr:uid="{00000000-0005-0000-0000-000092290000}"/>
    <cellStyle name="Millares 2 71" xfId="2424" xr:uid="{00000000-0005-0000-0000-000093290000}"/>
    <cellStyle name="Millares 2 72" xfId="2425" xr:uid="{00000000-0005-0000-0000-000094290000}"/>
    <cellStyle name="Millares 2 73" xfId="2426" xr:uid="{00000000-0005-0000-0000-000095290000}"/>
    <cellStyle name="Millares 2 74" xfId="2427" xr:uid="{00000000-0005-0000-0000-000096290000}"/>
    <cellStyle name="Millares 2 75" xfId="2428" xr:uid="{00000000-0005-0000-0000-000097290000}"/>
    <cellStyle name="Millares 2 76" xfId="2429" xr:uid="{00000000-0005-0000-0000-000098290000}"/>
    <cellStyle name="Millares 2 77" xfId="2430" xr:uid="{00000000-0005-0000-0000-000099290000}"/>
    <cellStyle name="Millares 2 78" xfId="2431" xr:uid="{00000000-0005-0000-0000-00009A290000}"/>
    <cellStyle name="Millares 2 79" xfId="2432" xr:uid="{00000000-0005-0000-0000-00009B290000}"/>
    <cellStyle name="Millares 2 8" xfId="2433" xr:uid="{00000000-0005-0000-0000-00009C290000}"/>
    <cellStyle name="Millares 2 80" xfId="4438" xr:uid="{00000000-0005-0000-0000-00009D290000}"/>
    <cellStyle name="Millares 2 80 10" xfId="4439" xr:uid="{00000000-0005-0000-0000-00009E290000}"/>
    <cellStyle name="Millares 2 80 10 2" xfId="8048" xr:uid="{00000000-0005-0000-0000-00009F290000}"/>
    <cellStyle name="Millares 2 80 10 2 2" xfId="14837" xr:uid="{00000000-0005-0000-0000-0000A0290000}"/>
    <cellStyle name="Millares 2 80 10 2 2 2" xfId="28405" xr:uid="{00000000-0005-0000-0000-0000A1290000}"/>
    <cellStyle name="Millares 2 80 10 2 2 2 2" xfId="55538" xr:uid="{00000000-0005-0000-0000-0000A2290000}"/>
    <cellStyle name="Millares 2 80 10 2 2 3" xfId="41976" xr:uid="{00000000-0005-0000-0000-0000A3290000}"/>
    <cellStyle name="Millares 2 80 10 2 3" xfId="21624" xr:uid="{00000000-0005-0000-0000-0000A4290000}"/>
    <cellStyle name="Millares 2 80 10 2 3 2" xfId="48757" xr:uid="{00000000-0005-0000-0000-0000A5290000}"/>
    <cellStyle name="Millares 2 80 10 2 4" xfId="35195" xr:uid="{00000000-0005-0000-0000-0000A6290000}"/>
    <cellStyle name="Millares 2 80 10 3" xfId="11448" xr:uid="{00000000-0005-0000-0000-0000A7290000}"/>
    <cellStyle name="Millares 2 80 10 3 2" xfId="25016" xr:uid="{00000000-0005-0000-0000-0000A8290000}"/>
    <cellStyle name="Millares 2 80 10 3 2 2" xfId="52149" xr:uid="{00000000-0005-0000-0000-0000A9290000}"/>
    <cellStyle name="Millares 2 80 10 3 3" xfId="38587" xr:uid="{00000000-0005-0000-0000-0000AA290000}"/>
    <cellStyle name="Millares 2 80 10 4" xfId="18235" xr:uid="{00000000-0005-0000-0000-0000AB290000}"/>
    <cellStyle name="Millares 2 80 10 4 2" xfId="45368" xr:uid="{00000000-0005-0000-0000-0000AC290000}"/>
    <cellStyle name="Millares 2 80 10 5" xfId="31806" xr:uid="{00000000-0005-0000-0000-0000AD290000}"/>
    <cellStyle name="Millares 2 80 11" xfId="4440" xr:uid="{00000000-0005-0000-0000-0000AE290000}"/>
    <cellStyle name="Millares 2 80 11 2" xfId="8049" xr:uid="{00000000-0005-0000-0000-0000AF290000}"/>
    <cellStyle name="Millares 2 80 11 2 2" xfId="14838" xr:uid="{00000000-0005-0000-0000-0000B0290000}"/>
    <cellStyle name="Millares 2 80 11 2 2 2" xfId="28406" xr:uid="{00000000-0005-0000-0000-0000B1290000}"/>
    <cellStyle name="Millares 2 80 11 2 2 2 2" xfId="55539" xr:uid="{00000000-0005-0000-0000-0000B2290000}"/>
    <cellStyle name="Millares 2 80 11 2 2 3" xfId="41977" xr:uid="{00000000-0005-0000-0000-0000B3290000}"/>
    <cellStyle name="Millares 2 80 11 2 3" xfId="21625" xr:uid="{00000000-0005-0000-0000-0000B4290000}"/>
    <cellStyle name="Millares 2 80 11 2 3 2" xfId="48758" xr:uid="{00000000-0005-0000-0000-0000B5290000}"/>
    <cellStyle name="Millares 2 80 11 2 4" xfId="35196" xr:uid="{00000000-0005-0000-0000-0000B6290000}"/>
    <cellStyle name="Millares 2 80 11 3" xfId="11449" xr:uid="{00000000-0005-0000-0000-0000B7290000}"/>
    <cellStyle name="Millares 2 80 11 3 2" xfId="25017" xr:uid="{00000000-0005-0000-0000-0000B8290000}"/>
    <cellStyle name="Millares 2 80 11 3 2 2" xfId="52150" xr:uid="{00000000-0005-0000-0000-0000B9290000}"/>
    <cellStyle name="Millares 2 80 11 3 3" xfId="38588" xr:uid="{00000000-0005-0000-0000-0000BA290000}"/>
    <cellStyle name="Millares 2 80 11 4" xfId="18236" xr:uid="{00000000-0005-0000-0000-0000BB290000}"/>
    <cellStyle name="Millares 2 80 11 4 2" xfId="45369" xr:uid="{00000000-0005-0000-0000-0000BC290000}"/>
    <cellStyle name="Millares 2 80 11 5" xfId="31807" xr:uid="{00000000-0005-0000-0000-0000BD290000}"/>
    <cellStyle name="Millares 2 80 2" xfId="4441" xr:uid="{00000000-0005-0000-0000-0000BE290000}"/>
    <cellStyle name="Millares 2 80 2 10" xfId="4442" xr:uid="{00000000-0005-0000-0000-0000BF290000}"/>
    <cellStyle name="Millares 2 80 2 10 2" xfId="8051" xr:uid="{00000000-0005-0000-0000-0000C0290000}"/>
    <cellStyle name="Millares 2 80 2 10 2 2" xfId="14840" xr:uid="{00000000-0005-0000-0000-0000C1290000}"/>
    <cellStyle name="Millares 2 80 2 10 2 2 2" xfId="28408" xr:uid="{00000000-0005-0000-0000-0000C2290000}"/>
    <cellStyle name="Millares 2 80 2 10 2 2 2 2" xfId="55541" xr:uid="{00000000-0005-0000-0000-0000C3290000}"/>
    <cellStyle name="Millares 2 80 2 10 2 2 3" xfId="41979" xr:uid="{00000000-0005-0000-0000-0000C4290000}"/>
    <cellStyle name="Millares 2 80 2 10 2 3" xfId="21627" xr:uid="{00000000-0005-0000-0000-0000C5290000}"/>
    <cellStyle name="Millares 2 80 2 10 2 3 2" xfId="48760" xr:uid="{00000000-0005-0000-0000-0000C6290000}"/>
    <cellStyle name="Millares 2 80 2 10 2 4" xfId="35198" xr:uid="{00000000-0005-0000-0000-0000C7290000}"/>
    <cellStyle name="Millares 2 80 2 10 3" xfId="11451" xr:uid="{00000000-0005-0000-0000-0000C8290000}"/>
    <cellStyle name="Millares 2 80 2 10 3 2" xfId="25019" xr:uid="{00000000-0005-0000-0000-0000C9290000}"/>
    <cellStyle name="Millares 2 80 2 10 3 2 2" xfId="52152" xr:uid="{00000000-0005-0000-0000-0000CA290000}"/>
    <cellStyle name="Millares 2 80 2 10 3 3" xfId="38590" xr:uid="{00000000-0005-0000-0000-0000CB290000}"/>
    <cellStyle name="Millares 2 80 2 10 4" xfId="18238" xr:uid="{00000000-0005-0000-0000-0000CC290000}"/>
    <cellStyle name="Millares 2 80 2 10 4 2" xfId="45371" xr:uid="{00000000-0005-0000-0000-0000CD290000}"/>
    <cellStyle name="Millares 2 80 2 10 5" xfId="31809" xr:uid="{00000000-0005-0000-0000-0000CE290000}"/>
    <cellStyle name="Millares 2 80 2 11" xfId="8050" xr:uid="{00000000-0005-0000-0000-0000CF290000}"/>
    <cellStyle name="Millares 2 80 2 11 2" xfId="14839" xr:uid="{00000000-0005-0000-0000-0000D0290000}"/>
    <cellStyle name="Millares 2 80 2 11 2 2" xfId="28407" xr:uid="{00000000-0005-0000-0000-0000D1290000}"/>
    <cellStyle name="Millares 2 80 2 11 2 2 2" xfId="55540" xr:uid="{00000000-0005-0000-0000-0000D2290000}"/>
    <cellStyle name="Millares 2 80 2 11 2 3" xfId="41978" xr:uid="{00000000-0005-0000-0000-0000D3290000}"/>
    <cellStyle name="Millares 2 80 2 11 3" xfId="21626" xr:uid="{00000000-0005-0000-0000-0000D4290000}"/>
    <cellStyle name="Millares 2 80 2 11 3 2" xfId="48759" xr:uid="{00000000-0005-0000-0000-0000D5290000}"/>
    <cellStyle name="Millares 2 80 2 11 4" xfId="35197" xr:uid="{00000000-0005-0000-0000-0000D6290000}"/>
    <cellStyle name="Millares 2 80 2 12" xfId="11450" xr:uid="{00000000-0005-0000-0000-0000D7290000}"/>
    <cellStyle name="Millares 2 80 2 12 2" xfId="25018" xr:uid="{00000000-0005-0000-0000-0000D8290000}"/>
    <cellStyle name="Millares 2 80 2 12 2 2" xfId="52151" xr:uid="{00000000-0005-0000-0000-0000D9290000}"/>
    <cellStyle name="Millares 2 80 2 12 3" xfId="38589" xr:uid="{00000000-0005-0000-0000-0000DA290000}"/>
    <cellStyle name="Millares 2 80 2 13" xfId="18237" xr:uid="{00000000-0005-0000-0000-0000DB290000}"/>
    <cellStyle name="Millares 2 80 2 13 2" xfId="45370" xr:uid="{00000000-0005-0000-0000-0000DC290000}"/>
    <cellStyle name="Millares 2 80 2 14" xfId="31808" xr:uid="{00000000-0005-0000-0000-0000DD290000}"/>
    <cellStyle name="Millares 2 80 2 2" xfId="4443" xr:uid="{00000000-0005-0000-0000-0000DE290000}"/>
    <cellStyle name="Millares 2 80 2 2 10" xfId="11452" xr:uid="{00000000-0005-0000-0000-0000DF290000}"/>
    <cellStyle name="Millares 2 80 2 2 10 2" xfId="25020" xr:uid="{00000000-0005-0000-0000-0000E0290000}"/>
    <cellStyle name="Millares 2 80 2 2 10 2 2" xfId="52153" xr:uid="{00000000-0005-0000-0000-0000E1290000}"/>
    <cellStyle name="Millares 2 80 2 2 10 3" xfId="38591" xr:uid="{00000000-0005-0000-0000-0000E2290000}"/>
    <cellStyle name="Millares 2 80 2 2 11" xfId="18239" xr:uid="{00000000-0005-0000-0000-0000E3290000}"/>
    <cellStyle name="Millares 2 80 2 2 11 2" xfId="45372" xr:uid="{00000000-0005-0000-0000-0000E4290000}"/>
    <cellStyle name="Millares 2 80 2 2 12" xfId="31810" xr:uid="{00000000-0005-0000-0000-0000E5290000}"/>
    <cellStyle name="Millares 2 80 2 2 2" xfId="4444" xr:uid="{00000000-0005-0000-0000-0000E6290000}"/>
    <cellStyle name="Millares 2 80 2 2 2 10" xfId="31811" xr:uid="{00000000-0005-0000-0000-0000E7290000}"/>
    <cellStyle name="Millares 2 80 2 2 2 2" xfId="4445" xr:uid="{00000000-0005-0000-0000-0000E8290000}"/>
    <cellStyle name="Millares 2 80 2 2 2 2 2" xfId="4446" xr:uid="{00000000-0005-0000-0000-0000E9290000}"/>
    <cellStyle name="Millares 2 80 2 2 2 2 2 2" xfId="4447" xr:uid="{00000000-0005-0000-0000-0000EA290000}"/>
    <cellStyle name="Millares 2 80 2 2 2 2 2 2 2" xfId="8056" xr:uid="{00000000-0005-0000-0000-0000EB290000}"/>
    <cellStyle name="Millares 2 80 2 2 2 2 2 2 2 2" xfId="14845" xr:uid="{00000000-0005-0000-0000-0000EC290000}"/>
    <cellStyle name="Millares 2 80 2 2 2 2 2 2 2 2 2" xfId="28413" xr:uid="{00000000-0005-0000-0000-0000ED290000}"/>
    <cellStyle name="Millares 2 80 2 2 2 2 2 2 2 2 2 2" xfId="55546" xr:uid="{00000000-0005-0000-0000-0000EE290000}"/>
    <cellStyle name="Millares 2 80 2 2 2 2 2 2 2 2 3" xfId="41984" xr:uid="{00000000-0005-0000-0000-0000EF290000}"/>
    <cellStyle name="Millares 2 80 2 2 2 2 2 2 2 3" xfId="21632" xr:uid="{00000000-0005-0000-0000-0000F0290000}"/>
    <cellStyle name="Millares 2 80 2 2 2 2 2 2 2 3 2" xfId="48765" xr:uid="{00000000-0005-0000-0000-0000F1290000}"/>
    <cellStyle name="Millares 2 80 2 2 2 2 2 2 2 4" xfId="35203" xr:uid="{00000000-0005-0000-0000-0000F2290000}"/>
    <cellStyle name="Millares 2 80 2 2 2 2 2 2 3" xfId="11456" xr:uid="{00000000-0005-0000-0000-0000F3290000}"/>
    <cellStyle name="Millares 2 80 2 2 2 2 2 2 3 2" xfId="25024" xr:uid="{00000000-0005-0000-0000-0000F4290000}"/>
    <cellStyle name="Millares 2 80 2 2 2 2 2 2 3 2 2" xfId="52157" xr:uid="{00000000-0005-0000-0000-0000F5290000}"/>
    <cellStyle name="Millares 2 80 2 2 2 2 2 2 3 3" xfId="38595" xr:uid="{00000000-0005-0000-0000-0000F6290000}"/>
    <cellStyle name="Millares 2 80 2 2 2 2 2 2 4" xfId="18243" xr:uid="{00000000-0005-0000-0000-0000F7290000}"/>
    <cellStyle name="Millares 2 80 2 2 2 2 2 2 4 2" xfId="45376" xr:uid="{00000000-0005-0000-0000-0000F8290000}"/>
    <cellStyle name="Millares 2 80 2 2 2 2 2 2 5" xfId="31814" xr:uid="{00000000-0005-0000-0000-0000F9290000}"/>
    <cellStyle name="Millares 2 80 2 2 2 2 2 3" xfId="4448" xr:uid="{00000000-0005-0000-0000-0000FA290000}"/>
    <cellStyle name="Millares 2 80 2 2 2 2 2 3 2" xfId="8057" xr:uid="{00000000-0005-0000-0000-0000FB290000}"/>
    <cellStyle name="Millares 2 80 2 2 2 2 2 3 2 2" xfId="14846" xr:uid="{00000000-0005-0000-0000-0000FC290000}"/>
    <cellStyle name="Millares 2 80 2 2 2 2 2 3 2 2 2" xfId="28414" xr:uid="{00000000-0005-0000-0000-0000FD290000}"/>
    <cellStyle name="Millares 2 80 2 2 2 2 2 3 2 2 2 2" xfId="55547" xr:uid="{00000000-0005-0000-0000-0000FE290000}"/>
    <cellStyle name="Millares 2 80 2 2 2 2 2 3 2 2 3" xfId="41985" xr:uid="{00000000-0005-0000-0000-0000FF290000}"/>
    <cellStyle name="Millares 2 80 2 2 2 2 2 3 2 3" xfId="21633" xr:uid="{00000000-0005-0000-0000-0000002A0000}"/>
    <cellStyle name="Millares 2 80 2 2 2 2 2 3 2 3 2" xfId="48766" xr:uid="{00000000-0005-0000-0000-0000012A0000}"/>
    <cellStyle name="Millares 2 80 2 2 2 2 2 3 2 4" xfId="35204" xr:uid="{00000000-0005-0000-0000-0000022A0000}"/>
    <cellStyle name="Millares 2 80 2 2 2 2 2 3 3" xfId="11457" xr:uid="{00000000-0005-0000-0000-0000032A0000}"/>
    <cellStyle name="Millares 2 80 2 2 2 2 2 3 3 2" xfId="25025" xr:uid="{00000000-0005-0000-0000-0000042A0000}"/>
    <cellStyle name="Millares 2 80 2 2 2 2 2 3 3 2 2" xfId="52158" xr:uid="{00000000-0005-0000-0000-0000052A0000}"/>
    <cellStyle name="Millares 2 80 2 2 2 2 2 3 3 3" xfId="38596" xr:uid="{00000000-0005-0000-0000-0000062A0000}"/>
    <cellStyle name="Millares 2 80 2 2 2 2 2 3 4" xfId="18244" xr:uid="{00000000-0005-0000-0000-0000072A0000}"/>
    <cellStyle name="Millares 2 80 2 2 2 2 2 3 4 2" xfId="45377" xr:uid="{00000000-0005-0000-0000-0000082A0000}"/>
    <cellStyle name="Millares 2 80 2 2 2 2 2 3 5" xfId="31815" xr:uid="{00000000-0005-0000-0000-0000092A0000}"/>
    <cellStyle name="Millares 2 80 2 2 2 2 2 4" xfId="8055" xr:uid="{00000000-0005-0000-0000-00000A2A0000}"/>
    <cellStyle name="Millares 2 80 2 2 2 2 2 4 2" xfId="14844" xr:uid="{00000000-0005-0000-0000-00000B2A0000}"/>
    <cellStyle name="Millares 2 80 2 2 2 2 2 4 2 2" xfId="28412" xr:uid="{00000000-0005-0000-0000-00000C2A0000}"/>
    <cellStyle name="Millares 2 80 2 2 2 2 2 4 2 2 2" xfId="55545" xr:uid="{00000000-0005-0000-0000-00000D2A0000}"/>
    <cellStyle name="Millares 2 80 2 2 2 2 2 4 2 3" xfId="41983" xr:uid="{00000000-0005-0000-0000-00000E2A0000}"/>
    <cellStyle name="Millares 2 80 2 2 2 2 2 4 3" xfId="21631" xr:uid="{00000000-0005-0000-0000-00000F2A0000}"/>
    <cellStyle name="Millares 2 80 2 2 2 2 2 4 3 2" xfId="48764" xr:uid="{00000000-0005-0000-0000-0000102A0000}"/>
    <cellStyle name="Millares 2 80 2 2 2 2 2 4 4" xfId="35202" xr:uid="{00000000-0005-0000-0000-0000112A0000}"/>
    <cellStyle name="Millares 2 80 2 2 2 2 2 5" xfId="11455" xr:uid="{00000000-0005-0000-0000-0000122A0000}"/>
    <cellStyle name="Millares 2 80 2 2 2 2 2 5 2" xfId="25023" xr:uid="{00000000-0005-0000-0000-0000132A0000}"/>
    <cellStyle name="Millares 2 80 2 2 2 2 2 5 2 2" xfId="52156" xr:uid="{00000000-0005-0000-0000-0000142A0000}"/>
    <cellStyle name="Millares 2 80 2 2 2 2 2 5 3" xfId="38594" xr:uid="{00000000-0005-0000-0000-0000152A0000}"/>
    <cellStyle name="Millares 2 80 2 2 2 2 2 6" xfId="18242" xr:uid="{00000000-0005-0000-0000-0000162A0000}"/>
    <cellStyle name="Millares 2 80 2 2 2 2 2 6 2" xfId="45375" xr:uid="{00000000-0005-0000-0000-0000172A0000}"/>
    <cellStyle name="Millares 2 80 2 2 2 2 2 7" xfId="31813" xr:uid="{00000000-0005-0000-0000-0000182A0000}"/>
    <cellStyle name="Millares 2 80 2 2 2 2 3" xfId="4449" xr:uid="{00000000-0005-0000-0000-0000192A0000}"/>
    <cellStyle name="Millares 2 80 2 2 2 2 3 2" xfId="4450" xr:uid="{00000000-0005-0000-0000-00001A2A0000}"/>
    <cellStyle name="Millares 2 80 2 2 2 2 3 2 2" xfId="8059" xr:uid="{00000000-0005-0000-0000-00001B2A0000}"/>
    <cellStyle name="Millares 2 80 2 2 2 2 3 2 2 2" xfId="14848" xr:uid="{00000000-0005-0000-0000-00001C2A0000}"/>
    <cellStyle name="Millares 2 80 2 2 2 2 3 2 2 2 2" xfId="28416" xr:uid="{00000000-0005-0000-0000-00001D2A0000}"/>
    <cellStyle name="Millares 2 80 2 2 2 2 3 2 2 2 2 2" xfId="55549" xr:uid="{00000000-0005-0000-0000-00001E2A0000}"/>
    <cellStyle name="Millares 2 80 2 2 2 2 3 2 2 2 3" xfId="41987" xr:uid="{00000000-0005-0000-0000-00001F2A0000}"/>
    <cellStyle name="Millares 2 80 2 2 2 2 3 2 2 3" xfId="21635" xr:uid="{00000000-0005-0000-0000-0000202A0000}"/>
    <cellStyle name="Millares 2 80 2 2 2 2 3 2 2 3 2" xfId="48768" xr:uid="{00000000-0005-0000-0000-0000212A0000}"/>
    <cellStyle name="Millares 2 80 2 2 2 2 3 2 2 4" xfId="35206" xr:uid="{00000000-0005-0000-0000-0000222A0000}"/>
    <cellStyle name="Millares 2 80 2 2 2 2 3 2 3" xfId="11459" xr:uid="{00000000-0005-0000-0000-0000232A0000}"/>
    <cellStyle name="Millares 2 80 2 2 2 2 3 2 3 2" xfId="25027" xr:uid="{00000000-0005-0000-0000-0000242A0000}"/>
    <cellStyle name="Millares 2 80 2 2 2 2 3 2 3 2 2" xfId="52160" xr:uid="{00000000-0005-0000-0000-0000252A0000}"/>
    <cellStyle name="Millares 2 80 2 2 2 2 3 2 3 3" xfId="38598" xr:uid="{00000000-0005-0000-0000-0000262A0000}"/>
    <cellStyle name="Millares 2 80 2 2 2 2 3 2 4" xfId="18246" xr:uid="{00000000-0005-0000-0000-0000272A0000}"/>
    <cellStyle name="Millares 2 80 2 2 2 2 3 2 4 2" xfId="45379" xr:uid="{00000000-0005-0000-0000-0000282A0000}"/>
    <cellStyle name="Millares 2 80 2 2 2 2 3 2 5" xfId="31817" xr:uid="{00000000-0005-0000-0000-0000292A0000}"/>
    <cellStyle name="Millares 2 80 2 2 2 2 3 3" xfId="8058" xr:uid="{00000000-0005-0000-0000-00002A2A0000}"/>
    <cellStyle name="Millares 2 80 2 2 2 2 3 3 2" xfId="14847" xr:uid="{00000000-0005-0000-0000-00002B2A0000}"/>
    <cellStyle name="Millares 2 80 2 2 2 2 3 3 2 2" xfId="28415" xr:uid="{00000000-0005-0000-0000-00002C2A0000}"/>
    <cellStyle name="Millares 2 80 2 2 2 2 3 3 2 2 2" xfId="55548" xr:uid="{00000000-0005-0000-0000-00002D2A0000}"/>
    <cellStyle name="Millares 2 80 2 2 2 2 3 3 2 3" xfId="41986" xr:uid="{00000000-0005-0000-0000-00002E2A0000}"/>
    <cellStyle name="Millares 2 80 2 2 2 2 3 3 3" xfId="21634" xr:uid="{00000000-0005-0000-0000-00002F2A0000}"/>
    <cellStyle name="Millares 2 80 2 2 2 2 3 3 3 2" xfId="48767" xr:uid="{00000000-0005-0000-0000-0000302A0000}"/>
    <cellStyle name="Millares 2 80 2 2 2 2 3 3 4" xfId="35205" xr:uid="{00000000-0005-0000-0000-0000312A0000}"/>
    <cellStyle name="Millares 2 80 2 2 2 2 3 4" xfId="11458" xr:uid="{00000000-0005-0000-0000-0000322A0000}"/>
    <cellStyle name="Millares 2 80 2 2 2 2 3 4 2" xfId="25026" xr:uid="{00000000-0005-0000-0000-0000332A0000}"/>
    <cellStyle name="Millares 2 80 2 2 2 2 3 4 2 2" xfId="52159" xr:uid="{00000000-0005-0000-0000-0000342A0000}"/>
    <cellStyle name="Millares 2 80 2 2 2 2 3 4 3" xfId="38597" xr:uid="{00000000-0005-0000-0000-0000352A0000}"/>
    <cellStyle name="Millares 2 80 2 2 2 2 3 5" xfId="18245" xr:uid="{00000000-0005-0000-0000-0000362A0000}"/>
    <cellStyle name="Millares 2 80 2 2 2 2 3 5 2" xfId="45378" xr:uid="{00000000-0005-0000-0000-0000372A0000}"/>
    <cellStyle name="Millares 2 80 2 2 2 2 3 6" xfId="31816" xr:uid="{00000000-0005-0000-0000-0000382A0000}"/>
    <cellStyle name="Millares 2 80 2 2 2 2 4" xfId="4451" xr:uid="{00000000-0005-0000-0000-0000392A0000}"/>
    <cellStyle name="Millares 2 80 2 2 2 2 4 2" xfId="8060" xr:uid="{00000000-0005-0000-0000-00003A2A0000}"/>
    <cellStyle name="Millares 2 80 2 2 2 2 4 2 2" xfId="14849" xr:uid="{00000000-0005-0000-0000-00003B2A0000}"/>
    <cellStyle name="Millares 2 80 2 2 2 2 4 2 2 2" xfId="28417" xr:uid="{00000000-0005-0000-0000-00003C2A0000}"/>
    <cellStyle name="Millares 2 80 2 2 2 2 4 2 2 2 2" xfId="55550" xr:uid="{00000000-0005-0000-0000-00003D2A0000}"/>
    <cellStyle name="Millares 2 80 2 2 2 2 4 2 2 3" xfId="41988" xr:uid="{00000000-0005-0000-0000-00003E2A0000}"/>
    <cellStyle name="Millares 2 80 2 2 2 2 4 2 3" xfId="21636" xr:uid="{00000000-0005-0000-0000-00003F2A0000}"/>
    <cellStyle name="Millares 2 80 2 2 2 2 4 2 3 2" xfId="48769" xr:uid="{00000000-0005-0000-0000-0000402A0000}"/>
    <cellStyle name="Millares 2 80 2 2 2 2 4 2 4" xfId="35207" xr:uid="{00000000-0005-0000-0000-0000412A0000}"/>
    <cellStyle name="Millares 2 80 2 2 2 2 4 3" xfId="11460" xr:uid="{00000000-0005-0000-0000-0000422A0000}"/>
    <cellStyle name="Millares 2 80 2 2 2 2 4 3 2" xfId="25028" xr:uid="{00000000-0005-0000-0000-0000432A0000}"/>
    <cellStyle name="Millares 2 80 2 2 2 2 4 3 2 2" xfId="52161" xr:uid="{00000000-0005-0000-0000-0000442A0000}"/>
    <cellStyle name="Millares 2 80 2 2 2 2 4 3 3" xfId="38599" xr:uid="{00000000-0005-0000-0000-0000452A0000}"/>
    <cellStyle name="Millares 2 80 2 2 2 2 4 4" xfId="18247" xr:uid="{00000000-0005-0000-0000-0000462A0000}"/>
    <cellStyle name="Millares 2 80 2 2 2 2 4 4 2" xfId="45380" xr:uid="{00000000-0005-0000-0000-0000472A0000}"/>
    <cellStyle name="Millares 2 80 2 2 2 2 4 5" xfId="31818" xr:uid="{00000000-0005-0000-0000-0000482A0000}"/>
    <cellStyle name="Millares 2 80 2 2 2 2 5" xfId="4452" xr:uid="{00000000-0005-0000-0000-0000492A0000}"/>
    <cellStyle name="Millares 2 80 2 2 2 2 5 2" xfId="8061" xr:uid="{00000000-0005-0000-0000-00004A2A0000}"/>
    <cellStyle name="Millares 2 80 2 2 2 2 5 2 2" xfId="14850" xr:uid="{00000000-0005-0000-0000-00004B2A0000}"/>
    <cellStyle name="Millares 2 80 2 2 2 2 5 2 2 2" xfId="28418" xr:uid="{00000000-0005-0000-0000-00004C2A0000}"/>
    <cellStyle name="Millares 2 80 2 2 2 2 5 2 2 2 2" xfId="55551" xr:uid="{00000000-0005-0000-0000-00004D2A0000}"/>
    <cellStyle name="Millares 2 80 2 2 2 2 5 2 2 3" xfId="41989" xr:uid="{00000000-0005-0000-0000-00004E2A0000}"/>
    <cellStyle name="Millares 2 80 2 2 2 2 5 2 3" xfId="21637" xr:uid="{00000000-0005-0000-0000-00004F2A0000}"/>
    <cellStyle name="Millares 2 80 2 2 2 2 5 2 3 2" xfId="48770" xr:uid="{00000000-0005-0000-0000-0000502A0000}"/>
    <cellStyle name="Millares 2 80 2 2 2 2 5 2 4" xfId="35208" xr:uid="{00000000-0005-0000-0000-0000512A0000}"/>
    <cellStyle name="Millares 2 80 2 2 2 2 5 3" xfId="11461" xr:uid="{00000000-0005-0000-0000-0000522A0000}"/>
    <cellStyle name="Millares 2 80 2 2 2 2 5 3 2" xfId="25029" xr:uid="{00000000-0005-0000-0000-0000532A0000}"/>
    <cellStyle name="Millares 2 80 2 2 2 2 5 3 2 2" xfId="52162" xr:uid="{00000000-0005-0000-0000-0000542A0000}"/>
    <cellStyle name="Millares 2 80 2 2 2 2 5 3 3" xfId="38600" xr:uid="{00000000-0005-0000-0000-0000552A0000}"/>
    <cellStyle name="Millares 2 80 2 2 2 2 5 4" xfId="18248" xr:uid="{00000000-0005-0000-0000-0000562A0000}"/>
    <cellStyle name="Millares 2 80 2 2 2 2 5 4 2" xfId="45381" xr:uid="{00000000-0005-0000-0000-0000572A0000}"/>
    <cellStyle name="Millares 2 80 2 2 2 2 5 5" xfId="31819" xr:uid="{00000000-0005-0000-0000-0000582A0000}"/>
    <cellStyle name="Millares 2 80 2 2 2 2 6" xfId="8054" xr:uid="{00000000-0005-0000-0000-0000592A0000}"/>
    <cellStyle name="Millares 2 80 2 2 2 2 6 2" xfId="14843" xr:uid="{00000000-0005-0000-0000-00005A2A0000}"/>
    <cellStyle name="Millares 2 80 2 2 2 2 6 2 2" xfId="28411" xr:uid="{00000000-0005-0000-0000-00005B2A0000}"/>
    <cellStyle name="Millares 2 80 2 2 2 2 6 2 2 2" xfId="55544" xr:uid="{00000000-0005-0000-0000-00005C2A0000}"/>
    <cellStyle name="Millares 2 80 2 2 2 2 6 2 3" xfId="41982" xr:uid="{00000000-0005-0000-0000-00005D2A0000}"/>
    <cellStyle name="Millares 2 80 2 2 2 2 6 3" xfId="21630" xr:uid="{00000000-0005-0000-0000-00005E2A0000}"/>
    <cellStyle name="Millares 2 80 2 2 2 2 6 3 2" xfId="48763" xr:uid="{00000000-0005-0000-0000-00005F2A0000}"/>
    <cellStyle name="Millares 2 80 2 2 2 2 6 4" xfId="35201" xr:uid="{00000000-0005-0000-0000-0000602A0000}"/>
    <cellStyle name="Millares 2 80 2 2 2 2 7" xfId="11454" xr:uid="{00000000-0005-0000-0000-0000612A0000}"/>
    <cellStyle name="Millares 2 80 2 2 2 2 7 2" xfId="25022" xr:uid="{00000000-0005-0000-0000-0000622A0000}"/>
    <cellStyle name="Millares 2 80 2 2 2 2 7 2 2" xfId="52155" xr:uid="{00000000-0005-0000-0000-0000632A0000}"/>
    <cellStyle name="Millares 2 80 2 2 2 2 7 3" xfId="38593" xr:uid="{00000000-0005-0000-0000-0000642A0000}"/>
    <cellStyle name="Millares 2 80 2 2 2 2 8" xfId="18241" xr:uid="{00000000-0005-0000-0000-0000652A0000}"/>
    <cellStyle name="Millares 2 80 2 2 2 2 8 2" xfId="45374" xr:uid="{00000000-0005-0000-0000-0000662A0000}"/>
    <cellStyle name="Millares 2 80 2 2 2 2 9" xfId="31812" xr:uid="{00000000-0005-0000-0000-0000672A0000}"/>
    <cellStyle name="Millares 2 80 2 2 2 3" xfId="4453" xr:uid="{00000000-0005-0000-0000-0000682A0000}"/>
    <cellStyle name="Millares 2 80 2 2 2 3 2" xfId="4454" xr:uid="{00000000-0005-0000-0000-0000692A0000}"/>
    <cellStyle name="Millares 2 80 2 2 2 3 2 2" xfId="8063" xr:uid="{00000000-0005-0000-0000-00006A2A0000}"/>
    <cellStyle name="Millares 2 80 2 2 2 3 2 2 2" xfId="14852" xr:uid="{00000000-0005-0000-0000-00006B2A0000}"/>
    <cellStyle name="Millares 2 80 2 2 2 3 2 2 2 2" xfId="28420" xr:uid="{00000000-0005-0000-0000-00006C2A0000}"/>
    <cellStyle name="Millares 2 80 2 2 2 3 2 2 2 2 2" xfId="55553" xr:uid="{00000000-0005-0000-0000-00006D2A0000}"/>
    <cellStyle name="Millares 2 80 2 2 2 3 2 2 2 3" xfId="41991" xr:uid="{00000000-0005-0000-0000-00006E2A0000}"/>
    <cellStyle name="Millares 2 80 2 2 2 3 2 2 3" xfId="21639" xr:uid="{00000000-0005-0000-0000-00006F2A0000}"/>
    <cellStyle name="Millares 2 80 2 2 2 3 2 2 3 2" xfId="48772" xr:uid="{00000000-0005-0000-0000-0000702A0000}"/>
    <cellStyle name="Millares 2 80 2 2 2 3 2 2 4" xfId="35210" xr:uid="{00000000-0005-0000-0000-0000712A0000}"/>
    <cellStyle name="Millares 2 80 2 2 2 3 2 3" xfId="11463" xr:uid="{00000000-0005-0000-0000-0000722A0000}"/>
    <cellStyle name="Millares 2 80 2 2 2 3 2 3 2" xfId="25031" xr:uid="{00000000-0005-0000-0000-0000732A0000}"/>
    <cellStyle name="Millares 2 80 2 2 2 3 2 3 2 2" xfId="52164" xr:uid="{00000000-0005-0000-0000-0000742A0000}"/>
    <cellStyle name="Millares 2 80 2 2 2 3 2 3 3" xfId="38602" xr:uid="{00000000-0005-0000-0000-0000752A0000}"/>
    <cellStyle name="Millares 2 80 2 2 2 3 2 4" xfId="18250" xr:uid="{00000000-0005-0000-0000-0000762A0000}"/>
    <cellStyle name="Millares 2 80 2 2 2 3 2 4 2" xfId="45383" xr:uid="{00000000-0005-0000-0000-0000772A0000}"/>
    <cellStyle name="Millares 2 80 2 2 2 3 2 5" xfId="31821" xr:uid="{00000000-0005-0000-0000-0000782A0000}"/>
    <cellStyle name="Millares 2 80 2 2 2 3 3" xfId="4455" xr:uid="{00000000-0005-0000-0000-0000792A0000}"/>
    <cellStyle name="Millares 2 80 2 2 2 3 3 2" xfId="8064" xr:uid="{00000000-0005-0000-0000-00007A2A0000}"/>
    <cellStyle name="Millares 2 80 2 2 2 3 3 2 2" xfId="14853" xr:uid="{00000000-0005-0000-0000-00007B2A0000}"/>
    <cellStyle name="Millares 2 80 2 2 2 3 3 2 2 2" xfId="28421" xr:uid="{00000000-0005-0000-0000-00007C2A0000}"/>
    <cellStyle name="Millares 2 80 2 2 2 3 3 2 2 2 2" xfId="55554" xr:uid="{00000000-0005-0000-0000-00007D2A0000}"/>
    <cellStyle name="Millares 2 80 2 2 2 3 3 2 2 3" xfId="41992" xr:uid="{00000000-0005-0000-0000-00007E2A0000}"/>
    <cellStyle name="Millares 2 80 2 2 2 3 3 2 3" xfId="21640" xr:uid="{00000000-0005-0000-0000-00007F2A0000}"/>
    <cellStyle name="Millares 2 80 2 2 2 3 3 2 3 2" xfId="48773" xr:uid="{00000000-0005-0000-0000-0000802A0000}"/>
    <cellStyle name="Millares 2 80 2 2 2 3 3 2 4" xfId="35211" xr:uid="{00000000-0005-0000-0000-0000812A0000}"/>
    <cellStyle name="Millares 2 80 2 2 2 3 3 3" xfId="11464" xr:uid="{00000000-0005-0000-0000-0000822A0000}"/>
    <cellStyle name="Millares 2 80 2 2 2 3 3 3 2" xfId="25032" xr:uid="{00000000-0005-0000-0000-0000832A0000}"/>
    <cellStyle name="Millares 2 80 2 2 2 3 3 3 2 2" xfId="52165" xr:uid="{00000000-0005-0000-0000-0000842A0000}"/>
    <cellStyle name="Millares 2 80 2 2 2 3 3 3 3" xfId="38603" xr:uid="{00000000-0005-0000-0000-0000852A0000}"/>
    <cellStyle name="Millares 2 80 2 2 2 3 3 4" xfId="18251" xr:uid="{00000000-0005-0000-0000-0000862A0000}"/>
    <cellStyle name="Millares 2 80 2 2 2 3 3 4 2" xfId="45384" xr:uid="{00000000-0005-0000-0000-0000872A0000}"/>
    <cellStyle name="Millares 2 80 2 2 2 3 3 5" xfId="31822" xr:uid="{00000000-0005-0000-0000-0000882A0000}"/>
    <cellStyle name="Millares 2 80 2 2 2 3 4" xfId="8062" xr:uid="{00000000-0005-0000-0000-0000892A0000}"/>
    <cellStyle name="Millares 2 80 2 2 2 3 4 2" xfId="14851" xr:uid="{00000000-0005-0000-0000-00008A2A0000}"/>
    <cellStyle name="Millares 2 80 2 2 2 3 4 2 2" xfId="28419" xr:uid="{00000000-0005-0000-0000-00008B2A0000}"/>
    <cellStyle name="Millares 2 80 2 2 2 3 4 2 2 2" xfId="55552" xr:uid="{00000000-0005-0000-0000-00008C2A0000}"/>
    <cellStyle name="Millares 2 80 2 2 2 3 4 2 3" xfId="41990" xr:uid="{00000000-0005-0000-0000-00008D2A0000}"/>
    <cellStyle name="Millares 2 80 2 2 2 3 4 3" xfId="21638" xr:uid="{00000000-0005-0000-0000-00008E2A0000}"/>
    <cellStyle name="Millares 2 80 2 2 2 3 4 3 2" xfId="48771" xr:uid="{00000000-0005-0000-0000-00008F2A0000}"/>
    <cellStyle name="Millares 2 80 2 2 2 3 4 4" xfId="35209" xr:uid="{00000000-0005-0000-0000-0000902A0000}"/>
    <cellStyle name="Millares 2 80 2 2 2 3 5" xfId="11462" xr:uid="{00000000-0005-0000-0000-0000912A0000}"/>
    <cellStyle name="Millares 2 80 2 2 2 3 5 2" xfId="25030" xr:uid="{00000000-0005-0000-0000-0000922A0000}"/>
    <cellStyle name="Millares 2 80 2 2 2 3 5 2 2" xfId="52163" xr:uid="{00000000-0005-0000-0000-0000932A0000}"/>
    <cellStyle name="Millares 2 80 2 2 2 3 5 3" xfId="38601" xr:uid="{00000000-0005-0000-0000-0000942A0000}"/>
    <cellStyle name="Millares 2 80 2 2 2 3 6" xfId="18249" xr:uid="{00000000-0005-0000-0000-0000952A0000}"/>
    <cellStyle name="Millares 2 80 2 2 2 3 6 2" xfId="45382" xr:uid="{00000000-0005-0000-0000-0000962A0000}"/>
    <cellStyle name="Millares 2 80 2 2 2 3 7" xfId="31820" xr:uid="{00000000-0005-0000-0000-0000972A0000}"/>
    <cellStyle name="Millares 2 80 2 2 2 4" xfId="4456" xr:uid="{00000000-0005-0000-0000-0000982A0000}"/>
    <cellStyle name="Millares 2 80 2 2 2 4 2" xfId="4457" xr:uid="{00000000-0005-0000-0000-0000992A0000}"/>
    <cellStyle name="Millares 2 80 2 2 2 4 2 2" xfId="8066" xr:uid="{00000000-0005-0000-0000-00009A2A0000}"/>
    <cellStyle name="Millares 2 80 2 2 2 4 2 2 2" xfId="14855" xr:uid="{00000000-0005-0000-0000-00009B2A0000}"/>
    <cellStyle name="Millares 2 80 2 2 2 4 2 2 2 2" xfId="28423" xr:uid="{00000000-0005-0000-0000-00009C2A0000}"/>
    <cellStyle name="Millares 2 80 2 2 2 4 2 2 2 2 2" xfId="55556" xr:uid="{00000000-0005-0000-0000-00009D2A0000}"/>
    <cellStyle name="Millares 2 80 2 2 2 4 2 2 2 3" xfId="41994" xr:uid="{00000000-0005-0000-0000-00009E2A0000}"/>
    <cellStyle name="Millares 2 80 2 2 2 4 2 2 3" xfId="21642" xr:uid="{00000000-0005-0000-0000-00009F2A0000}"/>
    <cellStyle name="Millares 2 80 2 2 2 4 2 2 3 2" xfId="48775" xr:uid="{00000000-0005-0000-0000-0000A02A0000}"/>
    <cellStyle name="Millares 2 80 2 2 2 4 2 2 4" xfId="35213" xr:uid="{00000000-0005-0000-0000-0000A12A0000}"/>
    <cellStyle name="Millares 2 80 2 2 2 4 2 3" xfId="11466" xr:uid="{00000000-0005-0000-0000-0000A22A0000}"/>
    <cellStyle name="Millares 2 80 2 2 2 4 2 3 2" xfId="25034" xr:uid="{00000000-0005-0000-0000-0000A32A0000}"/>
    <cellStyle name="Millares 2 80 2 2 2 4 2 3 2 2" xfId="52167" xr:uid="{00000000-0005-0000-0000-0000A42A0000}"/>
    <cellStyle name="Millares 2 80 2 2 2 4 2 3 3" xfId="38605" xr:uid="{00000000-0005-0000-0000-0000A52A0000}"/>
    <cellStyle name="Millares 2 80 2 2 2 4 2 4" xfId="18253" xr:uid="{00000000-0005-0000-0000-0000A62A0000}"/>
    <cellStyle name="Millares 2 80 2 2 2 4 2 4 2" xfId="45386" xr:uid="{00000000-0005-0000-0000-0000A72A0000}"/>
    <cellStyle name="Millares 2 80 2 2 2 4 2 5" xfId="31824" xr:uid="{00000000-0005-0000-0000-0000A82A0000}"/>
    <cellStyle name="Millares 2 80 2 2 2 4 3" xfId="8065" xr:uid="{00000000-0005-0000-0000-0000A92A0000}"/>
    <cellStyle name="Millares 2 80 2 2 2 4 3 2" xfId="14854" xr:uid="{00000000-0005-0000-0000-0000AA2A0000}"/>
    <cellStyle name="Millares 2 80 2 2 2 4 3 2 2" xfId="28422" xr:uid="{00000000-0005-0000-0000-0000AB2A0000}"/>
    <cellStyle name="Millares 2 80 2 2 2 4 3 2 2 2" xfId="55555" xr:uid="{00000000-0005-0000-0000-0000AC2A0000}"/>
    <cellStyle name="Millares 2 80 2 2 2 4 3 2 3" xfId="41993" xr:uid="{00000000-0005-0000-0000-0000AD2A0000}"/>
    <cellStyle name="Millares 2 80 2 2 2 4 3 3" xfId="21641" xr:uid="{00000000-0005-0000-0000-0000AE2A0000}"/>
    <cellStyle name="Millares 2 80 2 2 2 4 3 3 2" xfId="48774" xr:uid="{00000000-0005-0000-0000-0000AF2A0000}"/>
    <cellStyle name="Millares 2 80 2 2 2 4 3 4" xfId="35212" xr:uid="{00000000-0005-0000-0000-0000B02A0000}"/>
    <cellStyle name="Millares 2 80 2 2 2 4 4" xfId="11465" xr:uid="{00000000-0005-0000-0000-0000B12A0000}"/>
    <cellStyle name="Millares 2 80 2 2 2 4 4 2" xfId="25033" xr:uid="{00000000-0005-0000-0000-0000B22A0000}"/>
    <cellStyle name="Millares 2 80 2 2 2 4 4 2 2" xfId="52166" xr:uid="{00000000-0005-0000-0000-0000B32A0000}"/>
    <cellStyle name="Millares 2 80 2 2 2 4 4 3" xfId="38604" xr:uid="{00000000-0005-0000-0000-0000B42A0000}"/>
    <cellStyle name="Millares 2 80 2 2 2 4 5" xfId="18252" xr:uid="{00000000-0005-0000-0000-0000B52A0000}"/>
    <cellStyle name="Millares 2 80 2 2 2 4 5 2" xfId="45385" xr:uid="{00000000-0005-0000-0000-0000B62A0000}"/>
    <cellStyle name="Millares 2 80 2 2 2 4 6" xfId="31823" xr:uid="{00000000-0005-0000-0000-0000B72A0000}"/>
    <cellStyle name="Millares 2 80 2 2 2 5" xfId="4458" xr:uid="{00000000-0005-0000-0000-0000B82A0000}"/>
    <cellStyle name="Millares 2 80 2 2 2 5 2" xfId="8067" xr:uid="{00000000-0005-0000-0000-0000B92A0000}"/>
    <cellStyle name="Millares 2 80 2 2 2 5 2 2" xfId="14856" xr:uid="{00000000-0005-0000-0000-0000BA2A0000}"/>
    <cellStyle name="Millares 2 80 2 2 2 5 2 2 2" xfId="28424" xr:uid="{00000000-0005-0000-0000-0000BB2A0000}"/>
    <cellStyle name="Millares 2 80 2 2 2 5 2 2 2 2" xfId="55557" xr:uid="{00000000-0005-0000-0000-0000BC2A0000}"/>
    <cellStyle name="Millares 2 80 2 2 2 5 2 2 3" xfId="41995" xr:uid="{00000000-0005-0000-0000-0000BD2A0000}"/>
    <cellStyle name="Millares 2 80 2 2 2 5 2 3" xfId="21643" xr:uid="{00000000-0005-0000-0000-0000BE2A0000}"/>
    <cellStyle name="Millares 2 80 2 2 2 5 2 3 2" xfId="48776" xr:uid="{00000000-0005-0000-0000-0000BF2A0000}"/>
    <cellStyle name="Millares 2 80 2 2 2 5 2 4" xfId="35214" xr:uid="{00000000-0005-0000-0000-0000C02A0000}"/>
    <cellStyle name="Millares 2 80 2 2 2 5 3" xfId="11467" xr:uid="{00000000-0005-0000-0000-0000C12A0000}"/>
    <cellStyle name="Millares 2 80 2 2 2 5 3 2" xfId="25035" xr:uid="{00000000-0005-0000-0000-0000C22A0000}"/>
    <cellStyle name="Millares 2 80 2 2 2 5 3 2 2" xfId="52168" xr:uid="{00000000-0005-0000-0000-0000C32A0000}"/>
    <cellStyle name="Millares 2 80 2 2 2 5 3 3" xfId="38606" xr:uid="{00000000-0005-0000-0000-0000C42A0000}"/>
    <cellStyle name="Millares 2 80 2 2 2 5 4" xfId="18254" xr:uid="{00000000-0005-0000-0000-0000C52A0000}"/>
    <cellStyle name="Millares 2 80 2 2 2 5 4 2" xfId="45387" xr:uid="{00000000-0005-0000-0000-0000C62A0000}"/>
    <cellStyle name="Millares 2 80 2 2 2 5 5" xfId="31825" xr:uid="{00000000-0005-0000-0000-0000C72A0000}"/>
    <cellStyle name="Millares 2 80 2 2 2 6" xfId="4459" xr:uid="{00000000-0005-0000-0000-0000C82A0000}"/>
    <cellStyle name="Millares 2 80 2 2 2 6 2" xfId="8068" xr:uid="{00000000-0005-0000-0000-0000C92A0000}"/>
    <cellStyle name="Millares 2 80 2 2 2 6 2 2" xfId="14857" xr:uid="{00000000-0005-0000-0000-0000CA2A0000}"/>
    <cellStyle name="Millares 2 80 2 2 2 6 2 2 2" xfId="28425" xr:uid="{00000000-0005-0000-0000-0000CB2A0000}"/>
    <cellStyle name="Millares 2 80 2 2 2 6 2 2 2 2" xfId="55558" xr:uid="{00000000-0005-0000-0000-0000CC2A0000}"/>
    <cellStyle name="Millares 2 80 2 2 2 6 2 2 3" xfId="41996" xr:uid="{00000000-0005-0000-0000-0000CD2A0000}"/>
    <cellStyle name="Millares 2 80 2 2 2 6 2 3" xfId="21644" xr:uid="{00000000-0005-0000-0000-0000CE2A0000}"/>
    <cellStyle name="Millares 2 80 2 2 2 6 2 3 2" xfId="48777" xr:uid="{00000000-0005-0000-0000-0000CF2A0000}"/>
    <cellStyle name="Millares 2 80 2 2 2 6 2 4" xfId="35215" xr:uid="{00000000-0005-0000-0000-0000D02A0000}"/>
    <cellStyle name="Millares 2 80 2 2 2 6 3" xfId="11468" xr:uid="{00000000-0005-0000-0000-0000D12A0000}"/>
    <cellStyle name="Millares 2 80 2 2 2 6 3 2" xfId="25036" xr:uid="{00000000-0005-0000-0000-0000D22A0000}"/>
    <cellStyle name="Millares 2 80 2 2 2 6 3 2 2" xfId="52169" xr:uid="{00000000-0005-0000-0000-0000D32A0000}"/>
    <cellStyle name="Millares 2 80 2 2 2 6 3 3" xfId="38607" xr:uid="{00000000-0005-0000-0000-0000D42A0000}"/>
    <cellStyle name="Millares 2 80 2 2 2 6 4" xfId="18255" xr:uid="{00000000-0005-0000-0000-0000D52A0000}"/>
    <cellStyle name="Millares 2 80 2 2 2 6 4 2" xfId="45388" xr:uid="{00000000-0005-0000-0000-0000D62A0000}"/>
    <cellStyle name="Millares 2 80 2 2 2 6 5" xfId="31826" xr:uid="{00000000-0005-0000-0000-0000D72A0000}"/>
    <cellStyle name="Millares 2 80 2 2 2 7" xfId="8053" xr:uid="{00000000-0005-0000-0000-0000D82A0000}"/>
    <cellStyle name="Millares 2 80 2 2 2 7 2" xfId="14842" xr:uid="{00000000-0005-0000-0000-0000D92A0000}"/>
    <cellStyle name="Millares 2 80 2 2 2 7 2 2" xfId="28410" xr:uid="{00000000-0005-0000-0000-0000DA2A0000}"/>
    <cellStyle name="Millares 2 80 2 2 2 7 2 2 2" xfId="55543" xr:uid="{00000000-0005-0000-0000-0000DB2A0000}"/>
    <cellStyle name="Millares 2 80 2 2 2 7 2 3" xfId="41981" xr:uid="{00000000-0005-0000-0000-0000DC2A0000}"/>
    <cellStyle name="Millares 2 80 2 2 2 7 3" xfId="21629" xr:uid="{00000000-0005-0000-0000-0000DD2A0000}"/>
    <cellStyle name="Millares 2 80 2 2 2 7 3 2" xfId="48762" xr:uid="{00000000-0005-0000-0000-0000DE2A0000}"/>
    <cellStyle name="Millares 2 80 2 2 2 7 4" xfId="35200" xr:uid="{00000000-0005-0000-0000-0000DF2A0000}"/>
    <cellStyle name="Millares 2 80 2 2 2 8" xfId="11453" xr:uid="{00000000-0005-0000-0000-0000E02A0000}"/>
    <cellStyle name="Millares 2 80 2 2 2 8 2" xfId="25021" xr:uid="{00000000-0005-0000-0000-0000E12A0000}"/>
    <cellStyle name="Millares 2 80 2 2 2 8 2 2" xfId="52154" xr:uid="{00000000-0005-0000-0000-0000E22A0000}"/>
    <cellStyle name="Millares 2 80 2 2 2 8 3" xfId="38592" xr:uid="{00000000-0005-0000-0000-0000E32A0000}"/>
    <cellStyle name="Millares 2 80 2 2 2 9" xfId="18240" xr:uid="{00000000-0005-0000-0000-0000E42A0000}"/>
    <cellStyle name="Millares 2 80 2 2 2 9 2" xfId="45373" xr:uid="{00000000-0005-0000-0000-0000E52A0000}"/>
    <cellStyle name="Millares 2 80 2 2 3" xfId="4460" xr:uid="{00000000-0005-0000-0000-0000E62A0000}"/>
    <cellStyle name="Millares 2 80 2 2 3 2" xfId="4461" xr:uid="{00000000-0005-0000-0000-0000E72A0000}"/>
    <cellStyle name="Millares 2 80 2 2 3 2 2" xfId="4462" xr:uid="{00000000-0005-0000-0000-0000E82A0000}"/>
    <cellStyle name="Millares 2 80 2 2 3 2 2 2" xfId="8071" xr:uid="{00000000-0005-0000-0000-0000E92A0000}"/>
    <cellStyle name="Millares 2 80 2 2 3 2 2 2 2" xfId="14860" xr:uid="{00000000-0005-0000-0000-0000EA2A0000}"/>
    <cellStyle name="Millares 2 80 2 2 3 2 2 2 2 2" xfId="28428" xr:uid="{00000000-0005-0000-0000-0000EB2A0000}"/>
    <cellStyle name="Millares 2 80 2 2 3 2 2 2 2 2 2" xfId="55561" xr:uid="{00000000-0005-0000-0000-0000EC2A0000}"/>
    <cellStyle name="Millares 2 80 2 2 3 2 2 2 2 3" xfId="41999" xr:uid="{00000000-0005-0000-0000-0000ED2A0000}"/>
    <cellStyle name="Millares 2 80 2 2 3 2 2 2 3" xfId="21647" xr:uid="{00000000-0005-0000-0000-0000EE2A0000}"/>
    <cellStyle name="Millares 2 80 2 2 3 2 2 2 3 2" xfId="48780" xr:uid="{00000000-0005-0000-0000-0000EF2A0000}"/>
    <cellStyle name="Millares 2 80 2 2 3 2 2 2 4" xfId="35218" xr:uid="{00000000-0005-0000-0000-0000F02A0000}"/>
    <cellStyle name="Millares 2 80 2 2 3 2 2 3" xfId="11471" xr:uid="{00000000-0005-0000-0000-0000F12A0000}"/>
    <cellStyle name="Millares 2 80 2 2 3 2 2 3 2" xfId="25039" xr:uid="{00000000-0005-0000-0000-0000F22A0000}"/>
    <cellStyle name="Millares 2 80 2 2 3 2 2 3 2 2" xfId="52172" xr:uid="{00000000-0005-0000-0000-0000F32A0000}"/>
    <cellStyle name="Millares 2 80 2 2 3 2 2 3 3" xfId="38610" xr:uid="{00000000-0005-0000-0000-0000F42A0000}"/>
    <cellStyle name="Millares 2 80 2 2 3 2 2 4" xfId="18258" xr:uid="{00000000-0005-0000-0000-0000F52A0000}"/>
    <cellStyle name="Millares 2 80 2 2 3 2 2 4 2" xfId="45391" xr:uid="{00000000-0005-0000-0000-0000F62A0000}"/>
    <cellStyle name="Millares 2 80 2 2 3 2 2 5" xfId="31829" xr:uid="{00000000-0005-0000-0000-0000F72A0000}"/>
    <cellStyle name="Millares 2 80 2 2 3 2 3" xfId="4463" xr:uid="{00000000-0005-0000-0000-0000F82A0000}"/>
    <cellStyle name="Millares 2 80 2 2 3 2 3 2" xfId="8072" xr:uid="{00000000-0005-0000-0000-0000F92A0000}"/>
    <cellStyle name="Millares 2 80 2 2 3 2 3 2 2" xfId="14861" xr:uid="{00000000-0005-0000-0000-0000FA2A0000}"/>
    <cellStyle name="Millares 2 80 2 2 3 2 3 2 2 2" xfId="28429" xr:uid="{00000000-0005-0000-0000-0000FB2A0000}"/>
    <cellStyle name="Millares 2 80 2 2 3 2 3 2 2 2 2" xfId="55562" xr:uid="{00000000-0005-0000-0000-0000FC2A0000}"/>
    <cellStyle name="Millares 2 80 2 2 3 2 3 2 2 3" xfId="42000" xr:uid="{00000000-0005-0000-0000-0000FD2A0000}"/>
    <cellStyle name="Millares 2 80 2 2 3 2 3 2 3" xfId="21648" xr:uid="{00000000-0005-0000-0000-0000FE2A0000}"/>
    <cellStyle name="Millares 2 80 2 2 3 2 3 2 3 2" xfId="48781" xr:uid="{00000000-0005-0000-0000-0000FF2A0000}"/>
    <cellStyle name="Millares 2 80 2 2 3 2 3 2 4" xfId="35219" xr:uid="{00000000-0005-0000-0000-0000002B0000}"/>
    <cellStyle name="Millares 2 80 2 2 3 2 3 3" xfId="11472" xr:uid="{00000000-0005-0000-0000-0000012B0000}"/>
    <cellStyle name="Millares 2 80 2 2 3 2 3 3 2" xfId="25040" xr:uid="{00000000-0005-0000-0000-0000022B0000}"/>
    <cellStyle name="Millares 2 80 2 2 3 2 3 3 2 2" xfId="52173" xr:uid="{00000000-0005-0000-0000-0000032B0000}"/>
    <cellStyle name="Millares 2 80 2 2 3 2 3 3 3" xfId="38611" xr:uid="{00000000-0005-0000-0000-0000042B0000}"/>
    <cellStyle name="Millares 2 80 2 2 3 2 3 4" xfId="18259" xr:uid="{00000000-0005-0000-0000-0000052B0000}"/>
    <cellStyle name="Millares 2 80 2 2 3 2 3 4 2" xfId="45392" xr:uid="{00000000-0005-0000-0000-0000062B0000}"/>
    <cellStyle name="Millares 2 80 2 2 3 2 3 5" xfId="31830" xr:uid="{00000000-0005-0000-0000-0000072B0000}"/>
    <cellStyle name="Millares 2 80 2 2 3 2 4" xfId="8070" xr:uid="{00000000-0005-0000-0000-0000082B0000}"/>
    <cellStyle name="Millares 2 80 2 2 3 2 4 2" xfId="14859" xr:uid="{00000000-0005-0000-0000-0000092B0000}"/>
    <cellStyle name="Millares 2 80 2 2 3 2 4 2 2" xfId="28427" xr:uid="{00000000-0005-0000-0000-00000A2B0000}"/>
    <cellStyle name="Millares 2 80 2 2 3 2 4 2 2 2" xfId="55560" xr:uid="{00000000-0005-0000-0000-00000B2B0000}"/>
    <cellStyle name="Millares 2 80 2 2 3 2 4 2 3" xfId="41998" xr:uid="{00000000-0005-0000-0000-00000C2B0000}"/>
    <cellStyle name="Millares 2 80 2 2 3 2 4 3" xfId="21646" xr:uid="{00000000-0005-0000-0000-00000D2B0000}"/>
    <cellStyle name="Millares 2 80 2 2 3 2 4 3 2" xfId="48779" xr:uid="{00000000-0005-0000-0000-00000E2B0000}"/>
    <cellStyle name="Millares 2 80 2 2 3 2 4 4" xfId="35217" xr:uid="{00000000-0005-0000-0000-00000F2B0000}"/>
    <cellStyle name="Millares 2 80 2 2 3 2 5" xfId="11470" xr:uid="{00000000-0005-0000-0000-0000102B0000}"/>
    <cellStyle name="Millares 2 80 2 2 3 2 5 2" xfId="25038" xr:uid="{00000000-0005-0000-0000-0000112B0000}"/>
    <cellStyle name="Millares 2 80 2 2 3 2 5 2 2" xfId="52171" xr:uid="{00000000-0005-0000-0000-0000122B0000}"/>
    <cellStyle name="Millares 2 80 2 2 3 2 5 3" xfId="38609" xr:uid="{00000000-0005-0000-0000-0000132B0000}"/>
    <cellStyle name="Millares 2 80 2 2 3 2 6" xfId="18257" xr:uid="{00000000-0005-0000-0000-0000142B0000}"/>
    <cellStyle name="Millares 2 80 2 2 3 2 6 2" xfId="45390" xr:uid="{00000000-0005-0000-0000-0000152B0000}"/>
    <cellStyle name="Millares 2 80 2 2 3 2 7" xfId="31828" xr:uid="{00000000-0005-0000-0000-0000162B0000}"/>
    <cellStyle name="Millares 2 80 2 2 3 3" xfId="4464" xr:uid="{00000000-0005-0000-0000-0000172B0000}"/>
    <cellStyle name="Millares 2 80 2 2 3 3 2" xfId="4465" xr:uid="{00000000-0005-0000-0000-0000182B0000}"/>
    <cellStyle name="Millares 2 80 2 2 3 3 2 2" xfId="8074" xr:uid="{00000000-0005-0000-0000-0000192B0000}"/>
    <cellStyle name="Millares 2 80 2 2 3 3 2 2 2" xfId="14863" xr:uid="{00000000-0005-0000-0000-00001A2B0000}"/>
    <cellStyle name="Millares 2 80 2 2 3 3 2 2 2 2" xfId="28431" xr:uid="{00000000-0005-0000-0000-00001B2B0000}"/>
    <cellStyle name="Millares 2 80 2 2 3 3 2 2 2 2 2" xfId="55564" xr:uid="{00000000-0005-0000-0000-00001C2B0000}"/>
    <cellStyle name="Millares 2 80 2 2 3 3 2 2 2 3" xfId="42002" xr:uid="{00000000-0005-0000-0000-00001D2B0000}"/>
    <cellStyle name="Millares 2 80 2 2 3 3 2 2 3" xfId="21650" xr:uid="{00000000-0005-0000-0000-00001E2B0000}"/>
    <cellStyle name="Millares 2 80 2 2 3 3 2 2 3 2" xfId="48783" xr:uid="{00000000-0005-0000-0000-00001F2B0000}"/>
    <cellStyle name="Millares 2 80 2 2 3 3 2 2 4" xfId="35221" xr:uid="{00000000-0005-0000-0000-0000202B0000}"/>
    <cellStyle name="Millares 2 80 2 2 3 3 2 3" xfId="11474" xr:uid="{00000000-0005-0000-0000-0000212B0000}"/>
    <cellStyle name="Millares 2 80 2 2 3 3 2 3 2" xfId="25042" xr:uid="{00000000-0005-0000-0000-0000222B0000}"/>
    <cellStyle name="Millares 2 80 2 2 3 3 2 3 2 2" xfId="52175" xr:uid="{00000000-0005-0000-0000-0000232B0000}"/>
    <cellStyle name="Millares 2 80 2 2 3 3 2 3 3" xfId="38613" xr:uid="{00000000-0005-0000-0000-0000242B0000}"/>
    <cellStyle name="Millares 2 80 2 2 3 3 2 4" xfId="18261" xr:uid="{00000000-0005-0000-0000-0000252B0000}"/>
    <cellStyle name="Millares 2 80 2 2 3 3 2 4 2" xfId="45394" xr:uid="{00000000-0005-0000-0000-0000262B0000}"/>
    <cellStyle name="Millares 2 80 2 2 3 3 2 5" xfId="31832" xr:uid="{00000000-0005-0000-0000-0000272B0000}"/>
    <cellStyle name="Millares 2 80 2 2 3 3 3" xfId="8073" xr:uid="{00000000-0005-0000-0000-0000282B0000}"/>
    <cellStyle name="Millares 2 80 2 2 3 3 3 2" xfId="14862" xr:uid="{00000000-0005-0000-0000-0000292B0000}"/>
    <cellStyle name="Millares 2 80 2 2 3 3 3 2 2" xfId="28430" xr:uid="{00000000-0005-0000-0000-00002A2B0000}"/>
    <cellStyle name="Millares 2 80 2 2 3 3 3 2 2 2" xfId="55563" xr:uid="{00000000-0005-0000-0000-00002B2B0000}"/>
    <cellStyle name="Millares 2 80 2 2 3 3 3 2 3" xfId="42001" xr:uid="{00000000-0005-0000-0000-00002C2B0000}"/>
    <cellStyle name="Millares 2 80 2 2 3 3 3 3" xfId="21649" xr:uid="{00000000-0005-0000-0000-00002D2B0000}"/>
    <cellStyle name="Millares 2 80 2 2 3 3 3 3 2" xfId="48782" xr:uid="{00000000-0005-0000-0000-00002E2B0000}"/>
    <cellStyle name="Millares 2 80 2 2 3 3 3 4" xfId="35220" xr:uid="{00000000-0005-0000-0000-00002F2B0000}"/>
    <cellStyle name="Millares 2 80 2 2 3 3 4" xfId="11473" xr:uid="{00000000-0005-0000-0000-0000302B0000}"/>
    <cellStyle name="Millares 2 80 2 2 3 3 4 2" xfId="25041" xr:uid="{00000000-0005-0000-0000-0000312B0000}"/>
    <cellStyle name="Millares 2 80 2 2 3 3 4 2 2" xfId="52174" xr:uid="{00000000-0005-0000-0000-0000322B0000}"/>
    <cellStyle name="Millares 2 80 2 2 3 3 4 3" xfId="38612" xr:uid="{00000000-0005-0000-0000-0000332B0000}"/>
    <cellStyle name="Millares 2 80 2 2 3 3 5" xfId="18260" xr:uid="{00000000-0005-0000-0000-0000342B0000}"/>
    <cellStyle name="Millares 2 80 2 2 3 3 5 2" xfId="45393" xr:uid="{00000000-0005-0000-0000-0000352B0000}"/>
    <cellStyle name="Millares 2 80 2 2 3 3 6" xfId="31831" xr:uid="{00000000-0005-0000-0000-0000362B0000}"/>
    <cellStyle name="Millares 2 80 2 2 3 4" xfId="4466" xr:uid="{00000000-0005-0000-0000-0000372B0000}"/>
    <cellStyle name="Millares 2 80 2 2 3 4 2" xfId="8075" xr:uid="{00000000-0005-0000-0000-0000382B0000}"/>
    <cellStyle name="Millares 2 80 2 2 3 4 2 2" xfId="14864" xr:uid="{00000000-0005-0000-0000-0000392B0000}"/>
    <cellStyle name="Millares 2 80 2 2 3 4 2 2 2" xfId="28432" xr:uid="{00000000-0005-0000-0000-00003A2B0000}"/>
    <cellStyle name="Millares 2 80 2 2 3 4 2 2 2 2" xfId="55565" xr:uid="{00000000-0005-0000-0000-00003B2B0000}"/>
    <cellStyle name="Millares 2 80 2 2 3 4 2 2 3" xfId="42003" xr:uid="{00000000-0005-0000-0000-00003C2B0000}"/>
    <cellStyle name="Millares 2 80 2 2 3 4 2 3" xfId="21651" xr:uid="{00000000-0005-0000-0000-00003D2B0000}"/>
    <cellStyle name="Millares 2 80 2 2 3 4 2 3 2" xfId="48784" xr:uid="{00000000-0005-0000-0000-00003E2B0000}"/>
    <cellStyle name="Millares 2 80 2 2 3 4 2 4" xfId="35222" xr:uid="{00000000-0005-0000-0000-00003F2B0000}"/>
    <cellStyle name="Millares 2 80 2 2 3 4 3" xfId="11475" xr:uid="{00000000-0005-0000-0000-0000402B0000}"/>
    <cellStyle name="Millares 2 80 2 2 3 4 3 2" xfId="25043" xr:uid="{00000000-0005-0000-0000-0000412B0000}"/>
    <cellStyle name="Millares 2 80 2 2 3 4 3 2 2" xfId="52176" xr:uid="{00000000-0005-0000-0000-0000422B0000}"/>
    <cellStyle name="Millares 2 80 2 2 3 4 3 3" xfId="38614" xr:uid="{00000000-0005-0000-0000-0000432B0000}"/>
    <cellStyle name="Millares 2 80 2 2 3 4 4" xfId="18262" xr:uid="{00000000-0005-0000-0000-0000442B0000}"/>
    <cellStyle name="Millares 2 80 2 2 3 4 4 2" xfId="45395" xr:uid="{00000000-0005-0000-0000-0000452B0000}"/>
    <cellStyle name="Millares 2 80 2 2 3 4 5" xfId="31833" xr:uid="{00000000-0005-0000-0000-0000462B0000}"/>
    <cellStyle name="Millares 2 80 2 2 3 5" xfId="4467" xr:uid="{00000000-0005-0000-0000-0000472B0000}"/>
    <cellStyle name="Millares 2 80 2 2 3 5 2" xfId="8076" xr:uid="{00000000-0005-0000-0000-0000482B0000}"/>
    <cellStyle name="Millares 2 80 2 2 3 5 2 2" xfId="14865" xr:uid="{00000000-0005-0000-0000-0000492B0000}"/>
    <cellStyle name="Millares 2 80 2 2 3 5 2 2 2" xfId="28433" xr:uid="{00000000-0005-0000-0000-00004A2B0000}"/>
    <cellStyle name="Millares 2 80 2 2 3 5 2 2 2 2" xfId="55566" xr:uid="{00000000-0005-0000-0000-00004B2B0000}"/>
    <cellStyle name="Millares 2 80 2 2 3 5 2 2 3" xfId="42004" xr:uid="{00000000-0005-0000-0000-00004C2B0000}"/>
    <cellStyle name="Millares 2 80 2 2 3 5 2 3" xfId="21652" xr:uid="{00000000-0005-0000-0000-00004D2B0000}"/>
    <cellStyle name="Millares 2 80 2 2 3 5 2 3 2" xfId="48785" xr:uid="{00000000-0005-0000-0000-00004E2B0000}"/>
    <cellStyle name="Millares 2 80 2 2 3 5 2 4" xfId="35223" xr:uid="{00000000-0005-0000-0000-00004F2B0000}"/>
    <cellStyle name="Millares 2 80 2 2 3 5 3" xfId="11476" xr:uid="{00000000-0005-0000-0000-0000502B0000}"/>
    <cellStyle name="Millares 2 80 2 2 3 5 3 2" xfId="25044" xr:uid="{00000000-0005-0000-0000-0000512B0000}"/>
    <cellStyle name="Millares 2 80 2 2 3 5 3 2 2" xfId="52177" xr:uid="{00000000-0005-0000-0000-0000522B0000}"/>
    <cellStyle name="Millares 2 80 2 2 3 5 3 3" xfId="38615" xr:uid="{00000000-0005-0000-0000-0000532B0000}"/>
    <cellStyle name="Millares 2 80 2 2 3 5 4" xfId="18263" xr:uid="{00000000-0005-0000-0000-0000542B0000}"/>
    <cellStyle name="Millares 2 80 2 2 3 5 4 2" xfId="45396" xr:uid="{00000000-0005-0000-0000-0000552B0000}"/>
    <cellStyle name="Millares 2 80 2 2 3 5 5" xfId="31834" xr:uid="{00000000-0005-0000-0000-0000562B0000}"/>
    <cellStyle name="Millares 2 80 2 2 3 6" xfId="8069" xr:uid="{00000000-0005-0000-0000-0000572B0000}"/>
    <cellStyle name="Millares 2 80 2 2 3 6 2" xfId="14858" xr:uid="{00000000-0005-0000-0000-0000582B0000}"/>
    <cellStyle name="Millares 2 80 2 2 3 6 2 2" xfId="28426" xr:uid="{00000000-0005-0000-0000-0000592B0000}"/>
    <cellStyle name="Millares 2 80 2 2 3 6 2 2 2" xfId="55559" xr:uid="{00000000-0005-0000-0000-00005A2B0000}"/>
    <cellStyle name="Millares 2 80 2 2 3 6 2 3" xfId="41997" xr:uid="{00000000-0005-0000-0000-00005B2B0000}"/>
    <cellStyle name="Millares 2 80 2 2 3 6 3" xfId="21645" xr:uid="{00000000-0005-0000-0000-00005C2B0000}"/>
    <cellStyle name="Millares 2 80 2 2 3 6 3 2" xfId="48778" xr:uid="{00000000-0005-0000-0000-00005D2B0000}"/>
    <cellStyle name="Millares 2 80 2 2 3 6 4" xfId="35216" xr:uid="{00000000-0005-0000-0000-00005E2B0000}"/>
    <cellStyle name="Millares 2 80 2 2 3 7" xfId="11469" xr:uid="{00000000-0005-0000-0000-00005F2B0000}"/>
    <cellStyle name="Millares 2 80 2 2 3 7 2" xfId="25037" xr:uid="{00000000-0005-0000-0000-0000602B0000}"/>
    <cellStyle name="Millares 2 80 2 2 3 7 2 2" xfId="52170" xr:uid="{00000000-0005-0000-0000-0000612B0000}"/>
    <cellStyle name="Millares 2 80 2 2 3 7 3" xfId="38608" xr:uid="{00000000-0005-0000-0000-0000622B0000}"/>
    <cellStyle name="Millares 2 80 2 2 3 8" xfId="18256" xr:uid="{00000000-0005-0000-0000-0000632B0000}"/>
    <cellStyle name="Millares 2 80 2 2 3 8 2" xfId="45389" xr:uid="{00000000-0005-0000-0000-0000642B0000}"/>
    <cellStyle name="Millares 2 80 2 2 3 9" xfId="31827" xr:uid="{00000000-0005-0000-0000-0000652B0000}"/>
    <cellStyle name="Millares 2 80 2 2 4" xfId="4468" xr:uid="{00000000-0005-0000-0000-0000662B0000}"/>
    <cellStyle name="Millares 2 80 2 2 4 2" xfId="4469" xr:uid="{00000000-0005-0000-0000-0000672B0000}"/>
    <cellStyle name="Millares 2 80 2 2 4 2 2" xfId="4470" xr:uid="{00000000-0005-0000-0000-0000682B0000}"/>
    <cellStyle name="Millares 2 80 2 2 4 2 2 2" xfId="8079" xr:uid="{00000000-0005-0000-0000-0000692B0000}"/>
    <cellStyle name="Millares 2 80 2 2 4 2 2 2 2" xfId="14868" xr:uid="{00000000-0005-0000-0000-00006A2B0000}"/>
    <cellStyle name="Millares 2 80 2 2 4 2 2 2 2 2" xfId="28436" xr:uid="{00000000-0005-0000-0000-00006B2B0000}"/>
    <cellStyle name="Millares 2 80 2 2 4 2 2 2 2 2 2" xfId="55569" xr:uid="{00000000-0005-0000-0000-00006C2B0000}"/>
    <cellStyle name="Millares 2 80 2 2 4 2 2 2 2 3" xfId="42007" xr:uid="{00000000-0005-0000-0000-00006D2B0000}"/>
    <cellStyle name="Millares 2 80 2 2 4 2 2 2 3" xfId="21655" xr:uid="{00000000-0005-0000-0000-00006E2B0000}"/>
    <cellStyle name="Millares 2 80 2 2 4 2 2 2 3 2" xfId="48788" xr:uid="{00000000-0005-0000-0000-00006F2B0000}"/>
    <cellStyle name="Millares 2 80 2 2 4 2 2 2 4" xfId="35226" xr:uid="{00000000-0005-0000-0000-0000702B0000}"/>
    <cellStyle name="Millares 2 80 2 2 4 2 2 3" xfId="11479" xr:uid="{00000000-0005-0000-0000-0000712B0000}"/>
    <cellStyle name="Millares 2 80 2 2 4 2 2 3 2" xfId="25047" xr:uid="{00000000-0005-0000-0000-0000722B0000}"/>
    <cellStyle name="Millares 2 80 2 2 4 2 2 3 2 2" xfId="52180" xr:uid="{00000000-0005-0000-0000-0000732B0000}"/>
    <cellStyle name="Millares 2 80 2 2 4 2 2 3 3" xfId="38618" xr:uid="{00000000-0005-0000-0000-0000742B0000}"/>
    <cellStyle name="Millares 2 80 2 2 4 2 2 4" xfId="18266" xr:uid="{00000000-0005-0000-0000-0000752B0000}"/>
    <cellStyle name="Millares 2 80 2 2 4 2 2 4 2" xfId="45399" xr:uid="{00000000-0005-0000-0000-0000762B0000}"/>
    <cellStyle name="Millares 2 80 2 2 4 2 2 5" xfId="31837" xr:uid="{00000000-0005-0000-0000-0000772B0000}"/>
    <cellStyle name="Millares 2 80 2 2 4 2 3" xfId="4471" xr:uid="{00000000-0005-0000-0000-0000782B0000}"/>
    <cellStyle name="Millares 2 80 2 2 4 2 3 2" xfId="8080" xr:uid="{00000000-0005-0000-0000-0000792B0000}"/>
    <cellStyle name="Millares 2 80 2 2 4 2 3 2 2" xfId="14869" xr:uid="{00000000-0005-0000-0000-00007A2B0000}"/>
    <cellStyle name="Millares 2 80 2 2 4 2 3 2 2 2" xfId="28437" xr:uid="{00000000-0005-0000-0000-00007B2B0000}"/>
    <cellStyle name="Millares 2 80 2 2 4 2 3 2 2 2 2" xfId="55570" xr:uid="{00000000-0005-0000-0000-00007C2B0000}"/>
    <cellStyle name="Millares 2 80 2 2 4 2 3 2 2 3" xfId="42008" xr:uid="{00000000-0005-0000-0000-00007D2B0000}"/>
    <cellStyle name="Millares 2 80 2 2 4 2 3 2 3" xfId="21656" xr:uid="{00000000-0005-0000-0000-00007E2B0000}"/>
    <cellStyle name="Millares 2 80 2 2 4 2 3 2 3 2" xfId="48789" xr:uid="{00000000-0005-0000-0000-00007F2B0000}"/>
    <cellStyle name="Millares 2 80 2 2 4 2 3 2 4" xfId="35227" xr:uid="{00000000-0005-0000-0000-0000802B0000}"/>
    <cellStyle name="Millares 2 80 2 2 4 2 3 3" xfId="11480" xr:uid="{00000000-0005-0000-0000-0000812B0000}"/>
    <cellStyle name="Millares 2 80 2 2 4 2 3 3 2" xfId="25048" xr:uid="{00000000-0005-0000-0000-0000822B0000}"/>
    <cellStyle name="Millares 2 80 2 2 4 2 3 3 2 2" xfId="52181" xr:uid="{00000000-0005-0000-0000-0000832B0000}"/>
    <cellStyle name="Millares 2 80 2 2 4 2 3 3 3" xfId="38619" xr:uid="{00000000-0005-0000-0000-0000842B0000}"/>
    <cellStyle name="Millares 2 80 2 2 4 2 3 4" xfId="18267" xr:uid="{00000000-0005-0000-0000-0000852B0000}"/>
    <cellStyle name="Millares 2 80 2 2 4 2 3 4 2" xfId="45400" xr:uid="{00000000-0005-0000-0000-0000862B0000}"/>
    <cellStyle name="Millares 2 80 2 2 4 2 3 5" xfId="31838" xr:uid="{00000000-0005-0000-0000-0000872B0000}"/>
    <cellStyle name="Millares 2 80 2 2 4 2 4" xfId="8078" xr:uid="{00000000-0005-0000-0000-0000882B0000}"/>
    <cellStyle name="Millares 2 80 2 2 4 2 4 2" xfId="14867" xr:uid="{00000000-0005-0000-0000-0000892B0000}"/>
    <cellStyle name="Millares 2 80 2 2 4 2 4 2 2" xfId="28435" xr:uid="{00000000-0005-0000-0000-00008A2B0000}"/>
    <cellStyle name="Millares 2 80 2 2 4 2 4 2 2 2" xfId="55568" xr:uid="{00000000-0005-0000-0000-00008B2B0000}"/>
    <cellStyle name="Millares 2 80 2 2 4 2 4 2 3" xfId="42006" xr:uid="{00000000-0005-0000-0000-00008C2B0000}"/>
    <cellStyle name="Millares 2 80 2 2 4 2 4 3" xfId="21654" xr:uid="{00000000-0005-0000-0000-00008D2B0000}"/>
    <cellStyle name="Millares 2 80 2 2 4 2 4 3 2" xfId="48787" xr:uid="{00000000-0005-0000-0000-00008E2B0000}"/>
    <cellStyle name="Millares 2 80 2 2 4 2 4 4" xfId="35225" xr:uid="{00000000-0005-0000-0000-00008F2B0000}"/>
    <cellStyle name="Millares 2 80 2 2 4 2 5" xfId="11478" xr:uid="{00000000-0005-0000-0000-0000902B0000}"/>
    <cellStyle name="Millares 2 80 2 2 4 2 5 2" xfId="25046" xr:uid="{00000000-0005-0000-0000-0000912B0000}"/>
    <cellStyle name="Millares 2 80 2 2 4 2 5 2 2" xfId="52179" xr:uid="{00000000-0005-0000-0000-0000922B0000}"/>
    <cellStyle name="Millares 2 80 2 2 4 2 5 3" xfId="38617" xr:uid="{00000000-0005-0000-0000-0000932B0000}"/>
    <cellStyle name="Millares 2 80 2 2 4 2 6" xfId="18265" xr:uid="{00000000-0005-0000-0000-0000942B0000}"/>
    <cellStyle name="Millares 2 80 2 2 4 2 6 2" xfId="45398" xr:uid="{00000000-0005-0000-0000-0000952B0000}"/>
    <cellStyle name="Millares 2 80 2 2 4 2 7" xfId="31836" xr:uid="{00000000-0005-0000-0000-0000962B0000}"/>
    <cellStyle name="Millares 2 80 2 2 4 3" xfId="4472" xr:uid="{00000000-0005-0000-0000-0000972B0000}"/>
    <cellStyle name="Millares 2 80 2 2 4 3 2" xfId="8081" xr:uid="{00000000-0005-0000-0000-0000982B0000}"/>
    <cellStyle name="Millares 2 80 2 2 4 3 2 2" xfId="14870" xr:uid="{00000000-0005-0000-0000-0000992B0000}"/>
    <cellStyle name="Millares 2 80 2 2 4 3 2 2 2" xfId="28438" xr:uid="{00000000-0005-0000-0000-00009A2B0000}"/>
    <cellStyle name="Millares 2 80 2 2 4 3 2 2 2 2" xfId="55571" xr:uid="{00000000-0005-0000-0000-00009B2B0000}"/>
    <cellStyle name="Millares 2 80 2 2 4 3 2 2 3" xfId="42009" xr:uid="{00000000-0005-0000-0000-00009C2B0000}"/>
    <cellStyle name="Millares 2 80 2 2 4 3 2 3" xfId="21657" xr:uid="{00000000-0005-0000-0000-00009D2B0000}"/>
    <cellStyle name="Millares 2 80 2 2 4 3 2 3 2" xfId="48790" xr:uid="{00000000-0005-0000-0000-00009E2B0000}"/>
    <cellStyle name="Millares 2 80 2 2 4 3 2 4" xfId="35228" xr:uid="{00000000-0005-0000-0000-00009F2B0000}"/>
    <cellStyle name="Millares 2 80 2 2 4 3 3" xfId="11481" xr:uid="{00000000-0005-0000-0000-0000A02B0000}"/>
    <cellStyle name="Millares 2 80 2 2 4 3 3 2" xfId="25049" xr:uid="{00000000-0005-0000-0000-0000A12B0000}"/>
    <cellStyle name="Millares 2 80 2 2 4 3 3 2 2" xfId="52182" xr:uid="{00000000-0005-0000-0000-0000A22B0000}"/>
    <cellStyle name="Millares 2 80 2 2 4 3 3 3" xfId="38620" xr:uid="{00000000-0005-0000-0000-0000A32B0000}"/>
    <cellStyle name="Millares 2 80 2 2 4 3 4" xfId="18268" xr:uid="{00000000-0005-0000-0000-0000A42B0000}"/>
    <cellStyle name="Millares 2 80 2 2 4 3 4 2" xfId="45401" xr:uid="{00000000-0005-0000-0000-0000A52B0000}"/>
    <cellStyle name="Millares 2 80 2 2 4 3 5" xfId="31839" xr:uid="{00000000-0005-0000-0000-0000A62B0000}"/>
    <cellStyle name="Millares 2 80 2 2 4 4" xfId="4473" xr:uid="{00000000-0005-0000-0000-0000A72B0000}"/>
    <cellStyle name="Millares 2 80 2 2 4 4 2" xfId="8082" xr:uid="{00000000-0005-0000-0000-0000A82B0000}"/>
    <cellStyle name="Millares 2 80 2 2 4 4 2 2" xfId="14871" xr:uid="{00000000-0005-0000-0000-0000A92B0000}"/>
    <cellStyle name="Millares 2 80 2 2 4 4 2 2 2" xfId="28439" xr:uid="{00000000-0005-0000-0000-0000AA2B0000}"/>
    <cellStyle name="Millares 2 80 2 2 4 4 2 2 2 2" xfId="55572" xr:uid="{00000000-0005-0000-0000-0000AB2B0000}"/>
    <cellStyle name="Millares 2 80 2 2 4 4 2 2 3" xfId="42010" xr:uid="{00000000-0005-0000-0000-0000AC2B0000}"/>
    <cellStyle name="Millares 2 80 2 2 4 4 2 3" xfId="21658" xr:uid="{00000000-0005-0000-0000-0000AD2B0000}"/>
    <cellStyle name="Millares 2 80 2 2 4 4 2 3 2" xfId="48791" xr:uid="{00000000-0005-0000-0000-0000AE2B0000}"/>
    <cellStyle name="Millares 2 80 2 2 4 4 2 4" xfId="35229" xr:uid="{00000000-0005-0000-0000-0000AF2B0000}"/>
    <cellStyle name="Millares 2 80 2 2 4 4 3" xfId="11482" xr:uid="{00000000-0005-0000-0000-0000B02B0000}"/>
    <cellStyle name="Millares 2 80 2 2 4 4 3 2" xfId="25050" xr:uid="{00000000-0005-0000-0000-0000B12B0000}"/>
    <cellStyle name="Millares 2 80 2 2 4 4 3 2 2" xfId="52183" xr:uid="{00000000-0005-0000-0000-0000B22B0000}"/>
    <cellStyle name="Millares 2 80 2 2 4 4 3 3" xfId="38621" xr:uid="{00000000-0005-0000-0000-0000B32B0000}"/>
    <cellStyle name="Millares 2 80 2 2 4 4 4" xfId="18269" xr:uid="{00000000-0005-0000-0000-0000B42B0000}"/>
    <cellStyle name="Millares 2 80 2 2 4 4 4 2" xfId="45402" xr:uid="{00000000-0005-0000-0000-0000B52B0000}"/>
    <cellStyle name="Millares 2 80 2 2 4 4 5" xfId="31840" xr:uid="{00000000-0005-0000-0000-0000B62B0000}"/>
    <cellStyle name="Millares 2 80 2 2 4 5" xfId="8077" xr:uid="{00000000-0005-0000-0000-0000B72B0000}"/>
    <cellStyle name="Millares 2 80 2 2 4 5 2" xfId="14866" xr:uid="{00000000-0005-0000-0000-0000B82B0000}"/>
    <cellStyle name="Millares 2 80 2 2 4 5 2 2" xfId="28434" xr:uid="{00000000-0005-0000-0000-0000B92B0000}"/>
    <cellStyle name="Millares 2 80 2 2 4 5 2 2 2" xfId="55567" xr:uid="{00000000-0005-0000-0000-0000BA2B0000}"/>
    <cellStyle name="Millares 2 80 2 2 4 5 2 3" xfId="42005" xr:uid="{00000000-0005-0000-0000-0000BB2B0000}"/>
    <cellStyle name="Millares 2 80 2 2 4 5 3" xfId="21653" xr:uid="{00000000-0005-0000-0000-0000BC2B0000}"/>
    <cellStyle name="Millares 2 80 2 2 4 5 3 2" xfId="48786" xr:uid="{00000000-0005-0000-0000-0000BD2B0000}"/>
    <cellStyle name="Millares 2 80 2 2 4 5 4" xfId="35224" xr:uid="{00000000-0005-0000-0000-0000BE2B0000}"/>
    <cellStyle name="Millares 2 80 2 2 4 6" xfId="11477" xr:uid="{00000000-0005-0000-0000-0000BF2B0000}"/>
    <cellStyle name="Millares 2 80 2 2 4 6 2" xfId="25045" xr:uid="{00000000-0005-0000-0000-0000C02B0000}"/>
    <cellStyle name="Millares 2 80 2 2 4 6 2 2" xfId="52178" xr:uid="{00000000-0005-0000-0000-0000C12B0000}"/>
    <cellStyle name="Millares 2 80 2 2 4 6 3" xfId="38616" xr:uid="{00000000-0005-0000-0000-0000C22B0000}"/>
    <cellStyle name="Millares 2 80 2 2 4 7" xfId="18264" xr:uid="{00000000-0005-0000-0000-0000C32B0000}"/>
    <cellStyle name="Millares 2 80 2 2 4 7 2" xfId="45397" xr:uid="{00000000-0005-0000-0000-0000C42B0000}"/>
    <cellStyle name="Millares 2 80 2 2 4 8" xfId="31835" xr:uid="{00000000-0005-0000-0000-0000C52B0000}"/>
    <cellStyle name="Millares 2 80 2 2 5" xfId="4474" xr:uid="{00000000-0005-0000-0000-0000C62B0000}"/>
    <cellStyle name="Millares 2 80 2 2 5 2" xfId="4475" xr:uid="{00000000-0005-0000-0000-0000C72B0000}"/>
    <cellStyle name="Millares 2 80 2 2 5 2 2" xfId="8084" xr:uid="{00000000-0005-0000-0000-0000C82B0000}"/>
    <cellStyle name="Millares 2 80 2 2 5 2 2 2" xfId="14873" xr:uid="{00000000-0005-0000-0000-0000C92B0000}"/>
    <cellStyle name="Millares 2 80 2 2 5 2 2 2 2" xfId="28441" xr:uid="{00000000-0005-0000-0000-0000CA2B0000}"/>
    <cellStyle name="Millares 2 80 2 2 5 2 2 2 2 2" xfId="55574" xr:uid="{00000000-0005-0000-0000-0000CB2B0000}"/>
    <cellStyle name="Millares 2 80 2 2 5 2 2 2 3" xfId="42012" xr:uid="{00000000-0005-0000-0000-0000CC2B0000}"/>
    <cellStyle name="Millares 2 80 2 2 5 2 2 3" xfId="21660" xr:uid="{00000000-0005-0000-0000-0000CD2B0000}"/>
    <cellStyle name="Millares 2 80 2 2 5 2 2 3 2" xfId="48793" xr:uid="{00000000-0005-0000-0000-0000CE2B0000}"/>
    <cellStyle name="Millares 2 80 2 2 5 2 2 4" xfId="35231" xr:uid="{00000000-0005-0000-0000-0000CF2B0000}"/>
    <cellStyle name="Millares 2 80 2 2 5 2 3" xfId="11484" xr:uid="{00000000-0005-0000-0000-0000D02B0000}"/>
    <cellStyle name="Millares 2 80 2 2 5 2 3 2" xfId="25052" xr:uid="{00000000-0005-0000-0000-0000D12B0000}"/>
    <cellStyle name="Millares 2 80 2 2 5 2 3 2 2" xfId="52185" xr:uid="{00000000-0005-0000-0000-0000D22B0000}"/>
    <cellStyle name="Millares 2 80 2 2 5 2 3 3" xfId="38623" xr:uid="{00000000-0005-0000-0000-0000D32B0000}"/>
    <cellStyle name="Millares 2 80 2 2 5 2 4" xfId="18271" xr:uid="{00000000-0005-0000-0000-0000D42B0000}"/>
    <cellStyle name="Millares 2 80 2 2 5 2 4 2" xfId="45404" xr:uid="{00000000-0005-0000-0000-0000D52B0000}"/>
    <cellStyle name="Millares 2 80 2 2 5 2 5" xfId="31842" xr:uid="{00000000-0005-0000-0000-0000D62B0000}"/>
    <cellStyle name="Millares 2 80 2 2 5 3" xfId="4476" xr:uid="{00000000-0005-0000-0000-0000D72B0000}"/>
    <cellStyle name="Millares 2 80 2 2 5 3 2" xfId="8085" xr:uid="{00000000-0005-0000-0000-0000D82B0000}"/>
    <cellStyle name="Millares 2 80 2 2 5 3 2 2" xfId="14874" xr:uid="{00000000-0005-0000-0000-0000D92B0000}"/>
    <cellStyle name="Millares 2 80 2 2 5 3 2 2 2" xfId="28442" xr:uid="{00000000-0005-0000-0000-0000DA2B0000}"/>
    <cellStyle name="Millares 2 80 2 2 5 3 2 2 2 2" xfId="55575" xr:uid="{00000000-0005-0000-0000-0000DB2B0000}"/>
    <cellStyle name="Millares 2 80 2 2 5 3 2 2 3" xfId="42013" xr:uid="{00000000-0005-0000-0000-0000DC2B0000}"/>
    <cellStyle name="Millares 2 80 2 2 5 3 2 3" xfId="21661" xr:uid="{00000000-0005-0000-0000-0000DD2B0000}"/>
    <cellStyle name="Millares 2 80 2 2 5 3 2 3 2" xfId="48794" xr:uid="{00000000-0005-0000-0000-0000DE2B0000}"/>
    <cellStyle name="Millares 2 80 2 2 5 3 2 4" xfId="35232" xr:uid="{00000000-0005-0000-0000-0000DF2B0000}"/>
    <cellStyle name="Millares 2 80 2 2 5 3 3" xfId="11485" xr:uid="{00000000-0005-0000-0000-0000E02B0000}"/>
    <cellStyle name="Millares 2 80 2 2 5 3 3 2" xfId="25053" xr:uid="{00000000-0005-0000-0000-0000E12B0000}"/>
    <cellStyle name="Millares 2 80 2 2 5 3 3 2 2" xfId="52186" xr:uid="{00000000-0005-0000-0000-0000E22B0000}"/>
    <cellStyle name="Millares 2 80 2 2 5 3 3 3" xfId="38624" xr:uid="{00000000-0005-0000-0000-0000E32B0000}"/>
    <cellStyle name="Millares 2 80 2 2 5 3 4" xfId="18272" xr:uid="{00000000-0005-0000-0000-0000E42B0000}"/>
    <cellStyle name="Millares 2 80 2 2 5 3 4 2" xfId="45405" xr:uid="{00000000-0005-0000-0000-0000E52B0000}"/>
    <cellStyle name="Millares 2 80 2 2 5 3 5" xfId="31843" xr:uid="{00000000-0005-0000-0000-0000E62B0000}"/>
    <cellStyle name="Millares 2 80 2 2 5 4" xfId="8083" xr:uid="{00000000-0005-0000-0000-0000E72B0000}"/>
    <cellStyle name="Millares 2 80 2 2 5 4 2" xfId="14872" xr:uid="{00000000-0005-0000-0000-0000E82B0000}"/>
    <cellStyle name="Millares 2 80 2 2 5 4 2 2" xfId="28440" xr:uid="{00000000-0005-0000-0000-0000E92B0000}"/>
    <cellStyle name="Millares 2 80 2 2 5 4 2 2 2" xfId="55573" xr:uid="{00000000-0005-0000-0000-0000EA2B0000}"/>
    <cellStyle name="Millares 2 80 2 2 5 4 2 3" xfId="42011" xr:uid="{00000000-0005-0000-0000-0000EB2B0000}"/>
    <cellStyle name="Millares 2 80 2 2 5 4 3" xfId="21659" xr:uid="{00000000-0005-0000-0000-0000EC2B0000}"/>
    <cellStyle name="Millares 2 80 2 2 5 4 3 2" xfId="48792" xr:uid="{00000000-0005-0000-0000-0000ED2B0000}"/>
    <cellStyle name="Millares 2 80 2 2 5 4 4" xfId="35230" xr:uid="{00000000-0005-0000-0000-0000EE2B0000}"/>
    <cellStyle name="Millares 2 80 2 2 5 5" xfId="11483" xr:uid="{00000000-0005-0000-0000-0000EF2B0000}"/>
    <cellStyle name="Millares 2 80 2 2 5 5 2" xfId="25051" xr:uid="{00000000-0005-0000-0000-0000F02B0000}"/>
    <cellStyle name="Millares 2 80 2 2 5 5 2 2" xfId="52184" xr:uid="{00000000-0005-0000-0000-0000F12B0000}"/>
    <cellStyle name="Millares 2 80 2 2 5 5 3" xfId="38622" xr:uid="{00000000-0005-0000-0000-0000F22B0000}"/>
    <cellStyle name="Millares 2 80 2 2 5 6" xfId="18270" xr:uid="{00000000-0005-0000-0000-0000F32B0000}"/>
    <cellStyle name="Millares 2 80 2 2 5 6 2" xfId="45403" xr:uid="{00000000-0005-0000-0000-0000F42B0000}"/>
    <cellStyle name="Millares 2 80 2 2 5 7" xfId="31841" xr:uid="{00000000-0005-0000-0000-0000F52B0000}"/>
    <cellStyle name="Millares 2 80 2 2 6" xfId="4477" xr:uid="{00000000-0005-0000-0000-0000F62B0000}"/>
    <cellStyle name="Millares 2 80 2 2 6 2" xfId="4478" xr:uid="{00000000-0005-0000-0000-0000F72B0000}"/>
    <cellStyle name="Millares 2 80 2 2 6 2 2" xfId="8087" xr:uid="{00000000-0005-0000-0000-0000F82B0000}"/>
    <cellStyle name="Millares 2 80 2 2 6 2 2 2" xfId="14876" xr:uid="{00000000-0005-0000-0000-0000F92B0000}"/>
    <cellStyle name="Millares 2 80 2 2 6 2 2 2 2" xfId="28444" xr:uid="{00000000-0005-0000-0000-0000FA2B0000}"/>
    <cellStyle name="Millares 2 80 2 2 6 2 2 2 2 2" xfId="55577" xr:uid="{00000000-0005-0000-0000-0000FB2B0000}"/>
    <cellStyle name="Millares 2 80 2 2 6 2 2 2 3" xfId="42015" xr:uid="{00000000-0005-0000-0000-0000FC2B0000}"/>
    <cellStyle name="Millares 2 80 2 2 6 2 2 3" xfId="21663" xr:uid="{00000000-0005-0000-0000-0000FD2B0000}"/>
    <cellStyle name="Millares 2 80 2 2 6 2 2 3 2" xfId="48796" xr:uid="{00000000-0005-0000-0000-0000FE2B0000}"/>
    <cellStyle name="Millares 2 80 2 2 6 2 2 4" xfId="35234" xr:uid="{00000000-0005-0000-0000-0000FF2B0000}"/>
    <cellStyle name="Millares 2 80 2 2 6 2 3" xfId="11487" xr:uid="{00000000-0005-0000-0000-0000002C0000}"/>
    <cellStyle name="Millares 2 80 2 2 6 2 3 2" xfId="25055" xr:uid="{00000000-0005-0000-0000-0000012C0000}"/>
    <cellStyle name="Millares 2 80 2 2 6 2 3 2 2" xfId="52188" xr:uid="{00000000-0005-0000-0000-0000022C0000}"/>
    <cellStyle name="Millares 2 80 2 2 6 2 3 3" xfId="38626" xr:uid="{00000000-0005-0000-0000-0000032C0000}"/>
    <cellStyle name="Millares 2 80 2 2 6 2 4" xfId="18274" xr:uid="{00000000-0005-0000-0000-0000042C0000}"/>
    <cellStyle name="Millares 2 80 2 2 6 2 4 2" xfId="45407" xr:uid="{00000000-0005-0000-0000-0000052C0000}"/>
    <cellStyle name="Millares 2 80 2 2 6 2 5" xfId="31845" xr:uid="{00000000-0005-0000-0000-0000062C0000}"/>
    <cellStyle name="Millares 2 80 2 2 6 3" xfId="4479" xr:uid="{00000000-0005-0000-0000-0000072C0000}"/>
    <cellStyle name="Millares 2 80 2 2 6 3 2" xfId="8088" xr:uid="{00000000-0005-0000-0000-0000082C0000}"/>
    <cellStyle name="Millares 2 80 2 2 6 3 2 2" xfId="14877" xr:uid="{00000000-0005-0000-0000-0000092C0000}"/>
    <cellStyle name="Millares 2 80 2 2 6 3 2 2 2" xfId="28445" xr:uid="{00000000-0005-0000-0000-00000A2C0000}"/>
    <cellStyle name="Millares 2 80 2 2 6 3 2 2 2 2" xfId="55578" xr:uid="{00000000-0005-0000-0000-00000B2C0000}"/>
    <cellStyle name="Millares 2 80 2 2 6 3 2 2 3" xfId="42016" xr:uid="{00000000-0005-0000-0000-00000C2C0000}"/>
    <cellStyle name="Millares 2 80 2 2 6 3 2 3" xfId="21664" xr:uid="{00000000-0005-0000-0000-00000D2C0000}"/>
    <cellStyle name="Millares 2 80 2 2 6 3 2 3 2" xfId="48797" xr:uid="{00000000-0005-0000-0000-00000E2C0000}"/>
    <cellStyle name="Millares 2 80 2 2 6 3 2 4" xfId="35235" xr:uid="{00000000-0005-0000-0000-00000F2C0000}"/>
    <cellStyle name="Millares 2 80 2 2 6 3 3" xfId="11488" xr:uid="{00000000-0005-0000-0000-0000102C0000}"/>
    <cellStyle name="Millares 2 80 2 2 6 3 3 2" xfId="25056" xr:uid="{00000000-0005-0000-0000-0000112C0000}"/>
    <cellStyle name="Millares 2 80 2 2 6 3 3 2 2" xfId="52189" xr:uid="{00000000-0005-0000-0000-0000122C0000}"/>
    <cellStyle name="Millares 2 80 2 2 6 3 3 3" xfId="38627" xr:uid="{00000000-0005-0000-0000-0000132C0000}"/>
    <cellStyle name="Millares 2 80 2 2 6 3 4" xfId="18275" xr:uid="{00000000-0005-0000-0000-0000142C0000}"/>
    <cellStyle name="Millares 2 80 2 2 6 3 4 2" xfId="45408" xr:uid="{00000000-0005-0000-0000-0000152C0000}"/>
    <cellStyle name="Millares 2 80 2 2 6 3 5" xfId="31846" xr:uid="{00000000-0005-0000-0000-0000162C0000}"/>
    <cellStyle name="Millares 2 80 2 2 6 4" xfId="8086" xr:uid="{00000000-0005-0000-0000-0000172C0000}"/>
    <cellStyle name="Millares 2 80 2 2 6 4 2" xfId="14875" xr:uid="{00000000-0005-0000-0000-0000182C0000}"/>
    <cellStyle name="Millares 2 80 2 2 6 4 2 2" xfId="28443" xr:uid="{00000000-0005-0000-0000-0000192C0000}"/>
    <cellStyle name="Millares 2 80 2 2 6 4 2 2 2" xfId="55576" xr:uid="{00000000-0005-0000-0000-00001A2C0000}"/>
    <cellStyle name="Millares 2 80 2 2 6 4 2 3" xfId="42014" xr:uid="{00000000-0005-0000-0000-00001B2C0000}"/>
    <cellStyle name="Millares 2 80 2 2 6 4 3" xfId="21662" xr:uid="{00000000-0005-0000-0000-00001C2C0000}"/>
    <cellStyle name="Millares 2 80 2 2 6 4 3 2" xfId="48795" xr:uid="{00000000-0005-0000-0000-00001D2C0000}"/>
    <cellStyle name="Millares 2 80 2 2 6 4 4" xfId="35233" xr:uid="{00000000-0005-0000-0000-00001E2C0000}"/>
    <cellStyle name="Millares 2 80 2 2 6 5" xfId="11486" xr:uid="{00000000-0005-0000-0000-00001F2C0000}"/>
    <cellStyle name="Millares 2 80 2 2 6 5 2" xfId="25054" xr:uid="{00000000-0005-0000-0000-0000202C0000}"/>
    <cellStyle name="Millares 2 80 2 2 6 5 2 2" xfId="52187" xr:uid="{00000000-0005-0000-0000-0000212C0000}"/>
    <cellStyle name="Millares 2 80 2 2 6 5 3" xfId="38625" xr:uid="{00000000-0005-0000-0000-0000222C0000}"/>
    <cellStyle name="Millares 2 80 2 2 6 6" xfId="18273" xr:uid="{00000000-0005-0000-0000-0000232C0000}"/>
    <cellStyle name="Millares 2 80 2 2 6 6 2" xfId="45406" xr:uid="{00000000-0005-0000-0000-0000242C0000}"/>
    <cellStyle name="Millares 2 80 2 2 6 7" xfId="31844" xr:uid="{00000000-0005-0000-0000-0000252C0000}"/>
    <cellStyle name="Millares 2 80 2 2 7" xfId="4480" xr:uid="{00000000-0005-0000-0000-0000262C0000}"/>
    <cellStyle name="Millares 2 80 2 2 7 2" xfId="8089" xr:uid="{00000000-0005-0000-0000-0000272C0000}"/>
    <cellStyle name="Millares 2 80 2 2 7 2 2" xfId="14878" xr:uid="{00000000-0005-0000-0000-0000282C0000}"/>
    <cellStyle name="Millares 2 80 2 2 7 2 2 2" xfId="28446" xr:uid="{00000000-0005-0000-0000-0000292C0000}"/>
    <cellStyle name="Millares 2 80 2 2 7 2 2 2 2" xfId="55579" xr:uid="{00000000-0005-0000-0000-00002A2C0000}"/>
    <cellStyle name="Millares 2 80 2 2 7 2 2 3" xfId="42017" xr:uid="{00000000-0005-0000-0000-00002B2C0000}"/>
    <cellStyle name="Millares 2 80 2 2 7 2 3" xfId="21665" xr:uid="{00000000-0005-0000-0000-00002C2C0000}"/>
    <cellStyle name="Millares 2 80 2 2 7 2 3 2" xfId="48798" xr:uid="{00000000-0005-0000-0000-00002D2C0000}"/>
    <cellStyle name="Millares 2 80 2 2 7 2 4" xfId="35236" xr:uid="{00000000-0005-0000-0000-00002E2C0000}"/>
    <cellStyle name="Millares 2 80 2 2 7 3" xfId="11489" xr:uid="{00000000-0005-0000-0000-00002F2C0000}"/>
    <cellStyle name="Millares 2 80 2 2 7 3 2" xfId="25057" xr:uid="{00000000-0005-0000-0000-0000302C0000}"/>
    <cellStyle name="Millares 2 80 2 2 7 3 2 2" xfId="52190" xr:uid="{00000000-0005-0000-0000-0000312C0000}"/>
    <cellStyle name="Millares 2 80 2 2 7 3 3" xfId="38628" xr:uid="{00000000-0005-0000-0000-0000322C0000}"/>
    <cellStyle name="Millares 2 80 2 2 7 4" xfId="18276" xr:uid="{00000000-0005-0000-0000-0000332C0000}"/>
    <cellStyle name="Millares 2 80 2 2 7 4 2" xfId="45409" xr:uid="{00000000-0005-0000-0000-0000342C0000}"/>
    <cellStyle name="Millares 2 80 2 2 7 5" xfId="31847" xr:uid="{00000000-0005-0000-0000-0000352C0000}"/>
    <cellStyle name="Millares 2 80 2 2 8" xfId="4481" xr:uid="{00000000-0005-0000-0000-0000362C0000}"/>
    <cellStyle name="Millares 2 80 2 2 8 2" xfId="8090" xr:uid="{00000000-0005-0000-0000-0000372C0000}"/>
    <cellStyle name="Millares 2 80 2 2 8 2 2" xfId="14879" xr:uid="{00000000-0005-0000-0000-0000382C0000}"/>
    <cellStyle name="Millares 2 80 2 2 8 2 2 2" xfId="28447" xr:uid="{00000000-0005-0000-0000-0000392C0000}"/>
    <cellStyle name="Millares 2 80 2 2 8 2 2 2 2" xfId="55580" xr:uid="{00000000-0005-0000-0000-00003A2C0000}"/>
    <cellStyle name="Millares 2 80 2 2 8 2 2 3" xfId="42018" xr:uid="{00000000-0005-0000-0000-00003B2C0000}"/>
    <cellStyle name="Millares 2 80 2 2 8 2 3" xfId="21666" xr:uid="{00000000-0005-0000-0000-00003C2C0000}"/>
    <cellStyle name="Millares 2 80 2 2 8 2 3 2" xfId="48799" xr:uid="{00000000-0005-0000-0000-00003D2C0000}"/>
    <cellStyle name="Millares 2 80 2 2 8 2 4" xfId="35237" xr:uid="{00000000-0005-0000-0000-00003E2C0000}"/>
    <cellStyle name="Millares 2 80 2 2 8 3" xfId="11490" xr:uid="{00000000-0005-0000-0000-00003F2C0000}"/>
    <cellStyle name="Millares 2 80 2 2 8 3 2" xfId="25058" xr:uid="{00000000-0005-0000-0000-0000402C0000}"/>
    <cellStyle name="Millares 2 80 2 2 8 3 2 2" xfId="52191" xr:uid="{00000000-0005-0000-0000-0000412C0000}"/>
    <cellStyle name="Millares 2 80 2 2 8 3 3" xfId="38629" xr:uid="{00000000-0005-0000-0000-0000422C0000}"/>
    <cellStyle name="Millares 2 80 2 2 8 4" xfId="18277" xr:uid="{00000000-0005-0000-0000-0000432C0000}"/>
    <cellStyle name="Millares 2 80 2 2 8 4 2" xfId="45410" xr:uid="{00000000-0005-0000-0000-0000442C0000}"/>
    <cellStyle name="Millares 2 80 2 2 8 5" xfId="31848" xr:uid="{00000000-0005-0000-0000-0000452C0000}"/>
    <cellStyle name="Millares 2 80 2 2 9" xfId="8052" xr:uid="{00000000-0005-0000-0000-0000462C0000}"/>
    <cellStyle name="Millares 2 80 2 2 9 2" xfId="14841" xr:uid="{00000000-0005-0000-0000-0000472C0000}"/>
    <cellStyle name="Millares 2 80 2 2 9 2 2" xfId="28409" xr:uid="{00000000-0005-0000-0000-0000482C0000}"/>
    <cellStyle name="Millares 2 80 2 2 9 2 2 2" xfId="55542" xr:uid="{00000000-0005-0000-0000-0000492C0000}"/>
    <cellStyle name="Millares 2 80 2 2 9 2 3" xfId="41980" xr:uid="{00000000-0005-0000-0000-00004A2C0000}"/>
    <cellStyle name="Millares 2 80 2 2 9 3" xfId="21628" xr:uid="{00000000-0005-0000-0000-00004B2C0000}"/>
    <cellStyle name="Millares 2 80 2 2 9 3 2" xfId="48761" xr:uid="{00000000-0005-0000-0000-00004C2C0000}"/>
    <cellStyle name="Millares 2 80 2 2 9 4" xfId="35199" xr:uid="{00000000-0005-0000-0000-00004D2C0000}"/>
    <cellStyle name="Millares 2 80 2 3" xfId="4482" xr:uid="{00000000-0005-0000-0000-00004E2C0000}"/>
    <cellStyle name="Millares 2 80 2 3 10" xfId="31849" xr:uid="{00000000-0005-0000-0000-00004F2C0000}"/>
    <cellStyle name="Millares 2 80 2 3 2" xfId="4483" xr:uid="{00000000-0005-0000-0000-0000502C0000}"/>
    <cellStyle name="Millares 2 80 2 3 2 2" xfId="4484" xr:uid="{00000000-0005-0000-0000-0000512C0000}"/>
    <cellStyle name="Millares 2 80 2 3 2 2 2" xfId="4485" xr:uid="{00000000-0005-0000-0000-0000522C0000}"/>
    <cellStyle name="Millares 2 80 2 3 2 2 2 2" xfId="8094" xr:uid="{00000000-0005-0000-0000-0000532C0000}"/>
    <cellStyle name="Millares 2 80 2 3 2 2 2 2 2" xfId="14883" xr:uid="{00000000-0005-0000-0000-0000542C0000}"/>
    <cellStyle name="Millares 2 80 2 3 2 2 2 2 2 2" xfId="28451" xr:uid="{00000000-0005-0000-0000-0000552C0000}"/>
    <cellStyle name="Millares 2 80 2 3 2 2 2 2 2 2 2" xfId="55584" xr:uid="{00000000-0005-0000-0000-0000562C0000}"/>
    <cellStyle name="Millares 2 80 2 3 2 2 2 2 2 3" xfId="42022" xr:uid="{00000000-0005-0000-0000-0000572C0000}"/>
    <cellStyle name="Millares 2 80 2 3 2 2 2 2 3" xfId="21670" xr:uid="{00000000-0005-0000-0000-0000582C0000}"/>
    <cellStyle name="Millares 2 80 2 3 2 2 2 2 3 2" xfId="48803" xr:uid="{00000000-0005-0000-0000-0000592C0000}"/>
    <cellStyle name="Millares 2 80 2 3 2 2 2 2 4" xfId="35241" xr:uid="{00000000-0005-0000-0000-00005A2C0000}"/>
    <cellStyle name="Millares 2 80 2 3 2 2 2 3" xfId="11494" xr:uid="{00000000-0005-0000-0000-00005B2C0000}"/>
    <cellStyle name="Millares 2 80 2 3 2 2 2 3 2" xfId="25062" xr:uid="{00000000-0005-0000-0000-00005C2C0000}"/>
    <cellStyle name="Millares 2 80 2 3 2 2 2 3 2 2" xfId="52195" xr:uid="{00000000-0005-0000-0000-00005D2C0000}"/>
    <cellStyle name="Millares 2 80 2 3 2 2 2 3 3" xfId="38633" xr:uid="{00000000-0005-0000-0000-00005E2C0000}"/>
    <cellStyle name="Millares 2 80 2 3 2 2 2 4" xfId="18281" xr:uid="{00000000-0005-0000-0000-00005F2C0000}"/>
    <cellStyle name="Millares 2 80 2 3 2 2 2 4 2" xfId="45414" xr:uid="{00000000-0005-0000-0000-0000602C0000}"/>
    <cellStyle name="Millares 2 80 2 3 2 2 2 5" xfId="31852" xr:uid="{00000000-0005-0000-0000-0000612C0000}"/>
    <cellStyle name="Millares 2 80 2 3 2 2 3" xfId="4486" xr:uid="{00000000-0005-0000-0000-0000622C0000}"/>
    <cellStyle name="Millares 2 80 2 3 2 2 3 2" xfId="8095" xr:uid="{00000000-0005-0000-0000-0000632C0000}"/>
    <cellStyle name="Millares 2 80 2 3 2 2 3 2 2" xfId="14884" xr:uid="{00000000-0005-0000-0000-0000642C0000}"/>
    <cellStyle name="Millares 2 80 2 3 2 2 3 2 2 2" xfId="28452" xr:uid="{00000000-0005-0000-0000-0000652C0000}"/>
    <cellStyle name="Millares 2 80 2 3 2 2 3 2 2 2 2" xfId="55585" xr:uid="{00000000-0005-0000-0000-0000662C0000}"/>
    <cellStyle name="Millares 2 80 2 3 2 2 3 2 2 3" xfId="42023" xr:uid="{00000000-0005-0000-0000-0000672C0000}"/>
    <cellStyle name="Millares 2 80 2 3 2 2 3 2 3" xfId="21671" xr:uid="{00000000-0005-0000-0000-0000682C0000}"/>
    <cellStyle name="Millares 2 80 2 3 2 2 3 2 3 2" xfId="48804" xr:uid="{00000000-0005-0000-0000-0000692C0000}"/>
    <cellStyle name="Millares 2 80 2 3 2 2 3 2 4" xfId="35242" xr:uid="{00000000-0005-0000-0000-00006A2C0000}"/>
    <cellStyle name="Millares 2 80 2 3 2 2 3 3" xfId="11495" xr:uid="{00000000-0005-0000-0000-00006B2C0000}"/>
    <cellStyle name="Millares 2 80 2 3 2 2 3 3 2" xfId="25063" xr:uid="{00000000-0005-0000-0000-00006C2C0000}"/>
    <cellStyle name="Millares 2 80 2 3 2 2 3 3 2 2" xfId="52196" xr:uid="{00000000-0005-0000-0000-00006D2C0000}"/>
    <cellStyle name="Millares 2 80 2 3 2 2 3 3 3" xfId="38634" xr:uid="{00000000-0005-0000-0000-00006E2C0000}"/>
    <cellStyle name="Millares 2 80 2 3 2 2 3 4" xfId="18282" xr:uid="{00000000-0005-0000-0000-00006F2C0000}"/>
    <cellStyle name="Millares 2 80 2 3 2 2 3 4 2" xfId="45415" xr:uid="{00000000-0005-0000-0000-0000702C0000}"/>
    <cellStyle name="Millares 2 80 2 3 2 2 3 5" xfId="31853" xr:uid="{00000000-0005-0000-0000-0000712C0000}"/>
    <cellStyle name="Millares 2 80 2 3 2 2 4" xfId="8093" xr:uid="{00000000-0005-0000-0000-0000722C0000}"/>
    <cellStyle name="Millares 2 80 2 3 2 2 4 2" xfId="14882" xr:uid="{00000000-0005-0000-0000-0000732C0000}"/>
    <cellStyle name="Millares 2 80 2 3 2 2 4 2 2" xfId="28450" xr:uid="{00000000-0005-0000-0000-0000742C0000}"/>
    <cellStyle name="Millares 2 80 2 3 2 2 4 2 2 2" xfId="55583" xr:uid="{00000000-0005-0000-0000-0000752C0000}"/>
    <cellStyle name="Millares 2 80 2 3 2 2 4 2 3" xfId="42021" xr:uid="{00000000-0005-0000-0000-0000762C0000}"/>
    <cellStyle name="Millares 2 80 2 3 2 2 4 3" xfId="21669" xr:uid="{00000000-0005-0000-0000-0000772C0000}"/>
    <cellStyle name="Millares 2 80 2 3 2 2 4 3 2" xfId="48802" xr:uid="{00000000-0005-0000-0000-0000782C0000}"/>
    <cellStyle name="Millares 2 80 2 3 2 2 4 4" xfId="35240" xr:uid="{00000000-0005-0000-0000-0000792C0000}"/>
    <cellStyle name="Millares 2 80 2 3 2 2 5" xfId="11493" xr:uid="{00000000-0005-0000-0000-00007A2C0000}"/>
    <cellStyle name="Millares 2 80 2 3 2 2 5 2" xfId="25061" xr:uid="{00000000-0005-0000-0000-00007B2C0000}"/>
    <cellStyle name="Millares 2 80 2 3 2 2 5 2 2" xfId="52194" xr:uid="{00000000-0005-0000-0000-00007C2C0000}"/>
    <cellStyle name="Millares 2 80 2 3 2 2 5 3" xfId="38632" xr:uid="{00000000-0005-0000-0000-00007D2C0000}"/>
    <cellStyle name="Millares 2 80 2 3 2 2 6" xfId="18280" xr:uid="{00000000-0005-0000-0000-00007E2C0000}"/>
    <cellStyle name="Millares 2 80 2 3 2 2 6 2" xfId="45413" xr:uid="{00000000-0005-0000-0000-00007F2C0000}"/>
    <cellStyle name="Millares 2 80 2 3 2 2 7" xfId="31851" xr:uid="{00000000-0005-0000-0000-0000802C0000}"/>
    <cellStyle name="Millares 2 80 2 3 2 3" xfId="4487" xr:uid="{00000000-0005-0000-0000-0000812C0000}"/>
    <cellStyle name="Millares 2 80 2 3 2 3 2" xfId="4488" xr:uid="{00000000-0005-0000-0000-0000822C0000}"/>
    <cellStyle name="Millares 2 80 2 3 2 3 2 2" xfId="8097" xr:uid="{00000000-0005-0000-0000-0000832C0000}"/>
    <cellStyle name="Millares 2 80 2 3 2 3 2 2 2" xfId="14886" xr:uid="{00000000-0005-0000-0000-0000842C0000}"/>
    <cellStyle name="Millares 2 80 2 3 2 3 2 2 2 2" xfId="28454" xr:uid="{00000000-0005-0000-0000-0000852C0000}"/>
    <cellStyle name="Millares 2 80 2 3 2 3 2 2 2 2 2" xfId="55587" xr:uid="{00000000-0005-0000-0000-0000862C0000}"/>
    <cellStyle name="Millares 2 80 2 3 2 3 2 2 2 3" xfId="42025" xr:uid="{00000000-0005-0000-0000-0000872C0000}"/>
    <cellStyle name="Millares 2 80 2 3 2 3 2 2 3" xfId="21673" xr:uid="{00000000-0005-0000-0000-0000882C0000}"/>
    <cellStyle name="Millares 2 80 2 3 2 3 2 2 3 2" xfId="48806" xr:uid="{00000000-0005-0000-0000-0000892C0000}"/>
    <cellStyle name="Millares 2 80 2 3 2 3 2 2 4" xfId="35244" xr:uid="{00000000-0005-0000-0000-00008A2C0000}"/>
    <cellStyle name="Millares 2 80 2 3 2 3 2 3" xfId="11497" xr:uid="{00000000-0005-0000-0000-00008B2C0000}"/>
    <cellStyle name="Millares 2 80 2 3 2 3 2 3 2" xfId="25065" xr:uid="{00000000-0005-0000-0000-00008C2C0000}"/>
    <cellStyle name="Millares 2 80 2 3 2 3 2 3 2 2" xfId="52198" xr:uid="{00000000-0005-0000-0000-00008D2C0000}"/>
    <cellStyle name="Millares 2 80 2 3 2 3 2 3 3" xfId="38636" xr:uid="{00000000-0005-0000-0000-00008E2C0000}"/>
    <cellStyle name="Millares 2 80 2 3 2 3 2 4" xfId="18284" xr:uid="{00000000-0005-0000-0000-00008F2C0000}"/>
    <cellStyle name="Millares 2 80 2 3 2 3 2 4 2" xfId="45417" xr:uid="{00000000-0005-0000-0000-0000902C0000}"/>
    <cellStyle name="Millares 2 80 2 3 2 3 2 5" xfId="31855" xr:uid="{00000000-0005-0000-0000-0000912C0000}"/>
    <cellStyle name="Millares 2 80 2 3 2 3 3" xfId="8096" xr:uid="{00000000-0005-0000-0000-0000922C0000}"/>
    <cellStyle name="Millares 2 80 2 3 2 3 3 2" xfId="14885" xr:uid="{00000000-0005-0000-0000-0000932C0000}"/>
    <cellStyle name="Millares 2 80 2 3 2 3 3 2 2" xfId="28453" xr:uid="{00000000-0005-0000-0000-0000942C0000}"/>
    <cellStyle name="Millares 2 80 2 3 2 3 3 2 2 2" xfId="55586" xr:uid="{00000000-0005-0000-0000-0000952C0000}"/>
    <cellStyle name="Millares 2 80 2 3 2 3 3 2 3" xfId="42024" xr:uid="{00000000-0005-0000-0000-0000962C0000}"/>
    <cellStyle name="Millares 2 80 2 3 2 3 3 3" xfId="21672" xr:uid="{00000000-0005-0000-0000-0000972C0000}"/>
    <cellStyle name="Millares 2 80 2 3 2 3 3 3 2" xfId="48805" xr:uid="{00000000-0005-0000-0000-0000982C0000}"/>
    <cellStyle name="Millares 2 80 2 3 2 3 3 4" xfId="35243" xr:uid="{00000000-0005-0000-0000-0000992C0000}"/>
    <cellStyle name="Millares 2 80 2 3 2 3 4" xfId="11496" xr:uid="{00000000-0005-0000-0000-00009A2C0000}"/>
    <cellStyle name="Millares 2 80 2 3 2 3 4 2" xfId="25064" xr:uid="{00000000-0005-0000-0000-00009B2C0000}"/>
    <cellStyle name="Millares 2 80 2 3 2 3 4 2 2" xfId="52197" xr:uid="{00000000-0005-0000-0000-00009C2C0000}"/>
    <cellStyle name="Millares 2 80 2 3 2 3 4 3" xfId="38635" xr:uid="{00000000-0005-0000-0000-00009D2C0000}"/>
    <cellStyle name="Millares 2 80 2 3 2 3 5" xfId="18283" xr:uid="{00000000-0005-0000-0000-00009E2C0000}"/>
    <cellStyle name="Millares 2 80 2 3 2 3 5 2" xfId="45416" xr:uid="{00000000-0005-0000-0000-00009F2C0000}"/>
    <cellStyle name="Millares 2 80 2 3 2 3 6" xfId="31854" xr:uid="{00000000-0005-0000-0000-0000A02C0000}"/>
    <cellStyle name="Millares 2 80 2 3 2 4" xfId="4489" xr:uid="{00000000-0005-0000-0000-0000A12C0000}"/>
    <cellStyle name="Millares 2 80 2 3 2 4 2" xfId="8098" xr:uid="{00000000-0005-0000-0000-0000A22C0000}"/>
    <cellStyle name="Millares 2 80 2 3 2 4 2 2" xfId="14887" xr:uid="{00000000-0005-0000-0000-0000A32C0000}"/>
    <cellStyle name="Millares 2 80 2 3 2 4 2 2 2" xfId="28455" xr:uid="{00000000-0005-0000-0000-0000A42C0000}"/>
    <cellStyle name="Millares 2 80 2 3 2 4 2 2 2 2" xfId="55588" xr:uid="{00000000-0005-0000-0000-0000A52C0000}"/>
    <cellStyle name="Millares 2 80 2 3 2 4 2 2 3" xfId="42026" xr:uid="{00000000-0005-0000-0000-0000A62C0000}"/>
    <cellStyle name="Millares 2 80 2 3 2 4 2 3" xfId="21674" xr:uid="{00000000-0005-0000-0000-0000A72C0000}"/>
    <cellStyle name="Millares 2 80 2 3 2 4 2 3 2" xfId="48807" xr:uid="{00000000-0005-0000-0000-0000A82C0000}"/>
    <cellStyle name="Millares 2 80 2 3 2 4 2 4" xfId="35245" xr:uid="{00000000-0005-0000-0000-0000A92C0000}"/>
    <cellStyle name="Millares 2 80 2 3 2 4 3" xfId="11498" xr:uid="{00000000-0005-0000-0000-0000AA2C0000}"/>
    <cellStyle name="Millares 2 80 2 3 2 4 3 2" xfId="25066" xr:uid="{00000000-0005-0000-0000-0000AB2C0000}"/>
    <cellStyle name="Millares 2 80 2 3 2 4 3 2 2" xfId="52199" xr:uid="{00000000-0005-0000-0000-0000AC2C0000}"/>
    <cellStyle name="Millares 2 80 2 3 2 4 3 3" xfId="38637" xr:uid="{00000000-0005-0000-0000-0000AD2C0000}"/>
    <cellStyle name="Millares 2 80 2 3 2 4 4" xfId="18285" xr:uid="{00000000-0005-0000-0000-0000AE2C0000}"/>
    <cellStyle name="Millares 2 80 2 3 2 4 4 2" xfId="45418" xr:uid="{00000000-0005-0000-0000-0000AF2C0000}"/>
    <cellStyle name="Millares 2 80 2 3 2 4 5" xfId="31856" xr:uid="{00000000-0005-0000-0000-0000B02C0000}"/>
    <cellStyle name="Millares 2 80 2 3 2 5" xfId="4490" xr:uid="{00000000-0005-0000-0000-0000B12C0000}"/>
    <cellStyle name="Millares 2 80 2 3 2 5 2" xfId="8099" xr:uid="{00000000-0005-0000-0000-0000B22C0000}"/>
    <cellStyle name="Millares 2 80 2 3 2 5 2 2" xfId="14888" xr:uid="{00000000-0005-0000-0000-0000B32C0000}"/>
    <cellStyle name="Millares 2 80 2 3 2 5 2 2 2" xfId="28456" xr:uid="{00000000-0005-0000-0000-0000B42C0000}"/>
    <cellStyle name="Millares 2 80 2 3 2 5 2 2 2 2" xfId="55589" xr:uid="{00000000-0005-0000-0000-0000B52C0000}"/>
    <cellStyle name="Millares 2 80 2 3 2 5 2 2 3" xfId="42027" xr:uid="{00000000-0005-0000-0000-0000B62C0000}"/>
    <cellStyle name="Millares 2 80 2 3 2 5 2 3" xfId="21675" xr:uid="{00000000-0005-0000-0000-0000B72C0000}"/>
    <cellStyle name="Millares 2 80 2 3 2 5 2 3 2" xfId="48808" xr:uid="{00000000-0005-0000-0000-0000B82C0000}"/>
    <cellStyle name="Millares 2 80 2 3 2 5 2 4" xfId="35246" xr:uid="{00000000-0005-0000-0000-0000B92C0000}"/>
    <cellStyle name="Millares 2 80 2 3 2 5 3" xfId="11499" xr:uid="{00000000-0005-0000-0000-0000BA2C0000}"/>
    <cellStyle name="Millares 2 80 2 3 2 5 3 2" xfId="25067" xr:uid="{00000000-0005-0000-0000-0000BB2C0000}"/>
    <cellStyle name="Millares 2 80 2 3 2 5 3 2 2" xfId="52200" xr:uid="{00000000-0005-0000-0000-0000BC2C0000}"/>
    <cellStyle name="Millares 2 80 2 3 2 5 3 3" xfId="38638" xr:uid="{00000000-0005-0000-0000-0000BD2C0000}"/>
    <cellStyle name="Millares 2 80 2 3 2 5 4" xfId="18286" xr:uid="{00000000-0005-0000-0000-0000BE2C0000}"/>
    <cellStyle name="Millares 2 80 2 3 2 5 4 2" xfId="45419" xr:uid="{00000000-0005-0000-0000-0000BF2C0000}"/>
    <cellStyle name="Millares 2 80 2 3 2 5 5" xfId="31857" xr:uid="{00000000-0005-0000-0000-0000C02C0000}"/>
    <cellStyle name="Millares 2 80 2 3 2 6" xfId="8092" xr:uid="{00000000-0005-0000-0000-0000C12C0000}"/>
    <cellStyle name="Millares 2 80 2 3 2 6 2" xfId="14881" xr:uid="{00000000-0005-0000-0000-0000C22C0000}"/>
    <cellStyle name="Millares 2 80 2 3 2 6 2 2" xfId="28449" xr:uid="{00000000-0005-0000-0000-0000C32C0000}"/>
    <cellStyle name="Millares 2 80 2 3 2 6 2 2 2" xfId="55582" xr:uid="{00000000-0005-0000-0000-0000C42C0000}"/>
    <cellStyle name="Millares 2 80 2 3 2 6 2 3" xfId="42020" xr:uid="{00000000-0005-0000-0000-0000C52C0000}"/>
    <cellStyle name="Millares 2 80 2 3 2 6 3" xfId="21668" xr:uid="{00000000-0005-0000-0000-0000C62C0000}"/>
    <cellStyle name="Millares 2 80 2 3 2 6 3 2" xfId="48801" xr:uid="{00000000-0005-0000-0000-0000C72C0000}"/>
    <cellStyle name="Millares 2 80 2 3 2 6 4" xfId="35239" xr:uid="{00000000-0005-0000-0000-0000C82C0000}"/>
    <cellStyle name="Millares 2 80 2 3 2 7" xfId="11492" xr:uid="{00000000-0005-0000-0000-0000C92C0000}"/>
    <cellStyle name="Millares 2 80 2 3 2 7 2" xfId="25060" xr:uid="{00000000-0005-0000-0000-0000CA2C0000}"/>
    <cellStyle name="Millares 2 80 2 3 2 7 2 2" xfId="52193" xr:uid="{00000000-0005-0000-0000-0000CB2C0000}"/>
    <cellStyle name="Millares 2 80 2 3 2 7 3" xfId="38631" xr:uid="{00000000-0005-0000-0000-0000CC2C0000}"/>
    <cellStyle name="Millares 2 80 2 3 2 8" xfId="18279" xr:uid="{00000000-0005-0000-0000-0000CD2C0000}"/>
    <cellStyle name="Millares 2 80 2 3 2 8 2" xfId="45412" xr:uid="{00000000-0005-0000-0000-0000CE2C0000}"/>
    <cellStyle name="Millares 2 80 2 3 2 9" xfId="31850" xr:uid="{00000000-0005-0000-0000-0000CF2C0000}"/>
    <cellStyle name="Millares 2 80 2 3 3" xfId="4491" xr:uid="{00000000-0005-0000-0000-0000D02C0000}"/>
    <cellStyle name="Millares 2 80 2 3 3 2" xfId="4492" xr:uid="{00000000-0005-0000-0000-0000D12C0000}"/>
    <cellStyle name="Millares 2 80 2 3 3 2 2" xfId="8101" xr:uid="{00000000-0005-0000-0000-0000D22C0000}"/>
    <cellStyle name="Millares 2 80 2 3 3 2 2 2" xfId="14890" xr:uid="{00000000-0005-0000-0000-0000D32C0000}"/>
    <cellStyle name="Millares 2 80 2 3 3 2 2 2 2" xfId="28458" xr:uid="{00000000-0005-0000-0000-0000D42C0000}"/>
    <cellStyle name="Millares 2 80 2 3 3 2 2 2 2 2" xfId="55591" xr:uid="{00000000-0005-0000-0000-0000D52C0000}"/>
    <cellStyle name="Millares 2 80 2 3 3 2 2 2 3" xfId="42029" xr:uid="{00000000-0005-0000-0000-0000D62C0000}"/>
    <cellStyle name="Millares 2 80 2 3 3 2 2 3" xfId="21677" xr:uid="{00000000-0005-0000-0000-0000D72C0000}"/>
    <cellStyle name="Millares 2 80 2 3 3 2 2 3 2" xfId="48810" xr:uid="{00000000-0005-0000-0000-0000D82C0000}"/>
    <cellStyle name="Millares 2 80 2 3 3 2 2 4" xfId="35248" xr:uid="{00000000-0005-0000-0000-0000D92C0000}"/>
    <cellStyle name="Millares 2 80 2 3 3 2 3" xfId="11501" xr:uid="{00000000-0005-0000-0000-0000DA2C0000}"/>
    <cellStyle name="Millares 2 80 2 3 3 2 3 2" xfId="25069" xr:uid="{00000000-0005-0000-0000-0000DB2C0000}"/>
    <cellStyle name="Millares 2 80 2 3 3 2 3 2 2" xfId="52202" xr:uid="{00000000-0005-0000-0000-0000DC2C0000}"/>
    <cellStyle name="Millares 2 80 2 3 3 2 3 3" xfId="38640" xr:uid="{00000000-0005-0000-0000-0000DD2C0000}"/>
    <cellStyle name="Millares 2 80 2 3 3 2 4" xfId="18288" xr:uid="{00000000-0005-0000-0000-0000DE2C0000}"/>
    <cellStyle name="Millares 2 80 2 3 3 2 4 2" xfId="45421" xr:uid="{00000000-0005-0000-0000-0000DF2C0000}"/>
    <cellStyle name="Millares 2 80 2 3 3 2 5" xfId="31859" xr:uid="{00000000-0005-0000-0000-0000E02C0000}"/>
    <cellStyle name="Millares 2 80 2 3 3 3" xfId="4493" xr:uid="{00000000-0005-0000-0000-0000E12C0000}"/>
    <cellStyle name="Millares 2 80 2 3 3 3 2" xfId="8102" xr:uid="{00000000-0005-0000-0000-0000E22C0000}"/>
    <cellStyle name="Millares 2 80 2 3 3 3 2 2" xfId="14891" xr:uid="{00000000-0005-0000-0000-0000E32C0000}"/>
    <cellStyle name="Millares 2 80 2 3 3 3 2 2 2" xfId="28459" xr:uid="{00000000-0005-0000-0000-0000E42C0000}"/>
    <cellStyle name="Millares 2 80 2 3 3 3 2 2 2 2" xfId="55592" xr:uid="{00000000-0005-0000-0000-0000E52C0000}"/>
    <cellStyle name="Millares 2 80 2 3 3 3 2 2 3" xfId="42030" xr:uid="{00000000-0005-0000-0000-0000E62C0000}"/>
    <cellStyle name="Millares 2 80 2 3 3 3 2 3" xfId="21678" xr:uid="{00000000-0005-0000-0000-0000E72C0000}"/>
    <cellStyle name="Millares 2 80 2 3 3 3 2 3 2" xfId="48811" xr:uid="{00000000-0005-0000-0000-0000E82C0000}"/>
    <cellStyle name="Millares 2 80 2 3 3 3 2 4" xfId="35249" xr:uid="{00000000-0005-0000-0000-0000E92C0000}"/>
    <cellStyle name="Millares 2 80 2 3 3 3 3" xfId="11502" xr:uid="{00000000-0005-0000-0000-0000EA2C0000}"/>
    <cellStyle name="Millares 2 80 2 3 3 3 3 2" xfId="25070" xr:uid="{00000000-0005-0000-0000-0000EB2C0000}"/>
    <cellStyle name="Millares 2 80 2 3 3 3 3 2 2" xfId="52203" xr:uid="{00000000-0005-0000-0000-0000EC2C0000}"/>
    <cellStyle name="Millares 2 80 2 3 3 3 3 3" xfId="38641" xr:uid="{00000000-0005-0000-0000-0000ED2C0000}"/>
    <cellStyle name="Millares 2 80 2 3 3 3 4" xfId="18289" xr:uid="{00000000-0005-0000-0000-0000EE2C0000}"/>
    <cellStyle name="Millares 2 80 2 3 3 3 4 2" xfId="45422" xr:uid="{00000000-0005-0000-0000-0000EF2C0000}"/>
    <cellStyle name="Millares 2 80 2 3 3 3 5" xfId="31860" xr:uid="{00000000-0005-0000-0000-0000F02C0000}"/>
    <cellStyle name="Millares 2 80 2 3 3 4" xfId="8100" xr:uid="{00000000-0005-0000-0000-0000F12C0000}"/>
    <cellStyle name="Millares 2 80 2 3 3 4 2" xfId="14889" xr:uid="{00000000-0005-0000-0000-0000F22C0000}"/>
    <cellStyle name="Millares 2 80 2 3 3 4 2 2" xfId="28457" xr:uid="{00000000-0005-0000-0000-0000F32C0000}"/>
    <cellStyle name="Millares 2 80 2 3 3 4 2 2 2" xfId="55590" xr:uid="{00000000-0005-0000-0000-0000F42C0000}"/>
    <cellStyle name="Millares 2 80 2 3 3 4 2 3" xfId="42028" xr:uid="{00000000-0005-0000-0000-0000F52C0000}"/>
    <cellStyle name="Millares 2 80 2 3 3 4 3" xfId="21676" xr:uid="{00000000-0005-0000-0000-0000F62C0000}"/>
    <cellStyle name="Millares 2 80 2 3 3 4 3 2" xfId="48809" xr:uid="{00000000-0005-0000-0000-0000F72C0000}"/>
    <cellStyle name="Millares 2 80 2 3 3 4 4" xfId="35247" xr:uid="{00000000-0005-0000-0000-0000F82C0000}"/>
    <cellStyle name="Millares 2 80 2 3 3 5" xfId="11500" xr:uid="{00000000-0005-0000-0000-0000F92C0000}"/>
    <cellStyle name="Millares 2 80 2 3 3 5 2" xfId="25068" xr:uid="{00000000-0005-0000-0000-0000FA2C0000}"/>
    <cellStyle name="Millares 2 80 2 3 3 5 2 2" xfId="52201" xr:uid="{00000000-0005-0000-0000-0000FB2C0000}"/>
    <cellStyle name="Millares 2 80 2 3 3 5 3" xfId="38639" xr:uid="{00000000-0005-0000-0000-0000FC2C0000}"/>
    <cellStyle name="Millares 2 80 2 3 3 6" xfId="18287" xr:uid="{00000000-0005-0000-0000-0000FD2C0000}"/>
    <cellStyle name="Millares 2 80 2 3 3 6 2" xfId="45420" xr:uid="{00000000-0005-0000-0000-0000FE2C0000}"/>
    <cellStyle name="Millares 2 80 2 3 3 7" xfId="31858" xr:uid="{00000000-0005-0000-0000-0000FF2C0000}"/>
    <cellStyle name="Millares 2 80 2 3 4" xfId="4494" xr:uid="{00000000-0005-0000-0000-0000002D0000}"/>
    <cellStyle name="Millares 2 80 2 3 4 2" xfId="4495" xr:uid="{00000000-0005-0000-0000-0000012D0000}"/>
    <cellStyle name="Millares 2 80 2 3 4 2 2" xfId="8104" xr:uid="{00000000-0005-0000-0000-0000022D0000}"/>
    <cellStyle name="Millares 2 80 2 3 4 2 2 2" xfId="14893" xr:uid="{00000000-0005-0000-0000-0000032D0000}"/>
    <cellStyle name="Millares 2 80 2 3 4 2 2 2 2" xfId="28461" xr:uid="{00000000-0005-0000-0000-0000042D0000}"/>
    <cellStyle name="Millares 2 80 2 3 4 2 2 2 2 2" xfId="55594" xr:uid="{00000000-0005-0000-0000-0000052D0000}"/>
    <cellStyle name="Millares 2 80 2 3 4 2 2 2 3" xfId="42032" xr:uid="{00000000-0005-0000-0000-0000062D0000}"/>
    <cellStyle name="Millares 2 80 2 3 4 2 2 3" xfId="21680" xr:uid="{00000000-0005-0000-0000-0000072D0000}"/>
    <cellStyle name="Millares 2 80 2 3 4 2 2 3 2" xfId="48813" xr:uid="{00000000-0005-0000-0000-0000082D0000}"/>
    <cellStyle name="Millares 2 80 2 3 4 2 2 4" xfId="35251" xr:uid="{00000000-0005-0000-0000-0000092D0000}"/>
    <cellStyle name="Millares 2 80 2 3 4 2 3" xfId="11504" xr:uid="{00000000-0005-0000-0000-00000A2D0000}"/>
    <cellStyle name="Millares 2 80 2 3 4 2 3 2" xfId="25072" xr:uid="{00000000-0005-0000-0000-00000B2D0000}"/>
    <cellStyle name="Millares 2 80 2 3 4 2 3 2 2" xfId="52205" xr:uid="{00000000-0005-0000-0000-00000C2D0000}"/>
    <cellStyle name="Millares 2 80 2 3 4 2 3 3" xfId="38643" xr:uid="{00000000-0005-0000-0000-00000D2D0000}"/>
    <cellStyle name="Millares 2 80 2 3 4 2 4" xfId="18291" xr:uid="{00000000-0005-0000-0000-00000E2D0000}"/>
    <cellStyle name="Millares 2 80 2 3 4 2 4 2" xfId="45424" xr:uid="{00000000-0005-0000-0000-00000F2D0000}"/>
    <cellStyle name="Millares 2 80 2 3 4 2 5" xfId="31862" xr:uid="{00000000-0005-0000-0000-0000102D0000}"/>
    <cellStyle name="Millares 2 80 2 3 4 3" xfId="8103" xr:uid="{00000000-0005-0000-0000-0000112D0000}"/>
    <cellStyle name="Millares 2 80 2 3 4 3 2" xfId="14892" xr:uid="{00000000-0005-0000-0000-0000122D0000}"/>
    <cellStyle name="Millares 2 80 2 3 4 3 2 2" xfId="28460" xr:uid="{00000000-0005-0000-0000-0000132D0000}"/>
    <cellStyle name="Millares 2 80 2 3 4 3 2 2 2" xfId="55593" xr:uid="{00000000-0005-0000-0000-0000142D0000}"/>
    <cellStyle name="Millares 2 80 2 3 4 3 2 3" xfId="42031" xr:uid="{00000000-0005-0000-0000-0000152D0000}"/>
    <cellStyle name="Millares 2 80 2 3 4 3 3" xfId="21679" xr:uid="{00000000-0005-0000-0000-0000162D0000}"/>
    <cellStyle name="Millares 2 80 2 3 4 3 3 2" xfId="48812" xr:uid="{00000000-0005-0000-0000-0000172D0000}"/>
    <cellStyle name="Millares 2 80 2 3 4 3 4" xfId="35250" xr:uid="{00000000-0005-0000-0000-0000182D0000}"/>
    <cellStyle name="Millares 2 80 2 3 4 4" xfId="11503" xr:uid="{00000000-0005-0000-0000-0000192D0000}"/>
    <cellStyle name="Millares 2 80 2 3 4 4 2" xfId="25071" xr:uid="{00000000-0005-0000-0000-00001A2D0000}"/>
    <cellStyle name="Millares 2 80 2 3 4 4 2 2" xfId="52204" xr:uid="{00000000-0005-0000-0000-00001B2D0000}"/>
    <cellStyle name="Millares 2 80 2 3 4 4 3" xfId="38642" xr:uid="{00000000-0005-0000-0000-00001C2D0000}"/>
    <cellStyle name="Millares 2 80 2 3 4 5" xfId="18290" xr:uid="{00000000-0005-0000-0000-00001D2D0000}"/>
    <cellStyle name="Millares 2 80 2 3 4 5 2" xfId="45423" xr:uid="{00000000-0005-0000-0000-00001E2D0000}"/>
    <cellStyle name="Millares 2 80 2 3 4 6" xfId="31861" xr:uid="{00000000-0005-0000-0000-00001F2D0000}"/>
    <cellStyle name="Millares 2 80 2 3 5" xfId="4496" xr:uid="{00000000-0005-0000-0000-0000202D0000}"/>
    <cellStyle name="Millares 2 80 2 3 5 2" xfId="8105" xr:uid="{00000000-0005-0000-0000-0000212D0000}"/>
    <cellStyle name="Millares 2 80 2 3 5 2 2" xfId="14894" xr:uid="{00000000-0005-0000-0000-0000222D0000}"/>
    <cellStyle name="Millares 2 80 2 3 5 2 2 2" xfId="28462" xr:uid="{00000000-0005-0000-0000-0000232D0000}"/>
    <cellStyle name="Millares 2 80 2 3 5 2 2 2 2" xfId="55595" xr:uid="{00000000-0005-0000-0000-0000242D0000}"/>
    <cellStyle name="Millares 2 80 2 3 5 2 2 3" xfId="42033" xr:uid="{00000000-0005-0000-0000-0000252D0000}"/>
    <cellStyle name="Millares 2 80 2 3 5 2 3" xfId="21681" xr:uid="{00000000-0005-0000-0000-0000262D0000}"/>
    <cellStyle name="Millares 2 80 2 3 5 2 3 2" xfId="48814" xr:uid="{00000000-0005-0000-0000-0000272D0000}"/>
    <cellStyle name="Millares 2 80 2 3 5 2 4" xfId="35252" xr:uid="{00000000-0005-0000-0000-0000282D0000}"/>
    <cellStyle name="Millares 2 80 2 3 5 3" xfId="11505" xr:uid="{00000000-0005-0000-0000-0000292D0000}"/>
    <cellStyle name="Millares 2 80 2 3 5 3 2" xfId="25073" xr:uid="{00000000-0005-0000-0000-00002A2D0000}"/>
    <cellStyle name="Millares 2 80 2 3 5 3 2 2" xfId="52206" xr:uid="{00000000-0005-0000-0000-00002B2D0000}"/>
    <cellStyle name="Millares 2 80 2 3 5 3 3" xfId="38644" xr:uid="{00000000-0005-0000-0000-00002C2D0000}"/>
    <cellStyle name="Millares 2 80 2 3 5 4" xfId="18292" xr:uid="{00000000-0005-0000-0000-00002D2D0000}"/>
    <cellStyle name="Millares 2 80 2 3 5 4 2" xfId="45425" xr:uid="{00000000-0005-0000-0000-00002E2D0000}"/>
    <cellStyle name="Millares 2 80 2 3 5 5" xfId="31863" xr:uid="{00000000-0005-0000-0000-00002F2D0000}"/>
    <cellStyle name="Millares 2 80 2 3 6" xfId="4497" xr:uid="{00000000-0005-0000-0000-0000302D0000}"/>
    <cellStyle name="Millares 2 80 2 3 6 2" xfId="8106" xr:uid="{00000000-0005-0000-0000-0000312D0000}"/>
    <cellStyle name="Millares 2 80 2 3 6 2 2" xfId="14895" xr:uid="{00000000-0005-0000-0000-0000322D0000}"/>
    <cellStyle name="Millares 2 80 2 3 6 2 2 2" xfId="28463" xr:uid="{00000000-0005-0000-0000-0000332D0000}"/>
    <cellStyle name="Millares 2 80 2 3 6 2 2 2 2" xfId="55596" xr:uid="{00000000-0005-0000-0000-0000342D0000}"/>
    <cellStyle name="Millares 2 80 2 3 6 2 2 3" xfId="42034" xr:uid="{00000000-0005-0000-0000-0000352D0000}"/>
    <cellStyle name="Millares 2 80 2 3 6 2 3" xfId="21682" xr:uid="{00000000-0005-0000-0000-0000362D0000}"/>
    <cellStyle name="Millares 2 80 2 3 6 2 3 2" xfId="48815" xr:uid="{00000000-0005-0000-0000-0000372D0000}"/>
    <cellStyle name="Millares 2 80 2 3 6 2 4" xfId="35253" xr:uid="{00000000-0005-0000-0000-0000382D0000}"/>
    <cellStyle name="Millares 2 80 2 3 6 3" xfId="11506" xr:uid="{00000000-0005-0000-0000-0000392D0000}"/>
    <cellStyle name="Millares 2 80 2 3 6 3 2" xfId="25074" xr:uid="{00000000-0005-0000-0000-00003A2D0000}"/>
    <cellStyle name="Millares 2 80 2 3 6 3 2 2" xfId="52207" xr:uid="{00000000-0005-0000-0000-00003B2D0000}"/>
    <cellStyle name="Millares 2 80 2 3 6 3 3" xfId="38645" xr:uid="{00000000-0005-0000-0000-00003C2D0000}"/>
    <cellStyle name="Millares 2 80 2 3 6 4" xfId="18293" xr:uid="{00000000-0005-0000-0000-00003D2D0000}"/>
    <cellStyle name="Millares 2 80 2 3 6 4 2" xfId="45426" xr:uid="{00000000-0005-0000-0000-00003E2D0000}"/>
    <cellStyle name="Millares 2 80 2 3 6 5" xfId="31864" xr:uid="{00000000-0005-0000-0000-00003F2D0000}"/>
    <cellStyle name="Millares 2 80 2 3 7" xfId="8091" xr:uid="{00000000-0005-0000-0000-0000402D0000}"/>
    <cellStyle name="Millares 2 80 2 3 7 2" xfId="14880" xr:uid="{00000000-0005-0000-0000-0000412D0000}"/>
    <cellStyle name="Millares 2 80 2 3 7 2 2" xfId="28448" xr:uid="{00000000-0005-0000-0000-0000422D0000}"/>
    <cellStyle name="Millares 2 80 2 3 7 2 2 2" xfId="55581" xr:uid="{00000000-0005-0000-0000-0000432D0000}"/>
    <cellStyle name="Millares 2 80 2 3 7 2 3" xfId="42019" xr:uid="{00000000-0005-0000-0000-0000442D0000}"/>
    <cellStyle name="Millares 2 80 2 3 7 3" xfId="21667" xr:uid="{00000000-0005-0000-0000-0000452D0000}"/>
    <cellStyle name="Millares 2 80 2 3 7 3 2" xfId="48800" xr:uid="{00000000-0005-0000-0000-0000462D0000}"/>
    <cellStyle name="Millares 2 80 2 3 7 4" xfId="35238" xr:uid="{00000000-0005-0000-0000-0000472D0000}"/>
    <cellStyle name="Millares 2 80 2 3 8" xfId="11491" xr:uid="{00000000-0005-0000-0000-0000482D0000}"/>
    <cellStyle name="Millares 2 80 2 3 8 2" xfId="25059" xr:uid="{00000000-0005-0000-0000-0000492D0000}"/>
    <cellStyle name="Millares 2 80 2 3 8 2 2" xfId="52192" xr:uid="{00000000-0005-0000-0000-00004A2D0000}"/>
    <cellStyle name="Millares 2 80 2 3 8 3" xfId="38630" xr:uid="{00000000-0005-0000-0000-00004B2D0000}"/>
    <cellStyle name="Millares 2 80 2 3 9" xfId="18278" xr:uid="{00000000-0005-0000-0000-00004C2D0000}"/>
    <cellStyle name="Millares 2 80 2 3 9 2" xfId="45411" xr:uid="{00000000-0005-0000-0000-00004D2D0000}"/>
    <cellStyle name="Millares 2 80 2 4" xfId="4498" xr:uid="{00000000-0005-0000-0000-00004E2D0000}"/>
    <cellStyle name="Millares 2 80 2 4 2" xfId="4499" xr:uid="{00000000-0005-0000-0000-00004F2D0000}"/>
    <cellStyle name="Millares 2 80 2 4 2 2" xfId="4500" xr:uid="{00000000-0005-0000-0000-0000502D0000}"/>
    <cellStyle name="Millares 2 80 2 4 2 2 2" xfId="8109" xr:uid="{00000000-0005-0000-0000-0000512D0000}"/>
    <cellStyle name="Millares 2 80 2 4 2 2 2 2" xfId="14898" xr:uid="{00000000-0005-0000-0000-0000522D0000}"/>
    <cellStyle name="Millares 2 80 2 4 2 2 2 2 2" xfId="28466" xr:uid="{00000000-0005-0000-0000-0000532D0000}"/>
    <cellStyle name="Millares 2 80 2 4 2 2 2 2 2 2" xfId="55599" xr:uid="{00000000-0005-0000-0000-0000542D0000}"/>
    <cellStyle name="Millares 2 80 2 4 2 2 2 2 3" xfId="42037" xr:uid="{00000000-0005-0000-0000-0000552D0000}"/>
    <cellStyle name="Millares 2 80 2 4 2 2 2 3" xfId="21685" xr:uid="{00000000-0005-0000-0000-0000562D0000}"/>
    <cellStyle name="Millares 2 80 2 4 2 2 2 3 2" xfId="48818" xr:uid="{00000000-0005-0000-0000-0000572D0000}"/>
    <cellStyle name="Millares 2 80 2 4 2 2 2 4" xfId="35256" xr:uid="{00000000-0005-0000-0000-0000582D0000}"/>
    <cellStyle name="Millares 2 80 2 4 2 2 3" xfId="11509" xr:uid="{00000000-0005-0000-0000-0000592D0000}"/>
    <cellStyle name="Millares 2 80 2 4 2 2 3 2" xfId="25077" xr:uid="{00000000-0005-0000-0000-00005A2D0000}"/>
    <cellStyle name="Millares 2 80 2 4 2 2 3 2 2" xfId="52210" xr:uid="{00000000-0005-0000-0000-00005B2D0000}"/>
    <cellStyle name="Millares 2 80 2 4 2 2 3 3" xfId="38648" xr:uid="{00000000-0005-0000-0000-00005C2D0000}"/>
    <cellStyle name="Millares 2 80 2 4 2 2 4" xfId="18296" xr:uid="{00000000-0005-0000-0000-00005D2D0000}"/>
    <cellStyle name="Millares 2 80 2 4 2 2 4 2" xfId="45429" xr:uid="{00000000-0005-0000-0000-00005E2D0000}"/>
    <cellStyle name="Millares 2 80 2 4 2 2 5" xfId="31867" xr:uid="{00000000-0005-0000-0000-00005F2D0000}"/>
    <cellStyle name="Millares 2 80 2 4 2 3" xfId="4501" xr:uid="{00000000-0005-0000-0000-0000602D0000}"/>
    <cellStyle name="Millares 2 80 2 4 2 3 2" xfId="8110" xr:uid="{00000000-0005-0000-0000-0000612D0000}"/>
    <cellStyle name="Millares 2 80 2 4 2 3 2 2" xfId="14899" xr:uid="{00000000-0005-0000-0000-0000622D0000}"/>
    <cellStyle name="Millares 2 80 2 4 2 3 2 2 2" xfId="28467" xr:uid="{00000000-0005-0000-0000-0000632D0000}"/>
    <cellStyle name="Millares 2 80 2 4 2 3 2 2 2 2" xfId="55600" xr:uid="{00000000-0005-0000-0000-0000642D0000}"/>
    <cellStyle name="Millares 2 80 2 4 2 3 2 2 3" xfId="42038" xr:uid="{00000000-0005-0000-0000-0000652D0000}"/>
    <cellStyle name="Millares 2 80 2 4 2 3 2 3" xfId="21686" xr:uid="{00000000-0005-0000-0000-0000662D0000}"/>
    <cellStyle name="Millares 2 80 2 4 2 3 2 3 2" xfId="48819" xr:uid="{00000000-0005-0000-0000-0000672D0000}"/>
    <cellStyle name="Millares 2 80 2 4 2 3 2 4" xfId="35257" xr:uid="{00000000-0005-0000-0000-0000682D0000}"/>
    <cellStyle name="Millares 2 80 2 4 2 3 3" xfId="11510" xr:uid="{00000000-0005-0000-0000-0000692D0000}"/>
    <cellStyle name="Millares 2 80 2 4 2 3 3 2" xfId="25078" xr:uid="{00000000-0005-0000-0000-00006A2D0000}"/>
    <cellStyle name="Millares 2 80 2 4 2 3 3 2 2" xfId="52211" xr:uid="{00000000-0005-0000-0000-00006B2D0000}"/>
    <cellStyle name="Millares 2 80 2 4 2 3 3 3" xfId="38649" xr:uid="{00000000-0005-0000-0000-00006C2D0000}"/>
    <cellStyle name="Millares 2 80 2 4 2 3 4" xfId="18297" xr:uid="{00000000-0005-0000-0000-00006D2D0000}"/>
    <cellStyle name="Millares 2 80 2 4 2 3 4 2" xfId="45430" xr:uid="{00000000-0005-0000-0000-00006E2D0000}"/>
    <cellStyle name="Millares 2 80 2 4 2 3 5" xfId="31868" xr:uid="{00000000-0005-0000-0000-00006F2D0000}"/>
    <cellStyle name="Millares 2 80 2 4 2 4" xfId="8108" xr:uid="{00000000-0005-0000-0000-0000702D0000}"/>
    <cellStyle name="Millares 2 80 2 4 2 4 2" xfId="14897" xr:uid="{00000000-0005-0000-0000-0000712D0000}"/>
    <cellStyle name="Millares 2 80 2 4 2 4 2 2" xfId="28465" xr:uid="{00000000-0005-0000-0000-0000722D0000}"/>
    <cellStyle name="Millares 2 80 2 4 2 4 2 2 2" xfId="55598" xr:uid="{00000000-0005-0000-0000-0000732D0000}"/>
    <cellStyle name="Millares 2 80 2 4 2 4 2 3" xfId="42036" xr:uid="{00000000-0005-0000-0000-0000742D0000}"/>
    <cellStyle name="Millares 2 80 2 4 2 4 3" xfId="21684" xr:uid="{00000000-0005-0000-0000-0000752D0000}"/>
    <cellStyle name="Millares 2 80 2 4 2 4 3 2" xfId="48817" xr:uid="{00000000-0005-0000-0000-0000762D0000}"/>
    <cellStyle name="Millares 2 80 2 4 2 4 4" xfId="35255" xr:uid="{00000000-0005-0000-0000-0000772D0000}"/>
    <cellStyle name="Millares 2 80 2 4 2 5" xfId="11508" xr:uid="{00000000-0005-0000-0000-0000782D0000}"/>
    <cellStyle name="Millares 2 80 2 4 2 5 2" xfId="25076" xr:uid="{00000000-0005-0000-0000-0000792D0000}"/>
    <cellStyle name="Millares 2 80 2 4 2 5 2 2" xfId="52209" xr:uid="{00000000-0005-0000-0000-00007A2D0000}"/>
    <cellStyle name="Millares 2 80 2 4 2 5 3" xfId="38647" xr:uid="{00000000-0005-0000-0000-00007B2D0000}"/>
    <cellStyle name="Millares 2 80 2 4 2 6" xfId="18295" xr:uid="{00000000-0005-0000-0000-00007C2D0000}"/>
    <cellStyle name="Millares 2 80 2 4 2 6 2" xfId="45428" xr:uid="{00000000-0005-0000-0000-00007D2D0000}"/>
    <cellStyle name="Millares 2 80 2 4 2 7" xfId="31866" xr:uid="{00000000-0005-0000-0000-00007E2D0000}"/>
    <cellStyle name="Millares 2 80 2 4 3" xfId="4502" xr:uid="{00000000-0005-0000-0000-00007F2D0000}"/>
    <cellStyle name="Millares 2 80 2 4 3 2" xfId="4503" xr:uid="{00000000-0005-0000-0000-0000802D0000}"/>
    <cellStyle name="Millares 2 80 2 4 3 2 2" xfId="8112" xr:uid="{00000000-0005-0000-0000-0000812D0000}"/>
    <cellStyle name="Millares 2 80 2 4 3 2 2 2" xfId="14901" xr:uid="{00000000-0005-0000-0000-0000822D0000}"/>
    <cellStyle name="Millares 2 80 2 4 3 2 2 2 2" xfId="28469" xr:uid="{00000000-0005-0000-0000-0000832D0000}"/>
    <cellStyle name="Millares 2 80 2 4 3 2 2 2 2 2" xfId="55602" xr:uid="{00000000-0005-0000-0000-0000842D0000}"/>
    <cellStyle name="Millares 2 80 2 4 3 2 2 2 3" xfId="42040" xr:uid="{00000000-0005-0000-0000-0000852D0000}"/>
    <cellStyle name="Millares 2 80 2 4 3 2 2 3" xfId="21688" xr:uid="{00000000-0005-0000-0000-0000862D0000}"/>
    <cellStyle name="Millares 2 80 2 4 3 2 2 3 2" xfId="48821" xr:uid="{00000000-0005-0000-0000-0000872D0000}"/>
    <cellStyle name="Millares 2 80 2 4 3 2 2 4" xfId="35259" xr:uid="{00000000-0005-0000-0000-0000882D0000}"/>
    <cellStyle name="Millares 2 80 2 4 3 2 3" xfId="11512" xr:uid="{00000000-0005-0000-0000-0000892D0000}"/>
    <cellStyle name="Millares 2 80 2 4 3 2 3 2" xfId="25080" xr:uid="{00000000-0005-0000-0000-00008A2D0000}"/>
    <cellStyle name="Millares 2 80 2 4 3 2 3 2 2" xfId="52213" xr:uid="{00000000-0005-0000-0000-00008B2D0000}"/>
    <cellStyle name="Millares 2 80 2 4 3 2 3 3" xfId="38651" xr:uid="{00000000-0005-0000-0000-00008C2D0000}"/>
    <cellStyle name="Millares 2 80 2 4 3 2 4" xfId="18299" xr:uid="{00000000-0005-0000-0000-00008D2D0000}"/>
    <cellStyle name="Millares 2 80 2 4 3 2 4 2" xfId="45432" xr:uid="{00000000-0005-0000-0000-00008E2D0000}"/>
    <cellStyle name="Millares 2 80 2 4 3 2 5" xfId="31870" xr:uid="{00000000-0005-0000-0000-00008F2D0000}"/>
    <cellStyle name="Millares 2 80 2 4 3 3" xfId="8111" xr:uid="{00000000-0005-0000-0000-0000902D0000}"/>
    <cellStyle name="Millares 2 80 2 4 3 3 2" xfId="14900" xr:uid="{00000000-0005-0000-0000-0000912D0000}"/>
    <cellStyle name="Millares 2 80 2 4 3 3 2 2" xfId="28468" xr:uid="{00000000-0005-0000-0000-0000922D0000}"/>
    <cellStyle name="Millares 2 80 2 4 3 3 2 2 2" xfId="55601" xr:uid="{00000000-0005-0000-0000-0000932D0000}"/>
    <cellStyle name="Millares 2 80 2 4 3 3 2 3" xfId="42039" xr:uid="{00000000-0005-0000-0000-0000942D0000}"/>
    <cellStyle name="Millares 2 80 2 4 3 3 3" xfId="21687" xr:uid="{00000000-0005-0000-0000-0000952D0000}"/>
    <cellStyle name="Millares 2 80 2 4 3 3 3 2" xfId="48820" xr:uid="{00000000-0005-0000-0000-0000962D0000}"/>
    <cellStyle name="Millares 2 80 2 4 3 3 4" xfId="35258" xr:uid="{00000000-0005-0000-0000-0000972D0000}"/>
    <cellStyle name="Millares 2 80 2 4 3 4" xfId="11511" xr:uid="{00000000-0005-0000-0000-0000982D0000}"/>
    <cellStyle name="Millares 2 80 2 4 3 4 2" xfId="25079" xr:uid="{00000000-0005-0000-0000-0000992D0000}"/>
    <cellStyle name="Millares 2 80 2 4 3 4 2 2" xfId="52212" xr:uid="{00000000-0005-0000-0000-00009A2D0000}"/>
    <cellStyle name="Millares 2 80 2 4 3 4 3" xfId="38650" xr:uid="{00000000-0005-0000-0000-00009B2D0000}"/>
    <cellStyle name="Millares 2 80 2 4 3 5" xfId="18298" xr:uid="{00000000-0005-0000-0000-00009C2D0000}"/>
    <cellStyle name="Millares 2 80 2 4 3 5 2" xfId="45431" xr:uid="{00000000-0005-0000-0000-00009D2D0000}"/>
    <cellStyle name="Millares 2 80 2 4 3 6" xfId="31869" xr:uid="{00000000-0005-0000-0000-00009E2D0000}"/>
    <cellStyle name="Millares 2 80 2 4 4" xfId="4504" xr:uid="{00000000-0005-0000-0000-00009F2D0000}"/>
    <cellStyle name="Millares 2 80 2 4 4 2" xfId="8113" xr:uid="{00000000-0005-0000-0000-0000A02D0000}"/>
    <cellStyle name="Millares 2 80 2 4 4 2 2" xfId="14902" xr:uid="{00000000-0005-0000-0000-0000A12D0000}"/>
    <cellStyle name="Millares 2 80 2 4 4 2 2 2" xfId="28470" xr:uid="{00000000-0005-0000-0000-0000A22D0000}"/>
    <cellStyle name="Millares 2 80 2 4 4 2 2 2 2" xfId="55603" xr:uid="{00000000-0005-0000-0000-0000A32D0000}"/>
    <cellStyle name="Millares 2 80 2 4 4 2 2 3" xfId="42041" xr:uid="{00000000-0005-0000-0000-0000A42D0000}"/>
    <cellStyle name="Millares 2 80 2 4 4 2 3" xfId="21689" xr:uid="{00000000-0005-0000-0000-0000A52D0000}"/>
    <cellStyle name="Millares 2 80 2 4 4 2 3 2" xfId="48822" xr:uid="{00000000-0005-0000-0000-0000A62D0000}"/>
    <cellStyle name="Millares 2 80 2 4 4 2 4" xfId="35260" xr:uid="{00000000-0005-0000-0000-0000A72D0000}"/>
    <cellStyle name="Millares 2 80 2 4 4 3" xfId="11513" xr:uid="{00000000-0005-0000-0000-0000A82D0000}"/>
    <cellStyle name="Millares 2 80 2 4 4 3 2" xfId="25081" xr:uid="{00000000-0005-0000-0000-0000A92D0000}"/>
    <cellStyle name="Millares 2 80 2 4 4 3 2 2" xfId="52214" xr:uid="{00000000-0005-0000-0000-0000AA2D0000}"/>
    <cellStyle name="Millares 2 80 2 4 4 3 3" xfId="38652" xr:uid="{00000000-0005-0000-0000-0000AB2D0000}"/>
    <cellStyle name="Millares 2 80 2 4 4 4" xfId="18300" xr:uid="{00000000-0005-0000-0000-0000AC2D0000}"/>
    <cellStyle name="Millares 2 80 2 4 4 4 2" xfId="45433" xr:uid="{00000000-0005-0000-0000-0000AD2D0000}"/>
    <cellStyle name="Millares 2 80 2 4 4 5" xfId="31871" xr:uid="{00000000-0005-0000-0000-0000AE2D0000}"/>
    <cellStyle name="Millares 2 80 2 4 5" xfId="4505" xr:uid="{00000000-0005-0000-0000-0000AF2D0000}"/>
    <cellStyle name="Millares 2 80 2 4 5 2" xfId="8114" xr:uid="{00000000-0005-0000-0000-0000B02D0000}"/>
    <cellStyle name="Millares 2 80 2 4 5 2 2" xfId="14903" xr:uid="{00000000-0005-0000-0000-0000B12D0000}"/>
    <cellStyle name="Millares 2 80 2 4 5 2 2 2" xfId="28471" xr:uid="{00000000-0005-0000-0000-0000B22D0000}"/>
    <cellStyle name="Millares 2 80 2 4 5 2 2 2 2" xfId="55604" xr:uid="{00000000-0005-0000-0000-0000B32D0000}"/>
    <cellStyle name="Millares 2 80 2 4 5 2 2 3" xfId="42042" xr:uid="{00000000-0005-0000-0000-0000B42D0000}"/>
    <cellStyle name="Millares 2 80 2 4 5 2 3" xfId="21690" xr:uid="{00000000-0005-0000-0000-0000B52D0000}"/>
    <cellStyle name="Millares 2 80 2 4 5 2 3 2" xfId="48823" xr:uid="{00000000-0005-0000-0000-0000B62D0000}"/>
    <cellStyle name="Millares 2 80 2 4 5 2 4" xfId="35261" xr:uid="{00000000-0005-0000-0000-0000B72D0000}"/>
    <cellStyle name="Millares 2 80 2 4 5 3" xfId="11514" xr:uid="{00000000-0005-0000-0000-0000B82D0000}"/>
    <cellStyle name="Millares 2 80 2 4 5 3 2" xfId="25082" xr:uid="{00000000-0005-0000-0000-0000B92D0000}"/>
    <cellStyle name="Millares 2 80 2 4 5 3 2 2" xfId="52215" xr:uid="{00000000-0005-0000-0000-0000BA2D0000}"/>
    <cellStyle name="Millares 2 80 2 4 5 3 3" xfId="38653" xr:uid="{00000000-0005-0000-0000-0000BB2D0000}"/>
    <cellStyle name="Millares 2 80 2 4 5 4" xfId="18301" xr:uid="{00000000-0005-0000-0000-0000BC2D0000}"/>
    <cellStyle name="Millares 2 80 2 4 5 4 2" xfId="45434" xr:uid="{00000000-0005-0000-0000-0000BD2D0000}"/>
    <cellStyle name="Millares 2 80 2 4 5 5" xfId="31872" xr:uid="{00000000-0005-0000-0000-0000BE2D0000}"/>
    <cellStyle name="Millares 2 80 2 4 6" xfId="8107" xr:uid="{00000000-0005-0000-0000-0000BF2D0000}"/>
    <cellStyle name="Millares 2 80 2 4 6 2" xfId="14896" xr:uid="{00000000-0005-0000-0000-0000C02D0000}"/>
    <cellStyle name="Millares 2 80 2 4 6 2 2" xfId="28464" xr:uid="{00000000-0005-0000-0000-0000C12D0000}"/>
    <cellStyle name="Millares 2 80 2 4 6 2 2 2" xfId="55597" xr:uid="{00000000-0005-0000-0000-0000C22D0000}"/>
    <cellStyle name="Millares 2 80 2 4 6 2 3" xfId="42035" xr:uid="{00000000-0005-0000-0000-0000C32D0000}"/>
    <cellStyle name="Millares 2 80 2 4 6 3" xfId="21683" xr:uid="{00000000-0005-0000-0000-0000C42D0000}"/>
    <cellStyle name="Millares 2 80 2 4 6 3 2" xfId="48816" xr:uid="{00000000-0005-0000-0000-0000C52D0000}"/>
    <cellStyle name="Millares 2 80 2 4 6 4" xfId="35254" xr:uid="{00000000-0005-0000-0000-0000C62D0000}"/>
    <cellStyle name="Millares 2 80 2 4 7" xfId="11507" xr:uid="{00000000-0005-0000-0000-0000C72D0000}"/>
    <cellStyle name="Millares 2 80 2 4 7 2" xfId="25075" xr:uid="{00000000-0005-0000-0000-0000C82D0000}"/>
    <cellStyle name="Millares 2 80 2 4 7 2 2" xfId="52208" xr:uid="{00000000-0005-0000-0000-0000C92D0000}"/>
    <cellStyle name="Millares 2 80 2 4 7 3" xfId="38646" xr:uid="{00000000-0005-0000-0000-0000CA2D0000}"/>
    <cellStyle name="Millares 2 80 2 4 8" xfId="18294" xr:uid="{00000000-0005-0000-0000-0000CB2D0000}"/>
    <cellStyle name="Millares 2 80 2 4 8 2" xfId="45427" xr:uid="{00000000-0005-0000-0000-0000CC2D0000}"/>
    <cellStyle name="Millares 2 80 2 4 9" xfId="31865" xr:uid="{00000000-0005-0000-0000-0000CD2D0000}"/>
    <cellStyle name="Millares 2 80 2 5" xfId="4506" xr:uid="{00000000-0005-0000-0000-0000CE2D0000}"/>
    <cellStyle name="Millares 2 80 2 5 2" xfId="4507" xr:uid="{00000000-0005-0000-0000-0000CF2D0000}"/>
    <cellStyle name="Millares 2 80 2 5 2 2" xfId="4508" xr:uid="{00000000-0005-0000-0000-0000D02D0000}"/>
    <cellStyle name="Millares 2 80 2 5 2 2 2" xfId="8117" xr:uid="{00000000-0005-0000-0000-0000D12D0000}"/>
    <cellStyle name="Millares 2 80 2 5 2 2 2 2" xfId="14906" xr:uid="{00000000-0005-0000-0000-0000D22D0000}"/>
    <cellStyle name="Millares 2 80 2 5 2 2 2 2 2" xfId="28474" xr:uid="{00000000-0005-0000-0000-0000D32D0000}"/>
    <cellStyle name="Millares 2 80 2 5 2 2 2 2 2 2" xfId="55607" xr:uid="{00000000-0005-0000-0000-0000D42D0000}"/>
    <cellStyle name="Millares 2 80 2 5 2 2 2 2 3" xfId="42045" xr:uid="{00000000-0005-0000-0000-0000D52D0000}"/>
    <cellStyle name="Millares 2 80 2 5 2 2 2 3" xfId="21693" xr:uid="{00000000-0005-0000-0000-0000D62D0000}"/>
    <cellStyle name="Millares 2 80 2 5 2 2 2 3 2" xfId="48826" xr:uid="{00000000-0005-0000-0000-0000D72D0000}"/>
    <cellStyle name="Millares 2 80 2 5 2 2 2 4" xfId="35264" xr:uid="{00000000-0005-0000-0000-0000D82D0000}"/>
    <cellStyle name="Millares 2 80 2 5 2 2 3" xfId="11517" xr:uid="{00000000-0005-0000-0000-0000D92D0000}"/>
    <cellStyle name="Millares 2 80 2 5 2 2 3 2" xfId="25085" xr:uid="{00000000-0005-0000-0000-0000DA2D0000}"/>
    <cellStyle name="Millares 2 80 2 5 2 2 3 2 2" xfId="52218" xr:uid="{00000000-0005-0000-0000-0000DB2D0000}"/>
    <cellStyle name="Millares 2 80 2 5 2 2 3 3" xfId="38656" xr:uid="{00000000-0005-0000-0000-0000DC2D0000}"/>
    <cellStyle name="Millares 2 80 2 5 2 2 4" xfId="18304" xr:uid="{00000000-0005-0000-0000-0000DD2D0000}"/>
    <cellStyle name="Millares 2 80 2 5 2 2 4 2" xfId="45437" xr:uid="{00000000-0005-0000-0000-0000DE2D0000}"/>
    <cellStyle name="Millares 2 80 2 5 2 2 5" xfId="31875" xr:uid="{00000000-0005-0000-0000-0000DF2D0000}"/>
    <cellStyle name="Millares 2 80 2 5 2 3" xfId="4509" xr:uid="{00000000-0005-0000-0000-0000E02D0000}"/>
    <cellStyle name="Millares 2 80 2 5 2 3 2" xfId="8118" xr:uid="{00000000-0005-0000-0000-0000E12D0000}"/>
    <cellStyle name="Millares 2 80 2 5 2 3 2 2" xfId="14907" xr:uid="{00000000-0005-0000-0000-0000E22D0000}"/>
    <cellStyle name="Millares 2 80 2 5 2 3 2 2 2" xfId="28475" xr:uid="{00000000-0005-0000-0000-0000E32D0000}"/>
    <cellStyle name="Millares 2 80 2 5 2 3 2 2 2 2" xfId="55608" xr:uid="{00000000-0005-0000-0000-0000E42D0000}"/>
    <cellStyle name="Millares 2 80 2 5 2 3 2 2 3" xfId="42046" xr:uid="{00000000-0005-0000-0000-0000E52D0000}"/>
    <cellStyle name="Millares 2 80 2 5 2 3 2 3" xfId="21694" xr:uid="{00000000-0005-0000-0000-0000E62D0000}"/>
    <cellStyle name="Millares 2 80 2 5 2 3 2 3 2" xfId="48827" xr:uid="{00000000-0005-0000-0000-0000E72D0000}"/>
    <cellStyle name="Millares 2 80 2 5 2 3 2 4" xfId="35265" xr:uid="{00000000-0005-0000-0000-0000E82D0000}"/>
    <cellStyle name="Millares 2 80 2 5 2 3 3" xfId="11518" xr:uid="{00000000-0005-0000-0000-0000E92D0000}"/>
    <cellStyle name="Millares 2 80 2 5 2 3 3 2" xfId="25086" xr:uid="{00000000-0005-0000-0000-0000EA2D0000}"/>
    <cellStyle name="Millares 2 80 2 5 2 3 3 2 2" xfId="52219" xr:uid="{00000000-0005-0000-0000-0000EB2D0000}"/>
    <cellStyle name="Millares 2 80 2 5 2 3 3 3" xfId="38657" xr:uid="{00000000-0005-0000-0000-0000EC2D0000}"/>
    <cellStyle name="Millares 2 80 2 5 2 3 4" xfId="18305" xr:uid="{00000000-0005-0000-0000-0000ED2D0000}"/>
    <cellStyle name="Millares 2 80 2 5 2 3 4 2" xfId="45438" xr:uid="{00000000-0005-0000-0000-0000EE2D0000}"/>
    <cellStyle name="Millares 2 80 2 5 2 3 5" xfId="31876" xr:uid="{00000000-0005-0000-0000-0000EF2D0000}"/>
    <cellStyle name="Millares 2 80 2 5 2 4" xfId="8116" xr:uid="{00000000-0005-0000-0000-0000F02D0000}"/>
    <cellStyle name="Millares 2 80 2 5 2 4 2" xfId="14905" xr:uid="{00000000-0005-0000-0000-0000F12D0000}"/>
    <cellStyle name="Millares 2 80 2 5 2 4 2 2" xfId="28473" xr:uid="{00000000-0005-0000-0000-0000F22D0000}"/>
    <cellStyle name="Millares 2 80 2 5 2 4 2 2 2" xfId="55606" xr:uid="{00000000-0005-0000-0000-0000F32D0000}"/>
    <cellStyle name="Millares 2 80 2 5 2 4 2 3" xfId="42044" xr:uid="{00000000-0005-0000-0000-0000F42D0000}"/>
    <cellStyle name="Millares 2 80 2 5 2 4 3" xfId="21692" xr:uid="{00000000-0005-0000-0000-0000F52D0000}"/>
    <cellStyle name="Millares 2 80 2 5 2 4 3 2" xfId="48825" xr:uid="{00000000-0005-0000-0000-0000F62D0000}"/>
    <cellStyle name="Millares 2 80 2 5 2 4 4" xfId="35263" xr:uid="{00000000-0005-0000-0000-0000F72D0000}"/>
    <cellStyle name="Millares 2 80 2 5 2 5" xfId="11516" xr:uid="{00000000-0005-0000-0000-0000F82D0000}"/>
    <cellStyle name="Millares 2 80 2 5 2 5 2" xfId="25084" xr:uid="{00000000-0005-0000-0000-0000F92D0000}"/>
    <cellStyle name="Millares 2 80 2 5 2 5 2 2" xfId="52217" xr:uid="{00000000-0005-0000-0000-0000FA2D0000}"/>
    <cellStyle name="Millares 2 80 2 5 2 5 3" xfId="38655" xr:uid="{00000000-0005-0000-0000-0000FB2D0000}"/>
    <cellStyle name="Millares 2 80 2 5 2 6" xfId="18303" xr:uid="{00000000-0005-0000-0000-0000FC2D0000}"/>
    <cellStyle name="Millares 2 80 2 5 2 6 2" xfId="45436" xr:uid="{00000000-0005-0000-0000-0000FD2D0000}"/>
    <cellStyle name="Millares 2 80 2 5 2 7" xfId="31874" xr:uid="{00000000-0005-0000-0000-0000FE2D0000}"/>
    <cellStyle name="Millares 2 80 2 5 3" xfId="4510" xr:uid="{00000000-0005-0000-0000-0000FF2D0000}"/>
    <cellStyle name="Millares 2 80 2 5 3 2" xfId="8119" xr:uid="{00000000-0005-0000-0000-0000002E0000}"/>
    <cellStyle name="Millares 2 80 2 5 3 2 2" xfId="14908" xr:uid="{00000000-0005-0000-0000-0000012E0000}"/>
    <cellStyle name="Millares 2 80 2 5 3 2 2 2" xfId="28476" xr:uid="{00000000-0005-0000-0000-0000022E0000}"/>
    <cellStyle name="Millares 2 80 2 5 3 2 2 2 2" xfId="55609" xr:uid="{00000000-0005-0000-0000-0000032E0000}"/>
    <cellStyle name="Millares 2 80 2 5 3 2 2 3" xfId="42047" xr:uid="{00000000-0005-0000-0000-0000042E0000}"/>
    <cellStyle name="Millares 2 80 2 5 3 2 3" xfId="21695" xr:uid="{00000000-0005-0000-0000-0000052E0000}"/>
    <cellStyle name="Millares 2 80 2 5 3 2 3 2" xfId="48828" xr:uid="{00000000-0005-0000-0000-0000062E0000}"/>
    <cellStyle name="Millares 2 80 2 5 3 2 4" xfId="35266" xr:uid="{00000000-0005-0000-0000-0000072E0000}"/>
    <cellStyle name="Millares 2 80 2 5 3 3" xfId="11519" xr:uid="{00000000-0005-0000-0000-0000082E0000}"/>
    <cellStyle name="Millares 2 80 2 5 3 3 2" xfId="25087" xr:uid="{00000000-0005-0000-0000-0000092E0000}"/>
    <cellStyle name="Millares 2 80 2 5 3 3 2 2" xfId="52220" xr:uid="{00000000-0005-0000-0000-00000A2E0000}"/>
    <cellStyle name="Millares 2 80 2 5 3 3 3" xfId="38658" xr:uid="{00000000-0005-0000-0000-00000B2E0000}"/>
    <cellStyle name="Millares 2 80 2 5 3 4" xfId="18306" xr:uid="{00000000-0005-0000-0000-00000C2E0000}"/>
    <cellStyle name="Millares 2 80 2 5 3 4 2" xfId="45439" xr:uid="{00000000-0005-0000-0000-00000D2E0000}"/>
    <cellStyle name="Millares 2 80 2 5 3 5" xfId="31877" xr:uid="{00000000-0005-0000-0000-00000E2E0000}"/>
    <cellStyle name="Millares 2 80 2 5 4" xfId="4511" xr:uid="{00000000-0005-0000-0000-00000F2E0000}"/>
    <cellStyle name="Millares 2 80 2 5 4 2" xfId="8120" xr:uid="{00000000-0005-0000-0000-0000102E0000}"/>
    <cellStyle name="Millares 2 80 2 5 4 2 2" xfId="14909" xr:uid="{00000000-0005-0000-0000-0000112E0000}"/>
    <cellStyle name="Millares 2 80 2 5 4 2 2 2" xfId="28477" xr:uid="{00000000-0005-0000-0000-0000122E0000}"/>
    <cellStyle name="Millares 2 80 2 5 4 2 2 2 2" xfId="55610" xr:uid="{00000000-0005-0000-0000-0000132E0000}"/>
    <cellStyle name="Millares 2 80 2 5 4 2 2 3" xfId="42048" xr:uid="{00000000-0005-0000-0000-0000142E0000}"/>
    <cellStyle name="Millares 2 80 2 5 4 2 3" xfId="21696" xr:uid="{00000000-0005-0000-0000-0000152E0000}"/>
    <cellStyle name="Millares 2 80 2 5 4 2 3 2" xfId="48829" xr:uid="{00000000-0005-0000-0000-0000162E0000}"/>
    <cellStyle name="Millares 2 80 2 5 4 2 4" xfId="35267" xr:uid="{00000000-0005-0000-0000-0000172E0000}"/>
    <cellStyle name="Millares 2 80 2 5 4 3" xfId="11520" xr:uid="{00000000-0005-0000-0000-0000182E0000}"/>
    <cellStyle name="Millares 2 80 2 5 4 3 2" xfId="25088" xr:uid="{00000000-0005-0000-0000-0000192E0000}"/>
    <cellStyle name="Millares 2 80 2 5 4 3 2 2" xfId="52221" xr:uid="{00000000-0005-0000-0000-00001A2E0000}"/>
    <cellStyle name="Millares 2 80 2 5 4 3 3" xfId="38659" xr:uid="{00000000-0005-0000-0000-00001B2E0000}"/>
    <cellStyle name="Millares 2 80 2 5 4 4" xfId="18307" xr:uid="{00000000-0005-0000-0000-00001C2E0000}"/>
    <cellStyle name="Millares 2 80 2 5 4 4 2" xfId="45440" xr:uid="{00000000-0005-0000-0000-00001D2E0000}"/>
    <cellStyle name="Millares 2 80 2 5 4 5" xfId="31878" xr:uid="{00000000-0005-0000-0000-00001E2E0000}"/>
    <cellStyle name="Millares 2 80 2 5 5" xfId="8115" xr:uid="{00000000-0005-0000-0000-00001F2E0000}"/>
    <cellStyle name="Millares 2 80 2 5 5 2" xfId="14904" xr:uid="{00000000-0005-0000-0000-0000202E0000}"/>
    <cellStyle name="Millares 2 80 2 5 5 2 2" xfId="28472" xr:uid="{00000000-0005-0000-0000-0000212E0000}"/>
    <cellStyle name="Millares 2 80 2 5 5 2 2 2" xfId="55605" xr:uid="{00000000-0005-0000-0000-0000222E0000}"/>
    <cellStyle name="Millares 2 80 2 5 5 2 3" xfId="42043" xr:uid="{00000000-0005-0000-0000-0000232E0000}"/>
    <cellStyle name="Millares 2 80 2 5 5 3" xfId="21691" xr:uid="{00000000-0005-0000-0000-0000242E0000}"/>
    <cellStyle name="Millares 2 80 2 5 5 3 2" xfId="48824" xr:uid="{00000000-0005-0000-0000-0000252E0000}"/>
    <cellStyle name="Millares 2 80 2 5 5 4" xfId="35262" xr:uid="{00000000-0005-0000-0000-0000262E0000}"/>
    <cellStyle name="Millares 2 80 2 5 6" xfId="11515" xr:uid="{00000000-0005-0000-0000-0000272E0000}"/>
    <cellStyle name="Millares 2 80 2 5 6 2" xfId="25083" xr:uid="{00000000-0005-0000-0000-0000282E0000}"/>
    <cellStyle name="Millares 2 80 2 5 6 2 2" xfId="52216" xr:uid="{00000000-0005-0000-0000-0000292E0000}"/>
    <cellStyle name="Millares 2 80 2 5 6 3" xfId="38654" xr:uid="{00000000-0005-0000-0000-00002A2E0000}"/>
    <cellStyle name="Millares 2 80 2 5 7" xfId="18302" xr:uid="{00000000-0005-0000-0000-00002B2E0000}"/>
    <cellStyle name="Millares 2 80 2 5 7 2" xfId="45435" xr:uid="{00000000-0005-0000-0000-00002C2E0000}"/>
    <cellStyle name="Millares 2 80 2 5 8" xfId="31873" xr:uid="{00000000-0005-0000-0000-00002D2E0000}"/>
    <cellStyle name="Millares 2 80 2 6" xfId="4512" xr:uid="{00000000-0005-0000-0000-00002E2E0000}"/>
    <cellStyle name="Millares 2 80 2 6 2" xfId="4513" xr:uid="{00000000-0005-0000-0000-00002F2E0000}"/>
    <cellStyle name="Millares 2 80 2 6 2 2" xfId="4514" xr:uid="{00000000-0005-0000-0000-0000302E0000}"/>
    <cellStyle name="Millares 2 80 2 6 2 2 2" xfId="8123" xr:uid="{00000000-0005-0000-0000-0000312E0000}"/>
    <cellStyle name="Millares 2 80 2 6 2 2 2 2" xfId="14912" xr:uid="{00000000-0005-0000-0000-0000322E0000}"/>
    <cellStyle name="Millares 2 80 2 6 2 2 2 2 2" xfId="28480" xr:uid="{00000000-0005-0000-0000-0000332E0000}"/>
    <cellStyle name="Millares 2 80 2 6 2 2 2 2 2 2" xfId="55613" xr:uid="{00000000-0005-0000-0000-0000342E0000}"/>
    <cellStyle name="Millares 2 80 2 6 2 2 2 2 3" xfId="42051" xr:uid="{00000000-0005-0000-0000-0000352E0000}"/>
    <cellStyle name="Millares 2 80 2 6 2 2 2 3" xfId="21699" xr:uid="{00000000-0005-0000-0000-0000362E0000}"/>
    <cellStyle name="Millares 2 80 2 6 2 2 2 3 2" xfId="48832" xr:uid="{00000000-0005-0000-0000-0000372E0000}"/>
    <cellStyle name="Millares 2 80 2 6 2 2 2 4" xfId="35270" xr:uid="{00000000-0005-0000-0000-0000382E0000}"/>
    <cellStyle name="Millares 2 80 2 6 2 2 3" xfId="11523" xr:uid="{00000000-0005-0000-0000-0000392E0000}"/>
    <cellStyle name="Millares 2 80 2 6 2 2 3 2" xfId="25091" xr:uid="{00000000-0005-0000-0000-00003A2E0000}"/>
    <cellStyle name="Millares 2 80 2 6 2 2 3 2 2" xfId="52224" xr:uid="{00000000-0005-0000-0000-00003B2E0000}"/>
    <cellStyle name="Millares 2 80 2 6 2 2 3 3" xfId="38662" xr:uid="{00000000-0005-0000-0000-00003C2E0000}"/>
    <cellStyle name="Millares 2 80 2 6 2 2 4" xfId="18310" xr:uid="{00000000-0005-0000-0000-00003D2E0000}"/>
    <cellStyle name="Millares 2 80 2 6 2 2 4 2" xfId="45443" xr:uid="{00000000-0005-0000-0000-00003E2E0000}"/>
    <cellStyle name="Millares 2 80 2 6 2 2 5" xfId="31881" xr:uid="{00000000-0005-0000-0000-00003F2E0000}"/>
    <cellStyle name="Millares 2 80 2 6 2 3" xfId="4515" xr:uid="{00000000-0005-0000-0000-0000402E0000}"/>
    <cellStyle name="Millares 2 80 2 6 2 3 2" xfId="8124" xr:uid="{00000000-0005-0000-0000-0000412E0000}"/>
    <cellStyle name="Millares 2 80 2 6 2 3 2 2" xfId="14913" xr:uid="{00000000-0005-0000-0000-0000422E0000}"/>
    <cellStyle name="Millares 2 80 2 6 2 3 2 2 2" xfId="28481" xr:uid="{00000000-0005-0000-0000-0000432E0000}"/>
    <cellStyle name="Millares 2 80 2 6 2 3 2 2 2 2" xfId="55614" xr:uid="{00000000-0005-0000-0000-0000442E0000}"/>
    <cellStyle name="Millares 2 80 2 6 2 3 2 2 3" xfId="42052" xr:uid="{00000000-0005-0000-0000-0000452E0000}"/>
    <cellStyle name="Millares 2 80 2 6 2 3 2 3" xfId="21700" xr:uid="{00000000-0005-0000-0000-0000462E0000}"/>
    <cellStyle name="Millares 2 80 2 6 2 3 2 3 2" xfId="48833" xr:uid="{00000000-0005-0000-0000-0000472E0000}"/>
    <cellStyle name="Millares 2 80 2 6 2 3 2 4" xfId="35271" xr:uid="{00000000-0005-0000-0000-0000482E0000}"/>
    <cellStyle name="Millares 2 80 2 6 2 3 3" xfId="11524" xr:uid="{00000000-0005-0000-0000-0000492E0000}"/>
    <cellStyle name="Millares 2 80 2 6 2 3 3 2" xfId="25092" xr:uid="{00000000-0005-0000-0000-00004A2E0000}"/>
    <cellStyle name="Millares 2 80 2 6 2 3 3 2 2" xfId="52225" xr:uid="{00000000-0005-0000-0000-00004B2E0000}"/>
    <cellStyle name="Millares 2 80 2 6 2 3 3 3" xfId="38663" xr:uid="{00000000-0005-0000-0000-00004C2E0000}"/>
    <cellStyle name="Millares 2 80 2 6 2 3 4" xfId="18311" xr:uid="{00000000-0005-0000-0000-00004D2E0000}"/>
    <cellStyle name="Millares 2 80 2 6 2 3 4 2" xfId="45444" xr:uid="{00000000-0005-0000-0000-00004E2E0000}"/>
    <cellStyle name="Millares 2 80 2 6 2 3 5" xfId="31882" xr:uid="{00000000-0005-0000-0000-00004F2E0000}"/>
    <cellStyle name="Millares 2 80 2 6 2 4" xfId="8122" xr:uid="{00000000-0005-0000-0000-0000502E0000}"/>
    <cellStyle name="Millares 2 80 2 6 2 4 2" xfId="14911" xr:uid="{00000000-0005-0000-0000-0000512E0000}"/>
    <cellStyle name="Millares 2 80 2 6 2 4 2 2" xfId="28479" xr:uid="{00000000-0005-0000-0000-0000522E0000}"/>
    <cellStyle name="Millares 2 80 2 6 2 4 2 2 2" xfId="55612" xr:uid="{00000000-0005-0000-0000-0000532E0000}"/>
    <cellStyle name="Millares 2 80 2 6 2 4 2 3" xfId="42050" xr:uid="{00000000-0005-0000-0000-0000542E0000}"/>
    <cellStyle name="Millares 2 80 2 6 2 4 3" xfId="21698" xr:uid="{00000000-0005-0000-0000-0000552E0000}"/>
    <cellStyle name="Millares 2 80 2 6 2 4 3 2" xfId="48831" xr:uid="{00000000-0005-0000-0000-0000562E0000}"/>
    <cellStyle name="Millares 2 80 2 6 2 4 4" xfId="35269" xr:uid="{00000000-0005-0000-0000-0000572E0000}"/>
    <cellStyle name="Millares 2 80 2 6 2 5" xfId="11522" xr:uid="{00000000-0005-0000-0000-0000582E0000}"/>
    <cellStyle name="Millares 2 80 2 6 2 5 2" xfId="25090" xr:uid="{00000000-0005-0000-0000-0000592E0000}"/>
    <cellStyle name="Millares 2 80 2 6 2 5 2 2" xfId="52223" xr:uid="{00000000-0005-0000-0000-00005A2E0000}"/>
    <cellStyle name="Millares 2 80 2 6 2 5 3" xfId="38661" xr:uid="{00000000-0005-0000-0000-00005B2E0000}"/>
    <cellStyle name="Millares 2 80 2 6 2 6" xfId="18309" xr:uid="{00000000-0005-0000-0000-00005C2E0000}"/>
    <cellStyle name="Millares 2 80 2 6 2 6 2" xfId="45442" xr:uid="{00000000-0005-0000-0000-00005D2E0000}"/>
    <cellStyle name="Millares 2 80 2 6 2 7" xfId="31880" xr:uid="{00000000-0005-0000-0000-00005E2E0000}"/>
    <cellStyle name="Millares 2 80 2 6 3" xfId="4516" xr:uid="{00000000-0005-0000-0000-00005F2E0000}"/>
    <cellStyle name="Millares 2 80 2 6 3 2" xfId="8125" xr:uid="{00000000-0005-0000-0000-0000602E0000}"/>
    <cellStyle name="Millares 2 80 2 6 3 2 2" xfId="14914" xr:uid="{00000000-0005-0000-0000-0000612E0000}"/>
    <cellStyle name="Millares 2 80 2 6 3 2 2 2" xfId="28482" xr:uid="{00000000-0005-0000-0000-0000622E0000}"/>
    <cellStyle name="Millares 2 80 2 6 3 2 2 2 2" xfId="55615" xr:uid="{00000000-0005-0000-0000-0000632E0000}"/>
    <cellStyle name="Millares 2 80 2 6 3 2 2 3" xfId="42053" xr:uid="{00000000-0005-0000-0000-0000642E0000}"/>
    <cellStyle name="Millares 2 80 2 6 3 2 3" xfId="21701" xr:uid="{00000000-0005-0000-0000-0000652E0000}"/>
    <cellStyle name="Millares 2 80 2 6 3 2 3 2" xfId="48834" xr:uid="{00000000-0005-0000-0000-0000662E0000}"/>
    <cellStyle name="Millares 2 80 2 6 3 2 4" xfId="35272" xr:uid="{00000000-0005-0000-0000-0000672E0000}"/>
    <cellStyle name="Millares 2 80 2 6 3 3" xfId="11525" xr:uid="{00000000-0005-0000-0000-0000682E0000}"/>
    <cellStyle name="Millares 2 80 2 6 3 3 2" xfId="25093" xr:uid="{00000000-0005-0000-0000-0000692E0000}"/>
    <cellStyle name="Millares 2 80 2 6 3 3 2 2" xfId="52226" xr:uid="{00000000-0005-0000-0000-00006A2E0000}"/>
    <cellStyle name="Millares 2 80 2 6 3 3 3" xfId="38664" xr:uid="{00000000-0005-0000-0000-00006B2E0000}"/>
    <cellStyle name="Millares 2 80 2 6 3 4" xfId="18312" xr:uid="{00000000-0005-0000-0000-00006C2E0000}"/>
    <cellStyle name="Millares 2 80 2 6 3 4 2" xfId="45445" xr:uid="{00000000-0005-0000-0000-00006D2E0000}"/>
    <cellStyle name="Millares 2 80 2 6 3 5" xfId="31883" xr:uid="{00000000-0005-0000-0000-00006E2E0000}"/>
    <cellStyle name="Millares 2 80 2 6 4" xfId="4517" xr:uid="{00000000-0005-0000-0000-00006F2E0000}"/>
    <cellStyle name="Millares 2 80 2 6 4 2" xfId="8126" xr:uid="{00000000-0005-0000-0000-0000702E0000}"/>
    <cellStyle name="Millares 2 80 2 6 4 2 2" xfId="14915" xr:uid="{00000000-0005-0000-0000-0000712E0000}"/>
    <cellStyle name="Millares 2 80 2 6 4 2 2 2" xfId="28483" xr:uid="{00000000-0005-0000-0000-0000722E0000}"/>
    <cellStyle name="Millares 2 80 2 6 4 2 2 2 2" xfId="55616" xr:uid="{00000000-0005-0000-0000-0000732E0000}"/>
    <cellStyle name="Millares 2 80 2 6 4 2 2 3" xfId="42054" xr:uid="{00000000-0005-0000-0000-0000742E0000}"/>
    <cellStyle name="Millares 2 80 2 6 4 2 3" xfId="21702" xr:uid="{00000000-0005-0000-0000-0000752E0000}"/>
    <cellStyle name="Millares 2 80 2 6 4 2 3 2" xfId="48835" xr:uid="{00000000-0005-0000-0000-0000762E0000}"/>
    <cellStyle name="Millares 2 80 2 6 4 2 4" xfId="35273" xr:uid="{00000000-0005-0000-0000-0000772E0000}"/>
    <cellStyle name="Millares 2 80 2 6 4 3" xfId="11526" xr:uid="{00000000-0005-0000-0000-0000782E0000}"/>
    <cellStyle name="Millares 2 80 2 6 4 3 2" xfId="25094" xr:uid="{00000000-0005-0000-0000-0000792E0000}"/>
    <cellStyle name="Millares 2 80 2 6 4 3 2 2" xfId="52227" xr:uid="{00000000-0005-0000-0000-00007A2E0000}"/>
    <cellStyle name="Millares 2 80 2 6 4 3 3" xfId="38665" xr:uid="{00000000-0005-0000-0000-00007B2E0000}"/>
    <cellStyle name="Millares 2 80 2 6 4 4" xfId="18313" xr:uid="{00000000-0005-0000-0000-00007C2E0000}"/>
    <cellStyle name="Millares 2 80 2 6 4 4 2" xfId="45446" xr:uid="{00000000-0005-0000-0000-00007D2E0000}"/>
    <cellStyle name="Millares 2 80 2 6 4 5" xfId="31884" xr:uid="{00000000-0005-0000-0000-00007E2E0000}"/>
    <cellStyle name="Millares 2 80 2 6 5" xfId="8121" xr:uid="{00000000-0005-0000-0000-00007F2E0000}"/>
    <cellStyle name="Millares 2 80 2 6 5 2" xfId="14910" xr:uid="{00000000-0005-0000-0000-0000802E0000}"/>
    <cellStyle name="Millares 2 80 2 6 5 2 2" xfId="28478" xr:uid="{00000000-0005-0000-0000-0000812E0000}"/>
    <cellStyle name="Millares 2 80 2 6 5 2 2 2" xfId="55611" xr:uid="{00000000-0005-0000-0000-0000822E0000}"/>
    <cellStyle name="Millares 2 80 2 6 5 2 3" xfId="42049" xr:uid="{00000000-0005-0000-0000-0000832E0000}"/>
    <cellStyle name="Millares 2 80 2 6 5 3" xfId="21697" xr:uid="{00000000-0005-0000-0000-0000842E0000}"/>
    <cellStyle name="Millares 2 80 2 6 5 3 2" xfId="48830" xr:uid="{00000000-0005-0000-0000-0000852E0000}"/>
    <cellStyle name="Millares 2 80 2 6 5 4" xfId="35268" xr:uid="{00000000-0005-0000-0000-0000862E0000}"/>
    <cellStyle name="Millares 2 80 2 6 6" xfId="11521" xr:uid="{00000000-0005-0000-0000-0000872E0000}"/>
    <cellStyle name="Millares 2 80 2 6 6 2" xfId="25089" xr:uid="{00000000-0005-0000-0000-0000882E0000}"/>
    <cellStyle name="Millares 2 80 2 6 6 2 2" xfId="52222" xr:uid="{00000000-0005-0000-0000-0000892E0000}"/>
    <cellStyle name="Millares 2 80 2 6 6 3" xfId="38660" xr:uid="{00000000-0005-0000-0000-00008A2E0000}"/>
    <cellStyle name="Millares 2 80 2 6 7" xfId="18308" xr:uid="{00000000-0005-0000-0000-00008B2E0000}"/>
    <cellStyle name="Millares 2 80 2 6 7 2" xfId="45441" xr:uid="{00000000-0005-0000-0000-00008C2E0000}"/>
    <cellStyle name="Millares 2 80 2 6 8" xfId="31879" xr:uid="{00000000-0005-0000-0000-00008D2E0000}"/>
    <cellStyle name="Millares 2 80 2 7" xfId="4518" xr:uid="{00000000-0005-0000-0000-00008E2E0000}"/>
    <cellStyle name="Millares 2 80 2 7 2" xfId="4519" xr:uid="{00000000-0005-0000-0000-00008F2E0000}"/>
    <cellStyle name="Millares 2 80 2 7 2 2" xfId="8128" xr:uid="{00000000-0005-0000-0000-0000902E0000}"/>
    <cellStyle name="Millares 2 80 2 7 2 2 2" xfId="14917" xr:uid="{00000000-0005-0000-0000-0000912E0000}"/>
    <cellStyle name="Millares 2 80 2 7 2 2 2 2" xfId="28485" xr:uid="{00000000-0005-0000-0000-0000922E0000}"/>
    <cellStyle name="Millares 2 80 2 7 2 2 2 2 2" xfId="55618" xr:uid="{00000000-0005-0000-0000-0000932E0000}"/>
    <cellStyle name="Millares 2 80 2 7 2 2 2 3" xfId="42056" xr:uid="{00000000-0005-0000-0000-0000942E0000}"/>
    <cellStyle name="Millares 2 80 2 7 2 2 3" xfId="21704" xr:uid="{00000000-0005-0000-0000-0000952E0000}"/>
    <cellStyle name="Millares 2 80 2 7 2 2 3 2" xfId="48837" xr:uid="{00000000-0005-0000-0000-0000962E0000}"/>
    <cellStyle name="Millares 2 80 2 7 2 2 4" xfId="35275" xr:uid="{00000000-0005-0000-0000-0000972E0000}"/>
    <cellStyle name="Millares 2 80 2 7 2 3" xfId="11528" xr:uid="{00000000-0005-0000-0000-0000982E0000}"/>
    <cellStyle name="Millares 2 80 2 7 2 3 2" xfId="25096" xr:uid="{00000000-0005-0000-0000-0000992E0000}"/>
    <cellStyle name="Millares 2 80 2 7 2 3 2 2" xfId="52229" xr:uid="{00000000-0005-0000-0000-00009A2E0000}"/>
    <cellStyle name="Millares 2 80 2 7 2 3 3" xfId="38667" xr:uid="{00000000-0005-0000-0000-00009B2E0000}"/>
    <cellStyle name="Millares 2 80 2 7 2 4" xfId="18315" xr:uid="{00000000-0005-0000-0000-00009C2E0000}"/>
    <cellStyle name="Millares 2 80 2 7 2 4 2" xfId="45448" xr:uid="{00000000-0005-0000-0000-00009D2E0000}"/>
    <cellStyle name="Millares 2 80 2 7 2 5" xfId="31886" xr:uid="{00000000-0005-0000-0000-00009E2E0000}"/>
    <cellStyle name="Millares 2 80 2 7 3" xfId="4520" xr:uid="{00000000-0005-0000-0000-00009F2E0000}"/>
    <cellStyle name="Millares 2 80 2 7 3 2" xfId="8129" xr:uid="{00000000-0005-0000-0000-0000A02E0000}"/>
    <cellStyle name="Millares 2 80 2 7 3 2 2" xfId="14918" xr:uid="{00000000-0005-0000-0000-0000A12E0000}"/>
    <cellStyle name="Millares 2 80 2 7 3 2 2 2" xfId="28486" xr:uid="{00000000-0005-0000-0000-0000A22E0000}"/>
    <cellStyle name="Millares 2 80 2 7 3 2 2 2 2" xfId="55619" xr:uid="{00000000-0005-0000-0000-0000A32E0000}"/>
    <cellStyle name="Millares 2 80 2 7 3 2 2 3" xfId="42057" xr:uid="{00000000-0005-0000-0000-0000A42E0000}"/>
    <cellStyle name="Millares 2 80 2 7 3 2 3" xfId="21705" xr:uid="{00000000-0005-0000-0000-0000A52E0000}"/>
    <cellStyle name="Millares 2 80 2 7 3 2 3 2" xfId="48838" xr:uid="{00000000-0005-0000-0000-0000A62E0000}"/>
    <cellStyle name="Millares 2 80 2 7 3 2 4" xfId="35276" xr:uid="{00000000-0005-0000-0000-0000A72E0000}"/>
    <cellStyle name="Millares 2 80 2 7 3 3" xfId="11529" xr:uid="{00000000-0005-0000-0000-0000A82E0000}"/>
    <cellStyle name="Millares 2 80 2 7 3 3 2" xfId="25097" xr:uid="{00000000-0005-0000-0000-0000A92E0000}"/>
    <cellStyle name="Millares 2 80 2 7 3 3 2 2" xfId="52230" xr:uid="{00000000-0005-0000-0000-0000AA2E0000}"/>
    <cellStyle name="Millares 2 80 2 7 3 3 3" xfId="38668" xr:uid="{00000000-0005-0000-0000-0000AB2E0000}"/>
    <cellStyle name="Millares 2 80 2 7 3 4" xfId="18316" xr:uid="{00000000-0005-0000-0000-0000AC2E0000}"/>
    <cellStyle name="Millares 2 80 2 7 3 4 2" xfId="45449" xr:uid="{00000000-0005-0000-0000-0000AD2E0000}"/>
    <cellStyle name="Millares 2 80 2 7 3 5" xfId="31887" xr:uid="{00000000-0005-0000-0000-0000AE2E0000}"/>
    <cellStyle name="Millares 2 80 2 7 4" xfId="8127" xr:uid="{00000000-0005-0000-0000-0000AF2E0000}"/>
    <cellStyle name="Millares 2 80 2 7 4 2" xfId="14916" xr:uid="{00000000-0005-0000-0000-0000B02E0000}"/>
    <cellStyle name="Millares 2 80 2 7 4 2 2" xfId="28484" xr:uid="{00000000-0005-0000-0000-0000B12E0000}"/>
    <cellStyle name="Millares 2 80 2 7 4 2 2 2" xfId="55617" xr:uid="{00000000-0005-0000-0000-0000B22E0000}"/>
    <cellStyle name="Millares 2 80 2 7 4 2 3" xfId="42055" xr:uid="{00000000-0005-0000-0000-0000B32E0000}"/>
    <cellStyle name="Millares 2 80 2 7 4 3" xfId="21703" xr:uid="{00000000-0005-0000-0000-0000B42E0000}"/>
    <cellStyle name="Millares 2 80 2 7 4 3 2" xfId="48836" xr:uid="{00000000-0005-0000-0000-0000B52E0000}"/>
    <cellStyle name="Millares 2 80 2 7 4 4" xfId="35274" xr:uid="{00000000-0005-0000-0000-0000B62E0000}"/>
    <cellStyle name="Millares 2 80 2 7 5" xfId="11527" xr:uid="{00000000-0005-0000-0000-0000B72E0000}"/>
    <cellStyle name="Millares 2 80 2 7 5 2" xfId="25095" xr:uid="{00000000-0005-0000-0000-0000B82E0000}"/>
    <cellStyle name="Millares 2 80 2 7 5 2 2" xfId="52228" xr:uid="{00000000-0005-0000-0000-0000B92E0000}"/>
    <cellStyle name="Millares 2 80 2 7 5 3" xfId="38666" xr:uid="{00000000-0005-0000-0000-0000BA2E0000}"/>
    <cellStyle name="Millares 2 80 2 7 6" xfId="18314" xr:uid="{00000000-0005-0000-0000-0000BB2E0000}"/>
    <cellStyle name="Millares 2 80 2 7 6 2" xfId="45447" xr:uid="{00000000-0005-0000-0000-0000BC2E0000}"/>
    <cellStyle name="Millares 2 80 2 7 7" xfId="31885" xr:uid="{00000000-0005-0000-0000-0000BD2E0000}"/>
    <cellStyle name="Millares 2 80 2 8" xfId="4521" xr:uid="{00000000-0005-0000-0000-0000BE2E0000}"/>
    <cellStyle name="Millares 2 80 2 8 2" xfId="4522" xr:uid="{00000000-0005-0000-0000-0000BF2E0000}"/>
    <cellStyle name="Millares 2 80 2 8 2 2" xfId="8131" xr:uid="{00000000-0005-0000-0000-0000C02E0000}"/>
    <cellStyle name="Millares 2 80 2 8 2 2 2" xfId="14920" xr:uid="{00000000-0005-0000-0000-0000C12E0000}"/>
    <cellStyle name="Millares 2 80 2 8 2 2 2 2" xfId="28488" xr:uid="{00000000-0005-0000-0000-0000C22E0000}"/>
    <cellStyle name="Millares 2 80 2 8 2 2 2 2 2" xfId="55621" xr:uid="{00000000-0005-0000-0000-0000C32E0000}"/>
    <cellStyle name="Millares 2 80 2 8 2 2 2 3" xfId="42059" xr:uid="{00000000-0005-0000-0000-0000C42E0000}"/>
    <cellStyle name="Millares 2 80 2 8 2 2 3" xfId="21707" xr:uid="{00000000-0005-0000-0000-0000C52E0000}"/>
    <cellStyle name="Millares 2 80 2 8 2 2 3 2" xfId="48840" xr:uid="{00000000-0005-0000-0000-0000C62E0000}"/>
    <cellStyle name="Millares 2 80 2 8 2 2 4" xfId="35278" xr:uid="{00000000-0005-0000-0000-0000C72E0000}"/>
    <cellStyle name="Millares 2 80 2 8 2 3" xfId="11531" xr:uid="{00000000-0005-0000-0000-0000C82E0000}"/>
    <cellStyle name="Millares 2 80 2 8 2 3 2" xfId="25099" xr:uid="{00000000-0005-0000-0000-0000C92E0000}"/>
    <cellStyle name="Millares 2 80 2 8 2 3 2 2" xfId="52232" xr:uid="{00000000-0005-0000-0000-0000CA2E0000}"/>
    <cellStyle name="Millares 2 80 2 8 2 3 3" xfId="38670" xr:uid="{00000000-0005-0000-0000-0000CB2E0000}"/>
    <cellStyle name="Millares 2 80 2 8 2 4" xfId="18318" xr:uid="{00000000-0005-0000-0000-0000CC2E0000}"/>
    <cellStyle name="Millares 2 80 2 8 2 4 2" xfId="45451" xr:uid="{00000000-0005-0000-0000-0000CD2E0000}"/>
    <cellStyle name="Millares 2 80 2 8 2 5" xfId="31889" xr:uid="{00000000-0005-0000-0000-0000CE2E0000}"/>
    <cellStyle name="Millares 2 80 2 8 3" xfId="4523" xr:uid="{00000000-0005-0000-0000-0000CF2E0000}"/>
    <cellStyle name="Millares 2 80 2 8 3 2" xfId="8132" xr:uid="{00000000-0005-0000-0000-0000D02E0000}"/>
    <cellStyle name="Millares 2 80 2 8 3 2 2" xfId="14921" xr:uid="{00000000-0005-0000-0000-0000D12E0000}"/>
    <cellStyle name="Millares 2 80 2 8 3 2 2 2" xfId="28489" xr:uid="{00000000-0005-0000-0000-0000D22E0000}"/>
    <cellStyle name="Millares 2 80 2 8 3 2 2 2 2" xfId="55622" xr:uid="{00000000-0005-0000-0000-0000D32E0000}"/>
    <cellStyle name="Millares 2 80 2 8 3 2 2 3" xfId="42060" xr:uid="{00000000-0005-0000-0000-0000D42E0000}"/>
    <cellStyle name="Millares 2 80 2 8 3 2 3" xfId="21708" xr:uid="{00000000-0005-0000-0000-0000D52E0000}"/>
    <cellStyle name="Millares 2 80 2 8 3 2 3 2" xfId="48841" xr:uid="{00000000-0005-0000-0000-0000D62E0000}"/>
    <cellStyle name="Millares 2 80 2 8 3 2 4" xfId="35279" xr:uid="{00000000-0005-0000-0000-0000D72E0000}"/>
    <cellStyle name="Millares 2 80 2 8 3 3" xfId="11532" xr:uid="{00000000-0005-0000-0000-0000D82E0000}"/>
    <cellStyle name="Millares 2 80 2 8 3 3 2" xfId="25100" xr:uid="{00000000-0005-0000-0000-0000D92E0000}"/>
    <cellStyle name="Millares 2 80 2 8 3 3 2 2" xfId="52233" xr:uid="{00000000-0005-0000-0000-0000DA2E0000}"/>
    <cellStyle name="Millares 2 80 2 8 3 3 3" xfId="38671" xr:uid="{00000000-0005-0000-0000-0000DB2E0000}"/>
    <cellStyle name="Millares 2 80 2 8 3 4" xfId="18319" xr:uid="{00000000-0005-0000-0000-0000DC2E0000}"/>
    <cellStyle name="Millares 2 80 2 8 3 4 2" xfId="45452" xr:uid="{00000000-0005-0000-0000-0000DD2E0000}"/>
    <cellStyle name="Millares 2 80 2 8 3 5" xfId="31890" xr:uid="{00000000-0005-0000-0000-0000DE2E0000}"/>
    <cellStyle name="Millares 2 80 2 8 4" xfId="8130" xr:uid="{00000000-0005-0000-0000-0000DF2E0000}"/>
    <cellStyle name="Millares 2 80 2 8 4 2" xfId="14919" xr:uid="{00000000-0005-0000-0000-0000E02E0000}"/>
    <cellStyle name="Millares 2 80 2 8 4 2 2" xfId="28487" xr:uid="{00000000-0005-0000-0000-0000E12E0000}"/>
    <cellStyle name="Millares 2 80 2 8 4 2 2 2" xfId="55620" xr:uid="{00000000-0005-0000-0000-0000E22E0000}"/>
    <cellStyle name="Millares 2 80 2 8 4 2 3" xfId="42058" xr:uid="{00000000-0005-0000-0000-0000E32E0000}"/>
    <cellStyle name="Millares 2 80 2 8 4 3" xfId="21706" xr:uid="{00000000-0005-0000-0000-0000E42E0000}"/>
    <cellStyle name="Millares 2 80 2 8 4 3 2" xfId="48839" xr:uid="{00000000-0005-0000-0000-0000E52E0000}"/>
    <cellStyle name="Millares 2 80 2 8 4 4" xfId="35277" xr:uid="{00000000-0005-0000-0000-0000E62E0000}"/>
    <cellStyle name="Millares 2 80 2 8 5" xfId="11530" xr:uid="{00000000-0005-0000-0000-0000E72E0000}"/>
    <cellStyle name="Millares 2 80 2 8 5 2" xfId="25098" xr:uid="{00000000-0005-0000-0000-0000E82E0000}"/>
    <cellStyle name="Millares 2 80 2 8 5 2 2" xfId="52231" xr:uid="{00000000-0005-0000-0000-0000E92E0000}"/>
    <cellStyle name="Millares 2 80 2 8 5 3" xfId="38669" xr:uid="{00000000-0005-0000-0000-0000EA2E0000}"/>
    <cellStyle name="Millares 2 80 2 8 6" xfId="18317" xr:uid="{00000000-0005-0000-0000-0000EB2E0000}"/>
    <cellStyle name="Millares 2 80 2 8 6 2" xfId="45450" xr:uid="{00000000-0005-0000-0000-0000EC2E0000}"/>
    <cellStyle name="Millares 2 80 2 8 7" xfId="31888" xr:uid="{00000000-0005-0000-0000-0000ED2E0000}"/>
    <cellStyle name="Millares 2 80 2 9" xfId="4524" xr:uid="{00000000-0005-0000-0000-0000EE2E0000}"/>
    <cellStyle name="Millares 2 80 2 9 2" xfId="8133" xr:uid="{00000000-0005-0000-0000-0000EF2E0000}"/>
    <cellStyle name="Millares 2 80 2 9 2 2" xfId="14922" xr:uid="{00000000-0005-0000-0000-0000F02E0000}"/>
    <cellStyle name="Millares 2 80 2 9 2 2 2" xfId="28490" xr:uid="{00000000-0005-0000-0000-0000F12E0000}"/>
    <cellStyle name="Millares 2 80 2 9 2 2 2 2" xfId="55623" xr:uid="{00000000-0005-0000-0000-0000F22E0000}"/>
    <cellStyle name="Millares 2 80 2 9 2 2 3" xfId="42061" xr:uid="{00000000-0005-0000-0000-0000F32E0000}"/>
    <cellStyle name="Millares 2 80 2 9 2 3" xfId="21709" xr:uid="{00000000-0005-0000-0000-0000F42E0000}"/>
    <cellStyle name="Millares 2 80 2 9 2 3 2" xfId="48842" xr:uid="{00000000-0005-0000-0000-0000F52E0000}"/>
    <cellStyle name="Millares 2 80 2 9 2 4" xfId="35280" xr:uid="{00000000-0005-0000-0000-0000F62E0000}"/>
    <cellStyle name="Millares 2 80 2 9 3" xfId="11533" xr:uid="{00000000-0005-0000-0000-0000F72E0000}"/>
    <cellStyle name="Millares 2 80 2 9 3 2" xfId="25101" xr:uid="{00000000-0005-0000-0000-0000F82E0000}"/>
    <cellStyle name="Millares 2 80 2 9 3 2 2" xfId="52234" xr:uid="{00000000-0005-0000-0000-0000F92E0000}"/>
    <cellStyle name="Millares 2 80 2 9 3 3" xfId="38672" xr:uid="{00000000-0005-0000-0000-0000FA2E0000}"/>
    <cellStyle name="Millares 2 80 2 9 4" xfId="18320" xr:uid="{00000000-0005-0000-0000-0000FB2E0000}"/>
    <cellStyle name="Millares 2 80 2 9 4 2" xfId="45453" xr:uid="{00000000-0005-0000-0000-0000FC2E0000}"/>
    <cellStyle name="Millares 2 80 2 9 5" xfId="31891" xr:uid="{00000000-0005-0000-0000-0000FD2E0000}"/>
    <cellStyle name="Millares 2 80 3" xfId="4525" xr:uid="{00000000-0005-0000-0000-0000FE2E0000}"/>
    <cellStyle name="Millares 2 80 3 10" xfId="8134" xr:uid="{00000000-0005-0000-0000-0000FF2E0000}"/>
    <cellStyle name="Millares 2 80 3 10 2" xfId="14923" xr:uid="{00000000-0005-0000-0000-0000002F0000}"/>
    <cellStyle name="Millares 2 80 3 10 2 2" xfId="28491" xr:uid="{00000000-0005-0000-0000-0000012F0000}"/>
    <cellStyle name="Millares 2 80 3 10 2 2 2" xfId="55624" xr:uid="{00000000-0005-0000-0000-0000022F0000}"/>
    <cellStyle name="Millares 2 80 3 10 2 3" xfId="42062" xr:uid="{00000000-0005-0000-0000-0000032F0000}"/>
    <cellStyle name="Millares 2 80 3 10 3" xfId="21710" xr:uid="{00000000-0005-0000-0000-0000042F0000}"/>
    <cellStyle name="Millares 2 80 3 10 3 2" xfId="48843" xr:uid="{00000000-0005-0000-0000-0000052F0000}"/>
    <cellStyle name="Millares 2 80 3 10 4" xfId="35281" xr:uid="{00000000-0005-0000-0000-0000062F0000}"/>
    <cellStyle name="Millares 2 80 3 11" xfId="11534" xr:uid="{00000000-0005-0000-0000-0000072F0000}"/>
    <cellStyle name="Millares 2 80 3 11 2" xfId="25102" xr:uid="{00000000-0005-0000-0000-0000082F0000}"/>
    <cellStyle name="Millares 2 80 3 11 2 2" xfId="52235" xr:uid="{00000000-0005-0000-0000-0000092F0000}"/>
    <cellStyle name="Millares 2 80 3 11 3" xfId="38673" xr:uid="{00000000-0005-0000-0000-00000A2F0000}"/>
    <cellStyle name="Millares 2 80 3 12" xfId="18321" xr:uid="{00000000-0005-0000-0000-00000B2F0000}"/>
    <cellStyle name="Millares 2 80 3 12 2" xfId="45454" xr:uid="{00000000-0005-0000-0000-00000C2F0000}"/>
    <cellStyle name="Millares 2 80 3 13" xfId="31892" xr:uid="{00000000-0005-0000-0000-00000D2F0000}"/>
    <cellStyle name="Millares 2 80 3 2" xfId="4526" xr:uid="{00000000-0005-0000-0000-00000E2F0000}"/>
    <cellStyle name="Millares 2 80 3 2 10" xfId="31893" xr:uid="{00000000-0005-0000-0000-00000F2F0000}"/>
    <cellStyle name="Millares 2 80 3 2 2" xfId="4527" xr:uid="{00000000-0005-0000-0000-0000102F0000}"/>
    <cellStyle name="Millares 2 80 3 2 2 2" xfId="4528" xr:uid="{00000000-0005-0000-0000-0000112F0000}"/>
    <cellStyle name="Millares 2 80 3 2 2 2 2" xfId="4529" xr:uid="{00000000-0005-0000-0000-0000122F0000}"/>
    <cellStyle name="Millares 2 80 3 2 2 2 2 2" xfId="8138" xr:uid="{00000000-0005-0000-0000-0000132F0000}"/>
    <cellStyle name="Millares 2 80 3 2 2 2 2 2 2" xfId="14927" xr:uid="{00000000-0005-0000-0000-0000142F0000}"/>
    <cellStyle name="Millares 2 80 3 2 2 2 2 2 2 2" xfId="28495" xr:uid="{00000000-0005-0000-0000-0000152F0000}"/>
    <cellStyle name="Millares 2 80 3 2 2 2 2 2 2 2 2" xfId="55628" xr:uid="{00000000-0005-0000-0000-0000162F0000}"/>
    <cellStyle name="Millares 2 80 3 2 2 2 2 2 2 3" xfId="42066" xr:uid="{00000000-0005-0000-0000-0000172F0000}"/>
    <cellStyle name="Millares 2 80 3 2 2 2 2 2 3" xfId="21714" xr:uid="{00000000-0005-0000-0000-0000182F0000}"/>
    <cellStyle name="Millares 2 80 3 2 2 2 2 2 3 2" xfId="48847" xr:uid="{00000000-0005-0000-0000-0000192F0000}"/>
    <cellStyle name="Millares 2 80 3 2 2 2 2 2 4" xfId="35285" xr:uid="{00000000-0005-0000-0000-00001A2F0000}"/>
    <cellStyle name="Millares 2 80 3 2 2 2 2 3" xfId="11538" xr:uid="{00000000-0005-0000-0000-00001B2F0000}"/>
    <cellStyle name="Millares 2 80 3 2 2 2 2 3 2" xfId="25106" xr:uid="{00000000-0005-0000-0000-00001C2F0000}"/>
    <cellStyle name="Millares 2 80 3 2 2 2 2 3 2 2" xfId="52239" xr:uid="{00000000-0005-0000-0000-00001D2F0000}"/>
    <cellStyle name="Millares 2 80 3 2 2 2 2 3 3" xfId="38677" xr:uid="{00000000-0005-0000-0000-00001E2F0000}"/>
    <cellStyle name="Millares 2 80 3 2 2 2 2 4" xfId="18325" xr:uid="{00000000-0005-0000-0000-00001F2F0000}"/>
    <cellStyle name="Millares 2 80 3 2 2 2 2 4 2" xfId="45458" xr:uid="{00000000-0005-0000-0000-0000202F0000}"/>
    <cellStyle name="Millares 2 80 3 2 2 2 2 5" xfId="31896" xr:uid="{00000000-0005-0000-0000-0000212F0000}"/>
    <cellStyle name="Millares 2 80 3 2 2 2 3" xfId="4530" xr:uid="{00000000-0005-0000-0000-0000222F0000}"/>
    <cellStyle name="Millares 2 80 3 2 2 2 3 2" xfId="8139" xr:uid="{00000000-0005-0000-0000-0000232F0000}"/>
    <cellStyle name="Millares 2 80 3 2 2 2 3 2 2" xfId="14928" xr:uid="{00000000-0005-0000-0000-0000242F0000}"/>
    <cellStyle name="Millares 2 80 3 2 2 2 3 2 2 2" xfId="28496" xr:uid="{00000000-0005-0000-0000-0000252F0000}"/>
    <cellStyle name="Millares 2 80 3 2 2 2 3 2 2 2 2" xfId="55629" xr:uid="{00000000-0005-0000-0000-0000262F0000}"/>
    <cellStyle name="Millares 2 80 3 2 2 2 3 2 2 3" xfId="42067" xr:uid="{00000000-0005-0000-0000-0000272F0000}"/>
    <cellStyle name="Millares 2 80 3 2 2 2 3 2 3" xfId="21715" xr:uid="{00000000-0005-0000-0000-0000282F0000}"/>
    <cellStyle name="Millares 2 80 3 2 2 2 3 2 3 2" xfId="48848" xr:uid="{00000000-0005-0000-0000-0000292F0000}"/>
    <cellStyle name="Millares 2 80 3 2 2 2 3 2 4" xfId="35286" xr:uid="{00000000-0005-0000-0000-00002A2F0000}"/>
    <cellStyle name="Millares 2 80 3 2 2 2 3 3" xfId="11539" xr:uid="{00000000-0005-0000-0000-00002B2F0000}"/>
    <cellStyle name="Millares 2 80 3 2 2 2 3 3 2" xfId="25107" xr:uid="{00000000-0005-0000-0000-00002C2F0000}"/>
    <cellStyle name="Millares 2 80 3 2 2 2 3 3 2 2" xfId="52240" xr:uid="{00000000-0005-0000-0000-00002D2F0000}"/>
    <cellStyle name="Millares 2 80 3 2 2 2 3 3 3" xfId="38678" xr:uid="{00000000-0005-0000-0000-00002E2F0000}"/>
    <cellStyle name="Millares 2 80 3 2 2 2 3 4" xfId="18326" xr:uid="{00000000-0005-0000-0000-00002F2F0000}"/>
    <cellStyle name="Millares 2 80 3 2 2 2 3 4 2" xfId="45459" xr:uid="{00000000-0005-0000-0000-0000302F0000}"/>
    <cellStyle name="Millares 2 80 3 2 2 2 3 5" xfId="31897" xr:uid="{00000000-0005-0000-0000-0000312F0000}"/>
    <cellStyle name="Millares 2 80 3 2 2 2 4" xfId="8137" xr:uid="{00000000-0005-0000-0000-0000322F0000}"/>
    <cellStyle name="Millares 2 80 3 2 2 2 4 2" xfId="14926" xr:uid="{00000000-0005-0000-0000-0000332F0000}"/>
    <cellStyle name="Millares 2 80 3 2 2 2 4 2 2" xfId="28494" xr:uid="{00000000-0005-0000-0000-0000342F0000}"/>
    <cellStyle name="Millares 2 80 3 2 2 2 4 2 2 2" xfId="55627" xr:uid="{00000000-0005-0000-0000-0000352F0000}"/>
    <cellStyle name="Millares 2 80 3 2 2 2 4 2 3" xfId="42065" xr:uid="{00000000-0005-0000-0000-0000362F0000}"/>
    <cellStyle name="Millares 2 80 3 2 2 2 4 3" xfId="21713" xr:uid="{00000000-0005-0000-0000-0000372F0000}"/>
    <cellStyle name="Millares 2 80 3 2 2 2 4 3 2" xfId="48846" xr:uid="{00000000-0005-0000-0000-0000382F0000}"/>
    <cellStyle name="Millares 2 80 3 2 2 2 4 4" xfId="35284" xr:uid="{00000000-0005-0000-0000-0000392F0000}"/>
    <cellStyle name="Millares 2 80 3 2 2 2 5" xfId="11537" xr:uid="{00000000-0005-0000-0000-00003A2F0000}"/>
    <cellStyle name="Millares 2 80 3 2 2 2 5 2" xfId="25105" xr:uid="{00000000-0005-0000-0000-00003B2F0000}"/>
    <cellStyle name="Millares 2 80 3 2 2 2 5 2 2" xfId="52238" xr:uid="{00000000-0005-0000-0000-00003C2F0000}"/>
    <cellStyle name="Millares 2 80 3 2 2 2 5 3" xfId="38676" xr:uid="{00000000-0005-0000-0000-00003D2F0000}"/>
    <cellStyle name="Millares 2 80 3 2 2 2 6" xfId="18324" xr:uid="{00000000-0005-0000-0000-00003E2F0000}"/>
    <cellStyle name="Millares 2 80 3 2 2 2 6 2" xfId="45457" xr:uid="{00000000-0005-0000-0000-00003F2F0000}"/>
    <cellStyle name="Millares 2 80 3 2 2 2 7" xfId="31895" xr:uid="{00000000-0005-0000-0000-0000402F0000}"/>
    <cellStyle name="Millares 2 80 3 2 2 3" xfId="4531" xr:uid="{00000000-0005-0000-0000-0000412F0000}"/>
    <cellStyle name="Millares 2 80 3 2 2 3 2" xfId="4532" xr:uid="{00000000-0005-0000-0000-0000422F0000}"/>
    <cellStyle name="Millares 2 80 3 2 2 3 2 2" xfId="8141" xr:uid="{00000000-0005-0000-0000-0000432F0000}"/>
    <cellStyle name="Millares 2 80 3 2 2 3 2 2 2" xfId="14930" xr:uid="{00000000-0005-0000-0000-0000442F0000}"/>
    <cellStyle name="Millares 2 80 3 2 2 3 2 2 2 2" xfId="28498" xr:uid="{00000000-0005-0000-0000-0000452F0000}"/>
    <cellStyle name="Millares 2 80 3 2 2 3 2 2 2 2 2" xfId="55631" xr:uid="{00000000-0005-0000-0000-0000462F0000}"/>
    <cellStyle name="Millares 2 80 3 2 2 3 2 2 2 3" xfId="42069" xr:uid="{00000000-0005-0000-0000-0000472F0000}"/>
    <cellStyle name="Millares 2 80 3 2 2 3 2 2 3" xfId="21717" xr:uid="{00000000-0005-0000-0000-0000482F0000}"/>
    <cellStyle name="Millares 2 80 3 2 2 3 2 2 3 2" xfId="48850" xr:uid="{00000000-0005-0000-0000-0000492F0000}"/>
    <cellStyle name="Millares 2 80 3 2 2 3 2 2 4" xfId="35288" xr:uid="{00000000-0005-0000-0000-00004A2F0000}"/>
    <cellStyle name="Millares 2 80 3 2 2 3 2 3" xfId="11541" xr:uid="{00000000-0005-0000-0000-00004B2F0000}"/>
    <cellStyle name="Millares 2 80 3 2 2 3 2 3 2" xfId="25109" xr:uid="{00000000-0005-0000-0000-00004C2F0000}"/>
    <cellStyle name="Millares 2 80 3 2 2 3 2 3 2 2" xfId="52242" xr:uid="{00000000-0005-0000-0000-00004D2F0000}"/>
    <cellStyle name="Millares 2 80 3 2 2 3 2 3 3" xfId="38680" xr:uid="{00000000-0005-0000-0000-00004E2F0000}"/>
    <cellStyle name="Millares 2 80 3 2 2 3 2 4" xfId="18328" xr:uid="{00000000-0005-0000-0000-00004F2F0000}"/>
    <cellStyle name="Millares 2 80 3 2 2 3 2 4 2" xfId="45461" xr:uid="{00000000-0005-0000-0000-0000502F0000}"/>
    <cellStyle name="Millares 2 80 3 2 2 3 2 5" xfId="31899" xr:uid="{00000000-0005-0000-0000-0000512F0000}"/>
    <cellStyle name="Millares 2 80 3 2 2 3 3" xfId="8140" xr:uid="{00000000-0005-0000-0000-0000522F0000}"/>
    <cellStyle name="Millares 2 80 3 2 2 3 3 2" xfId="14929" xr:uid="{00000000-0005-0000-0000-0000532F0000}"/>
    <cellStyle name="Millares 2 80 3 2 2 3 3 2 2" xfId="28497" xr:uid="{00000000-0005-0000-0000-0000542F0000}"/>
    <cellStyle name="Millares 2 80 3 2 2 3 3 2 2 2" xfId="55630" xr:uid="{00000000-0005-0000-0000-0000552F0000}"/>
    <cellStyle name="Millares 2 80 3 2 2 3 3 2 3" xfId="42068" xr:uid="{00000000-0005-0000-0000-0000562F0000}"/>
    <cellStyle name="Millares 2 80 3 2 2 3 3 3" xfId="21716" xr:uid="{00000000-0005-0000-0000-0000572F0000}"/>
    <cellStyle name="Millares 2 80 3 2 2 3 3 3 2" xfId="48849" xr:uid="{00000000-0005-0000-0000-0000582F0000}"/>
    <cellStyle name="Millares 2 80 3 2 2 3 3 4" xfId="35287" xr:uid="{00000000-0005-0000-0000-0000592F0000}"/>
    <cellStyle name="Millares 2 80 3 2 2 3 4" xfId="11540" xr:uid="{00000000-0005-0000-0000-00005A2F0000}"/>
    <cellStyle name="Millares 2 80 3 2 2 3 4 2" xfId="25108" xr:uid="{00000000-0005-0000-0000-00005B2F0000}"/>
    <cellStyle name="Millares 2 80 3 2 2 3 4 2 2" xfId="52241" xr:uid="{00000000-0005-0000-0000-00005C2F0000}"/>
    <cellStyle name="Millares 2 80 3 2 2 3 4 3" xfId="38679" xr:uid="{00000000-0005-0000-0000-00005D2F0000}"/>
    <cellStyle name="Millares 2 80 3 2 2 3 5" xfId="18327" xr:uid="{00000000-0005-0000-0000-00005E2F0000}"/>
    <cellStyle name="Millares 2 80 3 2 2 3 5 2" xfId="45460" xr:uid="{00000000-0005-0000-0000-00005F2F0000}"/>
    <cellStyle name="Millares 2 80 3 2 2 3 6" xfId="31898" xr:uid="{00000000-0005-0000-0000-0000602F0000}"/>
    <cellStyle name="Millares 2 80 3 2 2 4" xfId="4533" xr:uid="{00000000-0005-0000-0000-0000612F0000}"/>
    <cellStyle name="Millares 2 80 3 2 2 4 2" xfId="8142" xr:uid="{00000000-0005-0000-0000-0000622F0000}"/>
    <cellStyle name="Millares 2 80 3 2 2 4 2 2" xfId="14931" xr:uid="{00000000-0005-0000-0000-0000632F0000}"/>
    <cellStyle name="Millares 2 80 3 2 2 4 2 2 2" xfId="28499" xr:uid="{00000000-0005-0000-0000-0000642F0000}"/>
    <cellStyle name="Millares 2 80 3 2 2 4 2 2 2 2" xfId="55632" xr:uid="{00000000-0005-0000-0000-0000652F0000}"/>
    <cellStyle name="Millares 2 80 3 2 2 4 2 2 3" xfId="42070" xr:uid="{00000000-0005-0000-0000-0000662F0000}"/>
    <cellStyle name="Millares 2 80 3 2 2 4 2 3" xfId="21718" xr:uid="{00000000-0005-0000-0000-0000672F0000}"/>
    <cellStyle name="Millares 2 80 3 2 2 4 2 3 2" xfId="48851" xr:uid="{00000000-0005-0000-0000-0000682F0000}"/>
    <cellStyle name="Millares 2 80 3 2 2 4 2 4" xfId="35289" xr:uid="{00000000-0005-0000-0000-0000692F0000}"/>
    <cellStyle name="Millares 2 80 3 2 2 4 3" xfId="11542" xr:uid="{00000000-0005-0000-0000-00006A2F0000}"/>
    <cellStyle name="Millares 2 80 3 2 2 4 3 2" xfId="25110" xr:uid="{00000000-0005-0000-0000-00006B2F0000}"/>
    <cellStyle name="Millares 2 80 3 2 2 4 3 2 2" xfId="52243" xr:uid="{00000000-0005-0000-0000-00006C2F0000}"/>
    <cellStyle name="Millares 2 80 3 2 2 4 3 3" xfId="38681" xr:uid="{00000000-0005-0000-0000-00006D2F0000}"/>
    <cellStyle name="Millares 2 80 3 2 2 4 4" xfId="18329" xr:uid="{00000000-0005-0000-0000-00006E2F0000}"/>
    <cellStyle name="Millares 2 80 3 2 2 4 4 2" xfId="45462" xr:uid="{00000000-0005-0000-0000-00006F2F0000}"/>
    <cellStyle name="Millares 2 80 3 2 2 4 5" xfId="31900" xr:uid="{00000000-0005-0000-0000-0000702F0000}"/>
    <cellStyle name="Millares 2 80 3 2 2 5" xfId="4534" xr:uid="{00000000-0005-0000-0000-0000712F0000}"/>
    <cellStyle name="Millares 2 80 3 2 2 5 2" xfId="8143" xr:uid="{00000000-0005-0000-0000-0000722F0000}"/>
    <cellStyle name="Millares 2 80 3 2 2 5 2 2" xfId="14932" xr:uid="{00000000-0005-0000-0000-0000732F0000}"/>
    <cellStyle name="Millares 2 80 3 2 2 5 2 2 2" xfId="28500" xr:uid="{00000000-0005-0000-0000-0000742F0000}"/>
    <cellStyle name="Millares 2 80 3 2 2 5 2 2 2 2" xfId="55633" xr:uid="{00000000-0005-0000-0000-0000752F0000}"/>
    <cellStyle name="Millares 2 80 3 2 2 5 2 2 3" xfId="42071" xr:uid="{00000000-0005-0000-0000-0000762F0000}"/>
    <cellStyle name="Millares 2 80 3 2 2 5 2 3" xfId="21719" xr:uid="{00000000-0005-0000-0000-0000772F0000}"/>
    <cellStyle name="Millares 2 80 3 2 2 5 2 3 2" xfId="48852" xr:uid="{00000000-0005-0000-0000-0000782F0000}"/>
    <cellStyle name="Millares 2 80 3 2 2 5 2 4" xfId="35290" xr:uid="{00000000-0005-0000-0000-0000792F0000}"/>
    <cellStyle name="Millares 2 80 3 2 2 5 3" xfId="11543" xr:uid="{00000000-0005-0000-0000-00007A2F0000}"/>
    <cellStyle name="Millares 2 80 3 2 2 5 3 2" xfId="25111" xr:uid="{00000000-0005-0000-0000-00007B2F0000}"/>
    <cellStyle name="Millares 2 80 3 2 2 5 3 2 2" xfId="52244" xr:uid="{00000000-0005-0000-0000-00007C2F0000}"/>
    <cellStyle name="Millares 2 80 3 2 2 5 3 3" xfId="38682" xr:uid="{00000000-0005-0000-0000-00007D2F0000}"/>
    <cellStyle name="Millares 2 80 3 2 2 5 4" xfId="18330" xr:uid="{00000000-0005-0000-0000-00007E2F0000}"/>
    <cellStyle name="Millares 2 80 3 2 2 5 4 2" xfId="45463" xr:uid="{00000000-0005-0000-0000-00007F2F0000}"/>
    <cellStyle name="Millares 2 80 3 2 2 5 5" xfId="31901" xr:uid="{00000000-0005-0000-0000-0000802F0000}"/>
    <cellStyle name="Millares 2 80 3 2 2 6" xfId="8136" xr:uid="{00000000-0005-0000-0000-0000812F0000}"/>
    <cellStyle name="Millares 2 80 3 2 2 6 2" xfId="14925" xr:uid="{00000000-0005-0000-0000-0000822F0000}"/>
    <cellStyle name="Millares 2 80 3 2 2 6 2 2" xfId="28493" xr:uid="{00000000-0005-0000-0000-0000832F0000}"/>
    <cellStyle name="Millares 2 80 3 2 2 6 2 2 2" xfId="55626" xr:uid="{00000000-0005-0000-0000-0000842F0000}"/>
    <cellStyle name="Millares 2 80 3 2 2 6 2 3" xfId="42064" xr:uid="{00000000-0005-0000-0000-0000852F0000}"/>
    <cellStyle name="Millares 2 80 3 2 2 6 3" xfId="21712" xr:uid="{00000000-0005-0000-0000-0000862F0000}"/>
    <cellStyle name="Millares 2 80 3 2 2 6 3 2" xfId="48845" xr:uid="{00000000-0005-0000-0000-0000872F0000}"/>
    <cellStyle name="Millares 2 80 3 2 2 6 4" xfId="35283" xr:uid="{00000000-0005-0000-0000-0000882F0000}"/>
    <cellStyle name="Millares 2 80 3 2 2 7" xfId="11536" xr:uid="{00000000-0005-0000-0000-0000892F0000}"/>
    <cellStyle name="Millares 2 80 3 2 2 7 2" xfId="25104" xr:uid="{00000000-0005-0000-0000-00008A2F0000}"/>
    <cellStyle name="Millares 2 80 3 2 2 7 2 2" xfId="52237" xr:uid="{00000000-0005-0000-0000-00008B2F0000}"/>
    <cellStyle name="Millares 2 80 3 2 2 7 3" xfId="38675" xr:uid="{00000000-0005-0000-0000-00008C2F0000}"/>
    <cellStyle name="Millares 2 80 3 2 2 8" xfId="18323" xr:uid="{00000000-0005-0000-0000-00008D2F0000}"/>
    <cellStyle name="Millares 2 80 3 2 2 8 2" xfId="45456" xr:uid="{00000000-0005-0000-0000-00008E2F0000}"/>
    <cellStyle name="Millares 2 80 3 2 2 9" xfId="31894" xr:uid="{00000000-0005-0000-0000-00008F2F0000}"/>
    <cellStyle name="Millares 2 80 3 2 3" xfId="4535" xr:uid="{00000000-0005-0000-0000-0000902F0000}"/>
    <cellStyle name="Millares 2 80 3 2 3 2" xfId="4536" xr:uid="{00000000-0005-0000-0000-0000912F0000}"/>
    <cellStyle name="Millares 2 80 3 2 3 2 2" xfId="8145" xr:uid="{00000000-0005-0000-0000-0000922F0000}"/>
    <cellStyle name="Millares 2 80 3 2 3 2 2 2" xfId="14934" xr:uid="{00000000-0005-0000-0000-0000932F0000}"/>
    <cellStyle name="Millares 2 80 3 2 3 2 2 2 2" xfId="28502" xr:uid="{00000000-0005-0000-0000-0000942F0000}"/>
    <cellStyle name="Millares 2 80 3 2 3 2 2 2 2 2" xfId="55635" xr:uid="{00000000-0005-0000-0000-0000952F0000}"/>
    <cellStyle name="Millares 2 80 3 2 3 2 2 2 3" xfId="42073" xr:uid="{00000000-0005-0000-0000-0000962F0000}"/>
    <cellStyle name="Millares 2 80 3 2 3 2 2 3" xfId="21721" xr:uid="{00000000-0005-0000-0000-0000972F0000}"/>
    <cellStyle name="Millares 2 80 3 2 3 2 2 3 2" xfId="48854" xr:uid="{00000000-0005-0000-0000-0000982F0000}"/>
    <cellStyle name="Millares 2 80 3 2 3 2 2 4" xfId="35292" xr:uid="{00000000-0005-0000-0000-0000992F0000}"/>
    <cellStyle name="Millares 2 80 3 2 3 2 3" xfId="11545" xr:uid="{00000000-0005-0000-0000-00009A2F0000}"/>
    <cellStyle name="Millares 2 80 3 2 3 2 3 2" xfId="25113" xr:uid="{00000000-0005-0000-0000-00009B2F0000}"/>
    <cellStyle name="Millares 2 80 3 2 3 2 3 2 2" xfId="52246" xr:uid="{00000000-0005-0000-0000-00009C2F0000}"/>
    <cellStyle name="Millares 2 80 3 2 3 2 3 3" xfId="38684" xr:uid="{00000000-0005-0000-0000-00009D2F0000}"/>
    <cellStyle name="Millares 2 80 3 2 3 2 4" xfId="18332" xr:uid="{00000000-0005-0000-0000-00009E2F0000}"/>
    <cellStyle name="Millares 2 80 3 2 3 2 4 2" xfId="45465" xr:uid="{00000000-0005-0000-0000-00009F2F0000}"/>
    <cellStyle name="Millares 2 80 3 2 3 2 5" xfId="31903" xr:uid="{00000000-0005-0000-0000-0000A02F0000}"/>
    <cellStyle name="Millares 2 80 3 2 3 3" xfId="4537" xr:uid="{00000000-0005-0000-0000-0000A12F0000}"/>
    <cellStyle name="Millares 2 80 3 2 3 3 2" xfId="8146" xr:uid="{00000000-0005-0000-0000-0000A22F0000}"/>
    <cellStyle name="Millares 2 80 3 2 3 3 2 2" xfId="14935" xr:uid="{00000000-0005-0000-0000-0000A32F0000}"/>
    <cellStyle name="Millares 2 80 3 2 3 3 2 2 2" xfId="28503" xr:uid="{00000000-0005-0000-0000-0000A42F0000}"/>
    <cellStyle name="Millares 2 80 3 2 3 3 2 2 2 2" xfId="55636" xr:uid="{00000000-0005-0000-0000-0000A52F0000}"/>
    <cellStyle name="Millares 2 80 3 2 3 3 2 2 3" xfId="42074" xr:uid="{00000000-0005-0000-0000-0000A62F0000}"/>
    <cellStyle name="Millares 2 80 3 2 3 3 2 3" xfId="21722" xr:uid="{00000000-0005-0000-0000-0000A72F0000}"/>
    <cellStyle name="Millares 2 80 3 2 3 3 2 3 2" xfId="48855" xr:uid="{00000000-0005-0000-0000-0000A82F0000}"/>
    <cellStyle name="Millares 2 80 3 2 3 3 2 4" xfId="35293" xr:uid="{00000000-0005-0000-0000-0000A92F0000}"/>
    <cellStyle name="Millares 2 80 3 2 3 3 3" xfId="11546" xr:uid="{00000000-0005-0000-0000-0000AA2F0000}"/>
    <cellStyle name="Millares 2 80 3 2 3 3 3 2" xfId="25114" xr:uid="{00000000-0005-0000-0000-0000AB2F0000}"/>
    <cellStyle name="Millares 2 80 3 2 3 3 3 2 2" xfId="52247" xr:uid="{00000000-0005-0000-0000-0000AC2F0000}"/>
    <cellStyle name="Millares 2 80 3 2 3 3 3 3" xfId="38685" xr:uid="{00000000-0005-0000-0000-0000AD2F0000}"/>
    <cellStyle name="Millares 2 80 3 2 3 3 4" xfId="18333" xr:uid="{00000000-0005-0000-0000-0000AE2F0000}"/>
    <cellStyle name="Millares 2 80 3 2 3 3 4 2" xfId="45466" xr:uid="{00000000-0005-0000-0000-0000AF2F0000}"/>
    <cellStyle name="Millares 2 80 3 2 3 3 5" xfId="31904" xr:uid="{00000000-0005-0000-0000-0000B02F0000}"/>
    <cellStyle name="Millares 2 80 3 2 3 4" xfId="8144" xr:uid="{00000000-0005-0000-0000-0000B12F0000}"/>
    <cellStyle name="Millares 2 80 3 2 3 4 2" xfId="14933" xr:uid="{00000000-0005-0000-0000-0000B22F0000}"/>
    <cellStyle name="Millares 2 80 3 2 3 4 2 2" xfId="28501" xr:uid="{00000000-0005-0000-0000-0000B32F0000}"/>
    <cellStyle name="Millares 2 80 3 2 3 4 2 2 2" xfId="55634" xr:uid="{00000000-0005-0000-0000-0000B42F0000}"/>
    <cellStyle name="Millares 2 80 3 2 3 4 2 3" xfId="42072" xr:uid="{00000000-0005-0000-0000-0000B52F0000}"/>
    <cellStyle name="Millares 2 80 3 2 3 4 3" xfId="21720" xr:uid="{00000000-0005-0000-0000-0000B62F0000}"/>
    <cellStyle name="Millares 2 80 3 2 3 4 3 2" xfId="48853" xr:uid="{00000000-0005-0000-0000-0000B72F0000}"/>
    <cellStyle name="Millares 2 80 3 2 3 4 4" xfId="35291" xr:uid="{00000000-0005-0000-0000-0000B82F0000}"/>
    <cellStyle name="Millares 2 80 3 2 3 5" xfId="11544" xr:uid="{00000000-0005-0000-0000-0000B92F0000}"/>
    <cellStyle name="Millares 2 80 3 2 3 5 2" xfId="25112" xr:uid="{00000000-0005-0000-0000-0000BA2F0000}"/>
    <cellStyle name="Millares 2 80 3 2 3 5 2 2" xfId="52245" xr:uid="{00000000-0005-0000-0000-0000BB2F0000}"/>
    <cellStyle name="Millares 2 80 3 2 3 5 3" xfId="38683" xr:uid="{00000000-0005-0000-0000-0000BC2F0000}"/>
    <cellStyle name="Millares 2 80 3 2 3 6" xfId="18331" xr:uid="{00000000-0005-0000-0000-0000BD2F0000}"/>
    <cellStyle name="Millares 2 80 3 2 3 6 2" xfId="45464" xr:uid="{00000000-0005-0000-0000-0000BE2F0000}"/>
    <cellStyle name="Millares 2 80 3 2 3 7" xfId="31902" xr:uid="{00000000-0005-0000-0000-0000BF2F0000}"/>
    <cellStyle name="Millares 2 80 3 2 4" xfId="4538" xr:uid="{00000000-0005-0000-0000-0000C02F0000}"/>
    <cellStyle name="Millares 2 80 3 2 4 2" xfId="4539" xr:uid="{00000000-0005-0000-0000-0000C12F0000}"/>
    <cellStyle name="Millares 2 80 3 2 4 2 2" xfId="8148" xr:uid="{00000000-0005-0000-0000-0000C22F0000}"/>
    <cellStyle name="Millares 2 80 3 2 4 2 2 2" xfId="14937" xr:uid="{00000000-0005-0000-0000-0000C32F0000}"/>
    <cellStyle name="Millares 2 80 3 2 4 2 2 2 2" xfId="28505" xr:uid="{00000000-0005-0000-0000-0000C42F0000}"/>
    <cellStyle name="Millares 2 80 3 2 4 2 2 2 2 2" xfId="55638" xr:uid="{00000000-0005-0000-0000-0000C52F0000}"/>
    <cellStyle name="Millares 2 80 3 2 4 2 2 2 3" xfId="42076" xr:uid="{00000000-0005-0000-0000-0000C62F0000}"/>
    <cellStyle name="Millares 2 80 3 2 4 2 2 3" xfId="21724" xr:uid="{00000000-0005-0000-0000-0000C72F0000}"/>
    <cellStyle name="Millares 2 80 3 2 4 2 2 3 2" xfId="48857" xr:uid="{00000000-0005-0000-0000-0000C82F0000}"/>
    <cellStyle name="Millares 2 80 3 2 4 2 2 4" xfId="35295" xr:uid="{00000000-0005-0000-0000-0000C92F0000}"/>
    <cellStyle name="Millares 2 80 3 2 4 2 3" xfId="11548" xr:uid="{00000000-0005-0000-0000-0000CA2F0000}"/>
    <cellStyle name="Millares 2 80 3 2 4 2 3 2" xfId="25116" xr:uid="{00000000-0005-0000-0000-0000CB2F0000}"/>
    <cellStyle name="Millares 2 80 3 2 4 2 3 2 2" xfId="52249" xr:uid="{00000000-0005-0000-0000-0000CC2F0000}"/>
    <cellStyle name="Millares 2 80 3 2 4 2 3 3" xfId="38687" xr:uid="{00000000-0005-0000-0000-0000CD2F0000}"/>
    <cellStyle name="Millares 2 80 3 2 4 2 4" xfId="18335" xr:uid="{00000000-0005-0000-0000-0000CE2F0000}"/>
    <cellStyle name="Millares 2 80 3 2 4 2 4 2" xfId="45468" xr:uid="{00000000-0005-0000-0000-0000CF2F0000}"/>
    <cellStyle name="Millares 2 80 3 2 4 2 5" xfId="31906" xr:uid="{00000000-0005-0000-0000-0000D02F0000}"/>
    <cellStyle name="Millares 2 80 3 2 4 3" xfId="8147" xr:uid="{00000000-0005-0000-0000-0000D12F0000}"/>
    <cellStyle name="Millares 2 80 3 2 4 3 2" xfId="14936" xr:uid="{00000000-0005-0000-0000-0000D22F0000}"/>
    <cellStyle name="Millares 2 80 3 2 4 3 2 2" xfId="28504" xr:uid="{00000000-0005-0000-0000-0000D32F0000}"/>
    <cellStyle name="Millares 2 80 3 2 4 3 2 2 2" xfId="55637" xr:uid="{00000000-0005-0000-0000-0000D42F0000}"/>
    <cellStyle name="Millares 2 80 3 2 4 3 2 3" xfId="42075" xr:uid="{00000000-0005-0000-0000-0000D52F0000}"/>
    <cellStyle name="Millares 2 80 3 2 4 3 3" xfId="21723" xr:uid="{00000000-0005-0000-0000-0000D62F0000}"/>
    <cellStyle name="Millares 2 80 3 2 4 3 3 2" xfId="48856" xr:uid="{00000000-0005-0000-0000-0000D72F0000}"/>
    <cellStyle name="Millares 2 80 3 2 4 3 4" xfId="35294" xr:uid="{00000000-0005-0000-0000-0000D82F0000}"/>
    <cellStyle name="Millares 2 80 3 2 4 4" xfId="11547" xr:uid="{00000000-0005-0000-0000-0000D92F0000}"/>
    <cellStyle name="Millares 2 80 3 2 4 4 2" xfId="25115" xr:uid="{00000000-0005-0000-0000-0000DA2F0000}"/>
    <cellStyle name="Millares 2 80 3 2 4 4 2 2" xfId="52248" xr:uid="{00000000-0005-0000-0000-0000DB2F0000}"/>
    <cellStyle name="Millares 2 80 3 2 4 4 3" xfId="38686" xr:uid="{00000000-0005-0000-0000-0000DC2F0000}"/>
    <cellStyle name="Millares 2 80 3 2 4 5" xfId="18334" xr:uid="{00000000-0005-0000-0000-0000DD2F0000}"/>
    <cellStyle name="Millares 2 80 3 2 4 5 2" xfId="45467" xr:uid="{00000000-0005-0000-0000-0000DE2F0000}"/>
    <cellStyle name="Millares 2 80 3 2 4 6" xfId="31905" xr:uid="{00000000-0005-0000-0000-0000DF2F0000}"/>
    <cellStyle name="Millares 2 80 3 2 5" xfId="4540" xr:uid="{00000000-0005-0000-0000-0000E02F0000}"/>
    <cellStyle name="Millares 2 80 3 2 5 2" xfId="8149" xr:uid="{00000000-0005-0000-0000-0000E12F0000}"/>
    <cellStyle name="Millares 2 80 3 2 5 2 2" xfId="14938" xr:uid="{00000000-0005-0000-0000-0000E22F0000}"/>
    <cellStyle name="Millares 2 80 3 2 5 2 2 2" xfId="28506" xr:uid="{00000000-0005-0000-0000-0000E32F0000}"/>
    <cellStyle name="Millares 2 80 3 2 5 2 2 2 2" xfId="55639" xr:uid="{00000000-0005-0000-0000-0000E42F0000}"/>
    <cellStyle name="Millares 2 80 3 2 5 2 2 3" xfId="42077" xr:uid="{00000000-0005-0000-0000-0000E52F0000}"/>
    <cellStyle name="Millares 2 80 3 2 5 2 3" xfId="21725" xr:uid="{00000000-0005-0000-0000-0000E62F0000}"/>
    <cellStyle name="Millares 2 80 3 2 5 2 3 2" xfId="48858" xr:uid="{00000000-0005-0000-0000-0000E72F0000}"/>
    <cellStyle name="Millares 2 80 3 2 5 2 4" xfId="35296" xr:uid="{00000000-0005-0000-0000-0000E82F0000}"/>
    <cellStyle name="Millares 2 80 3 2 5 3" xfId="11549" xr:uid="{00000000-0005-0000-0000-0000E92F0000}"/>
    <cellStyle name="Millares 2 80 3 2 5 3 2" xfId="25117" xr:uid="{00000000-0005-0000-0000-0000EA2F0000}"/>
    <cellStyle name="Millares 2 80 3 2 5 3 2 2" xfId="52250" xr:uid="{00000000-0005-0000-0000-0000EB2F0000}"/>
    <cellStyle name="Millares 2 80 3 2 5 3 3" xfId="38688" xr:uid="{00000000-0005-0000-0000-0000EC2F0000}"/>
    <cellStyle name="Millares 2 80 3 2 5 4" xfId="18336" xr:uid="{00000000-0005-0000-0000-0000ED2F0000}"/>
    <cellStyle name="Millares 2 80 3 2 5 4 2" xfId="45469" xr:uid="{00000000-0005-0000-0000-0000EE2F0000}"/>
    <cellStyle name="Millares 2 80 3 2 5 5" xfId="31907" xr:uid="{00000000-0005-0000-0000-0000EF2F0000}"/>
    <cellStyle name="Millares 2 80 3 2 6" xfId="4541" xr:uid="{00000000-0005-0000-0000-0000F02F0000}"/>
    <cellStyle name="Millares 2 80 3 2 6 2" xfId="8150" xr:uid="{00000000-0005-0000-0000-0000F12F0000}"/>
    <cellStyle name="Millares 2 80 3 2 6 2 2" xfId="14939" xr:uid="{00000000-0005-0000-0000-0000F22F0000}"/>
    <cellStyle name="Millares 2 80 3 2 6 2 2 2" xfId="28507" xr:uid="{00000000-0005-0000-0000-0000F32F0000}"/>
    <cellStyle name="Millares 2 80 3 2 6 2 2 2 2" xfId="55640" xr:uid="{00000000-0005-0000-0000-0000F42F0000}"/>
    <cellStyle name="Millares 2 80 3 2 6 2 2 3" xfId="42078" xr:uid="{00000000-0005-0000-0000-0000F52F0000}"/>
    <cellStyle name="Millares 2 80 3 2 6 2 3" xfId="21726" xr:uid="{00000000-0005-0000-0000-0000F62F0000}"/>
    <cellStyle name="Millares 2 80 3 2 6 2 3 2" xfId="48859" xr:uid="{00000000-0005-0000-0000-0000F72F0000}"/>
    <cellStyle name="Millares 2 80 3 2 6 2 4" xfId="35297" xr:uid="{00000000-0005-0000-0000-0000F82F0000}"/>
    <cellStyle name="Millares 2 80 3 2 6 3" xfId="11550" xr:uid="{00000000-0005-0000-0000-0000F92F0000}"/>
    <cellStyle name="Millares 2 80 3 2 6 3 2" xfId="25118" xr:uid="{00000000-0005-0000-0000-0000FA2F0000}"/>
    <cellStyle name="Millares 2 80 3 2 6 3 2 2" xfId="52251" xr:uid="{00000000-0005-0000-0000-0000FB2F0000}"/>
    <cellStyle name="Millares 2 80 3 2 6 3 3" xfId="38689" xr:uid="{00000000-0005-0000-0000-0000FC2F0000}"/>
    <cellStyle name="Millares 2 80 3 2 6 4" xfId="18337" xr:uid="{00000000-0005-0000-0000-0000FD2F0000}"/>
    <cellStyle name="Millares 2 80 3 2 6 4 2" xfId="45470" xr:uid="{00000000-0005-0000-0000-0000FE2F0000}"/>
    <cellStyle name="Millares 2 80 3 2 6 5" xfId="31908" xr:uid="{00000000-0005-0000-0000-0000FF2F0000}"/>
    <cellStyle name="Millares 2 80 3 2 7" xfId="8135" xr:uid="{00000000-0005-0000-0000-000000300000}"/>
    <cellStyle name="Millares 2 80 3 2 7 2" xfId="14924" xr:uid="{00000000-0005-0000-0000-000001300000}"/>
    <cellStyle name="Millares 2 80 3 2 7 2 2" xfId="28492" xr:uid="{00000000-0005-0000-0000-000002300000}"/>
    <cellStyle name="Millares 2 80 3 2 7 2 2 2" xfId="55625" xr:uid="{00000000-0005-0000-0000-000003300000}"/>
    <cellStyle name="Millares 2 80 3 2 7 2 3" xfId="42063" xr:uid="{00000000-0005-0000-0000-000004300000}"/>
    <cellStyle name="Millares 2 80 3 2 7 3" xfId="21711" xr:uid="{00000000-0005-0000-0000-000005300000}"/>
    <cellStyle name="Millares 2 80 3 2 7 3 2" xfId="48844" xr:uid="{00000000-0005-0000-0000-000006300000}"/>
    <cellStyle name="Millares 2 80 3 2 7 4" xfId="35282" xr:uid="{00000000-0005-0000-0000-000007300000}"/>
    <cellStyle name="Millares 2 80 3 2 8" xfId="11535" xr:uid="{00000000-0005-0000-0000-000008300000}"/>
    <cellStyle name="Millares 2 80 3 2 8 2" xfId="25103" xr:uid="{00000000-0005-0000-0000-000009300000}"/>
    <cellStyle name="Millares 2 80 3 2 8 2 2" xfId="52236" xr:uid="{00000000-0005-0000-0000-00000A300000}"/>
    <cellStyle name="Millares 2 80 3 2 8 3" xfId="38674" xr:uid="{00000000-0005-0000-0000-00000B300000}"/>
    <cellStyle name="Millares 2 80 3 2 9" xfId="18322" xr:uid="{00000000-0005-0000-0000-00000C300000}"/>
    <cellStyle name="Millares 2 80 3 2 9 2" xfId="45455" xr:uid="{00000000-0005-0000-0000-00000D300000}"/>
    <cellStyle name="Millares 2 80 3 3" xfId="4542" xr:uid="{00000000-0005-0000-0000-00000E300000}"/>
    <cellStyle name="Millares 2 80 3 3 2" xfId="4543" xr:uid="{00000000-0005-0000-0000-00000F300000}"/>
    <cellStyle name="Millares 2 80 3 3 2 2" xfId="4544" xr:uid="{00000000-0005-0000-0000-000010300000}"/>
    <cellStyle name="Millares 2 80 3 3 2 2 2" xfId="8153" xr:uid="{00000000-0005-0000-0000-000011300000}"/>
    <cellStyle name="Millares 2 80 3 3 2 2 2 2" xfId="14942" xr:uid="{00000000-0005-0000-0000-000012300000}"/>
    <cellStyle name="Millares 2 80 3 3 2 2 2 2 2" xfId="28510" xr:uid="{00000000-0005-0000-0000-000013300000}"/>
    <cellStyle name="Millares 2 80 3 3 2 2 2 2 2 2" xfId="55643" xr:uid="{00000000-0005-0000-0000-000014300000}"/>
    <cellStyle name="Millares 2 80 3 3 2 2 2 2 3" xfId="42081" xr:uid="{00000000-0005-0000-0000-000015300000}"/>
    <cellStyle name="Millares 2 80 3 3 2 2 2 3" xfId="21729" xr:uid="{00000000-0005-0000-0000-000016300000}"/>
    <cellStyle name="Millares 2 80 3 3 2 2 2 3 2" xfId="48862" xr:uid="{00000000-0005-0000-0000-000017300000}"/>
    <cellStyle name="Millares 2 80 3 3 2 2 2 4" xfId="35300" xr:uid="{00000000-0005-0000-0000-000018300000}"/>
    <cellStyle name="Millares 2 80 3 3 2 2 3" xfId="11553" xr:uid="{00000000-0005-0000-0000-000019300000}"/>
    <cellStyle name="Millares 2 80 3 3 2 2 3 2" xfId="25121" xr:uid="{00000000-0005-0000-0000-00001A300000}"/>
    <cellStyle name="Millares 2 80 3 3 2 2 3 2 2" xfId="52254" xr:uid="{00000000-0005-0000-0000-00001B300000}"/>
    <cellStyle name="Millares 2 80 3 3 2 2 3 3" xfId="38692" xr:uid="{00000000-0005-0000-0000-00001C300000}"/>
    <cellStyle name="Millares 2 80 3 3 2 2 4" xfId="18340" xr:uid="{00000000-0005-0000-0000-00001D300000}"/>
    <cellStyle name="Millares 2 80 3 3 2 2 4 2" xfId="45473" xr:uid="{00000000-0005-0000-0000-00001E300000}"/>
    <cellStyle name="Millares 2 80 3 3 2 2 5" xfId="31911" xr:uid="{00000000-0005-0000-0000-00001F300000}"/>
    <cellStyle name="Millares 2 80 3 3 2 3" xfId="4545" xr:uid="{00000000-0005-0000-0000-000020300000}"/>
    <cellStyle name="Millares 2 80 3 3 2 3 2" xfId="8154" xr:uid="{00000000-0005-0000-0000-000021300000}"/>
    <cellStyle name="Millares 2 80 3 3 2 3 2 2" xfId="14943" xr:uid="{00000000-0005-0000-0000-000022300000}"/>
    <cellStyle name="Millares 2 80 3 3 2 3 2 2 2" xfId="28511" xr:uid="{00000000-0005-0000-0000-000023300000}"/>
    <cellStyle name="Millares 2 80 3 3 2 3 2 2 2 2" xfId="55644" xr:uid="{00000000-0005-0000-0000-000024300000}"/>
    <cellStyle name="Millares 2 80 3 3 2 3 2 2 3" xfId="42082" xr:uid="{00000000-0005-0000-0000-000025300000}"/>
    <cellStyle name="Millares 2 80 3 3 2 3 2 3" xfId="21730" xr:uid="{00000000-0005-0000-0000-000026300000}"/>
    <cellStyle name="Millares 2 80 3 3 2 3 2 3 2" xfId="48863" xr:uid="{00000000-0005-0000-0000-000027300000}"/>
    <cellStyle name="Millares 2 80 3 3 2 3 2 4" xfId="35301" xr:uid="{00000000-0005-0000-0000-000028300000}"/>
    <cellStyle name="Millares 2 80 3 3 2 3 3" xfId="11554" xr:uid="{00000000-0005-0000-0000-000029300000}"/>
    <cellStyle name="Millares 2 80 3 3 2 3 3 2" xfId="25122" xr:uid="{00000000-0005-0000-0000-00002A300000}"/>
    <cellStyle name="Millares 2 80 3 3 2 3 3 2 2" xfId="52255" xr:uid="{00000000-0005-0000-0000-00002B300000}"/>
    <cellStyle name="Millares 2 80 3 3 2 3 3 3" xfId="38693" xr:uid="{00000000-0005-0000-0000-00002C300000}"/>
    <cellStyle name="Millares 2 80 3 3 2 3 4" xfId="18341" xr:uid="{00000000-0005-0000-0000-00002D300000}"/>
    <cellStyle name="Millares 2 80 3 3 2 3 4 2" xfId="45474" xr:uid="{00000000-0005-0000-0000-00002E300000}"/>
    <cellStyle name="Millares 2 80 3 3 2 3 5" xfId="31912" xr:uid="{00000000-0005-0000-0000-00002F300000}"/>
    <cellStyle name="Millares 2 80 3 3 2 4" xfId="8152" xr:uid="{00000000-0005-0000-0000-000030300000}"/>
    <cellStyle name="Millares 2 80 3 3 2 4 2" xfId="14941" xr:uid="{00000000-0005-0000-0000-000031300000}"/>
    <cellStyle name="Millares 2 80 3 3 2 4 2 2" xfId="28509" xr:uid="{00000000-0005-0000-0000-000032300000}"/>
    <cellStyle name="Millares 2 80 3 3 2 4 2 2 2" xfId="55642" xr:uid="{00000000-0005-0000-0000-000033300000}"/>
    <cellStyle name="Millares 2 80 3 3 2 4 2 3" xfId="42080" xr:uid="{00000000-0005-0000-0000-000034300000}"/>
    <cellStyle name="Millares 2 80 3 3 2 4 3" xfId="21728" xr:uid="{00000000-0005-0000-0000-000035300000}"/>
    <cellStyle name="Millares 2 80 3 3 2 4 3 2" xfId="48861" xr:uid="{00000000-0005-0000-0000-000036300000}"/>
    <cellStyle name="Millares 2 80 3 3 2 4 4" xfId="35299" xr:uid="{00000000-0005-0000-0000-000037300000}"/>
    <cellStyle name="Millares 2 80 3 3 2 5" xfId="11552" xr:uid="{00000000-0005-0000-0000-000038300000}"/>
    <cellStyle name="Millares 2 80 3 3 2 5 2" xfId="25120" xr:uid="{00000000-0005-0000-0000-000039300000}"/>
    <cellStyle name="Millares 2 80 3 3 2 5 2 2" xfId="52253" xr:uid="{00000000-0005-0000-0000-00003A300000}"/>
    <cellStyle name="Millares 2 80 3 3 2 5 3" xfId="38691" xr:uid="{00000000-0005-0000-0000-00003B300000}"/>
    <cellStyle name="Millares 2 80 3 3 2 6" xfId="18339" xr:uid="{00000000-0005-0000-0000-00003C300000}"/>
    <cellStyle name="Millares 2 80 3 3 2 6 2" xfId="45472" xr:uid="{00000000-0005-0000-0000-00003D300000}"/>
    <cellStyle name="Millares 2 80 3 3 2 7" xfId="31910" xr:uid="{00000000-0005-0000-0000-00003E300000}"/>
    <cellStyle name="Millares 2 80 3 3 3" xfId="4546" xr:uid="{00000000-0005-0000-0000-00003F300000}"/>
    <cellStyle name="Millares 2 80 3 3 3 2" xfId="4547" xr:uid="{00000000-0005-0000-0000-000040300000}"/>
    <cellStyle name="Millares 2 80 3 3 3 2 2" xfId="8156" xr:uid="{00000000-0005-0000-0000-000041300000}"/>
    <cellStyle name="Millares 2 80 3 3 3 2 2 2" xfId="14945" xr:uid="{00000000-0005-0000-0000-000042300000}"/>
    <cellStyle name="Millares 2 80 3 3 3 2 2 2 2" xfId="28513" xr:uid="{00000000-0005-0000-0000-000043300000}"/>
    <cellStyle name="Millares 2 80 3 3 3 2 2 2 2 2" xfId="55646" xr:uid="{00000000-0005-0000-0000-000044300000}"/>
    <cellStyle name="Millares 2 80 3 3 3 2 2 2 3" xfId="42084" xr:uid="{00000000-0005-0000-0000-000045300000}"/>
    <cellStyle name="Millares 2 80 3 3 3 2 2 3" xfId="21732" xr:uid="{00000000-0005-0000-0000-000046300000}"/>
    <cellStyle name="Millares 2 80 3 3 3 2 2 3 2" xfId="48865" xr:uid="{00000000-0005-0000-0000-000047300000}"/>
    <cellStyle name="Millares 2 80 3 3 3 2 2 4" xfId="35303" xr:uid="{00000000-0005-0000-0000-000048300000}"/>
    <cellStyle name="Millares 2 80 3 3 3 2 3" xfId="11556" xr:uid="{00000000-0005-0000-0000-000049300000}"/>
    <cellStyle name="Millares 2 80 3 3 3 2 3 2" xfId="25124" xr:uid="{00000000-0005-0000-0000-00004A300000}"/>
    <cellStyle name="Millares 2 80 3 3 3 2 3 2 2" xfId="52257" xr:uid="{00000000-0005-0000-0000-00004B300000}"/>
    <cellStyle name="Millares 2 80 3 3 3 2 3 3" xfId="38695" xr:uid="{00000000-0005-0000-0000-00004C300000}"/>
    <cellStyle name="Millares 2 80 3 3 3 2 4" xfId="18343" xr:uid="{00000000-0005-0000-0000-00004D300000}"/>
    <cellStyle name="Millares 2 80 3 3 3 2 4 2" xfId="45476" xr:uid="{00000000-0005-0000-0000-00004E300000}"/>
    <cellStyle name="Millares 2 80 3 3 3 2 5" xfId="31914" xr:uid="{00000000-0005-0000-0000-00004F300000}"/>
    <cellStyle name="Millares 2 80 3 3 3 3" xfId="8155" xr:uid="{00000000-0005-0000-0000-000050300000}"/>
    <cellStyle name="Millares 2 80 3 3 3 3 2" xfId="14944" xr:uid="{00000000-0005-0000-0000-000051300000}"/>
    <cellStyle name="Millares 2 80 3 3 3 3 2 2" xfId="28512" xr:uid="{00000000-0005-0000-0000-000052300000}"/>
    <cellStyle name="Millares 2 80 3 3 3 3 2 2 2" xfId="55645" xr:uid="{00000000-0005-0000-0000-000053300000}"/>
    <cellStyle name="Millares 2 80 3 3 3 3 2 3" xfId="42083" xr:uid="{00000000-0005-0000-0000-000054300000}"/>
    <cellStyle name="Millares 2 80 3 3 3 3 3" xfId="21731" xr:uid="{00000000-0005-0000-0000-000055300000}"/>
    <cellStyle name="Millares 2 80 3 3 3 3 3 2" xfId="48864" xr:uid="{00000000-0005-0000-0000-000056300000}"/>
    <cellStyle name="Millares 2 80 3 3 3 3 4" xfId="35302" xr:uid="{00000000-0005-0000-0000-000057300000}"/>
    <cellStyle name="Millares 2 80 3 3 3 4" xfId="11555" xr:uid="{00000000-0005-0000-0000-000058300000}"/>
    <cellStyle name="Millares 2 80 3 3 3 4 2" xfId="25123" xr:uid="{00000000-0005-0000-0000-000059300000}"/>
    <cellStyle name="Millares 2 80 3 3 3 4 2 2" xfId="52256" xr:uid="{00000000-0005-0000-0000-00005A300000}"/>
    <cellStyle name="Millares 2 80 3 3 3 4 3" xfId="38694" xr:uid="{00000000-0005-0000-0000-00005B300000}"/>
    <cellStyle name="Millares 2 80 3 3 3 5" xfId="18342" xr:uid="{00000000-0005-0000-0000-00005C300000}"/>
    <cellStyle name="Millares 2 80 3 3 3 5 2" xfId="45475" xr:uid="{00000000-0005-0000-0000-00005D300000}"/>
    <cellStyle name="Millares 2 80 3 3 3 6" xfId="31913" xr:uid="{00000000-0005-0000-0000-00005E300000}"/>
    <cellStyle name="Millares 2 80 3 3 4" xfId="4548" xr:uid="{00000000-0005-0000-0000-00005F300000}"/>
    <cellStyle name="Millares 2 80 3 3 4 2" xfId="8157" xr:uid="{00000000-0005-0000-0000-000060300000}"/>
    <cellStyle name="Millares 2 80 3 3 4 2 2" xfId="14946" xr:uid="{00000000-0005-0000-0000-000061300000}"/>
    <cellStyle name="Millares 2 80 3 3 4 2 2 2" xfId="28514" xr:uid="{00000000-0005-0000-0000-000062300000}"/>
    <cellStyle name="Millares 2 80 3 3 4 2 2 2 2" xfId="55647" xr:uid="{00000000-0005-0000-0000-000063300000}"/>
    <cellStyle name="Millares 2 80 3 3 4 2 2 3" xfId="42085" xr:uid="{00000000-0005-0000-0000-000064300000}"/>
    <cellStyle name="Millares 2 80 3 3 4 2 3" xfId="21733" xr:uid="{00000000-0005-0000-0000-000065300000}"/>
    <cellStyle name="Millares 2 80 3 3 4 2 3 2" xfId="48866" xr:uid="{00000000-0005-0000-0000-000066300000}"/>
    <cellStyle name="Millares 2 80 3 3 4 2 4" xfId="35304" xr:uid="{00000000-0005-0000-0000-000067300000}"/>
    <cellStyle name="Millares 2 80 3 3 4 3" xfId="11557" xr:uid="{00000000-0005-0000-0000-000068300000}"/>
    <cellStyle name="Millares 2 80 3 3 4 3 2" xfId="25125" xr:uid="{00000000-0005-0000-0000-000069300000}"/>
    <cellStyle name="Millares 2 80 3 3 4 3 2 2" xfId="52258" xr:uid="{00000000-0005-0000-0000-00006A300000}"/>
    <cellStyle name="Millares 2 80 3 3 4 3 3" xfId="38696" xr:uid="{00000000-0005-0000-0000-00006B300000}"/>
    <cellStyle name="Millares 2 80 3 3 4 4" xfId="18344" xr:uid="{00000000-0005-0000-0000-00006C300000}"/>
    <cellStyle name="Millares 2 80 3 3 4 4 2" xfId="45477" xr:uid="{00000000-0005-0000-0000-00006D300000}"/>
    <cellStyle name="Millares 2 80 3 3 4 5" xfId="31915" xr:uid="{00000000-0005-0000-0000-00006E300000}"/>
    <cellStyle name="Millares 2 80 3 3 5" xfId="4549" xr:uid="{00000000-0005-0000-0000-00006F300000}"/>
    <cellStyle name="Millares 2 80 3 3 5 2" xfId="8158" xr:uid="{00000000-0005-0000-0000-000070300000}"/>
    <cellStyle name="Millares 2 80 3 3 5 2 2" xfId="14947" xr:uid="{00000000-0005-0000-0000-000071300000}"/>
    <cellStyle name="Millares 2 80 3 3 5 2 2 2" xfId="28515" xr:uid="{00000000-0005-0000-0000-000072300000}"/>
    <cellStyle name="Millares 2 80 3 3 5 2 2 2 2" xfId="55648" xr:uid="{00000000-0005-0000-0000-000073300000}"/>
    <cellStyle name="Millares 2 80 3 3 5 2 2 3" xfId="42086" xr:uid="{00000000-0005-0000-0000-000074300000}"/>
    <cellStyle name="Millares 2 80 3 3 5 2 3" xfId="21734" xr:uid="{00000000-0005-0000-0000-000075300000}"/>
    <cellStyle name="Millares 2 80 3 3 5 2 3 2" xfId="48867" xr:uid="{00000000-0005-0000-0000-000076300000}"/>
    <cellStyle name="Millares 2 80 3 3 5 2 4" xfId="35305" xr:uid="{00000000-0005-0000-0000-000077300000}"/>
    <cellStyle name="Millares 2 80 3 3 5 3" xfId="11558" xr:uid="{00000000-0005-0000-0000-000078300000}"/>
    <cellStyle name="Millares 2 80 3 3 5 3 2" xfId="25126" xr:uid="{00000000-0005-0000-0000-000079300000}"/>
    <cellStyle name="Millares 2 80 3 3 5 3 2 2" xfId="52259" xr:uid="{00000000-0005-0000-0000-00007A300000}"/>
    <cellStyle name="Millares 2 80 3 3 5 3 3" xfId="38697" xr:uid="{00000000-0005-0000-0000-00007B300000}"/>
    <cellStyle name="Millares 2 80 3 3 5 4" xfId="18345" xr:uid="{00000000-0005-0000-0000-00007C300000}"/>
    <cellStyle name="Millares 2 80 3 3 5 4 2" xfId="45478" xr:uid="{00000000-0005-0000-0000-00007D300000}"/>
    <cellStyle name="Millares 2 80 3 3 5 5" xfId="31916" xr:uid="{00000000-0005-0000-0000-00007E300000}"/>
    <cellStyle name="Millares 2 80 3 3 6" xfId="8151" xr:uid="{00000000-0005-0000-0000-00007F300000}"/>
    <cellStyle name="Millares 2 80 3 3 6 2" xfId="14940" xr:uid="{00000000-0005-0000-0000-000080300000}"/>
    <cellStyle name="Millares 2 80 3 3 6 2 2" xfId="28508" xr:uid="{00000000-0005-0000-0000-000081300000}"/>
    <cellStyle name="Millares 2 80 3 3 6 2 2 2" xfId="55641" xr:uid="{00000000-0005-0000-0000-000082300000}"/>
    <cellStyle name="Millares 2 80 3 3 6 2 3" xfId="42079" xr:uid="{00000000-0005-0000-0000-000083300000}"/>
    <cellStyle name="Millares 2 80 3 3 6 3" xfId="21727" xr:uid="{00000000-0005-0000-0000-000084300000}"/>
    <cellStyle name="Millares 2 80 3 3 6 3 2" xfId="48860" xr:uid="{00000000-0005-0000-0000-000085300000}"/>
    <cellStyle name="Millares 2 80 3 3 6 4" xfId="35298" xr:uid="{00000000-0005-0000-0000-000086300000}"/>
    <cellStyle name="Millares 2 80 3 3 7" xfId="11551" xr:uid="{00000000-0005-0000-0000-000087300000}"/>
    <cellStyle name="Millares 2 80 3 3 7 2" xfId="25119" xr:uid="{00000000-0005-0000-0000-000088300000}"/>
    <cellStyle name="Millares 2 80 3 3 7 2 2" xfId="52252" xr:uid="{00000000-0005-0000-0000-000089300000}"/>
    <cellStyle name="Millares 2 80 3 3 7 3" xfId="38690" xr:uid="{00000000-0005-0000-0000-00008A300000}"/>
    <cellStyle name="Millares 2 80 3 3 8" xfId="18338" xr:uid="{00000000-0005-0000-0000-00008B300000}"/>
    <cellStyle name="Millares 2 80 3 3 8 2" xfId="45471" xr:uid="{00000000-0005-0000-0000-00008C300000}"/>
    <cellStyle name="Millares 2 80 3 3 9" xfId="31909" xr:uid="{00000000-0005-0000-0000-00008D300000}"/>
    <cellStyle name="Millares 2 80 3 4" xfId="4550" xr:uid="{00000000-0005-0000-0000-00008E300000}"/>
    <cellStyle name="Millares 2 80 3 4 2" xfId="4551" xr:uid="{00000000-0005-0000-0000-00008F300000}"/>
    <cellStyle name="Millares 2 80 3 4 2 2" xfId="4552" xr:uid="{00000000-0005-0000-0000-000090300000}"/>
    <cellStyle name="Millares 2 80 3 4 2 2 2" xfId="8161" xr:uid="{00000000-0005-0000-0000-000091300000}"/>
    <cellStyle name="Millares 2 80 3 4 2 2 2 2" xfId="14950" xr:uid="{00000000-0005-0000-0000-000092300000}"/>
    <cellStyle name="Millares 2 80 3 4 2 2 2 2 2" xfId="28518" xr:uid="{00000000-0005-0000-0000-000093300000}"/>
    <cellStyle name="Millares 2 80 3 4 2 2 2 2 2 2" xfId="55651" xr:uid="{00000000-0005-0000-0000-000094300000}"/>
    <cellStyle name="Millares 2 80 3 4 2 2 2 2 3" xfId="42089" xr:uid="{00000000-0005-0000-0000-000095300000}"/>
    <cellStyle name="Millares 2 80 3 4 2 2 2 3" xfId="21737" xr:uid="{00000000-0005-0000-0000-000096300000}"/>
    <cellStyle name="Millares 2 80 3 4 2 2 2 3 2" xfId="48870" xr:uid="{00000000-0005-0000-0000-000097300000}"/>
    <cellStyle name="Millares 2 80 3 4 2 2 2 4" xfId="35308" xr:uid="{00000000-0005-0000-0000-000098300000}"/>
    <cellStyle name="Millares 2 80 3 4 2 2 3" xfId="11561" xr:uid="{00000000-0005-0000-0000-000099300000}"/>
    <cellStyle name="Millares 2 80 3 4 2 2 3 2" xfId="25129" xr:uid="{00000000-0005-0000-0000-00009A300000}"/>
    <cellStyle name="Millares 2 80 3 4 2 2 3 2 2" xfId="52262" xr:uid="{00000000-0005-0000-0000-00009B300000}"/>
    <cellStyle name="Millares 2 80 3 4 2 2 3 3" xfId="38700" xr:uid="{00000000-0005-0000-0000-00009C300000}"/>
    <cellStyle name="Millares 2 80 3 4 2 2 4" xfId="18348" xr:uid="{00000000-0005-0000-0000-00009D300000}"/>
    <cellStyle name="Millares 2 80 3 4 2 2 4 2" xfId="45481" xr:uid="{00000000-0005-0000-0000-00009E300000}"/>
    <cellStyle name="Millares 2 80 3 4 2 2 5" xfId="31919" xr:uid="{00000000-0005-0000-0000-00009F300000}"/>
    <cellStyle name="Millares 2 80 3 4 2 3" xfId="4553" xr:uid="{00000000-0005-0000-0000-0000A0300000}"/>
    <cellStyle name="Millares 2 80 3 4 2 3 2" xfId="8162" xr:uid="{00000000-0005-0000-0000-0000A1300000}"/>
    <cellStyle name="Millares 2 80 3 4 2 3 2 2" xfId="14951" xr:uid="{00000000-0005-0000-0000-0000A2300000}"/>
    <cellStyle name="Millares 2 80 3 4 2 3 2 2 2" xfId="28519" xr:uid="{00000000-0005-0000-0000-0000A3300000}"/>
    <cellStyle name="Millares 2 80 3 4 2 3 2 2 2 2" xfId="55652" xr:uid="{00000000-0005-0000-0000-0000A4300000}"/>
    <cellStyle name="Millares 2 80 3 4 2 3 2 2 3" xfId="42090" xr:uid="{00000000-0005-0000-0000-0000A5300000}"/>
    <cellStyle name="Millares 2 80 3 4 2 3 2 3" xfId="21738" xr:uid="{00000000-0005-0000-0000-0000A6300000}"/>
    <cellStyle name="Millares 2 80 3 4 2 3 2 3 2" xfId="48871" xr:uid="{00000000-0005-0000-0000-0000A7300000}"/>
    <cellStyle name="Millares 2 80 3 4 2 3 2 4" xfId="35309" xr:uid="{00000000-0005-0000-0000-0000A8300000}"/>
    <cellStyle name="Millares 2 80 3 4 2 3 3" xfId="11562" xr:uid="{00000000-0005-0000-0000-0000A9300000}"/>
    <cellStyle name="Millares 2 80 3 4 2 3 3 2" xfId="25130" xr:uid="{00000000-0005-0000-0000-0000AA300000}"/>
    <cellStyle name="Millares 2 80 3 4 2 3 3 2 2" xfId="52263" xr:uid="{00000000-0005-0000-0000-0000AB300000}"/>
    <cellStyle name="Millares 2 80 3 4 2 3 3 3" xfId="38701" xr:uid="{00000000-0005-0000-0000-0000AC300000}"/>
    <cellStyle name="Millares 2 80 3 4 2 3 4" xfId="18349" xr:uid="{00000000-0005-0000-0000-0000AD300000}"/>
    <cellStyle name="Millares 2 80 3 4 2 3 4 2" xfId="45482" xr:uid="{00000000-0005-0000-0000-0000AE300000}"/>
    <cellStyle name="Millares 2 80 3 4 2 3 5" xfId="31920" xr:uid="{00000000-0005-0000-0000-0000AF300000}"/>
    <cellStyle name="Millares 2 80 3 4 2 4" xfId="8160" xr:uid="{00000000-0005-0000-0000-0000B0300000}"/>
    <cellStyle name="Millares 2 80 3 4 2 4 2" xfId="14949" xr:uid="{00000000-0005-0000-0000-0000B1300000}"/>
    <cellStyle name="Millares 2 80 3 4 2 4 2 2" xfId="28517" xr:uid="{00000000-0005-0000-0000-0000B2300000}"/>
    <cellStyle name="Millares 2 80 3 4 2 4 2 2 2" xfId="55650" xr:uid="{00000000-0005-0000-0000-0000B3300000}"/>
    <cellStyle name="Millares 2 80 3 4 2 4 2 3" xfId="42088" xr:uid="{00000000-0005-0000-0000-0000B4300000}"/>
    <cellStyle name="Millares 2 80 3 4 2 4 3" xfId="21736" xr:uid="{00000000-0005-0000-0000-0000B5300000}"/>
    <cellStyle name="Millares 2 80 3 4 2 4 3 2" xfId="48869" xr:uid="{00000000-0005-0000-0000-0000B6300000}"/>
    <cellStyle name="Millares 2 80 3 4 2 4 4" xfId="35307" xr:uid="{00000000-0005-0000-0000-0000B7300000}"/>
    <cellStyle name="Millares 2 80 3 4 2 5" xfId="11560" xr:uid="{00000000-0005-0000-0000-0000B8300000}"/>
    <cellStyle name="Millares 2 80 3 4 2 5 2" xfId="25128" xr:uid="{00000000-0005-0000-0000-0000B9300000}"/>
    <cellStyle name="Millares 2 80 3 4 2 5 2 2" xfId="52261" xr:uid="{00000000-0005-0000-0000-0000BA300000}"/>
    <cellStyle name="Millares 2 80 3 4 2 5 3" xfId="38699" xr:uid="{00000000-0005-0000-0000-0000BB300000}"/>
    <cellStyle name="Millares 2 80 3 4 2 6" xfId="18347" xr:uid="{00000000-0005-0000-0000-0000BC300000}"/>
    <cellStyle name="Millares 2 80 3 4 2 6 2" xfId="45480" xr:uid="{00000000-0005-0000-0000-0000BD300000}"/>
    <cellStyle name="Millares 2 80 3 4 2 7" xfId="31918" xr:uid="{00000000-0005-0000-0000-0000BE300000}"/>
    <cellStyle name="Millares 2 80 3 4 3" xfId="4554" xr:uid="{00000000-0005-0000-0000-0000BF300000}"/>
    <cellStyle name="Millares 2 80 3 4 3 2" xfId="8163" xr:uid="{00000000-0005-0000-0000-0000C0300000}"/>
    <cellStyle name="Millares 2 80 3 4 3 2 2" xfId="14952" xr:uid="{00000000-0005-0000-0000-0000C1300000}"/>
    <cellStyle name="Millares 2 80 3 4 3 2 2 2" xfId="28520" xr:uid="{00000000-0005-0000-0000-0000C2300000}"/>
    <cellStyle name="Millares 2 80 3 4 3 2 2 2 2" xfId="55653" xr:uid="{00000000-0005-0000-0000-0000C3300000}"/>
    <cellStyle name="Millares 2 80 3 4 3 2 2 3" xfId="42091" xr:uid="{00000000-0005-0000-0000-0000C4300000}"/>
    <cellStyle name="Millares 2 80 3 4 3 2 3" xfId="21739" xr:uid="{00000000-0005-0000-0000-0000C5300000}"/>
    <cellStyle name="Millares 2 80 3 4 3 2 3 2" xfId="48872" xr:uid="{00000000-0005-0000-0000-0000C6300000}"/>
    <cellStyle name="Millares 2 80 3 4 3 2 4" xfId="35310" xr:uid="{00000000-0005-0000-0000-0000C7300000}"/>
    <cellStyle name="Millares 2 80 3 4 3 3" xfId="11563" xr:uid="{00000000-0005-0000-0000-0000C8300000}"/>
    <cellStyle name="Millares 2 80 3 4 3 3 2" xfId="25131" xr:uid="{00000000-0005-0000-0000-0000C9300000}"/>
    <cellStyle name="Millares 2 80 3 4 3 3 2 2" xfId="52264" xr:uid="{00000000-0005-0000-0000-0000CA300000}"/>
    <cellStyle name="Millares 2 80 3 4 3 3 3" xfId="38702" xr:uid="{00000000-0005-0000-0000-0000CB300000}"/>
    <cellStyle name="Millares 2 80 3 4 3 4" xfId="18350" xr:uid="{00000000-0005-0000-0000-0000CC300000}"/>
    <cellStyle name="Millares 2 80 3 4 3 4 2" xfId="45483" xr:uid="{00000000-0005-0000-0000-0000CD300000}"/>
    <cellStyle name="Millares 2 80 3 4 3 5" xfId="31921" xr:uid="{00000000-0005-0000-0000-0000CE300000}"/>
    <cellStyle name="Millares 2 80 3 4 4" xfId="4555" xr:uid="{00000000-0005-0000-0000-0000CF300000}"/>
    <cellStyle name="Millares 2 80 3 4 4 2" xfId="8164" xr:uid="{00000000-0005-0000-0000-0000D0300000}"/>
    <cellStyle name="Millares 2 80 3 4 4 2 2" xfId="14953" xr:uid="{00000000-0005-0000-0000-0000D1300000}"/>
    <cellStyle name="Millares 2 80 3 4 4 2 2 2" xfId="28521" xr:uid="{00000000-0005-0000-0000-0000D2300000}"/>
    <cellStyle name="Millares 2 80 3 4 4 2 2 2 2" xfId="55654" xr:uid="{00000000-0005-0000-0000-0000D3300000}"/>
    <cellStyle name="Millares 2 80 3 4 4 2 2 3" xfId="42092" xr:uid="{00000000-0005-0000-0000-0000D4300000}"/>
    <cellStyle name="Millares 2 80 3 4 4 2 3" xfId="21740" xr:uid="{00000000-0005-0000-0000-0000D5300000}"/>
    <cellStyle name="Millares 2 80 3 4 4 2 3 2" xfId="48873" xr:uid="{00000000-0005-0000-0000-0000D6300000}"/>
    <cellStyle name="Millares 2 80 3 4 4 2 4" xfId="35311" xr:uid="{00000000-0005-0000-0000-0000D7300000}"/>
    <cellStyle name="Millares 2 80 3 4 4 3" xfId="11564" xr:uid="{00000000-0005-0000-0000-0000D8300000}"/>
    <cellStyle name="Millares 2 80 3 4 4 3 2" xfId="25132" xr:uid="{00000000-0005-0000-0000-0000D9300000}"/>
    <cellStyle name="Millares 2 80 3 4 4 3 2 2" xfId="52265" xr:uid="{00000000-0005-0000-0000-0000DA300000}"/>
    <cellStyle name="Millares 2 80 3 4 4 3 3" xfId="38703" xr:uid="{00000000-0005-0000-0000-0000DB300000}"/>
    <cellStyle name="Millares 2 80 3 4 4 4" xfId="18351" xr:uid="{00000000-0005-0000-0000-0000DC300000}"/>
    <cellStyle name="Millares 2 80 3 4 4 4 2" xfId="45484" xr:uid="{00000000-0005-0000-0000-0000DD300000}"/>
    <cellStyle name="Millares 2 80 3 4 4 5" xfId="31922" xr:uid="{00000000-0005-0000-0000-0000DE300000}"/>
    <cellStyle name="Millares 2 80 3 4 5" xfId="8159" xr:uid="{00000000-0005-0000-0000-0000DF300000}"/>
    <cellStyle name="Millares 2 80 3 4 5 2" xfId="14948" xr:uid="{00000000-0005-0000-0000-0000E0300000}"/>
    <cellStyle name="Millares 2 80 3 4 5 2 2" xfId="28516" xr:uid="{00000000-0005-0000-0000-0000E1300000}"/>
    <cellStyle name="Millares 2 80 3 4 5 2 2 2" xfId="55649" xr:uid="{00000000-0005-0000-0000-0000E2300000}"/>
    <cellStyle name="Millares 2 80 3 4 5 2 3" xfId="42087" xr:uid="{00000000-0005-0000-0000-0000E3300000}"/>
    <cellStyle name="Millares 2 80 3 4 5 3" xfId="21735" xr:uid="{00000000-0005-0000-0000-0000E4300000}"/>
    <cellStyle name="Millares 2 80 3 4 5 3 2" xfId="48868" xr:uid="{00000000-0005-0000-0000-0000E5300000}"/>
    <cellStyle name="Millares 2 80 3 4 5 4" xfId="35306" xr:uid="{00000000-0005-0000-0000-0000E6300000}"/>
    <cellStyle name="Millares 2 80 3 4 6" xfId="11559" xr:uid="{00000000-0005-0000-0000-0000E7300000}"/>
    <cellStyle name="Millares 2 80 3 4 6 2" xfId="25127" xr:uid="{00000000-0005-0000-0000-0000E8300000}"/>
    <cellStyle name="Millares 2 80 3 4 6 2 2" xfId="52260" xr:uid="{00000000-0005-0000-0000-0000E9300000}"/>
    <cellStyle name="Millares 2 80 3 4 6 3" xfId="38698" xr:uid="{00000000-0005-0000-0000-0000EA300000}"/>
    <cellStyle name="Millares 2 80 3 4 7" xfId="18346" xr:uid="{00000000-0005-0000-0000-0000EB300000}"/>
    <cellStyle name="Millares 2 80 3 4 7 2" xfId="45479" xr:uid="{00000000-0005-0000-0000-0000EC300000}"/>
    <cellStyle name="Millares 2 80 3 4 8" xfId="31917" xr:uid="{00000000-0005-0000-0000-0000ED300000}"/>
    <cellStyle name="Millares 2 80 3 5" xfId="4556" xr:uid="{00000000-0005-0000-0000-0000EE300000}"/>
    <cellStyle name="Millares 2 80 3 5 2" xfId="4557" xr:uid="{00000000-0005-0000-0000-0000EF300000}"/>
    <cellStyle name="Millares 2 80 3 5 2 2" xfId="4558" xr:uid="{00000000-0005-0000-0000-0000F0300000}"/>
    <cellStyle name="Millares 2 80 3 5 2 2 2" xfId="8167" xr:uid="{00000000-0005-0000-0000-0000F1300000}"/>
    <cellStyle name="Millares 2 80 3 5 2 2 2 2" xfId="14956" xr:uid="{00000000-0005-0000-0000-0000F2300000}"/>
    <cellStyle name="Millares 2 80 3 5 2 2 2 2 2" xfId="28524" xr:uid="{00000000-0005-0000-0000-0000F3300000}"/>
    <cellStyle name="Millares 2 80 3 5 2 2 2 2 2 2" xfId="55657" xr:uid="{00000000-0005-0000-0000-0000F4300000}"/>
    <cellStyle name="Millares 2 80 3 5 2 2 2 2 3" xfId="42095" xr:uid="{00000000-0005-0000-0000-0000F5300000}"/>
    <cellStyle name="Millares 2 80 3 5 2 2 2 3" xfId="21743" xr:uid="{00000000-0005-0000-0000-0000F6300000}"/>
    <cellStyle name="Millares 2 80 3 5 2 2 2 3 2" xfId="48876" xr:uid="{00000000-0005-0000-0000-0000F7300000}"/>
    <cellStyle name="Millares 2 80 3 5 2 2 2 4" xfId="35314" xr:uid="{00000000-0005-0000-0000-0000F8300000}"/>
    <cellStyle name="Millares 2 80 3 5 2 2 3" xfId="11567" xr:uid="{00000000-0005-0000-0000-0000F9300000}"/>
    <cellStyle name="Millares 2 80 3 5 2 2 3 2" xfId="25135" xr:uid="{00000000-0005-0000-0000-0000FA300000}"/>
    <cellStyle name="Millares 2 80 3 5 2 2 3 2 2" xfId="52268" xr:uid="{00000000-0005-0000-0000-0000FB300000}"/>
    <cellStyle name="Millares 2 80 3 5 2 2 3 3" xfId="38706" xr:uid="{00000000-0005-0000-0000-0000FC300000}"/>
    <cellStyle name="Millares 2 80 3 5 2 2 4" xfId="18354" xr:uid="{00000000-0005-0000-0000-0000FD300000}"/>
    <cellStyle name="Millares 2 80 3 5 2 2 4 2" xfId="45487" xr:uid="{00000000-0005-0000-0000-0000FE300000}"/>
    <cellStyle name="Millares 2 80 3 5 2 2 5" xfId="31925" xr:uid="{00000000-0005-0000-0000-0000FF300000}"/>
    <cellStyle name="Millares 2 80 3 5 2 3" xfId="4559" xr:uid="{00000000-0005-0000-0000-000000310000}"/>
    <cellStyle name="Millares 2 80 3 5 2 3 2" xfId="8168" xr:uid="{00000000-0005-0000-0000-000001310000}"/>
    <cellStyle name="Millares 2 80 3 5 2 3 2 2" xfId="14957" xr:uid="{00000000-0005-0000-0000-000002310000}"/>
    <cellStyle name="Millares 2 80 3 5 2 3 2 2 2" xfId="28525" xr:uid="{00000000-0005-0000-0000-000003310000}"/>
    <cellStyle name="Millares 2 80 3 5 2 3 2 2 2 2" xfId="55658" xr:uid="{00000000-0005-0000-0000-000004310000}"/>
    <cellStyle name="Millares 2 80 3 5 2 3 2 2 3" xfId="42096" xr:uid="{00000000-0005-0000-0000-000005310000}"/>
    <cellStyle name="Millares 2 80 3 5 2 3 2 3" xfId="21744" xr:uid="{00000000-0005-0000-0000-000006310000}"/>
    <cellStyle name="Millares 2 80 3 5 2 3 2 3 2" xfId="48877" xr:uid="{00000000-0005-0000-0000-000007310000}"/>
    <cellStyle name="Millares 2 80 3 5 2 3 2 4" xfId="35315" xr:uid="{00000000-0005-0000-0000-000008310000}"/>
    <cellStyle name="Millares 2 80 3 5 2 3 3" xfId="11568" xr:uid="{00000000-0005-0000-0000-000009310000}"/>
    <cellStyle name="Millares 2 80 3 5 2 3 3 2" xfId="25136" xr:uid="{00000000-0005-0000-0000-00000A310000}"/>
    <cellStyle name="Millares 2 80 3 5 2 3 3 2 2" xfId="52269" xr:uid="{00000000-0005-0000-0000-00000B310000}"/>
    <cellStyle name="Millares 2 80 3 5 2 3 3 3" xfId="38707" xr:uid="{00000000-0005-0000-0000-00000C310000}"/>
    <cellStyle name="Millares 2 80 3 5 2 3 4" xfId="18355" xr:uid="{00000000-0005-0000-0000-00000D310000}"/>
    <cellStyle name="Millares 2 80 3 5 2 3 4 2" xfId="45488" xr:uid="{00000000-0005-0000-0000-00000E310000}"/>
    <cellStyle name="Millares 2 80 3 5 2 3 5" xfId="31926" xr:uid="{00000000-0005-0000-0000-00000F310000}"/>
    <cellStyle name="Millares 2 80 3 5 2 4" xfId="8166" xr:uid="{00000000-0005-0000-0000-000010310000}"/>
    <cellStyle name="Millares 2 80 3 5 2 4 2" xfId="14955" xr:uid="{00000000-0005-0000-0000-000011310000}"/>
    <cellStyle name="Millares 2 80 3 5 2 4 2 2" xfId="28523" xr:uid="{00000000-0005-0000-0000-000012310000}"/>
    <cellStyle name="Millares 2 80 3 5 2 4 2 2 2" xfId="55656" xr:uid="{00000000-0005-0000-0000-000013310000}"/>
    <cellStyle name="Millares 2 80 3 5 2 4 2 3" xfId="42094" xr:uid="{00000000-0005-0000-0000-000014310000}"/>
    <cellStyle name="Millares 2 80 3 5 2 4 3" xfId="21742" xr:uid="{00000000-0005-0000-0000-000015310000}"/>
    <cellStyle name="Millares 2 80 3 5 2 4 3 2" xfId="48875" xr:uid="{00000000-0005-0000-0000-000016310000}"/>
    <cellStyle name="Millares 2 80 3 5 2 4 4" xfId="35313" xr:uid="{00000000-0005-0000-0000-000017310000}"/>
    <cellStyle name="Millares 2 80 3 5 2 5" xfId="11566" xr:uid="{00000000-0005-0000-0000-000018310000}"/>
    <cellStyle name="Millares 2 80 3 5 2 5 2" xfId="25134" xr:uid="{00000000-0005-0000-0000-000019310000}"/>
    <cellStyle name="Millares 2 80 3 5 2 5 2 2" xfId="52267" xr:uid="{00000000-0005-0000-0000-00001A310000}"/>
    <cellStyle name="Millares 2 80 3 5 2 5 3" xfId="38705" xr:uid="{00000000-0005-0000-0000-00001B310000}"/>
    <cellStyle name="Millares 2 80 3 5 2 6" xfId="18353" xr:uid="{00000000-0005-0000-0000-00001C310000}"/>
    <cellStyle name="Millares 2 80 3 5 2 6 2" xfId="45486" xr:uid="{00000000-0005-0000-0000-00001D310000}"/>
    <cellStyle name="Millares 2 80 3 5 2 7" xfId="31924" xr:uid="{00000000-0005-0000-0000-00001E310000}"/>
    <cellStyle name="Millares 2 80 3 5 3" xfId="4560" xr:uid="{00000000-0005-0000-0000-00001F310000}"/>
    <cellStyle name="Millares 2 80 3 5 3 2" xfId="8169" xr:uid="{00000000-0005-0000-0000-000020310000}"/>
    <cellStyle name="Millares 2 80 3 5 3 2 2" xfId="14958" xr:uid="{00000000-0005-0000-0000-000021310000}"/>
    <cellStyle name="Millares 2 80 3 5 3 2 2 2" xfId="28526" xr:uid="{00000000-0005-0000-0000-000022310000}"/>
    <cellStyle name="Millares 2 80 3 5 3 2 2 2 2" xfId="55659" xr:uid="{00000000-0005-0000-0000-000023310000}"/>
    <cellStyle name="Millares 2 80 3 5 3 2 2 3" xfId="42097" xr:uid="{00000000-0005-0000-0000-000024310000}"/>
    <cellStyle name="Millares 2 80 3 5 3 2 3" xfId="21745" xr:uid="{00000000-0005-0000-0000-000025310000}"/>
    <cellStyle name="Millares 2 80 3 5 3 2 3 2" xfId="48878" xr:uid="{00000000-0005-0000-0000-000026310000}"/>
    <cellStyle name="Millares 2 80 3 5 3 2 4" xfId="35316" xr:uid="{00000000-0005-0000-0000-000027310000}"/>
    <cellStyle name="Millares 2 80 3 5 3 3" xfId="11569" xr:uid="{00000000-0005-0000-0000-000028310000}"/>
    <cellStyle name="Millares 2 80 3 5 3 3 2" xfId="25137" xr:uid="{00000000-0005-0000-0000-000029310000}"/>
    <cellStyle name="Millares 2 80 3 5 3 3 2 2" xfId="52270" xr:uid="{00000000-0005-0000-0000-00002A310000}"/>
    <cellStyle name="Millares 2 80 3 5 3 3 3" xfId="38708" xr:uid="{00000000-0005-0000-0000-00002B310000}"/>
    <cellStyle name="Millares 2 80 3 5 3 4" xfId="18356" xr:uid="{00000000-0005-0000-0000-00002C310000}"/>
    <cellStyle name="Millares 2 80 3 5 3 4 2" xfId="45489" xr:uid="{00000000-0005-0000-0000-00002D310000}"/>
    <cellStyle name="Millares 2 80 3 5 3 5" xfId="31927" xr:uid="{00000000-0005-0000-0000-00002E310000}"/>
    <cellStyle name="Millares 2 80 3 5 4" xfId="4561" xr:uid="{00000000-0005-0000-0000-00002F310000}"/>
    <cellStyle name="Millares 2 80 3 5 4 2" xfId="8170" xr:uid="{00000000-0005-0000-0000-000030310000}"/>
    <cellStyle name="Millares 2 80 3 5 4 2 2" xfId="14959" xr:uid="{00000000-0005-0000-0000-000031310000}"/>
    <cellStyle name="Millares 2 80 3 5 4 2 2 2" xfId="28527" xr:uid="{00000000-0005-0000-0000-000032310000}"/>
    <cellStyle name="Millares 2 80 3 5 4 2 2 2 2" xfId="55660" xr:uid="{00000000-0005-0000-0000-000033310000}"/>
    <cellStyle name="Millares 2 80 3 5 4 2 2 3" xfId="42098" xr:uid="{00000000-0005-0000-0000-000034310000}"/>
    <cellStyle name="Millares 2 80 3 5 4 2 3" xfId="21746" xr:uid="{00000000-0005-0000-0000-000035310000}"/>
    <cellStyle name="Millares 2 80 3 5 4 2 3 2" xfId="48879" xr:uid="{00000000-0005-0000-0000-000036310000}"/>
    <cellStyle name="Millares 2 80 3 5 4 2 4" xfId="35317" xr:uid="{00000000-0005-0000-0000-000037310000}"/>
    <cellStyle name="Millares 2 80 3 5 4 3" xfId="11570" xr:uid="{00000000-0005-0000-0000-000038310000}"/>
    <cellStyle name="Millares 2 80 3 5 4 3 2" xfId="25138" xr:uid="{00000000-0005-0000-0000-000039310000}"/>
    <cellStyle name="Millares 2 80 3 5 4 3 2 2" xfId="52271" xr:uid="{00000000-0005-0000-0000-00003A310000}"/>
    <cellStyle name="Millares 2 80 3 5 4 3 3" xfId="38709" xr:uid="{00000000-0005-0000-0000-00003B310000}"/>
    <cellStyle name="Millares 2 80 3 5 4 4" xfId="18357" xr:uid="{00000000-0005-0000-0000-00003C310000}"/>
    <cellStyle name="Millares 2 80 3 5 4 4 2" xfId="45490" xr:uid="{00000000-0005-0000-0000-00003D310000}"/>
    <cellStyle name="Millares 2 80 3 5 4 5" xfId="31928" xr:uid="{00000000-0005-0000-0000-00003E310000}"/>
    <cellStyle name="Millares 2 80 3 5 5" xfId="8165" xr:uid="{00000000-0005-0000-0000-00003F310000}"/>
    <cellStyle name="Millares 2 80 3 5 5 2" xfId="14954" xr:uid="{00000000-0005-0000-0000-000040310000}"/>
    <cellStyle name="Millares 2 80 3 5 5 2 2" xfId="28522" xr:uid="{00000000-0005-0000-0000-000041310000}"/>
    <cellStyle name="Millares 2 80 3 5 5 2 2 2" xfId="55655" xr:uid="{00000000-0005-0000-0000-000042310000}"/>
    <cellStyle name="Millares 2 80 3 5 5 2 3" xfId="42093" xr:uid="{00000000-0005-0000-0000-000043310000}"/>
    <cellStyle name="Millares 2 80 3 5 5 3" xfId="21741" xr:uid="{00000000-0005-0000-0000-000044310000}"/>
    <cellStyle name="Millares 2 80 3 5 5 3 2" xfId="48874" xr:uid="{00000000-0005-0000-0000-000045310000}"/>
    <cellStyle name="Millares 2 80 3 5 5 4" xfId="35312" xr:uid="{00000000-0005-0000-0000-000046310000}"/>
    <cellStyle name="Millares 2 80 3 5 6" xfId="11565" xr:uid="{00000000-0005-0000-0000-000047310000}"/>
    <cellStyle name="Millares 2 80 3 5 6 2" xfId="25133" xr:uid="{00000000-0005-0000-0000-000048310000}"/>
    <cellStyle name="Millares 2 80 3 5 6 2 2" xfId="52266" xr:uid="{00000000-0005-0000-0000-000049310000}"/>
    <cellStyle name="Millares 2 80 3 5 6 3" xfId="38704" xr:uid="{00000000-0005-0000-0000-00004A310000}"/>
    <cellStyle name="Millares 2 80 3 5 7" xfId="18352" xr:uid="{00000000-0005-0000-0000-00004B310000}"/>
    <cellStyle name="Millares 2 80 3 5 7 2" xfId="45485" xr:uid="{00000000-0005-0000-0000-00004C310000}"/>
    <cellStyle name="Millares 2 80 3 5 8" xfId="31923" xr:uid="{00000000-0005-0000-0000-00004D310000}"/>
    <cellStyle name="Millares 2 80 3 6" xfId="4562" xr:uid="{00000000-0005-0000-0000-00004E310000}"/>
    <cellStyle name="Millares 2 80 3 6 2" xfId="4563" xr:uid="{00000000-0005-0000-0000-00004F310000}"/>
    <cellStyle name="Millares 2 80 3 6 2 2" xfId="8172" xr:uid="{00000000-0005-0000-0000-000050310000}"/>
    <cellStyle name="Millares 2 80 3 6 2 2 2" xfId="14961" xr:uid="{00000000-0005-0000-0000-000051310000}"/>
    <cellStyle name="Millares 2 80 3 6 2 2 2 2" xfId="28529" xr:uid="{00000000-0005-0000-0000-000052310000}"/>
    <cellStyle name="Millares 2 80 3 6 2 2 2 2 2" xfId="55662" xr:uid="{00000000-0005-0000-0000-000053310000}"/>
    <cellStyle name="Millares 2 80 3 6 2 2 2 3" xfId="42100" xr:uid="{00000000-0005-0000-0000-000054310000}"/>
    <cellStyle name="Millares 2 80 3 6 2 2 3" xfId="21748" xr:uid="{00000000-0005-0000-0000-000055310000}"/>
    <cellStyle name="Millares 2 80 3 6 2 2 3 2" xfId="48881" xr:uid="{00000000-0005-0000-0000-000056310000}"/>
    <cellStyle name="Millares 2 80 3 6 2 2 4" xfId="35319" xr:uid="{00000000-0005-0000-0000-000057310000}"/>
    <cellStyle name="Millares 2 80 3 6 2 3" xfId="11572" xr:uid="{00000000-0005-0000-0000-000058310000}"/>
    <cellStyle name="Millares 2 80 3 6 2 3 2" xfId="25140" xr:uid="{00000000-0005-0000-0000-000059310000}"/>
    <cellStyle name="Millares 2 80 3 6 2 3 2 2" xfId="52273" xr:uid="{00000000-0005-0000-0000-00005A310000}"/>
    <cellStyle name="Millares 2 80 3 6 2 3 3" xfId="38711" xr:uid="{00000000-0005-0000-0000-00005B310000}"/>
    <cellStyle name="Millares 2 80 3 6 2 4" xfId="18359" xr:uid="{00000000-0005-0000-0000-00005C310000}"/>
    <cellStyle name="Millares 2 80 3 6 2 4 2" xfId="45492" xr:uid="{00000000-0005-0000-0000-00005D310000}"/>
    <cellStyle name="Millares 2 80 3 6 2 5" xfId="31930" xr:uid="{00000000-0005-0000-0000-00005E310000}"/>
    <cellStyle name="Millares 2 80 3 6 3" xfId="4564" xr:uid="{00000000-0005-0000-0000-00005F310000}"/>
    <cellStyle name="Millares 2 80 3 6 3 2" xfId="8173" xr:uid="{00000000-0005-0000-0000-000060310000}"/>
    <cellStyle name="Millares 2 80 3 6 3 2 2" xfId="14962" xr:uid="{00000000-0005-0000-0000-000061310000}"/>
    <cellStyle name="Millares 2 80 3 6 3 2 2 2" xfId="28530" xr:uid="{00000000-0005-0000-0000-000062310000}"/>
    <cellStyle name="Millares 2 80 3 6 3 2 2 2 2" xfId="55663" xr:uid="{00000000-0005-0000-0000-000063310000}"/>
    <cellStyle name="Millares 2 80 3 6 3 2 2 3" xfId="42101" xr:uid="{00000000-0005-0000-0000-000064310000}"/>
    <cellStyle name="Millares 2 80 3 6 3 2 3" xfId="21749" xr:uid="{00000000-0005-0000-0000-000065310000}"/>
    <cellStyle name="Millares 2 80 3 6 3 2 3 2" xfId="48882" xr:uid="{00000000-0005-0000-0000-000066310000}"/>
    <cellStyle name="Millares 2 80 3 6 3 2 4" xfId="35320" xr:uid="{00000000-0005-0000-0000-000067310000}"/>
    <cellStyle name="Millares 2 80 3 6 3 3" xfId="11573" xr:uid="{00000000-0005-0000-0000-000068310000}"/>
    <cellStyle name="Millares 2 80 3 6 3 3 2" xfId="25141" xr:uid="{00000000-0005-0000-0000-000069310000}"/>
    <cellStyle name="Millares 2 80 3 6 3 3 2 2" xfId="52274" xr:uid="{00000000-0005-0000-0000-00006A310000}"/>
    <cellStyle name="Millares 2 80 3 6 3 3 3" xfId="38712" xr:uid="{00000000-0005-0000-0000-00006B310000}"/>
    <cellStyle name="Millares 2 80 3 6 3 4" xfId="18360" xr:uid="{00000000-0005-0000-0000-00006C310000}"/>
    <cellStyle name="Millares 2 80 3 6 3 4 2" xfId="45493" xr:uid="{00000000-0005-0000-0000-00006D310000}"/>
    <cellStyle name="Millares 2 80 3 6 3 5" xfId="31931" xr:uid="{00000000-0005-0000-0000-00006E310000}"/>
    <cellStyle name="Millares 2 80 3 6 4" xfId="8171" xr:uid="{00000000-0005-0000-0000-00006F310000}"/>
    <cellStyle name="Millares 2 80 3 6 4 2" xfId="14960" xr:uid="{00000000-0005-0000-0000-000070310000}"/>
    <cellStyle name="Millares 2 80 3 6 4 2 2" xfId="28528" xr:uid="{00000000-0005-0000-0000-000071310000}"/>
    <cellStyle name="Millares 2 80 3 6 4 2 2 2" xfId="55661" xr:uid="{00000000-0005-0000-0000-000072310000}"/>
    <cellStyle name="Millares 2 80 3 6 4 2 3" xfId="42099" xr:uid="{00000000-0005-0000-0000-000073310000}"/>
    <cellStyle name="Millares 2 80 3 6 4 3" xfId="21747" xr:uid="{00000000-0005-0000-0000-000074310000}"/>
    <cellStyle name="Millares 2 80 3 6 4 3 2" xfId="48880" xr:uid="{00000000-0005-0000-0000-000075310000}"/>
    <cellStyle name="Millares 2 80 3 6 4 4" xfId="35318" xr:uid="{00000000-0005-0000-0000-000076310000}"/>
    <cellStyle name="Millares 2 80 3 6 5" xfId="11571" xr:uid="{00000000-0005-0000-0000-000077310000}"/>
    <cellStyle name="Millares 2 80 3 6 5 2" xfId="25139" xr:uid="{00000000-0005-0000-0000-000078310000}"/>
    <cellStyle name="Millares 2 80 3 6 5 2 2" xfId="52272" xr:uid="{00000000-0005-0000-0000-000079310000}"/>
    <cellStyle name="Millares 2 80 3 6 5 3" xfId="38710" xr:uid="{00000000-0005-0000-0000-00007A310000}"/>
    <cellStyle name="Millares 2 80 3 6 6" xfId="18358" xr:uid="{00000000-0005-0000-0000-00007B310000}"/>
    <cellStyle name="Millares 2 80 3 6 6 2" xfId="45491" xr:uid="{00000000-0005-0000-0000-00007C310000}"/>
    <cellStyle name="Millares 2 80 3 6 7" xfId="31929" xr:uid="{00000000-0005-0000-0000-00007D310000}"/>
    <cellStyle name="Millares 2 80 3 7" xfId="4565" xr:uid="{00000000-0005-0000-0000-00007E310000}"/>
    <cellStyle name="Millares 2 80 3 7 2" xfId="4566" xr:uid="{00000000-0005-0000-0000-00007F310000}"/>
    <cellStyle name="Millares 2 80 3 7 2 2" xfId="8175" xr:uid="{00000000-0005-0000-0000-000080310000}"/>
    <cellStyle name="Millares 2 80 3 7 2 2 2" xfId="14964" xr:uid="{00000000-0005-0000-0000-000081310000}"/>
    <cellStyle name="Millares 2 80 3 7 2 2 2 2" xfId="28532" xr:uid="{00000000-0005-0000-0000-000082310000}"/>
    <cellStyle name="Millares 2 80 3 7 2 2 2 2 2" xfId="55665" xr:uid="{00000000-0005-0000-0000-000083310000}"/>
    <cellStyle name="Millares 2 80 3 7 2 2 2 3" xfId="42103" xr:uid="{00000000-0005-0000-0000-000084310000}"/>
    <cellStyle name="Millares 2 80 3 7 2 2 3" xfId="21751" xr:uid="{00000000-0005-0000-0000-000085310000}"/>
    <cellStyle name="Millares 2 80 3 7 2 2 3 2" xfId="48884" xr:uid="{00000000-0005-0000-0000-000086310000}"/>
    <cellStyle name="Millares 2 80 3 7 2 2 4" xfId="35322" xr:uid="{00000000-0005-0000-0000-000087310000}"/>
    <cellStyle name="Millares 2 80 3 7 2 3" xfId="11575" xr:uid="{00000000-0005-0000-0000-000088310000}"/>
    <cellStyle name="Millares 2 80 3 7 2 3 2" xfId="25143" xr:uid="{00000000-0005-0000-0000-000089310000}"/>
    <cellStyle name="Millares 2 80 3 7 2 3 2 2" xfId="52276" xr:uid="{00000000-0005-0000-0000-00008A310000}"/>
    <cellStyle name="Millares 2 80 3 7 2 3 3" xfId="38714" xr:uid="{00000000-0005-0000-0000-00008B310000}"/>
    <cellStyle name="Millares 2 80 3 7 2 4" xfId="18362" xr:uid="{00000000-0005-0000-0000-00008C310000}"/>
    <cellStyle name="Millares 2 80 3 7 2 4 2" xfId="45495" xr:uid="{00000000-0005-0000-0000-00008D310000}"/>
    <cellStyle name="Millares 2 80 3 7 2 5" xfId="31933" xr:uid="{00000000-0005-0000-0000-00008E310000}"/>
    <cellStyle name="Millares 2 80 3 7 3" xfId="4567" xr:uid="{00000000-0005-0000-0000-00008F310000}"/>
    <cellStyle name="Millares 2 80 3 7 3 2" xfId="8176" xr:uid="{00000000-0005-0000-0000-000090310000}"/>
    <cellStyle name="Millares 2 80 3 7 3 2 2" xfId="14965" xr:uid="{00000000-0005-0000-0000-000091310000}"/>
    <cellStyle name="Millares 2 80 3 7 3 2 2 2" xfId="28533" xr:uid="{00000000-0005-0000-0000-000092310000}"/>
    <cellStyle name="Millares 2 80 3 7 3 2 2 2 2" xfId="55666" xr:uid="{00000000-0005-0000-0000-000093310000}"/>
    <cellStyle name="Millares 2 80 3 7 3 2 2 3" xfId="42104" xr:uid="{00000000-0005-0000-0000-000094310000}"/>
    <cellStyle name="Millares 2 80 3 7 3 2 3" xfId="21752" xr:uid="{00000000-0005-0000-0000-000095310000}"/>
    <cellStyle name="Millares 2 80 3 7 3 2 3 2" xfId="48885" xr:uid="{00000000-0005-0000-0000-000096310000}"/>
    <cellStyle name="Millares 2 80 3 7 3 2 4" xfId="35323" xr:uid="{00000000-0005-0000-0000-000097310000}"/>
    <cellStyle name="Millares 2 80 3 7 3 3" xfId="11576" xr:uid="{00000000-0005-0000-0000-000098310000}"/>
    <cellStyle name="Millares 2 80 3 7 3 3 2" xfId="25144" xr:uid="{00000000-0005-0000-0000-000099310000}"/>
    <cellStyle name="Millares 2 80 3 7 3 3 2 2" xfId="52277" xr:uid="{00000000-0005-0000-0000-00009A310000}"/>
    <cellStyle name="Millares 2 80 3 7 3 3 3" xfId="38715" xr:uid="{00000000-0005-0000-0000-00009B310000}"/>
    <cellStyle name="Millares 2 80 3 7 3 4" xfId="18363" xr:uid="{00000000-0005-0000-0000-00009C310000}"/>
    <cellStyle name="Millares 2 80 3 7 3 4 2" xfId="45496" xr:uid="{00000000-0005-0000-0000-00009D310000}"/>
    <cellStyle name="Millares 2 80 3 7 3 5" xfId="31934" xr:uid="{00000000-0005-0000-0000-00009E310000}"/>
    <cellStyle name="Millares 2 80 3 7 4" xfId="8174" xr:uid="{00000000-0005-0000-0000-00009F310000}"/>
    <cellStyle name="Millares 2 80 3 7 4 2" xfId="14963" xr:uid="{00000000-0005-0000-0000-0000A0310000}"/>
    <cellStyle name="Millares 2 80 3 7 4 2 2" xfId="28531" xr:uid="{00000000-0005-0000-0000-0000A1310000}"/>
    <cellStyle name="Millares 2 80 3 7 4 2 2 2" xfId="55664" xr:uid="{00000000-0005-0000-0000-0000A2310000}"/>
    <cellStyle name="Millares 2 80 3 7 4 2 3" xfId="42102" xr:uid="{00000000-0005-0000-0000-0000A3310000}"/>
    <cellStyle name="Millares 2 80 3 7 4 3" xfId="21750" xr:uid="{00000000-0005-0000-0000-0000A4310000}"/>
    <cellStyle name="Millares 2 80 3 7 4 3 2" xfId="48883" xr:uid="{00000000-0005-0000-0000-0000A5310000}"/>
    <cellStyle name="Millares 2 80 3 7 4 4" xfId="35321" xr:uid="{00000000-0005-0000-0000-0000A6310000}"/>
    <cellStyle name="Millares 2 80 3 7 5" xfId="11574" xr:uid="{00000000-0005-0000-0000-0000A7310000}"/>
    <cellStyle name="Millares 2 80 3 7 5 2" xfId="25142" xr:uid="{00000000-0005-0000-0000-0000A8310000}"/>
    <cellStyle name="Millares 2 80 3 7 5 2 2" xfId="52275" xr:uid="{00000000-0005-0000-0000-0000A9310000}"/>
    <cellStyle name="Millares 2 80 3 7 5 3" xfId="38713" xr:uid="{00000000-0005-0000-0000-0000AA310000}"/>
    <cellStyle name="Millares 2 80 3 7 6" xfId="18361" xr:uid="{00000000-0005-0000-0000-0000AB310000}"/>
    <cellStyle name="Millares 2 80 3 7 6 2" xfId="45494" xr:uid="{00000000-0005-0000-0000-0000AC310000}"/>
    <cellStyle name="Millares 2 80 3 7 7" xfId="31932" xr:uid="{00000000-0005-0000-0000-0000AD310000}"/>
    <cellStyle name="Millares 2 80 3 8" xfId="4568" xr:uid="{00000000-0005-0000-0000-0000AE310000}"/>
    <cellStyle name="Millares 2 80 3 8 2" xfId="8177" xr:uid="{00000000-0005-0000-0000-0000AF310000}"/>
    <cellStyle name="Millares 2 80 3 8 2 2" xfId="14966" xr:uid="{00000000-0005-0000-0000-0000B0310000}"/>
    <cellStyle name="Millares 2 80 3 8 2 2 2" xfId="28534" xr:uid="{00000000-0005-0000-0000-0000B1310000}"/>
    <cellStyle name="Millares 2 80 3 8 2 2 2 2" xfId="55667" xr:uid="{00000000-0005-0000-0000-0000B2310000}"/>
    <cellStyle name="Millares 2 80 3 8 2 2 3" xfId="42105" xr:uid="{00000000-0005-0000-0000-0000B3310000}"/>
    <cellStyle name="Millares 2 80 3 8 2 3" xfId="21753" xr:uid="{00000000-0005-0000-0000-0000B4310000}"/>
    <cellStyle name="Millares 2 80 3 8 2 3 2" xfId="48886" xr:uid="{00000000-0005-0000-0000-0000B5310000}"/>
    <cellStyle name="Millares 2 80 3 8 2 4" xfId="35324" xr:uid="{00000000-0005-0000-0000-0000B6310000}"/>
    <cellStyle name="Millares 2 80 3 8 3" xfId="11577" xr:uid="{00000000-0005-0000-0000-0000B7310000}"/>
    <cellStyle name="Millares 2 80 3 8 3 2" xfId="25145" xr:uid="{00000000-0005-0000-0000-0000B8310000}"/>
    <cellStyle name="Millares 2 80 3 8 3 2 2" xfId="52278" xr:uid="{00000000-0005-0000-0000-0000B9310000}"/>
    <cellStyle name="Millares 2 80 3 8 3 3" xfId="38716" xr:uid="{00000000-0005-0000-0000-0000BA310000}"/>
    <cellStyle name="Millares 2 80 3 8 4" xfId="18364" xr:uid="{00000000-0005-0000-0000-0000BB310000}"/>
    <cellStyle name="Millares 2 80 3 8 4 2" xfId="45497" xr:uid="{00000000-0005-0000-0000-0000BC310000}"/>
    <cellStyle name="Millares 2 80 3 8 5" xfId="31935" xr:uid="{00000000-0005-0000-0000-0000BD310000}"/>
    <cellStyle name="Millares 2 80 3 9" xfId="4569" xr:uid="{00000000-0005-0000-0000-0000BE310000}"/>
    <cellStyle name="Millares 2 80 3 9 2" xfId="8178" xr:uid="{00000000-0005-0000-0000-0000BF310000}"/>
    <cellStyle name="Millares 2 80 3 9 2 2" xfId="14967" xr:uid="{00000000-0005-0000-0000-0000C0310000}"/>
    <cellStyle name="Millares 2 80 3 9 2 2 2" xfId="28535" xr:uid="{00000000-0005-0000-0000-0000C1310000}"/>
    <cellStyle name="Millares 2 80 3 9 2 2 2 2" xfId="55668" xr:uid="{00000000-0005-0000-0000-0000C2310000}"/>
    <cellStyle name="Millares 2 80 3 9 2 2 3" xfId="42106" xr:uid="{00000000-0005-0000-0000-0000C3310000}"/>
    <cellStyle name="Millares 2 80 3 9 2 3" xfId="21754" xr:uid="{00000000-0005-0000-0000-0000C4310000}"/>
    <cellStyle name="Millares 2 80 3 9 2 3 2" xfId="48887" xr:uid="{00000000-0005-0000-0000-0000C5310000}"/>
    <cellStyle name="Millares 2 80 3 9 2 4" xfId="35325" xr:uid="{00000000-0005-0000-0000-0000C6310000}"/>
    <cellStyle name="Millares 2 80 3 9 3" xfId="11578" xr:uid="{00000000-0005-0000-0000-0000C7310000}"/>
    <cellStyle name="Millares 2 80 3 9 3 2" xfId="25146" xr:uid="{00000000-0005-0000-0000-0000C8310000}"/>
    <cellStyle name="Millares 2 80 3 9 3 2 2" xfId="52279" xr:uid="{00000000-0005-0000-0000-0000C9310000}"/>
    <cellStyle name="Millares 2 80 3 9 3 3" xfId="38717" xr:uid="{00000000-0005-0000-0000-0000CA310000}"/>
    <cellStyle name="Millares 2 80 3 9 4" xfId="18365" xr:uid="{00000000-0005-0000-0000-0000CB310000}"/>
    <cellStyle name="Millares 2 80 3 9 4 2" xfId="45498" xr:uid="{00000000-0005-0000-0000-0000CC310000}"/>
    <cellStyle name="Millares 2 80 3 9 5" xfId="31936" xr:uid="{00000000-0005-0000-0000-0000CD310000}"/>
    <cellStyle name="Millares 2 80 4" xfId="4570" xr:uid="{00000000-0005-0000-0000-0000CE310000}"/>
    <cellStyle name="Millares 2 80 4 10" xfId="31937" xr:uid="{00000000-0005-0000-0000-0000CF310000}"/>
    <cellStyle name="Millares 2 80 4 2" xfId="4571" xr:uid="{00000000-0005-0000-0000-0000D0310000}"/>
    <cellStyle name="Millares 2 80 4 2 2" xfId="4572" xr:uid="{00000000-0005-0000-0000-0000D1310000}"/>
    <cellStyle name="Millares 2 80 4 2 2 2" xfId="4573" xr:uid="{00000000-0005-0000-0000-0000D2310000}"/>
    <cellStyle name="Millares 2 80 4 2 2 2 2" xfId="8182" xr:uid="{00000000-0005-0000-0000-0000D3310000}"/>
    <cellStyle name="Millares 2 80 4 2 2 2 2 2" xfId="14971" xr:uid="{00000000-0005-0000-0000-0000D4310000}"/>
    <cellStyle name="Millares 2 80 4 2 2 2 2 2 2" xfId="28539" xr:uid="{00000000-0005-0000-0000-0000D5310000}"/>
    <cellStyle name="Millares 2 80 4 2 2 2 2 2 2 2" xfId="55672" xr:uid="{00000000-0005-0000-0000-0000D6310000}"/>
    <cellStyle name="Millares 2 80 4 2 2 2 2 2 3" xfId="42110" xr:uid="{00000000-0005-0000-0000-0000D7310000}"/>
    <cellStyle name="Millares 2 80 4 2 2 2 2 3" xfId="21758" xr:uid="{00000000-0005-0000-0000-0000D8310000}"/>
    <cellStyle name="Millares 2 80 4 2 2 2 2 3 2" xfId="48891" xr:uid="{00000000-0005-0000-0000-0000D9310000}"/>
    <cellStyle name="Millares 2 80 4 2 2 2 2 4" xfId="35329" xr:uid="{00000000-0005-0000-0000-0000DA310000}"/>
    <cellStyle name="Millares 2 80 4 2 2 2 3" xfId="11582" xr:uid="{00000000-0005-0000-0000-0000DB310000}"/>
    <cellStyle name="Millares 2 80 4 2 2 2 3 2" xfId="25150" xr:uid="{00000000-0005-0000-0000-0000DC310000}"/>
    <cellStyle name="Millares 2 80 4 2 2 2 3 2 2" xfId="52283" xr:uid="{00000000-0005-0000-0000-0000DD310000}"/>
    <cellStyle name="Millares 2 80 4 2 2 2 3 3" xfId="38721" xr:uid="{00000000-0005-0000-0000-0000DE310000}"/>
    <cellStyle name="Millares 2 80 4 2 2 2 4" xfId="18369" xr:uid="{00000000-0005-0000-0000-0000DF310000}"/>
    <cellStyle name="Millares 2 80 4 2 2 2 4 2" xfId="45502" xr:uid="{00000000-0005-0000-0000-0000E0310000}"/>
    <cellStyle name="Millares 2 80 4 2 2 2 5" xfId="31940" xr:uid="{00000000-0005-0000-0000-0000E1310000}"/>
    <cellStyle name="Millares 2 80 4 2 2 3" xfId="4574" xr:uid="{00000000-0005-0000-0000-0000E2310000}"/>
    <cellStyle name="Millares 2 80 4 2 2 3 2" xfId="8183" xr:uid="{00000000-0005-0000-0000-0000E3310000}"/>
    <cellStyle name="Millares 2 80 4 2 2 3 2 2" xfId="14972" xr:uid="{00000000-0005-0000-0000-0000E4310000}"/>
    <cellStyle name="Millares 2 80 4 2 2 3 2 2 2" xfId="28540" xr:uid="{00000000-0005-0000-0000-0000E5310000}"/>
    <cellStyle name="Millares 2 80 4 2 2 3 2 2 2 2" xfId="55673" xr:uid="{00000000-0005-0000-0000-0000E6310000}"/>
    <cellStyle name="Millares 2 80 4 2 2 3 2 2 3" xfId="42111" xr:uid="{00000000-0005-0000-0000-0000E7310000}"/>
    <cellStyle name="Millares 2 80 4 2 2 3 2 3" xfId="21759" xr:uid="{00000000-0005-0000-0000-0000E8310000}"/>
    <cellStyle name="Millares 2 80 4 2 2 3 2 3 2" xfId="48892" xr:uid="{00000000-0005-0000-0000-0000E9310000}"/>
    <cellStyle name="Millares 2 80 4 2 2 3 2 4" xfId="35330" xr:uid="{00000000-0005-0000-0000-0000EA310000}"/>
    <cellStyle name="Millares 2 80 4 2 2 3 3" xfId="11583" xr:uid="{00000000-0005-0000-0000-0000EB310000}"/>
    <cellStyle name="Millares 2 80 4 2 2 3 3 2" xfId="25151" xr:uid="{00000000-0005-0000-0000-0000EC310000}"/>
    <cellStyle name="Millares 2 80 4 2 2 3 3 2 2" xfId="52284" xr:uid="{00000000-0005-0000-0000-0000ED310000}"/>
    <cellStyle name="Millares 2 80 4 2 2 3 3 3" xfId="38722" xr:uid="{00000000-0005-0000-0000-0000EE310000}"/>
    <cellStyle name="Millares 2 80 4 2 2 3 4" xfId="18370" xr:uid="{00000000-0005-0000-0000-0000EF310000}"/>
    <cellStyle name="Millares 2 80 4 2 2 3 4 2" xfId="45503" xr:uid="{00000000-0005-0000-0000-0000F0310000}"/>
    <cellStyle name="Millares 2 80 4 2 2 3 5" xfId="31941" xr:uid="{00000000-0005-0000-0000-0000F1310000}"/>
    <cellStyle name="Millares 2 80 4 2 2 4" xfId="8181" xr:uid="{00000000-0005-0000-0000-0000F2310000}"/>
    <cellStyle name="Millares 2 80 4 2 2 4 2" xfId="14970" xr:uid="{00000000-0005-0000-0000-0000F3310000}"/>
    <cellStyle name="Millares 2 80 4 2 2 4 2 2" xfId="28538" xr:uid="{00000000-0005-0000-0000-0000F4310000}"/>
    <cellStyle name="Millares 2 80 4 2 2 4 2 2 2" xfId="55671" xr:uid="{00000000-0005-0000-0000-0000F5310000}"/>
    <cellStyle name="Millares 2 80 4 2 2 4 2 3" xfId="42109" xr:uid="{00000000-0005-0000-0000-0000F6310000}"/>
    <cellStyle name="Millares 2 80 4 2 2 4 3" xfId="21757" xr:uid="{00000000-0005-0000-0000-0000F7310000}"/>
    <cellStyle name="Millares 2 80 4 2 2 4 3 2" xfId="48890" xr:uid="{00000000-0005-0000-0000-0000F8310000}"/>
    <cellStyle name="Millares 2 80 4 2 2 4 4" xfId="35328" xr:uid="{00000000-0005-0000-0000-0000F9310000}"/>
    <cellStyle name="Millares 2 80 4 2 2 5" xfId="11581" xr:uid="{00000000-0005-0000-0000-0000FA310000}"/>
    <cellStyle name="Millares 2 80 4 2 2 5 2" xfId="25149" xr:uid="{00000000-0005-0000-0000-0000FB310000}"/>
    <cellStyle name="Millares 2 80 4 2 2 5 2 2" xfId="52282" xr:uid="{00000000-0005-0000-0000-0000FC310000}"/>
    <cellStyle name="Millares 2 80 4 2 2 5 3" xfId="38720" xr:uid="{00000000-0005-0000-0000-0000FD310000}"/>
    <cellStyle name="Millares 2 80 4 2 2 6" xfId="18368" xr:uid="{00000000-0005-0000-0000-0000FE310000}"/>
    <cellStyle name="Millares 2 80 4 2 2 6 2" xfId="45501" xr:uid="{00000000-0005-0000-0000-0000FF310000}"/>
    <cellStyle name="Millares 2 80 4 2 2 7" xfId="31939" xr:uid="{00000000-0005-0000-0000-000000320000}"/>
    <cellStyle name="Millares 2 80 4 2 3" xfId="4575" xr:uid="{00000000-0005-0000-0000-000001320000}"/>
    <cellStyle name="Millares 2 80 4 2 3 2" xfId="4576" xr:uid="{00000000-0005-0000-0000-000002320000}"/>
    <cellStyle name="Millares 2 80 4 2 3 2 2" xfId="8185" xr:uid="{00000000-0005-0000-0000-000003320000}"/>
    <cellStyle name="Millares 2 80 4 2 3 2 2 2" xfId="14974" xr:uid="{00000000-0005-0000-0000-000004320000}"/>
    <cellStyle name="Millares 2 80 4 2 3 2 2 2 2" xfId="28542" xr:uid="{00000000-0005-0000-0000-000005320000}"/>
    <cellStyle name="Millares 2 80 4 2 3 2 2 2 2 2" xfId="55675" xr:uid="{00000000-0005-0000-0000-000006320000}"/>
    <cellStyle name="Millares 2 80 4 2 3 2 2 2 3" xfId="42113" xr:uid="{00000000-0005-0000-0000-000007320000}"/>
    <cellStyle name="Millares 2 80 4 2 3 2 2 3" xfId="21761" xr:uid="{00000000-0005-0000-0000-000008320000}"/>
    <cellStyle name="Millares 2 80 4 2 3 2 2 3 2" xfId="48894" xr:uid="{00000000-0005-0000-0000-000009320000}"/>
    <cellStyle name="Millares 2 80 4 2 3 2 2 4" xfId="35332" xr:uid="{00000000-0005-0000-0000-00000A320000}"/>
    <cellStyle name="Millares 2 80 4 2 3 2 3" xfId="11585" xr:uid="{00000000-0005-0000-0000-00000B320000}"/>
    <cellStyle name="Millares 2 80 4 2 3 2 3 2" xfId="25153" xr:uid="{00000000-0005-0000-0000-00000C320000}"/>
    <cellStyle name="Millares 2 80 4 2 3 2 3 2 2" xfId="52286" xr:uid="{00000000-0005-0000-0000-00000D320000}"/>
    <cellStyle name="Millares 2 80 4 2 3 2 3 3" xfId="38724" xr:uid="{00000000-0005-0000-0000-00000E320000}"/>
    <cellStyle name="Millares 2 80 4 2 3 2 4" xfId="18372" xr:uid="{00000000-0005-0000-0000-00000F320000}"/>
    <cellStyle name="Millares 2 80 4 2 3 2 4 2" xfId="45505" xr:uid="{00000000-0005-0000-0000-000010320000}"/>
    <cellStyle name="Millares 2 80 4 2 3 2 5" xfId="31943" xr:uid="{00000000-0005-0000-0000-000011320000}"/>
    <cellStyle name="Millares 2 80 4 2 3 3" xfId="8184" xr:uid="{00000000-0005-0000-0000-000012320000}"/>
    <cellStyle name="Millares 2 80 4 2 3 3 2" xfId="14973" xr:uid="{00000000-0005-0000-0000-000013320000}"/>
    <cellStyle name="Millares 2 80 4 2 3 3 2 2" xfId="28541" xr:uid="{00000000-0005-0000-0000-000014320000}"/>
    <cellStyle name="Millares 2 80 4 2 3 3 2 2 2" xfId="55674" xr:uid="{00000000-0005-0000-0000-000015320000}"/>
    <cellStyle name="Millares 2 80 4 2 3 3 2 3" xfId="42112" xr:uid="{00000000-0005-0000-0000-000016320000}"/>
    <cellStyle name="Millares 2 80 4 2 3 3 3" xfId="21760" xr:uid="{00000000-0005-0000-0000-000017320000}"/>
    <cellStyle name="Millares 2 80 4 2 3 3 3 2" xfId="48893" xr:uid="{00000000-0005-0000-0000-000018320000}"/>
    <cellStyle name="Millares 2 80 4 2 3 3 4" xfId="35331" xr:uid="{00000000-0005-0000-0000-000019320000}"/>
    <cellStyle name="Millares 2 80 4 2 3 4" xfId="11584" xr:uid="{00000000-0005-0000-0000-00001A320000}"/>
    <cellStyle name="Millares 2 80 4 2 3 4 2" xfId="25152" xr:uid="{00000000-0005-0000-0000-00001B320000}"/>
    <cellStyle name="Millares 2 80 4 2 3 4 2 2" xfId="52285" xr:uid="{00000000-0005-0000-0000-00001C320000}"/>
    <cellStyle name="Millares 2 80 4 2 3 4 3" xfId="38723" xr:uid="{00000000-0005-0000-0000-00001D320000}"/>
    <cellStyle name="Millares 2 80 4 2 3 5" xfId="18371" xr:uid="{00000000-0005-0000-0000-00001E320000}"/>
    <cellStyle name="Millares 2 80 4 2 3 5 2" xfId="45504" xr:uid="{00000000-0005-0000-0000-00001F320000}"/>
    <cellStyle name="Millares 2 80 4 2 3 6" xfId="31942" xr:uid="{00000000-0005-0000-0000-000020320000}"/>
    <cellStyle name="Millares 2 80 4 2 4" xfId="4577" xr:uid="{00000000-0005-0000-0000-000021320000}"/>
    <cellStyle name="Millares 2 80 4 2 4 2" xfId="8186" xr:uid="{00000000-0005-0000-0000-000022320000}"/>
    <cellStyle name="Millares 2 80 4 2 4 2 2" xfId="14975" xr:uid="{00000000-0005-0000-0000-000023320000}"/>
    <cellStyle name="Millares 2 80 4 2 4 2 2 2" xfId="28543" xr:uid="{00000000-0005-0000-0000-000024320000}"/>
    <cellStyle name="Millares 2 80 4 2 4 2 2 2 2" xfId="55676" xr:uid="{00000000-0005-0000-0000-000025320000}"/>
    <cellStyle name="Millares 2 80 4 2 4 2 2 3" xfId="42114" xr:uid="{00000000-0005-0000-0000-000026320000}"/>
    <cellStyle name="Millares 2 80 4 2 4 2 3" xfId="21762" xr:uid="{00000000-0005-0000-0000-000027320000}"/>
    <cellStyle name="Millares 2 80 4 2 4 2 3 2" xfId="48895" xr:uid="{00000000-0005-0000-0000-000028320000}"/>
    <cellStyle name="Millares 2 80 4 2 4 2 4" xfId="35333" xr:uid="{00000000-0005-0000-0000-000029320000}"/>
    <cellStyle name="Millares 2 80 4 2 4 3" xfId="11586" xr:uid="{00000000-0005-0000-0000-00002A320000}"/>
    <cellStyle name="Millares 2 80 4 2 4 3 2" xfId="25154" xr:uid="{00000000-0005-0000-0000-00002B320000}"/>
    <cellStyle name="Millares 2 80 4 2 4 3 2 2" xfId="52287" xr:uid="{00000000-0005-0000-0000-00002C320000}"/>
    <cellStyle name="Millares 2 80 4 2 4 3 3" xfId="38725" xr:uid="{00000000-0005-0000-0000-00002D320000}"/>
    <cellStyle name="Millares 2 80 4 2 4 4" xfId="18373" xr:uid="{00000000-0005-0000-0000-00002E320000}"/>
    <cellStyle name="Millares 2 80 4 2 4 4 2" xfId="45506" xr:uid="{00000000-0005-0000-0000-00002F320000}"/>
    <cellStyle name="Millares 2 80 4 2 4 5" xfId="31944" xr:uid="{00000000-0005-0000-0000-000030320000}"/>
    <cellStyle name="Millares 2 80 4 2 5" xfId="4578" xr:uid="{00000000-0005-0000-0000-000031320000}"/>
    <cellStyle name="Millares 2 80 4 2 5 2" xfId="8187" xr:uid="{00000000-0005-0000-0000-000032320000}"/>
    <cellStyle name="Millares 2 80 4 2 5 2 2" xfId="14976" xr:uid="{00000000-0005-0000-0000-000033320000}"/>
    <cellStyle name="Millares 2 80 4 2 5 2 2 2" xfId="28544" xr:uid="{00000000-0005-0000-0000-000034320000}"/>
    <cellStyle name="Millares 2 80 4 2 5 2 2 2 2" xfId="55677" xr:uid="{00000000-0005-0000-0000-000035320000}"/>
    <cellStyle name="Millares 2 80 4 2 5 2 2 3" xfId="42115" xr:uid="{00000000-0005-0000-0000-000036320000}"/>
    <cellStyle name="Millares 2 80 4 2 5 2 3" xfId="21763" xr:uid="{00000000-0005-0000-0000-000037320000}"/>
    <cellStyle name="Millares 2 80 4 2 5 2 3 2" xfId="48896" xr:uid="{00000000-0005-0000-0000-000038320000}"/>
    <cellStyle name="Millares 2 80 4 2 5 2 4" xfId="35334" xr:uid="{00000000-0005-0000-0000-000039320000}"/>
    <cellStyle name="Millares 2 80 4 2 5 3" xfId="11587" xr:uid="{00000000-0005-0000-0000-00003A320000}"/>
    <cellStyle name="Millares 2 80 4 2 5 3 2" xfId="25155" xr:uid="{00000000-0005-0000-0000-00003B320000}"/>
    <cellStyle name="Millares 2 80 4 2 5 3 2 2" xfId="52288" xr:uid="{00000000-0005-0000-0000-00003C320000}"/>
    <cellStyle name="Millares 2 80 4 2 5 3 3" xfId="38726" xr:uid="{00000000-0005-0000-0000-00003D320000}"/>
    <cellStyle name="Millares 2 80 4 2 5 4" xfId="18374" xr:uid="{00000000-0005-0000-0000-00003E320000}"/>
    <cellStyle name="Millares 2 80 4 2 5 4 2" xfId="45507" xr:uid="{00000000-0005-0000-0000-00003F320000}"/>
    <cellStyle name="Millares 2 80 4 2 5 5" xfId="31945" xr:uid="{00000000-0005-0000-0000-000040320000}"/>
    <cellStyle name="Millares 2 80 4 2 6" xfId="8180" xr:uid="{00000000-0005-0000-0000-000041320000}"/>
    <cellStyle name="Millares 2 80 4 2 6 2" xfId="14969" xr:uid="{00000000-0005-0000-0000-000042320000}"/>
    <cellStyle name="Millares 2 80 4 2 6 2 2" xfId="28537" xr:uid="{00000000-0005-0000-0000-000043320000}"/>
    <cellStyle name="Millares 2 80 4 2 6 2 2 2" xfId="55670" xr:uid="{00000000-0005-0000-0000-000044320000}"/>
    <cellStyle name="Millares 2 80 4 2 6 2 3" xfId="42108" xr:uid="{00000000-0005-0000-0000-000045320000}"/>
    <cellStyle name="Millares 2 80 4 2 6 3" xfId="21756" xr:uid="{00000000-0005-0000-0000-000046320000}"/>
    <cellStyle name="Millares 2 80 4 2 6 3 2" xfId="48889" xr:uid="{00000000-0005-0000-0000-000047320000}"/>
    <cellStyle name="Millares 2 80 4 2 6 4" xfId="35327" xr:uid="{00000000-0005-0000-0000-000048320000}"/>
    <cellStyle name="Millares 2 80 4 2 7" xfId="11580" xr:uid="{00000000-0005-0000-0000-000049320000}"/>
    <cellStyle name="Millares 2 80 4 2 7 2" xfId="25148" xr:uid="{00000000-0005-0000-0000-00004A320000}"/>
    <cellStyle name="Millares 2 80 4 2 7 2 2" xfId="52281" xr:uid="{00000000-0005-0000-0000-00004B320000}"/>
    <cellStyle name="Millares 2 80 4 2 7 3" xfId="38719" xr:uid="{00000000-0005-0000-0000-00004C320000}"/>
    <cellStyle name="Millares 2 80 4 2 8" xfId="18367" xr:uid="{00000000-0005-0000-0000-00004D320000}"/>
    <cellStyle name="Millares 2 80 4 2 8 2" xfId="45500" xr:uid="{00000000-0005-0000-0000-00004E320000}"/>
    <cellStyle name="Millares 2 80 4 2 9" xfId="31938" xr:uid="{00000000-0005-0000-0000-00004F320000}"/>
    <cellStyle name="Millares 2 80 4 3" xfId="4579" xr:uid="{00000000-0005-0000-0000-000050320000}"/>
    <cellStyle name="Millares 2 80 4 3 2" xfId="4580" xr:uid="{00000000-0005-0000-0000-000051320000}"/>
    <cellStyle name="Millares 2 80 4 3 2 2" xfId="8189" xr:uid="{00000000-0005-0000-0000-000052320000}"/>
    <cellStyle name="Millares 2 80 4 3 2 2 2" xfId="14978" xr:uid="{00000000-0005-0000-0000-000053320000}"/>
    <cellStyle name="Millares 2 80 4 3 2 2 2 2" xfId="28546" xr:uid="{00000000-0005-0000-0000-000054320000}"/>
    <cellStyle name="Millares 2 80 4 3 2 2 2 2 2" xfId="55679" xr:uid="{00000000-0005-0000-0000-000055320000}"/>
    <cellStyle name="Millares 2 80 4 3 2 2 2 3" xfId="42117" xr:uid="{00000000-0005-0000-0000-000056320000}"/>
    <cellStyle name="Millares 2 80 4 3 2 2 3" xfId="21765" xr:uid="{00000000-0005-0000-0000-000057320000}"/>
    <cellStyle name="Millares 2 80 4 3 2 2 3 2" xfId="48898" xr:uid="{00000000-0005-0000-0000-000058320000}"/>
    <cellStyle name="Millares 2 80 4 3 2 2 4" xfId="35336" xr:uid="{00000000-0005-0000-0000-000059320000}"/>
    <cellStyle name="Millares 2 80 4 3 2 3" xfId="11589" xr:uid="{00000000-0005-0000-0000-00005A320000}"/>
    <cellStyle name="Millares 2 80 4 3 2 3 2" xfId="25157" xr:uid="{00000000-0005-0000-0000-00005B320000}"/>
    <cellStyle name="Millares 2 80 4 3 2 3 2 2" xfId="52290" xr:uid="{00000000-0005-0000-0000-00005C320000}"/>
    <cellStyle name="Millares 2 80 4 3 2 3 3" xfId="38728" xr:uid="{00000000-0005-0000-0000-00005D320000}"/>
    <cellStyle name="Millares 2 80 4 3 2 4" xfId="18376" xr:uid="{00000000-0005-0000-0000-00005E320000}"/>
    <cellStyle name="Millares 2 80 4 3 2 4 2" xfId="45509" xr:uid="{00000000-0005-0000-0000-00005F320000}"/>
    <cellStyle name="Millares 2 80 4 3 2 5" xfId="31947" xr:uid="{00000000-0005-0000-0000-000060320000}"/>
    <cellStyle name="Millares 2 80 4 3 3" xfId="4581" xr:uid="{00000000-0005-0000-0000-000061320000}"/>
    <cellStyle name="Millares 2 80 4 3 3 2" xfId="8190" xr:uid="{00000000-0005-0000-0000-000062320000}"/>
    <cellStyle name="Millares 2 80 4 3 3 2 2" xfId="14979" xr:uid="{00000000-0005-0000-0000-000063320000}"/>
    <cellStyle name="Millares 2 80 4 3 3 2 2 2" xfId="28547" xr:uid="{00000000-0005-0000-0000-000064320000}"/>
    <cellStyle name="Millares 2 80 4 3 3 2 2 2 2" xfId="55680" xr:uid="{00000000-0005-0000-0000-000065320000}"/>
    <cellStyle name="Millares 2 80 4 3 3 2 2 3" xfId="42118" xr:uid="{00000000-0005-0000-0000-000066320000}"/>
    <cellStyle name="Millares 2 80 4 3 3 2 3" xfId="21766" xr:uid="{00000000-0005-0000-0000-000067320000}"/>
    <cellStyle name="Millares 2 80 4 3 3 2 3 2" xfId="48899" xr:uid="{00000000-0005-0000-0000-000068320000}"/>
    <cellStyle name="Millares 2 80 4 3 3 2 4" xfId="35337" xr:uid="{00000000-0005-0000-0000-000069320000}"/>
    <cellStyle name="Millares 2 80 4 3 3 3" xfId="11590" xr:uid="{00000000-0005-0000-0000-00006A320000}"/>
    <cellStyle name="Millares 2 80 4 3 3 3 2" xfId="25158" xr:uid="{00000000-0005-0000-0000-00006B320000}"/>
    <cellStyle name="Millares 2 80 4 3 3 3 2 2" xfId="52291" xr:uid="{00000000-0005-0000-0000-00006C320000}"/>
    <cellStyle name="Millares 2 80 4 3 3 3 3" xfId="38729" xr:uid="{00000000-0005-0000-0000-00006D320000}"/>
    <cellStyle name="Millares 2 80 4 3 3 4" xfId="18377" xr:uid="{00000000-0005-0000-0000-00006E320000}"/>
    <cellStyle name="Millares 2 80 4 3 3 4 2" xfId="45510" xr:uid="{00000000-0005-0000-0000-00006F320000}"/>
    <cellStyle name="Millares 2 80 4 3 3 5" xfId="31948" xr:uid="{00000000-0005-0000-0000-000070320000}"/>
    <cellStyle name="Millares 2 80 4 3 4" xfId="8188" xr:uid="{00000000-0005-0000-0000-000071320000}"/>
    <cellStyle name="Millares 2 80 4 3 4 2" xfId="14977" xr:uid="{00000000-0005-0000-0000-000072320000}"/>
    <cellStyle name="Millares 2 80 4 3 4 2 2" xfId="28545" xr:uid="{00000000-0005-0000-0000-000073320000}"/>
    <cellStyle name="Millares 2 80 4 3 4 2 2 2" xfId="55678" xr:uid="{00000000-0005-0000-0000-000074320000}"/>
    <cellStyle name="Millares 2 80 4 3 4 2 3" xfId="42116" xr:uid="{00000000-0005-0000-0000-000075320000}"/>
    <cellStyle name="Millares 2 80 4 3 4 3" xfId="21764" xr:uid="{00000000-0005-0000-0000-000076320000}"/>
    <cellStyle name="Millares 2 80 4 3 4 3 2" xfId="48897" xr:uid="{00000000-0005-0000-0000-000077320000}"/>
    <cellStyle name="Millares 2 80 4 3 4 4" xfId="35335" xr:uid="{00000000-0005-0000-0000-000078320000}"/>
    <cellStyle name="Millares 2 80 4 3 5" xfId="11588" xr:uid="{00000000-0005-0000-0000-000079320000}"/>
    <cellStyle name="Millares 2 80 4 3 5 2" xfId="25156" xr:uid="{00000000-0005-0000-0000-00007A320000}"/>
    <cellStyle name="Millares 2 80 4 3 5 2 2" xfId="52289" xr:uid="{00000000-0005-0000-0000-00007B320000}"/>
    <cellStyle name="Millares 2 80 4 3 5 3" xfId="38727" xr:uid="{00000000-0005-0000-0000-00007C320000}"/>
    <cellStyle name="Millares 2 80 4 3 6" xfId="18375" xr:uid="{00000000-0005-0000-0000-00007D320000}"/>
    <cellStyle name="Millares 2 80 4 3 6 2" xfId="45508" xr:uid="{00000000-0005-0000-0000-00007E320000}"/>
    <cellStyle name="Millares 2 80 4 3 7" xfId="31946" xr:uid="{00000000-0005-0000-0000-00007F320000}"/>
    <cellStyle name="Millares 2 80 4 4" xfId="4582" xr:uid="{00000000-0005-0000-0000-000080320000}"/>
    <cellStyle name="Millares 2 80 4 4 2" xfId="4583" xr:uid="{00000000-0005-0000-0000-000081320000}"/>
    <cellStyle name="Millares 2 80 4 4 2 2" xfId="8192" xr:uid="{00000000-0005-0000-0000-000082320000}"/>
    <cellStyle name="Millares 2 80 4 4 2 2 2" xfId="14981" xr:uid="{00000000-0005-0000-0000-000083320000}"/>
    <cellStyle name="Millares 2 80 4 4 2 2 2 2" xfId="28549" xr:uid="{00000000-0005-0000-0000-000084320000}"/>
    <cellStyle name="Millares 2 80 4 4 2 2 2 2 2" xfId="55682" xr:uid="{00000000-0005-0000-0000-000085320000}"/>
    <cellStyle name="Millares 2 80 4 4 2 2 2 3" xfId="42120" xr:uid="{00000000-0005-0000-0000-000086320000}"/>
    <cellStyle name="Millares 2 80 4 4 2 2 3" xfId="21768" xr:uid="{00000000-0005-0000-0000-000087320000}"/>
    <cellStyle name="Millares 2 80 4 4 2 2 3 2" xfId="48901" xr:uid="{00000000-0005-0000-0000-000088320000}"/>
    <cellStyle name="Millares 2 80 4 4 2 2 4" xfId="35339" xr:uid="{00000000-0005-0000-0000-000089320000}"/>
    <cellStyle name="Millares 2 80 4 4 2 3" xfId="11592" xr:uid="{00000000-0005-0000-0000-00008A320000}"/>
    <cellStyle name="Millares 2 80 4 4 2 3 2" xfId="25160" xr:uid="{00000000-0005-0000-0000-00008B320000}"/>
    <cellStyle name="Millares 2 80 4 4 2 3 2 2" xfId="52293" xr:uid="{00000000-0005-0000-0000-00008C320000}"/>
    <cellStyle name="Millares 2 80 4 4 2 3 3" xfId="38731" xr:uid="{00000000-0005-0000-0000-00008D320000}"/>
    <cellStyle name="Millares 2 80 4 4 2 4" xfId="18379" xr:uid="{00000000-0005-0000-0000-00008E320000}"/>
    <cellStyle name="Millares 2 80 4 4 2 4 2" xfId="45512" xr:uid="{00000000-0005-0000-0000-00008F320000}"/>
    <cellStyle name="Millares 2 80 4 4 2 5" xfId="31950" xr:uid="{00000000-0005-0000-0000-000090320000}"/>
    <cellStyle name="Millares 2 80 4 4 3" xfId="8191" xr:uid="{00000000-0005-0000-0000-000091320000}"/>
    <cellStyle name="Millares 2 80 4 4 3 2" xfId="14980" xr:uid="{00000000-0005-0000-0000-000092320000}"/>
    <cellStyle name="Millares 2 80 4 4 3 2 2" xfId="28548" xr:uid="{00000000-0005-0000-0000-000093320000}"/>
    <cellStyle name="Millares 2 80 4 4 3 2 2 2" xfId="55681" xr:uid="{00000000-0005-0000-0000-000094320000}"/>
    <cellStyle name="Millares 2 80 4 4 3 2 3" xfId="42119" xr:uid="{00000000-0005-0000-0000-000095320000}"/>
    <cellStyle name="Millares 2 80 4 4 3 3" xfId="21767" xr:uid="{00000000-0005-0000-0000-000096320000}"/>
    <cellStyle name="Millares 2 80 4 4 3 3 2" xfId="48900" xr:uid="{00000000-0005-0000-0000-000097320000}"/>
    <cellStyle name="Millares 2 80 4 4 3 4" xfId="35338" xr:uid="{00000000-0005-0000-0000-000098320000}"/>
    <cellStyle name="Millares 2 80 4 4 4" xfId="11591" xr:uid="{00000000-0005-0000-0000-000099320000}"/>
    <cellStyle name="Millares 2 80 4 4 4 2" xfId="25159" xr:uid="{00000000-0005-0000-0000-00009A320000}"/>
    <cellStyle name="Millares 2 80 4 4 4 2 2" xfId="52292" xr:uid="{00000000-0005-0000-0000-00009B320000}"/>
    <cellStyle name="Millares 2 80 4 4 4 3" xfId="38730" xr:uid="{00000000-0005-0000-0000-00009C320000}"/>
    <cellStyle name="Millares 2 80 4 4 5" xfId="18378" xr:uid="{00000000-0005-0000-0000-00009D320000}"/>
    <cellStyle name="Millares 2 80 4 4 5 2" xfId="45511" xr:uid="{00000000-0005-0000-0000-00009E320000}"/>
    <cellStyle name="Millares 2 80 4 4 6" xfId="31949" xr:uid="{00000000-0005-0000-0000-00009F320000}"/>
    <cellStyle name="Millares 2 80 4 5" xfId="4584" xr:uid="{00000000-0005-0000-0000-0000A0320000}"/>
    <cellStyle name="Millares 2 80 4 5 2" xfId="8193" xr:uid="{00000000-0005-0000-0000-0000A1320000}"/>
    <cellStyle name="Millares 2 80 4 5 2 2" xfId="14982" xr:uid="{00000000-0005-0000-0000-0000A2320000}"/>
    <cellStyle name="Millares 2 80 4 5 2 2 2" xfId="28550" xr:uid="{00000000-0005-0000-0000-0000A3320000}"/>
    <cellStyle name="Millares 2 80 4 5 2 2 2 2" xfId="55683" xr:uid="{00000000-0005-0000-0000-0000A4320000}"/>
    <cellStyle name="Millares 2 80 4 5 2 2 3" xfId="42121" xr:uid="{00000000-0005-0000-0000-0000A5320000}"/>
    <cellStyle name="Millares 2 80 4 5 2 3" xfId="21769" xr:uid="{00000000-0005-0000-0000-0000A6320000}"/>
    <cellStyle name="Millares 2 80 4 5 2 3 2" xfId="48902" xr:uid="{00000000-0005-0000-0000-0000A7320000}"/>
    <cellStyle name="Millares 2 80 4 5 2 4" xfId="35340" xr:uid="{00000000-0005-0000-0000-0000A8320000}"/>
    <cellStyle name="Millares 2 80 4 5 3" xfId="11593" xr:uid="{00000000-0005-0000-0000-0000A9320000}"/>
    <cellStyle name="Millares 2 80 4 5 3 2" xfId="25161" xr:uid="{00000000-0005-0000-0000-0000AA320000}"/>
    <cellStyle name="Millares 2 80 4 5 3 2 2" xfId="52294" xr:uid="{00000000-0005-0000-0000-0000AB320000}"/>
    <cellStyle name="Millares 2 80 4 5 3 3" xfId="38732" xr:uid="{00000000-0005-0000-0000-0000AC320000}"/>
    <cellStyle name="Millares 2 80 4 5 4" xfId="18380" xr:uid="{00000000-0005-0000-0000-0000AD320000}"/>
    <cellStyle name="Millares 2 80 4 5 4 2" xfId="45513" xr:uid="{00000000-0005-0000-0000-0000AE320000}"/>
    <cellStyle name="Millares 2 80 4 5 5" xfId="31951" xr:uid="{00000000-0005-0000-0000-0000AF320000}"/>
    <cellStyle name="Millares 2 80 4 6" xfId="4585" xr:uid="{00000000-0005-0000-0000-0000B0320000}"/>
    <cellStyle name="Millares 2 80 4 6 2" xfId="8194" xr:uid="{00000000-0005-0000-0000-0000B1320000}"/>
    <cellStyle name="Millares 2 80 4 6 2 2" xfId="14983" xr:uid="{00000000-0005-0000-0000-0000B2320000}"/>
    <cellStyle name="Millares 2 80 4 6 2 2 2" xfId="28551" xr:uid="{00000000-0005-0000-0000-0000B3320000}"/>
    <cellStyle name="Millares 2 80 4 6 2 2 2 2" xfId="55684" xr:uid="{00000000-0005-0000-0000-0000B4320000}"/>
    <cellStyle name="Millares 2 80 4 6 2 2 3" xfId="42122" xr:uid="{00000000-0005-0000-0000-0000B5320000}"/>
    <cellStyle name="Millares 2 80 4 6 2 3" xfId="21770" xr:uid="{00000000-0005-0000-0000-0000B6320000}"/>
    <cellStyle name="Millares 2 80 4 6 2 3 2" xfId="48903" xr:uid="{00000000-0005-0000-0000-0000B7320000}"/>
    <cellStyle name="Millares 2 80 4 6 2 4" xfId="35341" xr:uid="{00000000-0005-0000-0000-0000B8320000}"/>
    <cellStyle name="Millares 2 80 4 6 3" xfId="11594" xr:uid="{00000000-0005-0000-0000-0000B9320000}"/>
    <cellStyle name="Millares 2 80 4 6 3 2" xfId="25162" xr:uid="{00000000-0005-0000-0000-0000BA320000}"/>
    <cellStyle name="Millares 2 80 4 6 3 2 2" xfId="52295" xr:uid="{00000000-0005-0000-0000-0000BB320000}"/>
    <cellStyle name="Millares 2 80 4 6 3 3" xfId="38733" xr:uid="{00000000-0005-0000-0000-0000BC320000}"/>
    <cellStyle name="Millares 2 80 4 6 4" xfId="18381" xr:uid="{00000000-0005-0000-0000-0000BD320000}"/>
    <cellStyle name="Millares 2 80 4 6 4 2" xfId="45514" xr:uid="{00000000-0005-0000-0000-0000BE320000}"/>
    <cellStyle name="Millares 2 80 4 6 5" xfId="31952" xr:uid="{00000000-0005-0000-0000-0000BF320000}"/>
    <cellStyle name="Millares 2 80 4 7" xfId="8179" xr:uid="{00000000-0005-0000-0000-0000C0320000}"/>
    <cellStyle name="Millares 2 80 4 7 2" xfId="14968" xr:uid="{00000000-0005-0000-0000-0000C1320000}"/>
    <cellStyle name="Millares 2 80 4 7 2 2" xfId="28536" xr:uid="{00000000-0005-0000-0000-0000C2320000}"/>
    <cellStyle name="Millares 2 80 4 7 2 2 2" xfId="55669" xr:uid="{00000000-0005-0000-0000-0000C3320000}"/>
    <cellStyle name="Millares 2 80 4 7 2 3" xfId="42107" xr:uid="{00000000-0005-0000-0000-0000C4320000}"/>
    <cellStyle name="Millares 2 80 4 7 3" xfId="21755" xr:uid="{00000000-0005-0000-0000-0000C5320000}"/>
    <cellStyle name="Millares 2 80 4 7 3 2" xfId="48888" xr:uid="{00000000-0005-0000-0000-0000C6320000}"/>
    <cellStyle name="Millares 2 80 4 7 4" xfId="35326" xr:uid="{00000000-0005-0000-0000-0000C7320000}"/>
    <cellStyle name="Millares 2 80 4 8" xfId="11579" xr:uid="{00000000-0005-0000-0000-0000C8320000}"/>
    <cellStyle name="Millares 2 80 4 8 2" xfId="25147" xr:uid="{00000000-0005-0000-0000-0000C9320000}"/>
    <cellStyle name="Millares 2 80 4 8 2 2" xfId="52280" xr:uid="{00000000-0005-0000-0000-0000CA320000}"/>
    <cellStyle name="Millares 2 80 4 8 3" xfId="38718" xr:uid="{00000000-0005-0000-0000-0000CB320000}"/>
    <cellStyle name="Millares 2 80 4 9" xfId="18366" xr:uid="{00000000-0005-0000-0000-0000CC320000}"/>
    <cellStyle name="Millares 2 80 4 9 2" xfId="45499" xr:uid="{00000000-0005-0000-0000-0000CD320000}"/>
    <cellStyle name="Millares 2 80 5" xfId="4586" xr:uid="{00000000-0005-0000-0000-0000CE320000}"/>
    <cellStyle name="Millares 2 80 5 2" xfId="4587" xr:uid="{00000000-0005-0000-0000-0000CF320000}"/>
    <cellStyle name="Millares 2 80 5 2 2" xfId="4588" xr:uid="{00000000-0005-0000-0000-0000D0320000}"/>
    <cellStyle name="Millares 2 80 5 2 2 2" xfId="8197" xr:uid="{00000000-0005-0000-0000-0000D1320000}"/>
    <cellStyle name="Millares 2 80 5 2 2 2 2" xfId="14986" xr:uid="{00000000-0005-0000-0000-0000D2320000}"/>
    <cellStyle name="Millares 2 80 5 2 2 2 2 2" xfId="28554" xr:uid="{00000000-0005-0000-0000-0000D3320000}"/>
    <cellStyle name="Millares 2 80 5 2 2 2 2 2 2" xfId="55687" xr:uid="{00000000-0005-0000-0000-0000D4320000}"/>
    <cellStyle name="Millares 2 80 5 2 2 2 2 3" xfId="42125" xr:uid="{00000000-0005-0000-0000-0000D5320000}"/>
    <cellStyle name="Millares 2 80 5 2 2 2 3" xfId="21773" xr:uid="{00000000-0005-0000-0000-0000D6320000}"/>
    <cellStyle name="Millares 2 80 5 2 2 2 3 2" xfId="48906" xr:uid="{00000000-0005-0000-0000-0000D7320000}"/>
    <cellStyle name="Millares 2 80 5 2 2 2 4" xfId="35344" xr:uid="{00000000-0005-0000-0000-0000D8320000}"/>
    <cellStyle name="Millares 2 80 5 2 2 3" xfId="11597" xr:uid="{00000000-0005-0000-0000-0000D9320000}"/>
    <cellStyle name="Millares 2 80 5 2 2 3 2" xfId="25165" xr:uid="{00000000-0005-0000-0000-0000DA320000}"/>
    <cellStyle name="Millares 2 80 5 2 2 3 2 2" xfId="52298" xr:uid="{00000000-0005-0000-0000-0000DB320000}"/>
    <cellStyle name="Millares 2 80 5 2 2 3 3" xfId="38736" xr:uid="{00000000-0005-0000-0000-0000DC320000}"/>
    <cellStyle name="Millares 2 80 5 2 2 4" xfId="18384" xr:uid="{00000000-0005-0000-0000-0000DD320000}"/>
    <cellStyle name="Millares 2 80 5 2 2 4 2" xfId="45517" xr:uid="{00000000-0005-0000-0000-0000DE320000}"/>
    <cellStyle name="Millares 2 80 5 2 2 5" xfId="31955" xr:uid="{00000000-0005-0000-0000-0000DF320000}"/>
    <cellStyle name="Millares 2 80 5 2 3" xfId="4589" xr:uid="{00000000-0005-0000-0000-0000E0320000}"/>
    <cellStyle name="Millares 2 80 5 2 3 2" xfId="8198" xr:uid="{00000000-0005-0000-0000-0000E1320000}"/>
    <cellStyle name="Millares 2 80 5 2 3 2 2" xfId="14987" xr:uid="{00000000-0005-0000-0000-0000E2320000}"/>
    <cellStyle name="Millares 2 80 5 2 3 2 2 2" xfId="28555" xr:uid="{00000000-0005-0000-0000-0000E3320000}"/>
    <cellStyle name="Millares 2 80 5 2 3 2 2 2 2" xfId="55688" xr:uid="{00000000-0005-0000-0000-0000E4320000}"/>
    <cellStyle name="Millares 2 80 5 2 3 2 2 3" xfId="42126" xr:uid="{00000000-0005-0000-0000-0000E5320000}"/>
    <cellStyle name="Millares 2 80 5 2 3 2 3" xfId="21774" xr:uid="{00000000-0005-0000-0000-0000E6320000}"/>
    <cellStyle name="Millares 2 80 5 2 3 2 3 2" xfId="48907" xr:uid="{00000000-0005-0000-0000-0000E7320000}"/>
    <cellStyle name="Millares 2 80 5 2 3 2 4" xfId="35345" xr:uid="{00000000-0005-0000-0000-0000E8320000}"/>
    <cellStyle name="Millares 2 80 5 2 3 3" xfId="11598" xr:uid="{00000000-0005-0000-0000-0000E9320000}"/>
    <cellStyle name="Millares 2 80 5 2 3 3 2" xfId="25166" xr:uid="{00000000-0005-0000-0000-0000EA320000}"/>
    <cellStyle name="Millares 2 80 5 2 3 3 2 2" xfId="52299" xr:uid="{00000000-0005-0000-0000-0000EB320000}"/>
    <cellStyle name="Millares 2 80 5 2 3 3 3" xfId="38737" xr:uid="{00000000-0005-0000-0000-0000EC320000}"/>
    <cellStyle name="Millares 2 80 5 2 3 4" xfId="18385" xr:uid="{00000000-0005-0000-0000-0000ED320000}"/>
    <cellStyle name="Millares 2 80 5 2 3 4 2" xfId="45518" xr:uid="{00000000-0005-0000-0000-0000EE320000}"/>
    <cellStyle name="Millares 2 80 5 2 3 5" xfId="31956" xr:uid="{00000000-0005-0000-0000-0000EF320000}"/>
    <cellStyle name="Millares 2 80 5 2 4" xfId="8196" xr:uid="{00000000-0005-0000-0000-0000F0320000}"/>
    <cellStyle name="Millares 2 80 5 2 4 2" xfId="14985" xr:uid="{00000000-0005-0000-0000-0000F1320000}"/>
    <cellStyle name="Millares 2 80 5 2 4 2 2" xfId="28553" xr:uid="{00000000-0005-0000-0000-0000F2320000}"/>
    <cellStyle name="Millares 2 80 5 2 4 2 2 2" xfId="55686" xr:uid="{00000000-0005-0000-0000-0000F3320000}"/>
    <cellStyle name="Millares 2 80 5 2 4 2 3" xfId="42124" xr:uid="{00000000-0005-0000-0000-0000F4320000}"/>
    <cellStyle name="Millares 2 80 5 2 4 3" xfId="21772" xr:uid="{00000000-0005-0000-0000-0000F5320000}"/>
    <cellStyle name="Millares 2 80 5 2 4 3 2" xfId="48905" xr:uid="{00000000-0005-0000-0000-0000F6320000}"/>
    <cellStyle name="Millares 2 80 5 2 4 4" xfId="35343" xr:uid="{00000000-0005-0000-0000-0000F7320000}"/>
    <cellStyle name="Millares 2 80 5 2 5" xfId="11596" xr:uid="{00000000-0005-0000-0000-0000F8320000}"/>
    <cellStyle name="Millares 2 80 5 2 5 2" xfId="25164" xr:uid="{00000000-0005-0000-0000-0000F9320000}"/>
    <cellStyle name="Millares 2 80 5 2 5 2 2" xfId="52297" xr:uid="{00000000-0005-0000-0000-0000FA320000}"/>
    <cellStyle name="Millares 2 80 5 2 5 3" xfId="38735" xr:uid="{00000000-0005-0000-0000-0000FB320000}"/>
    <cellStyle name="Millares 2 80 5 2 6" xfId="18383" xr:uid="{00000000-0005-0000-0000-0000FC320000}"/>
    <cellStyle name="Millares 2 80 5 2 6 2" xfId="45516" xr:uid="{00000000-0005-0000-0000-0000FD320000}"/>
    <cellStyle name="Millares 2 80 5 2 7" xfId="31954" xr:uid="{00000000-0005-0000-0000-0000FE320000}"/>
    <cellStyle name="Millares 2 80 5 3" xfId="4590" xr:uid="{00000000-0005-0000-0000-0000FF320000}"/>
    <cellStyle name="Millares 2 80 5 3 2" xfId="4591" xr:uid="{00000000-0005-0000-0000-000000330000}"/>
    <cellStyle name="Millares 2 80 5 3 2 2" xfId="8200" xr:uid="{00000000-0005-0000-0000-000001330000}"/>
    <cellStyle name="Millares 2 80 5 3 2 2 2" xfId="14989" xr:uid="{00000000-0005-0000-0000-000002330000}"/>
    <cellStyle name="Millares 2 80 5 3 2 2 2 2" xfId="28557" xr:uid="{00000000-0005-0000-0000-000003330000}"/>
    <cellStyle name="Millares 2 80 5 3 2 2 2 2 2" xfId="55690" xr:uid="{00000000-0005-0000-0000-000004330000}"/>
    <cellStyle name="Millares 2 80 5 3 2 2 2 3" xfId="42128" xr:uid="{00000000-0005-0000-0000-000005330000}"/>
    <cellStyle name="Millares 2 80 5 3 2 2 3" xfId="21776" xr:uid="{00000000-0005-0000-0000-000006330000}"/>
    <cellStyle name="Millares 2 80 5 3 2 2 3 2" xfId="48909" xr:uid="{00000000-0005-0000-0000-000007330000}"/>
    <cellStyle name="Millares 2 80 5 3 2 2 4" xfId="35347" xr:uid="{00000000-0005-0000-0000-000008330000}"/>
    <cellStyle name="Millares 2 80 5 3 2 3" xfId="11600" xr:uid="{00000000-0005-0000-0000-000009330000}"/>
    <cellStyle name="Millares 2 80 5 3 2 3 2" xfId="25168" xr:uid="{00000000-0005-0000-0000-00000A330000}"/>
    <cellStyle name="Millares 2 80 5 3 2 3 2 2" xfId="52301" xr:uid="{00000000-0005-0000-0000-00000B330000}"/>
    <cellStyle name="Millares 2 80 5 3 2 3 3" xfId="38739" xr:uid="{00000000-0005-0000-0000-00000C330000}"/>
    <cellStyle name="Millares 2 80 5 3 2 4" xfId="18387" xr:uid="{00000000-0005-0000-0000-00000D330000}"/>
    <cellStyle name="Millares 2 80 5 3 2 4 2" xfId="45520" xr:uid="{00000000-0005-0000-0000-00000E330000}"/>
    <cellStyle name="Millares 2 80 5 3 2 5" xfId="31958" xr:uid="{00000000-0005-0000-0000-00000F330000}"/>
    <cellStyle name="Millares 2 80 5 3 3" xfId="8199" xr:uid="{00000000-0005-0000-0000-000010330000}"/>
    <cellStyle name="Millares 2 80 5 3 3 2" xfId="14988" xr:uid="{00000000-0005-0000-0000-000011330000}"/>
    <cellStyle name="Millares 2 80 5 3 3 2 2" xfId="28556" xr:uid="{00000000-0005-0000-0000-000012330000}"/>
    <cellStyle name="Millares 2 80 5 3 3 2 2 2" xfId="55689" xr:uid="{00000000-0005-0000-0000-000013330000}"/>
    <cellStyle name="Millares 2 80 5 3 3 2 3" xfId="42127" xr:uid="{00000000-0005-0000-0000-000014330000}"/>
    <cellStyle name="Millares 2 80 5 3 3 3" xfId="21775" xr:uid="{00000000-0005-0000-0000-000015330000}"/>
    <cellStyle name="Millares 2 80 5 3 3 3 2" xfId="48908" xr:uid="{00000000-0005-0000-0000-000016330000}"/>
    <cellStyle name="Millares 2 80 5 3 3 4" xfId="35346" xr:uid="{00000000-0005-0000-0000-000017330000}"/>
    <cellStyle name="Millares 2 80 5 3 4" xfId="11599" xr:uid="{00000000-0005-0000-0000-000018330000}"/>
    <cellStyle name="Millares 2 80 5 3 4 2" xfId="25167" xr:uid="{00000000-0005-0000-0000-000019330000}"/>
    <cellStyle name="Millares 2 80 5 3 4 2 2" xfId="52300" xr:uid="{00000000-0005-0000-0000-00001A330000}"/>
    <cellStyle name="Millares 2 80 5 3 4 3" xfId="38738" xr:uid="{00000000-0005-0000-0000-00001B330000}"/>
    <cellStyle name="Millares 2 80 5 3 5" xfId="18386" xr:uid="{00000000-0005-0000-0000-00001C330000}"/>
    <cellStyle name="Millares 2 80 5 3 5 2" xfId="45519" xr:uid="{00000000-0005-0000-0000-00001D330000}"/>
    <cellStyle name="Millares 2 80 5 3 6" xfId="31957" xr:uid="{00000000-0005-0000-0000-00001E330000}"/>
    <cellStyle name="Millares 2 80 5 4" xfId="4592" xr:uid="{00000000-0005-0000-0000-00001F330000}"/>
    <cellStyle name="Millares 2 80 5 4 2" xfId="8201" xr:uid="{00000000-0005-0000-0000-000020330000}"/>
    <cellStyle name="Millares 2 80 5 4 2 2" xfId="14990" xr:uid="{00000000-0005-0000-0000-000021330000}"/>
    <cellStyle name="Millares 2 80 5 4 2 2 2" xfId="28558" xr:uid="{00000000-0005-0000-0000-000022330000}"/>
    <cellStyle name="Millares 2 80 5 4 2 2 2 2" xfId="55691" xr:uid="{00000000-0005-0000-0000-000023330000}"/>
    <cellStyle name="Millares 2 80 5 4 2 2 3" xfId="42129" xr:uid="{00000000-0005-0000-0000-000024330000}"/>
    <cellStyle name="Millares 2 80 5 4 2 3" xfId="21777" xr:uid="{00000000-0005-0000-0000-000025330000}"/>
    <cellStyle name="Millares 2 80 5 4 2 3 2" xfId="48910" xr:uid="{00000000-0005-0000-0000-000026330000}"/>
    <cellStyle name="Millares 2 80 5 4 2 4" xfId="35348" xr:uid="{00000000-0005-0000-0000-000027330000}"/>
    <cellStyle name="Millares 2 80 5 4 3" xfId="11601" xr:uid="{00000000-0005-0000-0000-000028330000}"/>
    <cellStyle name="Millares 2 80 5 4 3 2" xfId="25169" xr:uid="{00000000-0005-0000-0000-000029330000}"/>
    <cellStyle name="Millares 2 80 5 4 3 2 2" xfId="52302" xr:uid="{00000000-0005-0000-0000-00002A330000}"/>
    <cellStyle name="Millares 2 80 5 4 3 3" xfId="38740" xr:uid="{00000000-0005-0000-0000-00002B330000}"/>
    <cellStyle name="Millares 2 80 5 4 4" xfId="18388" xr:uid="{00000000-0005-0000-0000-00002C330000}"/>
    <cellStyle name="Millares 2 80 5 4 4 2" xfId="45521" xr:uid="{00000000-0005-0000-0000-00002D330000}"/>
    <cellStyle name="Millares 2 80 5 4 5" xfId="31959" xr:uid="{00000000-0005-0000-0000-00002E330000}"/>
    <cellStyle name="Millares 2 80 5 5" xfId="4593" xr:uid="{00000000-0005-0000-0000-00002F330000}"/>
    <cellStyle name="Millares 2 80 5 5 2" xfId="8202" xr:uid="{00000000-0005-0000-0000-000030330000}"/>
    <cellStyle name="Millares 2 80 5 5 2 2" xfId="14991" xr:uid="{00000000-0005-0000-0000-000031330000}"/>
    <cellStyle name="Millares 2 80 5 5 2 2 2" xfId="28559" xr:uid="{00000000-0005-0000-0000-000032330000}"/>
    <cellStyle name="Millares 2 80 5 5 2 2 2 2" xfId="55692" xr:uid="{00000000-0005-0000-0000-000033330000}"/>
    <cellStyle name="Millares 2 80 5 5 2 2 3" xfId="42130" xr:uid="{00000000-0005-0000-0000-000034330000}"/>
    <cellStyle name="Millares 2 80 5 5 2 3" xfId="21778" xr:uid="{00000000-0005-0000-0000-000035330000}"/>
    <cellStyle name="Millares 2 80 5 5 2 3 2" xfId="48911" xr:uid="{00000000-0005-0000-0000-000036330000}"/>
    <cellStyle name="Millares 2 80 5 5 2 4" xfId="35349" xr:uid="{00000000-0005-0000-0000-000037330000}"/>
    <cellStyle name="Millares 2 80 5 5 3" xfId="11602" xr:uid="{00000000-0005-0000-0000-000038330000}"/>
    <cellStyle name="Millares 2 80 5 5 3 2" xfId="25170" xr:uid="{00000000-0005-0000-0000-000039330000}"/>
    <cellStyle name="Millares 2 80 5 5 3 2 2" xfId="52303" xr:uid="{00000000-0005-0000-0000-00003A330000}"/>
    <cellStyle name="Millares 2 80 5 5 3 3" xfId="38741" xr:uid="{00000000-0005-0000-0000-00003B330000}"/>
    <cellStyle name="Millares 2 80 5 5 4" xfId="18389" xr:uid="{00000000-0005-0000-0000-00003C330000}"/>
    <cellStyle name="Millares 2 80 5 5 4 2" xfId="45522" xr:uid="{00000000-0005-0000-0000-00003D330000}"/>
    <cellStyle name="Millares 2 80 5 5 5" xfId="31960" xr:uid="{00000000-0005-0000-0000-00003E330000}"/>
    <cellStyle name="Millares 2 80 5 6" xfId="8195" xr:uid="{00000000-0005-0000-0000-00003F330000}"/>
    <cellStyle name="Millares 2 80 5 6 2" xfId="14984" xr:uid="{00000000-0005-0000-0000-000040330000}"/>
    <cellStyle name="Millares 2 80 5 6 2 2" xfId="28552" xr:uid="{00000000-0005-0000-0000-000041330000}"/>
    <cellStyle name="Millares 2 80 5 6 2 2 2" xfId="55685" xr:uid="{00000000-0005-0000-0000-000042330000}"/>
    <cellStyle name="Millares 2 80 5 6 2 3" xfId="42123" xr:uid="{00000000-0005-0000-0000-000043330000}"/>
    <cellStyle name="Millares 2 80 5 6 3" xfId="21771" xr:uid="{00000000-0005-0000-0000-000044330000}"/>
    <cellStyle name="Millares 2 80 5 6 3 2" xfId="48904" xr:uid="{00000000-0005-0000-0000-000045330000}"/>
    <cellStyle name="Millares 2 80 5 6 4" xfId="35342" xr:uid="{00000000-0005-0000-0000-000046330000}"/>
    <cellStyle name="Millares 2 80 5 7" xfId="11595" xr:uid="{00000000-0005-0000-0000-000047330000}"/>
    <cellStyle name="Millares 2 80 5 7 2" xfId="25163" xr:uid="{00000000-0005-0000-0000-000048330000}"/>
    <cellStyle name="Millares 2 80 5 7 2 2" xfId="52296" xr:uid="{00000000-0005-0000-0000-000049330000}"/>
    <cellStyle name="Millares 2 80 5 7 3" xfId="38734" xr:uid="{00000000-0005-0000-0000-00004A330000}"/>
    <cellStyle name="Millares 2 80 5 8" xfId="18382" xr:uid="{00000000-0005-0000-0000-00004B330000}"/>
    <cellStyle name="Millares 2 80 5 8 2" xfId="45515" xr:uid="{00000000-0005-0000-0000-00004C330000}"/>
    <cellStyle name="Millares 2 80 5 9" xfId="31953" xr:uid="{00000000-0005-0000-0000-00004D330000}"/>
    <cellStyle name="Millares 2 80 6" xfId="4594" xr:uid="{00000000-0005-0000-0000-00004E330000}"/>
    <cellStyle name="Millares 2 80 6 2" xfId="4595" xr:uid="{00000000-0005-0000-0000-00004F330000}"/>
    <cellStyle name="Millares 2 80 6 2 2" xfId="4596" xr:uid="{00000000-0005-0000-0000-000050330000}"/>
    <cellStyle name="Millares 2 80 6 2 2 2" xfId="8205" xr:uid="{00000000-0005-0000-0000-000051330000}"/>
    <cellStyle name="Millares 2 80 6 2 2 2 2" xfId="14994" xr:uid="{00000000-0005-0000-0000-000052330000}"/>
    <cellStyle name="Millares 2 80 6 2 2 2 2 2" xfId="28562" xr:uid="{00000000-0005-0000-0000-000053330000}"/>
    <cellStyle name="Millares 2 80 6 2 2 2 2 2 2" xfId="55695" xr:uid="{00000000-0005-0000-0000-000054330000}"/>
    <cellStyle name="Millares 2 80 6 2 2 2 2 3" xfId="42133" xr:uid="{00000000-0005-0000-0000-000055330000}"/>
    <cellStyle name="Millares 2 80 6 2 2 2 3" xfId="21781" xr:uid="{00000000-0005-0000-0000-000056330000}"/>
    <cellStyle name="Millares 2 80 6 2 2 2 3 2" xfId="48914" xr:uid="{00000000-0005-0000-0000-000057330000}"/>
    <cellStyle name="Millares 2 80 6 2 2 2 4" xfId="35352" xr:uid="{00000000-0005-0000-0000-000058330000}"/>
    <cellStyle name="Millares 2 80 6 2 2 3" xfId="11605" xr:uid="{00000000-0005-0000-0000-000059330000}"/>
    <cellStyle name="Millares 2 80 6 2 2 3 2" xfId="25173" xr:uid="{00000000-0005-0000-0000-00005A330000}"/>
    <cellStyle name="Millares 2 80 6 2 2 3 2 2" xfId="52306" xr:uid="{00000000-0005-0000-0000-00005B330000}"/>
    <cellStyle name="Millares 2 80 6 2 2 3 3" xfId="38744" xr:uid="{00000000-0005-0000-0000-00005C330000}"/>
    <cellStyle name="Millares 2 80 6 2 2 4" xfId="18392" xr:uid="{00000000-0005-0000-0000-00005D330000}"/>
    <cellStyle name="Millares 2 80 6 2 2 4 2" xfId="45525" xr:uid="{00000000-0005-0000-0000-00005E330000}"/>
    <cellStyle name="Millares 2 80 6 2 2 5" xfId="31963" xr:uid="{00000000-0005-0000-0000-00005F330000}"/>
    <cellStyle name="Millares 2 80 6 2 3" xfId="4597" xr:uid="{00000000-0005-0000-0000-000060330000}"/>
    <cellStyle name="Millares 2 80 6 2 3 2" xfId="8206" xr:uid="{00000000-0005-0000-0000-000061330000}"/>
    <cellStyle name="Millares 2 80 6 2 3 2 2" xfId="14995" xr:uid="{00000000-0005-0000-0000-000062330000}"/>
    <cellStyle name="Millares 2 80 6 2 3 2 2 2" xfId="28563" xr:uid="{00000000-0005-0000-0000-000063330000}"/>
    <cellStyle name="Millares 2 80 6 2 3 2 2 2 2" xfId="55696" xr:uid="{00000000-0005-0000-0000-000064330000}"/>
    <cellStyle name="Millares 2 80 6 2 3 2 2 3" xfId="42134" xr:uid="{00000000-0005-0000-0000-000065330000}"/>
    <cellStyle name="Millares 2 80 6 2 3 2 3" xfId="21782" xr:uid="{00000000-0005-0000-0000-000066330000}"/>
    <cellStyle name="Millares 2 80 6 2 3 2 3 2" xfId="48915" xr:uid="{00000000-0005-0000-0000-000067330000}"/>
    <cellStyle name="Millares 2 80 6 2 3 2 4" xfId="35353" xr:uid="{00000000-0005-0000-0000-000068330000}"/>
    <cellStyle name="Millares 2 80 6 2 3 3" xfId="11606" xr:uid="{00000000-0005-0000-0000-000069330000}"/>
    <cellStyle name="Millares 2 80 6 2 3 3 2" xfId="25174" xr:uid="{00000000-0005-0000-0000-00006A330000}"/>
    <cellStyle name="Millares 2 80 6 2 3 3 2 2" xfId="52307" xr:uid="{00000000-0005-0000-0000-00006B330000}"/>
    <cellStyle name="Millares 2 80 6 2 3 3 3" xfId="38745" xr:uid="{00000000-0005-0000-0000-00006C330000}"/>
    <cellStyle name="Millares 2 80 6 2 3 4" xfId="18393" xr:uid="{00000000-0005-0000-0000-00006D330000}"/>
    <cellStyle name="Millares 2 80 6 2 3 4 2" xfId="45526" xr:uid="{00000000-0005-0000-0000-00006E330000}"/>
    <cellStyle name="Millares 2 80 6 2 3 5" xfId="31964" xr:uid="{00000000-0005-0000-0000-00006F330000}"/>
    <cellStyle name="Millares 2 80 6 2 4" xfId="8204" xr:uid="{00000000-0005-0000-0000-000070330000}"/>
    <cellStyle name="Millares 2 80 6 2 4 2" xfId="14993" xr:uid="{00000000-0005-0000-0000-000071330000}"/>
    <cellStyle name="Millares 2 80 6 2 4 2 2" xfId="28561" xr:uid="{00000000-0005-0000-0000-000072330000}"/>
    <cellStyle name="Millares 2 80 6 2 4 2 2 2" xfId="55694" xr:uid="{00000000-0005-0000-0000-000073330000}"/>
    <cellStyle name="Millares 2 80 6 2 4 2 3" xfId="42132" xr:uid="{00000000-0005-0000-0000-000074330000}"/>
    <cellStyle name="Millares 2 80 6 2 4 3" xfId="21780" xr:uid="{00000000-0005-0000-0000-000075330000}"/>
    <cellStyle name="Millares 2 80 6 2 4 3 2" xfId="48913" xr:uid="{00000000-0005-0000-0000-000076330000}"/>
    <cellStyle name="Millares 2 80 6 2 4 4" xfId="35351" xr:uid="{00000000-0005-0000-0000-000077330000}"/>
    <cellStyle name="Millares 2 80 6 2 5" xfId="11604" xr:uid="{00000000-0005-0000-0000-000078330000}"/>
    <cellStyle name="Millares 2 80 6 2 5 2" xfId="25172" xr:uid="{00000000-0005-0000-0000-000079330000}"/>
    <cellStyle name="Millares 2 80 6 2 5 2 2" xfId="52305" xr:uid="{00000000-0005-0000-0000-00007A330000}"/>
    <cellStyle name="Millares 2 80 6 2 5 3" xfId="38743" xr:uid="{00000000-0005-0000-0000-00007B330000}"/>
    <cellStyle name="Millares 2 80 6 2 6" xfId="18391" xr:uid="{00000000-0005-0000-0000-00007C330000}"/>
    <cellStyle name="Millares 2 80 6 2 6 2" xfId="45524" xr:uid="{00000000-0005-0000-0000-00007D330000}"/>
    <cellStyle name="Millares 2 80 6 2 7" xfId="31962" xr:uid="{00000000-0005-0000-0000-00007E330000}"/>
    <cellStyle name="Millares 2 80 6 3" xfId="4598" xr:uid="{00000000-0005-0000-0000-00007F330000}"/>
    <cellStyle name="Millares 2 80 6 3 2" xfId="8207" xr:uid="{00000000-0005-0000-0000-000080330000}"/>
    <cellStyle name="Millares 2 80 6 3 2 2" xfId="14996" xr:uid="{00000000-0005-0000-0000-000081330000}"/>
    <cellStyle name="Millares 2 80 6 3 2 2 2" xfId="28564" xr:uid="{00000000-0005-0000-0000-000082330000}"/>
    <cellStyle name="Millares 2 80 6 3 2 2 2 2" xfId="55697" xr:uid="{00000000-0005-0000-0000-000083330000}"/>
    <cellStyle name="Millares 2 80 6 3 2 2 3" xfId="42135" xr:uid="{00000000-0005-0000-0000-000084330000}"/>
    <cellStyle name="Millares 2 80 6 3 2 3" xfId="21783" xr:uid="{00000000-0005-0000-0000-000085330000}"/>
    <cellStyle name="Millares 2 80 6 3 2 3 2" xfId="48916" xr:uid="{00000000-0005-0000-0000-000086330000}"/>
    <cellStyle name="Millares 2 80 6 3 2 4" xfId="35354" xr:uid="{00000000-0005-0000-0000-000087330000}"/>
    <cellStyle name="Millares 2 80 6 3 3" xfId="11607" xr:uid="{00000000-0005-0000-0000-000088330000}"/>
    <cellStyle name="Millares 2 80 6 3 3 2" xfId="25175" xr:uid="{00000000-0005-0000-0000-000089330000}"/>
    <cellStyle name="Millares 2 80 6 3 3 2 2" xfId="52308" xr:uid="{00000000-0005-0000-0000-00008A330000}"/>
    <cellStyle name="Millares 2 80 6 3 3 3" xfId="38746" xr:uid="{00000000-0005-0000-0000-00008B330000}"/>
    <cellStyle name="Millares 2 80 6 3 4" xfId="18394" xr:uid="{00000000-0005-0000-0000-00008C330000}"/>
    <cellStyle name="Millares 2 80 6 3 4 2" xfId="45527" xr:uid="{00000000-0005-0000-0000-00008D330000}"/>
    <cellStyle name="Millares 2 80 6 3 5" xfId="31965" xr:uid="{00000000-0005-0000-0000-00008E330000}"/>
    <cellStyle name="Millares 2 80 6 4" xfId="4599" xr:uid="{00000000-0005-0000-0000-00008F330000}"/>
    <cellStyle name="Millares 2 80 6 4 2" xfId="8208" xr:uid="{00000000-0005-0000-0000-000090330000}"/>
    <cellStyle name="Millares 2 80 6 4 2 2" xfId="14997" xr:uid="{00000000-0005-0000-0000-000091330000}"/>
    <cellStyle name="Millares 2 80 6 4 2 2 2" xfId="28565" xr:uid="{00000000-0005-0000-0000-000092330000}"/>
    <cellStyle name="Millares 2 80 6 4 2 2 2 2" xfId="55698" xr:uid="{00000000-0005-0000-0000-000093330000}"/>
    <cellStyle name="Millares 2 80 6 4 2 2 3" xfId="42136" xr:uid="{00000000-0005-0000-0000-000094330000}"/>
    <cellStyle name="Millares 2 80 6 4 2 3" xfId="21784" xr:uid="{00000000-0005-0000-0000-000095330000}"/>
    <cellStyle name="Millares 2 80 6 4 2 3 2" xfId="48917" xr:uid="{00000000-0005-0000-0000-000096330000}"/>
    <cellStyle name="Millares 2 80 6 4 2 4" xfId="35355" xr:uid="{00000000-0005-0000-0000-000097330000}"/>
    <cellStyle name="Millares 2 80 6 4 3" xfId="11608" xr:uid="{00000000-0005-0000-0000-000098330000}"/>
    <cellStyle name="Millares 2 80 6 4 3 2" xfId="25176" xr:uid="{00000000-0005-0000-0000-000099330000}"/>
    <cellStyle name="Millares 2 80 6 4 3 2 2" xfId="52309" xr:uid="{00000000-0005-0000-0000-00009A330000}"/>
    <cellStyle name="Millares 2 80 6 4 3 3" xfId="38747" xr:uid="{00000000-0005-0000-0000-00009B330000}"/>
    <cellStyle name="Millares 2 80 6 4 4" xfId="18395" xr:uid="{00000000-0005-0000-0000-00009C330000}"/>
    <cellStyle name="Millares 2 80 6 4 4 2" xfId="45528" xr:uid="{00000000-0005-0000-0000-00009D330000}"/>
    <cellStyle name="Millares 2 80 6 4 5" xfId="31966" xr:uid="{00000000-0005-0000-0000-00009E330000}"/>
    <cellStyle name="Millares 2 80 6 5" xfId="8203" xr:uid="{00000000-0005-0000-0000-00009F330000}"/>
    <cellStyle name="Millares 2 80 6 5 2" xfId="14992" xr:uid="{00000000-0005-0000-0000-0000A0330000}"/>
    <cellStyle name="Millares 2 80 6 5 2 2" xfId="28560" xr:uid="{00000000-0005-0000-0000-0000A1330000}"/>
    <cellStyle name="Millares 2 80 6 5 2 2 2" xfId="55693" xr:uid="{00000000-0005-0000-0000-0000A2330000}"/>
    <cellStyle name="Millares 2 80 6 5 2 3" xfId="42131" xr:uid="{00000000-0005-0000-0000-0000A3330000}"/>
    <cellStyle name="Millares 2 80 6 5 3" xfId="21779" xr:uid="{00000000-0005-0000-0000-0000A4330000}"/>
    <cellStyle name="Millares 2 80 6 5 3 2" xfId="48912" xr:uid="{00000000-0005-0000-0000-0000A5330000}"/>
    <cellStyle name="Millares 2 80 6 5 4" xfId="35350" xr:uid="{00000000-0005-0000-0000-0000A6330000}"/>
    <cellStyle name="Millares 2 80 6 6" xfId="11603" xr:uid="{00000000-0005-0000-0000-0000A7330000}"/>
    <cellStyle name="Millares 2 80 6 6 2" xfId="25171" xr:uid="{00000000-0005-0000-0000-0000A8330000}"/>
    <cellStyle name="Millares 2 80 6 6 2 2" xfId="52304" xr:uid="{00000000-0005-0000-0000-0000A9330000}"/>
    <cellStyle name="Millares 2 80 6 6 3" xfId="38742" xr:uid="{00000000-0005-0000-0000-0000AA330000}"/>
    <cellStyle name="Millares 2 80 6 7" xfId="18390" xr:uid="{00000000-0005-0000-0000-0000AB330000}"/>
    <cellStyle name="Millares 2 80 6 7 2" xfId="45523" xr:uid="{00000000-0005-0000-0000-0000AC330000}"/>
    <cellStyle name="Millares 2 80 6 8" xfId="31961" xr:uid="{00000000-0005-0000-0000-0000AD330000}"/>
    <cellStyle name="Millares 2 80 7" xfId="4600" xr:uid="{00000000-0005-0000-0000-0000AE330000}"/>
    <cellStyle name="Millares 2 80 7 2" xfId="4601" xr:uid="{00000000-0005-0000-0000-0000AF330000}"/>
    <cellStyle name="Millares 2 80 7 2 2" xfId="4602" xr:uid="{00000000-0005-0000-0000-0000B0330000}"/>
    <cellStyle name="Millares 2 80 7 2 2 2" xfId="8211" xr:uid="{00000000-0005-0000-0000-0000B1330000}"/>
    <cellStyle name="Millares 2 80 7 2 2 2 2" xfId="15000" xr:uid="{00000000-0005-0000-0000-0000B2330000}"/>
    <cellStyle name="Millares 2 80 7 2 2 2 2 2" xfId="28568" xr:uid="{00000000-0005-0000-0000-0000B3330000}"/>
    <cellStyle name="Millares 2 80 7 2 2 2 2 2 2" xfId="55701" xr:uid="{00000000-0005-0000-0000-0000B4330000}"/>
    <cellStyle name="Millares 2 80 7 2 2 2 2 3" xfId="42139" xr:uid="{00000000-0005-0000-0000-0000B5330000}"/>
    <cellStyle name="Millares 2 80 7 2 2 2 3" xfId="21787" xr:uid="{00000000-0005-0000-0000-0000B6330000}"/>
    <cellStyle name="Millares 2 80 7 2 2 2 3 2" xfId="48920" xr:uid="{00000000-0005-0000-0000-0000B7330000}"/>
    <cellStyle name="Millares 2 80 7 2 2 2 4" xfId="35358" xr:uid="{00000000-0005-0000-0000-0000B8330000}"/>
    <cellStyle name="Millares 2 80 7 2 2 3" xfId="11611" xr:uid="{00000000-0005-0000-0000-0000B9330000}"/>
    <cellStyle name="Millares 2 80 7 2 2 3 2" xfId="25179" xr:uid="{00000000-0005-0000-0000-0000BA330000}"/>
    <cellStyle name="Millares 2 80 7 2 2 3 2 2" xfId="52312" xr:uid="{00000000-0005-0000-0000-0000BB330000}"/>
    <cellStyle name="Millares 2 80 7 2 2 3 3" xfId="38750" xr:uid="{00000000-0005-0000-0000-0000BC330000}"/>
    <cellStyle name="Millares 2 80 7 2 2 4" xfId="18398" xr:uid="{00000000-0005-0000-0000-0000BD330000}"/>
    <cellStyle name="Millares 2 80 7 2 2 4 2" xfId="45531" xr:uid="{00000000-0005-0000-0000-0000BE330000}"/>
    <cellStyle name="Millares 2 80 7 2 2 5" xfId="31969" xr:uid="{00000000-0005-0000-0000-0000BF330000}"/>
    <cellStyle name="Millares 2 80 7 2 3" xfId="4603" xr:uid="{00000000-0005-0000-0000-0000C0330000}"/>
    <cellStyle name="Millares 2 80 7 2 3 2" xfId="8212" xr:uid="{00000000-0005-0000-0000-0000C1330000}"/>
    <cellStyle name="Millares 2 80 7 2 3 2 2" xfId="15001" xr:uid="{00000000-0005-0000-0000-0000C2330000}"/>
    <cellStyle name="Millares 2 80 7 2 3 2 2 2" xfId="28569" xr:uid="{00000000-0005-0000-0000-0000C3330000}"/>
    <cellStyle name="Millares 2 80 7 2 3 2 2 2 2" xfId="55702" xr:uid="{00000000-0005-0000-0000-0000C4330000}"/>
    <cellStyle name="Millares 2 80 7 2 3 2 2 3" xfId="42140" xr:uid="{00000000-0005-0000-0000-0000C5330000}"/>
    <cellStyle name="Millares 2 80 7 2 3 2 3" xfId="21788" xr:uid="{00000000-0005-0000-0000-0000C6330000}"/>
    <cellStyle name="Millares 2 80 7 2 3 2 3 2" xfId="48921" xr:uid="{00000000-0005-0000-0000-0000C7330000}"/>
    <cellStyle name="Millares 2 80 7 2 3 2 4" xfId="35359" xr:uid="{00000000-0005-0000-0000-0000C8330000}"/>
    <cellStyle name="Millares 2 80 7 2 3 3" xfId="11612" xr:uid="{00000000-0005-0000-0000-0000C9330000}"/>
    <cellStyle name="Millares 2 80 7 2 3 3 2" xfId="25180" xr:uid="{00000000-0005-0000-0000-0000CA330000}"/>
    <cellStyle name="Millares 2 80 7 2 3 3 2 2" xfId="52313" xr:uid="{00000000-0005-0000-0000-0000CB330000}"/>
    <cellStyle name="Millares 2 80 7 2 3 3 3" xfId="38751" xr:uid="{00000000-0005-0000-0000-0000CC330000}"/>
    <cellStyle name="Millares 2 80 7 2 3 4" xfId="18399" xr:uid="{00000000-0005-0000-0000-0000CD330000}"/>
    <cellStyle name="Millares 2 80 7 2 3 4 2" xfId="45532" xr:uid="{00000000-0005-0000-0000-0000CE330000}"/>
    <cellStyle name="Millares 2 80 7 2 3 5" xfId="31970" xr:uid="{00000000-0005-0000-0000-0000CF330000}"/>
    <cellStyle name="Millares 2 80 7 2 4" xfId="8210" xr:uid="{00000000-0005-0000-0000-0000D0330000}"/>
    <cellStyle name="Millares 2 80 7 2 4 2" xfId="14999" xr:uid="{00000000-0005-0000-0000-0000D1330000}"/>
    <cellStyle name="Millares 2 80 7 2 4 2 2" xfId="28567" xr:uid="{00000000-0005-0000-0000-0000D2330000}"/>
    <cellStyle name="Millares 2 80 7 2 4 2 2 2" xfId="55700" xr:uid="{00000000-0005-0000-0000-0000D3330000}"/>
    <cellStyle name="Millares 2 80 7 2 4 2 3" xfId="42138" xr:uid="{00000000-0005-0000-0000-0000D4330000}"/>
    <cellStyle name="Millares 2 80 7 2 4 3" xfId="21786" xr:uid="{00000000-0005-0000-0000-0000D5330000}"/>
    <cellStyle name="Millares 2 80 7 2 4 3 2" xfId="48919" xr:uid="{00000000-0005-0000-0000-0000D6330000}"/>
    <cellStyle name="Millares 2 80 7 2 4 4" xfId="35357" xr:uid="{00000000-0005-0000-0000-0000D7330000}"/>
    <cellStyle name="Millares 2 80 7 2 5" xfId="11610" xr:uid="{00000000-0005-0000-0000-0000D8330000}"/>
    <cellStyle name="Millares 2 80 7 2 5 2" xfId="25178" xr:uid="{00000000-0005-0000-0000-0000D9330000}"/>
    <cellStyle name="Millares 2 80 7 2 5 2 2" xfId="52311" xr:uid="{00000000-0005-0000-0000-0000DA330000}"/>
    <cellStyle name="Millares 2 80 7 2 5 3" xfId="38749" xr:uid="{00000000-0005-0000-0000-0000DB330000}"/>
    <cellStyle name="Millares 2 80 7 2 6" xfId="18397" xr:uid="{00000000-0005-0000-0000-0000DC330000}"/>
    <cellStyle name="Millares 2 80 7 2 6 2" xfId="45530" xr:uid="{00000000-0005-0000-0000-0000DD330000}"/>
    <cellStyle name="Millares 2 80 7 2 7" xfId="31968" xr:uid="{00000000-0005-0000-0000-0000DE330000}"/>
    <cellStyle name="Millares 2 80 7 3" xfId="4604" xr:uid="{00000000-0005-0000-0000-0000DF330000}"/>
    <cellStyle name="Millares 2 80 7 3 2" xfId="8213" xr:uid="{00000000-0005-0000-0000-0000E0330000}"/>
    <cellStyle name="Millares 2 80 7 3 2 2" xfId="15002" xr:uid="{00000000-0005-0000-0000-0000E1330000}"/>
    <cellStyle name="Millares 2 80 7 3 2 2 2" xfId="28570" xr:uid="{00000000-0005-0000-0000-0000E2330000}"/>
    <cellStyle name="Millares 2 80 7 3 2 2 2 2" xfId="55703" xr:uid="{00000000-0005-0000-0000-0000E3330000}"/>
    <cellStyle name="Millares 2 80 7 3 2 2 3" xfId="42141" xr:uid="{00000000-0005-0000-0000-0000E4330000}"/>
    <cellStyle name="Millares 2 80 7 3 2 3" xfId="21789" xr:uid="{00000000-0005-0000-0000-0000E5330000}"/>
    <cellStyle name="Millares 2 80 7 3 2 3 2" xfId="48922" xr:uid="{00000000-0005-0000-0000-0000E6330000}"/>
    <cellStyle name="Millares 2 80 7 3 2 4" xfId="35360" xr:uid="{00000000-0005-0000-0000-0000E7330000}"/>
    <cellStyle name="Millares 2 80 7 3 3" xfId="11613" xr:uid="{00000000-0005-0000-0000-0000E8330000}"/>
    <cellStyle name="Millares 2 80 7 3 3 2" xfId="25181" xr:uid="{00000000-0005-0000-0000-0000E9330000}"/>
    <cellStyle name="Millares 2 80 7 3 3 2 2" xfId="52314" xr:uid="{00000000-0005-0000-0000-0000EA330000}"/>
    <cellStyle name="Millares 2 80 7 3 3 3" xfId="38752" xr:uid="{00000000-0005-0000-0000-0000EB330000}"/>
    <cellStyle name="Millares 2 80 7 3 4" xfId="18400" xr:uid="{00000000-0005-0000-0000-0000EC330000}"/>
    <cellStyle name="Millares 2 80 7 3 4 2" xfId="45533" xr:uid="{00000000-0005-0000-0000-0000ED330000}"/>
    <cellStyle name="Millares 2 80 7 3 5" xfId="31971" xr:uid="{00000000-0005-0000-0000-0000EE330000}"/>
    <cellStyle name="Millares 2 80 7 4" xfId="4605" xr:uid="{00000000-0005-0000-0000-0000EF330000}"/>
    <cellStyle name="Millares 2 80 7 4 2" xfId="8214" xr:uid="{00000000-0005-0000-0000-0000F0330000}"/>
    <cellStyle name="Millares 2 80 7 4 2 2" xfId="15003" xr:uid="{00000000-0005-0000-0000-0000F1330000}"/>
    <cellStyle name="Millares 2 80 7 4 2 2 2" xfId="28571" xr:uid="{00000000-0005-0000-0000-0000F2330000}"/>
    <cellStyle name="Millares 2 80 7 4 2 2 2 2" xfId="55704" xr:uid="{00000000-0005-0000-0000-0000F3330000}"/>
    <cellStyle name="Millares 2 80 7 4 2 2 3" xfId="42142" xr:uid="{00000000-0005-0000-0000-0000F4330000}"/>
    <cellStyle name="Millares 2 80 7 4 2 3" xfId="21790" xr:uid="{00000000-0005-0000-0000-0000F5330000}"/>
    <cellStyle name="Millares 2 80 7 4 2 3 2" xfId="48923" xr:uid="{00000000-0005-0000-0000-0000F6330000}"/>
    <cellStyle name="Millares 2 80 7 4 2 4" xfId="35361" xr:uid="{00000000-0005-0000-0000-0000F7330000}"/>
    <cellStyle name="Millares 2 80 7 4 3" xfId="11614" xr:uid="{00000000-0005-0000-0000-0000F8330000}"/>
    <cellStyle name="Millares 2 80 7 4 3 2" xfId="25182" xr:uid="{00000000-0005-0000-0000-0000F9330000}"/>
    <cellStyle name="Millares 2 80 7 4 3 2 2" xfId="52315" xr:uid="{00000000-0005-0000-0000-0000FA330000}"/>
    <cellStyle name="Millares 2 80 7 4 3 3" xfId="38753" xr:uid="{00000000-0005-0000-0000-0000FB330000}"/>
    <cellStyle name="Millares 2 80 7 4 4" xfId="18401" xr:uid="{00000000-0005-0000-0000-0000FC330000}"/>
    <cellStyle name="Millares 2 80 7 4 4 2" xfId="45534" xr:uid="{00000000-0005-0000-0000-0000FD330000}"/>
    <cellStyle name="Millares 2 80 7 4 5" xfId="31972" xr:uid="{00000000-0005-0000-0000-0000FE330000}"/>
    <cellStyle name="Millares 2 80 7 5" xfId="8209" xr:uid="{00000000-0005-0000-0000-0000FF330000}"/>
    <cellStyle name="Millares 2 80 7 5 2" xfId="14998" xr:uid="{00000000-0005-0000-0000-000000340000}"/>
    <cellStyle name="Millares 2 80 7 5 2 2" xfId="28566" xr:uid="{00000000-0005-0000-0000-000001340000}"/>
    <cellStyle name="Millares 2 80 7 5 2 2 2" xfId="55699" xr:uid="{00000000-0005-0000-0000-000002340000}"/>
    <cellStyle name="Millares 2 80 7 5 2 3" xfId="42137" xr:uid="{00000000-0005-0000-0000-000003340000}"/>
    <cellStyle name="Millares 2 80 7 5 3" xfId="21785" xr:uid="{00000000-0005-0000-0000-000004340000}"/>
    <cellStyle name="Millares 2 80 7 5 3 2" xfId="48918" xr:uid="{00000000-0005-0000-0000-000005340000}"/>
    <cellStyle name="Millares 2 80 7 5 4" xfId="35356" xr:uid="{00000000-0005-0000-0000-000006340000}"/>
    <cellStyle name="Millares 2 80 7 6" xfId="11609" xr:uid="{00000000-0005-0000-0000-000007340000}"/>
    <cellStyle name="Millares 2 80 7 6 2" xfId="25177" xr:uid="{00000000-0005-0000-0000-000008340000}"/>
    <cellStyle name="Millares 2 80 7 6 2 2" xfId="52310" xr:uid="{00000000-0005-0000-0000-000009340000}"/>
    <cellStyle name="Millares 2 80 7 6 3" xfId="38748" xr:uid="{00000000-0005-0000-0000-00000A340000}"/>
    <cellStyle name="Millares 2 80 7 7" xfId="18396" xr:uid="{00000000-0005-0000-0000-00000B340000}"/>
    <cellStyle name="Millares 2 80 7 7 2" xfId="45529" xr:uid="{00000000-0005-0000-0000-00000C340000}"/>
    <cellStyle name="Millares 2 80 7 8" xfId="31967" xr:uid="{00000000-0005-0000-0000-00000D340000}"/>
    <cellStyle name="Millares 2 80 8" xfId="4606" xr:uid="{00000000-0005-0000-0000-00000E340000}"/>
    <cellStyle name="Millares 2 80 8 2" xfId="4607" xr:uid="{00000000-0005-0000-0000-00000F340000}"/>
    <cellStyle name="Millares 2 80 8 2 2" xfId="8216" xr:uid="{00000000-0005-0000-0000-000010340000}"/>
    <cellStyle name="Millares 2 80 8 2 2 2" xfId="15005" xr:uid="{00000000-0005-0000-0000-000011340000}"/>
    <cellStyle name="Millares 2 80 8 2 2 2 2" xfId="28573" xr:uid="{00000000-0005-0000-0000-000012340000}"/>
    <cellStyle name="Millares 2 80 8 2 2 2 2 2" xfId="55706" xr:uid="{00000000-0005-0000-0000-000013340000}"/>
    <cellStyle name="Millares 2 80 8 2 2 2 3" xfId="42144" xr:uid="{00000000-0005-0000-0000-000014340000}"/>
    <cellStyle name="Millares 2 80 8 2 2 3" xfId="21792" xr:uid="{00000000-0005-0000-0000-000015340000}"/>
    <cellStyle name="Millares 2 80 8 2 2 3 2" xfId="48925" xr:uid="{00000000-0005-0000-0000-000016340000}"/>
    <cellStyle name="Millares 2 80 8 2 2 4" xfId="35363" xr:uid="{00000000-0005-0000-0000-000017340000}"/>
    <cellStyle name="Millares 2 80 8 2 3" xfId="11616" xr:uid="{00000000-0005-0000-0000-000018340000}"/>
    <cellStyle name="Millares 2 80 8 2 3 2" xfId="25184" xr:uid="{00000000-0005-0000-0000-000019340000}"/>
    <cellStyle name="Millares 2 80 8 2 3 2 2" xfId="52317" xr:uid="{00000000-0005-0000-0000-00001A340000}"/>
    <cellStyle name="Millares 2 80 8 2 3 3" xfId="38755" xr:uid="{00000000-0005-0000-0000-00001B340000}"/>
    <cellStyle name="Millares 2 80 8 2 4" xfId="18403" xr:uid="{00000000-0005-0000-0000-00001C340000}"/>
    <cellStyle name="Millares 2 80 8 2 4 2" xfId="45536" xr:uid="{00000000-0005-0000-0000-00001D340000}"/>
    <cellStyle name="Millares 2 80 8 2 5" xfId="31974" xr:uid="{00000000-0005-0000-0000-00001E340000}"/>
    <cellStyle name="Millares 2 80 8 3" xfId="4608" xr:uid="{00000000-0005-0000-0000-00001F340000}"/>
    <cellStyle name="Millares 2 80 8 3 2" xfId="8217" xr:uid="{00000000-0005-0000-0000-000020340000}"/>
    <cellStyle name="Millares 2 80 8 3 2 2" xfId="15006" xr:uid="{00000000-0005-0000-0000-000021340000}"/>
    <cellStyle name="Millares 2 80 8 3 2 2 2" xfId="28574" xr:uid="{00000000-0005-0000-0000-000022340000}"/>
    <cellStyle name="Millares 2 80 8 3 2 2 2 2" xfId="55707" xr:uid="{00000000-0005-0000-0000-000023340000}"/>
    <cellStyle name="Millares 2 80 8 3 2 2 3" xfId="42145" xr:uid="{00000000-0005-0000-0000-000024340000}"/>
    <cellStyle name="Millares 2 80 8 3 2 3" xfId="21793" xr:uid="{00000000-0005-0000-0000-000025340000}"/>
    <cellStyle name="Millares 2 80 8 3 2 3 2" xfId="48926" xr:uid="{00000000-0005-0000-0000-000026340000}"/>
    <cellStyle name="Millares 2 80 8 3 2 4" xfId="35364" xr:uid="{00000000-0005-0000-0000-000027340000}"/>
    <cellStyle name="Millares 2 80 8 3 3" xfId="11617" xr:uid="{00000000-0005-0000-0000-000028340000}"/>
    <cellStyle name="Millares 2 80 8 3 3 2" xfId="25185" xr:uid="{00000000-0005-0000-0000-000029340000}"/>
    <cellStyle name="Millares 2 80 8 3 3 2 2" xfId="52318" xr:uid="{00000000-0005-0000-0000-00002A340000}"/>
    <cellStyle name="Millares 2 80 8 3 3 3" xfId="38756" xr:uid="{00000000-0005-0000-0000-00002B340000}"/>
    <cellStyle name="Millares 2 80 8 3 4" xfId="18404" xr:uid="{00000000-0005-0000-0000-00002C340000}"/>
    <cellStyle name="Millares 2 80 8 3 4 2" xfId="45537" xr:uid="{00000000-0005-0000-0000-00002D340000}"/>
    <cellStyle name="Millares 2 80 8 3 5" xfId="31975" xr:uid="{00000000-0005-0000-0000-00002E340000}"/>
    <cellStyle name="Millares 2 80 8 4" xfId="8215" xr:uid="{00000000-0005-0000-0000-00002F340000}"/>
    <cellStyle name="Millares 2 80 8 4 2" xfId="15004" xr:uid="{00000000-0005-0000-0000-000030340000}"/>
    <cellStyle name="Millares 2 80 8 4 2 2" xfId="28572" xr:uid="{00000000-0005-0000-0000-000031340000}"/>
    <cellStyle name="Millares 2 80 8 4 2 2 2" xfId="55705" xr:uid="{00000000-0005-0000-0000-000032340000}"/>
    <cellStyle name="Millares 2 80 8 4 2 3" xfId="42143" xr:uid="{00000000-0005-0000-0000-000033340000}"/>
    <cellStyle name="Millares 2 80 8 4 3" xfId="21791" xr:uid="{00000000-0005-0000-0000-000034340000}"/>
    <cellStyle name="Millares 2 80 8 4 3 2" xfId="48924" xr:uid="{00000000-0005-0000-0000-000035340000}"/>
    <cellStyle name="Millares 2 80 8 4 4" xfId="35362" xr:uid="{00000000-0005-0000-0000-000036340000}"/>
    <cellStyle name="Millares 2 80 8 5" xfId="11615" xr:uid="{00000000-0005-0000-0000-000037340000}"/>
    <cellStyle name="Millares 2 80 8 5 2" xfId="25183" xr:uid="{00000000-0005-0000-0000-000038340000}"/>
    <cellStyle name="Millares 2 80 8 5 2 2" xfId="52316" xr:uid="{00000000-0005-0000-0000-000039340000}"/>
    <cellStyle name="Millares 2 80 8 5 3" xfId="38754" xr:uid="{00000000-0005-0000-0000-00003A340000}"/>
    <cellStyle name="Millares 2 80 8 6" xfId="18402" xr:uid="{00000000-0005-0000-0000-00003B340000}"/>
    <cellStyle name="Millares 2 80 8 6 2" xfId="45535" xr:uid="{00000000-0005-0000-0000-00003C340000}"/>
    <cellStyle name="Millares 2 80 8 7" xfId="31973" xr:uid="{00000000-0005-0000-0000-00003D340000}"/>
    <cellStyle name="Millares 2 80 9" xfId="4609" xr:uid="{00000000-0005-0000-0000-00003E340000}"/>
    <cellStyle name="Millares 2 80 9 2" xfId="4610" xr:uid="{00000000-0005-0000-0000-00003F340000}"/>
    <cellStyle name="Millares 2 80 9 2 2" xfId="8219" xr:uid="{00000000-0005-0000-0000-000040340000}"/>
    <cellStyle name="Millares 2 80 9 2 2 2" xfId="15008" xr:uid="{00000000-0005-0000-0000-000041340000}"/>
    <cellStyle name="Millares 2 80 9 2 2 2 2" xfId="28576" xr:uid="{00000000-0005-0000-0000-000042340000}"/>
    <cellStyle name="Millares 2 80 9 2 2 2 2 2" xfId="55709" xr:uid="{00000000-0005-0000-0000-000043340000}"/>
    <cellStyle name="Millares 2 80 9 2 2 2 3" xfId="42147" xr:uid="{00000000-0005-0000-0000-000044340000}"/>
    <cellStyle name="Millares 2 80 9 2 2 3" xfId="21795" xr:uid="{00000000-0005-0000-0000-000045340000}"/>
    <cellStyle name="Millares 2 80 9 2 2 3 2" xfId="48928" xr:uid="{00000000-0005-0000-0000-000046340000}"/>
    <cellStyle name="Millares 2 80 9 2 2 4" xfId="35366" xr:uid="{00000000-0005-0000-0000-000047340000}"/>
    <cellStyle name="Millares 2 80 9 2 3" xfId="11619" xr:uid="{00000000-0005-0000-0000-000048340000}"/>
    <cellStyle name="Millares 2 80 9 2 3 2" xfId="25187" xr:uid="{00000000-0005-0000-0000-000049340000}"/>
    <cellStyle name="Millares 2 80 9 2 3 2 2" xfId="52320" xr:uid="{00000000-0005-0000-0000-00004A340000}"/>
    <cellStyle name="Millares 2 80 9 2 3 3" xfId="38758" xr:uid="{00000000-0005-0000-0000-00004B340000}"/>
    <cellStyle name="Millares 2 80 9 2 4" xfId="18406" xr:uid="{00000000-0005-0000-0000-00004C340000}"/>
    <cellStyle name="Millares 2 80 9 2 4 2" xfId="45539" xr:uid="{00000000-0005-0000-0000-00004D340000}"/>
    <cellStyle name="Millares 2 80 9 2 5" xfId="31977" xr:uid="{00000000-0005-0000-0000-00004E340000}"/>
    <cellStyle name="Millares 2 80 9 3" xfId="4611" xr:uid="{00000000-0005-0000-0000-00004F340000}"/>
    <cellStyle name="Millares 2 80 9 3 2" xfId="8220" xr:uid="{00000000-0005-0000-0000-000050340000}"/>
    <cellStyle name="Millares 2 80 9 3 2 2" xfId="15009" xr:uid="{00000000-0005-0000-0000-000051340000}"/>
    <cellStyle name="Millares 2 80 9 3 2 2 2" xfId="28577" xr:uid="{00000000-0005-0000-0000-000052340000}"/>
    <cellStyle name="Millares 2 80 9 3 2 2 2 2" xfId="55710" xr:uid="{00000000-0005-0000-0000-000053340000}"/>
    <cellStyle name="Millares 2 80 9 3 2 2 3" xfId="42148" xr:uid="{00000000-0005-0000-0000-000054340000}"/>
    <cellStyle name="Millares 2 80 9 3 2 3" xfId="21796" xr:uid="{00000000-0005-0000-0000-000055340000}"/>
    <cellStyle name="Millares 2 80 9 3 2 3 2" xfId="48929" xr:uid="{00000000-0005-0000-0000-000056340000}"/>
    <cellStyle name="Millares 2 80 9 3 2 4" xfId="35367" xr:uid="{00000000-0005-0000-0000-000057340000}"/>
    <cellStyle name="Millares 2 80 9 3 3" xfId="11620" xr:uid="{00000000-0005-0000-0000-000058340000}"/>
    <cellStyle name="Millares 2 80 9 3 3 2" xfId="25188" xr:uid="{00000000-0005-0000-0000-000059340000}"/>
    <cellStyle name="Millares 2 80 9 3 3 2 2" xfId="52321" xr:uid="{00000000-0005-0000-0000-00005A340000}"/>
    <cellStyle name="Millares 2 80 9 3 3 3" xfId="38759" xr:uid="{00000000-0005-0000-0000-00005B340000}"/>
    <cellStyle name="Millares 2 80 9 3 4" xfId="18407" xr:uid="{00000000-0005-0000-0000-00005C340000}"/>
    <cellStyle name="Millares 2 80 9 3 4 2" xfId="45540" xr:uid="{00000000-0005-0000-0000-00005D340000}"/>
    <cellStyle name="Millares 2 80 9 3 5" xfId="31978" xr:uid="{00000000-0005-0000-0000-00005E340000}"/>
    <cellStyle name="Millares 2 80 9 4" xfId="8218" xr:uid="{00000000-0005-0000-0000-00005F340000}"/>
    <cellStyle name="Millares 2 80 9 4 2" xfId="15007" xr:uid="{00000000-0005-0000-0000-000060340000}"/>
    <cellStyle name="Millares 2 80 9 4 2 2" xfId="28575" xr:uid="{00000000-0005-0000-0000-000061340000}"/>
    <cellStyle name="Millares 2 80 9 4 2 2 2" xfId="55708" xr:uid="{00000000-0005-0000-0000-000062340000}"/>
    <cellStyle name="Millares 2 80 9 4 2 3" xfId="42146" xr:uid="{00000000-0005-0000-0000-000063340000}"/>
    <cellStyle name="Millares 2 80 9 4 3" xfId="21794" xr:uid="{00000000-0005-0000-0000-000064340000}"/>
    <cellStyle name="Millares 2 80 9 4 3 2" xfId="48927" xr:uid="{00000000-0005-0000-0000-000065340000}"/>
    <cellStyle name="Millares 2 80 9 4 4" xfId="35365" xr:uid="{00000000-0005-0000-0000-000066340000}"/>
    <cellStyle name="Millares 2 80 9 5" xfId="11618" xr:uid="{00000000-0005-0000-0000-000067340000}"/>
    <cellStyle name="Millares 2 80 9 5 2" xfId="25186" xr:uid="{00000000-0005-0000-0000-000068340000}"/>
    <cellStyle name="Millares 2 80 9 5 2 2" xfId="52319" xr:uid="{00000000-0005-0000-0000-000069340000}"/>
    <cellStyle name="Millares 2 80 9 5 3" xfId="38757" xr:uid="{00000000-0005-0000-0000-00006A340000}"/>
    <cellStyle name="Millares 2 80 9 6" xfId="18405" xr:uid="{00000000-0005-0000-0000-00006B340000}"/>
    <cellStyle name="Millares 2 80 9 6 2" xfId="45538" xr:uid="{00000000-0005-0000-0000-00006C340000}"/>
    <cellStyle name="Millares 2 80 9 7" xfId="31976" xr:uid="{00000000-0005-0000-0000-00006D340000}"/>
    <cellStyle name="Millares 2 81" xfId="58341" xr:uid="{00000000-0005-0000-0000-00006E340000}"/>
    <cellStyle name="Millares 2 9" xfId="2434" xr:uid="{00000000-0005-0000-0000-00006F340000}"/>
    <cellStyle name="Millares 2 9 2" xfId="4612" xr:uid="{00000000-0005-0000-0000-000070340000}"/>
    <cellStyle name="Millares 2 9 2 10" xfId="31979" xr:uid="{00000000-0005-0000-0000-000071340000}"/>
    <cellStyle name="Millares 2 9 2 2" xfId="4613" xr:uid="{00000000-0005-0000-0000-000072340000}"/>
    <cellStyle name="Millares 2 9 2 2 2" xfId="4614" xr:uid="{00000000-0005-0000-0000-000073340000}"/>
    <cellStyle name="Millares 2 9 2 2 2 2" xfId="4615" xr:uid="{00000000-0005-0000-0000-000074340000}"/>
    <cellStyle name="Millares 2 9 2 2 2 2 2" xfId="8224" xr:uid="{00000000-0005-0000-0000-000075340000}"/>
    <cellStyle name="Millares 2 9 2 2 2 2 2 2" xfId="15013" xr:uid="{00000000-0005-0000-0000-000076340000}"/>
    <cellStyle name="Millares 2 9 2 2 2 2 2 2 2" xfId="28581" xr:uid="{00000000-0005-0000-0000-000077340000}"/>
    <cellStyle name="Millares 2 9 2 2 2 2 2 2 2 2" xfId="55714" xr:uid="{00000000-0005-0000-0000-000078340000}"/>
    <cellStyle name="Millares 2 9 2 2 2 2 2 2 3" xfId="42152" xr:uid="{00000000-0005-0000-0000-000079340000}"/>
    <cellStyle name="Millares 2 9 2 2 2 2 2 3" xfId="21800" xr:uid="{00000000-0005-0000-0000-00007A340000}"/>
    <cellStyle name="Millares 2 9 2 2 2 2 2 3 2" xfId="48933" xr:uid="{00000000-0005-0000-0000-00007B340000}"/>
    <cellStyle name="Millares 2 9 2 2 2 2 2 4" xfId="35371" xr:uid="{00000000-0005-0000-0000-00007C340000}"/>
    <cellStyle name="Millares 2 9 2 2 2 2 3" xfId="11624" xr:uid="{00000000-0005-0000-0000-00007D340000}"/>
    <cellStyle name="Millares 2 9 2 2 2 2 3 2" xfId="25192" xr:uid="{00000000-0005-0000-0000-00007E340000}"/>
    <cellStyle name="Millares 2 9 2 2 2 2 3 2 2" xfId="52325" xr:uid="{00000000-0005-0000-0000-00007F340000}"/>
    <cellStyle name="Millares 2 9 2 2 2 2 3 3" xfId="38763" xr:uid="{00000000-0005-0000-0000-000080340000}"/>
    <cellStyle name="Millares 2 9 2 2 2 2 4" xfId="18411" xr:uid="{00000000-0005-0000-0000-000081340000}"/>
    <cellStyle name="Millares 2 9 2 2 2 2 4 2" xfId="45544" xr:uid="{00000000-0005-0000-0000-000082340000}"/>
    <cellStyle name="Millares 2 9 2 2 2 2 5" xfId="31982" xr:uid="{00000000-0005-0000-0000-000083340000}"/>
    <cellStyle name="Millares 2 9 2 2 2 3" xfId="4616" xr:uid="{00000000-0005-0000-0000-000084340000}"/>
    <cellStyle name="Millares 2 9 2 2 2 3 2" xfId="8225" xr:uid="{00000000-0005-0000-0000-000085340000}"/>
    <cellStyle name="Millares 2 9 2 2 2 3 2 2" xfId="15014" xr:uid="{00000000-0005-0000-0000-000086340000}"/>
    <cellStyle name="Millares 2 9 2 2 2 3 2 2 2" xfId="28582" xr:uid="{00000000-0005-0000-0000-000087340000}"/>
    <cellStyle name="Millares 2 9 2 2 2 3 2 2 2 2" xfId="55715" xr:uid="{00000000-0005-0000-0000-000088340000}"/>
    <cellStyle name="Millares 2 9 2 2 2 3 2 2 3" xfId="42153" xr:uid="{00000000-0005-0000-0000-000089340000}"/>
    <cellStyle name="Millares 2 9 2 2 2 3 2 3" xfId="21801" xr:uid="{00000000-0005-0000-0000-00008A340000}"/>
    <cellStyle name="Millares 2 9 2 2 2 3 2 3 2" xfId="48934" xr:uid="{00000000-0005-0000-0000-00008B340000}"/>
    <cellStyle name="Millares 2 9 2 2 2 3 2 4" xfId="35372" xr:uid="{00000000-0005-0000-0000-00008C340000}"/>
    <cellStyle name="Millares 2 9 2 2 2 3 3" xfId="11625" xr:uid="{00000000-0005-0000-0000-00008D340000}"/>
    <cellStyle name="Millares 2 9 2 2 2 3 3 2" xfId="25193" xr:uid="{00000000-0005-0000-0000-00008E340000}"/>
    <cellStyle name="Millares 2 9 2 2 2 3 3 2 2" xfId="52326" xr:uid="{00000000-0005-0000-0000-00008F340000}"/>
    <cellStyle name="Millares 2 9 2 2 2 3 3 3" xfId="38764" xr:uid="{00000000-0005-0000-0000-000090340000}"/>
    <cellStyle name="Millares 2 9 2 2 2 3 4" xfId="18412" xr:uid="{00000000-0005-0000-0000-000091340000}"/>
    <cellStyle name="Millares 2 9 2 2 2 3 4 2" xfId="45545" xr:uid="{00000000-0005-0000-0000-000092340000}"/>
    <cellStyle name="Millares 2 9 2 2 2 3 5" xfId="31983" xr:uid="{00000000-0005-0000-0000-000093340000}"/>
    <cellStyle name="Millares 2 9 2 2 2 4" xfId="8223" xr:uid="{00000000-0005-0000-0000-000094340000}"/>
    <cellStyle name="Millares 2 9 2 2 2 4 2" xfId="15012" xr:uid="{00000000-0005-0000-0000-000095340000}"/>
    <cellStyle name="Millares 2 9 2 2 2 4 2 2" xfId="28580" xr:uid="{00000000-0005-0000-0000-000096340000}"/>
    <cellStyle name="Millares 2 9 2 2 2 4 2 2 2" xfId="55713" xr:uid="{00000000-0005-0000-0000-000097340000}"/>
    <cellStyle name="Millares 2 9 2 2 2 4 2 3" xfId="42151" xr:uid="{00000000-0005-0000-0000-000098340000}"/>
    <cellStyle name="Millares 2 9 2 2 2 4 3" xfId="21799" xr:uid="{00000000-0005-0000-0000-000099340000}"/>
    <cellStyle name="Millares 2 9 2 2 2 4 3 2" xfId="48932" xr:uid="{00000000-0005-0000-0000-00009A340000}"/>
    <cellStyle name="Millares 2 9 2 2 2 4 4" xfId="35370" xr:uid="{00000000-0005-0000-0000-00009B340000}"/>
    <cellStyle name="Millares 2 9 2 2 2 5" xfId="11623" xr:uid="{00000000-0005-0000-0000-00009C340000}"/>
    <cellStyle name="Millares 2 9 2 2 2 5 2" xfId="25191" xr:uid="{00000000-0005-0000-0000-00009D340000}"/>
    <cellStyle name="Millares 2 9 2 2 2 5 2 2" xfId="52324" xr:uid="{00000000-0005-0000-0000-00009E340000}"/>
    <cellStyle name="Millares 2 9 2 2 2 5 3" xfId="38762" xr:uid="{00000000-0005-0000-0000-00009F340000}"/>
    <cellStyle name="Millares 2 9 2 2 2 6" xfId="18410" xr:uid="{00000000-0005-0000-0000-0000A0340000}"/>
    <cellStyle name="Millares 2 9 2 2 2 6 2" xfId="45543" xr:uid="{00000000-0005-0000-0000-0000A1340000}"/>
    <cellStyle name="Millares 2 9 2 2 2 7" xfId="31981" xr:uid="{00000000-0005-0000-0000-0000A2340000}"/>
    <cellStyle name="Millares 2 9 2 2 3" xfId="4617" xr:uid="{00000000-0005-0000-0000-0000A3340000}"/>
    <cellStyle name="Millares 2 9 2 2 3 2" xfId="4618" xr:uid="{00000000-0005-0000-0000-0000A4340000}"/>
    <cellStyle name="Millares 2 9 2 2 3 2 2" xfId="8227" xr:uid="{00000000-0005-0000-0000-0000A5340000}"/>
    <cellStyle name="Millares 2 9 2 2 3 2 2 2" xfId="15016" xr:uid="{00000000-0005-0000-0000-0000A6340000}"/>
    <cellStyle name="Millares 2 9 2 2 3 2 2 2 2" xfId="28584" xr:uid="{00000000-0005-0000-0000-0000A7340000}"/>
    <cellStyle name="Millares 2 9 2 2 3 2 2 2 2 2" xfId="55717" xr:uid="{00000000-0005-0000-0000-0000A8340000}"/>
    <cellStyle name="Millares 2 9 2 2 3 2 2 2 3" xfId="42155" xr:uid="{00000000-0005-0000-0000-0000A9340000}"/>
    <cellStyle name="Millares 2 9 2 2 3 2 2 3" xfId="21803" xr:uid="{00000000-0005-0000-0000-0000AA340000}"/>
    <cellStyle name="Millares 2 9 2 2 3 2 2 3 2" xfId="48936" xr:uid="{00000000-0005-0000-0000-0000AB340000}"/>
    <cellStyle name="Millares 2 9 2 2 3 2 2 4" xfId="35374" xr:uid="{00000000-0005-0000-0000-0000AC340000}"/>
    <cellStyle name="Millares 2 9 2 2 3 2 3" xfId="11627" xr:uid="{00000000-0005-0000-0000-0000AD340000}"/>
    <cellStyle name="Millares 2 9 2 2 3 2 3 2" xfId="25195" xr:uid="{00000000-0005-0000-0000-0000AE340000}"/>
    <cellStyle name="Millares 2 9 2 2 3 2 3 2 2" xfId="52328" xr:uid="{00000000-0005-0000-0000-0000AF340000}"/>
    <cellStyle name="Millares 2 9 2 2 3 2 3 3" xfId="38766" xr:uid="{00000000-0005-0000-0000-0000B0340000}"/>
    <cellStyle name="Millares 2 9 2 2 3 2 4" xfId="18414" xr:uid="{00000000-0005-0000-0000-0000B1340000}"/>
    <cellStyle name="Millares 2 9 2 2 3 2 4 2" xfId="45547" xr:uid="{00000000-0005-0000-0000-0000B2340000}"/>
    <cellStyle name="Millares 2 9 2 2 3 2 5" xfId="31985" xr:uid="{00000000-0005-0000-0000-0000B3340000}"/>
    <cellStyle name="Millares 2 9 2 2 3 3" xfId="8226" xr:uid="{00000000-0005-0000-0000-0000B4340000}"/>
    <cellStyle name="Millares 2 9 2 2 3 3 2" xfId="15015" xr:uid="{00000000-0005-0000-0000-0000B5340000}"/>
    <cellStyle name="Millares 2 9 2 2 3 3 2 2" xfId="28583" xr:uid="{00000000-0005-0000-0000-0000B6340000}"/>
    <cellStyle name="Millares 2 9 2 2 3 3 2 2 2" xfId="55716" xr:uid="{00000000-0005-0000-0000-0000B7340000}"/>
    <cellStyle name="Millares 2 9 2 2 3 3 2 3" xfId="42154" xr:uid="{00000000-0005-0000-0000-0000B8340000}"/>
    <cellStyle name="Millares 2 9 2 2 3 3 3" xfId="21802" xr:uid="{00000000-0005-0000-0000-0000B9340000}"/>
    <cellStyle name="Millares 2 9 2 2 3 3 3 2" xfId="48935" xr:uid="{00000000-0005-0000-0000-0000BA340000}"/>
    <cellStyle name="Millares 2 9 2 2 3 3 4" xfId="35373" xr:uid="{00000000-0005-0000-0000-0000BB340000}"/>
    <cellStyle name="Millares 2 9 2 2 3 4" xfId="11626" xr:uid="{00000000-0005-0000-0000-0000BC340000}"/>
    <cellStyle name="Millares 2 9 2 2 3 4 2" xfId="25194" xr:uid="{00000000-0005-0000-0000-0000BD340000}"/>
    <cellStyle name="Millares 2 9 2 2 3 4 2 2" xfId="52327" xr:uid="{00000000-0005-0000-0000-0000BE340000}"/>
    <cellStyle name="Millares 2 9 2 2 3 4 3" xfId="38765" xr:uid="{00000000-0005-0000-0000-0000BF340000}"/>
    <cellStyle name="Millares 2 9 2 2 3 5" xfId="18413" xr:uid="{00000000-0005-0000-0000-0000C0340000}"/>
    <cellStyle name="Millares 2 9 2 2 3 5 2" xfId="45546" xr:uid="{00000000-0005-0000-0000-0000C1340000}"/>
    <cellStyle name="Millares 2 9 2 2 3 6" xfId="31984" xr:uid="{00000000-0005-0000-0000-0000C2340000}"/>
    <cellStyle name="Millares 2 9 2 2 4" xfId="4619" xr:uid="{00000000-0005-0000-0000-0000C3340000}"/>
    <cellStyle name="Millares 2 9 2 2 4 2" xfId="8228" xr:uid="{00000000-0005-0000-0000-0000C4340000}"/>
    <cellStyle name="Millares 2 9 2 2 4 2 2" xfId="15017" xr:uid="{00000000-0005-0000-0000-0000C5340000}"/>
    <cellStyle name="Millares 2 9 2 2 4 2 2 2" xfId="28585" xr:uid="{00000000-0005-0000-0000-0000C6340000}"/>
    <cellStyle name="Millares 2 9 2 2 4 2 2 2 2" xfId="55718" xr:uid="{00000000-0005-0000-0000-0000C7340000}"/>
    <cellStyle name="Millares 2 9 2 2 4 2 2 3" xfId="42156" xr:uid="{00000000-0005-0000-0000-0000C8340000}"/>
    <cellStyle name="Millares 2 9 2 2 4 2 3" xfId="21804" xr:uid="{00000000-0005-0000-0000-0000C9340000}"/>
    <cellStyle name="Millares 2 9 2 2 4 2 3 2" xfId="48937" xr:uid="{00000000-0005-0000-0000-0000CA340000}"/>
    <cellStyle name="Millares 2 9 2 2 4 2 4" xfId="35375" xr:uid="{00000000-0005-0000-0000-0000CB340000}"/>
    <cellStyle name="Millares 2 9 2 2 4 3" xfId="11628" xr:uid="{00000000-0005-0000-0000-0000CC340000}"/>
    <cellStyle name="Millares 2 9 2 2 4 3 2" xfId="25196" xr:uid="{00000000-0005-0000-0000-0000CD340000}"/>
    <cellStyle name="Millares 2 9 2 2 4 3 2 2" xfId="52329" xr:uid="{00000000-0005-0000-0000-0000CE340000}"/>
    <cellStyle name="Millares 2 9 2 2 4 3 3" xfId="38767" xr:uid="{00000000-0005-0000-0000-0000CF340000}"/>
    <cellStyle name="Millares 2 9 2 2 4 4" xfId="18415" xr:uid="{00000000-0005-0000-0000-0000D0340000}"/>
    <cellStyle name="Millares 2 9 2 2 4 4 2" xfId="45548" xr:uid="{00000000-0005-0000-0000-0000D1340000}"/>
    <cellStyle name="Millares 2 9 2 2 4 5" xfId="31986" xr:uid="{00000000-0005-0000-0000-0000D2340000}"/>
    <cellStyle name="Millares 2 9 2 2 5" xfId="4620" xr:uid="{00000000-0005-0000-0000-0000D3340000}"/>
    <cellStyle name="Millares 2 9 2 2 5 2" xfId="8229" xr:uid="{00000000-0005-0000-0000-0000D4340000}"/>
    <cellStyle name="Millares 2 9 2 2 5 2 2" xfId="15018" xr:uid="{00000000-0005-0000-0000-0000D5340000}"/>
    <cellStyle name="Millares 2 9 2 2 5 2 2 2" xfId="28586" xr:uid="{00000000-0005-0000-0000-0000D6340000}"/>
    <cellStyle name="Millares 2 9 2 2 5 2 2 2 2" xfId="55719" xr:uid="{00000000-0005-0000-0000-0000D7340000}"/>
    <cellStyle name="Millares 2 9 2 2 5 2 2 3" xfId="42157" xr:uid="{00000000-0005-0000-0000-0000D8340000}"/>
    <cellStyle name="Millares 2 9 2 2 5 2 3" xfId="21805" xr:uid="{00000000-0005-0000-0000-0000D9340000}"/>
    <cellStyle name="Millares 2 9 2 2 5 2 3 2" xfId="48938" xr:uid="{00000000-0005-0000-0000-0000DA340000}"/>
    <cellStyle name="Millares 2 9 2 2 5 2 4" xfId="35376" xr:uid="{00000000-0005-0000-0000-0000DB340000}"/>
    <cellStyle name="Millares 2 9 2 2 5 3" xfId="11629" xr:uid="{00000000-0005-0000-0000-0000DC340000}"/>
    <cellStyle name="Millares 2 9 2 2 5 3 2" xfId="25197" xr:uid="{00000000-0005-0000-0000-0000DD340000}"/>
    <cellStyle name="Millares 2 9 2 2 5 3 2 2" xfId="52330" xr:uid="{00000000-0005-0000-0000-0000DE340000}"/>
    <cellStyle name="Millares 2 9 2 2 5 3 3" xfId="38768" xr:uid="{00000000-0005-0000-0000-0000DF340000}"/>
    <cellStyle name="Millares 2 9 2 2 5 4" xfId="18416" xr:uid="{00000000-0005-0000-0000-0000E0340000}"/>
    <cellStyle name="Millares 2 9 2 2 5 4 2" xfId="45549" xr:uid="{00000000-0005-0000-0000-0000E1340000}"/>
    <cellStyle name="Millares 2 9 2 2 5 5" xfId="31987" xr:uid="{00000000-0005-0000-0000-0000E2340000}"/>
    <cellStyle name="Millares 2 9 2 2 6" xfId="8222" xr:uid="{00000000-0005-0000-0000-0000E3340000}"/>
    <cellStyle name="Millares 2 9 2 2 6 2" xfId="15011" xr:uid="{00000000-0005-0000-0000-0000E4340000}"/>
    <cellStyle name="Millares 2 9 2 2 6 2 2" xfId="28579" xr:uid="{00000000-0005-0000-0000-0000E5340000}"/>
    <cellStyle name="Millares 2 9 2 2 6 2 2 2" xfId="55712" xr:uid="{00000000-0005-0000-0000-0000E6340000}"/>
    <cellStyle name="Millares 2 9 2 2 6 2 3" xfId="42150" xr:uid="{00000000-0005-0000-0000-0000E7340000}"/>
    <cellStyle name="Millares 2 9 2 2 6 3" xfId="21798" xr:uid="{00000000-0005-0000-0000-0000E8340000}"/>
    <cellStyle name="Millares 2 9 2 2 6 3 2" xfId="48931" xr:uid="{00000000-0005-0000-0000-0000E9340000}"/>
    <cellStyle name="Millares 2 9 2 2 6 4" xfId="35369" xr:uid="{00000000-0005-0000-0000-0000EA340000}"/>
    <cellStyle name="Millares 2 9 2 2 7" xfId="11622" xr:uid="{00000000-0005-0000-0000-0000EB340000}"/>
    <cellStyle name="Millares 2 9 2 2 7 2" xfId="25190" xr:uid="{00000000-0005-0000-0000-0000EC340000}"/>
    <cellStyle name="Millares 2 9 2 2 7 2 2" xfId="52323" xr:uid="{00000000-0005-0000-0000-0000ED340000}"/>
    <cellStyle name="Millares 2 9 2 2 7 3" xfId="38761" xr:uid="{00000000-0005-0000-0000-0000EE340000}"/>
    <cellStyle name="Millares 2 9 2 2 8" xfId="18409" xr:uid="{00000000-0005-0000-0000-0000EF340000}"/>
    <cellStyle name="Millares 2 9 2 2 8 2" xfId="45542" xr:uid="{00000000-0005-0000-0000-0000F0340000}"/>
    <cellStyle name="Millares 2 9 2 2 9" xfId="31980" xr:uid="{00000000-0005-0000-0000-0000F1340000}"/>
    <cellStyle name="Millares 2 9 2 3" xfId="4621" xr:uid="{00000000-0005-0000-0000-0000F2340000}"/>
    <cellStyle name="Millares 2 9 2 3 2" xfId="4622" xr:uid="{00000000-0005-0000-0000-0000F3340000}"/>
    <cellStyle name="Millares 2 9 2 3 2 2" xfId="8231" xr:uid="{00000000-0005-0000-0000-0000F4340000}"/>
    <cellStyle name="Millares 2 9 2 3 2 2 2" xfId="15020" xr:uid="{00000000-0005-0000-0000-0000F5340000}"/>
    <cellStyle name="Millares 2 9 2 3 2 2 2 2" xfId="28588" xr:uid="{00000000-0005-0000-0000-0000F6340000}"/>
    <cellStyle name="Millares 2 9 2 3 2 2 2 2 2" xfId="55721" xr:uid="{00000000-0005-0000-0000-0000F7340000}"/>
    <cellStyle name="Millares 2 9 2 3 2 2 2 3" xfId="42159" xr:uid="{00000000-0005-0000-0000-0000F8340000}"/>
    <cellStyle name="Millares 2 9 2 3 2 2 3" xfId="21807" xr:uid="{00000000-0005-0000-0000-0000F9340000}"/>
    <cellStyle name="Millares 2 9 2 3 2 2 3 2" xfId="48940" xr:uid="{00000000-0005-0000-0000-0000FA340000}"/>
    <cellStyle name="Millares 2 9 2 3 2 2 4" xfId="35378" xr:uid="{00000000-0005-0000-0000-0000FB340000}"/>
    <cellStyle name="Millares 2 9 2 3 2 3" xfId="11631" xr:uid="{00000000-0005-0000-0000-0000FC340000}"/>
    <cellStyle name="Millares 2 9 2 3 2 3 2" xfId="25199" xr:uid="{00000000-0005-0000-0000-0000FD340000}"/>
    <cellStyle name="Millares 2 9 2 3 2 3 2 2" xfId="52332" xr:uid="{00000000-0005-0000-0000-0000FE340000}"/>
    <cellStyle name="Millares 2 9 2 3 2 3 3" xfId="38770" xr:uid="{00000000-0005-0000-0000-0000FF340000}"/>
    <cellStyle name="Millares 2 9 2 3 2 4" xfId="18418" xr:uid="{00000000-0005-0000-0000-000000350000}"/>
    <cellStyle name="Millares 2 9 2 3 2 4 2" xfId="45551" xr:uid="{00000000-0005-0000-0000-000001350000}"/>
    <cellStyle name="Millares 2 9 2 3 2 5" xfId="31989" xr:uid="{00000000-0005-0000-0000-000002350000}"/>
    <cellStyle name="Millares 2 9 2 3 3" xfId="4623" xr:uid="{00000000-0005-0000-0000-000003350000}"/>
    <cellStyle name="Millares 2 9 2 3 3 2" xfId="8232" xr:uid="{00000000-0005-0000-0000-000004350000}"/>
    <cellStyle name="Millares 2 9 2 3 3 2 2" xfId="15021" xr:uid="{00000000-0005-0000-0000-000005350000}"/>
    <cellStyle name="Millares 2 9 2 3 3 2 2 2" xfId="28589" xr:uid="{00000000-0005-0000-0000-000006350000}"/>
    <cellStyle name="Millares 2 9 2 3 3 2 2 2 2" xfId="55722" xr:uid="{00000000-0005-0000-0000-000007350000}"/>
    <cellStyle name="Millares 2 9 2 3 3 2 2 3" xfId="42160" xr:uid="{00000000-0005-0000-0000-000008350000}"/>
    <cellStyle name="Millares 2 9 2 3 3 2 3" xfId="21808" xr:uid="{00000000-0005-0000-0000-000009350000}"/>
    <cellStyle name="Millares 2 9 2 3 3 2 3 2" xfId="48941" xr:uid="{00000000-0005-0000-0000-00000A350000}"/>
    <cellStyle name="Millares 2 9 2 3 3 2 4" xfId="35379" xr:uid="{00000000-0005-0000-0000-00000B350000}"/>
    <cellStyle name="Millares 2 9 2 3 3 3" xfId="11632" xr:uid="{00000000-0005-0000-0000-00000C350000}"/>
    <cellStyle name="Millares 2 9 2 3 3 3 2" xfId="25200" xr:uid="{00000000-0005-0000-0000-00000D350000}"/>
    <cellStyle name="Millares 2 9 2 3 3 3 2 2" xfId="52333" xr:uid="{00000000-0005-0000-0000-00000E350000}"/>
    <cellStyle name="Millares 2 9 2 3 3 3 3" xfId="38771" xr:uid="{00000000-0005-0000-0000-00000F350000}"/>
    <cellStyle name="Millares 2 9 2 3 3 4" xfId="18419" xr:uid="{00000000-0005-0000-0000-000010350000}"/>
    <cellStyle name="Millares 2 9 2 3 3 4 2" xfId="45552" xr:uid="{00000000-0005-0000-0000-000011350000}"/>
    <cellStyle name="Millares 2 9 2 3 3 5" xfId="31990" xr:uid="{00000000-0005-0000-0000-000012350000}"/>
    <cellStyle name="Millares 2 9 2 3 4" xfId="8230" xr:uid="{00000000-0005-0000-0000-000013350000}"/>
    <cellStyle name="Millares 2 9 2 3 4 2" xfId="15019" xr:uid="{00000000-0005-0000-0000-000014350000}"/>
    <cellStyle name="Millares 2 9 2 3 4 2 2" xfId="28587" xr:uid="{00000000-0005-0000-0000-000015350000}"/>
    <cellStyle name="Millares 2 9 2 3 4 2 2 2" xfId="55720" xr:uid="{00000000-0005-0000-0000-000016350000}"/>
    <cellStyle name="Millares 2 9 2 3 4 2 3" xfId="42158" xr:uid="{00000000-0005-0000-0000-000017350000}"/>
    <cellStyle name="Millares 2 9 2 3 4 3" xfId="21806" xr:uid="{00000000-0005-0000-0000-000018350000}"/>
    <cellStyle name="Millares 2 9 2 3 4 3 2" xfId="48939" xr:uid="{00000000-0005-0000-0000-000019350000}"/>
    <cellStyle name="Millares 2 9 2 3 4 4" xfId="35377" xr:uid="{00000000-0005-0000-0000-00001A350000}"/>
    <cellStyle name="Millares 2 9 2 3 5" xfId="11630" xr:uid="{00000000-0005-0000-0000-00001B350000}"/>
    <cellStyle name="Millares 2 9 2 3 5 2" xfId="25198" xr:uid="{00000000-0005-0000-0000-00001C350000}"/>
    <cellStyle name="Millares 2 9 2 3 5 2 2" xfId="52331" xr:uid="{00000000-0005-0000-0000-00001D350000}"/>
    <cellStyle name="Millares 2 9 2 3 5 3" xfId="38769" xr:uid="{00000000-0005-0000-0000-00001E350000}"/>
    <cellStyle name="Millares 2 9 2 3 6" xfId="18417" xr:uid="{00000000-0005-0000-0000-00001F350000}"/>
    <cellStyle name="Millares 2 9 2 3 6 2" xfId="45550" xr:uid="{00000000-0005-0000-0000-000020350000}"/>
    <cellStyle name="Millares 2 9 2 3 7" xfId="31988" xr:uid="{00000000-0005-0000-0000-000021350000}"/>
    <cellStyle name="Millares 2 9 2 4" xfId="4624" xr:uid="{00000000-0005-0000-0000-000022350000}"/>
    <cellStyle name="Millares 2 9 2 4 2" xfId="4625" xr:uid="{00000000-0005-0000-0000-000023350000}"/>
    <cellStyle name="Millares 2 9 2 4 2 2" xfId="8234" xr:uid="{00000000-0005-0000-0000-000024350000}"/>
    <cellStyle name="Millares 2 9 2 4 2 2 2" xfId="15023" xr:uid="{00000000-0005-0000-0000-000025350000}"/>
    <cellStyle name="Millares 2 9 2 4 2 2 2 2" xfId="28591" xr:uid="{00000000-0005-0000-0000-000026350000}"/>
    <cellStyle name="Millares 2 9 2 4 2 2 2 2 2" xfId="55724" xr:uid="{00000000-0005-0000-0000-000027350000}"/>
    <cellStyle name="Millares 2 9 2 4 2 2 2 3" xfId="42162" xr:uid="{00000000-0005-0000-0000-000028350000}"/>
    <cellStyle name="Millares 2 9 2 4 2 2 3" xfId="21810" xr:uid="{00000000-0005-0000-0000-000029350000}"/>
    <cellStyle name="Millares 2 9 2 4 2 2 3 2" xfId="48943" xr:uid="{00000000-0005-0000-0000-00002A350000}"/>
    <cellStyle name="Millares 2 9 2 4 2 2 4" xfId="35381" xr:uid="{00000000-0005-0000-0000-00002B350000}"/>
    <cellStyle name="Millares 2 9 2 4 2 3" xfId="11634" xr:uid="{00000000-0005-0000-0000-00002C350000}"/>
    <cellStyle name="Millares 2 9 2 4 2 3 2" xfId="25202" xr:uid="{00000000-0005-0000-0000-00002D350000}"/>
    <cellStyle name="Millares 2 9 2 4 2 3 2 2" xfId="52335" xr:uid="{00000000-0005-0000-0000-00002E350000}"/>
    <cellStyle name="Millares 2 9 2 4 2 3 3" xfId="38773" xr:uid="{00000000-0005-0000-0000-00002F350000}"/>
    <cellStyle name="Millares 2 9 2 4 2 4" xfId="18421" xr:uid="{00000000-0005-0000-0000-000030350000}"/>
    <cellStyle name="Millares 2 9 2 4 2 4 2" xfId="45554" xr:uid="{00000000-0005-0000-0000-000031350000}"/>
    <cellStyle name="Millares 2 9 2 4 2 5" xfId="31992" xr:uid="{00000000-0005-0000-0000-000032350000}"/>
    <cellStyle name="Millares 2 9 2 4 3" xfId="8233" xr:uid="{00000000-0005-0000-0000-000033350000}"/>
    <cellStyle name="Millares 2 9 2 4 3 2" xfId="15022" xr:uid="{00000000-0005-0000-0000-000034350000}"/>
    <cellStyle name="Millares 2 9 2 4 3 2 2" xfId="28590" xr:uid="{00000000-0005-0000-0000-000035350000}"/>
    <cellStyle name="Millares 2 9 2 4 3 2 2 2" xfId="55723" xr:uid="{00000000-0005-0000-0000-000036350000}"/>
    <cellStyle name="Millares 2 9 2 4 3 2 3" xfId="42161" xr:uid="{00000000-0005-0000-0000-000037350000}"/>
    <cellStyle name="Millares 2 9 2 4 3 3" xfId="21809" xr:uid="{00000000-0005-0000-0000-000038350000}"/>
    <cellStyle name="Millares 2 9 2 4 3 3 2" xfId="48942" xr:uid="{00000000-0005-0000-0000-000039350000}"/>
    <cellStyle name="Millares 2 9 2 4 3 4" xfId="35380" xr:uid="{00000000-0005-0000-0000-00003A350000}"/>
    <cellStyle name="Millares 2 9 2 4 4" xfId="11633" xr:uid="{00000000-0005-0000-0000-00003B350000}"/>
    <cellStyle name="Millares 2 9 2 4 4 2" xfId="25201" xr:uid="{00000000-0005-0000-0000-00003C350000}"/>
    <cellStyle name="Millares 2 9 2 4 4 2 2" xfId="52334" xr:uid="{00000000-0005-0000-0000-00003D350000}"/>
    <cellStyle name="Millares 2 9 2 4 4 3" xfId="38772" xr:uid="{00000000-0005-0000-0000-00003E350000}"/>
    <cellStyle name="Millares 2 9 2 4 5" xfId="18420" xr:uid="{00000000-0005-0000-0000-00003F350000}"/>
    <cellStyle name="Millares 2 9 2 4 5 2" xfId="45553" xr:uid="{00000000-0005-0000-0000-000040350000}"/>
    <cellStyle name="Millares 2 9 2 4 6" xfId="31991" xr:uid="{00000000-0005-0000-0000-000041350000}"/>
    <cellStyle name="Millares 2 9 2 5" xfId="4626" xr:uid="{00000000-0005-0000-0000-000042350000}"/>
    <cellStyle name="Millares 2 9 2 5 2" xfId="8235" xr:uid="{00000000-0005-0000-0000-000043350000}"/>
    <cellStyle name="Millares 2 9 2 5 2 2" xfId="15024" xr:uid="{00000000-0005-0000-0000-000044350000}"/>
    <cellStyle name="Millares 2 9 2 5 2 2 2" xfId="28592" xr:uid="{00000000-0005-0000-0000-000045350000}"/>
    <cellStyle name="Millares 2 9 2 5 2 2 2 2" xfId="55725" xr:uid="{00000000-0005-0000-0000-000046350000}"/>
    <cellStyle name="Millares 2 9 2 5 2 2 3" xfId="42163" xr:uid="{00000000-0005-0000-0000-000047350000}"/>
    <cellStyle name="Millares 2 9 2 5 2 3" xfId="21811" xr:uid="{00000000-0005-0000-0000-000048350000}"/>
    <cellStyle name="Millares 2 9 2 5 2 3 2" xfId="48944" xr:uid="{00000000-0005-0000-0000-000049350000}"/>
    <cellStyle name="Millares 2 9 2 5 2 4" xfId="35382" xr:uid="{00000000-0005-0000-0000-00004A350000}"/>
    <cellStyle name="Millares 2 9 2 5 3" xfId="11635" xr:uid="{00000000-0005-0000-0000-00004B350000}"/>
    <cellStyle name="Millares 2 9 2 5 3 2" xfId="25203" xr:uid="{00000000-0005-0000-0000-00004C350000}"/>
    <cellStyle name="Millares 2 9 2 5 3 2 2" xfId="52336" xr:uid="{00000000-0005-0000-0000-00004D350000}"/>
    <cellStyle name="Millares 2 9 2 5 3 3" xfId="38774" xr:uid="{00000000-0005-0000-0000-00004E350000}"/>
    <cellStyle name="Millares 2 9 2 5 4" xfId="18422" xr:uid="{00000000-0005-0000-0000-00004F350000}"/>
    <cellStyle name="Millares 2 9 2 5 4 2" xfId="45555" xr:uid="{00000000-0005-0000-0000-000050350000}"/>
    <cellStyle name="Millares 2 9 2 5 5" xfId="31993" xr:uid="{00000000-0005-0000-0000-000051350000}"/>
    <cellStyle name="Millares 2 9 2 6" xfId="4627" xr:uid="{00000000-0005-0000-0000-000052350000}"/>
    <cellStyle name="Millares 2 9 2 6 2" xfId="8236" xr:uid="{00000000-0005-0000-0000-000053350000}"/>
    <cellStyle name="Millares 2 9 2 6 2 2" xfId="15025" xr:uid="{00000000-0005-0000-0000-000054350000}"/>
    <cellStyle name="Millares 2 9 2 6 2 2 2" xfId="28593" xr:uid="{00000000-0005-0000-0000-000055350000}"/>
    <cellStyle name="Millares 2 9 2 6 2 2 2 2" xfId="55726" xr:uid="{00000000-0005-0000-0000-000056350000}"/>
    <cellStyle name="Millares 2 9 2 6 2 2 3" xfId="42164" xr:uid="{00000000-0005-0000-0000-000057350000}"/>
    <cellStyle name="Millares 2 9 2 6 2 3" xfId="21812" xr:uid="{00000000-0005-0000-0000-000058350000}"/>
    <cellStyle name="Millares 2 9 2 6 2 3 2" xfId="48945" xr:uid="{00000000-0005-0000-0000-000059350000}"/>
    <cellStyle name="Millares 2 9 2 6 2 4" xfId="35383" xr:uid="{00000000-0005-0000-0000-00005A350000}"/>
    <cellStyle name="Millares 2 9 2 6 3" xfId="11636" xr:uid="{00000000-0005-0000-0000-00005B350000}"/>
    <cellStyle name="Millares 2 9 2 6 3 2" xfId="25204" xr:uid="{00000000-0005-0000-0000-00005C350000}"/>
    <cellStyle name="Millares 2 9 2 6 3 2 2" xfId="52337" xr:uid="{00000000-0005-0000-0000-00005D350000}"/>
    <cellStyle name="Millares 2 9 2 6 3 3" xfId="38775" xr:uid="{00000000-0005-0000-0000-00005E350000}"/>
    <cellStyle name="Millares 2 9 2 6 4" xfId="18423" xr:uid="{00000000-0005-0000-0000-00005F350000}"/>
    <cellStyle name="Millares 2 9 2 6 4 2" xfId="45556" xr:uid="{00000000-0005-0000-0000-000060350000}"/>
    <cellStyle name="Millares 2 9 2 6 5" xfId="31994" xr:uid="{00000000-0005-0000-0000-000061350000}"/>
    <cellStyle name="Millares 2 9 2 7" xfId="8221" xr:uid="{00000000-0005-0000-0000-000062350000}"/>
    <cellStyle name="Millares 2 9 2 7 2" xfId="15010" xr:uid="{00000000-0005-0000-0000-000063350000}"/>
    <cellStyle name="Millares 2 9 2 7 2 2" xfId="28578" xr:uid="{00000000-0005-0000-0000-000064350000}"/>
    <cellStyle name="Millares 2 9 2 7 2 2 2" xfId="55711" xr:uid="{00000000-0005-0000-0000-000065350000}"/>
    <cellStyle name="Millares 2 9 2 7 2 3" xfId="42149" xr:uid="{00000000-0005-0000-0000-000066350000}"/>
    <cellStyle name="Millares 2 9 2 7 3" xfId="21797" xr:uid="{00000000-0005-0000-0000-000067350000}"/>
    <cellStyle name="Millares 2 9 2 7 3 2" xfId="48930" xr:uid="{00000000-0005-0000-0000-000068350000}"/>
    <cellStyle name="Millares 2 9 2 7 4" xfId="35368" xr:uid="{00000000-0005-0000-0000-000069350000}"/>
    <cellStyle name="Millares 2 9 2 8" xfId="11621" xr:uid="{00000000-0005-0000-0000-00006A350000}"/>
    <cellStyle name="Millares 2 9 2 8 2" xfId="25189" xr:uid="{00000000-0005-0000-0000-00006B350000}"/>
    <cellStyle name="Millares 2 9 2 8 2 2" xfId="52322" xr:uid="{00000000-0005-0000-0000-00006C350000}"/>
    <cellStyle name="Millares 2 9 2 8 3" xfId="38760" xr:uid="{00000000-0005-0000-0000-00006D350000}"/>
    <cellStyle name="Millares 2 9 2 9" xfId="18408" xr:uid="{00000000-0005-0000-0000-00006E350000}"/>
    <cellStyle name="Millares 2 9 2 9 2" xfId="45541" xr:uid="{00000000-0005-0000-0000-00006F350000}"/>
    <cellStyle name="Millares 2 9 3" xfId="4628" xr:uid="{00000000-0005-0000-0000-000070350000}"/>
    <cellStyle name="Millares 2 9 3 2" xfId="4629" xr:uid="{00000000-0005-0000-0000-000071350000}"/>
    <cellStyle name="Millares 2 9 3 2 2" xfId="4630" xr:uid="{00000000-0005-0000-0000-000072350000}"/>
    <cellStyle name="Millares 2 9 3 2 2 2" xfId="8239" xr:uid="{00000000-0005-0000-0000-000073350000}"/>
    <cellStyle name="Millares 2 9 3 2 2 2 2" xfId="15028" xr:uid="{00000000-0005-0000-0000-000074350000}"/>
    <cellStyle name="Millares 2 9 3 2 2 2 2 2" xfId="28596" xr:uid="{00000000-0005-0000-0000-000075350000}"/>
    <cellStyle name="Millares 2 9 3 2 2 2 2 2 2" xfId="55729" xr:uid="{00000000-0005-0000-0000-000076350000}"/>
    <cellStyle name="Millares 2 9 3 2 2 2 2 3" xfId="42167" xr:uid="{00000000-0005-0000-0000-000077350000}"/>
    <cellStyle name="Millares 2 9 3 2 2 2 3" xfId="21815" xr:uid="{00000000-0005-0000-0000-000078350000}"/>
    <cellStyle name="Millares 2 9 3 2 2 2 3 2" xfId="48948" xr:uid="{00000000-0005-0000-0000-000079350000}"/>
    <cellStyle name="Millares 2 9 3 2 2 2 4" xfId="35386" xr:uid="{00000000-0005-0000-0000-00007A350000}"/>
    <cellStyle name="Millares 2 9 3 2 2 3" xfId="11639" xr:uid="{00000000-0005-0000-0000-00007B350000}"/>
    <cellStyle name="Millares 2 9 3 2 2 3 2" xfId="25207" xr:uid="{00000000-0005-0000-0000-00007C350000}"/>
    <cellStyle name="Millares 2 9 3 2 2 3 2 2" xfId="52340" xr:uid="{00000000-0005-0000-0000-00007D350000}"/>
    <cellStyle name="Millares 2 9 3 2 2 3 3" xfId="38778" xr:uid="{00000000-0005-0000-0000-00007E350000}"/>
    <cellStyle name="Millares 2 9 3 2 2 4" xfId="18426" xr:uid="{00000000-0005-0000-0000-00007F350000}"/>
    <cellStyle name="Millares 2 9 3 2 2 4 2" xfId="45559" xr:uid="{00000000-0005-0000-0000-000080350000}"/>
    <cellStyle name="Millares 2 9 3 2 2 5" xfId="31997" xr:uid="{00000000-0005-0000-0000-000081350000}"/>
    <cellStyle name="Millares 2 9 3 2 3" xfId="4631" xr:uid="{00000000-0005-0000-0000-000082350000}"/>
    <cellStyle name="Millares 2 9 3 2 3 2" xfId="8240" xr:uid="{00000000-0005-0000-0000-000083350000}"/>
    <cellStyle name="Millares 2 9 3 2 3 2 2" xfId="15029" xr:uid="{00000000-0005-0000-0000-000084350000}"/>
    <cellStyle name="Millares 2 9 3 2 3 2 2 2" xfId="28597" xr:uid="{00000000-0005-0000-0000-000085350000}"/>
    <cellStyle name="Millares 2 9 3 2 3 2 2 2 2" xfId="55730" xr:uid="{00000000-0005-0000-0000-000086350000}"/>
    <cellStyle name="Millares 2 9 3 2 3 2 2 3" xfId="42168" xr:uid="{00000000-0005-0000-0000-000087350000}"/>
    <cellStyle name="Millares 2 9 3 2 3 2 3" xfId="21816" xr:uid="{00000000-0005-0000-0000-000088350000}"/>
    <cellStyle name="Millares 2 9 3 2 3 2 3 2" xfId="48949" xr:uid="{00000000-0005-0000-0000-000089350000}"/>
    <cellStyle name="Millares 2 9 3 2 3 2 4" xfId="35387" xr:uid="{00000000-0005-0000-0000-00008A350000}"/>
    <cellStyle name="Millares 2 9 3 2 3 3" xfId="11640" xr:uid="{00000000-0005-0000-0000-00008B350000}"/>
    <cellStyle name="Millares 2 9 3 2 3 3 2" xfId="25208" xr:uid="{00000000-0005-0000-0000-00008C350000}"/>
    <cellStyle name="Millares 2 9 3 2 3 3 2 2" xfId="52341" xr:uid="{00000000-0005-0000-0000-00008D350000}"/>
    <cellStyle name="Millares 2 9 3 2 3 3 3" xfId="38779" xr:uid="{00000000-0005-0000-0000-00008E350000}"/>
    <cellStyle name="Millares 2 9 3 2 3 4" xfId="18427" xr:uid="{00000000-0005-0000-0000-00008F350000}"/>
    <cellStyle name="Millares 2 9 3 2 3 4 2" xfId="45560" xr:uid="{00000000-0005-0000-0000-000090350000}"/>
    <cellStyle name="Millares 2 9 3 2 3 5" xfId="31998" xr:uid="{00000000-0005-0000-0000-000091350000}"/>
    <cellStyle name="Millares 2 9 3 2 4" xfId="8238" xr:uid="{00000000-0005-0000-0000-000092350000}"/>
    <cellStyle name="Millares 2 9 3 2 4 2" xfId="15027" xr:uid="{00000000-0005-0000-0000-000093350000}"/>
    <cellStyle name="Millares 2 9 3 2 4 2 2" xfId="28595" xr:uid="{00000000-0005-0000-0000-000094350000}"/>
    <cellStyle name="Millares 2 9 3 2 4 2 2 2" xfId="55728" xr:uid="{00000000-0005-0000-0000-000095350000}"/>
    <cellStyle name="Millares 2 9 3 2 4 2 3" xfId="42166" xr:uid="{00000000-0005-0000-0000-000096350000}"/>
    <cellStyle name="Millares 2 9 3 2 4 3" xfId="21814" xr:uid="{00000000-0005-0000-0000-000097350000}"/>
    <cellStyle name="Millares 2 9 3 2 4 3 2" xfId="48947" xr:uid="{00000000-0005-0000-0000-000098350000}"/>
    <cellStyle name="Millares 2 9 3 2 4 4" xfId="35385" xr:uid="{00000000-0005-0000-0000-000099350000}"/>
    <cellStyle name="Millares 2 9 3 2 5" xfId="11638" xr:uid="{00000000-0005-0000-0000-00009A350000}"/>
    <cellStyle name="Millares 2 9 3 2 5 2" xfId="25206" xr:uid="{00000000-0005-0000-0000-00009B350000}"/>
    <cellStyle name="Millares 2 9 3 2 5 2 2" xfId="52339" xr:uid="{00000000-0005-0000-0000-00009C350000}"/>
    <cellStyle name="Millares 2 9 3 2 5 3" xfId="38777" xr:uid="{00000000-0005-0000-0000-00009D350000}"/>
    <cellStyle name="Millares 2 9 3 2 6" xfId="18425" xr:uid="{00000000-0005-0000-0000-00009E350000}"/>
    <cellStyle name="Millares 2 9 3 2 6 2" xfId="45558" xr:uid="{00000000-0005-0000-0000-00009F350000}"/>
    <cellStyle name="Millares 2 9 3 2 7" xfId="31996" xr:uid="{00000000-0005-0000-0000-0000A0350000}"/>
    <cellStyle name="Millares 2 9 3 3" xfId="4632" xr:uid="{00000000-0005-0000-0000-0000A1350000}"/>
    <cellStyle name="Millares 2 9 3 3 2" xfId="4633" xr:uid="{00000000-0005-0000-0000-0000A2350000}"/>
    <cellStyle name="Millares 2 9 3 3 2 2" xfId="8242" xr:uid="{00000000-0005-0000-0000-0000A3350000}"/>
    <cellStyle name="Millares 2 9 3 3 2 2 2" xfId="15031" xr:uid="{00000000-0005-0000-0000-0000A4350000}"/>
    <cellStyle name="Millares 2 9 3 3 2 2 2 2" xfId="28599" xr:uid="{00000000-0005-0000-0000-0000A5350000}"/>
    <cellStyle name="Millares 2 9 3 3 2 2 2 2 2" xfId="55732" xr:uid="{00000000-0005-0000-0000-0000A6350000}"/>
    <cellStyle name="Millares 2 9 3 3 2 2 2 3" xfId="42170" xr:uid="{00000000-0005-0000-0000-0000A7350000}"/>
    <cellStyle name="Millares 2 9 3 3 2 2 3" xfId="21818" xr:uid="{00000000-0005-0000-0000-0000A8350000}"/>
    <cellStyle name="Millares 2 9 3 3 2 2 3 2" xfId="48951" xr:uid="{00000000-0005-0000-0000-0000A9350000}"/>
    <cellStyle name="Millares 2 9 3 3 2 2 4" xfId="35389" xr:uid="{00000000-0005-0000-0000-0000AA350000}"/>
    <cellStyle name="Millares 2 9 3 3 2 3" xfId="11642" xr:uid="{00000000-0005-0000-0000-0000AB350000}"/>
    <cellStyle name="Millares 2 9 3 3 2 3 2" xfId="25210" xr:uid="{00000000-0005-0000-0000-0000AC350000}"/>
    <cellStyle name="Millares 2 9 3 3 2 3 2 2" xfId="52343" xr:uid="{00000000-0005-0000-0000-0000AD350000}"/>
    <cellStyle name="Millares 2 9 3 3 2 3 3" xfId="38781" xr:uid="{00000000-0005-0000-0000-0000AE350000}"/>
    <cellStyle name="Millares 2 9 3 3 2 4" xfId="18429" xr:uid="{00000000-0005-0000-0000-0000AF350000}"/>
    <cellStyle name="Millares 2 9 3 3 2 4 2" xfId="45562" xr:uid="{00000000-0005-0000-0000-0000B0350000}"/>
    <cellStyle name="Millares 2 9 3 3 2 5" xfId="32000" xr:uid="{00000000-0005-0000-0000-0000B1350000}"/>
    <cellStyle name="Millares 2 9 3 3 3" xfId="8241" xr:uid="{00000000-0005-0000-0000-0000B2350000}"/>
    <cellStyle name="Millares 2 9 3 3 3 2" xfId="15030" xr:uid="{00000000-0005-0000-0000-0000B3350000}"/>
    <cellStyle name="Millares 2 9 3 3 3 2 2" xfId="28598" xr:uid="{00000000-0005-0000-0000-0000B4350000}"/>
    <cellStyle name="Millares 2 9 3 3 3 2 2 2" xfId="55731" xr:uid="{00000000-0005-0000-0000-0000B5350000}"/>
    <cellStyle name="Millares 2 9 3 3 3 2 3" xfId="42169" xr:uid="{00000000-0005-0000-0000-0000B6350000}"/>
    <cellStyle name="Millares 2 9 3 3 3 3" xfId="21817" xr:uid="{00000000-0005-0000-0000-0000B7350000}"/>
    <cellStyle name="Millares 2 9 3 3 3 3 2" xfId="48950" xr:uid="{00000000-0005-0000-0000-0000B8350000}"/>
    <cellStyle name="Millares 2 9 3 3 3 4" xfId="35388" xr:uid="{00000000-0005-0000-0000-0000B9350000}"/>
    <cellStyle name="Millares 2 9 3 3 4" xfId="11641" xr:uid="{00000000-0005-0000-0000-0000BA350000}"/>
    <cellStyle name="Millares 2 9 3 3 4 2" xfId="25209" xr:uid="{00000000-0005-0000-0000-0000BB350000}"/>
    <cellStyle name="Millares 2 9 3 3 4 2 2" xfId="52342" xr:uid="{00000000-0005-0000-0000-0000BC350000}"/>
    <cellStyle name="Millares 2 9 3 3 4 3" xfId="38780" xr:uid="{00000000-0005-0000-0000-0000BD350000}"/>
    <cellStyle name="Millares 2 9 3 3 5" xfId="18428" xr:uid="{00000000-0005-0000-0000-0000BE350000}"/>
    <cellStyle name="Millares 2 9 3 3 5 2" xfId="45561" xr:uid="{00000000-0005-0000-0000-0000BF350000}"/>
    <cellStyle name="Millares 2 9 3 3 6" xfId="31999" xr:uid="{00000000-0005-0000-0000-0000C0350000}"/>
    <cellStyle name="Millares 2 9 3 4" xfId="4634" xr:uid="{00000000-0005-0000-0000-0000C1350000}"/>
    <cellStyle name="Millares 2 9 3 4 2" xfId="8243" xr:uid="{00000000-0005-0000-0000-0000C2350000}"/>
    <cellStyle name="Millares 2 9 3 4 2 2" xfId="15032" xr:uid="{00000000-0005-0000-0000-0000C3350000}"/>
    <cellStyle name="Millares 2 9 3 4 2 2 2" xfId="28600" xr:uid="{00000000-0005-0000-0000-0000C4350000}"/>
    <cellStyle name="Millares 2 9 3 4 2 2 2 2" xfId="55733" xr:uid="{00000000-0005-0000-0000-0000C5350000}"/>
    <cellStyle name="Millares 2 9 3 4 2 2 3" xfId="42171" xr:uid="{00000000-0005-0000-0000-0000C6350000}"/>
    <cellStyle name="Millares 2 9 3 4 2 3" xfId="21819" xr:uid="{00000000-0005-0000-0000-0000C7350000}"/>
    <cellStyle name="Millares 2 9 3 4 2 3 2" xfId="48952" xr:uid="{00000000-0005-0000-0000-0000C8350000}"/>
    <cellStyle name="Millares 2 9 3 4 2 4" xfId="35390" xr:uid="{00000000-0005-0000-0000-0000C9350000}"/>
    <cellStyle name="Millares 2 9 3 4 3" xfId="11643" xr:uid="{00000000-0005-0000-0000-0000CA350000}"/>
    <cellStyle name="Millares 2 9 3 4 3 2" xfId="25211" xr:uid="{00000000-0005-0000-0000-0000CB350000}"/>
    <cellStyle name="Millares 2 9 3 4 3 2 2" xfId="52344" xr:uid="{00000000-0005-0000-0000-0000CC350000}"/>
    <cellStyle name="Millares 2 9 3 4 3 3" xfId="38782" xr:uid="{00000000-0005-0000-0000-0000CD350000}"/>
    <cellStyle name="Millares 2 9 3 4 4" xfId="18430" xr:uid="{00000000-0005-0000-0000-0000CE350000}"/>
    <cellStyle name="Millares 2 9 3 4 4 2" xfId="45563" xr:uid="{00000000-0005-0000-0000-0000CF350000}"/>
    <cellStyle name="Millares 2 9 3 4 5" xfId="32001" xr:uid="{00000000-0005-0000-0000-0000D0350000}"/>
    <cellStyle name="Millares 2 9 3 5" xfId="4635" xr:uid="{00000000-0005-0000-0000-0000D1350000}"/>
    <cellStyle name="Millares 2 9 3 5 2" xfId="8244" xr:uid="{00000000-0005-0000-0000-0000D2350000}"/>
    <cellStyle name="Millares 2 9 3 5 2 2" xfId="15033" xr:uid="{00000000-0005-0000-0000-0000D3350000}"/>
    <cellStyle name="Millares 2 9 3 5 2 2 2" xfId="28601" xr:uid="{00000000-0005-0000-0000-0000D4350000}"/>
    <cellStyle name="Millares 2 9 3 5 2 2 2 2" xfId="55734" xr:uid="{00000000-0005-0000-0000-0000D5350000}"/>
    <cellStyle name="Millares 2 9 3 5 2 2 3" xfId="42172" xr:uid="{00000000-0005-0000-0000-0000D6350000}"/>
    <cellStyle name="Millares 2 9 3 5 2 3" xfId="21820" xr:uid="{00000000-0005-0000-0000-0000D7350000}"/>
    <cellStyle name="Millares 2 9 3 5 2 3 2" xfId="48953" xr:uid="{00000000-0005-0000-0000-0000D8350000}"/>
    <cellStyle name="Millares 2 9 3 5 2 4" xfId="35391" xr:uid="{00000000-0005-0000-0000-0000D9350000}"/>
    <cellStyle name="Millares 2 9 3 5 3" xfId="11644" xr:uid="{00000000-0005-0000-0000-0000DA350000}"/>
    <cellStyle name="Millares 2 9 3 5 3 2" xfId="25212" xr:uid="{00000000-0005-0000-0000-0000DB350000}"/>
    <cellStyle name="Millares 2 9 3 5 3 2 2" xfId="52345" xr:uid="{00000000-0005-0000-0000-0000DC350000}"/>
    <cellStyle name="Millares 2 9 3 5 3 3" xfId="38783" xr:uid="{00000000-0005-0000-0000-0000DD350000}"/>
    <cellStyle name="Millares 2 9 3 5 4" xfId="18431" xr:uid="{00000000-0005-0000-0000-0000DE350000}"/>
    <cellStyle name="Millares 2 9 3 5 4 2" xfId="45564" xr:uid="{00000000-0005-0000-0000-0000DF350000}"/>
    <cellStyle name="Millares 2 9 3 5 5" xfId="32002" xr:uid="{00000000-0005-0000-0000-0000E0350000}"/>
    <cellStyle name="Millares 2 9 3 6" xfId="8237" xr:uid="{00000000-0005-0000-0000-0000E1350000}"/>
    <cellStyle name="Millares 2 9 3 6 2" xfId="15026" xr:uid="{00000000-0005-0000-0000-0000E2350000}"/>
    <cellStyle name="Millares 2 9 3 6 2 2" xfId="28594" xr:uid="{00000000-0005-0000-0000-0000E3350000}"/>
    <cellStyle name="Millares 2 9 3 6 2 2 2" xfId="55727" xr:uid="{00000000-0005-0000-0000-0000E4350000}"/>
    <cellStyle name="Millares 2 9 3 6 2 3" xfId="42165" xr:uid="{00000000-0005-0000-0000-0000E5350000}"/>
    <cellStyle name="Millares 2 9 3 6 3" xfId="21813" xr:uid="{00000000-0005-0000-0000-0000E6350000}"/>
    <cellStyle name="Millares 2 9 3 6 3 2" xfId="48946" xr:uid="{00000000-0005-0000-0000-0000E7350000}"/>
    <cellStyle name="Millares 2 9 3 6 4" xfId="35384" xr:uid="{00000000-0005-0000-0000-0000E8350000}"/>
    <cellStyle name="Millares 2 9 3 7" xfId="11637" xr:uid="{00000000-0005-0000-0000-0000E9350000}"/>
    <cellStyle name="Millares 2 9 3 7 2" xfId="25205" xr:uid="{00000000-0005-0000-0000-0000EA350000}"/>
    <cellStyle name="Millares 2 9 3 7 2 2" xfId="52338" xr:uid="{00000000-0005-0000-0000-0000EB350000}"/>
    <cellStyle name="Millares 2 9 3 7 3" xfId="38776" xr:uid="{00000000-0005-0000-0000-0000EC350000}"/>
    <cellStyle name="Millares 2 9 3 8" xfId="18424" xr:uid="{00000000-0005-0000-0000-0000ED350000}"/>
    <cellStyle name="Millares 2 9 3 8 2" xfId="45557" xr:uid="{00000000-0005-0000-0000-0000EE350000}"/>
    <cellStyle name="Millares 2 9 3 9" xfId="31995" xr:uid="{00000000-0005-0000-0000-0000EF350000}"/>
    <cellStyle name="Millares 2 9 4" xfId="4636" xr:uid="{00000000-0005-0000-0000-0000F0350000}"/>
    <cellStyle name="Millares 2 9 4 2" xfId="4637" xr:uid="{00000000-0005-0000-0000-0000F1350000}"/>
    <cellStyle name="Millares 2 9 4 2 2" xfId="4638" xr:uid="{00000000-0005-0000-0000-0000F2350000}"/>
    <cellStyle name="Millares 2 9 4 2 2 2" xfId="8247" xr:uid="{00000000-0005-0000-0000-0000F3350000}"/>
    <cellStyle name="Millares 2 9 4 2 2 2 2" xfId="15036" xr:uid="{00000000-0005-0000-0000-0000F4350000}"/>
    <cellStyle name="Millares 2 9 4 2 2 2 2 2" xfId="28604" xr:uid="{00000000-0005-0000-0000-0000F5350000}"/>
    <cellStyle name="Millares 2 9 4 2 2 2 2 2 2" xfId="55737" xr:uid="{00000000-0005-0000-0000-0000F6350000}"/>
    <cellStyle name="Millares 2 9 4 2 2 2 2 3" xfId="42175" xr:uid="{00000000-0005-0000-0000-0000F7350000}"/>
    <cellStyle name="Millares 2 9 4 2 2 2 3" xfId="21823" xr:uid="{00000000-0005-0000-0000-0000F8350000}"/>
    <cellStyle name="Millares 2 9 4 2 2 2 3 2" xfId="48956" xr:uid="{00000000-0005-0000-0000-0000F9350000}"/>
    <cellStyle name="Millares 2 9 4 2 2 2 4" xfId="35394" xr:uid="{00000000-0005-0000-0000-0000FA350000}"/>
    <cellStyle name="Millares 2 9 4 2 2 3" xfId="11647" xr:uid="{00000000-0005-0000-0000-0000FB350000}"/>
    <cellStyle name="Millares 2 9 4 2 2 3 2" xfId="25215" xr:uid="{00000000-0005-0000-0000-0000FC350000}"/>
    <cellStyle name="Millares 2 9 4 2 2 3 2 2" xfId="52348" xr:uid="{00000000-0005-0000-0000-0000FD350000}"/>
    <cellStyle name="Millares 2 9 4 2 2 3 3" xfId="38786" xr:uid="{00000000-0005-0000-0000-0000FE350000}"/>
    <cellStyle name="Millares 2 9 4 2 2 4" xfId="18434" xr:uid="{00000000-0005-0000-0000-0000FF350000}"/>
    <cellStyle name="Millares 2 9 4 2 2 4 2" xfId="45567" xr:uid="{00000000-0005-0000-0000-000000360000}"/>
    <cellStyle name="Millares 2 9 4 2 2 5" xfId="32005" xr:uid="{00000000-0005-0000-0000-000001360000}"/>
    <cellStyle name="Millares 2 9 4 2 3" xfId="4639" xr:uid="{00000000-0005-0000-0000-000002360000}"/>
    <cellStyle name="Millares 2 9 4 2 3 2" xfId="8248" xr:uid="{00000000-0005-0000-0000-000003360000}"/>
    <cellStyle name="Millares 2 9 4 2 3 2 2" xfId="15037" xr:uid="{00000000-0005-0000-0000-000004360000}"/>
    <cellStyle name="Millares 2 9 4 2 3 2 2 2" xfId="28605" xr:uid="{00000000-0005-0000-0000-000005360000}"/>
    <cellStyle name="Millares 2 9 4 2 3 2 2 2 2" xfId="55738" xr:uid="{00000000-0005-0000-0000-000006360000}"/>
    <cellStyle name="Millares 2 9 4 2 3 2 2 3" xfId="42176" xr:uid="{00000000-0005-0000-0000-000007360000}"/>
    <cellStyle name="Millares 2 9 4 2 3 2 3" xfId="21824" xr:uid="{00000000-0005-0000-0000-000008360000}"/>
    <cellStyle name="Millares 2 9 4 2 3 2 3 2" xfId="48957" xr:uid="{00000000-0005-0000-0000-000009360000}"/>
    <cellStyle name="Millares 2 9 4 2 3 2 4" xfId="35395" xr:uid="{00000000-0005-0000-0000-00000A360000}"/>
    <cellStyle name="Millares 2 9 4 2 3 3" xfId="11648" xr:uid="{00000000-0005-0000-0000-00000B360000}"/>
    <cellStyle name="Millares 2 9 4 2 3 3 2" xfId="25216" xr:uid="{00000000-0005-0000-0000-00000C360000}"/>
    <cellStyle name="Millares 2 9 4 2 3 3 2 2" xfId="52349" xr:uid="{00000000-0005-0000-0000-00000D360000}"/>
    <cellStyle name="Millares 2 9 4 2 3 3 3" xfId="38787" xr:uid="{00000000-0005-0000-0000-00000E360000}"/>
    <cellStyle name="Millares 2 9 4 2 3 4" xfId="18435" xr:uid="{00000000-0005-0000-0000-00000F360000}"/>
    <cellStyle name="Millares 2 9 4 2 3 4 2" xfId="45568" xr:uid="{00000000-0005-0000-0000-000010360000}"/>
    <cellStyle name="Millares 2 9 4 2 3 5" xfId="32006" xr:uid="{00000000-0005-0000-0000-000011360000}"/>
    <cellStyle name="Millares 2 9 4 2 4" xfId="8246" xr:uid="{00000000-0005-0000-0000-000012360000}"/>
    <cellStyle name="Millares 2 9 4 2 4 2" xfId="15035" xr:uid="{00000000-0005-0000-0000-000013360000}"/>
    <cellStyle name="Millares 2 9 4 2 4 2 2" xfId="28603" xr:uid="{00000000-0005-0000-0000-000014360000}"/>
    <cellStyle name="Millares 2 9 4 2 4 2 2 2" xfId="55736" xr:uid="{00000000-0005-0000-0000-000015360000}"/>
    <cellStyle name="Millares 2 9 4 2 4 2 3" xfId="42174" xr:uid="{00000000-0005-0000-0000-000016360000}"/>
    <cellStyle name="Millares 2 9 4 2 4 3" xfId="21822" xr:uid="{00000000-0005-0000-0000-000017360000}"/>
    <cellStyle name="Millares 2 9 4 2 4 3 2" xfId="48955" xr:uid="{00000000-0005-0000-0000-000018360000}"/>
    <cellStyle name="Millares 2 9 4 2 4 4" xfId="35393" xr:uid="{00000000-0005-0000-0000-000019360000}"/>
    <cellStyle name="Millares 2 9 4 2 5" xfId="11646" xr:uid="{00000000-0005-0000-0000-00001A360000}"/>
    <cellStyle name="Millares 2 9 4 2 5 2" xfId="25214" xr:uid="{00000000-0005-0000-0000-00001B360000}"/>
    <cellStyle name="Millares 2 9 4 2 5 2 2" xfId="52347" xr:uid="{00000000-0005-0000-0000-00001C360000}"/>
    <cellStyle name="Millares 2 9 4 2 5 3" xfId="38785" xr:uid="{00000000-0005-0000-0000-00001D360000}"/>
    <cellStyle name="Millares 2 9 4 2 6" xfId="18433" xr:uid="{00000000-0005-0000-0000-00001E360000}"/>
    <cellStyle name="Millares 2 9 4 2 6 2" xfId="45566" xr:uid="{00000000-0005-0000-0000-00001F360000}"/>
    <cellStyle name="Millares 2 9 4 2 7" xfId="32004" xr:uid="{00000000-0005-0000-0000-000020360000}"/>
    <cellStyle name="Millares 2 9 4 3" xfId="4640" xr:uid="{00000000-0005-0000-0000-000021360000}"/>
    <cellStyle name="Millares 2 9 4 3 2" xfId="8249" xr:uid="{00000000-0005-0000-0000-000022360000}"/>
    <cellStyle name="Millares 2 9 4 3 2 2" xfId="15038" xr:uid="{00000000-0005-0000-0000-000023360000}"/>
    <cellStyle name="Millares 2 9 4 3 2 2 2" xfId="28606" xr:uid="{00000000-0005-0000-0000-000024360000}"/>
    <cellStyle name="Millares 2 9 4 3 2 2 2 2" xfId="55739" xr:uid="{00000000-0005-0000-0000-000025360000}"/>
    <cellStyle name="Millares 2 9 4 3 2 2 3" xfId="42177" xr:uid="{00000000-0005-0000-0000-000026360000}"/>
    <cellStyle name="Millares 2 9 4 3 2 3" xfId="21825" xr:uid="{00000000-0005-0000-0000-000027360000}"/>
    <cellStyle name="Millares 2 9 4 3 2 3 2" xfId="48958" xr:uid="{00000000-0005-0000-0000-000028360000}"/>
    <cellStyle name="Millares 2 9 4 3 2 4" xfId="35396" xr:uid="{00000000-0005-0000-0000-000029360000}"/>
    <cellStyle name="Millares 2 9 4 3 3" xfId="11649" xr:uid="{00000000-0005-0000-0000-00002A360000}"/>
    <cellStyle name="Millares 2 9 4 3 3 2" xfId="25217" xr:uid="{00000000-0005-0000-0000-00002B360000}"/>
    <cellStyle name="Millares 2 9 4 3 3 2 2" xfId="52350" xr:uid="{00000000-0005-0000-0000-00002C360000}"/>
    <cellStyle name="Millares 2 9 4 3 3 3" xfId="38788" xr:uid="{00000000-0005-0000-0000-00002D360000}"/>
    <cellStyle name="Millares 2 9 4 3 4" xfId="18436" xr:uid="{00000000-0005-0000-0000-00002E360000}"/>
    <cellStyle name="Millares 2 9 4 3 4 2" xfId="45569" xr:uid="{00000000-0005-0000-0000-00002F360000}"/>
    <cellStyle name="Millares 2 9 4 3 5" xfId="32007" xr:uid="{00000000-0005-0000-0000-000030360000}"/>
    <cellStyle name="Millares 2 9 4 4" xfId="4641" xr:uid="{00000000-0005-0000-0000-000031360000}"/>
    <cellStyle name="Millares 2 9 4 4 2" xfId="8250" xr:uid="{00000000-0005-0000-0000-000032360000}"/>
    <cellStyle name="Millares 2 9 4 4 2 2" xfId="15039" xr:uid="{00000000-0005-0000-0000-000033360000}"/>
    <cellStyle name="Millares 2 9 4 4 2 2 2" xfId="28607" xr:uid="{00000000-0005-0000-0000-000034360000}"/>
    <cellStyle name="Millares 2 9 4 4 2 2 2 2" xfId="55740" xr:uid="{00000000-0005-0000-0000-000035360000}"/>
    <cellStyle name="Millares 2 9 4 4 2 2 3" xfId="42178" xr:uid="{00000000-0005-0000-0000-000036360000}"/>
    <cellStyle name="Millares 2 9 4 4 2 3" xfId="21826" xr:uid="{00000000-0005-0000-0000-000037360000}"/>
    <cellStyle name="Millares 2 9 4 4 2 3 2" xfId="48959" xr:uid="{00000000-0005-0000-0000-000038360000}"/>
    <cellStyle name="Millares 2 9 4 4 2 4" xfId="35397" xr:uid="{00000000-0005-0000-0000-000039360000}"/>
    <cellStyle name="Millares 2 9 4 4 3" xfId="11650" xr:uid="{00000000-0005-0000-0000-00003A360000}"/>
    <cellStyle name="Millares 2 9 4 4 3 2" xfId="25218" xr:uid="{00000000-0005-0000-0000-00003B360000}"/>
    <cellStyle name="Millares 2 9 4 4 3 2 2" xfId="52351" xr:uid="{00000000-0005-0000-0000-00003C360000}"/>
    <cellStyle name="Millares 2 9 4 4 3 3" xfId="38789" xr:uid="{00000000-0005-0000-0000-00003D360000}"/>
    <cellStyle name="Millares 2 9 4 4 4" xfId="18437" xr:uid="{00000000-0005-0000-0000-00003E360000}"/>
    <cellStyle name="Millares 2 9 4 4 4 2" xfId="45570" xr:uid="{00000000-0005-0000-0000-00003F360000}"/>
    <cellStyle name="Millares 2 9 4 4 5" xfId="32008" xr:uid="{00000000-0005-0000-0000-000040360000}"/>
    <cellStyle name="Millares 2 9 4 5" xfId="8245" xr:uid="{00000000-0005-0000-0000-000041360000}"/>
    <cellStyle name="Millares 2 9 4 5 2" xfId="15034" xr:uid="{00000000-0005-0000-0000-000042360000}"/>
    <cellStyle name="Millares 2 9 4 5 2 2" xfId="28602" xr:uid="{00000000-0005-0000-0000-000043360000}"/>
    <cellStyle name="Millares 2 9 4 5 2 2 2" xfId="55735" xr:uid="{00000000-0005-0000-0000-000044360000}"/>
    <cellStyle name="Millares 2 9 4 5 2 3" xfId="42173" xr:uid="{00000000-0005-0000-0000-000045360000}"/>
    <cellStyle name="Millares 2 9 4 5 3" xfId="21821" xr:uid="{00000000-0005-0000-0000-000046360000}"/>
    <cellStyle name="Millares 2 9 4 5 3 2" xfId="48954" xr:uid="{00000000-0005-0000-0000-000047360000}"/>
    <cellStyle name="Millares 2 9 4 5 4" xfId="35392" xr:uid="{00000000-0005-0000-0000-000048360000}"/>
    <cellStyle name="Millares 2 9 4 6" xfId="11645" xr:uid="{00000000-0005-0000-0000-000049360000}"/>
    <cellStyle name="Millares 2 9 4 6 2" xfId="25213" xr:uid="{00000000-0005-0000-0000-00004A360000}"/>
    <cellStyle name="Millares 2 9 4 6 2 2" xfId="52346" xr:uid="{00000000-0005-0000-0000-00004B360000}"/>
    <cellStyle name="Millares 2 9 4 6 3" xfId="38784" xr:uid="{00000000-0005-0000-0000-00004C360000}"/>
    <cellStyle name="Millares 2 9 4 7" xfId="18432" xr:uid="{00000000-0005-0000-0000-00004D360000}"/>
    <cellStyle name="Millares 2 9 4 7 2" xfId="45565" xr:uid="{00000000-0005-0000-0000-00004E360000}"/>
    <cellStyle name="Millares 2 9 4 8" xfId="32003" xr:uid="{00000000-0005-0000-0000-00004F360000}"/>
    <cellStyle name="Millares 2 9 5" xfId="4642" xr:uid="{00000000-0005-0000-0000-000050360000}"/>
    <cellStyle name="Millares 2 9 5 2" xfId="4643" xr:uid="{00000000-0005-0000-0000-000051360000}"/>
    <cellStyle name="Millares 2 9 5 2 2" xfId="4644" xr:uid="{00000000-0005-0000-0000-000052360000}"/>
    <cellStyle name="Millares 2 9 5 2 2 2" xfId="8253" xr:uid="{00000000-0005-0000-0000-000053360000}"/>
    <cellStyle name="Millares 2 9 5 2 2 2 2" xfId="15042" xr:uid="{00000000-0005-0000-0000-000054360000}"/>
    <cellStyle name="Millares 2 9 5 2 2 2 2 2" xfId="28610" xr:uid="{00000000-0005-0000-0000-000055360000}"/>
    <cellStyle name="Millares 2 9 5 2 2 2 2 2 2" xfId="55743" xr:uid="{00000000-0005-0000-0000-000056360000}"/>
    <cellStyle name="Millares 2 9 5 2 2 2 2 3" xfId="42181" xr:uid="{00000000-0005-0000-0000-000057360000}"/>
    <cellStyle name="Millares 2 9 5 2 2 2 3" xfId="21829" xr:uid="{00000000-0005-0000-0000-000058360000}"/>
    <cellStyle name="Millares 2 9 5 2 2 2 3 2" xfId="48962" xr:uid="{00000000-0005-0000-0000-000059360000}"/>
    <cellStyle name="Millares 2 9 5 2 2 2 4" xfId="35400" xr:uid="{00000000-0005-0000-0000-00005A360000}"/>
    <cellStyle name="Millares 2 9 5 2 2 3" xfId="11653" xr:uid="{00000000-0005-0000-0000-00005B360000}"/>
    <cellStyle name="Millares 2 9 5 2 2 3 2" xfId="25221" xr:uid="{00000000-0005-0000-0000-00005C360000}"/>
    <cellStyle name="Millares 2 9 5 2 2 3 2 2" xfId="52354" xr:uid="{00000000-0005-0000-0000-00005D360000}"/>
    <cellStyle name="Millares 2 9 5 2 2 3 3" xfId="38792" xr:uid="{00000000-0005-0000-0000-00005E360000}"/>
    <cellStyle name="Millares 2 9 5 2 2 4" xfId="18440" xr:uid="{00000000-0005-0000-0000-00005F360000}"/>
    <cellStyle name="Millares 2 9 5 2 2 4 2" xfId="45573" xr:uid="{00000000-0005-0000-0000-000060360000}"/>
    <cellStyle name="Millares 2 9 5 2 2 5" xfId="32011" xr:uid="{00000000-0005-0000-0000-000061360000}"/>
    <cellStyle name="Millares 2 9 5 2 3" xfId="4645" xr:uid="{00000000-0005-0000-0000-000062360000}"/>
    <cellStyle name="Millares 2 9 5 2 3 2" xfId="8254" xr:uid="{00000000-0005-0000-0000-000063360000}"/>
    <cellStyle name="Millares 2 9 5 2 3 2 2" xfId="15043" xr:uid="{00000000-0005-0000-0000-000064360000}"/>
    <cellStyle name="Millares 2 9 5 2 3 2 2 2" xfId="28611" xr:uid="{00000000-0005-0000-0000-000065360000}"/>
    <cellStyle name="Millares 2 9 5 2 3 2 2 2 2" xfId="55744" xr:uid="{00000000-0005-0000-0000-000066360000}"/>
    <cellStyle name="Millares 2 9 5 2 3 2 2 3" xfId="42182" xr:uid="{00000000-0005-0000-0000-000067360000}"/>
    <cellStyle name="Millares 2 9 5 2 3 2 3" xfId="21830" xr:uid="{00000000-0005-0000-0000-000068360000}"/>
    <cellStyle name="Millares 2 9 5 2 3 2 3 2" xfId="48963" xr:uid="{00000000-0005-0000-0000-000069360000}"/>
    <cellStyle name="Millares 2 9 5 2 3 2 4" xfId="35401" xr:uid="{00000000-0005-0000-0000-00006A360000}"/>
    <cellStyle name="Millares 2 9 5 2 3 3" xfId="11654" xr:uid="{00000000-0005-0000-0000-00006B360000}"/>
    <cellStyle name="Millares 2 9 5 2 3 3 2" xfId="25222" xr:uid="{00000000-0005-0000-0000-00006C360000}"/>
    <cellStyle name="Millares 2 9 5 2 3 3 2 2" xfId="52355" xr:uid="{00000000-0005-0000-0000-00006D360000}"/>
    <cellStyle name="Millares 2 9 5 2 3 3 3" xfId="38793" xr:uid="{00000000-0005-0000-0000-00006E360000}"/>
    <cellStyle name="Millares 2 9 5 2 3 4" xfId="18441" xr:uid="{00000000-0005-0000-0000-00006F360000}"/>
    <cellStyle name="Millares 2 9 5 2 3 4 2" xfId="45574" xr:uid="{00000000-0005-0000-0000-000070360000}"/>
    <cellStyle name="Millares 2 9 5 2 3 5" xfId="32012" xr:uid="{00000000-0005-0000-0000-000071360000}"/>
    <cellStyle name="Millares 2 9 5 2 4" xfId="8252" xr:uid="{00000000-0005-0000-0000-000072360000}"/>
    <cellStyle name="Millares 2 9 5 2 4 2" xfId="15041" xr:uid="{00000000-0005-0000-0000-000073360000}"/>
    <cellStyle name="Millares 2 9 5 2 4 2 2" xfId="28609" xr:uid="{00000000-0005-0000-0000-000074360000}"/>
    <cellStyle name="Millares 2 9 5 2 4 2 2 2" xfId="55742" xr:uid="{00000000-0005-0000-0000-000075360000}"/>
    <cellStyle name="Millares 2 9 5 2 4 2 3" xfId="42180" xr:uid="{00000000-0005-0000-0000-000076360000}"/>
    <cellStyle name="Millares 2 9 5 2 4 3" xfId="21828" xr:uid="{00000000-0005-0000-0000-000077360000}"/>
    <cellStyle name="Millares 2 9 5 2 4 3 2" xfId="48961" xr:uid="{00000000-0005-0000-0000-000078360000}"/>
    <cellStyle name="Millares 2 9 5 2 4 4" xfId="35399" xr:uid="{00000000-0005-0000-0000-000079360000}"/>
    <cellStyle name="Millares 2 9 5 2 5" xfId="11652" xr:uid="{00000000-0005-0000-0000-00007A360000}"/>
    <cellStyle name="Millares 2 9 5 2 5 2" xfId="25220" xr:uid="{00000000-0005-0000-0000-00007B360000}"/>
    <cellStyle name="Millares 2 9 5 2 5 2 2" xfId="52353" xr:uid="{00000000-0005-0000-0000-00007C360000}"/>
    <cellStyle name="Millares 2 9 5 2 5 3" xfId="38791" xr:uid="{00000000-0005-0000-0000-00007D360000}"/>
    <cellStyle name="Millares 2 9 5 2 6" xfId="18439" xr:uid="{00000000-0005-0000-0000-00007E360000}"/>
    <cellStyle name="Millares 2 9 5 2 6 2" xfId="45572" xr:uid="{00000000-0005-0000-0000-00007F360000}"/>
    <cellStyle name="Millares 2 9 5 2 7" xfId="32010" xr:uid="{00000000-0005-0000-0000-000080360000}"/>
    <cellStyle name="Millares 2 9 5 3" xfId="4646" xr:uid="{00000000-0005-0000-0000-000081360000}"/>
    <cellStyle name="Millares 2 9 5 3 2" xfId="8255" xr:uid="{00000000-0005-0000-0000-000082360000}"/>
    <cellStyle name="Millares 2 9 5 3 2 2" xfId="15044" xr:uid="{00000000-0005-0000-0000-000083360000}"/>
    <cellStyle name="Millares 2 9 5 3 2 2 2" xfId="28612" xr:uid="{00000000-0005-0000-0000-000084360000}"/>
    <cellStyle name="Millares 2 9 5 3 2 2 2 2" xfId="55745" xr:uid="{00000000-0005-0000-0000-000085360000}"/>
    <cellStyle name="Millares 2 9 5 3 2 2 3" xfId="42183" xr:uid="{00000000-0005-0000-0000-000086360000}"/>
    <cellStyle name="Millares 2 9 5 3 2 3" xfId="21831" xr:uid="{00000000-0005-0000-0000-000087360000}"/>
    <cellStyle name="Millares 2 9 5 3 2 3 2" xfId="48964" xr:uid="{00000000-0005-0000-0000-000088360000}"/>
    <cellStyle name="Millares 2 9 5 3 2 4" xfId="35402" xr:uid="{00000000-0005-0000-0000-000089360000}"/>
    <cellStyle name="Millares 2 9 5 3 3" xfId="11655" xr:uid="{00000000-0005-0000-0000-00008A360000}"/>
    <cellStyle name="Millares 2 9 5 3 3 2" xfId="25223" xr:uid="{00000000-0005-0000-0000-00008B360000}"/>
    <cellStyle name="Millares 2 9 5 3 3 2 2" xfId="52356" xr:uid="{00000000-0005-0000-0000-00008C360000}"/>
    <cellStyle name="Millares 2 9 5 3 3 3" xfId="38794" xr:uid="{00000000-0005-0000-0000-00008D360000}"/>
    <cellStyle name="Millares 2 9 5 3 4" xfId="18442" xr:uid="{00000000-0005-0000-0000-00008E360000}"/>
    <cellStyle name="Millares 2 9 5 3 4 2" xfId="45575" xr:uid="{00000000-0005-0000-0000-00008F360000}"/>
    <cellStyle name="Millares 2 9 5 3 5" xfId="32013" xr:uid="{00000000-0005-0000-0000-000090360000}"/>
    <cellStyle name="Millares 2 9 5 4" xfId="4647" xr:uid="{00000000-0005-0000-0000-000091360000}"/>
    <cellStyle name="Millares 2 9 5 4 2" xfId="8256" xr:uid="{00000000-0005-0000-0000-000092360000}"/>
    <cellStyle name="Millares 2 9 5 4 2 2" xfId="15045" xr:uid="{00000000-0005-0000-0000-000093360000}"/>
    <cellStyle name="Millares 2 9 5 4 2 2 2" xfId="28613" xr:uid="{00000000-0005-0000-0000-000094360000}"/>
    <cellStyle name="Millares 2 9 5 4 2 2 2 2" xfId="55746" xr:uid="{00000000-0005-0000-0000-000095360000}"/>
    <cellStyle name="Millares 2 9 5 4 2 2 3" xfId="42184" xr:uid="{00000000-0005-0000-0000-000096360000}"/>
    <cellStyle name="Millares 2 9 5 4 2 3" xfId="21832" xr:uid="{00000000-0005-0000-0000-000097360000}"/>
    <cellStyle name="Millares 2 9 5 4 2 3 2" xfId="48965" xr:uid="{00000000-0005-0000-0000-000098360000}"/>
    <cellStyle name="Millares 2 9 5 4 2 4" xfId="35403" xr:uid="{00000000-0005-0000-0000-000099360000}"/>
    <cellStyle name="Millares 2 9 5 4 3" xfId="11656" xr:uid="{00000000-0005-0000-0000-00009A360000}"/>
    <cellStyle name="Millares 2 9 5 4 3 2" xfId="25224" xr:uid="{00000000-0005-0000-0000-00009B360000}"/>
    <cellStyle name="Millares 2 9 5 4 3 2 2" xfId="52357" xr:uid="{00000000-0005-0000-0000-00009C360000}"/>
    <cellStyle name="Millares 2 9 5 4 3 3" xfId="38795" xr:uid="{00000000-0005-0000-0000-00009D360000}"/>
    <cellStyle name="Millares 2 9 5 4 4" xfId="18443" xr:uid="{00000000-0005-0000-0000-00009E360000}"/>
    <cellStyle name="Millares 2 9 5 4 4 2" xfId="45576" xr:uid="{00000000-0005-0000-0000-00009F360000}"/>
    <cellStyle name="Millares 2 9 5 4 5" xfId="32014" xr:uid="{00000000-0005-0000-0000-0000A0360000}"/>
    <cellStyle name="Millares 2 9 5 5" xfId="8251" xr:uid="{00000000-0005-0000-0000-0000A1360000}"/>
    <cellStyle name="Millares 2 9 5 5 2" xfId="15040" xr:uid="{00000000-0005-0000-0000-0000A2360000}"/>
    <cellStyle name="Millares 2 9 5 5 2 2" xfId="28608" xr:uid="{00000000-0005-0000-0000-0000A3360000}"/>
    <cellStyle name="Millares 2 9 5 5 2 2 2" xfId="55741" xr:uid="{00000000-0005-0000-0000-0000A4360000}"/>
    <cellStyle name="Millares 2 9 5 5 2 3" xfId="42179" xr:uid="{00000000-0005-0000-0000-0000A5360000}"/>
    <cellStyle name="Millares 2 9 5 5 3" xfId="21827" xr:uid="{00000000-0005-0000-0000-0000A6360000}"/>
    <cellStyle name="Millares 2 9 5 5 3 2" xfId="48960" xr:uid="{00000000-0005-0000-0000-0000A7360000}"/>
    <cellStyle name="Millares 2 9 5 5 4" xfId="35398" xr:uid="{00000000-0005-0000-0000-0000A8360000}"/>
    <cellStyle name="Millares 2 9 5 6" xfId="11651" xr:uid="{00000000-0005-0000-0000-0000A9360000}"/>
    <cellStyle name="Millares 2 9 5 6 2" xfId="25219" xr:uid="{00000000-0005-0000-0000-0000AA360000}"/>
    <cellStyle name="Millares 2 9 5 6 2 2" xfId="52352" xr:uid="{00000000-0005-0000-0000-0000AB360000}"/>
    <cellStyle name="Millares 2 9 5 6 3" xfId="38790" xr:uid="{00000000-0005-0000-0000-0000AC360000}"/>
    <cellStyle name="Millares 2 9 5 7" xfId="18438" xr:uid="{00000000-0005-0000-0000-0000AD360000}"/>
    <cellStyle name="Millares 2 9 5 7 2" xfId="45571" xr:uid="{00000000-0005-0000-0000-0000AE360000}"/>
    <cellStyle name="Millares 2 9 5 8" xfId="32009" xr:uid="{00000000-0005-0000-0000-0000AF360000}"/>
    <cellStyle name="Millares 2 9 6" xfId="4648" xr:uid="{00000000-0005-0000-0000-0000B0360000}"/>
    <cellStyle name="Millares 2 9 6 2" xfId="4649" xr:uid="{00000000-0005-0000-0000-0000B1360000}"/>
    <cellStyle name="Millares 2 9 6 2 2" xfId="8258" xr:uid="{00000000-0005-0000-0000-0000B2360000}"/>
    <cellStyle name="Millares 2 9 6 2 2 2" xfId="15047" xr:uid="{00000000-0005-0000-0000-0000B3360000}"/>
    <cellStyle name="Millares 2 9 6 2 2 2 2" xfId="28615" xr:uid="{00000000-0005-0000-0000-0000B4360000}"/>
    <cellStyle name="Millares 2 9 6 2 2 2 2 2" xfId="55748" xr:uid="{00000000-0005-0000-0000-0000B5360000}"/>
    <cellStyle name="Millares 2 9 6 2 2 2 3" xfId="42186" xr:uid="{00000000-0005-0000-0000-0000B6360000}"/>
    <cellStyle name="Millares 2 9 6 2 2 3" xfId="21834" xr:uid="{00000000-0005-0000-0000-0000B7360000}"/>
    <cellStyle name="Millares 2 9 6 2 2 3 2" xfId="48967" xr:uid="{00000000-0005-0000-0000-0000B8360000}"/>
    <cellStyle name="Millares 2 9 6 2 2 4" xfId="35405" xr:uid="{00000000-0005-0000-0000-0000B9360000}"/>
    <cellStyle name="Millares 2 9 6 2 3" xfId="11658" xr:uid="{00000000-0005-0000-0000-0000BA360000}"/>
    <cellStyle name="Millares 2 9 6 2 3 2" xfId="25226" xr:uid="{00000000-0005-0000-0000-0000BB360000}"/>
    <cellStyle name="Millares 2 9 6 2 3 2 2" xfId="52359" xr:uid="{00000000-0005-0000-0000-0000BC360000}"/>
    <cellStyle name="Millares 2 9 6 2 3 3" xfId="38797" xr:uid="{00000000-0005-0000-0000-0000BD360000}"/>
    <cellStyle name="Millares 2 9 6 2 4" xfId="18445" xr:uid="{00000000-0005-0000-0000-0000BE360000}"/>
    <cellStyle name="Millares 2 9 6 2 4 2" xfId="45578" xr:uid="{00000000-0005-0000-0000-0000BF360000}"/>
    <cellStyle name="Millares 2 9 6 2 5" xfId="32016" xr:uid="{00000000-0005-0000-0000-0000C0360000}"/>
    <cellStyle name="Millares 2 9 6 3" xfId="4650" xr:uid="{00000000-0005-0000-0000-0000C1360000}"/>
    <cellStyle name="Millares 2 9 6 3 2" xfId="8259" xr:uid="{00000000-0005-0000-0000-0000C2360000}"/>
    <cellStyle name="Millares 2 9 6 3 2 2" xfId="15048" xr:uid="{00000000-0005-0000-0000-0000C3360000}"/>
    <cellStyle name="Millares 2 9 6 3 2 2 2" xfId="28616" xr:uid="{00000000-0005-0000-0000-0000C4360000}"/>
    <cellStyle name="Millares 2 9 6 3 2 2 2 2" xfId="55749" xr:uid="{00000000-0005-0000-0000-0000C5360000}"/>
    <cellStyle name="Millares 2 9 6 3 2 2 3" xfId="42187" xr:uid="{00000000-0005-0000-0000-0000C6360000}"/>
    <cellStyle name="Millares 2 9 6 3 2 3" xfId="21835" xr:uid="{00000000-0005-0000-0000-0000C7360000}"/>
    <cellStyle name="Millares 2 9 6 3 2 3 2" xfId="48968" xr:uid="{00000000-0005-0000-0000-0000C8360000}"/>
    <cellStyle name="Millares 2 9 6 3 2 4" xfId="35406" xr:uid="{00000000-0005-0000-0000-0000C9360000}"/>
    <cellStyle name="Millares 2 9 6 3 3" xfId="11659" xr:uid="{00000000-0005-0000-0000-0000CA360000}"/>
    <cellStyle name="Millares 2 9 6 3 3 2" xfId="25227" xr:uid="{00000000-0005-0000-0000-0000CB360000}"/>
    <cellStyle name="Millares 2 9 6 3 3 2 2" xfId="52360" xr:uid="{00000000-0005-0000-0000-0000CC360000}"/>
    <cellStyle name="Millares 2 9 6 3 3 3" xfId="38798" xr:uid="{00000000-0005-0000-0000-0000CD360000}"/>
    <cellStyle name="Millares 2 9 6 3 4" xfId="18446" xr:uid="{00000000-0005-0000-0000-0000CE360000}"/>
    <cellStyle name="Millares 2 9 6 3 4 2" xfId="45579" xr:uid="{00000000-0005-0000-0000-0000CF360000}"/>
    <cellStyle name="Millares 2 9 6 3 5" xfId="32017" xr:uid="{00000000-0005-0000-0000-0000D0360000}"/>
    <cellStyle name="Millares 2 9 6 4" xfId="8257" xr:uid="{00000000-0005-0000-0000-0000D1360000}"/>
    <cellStyle name="Millares 2 9 6 4 2" xfId="15046" xr:uid="{00000000-0005-0000-0000-0000D2360000}"/>
    <cellStyle name="Millares 2 9 6 4 2 2" xfId="28614" xr:uid="{00000000-0005-0000-0000-0000D3360000}"/>
    <cellStyle name="Millares 2 9 6 4 2 2 2" xfId="55747" xr:uid="{00000000-0005-0000-0000-0000D4360000}"/>
    <cellStyle name="Millares 2 9 6 4 2 3" xfId="42185" xr:uid="{00000000-0005-0000-0000-0000D5360000}"/>
    <cellStyle name="Millares 2 9 6 4 3" xfId="21833" xr:uid="{00000000-0005-0000-0000-0000D6360000}"/>
    <cellStyle name="Millares 2 9 6 4 3 2" xfId="48966" xr:uid="{00000000-0005-0000-0000-0000D7360000}"/>
    <cellStyle name="Millares 2 9 6 4 4" xfId="35404" xr:uid="{00000000-0005-0000-0000-0000D8360000}"/>
    <cellStyle name="Millares 2 9 6 5" xfId="11657" xr:uid="{00000000-0005-0000-0000-0000D9360000}"/>
    <cellStyle name="Millares 2 9 6 5 2" xfId="25225" xr:uid="{00000000-0005-0000-0000-0000DA360000}"/>
    <cellStyle name="Millares 2 9 6 5 2 2" xfId="52358" xr:uid="{00000000-0005-0000-0000-0000DB360000}"/>
    <cellStyle name="Millares 2 9 6 5 3" xfId="38796" xr:uid="{00000000-0005-0000-0000-0000DC360000}"/>
    <cellStyle name="Millares 2 9 6 6" xfId="18444" xr:uid="{00000000-0005-0000-0000-0000DD360000}"/>
    <cellStyle name="Millares 2 9 6 6 2" xfId="45577" xr:uid="{00000000-0005-0000-0000-0000DE360000}"/>
    <cellStyle name="Millares 2 9 6 7" xfId="32015" xr:uid="{00000000-0005-0000-0000-0000DF360000}"/>
    <cellStyle name="Millares 2 9 7" xfId="4651" xr:uid="{00000000-0005-0000-0000-0000E0360000}"/>
    <cellStyle name="Millares 2 9 7 2" xfId="4652" xr:uid="{00000000-0005-0000-0000-0000E1360000}"/>
    <cellStyle name="Millares 2 9 7 2 2" xfId="8261" xr:uid="{00000000-0005-0000-0000-0000E2360000}"/>
    <cellStyle name="Millares 2 9 7 2 2 2" xfId="15050" xr:uid="{00000000-0005-0000-0000-0000E3360000}"/>
    <cellStyle name="Millares 2 9 7 2 2 2 2" xfId="28618" xr:uid="{00000000-0005-0000-0000-0000E4360000}"/>
    <cellStyle name="Millares 2 9 7 2 2 2 2 2" xfId="55751" xr:uid="{00000000-0005-0000-0000-0000E5360000}"/>
    <cellStyle name="Millares 2 9 7 2 2 2 3" xfId="42189" xr:uid="{00000000-0005-0000-0000-0000E6360000}"/>
    <cellStyle name="Millares 2 9 7 2 2 3" xfId="21837" xr:uid="{00000000-0005-0000-0000-0000E7360000}"/>
    <cellStyle name="Millares 2 9 7 2 2 3 2" xfId="48970" xr:uid="{00000000-0005-0000-0000-0000E8360000}"/>
    <cellStyle name="Millares 2 9 7 2 2 4" xfId="35408" xr:uid="{00000000-0005-0000-0000-0000E9360000}"/>
    <cellStyle name="Millares 2 9 7 2 3" xfId="11661" xr:uid="{00000000-0005-0000-0000-0000EA360000}"/>
    <cellStyle name="Millares 2 9 7 2 3 2" xfId="25229" xr:uid="{00000000-0005-0000-0000-0000EB360000}"/>
    <cellStyle name="Millares 2 9 7 2 3 2 2" xfId="52362" xr:uid="{00000000-0005-0000-0000-0000EC360000}"/>
    <cellStyle name="Millares 2 9 7 2 3 3" xfId="38800" xr:uid="{00000000-0005-0000-0000-0000ED360000}"/>
    <cellStyle name="Millares 2 9 7 2 4" xfId="18448" xr:uid="{00000000-0005-0000-0000-0000EE360000}"/>
    <cellStyle name="Millares 2 9 7 2 4 2" xfId="45581" xr:uid="{00000000-0005-0000-0000-0000EF360000}"/>
    <cellStyle name="Millares 2 9 7 2 5" xfId="32019" xr:uid="{00000000-0005-0000-0000-0000F0360000}"/>
    <cellStyle name="Millares 2 9 7 3" xfId="4653" xr:uid="{00000000-0005-0000-0000-0000F1360000}"/>
    <cellStyle name="Millares 2 9 7 3 2" xfId="8262" xr:uid="{00000000-0005-0000-0000-0000F2360000}"/>
    <cellStyle name="Millares 2 9 7 3 2 2" xfId="15051" xr:uid="{00000000-0005-0000-0000-0000F3360000}"/>
    <cellStyle name="Millares 2 9 7 3 2 2 2" xfId="28619" xr:uid="{00000000-0005-0000-0000-0000F4360000}"/>
    <cellStyle name="Millares 2 9 7 3 2 2 2 2" xfId="55752" xr:uid="{00000000-0005-0000-0000-0000F5360000}"/>
    <cellStyle name="Millares 2 9 7 3 2 2 3" xfId="42190" xr:uid="{00000000-0005-0000-0000-0000F6360000}"/>
    <cellStyle name="Millares 2 9 7 3 2 3" xfId="21838" xr:uid="{00000000-0005-0000-0000-0000F7360000}"/>
    <cellStyle name="Millares 2 9 7 3 2 3 2" xfId="48971" xr:uid="{00000000-0005-0000-0000-0000F8360000}"/>
    <cellStyle name="Millares 2 9 7 3 2 4" xfId="35409" xr:uid="{00000000-0005-0000-0000-0000F9360000}"/>
    <cellStyle name="Millares 2 9 7 3 3" xfId="11662" xr:uid="{00000000-0005-0000-0000-0000FA360000}"/>
    <cellStyle name="Millares 2 9 7 3 3 2" xfId="25230" xr:uid="{00000000-0005-0000-0000-0000FB360000}"/>
    <cellStyle name="Millares 2 9 7 3 3 2 2" xfId="52363" xr:uid="{00000000-0005-0000-0000-0000FC360000}"/>
    <cellStyle name="Millares 2 9 7 3 3 3" xfId="38801" xr:uid="{00000000-0005-0000-0000-0000FD360000}"/>
    <cellStyle name="Millares 2 9 7 3 4" xfId="18449" xr:uid="{00000000-0005-0000-0000-0000FE360000}"/>
    <cellStyle name="Millares 2 9 7 3 4 2" xfId="45582" xr:uid="{00000000-0005-0000-0000-0000FF360000}"/>
    <cellStyle name="Millares 2 9 7 3 5" xfId="32020" xr:uid="{00000000-0005-0000-0000-000000370000}"/>
    <cellStyle name="Millares 2 9 7 4" xfId="8260" xr:uid="{00000000-0005-0000-0000-000001370000}"/>
    <cellStyle name="Millares 2 9 7 4 2" xfId="15049" xr:uid="{00000000-0005-0000-0000-000002370000}"/>
    <cellStyle name="Millares 2 9 7 4 2 2" xfId="28617" xr:uid="{00000000-0005-0000-0000-000003370000}"/>
    <cellStyle name="Millares 2 9 7 4 2 2 2" xfId="55750" xr:uid="{00000000-0005-0000-0000-000004370000}"/>
    <cellStyle name="Millares 2 9 7 4 2 3" xfId="42188" xr:uid="{00000000-0005-0000-0000-000005370000}"/>
    <cellStyle name="Millares 2 9 7 4 3" xfId="21836" xr:uid="{00000000-0005-0000-0000-000006370000}"/>
    <cellStyle name="Millares 2 9 7 4 3 2" xfId="48969" xr:uid="{00000000-0005-0000-0000-000007370000}"/>
    <cellStyle name="Millares 2 9 7 4 4" xfId="35407" xr:uid="{00000000-0005-0000-0000-000008370000}"/>
    <cellStyle name="Millares 2 9 7 5" xfId="11660" xr:uid="{00000000-0005-0000-0000-000009370000}"/>
    <cellStyle name="Millares 2 9 7 5 2" xfId="25228" xr:uid="{00000000-0005-0000-0000-00000A370000}"/>
    <cellStyle name="Millares 2 9 7 5 2 2" xfId="52361" xr:uid="{00000000-0005-0000-0000-00000B370000}"/>
    <cellStyle name="Millares 2 9 7 5 3" xfId="38799" xr:uid="{00000000-0005-0000-0000-00000C370000}"/>
    <cellStyle name="Millares 2 9 7 6" xfId="18447" xr:uid="{00000000-0005-0000-0000-00000D370000}"/>
    <cellStyle name="Millares 2 9 7 6 2" xfId="45580" xr:uid="{00000000-0005-0000-0000-00000E370000}"/>
    <cellStyle name="Millares 2 9 7 7" xfId="32018" xr:uid="{00000000-0005-0000-0000-00000F370000}"/>
    <cellStyle name="Millares 2 9 8" xfId="4654" xr:uid="{00000000-0005-0000-0000-000010370000}"/>
    <cellStyle name="Millares 2 9 8 2" xfId="8263" xr:uid="{00000000-0005-0000-0000-000011370000}"/>
    <cellStyle name="Millares 2 9 8 2 2" xfId="15052" xr:uid="{00000000-0005-0000-0000-000012370000}"/>
    <cellStyle name="Millares 2 9 8 2 2 2" xfId="28620" xr:uid="{00000000-0005-0000-0000-000013370000}"/>
    <cellStyle name="Millares 2 9 8 2 2 2 2" xfId="55753" xr:uid="{00000000-0005-0000-0000-000014370000}"/>
    <cellStyle name="Millares 2 9 8 2 2 3" xfId="42191" xr:uid="{00000000-0005-0000-0000-000015370000}"/>
    <cellStyle name="Millares 2 9 8 2 3" xfId="21839" xr:uid="{00000000-0005-0000-0000-000016370000}"/>
    <cellStyle name="Millares 2 9 8 2 3 2" xfId="48972" xr:uid="{00000000-0005-0000-0000-000017370000}"/>
    <cellStyle name="Millares 2 9 8 2 4" xfId="35410" xr:uid="{00000000-0005-0000-0000-000018370000}"/>
    <cellStyle name="Millares 2 9 8 3" xfId="11663" xr:uid="{00000000-0005-0000-0000-000019370000}"/>
    <cellStyle name="Millares 2 9 8 3 2" xfId="25231" xr:uid="{00000000-0005-0000-0000-00001A370000}"/>
    <cellStyle name="Millares 2 9 8 3 2 2" xfId="52364" xr:uid="{00000000-0005-0000-0000-00001B370000}"/>
    <cellStyle name="Millares 2 9 8 3 3" xfId="38802" xr:uid="{00000000-0005-0000-0000-00001C370000}"/>
    <cellStyle name="Millares 2 9 8 4" xfId="18450" xr:uid="{00000000-0005-0000-0000-00001D370000}"/>
    <cellStyle name="Millares 2 9 8 4 2" xfId="45583" xr:uid="{00000000-0005-0000-0000-00001E370000}"/>
    <cellStyle name="Millares 2 9 8 5" xfId="32021" xr:uid="{00000000-0005-0000-0000-00001F370000}"/>
    <cellStyle name="Millares 2 9 9" xfId="4655" xr:uid="{00000000-0005-0000-0000-000020370000}"/>
    <cellStyle name="Millares 2 9 9 2" xfId="8264" xr:uid="{00000000-0005-0000-0000-000021370000}"/>
    <cellStyle name="Millares 2 9 9 2 2" xfId="15053" xr:uid="{00000000-0005-0000-0000-000022370000}"/>
    <cellStyle name="Millares 2 9 9 2 2 2" xfId="28621" xr:uid="{00000000-0005-0000-0000-000023370000}"/>
    <cellStyle name="Millares 2 9 9 2 2 2 2" xfId="55754" xr:uid="{00000000-0005-0000-0000-000024370000}"/>
    <cellStyle name="Millares 2 9 9 2 2 3" xfId="42192" xr:uid="{00000000-0005-0000-0000-000025370000}"/>
    <cellStyle name="Millares 2 9 9 2 3" xfId="21840" xr:uid="{00000000-0005-0000-0000-000026370000}"/>
    <cellStyle name="Millares 2 9 9 2 3 2" xfId="48973" xr:uid="{00000000-0005-0000-0000-000027370000}"/>
    <cellStyle name="Millares 2 9 9 2 4" xfId="35411" xr:uid="{00000000-0005-0000-0000-000028370000}"/>
    <cellStyle name="Millares 2 9 9 3" xfId="11664" xr:uid="{00000000-0005-0000-0000-000029370000}"/>
    <cellStyle name="Millares 2 9 9 3 2" xfId="25232" xr:uid="{00000000-0005-0000-0000-00002A370000}"/>
    <cellStyle name="Millares 2 9 9 3 2 2" xfId="52365" xr:uid="{00000000-0005-0000-0000-00002B370000}"/>
    <cellStyle name="Millares 2 9 9 3 3" xfId="38803" xr:uid="{00000000-0005-0000-0000-00002C370000}"/>
    <cellStyle name="Millares 2 9 9 4" xfId="18451" xr:uid="{00000000-0005-0000-0000-00002D370000}"/>
    <cellStyle name="Millares 2 9 9 4 2" xfId="45584" xr:uid="{00000000-0005-0000-0000-00002E370000}"/>
    <cellStyle name="Millares 2 9 9 5" xfId="32022" xr:uid="{00000000-0005-0000-0000-00002F370000}"/>
    <cellStyle name="Millares 2_3.- Metrado SAN ANDRES (Ricardo Villavicencio)_ Rev.02" xfId="132" xr:uid="{00000000-0005-0000-0000-000030370000}"/>
    <cellStyle name="Millares 20" xfId="7448" xr:uid="{00000000-0005-0000-0000-000031370000}"/>
    <cellStyle name="Millares 21" xfId="10845" xr:uid="{00000000-0005-0000-0000-000033370000}"/>
    <cellStyle name="Millares 22" xfId="10848" xr:uid="{00000000-0005-0000-0000-000035370000}"/>
    <cellStyle name="Millares 22 2" xfId="58339" xr:uid="{00000000-0005-0000-0000-000036370000}"/>
    <cellStyle name="Millares 220" xfId="29" xr:uid="{00000000-0005-0000-0000-000037370000}"/>
    <cellStyle name="Millares 223" xfId="14" xr:uid="{00000000-0005-0000-0000-000039370000}"/>
    <cellStyle name="Millares 23" xfId="2435" xr:uid="{00000000-0005-0000-0000-00003A370000}"/>
    <cellStyle name="Millares 24" xfId="2436" xr:uid="{00000000-0005-0000-0000-00003B370000}"/>
    <cellStyle name="Millares 25" xfId="2437" xr:uid="{00000000-0005-0000-0000-00003C370000}"/>
    <cellStyle name="Millares 26" xfId="2438" xr:uid="{00000000-0005-0000-0000-00003D370000}"/>
    <cellStyle name="Millares 27" xfId="17632" xr:uid="{00000000-0005-0000-0000-00003E370000}"/>
    <cellStyle name="Millares 28" xfId="17638" xr:uid="{00000000-0005-0000-0000-00003F370000}"/>
    <cellStyle name="Millares 29" xfId="31206" xr:uid="{00000000-0005-0000-0000-000040370000}"/>
    <cellStyle name="Millares 3" xfId="55" xr:uid="{00000000-0005-0000-0000-000041370000}"/>
    <cellStyle name="Millares 3 2" xfId="71" xr:uid="{00000000-0005-0000-0000-000042370000}"/>
    <cellStyle name="Millares 3 2 2" xfId="193" xr:uid="{00000000-0005-0000-0000-000043370000}"/>
    <cellStyle name="Millares 3 2 2 2" xfId="4656" xr:uid="{00000000-0005-0000-0000-000044370000}"/>
    <cellStyle name="Millares 3 2 2 3" xfId="4657" xr:uid="{00000000-0005-0000-0000-000045370000}"/>
    <cellStyle name="Millares 3 2 2 3 2" xfId="4658" xr:uid="{00000000-0005-0000-0000-000046370000}"/>
    <cellStyle name="Millares 3 2 2 3 3" xfId="4659" xr:uid="{00000000-0005-0000-0000-000047370000}"/>
    <cellStyle name="Millares 3 2 3" xfId="4660" xr:uid="{00000000-0005-0000-0000-000048370000}"/>
    <cellStyle name="Millares 3 2 3 2 2" xfId="58368" xr:uid="{00000000-0005-0000-0000-000049370000}"/>
    <cellStyle name="Millares 3 2 3 3 3" xfId="11" xr:uid="{00000000-0005-0000-0000-00004A370000}"/>
    <cellStyle name="Millares 3 2 4" xfId="4661" xr:uid="{00000000-0005-0000-0000-00004B370000}"/>
    <cellStyle name="Millares 3 2 5" xfId="4662" xr:uid="{00000000-0005-0000-0000-00004C370000}"/>
    <cellStyle name="Millares 3 3" xfId="133" xr:uid="{00000000-0005-0000-0000-00004D370000}"/>
    <cellStyle name="Millares 3 3 2" xfId="4663" xr:uid="{00000000-0005-0000-0000-00004E370000}"/>
    <cellStyle name="Millares 3 3 3" xfId="4664" xr:uid="{00000000-0005-0000-0000-00004F370000}"/>
    <cellStyle name="Millares 3 3 4" xfId="4665" xr:uid="{00000000-0005-0000-0000-000050370000}"/>
    <cellStyle name="Millares 3 3 4 2" xfId="4666" xr:uid="{00000000-0005-0000-0000-000051370000}"/>
    <cellStyle name="Millares 3 4" xfId="2439" xr:uid="{00000000-0005-0000-0000-000052370000}"/>
    <cellStyle name="Millares 3 5" xfId="2440" xr:uid="{00000000-0005-0000-0000-000053370000}"/>
    <cellStyle name="Millares 3 5 2" xfId="4667" xr:uid="{00000000-0005-0000-0000-000054370000}"/>
    <cellStyle name="Millares 3 6" xfId="2441" xr:uid="{00000000-0005-0000-0000-000055370000}"/>
    <cellStyle name="Millares 3 7" xfId="4668" xr:uid="{00000000-0005-0000-0000-000056370000}"/>
    <cellStyle name="Millares 3 8" xfId="4669" xr:uid="{00000000-0005-0000-0000-000057370000}"/>
    <cellStyle name="Millares 30" xfId="58340" xr:uid="{00000000-0005-0000-0000-000058370000}"/>
    <cellStyle name="Millares 31" xfId="2442" xr:uid="{00000000-0005-0000-0000-000059370000}"/>
    <cellStyle name="Millares 32" xfId="2443" xr:uid="{00000000-0005-0000-0000-00005A370000}"/>
    <cellStyle name="Millares 33" xfId="2444" xr:uid="{00000000-0005-0000-0000-00005B370000}"/>
    <cellStyle name="Millares 34" xfId="2445" xr:uid="{00000000-0005-0000-0000-00005C370000}"/>
    <cellStyle name="Millares 35" xfId="2446" xr:uid="{00000000-0005-0000-0000-00005D370000}"/>
    <cellStyle name="Millares 36" xfId="2447" xr:uid="{00000000-0005-0000-0000-00005E370000}"/>
    <cellStyle name="Millares 4" xfId="56" xr:uid="{00000000-0005-0000-0000-00005F370000}"/>
    <cellStyle name="Millares 4 10" xfId="2448" xr:uid="{00000000-0005-0000-0000-000060370000}"/>
    <cellStyle name="Millares 4 11" xfId="2449" xr:uid="{00000000-0005-0000-0000-000061370000}"/>
    <cellStyle name="Millares 4 12" xfId="2450" xr:uid="{00000000-0005-0000-0000-000062370000}"/>
    <cellStyle name="Millares 4 13" xfId="2451" xr:uid="{00000000-0005-0000-0000-000063370000}"/>
    <cellStyle name="Millares 4 13 2" xfId="2452" xr:uid="{00000000-0005-0000-0000-000064370000}"/>
    <cellStyle name="Millares 4 13 2 2" xfId="7455" xr:uid="{00000000-0005-0000-0000-000065370000}"/>
    <cellStyle name="Millares 4 13 2 2 2" xfId="14244" xr:uid="{00000000-0005-0000-0000-000066370000}"/>
    <cellStyle name="Millares 4 13 2 2 2 2" xfId="27812" xr:uid="{00000000-0005-0000-0000-000067370000}"/>
    <cellStyle name="Millares 4 13 2 2 2 2 2" xfId="54945" xr:uid="{00000000-0005-0000-0000-000068370000}"/>
    <cellStyle name="Millares 4 13 2 2 2 3" xfId="41383" xr:uid="{00000000-0005-0000-0000-000069370000}"/>
    <cellStyle name="Millares 4 13 2 2 3" xfId="21031" xr:uid="{00000000-0005-0000-0000-00006A370000}"/>
    <cellStyle name="Millares 4 13 2 2 3 2" xfId="48164" xr:uid="{00000000-0005-0000-0000-00006B370000}"/>
    <cellStyle name="Millares 4 13 2 2 4" xfId="34602" xr:uid="{00000000-0005-0000-0000-00006C370000}"/>
    <cellStyle name="Millares 4 13 2 3" xfId="10855" xr:uid="{00000000-0005-0000-0000-00006D370000}"/>
    <cellStyle name="Millares 4 13 2 3 2" xfId="24423" xr:uid="{00000000-0005-0000-0000-00006E370000}"/>
    <cellStyle name="Millares 4 13 2 3 2 2" xfId="51556" xr:uid="{00000000-0005-0000-0000-00006F370000}"/>
    <cellStyle name="Millares 4 13 2 3 3" xfId="37994" xr:uid="{00000000-0005-0000-0000-000070370000}"/>
    <cellStyle name="Millares 4 13 2 4" xfId="17642" xr:uid="{00000000-0005-0000-0000-000071370000}"/>
    <cellStyle name="Millares 4 13 2 4 2" xfId="44775" xr:uid="{00000000-0005-0000-0000-000072370000}"/>
    <cellStyle name="Millares 4 13 2 5" xfId="31213" xr:uid="{00000000-0005-0000-0000-000073370000}"/>
    <cellStyle name="Millares 4 13 3" xfId="7454" xr:uid="{00000000-0005-0000-0000-000074370000}"/>
    <cellStyle name="Millares 4 13 3 2" xfId="14243" xr:uid="{00000000-0005-0000-0000-000075370000}"/>
    <cellStyle name="Millares 4 13 3 2 2" xfId="27811" xr:uid="{00000000-0005-0000-0000-000076370000}"/>
    <cellStyle name="Millares 4 13 3 2 2 2" xfId="54944" xr:uid="{00000000-0005-0000-0000-000077370000}"/>
    <cellStyle name="Millares 4 13 3 2 3" xfId="41382" xr:uid="{00000000-0005-0000-0000-000078370000}"/>
    <cellStyle name="Millares 4 13 3 3" xfId="21030" xr:uid="{00000000-0005-0000-0000-000079370000}"/>
    <cellStyle name="Millares 4 13 3 3 2" xfId="48163" xr:uid="{00000000-0005-0000-0000-00007A370000}"/>
    <cellStyle name="Millares 4 13 3 4" xfId="34601" xr:uid="{00000000-0005-0000-0000-00007B370000}"/>
    <cellStyle name="Millares 4 13 4" xfId="10854" xr:uid="{00000000-0005-0000-0000-00007C370000}"/>
    <cellStyle name="Millares 4 13 4 2" xfId="24422" xr:uid="{00000000-0005-0000-0000-00007D370000}"/>
    <cellStyle name="Millares 4 13 4 2 2" xfId="51555" xr:uid="{00000000-0005-0000-0000-00007E370000}"/>
    <cellStyle name="Millares 4 13 4 3" xfId="37993" xr:uid="{00000000-0005-0000-0000-00007F370000}"/>
    <cellStyle name="Millares 4 13 5" xfId="17641" xr:uid="{00000000-0005-0000-0000-000080370000}"/>
    <cellStyle name="Millares 4 13 5 2" xfId="44774" xr:uid="{00000000-0005-0000-0000-000081370000}"/>
    <cellStyle name="Millares 4 13 6" xfId="31212" xr:uid="{00000000-0005-0000-0000-000082370000}"/>
    <cellStyle name="Millares 4 14" xfId="2453" xr:uid="{00000000-0005-0000-0000-000083370000}"/>
    <cellStyle name="Millares 4 14 2" xfId="7456" xr:uid="{00000000-0005-0000-0000-000084370000}"/>
    <cellStyle name="Millares 4 14 2 2" xfId="14245" xr:uid="{00000000-0005-0000-0000-000085370000}"/>
    <cellStyle name="Millares 4 14 2 2 2" xfId="27813" xr:uid="{00000000-0005-0000-0000-000086370000}"/>
    <cellStyle name="Millares 4 14 2 2 2 2" xfId="54946" xr:uid="{00000000-0005-0000-0000-000087370000}"/>
    <cellStyle name="Millares 4 14 2 2 3" xfId="41384" xr:uid="{00000000-0005-0000-0000-000088370000}"/>
    <cellStyle name="Millares 4 14 2 3" xfId="21032" xr:uid="{00000000-0005-0000-0000-000089370000}"/>
    <cellStyle name="Millares 4 14 2 3 2" xfId="48165" xr:uid="{00000000-0005-0000-0000-00008A370000}"/>
    <cellStyle name="Millares 4 14 2 4" xfId="34603" xr:uid="{00000000-0005-0000-0000-00008B370000}"/>
    <cellStyle name="Millares 4 14 3" xfId="10856" xr:uid="{00000000-0005-0000-0000-00008C370000}"/>
    <cellStyle name="Millares 4 14 3 2" xfId="24424" xr:uid="{00000000-0005-0000-0000-00008D370000}"/>
    <cellStyle name="Millares 4 14 3 2 2" xfId="51557" xr:uid="{00000000-0005-0000-0000-00008E370000}"/>
    <cellStyle name="Millares 4 14 3 3" xfId="37995" xr:uid="{00000000-0005-0000-0000-00008F370000}"/>
    <cellStyle name="Millares 4 14 4" xfId="17643" xr:uid="{00000000-0005-0000-0000-000090370000}"/>
    <cellStyle name="Millares 4 14 4 2" xfId="44776" xr:uid="{00000000-0005-0000-0000-000091370000}"/>
    <cellStyle name="Millares 4 14 5" xfId="31214" xr:uid="{00000000-0005-0000-0000-000092370000}"/>
    <cellStyle name="Millares 4 2" xfId="134" xr:uid="{00000000-0005-0000-0000-000093370000}"/>
    <cellStyle name="Millares 4 2 2" xfId="2454" xr:uid="{00000000-0005-0000-0000-000094370000}"/>
    <cellStyle name="Millares 4 2 2 2" xfId="7457" xr:uid="{00000000-0005-0000-0000-000095370000}"/>
    <cellStyle name="Millares 4 2 2 2 2" xfId="14246" xr:uid="{00000000-0005-0000-0000-000096370000}"/>
    <cellStyle name="Millares 4 2 2 2 2 2" xfId="27814" xr:uid="{00000000-0005-0000-0000-000097370000}"/>
    <cellStyle name="Millares 4 2 2 2 2 2 2" xfId="54947" xr:uid="{00000000-0005-0000-0000-000098370000}"/>
    <cellStyle name="Millares 4 2 2 2 2 3" xfId="41385" xr:uid="{00000000-0005-0000-0000-000099370000}"/>
    <cellStyle name="Millares 4 2 2 2 3" xfId="21033" xr:uid="{00000000-0005-0000-0000-00009A370000}"/>
    <cellStyle name="Millares 4 2 2 2 3 2" xfId="48166" xr:uid="{00000000-0005-0000-0000-00009B370000}"/>
    <cellStyle name="Millares 4 2 2 2 4" xfId="34604" xr:uid="{00000000-0005-0000-0000-00009C370000}"/>
    <cellStyle name="Millares 4 2 2 3" xfId="10857" xr:uid="{00000000-0005-0000-0000-00009D370000}"/>
    <cellStyle name="Millares 4 2 2 3 2" xfId="24425" xr:uid="{00000000-0005-0000-0000-00009E370000}"/>
    <cellStyle name="Millares 4 2 2 3 2 2" xfId="51558" xr:uid="{00000000-0005-0000-0000-00009F370000}"/>
    <cellStyle name="Millares 4 2 2 3 3" xfId="37996" xr:uid="{00000000-0005-0000-0000-0000A0370000}"/>
    <cellStyle name="Millares 4 2 2 4" xfId="17644" xr:uid="{00000000-0005-0000-0000-0000A1370000}"/>
    <cellStyle name="Millares 4 2 2 4 2" xfId="44777" xr:uid="{00000000-0005-0000-0000-0000A2370000}"/>
    <cellStyle name="Millares 4 2 2 5" xfId="31215" xr:uid="{00000000-0005-0000-0000-0000A3370000}"/>
    <cellStyle name="Millares 4 3" xfId="135" xr:uid="{00000000-0005-0000-0000-0000A4370000}"/>
    <cellStyle name="Millares 4 3 2" xfId="2455" xr:uid="{00000000-0005-0000-0000-0000A5370000}"/>
    <cellStyle name="Millares 4 3 2 2" xfId="7458" xr:uid="{00000000-0005-0000-0000-0000A6370000}"/>
    <cellStyle name="Millares 4 3 2 2 2" xfId="14247" xr:uid="{00000000-0005-0000-0000-0000A7370000}"/>
    <cellStyle name="Millares 4 3 2 2 2 2" xfId="27815" xr:uid="{00000000-0005-0000-0000-0000A8370000}"/>
    <cellStyle name="Millares 4 3 2 2 2 2 2" xfId="54948" xr:uid="{00000000-0005-0000-0000-0000A9370000}"/>
    <cellStyle name="Millares 4 3 2 2 2 3" xfId="41386" xr:uid="{00000000-0005-0000-0000-0000AA370000}"/>
    <cellStyle name="Millares 4 3 2 2 3" xfId="21034" xr:uid="{00000000-0005-0000-0000-0000AB370000}"/>
    <cellStyle name="Millares 4 3 2 2 3 2" xfId="48167" xr:uid="{00000000-0005-0000-0000-0000AC370000}"/>
    <cellStyle name="Millares 4 3 2 2 4" xfId="34605" xr:uid="{00000000-0005-0000-0000-0000AD370000}"/>
    <cellStyle name="Millares 4 3 2 3" xfId="10858" xr:uid="{00000000-0005-0000-0000-0000AE370000}"/>
    <cellStyle name="Millares 4 3 2 3 2" xfId="24426" xr:uid="{00000000-0005-0000-0000-0000AF370000}"/>
    <cellStyle name="Millares 4 3 2 3 2 2" xfId="51559" xr:uid="{00000000-0005-0000-0000-0000B0370000}"/>
    <cellStyle name="Millares 4 3 2 3 3" xfId="37997" xr:uid="{00000000-0005-0000-0000-0000B1370000}"/>
    <cellStyle name="Millares 4 3 2 4" xfId="17645" xr:uid="{00000000-0005-0000-0000-0000B2370000}"/>
    <cellStyle name="Millares 4 3 2 4 2" xfId="44778" xr:uid="{00000000-0005-0000-0000-0000B3370000}"/>
    <cellStyle name="Millares 4 3 2 5" xfId="31216" xr:uid="{00000000-0005-0000-0000-0000B4370000}"/>
    <cellStyle name="Millares 4 3 2 6" xfId="58374" xr:uid="{C2B4CA73-CC0C-41AB-8769-F1E2A6548AFD}"/>
    <cellStyle name="Millares 4 4" xfId="185" xr:uid="{00000000-0005-0000-0000-0000B5370000}"/>
    <cellStyle name="Millares 4 4 2" xfId="2456" xr:uid="{00000000-0005-0000-0000-0000B6370000}"/>
    <cellStyle name="Millares 4 4 2 2" xfId="7459" xr:uid="{00000000-0005-0000-0000-0000B7370000}"/>
    <cellStyle name="Millares 4 4 2 2 2" xfId="14248" xr:uid="{00000000-0005-0000-0000-0000B8370000}"/>
    <cellStyle name="Millares 4 4 2 2 2 2" xfId="27816" xr:uid="{00000000-0005-0000-0000-0000B9370000}"/>
    <cellStyle name="Millares 4 4 2 2 2 2 2" xfId="54949" xr:uid="{00000000-0005-0000-0000-0000BA370000}"/>
    <cellStyle name="Millares 4 4 2 2 2 3" xfId="41387" xr:uid="{00000000-0005-0000-0000-0000BB370000}"/>
    <cellStyle name="Millares 4 4 2 2 3" xfId="21035" xr:uid="{00000000-0005-0000-0000-0000BC370000}"/>
    <cellStyle name="Millares 4 4 2 2 3 2" xfId="48168" xr:uid="{00000000-0005-0000-0000-0000BD370000}"/>
    <cellStyle name="Millares 4 4 2 2 4" xfId="34606" xr:uid="{00000000-0005-0000-0000-0000BE370000}"/>
    <cellStyle name="Millares 4 4 2 3" xfId="10859" xr:uid="{00000000-0005-0000-0000-0000BF370000}"/>
    <cellStyle name="Millares 4 4 2 3 2" xfId="24427" xr:uid="{00000000-0005-0000-0000-0000C0370000}"/>
    <cellStyle name="Millares 4 4 2 3 2 2" xfId="51560" xr:uid="{00000000-0005-0000-0000-0000C1370000}"/>
    <cellStyle name="Millares 4 4 2 3 3" xfId="37998" xr:uid="{00000000-0005-0000-0000-0000C2370000}"/>
    <cellStyle name="Millares 4 4 2 4" xfId="17646" xr:uid="{00000000-0005-0000-0000-0000C3370000}"/>
    <cellStyle name="Millares 4 4 2 4 2" xfId="44779" xr:uid="{00000000-0005-0000-0000-0000C4370000}"/>
    <cellStyle name="Millares 4 4 2 5" xfId="31217" xr:uid="{00000000-0005-0000-0000-0000C5370000}"/>
    <cellStyle name="Millares 4 5" xfId="2457" xr:uid="{00000000-0005-0000-0000-0000C6370000}"/>
    <cellStyle name="Millares 4 5 2" xfId="2458" xr:uid="{00000000-0005-0000-0000-0000C7370000}"/>
    <cellStyle name="Millares 4 5 2 2" xfId="7461" xr:uid="{00000000-0005-0000-0000-0000C8370000}"/>
    <cellStyle name="Millares 4 5 2 2 2" xfId="14250" xr:uid="{00000000-0005-0000-0000-0000C9370000}"/>
    <cellStyle name="Millares 4 5 2 2 2 2" xfId="27818" xr:uid="{00000000-0005-0000-0000-0000CA370000}"/>
    <cellStyle name="Millares 4 5 2 2 2 2 2" xfId="54951" xr:uid="{00000000-0005-0000-0000-0000CB370000}"/>
    <cellStyle name="Millares 4 5 2 2 2 3" xfId="41389" xr:uid="{00000000-0005-0000-0000-0000CC370000}"/>
    <cellStyle name="Millares 4 5 2 2 3" xfId="21037" xr:uid="{00000000-0005-0000-0000-0000CD370000}"/>
    <cellStyle name="Millares 4 5 2 2 3 2" xfId="48170" xr:uid="{00000000-0005-0000-0000-0000CE370000}"/>
    <cellStyle name="Millares 4 5 2 2 4" xfId="34608" xr:uid="{00000000-0005-0000-0000-0000CF370000}"/>
    <cellStyle name="Millares 4 5 2 3" xfId="10861" xr:uid="{00000000-0005-0000-0000-0000D0370000}"/>
    <cellStyle name="Millares 4 5 2 3 2" xfId="24429" xr:uid="{00000000-0005-0000-0000-0000D1370000}"/>
    <cellStyle name="Millares 4 5 2 3 2 2" xfId="51562" xr:uid="{00000000-0005-0000-0000-0000D2370000}"/>
    <cellStyle name="Millares 4 5 2 3 3" xfId="38000" xr:uid="{00000000-0005-0000-0000-0000D3370000}"/>
    <cellStyle name="Millares 4 5 2 4" xfId="17648" xr:uid="{00000000-0005-0000-0000-0000D4370000}"/>
    <cellStyle name="Millares 4 5 2 4 2" xfId="44781" xr:uid="{00000000-0005-0000-0000-0000D5370000}"/>
    <cellStyle name="Millares 4 5 2 5" xfId="31219" xr:uid="{00000000-0005-0000-0000-0000D6370000}"/>
    <cellStyle name="Millares 4 5 3" xfId="7460" xr:uid="{00000000-0005-0000-0000-0000D7370000}"/>
    <cellStyle name="Millares 4 5 3 2" xfId="14249" xr:uid="{00000000-0005-0000-0000-0000D8370000}"/>
    <cellStyle name="Millares 4 5 3 2 2" xfId="27817" xr:uid="{00000000-0005-0000-0000-0000D9370000}"/>
    <cellStyle name="Millares 4 5 3 2 2 2" xfId="54950" xr:uid="{00000000-0005-0000-0000-0000DA370000}"/>
    <cellStyle name="Millares 4 5 3 2 3" xfId="41388" xr:uid="{00000000-0005-0000-0000-0000DB370000}"/>
    <cellStyle name="Millares 4 5 3 3" xfId="21036" xr:uid="{00000000-0005-0000-0000-0000DC370000}"/>
    <cellStyle name="Millares 4 5 3 3 2" xfId="48169" xr:uid="{00000000-0005-0000-0000-0000DD370000}"/>
    <cellStyle name="Millares 4 5 3 4" xfId="34607" xr:uid="{00000000-0005-0000-0000-0000DE370000}"/>
    <cellStyle name="Millares 4 5 4" xfId="10860" xr:uid="{00000000-0005-0000-0000-0000DF370000}"/>
    <cellStyle name="Millares 4 5 4 2" xfId="24428" xr:uid="{00000000-0005-0000-0000-0000E0370000}"/>
    <cellStyle name="Millares 4 5 4 2 2" xfId="51561" xr:uid="{00000000-0005-0000-0000-0000E1370000}"/>
    <cellStyle name="Millares 4 5 4 3" xfId="37999" xr:uid="{00000000-0005-0000-0000-0000E2370000}"/>
    <cellStyle name="Millares 4 5 5" xfId="17647" xr:uid="{00000000-0005-0000-0000-0000E3370000}"/>
    <cellStyle name="Millares 4 5 5 2" xfId="44780" xr:uid="{00000000-0005-0000-0000-0000E4370000}"/>
    <cellStyle name="Millares 4 5 6" xfId="31218" xr:uid="{00000000-0005-0000-0000-0000E5370000}"/>
    <cellStyle name="Millares 4 6" xfId="2459" xr:uid="{00000000-0005-0000-0000-0000E6370000}"/>
    <cellStyle name="Millares 4 7" xfId="2460" xr:uid="{00000000-0005-0000-0000-0000E7370000}"/>
    <cellStyle name="Millares 4 8" xfId="2461" xr:uid="{00000000-0005-0000-0000-0000E8370000}"/>
    <cellStyle name="Millares 4 9" xfId="2462" xr:uid="{00000000-0005-0000-0000-0000E9370000}"/>
    <cellStyle name="Millares 40" xfId="2463" xr:uid="{00000000-0005-0000-0000-0000EA370000}"/>
    <cellStyle name="Millares 41" xfId="2464" xr:uid="{00000000-0005-0000-0000-0000EB370000}"/>
    <cellStyle name="Millares 42" xfId="2465" xr:uid="{00000000-0005-0000-0000-0000EC370000}"/>
    <cellStyle name="Millares 43" xfId="2466" xr:uid="{00000000-0005-0000-0000-0000ED370000}"/>
    <cellStyle name="Millares 5 10" xfId="4670" xr:uid="{00000000-0005-0000-0000-0000EF370000}"/>
    <cellStyle name="Millares 5 10 2" xfId="8265" xr:uid="{00000000-0005-0000-0000-0000F0370000}"/>
    <cellStyle name="Millares 5 10 2 2" xfId="15054" xr:uid="{00000000-0005-0000-0000-0000F1370000}"/>
    <cellStyle name="Millares 5 10 2 2 2" xfId="28622" xr:uid="{00000000-0005-0000-0000-0000F2370000}"/>
    <cellStyle name="Millares 5 10 2 2 2 2" xfId="55755" xr:uid="{00000000-0005-0000-0000-0000F3370000}"/>
    <cellStyle name="Millares 5 10 2 2 3" xfId="42193" xr:uid="{00000000-0005-0000-0000-0000F4370000}"/>
    <cellStyle name="Millares 5 10 2 3" xfId="21841" xr:uid="{00000000-0005-0000-0000-0000F5370000}"/>
    <cellStyle name="Millares 5 10 2 3 2" xfId="48974" xr:uid="{00000000-0005-0000-0000-0000F6370000}"/>
    <cellStyle name="Millares 5 10 2 4" xfId="35412" xr:uid="{00000000-0005-0000-0000-0000F7370000}"/>
    <cellStyle name="Millares 5 10 3" xfId="11665" xr:uid="{00000000-0005-0000-0000-0000F8370000}"/>
    <cellStyle name="Millares 5 10 3 2" xfId="25233" xr:uid="{00000000-0005-0000-0000-0000F9370000}"/>
    <cellStyle name="Millares 5 10 3 2 2" xfId="52366" xr:uid="{00000000-0005-0000-0000-0000FA370000}"/>
    <cellStyle name="Millares 5 10 3 3" xfId="38804" xr:uid="{00000000-0005-0000-0000-0000FB370000}"/>
    <cellStyle name="Millares 5 10 4" xfId="18452" xr:uid="{00000000-0005-0000-0000-0000FC370000}"/>
    <cellStyle name="Millares 5 10 4 2" xfId="45585" xr:uid="{00000000-0005-0000-0000-0000FD370000}"/>
    <cellStyle name="Millares 5 10 5" xfId="32023" xr:uid="{00000000-0005-0000-0000-0000FE370000}"/>
    <cellStyle name="Millares 5 11" xfId="4671" xr:uid="{00000000-0005-0000-0000-0000FF370000}"/>
    <cellStyle name="Millares 5 11 2" xfId="8266" xr:uid="{00000000-0005-0000-0000-000000380000}"/>
    <cellStyle name="Millares 5 11 2 2" xfId="15055" xr:uid="{00000000-0005-0000-0000-000001380000}"/>
    <cellStyle name="Millares 5 11 2 2 2" xfId="28623" xr:uid="{00000000-0005-0000-0000-000002380000}"/>
    <cellStyle name="Millares 5 11 2 2 2 2" xfId="55756" xr:uid="{00000000-0005-0000-0000-000003380000}"/>
    <cellStyle name="Millares 5 11 2 2 3" xfId="42194" xr:uid="{00000000-0005-0000-0000-000004380000}"/>
    <cellStyle name="Millares 5 11 2 3" xfId="21842" xr:uid="{00000000-0005-0000-0000-000005380000}"/>
    <cellStyle name="Millares 5 11 2 3 2" xfId="48975" xr:uid="{00000000-0005-0000-0000-000006380000}"/>
    <cellStyle name="Millares 5 11 2 4" xfId="35413" xr:uid="{00000000-0005-0000-0000-000007380000}"/>
    <cellStyle name="Millares 5 11 3" xfId="11666" xr:uid="{00000000-0005-0000-0000-000008380000}"/>
    <cellStyle name="Millares 5 11 3 2" xfId="25234" xr:uid="{00000000-0005-0000-0000-000009380000}"/>
    <cellStyle name="Millares 5 11 3 2 2" xfId="52367" xr:uid="{00000000-0005-0000-0000-00000A380000}"/>
    <cellStyle name="Millares 5 11 3 3" xfId="38805" xr:uid="{00000000-0005-0000-0000-00000B380000}"/>
    <cellStyle name="Millares 5 11 4" xfId="18453" xr:uid="{00000000-0005-0000-0000-00000C380000}"/>
    <cellStyle name="Millares 5 11 4 2" xfId="45586" xr:uid="{00000000-0005-0000-0000-00000D380000}"/>
    <cellStyle name="Millares 5 11 5" xfId="32024" xr:uid="{00000000-0005-0000-0000-00000E380000}"/>
    <cellStyle name="Millares 5 12" xfId="68" xr:uid="{00000000-0005-0000-0000-00000F380000}"/>
    <cellStyle name="Millares 5 2" xfId="136" xr:uid="{00000000-0005-0000-0000-000010380000}"/>
    <cellStyle name="Millares 5 3" xfId="137" xr:uid="{00000000-0005-0000-0000-000011380000}"/>
    <cellStyle name="Millares 5 3 2" xfId="190" xr:uid="{00000000-0005-0000-0000-000012380000}"/>
    <cellStyle name="Millares 5 3 2 2" xfId="4672" xr:uid="{00000000-0005-0000-0000-000013380000}"/>
    <cellStyle name="Millares 5 3 2 2 2" xfId="4673" xr:uid="{00000000-0005-0000-0000-000014380000}"/>
    <cellStyle name="Millares 5 3 2 2 2 2" xfId="4674" xr:uid="{00000000-0005-0000-0000-000015380000}"/>
    <cellStyle name="Millares 5 3 2 2 2 2 2" xfId="8269" xr:uid="{00000000-0005-0000-0000-000016380000}"/>
    <cellStyle name="Millares 5 3 2 2 2 2 2 2" xfId="15058" xr:uid="{00000000-0005-0000-0000-000017380000}"/>
    <cellStyle name="Millares 5 3 2 2 2 2 2 2 2" xfId="28626" xr:uid="{00000000-0005-0000-0000-000018380000}"/>
    <cellStyle name="Millares 5 3 2 2 2 2 2 2 2 2" xfId="55759" xr:uid="{00000000-0005-0000-0000-000019380000}"/>
    <cellStyle name="Millares 5 3 2 2 2 2 2 2 3" xfId="42197" xr:uid="{00000000-0005-0000-0000-00001A380000}"/>
    <cellStyle name="Millares 5 3 2 2 2 2 2 3" xfId="21845" xr:uid="{00000000-0005-0000-0000-00001B380000}"/>
    <cellStyle name="Millares 5 3 2 2 2 2 2 3 2" xfId="48978" xr:uid="{00000000-0005-0000-0000-00001C380000}"/>
    <cellStyle name="Millares 5 3 2 2 2 2 2 4" xfId="35416" xr:uid="{00000000-0005-0000-0000-00001D380000}"/>
    <cellStyle name="Millares 5 3 2 2 2 2 3" xfId="11669" xr:uid="{00000000-0005-0000-0000-00001E380000}"/>
    <cellStyle name="Millares 5 3 2 2 2 2 3 2" xfId="25237" xr:uid="{00000000-0005-0000-0000-00001F380000}"/>
    <cellStyle name="Millares 5 3 2 2 2 2 3 2 2" xfId="52370" xr:uid="{00000000-0005-0000-0000-000020380000}"/>
    <cellStyle name="Millares 5 3 2 2 2 2 3 3" xfId="38808" xr:uid="{00000000-0005-0000-0000-000021380000}"/>
    <cellStyle name="Millares 5 3 2 2 2 2 4" xfId="18456" xr:uid="{00000000-0005-0000-0000-000022380000}"/>
    <cellStyle name="Millares 5 3 2 2 2 2 4 2" xfId="45589" xr:uid="{00000000-0005-0000-0000-000023380000}"/>
    <cellStyle name="Millares 5 3 2 2 2 2 5" xfId="32027" xr:uid="{00000000-0005-0000-0000-000024380000}"/>
    <cellStyle name="Millares 5 3 2 2 2 3" xfId="4675" xr:uid="{00000000-0005-0000-0000-000025380000}"/>
    <cellStyle name="Millares 5 3 2 2 2 3 2" xfId="8270" xr:uid="{00000000-0005-0000-0000-000026380000}"/>
    <cellStyle name="Millares 5 3 2 2 2 3 2 2" xfId="15059" xr:uid="{00000000-0005-0000-0000-000027380000}"/>
    <cellStyle name="Millares 5 3 2 2 2 3 2 2 2" xfId="28627" xr:uid="{00000000-0005-0000-0000-000028380000}"/>
    <cellStyle name="Millares 5 3 2 2 2 3 2 2 2 2" xfId="55760" xr:uid="{00000000-0005-0000-0000-000029380000}"/>
    <cellStyle name="Millares 5 3 2 2 2 3 2 2 3" xfId="42198" xr:uid="{00000000-0005-0000-0000-00002A380000}"/>
    <cellStyle name="Millares 5 3 2 2 2 3 2 3" xfId="21846" xr:uid="{00000000-0005-0000-0000-00002B380000}"/>
    <cellStyle name="Millares 5 3 2 2 2 3 2 3 2" xfId="48979" xr:uid="{00000000-0005-0000-0000-00002C380000}"/>
    <cellStyle name="Millares 5 3 2 2 2 3 2 4" xfId="35417" xr:uid="{00000000-0005-0000-0000-00002D380000}"/>
    <cellStyle name="Millares 5 3 2 2 2 3 3" xfId="11670" xr:uid="{00000000-0005-0000-0000-00002E380000}"/>
    <cellStyle name="Millares 5 3 2 2 2 3 3 2" xfId="25238" xr:uid="{00000000-0005-0000-0000-00002F380000}"/>
    <cellStyle name="Millares 5 3 2 2 2 3 3 2 2" xfId="52371" xr:uid="{00000000-0005-0000-0000-000030380000}"/>
    <cellStyle name="Millares 5 3 2 2 2 3 3 3" xfId="38809" xr:uid="{00000000-0005-0000-0000-000031380000}"/>
    <cellStyle name="Millares 5 3 2 2 2 3 4" xfId="18457" xr:uid="{00000000-0005-0000-0000-000032380000}"/>
    <cellStyle name="Millares 5 3 2 2 2 3 4 2" xfId="45590" xr:uid="{00000000-0005-0000-0000-000033380000}"/>
    <cellStyle name="Millares 5 3 2 2 2 3 5" xfId="32028" xr:uid="{00000000-0005-0000-0000-000034380000}"/>
    <cellStyle name="Millares 5 3 2 2 2 4" xfId="8268" xr:uid="{00000000-0005-0000-0000-000035380000}"/>
    <cellStyle name="Millares 5 3 2 2 2 4 2" xfId="15057" xr:uid="{00000000-0005-0000-0000-000036380000}"/>
    <cellStyle name="Millares 5 3 2 2 2 4 2 2" xfId="28625" xr:uid="{00000000-0005-0000-0000-000037380000}"/>
    <cellStyle name="Millares 5 3 2 2 2 4 2 2 2" xfId="55758" xr:uid="{00000000-0005-0000-0000-000038380000}"/>
    <cellStyle name="Millares 5 3 2 2 2 4 2 3" xfId="42196" xr:uid="{00000000-0005-0000-0000-000039380000}"/>
    <cellStyle name="Millares 5 3 2 2 2 4 3" xfId="21844" xr:uid="{00000000-0005-0000-0000-00003A380000}"/>
    <cellStyle name="Millares 5 3 2 2 2 4 3 2" xfId="48977" xr:uid="{00000000-0005-0000-0000-00003B380000}"/>
    <cellStyle name="Millares 5 3 2 2 2 4 4" xfId="35415" xr:uid="{00000000-0005-0000-0000-00003C380000}"/>
    <cellStyle name="Millares 5 3 2 2 2 5" xfId="11668" xr:uid="{00000000-0005-0000-0000-00003D380000}"/>
    <cellStyle name="Millares 5 3 2 2 2 5 2" xfId="25236" xr:uid="{00000000-0005-0000-0000-00003E380000}"/>
    <cellStyle name="Millares 5 3 2 2 2 5 2 2" xfId="52369" xr:uid="{00000000-0005-0000-0000-00003F380000}"/>
    <cellStyle name="Millares 5 3 2 2 2 5 3" xfId="38807" xr:uid="{00000000-0005-0000-0000-000040380000}"/>
    <cellStyle name="Millares 5 3 2 2 2 6" xfId="18455" xr:uid="{00000000-0005-0000-0000-000041380000}"/>
    <cellStyle name="Millares 5 3 2 2 2 6 2" xfId="45588" xr:uid="{00000000-0005-0000-0000-000042380000}"/>
    <cellStyle name="Millares 5 3 2 2 2 7" xfId="32026" xr:uid="{00000000-0005-0000-0000-000043380000}"/>
    <cellStyle name="Millares 5 3 2 2 3" xfId="4676" xr:uid="{00000000-0005-0000-0000-000044380000}"/>
    <cellStyle name="Millares 5 3 2 2 3 2" xfId="4677" xr:uid="{00000000-0005-0000-0000-000045380000}"/>
    <cellStyle name="Millares 5 3 2 2 3 2 2" xfId="8272" xr:uid="{00000000-0005-0000-0000-000046380000}"/>
    <cellStyle name="Millares 5 3 2 2 3 2 2 2" xfId="15061" xr:uid="{00000000-0005-0000-0000-000047380000}"/>
    <cellStyle name="Millares 5 3 2 2 3 2 2 2 2" xfId="28629" xr:uid="{00000000-0005-0000-0000-000048380000}"/>
    <cellStyle name="Millares 5 3 2 2 3 2 2 2 2 2" xfId="55762" xr:uid="{00000000-0005-0000-0000-000049380000}"/>
    <cellStyle name="Millares 5 3 2 2 3 2 2 2 3" xfId="42200" xr:uid="{00000000-0005-0000-0000-00004A380000}"/>
    <cellStyle name="Millares 5 3 2 2 3 2 2 3" xfId="21848" xr:uid="{00000000-0005-0000-0000-00004B380000}"/>
    <cellStyle name="Millares 5 3 2 2 3 2 2 3 2" xfId="48981" xr:uid="{00000000-0005-0000-0000-00004C380000}"/>
    <cellStyle name="Millares 5 3 2 2 3 2 2 4" xfId="35419" xr:uid="{00000000-0005-0000-0000-00004D380000}"/>
    <cellStyle name="Millares 5 3 2 2 3 2 3" xfId="11672" xr:uid="{00000000-0005-0000-0000-00004E380000}"/>
    <cellStyle name="Millares 5 3 2 2 3 2 3 2" xfId="25240" xr:uid="{00000000-0005-0000-0000-00004F380000}"/>
    <cellStyle name="Millares 5 3 2 2 3 2 3 2 2" xfId="52373" xr:uid="{00000000-0005-0000-0000-000050380000}"/>
    <cellStyle name="Millares 5 3 2 2 3 2 3 3" xfId="38811" xr:uid="{00000000-0005-0000-0000-000051380000}"/>
    <cellStyle name="Millares 5 3 2 2 3 2 4" xfId="18459" xr:uid="{00000000-0005-0000-0000-000052380000}"/>
    <cellStyle name="Millares 5 3 2 2 3 2 4 2" xfId="45592" xr:uid="{00000000-0005-0000-0000-000053380000}"/>
    <cellStyle name="Millares 5 3 2 2 3 2 5" xfId="32030" xr:uid="{00000000-0005-0000-0000-000054380000}"/>
    <cellStyle name="Millares 5 3 2 2 3 3" xfId="8271" xr:uid="{00000000-0005-0000-0000-000055380000}"/>
    <cellStyle name="Millares 5 3 2 2 3 3 2" xfId="15060" xr:uid="{00000000-0005-0000-0000-000056380000}"/>
    <cellStyle name="Millares 5 3 2 2 3 3 2 2" xfId="28628" xr:uid="{00000000-0005-0000-0000-000057380000}"/>
    <cellStyle name="Millares 5 3 2 2 3 3 2 2 2" xfId="55761" xr:uid="{00000000-0005-0000-0000-000058380000}"/>
    <cellStyle name="Millares 5 3 2 2 3 3 2 3" xfId="42199" xr:uid="{00000000-0005-0000-0000-000059380000}"/>
    <cellStyle name="Millares 5 3 2 2 3 3 3" xfId="21847" xr:uid="{00000000-0005-0000-0000-00005A380000}"/>
    <cellStyle name="Millares 5 3 2 2 3 3 3 2" xfId="48980" xr:uid="{00000000-0005-0000-0000-00005B380000}"/>
    <cellStyle name="Millares 5 3 2 2 3 3 4" xfId="35418" xr:uid="{00000000-0005-0000-0000-00005C380000}"/>
    <cellStyle name="Millares 5 3 2 2 3 4" xfId="11671" xr:uid="{00000000-0005-0000-0000-00005D380000}"/>
    <cellStyle name="Millares 5 3 2 2 3 4 2" xfId="25239" xr:uid="{00000000-0005-0000-0000-00005E380000}"/>
    <cellStyle name="Millares 5 3 2 2 3 4 2 2" xfId="52372" xr:uid="{00000000-0005-0000-0000-00005F380000}"/>
    <cellStyle name="Millares 5 3 2 2 3 4 3" xfId="38810" xr:uid="{00000000-0005-0000-0000-000060380000}"/>
    <cellStyle name="Millares 5 3 2 2 3 5" xfId="18458" xr:uid="{00000000-0005-0000-0000-000061380000}"/>
    <cellStyle name="Millares 5 3 2 2 3 5 2" xfId="45591" xr:uid="{00000000-0005-0000-0000-000062380000}"/>
    <cellStyle name="Millares 5 3 2 2 3 6" xfId="32029" xr:uid="{00000000-0005-0000-0000-000063380000}"/>
    <cellStyle name="Millares 5 3 2 2 4" xfId="4678" xr:uid="{00000000-0005-0000-0000-000064380000}"/>
    <cellStyle name="Millares 5 3 2 2 4 2" xfId="8273" xr:uid="{00000000-0005-0000-0000-000065380000}"/>
    <cellStyle name="Millares 5 3 2 2 4 2 2" xfId="15062" xr:uid="{00000000-0005-0000-0000-000066380000}"/>
    <cellStyle name="Millares 5 3 2 2 4 2 2 2" xfId="28630" xr:uid="{00000000-0005-0000-0000-000067380000}"/>
    <cellStyle name="Millares 5 3 2 2 4 2 2 2 2" xfId="55763" xr:uid="{00000000-0005-0000-0000-000068380000}"/>
    <cellStyle name="Millares 5 3 2 2 4 2 2 3" xfId="42201" xr:uid="{00000000-0005-0000-0000-000069380000}"/>
    <cellStyle name="Millares 5 3 2 2 4 2 3" xfId="21849" xr:uid="{00000000-0005-0000-0000-00006A380000}"/>
    <cellStyle name="Millares 5 3 2 2 4 2 3 2" xfId="48982" xr:uid="{00000000-0005-0000-0000-00006B380000}"/>
    <cellStyle name="Millares 5 3 2 2 4 2 4" xfId="35420" xr:uid="{00000000-0005-0000-0000-00006C380000}"/>
    <cellStyle name="Millares 5 3 2 2 4 3" xfId="11673" xr:uid="{00000000-0005-0000-0000-00006D380000}"/>
    <cellStyle name="Millares 5 3 2 2 4 3 2" xfId="25241" xr:uid="{00000000-0005-0000-0000-00006E380000}"/>
    <cellStyle name="Millares 5 3 2 2 4 3 2 2" xfId="52374" xr:uid="{00000000-0005-0000-0000-00006F380000}"/>
    <cellStyle name="Millares 5 3 2 2 4 3 3" xfId="38812" xr:uid="{00000000-0005-0000-0000-000070380000}"/>
    <cellStyle name="Millares 5 3 2 2 4 4" xfId="18460" xr:uid="{00000000-0005-0000-0000-000071380000}"/>
    <cellStyle name="Millares 5 3 2 2 4 4 2" xfId="45593" xr:uid="{00000000-0005-0000-0000-000072380000}"/>
    <cellStyle name="Millares 5 3 2 2 4 5" xfId="32031" xr:uid="{00000000-0005-0000-0000-000073380000}"/>
    <cellStyle name="Millares 5 3 2 2 5" xfId="4679" xr:uid="{00000000-0005-0000-0000-000074380000}"/>
    <cellStyle name="Millares 5 3 2 2 5 2" xfId="8274" xr:uid="{00000000-0005-0000-0000-000075380000}"/>
    <cellStyle name="Millares 5 3 2 2 5 2 2" xfId="15063" xr:uid="{00000000-0005-0000-0000-000076380000}"/>
    <cellStyle name="Millares 5 3 2 2 5 2 2 2" xfId="28631" xr:uid="{00000000-0005-0000-0000-000077380000}"/>
    <cellStyle name="Millares 5 3 2 2 5 2 2 2 2" xfId="55764" xr:uid="{00000000-0005-0000-0000-000078380000}"/>
    <cellStyle name="Millares 5 3 2 2 5 2 2 3" xfId="42202" xr:uid="{00000000-0005-0000-0000-000079380000}"/>
    <cellStyle name="Millares 5 3 2 2 5 2 3" xfId="21850" xr:uid="{00000000-0005-0000-0000-00007A380000}"/>
    <cellStyle name="Millares 5 3 2 2 5 2 3 2" xfId="48983" xr:uid="{00000000-0005-0000-0000-00007B380000}"/>
    <cellStyle name="Millares 5 3 2 2 5 2 4" xfId="35421" xr:uid="{00000000-0005-0000-0000-00007C380000}"/>
    <cellStyle name="Millares 5 3 2 2 5 3" xfId="11674" xr:uid="{00000000-0005-0000-0000-00007D380000}"/>
    <cellStyle name="Millares 5 3 2 2 5 3 2" xfId="25242" xr:uid="{00000000-0005-0000-0000-00007E380000}"/>
    <cellStyle name="Millares 5 3 2 2 5 3 2 2" xfId="52375" xr:uid="{00000000-0005-0000-0000-00007F380000}"/>
    <cellStyle name="Millares 5 3 2 2 5 3 3" xfId="38813" xr:uid="{00000000-0005-0000-0000-000080380000}"/>
    <cellStyle name="Millares 5 3 2 2 5 4" xfId="18461" xr:uid="{00000000-0005-0000-0000-000081380000}"/>
    <cellStyle name="Millares 5 3 2 2 5 4 2" xfId="45594" xr:uid="{00000000-0005-0000-0000-000082380000}"/>
    <cellStyle name="Millares 5 3 2 2 5 5" xfId="32032" xr:uid="{00000000-0005-0000-0000-000083380000}"/>
    <cellStyle name="Millares 5 3 2 2 6" xfId="8267" xr:uid="{00000000-0005-0000-0000-000084380000}"/>
    <cellStyle name="Millares 5 3 2 2 6 2" xfId="15056" xr:uid="{00000000-0005-0000-0000-000085380000}"/>
    <cellStyle name="Millares 5 3 2 2 6 2 2" xfId="28624" xr:uid="{00000000-0005-0000-0000-000086380000}"/>
    <cellStyle name="Millares 5 3 2 2 6 2 2 2" xfId="55757" xr:uid="{00000000-0005-0000-0000-000087380000}"/>
    <cellStyle name="Millares 5 3 2 2 6 2 3" xfId="42195" xr:uid="{00000000-0005-0000-0000-000088380000}"/>
    <cellStyle name="Millares 5 3 2 2 6 3" xfId="21843" xr:uid="{00000000-0005-0000-0000-000089380000}"/>
    <cellStyle name="Millares 5 3 2 2 6 3 2" xfId="48976" xr:uid="{00000000-0005-0000-0000-00008A380000}"/>
    <cellStyle name="Millares 5 3 2 2 6 4" xfId="35414" xr:uid="{00000000-0005-0000-0000-00008B380000}"/>
    <cellStyle name="Millares 5 3 2 2 7" xfId="11667" xr:uid="{00000000-0005-0000-0000-00008C380000}"/>
    <cellStyle name="Millares 5 3 2 2 7 2" xfId="25235" xr:uid="{00000000-0005-0000-0000-00008D380000}"/>
    <cellStyle name="Millares 5 3 2 2 7 2 2" xfId="52368" xr:uid="{00000000-0005-0000-0000-00008E380000}"/>
    <cellStyle name="Millares 5 3 2 2 7 3" xfId="38806" xr:uid="{00000000-0005-0000-0000-00008F380000}"/>
    <cellStyle name="Millares 5 3 2 2 8" xfId="18454" xr:uid="{00000000-0005-0000-0000-000090380000}"/>
    <cellStyle name="Millares 5 3 2 2 8 2" xfId="45587" xr:uid="{00000000-0005-0000-0000-000091380000}"/>
    <cellStyle name="Millares 5 3 2 2 9" xfId="32025" xr:uid="{00000000-0005-0000-0000-000092380000}"/>
    <cellStyle name="Millares 5 3 2 3" xfId="4680" xr:uid="{00000000-0005-0000-0000-000093380000}"/>
    <cellStyle name="Millares 5 3 2 3 2" xfId="4681" xr:uid="{00000000-0005-0000-0000-000094380000}"/>
    <cellStyle name="Millares 5 3 2 3 2 2" xfId="8276" xr:uid="{00000000-0005-0000-0000-000095380000}"/>
    <cellStyle name="Millares 5 3 2 3 2 2 2" xfId="15065" xr:uid="{00000000-0005-0000-0000-000096380000}"/>
    <cellStyle name="Millares 5 3 2 3 2 2 2 2" xfId="28633" xr:uid="{00000000-0005-0000-0000-000097380000}"/>
    <cellStyle name="Millares 5 3 2 3 2 2 2 2 2" xfId="55766" xr:uid="{00000000-0005-0000-0000-000098380000}"/>
    <cellStyle name="Millares 5 3 2 3 2 2 2 3" xfId="42204" xr:uid="{00000000-0005-0000-0000-000099380000}"/>
    <cellStyle name="Millares 5 3 2 3 2 2 3" xfId="21852" xr:uid="{00000000-0005-0000-0000-00009A380000}"/>
    <cellStyle name="Millares 5 3 2 3 2 2 3 2" xfId="48985" xr:uid="{00000000-0005-0000-0000-00009B380000}"/>
    <cellStyle name="Millares 5 3 2 3 2 2 4" xfId="35423" xr:uid="{00000000-0005-0000-0000-00009C380000}"/>
    <cellStyle name="Millares 5 3 2 3 2 3" xfId="11676" xr:uid="{00000000-0005-0000-0000-00009D380000}"/>
    <cellStyle name="Millares 5 3 2 3 2 3 2" xfId="25244" xr:uid="{00000000-0005-0000-0000-00009E380000}"/>
    <cellStyle name="Millares 5 3 2 3 2 3 2 2" xfId="52377" xr:uid="{00000000-0005-0000-0000-00009F380000}"/>
    <cellStyle name="Millares 5 3 2 3 2 3 3" xfId="38815" xr:uid="{00000000-0005-0000-0000-0000A0380000}"/>
    <cellStyle name="Millares 5 3 2 3 2 4" xfId="18463" xr:uid="{00000000-0005-0000-0000-0000A1380000}"/>
    <cellStyle name="Millares 5 3 2 3 2 4 2" xfId="45596" xr:uid="{00000000-0005-0000-0000-0000A2380000}"/>
    <cellStyle name="Millares 5 3 2 3 2 5" xfId="32034" xr:uid="{00000000-0005-0000-0000-0000A3380000}"/>
    <cellStyle name="Millares 5 3 2 3 3" xfId="4682" xr:uid="{00000000-0005-0000-0000-0000A4380000}"/>
    <cellStyle name="Millares 5 3 2 3 3 2" xfId="8277" xr:uid="{00000000-0005-0000-0000-0000A5380000}"/>
    <cellStyle name="Millares 5 3 2 3 3 2 2" xfId="15066" xr:uid="{00000000-0005-0000-0000-0000A6380000}"/>
    <cellStyle name="Millares 5 3 2 3 3 2 2 2" xfId="28634" xr:uid="{00000000-0005-0000-0000-0000A7380000}"/>
    <cellStyle name="Millares 5 3 2 3 3 2 2 2 2" xfId="55767" xr:uid="{00000000-0005-0000-0000-0000A8380000}"/>
    <cellStyle name="Millares 5 3 2 3 3 2 2 3" xfId="42205" xr:uid="{00000000-0005-0000-0000-0000A9380000}"/>
    <cellStyle name="Millares 5 3 2 3 3 2 3" xfId="21853" xr:uid="{00000000-0005-0000-0000-0000AA380000}"/>
    <cellStyle name="Millares 5 3 2 3 3 2 3 2" xfId="48986" xr:uid="{00000000-0005-0000-0000-0000AB380000}"/>
    <cellStyle name="Millares 5 3 2 3 3 2 4" xfId="35424" xr:uid="{00000000-0005-0000-0000-0000AC380000}"/>
    <cellStyle name="Millares 5 3 2 3 3 3" xfId="11677" xr:uid="{00000000-0005-0000-0000-0000AD380000}"/>
    <cellStyle name="Millares 5 3 2 3 3 3 2" xfId="25245" xr:uid="{00000000-0005-0000-0000-0000AE380000}"/>
    <cellStyle name="Millares 5 3 2 3 3 3 2 2" xfId="52378" xr:uid="{00000000-0005-0000-0000-0000AF380000}"/>
    <cellStyle name="Millares 5 3 2 3 3 3 3" xfId="38816" xr:uid="{00000000-0005-0000-0000-0000B0380000}"/>
    <cellStyle name="Millares 5 3 2 3 3 4" xfId="18464" xr:uid="{00000000-0005-0000-0000-0000B1380000}"/>
    <cellStyle name="Millares 5 3 2 3 3 4 2" xfId="45597" xr:uid="{00000000-0005-0000-0000-0000B2380000}"/>
    <cellStyle name="Millares 5 3 2 3 3 5" xfId="32035" xr:uid="{00000000-0005-0000-0000-0000B3380000}"/>
    <cellStyle name="Millares 5 3 2 3 4" xfId="8275" xr:uid="{00000000-0005-0000-0000-0000B4380000}"/>
    <cellStyle name="Millares 5 3 2 3 4 2" xfId="15064" xr:uid="{00000000-0005-0000-0000-0000B5380000}"/>
    <cellStyle name="Millares 5 3 2 3 4 2 2" xfId="28632" xr:uid="{00000000-0005-0000-0000-0000B6380000}"/>
    <cellStyle name="Millares 5 3 2 3 4 2 2 2" xfId="55765" xr:uid="{00000000-0005-0000-0000-0000B7380000}"/>
    <cellStyle name="Millares 5 3 2 3 4 2 3" xfId="42203" xr:uid="{00000000-0005-0000-0000-0000B8380000}"/>
    <cellStyle name="Millares 5 3 2 3 4 3" xfId="21851" xr:uid="{00000000-0005-0000-0000-0000B9380000}"/>
    <cellStyle name="Millares 5 3 2 3 4 3 2" xfId="48984" xr:uid="{00000000-0005-0000-0000-0000BA380000}"/>
    <cellStyle name="Millares 5 3 2 3 4 4" xfId="35422" xr:uid="{00000000-0005-0000-0000-0000BB380000}"/>
    <cellStyle name="Millares 5 3 2 3 5" xfId="11675" xr:uid="{00000000-0005-0000-0000-0000BC380000}"/>
    <cellStyle name="Millares 5 3 2 3 5 2" xfId="25243" xr:uid="{00000000-0005-0000-0000-0000BD380000}"/>
    <cellStyle name="Millares 5 3 2 3 5 2 2" xfId="52376" xr:uid="{00000000-0005-0000-0000-0000BE380000}"/>
    <cellStyle name="Millares 5 3 2 3 5 3" xfId="38814" xr:uid="{00000000-0005-0000-0000-0000BF380000}"/>
    <cellStyle name="Millares 5 3 2 3 6" xfId="18462" xr:uid="{00000000-0005-0000-0000-0000C0380000}"/>
    <cellStyle name="Millares 5 3 2 3 6 2" xfId="45595" xr:uid="{00000000-0005-0000-0000-0000C1380000}"/>
    <cellStyle name="Millares 5 3 2 3 7" xfId="32033" xr:uid="{00000000-0005-0000-0000-0000C2380000}"/>
    <cellStyle name="Millares 5 3 2 4" xfId="4683" xr:uid="{00000000-0005-0000-0000-0000C3380000}"/>
    <cellStyle name="Millares 5 3 2 4 2" xfId="4684" xr:uid="{00000000-0005-0000-0000-0000C4380000}"/>
    <cellStyle name="Millares 5 3 2 4 2 2" xfId="8279" xr:uid="{00000000-0005-0000-0000-0000C5380000}"/>
    <cellStyle name="Millares 5 3 2 4 2 2 2" xfId="15068" xr:uid="{00000000-0005-0000-0000-0000C6380000}"/>
    <cellStyle name="Millares 5 3 2 4 2 2 2 2" xfId="28636" xr:uid="{00000000-0005-0000-0000-0000C7380000}"/>
    <cellStyle name="Millares 5 3 2 4 2 2 2 2 2" xfId="55769" xr:uid="{00000000-0005-0000-0000-0000C8380000}"/>
    <cellStyle name="Millares 5 3 2 4 2 2 2 3" xfId="42207" xr:uid="{00000000-0005-0000-0000-0000C9380000}"/>
    <cellStyle name="Millares 5 3 2 4 2 2 3" xfId="21855" xr:uid="{00000000-0005-0000-0000-0000CA380000}"/>
    <cellStyle name="Millares 5 3 2 4 2 2 3 2" xfId="48988" xr:uid="{00000000-0005-0000-0000-0000CB380000}"/>
    <cellStyle name="Millares 5 3 2 4 2 2 4" xfId="35426" xr:uid="{00000000-0005-0000-0000-0000CC380000}"/>
    <cellStyle name="Millares 5 3 2 4 2 3" xfId="11679" xr:uid="{00000000-0005-0000-0000-0000CD380000}"/>
    <cellStyle name="Millares 5 3 2 4 2 3 2" xfId="25247" xr:uid="{00000000-0005-0000-0000-0000CE380000}"/>
    <cellStyle name="Millares 5 3 2 4 2 3 2 2" xfId="52380" xr:uid="{00000000-0005-0000-0000-0000CF380000}"/>
    <cellStyle name="Millares 5 3 2 4 2 3 3" xfId="38818" xr:uid="{00000000-0005-0000-0000-0000D0380000}"/>
    <cellStyle name="Millares 5 3 2 4 2 4" xfId="18466" xr:uid="{00000000-0005-0000-0000-0000D1380000}"/>
    <cellStyle name="Millares 5 3 2 4 2 4 2" xfId="45599" xr:uid="{00000000-0005-0000-0000-0000D2380000}"/>
    <cellStyle name="Millares 5 3 2 4 2 5" xfId="32037" xr:uid="{00000000-0005-0000-0000-0000D3380000}"/>
    <cellStyle name="Millares 5 3 2 4 3" xfId="8278" xr:uid="{00000000-0005-0000-0000-0000D4380000}"/>
    <cellStyle name="Millares 5 3 2 4 3 2" xfId="15067" xr:uid="{00000000-0005-0000-0000-0000D5380000}"/>
    <cellStyle name="Millares 5 3 2 4 3 2 2" xfId="28635" xr:uid="{00000000-0005-0000-0000-0000D6380000}"/>
    <cellStyle name="Millares 5 3 2 4 3 2 2 2" xfId="55768" xr:uid="{00000000-0005-0000-0000-0000D7380000}"/>
    <cellStyle name="Millares 5 3 2 4 3 2 3" xfId="42206" xr:uid="{00000000-0005-0000-0000-0000D8380000}"/>
    <cellStyle name="Millares 5 3 2 4 3 3" xfId="21854" xr:uid="{00000000-0005-0000-0000-0000D9380000}"/>
    <cellStyle name="Millares 5 3 2 4 3 3 2" xfId="48987" xr:uid="{00000000-0005-0000-0000-0000DA380000}"/>
    <cellStyle name="Millares 5 3 2 4 3 4" xfId="35425" xr:uid="{00000000-0005-0000-0000-0000DB380000}"/>
    <cellStyle name="Millares 5 3 2 4 4" xfId="11678" xr:uid="{00000000-0005-0000-0000-0000DC380000}"/>
    <cellStyle name="Millares 5 3 2 4 4 2" xfId="25246" xr:uid="{00000000-0005-0000-0000-0000DD380000}"/>
    <cellStyle name="Millares 5 3 2 4 4 2 2" xfId="52379" xr:uid="{00000000-0005-0000-0000-0000DE380000}"/>
    <cellStyle name="Millares 5 3 2 4 4 3" xfId="38817" xr:uid="{00000000-0005-0000-0000-0000DF380000}"/>
    <cellStyle name="Millares 5 3 2 4 5" xfId="18465" xr:uid="{00000000-0005-0000-0000-0000E0380000}"/>
    <cellStyle name="Millares 5 3 2 4 5 2" xfId="45598" xr:uid="{00000000-0005-0000-0000-0000E1380000}"/>
    <cellStyle name="Millares 5 3 2 4 6" xfId="32036" xr:uid="{00000000-0005-0000-0000-0000E2380000}"/>
    <cellStyle name="Millares 5 3 2 5" xfId="4685" xr:uid="{00000000-0005-0000-0000-0000E3380000}"/>
    <cellStyle name="Millares 5 3 2 5 2" xfId="8280" xr:uid="{00000000-0005-0000-0000-0000E4380000}"/>
    <cellStyle name="Millares 5 3 2 5 2 2" xfId="15069" xr:uid="{00000000-0005-0000-0000-0000E5380000}"/>
    <cellStyle name="Millares 5 3 2 5 2 2 2" xfId="28637" xr:uid="{00000000-0005-0000-0000-0000E6380000}"/>
    <cellStyle name="Millares 5 3 2 5 2 2 2 2" xfId="55770" xr:uid="{00000000-0005-0000-0000-0000E7380000}"/>
    <cellStyle name="Millares 5 3 2 5 2 2 3" xfId="42208" xr:uid="{00000000-0005-0000-0000-0000E8380000}"/>
    <cellStyle name="Millares 5 3 2 5 2 3" xfId="21856" xr:uid="{00000000-0005-0000-0000-0000E9380000}"/>
    <cellStyle name="Millares 5 3 2 5 2 3 2" xfId="48989" xr:uid="{00000000-0005-0000-0000-0000EA380000}"/>
    <cellStyle name="Millares 5 3 2 5 2 4" xfId="35427" xr:uid="{00000000-0005-0000-0000-0000EB380000}"/>
    <cellStyle name="Millares 5 3 2 5 3" xfId="11680" xr:uid="{00000000-0005-0000-0000-0000EC380000}"/>
    <cellStyle name="Millares 5 3 2 5 3 2" xfId="25248" xr:uid="{00000000-0005-0000-0000-0000ED380000}"/>
    <cellStyle name="Millares 5 3 2 5 3 2 2" xfId="52381" xr:uid="{00000000-0005-0000-0000-0000EE380000}"/>
    <cellStyle name="Millares 5 3 2 5 3 3" xfId="38819" xr:uid="{00000000-0005-0000-0000-0000EF380000}"/>
    <cellStyle name="Millares 5 3 2 5 4" xfId="18467" xr:uid="{00000000-0005-0000-0000-0000F0380000}"/>
    <cellStyle name="Millares 5 3 2 5 4 2" xfId="45600" xr:uid="{00000000-0005-0000-0000-0000F1380000}"/>
    <cellStyle name="Millares 5 3 2 5 5" xfId="32038" xr:uid="{00000000-0005-0000-0000-0000F2380000}"/>
    <cellStyle name="Millares 5 3 2 6" xfId="4686" xr:uid="{00000000-0005-0000-0000-0000F3380000}"/>
    <cellStyle name="Millares 5 3 2 6 2" xfId="8281" xr:uid="{00000000-0005-0000-0000-0000F4380000}"/>
    <cellStyle name="Millares 5 3 2 6 2 2" xfId="15070" xr:uid="{00000000-0005-0000-0000-0000F5380000}"/>
    <cellStyle name="Millares 5 3 2 6 2 2 2" xfId="28638" xr:uid="{00000000-0005-0000-0000-0000F6380000}"/>
    <cellStyle name="Millares 5 3 2 6 2 2 2 2" xfId="55771" xr:uid="{00000000-0005-0000-0000-0000F7380000}"/>
    <cellStyle name="Millares 5 3 2 6 2 2 3" xfId="42209" xr:uid="{00000000-0005-0000-0000-0000F8380000}"/>
    <cellStyle name="Millares 5 3 2 6 2 3" xfId="21857" xr:uid="{00000000-0005-0000-0000-0000F9380000}"/>
    <cellStyle name="Millares 5 3 2 6 2 3 2" xfId="48990" xr:uid="{00000000-0005-0000-0000-0000FA380000}"/>
    <cellStyle name="Millares 5 3 2 6 2 4" xfId="35428" xr:uid="{00000000-0005-0000-0000-0000FB380000}"/>
    <cellStyle name="Millares 5 3 2 6 3" xfId="11681" xr:uid="{00000000-0005-0000-0000-0000FC380000}"/>
    <cellStyle name="Millares 5 3 2 6 3 2" xfId="25249" xr:uid="{00000000-0005-0000-0000-0000FD380000}"/>
    <cellStyle name="Millares 5 3 2 6 3 2 2" xfId="52382" xr:uid="{00000000-0005-0000-0000-0000FE380000}"/>
    <cellStyle name="Millares 5 3 2 6 3 3" xfId="38820" xr:uid="{00000000-0005-0000-0000-0000FF380000}"/>
    <cellStyle name="Millares 5 3 2 6 4" xfId="18468" xr:uid="{00000000-0005-0000-0000-000000390000}"/>
    <cellStyle name="Millares 5 3 2 6 4 2" xfId="45601" xr:uid="{00000000-0005-0000-0000-000001390000}"/>
    <cellStyle name="Millares 5 3 2 6 5" xfId="32039" xr:uid="{00000000-0005-0000-0000-000002390000}"/>
    <cellStyle name="Millares 5 3 3" xfId="4687" xr:uid="{00000000-0005-0000-0000-000003390000}"/>
    <cellStyle name="Millares 5 3 3 2" xfId="4688" xr:uid="{00000000-0005-0000-0000-000004390000}"/>
    <cellStyle name="Millares 5 3 3 2 2" xfId="4689" xr:uid="{00000000-0005-0000-0000-000005390000}"/>
    <cellStyle name="Millares 5 3 3 2 2 2" xfId="8284" xr:uid="{00000000-0005-0000-0000-000006390000}"/>
    <cellStyle name="Millares 5 3 3 2 2 2 2" xfId="15073" xr:uid="{00000000-0005-0000-0000-000007390000}"/>
    <cellStyle name="Millares 5 3 3 2 2 2 2 2" xfId="28641" xr:uid="{00000000-0005-0000-0000-000008390000}"/>
    <cellStyle name="Millares 5 3 3 2 2 2 2 2 2" xfId="55774" xr:uid="{00000000-0005-0000-0000-000009390000}"/>
    <cellStyle name="Millares 5 3 3 2 2 2 2 3" xfId="42212" xr:uid="{00000000-0005-0000-0000-00000A390000}"/>
    <cellStyle name="Millares 5 3 3 2 2 2 3" xfId="21860" xr:uid="{00000000-0005-0000-0000-00000B390000}"/>
    <cellStyle name="Millares 5 3 3 2 2 2 3 2" xfId="48993" xr:uid="{00000000-0005-0000-0000-00000C390000}"/>
    <cellStyle name="Millares 5 3 3 2 2 2 4" xfId="35431" xr:uid="{00000000-0005-0000-0000-00000D390000}"/>
    <cellStyle name="Millares 5 3 3 2 2 3" xfId="11684" xr:uid="{00000000-0005-0000-0000-00000E390000}"/>
    <cellStyle name="Millares 5 3 3 2 2 3 2" xfId="25252" xr:uid="{00000000-0005-0000-0000-00000F390000}"/>
    <cellStyle name="Millares 5 3 3 2 2 3 2 2" xfId="52385" xr:uid="{00000000-0005-0000-0000-000010390000}"/>
    <cellStyle name="Millares 5 3 3 2 2 3 3" xfId="38823" xr:uid="{00000000-0005-0000-0000-000011390000}"/>
    <cellStyle name="Millares 5 3 3 2 2 4" xfId="18471" xr:uid="{00000000-0005-0000-0000-000012390000}"/>
    <cellStyle name="Millares 5 3 3 2 2 4 2" xfId="45604" xr:uid="{00000000-0005-0000-0000-000013390000}"/>
    <cellStyle name="Millares 5 3 3 2 2 5" xfId="32042" xr:uid="{00000000-0005-0000-0000-000014390000}"/>
    <cellStyle name="Millares 5 3 3 2 3" xfId="4690" xr:uid="{00000000-0005-0000-0000-000015390000}"/>
    <cellStyle name="Millares 5 3 3 2 3 2" xfId="8285" xr:uid="{00000000-0005-0000-0000-000016390000}"/>
    <cellStyle name="Millares 5 3 3 2 3 2 2" xfId="15074" xr:uid="{00000000-0005-0000-0000-000017390000}"/>
    <cellStyle name="Millares 5 3 3 2 3 2 2 2" xfId="28642" xr:uid="{00000000-0005-0000-0000-000018390000}"/>
    <cellStyle name="Millares 5 3 3 2 3 2 2 2 2" xfId="55775" xr:uid="{00000000-0005-0000-0000-000019390000}"/>
    <cellStyle name="Millares 5 3 3 2 3 2 2 3" xfId="42213" xr:uid="{00000000-0005-0000-0000-00001A390000}"/>
    <cellStyle name="Millares 5 3 3 2 3 2 3" xfId="21861" xr:uid="{00000000-0005-0000-0000-00001B390000}"/>
    <cellStyle name="Millares 5 3 3 2 3 2 3 2" xfId="48994" xr:uid="{00000000-0005-0000-0000-00001C390000}"/>
    <cellStyle name="Millares 5 3 3 2 3 2 4" xfId="35432" xr:uid="{00000000-0005-0000-0000-00001D390000}"/>
    <cellStyle name="Millares 5 3 3 2 3 3" xfId="11685" xr:uid="{00000000-0005-0000-0000-00001E390000}"/>
    <cellStyle name="Millares 5 3 3 2 3 3 2" xfId="25253" xr:uid="{00000000-0005-0000-0000-00001F390000}"/>
    <cellStyle name="Millares 5 3 3 2 3 3 2 2" xfId="52386" xr:uid="{00000000-0005-0000-0000-000020390000}"/>
    <cellStyle name="Millares 5 3 3 2 3 3 3" xfId="38824" xr:uid="{00000000-0005-0000-0000-000021390000}"/>
    <cellStyle name="Millares 5 3 3 2 3 4" xfId="18472" xr:uid="{00000000-0005-0000-0000-000022390000}"/>
    <cellStyle name="Millares 5 3 3 2 3 4 2" xfId="45605" xr:uid="{00000000-0005-0000-0000-000023390000}"/>
    <cellStyle name="Millares 5 3 3 2 3 5" xfId="32043" xr:uid="{00000000-0005-0000-0000-000024390000}"/>
    <cellStyle name="Millares 5 3 3 2 4" xfId="8283" xr:uid="{00000000-0005-0000-0000-000025390000}"/>
    <cellStyle name="Millares 5 3 3 2 4 2" xfId="15072" xr:uid="{00000000-0005-0000-0000-000026390000}"/>
    <cellStyle name="Millares 5 3 3 2 4 2 2" xfId="28640" xr:uid="{00000000-0005-0000-0000-000027390000}"/>
    <cellStyle name="Millares 5 3 3 2 4 2 2 2" xfId="55773" xr:uid="{00000000-0005-0000-0000-000028390000}"/>
    <cellStyle name="Millares 5 3 3 2 4 2 3" xfId="42211" xr:uid="{00000000-0005-0000-0000-000029390000}"/>
    <cellStyle name="Millares 5 3 3 2 4 3" xfId="21859" xr:uid="{00000000-0005-0000-0000-00002A390000}"/>
    <cellStyle name="Millares 5 3 3 2 4 3 2" xfId="48992" xr:uid="{00000000-0005-0000-0000-00002B390000}"/>
    <cellStyle name="Millares 5 3 3 2 4 4" xfId="35430" xr:uid="{00000000-0005-0000-0000-00002C390000}"/>
    <cellStyle name="Millares 5 3 3 2 5" xfId="11683" xr:uid="{00000000-0005-0000-0000-00002D390000}"/>
    <cellStyle name="Millares 5 3 3 2 5 2" xfId="25251" xr:uid="{00000000-0005-0000-0000-00002E390000}"/>
    <cellStyle name="Millares 5 3 3 2 5 2 2" xfId="52384" xr:uid="{00000000-0005-0000-0000-00002F390000}"/>
    <cellStyle name="Millares 5 3 3 2 5 3" xfId="38822" xr:uid="{00000000-0005-0000-0000-000030390000}"/>
    <cellStyle name="Millares 5 3 3 2 6" xfId="18470" xr:uid="{00000000-0005-0000-0000-000031390000}"/>
    <cellStyle name="Millares 5 3 3 2 6 2" xfId="45603" xr:uid="{00000000-0005-0000-0000-000032390000}"/>
    <cellStyle name="Millares 5 3 3 2 7" xfId="32041" xr:uid="{00000000-0005-0000-0000-000033390000}"/>
    <cellStyle name="Millares 5 3 3 3" xfId="4691" xr:uid="{00000000-0005-0000-0000-000034390000}"/>
    <cellStyle name="Millares 5 3 3 3 2" xfId="4692" xr:uid="{00000000-0005-0000-0000-000035390000}"/>
    <cellStyle name="Millares 5 3 3 3 2 2" xfId="8287" xr:uid="{00000000-0005-0000-0000-000036390000}"/>
    <cellStyle name="Millares 5 3 3 3 2 2 2" xfId="15076" xr:uid="{00000000-0005-0000-0000-000037390000}"/>
    <cellStyle name="Millares 5 3 3 3 2 2 2 2" xfId="28644" xr:uid="{00000000-0005-0000-0000-000038390000}"/>
    <cellStyle name="Millares 5 3 3 3 2 2 2 2 2" xfId="55777" xr:uid="{00000000-0005-0000-0000-000039390000}"/>
    <cellStyle name="Millares 5 3 3 3 2 2 2 3" xfId="42215" xr:uid="{00000000-0005-0000-0000-00003A390000}"/>
    <cellStyle name="Millares 5 3 3 3 2 2 3" xfId="21863" xr:uid="{00000000-0005-0000-0000-00003B390000}"/>
    <cellStyle name="Millares 5 3 3 3 2 2 3 2" xfId="48996" xr:uid="{00000000-0005-0000-0000-00003C390000}"/>
    <cellStyle name="Millares 5 3 3 3 2 2 4" xfId="35434" xr:uid="{00000000-0005-0000-0000-00003D390000}"/>
    <cellStyle name="Millares 5 3 3 3 2 3" xfId="11687" xr:uid="{00000000-0005-0000-0000-00003E390000}"/>
    <cellStyle name="Millares 5 3 3 3 2 3 2" xfId="25255" xr:uid="{00000000-0005-0000-0000-00003F390000}"/>
    <cellStyle name="Millares 5 3 3 3 2 3 2 2" xfId="52388" xr:uid="{00000000-0005-0000-0000-000040390000}"/>
    <cellStyle name="Millares 5 3 3 3 2 3 3" xfId="38826" xr:uid="{00000000-0005-0000-0000-000041390000}"/>
    <cellStyle name="Millares 5 3 3 3 2 4" xfId="18474" xr:uid="{00000000-0005-0000-0000-000042390000}"/>
    <cellStyle name="Millares 5 3 3 3 2 4 2" xfId="45607" xr:uid="{00000000-0005-0000-0000-000043390000}"/>
    <cellStyle name="Millares 5 3 3 3 2 5" xfId="32045" xr:uid="{00000000-0005-0000-0000-000044390000}"/>
    <cellStyle name="Millares 5 3 3 3 3" xfId="8286" xr:uid="{00000000-0005-0000-0000-000045390000}"/>
    <cellStyle name="Millares 5 3 3 3 3 2" xfId="15075" xr:uid="{00000000-0005-0000-0000-000046390000}"/>
    <cellStyle name="Millares 5 3 3 3 3 2 2" xfId="28643" xr:uid="{00000000-0005-0000-0000-000047390000}"/>
    <cellStyle name="Millares 5 3 3 3 3 2 2 2" xfId="55776" xr:uid="{00000000-0005-0000-0000-000048390000}"/>
    <cellStyle name="Millares 5 3 3 3 3 2 3" xfId="42214" xr:uid="{00000000-0005-0000-0000-000049390000}"/>
    <cellStyle name="Millares 5 3 3 3 3 3" xfId="21862" xr:uid="{00000000-0005-0000-0000-00004A390000}"/>
    <cellStyle name="Millares 5 3 3 3 3 3 2" xfId="48995" xr:uid="{00000000-0005-0000-0000-00004B390000}"/>
    <cellStyle name="Millares 5 3 3 3 3 4" xfId="35433" xr:uid="{00000000-0005-0000-0000-00004C390000}"/>
    <cellStyle name="Millares 5 3 3 3 4" xfId="11686" xr:uid="{00000000-0005-0000-0000-00004D390000}"/>
    <cellStyle name="Millares 5 3 3 3 4 2" xfId="25254" xr:uid="{00000000-0005-0000-0000-00004E390000}"/>
    <cellStyle name="Millares 5 3 3 3 4 2 2" xfId="52387" xr:uid="{00000000-0005-0000-0000-00004F390000}"/>
    <cellStyle name="Millares 5 3 3 3 4 3" xfId="38825" xr:uid="{00000000-0005-0000-0000-000050390000}"/>
    <cellStyle name="Millares 5 3 3 3 5" xfId="18473" xr:uid="{00000000-0005-0000-0000-000051390000}"/>
    <cellStyle name="Millares 5 3 3 3 5 2" xfId="45606" xr:uid="{00000000-0005-0000-0000-000052390000}"/>
    <cellStyle name="Millares 5 3 3 3 6" xfId="32044" xr:uid="{00000000-0005-0000-0000-000053390000}"/>
    <cellStyle name="Millares 5 3 3 4" xfId="4693" xr:uid="{00000000-0005-0000-0000-000054390000}"/>
    <cellStyle name="Millares 5 3 3 4 2" xfId="8288" xr:uid="{00000000-0005-0000-0000-000055390000}"/>
    <cellStyle name="Millares 5 3 3 4 2 2" xfId="15077" xr:uid="{00000000-0005-0000-0000-000056390000}"/>
    <cellStyle name="Millares 5 3 3 4 2 2 2" xfId="28645" xr:uid="{00000000-0005-0000-0000-000057390000}"/>
    <cellStyle name="Millares 5 3 3 4 2 2 2 2" xfId="55778" xr:uid="{00000000-0005-0000-0000-000058390000}"/>
    <cellStyle name="Millares 5 3 3 4 2 2 3" xfId="42216" xr:uid="{00000000-0005-0000-0000-000059390000}"/>
    <cellStyle name="Millares 5 3 3 4 2 3" xfId="21864" xr:uid="{00000000-0005-0000-0000-00005A390000}"/>
    <cellStyle name="Millares 5 3 3 4 2 3 2" xfId="48997" xr:uid="{00000000-0005-0000-0000-00005B390000}"/>
    <cellStyle name="Millares 5 3 3 4 2 4" xfId="35435" xr:uid="{00000000-0005-0000-0000-00005C390000}"/>
    <cellStyle name="Millares 5 3 3 4 3" xfId="11688" xr:uid="{00000000-0005-0000-0000-00005D390000}"/>
    <cellStyle name="Millares 5 3 3 4 3 2" xfId="25256" xr:uid="{00000000-0005-0000-0000-00005E390000}"/>
    <cellStyle name="Millares 5 3 3 4 3 2 2" xfId="52389" xr:uid="{00000000-0005-0000-0000-00005F390000}"/>
    <cellStyle name="Millares 5 3 3 4 3 3" xfId="38827" xr:uid="{00000000-0005-0000-0000-000060390000}"/>
    <cellStyle name="Millares 5 3 3 4 4" xfId="18475" xr:uid="{00000000-0005-0000-0000-000061390000}"/>
    <cellStyle name="Millares 5 3 3 4 4 2" xfId="45608" xr:uid="{00000000-0005-0000-0000-000062390000}"/>
    <cellStyle name="Millares 5 3 3 4 5" xfId="32046" xr:uid="{00000000-0005-0000-0000-000063390000}"/>
    <cellStyle name="Millares 5 3 3 5" xfId="4694" xr:uid="{00000000-0005-0000-0000-000064390000}"/>
    <cellStyle name="Millares 5 3 3 5 2" xfId="8289" xr:uid="{00000000-0005-0000-0000-000065390000}"/>
    <cellStyle name="Millares 5 3 3 5 2 2" xfId="15078" xr:uid="{00000000-0005-0000-0000-000066390000}"/>
    <cellStyle name="Millares 5 3 3 5 2 2 2" xfId="28646" xr:uid="{00000000-0005-0000-0000-000067390000}"/>
    <cellStyle name="Millares 5 3 3 5 2 2 2 2" xfId="55779" xr:uid="{00000000-0005-0000-0000-000068390000}"/>
    <cellStyle name="Millares 5 3 3 5 2 2 3" xfId="42217" xr:uid="{00000000-0005-0000-0000-000069390000}"/>
    <cellStyle name="Millares 5 3 3 5 2 3" xfId="21865" xr:uid="{00000000-0005-0000-0000-00006A390000}"/>
    <cellStyle name="Millares 5 3 3 5 2 3 2" xfId="48998" xr:uid="{00000000-0005-0000-0000-00006B390000}"/>
    <cellStyle name="Millares 5 3 3 5 2 4" xfId="35436" xr:uid="{00000000-0005-0000-0000-00006C390000}"/>
    <cellStyle name="Millares 5 3 3 5 3" xfId="11689" xr:uid="{00000000-0005-0000-0000-00006D390000}"/>
    <cellStyle name="Millares 5 3 3 5 3 2" xfId="25257" xr:uid="{00000000-0005-0000-0000-00006E390000}"/>
    <cellStyle name="Millares 5 3 3 5 3 2 2" xfId="52390" xr:uid="{00000000-0005-0000-0000-00006F390000}"/>
    <cellStyle name="Millares 5 3 3 5 3 3" xfId="38828" xr:uid="{00000000-0005-0000-0000-000070390000}"/>
    <cellStyle name="Millares 5 3 3 5 4" xfId="18476" xr:uid="{00000000-0005-0000-0000-000071390000}"/>
    <cellStyle name="Millares 5 3 3 5 4 2" xfId="45609" xr:uid="{00000000-0005-0000-0000-000072390000}"/>
    <cellStyle name="Millares 5 3 3 5 5" xfId="32047" xr:uid="{00000000-0005-0000-0000-000073390000}"/>
    <cellStyle name="Millares 5 3 3 6" xfId="8282" xr:uid="{00000000-0005-0000-0000-000074390000}"/>
    <cellStyle name="Millares 5 3 3 6 2" xfId="15071" xr:uid="{00000000-0005-0000-0000-000075390000}"/>
    <cellStyle name="Millares 5 3 3 6 2 2" xfId="28639" xr:uid="{00000000-0005-0000-0000-000076390000}"/>
    <cellStyle name="Millares 5 3 3 6 2 2 2" xfId="55772" xr:uid="{00000000-0005-0000-0000-000077390000}"/>
    <cellStyle name="Millares 5 3 3 6 2 3" xfId="42210" xr:uid="{00000000-0005-0000-0000-000078390000}"/>
    <cellStyle name="Millares 5 3 3 6 3" xfId="21858" xr:uid="{00000000-0005-0000-0000-000079390000}"/>
    <cellStyle name="Millares 5 3 3 6 3 2" xfId="48991" xr:uid="{00000000-0005-0000-0000-00007A390000}"/>
    <cellStyle name="Millares 5 3 3 6 4" xfId="35429" xr:uid="{00000000-0005-0000-0000-00007B390000}"/>
    <cellStyle name="Millares 5 3 3 7" xfId="11682" xr:uid="{00000000-0005-0000-0000-00007C390000}"/>
    <cellStyle name="Millares 5 3 3 7 2" xfId="25250" xr:uid="{00000000-0005-0000-0000-00007D390000}"/>
    <cellStyle name="Millares 5 3 3 7 2 2" xfId="52383" xr:uid="{00000000-0005-0000-0000-00007E390000}"/>
    <cellStyle name="Millares 5 3 3 7 3" xfId="38821" xr:uid="{00000000-0005-0000-0000-00007F390000}"/>
    <cellStyle name="Millares 5 3 3 8" xfId="18469" xr:uid="{00000000-0005-0000-0000-000080390000}"/>
    <cellStyle name="Millares 5 3 3 8 2" xfId="45602" xr:uid="{00000000-0005-0000-0000-000081390000}"/>
    <cellStyle name="Millares 5 3 3 9" xfId="32040" xr:uid="{00000000-0005-0000-0000-000082390000}"/>
    <cellStyle name="Millares 5 3 4" xfId="4695" xr:uid="{00000000-0005-0000-0000-000083390000}"/>
    <cellStyle name="Millares 5 3 4 2" xfId="4696" xr:uid="{00000000-0005-0000-0000-000084390000}"/>
    <cellStyle name="Millares 5 3 4 2 2" xfId="4697" xr:uid="{00000000-0005-0000-0000-000085390000}"/>
    <cellStyle name="Millares 5 3 4 2 2 2" xfId="8292" xr:uid="{00000000-0005-0000-0000-000086390000}"/>
    <cellStyle name="Millares 5 3 4 2 2 2 2" xfId="15081" xr:uid="{00000000-0005-0000-0000-000087390000}"/>
    <cellStyle name="Millares 5 3 4 2 2 2 2 2" xfId="28649" xr:uid="{00000000-0005-0000-0000-000088390000}"/>
    <cellStyle name="Millares 5 3 4 2 2 2 2 2 2" xfId="55782" xr:uid="{00000000-0005-0000-0000-000089390000}"/>
    <cellStyle name="Millares 5 3 4 2 2 2 2 3" xfId="42220" xr:uid="{00000000-0005-0000-0000-00008A390000}"/>
    <cellStyle name="Millares 5 3 4 2 2 2 3" xfId="21868" xr:uid="{00000000-0005-0000-0000-00008B390000}"/>
    <cellStyle name="Millares 5 3 4 2 2 2 3 2" xfId="49001" xr:uid="{00000000-0005-0000-0000-00008C390000}"/>
    <cellStyle name="Millares 5 3 4 2 2 2 4" xfId="35439" xr:uid="{00000000-0005-0000-0000-00008D390000}"/>
    <cellStyle name="Millares 5 3 4 2 2 3" xfId="11692" xr:uid="{00000000-0005-0000-0000-00008E390000}"/>
    <cellStyle name="Millares 5 3 4 2 2 3 2" xfId="25260" xr:uid="{00000000-0005-0000-0000-00008F390000}"/>
    <cellStyle name="Millares 5 3 4 2 2 3 2 2" xfId="52393" xr:uid="{00000000-0005-0000-0000-000090390000}"/>
    <cellStyle name="Millares 5 3 4 2 2 3 3" xfId="38831" xr:uid="{00000000-0005-0000-0000-000091390000}"/>
    <cellStyle name="Millares 5 3 4 2 2 4" xfId="18479" xr:uid="{00000000-0005-0000-0000-000092390000}"/>
    <cellStyle name="Millares 5 3 4 2 2 4 2" xfId="45612" xr:uid="{00000000-0005-0000-0000-000093390000}"/>
    <cellStyle name="Millares 5 3 4 2 2 5" xfId="32050" xr:uid="{00000000-0005-0000-0000-000094390000}"/>
    <cellStyle name="Millares 5 3 4 2 3" xfId="4698" xr:uid="{00000000-0005-0000-0000-000095390000}"/>
    <cellStyle name="Millares 5 3 4 2 3 2" xfId="8293" xr:uid="{00000000-0005-0000-0000-000096390000}"/>
    <cellStyle name="Millares 5 3 4 2 3 2 2" xfId="15082" xr:uid="{00000000-0005-0000-0000-000097390000}"/>
    <cellStyle name="Millares 5 3 4 2 3 2 2 2" xfId="28650" xr:uid="{00000000-0005-0000-0000-000098390000}"/>
    <cellStyle name="Millares 5 3 4 2 3 2 2 2 2" xfId="55783" xr:uid="{00000000-0005-0000-0000-000099390000}"/>
    <cellStyle name="Millares 5 3 4 2 3 2 2 3" xfId="42221" xr:uid="{00000000-0005-0000-0000-00009A390000}"/>
    <cellStyle name="Millares 5 3 4 2 3 2 3" xfId="21869" xr:uid="{00000000-0005-0000-0000-00009B390000}"/>
    <cellStyle name="Millares 5 3 4 2 3 2 3 2" xfId="49002" xr:uid="{00000000-0005-0000-0000-00009C390000}"/>
    <cellStyle name="Millares 5 3 4 2 3 2 4" xfId="35440" xr:uid="{00000000-0005-0000-0000-00009D390000}"/>
    <cellStyle name="Millares 5 3 4 2 3 3" xfId="11693" xr:uid="{00000000-0005-0000-0000-00009E390000}"/>
    <cellStyle name="Millares 5 3 4 2 3 3 2" xfId="25261" xr:uid="{00000000-0005-0000-0000-00009F390000}"/>
    <cellStyle name="Millares 5 3 4 2 3 3 2 2" xfId="52394" xr:uid="{00000000-0005-0000-0000-0000A0390000}"/>
    <cellStyle name="Millares 5 3 4 2 3 3 3" xfId="38832" xr:uid="{00000000-0005-0000-0000-0000A1390000}"/>
    <cellStyle name="Millares 5 3 4 2 3 4" xfId="18480" xr:uid="{00000000-0005-0000-0000-0000A2390000}"/>
    <cellStyle name="Millares 5 3 4 2 3 4 2" xfId="45613" xr:uid="{00000000-0005-0000-0000-0000A3390000}"/>
    <cellStyle name="Millares 5 3 4 2 3 5" xfId="32051" xr:uid="{00000000-0005-0000-0000-0000A4390000}"/>
    <cellStyle name="Millares 5 3 4 2 4" xfId="8291" xr:uid="{00000000-0005-0000-0000-0000A5390000}"/>
    <cellStyle name="Millares 5 3 4 2 4 2" xfId="15080" xr:uid="{00000000-0005-0000-0000-0000A6390000}"/>
    <cellStyle name="Millares 5 3 4 2 4 2 2" xfId="28648" xr:uid="{00000000-0005-0000-0000-0000A7390000}"/>
    <cellStyle name="Millares 5 3 4 2 4 2 2 2" xfId="55781" xr:uid="{00000000-0005-0000-0000-0000A8390000}"/>
    <cellStyle name="Millares 5 3 4 2 4 2 3" xfId="42219" xr:uid="{00000000-0005-0000-0000-0000A9390000}"/>
    <cellStyle name="Millares 5 3 4 2 4 3" xfId="21867" xr:uid="{00000000-0005-0000-0000-0000AA390000}"/>
    <cellStyle name="Millares 5 3 4 2 4 3 2" xfId="49000" xr:uid="{00000000-0005-0000-0000-0000AB390000}"/>
    <cellStyle name="Millares 5 3 4 2 4 4" xfId="35438" xr:uid="{00000000-0005-0000-0000-0000AC390000}"/>
    <cellStyle name="Millares 5 3 4 2 5" xfId="11691" xr:uid="{00000000-0005-0000-0000-0000AD390000}"/>
    <cellStyle name="Millares 5 3 4 2 5 2" xfId="25259" xr:uid="{00000000-0005-0000-0000-0000AE390000}"/>
    <cellStyle name="Millares 5 3 4 2 5 2 2" xfId="52392" xr:uid="{00000000-0005-0000-0000-0000AF390000}"/>
    <cellStyle name="Millares 5 3 4 2 5 3" xfId="38830" xr:uid="{00000000-0005-0000-0000-0000B0390000}"/>
    <cellStyle name="Millares 5 3 4 2 6" xfId="18478" xr:uid="{00000000-0005-0000-0000-0000B1390000}"/>
    <cellStyle name="Millares 5 3 4 2 6 2" xfId="45611" xr:uid="{00000000-0005-0000-0000-0000B2390000}"/>
    <cellStyle name="Millares 5 3 4 2 7" xfId="32049" xr:uid="{00000000-0005-0000-0000-0000B3390000}"/>
    <cellStyle name="Millares 5 3 4 3" xfId="4699" xr:uid="{00000000-0005-0000-0000-0000B4390000}"/>
    <cellStyle name="Millares 5 3 4 3 2" xfId="8294" xr:uid="{00000000-0005-0000-0000-0000B5390000}"/>
    <cellStyle name="Millares 5 3 4 3 2 2" xfId="15083" xr:uid="{00000000-0005-0000-0000-0000B6390000}"/>
    <cellStyle name="Millares 5 3 4 3 2 2 2" xfId="28651" xr:uid="{00000000-0005-0000-0000-0000B7390000}"/>
    <cellStyle name="Millares 5 3 4 3 2 2 2 2" xfId="55784" xr:uid="{00000000-0005-0000-0000-0000B8390000}"/>
    <cellStyle name="Millares 5 3 4 3 2 2 3" xfId="42222" xr:uid="{00000000-0005-0000-0000-0000B9390000}"/>
    <cellStyle name="Millares 5 3 4 3 2 3" xfId="21870" xr:uid="{00000000-0005-0000-0000-0000BA390000}"/>
    <cellStyle name="Millares 5 3 4 3 2 3 2" xfId="49003" xr:uid="{00000000-0005-0000-0000-0000BB390000}"/>
    <cellStyle name="Millares 5 3 4 3 2 4" xfId="35441" xr:uid="{00000000-0005-0000-0000-0000BC390000}"/>
    <cellStyle name="Millares 5 3 4 3 3" xfId="11694" xr:uid="{00000000-0005-0000-0000-0000BD390000}"/>
    <cellStyle name="Millares 5 3 4 3 3 2" xfId="25262" xr:uid="{00000000-0005-0000-0000-0000BE390000}"/>
    <cellStyle name="Millares 5 3 4 3 3 2 2" xfId="52395" xr:uid="{00000000-0005-0000-0000-0000BF390000}"/>
    <cellStyle name="Millares 5 3 4 3 3 3" xfId="38833" xr:uid="{00000000-0005-0000-0000-0000C0390000}"/>
    <cellStyle name="Millares 5 3 4 3 4" xfId="18481" xr:uid="{00000000-0005-0000-0000-0000C1390000}"/>
    <cellStyle name="Millares 5 3 4 3 4 2" xfId="45614" xr:uid="{00000000-0005-0000-0000-0000C2390000}"/>
    <cellStyle name="Millares 5 3 4 3 5" xfId="32052" xr:uid="{00000000-0005-0000-0000-0000C3390000}"/>
    <cellStyle name="Millares 5 3 4 4" xfId="4700" xr:uid="{00000000-0005-0000-0000-0000C4390000}"/>
    <cellStyle name="Millares 5 3 4 4 2" xfId="8295" xr:uid="{00000000-0005-0000-0000-0000C5390000}"/>
    <cellStyle name="Millares 5 3 4 4 2 2" xfId="15084" xr:uid="{00000000-0005-0000-0000-0000C6390000}"/>
    <cellStyle name="Millares 5 3 4 4 2 2 2" xfId="28652" xr:uid="{00000000-0005-0000-0000-0000C7390000}"/>
    <cellStyle name="Millares 5 3 4 4 2 2 2 2" xfId="55785" xr:uid="{00000000-0005-0000-0000-0000C8390000}"/>
    <cellStyle name="Millares 5 3 4 4 2 2 3" xfId="42223" xr:uid="{00000000-0005-0000-0000-0000C9390000}"/>
    <cellStyle name="Millares 5 3 4 4 2 3" xfId="21871" xr:uid="{00000000-0005-0000-0000-0000CA390000}"/>
    <cellStyle name="Millares 5 3 4 4 2 3 2" xfId="49004" xr:uid="{00000000-0005-0000-0000-0000CB390000}"/>
    <cellStyle name="Millares 5 3 4 4 2 4" xfId="35442" xr:uid="{00000000-0005-0000-0000-0000CC390000}"/>
    <cellStyle name="Millares 5 3 4 4 3" xfId="11695" xr:uid="{00000000-0005-0000-0000-0000CD390000}"/>
    <cellStyle name="Millares 5 3 4 4 3 2" xfId="25263" xr:uid="{00000000-0005-0000-0000-0000CE390000}"/>
    <cellStyle name="Millares 5 3 4 4 3 2 2" xfId="52396" xr:uid="{00000000-0005-0000-0000-0000CF390000}"/>
    <cellStyle name="Millares 5 3 4 4 3 3" xfId="38834" xr:uid="{00000000-0005-0000-0000-0000D0390000}"/>
    <cellStyle name="Millares 5 3 4 4 4" xfId="18482" xr:uid="{00000000-0005-0000-0000-0000D1390000}"/>
    <cellStyle name="Millares 5 3 4 4 4 2" xfId="45615" xr:uid="{00000000-0005-0000-0000-0000D2390000}"/>
    <cellStyle name="Millares 5 3 4 4 5" xfId="32053" xr:uid="{00000000-0005-0000-0000-0000D3390000}"/>
    <cellStyle name="Millares 5 3 4 5" xfId="8290" xr:uid="{00000000-0005-0000-0000-0000D4390000}"/>
    <cellStyle name="Millares 5 3 4 5 2" xfId="15079" xr:uid="{00000000-0005-0000-0000-0000D5390000}"/>
    <cellStyle name="Millares 5 3 4 5 2 2" xfId="28647" xr:uid="{00000000-0005-0000-0000-0000D6390000}"/>
    <cellStyle name="Millares 5 3 4 5 2 2 2" xfId="55780" xr:uid="{00000000-0005-0000-0000-0000D7390000}"/>
    <cellStyle name="Millares 5 3 4 5 2 3" xfId="42218" xr:uid="{00000000-0005-0000-0000-0000D8390000}"/>
    <cellStyle name="Millares 5 3 4 5 3" xfId="21866" xr:uid="{00000000-0005-0000-0000-0000D9390000}"/>
    <cellStyle name="Millares 5 3 4 5 3 2" xfId="48999" xr:uid="{00000000-0005-0000-0000-0000DA390000}"/>
    <cellStyle name="Millares 5 3 4 5 4" xfId="35437" xr:uid="{00000000-0005-0000-0000-0000DB390000}"/>
    <cellStyle name="Millares 5 3 4 6" xfId="11690" xr:uid="{00000000-0005-0000-0000-0000DC390000}"/>
    <cellStyle name="Millares 5 3 4 6 2" xfId="25258" xr:uid="{00000000-0005-0000-0000-0000DD390000}"/>
    <cellStyle name="Millares 5 3 4 6 2 2" xfId="52391" xr:uid="{00000000-0005-0000-0000-0000DE390000}"/>
    <cellStyle name="Millares 5 3 4 6 3" xfId="38829" xr:uid="{00000000-0005-0000-0000-0000DF390000}"/>
    <cellStyle name="Millares 5 3 4 7" xfId="18477" xr:uid="{00000000-0005-0000-0000-0000E0390000}"/>
    <cellStyle name="Millares 5 3 4 7 2" xfId="45610" xr:uid="{00000000-0005-0000-0000-0000E1390000}"/>
    <cellStyle name="Millares 5 3 4 8" xfId="32048" xr:uid="{00000000-0005-0000-0000-0000E2390000}"/>
    <cellStyle name="Millares 5 3 5" xfId="4701" xr:uid="{00000000-0005-0000-0000-0000E3390000}"/>
    <cellStyle name="Millares 5 3 5 2" xfId="4702" xr:uid="{00000000-0005-0000-0000-0000E4390000}"/>
    <cellStyle name="Millares 5 3 5 2 2" xfId="4703" xr:uid="{00000000-0005-0000-0000-0000E5390000}"/>
    <cellStyle name="Millares 5 3 5 2 2 2" xfId="8298" xr:uid="{00000000-0005-0000-0000-0000E6390000}"/>
    <cellStyle name="Millares 5 3 5 2 2 2 2" xfId="15087" xr:uid="{00000000-0005-0000-0000-0000E7390000}"/>
    <cellStyle name="Millares 5 3 5 2 2 2 2 2" xfId="28655" xr:uid="{00000000-0005-0000-0000-0000E8390000}"/>
    <cellStyle name="Millares 5 3 5 2 2 2 2 2 2" xfId="55788" xr:uid="{00000000-0005-0000-0000-0000E9390000}"/>
    <cellStyle name="Millares 5 3 5 2 2 2 2 3" xfId="42226" xr:uid="{00000000-0005-0000-0000-0000EA390000}"/>
    <cellStyle name="Millares 5 3 5 2 2 2 3" xfId="21874" xr:uid="{00000000-0005-0000-0000-0000EB390000}"/>
    <cellStyle name="Millares 5 3 5 2 2 2 3 2" xfId="49007" xr:uid="{00000000-0005-0000-0000-0000EC390000}"/>
    <cellStyle name="Millares 5 3 5 2 2 2 4" xfId="35445" xr:uid="{00000000-0005-0000-0000-0000ED390000}"/>
    <cellStyle name="Millares 5 3 5 2 2 3" xfId="11698" xr:uid="{00000000-0005-0000-0000-0000EE390000}"/>
    <cellStyle name="Millares 5 3 5 2 2 3 2" xfId="25266" xr:uid="{00000000-0005-0000-0000-0000EF390000}"/>
    <cellStyle name="Millares 5 3 5 2 2 3 2 2" xfId="52399" xr:uid="{00000000-0005-0000-0000-0000F0390000}"/>
    <cellStyle name="Millares 5 3 5 2 2 3 3" xfId="38837" xr:uid="{00000000-0005-0000-0000-0000F1390000}"/>
    <cellStyle name="Millares 5 3 5 2 2 4" xfId="18485" xr:uid="{00000000-0005-0000-0000-0000F2390000}"/>
    <cellStyle name="Millares 5 3 5 2 2 4 2" xfId="45618" xr:uid="{00000000-0005-0000-0000-0000F3390000}"/>
    <cellStyle name="Millares 5 3 5 2 2 5" xfId="32056" xr:uid="{00000000-0005-0000-0000-0000F4390000}"/>
    <cellStyle name="Millares 5 3 5 2 3" xfId="4704" xr:uid="{00000000-0005-0000-0000-0000F5390000}"/>
    <cellStyle name="Millares 5 3 5 2 3 2" xfId="8299" xr:uid="{00000000-0005-0000-0000-0000F6390000}"/>
    <cellStyle name="Millares 5 3 5 2 3 2 2" xfId="15088" xr:uid="{00000000-0005-0000-0000-0000F7390000}"/>
    <cellStyle name="Millares 5 3 5 2 3 2 2 2" xfId="28656" xr:uid="{00000000-0005-0000-0000-0000F8390000}"/>
    <cellStyle name="Millares 5 3 5 2 3 2 2 2 2" xfId="55789" xr:uid="{00000000-0005-0000-0000-0000F9390000}"/>
    <cellStyle name="Millares 5 3 5 2 3 2 2 3" xfId="42227" xr:uid="{00000000-0005-0000-0000-0000FA390000}"/>
    <cellStyle name="Millares 5 3 5 2 3 2 3" xfId="21875" xr:uid="{00000000-0005-0000-0000-0000FB390000}"/>
    <cellStyle name="Millares 5 3 5 2 3 2 3 2" xfId="49008" xr:uid="{00000000-0005-0000-0000-0000FC390000}"/>
    <cellStyle name="Millares 5 3 5 2 3 2 4" xfId="35446" xr:uid="{00000000-0005-0000-0000-0000FD390000}"/>
    <cellStyle name="Millares 5 3 5 2 3 3" xfId="11699" xr:uid="{00000000-0005-0000-0000-0000FE390000}"/>
    <cellStyle name="Millares 5 3 5 2 3 3 2" xfId="25267" xr:uid="{00000000-0005-0000-0000-0000FF390000}"/>
    <cellStyle name="Millares 5 3 5 2 3 3 2 2" xfId="52400" xr:uid="{00000000-0005-0000-0000-0000003A0000}"/>
    <cellStyle name="Millares 5 3 5 2 3 3 3" xfId="38838" xr:uid="{00000000-0005-0000-0000-0000013A0000}"/>
    <cellStyle name="Millares 5 3 5 2 3 4" xfId="18486" xr:uid="{00000000-0005-0000-0000-0000023A0000}"/>
    <cellStyle name="Millares 5 3 5 2 3 4 2" xfId="45619" xr:uid="{00000000-0005-0000-0000-0000033A0000}"/>
    <cellStyle name="Millares 5 3 5 2 3 5" xfId="32057" xr:uid="{00000000-0005-0000-0000-0000043A0000}"/>
    <cellStyle name="Millares 5 3 5 2 4" xfId="8297" xr:uid="{00000000-0005-0000-0000-0000053A0000}"/>
    <cellStyle name="Millares 5 3 5 2 4 2" xfId="15086" xr:uid="{00000000-0005-0000-0000-0000063A0000}"/>
    <cellStyle name="Millares 5 3 5 2 4 2 2" xfId="28654" xr:uid="{00000000-0005-0000-0000-0000073A0000}"/>
    <cellStyle name="Millares 5 3 5 2 4 2 2 2" xfId="55787" xr:uid="{00000000-0005-0000-0000-0000083A0000}"/>
    <cellStyle name="Millares 5 3 5 2 4 2 3" xfId="42225" xr:uid="{00000000-0005-0000-0000-0000093A0000}"/>
    <cellStyle name="Millares 5 3 5 2 4 3" xfId="21873" xr:uid="{00000000-0005-0000-0000-00000A3A0000}"/>
    <cellStyle name="Millares 5 3 5 2 4 3 2" xfId="49006" xr:uid="{00000000-0005-0000-0000-00000B3A0000}"/>
    <cellStyle name="Millares 5 3 5 2 4 4" xfId="35444" xr:uid="{00000000-0005-0000-0000-00000C3A0000}"/>
    <cellStyle name="Millares 5 3 5 2 5" xfId="11697" xr:uid="{00000000-0005-0000-0000-00000D3A0000}"/>
    <cellStyle name="Millares 5 3 5 2 5 2" xfId="25265" xr:uid="{00000000-0005-0000-0000-00000E3A0000}"/>
    <cellStyle name="Millares 5 3 5 2 5 2 2" xfId="52398" xr:uid="{00000000-0005-0000-0000-00000F3A0000}"/>
    <cellStyle name="Millares 5 3 5 2 5 3" xfId="38836" xr:uid="{00000000-0005-0000-0000-0000103A0000}"/>
    <cellStyle name="Millares 5 3 5 2 6" xfId="18484" xr:uid="{00000000-0005-0000-0000-0000113A0000}"/>
    <cellStyle name="Millares 5 3 5 2 6 2" xfId="45617" xr:uid="{00000000-0005-0000-0000-0000123A0000}"/>
    <cellStyle name="Millares 5 3 5 2 7" xfId="32055" xr:uid="{00000000-0005-0000-0000-0000133A0000}"/>
    <cellStyle name="Millares 5 3 5 3" xfId="4705" xr:uid="{00000000-0005-0000-0000-0000143A0000}"/>
    <cellStyle name="Millares 5 3 5 3 2" xfId="8300" xr:uid="{00000000-0005-0000-0000-0000153A0000}"/>
    <cellStyle name="Millares 5 3 5 3 2 2" xfId="15089" xr:uid="{00000000-0005-0000-0000-0000163A0000}"/>
    <cellStyle name="Millares 5 3 5 3 2 2 2" xfId="28657" xr:uid="{00000000-0005-0000-0000-0000173A0000}"/>
    <cellStyle name="Millares 5 3 5 3 2 2 2 2" xfId="55790" xr:uid="{00000000-0005-0000-0000-0000183A0000}"/>
    <cellStyle name="Millares 5 3 5 3 2 2 3" xfId="42228" xr:uid="{00000000-0005-0000-0000-0000193A0000}"/>
    <cellStyle name="Millares 5 3 5 3 2 3" xfId="21876" xr:uid="{00000000-0005-0000-0000-00001A3A0000}"/>
    <cellStyle name="Millares 5 3 5 3 2 3 2" xfId="49009" xr:uid="{00000000-0005-0000-0000-00001B3A0000}"/>
    <cellStyle name="Millares 5 3 5 3 2 4" xfId="35447" xr:uid="{00000000-0005-0000-0000-00001C3A0000}"/>
    <cellStyle name="Millares 5 3 5 3 3" xfId="11700" xr:uid="{00000000-0005-0000-0000-00001D3A0000}"/>
    <cellStyle name="Millares 5 3 5 3 3 2" xfId="25268" xr:uid="{00000000-0005-0000-0000-00001E3A0000}"/>
    <cellStyle name="Millares 5 3 5 3 3 2 2" xfId="52401" xr:uid="{00000000-0005-0000-0000-00001F3A0000}"/>
    <cellStyle name="Millares 5 3 5 3 3 3" xfId="38839" xr:uid="{00000000-0005-0000-0000-0000203A0000}"/>
    <cellStyle name="Millares 5 3 5 3 4" xfId="18487" xr:uid="{00000000-0005-0000-0000-0000213A0000}"/>
    <cellStyle name="Millares 5 3 5 3 4 2" xfId="45620" xr:uid="{00000000-0005-0000-0000-0000223A0000}"/>
    <cellStyle name="Millares 5 3 5 3 5" xfId="32058" xr:uid="{00000000-0005-0000-0000-0000233A0000}"/>
    <cellStyle name="Millares 5 3 5 4" xfId="4706" xr:uid="{00000000-0005-0000-0000-0000243A0000}"/>
    <cellStyle name="Millares 5 3 5 4 2" xfId="8301" xr:uid="{00000000-0005-0000-0000-0000253A0000}"/>
    <cellStyle name="Millares 5 3 5 4 2 2" xfId="15090" xr:uid="{00000000-0005-0000-0000-0000263A0000}"/>
    <cellStyle name="Millares 5 3 5 4 2 2 2" xfId="28658" xr:uid="{00000000-0005-0000-0000-0000273A0000}"/>
    <cellStyle name="Millares 5 3 5 4 2 2 2 2" xfId="55791" xr:uid="{00000000-0005-0000-0000-0000283A0000}"/>
    <cellStyle name="Millares 5 3 5 4 2 2 3" xfId="42229" xr:uid="{00000000-0005-0000-0000-0000293A0000}"/>
    <cellStyle name="Millares 5 3 5 4 2 3" xfId="21877" xr:uid="{00000000-0005-0000-0000-00002A3A0000}"/>
    <cellStyle name="Millares 5 3 5 4 2 3 2" xfId="49010" xr:uid="{00000000-0005-0000-0000-00002B3A0000}"/>
    <cellStyle name="Millares 5 3 5 4 2 4" xfId="35448" xr:uid="{00000000-0005-0000-0000-00002C3A0000}"/>
    <cellStyle name="Millares 5 3 5 4 3" xfId="11701" xr:uid="{00000000-0005-0000-0000-00002D3A0000}"/>
    <cellStyle name="Millares 5 3 5 4 3 2" xfId="25269" xr:uid="{00000000-0005-0000-0000-00002E3A0000}"/>
    <cellStyle name="Millares 5 3 5 4 3 2 2" xfId="52402" xr:uid="{00000000-0005-0000-0000-00002F3A0000}"/>
    <cellStyle name="Millares 5 3 5 4 3 3" xfId="38840" xr:uid="{00000000-0005-0000-0000-0000303A0000}"/>
    <cellStyle name="Millares 5 3 5 4 4" xfId="18488" xr:uid="{00000000-0005-0000-0000-0000313A0000}"/>
    <cellStyle name="Millares 5 3 5 4 4 2" xfId="45621" xr:uid="{00000000-0005-0000-0000-0000323A0000}"/>
    <cellStyle name="Millares 5 3 5 4 5" xfId="32059" xr:uid="{00000000-0005-0000-0000-0000333A0000}"/>
    <cellStyle name="Millares 5 3 5 5" xfId="8296" xr:uid="{00000000-0005-0000-0000-0000343A0000}"/>
    <cellStyle name="Millares 5 3 5 5 2" xfId="15085" xr:uid="{00000000-0005-0000-0000-0000353A0000}"/>
    <cellStyle name="Millares 5 3 5 5 2 2" xfId="28653" xr:uid="{00000000-0005-0000-0000-0000363A0000}"/>
    <cellStyle name="Millares 5 3 5 5 2 2 2" xfId="55786" xr:uid="{00000000-0005-0000-0000-0000373A0000}"/>
    <cellStyle name="Millares 5 3 5 5 2 3" xfId="42224" xr:uid="{00000000-0005-0000-0000-0000383A0000}"/>
    <cellStyle name="Millares 5 3 5 5 3" xfId="21872" xr:uid="{00000000-0005-0000-0000-0000393A0000}"/>
    <cellStyle name="Millares 5 3 5 5 3 2" xfId="49005" xr:uid="{00000000-0005-0000-0000-00003A3A0000}"/>
    <cellStyle name="Millares 5 3 5 5 4" xfId="35443" xr:uid="{00000000-0005-0000-0000-00003B3A0000}"/>
    <cellStyle name="Millares 5 3 5 6" xfId="11696" xr:uid="{00000000-0005-0000-0000-00003C3A0000}"/>
    <cellStyle name="Millares 5 3 5 6 2" xfId="25264" xr:uid="{00000000-0005-0000-0000-00003D3A0000}"/>
    <cellStyle name="Millares 5 3 5 6 2 2" xfId="52397" xr:uid="{00000000-0005-0000-0000-00003E3A0000}"/>
    <cellStyle name="Millares 5 3 5 6 3" xfId="38835" xr:uid="{00000000-0005-0000-0000-00003F3A0000}"/>
    <cellStyle name="Millares 5 3 5 7" xfId="18483" xr:uid="{00000000-0005-0000-0000-0000403A0000}"/>
    <cellStyle name="Millares 5 3 5 7 2" xfId="45616" xr:uid="{00000000-0005-0000-0000-0000413A0000}"/>
    <cellStyle name="Millares 5 3 5 8" xfId="32054" xr:uid="{00000000-0005-0000-0000-0000423A0000}"/>
    <cellStyle name="Millares 5 3 6" xfId="4707" xr:uid="{00000000-0005-0000-0000-0000433A0000}"/>
    <cellStyle name="Millares 5 3 6 2" xfId="4708" xr:uid="{00000000-0005-0000-0000-0000443A0000}"/>
    <cellStyle name="Millares 5 3 6 2 2" xfId="8303" xr:uid="{00000000-0005-0000-0000-0000453A0000}"/>
    <cellStyle name="Millares 5 3 6 2 2 2" xfId="15092" xr:uid="{00000000-0005-0000-0000-0000463A0000}"/>
    <cellStyle name="Millares 5 3 6 2 2 2 2" xfId="28660" xr:uid="{00000000-0005-0000-0000-0000473A0000}"/>
    <cellStyle name="Millares 5 3 6 2 2 2 2 2" xfId="55793" xr:uid="{00000000-0005-0000-0000-0000483A0000}"/>
    <cellStyle name="Millares 5 3 6 2 2 2 3" xfId="42231" xr:uid="{00000000-0005-0000-0000-0000493A0000}"/>
    <cellStyle name="Millares 5 3 6 2 2 3" xfId="21879" xr:uid="{00000000-0005-0000-0000-00004A3A0000}"/>
    <cellStyle name="Millares 5 3 6 2 2 3 2" xfId="49012" xr:uid="{00000000-0005-0000-0000-00004B3A0000}"/>
    <cellStyle name="Millares 5 3 6 2 2 4" xfId="35450" xr:uid="{00000000-0005-0000-0000-00004C3A0000}"/>
    <cellStyle name="Millares 5 3 6 2 3" xfId="11703" xr:uid="{00000000-0005-0000-0000-00004D3A0000}"/>
    <cellStyle name="Millares 5 3 6 2 3 2" xfId="25271" xr:uid="{00000000-0005-0000-0000-00004E3A0000}"/>
    <cellStyle name="Millares 5 3 6 2 3 2 2" xfId="52404" xr:uid="{00000000-0005-0000-0000-00004F3A0000}"/>
    <cellStyle name="Millares 5 3 6 2 3 3" xfId="38842" xr:uid="{00000000-0005-0000-0000-0000503A0000}"/>
    <cellStyle name="Millares 5 3 6 2 4" xfId="18490" xr:uid="{00000000-0005-0000-0000-0000513A0000}"/>
    <cellStyle name="Millares 5 3 6 2 4 2" xfId="45623" xr:uid="{00000000-0005-0000-0000-0000523A0000}"/>
    <cellStyle name="Millares 5 3 6 2 5" xfId="32061" xr:uid="{00000000-0005-0000-0000-0000533A0000}"/>
    <cellStyle name="Millares 5 3 6 3" xfId="4709" xr:uid="{00000000-0005-0000-0000-0000543A0000}"/>
    <cellStyle name="Millares 5 3 6 3 2" xfId="8304" xr:uid="{00000000-0005-0000-0000-0000553A0000}"/>
    <cellStyle name="Millares 5 3 6 3 2 2" xfId="15093" xr:uid="{00000000-0005-0000-0000-0000563A0000}"/>
    <cellStyle name="Millares 5 3 6 3 2 2 2" xfId="28661" xr:uid="{00000000-0005-0000-0000-0000573A0000}"/>
    <cellStyle name="Millares 5 3 6 3 2 2 2 2" xfId="55794" xr:uid="{00000000-0005-0000-0000-0000583A0000}"/>
    <cellStyle name="Millares 5 3 6 3 2 2 3" xfId="42232" xr:uid="{00000000-0005-0000-0000-0000593A0000}"/>
    <cellStyle name="Millares 5 3 6 3 2 3" xfId="21880" xr:uid="{00000000-0005-0000-0000-00005A3A0000}"/>
    <cellStyle name="Millares 5 3 6 3 2 3 2" xfId="49013" xr:uid="{00000000-0005-0000-0000-00005B3A0000}"/>
    <cellStyle name="Millares 5 3 6 3 2 4" xfId="35451" xr:uid="{00000000-0005-0000-0000-00005C3A0000}"/>
    <cellStyle name="Millares 5 3 6 3 3" xfId="11704" xr:uid="{00000000-0005-0000-0000-00005D3A0000}"/>
    <cellStyle name="Millares 5 3 6 3 3 2" xfId="25272" xr:uid="{00000000-0005-0000-0000-00005E3A0000}"/>
    <cellStyle name="Millares 5 3 6 3 3 2 2" xfId="52405" xr:uid="{00000000-0005-0000-0000-00005F3A0000}"/>
    <cellStyle name="Millares 5 3 6 3 3 3" xfId="38843" xr:uid="{00000000-0005-0000-0000-0000603A0000}"/>
    <cellStyle name="Millares 5 3 6 3 4" xfId="18491" xr:uid="{00000000-0005-0000-0000-0000613A0000}"/>
    <cellStyle name="Millares 5 3 6 3 4 2" xfId="45624" xr:uid="{00000000-0005-0000-0000-0000623A0000}"/>
    <cellStyle name="Millares 5 3 6 3 5" xfId="32062" xr:uid="{00000000-0005-0000-0000-0000633A0000}"/>
    <cellStyle name="Millares 5 3 6 4" xfId="8302" xr:uid="{00000000-0005-0000-0000-0000643A0000}"/>
    <cellStyle name="Millares 5 3 6 4 2" xfId="15091" xr:uid="{00000000-0005-0000-0000-0000653A0000}"/>
    <cellStyle name="Millares 5 3 6 4 2 2" xfId="28659" xr:uid="{00000000-0005-0000-0000-0000663A0000}"/>
    <cellStyle name="Millares 5 3 6 4 2 2 2" xfId="55792" xr:uid="{00000000-0005-0000-0000-0000673A0000}"/>
    <cellStyle name="Millares 5 3 6 4 2 3" xfId="42230" xr:uid="{00000000-0005-0000-0000-0000683A0000}"/>
    <cellStyle name="Millares 5 3 6 4 3" xfId="21878" xr:uid="{00000000-0005-0000-0000-0000693A0000}"/>
    <cellStyle name="Millares 5 3 6 4 3 2" xfId="49011" xr:uid="{00000000-0005-0000-0000-00006A3A0000}"/>
    <cellStyle name="Millares 5 3 6 4 4" xfId="35449" xr:uid="{00000000-0005-0000-0000-00006B3A0000}"/>
    <cellStyle name="Millares 5 3 6 5" xfId="11702" xr:uid="{00000000-0005-0000-0000-00006C3A0000}"/>
    <cellStyle name="Millares 5 3 6 5 2" xfId="25270" xr:uid="{00000000-0005-0000-0000-00006D3A0000}"/>
    <cellStyle name="Millares 5 3 6 5 2 2" xfId="52403" xr:uid="{00000000-0005-0000-0000-00006E3A0000}"/>
    <cellStyle name="Millares 5 3 6 5 3" xfId="38841" xr:uid="{00000000-0005-0000-0000-00006F3A0000}"/>
    <cellStyle name="Millares 5 3 6 6" xfId="18489" xr:uid="{00000000-0005-0000-0000-0000703A0000}"/>
    <cellStyle name="Millares 5 3 6 6 2" xfId="45622" xr:uid="{00000000-0005-0000-0000-0000713A0000}"/>
    <cellStyle name="Millares 5 3 6 7" xfId="32060" xr:uid="{00000000-0005-0000-0000-0000723A0000}"/>
    <cellStyle name="Millares 5 3 7" xfId="4710" xr:uid="{00000000-0005-0000-0000-0000733A0000}"/>
    <cellStyle name="Millares 5 3 7 2" xfId="4711" xr:uid="{00000000-0005-0000-0000-0000743A0000}"/>
    <cellStyle name="Millares 5 3 7 2 2" xfId="8306" xr:uid="{00000000-0005-0000-0000-0000753A0000}"/>
    <cellStyle name="Millares 5 3 7 2 2 2" xfId="15095" xr:uid="{00000000-0005-0000-0000-0000763A0000}"/>
    <cellStyle name="Millares 5 3 7 2 2 2 2" xfId="28663" xr:uid="{00000000-0005-0000-0000-0000773A0000}"/>
    <cellStyle name="Millares 5 3 7 2 2 2 2 2" xfId="55796" xr:uid="{00000000-0005-0000-0000-0000783A0000}"/>
    <cellStyle name="Millares 5 3 7 2 2 2 3" xfId="42234" xr:uid="{00000000-0005-0000-0000-0000793A0000}"/>
    <cellStyle name="Millares 5 3 7 2 2 3" xfId="21882" xr:uid="{00000000-0005-0000-0000-00007A3A0000}"/>
    <cellStyle name="Millares 5 3 7 2 2 3 2" xfId="49015" xr:uid="{00000000-0005-0000-0000-00007B3A0000}"/>
    <cellStyle name="Millares 5 3 7 2 2 4" xfId="35453" xr:uid="{00000000-0005-0000-0000-00007C3A0000}"/>
    <cellStyle name="Millares 5 3 7 2 3" xfId="11706" xr:uid="{00000000-0005-0000-0000-00007D3A0000}"/>
    <cellStyle name="Millares 5 3 7 2 3 2" xfId="25274" xr:uid="{00000000-0005-0000-0000-00007E3A0000}"/>
    <cellStyle name="Millares 5 3 7 2 3 2 2" xfId="52407" xr:uid="{00000000-0005-0000-0000-00007F3A0000}"/>
    <cellStyle name="Millares 5 3 7 2 3 3" xfId="38845" xr:uid="{00000000-0005-0000-0000-0000803A0000}"/>
    <cellStyle name="Millares 5 3 7 2 4" xfId="18493" xr:uid="{00000000-0005-0000-0000-0000813A0000}"/>
    <cellStyle name="Millares 5 3 7 2 4 2" xfId="45626" xr:uid="{00000000-0005-0000-0000-0000823A0000}"/>
    <cellStyle name="Millares 5 3 7 2 5" xfId="32064" xr:uid="{00000000-0005-0000-0000-0000833A0000}"/>
    <cellStyle name="Millares 5 3 7 3" xfId="4712" xr:uid="{00000000-0005-0000-0000-0000843A0000}"/>
    <cellStyle name="Millares 5 3 7 3 2" xfId="8307" xr:uid="{00000000-0005-0000-0000-0000853A0000}"/>
    <cellStyle name="Millares 5 3 7 3 2 2" xfId="15096" xr:uid="{00000000-0005-0000-0000-0000863A0000}"/>
    <cellStyle name="Millares 5 3 7 3 2 2 2" xfId="28664" xr:uid="{00000000-0005-0000-0000-0000873A0000}"/>
    <cellStyle name="Millares 5 3 7 3 2 2 2 2" xfId="55797" xr:uid="{00000000-0005-0000-0000-0000883A0000}"/>
    <cellStyle name="Millares 5 3 7 3 2 2 3" xfId="42235" xr:uid="{00000000-0005-0000-0000-0000893A0000}"/>
    <cellStyle name="Millares 5 3 7 3 2 3" xfId="21883" xr:uid="{00000000-0005-0000-0000-00008A3A0000}"/>
    <cellStyle name="Millares 5 3 7 3 2 3 2" xfId="49016" xr:uid="{00000000-0005-0000-0000-00008B3A0000}"/>
    <cellStyle name="Millares 5 3 7 3 2 4" xfId="35454" xr:uid="{00000000-0005-0000-0000-00008C3A0000}"/>
    <cellStyle name="Millares 5 3 7 3 3" xfId="11707" xr:uid="{00000000-0005-0000-0000-00008D3A0000}"/>
    <cellStyle name="Millares 5 3 7 3 3 2" xfId="25275" xr:uid="{00000000-0005-0000-0000-00008E3A0000}"/>
    <cellStyle name="Millares 5 3 7 3 3 2 2" xfId="52408" xr:uid="{00000000-0005-0000-0000-00008F3A0000}"/>
    <cellStyle name="Millares 5 3 7 3 3 3" xfId="38846" xr:uid="{00000000-0005-0000-0000-0000903A0000}"/>
    <cellStyle name="Millares 5 3 7 3 4" xfId="18494" xr:uid="{00000000-0005-0000-0000-0000913A0000}"/>
    <cellStyle name="Millares 5 3 7 3 4 2" xfId="45627" xr:uid="{00000000-0005-0000-0000-0000923A0000}"/>
    <cellStyle name="Millares 5 3 7 3 5" xfId="32065" xr:uid="{00000000-0005-0000-0000-0000933A0000}"/>
    <cellStyle name="Millares 5 3 7 4" xfId="8305" xr:uid="{00000000-0005-0000-0000-0000943A0000}"/>
    <cellStyle name="Millares 5 3 7 4 2" xfId="15094" xr:uid="{00000000-0005-0000-0000-0000953A0000}"/>
    <cellStyle name="Millares 5 3 7 4 2 2" xfId="28662" xr:uid="{00000000-0005-0000-0000-0000963A0000}"/>
    <cellStyle name="Millares 5 3 7 4 2 2 2" xfId="55795" xr:uid="{00000000-0005-0000-0000-0000973A0000}"/>
    <cellStyle name="Millares 5 3 7 4 2 3" xfId="42233" xr:uid="{00000000-0005-0000-0000-0000983A0000}"/>
    <cellStyle name="Millares 5 3 7 4 3" xfId="21881" xr:uid="{00000000-0005-0000-0000-0000993A0000}"/>
    <cellStyle name="Millares 5 3 7 4 3 2" xfId="49014" xr:uid="{00000000-0005-0000-0000-00009A3A0000}"/>
    <cellStyle name="Millares 5 3 7 4 4" xfId="35452" xr:uid="{00000000-0005-0000-0000-00009B3A0000}"/>
    <cellStyle name="Millares 5 3 7 5" xfId="11705" xr:uid="{00000000-0005-0000-0000-00009C3A0000}"/>
    <cellStyle name="Millares 5 3 7 5 2" xfId="25273" xr:uid="{00000000-0005-0000-0000-00009D3A0000}"/>
    <cellStyle name="Millares 5 3 7 5 2 2" xfId="52406" xr:uid="{00000000-0005-0000-0000-00009E3A0000}"/>
    <cellStyle name="Millares 5 3 7 5 3" xfId="38844" xr:uid="{00000000-0005-0000-0000-00009F3A0000}"/>
    <cellStyle name="Millares 5 3 7 6" xfId="18492" xr:uid="{00000000-0005-0000-0000-0000A03A0000}"/>
    <cellStyle name="Millares 5 3 7 6 2" xfId="45625" xr:uid="{00000000-0005-0000-0000-0000A13A0000}"/>
    <cellStyle name="Millares 5 3 7 7" xfId="32063" xr:uid="{00000000-0005-0000-0000-0000A23A0000}"/>
    <cellStyle name="Millares 5 3 8" xfId="4713" xr:uid="{00000000-0005-0000-0000-0000A33A0000}"/>
    <cellStyle name="Millares 5 3 8 2" xfId="8308" xr:uid="{00000000-0005-0000-0000-0000A43A0000}"/>
    <cellStyle name="Millares 5 3 8 2 2" xfId="15097" xr:uid="{00000000-0005-0000-0000-0000A53A0000}"/>
    <cellStyle name="Millares 5 3 8 2 2 2" xfId="28665" xr:uid="{00000000-0005-0000-0000-0000A63A0000}"/>
    <cellStyle name="Millares 5 3 8 2 2 2 2" xfId="55798" xr:uid="{00000000-0005-0000-0000-0000A73A0000}"/>
    <cellStyle name="Millares 5 3 8 2 2 3" xfId="42236" xr:uid="{00000000-0005-0000-0000-0000A83A0000}"/>
    <cellStyle name="Millares 5 3 8 2 3" xfId="21884" xr:uid="{00000000-0005-0000-0000-0000A93A0000}"/>
    <cellStyle name="Millares 5 3 8 2 3 2" xfId="49017" xr:uid="{00000000-0005-0000-0000-0000AA3A0000}"/>
    <cellStyle name="Millares 5 3 8 2 4" xfId="35455" xr:uid="{00000000-0005-0000-0000-0000AB3A0000}"/>
    <cellStyle name="Millares 5 3 8 3" xfId="11708" xr:uid="{00000000-0005-0000-0000-0000AC3A0000}"/>
    <cellStyle name="Millares 5 3 8 3 2" xfId="25276" xr:uid="{00000000-0005-0000-0000-0000AD3A0000}"/>
    <cellStyle name="Millares 5 3 8 3 2 2" xfId="52409" xr:uid="{00000000-0005-0000-0000-0000AE3A0000}"/>
    <cellStyle name="Millares 5 3 8 3 3" xfId="38847" xr:uid="{00000000-0005-0000-0000-0000AF3A0000}"/>
    <cellStyle name="Millares 5 3 8 4" xfId="18495" xr:uid="{00000000-0005-0000-0000-0000B03A0000}"/>
    <cellStyle name="Millares 5 3 8 4 2" xfId="45628" xr:uid="{00000000-0005-0000-0000-0000B13A0000}"/>
    <cellStyle name="Millares 5 3 8 5" xfId="32066" xr:uid="{00000000-0005-0000-0000-0000B23A0000}"/>
    <cellStyle name="Millares 5 3 9" xfId="4714" xr:uid="{00000000-0005-0000-0000-0000B33A0000}"/>
    <cellStyle name="Millares 5 3 9 2" xfId="8309" xr:uid="{00000000-0005-0000-0000-0000B43A0000}"/>
    <cellStyle name="Millares 5 3 9 2 2" xfId="15098" xr:uid="{00000000-0005-0000-0000-0000B53A0000}"/>
    <cellStyle name="Millares 5 3 9 2 2 2" xfId="28666" xr:uid="{00000000-0005-0000-0000-0000B63A0000}"/>
    <cellStyle name="Millares 5 3 9 2 2 2 2" xfId="55799" xr:uid="{00000000-0005-0000-0000-0000B73A0000}"/>
    <cellStyle name="Millares 5 3 9 2 2 3" xfId="42237" xr:uid="{00000000-0005-0000-0000-0000B83A0000}"/>
    <cellStyle name="Millares 5 3 9 2 3" xfId="21885" xr:uid="{00000000-0005-0000-0000-0000B93A0000}"/>
    <cellStyle name="Millares 5 3 9 2 3 2" xfId="49018" xr:uid="{00000000-0005-0000-0000-0000BA3A0000}"/>
    <cellStyle name="Millares 5 3 9 2 4" xfId="35456" xr:uid="{00000000-0005-0000-0000-0000BB3A0000}"/>
    <cellStyle name="Millares 5 3 9 3" xfId="11709" xr:uid="{00000000-0005-0000-0000-0000BC3A0000}"/>
    <cellStyle name="Millares 5 3 9 3 2" xfId="25277" xr:uid="{00000000-0005-0000-0000-0000BD3A0000}"/>
    <cellStyle name="Millares 5 3 9 3 2 2" xfId="52410" xr:uid="{00000000-0005-0000-0000-0000BE3A0000}"/>
    <cellStyle name="Millares 5 3 9 3 3" xfId="38848" xr:uid="{00000000-0005-0000-0000-0000BF3A0000}"/>
    <cellStyle name="Millares 5 3 9 4" xfId="18496" xr:uid="{00000000-0005-0000-0000-0000C03A0000}"/>
    <cellStyle name="Millares 5 3 9 4 2" xfId="45629" xr:uid="{00000000-0005-0000-0000-0000C13A0000}"/>
    <cellStyle name="Millares 5 3 9 5" xfId="32067" xr:uid="{00000000-0005-0000-0000-0000C23A0000}"/>
    <cellStyle name="Millares 5 4" xfId="4715" xr:uid="{00000000-0005-0000-0000-0000C33A0000}"/>
    <cellStyle name="Millares 5 4 10" xfId="8310" xr:uid="{00000000-0005-0000-0000-0000C43A0000}"/>
    <cellStyle name="Millares 5 4 10 2" xfId="15099" xr:uid="{00000000-0005-0000-0000-0000C53A0000}"/>
    <cellStyle name="Millares 5 4 10 2 2" xfId="28667" xr:uid="{00000000-0005-0000-0000-0000C63A0000}"/>
    <cellStyle name="Millares 5 4 10 2 2 2" xfId="55800" xr:uid="{00000000-0005-0000-0000-0000C73A0000}"/>
    <cellStyle name="Millares 5 4 10 2 3" xfId="42238" xr:uid="{00000000-0005-0000-0000-0000C83A0000}"/>
    <cellStyle name="Millares 5 4 10 3" xfId="21886" xr:uid="{00000000-0005-0000-0000-0000C93A0000}"/>
    <cellStyle name="Millares 5 4 10 3 2" xfId="49019" xr:uid="{00000000-0005-0000-0000-0000CA3A0000}"/>
    <cellStyle name="Millares 5 4 10 4" xfId="35457" xr:uid="{00000000-0005-0000-0000-0000CB3A0000}"/>
    <cellStyle name="Millares 5 4 11" xfId="11710" xr:uid="{00000000-0005-0000-0000-0000CC3A0000}"/>
    <cellStyle name="Millares 5 4 11 2" xfId="25278" xr:uid="{00000000-0005-0000-0000-0000CD3A0000}"/>
    <cellStyle name="Millares 5 4 11 2 2" xfId="52411" xr:uid="{00000000-0005-0000-0000-0000CE3A0000}"/>
    <cellStyle name="Millares 5 4 11 3" xfId="38849" xr:uid="{00000000-0005-0000-0000-0000CF3A0000}"/>
    <cellStyle name="Millares 5 4 12" xfId="18497" xr:uid="{00000000-0005-0000-0000-0000D03A0000}"/>
    <cellStyle name="Millares 5 4 12 2" xfId="45630" xr:uid="{00000000-0005-0000-0000-0000D13A0000}"/>
    <cellStyle name="Millares 5 4 13" xfId="32068" xr:uid="{00000000-0005-0000-0000-0000D23A0000}"/>
    <cellStyle name="Millares 5 4 2" xfId="4716" xr:uid="{00000000-0005-0000-0000-0000D33A0000}"/>
    <cellStyle name="Millares 5 4 2 10" xfId="32069" xr:uid="{00000000-0005-0000-0000-0000D43A0000}"/>
    <cellStyle name="Millares 5 4 2 2" xfId="4717" xr:uid="{00000000-0005-0000-0000-0000D53A0000}"/>
    <cellStyle name="Millares 5 4 2 2 2" xfId="4718" xr:uid="{00000000-0005-0000-0000-0000D63A0000}"/>
    <cellStyle name="Millares 5 4 2 2 2 2" xfId="4719" xr:uid="{00000000-0005-0000-0000-0000D73A0000}"/>
    <cellStyle name="Millares 5 4 2 2 2 2 2" xfId="8314" xr:uid="{00000000-0005-0000-0000-0000D83A0000}"/>
    <cellStyle name="Millares 5 4 2 2 2 2 2 2" xfId="15103" xr:uid="{00000000-0005-0000-0000-0000D93A0000}"/>
    <cellStyle name="Millares 5 4 2 2 2 2 2 2 2" xfId="28671" xr:uid="{00000000-0005-0000-0000-0000DA3A0000}"/>
    <cellStyle name="Millares 5 4 2 2 2 2 2 2 2 2" xfId="55804" xr:uid="{00000000-0005-0000-0000-0000DB3A0000}"/>
    <cellStyle name="Millares 5 4 2 2 2 2 2 2 3" xfId="42242" xr:uid="{00000000-0005-0000-0000-0000DC3A0000}"/>
    <cellStyle name="Millares 5 4 2 2 2 2 2 3" xfId="21890" xr:uid="{00000000-0005-0000-0000-0000DD3A0000}"/>
    <cellStyle name="Millares 5 4 2 2 2 2 2 3 2" xfId="49023" xr:uid="{00000000-0005-0000-0000-0000DE3A0000}"/>
    <cellStyle name="Millares 5 4 2 2 2 2 2 4" xfId="35461" xr:uid="{00000000-0005-0000-0000-0000DF3A0000}"/>
    <cellStyle name="Millares 5 4 2 2 2 2 3" xfId="11714" xr:uid="{00000000-0005-0000-0000-0000E03A0000}"/>
    <cellStyle name="Millares 5 4 2 2 2 2 3 2" xfId="25282" xr:uid="{00000000-0005-0000-0000-0000E13A0000}"/>
    <cellStyle name="Millares 5 4 2 2 2 2 3 2 2" xfId="52415" xr:uid="{00000000-0005-0000-0000-0000E23A0000}"/>
    <cellStyle name="Millares 5 4 2 2 2 2 3 3" xfId="38853" xr:uid="{00000000-0005-0000-0000-0000E33A0000}"/>
    <cellStyle name="Millares 5 4 2 2 2 2 4" xfId="18501" xr:uid="{00000000-0005-0000-0000-0000E43A0000}"/>
    <cellStyle name="Millares 5 4 2 2 2 2 4 2" xfId="45634" xr:uid="{00000000-0005-0000-0000-0000E53A0000}"/>
    <cellStyle name="Millares 5 4 2 2 2 2 5" xfId="32072" xr:uid="{00000000-0005-0000-0000-0000E63A0000}"/>
    <cellStyle name="Millares 5 4 2 2 2 3" xfId="4720" xr:uid="{00000000-0005-0000-0000-0000E73A0000}"/>
    <cellStyle name="Millares 5 4 2 2 2 3 2" xfId="8315" xr:uid="{00000000-0005-0000-0000-0000E83A0000}"/>
    <cellStyle name="Millares 5 4 2 2 2 3 2 2" xfId="15104" xr:uid="{00000000-0005-0000-0000-0000E93A0000}"/>
    <cellStyle name="Millares 5 4 2 2 2 3 2 2 2" xfId="28672" xr:uid="{00000000-0005-0000-0000-0000EA3A0000}"/>
    <cellStyle name="Millares 5 4 2 2 2 3 2 2 2 2" xfId="55805" xr:uid="{00000000-0005-0000-0000-0000EB3A0000}"/>
    <cellStyle name="Millares 5 4 2 2 2 3 2 2 3" xfId="42243" xr:uid="{00000000-0005-0000-0000-0000EC3A0000}"/>
    <cellStyle name="Millares 5 4 2 2 2 3 2 3" xfId="21891" xr:uid="{00000000-0005-0000-0000-0000ED3A0000}"/>
    <cellStyle name="Millares 5 4 2 2 2 3 2 3 2" xfId="49024" xr:uid="{00000000-0005-0000-0000-0000EE3A0000}"/>
    <cellStyle name="Millares 5 4 2 2 2 3 2 4" xfId="35462" xr:uid="{00000000-0005-0000-0000-0000EF3A0000}"/>
    <cellStyle name="Millares 5 4 2 2 2 3 3" xfId="11715" xr:uid="{00000000-0005-0000-0000-0000F03A0000}"/>
    <cellStyle name="Millares 5 4 2 2 2 3 3 2" xfId="25283" xr:uid="{00000000-0005-0000-0000-0000F13A0000}"/>
    <cellStyle name="Millares 5 4 2 2 2 3 3 2 2" xfId="52416" xr:uid="{00000000-0005-0000-0000-0000F23A0000}"/>
    <cellStyle name="Millares 5 4 2 2 2 3 3 3" xfId="38854" xr:uid="{00000000-0005-0000-0000-0000F33A0000}"/>
    <cellStyle name="Millares 5 4 2 2 2 3 4" xfId="18502" xr:uid="{00000000-0005-0000-0000-0000F43A0000}"/>
    <cellStyle name="Millares 5 4 2 2 2 3 4 2" xfId="45635" xr:uid="{00000000-0005-0000-0000-0000F53A0000}"/>
    <cellStyle name="Millares 5 4 2 2 2 3 5" xfId="32073" xr:uid="{00000000-0005-0000-0000-0000F63A0000}"/>
    <cellStyle name="Millares 5 4 2 2 2 4" xfId="8313" xr:uid="{00000000-0005-0000-0000-0000F73A0000}"/>
    <cellStyle name="Millares 5 4 2 2 2 4 2" xfId="15102" xr:uid="{00000000-0005-0000-0000-0000F83A0000}"/>
    <cellStyle name="Millares 5 4 2 2 2 4 2 2" xfId="28670" xr:uid="{00000000-0005-0000-0000-0000F93A0000}"/>
    <cellStyle name="Millares 5 4 2 2 2 4 2 2 2" xfId="55803" xr:uid="{00000000-0005-0000-0000-0000FA3A0000}"/>
    <cellStyle name="Millares 5 4 2 2 2 4 2 3" xfId="42241" xr:uid="{00000000-0005-0000-0000-0000FB3A0000}"/>
    <cellStyle name="Millares 5 4 2 2 2 4 3" xfId="21889" xr:uid="{00000000-0005-0000-0000-0000FC3A0000}"/>
    <cellStyle name="Millares 5 4 2 2 2 4 3 2" xfId="49022" xr:uid="{00000000-0005-0000-0000-0000FD3A0000}"/>
    <cellStyle name="Millares 5 4 2 2 2 4 4" xfId="35460" xr:uid="{00000000-0005-0000-0000-0000FE3A0000}"/>
    <cellStyle name="Millares 5 4 2 2 2 5" xfId="11713" xr:uid="{00000000-0005-0000-0000-0000FF3A0000}"/>
    <cellStyle name="Millares 5 4 2 2 2 5 2" xfId="25281" xr:uid="{00000000-0005-0000-0000-0000003B0000}"/>
    <cellStyle name="Millares 5 4 2 2 2 5 2 2" xfId="52414" xr:uid="{00000000-0005-0000-0000-0000013B0000}"/>
    <cellStyle name="Millares 5 4 2 2 2 5 3" xfId="38852" xr:uid="{00000000-0005-0000-0000-0000023B0000}"/>
    <cellStyle name="Millares 5 4 2 2 2 6" xfId="18500" xr:uid="{00000000-0005-0000-0000-0000033B0000}"/>
    <cellStyle name="Millares 5 4 2 2 2 6 2" xfId="45633" xr:uid="{00000000-0005-0000-0000-0000043B0000}"/>
    <cellStyle name="Millares 5 4 2 2 2 7" xfId="32071" xr:uid="{00000000-0005-0000-0000-0000053B0000}"/>
    <cellStyle name="Millares 5 4 2 2 3" xfId="4721" xr:uid="{00000000-0005-0000-0000-0000063B0000}"/>
    <cellStyle name="Millares 5 4 2 2 3 2" xfId="4722" xr:uid="{00000000-0005-0000-0000-0000073B0000}"/>
    <cellStyle name="Millares 5 4 2 2 3 2 2" xfId="8317" xr:uid="{00000000-0005-0000-0000-0000083B0000}"/>
    <cellStyle name="Millares 5 4 2 2 3 2 2 2" xfId="15106" xr:uid="{00000000-0005-0000-0000-0000093B0000}"/>
    <cellStyle name="Millares 5 4 2 2 3 2 2 2 2" xfId="28674" xr:uid="{00000000-0005-0000-0000-00000A3B0000}"/>
    <cellStyle name="Millares 5 4 2 2 3 2 2 2 2 2" xfId="55807" xr:uid="{00000000-0005-0000-0000-00000B3B0000}"/>
    <cellStyle name="Millares 5 4 2 2 3 2 2 2 3" xfId="42245" xr:uid="{00000000-0005-0000-0000-00000C3B0000}"/>
    <cellStyle name="Millares 5 4 2 2 3 2 2 3" xfId="21893" xr:uid="{00000000-0005-0000-0000-00000D3B0000}"/>
    <cellStyle name="Millares 5 4 2 2 3 2 2 3 2" xfId="49026" xr:uid="{00000000-0005-0000-0000-00000E3B0000}"/>
    <cellStyle name="Millares 5 4 2 2 3 2 2 4" xfId="35464" xr:uid="{00000000-0005-0000-0000-00000F3B0000}"/>
    <cellStyle name="Millares 5 4 2 2 3 2 3" xfId="11717" xr:uid="{00000000-0005-0000-0000-0000103B0000}"/>
    <cellStyle name="Millares 5 4 2 2 3 2 3 2" xfId="25285" xr:uid="{00000000-0005-0000-0000-0000113B0000}"/>
    <cellStyle name="Millares 5 4 2 2 3 2 3 2 2" xfId="52418" xr:uid="{00000000-0005-0000-0000-0000123B0000}"/>
    <cellStyle name="Millares 5 4 2 2 3 2 3 3" xfId="38856" xr:uid="{00000000-0005-0000-0000-0000133B0000}"/>
    <cellStyle name="Millares 5 4 2 2 3 2 4" xfId="18504" xr:uid="{00000000-0005-0000-0000-0000143B0000}"/>
    <cellStyle name="Millares 5 4 2 2 3 2 4 2" xfId="45637" xr:uid="{00000000-0005-0000-0000-0000153B0000}"/>
    <cellStyle name="Millares 5 4 2 2 3 2 5" xfId="32075" xr:uid="{00000000-0005-0000-0000-0000163B0000}"/>
    <cellStyle name="Millares 5 4 2 2 3 3" xfId="8316" xr:uid="{00000000-0005-0000-0000-0000173B0000}"/>
    <cellStyle name="Millares 5 4 2 2 3 3 2" xfId="15105" xr:uid="{00000000-0005-0000-0000-0000183B0000}"/>
    <cellStyle name="Millares 5 4 2 2 3 3 2 2" xfId="28673" xr:uid="{00000000-0005-0000-0000-0000193B0000}"/>
    <cellStyle name="Millares 5 4 2 2 3 3 2 2 2" xfId="55806" xr:uid="{00000000-0005-0000-0000-00001A3B0000}"/>
    <cellStyle name="Millares 5 4 2 2 3 3 2 3" xfId="42244" xr:uid="{00000000-0005-0000-0000-00001B3B0000}"/>
    <cellStyle name="Millares 5 4 2 2 3 3 3" xfId="21892" xr:uid="{00000000-0005-0000-0000-00001C3B0000}"/>
    <cellStyle name="Millares 5 4 2 2 3 3 3 2" xfId="49025" xr:uid="{00000000-0005-0000-0000-00001D3B0000}"/>
    <cellStyle name="Millares 5 4 2 2 3 3 4" xfId="35463" xr:uid="{00000000-0005-0000-0000-00001E3B0000}"/>
    <cellStyle name="Millares 5 4 2 2 3 4" xfId="11716" xr:uid="{00000000-0005-0000-0000-00001F3B0000}"/>
    <cellStyle name="Millares 5 4 2 2 3 4 2" xfId="25284" xr:uid="{00000000-0005-0000-0000-0000203B0000}"/>
    <cellStyle name="Millares 5 4 2 2 3 4 2 2" xfId="52417" xr:uid="{00000000-0005-0000-0000-0000213B0000}"/>
    <cellStyle name="Millares 5 4 2 2 3 4 3" xfId="38855" xr:uid="{00000000-0005-0000-0000-0000223B0000}"/>
    <cellStyle name="Millares 5 4 2 2 3 5" xfId="18503" xr:uid="{00000000-0005-0000-0000-0000233B0000}"/>
    <cellStyle name="Millares 5 4 2 2 3 5 2" xfId="45636" xr:uid="{00000000-0005-0000-0000-0000243B0000}"/>
    <cellStyle name="Millares 5 4 2 2 3 6" xfId="32074" xr:uid="{00000000-0005-0000-0000-0000253B0000}"/>
    <cellStyle name="Millares 5 4 2 2 4" xfId="4723" xr:uid="{00000000-0005-0000-0000-0000263B0000}"/>
    <cellStyle name="Millares 5 4 2 2 4 2" xfId="8318" xr:uid="{00000000-0005-0000-0000-0000273B0000}"/>
    <cellStyle name="Millares 5 4 2 2 4 2 2" xfId="15107" xr:uid="{00000000-0005-0000-0000-0000283B0000}"/>
    <cellStyle name="Millares 5 4 2 2 4 2 2 2" xfId="28675" xr:uid="{00000000-0005-0000-0000-0000293B0000}"/>
    <cellStyle name="Millares 5 4 2 2 4 2 2 2 2" xfId="55808" xr:uid="{00000000-0005-0000-0000-00002A3B0000}"/>
    <cellStyle name="Millares 5 4 2 2 4 2 2 3" xfId="42246" xr:uid="{00000000-0005-0000-0000-00002B3B0000}"/>
    <cellStyle name="Millares 5 4 2 2 4 2 3" xfId="21894" xr:uid="{00000000-0005-0000-0000-00002C3B0000}"/>
    <cellStyle name="Millares 5 4 2 2 4 2 3 2" xfId="49027" xr:uid="{00000000-0005-0000-0000-00002D3B0000}"/>
    <cellStyle name="Millares 5 4 2 2 4 2 4" xfId="35465" xr:uid="{00000000-0005-0000-0000-00002E3B0000}"/>
    <cellStyle name="Millares 5 4 2 2 4 3" xfId="11718" xr:uid="{00000000-0005-0000-0000-00002F3B0000}"/>
    <cellStyle name="Millares 5 4 2 2 4 3 2" xfId="25286" xr:uid="{00000000-0005-0000-0000-0000303B0000}"/>
    <cellStyle name="Millares 5 4 2 2 4 3 2 2" xfId="52419" xr:uid="{00000000-0005-0000-0000-0000313B0000}"/>
    <cellStyle name="Millares 5 4 2 2 4 3 3" xfId="38857" xr:uid="{00000000-0005-0000-0000-0000323B0000}"/>
    <cellStyle name="Millares 5 4 2 2 4 4" xfId="18505" xr:uid="{00000000-0005-0000-0000-0000333B0000}"/>
    <cellStyle name="Millares 5 4 2 2 4 4 2" xfId="45638" xr:uid="{00000000-0005-0000-0000-0000343B0000}"/>
    <cellStyle name="Millares 5 4 2 2 4 5" xfId="32076" xr:uid="{00000000-0005-0000-0000-0000353B0000}"/>
    <cellStyle name="Millares 5 4 2 2 5" xfId="4724" xr:uid="{00000000-0005-0000-0000-0000363B0000}"/>
    <cellStyle name="Millares 5 4 2 2 5 2" xfId="8319" xr:uid="{00000000-0005-0000-0000-0000373B0000}"/>
    <cellStyle name="Millares 5 4 2 2 5 2 2" xfId="15108" xr:uid="{00000000-0005-0000-0000-0000383B0000}"/>
    <cellStyle name="Millares 5 4 2 2 5 2 2 2" xfId="28676" xr:uid="{00000000-0005-0000-0000-0000393B0000}"/>
    <cellStyle name="Millares 5 4 2 2 5 2 2 2 2" xfId="55809" xr:uid="{00000000-0005-0000-0000-00003A3B0000}"/>
    <cellStyle name="Millares 5 4 2 2 5 2 2 3" xfId="42247" xr:uid="{00000000-0005-0000-0000-00003B3B0000}"/>
    <cellStyle name="Millares 5 4 2 2 5 2 3" xfId="21895" xr:uid="{00000000-0005-0000-0000-00003C3B0000}"/>
    <cellStyle name="Millares 5 4 2 2 5 2 3 2" xfId="49028" xr:uid="{00000000-0005-0000-0000-00003D3B0000}"/>
    <cellStyle name="Millares 5 4 2 2 5 2 4" xfId="35466" xr:uid="{00000000-0005-0000-0000-00003E3B0000}"/>
    <cellStyle name="Millares 5 4 2 2 5 3" xfId="11719" xr:uid="{00000000-0005-0000-0000-00003F3B0000}"/>
    <cellStyle name="Millares 5 4 2 2 5 3 2" xfId="25287" xr:uid="{00000000-0005-0000-0000-0000403B0000}"/>
    <cellStyle name="Millares 5 4 2 2 5 3 2 2" xfId="52420" xr:uid="{00000000-0005-0000-0000-0000413B0000}"/>
    <cellStyle name="Millares 5 4 2 2 5 3 3" xfId="38858" xr:uid="{00000000-0005-0000-0000-0000423B0000}"/>
    <cellStyle name="Millares 5 4 2 2 5 4" xfId="18506" xr:uid="{00000000-0005-0000-0000-0000433B0000}"/>
    <cellStyle name="Millares 5 4 2 2 5 4 2" xfId="45639" xr:uid="{00000000-0005-0000-0000-0000443B0000}"/>
    <cellStyle name="Millares 5 4 2 2 5 5" xfId="32077" xr:uid="{00000000-0005-0000-0000-0000453B0000}"/>
    <cellStyle name="Millares 5 4 2 2 6" xfId="8312" xr:uid="{00000000-0005-0000-0000-0000463B0000}"/>
    <cellStyle name="Millares 5 4 2 2 6 2" xfId="15101" xr:uid="{00000000-0005-0000-0000-0000473B0000}"/>
    <cellStyle name="Millares 5 4 2 2 6 2 2" xfId="28669" xr:uid="{00000000-0005-0000-0000-0000483B0000}"/>
    <cellStyle name="Millares 5 4 2 2 6 2 2 2" xfId="55802" xr:uid="{00000000-0005-0000-0000-0000493B0000}"/>
    <cellStyle name="Millares 5 4 2 2 6 2 3" xfId="42240" xr:uid="{00000000-0005-0000-0000-00004A3B0000}"/>
    <cellStyle name="Millares 5 4 2 2 6 3" xfId="21888" xr:uid="{00000000-0005-0000-0000-00004B3B0000}"/>
    <cellStyle name="Millares 5 4 2 2 6 3 2" xfId="49021" xr:uid="{00000000-0005-0000-0000-00004C3B0000}"/>
    <cellStyle name="Millares 5 4 2 2 6 4" xfId="35459" xr:uid="{00000000-0005-0000-0000-00004D3B0000}"/>
    <cellStyle name="Millares 5 4 2 2 7" xfId="11712" xr:uid="{00000000-0005-0000-0000-00004E3B0000}"/>
    <cellStyle name="Millares 5 4 2 2 7 2" xfId="25280" xr:uid="{00000000-0005-0000-0000-00004F3B0000}"/>
    <cellStyle name="Millares 5 4 2 2 7 2 2" xfId="52413" xr:uid="{00000000-0005-0000-0000-0000503B0000}"/>
    <cellStyle name="Millares 5 4 2 2 7 3" xfId="38851" xr:uid="{00000000-0005-0000-0000-0000513B0000}"/>
    <cellStyle name="Millares 5 4 2 2 8" xfId="18499" xr:uid="{00000000-0005-0000-0000-0000523B0000}"/>
    <cellStyle name="Millares 5 4 2 2 8 2" xfId="45632" xr:uid="{00000000-0005-0000-0000-0000533B0000}"/>
    <cellStyle name="Millares 5 4 2 2 9" xfId="32070" xr:uid="{00000000-0005-0000-0000-0000543B0000}"/>
    <cellStyle name="Millares 5 4 2 3" xfId="4725" xr:uid="{00000000-0005-0000-0000-0000553B0000}"/>
    <cellStyle name="Millares 5 4 2 3 2" xfId="4726" xr:uid="{00000000-0005-0000-0000-0000563B0000}"/>
    <cellStyle name="Millares 5 4 2 3 2 2" xfId="8321" xr:uid="{00000000-0005-0000-0000-0000573B0000}"/>
    <cellStyle name="Millares 5 4 2 3 2 2 2" xfId="15110" xr:uid="{00000000-0005-0000-0000-0000583B0000}"/>
    <cellStyle name="Millares 5 4 2 3 2 2 2 2" xfId="28678" xr:uid="{00000000-0005-0000-0000-0000593B0000}"/>
    <cellStyle name="Millares 5 4 2 3 2 2 2 2 2" xfId="55811" xr:uid="{00000000-0005-0000-0000-00005A3B0000}"/>
    <cellStyle name="Millares 5 4 2 3 2 2 2 3" xfId="42249" xr:uid="{00000000-0005-0000-0000-00005B3B0000}"/>
    <cellStyle name="Millares 5 4 2 3 2 2 3" xfId="21897" xr:uid="{00000000-0005-0000-0000-00005C3B0000}"/>
    <cellStyle name="Millares 5 4 2 3 2 2 3 2" xfId="49030" xr:uid="{00000000-0005-0000-0000-00005D3B0000}"/>
    <cellStyle name="Millares 5 4 2 3 2 2 4" xfId="35468" xr:uid="{00000000-0005-0000-0000-00005E3B0000}"/>
    <cellStyle name="Millares 5 4 2 3 2 3" xfId="11721" xr:uid="{00000000-0005-0000-0000-00005F3B0000}"/>
    <cellStyle name="Millares 5 4 2 3 2 3 2" xfId="25289" xr:uid="{00000000-0005-0000-0000-0000603B0000}"/>
    <cellStyle name="Millares 5 4 2 3 2 3 2 2" xfId="52422" xr:uid="{00000000-0005-0000-0000-0000613B0000}"/>
    <cellStyle name="Millares 5 4 2 3 2 3 3" xfId="38860" xr:uid="{00000000-0005-0000-0000-0000623B0000}"/>
    <cellStyle name="Millares 5 4 2 3 2 4" xfId="18508" xr:uid="{00000000-0005-0000-0000-0000633B0000}"/>
    <cellStyle name="Millares 5 4 2 3 2 4 2" xfId="45641" xr:uid="{00000000-0005-0000-0000-0000643B0000}"/>
    <cellStyle name="Millares 5 4 2 3 2 5" xfId="32079" xr:uid="{00000000-0005-0000-0000-0000653B0000}"/>
    <cellStyle name="Millares 5 4 2 3 3" xfId="4727" xr:uid="{00000000-0005-0000-0000-0000663B0000}"/>
    <cellStyle name="Millares 5 4 2 3 3 2" xfId="8322" xr:uid="{00000000-0005-0000-0000-0000673B0000}"/>
    <cellStyle name="Millares 5 4 2 3 3 2 2" xfId="15111" xr:uid="{00000000-0005-0000-0000-0000683B0000}"/>
    <cellStyle name="Millares 5 4 2 3 3 2 2 2" xfId="28679" xr:uid="{00000000-0005-0000-0000-0000693B0000}"/>
    <cellStyle name="Millares 5 4 2 3 3 2 2 2 2" xfId="55812" xr:uid="{00000000-0005-0000-0000-00006A3B0000}"/>
    <cellStyle name="Millares 5 4 2 3 3 2 2 3" xfId="42250" xr:uid="{00000000-0005-0000-0000-00006B3B0000}"/>
    <cellStyle name="Millares 5 4 2 3 3 2 3" xfId="21898" xr:uid="{00000000-0005-0000-0000-00006C3B0000}"/>
    <cellStyle name="Millares 5 4 2 3 3 2 3 2" xfId="49031" xr:uid="{00000000-0005-0000-0000-00006D3B0000}"/>
    <cellStyle name="Millares 5 4 2 3 3 2 4" xfId="35469" xr:uid="{00000000-0005-0000-0000-00006E3B0000}"/>
    <cellStyle name="Millares 5 4 2 3 3 3" xfId="11722" xr:uid="{00000000-0005-0000-0000-00006F3B0000}"/>
    <cellStyle name="Millares 5 4 2 3 3 3 2" xfId="25290" xr:uid="{00000000-0005-0000-0000-0000703B0000}"/>
    <cellStyle name="Millares 5 4 2 3 3 3 2 2" xfId="52423" xr:uid="{00000000-0005-0000-0000-0000713B0000}"/>
    <cellStyle name="Millares 5 4 2 3 3 3 3" xfId="38861" xr:uid="{00000000-0005-0000-0000-0000723B0000}"/>
    <cellStyle name="Millares 5 4 2 3 3 4" xfId="18509" xr:uid="{00000000-0005-0000-0000-0000733B0000}"/>
    <cellStyle name="Millares 5 4 2 3 3 4 2" xfId="45642" xr:uid="{00000000-0005-0000-0000-0000743B0000}"/>
    <cellStyle name="Millares 5 4 2 3 3 5" xfId="32080" xr:uid="{00000000-0005-0000-0000-0000753B0000}"/>
    <cellStyle name="Millares 5 4 2 3 4" xfId="8320" xr:uid="{00000000-0005-0000-0000-0000763B0000}"/>
    <cellStyle name="Millares 5 4 2 3 4 2" xfId="15109" xr:uid="{00000000-0005-0000-0000-0000773B0000}"/>
    <cellStyle name="Millares 5 4 2 3 4 2 2" xfId="28677" xr:uid="{00000000-0005-0000-0000-0000783B0000}"/>
    <cellStyle name="Millares 5 4 2 3 4 2 2 2" xfId="55810" xr:uid="{00000000-0005-0000-0000-0000793B0000}"/>
    <cellStyle name="Millares 5 4 2 3 4 2 3" xfId="42248" xr:uid="{00000000-0005-0000-0000-00007A3B0000}"/>
    <cellStyle name="Millares 5 4 2 3 4 3" xfId="21896" xr:uid="{00000000-0005-0000-0000-00007B3B0000}"/>
    <cellStyle name="Millares 5 4 2 3 4 3 2" xfId="49029" xr:uid="{00000000-0005-0000-0000-00007C3B0000}"/>
    <cellStyle name="Millares 5 4 2 3 4 4" xfId="35467" xr:uid="{00000000-0005-0000-0000-00007D3B0000}"/>
    <cellStyle name="Millares 5 4 2 3 5" xfId="11720" xr:uid="{00000000-0005-0000-0000-00007E3B0000}"/>
    <cellStyle name="Millares 5 4 2 3 5 2" xfId="25288" xr:uid="{00000000-0005-0000-0000-00007F3B0000}"/>
    <cellStyle name="Millares 5 4 2 3 5 2 2" xfId="52421" xr:uid="{00000000-0005-0000-0000-0000803B0000}"/>
    <cellStyle name="Millares 5 4 2 3 5 3" xfId="38859" xr:uid="{00000000-0005-0000-0000-0000813B0000}"/>
    <cellStyle name="Millares 5 4 2 3 6" xfId="18507" xr:uid="{00000000-0005-0000-0000-0000823B0000}"/>
    <cellStyle name="Millares 5 4 2 3 6 2" xfId="45640" xr:uid="{00000000-0005-0000-0000-0000833B0000}"/>
    <cellStyle name="Millares 5 4 2 3 7" xfId="32078" xr:uid="{00000000-0005-0000-0000-0000843B0000}"/>
    <cellStyle name="Millares 5 4 2 4" xfId="4728" xr:uid="{00000000-0005-0000-0000-0000853B0000}"/>
    <cellStyle name="Millares 5 4 2 4 2" xfId="4729" xr:uid="{00000000-0005-0000-0000-0000863B0000}"/>
    <cellStyle name="Millares 5 4 2 4 2 2" xfId="8324" xr:uid="{00000000-0005-0000-0000-0000873B0000}"/>
    <cellStyle name="Millares 5 4 2 4 2 2 2" xfId="15113" xr:uid="{00000000-0005-0000-0000-0000883B0000}"/>
    <cellStyle name="Millares 5 4 2 4 2 2 2 2" xfId="28681" xr:uid="{00000000-0005-0000-0000-0000893B0000}"/>
    <cellStyle name="Millares 5 4 2 4 2 2 2 2 2" xfId="55814" xr:uid="{00000000-0005-0000-0000-00008A3B0000}"/>
    <cellStyle name="Millares 5 4 2 4 2 2 2 3" xfId="42252" xr:uid="{00000000-0005-0000-0000-00008B3B0000}"/>
    <cellStyle name="Millares 5 4 2 4 2 2 3" xfId="21900" xr:uid="{00000000-0005-0000-0000-00008C3B0000}"/>
    <cellStyle name="Millares 5 4 2 4 2 2 3 2" xfId="49033" xr:uid="{00000000-0005-0000-0000-00008D3B0000}"/>
    <cellStyle name="Millares 5 4 2 4 2 2 4" xfId="35471" xr:uid="{00000000-0005-0000-0000-00008E3B0000}"/>
    <cellStyle name="Millares 5 4 2 4 2 3" xfId="11724" xr:uid="{00000000-0005-0000-0000-00008F3B0000}"/>
    <cellStyle name="Millares 5 4 2 4 2 3 2" xfId="25292" xr:uid="{00000000-0005-0000-0000-0000903B0000}"/>
    <cellStyle name="Millares 5 4 2 4 2 3 2 2" xfId="52425" xr:uid="{00000000-0005-0000-0000-0000913B0000}"/>
    <cellStyle name="Millares 5 4 2 4 2 3 3" xfId="38863" xr:uid="{00000000-0005-0000-0000-0000923B0000}"/>
    <cellStyle name="Millares 5 4 2 4 2 4" xfId="18511" xr:uid="{00000000-0005-0000-0000-0000933B0000}"/>
    <cellStyle name="Millares 5 4 2 4 2 4 2" xfId="45644" xr:uid="{00000000-0005-0000-0000-0000943B0000}"/>
    <cellStyle name="Millares 5 4 2 4 2 5" xfId="32082" xr:uid="{00000000-0005-0000-0000-0000953B0000}"/>
    <cellStyle name="Millares 5 4 2 4 3" xfId="8323" xr:uid="{00000000-0005-0000-0000-0000963B0000}"/>
    <cellStyle name="Millares 5 4 2 4 3 2" xfId="15112" xr:uid="{00000000-0005-0000-0000-0000973B0000}"/>
    <cellStyle name="Millares 5 4 2 4 3 2 2" xfId="28680" xr:uid="{00000000-0005-0000-0000-0000983B0000}"/>
    <cellStyle name="Millares 5 4 2 4 3 2 2 2" xfId="55813" xr:uid="{00000000-0005-0000-0000-0000993B0000}"/>
    <cellStyle name="Millares 5 4 2 4 3 2 3" xfId="42251" xr:uid="{00000000-0005-0000-0000-00009A3B0000}"/>
    <cellStyle name="Millares 5 4 2 4 3 3" xfId="21899" xr:uid="{00000000-0005-0000-0000-00009B3B0000}"/>
    <cellStyle name="Millares 5 4 2 4 3 3 2" xfId="49032" xr:uid="{00000000-0005-0000-0000-00009C3B0000}"/>
    <cellStyle name="Millares 5 4 2 4 3 4" xfId="35470" xr:uid="{00000000-0005-0000-0000-00009D3B0000}"/>
    <cellStyle name="Millares 5 4 2 4 4" xfId="11723" xr:uid="{00000000-0005-0000-0000-00009E3B0000}"/>
    <cellStyle name="Millares 5 4 2 4 4 2" xfId="25291" xr:uid="{00000000-0005-0000-0000-00009F3B0000}"/>
    <cellStyle name="Millares 5 4 2 4 4 2 2" xfId="52424" xr:uid="{00000000-0005-0000-0000-0000A03B0000}"/>
    <cellStyle name="Millares 5 4 2 4 4 3" xfId="38862" xr:uid="{00000000-0005-0000-0000-0000A13B0000}"/>
    <cellStyle name="Millares 5 4 2 4 5" xfId="18510" xr:uid="{00000000-0005-0000-0000-0000A23B0000}"/>
    <cellStyle name="Millares 5 4 2 4 5 2" xfId="45643" xr:uid="{00000000-0005-0000-0000-0000A33B0000}"/>
    <cellStyle name="Millares 5 4 2 4 6" xfId="32081" xr:uid="{00000000-0005-0000-0000-0000A43B0000}"/>
    <cellStyle name="Millares 5 4 2 5" xfId="4730" xr:uid="{00000000-0005-0000-0000-0000A53B0000}"/>
    <cellStyle name="Millares 5 4 2 5 2" xfId="8325" xr:uid="{00000000-0005-0000-0000-0000A63B0000}"/>
    <cellStyle name="Millares 5 4 2 5 2 2" xfId="15114" xr:uid="{00000000-0005-0000-0000-0000A73B0000}"/>
    <cellStyle name="Millares 5 4 2 5 2 2 2" xfId="28682" xr:uid="{00000000-0005-0000-0000-0000A83B0000}"/>
    <cellStyle name="Millares 5 4 2 5 2 2 2 2" xfId="55815" xr:uid="{00000000-0005-0000-0000-0000A93B0000}"/>
    <cellStyle name="Millares 5 4 2 5 2 2 3" xfId="42253" xr:uid="{00000000-0005-0000-0000-0000AA3B0000}"/>
    <cellStyle name="Millares 5 4 2 5 2 3" xfId="21901" xr:uid="{00000000-0005-0000-0000-0000AB3B0000}"/>
    <cellStyle name="Millares 5 4 2 5 2 3 2" xfId="49034" xr:uid="{00000000-0005-0000-0000-0000AC3B0000}"/>
    <cellStyle name="Millares 5 4 2 5 2 4" xfId="35472" xr:uid="{00000000-0005-0000-0000-0000AD3B0000}"/>
    <cellStyle name="Millares 5 4 2 5 3" xfId="11725" xr:uid="{00000000-0005-0000-0000-0000AE3B0000}"/>
    <cellStyle name="Millares 5 4 2 5 3 2" xfId="25293" xr:uid="{00000000-0005-0000-0000-0000AF3B0000}"/>
    <cellStyle name="Millares 5 4 2 5 3 2 2" xfId="52426" xr:uid="{00000000-0005-0000-0000-0000B03B0000}"/>
    <cellStyle name="Millares 5 4 2 5 3 3" xfId="38864" xr:uid="{00000000-0005-0000-0000-0000B13B0000}"/>
    <cellStyle name="Millares 5 4 2 5 4" xfId="18512" xr:uid="{00000000-0005-0000-0000-0000B23B0000}"/>
    <cellStyle name="Millares 5 4 2 5 4 2" xfId="45645" xr:uid="{00000000-0005-0000-0000-0000B33B0000}"/>
    <cellStyle name="Millares 5 4 2 5 5" xfId="32083" xr:uid="{00000000-0005-0000-0000-0000B43B0000}"/>
    <cellStyle name="Millares 5 4 2 6" xfId="4731" xr:uid="{00000000-0005-0000-0000-0000B53B0000}"/>
    <cellStyle name="Millares 5 4 2 6 2" xfId="8326" xr:uid="{00000000-0005-0000-0000-0000B63B0000}"/>
    <cellStyle name="Millares 5 4 2 6 2 2" xfId="15115" xr:uid="{00000000-0005-0000-0000-0000B73B0000}"/>
    <cellStyle name="Millares 5 4 2 6 2 2 2" xfId="28683" xr:uid="{00000000-0005-0000-0000-0000B83B0000}"/>
    <cellStyle name="Millares 5 4 2 6 2 2 2 2" xfId="55816" xr:uid="{00000000-0005-0000-0000-0000B93B0000}"/>
    <cellStyle name="Millares 5 4 2 6 2 2 3" xfId="42254" xr:uid="{00000000-0005-0000-0000-0000BA3B0000}"/>
    <cellStyle name="Millares 5 4 2 6 2 3" xfId="21902" xr:uid="{00000000-0005-0000-0000-0000BB3B0000}"/>
    <cellStyle name="Millares 5 4 2 6 2 3 2" xfId="49035" xr:uid="{00000000-0005-0000-0000-0000BC3B0000}"/>
    <cellStyle name="Millares 5 4 2 6 2 4" xfId="35473" xr:uid="{00000000-0005-0000-0000-0000BD3B0000}"/>
    <cellStyle name="Millares 5 4 2 6 3" xfId="11726" xr:uid="{00000000-0005-0000-0000-0000BE3B0000}"/>
    <cellStyle name="Millares 5 4 2 6 3 2" xfId="25294" xr:uid="{00000000-0005-0000-0000-0000BF3B0000}"/>
    <cellStyle name="Millares 5 4 2 6 3 2 2" xfId="52427" xr:uid="{00000000-0005-0000-0000-0000C03B0000}"/>
    <cellStyle name="Millares 5 4 2 6 3 3" xfId="38865" xr:uid="{00000000-0005-0000-0000-0000C13B0000}"/>
    <cellStyle name="Millares 5 4 2 6 4" xfId="18513" xr:uid="{00000000-0005-0000-0000-0000C23B0000}"/>
    <cellStyle name="Millares 5 4 2 6 4 2" xfId="45646" xr:uid="{00000000-0005-0000-0000-0000C33B0000}"/>
    <cellStyle name="Millares 5 4 2 6 5" xfId="32084" xr:uid="{00000000-0005-0000-0000-0000C43B0000}"/>
    <cellStyle name="Millares 5 4 2 7" xfId="8311" xr:uid="{00000000-0005-0000-0000-0000C53B0000}"/>
    <cellStyle name="Millares 5 4 2 7 2" xfId="15100" xr:uid="{00000000-0005-0000-0000-0000C63B0000}"/>
    <cellStyle name="Millares 5 4 2 7 2 2" xfId="28668" xr:uid="{00000000-0005-0000-0000-0000C73B0000}"/>
    <cellStyle name="Millares 5 4 2 7 2 2 2" xfId="55801" xr:uid="{00000000-0005-0000-0000-0000C83B0000}"/>
    <cellStyle name="Millares 5 4 2 7 2 3" xfId="42239" xr:uid="{00000000-0005-0000-0000-0000C93B0000}"/>
    <cellStyle name="Millares 5 4 2 7 3" xfId="21887" xr:uid="{00000000-0005-0000-0000-0000CA3B0000}"/>
    <cellStyle name="Millares 5 4 2 7 3 2" xfId="49020" xr:uid="{00000000-0005-0000-0000-0000CB3B0000}"/>
    <cellStyle name="Millares 5 4 2 7 4" xfId="35458" xr:uid="{00000000-0005-0000-0000-0000CC3B0000}"/>
    <cellStyle name="Millares 5 4 2 8" xfId="11711" xr:uid="{00000000-0005-0000-0000-0000CD3B0000}"/>
    <cellStyle name="Millares 5 4 2 8 2" xfId="25279" xr:uid="{00000000-0005-0000-0000-0000CE3B0000}"/>
    <cellStyle name="Millares 5 4 2 8 2 2" xfId="52412" xr:uid="{00000000-0005-0000-0000-0000CF3B0000}"/>
    <cellStyle name="Millares 5 4 2 8 3" xfId="38850" xr:uid="{00000000-0005-0000-0000-0000D03B0000}"/>
    <cellStyle name="Millares 5 4 2 9" xfId="18498" xr:uid="{00000000-0005-0000-0000-0000D13B0000}"/>
    <cellStyle name="Millares 5 4 2 9 2" xfId="45631" xr:uid="{00000000-0005-0000-0000-0000D23B0000}"/>
    <cellStyle name="Millares 5 4 3" xfId="4732" xr:uid="{00000000-0005-0000-0000-0000D33B0000}"/>
    <cellStyle name="Millares 5 4 3 2" xfId="4733" xr:uid="{00000000-0005-0000-0000-0000D43B0000}"/>
    <cellStyle name="Millares 5 4 3 2 2" xfId="4734" xr:uid="{00000000-0005-0000-0000-0000D53B0000}"/>
    <cellStyle name="Millares 5 4 3 2 2 2" xfId="8329" xr:uid="{00000000-0005-0000-0000-0000D63B0000}"/>
    <cellStyle name="Millares 5 4 3 2 2 2 2" xfId="15118" xr:uid="{00000000-0005-0000-0000-0000D73B0000}"/>
    <cellStyle name="Millares 5 4 3 2 2 2 2 2" xfId="28686" xr:uid="{00000000-0005-0000-0000-0000D83B0000}"/>
    <cellStyle name="Millares 5 4 3 2 2 2 2 2 2" xfId="55819" xr:uid="{00000000-0005-0000-0000-0000D93B0000}"/>
    <cellStyle name="Millares 5 4 3 2 2 2 2 3" xfId="42257" xr:uid="{00000000-0005-0000-0000-0000DA3B0000}"/>
    <cellStyle name="Millares 5 4 3 2 2 2 3" xfId="21905" xr:uid="{00000000-0005-0000-0000-0000DB3B0000}"/>
    <cellStyle name="Millares 5 4 3 2 2 2 3 2" xfId="49038" xr:uid="{00000000-0005-0000-0000-0000DC3B0000}"/>
    <cellStyle name="Millares 5 4 3 2 2 2 4" xfId="35476" xr:uid="{00000000-0005-0000-0000-0000DD3B0000}"/>
    <cellStyle name="Millares 5 4 3 2 2 3" xfId="11729" xr:uid="{00000000-0005-0000-0000-0000DE3B0000}"/>
    <cellStyle name="Millares 5 4 3 2 2 3 2" xfId="25297" xr:uid="{00000000-0005-0000-0000-0000DF3B0000}"/>
    <cellStyle name="Millares 5 4 3 2 2 3 2 2" xfId="52430" xr:uid="{00000000-0005-0000-0000-0000E03B0000}"/>
    <cellStyle name="Millares 5 4 3 2 2 3 3" xfId="38868" xr:uid="{00000000-0005-0000-0000-0000E13B0000}"/>
    <cellStyle name="Millares 5 4 3 2 2 4" xfId="18516" xr:uid="{00000000-0005-0000-0000-0000E23B0000}"/>
    <cellStyle name="Millares 5 4 3 2 2 4 2" xfId="45649" xr:uid="{00000000-0005-0000-0000-0000E33B0000}"/>
    <cellStyle name="Millares 5 4 3 2 2 5" xfId="32087" xr:uid="{00000000-0005-0000-0000-0000E43B0000}"/>
    <cellStyle name="Millares 5 4 3 2 3" xfId="4735" xr:uid="{00000000-0005-0000-0000-0000E53B0000}"/>
    <cellStyle name="Millares 5 4 3 2 3 2" xfId="8330" xr:uid="{00000000-0005-0000-0000-0000E63B0000}"/>
    <cellStyle name="Millares 5 4 3 2 3 2 2" xfId="15119" xr:uid="{00000000-0005-0000-0000-0000E73B0000}"/>
    <cellStyle name="Millares 5 4 3 2 3 2 2 2" xfId="28687" xr:uid="{00000000-0005-0000-0000-0000E83B0000}"/>
    <cellStyle name="Millares 5 4 3 2 3 2 2 2 2" xfId="55820" xr:uid="{00000000-0005-0000-0000-0000E93B0000}"/>
    <cellStyle name="Millares 5 4 3 2 3 2 2 3" xfId="42258" xr:uid="{00000000-0005-0000-0000-0000EA3B0000}"/>
    <cellStyle name="Millares 5 4 3 2 3 2 3" xfId="21906" xr:uid="{00000000-0005-0000-0000-0000EB3B0000}"/>
    <cellStyle name="Millares 5 4 3 2 3 2 3 2" xfId="49039" xr:uid="{00000000-0005-0000-0000-0000EC3B0000}"/>
    <cellStyle name="Millares 5 4 3 2 3 2 4" xfId="35477" xr:uid="{00000000-0005-0000-0000-0000ED3B0000}"/>
    <cellStyle name="Millares 5 4 3 2 3 3" xfId="11730" xr:uid="{00000000-0005-0000-0000-0000EE3B0000}"/>
    <cellStyle name="Millares 5 4 3 2 3 3 2" xfId="25298" xr:uid="{00000000-0005-0000-0000-0000EF3B0000}"/>
    <cellStyle name="Millares 5 4 3 2 3 3 2 2" xfId="52431" xr:uid="{00000000-0005-0000-0000-0000F03B0000}"/>
    <cellStyle name="Millares 5 4 3 2 3 3 3" xfId="38869" xr:uid="{00000000-0005-0000-0000-0000F13B0000}"/>
    <cellStyle name="Millares 5 4 3 2 3 4" xfId="18517" xr:uid="{00000000-0005-0000-0000-0000F23B0000}"/>
    <cellStyle name="Millares 5 4 3 2 3 4 2" xfId="45650" xr:uid="{00000000-0005-0000-0000-0000F33B0000}"/>
    <cellStyle name="Millares 5 4 3 2 3 5" xfId="32088" xr:uid="{00000000-0005-0000-0000-0000F43B0000}"/>
    <cellStyle name="Millares 5 4 3 2 4" xfId="8328" xr:uid="{00000000-0005-0000-0000-0000F53B0000}"/>
    <cellStyle name="Millares 5 4 3 2 4 2" xfId="15117" xr:uid="{00000000-0005-0000-0000-0000F63B0000}"/>
    <cellStyle name="Millares 5 4 3 2 4 2 2" xfId="28685" xr:uid="{00000000-0005-0000-0000-0000F73B0000}"/>
    <cellStyle name="Millares 5 4 3 2 4 2 2 2" xfId="55818" xr:uid="{00000000-0005-0000-0000-0000F83B0000}"/>
    <cellStyle name="Millares 5 4 3 2 4 2 3" xfId="42256" xr:uid="{00000000-0005-0000-0000-0000F93B0000}"/>
    <cellStyle name="Millares 5 4 3 2 4 3" xfId="21904" xr:uid="{00000000-0005-0000-0000-0000FA3B0000}"/>
    <cellStyle name="Millares 5 4 3 2 4 3 2" xfId="49037" xr:uid="{00000000-0005-0000-0000-0000FB3B0000}"/>
    <cellStyle name="Millares 5 4 3 2 4 4" xfId="35475" xr:uid="{00000000-0005-0000-0000-0000FC3B0000}"/>
    <cellStyle name="Millares 5 4 3 2 5" xfId="11728" xr:uid="{00000000-0005-0000-0000-0000FD3B0000}"/>
    <cellStyle name="Millares 5 4 3 2 5 2" xfId="25296" xr:uid="{00000000-0005-0000-0000-0000FE3B0000}"/>
    <cellStyle name="Millares 5 4 3 2 5 2 2" xfId="52429" xr:uid="{00000000-0005-0000-0000-0000FF3B0000}"/>
    <cellStyle name="Millares 5 4 3 2 5 3" xfId="38867" xr:uid="{00000000-0005-0000-0000-0000003C0000}"/>
    <cellStyle name="Millares 5 4 3 2 6" xfId="18515" xr:uid="{00000000-0005-0000-0000-0000013C0000}"/>
    <cellStyle name="Millares 5 4 3 2 6 2" xfId="45648" xr:uid="{00000000-0005-0000-0000-0000023C0000}"/>
    <cellStyle name="Millares 5 4 3 2 7" xfId="32086" xr:uid="{00000000-0005-0000-0000-0000033C0000}"/>
    <cellStyle name="Millares 5 4 3 3" xfId="4736" xr:uid="{00000000-0005-0000-0000-0000043C0000}"/>
    <cellStyle name="Millares 5 4 3 3 2" xfId="4737" xr:uid="{00000000-0005-0000-0000-0000053C0000}"/>
    <cellStyle name="Millares 5 4 3 3 2 2" xfId="8332" xr:uid="{00000000-0005-0000-0000-0000063C0000}"/>
    <cellStyle name="Millares 5 4 3 3 2 2 2" xfId="15121" xr:uid="{00000000-0005-0000-0000-0000073C0000}"/>
    <cellStyle name="Millares 5 4 3 3 2 2 2 2" xfId="28689" xr:uid="{00000000-0005-0000-0000-0000083C0000}"/>
    <cellStyle name="Millares 5 4 3 3 2 2 2 2 2" xfId="55822" xr:uid="{00000000-0005-0000-0000-0000093C0000}"/>
    <cellStyle name="Millares 5 4 3 3 2 2 2 3" xfId="42260" xr:uid="{00000000-0005-0000-0000-00000A3C0000}"/>
    <cellStyle name="Millares 5 4 3 3 2 2 3" xfId="21908" xr:uid="{00000000-0005-0000-0000-00000B3C0000}"/>
    <cellStyle name="Millares 5 4 3 3 2 2 3 2" xfId="49041" xr:uid="{00000000-0005-0000-0000-00000C3C0000}"/>
    <cellStyle name="Millares 5 4 3 3 2 2 4" xfId="35479" xr:uid="{00000000-0005-0000-0000-00000D3C0000}"/>
    <cellStyle name="Millares 5 4 3 3 2 3" xfId="11732" xr:uid="{00000000-0005-0000-0000-00000E3C0000}"/>
    <cellStyle name="Millares 5 4 3 3 2 3 2" xfId="25300" xr:uid="{00000000-0005-0000-0000-00000F3C0000}"/>
    <cellStyle name="Millares 5 4 3 3 2 3 2 2" xfId="52433" xr:uid="{00000000-0005-0000-0000-0000103C0000}"/>
    <cellStyle name="Millares 5 4 3 3 2 3 3" xfId="38871" xr:uid="{00000000-0005-0000-0000-0000113C0000}"/>
    <cellStyle name="Millares 5 4 3 3 2 4" xfId="18519" xr:uid="{00000000-0005-0000-0000-0000123C0000}"/>
    <cellStyle name="Millares 5 4 3 3 2 4 2" xfId="45652" xr:uid="{00000000-0005-0000-0000-0000133C0000}"/>
    <cellStyle name="Millares 5 4 3 3 2 5" xfId="32090" xr:uid="{00000000-0005-0000-0000-0000143C0000}"/>
    <cellStyle name="Millares 5 4 3 3 3" xfId="8331" xr:uid="{00000000-0005-0000-0000-0000153C0000}"/>
    <cellStyle name="Millares 5 4 3 3 3 2" xfId="15120" xr:uid="{00000000-0005-0000-0000-0000163C0000}"/>
    <cellStyle name="Millares 5 4 3 3 3 2 2" xfId="28688" xr:uid="{00000000-0005-0000-0000-0000173C0000}"/>
    <cellStyle name="Millares 5 4 3 3 3 2 2 2" xfId="55821" xr:uid="{00000000-0005-0000-0000-0000183C0000}"/>
    <cellStyle name="Millares 5 4 3 3 3 2 3" xfId="42259" xr:uid="{00000000-0005-0000-0000-0000193C0000}"/>
    <cellStyle name="Millares 5 4 3 3 3 3" xfId="21907" xr:uid="{00000000-0005-0000-0000-00001A3C0000}"/>
    <cellStyle name="Millares 5 4 3 3 3 3 2" xfId="49040" xr:uid="{00000000-0005-0000-0000-00001B3C0000}"/>
    <cellStyle name="Millares 5 4 3 3 3 4" xfId="35478" xr:uid="{00000000-0005-0000-0000-00001C3C0000}"/>
    <cellStyle name="Millares 5 4 3 3 4" xfId="11731" xr:uid="{00000000-0005-0000-0000-00001D3C0000}"/>
    <cellStyle name="Millares 5 4 3 3 4 2" xfId="25299" xr:uid="{00000000-0005-0000-0000-00001E3C0000}"/>
    <cellStyle name="Millares 5 4 3 3 4 2 2" xfId="52432" xr:uid="{00000000-0005-0000-0000-00001F3C0000}"/>
    <cellStyle name="Millares 5 4 3 3 4 3" xfId="38870" xr:uid="{00000000-0005-0000-0000-0000203C0000}"/>
    <cellStyle name="Millares 5 4 3 3 5" xfId="18518" xr:uid="{00000000-0005-0000-0000-0000213C0000}"/>
    <cellStyle name="Millares 5 4 3 3 5 2" xfId="45651" xr:uid="{00000000-0005-0000-0000-0000223C0000}"/>
    <cellStyle name="Millares 5 4 3 3 6" xfId="32089" xr:uid="{00000000-0005-0000-0000-0000233C0000}"/>
    <cellStyle name="Millares 5 4 3 4" xfId="4738" xr:uid="{00000000-0005-0000-0000-0000243C0000}"/>
    <cellStyle name="Millares 5 4 3 4 2" xfId="8333" xr:uid="{00000000-0005-0000-0000-0000253C0000}"/>
    <cellStyle name="Millares 5 4 3 4 2 2" xfId="15122" xr:uid="{00000000-0005-0000-0000-0000263C0000}"/>
    <cellStyle name="Millares 5 4 3 4 2 2 2" xfId="28690" xr:uid="{00000000-0005-0000-0000-0000273C0000}"/>
    <cellStyle name="Millares 5 4 3 4 2 2 2 2" xfId="55823" xr:uid="{00000000-0005-0000-0000-0000283C0000}"/>
    <cellStyle name="Millares 5 4 3 4 2 2 3" xfId="42261" xr:uid="{00000000-0005-0000-0000-0000293C0000}"/>
    <cellStyle name="Millares 5 4 3 4 2 3" xfId="21909" xr:uid="{00000000-0005-0000-0000-00002A3C0000}"/>
    <cellStyle name="Millares 5 4 3 4 2 3 2" xfId="49042" xr:uid="{00000000-0005-0000-0000-00002B3C0000}"/>
    <cellStyle name="Millares 5 4 3 4 2 4" xfId="35480" xr:uid="{00000000-0005-0000-0000-00002C3C0000}"/>
    <cellStyle name="Millares 5 4 3 4 3" xfId="11733" xr:uid="{00000000-0005-0000-0000-00002D3C0000}"/>
    <cellStyle name="Millares 5 4 3 4 3 2" xfId="25301" xr:uid="{00000000-0005-0000-0000-00002E3C0000}"/>
    <cellStyle name="Millares 5 4 3 4 3 2 2" xfId="52434" xr:uid="{00000000-0005-0000-0000-00002F3C0000}"/>
    <cellStyle name="Millares 5 4 3 4 3 3" xfId="38872" xr:uid="{00000000-0005-0000-0000-0000303C0000}"/>
    <cellStyle name="Millares 5 4 3 4 4" xfId="18520" xr:uid="{00000000-0005-0000-0000-0000313C0000}"/>
    <cellStyle name="Millares 5 4 3 4 4 2" xfId="45653" xr:uid="{00000000-0005-0000-0000-0000323C0000}"/>
    <cellStyle name="Millares 5 4 3 4 5" xfId="32091" xr:uid="{00000000-0005-0000-0000-0000333C0000}"/>
    <cellStyle name="Millares 5 4 3 5" xfId="4739" xr:uid="{00000000-0005-0000-0000-0000343C0000}"/>
    <cellStyle name="Millares 5 4 3 5 2" xfId="8334" xr:uid="{00000000-0005-0000-0000-0000353C0000}"/>
    <cellStyle name="Millares 5 4 3 5 2 2" xfId="15123" xr:uid="{00000000-0005-0000-0000-0000363C0000}"/>
    <cellStyle name="Millares 5 4 3 5 2 2 2" xfId="28691" xr:uid="{00000000-0005-0000-0000-0000373C0000}"/>
    <cellStyle name="Millares 5 4 3 5 2 2 2 2" xfId="55824" xr:uid="{00000000-0005-0000-0000-0000383C0000}"/>
    <cellStyle name="Millares 5 4 3 5 2 2 3" xfId="42262" xr:uid="{00000000-0005-0000-0000-0000393C0000}"/>
    <cellStyle name="Millares 5 4 3 5 2 3" xfId="21910" xr:uid="{00000000-0005-0000-0000-00003A3C0000}"/>
    <cellStyle name="Millares 5 4 3 5 2 3 2" xfId="49043" xr:uid="{00000000-0005-0000-0000-00003B3C0000}"/>
    <cellStyle name="Millares 5 4 3 5 2 4" xfId="35481" xr:uid="{00000000-0005-0000-0000-00003C3C0000}"/>
    <cellStyle name="Millares 5 4 3 5 3" xfId="11734" xr:uid="{00000000-0005-0000-0000-00003D3C0000}"/>
    <cellStyle name="Millares 5 4 3 5 3 2" xfId="25302" xr:uid="{00000000-0005-0000-0000-00003E3C0000}"/>
    <cellStyle name="Millares 5 4 3 5 3 2 2" xfId="52435" xr:uid="{00000000-0005-0000-0000-00003F3C0000}"/>
    <cellStyle name="Millares 5 4 3 5 3 3" xfId="38873" xr:uid="{00000000-0005-0000-0000-0000403C0000}"/>
    <cellStyle name="Millares 5 4 3 5 4" xfId="18521" xr:uid="{00000000-0005-0000-0000-0000413C0000}"/>
    <cellStyle name="Millares 5 4 3 5 4 2" xfId="45654" xr:uid="{00000000-0005-0000-0000-0000423C0000}"/>
    <cellStyle name="Millares 5 4 3 5 5" xfId="32092" xr:uid="{00000000-0005-0000-0000-0000433C0000}"/>
    <cellStyle name="Millares 5 4 3 6" xfId="8327" xr:uid="{00000000-0005-0000-0000-0000443C0000}"/>
    <cellStyle name="Millares 5 4 3 6 2" xfId="15116" xr:uid="{00000000-0005-0000-0000-0000453C0000}"/>
    <cellStyle name="Millares 5 4 3 6 2 2" xfId="28684" xr:uid="{00000000-0005-0000-0000-0000463C0000}"/>
    <cellStyle name="Millares 5 4 3 6 2 2 2" xfId="55817" xr:uid="{00000000-0005-0000-0000-0000473C0000}"/>
    <cellStyle name="Millares 5 4 3 6 2 3" xfId="42255" xr:uid="{00000000-0005-0000-0000-0000483C0000}"/>
    <cellStyle name="Millares 5 4 3 6 3" xfId="21903" xr:uid="{00000000-0005-0000-0000-0000493C0000}"/>
    <cellStyle name="Millares 5 4 3 6 3 2" xfId="49036" xr:uid="{00000000-0005-0000-0000-00004A3C0000}"/>
    <cellStyle name="Millares 5 4 3 6 4" xfId="35474" xr:uid="{00000000-0005-0000-0000-00004B3C0000}"/>
    <cellStyle name="Millares 5 4 3 7" xfId="11727" xr:uid="{00000000-0005-0000-0000-00004C3C0000}"/>
    <cellStyle name="Millares 5 4 3 7 2" xfId="25295" xr:uid="{00000000-0005-0000-0000-00004D3C0000}"/>
    <cellStyle name="Millares 5 4 3 7 2 2" xfId="52428" xr:uid="{00000000-0005-0000-0000-00004E3C0000}"/>
    <cellStyle name="Millares 5 4 3 7 3" xfId="38866" xr:uid="{00000000-0005-0000-0000-00004F3C0000}"/>
    <cellStyle name="Millares 5 4 3 8" xfId="18514" xr:uid="{00000000-0005-0000-0000-0000503C0000}"/>
    <cellStyle name="Millares 5 4 3 8 2" xfId="45647" xr:uid="{00000000-0005-0000-0000-0000513C0000}"/>
    <cellStyle name="Millares 5 4 3 9" xfId="32085" xr:uid="{00000000-0005-0000-0000-0000523C0000}"/>
    <cellStyle name="Millares 5 4 4" xfId="4740" xr:uid="{00000000-0005-0000-0000-0000533C0000}"/>
    <cellStyle name="Millares 5 4 4 2" xfId="4741" xr:uid="{00000000-0005-0000-0000-0000543C0000}"/>
    <cellStyle name="Millares 5 4 4 2 2" xfId="4742" xr:uid="{00000000-0005-0000-0000-0000553C0000}"/>
    <cellStyle name="Millares 5 4 4 2 2 2" xfId="8337" xr:uid="{00000000-0005-0000-0000-0000563C0000}"/>
    <cellStyle name="Millares 5 4 4 2 2 2 2" xfId="15126" xr:uid="{00000000-0005-0000-0000-0000573C0000}"/>
    <cellStyle name="Millares 5 4 4 2 2 2 2 2" xfId="28694" xr:uid="{00000000-0005-0000-0000-0000583C0000}"/>
    <cellStyle name="Millares 5 4 4 2 2 2 2 2 2" xfId="55827" xr:uid="{00000000-0005-0000-0000-0000593C0000}"/>
    <cellStyle name="Millares 5 4 4 2 2 2 2 3" xfId="42265" xr:uid="{00000000-0005-0000-0000-00005A3C0000}"/>
    <cellStyle name="Millares 5 4 4 2 2 2 3" xfId="21913" xr:uid="{00000000-0005-0000-0000-00005B3C0000}"/>
    <cellStyle name="Millares 5 4 4 2 2 2 3 2" xfId="49046" xr:uid="{00000000-0005-0000-0000-00005C3C0000}"/>
    <cellStyle name="Millares 5 4 4 2 2 2 4" xfId="35484" xr:uid="{00000000-0005-0000-0000-00005D3C0000}"/>
    <cellStyle name="Millares 5 4 4 2 2 3" xfId="11737" xr:uid="{00000000-0005-0000-0000-00005E3C0000}"/>
    <cellStyle name="Millares 5 4 4 2 2 3 2" xfId="25305" xr:uid="{00000000-0005-0000-0000-00005F3C0000}"/>
    <cellStyle name="Millares 5 4 4 2 2 3 2 2" xfId="52438" xr:uid="{00000000-0005-0000-0000-0000603C0000}"/>
    <cellStyle name="Millares 5 4 4 2 2 3 3" xfId="38876" xr:uid="{00000000-0005-0000-0000-0000613C0000}"/>
    <cellStyle name="Millares 5 4 4 2 2 4" xfId="18524" xr:uid="{00000000-0005-0000-0000-0000623C0000}"/>
    <cellStyle name="Millares 5 4 4 2 2 4 2" xfId="45657" xr:uid="{00000000-0005-0000-0000-0000633C0000}"/>
    <cellStyle name="Millares 5 4 4 2 2 5" xfId="32095" xr:uid="{00000000-0005-0000-0000-0000643C0000}"/>
    <cellStyle name="Millares 5 4 4 2 3" xfId="4743" xr:uid="{00000000-0005-0000-0000-0000653C0000}"/>
    <cellStyle name="Millares 5 4 4 2 3 2" xfId="8338" xr:uid="{00000000-0005-0000-0000-0000663C0000}"/>
    <cellStyle name="Millares 5 4 4 2 3 2 2" xfId="15127" xr:uid="{00000000-0005-0000-0000-0000673C0000}"/>
    <cellStyle name="Millares 5 4 4 2 3 2 2 2" xfId="28695" xr:uid="{00000000-0005-0000-0000-0000683C0000}"/>
    <cellStyle name="Millares 5 4 4 2 3 2 2 2 2" xfId="55828" xr:uid="{00000000-0005-0000-0000-0000693C0000}"/>
    <cellStyle name="Millares 5 4 4 2 3 2 2 3" xfId="42266" xr:uid="{00000000-0005-0000-0000-00006A3C0000}"/>
    <cellStyle name="Millares 5 4 4 2 3 2 3" xfId="21914" xr:uid="{00000000-0005-0000-0000-00006B3C0000}"/>
    <cellStyle name="Millares 5 4 4 2 3 2 3 2" xfId="49047" xr:uid="{00000000-0005-0000-0000-00006C3C0000}"/>
    <cellStyle name="Millares 5 4 4 2 3 2 4" xfId="35485" xr:uid="{00000000-0005-0000-0000-00006D3C0000}"/>
    <cellStyle name="Millares 5 4 4 2 3 3" xfId="11738" xr:uid="{00000000-0005-0000-0000-00006E3C0000}"/>
    <cellStyle name="Millares 5 4 4 2 3 3 2" xfId="25306" xr:uid="{00000000-0005-0000-0000-00006F3C0000}"/>
    <cellStyle name="Millares 5 4 4 2 3 3 2 2" xfId="52439" xr:uid="{00000000-0005-0000-0000-0000703C0000}"/>
    <cellStyle name="Millares 5 4 4 2 3 3 3" xfId="38877" xr:uid="{00000000-0005-0000-0000-0000713C0000}"/>
    <cellStyle name="Millares 5 4 4 2 3 4" xfId="18525" xr:uid="{00000000-0005-0000-0000-0000723C0000}"/>
    <cellStyle name="Millares 5 4 4 2 3 4 2" xfId="45658" xr:uid="{00000000-0005-0000-0000-0000733C0000}"/>
    <cellStyle name="Millares 5 4 4 2 3 5" xfId="32096" xr:uid="{00000000-0005-0000-0000-0000743C0000}"/>
    <cellStyle name="Millares 5 4 4 2 4" xfId="8336" xr:uid="{00000000-0005-0000-0000-0000753C0000}"/>
    <cellStyle name="Millares 5 4 4 2 4 2" xfId="15125" xr:uid="{00000000-0005-0000-0000-0000763C0000}"/>
    <cellStyle name="Millares 5 4 4 2 4 2 2" xfId="28693" xr:uid="{00000000-0005-0000-0000-0000773C0000}"/>
    <cellStyle name="Millares 5 4 4 2 4 2 2 2" xfId="55826" xr:uid="{00000000-0005-0000-0000-0000783C0000}"/>
    <cellStyle name="Millares 5 4 4 2 4 2 3" xfId="42264" xr:uid="{00000000-0005-0000-0000-0000793C0000}"/>
    <cellStyle name="Millares 5 4 4 2 4 3" xfId="21912" xr:uid="{00000000-0005-0000-0000-00007A3C0000}"/>
    <cellStyle name="Millares 5 4 4 2 4 3 2" xfId="49045" xr:uid="{00000000-0005-0000-0000-00007B3C0000}"/>
    <cellStyle name="Millares 5 4 4 2 4 4" xfId="35483" xr:uid="{00000000-0005-0000-0000-00007C3C0000}"/>
    <cellStyle name="Millares 5 4 4 2 5" xfId="11736" xr:uid="{00000000-0005-0000-0000-00007D3C0000}"/>
    <cellStyle name="Millares 5 4 4 2 5 2" xfId="25304" xr:uid="{00000000-0005-0000-0000-00007E3C0000}"/>
    <cellStyle name="Millares 5 4 4 2 5 2 2" xfId="52437" xr:uid="{00000000-0005-0000-0000-00007F3C0000}"/>
    <cellStyle name="Millares 5 4 4 2 5 3" xfId="38875" xr:uid="{00000000-0005-0000-0000-0000803C0000}"/>
    <cellStyle name="Millares 5 4 4 2 6" xfId="18523" xr:uid="{00000000-0005-0000-0000-0000813C0000}"/>
    <cellStyle name="Millares 5 4 4 2 6 2" xfId="45656" xr:uid="{00000000-0005-0000-0000-0000823C0000}"/>
    <cellStyle name="Millares 5 4 4 2 7" xfId="32094" xr:uid="{00000000-0005-0000-0000-0000833C0000}"/>
    <cellStyle name="Millares 5 4 4 3" xfId="4744" xr:uid="{00000000-0005-0000-0000-0000843C0000}"/>
    <cellStyle name="Millares 5 4 4 3 2" xfId="8339" xr:uid="{00000000-0005-0000-0000-0000853C0000}"/>
    <cellStyle name="Millares 5 4 4 3 2 2" xfId="15128" xr:uid="{00000000-0005-0000-0000-0000863C0000}"/>
    <cellStyle name="Millares 5 4 4 3 2 2 2" xfId="28696" xr:uid="{00000000-0005-0000-0000-0000873C0000}"/>
    <cellStyle name="Millares 5 4 4 3 2 2 2 2" xfId="55829" xr:uid="{00000000-0005-0000-0000-0000883C0000}"/>
    <cellStyle name="Millares 5 4 4 3 2 2 3" xfId="42267" xr:uid="{00000000-0005-0000-0000-0000893C0000}"/>
    <cellStyle name="Millares 5 4 4 3 2 3" xfId="21915" xr:uid="{00000000-0005-0000-0000-00008A3C0000}"/>
    <cellStyle name="Millares 5 4 4 3 2 3 2" xfId="49048" xr:uid="{00000000-0005-0000-0000-00008B3C0000}"/>
    <cellStyle name="Millares 5 4 4 3 2 4" xfId="35486" xr:uid="{00000000-0005-0000-0000-00008C3C0000}"/>
    <cellStyle name="Millares 5 4 4 3 3" xfId="11739" xr:uid="{00000000-0005-0000-0000-00008D3C0000}"/>
    <cellStyle name="Millares 5 4 4 3 3 2" xfId="25307" xr:uid="{00000000-0005-0000-0000-00008E3C0000}"/>
    <cellStyle name="Millares 5 4 4 3 3 2 2" xfId="52440" xr:uid="{00000000-0005-0000-0000-00008F3C0000}"/>
    <cellStyle name="Millares 5 4 4 3 3 3" xfId="38878" xr:uid="{00000000-0005-0000-0000-0000903C0000}"/>
    <cellStyle name="Millares 5 4 4 3 4" xfId="18526" xr:uid="{00000000-0005-0000-0000-0000913C0000}"/>
    <cellStyle name="Millares 5 4 4 3 4 2" xfId="45659" xr:uid="{00000000-0005-0000-0000-0000923C0000}"/>
    <cellStyle name="Millares 5 4 4 3 5" xfId="32097" xr:uid="{00000000-0005-0000-0000-0000933C0000}"/>
    <cellStyle name="Millares 5 4 4 4" xfId="4745" xr:uid="{00000000-0005-0000-0000-0000943C0000}"/>
    <cellStyle name="Millares 5 4 4 4 2" xfId="8340" xr:uid="{00000000-0005-0000-0000-0000953C0000}"/>
    <cellStyle name="Millares 5 4 4 4 2 2" xfId="15129" xr:uid="{00000000-0005-0000-0000-0000963C0000}"/>
    <cellStyle name="Millares 5 4 4 4 2 2 2" xfId="28697" xr:uid="{00000000-0005-0000-0000-0000973C0000}"/>
    <cellStyle name="Millares 5 4 4 4 2 2 2 2" xfId="55830" xr:uid="{00000000-0005-0000-0000-0000983C0000}"/>
    <cellStyle name="Millares 5 4 4 4 2 2 3" xfId="42268" xr:uid="{00000000-0005-0000-0000-0000993C0000}"/>
    <cellStyle name="Millares 5 4 4 4 2 3" xfId="21916" xr:uid="{00000000-0005-0000-0000-00009A3C0000}"/>
    <cellStyle name="Millares 5 4 4 4 2 3 2" xfId="49049" xr:uid="{00000000-0005-0000-0000-00009B3C0000}"/>
    <cellStyle name="Millares 5 4 4 4 2 4" xfId="35487" xr:uid="{00000000-0005-0000-0000-00009C3C0000}"/>
    <cellStyle name="Millares 5 4 4 4 3" xfId="11740" xr:uid="{00000000-0005-0000-0000-00009D3C0000}"/>
    <cellStyle name="Millares 5 4 4 4 3 2" xfId="25308" xr:uid="{00000000-0005-0000-0000-00009E3C0000}"/>
    <cellStyle name="Millares 5 4 4 4 3 2 2" xfId="52441" xr:uid="{00000000-0005-0000-0000-00009F3C0000}"/>
    <cellStyle name="Millares 5 4 4 4 3 3" xfId="38879" xr:uid="{00000000-0005-0000-0000-0000A03C0000}"/>
    <cellStyle name="Millares 5 4 4 4 4" xfId="18527" xr:uid="{00000000-0005-0000-0000-0000A13C0000}"/>
    <cellStyle name="Millares 5 4 4 4 4 2" xfId="45660" xr:uid="{00000000-0005-0000-0000-0000A23C0000}"/>
    <cellStyle name="Millares 5 4 4 4 5" xfId="32098" xr:uid="{00000000-0005-0000-0000-0000A33C0000}"/>
    <cellStyle name="Millares 5 4 4 5" xfId="8335" xr:uid="{00000000-0005-0000-0000-0000A43C0000}"/>
    <cellStyle name="Millares 5 4 4 5 2" xfId="15124" xr:uid="{00000000-0005-0000-0000-0000A53C0000}"/>
    <cellStyle name="Millares 5 4 4 5 2 2" xfId="28692" xr:uid="{00000000-0005-0000-0000-0000A63C0000}"/>
    <cellStyle name="Millares 5 4 4 5 2 2 2" xfId="55825" xr:uid="{00000000-0005-0000-0000-0000A73C0000}"/>
    <cellStyle name="Millares 5 4 4 5 2 3" xfId="42263" xr:uid="{00000000-0005-0000-0000-0000A83C0000}"/>
    <cellStyle name="Millares 5 4 4 5 3" xfId="21911" xr:uid="{00000000-0005-0000-0000-0000A93C0000}"/>
    <cellStyle name="Millares 5 4 4 5 3 2" xfId="49044" xr:uid="{00000000-0005-0000-0000-0000AA3C0000}"/>
    <cellStyle name="Millares 5 4 4 5 4" xfId="35482" xr:uid="{00000000-0005-0000-0000-0000AB3C0000}"/>
    <cellStyle name="Millares 5 4 4 6" xfId="11735" xr:uid="{00000000-0005-0000-0000-0000AC3C0000}"/>
    <cellStyle name="Millares 5 4 4 6 2" xfId="25303" xr:uid="{00000000-0005-0000-0000-0000AD3C0000}"/>
    <cellStyle name="Millares 5 4 4 6 2 2" xfId="52436" xr:uid="{00000000-0005-0000-0000-0000AE3C0000}"/>
    <cellStyle name="Millares 5 4 4 6 3" xfId="38874" xr:uid="{00000000-0005-0000-0000-0000AF3C0000}"/>
    <cellStyle name="Millares 5 4 4 7" xfId="18522" xr:uid="{00000000-0005-0000-0000-0000B03C0000}"/>
    <cellStyle name="Millares 5 4 4 7 2" xfId="45655" xr:uid="{00000000-0005-0000-0000-0000B13C0000}"/>
    <cellStyle name="Millares 5 4 4 8" xfId="32093" xr:uid="{00000000-0005-0000-0000-0000B23C0000}"/>
    <cellStyle name="Millares 5 4 5" xfId="4746" xr:uid="{00000000-0005-0000-0000-0000B33C0000}"/>
    <cellStyle name="Millares 5 4 5 2" xfId="4747" xr:uid="{00000000-0005-0000-0000-0000B43C0000}"/>
    <cellStyle name="Millares 5 4 5 2 2" xfId="4748" xr:uid="{00000000-0005-0000-0000-0000B53C0000}"/>
    <cellStyle name="Millares 5 4 5 2 2 2" xfId="8343" xr:uid="{00000000-0005-0000-0000-0000B63C0000}"/>
    <cellStyle name="Millares 5 4 5 2 2 2 2" xfId="15132" xr:uid="{00000000-0005-0000-0000-0000B73C0000}"/>
    <cellStyle name="Millares 5 4 5 2 2 2 2 2" xfId="28700" xr:uid="{00000000-0005-0000-0000-0000B83C0000}"/>
    <cellStyle name="Millares 5 4 5 2 2 2 2 2 2" xfId="55833" xr:uid="{00000000-0005-0000-0000-0000B93C0000}"/>
    <cellStyle name="Millares 5 4 5 2 2 2 2 3" xfId="42271" xr:uid="{00000000-0005-0000-0000-0000BA3C0000}"/>
    <cellStyle name="Millares 5 4 5 2 2 2 3" xfId="21919" xr:uid="{00000000-0005-0000-0000-0000BB3C0000}"/>
    <cellStyle name="Millares 5 4 5 2 2 2 3 2" xfId="49052" xr:uid="{00000000-0005-0000-0000-0000BC3C0000}"/>
    <cellStyle name="Millares 5 4 5 2 2 2 4" xfId="35490" xr:uid="{00000000-0005-0000-0000-0000BD3C0000}"/>
    <cellStyle name="Millares 5 4 5 2 2 3" xfId="11743" xr:uid="{00000000-0005-0000-0000-0000BE3C0000}"/>
    <cellStyle name="Millares 5 4 5 2 2 3 2" xfId="25311" xr:uid="{00000000-0005-0000-0000-0000BF3C0000}"/>
    <cellStyle name="Millares 5 4 5 2 2 3 2 2" xfId="52444" xr:uid="{00000000-0005-0000-0000-0000C03C0000}"/>
    <cellStyle name="Millares 5 4 5 2 2 3 3" xfId="38882" xr:uid="{00000000-0005-0000-0000-0000C13C0000}"/>
    <cellStyle name="Millares 5 4 5 2 2 4" xfId="18530" xr:uid="{00000000-0005-0000-0000-0000C23C0000}"/>
    <cellStyle name="Millares 5 4 5 2 2 4 2" xfId="45663" xr:uid="{00000000-0005-0000-0000-0000C33C0000}"/>
    <cellStyle name="Millares 5 4 5 2 2 5" xfId="32101" xr:uid="{00000000-0005-0000-0000-0000C43C0000}"/>
    <cellStyle name="Millares 5 4 5 2 3" xfId="4749" xr:uid="{00000000-0005-0000-0000-0000C53C0000}"/>
    <cellStyle name="Millares 5 4 5 2 3 2" xfId="8344" xr:uid="{00000000-0005-0000-0000-0000C63C0000}"/>
    <cellStyle name="Millares 5 4 5 2 3 2 2" xfId="15133" xr:uid="{00000000-0005-0000-0000-0000C73C0000}"/>
    <cellStyle name="Millares 5 4 5 2 3 2 2 2" xfId="28701" xr:uid="{00000000-0005-0000-0000-0000C83C0000}"/>
    <cellStyle name="Millares 5 4 5 2 3 2 2 2 2" xfId="55834" xr:uid="{00000000-0005-0000-0000-0000C93C0000}"/>
    <cellStyle name="Millares 5 4 5 2 3 2 2 3" xfId="42272" xr:uid="{00000000-0005-0000-0000-0000CA3C0000}"/>
    <cellStyle name="Millares 5 4 5 2 3 2 3" xfId="21920" xr:uid="{00000000-0005-0000-0000-0000CB3C0000}"/>
    <cellStyle name="Millares 5 4 5 2 3 2 3 2" xfId="49053" xr:uid="{00000000-0005-0000-0000-0000CC3C0000}"/>
    <cellStyle name="Millares 5 4 5 2 3 2 4" xfId="35491" xr:uid="{00000000-0005-0000-0000-0000CD3C0000}"/>
    <cellStyle name="Millares 5 4 5 2 3 3" xfId="11744" xr:uid="{00000000-0005-0000-0000-0000CE3C0000}"/>
    <cellStyle name="Millares 5 4 5 2 3 3 2" xfId="25312" xr:uid="{00000000-0005-0000-0000-0000CF3C0000}"/>
    <cellStyle name="Millares 5 4 5 2 3 3 2 2" xfId="52445" xr:uid="{00000000-0005-0000-0000-0000D03C0000}"/>
    <cellStyle name="Millares 5 4 5 2 3 3 3" xfId="38883" xr:uid="{00000000-0005-0000-0000-0000D13C0000}"/>
    <cellStyle name="Millares 5 4 5 2 3 4" xfId="18531" xr:uid="{00000000-0005-0000-0000-0000D23C0000}"/>
    <cellStyle name="Millares 5 4 5 2 3 4 2" xfId="45664" xr:uid="{00000000-0005-0000-0000-0000D33C0000}"/>
    <cellStyle name="Millares 5 4 5 2 3 5" xfId="32102" xr:uid="{00000000-0005-0000-0000-0000D43C0000}"/>
    <cellStyle name="Millares 5 4 5 2 4" xfId="8342" xr:uid="{00000000-0005-0000-0000-0000D53C0000}"/>
    <cellStyle name="Millares 5 4 5 2 4 2" xfId="15131" xr:uid="{00000000-0005-0000-0000-0000D63C0000}"/>
    <cellStyle name="Millares 5 4 5 2 4 2 2" xfId="28699" xr:uid="{00000000-0005-0000-0000-0000D73C0000}"/>
    <cellStyle name="Millares 5 4 5 2 4 2 2 2" xfId="55832" xr:uid="{00000000-0005-0000-0000-0000D83C0000}"/>
    <cellStyle name="Millares 5 4 5 2 4 2 3" xfId="42270" xr:uid="{00000000-0005-0000-0000-0000D93C0000}"/>
    <cellStyle name="Millares 5 4 5 2 4 3" xfId="21918" xr:uid="{00000000-0005-0000-0000-0000DA3C0000}"/>
    <cellStyle name="Millares 5 4 5 2 4 3 2" xfId="49051" xr:uid="{00000000-0005-0000-0000-0000DB3C0000}"/>
    <cellStyle name="Millares 5 4 5 2 4 4" xfId="35489" xr:uid="{00000000-0005-0000-0000-0000DC3C0000}"/>
    <cellStyle name="Millares 5 4 5 2 5" xfId="11742" xr:uid="{00000000-0005-0000-0000-0000DD3C0000}"/>
    <cellStyle name="Millares 5 4 5 2 5 2" xfId="25310" xr:uid="{00000000-0005-0000-0000-0000DE3C0000}"/>
    <cellStyle name="Millares 5 4 5 2 5 2 2" xfId="52443" xr:uid="{00000000-0005-0000-0000-0000DF3C0000}"/>
    <cellStyle name="Millares 5 4 5 2 5 3" xfId="38881" xr:uid="{00000000-0005-0000-0000-0000E03C0000}"/>
    <cellStyle name="Millares 5 4 5 2 6" xfId="18529" xr:uid="{00000000-0005-0000-0000-0000E13C0000}"/>
    <cellStyle name="Millares 5 4 5 2 6 2" xfId="45662" xr:uid="{00000000-0005-0000-0000-0000E23C0000}"/>
    <cellStyle name="Millares 5 4 5 2 7" xfId="32100" xr:uid="{00000000-0005-0000-0000-0000E33C0000}"/>
    <cellStyle name="Millares 5 4 5 3" xfId="4750" xr:uid="{00000000-0005-0000-0000-0000E43C0000}"/>
    <cellStyle name="Millares 5 4 5 3 2" xfId="8345" xr:uid="{00000000-0005-0000-0000-0000E53C0000}"/>
    <cellStyle name="Millares 5 4 5 3 2 2" xfId="15134" xr:uid="{00000000-0005-0000-0000-0000E63C0000}"/>
    <cellStyle name="Millares 5 4 5 3 2 2 2" xfId="28702" xr:uid="{00000000-0005-0000-0000-0000E73C0000}"/>
    <cellStyle name="Millares 5 4 5 3 2 2 2 2" xfId="55835" xr:uid="{00000000-0005-0000-0000-0000E83C0000}"/>
    <cellStyle name="Millares 5 4 5 3 2 2 3" xfId="42273" xr:uid="{00000000-0005-0000-0000-0000E93C0000}"/>
    <cellStyle name="Millares 5 4 5 3 2 3" xfId="21921" xr:uid="{00000000-0005-0000-0000-0000EA3C0000}"/>
    <cellStyle name="Millares 5 4 5 3 2 3 2" xfId="49054" xr:uid="{00000000-0005-0000-0000-0000EB3C0000}"/>
    <cellStyle name="Millares 5 4 5 3 2 4" xfId="35492" xr:uid="{00000000-0005-0000-0000-0000EC3C0000}"/>
    <cellStyle name="Millares 5 4 5 3 3" xfId="11745" xr:uid="{00000000-0005-0000-0000-0000ED3C0000}"/>
    <cellStyle name="Millares 5 4 5 3 3 2" xfId="25313" xr:uid="{00000000-0005-0000-0000-0000EE3C0000}"/>
    <cellStyle name="Millares 5 4 5 3 3 2 2" xfId="52446" xr:uid="{00000000-0005-0000-0000-0000EF3C0000}"/>
    <cellStyle name="Millares 5 4 5 3 3 3" xfId="38884" xr:uid="{00000000-0005-0000-0000-0000F03C0000}"/>
    <cellStyle name="Millares 5 4 5 3 4" xfId="18532" xr:uid="{00000000-0005-0000-0000-0000F13C0000}"/>
    <cellStyle name="Millares 5 4 5 3 4 2" xfId="45665" xr:uid="{00000000-0005-0000-0000-0000F23C0000}"/>
    <cellStyle name="Millares 5 4 5 3 5" xfId="32103" xr:uid="{00000000-0005-0000-0000-0000F33C0000}"/>
    <cellStyle name="Millares 5 4 5 4" xfId="4751" xr:uid="{00000000-0005-0000-0000-0000F43C0000}"/>
    <cellStyle name="Millares 5 4 5 4 2" xfId="8346" xr:uid="{00000000-0005-0000-0000-0000F53C0000}"/>
    <cellStyle name="Millares 5 4 5 4 2 2" xfId="15135" xr:uid="{00000000-0005-0000-0000-0000F63C0000}"/>
    <cellStyle name="Millares 5 4 5 4 2 2 2" xfId="28703" xr:uid="{00000000-0005-0000-0000-0000F73C0000}"/>
    <cellStyle name="Millares 5 4 5 4 2 2 2 2" xfId="55836" xr:uid="{00000000-0005-0000-0000-0000F83C0000}"/>
    <cellStyle name="Millares 5 4 5 4 2 2 3" xfId="42274" xr:uid="{00000000-0005-0000-0000-0000F93C0000}"/>
    <cellStyle name="Millares 5 4 5 4 2 3" xfId="21922" xr:uid="{00000000-0005-0000-0000-0000FA3C0000}"/>
    <cellStyle name="Millares 5 4 5 4 2 3 2" xfId="49055" xr:uid="{00000000-0005-0000-0000-0000FB3C0000}"/>
    <cellStyle name="Millares 5 4 5 4 2 4" xfId="35493" xr:uid="{00000000-0005-0000-0000-0000FC3C0000}"/>
    <cellStyle name="Millares 5 4 5 4 3" xfId="11746" xr:uid="{00000000-0005-0000-0000-0000FD3C0000}"/>
    <cellStyle name="Millares 5 4 5 4 3 2" xfId="25314" xr:uid="{00000000-0005-0000-0000-0000FE3C0000}"/>
    <cellStyle name="Millares 5 4 5 4 3 2 2" xfId="52447" xr:uid="{00000000-0005-0000-0000-0000FF3C0000}"/>
    <cellStyle name="Millares 5 4 5 4 3 3" xfId="38885" xr:uid="{00000000-0005-0000-0000-0000003D0000}"/>
    <cellStyle name="Millares 5 4 5 4 4" xfId="18533" xr:uid="{00000000-0005-0000-0000-0000013D0000}"/>
    <cellStyle name="Millares 5 4 5 4 4 2" xfId="45666" xr:uid="{00000000-0005-0000-0000-0000023D0000}"/>
    <cellStyle name="Millares 5 4 5 4 5" xfId="32104" xr:uid="{00000000-0005-0000-0000-0000033D0000}"/>
    <cellStyle name="Millares 5 4 5 5" xfId="8341" xr:uid="{00000000-0005-0000-0000-0000043D0000}"/>
    <cellStyle name="Millares 5 4 5 5 2" xfId="15130" xr:uid="{00000000-0005-0000-0000-0000053D0000}"/>
    <cellStyle name="Millares 5 4 5 5 2 2" xfId="28698" xr:uid="{00000000-0005-0000-0000-0000063D0000}"/>
    <cellStyle name="Millares 5 4 5 5 2 2 2" xfId="55831" xr:uid="{00000000-0005-0000-0000-0000073D0000}"/>
    <cellStyle name="Millares 5 4 5 5 2 3" xfId="42269" xr:uid="{00000000-0005-0000-0000-0000083D0000}"/>
    <cellStyle name="Millares 5 4 5 5 3" xfId="21917" xr:uid="{00000000-0005-0000-0000-0000093D0000}"/>
    <cellStyle name="Millares 5 4 5 5 3 2" xfId="49050" xr:uid="{00000000-0005-0000-0000-00000A3D0000}"/>
    <cellStyle name="Millares 5 4 5 5 4" xfId="35488" xr:uid="{00000000-0005-0000-0000-00000B3D0000}"/>
    <cellStyle name="Millares 5 4 5 6" xfId="11741" xr:uid="{00000000-0005-0000-0000-00000C3D0000}"/>
    <cellStyle name="Millares 5 4 5 6 2" xfId="25309" xr:uid="{00000000-0005-0000-0000-00000D3D0000}"/>
    <cellStyle name="Millares 5 4 5 6 2 2" xfId="52442" xr:uid="{00000000-0005-0000-0000-00000E3D0000}"/>
    <cellStyle name="Millares 5 4 5 6 3" xfId="38880" xr:uid="{00000000-0005-0000-0000-00000F3D0000}"/>
    <cellStyle name="Millares 5 4 5 7" xfId="18528" xr:uid="{00000000-0005-0000-0000-0000103D0000}"/>
    <cellStyle name="Millares 5 4 5 7 2" xfId="45661" xr:uid="{00000000-0005-0000-0000-0000113D0000}"/>
    <cellStyle name="Millares 5 4 5 8" xfId="32099" xr:uid="{00000000-0005-0000-0000-0000123D0000}"/>
    <cellStyle name="Millares 5 4 6" xfId="4752" xr:uid="{00000000-0005-0000-0000-0000133D0000}"/>
    <cellStyle name="Millares 5 4 6 2" xfId="4753" xr:uid="{00000000-0005-0000-0000-0000143D0000}"/>
    <cellStyle name="Millares 5 4 6 2 2" xfId="8348" xr:uid="{00000000-0005-0000-0000-0000153D0000}"/>
    <cellStyle name="Millares 5 4 6 2 2 2" xfId="15137" xr:uid="{00000000-0005-0000-0000-0000163D0000}"/>
    <cellStyle name="Millares 5 4 6 2 2 2 2" xfId="28705" xr:uid="{00000000-0005-0000-0000-0000173D0000}"/>
    <cellStyle name="Millares 5 4 6 2 2 2 2 2" xfId="55838" xr:uid="{00000000-0005-0000-0000-0000183D0000}"/>
    <cellStyle name="Millares 5 4 6 2 2 2 3" xfId="42276" xr:uid="{00000000-0005-0000-0000-0000193D0000}"/>
    <cellStyle name="Millares 5 4 6 2 2 3" xfId="21924" xr:uid="{00000000-0005-0000-0000-00001A3D0000}"/>
    <cellStyle name="Millares 5 4 6 2 2 3 2" xfId="49057" xr:uid="{00000000-0005-0000-0000-00001B3D0000}"/>
    <cellStyle name="Millares 5 4 6 2 2 4" xfId="35495" xr:uid="{00000000-0005-0000-0000-00001C3D0000}"/>
    <cellStyle name="Millares 5 4 6 2 3" xfId="11748" xr:uid="{00000000-0005-0000-0000-00001D3D0000}"/>
    <cellStyle name="Millares 5 4 6 2 3 2" xfId="25316" xr:uid="{00000000-0005-0000-0000-00001E3D0000}"/>
    <cellStyle name="Millares 5 4 6 2 3 2 2" xfId="52449" xr:uid="{00000000-0005-0000-0000-00001F3D0000}"/>
    <cellStyle name="Millares 5 4 6 2 3 3" xfId="38887" xr:uid="{00000000-0005-0000-0000-0000203D0000}"/>
    <cellStyle name="Millares 5 4 6 2 4" xfId="18535" xr:uid="{00000000-0005-0000-0000-0000213D0000}"/>
    <cellStyle name="Millares 5 4 6 2 4 2" xfId="45668" xr:uid="{00000000-0005-0000-0000-0000223D0000}"/>
    <cellStyle name="Millares 5 4 6 2 5" xfId="32106" xr:uid="{00000000-0005-0000-0000-0000233D0000}"/>
    <cellStyle name="Millares 5 4 6 3" xfId="4754" xr:uid="{00000000-0005-0000-0000-0000243D0000}"/>
    <cellStyle name="Millares 5 4 6 3 2" xfId="8349" xr:uid="{00000000-0005-0000-0000-0000253D0000}"/>
    <cellStyle name="Millares 5 4 6 3 2 2" xfId="15138" xr:uid="{00000000-0005-0000-0000-0000263D0000}"/>
    <cellStyle name="Millares 5 4 6 3 2 2 2" xfId="28706" xr:uid="{00000000-0005-0000-0000-0000273D0000}"/>
    <cellStyle name="Millares 5 4 6 3 2 2 2 2" xfId="55839" xr:uid="{00000000-0005-0000-0000-0000283D0000}"/>
    <cellStyle name="Millares 5 4 6 3 2 2 3" xfId="42277" xr:uid="{00000000-0005-0000-0000-0000293D0000}"/>
    <cellStyle name="Millares 5 4 6 3 2 3" xfId="21925" xr:uid="{00000000-0005-0000-0000-00002A3D0000}"/>
    <cellStyle name="Millares 5 4 6 3 2 3 2" xfId="49058" xr:uid="{00000000-0005-0000-0000-00002B3D0000}"/>
    <cellStyle name="Millares 5 4 6 3 2 4" xfId="35496" xr:uid="{00000000-0005-0000-0000-00002C3D0000}"/>
    <cellStyle name="Millares 5 4 6 3 3" xfId="11749" xr:uid="{00000000-0005-0000-0000-00002D3D0000}"/>
    <cellStyle name="Millares 5 4 6 3 3 2" xfId="25317" xr:uid="{00000000-0005-0000-0000-00002E3D0000}"/>
    <cellStyle name="Millares 5 4 6 3 3 2 2" xfId="52450" xr:uid="{00000000-0005-0000-0000-00002F3D0000}"/>
    <cellStyle name="Millares 5 4 6 3 3 3" xfId="38888" xr:uid="{00000000-0005-0000-0000-0000303D0000}"/>
    <cellStyle name="Millares 5 4 6 3 4" xfId="18536" xr:uid="{00000000-0005-0000-0000-0000313D0000}"/>
    <cellStyle name="Millares 5 4 6 3 4 2" xfId="45669" xr:uid="{00000000-0005-0000-0000-0000323D0000}"/>
    <cellStyle name="Millares 5 4 6 3 5" xfId="32107" xr:uid="{00000000-0005-0000-0000-0000333D0000}"/>
    <cellStyle name="Millares 5 4 6 4" xfId="8347" xr:uid="{00000000-0005-0000-0000-0000343D0000}"/>
    <cellStyle name="Millares 5 4 6 4 2" xfId="15136" xr:uid="{00000000-0005-0000-0000-0000353D0000}"/>
    <cellStyle name="Millares 5 4 6 4 2 2" xfId="28704" xr:uid="{00000000-0005-0000-0000-0000363D0000}"/>
    <cellStyle name="Millares 5 4 6 4 2 2 2" xfId="55837" xr:uid="{00000000-0005-0000-0000-0000373D0000}"/>
    <cellStyle name="Millares 5 4 6 4 2 3" xfId="42275" xr:uid="{00000000-0005-0000-0000-0000383D0000}"/>
    <cellStyle name="Millares 5 4 6 4 3" xfId="21923" xr:uid="{00000000-0005-0000-0000-0000393D0000}"/>
    <cellStyle name="Millares 5 4 6 4 3 2" xfId="49056" xr:uid="{00000000-0005-0000-0000-00003A3D0000}"/>
    <cellStyle name="Millares 5 4 6 4 4" xfId="35494" xr:uid="{00000000-0005-0000-0000-00003B3D0000}"/>
    <cellStyle name="Millares 5 4 6 5" xfId="11747" xr:uid="{00000000-0005-0000-0000-00003C3D0000}"/>
    <cellStyle name="Millares 5 4 6 5 2" xfId="25315" xr:uid="{00000000-0005-0000-0000-00003D3D0000}"/>
    <cellStyle name="Millares 5 4 6 5 2 2" xfId="52448" xr:uid="{00000000-0005-0000-0000-00003E3D0000}"/>
    <cellStyle name="Millares 5 4 6 5 3" xfId="38886" xr:uid="{00000000-0005-0000-0000-00003F3D0000}"/>
    <cellStyle name="Millares 5 4 6 6" xfId="18534" xr:uid="{00000000-0005-0000-0000-0000403D0000}"/>
    <cellStyle name="Millares 5 4 6 6 2" xfId="45667" xr:uid="{00000000-0005-0000-0000-0000413D0000}"/>
    <cellStyle name="Millares 5 4 6 7" xfId="32105" xr:uid="{00000000-0005-0000-0000-0000423D0000}"/>
    <cellStyle name="Millares 5 4 7" xfId="4755" xr:uid="{00000000-0005-0000-0000-0000433D0000}"/>
    <cellStyle name="Millares 5 4 7 2" xfId="4756" xr:uid="{00000000-0005-0000-0000-0000443D0000}"/>
    <cellStyle name="Millares 5 4 7 2 2" xfId="8351" xr:uid="{00000000-0005-0000-0000-0000453D0000}"/>
    <cellStyle name="Millares 5 4 7 2 2 2" xfId="15140" xr:uid="{00000000-0005-0000-0000-0000463D0000}"/>
    <cellStyle name="Millares 5 4 7 2 2 2 2" xfId="28708" xr:uid="{00000000-0005-0000-0000-0000473D0000}"/>
    <cellStyle name="Millares 5 4 7 2 2 2 2 2" xfId="55841" xr:uid="{00000000-0005-0000-0000-0000483D0000}"/>
    <cellStyle name="Millares 5 4 7 2 2 2 3" xfId="42279" xr:uid="{00000000-0005-0000-0000-0000493D0000}"/>
    <cellStyle name="Millares 5 4 7 2 2 3" xfId="21927" xr:uid="{00000000-0005-0000-0000-00004A3D0000}"/>
    <cellStyle name="Millares 5 4 7 2 2 3 2" xfId="49060" xr:uid="{00000000-0005-0000-0000-00004B3D0000}"/>
    <cellStyle name="Millares 5 4 7 2 2 4" xfId="35498" xr:uid="{00000000-0005-0000-0000-00004C3D0000}"/>
    <cellStyle name="Millares 5 4 7 2 3" xfId="11751" xr:uid="{00000000-0005-0000-0000-00004D3D0000}"/>
    <cellStyle name="Millares 5 4 7 2 3 2" xfId="25319" xr:uid="{00000000-0005-0000-0000-00004E3D0000}"/>
    <cellStyle name="Millares 5 4 7 2 3 2 2" xfId="52452" xr:uid="{00000000-0005-0000-0000-00004F3D0000}"/>
    <cellStyle name="Millares 5 4 7 2 3 3" xfId="38890" xr:uid="{00000000-0005-0000-0000-0000503D0000}"/>
    <cellStyle name="Millares 5 4 7 2 4" xfId="18538" xr:uid="{00000000-0005-0000-0000-0000513D0000}"/>
    <cellStyle name="Millares 5 4 7 2 4 2" xfId="45671" xr:uid="{00000000-0005-0000-0000-0000523D0000}"/>
    <cellStyle name="Millares 5 4 7 2 5" xfId="32109" xr:uid="{00000000-0005-0000-0000-0000533D0000}"/>
    <cellStyle name="Millares 5 4 7 3" xfId="8350" xr:uid="{00000000-0005-0000-0000-0000543D0000}"/>
    <cellStyle name="Millares 5 4 7 3 2" xfId="15139" xr:uid="{00000000-0005-0000-0000-0000553D0000}"/>
    <cellStyle name="Millares 5 4 7 3 2 2" xfId="28707" xr:uid="{00000000-0005-0000-0000-0000563D0000}"/>
    <cellStyle name="Millares 5 4 7 3 2 2 2" xfId="55840" xr:uid="{00000000-0005-0000-0000-0000573D0000}"/>
    <cellStyle name="Millares 5 4 7 3 2 3" xfId="42278" xr:uid="{00000000-0005-0000-0000-0000583D0000}"/>
    <cellStyle name="Millares 5 4 7 3 3" xfId="21926" xr:uid="{00000000-0005-0000-0000-0000593D0000}"/>
    <cellStyle name="Millares 5 4 7 3 3 2" xfId="49059" xr:uid="{00000000-0005-0000-0000-00005A3D0000}"/>
    <cellStyle name="Millares 5 4 7 3 4" xfId="35497" xr:uid="{00000000-0005-0000-0000-00005B3D0000}"/>
    <cellStyle name="Millares 5 4 7 4" xfId="11750" xr:uid="{00000000-0005-0000-0000-00005C3D0000}"/>
    <cellStyle name="Millares 5 4 7 4 2" xfId="25318" xr:uid="{00000000-0005-0000-0000-00005D3D0000}"/>
    <cellStyle name="Millares 5 4 7 4 2 2" xfId="52451" xr:uid="{00000000-0005-0000-0000-00005E3D0000}"/>
    <cellStyle name="Millares 5 4 7 4 3" xfId="38889" xr:uid="{00000000-0005-0000-0000-00005F3D0000}"/>
    <cellStyle name="Millares 5 4 7 5" xfId="18537" xr:uid="{00000000-0005-0000-0000-0000603D0000}"/>
    <cellStyle name="Millares 5 4 7 5 2" xfId="45670" xr:uid="{00000000-0005-0000-0000-0000613D0000}"/>
    <cellStyle name="Millares 5 4 7 6" xfId="32108" xr:uid="{00000000-0005-0000-0000-0000623D0000}"/>
    <cellStyle name="Millares 5 4 8" xfId="4757" xr:uid="{00000000-0005-0000-0000-0000633D0000}"/>
    <cellStyle name="Millares 5 4 8 2" xfId="8352" xr:uid="{00000000-0005-0000-0000-0000643D0000}"/>
    <cellStyle name="Millares 5 4 8 2 2" xfId="15141" xr:uid="{00000000-0005-0000-0000-0000653D0000}"/>
    <cellStyle name="Millares 5 4 8 2 2 2" xfId="28709" xr:uid="{00000000-0005-0000-0000-0000663D0000}"/>
    <cellStyle name="Millares 5 4 8 2 2 2 2" xfId="55842" xr:uid="{00000000-0005-0000-0000-0000673D0000}"/>
    <cellStyle name="Millares 5 4 8 2 2 3" xfId="42280" xr:uid="{00000000-0005-0000-0000-0000683D0000}"/>
    <cellStyle name="Millares 5 4 8 2 3" xfId="21928" xr:uid="{00000000-0005-0000-0000-0000693D0000}"/>
    <cellStyle name="Millares 5 4 8 2 3 2" xfId="49061" xr:uid="{00000000-0005-0000-0000-00006A3D0000}"/>
    <cellStyle name="Millares 5 4 8 2 4" xfId="35499" xr:uid="{00000000-0005-0000-0000-00006B3D0000}"/>
    <cellStyle name="Millares 5 4 8 3" xfId="11752" xr:uid="{00000000-0005-0000-0000-00006C3D0000}"/>
    <cellStyle name="Millares 5 4 8 3 2" xfId="25320" xr:uid="{00000000-0005-0000-0000-00006D3D0000}"/>
    <cellStyle name="Millares 5 4 8 3 2 2" xfId="52453" xr:uid="{00000000-0005-0000-0000-00006E3D0000}"/>
    <cellStyle name="Millares 5 4 8 3 3" xfId="38891" xr:uid="{00000000-0005-0000-0000-00006F3D0000}"/>
    <cellStyle name="Millares 5 4 8 4" xfId="18539" xr:uid="{00000000-0005-0000-0000-0000703D0000}"/>
    <cellStyle name="Millares 5 4 8 4 2" xfId="45672" xr:uid="{00000000-0005-0000-0000-0000713D0000}"/>
    <cellStyle name="Millares 5 4 8 5" xfId="32110" xr:uid="{00000000-0005-0000-0000-0000723D0000}"/>
    <cellStyle name="Millares 5 4 9" xfId="4758" xr:uid="{00000000-0005-0000-0000-0000733D0000}"/>
    <cellStyle name="Millares 5 4 9 2" xfId="8353" xr:uid="{00000000-0005-0000-0000-0000743D0000}"/>
    <cellStyle name="Millares 5 4 9 2 2" xfId="15142" xr:uid="{00000000-0005-0000-0000-0000753D0000}"/>
    <cellStyle name="Millares 5 4 9 2 2 2" xfId="28710" xr:uid="{00000000-0005-0000-0000-0000763D0000}"/>
    <cellStyle name="Millares 5 4 9 2 2 2 2" xfId="55843" xr:uid="{00000000-0005-0000-0000-0000773D0000}"/>
    <cellStyle name="Millares 5 4 9 2 2 3" xfId="42281" xr:uid="{00000000-0005-0000-0000-0000783D0000}"/>
    <cellStyle name="Millares 5 4 9 2 3" xfId="21929" xr:uid="{00000000-0005-0000-0000-0000793D0000}"/>
    <cellStyle name="Millares 5 4 9 2 3 2" xfId="49062" xr:uid="{00000000-0005-0000-0000-00007A3D0000}"/>
    <cellStyle name="Millares 5 4 9 2 4" xfId="35500" xr:uid="{00000000-0005-0000-0000-00007B3D0000}"/>
    <cellStyle name="Millares 5 4 9 3" xfId="11753" xr:uid="{00000000-0005-0000-0000-00007C3D0000}"/>
    <cellStyle name="Millares 5 4 9 3 2" xfId="25321" xr:uid="{00000000-0005-0000-0000-00007D3D0000}"/>
    <cellStyle name="Millares 5 4 9 3 2 2" xfId="52454" xr:uid="{00000000-0005-0000-0000-00007E3D0000}"/>
    <cellStyle name="Millares 5 4 9 3 3" xfId="38892" xr:uid="{00000000-0005-0000-0000-00007F3D0000}"/>
    <cellStyle name="Millares 5 4 9 4" xfId="18540" xr:uid="{00000000-0005-0000-0000-0000803D0000}"/>
    <cellStyle name="Millares 5 4 9 4 2" xfId="45673" xr:uid="{00000000-0005-0000-0000-0000813D0000}"/>
    <cellStyle name="Millares 5 4 9 5" xfId="32111" xr:uid="{00000000-0005-0000-0000-0000823D0000}"/>
    <cellStyle name="Millares 5 5" xfId="4759" xr:uid="{00000000-0005-0000-0000-0000833D0000}"/>
    <cellStyle name="Millares 5 5 10" xfId="32112" xr:uid="{00000000-0005-0000-0000-0000843D0000}"/>
    <cellStyle name="Millares 5 5 2" xfId="4760" xr:uid="{00000000-0005-0000-0000-0000853D0000}"/>
    <cellStyle name="Millares 5 5 2 2" xfId="4761" xr:uid="{00000000-0005-0000-0000-0000863D0000}"/>
    <cellStyle name="Millares 5 5 2 2 2" xfId="4762" xr:uid="{00000000-0005-0000-0000-0000873D0000}"/>
    <cellStyle name="Millares 5 5 2 2 2 2" xfId="8357" xr:uid="{00000000-0005-0000-0000-0000883D0000}"/>
    <cellStyle name="Millares 5 5 2 2 2 2 2" xfId="15146" xr:uid="{00000000-0005-0000-0000-0000893D0000}"/>
    <cellStyle name="Millares 5 5 2 2 2 2 2 2" xfId="28714" xr:uid="{00000000-0005-0000-0000-00008A3D0000}"/>
    <cellStyle name="Millares 5 5 2 2 2 2 2 2 2" xfId="55847" xr:uid="{00000000-0005-0000-0000-00008B3D0000}"/>
    <cellStyle name="Millares 5 5 2 2 2 2 2 3" xfId="42285" xr:uid="{00000000-0005-0000-0000-00008C3D0000}"/>
    <cellStyle name="Millares 5 5 2 2 2 2 3" xfId="21933" xr:uid="{00000000-0005-0000-0000-00008D3D0000}"/>
    <cellStyle name="Millares 5 5 2 2 2 2 3 2" xfId="49066" xr:uid="{00000000-0005-0000-0000-00008E3D0000}"/>
    <cellStyle name="Millares 5 5 2 2 2 2 4" xfId="35504" xr:uid="{00000000-0005-0000-0000-00008F3D0000}"/>
    <cellStyle name="Millares 5 5 2 2 2 3" xfId="11757" xr:uid="{00000000-0005-0000-0000-0000903D0000}"/>
    <cellStyle name="Millares 5 5 2 2 2 3 2" xfId="25325" xr:uid="{00000000-0005-0000-0000-0000913D0000}"/>
    <cellStyle name="Millares 5 5 2 2 2 3 2 2" xfId="52458" xr:uid="{00000000-0005-0000-0000-0000923D0000}"/>
    <cellStyle name="Millares 5 5 2 2 2 3 3" xfId="38896" xr:uid="{00000000-0005-0000-0000-0000933D0000}"/>
    <cellStyle name="Millares 5 5 2 2 2 4" xfId="18544" xr:uid="{00000000-0005-0000-0000-0000943D0000}"/>
    <cellStyle name="Millares 5 5 2 2 2 4 2" xfId="45677" xr:uid="{00000000-0005-0000-0000-0000953D0000}"/>
    <cellStyle name="Millares 5 5 2 2 2 5" xfId="32115" xr:uid="{00000000-0005-0000-0000-0000963D0000}"/>
    <cellStyle name="Millares 5 5 2 2 3" xfId="4763" xr:uid="{00000000-0005-0000-0000-0000973D0000}"/>
    <cellStyle name="Millares 5 5 2 2 3 2" xfId="8358" xr:uid="{00000000-0005-0000-0000-0000983D0000}"/>
    <cellStyle name="Millares 5 5 2 2 3 2 2" xfId="15147" xr:uid="{00000000-0005-0000-0000-0000993D0000}"/>
    <cellStyle name="Millares 5 5 2 2 3 2 2 2" xfId="28715" xr:uid="{00000000-0005-0000-0000-00009A3D0000}"/>
    <cellStyle name="Millares 5 5 2 2 3 2 2 2 2" xfId="55848" xr:uid="{00000000-0005-0000-0000-00009B3D0000}"/>
    <cellStyle name="Millares 5 5 2 2 3 2 2 3" xfId="42286" xr:uid="{00000000-0005-0000-0000-00009C3D0000}"/>
    <cellStyle name="Millares 5 5 2 2 3 2 3" xfId="21934" xr:uid="{00000000-0005-0000-0000-00009D3D0000}"/>
    <cellStyle name="Millares 5 5 2 2 3 2 3 2" xfId="49067" xr:uid="{00000000-0005-0000-0000-00009E3D0000}"/>
    <cellStyle name="Millares 5 5 2 2 3 2 4" xfId="35505" xr:uid="{00000000-0005-0000-0000-00009F3D0000}"/>
    <cellStyle name="Millares 5 5 2 2 3 3" xfId="11758" xr:uid="{00000000-0005-0000-0000-0000A03D0000}"/>
    <cellStyle name="Millares 5 5 2 2 3 3 2" xfId="25326" xr:uid="{00000000-0005-0000-0000-0000A13D0000}"/>
    <cellStyle name="Millares 5 5 2 2 3 3 2 2" xfId="52459" xr:uid="{00000000-0005-0000-0000-0000A23D0000}"/>
    <cellStyle name="Millares 5 5 2 2 3 3 3" xfId="38897" xr:uid="{00000000-0005-0000-0000-0000A33D0000}"/>
    <cellStyle name="Millares 5 5 2 2 3 4" xfId="18545" xr:uid="{00000000-0005-0000-0000-0000A43D0000}"/>
    <cellStyle name="Millares 5 5 2 2 3 4 2" xfId="45678" xr:uid="{00000000-0005-0000-0000-0000A53D0000}"/>
    <cellStyle name="Millares 5 5 2 2 3 5" xfId="32116" xr:uid="{00000000-0005-0000-0000-0000A63D0000}"/>
    <cellStyle name="Millares 5 5 2 2 4" xfId="8356" xr:uid="{00000000-0005-0000-0000-0000A73D0000}"/>
    <cellStyle name="Millares 5 5 2 2 4 2" xfId="15145" xr:uid="{00000000-0005-0000-0000-0000A83D0000}"/>
    <cellStyle name="Millares 5 5 2 2 4 2 2" xfId="28713" xr:uid="{00000000-0005-0000-0000-0000A93D0000}"/>
    <cellStyle name="Millares 5 5 2 2 4 2 2 2" xfId="55846" xr:uid="{00000000-0005-0000-0000-0000AA3D0000}"/>
    <cellStyle name="Millares 5 5 2 2 4 2 3" xfId="42284" xr:uid="{00000000-0005-0000-0000-0000AB3D0000}"/>
    <cellStyle name="Millares 5 5 2 2 4 3" xfId="21932" xr:uid="{00000000-0005-0000-0000-0000AC3D0000}"/>
    <cellStyle name="Millares 5 5 2 2 4 3 2" xfId="49065" xr:uid="{00000000-0005-0000-0000-0000AD3D0000}"/>
    <cellStyle name="Millares 5 5 2 2 4 4" xfId="35503" xr:uid="{00000000-0005-0000-0000-0000AE3D0000}"/>
    <cellStyle name="Millares 5 5 2 2 5" xfId="11756" xr:uid="{00000000-0005-0000-0000-0000AF3D0000}"/>
    <cellStyle name="Millares 5 5 2 2 5 2" xfId="25324" xr:uid="{00000000-0005-0000-0000-0000B03D0000}"/>
    <cellStyle name="Millares 5 5 2 2 5 2 2" xfId="52457" xr:uid="{00000000-0005-0000-0000-0000B13D0000}"/>
    <cellStyle name="Millares 5 5 2 2 5 3" xfId="38895" xr:uid="{00000000-0005-0000-0000-0000B23D0000}"/>
    <cellStyle name="Millares 5 5 2 2 6" xfId="18543" xr:uid="{00000000-0005-0000-0000-0000B33D0000}"/>
    <cellStyle name="Millares 5 5 2 2 6 2" xfId="45676" xr:uid="{00000000-0005-0000-0000-0000B43D0000}"/>
    <cellStyle name="Millares 5 5 2 2 7" xfId="32114" xr:uid="{00000000-0005-0000-0000-0000B53D0000}"/>
    <cellStyle name="Millares 5 5 2 3" xfId="4764" xr:uid="{00000000-0005-0000-0000-0000B63D0000}"/>
    <cellStyle name="Millares 5 5 2 3 2" xfId="4765" xr:uid="{00000000-0005-0000-0000-0000B73D0000}"/>
    <cellStyle name="Millares 5 5 2 3 2 2" xfId="8360" xr:uid="{00000000-0005-0000-0000-0000B83D0000}"/>
    <cellStyle name="Millares 5 5 2 3 2 2 2" xfId="15149" xr:uid="{00000000-0005-0000-0000-0000B93D0000}"/>
    <cellStyle name="Millares 5 5 2 3 2 2 2 2" xfId="28717" xr:uid="{00000000-0005-0000-0000-0000BA3D0000}"/>
    <cellStyle name="Millares 5 5 2 3 2 2 2 2 2" xfId="55850" xr:uid="{00000000-0005-0000-0000-0000BB3D0000}"/>
    <cellStyle name="Millares 5 5 2 3 2 2 2 3" xfId="42288" xr:uid="{00000000-0005-0000-0000-0000BC3D0000}"/>
    <cellStyle name="Millares 5 5 2 3 2 2 3" xfId="21936" xr:uid="{00000000-0005-0000-0000-0000BD3D0000}"/>
    <cellStyle name="Millares 5 5 2 3 2 2 3 2" xfId="49069" xr:uid="{00000000-0005-0000-0000-0000BE3D0000}"/>
    <cellStyle name="Millares 5 5 2 3 2 2 4" xfId="35507" xr:uid="{00000000-0005-0000-0000-0000BF3D0000}"/>
    <cellStyle name="Millares 5 5 2 3 2 3" xfId="11760" xr:uid="{00000000-0005-0000-0000-0000C03D0000}"/>
    <cellStyle name="Millares 5 5 2 3 2 3 2" xfId="25328" xr:uid="{00000000-0005-0000-0000-0000C13D0000}"/>
    <cellStyle name="Millares 5 5 2 3 2 3 2 2" xfId="52461" xr:uid="{00000000-0005-0000-0000-0000C23D0000}"/>
    <cellStyle name="Millares 5 5 2 3 2 3 3" xfId="38899" xr:uid="{00000000-0005-0000-0000-0000C33D0000}"/>
    <cellStyle name="Millares 5 5 2 3 2 4" xfId="18547" xr:uid="{00000000-0005-0000-0000-0000C43D0000}"/>
    <cellStyle name="Millares 5 5 2 3 2 4 2" xfId="45680" xr:uid="{00000000-0005-0000-0000-0000C53D0000}"/>
    <cellStyle name="Millares 5 5 2 3 2 5" xfId="32118" xr:uid="{00000000-0005-0000-0000-0000C63D0000}"/>
    <cellStyle name="Millares 5 5 2 3 3" xfId="8359" xr:uid="{00000000-0005-0000-0000-0000C73D0000}"/>
    <cellStyle name="Millares 5 5 2 3 3 2" xfId="15148" xr:uid="{00000000-0005-0000-0000-0000C83D0000}"/>
    <cellStyle name="Millares 5 5 2 3 3 2 2" xfId="28716" xr:uid="{00000000-0005-0000-0000-0000C93D0000}"/>
    <cellStyle name="Millares 5 5 2 3 3 2 2 2" xfId="55849" xr:uid="{00000000-0005-0000-0000-0000CA3D0000}"/>
    <cellStyle name="Millares 5 5 2 3 3 2 3" xfId="42287" xr:uid="{00000000-0005-0000-0000-0000CB3D0000}"/>
    <cellStyle name="Millares 5 5 2 3 3 3" xfId="21935" xr:uid="{00000000-0005-0000-0000-0000CC3D0000}"/>
    <cellStyle name="Millares 5 5 2 3 3 3 2" xfId="49068" xr:uid="{00000000-0005-0000-0000-0000CD3D0000}"/>
    <cellStyle name="Millares 5 5 2 3 3 4" xfId="35506" xr:uid="{00000000-0005-0000-0000-0000CE3D0000}"/>
    <cellStyle name="Millares 5 5 2 3 4" xfId="11759" xr:uid="{00000000-0005-0000-0000-0000CF3D0000}"/>
    <cellStyle name="Millares 5 5 2 3 4 2" xfId="25327" xr:uid="{00000000-0005-0000-0000-0000D03D0000}"/>
    <cellStyle name="Millares 5 5 2 3 4 2 2" xfId="52460" xr:uid="{00000000-0005-0000-0000-0000D13D0000}"/>
    <cellStyle name="Millares 5 5 2 3 4 3" xfId="38898" xr:uid="{00000000-0005-0000-0000-0000D23D0000}"/>
    <cellStyle name="Millares 5 5 2 3 5" xfId="18546" xr:uid="{00000000-0005-0000-0000-0000D33D0000}"/>
    <cellStyle name="Millares 5 5 2 3 5 2" xfId="45679" xr:uid="{00000000-0005-0000-0000-0000D43D0000}"/>
    <cellStyle name="Millares 5 5 2 3 6" xfId="32117" xr:uid="{00000000-0005-0000-0000-0000D53D0000}"/>
    <cellStyle name="Millares 5 5 2 4" xfId="4766" xr:uid="{00000000-0005-0000-0000-0000D63D0000}"/>
    <cellStyle name="Millares 5 5 2 4 2" xfId="8361" xr:uid="{00000000-0005-0000-0000-0000D73D0000}"/>
    <cellStyle name="Millares 5 5 2 4 2 2" xfId="15150" xr:uid="{00000000-0005-0000-0000-0000D83D0000}"/>
    <cellStyle name="Millares 5 5 2 4 2 2 2" xfId="28718" xr:uid="{00000000-0005-0000-0000-0000D93D0000}"/>
    <cellStyle name="Millares 5 5 2 4 2 2 2 2" xfId="55851" xr:uid="{00000000-0005-0000-0000-0000DA3D0000}"/>
    <cellStyle name="Millares 5 5 2 4 2 2 3" xfId="42289" xr:uid="{00000000-0005-0000-0000-0000DB3D0000}"/>
    <cellStyle name="Millares 5 5 2 4 2 3" xfId="21937" xr:uid="{00000000-0005-0000-0000-0000DC3D0000}"/>
    <cellStyle name="Millares 5 5 2 4 2 3 2" xfId="49070" xr:uid="{00000000-0005-0000-0000-0000DD3D0000}"/>
    <cellStyle name="Millares 5 5 2 4 2 4" xfId="35508" xr:uid="{00000000-0005-0000-0000-0000DE3D0000}"/>
    <cellStyle name="Millares 5 5 2 4 3" xfId="11761" xr:uid="{00000000-0005-0000-0000-0000DF3D0000}"/>
    <cellStyle name="Millares 5 5 2 4 3 2" xfId="25329" xr:uid="{00000000-0005-0000-0000-0000E03D0000}"/>
    <cellStyle name="Millares 5 5 2 4 3 2 2" xfId="52462" xr:uid="{00000000-0005-0000-0000-0000E13D0000}"/>
    <cellStyle name="Millares 5 5 2 4 3 3" xfId="38900" xr:uid="{00000000-0005-0000-0000-0000E23D0000}"/>
    <cellStyle name="Millares 5 5 2 4 4" xfId="18548" xr:uid="{00000000-0005-0000-0000-0000E33D0000}"/>
    <cellStyle name="Millares 5 5 2 4 4 2" xfId="45681" xr:uid="{00000000-0005-0000-0000-0000E43D0000}"/>
    <cellStyle name="Millares 5 5 2 4 5" xfId="32119" xr:uid="{00000000-0005-0000-0000-0000E53D0000}"/>
    <cellStyle name="Millares 5 5 2 5" xfId="4767" xr:uid="{00000000-0005-0000-0000-0000E63D0000}"/>
    <cellStyle name="Millares 5 5 2 5 2" xfId="8362" xr:uid="{00000000-0005-0000-0000-0000E73D0000}"/>
    <cellStyle name="Millares 5 5 2 5 2 2" xfId="15151" xr:uid="{00000000-0005-0000-0000-0000E83D0000}"/>
    <cellStyle name="Millares 5 5 2 5 2 2 2" xfId="28719" xr:uid="{00000000-0005-0000-0000-0000E93D0000}"/>
    <cellStyle name="Millares 5 5 2 5 2 2 2 2" xfId="55852" xr:uid="{00000000-0005-0000-0000-0000EA3D0000}"/>
    <cellStyle name="Millares 5 5 2 5 2 2 3" xfId="42290" xr:uid="{00000000-0005-0000-0000-0000EB3D0000}"/>
    <cellStyle name="Millares 5 5 2 5 2 3" xfId="21938" xr:uid="{00000000-0005-0000-0000-0000EC3D0000}"/>
    <cellStyle name="Millares 5 5 2 5 2 3 2" xfId="49071" xr:uid="{00000000-0005-0000-0000-0000ED3D0000}"/>
    <cellStyle name="Millares 5 5 2 5 2 4" xfId="35509" xr:uid="{00000000-0005-0000-0000-0000EE3D0000}"/>
    <cellStyle name="Millares 5 5 2 5 3" xfId="11762" xr:uid="{00000000-0005-0000-0000-0000EF3D0000}"/>
    <cellStyle name="Millares 5 5 2 5 3 2" xfId="25330" xr:uid="{00000000-0005-0000-0000-0000F03D0000}"/>
    <cellStyle name="Millares 5 5 2 5 3 2 2" xfId="52463" xr:uid="{00000000-0005-0000-0000-0000F13D0000}"/>
    <cellStyle name="Millares 5 5 2 5 3 3" xfId="38901" xr:uid="{00000000-0005-0000-0000-0000F23D0000}"/>
    <cellStyle name="Millares 5 5 2 5 4" xfId="18549" xr:uid="{00000000-0005-0000-0000-0000F33D0000}"/>
    <cellStyle name="Millares 5 5 2 5 4 2" xfId="45682" xr:uid="{00000000-0005-0000-0000-0000F43D0000}"/>
    <cellStyle name="Millares 5 5 2 5 5" xfId="32120" xr:uid="{00000000-0005-0000-0000-0000F53D0000}"/>
    <cellStyle name="Millares 5 5 2 6" xfId="8355" xr:uid="{00000000-0005-0000-0000-0000F63D0000}"/>
    <cellStyle name="Millares 5 5 2 6 2" xfId="15144" xr:uid="{00000000-0005-0000-0000-0000F73D0000}"/>
    <cellStyle name="Millares 5 5 2 6 2 2" xfId="28712" xr:uid="{00000000-0005-0000-0000-0000F83D0000}"/>
    <cellStyle name="Millares 5 5 2 6 2 2 2" xfId="55845" xr:uid="{00000000-0005-0000-0000-0000F93D0000}"/>
    <cellStyle name="Millares 5 5 2 6 2 3" xfId="42283" xr:uid="{00000000-0005-0000-0000-0000FA3D0000}"/>
    <cellStyle name="Millares 5 5 2 6 3" xfId="21931" xr:uid="{00000000-0005-0000-0000-0000FB3D0000}"/>
    <cellStyle name="Millares 5 5 2 6 3 2" xfId="49064" xr:uid="{00000000-0005-0000-0000-0000FC3D0000}"/>
    <cellStyle name="Millares 5 5 2 6 4" xfId="35502" xr:uid="{00000000-0005-0000-0000-0000FD3D0000}"/>
    <cellStyle name="Millares 5 5 2 7" xfId="11755" xr:uid="{00000000-0005-0000-0000-0000FE3D0000}"/>
    <cellStyle name="Millares 5 5 2 7 2" xfId="25323" xr:uid="{00000000-0005-0000-0000-0000FF3D0000}"/>
    <cellStyle name="Millares 5 5 2 7 2 2" xfId="52456" xr:uid="{00000000-0005-0000-0000-0000003E0000}"/>
    <cellStyle name="Millares 5 5 2 7 3" xfId="38894" xr:uid="{00000000-0005-0000-0000-0000013E0000}"/>
    <cellStyle name="Millares 5 5 2 8" xfId="18542" xr:uid="{00000000-0005-0000-0000-0000023E0000}"/>
    <cellStyle name="Millares 5 5 2 8 2" xfId="45675" xr:uid="{00000000-0005-0000-0000-0000033E0000}"/>
    <cellStyle name="Millares 5 5 2 9" xfId="32113" xr:uid="{00000000-0005-0000-0000-0000043E0000}"/>
    <cellStyle name="Millares 5 5 3" xfId="4768" xr:uid="{00000000-0005-0000-0000-0000053E0000}"/>
    <cellStyle name="Millares 5 5 3 2" xfId="4769" xr:uid="{00000000-0005-0000-0000-0000063E0000}"/>
    <cellStyle name="Millares 5 5 3 2 2" xfId="8364" xr:uid="{00000000-0005-0000-0000-0000073E0000}"/>
    <cellStyle name="Millares 5 5 3 2 2 2" xfId="15153" xr:uid="{00000000-0005-0000-0000-0000083E0000}"/>
    <cellStyle name="Millares 5 5 3 2 2 2 2" xfId="28721" xr:uid="{00000000-0005-0000-0000-0000093E0000}"/>
    <cellStyle name="Millares 5 5 3 2 2 2 2 2" xfId="55854" xr:uid="{00000000-0005-0000-0000-00000A3E0000}"/>
    <cellStyle name="Millares 5 5 3 2 2 2 3" xfId="42292" xr:uid="{00000000-0005-0000-0000-00000B3E0000}"/>
    <cellStyle name="Millares 5 5 3 2 2 3" xfId="21940" xr:uid="{00000000-0005-0000-0000-00000C3E0000}"/>
    <cellStyle name="Millares 5 5 3 2 2 3 2" xfId="49073" xr:uid="{00000000-0005-0000-0000-00000D3E0000}"/>
    <cellStyle name="Millares 5 5 3 2 2 4" xfId="35511" xr:uid="{00000000-0005-0000-0000-00000E3E0000}"/>
    <cellStyle name="Millares 5 5 3 2 3" xfId="11764" xr:uid="{00000000-0005-0000-0000-00000F3E0000}"/>
    <cellStyle name="Millares 5 5 3 2 3 2" xfId="25332" xr:uid="{00000000-0005-0000-0000-0000103E0000}"/>
    <cellStyle name="Millares 5 5 3 2 3 2 2" xfId="52465" xr:uid="{00000000-0005-0000-0000-0000113E0000}"/>
    <cellStyle name="Millares 5 5 3 2 3 3" xfId="38903" xr:uid="{00000000-0005-0000-0000-0000123E0000}"/>
    <cellStyle name="Millares 5 5 3 2 4" xfId="18551" xr:uid="{00000000-0005-0000-0000-0000133E0000}"/>
    <cellStyle name="Millares 5 5 3 2 4 2" xfId="45684" xr:uid="{00000000-0005-0000-0000-0000143E0000}"/>
    <cellStyle name="Millares 5 5 3 2 5" xfId="32122" xr:uid="{00000000-0005-0000-0000-0000153E0000}"/>
    <cellStyle name="Millares 5 5 3 3" xfId="4770" xr:uid="{00000000-0005-0000-0000-0000163E0000}"/>
    <cellStyle name="Millares 5 5 3 3 2" xfId="8365" xr:uid="{00000000-0005-0000-0000-0000173E0000}"/>
    <cellStyle name="Millares 5 5 3 3 2 2" xfId="15154" xr:uid="{00000000-0005-0000-0000-0000183E0000}"/>
    <cellStyle name="Millares 5 5 3 3 2 2 2" xfId="28722" xr:uid="{00000000-0005-0000-0000-0000193E0000}"/>
    <cellStyle name="Millares 5 5 3 3 2 2 2 2" xfId="55855" xr:uid="{00000000-0005-0000-0000-00001A3E0000}"/>
    <cellStyle name="Millares 5 5 3 3 2 2 3" xfId="42293" xr:uid="{00000000-0005-0000-0000-00001B3E0000}"/>
    <cellStyle name="Millares 5 5 3 3 2 3" xfId="21941" xr:uid="{00000000-0005-0000-0000-00001C3E0000}"/>
    <cellStyle name="Millares 5 5 3 3 2 3 2" xfId="49074" xr:uid="{00000000-0005-0000-0000-00001D3E0000}"/>
    <cellStyle name="Millares 5 5 3 3 2 4" xfId="35512" xr:uid="{00000000-0005-0000-0000-00001E3E0000}"/>
    <cellStyle name="Millares 5 5 3 3 3" xfId="11765" xr:uid="{00000000-0005-0000-0000-00001F3E0000}"/>
    <cellStyle name="Millares 5 5 3 3 3 2" xfId="25333" xr:uid="{00000000-0005-0000-0000-0000203E0000}"/>
    <cellStyle name="Millares 5 5 3 3 3 2 2" xfId="52466" xr:uid="{00000000-0005-0000-0000-0000213E0000}"/>
    <cellStyle name="Millares 5 5 3 3 3 3" xfId="38904" xr:uid="{00000000-0005-0000-0000-0000223E0000}"/>
    <cellStyle name="Millares 5 5 3 3 4" xfId="18552" xr:uid="{00000000-0005-0000-0000-0000233E0000}"/>
    <cellStyle name="Millares 5 5 3 3 4 2" xfId="45685" xr:uid="{00000000-0005-0000-0000-0000243E0000}"/>
    <cellStyle name="Millares 5 5 3 3 5" xfId="32123" xr:uid="{00000000-0005-0000-0000-0000253E0000}"/>
    <cellStyle name="Millares 5 5 3 4" xfId="8363" xr:uid="{00000000-0005-0000-0000-0000263E0000}"/>
    <cellStyle name="Millares 5 5 3 4 2" xfId="15152" xr:uid="{00000000-0005-0000-0000-0000273E0000}"/>
    <cellStyle name="Millares 5 5 3 4 2 2" xfId="28720" xr:uid="{00000000-0005-0000-0000-0000283E0000}"/>
    <cellStyle name="Millares 5 5 3 4 2 2 2" xfId="55853" xr:uid="{00000000-0005-0000-0000-0000293E0000}"/>
    <cellStyle name="Millares 5 5 3 4 2 3" xfId="42291" xr:uid="{00000000-0005-0000-0000-00002A3E0000}"/>
    <cellStyle name="Millares 5 5 3 4 3" xfId="21939" xr:uid="{00000000-0005-0000-0000-00002B3E0000}"/>
    <cellStyle name="Millares 5 5 3 4 3 2" xfId="49072" xr:uid="{00000000-0005-0000-0000-00002C3E0000}"/>
    <cellStyle name="Millares 5 5 3 4 4" xfId="35510" xr:uid="{00000000-0005-0000-0000-00002D3E0000}"/>
    <cellStyle name="Millares 5 5 3 5" xfId="11763" xr:uid="{00000000-0005-0000-0000-00002E3E0000}"/>
    <cellStyle name="Millares 5 5 3 5 2" xfId="25331" xr:uid="{00000000-0005-0000-0000-00002F3E0000}"/>
    <cellStyle name="Millares 5 5 3 5 2 2" xfId="52464" xr:uid="{00000000-0005-0000-0000-0000303E0000}"/>
    <cellStyle name="Millares 5 5 3 5 3" xfId="38902" xr:uid="{00000000-0005-0000-0000-0000313E0000}"/>
    <cellStyle name="Millares 5 5 3 6" xfId="18550" xr:uid="{00000000-0005-0000-0000-0000323E0000}"/>
    <cellStyle name="Millares 5 5 3 6 2" xfId="45683" xr:uid="{00000000-0005-0000-0000-0000333E0000}"/>
    <cellStyle name="Millares 5 5 3 7" xfId="32121" xr:uid="{00000000-0005-0000-0000-0000343E0000}"/>
    <cellStyle name="Millares 5 5 4" xfId="4771" xr:uid="{00000000-0005-0000-0000-0000353E0000}"/>
    <cellStyle name="Millares 5 5 4 2" xfId="4772" xr:uid="{00000000-0005-0000-0000-0000363E0000}"/>
    <cellStyle name="Millares 5 5 4 2 2" xfId="8367" xr:uid="{00000000-0005-0000-0000-0000373E0000}"/>
    <cellStyle name="Millares 5 5 4 2 2 2" xfId="15156" xr:uid="{00000000-0005-0000-0000-0000383E0000}"/>
    <cellStyle name="Millares 5 5 4 2 2 2 2" xfId="28724" xr:uid="{00000000-0005-0000-0000-0000393E0000}"/>
    <cellStyle name="Millares 5 5 4 2 2 2 2 2" xfId="55857" xr:uid="{00000000-0005-0000-0000-00003A3E0000}"/>
    <cellStyle name="Millares 5 5 4 2 2 2 3" xfId="42295" xr:uid="{00000000-0005-0000-0000-00003B3E0000}"/>
    <cellStyle name="Millares 5 5 4 2 2 3" xfId="21943" xr:uid="{00000000-0005-0000-0000-00003C3E0000}"/>
    <cellStyle name="Millares 5 5 4 2 2 3 2" xfId="49076" xr:uid="{00000000-0005-0000-0000-00003D3E0000}"/>
    <cellStyle name="Millares 5 5 4 2 2 4" xfId="35514" xr:uid="{00000000-0005-0000-0000-00003E3E0000}"/>
    <cellStyle name="Millares 5 5 4 2 3" xfId="11767" xr:uid="{00000000-0005-0000-0000-00003F3E0000}"/>
    <cellStyle name="Millares 5 5 4 2 3 2" xfId="25335" xr:uid="{00000000-0005-0000-0000-0000403E0000}"/>
    <cellStyle name="Millares 5 5 4 2 3 2 2" xfId="52468" xr:uid="{00000000-0005-0000-0000-0000413E0000}"/>
    <cellStyle name="Millares 5 5 4 2 3 3" xfId="38906" xr:uid="{00000000-0005-0000-0000-0000423E0000}"/>
    <cellStyle name="Millares 5 5 4 2 4" xfId="18554" xr:uid="{00000000-0005-0000-0000-0000433E0000}"/>
    <cellStyle name="Millares 5 5 4 2 4 2" xfId="45687" xr:uid="{00000000-0005-0000-0000-0000443E0000}"/>
    <cellStyle name="Millares 5 5 4 2 5" xfId="32125" xr:uid="{00000000-0005-0000-0000-0000453E0000}"/>
    <cellStyle name="Millares 5 5 4 3" xfId="8366" xr:uid="{00000000-0005-0000-0000-0000463E0000}"/>
    <cellStyle name="Millares 5 5 4 3 2" xfId="15155" xr:uid="{00000000-0005-0000-0000-0000473E0000}"/>
    <cellStyle name="Millares 5 5 4 3 2 2" xfId="28723" xr:uid="{00000000-0005-0000-0000-0000483E0000}"/>
    <cellStyle name="Millares 5 5 4 3 2 2 2" xfId="55856" xr:uid="{00000000-0005-0000-0000-0000493E0000}"/>
    <cellStyle name="Millares 5 5 4 3 2 3" xfId="42294" xr:uid="{00000000-0005-0000-0000-00004A3E0000}"/>
    <cellStyle name="Millares 5 5 4 3 3" xfId="21942" xr:uid="{00000000-0005-0000-0000-00004B3E0000}"/>
    <cellStyle name="Millares 5 5 4 3 3 2" xfId="49075" xr:uid="{00000000-0005-0000-0000-00004C3E0000}"/>
    <cellStyle name="Millares 5 5 4 3 4" xfId="35513" xr:uid="{00000000-0005-0000-0000-00004D3E0000}"/>
    <cellStyle name="Millares 5 5 4 4" xfId="11766" xr:uid="{00000000-0005-0000-0000-00004E3E0000}"/>
    <cellStyle name="Millares 5 5 4 4 2" xfId="25334" xr:uid="{00000000-0005-0000-0000-00004F3E0000}"/>
    <cellStyle name="Millares 5 5 4 4 2 2" xfId="52467" xr:uid="{00000000-0005-0000-0000-0000503E0000}"/>
    <cellStyle name="Millares 5 5 4 4 3" xfId="38905" xr:uid="{00000000-0005-0000-0000-0000513E0000}"/>
    <cellStyle name="Millares 5 5 4 5" xfId="18553" xr:uid="{00000000-0005-0000-0000-0000523E0000}"/>
    <cellStyle name="Millares 5 5 4 5 2" xfId="45686" xr:uid="{00000000-0005-0000-0000-0000533E0000}"/>
    <cellStyle name="Millares 5 5 4 6" xfId="32124" xr:uid="{00000000-0005-0000-0000-0000543E0000}"/>
    <cellStyle name="Millares 5 5 5" xfId="4773" xr:uid="{00000000-0005-0000-0000-0000553E0000}"/>
    <cellStyle name="Millares 5 5 5 2" xfId="8368" xr:uid="{00000000-0005-0000-0000-0000563E0000}"/>
    <cellStyle name="Millares 5 5 5 2 2" xfId="15157" xr:uid="{00000000-0005-0000-0000-0000573E0000}"/>
    <cellStyle name="Millares 5 5 5 2 2 2" xfId="28725" xr:uid="{00000000-0005-0000-0000-0000583E0000}"/>
    <cellStyle name="Millares 5 5 5 2 2 2 2" xfId="55858" xr:uid="{00000000-0005-0000-0000-0000593E0000}"/>
    <cellStyle name="Millares 5 5 5 2 2 3" xfId="42296" xr:uid="{00000000-0005-0000-0000-00005A3E0000}"/>
    <cellStyle name="Millares 5 5 5 2 3" xfId="21944" xr:uid="{00000000-0005-0000-0000-00005B3E0000}"/>
    <cellStyle name="Millares 5 5 5 2 3 2" xfId="49077" xr:uid="{00000000-0005-0000-0000-00005C3E0000}"/>
    <cellStyle name="Millares 5 5 5 2 4" xfId="35515" xr:uid="{00000000-0005-0000-0000-00005D3E0000}"/>
    <cellStyle name="Millares 5 5 5 3" xfId="11768" xr:uid="{00000000-0005-0000-0000-00005E3E0000}"/>
    <cellStyle name="Millares 5 5 5 3 2" xfId="25336" xr:uid="{00000000-0005-0000-0000-00005F3E0000}"/>
    <cellStyle name="Millares 5 5 5 3 2 2" xfId="52469" xr:uid="{00000000-0005-0000-0000-0000603E0000}"/>
    <cellStyle name="Millares 5 5 5 3 3" xfId="38907" xr:uid="{00000000-0005-0000-0000-0000613E0000}"/>
    <cellStyle name="Millares 5 5 5 4" xfId="18555" xr:uid="{00000000-0005-0000-0000-0000623E0000}"/>
    <cellStyle name="Millares 5 5 5 4 2" xfId="45688" xr:uid="{00000000-0005-0000-0000-0000633E0000}"/>
    <cellStyle name="Millares 5 5 5 5" xfId="32126" xr:uid="{00000000-0005-0000-0000-0000643E0000}"/>
    <cellStyle name="Millares 5 5 6" xfId="4774" xr:uid="{00000000-0005-0000-0000-0000653E0000}"/>
    <cellStyle name="Millares 5 5 6 2" xfId="8369" xr:uid="{00000000-0005-0000-0000-0000663E0000}"/>
    <cellStyle name="Millares 5 5 6 2 2" xfId="15158" xr:uid="{00000000-0005-0000-0000-0000673E0000}"/>
    <cellStyle name="Millares 5 5 6 2 2 2" xfId="28726" xr:uid="{00000000-0005-0000-0000-0000683E0000}"/>
    <cellStyle name="Millares 5 5 6 2 2 2 2" xfId="55859" xr:uid="{00000000-0005-0000-0000-0000693E0000}"/>
    <cellStyle name="Millares 5 5 6 2 2 3" xfId="42297" xr:uid="{00000000-0005-0000-0000-00006A3E0000}"/>
    <cellStyle name="Millares 5 5 6 2 3" xfId="21945" xr:uid="{00000000-0005-0000-0000-00006B3E0000}"/>
    <cellStyle name="Millares 5 5 6 2 3 2" xfId="49078" xr:uid="{00000000-0005-0000-0000-00006C3E0000}"/>
    <cellStyle name="Millares 5 5 6 2 4" xfId="35516" xr:uid="{00000000-0005-0000-0000-00006D3E0000}"/>
    <cellStyle name="Millares 5 5 6 3" xfId="11769" xr:uid="{00000000-0005-0000-0000-00006E3E0000}"/>
    <cellStyle name="Millares 5 5 6 3 2" xfId="25337" xr:uid="{00000000-0005-0000-0000-00006F3E0000}"/>
    <cellStyle name="Millares 5 5 6 3 2 2" xfId="52470" xr:uid="{00000000-0005-0000-0000-0000703E0000}"/>
    <cellStyle name="Millares 5 5 6 3 3" xfId="38908" xr:uid="{00000000-0005-0000-0000-0000713E0000}"/>
    <cellStyle name="Millares 5 5 6 4" xfId="18556" xr:uid="{00000000-0005-0000-0000-0000723E0000}"/>
    <cellStyle name="Millares 5 5 6 4 2" xfId="45689" xr:uid="{00000000-0005-0000-0000-0000733E0000}"/>
    <cellStyle name="Millares 5 5 6 5" xfId="32127" xr:uid="{00000000-0005-0000-0000-0000743E0000}"/>
    <cellStyle name="Millares 5 5 7" xfId="8354" xr:uid="{00000000-0005-0000-0000-0000753E0000}"/>
    <cellStyle name="Millares 5 5 7 2" xfId="15143" xr:uid="{00000000-0005-0000-0000-0000763E0000}"/>
    <cellStyle name="Millares 5 5 7 2 2" xfId="28711" xr:uid="{00000000-0005-0000-0000-0000773E0000}"/>
    <cellStyle name="Millares 5 5 7 2 2 2" xfId="55844" xr:uid="{00000000-0005-0000-0000-0000783E0000}"/>
    <cellStyle name="Millares 5 5 7 2 3" xfId="42282" xr:uid="{00000000-0005-0000-0000-0000793E0000}"/>
    <cellStyle name="Millares 5 5 7 3" xfId="21930" xr:uid="{00000000-0005-0000-0000-00007A3E0000}"/>
    <cellStyle name="Millares 5 5 7 3 2" xfId="49063" xr:uid="{00000000-0005-0000-0000-00007B3E0000}"/>
    <cellStyle name="Millares 5 5 7 4" xfId="35501" xr:uid="{00000000-0005-0000-0000-00007C3E0000}"/>
    <cellStyle name="Millares 5 5 8" xfId="11754" xr:uid="{00000000-0005-0000-0000-00007D3E0000}"/>
    <cellStyle name="Millares 5 5 8 2" xfId="25322" xr:uid="{00000000-0005-0000-0000-00007E3E0000}"/>
    <cellStyle name="Millares 5 5 8 2 2" xfId="52455" xr:uid="{00000000-0005-0000-0000-00007F3E0000}"/>
    <cellStyle name="Millares 5 5 8 3" xfId="38893" xr:uid="{00000000-0005-0000-0000-0000803E0000}"/>
    <cellStyle name="Millares 5 5 9" xfId="18541" xr:uid="{00000000-0005-0000-0000-0000813E0000}"/>
    <cellStyle name="Millares 5 5 9 2" xfId="45674" xr:uid="{00000000-0005-0000-0000-0000823E0000}"/>
    <cellStyle name="Millares 5 6" xfId="4775" xr:uid="{00000000-0005-0000-0000-0000833E0000}"/>
    <cellStyle name="Millares 5 6 2" xfId="4776" xr:uid="{00000000-0005-0000-0000-0000843E0000}"/>
    <cellStyle name="Millares 5 6 2 2" xfId="4777" xr:uid="{00000000-0005-0000-0000-0000853E0000}"/>
    <cellStyle name="Millares 5 6 2 2 2" xfId="8372" xr:uid="{00000000-0005-0000-0000-0000863E0000}"/>
    <cellStyle name="Millares 5 6 2 2 2 2" xfId="15161" xr:uid="{00000000-0005-0000-0000-0000873E0000}"/>
    <cellStyle name="Millares 5 6 2 2 2 2 2" xfId="28729" xr:uid="{00000000-0005-0000-0000-0000883E0000}"/>
    <cellStyle name="Millares 5 6 2 2 2 2 2 2" xfId="55862" xr:uid="{00000000-0005-0000-0000-0000893E0000}"/>
    <cellStyle name="Millares 5 6 2 2 2 2 3" xfId="42300" xr:uid="{00000000-0005-0000-0000-00008A3E0000}"/>
    <cellStyle name="Millares 5 6 2 2 2 3" xfId="21948" xr:uid="{00000000-0005-0000-0000-00008B3E0000}"/>
    <cellStyle name="Millares 5 6 2 2 2 3 2" xfId="49081" xr:uid="{00000000-0005-0000-0000-00008C3E0000}"/>
    <cellStyle name="Millares 5 6 2 2 2 4" xfId="35519" xr:uid="{00000000-0005-0000-0000-00008D3E0000}"/>
    <cellStyle name="Millares 5 6 2 2 3" xfId="11772" xr:uid="{00000000-0005-0000-0000-00008E3E0000}"/>
    <cellStyle name="Millares 5 6 2 2 3 2" xfId="25340" xr:uid="{00000000-0005-0000-0000-00008F3E0000}"/>
    <cellStyle name="Millares 5 6 2 2 3 2 2" xfId="52473" xr:uid="{00000000-0005-0000-0000-0000903E0000}"/>
    <cellStyle name="Millares 5 6 2 2 3 3" xfId="38911" xr:uid="{00000000-0005-0000-0000-0000913E0000}"/>
    <cellStyle name="Millares 5 6 2 2 4" xfId="18559" xr:uid="{00000000-0005-0000-0000-0000923E0000}"/>
    <cellStyle name="Millares 5 6 2 2 4 2" xfId="45692" xr:uid="{00000000-0005-0000-0000-0000933E0000}"/>
    <cellStyle name="Millares 5 6 2 2 5" xfId="32130" xr:uid="{00000000-0005-0000-0000-0000943E0000}"/>
    <cellStyle name="Millares 5 6 2 3" xfId="4778" xr:uid="{00000000-0005-0000-0000-0000953E0000}"/>
    <cellStyle name="Millares 5 6 2 3 2" xfId="8373" xr:uid="{00000000-0005-0000-0000-0000963E0000}"/>
    <cellStyle name="Millares 5 6 2 3 2 2" xfId="15162" xr:uid="{00000000-0005-0000-0000-0000973E0000}"/>
    <cellStyle name="Millares 5 6 2 3 2 2 2" xfId="28730" xr:uid="{00000000-0005-0000-0000-0000983E0000}"/>
    <cellStyle name="Millares 5 6 2 3 2 2 2 2" xfId="55863" xr:uid="{00000000-0005-0000-0000-0000993E0000}"/>
    <cellStyle name="Millares 5 6 2 3 2 2 3" xfId="42301" xr:uid="{00000000-0005-0000-0000-00009A3E0000}"/>
    <cellStyle name="Millares 5 6 2 3 2 3" xfId="21949" xr:uid="{00000000-0005-0000-0000-00009B3E0000}"/>
    <cellStyle name="Millares 5 6 2 3 2 3 2" xfId="49082" xr:uid="{00000000-0005-0000-0000-00009C3E0000}"/>
    <cellStyle name="Millares 5 6 2 3 2 4" xfId="35520" xr:uid="{00000000-0005-0000-0000-00009D3E0000}"/>
    <cellStyle name="Millares 5 6 2 3 3" xfId="11773" xr:uid="{00000000-0005-0000-0000-00009E3E0000}"/>
    <cellStyle name="Millares 5 6 2 3 3 2" xfId="25341" xr:uid="{00000000-0005-0000-0000-00009F3E0000}"/>
    <cellStyle name="Millares 5 6 2 3 3 2 2" xfId="52474" xr:uid="{00000000-0005-0000-0000-0000A03E0000}"/>
    <cellStyle name="Millares 5 6 2 3 3 3" xfId="38912" xr:uid="{00000000-0005-0000-0000-0000A13E0000}"/>
    <cellStyle name="Millares 5 6 2 3 4" xfId="18560" xr:uid="{00000000-0005-0000-0000-0000A23E0000}"/>
    <cellStyle name="Millares 5 6 2 3 4 2" xfId="45693" xr:uid="{00000000-0005-0000-0000-0000A33E0000}"/>
    <cellStyle name="Millares 5 6 2 3 5" xfId="32131" xr:uid="{00000000-0005-0000-0000-0000A43E0000}"/>
    <cellStyle name="Millares 5 6 2 4" xfId="8371" xr:uid="{00000000-0005-0000-0000-0000A53E0000}"/>
    <cellStyle name="Millares 5 6 2 4 2" xfId="15160" xr:uid="{00000000-0005-0000-0000-0000A63E0000}"/>
    <cellStyle name="Millares 5 6 2 4 2 2" xfId="28728" xr:uid="{00000000-0005-0000-0000-0000A73E0000}"/>
    <cellStyle name="Millares 5 6 2 4 2 2 2" xfId="55861" xr:uid="{00000000-0005-0000-0000-0000A83E0000}"/>
    <cellStyle name="Millares 5 6 2 4 2 3" xfId="42299" xr:uid="{00000000-0005-0000-0000-0000A93E0000}"/>
    <cellStyle name="Millares 5 6 2 4 3" xfId="21947" xr:uid="{00000000-0005-0000-0000-0000AA3E0000}"/>
    <cellStyle name="Millares 5 6 2 4 3 2" xfId="49080" xr:uid="{00000000-0005-0000-0000-0000AB3E0000}"/>
    <cellStyle name="Millares 5 6 2 4 4" xfId="35518" xr:uid="{00000000-0005-0000-0000-0000AC3E0000}"/>
    <cellStyle name="Millares 5 6 2 5" xfId="11771" xr:uid="{00000000-0005-0000-0000-0000AD3E0000}"/>
    <cellStyle name="Millares 5 6 2 5 2" xfId="25339" xr:uid="{00000000-0005-0000-0000-0000AE3E0000}"/>
    <cellStyle name="Millares 5 6 2 5 2 2" xfId="52472" xr:uid="{00000000-0005-0000-0000-0000AF3E0000}"/>
    <cellStyle name="Millares 5 6 2 5 3" xfId="38910" xr:uid="{00000000-0005-0000-0000-0000B03E0000}"/>
    <cellStyle name="Millares 5 6 2 6" xfId="18558" xr:uid="{00000000-0005-0000-0000-0000B13E0000}"/>
    <cellStyle name="Millares 5 6 2 6 2" xfId="45691" xr:uid="{00000000-0005-0000-0000-0000B23E0000}"/>
    <cellStyle name="Millares 5 6 2 7" xfId="32129" xr:uid="{00000000-0005-0000-0000-0000B33E0000}"/>
    <cellStyle name="Millares 5 6 3" xfId="4779" xr:uid="{00000000-0005-0000-0000-0000B43E0000}"/>
    <cellStyle name="Millares 5 6 3 2" xfId="4780" xr:uid="{00000000-0005-0000-0000-0000B53E0000}"/>
    <cellStyle name="Millares 5 6 3 2 2" xfId="8375" xr:uid="{00000000-0005-0000-0000-0000B63E0000}"/>
    <cellStyle name="Millares 5 6 3 2 2 2" xfId="15164" xr:uid="{00000000-0005-0000-0000-0000B73E0000}"/>
    <cellStyle name="Millares 5 6 3 2 2 2 2" xfId="28732" xr:uid="{00000000-0005-0000-0000-0000B83E0000}"/>
    <cellStyle name="Millares 5 6 3 2 2 2 2 2" xfId="55865" xr:uid="{00000000-0005-0000-0000-0000B93E0000}"/>
    <cellStyle name="Millares 5 6 3 2 2 2 3" xfId="42303" xr:uid="{00000000-0005-0000-0000-0000BA3E0000}"/>
    <cellStyle name="Millares 5 6 3 2 2 3" xfId="21951" xr:uid="{00000000-0005-0000-0000-0000BB3E0000}"/>
    <cellStyle name="Millares 5 6 3 2 2 3 2" xfId="49084" xr:uid="{00000000-0005-0000-0000-0000BC3E0000}"/>
    <cellStyle name="Millares 5 6 3 2 2 4" xfId="35522" xr:uid="{00000000-0005-0000-0000-0000BD3E0000}"/>
    <cellStyle name="Millares 5 6 3 2 3" xfId="11775" xr:uid="{00000000-0005-0000-0000-0000BE3E0000}"/>
    <cellStyle name="Millares 5 6 3 2 3 2" xfId="25343" xr:uid="{00000000-0005-0000-0000-0000BF3E0000}"/>
    <cellStyle name="Millares 5 6 3 2 3 2 2" xfId="52476" xr:uid="{00000000-0005-0000-0000-0000C03E0000}"/>
    <cellStyle name="Millares 5 6 3 2 3 3" xfId="38914" xr:uid="{00000000-0005-0000-0000-0000C13E0000}"/>
    <cellStyle name="Millares 5 6 3 2 4" xfId="18562" xr:uid="{00000000-0005-0000-0000-0000C23E0000}"/>
    <cellStyle name="Millares 5 6 3 2 4 2" xfId="45695" xr:uid="{00000000-0005-0000-0000-0000C33E0000}"/>
    <cellStyle name="Millares 5 6 3 2 5" xfId="32133" xr:uid="{00000000-0005-0000-0000-0000C43E0000}"/>
    <cellStyle name="Millares 5 6 3 3" xfId="8374" xr:uid="{00000000-0005-0000-0000-0000C53E0000}"/>
    <cellStyle name="Millares 5 6 3 3 2" xfId="15163" xr:uid="{00000000-0005-0000-0000-0000C63E0000}"/>
    <cellStyle name="Millares 5 6 3 3 2 2" xfId="28731" xr:uid="{00000000-0005-0000-0000-0000C73E0000}"/>
    <cellStyle name="Millares 5 6 3 3 2 2 2" xfId="55864" xr:uid="{00000000-0005-0000-0000-0000C83E0000}"/>
    <cellStyle name="Millares 5 6 3 3 2 3" xfId="42302" xr:uid="{00000000-0005-0000-0000-0000C93E0000}"/>
    <cellStyle name="Millares 5 6 3 3 3" xfId="21950" xr:uid="{00000000-0005-0000-0000-0000CA3E0000}"/>
    <cellStyle name="Millares 5 6 3 3 3 2" xfId="49083" xr:uid="{00000000-0005-0000-0000-0000CB3E0000}"/>
    <cellStyle name="Millares 5 6 3 3 4" xfId="35521" xr:uid="{00000000-0005-0000-0000-0000CC3E0000}"/>
    <cellStyle name="Millares 5 6 3 4" xfId="11774" xr:uid="{00000000-0005-0000-0000-0000CD3E0000}"/>
    <cellStyle name="Millares 5 6 3 4 2" xfId="25342" xr:uid="{00000000-0005-0000-0000-0000CE3E0000}"/>
    <cellStyle name="Millares 5 6 3 4 2 2" xfId="52475" xr:uid="{00000000-0005-0000-0000-0000CF3E0000}"/>
    <cellStyle name="Millares 5 6 3 4 3" xfId="38913" xr:uid="{00000000-0005-0000-0000-0000D03E0000}"/>
    <cellStyle name="Millares 5 6 3 5" xfId="18561" xr:uid="{00000000-0005-0000-0000-0000D13E0000}"/>
    <cellStyle name="Millares 5 6 3 5 2" xfId="45694" xr:uid="{00000000-0005-0000-0000-0000D23E0000}"/>
    <cellStyle name="Millares 5 6 3 6" xfId="32132" xr:uid="{00000000-0005-0000-0000-0000D33E0000}"/>
    <cellStyle name="Millares 5 6 4" xfId="4781" xr:uid="{00000000-0005-0000-0000-0000D43E0000}"/>
    <cellStyle name="Millares 5 6 4 2" xfId="8376" xr:uid="{00000000-0005-0000-0000-0000D53E0000}"/>
    <cellStyle name="Millares 5 6 4 2 2" xfId="15165" xr:uid="{00000000-0005-0000-0000-0000D63E0000}"/>
    <cellStyle name="Millares 5 6 4 2 2 2" xfId="28733" xr:uid="{00000000-0005-0000-0000-0000D73E0000}"/>
    <cellStyle name="Millares 5 6 4 2 2 2 2" xfId="55866" xr:uid="{00000000-0005-0000-0000-0000D83E0000}"/>
    <cellStyle name="Millares 5 6 4 2 2 3" xfId="42304" xr:uid="{00000000-0005-0000-0000-0000D93E0000}"/>
    <cellStyle name="Millares 5 6 4 2 3" xfId="21952" xr:uid="{00000000-0005-0000-0000-0000DA3E0000}"/>
    <cellStyle name="Millares 5 6 4 2 3 2" xfId="49085" xr:uid="{00000000-0005-0000-0000-0000DB3E0000}"/>
    <cellStyle name="Millares 5 6 4 2 4" xfId="35523" xr:uid="{00000000-0005-0000-0000-0000DC3E0000}"/>
    <cellStyle name="Millares 5 6 4 3" xfId="11776" xr:uid="{00000000-0005-0000-0000-0000DD3E0000}"/>
    <cellStyle name="Millares 5 6 4 3 2" xfId="25344" xr:uid="{00000000-0005-0000-0000-0000DE3E0000}"/>
    <cellStyle name="Millares 5 6 4 3 2 2" xfId="52477" xr:uid="{00000000-0005-0000-0000-0000DF3E0000}"/>
    <cellStyle name="Millares 5 6 4 3 3" xfId="38915" xr:uid="{00000000-0005-0000-0000-0000E03E0000}"/>
    <cellStyle name="Millares 5 6 4 4" xfId="18563" xr:uid="{00000000-0005-0000-0000-0000E13E0000}"/>
    <cellStyle name="Millares 5 6 4 4 2" xfId="45696" xr:uid="{00000000-0005-0000-0000-0000E23E0000}"/>
    <cellStyle name="Millares 5 6 4 5" xfId="32134" xr:uid="{00000000-0005-0000-0000-0000E33E0000}"/>
    <cellStyle name="Millares 5 6 5" xfId="4782" xr:uid="{00000000-0005-0000-0000-0000E43E0000}"/>
    <cellStyle name="Millares 5 6 5 2" xfId="8377" xr:uid="{00000000-0005-0000-0000-0000E53E0000}"/>
    <cellStyle name="Millares 5 6 5 2 2" xfId="15166" xr:uid="{00000000-0005-0000-0000-0000E63E0000}"/>
    <cellStyle name="Millares 5 6 5 2 2 2" xfId="28734" xr:uid="{00000000-0005-0000-0000-0000E73E0000}"/>
    <cellStyle name="Millares 5 6 5 2 2 2 2" xfId="55867" xr:uid="{00000000-0005-0000-0000-0000E83E0000}"/>
    <cellStyle name="Millares 5 6 5 2 2 3" xfId="42305" xr:uid="{00000000-0005-0000-0000-0000E93E0000}"/>
    <cellStyle name="Millares 5 6 5 2 3" xfId="21953" xr:uid="{00000000-0005-0000-0000-0000EA3E0000}"/>
    <cellStyle name="Millares 5 6 5 2 3 2" xfId="49086" xr:uid="{00000000-0005-0000-0000-0000EB3E0000}"/>
    <cellStyle name="Millares 5 6 5 2 4" xfId="35524" xr:uid="{00000000-0005-0000-0000-0000EC3E0000}"/>
    <cellStyle name="Millares 5 6 5 3" xfId="11777" xr:uid="{00000000-0005-0000-0000-0000ED3E0000}"/>
    <cellStyle name="Millares 5 6 5 3 2" xfId="25345" xr:uid="{00000000-0005-0000-0000-0000EE3E0000}"/>
    <cellStyle name="Millares 5 6 5 3 2 2" xfId="52478" xr:uid="{00000000-0005-0000-0000-0000EF3E0000}"/>
    <cellStyle name="Millares 5 6 5 3 3" xfId="38916" xr:uid="{00000000-0005-0000-0000-0000F03E0000}"/>
    <cellStyle name="Millares 5 6 5 4" xfId="18564" xr:uid="{00000000-0005-0000-0000-0000F13E0000}"/>
    <cellStyle name="Millares 5 6 5 4 2" xfId="45697" xr:uid="{00000000-0005-0000-0000-0000F23E0000}"/>
    <cellStyle name="Millares 5 6 5 5" xfId="32135" xr:uid="{00000000-0005-0000-0000-0000F33E0000}"/>
    <cellStyle name="Millares 5 6 6" xfId="8370" xr:uid="{00000000-0005-0000-0000-0000F43E0000}"/>
    <cellStyle name="Millares 5 6 6 2" xfId="15159" xr:uid="{00000000-0005-0000-0000-0000F53E0000}"/>
    <cellStyle name="Millares 5 6 6 2 2" xfId="28727" xr:uid="{00000000-0005-0000-0000-0000F63E0000}"/>
    <cellStyle name="Millares 5 6 6 2 2 2" xfId="55860" xr:uid="{00000000-0005-0000-0000-0000F73E0000}"/>
    <cellStyle name="Millares 5 6 6 2 3" xfId="42298" xr:uid="{00000000-0005-0000-0000-0000F83E0000}"/>
    <cellStyle name="Millares 5 6 6 3" xfId="21946" xr:uid="{00000000-0005-0000-0000-0000F93E0000}"/>
    <cellStyle name="Millares 5 6 6 3 2" xfId="49079" xr:uid="{00000000-0005-0000-0000-0000FA3E0000}"/>
    <cellStyle name="Millares 5 6 6 4" xfId="35517" xr:uid="{00000000-0005-0000-0000-0000FB3E0000}"/>
    <cellStyle name="Millares 5 6 7" xfId="11770" xr:uid="{00000000-0005-0000-0000-0000FC3E0000}"/>
    <cellStyle name="Millares 5 6 7 2" xfId="25338" xr:uid="{00000000-0005-0000-0000-0000FD3E0000}"/>
    <cellStyle name="Millares 5 6 7 2 2" xfId="52471" xr:uid="{00000000-0005-0000-0000-0000FE3E0000}"/>
    <cellStyle name="Millares 5 6 7 3" xfId="38909" xr:uid="{00000000-0005-0000-0000-0000FF3E0000}"/>
    <cellStyle name="Millares 5 6 8" xfId="18557" xr:uid="{00000000-0005-0000-0000-0000003F0000}"/>
    <cellStyle name="Millares 5 6 8 2" xfId="45690" xr:uid="{00000000-0005-0000-0000-0000013F0000}"/>
    <cellStyle name="Millares 5 6 9" xfId="32128" xr:uid="{00000000-0005-0000-0000-0000023F0000}"/>
    <cellStyle name="Millares 5 7" xfId="4783" xr:uid="{00000000-0005-0000-0000-0000033F0000}"/>
    <cellStyle name="Millares 5 7 2" xfId="4784" xr:uid="{00000000-0005-0000-0000-0000043F0000}"/>
    <cellStyle name="Millares 5 7 2 2" xfId="4785" xr:uid="{00000000-0005-0000-0000-0000053F0000}"/>
    <cellStyle name="Millares 5 7 2 2 2" xfId="8380" xr:uid="{00000000-0005-0000-0000-0000063F0000}"/>
    <cellStyle name="Millares 5 7 2 2 2 2" xfId="15169" xr:uid="{00000000-0005-0000-0000-0000073F0000}"/>
    <cellStyle name="Millares 5 7 2 2 2 2 2" xfId="28737" xr:uid="{00000000-0005-0000-0000-0000083F0000}"/>
    <cellStyle name="Millares 5 7 2 2 2 2 2 2" xfId="55870" xr:uid="{00000000-0005-0000-0000-0000093F0000}"/>
    <cellStyle name="Millares 5 7 2 2 2 2 3" xfId="42308" xr:uid="{00000000-0005-0000-0000-00000A3F0000}"/>
    <cellStyle name="Millares 5 7 2 2 2 3" xfId="21956" xr:uid="{00000000-0005-0000-0000-00000B3F0000}"/>
    <cellStyle name="Millares 5 7 2 2 2 3 2" xfId="49089" xr:uid="{00000000-0005-0000-0000-00000C3F0000}"/>
    <cellStyle name="Millares 5 7 2 2 2 4" xfId="35527" xr:uid="{00000000-0005-0000-0000-00000D3F0000}"/>
    <cellStyle name="Millares 5 7 2 2 3" xfId="11780" xr:uid="{00000000-0005-0000-0000-00000E3F0000}"/>
    <cellStyle name="Millares 5 7 2 2 3 2" xfId="25348" xr:uid="{00000000-0005-0000-0000-00000F3F0000}"/>
    <cellStyle name="Millares 5 7 2 2 3 2 2" xfId="52481" xr:uid="{00000000-0005-0000-0000-0000103F0000}"/>
    <cellStyle name="Millares 5 7 2 2 3 3" xfId="38919" xr:uid="{00000000-0005-0000-0000-0000113F0000}"/>
    <cellStyle name="Millares 5 7 2 2 4" xfId="18567" xr:uid="{00000000-0005-0000-0000-0000123F0000}"/>
    <cellStyle name="Millares 5 7 2 2 4 2" xfId="45700" xr:uid="{00000000-0005-0000-0000-0000133F0000}"/>
    <cellStyle name="Millares 5 7 2 2 5" xfId="32138" xr:uid="{00000000-0005-0000-0000-0000143F0000}"/>
    <cellStyle name="Millares 5 7 2 3" xfId="4786" xr:uid="{00000000-0005-0000-0000-0000153F0000}"/>
    <cellStyle name="Millares 5 7 2 3 2" xfId="8381" xr:uid="{00000000-0005-0000-0000-0000163F0000}"/>
    <cellStyle name="Millares 5 7 2 3 2 2" xfId="15170" xr:uid="{00000000-0005-0000-0000-0000173F0000}"/>
    <cellStyle name="Millares 5 7 2 3 2 2 2" xfId="28738" xr:uid="{00000000-0005-0000-0000-0000183F0000}"/>
    <cellStyle name="Millares 5 7 2 3 2 2 2 2" xfId="55871" xr:uid="{00000000-0005-0000-0000-0000193F0000}"/>
    <cellStyle name="Millares 5 7 2 3 2 2 3" xfId="42309" xr:uid="{00000000-0005-0000-0000-00001A3F0000}"/>
    <cellStyle name="Millares 5 7 2 3 2 3" xfId="21957" xr:uid="{00000000-0005-0000-0000-00001B3F0000}"/>
    <cellStyle name="Millares 5 7 2 3 2 3 2" xfId="49090" xr:uid="{00000000-0005-0000-0000-00001C3F0000}"/>
    <cellStyle name="Millares 5 7 2 3 2 4" xfId="35528" xr:uid="{00000000-0005-0000-0000-00001D3F0000}"/>
    <cellStyle name="Millares 5 7 2 3 3" xfId="11781" xr:uid="{00000000-0005-0000-0000-00001E3F0000}"/>
    <cellStyle name="Millares 5 7 2 3 3 2" xfId="25349" xr:uid="{00000000-0005-0000-0000-00001F3F0000}"/>
    <cellStyle name="Millares 5 7 2 3 3 2 2" xfId="52482" xr:uid="{00000000-0005-0000-0000-0000203F0000}"/>
    <cellStyle name="Millares 5 7 2 3 3 3" xfId="38920" xr:uid="{00000000-0005-0000-0000-0000213F0000}"/>
    <cellStyle name="Millares 5 7 2 3 4" xfId="18568" xr:uid="{00000000-0005-0000-0000-0000223F0000}"/>
    <cellStyle name="Millares 5 7 2 3 4 2" xfId="45701" xr:uid="{00000000-0005-0000-0000-0000233F0000}"/>
    <cellStyle name="Millares 5 7 2 3 5" xfId="32139" xr:uid="{00000000-0005-0000-0000-0000243F0000}"/>
    <cellStyle name="Millares 5 7 2 4" xfId="8379" xr:uid="{00000000-0005-0000-0000-0000253F0000}"/>
    <cellStyle name="Millares 5 7 2 4 2" xfId="15168" xr:uid="{00000000-0005-0000-0000-0000263F0000}"/>
    <cellStyle name="Millares 5 7 2 4 2 2" xfId="28736" xr:uid="{00000000-0005-0000-0000-0000273F0000}"/>
    <cellStyle name="Millares 5 7 2 4 2 2 2" xfId="55869" xr:uid="{00000000-0005-0000-0000-0000283F0000}"/>
    <cellStyle name="Millares 5 7 2 4 2 3" xfId="42307" xr:uid="{00000000-0005-0000-0000-0000293F0000}"/>
    <cellStyle name="Millares 5 7 2 4 3" xfId="21955" xr:uid="{00000000-0005-0000-0000-00002A3F0000}"/>
    <cellStyle name="Millares 5 7 2 4 3 2" xfId="49088" xr:uid="{00000000-0005-0000-0000-00002B3F0000}"/>
    <cellStyle name="Millares 5 7 2 4 4" xfId="35526" xr:uid="{00000000-0005-0000-0000-00002C3F0000}"/>
    <cellStyle name="Millares 5 7 2 5" xfId="11779" xr:uid="{00000000-0005-0000-0000-00002D3F0000}"/>
    <cellStyle name="Millares 5 7 2 5 2" xfId="25347" xr:uid="{00000000-0005-0000-0000-00002E3F0000}"/>
    <cellStyle name="Millares 5 7 2 5 2 2" xfId="52480" xr:uid="{00000000-0005-0000-0000-00002F3F0000}"/>
    <cellStyle name="Millares 5 7 2 5 3" xfId="38918" xr:uid="{00000000-0005-0000-0000-0000303F0000}"/>
    <cellStyle name="Millares 5 7 2 6" xfId="18566" xr:uid="{00000000-0005-0000-0000-0000313F0000}"/>
    <cellStyle name="Millares 5 7 2 6 2" xfId="45699" xr:uid="{00000000-0005-0000-0000-0000323F0000}"/>
    <cellStyle name="Millares 5 7 2 7" xfId="32137" xr:uid="{00000000-0005-0000-0000-0000333F0000}"/>
    <cellStyle name="Millares 5 7 3" xfId="4787" xr:uid="{00000000-0005-0000-0000-0000343F0000}"/>
    <cellStyle name="Millares 5 7 3 2" xfId="8382" xr:uid="{00000000-0005-0000-0000-0000353F0000}"/>
    <cellStyle name="Millares 5 7 3 2 2" xfId="15171" xr:uid="{00000000-0005-0000-0000-0000363F0000}"/>
    <cellStyle name="Millares 5 7 3 2 2 2" xfId="28739" xr:uid="{00000000-0005-0000-0000-0000373F0000}"/>
    <cellStyle name="Millares 5 7 3 2 2 2 2" xfId="55872" xr:uid="{00000000-0005-0000-0000-0000383F0000}"/>
    <cellStyle name="Millares 5 7 3 2 2 3" xfId="42310" xr:uid="{00000000-0005-0000-0000-0000393F0000}"/>
    <cellStyle name="Millares 5 7 3 2 3" xfId="21958" xr:uid="{00000000-0005-0000-0000-00003A3F0000}"/>
    <cellStyle name="Millares 5 7 3 2 3 2" xfId="49091" xr:uid="{00000000-0005-0000-0000-00003B3F0000}"/>
    <cellStyle name="Millares 5 7 3 2 4" xfId="35529" xr:uid="{00000000-0005-0000-0000-00003C3F0000}"/>
    <cellStyle name="Millares 5 7 3 3" xfId="11782" xr:uid="{00000000-0005-0000-0000-00003D3F0000}"/>
    <cellStyle name="Millares 5 7 3 3 2" xfId="25350" xr:uid="{00000000-0005-0000-0000-00003E3F0000}"/>
    <cellStyle name="Millares 5 7 3 3 2 2" xfId="52483" xr:uid="{00000000-0005-0000-0000-00003F3F0000}"/>
    <cellStyle name="Millares 5 7 3 3 3" xfId="38921" xr:uid="{00000000-0005-0000-0000-0000403F0000}"/>
    <cellStyle name="Millares 5 7 3 4" xfId="18569" xr:uid="{00000000-0005-0000-0000-0000413F0000}"/>
    <cellStyle name="Millares 5 7 3 4 2" xfId="45702" xr:uid="{00000000-0005-0000-0000-0000423F0000}"/>
    <cellStyle name="Millares 5 7 3 5" xfId="32140" xr:uid="{00000000-0005-0000-0000-0000433F0000}"/>
    <cellStyle name="Millares 5 7 4" xfId="4788" xr:uid="{00000000-0005-0000-0000-0000443F0000}"/>
    <cellStyle name="Millares 5 7 4 2" xfId="8383" xr:uid="{00000000-0005-0000-0000-0000453F0000}"/>
    <cellStyle name="Millares 5 7 4 2 2" xfId="15172" xr:uid="{00000000-0005-0000-0000-0000463F0000}"/>
    <cellStyle name="Millares 5 7 4 2 2 2" xfId="28740" xr:uid="{00000000-0005-0000-0000-0000473F0000}"/>
    <cellStyle name="Millares 5 7 4 2 2 2 2" xfId="55873" xr:uid="{00000000-0005-0000-0000-0000483F0000}"/>
    <cellStyle name="Millares 5 7 4 2 2 3" xfId="42311" xr:uid="{00000000-0005-0000-0000-0000493F0000}"/>
    <cellStyle name="Millares 5 7 4 2 3" xfId="21959" xr:uid="{00000000-0005-0000-0000-00004A3F0000}"/>
    <cellStyle name="Millares 5 7 4 2 3 2" xfId="49092" xr:uid="{00000000-0005-0000-0000-00004B3F0000}"/>
    <cellStyle name="Millares 5 7 4 2 4" xfId="35530" xr:uid="{00000000-0005-0000-0000-00004C3F0000}"/>
    <cellStyle name="Millares 5 7 4 3" xfId="11783" xr:uid="{00000000-0005-0000-0000-00004D3F0000}"/>
    <cellStyle name="Millares 5 7 4 3 2" xfId="25351" xr:uid="{00000000-0005-0000-0000-00004E3F0000}"/>
    <cellStyle name="Millares 5 7 4 3 2 2" xfId="52484" xr:uid="{00000000-0005-0000-0000-00004F3F0000}"/>
    <cellStyle name="Millares 5 7 4 3 3" xfId="38922" xr:uid="{00000000-0005-0000-0000-0000503F0000}"/>
    <cellStyle name="Millares 5 7 4 4" xfId="18570" xr:uid="{00000000-0005-0000-0000-0000513F0000}"/>
    <cellStyle name="Millares 5 7 4 4 2" xfId="45703" xr:uid="{00000000-0005-0000-0000-0000523F0000}"/>
    <cellStyle name="Millares 5 7 4 5" xfId="32141" xr:uid="{00000000-0005-0000-0000-0000533F0000}"/>
    <cellStyle name="Millares 5 7 5" xfId="8378" xr:uid="{00000000-0005-0000-0000-0000543F0000}"/>
    <cellStyle name="Millares 5 7 5 2" xfId="15167" xr:uid="{00000000-0005-0000-0000-0000553F0000}"/>
    <cellStyle name="Millares 5 7 5 2 2" xfId="28735" xr:uid="{00000000-0005-0000-0000-0000563F0000}"/>
    <cellStyle name="Millares 5 7 5 2 2 2" xfId="55868" xr:uid="{00000000-0005-0000-0000-0000573F0000}"/>
    <cellStyle name="Millares 5 7 5 2 3" xfId="42306" xr:uid="{00000000-0005-0000-0000-0000583F0000}"/>
    <cellStyle name="Millares 5 7 5 3" xfId="21954" xr:uid="{00000000-0005-0000-0000-0000593F0000}"/>
    <cellStyle name="Millares 5 7 5 3 2" xfId="49087" xr:uid="{00000000-0005-0000-0000-00005A3F0000}"/>
    <cellStyle name="Millares 5 7 5 4" xfId="35525" xr:uid="{00000000-0005-0000-0000-00005B3F0000}"/>
    <cellStyle name="Millares 5 7 6" xfId="11778" xr:uid="{00000000-0005-0000-0000-00005C3F0000}"/>
    <cellStyle name="Millares 5 7 6 2" xfId="25346" xr:uid="{00000000-0005-0000-0000-00005D3F0000}"/>
    <cellStyle name="Millares 5 7 6 2 2" xfId="52479" xr:uid="{00000000-0005-0000-0000-00005E3F0000}"/>
    <cellStyle name="Millares 5 7 6 3" xfId="38917" xr:uid="{00000000-0005-0000-0000-00005F3F0000}"/>
    <cellStyle name="Millares 5 7 7" xfId="18565" xr:uid="{00000000-0005-0000-0000-0000603F0000}"/>
    <cellStyle name="Millares 5 7 7 2" xfId="45698" xr:uid="{00000000-0005-0000-0000-0000613F0000}"/>
    <cellStyle name="Millares 5 7 8" xfId="32136" xr:uid="{00000000-0005-0000-0000-0000623F0000}"/>
    <cellStyle name="Millares 5 8" xfId="4789" xr:uid="{00000000-0005-0000-0000-0000633F0000}"/>
    <cellStyle name="Millares 5 8 2" xfId="4790" xr:uid="{00000000-0005-0000-0000-0000643F0000}"/>
    <cellStyle name="Millares 5 8 2 2" xfId="4791" xr:uid="{00000000-0005-0000-0000-0000653F0000}"/>
    <cellStyle name="Millares 5 8 2 2 2" xfId="8386" xr:uid="{00000000-0005-0000-0000-0000663F0000}"/>
    <cellStyle name="Millares 5 8 2 2 2 2" xfId="15175" xr:uid="{00000000-0005-0000-0000-0000673F0000}"/>
    <cellStyle name="Millares 5 8 2 2 2 2 2" xfId="28743" xr:uid="{00000000-0005-0000-0000-0000683F0000}"/>
    <cellStyle name="Millares 5 8 2 2 2 2 2 2" xfId="55876" xr:uid="{00000000-0005-0000-0000-0000693F0000}"/>
    <cellStyle name="Millares 5 8 2 2 2 2 3" xfId="42314" xr:uid="{00000000-0005-0000-0000-00006A3F0000}"/>
    <cellStyle name="Millares 5 8 2 2 2 3" xfId="21962" xr:uid="{00000000-0005-0000-0000-00006B3F0000}"/>
    <cellStyle name="Millares 5 8 2 2 2 3 2" xfId="49095" xr:uid="{00000000-0005-0000-0000-00006C3F0000}"/>
    <cellStyle name="Millares 5 8 2 2 2 4" xfId="35533" xr:uid="{00000000-0005-0000-0000-00006D3F0000}"/>
    <cellStyle name="Millares 5 8 2 2 3" xfId="11786" xr:uid="{00000000-0005-0000-0000-00006E3F0000}"/>
    <cellStyle name="Millares 5 8 2 2 3 2" xfId="25354" xr:uid="{00000000-0005-0000-0000-00006F3F0000}"/>
    <cellStyle name="Millares 5 8 2 2 3 2 2" xfId="52487" xr:uid="{00000000-0005-0000-0000-0000703F0000}"/>
    <cellStyle name="Millares 5 8 2 2 3 3" xfId="38925" xr:uid="{00000000-0005-0000-0000-0000713F0000}"/>
    <cellStyle name="Millares 5 8 2 2 4" xfId="18573" xr:uid="{00000000-0005-0000-0000-0000723F0000}"/>
    <cellStyle name="Millares 5 8 2 2 4 2" xfId="45706" xr:uid="{00000000-0005-0000-0000-0000733F0000}"/>
    <cellStyle name="Millares 5 8 2 2 5" xfId="32144" xr:uid="{00000000-0005-0000-0000-0000743F0000}"/>
    <cellStyle name="Millares 5 8 2 3" xfId="4792" xr:uid="{00000000-0005-0000-0000-0000753F0000}"/>
    <cellStyle name="Millares 5 8 2 3 2" xfId="8387" xr:uid="{00000000-0005-0000-0000-0000763F0000}"/>
    <cellStyle name="Millares 5 8 2 3 2 2" xfId="15176" xr:uid="{00000000-0005-0000-0000-0000773F0000}"/>
    <cellStyle name="Millares 5 8 2 3 2 2 2" xfId="28744" xr:uid="{00000000-0005-0000-0000-0000783F0000}"/>
    <cellStyle name="Millares 5 8 2 3 2 2 2 2" xfId="55877" xr:uid="{00000000-0005-0000-0000-0000793F0000}"/>
    <cellStyle name="Millares 5 8 2 3 2 2 3" xfId="42315" xr:uid="{00000000-0005-0000-0000-00007A3F0000}"/>
    <cellStyle name="Millares 5 8 2 3 2 3" xfId="21963" xr:uid="{00000000-0005-0000-0000-00007B3F0000}"/>
    <cellStyle name="Millares 5 8 2 3 2 3 2" xfId="49096" xr:uid="{00000000-0005-0000-0000-00007C3F0000}"/>
    <cellStyle name="Millares 5 8 2 3 2 4" xfId="35534" xr:uid="{00000000-0005-0000-0000-00007D3F0000}"/>
    <cellStyle name="Millares 5 8 2 3 3" xfId="11787" xr:uid="{00000000-0005-0000-0000-00007E3F0000}"/>
    <cellStyle name="Millares 5 8 2 3 3 2" xfId="25355" xr:uid="{00000000-0005-0000-0000-00007F3F0000}"/>
    <cellStyle name="Millares 5 8 2 3 3 2 2" xfId="52488" xr:uid="{00000000-0005-0000-0000-0000803F0000}"/>
    <cellStyle name="Millares 5 8 2 3 3 3" xfId="38926" xr:uid="{00000000-0005-0000-0000-0000813F0000}"/>
    <cellStyle name="Millares 5 8 2 3 4" xfId="18574" xr:uid="{00000000-0005-0000-0000-0000823F0000}"/>
    <cellStyle name="Millares 5 8 2 3 4 2" xfId="45707" xr:uid="{00000000-0005-0000-0000-0000833F0000}"/>
    <cellStyle name="Millares 5 8 2 3 5" xfId="32145" xr:uid="{00000000-0005-0000-0000-0000843F0000}"/>
    <cellStyle name="Millares 5 8 2 4" xfId="8385" xr:uid="{00000000-0005-0000-0000-0000853F0000}"/>
    <cellStyle name="Millares 5 8 2 4 2" xfId="15174" xr:uid="{00000000-0005-0000-0000-0000863F0000}"/>
    <cellStyle name="Millares 5 8 2 4 2 2" xfId="28742" xr:uid="{00000000-0005-0000-0000-0000873F0000}"/>
    <cellStyle name="Millares 5 8 2 4 2 2 2" xfId="55875" xr:uid="{00000000-0005-0000-0000-0000883F0000}"/>
    <cellStyle name="Millares 5 8 2 4 2 3" xfId="42313" xr:uid="{00000000-0005-0000-0000-0000893F0000}"/>
    <cellStyle name="Millares 5 8 2 4 3" xfId="21961" xr:uid="{00000000-0005-0000-0000-00008A3F0000}"/>
    <cellStyle name="Millares 5 8 2 4 3 2" xfId="49094" xr:uid="{00000000-0005-0000-0000-00008B3F0000}"/>
    <cellStyle name="Millares 5 8 2 4 4" xfId="35532" xr:uid="{00000000-0005-0000-0000-00008C3F0000}"/>
    <cellStyle name="Millares 5 8 2 5" xfId="11785" xr:uid="{00000000-0005-0000-0000-00008D3F0000}"/>
    <cellStyle name="Millares 5 8 2 5 2" xfId="25353" xr:uid="{00000000-0005-0000-0000-00008E3F0000}"/>
    <cellStyle name="Millares 5 8 2 5 2 2" xfId="52486" xr:uid="{00000000-0005-0000-0000-00008F3F0000}"/>
    <cellStyle name="Millares 5 8 2 5 3" xfId="38924" xr:uid="{00000000-0005-0000-0000-0000903F0000}"/>
    <cellStyle name="Millares 5 8 2 6" xfId="18572" xr:uid="{00000000-0005-0000-0000-0000913F0000}"/>
    <cellStyle name="Millares 5 8 2 6 2" xfId="45705" xr:uid="{00000000-0005-0000-0000-0000923F0000}"/>
    <cellStyle name="Millares 5 8 2 7" xfId="32143" xr:uid="{00000000-0005-0000-0000-0000933F0000}"/>
    <cellStyle name="Millares 5 8 3" xfId="4793" xr:uid="{00000000-0005-0000-0000-0000943F0000}"/>
    <cellStyle name="Millares 5 8 3 2" xfId="8388" xr:uid="{00000000-0005-0000-0000-0000953F0000}"/>
    <cellStyle name="Millares 5 8 3 2 2" xfId="15177" xr:uid="{00000000-0005-0000-0000-0000963F0000}"/>
    <cellStyle name="Millares 5 8 3 2 2 2" xfId="28745" xr:uid="{00000000-0005-0000-0000-0000973F0000}"/>
    <cellStyle name="Millares 5 8 3 2 2 2 2" xfId="55878" xr:uid="{00000000-0005-0000-0000-0000983F0000}"/>
    <cellStyle name="Millares 5 8 3 2 2 3" xfId="42316" xr:uid="{00000000-0005-0000-0000-0000993F0000}"/>
    <cellStyle name="Millares 5 8 3 2 3" xfId="21964" xr:uid="{00000000-0005-0000-0000-00009A3F0000}"/>
    <cellStyle name="Millares 5 8 3 2 3 2" xfId="49097" xr:uid="{00000000-0005-0000-0000-00009B3F0000}"/>
    <cellStyle name="Millares 5 8 3 2 4" xfId="35535" xr:uid="{00000000-0005-0000-0000-00009C3F0000}"/>
    <cellStyle name="Millares 5 8 3 3" xfId="11788" xr:uid="{00000000-0005-0000-0000-00009D3F0000}"/>
    <cellStyle name="Millares 5 8 3 3 2" xfId="25356" xr:uid="{00000000-0005-0000-0000-00009E3F0000}"/>
    <cellStyle name="Millares 5 8 3 3 2 2" xfId="52489" xr:uid="{00000000-0005-0000-0000-00009F3F0000}"/>
    <cellStyle name="Millares 5 8 3 3 3" xfId="38927" xr:uid="{00000000-0005-0000-0000-0000A03F0000}"/>
    <cellStyle name="Millares 5 8 3 4" xfId="18575" xr:uid="{00000000-0005-0000-0000-0000A13F0000}"/>
    <cellStyle name="Millares 5 8 3 4 2" xfId="45708" xr:uid="{00000000-0005-0000-0000-0000A23F0000}"/>
    <cellStyle name="Millares 5 8 3 5" xfId="32146" xr:uid="{00000000-0005-0000-0000-0000A33F0000}"/>
    <cellStyle name="Millares 5 8 4" xfId="4794" xr:uid="{00000000-0005-0000-0000-0000A43F0000}"/>
    <cellStyle name="Millares 5 8 4 2" xfId="8389" xr:uid="{00000000-0005-0000-0000-0000A53F0000}"/>
    <cellStyle name="Millares 5 8 4 2 2" xfId="15178" xr:uid="{00000000-0005-0000-0000-0000A63F0000}"/>
    <cellStyle name="Millares 5 8 4 2 2 2" xfId="28746" xr:uid="{00000000-0005-0000-0000-0000A73F0000}"/>
    <cellStyle name="Millares 5 8 4 2 2 2 2" xfId="55879" xr:uid="{00000000-0005-0000-0000-0000A83F0000}"/>
    <cellStyle name="Millares 5 8 4 2 2 3" xfId="42317" xr:uid="{00000000-0005-0000-0000-0000A93F0000}"/>
    <cellStyle name="Millares 5 8 4 2 3" xfId="21965" xr:uid="{00000000-0005-0000-0000-0000AA3F0000}"/>
    <cellStyle name="Millares 5 8 4 2 3 2" xfId="49098" xr:uid="{00000000-0005-0000-0000-0000AB3F0000}"/>
    <cellStyle name="Millares 5 8 4 2 4" xfId="35536" xr:uid="{00000000-0005-0000-0000-0000AC3F0000}"/>
    <cellStyle name="Millares 5 8 4 3" xfId="11789" xr:uid="{00000000-0005-0000-0000-0000AD3F0000}"/>
    <cellStyle name="Millares 5 8 4 3 2" xfId="25357" xr:uid="{00000000-0005-0000-0000-0000AE3F0000}"/>
    <cellStyle name="Millares 5 8 4 3 2 2" xfId="52490" xr:uid="{00000000-0005-0000-0000-0000AF3F0000}"/>
    <cellStyle name="Millares 5 8 4 3 3" xfId="38928" xr:uid="{00000000-0005-0000-0000-0000B03F0000}"/>
    <cellStyle name="Millares 5 8 4 4" xfId="18576" xr:uid="{00000000-0005-0000-0000-0000B13F0000}"/>
    <cellStyle name="Millares 5 8 4 4 2" xfId="45709" xr:uid="{00000000-0005-0000-0000-0000B23F0000}"/>
    <cellStyle name="Millares 5 8 4 5" xfId="32147" xr:uid="{00000000-0005-0000-0000-0000B33F0000}"/>
    <cellStyle name="Millares 5 8 5" xfId="8384" xr:uid="{00000000-0005-0000-0000-0000B43F0000}"/>
    <cellStyle name="Millares 5 8 5 2" xfId="15173" xr:uid="{00000000-0005-0000-0000-0000B53F0000}"/>
    <cellStyle name="Millares 5 8 5 2 2" xfId="28741" xr:uid="{00000000-0005-0000-0000-0000B63F0000}"/>
    <cellStyle name="Millares 5 8 5 2 2 2" xfId="55874" xr:uid="{00000000-0005-0000-0000-0000B73F0000}"/>
    <cellStyle name="Millares 5 8 5 2 3" xfId="42312" xr:uid="{00000000-0005-0000-0000-0000B83F0000}"/>
    <cellStyle name="Millares 5 8 5 3" xfId="21960" xr:uid="{00000000-0005-0000-0000-0000B93F0000}"/>
    <cellStyle name="Millares 5 8 5 3 2" xfId="49093" xr:uid="{00000000-0005-0000-0000-0000BA3F0000}"/>
    <cellStyle name="Millares 5 8 5 4" xfId="35531" xr:uid="{00000000-0005-0000-0000-0000BB3F0000}"/>
    <cellStyle name="Millares 5 8 6" xfId="11784" xr:uid="{00000000-0005-0000-0000-0000BC3F0000}"/>
    <cellStyle name="Millares 5 8 6 2" xfId="25352" xr:uid="{00000000-0005-0000-0000-0000BD3F0000}"/>
    <cellStyle name="Millares 5 8 6 2 2" xfId="52485" xr:uid="{00000000-0005-0000-0000-0000BE3F0000}"/>
    <cellStyle name="Millares 5 8 6 3" xfId="38923" xr:uid="{00000000-0005-0000-0000-0000BF3F0000}"/>
    <cellStyle name="Millares 5 8 7" xfId="18571" xr:uid="{00000000-0005-0000-0000-0000C03F0000}"/>
    <cellStyle name="Millares 5 8 7 2" xfId="45704" xr:uid="{00000000-0005-0000-0000-0000C13F0000}"/>
    <cellStyle name="Millares 5 8 8" xfId="32142" xr:uid="{00000000-0005-0000-0000-0000C23F0000}"/>
    <cellStyle name="Millares 5 9" xfId="4795" xr:uid="{00000000-0005-0000-0000-0000C33F0000}"/>
    <cellStyle name="Millares 5 9 2" xfId="4796" xr:uid="{00000000-0005-0000-0000-0000C43F0000}"/>
    <cellStyle name="Millares 5 9 2 2" xfId="8391" xr:uid="{00000000-0005-0000-0000-0000C53F0000}"/>
    <cellStyle name="Millares 5 9 2 2 2" xfId="15180" xr:uid="{00000000-0005-0000-0000-0000C63F0000}"/>
    <cellStyle name="Millares 5 9 2 2 2 2" xfId="28748" xr:uid="{00000000-0005-0000-0000-0000C73F0000}"/>
    <cellStyle name="Millares 5 9 2 2 2 2 2" xfId="55881" xr:uid="{00000000-0005-0000-0000-0000C83F0000}"/>
    <cellStyle name="Millares 5 9 2 2 2 3" xfId="42319" xr:uid="{00000000-0005-0000-0000-0000C93F0000}"/>
    <cellStyle name="Millares 5 9 2 2 3" xfId="21967" xr:uid="{00000000-0005-0000-0000-0000CA3F0000}"/>
    <cellStyle name="Millares 5 9 2 2 3 2" xfId="49100" xr:uid="{00000000-0005-0000-0000-0000CB3F0000}"/>
    <cellStyle name="Millares 5 9 2 2 4" xfId="35538" xr:uid="{00000000-0005-0000-0000-0000CC3F0000}"/>
    <cellStyle name="Millares 5 9 2 3" xfId="11791" xr:uid="{00000000-0005-0000-0000-0000CD3F0000}"/>
    <cellStyle name="Millares 5 9 2 3 2" xfId="25359" xr:uid="{00000000-0005-0000-0000-0000CE3F0000}"/>
    <cellStyle name="Millares 5 9 2 3 2 2" xfId="52492" xr:uid="{00000000-0005-0000-0000-0000CF3F0000}"/>
    <cellStyle name="Millares 5 9 2 3 3" xfId="38930" xr:uid="{00000000-0005-0000-0000-0000D03F0000}"/>
    <cellStyle name="Millares 5 9 2 4" xfId="18578" xr:uid="{00000000-0005-0000-0000-0000D13F0000}"/>
    <cellStyle name="Millares 5 9 2 4 2" xfId="45711" xr:uid="{00000000-0005-0000-0000-0000D23F0000}"/>
    <cellStyle name="Millares 5 9 2 5" xfId="32149" xr:uid="{00000000-0005-0000-0000-0000D33F0000}"/>
    <cellStyle name="Millares 5 9 3" xfId="8390" xr:uid="{00000000-0005-0000-0000-0000D43F0000}"/>
    <cellStyle name="Millares 5 9 3 2" xfId="15179" xr:uid="{00000000-0005-0000-0000-0000D53F0000}"/>
    <cellStyle name="Millares 5 9 3 2 2" xfId="28747" xr:uid="{00000000-0005-0000-0000-0000D63F0000}"/>
    <cellStyle name="Millares 5 9 3 2 2 2" xfId="55880" xr:uid="{00000000-0005-0000-0000-0000D73F0000}"/>
    <cellStyle name="Millares 5 9 3 2 3" xfId="42318" xr:uid="{00000000-0005-0000-0000-0000D83F0000}"/>
    <cellStyle name="Millares 5 9 3 3" xfId="21966" xr:uid="{00000000-0005-0000-0000-0000D93F0000}"/>
    <cellStyle name="Millares 5 9 3 3 2" xfId="49099" xr:uid="{00000000-0005-0000-0000-0000DA3F0000}"/>
    <cellStyle name="Millares 5 9 3 4" xfId="35537" xr:uid="{00000000-0005-0000-0000-0000DB3F0000}"/>
    <cellStyle name="Millares 5 9 4" xfId="11790" xr:uid="{00000000-0005-0000-0000-0000DC3F0000}"/>
    <cellStyle name="Millares 5 9 4 2" xfId="25358" xr:uid="{00000000-0005-0000-0000-0000DD3F0000}"/>
    <cellStyle name="Millares 5 9 4 2 2" xfId="52491" xr:uid="{00000000-0005-0000-0000-0000DE3F0000}"/>
    <cellStyle name="Millares 5 9 4 3" xfId="38929" xr:uid="{00000000-0005-0000-0000-0000DF3F0000}"/>
    <cellStyle name="Millares 5 9 5" xfId="18577" xr:uid="{00000000-0005-0000-0000-0000E03F0000}"/>
    <cellStyle name="Millares 5 9 5 2" xfId="45710" xr:uid="{00000000-0005-0000-0000-0000E13F0000}"/>
    <cellStyle name="Millares 5 9 6" xfId="32148" xr:uid="{00000000-0005-0000-0000-0000E23F0000}"/>
    <cellStyle name="Millares 6" xfId="21" xr:uid="{00000000-0005-0000-0000-0000E33F0000}"/>
    <cellStyle name="Millares 6 10" xfId="4797" xr:uid="{00000000-0005-0000-0000-0000E43F0000}"/>
    <cellStyle name="Millares 6 10 2" xfId="8392" xr:uid="{00000000-0005-0000-0000-0000E53F0000}"/>
    <cellStyle name="Millares 6 10 2 2" xfId="15181" xr:uid="{00000000-0005-0000-0000-0000E63F0000}"/>
    <cellStyle name="Millares 6 10 2 2 2" xfId="28749" xr:uid="{00000000-0005-0000-0000-0000E73F0000}"/>
    <cellStyle name="Millares 6 10 2 2 2 2" xfId="55882" xr:uid="{00000000-0005-0000-0000-0000E83F0000}"/>
    <cellStyle name="Millares 6 10 2 2 3" xfId="42320" xr:uid="{00000000-0005-0000-0000-0000E93F0000}"/>
    <cellStyle name="Millares 6 10 2 3" xfId="21968" xr:uid="{00000000-0005-0000-0000-0000EA3F0000}"/>
    <cellStyle name="Millares 6 10 2 3 2" xfId="49101" xr:uid="{00000000-0005-0000-0000-0000EB3F0000}"/>
    <cellStyle name="Millares 6 10 2 4" xfId="35539" xr:uid="{00000000-0005-0000-0000-0000EC3F0000}"/>
    <cellStyle name="Millares 6 10 3" xfId="11792" xr:uid="{00000000-0005-0000-0000-0000ED3F0000}"/>
    <cellStyle name="Millares 6 10 3 2" xfId="25360" xr:uid="{00000000-0005-0000-0000-0000EE3F0000}"/>
    <cellStyle name="Millares 6 10 3 2 2" xfId="52493" xr:uid="{00000000-0005-0000-0000-0000EF3F0000}"/>
    <cellStyle name="Millares 6 10 3 3" xfId="38931" xr:uid="{00000000-0005-0000-0000-0000F03F0000}"/>
    <cellStyle name="Millares 6 10 4" xfId="18579" xr:uid="{00000000-0005-0000-0000-0000F13F0000}"/>
    <cellStyle name="Millares 6 10 4 2" xfId="45712" xr:uid="{00000000-0005-0000-0000-0000F23F0000}"/>
    <cellStyle name="Millares 6 10 5" xfId="32150" xr:uid="{00000000-0005-0000-0000-0000F33F0000}"/>
    <cellStyle name="Millares 6 11" xfId="75" xr:uid="{00000000-0005-0000-0000-0000F43F0000}"/>
    <cellStyle name="Millares 6 12" xfId="58370" xr:uid="{168EAD7B-14BE-497B-8EC4-2A51B9ECE54B}"/>
    <cellStyle name="Millares 6 2" xfId="2467" xr:uid="{00000000-0005-0000-0000-0000F53F0000}"/>
    <cellStyle name="Millares 6 2 2 4" xfId="7381" xr:uid="{00000000-0005-0000-0000-0000F63F0000}"/>
    <cellStyle name="Millares 6 3" xfId="4798" xr:uid="{00000000-0005-0000-0000-0000F73F0000}"/>
    <cellStyle name="Millares 6 3 10" xfId="11793" xr:uid="{00000000-0005-0000-0000-0000F83F0000}"/>
    <cellStyle name="Millares 6 3 10 2" xfId="25361" xr:uid="{00000000-0005-0000-0000-0000F93F0000}"/>
    <cellStyle name="Millares 6 3 10 2 2" xfId="52494" xr:uid="{00000000-0005-0000-0000-0000FA3F0000}"/>
    <cellStyle name="Millares 6 3 10 3" xfId="38932" xr:uid="{00000000-0005-0000-0000-0000FB3F0000}"/>
    <cellStyle name="Millares 6 3 11" xfId="18580" xr:uid="{00000000-0005-0000-0000-0000FC3F0000}"/>
    <cellStyle name="Millares 6 3 11 2" xfId="45713" xr:uid="{00000000-0005-0000-0000-0000FD3F0000}"/>
    <cellStyle name="Millares 6 3 12" xfId="32151" xr:uid="{00000000-0005-0000-0000-0000FE3F0000}"/>
    <cellStyle name="Millares 6 3 2" xfId="4799" xr:uid="{00000000-0005-0000-0000-0000FF3F0000}"/>
    <cellStyle name="Millares 6 3 2 10" xfId="32152" xr:uid="{00000000-0005-0000-0000-000000400000}"/>
    <cellStyle name="Millares 6 3 2 2" xfId="4800" xr:uid="{00000000-0005-0000-0000-000001400000}"/>
    <cellStyle name="Millares 6 3 2 2 2" xfId="4801" xr:uid="{00000000-0005-0000-0000-000002400000}"/>
    <cellStyle name="Millares 6 3 2 2 2 2" xfId="4802" xr:uid="{00000000-0005-0000-0000-000003400000}"/>
    <cellStyle name="Millares 6 3 2 2 2 2 2" xfId="8397" xr:uid="{00000000-0005-0000-0000-000004400000}"/>
    <cellStyle name="Millares 6 3 2 2 2 2 2 2" xfId="15186" xr:uid="{00000000-0005-0000-0000-000005400000}"/>
    <cellStyle name="Millares 6 3 2 2 2 2 2 2 2" xfId="28754" xr:uid="{00000000-0005-0000-0000-000006400000}"/>
    <cellStyle name="Millares 6 3 2 2 2 2 2 2 2 2" xfId="55887" xr:uid="{00000000-0005-0000-0000-000007400000}"/>
    <cellStyle name="Millares 6 3 2 2 2 2 2 2 3" xfId="42325" xr:uid="{00000000-0005-0000-0000-000008400000}"/>
    <cellStyle name="Millares 6 3 2 2 2 2 2 3" xfId="21973" xr:uid="{00000000-0005-0000-0000-000009400000}"/>
    <cellStyle name="Millares 6 3 2 2 2 2 2 3 2" xfId="49106" xr:uid="{00000000-0005-0000-0000-00000A400000}"/>
    <cellStyle name="Millares 6 3 2 2 2 2 2 4" xfId="35544" xr:uid="{00000000-0005-0000-0000-00000B400000}"/>
    <cellStyle name="Millares 6 3 2 2 2 2 3" xfId="11797" xr:uid="{00000000-0005-0000-0000-00000C400000}"/>
    <cellStyle name="Millares 6 3 2 2 2 2 3 2" xfId="25365" xr:uid="{00000000-0005-0000-0000-00000D400000}"/>
    <cellStyle name="Millares 6 3 2 2 2 2 3 2 2" xfId="52498" xr:uid="{00000000-0005-0000-0000-00000E400000}"/>
    <cellStyle name="Millares 6 3 2 2 2 2 3 3" xfId="38936" xr:uid="{00000000-0005-0000-0000-00000F400000}"/>
    <cellStyle name="Millares 6 3 2 2 2 2 4" xfId="18584" xr:uid="{00000000-0005-0000-0000-000010400000}"/>
    <cellStyle name="Millares 6 3 2 2 2 2 4 2" xfId="45717" xr:uid="{00000000-0005-0000-0000-000011400000}"/>
    <cellStyle name="Millares 6 3 2 2 2 2 5" xfId="32155" xr:uid="{00000000-0005-0000-0000-000012400000}"/>
    <cellStyle name="Millares 6 3 2 2 2 3" xfId="4803" xr:uid="{00000000-0005-0000-0000-000013400000}"/>
    <cellStyle name="Millares 6 3 2 2 2 3 2" xfId="8398" xr:uid="{00000000-0005-0000-0000-000014400000}"/>
    <cellStyle name="Millares 6 3 2 2 2 3 2 2" xfId="15187" xr:uid="{00000000-0005-0000-0000-000015400000}"/>
    <cellStyle name="Millares 6 3 2 2 2 3 2 2 2" xfId="28755" xr:uid="{00000000-0005-0000-0000-000016400000}"/>
    <cellStyle name="Millares 6 3 2 2 2 3 2 2 2 2" xfId="55888" xr:uid="{00000000-0005-0000-0000-000017400000}"/>
    <cellStyle name="Millares 6 3 2 2 2 3 2 2 3" xfId="42326" xr:uid="{00000000-0005-0000-0000-000018400000}"/>
    <cellStyle name="Millares 6 3 2 2 2 3 2 3" xfId="21974" xr:uid="{00000000-0005-0000-0000-000019400000}"/>
    <cellStyle name="Millares 6 3 2 2 2 3 2 3 2" xfId="49107" xr:uid="{00000000-0005-0000-0000-00001A400000}"/>
    <cellStyle name="Millares 6 3 2 2 2 3 2 4" xfId="35545" xr:uid="{00000000-0005-0000-0000-00001B400000}"/>
    <cellStyle name="Millares 6 3 2 2 2 3 3" xfId="11798" xr:uid="{00000000-0005-0000-0000-00001C400000}"/>
    <cellStyle name="Millares 6 3 2 2 2 3 3 2" xfId="25366" xr:uid="{00000000-0005-0000-0000-00001D400000}"/>
    <cellStyle name="Millares 6 3 2 2 2 3 3 2 2" xfId="52499" xr:uid="{00000000-0005-0000-0000-00001E400000}"/>
    <cellStyle name="Millares 6 3 2 2 2 3 3 3" xfId="38937" xr:uid="{00000000-0005-0000-0000-00001F400000}"/>
    <cellStyle name="Millares 6 3 2 2 2 3 4" xfId="18585" xr:uid="{00000000-0005-0000-0000-000020400000}"/>
    <cellStyle name="Millares 6 3 2 2 2 3 4 2" xfId="45718" xr:uid="{00000000-0005-0000-0000-000021400000}"/>
    <cellStyle name="Millares 6 3 2 2 2 3 5" xfId="32156" xr:uid="{00000000-0005-0000-0000-000022400000}"/>
    <cellStyle name="Millares 6 3 2 2 2 4" xfId="8396" xr:uid="{00000000-0005-0000-0000-000023400000}"/>
    <cellStyle name="Millares 6 3 2 2 2 4 2" xfId="15185" xr:uid="{00000000-0005-0000-0000-000024400000}"/>
    <cellStyle name="Millares 6 3 2 2 2 4 2 2" xfId="28753" xr:uid="{00000000-0005-0000-0000-000025400000}"/>
    <cellStyle name="Millares 6 3 2 2 2 4 2 2 2" xfId="55886" xr:uid="{00000000-0005-0000-0000-000026400000}"/>
    <cellStyle name="Millares 6 3 2 2 2 4 2 3" xfId="42324" xr:uid="{00000000-0005-0000-0000-000027400000}"/>
    <cellStyle name="Millares 6 3 2 2 2 4 3" xfId="21972" xr:uid="{00000000-0005-0000-0000-000028400000}"/>
    <cellStyle name="Millares 6 3 2 2 2 4 3 2" xfId="49105" xr:uid="{00000000-0005-0000-0000-000029400000}"/>
    <cellStyle name="Millares 6 3 2 2 2 4 4" xfId="35543" xr:uid="{00000000-0005-0000-0000-00002A400000}"/>
    <cellStyle name="Millares 6 3 2 2 2 5" xfId="11796" xr:uid="{00000000-0005-0000-0000-00002B400000}"/>
    <cellStyle name="Millares 6 3 2 2 2 5 2" xfId="25364" xr:uid="{00000000-0005-0000-0000-00002C400000}"/>
    <cellStyle name="Millares 6 3 2 2 2 5 2 2" xfId="52497" xr:uid="{00000000-0005-0000-0000-00002D400000}"/>
    <cellStyle name="Millares 6 3 2 2 2 5 3" xfId="38935" xr:uid="{00000000-0005-0000-0000-00002E400000}"/>
    <cellStyle name="Millares 6 3 2 2 2 6" xfId="18583" xr:uid="{00000000-0005-0000-0000-00002F400000}"/>
    <cellStyle name="Millares 6 3 2 2 2 6 2" xfId="45716" xr:uid="{00000000-0005-0000-0000-000030400000}"/>
    <cellStyle name="Millares 6 3 2 2 2 7" xfId="32154" xr:uid="{00000000-0005-0000-0000-000031400000}"/>
    <cellStyle name="Millares 6 3 2 2 3" xfId="4804" xr:uid="{00000000-0005-0000-0000-000032400000}"/>
    <cellStyle name="Millares 6 3 2 2 3 2" xfId="4805" xr:uid="{00000000-0005-0000-0000-000033400000}"/>
    <cellStyle name="Millares 6 3 2 2 3 2 2" xfId="8400" xr:uid="{00000000-0005-0000-0000-000034400000}"/>
    <cellStyle name="Millares 6 3 2 2 3 2 2 2" xfId="15189" xr:uid="{00000000-0005-0000-0000-000035400000}"/>
    <cellStyle name="Millares 6 3 2 2 3 2 2 2 2" xfId="28757" xr:uid="{00000000-0005-0000-0000-000036400000}"/>
    <cellStyle name="Millares 6 3 2 2 3 2 2 2 2 2" xfId="55890" xr:uid="{00000000-0005-0000-0000-000037400000}"/>
    <cellStyle name="Millares 6 3 2 2 3 2 2 2 3" xfId="42328" xr:uid="{00000000-0005-0000-0000-000038400000}"/>
    <cellStyle name="Millares 6 3 2 2 3 2 2 3" xfId="21976" xr:uid="{00000000-0005-0000-0000-000039400000}"/>
    <cellStyle name="Millares 6 3 2 2 3 2 2 3 2" xfId="49109" xr:uid="{00000000-0005-0000-0000-00003A400000}"/>
    <cellStyle name="Millares 6 3 2 2 3 2 2 4" xfId="35547" xr:uid="{00000000-0005-0000-0000-00003B400000}"/>
    <cellStyle name="Millares 6 3 2 2 3 2 3" xfId="11800" xr:uid="{00000000-0005-0000-0000-00003C400000}"/>
    <cellStyle name="Millares 6 3 2 2 3 2 3 2" xfId="25368" xr:uid="{00000000-0005-0000-0000-00003D400000}"/>
    <cellStyle name="Millares 6 3 2 2 3 2 3 2 2" xfId="52501" xr:uid="{00000000-0005-0000-0000-00003E400000}"/>
    <cellStyle name="Millares 6 3 2 2 3 2 3 3" xfId="38939" xr:uid="{00000000-0005-0000-0000-00003F400000}"/>
    <cellStyle name="Millares 6 3 2 2 3 2 4" xfId="18587" xr:uid="{00000000-0005-0000-0000-000040400000}"/>
    <cellStyle name="Millares 6 3 2 2 3 2 4 2" xfId="45720" xr:uid="{00000000-0005-0000-0000-000041400000}"/>
    <cellStyle name="Millares 6 3 2 2 3 2 5" xfId="32158" xr:uid="{00000000-0005-0000-0000-000042400000}"/>
    <cellStyle name="Millares 6 3 2 2 3 3" xfId="8399" xr:uid="{00000000-0005-0000-0000-000043400000}"/>
    <cellStyle name="Millares 6 3 2 2 3 3 2" xfId="15188" xr:uid="{00000000-0005-0000-0000-000044400000}"/>
    <cellStyle name="Millares 6 3 2 2 3 3 2 2" xfId="28756" xr:uid="{00000000-0005-0000-0000-000045400000}"/>
    <cellStyle name="Millares 6 3 2 2 3 3 2 2 2" xfId="55889" xr:uid="{00000000-0005-0000-0000-000046400000}"/>
    <cellStyle name="Millares 6 3 2 2 3 3 2 3" xfId="42327" xr:uid="{00000000-0005-0000-0000-000047400000}"/>
    <cellStyle name="Millares 6 3 2 2 3 3 3" xfId="21975" xr:uid="{00000000-0005-0000-0000-000048400000}"/>
    <cellStyle name="Millares 6 3 2 2 3 3 3 2" xfId="49108" xr:uid="{00000000-0005-0000-0000-000049400000}"/>
    <cellStyle name="Millares 6 3 2 2 3 3 4" xfId="35546" xr:uid="{00000000-0005-0000-0000-00004A400000}"/>
    <cellStyle name="Millares 6 3 2 2 3 4" xfId="11799" xr:uid="{00000000-0005-0000-0000-00004B400000}"/>
    <cellStyle name="Millares 6 3 2 2 3 4 2" xfId="25367" xr:uid="{00000000-0005-0000-0000-00004C400000}"/>
    <cellStyle name="Millares 6 3 2 2 3 4 2 2" xfId="52500" xr:uid="{00000000-0005-0000-0000-00004D400000}"/>
    <cellStyle name="Millares 6 3 2 2 3 4 3" xfId="38938" xr:uid="{00000000-0005-0000-0000-00004E400000}"/>
    <cellStyle name="Millares 6 3 2 2 3 5" xfId="18586" xr:uid="{00000000-0005-0000-0000-00004F400000}"/>
    <cellStyle name="Millares 6 3 2 2 3 5 2" xfId="45719" xr:uid="{00000000-0005-0000-0000-000050400000}"/>
    <cellStyle name="Millares 6 3 2 2 3 6" xfId="32157" xr:uid="{00000000-0005-0000-0000-000051400000}"/>
    <cellStyle name="Millares 6 3 2 2 4" xfId="4806" xr:uid="{00000000-0005-0000-0000-000052400000}"/>
    <cellStyle name="Millares 6 3 2 2 4 2" xfId="8401" xr:uid="{00000000-0005-0000-0000-000053400000}"/>
    <cellStyle name="Millares 6 3 2 2 4 2 2" xfId="15190" xr:uid="{00000000-0005-0000-0000-000054400000}"/>
    <cellStyle name="Millares 6 3 2 2 4 2 2 2" xfId="28758" xr:uid="{00000000-0005-0000-0000-000055400000}"/>
    <cellStyle name="Millares 6 3 2 2 4 2 2 2 2" xfId="55891" xr:uid="{00000000-0005-0000-0000-000056400000}"/>
    <cellStyle name="Millares 6 3 2 2 4 2 2 3" xfId="42329" xr:uid="{00000000-0005-0000-0000-000057400000}"/>
    <cellStyle name="Millares 6 3 2 2 4 2 3" xfId="21977" xr:uid="{00000000-0005-0000-0000-000058400000}"/>
    <cellStyle name="Millares 6 3 2 2 4 2 3 2" xfId="49110" xr:uid="{00000000-0005-0000-0000-000059400000}"/>
    <cellStyle name="Millares 6 3 2 2 4 2 4" xfId="35548" xr:uid="{00000000-0005-0000-0000-00005A400000}"/>
    <cellStyle name="Millares 6 3 2 2 4 3" xfId="11801" xr:uid="{00000000-0005-0000-0000-00005B400000}"/>
    <cellStyle name="Millares 6 3 2 2 4 3 2" xfId="25369" xr:uid="{00000000-0005-0000-0000-00005C400000}"/>
    <cellStyle name="Millares 6 3 2 2 4 3 2 2" xfId="52502" xr:uid="{00000000-0005-0000-0000-00005D400000}"/>
    <cellStyle name="Millares 6 3 2 2 4 3 3" xfId="38940" xr:uid="{00000000-0005-0000-0000-00005E400000}"/>
    <cellStyle name="Millares 6 3 2 2 4 4" xfId="18588" xr:uid="{00000000-0005-0000-0000-00005F400000}"/>
    <cellStyle name="Millares 6 3 2 2 4 4 2" xfId="45721" xr:uid="{00000000-0005-0000-0000-000060400000}"/>
    <cellStyle name="Millares 6 3 2 2 4 5" xfId="32159" xr:uid="{00000000-0005-0000-0000-000061400000}"/>
    <cellStyle name="Millares 6 3 2 2 5" xfId="4807" xr:uid="{00000000-0005-0000-0000-000062400000}"/>
    <cellStyle name="Millares 6 3 2 2 5 2" xfId="8402" xr:uid="{00000000-0005-0000-0000-000063400000}"/>
    <cellStyle name="Millares 6 3 2 2 5 2 2" xfId="15191" xr:uid="{00000000-0005-0000-0000-000064400000}"/>
    <cellStyle name="Millares 6 3 2 2 5 2 2 2" xfId="28759" xr:uid="{00000000-0005-0000-0000-000065400000}"/>
    <cellStyle name="Millares 6 3 2 2 5 2 2 2 2" xfId="55892" xr:uid="{00000000-0005-0000-0000-000066400000}"/>
    <cellStyle name="Millares 6 3 2 2 5 2 2 3" xfId="42330" xr:uid="{00000000-0005-0000-0000-000067400000}"/>
    <cellStyle name="Millares 6 3 2 2 5 2 3" xfId="21978" xr:uid="{00000000-0005-0000-0000-000068400000}"/>
    <cellStyle name="Millares 6 3 2 2 5 2 3 2" xfId="49111" xr:uid="{00000000-0005-0000-0000-000069400000}"/>
    <cellStyle name="Millares 6 3 2 2 5 2 4" xfId="35549" xr:uid="{00000000-0005-0000-0000-00006A400000}"/>
    <cellStyle name="Millares 6 3 2 2 5 3" xfId="11802" xr:uid="{00000000-0005-0000-0000-00006B400000}"/>
    <cellStyle name="Millares 6 3 2 2 5 3 2" xfId="25370" xr:uid="{00000000-0005-0000-0000-00006C400000}"/>
    <cellStyle name="Millares 6 3 2 2 5 3 2 2" xfId="52503" xr:uid="{00000000-0005-0000-0000-00006D400000}"/>
    <cellStyle name="Millares 6 3 2 2 5 3 3" xfId="38941" xr:uid="{00000000-0005-0000-0000-00006E400000}"/>
    <cellStyle name="Millares 6 3 2 2 5 4" xfId="18589" xr:uid="{00000000-0005-0000-0000-00006F400000}"/>
    <cellStyle name="Millares 6 3 2 2 5 4 2" xfId="45722" xr:uid="{00000000-0005-0000-0000-000070400000}"/>
    <cellStyle name="Millares 6 3 2 2 5 5" xfId="32160" xr:uid="{00000000-0005-0000-0000-000071400000}"/>
    <cellStyle name="Millares 6 3 2 2 6" xfId="8395" xr:uid="{00000000-0005-0000-0000-000072400000}"/>
    <cellStyle name="Millares 6 3 2 2 6 2" xfId="15184" xr:uid="{00000000-0005-0000-0000-000073400000}"/>
    <cellStyle name="Millares 6 3 2 2 6 2 2" xfId="28752" xr:uid="{00000000-0005-0000-0000-000074400000}"/>
    <cellStyle name="Millares 6 3 2 2 6 2 2 2" xfId="55885" xr:uid="{00000000-0005-0000-0000-000075400000}"/>
    <cellStyle name="Millares 6 3 2 2 6 2 3" xfId="42323" xr:uid="{00000000-0005-0000-0000-000076400000}"/>
    <cellStyle name="Millares 6 3 2 2 6 3" xfId="21971" xr:uid="{00000000-0005-0000-0000-000077400000}"/>
    <cellStyle name="Millares 6 3 2 2 6 3 2" xfId="49104" xr:uid="{00000000-0005-0000-0000-000078400000}"/>
    <cellStyle name="Millares 6 3 2 2 6 4" xfId="35542" xr:uid="{00000000-0005-0000-0000-000079400000}"/>
    <cellStyle name="Millares 6 3 2 2 7" xfId="11795" xr:uid="{00000000-0005-0000-0000-00007A400000}"/>
    <cellStyle name="Millares 6 3 2 2 7 2" xfId="25363" xr:uid="{00000000-0005-0000-0000-00007B400000}"/>
    <cellStyle name="Millares 6 3 2 2 7 2 2" xfId="52496" xr:uid="{00000000-0005-0000-0000-00007C400000}"/>
    <cellStyle name="Millares 6 3 2 2 7 3" xfId="38934" xr:uid="{00000000-0005-0000-0000-00007D400000}"/>
    <cellStyle name="Millares 6 3 2 2 8" xfId="18582" xr:uid="{00000000-0005-0000-0000-00007E400000}"/>
    <cellStyle name="Millares 6 3 2 2 8 2" xfId="45715" xr:uid="{00000000-0005-0000-0000-00007F400000}"/>
    <cellStyle name="Millares 6 3 2 2 9" xfId="32153" xr:uid="{00000000-0005-0000-0000-000080400000}"/>
    <cellStyle name="Millares 6 3 2 3" xfId="4808" xr:uid="{00000000-0005-0000-0000-000081400000}"/>
    <cellStyle name="Millares 6 3 2 3 2" xfId="4809" xr:uid="{00000000-0005-0000-0000-000082400000}"/>
    <cellStyle name="Millares 6 3 2 3 2 2" xfId="8404" xr:uid="{00000000-0005-0000-0000-000083400000}"/>
    <cellStyle name="Millares 6 3 2 3 2 2 2" xfId="15193" xr:uid="{00000000-0005-0000-0000-000084400000}"/>
    <cellStyle name="Millares 6 3 2 3 2 2 2 2" xfId="28761" xr:uid="{00000000-0005-0000-0000-000085400000}"/>
    <cellStyle name="Millares 6 3 2 3 2 2 2 2 2" xfId="55894" xr:uid="{00000000-0005-0000-0000-000086400000}"/>
    <cellStyle name="Millares 6 3 2 3 2 2 2 3" xfId="42332" xr:uid="{00000000-0005-0000-0000-000087400000}"/>
    <cellStyle name="Millares 6 3 2 3 2 2 3" xfId="21980" xr:uid="{00000000-0005-0000-0000-000088400000}"/>
    <cellStyle name="Millares 6 3 2 3 2 2 3 2" xfId="49113" xr:uid="{00000000-0005-0000-0000-000089400000}"/>
    <cellStyle name="Millares 6 3 2 3 2 2 4" xfId="35551" xr:uid="{00000000-0005-0000-0000-00008A400000}"/>
    <cellStyle name="Millares 6 3 2 3 2 3" xfId="11804" xr:uid="{00000000-0005-0000-0000-00008B400000}"/>
    <cellStyle name="Millares 6 3 2 3 2 3 2" xfId="25372" xr:uid="{00000000-0005-0000-0000-00008C400000}"/>
    <cellStyle name="Millares 6 3 2 3 2 3 2 2" xfId="52505" xr:uid="{00000000-0005-0000-0000-00008D400000}"/>
    <cellStyle name="Millares 6 3 2 3 2 3 3" xfId="38943" xr:uid="{00000000-0005-0000-0000-00008E400000}"/>
    <cellStyle name="Millares 6 3 2 3 2 4" xfId="18591" xr:uid="{00000000-0005-0000-0000-00008F400000}"/>
    <cellStyle name="Millares 6 3 2 3 2 4 2" xfId="45724" xr:uid="{00000000-0005-0000-0000-000090400000}"/>
    <cellStyle name="Millares 6 3 2 3 2 5" xfId="32162" xr:uid="{00000000-0005-0000-0000-000091400000}"/>
    <cellStyle name="Millares 6 3 2 3 3" xfId="4810" xr:uid="{00000000-0005-0000-0000-000092400000}"/>
    <cellStyle name="Millares 6 3 2 3 3 2" xfId="8405" xr:uid="{00000000-0005-0000-0000-000093400000}"/>
    <cellStyle name="Millares 6 3 2 3 3 2 2" xfId="15194" xr:uid="{00000000-0005-0000-0000-000094400000}"/>
    <cellStyle name="Millares 6 3 2 3 3 2 2 2" xfId="28762" xr:uid="{00000000-0005-0000-0000-000095400000}"/>
    <cellStyle name="Millares 6 3 2 3 3 2 2 2 2" xfId="55895" xr:uid="{00000000-0005-0000-0000-000096400000}"/>
    <cellStyle name="Millares 6 3 2 3 3 2 2 3" xfId="42333" xr:uid="{00000000-0005-0000-0000-000097400000}"/>
    <cellStyle name="Millares 6 3 2 3 3 2 3" xfId="21981" xr:uid="{00000000-0005-0000-0000-000098400000}"/>
    <cellStyle name="Millares 6 3 2 3 3 2 3 2" xfId="49114" xr:uid="{00000000-0005-0000-0000-000099400000}"/>
    <cellStyle name="Millares 6 3 2 3 3 2 4" xfId="35552" xr:uid="{00000000-0005-0000-0000-00009A400000}"/>
    <cellStyle name="Millares 6 3 2 3 3 3" xfId="11805" xr:uid="{00000000-0005-0000-0000-00009B400000}"/>
    <cellStyle name="Millares 6 3 2 3 3 3 2" xfId="25373" xr:uid="{00000000-0005-0000-0000-00009C400000}"/>
    <cellStyle name="Millares 6 3 2 3 3 3 2 2" xfId="52506" xr:uid="{00000000-0005-0000-0000-00009D400000}"/>
    <cellStyle name="Millares 6 3 2 3 3 3 3" xfId="38944" xr:uid="{00000000-0005-0000-0000-00009E400000}"/>
    <cellStyle name="Millares 6 3 2 3 3 4" xfId="18592" xr:uid="{00000000-0005-0000-0000-00009F400000}"/>
    <cellStyle name="Millares 6 3 2 3 3 4 2" xfId="45725" xr:uid="{00000000-0005-0000-0000-0000A0400000}"/>
    <cellStyle name="Millares 6 3 2 3 3 5" xfId="32163" xr:uid="{00000000-0005-0000-0000-0000A1400000}"/>
    <cellStyle name="Millares 6 3 2 3 4" xfId="8403" xr:uid="{00000000-0005-0000-0000-0000A2400000}"/>
    <cellStyle name="Millares 6 3 2 3 4 2" xfId="15192" xr:uid="{00000000-0005-0000-0000-0000A3400000}"/>
    <cellStyle name="Millares 6 3 2 3 4 2 2" xfId="28760" xr:uid="{00000000-0005-0000-0000-0000A4400000}"/>
    <cellStyle name="Millares 6 3 2 3 4 2 2 2" xfId="55893" xr:uid="{00000000-0005-0000-0000-0000A5400000}"/>
    <cellStyle name="Millares 6 3 2 3 4 2 3" xfId="42331" xr:uid="{00000000-0005-0000-0000-0000A6400000}"/>
    <cellStyle name="Millares 6 3 2 3 4 3" xfId="21979" xr:uid="{00000000-0005-0000-0000-0000A7400000}"/>
    <cellStyle name="Millares 6 3 2 3 4 3 2" xfId="49112" xr:uid="{00000000-0005-0000-0000-0000A8400000}"/>
    <cellStyle name="Millares 6 3 2 3 4 4" xfId="35550" xr:uid="{00000000-0005-0000-0000-0000A9400000}"/>
    <cellStyle name="Millares 6 3 2 3 5" xfId="11803" xr:uid="{00000000-0005-0000-0000-0000AA400000}"/>
    <cellStyle name="Millares 6 3 2 3 5 2" xfId="25371" xr:uid="{00000000-0005-0000-0000-0000AB400000}"/>
    <cellStyle name="Millares 6 3 2 3 5 2 2" xfId="52504" xr:uid="{00000000-0005-0000-0000-0000AC400000}"/>
    <cellStyle name="Millares 6 3 2 3 5 3" xfId="38942" xr:uid="{00000000-0005-0000-0000-0000AD400000}"/>
    <cellStyle name="Millares 6 3 2 3 6" xfId="18590" xr:uid="{00000000-0005-0000-0000-0000AE400000}"/>
    <cellStyle name="Millares 6 3 2 3 6 2" xfId="45723" xr:uid="{00000000-0005-0000-0000-0000AF400000}"/>
    <cellStyle name="Millares 6 3 2 3 7" xfId="32161" xr:uid="{00000000-0005-0000-0000-0000B0400000}"/>
    <cellStyle name="Millares 6 3 2 4" xfId="4811" xr:uid="{00000000-0005-0000-0000-0000B1400000}"/>
    <cellStyle name="Millares 6 3 2 4 2" xfId="4812" xr:uid="{00000000-0005-0000-0000-0000B2400000}"/>
    <cellStyle name="Millares 6 3 2 4 2 2" xfId="8407" xr:uid="{00000000-0005-0000-0000-0000B3400000}"/>
    <cellStyle name="Millares 6 3 2 4 2 2 2" xfId="15196" xr:uid="{00000000-0005-0000-0000-0000B4400000}"/>
    <cellStyle name="Millares 6 3 2 4 2 2 2 2" xfId="28764" xr:uid="{00000000-0005-0000-0000-0000B5400000}"/>
    <cellStyle name="Millares 6 3 2 4 2 2 2 2 2" xfId="55897" xr:uid="{00000000-0005-0000-0000-0000B6400000}"/>
    <cellStyle name="Millares 6 3 2 4 2 2 2 3" xfId="42335" xr:uid="{00000000-0005-0000-0000-0000B7400000}"/>
    <cellStyle name="Millares 6 3 2 4 2 2 3" xfId="21983" xr:uid="{00000000-0005-0000-0000-0000B8400000}"/>
    <cellStyle name="Millares 6 3 2 4 2 2 3 2" xfId="49116" xr:uid="{00000000-0005-0000-0000-0000B9400000}"/>
    <cellStyle name="Millares 6 3 2 4 2 2 4" xfId="35554" xr:uid="{00000000-0005-0000-0000-0000BA400000}"/>
    <cellStyle name="Millares 6 3 2 4 2 3" xfId="11807" xr:uid="{00000000-0005-0000-0000-0000BB400000}"/>
    <cellStyle name="Millares 6 3 2 4 2 3 2" xfId="25375" xr:uid="{00000000-0005-0000-0000-0000BC400000}"/>
    <cellStyle name="Millares 6 3 2 4 2 3 2 2" xfId="52508" xr:uid="{00000000-0005-0000-0000-0000BD400000}"/>
    <cellStyle name="Millares 6 3 2 4 2 3 3" xfId="38946" xr:uid="{00000000-0005-0000-0000-0000BE400000}"/>
    <cellStyle name="Millares 6 3 2 4 2 4" xfId="18594" xr:uid="{00000000-0005-0000-0000-0000BF400000}"/>
    <cellStyle name="Millares 6 3 2 4 2 4 2" xfId="45727" xr:uid="{00000000-0005-0000-0000-0000C0400000}"/>
    <cellStyle name="Millares 6 3 2 4 2 5" xfId="32165" xr:uid="{00000000-0005-0000-0000-0000C1400000}"/>
    <cellStyle name="Millares 6 3 2 4 3" xfId="8406" xr:uid="{00000000-0005-0000-0000-0000C2400000}"/>
    <cellStyle name="Millares 6 3 2 4 3 2" xfId="15195" xr:uid="{00000000-0005-0000-0000-0000C3400000}"/>
    <cellStyle name="Millares 6 3 2 4 3 2 2" xfId="28763" xr:uid="{00000000-0005-0000-0000-0000C4400000}"/>
    <cellStyle name="Millares 6 3 2 4 3 2 2 2" xfId="55896" xr:uid="{00000000-0005-0000-0000-0000C5400000}"/>
    <cellStyle name="Millares 6 3 2 4 3 2 3" xfId="42334" xr:uid="{00000000-0005-0000-0000-0000C6400000}"/>
    <cellStyle name="Millares 6 3 2 4 3 3" xfId="21982" xr:uid="{00000000-0005-0000-0000-0000C7400000}"/>
    <cellStyle name="Millares 6 3 2 4 3 3 2" xfId="49115" xr:uid="{00000000-0005-0000-0000-0000C8400000}"/>
    <cellStyle name="Millares 6 3 2 4 3 4" xfId="35553" xr:uid="{00000000-0005-0000-0000-0000C9400000}"/>
    <cellStyle name="Millares 6 3 2 4 4" xfId="11806" xr:uid="{00000000-0005-0000-0000-0000CA400000}"/>
    <cellStyle name="Millares 6 3 2 4 4 2" xfId="25374" xr:uid="{00000000-0005-0000-0000-0000CB400000}"/>
    <cellStyle name="Millares 6 3 2 4 4 2 2" xfId="52507" xr:uid="{00000000-0005-0000-0000-0000CC400000}"/>
    <cellStyle name="Millares 6 3 2 4 4 3" xfId="38945" xr:uid="{00000000-0005-0000-0000-0000CD400000}"/>
    <cellStyle name="Millares 6 3 2 4 5" xfId="18593" xr:uid="{00000000-0005-0000-0000-0000CE400000}"/>
    <cellStyle name="Millares 6 3 2 4 5 2" xfId="45726" xr:uid="{00000000-0005-0000-0000-0000CF400000}"/>
    <cellStyle name="Millares 6 3 2 4 6" xfId="32164" xr:uid="{00000000-0005-0000-0000-0000D0400000}"/>
    <cellStyle name="Millares 6 3 2 5" xfId="4813" xr:uid="{00000000-0005-0000-0000-0000D1400000}"/>
    <cellStyle name="Millares 6 3 2 5 2" xfId="8408" xr:uid="{00000000-0005-0000-0000-0000D2400000}"/>
    <cellStyle name="Millares 6 3 2 5 2 2" xfId="15197" xr:uid="{00000000-0005-0000-0000-0000D3400000}"/>
    <cellStyle name="Millares 6 3 2 5 2 2 2" xfId="28765" xr:uid="{00000000-0005-0000-0000-0000D4400000}"/>
    <cellStyle name="Millares 6 3 2 5 2 2 2 2" xfId="55898" xr:uid="{00000000-0005-0000-0000-0000D5400000}"/>
    <cellStyle name="Millares 6 3 2 5 2 2 3" xfId="42336" xr:uid="{00000000-0005-0000-0000-0000D6400000}"/>
    <cellStyle name="Millares 6 3 2 5 2 3" xfId="21984" xr:uid="{00000000-0005-0000-0000-0000D7400000}"/>
    <cellStyle name="Millares 6 3 2 5 2 3 2" xfId="49117" xr:uid="{00000000-0005-0000-0000-0000D8400000}"/>
    <cellStyle name="Millares 6 3 2 5 2 4" xfId="35555" xr:uid="{00000000-0005-0000-0000-0000D9400000}"/>
    <cellStyle name="Millares 6 3 2 5 3" xfId="11808" xr:uid="{00000000-0005-0000-0000-0000DA400000}"/>
    <cellStyle name="Millares 6 3 2 5 3 2" xfId="25376" xr:uid="{00000000-0005-0000-0000-0000DB400000}"/>
    <cellStyle name="Millares 6 3 2 5 3 2 2" xfId="52509" xr:uid="{00000000-0005-0000-0000-0000DC400000}"/>
    <cellStyle name="Millares 6 3 2 5 3 3" xfId="38947" xr:uid="{00000000-0005-0000-0000-0000DD400000}"/>
    <cellStyle name="Millares 6 3 2 5 4" xfId="18595" xr:uid="{00000000-0005-0000-0000-0000DE400000}"/>
    <cellStyle name="Millares 6 3 2 5 4 2" xfId="45728" xr:uid="{00000000-0005-0000-0000-0000DF400000}"/>
    <cellStyle name="Millares 6 3 2 5 5" xfId="32166" xr:uid="{00000000-0005-0000-0000-0000E0400000}"/>
    <cellStyle name="Millares 6 3 2 6" xfId="4814" xr:uid="{00000000-0005-0000-0000-0000E1400000}"/>
    <cellStyle name="Millares 6 3 2 6 2" xfId="8409" xr:uid="{00000000-0005-0000-0000-0000E2400000}"/>
    <cellStyle name="Millares 6 3 2 6 2 2" xfId="15198" xr:uid="{00000000-0005-0000-0000-0000E3400000}"/>
    <cellStyle name="Millares 6 3 2 6 2 2 2" xfId="28766" xr:uid="{00000000-0005-0000-0000-0000E4400000}"/>
    <cellStyle name="Millares 6 3 2 6 2 2 2 2" xfId="55899" xr:uid="{00000000-0005-0000-0000-0000E5400000}"/>
    <cellStyle name="Millares 6 3 2 6 2 2 3" xfId="42337" xr:uid="{00000000-0005-0000-0000-0000E6400000}"/>
    <cellStyle name="Millares 6 3 2 6 2 3" xfId="21985" xr:uid="{00000000-0005-0000-0000-0000E7400000}"/>
    <cellStyle name="Millares 6 3 2 6 2 3 2" xfId="49118" xr:uid="{00000000-0005-0000-0000-0000E8400000}"/>
    <cellStyle name="Millares 6 3 2 6 2 4" xfId="35556" xr:uid="{00000000-0005-0000-0000-0000E9400000}"/>
    <cellStyle name="Millares 6 3 2 6 3" xfId="11809" xr:uid="{00000000-0005-0000-0000-0000EA400000}"/>
    <cellStyle name="Millares 6 3 2 6 3 2" xfId="25377" xr:uid="{00000000-0005-0000-0000-0000EB400000}"/>
    <cellStyle name="Millares 6 3 2 6 3 2 2" xfId="52510" xr:uid="{00000000-0005-0000-0000-0000EC400000}"/>
    <cellStyle name="Millares 6 3 2 6 3 3" xfId="38948" xr:uid="{00000000-0005-0000-0000-0000ED400000}"/>
    <cellStyle name="Millares 6 3 2 6 4" xfId="18596" xr:uid="{00000000-0005-0000-0000-0000EE400000}"/>
    <cellStyle name="Millares 6 3 2 6 4 2" xfId="45729" xr:uid="{00000000-0005-0000-0000-0000EF400000}"/>
    <cellStyle name="Millares 6 3 2 6 5" xfId="32167" xr:uid="{00000000-0005-0000-0000-0000F0400000}"/>
    <cellStyle name="Millares 6 3 2 7" xfId="8394" xr:uid="{00000000-0005-0000-0000-0000F1400000}"/>
    <cellStyle name="Millares 6 3 2 7 2" xfId="15183" xr:uid="{00000000-0005-0000-0000-0000F2400000}"/>
    <cellStyle name="Millares 6 3 2 7 2 2" xfId="28751" xr:uid="{00000000-0005-0000-0000-0000F3400000}"/>
    <cellStyle name="Millares 6 3 2 7 2 2 2" xfId="55884" xr:uid="{00000000-0005-0000-0000-0000F4400000}"/>
    <cellStyle name="Millares 6 3 2 7 2 3" xfId="42322" xr:uid="{00000000-0005-0000-0000-0000F5400000}"/>
    <cellStyle name="Millares 6 3 2 7 3" xfId="21970" xr:uid="{00000000-0005-0000-0000-0000F6400000}"/>
    <cellStyle name="Millares 6 3 2 7 3 2" xfId="49103" xr:uid="{00000000-0005-0000-0000-0000F7400000}"/>
    <cellStyle name="Millares 6 3 2 7 4" xfId="35541" xr:uid="{00000000-0005-0000-0000-0000F8400000}"/>
    <cellStyle name="Millares 6 3 2 8" xfId="11794" xr:uid="{00000000-0005-0000-0000-0000F9400000}"/>
    <cellStyle name="Millares 6 3 2 8 2" xfId="25362" xr:uid="{00000000-0005-0000-0000-0000FA400000}"/>
    <cellStyle name="Millares 6 3 2 8 2 2" xfId="52495" xr:uid="{00000000-0005-0000-0000-0000FB400000}"/>
    <cellStyle name="Millares 6 3 2 8 3" xfId="38933" xr:uid="{00000000-0005-0000-0000-0000FC400000}"/>
    <cellStyle name="Millares 6 3 2 9" xfId="18581" xr:uid="{00000000-0005-0000-0000-0000FD400000}"/>
    <cellStyle name="Millares 6 3 2 9 2" xfId="45714" xr:uid="{00000000-0005-0000-0000-0000FE400000}"/>
    <cellStyle name="Millares 6 3 3" xfId="4815" xr:uid="{00000000-0005-0000-0000-0000FF400000}"/>
    <cellStyle name="Millares 6 3 3 2" xfId="4816" xr:uid="{00000000-0005-0000-0000-000000410000}"/>
    <cellStyle name="Millares 6 3 3 2 2" xfId="4817" xr:uid="{00000000-0005-0000-0000-000001410000}"/>
    <cellStyle name="Millares 6 3 3 2 2 2" xfId="8412" xr:uid="{00000000-0005-0000-0000-000002410000}"/>
    <cellStyle name="Millares 6 3 3 2 2 2 2" xfId="15201" xr:uid="{00000000-0005-0000-0000-000003410000}"/>
    <cellStyle name="Millares 6 3 3 2 2 2 2 2" xfId="28769" xr:uid="{00000000-0005-0000-0000-000004410000}"/>
    <cellStyle name="Millares 6 3 3 2 2 2 2 2 2" xfId="55902" xr:uid="{00000000-0005-0000-0000-000005410000}"/>
    <cellStyle name="Millares 6 3 3 2 2 2 2 3" xfId="42340" xr:uid="{00000000-0005-0000-0000-000006410000}"/>
    <cellStyle name="Millares 6 3 3 2 2 2 3" xfId="21988" xr:uid="{00000000-0005-0000-0000-000007410000}"/>
    <cellStyle name="Millares 6 3 3 2 2 2 3 2" xfId="49121" xr:uid="{00000000-0005-0000-0000-000008410000}"/>
    <cellStyle name="Millares 6 3 3 2 2 2 4" xfId="35559" xr:uid="{00000000-0005-0000-0000-000009410000}"/>
    <cellStyle name="Millares 6 3 3 2 2 3" xfId="11812" xr:uid="{00000000-0005-0000-0000-00000A410000}"/>
    <cellStyle name="Millares 6 3 3 2 2 3 2" xfId="25380" xr:uid="{00000000-0005-0000-0000-00000B410000}"/>
    <cellStyle name="Millares 6 3 3 2 2 3 2 2" xfId="52513" xr:uid="{00000000-0005-0000-0000-00000C410000}"/>
    <cellStyle name="Millares 6 3 3 2 2 3 3" xfId="38951" xr:uid="{00000000-0005-0000-0000-00000D410000}"/>
    <cellStyle name="Millares 6 3 3 2 2 4" xfId="18599" xr:uid="{00000000-0005-0000-0000-00000E410000}"/>
    <cellStyle name="Millares 6 3 3 2 2 4 2" xfId="45732" xr:uid="{00000000-0005-0000-0000-00000F410000}"/>
    <cellStyle name="Millares 6 3 3 2 2 5" xfId="32170" xr:uid="{00000000-0005-0000-0000-000010410000}"/>
    <cellStyle name="Millares 6 3 3 2 3" xfId="4818" xr:uid="{00000000-0005-0000-0000-000011410000}"/>
    <cellStyle name="Millares 6 3 3 2 3 2" xfId="8413" xr:uid="{00000000-0005-0000-0000-000012410000}"/>
    <cellStyle name="Millares 6 3 3 2 3 2 2" xfId="15202" xr:uid="{00000000-0005-0000-0000-000013410000}"/>
    <cellStyle name="Millares 6 3 3 2 3 2 2 2" xfId="28770" xr:uid="{00000000-0005-0000-0000-000014410000}"/>
    <cellStyle name="Millares 6 3 3 2 3 2 2 2 2" xfId="55903" xr:uid="{00000000-0005-0000-0000-000015410000}"/>
    <cellStyle name="Millares 6 3 3 2 3 2 2 3" xfId="42341" xr:uid="{00000000-0005-0000-0000-000016410000}"/>
    <cellStyle name="Millares 6 3 3 2 3 2 3" xfId="21989" xr:uid="{00000000-0005-0000-0000-000017410000}"/>
    <cellStyle name="Millares 6 3 3 2 3 2 3 2" xfId="49122" xr:uid="{00000000-0005-0000-0000-000018410000}"/>
    <cellStyle name="Millares 6 3 3 2 3 2 4" xfId="35560" xr:uid="{00000000-0005-0000-0000-000019410000}"/>
    <cellStyle name="Millares 6 3 3 2 3 3" xfId="11813" xr:uid="{00000000-0005-0000-0000-00001A410000}"/>
    <cellStyle name="Millares 6 3 3 2 3 3 2" xfId="25381" xr:uid="{00000000-0005-0000-0000-00001B410000}"/>
    <cellStyle name="Millares 6 3 3 2 3 3 2 2" xfId="52514" xr:uid="{00000000-0005-0000-0000-00001C410000}"/>
    <cellStyle name="Millares 6 3 3 2 3 3 3" xfId="38952" xr:uid="{00000000-0005-0000-0000-00001D410000}"/>
    <cellStyle name="Millares 6 3 3 2 3 4" xfId="18600" xr:uid="{00000000-0005-0000-0000-00001E410000}"/>
    <cellStyle name="Millares 6 3 3 2 3 4 2" xfId="45733" xr:uid="{00000000-0005-0000-0000-00001F410000}"/>
    <cellStyle name="Millares 6 3 3 2 3 5" xfId="32171" xr:uid="{00000000-0005-0000-0000-000020410000}"/>
    <cellStyle name="Millares 6 3 3 2 4" xfId="8411" xr:uid="{00000000-0005-0000-0000-000021410000}"/>
    <cellStyle name="Millares 6 3 3 2 4 2" xfId="15200" xr:uid="{00000000-0005-0000-0000-000022410000}"/>
    <cellStyle name="Millares 6 3 3 2 4 2 2" xfId="28768" xr:uid="{00000000-0005-0000-0000-000023410000}"/>
    <cellStyle name="Millares 6 3 3 2 4 2 2 2" xfId="55901" xr:uid="{00000000-0005-0000-0000-000024410000}"/>
    <cellStyle name="Millares 6 3 3 2 4 2 3" xfId="42339" xr:uid="{00000000-0005-0000-0000-000025410000}"/>
    <cellStyle name="Millares 6 3 3 2 4 3" xfId="21987" xr:uid="{00000000-0005-0000-0000-000026410000}"/>
    <cellStyle name="Millares 6 3 3 2 4 3 2" xfId="49120" xr:uid="{00000000-0005-0000-0000-000027410000}"/>
    <cellStyle name="Millares 6 3 3 2 4 4" xfId="35558" xr:uid="{00000000-0005-0000-0000-000028410000}"/>
    <cellStyle name="Millares 6 3 3 2 5" xfId="11811" xr:uid="{00000000-0005-0000-0000-000029410000}"/>
    <cellStyle name="Millares 6 3 3 2 5 2" xfId="25379" xr:uid="{00000000-0005-0000-0000-00002A410000}"/>
    <cellStyle name="Millares 6 3 3 2 5 2 2" xfId="52512" xr:uid="{00000000-0005-0000-0000-00002B410000}"/>
    <cellStyle name="Millares 6 3 3 2 5 3" xfId="38950" xr:uid="{00000000-0005-0000-0000-00002C410000}"/>
    <cellStyle name="Millares 6 3 3 2 6" xfId="18598" xr:uid="{00000000-0005-0000-0000-00002D410000}"/>
    <cellStyle name="Millares 6 3 3 2 6 2" xfId="45731" xr:uid="{00000000-0005-0000-0000-00002E410000}"/>
    <cellStyle name="Millares 6 3 3 2 7" xfId="32169" xr:uid="{00000000-0005-0000-0000-00002F410000}"/>
    <cellStyle name="Millares 6 3 3 3" xfId="4819" xr:uid="{00000000-0005-0000-0000-000030410000}"/>
    <cellStyle name="Millares 6 3 3 3 2" xfId="4820" xr:uid="{00000000-0005-0000-0000-000031410000}"/>
    <cellStyle name="Millares 6 3 3 3 2 2" xfId="8415" xr:uid="{00000000-0005-0000-0000-000032410000}"/>
    <cellStyle name="Millares 6 3 3 3 2 2 2" xfId="15204" xr:uid="{00000000-0005-0000-0000-000033410000}"/>
    <cellStyle name="Millares 6 3 3 3 2 2 2 2" xfId="28772" xr:uid="{00000000-0005-0000-0000-000034410000}"/>
    <cellStyle name="Millares 6 3 3 3 2 2 2 2 2" xfId="55905" xr:uid="{00000000-0005-0000-0000-000035410000}"/>
    <cellStyle name="Millares 6 3 3 3 2 2 2 3" xfId="42343" xr:uid="{00000000-0005-0000-0000-000036410000}"/>
    <cellStyle name="Millares 6 3 3 3 2 2 3" xfId="21991" xr:uid="{00000000-0005-0000-0000-000037410000}"/>
    <cellStyle name="Millares 6 3 3 3 2 2 3 2" xfId="49124" xr:uid="{00000000-0005-0000-0000-000038410000}"/>
    <cellStyle name="Millares 6 3 3 3 2 2 4" xfId="35562" xr:uid="{00000000-0005-0000-0000-000039410000}"/>
    <cellStyle name="Millares 6 3 3 3 2 3" xfId="11815" xr:uid="{00000000-0005-0000-0000-00003A410000}"/>
    <cellStyle name="Millares 6 3 3 3 2 3 2" xfId="25383" xr:uid="{00000000-0005-0000-0000-00003B410000}"/>
    <cellStyle name="Millares 6 3 3 3 2 3 2 2" xfId="52516" xr:uid="{00000000-0005-0000-0000-00003C410000}"/>
    <cellStyle name="Millares 6 3 3 3 2 3 3" xfId="38954" xr:uid="{00000000-0005-0000-0000-00003D410000}"/>
    <cellStyle name="Millares 6 3 3 3 2 4" xfId="18602" xr:uid="{00000000-0005-0000-0000-00003E410000}"/>
    <cellStyle name="Millares 6 3 3 3 2 4 2" xfId="45735" xr:uid="{00000000-0005-0000-0000-00003F410000}"/>
    <cellStyle name="Millares 6 3 3 3 2 5" xfId="32173" xr:uid="{00000000-0005-0000-0000-000040410000}"/>
    <cellStyle name="Millares 6 3 3 3 3" xfId="8414" xr:uid="{00000000-0005-0000-0000-000041410000}"/>
    <cellStyle name="Millares 6 3 3 3 3 2" xfId="15203" xr:uid="{00000000-0005-0000-0000-000042410000}"/>
    <cellStyle name="Millares 6 3 3 3 3 2 2" xfId="28771" xr:uid="{00000000-0005-0000-0000-000043410000}"/>
    <cellStyle name="Millares 6 3 3 3 3 2 2 2" xfId="55904" xr:uid="{00000000-0005-0000-0000-000044410000}"/>
    <cellStyle name="Millares 6 3 3 3 3 2 3" xfId="42342" xr:uid="{00000000-0005-0000-0000-000045410000}"/>
    <cellStyle name="Millares 6 3 3 3 3 3" xfId="21990" xr:uid="{00000000-0005-0000-0000-000046410000}"/>
    <cellStyle name="Millares 6 3 3 3 3 3 2" xfId="49123" xr:uid="{00000000-0005-0000-0000-000047410000}"/>
    <cellStyle name="Millares 6 3 3 3 3 4" xfId="35561" xr:uid="{00000000-0005-0000-0000-000048410000}"/>
    <cellStyle name="Millares 6 3 3 3 4" xfId="11814" xr:uid="{00000000-0005-0000-0000-000049410000}"/>
    <cellStyle name="Millares 6 3 3 3 4 2" xfId="25382" xr:uid="{00000000-0005-0000-0000-00004A410000}"/>
    <cellStyle name="Millares 6 3 3 3 4 2 2" xfId="52515" xr:uid="{00000000-0005-0000-0000-00004B410000}"/>
    <cellStyle name="Millares 6 3 3 3 4 3" xfId="38953" xr:uid="{00000000-0005-0000-0000-00004C410000}"/>
    <cellStyle name="Millares 6 3 3 3 5" xfId="18601" xr:uid="{00000000-0005-0000-0000-00004D410000}"/>
    <cellStyle name="Millares 6 3 3 3 5 2" xfId="45734" xr:uid="{00000000-0005-0000-0000-00004E410000}"/>
    <cellStyle name="Millares 6 3 3 3 6" xfId="32172" xr:uid="{00000000-0005-0000-0000-00004F410000}"/>
    <cellStyle name="Millares 6 3 3 4" xfId="4821" xr:uid="{00000000-0005-0000-0000-000050410000}"/>
    <cellStyle name="Millares 6 3 3 4 2" xfId="8416" xr:uid="{00000000-0005-0000-0000-000051410000}"/>
    <cellStyle name="Millares 6 3 3 4 2 2" xfId="15205" xr:uid="{00000000-0005-0000-0000-000052410000}"/>
    <cellStyle name="Millares 6 3 3 4 2 2 2" xfId="28773" xr:uid="{00000000-0005-0000-0000-000053410000}"/>
    <cellStyle name="Millares 6 3 3 4 2 2 2 2" xfId="55906" xr:uid="{00000000-0005-0000-0000-000054410000}"/>
    <cellStyle name="Millares 6 3 3 4 2 2 3" xfId="42344" xr:uid="{00000000-0005-0000-0000-000055410000}"/>
    <cellStyle name="Millares 6 3 3 4 2 3" xfId="21992" xr:uid="{00000000-0005-0000-0000-000056410000}"/>
    <cellStyle name="Millares 6 3 3 4 2 3 2" xfId="49125" xr:uid="{00000000-0005-0000-0000-000057410000}"/>
    <cellStyle name="Millares 6 3 3 4 2 4" xfId="35563" xr:uid="{00000000-0005-0000-0000-000058410000}"/>
    <cellStyle name="Millares 6 3 3 4 3" xfId="11816" xr:uid="{00000000-0005-0000-0000-000059410000}"/>
    <cellStyle name="Millares 6 3 3 4 3 2" xfId="25384" xr:uid="{00000000-0005-0000-0000-00005A410000}"/>
    <cellStyle name="Millares 6 3 3 4 3 2 2" xfId="52517" xr:uid="{00000000-0005-0000-0000-00005B410000}"/>
    <cellStyle name="Millares 6 3 3 4 3 3" xfId="38955" xr:uid="{00000000-0005-0000-0000-00005C410000}"/>
    <cellStyle name="Millares 6 3 3 4 4" xfId="18603" xr:uid="{00000000-0005-0000-0000-00005D410000}"/>
    <cellStyle name="Millares 6 3 3 4 4 2" xfId="45736" xr:uid="{00000000-0005-0000-0000-00005E410000}"/>
    <cellStyle name="Millares 6 3 3 4 5" xfId="32174" xr:uid="{00000000-0005-0000-0000-00005F410000}"/>
    <cellStyle name="Millares 6 3 3 5" xfId="4822" xr:uid="{00000000-0005-0000-0000-000060410000}"/>
    <cellStyle name="Millares 6 3 3 5 2" xfId="8417" xr:uid="{00000000-0005-0000-0000-000061410000}"/>
    <cellStyle name="Millares 6 3 3 5 2 2" xfId="15206" xr:uid="{00000000-0005-0000-0000-000062410000}"/>
    <cellStyle name="Millares 6 3 3 5 2 2 2" xfId="28774" xr:uid="{00000000-0005-0000-0000-000063410000}"/>
    <cellStyle name="Millares 6 3 3 5 2 2 2 2" xfId="55907" xr:uid="{00000000-0005-0000-0000-000064410000}"/>
    <cellStyle name="Millares 6 3 3 5 2 2 3" xfId="42345" xr:uid="{00000000-0005-0000-0000-000065410000}"/>
    <cellStyle name="Millares 6 3 3 5 2 3" xfId="21993" xr:uid="{00000000-0005-0000-0000-000066410000}"/>
    <cellStyle name="Millares 6 3 3 5 2 3 2" xfId="49126" xr:uid="{00000000-0005-0000-0000-000067410000}"/>
    <cellStyle name="Millares 6 3 3 5 2 4" xfId="35564" xr:uid="{00000000-0005-0000-0000-000068410000}"/>
    <cellStyle name="Millares 6 3 3 5 3" xfId="11817" xr:uid="{00000000-0005-0000-0000-000069410000}"/>
    <cellStyle name="Millares 6 3 3 5 3 2" xfId="25385" xr:uid="{00000000-0005-0000-0000-00006A410000}"/>
    <cellStyle name="Millares 6 3 3 5 3 2 2" xfId="52518" xr:uid="{00000000-0005-0000-0000-00006B410000}"/>
    <cellStyle name="Millares 6 3 3 5 3 3" xfId="38956" xr:uid="{00000000-0005-0000-0000-00006C410000}"/>
    <cellStyle name="Millares 6 3 3 5 4" xfId="18604" xr:uid="{00000000-0005-0000-0000-00006D410000}"/>
    <cellStyle name="Millares 6 3 3 5 4 2" xfId="45737" xr:uid="{00000000-0005-0000-0000-00006E410000}"/>
    <cellStyle name="Millares 6 3 3 5 5" xfId="32175" xr:uid="{00000000-0005-0000-0000-00006F410000}"/>
    <cellStyle name="Millares 6 3 3 6" xfId="8410" xr:uid="{00000000-0005-0000-0000-000070410000}"/>
    <cellStyle name="Millares 6 3 3 6 2" xfId="15199" xr:uid="{00000000-0005-0000-0000-000071410000}"/>
    <cellStyle name="Millares 6 3 3 6 2 2" xfId="28767" xr:uid="{00000000-0005-0000-0000-000072410000}"/>
    <cellStyle name="Millares 6 3 3 6 2 2 2" xfId="55900" xr:uid="{00000000-0005-0000-0000-000073410000}"/>
    <cellStyle name="Millares 6 3 3 6 2 3" xfId="42338" xr:uid="{00000000-0005-0000-0000-000074410000}"/>
    <cellStyle name="Millares 6 3 3 6 3" xfId="21986" xr:uid="{00000000-0005-0000-0000-000075410000}"/>
    <cellStyle name="Millares 6 3 3 6 3 2" xfId="49119" xr:uid="{00000000-0005-0000-0000-000076410000}"/>
    <cellStyle name="Millares 6 3 3 6 4" xfId="35557" xr:uid="{00000000-0005-0000-0000-000077410000}"/>
    <cellStyle name="Millares 6 3 3 7" xfId="11810" xr:uid="{00000000-0005-0000-0000-000078410000}"/>
    <cellStyle name="Millares 6 3 3 7 2" xfId="25378" xr:uid="{00000000-0005-0000-0000-000079410000}"/>
    <cellStyle name="Millares 6 3 3 7 2 2" xfId="52511" xr:uid="{00000000-0005-0000-0000-00007A410000}"/>
    <cellStyle name="Millares 6 3 3 7 3" xfId="38949" xr:uid="{00000000-0005-0000-0000-00007B410000}"/>
    <cellStyle name="Millares 6 3 3 8" xfId="18597" xr:uid="{00000000-0005-0000-0000-00007C410000}"/>
    <cellStyle name="Millares 6 3 3 8 2" xfId="45730" xr:uid="{00000000-0005-0000-0000-00007D410000}"/>
    <cellStyle name="Millares 6 3 3 9" xfId="32168" xr:uid="{00000000-0005-0000-0000-00007E410000}"/>
    <cellStyle name="Millares 6 3 4" xfId="4823" xr:uid="{00000000-0005-0000-0000-00007F410000}"/>
    <cellStyle name="Millares 6 3 4 2" xfId="4824" xr:uid="{00000000-0005-0000-0000-000080410000}"/>
    <cellStyle name="Millares 6 3 4 2 2" xfId="4825" xr:uid="{00000000-0005-0000-0000-000081410000}"/>
    <cellStyle name="Millares 6 3 4 2 2 2" xfId="8420" xr:uid="{00000000-0005-0000-0000-000082410000}"/>
    <cellStyle name="Millares 6 3 4 2 2 2 2" xfId="15209" xr:uid="{00000000-0005-0000-0000-000083410000}"/>
    <cellStyle name="Millares 6 3 4 2 2 2 2 2" xfId="28777" xr:uid="{00000000-0005-0000-0000-000084410000}"/>
    <cellStyle name="Millares 6 3 4 2 2 2 2 2 2" xfId="55910" xr:uid="{00000000-0005-0000-0000-000085410000}"/>
    <cellStyle name="Millares 6 3 4 2 2 2 2 3" xfId="42348" xr:uid="{00000000-0005-0000-0000-000086410000}"/>
    <cellStyle name="Millares 6 3 4 2 2 2 3" xfId="21996" xr:uid="{00000000-0005-0000-0000-000087410000}"/>
    <cellStyle name="Millares 6 3 4 2 2 2 3 2" xfId="49129" xr:uid="{00000000-0005-0000-0000-000088410000}"/>
    <cellStyle name="Millares 6 3 4 2 2 2 4" xfId="35567" xr:uid="{00000000-0005-0000-0000-000089410000}"/>
    <cellStyle name="Millares 6 3 4 2 2 3" xfId="11820" xr:uid="{00000000-0005-0000-0000-00008A410000}"/>
    <cellStyle name="Millares 6 3 4 2 2 3 2" xfId="25388" xr:uid="{00000000-0005-0000-0000-00008B410000}"/>
    <cellStyle name="Millares 6 3 4 2 2 3 2 2" xfId="52521" xr:uid="{00000000-0005-0000-0000-00008C410000}"/>
    <cellStyle name="Millares 6 3 4 2 2 3 3" xfId="38959" xr:uid="{00000000-0005-0000-0000-00008D410000}"/>
    <cellStyle name="Millares 6 3 4 2 2 4" xfId="18607" xr:uid="{00000000-0005-0000-0000-00008E410000}"/>
    <cellStyle name="Millares 6 3 4 2 2 4 2" xfId="45740" xr:uid="{00000000-0005-0000-0000-00008F410000}"/>
    <cellStyle name="Millares 6 3 4 2 2 5" xfId="32178" xr:uid="{00000000-0005-0000-0000-000090410000}"/>
    <cellStyle name="Millares 6 3 4 2 3" xfId="4826" xr:uid="{00000000-0005-0000-0000-000091410000}"/>
    <cellStyle name="Millares 6 3 4 2 3 2" xfId="8421" xr:uid="{00000000-0005-0000-0000-000092410000}"/>
    <cellStyle name="Millares 6 3 4 2 3 2 2" xfId="15210" xr:uid="{00000000-0005-0000-0000-000093410000}"/>
    <cellStyle name="Millares 6 3 4 2 3 2 2 2" xfId="28778" xr:uid="{00000000-0005-0000-0000-000094410000}"/>
    <cellStyle name="Millares 6 3 4 2 3 2 2 2 2" xfId="55911" xr:uid="{00000000-0005-0000-0000-000095410000}"/>
    <cellStyle name="Millares 6 3 4 2 3 2 2 3" xfId="42349" xr:uid="{00000000-0005-0000-0000-000096410000}"/>
    <cellStyle name="Millares 6 3 4 2 3 2 3" xfId="21997" xr:uid="{00000000-0005-0000-0000-000097410000}"/>
    <cellStyle name="Millares 6 3 4 2 3 2 3 2" xfId="49130" xr:uid="{00000000-0005-0000-0000-000098410000}"/>
    <cellStyle name="Millares 6 3 4 2 3 2 4" xfId="35568" xr:uid="{00000000-0005-0000-0000-000099410000}"/>
    <cellStyle name="Millares 6 3 4 2 3 3" xfId="11821" xr:uid="{00000000-0005-0000-0000-00009A410000}"/>
    <cellStyle name="Millares 6 3 4 2 3 3 2" xfId="25389" xr:uid="{00000000-0005-0000-0000-00009B410000}"/>
    <cellStyle name="Millares 6 3 4 2 3 3 2 2" xfId="52522" xr:uid="{00000000-0005-0000-0000-00009C410000}"/>
    <cellStyle name="Millares 6 3 4 2 3 3 3" xfId="38960" xr:uid="{00000000-0005-0000-0000-00009D410000}"/>
    <cellStyle name="Millares 6 3 4 2 3 4" xfId="18608" xr:uid="{00000000-0005-0000-0000-00009E410000}"/>
    <cellStyle name="Millares 6 3 4 2 3 4 2" xfId="45741" xr:uid="{00000000-0005-0000-0000-00009F410000}"/>
    <cellStyle name="Millares 6 3 4 2 3 5" xfId="32179" xr:uid="{00000000-0005-0000-0000-0000A0410000}"/>
    <cellStyle name="Millares 6 3 4 2 4" xfId="8419" xr:uid="{00000000-0005-0000-0000-0000A1410000}"/>
    <cellStyle name="Millares 6 3 4 2 4 2" xfId="15208" xr:uid="{00000000-0005-0000-0000-0000A2410000}"/>
    <cellStyle name="Millares 6 3 4 2 4 2 2" xfId="28776" xr:uid="{00000000-0005-0000-0000-0000A3410000}"/>
    <cellStyle name="Millares 6 3 4 2 4 2 2 2" xfId="55909" xr:uid="{00000000-0005-0000-0000-0000A4410000}"/>
    <cellStyle name="Millares 6 3 4 2 4 2 3" xfId="42347" xr:uid="{00000000-0005-0000-0000-0000A5410000}"/>
    <cellStyle name="Millares 6 3 4 2 4 3" xfId="21995" xr:uid="{00000000-0005-0000-0000-0000A6410000}"/>
    <cellStyle name="Millares 6 3 4 2 4 3 2" xfId="49128" xr:uid="{00000000-0005-0000-0000-0000A7410000}"/>
    <cellStyle name="Millares 6 3 4 2 4 4" xfId="35566" xr:uid="{00000000-0005-0000-0000-0000A8410000}"/>
    <cellStyle name="Millares 6 3 4 2 5" xfId="11819" xr:uid="{00000000-0005-0000-0000-0000A9410000}"/>
    <cellStyle name="Millares 6 3 4 2 5 2" xfId="25387" xr:uid="{00000000-0005-0000-0000-0000AA410000}"/>
    <cellStyle name="Millares 6 3 4 2 5 2 2" xfId="52520" xr:uid="{00000000-0005-0000-0000-0000AB410000}"/>
    <cellStyle name="Millares 6 3 4 2 5 3" xfId="38958" xr:uid="{00000000-0005-0000-0000-0000AC410000}"/>
    <cellStyle name="Millares 6 3 4 2 6" xfId="18606" xr:uid="{00000000-0005-0000-0000-0000AD410000}"/>
    <cellStyle name="Millares 6 3 4 2 6 2" xfId="45739" xr:uid="{00000000-0005-0000-0000-0000AE410000}"/>
    <cellStyle name="Millares 6 3 4 2 7" xfId="32177" xr:uid="{00000000-0005-0000-0000-0000AF410000}"/>
    <cellStyle name="Millares 6 3 4 3" xfId="4827" xr:uid="{00000000-0005-0000-0000-0000B0410000}"/>
    <cellStyle name="Millares 6 3 4 3 2" xfId="8422" xr:uid="{00000000-0005-0000-0000-0000B1410000}"/>
    <cellStyle name="Millares 6 3 4 3 2 2" xfId="15211" xr:uid="{00000000-0005-0000-0000-0000B2410000}"/>
    <cellStyle name="Millares 6 3 4 3 2 2 2" xfId="28779" xr:uid="{00000000-0005-0000-0000-0000B3410000}"/>
    <cellStyle name="Millares 6 3 4 3 2 2 2 2" xfId="55912" xr:uid="{00000000-0005-0000-0000-0000B4410000}"/>
    <cellStyle name="Millares 6 3 4 3 2 2 3" xfId="42350" xr:uid="{00000000-0005-0000-0000-0000B5410000}"/>
    <cellStyle name="Millares 6 3 4 3 2 3" xfId="21998" xr:uid="{00000000-0005-0000-0000-0000B6410000}"/>
    <cellStyle name="Millares 6 3 4 3 2 3 2" xfId="49131" xr:uid="{00000000-0005-0000-0000-0000B7410000}"/>
    <cellStyle name="Millares 6 3 4 3 2 4" xfId="35569" xr:uid="{00000000-0005-0000-0000-0000B8410000}"/>
    <cellStyle name="Millares 6 3 4 3 3" xfId="11822" xr:uid="{00000000-0005-0000-0000-0000B9410000}"/>
    <cellStyle name="Millares 6 3 4 3 3 2" xfId="25390" xr:uid="{00000000-0005-0000-0000-0000BA410000}"/>
    <cellStyle name="Millares 6 3 4 3 3 2 2" xfId="52523" xr:uid="{00000000-0005-0000-0000-0000BB410000}"/>
    <cellStyle name="Millares 6 3 4 3 3 3" xfId="38961" xr:uid="{00000000-0005-0000-0000-0000BC410000}"/>
    <cellStyle name="Millares 6 3 4 3 4" xfId="18609" xr:uid="{00000000-0005-0000-0000-0000BD410000}"/>
    <cellStyle name="Millares 6 3 4 3 4 2" xfId="45742" xr:uid="{00000000-0005-0000-0000-0000BE410000}"/>
    <cellStyle name="Millares 6 3 4 3 5" xfId="32180" xr:uid="{00000000-0005-0000-0000-0000BF410000}"/>
    <cellStyle name="Millares 6 3 4 4" xfId="4828" xr:uid="{00000000-0005-0000-0000-0000C0410000}"/>
    <cellStyle name="Millares 6 3 4 4 2" xfId="8423" xr:uid="{00000000-0005-0000-0000-0000C1410000}"/>
    <cellStyle name="Millares 6 3 4 4 2 2" xfId="15212" xr:uid="{00000000-0005-0000-0000-0000C2410000}"/>
    <cellStyle name="Millares 6 3 4 4 2 2 2" xfId="28780" xr:uid="{00000000-0005-0000-0000-0000C3410000}"/>
    <cellStyle name="Millares 6 3 4 4 2 2 2 2" xfId="55913" xr:uid="{00000000-0005-0000-0000-0000C4410000}"/>
    <cellStyle name="Millares 6 3 4 4 2 2 3" xfId="42351" xr:uid="{00000000-0005-0000-0000-0000C5410000}"/>
    <cellStyle name="Millares 6 3 4 4 2 3" xfId="21999" xr:uid="{00000000-0005-0000-0000-0000C6410000}"/>
    <cellStyle name="Millares 6 3 4 4 2 3 2" xfId="49132" xr:uid="{00000000-0005-0000-0000-0000C7410000}"/>
    <cellStyle name="Millares 6 3 4 4 2 4" xfId="35570" xr:uid="{00000000-0005-0000-0000-0000C8410000}"/>
    <cellStyle name="Millares 6 3 4 4 3" xfId="11823" xr:uid="{00000000-0005-0000-0000-0000C9410000}"/>
    <cellStyle name="Millares 6 3 4 4 3 2" xfId="25391" xr:uid="{00000000-0005-0000-0000-0000CA410000}"/>
    <cellStyle name="Millares 6 3 4 4 3 2 2" xfId="52524" xr:uid="{00000000-0005-0000-0000-0000CB410000}"/>
    <cellStyle name="Millares 6 3 4 4 3 3" xfId="38962" xr:uid="{00000000-0005-0000-0000-0000CC410000}"/>
    <cellStyle name="Millares 6 3 4 4 4" xfId="18610" xr:uid="{00000000-0005-0000-0000-0000CD410000}"/>
    <cellStyle name="Millares 6 3 4 4 4 2" xfId="45743" xr:uid="{00000000-0005-0000-0000-0000CE410000}"/>
    <cellStyle name="Millares 6 3 4 4 5" xfId="32181" xr:uid="{00000000-0005-0000-0000-0000CF410000}"/>
    <cellStyle name="Millares 6 3 4 5" xfId="8418" xr:uid="{00000000-0005-0000-0000-0000D0410000}"/>
    <cellStyle name="Millares 6 3 4 5 2" xfId="15207" xr:uid="{00000000-0005-0000-0000-0000D1410000}"/>
    <cellStyle name="Millares 6 3 4 5 2 2" xfId="28775" xr:uid="{00000000-0005-0000-0000-0000D2410000}"/>
    <cellStyle name="Millares 6 3 4 5 2 2 2" xfId="55908" xr:uid="{00000000-0005-0000-0000-0000D3410000}"/>
    <cellStyle name="Millares 6 3 4 5 2 3" xfId="42346" xr:uid="{00000000-0005-0000-0000-0000D4410000}"/>
    <cellStyle name="Millares 6 3 4 5 3" xfId="21994" xr:uid="{00000000-0005-0000-0000-0000D5410000}"/>
    <cellStyle name="Millares 6 3 4 5 3 2" xfId="49127" xr:uid="{00000000-0005-0000-0000-0000D6410000}"/>
    <cellStyle name="Millares 6 3 4 5 4" xfId="35565" xr:uid="{00000000-0005-0000-0000-0000D7410000}"/>
    <cellStyle name="Millares 6 3 4 6" xfId="11818" xr:uid="{00000000-0005-0000-0000-0000D8410000}"/>
    <cellStyle name="Millares 6 3 4 6 2" xfId="25386" xr:uid="{00000000-0005-0000-0000-0000D9410000}"/>
    <cellStyle name="Millares 6 3 4 6 2 2" xfId="52519" xr:uid="{00000000-0005-0000-0000-0000DA410000}"/>
    <cellStyle name="Millares 6 3 4 6 3" xfId="38957" xr:uid="{00000000-0005-0000-0000-0000DB410000}"/>
    <cellStyle name="Millares 6 3 4 7" xfId="18605" xr:uid="{00000000-0005-0000-0000-0000DC410000}"/>
    <cellStyle name="Millares 6 3 4 7 2" xfId="45738" xr:uid="{00000000-0005-0000-0000-0000DD410000}"/>
    <cellStyle name="Millares 6 3 4 8" xfId="32176" xr:uid="{00000000-0005-0000-0000-0000DE410000}"/>
    <cellStyle name="Millares 6 3 5" xfId="4829" xr:uid="{00000000-0005-0000-0000-0000DF410000}"/>
    <cellStyle name="Millares 6 3 5 2" xfId="4830" xr:uid="{00000000-0005-0000-0000-0000E0410000}"/>
    <cellStyle name="Millares 6 3 5 2 2" xfId="8425" xr:uid="{00000000-0005-0000-0000-0000E1410000}"/>
    <cellStyle name="Millares 6 3 5 2 2 2" xfId="15214" xr:uid="{00000000-0005-0000-0000-0000E2410000}"/>
    <cellStyle name="Millares 6 3 5 2 2 2 2" xfId="28782" xr:uid="{00000000-0005-0000-0000-0000E3410000}"/>
    <cellStyle name="Millares 6 3 5 2 2 2 2 2" xfId="55915" xr:uid="{00000000-0005-0000-0000-0000E4410000}"/>
    <cellStyle name="Millares 6 3 5 2 2 2 3" xfId="42353" xr:uid="{00000000-0005-0000-0000-0000E5410000}"/>
    <cellStyle name="Millares 6 3 5 2 2 3" xfId="22001" xr:uid="{00000000-0005-0000-0000-0000E6410000}"/>
    <cellStyle name="Millares 6 3 5 2 2 3 2" xfId="49134" xr:uid="{00000000-0005-0000-0000-0000E7410000}"/>
    <cellStyle name="Millares 6 3 5 2 2 4" xfId="35572" xr:uid="{00000000-0005-0000-0000-0000E8410000}"/>
    <cellStyle name="Millares 6 3 5 2 3" xfId="11825" xr:uid="{00000000-0005-0000-0000-0000E9410000}"/>
    <cellStyle name="Millares 6 3 5 2 3 2" xfId="25393" xr:uid="{00000000-0005-0000-0000-0000EA410000}"/>
    <cellStyle name="Millares 6 3 5 2 3 2 2" xfId="52526" xr:uid="{00000000-0005-0000-0000-0000EB410000}"/>
    <cellStyle name="Millares 6 3 5 2 3 3" xfId="38964" xr:uid="{00000000-0005-0000-0000-0000EC410000}"/>
    <cellStyle name="Millares 6 3 5 2 4" xfId="18612" xr:uid="{00000000-0005-0000-0000-0000ED410000}"/>
    <cellStyle name="Millares 6 3 5 2 4 2" xfId="45745" xr:uid="{00000000-0005-0000-0000-0000EE410000}"/>
    <cellStyle name="Millares 6 3 5 2 5" xfId="32183" xr:uid="{00000000-0005-0000-0000-0000EF410000}"/>
    <cellStyle name="Millares 6 3 5 3" xfId="4831" xr:uid="{00000000-0005-0000-0000-0000F0410000}"/>
    <cellStyle name="Millares 6 3 5 3 2" xfId="8426" xr:uid="{00000000-0005-0000-0000-0000F1410000}"/>
    <cellStyle name="Millares 6 3 5 3 2 2" xfId="15215" xr:uid="{00000000-0005-0000-0000-0000F2410000}"/>
    <cellStyle name="Millares 6 3 5 3 2 2 2" xfId="28783" xr:uid="{00000000-0005-0000-0000-0000F3410000}"/>
    <cellStyle name="Millares 6 3 5 3 2 2 2 2" xfId="55916" xr:uid="{00000000-0005-0000-0000-0000F4410000}"/>
    <cellStyle name="Millares 6 3 5 3 2 2 3" xfId="42354" xr:uid="{00000000-0005-0000-0000-0000F5410000}"/>
    <cellStyle name="Millares 6 3 5 3 2 3" xfId="22002" xr:uid="{00000000-0005-0000-0000-0000F6410000}"/>
    <cellStyle name="Millares 6 3 5 3 2 3 2" xfId="49135" xr:uid="{00000000-0005-0000-0000-0000F7410000}"/>
    <cellStyle name="Millares 6 3 5 3 2 4" xfId="35573" xr:uid="{00000000-0005-0000-0000-0000F8410000}"/>
    <cellStyle name="Millares 6 3 5 3 3" xfId="11826" xr:uid="{00000000-0005-0000-0000-0000F9410000}"/>
    <cellStyle name="Millares 6 3 5 3 3 2" xfId="25394" xr:uid="{00000000-0005-0000-0000-0000FA410000}"/>
    <cellStyle name="Millares 6 3 5 3 3 2 2" xfId="52527" xr:uid="{00000000-0005-0000-0000-0000FB410000}"/>
    <cellStyle name="Millares 6 3 5 3 3 3" xfId="38965" xr:uid="{00000000-0005-0000-0000-0000FC410000}"/>
    <cellStyle name="Millares 6 3 5 3 4" xfId="18613" xr:uid="{00000000-0005-0000-0000-0000FD410000}"/>
    <cellStyle name="Millares 6 3 5 3 4 2" xfId="45746" xr:uid="{00000000-0005-0000-0000-0000FE410000}"/>
    <cellStyle name="Millares 6 3 5 3 5" xfId="32184" xr:uid="{00000000-0005-0000-0000-0000FF410000}"/>
    <cellStyle name="Millares 6 3 5 4" xfId="8424" xr:uid="{00000000-0005-0000-0000-000000420000}"/>
    <cellStyle name="Millares 6 3 5 4 2" xfId="15213" xr:uid="{00000000-0005-0000-0000-000001420000}"/>
    <cellStyle name="Millares 6 3 5 4 2 2" xfId="28781" xr:uid="{00000000-0005-0000-0000-000002420000}"/>
    <cellStyle name="Millares 6 3 5 4 2 2 2" xfId="55914" xr:uid="{00000000-0005-0000-0000-000003420000}"/>
    <cellStyle name="Millares 6 3 5 4 2 3" xfId="42352" xr:uid="{00000000-0005-0000-0000-000004420000}"/>
    <cellStyle name="Millares 6 3 5 4 3" xfId="22000" xr:uid="{00000000-0005-0000-0000-000005420000}"/>
    <cellStyle name="Millares 6 3 5 4 3 2" xfId="49133" xr:uid="{00000000-0005-0000-0000-000006420000}"/>
    <cellStyle name="Millares 6 3 5 4 4" xfId="35571" xr:uid="{00000000-0005-0000-0000-000007420000}"/>
    <cellStyle name="Millares 6 3 5 5" xfId="11824" xr:uid="{00000000-0005-0000-0000-000008420000}"/>
    <cellStyle name="Millares 6 3 5 5 2" xfId="25392" xr:uid="{00000000-0005-0000-0000-000009420000}"/>
    <cellStyle name="Millares 6 3 5 5 2 2" xfId="52525" xr:uid="{00000000-0005-0000-0000-00000A420000}"/>
    <cellStyle name="Millares 6 3 5 5 3" xfId="38963" xr:uid="{00000000-0005-0000-0000-00000B420000}"/>
    <cellStyle name="Millares 6 3 5 6" xfId="18611" xr:uid="{00000000-0005-0000-0000-00000C420000}"/>
    <cellStyle name="Millares 6 3 5 6 2" xfId="45744" xr:uid="{00000000-0005-0000-0000-00000D420000}"/>
    <cellStyle name="Millares 6 3 5 7" xfId="32182" xr:uid="{00000000-0005-0000-0000-00000E420000}"/>
    <cellStyle name="Millares 6 3 6" xfId="4832" xr:uid="{00000000-0005-0000-0000-00000F420000}"/>
    <cellStyle name="Millares 6 3 6 2" xfId="4833" xr:uid="{00000000-0005-0000-0000-000010420000}"/>
    <cellStyle name="Millares 6 3 6 2 2" xfId="8428" xr:uid="{00000000-0005-0000-0000-000011420000}"/>
    <cellStyle name="Millares 6 3 6 2 2 2" xfId="15217" xr:uid="{00000000-0005-0000-0000-000012420000}"/>
    <cellStyle name="Millares 6 3 6 2 2 2 2" xfId="28785" xr:uid="{00000000-0005-0000-0000-000013420000}"/>
    <cellStyle name="Millares 6 3 6 2 2 2 2 2" xfId="55918" xr:uid="{00000000-0005-0000-0000-000014420000}"/>
    <cellStyle name="Millares 6 3 6 2 2 2 3" xfId="42356" xr:uid="{00000000-0005-0000-0000-000015420000}"/>
    <cellStyle name="Millares 6 3 6 2 2 3" xfId="22004" xr:uid="{00000000-0005-0000-0000-000016420000}"/>
    <cellStyle name="Millares 6 3 6 2 2 3 2" xfId="49137" xr:uid="{00000000-0005-0000-0000-000017420000}"/>
    <cellStyle name="Millares 6 3 6 2 2 4" xfId="35575" xr:uid="{00000000-0005-0000-0000-000018420000}"/>
    <cellStyle name="Millares 6 3 6 2 3" xfId="11828" xr:uid="{00000000-0005-0000-0000-000019420000}"/>
    <cellStyle name="Millares 6 3 6 2 3 2" xfId="25396" xr:uid="{00000000-0005-0000-0000-00001A420000}"/>
    <cellStyle name="Millares 6 3 6 2 3 2 2" xfId="52529" xr:uid="{00000000-0005-0000-0000-00001B420000}"/>
    <cellStyle name="Millares 6 3 6 2 3 3" xfId="38967" xr:uid="{00000000-0005-0000-0000-00001C420000}"/>
    <cellStyle name="Millares 6 3 6 2 4" xfId="18615" xr:uid="{00000000-0005-0000-0000-00001D420000}"/>
    <cellStyle name="Millares 6 3 6 2 4 2" xfId="45748" xr:uid="{00000000-0005-0000-0000-00001E420000}"/>
    <cellStyle name="Millares 6 3 6 2 5" xfId="32186" xr:uid="{00000000-0005-0000-0000-00001F420000}"/>
    <cellStyle name="Millares 6 3 6 3" xfId="4834" xr:uid="{00000000-0005-0000-0000-000020420000}"/>
    <cellStyle name="Millares 6 3 6 3 2" xfId="8429" xr:uid="{00000000-0005-0000-0000-000021420000}"/>
    <cellStyle name="Millares 6 3 6 3 2 2" xfId="15218" xr:uid="{00000000-0005-0000-0000-000022420000}"/>
    <cellStyle name="Millares 6 3 6 3 2 2 2" xfId="28786" xr:uid="{00000000-0005-0000-0000-000023420000}"/>
    <cellStyle name="Millares 6 3 6 3 2 2 2 2" xfId="55919" xr:uid="{00000000-0005-0000-0000-000024420000}"/>
    <cellStyle name="Millares 6 3 6 3 2 2 3" xfId="42357" xr:uid="{00000000-0005-0000-0000-000025420000}"/>
    <cellStyle name="Millares 6 3 6 3 2 3" xfId="22005" xr:uid="{00000000-0005-0000-0000-000026420000}"/>
    <cellStyle name="Millares 6 3 6 3 2 3 2" xfId="49138" xr:uid="{00000000-0005-0000-0000-000027420000}"/>
    <cellStyle name="Millares 6 3 6 3 2 4" xfId="35576" xr:uid="{00000000-0005-0000-0000-000028420000}"/>
    <cellStyle name="Millares 6 3 6 3 3" xfId="11829" xr:uid="{00000000-0005-0000-0000-000029420000}"/>
    <cellStyle name="Millares 6 3 6 3 3 2" xfId="25397" xr:uid="{00000000-0005-0000-0000-00002A420000}"/>
    <cellStyle name="Millares 6 3 6 3 3 2 2" xfId="52530" xr:uid="{00000000-0005-0000-0000-00002B420000}"/>
    <cellStyle name="Millares 6 3 6 3 3 3" xfId="38968" xr:uid="{00000000-0005-0000-0000-00002C420000}"/>
    <cellStyle name="Millares 6 3 6 3 4" xfId="18616" xr:uid="{00000000-0005-0000-0000-00002D420000}"/>
    <cellStyle name="Millares 6 3 6 3 4 2" xfId="45749" xr:uid="{00000000-0005-0000-0000-00002E420000}"/>
    <cellStyle name="Millares 6 3 6 3 5" xfId="32187" xr:uid="{00000000-0005-0000-0000-00002F420000}"/>
    <cellStyle name="Millares 6 3 6 4" xfId="8427" xr:uid="{00000000-0005-0000-0000-000030420000}"/>
    <cellStyle name="Millares 6 3 6 4 2" xfId="15216" xr:uid="{00000000-0005-0000-0000-000031420000}"/>
    <cellStyle name="Millares 6 3 6 4 2 2" xfId="28784" xr:uid="{00000000-0005-0000-0000-000032420000}"/>
    <cellStyle name="Millares 6 3 6 4 2 2 2" xfId="55917" xr:uid="{00000000-0005-0000-0000-000033420000}"/>
    <cellStyle name="Millares 6 3 6 4 2 3" xfId="42355" xr:uid="{00000000-0005-0000-0000-000034420000}"/>
    <cellStyle name="Millares 6 3 6 4 3" xfId="22003" xr:uid="{00000000-0005-0000-0000-000035420000}"/>
    <cellStyle name="Millares 6 3 6 4 3 2" xfId="49136" xr:uid="{00000000-0005-0000-0000-000036420000}"/>
    <cellStyle name="Millares 6 3 6 4 4" xfId="35574" xr:uid="{00000000-0005-0000-0000-000037420000}"/>
    <cellStyle name="Millares 6 3 6 5" xfId="11827" xr:uid="{00000000-0005-0000-0000-000038420000}"/>
    <cellStyle name="Millares 6 3 6 5 2" xfId="25395" xr:uid="{00000000-0005-0000-0000-000039420000}"/>
    <cellStyle name="Millares 6 3 6 5 2 2" xfId="52528" xr:uid="{00000000-0005-0000-0000-00003A420000}"/>
    <cellStyle name="Millares 6 3 6 5 3" xfId="38966" xr:uid="{00000000-0005-0000-0000-00003B420000}"/>
    <cellStyle name="Millares 6 3 6 6" xfId="18614" xr:uid="{00000000-0005-0000-0000-00003C420000}"/>
    <cellStyle name="Millares 6 3 6 6 2" xfId="45747" xr:uid="{00000000-0005-0000-0000-00003D420000}"/>
    <cellStyle name="Millares 6 3 6 7" xfId="32185" xr:uid="{00000000-0005-0000-0000-00003E420000}"/>
    <cellStyle name="Millares 6 3 7" xfId="4835" xr:uid="{00000000-0005-0000-0000-00003F420000}"/>
    <cellStyle name="Millares 6 3 7 2" xfId="8430" xr:uid="{00000000-0005-0000-0000-000040420000}"/>
    <cellStyle name="Millares 6 3 7 2 2" xfId="15219" xr:uid="{00000000-0005-0000-0000-000041420000}"/>
    <cellStyle name="Millares 6 3 7 2 2 2" xfId="28787" xr:uid="{00000000-0005-0000-0000-000042420000}"/>
    <cellStyle name="Millares 6 3 7 2 2 2 2" xfId="55920" xr:uid="{00000000-0005-0000-0000-000043420000}"/>
    <cellStyle name="Millares 6 3 7 2 2 3" xfId="42358" xr:uid="{00000000-0005-0000-0000-000044420000}"/>
    <cellStyle name="Millares 6 3 7 2 3" xfId="22006" xr:uid="{00000000-0005-0000-0000-000045420000}"/>
    <cellStyle name="Millares 6 3 7 2 3 2" xfId="49139" xr:uid="{00000000-0005-0000-0000-000046420000}"/>
    <cellStyle name="Millares 6 3 7 2 4" xfId="35577" xr:uid="{00000000-0005-0000-0000-000047420000}"/>
    <cellStyle name="Millares 6 3 7 3" xfId="11830" xr:uid="{00000000-0005-0000-0000-000048420000}"/>
    <cellStyle name="Millares 6 3 7 3 2" xfId="25398" xr:uid="{00000000-0005-0000-0000-000049420000}"/>
    <cellStyle name="Millares 6 3 7 3 2 2" xfId="52531" xr:uid="{00000000-0005-0000-0000-00004A420000}"/>
    <cellStyle name="Millares 6 3 7 3 3" xfId="38969" xr:uid="{00000000-0005-0000-0000-00004B420000}"/>
    <cellStyle name="Millares 6 3 7 4" xfId="18617" xr:uid="{00000000-0005-0000-0000-00004C420000}"/>
    <cellStyle name="Millares 6 3 7 4 2" xfId="45750" xr:uid="{00000000-0005-0000-0000-00004D420000}"/>
    <cellStyle name="Millares 6 3 7 5" xfId="32188" xr:uid="{00000000-0005-0000-0000-00004E420000}"/>
    <cellStyle name="Millares 6 3 8" xfId="4836" xr:uid="{00000000-0005-0000-0000-00004F420000}"/>
    <cellStyle name="Millares 6 3 8 2" xfId="8431" xr:uid="{00000000-0005-0000-0000-000050420000}"/>
    <cellStyle name="Millares 6 3 8 2 2" xfId="15220" xr:uid="{00000000-0005-0000-0000-000051420000}"/>
    <cellStyle name="Millares 6 3 8 2 2 2" xfId="28788" xr:uid="{00000000-0005-0000-0000-000052420000}"/>
    <cellStyle name="Millares 6 3 8 2 2 2 2" xfId="55921" xr:uid="{00000000-0005-0000-0000-000053420000}"/>
    <cellStyle name="Millares 6 3 8 2 2 3" xfId="42359" xr:uid="{00000000-0005-0000-0000-000054420000}"/>
    <cellStyle name="Millares 6 3 8 2 3" xfId="22007" xr:uid="{00000000-0005-0000-0000-000055420000}"/>
    <cellStyle name="Millares 6 3 8 2 3 2" xfId="49140" xr:uid="{00000000-0005-0000-0000-000056420000}"/>
    <cellStyle name="Millares 6 3 8 2 4" xfId="35578" xr:uid="{00000000-0005-0000-0000-000057420000}"/>
    <cellStyle name="Millares 6 3 8 3" xfId="11831" xr:uid="{00000000-0005-0000-0000-000058420000}"/>
    <cellStyle name="Millares 6 3 8 3 2" xfId="25399" xr:uid="{00000000-0005-0000-0000-000059420000}"/>
    <cellStyle name="Millares 6 3 8 3 2 2" xfId="52532" xr:uid="{00000000-0005-0000-0000-00005A420000}"/>
    <cellStyle name="Millares 6 3 8 3 3" xfId="38970" xr:uid="{00000000-0005-0000-0000-00005B420000}"/>
    <cellStyle name="Millares 6 3 8 4" xfId="18618" xr:uid="{00000000-0005-0000-0000-00005C420000}"/>
    <cellStyle name="Millares 6 3 8 4 2" xfId="45751" xr:uid="{00000000-0005-0000-0000-00005D420000}"/>
    <cellStyle name="Millares 6 3 8 5" xfId="32189" xr:uid="{00000000-0005-0000-0000-00005E420000}"/>
    <cellStyle name="Millares 6 3 9" xfId="8393" xr:uid="{00000000-0005-0000-0000-00005F420000}"/>
    <cellStyle name="Millares 6 3 9 2" xfId="15182" xr:uid="{00000000-0005-0000-0000-000060420000}"/>
    <cellStyle name="Millares 6 3 9 2 2" xfId="28750" xr:uid="{00000000-0005-0000-0000-000061420000}"/>
    <cellStyle name="Millares 6 3 9 2 2 2" xfId="55883" xr:uid="{00000000-0005-0000-0000-000062420000}"/>
    <cellStyle name="Millares 6 3 9 2 3" xfId="42321" xr:uid="{00000000-0005-0000-0000-000063420000}"/>
    <cellStyle name="Millares 6 3 9 3" xfId="21969" xr:uid="{00000000-0005-0000-0000-000064420000}"/>
    <cellStyle name="Millares 6 3 9 3 2" xfId="49102" xr:uid="{00000000-0005-0000-0000-000065420000}"/>
    <cellStyle name="Millares 6 3 9 4" xfId="35540" xr:uid="{00000000-0005-0000-0000-000066420000}"/>
    <cellStyle name="Millares 6 4" xfId="4837" xr:uid="{00000000-0005-0000-0000-000067420000}"/>
    <cellStyle name="Millares 6 4 10" xfId="32190" xr:uid="{00000000-0005-0000-0000-000068420000}"/>
    <cellStyle name="Millares 6 4 2" xfId="4838" xr:uid="{00000000-0005-0000-0000-000069420000}"/>
    <cellStyle name="Millares 6 4 2 2" xfId="4839" xr:uid="{00000000-0005-0000-0000-00006A420000}"/>
    <cellStyle name="Millares 6 4 2 2 2" xfId="4840" xr:uid="{00000000-0005-0000-0000-00006B420000}"/>
    <cellStyle name="Millares 6 4 2 2 2 2" xfId="8435" xr:uid="{00000000-0005-0000-0000-00006C420000}"/>
    <cellStyle name="Millares 6 4 2 2 2 2 2" xfId="15224" xr:uid="{00000000-0005-0000-0000-00006D420000}"/>
    <cellStyle name="Millares 6 4 2 2 2 2 2 2" xfId="28792" xr:uid="{00000000-0005-0000-0000-00006E420000}"/>
    <cellStyle name="Millares 6 4 2 2 2 2 2 2 2" xfId="55925" xr:uid="{00000000-0005-0000-0000-00006F420000}"/>
    <cellStyle name="Millares 6 4 2 2 2 2 2 3" xfId="42363" xr:uid="{00000000-0005-0000-0000-000070420000}"/>
    <cellStyle name="Millares 6 4 2 2 2 2 3" xfId="22011" xr:uid="{00000000-0005-0000-0000-000071420000}"/>
    <cellStyle name="Millares 6 4 2 2 2 2 3 2" xfId="49144" xr:uid="{00000000-0005-0000-0000-000072420000}"/>
    <cellStyle name="Millares 6 4 2 2 2 2 4" xfId="35582" xr:uid="{00000000-0005-0000-0000-000073420000}"/>
    <cellStyle name="Millares 6 4 2 2 2 3" xfId="11835" xr:uid="{00000000-0005-0000-0000-000074420000}"/>
    <cellStyle name="Millares 6 4 2 2 2 3 2" xfId="25403" xr:uid="{00000000-0005-0000-0000-000075420000}"/>
    <cellStyle name="Millares 6 4 2 2 2 3 2 2" xfId="52536" xr:uid="{00000000-0005-0000-0000-000076420000}"/>
    <cellStyle name="Millares 6 4 2 2 2 3 3" xfId="38974" xr:uid="{00000000-0005-0000-0000-000077420000}"/>
    <cellStyle name="Millares 6 4 2 2 2 4" xfId="18622" xr:uid="{00000000-0005-0000-0000-000078420000}"/>
    <cellStyle name="Millares 6 4 2 2 2 4 2" xfId="45755" xr:uid="{00000000-0005-0000-0000-000079420000}"/>
    <cellStyle name="Millares 6 4 2 2 2 5" xfId="32193" xr:uid="{00000000-0005-0000-0000-00007A420000}"/>
    <cellStyle name="Millares 6 4 2 2 3" xfId="4841" xr:uid="{00000000-0005-0000-0000-00007B420000}"/>
    <cellStyle name="Millares 6 4 2 2 3 2" xfId="8436" xr:uid="{00000000-0005-0000-0000-00007C420000}"/>
    <cellStyle name="Millares 6 4 2 2 3 2 2" xfId="15225" xr:uid="{00000000-0005-0000-0000-00007D420000}"/>
    <cellStyle name="Millares 6 4 2 2 3 2 2 2" xfId="28793" xr:uid="{00000000-0005-0000-0000-00007E420000}"/>
    <cellStyle name="Millares 6 4 2 2 3 2 2 2 2" xfId="55926" xr:uid="{00000000-0005-0000-0000-00007F420000}"/>
    <cellStyle name="Millares 6 4 2 2 3 2 2 3" xfId="42364" xr:uid="{00000000-0005-0000-0000-000080420000}"/>
    <cellStyle name="Millares 6 4 2 2 3 2 3" xfId="22012" xr:uid="{00000000-0005-0000-0000-000081420000}"/>
    <cellStyle name="Millares 6 4 2 2 3 2 3 2" xfId="49145" xr:uid="{00000000-0005-0000-0000-000082420000}"/>
    <cellStyle name="Millares 6 4 2 2 3 2 4" xfId="35583" xr:uid="{00000000-0005-0000-0000-000083420000}"/>
    <cellStyle name="Millares 6 4 2 2 3 3" xfId="11836" xr:uid="{00000000-0005-0000-0000-000084420000}"/>
    <cellStyle name="Millares 6 4 2 2 3 3 2" xfId="25404" xr:uid="{00000000-0005-0000-0000-000085420000}"/>
    <cellStyle name="Millares 6 4 2 2 3 3 2 2" xfId="52537" xr:uid="{00000000-0005-0000-0000-000086420000}"/>
    <cellStyle name="Millares 6 4 2 2 3 3 3" xfId="38975" xr:uid="{00000000-0005-0000-0000-000087420000}"/>
    <cellStyle name="Millares 6 4 2 2 3 4" xfId="18623" xr:uid="{00000000-0005-0000-0000-000088420000}"/>
    <cellStyle name="Millares 6 4 2 2 3 4 2" xfId="45756" xr:uid="{00000000-0005-0000-0000-000089420000}"/>
    <cellStyle name="Millares 6 4 2 2 3 5" xfId="32194" xr:uid="{00000000-0005-0000-0000-00008A420000}"/>
    <cellStyle name="Millares 6 4 2 2 4" xfId="8434" xr:uid="{00000000-0005-0000-0000-00008B420000}"/>
    <cellStyle name="Millares 6 4 2 2 4 2" xfId="15223" xr:uid="{00000000-0005-0000-0000-00008C420000}"/>
    <cellStyle name="Millares 6 4 2 2 4 2 2" xfId="28791" xr:uid="{00000000-0005-0000-0000-00008D420000}"/>
    <cellStyle name="Millares 6 4 2 2 4 2 2 2" xfId="55924" xr:uid="{00000000-0005-0000-0000-00008E420000}"/>
    <cellStyle name="Millares 6 4 2 2 4 2 3" xfId="42362" xr:uid="{00000000-0005-0000-0000-00008F420000}"/>
    <cellStyle name="Millares 6 4 2 2 4 3" xfId="22010" xr:uid="{00000000-0005-0000-0000-000090420000}"/>
    <cellStyle name="Millares 6 4 2 2 4 3 2" xfId="49143" xr:uid="{00000000-0005-0000-0000-000091420000}"/>
    <cellStyle name="Millares 6 4 2 2 4 4" xfId="35581" xr:uid="{00000000-0005-0000-0000-000092420000}"/>
    <cellStyle name="Millares 6 4 2 2 5" xfId="11834" xr:uid="{00000000-0005-0000-0000-000093420000}"/>
    <cellStyle name="Millares 6 4 2 2 5 2" xfId="25402" xr:uid="{00000000-0005-0000-0000-000094420000}"/>
    <cellStyle name="Millares 6 4 2 2 5 2 2" xfId="52535" xr:uid="{00000000-0005-0000-0000-000095420000}"/>
    <cellStyle name="Millares 6 4 2 2 5 3" xfId="38973" xr:uid="{00000000-0005-0000-0000-000096420000}"/>
    <cellStyle name="Millares 6 4 2 2 6" xfId="18621" xr:uid="{00000000-0005-0000-0000-000097420000}"/>
    <cellStyle name="Millares 6 4 2 2 6 2" xfId="45754" xr:uid="{00000000-0005-0000-0000-000098420000}"/>
    <cellStyle name="Millares 6 4 2 2 7" xfId="32192" xr:uid="{00000000-0005-0000-0000-000099420000}"/>
    <cellStyle name="Millares 6 4 2 3" xfId="4842" xr:uid="{00000000-0005-0000-0000-00009A420000}"/>
    <cellStyle name="Millares 6 4 2 3 2" xfId="4843" xr:uid="{00000000-0005-0000-0000-00009B420000}"/>
    <cellStyle name="Millares 6 4 2 3 2 2" xfId="8438" xr:uid="{00000000-0005-0000-0000-00009C420000}"/>
    <cellStyle name="Millares 6 4 2 3 2 2 2" xfId="15227" xr:uid="{00000000-0005-0000-0000-00009D420000}"/>
    <cellStyle name="Millares 6 4 2 3 2 2 2 2" xfId="28795" xr:uid="{00000000-0005-0000-0000-00009E420000}"/>
    <cellStyle name="Millares 6 4 2 3 2 2 2 2 2" xfId="55928" xr:uid="{00000000-0005-0000-0000-00009F420000}"/>
    <cellStyle name="Millares 6 4 2 3 2 2 2 3" xfId="42366" xr:uid="{00000000-0005-0000-0000-0000A0420000}"/>
    <cellStyle name="Millares 6 4 2 3 2 2 3" xfId="22014" xr:uid="{00000000-0005-0000-0000-0000A1420000}"/>
    <cellStyle name="Millares 6 4 2 3 2 2 3 2" xfId="49147" xr:uid="{00000000-0005-0000-0000-0000A2420000}"/>
    <cellStyle name="Millares 6 4 2 3 2 2 4" xfId="35585" xr:uid="{00000000-0005-0000-0000-0000A3420000}"/>
    <cellStyle name="Millares 6 4 2 3 2 3" xfId="11838" xr:uid="{00000000-0005-0000-0000-0000A4420000}"/>
    <cellStyle name="Millares 6 4 2 3 2 3 2" xfId="25406" xr:uid="{00000000-0005-0000-0000-0000A5420000}"/>
    <cellStyle name="Millares 6 4 2 3 2 3 2 2" xfId="52539" xr:uid="{00000000-0005-0000-0000-0000A6420000}"/>
    <cellStyle name="Millares 6 4 2 3 2 3 3" xfId="38977" xr:uid="{00000000-0005-0000-0000-0000A7420000}"/>
    <cellStyle name="Millares 6 4 2 3 2 4" xfId="18625" xr:uid="{00000000-0005-0000-0000-0000A8420000}"/>
    <cellStyle name="Millares 6 4 2 3 2 4 2" xfId="45758" xr:uid="{00000000-0005-0000-0000-0000A9420000}"/>
    <cellStyle name="Millares 6 4 2 3 2 5" xfId="32196" xr:uid="{00000000-0005-0000-0000-0000AA420000}"/>
    <cellStyle name="Millares 6 4 2 3 3" xfId="8437" xr:uid="{00000000-0005-0000-0000-0000AB420000}"/>
    <cellStyle name="Millares 6 4 2 3 3 2" xfId="15226" xr:uid="{00000000-0005-0000-0000-0000AC420000}"/>
    <cellStyle name="Millares 6 4 2 3 3 2 2" xfId="28794" xr:uid="{00000000-0005-0000-0000-0000AD420000}"/>
    <cellStyle name="Millares 6 4 2 3 3 2 2 2" xfId="55927" xr:uid="{00000000-0005-0000-0000-0000AE420000}"/>
    <cellStyle name="Millares 6 4 2 3 3 2 3" xfId="42365" xr:uid="{00000000-0005-0000-0000-0000AF420000}"/>
    <cellStyle name="Millares 6 4 2 3 3 3" xfId="22013" xr:uid="{00000000-0005-0000-0000-0000B0420000}"/>
    <cellStyle name="Millares 6 4 2 3 3 3 2" xfId="49146" xr:uid="{00000000-0005-0000-0000-0000B1420000}"/>
    <cellStyle name="Millares 6 4 2 3 3 4" xfId="35584" xr:uid="{00000000-0005-0000-0000-0000B2420000}"/>
    <cellStyle name="Millares 6 4 2 3 4" xfId="11837" xr:uid="{00000000-0005-0000-0000-0000B3420000}"/>
    <cellStyle name="Millares 6 4 2 3 4 2" xfId="25405" xr:uid="{00000000-0005-0000-0000-0000B4420000}"/>
    <cellStyle name="Millares 6 4 2 3 4 2 2" xfId="52538" xr:uid="{00000000-0005-0000-0000-0000B5420000}"/>
    <cellStyle name="Millares 6 4 2 3 4 3" xfId="38976" xr:uid="{00000000-0005-0000-0000-0000B6420000}"/>
    <cellStyle name="Millares 6 4 2 3 5" xfId="18624" xr:uid="{00000000-0005-0000-0000-0000B7420000}"/>
    <cellStyle name="Millares 6 4 2 3 5 2" xfId="45757" xr:uid="{00000000-0005-0000-0000-0000B8420000}"/>
    <cellStyle name="Millares 6 4 2 3 6" xfId="32195" xr:uid="{00000000-0005-0000-0000-0000B9420000}"/>
    <cellStyle name="Millares 6 4 2 4" xfId="4844" xr:uid="{00000000-0005-0000-0000-0000BA420000}"/>
    <cellStyle name="Millares 6 4 2 4 2" xfId="8439" xr:uid="{00000000-0005-0000-0000-0000BB420000}"/>
    <cellStyle name="Millares 6 4 2 4 2 2" xfId="15228" xr:uid="{00000000-0005-0000-0000-0000BC420000}"/>
    <cellStyle name="Millares 6 4 2 4 2 2 2" xfId="28796" xr:uid="{00000000-0005-0000-0000-0000BD420000}"/>
    <cellStyle name="Millares 6 4 2 4 2 2 2 2" xfId="55929" xr:uid="{00000000-0005-0000-0000-0000BE420000}"/>
    <cellStyle name="Millares 6 4 2 4 2 2 3" xfId="42367" xr:uid="{00000000-0005-0000-0000-0000BF420000}"/>
    <cellStyle name="Millares 6 4 2 4 2 3" xfId="22015" xr:uid="{00000000-0005-0000-0000-0000C0420000}"/>
    <cellStyle name="Millares 6 4 2 4 2 3 2" xfId="49148" xr:uid="{00000000-0005-0000-0000-0000C1420000}"/>
    <cellStyle name="Millares 6 4 2 4 2 4" xfId="35586" xr:uid="{00000000-0005-0000-0000-0000C2420000}"/>
    <cellStyle name="Millares 6 4 2 4 3" xfId="11839" xr:uid="{00000000-0005-0000-0000-0000C3420000}"/>
    <cellStyle name="Millares 6 4 2 4 3 2" xfId="25407" xr:uid="{00000000-0005-0000-0000-0000C4420000}"/>
    <cellStyle name="Millares 6 4 2 4 3 2 2" xfId="52540" xr:uid="{00000000-0005-0000-0000-0000C5420000}"/>
    <cellStyle name="Millares 6 4 2 4 3 3" xfId="38978" xr:uid="{00000000-0005-0000-0000-0000C6420000}"/>
    <cellStyle name="Millares 6 4 2 4 4" xfId="18626" xr:uid="{00000000-0005-0000-0000-0000C7420000}"/>
    <cellStyle name="Millares 6 4 2 4 4 2" xfId="45759" xr:uid="{00000000-0005-0000-0000-0000C8420000}"/>
    <cellStyle name="Millares 6 4 2 4 5" xfId="32197" xr:uid="{00000000-0005-0000-0000-0000C9420000}"/>
    <cellStyle name="Millares 6 4 2 5" xfId="4845" xr:uid="{00000000-0005-0000-0000-0000CA420000}"/>
    <cellStyle name="Millares 6 4 2 5 2" xfId="8440" xr:uid="{00000000-0005-0000-0000-0000CB420000}"/>
    <cellStyle name="Millares 6 4 2 5 2 2" xfId="15229" xr:uid="{00000000-0005-0000-0000-0000CC420000}"/>
    <cellStyle name="Millares 6 4 2 5 2 2 2" xfId="28797" xr:uid="{00000000-0005-0000-0000-0000CD420000}"/>
    <cellStyle name="Millares 6 4 2 5 2 2 2 2" xfId="55930" xr:uid="{00000000-0005-0000-0000-0000CE420000}"/>
    <cellStyle name="Millares 6 4 2 5 2 2 3" xfId="42368" xr:uid="{00000000-0005-0000-0000-0000CF420000}"/>
    <cellStyle name="Millares 6 4 2 5 2 3" xfId="22016" xr:uid="{00000000-0005-0000-0000-0000D0420000}"/>
    <cellStyle name="Millares 6 4 2 5 2 3 2" xfId="49149" xr:uid="{00000000-0005-0000-0000-0000D1420000}"/>
    <cellStyle name="Millares 6 4 2 5 2 4" xfId="35587" xr:uid="{00000000-0005-0000-0000-0000D2420000}"/>
    <cellStyle name="Millares 6 4 2 5 3" xfId="11840" xr:uid="{00000000-0005-0000-0000-0000D3420000}"/>
    <cellStyle name="Millares 6 4 2 5 3 2" xfId="25408" xr:uid="{00000000-0005-0000-0000-0000D4420000}"/>
    <cellStyle name="Millares 6 4 2 5 3 2 2" xfId="52541" xr:uid="{00000000-0005-0000-0000-0000D5420000}"/>
    <cellStyle name="Millares 6 4 2 5 3 3" xfId="38979" xr:uid="{00000000-0005-0000-0000-0000D6420000}"/>
    <cellStyle name="Millares 6 4 2 5 4" xfId="18627" xr:uid="{00000000-0005-0000-0000-0000D7420000}"/>
    <cellStyle name="Millares 6 4 2 5 4 2" xfId="45760" xr:uid="{00000000-0005-0000-0000-0000D8420000}"/>
    <cellStyle name="Millares 6 4 2 5 5" xfId="32198" xr:uid="{00000000-0005-0000-0000-0000D9420000}"/>
    <cellStyle name="Millares 6 4 2 6" xfId="8433" xr:uid="{00000000-0005-0000-0000-0000DA420000}"/>
    <cellStyle name="Millares 6 4 2 6 2" xfId="15222" xr:uid="{00000000-0005-0000-0000-0000DB420000}"/>
    <cellStyle name="Millares 6 4 2 6 2 2" xfId="28790" xr:uid="{00000000-0005-0000-0000-0000DC420000}"/>
    <cellStyle name="Millares 6 4 2 6 2 2 2" xfId="55923" xr:uid="{00000000-0005-0000-0000-0000DD420000}"/>
    <cellStyle name="Millares 6 4 2 6 2 3" xfId="42361" xr:uid="{00000000-0005-0000-0000-0000DE420000}"/>
    <cellStyle name="Millares 6 4 2 6 3" xfId="22009" xr:uid="{00000000-0005-0000-0000-0000DF420000}"/>
    <cellStyle name="Millares 6 4 2 6 3 2" xfId="49142" xr:uid="{00000000-0005-0000-0000-0000E0420000}"/>
    <cellStyle name="Millares 6 4 2 6 4" xfId="35580" xr:uid="{00000000-0005-0000-0000-0000E1420000}"/>
    <cellStyle name="Millares 6 4 2 7" xfId="11833" xr:uid="{00000000-0005-0000-0000-0000E2420000}"/>
    <cellStyle name="Millares 6 4 2 7 2" xfId="25401" xr:uid="{00000000-0005-0000-0000-0000E3420000}"/>
    <cellStyle name="Millares 6 4 2 7 2 2" xfId="52534" xr:uid="{00000000-0005-0000-0000-0000E4420000}"/>
    <cellStyle name="Millares 6 4 2 7 3" xfId="38972" xr:uid="{00000000-0005-0000-0000-0000E5420000}"/>
    <cellStyle name="Millares 6 4 2 8" xfId="18620" xr:uid="{00000000-0005-0000-0000-0000E6420000}"/>
    <cellStyle name="Millares 6 4 2 8 2" xfId="45753" xr:uid="{00000000-0005-0000-0000-0000E7420000}"/>
    <cellStyle name="Millares 6 4 2 9" xfId="32191" xr:uid="{00000000-0005-0000-0000-0000E8420000}"/>
    <cellStyle name="Millares 6 4 3" xfId="4846" xr:uid="{00000000-0005-0000-0000-0000E9420000}"/>
    <cellStyle name="Millares 6 4 3 2" xfId="4847" xr:uid="{00000000-0005-0000-0000-0000EA420000}"/>
    <cellStyle name="Millares 6 4 3 2 2" xfId="8442" xr:uid="{00000000-0005-0000-0000-0000EB420000}"/>
    <cellStyle name="Millares 6 4 3 2 2 2" xfId="15231" xr:uid="{00000000-0005-0000-0000-0000EC420000}"/>
    <cellStyle name="Millares 6 4 3 2 2 2 2" xfId="28799" xr:uid="{00000000-0005-0000-0000-0000ED420000}"/>
    <cellStyle name="Millares 6 4 3 2 2 2 2 2" xfId="55932" xr:uid="{00000000-0005-0000-0000-0000EE420000}"/>
    <cellStyle name="Millares 6 4 3 2 2 2 3" xfId="42370" xr:uid="{00000000-0005-0000-0000-0000EF420000}"/>
    <cellStyle name="Millares 6 4 3 2 2 3" xfId="22018" xr:uid="{00000000-0005-0000-0000-0000F0420000}"/>
    <cellStyle name="Millares 6 4 3 2 2 3 2" xfId="49151" xr:uid="{00000000-0005-0000-0000-0000F1420000}"/>
    <cellStyle name="Millares 6 4 3 2 2 4" xfId="35589" xr:uid="{00000000-0005-0000-0000-0000F2420000}"/>
    <cellStyle name="Millares 6 4 3 2 3" xfId="11842" xr:uid="{00000000-0005-0000-0000-0000F3420000}"/>
    <cellStyle name="Millares 6 4 3 2 3 2" xfId="25410" xr:uid="{00000000-0005-0000-0000-0000F4420000}"/>
    <cellStyle name="Millares 6 4 3 2 3 2 2" xfId="52543" xr:uid="{00000000-0005-0000-0000-0000F5420000}"/>
    <cellStyle name="Millares 6 4 3 2 3 3" xfId="38981" xr:uid="{00000000-0005-0000-0000-0000F6420000}"/>
    <cellStyle name="Millares 6 4 3 2 4" xfId="18629" xr:uid="{00000000-0005-0000-0000-0000F7420000}"/>
    <cellStyle name="Millares 6 4 3 2 4 2" xfId="45762" xr:uid="{00000000-0005-0000-0000-0000F8420000}"/>
    <cellStyle name="Millares 6 4 3 2 5" xfId="32200" xr:uid="{00000000-0005-0000-0000-0000F9420000}"/>
    <cellStyle name="Millares 6 4 3 3" xfId="4848" xr:uid="{00000000-0005-0000-0000-0000FA420000}"/>
    <cellStyle name="Millares 6 4 3 3 2" xfId="8443" xr:uid="{00000000-0005-0000-0000-0000FB420000}"/>
    <cellStyle name="Millares 6 4 3 3 2 2" xfId="15232" xr:uid="{00000000-0005-0000-0000-0000FC420000}"/>
    <cellStyle name="Millares 6 4 3 3 2 2 2" xfId="28800" xr:uid="{00000000-0005-0000-0000-0000FD420000}"/>
    <cellStyle name="Millares 6 4 3 3 2 2 2 2" xfId="55933" xr:uid="{00000000-0005-0000-0000-0000FE420000}"/>
    <cellStyle name="Millares 6 4 3 3 2 2 3" xfId="42371" xr:uid="{00000000-0005-0000-0000-0000FF420000}"/>
    <cellStyle name="Millares 6 4 3 3 2 3" xfId="22019" xr:uid="{00000000-0005-0000-0000-000000430000}"/>
    <cellStyle name="Millares 6 4 3 3 2 3 2" xfId="49152" xr:uid="{00000000-0005-0000-0000-000001430000}"/>
    <cellStyle name="Millares 6 4 3 3 2 4" xfId="35590" xr:uid="{00000000-0005-0000-0000-000002430000}"/>
    <cellStyle name="Millares 6 4 3 3 3" xfId="11843" xr:uid="{00000000-0005-0000-0000-000003430000}"/>
    <cellStyle name="Millares 6 4 3 3 3 2" xfId="25411" xr:uid="{00000000-0005-0000-0000-000004430000}"/>
    <cellStyle name="Millares 6 4 3 3 3 2 2" xfId="52544" xr:uid="{00000000-0005-0000-0000-000005430000}"/>
    <cellStyle name="Millares 6 4 3 3 3 3" xfId="38982" xr:uid="{00000000-0005-0000-0000-000006430000}"/>
    <cellStyle name="Millares 6 4 3 3 4" xfId="18630" xr:uid="{00000000-0005-0000-0000-000007430000}"/>
    <cellStyle name="Millares 6 4 3 3 4 2" xfId="45763" xr:uid="{00000000-0005-0000-0000-000008430000}"/>
    <cellStyle name="Millares 6 4 3 3 5" xfId="32201" xr:uid="{00000000-0005-0000-0000-000009430000}"/>
    <cellStyle name="Millares 6 4 3 4" xfId="8441" xr:uid="{00000000-0005-0000-0000-00000A430000}"/>
    <cellStyle name="Millares 6 4 3 4 2" xfId="15230" xr:uid="{00000000-0005-0000-0000-00000B430000}"/>
    <cellStyle name="Millares 6 4 3 4 2 2" xfId="28798" xr:uid="{00000000-0005-0000-0000-00000C430000}"/>
    <cellStyle name="Millares 6 4 3 4 2 2 2" xfId="55931" xr:uid="{00000000-0005-0000-0000-00000D430000}"/>
    <cellStyle name="Millares 6 4 3 4 2 3" xfId="42369" xr:uid="{00000000-0005-0000-0000-00000E430000}"/>
    <cellStyle name="Millares 6 4 3 4 3" xfId="22017" xr:uid="{00000000-0005-0000-0000-00000F430000}"/>
    <cellStyle name="Millares 6 4 3 4 3 2" xfId="49150" xr:uid="{00000000-0005-0000-0000-000010430000}"/>
    <cellStyle name="Millares 6 4 3 4 4" xfId="35588" xr:uid="{00000000-0005-0000-0000-000011430000}"/>
    <cellStyle name="Millares 6 4 3 5" xfId="11841" xr:uid="{00000000-0005-0000-0000-000012430000}"/>
    <cellStyle name="Millares 6 4 3 5 2" xfId="25409" xr:uid="{00000000-0005-0000-0000-000013430000}"/>
    <cellStyle name="Millares 6 4 3 5 2 2" xfId="52542" xr:uid="{00000000-0005-0000-0000-000014430000}"/>
    <cellStyle name="Millares 6 4 3 5 3" xfId="38980" xr:uid="{00000000-0005-0000-0000-000015430000}"/>
    <cellStyle name="Millares 6 4 3 6" xfId="18628" xr:uid="{00000000-0005-0000-0000-000016430000}"/>
    <cellStyle name="Millares 6 4 3 6 2" xfId="45761" xr:uid="{00000000-0005-0000-0000-000017430000}"/>
    <cellStyle name="Millares 6 4 3 7" xfId="32199" xr:uid="{00000000-0005-0000-0000-000018430000}"/>
    <cellStyle name="Millares 6 4 4" xfId="4849" xr:uid="{00000000-0005-0000-0000-000019430000}"/>
    <cellStyle name="Millares 6 4 4 2" xfId="4850" xr:uid="{00000000-0005-0000-0000-00001A430000}"/>
    <cellStyle name="Millares 6 4 4 2 2" xfId="8445" xr:uid="{00000000-0005-0000-0000-00001B430000}"/>
    <cellStyle name="Millares 6 4 4 2 2 2" xfId="15234" xr:uid="{00000000-0005-0000-0000-00001C430000}"/>
    <cellStyle name="Millares 6 4 4 2 2 2 2" xfId="28802" xr:uid="{00000000-0005-0000-0000-00001D430000}"/>
    <cellStyle name="Millares 6 4 4 2 2 2 2 2" xfId="55935" xr:uid="{00000000-0005-0000-0000-00001E430000}"/>
    <cellStyle name="Millares 6 4 4 2 2 2 3" xfId="42373" xr:uid="{00000000-0005-0000-0000-00001F430000}"/>
    <cellStyle name="Millares 6 4 4 2 2 3" xfId="22021" xr:uid="{00000000-0005-0000-0000-000020430000}"/>
    <cellStyle name="Millares 6 4 4 2 2 3 2" xfId="49154" xr:uid="{00000000-0005-0000-0000-000021430000}"/>
    <cellStyle name="Millares 6 4 4 2 2 4" xfId="35592" xr:uid="{00000000-0005-0000-0000-000022430000}"/>
    <cellStyle name="Millares 6 4 4 2 3" xfId="11845" xr:uid="{00000000-0005-0000-0000-000023430000}"/>
    <cellStyle name="Millares 6 4 4 2 3 2" xfId="25413" xr:uid="{00000000-0005-0000-0000-000024430000}"/>
    <cellStyle name="Millares 6 4 4 2 3 2 2" xfId="52546" xr:uid="{00000000-0005-0000-0000-000025430000}"/>
    <cellStyle name="Millares 6 4 4 2 3 3" xfId="38984" xr:uid="{00000000-0005-0000-0000-000026430000}"/>
    <cellStyle name="Millares 6 4 4 2 4" xfId="18632" xr:uid="{00000000-0005-0000-0000-000027430000}"/>
    <cellStyle name="Millares 6 4 4 2 4 2" xfId="45765" xr:uid="{00000000-0005-0000-0000-000028430000}"/>
    <cellStyle name="Millares 6 4 4 2 5" xfId="32203" xr:uid="{00000000-0005-0000-0000-000029430000}"/>
    <cellStyle name="Millares 6 4 4 3" xfId="8444" xr:uid="{00000000-0005-0000-0000-00002A430000}"/>
    <cellStyle name="Millares 6 4 4 3 2" xfId="15233" xr:uid="{00000000-0005-0000-0000-00002B430000}"/>
    <cellStyle name="Millares 6 4 4 3 2 2" xfId="28801" xr:uid="{00000000-0005-0000-0000-00002C430000}"/>
    <cellStyle name="Millares 6 4 4 3 2 2 2" xfId="55934" xr:uid="{00000000-0005-0000-0000-00002D430000}"/>
    <cellStyle name="Millares 6 4 4 3 2 3" xfId="42372" xr:uid="{00000000-0005-0000-0000-00002E430000}"/>
    <cellStyle name="Millares 6 4 4 3 3" xfId="22020" xr:uid="{00000000-0005-0000-0000-00002F430000}"/>
    <cellStyle name="Millares 6 4 4 3 3 2" xfId="49153" xr:uid="{00000000-0005-0000-0000-000030430000}"/>
    <cellStyle name="Millares 6 4 4 3 4" xfId="35591" xr:uid="{00000000-0005-0000-0000-000031430000}"/>
    <cellStyle name="Millares 6 4 4 4" xfId="11844" xr:uid="{00000000-0005-0000-0000-000032430000}"/>
    <cellStyle name="Millares 6 4 4 4 2" xfId="25412" xr:uid="{00000000-0005-0000-0000-000033430000}"/>
    <cellStyle name="Millares 6 4 4 4 2 2" xfId="52545" xr:uid="{00000000-0005-0000-0000-000034430000}"/>
    <cellStyle name="Millares 6 4 4 4 3" xfId="38983" xr:uid="{00000000-0005-0000-0000-000035430000}"/>
    <cellStyle name="Millares 6 4 4 5" xfId="18631" xr:uid="{00000000-0005-0000-0000-000036430000}"/>
    <cellStyle name="Millares 6 4 4 5 2" xfId="45764" xr:uid="{00000000-0005-0000-0000-000037430000}"/>
    <cellStyle name="Millares 6 4 4 6" xfId="32202" xr:uid="{00000000-0005-0000-0000-000038430000}"/>
    <cellStyle name="Millares 6 4 5" xfId="4851" xr:uid="{00000000-0005-0000-0000-000039430000}"/>
    <cellStyle name="Millares 6 4 5 2" xfId="8446" xr:uid="{00000000-0005-0000-0000-00003A430000}"/>
    <cellStyle name="Millares 6 4 5 2 2" xfId="15235" xr:uid="{00000000-0005-0000-0000-00003B430000}"/>
    <cellStyle name="Millares 6 4 5 2 2 2" xfId="28803" xr:uid="{00000000-0005-0000-0000-00003C430000}"/>
    <cellStyle name="Millares 6 4 5 2 2 2 2" xfId="55936" xr:uid="{00000000-0005-0000-0000-00003D430000}"/>
    <cellStyle name="Millares 6 4 5 2 2 3" xfId="42374" xr:uid="{00000000-0005-0000-0000-00003E430000}"/>
    <cellStyle name="Millares 6 4 5 2 3" xfId="22022" xr:uid="{00000000-0005-0000-0000-00003F430000}"/>
    <cellStyle name="Millares 6 4 5 2 3 2" xfId="49155" xr:uid="{00000000-0005-0000-0000-000040430000}"/>
    <cellStyle name="Millares 6 4 5 2 4" xfId="35593" xr:uid="{00000000-0005-0000-0000-000041430000}"/>
    <cellStyle name="Millares 6 4 5 3" xfId="11846" xr:uid="{00000000-0005-0000-0000-000042430000}"/>
    <cellStyle name="Millares 6 4 5 3 2" xfId="25414" xr:uid="{00000000-0005-0000-0000-000043430000}"/>
    <cellStyle name="Millares 6 4 5 3 2 2" xfId="52547" xr:uid="{00000000-0005-0000-0000-000044430000}"/>
    <cellStyle name="Millares 6 4 5 3 3" xfId="38985" xr:uid="{00000000-0005-0000-0000-000045430000}"/>
    <cellStyle name="Millares 6 4 5 4" xfId="18633" xr:uid="{00000000-0005-0000-0000-000046430000}"/>
    <cellStyle name="Millares 6 4 5 4 2" xfId="45766" xr:uid="{00000000-0005-0000-0000-000047430000}"/>
    <cellStyle name="Millares 6 4 5 5" xfId="32204" xr:uid="{00000000-0005-0000-0000-000048430000}"/>
    <cellStyle name="Millares 6 4 6" xfId="4852" xr:uid="{00000000-0005-0000-0000-000049430000}"/>
    <cellStyle name="Millares 6 4 6 2" xfId="8447" xr:uid="{00000000-0005-0000-0000-00004A430000}"/>
    <cellStyle name="Millares 6 4 6 2 2" xfId="15236" xr:uid="{00000000-0005-0000-0000-00004B430000}"/>
    <cellStyle name="Millares 6 4 6 2 2 2" xfId="28804" xr:uid="{00000000-0005-0000-0000-00004C430000}"/>
    <cellStyle name="Millares 6 4 6 2 2 2 2" xfId="55937" xr:uid="{00000000-0005-0000-0000-00004D430000}"/>
    <cellStyle name="Millares 6 4 6 2 2 3" xfId="42375" xr:uid="{00000000-0005-0000-0000-00004E430000}"/>
    <cellStyle name="Millares 6 4 6 2 3" xfId="22023" xr:uid="{00000000-0005-0000-0000-00004F430000}"/>
    <cellStyle name="Millares 6 4 6 2 3 2" xfId="49156" xr:uid="{00000000-0005-0000-0000-000050430000}"/>
    <cellStyle name="Millares 6 4 6 2 4" xfId="35594" xr:uid="{00000000-0005-0000-0000-000051430000}"/>
    <cellStyle name="Millares 6 4 6 3" xfId="11847" xr:uid="{00000000-0005-0000-0000-000052430000}"/>
    <cellStyle name="Millares 6 4 6 3 2" xfId="25415" xr:uid="{00000000-0005-0000-0000-000053430000}"/>
    <cellStyle name="Millares 6 4 6 3 2 2" xfId="52548" xr:uid="{00000000-0005-0000-0000-000054430000}"/>
    <cellStyle name="Millares 6 4 6 3 3" xfId="38986" xr:uid="{00000000-0005-0000-0000-000055430000}"/>
    <cellStyle name="Millares 6 4 6 4" xfId="18634" xr:uid="{00000000-0005-0000-0000-000056430000}"/>
    <cellStyle name="Millares 6 4 6 4 2" xfId="45767" xr:uid="{00000000-0005-0000-0000-000057430000}"/>
    <cellStyle name="Millares 6 4 6 5" xfId="32205" xr:uid="{00000000-0005-0000-0000-000058430000}"/>
    <cellStyle name="Millares 6 4 7" xfId="8432" xr:uid="{00000000-0005-0000-0000-000059430000}"/>
    <cellStyle name="Millares 6 4 7 2" xfId="15221" xr:uid="{00000000-0005-0000-0000-00005A430000}"/>
    <cellStyle name="Millares 6 4 7 2 2" xfId="28789" xr:uid="{00000000-0005-0000-0000-00005B430000}"/>
    <cellStyle name="Millares 6 4 7 2 2 2" xfId="55922" xr:uid="{00000000-0005-0000-0000-00005C430000}"/>
    <cellStyle name="Millares 6 4 7 2 3" xfId="42360" xr:uid="{00000000-0005-0000-0000-00005D430000}"/>
    <cellStyle name="Millares 6 4 7 3" xfId="22008" xr:uid="{00000000-0005-0000-0000-00005E430000}"/>
    <cellStyle name="Millares 6 4 7 3 2" xfId="49141" xr:uid="{00000000-0005-0000-0000-00005F430000}"/>
    <cellStyle name="Millares 6 4 7 4" xfId="35579" xr:uid="{00000000-0005-0000-0000-000060430000}"/>
    <cellStyle name="Millares 6 4 8" xfId="11832" xr:uid="{00000000-0005-0000-0000-000061430000}"/>
    <cellStyle name="Millares 6 4 8 2" xfId="25400" xr:uid="{00000000-0005-0000-0000-000062430000}"/>
    <cellStyle name="Millares 6 4 8 2 2" xfId="52533" xr:uid="{00000000-0005-0000-0000-000063430000}"/>
    <cellStyle name="Millares 6 4 8 3" xfId="38971" xr:uid="{00000000-0005-0000-0000-000064430000}"/>
    <cellStyle name="Millares 6 4 9" xfId="18619" xr:uid="{00000000-0005-0000-0000-000065430000}"/>
    <cellStyle name="Millares 6 4 9 2" xfId="45752" xr:uid="{00000000-0005-0000-0000-000066430000}"/>
    <cellStyle name="Millares 6 5" xfId="4853" xr:uid="{00000000-0005-0000-0000-000067430000}"/>
    <cellStyle name="Millares 6 5 2" xfId="4854" xr:uid="{00000000-0005-0000-0000-000068430000}"/>
    <cellStyle name="Millares 6 5 2 2" xfId="4855" xr:uid="{00000000-0005-0000-0000-000069430000}"/>
    <cellStyle name="Millares 6 5 2 2 2" xfId="8450" xr:uid="{00000000-0005-0000-0000-00006A430000}"/>
    <cellStyle name="Millares 6 5 2 2 2 2" xfId="15239" xr:uid="{00000000-0005-0000-0000-00006B430000}"/>
    <cellStyle name="Millares 6 5 2 2 2 2 2" xfId="28807" xr:uid="{00000000-0005-0000-0000-00006C430000}"/>
    <cellStyle name="Millares 6 5 2 2 2 2 2 2" xfId="55940" xr:uid="{00000000-0005-0000-0000-00006D430000}"/>
    <cellStyle name="Millares 6 5 2 2 2 2 3" xfId="42378" xr:uid="{00000000-0005-0000-0000-00006E430000}"/>
    <cellStyle name="Millares 6 5 2 2 2 3" xfId="22026" xr:uid="{00000000-0005-0000-0000-00006F430000}"/>
    <cellStyle name="Millares 6 5 2 2 2 3 2" xfId="49159" xr:uid="{00000000-0005-0000-0000-000070430000}"/>
    <cellStyle name="Millares 6 5 2 2 2 4" xfId="35597" xr:uid="{00000000-0005-0000-0000-000071430000}"/>
    <cellStyle name="Millares 6 5 2 2 3" xfId="11850" xr:uid="{00000000-0005-0000-0000-000072430000}"/>
    <cellStyle name="Millares 6 5 2 2 3 2" xfId="25418" xr:uid="{00000000-0005-0000-0000-000073430000}"/>
    <cellStyle name="Millares 6 5 2 2 3 2 2" xfId="52551" xr:uid="{00000000-0005-0000-0000-000074430000}"/>
    <cellStyle name="Millares 6 5 2 2 3 3" xfId="38989" xr:uid="{00000000-0005-0000-0000-000075430000}"/>
    <cellStyle name="Millares 6 5 2 2 4" xfId="18637" xr:uid="{00000000-0005-0000-0000-000076430000}"/>
    <cellStyle name="Millares 6 5 2 2 4 2" xfId="45770" xr:uid="{00000000-0005-0000-0000-000077430000}"/>
    <cellStyle name="Millares 6 5 2 2 5" xfId="32208" xr:uid="{00000000-0005-0000-0000-000078430000}"/>
    <cellStyle name="Millares 6 5 2 3" xfId="4856" xr:uid="{00000000-0005-0000-0000-000079430000}"/>
    <cellStyle name="Millares 6 5 2 3 2" xfId="8451" xr:uid="{00000000-0005-0000-0000-00007A430000}"/>
    <cellStyle name="Millares 6 5 2 3 2 2" xfId="15240" xr:uid="{00000000-0005-0000-0000-00007B430000}"/>
    <cellStyle name="Millares 6 5 2 3 2 2 2" xfId="28808" xr:uid="{00000000-0005-0000-0000-00007C430000}"/>
    <cellStyle name="Millares 6 5 2 3 2 2 2 2" xfId="55941" xr:uid="{00000000-0005-0000-0000-00007D430000}"/>
    <cellStyle name="Millares 6 5 2 3 2 2 3" xfId="42379" xr:uid="{00000000-0005-0000-0000-00007E430000}"/>
    <cellStyle name="Millares 6 5 2 3 2 3" xfId="22027" xr:uid="{00000000-0005-0000-0000-00007F430000}"/>
    <cellStyle name="Millares 6 5 2 3 2 3 2" xfId="49160" xr:uid="{00000000-0005-0000-0000-000080430000}"/>
    <cellStyle name="Millares 6 5 2 3 2 4" xfId="35598" xr:uid="{00000000-0005-0000-0000-000081430000}"/>
    <cellStyle name="Millares 6 5 2 3 3" xfId="11851" xr:uid="{00000000-0005-0000-0000-000082430000}"/>
    <cellStyle name="Millares 6 5 2 3 3 2" xfId="25419" xr:uid="{00000000-0005-0000-0000-000083430000}"/>
    <cellStyle name="Millares 6 5 2 3 3 2 2" xfId="52552" xr:uid="{00000000-0005-0000-0000-000084430000}"/>
    <cellStyle name="Millares 6 5 2 3 3 3" xfId="38990" xr:uid="{00000000-0005-0000-0000-000085430000}"/>
    <cellStyle name="Millares 6 5 2 3 4" xfId="18638" xr:uid="{00000000-0005-0000-0000-000086430000}"/>
    <cellStyle name="Millares 6 5 2 3 4 2" xfId="45771" xr:uid="{00000000-0005-0000-0000-000087430000}"/>
    <cellStyle name="Millares 6 5 2 3 5" xfId="32209" xr:uid="{00000000-0005-0000-0000-000088430000}"/>
    <cellStyle name="Millares 6 5 2 4" xfId="8449" xr:uid="{00000000-0005-0000-0000-000089430000}"/>
    <cellStyle name="Millares 6 5 2 4 2" xfId="15238" xr:uid="{00000000-0005-0000-0000-00008A430000}"/>
    <cellStyle name="Millares 6 5 2 4 2 2" xfId="28806" xr:uid="{00000000-0005-0000-0000-00008B430000}"/>
    <cellStyle name="Millares 6 5 2 4 2 2 2" xfId="55939" xr:uid="{00000000-0005-0000-0000-00008C430000}"/>
    <cellStyle name="Millares 6 5 2 4 2 3" xfId="42377" xr:uid="{00000000-0005-0000-0000-00008D430000}"/>
    <cellStyle name="Millares 6 5 2 4 3" xfId="22025" xr:uid="{00000000-0005-0000-0000-00008E430000}"/>
    <cellStyle name="Millares 6 5 2 4 3 2" xfId="49158" xr:uid="{00000000-0005-0000-0000-00008F430000}"/>
    <cellStyle name="Millares 6 5 2 4 4" xfId="35596" xr:uid="{00000000-0005-0000-0000-000090430000}"/>
    <cellStyle name="Millares 6 5 2 5" xfId="11849" xr:uid="{00000000-0005-0000-0000-000091430000}"/>
    <cellStyle name="Millares 6 5 2 5 2" xfId="25417" xr:uid="{00000000-0005-0000-0000-000092430000}"/>
    <cellStyle name="Millares 6 5 2 5 2 2" xfId="52550" xr:uid="{00000000-0005-0000-0000-000093430000}"/>
    <cellStyle name="Millares 6 5 2 5 3" xfId="38988" xr:uid="{00000000-0005-0000-0000-000094430000}"/>
    <cellStyle name="Millares 6 5 2 6" xfId="18636" xr:uid="{00000000-0005-0000-0000-000095430000}"/>
    <cellStyle name="Millares 6 5 2 6 2" xfId="45769" xr:uid="{00000000-0005-0000-0000-000096430000}"/>
    <cellStyle name="Millares 6 5 2 7" xfId="32207" xr:uid="{00000000-0005-0000-0000-000097430000}"/>
    <cellStyle name="Millares 6 5 3" xfId="4857" xr:uid="{00000000-0005-0000-0000-000098430000}"/>
    <cellStyle name="Millares 6 5 3 2" xfId="4858" xr:uid="{00000000-0005-0000-0000-000099430000}"/>
    <cellStyle name="Millares 6 5 3 2 2" xfId="8453" xr:uid="{00000000-0005-0000-0000-00009A430000}"/>
    <cellStyle name="Millares 6 5 3 2 2 2" xfId="15242" xr:uid="{00000000-0005-0000-0000-00009B430000}"/>
    <cellStyle name="Millares 6 5 3 2 2 2 2" xfId="28810" xr:uid="{00000000-0005-0000-0000-00009C430000}"/>
    <cellStyle name="Millares 6 5 3 2 2 2 2 2" xfId="55943" xr:uid="{00000000-0005-0000-0000-00009D430000}"/>
    <cellStyle name="Millares 6 5 3 2 2 2 3" xfId="42381" xr:uid="{00000000-0005-0000-0000-00009E430000}"/>
    <cellStyle name="Millares 6 5 3 2 2 3" xfId="22029" xr:uid="{00000000-0005-0000-0000-00009F430000}"/>
    <cellStyle name="Millares 6 5 3 2 2 3 2" xfId="49162" xr:uid="{00000000-0005-0000-0000-0000A0430000}"/>
    <cellStyle name="Millares 6 5 3 2 2 4" xfId="35600" xr:uid="{00000000-0005-0000-0000-0000A1430000}"/>
    <cellStyle name="Millares 6 5 3 2 3" xfId="11853" xr:uid="{00000000-0005-0000-0000-0000A2430000}"/>
    <cellStyle name="Millares 6 5 3 2 3 2" xfId="25421" xr:uid="{00000000-0005-0000-0000-0000A3430000}"/>
    <cellStyle name="Millares 6 5 3 2 3 2 2" xfId="52554" xr:uid="{00000000-0005-0000-0000-0000A4430000}"/>
    <cellStyle name="Millares 6 5 3 2 3 3" xfId="38992" xr:uid="{00000000-0005-0000-0000-0000A5430000}"/>
    <cellStyle name="Millares 6 5 3 2 4" xfId="18640" xr:uid="{00000000-0005-0000-0000-0000A6430000}"/>
    <cellStyle name="Millares 6 5 3 2 4 2" xfId="45773" xr:uid="{00000000-0005-0000-0000-0000A7430000}"/>
    <cellStyle name="Millares 6 5 3 2 5" xfId="32211" xr:uid="{00000000-0005-0000-0000-0000A8430000}"/>
    <cellStyle name="Millares 6 5 3 3" xfId="8452" xr:uid="{00000000-0005-0000-0000-0000A9430000}"/>
    <cellStyle name="Millares 6 5 3 3 2" xfId="15241" xr:uid="{00000000-0005-0000-0000-0000AA430000}"/>
    <cellStyle name="Millares 6 5 3 3 2 2" xfId="28809" xr:uid="{00000000-0005-0000-0000-0000AB430000}"/>
    <cellStyle name="Millares 6 5 3 3 2 2 2" xfId="55942" xr:uid="{00000000-0005-0000-0000-0000AC430000}"/>
    <cellStyle name="Millares 6 5 3 3 2 3" xfId="42380" xr:uid="{00000000-0005-0000-0000-0000AD430000}"/>
    <cellStyle name="Millares 6 5 3 3 3" xfId="22028" xr:uid="{00000000-0005-0000-0000-0000AE430000}"/>
    <cellStyle name="Millares 6 5 3 3 3 2" xfId="49161" xr:uid="{00000000-0005-0000-0000-0000AF430000}"/>
    <cellStyle name="Millares 6 5 3 3 4" xfId="35599" xr:uid="{00000000-0005-0000-0000-0000B0430000}"/>
    <cellStyle name="Millares 6 5 3 4" xfId="11852" xr:uid="{00000000-0005-0000-0000-0000B1430000}"/>
    <cellStyle name="Millares 6 5 3 4 2" xfId="25420" xr:uid="{00000000-0005-0000-0000-0000B2430000}"/>
    <cellStyle name="Millares 6 5 3 4 2 2" xfId="52553" xr:uid="{00000000-0005-0000-0000-0000B3430000}"/>
    <cellStyle name="Millares 6 5 3 4 3" xfId="38991" xr:uid="{00000000-0005-0000-0000-0000B4430000}"/>
    <cellStyle name="Millares 6 5 3 5" xfId="18639" xr:uid="{00000000-0005-0000-0000-0000B5430000}"/>
    <cellStyle name="Millares 6 5 3 5 2" xfId="45772" xr:uid="{00000000-0005-0000-0000-0000B6430000}"/>
    <cellStyle name="Millares 6 5 3 6" xfId="32210" xr:uid="{00000000-0005-0000-0000-0000B7430000}"/>
    <cellStyle name="Millares 6 5 4" xfId="4859" xr:uid="{00000000-0005-0000-0000-0000B8430000}"/>
    <cellStyle name="Millares 6 5 4 2" xfId="8454" xr:uid="{00000000-0005-0000-0000-0000B9430000}"/>
    <cellStyle name="Millares 6 5 4 2 2" xfId="15243" xr:uid="{00000000-0005-0000-0000-0000BA430000}"/>
    <cellStyle name="Millares 6 5 4 2 2 2" xfId="28811" xr:uid="{00000000-0005-0000-0000-0000BB430000}"/>
    <cellStyle name="Millares 6 5 4 2 2 2 2" xfId="55944" xr:uid="{00000000-0005-0000-0000-0000BC430000}"/>
    <cellStyle name="Millares 6 5 4 2 2 3" xfId="42382" xr:uid="{00000000-0005-0000-0000-0000BD430000}"/>
    <cellStyle name="Millares 6 5 4 2 3" xfId="22030" xr:uid="{00000000-0005-0000-0000-0000BE430000}"/>
    <cellStyle name="Millares 6 5 4 2 3 2" xfId="49163" xr:uid="{00000000-0005-0000-0000-0000BF430000}"/>
    <cellStyle name="Millares 6 5 4 2 4" xfId="35601" xr:uid="{00000000-0005-0000-0000-0000C0430000}"/>
    <cellStyle name="Millares 6 5 4 3" xfId="11854" xr:uid="{00000000-0005-0000-0000-0000C1430000}"/>
    <cellStyle name="Millares 6 5 4 3 2" xfId="25422" xr:uid="{00000000-0005-0000-0000-0000C2430000}"/>
    <cellStyle name="Millares 6 5 4 3 2 2" xfId="52555" xr:uid="{00000000-0005-0000-0000-0000C3430000}"/>
    <cellStyle name="Millares 6 5 4 3 3" xfId="38993" xr:uid="{00000000-0005-0000-0000-0000C4430000}"/>
    <cellStyle name="Millares 6 5 4 4" xfId="18641" xr:uid="{00000000-0005-0000-0000-0000C5430000}"/>
    <cellStyle name="Millares 6 5 4 4 2" xfId="45774" xr:uid="{00000000-0005-0000-0000-0000C6430000}"/>
    <cellStyle name="Millares 6 5 4 5" xfId="32212" xr:uid="{00000000-0005-0000-0000-0000C7430000}"/>
    <cellStyle name="Millares 6 5 5" xfId="4860" xr:uid="{00000000-0005-0000-0000-0000C8430000}"/>
    <cellStyle name="Millares 6 5 5 2" xfId="8455" xr:uid="{00000000-0005-0000-0000-0000C9430000}"/>
    <cellStyle name="Millares 6 5 5 2 2" xfId="15244" xr:uid="{00000000-0005-0000-0000-0000CA430000}"/>
    <cellStyle name="Millares 6 5 5 2 2 2" xfId="28812" xr:uid="{00000000-0005-0000-0000-0000CB430000}"/>
    <cellStyle name="Millares 6 5 5 2 2 2 2" xfId="55945" xr:uid="{00000000-0005-0000-0000-0000CC430000}"/>
    <cellStyle name="Millares 6 5 5 2 2 3" xfId="42383" xr:uid="{00000000-0005-0000-0000-0000CD430000}"/>
    <cellStyle name="Millares 6 5 5 2 3" xfId="22031" xr:uid="{00000000-0005-0000-0000-0000CE430000}"/>
    <cellStyle name="Millares 6 5 5 2 3 2" xfId="49164" xr:uid="{00000000-0005-0000-0000-0000CF430000}"/>
    <cellStyle name="Millares 6 5 5 2 4" xfId="35602" xr:uid="{00000000-0005-0000-0000-0000D0430000}"/>
    <cellStyle name="Millares 6 5 5 3" xfId="11855" xr:uid="{00000000-0005-0000-0000-0000D1430000}"/>
    <cellStyle name="Millares 6 5 5 3 2" xfId="25423" xr:uid="{00000000-0005-0000-0000-0000D2430000}"/>
    <cellStyle name="Millares 6 5 5 3 2 2" xfId="52556" xr:uid="{00000000-0005-0000-0000-0000D3430000}"/>
    <cellStyle name="Millares 6 5 5 3 3" xfId="38994" xr:uid="{00000000-0005-0000-0000-0000D4430000}"/>
    <cellStyle name="Millares 6 5 5 4" xfId="18642" xr:uid="{00000000-0005-0000-0000-0000D5430000}"/>
    <cellStyle name="Millares 6 5 5 4 2" xfId="45775" xr:uid="{00000000-0005-0000-0000-0000D6430000}"/>
    <cellStyle name="Millares 6 5 5 5" xfId="32213" xr:uid="{00000000-0005-0000-0000-0000D7430000}"/>
    <cellStyle name="Millares 6 5 6" xfId="8448" xr:uid="{00000000-0005-0000-0000-0000D8430000}"/>
    <cellStyle name="Millares 6 5 6 2" xfId="15237" xr:uid="{00000000-0005-0000-0000-0000D9430000}"/>
    <cellStyle name="Millares 6 5 6 2 2" xfId="28805" xr:uid="{00000000-0005-0000-0000-0000DA430000}"/>
    <cellStyle name="Millares 6 5 6 2 2 2" xfId="55938" xr:uid="{00000000-0005-0000-0000-0000DB430000}"/>
    <cellStyle name="Millares 6 5 6 2 3" xfId="42376" xr:uid="{00000000-0005-0000-0000-0000DC430000}"/>
    <cellStyle name="Millares 6 5 6 3" xfId="22024" xr:uid="{00000000-0005-0000-0000-0000DD430000}"/>
    <cellStyle name="Millares 6 5 6 3 2" xfId="49157" xr:uid="{00000000-0005-0000-0000-0000DE430000}"/>
    <cellStyle name="Millares 6 5 6 4" xfId="35595" xr:uid="{00000000-0005-0000-0000-0000DF430000}"/>
    <cellStyle name="Millares 6 5 7" xfId="11848" xr:uid="{00000000-0005-0000-0000-0000E0430000}"/>
    <cellStyle name="Millares 6 5 7 2" xfId="25416" xr:uid="{00000000-0005-0000-0000-0000E1430000}"/>
    <cellStyle name="Millares 6 5 7 2 2" xfId="52549" xr:uid="{00000000-0005-0000-0000-0000E2430000}"/>
    <cellStyle name="Millares 6 5 7 3" xfId="38987" xr:uid="{00000000-0005-0000-0000-0000E3430000}"/>
    <cellStyle name="Millares 6 5 8" xfId="18635" xr:uid="{00000000-0005-0000-0000-0000E4430000}"/>
    <cellStyle name="Millares 6 5 8 2" xfId="45768" xr:uid="{00000000-0005-0000-0000-0000E5430000}"/>
    <cellStyle name="Millares 6 5 9" xfId="32206" xr:uid="{00000000-0005-0000-0000-0000E6430000}"/>
    <cellStyle name="Millares 6 6" xfId="4861" xr:uid="{00000000-0005-0000-0000-0000E7430000}"/>
    <cellStyle name="Millares 6 6 2" xfId="4862" xr:uid="{00000000-0005-0000-0000-0000E8430000}"/>
    <cellStyle name="Millares 6 6 2 2" xfId="4863" xr:uid="{00000000-0005-0000-0000-0000E9430000}"/>
    <cellStyle name="Millares 6 6 2 2 2" xfId="8458" xr:uid="{00000000-0005-0000-0000-0000EA430000}"/>
    <cellStyle name="Millares 6 6 2 2 2 2" xfId="15247" xr:uid="{00000000-0005-0000-0000-0000EB430000}"/>
    <cellStyle name="Millares 6 6 2 2 2 2 2" xfId="28815" xr:uid="{00000000-0005-0000-0000-0000EC430000}"/>
    <cellStyle name="Millares 6 6 2 2 2 2 2 2" xfId="55948" xr:uid="{00000000-0005-0000-0000-0000ED430000}"/>
    <cellStyle name="Millares 6 6 2 2 2 2 3" xfId="42386" xr:uid="{00000000-0005-0000-0000-0000EE430000}"/>
    <cellStyle name="Millares 6 6 2 2 2 3" xfId="22034" xr:uid="{00000000-0005-0000-0000-0000EF430000}"/>
    <cellStyle name="Millares 6 6 2 2 2 3 2" xfId="49167" xr:uid="{00000000-0005-0000-0000-0000F0430000}"/>
    <cellStyle name="Millares 6 6 2 2 2 4" xfId="35605" xr:uid="{00000000-0005-0000-0000-0000F1430000}"/>
    <cellStyle name="Millares 6 6 2 2 3" xfId="11858" xr:uid="{00000000-0005-0000-0000-0000F2430000}"/>
    <cellStyle name="Millares 6 6 2 2 3 2" xfId="25426" xr:uid="{00000000-0005-0000-0000-0000F3430000}"/>
    <cellStyle name="Millares 6 6 2 2 3 2 2" xfId="52559" xr:uid="{00000000-0005-0000-0000-0000F4430000}"/>
    <cellStyle name="Millares 6 6 2 2 3 3" xfId="38997" xr:uid="{00000000-0005-0000-0000-0000F5430000}"/>
    <cellStyle name="Millares 6 6 2 2 4" xfId="18645" xr:uid="{00000000-0005-0000-0000-0000F6430000}"/>
    <cellStyle name="Millares 6 6 2 2 4 2" xfId="45778" xr:uid="{00000000-0005-0000-0000-0000F7430000}"/>
    <cellStyle name="Millares 6 6 2 2 5" xfId="32216" xr:uid="{00000000-0005-0000-0000-0000F8430000}"/>
    <cellStyle name="Millares 6 6 2 3" xfId="4864" xr:uid="{00000000-0005-0000-0000-0000F9430000}"/>
    <cellStyle name="Millares 6 6 2 3 2" xfId="8459" xr:uid="{00000000-0005-0000-0000-0000FA430000}"/>
    <cellStyle name="Millares 6 6 2 3 2 2" xfId="15248" xr:uid="{00000000-0005-0000-0000-0000FB430000}"/>
    <cellStyle name="Millares 6 6 2 3 2 2 2" xfId="28816" xr:uid="{00000000-0005-0000-0000-0000FC430000}"/>
    <cellStyle name="Millares 6 6 2 3 2 2 2 2" xfId="55949" xr:uid="{00000000-0005-0000-0000-0000FD430000}"/>
    <cellStyle name="Millares 6 6 2 3 2 2 3" xfId="42387" xr:uid="{00000000-0005-0000-0000-0000FE430000}"/>
    <cellStyle name="Millares 6 6 2 3 2 3" xfId="22035" xr:uid="{00000000-0005-0000-0000-0000FF430000}"/>
    <cellStyle name="Millares 6 6 2 3 2 3 2" xfId="49168" xr:uid="{00000000-0005-0000-0000-000000440000}"/>
    <cellStyle name="Millares 6 6 2 3 2 4" xfId="35606" xr:uid="{00000000-0005-0000-0000-000001440000}"/>
    <cellStyle name="Millares 6 6 2 3 3" xfId="11859" xr:uid="{00000000-0005-0000-0000-000002440000}"/>
    <cellStyle name="Millares 6 6 2 3 3 2" xfId="25427" xr:uid="{00000000-0005-0000-0000-000003440000}"/>
    <cellStyle name="Millares 6 6 2 3 3 2 2" xfId="52560" xr:uid="{00000000-0005-0000-0000-000004440000}"/>
    <cellStyle name="Millares 6 6 2 3 3 3" xfId="38998" xr:uid="{00000000-0005-0000-0000-000005440000}"/>
    <cellStyle name="Millares 6 6 2 3 4" xfId="18646" xr:uid="{00000000-0005-0000-0000-000006440000}"/>
    <cellStyle name="Millares 6 6 2 3 4 2" xfId="45779" xr:uid="{00000000-0005-0000-0000-000007440000}"/>
    <cellStyle name="Millares 6 6 2 3 5" xfId="32217" xr:uid="{00000000-0005-0000-0000-000008440000}"/>
    <cellStyle name="Millares 6 6 2 4" xfId="8457" xr:uid="{00000000-0005-0000-0000-000009440000}"/>
    <cellStyle name="Millares 6 6 2 4 2" xfId="15246" xr:uid="{00000000-0005-0000-0000-00000A440000}"/>
    <cellStyle name="Millares 6 6 2 4 2 2" xfId="28814" xr:uid="{00000000-0005-0000-0000-00000B440000}"/>
    <cellStyle name="Millares 6 6 2 4 2 2 2" xfId="55947" xr:uid="{00000000-0005-0000-0000-00000C440000}"/>
    <cellStyle name="Millares 6 6 2 4 2 3" xfId="42385" xr:uid="{00000000-0005-0000-0000-00000D440000}"/>
    <cellStyle name="Millares 6 6 2 4 3" xfId="22033" xr:uid="{00000000-0005-0000-0000-00000E440000}"/>
    <cellStyle name="Millares 6 6 2 4 3 2" xfId="49166" xr:uid="{00000000-0005-0000-0000-00000F440000}"/>
    <cellStyle name="Millares 6 6 2 4 4" xfId="35604" xr:uid="{00000000-0005-0000-0000-000010440000}"/>
    <cellStyle name="Millares 6 6 2 5" xfId="11857" xr:uid="{00000000-0005-0000-0000-000011440000}"/>
    <cellStyle name="Millares 6 6 2 5 2" xfId="25425" xr:uid="{00000000-0005-0000-0000-000012440000}"/>
    <cellStyle name="Millares 6 6 2 5 2 2" xfId="52558" xr:uid="{00000000-0005-0000-0000-000013440000}"/>
    <cellStyle name="Millares 6 6 2 5 3" xfId="38996" xr:uid="{00000000-0005-0000-0000-000014440000}"/>
    <cellStyle name="Millares 6 6 2 6" xfId="18644" xr:uid="{00000000-0005-0000-0000-000015440000}"/>
    <cellStyle name="Millares 6 6 2 6 2" xfId="45777" xr:uid="{00000000-0005-0000-0000-000016440000}"/>
    <cellStyle name="Millares 6 6 2 7" xfId="32215" xr:uid="{00000000-0005-0000-0000-000017440000}"/>
    <cellStyle name="Millares 6 6 3" xfId="4865" xr:uid="{00000000-0005-0000-0000-000018440000}"/>
    <cellStyle name="Millares 6 6 3 2" xfId="8460" xr:uid="{00000000-0005-0000-0000-000019440000}"/>
    <cellStyle name="Millares 6 6 3 2 2" xfId="15249" xr:uid="{00000000-0005-0000-0000-00001A440000}"/>
    <cellStyle name="Millares 6 6 3 2 2 2" xfId="28817" xr:uid="{00000000-0005-0000-0000-00001B440000}"/>
    <cellStyle name="Millares 6 6 3 2 2 2 2" xfId="55950" xr:uid="{00000000-0005-0000-0000-00001C440000}"/>
    <cellStyle name="Millares 6 6 3 2 2 3" xfId="42388" xr:uid="{00000000-0005-0000-0000-00001D440000}"/>
    <cellStyle name="Millares 6 6 3 2 3" xfId="22036" xr:uid="{00000000-0005-0000-0000-00001E440000}"/>
    <cellStyle name="Millares 6 6 3 2 3 2" xfId="49169" xr:uid="{00000000-0005-0000-0000-00001F440000}"/>
    <cellStyle name="Millares 6 6 3 2 4" xfId="35607" xr:uid="{00000000-0005-0000-0000-000020440000}"/>
    <cellStyle name="Millares 6 6 3 3" xfId="11860" xr:uid="{00000000-0005-0000-0000-000021440000}"/>
    <cellStyle name="Millares 6 6 3 3 2" xfId="25428" xr:uid="{00000000-0005-0000-0000-000022440000}"/>
    <cellStyle name="Millares 6 6 3 3 2 2" xfId="52561" xr:uid="{00000000-0005-0000-0000-000023440000}"/>
    <cellStyle name="Millares 6 6 3 3 3" xfId="38999" xr:uid="{00000000-0005-0000-0000-000024440000}"/>
    <cellStyle name="Millares 6 6 3 4" xfId="18647" xr:uid="{00000000-0005-0000-0000-000025440000}"/>
    <cellStyle name="Millares 6 6 3 4 2" xfId="45780" xr:uid="{00000000-0005-0000-0000-000026440000}"/>
    <cellStyle name="Millares 6 6 3 5" xfId="32218" xr:uid="{00000000-0005-0000-0000-000027440000}"/>
    <cellStyle name="Millares 6 6 4" xfId="4866" xr:uid="{00000000-0005-0000-0000-000028440000}"/>
    <cellStyle name="Millares 6 6 4 2" xfId="8461" xr:uid="{00000000-0005-0000-0000-000029440000}"/>
    <cellStyle name="Millares 6 6 4 2 2" xfId="15250" xr:uid="{00000000-0005-0000-0000-00002A440000}"/>
    <cellStyle name="Millares 6 6 4 2 2 2" xfId="28818" xr:uid="{00000000-0005-0000-0000-00002B440000}"/>
    <cellStyle name="Millares 6 6 4 2 2 2 2" xfId="55951" xr:uid="{00000000-0005-0000-0000-00002C440000}"/>
    <cellStyle name="Millares 6 6 4 2 2 3" xfId="42389" xr:uid="{00000000-0005-0000-0000-00002D440000}"/>
    <cellStyle name="Millares 6 6 4 2 3" xfId="22037" xr:uid="{00000000-0005-0000-0000-00002E440000}"/>
    <cellStyle name="Millares 6 6 4 2 3 2" xfId="49170" xr:uid="{00000000-0005-0000-0000-00002F440000}"/>
    <cellStyle name="Millares 6 6 4 2 4" xfId="35608" xr:uid="{00000000-0005-0000-0000-000030440000}"/>
    <cellStyle name="Millares 6 6 4 3" xfId="11861" xr:uid="{00000000-0005-0000-0000-000031440000}"/>
    <cellStyle name="Millares 6 6 4 3 2" xfId="25429" xr:uid="{00000000-0005-0000-0000-000032440000}"/>
    <cellStyle name="Millares 6 6 4 3 2 2" xfId="52562" xr:uid="{00000000-0005-0000-0000-000033440000}"/>
    <cellStyle name="Millares 6 6 4 3 3" xfId="39000" xr:uid="{00000000-0005-0000-0000-000034440000}"/>
    <cellStyle name="Millares 6 6 4 4" xfId="18648" xr:uid="{00000000-0005-0000-0000-000035440000}"/>
    <cellStyle name="Millares 6 6 4 4 2" xfId="45781" xr:uid="{00000000-0005-0000-0000-000036440000}"/>
    <cellStyle name="Millares 6 6 4 5" xfId="32219" xr:uid="{00000000-0005-0000-0000-000037440000}"/>
    <cellStyle name="Millares 6 6 5" xfId="8456" xr:uid="{00000000-0005-0000-0000-000038440000}"/>
    <cellStyle name="Millares 6 6 5 2" xfId="15245" xr:uid="{00000000-0005-0000-0000-000039440000}"/>
    <cellStyle name="Millares 6 6 5 2 2" xfId="28813" xr:uid="{00000000-0005-0000-0000-00003A440000}"/>
    <cellStyle name="Millares 6 6 5 2 2 2" xfId="55946" xr:uid="{00000000-0005-0000-0000-00003B440000}"/>
    <cellStyle name="Millares 6 6 5 2 3" xfId="42384" xr:uid="{00000000-0005-0000-0000-00003C440000}"/>
    <cellStyle name="Millares 6 6 5 3" xfId="22032" xr:uid="{00000000-0005-0000-0000-00003D440000}"/>
    <cellStyle name="Millares 6 6 5 3 2" xfId="49165" xr:uid="{00000000-0005-0000-0000-00003E440000}"/>
    <cellStyle name="Millares 6 6 5 4" xfId="35603" xr:uid="{00000000-0005-0000-0000-00003F440000}"/>
    <cellStyle name="Millares 6 6 6" xfId="11856" xr:uid="{00000000-0005-0000-0000-000040440000}"/>
    <cellStyle name="Millares 6 6 6 2" xfId="25424" xr:uid="{00000000-0005-0000-0000-000041440000}"/>
    <cellStyle name="Millares 6 6 6 2 2" xfId="52557" xr:uid="{00000000-0005-0000-0000-000042440000}"/>
    <cellStyle name="Millares 6 6 6 3" xfId="38995" xr:uid="{00000000-0005-0000-0000-000043440000}"/>
    <cellStyle name="Millares 6 6 7" xfId="18643" xr:uid="{00000000-0005-0000-0000-000044440000}"/>
    <cellStyle name="Millares 6 6 7 2" xfId="45776" xr:uid="{00000000-0005-0000-0000-000045440000}"/>
    <cellStyle name="Millares 6 6 8" xfId="32214" xr:uid="{00000000-0005-0000-0000-000046440000}"/>
    <cellStyle name="Millares 6 7" xfId="4867" xr:uid="{00000000-0005-0000-0000-000047440000}"/>
    <cellStyle name="Millares 6 7 2" xfId="4868" xr:uid="{00000000-0005-0000-0000-000048440000}"/>
    <cellStyle name="Millares 6 7 2 2" xfId="4869" xr:uid="{00000000-0005-0000-0000-000049440000}"/>
    <cellStyle name="Millares 6 7 2 2 2" xfId="8464" xr:uid="{00000000-0005-0000-0000-00004A440000}"/>
    <cellStyle name="Millares 6 7 2 2 2 2" xfId="15253" xr:uid="{00000000-0005-0000-0000-00004B440000}"/>
    <cellStyle name="Millares 6 7 2 2 2 2 2" xfId="28821" xr:uid="{00000000-0005-0000-0000-00004C440000}"/>
    <cellStyle name="Millares 6 7 2 2 2 2 2 2" xfId="55954" xr:uid="{00000000-0005-0000-0000-00004D440000}"/>
    <cellStyle name="Millares 6 7 2 2 2 2 3" xfId="42392" xr:uid="{00000000-0005-0000-0000-00004E440000}"/>
    <cellStyle name="Millares 6 7 2 2 2 3" xfId="22040" xr:uid="{00000000-0005-0000-0000-00004F440000}"/>
    <cellStyle name="Millares 6 7 2 2 2 3 2" xfId="49173" xr:uid="{00000000-0005-0000-0000-000050440000}"/>
    <cellStyle name="Millares 6 7 2 2 2 4" xfId="35611" xr:uid="{00000000-0005-0000-0000-000051440000}"/>
    <cellStyle name="Millares 6 7 2 2 3" xfId="11864" xr:uid="{00000000-0005-0000-0000-000052440000}"/>
    <cellStyle name="Millares 6 7 2 2 3 2" xfId="25432" xr:uid="{00000000-0005-0000-0000-000053440000}"/>
    <cellStyle name="Millares 6 7 2 2 3 2 2" xfId="52565" xr:uid="{00000000-0005-0000-0000-000054440000}"/>
    <cellStyle name="Millares 6 7 2 2 3 3" xfId="39003" xr:uid="{00000000-0005-0000-0000-000055440000}"/>
    <cellStyle name="Millares 6 7 2 2 4" xfId="18651" xr:uid="{00000000-0005-0000-0000-000056440000}"/>
    <cellStyle name="Millares 6 7 2 2 4 2" xfId="45784" xr:uid="{00000000-0005-0000-0000-000057440000}"/>
    <cellStyle name="Millares 6 7 2 2 5" xfId="32222" xr:uid="{00000000-0005-0000-0000-000058440000}"/>
    <cellStyle name="Millares 6 7 2 3" xfId="4870" xr:uid="{00000000-0005-0000-0000-000059440000}"/>
    <cellStyle name="Millares 6 7 2 3 2" xfId="8465" xr:uid="{00000000-0005-0000-0000-00005A440000}"/>
    <cellStyle name="Millares 6 7 2 3 2 2" xfId="15254" xr:uid="{00000000-0005-0000-0000-00005B440000}"/>
    <cellStyle name="Millares 6 7 2 3 2 2 2" xfId="28822" xr:uid="{00000000-0005-0000-0000-00005C440000}"/>
    <cellStyle name="Millares 6 7 2 3 2 2 2 2" xfId="55955" xr:uid="{00000000-0005-0000-0000-00005D440000}"/>
    <cellStyle name="Millares 6 7 2 3 2 2 3" xfId="42393" xr:uid="{00000000-0005-0000-0000-00005E440000}"/>
    <cellStyle name="Millares 6 7 2 3 2 3" xfId="22041" xr:uid="{00000000-0005-0000-0000-00005F440000}"/>
    <cellStyle name="Millares 6 7 2 3 2 3 2" xfId="49174" xr:uid="{00000000-0005-0000-0000-000060440000}"/>
    <cellStyle name="Millares 6 7 2 3 2 4" xfId="35612" xr:uid="{00000000-0005-0000-0000-000061440000}"/>
    <cellStyle name="Millares 6 7 2 3 3" xfId="11865" xr:uid="{00000000-0005-0000-0000-000062440000}"/>
    <cellStyle name="Millares 6 7 2 3 3 2" xfId="25433" xr:uid="{00000000-0005-0000-0000-000063440000}"/>
    <cellStyle name="Millares 6 7 2 3 3 2 2" xfId="52566" xr:uid="{00000000-0005-0000-0000-000064440000}"/>
    <cellStyle name="Millares 6 7 2 3 3 3" xfId="39004" xr:uid="{00000000-0005-0000-0000-000065440000}"/>
    <cellStyle name="Millares 6 7 2 3 4" xfId="18652" xr:uid="{00000000-0005-0000-0000-000066440000}"/>
    <cellStyle name="Millares 6 7 2 3 4 2" xfId="45785" xr:uid="{00000000-0005-0000-0000-000067440000}"/>
    <cellStyle name="Millares 6 7 2 3 5" xfId="32223" xr:uid="{00000000-0005-0000-0000-000068440000}"/>
    <cellStyle name="Millares 6 7 2 4" xfId="8463" xr:uid="{00000000-0005-0000-0000-000069440000}"/>
    <cellStyle name="Millares 6 7 2 4 2" xfId="15252" xr:uid="{00000000-0005-0000-0000-00006A440000}"/>
    <cellStyle name="Millares 6 7 2 4 2 2" xfId="28820" xr:uid="{00000000-0005-0000-0000-00006B440000}"/>
    <cellStyle name="Millares 6 7 2 4 2 2 2" xfId="55953" xr:uid="{00000000-0005-0000-0000-00006C440000}"/>
    <cellStyle name="Millares 6 7 2 4 2 3" xfId="42391" xr:uid="{00000000-0005-0000-0000-00006D440000}"/>
    <cellStyle name="Millares 6 7 2 4 3" xfId="22039" xr:uid="{00000000-0005-0000-0000-00006E440000}"/>
    <cellStyle name="Millares 6 7 2 4 3 2" xfId="49172" xr:uid="{00000000-0005-0000-0000-00006F440000}"/>
    <cellStyle name="Millares 6 7 2 4 4" xfId="35610" xr:uid="{00000000-0005-0000-0000-000070440000}"/>
    <cellStyle name="Millares 6 7 2 5" xfId="11863" xr:uid="{00000000-0005-0000-0000-000071440000}"/>
    <cellStyle name="Millares 6 7 2 5 2" xfId="25431" xr:uid="{00000000-0005-0000-0000-000072440000}"/>
    <cellStyle name="Millares 6 7 2 5 2 2" xfId="52564" xr:uid="{00000000-0005-0000-0000-000073440000}"/>
    <cellStyle name="Millares 6 7 2 5 3" xfId="39002" xr:uid="{00000000-0005-0000-0000-000074440000}"/>
    <cellStyle name="Millares 6 7 2 6" xfId="18650" xr:uid="{00000000-0005-0000-0000-000075440000}"/>
    <cellStyle name="Millares 6 7 2 6 2" xfId="45783" xr:uid="{00000000-0005-0000-0000-000076440000}"/>
    <cellStyle name="Millares 6 7 2 7" xfId="32221" xr:uid="{00000000-0005-0000-0000-000077440000}"/>
    <cellStyle name="Millares 6 7 3" xfId="4871" xr:uid="{00000000-0005-0000-0000-000078440000}"/>
    <cellStyle name="Millares 6 7 3 2" xfId="8466" xr:uid="{00000000-0005-0000-0000-000079440000}"/>
    <cellStyle name="Millares 6 7 3 2 2" xfId="15255" xr:uid="{00000000-0005-0000-0000-00007A440000}"/>
    <cellStyle name="Millares 6 7 3 2 2 2" xfId="28823" xr:uid="{00000000-0005-0000-0000-00007B440000}"/>
    <cellStyle name="Millares 6 7 3 2 2 2 2" xfId="55956" xr:uid="{00000000-0005-0000-0000-00007C440000}"/>
    <cellStyle name="Millares 6 7 3 2 2 3" xfId="42394" xr:uid="{00000000-0005-0000-0000-00007D440000}"/>
    <cellStyle name="Millares 6 7 3 2 3" xfId="22042" xr:uid="{00000000-0005-0000-0000-00007E440000}"/>
    <cellStyle name="Millares 6 7 3 2 3 2" xfId="49175" xr:uid="{00000000-0005-0000-0000-00007F440000}"/>
    <cellStyle name="Millares 6 7 3 2 4" xfId="35613" xr:uid="{00000000-0005-0000-0000-000080440000}"/>
    <cellStyle name="Millares 6 7 3 3" xfId="11866" xr:uid="{00000000-0005-0000-0000-000081440000}"/>
    <cellStyle name="Millares 6 7 3 3 2" xfId="25434" xr:uid="{00000000-0005-0000-0000-000082440000}"/>
    <cellStyle name="Millares 6 7 3 3 2 2" xfId="52567" xr:uid="{00000000-0005-0000-0000-000083440000}"/>
    <cellStyle name="Millares 6 7 3 3 3" xfId="39005" xr:uid="{00000000-0005-0000-0000-000084440000}"/>
    <cellStyle name="Millares 6 7 3 4" xfId="18653" xr:uid="{00000000-0005-0000-0000-000085440000}"/>
    <cellStyle name="Millares 6 7 3 4 2" xfId="45786" xr:uid="{00000000-0005-0000-0000-000086440000}"/>
    <cellStyle name="Millares 6 7 3 5" xfId="32224" xr:uid="{00000000-0005-0000-0000-000087440000}"/>
    <cellStyle name="Millares 6 7 4" xfId="4872" xr:uid="{00000000-0005-0000-0000-000088440000}"/>
    <cellStyle name="Millares 6 7 4 2" xfId="8467" xr:uid="{00000000-0005-0000-0000-000089440000}"/>
    <cellStyle name="Millares 6 7 4 2 2" xfId="15256" xr:uid="{00000000-0005-0000-0000-00008A440000}"/>
    <cellStyle name="Millares 6 7 4 2 2 2" xfId="28824" xr:uid="{00000000-0005-0000-0000-00008B440000}"/>
    <cellStyle name="Millares 6 7 4 2 2 2 2" xfId="55957" xr:uid="{00000000-0005-0000-0000-00008C440000}"/>
    <cellStyle name="Millares 6 7 4 2 2 3" xfId="42395" xr:uid="{00000000-0005-0000-0000-00008D440000}"/>
    <cellStyle name="Millares 6 7 4 2 3" xfId="22043" xr:uid="{00000000-0005-0000-0000-00008E440000}"/>
    <cellStyle name="Millares 6 7 4 2 3 2" xfId="49176" xr:uid="{00000000-0005-0000-0000-00008F440000}"/>
    <cellStyle name="Millares 6 7 4 2 4" xfId="35614" xr:uid="{00000000-0005-0000-0000-000090440000}"/>
    <cellStyle name="Millares 6 7 4 3" xfId="11867" xr:uid="{00000000-0005-0000-0000-000091440000}"/>
    <cellStyle name="Millares 6 7 4 3 2" xfId="25435" xr:uid="{00000000-0005-0000-0000-000092440000}"/>
    <cellStyle name="Millares 6 7 4 3 2 2" xfId="52568" xr:uid="{00000000-0005-0000-0000-000093440000}"/>
    <cellStyle name="Millares 6 7 4 3 3" xfId="39006" xr:uid="{00000000-0005-0000-0000-000094440000}"/>
    <cellStyle name="Millares 6 7 4 4" xfId="18654" xr:uid="{00000000-0005-0000-0000-000095440000}"/>
    <cellStyle name="Millares 6 7 4 4 2" xfId="45787" xr:uid="{00000000-0005-0000-0000-000096440000}"/>
    <cellStyle name="Millares 6 7 4 5" xfId="32225" xr:uid="{00000000-0005-0000-0000-000097440000}"/>
    <cellStyle name="Millares 6 7 5" xfId="8462" xr:uid="{00000000-0005-0000-0000-000098440000}"/>
    <cellStyle name="Millares 6 7 5 2" xfId="15251" xr:uid="{00000000-0005-0000-0000-000099440000}"/>
    <cellStyle name="Millares 6 7 5 2 2" xfId="28819" xr:uid="{00000000-0005-0000-0000-00009A440000}"/>
    <cellStyle name="Millares 6 7 5 2 2 2" xfId="55952" xr:uid="{00000000-0005-0000-0000-00009B440000}"/>
    <cellStyle name="Millares 6 7 5 2 3" xfId="42390" xr:uid="{00000000-0005-0000-0000-00009C440000}"/>
    <cellStyle name="Millares 6 7 5 3" xfId="22038" xr:uid="{00000000-0005-0000-0000-00009D440000}"/>
    <cellStyle name="Millares 6 7 5 3 2" xfId="49171" xr:uid="{00000000-0005-0000-0000-00009E440000}"/>
    <cellStyle name="Millares 6 7 5 4" xfId="35609" xr:uid="{00000000-0005-0000-0000-00009F440000}"/>
    <cellStyle name="Millares 6 7 6" xfId="11862" xr:uid="{00000000-0005-0000-0000-0000A0440000}"/>
    <cellStyle name="Millares 6 7 6 2" xfId="25430" xr:uid="{00000000-0005-0000-0000-0000A1440000}"/>
    <cellStyle name="Millares 6 7 6 2 2" xfId="52563" xr:uid="{00000000-0005-0000-0000-0000A2440000}"/>
    <cellStyle name="Millares 6 7 6 3" xfId="39001" xr:uid="{00000000-0005-0000-0000-0000A3440000}"/>
    <cellStyle name="Millares 6 7 7" xfId="18649" xr:uid="{00000000-0005-0000-0000-0000A4440000}"/>
    <cellStyle name="Millares 6 7 7 2" xfId="45782" xr:uid="{00000000-0005-0000-0000-0000A5440000}"/>
    <cellStyle name="Millares 6 7 8" xfId="32220" xr:uid="{00000000-0005-0000-0000-0000A6440000}"/>
    <cellStyle name="Millares 6 8" xfId="4873" xr:uid="{00000000-0005-0000-0000-0000A7440000}"/>
    <cellStyle name="Millares 6 8 2" xfId="4874" xr:uid="{00000000-0005-0000-0000-0000A8440000}"/>
    <cellStyle name="Millares 6 8 2 2" xfId="8469" xr:uid="{00000000-0005-0000-0000-0000A9440000}"/>
    <cellStyle name="Millares 6 8 2 2 2" xfId="15258" xr:uid="{00000000-0005-0000-0000-0000AA440000}"/>
    <cellStyle name="Millares 6 8 2 2 2 2" xfId="28826" xr:uid="{00000000-0005-0000-0000-0000AB440000}"/>
    <cellStyle name="Millares 6 8 2 2 2 2 2" xfId="55959" xr:uid="{00000000-0005-0000-0000-0000AC440000}"/>
    <cellStyle name="Millares 6 8 2 2 2 3" xfId="42397" xr:uid="{00000000-0005-0000-0000-0000AD440000}"/>
    <cellStyle name="Millares 6 8 2 2 3" xfId="22045" xr:uid="{00000000-0005-0000-0000-0000AE440000}"/>
    <cellStyle name="Millares 6 8 2 2 3 2" xfId="49178" xr:uid="{00000000-0005-0000-0000-0000AF440000}"/>
    <cellStyle name="Millares 6 8 2 2 4" xfId="35616" xr:uid="{00000000-0005-0000-0000-0000B0440000}"/>
    <cellStyle name="Millares 6 8 2 3" xfId="11869" xr:uid="{00000000-0005-0000-0000-0000B1440000}"/>
    <cellStyle name="Millares 6 8 2 3 2" xfId="25437" xr:uid="{00000000-0005-0000-0000-0000B2440000}"/>
    <cellStyle name="Millares 6 8 2 3 2 2" xfId="52570" xr:uid="{00000000-0005-0000-0000-0000B3440000}"/>
    <cellStyle name="Millares 6 8 2 3 3" xfId="39008" xr:uid="{00000000-0005-0000-0000-0000B4440000}"/>
    <cellStyle name="Millares 6 8 2 4" xfId="18656" xr:uid="{00000000-0005-0000-0000-0000B5440000}"/>
    <cellStyle name="Millares 6 8 2 4 2" xfId="45789" xr:uid="{00000000-0005-0000-0000-0000B6440000}"/>
    <cellStyle name="Millares 6 8 2 5" xfId="32227" xr:uid="{00000000-0005-0000-0000-0000B7440000}"/>
    <cellStyle name="Millares 6 8 3" xfId="8468" xr:uid="{00000000-0005-0000-0000-0000B8440000}"/>
    <cellStyle name="Millares 6 8 3 2" xfId="15257" xr:uid="{00000000-0005-0000-0000-0000B9440000}"/>
    <cellStyle name="Millares 6 8 3 2 2" xfId="28825" xr:uid="{00000000-0005-0000-0000-0000BA440000}"/>
    <cellStyle name="Millares 6 8 3 2 2 2" xfId="55958" xr:uid="{00000000-0005-0000-0000-0000BB440000}"/>
    <cellStyle name="Millares 6 8 3 2 3" xfId="42396" xr:uid="{00000000-0005-0000-0000-0000BC440000}"/>
    <cellStyle name="Millares 6 8 3 3" xfId="22044" xr:uid="{00000000-0005-0000-0000-0000BD440000}"/>
    <cellStyle name="Millares 6 8 3 3 2" xfId="49177" xr:uid="{00000000-0005-0000-0000-0000BE440000}"/>
    <cellStyle name="Millares 6 8 3 4" xfId="35615" xr:uid="{00000000-0005-0000-0000-0000BF440000}"/>
    <cellStyle name="Millares 6 8 4" xfId="11868" xr:uid="{00000000-0005-0000-0000-0000C0440000}"/>
    <cellStyle name="Millares 6 8 4 2" xfId="25436" xr:uid="{00000000-0005-0000-0000-0000C1440000}"/>
    <cellStyle name="Millares 6 8 4 2 2" xfId="52569" xr:uid="{00000000-0005-0000-0000-0000C2440000}"/>
    <cellStyle name="Millares 6 8 4 3" xfId="39007" xr:uid="{00000000-0005-0000-0000-0000C3440000}"/>
    <cellStyle name="Millares 6 8 5" xfId="18655" xr:uid="{00000000-0005-0000-0000-0000C4440000}"/>
    <cellStyle name="Millares 6 8 5 2" xfId="45788" xr:uid="{00000000-0005-0000-0000-0000C5440000}"/>
    <cellStyle name="Millares 6 8 6" xfId="32226" xr:uid="{00000000-0005-0000-0000-0000C6440000}"/>
    <cellStyle name="Millares 6 9" xfId="4875" xr:uid="{00000000-0005-0000-0000-0000C7440000}"/>
    <cellStyle name="Millares 6 9 2" xfId="8470" xr:uid="{00000000-0005-0000-0000-0000C8440000}"/>
    <cellStyle name="Millares 6 9 2 2" xfId="15259" xr:uid="{00000000-0005-0000-0000-0000C9440000}"/>
    <cellStyle name="Millares 6 9 2 2 2" xfId="28827" xr:uid="{00000000-0005-0000-0000-0000CA440000}"/>
    <cellStyle name="Millares 6 9 2 2 2 2" xfId="55960" xr:uid="{00000000-0005-0000-0000-0000CB440000}"/>
    <cellStyle name="Millares 6 9 2 2 3" xfId="42398" xr:uid="{00000000-0005-0000-0000-0000CC440000}"/>
    <cellStyle name="Millares 6 9 2 3" xfId="22046" xr:uid="{00000000-0005-0000-0000-0000CD440000}"/>
    <cellStyle name="Millares 6 9 2 3 2" xfId="49179" xr:uid="{00000000-0005-0000-0000-0000CE440000}"/>
    <cellStyle name="Millares 6 9 2 4" xfId="35617" xr:uid="{00000000-0005-0000-0000-0000CF440000}"/>
    <cellStyle name="Millares 6 9 3" xfId="11870" xr:uid="{00000000-0005-0000-0000-0000D0440000}"/>
    <cellStyle name="Millares 6 9 3 2" xfId="25438" xr:uid="{00000000-0005-0000-0000-0000D1440000}"/>
    <cellStyle name="Millares 6 9 3 2 2" xfId="52571" xr:uid="{00000000-0005-0000-0000-0000D2440000}"/>
    <cellStyle name="Millares 6 9 3 3" xfId="39009" xr:uid="{00000000-0005-0000-0000-0000D3440000}"/>
    <cellStyle name="Millares 6 9 4" xfId="18657" xr:uid="{00000000-0005-0000-0000-0000D4440000}"/>
    <cellStyle name="Millares 6 9 4 2" xfId="45790" xr:uid="{00000000-0005-0000-0000-0000D5440000}"/>
    <cellStyle name="Millares 6 9 5" xfId="32228" xr:uid="{00000000-0005-0000-0000-0000D6440000}"/>
    <cellStyle name="Millares 7" xfId="166" xr:uid="{00000000-0005-0000-0000-0000D7440000}"/>
    <cellStyle name="Millares 7 2" xfId="176" xr:uid="{00000000-0005-0000-0000-0000D8440000}"/>
    <cellStyle name="Millares 7 2 2" xfId="4876" xr:uid="{00000000-0005-0000-0000-0000D9440000}"/>
    <cellStyle name="Millares 7 2 2 2" xfId="4877" xr:uid="{00000000-0005-0000-0000-0000DA440000}"/>
    <cellStyle name="Millares 7 2 2 2 2" xfId="4878" xr:uid="{00000000-0005-0000-0000-0000DB440000}"/>
    <cellStyle name="Millares 7 2 2 2 2 2" xfId="8473" xr:uid="{00000000-0005-0000-0000-0000DC440000}"/>
    <cellStyle name="Millares 7 2 2 2 2 2 2" xfId="15262" xr:uid="{00000000-0005-0000-0000-0000DD440000}"/>
    <cellStyle name="Millares 7 2 2 2 2 2 2 2" xfId="28830" xr:uid="{00000000-0005-0000-0000-0000DE440000}"/>
    <cellStyle name="Millares 7 2 2 2 2 2 2 2 2" xfId="55963" xr:uid="{00000000-0005-0000-0000-0000DF440000}"/>
    <cellStyle name="Millares 7 2 2 2 2 2 2 3" xfId="42401" xr:uid="{00000000-0005-0000-0000-0000E0440000}"/>
    <cellStyle name="Millares 7 2 2 2 2 2 3" xfId="22049" xr:uid="{00000000-0005-0000-0000-0000E1440000}"/>
    <cellStyle name="Millares 7 2 2 2 2 2 3 2" xfId="49182" xr:uid="{00000000-0005-0000-0000-0000E2440000}"/>
    <cellStyle name="Millares 7 2 2 2 2 2 4" xfId="35620" xr:uid="{00000000-0005-0000-0000-0000E3440000}"/>
    <cellStyle name="Millares 7 2 2 2 2 3" xfId="11873" xr:uid="{00000000-0005-0000-0000-0000E4440000}"/>
    <cellStyle name="Millares 7 2 2 2 2 3 2" xfId="25441" xr:uid="{00000000-0005-0000-0000-0000E5440000}"/>
    <cellStyle name="Millares 7 2 2 2 2 3 2 2" xfId="52574" xr:uid="{00000000-0005-0000-0000-0000E6440000}"/>
    <cellStyle name="Millares 7 2 2 2 2 3 3" xfId="39012" xr:uid="{00000000-0005-0000-0000-0000E7440000}"/>
    <cellStyle name="Millares 7 2 2 2 2 4" xfId="18660" xr:uid="{00000000-0005-0000-0000-0000E8440000}"/>
    <cellStyle name="Millares 7 2 2 2 2 4 2" xfId="45793" xr:uid="{00000000-0005-0000-0000-0000E9440000}"/>
    <cellStyle name="Millares 7 2 2 2 2 5" xfId="32231" xr:uid="{00000000-0005-0000-0000-0000EA440000}"/>
    <cellStyle name="Millares 7 2 2 2 3" xfId="4879" xr:uid="{00000000-0005-0000-0000-0000EB440000}"/>
    <cellStyle name="Millares 7 2 2 2 3 2" xfId="8474" xr:uid="{00000000-0005-0000-0000-0000EC440000}"/>
    <cellStyle name="Millares 7 2 2 2 3 2 2" xfId="15263" xr:uid="{00000000-0005-0000-0000-0000ED440000}"/>
    <cellStyle name="Millares 7 2 2 2 3 2 2 2" xfId="28831" xr:uid="{00000000-0005-0000-0000-0000EE440000}"/>
    <cellStyle name="Millares 7 2 2 2 3 2 2 2 2" xfId="55964" xr:uid="{00000000-0005-0000-0000-0000EF440000}"/>
    <cellStyle name="Millares 7 2 2 2 3 2 2 3" xfId="42402" xr:uid="{00000000-0005-0000-0000-0000F0440000}"/>
    <cellStyle name="Millares 7 2 2 2 3 2 3" xfId="22050" xr:uid="{00000000-0005-0000-0000-0000F1440000}"/>
    <cellStyle name="Millares 7 2 2 2 3 2 3 2" xfId="49183" xr:uid="{00000000-0005-0000-0000-0000F2440000}"/>
    <cellStyle name="Millares 7 2 2 2 3 2 4" xfId="35621" xr:uid="{00000000-0005-0000-0000-0000F3440000}"/>
    <cellStyle name="Millares 7 2 2 2 3 3" xfId="11874" xr:uid="{00000000-0005-0000-0000-0000F4440000}"/>
    <cellStyle name="Millares 7 2 2 2 3 3 2" xfId="25442" xr:uid="{00000000-0005-0000-0000-0000F5440000}"/>
    <cellStyle name="Millares 7 2 2 2 3 3 2 2" xfId="52575" xr:uid="{00000000-0005-0000-0000-0000F6440000}"/>
    <cellStyle name="Millares 7 2 2 2 3 3 3" xfId="39013" xr:uid="{00000000-0005-0000-0000-0000F7440000}"/>
    <cellStyle name="Millares 7 2 2 2 3 4" xfId="18661" xr:uid="{00000000-0005-0000-0000-0000F8440000}"/>
    <cellStyle name="Millares 7 2 2 2 3 4 2" xfId="45794" xr:uid="{00000000-0005-0000-0000-0000F9440000}"/>
    <cellStyle name="Millares 7 2 2 2 3 5" xfId="32232" xr:uid="{00000000-0005-0000-0000-0000FA440000}"/>
    <cellStyle name="Millares 7 2 2 2 4" xfId="8472" xr:uid="{00000000-0005-0000-0000-0000FB440000}"/>
    <cellStyle name="Millares 7 2 2 2 4 2" xfId="15261" xr:uid="{00000000-0005-0000-0000-0000FC440000}"/>
    <cellStyle name="Millares 7 2 2 2 4 2 2" xfId="28829" xr:uid="{00000000-0005-0000-0000-0000FD440000}"/>
    <cellStyle name="Millares 7 2 2 2 4 2 2 2" xfId="55962" xr:uid="{00000000-0005-0000-0000-0000FE440000}"/>
    <cellStyle name="Millares 7 2 2 2 4 2 3" xfId="42400" xr:uid="{00000000-0005-0000-0000-0000FF440000}"/>
    <cellStyle name="Millares 7 2 2 2 4 3" xfId="22048" xr:uid="{00000000-0005-0000-0000-000000450000}"/>
    <cellStyle name="Millares 7 2 2 2 4 3 2" xfId="49181" xr:uid="{00000000-0005-0000-0000-000001450000}"/>
    <cellStyle name="Millares 7 2 2 2 4 4" xfId="35619" xr:uid="{00000000-0005-0000-0000-000002450000}"/>
    <cellStyle name="Millares 7 2 2 2 5" xfId="11872" xr:uid="{00000000-0005-0000-0000-000003450000}"/>
    <cellStyle name="Millares 7 2 2 2 5 2" xfId="25440" xr:uid="{00000000-0005-0000-0000-000004450000}"/>
    <cellStyle name="Millares 7 2 2 2 5 2 2" xfId="52573" xr:uid="{00000000-0005-0000-0000-000005450000}"/>
    <cellStyle name="Millares 7 2 2 2 5 3" xfId="39011" xr:uid="{00000000-0005-0000-0000-000006450000}"/>
    <cellStyle name="Millares 7 2 2 2 6" xfId="18659" xr:uid="{00000000-0005-0000-0000-000007450000}"/>
    <cellStyle name="Millares 7 2 2 2 6 2" xfId="45792" xr:uid="{00000000-0005-0000-0000-000008450000}"/>
    <cellStyle name="Millares 7 2 2 2 7" xfId="32230" xr:uid="{00000000-0005-0000-0000-000009450000}"/>
    <cellStyle name="Millares 7 2 2 3" xfId="4880" xr:uid="{00000000-0005-0000-0000-00000A450000}"/>
    <cellStyle name="Millares 7 2 2 3 2" xfId="4881" xr:uid="{00000000-0005-0000-0000-00000B450000}"/>
    <cellStyle name="Millares 7 2 2 3 2 2" xfId="8476" xr:uid="{00000000-0005-0000-0000-00000C450000}"/>
    <cellStyle name="Millares 7 2 2 3 2 2 2" xfId="15265" xr:uid="{00000000-0005-0000-0000-00000D450000}"/>
    <cellStyle name="Millares 7 2 2 3 2 2 2 2" xfId="28833" xr:uid="{00000000-0005-0000-0000-00000E450000}"/>
    <cellStyle name="Millares 7 2 2 3 2 2 2 2 2" xfId="55966" xr:uid="{00000000-0005-0000-0000-00000F450000}"/>
    <cellStyle name="Millares 7 2 2 3 2 2 2 3" xfId="42404" xr:uid="{00000000-0005-0000-0000-000010450000}"/>
    <cellStyle name="Millares 7 2 2 3 2 2 3" xfId="22052" xr:uid="{00000000-0005-0000-0000-000011450000}"/>
    <cellStyle name="Millares 7 2 2 3 2 2 3 2" xfId="49185" xr:uid="{00000000-0005-0000-0000-000012450000}"/>
    <cellStyle name="Millares 7 2 2 3 2 2 4" xfId="35623" xr:uid="{00000000-0005-0000-0000-000013450000}"/>
    <cellStyle name="Millares 7 2 2 3 2 3" xfId="11876" xr:uid="{00000000-0005-0000-0000-000014450000}"/>
    <cellStyle name="Millares 7 2 2 3 2 3 2" xfId="25444" xr:uid="{00000000-0005-0000-0000-000015450000}"/>
    <cellStyle name="Millares 7 2 2 3 2 3 2 2" xfId="52577" xr:uid="{00000000-0005-0000-0000-000016450000}"/>
    <cellStyle name="Millares 7 2 2 3 2 3 3" xfId="39015" xr:uid="{00000000-0005-0000-0000-000017450000}"/>
    <cellStyle name="Millares 7 2 2 3 2 4" xfId="18663" xr:uid="{00000000-0005-0000-0000-000018450000}"/>
    <cellStyle name="Millares 7 2 2 3 2 4 2" xfId="45796" xr:uid="{00000000-0005-0000-0000-000019450000}"/>
    <cellStyle name="Millares 7 2 2 3 2 5" xfId="32234" xr:uid="{00000000-0005-0000-0000-00001A450000}"/>
    <cellStyle name="Millares 7 2 2 3 3" xfId="8475" xr:uid="{00000000-0005-0000-0000-00001B450000}"/>
    <cellStyle name="Millares 7 2 2 3 3 2" xfId="15264" xr:uid="{00000000-0005-0000-0000-00001C450000}"/>
    <cellStyle name="Millares 7 2 2 3 3 2 2" xfId="28832" xr:uid="{00000000-0005-0000-0000-00001D450000}"/>
    <cellStyle name="Millares 7 2 2 3 3 2 2 2" xfId="55965" xr:uid="{00000000-0005-0000-0000-00001E450000}"/>
    <cellStyle name="Millares 7 2 2 3 3 2 3" xfId="42403" xr:uid="{00000000-0005-0000-0000-00001F450000}"/>
    <cellStyle name="Millares 7 2 2 3 3 3" xfId="22051" xr:uid="{00000000-0005-0000-0000-000020450000}"/>
    <cellStyle name="Millares 7 2 2 3 3 3 2" xfId="49184" xr:uid="{00000000-0005-0000-0000-000021450000}"/>
    <cellStyle name="Millares 7 2 2 3 3 4" xfId="35622" xr:uid="{00000000-0005-0000-0000-000022450000}"/>
    <cellStyle name="Millares 7 2 2 3 4" xfId="11875" xr:uid="{00000000-0005-0000-0000-000023450000}"/>
    <cellStyle name="Millares 7 2 2 3 4 2" xfId="25443" xr:uid="{00000000-0005-0000-0000-000024450000}"/>
    <cellStyle name="Millares 7 2 2 3 4 2 2" xfId="52576" xr:uid="{00000000-0005-0000-0000-000025450000}"/>
    <cellStyle name="Millares 7 2 2 3 4 3" xfId="39014" xr:uid="{00000000-0005-0000-0000-000026450000}"/>
    <cellStyle name="Millares 7 2 2 3 5" xfId="18662" xr:uid="{00000000-0005-0000-0000-000027450000}"/>
    <cellStyle name="Millares 7 2 2 3 5 2" xfId="45795" xr:uid="{00000000-0005-0000-0000-000028450000}"/>
    <cellStyle name="Millares 7 2 2 3 6" xfId="32233" xr:uid="{00000000-0005-0000-0000-000029450000}"/>
    <cellStyle name="Millares 7 2 2 4" xfId="4882" xr:uid="{00000000-0005-0000-0000-00002A450000}"/>
    <cellStyle name="Millares 7 2 2 4 2" xfId="8477" xr:uid="{00000000-0005-0000-0000-00002B450000}"/>
    <cellStyle name="Millares 7 2 2 4 2 2" xfId="15266" xr:uid="{00000000-0005-0000-0000-00002C450000}"/>
    <cellStyle name="Millares 7 2 2 4 2 2 2" xfId="28834" xr:uid="{00000000-0005-0000-0000-00002D450000}"/>
    <cellStyle name="Millares 7 2 2 4 2 2 2 2" xfId="55967" xr:uid="{00000000-0005-0000-0000-00002E450000}"/>
    <cellStyle name="Millares 7 2 2 4 2 2 3" xfId="42405" xr:uid="{00000000-0005-0000-0000-00002F450000}"/>
    <cellStyle name="Millares 7 2 2 4 2 3" xfId="22053" xr:uid="{00000000-0005-0000-0000-000030450000}"/>
    <cellStyle name="Millares 7 2 2 4 2 3 2" xfId="49186" xr:uid="{00000000-0005-0000-0000-000031450000}"/>
    <cellStyle name="Millares 7 2 2 4 2 4" xfId="35624" xr:uid="{00000000-0005-0000-0000-000032450000}"/>
    <cellStyle name="Millares 7 2 2 4 3" xfId="11877" xr:uid="{00000000-0005-0000-0000-000033450000}"/>
    <cellStyle name="Millares 7 2 2 4 3 2" xfId="25445" xr:uid="{00000000-0005-0000-0000-000034450000}"/>
    <cellStyle name="Millares 7 2 2 4 3 2 2" xfId="52578" xr:uid="{00000000-0005-0000-0000-000035450000}"/>
    <cellStyle name="Millares 7 2 2 4 3 3" xfId="39016" xr:uid="{00000000-0005-0000-0000-000036450000}"/>
    <cellStyle name="Millares 7 2 2 4 4" xfId="18664" xr:uid="{00000000-0005-0000-0000-000037450000}"/>
    <cellStyle name="Millares 7 2 2 4 4 2" xfId="45797" xr:uid="{00000000-0005-0000-0000-000038450000}"/>
    <cellStyle name="Millares 7 2 2 4 5" xfId="32235" xr:uid="{00000000-0005-0000-0000-000039450000}"/>
    <cellStyle name="Millares 7 2 2 5" xfId="4883" xr:uid="{00000000-0005-0000-0000-00003A450000}"/>
    <cellStyle name="Millares 7 2 2 5 2" xfId="8478" xr:uid="{00000000-0005-0000-0000-00003B450000}"/>
    <cellStyle name="Millares 7 2 2 5 2 2" xfId="15267" xr:uid="{00000000-0005-0000-0000-00003C450000}"/>
    <cellStyle name="Millares 7 2 2 5 2 2 2" xfId="28835" xr:uid="{00000000-0005-0000-0000-00003D450000}"/>
    <cellStyle name="Millares 7 2 2 5 2 2 2 2" xfId="55968" xr:uid="{00000000-0005-0000-0000-00003E450000}"/>
    <cellStyle name="Millares 7 2 2 5 2 2 3" xfId="42406" xr:uid="{00000000-0005-0000-0000-00003F450000}"/>
    <cellStyle name="Millares 7 2 2 5 2 3" xfId="22054" xr:uid="{00000000-0005-0000-0000-000040450000}"/>
    <cellStyle name="Millares 7 2 2 5 2 3 2" xfId="49187" xr:uid="{00000000-0005-0000-0000-000041450000}"/>
    <cellStyle name="Millares 7 2 2 5 2 4" xfId="35625" xr:uid="{00000000-0005-0000-0000-000042450000}"/>
    <cellStyle name="Millares 7 2 2 5 3" xfId="11878" xr:uid="{00000000-0005-0000-0000-000043450000}"/>
    <cellStyle name="Millares 7 2 2 5 3 2" xfId="25446" xr:uid="{00000000-0005-0000-0000-000044450000}"/>
    <cellStyle name="Millares 7 2 2 5 3 2 2" xfId="52579" xr:uid="{00000000-0005-0000-0000-000045450000}"/>
    <cellStyle name="Millares 7 2 2 5 3 3" xfId="39017" xr:uid="{00000000-0005-0000-0000-000046450000}"/>
    <cellStyle name="Millares 7 2 2 5 4" xfId="18665" xr:uid="{00000000-0005-0000-0000-000047450000}"/>
    <cellStyle name="Millares 7 2 2 5 4 2" xfId="45798" xr:uid="{00000000-0005-0000-0000-000048450000}"/>
    <cellStyle name="Millares 7 2 2 5 5" xfId="32236" xr:uid="{00000000-0005-0000-0000-000049450000}"/>
    <cellStyle name="Millares 7 2 2 6" xfId="8471" xr:uid="{00000000-0005-0000-0000-00004A450000}"/>
    <cellStyle name="Millares 7 2 2 6 2" xfId="15260" xr:uid="{00000000-0005-0000-0000-00004B450000}"/>
    <cellStyle name="Millares 7 2 2 6 2 2" xfId="28828" xr:uid="{00000000-0005-0000-0000-00004C450000}"/>
    <cellStyle name="Millares 7 2 2 6 2 2 2" xfId="55961" xr:uid="{00000000-0005-0000-0000-00004D450000}"/>
    <cellStyle name="Millares 7 2 2 6 2 3" xfId="42399" xr:uid="{00000000-0005-0000-0000-00004E450000}"/>
    <cellStyle name="Millares 7 2 2 6 3" xfId="22047" xr:uid="{00000000-0005-0000-0000-00004F450000}"/>
    <cellStyle name="Millares 7 2 2 6 3 2" xfId="49180" xr:uid="{00000000-0005-0000-0000-000050450000}"/>
    <cellStyle name="Millares 7 2 2 6 4" xfId="35618" xr:uid="{00000000-0005-0000-0000-000051450000}"/>
    <cellStyle name="Millares 7 2 2 7" xfId="11871" xr:uid="{00000000-0005-0000-0000-000052450000}"/>
    <cellStyle name="Millares 7 2 2 7 2" xfId="25439" xr:uid="{00000000-0005-0000-0000-000053450000}"/>
    <cellStyle name="Millares 7 2 2 7 2 2" xfId="52572" xr:uid="{00000000-0005-0000-0000-000054450000}"/>
    <cellStyle name="Millares 7 2 2 7 3" xfId="39010" xr:uid="{00000000-0005-0000-0000-000055450000}"/>
    <cellStyle name="Millares 7 2 2 8" xfId="18658" xr:uid="{00000000-0005-0000-0000-000056450000}"/>
    <cellStyle name="Millares 7 2 2 8 2" xfId="45791" xr:uid="{00000000-0005-0000-0000-000057450000}"/>
    <cellStyle name="Millares 7 2 2 9" xfId="32229" xr:uid="{00000000-0005-0000-0000-000058450000}"/>
    <cellStyle name="Millares 7 2 3" xfId="4884" xr:uid="{00000000-0005-0000-0000-000059450000}"/>
    <cellStyle name="Millares 7 2 3 2" xfId="4885" xr:uid="{00000000-0005-0000-0000-00005A450000}"/>
    <cellStyle name="Millares 7 2 3 2 2" xfId="8480" xr:uid="{00000000-0005-0000-0000-00005B450000}"/>
    <cellStyle name="Millares 7 2 3 2 2 2" xfId="15269" xr:uid="{00000000-0005-0000-0000-00005C450000}"/>
    <cellStyle name="Millares 7 2 3 2 2 2 2" xfId="28837" xr:uid="{00000000-0005-0000-0000-00005D450000}"/>
    <cellStyle name="Millares 7 2 3 2 2 2 2 2" xfId="55970" xr:uid="{00000000-0005-0000-0000-00005E450000}"/>
    <cellStyle name="Millares 7 2 3 2 2 2 3" xfId="42408" xr:uid="{00000000-0005-0000-0000-00005F450000}"/>
    <cellStyle name="Millares 7 2 3 2 2 3" xfId="22056" xr:uid="{00000000-0005-0000-0000-000060450000}"/>
    <cellStyle name="Millares 7 2 3 2 2 3 2" xfId="49189" xr:uid="{00000000-0005-0000-0000-000061450000}"/>
    <cellStyle name="Millares 7 2 3 2 2 4" xfId="35627" xr:uid="{00000000-0005-0000-0000-000062450000}"/>
    <cellStyle name="Millares 7 2 3 2 3" xfId="11880" xr:uid="{00000000-0005-0000-0000-000063450000}"/>
    <cellStyle name="Millares 7 2 3 2 3 2" xfId="25448" xr:uid="{00000000-0005-0000-0000-000064450000}"/>
    <cellStyle name="Millares 7 2 3 2 3 2 2" xfId="52581" xr:uid="{00000000-0005-0000-0000-000065450000}"/>
    <cellStyle name="Millares 7 2 3 2 3 3" xfId="39019" xr:uid="{00000000-0005-0000-0000-000066450000}"/>
    <cellStyle name="Millares 7 2 3 2 4" xfId="18667" xr:uid="{00000000-0005-0000-0000-000067450000}"/>
    <cellStyle name="Millares 7 2 3 2 4 2" xfId="45800" xr:uid="{00000000-0005-0000-0000-000068450000}"/>
    <cellStyle name="Millares 7 2 3 2 5" xfId="32238" xr:uid="{00000000-0005-0000-0000-000069450000}"/>
    <cellStyle name="Millares 7 2 3 3" xfId="4886" xr:uid="{00000000-0005-0000-0000-00006A450000}"/>
    <cellStyle name="Millares 7 2 3 3 2" xfId="8481" xr:uid="{00000000-0005-0000-0000-00006B450000}"/>
    <cellStyle name="Millares 7 2 3 3 2 2" xfId="15270" xr:uid="{00000000-0005-0000-0000-00006C450000}"/>
    <cellStyle name="Millares 7 2 3 3 2 2 2" xfId="28838" xr:uid="{00000000-0005-0000-0000-00006D450000}"/>
    <cellStyle name="Millares 7 2 3 3 2 2 2 2" xfId="55971" xr:uid="{00000000-0005-0000-0000-00006E450000}"/>
    <cellStyle name="Millares 7 2 3 3 2 2 3" xfId="42409" xr:uid="{00000000-0005-0000-0000-00006F450000}"/>
    <cellStyle name="Millares 7 2 3 3 2 3" xfId="22057" xr:uid="{00000000-0005-0000-0000-000070450000}"/>
    <cellStyle name="Millares 7 2 3 3 2 3 2" xfId="49190" xr:uid="{00000000-0005-0000-0000-000071450000}"/>
    <cellStyle name="Millares 7 2 3 3 2 4" xfId="35628" xr:uid="{00000000-0005-0000-0000-000072450000}"/>
    <cellStyle name="Millares 7 2 3 3 3" xfId="11881" xr:uid="{00000000-0005-0000-0000-000073450000}"/>
    <cellStyle name="Millares 7 2 3 3 3 2" xfId="25449" xr:uid="{00000000-0005-0000-0000-000074450000}"/>
    <cellStyle name="Millares 7 2 3 3 3 2 2" xfId="52582" xr:uid="{00000000-0005-0000-0000-000075450000}"/>
    <cellStyle name="Millares 7 2 3 3 3 3" xfId="39020" xr:uid="{00000000-0005-0000-0000-000076450000}"/>
    <cellStyle name="Millares 7 2 3 3 4" xfId="18668" xr:uid="{00000000-0005-0000-0000-000077450000}"/>
    <cellStyle name="Millares 7 2 3 3 4 2" xfId="45801" xr:uid="{00000000-0005-0000-0000-000078450000}"/>
    <cellStyle name="Millares 7 2 3 3 5" xfId="32239" xr:uid="{00000000-0005-0000-0000-000079450000}"/>
    <cellStyle name="Millares 7 2 3 4" xfId="8479" xr:uid="{00000000-0005-0000-0000-00007A450000}"/>
    <cellStyle name="Millares 7 2 3 4 2" xfId="15268" xr:uid="{00000000-0005-0000-0000-00007B450000}"/>
    <cellStyle name="Millares 7 2 3 4 2 2" xfId="28836" xr:uid="{00000000-0005-0000-0000-00007C450000}"/>
    <cellStyle name="Millares 7 2 3 4 2 2 2" xfId="55969" xr:uid="{00000000-0005-0000-0000-00007D450000}"/>
    <cellStyle name="Millares 7 2 3 4 2 3" xfId="42407" xr:uid="{00000000-0005-0000-0000-00007E450000}"/>
    <cellStyle name="Millares 7 2 3 4 3" xfId="22055" xr:uid="{00000000-0005-0000-0000-00007F450000}"/>
    <cellStyle name="Millares 7 2 3 4 3 2" xfId="49188" xr:uid="{00000000-0005-0000-0000-000080450000}"/>
    <cellStyle name="Millares 7 2 3 4 4" xfId="35626" xr:uid="{00000000-0005-0000-0000-000081450000}"/>
    <cellStyle name="Millares 7 2 3 5" xfId="11879" xr:uid="{00000000-0005-0000-0000-000082450000}"/>
    <cellStyle name="Millares 7 2 3 5 2" xfId="25447" xr:uid="{00000000-0005-0000-0000-000083450000}"/>
    <cellStyle name="Millares 7 2 3 5 2 2" xfId="52580" xr:uid="{00000000-0005-0000-0000-000084450000}"/>
    <cellStyle name="Millares 7 2 3 5 3" xfId="39018" xr:uid="{00000000-0005-0000-0000-000085450000}"/>
    <cellStyle name="Millares 7 2 3 6" xfId="18666" xr:uid="{00000000-0005-0000-0000-000086450000}"/>
    <cellStyle name="Millares 7 2 3 6 2" xfId="45799" xr:uid="{00000000-0005-0000-0000-000087450000}"/>
    <cellStyle name="Millares 7 2 3 7" xfId="32237" xr:uid="{00000000-0005-0000-0000-000088450000}"/>
    <cellStyle name="Millares 7 2 4" xfId="4887" xr:uid="{00000000-0005-0000-0000-000089450000}"/>
    <cellStyle name="Millares 7 2 4 2" xfId="4888" xr:uid="{00000000-0005-0000-0000-00008A450000}"/>
    <cellStyle name="Millares 7 2 4 2 2" xfId="8483" xr:uid="{00000000-0005-0000-0000-00008B450000}"/>
    <cellStyle name="Millares 7 2 4 2 2 2" xfId="15272" xr:uid="{00000000-0005-0000-0000-00008C450000}"/>
    <cellStyle name="Millares 7 2 4 2 2 2 2" xfId="28840" xr:uid="{00000000-0005-0000-0000-00008D450000}"/>
    <cellStyle name="Millares 7 2 4 2 2 2 2 2" xfId="55973" xr:uid="{00000000-0005-0000-0000-00008E450000}"/>
    <cellStyle name="Millares 7 2 4 2 2 2 3" xfId="42411" xr:uid="{00000000-0005-0000-0000-00008F450000}"/>
    <cellStyle name="Millares 7 2 4 2 2 3" xfId="22059" xr:uid="{00000000-0005-0000-0000-000090450000}"/>
    <cellStyle name="Millares 7 2 4 2 2 3 2" xfId="49192" xr:uid="{00000000-0005-0000-0000-000091450000}"/>
    <cellStyle name="Millares 7 2 4 2 2 4" xfId="35630" xr:uid="{00000000-0005-0000-0000-000092450000}"/>
    <cellStyle name="Millares 7 2 4 2 3" xfId="11883" xr:uid="{00000000-0005-0000-0000-000093450000}"/>
    <cellStyle name="Millares 7 2 4 2 3 2" xfId="25451" xr:uid="{00000000-0005-0000-0000-000094450000}"/>
    <cellStyle name="Millares 7 2 4 2 3 2 2" xfId="52584" xr:uid="{00000000-0005-0000-0000-000095450000}"/>
    <cellStyle name="Millares 7 2 4 2 3 3" xfId="39022" xr:uid="{00000000-0005-0000-0000-000096450000}"/>
    <cellStyle name="Millares 7 2 4 2 4" xfId="18670" xr:uid="{00000000-0005-0000-0000-000097450000}"/>
    <cellStyle name="Millares 7 2 4 2 4 2" xfId="45803" xr:uid="{00000000-0005-0000-0000-000098450000}"/>
    <cellStyle name="Millares 7 2 4 2 5" xfId="32241" xr:uid="{00000000-0005-0000-0000-000099450000}"/>
    <cellStyle name="Millares 7 2 4 3" xfId="8482" xr:uid="{00000000-0005-0000-0000-00009A450000}"/>
    <cellStyle name="Millares 7 2 4 3 2" xfId="15271" xr:uid="{00000000-0005-0000-0000-00009B450000}"/>
    <cellStyle name="Millares 7 2 4 3 2 2" xfId="28839" xr:uid="{00000000-0005-0000-0000-00009C450000}"/>
    <cellStyle name="Millares 7 2 4 3 2 2 2" xfId="55972" xr:uid="{00000000-0005-0000-0000-00009D450000}"/>
    <cellStyle name="Millares 7 2 4 3 2 3" xfId="42410" xr:uid="{00000000-0005-0000-0000-00009E450000}"/>
    <cellStyle name="Millares 7 2 4 3 3" xfId="22058" xr:uid="{00000000-0005-0000-0000-00009F450000}"/>
    <cellStyle name="Millares 7 2 4 3 3 2" xfId="49191" xr:uid="{00000000-0005-0000-0000-0000A0450000}"/>
    <cellStyle name="Millares 7 2 4 3 4" xfId="35629" xr:uid="{00000000-0005-0000-0000-0000A1450000}"/>
    <cellStyle name="Millares 7 2 4 4" xfId="11882" xr:uid="{00000000-0005-0000-0000-0000A2450000}"/>
    <cellStyle name="Millares 7 2 4 4 2" xfId="25450" xr:uid="{00000000-0005-0000-0000-0000A3450000}"/>
    <cellStyle name="Millares 7 2 4 4 2 2" xfId="52583" xr:uid="{00000000-0005-0000-0000-0000A4450000}"/>
    <cellStyle name="Millares 7 2 4 4 3" xfId="39021" xr:uid="{00000000-0005-0000-0000-0000A5450000}"/>
    <cellStyle name="Millares 7 2 4 5" xfId="18669" xr:uid="{00000000-0005-0000-0000-0000A6450000}"/>
    <cellStyle name="Millares 7 2 4 5 2" xfId="45802" xr:uid="{00000000-0005-0000-0000-0000A7450000}"/>
    <cellStyle name="Millares 7 2 4 6" xfId="32240" xr:uid="{00000000-0005-0000-0000-0000A8450000}"/>
    <cellStyle name="Millares 7 2 5" xfId="4889" xr:uid="{00000000-0005-0000-0000-0000A9450000}"/>
    <cellStyle name="Millares 7 2 5 2" xfId="8484" xr:uid="{00000000-0005-0000-0000-0000AA450000}"/>
    <cellStyle name="Millares 7 2 5 2 2" xfId="15273" xr:uid="{00000000-0005-0000-0000-0000AB450000}"/>
    <cellStyle name="Millares 7 2 5 2 2 2" xfId="28841" xr:uid="{00000000-0005-0000-0000-0000AC450000}"/>
    <cellStyle name="Millares 7 2 5 2 2 2 2" xfId="55974" xr:uid="{00000000-0005-0000-0000-0000AD450000}"/>
    <cellStyle name="Millares 7 2 5 2 2 3" xfId="42412" xr:uid="{00000000-0005-0000-0000-0000AE450000}"/>
    <cellStyle name="Millares 7 2 5 2 3" xfId="22060" xr:uid="{00000000-0005-0000-0000-0000AF450000}"/>
    <cellStyle name="Millares 7 2 5 2 3 2" xfId="49193" xr:uid="{00000000-0005-0000-0000-0000B0450000}"/>
    <cellStyle name="Millares 7 2 5 2 4" xfId="35631" xr:uid="{00000000-0005-0000-0000-0000B1450000}"/>
    <cellStyle name="Millares 7 2 5 3" xfId="11884" xr:uid="{00000000-0005-0000-0000-0000B2450000}"/>
    <cellStyle name="Millares 7 2 5 3 2" xfId="25452" xr:uid="{00000000-0005-0000-0000-0000B3450000}"/>
    <cellStyle name="Millares 7 2 5 3 2 2" xfId="52585" xr:uid="{00000000-0005-0000-0000-0000B4450000}"/>
    <cellStyle name="Millares 7 2 5 3 3" xfId="39023" xr:uid="{00000000-0005-0000-0000-0000B5450000}"/>
    <cellStyle name="Millares 7 2 5 4" xfId="18671" xr:uid="{00000000-0005-0000-0000-0000B6450000}"/>
    <cellStyle name="Millares 7 2 5 4 2" xfId="45804" xr:uid="{00000000-0005-0000-0000-0000B7450000}"/>
    <cellStyle name="Millares 7 2 5 5" xfId="32242" xr:uid="{00000000-0005-0000-0000-0000B8450000}"/>
    <cellStyle name="Millares 7 2 6" xfId="4890" xr:uid="{00000000-0005-0000-0000-0000B9450000}"/>
    <cellStyle name="Millares 7 2 6 2" xfId="8485" xr:uid="{00000000-0005-0000-0000-0000BA450000}"/>
    <cellStyle name="Millares 7 2 6 2 2" xfId="15274" xr:uid="{00000000-0005-0000-0000-0000BB450000}"/>
    <cellStyle name="Millares 7 2 6 2 2 2" xfId="28842" xr:uid="{00000000-0005-0000-0000-0000BC450000}"/>
    <cellStyle name="Millares 7 2 6 2 2 2 2" xfId="55975" xr:uid="{00000000-0005-0000-0000-0000BD450000}"/>
    <cellStyle name="Millares 7 2 6 2 2 3" xfId="42413" xr:uid="{00000000-0005-0000-0000-0000BE450000}"/>
    <cellStyle name="Millares 7 2 6 2 3" xfId="22061" xr:uid="{00000000-0005-0000-0000-0000BF450000}"/>
    <cellStyle name="Millares 7 2 6 2 3 2" xfId="49194" xr:uid="{00000000-0005-0000-0000-0000C0450000}"/>
    <cellStyle name="Millares 7 2 6 2 4" xfId="35632" xr:uid="{00000000-0005-0000-0000-0000C1450000}"/>
    <cellStyle name="Millares 7 2 6 3" xfId="11885" xr:uid="{00000000-0005-0000-0000-0000C2450000}"/>
    <cellStyle name="Millares 7 2 6 3 2" xfId="25453" xr:uid="{00000000-0005-0000-0000-0000C3450000}"/>
    <cellStyle name="Millares 7 2 6 3 2 2" xfId="52586" xr:uid="{00000000-0005-0000-0000-0000C4450000}"/>
    <cellStyle name="Millares 7 2 6 3 3" xfId="39024" xr:uid="{00000000-0005-0000-0000-0000C5450000}"/>
    <cellStyle name="Millares 7 2 6 4" xfId="18672" xr:uid="{00000000-0005-0000-0000-0000C6450000}"/>
    <cellStyle name="Millares 7 2 6 4 2" xfId="45805" xr:uid="{00000000-0005-0000-0000-0000C7450000}"/>
    <cellStyle name="Millares 7 2 6 5" xfId="32243" xr:uid="{00000000-0005-0000-0000-0000C8450000}"/>
    <cellStyle name="Millares 7 3" xfId="4891" xr:uid="{00000000-0005-0000-0000-0000C9450000}"/>
    <cellStyle name="Millares 7 3 2" xfId="4892" xr:uid="{00000000-0005-0000-0000-0000CA450000}"/>
    <cellStyle name="Millares 7 3 2 2" xfId="4893" xr:uid="{00000000-0005-0000-0000-0000CB450000}"/>
    <cellStyle name="Millares 7 3 2 2 2" xfId="8488" xr:uid="{00000000-0005-0000-0000-0000CC450000}"/>
    <cellStyle name="Millares 7 3 2 2 2 2" xfId="15277" xr:uid="{00000000-0005-0000-0000-0000CD450000}"/>
    <cellStyle name="Millares 7 3 2 2 2 2 2" xfId="28845" xr:uid="{00000000-0005-0000-0000-0000CE450000}"/>
    <cellStyle name="Millares 7 3 2 2 2 2 2 2" xfId="55978" xr:uid="{00000000-0005-0000-0000-0000CF450000}"/>
    <cellStyle name="Millares 7 3 2 2 2 2 3" xfId="42416" xr:uid="{00000000-0005-0000-0000-0000D0450000}"/>
    <cellStyle name="Millares 7 3 2 2 2 3" xfId="22064" xr:uid="{00000000-0005-0000-0000-0000D1450000}"/>
    <cellStyle name="Millares 7 3 2 2 2 3 2" xfId="49197" xr:uid="{00000000-0005-0000-0000-0000D2450000}"/>
    <cellStyle name="Millares 7 3 2 2 2 4" xfId="35635" xr:uid="{00000000-0005-0000-0000-0000D3450000}"/>
    <cellStyle name="Millares 7 3 2 2 3" xfId="11888" xr:uid="{00000000-0005-0000-0000-0000D4450000}"/>
    <cellStyle name="Millares 7 3 2 2 3 2" xfId="25456" xr:uid="{00000000-0005-0000-0000-0000D5450000}"/>
    <cellStyle name="Millares 7 3 2 2 3 2 2" xfId="52589" xr:uid="{00000000-0005-0000-0000-0000D6450000}"/>
    <cellStyle name="Millares 7 3 2 2 3 3" xfId="39027" xr:uid="{00000000-0005-0000-0000-0000D7450000}"/>
    <cellStyle name="Millares 7 3 2 2 4" xfId="18675" xr:uid="{00000000-0005-0000-0000-0000D8450000}"/>
    <cellStyle name="Millares 7 3 2 2 4 2" xfId="45808" xr:uid="{00000000-0005-0000-0000-0000D9450000}"/>
    <cellStyle name="Millares 7 3 2 2 5" xfId="32246" xr:uid="{00000000-0005-0000-0000-0000DA450000}"/>
    <cellStyle name="Millares 7 3 2 3" xfId="4894" xr:uid="{00000000-0005-0000-0000-0000DB450000}"/>
    <cellStyle name="Millares 7 3 2 3 2" xfId="8489" xr:uid="{00000000-0005-0000-0000-0000DC450000}"/>
    <cellStyle name="Millares 7 3 2 3 2 2" xfId="15278" xr:uid="{00000000-0005-0000-0000-0000DD450000}"/>
    <cellStyle name="Millares 7 3 2 3 2 2 2" xfId="28846" xr:uid="{00000000-0005-0000-0000-0000DE450000}"/>
    <cellStyle name="Millares 7 3 2 3 2 2 2 2" xfId="55979" xr:uid="{00000000-0005-0000-0000-0000DF450000}"/>
    <cellStyle name="Millares 7 3 2 3 2 2 3" xfId="42417" xr:uid="{00000000-0005-0000-0000-0000E0450000}"/>
    <cellStyle name="Millares 7 3 2 3 2 3" xfId="22065" xr:uid="{00000000-0005-0000-0000-0000E1450000}"/>
    <cellStyle name="Millares 7 3 2 3 2 3 2" xfId="49198" xr:uid="{00000000-0005-0000-0000-0000E2450000}"/>
    <cellStyle name="Millares 7 3 2 3 2 4" xfId="35636" xr:uid="{00000000-0005-0000-0000-0000E3450000}"/>
    <cellStyle name="Millares 7 3 2 3 3" xfId="11889" xr:uid="{00000000-0005-0000-0000-0000E4450000}"/>
    <cellStyle name="Millares 7 3 2 3 3 2" xfId="25457" xr:uid="{00000000-0005-0000-0000-0000E5450000}"/>
    <cellStyle name="Millares 7 3 2 3 3 2 2" xfId="52590" xr:uid="{00000000-0005-0000-0000-0000E6450000}"/>
    <cellStyle name="Millares 7 3 2 3 3 3" xfId="39028" xr:uid="{00000000-0005-0000-0000-0000E7450000}"/>
    <cellStyle name="Millares 7 3 2 3 4" xfId="18676" xr:uid="{00000000-0005-0000-0000-0000E8450000}"/>
    <cellStyle name="Millares 7 3 2 3 4 2" xfId="45809" xr:uid="{00000000-0005-0000-0000-0000E9450000}"/>
    <cellStyle name="Millares 7 3 2 3 5" xfId="32247" xr:uid="{00000000-0005-0000-0000-0000EA450000}"/>
    <cellStyle name="Millares 7 3 2 4" xfId="8487" xr:uid="{00000000-0005-0000-0000-0000EB450000}"/>
    <cellStyle name="Millares 7 3 2 4 2" xfId="15276" xr:uid="{00000000-0005-0000-0000-0000EC450000}"/>
    <cellStyle name="Millares 7 3 2 4 2 2" xfId="28844" xr:uid="{00000000-0005-0000-0000-0000ED450000}"/>
    <cellStyle name="Millares 7 3 2 4 2 2 2" xfId="55977" xr:uid="{00000000-0005-0000-0000-0000EE450000}"/>
    <cellStyle name="Millares 7 3 2 4 2 3" xfId="42415" xr:uid="{00000000-0005-0000-0000-0000EF450000}"/>
    <cellStyle name="Millares 7 3 2 4 3" xfId="22063" xr:uid="{00000000-0005-0000-0000-0000F0450000}"/>
    <cellStyle name="Millares 7 3 2 4 3 2" xfId="49196" xr:uid="{00000000-0005-0000-0000-0000F1450000}"/>
    <cellStyle name="Millares 7 3 2 4 4" xfId="35634" xr:uid="{00000000-0005-0000-0000-0000F2450000}"/>
    <cellStyle name="Millares 7 3 2 5" xfId="11887" xr:uid="{00000000-0005-0000-0000-0000F3450000}"/>
    <cellStyle name="Millares 7 3 2 5 2" xfId="25455" xr:uid="{00000000-0005-0000-0000-0000F4450000}"/>
    <cellStyle name="Millares 7 3 2 5 2 2" xfId="52588" xr:uid="{00000000-0005-0000-0000-0000F5450000}"/>
    <cellStyle name="Millares 7 3 2 5 3" xfId="39026" xr:uid="{00000000-0005-0000-0000-0000F6450000}"/>
    <cellStyle name="Millares 7 3 2 6" xfId="18674" xr:uid="{00000000-0005-0000-0000-0000F7450000}"/>
    <cellStyle name="Millares 7 3 2 6 2" xfId="45807" xr:uid="{00000000-0005-0000-0000-0000F8450000}"/>
    <cellStyle name="Millares 7 3 2 7" xfId="32245" xr:uid="{00000000-0005-0000-0000-0000F9450000}"/>
    <cellStyle name="Millares 7 3 3" xfId="4895" xr:uid="{00000000-0005-0000-0000-0000FA450000}"/>
    <cellStyle name="Millares 7 3 3 2" xfId="4896" xr:uid="{00000000-0005-0000-0000-0000FB450000}"/>
    <cellStyle name="Millares 7 3 3 2 2" xfId="8491" xr:uid="{00000000-0005-0000-0000-0000FC450000}"/>
    <cellStyle name="Millares 7 3 3 2 2 2" xfId="15280" xr:uid="{00000000-0005-0000-0000-0000FD450000}"/>
    <cellStyle name="Millares 7 3 3 2 2 2 2" xfId="28848" xr:uid="{00000000-0005-0000-0000-0000FE450000}"/>
    <cellStyle name="Millares 7 3 3 2 2 2 2 2" xfId="55981" xr:uid="{00000000-0005-0000-0000-0000FF450000}"/>
    <cellStyle name="Millares 7 3 3 2 2 2 3" xfId="42419" xr:uid="{00000000-0005-0000-0000-000000460000}"/>
    <cellStyle name="Millares 7 3 3 2 2 3" xfId="22067" xr:uid="{00000000-0005-0000-0000-000001460000}"/>
    <cellStyle name="Millares 7 3 3 2 2 3 2" xfId="49200" xr:uid="{00000000-0005-0000-0000-000002460000}"/>
    <cellStyle name="Millares 7 3 3 2 2 4" xfId="35638" xr:uid="{00000000-0005-0000-0000-000003460000}"/>
    <cellStyle name="Millares 7 3 3 2 3" xfId="11891" xr:uid="{00000000-0005-0000-0000-000004460000}"/>
    <cellStyle name="Millares 7 3 3 2 3 2" xfId="25459" xr:uid="{00000000-0005-0000-0000-000005460000}"/>
    <cellStyle name="Millares 7 3 3 2 3 2 2" xfId="52592" xr:uid="{00000000-0005-0000-0000-000006460000}"/>
    <cellStyle name="Millares 7 3 3 2 3 3" xfId="39030" xr:uid="{00000000-0005-0000-0000-000007460000}"/>
    <cellStyle name="Millares 7 3 3 2 4" xfId="18678" xr:uid="{00000000-0005-0000-0000-000008460000}"/>
    <cellStyle name="Millares 7 3 3 2 4 2" xfId="45811" xr:uid="{00000000-0005-0000-0000-000009460000}"/>
    <cellStyle name="Millares 7 3 3 2 5" xfId="32249" xr:uid="{00000000-0005-0000-0000-00000A460000}"/>
    <cellStyle name="Millares 7 3 3 3" xfId="8490" xr:uid="{00000000-0005-0000-0000-00000B460000}"/>
    <cellStyle name="Millares 7 3 3 3 2" xfId="15279" xr:uid="{00000000-0005-0000-0000-00000C460000}"/>
    <cellStyle name="Millares 7 3 3 3 2 2" xfId="28847" xr:uid="{00000000-0005-0000-0000-00000D460000}"/>
    <cellStyle name="Millares 7 3 3 3 2 2 2" xfId="55980" xr:uid="{00000000-0005-0000-0000-00000E460000}"/>
    <cellStyle name="Millares 7 3 3 3 2 3" xfId="42418" xr:uid="{00000000-0005-0000-0000-00000F460000}"/>
    <cellStyle name="Millares 7 3 3 3 3" xfId="22066" xr:uid="{00000000-0005-0000-0000-000010460000}"/>
    <cellStyle name="Millares 7 3 3 3 3 2" xfId="49199" xr:uid="{00000000-0005-0000-0000-000011460000}"/>
    <cellStyle name="Millares 7 3 3 3 4" xfId="35637" xr:uid="{00000000-0005-0000-0000-000012460000}"/>
    <cellStyle name="Millares 7 3 3 4" xfId="11890" xr:uid="{00000000-0005-0000-0000-000013460000}"/>
    <cellStyle name="Millares 7 3 3 4 2" xfId="25458" xr:uid="{00000000-0005-0000-0000-000014460000}"/>
    <cellStyle name="Millares 7 3 3 4 2 2" xfId="52591" xr:uid="{00000000-0005-0000-0000-000015460000}"/>
    <cellStyle name="Millares 7 3 3 4 3" xfId="39029" xr:uid="{00000000-0005-0000-0000-000016460000}"/>
    <cellStyle name="Millares 7 3 3 5" xfId="18677" xr:uid="{00000000-0005-0000-0000-000017460000}"/>
    <cellStyle name="Millares 7 3 3 5 2" xfId="45810" xr:uid="{00000000-0005-0000-0000-000018460000}"/>
    <cellStyle name="Millares 7 3 3 6" xfId="32248" xr:uid="{00000000-0005-0000-0000-000019460000}"/>
    <cellStyle name="Millares 7 3 4" xfId="4897" xr:uid="{00000000-0005-0000-0000-00001A460000}"/>
    <cellStyle name="Millares 7 3 4 2" xfId="8492" xr:uid="{00000000-0005-0000-0000-00001B460000}"/>
    <cellStyle name="Millares 7 3 4 2 2" xfId="15281" xr:uid="{00000000-0005-0000-0000-00001C460000}"/>
    <cellStyle name="Millares 7 3 4 2 2 2" xfId="28849" xr:uid="{00000000-0005-0000-0000-00001D460000}"/>
    <cellStyle name="Millares 7 3 4 2 2 2 2" xfId="55982" xr:uid="{00000000-0005-0000-0000-00001E460000}"/>
    <cellStyle name="Millares 7 3 4 2 2 3" xfId="42420" xr:uid="{00000000-0005-0000-0000-00001F460000}"/>
    <cellStyle name="Millares 7 3 4 2 3" xfId="22068" xr:uid="{00000000-0005-0000-0000-000020460000}"/>
    <cellStyle name="Millares 7 3 4 2 3 2" xfId="49201" xr:uid="{00000000-0005-0000-0000-000021460000}"/>
    <cellStyle name="Millares 7 3 4 2 4" xfId="35639" xr:uid="{00000000-0005-0000-0000-000022460000}"/>
    <cellStyle name="Millares 7 3 4 3" xfId="11892" xr:uid="{00000000-0005-0000-0000-000023460000}"/>
    <cellStyle name="Millares 7 3 4 3 2" xfId="25460" xr:uid="{00000000-0005-0000-0000-000024460000}"/>
    <cellStyle name="Millares 7 3 4 3 2 2" xfId="52593" xr:uid="{00000000-0005-0000-0000-000025460000}"/>
    <cellStyle name="Millares 7 3 4 3 3" xfId="39031" xr:uid="{00000000-0005-0000-0000-000026460000}"/>
    <cellStyle name="Millares 7 3 4 4" xfId="18679" xr:uid="{00000000-0005-0000-0000-000027460000}"/>
    <cellStyle name="Millares 7 3 4 4 2" xfId="45812" xr:uid="{00000000-0005-0000-0000-000028460000}"/>
    <cellStyle name="Millares 7 3 4 5" xfId="32250" xr:uid="{00000000-0005-0000-0000-000029460000}"/>
    <cellStyle name="Millares 7 3 5" xfId="4898" xr:uid="{00000000-0005-0000-0000-00002A460000}"/>
    <cellStyle name="Millares 7 3 5 2" xfId="8493" xr:uid="{00000000-0005-0000-0000-00002B460000}"/>
    <cellStyle name="Millares 7 3 5 2 2" xfId="15282" xr:uid="{00000000-0005-0000-0000-00002C460000}"/>
    <cellStyle name="Millares 7 3 5 2 2 2" xfId="28850" xr:uid="{00000000-0005-0000-0000-00002D460000}"/>
    <cellStyle name="Millares 7 3 5 2 2 2 2" xfId="55983" xr:uid="{00000000-0005-0000-0000-00002E460000}"/>
    <cellStyle name="Millares 7 3 5 2 2 3" xfId="42421" xr:uid="{00000000-0005-0000-0000-00002F460000}"/>
    <cellStyle name="Millares 7 3 5 2 3" xfId="22069" xr:uid="{00000000-0005-0000-0000-000030460000}"/>
    <cellStyle name="Millares 7 3 5 2 3 2" xfId="49202" xr:uid="{00000000-0005-0000-0000-000031460000}"/>
    <cellStyle name="Millares 7 3 5 2 4" xfId="35640" xr:uid="{00000000-0005-0000-0000-000032460000}"/>
    <cellStyle name="Millares 7 3 5 3" xfId="11893" xr:uid="{00000000-0005-0000-0000-000033460000}"/>
    <cellStyle name="Millares 7 3 5 3 2" xfId="25461" xr:uid="{00000000-0005-0000-0000-000034460000}"/>
    <cellStyle name="Millares 7 3 5 3 2 2" xfId="52594" xr:uid="{00000000-0005-0000-0000-000035460000}"/>
    <cellStyle name="Millares 7 3 5 3 3" xfId="39032" xr:uid="{00000000-0005-0000-0000-000036460000}"/>
    <cellStyle name="Millares 7 3 5 4" xfId="18680" xr:uid="{00000000-0005-0000-0000-000037460000}"/>
    <cellStyle name="Millares 7 3 5 4 2" xfId="45813" xr:uid="{00000000-0005-0000-0000-000038460000}"/>
    <cellStyle name="Millares 7 3 5 5" xfId="32251" xr:uid="{00000000-0005-0000-0000-000039460000}"/>
    <cellStyle name="Millares 7 3 6" xfId="8486" xr:uid="{00000000-0005-0000-0000-00003A460000}"/>
    <cellStyle name="Millares 7 3 6 2" xfId="15275" xr:uid="{00000000-0005-0000-0000-00003B460000}"/>
    <cellStyle name="Millares 7 3 6 2 2" xfId="28843" xr:uid="{00000000-0005-0000-0000-00003C460000}"/>
    <cellStyle name="Millares 7 3 6 2 2 2" xfId="55976" xr:uid="{00000000-0005-0000-0000-00003D460000}"/>
    <cellStyle name="Millares 7 3 6 2 3" xfId="42414" xr:uid="{00000000-0005-0000-0000-00003E460000}"/>
    <cellStyle name="Millares 7 3 6 3" xfId="22062" xr:uid="{00000000-0005-0000-0000-00003F460000}"/>
    <cellStyle name="Millares 7 3 6 3 2" xfId="49195" xr:uid="{00000000-0005-0000-0000-000040460000}"/>
    <cellStyle name="Millares 7 3 6 4" xfId="35633" xr:uid="{00000000-0005-0000-0000-000041460000}"/>
    <cellStyle name="Millares 7 3 7" xfId="11886" xr:uid="{00000000-0005-0000-0000-000042460000}"/>
    <cellStyle name="Millares 7 3 7 2" xfId="25454" xr:uid="{00000000-0005-0000-0000-000043460000}"/>
    <cellStyle name="Millares 7 3 7 2 2" xfId="52587" xr:uid="{00000000-0005-0000-0000-000044460000}"/>
    <cellStyle name="Millares 7 3 7 3" xfId="39025" xr:uid="{00000000-0005-0000-0000-000045460000}"/>
    <cellStyle name="Millares 7 3 8" xfId="18673" xr:uid="{00000000-0005-0000-0000-000046460000}"/>
    <cellStyle name="Millares 7 3 8 2" xfId="45806" xr:uid="{00000000-0005-0000-0000-000047460000}"/>
    <cellStyle name="Millares 7 3 9" xfId="32244" xr:uid="{00000000-0005-0000-0000-000048460000}"/>
    <cellStyle name="Millares 7 4" xfId="4899" xr:uid="{00000000-0005-0000-0000-000049460000}"/>
    <cellStyle name="Millares 7 4 2" xfId="4900" xr:uid="{00000000-0005-0000-0000-00004A460000}"/>
    <cellStyle name="Millares 7 4 2 2" xfId="4901" xr:uid="{00000000-0005-0000-0000-00004B460000}"/>
    <cellStyle name="Millares 7 4 2 2 2" xfId="8496" xr:uid="{00000000-0005-0000-0000-00004C460000}"/>
    <cellStyle name="Millares 7 4 2 2 2 2" xfId="15285" xr:uid="{00000000-0005-0000-0000-00004D460000}"/>
    <cellStyle name="Millares 7 4 2 2 2 2 2" xfId="28853" xr:uid="{00000000-0005-0000-0000-00004E460000}"/>
    <cellStyle name="Millares 7 4 2 2 2 2 2 2" xfId="55986" xr:uid="{00000000-0005-0000-0000-00004F460000}"/>
    <cellStyle name="Millares 7 4 2 2 2 2 3" xfId="42424" xr:uid="{00000000-0005-0000-0000-000050460000}"/>
    <cellStyle name="Millares 7 4 2 2 2 3" xfId="22072" xr:uid="{00000000-0005-0000-0000-000051460000}"/>
    <cellStyle name="Millares 7 4 2 2 2 3 2" xfId="49205" xr:uid="{00000000-0005-0000-0000-000052460000}"/>
    <cellStyle name="Millares 7 4 2 2 2 4" xfId="35643" xr:uid="{00000000-0005-0000-0000-000053460000}"/>
    <cellStyle name="Millares 7 4 2 2 3" xfId="11896" xr:uid="{00000000-0005-0000-0000-000054460000}"/>
    <cellStyle name="Millares 7 4 2 2 3 2" xfId="25464" xr:uid="{00000000-0005-0000-0000-000055460000}"/>
    <cellStyle name="Millares 7 4 2 2 3 2 2" xfId="52597" xr:uid="{00000000-0005-0000-0000-000056460000}"/>
    <cellStyle name="Millares 7 4 2 2 3 3" xfId="39035" xr:uid="{00000000-0005-0000-0000-000057460000}"/>
    <cellStyle name="Millares 7 4 2 2 4" xfId="18683" xr:uid="{00000000-0005-0000-0000-000058460000}"/>
    <cellStyle name="Millares 7 4 2 2 4 2" xfId="45816" xr:uid="{00000000-0005-0000-0000-000059460000}"/>
    <cellStyle name="Millares 7 4 2 2 5" xfId="32254" xr:uid="{00000000-0005-0000-0000-00005A460000}"/>
    <cellStyle name="Millares 7 4 2 3" xfId="4902" xr:uid="{00000000-0005-0000-0000-00005B460000}"/>
    <cellStyle name="Millares 7 4 2 3 2" xfId="8497" xr:uid="{00000000-0005-0000-0000-00005C460000}"/>
    <cellStyle name="Millares 7 4 2 3 2 2" xfId="15286" xr:uid="{00000000-0005-0000-0000-00005D460000}"/>
    <cellStyle name="Millares 7 4 2 3 2 2 2" xfId="28854" xr:uid="{00000000-0005-0000-0000-00005E460000}"/>
    <cellStyle name="Millares 7 4 2 3 2 2 2 2" xfId="55987" xr:uid="{00000000-0005-0000-0000-00005F460000}"/>
    <cellStyle name="Millares 7 4 2 3 2 2 3" xfId="42425" xr:uid="{00000000-0005-0000-0000-000060460000}"/>
    <cellStyle name="Millares 7 4 2 3 2 3" xfId="22073" xr:uid="{00000000-0005-0000-0000-000061460000}"/>
    <cellStyle name="Millares 7 4 2 3 2 3 2" xfId="49206" xr:uid="{00000000-0005-0000-0000-000062460000}"/>
    <cellStyle name="Millares 7 4 2 3 2 4" xfId="35644" xr:uid="{00000000-0005-0000-0000-000063460000}"/>
    <cellStyle name="Millares 7 4 2 3 3" xfId="11897" xr:uid="{00000000-0005-0000-0000-000064460000}"/>
    <cellStyle name="Millares 7 4 2 3 3 2" xfId="25465" xr:uid="{00000000-0005-0000-0000-000065460000}"/>
    <cellStyle name="Millares 7 4 2 3 3 2 2" xfId="52598" xr:uid="{00000000-0005-0000-0000-000066460000}"/>
    <cellStyle name="Millares 7 4 2 3 3 3" xfId="39036" xr:uid="{00000000-0005-0000-0000-000067460000}"/>
    <cellStyle name="Millares 7 4 2 3 4" xfId="18684" xr:uid="{00000000-0005-0000-0000-000068460000}"/>
    <cellStyle name="Millares 7 4 2 3 4 2" xfId="45817" xr:uid="{00000000-0005-0000-0000-000069460000}"/>
    <cellStyle name="Millares 7 4 2 3 5" xfId="32255" xr:uid="{00000000-0005-0000-0000-00006A460000}"/>
    <cellStyle name="Millares 7 4 2 4" xfId="8495" xr:uid="{00000000-0005-0000-0000-00006B460000}"/>
    <cellStyle name="Millares 7 4 2 4 2" xfId="15284" xr:uid="{00000000-0005-0000-0000-00006C460000}"/>
    <cellStyle name="Millares 7 4 2 4 2 2" xfId="28852" xr:uid="{00000000-0005-0000-0000-00006D460000}"/>
    <cellStyle name="Millares 7 4 2 4 2 2 2" xfId="55985" xr:uid="{00000000-0005-0000-0000-00006E460000}"/>
    <cellStyle name="Millares 7 4 2 4 2 3" xfId="42423" xr:uid="{00000000-0005-0000-0000-00006F460000}"/>
    <cellStyle name="Millares 7 4 2 4 3" xfId="22071" xr:uid="{00000000-0005-0000-0000-000070460000}"/>
    <cellStyle name="Millares 7 4 2 4 3 2" xfId="49204" xr:uid="{00000000-0005-0000-0000-000071460000}"/>
    <cellStyle name="Millares 7 4 2 4 4" xfId="35642" xr:uid="{00000000-0005-0000-0000-000072460000}"/>
    <cellStyle name="Millares 7 4 2 5" xfId="11895" xr:uid="{00000000-0005-0000-0000-000073460000}"/>
    <cellStyle name="Millares 7 4 2 5 2" xfId="25463" xr:uid="{00000000-0005-0000-0000-000074460000}"/>
    <cellStyle name="Millares 7 4 2 5 2 2" xfId="52596" xr:uid="{00000000-0005-0000-0000-000075460000}"/>
    <cellStyle name="Millares 7 4 2 5 3" xfId="39034" xr:uid="{00000000-0005-0000-0000-000076460000}"/>
    <cellStyle name="Millares 7 4 2 6" xfId="18682" xr:uid="{00000000-0005-0000-0000-000077460000}"/>
    <cellStyle name="Millares 7 4 2 6 2" xfId="45815" xr:uid="{00000000-0005-0000-0000-000078460000}"/>
    <cellStyle name="Millares 7 4 2 7" xfId="32253" xr:uid="{00000000-0005-0000-0000-000079460000}"/>
    <cellStyle name="Millares 7 4 3" xfId="4903" xr:uid="{00000000-0005-0000-0000-00007A460000}"/>
    <cellStyle name="Millares 7 4 3 2" xfId="8498" xr:uid="{00000000-0005-0000-0000-00007B460000}"/>
    <cellStyle name="Millares 7 4 3 2 2" xfId="15287" xr:uid="{00000000-0005-0000-0000-00007C460000}"/>
    <cellStyle name="Millares 7 4 3 2 2 2" xfId="28855" xr:uid="{00000000-0005-0000-0000-00007D460000}"/>
    <cellStyle name="Millares 7 4 3 2 2 2 2" xfId="55988" xr:uid="{00000000-0005-0000-0000-00007E460000}"/>
    <cellStyle name="Millares 7 4 3 2 2 3" xfId="42426" xr:uid="{00000000-0005-0000-0000-00007F460000}"/>
    <cellStyle name="Millares 7 4 3 2 3" xfId="22074" xr:uid="{00000000-0005-0000-0000-000080460000}"/>
    <cellStyle name="Millares 7 4 3 2 3 2" xfId="49207" xr:uid="{00000000-0005-0000-0000-000081460000}"/>
    <cellStyle name="Millares 7 4 3 2 4" xfId="35645" xr:uid="{00000000-0005-0000-0000-000082460000}"/>
    <cellStyle name="Millares 7 4 3 3" xfId="11898" xr:uid="{00000000-0005-0000-0000-000083460000}"/>
    <cellStyle name="Millares 7 4 3 3 2" xfId="25466" xr:uid="{00000000-0005-0000-0000-000084460000}"/>
    <cellStyle name="Millares 7 4 3 3 2 2" xfId="52599" xr:uid="{00000000-0005-0000-0000-000085460000}"/>
    <cellStyle name="Millares 7 4 3 3 3" xfId="39037" xr:uid="{00000000-0005-0000-0000-000086460000}"/>
    <cellStyle name="Millares 7 4 3 4" xfId="18685" xr:uid="{00000000-0005-0000-0000-000087460000}"/>
    <cellStyle name="Millares 7 4 3 4 2" xfId="45818" xr:uid="{00000000-0005-0000-0000-000088460000}"/>
    <cellStyle name="Millares 7 4 3 5" xfId="32256" xr:uid="{00000000-0005-0000-0000-000089460000}"/>
    <cellStyle name="Millares 7 4 4" xfId="4904" xr:uid="{00000000-0005-0000-0000-00008A460000}"/>
    <cellStyle name="Millares 7 4 4 2" xfId="8499" xr:uid="{00000000-0005-0000-0000-00008B460000}"/>
    <cellStyle name="Millares 7 4 4 2 2" xfId="15288" xr:uid="{00000000-0005-0000-0000-00008C460000}"/>
    <cellStyle name="Millares 7 4 4 2 2 2" xfId="28856" xr:uid="{00000000-0005-0000-0000-00008D460000}"/>
    <cellStyle name="Millares 7 4 4 2 2 2 2" xfId="55989" xr:uid="{00000000-0005-0000-0000-00008E460000}"/>
    <cellStyle name="Millares 7 4 4 2 2 3" xfId="42427" xr:uid="{00000000-0005-0000-0000-00008F460000}"/>
    <cellStyle name="Millares 7 4 4 2 3" xfId="22075" xr:uid="{00000000-0005-0000-0000-000090460000}"/>
    <cellStyle name="Millares 7 4 4 2 3 2" xfId="49208" xr:uid="{00000000-0005-0000-0000-000091460000}"/>
    <cellStyle name="Millares 7 4 4 2 4" xfId="35646" xr:uid="{00000000-0005-0000-0000-000092460000}"/>
    <cellStyle name="Millares 7 4 4 3" xfId="11899" xr:uid="{00000000-0005-0000-0000-000093460000}"/>
    <cellStyle name="Millares 7 4 4 3 2" xfId="25467" xr:uid="{00000000-0005-0000-0000-000094460000}"/>
    <cellStyle name="Millares 7 4 4 3 2 2" xfId="52600" xr:uid="{00000000-0005-0000-0000-000095460000}"/>
    <cellStyle name="Millares 7 4 4 3 3" xfId="39038" xr:uid="{00000000-0005-0000-0000-000096460000}"/>
    <cellStyle name="Millares 7 4 4 4" xfId="18686" xr:uid="{00000000-0005-0000-0000-000097460000}"/>
    <cellStyle name="Millares 7 4 4 4 2" xfId="45819" xr:uid="{00000000-0005-0000-0000-000098460000}"/>
    <cellStyle name="Millares 7 4 4 5" xfId="32257" xr:uid="{00000000-0005-0000-0000-000099460000}"/>
    <cellStyle name="Millares 7 4 5" xfId="8494" xr:uid="{00000000-0005-0000-0000-00009A460000}"/>
    <cellStyle name="Millares 7 4 5 2" xfId="15283" xr:uid="{00000000-0005-0000-0000-00009B460000}"/>
    <cellStyle name="Millares 7 4 5 2 2" xfId="28851" xr:uid="{00000000-0005-0000-0000-00009C460000}"/>
    <cellStyle name="Millares 7 4 5 2 2 2" xfId="55984" xr:uid="{00000000-0005-0000-0000-00009D460000}"/>
    <cellStyle name="Millares 7 4 5 2 3" xfId="42422" xr:uid="{00000000-0005-0000-0000-00009E460000}"/>
    <cellStyle name="Millares 7 4 5 3" xfId="22070" xr:uid="{00000000-0005-0000-0000-00009F460000}"/>
    <cellStyle name="Millares 7 4 5 3 2" xfId="49203" xr:uid="{00000000-0005-0000-0000-0000A0460000}"/>
    <cellStyle name="Millares 7 4 5 4" xfId="35641" xr:uid="{00000000-0005-0000-0000-0000A1460000}"/>
    <cellStyle name="Millares 7 4 6" xfId="11894" xr:uid="{00000000-0005-0000-0000-0000A2460000}"/>
    <cellStyle name="Millares 7 4 6 2" xfId="25462" xr:uid="{00000000-0005-0000-0000-0000A3460000}"/>
    <cellStyle name="Millares 7 4 6 2 2" xfId="52595" xr:uid="{00000000-0005-0000-0000-0000A4460000}"/>
    <cellStyle name="Millares 7 4 6 3" xfId="39033" xr:uid="{00000000-0005-0000-0000-0000A5460000}"/>
    <cellStyle name="Millares 7 4 7" xfId="18681" xr:uid="{00000000-0005-0000-0000-0000A6460000}"/>
    <cellStyle name="Millares 7 4 7 2" xfId="45814" xr:uid="{00000000-0005-0000-0000-0000A7460000}"/>
    <cellStyle name="Millares 7 4 8" xfId="32252" xr:uid="{00000000-0005-0000-0000-0000A8460000}"/>
    <cellStyle name="Millares 7 5" xfId="4905" xr:uid="{00000000-0005-0000-0000-0000A9460000}"/>
    <cellStyle name="Millares 7 5 2" xfId="4906" xr:uid="{00000000-0005-0000-0000-0000AA460000}"/>
    <cellStyle name="Millares 7 5 2 2" xfId="8501" xr:uid="{00000000-0005-0000-0000-0000AB460000}"/>
    <cellStyle name="Millares 7 5 2 2 2" xfId="15290" xr:uid="{00000000-0005-0000-0000-0000AC460000}"/>
    <cellStyle name="Millares 7 5 2 2 2 2" xfId="28858" xr:uid="{00000000-0005-0000-0000-0000AD460000}"/>
    <cellStyle name="Millares 7 5 2 2 2 2 2" xfId="55991" xr:uid="{00000000-0005-0000-0000-0000AE460000}"/>
    <cellStyle name="Millares 7 5 2 2 2 3" xfId="42429" xr:uid="{00000000-0005-0000-0000-0000AF460000}"/>
    <cellStyle name="Millares 7 5 2 2 3" xfId="22077" xr:uid="{00000000-0005-0000-0000-0000B0460000}"/>
    <cellStyle name="Millares 7 5 2 2 3 2" xfId="49210" xr:uid="{00000000-0005-0000-0000-0000B1460000}"/>
    <cellStyle name="Millares 7 5 2 2 4" xfId="35648" xr:uid="{00000000-0005-0000-0000-0000B2460000}"/>
    <cellStyle name="Millares 7 5 2 3" xfId="11901" xr:uid="{00000000-0005-0000-0000-0000B3460000}"/>
    <cellStyle name="Millares 7 5 2 3 2" xfId="25469" xr:uid="{00000000-0005-0000-0000-0000B4460000}"/>
    <cellStyle name="Millares 7 5 2 3 2 2" xfId="52602" xr:uid="{00000000-0005-0000-0000-0000B5460000}"/>
    <cellStyle name="Millares 7 5 2 3 3" xfId="39040" xr:uid="{00000000-0005-0000-0000-0000B6460000}"/>
    <cellStyle name="Millares 7 5 2 4" xfId="18688" xr:uid="{00000000-0005-0000-0000-0000B7460000}"/>
    <cellStyle name="Millares 7 5 2 4 2" xfId="45821" xr:uid="{00000000-0005-0000-0000-0000B8460000}"/>
    <cellStyle name="Millares 7 5 2 5" xfId="32259" xr:uid="{00000000-0005-0000-0000-0000B9460000}"/>
    <cellStyle name="Millares 7 5 3" xfId="4907" xr:uid="{00000000-0005-0000-0000-0000BA460000}"/>
    <cellStyle name="Millares 7 5 3 2" xfId="8502" xr:uid="{00000000-0005-0000-0000-0000BB460000}"/>
    <cellStyle name="Millares 7 5 3 2 2" xfId="15291" xr:uid="{00000000-0005-0000-0000-0000BC460000}"/>
    <cellStyle name="Millares 7 5 3 2 2 2" xfId="28859" xr:uid="{00000000-0005-0000-0000-0000BD460000}"/>
    <cellStyle name="Millares 7 5 3 2 2 2 2" xfId="55992" xr:uid="{00000000-0005-0000-0000-0000BE460000}"/>
    <cellStyle name="Millares 7 5 3 2 2 3" xfId="42430" xr:uid="{00000000-0005-0000-0000-0000BF460000}"/>
    <cellStyle name="Millares 7 5 3 2 3" xfId="22078" xr:uid="{00000000-0005-0000-0000-0000C0460000}"/>
    <cellStyle name="Millares 7 5 3 2 3 2" xfId="49211" xr:uid="{00000000-0005-0000-0000-0000C1460000}"/>
    <cellStyle name="Millares 7 5 3 2 4" xfId="35649" xr:uid="{00000000-0005-0000-0000-0000C2460000}"/>
    <cellStyle name="Millares 7 5 3 3" xfId="11902" xr:uid="{00000000-0005-0000-0000-0000C3460000}"/>
    <cellStyle name="Millares 7 5 3 3 2" xfId="25470" xr:uid="{00000000-0005-0000-0000-0000C4460000}"/>
    <cellStyle name="Millares 7 5 3 3 2 2" xfId="52603" xr:uid="{00000000-0005-0000-0000-0000C5460000}"/>
    <cellStyle name="Millares 7 5 3 3 3" xfId="39041" xr:uid="{00000000-0005-0000-0000-0000C6460000}"/>
    <cellStyle name="Millares 7 5 3 4" xfId="18689" xr:uid="{00000000-0005-0000-0000-0000C7460000}"/>
    <cellStyle name="Millares 7 5 3 4 2" xfId="45822" xr:uid="{00000000-0005-0000-0000-0000C8460000}"/>
    <cellStyle name="Millares 7 5 3 5" xfId="32260" xr:uid="{00000000-0005-0000-0000-0000C9460000}"/>
    <cellStyle name="Millares 7 5 4" xfId="8500" xr:uid="{00000000-0005-0000-0000-0000CA460000}"/>
    <cellStyle name="Millares 7 5 4 2" xfId="15289" xr:uid="{00000000-0005-0000-0000-0000CB460000}"/>
    <cellStyle name="Millares 7 5 4 2 2" xfId="28857" xr:uid="{00000000-0005-0000-0000-0000CC460000}"/>
    <cellStyle name="Millares 7 5 4 2 2 2" xfId="55990" xr:uid="{00000000-0005-0000-0000-0000CD460000}"/>
    <cellStyle name="Millares 7 5 4 2 3" xfId="42428" xr:uid="{00000000-0005-0000-0000-0000CE460000}"/>
    <cellStyle name="Millares 7 5 4 3" xfId="22076" xr:uid="{00000000-0005-0000-0000-0000CF460000}"/>
    <cellStyle name="Millares 7 5 4 3 2" xfId="49209" xr:uid="{00000000-0005-0000-0000-0000D0460000}"/>
    <cellStyle name="Millares 7 5 4 4" xfId="35647" xr:uid="{00000000-0005-0000-0000-0000D1460000}"/>
    <cellStyle name="Millares 7 5 5" xfId="11900" xr:uid="{00000000-0005-0000-0000-0000D2460000}"/>
    <cellStyle name="Millares 7 5 5 2" xfId="25468" xr:uid="{00000000-0005-0000-0000-0000D3460000}"/>
    <cellStyle name="Millares 7 5 5 2 2" xfId="52601" xr:uid="{00000000-0005-0000-0000-0000D4460000}"/>
    <cellStyle name="Millares 7 5 5 3" xfId="39039" xr:uid="{00000000-0005-0000-0000-0000D5460000}"/>
    <cellStyle name="Millares 7 5 6" xfId="18687" xr:uid="{00000000-0005-0000-0000-0000D6460000}"/>
    <cellStyle name="Millares 7 5 6 2" xfId="45820" xr:uid="{00000000-0005-0000-0000-0000D7460000}"/>
    <cellStyle name="Millares 7 5 7" xfId="32258" xr:uid="{00000000-0005-0000-0000-0000D8460000}"/>
    <cellStyle name="Millares 7 6" xfId="4908" xr:uid="{00000000-0005-0000-0000-0000D9460000}"/>
    <cellStyle name="Millares 7 6 2" xfId="4909" xr:uid="{00000000-0005-0000-0000-0000DA460000}"/>
    <cellStyle name="Millares 7 6 2 2" xfId="8504" xr:uid="{00000000-0005-0000-0000-0000DB460000}"/>
    <cellStyle name="Millares 7 6 2 2 2" xfId="15293" xr:uid="{00000000-0005-0000-0000-0000DC460000}"/>
    <cellStyle name="Millares 7 6 2 2 2 2" xfId="28861" xr:uid="{00000000-0005-0000-0000-0000DD460000}"/>
    <cellStyle name="Millares 7 6 2 2 2 2 2" xfId="55994" xr:uid="{00000000-0005-0000-0000-0000DE460000}"/>
    <cellStyle name="Millares 7 6 2 2 2 3" xfId="42432" xr:uid="{00000000-0005-0000-0000-0000DF460000}"/>
    <cellStyle name="Millares 7 6 2 2 3" xfId="22080" xr:uid="{00000000-0005-0000-0000-0000E0460000}"/>
    <cellStyle name="Millares 7 6 2 2 3 2" xfId="49213" xr:uid="{00000000-0005-0000-0000-0000E1460000}"/>
    <cellStyle name="Millares 7 6 2 2 4" xfId="35651" xr:uid="{00000000-0005-0000-0000-0000E2460000}"/>
    <cellStyle name="Millares 7 6 2 3" xfId="11904" xr:uid="{00000000-0005-0000-0000-0000E3460000}"/>
    <cellStyle name="Millares 7 6 2 3 2" xfId="25472" xr:uid="{00000000-0005-0000-0000-0000E4460000}"/>
    <cellStyle name="Millares 7 6 2 3 2 2" xfId="52605" xr:uid="{00000000-0005-0000-0000-0000E5460000}"/>
    <cellStyle name="Millares 7 6 2 3 3" xfId="39043" xr:uid="{00000000-0005-0000-0000-0000E6460000}"/>
    <cellStyle name="Millares 7 6 2 4" xfId="18691" xr:uid="{00000000-0005-0000-0000-0000E7460000}"/>
    <cellStyle name="Millares 7 6 2 4 2" xfId="45824" xr:uid="{00000000-0005-0000-0000-0000E8460000}"/>
    <cellStyle name="Millares 7 6 2 5" xfId="32262" xr:uid="{00000000-0005-0000-0000-0000E9460000}"/>
    <cellStyle name="Millares 7 6 3" xfId="4910" xr:uid="{00000000-0005-0000-0000-0000EA460000}"/>
    <cellStyle name="Millares 7 6 3 2" xfId="8505" xr:uid="{00000000-0005-0000-0000-0000EB460000}"/>
    <cellStyle name="Millares 7 6 3 2 2" xfId="15294" xr:uid="{00000000-0005-0000-0000-0000EC460000}"/>
    <cellStyle name="Millares 7 6 3 2 2 2" xfId="28862" xr:uid="{00000000-0005-0000-0000-0000ED460000}"/>
    <cellStyle name="Millares 7 6 3 2 2 2 2" xfId="55995" xr:uid="{00000000-0005-0000-0000-0000EE460000}"/>
    <cellStyle name="Millares 7 6 3 2 2 3" xfId="42433" xr:uid="{00000000-0005-0000-0000-0000EF460000}"/>
    <cellStyle name="Millares 7 6 3 2 3" xfId="22081" xr:uid="{00000000-0005-0000-0000-0000F0460000}"/>
    <cellStyle name="Millares 7 6 3 2 3 2" xfId="49214" xr:uid="{00000000-0005-0000-0000-0000F1460000}"/>
    <cellStyle name="Millares 7 6 3 2 4" xfId="35652" xr:uid="{00000000-0005-0000-0000-0000F2460000}"/>
    <cellStyle name="Millares 7 6 3 3" xfId="11905" xr:uid="{00000000-0005-0000-0000-0000F3460000}"/>
    <cellStyle name="Millares 7 6 3 3 2" xfId="25473" xr:uid="{00000000-0005-0000-0000-0000F4460000}"/>
    <cellStyle name="Millares 7 6 3 3 2 2" xfId="52606" xr:uid="{00000000-0005-0000-0000-0000F5460000}"/>
    <cellStyle name="Millares 7 6 3 3 3" xfId="39044" xr:uid="{00000000-0005-0000-0000-0000F6460000}"/>
    <cellStyle name="Millares 7 6 3 4" xfId="18692" xr:uid="{00000000-0005-0000-0000-0000F7460000}"/>
    <cellStyle name="Millares 7 6 3 4 2" xfId="45825" xr:uid="{00000000-0005-0000-0000-0000F8460000}"/>
    <cellStyle name="Millares 7 6 3 5" xfId="32263" xr:uid="{00000000-0005-0000-0000-0000F9460000}"/>
    <cellStyle name="Millares 7 6 4" xfId="8503" xr:uid="{00000000-0005-0000-0000-0000FA460000}"/>
    <cellStyle name="Millares 7 6 4 2" xfId="15292" xr:uid="{00000000-0005-0000-0000-0000FB460000}"/>
    <cellStyle name="Millares 7 6 4 2 2" xfId="28860" xr:uid="{00000000-0005-0000-0000-0000FC460000}"/>
    <cellStyle name="Millares 7 6 4 2 2 2" xfId="55993" xr:uid="{00000000-0005-0000-0000-0000FD460000}"/>
    <cellStyle name="Millares 7 6 4 2 3" xfId="42431" xr:uid="{00000000-0005-0000-0000-0000FE460000}"/>
    <cellStyle name="Millares 7 6 4 3" xfId="22079" xr:uid="{00000000-0005-0000-0000-0000FF460000}"/>
    <cellStyle name="Millares 7 6 4 3 2" xfId="49212" xr:uid="{00000000-0005-0000-0000-000000470000}"/>
    <cellStyle name="Millares 7 6 4 4" xfId="35650" xr:uid="{00000000-0005-0000-0000-000001470000}"/>
    <cellStyle name="Millares 7 6 5" xfId="11903" xr:uid="{00000000-0005-0000-0000-000002470000}"/>
    <cellStyle name="Millares 7 6 5 2" xfId="25471" xr:uid="{00000000-0005-0000-0000-000003470000}"/>
    <cellStyle name="Millares 7 6 5 2 2" xfId="52604" xr:uid="{00000000-0005-0000-0000-000004470000}"/>
    <cellStyle name="Millares 7 6 5 3" xfId="39042" xr:uid="{00000000-0005-0000-0000-000005470000}"/>
    <cellStyle name="Millares 7 6 6" xfId="18690" xr:uid="{00000000-0005-0000-0000-000006470000}"/>
    <cellStyle name="Millares 7 6 6 2" xfId="45823" xr:uid="{00000000-0005-0000-0000-000007470000}"/>
    <cellStyle name="Millares 7 6 7" xfId="32261" xr:uid="{00000000-0005-0000-0000-000008470000}"/>
    <cellStyle name="Millares 7 7" xfId="4911" xr:uid="{00000000-0005-0000-0000-000009470000}"/>
    <cellStyle name="Millares 7 7 2" xfId="8506" xr:uid="{00000000-0005-0000-0000-00000A470000}"/>
    <cellStyle name="Millares 7 7 2 2" xfId="15295" xr:uid="{00000000-0005-0000-0000-00000B470000}"/>
    <cellStyle name="Millares 7 7 2 2 2" xfId="28863" xr:uid="{00000000-0005-0000-0000-00000C470000}"/>
    <cellStyle name="Millares 7 7 2 2 2 2" xfId="55996" xr:uid="{00000000-0005-0000-0000-00000D470000}"/>
    <cellStyle name="Millares 7 7 2 2 3" xfId="42434" xr:uid="{00000000-0005-0000-0000-00000E470000}"/>
    <cellStyle name="Millares 7 7 2 3" xfId="22082" xr:uid="{00000000-0005-0000-0000-00000F470000}"/>
    <cellStyle name="Millares 7 7 2 3 2" xfId="49215" xr:uid="{00000000-0005-0000-0000-000010470000}"/>
    <cellStyle name="Millares 7 7 2 4" xfId="35653" xr:uid="{00000000-0005-0000-0000-000011470000}"/>
    <cellStyle name="Millares 7 7 3" xfId="11906" xr:uid="{00000000-0005-0000-0000-000012470000}"/>
    <cellStyle name="Millares 7 7 3 2" xfId="25474" xr:uid="{00000000-0005-0000-0000-000013470000}"/>
    <cellStyle name="Millares 7 7 3 2 2" xfId="52607" xr:uid="{00000000-0005-0000-0000-000014470000}"/>
    <cellStyle name="Millares 7 7 3 3" xfId="39045" xr:uid="{00000000-0005-0000-0000-000015470000}"/>
    <cellStyle name="Millares 7 7 4" xfId="18693" xr:uid="{00000000-0005-0000-0000-000016470000}"/>
    <cellStyle name="Millares 7 7 4 2" xfId="45826" xr:uid="{00000000-0005-0000-0000-000017470000}"/>
    <cellStyle name="Millares 7 7 5" xfId="32264" xr:uid="{00000000-0005-0000-0000-000018470000}"/>
    <cellStyle name="Millares 7 8" xfId="4912" xr:uid="{00000000-0005-0000-0000-000019470000}"/>
    <cellStyle name="Millares 7 8 2" xfId="8507" xr:uid="{00000000-0005-0000-0000-00001A470000}"/>
    <cellStyle name="Millares 7 8 2 2" xfId="15296" xr:uid="{00000000-0005-0000-0000-00001B470000}"/>
    <cellStyle name="Millares 7 8 2 2 2" xfId="28864" xr:uid="{00000000-0005-0000-0000-00001C470000}"/>
    <cellStyle name="Millares 7 8 2 2 2 2" xfId="55997" xr:uid="{00000000-0005-0000-0000-00001D470000}"/>
    <cellStyle name="Millares 7 8 2 2 3" xfId="42435" xr:uid="{00000000-0005-0000-0000-00001E470000}"/>
    <cellStyle name="Millares 7 8 2 3" xfId="22083" xr:uid="{00000000-0005-0000-0000-00001F470000}"/>
    <cellStyle name="Millares 7 8 2 3 2" xfId="49216" xr:uid="{00000000-0005-0000-0000-000020470000}"/>
    <cellStyle name="Millares 7 8 2 4" xfId="35654" xr:uid="{00000000-0005-0000-0000-000021470000}"/>
    <cellStyle name="Millares 7 8 3" xfId="11907" xr:uid="{00000000-0005-0000-0000-000022470000}"/>
    <cellStyle name="Millares 7 8 3 2" xfId="25475" xr:uid="{00000000-0005-0000-0000-000023470000}"/>
    <cellStyle name="Millares 7 8 3 2 2" xfId="52608" xr:uid="{00000000-0005-0000-0000-000024470000}"/>
    <cellStyle name="Millares 7 8 3 3" xfId="39046" xr:uid="{00000000-0005-0000-0000-000025470000}"/>
    <cellStyle name="Millares 7 8 4" xfId="18694" xr:uid="{00000000-0005-0000-0000-000026470000}"/>
    <cellStyle name="Millares 7 8 4 2" xfId="45827" xr:uid="{00000000-0005-0000-0000-000027470000}"/>
    <cellStyle name="Millares 7 8 5" xfId="32265" xr:uid="{00000000-0005-0000-0000-000028470000}"/>
    <cellStyle name="Millares 8" xfId="2468" xr:uid="{00000000-0005-0000-0000-000029470000}"/>
    <cellStyle name="Millares 8 2" xfId="4913" xr:uid="{00000000-0005-0000-0000-00002A470000}"/>
    <cellStyle name="Millares 8 2 2" xfId="4914" xr:uid="{00000000-0005-0000-0000-00002B470000}"/>
    <cellStyle name="Millares 8 2 2 2" xfId="4915" xr:uid="{00000000-0005-0000-0000-00002C470000}"/>
    <cellStyle name="Millares 8 2 2 2 2" xfId="8510" xr:uid="{00000000-0005-0000-0000-00002D470000}"/>
    <cellStyle name="Millares 8 2 2 2 2 2" xfId="15299" xr:uid="{00000000-0005-0000-0000-00002E470000}"/>
    <cellStyle name="Millares 8 2 2 2 2 2 2" xfId="28867" xr:uid="{00000000-0005-0000-0000-00002F470000}"/>
    <cellStyle name="Millares 8 2 2 2 2 2 2 2" xfId="56000" xr:uid="{00000000-0005-0000-0000-000030470000}"/>
    <cellStyle name="Millares 8 2 2 2 2 2 3" xfId="42438" xr:uid="{00000000-0005-0000-0000-000031470000}"/>
    <cellStyle name="Millares 8 2 2 2 2 3" xfId="22086" xr:uid="{00000000-0005-0000-0000-000032470000}"/>
    <cellStyle name="Millares 8 2 2 2 2 3 2" xfId="49219" xr:uid="{00000000-0005-0000-0000-000033470000}"/>
    <cellStyle name="Millares 8 2 2 2 2 4" xfId="35657" xr:uid="{00000000-0005-0000-0000-000034470000}"/>
    <cellStyle name="Millares 8 2 2 2 3" xfId="11910" xr:uid="{00000000-0005-0000-0000-000035470000}"/>
    <cellStyle name="Millares 8 2 2 2 3 2" xfId="25478" xr:uid="{00000000-0005-0000-0000-000036470000}"/>
    <cellStyle name="Millares 8 2 2 2 3 2 2" xfId="52611" xr:uid="{00000000-0005-0000-0000-000037470000}"/>
    <cellStyle name="Millares 8 2 2 2 3 3" xfId="39049" xr:uid="{00000000-0005-0000-0000-000038470000}"/>
    <cellStyle name="Millares 8 2 2 2 4" xfId="18697" xr:uid="{00000000-0005-0000-0000-000039470000}"/>
    <cellStyle name="Millares 8 2 2 2 4 2" xfId="45830" xr:uid="{00000000-0005-0000-0000-00003A470000}"/>
    <cellStyle name="Millares 8 2 2 2 5" xfId="32268" xr:uid="{00000000-0005-0000-0000-00003B470000}"/>
    <cellStyle name="Millares 8 2 2 3" xfId="4916" xr:uid="{00000000-0005-0000-0000-00003C470000}"/>
    <cellStyle name="Millares 8 2 2 3 2" xfId="8511" xr:uid="{00000000-0005-0000-0000-00003D470000}"/>
    <cellStyle name="Millares 8 2 2 3 2 2" xfId="15300" xr:uid="{00000000-0005-0000-0000-00003E470000}"/>
    <cellStyle name="Millares 8 2 2 3 2 2 2" xfId="28868" xr:uid="{00000000-0005-0000-0000-00003F470000}"/>
    <cellStyle name="Millares 8 2 2 3 2 2 2 2" xfId="56001" xr:uid="{00000000-0005-0000-0000-000040470000}"/>
    <cellStyle name="Millares 8 2 2 3 2 2 3" xfId="42439" xr:uid="{00000000-0005-0000-0000-000041470000}"/>
    <cellStyle name="Millares 8 2 2 3 2 3" xfId="22087" xr:uid="{00000000-0005-0000-0000-000042470000}"/>
    <cellStyle name="Millares 8 2 2 3 2 3 2" xfId="49220" xr:uid="{00000000-0005-0000-0000-000043470000}"/>
    <cellStyle name="Millares 8 2 2 3 2 4" xfId="35658" xr:uid="{00000000-0005-0000-0000-000044470000}"/>
    <cellStyle name="Millares 8 2 2 3 3" xfId="11911" xr:uid="{00000000-0005-0000-0000-000045470000}"/>
    <cellStyle name="Millares 8 2 2 3 3 2" xfId="25479" xr:uid="{00000000-0005-0000-0000-000046470000}"/>
    <cellStyle name="Millares 8 2 2 3 3 2 2" xfId="52612" xr:uid="{00000000-0005-0000-0000-000047470000}"/>
    <cellStyle name="Millares 8 2 2 3 3 3" xfId="39050" xr:uid="{00000000-0005-0000-0000-000048470000}"/>
    <cellStyle name="Millares 8 2 2 3 4" xfId="18698" xr:uid="{00000000-0005-0000-0000-000049470000}"/>
    <cellStyle name="Millares 8 2 2 3 4 2" xfId="45831" xr:uid="{00000000-0005-0000-0000-00004A470000}"/>
    <cellStyle name="Millares 8 2 2 3 5" xfId="32269" xr:uid="{00000000-0005-0000-0000-00004B470000}"/>
    <cellStyle name="Millares 8 2 2 4" xfId="8509" xr:uid="{00000000-0005-0000-0000-00004C470000}"/>
    <cellStyle name="Millares 8 2 2 4 2" xfId="15298" xr:uid="{00000000-0005-0000-0000-00004D470000}"/>
    <cellStyle name="Millares 8 2 2 4 2 2" xfId="28866" xr:uid="{00000000-0005-0000-0000-00004E470000}"/>
    <cellStyle name="Millares 8 2 2 4 2 2 2" xfId="55999" xr:uid="{00000000-0005-0000-0000-00004F470000}"/>
    <cellStyle name="Millares 8 2 2 4 2 3" xfId="42437" xr:uid="{00000000-0005-0000-0000-000050470000}"/>
    <cellStyle name="Millares 8 2 2 4 3" xfId="22085" xr:uid="{00000000-0005-0000-0000-000051470000}"/>
    <cellStyle name="Millares 8 2 2 4 3 2" xfId="49218" xr:uid="{00000000-0005-0000-0000-000052470000}"/>
    <cellStyle name="Millares 8 2 2 4 4" xfId="35656" xr:uid="{00000000-0005-0000-0000-000053470000}"/>
    <cellStyle name="Millares 8 2 2 5" xfId="11909" xr:uid="{00000000-0005-0000-0000-000054470000}"/>
    <cellStyle name="Millares 8 2 2 5 2" xfId="25477" xr:uid="{00000000-0005-0000-0000-000055470000}"/>
    <cellStyle name="Millares 8 2 2 5 2 2" xfId="52610" xr:uid="{00000000-0005-0000-0000-000056470000}"/>
    <cellStyle name="Millares 8 2 2 5 3" xfId="39048" xr:uid="{00000000-0005-0000-0000-000057470000}"/>
    <cellStyle name="Millares 8 2 2 6" xfId="18696" xr:uid="{00000000-0005-0000-0000-000058470000}"/>
    <cellStyle name="Millares 8 2 2 6 2" xfId="45829" xr:uid="{00000000-0005-0000-0000-000059470000}"/>
    <cellStyle name="Millares 8 2 2 7" xfId="32267" xr:uid="{00000000-0005-0000-0000-00005A470000}"/>
    <cellStyle name="Millares 8 2 3" xfId="4917" xr:uid="{00000000-0005-0000-0000-00005B470000}"/>
    <cellStyle name="Millares 8 2 3 2" xfId="4918" xr:uid="{00000000-0005-0000-0000-00005C470000}"/>
    <cellStyle name="Millares 8 2 3 2 2" xfId="8513" xr:uid="{00000000-0005-0000-0000-00005D470000}"/>
    <cellStyle name="Millares 8 2 3 2 2 2" xfId="15302" xr:uid="{00000000-0005-0000-0000-00005E470000}"/>
    <cellStyle name="Millares 8 2 3 2 2 2 2" xfId="28870" xr:uid="{00000000-0005-0000-0000-00005F470000}"/>
    <cellStyle name="Millares 8 2 3 2 2 2 2 2" xfId="56003" xr:uid="{00000000-0005-0000-0000-000060470000}"/>
    <cellStyle name="Millares 8 2 3 2 2 2 3" xfId="42441" xr:uid="{00000000-0005-0000-0000-000061470000}"/>
    <cellStyle name="Millares 8 2 3 2 2 3" xfId="22089" xr:uid="{00000000-0005-0000-0000-000062470000}"/>
    <cellStyle name="Millares 8 2 3 2 2 3 2" xfId="49222" xr:uid="{00000000-0005-0000-0000-000063470000}"/>
    <cellStyle name="Millares 8 2 3 2 2 4" xfId="35660" xr:uid="{00000000-0005-0000-0000-000064470000}"/>
    <cellStyle name="Millares 8 2 3 2 3" xfId="11913" xr:uid="{00000000-0005-0000-0000-000065470000}"/>
    <cellStyle name="Millares 8 2 3 2 3 2" xfId="25481" xr:uid="{00000000-0005-0000-0000-000066470000}"/>
    <cellStyle name="Millares 8 2 3 2 3 2 2" xfId="52614" xr:uid="{00000000-0005-0000-0000-000067470000}"/>
    <cellStyle name="Millares 8 2 3 2 3 3" xfId="39052" xr:uid="{00000000-0005-0000-0000-000068470000}"/>
    <cellStyle name="Millares 8 2 3 2 4" xfId="18700" xr:uid="{00000000-0005-0000-0000-000069470000}"/>
    <cellStyle name="Millares 8 2 3 2 4 2" xfId="45833" xr:uid="{00000000-0005-0000-0000-00006A470000}"/>
    <cellStyle name="Millares 8 2 3 2 5" xfId="32271" xr:uid="{00000000-0005-0000-0000-00006B470000}"/>
    <cellStyle name="Millares 8 2 3 3" xfId="8512" xr:uid="{00000000-0005-0000-0000-00006C470000}"/>
    <cellStyle name="Millares 8 2 3 3 2" xfId="15301" xr:uid="{00000000-0005-0000-0000-00006D470000}"/>
    <cellStyle name="Millares 8 2 3 3 2 2" xfId="28869" xr:uid="{00000000-0005-0000-0000-00006E470000}"/>
    <cellStyle name="Millares 8 2 3 3 2 2 2" xfId="56002" xr:uid="{00000000-0005-0000-0000-00006F470000}"/>
    <cellStyle name="Millares 8 2 3 3 2 3" xfId="42440" xr:uid="{00000000-0005-0000-0000-000070470000}"/>
    <cellStyle name="Millares 8 2 3 3 3" xfId="22088" xr:uid="{00000000-0005-0000-0000-000071470000}"/>
    <cellStyle name="Millares 8 2 3 3 3 2" xfId="49221" xr:uid="{00000000-0005-0000-0000-000072470000}"/>
    <cellStyle name="Millares 8 2 3 3 4" xfId="35659" xr:uid="{00000000-0005-0000-0000-000073470000}"/>
    <cellStyle name="Millares 8 2 3 4" xfId="11912" xr:uid="{00000000-0005-0000-0000-000074470000}"/>
    <cellStyle name="Millares 8 2 3 4 2" xfId="25480" xr:uid="{00000000-0005-0000-0000-000075470000}"/>
    <cellStyle name="Millares 8 2 3 4 2 2" xfId="52613" xr:uid="{00000000-0005-0000-0000-000076470000}"/>
    <cellStyle name="Millares 8 2 3 4 3" xfId="39051" xr:uid="{00000000-0005-0000-0000-000077470000}"/>
    <cellStyle name="Millares 8 2 3 5" xfId="18699" xr:uid="{00000000-0005-0000-0000-000078470000}"/>
    <cellStyle name="Millares 8 2 3 5 2" xfId="45832" xr:uid="{00000000-0005-0000-0000-000079470000}"/>
    <cellStyle name="Millares 8 2 3 6" xfId="32270" xr:uid="{00000000-0005-0000-0000-00007A470000}"/>
    <cellStyle name="Millares 8 2 4" xfId="4919" xr:uid="{00000000-0005-0000-0000-00007B470000}"/>
    <cellStyle name="Millares 8 2 4 2" xfId="8514" xr:uid="{00000000-0005-0000-0000-00007C470000}"/>
    <cellStyle name="Millares 8 2 4 2 2" xfId="15303" xr:uid="{00000000-0005-0000-0000-00007D470000}"/>
    <cellStyle name="Millares 8 2 4 2 2 2" xfId="28871" xr:uid="{00000000-0005-0000-0000-00007E470000}"/>
    <cellStyle name="Millares 8 2 4 2 2 2 2" xfId="56004" xr:uid="{00000000-0005-0000-0000-00007F470000}"/>
    <cellStyle name="Millares 8 2 4 2 2 3" xfId="42442" xr:uid="{00000000-0005-0000-0000-000080470000}"/>
    <cellStyle name="Millares 8 2 4 2 3" xfId="22090" xr:uid="{00000000-0005-0000-0000-000081470000}"/>
    <cellStyle name="Millares 8 2 4 2 3 2" xfId="49223" xr:uid="{00000000-0005-0000-0000-000082470000}"/>
    <cellStyle name="Millares 8 2 4 2 4" xfId="35661" xr:uid="{00000000-0005-0000-0000-000083470000}"/>
    <cellStyle name="Millares 8 2 4 3" xfId="11914" xr:uid="{00000000-0005-0000-0000-000084470000}"/>
    <cellStyle name="Millares 8 2 4 3 2" xfId="25482" xr:uid="{00000000-0005-0000-0000-000085470000}"/>
    <cellStyle name="Millares 8 2 4 3 2 2" xfId="52615" xr:uid="{00000000-0005-0000-0000-000086470000}"/>
    <cellStyle name="Millares 8 2 4 3 3" xfId="39053" xr:uid="{00000000-0005-0000-0000-000087470000}"/>
    <cellStyle name="Millares 8 2 4 4" xfId="18701" xr:uid="{00000000-0005-0000-0000-000088470000}"/>
    <cellStyle name="Millares 8 2 4 4 2" xfId="45834" xr:uid="{00000000-0005-0000-0000-000089470000}"/>
    <cellStyle name="Millares 8 2 4 5" xfId="32272" xr:uid="{00000000-0005-0000-0000-00008A470000}"/>
    <cellStyle name="Millares 8 2 5" xfId="4920" xr:uid="{00000000-0005-0000-0000-00008B470000}"/>
    <cellStyle name="Millares 8 2 5 2" xfId="8515" xr:uid="{00000000-0005-0000-0000-00008C470000}"/>
    <cellStyle name="Millares 8 2 5 2 2" xfId="15304" xr:uid="{00000000-0005-0000-0000-00008D470000}"/>
    <cellStyle name="Millares 8 2 5 2 2 2" xfId="28872" xr:uid="{00000000-0005-0000-0000-00008E470000}"/>
    <cellStyle name="Millares 8 2 5 2 2 2 2" xfId="56005" xr:uid="{00000000-0005-0000-0000-00008F470000}"/>
    <cellStyle name="Millares 8 2 5 2 2 3" xfId="42443" xr:uid="{00000000-0005-0000-0000-000090470000}"/>
    <cellStyle name="Millares 8 2 5 2 3" xfId="22091" xr:uid="{00000000-0005-0000-0000-000091470000}"/>
    <cellStyle name="Millares 8 2 5 2 3 2" xfId="49224" xr:uid="{00000000-0005-0000-0000-000092470000}"/>
    <cellStyle name="Millares 8 2 5 2 4" xfId="35662" xr:uid="{00000000-0005-0000-0000-000093470000}"/>
    <cellStyle name="Millares 8 2 5 3" xfId="11915" xr:uid="{00000000-0005-0000-0000-000094470000}"/>
    <cellStyle name="Millares 8 2 5 3 2" xfId="25483" xr:uid="{00000000-0005-0000-0000-000095470000}"/>
    <cellStyle name="Millares 8 2 5 3 2 2" xfId="52616" xr:uid="{00000000-0005-0000-0000-000096470000}"/>
    <cellStyle name="Millares 8 2 5 3 3" xfId="39054" xr:uid="{00000000-0005-0000-0000-000097470000}"/>
    <cellStyle name="Millares 8 2 5 4" xfId="18702" xr:uid="{00000000-0005-0000-0000-000098470000}"/>
    <cellStyle name="Millares 8 2 5 4 2" xfId="45835" xr:uid="{00000000-0005-0000-0000-000099470000}"/>
    <cellStyle name="Millares 8 2 5 5" xfId="32273" xr:uid="{00000000-0005-0000-0000-00009A470000}"/>
    <cellStyle name="Millares 8 2 6" xfId="8508" xr:uid="{00000000-0005-0000-0000-00009B470000}"/>
    <cellStyle name="Millares 8 2 6 2" xfId="15297" xr:uid="{00000000-0005-0000-0000-00009C470000}"/>
    <cellStyle name="Millares 8 2 6 2 2" xfId="28865" xr:uid="{00000000-0005-0000-0000-00009D470000}"/>
    <cellStyle name="Millares 8 2 6 2 2 2" xfId="55998" xr:uid="{00000000-0005-0000-0000-00009E470000}"/>
    <cellStyle name="Millares 8 2 6 2 3" xfId="42436" xr:uid="{00000000-0005-0000-0000-00009F470000}"/>
    <cellStyle name="Millares 8 2 6 3" xfId="22084" xr:uid="{00000000-0005-0000-0000-0000A0470000}"/>
    <cellStyle name="Millares 8 2 6 3 2" xfId="49217" xr:uid="{00000000-0005-0000-0000-0000A1470000}"/>
    <cellStyle name="Millares 8 2 6 4" xfId="35655" xr:uid="{00000000-0005-0000-0000-0000A2470000}"/>
    <cellStyle name="Millares 8 2 7" xfId="11908" xr:uid="{00000000-0005-0000-0000-0000A3470000}"/>
    <cellStyle name="Millares 8 2 7 2" xfId="25476" xr:uid="{00000000-0005-0000-0000-0000A4470000}"/>
    <cellStyle name="Millares 8 2 7 2 2" xfId="52609" xr:uid="{00000000-0005-0000-0000-0000A5470000}"/>
    <cellStyle name="Millares 8 2 7 3" xfId="39047" xr:uid="{00000000-0005-0000-0000-0000A6470000}"/>
    <cellStyle name="Millares 8 2 8" xfId="18695" xr:uid="{00000000-0005-0000-0000-0000A7470000}"/>
    <cellStyle name="Millares 8 2 8 2" xfId="45828" xr:uid="{00000000-0005-0000-0000-0000A8470000}"/>
    <cellStyle name="Millares 8 2 9" xfId="32266" xr:uid="{00000000-0005-0000-0000-0000A9470000}"/>
    <cellStyle name="Millares 8 3" xfId="4921" xr:uid="{00000000-0005-0000-0000-0000AA470000}"/>
    <cellStyle name="Millares 8 3 2" xfId="4922" xr:uid="{00000000-0005-0000-0000-0000AB470000}"/>
    <cellStyle name="Millares 8 3 2 2" xfId="8517" xr:uid="{00000000-0005-0000-0000-0000AC470000}"/>
    <cellStyle name="Millares 8 3 2 2 2" xfId="15306" xr:uid="{00000000-0005-0000-0000-0000AD470000}"/>
    <cellStyle name="Millares 8 3 2 2 2 2" xfId="28874" xr:uid="{00000000-0005-0000-0000-0000AE470000}"/>
    <cellStyle name="Millares 8 3 2 2 2 2 2" xfId="56007" xr:uid="{00000000-0005-0000-0000-0000AF470000}"/>
    <cellStyle name="Millares 8 3 2 2 2 3" xfId="42445" xr:uid="{00000000-0005-0000-0000-0000B0470000}"/>
    <cellStyle name="Millares 8 3 2 2 3" xfId="22093" xr:uid="{00000000-0005-0000-0000-0000B1470000}"/>
    <cellStyle name="Millares 8 3 2 2 3 2" xfId="49226" xr:uid="{00000000-0005-0000-0000-0000B2470000}"/>
    <cellStyle name="Millares 8 3 2 2 4" xfId="35664" xr:uid="{00000000-0005-0000-0000-0000B3470000}"/>
    <cellStyle name="Millares 8 3 2 3" xfId="11917" xr:uid="{00000000-0005-0000-0000-0000B4470000}"/>
    <cellStyle name="Millares 8 3 2 3 2" xfId="25485" xr:uid="{00000000-0005-0000-0000-0000B5470000}"/>
    <cellStyle name="Millares 8 3 2 3 2 2" xfId="52618" xr:uid="{00000000-0005-0000-0000-0000B6470000}"/>
    <cellStyle name="Millares 8 3 2 3 3" xfId="39056" xr:uid="{00000000-0005-0000-0000-0000B7470000}"/>
    <cellStyle name="Millares 8 3 2 4" xfId="18704" xr:uid="{00000000-0005-0000-0000-0000B8470000}"/>
    <cellStyle name="Millares 8 3 2 4 2" xfId="45837" xr:uid="{00000000-0005-0000-0000-0000B9470000}"/>
    <cellStyle name="Millares 8 3 2 5" xfId="32275" xr:uid="{00000000-0005-0000-0000-0000BA470000}"/>
    <cellStyle name="Millares 8 3 3" xfId="4923" xr:uid="{00000000-0005-0000-0000-0000BB470000}"/>
    <cellStyle name="Millares 8 3 3 2" xfId="8518" xr:uid="{00000000-0005-0000-0000-0000BC470000}"/>
    <cellStyle name="Millares 8 3 3 2 2" xfId="15307" xr:uid="{00000000-0005-0000-0000-0000BD470000}"/>
    <cellStyle name="Millares 8 3 3 2 2 2" xfId="28875" xr:uid="{00000000-0005-0000-0000-0000BE470000}"/>
    <cellStyle name="Millares 8 3 3 2 2 2 2" xfId="56008" xr:uid="{00000000-0005-0000-0000-0000BF470000}"/>
    <cellStyle name="Millares 8 3 3 2 2 3" xfId="42446" xr:uid="{00000000-0005-0000-0000-0000C0470000}"/>
    <cellStyle name="Millares 8 3 3 2 3" xfId="22094" xr:uid="{00000000-0005-0000-0000-0000C1470000}"/>
    <cellStyle name="Millares 8 3 3 2 3 2" xfId="49227" xr:uid="{00000000-0005-0000-0000-0000C2470000}"/>
    <cellStyle name="Millares 8 3 3 2 4" xfId="35665" xr:uid="{00000000-0005-0000-0000-0000C3470000}"/>
    <cellStyle name="Millares 8 3 3 3" xfId="11918" xr:uid="{00000000-0005-0000-0000-0000C4470000}"/>
    <cellStyle name="Millares 8 3 3 3 2" xfId="25486" xr:uid="{00000000-0005-0000-0000-0000C5470000}"/>
    <cellStyle name="Millares 8 3 3 3 2 2" xfId="52619" xr:uid="{00000000-0005-0000-0000-0000C6470000}"/>
    <cellStyle name="Millares 8 3 3 3 3" xfId="39057" xr:uid="{00000000-0005-0000-0000-0000C7470000}"/>
    <cellStyle name="Millares 8 3 3 4" xfId="18705" xr:uid="{00000000-0005-0000-0000-0000C8470000}"/>
    <cellStyle name="Millares 8 3 3 4 2" xfId="45838" xr:uid="{00000000-0005-0000-0000-0000C9470000}"/>
    <cellStyle name="Millares 8 3 3 5" xfId="32276" xr:uid="{00000000-0005-0000-0000-0000CA470000}"/>
    <cellStyle name="Millares 8 3 4" xfId="8516" xr:uid="{00000000-0005-0000-0000-0000CB470000}"/>
    <cellStyle name="Millares 8 3 4 2" xfId="15305" xr:uid="{00000000-0005-0000-0000-0000CC470000}"/>
    <cellStyle name="Millares 8 3 4 2 2" xfId="28873" xr:uid="{00000000-0005-0000-0000-0000CD470000}"/>
    <cellStyle name="Millares 8 3 4 2 2 2" xfId="56006" xr:uid="{00000000-0005-0000-0000-0000CE470000}"/>
    <cellStyle name="Millares 8 3 4 2 3" xfId="42444" xr:uid="{00000000-0005-0000-0000-0000CF470000}"/>
    <cellStyle name="Millares 8 3 4 3" xfId="22092" xr:uid="{00000000-0005-0000-0000-0000D0470000}"/>
    <cellStyle name="Millares 8 3 4 3 2" xfId="49225" xr:uid="{00000000-0005-0000-0000-0000D1470000}"/>
    <cellStyle name="Millares 8 3 4 4" xfId="35663" xr:uid="{00000000-0005-0000-0000-0000D2470000}"/>
    <cellStyle name="Millares 8 3 5" xfId="11916" xr:uid="{00000000-0005-0000-0000-0000D3470000}"/>
    <cellStyle name="Millares 8 3 5 2" xfId="25484" xr:uid="{00000000-0005-0000-0000-0000D4470000}"/>
    <cellStyle name="Millares 8 3 5 2 2" xfId="52617" xr:uid="{00000000-0005-0000-0000-0000D5470000}"/>
    <cellStyle name="Millares 8 3 5 3" xfId="39055" xr:uid="{00000000-0005-0000-0000-0000D6470000}"/>
    <cellStyle name="Millares 8 3 6" xfId="18703" xr:uid="{00000000-0005-0000-0000-0000D7470000}"/>
    <cellStyle name="Millares 8 3 6 2" xfId="45836" xr:uid="{00000000-0005-0000-0000-0000D8470000}"/>
    <cellStyle name="Millares 8 3 7" xfId="32274" xr:uid="{00000000-0005-0000-0000-0000D9470000}"/>
    <cellStyle name="Millares 8 4" xfId="4924" xr:uid="{00000000-0005-0000-0000-0000DA470000}"/>
    <cellStyle name="Millares 8 4 2" xfId="4925" xr:uid="{00000000-0005-0000-0000-0000DB470000}"/>
    <cellStyle name="Millares 8 4 2 2" xfId="8520" xr:uid="{00000000-0005-0000-0000-0000DC470000}"/>
    <cellStyle name="Millares 8 4 2 2 2" xfId="15309" xr:uid="{00000000-0005-0000-0000-0000DD470000}"/>
    <cellStyle name="Millares 8 4 2 2 2 2" xfId="28877" xr:uid="{00000000-0005-0000-0000-0000DE470000}"/>
    <cellStyle name="Millares 8 4 2 2 2 2 2" xfId="56010" xr:uid="{00000000-0005-0000-0000-0000DF470000}"/>
    <cellStyle name="Millares 8 4 2 2 2 3" xfId="42448" xr:uid="{00000000-0005-0000-0000-0000E0470000}"/>
    <cellStyle name="Millares 8 4 2 2 3" xfId="22096" xr:uid="{00000000-0005-0000-0000-0000E1470000}"/>
    <cellStyle name="Millares 8 4 2 2 3 2" xfId="49229" xr:uid="{00000000-0005-0000-0000-0000E2470000}"/>
    <cellStyle name="Millares 8 4 2 2 4" xfId="35667" xr:uid="{00000000-0005-0000-0000-0000E3470000}"/>
    <cellStyle name="Millares 8 4 2 3" xfId="11920" xr:uid="{00000000-0005-0000-0000-0000E4470000}"/>
    <cellStyle name="Millares 8 4 2 3 2" xfId="25488" xr:uid="{00000000-0005-0000-0000-0000E5470000}"/>
    <cellStyle name="Millares 8 4 2 3 2 2" xfId="52621" xr:uid="{00000000-0005-0000-0000-0000E6470000}"/>
    <cellStyle name="Millares 8 4 2 3 3" xfId="39059" xr:uid="{00000000-0005-0000-0000-0000E7470000}"/>
    <cellStyle name="Millares 8 4 2 4" xfId="18707" xr:uid="{00000000-0005-0000-0000-0000E8470000}"/>
    <cellStyle name="Millares 8 4 2 4 2" xfId="45840" xr:uid="{00000000-0005-0000-0000-0000E9470000}"/>
    <cellStyle name="Millares 8 4 2 5" xfId="32278" xr:uid="{00000000-0005-0000-0000-0000EA470000}"/>
    <cellStyle name="Millares 8 4 3" xfId="8519" xr:uid="{00000000-0005-0000-0000-0000EB470000}"/>
    <cellStyle name="Millares 8 4 3 2" xfId="15308" xr:uid="{00000000-0005-0000-0000-0000EC470000}"/>
    <cellStyle name="Millares 8 4 3 2 2" xfId="28876" xr:uid="{00000000-0005-0000-0000-0000ED470000}"/>
    <cellStyle name="Millares 8 4 3 2 2 2" xfId="56009" xr:uid="{00000000-0005-0000-0000-0000EE470000}"/>
    <cellStyle name="Millares 8 4 3 2 3" xfId="42447" xr:uid="{00000000-0005-0000-0000-0000EF470000}"/>
    <cellStyle name="Millares 8 4 3 3" xfId="22095" xr:uid="{00000000-0005-0000-0000-0000F0470000}"/>
    <cellStyle name="Millares 8 4 3 3 2" xfId="49228" xr:uid="{00000000-0005-0000-0000-0000F1470000}"/>
    <cellStyle name="Millares 8 4 3 4" xfId="35666" xr:uid="{00000000-0005-0000-0000-0000F2470000}"/>
    <cellStyle name="Millares 8 4 4" xfId="11919" xr:uid="{00000000-0005-0000-0000-0000F3470000}"/>
    <cellStyle name="Millares 8 4 4 2" xfId="25487" xr:uid="{00000000-0005-0000-0000-0000F4470000}"/>
    <cellStyle name="Millares 8 4 4 2 2" xfId="52620" xr:uid="{00000000-0005-0000-0000-0000F5470000}"/>
    <cellStyle name="Millares 8 4 4 3" xfId="39058" xr:uid="{00000000-0005-0000-0000-0000F6470000}"/>
    <cellStyle name="Millares 8 4 5" xfId="18706" xr:uid="{00000000-0005-0000-0000-0000F7470000}"/>
    <cellStyle name="Millares 8 4 5 2" xfId="45839" xr:uid="{00000000-0005-0000-0000-0000F8470000}"/>
    <cellStyle name="Millares 8 4 6" xfId="32277" xr:uid="{00000000-0005-0000-0000-0000F9470000}"/>
    <cellStyle name="Millares 8 5" xfId="4926" xr:uid="{00000000-0005-0000-0000-0000FA470000}"/>
    <cellStyle name="Millares 8 5 2" xfId="8521" xr:uid="{00000000-0005-0000-0000-0000FB470000}"/>
    <cellStyle name="Millares 8 5 2 2" xfId="15310" xr:uid="{00000000-0005-0000-0000-0000FC470000}"/>
    <cellStyle name="Millares 8 5 2 2 2" xfId="28878" xr:uid="{00000000-0005-0000-0000-0000FD470000}"/>
    <cellStyle name="Millares 8 5 2 2 2 2" xfId="56011" xr:uid="{00000000-0005-0000-0000-0000FE470000}"/>
    <cellStyle name="Millares 8 5 2 2 3" xfId="42449" xr:uid="{00000000-0005-0000-0000-0000FF470000}"/>
    <cellStyle name="Millares 8 5 2 3" xfId="22097" xr:uid="{00000000-0005-0000-0000-000000480000}"/>
    <cellStyle name="Millares 8 5 2 3 2" xfId="49230" xr:uid="{00000000-0005-0000-0000-000001480000}"/>
    <cellStyle name="Millares 8 5 2 4" xfId="35668" xr:uid="{00000000-0005-0000-0000-000002480000}"/>
    <cellStyle name="Millares 8 5 3" xfId="11921" xr:uid="{00000000-0005-0000-0000-000003480000}"/>
    <cellStyle name="Millares 8 5 3 2" xfId="25489" xr:uid="{00000000-0005-0000-0000-000004480000}"/>
    <cellStyle name="Millares 8 5 3 2 2" xfId="52622" xr:uid="{00000000-0005-0000-0000-000005480000}"/>
    <cellStyle name="Millares 8 5 3 3" xfId="39060" xr:uid="{00000000-0005-0000-0000-000006480000}"/>
    <cellStyle name="Millares 8 5 4" xfId="18708" xr:uid="{00000000-0005-0000-0000-000007480000}"/>
    <cellStyle name="Millares 8 5 4 2" xfId="45841" xr:uid="{00000000-0005-0000-0000-000008480000}"/>
    <cellStyle name="Millares 8 5 5" xfId="32279" xr:uid="{00000000-0005-0000-0000-000009480000}"/>
    <cellStyle name="Millares 8 6" xfId="4927" xr:uid="{00000000-0005-0000-0000-00000A480000}"/>
    <cellStyle name="Millares 8 6 2" xfId="8522" xr:uid="{00000000-0005-0000-0000-00000B480000}"/>
    <cellStyle name="Millares 8 6 2 2" xfId="15311" xr:uid="{00000000-0005-0000-0000-00000C480000}"/>
    <cellStyle name="Millares 8 6 2 2 2" xfId="28879" xr:uid="{00000000-0005-0000-0000-00000D480000}"/>
    <cellStyle name="Millares 8 6 2 2 2 2" xfId="56012" xr:uid="{00000000-0005-0000-0000-00000E480000}"/>
    <cellStyle name="Millares 8 6 2 2 3" xfId="42450" xr:uid="{00000000-0005-0000-0000-00000F480000}"/>
    <cellStyle name="Millares 8 6 2 3" xfId="22098" xr:uid="{00000000-0005-0000-0000-000010480000}"/>
    <cellStyle name="Millares 8 6 2 3 2" xfId="49231" xr:uid="{00000000-0005-0000-0000-000011480000}"/>
    <cellStyle name="Millares 8 6 2 4" xfId="35669" xr:uid="{00000000-0005-0000-0000-000012480000}"/>
    <cellStyle name="Millares 8 6 3" xfId="11922" xr:uid="{00000000-0005-0000-0000-000013480000}"/>
    <cellStyle name="Millares 8 6 3 2" xfId="25490" xr:uid="{00000000-0005-0000-0000-000014480000}"/>
    <cellStyle name="Millares 8 6 3 2 2" xfId="52623" xr:uid="{00000000-0005-0000-0000-000015480000}"/>
    <cellStyle name="Millares 8 6 3 3" xfId="39061" xr:uid="{00000000-0005-0000-0000-000016480000}"/>
    <cellStyle name="Millares 8 6 4" xfId="18709" xr:uid="{00000000-0005-0000-0000-000017480000}"/>
    <cellStyle name="Millares 8 6 4 2" xfId="45842" xr:uid="{00000000-0005-0000-0000-000018480000}"/>
    <cellStyle name="Millares 8 6 5" xfId="32280" xr:uid="{00000000-0005-0000-0000-000019480000}"/>
    <cellStyle name="Millares 8 7" xfId="58338" xr:uid="{00000000-0005-0000-0000-00001A480000}"/>
    <cellStyle name="Millares 9" xfId="2469" xr:uid="{00000000-0005-0000-0000-00001B480000}"/>
    <cellStyle name="Millares 9 2" xfId="10842" xr:uid="{00000000-0005-0000-0000-00001C480000}"/>
    <cellStyle name="Millares 91" xfId="2470" xr:uid="{00000000-0005-0000-0000-00001D480000}"/>
    <cellStyle name="Millares 92" xfId="7382" xr:uid="{00000000-0005-0000-0000-00001E480000}"/>
    <cellStyle name="Moneda 2" xfId="2471" xr:uid="{00000000-0005-0000-0000-00001F480000}"/>
    <cellStyle name="Moneda 2 10" xfId="2472" xr:uid="{00000000-0005-0000-0000-000020480000}"/>
    <cellStyle name="Moneda 2 2" xfId="4928" xr:uid="{00000000-0005-0000-0000-000021480000}"/>
    <cellStyle name="Moneda 2 2 2" xfId="4929" xr:uid="{00000000-0005-0000-0000-000022480000}"/>
    <cellStyle name="Moneda 2 2 3" xfId="4930" xr:uid="{00000000-0005-0000-0000-000023480000}"/>
    <cellStyle name="Moneda 2 2 4" xfId="4931" xr:uid="{00000000-0005-0000-0000-000024480000}"/>
    <cellStyle name="Moneda 2 2 4 2" xfId="4932" xr:uid="{00000000-0005-0000-0000-000025480000}"/>
    <cellStyle name="Moneda 2 2 4 3" xfId="4933" xr:uid="{00000000-0005-0000-0000-000026480000}"/>
    <cellStyle name="Moneda 2 3" xfId="4934" xr:uid="{00000000-0005-0000-0000-000027480000}"/>
    <cellStyle name="Moneda 2 3 2" xfId="4935" xr:uid="{00000000-0005-0000-0000-000028480000}"/>
    <cellStyle name="Moneda 2 3 3" xfId="4936" xr:uid="{00000000-0005-0000-0000-000029480000}"/>
    <cellStyle name="Moneda 2 3 4" xfId="4937" xr:uid="{00000000-0005-0000-0000-00002A480000}"/>
    <cellStyle name="Moneda 2 3 4 2" xfId="4938" xr:uid="{00000000-0005-0000-0000-00002B480000}"/>
    <cellStyle name="Moneda 2 4" xfId="4939" xr:uid="{00000000-0005-0000-0000-00002C480000}"/>
    <cellStyle name="Moneda 2 5" xfId="4940" xr:uid="{00000000-0005-0000-0000-00002D480000}"/>
    <cellStyle name="Moneda 2 5 2" xfId="4941" xr:uid="{00000000-0005-0000-0000-00002E480000}"/>
    <cellStyle name="Moneda 2 6" xfId="4942" xr:uid="{00000000-0005-0000-0000-00002F480000}"/>
    <cellStyle name="Moneda 2 7" xfId="4943" xr:uid="{00000000-0005-0000-0000-000030480000}"/>
    <cellStyle name="Moneda 2 8" xfId="4944" xr:uid="{00000000-0005-0000-0000-000031480000}"/>
    <cellStyle name="Moneda 2 9" xfId="4945" xr:uid="{00000000-0005-0000-0000-000032480000}"/>
    <cellStyle name="Moneda 3" xfId="2473" xr:uid="{00000000-0005-0000-0000-000033480000}"/>
    <cellStyle name="Moneda 3 2" xfId="4946" xr:uid="{00000000-0005-0000-0000-000034480000}"/>
    <cellStyle name="Moneda 3 2 10" xfId="2474" xr:uid="{00000000-0005-0000-0000-000035480000}"/>
    <cellStyle name="Moneda 4" xfId="2475" xr:uid="{00000000-0005-0000-0000-000036480000}"/>
    <cellStyle name="Moneda 5" xfId="7383" xr:uid="{00000000-0005-0000-0000-000037480000}"/>
    <cellStyle name="Moneda 6" xfId="58369" xr:uid="{70ACD79A-FB23-4B8C-B436-18051925DAA1}"/>
    <cellStyle name="moneda(" xfId="2476" xr:uid="{00000000-0005-0000-0000-000038480000}"/>
    <cellStyle name="Moneda0" xfId="57" xr:uid="{00000000-0005-0000-0000-000039480000}"/>
    <cellStyle name="Moneda0 2" xfId="138" xr:uid="{00000000-0005-0000-0000-00003A480000}"/>
    <cellStyle name="Moneda0 2 2" xfId="139" xr:uid="{00000000-0005-0000-0000-00003B480000}"/>
    <cellStyle name="Moneda0 3" xfId="140" xr:uid="{00000000-0005-0000-0000-00003C480000}"/>
    <cellStyle name="Monetario" xfId="2477" xr:uid="{00000000-0005-0000-0000-00003D480000}"/>
    <cellStyle name="MONETARIO 10" xfId="4947" xr:uid="{00000000-0005-0000-0000-00003E480000}"/>
    <cellStyle name="Monetario 11" xfId="4948" xr:uid="{00000000-0005-0000-0000-00003F480000}"/>
    <cellStyle name="Monetario 12" xfId="4949" xr:uid="{00000000-0005-0000-0000-000040480000}"/>
    <cellStyle name="Monetario 2" xfId="4950" xr:uid="{00000000-0005-0000-0000-000041480000}"/>
    <cellStyle name="MONETARIO 3" xfId="4951" xr:uid="{00000000-0005-0000-0000-000042480000}"/>
    <cellStyle name="MONETARIO 4" xfId="4952" xr:uid="{00000000-0005-0000-0000-000043480000}"/>
    <cellStyle name="MONETARIO 5" xfId="4953" xr:uid="{00000000-0005-0000-0000-000044480000}"/>
    <cellStyle name="MONETARIO 6" xfId="4954" xr:uid="{00000000-0005-0000-0000-000045480000}"/>
    <cellStyle name="MONETARIO 7" xfId="4955" xr:uid="{00000000-0005-0000-0000-000046480000}"/>
    <cellStyle name="MONETARIO 8" xfId="4956" xr:uid="{00000000-0005-0000-0000-000047480000}"/>
    <cellStyle name="MONETARIO 9" xfId="4957" xr:uid="{00000000-0005-0000-0000-000048480000}"/>
    <cellStyle name="Monetario0" xfId="2478" xr:uid="{00000000-0005-0000-0000-000049480000}"/>
    <cellStyle name="Neutral 10" xfId="2479" xr:uid="{00000000-0005-0000-0000-00004A480000}"/>
    <cellStyle name="Neutral 11" xfId="2480" xr:uid="{00000000-0005-0000-0000-00004B480000}"/>
    <cellStyle name="Neutral 12" xfId="2481" xr:uid="{00000000-0005-0000-0000-00004C480000}"/>
    <cellStyle name="Neutral 13" xfId="2482" xr:uid="{00000000-0005-0000-0000-00004D480000}"/>
    <cellStyle name="Neutral 14" xfId="2483" xr:uid="{00000000-0005-0000-0000-00004E480000}"/>
    <cellStyle name="Neutral 15" xfId="2484" xr:uid="{00000000-0005-0000-0000-00004F480000}"/>
    <cellStyle name="Neutral 16" xfId="2485" xr:uid="{00000000-0005-0000-0000-000050480000}"/>
    <cellStyle name="Neutral 17" xfId="2486" xr:uid="{00000000-0005-0000-0000-000051480000}"/>
    <cellStyle name="Neutral 18" xfId="2487" xr:uid="{00000000-0005-0000-0000-000052480000}"/>
    <cellStyle name="Neutral 19" xfId="2488" xr:uid="{00000000-0005-0000-0000-000053480000}"/>
    <cellStyle name="Neutral 2" xfId="141" xr:uid="{00000000-0005-0000-0000-000054480000}"/>
    <cellStyle name="Neutral 2 2" xfId="2489" xr:uid="{00000000-0005-0000-0000-000055480000}"/>
    <cellStyle name="Neutral 2 3" xfId="2490" xr:uid="{00000000-0005-0000-0000-000056480000}"/>
    <cellStyle name="Neutral 2 4" xfId="2491" xr:uid="{00000000-0005-0000-0000-000057480000}"/>
    <cellStyle name="Neutral 2 5" xfId="2492" xr:uid="{00000000-0005-0000-0000-000058480000}"/>
    <cellStyle name="Neutral 20" xfId="2493" xr:uid="{00000000-0005-0000-0000-000059480000}"/>
    <cellStyle name="Neutral 21" xfId="2494" xr:uid="{00000000-0005-0000-0000-00005A480000}"/>
    <cellStyle name="Neutral 22" xfId="2495" xr:uid="{00000000-0005-0000-0000-00005B480000}"/>
    <cellStyle name="Neutral 23" xfId="2496" xr:uid="{00000000-0005-0000-0000-00005C480000}"/>
    <cellStyle name="Neutral 24" xfId="2497" xr:uid="{00000000-0005-0000-0000-00005D480000}"/>
    <cellStyle name="Neutral 25" xfId="2498" xr:uid="{00000000-0005-0000-0000-00005E480000}"/>
    <cellStyle name="Neutral 26" xfId="2499" xr:uid="{00000000-0005-0000-0000-00005F480000}"/>
    <cellStyle name="Neutral 27" xfId="2500" xr:uid="{00000000-0005-0000-0000-000060480000}"/>
    <cellStyle name="Neutral 28" xfId="2501" xr:uid="{00000000-0005-0000-0000-000061480000}"/>
    <cellStyle name="Neutral 29" xfId="2502" xr:uid="{00000000-0005-0000-0000-000062480000}"/>
    <cellStyle name="Neutral 3" xfId="2503" xr:uid="{00000000-0005-0000-0000-000063480000}"/>
    <cellStyle name="Neutral 30" xfId="2504" xr:uid="{00000000-0005-0000-0000-000064480000}"/>
    <cellStyle name="Neutral 31" xfId="2505" xr:uid="{00000000-0005-0000-0000-000065480000}"/>
    <cellStyle name="Neutral 32" xfId="2506" xr:uid="{00000000-0005-0000-0000-000066480000}"/>
    <cellStyle name="Neutral 33" xfId="2507" xr:uid="{00000000-0005-0000-0000-000067480000}"/>
    <cellStyle name="Neutral 34" xfId="2508" xr:uid="{00000000-0005-0000-0000-000068480000}"/>
    <cellStyle name="Neutral 35" xfId="2509" xr:uid="{00000000-0005-0000-0000-000069480000}"/>
    <cellStyle name="Neutral 36" xfId="2510" xr:uid="{00000000-0005-0000-0000-00006A480000}"/>
    <cellStyle name="Neutral 37" xfId="2511" xr:uid="{00000000-0005-0000-0000-00006B480000}"/>
    <cellStyle name="Neutral 38" xfId="2512" xr:uid="{00000000-0005-0000-0000-00006C480000}"/>
    <cellStyle name="Neutral 39" xfId="2513" xr:uid="{00000000-0005-0000-0000-00006D480000}"/>
    <cellStyle name="Neutral 4" xfId="2514" xr:uid="{00000000-0005-0000-0000-00006E480000}"/>
    <cellStyle name="Neutral 40" xfId="2515" xr:uid="{00000000-0005-0000-0000-00006F480000}"/>
    <cellStyle name="Neutral 41" xfId="2516" xr:uid="{00000000-0005-0000-0000-000070480000}"/>
    <cellStyle name="Neutral 42" xfId="2517" xr:uid="{00000000-0005-0000-0000-000071480000}"/>
    <cellStyle name="Neutral 43" xfId="2518" xr:uid="{00000000-0005-0000-0000-000072480000}"/>
    <cellStyle name="Neutral 44" xfId="2519" xr:uid="{00000000-0005-0000-0000-000073480000}"/>
    <cellStyle name="Neutral 45" xfId="2520" xr:uid="{00000000-0005-0000-0000-000074480000}"/>
    <cellStyle name="Neutral 46" xfId="2521" xr:uid="{00000000-0005-0000-0000-000075480000}"/>
    <cellStyle name="Neutral 47" xfId="2522" xr:uid="{00000000-0005-0000-0000-000076480000}"/>
    <cellStyle name="Neutral 48" xfId="2523" xr:uid="{00000000-0005-0000-0000-000077480000}"/>
    <cellStyle name="Neutral 49" xfId="2524" xr:uid="{00000000-0005-0000-0000-000078480000}"/>
    <cellStyle name="Neutral 5" xfId="2525" xr:uid="{00000000-0005-0000-0000-000079480000}"/>
    <cellStyle name="Neutral 50" xfId="2526" xr:uid="{00000000-0005-0000-0000-00007A480000}"/>
    <cellStyle name="Neutral 51" xfId="2527" xr:uid="{00000000-0005-0000-0000-00007B480000}"/>
    <cellStyle name="Neutral 52" xfId="2528" xr:uid="{00000000-0005-0000-0000-00007C480000}"/>
    <cellStyle name="Neutral 53" xfId="2529" xr:uid="{00000000-0005-0000-0000-00007D480000}"/>
    <cellStyle name="Neutral 54" xfId="2530" xr:uid="{00000000-0005-0000-0000-00007E480000}"/>
    <cellStyle name="Neutral 55" xfId="2531" xr:uid="{00000000-0005-0000-0000-00007F480000}"/>
    <cellStyle name="Neutral 56" xfId="2532" xr:uid="{00000000-0005-0000-0000-000080480000}"/>
    <cellStyle name="Neutral 57" xfId="2533" xr:uid="{00000000-0005-0000-0000-000081480000}"/>
    <cellStyle name="Neutral 58" xfId="2534" xr:uid="{00000000-0005-0000-0000-000082480000}"/>
    <cellStyle name="Neutral 59" xfId="2535" xr:uid="{00000000-0005-0000-0000-000083480000}"/>
    <cellStyle name="Neutral 6" xfId="2536" xr:uid="{00000000-0005-0000-0000-000084480000}"/>
    <cellStyle name="Neutral 60" xfId="2537" xr:uid="{00000000-0005-0000-0000-000085480000}"/>
    <cellStyle name="Neutral 61" xfId="2538" xr:uid="{00000000-0005-0000-0000-000086480000}"/>
    <cellStyle name="Neutral 62" xfId="2539" xr:uid="{00000000-0005-0000-0000-000087480000}"/>
    <cellStyle name="Neutral 63" xfId="2540" xr:uid="{00000000-0005-0000-0000-000088480000}"/>
    <cellStyle name="Neutral 64" xfId="2541" xr:uid="{00000000-0005-0000-0000-000089480000}"/>
    <cellStyle name="Neutral 65" xfId="2542" xr:uid="{00000000-0005-0000-0000-00008A480000}"/>
    <cellStyle name="Neutral 66" xfId="2543" xr:uid="{00000000-0005-0000-0000-00008B480000}"/>
    <cellStyle name="Neutral 67" xfId="2544" xr:uid="{00000000-0005-0000-0000-00008C480000}"/>
    <cellStyle name="Neutral 7" xfId="2545" xr:uid="{00000000-0005-0000-0000-00008D480000}"/>
    <cellStyle name="Neutral 8" xfId="2546" xr:uid="{00000000-0005-0000-0000-00008E480000}"/>
    <cellStyle name="Neutral 9" xfId="2547" xr:uid="{00000000-0005-0000-0000-00008F480000}"/>
    <cellStyle name="No-definido" xfId="58352" xr:uid="{00000000-0005-0000-0000-000090480000}"/>
    <cellStyle name="Normal" xfId="0" builtinId="0"/>
    <cellStyle name="Normal 10" xfId="2548" xr:uid="{00000000-0005-0000-0000-000092480000}"/>
    <cellStyle name="Normal 10 10" xfId="4958" xr:uid="{00000000-0005-0000-0000-000093480000}"/>
    <cellStyle name="Normal 10 10 2" xfId="58371" xr:uid="{0B4748B7-0F00-49B1-B24F-AF48C7F0E3F8}"/>
    <cellStyle name="Normal 10 11" xfId="4959" xr:uid="{00000000-0005-0000-0000-000094480000}"/>
    <cellStyle name="Normal 10 11 2" xfId="4960" xr:uid="{00000000-0005-0000-0000-000095480000}"/>
    <cellStyle name="Normal 10 11 2 2" xfId="8524" xr:uid="{00000000-0005-0000-0000-000096480000}"/>
    <cellStyle name="Normal 10 11 2 2 2" xfId="15313" xr:uid="{00000000-0005-0000-0000-000097480000}"/>
    <cellStyle name="Normal 10 11 2 2 2 2" xfId="28881" xr:uid="{00000000-0005-0000-0000-000098480000}"/>
    <cellStyle name="Normal 10 11 2 2 2 2 2" xfId="56014" xr:uid="{00000000-0005-0000-0000-000099480000}"/>
    <cellStyle name="Normal 10 11 2 2 2 3" xfId="42452" xr:uid="{00000000-0005-0000-0000-00009A480000}"/>
    <cellStyle name="Normal 10 11 2 2 3" xfId="22100" xr:uid="{00000000-0005-0000-0000-00009B480000}"/>
    <cellStyle name="Normal 10 11 2 2 3 2" xfId="49233" xr:uid="{00000000-0005-0000-0000-00009C480000}"/>
    <cellStyle name="Normal 10 11 2 2 4" xfId="35671" xr:uid="{00000000-0005-0000-0000-00009D480000}"/>
    <cellStyle name="Normal 10 11 2 3" xfId="11924" xr:uid="{00000000-0005-0000-0000-00009E480000}"/>
    <cellStyle name="Normal 10 11 2 3 2" xfId="25492" xr:uid="{00000000-0005-0000-0000-00009F480000}"/>
    <cellStyle name="Normal 10 11 2 3 2 2" xfId="52625" xr:uid="{00000000-0005-0000-0000-0000A0480000}"/>
    <cellStyle name="Normal 10 11 2 3 3" xfId="39063" xr:uid="{00000000-0005-0000-0000-0000A1480000}"/>
    <cellStyle name="Normal 10 11 2 4" xfId="18711" xr:uid="{00000000-0005-0000-0000-0000A2480000}"/>
    <cellStyle name="Normal 10 11 2 4 2" xfId="45844" xr:uid="{00000000-0005-0000-0000-0000A3480000}"/>
    <cellStyle name="Normal 10 11 2 5" xfId="32282" xr:uid="{00000000-0005-0000-0000-0000A4480000}"/>
    <cellStyle name="Normal 10 11 3" xfId="4961" xr:uid="{00000000-0005-0000-0000-0000A5480000}"/>
    <cellStyle name="Normal 10 11 3 2" xfId="8525" xr:uid="{00000000-0005-0000-0000-0000A6480000}"/>
    <cellStyle name="Normal 10 11 3 2 2" xfId="15314" xr:uid="{00000000-0005-0000-0000-0000A7480000}"/>
    <cellStyle name="Normal 10 11 3 2 2 2" xfId="28882" xr:uid="{00000000-0005-0000-0000-0000A8480000}"/>
    <cellStyle name="Normal 10 11 3 2 2 2 2" xfId="56015" xr:uid="{00000000-0005-0000-0000-0000A9480000}"/>
    <cellStyle name="Normal 10 11 3 2 2 3" xfId="42453" xr:uid="{00000000-0005-0000-0000-0000AA480000}"/>
    <cellStyle name="Normal 10 11 3 2 3" xfId="22101" xr:uid="{00000000-0005-0000-0000-0000AB480000}"/>
    <cellStyle name="Normal 10 11 3 2 3 2" xfId="49234" xr:uid="{00000000-0005-0000-0000-0000AC480000}"/>
    <cellStyle name="Normal 10 11 3 2 4" xfId="35672" xr:uid="{00000000-0005-0000-0000-0000AD480000}"/>
    <cellStyle name="Normal 10 11 3 3" xfId="11925" xr:uid="{00000000-0005-0000-0000-0000AE480000}"/>
    <cellStyle name="Normal 10 11 3 3 2" xfId="25493" xr:uid="{00000000-0005-0000-0000-0000AF480000}"/>
    <cellStyle name="Normal 10 11 3 3 2 2" xfId="52626" xr:uid="{00000000-0005-0000-0000-0000B0480000}"/>
    <cellStyle name="Normal 10 11 3 3 3" xfId="39064" xr:uid="{00000000-0005-0000-0000-0000B1480000}"/>
    <cellStyle name="Normal 10 11 3 4" xfId="18712" xr:uid="{00000000-0005-0000-0000-0000B2480000}"/>
    <cellStyle name="Normal 10 11 3 4 2" xfId="45845" xr:uid="{00000000-0005-0000-0000-0000B3480000}"/>
    <cellStyle name="Normal 10 11 3 5" xfId="32283" xr:uid="{00000000-0005-0000-0000-0000B4480000}"/>
    <cellStyle name="Normal 10 11 4" xfId="8523" xr:uid="{00000000-0005-0000-0000-0000B5480000}"/>
    <cellStyle name="Normal 10 11 4 2" xfId="15312" xr:uid="{00000000-0005-0000-0000-0000B6480000}"/>
    <cellStyle name="Normal 10 11 4 2 2" xfId="28880" xr:uid="{00000000-0005-0000-0000-0000B7480000}"/>
    <cellStyle name="Normal 10 11 4 2 2 2" xfId="56013" xr:uid="{00000000-0005-0000-0000-0000B8480000}"/>
    <cellStyle name="Normal 10 11 4 2 3" xfId="42451" xr:uid="{00000000-0005-0000-0000-0000B9480000}"/>
    <cellStyle name="Normal 10 11 4 3" xfId="22099" xr:uid="{00000000-0005-0000-0000-0000BA480000}"/>
    <cellStyle name="Normal 10 11 4 3 2" xfId="49232" xr:uid="{00000000-0005-0000-0000-0000BB480000}"/>
    <cellStyle name="Normal 10 11 4 4" xfId="35670" xr:uid="{00000000-0005-0000-0000-0000BC480000}"/>
    <cellStyle name="Normal 10 11 5" xfId="11923" xr:uid="{00000000-0005-0000-0000-0000BD480000}"/>
    <cellStyle name="Normal 10 11 5 2" xfId="25491" xr:uid="{00000000-0005-0000-0000-0000BE480000}"/>
    <cellStyle name="Normal 10 11 5 2 2" xfId="52624" xr:uid="{00000000-0005-0000-0000-0000BF480000}"/>
    <cellStyle name="Normal 10 11 5 3" xfId="39062" xr:uid="{00000000-0005-0000-0000-0000C0480000}"/>
    <cellStyle name="Normal 10 11 6" xfId="18710" xr:uid="{00000000-0005-0000-0000-0000C1480000}"/>
    <cellStyle name="Normal 10 11 6 2" xfId="45843" xr:uid="{00000000-0005-0000-0000-0000C2480000}"/>
    <cellStyle name="Normal 10 11 7" xfId="32281" xr:uid="{00000000-0005-0000-0000-0000C3480000}"/>
    <cellStyle name="Normal 10 12" xfId="4962" xr:uid="{00000000-0005-0000-0000-0000C4480000}"/>
    <cellStyle name="Normal 10 12 2" xfId="8526" xr:uid="{00000000-0005-0000-0000-0000C5480000}"/>
    <cellStyle name="Normal 10 12 2 2" xfId="15315" xr:uid="{00000000-0005-0000-0000-0000C6480000}"/>
    <cellStyle name="Normal 10 12 2 2 2" xfId="28883" xr:uid="{00000000-0005-0000-0000-0000C7480000}"/>
    <cellStyle name="Normal 10 12 2 2 2 2" xfId="56016" xr:uid="{00000000-0005-0000-0000-0000C8480000}"/>
    <cellStyle name="Normal 10 12 2 2 3" xfId="42454" xr:uid="{00000000-0005-0000-0000-0000C9480000}"/>
    <cellStyle name="Normal 10 12 2 3" xfId="22102" xr:uid="{00000000-0005-0000-0000-0000CA480000}"/>
    <cellStyle name="Normal 10 12 2 3 2" xfId="49235" xr:uid="{00000000-0005-0000-0000-0000CB480000}"/>
    <cellStyle name="Normal 10 12 2 4" xfId="35673" xr:uid="{00000000-0005-0000-0000-0000CC480000}"/>
    <cellStyle name="Normal 10 12 3" xfId="11926" xr:uid="{00000000-0005-0000-0000-0000CD480000}"/>
    <cellStyle name="Normal 10 12 3 2" xfId="25494" xr:uid="{00000000-0005-0000-0000-0000CE480000}"/>
    <cellStyle name="Normal 10 12 3 2 2" xfId="52627" xr:uid="{00000000-0005-0000-0000-0000CF480000}"/>
    <cellStyle name="Normal 10 12 3 3" xfId="39065" xr:uid="{00000000-0005-0000-0000-0000D0480000}"/>
    <cellStyle name="Normal 10 12 4" xfId="18713" xr:uid="{00000000-0005-0000-0000-0000D1480000}"/>
    <cellStyle name="Normal 10 12 4 2" xfId="45846" xr:uid="{00000000-0005-0000-0000-0000D2480000}"/>
    <cellStyle name="Normal 10 12 5" xfId="32284" xr:uid="{00000000-0005-0000-0000-0000D3480000}"/>
    <cellStyle name="Normal 10 2" xfId="4963" xr:uid="{00000000-0005-0000-0000-0000D4480000}"/>
    <cellStyle name="Normal 10 2 10" xfId="4964" xr:uid="{00000000-0005-0000-0000-0000D5480000}"/>
    <cellStyle name="Normal 10 2 10 2" xfId="4965" xr:uid="{00000000-0005-0000-0000-0000D6480000}"/>
    <cellStyle name="Normal 10 2 10 2 2" xfId="8528" xr:uid="{00000000-0005-0000-0000-0000D7480000}"/>
    <cellStyle name="Normal 10 2 10 2 2 2" xfId="15317" xr:uid="{00000000-0005-0000-0000-0000D8480000}"/>
    <cellStyle name="Normal 10 2 10 2 2 2 2" xfId="28885" xr:uid="{00000000-0005-0000-0000-0000D9480000}"/>
    <cellStyle name="Normal 10 2 10 2 2 2 2 2" xfId="56018" xr:uid="{00000000-0005-0000-0000-0000DA480000}"/>
    <cellStyle name="Normal 10 2 10 2 2 2 3" xfId="42456" xr:uid="{00000000-0005-0000-0000-0000DB480000}"/>
    <cellStyle name="Normal 10 2 10 2 2 3" xfId="22104" xr:uid="{00000000-0005-0000-0000-0000DC480000}"/>
    <cellStyle name="Normal 10 2 10 2 2 3 2" xfId="49237" xr:uid="{00000000-0005-0000-0000-0000DD480000}"/>
    <cellStyle name="Normal 10 2 10 2 2 4" xfId="35675" xr:uid="{00000000-0005-0000-0000-0000DE480000}"/>
    <cellStyle name="Normal 10 2 10 2 3" xfId="11928" xr:uid="{00000000-0005-0000-0000-0000DF480000}"/>
    <cellStyle name="Normal 10 2 10 2 3 2" xfId="25496" xr:uid="{00000000-0005-0000-0000-0000E0480000}"/>
    <cellStyle name="Normal 10 2 10 2 3 2 2" xfId="52629" xr:uid="{00000000-0005-0000-0000-0000E1480000}"/>
    <cellStyle name="Normal 10 2 10 2 3 3" xfId="39067" xr:uid="{00000000-0005-0000-0000-0000E2480000}"/>
    <cellStyle name="Normal 10 2 10 2 4" xfId="18715" xr:uid="{00000000-0005-0000-0000-0000E3480000}"/>
    <cellStyle name="Normal 10 2 10 2 4 2" xfId="45848" xr:uid="{00000000-0005-0000-0000-0000E4480000}"/>
    <cellStyle name="Normal 10 2 10 2 5" xfId="32286" xr:uid="{00000000-0005-0000-0000-0000E5480000}"/>
    <cellStyle name="Normal 10 2 10 3" xfId="4966" xr:uid="{00000000-0005-0000-0000-0000E6480000}"/>
    <cellStyle name="Normal 10 2 10 3 2" xfId="8529" xr:uid="{00000000-0005-0000-0000-0000E7480000}"/>
    <cellStyle name="Normal 10 2 10 3 2 2" xfId="15318" xr:uid="{00000000-0005-0000-0000-0000E8480000}"/>
    <cellStyle name="Normal 10 2 10 3 2 2 2" xfId="28886" xr:uid="{00000000-0005-0000-0000-0000E9480000}"/>
    <cellStyle name="Normal 10 2 10 3 2 2 2 2" xfId="56019" xr:uid="{00000000-0005-0000-0000-0000EA480000}"/>
    <cellStyle name="Normal 10 2 10 3 2 2 3" xfId="42457" xr:uid="{00000000-0005-0000-0000-0000EB480000}"/>
    <cellStyle name="Normal 10 2 10 3 2 3" xfId="22105" xr:uid="{00000000-0005-0000-0000-0000EC480000}"/>
    <cellStyle name="Normal 10 2 10 3 2 3 2" xfId="49238" xr:uid="{00000000-0005-0000-0000-0000ED480000}"/>
    <cellStyle name="Normal 10 2 10 3 2 4" xfId="35676" xr:uid="{00000000-0005-0000-0000-0000EE480000}"/>
    <cellStyle name="Normal 10 2 10 3 3" xfId="11929" xr:uid="{00000000-0005-0000-0000-0000EF480000}"/>
    <cellStyle name="Normal 10 2 10 3 3 2" xfId="25497" xr:uid="{00000000-0005-0000-0000-0000F0480000}"/>
    <cellStyle name="Normal 10 2 10 3 3 2 2" xfId="52630" xr:uid="{00000000-0005-0000-0000-0000F1480000}"/>
    <cellStyle name="Normal 10 2 10 3 3 3" xfId="39068" xr:uid="{00000000-0005-0000-0000-0000F2480000}"/>
    <cellStyle name="Normal 10 2 10 3 4" xfId="18716" xr:uid="{00000000-0005-0000-0000-0000F3480000}"/>
    <cellStyle name="Normal 10 2 10 3 4 2" xfId="45849" xr:uid="{00000000-0005-0000-0000-0000F4480000}"/>
    <cellStyle name="Normal 10 2 10 3 5" xfId="32287" xr:uid="{00000000-0005-0000-0000-0000F5480000}"/>
    <cellStyle name="Normal 10 2 10 4" xfId="8527" xr:uid="{00000000-0005-0000-0000-0000F6480000}"/>
    <cellStyle name="Normal 10 2 10 4 2" xfId="15316" xr:uid="{00000000-0005-0000-0000-0000F7480000}"/>
    <cellStyle name="Normal 10 2 10 4 2 2" xfId="28884" xr:uid="{00000000-0005-0000-0000-0000F8480000}"/>
    <cellStyle name="Normal 10 2 10 4 2 2 2" xfId="56017" xr:uid="{00000000-0005-0000-0000-0000F9480000}"/>
    <cellStyle name="Normal 10 2 10 4 2 3" xfId="42455" xr:uid="{00000000-0005-0000-0000-0000FA480000}"/>
    <cellStyle name="Normal 10 2 10 4 3" xfId="22103" xr:uid="{00000000-0005-0000-0000-0000FB480000}"/>
    <cellStyle name="Normal 10 2 10 4 3 2" xfId="49236" xr:uid="{00000000-0005-0000-0000-0000FC480000}"/>
    <cellStyle name="Normal 10 2 10 4 4" xfId="35674" xr:uid="{00000000-0005-0000-0000-0000FD480000}"/>
    <cellStyle name="Normal 10 2 10 5" xfId="11927" xr:uid="{00000000-0005-0000-0000-0000FE480000}"/>
    <cellStyle name="Normal 10 2 10 5 2" xfId="25495" xr:uid="{00000000-0005-0000-0000-0000FF480000}"/>
    <cellStyle name="Normal 10 2 10 5 2 2" xfId="52628" xr:uid="{00000000-0005-0000-0000-000000490000}"/>
    <cellStyle name="Normal 10 2 10 5 3" xfId="39066" xr:uid="{00000000-0005-0000-0000-000001490000}"/>
    <cellStyle name="Normal 10 2 10 6" xfId="18714" xr:uid="{00000000-0005-0000-0000-000002490000}"/>
    <cellStyle name="Normal 10 2 10 6 2" xfId="45847" xr:uid="{00000000-0005-0000-0000-000003490000}"/>
    <cellStyle name="Normal 10 2 10 7" xfId="32285" xr:uid="{00000000-0005-0000-0000-000004490000}"/>
    <cellStyle name="Normal 10 2 11" xfId="4967" xr:uid="{00000000-0005-0000-0000-000005490000}"/>
    <cellStyle name="Normal 10 2 11 2" xfId="8530" xr:uid="{00000000-0005-0000-0000-000006490000}"/>
    <cellStyle name="Normal 10 2 11 2 2" xfId="15319" xr:uid="{00000000-0005-0000-0000-000007490000}"/>
    <cellStyle name="Normal 10 2 11 2 2 2" xfId="28887" xr:uid="{00000000-0005-0000-0000-000008490000}"/>
    <cellStyle name="Normal 10 2 11 2 2 2 2" xfId="56020" xr:uid="{00000000-0005-0000-0000-000009490000}"/>
    <cellStyle name="Normal 10 2 11 2 2 3" xfId="42458" xr:uid="{00000000-0005-0000-0000-00000A490000}"/>
    <cellStyle name="Normal 10 2 11 2 3" xfId="22106" xr:uid="{00000000-0005-0000-0000-00000B490000}"/>
    <cellStyle name="Normal 10 2 11 2 3 2" xfId="49239" xr:uid="{00000000-0005-0000-0000-00000C490000}"/>
    <cellStyle name="Normal 10 2 11 2 4" xfId="35677" xr:uid="{00000000-0005-0000-0000-00000D490000}"/>
    <cellStyle name="Normal 10 2 11 3" xfId="11930" xr:uid="{00000000-0005-0000-0000-00000E490000}"/>
    <cellStyle name="Normal 10 2 11 3 2" xfId="25498" xr:uid="{00000000-0005-0000-0000-00000F490000}"/>
    <cellStyle name="Normal 10 2 11 3 2 2" xfId="52631" xr:uid="{00000000-0005-0000-0000-000010490000}"/>
    <cellStyle name="Normal 10 2 11 3 3" xfId="39069" xr:uid="{00000000-0005-0000-0000-000011490000}"/>
    <cellStyle name="Normal 10 2 11 4" xfId="18717" xr:uid="{00000000-0005-0000-0000-000012490000}"/>
    <cellStyle name="Normal 10 2 11 4 2" xfId="45850" xr:uid="{00000000-0005-0000-0000-000013490000}"/>
    <cellStyle name="Normal 10 2 11 5" xfId="32288" xr:uid="{00000000-0005-0000-0000-000014490000}"/>
    <cellStyle name="Normal 10 2 12" xfId="4968" xr:uid="{00000000-0005-0000-0000-000015490000}"/>
    <cellStyle name="Normal 10 2 12 2" xfId="8531" xr:uid="{00000000-0005-0000-0000-000016490000}"/>
    <cellStyle name="Normal 10 2 12 2 2" xfId="15320" xr:uid="{00000000-0005-0000-0000-000017490000}"/>
    <cellStyle name="Normal 10 2 12 2 2 2" xfId="28888" xr:uid="{00000000-0005-0000-0000-000018490000}"/>
    <cellStyle name="Normal 10 2 12 2 2 2 2" xfId="56021" xr:uid="{00000000-0005-0000-0000-000019490000}"/>
    <cellStyle name="Normal 10 2 12 2 2 3" xfId="42459" xr:uid="{00000000-0005-0000-0000-00001A490000}"/>
    <cellStyle name="Normal 10 2 12 2 3" xfId="22107" xr:uid="{00000000-0005-0000-0000-00001B490000}"/>
    <cellStyle name="Normal 10 2 12 2 3 2" xfId="49240" xr:uid="{00000000-0005-0000-0000-00001C490000}"/>
    <cellStyle name="Normal 10 2 12 2 4" xfId="35678" xr:uid="{00000000-0005-0000-0000-00001D490000}"/>
    <cellStyle name="Normal 10 2 12 3" xfId="11931" xr:uid="{00000000-0005-0000-0000-00001E490000}"/>
    <cellStyle name="Normal 10 2 12 3 2" xfId="25499" xr:uid="{00000000-0005-0000-0000-00001F490000}"/>
    <cellStyle name="Normal 10 2 12 3 2 2" xfId="52632" xr:uid="{00000000-0005-0000-0000-000020490000}"/>
    <cellStyle name="Normal 10 2 12 3 3" xfId="39070" xr:uid="{00000000-0005-0000-0000-000021490000}"/>
    <cellStyle name="Normal 10 2 12 4" xfId="18718" xr:uid="{00000000-0005-0000-0000-000022490000}"/>
    <cellStyle name="Normal 10 2 12 4 2" xfId="45851" xr:uid="{00000000-0005-0000-0000-000023490000}"/>
    <cellStyle name="Normal 10 2 12 5" xfId="32289" xr:uid="{00000000-0005-0000-0000-000024490000}"/>
    <cellStyle name="Normal 10 2 2" xfId="4969" xr:uid="{00000000-0005-0000-0000-000025490000}"/>
    <cellStyle name="Normal 10 2 2 10" xfId="4970" xr:uid="{00000000-0005-0000-0000-000026490000}"/>
    <cellStyle name="Normal 10 2 2 10 2" xfId="8532" xr:uid="{00000000-0005-0000-0000-000027490000}"/>
    <cellStyle name="Normal 10 2 2 10 2 2" xfId="15321" xr:uid="{00000000-0005-0000-0000-000028490000}"/>
    <cellStyle name="Normal 10 2 2 10 2 2 2" xfId="28889" xr:uid="{00000000-0005-0000-0000-000029490000}"/>
    <cellStyle name="Normal 10 2 2 10 2 2 2 2" xfId="56022" xr:uid="{00000000-0005-0000-0000-00002A490000}"/>
    <cellStyle name="Normal 10 2 2 10 2 2 3" xfId="42460" xr:uid="{00000000-0005-0000-0000-00002B490000}"/>
    <cellStyle name="Normal 10 2 2 10 2 3" xfId="22108" xr:uid="{00000000-0005-0000-0000-00002C490000}"/>
    <cellStyle name="Normal 10 2 2 10 2 3 2" xfId="49241" xr:uid="{00000000-0005-0000-0000-00002D490000}"/>
    <cellStyle name="Normal 10 2 2 10 2 4" xfId="35679" xr:uid="{00000000-0005-0000-0000-00002E490000}"/>
    <cellStyle name="Normal 10 2 2 10 3" xfId="11932" xr:uid="{00000000-0005-0000-0000-00002F490000}"/>
    <cellStyle name="Normal 10 2 2 10 3 2" xfId="25500" xr:uid="{00000000-0005-0000-0000-000030490000}"/>
    <cellStyle name="Normal 10 2 2 10 3 2 2" xfId="52633" xr:uid="{00000000-0005-0000-0000-000031490000}"/>
    <cellStyle name="Normal 10 2 2 10 3 3" xfId="39071" xr:uid="{00000000-0005-0000-0000-000032490000}"/>
    <cellStyle name="Normal 10 2 2 10 4" xfId="18719" xr:uid="{00000000-0005-0000-0000-000033490000}"/>
    <cellStyle name="Normal 10 2 2 10 4 2" xfId="45852" xr:uid="{00000000-0005-0000-0000-000034490000}"/>
    <cellStyle name="Normal 10 2 2 10 5" xfId="32290" xr:uid="{00000000-0005-0000-0000-000035490000}"/>
    <cellStyle name="Normal 10 2 2 2" xfId="4971" xr:uid="{00000000-0005-0000-0000-000036490000}"/>
    <cellStyle name="Normal 10 2 2 2 10" xfId="11933" xr:uid="{00000000-0005-0000-0000-000037490000}"/>
    <cellStyle name="Normal 10 2 2 2 10 2" xfId="25501" xr:uid="{00000000-0005-0000-0000-000038490000}"/>
    <cellStyle name="Normal 10 2 2 2 10 2 2" xfId="52634" xr:uid="{00000000-0005-0000-0000-000039490000}"/>
    <cellStyle name="Normal 10 2 2 2 10 3" xfId="39072" xr:uid="{00000000-0005-0000-0000-00003A490000}"/>
    <cellStyle name="Normal 10 2 2 2 11" xfId="18720" xr:uid="{00000000-0005-0000-0000-00003B490000}"/>
    <cellStyle name="Normal 10 2 2 2 11 2" xfId="45853" xr:uid="{00000000-0005-0000-0000-00003C490000}"/>
    <cellStyle name="Normal 10 2 2 2 12" xfId="32291" xr:uid="{00000000-0005-0000-0000-00003D490000}"/>
    <cellStyle name="Normal 10 2 2 2 2" xfId="4972" xr:uid="{00000000-0005-0000-0000-00003E490000}"/>
    <cellStyle name="Normal 10 2 2 2 2 10" xfId="32292" xr:uid="{00000000-0005-0000-0000-00003F490000}"/>
    <cellStyle name="Normal 10 2 2 2 2 2" xfId="4973" xr:uid="{00000000-0005-0000-0000-000040490000}"/>
    <cellStyle name="Normal 10 2 2 2 2 2 2" xfId="4974" xr:uid="{00000000-0005-0000-0000-000041490000}"/>
    <cellStyle name="Normal 10 2 2 2 2 2 2 2" xfId="4975" xr:uid="{00000000-0005-0000-0000-000042490000}"/>
    <cellStyle name="Normal 10 2 2 2 2 2 2 2 2" xfId="8537" xr:uid="{00000000-0005-0000-0000-000043490000}"/>
    <cellStyle name="Normal 10 2 2 2 2 2 2 2 2 2" xfId="15326" xr:uid="{00000000-0005-0000-0000-000044490000}"/>
    <cellStyle name="Normal 10 2 2 2 2 2 2 2 2 2 2" xfId="28894" xr:uid="{00000000-0005-0000-0000-000045490000}"/>
    <cellStyle name="Normal 10 2 2 2 2 2 2 2 2 2 2 2" xfId="56027" xr:uid="{00000000-0005-0000-0000-000046490000}"/>
    <cellStyle name="Normal 10 2 2 2 2 2 2 2 2 2 3" xfId="42465" xr:uid="{00000000-0005-0000-0000-000047490000}"/>
    <cellStyle name="Normal 10 2 2 2 2 2 2 2 2 3" xfId="22113" xr:uid="{00000000-0005-0000-0000-000048490000}"/>
    <cellStyle name="Normal 10 2 2 2 2 2 2 2 2 3 2" xfId="49246" xr:uid="{00000000-0005-0000-0000-000049490000}"/>
    <cellStyle name="Normal 10 2 2 2 2 2 2 2 2 4" xfId="35684" xr:uid="{00000000-0005-0000-0000-00004A490000}"/>
    <cellStyle name="Normal 10 2 2 2 2 2 2 2 3" xfId="11937" xr:uid="{00000000-0005-0000-0000-00004B490000}"/>
    <cellStyle name="Normal 10 2 2 2 2 2 2 2 3 2" xfId="25505" xr:uid="{00000000-0005-0000-0000-00004C490000}"/>
    <cellStyle name="Normal 10 2 2 2 2 2 2 2 3 2 2" xfId="52638" xr:uid="{00000000-0005-0000-0000-00004D490000}"/>
    <cellStyle name="Normal 10 2 2 2 2 2 2 2 3 3" xfId="39076" xr:uid="{00000000-0005-0000-0000-00004E490000}"/>
    <cellStyle name="Normal 10 2 2 2 2 2 2 2 4" xfId="18724" xr:uid="{00000000-0005-0000-0000-00004F490000}"/>
    <cellStyle name="Normal 10 2 2 2 2 2 2 2 4 2" xfId="45857" xr:uid="{00000000-0005-0000-0000-000050490000}"/>
    <cellStyle name="Normal 10 2 2 2 2 2 2 2 5" xfId="32295" xr:uid="{00000000-0005-0000-0000-000051490000}"/>
    <cellStyle name="Normal 10 2 2 2 2 2 2 3" xfId="4976" xr:uid="{00000000-0005-0000-0000-000052490000}"/>
    <cellStyle name="Normal 10 2 2 2 2 2 2 3 2" xfId="8538" xr:uid="{00000000-0005-0000-0000-000053490000}"/>
    <cellStyle name="Normal 10 2 2 2 2 2 2 3 2 2" xfId="15327" xr:uid="{00000000-0005-0000-0000-000054490000}"/>
    <cellStyle name="Normal 10 2 2 2 2 2 2 3 2 2 2" xfId="28895" xr:uid="{00000000-0005-0000-0000-000055490000}"/>
    <cellStyle name="Normal 10 2 2 2 2 2 2 3 2 2 2 2" xfId="56028" xr:uid="{00000000-0005-0000-0000-000056490000}"/>
    <cellStyle name="Normal 10 2 2 2 2 2 2 3 2 2 3" xfId="42466" xr:uid="{00000000-0005-0000-0000-000057490000}"/>
    <cellStyle name="Normal 10 2 2 2 2 2 2 3 2 3" xfId="22114" xr:uid="{00000000-0005-0000-0000-000058490000}"/>
    <cellStyle name="Normal 10 2 2 2 2 2 2 3 2 3 2" xfId="49247" xr:uid="{00000000-0005-0000-0000-000059490000}"/>
    <cellStyle name="Normal 10 2 2 2 2 2 2 3 2 4" xfId="35685" xr:uid="{00000000-0005-0000-0000-00005A490000}"/>
    <cellStyle name="Normal 10 2 2 2 2 2 2 3 3" xfId="11938" xr:uid="{00000000-0005-0000-0000-00005B490000}"/>
    <cellStyle name="Normal 10 2 2 2 2 2 2 3 3 2" xfId="25506" xr:uid="{00000000-0005-0000-0000-00005C490000}"/>
    <cellStyle name="Normal 10 2 2 2 2 2 2 3 3 2 2" xfId="52639" xr:uid="{00000000-0005-0000-0000-00005D490000}"/>
    <cellStyle name="Normal 10 2 2 2 2 2 2 3 3 3" xfId="39077" xr:uid="{00000000-0005-0000-0000-00005E490000}"/>
    <cellStyle name="Normal 10 2 2 2 2 2 2 3 4" xfId="18725" xr:uid="{00000000-0005-0000-0000-00005F490000}"/>
    <cellStyle name="Normal 10 2 2 2 2 2 2 3 4 2" xfId="45858" xr:uid="{00000000-0005-0000-0000-000060490000}"/>
    <cellStyle name="Normal 10 2 2 2 2 2 2 3 5" xfId="32296" xr:uid="{00000000-0005-0000-0000-000061490000}"/>
    <cellStyle name="Normal 10 2 2 2 2 2 2 4" xfId="8536" xr:uid="{00000000-0005-0000-0000-000062490000}"/>
    <cellStyle name="Normal 10 2 2 2 2 2 2 4 2" xfId="15325" xr:uid="{00000000-0005-0000-0000-000063490000}"/>
    <cellStyle name="Normal 10 2 2 2 2 2 2 4 2 2" xfId="28893" xr:uid="{00000000-0005-0000-0000-000064490000}"/>
    <cellStyle name="Normal 10 2 2 2 2 2 2 4 2 2 2" xfId="56026" xr:uid="{00000000-0005-0000-0000-000065490000}"/>
    <cellStyle name="Normal 10 2 2 2 2 2 2 4 2 3" xfId="42464" xr:uid="{00000000-0005-0000-0000-000066490000}"/>
    <cellStyle name="Normal 10 2 2 2 2 2 2 4 3" xfId="22112" xr:uid="{00000000-0005-0000-0000-000067490000}"/>
    <cellStyle name="Normal 10 2 2 2 2 2 2 4 3 2" xfId="49245" xr:uid="{00000000-0005-0000-0000-000068490000}"/>
    <cellStyle name="Normal 10 2 2 2 2 2 2 4 4" xfId="35683" xr:uid="{00000000-0005-0000-0000-000069490000}"/>
    <cellStyle name="Normal 10 2 2 2 2 2 2 5" xfId="11936" xr:uid="{00000000-0005-0000-0000-00006A490000}"/>
    <cellStyle name="Normal 10 2 2 2 2 2 2 5 2" xfId="25504" xr:uid="{00000000-0005-0000-0000-00006B490000}"/>
    <cellStyle name="Normal 10 2 2 2 2 2 2 5 2 2" xfId="52637" xr:uid="{00000000-0005-0000-0000-00006C490000}"/>
    <cellStyle name="Normal 10 2 2 2 2 2 2 5 3" xfId="39075" xr:uid="{00000000-0005-0000-0000-00006D490000}"/>
    <cellStyle name="Normal 10 2 2 2 2 2 2 6" xfId="18723" xr:uid="{00000000-0005-0000-0000-00006E490000}"/>
    <cellStyle name="Normal 10 2 2 2 2 2 2 6 2" xfId="45856" xr:uid="{00000000-0005-0000-0000-00006F490000}"/>
    <cellStyle name="Normal 10 2 2 2 2 2 2 7" xfId="32294" xr:uid="{00000000-0005-0000-0000-000070490000}"/>
    <cellStyle name="Normal 10 2 2 2 2 2 3" xfId="4977" xr:uid="{00000000-0005-0000-0000-000071490000}"/>
    <cellStyle name="Normal 10 2 2 2 2 2 3 2" xfId="4978" xr:uid="{00000000-0005-0000-0000-000072490000}"/>
    <cellStyle name="Normal 10 2 2 2 2 2 3 2 2" xfId="8540" xr:uid="{00000000-0005-0000-0000-000073490000}"/>
    <cellStyle name="Normal 10 2 2 2 2 2 3 2 2 2" xfId="15329" xr:uid="{00000000-0005-0000-0000-000074490000}"/>
    <cellStyle name="Normal 10 2 2 2 2 2 3 2 2 2 2" xfId="28897" xr:uid="{00000000-0005-0000-0000-000075490000}"/>
    <cellStyle name="Normal 10 2 2 2 2 2 3 2 2 2 2 2" xfId="56030" xr:uid="{00000000-0005-0000-0000-000076490000}"/>
    <cellStyle name="Normal 10 2 2 2 2 2 3 2 2 2 3" xfId="42468" xr:uid="{00000000-0005-0000-0000-000077490000}"/>
    <cellStyle name="Normal 10 2 2 2 2 2 3 2 2 3" xfId="22116" xr:uid="{00000000-0005-0000-0000-000078490000}"/>
    <cellStyle name="Normal 10 2 2 2 2 2 3 2 2 3 2" xfId="49249" xr:uid="{00000000-0005-0000-0000-000079490000}"/>
    <cellStyle name="Normal 10 2 2 2 2 2 3 2 2 4" xfId="35687" xr:uid="{00000000-0005-0000-0000-00007A490000}"/>
    <cellStyle name="Normal 10 2 2 2 2 2 3 2 3" xfId="11940" xr:uid="{00000000-0005-0000-0000-00007B490000}"/>
    <cellStyle name="Normal 10 2 2 2 2 2 3 2 3 2" xfId="25508" xr:uid="{00000000-0005-0000-0000-00007C490000}"/>
    <cellStyle name="Normal 10 2 2 2 2 2 3 2 3 2 2" xfId="52641" xr:uid="{00000000-0005-0000-0000-00007D490000}"/>
    <cellStyle name="Normal 10 2 2 2 2 2 3 2 3 3" xfId="39079" xr:uid="{00000000-0005-0000-0000-00007E490000}"/>
    <cellStyle name="Normal 10 2 2 2 2 2 3 2 4" xfId="18727" xr:uid="{00000000-0005-0000-0000-00007F490000}"/>
    <cellStyle name="Normal 10 2 2 2 2 2 3 2 4 2" xfId="45860" xr:uid="{00000000-0005-0000-0000-000080490000}"/>
    <cellStyle name="Normal 10 2 2 2 2 2 3 2 5" xfId="32298" xr:uid="{00000000-0005-0000-0000-000081490000}"/>
    <cellStyle name="Normal 10 2 2 2 2 2 3 3" xfId="8539" xr:uid="{00000000-0005-0000-0000-000082490000}"/>
    <cellStyle name="Normal 10 2 2 2 2 2 3 3 2" xfId="15328" xr:uid="{00000000-0005-0000-0000-000083490000}"/>
    <cellStyle name="Normal 10 2 2 2 2 2 3 3 2 2" xfId="28896" xr:uid="{00000000-0005-0000-0000-000084490000}"/>
    <cellStyle name="Normal 10 2 2 2 2 2 3 3 2 2 2" xfId="56029" xr:uid="{00000000-0005-0000-0000-000085490000}"/>
    <cellStyle name="Normal 10 2 2 2 2 2 3 3 2 3" xfId="42467" xr:uid="{00000000-0005-0000-0000-000086490000}"/>
    <cellStyle name="Normal 10 2 2 2 2 2 3 3 3" xfId="22115" xr:uid="{00000000-0005-0000-0000-000087490000}"/>
    <cellStyle name="Normal 10 2 2 2 2 2 3 3 3 2" xfId="49248" xr:uid="{00000000-0005-0000-0000-000088490000}"/>
    <cellStyle name="Normal 10 2 2 2 2 2 3 3 4" xfId="35686" xr:uid="{00000000-0005-0000-0000-000089490000}"/>
    <cellStyle name="Normal 10 2 2 2 2 2 3 4" xfId="11939" xr:uid="{00000000-0005-0000-0000-00008A490000}"/>
    <cellStyle name="Normal 10 2 2 2 2 2 3 4 2" xfId="25507" xr:uid="{00000000-0005-0000-0000-00008B490000}"/>
    <cellStyle name="Normal 10 2 2 2 2 2 3 4 2 2" xfId="52640" xr:uid="{00000000-0005-0000-0000-00008C490000}"/>
    <cellStyle name="Normal 10 2 2 2 2 2 3 4 3" xfId="39078" xr:uid="{00000000-0005-0000-0000-00008D490000}"/>
    <cellStyle name="Normal 10 2 2 2 2 2 3 5" xfId="18726" xr:uid="{00000000-0005-0000-0000-00008E490000}"/>
    <cellStyle name="Normal 10 2 2 2 2 2 3 5 2" xfId="45859" xr:uid="{00000000-0005-0000-0000-00008F490000}"/>
    <cellStyle name="Normal 10 2 2 2 2 2 3 6" xfId="32297" xr:uid="{00000000-0005-0000-0000-000090490000}"/>
    <cellStyle name="Normal 10 2 2 2 2 2 4" xfId="4979" xr:uid="{00000000-0005-0000-0000-000091490000}"/>
    <cellStyle name="Normal 10 2 2 2 2 2 4 2" xfId="8541" xr:uid="{00000000-0005-0000-0000-000092490000}"/>
    <cellStyle name="Normal 10 2 2 2 2 2 4 2 2" xfId="15330" xr:uid="{00000000-0005-0000-0000-000093490000}"/>
    <cellStyle name="Normal 10 2 2 2 2 2 4 2 2 2" xfId="28898" xr:uid="{00000000-0005-0000-0000-000094490000}"/>
    <cellStyle name="Normal 10 2 2 2 2 2 4 2 2 2 2" xfId="56031" xr:uid="{00000000-0005-0000-0000-000095490000}"/>
    <cellStyle name="Normal 10 2 2 2 2 2 4 2 2 3" xfId="42469" xr:uid="{00000000-0005-0000-0000-000096490000}"/>
    <cellStyle name="Normal 10 2 2 2 2 2 4 2 3" xfId="22117" xr:uid="{00000000-0005-0000-0000-000097490000}"/>
    <cellStyle name="Normal 10 2 2 2 2 2 4 2 3 2" xfId="49250" xr:uid="{00000000-0005-0000-0000-000098490000}"/>
    <cellStyle name="Normal 10 2 2 2 2 2 4 2 4" xfId="35688" xr:uid="{00000000-0005-0000-0000-000099490000}"/>
    <cellStyle name="Normal 10 2 2 2 2 2 4 3" xfId="11941" xr:uid="{00000000-0005-0000-0000-00009A490000}"/>
    <cellStyle name="Normal 10 2 2 2 2 2 4 3 2" xfId="25509" xr:uid="{00000000-0005-0000-0000-00009B490000}"/>
    <cellStyle name="Normal 10 2 2 2 2 2 4 3 2 2" xfId="52642" xr:uid="{00000000-0005-0000-0000-00009C490000}"/>
    <cellStyle name="Normal 10 2 2 2 2 2 4 3 3" xfId="39080" xr:uid="{00000000-0005-0000-0000-00009D490000}"/>
    <cellStyle name="Normal 10 2 2 2 2 2 4 4" xfId="18728" xr:uid="{00000000-0005-0000-0000-00009E490000}"/>
    <cellStyle name="Normal 10 2 2 2 2 2 4 4 2" xfId="45861" xr:uid="{00000000-0005-0000-0000-00009F490000}"/>
    <cellStyle name="Normal 10 2 2 2 2 2 4 5" xfId="32299" xr:uid="{00000000-0005-0000-0000-0000A0490000}"/>
    <cellStyle name="Normal 10 2 2 2 2 2 5" xfId="4980" xr:uid="{00000000-0005-0000-0000-0000A1490000}"/>
    <cellStyle name="Normal 10 2 2 2 2 2 5 2" xfId="8542" xr:uid="{00000000-0005-0000-0000-0000A2490000}"/>
    <cellStyle name="Normal 10 2 2 2 2 2 5 2 2" xfId="15331" xr:uid="{00000000-0005-0000-0000-0000A3490000}"/>
    <cellStyle name="Normal 10 2 2 2 2 2 5 2 2 2" xfId="28899" xr:uid="{00000000-0005-0000-0000-0000A4490000}"/>
    <cellStyle name="Normal 10 2 2 2 2 2 5 2 2 2 2" xfId="56032" xr:uid="{00000000-0005-0000-0000-0000A5490000}"/>
    <cellStyle name="Normal 10 2 2 2 2 2 5 2 2 3" xfId="42470" xr:uid="{00000000-0005-0000-0000-0000A6490000}"/>
    <cellStyle name="Normal 10 2 2 2 2 2 5 2 3" xfId="22118" xr:uid="{00000000-0005-0000-0000-0000A7490000}"/>
    <cellStyle name="Normal 10 2 2 2 2 2 5 2 3 2" xfId="49251" xr:uid="{00000000-0005-0000-0000-0000A8490000}"/>
    <cellStyle name="Normal 10 2 2 2 2 2 5 2 4" xfId="35689" xr:uid="{00000000-0005-0000-0000-0000A9490000}"/>
    <cellStyle name="Normal 10 2 2 2 2 2 5 3" xfId="11942" xr:uid="{00000000-0005-0000-0000-0000AA490000}"/>
    <cellStyle name="Normal 10 2 2 2 2 2 5 3 2" xfId="25510" xr:uid="{00000000-0005-0000-0000-0000AB490000}"/>
    <cellStyle name="Normal 10 2 2 2 2 2 5 3 2 2" xfId="52643" xr:uid="{00000000-0005-0000-0000-0000AC490000}"/>
    <cellStyle name="Normal 10 2 2 2 2 2 5 3 3" xfId="39081" xr:uid="{00000000-0005-0000-0000-0000AD490000}"/>
    <cellStyle name="Normal 10 2 2 2 2 2 5 4" xfId="18729" xr:uid="{00000000-0005-0000-0000-0000AE490000}"/>
    <cellStyle name="Normal 10 2 2 2 2 2 5 4 2" xfId="45862" xr:uid="{00000000-0005-0000-0000-0000AF490000}"/>
    <cellStyle name="Normal 10 2 2 2 2 2 5 5" xfId="32300" xr:uid="{00000000-0005-0000-0000-0000B0490000}"/>
    <cellStyle name="Normal 10 2 2 2 2 2 6" xfId="8535" xr:uid="{00000000-0005-0000-0000-0000B1490000}"/>
    <cellStyle name="Normal 10 2 2 2 2 2 6 2" xfId="15324" xr:uid="{00000000-0005-0000-0000-0000B2490000}"/>
    <cellStyle name="Normal 10 2 2 2 2 2 6 2 2" xfId="28892" xr:uid="{00000000-0005-0000-0000-0000B3490000}"/>
    <cellStyle name="Normal 10 2 2 2 2 2 6 2 2 2" xfId="56025" xr:uid="{00000000-0005-0000-0000-0000B4490000}"/>
    <cellStyle name="Normal 10 2 2 2 2 2 6 2 3" xfId="42463" xr:uid="{00000000-0005-0000-0000-0000B5490000}"/>
    <cellStyle name="Normal 10 2 2 2 2 2 6 3" xfId="22111" xr:uid="{00000000-0005-0000-0000-0000B6490000}"/>
    <cellStyle name="Normal 10 2 2 2 2 2 6 3 2" xfId="49244" xr:uid="{00000000-0005-0000-0000-0000B7490000}"/>
    <cellStyle name="Normal 10 2 2 2 2 2 6 4" xfId="35682" xr:uid="{00000000-0005-0000-0000-0000B8490000}"/>
    <cellStyle name="Normal 10 2 2 2 2 2 7" xfId="11935" xr:uid="{00000000-0005-0000-0000-0000B9490000}"/>
    <cellStyle name="Normal 10 2 2 2 2 2 7 2" xfId="25503" xr:uid="{00000000-0005-0000-0000-0000BA490000}"/>
    <cellStyle name="Normal 10 2 2 2 2 2 7 2 2" xfId="52636" xr:uid="{00000000-0005-0000-0000-0000BB490000}"/>
    <cellStyle name="Normal 10 2 2 2 2 2 7 3" xfId="39074" xr:uid="{00000000-0005-0000-0000-0000BC490000}"/>
    <cellStyle name="Normal 10 2 2 2 2 2 8" xfId="18722" xr:uid="{00000000-0005-0000-0000-0000BD490000}"/>
    <cellStyle name="Normal 10 2 2 2 2 2 8 2" xfId="45855" xr:uid="{00000000-0005-0000-0000-0000BE490000}"/>
    <cellStyle name="Normal 10 2 2 2 2 2 9" xfId="32293" xr:uid="{00000000-0005-0000-0000-0000BF490000}"/>
    <cellStyle name="Normal 10 2 2 2 2 3" xfId="4981" xr:uid="{00000000-0005-0000-0000-0000C0490000}"/>
    <cellStyle name="Normal 10 2 2 2 2 3 2" xfId="4982" xr:uid="{00000000-0005-0000-0000-0000C1490000}"/>
    <cellStyle name="Normal 10 2 2 2 2 3 2 2" xfId="8544" xr:uid="{00000000-0005-0000-0000-0000C2490000}"/>
    <cellStyle name="Normal 10 2 2 2 2 3 2 2 2" xfId="15333" xr:uid="{00000000-0005-0000-0000-0000C3490000}"/>
    <cellStyle name="Normal 10 2 2 2 2 3 2 2 2 2" xfId="28901" xr:uid="{00000000-0005-0000-0000-0000C4490000}"/>
    <cellStyle name="Normal 10 2 2 2 2 3 2 2 2 2 2" xfId="56034" xr:uid="{00000000-0005-0000-0000-0000C5490000}"/>
    <cellStyle name="Normal 10 2 2 2 2 3 2 2 2 3" xfId="42472" xr:uid="{00000000-0005-0000-0000-0000C6490000}"/>
    <cellStyle name="Normal 10 2 2 2 2 3 2 2 3" xfId="22120" xr:uid="{00000000-0005-0000-0000-0000C7490000}"/>
    <cellStyle name="Normal 10 2 2 2 2 3 2 2 3 2" xfId="49253" xr:uid="{00000000-0005-0000-0000-0000C8490000}"/>
    <cellStyle name="Normal 10 2 2 2 2 3 2 2 4" xfId="35691" xr:uid="{00000000-0005-0000-0000-0000C9490000}"/>
    <cellStyle name="Normal 10 2 2 2 2 3 2 3" xfId="11944" xr:uid="{00000000-0005-0000-0000-0000CA490000}"/>
    <cellStyle name="Normal 10 2 2 2 2 3 2 3 2" xfId="25512" xr:uid="{00000000-0005-0000-0000-0000CB490000}"/>
    <cellStyle name="Normal 10 2 2 2 2 3 2 3 2 2" xfId="52645" xr:uid="{00000000-0005-0000-0000-0000CC490000}"/>
    <cellStyle name="Normal 10 2 2 2 2 3 2 3 3" xfId="39083" xr:uid="{00000000-0005-0000-0000-0000CD490000}"/>
    <cellStyle name="Normal 10 2 2 2 2 3 2 4" xfId="18731" xr:uid="{00000000-0005-0000-0000-0000CE490000}"/>
    <cellStyle name="Normal 10 2 2 2 2 3 2 4 2" xfId="45864" xr:uid="{00000000-0005-0000-0000-0000CF490000}"/>
    <cellStyle name="Normal 10 2 2 2 2 3 2 5" xfId="32302" xr:uid="{00000000-0005-0000-0000-0000D0490000}"/>
    <cellStyle name="Normal 10 2 2 2 2 3 3" xfId="4983" xr:uid="{00000000-0005-0000-0000-0000D1490000}"/>
    <cellStyle name="Normal 10 2 2 2 2 3 3 2" xfId="8545" xr:uid="{00000000-0005-0000-0000-0000D2490000}"/>
    <cellStyle name="Normal 10 2 2 2 2 3 3 2 2" xfId="15334" xr:uid="{00000000-0005-0000-0000-0000D3490000}"/>
    <cellStyle name="Normal 10 2 2 2 2 3 3 2 2 2" xfId="28902" xr:uid="{00000000-0005-0000-0000-0000D4490000}"/>
    <cellStyle name="Normal 10 2 2 2 2 3 3 2 2 2 2" xfId="56035" xr:uid="{00000000-0005-0000-0000-0000D5490000}"/>
    <cellStyle name="Normal 10 2 2 2 2 3 3 2 2 3" xfId="42473" xr:uid="{00000000-0005-0000-0000-0000D6490000}"/>
    <cellStyle name="Normal 10 2 2 2 2 3 3 2 3" xfId="22121" xr:uid="{00000000-0005-0000-0000-0000D7490000}"/>
    <cellStyle name="Normal 10 2 2 2 2 3 3 2 3 2" xfId="49254" xr:uid="{00000000-0005-0000-0000-0000D8490000}"/>
    <cellStyle name="Normal 10 2 2 2 2 3 3 2 4" xfId="35692" xr:uid="{00000000-0005-0000-0000-0000D9490000}"/>
    <cellStyle name="Normal 10 2 2 2 2 3 3 3" xfId="11945" xr:uid="{00000000-0005-0000-0000-0000DA490000}"/>
    <cellStyle name="Normal 10 2 2 2 2 3 3 3 2" xfId="25513" xr:uid="{00000000-0005-0000-0000-0000DB490000}"/>
    <cellStyle name="Normal 10 2 2 2 2 3 3 3 2 2" xfId="52646" xr:uid="{00000000-0005-0000-0000-0000DC490000}"/>
    <cellStyle name="Normal 10 2 2 2 2 3 3 3 3" xfId="39084" xr:uid="{00000000-0005-0000-0000-0000DD490000}"/>
    <cellStyle name="Normal 10 2 2 2 2 3 3 4" xfId="18732" xr:uid="{00000000-0005-0000-0000-0000DE490000}"/>
    <cellStyle name="Normal 10 2 2 2 2 3 3 4 2" xfId="45865" xr:uid="{00000000-0005-0000-0000-0000DF490000}"/>
    <cellStyle name="Normal 10 2 2 2 2 3 3 5" xfId="32303" xr:uid="{00000000-0005-0000-0000-0000E0490000}"/>
    <cellStyle name="Normal 10 2 2 2 2 3 4" xfId="8543" xr:uid="{00000000-0005-0000-0000-0000E1490000}"/>
    <cellStyle name="Normal 10 2 2 2 2 3 4 2" xfId="15332" xr:uid="{00000000-0005-0000-0000-0000E2490000}"/>
    <cellStyle name="Normal 10 2 2 2 2 3 4 2 2" xfId="28900" xr:uid="{00000000-0005-0000-0000-0000E3490000}"/>
    <cellStyle name="Normal 10 2 2 2 2 3 4 2 2 2" xfId="56033" xr:uid="{00000000-0005-0000-0000-0000E4490000}"/>
    <cellStyle name="Normal 10 2 2 2 2 3 4 2 3" xfId="42471" xr:uid="{00000000-0005-0000-0000-0000E5490000}"/>
    <cellStyle name="Normal 10 2 2 2 2 3 4 3" xfId="22119" xr:uid="{00000000-0005-0000-0000-0000E6490000}"/>
    <cellStyle name="Normal 10 2 2 2 2 3 4 3 2" xfId="49252" xr:uid="{00000000-0005-0000-0000-0000E7490000}"/>
    <cellStyle name="Normal 10 2 2 2 2 3 4 4" xfId="35690" xr:uid="{00000000-0005-0000-0000-0000E8490000}"/>
    <cellStyle name="Normal 10 2 2 2 2 3 5" xfId="11943" xr:uid="{00000000-0005-0000-0000-0000E9490000}"/>
    <cellStyle name="Normal 10 2 2 2 2 3 5 2" xfId="25511" xr:uid="{00000000-0005-0000-0000-0000EA490000}"/>
    <cellStyle name="Normal 10 2 2 2 2 3 5 2 2" xfId="52644" xr:uid="{00000000-0005-0000-0000-0000EB490000}"/>
    <cellStyle name="Normal 10 2 2 2 2 3 5 3" xfId="39082" xr:uid="{00000000-0005-0000-0000-0000EC490000}"/>
    <cellStyle name="Normal 10 2 2 2 2 3 6" xfId="18730" xr:uid="{00000000-0005-0000-0000-0000ED490000}"/>
    <cellStyle name="Normal 10 2 2 2 2 3 6 2" xfId="45863" xr:uid="{00000000-0005-0000-0000-0000EE490000}"/>
    <cellStyle name="Normal 10 2 2 2 2 3 7" xfId="32301" xr:uid="{00000000-0005-0000-0000-0000EF490000}"/>
    <cellStyle name="Normal 10 2 2 2 2 4" xfId="4984" xr:uid="{00000000-0005-0000-0000-0000F0490000}"/>
    <cellStyle name="Normal 10 2 2 2 2 4 2" xfId="4985" xr:uid="{00000000-0005-0000-0000-0000F1490000}"/>
    <cellStyle name="Normal 10 2 2 2 2 4 2 2" xfId="8547" xr:uid="{00000000-0005-0000-0000-0000F2490000}"/>
    <cellStyle name="Normal 10 2 2 2 2 4 2 2 2" xfId="15336" xr:uid="{00000000-0005-0000-0000-0000F3490000}"/>
    <cellStyle name="Normal 10 2 2 2 2 4 2 2 2 2" xfId="28904" xr:uid="{00000000-0005-0000-0000-0000F4490000}"/>
    <cellStyle name="Normal 10 2 2 2 2 4 2 2 2 2 2" xfId="56037" xr:uid="{00000000-0005-0000-0000-0000F5490000}"/>
    <cellStyle name="Normal 10 2 2 2 2 4 2 2 2 3" xfId="42475" xr:uid="{00000000-0005-0000-0000-0000F6490000}"/>
    <cellStyle name="Normal 10 2 2 2 2 4 2 2 3" xfId="22123" xr:uid="{00000000-0005-0000-0000-0000F7490000}"/>
    <cellStyle name="Normal 10 2 2 2 2 4 2 2 3 2" xfId="49256" xr:uid="{00000000-0005-0000-0000-0000F8490000}"/>
    <cellStyle name="Normal 10 2 2 2 2 4 2 2 4" xfId="35694" xr:uid="{00000000-0005-0000-0000-0000F9490000}"/>
    <cellStyle name="Normal 10 2 2 2 2 4 2 3" xfId="11947" xr:uid="{00000000-0005-0000-0000-0000FA490000}"/>
    <cellStyle name="Normal 10 2 2 2 2 4 2 3 2" xfId="25515" xr:uid="{00000000-0005-0000-0000-0000FB490000}"/>
    <cellStyle name="Normal 10 2 2 2 2 4 2 3 2 2" xfId="52648" xr:uid="{00000000-0005-0000-0000-0000FC490000}"/>
    <cellStyle name="Normal 10 2 2 2 2 4 2 3 3" xfId="39086" xr:uid="{00000000-0005-0000-0000-0000FD490000}"/>
    <cellStyle name="Normal 10 2 2 2 2 4 2 4" xfId="18734" xr:uid="{00000000-0005-0000-0000-0000FE490000}"/>
    <cellStyle name="Normal 10 2 2 2 2 4 2 4 2" xfId="45867" xr:uid="{00000000-0005-0000-0000-0000FF490000}"/>
    <cellStyle name="Normal 10 2 2 2 2 4 2 5" xfId="32305" xr:uid="{00000000-0005-0000-0000-0000004A0000}"/>
    <cellStyle name="Normal 10 2 2 2 2 4 3" xfId="8546" xr:uid="{00000000-0005-0000-0000-0000014A0000}"/>
    <cellStyle name="Normal 10 2 2 2 2 4 3 2" xfId="15335" xr:uid="{00000000-0005-0000-0000-0000024A0000}"/>
    <cellStyle name="Normal 10 2 2 2 2 4 3 2 2" xfId="28903" xr:uid="{00000000-0005-0000-0000-0000034A0000}"/>
    <cellStyle name="Normal 10 2 2 2 2 4 3 2 2 2" xfId="56036" xr:uid="{00000000-0005-0000-0000-0000044A0000}"/>
    <cellStyle name="Normal 10 2 2 2 2 4 3 2 3" xfId="42474" xr:uid="{00000000-0005-0000-0000-0000054A0000}"/>
    <cellStyle name="Normal 10 2 2 2 2 4 3 3" xfId="22122" xr:uid="{00000000-0005-0000-0000-0000064A0000}"/>
    <cellStyle name="Normal 10 2 2 2 2 4 3 3 2" xfId="49255" xr:uid="{00000000-0005-0000-0000-0000074A0000}"/>
    <cellStyle name="Normal 10 2 2 2 2 4 3 4" xfId="35693" xr:uid="{00000000-0005-0000-0000-0000084A0000}"/>
    <cellStyle name="Normal 10 2 2 2 2 4 4" xfId="11946" xr:uid="{00000000-0005-0000-0000-0000094A0000}"/>
    <cellStyle name="Normal 10 2 2 2 2 4 4 2" xfId="25514" xr:uid="{00000000-0005-0000-0000-00000A4A0000}"/>
    <cellStyle name="Normal 10 2 2 2 2 4 4 2 2" xfId="52647" xr:uid="{00000000-0005-0000-0000-00000B4A0000}"/>
    <cellStyle name="Normal 10 2 2 2 2 4 4 3" xfId="39085" xr:uid="{00000000-0005-0000-0000-00000C4A0000}"/>
    <cellStyle name="Normal 10 2 2 2 2 4 5" xfId="18733" xr:uid="{00000000-0005-0000-0000-00000D4A0000}"/>
    <cellStyle name="Normal 10 2 2 2 2 4 5 2" xfId="45866" xr:uid="{00000000-0005-0000-0000-00000E4A0000}"/>
    <cellStyle name="Normal 10 2 2 2 2 4 6" xfId="32304" xr:uid="{00000000-0005-0000-0000-00000F4A0000}"/>
    <cellStyle name="Normal 10 2 2 2 2 5" xfId="4986" xr:uid="{00000000-0005-0000-0000-0000104A0000}"/>
    <cellStyle name="Normal 10 2 2 2 2 5 2" xfId="8548" xr:uid="{00000000-0005-0000-0000-0000114A0000}"/>
    <cellStyle name="Normal 10 2 2 2 2 5 2 2" xfId="15337" xr:uid="{00000000-0005-0000-0000-0000124A0000}"/>
    <cellStyle name="Normal 10 2 2 2 2 5 2 2 2" xfId="28905" xr:uid="{00000000-0005-0000-0000-0000134A0000}"/>
    <cellStyle name="Normal 10 2 2 2 2 5 2 2 2 2" xfId="56038" xr:uid="{00000000-0005-0000-0000-0000144A0000}"/>
    <cellStyle name="Normal 10 2 2 2 2 5 2 2 3" xfId="42476" xr:uid="{00000000-0005-0000-0000-0000154A0000}"/>
    <cellStyle name="Normal 10 2 2 2 2 5 2 3" xfId="22124" xr:uid="{00000000-0005-0000-0000-0000164A0000}"/>
    <cellStyle name="Normal 10 2 2 2 2 5 2 3 2" xfId="49257" xr:uid="{00000000-0005-0000-0000-0000174A0000}"/>
    <cellStyle name="Normal 10 2 2 2 2 5 2 4" xfId="35695" xr:uid="{00000000-0005-0000-0000-0000184A0000}"/>
    <cellStyle name="Normal 10 2 2 2 2 5 3" xfId="11948" xr:uid="{00000000-0005-0000-0000-0000194A0000}"/>
    <cellStyle name="Normal 10 2 2 2 2 5 3 2" xfId="25516" xr:uid="{00000000-0005-0000-0000-00001A4A0000}"/>
    <cellStyle name="Normal 10 2 2 2 2 5 3 2 2" xfId="52649" xr:uid="{00000000-0005-0000-0000-00001B4A0000}"/>
    <cellStyle name="Normal 10 2 2 2 2 5 3 3" xfId="39087" xr:uid="{00000000-0005-0000-0000-00001C4A0000}"/>
    <cellStyle name="Normal 10 2 2 2 2 5 4" xfId="18735" xr:uid="{00000000-0005-0000-0000-00001D4A0000}"/>
    <cellStyle name="Normal 10 2 2 2 2 5 4 2" xfId="45868" xr:uid="{00000000-0005-0000-0000-00001E4A0000}"/>
    <cellStyle name="Normal 10 2 2 2 2 5 5" xfId="32306" xr:uid="{00000000-0005-0000-0000-00001F4A0000}"/>
    <cellStyle name="Normal 10 2 2 2 2 6" xfId="4987" xr:uid="{00000000-0005-0000-0000-0000204A0000}"/>
    <cellStyle name="Normal 10 2 2 2 2 6 2" xfId="8549" xr:uid="{00000000-0005-0000-0000-0000214A0000}"/>
    <cellStyle name="Normal 10 2 2 2 2 6 2 2" xfId="15338" xr:uid="{00000000-0005-0000-0000-0000224A0000}"/>
    <cellStyle name="Normal 10 2 2 2 2 6 2 2 2" xfId="28906" xr:uid="{00000000-0005-0000-0000-0000234A0000}"/>
    <cellStyle name="Normal 10 2 2 2 2 6 2 2 2 2" xfId="56039" xr:uid="{00000000-0005-0000-0000-0000244A0000}"/>
    <cellStyle name="Normal 10 2 2 2 2 6 2 2 3" xfId="42477" xr:uid="{00000000-0005-0000-0000-0000254A0000}"/>
    <cellStyle name="Normal 10 2 2 2 2 6 2 3" xfId="22125" xr:uid="{00000000-0005-0000-0000-0000264A0000}"/>
    <cellStyle name="Normal 10 2 2 2 2 6 2 3 2" xfId="49258" xr:uid="{00000000-0005-0000-0000-0000274A0000}"/>
    <cellStyle name="Normal 10 2 2 2 2 6 2 4" xfId="35696" xr:uid="{00000000-0005-0000-0000-0000284A0000}"/>
    <cellStyle name="Normal 10 2 2 2 2 6 3" xfId="11949" xr:uid="{00000000-0005-0000-0000-0000294A0000}"/>
    <cellStyle name="Normal 10 2 2 2 2 6 3 2" xfId="25517" xr:uid="{00000000-0005-0000-0000-00002A4A0000}"/>
    <cellStyle name="Normal 10 2 2 2 2 6 3 2 2" xfId="52650" xr:uid="{00000000-0005-0000-0000-00002B4A0000}"/>
    <cellStyle name="Normal 10 2 2 2 2 6 3 3" xfId="39088" xr:uid="{00000000-0005-0000-0000-00002C4A0000}"/>
    <cellStyle name="Normal 10 2 2 2 2 6 4" xfId="18736" xr:uid="{00000000-0005-0000-0000-00002D4A0000}"/>
    <cellStyle name="Normal 10 2 2 2 2 6 4 2" xfId="45869" xr:uid="{00000000-0005-0000-0000-00002E4A0000}"/>
    <cellStyle name="Normal 10 2 2 2 2 6 5" xfId="32307" xr:uid="{00000000-0005-0000-0000-00002F4A0000}"/>
    <cellStyle name="Normal 10 2 2 2 2 7" xfId="8534" xr:uid="{00000000-0005-0000-0000-0000304A0000}"/>
    <cellStyle name="Normal 10 2 2 2 2 7 2" xfId="15323" xr:uid="{00000000-0005-0000-0000-0000314A0000}"/>
    <cellStyle name="Normal 10 2 2 2 2 7 2 2" xfId="28891" xr:uid="{00000000-0005-0000-0000-0000324A0000}"/>
    <cellStyle name="Normal 10 2 2 2 2 7 2 2 2" xfId="56024" xr:uid="{00000000-0005-0000-0000-0000334A0000}"/>
    <cellStyle name="Normal 10 2 2 2 2 7 2 3" xfId="42462" xr:uid="{00000000-0005-0000-0000-0000344A0000}"/>
    <cellStyle name="Normal 10 2 2 2 2 7 3" xfId="22110" xr:uid="{00000000-0005-0000-0000-0000354A0000}"/>
    <cellStyle name="Normal 10 2 2 2 2 7 3 2" xfId="49243" xr:uid="{00000000-0005-0000-0000-0000364A0000}"/>
    <cellStyle name="Normal 10 2 2 2 2 7 4" xfId="35681" xr:uid="{00000000-0005-0000-0000-0000374A0000}"/>
    <cellStyle name="Normal 10 2 2 2 2 8" xfId="11934" xr:uid="{00000000-0005-0000-0000-0000384A0000}"/>
    <cellStyle name="Normal 10 2 2 2 2 8 2" xfId="25502" xr:uid="{00000000-0005-0000-0000-0000394A0000}"/>
    <cellStyle name="Normal 10 2 2 2 2 8 2 2" xfId="52635" xr:uid="{00000000-0005-0000-0000-00003A4A0000}"/>
    <cellStyle name="Normal 10 2 2 2 2 8 3" xfId="39073" xr:uid="{00000000-0005-0000-0000-00003B4A0000}"/>
    <cellStyle name="Normal 10 2 2 2 2 9" xfId="18721" xr:uid="{00000000-0005-0000-0000-00003C4A0000}"/>
    <cellStyle name="Normal 10 2 2 2 2 9 2" xfId="45854" xr:uid="{00000000-0005-0000-0000-00003D4A0000}"/>
    <cellStyle name="Normal 10 2 2 2 3" xfId="4988" xr:uid="{00000000-0005-0000-0000-00003E4A0000}"/>
    <cellStyle name="Normal 10 2 2 2 3 2" xfId="4989" xr:uid="{00000000-0005-0000-0000-00003F4A0000}"/>
    <cellStyle name="Normal 10 2 2 2 3 2 2" xfId="4990" xr:uid="{00000000-0005-0000-0000-0000404A0000}"/>
    <cellStyle name="Normal 10 2 2 2 3 2 2 2" xfId="8552" xr:uid="{00000000-0005-0000-0000-0000414A0000}"/>
    <cellStyle name="Normal 10 2 2 2 3 2 2 2 2" xfId="15341" xr:uid="{00000000-0005-0000-0000-0000424A0000}"/>
    <cellStyle name="Normal 10 2 2 2 3 2 2 2 2 2" xfId="28909" xr:uid="{00000000-0005-0000-0000-0000434A0000}"/>
    <cellStyle name="Normal 10 2 2 2 3 2 2 2 2 2 2" xfId="56042" xr:uid="{00000000-0005-0000-0000-0000444A0000}"/>
    <cellStyle name="Normal 10 2 2 2 3 2 2 2 2 3" xfId="42480" xr:uid="{00000000-0005-0000-0000-0000454A0000}"/>
    <cellStyle name="Normal 10 2 2 2 3 2 2 2 3" xfId="22128" xr:uid="{00000000-0005-0000-0000-0000464A0000}"/>
    <cellStyle name="Normal 10 2 2 2 3 2 2 2 3 2" xfId="49261" xr:uid="{00000000-0005-0000-0000-0000474A0000}"/>
    <cellStyle name="Normal 10 2 2 2 3 2 2 2 4" xfId="35699" xr:uid="{00000000-0005-0000-0000-0000484A0000}"/>
    <cellStyle name="Normal 10 2 2 2 3 2 2 3" xfId="11952" xr:uid="{00000000-0005-0000-0000-0000494A0000}"/>
    <cellStyle name="Normal 10 2 2 2 3 2 2 3 2" xfId="25520" xr:uid="{00000000-0005-0000-0000-00004A4A0000}"/>
    <cellStyle name="Normal 10 2 2 2 3 2 2 3 2 2" xfId="52653" xr:uid="{00000000-0005-0000-0000-00004B4A0000}"/>
    <cellStyle name="Normal 10 2 2 2 3 2 2 3 3" xfId="39091" xr:uid="{00000000-0005-0000-0000-00004C4A0000}"/>
    <cellStyle name="Normal 10 2 2 2 3 2 2 4" xfId="18739" xr:uid="{00000000-0005-0000-0000-00004D4A0000}"/>
    <cellStyle name="Normal 10 2 2 2 3 2 2 4 2" xfId="45872" xr:uid="{00000000-0005-0000-0000-00004E4A0000}"/>
    <cellStyle name="Normal 10 2 2 2 3 2 2 5" xfId="32310" xr:uid="{00000000-0005-0000-0000-00004F4A0000}"/>
    <cellStyle name="Normal 10 2 2 2 3 2 3" xfId="4991" xr:uid="{00000000-0005-0000-0000-0000504A0000}"/>
    <cellStyle name="Normal 10 2 2 2 3 2 3 2" xfId="8553" xr:uid="{00000000-0005-0000-0000-0000514A0000}"/>
    <cellStyle name="Normal 10 2 2 2 3 2 3 2 2" xfId="15342" xr:uid="{00000000-0005-0000-0000-0000524A0000}"/>
    <cellStyle name="Normal 10 2 2 2 3 2 3 2 2 2" xfId="28910" xr:uid="{00000000-0005-0000-0000-0000534A0000}"/>
    <cellStyle name="Normal 10 2 2 2 3 2 3 2 2 2 2" xfId="56043" xr:uid="{00000000-0005-0000-0000-0000544A0000}"/>
    <cellStyle name="Normal 10 2 2 2 3 2 3 2 2 3" xfId="42481" xr:uid="{00000000-0005-0000-0000-0000554A0000}"/>
    <cellStyle name="Normal 10 2 2 2 3 2 3 2 3" xfId="22129" xr:uid="{00000000-0005-0000-0000-0000564A0000}"/>
    <cellStyle name="Normal 10 2 2 2 3 2 3 2 3 2" xfId="49262" xr:uid="{00000000-0005-0000-0000-0000574A0000}"/>
    <cellStyle name="Normal 10 2 2 2 3 2 3 2 4" xfId="35700" xr:uid="{00000000-0005-0000-0000-0000584A0000}"/>
    <cellStyle name="Normal 10 2 2 2 3 2 3 3" xfId="11953" xr:uid="{00000000-0005-0000-0000-0000594A0000}"/>
    <cellStyle name="Normal 10 2 2 2 3 2 3 3 2" xfId="25521" xr:uid="{00000000-0005-0000-0000-00005A4A0000}"/>
    <cellStyle name="Normal 10 2 2 2 3 2 3 3 2 2" xfId="52654" xr:uid="{00000000-0005-0000-0000-00005B4A0000}"/>
    <cellStyle name="Normal 10 2 2 2 3 2 3 3 3" xfId="39092" xr:uid="{00000000-0005-0000-0000-00005C4A0000}"/>
    <cellStyle name="Normal 10 2 2 2 3 2 3 4" xfId="18740" xr:uid="{00000000-0005-0000-0000-00005D4A0000}"/>
    <cellStyle name="Normal 10 2 2 2 3 2 3 4 2" xfId="45873" xr:uid="{00000000-0005-0000-0000-00005E4A0000}"/>
    <cellStyle name="Normal 10 2 2 2 3 2 3 5" xfId="32311" xr:uid="{00000000-0005-0000-0000-00005F4A0000}"/>
    <cellStyle name="Normal 10 2 2 2 3 2 4" xfId="8551" xr:uid="{00000000-0005-0000-0000-0000604A0000}"/>
    <cellStyle name="Normal 10 2 2 2 3 2 4 2" xfId="15340" xr:uid="{00000000-0005-0000-0000-0000614A0000}"/>
    <cellStyle name="Normal 10 2 2 2 3 2 4 2 2" xfId="28908" xr:uid="{00000000-0005-0000-0000-0000624A0000}"/>
    <cellStyle name="Normal 10 2 2 2 3 2 4 2 2 2" xfId="56041" xr:uid="{00000000-0005-0000-0000-0000634A0000}"/>
    <cellStyle name="Normal 10 2 2 2 3 2 4 2 3" xfId="42479" xr:uid="{00000000-0005-0000-0000-0000644A0000}"/>
    <cellStyle name="Normal 10 2 2 2 3 2 4 3" xfId="22127" xr:uid="{00000000-0005-0000-0000-0000654A0000}"/>
    <cellStyle name="Normal 10 2 2 2 3 2 4 3 2" xfId="49260" xr:uid="{00000000-0005-0000-0000-0000664A0000}"/>
    <cellStyle name="Normal 10 2 2 2 3 2 4 4" xfId="35698" xr:uid="{00000000-0005-0000-0000-0000674A0000}"/>
    <cellStyle name="Normal 10 2 2 2 3 2 5" xfId="11951" xr:uid="{00000000-0005-0000-0000-0000684A0000}"/>
    <cellStyle name="Normal 10 2 2 2 3 2 5 2" xfId="25519" xr:uid="{00000000-0005-0000-0000-0000694A0000}"/>
    <cellStyle name="Normal 10 2 2 2 3 2 5 2 2" xfId="52652" xr:uid="{00000000-0005-0000-0000-00006A4A0000}"/>
    <cellStyle name="Normal 10 2 2 2 3 2 5 3" xfId="39090" xr:uid="{00000000-0005-0000-0000-00006B4A0000}"/>
    <cellStyle name="Normal 10 2 2 2 3 2 6" xfId="18738" xr:uid="{00000000-0005-0000-0000-00006C4A0000}"/>
    <cellStyle name="Normal 10 2 2 2 3 2 6 2" xfId="45871" xr:uid="{00000000-0005-0000-0000-00006D4A0000}"/>
    <cellStyle name="Normal 10 2 2 2 3 2 7" xfId="32309" xr:uid="{00000000-0005-0000-0000-00006E4A0000}"/>
    <cellStyle name="Normal 10 2 2 2 3 3" xfId="4992" xr:uid="{00000000-0005-0000-0000-00006F4A0000}"/>
    <cellStyle name="Normal 10 2 2 2 3 3 2" xfId="4993" xr:uid="{00000000-0005-0000-0000-0000704A0000}"/>
    <cellStyle name="Normal 10 2 2 2 3 3 2 2" xfId="8555" xr:uid="{00000000-0005-0000-0000-0000714A0000}"/>
    <cellStyle name="Normal 10 2 2 2 3 3 2 2 2" xfId="15344" xr:uid="{00000000-0005-0000-0000-0000724A0000}"/>
    <cellStyle name="Normal 10 2 2 2 3 3 2 2 2 2" xfId="28912" xr:uid="{00000000-0005-0000-0000-0000734A0000}"/>
    <cellStyle name="Normal 10 2 2 2 3 3 2 2 2 2 2" xfId="56045" xr:uid="{00000000-0005-0000-0000-0000744A0000}"/>
    <cellStyle name="Normal 10 2 2 2 3 3 2 2 2 3" xfId="42483" xr:uid="{00000000-0005-0000-0000-0000754A0000}"/>
    <cellStyle name="Normal 10 2 2 2 3 3 2 2 3" xfId="22131" xr:uid="{00000000-0005-0000-0000-0000764A0000}"/>
    <cellStyle name="Normal 10 2 2 2 3 3 2 2 3 2" xfId="49264" xr:uid="{00000000-0005-0000-0000-0000774A0000}"/>
    <cellStyle name="Normal 10 2 2 2 3 3 2 2 4" xfId="35702" xr:uid="{00000000-0005-0000-0000-0000784A0000}"/>
    <cellStyle name="Normal 10 2 2 2 3 3 2 3" xfId="11955" xr:uid="{00000000-0005-0000-0000-0000794A0000}"/>
    <cellStyle name="Normal 10 2 2 2 3 3 2 3 2" xfId="25523" xr:uid="{00000000-0005-0000-0000-00007A4A0000}"/>
    <cellStyle name="Normal 10 2 2 2 3 3 2 3 2 2" xfId="52656" xr:uid="{00000000-0005-0000-0000-00007B4A0000}"/>
    <cellStyle name="Normal 10 2 2 2 3 3 2 3 3" xfId="39094" xr:uid="{00000000-0005-0000-0000-00007C4A0000}"/>
    <cellStyle name="Normal 10 2 2 2 3 3 2 4" xfId="18742" xr:uid="{00000000-0005-0000-0000-00007D4A0000}"/>
    <cellStyle name="Normal 10 2 2 2 3 3 2 4 2" xfId="45875" xr:uid="{00000000-0005-0000-0000-00007E4A0000}"/>
    <cellStyle name="Normal 10 2 2 2 3 3 2 5" xfId="32313" xr:uid="{00000000-0005-0000-0000-00007F4A0000}"/>
    <cellStyle name="Normal 10 2 2 2 3 3 3" xfId="8554" xr:uid="{00000000-0005-0000-0000-0000804A0000}"/>
    <cellStyle name="Normal 10 2 2 2 3 3 3 2" xfId="15343" xr:uid="{00000000-0005-0000-0000-0000814A0000}"/>
    <cellStyle name="Normal 10 2 2 2 3 3 3 2 2" xfId="28911" xr:uid="{00000000-0005-0000-0000-0000824A0000}"/>
    <cellStyle name="Normal 10 2 2 2 3 3 3 2 2 2" xfId="56044" xr:uid="{00000000-0005-0000-0000-0000834A0000}"/>
    <cellStyle name="Normal 10 2 2 2 3 3 3 2 3" xfId="42482" xr:uid="{00000000-0005-0000-0000-0000844A0000}"/>
    <cellStyle name="Normal 10 2 2 2 3 3 3 3" xfId="22130" xr:uid="{00000000-0005-0000-0000-0000854A0000}"/>
    <cellStyle name="Normal 10 2 2 2 3 3 3 3 2" xfId="49263" xr:uid="{00000000-0005-0000-0000-0000864A0000}"/>
    <cellStyle name="Normal 10 2 2 2 3 3 3 4" xfId="35701" xr:uid="{00000000-0005-0000-0000-0000874A0000}"/>
    <cellStyle name="Normal 10 2 2 2 3 3 4" xfId="11954" xr:uid="{00000000-0005-0000-0000-0000884A0000}"/>
    <cellStyle name="Normal 10 2 2 2 3 3 4 2" xfId="25522" xr:uid="{00000000-0005-0000-0000-0000894A0000}"/>
    <cellStyle name="Normal 10 2 2 2 3 3 4 2 2" xfId="52655" xr:uid="{00000000-0005-0000-0000-00008A4A0000}"/>
    <cellStyle name="Normal 10 2 2 2 3 3 4 3" xfId="39093" xr:uid="{00000000-0005-0000-0000-00008B4A0000}"/>
    <cellStyle name="Normal 10 2 2 2 3 3 5" xfId="18741" xr:uid="{00000000-0005-0000-0000-00008C4A0000}"/>
    <cellStyle name="Normal 10 2 2 2 3 3 5 2" xfId="45874" xr:uid="{00000000-0005-0000-0000-00008D4A0000}"/>
    <cellStyle name="Normal 10 2 2 2 3 3 6" xfId="32312" xr:uid="{00000000-0005-0000-0000-00008E4A0000}"/>
    <cellStyle name="Normal 10 2 2 2 3 4" xfId="4994" xr:uid="{00000000-0005-0000-0000-00008F4A0000}"/>
    <cellStyle name="Normal 10 2 2 2 3 4 2" xfId="8556" xr:uid="{00000000-0005-0000-0000-0000904A0000}"/>
    <cellStyle name="Normal 10 2 2 2 3 4 2 2" xfId="15345" xr:uid="{00000000-0005-0000-0000-0000914A0000}"/>
    <cellStyle name="Normal 10 2 2 2 3 4 2 2 2" xfId="28913" xr:uid="{00000000-0005-0000-0000-0000924A0000}"/>
    <cellStyle name="Normal 10 2 2 2 3 4 2 2 2 2" xfId="56046" xr:uid="{00000000-0005-0000-0000-0000934A0000}"/>
    <cellStyle name="Normal 10 2 2 2 3 4 2 2 3" xfId="42484" xr:uid="{00000000-0005-0000-0000-0000944A0000}"/>
    <cellStyle name="Normal 10 2 2 2 3 4 2 3" xfId="22132" xr:uid="{00000000-0005-0000-0000-0000954A0000}"/>
    <cellStyle name="Normal 10 2 2 2 3 4 2 3 2" xfId="49265" xr:uid="{00000000-0005-0000-0000-0000964A0000}"/>
    <cellStyle name="Normal 10 2 2 2 3 4 2 4" xfId="35703" xr:uid="{00000000-0005-0000-0000-0000974A0000}"/>
    <cellStyle name="Normal 10 2 2 2 3 4 3" xfId="11956" xr:uid="{00000000-0005-0000-0000-0000984A0000}"/>
    <cellStyle name="Normal 10 2 2 2 3 4 3 2" xfId="25524" xr:uid="{00000000-0005-0000-0000-0000994A0000}"/>
    <cellStyle name="Normal 10 2 2 2 3 4 3 2 2" xfId="52657" xr:uid="{00000000-0005-0000-0000-00009A4A0000}"/>
    <cellStyle name="Normal 10 2 2 2 3 4 3 3" xfId="39095" xr:uid="{00000000-0005-0000-0000-00009B4A0000}"/>
    <cellStyle name="Normal 10 2 2 2 3 4 4" xfId="18743" xr:uid="{00000000-0005-0000-0000-00009C4A0000}"/>
    <cellStyle name="Normal 10 2 2 2 3 4 4 2" xfId="45876" xr:uid="{00000000-0005-0000-0000-00009D4A0000}"/>
    <cellStyle name="Normal 10 2 2 2 3 4 5" xfId="32314" xr:uid="{00000000-0005-0000-0000-00009E4A0000}"/>
    <cellStyle name="Normal 10 2 2 2 3 5" xfId="4995" xr:uid="{00000000-0005-0000-0000-00009F4A0000}"/>
    <cellStyle name="Normal 10 2 2 2 3 5 2" xfId="8557" xr:uid="{00000000-0005-0000-0000-0000A04A0000}"/>
    <cellStyle name="Normal 10 2 2 2 3 5 2 2" xfId="15346" xr:uid="{00000000-0005-0000-0000-0000A14A0000}"/>
    <cellStyle name="Normal 10 2 2 2 3 5 2 2 2" xfId="28914" xr:uid="{00000000-0005-0000-0000-0000A24A0000}"/>
    <cellStyle name="Normal 10 2 2 2 3 5 2 2 2 2" xfId="56047" xr:uid="{00000000-0005-0000-0000-0000A34A0000}"/>
    <cellStyle name="Normal 10 2 2 2 3 5 2 2 3" xfId="42485" xr:uid="{00000000-0005-0000-0000-0000A44A0000}"/>
    <cellStyle name="Normal 10 2 2 2 3 5 2 3" xfId="22133" xr:uid="{00000000-0005-0000-0000-0000A54A0000}"/>
    <cellStyle name="Normal 10 2 2 2 3 5 2 3 2" xfId="49266" xr:uid="{00000000-0005-0000-0000-0000A64A0000}"/>
    <cellStyle name="Normal 10 2 2 2 3 5 2 4" xfId="35704" xr:uid="{00000000-0005-0000-0000-0000A74A0000}"/>
    <cellStyle name="Normal 10 2 2 2 3 5 3" xfId="11957" xr:uid="{00000000-0005-0000-0000-0000A84A0000}"/>
    <cellStyle name="Normal 10 2 2 2 3 5 3 2" xfId="25525" xr:uid="{00000000-0005-0000-0000-0000A94A0000}"/>
    <cellStyle name="Normal 10 2 2 2 3 5 3 2 2" xfId="52658" xr:uid="{00000000-0005-0000-0000-0000AA4A0000}"/>
    <cellStyle name="Normal 10 2 2 2 3 5 3 3" xfId="39096" xr:uid="{00000000-0005-0000-0000-0000AB4A0000}"/>
    <cellStyle name="Normal 10 2 2 2 3 5 4" xfId="18744" xr:uid="{00000000-0005-0000-0000-0000AC4A0000}"/>
    <cellStyle name="Normal 10 2 2 2 3 5 4 2" xfId="45877" xr:uid="{00000000-0005-0000-0000-0000AD4A0000}"/>
    <cellStyle name="Normal 10 2 2 2 3 5 5" xfId="32315" xr:uid="{00000000-0005-0000-0000-0000AE4A0000}"/>
    <cellStyle name="Normal 10 2 2 2 3 6" xfId="8550" xr:uid="{00000000-0005-0000-0000-0000AF4A0000}"/>
    <cellStyle name="Normal 10 2 2 2 3 6 2" xfId="15339" xr:uid="{00000000-0005-0000-0000-0000B04A0000}"/>
    <cellStyle name="Normal 10 2 2 2 3 6 2 2" xfId="28907" xr:uid="{00000000-0005-0000-0000-0000B14A0000}"/>
    <cellStyle name="Normal 10 2 2 2 3 6 2 2 2" xfId="56040" xr:uid="{00000000-0005-0000-0000-0000B24A0000}"/>
    <cellStyle name="Normal 10 2 2 2 3 6 2 3" xfId="42478" xr:uid="{00000000-0005-0000-0000-0000B34A0000}"/>
    <cellStyle name="Normal 10 2 2 2 3 6 3" xfId="22126" xr:uid="{00000000-0005-0000-0000-0000B44A0000}"/>
    <cellStyle name="Normal 10 2 2 2 3 6 3 2" xfId="49259" xr:uid="{00000000-0005-0000-0000-0000B54A0000}"/>
    <cellStyle name="Normal 10 2 2 2 3 6 4" xfId="35697" xr:uid="{00000000-0005-0000-0000-0000B64A0000}"/>
    <cellStyle name="Normal 10 2 2 2 3 7" xfId="11950" xr:uid="{00000000-0005-0000-0000-0000B74A0000}"/>
    <cellStyle name="Normal 10 2 2 2 3 7 2" xfId="25518" xr:uid="{00000000-0005-0000-0000-0000B84A0000}"/>
    <cellStyle name="Normal 10 2 2 2 3 7 2 2" xfId="52651" xr:uid="{00000000-0005-0000-0000-0000B94A0000}"/>
    <cellStyle name="Normal 10 2 2 2 3 7 3" xfId="39089" xr:uid="{00000000-0005-0000-0000-0000BA4A0000}"/>
    <cellStyle name="Normal 10 2 2 2 3 8" xfId="18737" xr:uid="{00000000-0005-0000-0000-0000BB4A0000}"/>
    <cellStyle name="Normal 10 2 2 2 3 8 2" xfId="45870" xr:uid="{00000000-0005-0000-0000-0000BC4A0000}"/>
    <cellStyle name="Normal 10 2 2 2 3 9" xfId="32308" xr:uid="{00000000-0005-0000-0000-0000BD4A0000}"/>
    <cellStyle name="Normal 10 2 2 2 4" xfId="4996" xr:uid="{00000000-0005-0000-0000-0000BE4A0000}"/>
    <cellStyle name="Normal 10 2 2 2 4 2" xfId="4997" xr:uid="{00000000-0005-0000-0000-0000BF4A0000}"/>
    <cellStyle name="Normal 10 2 2 2 4 2 2" xfId="4998" xr:uid="{00000000-0005-0000-0000-0000C04A0000}"/>
    <cellStyle name="Normal 10 2 2 2 4 2 2 2" xfId="8560" xr:uid="{00000000-0005-0000-0000-0000C14A0000}"/>
    <cellStyle name="Normal 10 2 2 2 4 2 2 2 2" xfId="15349" xr:uid="{00000000-0005-0000-0000-0000C24A0000}"/>
    <cellStyle name="Normal 10 2 2 2 4 2 2 2 2 2" xfId="28917" xr:uid="{00000000-0005-0000-0000-0000C34A0000}"/>
    <cellStyle name="Normal 10 2 2 2 4 2 2 2 2 2 2" xfId="56050" xr:uid="{00000000-0005-0000-0000-0000C44A0000}"/>
    <cellStyle name="Normal 10 2 2 2 4 2 2 2 2 3" xfId="42488" xr:uid="{00000000-0005-0000-0000-0000C54A0000}"/>
    <cellStyle name="Normal 10 2 2 2 4 2 2 2 3" xfId="22136" xr:uid="{00000000-0005-0000-0000-0000C64A0000}"/>
    <cellStyle name="Normal 10 2 2 2 4 2 2 2 3 2" xfId="49269" xr:uid="{00000000-0005-0000-0000-0000C74A0000}"/>
    <cellStyle name="Normal 10 2 2 2 4 2 2 2 4" xfId="35707" xr:uid="{00000000-0005-0000-0000-0000C84A0000}"/>
    <cellStyle name="Normal 10 2 2 2 4 2 2 3" xfId="11960" xr:uid="{00000000-0005-0000-0000-0000C94A0000}"/>
    <cellStyle name="Normal 10 2 2 2 4 2 2 3 2" xfId="25528" xr:uid="{00000000-0005-0000-0000-0000CA4A0000}"/>
    <cellStyle name="Normal 10 2 2 2 4 2 2 3 2 2" xfId="52661" xr:uid="{00000000-0005-0000-0000-0000CB4A0000}"/>
    <cellStyle name="Normal 10 2 2 2 4 2 2 3 3" xfId="39099" xr:uid="{00000000-0005-0000-0000-0000CC4A0000}"/>
    <cellStyle name="Normal 10 2 2 2 4 2 2 4" xfId="18747" xr:uid="{00000000-0005-0000-0000-0000CD4A0000}"/>
    <cellStyle name="Normal 10 2 2 2 4 2 2 4 2" xfId="45880" xr:uid="{00000000-0005-0000-0000-0000CE4A0000}"/>
    <cellStyle name="Normal 10 2 2 2 4 2 2 5" xfId="32318" xr:uid="{00000000-0005-0000-0000-0000CF4A0000}"/>
    <cellStyle name="Normal 10 2 2 2 4 2 3" xfId="4999" xr:uid="{00000000-0005-0000-0000-0000D04A0000}"/>
    <cellStyle name="Normal 10 2 2 2 4 2 3 2" xfId="8561" xr:uid="{00000000-0005-0000-0000-0000D14A0000}"/>
    <cellStyle name="Normal 10 2 2 2 4 2 3 2 2" xfId="15350" xr:uid="{00000000-0005-0000-0000-0000D24A0000}"/>
    <cellStyle name="Normal 10 2 2 2 4 2 3 2 2 2" xfId="28918" xr:uid="{00000000-0005-0000-0000-0000D34A0000}"/>
    <cellStyle name="Normal 10 2 2 2 4 2 3 2 2 2 2" xfId="56051" xr:uid="{00000000-0005-0000-0000-0000D44A0000}"/>
    <cellStyle name="Normal 10 2 2 2 4 2 3 2 2 3" xfId="42489" xr:uid="{00000000-0005-0000-0000-0000D54A0000}"/>
    <cellStyle name="Normal 10 2 2 2 4 2 3 2 3" xfId="22137" xr:uid="{00000000-0005-0000-0000-0000D64A0000}"/>
    <cellStyle name="Normal 10 2 2 2 4 2 3 2 3 2" xfId="49270" xr:uid="{00000000-0005-0000-0000-0000D74A0000}"/>
    <cellStyle name="Normal 10 2 2 2 4 2 3 2 4" xfId="35708" xr:uid="{00000000-0005-0000-0000-0000D84A0000}"/>
    <cellStyle name="Normal 10 2 2 2 4 2 3 3" xfId="11961" xr:uid="{00000000-0005-0000-0000-0000D94A0000}"/>
    <cellStyle name="Normal 10 2 2 2 4 2 3 3 2" xfId="25529" xr:uid="{00000000-0005-0000-0000-0000DA4A0000}"/>
    <cellStyle name="Normal 10 2 2 2 4 2 3 3 2 2" xfId="52662" xr:uid="{00000000-0005-0000-0000-0000DB4A0000}"/>
    <cellStyle name="Normal 10 2 2 2 4 2 3 3 3" xfId="39100" xr:uid="{00000000-0005-0000-0000-0000DC4A0000}"/>
    <cellStyle name="Normal 10 2 2 2 4 2 3 4" xfId="18748" xr:uid="{00000000-0005-0000-0000-0000DD4A0000}"/>
    <cellStyle name="Normal 10 2 2 2 4 2 3 4 2" xfId="45881" xr:uid="{00000000-0005-0000-0000-0000DE4A0000}"/>
    <cellStyle name="Normal 10 2 2 2 4 2 3 5" xfId="32319" xr:uid="{00000000-0005-0000-0000-0000DF4A0000}"/>
    <cellStyle name="Normal 10 2 2 2 4 2 4" xfId="8559" xr:uid="{00000000-0005-0000-0000-0000E04A0000}"/>
    <cellStyle name="Normal 10 2 2 2 4 2 4 2" xfId="15348" xr:uid="{00000000-0005-0000-0000-0000E14A0000}"/>
    <cellStyle name="Normal 10 2 2 2 4 2 4 2 2" xfId="28916" xr:uid="{00000000-0005-0000-0000-0000E24A0000}"/>
    <cellStyle name="Normal 10 2 2 2 4 2 4 2 2 2" xfId="56049" xr:uid="{00000000-0005-0000-0000-0000E34A0000}"/>
    <cellStyle name="Normal 10 2 2 2 4 2 4 2 3" xfId="42487" xr:uid="{00000000-0005-0000-0000-0000E44A0000}"/>
    <cellStyle name="Normal 10 2 2 2 4 2 4 3" xfId="22135" xr:uid="{00000000-0005-0000-0000-0000E54A0000}"/>
    <cellStyle name="Normal 10 2 2 2 4 2 4 3 2" xfId="49268" xr:uid="{00000000-0005-0000-0000-0000E64A0000}"/>
    <cellStyle name="Normal 10 2 2 2 4 2 4 4" xfId="35706" xr:uid="{00000000-0005-0000-0000-0000E74A0000}"/>
    <cellStyle name="Normal 10 2 2 2 4 2 5" xfId="11959" xr:uid="{00000000-0005-0000-0000-0000E84A0000}"/>
    <cellStyle name="Normal 10 2 2 2 4 2 5 2" xfId="25527" xr:uid="{00000000-0005-0000-0000-0000E94A0000}"/>
    <cellStyle name="Normal 10 2 2 2 4 2 5 2 2" xfId="52660" xr:uid="{00000000-0005-0000-0000-0000EA4A0000}"/>
    <cellStyle name="Normal 10 2 2 2 4 2 5 3" xfId="39098" xr:uid="{00000000-0005-0000-0000-0000EB4A0000}"/>
    <cellStyle name="Normal 10 2 2 2 4 2 6" xfId="18746" xr:uid="{00000000-0005-0000-0000-0000EC4A0000}"/>
    <cellStyle name="Normal 10 2 2 2 4 2 6 2" xfId="45879" xr:uid="{00000000-0005-0000-0000-0000ED4A0000}"/>
    <cellStyle name="Normal 10 2 2 2 4 2 7" xfId="32317" xr:uid="{00000000-0005-0000-0000-0000EE4A0000}"/>
    <cellStyle name="Normal 10 2 2 2 4 3" xfId="5000" xr:uid="{00000000-0005-0000-0000-0000EF4A0000}"/>
    <cellStyle name="Normal 10 2 2 2 4 3 2" xfId="8562" xr:uid="{00000000-0005-0000-0000-0000F04A0000}"/>
    <cellStyle name="Normal 10 2 2 2 4 3 2 2" xfId="15351" xr:uid="{00000000-0005-0000-0000-0000F14A0000}"/>
    <cellStyle name="Normal 10 2 2 2 4 3 2 2 2" xfId="28919" xr:uid="{00000000-0005-0000-0000-0000F24A0000}"/>
    <cellStyle name="Normal 10 2 2 2 4 3 2 2 2 2" xfId="56052" xr:uid="{00000000-0005-0000-0000-0000F34A0000}"/>
    <cellStyle name="Normal 10 2 2 2 4 3 2 2 3" xfId="42490" xr:uid="{00000000-0005-0000-0000-0000F44A0000}"/>
    <cellStyle name="Normal 10 2 2 2 4 3 2 3" xfId="22138" xr:uid="{00000000-0005-0000-0000-0000F54A0000}"/>
    <cellStyle name="Normal 10 2 2 2 4 3 2 3 2" xfId="49271" xr:uid="{00000000-0005-0000-0000-0000F64A0000}"/>
    <cellStyle name="Normal 10 2 2 2 4 3 2 4" xfId="35709" xr:uid="{00000000-0005-0000-0000-0000F74A0000}"/>
    <cellStyle name="Normal 10 2 2 2 4 3 3" xfId="11962" xr:uid="{00000000-0005-0000-0000-0000F84A0000}"/>
    <cellStyle name="Normal 10 2 2 2 4 3 3 2" xfId="25530" xr:uid="{00000000-0005-0000-0000-0000F94A0000}"/>
    <cellStyle name="Normal 10 2 2 2 4 3 3 2 2" xfId="52663" xr:uid="{00000000-0005-0000-0000-0000FA4A0000}"/>
    <cellStyle name="Normal 10 2 2 2 4 3 3 3" xfId="39101" xr:uid="{00000000-0005-0000-0000-0000FB4A0000}"/>
    <cellStyle name="Normal 10 2 2 2 4 3 4" xfId="18749" xr:uid="{00000000-0005-0000-0000-0000FC4A0000}"/>
    <cellStyle name="Normal 10 2 2 2 4 3 4 2" xfId="45882" xr:uid="{00000000-0005-0000-0000-0000FD4A0000}"/>
    <cellStyle name="Normal 10 2 2 2 4 3 5" xfId="32320" xr:uid="{00000000-0005-0000-0000-0000FE4A0000}"/>
    <cellStyle name="Normal 10 2 2 2 4 4" xfId="5001" xr:uid="{00000000-0005-0000-0000-0000FF4A0000}"/>
    <cellStyle name="Normal 10 2 2 2 4 4 2" xfId="8563" xr:uid="{00000000-0005-0000-0000-0000004B0000}"/>
    <cellStyle name="Normal 10 2 2 2 4 4 2 2" xfId="15352" xr:uid="{00000000-0005-0000-0000-0000014B0000}"/>
    <cellStyle name="Normal 10 2 2 2 4 4 2 2 2" xfId="28920" xr:uid="{00000000-0005-0000-0000-0000024B0000}"/>
    <cellStyle name="Normal 10 2 2 2 4 4 2 2 2 2" xfId="56053" xr:uid="{00000000-0005-0000-0000-0000034B0000}"/>
    <cellStyle name="Normal 10 2 2 2 4 4 2 2 3" xfId="42491" xr:uid="{00000000-0005-0000-0000-0000044B0000}"/>
    <cellStyle name="Normal 10 2 2 2 4 4 2 3" xfId="22139" xr:uid="{00000000-0005-0000-0000-0000054B0000}"/>
    <cellStyle name="Normal 10 2 2 2 4 4 2 3 2" xfId="49272" xr:uid="{00000000-0005-0000-0000-0000064B0000}"/>
    <cellStyle name="Normal 10 2 2 2 4 4 2 4" xfId="35710" xr:uid="{00000000-0005-0000-0000-0000074B0000}"/>
    <cellStyle name="Normal 10 2 2 2 4 4 3" xfId="11963" xr:uid="{00000000-0005-0000-0000-0000084B0000}"/>
    <cellStyle name="Normal 10 2 2 2 4 4 3 2" xfId="25531" xr:uid="{00000000-0005-0000-0000-0000094B0000}"/>
    <cellStyle name="Normal 10 2 2 2 4 4 3 2 2" xfId="52664" xr:uid="{00000000-0005-0000-0000-00000A4B0000}"/>
    <cellStyle name="Normal 10 2 2 2 4 4 3 3" xfId="39102" xr:uid="{00000000-0005-0000-0000-00000B4B0000}"/>
    <cellStyle name="Normal 10 2 2 2 4 4 4" xfId="18750" xr:uid="{00000000-0005-0000-0000-00000C4B0000}"/>
    <cellStyle name="Normal 10 2 2 2 4 4 4 2" xfId="45883" xr:uid="{00000000-0005-0000-0000-00000D4B0000}"/>
    <cellStyle name="Normal 10 2 2 2 4 4 5" xfId="32321" xr:uid="{00000000-0005-0000-0000-00000E4B0000}"/>
    <cellStyle name="Normal 10 2 2 2 4 5" xfId="8558" xr:uid="{00000000-0005-0000-0000-00000F4B0000}"/>
    <cellStyle name="Normal 10 2 2 2 4 5 2" xfId="15347" xr:uid="{00000000-0005-0000-0000-0000104B0000}"/>
    <cellStyle name="Normal 10 2 2 2 4 5 2 2" xfId="28915" xr:uid="{00000000-0005-0000-0000-0000114B0000}"/>
    <cellStyle name="Normal 10 2 2 2 4 5 2 2 2" xfId="56048" xr:uid="{00000000-0005-0000-0000-0000124B0000}"/>
    <cellStyle name="Normal 10 2 2 2 4 5 2 3" xfId="42486" xr:uid="{00000000-0005-0000-0000-0000134B0000}"/>
    <cellStyle name="Normal 10 2 2 2 4 5 3" xfId="22134" xr:uid="{00000000-0005-0000-0000-0000144B0000}"/>
    <cellStyle name="Normal 10 2 2 2 4 5 3 2" xfId="49267" xr:uid="{00000000-0005-0000-0000-0000154B0000}"/>
    <cellStyle name="Normal 10 2 2 2 4 5 4" xfId="35705" xr:uid="{00000000-0005-0000-0000-0000164B0000}"/>
    <cellStyle name="Normal 10 2 2 2 4 6" xfId="11958" xr:uid="{00000000-0005-0000-0000-0000174B0000}"/>
    <cellStyle name="Normal 10 2 2 2 4 6 2" xfId="25526" xr:uid="{00000000-0005-0000-0000-0000184B0000}"/>
    <cellStyle name="Normal 10 2 2 2 4 6 2 2" xfId="52659" xr:uid="{00000000-0005-0000-0000-0000194B0000}"/>
    <cellStyle name="Normal 10 2 2 2 4 6 3" xfId="39097" xr:uid="{00000000-0005-0000-0000-00001A4B0000}"/>
    <cellStyle name="Normal 10 2 2 2 4 7" xfId="18745" xr:uid="{00000000-0005-0000-0000-00001B4B0000}"/>
    <cellStyle name="Normal 10 2 2 2 4 7 2" xfId="45878" xr:uid="{00000000-0005-0000-0000-00001C4B0000}"/>
    <cellStyle name="Normal 10 2 2 2 4 8" xfId="32316" xr:uid="{00000000-0005-0000-0000-00001D4B0000}"/>
    <cellStyle name="Normal 10 2 2 2 5" xfId="5002" xr:uid="{00000000-0005-0000-0000-00001E4B0000}"/>
    <cellStyle name="Normal 10 2 2 2 5 2" xfId="5003" xr:uid="{00000000-0005-0000-0000-00001F4B0000}"/>
    <cellStyle name="Normal 10 2 2 2 5 2 2" xfId="8565" xr:uid="{00000000-0005-0000-0000-0000204B0000}"/>
    <cellStyle name="Normal 10 2 2 2 5 2 2 2" xfId="15354" xr:uid="{00000000-0005-0000-0000-0000214B0000}"/>
    <cellStyle name="Normal 10 2 2 2 5 2 2 2 2" xfId="28922" xr:uid="{00000000-0005-0000-0000-0000224B0000}"/>
    <cellStyle name="Normal 10 2 2 2 5 2 2 2 2 2" xfId="56055" xr:uid="{00000000-0005-0000-0000-0000234B0000}"/>
    <cellStyle name="Normal 10 2 2 2 5 2 2 2 3" xfId="42493" xr:uid="{00000000-0005-0000-0000-0000244B0000}"/>
    <cellStyle name="Normal 10 2 2 2 5 2 2 3" xfId="22141" xr:uid="{00000000-0005-0000-0000-0000254B0000}"/>
    <cellStyle name="Normal 10 2 2 2 5 2 2 3 2" xfId="49274" xr:uid="{00000000-0005-0000-0000-0000264B0000}"/>
    <cellStyle name="Normal 10 2 2 2 5 2 2 4" xfId="35712" xr:uid="{00000000-0005-0000-0000-0000274B0000}"/>
    <cellStyle name="Normal 10 2 2 2 5 2 3" xfId="11965" xr:uid="{00000000-0005-0000-0000-0000284B0000}"/>
    <cellStyle name="Normal 10 2 2 2 5 2 3 2" xfId="25533" xr:uid="{00000000-0005-0000-0000-0000294B0000}"/>
    <cellStyle name="Normal 10 2 2 2 5 2 3 2 2" xfId="52666" xr:uid="{00000000-0005-0000-0000-00002A4B0000}"/>
    <cellStyle name="Normal 10 2 2 2 5 2 3 3" xfId="39104" xr:uid="{00000000-0005-0000-0000-00002B4B0000}"/>
    <cellStyle name="Normal 10 2 2 2 5 2 4" xfId="18752" xr:uid="{00000000-0005-0000-0000-00002C4B0000}"/>
    <cellStyle name="Normal 10 2 2 2 5 2 4 2" xfId="45885" xr:uid="{00000000-0005-0000-0000-00002D4B0000}"/>
    <cellStyle name="Normal 10 2 2 2 5 2 5" xfId="32323" xr:uid="{00000000-0005-0000-0000-00002E4B0000}"/>
    <cellStyle name="Normal 10 2 2 2 5 3" xfId="5004" xr:uid="{00000000-0005-0000-0000-00002F4B0000}"/>
    <cellStyle name="Normal 10 2 2 2 5 3 2" xfId="8566" xr:uid="{00000000-0005-0000-0000-0000304B0000}"/>
    <cellStyle name="Normal 10 2 2 2 5 3 2 2" xfId="15355" xr:uid="{00000000-0005-0000-0000-0000314B0000}"/>
    <cellStyle name="Normal 10 2 2 2 5 3 2 2 2" xfId="28923" xr:uid="{00000000-0005-0000-0000-0000324B0000}"/>
    <cellStyle name="Normal 10 2 2 2 5 3 2 2 2 2" xfId="56056" xr:uid="{00000000-0005-0000-0000-0000334B0000}"/>
    <cellStyle name="Normal 10 2 2 2 5 3 2 2 3" xfId="42494" xr:uid="{00000000-0005-0000-0000-0000344B0000}"/>
    <cellStyle name="Normal 10 2 2 2 5 3 2 3" xfId="22142" xr:uid="{00000000-0005-0000-0000-0000354B0000}"/>
    <cellStyle name="Normal 10 2 2 2 5 3 2 3 2" xfId="49275" xr:uid="{00000000-0005-0000-0000-0000364B0000}"/>
    <cellStyle name="Normal 10 2 2 2 5 3 2 4" xfId="35713" xr:uid="{00000000-0005-0000-0000-0000374B0000}"/>
    <cellStyle name="Normal 10 2 2 2 5 3 3" xfId="11966" xr:uid="{00000000-0005-0000-0000-0000384B0000}"/>
    <cellStyle name="Normal 10 2 2 2 5 3 3 2" xfId="25534" xr:uid="{00000000-0005-0000-0000-0000394B0000}"/>
    <cellStyle name="Normal 10 2 2 2 5 3 3 2 2" xfId="52667" xr:uid="{00000000-0005-0000-0000-00003A4B0000}"/>
    <cellStyle name="Normal 10 2 2 2 5 3 3 3" xfId="39105" xr:uid="{00000000-0005-0000-0000-00003B4B0000}"/>
    <cellStyle name="Normal 10 2 2 2 5 3 4" xfId="18753" xr:uid="{00000000-0005-0000-0000-00003C4B0000}"/>
    <cellStyle name="Normal 10 2 2 2 5 3 4 2" xfId="45886" xr:uid="{00000000-0005-0000-0000-00003D4B0000}"/>
    <cellStyle name="Normal 10 2 2 2 5 3 5" xfId="32324" xr:uid="{00000000-0005-0000-0000-00003E4B0000}"/>
    <cellStyle name="Normal 10 2 2 2 5 4" xfId="8564" xr:uid="{00000000-0005-0000-0000-00003F4B0000}"/>
    <cellStyle name="Normal 10 2 2 2 5 4 2" xfId="15353" xr:uid="{00000000-0005-0000-0000-0000404B0000}"/>
    <cellStyle name="Normal 10 2 2 2 5 4 2 2" xfId="28921" xr:uid="{00000000-0005-0000-0000-0000414B0000}"/>
    <cellStyle name="Normal 10 2 2 2 5 4 2 2 2" xfId="56054" xr:uid="{00000000-0005-0000-0000-0000424B0000}"/>
    <cellStyle name="Normal 10 2 2 2 5 4 2 3" xfId="42492" xr:uid="{00000000-0005-0000-0000-0000434B0000}"/>
    <cellStyle name="Normal 10 2 2 2 5 4 3" xfId="22140" xr:uid="{00000000-0005-0000-0000-0000444B0000}"/>
    <cellStyle name="Normal 10 2 2 2 5 4 3 2" xfId="49273" xr:uid="{00000000-0005-0000-0000-0000454B0000}"/>
    <cellStyle name="Normal 10 2 2 2 5 4 4" xfId="35711" xr:uid="{00000000-0005-0000-0000-0000464B0000}"/>
    <cellStyle name="Normal 10 2 2 2 5 5" xfId="11964" xr:uid="{00000000-0005-0000-0000-0000474B0000}"/>
    <cellStyle name="Normal 10 2 2 2 5 5 2" xfId="25532" xr:uid="{00000000-0005-0000-0000-0000484B0000}"/>
    <cellStyle name="Normal 10 2 2 2 5 5 2 2" xfId="52665" xr:uid="{00000000-0005-0000-0000-0000494B0000}"/>
    <cellStyle name="Normal 10 2 2 2 5 5 3" xfId="39103" xr:uid="{00000000-0005-0000-0000-00004A4B0000}"/>
    <cellStyle name="Normal 10 2 2 2 5 6" xfId="18751" xr:uid="{00000000-0005-0000-0000-00004B4B0000}"/>
    <cellStyle name="Normal 10 2 2 2 5 6 2" xfId="45884" xr:uid="{00000000-0005-0000-0000-00004C4B0000}"/>
    <cellStyle name="Normal 10 2 2 2 5 7" xfId="32322" xr:uid="{00000000-0005-0000-0000-00004D4B0000}"/>
    <cellStyle name="Normal 10 2 2 2 6" xfId="5005" xr:uid="{00000000-0005-0000-0000-00004E4B0000}"/>
    <cellStyle name="Normal 10 2 2 2 6 2" xfId="5006" xr:uid="{00000000-0005-0000-0000-00004F4B0000}"/>
    <cellStyle name="Normal 10 2 2 2 6 2 2" xfId="8568" xr:uid="{00000000-0005-0000-0000-0000504B0000}"/>
    <cellStyle name="Normal 10 2 2 2 6 2 2 2" xfId="15357" xr:uid="{00000000-0005-0000-0000-0000514B0000}"/>
    <cellStyle name="Normal 10 2 2 2 6 2 2 2 2" xfId="28925" xr:uid="{00000000-0005-0000-0000-0000524B0000}"/>
    <cellStyle name="Normal 10 2 2 2 6 2 2 2 2 2" xfId="56058" xr:uid="{00000000-0005-0000-0000-0000534B0000}"/>
    <cellStyle name="Normal 10 2 2 2 6 2 2 2 3" xfId="42496" xr:uid="{00000000-0005-0000-0000-0000544B0000}"/>
    <cellStyle name="Normal 10 2 2 2 6 2 2 3" xfId="22144" xr:uid="{00000000-0005-0000-0000-0000554B0000}"/>
    <cellStyle name="Normal 10 2 2 2 6 2 2 3 2" xfId="49277" xr:uid="{00000000-0005-0000-0000-0000564B0000}"/>
    <cellStyle name="Normal 10 2 2 2 6 2 2 4" xfId="35715" xr:uid="{00000000-0005-0000-0000-0000574B0000}"/>
    <cellStyle name="Normal 10 2 2 2 6 2 3" xfId="11968" xr:uid="{00000000-0005-0000-0000-0000584B0000}"/>
    <cellStyle name="Normal 10 2 2 2 6 2 3 2" xfId="25536" xr:uid="{00000000-0005-0000-0000-0000594B0000}"/>
    <cellStyle name="Normal 10 2 2 2 6 2 3 2 2" xfId="52669" xr:uid="{00000000-0005-0000-0000-00005A4B0000}"/>
    <cellStyle name="Normal 10 2 2 2 6 2 3 3" xfId="39107" xr:uid="{00000000-0005-0000-0000-00005B4B0000}"/>
    <cellStyle name="Normal 10 2 2 2 6 2 4" xfId="18755" xr:uid="{00000000-0005-0000-0000-00005C4B0000}"/>
    <cellStyle name="Normal 10 2 2 2 6 2 4 2" xfId="45888" xr:uid="{00000000-0005-0000-0000-00005D4B0000}"/>
    <cellStyle name="Normal 10 2 2 2 6 2 5" xfId="32326" xr:uid="{00000000-0005-0000-0000-00005E4B0000}"/>
    <cellStyle name="Normal 10 2 2 2 6 3" xfId="5007" xr:uid="{00000000-0005-0000-0000-00005F4B0000}"/>
    <cellStyle name="Normal 10 2 2 2 6 3 2" xfId="8569" xr:uid="{00000000-0005-0000-0000-0000604B0000}"/>
    <cellStyle name="Normal 10 2 2 2 6 3 2 2" xfId="15358" xr:uid="{00000000-0005-0000-0000-0000614B0000}"/>
    <cellStyle name="Normal 10 2 2 2 6 3 2 2 2" xfId="28926" xr:uid="{00000000-0005-0000-0000-0000624B0000}"/>
    <cellStyle name="Normal 10 2 2 2 6 3 2 2 2 2" xfId="56059" xr:uid="{00000000-0005-0000-0000-0000634B0000}"/>
    <cellStyle name="Normal 10 2 2 2 6 3 2 2 3" xfId="42497" xr:uid="{00000000-0005-0000-0000-0000644B0000}"/>
    <cellStyle name="Normal 10 2 2 2 6 3 2 3" xfId="22145" xr:uid="{00000000-0005-0000-0000-0000654B0000}"/>
    <cellStyle name="Normal 10 2 2 2 6 3 2 3 2" xfId="49278" xr:uid="{00000000-0005-0000-0000-0000664B0000}"/>
    <cellStyle name="Normal 10 2 2 2 6 3 2 4" xfId="35716" xr:uid="{00000000-0005-0000-0000-0000674B0000}"/>
    <cellStyle name="Normal 10 2 2 2 6 3 3" xfId="11969" xr:uid="{00000000-0005-0000-0000-0000684B0000}"/>
    <cellStyle name="Normal 10 2 2 2 6 3 3 2" xfId="25537" xr:uid="{00000000-0005-0000-0000-0000694B0000}"/>
    <cellStyle name="Normal 10 2 2 2 6 3 3 2 2" xfId="52670" xr:uid="{00000000-0005-0000-0000-00006A4B0000}"/>
    <cellStyle name="Normal 10 2 2 2 6 3 3 3" xfId="39108" xr:uid="{00000000-0005-0000-0000-00006B4B0000}"/>
    <cellStyle name="Normal 10 2 2 2 6 3 4" xfId="18756" xr:uid="{00000000-0005-0000-0000-00006C4B0000}"/>
    <cellStyle name="Normal 10 2 2 2 6 3 4 2" xfId="45889" xr:uid="{00000000-0005-0000-0000-00006D4B0000}"/>
    <cellStyle name="Normal 10 2 2 2 6 3 5" xfId="32327" xr:uid="{00000000-0005-0000-0000-00006E4B0000}"/>
    <cellStyle name="Normal 10 2 2 2 6 4" xfId="8567" xr:uid="{00000000-0005-0000-0000-00006F4B0000}"/>
    <cellStyle name="Normal 10 2 2 2 6 4 2" xfId="15356" xr:uid="{00000000-0005-0000-0000-0000704B0000}"/>
    <cellStyle name="Normal 10 2 2 2 6 4 2 2" xfId="28924" xr:uid="{00000000-0005-0000-0000-0000714B0000}"/>
    <cellStyle name="Normal 10 2 2 2 6 4 2 2 2" xfId="56057" xr:uid="{00000000-0005-0000-0000-0000724B0000}"/>
    <cellStyle name="Normal 10 2 2 2 6 4 2 3" xfId="42495" xr:uid="{00000000-0005-0000-0000-0000734B0000}"/>
    <cellStyle name="Normal 10 2 2 2 6 4 3" xfId="22143" xr:uid="{00000000-0005-0000-0000-0000744B0000}"/>
    <cellStyle name="Normal 10 2 2 2 6 4 3 2" xfId="49276" xr:uid="{00000000-0005-0000-0000-0000754B0000}"/>
    <cellStyle name="Normal 10 2 2 2 6 4 4" xfId="35714" xr:uid="{00000000-0005-0000-0000-0000764B0000}"/>
    <cellStyle name="Normal 10 2 2 2 6 5" xfId="11967" xr:uid="{00000000-0005-0000-0000-0000774B0000}"/>
    <cellStyle name="Normal 10 2 2 2 6 5 2" xfId="25535" xr:uid="{00000000-0005-0000-0000-0000784B0000}"/>
    <cellStyle name="Normal 10 2 2 2 6 5 2 2" xfId="52668" xr:uid="{00000000-0005-0000-0000-0000794B0000}"/>
    <cellStyle name="Normal 10 2 2 2 6 5 3" xfId="39106" xr:uid="{00000000-0005-0000-0000-00007A4B0000}"/>
    <cellStyle name="Normal 10 2 2 2 6 6" xfId="18754" xr:uid="{00000000-0005-0000-0000-00007B4B0000}"/>
    <cellStyle name="Normal 10 2 2 2 6 6 2" xfId="45887" xr:uid="{00000000-0005-0000-0000-00007C4B0000}"/>
    <cellStyle name="Normal 10 2 2 2 6 7" xfId="32325" xr:uid="{00000000-0005-0000-0000-00007D4B0000}"/>
    <cellStyle name="Normal 10 2 2 2 7" xfId="5008" xr:uid="{00000000-0005-0000-0000-00007E4B0000}"/>
    <cellStyle name="Normal 10 2 2 2 7 2" xfId="8570" xr:uid="{00000000-0005-0000-0000-00007F4B0000}"/>
    <cellStyle name="Normal 10 2 2 2 7 2 2" xfId="15359" xr:uid="{00000000-0005-0000-0000-0000804B0000}"/>
    <cellStyle name="Normal 10 2 2 2 7 2 2 2" xfId="28927" xr:uid="{00000000-0005-0000-0000-0000814B0000}"/>
    <cellStyle name="Normal 10 2 2 2 7 2 2 2 2" xfId="56060" xr:uid="{00000000-0005-0000-0000-0000824B0000}"/>
    <cellStyle name="Normal 10 2 2 2 7 2 2 3" xfId="42498" xr:uid="{00000000-0005-0000-0000-0000834B0000}"/>
    <cellStyle name="Normal 10 2 2 2 7 2 3" xfId="22146" xr:uid="{00000000-0005-0000-0000-0000844B0000}"/>
    <cellStyle name="Normal 10 2 2 2 7 2 3 2" xfId="49279" xr:uid="{00000000-0005-0000-0000-0000854B0000}"/>
    <cellStyle name="Normal 10 2 2 2 7 2 4" xfId="35717" xr:uid="{00000000-0005-0000-0000-0000864B0000}"/>
    <cellStyle name="Normal 10 2 2 2 7 3" xfId="11970" xr:uid="{00000000-0005-0000-0000-0000874B0000}"/>
    <cellStyle name="Normal 10 2 2 2 7 3 2" xfId="25538" xr:uid="{00000000-0005-0000-0000-0000884B0000}"/>
    <cellStyle name="Normal 10 2 2 2 7 3 2 2" xfId="52671" xr:uid="{00000000-0005-0000-0000-0000894B0000}"/>
    <cellStyle name="Normal 10 2 2 2 7 3 3" xfId="39109" xr:uid="{00000000-0005-0000-0000-00008A4B0000}"/>
    <cellStyle name="Normal 10 2 2 2 7 4" xfId="18757" xr:uid="{00000000-0005-0000-0000-00008B4B0000}"/>
    <cellStyle name="Normal 10 2 2 2 7 4 2" xfId="45890" xr:uid="{00000000-0005-0000-0000-00008C4B0000}"/>
    <cellStyle name="Normal 10 2 2 2 7 5" xfId="32328" xr:uid="{00000000-0005-0000-0000-00008D4B0000}"/>
    <cellStyle name="Normal 10 2 2 2 8" xfId="5009" xr:uid="{00000000-0005-0000-0000-00008E4B0000}"/>
    <cellStyle name="Normal 10 2 2 2 8 2" xfId="8571" xr:uid="{00000000-0005-0000-0000-00008F4B0000}"/>
    <cellStyle name="Normal 10 2 2 2 8 2 2" xfId="15360" xr:uid="{00000000-0005-0000-0000-0000904B0000}"/>
    <cellStyle name="Normal 10 2 2 2 8 2 2 2" xfId="28928" xr:uid="{00000000-0005-0000-0000-0000914B0000}"/>
    <cellStyle name="Normal 10 2 2 2 8 2 2 2 2" xfId="56061" xr:uid="{00000000-0005-0000-0000-0000924B0000}"/>
    <cellStyle name="Normal 10 2 2 2 8 2 2 3" xfId="42499" xr:uid="{00000000-0005-0000-0000-0000934B0000}"/>
    <cellStyle name="Normal 10 2 2 2 8 2 3" xfId="22147" xr:uid="{00000000-0005-0000-0000-0000944B0000}"/>
    <cellStyle name="Normal 10 2 2 2 8 2 3 2" xfId="49280" xr:uid="{00000000-0005-0000-0000-0000954B0000}"/>
    <cellStyle name="Normal 10 2 2 2 8 2 4" xfId="35718" xr:uid="{00000000-0005-0000-0000-0000964B0000}"/>
    <cellStyle name="Normal 10 2 2 2 8 3" xfId="11971" xr:uid="{00000000-0005-0000-0000-0000974B0000}"/>
    <cellStyle name="Normal 10 2 2 2 8 3 2" xfId="25539" xr:uid="{00000000-0005-0000-0000-0000984B0000}"/>
    <cellStyle name="Normal 10 2 2 2 8 3 2 2" xfId="52672" xr:uid="{00000000-0005-0000-0000-0000994B0000}"/>
    <cellStyle name="Normal 10 2 2 2 8 3 3" xfId="39110" xr:uid="{00000000-0005-0000-0000-00009A4B0000}"/>
    <cellStyle name="Normal 10 2 2 2 8 4" xfId="18758" xr:uid="{00000000-0005-0000-0000-00009B4B0000}"/>
    <cellStyle name="Normal 10 2 2 2 8 4 2" xfId="45891" xr:uid="{00000000-0005-0000-0000-00009C4B0000}"/>
    <cellStyle name="Normal 10 2 2 2 8 5" xfId="32329" xr:uid="{00000000-0005-0000-0000-00009D4B0000}"/>
    <cellStyle name="Normal 10 2 2 2 9" xfId="8533" xr:uid="{00000000-0005-0000-0000-00009E4B0000}"/>
    <cellStyle name="Normal 10 2 2 2 9 2" xfId="15322" xr:uid="{00000000-0005-0000-0000-00009F4B0000}"/>
    <cellStyle name="Normal 10 2 2 2 9 2 2" xfId="28890" xr:uid="{00000000-0005-0000-0000-0000A04B0000}"/>
    <cellStyle name="Normal 10 2 2 2 9 2 2 2" xfId="56023" xr:uid="{00000000-0005-0000-0000-0000A14B0000}"/>
    <cellStyle name="Normal 10 2 2 2 9 2 3" xfId="42461" xr:uid="{00000000-0005-0000-0000-0000A24B0000}"/>
    <cellStyle name="Normal 10 2 2 2 9 3" xfId="22109" xr:uid="{00000000-0005-0000-0000-0000A34B0000}"/>
    <cellStyle name="Normal 10 2 2 2 9 3 2" xfId="49242" xr:uid="{00000000-0005-0000-0000-0000A44B0000}"/>
    <cellStyle name="Normal 10 2 2 2 9 4" xfId="35680" xr:uid="{00000000-0005-0000-0000-0000A54B0000}"/>
    <cellStyle name="Normal 10 2 2 3" xfId="5010" xr:uid="{00000000-0005-0000-0000-0000A64B0000}"/>
    <cellStyle name="Normal 10 2 2 3 10" xfId="32330" xr:uid="{00000000-0005-0000-0000-0000A74B0000}"/>
    <cellStyle name="Normal 10 2 2 3 2" xfId="5011" xr:uid="{00000000-0005-0000-0000-0000A84B0000}"/>
    <cellStyle name="Normal 10 2 2 3 2 2" xfId="5012" xr:uid="{00000000-0005-0000-0000-0000A94B0000}"/>
    <cellStyle name="Normal 10 2 2 3 2 2 2" xfId="5013" xr:uid="{00000000-0005-0000-0000-0000AA4B0000}"/>
    <cellStyle name="Normal 10 2 2 3 2 2 2 2" xfId="8575" xr:uid="{00000000-0005-0000-0000-0000AB4B0000}"/>
    <cellStyle name="Normal 10 2 2 3 2 2 2 2 2" xfId="15364" xr:uid="{00000000-0005-0000-0000-0000AC4B0000}"/>
    <cellStyle name="Normal 10 2 2 3 2 2 2 2 2 2" xfId="28932" xr:uid="{00000000-0005-0000-0000-0000AD4B0000}"/>
    <cellStyle name="Normal 10 2 2 3 2 2 2 2 2 2 2" xfId="56065" xr:uid="{00000000-0005-0000-0000-0000AE4B0000}"/>
    <cellStyle name="Normal 10 2 2 3 2 2 2 2 2 3" xfId="42503" xr:uid="{00000000-0005-0000-0000-0000AF4B0000}"/>
    <cellStyle name="Normal 10 2 2 3 2 2 2 2 3" xfId="22151" xr:uid="{00000000-0005-0000-0000-0000B04B0000}"/>
    <cellStyle name="Normal 10 2 2 3 2 2 2 2 3 2" xfId="49284" xr:uid="{00000000-0005-0000-0000-0000B14B0000}"/>
    <cellStyle name="Normal 10 2 2 3 2 2 2 2 4" xfId="35722" xr:uid="{00000000-0005-0000-0000-0000B24B0000}"/>
    <cellStyle name="Normal 10 2 2 3 2 2 2 3" xfId="11975" xr:uid="{00000000-0005-0000-0000-0000B34B0000}"/>
    <cellStyle name="Normal 10 2 2 3 2 2 2 3 2" xfId="25543" xr:uid="{00000000-0005-0000-0000-0000B44B0000}"/>
    <cellStyle name="Normal 10 2 2 3 2 2 2 3 2 2" xfId="52676" xr:uid="{00000000-0005-0000-0000-0000B54B0000}"/>
    <cellStyle name="Normal 10 2 2 3 2 2 2 3 3" xfId="39114" xr:uid="{00000000-0005-0000-0000-0000B64B0000}"/>
    <cellStyle name="Normal 10 2 2 3 2 2 2 4" xfId="18762" xr:uid="{00000000-0005-0000-0000-0000B74B0000}"/>
    <cellStyle name="Normal 10 2 2 3 2 2 2 4 2" xfId="45895" xr:uid="{00000000-0005-0000-0000-0000B84B0000}"/>
    <cellStyle name="Normal 10 2 2 3 2 2 2 5" xfId="32333" xr:uid="{00000000-0005-0000-0000-0000B94B0000}"/>
    <cellStyle name="Normal 10 2 2 3 2 2 3" xfId="5014" xr:uid="{00000000-0005-0000-0000-0000BA4B0000}"/>
    <cellStyle name="Normal 10 2 2 3 2 2 3 2" xfId="8576" xr:uid="{00000000-0005-0000-0000-0000BB4B0000}"/>
    <cellStyle name="Normal 10 2 2 3 2 2 3 2 2" xfId="15365" xr:uid="{00000000-0005-0000-0000-0000BC4B0000}"/>
    <cellStyle name="Normal 10 2 2 3 2 2 3 2 2 2" xfId="28933" xr:uid="{00000000-0005-0000-0000-0000BD4B0000}"/>
    <cellStyle name="Normal 10 2 2 3 2 2 3 2 2 2 2" xfId="56066" xr:uid="{00000000-0005-0000-0000-0000BE4B0000}"/>
    <cellStyle name="Normal 10 2 2 3 2 2 3 2 2 3" xfId="42504" xr:uid="{00000000-0005-0000-0000-0000BF4B0000}"/>
    <cellStyle name="Normal 10 2 2 3 2 2 3 2 3" xfId="22152" xr:uid="{00000000-0005-0000-0000-0000C04B0000}"/>
    <cellStyle name="Normal 10 2 2 3 2 2 3 2 3 2" xfId="49285" xr:uid="{00000000-0005-0000-0000-0000C14B0000}"/>
    <cellStyle name="Normal 10 2 2 3 2 2 3 2 4" xfId="35723" xr:uid="{00000000-0005-0000-0000-0000C24B0000}"/>
    <cellStyle name="Normal 10 2 2 3 2 2 3 3" xfId="11976" xr:uid="{00000000-0005-0000-0000-0000C34B0000}"/>
    <cellStyle name="Normal 10 2 2 3 2 2 3 3 2" xfId="25544" xr:uid="{00000000-0005-0000-0000-0000C44B0000}"/>
    <cellStyle name="Normal 10 2 2 3 2 2 3 3 2 2" xfId="52677" xr:uid="{00000000-0005-0000-0000-0000C54B0000}"/>
    <cellStyle name="Normal 10 2 2 3 2 2 3 3 3" xfId="39115" xr:uid="{00000000-0005-0000-0000-0000C64B0000}"/>
    <cellStyle name="Normal 10 2 2 3 2 2 3 4" xfId="18763" xr:uid="{00000000-0005-0000-0000-0000C74B0000}"/>
    <cellStyle name="Normal 10 2 2 3 2 2 3 4 2" xfId="45896" xr:uid="{00000000-0005-0000-0000-0000C84B0000}"/>
    <cellStyle name="Normal 10 2 2 3 2 2 3 5" xfId="32334" xr:uid="{00000000-0005-0000-0000-0000C94B0000}"/>
    <cellStyle name="Normal 10 2 2 3 2 2 4" xfId="8574" xr:uid="{00000000-0005-0000-0000-0000CA4B0000}"/>
    <cellStyle name="Normal 10 2 2 3 2 2 4 2" xfId="15363" xr:uid="{00000000-0005-0000-0000-0000CB4B0000}"/>
    <cellStyle name="Normal 10 2 2 3 2 2 4 2 2" xfId="28931" xr:uid="{00000000-0005-0000-0000-0000CC4B0000}"/>
    <cellStyle name="Normal 10 2 2 3 2 2 4 2 2 2" xfId="56064" xr:uid="{00000000-0005-0000-0000-0000CD4B0000}"/>
    <cellStyle name="Normal 10 2 2 3 2 2 4 2 3" xfId="42502" xr:uid="{00000000-0005-0000-0000-0000CE4B0000}"/>
    <cellStyle name="Normal 10 2 2 3 2 2 4 3" xfId="22150" xr:uid="{00000000-0005-0000-0000-0000CF4B0000}"/>
    <cellStyle name="Normal 10 2 2 3 2 2 4 3 2" xfId="49283" xr:uid="{00000000-0005-0000-0000-0000D04B0000}"/>
    <cellStyle name="Normal 10 2 2 3 2 2 4 4" xfId="35721" xr:uid="{00000000-0005-0000-0000-0000D14B0000}"/>
    <cellStyle name="Normal 10 2 2 3 2 2 5" xfId="11974" xr:uid="{00000000-0005-0000-0000-0000D24B0000}"/>
    <cellStyle name="Normal 10 2 2 3 2 2 5 2" xfId="25542" xr:uid="{00000000-0005-0000-0000-0000D34B0000}"/>
    <cellStyle name="Normal 10 2 2 3 2 2 5 2 2" xfId="52675" xr:uid="{00000000-0005-0000-0000-0000D44B0000}"/>
    <cellStyle name="Normal 10 2 2 3 2 2 5 3" xfId="39113" xr:uid="{00000000-0005-0000-0000-0000D54B0000}"/>
    <cellStyle name="Normal 10 2 2 3 2 2 6" xfId="18761" xr:uid="{00000000-0005-0000-0000-0000D64B0000}"/>
    <cellStyle name="Normal 10 2 2 3 2 2 6 2" xfId="45894" xr:uid="{00000000-0005-0000-0000-0000D74B0000}"/>
    <cellStyle name="Normal 10 2 2 3 2 2 7" xfId="32332" xr:uid="{00000000-0005-0000-0000-0000D84B0000}"/>
    <cellStyle name="Normal 10 2 2 3 2 3" xfId="5015" xr:uid="{00000000-0005-0000-0000-0000D94B0000}"/>
    <cellStyle name="Normal 10 2 2 3 2 3 2" xfId="5016" xr:uid="{00000000-0005-0000-0000-0000DA4B0000}"/>
    <cellStyle name="Normal 10 2 2 3 2 3 2 2" xfId="8578" xr:uid="{00000000-0005-0000-0000-0000DB4B0000}"/>
    <cellStyle name="Normal 10 2 2 3 2 3 2 2 2" xfId="15367" xr:uid="{00000000-0005-0000-0000-0000DC4B0000}"/>
    <cellStyle name="Normal 10 2 2 3 2 3 2 2 2 2" xfId="28935" xr:uid="{00000000-0005-0000-0000-0000DD4B0000}"/>
    <cellStyle name="Normal 10 2 2 3 2 3 2 2 2 2 2" xfId="56068" xr:uid="{00000000-0005-0000-0000-0000DE4B0000}"/>
    <cellStyle name="Normal 10 2 2 3 2 3 2 2 2 3" xfId="42506" xr:uid="{00000000-0005-0000-0000-0000DF4B0000}"/>
    <cellStyle name="Normal 10 2 2 3 2 3 2 2 3" xfId="22154" xr:uid="{00000000-0005-0000-0000-0000E04B0000}"/>
    <cellStyle name="Normal 10 2 2 3 2 3 2 2 3 2" xfId="49287" xr:uid="{00000000-0005-0000-0000-0000E14B0000}"/>
    <cellStyle name="Normal 10 2 2 3 2 3 2 2 4" xfId="35725" xr:uid="{00000000-0005-0000-0000-0000E24B0000}"/>
    <cellStyle name="Normal 10 2 2 3 2 3 2 3" xfId="11978" xr:uid="{00000000-0005-0000-0000-0000E34B0000}"/>
    <cellStyle name="Normal 10 2 2 3 2 3 2 3 2" xfId="25546" xr:uid="{00000000-0005-0000-0000-0000E44B0000}"/>
    <cellStyle name="Normal 10 2 2 3 2 3 2 3 2 2" xfId="52679" xr:uid="{00000000-0005-0000-0000-0000E54B0000}"/>
    <cellStyle name="Normal 10 2 2 3 2 3 2 3 3" xfId="39117" xr:uid="{00000000-0005-0000-0000-0000E64B0000}"/>
    <cellStyle name="Normal 10 2 2 3 2 3 2 4" xfId="18765" xr:uid="{00000000-0005-0000-0000-0000E74B0000}"/>
    <cellStyle name="Normal 10 2 2 3 2 3 2 4 2" xfId="45898" xr:uid="{00000000-0005-0000-0000-0000E84B0000}"/>
    <cellStyle name="Normal 10 2 2 3 2 3 2 5" xfId="32336" xr:uid="{00000000-0005-0000-0000-0000E94B0000}"/>
    <cellStyle name="Normal 10 2 2 3 2 3 3" xfId="8577" xr:uid="{00000000-0005-0000-0000-0000EA4B0000}"/>
    <cellStyle name="Normal 10 2 2 3 2 3 3 2" xfId="15366" xr:uid="{00000000-0005-0000-0000-0000EB4B0000}"/>
    <cellStyle name="Normal 10 2 2 3 2 3 3 2 2" xfId="28934" xr:uid="{00000000-0005-0000-0000-0000EC4B0000}"/>
    <cellStyle name="Normal 10 2 2 3 2 3 3 2 2 2" xfId="56067" xr:uid="{00000000-0005-0000-0000-0000ED4B0000}"/>
    <cellStyle name="Normal 10 2 2 3 2 3 3 2 3" xfId="42505" xr:uid="{00000000-0005-0000-0000-0000EE4B0000}"/>
    <cellStyle name="Normal 10 2 2 3 2 3 3 3" xfId="22153" xr:uid="{00000000-0005-0000-0000-0000EF4B0000}"/>
    <cellStyle name="Normal 10 2 2 3 2 3 3 3 2" xfId="49286" xr:uid="{00000000-0005-0000-0000-0000F04B0000}"/>
    <cellStyle name="Normal 10 2 2 3 2 3 3 4" xfId="35724" xr:uid="{00000000-0005-0000-0000-0000F14B0000}"/>
    <cellStyle name="Normal 10 2 2 3 2 3 4" xfId="11977" xr:uid="{00000000-0005-0000-0000-0000F24B0000}"/>
    <cellStyle name="Normal 10 2 2 3 2 3 4 2" xfId="25545" xr:uid="{00000000-0005-0000-0000-0000F34B0000}"/>
    <cellStyle name="Normal 10 2 2 3 2 3 4 2 2" xfId="52678" xr:uid="{00000000-0005-0000-0000-0000F44B0000}"/>
    <cellStyle name="Normal 10 2 2 3 2 3 4 3" xfId="39116" xr:uid="{00000000-0005-0000-0000-0000F54B0000}"/>
    <cellStyle name="Normal 10 2 2 3 2 3 5" xfId="18764" xr:uid="{00000000-0005-0000-0000-0000F64B0000}"/>
    <cellStyle name="Normal 10 2 2 3 2 3 5 2" xfId="45897" xr:uid="{00000000-0005-0000-0000-0000F74B0000}"/>
    <cellStyle name="Normal 10 2 2 3 2 3 6" xfId="32335" xr:uid="{00000000-0005-0000-0000-0000F84B0000}"/>
    <cellStyle name="Normal 10 2 2 3 2 4" xfId="5017" xr:uid="{00000000-0005-0000-0000-0000F94B0000}"/>
    <cellStyle name="Normal 10 2 2 3 2 4 2" xfId="8579" xr:uid="{00000000-0005-0000-0000-0000FA4B0000}"/>
    <cellStyle name="Normal 10 2 2 3 2 4 2 2" xfId="15368" xr:uid="{00000000-0005-0000-0000-0000FB4B0000}"/>
    <cellStyle name="Normal 10 2 2 3 2 4 2 2 2" xfId="28936" xr:uid="{00000000-0005-0000-0000-0000FC4B0000}"/>
    <cellStyle name="Normal 10 2 2 3 2 4 2 2 2 2" xfId="56069" xr:uid="{00000000-0005-0000-0000-0000FD4B0000}"/>
    <cellStyle name="Normal 10 2 2 3 2 4 2 2 3" xfId="42507" xr:uid="{00000000-0005-0000-0000-0000FE4B0000}"/>
    <cellStyle name="Normal 10 2 2 3 2 4 2 3" xfId="22155" xr:uid="{00000000-0005-0000-0000-0000FF4B0000}"/>
    <cellStyle name="Normal 10 2 2 3 2 4 2 3 2" xfId="49288" xr:uid="{00000000-0005-0000-0000-0000004C0000}"/>
    <cellStyle name="Normal 10 2 2 3 2 4 2 4" xfId="35726" xr:uid="{00000000-0005-0000-0000-0000014C0000}"/>
    <cellStyle name="Normal 10 2 2 3 2 4 3" xfId="11979" xr:uid="{00000000-0005-0000-0000-0000024C0000}"/>
    <cellStyle name="Normal 10 2 2 3 2 4 3 2" xfId="25547" xr:uid="{00000000-0005-0000-0000-0000034C0000}"/>
    <cellStyle name="Normal 10 2 2 3 2 4 3 2 2" xfId="52680" xr:uid="{00000000-0005-0000-0000-0000044C0000}"/>
    <cellStyle name="Normal 10 2 2 3 2 4 3 3" xfId="39118" xr:uid="{00000000-0005-0000-0000-0000054C0000}"/>
    <cellStyle name="Normal 10 2 2 3 2 4 4" xfId="18766" xr:uid="{00000000-0005-0000-0000-0000064C0000}"/>
    <cellStyle name="Normal 10 2 2 3 2 4 4 2" xfId="45899" xr:uid="{00000000-0005-0000-0000-0000074C0000}"/>
    <cellStyle name="Normal 10 2 2 3 2 4 5" xfId="32337" xr:uid="{00000000-0005-0000-0000-0000084C0000}"/>
    <cellStyle name="Normal 10 2 2 3 2 5" xfId="5018" xr:uid="{00000000-0005-0000-0000-0000094C0000}"/>
    <cellStyle name="Normal 10 2 2 3 2 5 2" xfId="8580" xr:uid="{00000000-0005-0000-0000-00000A4C0000}"/>
    <cellStyle name="Normal 10 2 2 3 2 5 2 2" xfId="15369" xr:uid="{00000000-0005-0000-0000-00000B4C0000}"/>
    <cellStyle name="Normal 10 2 2 3 2 5 2 2 2" xfId="28937" xr:uid="{00000000-0005-0000-0000-00000C4C0000}"/>
    <cellStyle name="Normal 10 2 2 3 2 5 2 2 2 2" xfId="56070" xr:uid="{00000000-0005-0000-0000-00000D4C0000}"/>
    <cellStyle name="Normal 10 2 2 3 2 5 2 2 3" xfId="42508" xr:uid="{00000000-0005-0000-0000-00000E4C0000}"/>
    <cellStyle name="Normal 10 2 2 3 2 5 2 3" xfId="22156" xr:uid="{00000000-0005-0000-0000-00000F4C0000}"/>
    <cellStyle name="Normal 10 2 2 3 2 5 2 3 2" xfId="49289" xr:uid="{00000000-0005-0000-0000-0000104C0000}"/>
    <cellStyle name="Normal 10 2 2 3 2 5 2 4" xfId="35727" xr:uid="{00000000-0005-0000-0000-0000114C0000}"/>
    <cellStyle name="Normal 10 2 2 3 2 5 3" xfId="11980" xr:uid="{00000000-0005-0000-0000-0000124C0000}"/>
    <cellStyle name="Normal 10 2 2 3 2 5 3 2" xfId="25548" xr:uid="{00000000-0005-0000-0000-0000134C0000}"/>
    <cellStyle name="Normal 10 2 2 3 2 5 3 2 2" xfId="52681" xr:uid="{00000000-0005-0000-0000-0000144C0000}"/>
    <cellStyle name="Normal 10 2 2 3 2 5 3 3" xfId="39119" xr:uid="{00000000-0005-0000-0000-0000154C0000}"/>
    <cellStyle name="Normal 10 2 2 3 2 5 4" xfId="18767" xr:uid="{00000000-0005-0000-0000-0000164C0000}"/>
    <cellStyle name="Normal 10 2 2 3 2 5 4 2" xfId="45900" xr:uid="{00000000-0005-0000-0000-0000174C0000}"/>
    <cellStyle name="Normal 10 2 2 3 2 5 5" xfId="32338" xr:uid="{00000000-0005-0000-0000-0000184C0000}"/>
    <cellStyle name="Normal 10 2 2 3 2 6" xfId="8573" xr:uid="{00000000-0005-0000-0000-0000194C0000}"/>
    <cellStyle name="Normal 10 2 2 3 2 6 2" xfId="15362" xr:uid="{00000000-0005-0000-0000-00001A4C0000}"/>
    <cellStyle name="Normal 10 2 2 3 2 6 2 2" xfId="28930" xr:uid="{00000000-0005-0000-0000-00001B4C0000}"/>
    <cellStyle name="Normal 10 2 2 3 2 6 2 2 2" xfId="56063" xr:uid="{00000000-0005-0000-0000-00001C4C0000}"/>
    <cellStyle name="Normal 10 2 2 3 2 6 2 3" xfId="42501" xr:uid="{00000000-0005-0000-0000-00001D4C0000}"/>
    <cellStyle name="Normal 10 2 2 3 2 6 3" xfId="22149" xr:uid="{00000000-0005-0000-0000-00001E4C0000}"/>
    <cellStyle name="Normal 10 2 2 3 2 6 3 2" xfId="49282" xr:uid="{00000000-0005-0000-0000-00001F4C0000}"/>
    <cellStyle name="Normal 10 2 2 3 2 6 4" xfId="35720" xr:uid="{00000000-0005-0000-0000-0000204C0000}"/>
    <cellStyle name="Normal 10 2 2 3 2 7" xfId="11973" xr:uid="{00000000-0005-0000-0000-0000214C0000}"/>
    <cellStyle name="Normal 10 2 2 3 2 7 2" xfId="25541" xr:uid="{00000000-0005-0000-0000-0000224C0000}"/>
    <cellStyle name="Normal 10 2 2 3 2 7 2 2" xfId="52674" xr:uid="{00000000-0005-0000-0000-0000234C0000}"/>
    <cellStyle name="Normal 10 2 2 3 2 7 3" xfId="39112" xr:uid="{00000000-0005-0000-0000-0000244C0000}"/>
    <cellStyle name="Normal 10 2 2 3 2 8" xfId="18760" xr:uid="{00000000-0005-0000-0000-0000254C0000}"/>
    <cellStyle name="Normal 10 2 2 3 2 8 2" xfId="45893" xr:uid="{00000000-0005-0000-0000-0000264C0000}"/>
    <cellStyle name="Normal 10 2 2 3 2 9" xfId="32331" xr:uid="{00000000-0005-0000-0000-0000274C0000}"/>
    <cellStyle name="Normal 10 2 2 3 3" xfId="5019" xr:uid="{00000000-0005-0000-0000-0000284C0000}"/>
    <cellStyle name="Normal 10 2 2 3 3 2" xfId="5020" xr:uid="{00000000-0005-0000-0000-0000294C0000}"/>
    <cellStyle name="Normal 10 2 2 3 3 2 2" xfId="8582" xr:uid="{00000000-0005-0000-0000-00002A4C0000}"/>
    <cellStyle name="Normal 10 2 2 3 3 2 2 2" xfId="15371" xr:uid="{00000000-0005-0000-0000-00002B4C0000}"/>
    <cellStyle name="Normal 10 2 2 3 3 2 2 2 2" xfId="28939" xr:uid="{00000000-0005-0000-0000-00002C4C0000}"/>
    <cellStyle name="Normal 10 2 2 3 3 2 2 2 2 2" xfId="56072" xr:uid="{00000000-0005-0000-0000-00002D4C0000}"/>
    <cellStyle name="Normal 10 2 2 3 3 2 2 2 3" xfId="42510" xr:uid="{00000000-0005-0000-0000-00002E4C0000}"/>
    <cellStyle name="Normal 10 2 2 3 3 2 2 3" xfId="22158" xr:uid="{00000000-0005-0000-0000-00002F4C0000}"/>
    <cellStyle name="Normal 10 2 2 3 3 2 2 3 2" xfId="49291" xr:uid="{00000000-0005-0000-0000-0000304C0000}"/>
    <cellStyle name="Normal 10 2 2 3 3 2 2 4" xfId="35729" xr:uid="{00000000-0005-0000-0000-0000314C0000}"/>
    <cellStyle name="Normal 10 2 2 3 3 2 3" xfId="11982" xr:uid="{00000000-0005-0000-0000-0000324C0000}"/>
    <cellStyle name="Normal 10 2 2 3 3 2 3 2" xfId="25550" xr:uid="{00000000-0005-0000-0000-0000334C0000}"/>
    <cellStyle name="Normal 10 2 2 3 3 2 3 2 2" xfId="52683" xr:uid="{00000000-0005-0000-0000-0000344C0000}"/>
    <cellStyle name="Normal 10 2 2 3 3 2 3 3" xfId="39121" xr:uid="{00000000-0005-0000-0000-0000354C0000}"/>
    <cellStyle name="Normal 10 2 2 3 3 2 4" xfId="18769" xr:uid="{00000000-0005-0000-0000-0000364C0000}"/>
    <cellStyle name="Normal 10 2 2 3 3 2 4 2" xfId="45902" xr:uid="{00000000-0005-0000-0000-0000374C0000}"/>
    <cellStyle name="Normal 10 2 2 3 3 2 5" xfId="32340" xr:uid="{00000000-0005-0000-0000-0000384C0000}"/>
    <cellStyle name="Normal 10 2 2 3 3 3" xfId="5021" xr:uid="{00000000-0005-0000-0000-0000394C0000}"/>
    <cellStyle name="Normal 10 2 2 3 3 3 2" xfId="8583" xr:uid="{00000000-0005-0000-0000-00003A4C0000}"/>
    <cellStyle name="Normal 10 2 2 3 3 3 2 2" xfId="15372" xr:uid="{00000000-0005-0000-0000-00003B4C0000}"/>
    <cellStyle name="Normal 10 2 2 3 3 3 2 2 2" xfId="28940" xr:uid="{00000000-0005-0000-0000-00003C4C0000}"/>
    <cellStyle name="Normal 10 2 2 3 3 3 2 2 2 2" xfId="56073" xr:uid="{00000000-0005-0000-0000-00003D4C0000}"/>
    <cellStyle name="Normal 10 2 2 3 3 3 2 2 3" xfId="42511" xr:uid="{00000000-0005-0000-0000-00003E4C0000}"/>
    <cellStyle name="Normal 10 2 2 3 3 3 2 3" xfId="22159" xr:uid="{00000000-0005-0000-0000-00003F4C0000}"/>
    <cellStyle name="Normal 10 2 2 3 3 3 2 3 2" xfId="49292" xr:uid="{00000000-0005-0000-0000-0000404C0000}"/>
    <cellStyle name="Normal 10 2 2 3 3 3 2 4" xfId="35730" xr:uid="{00000000-0005-0000-0000-0000414C0000}"/>
    <cellStyle name="Normal 10 2 2 3 3 3 3" xfId="11983" xr:uid="{00000000-0005-0000-0000-0000424C0000}"/>
    <cellStyle name="Normal 10 2 2 3 3 3 3 2" xfId="25551" xr:uid="{00000000-0005-0000-0000-0000434C0000}"/>
    <cellStyle name="Normal 10 2 2 3 3 3 3 2 2" xfId="52684" xr:uid="{00000000-0005-0000-0000-0000444C0000}"/>
    <cellStyle name="Normal 10 2 2 3 3 3 3 3" xfId="39122" xr:uid="{00000000-0005-0000-0000-0000454C0000}"/>
    <cellStyle name="Normal 10 2 2 3 3 3 4" xfId="18770" xr:uid="{00000000-0005-0000-0000-0000464C0000}"/>
    <cellStyle name="Normal 10 2 2 3 3 3 4 2" xfId="45903" xr:uid="{00000000-0005-0000-0000-0000474C0000}"/>
    <cellStyle name="Normal 10 2 2 3 3 3 5" xfId="32341" xr:uid="{00000000-0005-0000-0000-0000484C0000}"/>
    <cellStyle name="Normal 10 2 2 3 3 4" xfId="8581" xr:uid="{00000000-0005-0000-0000-0000494C0000}"/>
    <cellStyle name="Normal 10 2 2 3 3 4 2" xfId="15370" xr:uid="{00000000-0005-0000-0000-00004A4C0000}"/>
    <cellStyle name="Normal 10 2 2 3 3 4 2 2" xfId="28938" xr:uid="{00000000-0005-0000-0000-00004B4C0000}"/>
    <cellStyle name="Normal 10 2 2 3 3 4 2 2 2" xfId="56071" xr:uid="{00000000-0005-0000-0000-00004C4C0000}"/>
    <cellStyle name="Normal 10 2 2 3 3 4 2 3" xfId="42509" xr:uid="{00000000-0005-0000-0000-00004D4C0000}"/>
    <cellStyle name="Normal 10 2 2 3 3 4 3" xfId="22157" xr:uid="{00000000-0005-0000-0000-00004E4C0000}"/>
    <cellStyle name="Normal 10 2 2 3 3 4 3 2" xfId="49290" xr:uid="{00000000-0005-0000-0000-00004F4C0000}"/>
    <cellStyle name="Normal 10 2 2 3 3 4 4" xfId="35728" xr:uid="{00000000-0005-0000-0000-0000504C0000}"/>
    <cellStyle name="Normal 10 2 2 3 3 5" xfId="11981" xr:uid="{00000000-0005-0000-0000-0000514C0000}"/>
    <cellStyle name="Normal 10 2 2 3 3 5 2" xfId="25549" xr:uid="{00000000-0005-0000-0000-0000524C0000}"/>
    <cellStyle name="Normal 10 2 2 3 3 5 2 2" xfId="52682" xr:uid="{00000000-0005-0000-0000-0000534C0000}"/>
    <cellStyle name="Normal 10 2 2 3 3 5 3" xfId="39120" xr:uid="{00000000-0005-0000-0000-0000544C0000}"/>
    <cellStyle name="Normal 10 2 2 3 3 6" xfId="18768" xr:uid="{00000000-0005-0000-0000-0000554C0000}"/>
    <cellStyle name="Normal 10 2 2 3 3 6 2" xfId="45901" xr:uid="{00000000-0005-0000-0000-0000564C0000}"/>
    <cellStyle name="Normal 10 2 2 3 3 7" xfId="32339" xr:uid="{00000000-0005-0000-0000-0000574C0000}"/>
    <cellStyle name="Normal 10 2 2 3 4" xfId="5022" xr:uid="{00000000-0005-0000-0000-0000584C0000}"/>
    <cellStyle name="Normal 10 2 2 3 4 2" xfId="5023" xr:uid="{00000000-0005-0000-0000-0000594C0000}"/>
    <cellStyle name="Normal 10 2 2 3 4 2 2" xfId="8585" xr:uid="{00000000-0005-0000-0000-00005A4C0000}"/>
    <cellStyle name="Normal 10 2 2 3 4 2 2 2" xfId="15374" xr:uid="{00000000-0005-0000-0000-00005B4C0000}"/>
    <cellStyle name="Normal 10 2 2 3 4 2 2 2 2" xfId="28942" xr:uid="{00000000-0005-0000-0000-00005C4C0000}"/>
    <cellStyle name="Normal 10 2 2 3 4 2 2 2 2 2" xfId="56075" xr:uid="{00000000-0005-0000-0000-00005D4C0000}"/>
    <cellStyle name="Normal 10 2 2 3 4 2 2 2 3" xfId="42513" xr:uid="{00000000-0005-0000-0000-00005E4C0000}"/>
    <cellStyle name="Normal 10 2 2 3 4 2 2 3" xfId="22161" xr:uid="{00000000-0005-0000-0000-00005F4C0000}"/>
    <cellStyle name="Normal 10 2 2 3 4 2 2 3 2" xfId="49294" xr:uid="{00000000-0005-0000-0000-0000604C0000}"/>
    <cellStyle name="Normal 10 2 2 3 4 2 2 4" xfId="35732" xr:uid="{00000000-0005-0000-0000-0000614C0000}"/>
    <cellStyle name="Normal 10 2 2 3 4 2 3" xfId="11985" xr:uid="{00000000-0005-0000-0000-0000624C0000}"/>
    <cellStyle name="Normal 10 2 2 3 4 2 3 2" xfId="25553" xr:uid="{00000000-0005-0000-0000-0000634C0000}"/>
    <cellStyle name="Normal 10 2 2 3 4 2 3 2 2" xfId="52686" xr:uid="{00000000-0005-0000-0000-0000644C0000}"/>
    <cellStyle name="Normal 10 2 2 3 4 2 3 3" xfId="39124" xr:uid="{00000000-0005-0000-0000-0000654C0000}"/>
    <cellStyle name="Normal 10 2 2 3 4 2 4" xfId="18772" xr:uid="{00000000-0005-0000-0000-0000664C0000}"/>
    <cellStyle name="Normal 10 2 2 3 4 2 4 2" xfId="45905" xr:uid="{00000000-0005-0000-0000-0000674C0000}"/>
    <cellStyle name="Normal 10 2 2 3 4 2 5" xfId="32343" xr:uid="{00000000-0005-0000-0000-0000684C0000}"/>
    <cellStyle name="Normal 10 2 2 3 4 3" xfId="8584" xr:uid="{00000000-0005-0000-0000-0000694C0000}"/>
    <cellStyle name="Normal 10 2 2 3 4 3 2" xfId="15373" xr:uid="{00000000-0005-0000-0000-00006A4C0000}"/>
    <cellStyle name="Normal 10 2 2 3 4 3 2 2" xfId="28941" xr:uid="{00000000-0005-0000-0000-00006B4C0000}"/>
    <cellStyle name="Normal 10 2 2 3 4 3 2 2 2" xfId="56074" xr:uid="{00000000-0005-0000-0000-00006C4C0000}"/>
    <cellStyle name="Normal 10 2 2 3 4 3 2 3" xfId="42512" xr:uid="{00000000-0005-0000-0000-00006D4C0000}"/>
    <cellStyle name="Normal 10 2 2 3 4 3 3" xfId="22160" xr:uid="{00000000-0005-0000-0000-00006E4C0000}"/>
    <cellStyle name="Normal 10 2 2 3 4 3 3 2" xfId="49293" xr:uid="{00000000-0005-0000-0000-00006F4C0000}"/>
    <cellStyle name="Normal 10 2 2 3 4 3 4" xfId="35731" xr:uid="{00000000-0005-0000-0000-0000704C0000}"/>
    <cellStyle name="Normal 10 2 2 3 4 4" xfId="11984" xr:uid="{00000000-0005-0000-0000-0000714C0000}"/>
    <cellStyle name="Normal 10 2 2 3 4 4 2" xfId="25552" xr:uid="{00000000-0005-0000-0000-0000724C0000}"/>
    <cellStyle name="Normal 10 2 2 3 4 4 2 2" xfId="52685" xr:uid="{00000000-0005-0000-0000-0000734C0000}"/>
    <cellStyle name="Normal 10 2 2 3 4 4 3" xfId="39123" xr:uid="{00000000-0005-0000-0000-0000744C0000}"/>
    <cellStyle name="Normal 10 2 2 3 4 5" xfId="18771" xr:uid="{00000000-0005-0000-0000-0000754C0000}"/>
    <cellStyle name="Normal 10 2 2 3 4 5 2" xfId="45904" xr:uid="{00000000-0005-0000-0000-0000764C0000}"/>
    <cellStyle name="Normal 10 2 2 3 4 6" xfId="32342" xr:uid="{00000000-0005-0000-0000-0000774C0000}"/>
    <cellStyle name="Normal 10 2 2 3 5" xfId="5024" xr:uid="{00000000-0005-0000-0000-0000784C0000}"/>
    <cellStyle name="Normal 10 2 2 3 5 2" xfId="8586" xr:uid="{00000000-0005-0000-0000-0000794C0000}"/>
    <cellStyle name="Normal 10 2 2 3 5 2 2" xfId="15375" xr:uid="{00000000-0005-0000-0000-00007A4C0000}"/>
    <cellStyle name="Normal 10 2 2 3 5 2 2 2" xfId="28943" xr:uid="{00000000-0005-0000-0000-00007B4C0000}"/>
    <cellStyle name="Normal 10 2 2 3 5 2 2 2 2" xfId="56076" xr:uid="{00000000-0005-0000-0000-00007C4C0000}"/>
    <cellStyle name="Normal 10 2 2 3 5 2 2 3" xfId="42514" xr:uid="{00000000-0005-0000-0000-00007D4C0000}"/>
    <cellStyle name="Normal 10 2 2 3 5 2 3" xfId="22162" xr:uid="{00000000-0005-0000-0000-00007E4C0000}"/>
    <cellStyle name="Normal 10 2 2 3 5 2 3 2" xfId="49295" xr:uid="{00000000-0005-0000-0000-00007F4C0000}"/>
    <cellStyle name="Normal 10 2 2 3 5 2 4" xfId="35733" xr:uid="{00000000-0005-0000-0000-0000804C0000}"/>
    <cellStyle name="Normal 10 2 2 3 5 3" xfId="11986" xr:uid="{00000000-0005-0000-0000-0000814C0000}"/>
    <cellStyle name="Normal 10 2 2 3 5 3 2" xfId="25554" xr:uid="{00000000-0005-0000-0000-0000824C0000}"/>
    <cellStyle name="Normal 10 2 2 3 5 3 2 2" xfId="52687" xr:uid="{00000000-0005-0000-0000-0000834C0000}"/>
    <cellStyle name="Normal 10 2 2 3 5 3 3" xfId="39125" xr:uid="{00000000-0005-0000-0000-0000844C0000}"/>
    <cellStyle name="Normal 10 2 2 3 5 4" xfId="18773" xr:uid="{00000000-0005-0000-0000-0000854C0000}"/>
    <cellStyle name="Normal 10 2 2 3 5 4 2" xfId="45906" xr:uid="{00000000-0005-0000-0000-0000864C0000}"/>
    <cellStyle name="Normal 10 2 2 3 5 5" xfId="32344" xr:uid="{00000000-0005-0000-0000-0000874C0000}"/>
    <cellStyle name="Normal 10 2 2 3 6" xfId="5025" xr:uid="{00000000-0005-0000-0000-0000884C0000}"/>
    <cellStyle name="Normal 10 2 2 3 6 2" xfId="8587" xr:uid="{00000000-0005-0000-0000-0000894C0000}"/>
    <cellStyle name="Normal 10 2 2 3 6 2 2" xfId="15376" xr:uid="{00000000-0005-0000-0000-00008A4C0000}"/>
    <cellStyle name="Normal 10 2 2 3 6 2 2 2" xfId="28944" xr:uid="{00000000-0005-0000-0000-00008B4C0000}"/>
    <cellStyle name="Normal 10 2 2 3 6 2 2 2 2" xfId="56077" xr:uid="{00000000-0005-0000-0000-00008C4C0000}"/>
    <cellStyle name="Normal 10 2 2 3 6 2 2 3" xfId="42515" xr:uid="{00000000-0005-0000-0000-00008D4C0000}"/>
    <cellStyle name="Normal 10 2 2 3 6 2 3" xfId="22163" xr:uid="{00000000-0005-0000-0000-00008E4C0000}"/>
    <cellStyle name="Normal 10 2 2 3 6 2 3 2" xfId="49296" xr:uid="{00000000-0005-0000-0000-00008F4C0000}"/>
    <cellStyle name="Normal 10 2 2 3 6 2 4" xfId="35734" xr:uid="{00000000-0005-0000-0000-0000904C0000}"/>
    <cellStyle name="Normal 10 2 2 3 6 3" xfId="11987" xr:uid="{00000000-0005-0000-0000-0000914C0000}"/>
    <cellStyle name="Normal 10 2 2 3 6 3 2" xfId="25555" xr:uid="{00000000-0005-0000-0000-0000924C0000}"/>
    <cellStyle name="Normal 10 2 2 3 6 3 2 2" xfId="52688" xr:uid="{00000000-0005-0000-0000-0000934C0000}"/>
    <cellStyle name="Normal 10 2 2 3 6 3 3" xfId="39126" xr:uid="{00000000-0005-0000-0000-0000944C0000}"/>
    <cellStyle name="Normal 10 2 2 3 6 4" xfId="18774" xr:uid="{00000000-0005-0000-0000-0000954C0000}"/>
    <cellStyle name="Normal 10 2 2 3 6 4 2" xfId="45907" xr:uid="{00000000-0005-0000-0000-0000964C0000}"/>
    <cellStyle name="Normal 10 2 2 3 6 5" xfId="32345" xr:uid="{00000000-0005-0000-0000-0000974C0000}"/>
    <cellStyle name="Normal 10 2 2 3 7" xfId="8572" xr:uid="{00000000-0005-0000-0000-0000984C0000}"/>
    <cellStyle name="Normal 10 2 2 3 7 2" xfId="15361" xr:uid="{00000000-0005-0000-0000-0000994C0000}"/>
    <cellStyle name="Normal 10 2 2 3 7 2 2" xfId="28929" xr:uid="{00000000-0005-0000-0000-00009A4C0000}"/>
    <cellStyle name="Normal 10 2 2 3 7 2 2 2" xfId="56062" xr:uid="{00000000-0005-0000-0000-00009B4C0000}"/>
    <cellStyle name="Normal 10 2 2 3 7 2 3" xfId="42500" xr:uid="{00000000-0005-0000-0000-00009C4C0000}"/>
    <cellStyle name="Normal 10 2 2 3 7 3" xfId="22148" xr:uid="{00000000-0005-0000-0000-00009D4C0000}"/>
    <cellStyle name="Normal 10 2 2 3 7 3 2" xfId="49281" xr:uid="{00000000-0005-0000-0000-00009E4C0000}"/>
    <cellStyle name="Normal 10 2 2 3 7 4" xfId="35719" xr:uid="{00000000-0005-0000-0000-00009F4C0000}"/>
    <cellStyle name="Normal 10 2 2 3 8" xfId="11972" xr:uid="{00000000-0005-0000-0000-0000A04C0000}"/>
    <cellStyle name="Normal 10 2 2 3 8 2" xfId="25540" xr:uid="{00000000-0005-0000-0000-0000A14C0000}"/>
    <cellStyle name="Normal 10 2 2 3 8 2 2" xfId="52673" xr:uid="{00000000-0005-0000-0000-0000A24C0000}"/>
    <cellStyle name="Normal 10 2 2 3 8 3" xfId="39111" xr:uid="{00000000-0005-0000-0000-0000A34C0000}"/>
    <cellStyle name="Normal 10 2 2 3 9" xfId="18759" xr:uid="{00000000-0005-0000-0000-0000A44C0000}"/>
    <cellStyle name="Normal 10 2 2 3 9 2" xfId="45892" xr:uid="{00000000-0005-0000-0000-0000A54C0000}"/>
    <cellStyle name="Normal 10 2 2 4" xfId="5026" xr:uid="{00000000-0005-0000-0000-0000A64C0000}"/>
    <cellStyle name="Normal 10 2 2 4 2" xfId="5027" xr:uid="{00000000-0005-0000-0000-0000A74C0000}"/>
    <cellStyle name="Normal 10 2 2 4 2 2" xfId="5028" xr:uid="{00000000-0005-0000-0000-0000A84C0000}"/>
    <cellStyle name="Normal 10 2 2 4 2 2 2" xfId="8590" xr:uid="{00000000-0005-0000-0000-0000A94C0000}"/>
    <cellStyle name="Normal 10 2 2 4 2 2 2 2" xfId="15379" xr:uid="{00000000-0005-0000-0000-0000AA4C0000}"/>
    <cellStyle name="Normal 10 2 2 4 2 2 2 2 2" xfId="28947" xr:uid="{00000000-0005-0000-0000-0000AB4C0000}"/>
    <cellStyle name="Normal 10 2 2 4 2 2 2 2 2 2" xfId="56080" xr:uid="{00000000-0005-0000-0000-0000AC4C0000}"/>
    <cellStyle name="Normal 10 2 2 4 2 2 2 2 3" xfId="42518" xr:uid="{00000000-0005-0000-0000-0000AD4C0000}"/>
    <cellStyle name="Normal 10 2 2 4 2 2 2 3" xfId="22166" xr:uid="{00000000-0005-0000-0000-0000AE4C0000}"/>
    <cellStyle name="Normal 10 2 2 4 2 2 2 3 2" xfId="49299" xr:uid="{00000000-0005-0000-0000-0000AF4C0000}"/>
    <cellStyle name="Normal 10 2 2 4 2 2 2 4" xfId="35737" xr:uid="{00000000-0005-0000-0000-0000B04C0000}"/>
    <cellStyle name="Normal 10 2 2 4 2 2 3" xfId="11990" xr:uid="{00000000-0005-0000-0000-0000B14C0000}"/>
    <cellStyle name="Normal 10 2 2 4 2 2 3 2" xfId="25558" xr:uid="{00000000-0005-0000-0000-0000B24C0000}"/>
    <cellStyle name="Normal 10 2 2 4 2 2 3 2 2" xfId="52691" xr:uid="{00000000-0005-0000-0000-0000B34C0000}"/>
    <cellStyle name="Normal 10 2 2 4 2 2 3 3" xfId="39129" xr:uid="{00000000-0005-0000-0000-0000B44C0000}"/>
    <cellStyle name="Normal 10 2 2 4 2 2 4" xfId="18777" xr:uid="{00000000-0005-0000-0000-0000B54C0000}"/>
    <cellStyle name="Normal 10 2 2 4 2 2 4 2" xfId="45910" xr:uid="{00000000-0005-0000-0000-0000B64C0000}"/>
    <cellStyle name="Normal 10 2 2 4 2 2 5" xfId="32348" xr:uid="{00000000-0005-0000-0000-0000B74C0000}"/>
    <cellStyle name="Normal 10 2 2 4 2 3" xfId="5029" xr:uid="{00000000-0005-0000-0000-0000B84C0000}"/>
    <cellStyle name="Normal 10 2 2 4 2 3 2" xfId="8591" xr:uid="{00000000-0005-0000-0000-0000B94C0000}"/>
    <cellStyle name="Normal 10 2 2 4 2 3 2 2" xfId="15380" xr:uid="{00000000-0005-0000-0000-0000BA4C0000}"/>
    <cellStyle name="Normal 10 2 2 4 2 3 2 2 2" xfId="28948" xr:uid="{00000000-0005-0000-0000-0000BB4C0000}"/>
    <cellStyle name="Normal 10 2 2 4 2 3 2 2 2 2" xfId="56081" xr:uid="{00000000-0005-0000-0000-0000BC4C0000}"/>
    <cellStyle name="Normal 10 2 2 4 2 3 2 2 3" xfId="42519" xr:uid="{00000000-0005-0000-0000-0000BD4C0000}"/>
    <cellStyle name="Normal 10 2 2 4 2 3 2 3" xfId="22167" xr:uid="{00000000-0005-0000-0000-0000BE4C0000}"/>
    <cellStyle name="Normal 10 2 2 4 2 3 2 3 2" xfId="49300" xr:uid="{00000000-0005-0000-0000-0000BF4C0000}"/>
    <cellStyle name="Normal 10 2 2 4 2 3 2 4" xfId="35738" xr:uid="{00000000-0005-0000-0000-0000C04C0000}"/>
    <cellStyle name="Normal 10 2 2 4 2 3 3" xfId="11991" xr:uid="{00000000-0005-0000-0000-0000C14C0000}"/>
    <cellStyle name="Normal 10 2 2 4 2 3 3 2" xfId="25559" xr:uid="{00000000-0005-0000-0000-0000C24C0000}"/>
    <cellStyle name="Normal 10 2 2 4 2 3 3 2 2" xfId="52692" xr:uid="{00000000-0005-0000-0000-0000C34C0000}"/>
    <cellStyle name="Normal 10 2 2 4 2 3 3 3" xfId="39130" xr:uid="{00000000-0005-0000-0000-0000C44C0000}"/>
    <cellStyle name="Normal 10 2 2 4 2 3 4" xfId="18778" xr:uid="{00000000-0005-0000-0000-0000C54C0000}"/>
    <cellStyle name="Normal 10 2 2 4 2 3 4 2" xfId="45911" xr:uid="{00000000-0005-0000-0000-0000C64C0000}"/>
    <cellStyle name="Normal 10 2 2 4 2 3 5" xfId="32349" xr:uid="{00000000-0005-0000-0000-0000C74C0000}"/>
    <cellStyle name="Normal 10 2 2 4 2 4" xfId="8589" xr:uid="{00000000-0005-0000-0000-0000C84C0000}"/>
    <cellStyle name="Normal 10 2 2 4 2 4 2" xfId="15378" xr:uid="{00000000-0005-0000-0000-0000C94C0000}"/>
    <cellStyle name="Normal 10 2 2 4 2 4 2 2" xfId="28946" xr:uid="{00000000-0005-0000-0000-0000CA4C0000}"/>
    <cellStyle name="Normal 10 2 2 4 2 4 2 2 2" xfId="56079" xr:uid="{00000000-0005-0000-0000-0000CB4C0000}"/>
    <cellStyle name="Normal 10 2 2 4 2 4 2 3" xfId="42517" xr:uid="{00000000-0005-0000-0000-0000CC4C0000}"/>
    <cellStyle name="Normal 10 2 2 4 2 4 3" xfId="22165" xr:uid="{00000000-0005-0000-0000-0000CD4C0000}"/>
    <cellStyle name="Normal 10 2 2 4 2 4 3 2" xfId="49298" xr:uid="{00000000-0005-0000-0000-0000CE4C0000}"/>
    <cellStyle name="Normal 10 2 2 4 2 4 4" xfId="35736" xr:uid="{00000000-0005-0000-0000-0000CF4C0000}"/>
    <cellStyle name="Normal 10 2 2 4 2 5" xfId="11989" xr:uid="{00000000-0005-0000-0000-0000D04C0000}"/>
    <cellStyle name="Normal 10 2 2 4 2 5 2" xfId="25557" xr:uid="{00000000-0005-0000-0000-0000D14C0000}"/>
    <cellStyle name="Normal 10 2 2 4 2 5 2 2" xfId="52690" xr:uid="{00000000-0005-0000-0000-0000D24C0000}"/>
    <cellStyle name="Normal 10 2 2 4 2 5 3" xfId="39128" xr:uid="{00000000-0005-0000-0000-0000D34C0000}"/>
    <cellStyle name="Normal 10 2 2 4 2 6" xfId="18776" xr:uid="{00000000-0005-0000-0000-0000D44C0000}"/>
    <cellStyle name="Normal 10 2 2 4 2 6 2" xfId="45909" xr:uid="{00000000-0005-0000-0000-0000D54C0000}"/>
    <cellStyle name="Normal 10 2 2 4 2 7" xfId="32347" xr:uid="{00000000-0005-0000-0000-0000D64C0000}"/>
    <cellStyle name="Normal 10 2 2 4 3" xfId="5030" xr:uid="{00000000-0005-0000-0000-0000D74C0000}"/>
    <cellStyle name="Normal 10 2 2 4 3 2" xfId="5031" xr:uid="{00000000-0005-0000-0000-0000D84C0000}"/>
    <cellStyle name="Normal 10 2 2 4 3 2 2" xfId="8593" xr:uid="{00000000-0005-0000-0000-0000D94C0000}"/>
    <cellStyle name="Normal 10 2 2 4 3 2 2 2" xfId="15382" xr:uid="{00000000-0005-0000-0000-0000DA4C0000}"/>
    <cellStyle name="Normal 10 2 2 4 3 2 2 2 2" xfId="28950" xr:uid="{00000000-0005-0000-0000-0000DB4C0000}"/>
    <cellStyle name="Normal 10 2 2 4 3 2 2 2 2 2" xfId="56083" xr:uid="{00000000-0005-0000-0000-0000DC4C0000}"/>
    <cellStyle name="Normal 10 2 2 4 3 2 2 2 3" xfId="42521" xr:uid="{00000000-0005-0000-0000-0000DD4C0000}"/>
    <cellStyle name="Normal 10 2 2 4 3 2 2 3" xfId="22169" xr:uid="{00000000-0005-0000-0000-0000DE4C0000}"/>
    <cellStyle name="Normal 10 2 2 4 3 2 2 3 2" xfId="49302" xr:uid="{00000000-0005-0000-0000-0000DF4C0000}"/>
    <cellStyle name="Normal 10 2 2 4 3 2 2 4" xfId="35740" xr:uid="{00000000-0005-0000-0000-0000E04C0000}"/>
    <cellStyle name="Normal 10 2 2 4 3 2 3" xfId="11993" xr:uid="{00000000-0005-0000-0000-0000E14C0000}"/>
    <cellStyle name="Normal 10 2 2 4 3 2 3 2" xfId="25561" xr:uid="{00000000-0005-0000-0000-0000E24C0000}"/>
    <cellStyle name="Normal 10 2 2 4 3 2 3 2 2" xfId="52694" xr:uid="{00000000-0005-0000-0000-0000E34C0000}"/>
    <cellStyle name="Normal 10 2 2 4 3 2 3 3" xfId="39132" xr:uid="{00000000-0005-0000-0000-0000E44C0000}"/>
    <cellStyle name="Normal 10 2 2 4 3 2 4" xfId="18780" xr:uid="{00000000-0005-0000-0000-0000E54C0000}"/>
    <cellStyle name="Normal 10 2 2 4 3 2 4 2" xfId="45913" xr:uid="{00000000-0005-0000-0000-0000E64C0000}"/>
    <cellStyle name="Normal 10 2 2 4 3 2 5" xfId="32351" xr:uid="{00000000-0005-0000-0000-0000E74C0000}"/>
    <cellStyle name="Normal 10 2 2 4 3 3" xfId="8592" xr:uid="{00000000-0005-0000-0000-0000E84C0000}"/>
    <cellStyle name="Normal 10 2 2 4 3 3 2" xfId="15381" xr:uid="{00000000-0005-0000-0000-0000E94C0000}"/>
    <cellStyle name="Normal 10 2 2 4 3 3 2 2" xfId="28949" xr:uid="{00000000-0005-0000-0000-0000EA4C0000}"/>
    <cellStyle name="Normal 10 2 2 4 3 3 2 2 2" xfId="56082" xr:uid="{00000000-0005-0000-0000-0000EB4C0000}"/>
    <cellStyle name="Normal 10 2 2 4 3 3 2 3" xfId="42520" xr:uid="{00000000-0005-0000-0000-0000EC4C0000}"/>
    <cellStyle name="Normal 10 2 2 4 3 3 3" xfId="22168" xr:uid="{00000000-0005-0000-0000-0000ED4C0000}"/>
    <cellStyle name="Normal 10 2 2 4 3 3 3 2" xfId="49301" xr:uid="{00000000-0005-0000-0000-0000EE4C0000}"/>
    <cellStyle name="Normal 10 2 2 4 3 3 4" xfId="35739" xr:uid="{00000000-0005-0000-0000-0000EF4C0000}"/>
    <cellStyle name="Normal 10 2 2 4 3 4" xfId="11992" xr:uid="{00000000-0005-0000-0000-0000F04C0000}"/>
    <cellStyle name="Normal 10 2 2 4 3 4 2" xfId="25560" xr:uid="{00000000-0005-0000-0000-0000F14C0000}"/>
    <cellStyle name="Normal 10 2 2 4 3 4 2 2" xfId="52693" xr:uid="{00000000-0005-0000-0000-0000F24C0000}"/>
    <cellStyle name="Normal 10 2 2 4 3 4 3" xfId="39131" xr:uid="{00000000-0005-0000-0000-0000F34C0000}"/>
    <cellStyle name="Normal 10 2 2 4 3 5" xfId="18779" xr:uid="{00000000-0005-0000-0000-0000F44C0000}"/>
    <cellStyle name="Normal 10 2 2 4 3 5 2" xfId="45912" xr:uid="{00000000-0005-0000-0000-0000F54C0000}"/>
    <cellStyle name="Normal 10 2 2 4 3 6" xfId="32350" xr:uid="{00000000-0005-0000-0000-0000F64C0000}"/>
    <cellStyle name="Normal 10 2 2 4 4" xfId="5032" xr:uid="{00000000-0005-0000-0000-0000F74C0000}"/>
    <cellStyle name="Normal 10 2 2 4 4 2" xfId="8594" xr:uid="{00000000-0005-0000-0000-0000F84C0000}"/>
    <cellStyle name="Normal 10 2 2 4 4 2 2" xfId="15383" xr:uid="{00000000-0005-0000-0000-0000F94C0000}"/>
    <cellStyle name="Normal 10 2 2 4 4 2 2 2" xfId="28951" xr:uid="{00000000-0005-0000-0000-0000FA4C0000}"/>
    <cellStyle name="Normal 10 2 2 4 4 2 2 2 2" xfId="56084" xr:uid="{00000000-0005-0000-0000-0000FB4C0000}"/>
    <cellStyle name="Normal 10 2 2 4 4 2 2 3" xfId="42522" xr:uid="{00000000-0005-0000-0000-0000FC4C0000}"/>
    <cellStyle name="Normal 10 2 2 4 4 2 3" xfId="22170" xr:uid="{00000000-0005-0000-0000-0000FD4C0000}"/>
    <cellStyle name="Normal 10 2 2 4 4 2 3 2" xfId="49303" xr:uid="{00000000-0005-0000-0000-0000FE4C0000}"/>
    <cellStyle name="Normal 10 2 2 4 4 2 4" xfId="35741" xr:uid="{00000000-0005-0000-0000-0000FF4C0000}"/>
    <cellStyle name="Normal 10 2 2 4 4 3" xfId="11994" xr:uid="{00000000-0005-0000-0000-0000004D0000}"/>
    <cellStyle name="Normal 10 2 2 4 4 3 2" xfId="25562" xr:uid="{00000000-0005-0000-0000-0000014D0000}"/>
    <cellStyle name="Normal 10 2 2 4 4 3 2 2" xfId="52695" xr:uid="{00000000-0005-0000-0000-0000024D0000}"/>
    <cellStyle name="Normal 10 2 2 4 4 3 3" xfId="39133" xr:uid="{00000000-0005-0000-0000-0000034D0000}"/>
    <cellStyle name="Normal 10 2 2 4 4 4" xfId="18781" xr:uid="{00000000-0005-0000-0000-0000044D0000}"/>
    <cellStyle name="Normal 10 2 2 4 4 4 2" xfId="45914" xr:uid="{00000000-0005-0000-0000-0000054D0000}"/>
    <cellStyle name="Normal 10 2 2 4 4 5" xfId="32352" xr:uid="{00000000-0005-0000-0000-0000064D0000}"/>
    <cellStyle name="Normal 10 2 2 4 5" xfId="5033" xr:uid="{00000000-0005-0000-0000-0000074D0000}"/>
    <cellStyle name="Normal 10 2 2 4 5 2" xfId="8595" xr:uid="{00000000-0005-0000-0000-0000084D0000}"/>
    <cellStyle name="Normal 10 2 2 4 5 2 2" xfId="15384" xr:uid="{00000000-0005-0000-0000-0000094D0000}"/>
    <cellStyle name="Normal 10 2 2 4 5 2 2 2" xfId="28952" xr:uid="{00000000-0005-0000-0000-00000A4D0000}"/>
    <cellStyle name="Normal 10 2 2 4 5 2 2 2 2" xfId="56085" xr:uid="{00000000-0005-0000-0000-00000B4D0000}"/>
    <cellStyle name="Normal 10 2 2 4 5 2 2 3" xfId="42523" xr:uid="{00000000-0005-0000-0000-00000C4D0000}"/>
    <cellStyle name="Normal 10 2 2 4 5 2 3" xfId="22171" xr:uid="{00000000-0005-0000-0000-00000D4D0000}"/>
    <cellStyle name="Normal 10 2 2 4 5 2 3 2" xfId="49304" xr:uid="{00000000-0005-0000-0000-00000E4D0000}"/>
    <cellStyle name="Normal 10 2 2 4 5 2 4" xfId="35742" xr:uid="{00000000-0005-0000-0000-00000F4D0000}"/>
    <cellStyle name="Normal 10 2 2 4 5 3" xfId="11995" xr:uid="{00000000-0005-0000-0000-0000104D0000}"/>
    <cellStyle name="Normal 10 2 2 4 5 3 2" xfId="25563" xr:uid="{00000000-0005-0000-0000-0000114D0000}"/>
    <cellStyle name="Normal 10 2 2 4 5 3 2 2" xfId="52696" xr:uid="{00000000-0005-0000-0000-0000124D0000}"/>
    <cellStyle name="Normal 10 2 2 4 5 3 3" xfId="39134" xr:uid="{00000000-0005-0000-0000-0000134D0000}"/>
    <cellStyle name="Normal 10 2 2 4 5 4" xfId="18782" xr:uid="{00000000-0005-0000-0000-0000144D0000}"/>
    <cellStyle name="Normal 10 2 2 4 5 4 2" xfId="45915" xr:uid="{00000000-0005-0000-0000-0000154D0000}"/>
    <cellStyle name="Normal 10 2 2 4 5 5" xfId="32353" xr:uid="{00000000-0005-0000-0000-0000164D0000}"/>
    <cellStyle name="Normal 10 2 2 4 6" xfId="8588" xr:uid="{00000000-0005-0000-0000-0000174D0000}"/>
    <cellStyle name="Normal 10 2 2 4 6 2" xfId="15377" xr:uid="{00000000-0005-0000-0000-0000184D0000}"/>
    <cellStyle name="Normal 10 2 2 4 6 2 2" xfId="28945" xr:uid="{00000000-0005-0000-0000-0000194D0000}"/>
    <cellStyle name="Normal 10 2 2 4 6 2 2 2" xfId="56078" xr:uid="{00000000-0005-0000-0000-00001A4D0000}"/>
    <cellStyle name="Normal 10 2 2 4 6 2 3" xfId="42516" xr:uid="{00000000-0005-0000-0000-00001B4D0000}"/>
    <cellStyle name="Normal 10 2 2 4 6 3" xfId="22164" xr:uid="{00000000-0005-0000-0000-00001C4D0000}"/>
    <cellStyle name="Normal 10 2 2 4 6 3 2" xfId="49297" xr:uid="{00000000-0005-0000-0000-00001D4D0000}"/>
    <cellStyle name="Normal 10 2 2 4 6 4" xfId="35735" xr:uid="{00000000-0005-0000-0000-00001E4D0000}"/>
    <cellStyle name="Normal 10 2 2 4 7" xfId="11988" xr:uid="{00000000-0005-0000-0000-00001F4D0000}"/>
    <cellStyle name="Normal 10 2 2 4 7 2" xfId="25556" xr:uid="{00000000-0005-0000-0000-0000204D0000}"/>
    <cellStyle name="Normal 10 2 2 4 7 2 2" xfId="52689" xr:uid="{00000000-0005-0000-0000-0000214D0000}"/>
    <cellStyle name="Normal 10 2 2 4 7 3" xfId="39127" xr:uid="{00000000-0005-0000-0000-0000224D0000}"/>
    <cellStyle name="Normal 10 2 2 4 8" xfId="18775" xr:uid="{00000000-0005-0000-0000-0000234D0000}"/>
    <cellStyle name="Normal 10 2 2 4 8 2" xfId="45908" xr:uid="{00000000-0005-0000-0000-0000244D0000}"/>
    <cellStyle name="Normal 10 2 2 4 9" xfId="32346" xr:uid="{00000000-0005-0000-0000-0000254D0000}"/>
    <cellStyle name="Normal 10 2 2 5" xfId="5034" xr:uid="{00000000-0005-0000-0000-0000264D0000}"/>
    <cellStyle name="Normal 10 2 2 5 2" xfId="5035" xr:uid="{00000000-0005-0000-0000-0000274D0000}"/>
    <cellStyle name="Normal 10 2 2 5 2 2" xfId="5036" xr:uid="{00000000-0005-0000-0000-0000284D0000}"/>
    <cellStyle name="Normal 10 2 2 5 2 2 2" xfId="8598" xr:uid="{00000000-0005-0000-0000-0000294D0000}"/>
    <cellStyle name="Normal 10 2 2 5 2 2 2 2" xfId="15387" xr:uid="{00000000-0005-0000-0000-00002A4D0000}"/>
    <cellStyle name="Normal 10 2 2 5 2 2 2 2 2" xfId="28955" xr:uid="{00000000-0005-0000-0000-00002B4D0000}"/>
    <cellStyle name="Normal 10 2 2 5 2 2 2 2 2 2" xfId="56088" xr:uid="{00000000-0005-0000-0000-00002C4D0000}"/>
    <cellStyle name="Normal 10 2 2 5 2 2 2 2 3" xfId="42526" xr:uid="{00000000-0005-0000-0000-00002D4D0000}"/>
    <cellStyle name="Normal 10 2 2 5 2 2 2 3" xfId="22174" xr:uid="{00000000-0005-0000-0000-00002E4D0000}"/>
    <cellStyle name="Normal 10 2 2 5 2 2 2 3 2" xfId="49307" xr:uid="{00000000-0005-0000-0000-00002F4D0000}"/>
    <cellStyle name="Normal 10 2 2 5 2 2 2 4" xfId="35745" xr:uid="{00000000-0005-0000-0000-0000304D0000}"/>
    <cellStyle name="Normal 10 2 2 5 2 2 3" xfId="11998" xr:uid="{00000000-0005-0000-0000-0000314D0000}"/>
    <cellStyle name="Normal 10 2 2 5 2 2 3 2" xfId="25566" xr:uid="{00000000-0005-0000-0000-0000324D0000}"/>
    <cellStyle name="Normal 10 2 2 5 2 2 3 2 2" xfId="52699" xr:uid="{00000000-0005-0000-0000-0000334D0000}"/>
    <cellStyle name="Normal 10 2 2 5 2 2 3 3" xfId="39137" xr:uid="{00000000-0005-0000-0000-0000344D0000}"/>
    <cellStyle name="Normal 10 2 2 5 2 2 4" xfId="18785" xr:uid="{00000000-0005-0000-0000-0000354D0000}"/>
    <cellStyle name="Normal 10 2 2 5 2 2 4 2" xfId="45918" xr:uid="{00000000-0005-0000-0000-0000364D0000}"/>
    <cellStyle name="Normal 10 2 2 5 2 2 5" xfId="32356" xr:uid="{00000000-0005-0000-0000-0000374D0000}"/>
    <cellStyle name="Normal 10 2 2 5 2 3" xfId="5037" xr:uid="{00000000-0005-0000-0000-0000384D0000}"/>
    <cellStyle name="Normal 10 2 2 5 2 3 2" xfId="8599" xr:uid="{00000000-0005-0000-0000-0000394D0000}"/>
    <cellStyle name="Normal 10 2 2 5 2 3 2 2" xfId="15388" xr:uid="{00000000-0005-0000-0000-00003A4D0000}"/>
    <cellStyle name="Normal 10 2 2 5 2 3 2 2 2" xfId="28956" xr:uid="{00000000-0005-0000-0000-00003B4D0000}"/>
    <cellStyle name="Normal 10 2 2 5 2 3 2 2 2 2" xfId="56089" xr:uid="{00000000-0005-0000-0000-00003C4D0000}"/>
    <cellStyle name="Normal 10 2 2 5 2 3 2 2 3" xfId="42527" xr:uid="{00000000-0005-0000-0000-00003D4D0000}"/>
    <cellStyle name="Normal 10 2 2 5 2 3 2 3" xfId="22175" xr:uid="{00000000-0005-0000-0000-00003E4D0000}"/>
    <cellStyle name="Normal 10 2 2 5 2 3 2 3 2" xfId="49308" xr:uid="{00000000-0005-0000-0000-00003F4D0000}"/>
    <cellStyle name="Normal 10 2 2 5 2 3 2 4" xfId="35746" xr:uid="{00000000-0005-0000-0000-0000404D0000}"/>
    <cellStyle name="Normal 10 2 2 5 2 3 3" xfId="11999" xr:uid="{00000000-0005-0000-0000-0000414D0000}"/>
    <cellStyle name="Normal 10 2 2 5 2 3 3 2" xfId="25567" xr:uid="{00000000-0005-0000-0000-0000424D0000}"/>
    <cellStyle name="Normal 10 2 2 5 2 3 3 2 2" xfId="52700" xr:uid="{00000000-0005-0000-0000-0000434D0000}"/>
    <cellStyle name="Normal 10 2 2 5 2 3 3 3" xfId="39138" xr:uid="{00000000-0005-0000-0000-0000444D0000}"/>
    <cellStyle name="Normal 10 2 2 5 2 3 4" xfId="18786" xr:uid="{00000000-0005-0000-0000-0000454D0000}"/>
    <cellStyle name="Normal 10 2 2 5 2 3 4 2" xfId="45919" xr:uid="{00000000-0005-0000-0000-0000464D0000}"/>
    <cellStyle name="Normal 10 2 2 5 2 3 5" xfId="32357" xr:uid="{00000000-0005-0000-0000-0000474D0000}"/>
    <cellStyle name="Normal 10 2 2 5 2 4" xfId="8597" xr:uid="{00000000-0005-0000-0000-0000484D0000}"/>
    <cellStyle name="Normal 10 2 2 5 2 4 2" xfId="15386" xr:uid="{00000000-0005-0000-0000-0000494D0000}"/>
    <cellStyle name="Normal 10 2 2 5 2 4 2 2" xfId="28954" xr:uid="{00000000-0005-0000-0000-00004A4D0000}"/>
    <cellStyle name="Normal 10 2 2 5 2 4 2 2 2" xfId="56087" xr:uid="{00000000-0005-0000-0000-00004B4D0000}"/>
    <cellStyle name="Normal 10 2 2 5 2 4 2 3" xfId="42525" xr:uid="{00000000-0005-0000-0000-00004C4D0000}"/>
    <cellStyle name="Normal 10 2 2 5 2 4 3" xfId="22173" xr:uid="{00000000-0005-0000-0000-00004D4D0000}"/>
    <cellStyle name="Normal 10 2 2 5 2 4 3 2" xfId="49306" xr:uid="{00000000-0005-0000-0000-00004E4D0000}"/>
    <cellStyle name="Normal 10 2 2 5 2 4 4" xfId="35744" xr:uid="{00000000-0005-0000-0000-00004F4D0000}"/>
    <cellStyle name="Normal 10 2 2 5 2 5" xfId="11997" xr:uid="{00000000-0005-0000-0000-0000504D0000}"/>
    <cellStyle name="Normal 10 2 2 5 2 5 2" xfId="25565" xr:uid="{00000000-0005-0000-0000-0000514D0000}"/>
    <cellStyle name="Normal 10 2 2 5 2 5 2 2" xfId="52698" xr:uid="{00000000-0005-0000-0000-0000524D0000}"/>
    <cellStyle name="Normal 10 2 2 5 2 5 3" xfId="39136" xr:uid="{00000000-0005-0000-0000-0000534D0000}"/>
    <cellStyle name="Normal 10 2 2 5 2 6" xfId="18784" xr:uid="{00000000-0005-0000-0000-0000544D0000}"/>
    <cellStyle name="Normal 10 2 2 5 2 6 2" xfId="45917" xr:uid="{00000000-0005-0000-0000-0000554D0000}"/>
    <cellStyle name="Normal 10 2 2 5 2 7" xfId="32355" xr:uid="{00000000-0005-0000-0000-0000564D0000}"/>
    <cellStyle name="Normal 10 2 2 5 3" xfId="5038" xr:uid="{00000000-0005-0000-0000-0000574D0000}"/>
    <cellStyle name="Normal 10 2 2 5 3 2" xfId="8600" xr:uid="{00000000-0005-0000-0000-0000584D0000}"/>
    <cellStyle name="Normal 10 2 2 5 3 2 2" xfId="15389" xr:uid="{00000000-0005-0000-0000-0000594D0000}"/>
    <cellStyle name="Normal 10 2 2 5 3 2 2 2" xfId="28957" xr:uid="{00000000-0005-0000-0000-00005A4D0000}"/>
    <cellStyle name="Normal 10 2 2 5 3 2 2 2 2" xfId="56090" xr:uid="{00000000-0005-0000-0000-00005B4D0000}"/>
    <cellStyle name="Normal 10 2 2 5 3 2 2 3" xfId="42528" xr:uid="{00000000-0005-0000-0000-00005C4D0000}"/>
    <cellStyle name="Normal 10 2 2 5 3 2 3" xfId="22176" xr:uid="{00000000-0005-0000-0000-00005D4D0000}"/>
    <cellStyle name="Normal 10 2 2 5 3 2 3 2" xfId="49309" xr:uid="{00000000-0005-0000-0000-00005E4D0000}"/>
    <cellStyle name="Normal 10 2 2 5 3 2 4" xfId="35747" xr:uid="{00000000-0005-0000-0000-00005F4D0000}"/>
    <cellStyle name="Normal 10 2 2 5 3 3" xfId="12000" xr:uid="{00000000-0005-0000-0000-0000604D0000}"/>
    <cellStyle name="Normal 10 2 2 5 3 3 2" xfId="25568" xr:uid="{00000000-0005-0000-0000-0000614D0000}"/>
    <cellStyle name="Normal 10 2 2 5 3 3 2 2" xfId="52701" xr:uid="{00000000-0005-0000-0000-0000624D0000}"/>
    <cellStyle name="Normal 10 2 2 5 3 3 3" xfId="39139" xr:uid="{00000000-0005-0000-0000-0000634D0000}"/>
    <cellStyle name="Normal 10 2 2 5 3 4" xfId="18787" xr:uid="{00000000-0005-0000-0000-0000644D0000}"/>
    <cellStyle name="Normal 10 2 2 5 3 4 2" xfId="45920" xr:uid="{00000000-0005-0000-0000-0000654D0000}"/>
    <cellStyle name="Normal 10 2 2 5 3 5" xfId="32358" xr:uid="{00000000-0005-0000-0000-0000664D0000}"/>
    <cellStyle name="Normal 10 2 2 5 4" xfId="5039" xr:uid="{00000000-0005-0000-0000-0000674D0000}"/>
    <cellStyle name="Normal 10 2 2 5 4 2" xfId="8601" xr:uid="{00000000-0005-0000-0000-0000684D0000}"/>
    <cellStyle name="Normal 10 2 2 5 4 2 2" xfId="15390" xr:uid="{00000000-0005-0000-0000-0000694D0000}"/>
    <cellStyle name="Normal 10 2 2 5 4 2 2 2" xfId="28958" xr:uid="{00000000-0005-0000-0000-00006A4D0000}"/>
    <cellStyle name="Normal 10 2 2 5 4 2 2 2 2" xfId="56091" xr:uid="{00000000-0005-0000-0000-00006B4D0000}"/>
    <cellStyle name="Normal 10 2 2 5 4 2 2 3" xfId="42529" xr:uid="{00000000-0005-0000-0000-00006C4D0000}"/>
    <cellStyle name="Normal 10 2 2 5 4 2 3" xfId="22177" xr:uid="{00000000-0005-0000-0000-00006D4D0000}"/>
    <cellStyle name="Normal 10 2 2 5 4 2 3 2" xfId="49310" xr:uid="{00000000-0005-0000-0000-00006E4D0000}"/>
    <cellStyle name="Normal 10 2 2 5 4 2 4" xfId="35748" xr:uid="{00000000-0005-0000-0000-00006F4D0000}"/>
    <cellStyle name="Normal 10 2 2 5 4 3" xfId="12001" xr:uid="{00000000-0005-0000-0000-0000704D0000}"/>
    <cellStyle name="Normal 10 2 2 5 4 3 2" xfId="25569" xr:uid="{00000000-0005-0000-0000-0000714D0000}"/>
    <cellStyle name="Normal 10 2 2 5 4 3 2 2" xfId="52702" xr:uid="{00000000-0005-0000-0000-0000724D0000}"/>
    <cellStyle name="Normal 10 2 2 5 4 3 3" xfId="39140" xr:uid="{00000000-0005-0000-0000-0000734D0000}"/>
    <cellStyle name="Normal 10 2 2 5 4 4" xfId="18788" xr:uid="{00000000-0005-0000-0000-0000744D0000}"/>
    <cellStyle name="Normal 10 2 2 5 4 4 2" xfId="45921" xr:uid="{00000000-0005-0000-0000-0000754D0000}"/>
    <cellStyle name="Normal 10 2 2 5 4 5" xfId="32359" xr:uid="{00000000-0005-0000-0000-0000764D0000}"/>
    <cellStyle name="Normal 10 2 2 5 5" xfId="8596" xr:uid="{00000000-0005-0000-0000-0000774D0000}"/>
    <cellStyle name="Normal 10 2 2 5 5 2" xfId="15385" xr:uid="{00000000-0005-0000-0000-0000784D0000}"/>
    <cellStyle name="Normal 10 2 2 5 5 2 2" xfId="28953" xr:uid="{00000000-0005-0000-0000-0000794D0000}"/>
    <cellStyle name="Normal 10 2 2 5 5 2 2 2" xfId="56086" xr:uid="{00000000-0005-0000-0000-00007A4D0000}"/>
    <cellStyle name="Normal 10 2 2 5 5 2 3" xfId="42524" xr:uid="{00000000-0005-0000-0000-00007B4D0000}"/>
    <cellStyle name="Normal 10 2 2 5 5 3" xfId="22172" xr:uid="{00000000-0005-0000-0000-00007C4D0000}"/>
    <cellStyle name="Normal 10 2 2 5 5 3 2" xfId="49305" xr:uid="{00000000-0005-0000-0000-00007D4D0000}"/>
    <cellStyle name="Normal 10 2 2 5 5 4" xfId="35743" xr:uid="{00000000-0005-0000-0000-00007E4D0000}"/>
    <cellStyle name="Normal 10 2 2 5 6" xfId="11996" xr:uid="{00000000-0005-0000-0000-00007F4D0000}"/>
    <cellStyle name="Normal 10 2 2 5 6 2" xfId="25564" xr:uid="{00000000-0005-0000-0000-0000804D0000}"/>
    <cellStyle name="Normal 10 2 2 5 6 2 2" xfId="52697" xr:uid="{00000000-0005-0000-0000-0000814D0000}"/>
    <cellStyle name="Normal 10 2 2 5 6 3" xfId="39135" xr:uid="{00000000-0005-0000-0000-0000824D0000}"/>
    <cellStyle name="Normal 10 2 2 5 7" xfId="18783" xr:uid="{00000000-0005-0000-0000-0000834D0000}"/>
    <cellStyle name="Normal 10 2 2 5 7 2" xfId="45916" xr:uid="{00000000-0005-0000-0000-0000844D0000}"/>
    <cellStyle name="Normal 10 2 2 5 8" xfId="32354" xr:uid="{00000000-0005-0000-0000-0000854D0000}"/>
    <cellStyle name="Normal 10 2 2 6" xfId="5040" xr:uid="{00000000-0005-0000-0000-0000864D0000}"/>
    <cellStyle name="Normal 10 2 2 6 2" xfId="5041" xr:uid="{00000000-0005-0000-0000-0000874D0000}"/>
    <cellStyle name="Normal 10 2 2 6 2 2" xfId="5042" xr:uid="{00000000-0005-0000-0000-0000884D0000}"/>
    <cellStyle name="Normal 10 2 2 6 2 2 2" xfId="8604" xr:uid="{00000000-0005-0000-0000-0000894D0000}"/>
    <cellStyle name="Normal 10 2 2 6 2 2 2 2" xfId="15393" xr:uid="{00000000-0005-0000-0000-00008A4D0000}"/>
    <cellStyle name="Normal 10 2 2 6 2 2 2 2 2" xfId="28961" xr:uid="{00000000-0005-0000-0000-00008B4D0000}"/>
    <cellStyle name="Normal 10 2 2 6 2 2 2 2 2 2" xfId="56094" xr:uid="{00000000-0005-0000-0000-00008C4D0000}"/>
    <cellStyle name="Normal 10 2 2 6 2 2 2 2 3" xfId="42532" xr:uid="{00000000-0005-0000-0000-00008D4D0000}"/>
    <cellStyle name="Normal 10 2 2 6 2 2 2 3" xfId="22180" xr:uid="{00000000-0005-0000-0000-00008E4D0000}"/>
    <cellStyle name="Normal 10 2 2 6 2 2 2 3 2" xfId="49313" xr:uid="{00000000-0005-0000-0000-00008F4D0000}"/>
    <cellStyle name="Normal 10 2 2 6 2 2 2 4" xfId="35751" xr:uid="{00000000-0005-0000-0000-0000904D0000}"/>
    <cellStyle name="Normal 10 2 2 6 2 2 3" xfId="12004" xr:uid="{00000000-0005-0000-0000-0000914D0000}"/>
    <cellStyle name="Normal 10 2 2 6 2 2 3 2" xfId="25572" xr:uid="{00000000-0005-0000-0000-0000924D0000}"/>
    <cellStyle name="Normal 10 2 2 6 2 2 3 2 2" xfId="52705" xr:uid="{00000000-0005-0000-0000-0000934D0000}"/>
    <cellStyle name="Normal 10 2 2 6 2 2 3 3" xfId="39143" xr:uid="{00000000-0005-0000-0000-0000944D0000}"/>
    <cellStyle name="Normal 10 2 2 6 2 2 4" xfId="18791" xr:uid="{00000000-0005-0000-0000-0000954D0000}"/>
    <cellStyle name="Normal 10 2 2 6 2 2 4 2" xfId="45924" xr:uid="{00000000-0005-0000-0000-0000964D0000}"/>
    <cellStyle name="Normal 10 2 2 6 2 2 5" xfId="32362" xr:uid="{00000000-0005-0000-0000-0000974D0000}"/>
    <cellStyle name="Normal 10 2 2 6 2 3" xfId="5043" xr:uid="{00000000-0005-0000-0000-0000984D0000}"/>
    <cellStyle name="Normal 10 2 2 6 2 3 2" xfId="8605" xr:uid="{00000000-0005-0000-0000-0000994D0000}"/>
    <cellStyle name="Normal 10 2 2 6 2 3 2 2" xfId="15394" xr:uid="{00000000-0005-0000-0000-00009A4D0000}"/>
    <cellStyle name="Normal 10 2 2 6 2 3 2 2 2" xfId="28962" xr:uid="{00000000-0005-0000-0000-00009B4D0000}"/>
    <cellStyle name="Normal 10 2 2 6 2 3 2 2 2 2" xfId="56095" xr:uid="{00000000-0005-0000-0000-00009C4D0000}"/>
    <cellStyle name="Normal 10 2 2 6 2 3 2 2 3" xfId="42533" xr:uid="{00000000-0005-0000-0000-00009D4D0000}"/>
    <cellStyle name="Normal 10 2 2 6 2 3 2 3" xfId="22181" xr:uid="{00000000-0005-0000-0000-00009E4D0000}"/>
    <cellStyle name="Normal 10 2 2 6 2 3 2 3 2" xfId="49314" xr:uid="{00000000-0005-0000-0000-00009F4D0000}"/>
    <cellStyle name="Normal 10 2 2 6 2 3 2 4" xfId="35752" xr:uid="{00000000-0005-0000-0000-0000A04D0000}"/>
    <cellStyle name="Normal 10 2 2 6 2 3 3" xfId="12005" xr:uid="{00000000-0005-0000-0000-0000A14D0000}"/>
    <cellStyle name="Normal 10 2 2 6 2 3 3 2" xfId="25573" xr:uid="{00000000-0005-0000-0000-0000A24D0000}"/>
    <cellStyle name="Normal 10 2 2 6 2 3 3 2 2" xfId="52706" xr:uid="{00000000-0005-0000-0000-0000A34D0000}"/>
    <cellStyle name="Normal 10 2 2 6 2 3 3 3" xfId="39144" xr:uid="{00000000-0005-0000-0000-0000A44D0000}"/>
    <cellStyle name="Normal 10 2 2 6 2 3 4" xfId="18792" xr:uid="{00000000-0005-0000-0000-0000A54D0000}"/>
    <cellStyle name="Normal 10 2 2 6 2 3 4 2" xfId="45925" xr:uid="{00000000-0005-0000-0000-0000A64D0000}"/>
    <cellStyle name="Normal 10 2 2 6 2 3 5" xfId="32363" xr:uid="{00000000-0005-0000-0000-0000A74D0000}"/>
    <cellStyle name="Normal 10 2 2 6 2 4" xfId="8603" xr:uid="{00000000-0005-0000-0000-0000A84D0000}"/>
    <cellStyle name="Normal 10 2 2 6 2 4 2" xfId="15392" xr:uid="{00000000-0005-0000-0000-0000A94D0000}"/>
    <cellStyle name="Normal 10 2 2 6 2 4 2 2" xfId="28960" xr:uid="{00000000-0005-0000-0000-0000AA4D0000}"/>
    <cellStyle name="Normal 10 2 2 6 2 4 2 2 2" xfId="56093" xr:uid="{00000000-0005-0000-0000-0000AB4D0000}"/>
    <cellStyle name="Normal 10 2 2 6 2 4 2 3" xfId="42531" xr:uid="{00000000-0005-0000-0000-0000AC4D0000}"/>
    <cellStyle name="Normal 10 2 2 6 2 4 3" xfId="22179" xr:uid="{00000000-0005-0000-0000-0000AD4D0000}"/>
    <cellStyle name="Normal 10 2 2 6 2 4 3 2" xfId="49312" xr:uid="{00000000-0005-0000-0000-0000AE4D0000}"/>
    <cellStyle name="Normal 10 2 2 6 2 4 4" xfId="35750" xr:uid="{00000000-0005-0000-0000-0000AF4D0000}"/>
    <cellStyle name="Normal 10 2 2 6 2 5" xfId="12003" xr:uid="{00000000-0005-0000-0000-0000B04D0000}"/>
    <cellStyle name="Normal 10 2 2 6 2 5 2" xfId="25571" xr:uid="{00000000-0005-0000-0000-0000B14D0000}"/>
    <cellStyle name="Normal 10 2 2 6 2 5 2 2" xfId="52704" xr:uid="{00000000-0005-0000-0000-0000B24D0000}"/>
    <cellStyle name="Normal 10 2 2 6 2 5 3" xfId="39142" xr:uid="{00000000-0005-0000-0000-0000B34D0000}"/>
    <cellStyle name="Normal 10 2 2 6 2 6" xfId="18790" xr:uid="{00000000-0005-0000-0000-0000B44D0000}"/>
    <cellStyle name="Normal 10 2 2 6 2 6 2" xfId="45923" xr:uid="{00000000-0005-0000-0000-0000B54D0000}"/>
    <cellStyle name="Normal 10 2 2 6 2 7" xfId="32361" xr:uid="{00000000-0005-0000-0000-0000B64D0000}"/>
    <cellStyle name="Normal 10 2 2 6 3" xfId="5044" xr:uid="{00000000-0005-0000-0000-0000B74D0000}"/>
    <cellStyle name="Normal 10 2 2 6 3 2" xfId="8606" xr:uid="{00000000-0005-0000-0000-0000B84D0000}"/>
    <cellStyle name="Normal 10 2 2 6 3 2 2" xfId="15395" xr:uid="{00000000-0005-0000-0000-0000B94D0000}"/>
    <cellStyle name="Normal 10 2 2 6 3 2 2 2" xfId="28963" xr:uid="{00000000-0005-0000-0000-0000BA4D0000}"/>
    <cellStyle name="Normal 10 2 2 6 3 2 2 2 2" xfId="56096" xr:uid="{00000000-0005-0000-0000-0000BB4D0000}"/>
    <cellStyle name="Normal 10 2 2 6 3 2 2 3" xfId="42534" xr:uid="{00000000-0005-0000-0000-0000BC4D0000}"/>
    <cellStyle name="Normal 10 2 2 6 3 2 3" xfId="22182" xr:uid="{00000000-0005-0000-0000-0000BD4D0000}"/>
    <cellStyle name="Normal 10 2 2 6 3 2 3 2" xfId="49315" xr:uid="{00000000-0005-0000-0000-0000BE4D0000}"/>
    <cellStyle name="Normal 10 2 2 6 3 2 4" xfId="35753" xr:uid="{00000000-0005-0000-0000-0000BF4D0000}"/>
    <cellStyle name="Normal 10 2 2 6 3 3" xfId="12006" xr:uid="{00000000-0005-0000-0000-0000C04D0000}"/>
    <cellStyle name="Normal 10 2 2 6 3 3 2" xfId="25574" xr:uid="{00000000-0005-0000-0000-0000C14D0000}"/>
    <cellStyle name="Normal 10 2 2 6 3 3 2 2" xfId="52707" xr:uid="{00000000-0005-0000-0000-0000C24D0000}"/>
    <cellStyle name="Normal 10 2 2 6 3 3 3" xfId="39145" xr:uid="{00000000-0005-0000-0000-0000C34D0000}"/>
    <cellStyle name="Normal 10 2 2 6 3 4" xfId="18793" xr:uid="{00000000-0005-0000-0000-0000C44D0000}"/>
    <cellStyle name="Normal 10 2 2 6 3 4 2" xfId="45926" xr:uid="{00000000-0005-0000-0000-0000C54D0000}"/>
    <cellStyle name="Normal 10 2 2 6 3 5" xfId="32364" xr:uid="{00000000-0005-0000-0000-0000C64D0000}"/>
    <cellStyle name="Normal 10 2 2 6 4" xfId="5045" xr:uid="{00000000-0005-0000-0000-0000C74D0000}"/>
    <cellStyle name="Normal 10 2 2 6 4 2" xfId="8607" xr:uid="{00000000-0005-0000-0000-0000C84D0000}"/>
    <cellStyle name="Normal 10 2 2 6 4 2 2" xfId="15396" xr:uid="{00000000-0005-0000-0000-0000C94D0000}"/>
    <cellStyle name="Normal 10 2 2 6 4 2 2 2" xfId="28964" xr:uid="{00000000-0005-0000-0000-0000CA4D0000}"/>
    <cellStyle name="Normal 10 2 2 6 4 2 2 2 2" xfId="56097" xr:uid="{00000000-0005-0000-0000-0000CB4D0000}"/>
    <cellStyle name="Normal 10 2 2 6 4 2 2 3" xfId="42535" xr:uid="{00000000-0005-0000-0000-0000CC4D0000}"/>
    <cellStyle name="Normal 10 2 2 6 4 2 3" xfId="22183" xr:uid="{00000000-0005-0000-0000-0000CD4D0000}"/>
    <cellStyle name="Normal 10 2 2 6 4 2 3 2" xfId="49316" xr:uid="{00000000-0005-0000-0000-0000CE4D0000}"/>
    <cellStyle name="Normal 10 2 2 6 4 2 4" xfId="35754" xr:uid="{00000000-0005-0000-0000-0000CF4D0000}"/>
    <cellStyle name="Normal 10 2 2 6 4 3" xfId="12007" xr:uid="{00000000-0005-0000-0000-0000D04D0000}"/>
    <cellStyle name="Normal 10 2 2 6 4 3 2" xfId="25575" xr:uid="{00000000-0005-0000-0000-0000D14D0000}"/>
    <cellStyle name="Normal 10 2 2 6 4 3 2 2" xfId="52708" xr:uid="{00000000-0005-0000-0000-0000D24D0000}"/>
    <cellStyle name="Normal 10 2 2 6 4 3 3" xfId="39146" xr:uid="{00000000-0005-0000-0000-0000D34D0000}"/>
    <cellStyle name="Normal 10 2 2 6 4 4" xfId="18794" xr:uid="{00000000-0005-0000-0000-0000D44D0000}"/>
    <cellStyle name="Normal 10 2 2 6 4 4 2" xfId="45927" xr:uid="{00000000-0005-0000-0000-0000D54D0000}"/>
    <cellStyle name="Normal 10 2 2 6 4 5" xfId="32365" xr:uid="{00000000-0005-0000-0000-0000D64D0000}"/>
    <cellStyle name="Normal 10 2 2 6 5" xfId="8602" xr:uid="{00000000-0005-0000-0000-0000D74D0000}"/>
    <cellStyle name="Normal 10 2 2 6 5 2" xfId="15391" xr:uid="{00000000-0005-0000-0000-0000D84D0000}"/>
    <cellStyle name="Normal 10 2 2 6 5 2 2" xfId="28959" xr:uid="{00000000-0005-0000-0000-0000D94D0000}"/>
    <cellStyle name="Normal 10 2 2 6 5 2 2 2" xfId="56092" xr:uid="{00000000-0005-0000-0000-0000DA4D0000}"/>
    <cellStyle name="Normal 10 2 2 6 5 2 3" xfId="42530" xr:uid="{00000000-0005-0000-0000-0000DB4D0000}"/>
    <cellStyle name="Normal 10 2 2 6 5 3" xfId="22178" xr:uid="{00000000-0005-0000-0000-0000DC4D0000}"/>
    <cellStyle name="Normal 10 2 2 6 5 3 2" xfId="49311" xr:uid="{00000000-0005-0000-0000-0000DD4D0000}"/>
    <cellStyle name="Normal 10 2 2 6 5 4" xfId="35749" xr:uid="{00000000-0005-0000-0000-0000DE4D0000}"/>
    <cellStyle name="Normal 10 2 2 6 6" xfId="12002" xr:uid="{00000000-0005-0000-0000-0000DF4D0000}"/>
    <cellStyle name="Normal 10 2 2 6 6 2" xfId="25570" xr:uid="{00000000-0005-0000-0000-0000E04D0000}"/>
    <cellStyle name="Normal 10 2 2 6 6 2 2" xfId="52703" xr:uid="{00000000-0005-0000-0000-0000E14D0000}"/>
    <cellStyle name="Normal 10 2 2 6 6 3" xfId="39141" xr:uid="{00000000-0005-0000-0000-0000E24D0000}"/>
    <cellStyle name="Normal 10 2 2 6 7" xfId="18789" xr:uid="{00000000-0005-0000-0000-0000E34D0000}"/>
    <cellStyle name="Normal 10 2 2 6 7 2" xfId="45922" xr:uid="{00000000-0005-0000-0000-0000E44D0000}"/>
    <cellStyle name="Normal 10 2 2 6 8" xfId="32360" xr:uid="{00000000-0005-0000-0000-0000E54D0000}"/>
    <cellStyle name="Normal 10 2 2 7" xfId="5046" xr:uid="{00000000-0005-0000-0000-0000E64D0000}"/>
    <cellStyle name="Normal 10 2 2 7 2" xfId="5047" xr:uid="{00000000-0005-0000-0000-0000E74D0000}"/>
    <cellStyle name="Normal 10 2 2 7 2 2" xfId="8609" xr:uid="{00000000-0005-0000-0000-0000E84D0000}"/>
    <cellStyle name="Normal 10 2 2 7 2 2 2" xfId="15398" xr:uid="{00000000-0005-0000-0000-0000E94D0000}"/>
    <cellStyle name="Normal 10 2 2 7 2 2 2 2" xfId="28966" xr:uid="{00000000-0005-0000-0000-0000EA4D0000}"/>
    <cellStyle name="Normal 10 2 2 7 2 2 2 2 2" xfId="56099" xr:uid="{00000000-0005-0000-0000-0000EB4D0000}"/>
    <cellStyle name="Normal 10 2 2 7 2 2 2 3" xfId="42537" xr:uid="{00000000-0005-0000-0000-0000EC4D0000}"/>
    <cellStyle name="Normal 10 2 2 7 2 2 3" xfId="22185" xr:uid="{00000000-0005-0000-0000-0000ED4D0000}"/>
    <cellStyle name="Normal 10 2 2 7 2 2 3 2" xfId="49318" xr:uid="{00000000-0005-0000-0000-0000EE4D0000}"/>
    <cellStyle name="Normal 10 2 2 7 2 2 4" xfId="35756" xr:uid="{00000000-0005-0000-0000-0000EF4D0000}"/>
    <cellStyle name="Normal 10 2 2 7 2 3" xfId="12009" xr:uid="{00000000-0005-0000-0000-0000F04D0000}"/>
    <cellStyle name="Normal 10 2 2 7 2 3 2" xfId="25577" xr:uid="{00000000-0005-0000-0000-0000F14D0000}"/>
    <cellStyle name="Normal 10 2 2 7 2 3 2 2" xfId="52710" xr:uid="{00000000-0005-0000-0000-0000F24D0000}"/>
    <cellStyle name="Normal 10 2 2 7 2 3 3" xfId="39148" xr:uid="{00000000-0005-0000-0000-0000F34D0000}"/>
    <cellStyle name="Normal 10 2 2 7 2 4" xfId="18796" xr:uid="{00000000-0005-0000-0000-0000F44D0000}"/>
    <cellStyle name="Normal 10 2 2 7 2 4 2" xfId="45929" xr:uid="{00000000-0005-0000-0000-0000F54D0000}"/>
    <cellStyle name="Normal 10 2 2 7 2 5" xfId="32367" xr:uid="{00000000-0005-0000-0000-0000F64D0000}"/>
    <cellStyle name="Normal 10 2 2 7 3" xfId="5048" xr:uid="{00000000-0005-0000-0000-0000F74D0000}"/>
    <cellStyle name="Normal 10 2 2 7 3 2" xfId="8610" xr:uid="{00000000-0005-0000-0000-0000F84D0000}"/>
    <cellStyle name="Normal 10 2 2 7 3 2 2" xfId="15399" xr:uid="{00000000-0005-0000-0000-0000F94D0000}"/>
    <cellStyle name="Normal 10 2 2 7 3 2 2 2" xfId="28967" xr:uid="{00000000-0005-0000-0000-0000FA4D0000}"/>
    <cellStyle name="Normal 10 2 2 7 3 2 2 2 2" xfId="56100" xr:uid="{00000000-0005-0000-0000-0000FB4D0000}"/>
    <cellStyle name="Normal 10 2 2 7 3 2 2 3" xfId="42538" xr:uid="{00000000-0005-0000-0000-0000FC4D0000}"/>
    <cellStyle name="Normal 10 2 2 7 3 2 3" xfId="22186" xr:uid="{00000000-0005-0000-0000-0000FD4D0000}"/>
    <cellStyle name="Normal 10 2 2 7 3 2 3 2" xfId="49319" xr:uid="{00000000-0005-0000-0000-0000FE4D0000}"/>
    <cellStyle name="Normal 10 2 2 7 3 2 4" xfId="35757" xr:uid="{00000000-0005-0000-0000-0000FF4D0000}"/>
    <cellStyle name="Normal 10 2 2 7 3 3" xfId="12010" xr:uid="{00000000-0005-0000-0000-0000004E0000}"/>
    <cellStyle name="Normal 10 2 2 7 3 3 2" xfId="25578" xr:uid="{00000000-0005-0000-0000-0000014E0000}"/>
    <cellStyle name="Normal 10 2 2 7 3 3 2 2" xfId="52711" xr:uid="{00000000-0005-0000-0000-0000024E0000}"/>
    <cellStyle name="Normal 10 2 2 7 3 3 3" xfId="39149" xr:uid="{00000000-0005-0000-0000-0000034E0000}"/>
    <cellStyle name="Normal 10 2 2 7 3 4" xfId="18797" xr:uid="{00000000-0005-0000-0000-0000044E0000}"/>
    <cellStyle name="Normal 10 2 2 7 3 4 2" xfId="45930" xr:uid="{00000000-0005-0000-0000-0000054E0000}"/>
    <cellStyle name="Normal 10 2 2 7 3 5" xfId="32368" xr:uid="{00000000-0005-0000-0000-0000064E0000}"/>
    <cellStyle name="Normal 10 2 2 7 4" xfId="8608" xr:uid="{00000000-0005-0000-0000-0000074E0000}"/>
    <cellStyle name="Normal 10 2 2 7 4 2" xfId="15397" xr:uid="{00000000-0005-0000-0000-0000084E0000}"/>
    <cellStyle name="Normal 10 2 2 7 4 2 2" xfId="28965" xr:uid="{00000000-0005-0000-0000-0000094E0000}"/>
    <cellStyle name="Normal 10 2 2 7 4 2 2 2" xfId="56098" xr:uid="{00000000-0005-0000-0000-00000A4E0000}"/>
    <cellStyle name="Normal 10 2 2 7 4 2 3" xfId="42536" xr:uid="{00000000-0005-0000-0000-00000B4E0000}"/>
    <cellStyle name="Normal 10 2 2 7 4 3" xfId="22184" xr:uid="{00000000-0005-0000-0000-00000C4E0000}"/>
    <cellStyle name="Normal 10 2 2 7 4 3 2" xfId="49317" xr:uid="{00000000-0005-0000-0000-00000D4E0000}"/>
    <cellStyle name="Normal 10 2 2 7 4 4" xfId="35755" xr:uid="{00000000-0005-0000-0000-00000E4E0000}"/>
    <cellStyle name="Normal 10 2 2 7 5" xfId="12008" xr:uid="{00000000-0005-0000-0000-00000F4E0000}"/>
    <cellStyle name="Normal 10 2 2 7 5 2" xfId="25576" xr:uid="{00000000-0005-0000-0000-0000104E0000}"/>
    <cellStyle name="Normal 10 2 2 7 5 2 2" xfId="52709" xr:uid="{00000000-0005-0000-0000-0000114E0000}"/>
    <cellStyle name="Normal 10 2 2 7 5 3" xfId="39147" xr:uid="{00000000-0005-0000-0000-0000124E0000}"/>
    <cellStyle name="Normal 10 2 2 7 6" xfId="18795" xr:uid="{00000000-0005-0000-0000-0000134E0000}"/>
    <cellStyle name="Normal 10 2 2 7 6 2" xfId="45928" xr:uid="{00000000-0005-0000-0000-0000144E0000}"/>
    <cellStyle name="Normal 10 2 2 7 7" xfId="32366" xr:uid="{00000000-0005-0000-0000-0000154E0000}"/>
    <cellStyle name="Normal 10 2 2 8" xfId="5049" xr:uid="{00000000-0005-0000-0000-0000164E0000}"/>
    <cellStyle name="Normal 10 2 2 8 2" xfId="5050" xr:uid="{00000000-0005-0000-0000-0000174E0000}"/>
    <cellStyle name="Normal 10 2 2 8 2 2" xfId="8612" xr:uid="{00000000-0005-0000-0000-0000184E0000}"/>
    <cellStyle name="Normal 10 2 2 8 2 2 2" xfId="15401" xr:uid="{00000000-0005-0000-0000-0000194E0000}"/>
    <cellStyle name="Normal 10 2 2 8 2 2 2 2" xfId="28969" xr:uid="{00000000-0005-0000-0000-00001A4E0000}"/>
    <cellStyle name="Normal 10 2 2 8 2 2 2 2 2" xfId="56102" xr:uid="{00000000-0005-0000-0000-00001B4E0000}"/>
    <cellStyle name="Normal 10 2 2 8 2 2 2 3" xfId="42540" xr:uid="{00000000-0005-0000-0000-00001C4E0000}"/>
    <cellStyle name="Normal 10 2 2 8 2 2 3" xfId="22188" xr:uid="{00000000-0005-0000-0000-00001D4E0000}"/>
    <cellStyle name="Normal 10 2 2 8 2 2 3 2" xfId="49321" xr:uid="{00000000-0005-0000-0000-00001E4E0000}"/>
    <cellStyle name="Normal 10 2 2 8 2 2 4" xfId="35759" xr:uid="{00000000-0005-0000-0000-00001F4E0000}"/>
    <cellStyle name="Normal 10 2 2 8 2 3" xfId="12012" xr:uid="{00000000-0005-0000-0000-0000204E0000}"/>
    <cellStyle name="Normal 10 2 2 8 2 3 2" xfId="25580" xr:uid="{00000000-0005-0000-0000-0000214E0000}"/>
    <cellStyle name="Normal 10 2 2 8 2 3 2 2" xfId="52713" xr:uid="{00000000-0005-0000-0000-0000224E0000}"/>
    <cellStyle name="Normal 10 2 2 8 2 3 3" xfId="39151" xr:uid="{00000000-0005-0000-0000-0000234E0000}"/>
    <cellStyle name="Normal 10 2 2 8 2 4" xfId="18799" xr:uid="{00000000-0005-0000-0000-0000244E0000}"/>
    <cellStyle name="Normal 10 2 2 8 2 4 2" xfId="45932" xr:uid="{00000000-0005-0000-0000-0000254E0000}"/>
    <cellStyle name="Normal 10 2 2 8 2 5" xfId="32370" xr:uid="{00000000-0005-0000-0000-0000264E0000}"/>
    <cellStyle name="Normal 10 2 2 8 3" xfId="5051" xr:uid="{00000000-0005-0000-0000-0000274E0000}"/>
    <cellStyle name="Normal 10 2 2 8 3 2" xfId="8613" xr:uid="{00000000-0005-0000-0000-0000284E0000}"/>
    <cellStyle name="Normal 10 2 2 8 3 2 2" xfId="15402" xr:uid="{00000000-0005-0000-0000-0000294E0000}"/>
    <cellStyle name="Normal 10 2 2 8 3 2 2 2" xfId="28970" xr:uid="{00000000-0005-0000-0000-00002A4E0000}"/>
    <cellStyle name="Normal 10 2 2 8 3 2 2 2 2" xfId="56103" xr:uid="{00000000-0005-0000-0000-00002B4E0000}"/>
    <cellStyle name="Normal 10 2 2 8 3 2 2 3" xfId="42541" xr:uid="{00000000-0005-0000-0000-00002C4E0000}"/>
    <cellStyle name="Normal 10 2 2 8 3 2 3" xfId="22189" xr:uid="{00000000-0005-0000-0000-00002D4E0000}"/>
    <cellStyle name="Normal 10 2 2 8 3 2 3 2" xfId="49322" xr:uid="{00000000-0005-0000-0000-00002E4E0000}"/>
    <cellStyle name="Normal 10 2 2 8 3 2 4" xfId="35760" xr:uid="{00000000-0005-0000-0000-00002F4E0000}"/>
    <cellStyle name="Normal 10 2 2 8 3 3" xfId="12013" xr:uid="{00000000-0005-0000-0000-0000304E0000}"/>
    <cellStyle name="Normal 10 2 2 8 3 3 2" xfId="25581" xr:uid="{00000000-0005-0000-0000-0000314E0000}"/>
    <cellStyle name="Normal 10 2 2 8 3 3 2 2" xfId="52714" xr:uid="{00000000-0005-0000-0000-0000324E0000}"/>
    <cellStyle name="Normal 10 2 2 8 3 3 3" xfId="39152" xr:uid="{00000000-0005-0000-0000-0000334E0000}"/>
    <cellStyle name="Normal 10 2 2 8 3 4" xfId="18800" xr:uid="{00000000-0005-0000-0000-0000344E0000}"/>
    <cellStyle name="Normal 10 2 2 8 3 4 2" xfId="45933" xr:uid="{00000000-0005-0000-0000-0000354E0000}"/>
    <cellStyle name="Normal 10 2 2 8 3 5" xfId="32371" xr:uid="{00000000-0005-0000-0000-0000364E0000}"/>
    <cellStyle name="Normal 10 2 2 8 4" xfId="8611" xr:uid="{00000000-0005-0000-0000-0000374E0000}"/>
    <cellStyle name="Normal 10 2 2 8 4 2" xfId="15400" xr:uid="{00000000-0005-0000-0000-0000384E0000}"/>
    <cellStyle name="Normal 10 2 2 8 4 2 2" xfId="28968" xr:uid="{00000000-0005-0000-0000-0000394E0000}"/>
    <cellStyle name="Normal 10 2 2 8 4 2 2 2" xfId="56101" xr:uid="{00000000-0005-0000-0000-00003A4E0000}"/>
    <cellStyle name="Normal 10 2 2 8 4 2 3" xfId="42539" xr:uid="{00000000-0005-0000-0000-00003B4E0000}"/>
    <cellStyle name="Normal 10 2 2 8 4 3" xfId="22187" xr:uid="{00000000-0005-0000-0000-00003C4E0000}"/>
    <cellStyle name="Normal 10 2 2 8 4 3 2" xfId="49320" xr:uid="{00000000-0005-0000-0000-00003D4E0000}"/>
    <cellStyle name="Normal 10 2 2 8 4 4" xfId="35758" xr:uid="{00000000-0005-0000-0000-00003E4E0000}"/>
    <cellStyle name="Normal 10 2 2 8 5" xfId="12011" xr:uid="{00000000-0005-0000-0000-00003F4E0000}"/>
    <cellStyle name="Normal 10 2 2 8 5 2" xfId="25579" xr:uid="{00000000-0005-0000-0000-0000404E0000}"/>
    <cellStyle name="Normal 10 2 2 8 5 2 2" xfId="52712" xr:uid="{00000000-0005-0000-0000-0000414E0000}"/>
    <cellStyle name="Normal 10 2 2 8 5 3" xfId="39150" xr:uid="{00000000-0005-0000-0000-0000424E0000}"/>
    <cellStyle name="Normal 10 2 2 8 6" xfId="18798" xr:uid="{00000000-0005-0000-0000-0000434E0000}"/>
    <cellStyle name="Normal 10 2 2 8 6 2" xfId="45931" xr:uid="{00000000-0005-0000-0000-0000444E0000}"/>
    <cellStyle name="Normal 10 2 2 8 7" xfId="32369" xr:uid="{00000000-0005-0000-0000-0000454E0000}"/>
    <cellStyle name="Normal 10 2 2 9" xfId="5052" xr:uid="{00000000-0005-0000-0000-0000464E0000}"/>
    <cellStyle name="Normal 10 2 2 9 2" xfId="8614" xr:uid="{00000000-0005-0000-0000-0000474E0000}"/>
    <cellStyle name="Normal 10 2 2 9 2 2" xfId="15403" xr:uid="{00000000-0005-0000-0000-0000484E0000}"/>
    <cellStyle name="Normal 10 2 2 9 2 2 2" xfId="28971" xr:uid="{00000000-0005-0000-0000-0000494E0000}"/>
    <cellStyle name="Normal 10 2 2 9 2 2 2 2" xfId="56104" xr:uid="{00000000-0005-0000-0000-00004A4E0000}"/>
    <cellStyle name="Normal 10 2 2 9 2 2 3" xfId="42542" xr:uid="{00000000-0005-0000-0000-00004B4E0000}"/>
    <cellStyle name="Normal 10 2 2 9 2 3" xfId="22190" xr:uid="{00000000-0005-0000-0000-00004C4E0000}"/>
    <cellStyle name="Normal 10 2 2 9 2 3 2" xfId="49323" xr:uid="{00000000-0005-0000-0000-00004D4E0000}"/>
    <cellStyle name="Normal 10 2 2 9 2 4" xfId="35761" xr:uid="{00000000-0005-0000-0000-00004E4E0000}"/>
    <cellStyle name="Normal 10 2 2 9 3" xfId="12014" xr:uid="{00000000-0005-0000-0000-00004F4E0000}"/>
    <cellStyle name="Normal 10 2 2 9 3 2" xfId="25582" xr:uid="{00000000-0005-0000-0000-0000504E0000}"/>
    <cellStyle name="Normal 10 2 2 9 3 2 2" xfId="52715" xr:uid="{00000000-0005-0000-0000-0000514E0000}"/>
    <cellStyle name="Normal 10 2 2 9 3 3" xfId="39153" xr:uid="{00000000-0005-0000-0000-0000524E0000}"/>
    <cellStyle name="Normal 10 2 2 9 4" xfId="18801" xr:uid="{00000000-0005-0000-0000-0000534E0000}"/>
    <cellStyle name="Normal 10 2 2 9 4 2" xfId="45934" xr:uid="{00000000-0005-0000-0000-0000544E0000}"/>
    <cellStyle name="Normal 10 2 2 9 5" xfId="32372" xr:uid="{00000000-0005-0000-0000-0000554E0000}"/>
    <cellStyle name="Normal 10 2 3" xfId="5053" xr:uid="{00000000-0005-0000-0000-0000564E0000}"/>
    <cellStyle name="Normal 10 2 4" xfId="5054" xr:uid="{00000000-0005-0000-0000-0000574E0000}"/>
    <cellStyle name="Normal 10 2 4 10" xfId="8615" xr:uid="{00000000-0005-0000-0000-0000584E0000}"/>
    <cellStyle name="Normal 10 2 4 10 2" xfId="15404" xr:uid="{00000000-0005-0000-0000-0000594E0000}"/>
    <cellStyle name="Normal 10 2 4 10 2 2" xfId="28972" xr:uid="{00000000-0005-0000-0000-00005A4E0000}"/>
    <cellStyle name="Normal 10 2 4 10 2 2 2" xfId="56105" xr:uid="{00000000-0005-0000-0000-00005B4E0000}"/>
    <cellStyle name="Normal 10 2 4 10 2 3" xfId="42543" xr:uid="{00000000-0005-0000-0000-00005C4E0000}"/>
    <cellStyle name="Normal 10 2 4 10 3" xfId="22191" xr:uid="{00000000-0005-0000-0000-00005D4E0000}"/>
    <cellStyle name="Normal 10 2 4 10 3 2" xfId="49324" xr:uid="{00000000-0005-0000-0000-00005E4E0000}"/>
    <cellStyle name="Normal 10 2 4 10 4" xfId="35762" xr:uid="{00000000-0005-0000-0000-00005F4E0000}"/>
    <cellStyle name="Normal 10 2 4 11" xfId="12015" xr:uid="{00000000-0005-0000-0000-0000604E0000}"/>
    <cellStyle name="Normal 10 2 4 11 2" xfId="25583" xr:uid="{00000000-0005-0000-0000-0000614E0000}"/>
    <cellStyle name="Normal 10 2 4 11 2 2" xfId="52716" xr:uid="{00000000-0005-0000-0000-0000624E0000}"/>
    <cellStyle name="Normal 10 2 4 11 3" xfId="39154" xr:uid="{00000000-0005-0000-0000-0000634E0000}"/>
    <cellStyle name="Normal 10 2 4 12" xfId="18802" xr:uid="{00000000-0005-0000-0000-0000644E0000}"/>
    <cellStyle name="Normal 10 2 4 12 2" xfId="45935" xr:uid="{00000000-0005-0000-0000-0000654E0000}"/>
    <cellStyle name="Normal 10 2 4 13" xfId="32373" xr:uid="{00000000-0005-0000-0000-0000664E0000}"/>
    <cellStyle name="Normal 10 2 4 2" xfId="5055" xr:uid="{00000000-0005-0000-0000-0000674E0000}"/>
    <cellStyle name="Normal 10 2 4 2 10" xfId="32374" xr:uid="{00000000-0005-0000-0000-0000684E0000}"/>
    <cellStyle name="Normal 10 2 4 2 2" xfId="5056" xr:uid="{00000000-0005-0000-0000-0000694E0000}"/>
    <cellStyle name="Normal 10 2 4 2 2 2" xfId="5057" xr:uid="{00000000-0005-0000-0000-00006A4E0000}"/>
    <cellStyle name="Normal 10 2 4 2 2 2 2" xfId="5058" xr:uid="{00000000-0005-0000-0000-00006B4E0000}"/>
    <cellStyle name="Normal 10 2 4 2 2 2 2 2" xfId="8619" xr:uid="{00000000-0005-0000-0000-00006C4E0000}"/>
    <cellStyle name="Normal 10 2 4 2 2 2 2 2 2" xfId="15408" xr:uid="{00000000-0005-0000-0000-00006D4E0000}"/>
    <cellStyle name="Normal 10 2 4 2 2 2 2 2 2 2" xfId="28976" xr:uid="{00000000-0005-0000-0000-00006E4E0000}"/>
    <cellStyle name="Normal 10 2 4 2 2 2 2 2 2 2 2" xfId="56109" xr:uid="{00000000-0005-0000-0000-00006F4E0000}"/>
    <cellStyle name="Normal 10 2 4 2 2 2 2 2 2 3" xfId="42547" xr:uid="{00000000-0005-0000-0000-0000704E0000}"/>
    <cellStyle name="Normal 10 2 4 2 2 2 2 2 3" xfId="22195" xr:uid="{00000000-0005-0000-0000-0000714E0000}"/>
    <cellStyle name="Normal 10 2 4 2 2 2 2 2 3 2" xfId="49328" xr:uid="{00000000-0005-0000-0000-0000724E0000}"/>
    <cellStyle name="Normal 10 2 4 2 2 2 2 2 4" xfId="35766" xr:uid="{00000000-0005-0000-0000-0000734E0000}"/>
    <cellStyle name="Normal 10 2 4 2 2 2 2 3" xfId="12019" xr:uid="{00000000-0005-0000-0000-0000744E0000}"/>
    <cellStyle name="Normal 10 2 4 2 2 2 2 3 2" xfId="25587" xr:uid="{00000000-0005-0000-0000-0000754E0000}"/>
    <cellStyle name="Normal 10 2 4 2 2 2 2 3 2 2" xfId="52720" xr:uid="{00000000-0005-0000-0000-0000764E0000}"/>
    <cellStyle name="Normal 10 2 4 2 2 2 2 3 3" xfId="39158" xr:uid="{00000000-0005-0000-0000-0000774E0000}"/>
    <cellStyle name="Normal 10 2 4 2 2 2 2 4" xfId="18806" xr:uid="{00000000-0005-0000-0000-0000784E0000}"/>
    <cellStyle name="Normal 10 2 4 2 2 2 2 4 2" xfId="45939" xr:uid="{00000000-0005-0000-0000-0000794E0000}"/>
    <cellStyle name="Normal 10 2 4 2 2 2 2 5" xfId="32377" xr:uid="{00000000-0005-0000-0000-00007A4E0000}"/>
    <cellStyle name="Normal 10 2 4 2 2 2 3" xfId="5059" xr:uid="{00000000-0005-0000-0000-00007B4E0000}"/>
    <cellStyle name="Normal 10 2 4 2 2 2 3 2" xfId="8620" xr:uid="{00000000-0005-0000-0000-00007C4E0000}"/>
    <cellStyle name="Normal 10 2 4 2 2 2 3 2 2" xfId="15409" xr:uid="{00000000-0005-0000-0000-00007D4E0000}"/>
    <cellStyle name="Normal 10 2 4 2 2 2 3 2 2 2" xfId="28977" xr:uid="{00000000-0005-0000-0000-00007E4E0000}"/>
    <cellStyle name="Normal 10 2 4 2 2 2 3 2 2 2 2" xfId="56110" xr:uid="{00000000-0005-0000-0000-00007F4E0000}"/>
    <cellStyle name="Normal 10 2 4 2 2 2 3 2 2 3" xfId="42548" xr:uid="{00000000-0005-0000-0000-0000804E0000}"/>
    <cellStyle name="Normal 10 2 4 2 2 2 3 2 3" xfId="22196" xr:uid="{00000000-0005-0000-0000-0000814E0000}"/>
    <cellStyle name="Normal 10 2 4 2 2 2 3 2 3 2" xfId="49329" xr:uid="{00000000-0005-0000-0000-0000824E0000}"/>
    <cellStyle name="Normal 10 2 4 2 2 2 3 2 4" xfId="35767" xr:uid="{00000000-0005-0000-0000-0000834E0000}"/>
    <cellStyle name="Normal 10 2 4 2 2 2 3 3" xfId="12020" xr:uid="{00000000-0005-0000-0000-0000844E0000}"/>
    <cellStyle name="Normal 10 2 4 2 2 2 3 3 2" xfId="25588" xr:uid="{00000000-0005-0000-0000-0000854E0000}"/>
    <cellStyle name="Normal 10 2 4 2 2 2 3 3 2 2" xfId="52721" xr:uid="{00000000-0005-0000-0000-0000864E0000}"/>
    <cellStyle name="Normal 10 2 4 2 2 2 3 3 3" xfId="39159" xr:uid="{00000000-0005-0000-0000-0000874E0000}"/>
    <cellStyle name="Normal 10 2 4 2 2 2 3 4" xfId="18807" xr:uid="{00000000-0005-0000-0000-0000884E0000}"/>
    <cellStyle name="Normal 10 2 4 2 2 2 3 4 2" xfId="45940" xr:uid="{00000000-0005-0000-0000-0000894E0000}"/>
    <cellStyle name="Normal 10 2 4 2 2 2 3 5" xfId="32378" xr:uid="{00000000-0005-0000-0000-00008A4E0000}"/>
    <cellStyle name="Normal 10 2 4 2 2 2 4" xfId="8618" xr:uid="{00000000-0005-0000-0000-00008B4E0000}"/>
    <cellStyle name="Normal 10 2 4 2 2 2 4 2" xfId="15407" xr:uid="{00000000-0005-0000-0000-00008C4E0000}"/>
    <cellStyle name="Normal 10 2 4 2 2 2 4 2 2" xfId="28975" xr:uid="{00000000-0005-0000-0000-00008D4E0000}"/>
    <cellStyle name="Normal 10 2 4 2 2 2 4 2 2 2" xfId="56108" xr:uid="{00000000-0005-0000-0000-00008E4E0000}"/>
    <cellStyle name="Normal 10 2 4 2 2 2 4 2 3" xfId="42546" xr:uid="{00000000-0005-0000-0000-00008F4E0000}"/>
    <cellStyle name="Normal 10 2 4 2 2 2 4 3" xfId="22194" xr:uid="{00000000-0005-0000-0000-0000904E0000}"/>
    <cellStyle name="Normal 10 2 4 2 2 2 4 3 2" xfId="49327" xr:uid="{00000000-0005-0000-0000-0000914E0000}"/>
    <cellStyle name="Normal 10 2 4 2 2 2 4 4" xfId="35765" xr:uid="{00000000-0005-0000-0000-0000924E0000}"/>
    <cellStyle name="Normal 10 2 4 2 2 2 5" xfId="12018" xr:uid="{00000000-0005-0000-0000-0000934E0000}"/>
    <cellStyle name="Normal 10 2 4 2 2 2 5 2" xfId="25586" xr:uid="{00000000-0005-0000-0000-0000944E0000}"/>
    <cellStyle name="Normal 10 2 4 2 2 2 5 2 2" xfId="52719" xr:uid="{00000000-0005-0000-0000-0000954E0000}"/>
    <cellStyle name="Normal 10 2 4 2 2 2 5 3" xfId="39157" xr:uid="{00000000-0005-0000-0000-0000964E0000}"/>
    <cellStyle name="Normal 10 2 4 2 2 2 6" xfId="18805" xr:uid="{00000000-0005-0000-0000-0000974E0000}"/>
    <cellStyle name="Normal 10 2 4 2 2 2 6 2" xfId="45938" xr:uid="{00000000-0005-0000-0000-0000984E0000}"/>
    <cellStyle name="Normal 10 2 4 2 2 2 7" xfId="32376" xr:uid="{00000000-0005-0000-0000-0000994E0000}"/>
    <cellStyle name="Normal 10 2 4 2 2 3" xfId="5060" xr:uid="{00000000-0005-0000-0000-00009A4E0000}"/>
    <cellStyle name="Normal 10 2 4 2 2 3 2" xfId="5061" xr:uid="{00000000-0005-0000-0000-00009B4E0000}"/>
    <cellStyle name="Normal 10 2 4 2 2 3 2 2" xfId="8622" xr:uid="{00000000-0005-0000-0000-00009C4E0000}"/>
    <cellStyle name="Normal 10 2 4 2 2 3 2 2 2" xfId="15411" xr:uid="{00000000-0005-0000-0000-00009D4E0000}"/>
    <cellStyle name="Normal 10 2 4 2 2 3 2 2 2 2" xfId="28979" xr:uid="{00000000-0005-0000-0000-00009E4E0000}"/>
    <cellStyle name="Normal 10 2 4 2 2 3 2 2 2 2 2" xfId="56112" xr:uid="{00000000-0005-0000-0000-00009F4E0000}"/>
    <cellStyle name="Normal 10 2 4 2 2 3 2 2 2 3" xfId="42550" xr:uid="{00000000-0005-0000-0000-0000A04E0000}"/>
    <cellStyle name="Normal 10 2 4 2 2 3 2 2 3" xfId="22198" xr:uid="{00000000-0005-0000-0000-0000A14E0000}"/>
    <cellStyle name="Normal 10 2 4 2 2 3 2 2 3 2" xfId="49331" xr:uid="{00000000-0005-0000-0000-0000A24E0000}"/>
    <cellStyle name="Normal 10 2 4 2 2 3 2 2 4" xfId="35769" xr:uid="{00000000-0005-0000-0000-0000A34E0000}"/>
    <cellStyle name="Normal 10 2 4 2 2 3 2 3" xfId="12022" xr:uid="{00000000-0005-0000-0000-0000A44E0000}"/>
    <cellStyle name="Normal 10 2 4 2 2 3 2 3 2" xfId="25590" xr:uid="{00000000-0005-0000-0000-0000A54E0000}"/>
    <cellStyle name="Normal 10 2 4 2 2 3 2 3 2 2" xfId="52723" xr:uid="{00000000-0005-0000-0000-0000A64E0000}"/>
    <cellStyle name="Normal 10 2 4 2 2 3 2 3 3" xfId="39161" xr:uid="{00000000-0005-0000-0000-0000A74E0000}"/>
    <cellStyle name="Normal 10 2 4 2 2 3 2 4" xfId="18809" xr:uid="{00000000-0005-0000-0000-0000A84E0000}"/>
    <cellStyle name="Normal 10 2 4 2 2 3 2 4 2" xfId="45942" xr:uid="{00000000-0005-0000-0000-0000A94E0000}"/>
    <cellStyle name="Normal 10 2 4 2 2 3 2 5" xfId="32380" xr:uid="{00000000-0005-0000-0000-0000AA4E0000}"/>
    <cellStyle name="Normal 10 2 4 2 2 3 3" xfId="8621" xr:uid="{00000000-0005-0000-0000-0000AB4E0000}"/>
    <cellStyle name="Normal 10 2 4 2 2 3 3 2" xfId="15410" xr:uid="{00000000-0005-0000-0000-0000AC4E0000}"/>
    <cellStyle name="Normal 10 2 4 2 2 3 3 2 2" xfId="28978" xr:uid="{00000000-0005-0000-0000-0000AD4E0000}"/>
    <cellStyle name="Normal 10 2 4 2 2 3 3 2 2 2" xfId="56111" xr:uid="{00000000-0005-0000-0000-0000AE4E0000}"/>
    <cellStyle name="Normal 10 2 4 2 2 3 3 2 3" xfId="42549" xr:uid="{00000000-0005-0000-0000-0000AF4E0000}"/>
    <cellStyle name="Normal 10 2 4 2 2 3 3 3" xfId="22197" xr:uid="{00000000-0005-0000-0000-0000B04E0000}"/>
    <cellStyle name="Normal 10 2 4 2 2 3 3 3 2" xfId="49330" xr:uid="{00000000-0005-0000-0000-0000B14E0000}"/>
    <cellStyle name="Normal 10 2 4 2 2 3 3 4" xfId="35768" xr:uid="{00000000-0005-0000-0000-0000B24E0000}"/>
    <cellStyle name="Normal 10 2 4 2 2 3 4" xfId="12021" xr:uid="{00000000-0005-0000-0000-0000B34E0000}"/>
    <cellStyle name="Normal 10 2 4 2 2 3 4 2" xfId="25589" xr:uid="{00000000-0005-0000-0000-0000B44E0000}"/>
    <cellStyle name="Normal 10 2 4 2 2 3 4 2 2" xfId="52722" xr:uid="{00000000-0005-0000-0000-0000B54E0000}"/>
    <cellStyle name="Normal 10 2 4 2 2 3 4 3" xfId="39160" xr:uid="{00000000-0005-0000-0000-0000B64E0000}"/>
    <cellStyle name="Normal 10 2 4 2 2 3 5" xfId="18808" xr:uid="{00000000-0005-0000-0000-0000B74E0000}"/>
    <cellStyle name="Normal 10 2 4 2 2 3 5 2" xfId="45941" xr:uid="{00000000-0005-0000-0000-0000B84E0000}"/>
    <cellStyle name="Normal 10 2 4 2 2 3 6" xfId="32379" xr:uid="{00000000-0005-0000-0000-0000B94E0000}"/>
    <cellStyle name="Normal 10 2 4 2 2 4" xfId="5062" xr:uid="{00000000-0005-0000-0000-0000BA4E0000}"/>
    <cellStyle name="Normal 10 2 4 2 2 4 2" xfId="8623" xr:uid="{00000000-0005-0000-0000-0000BB4E0000}"/>
    <cellStyle name="Normal 10 2 4 2 2 4 2 2" xfId="15412" xr:uid="{00000000-0005-0000-0000-0000BC4E0000}"/>
    <cellStyle name="Normal 10 2 4 2 2 4 2 2 2" xfId="28980" xr:uid="{00000000-0005-0000-0000-0000BD4E0000}"/>
    <cellStyle name="Normal 10 2 4 2 2 4 2 2 2 2" xfId="56113" xr:uid="{00000000-0005-0000-0000-0000BE4E0000}"/>
    <cellStyle name="Normal 10 2 4 2 2 4 2 2 3" xfId="42551" xr:uid="{00000000-0005-0000-0000-0000BF4E0000}"/>
    <cellStyle name="Normal 10 2 4 2 2 4 2 3" xfId="22199" xr:uid="{00000000-0005-0000-0000-0000C04E0000}"/>
    <cellStyle name="Normal 10 2 4 2 2 4 2 3 2" xfId="49332" xr:uid="{00000000-0005-0000-0000-0000C14E0000}"/>
    <cellStyle name="Normal 10 2 4 2 2 4 2 4" xfId="35770" xr:uid="{00000000-0005-0000-0000-0000C24E0000}"/>
    <cellStyle name="Normal 10 2 4 2 2 4 3" xfId="12023" xr:uid="{00000000-0005-0000-0000-0000C34E0000}"/>
    <cellStyle name="Normal 10 2 4 2 2 4 3 2" xfId="25591" xr:uid="{00000000-0005-0000-0000-0000C44E0000}"/>
    <cellStyle name="Normal 10 2 4 2 2 4 3 2 2" xfId="52724" xr:uid="{00000000-0005-0000-0000-0000C54E0000}"/>
    <cellStyle name="Normal 10 2 4 2 2 4 3 3" xfId="39162" xr:uid="{00000000-0005-0000-0000-0000C64E0000}"/>
    <cellStyle name="Normal 10 2 4 2 2 4 4" xfId="18810" xr:uid="{00000000-0005-0000-0000-0000C74E0000}"/>
    <cellStyle name="Normal 10 2 4 2 2 4 4 2" xfId="45943" xr:uid="{00000000-0005-0000-0000-0000C84E0000}"/>
    <cellStyle name="Normal 10 2 4 2 2 4 5" xfId="32381" xr:uid="{00000000-0005-0000-0000-0000C94E0000}"/>
    <cellStyle name="Normal 10 2 4 2 2 5" xfId="5063" xr:uid="{00000000-0005-0000-0000-0000CA4E0000}"/>
    <cellStyle name="Normal 10 2 4 2 2 5 2" xfId="8624" xr:uid="{00000000-0005-0000-0000-0000CB4E0000}"/>
    <cellStyle name="Normal 10 2 4 2 2 5 2 2" xfId="15413" xr:uid="{00000000-0005-0000-0000-0000CC4E0000}"/>
    <cellStyle name="Normal 10 2 4 2 2 5 2 2 2" xfId="28981" xr:uid="{00000000-0005-0000-0000-0000CD4E0000}"/>
    <cellStyle name="Normal 10 2 4 2 2 5 2 2 2 2" xfId="56114" xr:uid="{00000000-0005-0000-0000-0000CE4E0000}"/>
    <cellStyle name="Normal 10 2 4 2 2 5 2 2 3" xfId="42552" xr:uid="{00000000-0005-0000-0000-0000CF4E0000}"/>
    <cellStyle name="Normal 10 2 4 2 2 5 2 3" xfId="22200" xr:uid="{00000000-0005-0000-0000-0000D04E0000}"/>
    <cellStyle name="Normal 10 2 4 2 2 5 2 3 2" xfId="49333" xr:uid="{00000000-0005-0000-0000-0000D14E0000}"/>
    <cellStyle name="Normal 10 2 4 2 2 5 2 4" xfId="35771" xr:uid="{00000000-0005-0000-0000-0000D24E0000}"/>
    <cellStyle name="Normal 10 2 4 2 2 5 3" xfId="12024" xr:uid="{00000000-0005-0000-0000-0000D34E0000}"/>
    <cellStyle name="Normal 10 2 4 2 2 5 3 2" xfId="25592" xr:uid="{00000000-0005-0000-0000-0000D44E0000}"/>
    <cellStyle name="Normal 10 2 4 2 2 5 3 2 2" xfId="52725" xr:uid="{00000000-0005-0000-0000-0000D54E0000}"/>
    <cellStyle name="Normal 10 2 4 2 2 5 3 3" xfId="39163" xr:uid="{00000000-0005-0000-0000-0000D64E0000}"/>
    <cellStyle name="Normal 10 2 4 2 2 5 4" xfId="18811" xr:uid="{00000000-0005-0000-0000-0000D74E0000}"/>
    <cellStyle name="Normal 10 2 4 2 2 5 4 2" xfId="45944" xr:uid="{00000000-0005-0000-0000-0000D84E0000}"/>
    <cellStyle name="Normal 10 2 4 2 2 5 5" xfId="32382" xr:uid="{00000000-0005-0000-0000-0000D94E0000}"/>
    <cellStyle name="Normal 10 2 4 2 2 6" xfId="8617" xr:uid="{00000000-0005-0000-0000-0000DA4E0000}"/>
    <cellStyle name="Normal 10 2 4 2 2 6 2" xfId="15406" xr:uid="{00000000-0005-0000-0000-0000DB4E0000}"/>
    <cellStyle name="Normal 10 2 4 2 2 6 2 2" xfId="28974" xr:uid="{00000000-0005-0000-0000-0000DC4E0000}"/>
    <cellStyle name="Normal 10 2 4 2 2 6 2 2 2" xfId="56107" xr:uid="{00000000-0005-0000-0000-0000DD4E0000}"/>
    <cellStyle name="Normal 10 2 4 2 2 6 2 3" xfId="42545" xr:uid="{00000000-0005-0000-0000-0000DE4E0000}"/>
    <cellStyle name="Normal 10 2 4 2 2 6 3" xfId="22193" xr:uid="{00000000-0005-0000-0000-0000DF4E0000}"/>
    <cellStyle name="Normal 10 2 4 2 2 6 3 2" xfId="49326" xr:uid="{00000000-0005-0000-0000-0000E04E0000}"/>
    <cellStyle name="Normal 10 2 4 2 2 6 4" xfId="35764" xr:uid="{00000000-0005-0000-0000-0000E14E0000}"/>
    <cellStyle name="Normal 10 2 4 2 2 7" xfId="12017" xr:uid="{00000000-0005-0000-0000-0000E24E0000}"/>
    <cellStyle name="Normal 10 2 4 2 2 7 2" xfId="25585" xr:uid="{00000000-0005-0000-0000-0000E34E0000}"/>
    <cellStyle name="Normal 10 2 4 2 2 7 2 2" xfId="52718" xr:uid="{00000000-0005-0000-0000-0000E44E0000}"/>
    <cellStyle name="Normal 10 2 4 2 2 7 3" xfId="39156" xr:uid="{00000000-0005-0000-0000-0000E54E0000}"/>
    <cellStyle name="Normal 10 2 4 2 2 8" xfId="18804" xr:uid="{00000000-0005-0000-0000-0000E64E0000}"/>
    <cellStyle name="Normal 10 2 4 2 2 8 2" xfId="45937" xr:uid="{00000000-0005-0000-0000-0000E74E0000}"/>
    <cellStyle name="Normal 10 2 4 2 2 9" xfId="32375" xr:uid="{00000000-0005-0000-0000-0000E84E0000}"/>
    <cellStyle name="Normal 10 2 4 2 3" xfId="5064" xr:uid="{00000000-0005-0000-0000-0000E94E0000}"/>
    <cellStyle name="Normal 10 2 4 2 3 2" xfId="5065" xr:uid="{00000000-0005-0000-0000-0000EA4E0000}"/>
    <cellStyle name="Normal 10 2 4 2 3 2 2" xfId="8626" xr:uid="{00000000-0005-0000-0000-0000EB4E0000}"/>
    <cellStyle name="Normal 10 2 4 2 3 2 2 2" xfId="15415" xr:uid="{00000000-0005-0000-0000-0000EC4E0000}"/>
    <cellStyle name="Normal 10 2 4 2 3 2 2 2 2" xfId="28983" xr:uid="{00000000-0005-0000-0000-0000ED4E0000}"/>
    <cellStyle name="Normal 10 2 4 2 3 2 2 2 2 2" xfId="56116" xr:uid="{00000000-0005-0000-0000-0000EE4E0000}"/>
    <cellStyle name="Normal 10 2 4 2 3 2 2 2 3" xfId="42554" xr:uid="{00000000-0005-0000-0000-0000EF4E0000}"/>
    <cellStyle name="Normal 10 2 4 2 3 2 2 3" xfId="22202" xr:uid="{00000000-0005-0000-0000-0000F04E0000}"/>
    <cellStyle name="Normal 10 2 4 2 3 2 2 3 2" xfId="49335" xr:uid="{00000000-0005-0000-0000-0000F14E0000}"/>
    <cellStyle name="Normal 10 2 4 2 3 2 2 4" xfId="35773" xr:uid="{00000000-0005-0000-0000-0000F24E0000}"/>
    <cellStyle name="Normal 10 2 4 2 3 2 3" xfId="12026" xr:uid="{00000000-0005-0000-0000-0000F34E0000}"/>
    <cellStyle name="Normal 10 2 4 2 3 2 3 2" xfId="25594" xr:uid="{00000000-0005-0000-0000-0000F44E0000}"/>
    <cellStyle name="Normal 10 2 4 2 3 2 3 2 2" xfId="52727" xr:uid="{00000000-0005-0000-0000-0000F54E0000}"/>
    <cellStyle name="Normal 10 2 4 2 3 2 3 3" xfId="39165" xr:uid="{00000000-0005-0000-0000-0000F64E0000}"/>
    <cellStyle name="Normal 10 2 4 2 3 2 4" xfId="18813" xr:uid="{00000000-0005-0000-0000-0000F74E0000}"/>
    <cellStyle name="Normal 10 2 4 2 3 2 4 2" xfId="45946" xr:uid="{00000000-0005-0000-0000-0000F84E0000}"/>
    <cellStyle name="Normal 10 2 4 2 3 2 5" xfId="32384" xr:uid="{00000000-0005-0000-0000-0000F94E0000}"/>
    <cellStyle name="Normal 10 2 4 2 3 3" xfId="5066" xr:uid="{00000000-0005-0000-0000-0000FA4E0000}"/>
    <cellStyle name="Normal 10 2 4 2 3 3 2" xfId="8627" xr:uid="{00000000-0005-0000-0000-0000FB4E0000}"/>
    <cellStyle name="Normal 10 2 4 2 3 3 2 2" xfId="15416" xr:uid="{00000000-0005-0000-0000-0000FC4E0000}"/>
    <cellStyle name="Normal 10 2 4 2 3 3 2 2 2" xfId="28984" xr:uid="{00000000-0005-0000-0000-0000FD4E0000}"/>
    <cellStyle name="Normal 10 2 4 2 3 3 2 2 2 2" xfId="56117" xr:uid="{00000000-0005-0000-0000-0000FE4E0000}"/>
    <cellStyle name="Normal 10 2 4 2 3 3 2 2 3" xfId="42555" xr:uid="{00000000-0005-0000-0000-0000FF4E0000}"/>
    <cellStyle name="Normal 10 2 4 2 3 3 2 3" xfId="22203" xr:uid="{00000000-0005-0000-0000-0000004F0000}"/>
    <cellStyle name="Normal 10 2 4 2 3 3 2 3 2" xfId="49336" xr:uid="{00000000-0005-0000-0000-0000014F0000}"/>
    <cellStyle name="Normal 10 2 4 2 3 3 2 4" xfId="35774" xr:uid="{00000000-0005-0000-0000-0000024F0000}"/>
    <cellStyle name="Normal 10 2 4 2 3 3 3" xfId="12027" xr:uid="{00000000-0005-0000-0000-0000034F0000}"/>
    <cellStyle name="Normal 10 2 4 2 3 3 3 2" xfId="25595" xr:uid="{00000000-0005-0000-0000-0000044F0000}"/>
    <cellStyle name="Normal 10 2 4 2 3 3 3 2 2" xfId="52728" xr:uid="{00000000-0005-0000-0000-0000054F0000}"/>
    <cellStyle name="Normal 10 2 4 2 3 3 3 3" xfId="39166" xr:uid="{00000000-0005-0000-0000-0000064F0000}"/>
    <cellStyle name="Normal 10 2 4 2 3 3 4" xfId="18814" xr:uid="{00000000-0005-0000-0000-0000074F0000}"/>
    <cellStyle name="Normal 10 2 4 2 3 3 4 2" xfId="45947" xr:uid="{00000000-0005-0000-0000-0000084F0000}"/>
    <cellStyle name="Normal 10 2 4 2 3 3 5" xfId="32385" xr:uid="{00000000-0005-0000-0000-0000094F0000}"/>
    <cellStyle name="Normal 10 2 4 2 3 4" xfId="8625" xr:uid="{00000000-0005-0000-0000-00000A4F0000}"/>
    <cellStyle name="Normal 10 2 4 2 3 4 2" xfId="15414" xr:uid="{00000000-0005-0000-0000-00000B4F0000}"/>
    <cellStyle name="Normal 10 2 4 2 3 4 2 2" xfId="28982" xr:uid="{00000000-0005-0000-0000-00000C4F0000}"/>
    <cellStyle name="Normal 10 2 4 2 3 4 2 2 2" xfId="56115" xr:uid="{00000000-0005-0000-0000-00000D4F0000}"/>
    <cellStyle name="Normal 10 2 4 2 3 4 2 3" xfId="42553" xr:uid="{00000000-0005-0000-0000-00000E4F0000}"/>
    <cellStyle name="Normal 10 2 4 2 3 4 3" xfId="22201" xr:uid="{00000000-0005-0000-0000-00000F4F0000}"/>
    <cellStyle name="Normal 10 2 4 2 3 4 3 2" xfId="49334" xr:uid="{00000000-0005-0000-0000-0000104F0000}"/>
    <cellStyle name="Normal 10 2 4 2 3 4 4" xfId="35772" xr:uid="{00000000-0005-0000-0000-0000114F0000}"/>
    <cellStyle name="Normal 10 2 4 2 3 5" xfId="12025" xr:uid="{00000000-0005-0000-0000-0000124F0000}"/>
    <cellStyle name="Normal 10 2 4 2 3 5 2" xfId="25593" xr:uid="{00000000-0005-0000-0000-0000134F0000}"/>
    <cellStyle name="Normal 10 2 4 2 3 5 2 2" xfId="52726" xr:uid="{00000000-0005-0000-0000-0000144F0000}"/>
    <cellStyle name="Normal 10 2 4 2 3 5 3" xfId="39164" xr:uid="{00000000-0005-0000-0000-0000154F0000}"/>
    <cellStyle name="Normal 10 2 4 2 3 6" xfId="18812" xr:uid="{00000000-0005-0000-0000-0000164F0000}"/>
    <cellStyle name="Normal 10 2 4 2 3 6 2" xfId="45945" xr:uid="{00000000-0005-0000-0000-0000174F0000}"/>
    <cellStyle name="Normal 10 2 4 2 3 7" xfId="32383" xr:uid="{00000000-0005-0000-0000-0000184F0000}"/>
    <cellStyle name="Normal 10 2 4 2 4" xfId="5067" xr:uid="{00000000-0005-0000-0000-0000194F0000}"/>
    <cellStyle name="Normal 10 2 4 2 4 2" xfId="5068" xr:uid="{00000000-0005-0000-0000-00001A4F0000}"/>
    <cellStyle name="Normal 10 2 4 2 4 2 2" xfId="8629" xr:uid="{00000000-0005-0000-0000-00001B4F0000}"/>
    <cellStyle name="Normal 10 2 4 2 4 2 2 2" xfId="15418" xr:uid="{00000000-0005-0000-0000-00001C4F0000}"/>
    <cellStyle name="Normal 10 2 4 2 4 2 2 2 2" xfId="28986" xr:uid="{00000000-0005-0000-0000-00001D4F0000}"/>
    <cellStyle name="Normal 10 2 4 2 4 2 2 2 2 2" xfId="56119" xr:uid="{00000000-0005-0000-0000-00001E4F0000}"/>
    <cellStyle name="Normal 10 2 4 2 4 2 2 2 3" xfId="42557" xr:uid="{00000000-0005-0000-0000-00001F4F0000}"/>
    <cellStyle name="Normal 10 2 4 2 4 2 2 3" xfId="22205" xr:uid="{00000000-0005-0000-0000-0000204F0000}"/>
    <cellStyle name="Normal 10 2 4 2 4 2 2 3 2" xfId="49338" xr:uid="{00000000-0005-0000-0000-0000214F0000}"/>
    <cellStyle name="Normal 10 2 4 2 4 2 2 4" xfId="35776" xr:uid="{00000000-0005-0000-0000-0000224F0000}"/>
    <cellStyle name="Normal 10 2 4 2 4 2 3" xfId="12029" xr:uid="{00000000-0005-0000-0000-0000234F0000}"/>
    <cellStyle name="Normal 10 2 4 2 4 2 3 2" xfId="25597" xr:uid="{00000000-0005-0000-0000-0000244F0000}"/>
    <cellStyle name="Normal 10 2 4 2 4 2 3 2 2" xfId="52730" xr:uid="{00000000-0005-0000-0000-0000254F0000}"/>
    <cellStyle name="Normal 10 2 4 2 4 2 3 3" xfId="39168" xr:uid="{00000000-0005-0000-0000-0000264F0000}"/>
    <cellStyle name="Normal 10 2 4 2 4 2 4" xfId="18816" xr:uid="{00000000-0005-0000-0000-0000274F0000}"/>
    <cellStyle name="Normal 10 2 4 2 4 2 4 2" xfId="45949" xr:uid="{00000000-0005-0000-0000-0000284F0000}"/>
    <cellStyle name="Normal 10 2 4 2 4 2 5" xfId="32387" xr:uid="{00000000-0005-0000-0000-0000294F0000}"/>
    <cellStyle name="Normal 10 2 4 2 4 3" xfId="8628" xr:uid="{00000000-0005-0000-0000-00002A4F0000}"/>
    <cellStyle name="Normal 10 2 4 2 4 3 2" xfId="15417" xr:uid="{00000000-0005-0000-0000-00002B4F0000}"/>
    <cellStyle name="Normal 10 2 4 2 4 3 2 2" xfId="28985" xr:uid="{00000000-0005-0000-0000-00002C4F0000}"/>
    <cellStyle name="Normal 10 2 4 2 4 3 2 2 2" xfId="56118" xr:uid="{00000000-0005-0000-0000-00002D4F0000}"/>
    <cellStyle name="Normal 10 2 4 2 4 3 2 3" xfId="42556" xr:uid="{00000000-0005-0000-0000-00002E4F0000}"/>
    <cellStyle name="Normal 10 2 4 2 4 3 3" xfId="22204" xr:uid="{00000000-0005-0000-0000-00002F4F0000}"/>
    <cellStyle name="Normal 10 2 4 2 4 3 3 2" xfId="49337" xr:uid="{00000000-0005-0000-0000-0000304F0000}"/>
    <cellStyle name="Normal 10 2 4 2 4 3 4" xfId="35775" xr:uid="{00000000-0005-0000-0000-0000314F0000}"/>
    <cellStyle name="Normal 10 2 4 2 4 4" xfId="12028" xr:uid="{00000000-0005-0000-0000-0000324F0000}"/>
    <cellStyle name="Normal 10 2 4 2 4 4 2" xfId="25596" xr:uid="{00000000-0005-0000-0000-0000334F0000}"/>
    <cellStyle name="Normal 10 2 4 2 4 4 2 2" xfId="52729" xr:uid="{00000000-0005-0000-0000-0000344F0000}"/>
    <cellStyle name="Normal 10 2 4 2 4 4 3" xfId="39167" xr:uid="{00000000-0005-0000-0000-0000354F0000}"/>
    <cellStyle name="Normal 10 2 4 2 4 5" xfId="18815" xr:uid="{00000000-0005-0000-0000-0000364F0000}"/>
    <cellStyle name="Normal 10 2 4 2 4 5 2" xfId="45948" xr:uid="{00000000-0005-0000-0000-0000374F0000}"/>
    <cellStyle name="Normal 10 2 4 2 4 6" xfId="32386" xr:uid="{00000000-0005-0000-0000-0000384F0000}"/>
    <cellStyle name="Normal 10 2 4 2 5" xfId="5069" xr:uid="{00000000-0005-0000-0000-0000394F0000}"/>
    <cellStyle name="Normal 10 2 4 2 5 2" xfId="8630" xr:uid="{00000000-0005-0000-0000-00003A4F0000}"/>
    <cellStyle name="Normal 10 2 4 2 5 2 2" xfId="15419" xr:uid="{00000000-0005-0000-0000-00003B4F0000}"/>
    <cellStyle name="Normal 10 2 4 2 5 2 2 2" xfId="28987" xr:uid="{00000000-0005-0000-0000-00003C4F0000}"/>
    <cellStyle name="Normal 10 2 4 2 5 2 2 2 2" xfId="56120" xr:uid="{00000000-0005-0000-0000-00003D4F0000}"/>
    <cellStyle name="Normal 10 2 4 2 5 2 2 3" xfId="42558" xr:uid="{00000000-0005-0000-0000-00003E4F0000}"/>
    <cellStyle name="Normal 10 2 4 2 5 2 3" xfId="22206" xr:uid="{00000000-0005-0000-0000-00003F4F0000}"/>
    <cellStyle name="Normal 10 2 4 2 5 2 3 2" xfId="49339" xr:uid="{00000000-0005-0000-0000-0000404F0000}"/>
    <cellStyle name="Normal 10 2 4 2 5 2 4" xfId="35777" xr:uid="{00000000-0005-0000-0000-0000414F0000}"/>
    <cellStyle name="Normal 10 2 4 2 5 3" xfId="12030" xr:uid="{00000000-0005-0000-0000-0000424F0000}"/>
    <cellStyle name="Normal 10 2 4 2 5 3 2" xfId="25598" xr:uid="{00000000-0005-0000-0000-0000434F0000}"/>
    <cellStyle name="Normal 10 2 4 2 5 3 2 2" xfId="52731" xr:uid="{00000000-0005-0000-0000-0000444F0000}"/>
    <cellStyle name="Normal 10 2 4 2 5 3 3" xfId="39169" xr:uid="{00000000-0005-0000-0000-0000454F0000}"/>
    <cellStyle name="Normal 10 2 4 2 5 4" xfId="18817" xr:uid="{00000000-0005-0000-0000-0000464F0000}"/>
    <cellStyle name="Normal 10 2 4 2 5 4 2" xfId="45950" xr:uid="{00000000-0005-0000-0000-0000474F0000}"/>
    <cellStyle name="Normal 10 2 4 2 5 5" xfId="32388" xr:uid="{00000000-0005-0000-0000-0000484F0000}"/>
    <cellStyle name="Normal 10 2 4 2 6" xfId="5070" xr:uid="{00000000-0005-0000-0000-0000494F0000}"/>
    <cellStyle name="Normal 10 2 4 2 6 2" xfId="8631" xr:uid="{00000000-0005-0000-0000-00004A4F0000}"/>
    <cellStyle name="Normal 10 2 4 2 6 2 2" xfId="15420" xr:uid="{00000000-0005-0000-0000-00004B4F0000}"/>
    <cellStyle name="Normal 10 2 4 2 6 2 2 2" xfId="28988" xr:uid="{00000000-0005-0000-0000-00004C4F0000}"/>
    <cellStyle name="Normal 10 2 4 2 6 2 2 2 2" xfId="56121" xr:uid="{00000000-0005-0000-0000-00004D4F0000}"/>
    <cellStyle name="Normal 10 2 4 2 6 2 2 3" xfId="42559" xr:uid="{00000000-0005-0000-0000-00004E4F0000}"/>
    <cellStyle name="Normal 10 2 4 2 6 2 3" xfId="22207" xr:uid="{00000000-0005-0000-0000-00004F4F0000}"/>
    <cellStyle name="Normal 10 2 4 2 6 2 3 2" xfId="49340" xr:uid="{00000000-0005-0000-0000-0000504F0000}"/>
    <cellStyle name="Normal 10 2 4 2 6 2 4" xfId="35778" xr:uid="{00000000-0005-0000-0000-0000514F0000}"/>
    <cellStyle name="Normal 10 2 4 2 6 3" xfId="12031" xr:uid="{00000000-0005-0000-0000-0000524F0000}"/>
    <cellStyle name="Normal 10 2 4 2 6 3 2" xfId="25599" xr:uid="{00000000-0005-0000-0000-0000534F0000}"/>
    <cellStyle name="Normal 10 2 4 2 6 3 2 2" xfId="52732" xr:uid="{00000000-0005-0000-0000-0000544F0000}"/>
    <cellStyle name="Normal 10 2 4 2 6 3 3" xfId="39170" xr:uid="{00000000-0005-0000-0000-0000554F0000}"/>
    <cellStyle name="Normal 10 2 4 2 6 4" xfId="18818" xr:uid="{00000000-0005-0000-0000-0000564F0000}"/>
    <cellStyle name="Normal 10 2 4 2 6 4 2" xfId="45951" xr:uid="{00000000-0005-0000-0000-0000574F0000}"/>
    <cellStyle name="Normal 10 2 4 2 6 5" xfId="32389" xr:uid="{00000000-0005-0000-0000-0000584F0000}"/>
    <cellStyle name="Normal 10 2 4 2 7" xfId="8616" xr:uid="{00000000-0005-0000-0000-0000594F0000}"/>
    <cellStyle name="Normal 10 2 4 2 7 2" xfId="15405" xr:uid="{00000000-0005-0000-0000-00005A4F0000}"/>
    <cellStyle name="Normal 10 2 4 2 7 2 2" xfId="28973" xr:uid="{00000000-0005-0000-0000-00005B4F0000}"/>
    <cellStyle name="Normal 10 2 4 2 7 2 2 2" xfId="56106" xr:uid="{00000000-0005-0000-0000-00005C4F0000}"/>
    <cellStyle name="Normal 10 2 4 2 7 2 3" xfId="42544" xr:uid="{00000000-0005-0000-0000-00005D4F0000}"/>
    <cellStyle name="Normal 10 2 4 2 7 3" xfId="22192" xr:uid="{00000000-0005-0000-0000-00005E4F0000}"/>
    <cellStyle name="Normal 10 2 4 2 7 3 2" xfId="49325" xr:uid="{00000000-0005-0000-0000-00005F4F0000}"/>
    <cellStyle name="Normal 10 2 4 2 7 4" xfId="35763" xr:uid="{00000000-0005-0000-0000-0000604F0000}"/>
    <cellStyle name="Normal 10 2 4 2 8" xfId="12016" xr:uid="{00000000-0005-0000-0000-0000614F0000}"/>
    <cellStyle name="Normal 10 2 4 2 8 2" xfId="25584" xr:uid="{00000000-0005-0000-0000-0000624F0000}"/>
    <cellStyle name="Normal 10 2 4 2 8 2 2" xfId="52717" xr:uid="{00000000-0005-0000-0000-0000634F0000}"/>
    <cellStyle name="Normal 10 2 4 2 8 3" xfId="39155" xr:uid="{00000000-0005-0000-0000-0000644F0000}"/>
    <cellStyle name="Normal 10 2 4 2 9" xfId="18803" xr:uid="{00000000-0005-0000-0000-0000654F0000}"/>
    <cellStyle name="Normal 10 2 4 2 9 2" xfId="45936" xr:uid="{00000000-0005-0000-0000-0000664F0000}"/>
    <cellStyle name="Normal 10 2 4 3" xfId="5071" xr:uid="{00000000-0005-0000-0000-0000674F0000}"/>
    <cellStyle name="Normal 10 2 4 3 2" xfId="5072" xr:uid="{00000000-0005-0000-0000-0000684F0000}"/>
    <cellStyle name="Normal 10 2 4 3 2 2" xfId="5073" xr:uid="{00000000-0005-0000-0000-0000694F0000}"/>
    <cellStyle name="Normal 10 2 4 3 2 2 2" xfId="8634" xr:uid="{00000000-0005-0000-0000-00006A4F0000}"/>
    <cellStyle name="Normal 10 2 4 3 2 2 2 2" xfId="15423" xr:uid="{00000000-0005-0000-0000-00006B4F0000}"/>
    <cellStyle name="Normal 10 2 4 3 2 2 2 2 2" xfId="28991" xr:uid="{00000000-0005-0000-0000-00006C4F0000}"/>
    <cellStyle name="Normal 10 2 4 3 2 2 2 2 2 2" xfId="56124" xr:uid="{00000000-0005-0000-0000-00006D4F0000}"/>
    <cellStyle name="Normal 10 2 4 3 2 2 2 2 3" xfId="42562" xr:uid="{00000000-0005-0000-0000-00006E4F0000}"/>
    <cellStyle name="Normal 10 2 4 3 2 2 2 3" xfId="22210" xr:uid="{00000000-0005-0000-0000-00006F4F0000}"/>
    <cellStyle name="Normal 10 2 4 3 2 2 2 3 2" xfId="49343" xr:uid="{00000000-0005-0000-0000-0000704F0000}"/>
    <cellStyle name="Normal 10 2 4 3 2 2 2 4" xfId="35781" xr:uid="{00000000-0005-0000-0000-0000714F0000}"/>
    <cellStyle name="Normal 10 2 4 3 2 2 3" xfId="12034" xr:uid="{00000000-0005-0000-0000-0000724F0000}"/>
    <cellStyle name="Normal 10 2 4 3 2 2 3 2" xfId="25602" xr:uid="{00000000-0005-0000-0000-0000734F0000}"/>
    <cellStyle name="Normal 10 2 4 3 2 2 3 2 2" xfId="52735" xr:uid="{00000000-0005-0000-0000-0000744F0000}"/>
    <cellStyle name="Normal 10 2 4 3 2 2 3 3" xfId="39173" xr:uid="{00000000-0005-0000-0000-0000754F0000}"/>
    <cellStyle name="Normal 10 2 4 3 2 2 4" xfId="18821" xr:uid="{00000000-0005-0000-0000-0000764F0000}"/>
    <cellStyle name="Normal 10 2 4 3 2 2 4 2" xfId="45954" xr:uid="{00000000-0005-0000-0000-0000774F0000}"/>
    <cellStyle name="Normal 10 2 4 3 2 2 5" xfId="32392" xr:uid="{00000000-0005-0000-0000-0000784F0000}"/>
    <cellStyle name="Normal 10 2 4 3 2 3" xfId="5074" xr:uid="{00000000-0005-0000-0000-0000794F0000}"/>
    <cellStyle name="Normal 10 2 4 3 2 3 2" xfId="8635" xr:uid="{00000000-0005-0000-0000-00007A4F0000}"/>
    <cellStyle name="Normal 10 2 4 3 2 3 2 2" xfId="15424" xr:uid="{00000000-0005-0000-0000-00007B4F0000}"/>
    <cellStyle name="Normal 10 2 4 3 2 3 2 2 2" xfId="28992" xr:uid="{00000000-0005-0000-0000-00007C4F0000}"/>
    <cellStyle name="Normal 10 2 4 3 2 3 2 2 2 2" xfId="56125" xr:uid="{00000000-0005-0000-0000-00007D4F0000}"/>
    <cellStyle name="Normal 10 2 4 3 2 3 2 2 3" xfId="42563" xr:uid="{00000000-0005-0000-0000-00007E4F0000}"/>
    <cellStyle name="Normal 10 2 4 3 2 3 2 3" xfId="22211" xr:uid="{00000000-0005-0000-0000-00007F4F0000}"/>
    <cellStyle name="Normal 10 2 4 3 2 3 2 3 2" xfId="49344" xr:uid="{00000000-0005-0000-0000-0000804F0000}"/>
    <cellStyle name="Normal 10 2 4 3 2 3 2 4" xfId="35782" xr:uid="{00000000-0005-0000-0000-0000814F0000}"/>
    <cellStyle name="Normal 10 2 4 3 2 3 3" xfId="12035" xr:uid="{00000000-0005-0000-0000-0000824F0000}"/>
    <cellStyle name="Normal 10 2 4 3 2 3 3 2" xfId="25603" xr:uid="{00000000-0005-0000-0000-0000834F0000}"/>
    <cellStyle name="Normal 10 2 4 3 2 3 3 2 2" xfId="52736" xr:uid="{00000000-0005-0000-0000-0000844F0000}"/>
    <cellStyle name="Normal 10 2 4 3 2 3 3 3" xfId="39174" xr:uid="{00000000-0005-0000-0000-0000854F0000}"/>
    <cellStyle name="Normal 10 2 4 3 2 3 4" xfId="18822" xr:uid="{00000000-0005-0000-0000-0000864F0000}"/>
    <cellStyle name="Normal 10 2 4 3 2 3 4 2" xfId="45955" xr:uid="{00000000-0005-0000-0000-0000874F0000}"/>
    <cellStyle name="Normal 10 2 4 3 2 3 5" xfId="32393" xr:uid="{00000000-0005-0000-0000-0000884F0000}"/>
    <cellStyle name="Normal 10 2 4 3 2 4" xfId="8633" xr:uid="{00000000-0005-0000-0000-0000894F0000}"/>
    <cellStyle name="Normal 10 2 4 3 2 4 2" xfId="15422" xr:uid="{00000000-0005-0000-0000-00008A4F0000}"/>
    <cellStyle name="Normal 10 2 4 3 2 4 2 2" xfId="28990" xr:uid="{00000000-0005-0000-0000-00008B4F0000}"/>
    <cellStyle name="Normal 10 2 4 3 2 4 2 2 2" xfId="56123" xr:uid="{00000000-0005-0000-0000-00008C4F0000}"/>
    <cellStyle name="Normal 10 2 4 3 2 4 2 3" xfId="42561" xr:uid="{00000000-0005-0000-0000-00008D4F0000}"/>
    <cellStyle name="Normal 10 2 4 3 2 4 3" xfId="22209" xr:uid="{00000000-0005-0000-0000-00008E4F0000}"/>
    <cellStyle name="Normal 10 2 4 3 2 4 3 2" xfId="49342" xr:uid="{00000000-0005-0000-0000-00008F4F0000}"/>
    <cellStyle name="Normal 10 2 4 3 2 4 4" xfId="35780" xr:uid="{00000000-0005-0000-0000-0000904F0000}"/>
    <cellStyle name="Normal 10 2 4 3 2 5" xfId="12033" xr:uid="{00000000-0005-0000-0000-0000914F0000}"/>
    <cellStyle name="Normal 10 2 4 3 2 5 2" xfId="25601" xr:uid="{00000000-0005-0000-0000-0000924F0000}"/>
    <cellStyle name="Normal 10 2 4 3 2 5 2 2" xfId="52734" xr:uid="{00000000-0005-0000-0000-0000934F0000}"/>
    <cellStyle name="Normal 10 2 4 3 2 5 3" xfId="39172" xr:uid="{00000000-0005-0000-0000-0000944F0000}"/>
    <cellStyle name="Normal 10 2 4 3 2 6" xfId="18820" xr:uid="{00000000-0005-0000-0000-0000954F0000}"/>
    <cellStyle name="Normal 10 2 4 3 2 6 2" xfId="45953" xr:uid="{00000000-0005-0000-0000-0000964F0000}"/>
    <cellStyle name="Normal 10 2 4 3 2 7" xfId="32391" xr:uid="{00000000-0005-0000-0000-0000974F0000}"/>
    <cellStyle name="Normal 10 2 4 3 3" xfId="5075" xr:uid="{00000000-0005-0000-0000-0000984F0000}"/>
    <cellStyle name="Normal 10 2 4 3 3 2" xfId="5076" xr:uid="{00000000-0005-0000-0000-0000994F0000}"/>
    <cellStyle name="Normal 10 2 4 3 3 2 2" xfId="8637" xr:uid="{00000000-0005-0000-0000-00009A4F0000}"/>
    <cellStyle name="Normal 10 2 4 3 3 2 2 2" xfId="15426" xr:uid="{00000000-0005-0000-0000-00009B4F0000}"/>
    <cellStyle name="Normal 10 2 4 3 3 2 2 2 2" xfId="28994" xr:uid="{00000000-0005-0000-0000-00009C4F0000}"/>
    <cellStyle name="Normal 10 2 4 3 3 2 2 2 2 2" xfId="56127" xr:uid="{00000000-0005-0000-0000-00009D4F0000}"/>
    <cellStyle name="Normal 10 2 4 3 3 2 2 2 3" xfId="42565" xr:uid="{00000000-0005-0000-0000-00009E4F0000}"/>
    <cellStyle name="Normal 10 2 4 3 3 2 2 3" xfId="22213" xr:uid="{00000000-0005-0000-0000-00009F4F0000}"/>
    <cellStyle name="Normal 10 2 4 3 3 2 2 3 2" xfId="49346" xr:uid="{00000000-0005-0000-0000-0000A04F0000}"/>
    <cellStyle name="Normal 10 2 4 3 3 2 2 4" xfId="35784" xr:uid="{00000000-0005-0000-0000-0000A14F0000}"/>
    <cellStyle name="Normal 10 2 4 3 3 2 3" xfId="12037" xr:uid="{00000000-0005-0000-0000-0000A24F0000}"/>
    <cellStyle name="Normal 10 2 4 3 3 2 3 2" xfId="25605" xr:uid="{00000000-0005-0000-0000-0000A34F0000}"/>
    <cellStyle name="Normal 10 2 4 3 3 2 3 2 2" xfId="52738" xr:uid="{00000000-0005-0000-0000-0000A44F0000}"/>
    <cellStyle name="Normal 10 2 4 3 3 2 3 3" xfId="39176" xr:uid="{00000000-0005-0000-0000-0000A54F0000}"/>
    <cellStyle name="Normal 10 2 4 3 3 2 4" xfId="18824" xr:uid="{00000000-0005-0000-0000-0000A64F0000}"/>
    <cellStyle name="Normal 10 2 4 3 3 2 4 2" xfId="45957" xr:uid="{00000000-0005-0000-0000-0000A74F0000}"/>
    <cellStyle name="Normal 10 2 4 3 3 2 5" xfId="32395" xr:uid="{00000000-0005-0000-0000-0000A84F0000}"/>
    <cellStyle name="Normal 10 2 4 3 3 3" xfId="8636" xr:uid="{00000000-0005-0000-0000-0000A94F0000}"/>
    <cellStyle name="Normal 10 2 4 3 3 3 2" xfId="15425" xr:uid="{00000000-0005-0000-0000-0000AA4F0000}"/>
    <cellStyle name="Normal 10 2 4 3 3 3 2 2" xfId="28993" xr:uid="{00000000-0005-0000-0000-0000AB4F0000}"/>
    <cellStyle name="Normal 10 2 4 3 3 3 2 2 2" xfId="56126" xr:uid="{00000000-0005-0000-0000-0000AC4F0000}"/>
    <cellStyle name="Normal 10 2 4 3 3 3 2 3" xfId="42564" xr:uid="{00000000-0005-0000-0000-0000AD4F0000}"/>
    <cellStyle name="Normal 10 2 4 3 3 3 3" xfId="22212" xr:uid="{00000000-0005-0000-0000-0000AE4F0000}"/>
    <cellStyle name="Normal 10 2 4 3 3 3 3 2" xfId="49345" xr:uid="{00000000-0005-0000-0000-0000AF4F0000}"/>
    <cellStyle name="Normal 10 2 4 3 3 3 4" xfId="35783" xr:uid="{00000000-0005-0000-0000-0000B04F0000}"/>
    <cellStyle name="Normal 10 2 4 3 3 4" xfId="12036" xr:uid="{00000000-0005-0000-0000-0000B14F0000}"/>
    <cellStyle name="Normal 10 2 4 3 3 4 2" xfId="25604" xr:uid="{00000000-0005-0000-0000-0000B24F0000}"/>
    <cellStyle name="Normal 10 2 4 3 3 4 2 2" xfId="52737" xr:uid="{00000000-0005-0000-0000-0000B34F0000}"/>
    <cellStyle name="Normal 10 2 4 3 3 4 3" xfId="39175" xr:uid="{00000000-0005-0000-0000-0000B44F0000}"/>
    <cellStyle name="Normal 10 2 4 3 3 5" xfId="18823" xr:uid="{00000000-0005-0000-0000-0000B54F0000}"/>
    <cellStyle name="Normal 10 2 4 3 3 5 2" xfId="45956" xr:uid="{00000000-0005-0000-0000-0000B64F0000}"/>
    <cellStyle name="Normal 10 2 4 3 3 6" xfId="32394" xr:uid="{00000000-0005-0000-0000-0000B74F0000}"/>
    <cellStyle name="Normal 10 2 4 3 4" xfId="5077" xr:uid="{00000000-0005-0000-0000-0000B84F0000}"/>
    <cellStyle name="Normal 10 2 4 3 4 2" xfId="8638" xr:uid="{00000000-0005-0000-0000-0000B94F0000}"/>
    <cellStyle name="Normal 10 2 4 3 4 2 2" xfId="15427" xr:uid="{00000000-0005-0000-0000-0000BA4F0000}"/>
    <cellStyle name="Normal 10 2 4 3 4 2 2 2" xfId="28995" xr:uid="{00000000-0005-0000-0000-0000BB4F0000}"/>
    <cellStyle name="Normal 10 2 4 3 4 2 2 2 2" xfId="56128" xr:uid="{00000000-0005-0000-0000-0000BC4F0000}"/>
    <cellStyle name="Normal 10 2 4 3 4 2 2 3" xfId="42566" xr:uid="{00000000-0005-0000-0000-0000BD4F0000}"/>
    <cellStyle name="Normal 10 2 4 3 4 2 3" xfId="22214" xr:uid="{00000000-0005-0000-0000-0000BE4F0000}"/>
    <cellStyle name="Normal 10 2 4 3 4 2 3 2" xfId="49347" xr:uid="{00000000-0005-0000-0000-0000BF4F0000}"/>
    <cellStyle name="Normal 10 2 4 3 4 2 4" xfId="35785" xr:uid="{00000000-0005-0000-0000-0000C04F0000}"/>
    <cellStyle name="Normal 10 2 4 3 4 3" xfId="12038" xr:uid="{00000000-0005-0000-0000-0000C14F0000}"/>
    <cellStyle name="Normal 10 2 4 3 4 3 2" xfId="25606" xr:uid="{00000000-0005-0000-0000-0000C24F0000}"/>
    <cellStyle name="Normal 10 2 4 3 4 3 2 2" xfId="52739" xr:uid="{00000000-0005-0000-0000-0000C34F0000}"/>
    <cellStyle name="Normal 10 2 4 3 4 3 3" xfId="39177" xr:uid="{00000000-0005-0000-0000-0000C44F0000}"/>
    <cellStyle name="Normal 10 2 4 3 4 4" xfId="18825" xr:uid="{00000000-0005-0000-0000-0000C54F0000}"/>
    <cellStyle name="Normal 10 2 4 3 4 4 2" xfId="45958" xr:uid="{00000000-0005-0000-0000-0000C64F0000}"/>
    <cellStyle name="Normal 10 2 4 3 4 5" xfId="32396" xr:uid="{00000000-0005-0000-0000-0000C74F0000}"/>
    <cellStyle name="Normal 10 2 4 3 5" xfId="5078" xr:uid="{00000000-0005-0000-0000-0000C84F0000}"/>
    <cellStyle name="Normal 10 2 4 3 5 2" xfId="8639" xr:uid="{00000000-0005-0000-0000-0000C94F0000}"/>
    <cellStyle name="Normal 10 2 4 3 5 2 2" xfId="15428" xr:uid="{00000000-0005-0000-0000-0000CA4F0000}"/>
    <cellStyle name="Normal 10 2 4 3 5 2 2 2" xfId="28996" xr:uid="{00000000-0005-0000-0000-0000CB4F0000}"/>
    <cellStyle name="Normal 10 2 4 3 5 2 2 2 2" xfId="56129" xr:uid="{00000000-0005-0000-0000-0000CC4F0000}"/>
    <cellStyle name="Normal 10 2 4 3 5 2 2 3" xfId="42567" xr:uid="{00000000-0005-0000-0000-0000CD4F0000}"/>
    <cellStyle name="Normal 10 2 4 3 5 2 3" xfId="22215" xr:uid="{00000000-0005-0000-0000-0000CE4F0000}"/>
    <cellStyle name="Normal 10 2 4 3 5 2 3 2" xfId="49348" xr:uid="{00000000-0005-0000-0000-0000CF4F0000}"/>
    <cellStyle name="Normal 10 2 4 3 5 2 4" xfId="35786" xr:uid="{00000000-0005-0000-0000-0000D04F0000}"/>
    <cellStyle name="Normal 10 2 4 3 5 3" xfId="12039" xr:uid="{00000000-0005-0000-0000-0000D14F0000}"/>
    <cellStyle name="Normal 10 2 4 3 5 3 2" xfId="25607" xr:uid="{00000000-0005-0000-0000-0000D24F0000}"/>
    <cellStyle name="Normal 10 2 4 3 5 3 2 2" xfId="52740" xr:uid="{00000000-0005-0000-0000-0000D34F0000}"/>
    <cellStyle name="Normal 10 2 4 3 5 3 3" xfId="39178" xr:uid="{00000000-0005-0000-0000-0000D44F0000}"/>
    <cellStyle name="Normal 10 2 4 3 5 4" xfId="18826" xr:uid="{00000000-0005-0000-0000-0000D54F0000}"/>
    <cellStyle name="Normal 10 2 4 3 5 4 2" xfId="45959" xr:uid="{00000000-0005-0000-0000-0000D64F0000}"/>
    <cellStyle name="Normal 10 2 4 3 5 5" xfId="32397" xr:uid="{00000000-0005-0000-0000-0000D74F0000}"/>
    <cellStyle name="Normal 10 2 4 3 6" xfId="8632" xr:uid="{00000000-0005-0000-0000-0000D84F0000}"/>
    <cellStyle name="Normal 10 2 4 3 6 2" xfId="15421" xr:uid="{00000000-0005-0000-0000-0000D94F0000}"/>
    <cellStyle name="Normal 10 2 4 3 6 2 2" xfId="28989" xr:uid="{00000000-0005-0000-0000-0000DA4F0000}"/>
    <cellStyle name="Normal 10 2 4 3 6 2 2 2" xfId="56122" xr:uid="{00000000-0005-0000-0000-0000DB4F0000}"/>
    <cellStyle name="Normal 10 2 4 3 6 2 3" xfId="42560" xr:uid="{00000000-0005-0000-0000-0000DC4F0000}"/>
    <cellStyle name="Normal 10 2 4 3 6 3" xfId="22208" xr:uid="{00000000-0005-0000-0000-0000DD4F0000}"/>
    <cellStyle name="Normal 10 2 4 3 6 3 2" xfId="49341" xr:uid="{00000000-0005-0000-0000-0000DE4F0000}"/>
    <cellStyle name="Normal 10 2 4 3 6 4" xfId="35779" xr:uid="{00000000-0005-0000-0000-0000DF4F0000}"/>
    <cellStyle name="Normal 10 2 4 3 7" xfId="12032" xr:uid="{00000000-0005-0000-0000-0000E04F0000}"/>
    <cellStyle name="Normal 10 2 4 3 7 2" xfId="25600" xr:uid="{00000000-0005-0000-0000-0000E14F0000}"/>
    <cellStyle name="Normal 10 2 4 3 7 2 2" xfId="52733" xr:uid="{00000000-0005-0000-0000-0000E24F0000}"/>
    <cellStyle name="Normal 10 2 4 3 7 3" xfId="39171" xr:uid="{00000000-0005-0000-0000-0000E34F0000}"/>
    <cellStyle name="Normal 10 2 4 3 8" xfId="18819" xr:uid="{00000000-0005-0000-0000-0000E44F0000}"/>
    <cellStyle name="Normal 10 2 4 3 8 2" xfId="45952" xr:uid="{00000000-0005-0000-0000-0000E54F0000}"/>
    <cellStyle name="Normal 10 2 4 3 9" xfId="32390" xr:uid="{00000000-0005-0000-0000-0000E64F0000}"/>
    <cellStyle name="Normal 10 2 4 4" xfId="5079" xr:uid="{00000000-0005-0000-0000-0000E74F0000}"/>
    <cellStyle name="Normal 10 2 4 4 2" xfId="5080" xr:uid="{00000000-0005-0000-0000-0000E84F0000}"/>
    <cellStyle name="Normal 10 2 4 4 2 2" xfId="5081" xr:uid="{00000000-0005-0000-0000-0000E94F0000}"/>
    <cellStyle name="Normal 10 2 4 4 2 2 2" xfId="8642" xr:uid="{00000000-0005-0000-0000-0000EA4F0000}"/>
    <cellStyle name="Normal 10 2 4 4 2 2 2 2" xfId="15431" xr:uid="{00000000-0005-0000-0000-0000EB4F0000}"/>
    <cellStyle name="Normal 10 2 4 4 2 2 2 2 2" xfId="28999" xr:uid="{00000000-0005-0000-0000-0000EC4F0000}"/>
    <cellStyle name="Normal 10 2 4 4 2 2 2 2 2 2" xfId="56132" xr:uid="{00000000-0005-0000-0000-0000ED4F0000}"/>
    <cellStyle name="Normal 10 2 4 4 2 2 2 2 3" xfId="42570" xr:uid="{00000000-0005-0000-0000-0000EE4F0000}"/>
    <cellStyle name="Normal 10 2 4 4 2 2 2 3" xfId="22218" xr:uid="{00000000-0005-0000-0000-0000EF4F0000}"/>
    <cellStyle name="Normal 10 2 4 4 2 2 2 3 2" xfId="49351" xr:uid="{00000000-0005-0000-0000-0000F04F0000}"/>
    <cellStyle name="Normal 10 2 4 4 2 2 2 4" xfId="35789" xr:uid="{00000000-0005-0000-0000-0000F14F0000}"/>
    <cellStyle name="Normal 10 2 4 4 2 2 3" xfId="12042" xr:uid="{00000000-0005-0000-0000-0000F24F0000}"/>
    <cellStyle name="Normal 10 2 4 4 2 2 3 2" xfId="25610" xr:uid="{00000000-0005-0000-0000-0000F34F0000}"/>
    <cellStyle name="Normal 10 2 4 4 2 2 3 2 2" xfId="52743" xr:uid="{00000000-0005-0000-0000-0000F44F0000}"/>
    <cellStyle name="Normal 10 2 4 4 2 2 3 3" xfId="39181" xr:uid="{00000000-0005-0000-0000-0000F54F0000}"/>
    <cellStyle name="Normal 10 2 4 4 2 2 4" xfId="18829" xr:uid="{00000000-0005-0000-0000-0000F64F0000}"/>
    <cellStyle name="Normal 10 2 4 4 2 2 4 2" xfId="45962" xr:uid="{00000000-0005-0000-0000-0000F74F0000}"/>
    <cellStyle name="Normal 10 2 4 4 2 2 5" xfId="32400" xr:uid="{00000000-0005-0000-0000-0000F84F0000}"/>
    <cellStyle name="Normal 10 2 4 4 2 3" xfId="5082" xr:uid="{00000000-0005-0000-0000-0000F94F0000}"/>
    <cellStyle name="Normal 10 2 4 4 2 3 2" xfId="8643" xr:uid="{00000000-0005-0000-0000-0000FA4F0000}"/>
    <cellStyle name="Normal 10 2 4 4 2 3 2 2" xfId="15432" xr:uid="{00000000-0005-0000-0000-0000FB4F0000}"/>
    <cellStyle name="Normal 10 2 4 4 2 3 2 2 2" xfId="29000" xr:uid="{00000000-0005-0000-0000-0000FC4F0000}"/>
    <cellStyle name="Normal 10 2 4 4 2 3 2 2 2 2" xfId="56133" xr:uid="{00000000-0005-0000-0000-0000FD4F0000}"/>
    <cellStyle name="Normal 10 2 4 4 2 3 2 2 3" xfId="42571" xr:uid="{00000000-0005-0000-0000-0000FE4F0000}"/>
    <cellStyle name="Normal 10 2 4 4 2 3 2 3" xfId="22219" xr:uid="{00000000-0005-0000-0000-0000FF4F0000}"/>
    <cellStyle name="Normal 10 2 4 4 2 3 2 3 2" xfId="49352" xr:uid="{00000000-0005-0000-0000-000000500000}"/>
    <cellStyle name="Normal 10 2 4 4 2 3 2 4" xfId="35790" xr:uid="{00000000-0005-0000-0000-000001500000}"/>
    <cellStyle name="Normal 10 2 4 4 2 3 3" xfId="12043" xr:uid="{00000000-0005-0000-0000-000002500000}"/>
    <cellStyle name="Normal 10 2 4 4 2 3 3 2" xfId="25611" xr:uid="{00000000-0005-0000-0000-000003500000}"/>
    <cellStyle name="Normal 10 2 4 4 2 3 3 2 2" xfId="52744" xr:uid="{00000000-0005-0000-0000-000004500000}"/>
    <cellStyle name="Normal 10 2 4 4 2 3 3 3" xfId="39182" xr:uid="{00000000-0005-0000-0000-000005500000}"/>
    <cellStyle name="Normal 10 2 4 4 2 3 4" xfId="18830" xr:uid="{00000000-0005-0000-0000-000006500000}"/>
    <cellStyle name="Normal 10 2 4 4 2 3 4 2" xfId="45963" xr:uid="{00000000-0005-0000-0000-000007500000}"/>
    <cellStyle name="Normal 10 2 4 4 2 3 5" xfId="32401" xr:uid="{00000000-0005-0000-0000-000008500000}"/>
    <cellStyle name="Normal 10 2 4 4 2 4" xfId="8641" xr:uid="{00000000-0005-0000-0000-000009500000}"/>
    <cellStyle name="Normal 10 2 4 4 2 4 2" xfId="15430" xr:uid="{00000000-0005-0000-0000-00000A500000}"/>
    <cellStyle name="Normal 10 2 4 4 2 4 2 2" xfId="28998" xr:uid="{00000000-0005-0000-0000-00000B500000}"/>
    <cellStyle name="Normal 10 2 4 4 2 4 2 2 2" xfId="56131" xr:uid="{00000000-0005-0000-0000-00000C500000}"/>
    <cellStyle name="Normal 10 2 4 4 2 4 2 3" xfId="42569" xr:uid="{00000000-0005-0000-0000-00000D500000}"/>
    <cellStyle name="Normal 10 2 4 4 2 4 3" xfId="22217" xr:uid="{00000000-0005-0000-0000-00000E500000}"/>
    <cellStyle name="Normal 10 2 4 4 2 4 3 2" xfId="49350" xr:uid="{00000000-0005-0000-0000-00000F500000}"/>
    <cellStyle name="Normal 10 2 4 4 2 4 4" xfId="35788" xr:uid="{00000000-0005-0000-0000-000010500000}"/>
    <cellStyle name="Normal 10 2 4 4 2 5" xfId="12041" xr:uid="{00000000-0005-0000-0000-000011500000}"/>
    <cellStyle name="Normal 10 2 4 4 2 5 2" xfId="25609" xr:uid="{00000000-0005-0000-0000-000012500000}"/>
    <cellStyle name="Normal 10 2 4 4 2 5 2 2" xfId="52742" xr:uid="{00000000-0005-0000-0000-000013500000}"/>
    <cellStyle name="Normal 10 2 4 4 2 5 3" xfId="39180" xr:uid="{00000000-0005-0000-0000-000014500000}"/>
    <cellStyle name="Normal 10 2 4 4 2 6" xfId="18828" xr:uid="{00000000-0005-0000-0000-000015500000}"/>
    <cellStyle name="Normal 10 2 4 4 2 6 2" xfId="45961" xr:uid="{00000000-0005-0000-0000-000016500000}"/>
    <cellStyle name="Normal 10 2 4 4 2 7" xfId="32399" xr:uid="{00000000-0005-0000-0000-000017500000}"/>
    <cellStyle name="Normal 10 2 4 4 3" xfId="5083" xr:uid="{00000000-0005-0000-0000-000018500000}"/>
    <cellStyle name="Normal 10 2 4 4 3 2" xfId="8644" xr:uid="{00000000-0005-0000-0000-000019500000}"/>
    <cellStyle name="Normal 10 2 4 4 3 2 2" xfId="15433" xr:uid="{00000000-0005-0000-0000-00001A500000}"/>
    <cellStyle name="Normal 10 2 4 4 3 2 2 2" xfId="29001" xr:uid="{00000000-0005-0000-0000-00001B500000}"/>
    <cellStyle name="Normal 10 2 4 4 3 2 2 2 2" xfId="56134" xr:uid="{00000000-0005-0000-0000-00001C500000}"/>
    <cellStyle name="Normal 10 2 4 4 3 2 2 3" xfId="42572" xr:uid="{00000000-0005-0000-0000-00001D500000}"/>
    <cellStyle name="Normal 10 2 4 4 3 2 3" xfId="22220" xr:uid="{00000000-0005-0000-0000-00001E500000}"/>
    <cellStyle name="Normal 10 2 4 4 3 2 3 2" xfId="49353" xr:uid="{00000000-0005-0000-0000-00001F500000}"/>
    <cellStyle name="Normal 10 2 4 4 3 2 4" xfId="35791" xr:uid="{00000000-0005-0000-0000-000020500000}"/>
    <cellStyle name="Normal 10 2 4 4 3 3" xfId="12044" xr:uid="{00000000-0005-0000-0000-000021500000}"/>
    <cellStyle name="Normal 10 2 4 4 3 3 2" xfId="25612" xr:uid="{00000000-0005-0000-0000-000022500000}"/>
    <cellStyle name="Normal 10 2 4 4 3 3 2 2" xfId="52745" xr:uid="{00000000-0005-0000-0000-000023500000}"/>
    <cellStyle name="Normal 10 2 4 4 3 3 3" xfId="39183" xr:uid="{00000000-0005-0000-0000-000024500000}"/>
    <cellStyle name="Normal 10 2 4 4 3 4" xfId="18831" xr:uid="{00000000-0005-0000-0000-000025500000}"/>
    <cellStyle name="Normal 10 2 4 4 3 4 2" xfId="45964" xr:uid="{00000000-0005-0000-0000-000026500000}"/>
    <cellStyle name="Normal 10 2 4 4 3 5" xfId="32402" xr:uid="{00000000-0005-0000-0000-000027500000}"/>
    <cellStyle name="Normal 10 2 4 4 4" xfId="5084" xr:uid="{00000000-0005-0000-0000-000028500000}"/>
    <cellStyle name="Normal 10 2 4 4 4 2" xfId="8645" xr:uid="{00000000-0005-0000-0000-000029500000}"/>
    <cellStyle name="Normal 10 2 4 4 4 2 2" xfId="15434" xr:uid="{00000000-0005-0000-0000-00002A500000}"/>
    <cellStyle name="Normal 10 2 4 4 4 2 2 2" xfId="29002" xr:uid="{00000000-0005-0000-0000-00002B500000}"/>
    <cellStyle name="Normal 10 2 4 4 4 2 2 2 2" xfId="56135" xr:uid="{00000000-0005-0000-0000-00002C500000}"/>
    <cellStyle name="Normal 10 2 4 4 4 2 2 3" xfId="42573" xr:uid="{00000000-0005-0000-0000-00002D500000}"/>
    <cellStyle name="Normal 10 2 4 4 4 2 3" xfId="22221" xr:uid="{00000000-0005-0000-0000-00002E500000}"/>
    <cellStyle name="Normal 10 2 4 4 4 2 3 2" xfId="49354" xr:uid="{00000000-0005-0000-0000-00002F500000}"/>
    <cellStyle name="Normal 10 2 4 4 4 2 4" xfId="35792" xr:uid="{00000000-0005-0000-0000-000030500000}"/>
    <cellStyle name="Normal 10 2 4 4 4 3" xfId="12045" xr:uid="{00000000-0005-0000-0000-000031500000}"/>
    <cellStyle name="Normal 10 2 4 4 4 3 2" xfId="25613" xr:uid="{00000000-0005-0000-0000-000032500000}"/>
    <cellStyle name="Normal 10 2 4 4 4 3 2 2" xfId="52746" xr:uid="{00000000-0005-0000-0000-000033500000}"/>
    <cellStyle name="Normal 10 2 4 4 4 3 3" xfId="39184" xr:uid="{00000000-0005-0000-0000-000034500000}"/>
    <cellStyle name="Normal 10 2 4 4 4 4" xfId="18832" xr:uid="{00000000-0005-0000-0000-000035500000}"/>
    <cellStyle name="Normal 10 2 4 4 4 4 2" xfId="45965" xr:uid="{00000000-0005-0000-0000-000036500000}"/>
    <cellStyle name="Normal 10 2 4 4 4 5" xfId="32403" xr:uid="{00000000-0005-0000-0000-000037500000}"/>
    <cellStyle name="Normal 10 2 4 4 5" xfId="8640" xr:uid="{00000000-0005-0000-0000-000038500000}"/>
    <cellStyle name="Normal 10 2 4 4 5 2" xfId="15429" xr:uid="{00000000-0005-0000-0000-000039500000}"/>
    <cellStyle name="Normal 10 2 4 4 5 2 2" xfId="28997" xr:uid="{00000000-0005-0000-0000-00003A500000}"/>
    <cellStyle name="Normal 10 2 4 4 5 2 2 2" xfId="56130" xr:uid="{00000000-0005-0000-0000-00003B500000}"/>
    <cellStyle name="Normal 10 2 4 4 5 2 3" xfId="42568" xr:uid="{00000000-0005-0000-0000-00003C500000}"/>
    <cellStyle name="Normal 10 2 4 4 5 3" xfId="22216" xr:uid="{00000000-0005-0000-0000-00003D500000}"/>
    <cellStyle name="Normal 10 2 4 4 5 3 2" xfId="49349" xr:uid="{00000000-0005-0000-0000-00003E500000}"/>
    <cellStyle name="Normal 10 2 4 4 5 4" xfId="35787" xr:uid="{00000000-0005-0000-0000-00003F500000}"/>
    <cellStyle name="Normal 10 2 4 4 6" xfId="12040" xr:uid="{00000000-0005-0000-0000-000040500000}"/>
    <cellStyle name="Normal 10 2 4 4 6 2" xfId="25608" xr:uid="{00000000-0005-0000-0000-000041500000}"/>
    <cellStyle name="Normal 10 2 4 4 6 2 2" xfId="52741" xr:uid="{00000000-0005-0000-0000-000042500000}"/>
    <cellStyle name="Normal 10 2 4 4 6 3" xfId="39179" xr:uid="{00000000-0005-0000-0000-000043500000}"/>
    <cellStyle name="Normal 10 2 4 4 7" xfId="18827" xr:uid="{00000000-0005-0000-0000-000044500000}"/>
    <cellStyle name="Normal 10 2 4 4 7 2" xfId="45960" xr:uid="{00000000-0005-0000-0000-000045500000}"/>
    <cellStyle name="Normal 10 2 4 4 8" xfId="32398" xr:uid="{00000000-0005-0000-0000-000046500000}"/>
    <cellStyle name="Normal 10 2 4 5" xfId="5085" xr:uid="{00000000-0005-0000-0000-000047500000}"/>
    <cellStyle name="Normal 10 2 4 5 2" xfId="5086" xr:uid="{00000000-0005-0000-0000-000048500000}"/>
    <cellStyle name="Normal 10 2 4 5 2 2" xfId="5087" xr:uid="{00000000-0005-0000-0000-000049500000}"/>
    <cellStyle name="Normal 10 2 4 5 2 2 2" xfId="8648" xr:uid="{00000000-0005-0000-0000-00004A500000}"/>
    <cellStyle name="Normal 10 2 4 5 2 2 2 2" xfId="15437" xr:uid="{00000000-0005-0000-0000-00004B500000}"/>
    <cellStyle name="Normal 10 2 4 5 2 2 2 2 2" xfId="29005" xr:uid="{00000000-0005-0000-0000-00004C500000}"/>
    <cellStyle name="Normal 10 2 4 5 2 2 2 2 2 2" xfId="56138" xr:uid="{00000000-0005-0000-0000-00004D500000}"/>
    <cellStyle name="Normal 10 2 4 5 2 2 2 2 3" xfId="42576" xr:uid="{00000000-0005-0000-0000-00004E500000}"/>
    <cellStyle name="Normal 10 2 4 5 2 2 2 3" xfId="22224" xr:uid="{00000000-0005-0000-0000-00004F500000}"/>
    <cellStyle name="Normal 10 2 4 5 2 2 2 3 2" xfId="49357" xr:uid="{00000000-0005-0000-0000-000050500000}"/>
    <cellStyle name="Normal 10 2 4 5 2 2 2 4" xfId="35795" xr:uid="{00000000-0005-0000-0000-000051500000}"/>
    <cellStyle name="Normal 10 2 4 5 2 2 3" xfId="12048" xr:uid="{00000000-0005-0000-0000-000052500000}"/>
    <cellStyle name="Normal 10 2 4 5 2 2 3 2" xfId="25616" xr:uid="{00000000-0005-0000-0000-000053500000}"/>
    <cellStyle name="Normal 10 2 4 5 2 2 3 2 2" xfId="52749" xr:uid="{00000000-0005-0000-0000-000054500000}"/>
    <cellStyle name="Normal 10 2 4 5 2 2 3 3" xfId="39187" xr:uid="{00000000-0005-0000-0000-000055500000}"/>
    <cellStyle name="Normal 10 2 4 5 2 2 4" xfId="18835" xr:uid="{00000000-0005-0000-0000-000056500000}"/>
    <cellStyle name="Normal 10 2 4 5 2 2 4 2" xfId="45968" xr:uid="{00000000-0005-0000-0000-000057500000}"/>
    <cellStyle name="Normal 10 2 4 5 2 2 5" xfId="32406" xr:uid="{00000000-0005-0000-0000-000058500000}"/>
    <cellStyle name="Normal 10 2 4 5 2 3" xfId="5088" xr:uid="{00000000-0005-0000-0000-000059500000}"/>
    <cellStyle name="Normal 10 2 4 5 2 3 2" xfId="8649" xr:uid="{00000000-0005-0000-0000-00005A500000}"/>
    <cellStyle name="Normal 10 2 4 5 2 3 2 2" xfId="15438" xr:uid="{00000000-0005-0000-0000-00005B500000}"/>
    <cellStyle name="Normal 10 2 4 5 2 3 2 2 2" xfId="29006" xr:uid="{00000000-0005-0000-0000-00005C500000}"/>
    <cellStyle name="Normal 10 2 4 5 2 3 2 2 2 2" xfId="56139" xr:uid="{00000000-0005-0000-0000-00005D500000}"/>
    <cellStyle name="Normal 10 2 4 5 2 3 2 2 3" xfId="42577" xr:uid="{00000000-0005-0000-0000-00005E500000}"/>
    <cellStyle name="Normal 10 2 4 5 2 3 2 3" xfId="22225" xr:uid="{00000000-0005-0000-0000-00005F500000}"/>
    <cellStyle name="Normal 10 2 4 5 2 3 2 3 2" xfId="49358" xr:uid="{00000000-0005-0000-0000-000060500000}"/>
    <cellStyle name="Normal 10 2 4 5 2 3 2 4" xfId="35796" xr:uid="{00000000-0005-0000-0000-000061500000}"/>
    <cellStyle name="Normal 10 2 4 5 2 3 3" xfId="12049" xr:uid="{00000000-0005-0000-0000-000062500000}"/>
    <cellStyle name="Normal 10 2 4 5 2 3 3 2" xfId="25617" xr:uid="{00000000-0005-0000-0000-000063500000}"/>
    <cellStyle name="Normal 10 2 4 5 2 3 3 2 2" xfId="52750" xr:uid="{00000000-0005-0000-0000-000064500000}"/>
    <cellStyle name="Normal 10 2 4 5 2 3 3 3" xfId="39188" xr:uid="{00000000-0005-0000-0000-000065500000}"/>
    <cellStyle name="Normal 10 2 4 5 2 3 4" xfId="18836" xr:uid="{00000000-0005-0000-0000-000066500000}"/>
    <cellStyle name="Normal 10 2 4 5 2 3 4 2" xfId="45969" xr:uid="{00000000-0005-0000-0000-000067500000}"/>
    <cellStyle name="Normal 10 2 4 5 2 3 5" xfId="32407" xr:uid="{00000000-0005-0000-0000-000068500000}"/>
    <cellStyle name="Normal 10 2 4 5 2 4" xfId="8647" xr:uid="{00000000-0005-0000-0000-000069500000}"/>
    <cellStyle name="Normal 10 2 4 5 2 4 2" xfId="15436" xr:uid="{00000000-0005-0000-0000-00006A500000}"/>
    <cellStyle name="Normal 10 2 4 5 2 4 2 2" xfId="29004" xr:uid="{00000000-0005-0000-0000-00006B500000}"/>
    <cellStyle name="Normal 10 2 4 5 2 4 2 2 2" xfId="56137" xr:uid="{00000000-0005-0000-0000-00006C500000}"/>
    <cellStyle name="Normal 10 2 4 5 2 4 2 3" xfId="42575" xr:uid="{00000000-0005-0000-0000-00006D500000}"/>
    <cellStyle name="Normal 10 2 4 5 2 4 3" xfId="22223" xr:uid="{00000000-0005-0000-0000-00006E500000}"/>
    <cellStyle name="Normal 10 2 4 5 2 4 3 2" xfId="49356" xr:uid="{00000000-0005-0000-0000-00006F500000}"/>
    <cellStyle name="Normal 10 2 4 5 2 4 4" xfId="35794" xr:uid="{00000000-0005-0000-0000-000070500000}"/>
    <cellStyle name="Normal 10 2 4 5 2 5" xfId="12047" xr:uid="{00000000-0005-0000-0000-000071500000}"/>
    <cellStyle name="Normal 10 2 4 5 2 5 2" xfId="25615" xr:uid="{00000000-0005-0000-0000-000072500000}"/>
    <cellStyle name="Normal 10 2 4 5 2 5 2 2" xfId="52748" xr:uid="{00000000-0005-0000-0000-000073500000}"/>
    <cellStyle name="Normal 10 2 4 5 2 5 3" xfId="39186" xr:uid="{00000000-0005-0000-0000-000074500000}"/>
    <cellStyle name="Normal 10 2 4 5 2 6" xfId="18834" xr:uid="{00000000-0005-0000-0000-000075500000}"/>
    <cellStyle name="Normal 10 2 4 5 2 6 2" xfId="45967" xr:uid="{00000000-0005-0000-0000-000076500000}"/>
    <cellStyle name="Normal 10 2 4 5 2 7" xfId="32405" xr:uid="{00000000-0005-0000-0000-000077500000}"/>
    <cellStyle name="Normal 10 2 4 5 3" xfId="5089" xr:uid="{00000000-0005-0000-0000-000078500000}"/>
    <cellStyle name="Normal 10 2 4 5 3 2" xfId="8650" xr:uid="{00000000-0005-0000-0000-000079500000}"/>
    <cellStyle name="Normal 10 2 4 5 3 2 2" xfId="15439" xr:uid="{00000000-0005-0000-0000-00007A500000}"/>
    <cellStyle name="Normal 10 2 4 5 3 2 2 2" xfId="29007" xr:uid="{00000000-0005-0000-0000-00007B500000}"/>
    <cellStyle name="Normal 10 2 4 5 3 2 2 2 2" xfId="56140" xr:uid="{00000000-0005-0000-0000-00007C500000}"/>
    <cellStyle name="Normal 10 2 4 5 3 2 2 3" xfId="42578" xr:uid="{00000000-0005-0000-0000-00007D500000}"/>
    <cellStyle name="Normal 10 2 4 5 3 2 3" xfId="22226" xr:uid="{00000000-0005-0000-0000-00007E500000}"/>
    <cellStyle name="Normal 10 2 4 5 3 2 3 2" xfId="49359" xr:uid="{00000000-0005-0000-0000-00007F500000}"/>
    <cellStyle name="Normal 10 2 4 5 3 2 4" xfId="35797" xr:uid="{00000000-0005-0000-0000-000080500000}"/>
    <cellStyle name="Normal 10 2 4 5 3 3" xfId="12050" xr:uid="{00000000-0005-0000-0000-000081500000}"/>
    <cellStyle name="Normal 10 2 4 5 3 3 2" xfId="25618" xr:uid="{00000000-0005-0000-0000-000082500000}"/>
    <cellStyle name="Normal 10 2 4 5 3 3 2 2" xfId="52751" xr:uid="{00000000-0005-0000-0000-000083500000}"/>
    <cellStyle name="Normal 10 2 4 5 3 3 3" xfId="39189" xr:uid="{00000000-0005-0000-0000-000084500000}"/>
    <cellStyle name="Normal 10 2 4 5 3 4" xfId="18837" xr:uid="{00000000-0005-0000-0000-000085500000}"/>
    <cellStyle name="Normal 10 2 4 5 3 4 2" xfId="45970" xr:uid="{00000000-0005-0000-0000-000086500000}"/>
    <cellStyle name="Normal 10 2 4 5 3 5" xfId="32408" xr:uid="{00000000-0005-0000-0000-000087500000}"/>
    <cellStyle name="Normal 10 2 4 5 4" xfId="5090" xr:uid="{00000000-0005-0000-0000-000088500000}"/>
    <cellStyle name="Normal 10 2 4 5 4 2" xfId="8651" xr:uid="{00000000-0005-0000-0000-000089500000}"/>
    <cellStyle name="Normal 10 2 4 5 4 2 2" xfId="15440" xr:uid="{00000000-0005-0000-0000-00008A500000}"/>
    <cellStyle name="Normal 10 2 4 5 4 2 2 2" xfId="29008" xr:uid="{00000000-0005-0000-0000-00008B500000}"/>
    <cellStyle name="Normal 10 2 4 5 4 2 2 2 2" xfId="56141" xr:uid="{00000000-0005-0000-0000-00008C500000}"/>
    <cellStyle name="Normal 10 2 4 5 4 2 2 3" xfId="42579" xr:uid="{00000000-0005-0000-0000-00008D500000}"/>
    <cellStyle name="Normal 10 2 4 5 4 2 3" xfId="22227" xr:uid="{00000000-0005-0000-0000-00008E500000}"/>
    <cellStyle name="Normal 10 2 4 5 4 2 3 2" xfId="49360" xr:uid="{00000000-0005-0000-0000-00008F500000}"/>
    <cellStyle name="Normal 10 2 4 5 4 2 4" xfId="35798" xr:uid="{00000000-0005-0000-0000-000090500000}"/>
    <cellStyle name="Normal 10 2 4 5 4 3" xfId="12051" xr:uid="{00000000-0005-0000-0000-000091500000}"/>
    <cellStyle name="Normal 10 2 4 5 4 3 2" xfId="25619" xr:uid="{00000000-0005-0000-0000-000092500000}"/>
    <cellStyle name="Normal 10 2 4 5 4 3 2 2" xfId="52752" xr:uid="{00000000-0005-0000-0000-000093500000}"/>
    <cellStyle name="Normal 10 2 4 5 4 3 3" xfId="39190" xr:uid="{00000000-0005-0000-0000-000094500000}"/>
    <cellStyle name="Normal 10 2 4 5 4 4" xfId="18838" xr:uid="{00000000-0005-0000-0000-000095500000}"/>
    <cellStyle name="Normal 10 2 4 5 4 4 2" xfId="45971" xr:uid="{00000000-0005-0000-0000-000096500000}"/>
    <cellStyle name="Normal 10 2 4 5 4 5" xfId="32409" xr:uid="{00000000-0005-0000-0000-000097500000}"/>
    <cellStyle name="Normal 10 2 4 5 5" xfId="8646" xr:uid="{00000000-0005-0000-0000-000098500000}"/>
    <cellStyle name="Normal 10 2 4 5 5 2" xfId="15435" xr:uid="{00000000-0005-0000-0000-000099500000}"/>
    <cellStyle name="Normal 10 2 4 5 5 2 2" xfId="29003" xr:uid="{00000000-0005-0000-0000-00009A500000}"/>
    <cellStyle name="Normal 10 2 4 5 5 2 2 2" xfId="56136" xr:uid="{00000000-0005-0000-0000-00009B500000}"/>
    <cellStyle name="Normal 10 2 4 5 5 2 3" xfId="42574" xr:uid="{00000000-0005-0000-0000-00009C500000}"/>
    <cellStyle name="Normal 10 2 4 5 5 3" xfId="22222" xr:uid="{00000000-0005-0000-0000-00009D500000}"/>
    <cellStyle name="Normal 10 2 4 5 5 3 2" xfId="49355" xr:uid="{00000000-0005-0000-0000-00009E500000}"/>
    <cellStyle name="Normal 10 2 4 5 5 4" xfId="35793" xr:uid="{00000000-0005-0000-0000-00009F500000}"/>
    <cellStyle name="Normal 10 2 4 5 6" xfId="12046" xr:uid="{00000000-0005-0000-0000-0000A0500000}"/>
    <cellStyle name="Normal 10 2 4 5 6 2" xfId="25614" xr:uid="{00000000-0005-0000-0000-0000A1500000}"/>
    <cellStyle name="Normal 10 2 4 5 6 2 2" xfId="52747" xr:uid="{00000000-0005-0000-0000-0000A2500000}"/>
    <cellStyle name="Normal 10 2 4 5 6 3" xfId="39185" xr:uid="{00000000-0005-0000-0000-0000A3500000}"/>
    <cellStyle name="Normal 10 2 4 5 7" xfId="18833" xr:uid="{00000000-0005-0000-0000-0000A4500000}"/>
    <cellStyle name="Normal 10 2 4 5 7 2" xfId="45966" xr:uid="{00000000-0005-0000-0000-0000A5500000}"/>
    <cellStyle name="Normal 10 2 4 5 8" xfId="32404" xr:uid="{00000000-0005-0000-0000-0000A6500000}"/>
    <cellStyle name="Normal 10 2 4 6" xfId="5091" xr:uid="{00000000-0005-0000-0000-0000A7500000}"/>
    <cellStyle name="Normal 10 2 4 6 2" xfId="5092" xr:uid="{00000000-0005-0000-0000-0000A8500000}"/>
    <cellStyle name="Normal 10 2 4 6 2 2" xfId="8653" xr:uid="{00000000-0005-0000-0000-0000A9500000}"/>
    <cellStyle name="Normal 10 2 4 6 2 2 2" xfId="15442" xr:uid="{00000000-0005-0000-0000-0000AA500000}"/>
    <cellStyle name="Normal 10 2 4 6 2 2 2 2" xfId="29010" xr:uid="{00000000-0005-0000-0000-0000AB500000}"/>
    <cellStyle name="Normal 10 2 4 6 2 2 2 2 2" xfId="56143" xr:uid="{00000000-0005-0000-0000-0000AC500000}"/>
    <cellStyle name="Normal 10 2 4 6 2 2 2 3" xfId="42581" xr:uid="{00000000-0005-0000-0000-0000AD500000}"/>
    <cellStyle name="Normal 10 2 4 6 2 2 3" xfId="22229" xr:uid="{00000000-0005-0000-0000-0000AE500000}"/>
    <cellStyle name="Normal 10 2 4 6 2 2 3 2" xfId="49362" xr:uid="{00000000-0005-0000-0000-0000AF500000}"/>
    <cellStyle name="Normal 10 2 4 6 2 2 4" xfId="35800" xr:uid="{00000000-0005-0000-0000-0000B0500000}"/>
    <cellStyle name="Normal 10 2 4 6 2 3" xfId="12053" xr:uid="{00000000-0005-0000-0000-0000B1500000}"/>
    <cellStyle name="Normal 10 2 4 6 2 3 2" xfId="25621" xr:uid="{00000000-0005-0000-0000-0000B2500000}"/>
    <cellStyle name="Normal 10 2 4 6 2 3 2 2" xfId="52754" xr:uid="{00000000-0005-0000-0000-0000B3500000}"/>
    <cellStyle name="Normal 10 2 4 6 2 3 3" xfId="39192" xr:uid="{00000000-0005-0000-0000-0000B4500000}"/>
    <cellStyle name="Normal 10 2 4 6 2 4" xfId="18840" xr:uid="{00000000-0005-0000-0000-0000B5500000}"/>
    <cellStyle name="Normal 10 2 4 6 2 4 2" xfId="45973" xr:uid="{00000000-0005-0000-0000-0000B6500000}"/>
    <cellStyle name="Normal 10 2 4 6 2 5" xfId="32411" xr:uid="{00000000-0005-0000-0000-0000B7500000}"/>
    <cellStyle name="Normal 10 2 4 6 3" xfId="5093" xr:uid="{00000000-0005-0000-0000-0000B8500000}"/>
    <cellStyle name="Normal 10 2 4 6 3 2" xfId="8654" xr:uid="{00000000-0005-0000-0000-0000B9500000}"/>
    <cellStyle name="Normal 10 2 4 6 3 2 2" xfId="15443" xr:uid="{00000000-0005-0000-0000-0000BA500000}"/>
    <cellStyle name="Normal 10 2 4 6 3 2 2 2" xfId="29011" xr:uid="{00000000-0005-0000-0000-0000BB500000}"/>
    <cellStyle name="Normal 10 2 4 6 3 2 2 2 2" xfId="56144" xr:uid="{00000000-0005-0000-0000-0000BC500000}"/>
    <cellStyle name="Normal 10 2 4 6 3 2 2 3" xfId="42582" xr:uid="{00000000-0005-0000-0000-0000BD500000}"/>
    <cellStyle name="Normal 10 2 4 6 3 2 3" xfId="22230" xr:uid="{00000000-0005-0000-0000-0000BE500000}"/>
    <cellStyle name="Normal 10 2 4 6 3 2 3 2" xfId="49363" xr:uid="{00000000-0005-0000-0000-0000BF500000}"/>
    <cellStyle name="Normal 10 2 4 6 3 2 4" xfId="35801" xr:uid="{00000000-0005-0000-0000-0000C0500000}"/>
    <cellStyle name="Normal 10 2 4 6 3 3" xfId="12054" xr:uid="{00000000-0005-0000-0000-0000C1500000}"/>
    <cellStyle name="Normal 10 2 4 6 3 3 2" xfId="25622" xr:uid="{00000000-0005-0000-0000-0000C2500000}"/>
    <cellStyle name="Normal 10 2 4 6 3 3 2 2" xfId="52755" xr:uid="{00000000-0005-0000-0000-0000C3500000}"/>
    <cellStyle name="Normal 10 2 4 6 3 3 3" xfId="39193" xr:uid="{00000000-0005-0000-0000-0000C4500000}"/>
    <cellStyle name="Normal 10 2 4 6 3 4" xfId="18841" xr:uid="{00000000-0005-0000-0000-0000C5500000}"/>
    <cellStyle name="Normal 10 2 4 6 3 4 2" xfId="45974" xr:uid="{00000000-0005-0000-0000-0000C6500000}"/>
    <cellStyle name="Normal 10 2 4 6 3 5" xfId="32412" xr:uid="{00000000-0005-0000-0000-0000C7500000}"/>
    <cellStyle name="Normal 10 2 4 6 4" xfId="8652" xr:uid="{00000000-0005-0000-0000-0000C8500000}"/>
    <cellStyle name="Normal 10 2 4 6 4 2" xfId="15441" xr:uid="{00000000-0005-0000-0000-0000C9500000}"/>
    <cellStyle name="Normal 10 2 4 6 4 2 2" xfId="29009" xr:uid="{00000000-0005-0000-0000-0000CA500000}"/>
    <cellStyle name="Normal 10 2 4 6 4 2 2 2" xfId="56142" xr:uid="{00000000-0005-0000-0000-0000CB500000}"/>
    <cellStyle name="Normal 10 2 4 6 4 2 3" xfId="42580" xr:uid="{00000000-0005-0000-0000-0000CC500000}"/>
    <cellStyle name="Normal 10 2 4 6 4 3" xfId="22228" xr:uid="{00000000-0005-0000-0000-0000CD500000}"/>
    <cellStyle name="Normal 10 2 4 6 4 3 2" xfId="49361" xr:uid="{00000000-0005-0000-0000-0000CE500000}"/>
    <cellStyle name="Normal 10 2 4 6 4 4" xfId="35799" xr:uid="{00000000-0005-0000-0000-0000CF500000}"/>
    <cellStyle name="Normal 10 2 4 6 5" xfId="12052" xr:uid="{00000000-0005-0000-0000-0000D0500000}"/>
    <cellStyle name="Normal 10 2 4 6 5 2" xfId="25620" xr:uid="{00000000-0005-0000-0000-0000D1500000}"/>
    <cellStyle name="Normal 10 2 4 6 5 2 2" xfId="52753" xr:uid="{00000000-0005-0000-0000-0000D2500000}"/>
    <cellStyle name="Normal 10 2 4 6 5 3" xfId="39191" xr:uid="{00000000-0005-0000-0000-0000D3500000}"/>
    <cellStyle name="Normal 10 2 4 6 6" xfId="18839" xr:uid="{00000000-0005-0000-0000-0000D4500000}"/>
    <cellStyle name="Normal 10 2 4 6 6 2" xfId="45972" xr:uid="{00000000-0005-0000-0000-0000D5500000}"/>
    <cellStyle name="Normal 10 2 4 6 7" xfId="32410" xr:uid="{00000000-0005-0000-0000-0000D6500000}"/>
    <cellStyle name="Normal 10 2 4 7" xfId="5094" xr:uid="{00000000-0005-0000-0000-0000D7500000}"/>
    <cellStyle name="Normal 10 2 4 7 2" xfId="5095" xr:uid="{00000000-0005-0000-0000-0000D8500000}"/>
    <cellStyle name="Normal 10 2 4 7 2 2" xfId="8656" xr:uid="{00000000-0005-0000-0000-0000D9500000}"/>
    <cellStyle name="Normal 10 2 4 7 2 2 2" xfId="15445" xr:uid="{00000000-0005-0000-0000-0000DA500000}"/>
    <cellStyle name="Normal 10 2 4 7 2 2 2 2" xfId="29013" xr:uid="{00000000-0005-0000-0000-0000DB500000}"/>
    <cellStyle name="Normal 10 2 4 7 2 2 2 2 2" xfId="56146" xr:uid="{00000000-0005-0000-0000-0000DC500000}"/>
    <cellStyle name="Normal 10 2 4 7 2 2 2 3" xfId="42584" xr:uid="{00000000-0005-0000-0000-0000DD500000}"/>
    <cellStyle name="Normal 10 2 4 7 2 2 3" xfId="22232" xr:uid="{00000000-0005-0000-0000-0000DE500000}"/>
    <cellStyle name="Normal 10 2 4 7 2 2 3 2" xfId="49365" xr:uid="{00000000-0005-0000-0000-0000DF500000}"/>
    <cellStyle name="Normal 10 2 4 7 2 2 4" xfId="35803" xr:uid="{00000000-0005-0000-0000-0000E0500000}"/>
    <cellStyle name="Normal 10 2 4 7 2 3" xfId="12056" xr:uid="{00000000-0005-0000-0000-0000E1500000}"/>
    <cellStyle name="Normal 10 2 4 7 2 3 2" xfId="25624" xr:uid="{00000000-0005-0000-0000-0000E2500000}"/>
    <cellStyle name="Normal 10 2 4 7 2 3 2 2" xfId="52757" xr:uid="{00000000-0005-0000-0000-0000E3500000}"/>
    <cellStyle name="Normal 10 2 4 7 2 3 3" xfId="39195" xr:uid="{00000000-0005-0000-0000-0000E4500000}"/>
    <cellStyle name="Normal 10 2 4 7 2 4" xfId="18843" xr:uid="{00000000-0005-0000-0000-0000E5500000}"/>
    <cellStyle name="Normal 10 2 4 7 2 4 2" xfId="45976" xr:uid="{00000000-0005-0000-0000-0000E6500000}"/>
    <cellStyle name="Normal 10 2 4 7 2 5" xfId="32414" xr:uid="{00000000-0005-0000-0000-0000E7500000}"/>
    <cellStyle name="Normal 10 2 4 7 3" xfId="5096" xr:uid="{00000000-0005-0000-0000-0000E8500000}"/>
    <cellStyle name="Normal 10 2 4 7 3 2" xfId="8657" xr:uid="{00000000-0005-0000-0000-0000E9500000}"/>
    <cellStyle name="Normal 10 2 4 7 3 2 2" xfId="15446" xr:uid="{00000000-0005-0000-0000-0000EA500000}"/>
    <cellStyle name="Normal 10 2 4 7 3 2 2 2" xfId="29014" xr:uid="{00000000-0005-0000-0000-0000EB500000}"/>
    <cellStyle name="Normal 10 2 4 7 3 2 2 2 2" xfId="56147" xr:uid="{00000000-0005-0000-0000-0000EC500000}"/>
    <cellStyle name="Normal 10 2 4 7 3 2 2 3" xfId="42585" xr:uid="{00000000-0005-0000-0000-0000ED500000}"/>
    <cellStyle name="Normal 10 2 4 7 3 2 3" xfId="22233" xr:uid="{00000000-0005-0000-0000-0000EE500000}"/>
    <cellStyle name="Normal 10 2 4 7 3 2 3 2" xfId="49366" xr:uid="{00000000-0005-0000-0000-0000EF500000}"/>
    <cellStyle name="Normal 10 2 4 7 3 2 4" xfId="35804" xr:uid="{00000000-0005-0000-0000-0000F0500000}"/>
    <cellStyle name="Normal 10 2 4 7 3 3" xfId="12057" xr:uid="{00000000-0005-0000-0000-0000F1500000}"/>
    <cellStyle name="Normal 10 2 4 7 3 3 2" xfId="25625" xr:uid="{00000000-0005-0000-0000-0000F2500000}"/>
    <cellStyle name="Normal 10 2 4 7 3 3 2 2" xfId="52758" xr:uid="{00000000-0005-0000-0000-0000F3500000}"/>
    <cellStyle name="Normal 10 2 4 7 3 3 3" xfId="39196" xr:uid="{00000000-0005-0000-0000-0000F4500000}"/>
    <cellStyle name="Normal 10 2 4 7 3 4" xfId="18844" xr:uid="{00000000-0005-0000-0000-0000F5500000}"/>
    <cellStyle name="Normal 10 2 4 7 3 4 2" xfId="45977" xr:uid="{00000000-0005-0000-0000-0000F6500000}"/>
    <cellStyle name="Normal 10 2 4 7 3 5" xfId="32415" xr:uid="{00000000-0005-0000-0000-0000F7500000}"/>
    <cellStyle name="Normal 10 2 4 7 4" xfId="8655" xr:uid="{00000000-0005-0000-0000-0000F8500000}"/>
    <cellStyle name="Normal 10 2 4 7 4 2" xfId="15444" xr:uid="{00000000-0005-0000-0000-0000F9500000}"/>
    <cellStyle name="Normal 10 2 4 7 4 2 2" xfId="29012" xr:uid="{00000000-0005-0000-0000-0000FA500000}"/>
    <cellStyle name="Normal 10 2 4 7 4 2 2 2" xfId="56145" xr:uid="{00000000-0005-0000-0000-0000FB500000}"/>
    <cellStyle name="Normal 10 2 4 7 4 2 3" xfId="42583" xr:uid="{00000000-0005-0000-0000-0000FC500000}"/>
    <cellStyle name="Normal 10 2 4 7 4 3" xfId="22231" xr:uid="{00000000-0005-0000-0000-0000FD500000}"/>
    <cellStyle name="Normal 10 2 4 7 4 3 2" xfId="49364" xr:uid="{00000000-0005-0000-0000-0000FE500000}"/>
    <cellStyle name="Normal 10 2 4 7 4 4" xfId="35802" xr:uid="{00000000-0005-0000-0000-0000FF500000}"/>
    <cellStyle name="Normal 10 2 4 7 5" xfId="12055" xr:uid="{00000000-0005-0000-0000-000000510000}"/>
    <cellStyle name="Normal 10 2 4 7 5 2" xfId="25623" xr:uid="{00000000-0005-0000-0000-000001510000}"/>
    <cellStyle name="Normal 10 2 4 7 5 2 2" xfId="52756" xr:uid="{00000000-0005-0000-0000-000002510000}"/>
    <cellStyle name="Normal 10 2 4 7 5 3" xfId="39194" xr:uid="{00000000-0005-0000-0000-000003510000}"/>
    <cellStyle name="Normal 10 2 4 7 6" xfId="18842" xr:uid="{00000000-0005-0000-0000-000004510000}"/>
    <cellStyle name="Normal 10 2 4 7 6 2" xfId="45975" xr:uid="{00000000-0005-0000-0000-000005510000}"/>
    <cellStyle name="Normal 10 2 4 7 7" xfId="32413" xr:uid="{00000000-0005-0000-0000-000006510000}"/>
    <cellStyle name="Normal 10 2 4 8" xfId="5097" xr:uid="{00000000-0005-0000-0000-000007510000}"/>
    <cellStyle name="Normal 10 2 4 8 2" xfId="8658" xr:uid="{00000000-0005-0000-0000-000008510000}"/>
    <cellStyle name="Normal 10 2 4 8 2 2" xfId="15447" xr:uid="{00000000-0005-0000-0000-000009510000}"/>
    <cellStyle name="Normal 10 2 4 8 2 2 2" xfId="29015" xr:uid="{00000000-0005-0000-0000-00000A510000}"/>
    <cellStyle name="Normal 10 2 4 8 2 2 2 2" xfId="56148" xr:uid="{00000000-0005-0000-0000-00000B510000}"/>
    <cellStyle name="Normal 10 2 4 8 2 2 3" xfId="42586" xr:uid="{00000000-0005-0000-0000-00000C510000}"/>
    <cellStyle name="Normal 10 2 4 8 2 3" xfId="22234" xr:uid="{00000000-0005-0000-0000-00000D510000}"/>
    <cellStyle name="Normal 10 2 4 8 2 3 2" xfId="49367" xr:uid="{00000000-0005-0000-0000-00000E510000}"/>
    <cellStyle name="Normal 10 2 4 8 2 4" xfId="35805" xr:uid="{00000000-0005-0000-0000-00000F510000}"/>
    <cellStyle name="Normal 10 2 4 8 3" xfId="12058" xr:uid="{00000000-0005-0000-0000-000010510000}"/>
    <cellStyle name="Normal 10 2 4 8 3 2" xfId="25626" xr:uid="{00000000-0005-0000-0000-000011510000}"/>
    <cellStyle name="Normal 10 2 4 8 3 2 2" xfId="52759" xr:uid="{00000000-0005-0000-0000-000012510000}"/>
    <cellStyle name="Normal 10 2 4 8 3 3" xfId="39197" xr:uid="{00000000-0005-0000-0000-000013510000}"/>
    <cellStyle name="Normal 10 2 4 8 4" xfId="18845" xr:uid="{00000000-0005-0000-0000-000014510000}"/>
    <cellStyle name="Normal 10 2 4 8 4 2" xfId="45978" xr:uid="{00000000-0005-0000-0000-000015510000}"/>
    <cellStyle name="Normal 10 2 4 8 5" xfId="32416" xr:uid="{00000000-0005-0000-0000-000016510000}"/>
    <cellStyle name="Normal 10 2 4 9" xfId="5098" xr:uid="{00000000-0005-0000-0000-000017510000}"/>
    <cellStyle name="Normal 10 2 4 9 2" xfId="8659" xr:uid="{00000000-0005-0000-0000-000018510000}"/>
    <cellStyle name="Normal 10 2 4 9 2 2" xfId="15448" xr:uid="{00000000-0005-0000-0000-000019510000}"/>
    <cellStyle name="Normal 10 2 4 9 2 2 2" xfId="29016" xr:uid="{00000000-0005-0000-0000-00001A510000}"/>
    <cellStyle name="Normal 10 2 4 9 2 2 2 2" xfId="56149" xr:uid="{00000000-0005-0000-0000-00001B510000}"/>
    <cellStyle name="Normal 10 2 4 9 2 2 3" xfId="42587" xr:uid="{00000000-0005-0000-0000-00001C510000}"/>
    <cellStyle name="Normal 10 2 4 9 2 3" xfId="22235" xr:uid="{00000000-0005-0000-0000-00001D510000}"/>
    <cellStyle name="Normal 10 2 4 9 2 3 2" xfId="49368" xr:uid="{00000000-0005-0000-0000-00001E510000}"/>
    <cellStyle name="Normal 10 2 4 9 2 4" xfId="35806" xr:uid="{00000000-0005-0000-0000-00001F510000}"/>
    <cellStyle name="Normal 10 2 4 9 3" xfId="12059" xr:uid="{00000000-0005-0000-0000-000020510000}"/>
    <cellStyle name="Normal 10 2 4 9 3 2" xfId="25627" xr:uid="{00000000-0005-0000-0000-000021510000}"/>
    <cellStyle name="Normal 10 2 4 9 3 2 2" xfId="52760" xr:uid="{00000000-0005-0000-0000-000022510000}"/>
    <cellStyle name="Normal 10 2 4 9 3 3" xfId="39198" xr:uid="{00000000-0005-0000-0000-000023510000}"/>
    <cellStyle name="Normal 10 2 4 9 4" xfId="18846" xr:uid="{00000000-0005-0000-0000-000024510000}"/>
    <cellStyle name="Normal 10 2 4 9 4 2" xfId="45979" xr:uid="{00000000-0005-0000-0000-000025510000}"/>
    <cellStyle name="Normal 10 2 4 9 5" xfId="32417" xr:uid="{00000000-0005-0000-0000-000026510000}"/>
    <cellStyle name="Normal 10 2 5" xfId="5099" xr:uid="{00000000-0005-0000-0000-000027510000}"/>
    <cellStyle name="Normal 10 2 5 10" xfId="32418" xr:uid="{00000000-0005-0000-0000-000028510000}"/>
    <cellStyle name="Normal 10 2 5 2" xfId="5100" xr:uid="{00000000-0005-0000-0000-000029510000}"/>
    <cellStyle name="Normal 10 2 5 2 2" xfId="5101" xr:uid="{00000000-0005-0000-0000-00002A510000}"/>
    <cellStyle name="Normal 10 2 5 2 2 2" xfId="5102" xr:uid="{00000000-0005-0000-0000-00002B510000}"/>
    <cellStyle name="Normal 10 2 5 2 2 2 2" xfId="8663" xr:uid="{00000000-0005-0000-0000-00002C510000}"/>
    <cellStyle name="Normal 10 2 5 2 2 2 2 2" xfId="15452" xr:uid="{00000000-0005-0000-0000-00002D510000}"/>
    <cellStyle name="Normal 10 2 5 2 2 2 2 2 2" xfId="29020" xr:uid="{00000000-0005-0000-0000-00002E510000}"/>
    <cellStyle name="Normal 10 2 5 2 2 2 2 2 2 2" xfId="56153" xr:uid="{00000000-0005-0000-0000-00002F510000}"/>
    <cellStyle name="Normal 10 2 5 2 2 2 2 2 3" xfId="42591" xr:uid="{00000000-0005-0000-0000-000030510000}"/>
    <cellStyle name="Normal 10 2 5 2 2 2 2 3" xfId="22239" xr:uid="{00000000-0005-0000-0000-000031510000}"/>
    <cellStyle name="Normal 10 2 5 2 2 2 2 3 2" xfId="49372" xr:uid="{00000000-0005-0000-0000-000032510000}"/>
    <cellStyle name="Normal 10 2 5 2 2 2 2 4" xfId="35810" xr:uid="{00000000-0005-0000-0000-000033510000}"/>
    <cellStyle name="Normal 10 2 5 2 2 2 3" xfId="12063" xr:uid="{00000000-0005-0000-0000-000034510000}"/>
    <cellStyle name="Normal 10 2 5 2 2 2 3 2" xfId="25631" xr:uid="{00000000-0005-0000-0000-000035510000}"/>
    <cellStyle name="Normal 10 2 5 2 2 2 3 2 2" xfId="52764" xr:uid="{00000000-0005-0000-0000-000036510000}"/>
    <cellStyle name="Normal 10 2 5 2 2 2 3 3" xfId="39202" xr:uid="{00000000-0005-0000-0000-000037510000}"/>
    <cellStyle name="Normal 10 2 5 2 2 2 4" xfId="18850" xr:uid="{00000000-0005-0000-0000-000038510000}"/>
    <cellStyle name="Normal 10 2 5 2 2 2 4 2" xfId="45983" xr:uid="{00000000-0005-0000-0000-000039510000}"/>
    <cellStyle name="Normal 10 2 5 2 2 2 5" xfId="32421" xr:uid="{00000000-0005-0000-0000-00003A510000}"/>
    <cellStyle name="Normal 10 2 5 2 2 3" xfId="5103" xr:uid="{00000000-0005-0000-0000-00003B510000}"/>
    <cellStyle name="Normal 10 2 5 2 2 3 2" xfId="8664" xr:uid="{00000000-0005-0000-0000-00003C510000}"/>
    <cellStyle name="Normal 10 2 5 2 2 3 2 2" xfId="15453" xr:uid="{00000000-0005-0000-0000-00003D510000}"/>
    <cellStyle name="Normal 10 2 5 2 2 3 2 2 2" xfId="29021" xr:uid="{00000000-0005-0000-0000-00003E510000}"/>
    <cellStyle name="Normal 10 2 5 2 2 3 2 2 2 2" xfId="56154" xr:uid="{00000000-0005-0000-0000-00003F510000}"/>
    <cellStyle name="Normal 10 2 5 2 2 3 2 2 3" xfId="42592" xr:uid="{00000000-0005-0000-0000-000040510000}"/>
    <cellStyle name="Normal 10 2 5 2 2 3 2 3" xfId="22240" xr:uid="{00000000-0005-0000-0000-000041510000}"/>
    <cellStyle name="Normal 10 2 5 2 2 3 2 3 2" xfId="49373" xr:uid="{00000000-0005-0000-0000-000042510000}"/>
    <cellStyle name="Normal 10 2 5 2 2 3 2 4" xfId="35811" xr:uid="{00000000-0005-0000-0000-000043510000}"/>
    <cellStyle name="Normal 10 2 5 2 2 3 3" xfId="12064" xr:uid="{00000000-0005-0000-0000-000044510000}"/>
    <cellStyle name="Normal 10 2 5 2 2 3 3 2" xfId="25632" xr:uid="{00000000-0005-0000-0000-000045510000}"/>
    <cellStyle name="Normal 10 2 5 2 2 3 3 2 2" xfId="52765" xr:uid="{00000000-0005-0000-0000-000046510000}"/>
    <cellStyle name="Normal 10 2 5 2 2 3 3 3" xfId="39203" xr:uid="{00000000-0005-0000-0000-000047510000}"/>
    <cellStyle name="Normal 10 2 5 2 2 3 4" xfId="18851" xr:uid="{00000000-0005-0000-0000-000048510000}"/>
    <cellStyle name="Normal 10 2 5 2 2 3 4 2" xfId="45984" xr:uid="{00000000-0005-0000-0000-000049510000}"/>
    <cellStyle name="Normal 10 2 5 2 2 3 5" xfId="32422" xr:uid="{00000000-0005-0000-0000-00004A510000}"/>
    <cellStyle name="Normal 10 2 5 2 2 4" xfId="8662" xr:uid="{00000000-0005-0000-0000-00004B510000}"/>
    <cellStyle name="Normal 10 2 5 2 2 4 2" xfId="15451" xr:uid="{00000000-0005-0000-0000-00004C510000}"/>
    <cellStyle name="Normal 10 2 5 2 2 4 2 2" xfId="29019" xr:uid="{00000000-0005-0000-0000-00004D510000}"/>
    <cellStyle name="Normal 10 2 5 2 2 4 2 2 2" xfId="56152" xr:uid="{00000000-0005-0000-0000-00004E510000}"/>
    <cellStyle name="Normal 10 2 5 2 2 4 2 3" xfId="42590" xr:uid="{00000000-0005-0000-0000-00004F510000}"/>
    <cellStyle name="Normal 10 2 5 2 2 4 3" xfId="22238" xr:uid="{00000000-0005-0000-0000-000050510000}"/>
    <cellStyle name="Normal 10 2 5 2 2 4 3 2" xfId="49371" xr:uid="{00000000-0005-0000-0000-000051510000}"/>
    <cellStyle name="Normal 10 2 5 2 2 4 4" xfId="35809" xr:uid="{00000000-0005-0000-0000-000052510000}"/>
    <cellStyle name="Normal 10 2 5 2 2 5" xfId="12062" xr:uid="{00000000-0005-0000-0000-000053510000}"/>
    <cellStyle name="Normal 10 2 5 2 2 5 2" xfId="25630" xr:uid="{00000000-0005-0000-0000-000054510000}"/>
    <cellStyle name="Normal 10 2 5 2 2 5 2 2" xfId="52763" xr:uid="{00000000-0005-0000-0000-000055510000}"/>
    <cellStyle name="Normal 10 2 5 2 2 5 3" xfId="39201" xr:uid="{00000000-0005-0000-0000-000056510000}"/>
    <cellStyle name="Normal 10 2 5 2 2 6" xfId="18849" xr:uid="{00000000-0005-0000-0000-000057510000}"/>
    <cellStyle name="Normal 10 2 5 2 2 6 2" xfId="45982" xr:uid="{00000000-0005-0000-0000-000058510000}"/>
    <cellStyle name="Normal 10 2 5 2 2 7" xfId="32420" xr:uid="{00000000-0005-0000-0000-000059510000}"/>
    <cellStyle name="Normal 10 2 5 2 3" xfId="5104" xr:uid="{00000000-0005-0000-0000-00005A510000}"/>
    <cellStyle name="Normal 10 2 5 2 3 2" xfId="5105" xr:uid="{00000000-0005-0000-0000-00005B510000}"/>
    <cellStyle name="Normal 10 2 5 2 3 2 2" xfId="8666" xr:uid="{00000000-0005-0000-0000-00005C510000}"/>
    <cellStyle name="Normal 10 2 5 2 3 2 2 2" xfId="15455" xr:uid="{00000000-0005-0000-0000-00005D510000}"/>
    <cellStyle name="Normal 10 2 5 2 3 2 2 2 2" xfId="29023" xr:uid="{00000000-0005-0000-0000-00005E510000}"/>
    <cellStyle name="Normal 10 2 5 2 3 2 2 2 2 2" xfId="56156" xr:uid="{00000000-0005-0000-0000-00005F510000}"/>
    <cellStyle name="Normal 10 2 5 2 3 2 2 2 3" xfId="42594" xr:uid="{00000000-0005-0000-0000-000060510000}"/>
    <cellStyle name="Normal 10 2 5 2 3 2 2 3" xfId="22242" xr:uid="{00000000-0005-0000-0000-000061510000}"/>
    <cellStyle name="Normal 10 2 5 2 3 2 2 3 2" xfId="49375" xr:uid="{00000000-0005-0000-0000-000062510000}"/>
    <cellStyle name="Normal 10 2 5 2 3 2 2 4" xfId="35813" xr:uid="{00000000-0005-0000-0000-000063510000}"/>
    <cellStyle name="Normal 10 2 5 2 3 2 3" xfId="12066" xr:uid="{00000000-0005-0000-0000-000064510000}"/>
    <cellStyle name="Normal 10 2 5 2 3 2 3 2" xfId="25634" xr:uid="{00000000-0005-0000-0000-000065510000}"/>
    <cellStyle name="Normal 10 2 5 2 3 2 3 2 2" xfId="52767" xr:uid="{00000000-0005-0000-0000-000066510000}"/>
    <cellStyle name="Normal 10 2 5 2 3 2 3 3" xfId="39205" xr:uid="{00000000-0005-0000-0000-000067510000}"/>
    <cellStyle name="Normal 10 2 5 2 3 2 4" xfId="18853" xr:uid="{00000000-0005-0000-0000-000068510000}"/>
    <cellStyle name="Normal 10 2 5 2 3 2 4 2" xfId="45986" xr:uid="{00000000-0005-0000-0000-000069510000}"/>
    <cellStyle name="Normal 10 2 5 2 3 2 5" xfId="32424" xr:uid="{00000000-0005-0000-0000-00006A510000}"/>
    <cellStyle name="Normal 10 2 5 2 3 3" xfId="8665" xr:uid="{00000000-0005-0000-0000-00006B510000}"/>
    <cellStyle name="Normal 10 2 5 2 3 3 2" xfId="15454" xr:uid="{00000000-0005-0000-0000-00006C510000}"/>
    <cellStyle name="Normal 10 2 5 2 3 3 2 2" xfId="29022" xr:uid="{00000000-0005-0000-0000-00006D510000}"/>
    <cellStyle name="Normal 10 2 5 2 3 3 2 2 2" xfId="56155" xr:uid="{00000000-0005-0000-0000-00006E510000}"/>
    <cellStyle name="Normal 10 2 5 2 3 3 2 3" xfId="42593" xr:uid="{00000000-0005-0000-0000-00006F510000}"/>
    <cellStyle name="Normal 10 2 5 2 3 3 3" xfId="22241" xr:uid="{00000000-0005-0000-0000-000070510000}"/>
    <cellStyle name="Normal 10 2 5 2 3 3 3 2" xfId="49374" xr:uid="{00000000-0005-0000-0000-000071510000}"/>
    <cellStyle name="Normal 10 2 5 2 3 3 4" xfId="35812" xr:uid="{00000000-0005-0000-0000-000072510000}"/>
    <cellStyle name="Normal 10 2 5 2 3 4" xfId="12065" xr:uid="{00000000-0005-0000-0000-000073510000}"/>
    <cellStyle name="Normal 10 2 5 2 3 4 2" xfId="25633" xr:uid="{00000000-0005-0000-0000-000074510000}"/>
    <cellStyle name="Normal 10 2 5 2 3 4 2 2" xfId="52766" xr:uid="{00000000-0005-0000-0000-000075510000}"/>
    <cellStyle name="Normal 10 2 5 2 3 4 3" xfId="39204" xr:uid="{00000000-0005-0000-0000-000076510000}"/>
    <cellStyle name="Normal 10 2 5 2 3 5" xfId="18852" xr:uid="{00000000-0005-0000-0000-000077510000}"/>
    <cellStyle name="Normal 10 2 5 2 3 5 2" xfId="45985" xr:uid="{00000000-0005-0000-0000-000078510000}"/>
    <cellStyle name="Normal 10 2 5 2 3 6" xfId="32423" xr:uid="{00000000-0005-0000-0000-000079510000}"/>
    <cellStyle name="Normal 10 2 5 2 4" xfId="5106" xr:uid="{00000000-0005-0000-0000-00007A510000}"/>
    <cellStyle name="Normal 10 2 5 2 4 2" xfId="8667" xr:uid="{00000000-0005-0000-0000-00007B510000}"/>
    <cellStyle name="Normal 10 2 5 2 4 2 2" xfId="15456" xr:uid="{00000000-0005-0000-0000-00007C510000}"/>
    <cellStyle name="Normal 10 2 5 2 4 2 2 2" xfId="29024" xr:uid="{00000000-0005-0000-0000-00007D510000}"/>
    <cellStyle name="Normal 10 2 5 2 4 2 2 2 2" xfId="56157" xr:uid="{00000000-0005-0000-0000-00007E510000}"/>
    <cellStyle name="Normal 10 2 5 2 4 2 2 3" xfId="42595" xr:uid="{00000000-0005-0000-0000-00007F510000}"/>
    <cellStyle name="Normal 10 2 5 2 4 2 3" xfId="22243" xr:uid="{00000000-0005-0000-0000-000080510000}"/>
    <cellStyle name="Normal 10 2 5 2 4 2 3 2" xfId="49376" xr:uid="{00000000-0005-0000-0000-000081510000}"/>
    <cellStyle name="Normal 10 2 5 2 4 2 4" xfId="35814" xr:uid="{00000000-0005-0000-0000-000082510000}"/>
    <cellStyle name="Normal 10 2 5 2 4 3" xfId="12067" xr:uid="{00000000-0005-0000-0000-000083510000}"/>
    <cellStyle name="Normal 10 2 5 2 4 3 2" xfId="25635" xr:uid="{00000000-0005-0000-0000-000084510000}"/>
    <cellStyle name="Normal 10 2 5 2 4 3 2 2" xfId="52768" xr:uid="{00000000-0005-0000-0000-000085510000}"/>
    <cellStyle name="Normal 10 2 5 2 4 3 3" xfId="39206" xr:uid="{00000000-0005-0000-0000-000086510000}"/>
    <cellStyle name="Normal 10 2 5 2 4 4" xfId="18854" xr:uid="{00000000-0005-0000-0000-000087510000}"/>
    <cellStyle name="Normal 10 2 5 2 4 4 2" xfId="45987" xr:uid="{00000000-0005-0000-0000-000088510000}"/>
    <cellStyle name="Normal 10 2 5 2 4 5" xfId="32425" xr:uid="{00000000-0005-0000-0000-000089510000}"/>
    <cellStyle name="Normal 10 2 5 2 5" xfId="5107" xr:uid="{00000000-0005-0000-0000-00008A510000}"/>
    <cellStyle name="Normal 10 2 5 2 5 2" xfId="8668" xr:uid="{00000000-0005-0000-0000-00008B510000}"/>
    <cellStyle name="Normal 10 2 5 2 5 2 2" xfId="15457" xr:uid="{00000000-0005-0000-0000-00008C510000}"/>
    <cellStyle name="Normal 10 2 5 2 5 2 2 2" xfId="29025" xr:uid="{00000000-0005-0000-0000-00008D510000}"/>
    <cellStyle name="Normal 10 2 5 2 5 2 2 2 2" xfId="56158" xr:uid="{00000000-0005-0000-0000-00008E510000}"/>
    <cellStyle name="Normal 10 2 5 2 5 2 2 3" xfId="42596" xr:uid="{00000000-0005-0000-0000-00008F510000}"/>
    <cellStyle name="Normal 10 2 5 2 5 2 3" xfId="22244" xr:uid="{00000000-0005-0000-0000-000090510000}"/>
    <cellStyle name="Normal 10 2 5 2 5 2 3 2" xfId="49377" xr:uid="{00000000-0005-0000-0000-000091510000}"/>
    <cellStyle name="Normal 10 2 5 2 5 2 4" xfId="35815" xr:uid="{00000000-0005-0000-0000-000092510000}"/>
    <cellStyle name="Normal 10 2 5 2 5 3" xfId="12068" xr:uid="{00000000-0005-0000-0000-000093510000}"/>
    <cellStyle name="Normal 10 2 5 2 5 3 2" xfId="25636" xr:uid="{00000000-0005-0000-0000-000094510000}"/>
    <cellStyle name="Normal 10 2 5 2 5 3 2 2" xfId="52769" xr:uid="{00000000-0005-0000-0000-000095510000}"/>
    <cellStyle name="Normal 10 2 5 2 5 3 3" xfId="39207" xr:uid="{00000000-0005-0000-0000-000096510000}"/>
    <cellStyle name="Normal 10 2 5 2 5 4" xfId="18855" xr:uid="{00000000-0005-0000-0000-000097510000}"/>
    <cellStyle name="Normal 10 2 5 2 5 4 2" xfId="45988" xr:uid="{00000000-0005-0000-0000-000098510000}"/>
    <cellStyle name="Normal 10 2 5 2 5 5" xfId="32426" xr:uid="{00000000-0005-0000-0000-000099510000}"/>
    <cellStyle name="Normal 10 2 5 2 6" xfId="8661" xr:uid="{00000000-0005-0000-0000-00009A510000}"/>
    <cellStyle name="Normal 10 2 5 2 6 2" xfId="15450" xr:uid="{00000000-0005-0000-0000-00009B510000}"/>
    <cellStyle name="Normal 10 2 5 2 6 2 2" xfId="29018" xr:uid="{00000000-0005-0000-0000-00009C510000}"/>
    <cellStyle name="Normal 10 2 5 2 6 2 2 2" xfId="56151" xr:uid="{00000000-0005-0000-0000-00009D510000}"/>
    <cellStyle name="Normal 10 2 5 2 6 2 3" xfId="42589" xr:uid="{00000000-0005-0000-0000-00009E510000}"/>
    <cellStyle name="Normal 10 2 5 2 6 3" xfId="22237" xr:uid="{00000000-0005-0000-0000-00009F510000}"/>
    <cellStyle name="Normal 10 2 5 2 6 3 2" xfId="49370" xr:uid="{00000000-0005-0000-0000-0000A0510000}"/>
    <cellStyle name="Normal 10 2 5 2 6 4" xfId="35808" xr:uid="{00000000-0005-0000-0000-0000A1510000}"/>
    <cellStyle name="Normal 10 2 5 2 7" xfId="12061" xr:uid="{00000000-0005-0000-0000-0000A2510000}"/>
    <cellStyle name="Normal 10 2 5 2 7 2" xfId="25629" xr:uid="{00000000-0005-0000-0000-0000A3510000}"/>
    <cellStyle name="Normal 10 2 5 2 7 2 2" xfId="52762" xr:uid="{00000000-0005-0000-0000-0000A4510000}"/>
    <cellStyle name="Normal 10 2 5 2 7 3" xfId="39200" xr:uid="{00000000-0005-0000-0000-0000A5510000}"/>
    <cellStyle name="Normal 10 2 5 2 8" xfId="18848" xr:uid="{00000000-0005-0000-0000-0000A6510000}"/>
    <cellStyle name="Normal 10 2 5 2 8 2" xfId="45981" xr:uid="{00000000-0005-0000-0000-0000A7510000}"/>
    <cellStyle name="Normal 10 2 5 2 9" xfId="32419" xr:uid="{00000000-0005-0000-0000-0000A8510000}"/>
    <cellStyle name="Normal 10 2 5 3" xfId="5108" xr:uid="{00000000-0005-0000-0000-0000A9510000}"/>
    <cellStyle name="Normal 10 2 5 3 2" xfId="5109" xr:uid="{00000000-0005-0000-0000-0000AA510000}"/>
    <cellStyle name="Normal 10 2 5 3 2 2" xfId="8670" xr:uid="{00000000-0005-0000-0000-0000AB510000}"/>
    <cellStyle name="Normal 10 2 5 3 2 2 2" xfId="15459" xr:uid="{00000000-0005-0000-0000-0000AC510000}"/>
    <cellStyle name="Normal 10 2 5 3 2 2 2 2" xfId="29027" xr:uid="{00000000-0005-0000-0000-0000AD510000}"/>
    <cellStyle name="Normal 10 2 5 3 2 2 2 2 2" xfId="56160" xr:uid="{00000000-0005-0000-0000-0000AE510000}"/>
    <cellStyle name="Normal 10 2 5 3 2 2 2 3" xfId="42598" xr:uid="{00000000-0005-0000-0000-0000AF510000}"/>
    <cellStyle name="Normal 10 2 5 3 2 2 3" xfId="22246" xr:uid="{00000000-0005-0000-0000-0000B0510000}"/>
    <cellStyle name="Normal 10 2 5 3 2 2 3 2" xfId="49379" xr:uid="{00000000-0005-0000-0000-0000B1510000}"/>
    <cellStyle name="Normal 10 2 5 3 2 2 4" xfId="35817" xr:uid="{00000000-0005-0000-0000-0000B2510000}"/>
    <cellStyle name="Normal 10 2 5 3 2 3" xfId="12070" xr:uid="{00000000-0005-0000-0000-0000B3510000}"/>
    <cellStyle name="Normal 10 2 5 3 2 3 2" xfId="25638" xr:uid="{00000000-0005-0000-0000-0000B4510000}"/>
    <cellStyle name="Normal 10 2 5 3 2 3 2 2" xfId="52771" xr:uid="{00000000-0005-0000-0000-0000B5510000}"/>
    <cellStyle name="Normal 10 2 5 3 2 3 3" xfId="39209" xr:uid="{00000000-0005-0000-0000-0000B6510000}"/>
    <cellStyle name="Normal 10 2 5 3 2 4" xfId="18857" xr:uid="{00000000-0005-0000-0000-0000B7510000}"/>
    <cellStyle name="Normal 10 2 5 3 2 4 2" xfId="45990" xr:uid="{00000000-0005-0000-0000-0000B8510000}"/>
    <cellStyle name="Normal 10 2 5 3 2 5" xfId="32428" xr:uid="{00000000-0005-0000-0000-0000B9510000}"/>
    <cellStyle name="Normal 10 2 5 3 3" xfId="5110" xr:uid="{00000000-0005-0000-0000-0000BA510000}"/>
    <cellStyle name="Normal 10 2 5 3 3 2" xfId="8671" xr:uid="{00000000-0005-0000-0000-0000BB510000}"/>
    <cellStyle name="Normal 10 2 5 3 3 2 2" xfId="15460" xr:uid="{00000000-0005-0000-0000-0000BC510000}"/>
    <cellStyle name="Normal 10 2 5 3 3 2 2 2" xfId="29028" xr:uid="{00000000-0005-0000-0000-0000BD510000}"/>
    <cellStyle name="Normal 10 2 5 3 3 2 2 2 2" xfId="56161" xr:uid="{00000000-0005-0000-0000-0000BE510000}"/>
    <cellStyle name="Normal 10 2 5 3 3 2 2 3" xfId="42599" xr:uid="{00000000-0005-0000-0000-0000BF510000}"/>
    <cellStyle name="Normal 10 2 5 3 3 2 3" xfId="22247" xr:uid="{00000000-0005-0000-0000-0000C0510000}"/>
    <cellStyle name="Normal 10 2 5 3 3 2 3 2" xfId="49380" xr:uid="{00000000-0005-0000-0000-0000C1510000}"/>
    <cellStyle name="Normal 10 2 5 3 3 2 4" xfId="35818" xr:uid="{00000000-0005-0000-0000-0000C2510000}"/>
    <cellStyle name="Normal 10 2 5 3 3 3" xfId="12071" xr:uid="{00000000-0005-0000-0000-0000C3510000}"/>
    <cellStyle name="Normal 10 2 5 3 3 3 2" xfId="25639" xr:uid="{00000000-0005-0000-0000-0000C4510000}"/>
    <cellStyle name="Normal 10 2 5 3 3 3 2 2" xfId="52772" xr:uid="{00000000-0005-0000-0000-0000C5510000}"/>
    <cellStyle name="Normal 10 2 5 3 3 3 3" xfId="39210" xr:uid="{00000000-0005-0000-0000-0000C6510000}"/>
    <cellStyle name="Normal 10 2 5 3 3 4" xfId="18858" xr:uid="{00000000-0005-0000-0000-0000C7510000}"/>
    <cellStyle name="Normal 10 2 5 3 3 4 2" xfId="45991" xr:uid="{00000000-0005-0000-0000-0000C8510000}"/>
    <cellStyle name="Normal 10 2 5 3 3 5" xfId="32429" xr:uid="{00000000-0005-0000-0000-0000C9510000}"/>
    <cellStyle name="Normal 10 2 5 3 4" xfId="8669" xr:uid="{00000000-0005-0000-0000-0000CA510000}"/>
    <cellStyle name="Normal 10 2 5 3 4 2" xfId="15458" xr:uid="{00000000-0005-0000-0000-0000CB510000}"/>
    <cellStyle name="Normal 10 2 5 3 4 2 2" xfId="29026" xr:uid="{00000000-0005-0000-0000-0000CC510000}"/>
    <cellStyle name="Normal 10 2 5 3 4 2 2 2" xfId="56159" xr:uid="{00000000-0005-0000-0000-0000CD510000}"/>
    <cellStyle name="Normal 10 2 5 3 4 2 3" xfId="42597" xr:uid="{00000000-0005-0000-0000-0000CE510000}"/>
    <cellStyle name="Normal 10 2 5 3 4 3" xfId="22245" xr:uid="{00000000-0005-0000-0000-0000CF510000}"/>
    <cellStyle name="Normal 10 2 5 3 4 3 2" xfId="49378" xr:uid="{00000000-0005-0000-0000-0000D0510000}"/>
    <cellStyle name="Normal 10 2 5 3 4 4" xfId="35816" xr:uid="{00000000-0005-0000-0000-0000D1510000}"/>
    <cellStyle name="Normal 10 2 5 3 5" xfId="12069" xr:uid="{00000000-0005-0000-0000-0000D2510000}"/>
    <cellStyle name="Normal 10 2 5 3 5 2" xfId="25637" xr:uid="{00000000-0005-0000-0000-0000D3510000}"/>
    <cellStyle name="Normal 10 2 5 3 5 2 2" xfId="52770" xr:uid="{00000000-0005-0000-0000-0000D4510000}"/>
    <cellStyle name="Normal 10 2 5 3 5 3" xfId="39208" xr:uid="{00000000-0005-0000-0000-0000D5510000}"/>
    <cellStyle name="Normal 10 2 5 3 6" xfId="18856" xr:uid="{00000000-0005-0000-0000-0000D6510000}"/>
    <cellStyle name="Normal 10 2 5 3 6 2" xfId="45989" xr:uid="{00000000-0005-0000-0000-0000D7510000}"/>
    <cellStyle name="Normal 10 2 5 3 7" xfId="32427" xr:uid="{00000000-0005-0000-0000-0000D8510000}"/>
    <cellStyle name="Normal 10 2 5 4" xfId="5111" xr:uid="{00000000-0005-0000-0000-0000D9510000}"/>
    <cellStyle name="Normal 10 2 5 4 2" xfId="5112" xr:uid="{00000000-0005-0000-0000-0000DA510000}"/>
    <cellStyle name="Normal 10 2 5 4 2 2" xfId="8673" xr:uid="{00000000-0005-0000-0000-0000DB510000}"/>
    <cellStyle name="Normal 10 2 5 4 2 2 2" xfId="15462" xr:uid="{00000000-0005-0000-0000-0000DC510000}"/>
    <cellStyle name="Normal 10 2 5 4 2 2 2 2" xfId="29030" xr:uid="{00000000-0005-0000-0000-0000DD510000}"/>
    <cellStyle name="Normal 10 2 5 4 2 2 2 2 2" xfId="56163" xr:uid="{00000000-0005-0000-0000-0000DE510000}"/>
    <cellStyle name="Normal 10 2 5 4 2 2 2 3" xfId="42601" xr:uid="{00000000-0005-0000-0000-0000DF510000}"/>
    <cellStyle name="Normal 10 2 5 4 2 2 3" xfId="22249" xr:uid="{00000000-0005-0000-0000-0000E0510000}"/>
    <cellStyle name="Normal 10 2 5 4 2 2 3 2" xfId="49382" xr:uid="{00000000-0005-0000-0000-0000E1510000}"/>
    <cellStyle name="Normal 10 2 5 4 2 2 4" xfId="35820" xr:uid="{00000000-0005-0000-0000-0000E2510000}"/>
    <cellStyle name="Normal 10 2 5 4 2 3" xfId="12073" xr:uid="{00000000-0005-0000-0000-0000E3510000}"/>
    <cellStyle name="Normal 10 2 5 4 2 3 2" xfId="25641" xr:uid="{00000000-0005-0000-0000-0000E4510000}"/>
    <cellStyle name="Normal 10 2 5 4 2 3 2 2" xfId="52774" xr:uid="{00000000-0005-0000-0000-0000E5510000}"/>
    <cellStyle name="Normal 10 2 5 4 2 3 3" xfId="39212" xr:uid="{00000000-0005-0000-0000-0000E6510000}"/>
    <cellStyle name="Normal 10 2 5 4 2 4" xfId="18860" xr:uid="{00000000-0005-0000-0000-0000E7510000}"/>
    <cellStyle name="Normal 10 2 5 4 2 4 2" xfId="45993" xr:uid="{00000000-0005-0000-0000-0000E8510000}"/>
    <cellStyle name="Normal 10 2 5 4 2 5" xfId="32431" xr:uid="{00000000-0005-0000-0000-0000E9510000}"/>
    <cellStyle name="Normal 10 2 5 4 3" xfId="8672" xr:uid="{00000000-0005-0000-0000-0000EA510000}"/>
    <cellStyle name="Normal 10 2 5 4 3 2" xfId="15461" xr:uid="{00000000-0005-0000-0000-0000EB510000}"/>
    <cellStyle name="Normal 10 2 5 4 3 2 2" xfId="29029" xr:uid="{00000000-0005-0000-0000-0000EC510000}"/>
    <cellStyle name="Normal 10 2 5 4 3 2 2 2" xfId="56162" xr:uid="{00000000-0005-0000-0000-0000ED510000}"/>
    <cellStyle name="Normal 10 2 5 4 3 2 3" xfId="42600" xr:uid="{00000000-0005-0000-0000-0000EE510000}"/>
    <cellStyle name="Normal 10 2 5 4 3 3" xfId="22248" xr:uid="{00000000-0005-0000-0000-0000EF510000}"/>
    <cellStyle name="Normal 10 2 5 4 3 3 2" xfId="49381" xr:uid="{00000000-0005-0000-0000-0000F0510000}"/>
    <cellStyle name="Normal 10 2 5 4 3 4" xfId="35819" xr:uid="{00000000-0005-0000-0000-0000F1510000}"/>
    <cellStyle name="Normal 10 2 5 4 4" xfId="12072" xr:uid="{00000000-0005-0000-0000-0000F2510000}"/>
    <cellStyle name="Normal 10 2 5 4 4 2" xfId="25640" xr:uid="{00000000-0005-0000-0000-0000F3510000}"/>
    <cellStyle name="Normal 10 2 5 4 4 2 2" xfId="52773" xr:uid="{00000000-0005-0000-0000-0000F4510000}"/>
    <cellStyle name="Normal 10 2 5 4 4 3" xfId="39211" xr:uid="{00000000-0005-0000-0000-0000F5510000}"/>
    <cellStyle name="Normal 10 2 5 4 5" xfId="18859" xr:uid="{00000000-0005-0000-0000-0000F6510000}"/>
    <cellStyle name="Normal 10 2 5 4 5 2" xfId="45992" xr:uid="{00000000-0005-0000-0000-0000F7510000}"/>
    <cellStyle name="Normal 10 2 5 4 6" xfId="32430" xr:uid="{00000000-0005-0000-0000-0000F8510000}"/>
    <cellStyle name="Normal 10 2 5 5" xfId="5113" xr:uid="{00000000-0005-0000-0000-0000F9510000}"/>
    <cellStyle name="Normal 10 2 5 5 2" xfId="8674" xr:uid="{00000000-0005-0000-0000-0000FA510000}"/>
    <cellStyle name="Normal 10 2 5 5 2 2" xfId="15463" xr:uid="{00000000-0005-0000-0000-0000FB510000}"/>
    <cellStyle name="Normal 10 2 5 5 2 2 2" xfId="29031" xr:uid="{00000000-0005-0000-0000-0000FC510000}"/>
    <cellStyle name="Normal 10 2 5 5 2 2 2 2" xfId="56164" xr:uid="{00000000-0005-0000-0000-0000FD510000}"/>
    <cellStyle name="Normal 10 2 5 5 2 2 3" xfId="42602" xr:uid="{00000000-0005-0000-0000-0000FE510000}"/>
    <cellStyle name="Normal 10 2 5 5 2 3" xfId="22250" xr:uid="{00000000-0005-0000-0000-0000FF510000}"/>
    <cellStyle name="Normal 10 2 5 5 2 3 2" xfId="49383" xr:uid="{00000000-0005-0000-0000-000000520000}"/>
    <cellStyle name="Normal 10 2 5 5 2 4" xfId="35821" xr:uid="{00000000-0005-0000-0000-000001520000}"/>
    <cellStyle name="Normal 10 2 5 5 3" xfId="12074" xr:uid="{00000000-0005-0000-0000-000002520000}"/>
    <cellStyle name="Normal 10 2 5 5 3 2" xfId="25642" xr:uid="{00000000-0005-0000-0000-000003520000}"/>
    <cellStyle name="Normal 10 2 5 5 3 2 2" xfId="52775" xr:uid="{00000000-0005-0000-0000-000004520000}"/>
    <cellStyle name="Normal 10 2 5 5 3 3" xfId="39213" xr:uid="{00000000-0005-0000-0000-000005520000}"/>
    <cellStyle name="Normal 10 2 5 5 4" xfId="18861" xr:uid="{00000000-0005-0000-0000-000006520000}"/>
    <cellStyle name="Normal 10 2 5 5 4 2" xfId="45994" xr:uid="{00000000-0005-0000-0000-000007520000}"/>
    <cellStyle name="Normal 10 2 5 5 5" xfId="32432" xr:uid="{00000000-0005-0000-0000-000008520000}"/>
    <cellStyle name="Normal 10 2 5 6" xfId="5114" xr:uid="{00000000-0005-0000-0000-000009520000}"/>
    <cellStyle name="Normal 10 2 5 6 2" xfId="8675" xr:uid="{00000000-0005-0000-0000-00000A520000}"/>
    <cellStyle name="Normal 10 2 5 6 2 2" xfId="15464" xr:uid="{00000000-0005-0000-0000-00000B520000}"/>
    <cellStyle name="Normal 10 2 5 6 2 2 2" xfId="29032" xr:uid="{00000000-0005-0000-0000-00000C520000}"/>
    <cellStyle name="Normal 10 2 5 6 2 2 2 2" xfId="56165" xr:uid="{00000000-0005-0000-0000-00000D520000}"/>
    <cellStyle name="Normal 10 2 5 6 2 2 3" xfId="42603" xr:uid="{00000000-0005-0000-0000-00000E520000}"/>
    <cellStyle name="Normal 10 2 5 6 2 3" xfId="22251" xr:uid="{00000000-0005-0000-0000-00000F520000}"/>
    <cellStyle name="Normal 10 2 5 6 2 3 2" xfId="49384" xr:uid="{00000000-0005-0000-0000-000010520000}"/>
    <cellStyle name="Normal 10 2 5 6 2 4" xfId="35822" xr:uid="{00000000-0005-0000-0000-000011520000}"/>
    <cellStyle name="Normal 10 2 5 6 3" xfId="12075" xr:uid="{00000000-0005-0000-0000-000012520000}"/>
    <cellStyle name="Normal 10 2 5 6 3 2" xfId="25643" xr:uid="{00000000-0005-0000-0000-000013520000}"/>
    <cellStyle name="Normal 10 2 5 6 3 2 2" xfId="52776" xr:uid="{00000000-0005-0000-0000-000014520000}"/>
    <cellStyle name="Normal 10 2 5 6 3 3" xfId="39214" xr:uid="{00000000-0005-0000-0000-000015520000}"/>
    <cellStyle name="Normal 10 2 5 6 4" xfId="18862" xr:uid="{00000000-0005-0000-0000-000016520000}"/>
    <cellStyle name="Normal 10 2 5 6 4 2" xfId="45995" xr:uid="{00000000-0005-0000-0000-000017520000}"/>
    <cellStyle name="Normal 10 2 5 6 5" xfId="32433" xr:uid="{00000000-0005-0000-0000-000018520000}"/>
    <cellStyle name="Normal 10 2 5 7" xfId="8660" xr:uid="{00000000-0005-0000-0000-000019520000}"/>
    <cellStyle name="Normal 10 2 5 7 2" xfId="15449" xr:uid="{00000000-0005-0000-0000-00001A520000}"/>
    <cellStyle name="Normal 10 2 5 7 2 2" xfId="29017" xr:uid="{00000000-0005-0000-0000-00001B520000}"/>
    <cellStyle name="Normal 10 2 5 7 2 2 2" xfId="56150" xr:uid="{00000000-0005-0000-0000-00001C520000}"/>
    <cellStyle name="Normal 10 2 5 7 2 3" xfId="42588" xr:uid="{00000000-0005-0000-0000-00001D520000}"/>
    <cellStyle name="Normal 10 2 5 7 3" xfId="22236" xr:uid="{00000000-0005-0000-0000-00001E520000}"/>
    <cellStyle name="Normal 10 2 5 7 3 2" xfId="49369" xr:uid="{00000000-0005-0000-0000-00001F520000}"/>
    <cellStyle name="Normal 10 2 5 7 4" xfId="35807" xr:uid="{00000000-0005-0000-0000-000020520000}"/>
    <cellStyle name="Normal 10 2 5 8" xfId="12060" xr:uid="{00000000-0005-0000-0000-000021520000}"/>
    <cellStyle name="Normal 10 2 5 8 2" xfId="25628" xr:uid="{00000000-0005-0000-0000-000022520000}"/>
    <cellStyle name="Normal 10 2 5 8 2 2" xfId="52761" xr:uid="{00000000-0005-0000-0000-000023520000}"/>
    <cellStyle name="Normal 10 2 5 8 3" xfId="39199" xr:uid="{00000000-0005-0000-0000-000024520000}"/>
    <cellStyle name="Normal 10 2 5 9" xfId="18847" xr:uid="{00000000-0005-0000-0000-000025520000}"/>
    <cellStyle name="Normal 10 2 5 9 2" xfId="45980" xr:uid="{00000000-0005-0000-0000-000026520000}"/>
    <cellStyle name="Normal 10 2 6" xfId="5115" xr:uid="{00000000-0005-0000-0000-000027520000}"/>
    <cellStyle name="Normal 10 2 6 2" xfId="5116" xr:uid="{00000000-0005-0000-0000-000028520000}"/>
    <cellStyle name="Normal 10 2 6 2 2" xfId="5117" xr:uid="{00000000-0005-0000-0000-000029520000}"/>
    <cellStyle name="Normal 10 2 6 2 2 2" xfId="8678" xr:uid="{00000000-0005-0000-0000-00002A520000}"/>
    <cellStyle name="Normal 10 2 6 2 2 2 2" xfId="15467" xr:uid="{00000000-0005-0000-0000-00002B520000}"/>
    <cellStyle name="Normal 10 2 6 2 2 2 2 2" xfId="29035" xr:uid="{00000000-0005-0000-0000-00002C520000}"/>
    <cellStyle name="Normal 10 2 6 2 2 2 2 2 2" xfId="56168" xr:uid="{00000000-0005-0000-0000-00002D520000}"/>
    <cellStyle name="Normal 10 2 6 2 2 2 2 3" xfId="42606" xr:uid="{00000000-0005-0000-0000-00002E520000}"/>
    <cellStyle name="Normal 10 2 6 2 2 2 3" xfId="22254" xr:uid="{00000000-0005-0000-0000-00002F520000}"/>
    <cellStyle name="Normal 10 2 6 2 2 2 3 2" xfId="49387" xr:uid="{00000000-0005-0000-0000-000030520000}"/>
    <cellStyle name="Normal 10 2 6 2 2 2 4" xfId="35825" xr:uid="{00000000-0005-0000-0000-000031520000}"/>
    <cellStyle name="Normal 10 2 6 2 2 3" xfId="12078" xr:uid="{00000000-0005-0000-0000-000032520000}"/>
    <cellStyle name="Normal 10 2 6 2 2 3 2" xfId="25646" xr:uid="{00000000-0005-0000-0000-000033520000}"/>
    <cellStyle name="Normal 10 2 6 2 2 3 2 2" xfId="52779" xr:uid="{00000000-0005-0000-0000-000034520000}"/>
    <cellStyle name="Normal 10 2 6 2 2 3 3" xfId="39217" xr:uid="{00000000-0005-0000-0000-000035520000}"/>
    <cellStyle name="Normal 10 2 6 2 2 4" xfId="18865" xr:uid="{00000000-0005-0000-0000-000036520000}"/>
    <cellStyle name="Normal 10 2 6 2 2 4 2" xfId="45998" xr:uid="{00000000-0005-0000-0000-000037520000}"/>
    <cellStyle name="Normal 10 2 6 2 2 5" xfId="32436" xr:uid="{00000000-0005-0000-0000-000038520000}"/>
    <cellStyle name="Normal 10 2 6 2 3" xfId="5118" xr:uid="{00000000-0005-0000-0000-000039520000}"/>
    <cellStyle name="Normal 10 2 6 2 3 2" xfId="8679" xr:uid="{00000000-0005-0000-0000-00003A520000}"/>
    <cellStyle name="Normal 10 2 6 2 3 2 2" xfId="15468" xr:uid="{00000000-0005-0000-0000-00003B520000}"/>
    <cellStyle name="Normal 10 2 6 2 3 2 2 2" xfId="29036" xr:uid="{00000000-0005-0000-0000-00003C520000}"/>
    <cellStyle name="Normal 10 2 6 2 3 2 2 2 2" xfId="56169" xr:uid="{00000000-0005-0000-0000-00003D520000}"/>
    <cellStyle name="Normal 10 2 6 2 3 2 2 3" xfId="42607" xr:uid="{00000000-0005-0000-0000-00003E520000}"/>
    <cellStyle name="Normal 10 2 6 2 3 2 3" xfId="22255" xr:uid="{00000000-0005-0000-0000-00003F520000}"/>
    <cellStyle name="Normal 10 2 6 2 3 2 3 2" xfId="49388" xr:uid="{00000000-0005-0000-0000-000040520000}"/>
    <cellStyle name="Normal 10 2 6 2 3 2 4" xfId="35826" xr:uid="{00000000-0005-0000-0000-000041520000}"/>
    <cellStyle name="Normal 10 2 6 2 3 3" xfId="12079" xr:uid="{00000000-0005-0000-0000-000042520000}"/>
    <cellStyle name="Normal 10 2 6 2 3 3 2" xfId="25647" xr:uid="{00000000-0005-0000-0000-000043520000}"/>
    <cellStyle name="Normal 10 2 6 2 3 3 2 2" xfId="52780" xr:uid="{00000000-0005-0000-0000-000044520000}"/>
    <cellStyle name="Normal 10 2 6 2 3 3 3" xfId="39218" xr:uid="{00000000-0005-0000-0000-000045520000}"/>
    <cellStyle name="Normal 10 2 6 2 3 4" xfId="18866" xr:uid="{00000000-0005-0000-0000-000046520000}"/>
    <cellStyle name="Normal 10 2 6 2 3 4 2" xfId="45999" xr:uid="{00000000-0005-0000-0000-000047520000}"/>
    <cellStyle name="Normal 10 2 6 2 3 5" xfId="32437" xr:uid="{00000000-0005-0000-0000-000048520000}"/>
    <cellStyle name="Normal 10 2 6 2 4" xfId="8677" xr:uid="{00000000-0005-0000-0000-000049520000}"/>
    <cellStyle name="Normal 10 2 6 2 4 2" xfId="15466" xr:uid="{00000000-0005-0000-0000-00004A520000}"/>
    <cellStyle name="Normal 10 2 6 2 4 2 2" xfId="29034" xr:uid="{00000000-0005-0000-0000-00004B520000}"/>
    <cellStyle name="Normal 10 2 6 2 4 2 2 2" xfId="56167" xr:uid="{00000000-0005-0000-0000-00004C520000}"/>
    <cellStyle name="Normal 10 2 6 2 4 2 3" xfId="42605" xr:uid="{00000000-0005-0000-0000-00004D520000}"/>
    <cellStyle name="Normal 10 2 6 2 4 3" xfId="22253" xr:uid="{00000000-0005-0000-0000-00004E520000}"/>
    <cellStyle name="Normal 10 2 6 2 4 3 2" xfId="49386" xr:uid="{00000000-0005-0000-0000-00004F520000}"/>
    <cellStyle name="Normal 10 2 6 2 4 4" xfId="35824" xr:uid="{00000000-0005-0000-0000-000050520000}"/>
    <cellStyle name="Normal 10 2 6 2 5" xfId="12077" xr:uid="{00000000-0005-0000-0000-000051520000}"/>
    <cellStyle name="Normal 10 2 6 2 5 2" xfId="25645" xr:uid="{00000000-0005-0000-0000-000052520000}"/>
    <cellStyle name="Normal 10 2 6 2 5 2 2" xfId="52778" xr:uid="{00000000-0005-0000-0000-000053520000}"/>
    <cellStyle name="Normal 10 2 6 2 5 3" xfId="39216" xr:uid="{00000000-0005-0000-0000-000054520000}"/>
    <cellStyle name="Normal 10 2 6 2 6" xfId="18864" xr:uid="{00000000-0005-0000-0000-000055520000}"/>
    <cellStyle name="Normal 10 2 6 2 6 2" xfId="45997" xr:uid="{00000000-0005-0000-0000-000056520000}"/>
    <cellStyle name="Normal 10 2 6 2 7" xfId="32435" xr:uid="{00000000-0005-0000-0000-000057520000}"/>
    <cellStyle name="Normal 10 2 6 3" xfId="5119" xr:uid="{00000000-0005-0000-0000-000058520000}"/>
    <cellStyle name="Normal 10 2 6 3 2" xfId="5120" xr:uid="{00000000-0005-0000-0000-000059520000}"/>
    <cellStyle name="Normal 10 2 6 3 2 2" xfId="8681" xr:uid="{00000000-0005-0000-0000-00005A520000}"/>
    <cellStyle name="Normal 10 2 6 3 2 2 2" xfId="15470" xr:uid="{00000000-0005-0000-0000-00005B520000}"/>
    <cellStyle name="Normal 10 2 6 3 2 2 2 2" xfId="29038" xr:uid="{00000000-0005-0000-0000-00005C520000}"/>
    <cellStyle name="Normal 10 2 6 3 2 2 2 2 2" xfId="56171" xr:uid="{00000000-0005-0000-0000-00005D520000}"/>
    <cellStyle name="Normal 10 2 6 3 2 2 2 3" xfId="42609" xr:uid="{00000000-0005-0000-0000-00005E520000}"/>
    <cellStyle name="Normal 10 2 6 3 2 2 3" xfId="22257" xr:uid="{00000000-0005-0000-0000-00005F520000}"/>
    <cellStyle name="Normal 10 2 6 3 2 2 3 2" xfId="49390" xr:uid="{00000000-0005-0000-0000-000060520000}"/>
    <cellStyle name="Normal 10 2 6 3 2 2 4" xfId="35828" xr:uid="{00000000-0005-0000-0000-000061520000}"/>
    <cellStyle name="Normal 10 2 6 3 2 3" xfId="12081" xr:uid="{00000000-0005-0000-0000-000062520000}"/>
    <cellStyle name="Normal 10 2 6 3 2 3 2" xfId="25649" xr:uid="{00000000-0005-0000-0000-000063520000}"/>
    <cellStyle name="Normal 10 2 6 3 2 3 2 2" xfId="52782" xr:uid="{00000000-0005-0000-0000-000064520000}"/>
    <cellStyle name="Normal 10 2 6 3 2 3 3" xfId="39220" xr:uid="{00000000-0005-0000-0000-000065520000}"/>
    <cellStyle name="Normal 10 2 6 3 2 4" xfId="18868" xr:uid="{00000000-0005-0000-0000-000066520000}"/>
    <cellStyle name="Normal 10 2 6 3 2 4 2" xfId="46001" xr:uid="{00000000-0005-0000-0000-000067520000}"/>
    <cellStyle name="Normal 10 2 6 3 2 5" xfId="32439" xr:uid="{00000000-0005-0000-0000-000068520000}"/>
    <cellStyle name="Normal 10 2 6 3 3" xfId="8680" xr:uid="{00000000-0005-0000-0000-000069520000}"/>
    <cellStyle name="Normal 10 2 6 3 3 2" xfId="15469" xr:uid="{00000000-0005-0000-0000-00006A520000}"/>
    <cellStyle name="Normal 10 2 6 3 3 2 2" xfId="29037" xr:uid="{00000000-0005-0000-0000-00006B520000}"/>
    <cellStyle name="Normal 10 2 6 3 3 2 2 2" xfId="56170" xr:uid="{00000000-0005-0000-0000-00006C520000}"/>
    <cellStyle name="Normal 10 2 6 3 3 2 3" xfId="42608" xr:uid="{00000000-0005-0000-0000-00006D520000}"/>
    <cellStyle name="Normal 10 2 6 3 3 3" xfId="22256" xr:uid="{00000000-0005-0000-0000-00006E520000}"/>
    <cellStyle name="Normal 10 2 6 3 3 3 2" xfId="49389" xr:uid="{00000000-0005-0000-0000-00006F520000}"/>
    <cellStyle name="Normal 10 2 6 3 3 4" xfId="35827" xr:uid="{00000000-0005-0000-0000-000070520000}"/>
    <cellStyle name="Normal 10 2 6 3 4" xfId="12080" xr:uid="{00000000-0005-0000-0000-000071520000}"/>
    <cellStyle name="Normal 10 2 6 3 4 2" xfId="25648" xr:uid="{00000000-0005-0000-0000-000072520000}"/>
    <cellStyle name="Normal 10 2 6 3 4 2 2" xfId="52781" xr:uid="{00000000-0005-0000-0000-000073520000}"/>
    <cellStyle name="Normal 10 2 6 3 4 3" xfId="39219" xr:uid="{00000000-0005-0000-0000-000074520000}"/>
    <cellStyle name="Normal 10 2 6 3 5" xfId="18867" xr:uid="{00000000-0005-0000-0000-000075520000}"/>
    <cellStyle name="Normal 10 2 6 3 5 2" xfId="46000" xr:uid="{00000000-0005-0000-0000-000076520000}"/>
    <cellStyle name="Normal 10 2 6 3 6" xfId="32438" xr:uid="{00000000-0005-0000-0000-000077520000}"/>
    <cellStyle name="Normal 10 2 6 4" xfId="5121" xr:uid="{00000000-0005-0000-0000-000078520000}"/>
    <cellStyle name="Normal 10 2 6 4 2" xfId="8682" xr:uid="{00000000-0005-0000-0000-000079520000}"/>
    <cellStyle name="Normal 10 2 6 4 2 2" xfId="15471" xr:uid="{00000000-0005-0000-0000-00007A520000}"/>
    <cellStyle name="Normal 10 2 6 4 2 2 2" xfId="29039" xr:uid="{00000000-0005-0000-0000-00007B520000}"/>
    <cellStyle name="Normal 10 2 6 4 2 2 2 2" xfId="56172" xr:uid="{00000000-0005-0000-0000-00007C520000}"/>
    <cellStyle name="Normal 10 2 6 4 2 2 3" xfId="42610" xr:uid="{00000000-0005-0000-0000-00007D520000}"/>
    <cellStyle name="Normal 10 2 6 4 2 3" xfId="22258" xr:uid="{00000000-0005-0000-0000-00007E520000}"/>
    <cellStyle name="Normal 10 2 6 4 2 3 2" xfId="49391" xr:uid="{00000000-0005-0000-0000-00007F520000}"/>
    <cellStyle name="Normal 10 2 6 4 2 4" xfId="35829" xr:uid="{00000000-0005-0000-0000-000080520000}"/>
    <cellStyle name="Normal 10 2 6 4 3" xfId="12082" xr:uid="{00000000-0005-0000-0000-000081520000}"/>
    <cellStyle name="Normal 10 2 6 4 3 2" xfId="25650" xr:uid="{00000000-0005-0000-0000-000082520000}"/>
    <cellStyle name="Normal 10 2 6 4 3 2 2" xfId="52783" xr:uid="{00000000-0005-0000-0000-000083520000}"/>
    <cellStyle name="Normal 10 2 6 4 3 3" xfId="39221" xr:uid="{00000000-0005-0000-0000-000084520000}"/>
    <cellStyle name="Normal 10 2 6 4 4" xfId="18869" xr:uid="{00000000-0005-0000-0000-000085520000}"/>
    <cellStyle name="Normal 10 2 6 4 4 2" xfId="46002" xr:uid="{00000000-0005-0000-0000-000086520000}"/>
    <cellStyle name="Normal 10 2 6 4 5" xfId="32440" xr:uid="{00000000-0005-0000-0000-000087520000}"/>
    <cellStyle name="Normal 10 2 6 5" xfId="5122" xr:uid="{00000000-0005-0000-0000-000088520000}"/>
    <cellStyle name="Normal 10 2 6 5 2" xfId="8683" xr:uid="{00000000-0005-0000-0000-000089520000}"/>
    <cellStyle name="Normal 10 2 6 5 2 2" xfId="15472" xr:uid="{00000000-0005-0000-0000-00008A520000}"/>
    <cellStyle name="Normal 10 2 6 5 2 2 2" xfId="29040" xr:uid="{00000000-0005-0000-0000-00008B520000}"/>
    <cellStyle name="Normal 10 2 6 5 2 2 2 2" xfId="56173" xr:uid="{00000000-0005-0000-0000-00008C520000}"/>
    <cellStyle name="Normal 10 2 6 5 2 2 3" xfId="42611" xr:uid="{00000000-0005-0000-0000-00008D520000}"/>
    <cellStyle name="Normal 10 2 6 5 2 3" xfId="22259" xr:uid="{00000000-0005-0000-0000-00008E520000}"/>
    <cellStyle name="Normal 10 2 6 5 2 3 2" xfId="49392" xr:uid="{00000000-0005-0000-0000-00008F520000}"/>
    <cellStyle name="Normal 10 2 6 5 2 4" xfId="35830" xr:uid="{00000000-0005-0000-0000-000090520000}"/>
    <cellStyle name="Normal 10 2 6 5 3" xfId="12083" xr:uid="{00000000-0005-0000-0000-000091520000}"/>
    <cellStyle name="Normal 10 2 6 5 3 2" xfId="25651" xr:uid="{00000000-0005-0000-0000-000092520000}"/>
    <cellStyle name="Normal 10 2 6 5 3 2 2" xfId="52784" xr:uid="{00000000-0005-0000-0000-000093520000}"/>
    <cellStyle name="Normal 10 2 6 5 3 3" xfId="39222" xr:uid="{00000000-0005-0000-0000-000094520000}"/>
    <cellStyle name="Normal 10 2 6 5 4" xfId="18870" xr:uid="{00000000-0005-0000-0000-000095520000}"/>
    <cellStyle name="Normal 10 2 6 5 4 2" xfId="46003" xr:uid="{00000000-0005-0000-0000-000096520000}"/>
    <cellStyle name="Normal 10 2 6 5 5" xfId="32441" xr:uid="{00000000-0005-0000-0000-000097520000}"/>
    <cellStyle name="Normal 10 2 6 6" xfId="8676" xr:uid="{00000000-0005-0000-0000-000098520000}"/>
    <cellStyle name="Normal 10 2 6 6 2" xfId="15465" xr:uid="{00000000-0005-0000-0000-000099520000}"/>
    <cellStyle name="Normal 10 2 6 6 2 2" xfId="29033" xr:uid="{00000000-0005-0000-0000-00009A520000}"/>
    <cellStyle name="Normal 10 2 6 6 2 2 2" xfId="56166" xr:uid="{00000000-0005-0000-0000-00009B520000}"/>
    <cellStyle name="Normal 10 2 6 6 2 3" xfId="42604" xr:uid="{00000000-0005-0000-0000-00009C520000}"/>
    <cellStyle name="Normal 10 2 6 6 3" xfId="22252" xr:uid="{00000000-0005-0000-0000-00009D520000}"/>
    <cellStyle name="Normal 10 2 6 6 3 2" xfId="49385" xr:uid="{00000000-0005-0000-0000-00009E520000}"/>
    <cellStyle name="Normal 10 2 6 6 4" xfId="35823" xr:uid="{00000000-0005-0000-0000-00009F520000}"/>
    <cellStyle name="Normal 10 2 6 7" xfId="12076" xr:uid="{00000000-0005-0000-0000-0000A0520000}"/>
    <cellStyle name="Normal 10 2 6 7 2" xfId="25644" xr:uid="{00000000-0005-0000-0000-0000A1520000}"/>
    <cellStyle name="Normal 10 2 6 7 2 2" xfId="52777" xr:uid="{00000000-0005-0000-0000-0000A2520000}"/>
    <cellStyle name="Normal 10 2 6 7 3" xfId="39215" xr:uid="{00000000-0005-0000-0000-0000A3520000}"/>
    <cellStyle name="Normal 10 2 6 8" xfId="18863" xr:uid="{00000000-0005-0000-0000-0000A4520000}"/>
    <cellStyle name="Normal 10 2 6 8 2" xfId="45996" xr:uid="{00000000-0005-0000-0000-0000A5520000}"/>
    <cellStyle name="Normal 10 2 6 9" xfId="32434" xr:uid="{00000000-0005-0000-0000-0000A6520000}"/>
    <cellStyle name="Normal 10 2 7" xfId="5123" xr:uid="{00000000-0005-0000-0000-0000A7520000}"/>
    <cellStyle name="Normal 10 2 7 2" xfId="5124" xr:uid="{00000000-0005-0000-0000-0000A8520000}"/>
    <cellStyle name="Normal 10 2 7 2 2" xfId="5125" xr:uid="{00000000-0005-0000-0000-0000A9520000}"/>
    <cellStyle name="Normal 10 2 7 2 2 2" xfId="8686" xr:uid="{00000000-0005-0000-0000-0000AA520000}"/>
    <cellStyle name="Normal 10 2 7 2 2 2 2" xfId="15475" xr:uid="{00000000-0005-0000-0000-0000AB520000}"/>
    <cellStyle name="Normal 10 2 7 2 2 2 2 2" xfId="29043" xr:uid="{00000000-0005-0000-0000-0000AC520000}"/>
    <cellStyle name="Normal 10 2 7 2 2 2 2 2 2" xfId="56176" xr:uid="{00000000-0005-0000-0000-0000AD520000}"/>
    <cellStyle name="Normal 10 2 7 2 2 2 2 3" xfId="42614" xr:uid="{00000000-0005-0000-0000-0000AE520000}"/>
    <cellStyle name="Normal 10 2 7 2 2 2 3" xfId="22262" xr:uid="{00000000-0005-0000-0000-0000AF520000}"/>
    <cellStyle name="Normal 10 2 7 2 2 2 3 2" xfId="49395" xr:uid="{00000000-0005-0000-0000-0000B0520000}"/>
    <cellStyle name="Normal 10 2 7 2 2 2 4" xfId="35833" xr:uid="{00000000-0005-0000-0000-0000B1520000}"/>
    <cellStyle name="Normal 10 2 7 2 2 3" xfId="12086" xr:uid="{00000000-0005-0000-0000-0000B2520000}"/>
    <cellStyle name="Normal 10 2 7 2 2 3 2" xfId="25654" xr:uid="{00000000-0005-0000-0000-0000B3520000}"/>
    <cellStyle name="Normal 10 2 7 2 2 3 2 2" xfId="52787" xr:uid="{00000000-0005-0000-0000-0000B4520000}"/>
    <cellStyle name="Normal 10 2 7 2 2 3 3" xfId="39225" xr:uid="{00000000-0005-0000-0000-0000B5520000}"/>
    <cellStyle name="Normal 10 2 7 2 2 4" xfId="18873" xr:uid="{00000000-0005-0000-0000-0000B6520000}"/>
    <cellStyle name="Normal 10 2 7 2 2 4 2" xfId="46006" xr:uid="{00000000-0005-0000-0000-0000B7520000}"/>
    <cellStyle name="Normal 10 2 7 2 2 5" xfId="32444" xr:uid="{00000000-0005-0000-0000-0000B8520000}"/>
    <cellStyle name="Normal 10 2 7 2 3" xfId="5126" xr:uid="{00000000-0005-0000-0000-0000B9520000}"/>
    <cellStyle name="Normal 10 2 7 2 3 2" xfId="8687" xr:uid="{00000000-0005-0000-0000-0000BA520000}"/>
    <cellStyle name="Normal 10 2 7 2 3 2 2" xfId="15476" xr:uid="{00000000-0005-0000-0000-0000BB520000}"/>
    <cellStyle name="Normal 10 2 7 2 3 2 2 2" xfId="29044" xr:uid="{00000000-0005-0000-0000-0000BC520000}"/>
    <cellStyle name="Normal 10 2 7 2 3 2 2 2 2" xfId="56177" xr:uid="{00000000-0005-0000-0000-0000BD520000}"/>
    <cellStyle name="Normal 10 2 7 2 3 2 2 3" xfId="42615" xr:uid="{00000000-0005-0000-0000-0000BE520000}"/>
    <cellStyle name="Normal 10 2 7 2 3 2 3" xfId="22263" xr:uid="{00000000-0005-0000-0000-0000BF520000}"/>
    <cellStyle name="Normal 10 2 7 2 3 2 3 2" xfId="49396" xr:uid="{00000000-0005-0000-0000-0000C0520000}"/>
    <cellStyle name="Normal 10 2 7 2 3 2 4" xfId="35834" xr:uid="{00000000-0005-0000-0000-0000C1520000}"/>
    <cellStyle name="Normal 10 2 7 2 3 3" xfId="12087" xr:uid="{00000000-0005-0000-0000-0000C2520000}"/>
    <cellStyle name="Normal 10 2 7 2 3 3 2" xfId="25655" xr:uid="{00000000-0005-0000-0000-0000C3520000}"/>
    <cellStyle name="Normal 10 2 7 2 3 3 2 2" xfId="52788" xr:uid="{00000000-0005-0000-0000-0000C4520000}"/>
    <cellStyle name="Normal 10 2 7 2 3 3 3" xfId="39226" xr:uid="{00000000-0005-0000-0000-0000C5520000}"/>
    <cellStyle name="Normal 10 2 7 2 3 4" xfId="18874" xr:uid="{00000000-0005-0000-0000-0000C6520000}"/>
    <cellStyle name="Normal 10 2 7 2 3 4 2" xfId="46007" xr:uid="{00000000-0005-0000-0000-0000C7520000}"/>
    <cellStyle name="Normal 10 2 7 2 3 5" xfId="32445" xr:uid="{00000000-0005-0000-0000-0000C8520000}"/>
    <cellStyle name="Normal 10 2 7 2 4" xfId="8685" xr:uid="{00000000-0005-0000-0000-0000C9520000}"/>
    <cellStyle name="Normal 10 2 7 2 4 2" xfId="15474" xr:uid="{00000000-0005-0000-0000-0000CA520000}"/>
    <cellStyle name="Normal 10 2 7 2 4 2 2" xfId="29042" xr:uid="{00000000-0005-0000-0000-0000CB520000}"/>
    <cellStyle name="Normal 10 2 7 2 4 2 2 2" xfId="56175" xr:uid="{00000000-0005-0000-0000-0000CC520000}"/>
    <cellStyle name="Normal 10 2 7 2 4 2 3" xfId="42613" xr:uid="{00000000-0005-0000-0000-0000CD520000}"/>
    <cellStyle name="Normal 10 2 7 2 4 3" xfId="22261" xr:uid="{00000000-0005-0000-0000-0000CE520000}"/>
    <cellStyle name="Normal 10 2 7 2 4 3 2" xfId="49394" xr:uid="{00000000-0005-0000-0000-0000CF520000}"/>
    <cellStyle name="Normal 10 2 7 2 4 4" xfId="35832" xr:uid="{00000000-0005-0000-0000-0000D0520000}"/>
    <cellStyle name="Normal 10 2 7 2 5" xfId="12085" xr:uid="{00000000-0005-0000-0000-0000D1520000}"/>
    <cellStyle name="Normal 10 2 7 2 5 2" xfId="25653" xr:uid="{00000000-0005-0000-0000-0000D2520000}"/>
    <cellStyle name="Normal 10 2 7 2 5 2 2" xfId="52786" xr:uid="{00000000-0005-0000-0000-0000D3520000}"/>
    <cellStyle name="Normal 10 2 7 2 5 3" xfId="39224" xr:uid="{00000000-0005-0000-0000-0000D4520000}"/>
    <cellStyle name="Normal 10 2 7 2 6" xfId="18872" xr:uid="{00000000-0005-0000-0000-0000D5520000}"/>
    <cellStyle name="Normal 10 2 7 2 6 2" xfId="46005" xr:uid="{00000000-0005-0000-0000-0000D6520000}"/>
    <cellStyle name="Normal 10 2 7 2 7" xfId="32443" xr:uid="{00000000-0005-0000-0000-0000D7520000}"/>
    <cellStyle name="Normal 10 2 7 3" xfId="5127" xr:uid="{00000000-0005-0000-0000-0000D8520000}"/>
    <cellStyle name="Normal 10 2 7 3 2" xfId="8688" xr:uid="{00000000-0005-0000-0000-0000D9520000}"/>
    <cellStyle name="Normal 10 2 7 3 2 2" xfId="15477" xr:uid="{00000000-0005-0000-0000-0000DA520000}"/>
    <cellStyle name="Normal 10 2 7 3 2 2 2" xfId="29045" xr:uid="{00000000-0005-0000-0000-0000DB520000}"/>
    <cellStyle name="Normal 10 2 7 3 2 2 2 2" xfId="56178" xr:uid="{00000000-0005-0000-0000-0000DC520000}"/>
    <cellStyle name="Normal 10 2 7 3 2 2 3" xfId="42616" xr:uid="{00000000-0005-0000-0000-0000DD520000}"/>
    <cellStyle name="Normal 10 2 7 3 2 3" xfId="22264" xr:uid="{00000000-0005-0000-0000-0000DE520000}"/>
    <cellStyle name="Normal 10 2 7 3 2 3 2" xfId="49397" xr:uid="{00000000-0005-0000-0000-0000DF520000}"/>
    <cellStyle name="Normal 10 2 7 3 2 4" xfId="35835" xr:uid="{00000000-0005-0000-0000-0000E0520000}"/>
    <cellStyle name="Normal 10 2 7 3 3" xfId="12088" xr:uid="{00000000-0005-0000-0000-0000E1520000}"/>
    <cellStyle name="Normal 10 2 7 3 3 2" xfId="25656" xr:uid="{00000000-0005-0000-0000-0000E2520000}"/>
    <cellStyle name="Normal 10 2 7 3 3 2 2" xfId="52789" xr:uid="{00000000-0005-0000-0000-0000E3520000}"/>
    <cellStyle name="Normal 10 2 7 3 3 3" xfId="39227" xr:uid="{00000000-0005-0000-0000-0000E4520000}"/>
    <cellStyle name="Normal 10 2 7 3 4" xfId="18875" xr:uid="{00000000-0005-0000-0000-0000E5520000}"/>
    <cellStyle name="Normal 10 2 7 3 4 2" xfId="46008" xr:uid="{00000000-0005-0000-0000-0000E6520000}"/>
    <cellStyle name="Normal 10 2 7 3 5" xfId="32446" xr:uid="{00000000-0005-0000-0000-0000E7520000}"/>
    <cellStyle name="Normal 10 2 7 4" xfId="5128" xr:uid="{00000000-0005-0000-0000-0000E8520000}"/>
    <cellStyle name="Normal 10 2 7 4 2" xfId="8689" xr:uid="{00000000-0005-0000-0000-0000E9520000}"/>
    <cellStyle name="Normal 10 2 7 4 2 2" xfId="15478" xr:uid="{00000000-0005-0000-0000-0000EA520000}"/>
    <cellStyle name="Normal 10 2 7 4 2 2 2" xfId="29046" xr:uid="{00000000-0005-0000-0000-0000EB520000}"/>
    <cellStyle name="Normal 10 2 7 4 2 2 2 2" xfId="56179" xr:uid="{00000000-0005-0000-0000-0000EC520000}"/>
    <cellStyle name="Normal 10 2 7 4 2 2 3" xfId="42617" xr:uid="{00000000-0005-0000-0000-0000ED520000}"/>
    <cellStyle name="Normal 10 2 7 4 2 3" xfId="22265" xr:uid="{00000000-0005-0000-0000-0000EE520000}"/>
    <cellStyle name="Normal 10 2 7 4 2 3 2" xfId="49398" xr:uid="{00000000-0005-0000-0000-0000EF520000}"/>
    <cellStyle name="Normal 10 2 7 4 2 4" xfId="35836" xr:uid="{00000000-0005-0000-0000-0000F0520000}"/>
    <cellStyle name="Normal 10 2 7 4 3" xfId="12089" xr:uid="{00000000-0005-0000-0000-0000F1520000}"/>
    <cellStyle name="Normal 10 2 7 4 3 2" xfId="25657" xr:uid="{00000000-0005-0000-0000-0000F2520000}"/>
    <cellStyle name="Normal 10 2 7 4 3 2 2" xfId="52790" xr:uid="{00000000-0005-0000-0000-0000F3520000}"/>
    <cellStyle name="Normal 10 2 7 4 3 3" xfId="39228" xr:uid="{00000000-0005-0000-0000-0000F4520000}"/>
    <cellStyle name="Normal 10 2 7 4 4" xfId="18876" xr:uid="{00000000-0005-0000-0000-0000F5520000}"/>
    <cellStyle name="Normal 10 2 7 4 4 2" xfId="46009" xr:uid="{00000000-0005-0000-0000-0000F6520000}"/>
    <cellStyle name="Normal 10 2 7 4 5" xfId="32447" xr:uid="{00000000-0005-0000-0000-0000F7520000}"/>
    <cellStyle name="Normal 10 2 7 5" xfId="8684" xr:uid="{00000000-0005-0000-0000-0000F8520000}"/>
    <cellStyle name="Normal 10 2 7 5 2" xfId="15473" xr:uid="{00000000-0005-0000-0000-0000F9520000}"/>
    <cellStyle name="Normal 10 2 7 5 2 2" xfId="29041" xr:uid="{00000000-0005-0000-0000-0000FA520000}"/>
    <cellStyle name="Normal 10 2 7 5 2 2 2" xfId="56174" xr:uid="{00000000-0005-0000-0000-0000FB520000}"/>
    <cellStyle name="Normal 10 2 7 5 2 3" xfId="42612" xr:uid="{00000000-0005-0000-0000-0000FC520000}"/>
    <cellStyle name="Normal 10 2 7 5 3" xfId="22260" xr:uid="{00000000-0005-0000-0000-0000FD520000}"/>
    <cellStyle name="Normal 10 2 7 5 3 2" xfId="49393" xr:uid="{00000000-0005-0000-0000-0000FE520000}"/>
    <cellStyle name="Normal 10 2 7 5 4" xfId="35831" xr:uid="{00000000-0005-0000-0000-0000FF520000}"/>
    <cellStyle name="Normal 10 2 7 6" xfId="12084" xr:uid="{00000000-0005-0000-0000-000000530000}"/>
    <cellStyle name="Normal 10 2 7 6 2" xfId="25652" xr:uid="{00000000-0005-0000-0000-000001530000}"/>
    <cellStyle name="Normal 10 2 7 6 2 2" xfId="52785" xr:uid="{00000000-0005-0000-0000-000002530000}"/>
    <cellStyle name="Normal 10 2 7 6 3" xfId="39223" xr:uid="{00000000-0005-0000-0000-000003530000}"/>
    <cellStyle name="Normal 10 2 7 7" xfId="18871" xr:uid="{00000000-0005-0000-0000-000004530000}"/>
    <cellStyle name="Normal 10 2 7 7 2" xfId="46004" xr:uid="{00000000-0005-0000-0000-000005530000}"/>
    <cellStyle name="Normal 10 2 7 8" xfId="32442" xr:uid="{00000000-0005-0000-0000-000006530000}"/>
    <cellStyle name="Normal 10 2 8" xfId="5129" xr:uid="{00000000-0005-0000-0000-000007530000}"/>
    <cellStyle name="Normal 10 2 8 2" xfId="5130" xr:uid="{00000000-0005-0000-0000-000008530000}"/>
    <cellStyle name="Normal 10 2 8 2 2" xfId="5131" xr:uid="{00000000-0005-0000-0000-000009530000}"/>
    <cellStyle name="Normal 10 2 8 2 2 2" xfId="8692" xr:uid="{00000000-0005-0000-0000-00000A530000}"/>
    <cellStyle name="Normal 10 2 8 2 2 2 2" xfId="15481" xr:uid="{00000000-0005-0000-0000-00000B530000}"/>
    <cellStyle name="Normal 10 2 8 2 2 2 2 2" xfId="29049" xr:uid="{00000000-0005-0000-0000-00000C530000}"/>
    <cellStyle name="Normal 10 2 8 2 2 2 2 2 2" xfId="56182" xr:uid="{00000000-0005-0000-0000-00000D530000}"/>
    <cellStyle name="Normal 10 2 8 2 2 2 2 3" xfId="42620" xr:uid="{00000000-0005-0000-0000-00000E530000}"/>
    <cellStyle name="Normal 10 2 8 2 2 2 3" xfId="22268" xr:uid="{00000000-0005-0000-0000-00000F530000}"/>
    <cellStyle name="Normal 10 2 8 2 2 2 3 2" xfId="49401" xr:uid="{00000000-0005-0000-0000-000010530000}"/>
    <cellStyle name="Normal 10 2 8 2 2 2 4" xfId="35839" xr:uid="{00000000-0005-0000-0000-000011530000}"/>
    <cellStyle name="Normal 10 2 8 2 2 3" xfId="12092" xr:uid="{00000000-0005-0000-0000-000012530000}"/>
    <cellStyle name="Normal 10 2 8 2 2 3 2" xfId="25660" xr:uid="{00000000-0005-0000-0000-000013530000}"/>
    <cellStyle name="Normal 10 2 8 2 2 3 2 2" xfId="52793" xr:uid="{00000000-0005-0000-0000-000014530000}"/>
    <cellStyle name="Normal 10 2 8 2 2 3 3" xfId="39231" xr:uid="{00000000-0005-0000-0000-000015530000}"/>
    <cellStyle name="Normal 10 2 8 2 2 4" xfId="18879" xr:uid="{00000000-0005-0000-0000-000016530000}"/>
    <cellStyle name="Normal 10 2 8 2 2 4 2" xfId="46012" xr:uid="{00000000-0005-0000-0000-000017530000}"/>
    <cellStyle name="Normal 10 2 8 2 2 5" xfId="32450" xr:uid="{00000000-0005-0000-0000-000018530000}"/>
    <cellStyle name="Normal 10 2 8 2 3" xfId="5132" xr:uid="{00000000-0005-0000-0000-000019530000}"/>
    <cellStyle name="Normal 10 2 8 2 3 2" xfId="8693" xr:uid="{00000000-0005-0000-0000-00001A530000}"/>
    <cellStyle name="Normal 10 2 8 2 3 2 2" xfId="15482" xr:uid="{00000000-0005-0000-0000-00001B530000}"/>
    <cellStyle name="Normal 10 2 8 2 3 2 2 2" xfId="29050" xr:uid="{00000000-0005-0000-0000-00001C530000}"/>
    <cellStyle name="Normal 10 2 8 2 3 2 2 2 2" xfId="56183" xr:uid="{00000000-0005-0000-0000-00001D530000}"/>
    <cellStyle name="Normal 10 2 8 2 3 2 2 3" xfId="42621" xr:uid="{00000000-0005-0000-0000-00001E530000}"/>
    <cellStyle name="Normal 10 2 8 2 3 2 3" xfId="22269" xr:uid="{00000000-0005-0000-0000-00001F530000}"/>
    <cellStyle name="Normal 10 2 8 2 3 2 3 2" xfId="49402" xr:uid="{00000000-0005-0000-0000-000020530000}"/>
    <cellStyle name="Normal 10 2 8 2 3 2 4" xfId="35840" xr:uid="{00000000-0005-0000-0000-000021530000}"/>
    <cellStyle name="Normal 10 2 8 2 3 3" xfId="12093" xr:uid="{00000000-0005-0000-0000-000022530000}"/>
    <cellStyle name="Normal 10 2 8 2 3 3 2" xfId="25661" xr:uid="{00000000-0005-0000-0000-000023530000}"/>
    <cellStyle name="Normal 10 2 8 2 3 3 2 2" xfId="52794" xr:uid="{00000000-0005-0000-0000-000024530000}"/>
    <cellStyle name="Normal 10 2 8 2 3 3 3" xfId="39232" xr:uid="{00000000-0005-0000-0000-000025530000}"/>
    <cellStyle name="Normal 10 2 8 2 3 4" xfId="18880" xr:uid="{00000000-0005-0000-0000-000026530000}"/>
    <cellStyle name="Normal 10 2 8 2 3 4 2" xfId="46013" xr:uid="{00000000-0005-0000-0000-000027530000}"/>
    <cellStyle name="Normal 10 2 8 2 3 5" xfId="32451" xr:uid="{00000000-0005-0000-0000-000028530000}"/>
    <cellStyle name="Normal 10 2 8 2 4" xfId="8691" xr:uid="{00000000-0005-0000-0000-000029530000}"/>
    <cellStyle name="Normal 10 2 8 2 4 2" xfId="15480" xr:uid="{00000000-0005-0000-0000-00002A530000}"/>
    <cellStyle name="Normal 10 2 8 2 4 2 2" xfId="29048" xr:uid="{00000000-0005-0000-0000-00002B530000}"/>
    <cellStyle name="Normal 10 2 8 2 4 2 2 2" xfId="56181" xr:uid="{00000000-0005-0000-0000-00002C530000}"/>
    <cellStyle name="Normal 10 2 8 2 4 2 3" xfId="42619" xr:uid="{00000000-0005-0000-0000-00002D530000}"/>
    <cellStyle name="Normal 10 2 8 2 4 3" xfId="22267" xr:uid="{00000000-0005-0000-0000-00002E530000}"/>
    <cellStyle name="Normal 10 2 8 2 4 3 2" xfId="49400" xr:uid="{00000000-0005-0000-0000-00002F530000}"/>
    <cellStyle name="Normal 10 2 8 2 4 4" xfId="35838" xr:uid="{00000000-0005-0000-0000-000030530000}"/>
    <cellStyle name="Normal 10 2 8 2 5" xfId="12091" xr:uid="{00000000-0005-0000-0000-000031530000}"/>
    <cellStyle name="Normal 10 2 8 2 5 2" xfId="25659" xr:uid="{00000000-0005-0000-0000-000032530000}"/>
    <cellStyle name="Normal 10 2 8 2 5 2 2" xfId="52792" xr:uid="{00000000-0005-0000-0000-000033530000}"/>
    <cellStyle name="Normal 10 2 8 2 5 3" xfId="39230" xr:uid="{00000000-0005-0000-0000-000034530000}"/>
    <cellStyle name="Normal 10 2 8 2 6" xfId="18878" xr:uid="{00000000-0005-0000-0000-000035530000}"/>
    <cellStyle name="Normal 10 2 8 2 6 2" xfId="46011" xr:uid="{00000000-0005-0000-0000-000036530000}"/>
    <cellStyle name="Normal 10 2 8 2 7" xfId="32449" xr:uid="{00000000-0005-0000-0000-000037530000}"/>
    <cellStyle name="Normal 10 2 8 3" xfId="5133" xr:uid="{00000000-0005-0000-0000-000038530000}"/>
    <cellStyle name="Normal 10 2 8 3 2" xfId="8694" xr:uid="{00000000-0005-0000-0000-000039530000}"/>
    <cellStyle name="Normal 10 2 8 3 2 2" xfId="15483" xr:uid="{00000000-0005-0000-0000-00003A530000}"/>
    <cellStyle name="Normal 10 2 8 3 2 2 2" xfId="29051" xr:uid="{00000000-0005-0000-0000-00003B530000}"/>
    <cellStyle name="Normal 10 2 8 3 2 2 2 2" xfId="56184" xr:uid="{00000000-0005-0000-0000-00003C530000}"/>
    <cellStyle name="Normal 10 2 8 3 2 2 3" xfId="42622" xr:uid="{00000000-0005-0000-0000-00003D530000}"/>
    <cellStyle name="Normal 10 2 8 3 2 3" xfId="22270" xr:uid="{00000000-0005-0000-0000-00003E530000}"/>
    <cellStyle name="Normal 10 2 8 3 2 3 2" xfId="49403" xr:uid="{00000000-0005-0000-0000-00003F530000}"/>
    <cellStyle name="Normal 10 2 8 3 2 4" xfId="35841" xr:uid="{00000000-0005-0000-0000-000040530000}"/>
    <cellStyle name="Normal 10 2 8 3 3" xfId="12094" xr:uid="{00000000-0005-0000-0000-000041530000}"/>
    <cellStyle name="Normal 10 2 8 3 3 2" xfId="25662" xr:uid="{00000000-0005-0000-0000-000042530000}"/>
    <cellStyle name="Normal 10 2 8 3 3 2 2" xfId="52795" xr:uid="{00000000-0005-0000-0000-000043530000}"/>
    <cellStyle name="Normal 10 2 8 3 3 3" xfId="39233" xr:uid="{00000000-0005-0000-0000-000044530000}"/>
    <cellStyle name="Normal 10 2 8 3 4" xfId="18881" xr:uid="{00000000-0005-0000-0000-000045530000}"/>
    <cellStyle name="Normal 10 2 8 3 4 2" xfId="46014" xr:uid="{00000000-0005-0000-0000-000046530000}"/>
    <cellStyle name="Normal 10 2 8 3 5" xfId="32452" xr:uid="{00000000-0005-0000-0000-000047530000}"/>
    <cellStyle name="Normal 10 2 8 4" xfId="5134" xr:uid="{00000000-0005-0000-0000-000048530000}"/>
    <cellStyle name="Normal 10 2 8 4 2" xfId="8695" xr:uid="{00000000-0005-0000-0000-000049530000}"/>
    <cellStyle name="Normal 10 2 8 4 2 2" xfId="15484" xr:uid="{00000000-0005-0000-0000-00004A530000}"/>
    <cellStyle name="Normal 10 2 8 4 2 2 2" xfId="29052" xr:uid="{00000000-0005-0000-0000-00004B530000}"/>
    <cellStyle name="Normal 10 2 8 4 2 2 2 2" xfId="56185" xr:uid="{00000000-0005-0000-0000-00004C530000}"/>
    <cellStyle name="Normal 10 2 8 4 2 2 3" xfId="42623" xr:uid="{00000000-0005-0000-0000-00004D530000}"/>
    <cellStyle name="Normal 10 2 8 4 2 3" xfId="22271" xr:uid="{00000000-0005-0000-0000-00004E530000}"/>
    <cellStyle name="Normal 10 2 8 4 2 3 2" xfId="49404" xr:uid="{00000000-0005-0000-0000-00004F530000}"/>
    <cellStyle name="Normal 10 2 8 4 2 4" xfId="35842" xr:uid="{00000000-0005-0000-0000-000050530000}"/>
    <cellStyle name="Normal 10 2 8 4 3" xfId="12095" xr:uid="{00000000-0005-0000-0000-000051530000}"/>
    <cellStyle name="Normal 10 2 8 4 3 2" xfId="25663" xr:uid="{00000000-0005-0000-0000-000052530000}"/>
    <cellStyle name="Normal 10 2 8 4 3 2 2" xfId="52796" xr:uid="{00000000-0005-0000-0000-000053530000}"/>
    <cellStyle name="Normal 10 2 8 4 3 3" xfId="39234" xr:uid="{00000000-0005-0000-0000-000054530000}"/>
    <cellStyle name="Normal 10 2 8 4 4" xfId="18882" xr:uid="{00000000-0005-0000-0000-000055530000}"/>
    <cellStyle name="Normal 10 2 8 4 4 2" xfId="46015" xr:uid="{00000000-0005-0000-0000-000056530000}"/>
    <cellStyle name="Normal 10 2 8 4 5" xfId="32453" xr:uid="{00000000-0005-0000-0000-000057530000}"/>
    <cellStyle name="Normal 10 2 8 5" xfId="8690" xr:uid="{00000000-0005-0000-0000-000058530000}"/>
    <cellStyle name="Normal 10 2 8 5 2" xfId="15479" xr:uid="{00000000-0005-0000-0000-000059530000}"/>
    <cellStyle name="Normal 10 2 8 5 2 2" xfId="29047" xr:uid="{00000000-0005-0000-0000-00005A530000}"/>
    <cellStyle name="Normal 10 2 8 5 2 2 2" xfId="56180" xr:uid="{00000000-0005-0000-0000-00005B530000}"/>
    <cellStyle name="Normal 10 2 8 5 2 3" xfId="42618" xr:uid="{00000000-0005-0000-0000-00005C530000}"/>
    <cellStyle name="Normal 10 2 8 5 3" xfId="22266" xr:uid="{00000000-0005-0000-0000-00005D530000}"/>
    <cellStyle name="Normal 10 2 8 5 3 2" xfId="49399" xr:uid="{00000000-0005-0000-0000-00005E530000}"/>
    <cellStyle name="Normal 10 2 8 5 4" xfId="35837" xr:uid="{00000000-0005-0000-0000-00005F530000}"/>
    <cellStyle name="Normal 10 2 8 6" xfId="12090" xr:uid="{00000000-0005-0000-0000-000060530000}"/>
    <cellStyle name="Normal 10 2 8 6 2" xfId="25658" xr:uid="{00000000-0005-0000-0000-000061530000}"/>
    <cellStyle name="Normal 10 2 8 6 2 2" xfId="52791" xr:uid="{00000000-0005-0000-0000-000062530000}"/>
    <cellStyle name="Normal 10 2 8 6 3" xfId="39229" xr:uid="{00000000-0005-0000-0000-000063530000}"/>
    <cellStyle name="Normal 10 2 8 7" xfId="18877" xr:uid="{00000000-0005-0000-0000-000064530000}"/>
    <cellStyle name="Normal 10 2 8 7 2" xfId="46010" xr:uid="{00000000-0005-0000-0000-000065530000}"/>
    <cellStyle name="Normal 10 2 8 8" xfId="32448" xr:uid="{00000000-0005-0000-0000-000066530000}"/>
    <cellStyle name="Normal 10 2 9" xfId="5135" xr:uid="{00000000-0005-0000-0000-000067530000}"/>
    <cellStyle name="Normal 10 2 9 2" xfId="5136" xr:uid="{00000000-0005-0000-0000-000068530000}"/>
    <cellStyle name="Normal 10 2 9 2 2" xfId="8697" xr:uid="{00000000-0005-0000-0000-000069530000}"/>
    <cellStyle name="Normal 10 2 9 2 2 2" xfId="15486" xr:uid="{00000000-0005-0000-0000-00006A530000}"/>
    <cellStyle name="Normal 10 2 9 2 2 2 2" xfId="29054" xr:uid="{00000000-0005-0000-0000-00006B530000}"/>
    <cellStyle name="Normal 10 2 9 2 2 2 2 2" xfId="56187" xr:uid="{00000000-0005-0000-0000-00006C530000}"/>
    <cellStyle name="Normal 10 2 9 2 2 2 3" xfId="42625" xr:uid="{00000000-0005-0000-0000-00006D530000}"/>
    <cellStyle name="Normal 10 2 9 2 2 3" xfId="22273" xr:uid="{00000000-0005-0000-0000-00006E530000}"/>
    <cellStyle name="Normal 10 2 9 2 2 3 2" xfId="49406" xr:uid="{00000000-0005-0000-0000-00006F530000}"/>
    <cellStyle name="Normal 10 2 9 2 2 4" xfId="35844" xr:uid="{00000000-0005-0000-0000-000070530000}"/>
    <cellStyle name="Normal 10 2 9 2 3" xfId="12097" xr:uid="{00000000-0005-0000-0000-000071530000}"/>
    <cellStyle name="Normal 10 2 9 2 3 2" xfId="25665" xr:uid="{00000000-0005-0000-0000-000072530000}"/>
    <cellStyle name="Normal 10 2 9 2 3 2 2" xfId="52798" xr:uid="{00000000-0005-0000-0000-000073530000}"/>
    <cellStyle name="Normal 10 2 9 2 3 3" xfId="39236" xr:uid="{00000000-0005-0000-0000-000074530000}"/>
    <cellStyle name="Normal 10 2 9 2 4" xfId="18884" xr:uid="{00000000-0005-0000-0000-000075530000}"/>
    <cellStyle name="Normal 10 2 9 2 4 2" xfId="46017" xr:uid="{00000000-0005-0000-0000-000076530000}"/>
    <cellStyle name="Normal 10 2 9 2 5" xfId="32455" xr:uid="{00000000-0005-0000-0000-000077530000}"/>
    <cellStyle name="Normal 10 2 9 3" xfId="5137" xr:uid="{00000000-0005-0000-0000-000078530000}"/>
    <cellStyle name="Normal 10 2 9 3 2" xfId="8698" xr:uid="{00000000-0005-0000-0000-000079530000}"/>
    <cellStyle name="Normal 10 2 9 3 2 2" xfId="15487" xr:uid="{00000000-0005-0000-0000-00007A530000}"/>
    <cellStyle name="Normal 10 2 9 3 2 2 2" xfId="29055" xr:uid="{00000000-0005-0000-0000-00007B530000}"/>
    <cellStyle name="Normal 10 2 9 3 2 2 2 2" xfId="56188" xr:uid="{00000000-0005-0000-0000-00007C530000}"/>
    <cellStyle name="Normal 10 2 9 3 2 2 3" xfId="42626" xr:uid="{00000000-0005-0000-0000-00007D530000}"/>
    <cellStyle name="Normal 10 2 9 3 2 3" xfId="22274" xr:uid="{00000000-0005-0000-0000-00007E530000}"/>
    <cellStyle name="Normal 10 2 9 3 2 3 2" xfId="49407" xr:uid="{00000000-0005-0000-0000-00007F530000}"/>
    <cellStyle name="Normal 10 2 9 3 2 4" xfId="35845" xr:uid="{00000000-0005-0000-0000-000080530000}"/>
    <cellStyle name="Normal 10 2 9 3 3" xfId="12098" xr:uid="{00000000-0005-0000-0000-000081530000}"/>
    <cellStyle name="Normal 10 2 9 3 3 2" xfId="25666" xr:uid="{00000000-0005-0000-0000-000082530000}"/>
    <cellStyle name="Normal 10 2 9 3 3 2 2" xfId="52799" xr:uid="{00000000-0005-0000-0000-000083530000}"/>
    <cellStyle name="Normal 10 2 9 3 3 3" xfId="39237" xr:uid="{00000000-0005-0000-0000-000084530000}"/>
    <cellStyle name="Normal 10 2 9 3 4" xfId="18885" xr:uid="{00000000-0005-0000-0000-000085530000}"/>
    <cellStyle name="Normal 10 2 9 3 4 2" xfId="46018" xr:uid="{00000000-0005-0000-0000-000086530000}"/>
    <cellStyle name="Normal 10 2 9 3 5" xfId="32456" xr:uid="{00000000-0005-0000-0000-000087530000}"/>
    <cellStyle name="Normal 10 2 9 4" xfId="8696" xr:uid="{00000000-0005-0000-0000-000088530000}"/>
    <cellStyle name="Normal 10 2 9 4 2" xfId="15485" xr:uid="{00000000-0005-0000-0000-000089530000}"/>
    <cellStyle name="Normal 10 2 9 4 2 2" xfId="29053" xr:uid="{00000000-0005-0000-0000-00008A530000}"/>
    <cellStyle name="Normal 10 2 9 4 2 2 2" xfId="56186" xr:uid="{00000000-0005-0000-0000-00008B530000}"/>
    <cellStyle name="Normal 10 2 9 4 2 3" xfId="42624" xr:uid="{00000000-0005-0000-0000-00008C530000}"/>
    <cellStyle name="Normal 10 2 9 4 3" xfId="22272" xr:uid="{00000000-0005-0000-0000-00008D530000}"/>
    <cellStyle name="Normal 10 2 9 4 3 2" xfId="49405" xr:uid="{00000000-0005-0000-0000-00008E530000}"/>
    <cellStyle name="Normal 10 2 9 4 4" xfId="35843" xr:uid="{00000000-0005-0000-0000-00008F530000}"/>
    <cellStyle name="Normal 10 2 9 5" xfId="12096" xr:uid="{00000000-0005-0000-0000-000090530000}"/>
    <cellStyle name="Normal 10 2 9 5 2" xfId="25664" xr:uid="{00000000-0005-0000-0000-000091530000}"/>
    <cellStyle name="Normal 10 2 9 5 2 2" xfId="52797" xr:uid="{00000000-0005-0000-0000-000092530000}"/>
    <cellStyle name="Normal 10 2 9 5 3" xfId="39235" xr:uid="{00000000-0005-0000-0000-000093530000}"/>
    <cellStyle name="Normal 10 2 9 6" xfId="18883" xr:uid="{00000000-0005-0000-0000-000094530000}"/>
    <cellStyle name="Normal 10 2 9 6 2" xfId="46016" xr:uid="{00000000-0005-0000-0000-000095530000}"/>
    <cellStyle name="Normal 10 2 9 7" xfId="32454" xr:uid="{00000000-0005-0000-0000-000096530000}"/>
    <cellStyle name="Normal 10 2_ACU OCIVIL" xfId="5138" xr:uid="{00000000-0005-0000-0000-000097530000}"/>
    <cellStyle name="Normal 10 3" xfId="5139" xr:uid="{00000000-0005-0000-0000-000098530000}"/>
    <cellStyle name="Normal 10 3 2" xfId="5140" xr:uid="{00000000-0005-0000-0000-000099530000}"/>
    <cellStyle name="Normal 10 3 2 2" xfId="5141" xr:uid="{00000000-0005-0000-0000-00009A530000}"/>
    <cellStyle name="Normal 10 4" xfId="5142" xr:uid="{00000000-0005-0000-0000-00009B530000}"/>
    <cellStyle name="Normal 10 5" xfId="22" xr:uid="{00000000-0005-0000-0000-00009C530000}"/>
    <cellStyle name="Normal 10 5 2" xfId="5143" xr:uid="{00000000-0005-0000-0000-00009D530000}"/>
    <cellStyle name="Normal 10 6" xfId="5144" xr:uid="{00000000-0005-0000-0000-00009E530000}"/>
    <cellStyle name="Normal 10 7" xfId="5145" xr:uid="{00000000-0005-0000-0000-00009F530000}"/>
    <cellStyle name="Normal 10 8" xfId="5146" xr:uid="{00000000-0005-0000-0000-0000A0530000}"/>
    <cellStyle name="Normal 10 9" xfId="5147" xr:uid="{00000000-0005-0000-0000-0000A1530000}"/>
    <cellStyle name="Normal 11 10" xfId="5148" xr:uid="{00000000-0005-0000-0000-0000A3530000}"/>
    <cellStyle name="Normal 11 10 2" xfId="8699" xr:uid="{00000000-0005-0000-0000-0000A4530000}"/>
    <cellStyle name="Normal 11 10 2 2" xfId="15488" xr:uid="{00000000-0005-0000-0000-0000A5530000}"/>
    <cellStyle name="Normal 11 10 2 2 2" xfId="29056" xr:uid="{00000000-0005-0000-0000-0000A6530000}"/>
    <cellStyle name="Normal 11 10 2 2 2 2" xfId="56189" xr:uid="{00000000-0005-0000-0000-0000A7530000}"/>
    <cellStyle name="Normal 11 10 2 2 3" xfId="42627" xr:uid="{00000000-0005-0000-0000-0000A8530000}"/>
    <cellStyle name="Normal 11 10 2 3" xfId="22275" xr:uid="{00000000-0005-0000-0000-0000A9530000}"/>
    <cellStyle name="Normal 11 10 2 3 2" xfId="49408" xr:uid="{00000000-0005-0000-0000-0000AA530000}"/>
    <cellStyle name="Normal 11 10 2 4" xfId="35846" xr:uid="{00000000-0005-0000-0000-0000AB530000}"/>
    <cellStyle name="Normal 11 10 3" xfId="12099" xr:uid="{00000000-0005-0000-0000-0000AC530000}"/>
    <cellStyle name="Normal 11 10 3 2" xfId="25667" xr:uid="{00000000-0005-0000-0000-0000AD530000}"/>
    <cellStyle name="Normal 11 10 3 2 2" xfId="52800" xr:uid="{00000000-0005-0000-0000-0000AE530000}"/>
    <cellStyle name="Normal 11 10 3 3" xfId="39238" xr:uid="{00000000-0005-0000-0000-0000AF530000}"/>
    <cellStyle name="Normal 11 10 4" xfId="18886" xr:uid="{00000000-0005-0000-0000-0000B0530000}"/>
    <cellStyle name="Normal 11 10 4 2" xfId="46019" xr:uid="{00000000-0005-0000-0000-0000B1530000}"/>
    <cellStyle name="Normal 11 10 5" xfId="32457" xr:uid="{00000000-0005-0000-0000-0000B2530000}"/>
    <cellStyle name="Normal 11 11" xfId="5149" xr:uid="{00000000-0005-0000-0000-0000B3530000}"/>
    <cellStyle name="Normal 11 11 2" xfId="8700" xr:uid="{00000000-0005-0000-0000-0000B4530000}"/>
    <cellStyle name="Normal 11 11 2 2" xfId="15489" xr:uid="{00000000-0005-0000-0000-0000B5530000}"/>
    <cellStyle name="Normal 11 11 2 2 2" xfId="29057" xr:uid="{00000000-0005-0000-0000-0000B6530000}"/>
    <cellStyle name="Normal 11 11 2 2 2 2" xfId="56190" xr:uid="{00000000-0005-0000-0000-0000B7530000}"/>
    <cellStyle name="Normal 11 11 2 2 3" xfId="42628" xr:uid="{00000000-0005-0000-0000-0000B8530000}"/>
    <cellStyle name="Normal 11 11 2 3" xfId="22276" xr:uid="{00000000-0005-0000-0000-0000B9530000}"/>
    <cellStyle name="Normal 11 11 2 3 2" xfId="49409" xr:uid="{00000000-0005-0000-0000-0000BA530000}"/>
    <cellStyle name="Normal 11 11 2 4" xfId="35847" xr:uid="{00000000-0005-0000-0000-0000BB530000}"/>
    <cellStyle name="Normal 11 11 3" xfId="12100" xr:uid="{00000000-0005-0000-0000-0000BC530000}"/>
    <cellStyle name="Normal 11 11 3 2" xfId="25668" xr:uid="{00000000-0005-0000-0000-0000BD530000}"/>
    <cellStyle name="Normal 11 11 3 2 2" xfId="52801" xr:uid="{00000000-0005-0000-0000-0000BE530000}"/>
    <cellStyle name="Normal 11 11 3 3" xfId="39239" xr:uid="{00000000-0005-0000-0000-0000BF530000}"/>
    <cellStyle name="Normal 11 11 4" xfId="18887" xr:uid="{00000000-0005-0000-0000-0000C0530000}"/>
    <cellStyle name="Normal 11 11 4 2" xfId="46020" xr:uid="{00000000-0005-0000-0000-0000C1530000}"/>
    <cellStyle name="Normal 11 11 5" xfId="32458" xr:uid="{00000000-0005-0000-0000-0000C2530000}"/>
    <cellStyle name="Normal 11 12" xfId="2549" xr:uid="{00000000-0005-0000-0000-0000C3530000}"/>
    <cellStyle name="Normal 11 2" xfId="2550" xr:uid="{00000000-0005-0000-0000-0000C4530000}"/>
    <cellStyle name="Normal 11 2 10" xfId="5150" xr:uid="{00000000-0005-0000-0000-0000C5530000}"/>
    <cellStyle name="Normal 11 2 10 2" xfId="8701" xr:uid="{00000000-0005-0000-0000-0000C6530000}"/>
    <cellStyle name="Normal 11 2 10 2 2" xfId="15490" xr:uid="{00000000-0005-0000-0000-0000C7530000}"/>
    <cellStyle name="Normal 11 2 10 2 2 2" xfId="29058" xr:uid="{00000000-0005-0000-0000-0000C8530000}"/>
    <cellStyle name="Normal 11 2 10 2 2 2 2" xfId="56191" xr:uid="{00000000-0005-0000-0000-0000C9530000}"/>
    <cellStyle name="Normal 11 2 10 2 2 3" xfId="42629" xr:uid="{00000000-0005-0000-0000-0000CA530000}"/>
    <cellStyle name="Normal 11 2 10 2 3" xfId="22277" xr:uid="{00000000-0005-0000-0000-0000CB530000}"/>
    <cellStyle name="Normal 11 2 10 2 3 2" xfId="49410" xr:uid="{00000000-0005-0000-0000-0000CC530000}"/>
    <cellStyle name="Normal 11 2 10 2 4" xfId="35848" xr:uid="{00000000-0005-0000-0000-0000CD530000}"/>
    <cellStyle name="Normal 11 2 10 3" xfId="12101" xr:uid="{00000000-0005-0000-0000-0000CE530000}"/>
    <cellStyle name="Normal 11 2 10 3 2" xfId="25669" xr:uid="{00000000-0005-0000-0000-0000CF530000}"/>
    <cellStyle name="Normal 11 2 10 3 2 2" xfId="52802" xr:uid="{00000000-0005-0000-0000-0000D0530000}"/>
    <cellStyle name="Normal 11 2 10 3 3" xfId="39240" xr:uid="{00000000-0005-0000-0000-0000D1530000}"/>
    <cellStyle name="Normal 11 2 10 4" xfId="18888" xr:uid="{00000000-0005-0000-0000-0000D2530000}"/>
    <cellStyle name="Normal 11 2 10 4 2" xfId="46021" xr:uid="{00000000-0005-0000-0000-0000D3530000}"/>
    <cellStyle name="Normal 11 2 10 5" xfId="32459" xr:uid="{00000000-0005-0000-0000-0000D4530000}"/>
    <cellStyle name="Normal 11 2 2" xfId="2551" xr:uid="{00000000-0005-0000-0000-0000D5530000}"/>
    <cellStyle name="Normal 11 2 2 2" xfId="5151" xr:uid="{00000000-0005-0000-0000-0000D6530000}"/>
    <cellStyle name="Normal 11 2 2 2 10" xfId="32460" xr:uid="{00000000-0005-0000-0000-0000D7530000}"/>
    <cellStyle name="Normal 11 2 2 2 2" xfId="5152" xr:uid="{00000000-0005-0000-0000-0000D8530000}"/>
    <cellStyle name="Normal 11 2 2 2 2 2" xfId="5153" xr:uid="{00000000-0005-0000-0000-0000D9530000}"/>
    <cellStyle name="Normal 11 2 2 2 2 2 2" xfId="5154" xr:uid="{00000000-0005-0000-0000-0000DA530000}"/>
    <cellStyle name="Normal 11 2 2 2 2 2 2 2" xfId="8705" xr:uid="{00000000-0005-0000-0000-0000DB530000}"/>
    <cellStyle name="Normal 11 2 2 2 2 2 2 2 2" xfId="15494" xr:uid="{00000000-0005-0000-0000-0000DC530000}"/>
    <cellStyle name="Normal 11 2 2 2 2 2 2 2 2 2" xfId="29062" xr:uid="{00000000-0005-0000-0000-0000DD530000}"/>
    <cellStyle name="Normal 11 2 2 2 2 2 2 2 2 2 2" xfId="56195" xr:uid="{00000000-0005-0000-0000-0000DE530000}"/>
    <cellStyle name="Normal 11 2 2 2 2 2 2 2 2 3" xfId="42633" xr:uid="{00000000-0005-0000-0000-0000DF530000}"/>
    <cellStyle name="Normal 11 2 2 2 2 2 2 2 3" xfId="22281" xr:uid="{00000000-0005-0000-0000-0000E0530000}"/>
    <cellStyle name="Normal 11 2 2 2 2 2 2 2 3 2" xfId="49414" xr:uid="{00000000-0005-0000-0000-0000E1530000}"/>
    <cellStyle name="Normal 11 2 2 2 2 2 2 2 4" xfId="35852" xr:uid="{00000000-0005-0000-0000-0000E2530000}"/>
    <cellStyle name="Normal 11 2 2 2 2 2 2 3" xfId="12105" xr:uid="{00000000-0005-0000-0000-0000E3530000}"/>
    <cellStyle name="Normal 11 2 2 2 2 2 2 3 2" xfId="25673" xr:uid="{00000000-0005-0000-0000-0000E4530000}"/>
    <cellStyle name="Normal 11 2 2 2 2 2 2 3 2 2" xfId="52806" xr:uid="{00000000-0005-0000-0000-0000E5530000}"/>
    <cellStyle name="Normal 11 2 2 2 2 2 2 3 3" xfId="39244" xr:uid="{00000000-0005-0000-0000-0000E6530000}"/>
    <cellStyle name="Normal 11 2 2 2 2 2 2 4" xfId="18892" xr:uid="{00000000-0005-0000-0000-0000E7530000}"/>
    <cellStyle name="Normal 11 2 2 2 2 2 2 4 2" xfId="46025" xr:uid="{00000000-0005-0000-0000-0000E8530000}"/>
    <cellStyle name="Normal 11 2 2 2 2 2 2 5" xfId="32463" xr:uid="{00000000-0005-0000-0000-0000E9530000}"/>
    <cellStyle name="Normal 11 2 2 2 2 2 3" xfId="5155" xr:uid="{00000000-0005-0000-0000-0000EA530000}"/>
    <cellStyle name="Normal 11 2 2 2 2 2 3 2" xfId="8706" xr:uid="{00000000-0005-0000-0000-0000EB530000}"/>
    <cellStyle name="Normal 11 2 2 2 2 2 3 2 2" xfId="15495" xr:uid="{00000000-0005-0000-0000-0000EC530000}"/>
    <cellStyle name="Normal 11 2 2 2 2 2 3 2 2 2" xfId="29063" xr:uid="{00000000-0005-0000-0000-0000ED530000}"/>
    <cellStyle name="Normal 11 2 2 2 2 2 3 2 2 2 2" xfId="56196" xr:uid="{00000000-0005-0000-0000-0000EE530000}"/>
    <cellStyle name="Normal 11 2 2 2 2 2 3 2 2 3" xfId="42634" xr:uid="{00000000-0005-0000-0000-0000EF530000}"/>
    <cellStyle name="Normal 11 2 2 2 2 2 3 2 3" xfId="22282" xr:uid="{00000000-0005-0000-0000-0000F0530000}"/>
    <cellStyle name="Normal 11 2 2 2 2 2 3 2 3 2" xfId="49415" xr:uid="{00000000-0005-0000-0000-0000F1530000}"/>
    <cellStyle name="Normal 11 2 2 2 2 2 3 2 4" xfId="35853" xr:uid="{00000000-0005-0000-0000-0000F2530000}"/>
    <cellStyle name="Normal 11 2 2 2 2 2 3 3" xfId="12106" xr:uid="{00000000-0005-0000-0000-0000F3530000}"/>
    <cellStyle name="Normal 11 2 2 2 2 2 3 3 2" xfId="25674" xr:uid="{00000000-0005-0000-0000-0000F4530000}"/>
    <cellStyle name="Normal 11 2 2 2 2 2 3 3 2 2" xfId="52807" xr:uid="{00000000-0005-0000-0000-0000F5530000}"/>
    <cellStyle name="Normal 11 2 2 2 2 2 3 3 3" xfId="39245" xr:uid="{00000000-0005-0000-0000-0000F6530000}"/>
    <cellStyle name="Normal 11 2 2 2 2 2 3 4" xfId="18893" xr:uid="{00000000-0005-0000-0000-0000F7530000}"/>
    <cellStyle name="Normal 11 2 2 2 2 2 3 4 2" xfId="46026" xr:uid="{00000000-0005-0000-0000-0000F8530000}"/>
    <cellStyle name="Normal 11 2 2 2 2 2 3 5" xfId="32464" xr:uid="{00000000-0005-0000-0000-0000F9530000}"/>
    <cellStyle name="Normal 11 2 2 2 2 2 4" xfId="8704" xr:uid="{00000000-0005-0000-0000-0000FA530000}"/>
    <cellStyle name="Normal 11 2 2 2 2 2 4 2" xfId="15493" xr:uid="{00000000-0005-0000-0000-0000FB530000}"/>
    <cellStyle name="Normal 11 2 2 2 2 2 4 2 2" xfId="29061" xr:uid="{00000000-0005-0000-0000-0000FC530000}"/>
    <cellStyle name="Normal 11 2 2 2 2 2 4 2 2 2" xfId="56194" xr:uid="{00000000-0005-0000-0000-0000FD530000}"/>
    <cellStyle name="Normal 11 2 2 2 2 2 4 2 3" xfId="42632" xr:uid="{00000000-0005-0000-0000-0000FE530000}"/>
    <cellStyle name="Normal 11 2 2 2 2 2 4 3" xfId="22280" xr:uid="{00000000-0005-0000-0000-0000FF530000}"/>
    <cellStyle name="Normal 11 2 2 2 2 2 4 3 2" xfId="49413" xr:uid="{00000000-0005-0000-0000-000000540000}"/>
    <cellStyle name="Normal 11 2 2 2 2 2 4 4" xfId="35851" xr:uid="{00000000-0005-0000-0000-000001540000}"/>
    <cellStyle name="Normal 11 2 2 2 2 2 5" xfId="12104" xr:uid="{00000000-0005-0000-0000-000002540000}"/>
    <cellStyle name="Normal 11 2 2 2 2 2 5 2" xfId="25672" xr:uid="{00000000-0005-0000-0000-000003540000}"/>
    <cellStyle name="Normal 11 2 2 2 2 2 5 2 2" xfId="52805" xr:uid="{00000000-0005-0000-0000-000004540000}"/>
    <cellStyle name="Normal 11 2 2 2 2 2 5 3" xfId="39243" xr:uid="{00000000-0005-0000-0000-000005540000}"/>
    <cellStyle name="Normal 11 2 2 2 2 2 6" xfId="18891" xr:uid="{00000000-0005-0000-0000-000006540000}"/>
    <cellStyle name="Normal 11 2 2 2 2 2 6 2" xfId="46024" xr:uid="{00000000-0005-0000-0000-000007540000}"/>
    <cellStyle name="Normal 11 2 2 2 2 2 7" xfId="32462" xr:uid="{00000000-0005-0000-0000-000008540000}"/>
    <cellStyle name="Normal 11 2 2 2 2 3" xfId="5156" xr:uid="{00000000-0005-0000-0000-000009540000}"/>
    <cellStyle name="Normal 11 2 2 2 2 3 2" xfId="5157" xr:uid="{00000000-0005-0000-0000-00000A540000}"/>
    <cellStyle name="Normal 11 2 2 2 2 3 2 2" xfId="8708" xr:uid="{00000000-0005-0000-0000-00000B540000}"/>
    <cellStyle name="Normal 11 2 2 2 2 3 2 2 2" xfId="15497" xr:uid="{00000000-0005-0000-0000-00000C540000}"/>
    <cellStyle name="Normal 11 2 2 2 2 3 2 2 2 2" xfId="29065" xr:uid="{00000000-0005-0000-0000-00000D540000}"/>
    <cellStyle name="Normal 11 2 2 2 2 3 2 2 2 2 2" xfId="56198" xr:uid="{00000000-0005-0000-0000-00000E540000}"/>
    <cellStyle name="Normal 11 2 2 2 2 3 2 2 2 3" xfId="42636" xr:uid="{00000000-0005-0000-0000-00000F540000}"/>
    <cellStyle name="Normal 11 2 2 2 2 3 2 2 3" xfId="22284" xr:uid="{00000000-0005-0000-0000-000010540000}"/>
    <cellStyle name="Normal 11 2 2 2 2 3 2 2 3 2" xfId="49417" xr:uid="{00000000-0005-0000-0000-000011540000}"/>
    <cellStyle name="Normal 11 2 2 2 2 3 2 2 4" xfId="35855" xr:uid="{00000000-0005-0000-0000-000012540000}"/>
    <cellStyle name="Normal 11 2 2 2 2 3 2 3" xfId="12108" xr:uid="{00000000-0005-0000-0000-000013540000}"/>
    <cellStyle name="Normal 11 2 2 2 2 3 2 3 2" xfId="25676" xr:uid="{00000000-0005-0000-0000-000014540000}"/>
    <cellStyle name="Normal 11 2 2 2 2 3 2 3 2 2" xfId="52809" xr:uid="{00000000-0005-0000-0000-000015540000}"/>
    <cellStyle name="Normal 11 2 2 2 2 3 2 3 3" xfId="39247" xr:uid="{00000000-0005-0000-0000-000016540000}"/>
    <cellStyle name="Normal 11 2 2 2 2 3 2 4" xfId="18895" xr:uid="{00000000-0005-0000-0000-000017540000}"/>
    <cellStyle name="Normal 11 2 2 2 2 3 2 4 2" xfId="46028" xr:uid="{00000000-0005-0000-0000-000018540000}"/>
    <cellStyle name="Normal 11 2 2 2 2 3 2 5" xfId="32466" xr:uid="{00000000-0005-0000-0000-000019540000}"/>
    <cellStyle name="Normal 11 2 2 2 2 3 3" xfId="8707" xr:uid="{00000000-0005-0000-0000-00001A540000}"/>
    <cellStyle name="Normal 11 2 2 2 2 3 3 2" xfId="15496" xr:uid="{00000000-0005-0000-0000-00001B540000}"/>
    <cellStyle name="Normal 11 2 2 2 2 3 3 2 2" xfId="29064" xr:uid="{00000000-0005-0000-0000-00001C540000}"/>
    <cellStyle name="Normal 11 2 2 2 2 3 3 2 2 2" xfId="56197" xr:uid="{00000000-0005-0000-0000-00001D540000}"/>
    <cellStyle name="Normal 11 2 2 2 2 3 3 2 3" xfId="42635" xr:uid="{00000000-0005-0000-0000-00001E540000}"/>
    <cellStyle name="Normal 11 2 2 2 2 3 3 3" xfId="22283" xr:uid="{00000000-0005-0000-0000-00001F540000}"/>
    <cellStyle name="Normal 11 2 2 2 2 3 3 3 2" xfId="49416" xr:uid="{00000000-0005-0000-0000-000020540000}"/>
    <cellStyle name="Normal 11 2 2 2 2 3 3 4" xfId="35854" xr:uid="{00000000-0005-0000-0000-000021540000}"/>
    <cellStyle name="Normal 11 2 2 2 2 3 4" xfId="12107" xr:uid="{00000000-0005-0000-0000-000022540000}"/>
    <cellStyle name="Normal 11 2 2 2 2 3 4 2" xfId="25675" xr:uid="{00000000-0005-0000-0000-000023540000}"/>
    <cellStyle name="Normal 11 2 2 2 2 3 4 2 2" xfId="52808" xr:uid="{00000000-0005-0000-0000-000024540000}"/>
    <cellStyle name="Normal 11 2 2 2 2 3 4 3" xfId="39246" xr:uid="{00000000-0005-0000-0000-000025540000}"/>
    <cellStyle name="Normal 11 2 2 2 2 3 5" xfId="18894" xr:uid="{00000000-0005-0000-0000-000026540000}"/>
    <cellStyle name="Normal 11 2 2 2 2 3 5 2" xfId="46027" xr:uid="{00000000-0005-0000-0000-000027540000}"/>
    <cellStyle name="Normal 11 2 2 2 2 3 6" xfId="32465" xr:uid="{00000000-0005-0000-0000-000028540000}"/>
    <cellStyle name="Normal 11 2 2 2 2 4" xfId="5158" xr:uid="{00000000-0005-0000-0000-000029540000}"/>
    <cellStyle name="Normal 11 2 2 2 2 4 2" xfId="8709" xr:uid="{00000000-0005-0000-0000-00002A540000}"/>
    <cellStyle name="Normal 11 2 2 2 2 4 2 2" xfId="15498" xr:uid="{00000000-0005-0000-0000-00002B540000}"/>
    <cellStyle name="Normal 11 2 2 2 2 4 2 2 2" xfId="29066" xr:uid="{00000000-0005-0000-0000-00002C540000}"/>
    <cellStyle name="Normal 11 2 2 2 2 4 2 2 2 2" xfId="56199" xr:uid="{00000000-0005-0000-0000-00002D540000}"/>
    <cellStyle name="Normal 11 2 2 2 2 4 2 2 3" xfId="42637" xr:uid="{00000000-0005-0000-0000-00002E540000}"/>
    <cellStyle name="Normal 11 2 2 2 2 4 2 3" xfId="22285" xr:uid="{00000000-0005-0000-0000-00002F540000}"/>
    <cellStyle name="Normal 11 2 2 2 2 4 2 3 2" xfId="49418" xr:uid="{00000000-0005-0000-0000-000030540000}"/>
    <cellStyle name="Normal 11 2 2 2 2 4 2 4" xfId="35856" xr:uid="{00000000-0005-0000-0000-000031540000}"/>
    <cellStyle name="Normal 11 2 2 2 2 4 3" xfId="12109" xr:uid="{00000000-0005-0000-0000-000032540000}"/>
    <cellStyle name="Normal 11 2 2 2 2 4 3 2" xfId="25677" xr:uid="{00000000-0005-0000-0000-000033540000}"/>
    <cellStyle name="Normal 11 2 2 2 2 4 3 2 2" xfId="52810" xr:uid="{00000000-0005-0000-0000-000034540000}"/>
    <cellStyle name="Normal 11 2 2 2 2 4 3 3" xfId="39248" xr:uid="{00000000-0005-0000-0000-000035540000}"/>
    <cellStyle name="Normal 11 2 2 2 2 4 4" xfId="18896" xr:uid="{00000000-0005-0000-0000-000036540000}"/>
    <cellStyle name="Normal 11 2 2 2 2 4 4 2" xfId="46029" xr:uid="{00000000-0005-0000-0000-000037540000}"/>
    <cellStyle name="Normal 11 2 2 2 2 4 5" xfId="32467" xr:uid="{00000000-0005-0000-0000-000038540000}"/>
    <cellStyle name="Normal 11 2 2 2 2 5" xfId="5159" xr:uid="{00000000-0005-0000-0000-000039540000}"/>
    <cellStyle name="Normal 11 2 2 2 2 5 2" xfId="8710" xr:uid="{00000000-0005-0000-0000-00003A540000}"/>
    <cellStyle name="Normal 11 2 2 2 2 5 2 2" xfId="15499" xr:uid="{00000000-0005-0000-0000-00003B540000}"/>
    <cellStyle name="Normal 11 2 2 2 2 5 2 2 2" xfId="29067" xr:uid="{00000000-0005-0000-0000-00003C540000}"/>
    <cellStyle name="Normal 11 2 2 2 2 5 2 2 2 2" xfId="56200" xr:uid="{00000000-0005-0000-0000-00003D540000}"/>
    <cellStyle name="Normal 11 2 2 2 2 5 2 2 3" xfId="42638" xr:uid="{00000000-0005-0000-0000-00003E540000}"/>
    <cellStyle name="Normal 11 2 2 2 2 5 2 3" xfId="22286" xr:uid="{00000000-0005-0000-0000-00003F540000}"/>
    <cellStyle name="Normal 11 2 2 2 2 5 2 3 2" xfId="49419" xr:uid="{00000000-0005-0000-0000-000040540000}"/>
    <cellStyle name="Normal 11 2 2 2 2 5 2 4" xfId="35857" xr:uid="{00000000-0005-0000-0000-000041540000}"/>
    <cellStyle name="Normal 11 2 2 2 2 5 3" xfId="12110" xr:uid="{00000000-0005-0000-0000-000042540000}"/>
    <cellStyle name="Normal 11 2 2 2 2 5 3 2" xfId="25678" xr:uid="{00000000-0005-0000-0000-000043540000}"/>
    <cellStyle name="Normal 11 2 2 2 2 5 3 2 2" xfId="52811" xr:uid="{00000000-0005-0000-0000-000044540000}"/>
    <cellStyle name="Normal 11 2 2 2 2 5 3 3" xfId="39249" xr:uid="{00000000-0005-0000-0000-000045540000}"/>
    <cellStyle name="Normal 11 2 2 2 2 5 4" xfId="18897" xr:uid="{00000000-0005-0000-0000-000046540000}"/>
    <cellStyle name="Normal 11 2 2 2 2 5 4 2" xfId="46030" xr:uid="{00000000-0005-0000-0000-000047540000}"/>
    <cellStyle name="Normal 11 2 2 2 2 5 5" xfId="32468" xr:uid="{00000000-0005-0000-0000-000048540000}"/>
    <cellStyle name="Normal 11 2 2 2 2 6" xfId="8703" xr:uid="{00000000-0005-0000-0000-000049540000}"/>
    <cellStyle name="Normal 11 2 2 2 2 6 2" xfId="15492" xr:uid="{00000000-0005-0000-0000-00004A540000}"/>
    <cellStyle name="Normal 11 2 2 2 2 6 2 2" xfId="29060" xr:uid="{00000000-0005-0000-0000-00004B540000}"/>
    <cellStyle name="Normal 11 2 2 2 2 6 2 2 2" xfId="56193" xr:uid="{00000000-0005-0000-0000-00004C540000}"/>
    <cellStyle name="Normal 11 2 2 2 2 6 2 3" xfId="42631" xr:uid="{00000000-0005-0000-0000-00004D540000}"/>
    <cellStyle name="Normal 11 2 2 2 2 6 3" xfId="22279" xr:uid="{00000000-0005-0000-0000-00004E540000}"/>
    <cellStyle name="Normal 11 2 2 2 2 6 3 2" xfId="49412" xr:uid="{00000000-0005-0000-0000-00004F540000}"/>
    <cellStyle name="Normal 11 2 2 2 2 6 4" xfId="35850" xr:uid="{00000000-0005-0000-0000-000050540000}"/>
    <cellStyle name="Normal 11 2 2 2 2 7" xfId="12103" xr:uid="{00000000-0005-0000-0000-000051540000}"/>
    <cellStyle name="Normal 11 2 2 2 2 7 2" xfId="25671" xr:uid="{00000000-0005-0000-0000-000052540000}"/>
    <cellStyle name="Normal 11 2 2 2 2 7 2 2" xfId="52804" xr:uid="{00000000-0005-0000-0000-000053540000}"/>
    <cellStyle name="Normal 11 2 2 2 2 7 3" xfId="39242" xr:uid="{00000000-0005-0000-0000-000054540000}"/>
    <cellStyle name="Normal 11 2 2 2 2 8" xfId="18890" xr:uid="{00000000-0005-0000-0000-000055540000}"/>
    <cellStyle name="Normal 11 2 2 2 2 8 2" xfId="46023" xr:uid="{00000000-0005-0000-0000-000056540000}"/>
    <cellStyle name="Normal 11 2 2 2 2 9" xfId="32461" xr:uid="{00000000-0005-0000-0000-000057540000}"/>
    <cellStyle name="Normal 11 2 2 2 3" xfId="5160" xr:uid="{00000000-0005-0000-0000-000058540000}"/>
    <cellStyle name="Normal 11 2 2 2 3 2" xfId="5161" xr:uid="{00000000-0005-0000-0000-000059540000}"/>
    <cellStyle name="Normal 11 2 2 2 3 2 2" xfId="8712" xr:uid="{00000000-0005-0000-0000-00005A540000}"/>
    <cellStyle name="Normal 11 2 2 2 3 2 2 2" xfId="15501" xr:uid="{00000000-0005-0000-0000-00005B540000}"/>
    <cellStyle name="Normal 11 2 2 2 3 2 2 2 2" xfId="29069" xr:uid="{00000000-0005-0000-0000-00005C540000}"/>
    <cellStyle name="Normal 11 2 2 2 3 2 2 2 2 2" xfId="56202" xr:uid="{00000000-0005-0000-0000-00005D540000}"/>
    <cellStyle name="Normal 11 2 2 2 3 2 2 2 3" xfId="42640" xr:uid="{00000000-0005-0000-0000-00005E540000}"/>
    <cellStyle name="Normal 11 2 2 2 3 2 2 3" xfId="22288" xr:uid="{00000000-0005-0000-0000-00005F540000}"/>
    <cellStyle name="Normal 11 2 2 2 3 2 2 3 2" xfId="49421" xr:uid="{00000000-0005-0000-0000-000060540000}"/>
    <cellStyle name="Normal 11 2 2 2 3 2 2 4" xfId="35859" xr:uid="{00000000-0005-0000-0000-000061540000}"/>
    <cellStyle name="Normal 11 2 2 2 3 2 3" xfId="12112" xr:uid="{00000000-0005-0000-0000-000062540000}"/>
    <cellStyle name="Normal 11 2 2 2 3 2 3 2" xfId="25680" xr:uid="{00000000-0005-0000-0000-000063540000}"/>
    <cellStyle name="Normal 11 2 2 2 3 2 3 2 2" xfId="52813" xr:uid="{00000000-0005-0000-0000-000064540000}"/>
    <cellStyle name="Normal 11 2 2 2 3 2 3 3" xfId="39251" xr:uid="{00000000-0005-0000-0000-000065540000}"/>
    <cellStyle name="Normal 11 2 2 2 3 2 4" xfId="18899" xr:uid="{00000000-0005-0000-0000-000066540000}"/>
    <cellStyle name="Normal 11 2 2 2 3 2 4 2" xfId="46032" xr:uid="{00000000-0005-0000-0000-000067540000}"/>
    <cellStyle name="Normal 11 2 2 2 3 2 5" xfId="32470" xr:uid="{00000000-0005-0000-0000-000068540000}"/>
    <cellStyle name="Normal 11 2 2 2 3 3" xfId="5162" xr:uid="{00000000-0005-0000-0000-000069540000}"/>
    <cellStyle name="Normal 11 2 2 2 3 3 2" xfId="8713" xr:uid="{00000000-0005-0000-0000-00006A540000}"/>
    <cellStyle name="Normal 11 2 2 2 3 3 2 2" xfId="15502" xr:uid="{00000000-0005-0000-0000-00006B540000}"/>
    <cellStyle name="Normal 11 2 2 2 3 3 2 2 2" xfId="29070" xr:uid="{00000000-0005-0000-0000-00006C540000}"/>
    <cellStyle name="Normal 11 2 2 2 3 3 2 2 2 2" xfId="56203" xr:uid="{00000000-0005-0000-0000-00006D540000}"/>
    <cellStyle name="Normal 11 2 2 2 3 3 2 2 3" xfId="42641" xr:uid="{00000000-0005-0000-0000-00006E540000}"/>
    <cellStyle name="Normal 11 2 2 2 3 3 2 3" xfId="22289" xr:uid="{00000000-0005-0000-0000-00006F540000}"/>
    <cellStyle name="Normal 11 2 2 2 3 3 2 3 2" xfId="49422" xr:uid="{00000000-0005-0000-0000-000070540000}"/>
    <cellStyle name="Normal 11 2 2 2 3 3 2 4" xfId="35860" xr:uid="{00000000-0005-0000-0000-000071540000}"/>
    <cellStyle name="Normal 11 2 2 2 3 3 3" xfId="12113" xr:uid="{00000000-0005-0000-0000-000072540000}"/>
    <cellStyle name="Normal 11 2 2 2 3 3 3 2" xfId="25681" xr:uid="{00000000-0005-0000-0000-000073540000}"/>
    <cellStyle name="Normal 11 2 2 2 3 3 3 2 2" xfId="52814" xr:uid="{00000000-0005-0000-0000-000074540000}"/>
    <cellStyle name="Normal 11 2 2 2 3 3 3 3" xfId="39252" xr:uid="{00000000-0005-0000-0000-000075540000}"/>
    <cellStyle name="Normal 11 2 2 2 3 3 4" xfId="18900" xr:uid="{00000000-0005-0000-0000-000076540000}"/>
    <cellStyle name="Normal 11 2 2 2 3 3 4 2" xfId="46033" xr:uid="{00000000-0005-0000-0000-000077540000}"/>
    <cellStyle name="Normal 11 2 2 2 3 3 5" xfId="32471" xr:uid="{00000000-0005-0000-0000-000078540000}"/>
    <cellStyle name="Normal 11 2 2 2 3 4" xfId="8711" xr:uid="{00000000-0005-0000-0000-000079540000}"/>
    <cellStyle name="Normal 11 2 2 2 3 4 2" xfId="15500" xr:uid="{00000000-0005-0000-0000-00007A540000}"/>
    <cellStyle name="Normal 11 2 2 2 3 4 2 2" xfId="29068" xr:uid="{00000000-0005-0000-0000-00007B540000}"/>
    <cellStyle name="Normal 11 2 2 2 3 4 2 2 2" xfId="56201" xr:uid="{00000000-0005-0000-0000-00007C540000}"/>
    <cellStyle name="Normal 11 2 2 2 3 4 2 3" xfId="42639" xr:uid="{00000000-0005-0000-0000-00007D540000}"/>
    <cellStyle name="Normal 11 2 2 2 3 4 3" xfId="22287" xr:uid="{00000000-0005-0000-0000-00007E540000}"/>
    <cellStyle name="Normal 11 2 2 2 3 4 3 2" xfId="49420" xr:uid="{00000000-0005-0000-0000-00007F540000}"/>
    <cellStyle name="Normal 11 2 2 2 3 4 4" xfId="35858" xr:uid="{00000000-0005-0000-0000-000080540000}"/>
    <cellStyle name="Normal 11 2 2 2 3 5" xfId="12111" xr:uid="{00000000-0005-0000-0000-000081540000}"/>
    <cellStyle name="Normal 11 2 2 2 3 5 2" xfId="25679" xr:uid="{00000000-0005-0000-0000-000082540000}"/>
    <cellStyle name="Normal 11 2 2 2 3 5 2 2" xfId="52812" xr:uid="{00000000-0005-0000-0000-000083540000}"/>
    <cellStyle name="Normal 11 2 2 2 3 5 3" xfId="39250" xr:uid="{00000000-0005-0000-0000-000084540000}"/>
    <cellStyle name="Normal 11 2 2 2 3 6" xfId="18898" xr:uid="{00000000-0005-0000-0000-000085540000}"/>
    <cellStyle name="Normal 11 2 2 2 3 6 2" xfId="46031" xr:uid="{00000000-0005-0000-0000-000086540000}"/>
    <cellStyle name="Normal 11 2 2 2 3 7" xfId="32469" xr:uid="{00000000-0005-0000-0000-000087540000}"/>
    <cellStyle name="Normal 11 2 2 2 4" xfId="5163" xr:uid="{00000000-0005-0000-0000-000088540000}"/>
    <cellStyle name="Normal 11 2 2 2 4 2" xfId="5164" xr:uid="{00000000-0005-0000-0000-000089540000}"/>
    <cellStyle name="Normal 11 2 2 2 4 2 2" xfId="8715" xr:uid="{00000000-0005-0000-0000-00008A540000}"/>
    <cellStyle name="Normal 11 2 2 2 4 2 2 2" xfId="15504" xr:uid="{00000000-0005-0000-0000-00008B540000}"/>
    <cellStyle name="Normal 11 2 2 2 4 2 2 2 2" xfId="29072" xr:uid="{00000000-0005-0000-0000-00008C540000}"/>
    <cellStyle name="Normal 11 2 2 2 4 2 2 2 2 2" xfId="56205" xr:uid="{00000000-0005-0000-0000-00008D540000}"/>
    <cellStyle name="Normal 11 2 2 2 4 2 2 2 3" xfId="42643" xr:uid="{00000000-0005-0000-0000-00008E540000}"/>
    <cellStyle name="Normal 11 2 2 2 4 2 2 3" xfId="22291" xr:uid="{00000000-0005-0000-0000-00008F540000}"/>
    <cellStyle name="Normal 11 2 2 2 4 2 2 3 2" xfId="49424" xr:uid="{00000000-0005-0000-0000-000090540000}"/>
    <cellStyle name="Normal 11 2 2 2 4 2 2 4" xfId="35862" xr:uid="{00000000-0005-0000-0000-000091540000}"/>
    <cellStyle name="Normal 11 2 2 2 4 2 3" xfId="12115" xr:uid="{00000000-0005-0000-0000-000092540000}"/>
    <cellStyle name="Normal 11 2 2 2 4 2 3 2" xfId="25683" xr:uid="{00000000-0005-0000-0000-000093540000}"/>
    <cellStyle name="Normal 11 2 2 2 4 2 3 2 2" xfId="52816" xr:uid="{00000000-0005-0000-0000-000094540000}"/>
    <cellStyle name="Normal 11 2 2 2 4 2 3 3" xfId="39254" xr:uid="{00000000-0005-0000-0000-000095540000}"/>
    <cellStyle name="Normal 11 2 2 2 4 2 4" xfId="18902" xr:uid="{00000000-0005-0000-0000-000096540000}"/>
    <cellStyle name="Normal 11 2 2 2 4 2 4 2" xfId="46035" xr:uid="{00000000-0005-0000-0000-000097540000}"/>
    <cellStyle name="Normal 11 2 2 2 4 2 5" xfId="32473" xr:uid="{00000000-0005-0000-0000-000098540000}"/>
    <cellStyle name="Normal 11 2 2 2 4 3" xfId="8714" xr:uid="{00000000-0005-0000-0000-000099540000}"/>
    <cellStyle name="Normal 11 2 2 2 4 3 2" xfId="15503" xr:uid="{00000000-0005-0000-0000-00009A540000}"/>
    <cellStyle name="Normal 11 2 2 2 4 3 2 2" xfId="29071" xr:uid="{00000000-0005-0000-0000-00009B540000}"/>
    <cellStyle name="Normal 11 2 2 2 4 3 2 2 2" xfId="56204" xr:uid="{00000000-0005-0000-0000-00009C540000}"/>
    <cellStyle name="Normal 11 2 2 2 4 3 2 3" xfId="42642" xr:uid="{00000000-0005-0000-0000-00009D540000}"/>
    <cellStyle name="Normal 11 2 2 2 4 3 3" xfId="22290" xr:uid="{00000000-0005-0000-0000-00009E540000}"/>
    <cellStyle name="Normal 11 2 2 2 4 3 3 2" xfId="49423" xr:uid="{00000000-0005-0000-0000-00009F540000}"/>
    <cellStyle name="Normal 11 2 2 2 4 3 4" xfId="35861" xr:uid="{00000000-0005-0000-0000-0000A0540000}"/>
    <cellStyle name="Normal 11 2 2 2 4 4" xfId="12114" xr:uid="{00000000-0005-0000-0000-0000A1540000}"/>
    <cellStyle name="Normal 11 2 2 2 4 4 2" xfId="25682" xr:uid="{00000000-0005-0000-0000-0000A2540000}"/>
    <cellStyle name="Normal 11 2 2 2 4 4 2 2" xfId="52815" xr:uid="{00000000-0005-0000-0000-0000A3540000}"/>
    <cellStyle name="Normal 11 2 2 2 4 4 3" xfId="39253" xr:uid="{00000000-0005-0000-0000-0000A4540000}"/>
    <cellStyle name="Normal 11 2 2 2 4 5" xfId="18901" xr:uid="{00000000-0005-0000-0000-0000A5540000}"/>
    <cellStyle name="Normal 11 2 2 2 4 5 2" xfId="46034" xr:uid="{00000000-0005-0000-0000-0000A6540000}"/>
    <cellStyle name="Normal 11 2 2 2 4 6" xfId="32472" xr:uid="{00000000-0005-0000-0000-0000A7540000}"/>
    <cellStyle name="Normal 11 2 2 2 5" xfId="5165" xr:uid="{00000000-0005-0000-0000-0000A8540000}"/>
    <cellStyle name="Normal 11 2 2 2 5 2" xfId="8716" xr:uid="{00000000-0005-0000-0000-0000A9540000}"/>
    <cellStyle name="Normal 11 2 2 2 5 2 2" xfId="15505" xr:uid="{00000000-0005-0000-0000-0000AA540000}"/>
    <cellStyle name="Normal 11 2 2 2 5 2 2 2" xfId="29073" xr:uid="{00000000-0005-0000-0000-0000AB540000}"/>
    <cellStyle name="Normal 11 2 2 2 5 2 2 2 2" xfId="56206" xr:uid="{00000000-0005-0000-0000-0000AC540000}"/>
    <cellStyle name="Normal 11 2 2 2 5 2 2 3" xfId="42644" xr:uid="{00000000-0005-0000-0000-0000AD540000}"/>
    <cellStyle name="Normal 11 2 2 2 5 2 3" xfId="22292" xr:uid="{00000000-0005-0000-0000-0000AE540000}"/>
    <cellStyle name="Normal 11 2 2 2 5 2 3 2" xfId="49425" xr:uid="{00000000-0005-0000-0000-0000AF540000}"/>
    <cellStyle name="Normal 11 2 2 2 5 2 4" xfId="35863" xr:uid="{00000000-0005-0000-0000-0000B0540000}"/>
    <cellStyle name="Normal 11 2 2 2 5 3" xfId="12116" xr:uid="{00000000-0005-0000-0000-0000B1540000}"/>
    <cellStyle name="Normal 11 2 2 2 5 3 2" xfId="25684" xr:uid="{00000000-0005-0000-0000-0000B2540000}"/>
    <cellStyle name="Normal 11 2 2 2 5 3 2 2" xfId="52817" xr:uid="{00000000-0005-0000-0000-0000B3540000}"/>
    <cellStyle name="Normal 11 2 2 2 5 3 3" xfId="39255" xr:uid="{00000000-0005-0000-0000-0000B4540000}"/>
    <cellStyle name="Normal 11 2 2 2 5 4" xfId="18903" xr:uid="{00000000-0005-0000-0000-0000B5540000}"/>
    <cellStyle name="Normal 11 2 2 2 5 4 2" xfId="46036" xr:uid="{00000000-0005-0000-0000-0000B6540000}"/>
    <cellStyle name="Normal 11 2 2 2 5 5" xfId="32474" xr:uid="{00000000-0005-0000-0000-0000B7540000}"/>
    <cellStyle name="Normal 11 2 2 2 6" xfId="5166" xr:uid="{00000000-0005-0000-0000-0000B8540000}"/>
    <cellStyle name="Normal 11 2 2 2 6 2" xfId="8717" xr:uid="{00000000-0005-0000-0000-0000B9540000}"/>
    <cellStyle name="Normal 11 2 2 2 6 2 2" xfId="15506" xr:uid="{00000000-0005-0000-0000-0000BA540000}"/>
    <cellStyle name="Normal 11 2 2 2 6 2 2 2" xfId="29074" xr:uid="{00000000-0005-0000-0000-0000BB540000}"/>
    <cellStyle name="Normal 11 2 2 2 6 2 2 2 2" xfId="56207" xr:uid="{00000000-0005-0000-0000-0000BC540000}"/>
    <cellStyle name="Normal 11 2 2 2 6 2 2 3" xfId="42645" xr:uid="{00000000-0005-0000-0000-0000BD540000}"/>
    <cellStyle name="Normal 11 2 2 2 6 2 3" xfId="22293" xr:uid="{00000000-0005-0000-0000-0000BE540000}"/>
    <cellStyle name="Normal 11 2 2 2 6 2 3 2" xfId="49426" xr:uid="{00000000-0005-0000-0000-0000BF540000}"/>
    <cellStyle name="Normal 11 2 2 2 6 2 4" xfId="35864" xr:uid="{00000000-0005-0000-0000-0000C0540000}"/>
    <cellStyle name="Normal 11 2 2 2 6 3" xfId="12117" xr:uid="{00000000-0005-0000-0000-0000C1540000}"/>
    <cellStyle name="Normal 11 2 2 2 6 3 2" xfId="25685" xr:uid="{00000000-0005-0000-0000-0000C2540000}"/>
    <cellStyle name="Normal 11 2 2 2 6 3 2 2" xfId="52818" xr:uid="{00000000-0005-0000-0000-0000C3540000}"/>
    <cellStyle name="Normal 11 2 2 2 6 3 3" xfId="39256" xr:uid="{00000000-0005-0000-0000-0000C4540000}"/>
    <cellStyle name="Normal 11 2 2 2 6 4" xfId="18904" xr:uid="{00000000-0005-0000-0000-0000C5540000}"/>
    <cellStyle name="Normal 11 2 2 2 6 4 2" xfId="46037" xr:uid="{00000000-0005-0000-0000-0000C6540000}"/>
    <cellStyle name="Normal 11 2 2 2 6 5" xfId="32475" xr:uid="{00000000-0005-0000-0000-0000C7540000}"/>
    <cellStyle name="Normal 11 2 2 2 7" xfId="8702" xr:uid="{00000000-0005-0000-0000-0000C8540000}"/>
    <cellStyle name="Normal 11 2 2 2 7 2" xfId="15491" xr:uid="{00000000-0005-0000-0000-0000C9540000}"/>
    <cellStyle name="Normal 11 2 2 2 7 2 2" xfId="29059" xr:uid="{00000000-0005-0000-0000-0000CA540000}"/>
    <cellStyle name="Normal 11 2 2 2 7 2 2 2" xfId="56192" xr:uid="{00000000-0005-0000-0000-0000CB540000}"/>
    <cellStyle name="Normal 11 2 2 2 7 2 3" xfId="42630" xr:uid="{00000000-0005-0000-0000-0000CC540000}"/>
    <cellStyle name="Normal 11 2 2 2 7 3" xfId="22278" xr:uid="{00000000-0005-0000-0000-0000CD540000}"/>
    <cellStyle name="Normal 11 2 2 2 7 3 2" xfId="49411" xr:uid="{00000000-0005-0000-0000-0000CE540000}"/>
    <cellStyle name="Normal 11 2 2 2 7 4" xfId="35849" xr:uid="{00000000-0005-0000-0000-0000CF540000}"/>
    <cellStyle name="Normal 11 2 2 2 8" xfId="12102" xr:uid="{00000000-0005-0000-0000-0000D0540000}"/>
    <cellStyle name="Normal 11 2 2 2 8 2" xfId="25670" xr:uid="{00000000-0005-0000-0000-0000D1540000}"/>
    <cellStyle name="Normal 11 2 2 2 8 2 2" xfId="52803" xr:uid="{00000000-0005-0000-0000-0000D2540000}"/>
    <cellStyle name="Normal 11 2 2 2 8 3" xfId="39241" xr:uid="{00000000-0005-0000-0000-0000D3540000}"/>
    <cellStyle name="Normal 11 2 2 2 9" xfId="18889" xr:uid="{00000000-0005-0000-0000-0000D4540000}"/>
    <cellStyle name="Normal 11 2 2 2 9 2" xfId="46022" xr:uid="{00000000-0005-0000-0000-0000D5540000}"/>
    <cellStyle name="Normal 11 2 2 3" xfId="5167" xr:uid="{00000000-0005-0000-0000-0000D6540000}"/>
    <cellStyle name="Normal 11 2 2 3 2" xfId="5168" xr:uid="{00000000-0005-0000-0000-0000D7540000}"/>
    <cellStyle name="Normal 11 2 2 3 2 2" xfId="5169" xr:uid="{00000000-0005-0000-0000-0000D8540000}"/>
    <cellStyle name="Normal 11 2 2 3 2 2 2" xfId="8720" xr:uid="{00000000-0005-0000-0000-0000D9540000}"/>
    <cellStyle name="Normal 11 2 2 3 2 2 2 2" xfId="15509" xr:uid="{00000000-0005-0000-0000-0000DA540000}"/>
    <cellStyle name="Normal 11 2 2 3 2 2 2 2 2" xfId="29077" xr:uid="{00000000-0005-0000-0000-0000DB540000}"/>
    <cellStyle name="Normal 11 2 2 3 2 2 2 2 2 2" xfId="56210" xr:uid="{00000000-0005-0000-0000-0000DC540000}"/>
    <cellStyle name="Normal 11 2 2 3 2 2 2 2 3" xfId="42648" xr:uid="{00000000-0005-0000-0000-0000DD540000}"/>
    <cellStyle name="Normal 11 2 2 3 2 2 2 3" xfId="22296" xr:uid="{00000000-0005-0000-0000-0000DE540000}"/>
    <cellStyle name="Normal 11 2 2 3 2 2 2 3 2" xfId="49429" xr:uid="{00000000-0005-0000-0000-0000DF540000}"/>
    <cellStyle name="Normal 11 2 2 3 2 2 2 4" xfId="35867" xr:uid="{00000000-0005-0000-0000-0000E0540000}"/>
    <cellStyle name="Normal 11 2 2 3 2 2 3" xfId="12120" xr:uid="{00000000-0005-0000-0000-0000E1540000}"/>
    <cellStyle name="Normal 11 2 2 3 2 2 3 2" xfId="25688" xr:uid="{00000000-0005-0000-0000-0000E2540000}"/>
    <cellStyle name="Normal 11 2 2 3 2 2 3 2 2" xfId="52821" xr:uid="{00000000-0005-0000-0000-0000E3540000}"/>
    <cellStyle name="Normal 11 2 2 3 2 2 3 3" xfId="39259" xr:uid="{00000000-0005-0000-0000-0000E4540000}"/>
    <cellStyle name="Normal 11 2 2 3 2 2 4" xfId="18907" xr:uid="{00000000-0005-0000-0000-0000E5540000}"/>
    <cellStyle name="Normal 11 2 2 3 2 2 4 2" xfId="46040" xr:uid="{00000000-0005-0000-0000-0000E6540000}"/>
    <cellStyle name="Normal 11 2 2 3 2 2 5" xfId="32478" xr:uid="{00000000-0005-0000-0000-0000E7540000}"/>
    <cellStyle name="Normal 11 2 2 3 2 3" xfId="5170" xr:uid="{00000000-0005-0000-0000-0000E8540000}"/>
    <cellStyle name="Normal 11 2 2 3 2 3 2" xfId="8721" xr:uid="{00000000-0005-0000-0000-0000E9540000}"/>
    <cellStyle name="Normal 11 2 2 3 2 3 2 2" xfId="15510" xr:uid="{00000000-0005-0000-0000-0000EA540000}"/>
    <cellStyle name="Normal 11 2 2 3 2 3 2 2 2" xfId="29078" xr:uid="{00000000-0005-0000-0000-0000EB540000}"/>
    <cellStyle name="Normal 11 2 2 3 2 3 2 2 2 2" xfId="56211" xr:uid="{00000000-0005-0000-0000-0000EC540000}"/>
    <cellStyle name="Normal 11 2 2 3 2 3 2 2 3" xfId="42649" xr:uid="{00000000-0005-0000-0000-0000ED540000}"/>
    <cellStyle name="Normal 11 2 2 3 2 3 2 3" xfId="22297" xr:uid="{00000000-0005-0000-0000-0000EE540000}"/>
    <cellStyle name="Normal 11 2 2 3 2 3 2 3 2" xfId="49430" xr:uid="{00000000-0005-0000-0000-0000EF540000}"/>
    <cellStyle name="Normal 11 2 2 3 2 3 2 4" xfId="35868" xr:uid="{00000000-0005-0000-0000-0000F0540000}"/>
    <cellStyle name="Normal 11 2 2 3 2 3 3" xfId="12121" xr:uid="{00000000-0005-0000-0000-0000F1540000}"/>
    <cellStyle name="Normal 11 2 2 3 2 3 3 2" xfId="25689" xr:uid="{00000000-0005-0000-0000-0000F2540000}"/>
    <cellStyle name="Normal 11 2 2 3 2 3 3 2 2" xfId="52822" xr:uid="{00000000-0005-0000-0000-0000F3540000}"/>
    <cellStyle name="Normal 11 2 2 3 2 3 3 3" xfId="39260" xr:uid="{00000000-0005-0000-0000-0000F4540000}"/>
    <cellStyle name="Normal 11 2 2 3 2 3 4" xfId="18908" xr:uid="{00000000-0005-0000-0000-0000F5540000}"/>
    <cellStyle name="Normal 11 2 2 3 2 3 4 2" xfId="46041" xr:uid="{00000000-0005-0000-0000-0000F6540000}"/>
    <cellStyle name="Normal 11 2 2 3 2 3 5" xfId="32479" xr:uid="{00000000-0005-0000-0000-0000F7540000}"/>
    <cellStyle name="Normal 11 2 2 3 2 4" xfId="8719" xr:uid="{00000000-0005-0000-0000-0000F8540000}"/>
    <cellStyle name="Normal 11 2 2 3 2 4 2" xfId="15508" xr:uid="{00000000-0005-0000-0000-0000F9540000}"/>
    <cellStyle name="Normal 11 2 2 3 2 4 2 2" xfId="29076" xr:uid="{00000000-0005-0000-0000-0000FA540000}"/>
    <cellStyle name="Normal 11 2 2 3 2 4 2 2 2" xfId="56209" xr:uid="{00000000-0005-0000-0000-0000FB540000}"/>
    <cellStyle name="Normal 11 2 2 3 2 4 2 3" xfId="42647" xr:uid="{00000000-0005-0000-0000-0000FC540000}"/>
    <cellStyle name="Normal 11 2 2 3 2 4 3" xfId="22295" xr:uid="{00000000-0005-0000-0000-0000FD540000}"/>
    <cellStyle name="Normal 11 2 2 3 2 4 3 2" xfId="49428" xr:uid="{00000000-0005-0000-0000-0000FE540000}"/>
    <cellStyle name="Normal 11 2 2 3 2 4 4" xfId="35866" xr:uid="{00000000-0005-0000-0000-0000FF540000}"/>
    <cellStyle name="Normal 11 2 2 3 2 5" xfId="12119" xr:uid="{00000000-0005-0000-0000-000000550000}"/>
    <cellStyle name="Normal 11 2 2 3 2 5 2" xfId="25687" xr:uid="{00000000-0005-0000-0000-000001550000}"/>
    <cellStyle name="Normal 11 2 2 3 2 5 2 2" xfId="52820" xr:uid="{00000000-0005-0000-0000-000002550000}"/>
    <cellStyle name="Normal 11 2 2 3 2 5 3" xfId="39258" xr:uid="{00000000-0005-0000-0000-000003550000}"/>
    <cellStyle name="Normal 11 2 2 3 2 6" xfId="18906" xr:uid="{00000000-0005-0000-0000-000004550000}"/>
    <cellStyle name="Normal 11 2 2 3 2 6 2" xfId="46039" xr:uid="{00000000-0005-0000-0000-000005550000}"/>
    <cellStyle name="Normal 11 2 2 3 2 7" xfId="32477" xr:uid="{00000000-0005-0000-0000-000006550000}"/>
    <cellStyle name="Normal 11 2 2 3 3" xfId="5171" xr:uid="{00000000-0005-0000-0000-000007550000}"/>
    <cellStyle name="Normal 11 2 2 3 3 2" xfId="5172" xr:uid="{00000000-0005-0000-0000-000008550000}"/>
    <cellStyle name="Normal 11 2 2 3 3 2 2" xfId="8723" xr:uid="{00000000-0005-0000-0000-000009550000}"/>
    <cellStyle name="Normal 11 2 2 3 3 2 2 2" xfId="15512" xr:uid="{00000000-0005-0000-0000-00000A550000}"/>
    <cellStyle name="Normal 11 2 2 3 3 2 2 2 2" xfId="29080" xr:uid="{00000000-0005-0000-0000-00000B550000}"/>
    <cellStyle name="Normal 11 2 2 3 3 2 2 2 2 2" xfId="56213" xr:uid="{00000000-0005-0000-0000-00000C550000}"/>
    <cellStyle name="Normal 11 2 2 3 3 2 2 2 3" xfId="42651" xr:uid="{00000000-0005-0000-0000-00000D550000}"/>
    <cellStyle name="Normal 11 2 2 3 3 2 2 3" xfId="22299" xr:uid="{00000000-0005-0000-0000-00000E550000}"/>
    <cellStyle name="Normal 11 2 2 3 3 2 2 3 2" xfId="49432" xr:uid="{00000000-0005-0000-0000-00000F550000}"/>
    <cellStyle name="Normal 11 2 2 3 3 2 2 4" xfId="35870" xr:uid="{00000000-0005-0000-0000-000010550000}"/>
    <cellStyle name="Normal 11 2 2 3 3 2 3" xfId="12123" xr:uid="{00000000-0005-0000-0000-000011550000}"/>
    <cellStyle name="Normal 11 2 2 3 3 2 3 2" xfId="25691" xr:uid="{00000000-0005-0000-0000-000012550000}"/>
    <cellStyle name="Normal 11 2 2 3 3 2 3 2 2" xfId="52824" xr:uid="{00000000-0005-0000-0000-000013550000}"/>
    <cellStyle name="Normal 11 2 2 3 3 2 3 3" xfId="39262" xr:uid="{00000000-0005-0000-0000-000014550000}"/>
    <cellStyle name="Normal 11 2 2 3 3 2 4" xfId="18910" xr:uid="{00000000-0005-0000-0000-000015550000}"/>
    <cellStyle name="Normal 11 2 2 3 3 2 4 2" xfId="46043" xr:uid="{00000000-0005-0000-0000-000016550000}"/>
    <cellStyle name="Normal 11 2 2 3 3 2 5" xfId="32481" xr:uid="{00000000-0005-0000-0000-000017550000}"/>
    <cellStyle name="Normal 11 2 2 3 3 3" xfId="8722" xr:uid="{00000000-0005-0000-0000-000018550000}"/>
    <cellStyle name="Normal 11 2 2 3 3 3 2" xfId="15511" xr:uid="{00000000-0005-0000-0000-000019550000}"/>
    <cellStyle name="Normal 11 2 2 3 3 3 2 2" xfId="29079" xr:uid="{00000000-0005-0000-0000-00001A550000}"/>
    <cellStyle name="Normal 11 2 2 3 3 3 2 2 2" xfId="56212" xr:uid="{00000000-0005-0000-0000-00001B550000}"/>
    <cellStyle name="Normal 11 2 2 3 3 3 2 3" xfId="42650" xr:uid="{00000000-0005-0000-0000-00001C550000}"/>
    <cellStyle name="Normal 11 2 2 3 3 3 3" xfId="22298" xr:uid="{00000000-0005-0000-0000-00001D550000}"/>
    <cellStyle name="Normal 11 2 2 3 3 3 3 2" xfId="49431" xr:uid="{00000000-0005-0000-0000-00001E550000}"/>
    <cellStyle name="Normal 11 2 2 3 3 3 4" xfId="35869" xr:uid="{00000000-0005-0000-0000-00001F550000}"/>
    <cellStyle name="Normal 11 2 2 3 3 4" xfId="12122" xr:uid="{00000000-0005-0000-0000-000020550000}"/>
    <cellStyle name="Normal 11 2 2 3 3 4 2" xfId="25690" xr:uid="{00000000-0005-0000-0000-000021550000}"/>
    <cellStyle name="Normal 11 2 2 3 3 4 2 2" xfId="52823" xr:uid="{00000000-0005-0000-0000-000022550000}"/>
    <cellStyle name="Normal 11 2 2 3 3 4 3" xfId="39261" xr:uid="{00000000-0005-0000-0000-000023550000}"/>
    <cellStyle name="Normal 11 2 2 3 3 5" xfId="18909" xr:uid="{00000000-0005-0000-0000-000024550000}"/>
    <cellStyle name="Normal 11 2 2 3 3 5 2" xfId="46042" xr:uid="{00000000-0005-0000-0000-000025550000}"/>
    <cellStyle name="Normal 11 2 2 3 3 6" xfId="32480" xr:uid="{00000000-0005-0000-0000-000026550000}"/>
    <cellStyle name="Normal 11 2 2 3 4" xfId="5173" xr:uid="{00000000-0005-0000-0000-000027550000}"/>
    <cellStyle name="Normal 11 2 2 3 4 2" xfId="8724" xr:uid="{00000000-0005-0000-0000-000028550000}"/>
    <cellStyle name="Normal 11 2 2 3 4 2 2" xfId="15513" xr:uid="{00000000-0005-0000-0000-000029550000}"/>
    <cellStyle name="Normal 11 2 2 3 4 2 2 2" xfId="29081" xr:uid="{00000000-0005-0000-0000-00002A550000}"/>
    <cellStyle name="Normal 11 2 2 3 4 2 2 2 2" xfId="56214" xr:uid="{00000000-0005-0000-0000-00002B550000}"/>
    <cellStyle name="Normal 11 2 2 3 4 2 2 3" xfId="42652" xr:uid="{00000000-0005-0000-0000-00002C550000}"/>
    <cellStyle name="Normal 11 2 2 3 4 2 3" xfId="22300" xr:uid="{00000000-0005-0000-0000-00002D550000}"/>
    <cellStyle name="Normal 11 2 2 3 4 2 3 2" xfId="49433" xr:uid="{00000000-0005-0000-0000-00002E550000}"/>
    <cellStyle name="Normal 11 2 2 3 4 2 4" xfId="35871" xr:uid="{00000000-0005-0000-0000-00002F550000}"/>
    <cellStyle name="Normal 11 2 2 3 4 3" xfId="12124" xr:uid="{00000000-0005-0000-0000-000030550000}"/>
    <cellStyle name="Normal 11 2 2 3 4 3 2" xfId="25692" xr:uid="{00000000-0005-0000-0000-000031550000}"/>
    <cellStyle name="Normal 11 2 2 3 4 3 2 2" xfId="52825" xr:uid="{00000000-0005-0000-0000-000032550000}"/>
    <cellStyle name="Normal 11 2 2 3 4 3 3" xfId="39263" xr:uid="{00000000-0005-0000-0000-000033550000}"/>
    <cellStyle name="Normal 11 2 2 3 4 4" xfId="18911" xr:uid="{00000000-0005-0000-0000-000034550000}"/>
    <cellStyle name="Normal 11 2 2 3 4 4 2" xfId="46044" xr:uid="{00000000-0005-0000-0000-000035550000}"/>
    <cellStyle name="Normal 11 2 2 3 4 5" xfId="32482" xr:uid="{00000000-0005-0000-0000-000036550000}"/>
    <cellStyle name="Normal 11 2 2 3 5" xfId="5174" xr:uid="{00000000-0005-0000-0000-000037550000}"/>
    <cellStyle name="Normal 11 2 2 3 5 2" xfId="8725" xr:uid="{00000000-0005-0000-0000-000038550000}"/>
    <cellStyle name="Normal 11 2 2 3 5 2 2" xfId="15514" xr:uid="{00000000-0005-0000-0000-000039550000}"/>
    <cellStyle name="Normal 11 2 2 3 5 2 2 2" xfId="29082" xr:uid="{00000000-0005-0000-0000-00003A550000}"/>
    <cellStyle name="Normal 11 2 2 3 5 2 2 2 2" xfId="56215" xr:uid="{00000000-0005-0000-0000-00003B550000}"/>
    <cellStyle name="Normal 11 2 2 3 5 2 2 3" xfId="42653" xr:uid="{00000000-0005-0000-0000-00003C550000}"/>
    <cellStyle name="Normal 11 2 2 3 5 2 3" xfId="22301" xr:uid="{00000000-0005-0000-0000-00003D550000}"/>
    <cellStyle name="Normal 11 2 2 3 5 2 3 2" xfId="49434" xr:uid="{00000000-0005-0000-0000-00003E550000}"/>
    <cellStyle name="Normal 11 2 2 3 5 2 4" xfId="35872" xr:uid="{00000000-0005-0000-0000-00003F550000}"/>
    <cellStyle name="Normal 11 2 2 3 5 3" xfId="12125" xr:uid="{00000000-0005-0000-0000-000040550000}"/>
    <cellStyle name="Normal 11 2 2 3 5 3 2" xfId="25693" xr:uid="{00000000-0005-0000-0000-000041550000}"/>
    <cellStyle name="Normal 11 2 2 3 5 3 2 2" xfId="52826" xr:uid="{00000000-0005-0000-0000-000042550000}"/>
    <cellStyle name="Normal 11 2 2 3 5 3 3" xfId="39264" xr:uid="{00000000-0005-0000-0000-000043550000}"/>
    <cellStyle name="Normal 11 2 2 3 5 4" xfId="18912" xr:uid="{00000000-0005-0000-0000-000044550000}"/>
    <cellStyle name="Normal 11 2 2 3 5 4 2" xfId="46045" xr:uid="{00000000-0005-0000-0000-000045550000}"/>
    <cellStyle name="Normal 11 2 2 3 5 5" xfId="32483" xr:uid="{00000000-0005-0000-0000-000046550000}"/>
    <cellStyle name="Normal 11 2 2 3 6" xfId="8718" xr:uid="{00000000-0005-0000-0000-000047550000}"/>
    <cellStyle name="Normal 11 2 2 3 6 2" xfId="15507" xr:uid="{00000000-0005-0000-0000-000048550000}"/>
    <cellStyle name="Normal 11 2 2 3 6 2 2" xfId="29075" xr:uid="{00000000-0005-0000-0000-000049550000}"/>
    <cellStyle name="Normal 11 2 2 3 6 2 2 2" xfId="56208" xr:uid="{00000000-0005-0000-0000-00004A550000}"/>
    <cellStyle name="Normal 11 2 2 3 6 2 3" xfId="42646" xr:uid="{00000000-0005-0000-0000-00004B550000}"/>
    <cellStyle name="Normal 11 2 2 3 6 3" xfId="22294" xr:uid="{00000000-0005-0000-0000-00004C550000}"/>
    <cellStyle name="Normal 11 2 2 3 6 3 2" xfId="49427" xr:uid="{00000000-0005-0000-0000-00004D550000}"/>
    <cellStyle name="Normal 11 2 2 3 6 4" xfId="35865" xr:uid="{00000000-0005-0000-0000-00004E550000}"/>
    <cellStyle name="Normal 11 2 2 3 7" xfId="12118" xr:uid="{00000000-0005-0000-0000-00004F550000}"/>
    <cellStyle name="Normal 11 2 2 3 7 2" xfId="25686" xr:uid="{00000000-0005-0000-0000-000050550000}"/>
    <cellStyle name="Normal 11 2 2 3 7 2 2" xfId="52819" xr:uid="{00000000-0005-0000-0000-000051550000}"/>
    <cellStyle name="Normal 11 2 2 3 7 3" xfId="39257" xr:uid="{00000000-0005-0000-0000-000052550000}"/>
    <cellStyle name="Normal 11 2 2 3 8" xfId="18905" xr:uid="{00000000-0005-0000-0000-000053550000}"/>
    <cellStyle name="Normal 11 2 2 3 8 2" xfId="46038" xr:uid="{00000000-0005-0000-0000-000054550000}"/>
    <cellStyle name="Normal 11 2 2 3 9" xfId="32476" xr:uid="{00000000-0005-0000-0000-000055550000}"/>
    <cellStyle name="Normal 11 2 2 4" xfId="5175" xr:uid="{00000000-0005-0000-0000-000056550000}"/>
    <cellStyle name="Normal 11 2 2 4 2" xfId="5176" xr:uid="{00000000-0005-0000-0000-000057550000}"/>
    <cellStyle name="Normal 11 2 2 4 2 2" xfId="5177" xr:uid="{00000000-0005-0000-0000-000058550000}"/>
    <cellStyle name="Normal 11 2 2 4 2 2 2" xfId="8728" xr:uid="{00000000-0005-0000-0000-000059550000}"/>
    <cellStyle name="Normal 11 2 2 4 2 2 2 2" xfId="15517" xr:uid="{00000000-0005-0000-0000-00005A550000}"/>
    <cellStyle name="Normal 11 2 2 4 2 2 2 2 2" xfId="29085" xr:uid="{00000000-0005-0000-0000-00005B550000}"/>
    <cellStyle name="Normal 11 2 2 4 2 2 2 2 2 2" xfId="56218" xr:uid="{00000000-0005-0000-0000-00005C550000}"/>
    <cellStyle name="Normal 11 2 2 4 2 2 2 2 3" xfId="42656" xr:uid="{00000000-0005-0000-0000-00005D550000}"/>
    <cellStyle name="Normal 11 2 2 4 2 2 2 3" xfId="22304" xr:uid="{00000000-0005-0000-0000-00005E550000}"/>
    <cellStyle name="Normal 11 2 2 4 2 2 2 3 2" xfId="49437" xr:uid="{00000000-0005-0000-0000-00005F550000}"/>
    <cellStyle name="Normal 11 2 2 4 2 2 2 4" xfId="35875" xr:uid="{00000000-0005-0000-0000-000060550000}"/>
    <cellStyle name="Normal 11 2 2 4 2 2 3" xfId="12128" xr:uid="{00000000-0005-0000-0000-000061550000}"/>
    <cellStyle name="Normal 11 2 2 4 2 2 3 2" xfId="25696" xr:uid="{00000000-0005-0000-0000-000062550000}"/>
    <cellStyle name="Normal 11 2 2 4 2 2 3 2 2" xfId="52829" xr:uid="{00000000-0005-0000-0000-000063550000}"/>
    <cellStyle name="Normal 11 2 2 4 2 2 3 3" xfId="39267" xr:uid="{00000000-0005-0000-0000-000064550000}"/>
    <cellStyle name="Normal 11 2 2 4 2 2 4" xfId="18915" xr:uid="{00000000-0005-0000-0000-000065550000}"/>
    <cellStyle name="Normal 11 2 2 4 2 2 4 2" xfId="46048" xr:uid="{00000000-0005-0000-0000-000066550000}"/>
    <cellStyle name="Normal 11 2 2 4 2 2 5" xfId="32486" xr:uid="{00000000-0005-0000-0000-000067550000}"/>
    <cellStyle name="Normal 11 2 2 4 2 3" xfId="5178" xr:uid="{00000000-0005-0000-0000-000068550000}"/>
    <cellStyle name="Normal 11 2 2 4 2 3 2" xfId="8729" xr:uid="{00000000-0005-0000-0000-000069550000}"/>
    <cellStyle name="Normal 11 2 2 4 2 3 2 2" xfId="15518" xr:uid="{00000000-0005-0000-0000-00006A550000}"/>
    <cellStyle name="Normal 11 2 2 4 2 3 2 2 2" xfId="29086" xr:uid="{00000000-0005-0000-0000-00006B550000}"/>
    <cellStyle name="Normal 11 2 2 4 2 3 2 2 2 2" xfId="56219" xr:uid="{00000000-0005-0000-0000-00006C550000}"/>
    <cellStyle name="Normal 11 2 2 4 2 3 2 2 3" xfId="42657" xr:uid="{00000000-0005-0000-0000-00006D550000}"/>
    <cellStyle name="Normal 11 2 2 4 2 3 2 3" xfId="22305" xr:uid="{00000000-0005-0000-0000-00006E550000}"/>
    <cellStyle name="Normal 11 2 2 4 2 3 2 3 2" xfId="49438" xr:uid="{00000000-0005-0000-0000-00006F550000}"/>
    <cellStyle name="Normal 11 2 2 4 2 3 2 4" xfId="35876" xr:uid="{00000000-0005-0000-0000-000070550000}"/>
    <cellStyle name="Normal 11 2 2 4 2 3 3" xfId="12129" xr:uid="{00000000-0005-0000-0000-000071550000}"/>
    <cellStyle name="Normal 11 2 2 4 2 3 3 2" xfId="25697" xr:uid="{00000000-0005-0000-0000-000072550000}"/>
    <cellStyle name="Normal 11 2 2 4 2 3 3 2 2" xfId="52830" xr:uid="{00000000-0005-0000-0000-000073550000}"/>
    <cellStyle name="Normal 11 2 2 4 2 3 3 3" xfId="39268" xr:uid="{00000000-0005-0000-0000-000074550000}"/>
    <cellStyle name="Normal 11 2 2 4 2 3 4" xfId="18916" xr:uid="{00000000-0005-0000-0000-000075550000}"/>
    <cellStyle name="Normal 11 2 2 4 2 3 4 2" xfId="46049" xr:uid="{00000000-0005-0000-0000-000076550000}"/>
    <cellStyle name="Normal 11 2 2 4 2 3 5" xfId="32487" xr:uid="{00000000-0005-0000-0000-000077550000}"/>
    <cellStyle name="Normal 11 2 2 4 2 4" xfId="8727" xr:uid="{00000000-0005-0000-0000-000078550000}"/>
    <cellStyle name="Normal 11 2 2 4 2 4 2" xfId="15516" xr:uid="{00000000-0005-0000-0000-000079550000}"/>
    <cellStyle name="Normal 11 2 2 4 2 4 2 2" xfId="29084" xr:uid="{00000000-0005-0000-0000-00007A550000}"/>
    <cellStyle name="Normal 11 2 2 4 2 4 2 2 2" xfId="56217" xr:uid="{00000000-0005-0000-0000-00007B550000}"/>
    <cellStyle name="Normal 11 2 2 4 2 4 2 3" xfId="42655" xr:uid="{00000000-0005-0000-0000-00007C550000}"/>
    <cellStyle name="Normal 11 2 2 4 2 4 3" xfId="22303" xr:uid="{00000000-0005-0000-0000-00007D550000}"/>
    <cellStyle name="Normal 11 2 2 4 2 4 3 2" xfId="49436" xr:uid="{00000000-0005-0000-0000-00007E550000}"/>
    <cellStyle name="Normal 11 2 2 4 2 4 4" xfId="35874" xr:uid="{00000000-0005-0000-0000-00007F550000}"/>
    <cellStyle name="Normal 11 2 2 4 2 5" xfId="12127" xr:uid="{00000000-0005-0000-0000-000080550000}"/>
    <cellStyle name="Normal 11 2 2 4 2 5 2" xfId="25695" xr:uid="{00000000-0005-0000-0000-000081550000}"/>
    <cellStyle name="Normal 11 2 2 4 2 5 2 2" xfId="52828" xr:uid="{00000000-0005-0000-0000-000082550000}"/>
    <cellStyle name="Normal 11 2 2 4 2 5 3" xfId="39266" xr:uid="{00000000-0005-0000-0000-000083550000}"/>
    <cellStyle name="Normal 11 2 2 4 2 6" xfId="18914" xr:uid="{00000000-0005-0000-0000-000084550000}"/>
    <cellStyle name="Normal 11 2 2 4 2 6 2" xfId="46047" xr:uid="{00000000-0005-0000-0000-000085550000}"/>
    <cellStyle name="Normal 11 2 2 4 2 7" xfId="32485" xr:uid="{00000000-0005-0000-0000-000086550000}"/>
    <cellStyle name="Normal 11 2 2 4 3" xfId="5179" xr:uid="{00000000-0005-0000-0000-000087550000}"/>
    <cellStyle name="Normal 11 2 2 4 3 2" xfId="8730" xr:uid="{00000000-0005-0000-0000-000088550000}"/>
    <cellStyle name="Normal 11 2 2 4 3 2 2" xfId="15519" xr:uid="{00000000-0005-0000-0000-000089550000}"/>
    <cellStyle name="Normal 11 2 2 4 3 2 2 2" xfId="29087" xr:uid="{00000000-0005-0000-0000-00008A550000}"/>
    <cellStyle name="Normal 11 2 2 4 3 2 2 2 2" xfId="56220" xr:uid="{00000000-0005-0000-0000-00008B550000}"/>
    <cellStyle name="Normal 11 2 2 4 3 2 2 3" xfId="42658" xr:uid="{00000000-0005-0000-0000-00008C550000}"/>
    <cellStyle name="Normal 11 2 2 4 3 2 3" xfId="22306" xr:uid="{00000000-0005-0000-0000-00008D550000}"/>
    <cellStyle name="Normal 11 2 2 4 3 2 3 2" xfId="49439" xr:uid="{00000000-0005-0000-0000-00008E550000}"/>
    <cellStyle name="Normal 11 2 2 4 3 2 4" xfId="35877" xr:uid="{00000000-0005-0000-0000-00008F550000}"/>
    <cellStyle name="Normal 11 2 2 4 3 3" xfId="12130" xr:uid="{00000000-0005-0000-0000-000090550000}"/>
    <cellStyle name="Normal 11 2 2 4 3 3 2" xfId="25698" xr:uid="{00000000-0005-0000-0000-000091550000}"/>
    <cellStyle name="Normal 11 2 2 4 3 3 2 2" xfId="52831" xr:uid="{00000000-0005-0000-0000-000092550000}"/>
    <cellStyle name="Normal 11 2 2 4 3 3 3" xfId="39269" xr:uid="{00000000-0005-0000-0000-000093550000}"/>
    <cellStyle name="Normal 11 2 2 4 3 4" xfId="18917" xr:uid="{00000000-0005-0000-0000-000094550000}"/>
    <cellStyle name="Normal 11 2 2 4 3 4 2" xfId="46050" xr:uid="{00000000-0005-0000-0000-000095550000}"/>
    <cellStyle name="Normal 11 2 2 4 3 5" xfId="32488" xr:uid="{00000000-0005-0000-0000-000096550000}"/>
    <cellStyle name="Normal 11 2 2 4 4" xfId="5180" xr:uid="{00000000-0005-0000-0000-000097550000}"/>
    <cellStyle name="Normal 11 2 2 4 4 2" xfId="8731" xr:uid="{00000000-0005-0000-0000-000098550000}"/>
    <cellStyle name="Normal 11 2 2 4 4 2 2" xfId="15520" xr:uid="{00000000-0005-0000-0000-000099550000}"/>
    <cellStyle name="Normal 11 2 2 4 4 2 2 2" xfId="29088" xr:uid="{00000000-0005-0000-0000-00009A550000}"/>
    <cellStyle name="Normal 11 2 2 4 4 2 2 2 2" xfId="56221" xr:uid="{00000000-0005-0000-0000-00009B550000}"/>
    <cellStyle name="Normal 11 2 2 4 4 2 2 3" xfId="42659" xr:uid="{00000000-0005-0000-0000-00009C550000}"/>
    <cellStyle name="Normal 11 2 2 4 4 2 3" xfId="22307" xr:uid="{00000000-0005-0000-0000-00009D550000}"/>
    <cellStyle name="Normal 11 2 2 4 4 2 3 2" xfId="49440" xr:uid="{00000000-0005-0000-0000-00009E550000}"/>
    <cellStyle name="Normal 11 2 2 4 4 2 4" xfId="35878" xr:uid="{00000000-0005-0000-0000-00009F550000}"/>
    <cellStyle name="Normal 11 2 2 4 4 3" xfId="12131" xr:uid="{00000000-0005-0000-0000-0000A0550000}"/>
    <cellStyle name="Normal 11 2 2 4 4 3 2" xfId="25699" xr:uid="{00000000-0005-0000-0000-0000A1550000}"/>
    <cellStyle name="Normal 11 2 2 4 4 3 2 2" xfId="52832" xr:uid="{00000000-0005-0000-0000-0000A2550000}"/>
    <cellStyle name="Normal 11 2 2 4 4 3 3" xfId="39270" xr:uid="{00000000-0005-0000-0000-0000A3550000}"/>
    <cellStyle name="Normal 11 2 2 4 4 4" xfId="18918" xr:uid="{00000000-0005-0000-0000-0000A4550000}"/>
    <cellStyle name="Normal 11 2 2 4 4 4 2" xfId="46051" xr:uid="{00000000-0005-0000-0000-0000A5550000}"/>
    <cellStyle name="Normal 11 2 2 4 4 5" xfId="32489" xr:uid="{00000000-0005-0000-0000-0000A6550000}"/>
    <cellStyle name="Normal 11 2 2 4 5" xfId="8726" xr:uid="{00000000-0005-0000-0000-0000A7550000}"/>
    <cellStyle name="Normal 11 2 2 4 5 2" xfId="15515" xr:uid="{00000000-0005-0000-0000-0000A8550000}"/>
    <cellStyle name="Normal 11 2 2 4 5 2 2" xfId="29083" xr:uid="{00000000-0005-0000-0000-0000A9550000}"/>
    <cellStyle name="Normal 11 2 2 4 5 2 2 2" xfId="56216" xr:uid="{00000000-0005-0000-0000-0000AA550000}"/>
    <cellStyle name="Normal 11 2 2 4 5 2 3" xfId="42654" xr:uid="{00000000-0005-0000-0000-0000AB550000}"/>
    <cellStyle name="Normal 11 2 2 4 5 3" xfId="22302" xr:uid="{00000000-0005-0000-0000-0000AC550000}"/>
    <cellStyle name="Normal 11 2 2 4 5 3 2" xfId="49435" xr:uid="{00000000-0005-0000-0000-0000AD550000}"/>
    <cellStyle name="Normal 11 2 2 4 5 4" xfId="35873" xr:uid="{00000000-0005-0000-0000-0000AE550000}"/>
    <cellStyle name="Normal 11 2 2 4 6" xfId="12126" xr:uid="{00000000-0005-0000-0000-0000AF550000}"/>
    <cellStyle name="Normal 11 2 2 4 6 2" xfId="25694" xr:uid="{00000000-0005-0000-0000-0000B0550000}"/>
    <cellStyle name="Normal 11 2 2 4 6 2 2" xfId="52827" xr:uid="{00000000-0005-0000-0000-0000B1550000}"/>
    <cellStyle name="Normal 11 2 2 4 6 3" xfId="39265" xr:uid="{00000000-0005-0000-0000-0000B2550000}"/>
    <cellStyle name="Normal 11 2 2 4 7" xfId="18913" xr:uid="{00000000-0005-0000-0000-0000B3550000}"/>
    <cellStyle name="Normal 11 2 2 4 7 2" xfId="46046" xr:uid="{00000000-0005-0000-0000-0000B4550000}"/>
    <cellStyle name="Normal 11 2 2 4 8" xfId="32484" xr:uid="{00000000-0005-0000-0000-0000B5550000}"/>
    <cellStyle name="Normal 11 2 2 5" xfId="5181" xr:uid="{00000000-0005-0000-0000-0000B6550000}"/>
    <cellStyle name="Normal 11 2 2 5 2" xfId="5182" xr:uid="{00000000-0005-0000-0000-0000B7550000}"/>
    <cellStyle name="Normal 11 2 2 5 2 2" xfId="8733" xr:uid="{00000000-0005-0000-0000-0000B8550000}"/>
    <cellStyle name="Normal 11 2 2 5 2 2 2" xfId="15522" xr:uid="{00000000-0005-0000-0000-0000B9550000}"/>
    <cellStyle name="Normal 11 2 2 5 2 2 2 2" xfId="29090" xr:uid="{00000000-0005-0000-0000-0000BA550000}"/>
    <cellStyle name="Normal 11 2 2 5 2 2 2 2 2" xfId="56223" xr:uid="{00000000-0005-0000-0000-0000BB550000}"/>
    <cellStyle name="Normal 11 2 2 5 2 2 2 3" xfId="42661" xr:uid="{00000000-0005-0000-0000-0000BC550000}"/>
    <cellStyle name="Normal 11 2 2 5 2 2 3" xfId="22309" xr:uid="{00000000-0005-0000-0000-0000BD550000}"/>
    <cellStyle name="Normal 11 2 2 5 2 2 3 2" xfId="49442" xr:uid="{00000000-0005-0000-0000-0000BE550000}"/>
    <cellStyle name="Normal 11 2 2 5 2 2 4" xfId="35880" xr:uid="{00000000-0005-0000-0000-0000BF550000}"/>
    <cellStyle name="Normal 11 2 2 5 2 3" xfId="12133" xr:uid="{00000000-0005-0000-0000-0000C0550000}"/>
    <cellStyle name="Normal 11 2 2 5 2 3 2" xfId="25701" xr:uid="{00000000-0005-0000-0000-0000C1550000}"/>
    <cellStyle name="Normal 11 2 2 5 2 3 2 2" xfId="52834" xr:uid="{00000000-0005-0000-0000-0000C2550000}"/>
    <cellStyle name="Normal 11 2 2 5 2 3 3" xfId="39272" xr:uid="{00000000-0005-0000-0000-0000C3550000}"/>
    <cellStyle name="Normal 11 2 2 5 2 4" xfId="18920" xr:uid="{00000000-0005-0000-0000-0000C4550000}"/>
    <cellStyle name="Normal 11 2 2 5 2 4 2" xfId="46053" xr:uid="{00000000-0005-0000-0000-0000C5550000}"/>
    <cellStyle name="Normal 11 2 2 5 2 5" xfId="32491" xr:uid="{00000000-0005-0000-0000-0000C6550000}"/>
    <cellStyle name="Normal 11 2 2 5 3" xfId="5183" xr:uid="{00000000-0005-0000-0000-0000C7550000}"/>
    <cellStyle name="Normal 11 2 2 5 3 2" xfId="8734" xr:uid="{00000000-0005-0000-0000-0000C8550000}"/>
    <cellStyle name="Normal 11 2 2 5 3 2 2" xfId="15523" xr:uid="{00000000-0005-0000-0000-0000C9550000}"/>
    <cellStyle name="Normal 11 2 2 5 3 2 2 2" xfId="29091" xr:uid="{00000000-0005-0000-0000-0000CA550000}"/>
    <cellStyle name="Normal 11 2 2 5 3 2 2 2 2" xfId="56224" xr:uid="{00000000-0005-0000-0000-0000CB550000}"/>
    <cellStyle name="Normal 11 2 2 5 3 2 2 3" xfId="42662" xr:uid="{00000000-0005-0000-0000-0000CC550000}"/>
    <cellStyle name="Normal 11 2 2 5 3 2 3" xfId="22310" xr:uid="{00000000-0005-0000-0000-0000CD550000}"/>
    <cellStyle name="Normal 11 2 2 5 3 2 3 2" xfId="49443" xr:uid="{00000000-0005-0000-0000-0000CE550000}"/>
    <cellStyle name="Normal 11 2 2 5 3 2 4" xfId="35881" xr:uid="{00000000-0005-0000-0000-0000CF550000}"/>
    <cellStyle name="Normal 11 2 2 5 3 3" xfId="12134" xr:uid="{00000000-0005-0000-0000-0000D0550000}"/>
    <cellStyle name="Normal 11 2 2 5 3 3 2" xfId="25702" xr:uid="{00000000-0005-0000-0000-0000D1550000}"/>
    <cellStyle name="Normal 11 2 2 5 3 3 2 2" xfId="52835" xr:uid="{00000000-0005-0000-0000-0000D2550000}"/>
    <cellStyle name="Normal 11 2 2 5 3 3 3" xfId="39273" xr:uid="{00000000-0005-0000-0000-0000D3550000}"/>
    <cellStyle name="Normal 11 2 2 5 3 4" xfId="18921" xr:uid="{00000000-0005-0000-0000-0000D4550000}"/>
    <cellStyle name="Normal 11 2 2 5 3 4 2" xfId="46054" xr:uid="{00000000-0005-0000-0000-0000D5550000}"/>
    <cellStyle name="Normal 11 2 2 5 3 5" xfId="32492" xr:uid="{00000000-0005-0000-0000-0000D6550000}"/>
    <cellStyle name="Normal 11 2 2 5 4" xfId="8732" xr:uid="{00000000-0005-0000-0000-0000D7550000}"/>
    <cellStyle name="Normal 11 2 2 5 4 2" xfId="15521" xr:uid="{00000000-0005-0000-0000-0000D8550000}"/>
    <cellStyle name="Normal 11 2 2 5 4 2 2" xfId="29089" xr:uid="{00000000-0005-0000-0000-0000D9550000}"/>
    <cellStyle name="Normal 11 2 2 5 4 2 2 2" xfId="56222" xr:uid="{00000000-0005-0000-0000-0000DA550000}"/>
    <cellStyle name="Normal 11 2 2 5 4 2 3" xfId="42660" xr:uid="{00000000-0005-0000-0000-0000DB550000}"/>
    <cellStyle name="Normal 11 2 2 5 4 3" xfId="22308" xr:uid="{00000000-0005-0000-0000-0000DC550000}"/>
    <cellStyle name="Normal 11 2 2 5 4 3 2" xfId="49441" xr:uid="{00000000-0005-0000-0000-0000DD550000}"/>
    <cellStyle name="Normal 11 2 2 5 4 4" xfId="35879" xr:uid="{00000000-0005-0000-0000-0000DE550000}"/>
    <cellStyle name="Normal 11 2 2 5 5" xfId="12132" xr:uid="{00000000-0005-0000-0000-0000DF550000}"/>
    <cellStyle name="Normal 11 2 2 5 5 2" xfId="25700" xr:uid="{00000000-0005-0000-0000-0000E0550000}"/>
    <cellStyle name="Normal 11 2 2 5 5 2 2" xfId="52833" xr:uid="{00000000-0005-0000-0000-0000E1550000}"/>
    <cellStyle name="Normal 11 2 2 5 5 3" xfId="39271" xr:uid="{00000000-0005-0000-0000-0000E2550000}"/>
    <cellStyle name="Normal 11 2 2 5 6" xfId="18919" xr:uid="{00000000-0005-0000-0000-0000E3550000}"/>
    <cellStyle name="Normal 11 2 2 5 6 2" xfId="46052" xr:uid="{00000000-0005-0000-0000-0000E4550000}"/>
    <cellStyle name="Normal 11 2 2 5 7" xfId="32490" xr:uid="{00000000-0005-0000-0000-0000E5550000}"/>
    <cellStyle name="Normal 11 2 2 6" xfId="5184" xr:uid="{00000000-0005-0000-0000-0000E6550000}"/>
    <cellStyle name="Normal 11 2 2 6 2" xfId="5185" xr:uid="{00000000-0005-0000-0000-0000E7550000}"/>
    <cellStyle name="Normal 11 2 2 6 2 2" xfId="8736" xr:uid="{00000000-0005-0000-0000-0000E8550000}"/>
    <cellStyle name="Normal 11 2 2 6 2 2 2" xfId="15525" xr:uid="{00000000-0005-0000-0000-0000E9550000}"/>
    <cellStyle name="Normal 11 2 2 6 2 2 2 2" xfId="29093" xr:uid="{00000000-0005-0000-0000-0000EA550000}"/>
    <cellStyle name="Normal 11 2 2 6 2 2 2 2 2" xfId="56226" xr:uid="{00000000-0005-0000-0000-0000EB550000}"/>
    <cellStyle name="Normal 11 2 2 6 2 2 2 3" xfId="42664" xr:uid="{00000000-0005-0000-0000-0000EC550000}"/>
    <cellStyle name="Normal 11 2 2 6 2 2 3" xfId="22312" xr:uid="{00000000-0005-0000-0000-0000ED550000}"/>
    <cellStyle name="Normal 11 2 2 6 2 2 3 2" xfId="49445" xr:uid="{00000000-0005-0000-0000-0000EE550000}"/>
    <cellStyle name="Normal 11 2 2 6 2 2 4" xfId="35883" xr:uid="{00000000-0005-0000-0000-0000EF550000}"/>
    <cellStyle name="Normal 11 2 2 6 2 3" xfId="12136" xr:uid="{00000000-0005-0000-0000-0000F0550000}"/>
    <cellStyle name="Normal 11 2 2 6 2 3 2" xfId="25704" xr:uid="{00000000-0005-0000-0000-0000F1550000}"/>
    <cellStyle name="Normal 11 2 2 6 2 3 2 2" xfId="52837" xr:uid="{00000000-0005-0000-0000-0000F2550000}"/>
    <cellStyle name="Normal 11 2 2 6 2 3 3" xfId="39275" xr:uid="{00000000-0005-0000-0000-0000F3550000}"/>
    <cellStyle name="Normal 11 2 2 6 2 4" xfId="18923" xr:uid="{00000000-0005-0000-0000-0000F4550000}"/>
    <cellStyle name="Normal 11 2 2 6 2 4 2" xfId="46056" xr:uid="{00000000-0005-0000-0000-0000F5550000}"/>
    <cellStyle name="Normal 11 2 2 6 2 5" xfId="32494" xr:uid="{00000000-0005-0000-0000-0000F6550000}"/>
    <cellStyle name="Normal 11 2 2 6 3" xfId="5186" xr:uid="{00000000-0005-0000-0000-0000F7550000}"/>
    <cellStyle name="Normal 11 2 2 6 3 2" xfId="8737" xr:uid="{00000000-0005-0000-0000-0000F8550000}"/>
    <cellStyle name="Normal 11 2 2 6 3 2 2" xfId="15526" xr:uid="{00000000-0005-0000-0000-0000F9550000}"/>
    <cellStyle name="Normal 11 2 2 6 3 2 2 2" xfId="29094" xr:uid="{00000000-0005-0000-0000-0000FA550000}"/>
    <cellStyle name="Normal 11 2 2 6 3 2 2 2 2" xfId="56227" xr:uid="{00000000-0005-0000-0000-0000FB550000}"/>
    <cellStyle name="Normal 11 2 2 6 3 2 2 3" xfId="42665" xr:uid="{00000000-0005-0000-0000-0000FC550000}"/>
    <cellStyle name="Normal 11 2 2 6 3 2 3" xfId="22313" xr:uid="{00000000-0005-0000-0000-0000FD550000}"/>
    <cellStyle name="Normal 11 2 2 6 3 2 3 2" xfId="49446" xr:uid="{00000000-0005-0000-0000-0000FE550000}"/>
    <cellStyle name="Normal 11 2 2 6 3 2 4" xfId="35884" xr:uid="{00000000-0005-0000-0000-0000FF550000}"/>
    <cellStyle name="Normal 11 2 2 6 3 3" xfId="12137" xr:uid="{00000000-0005-0000-0000-000000560000}"/>
    <cellStyle name="Normal 11 2 2 6 3 3 2" xfId="25705" xr:uid="{00000000-0005-0000-0000-000001560000}"/>
    <cellStyle name="Normal 11 2 2 6 3 3 2 2" xfId="52838" xr:uid="{00000000-0005-0000-0000-000002560000}"/>
    <cellStyle name="Normal 11 2 2 6 3 3 3" xfId="39276" xr:uid="{00000000-0005-0000-0000-000003560000}"/>
    <cellStyle name="Normal 11 2 2 6 3 4" xfId="18924" xr:uid="{00000000-0005-0000-0000-000004560000}"/>
    <cellStyle name="Normal 11 2 2 6 3 4 2" xfId="46057" xr:uid="{00000000-0005-0000-0000-000005560000}"/>
    <cellStyle name="Normal 11 2 2 6 3 5" xfId="32495" xr:uid="{00000000-0005-0000-0000-000006560000}"/>
    <cellStyle name="Normal 11 2 2 6 4" xfId="8735" xr:uid="{00000000-0005-0000-0000-000007560000}"/>
    <cellStyle name="Normal 11 2 2 6 4 2" xfId="15524" xr:uid="{00000000-0005-0000-0000-000008560000}"/>
    <cellStyle name="Normal 11 2 2 6 4 2 2" xfId="29092" xr:uid="{00000000-0005-0000-0000-000009560000}"/>
    <cellStyle name="Normal 11 2 2 6 4 2 2 2" xfId="56225" xr:uid="{00000000-0005-0000-0000-00000A560000}"/>
    <cellStyle name="Normal 11 2 2 6 4 2 3" xfId="42663" xr:uid="{00000000-0005-0000-0000-00000B560000}"/>
    <cellStyle name="Normal 11 2 2 6 4 3" xfId="22311" xr:uid="{00000000-0005-0000-0000-00000C560000}"/>
    <cellStyle name="Normal 11 2 2 6 4 3 2" xfId="49444" xr:uid="{00000000-0005-0000-0000-00000D560000}"/>
    <cellStyle name="Normal 11 2 2 6 4 4" xfId="35882" xr:uid="{00000000-0005-0000-0000-00000E560000}"/>
    <cellStyle name="Normal 11 2 2 6 5" xfId="12135" xr:uid="{00000000-0005-0000-0000-00000F560000}"/>
    <cellStyle name="Normal 11 2 2 6 5 2" xfId="25703" xr:uid="{00000000-0005-0000-0000-000010560000}"/>
    <cellStyle name="Normal 11 2 2 6 5 2 2" xfId="52836" xr:uid="{00000000-0005-0000-0000-000011560000}"/>
    <cellStyle name="Normal 11 2 2 6 5 3" xfId="39274" xr:uid="{00000000-0005-0000-0000-000012560000}"/>
    <cellStyle name="Normal 11 2 2 6 6" xfId="18922" xr:uid="{00000000-0005-0000-0000-000013560000}"/>
    <cellStyle name="Normal 11 2 2 6 6 2" xfId="46055" xr:uid="{00000000-0005-0000-0000-000014560000}"/>
    <cellStyle name="Normal 11 2 2 6 7" xfId="32493" xr:uid="{00000000-0005-0000-0000-000015560000}"/>
    <cellStyle name="Normal 11 2 2 7" xfId="5187" xr:uid="{00000000-0005-0000-0000-000016560000}"/>
    <cellStyle name="Normal 11 2 2 7 2" xfId="8738" xr:uid="{00000000-0005-0000-0000-000017560000}"/>
    <cellStyle name="Normal 11 2 2 7 2 2" xfId="15527" xr:uid="{00000000-0005-0000-0000-000018560000}"/>
    <cellStyle name="Normal 11 2 2 7 2 2 2" xfId="29095" xr:uid="{00000000-0005-0000-0000-000019560000}"/>
    <cellStyle name="Normal 11 2 2 7 2 2 2 2" xfId="56228" xr:uid="{00000000-0005-0000-0000-00001A560000}"/>
    <cellStyle name="Normal 11 2 2 7 2 2 3" xfId="42666" xr:uid="{00000000-0005-0000-0000-00001B560000}"/>
    <cellStyle name="Normal 11 2 2 7 2 3" xfId="22314" xr:uid="{00000000-0005-0000-0000-00001C560000}"/>
    <cellStyle name="Normal 11 2 2 7 2 3 2" xfId="49447" xr:uid="{00000000-0005-0000-0000-00001D560000}"/>
    <cellStyle name="Normal 11 2 2 7 2 4" xfId="35885" xr:uid="{00000000-0005-0000-0000-00001E560000}"/>
    <cellStyle name="Normal 11 2 2 7 3" xfId="12138" xr:uid="{00000000-0005-0000-0000-00001F560000}"/>
    <cellStyle name="Normal 11 2 2 7 3 2" xfId="25706" xr:uid="{00000000-0005-0000-0000-000020560000}"/>
    <cellStyle name="Normal 11 2 2 7 3 2 2" xfId="52839" xr:uid="{00000000-0005-0000-0000-000021560000}"/>
    <cellStyle name="Normal 11 2 2 7 3 3" xfId="39277" xr:uid="{00000000-0005-0000-0000-000022560000}"/>
    <cellStyle name="Normal 11 2 2 7 4" xfId="18925" xr:uid="{00000000-0005-0000-0000-000023560000}"/>
    <cellStyle name="Normal 11 2 2 7 4 2" xfId="46058" xr:uid="{00000000-0005-0000-0000-000024560000}"/>
    <cellStyle name="Normal 11 2 2 7 5" xfId="32496" xr:uid="{00000000-0005-0000-0000-000025560000}"/>
    <cellStyle name="Normal 11 2 2 8" xfId="5188" xr:uid="{00000000-0005-0000-0000-000026560000}"/>
    <cellStyle name="Normal 11 2 2 8 2" xfId="8739" xr:uid="{00000000-0005-0000-0000-000027560000}"/>
    <cellStyle name="Normal 11 2 2 8 2 2" xfId="15528" xr:uid="{00000000-0005-0000-0000-000028560000}"/>
    <cellStyle name="Normal 11 2 2 8 2 2 2" xfId="29096" xr:uid="{00000000-0005-0000-0000-000029560000}"/>
    <cellStyle name="Normal 11 2 2 8 2 2 2 2" xfId="56229" xr:uid="{00000000-0005-0000-0000-00002A560000}"/>
    <cellStyle name="Normal 11 2 2 8 2 2 3" xfId="42667" xr:uid="{00000000-0005-0000-0000-00002B560000}"/>
    <cellStyle name="Normal 11 2 2 8 2 3" xfId="22315" xr:uid="{00000000-0005-0000-0000-00002C560000}"/>
    <cellStyle name="Normal 11 2 2 8 2 3 2" xfId="49448" xr:uid="{00000000-0005-0000-0000-00002D560000}"/>
    <cellStyle name="Normal 11 2 2 8 2 4" xfId="35886" xr:uid="{00000000-0005-0000-0000-00002E560000}"/>
    <cellStyle name="Normal 11 2 2 8 3" xfId="12139" xr:uid="{00000000-0005-0000-0000-00002F560000}"/>
    <cellStyle name="Normal 11 2 2 8 3 2" xfId="25707" xr:uid="{00000000-0005-0000-0000-000030560000}"/>
    <cellStyle name="Normal 11 2 2 8 3 2 2" xfId="52840" xr:uid="{00000000-0005-0000-0000-000031560000}"/>
    <cellStyle name="Normal 11 2 2 8 3 3" xfId="39278" xr:uid="{00000000-0005-0000-0000-000032560000}"/>
    <cellStyle name="Normal 11 2 2 8 4" xfId="18926" xr:uid="{00000000-0005-0000-0000-000033560000}"/>
    <cellStyle name="Normal 11 2 2 8 4 2" xfId="46059" xr:uid="{00000000-0005-0000-0000-000034560000}"/>
    <cellStyle name="Normal 11 2 2 8 5" xfId="32497" xr:uid="{00000000-0005-0000-0000-000035560000}"/>
    <cellStyle name="Normal 11 2 3" xfId="5189" xr:uid="{00000000-0005-0000-0000-000036560000}"/>
    <cellStyle name="Normal 11 2 3 10" xfId="32498" xr:uid="{00000000-0005-0000-0000-000037560000}"/>
    <cellStyle name="Normal 11 2 3 2" xfId="5190" xr:uid="{00000000-0005-0000-0000-000038560000}"/>
    <cellStyle name="Normal 11 2 3 2 2" xfId="5191" xr:uid="{00000000-0005-0000-0000-000039560000}"/>
    <cellStyle name="Normal 11 2 3 2 2 2" xfId="5192" xr:uid="{00000000-0005-0000-0000-00003A560000}"/>
    <cellStyle name="Normal 11 2 3 2 2 2 2" xfId="8743" xr:uid="{00000000-0005-0000-0000-00003B560000}"/>
    <cellStyle name="Normal 11 2 3 2 2 2 2 2" xfId="15532" xr:uid="{00000000-0005-0000-0000-00003C560000}"/>
    <cellStyle name="Normal 11 2 3 2 2 2 2 2 2" xfId="29100" xr:uid="{00000000-0005-0000-0000-00003D560000}"/>
    <cellStyle name="Normal 11 2 3 2 2 2 2 2 2 2" xfId="56233" xr:uid="{00000000-0005-0000-0000-00003E560000}"/>
    <cellStyle name="Normal 11 2 3 2 2 2 2 2 3" xfId="42671" xr:uid="{00000000-0005-0000-0000-00003F560000}"/>
    <cellStyle name="Normal 11 2 3 2 2 2 2 3" xfId="22319" xr:uid="{00000000-0005-0000-0000-000040560000}"/>
    <cellStyle name="Normal 11 2 3 2 2 2 2 3 2" xfId="49452" xr:uid="{00000000-0005-0000-0000-000041560000}"/>
    <cellStyle name="Normal 11 2 3 2 2 2 2 4" xfId="35890" xr:uid="{00000000-0005-0000-0000-000042560000}"/>
    <cellStyle name="Normal 11 2 3 2 2 2 3" xfId="12143" xr:uid="{00000000-0005-0000-0000-000043560000}"/>
    <cellStyle name="Normal 11 2 3 2 2 2 3 2" xfId="25711" xr:uid="{00000000-0005-0000-0000-000044560000}"/>
    <cellStyle name="Normal 11 2 3 2 2 2 3 2 2" xfId="52844" xr:uid="{00000000-0005-0000-0000-000045560000}"/>
    <cellStyle name="Normal 11 2 3 2 2 2 3 3" xfId="39282" xr:uid="{00000000-0005-0000-0000-000046560000}"/>
    <cellStyle name="Normal 11 2 3 2 2 2 4" xfId="18930" xr:uid="{00000000-0005-0000-0000-000047560000}"/>
    <cellStyle name="Normal 11 2 3 2 2 2 4 2" xfId="46063" xr:uid="{00000000-0005-0000-0000-000048560000}"/>
    <cellStyle name="Normal 11 2 3 2 2 2 5" xfId="32501" xr:uid="{00000000-0005-0000-0000-000049560000}"/>
    <cellStyle name="Normal 11 2 3 2 2 3" xfId="5193" xr:uid="{00000000-0005-0000-0000-00004A560000}"/>
    <cellStyle name="Normal 11 2 3 2 2 3 2" xfId="8744" xr:uid="{00000000-0005-0000-0000-00004B560000}"/>
    <cellStyle name="Normal 11 2 3 2 2 3 2 2" xfId="15533" xr:uid="{00000000-0005-0000-0000-00004C560000}"/>
    <cellStyle name="Normal 11 2 3 2 2 3 2 2 2" xfId="29101" xr:uid="{00000000-0005-0000-0000-00004D560000}"/>
    <cellStyle name="Normal 11 2 3 2 2 3 2 2 2 2" xfId="56234" xr:uid="{00000000-0005-0000-0000-00004E560000}"/>
    <cellStyle name="Normal 11 2 3 2 2 3 2 2 3" xfId="42672" xr:uid="{00000000-0005-0000-0000-00004F560000}"/>
    <cellStyle name="Normal 11 2 3 2 2 3 2 3" xfId="22320" xr:uid="{00000000-0005-0000-0000-000050560000}"/>
    <cellStyle name="Normal 11 2 3 2 2 3 2 3 2" xfId="49453" xr:uid="{00000000-0005-0000-0000-000051560000}"/>
    <cellStyle name="Normal 11 2 3 2 2 3 2 4" xfId="35891" xr:uid="{00000000-0005-0000-0000-000052560000}"/>
    <cellStyle name="Normal 11 2 3 2 2 3 3" xfId="12144" xr:uid="{00000000-0005-0000-0000-000053560000}"/>
    <cellStyle name="Normal 11 2 3 2 2 3 3 2" xfId="25712" xr:uid="{00000000-0005-0000-0000-000054560000}"/>
    <cellStyle name="Normal 11 2 3 2 2 3 3 2 2" xfId="52845" xr:uid="{00000000-0005-0000-0000-000055560000}"/>
    <cellStyle name="Normal 11 2 3 2 2 3 3 3" xfId="39283" xr:uid="{00000000-0005-0000-0000-000056560000}"/>
    <cellStyle name="Normal 11 2 3 2 2 3 4" xfId="18931" xr:uid="{00000000-0005-0000-0000-000057560000}"/>
    <cellStyle name="Normal 11 2 3 2 2 3 4 2" xfId="46064" xr:uid="{00000000-0005-0000-0000-000058560000}"/>
    <cellStyle name="Normal 11 2 3 2 2 3 5" xfId="32502" xr:uid="{00000000-0005-0000-0000-000059560000}"/>
    <cellStyle name="Normal 11 2 3 2 2 4" xfId="8742" xr:uid="{00000000-0005-0000-0000-00005A560000}"/>
    <cellStyle name="Normal 11 2 3 2 2 4 2" xfId="15531" xr:uid="{00000000-0005-0000-0000-00005B560000}"/>
    <cellStyle name="Normal 11 2 3 2 2 4 2 2" xfId="29099" xr:uid="{00000000-0005-0000-0000-00005C560000}"/>
    <cellStyle name="Normal 11 2 3 2 2 4 2 2 2" xfId="56232" xr:uid="{00000000-0005-0000-0000-00005D560000}"/>
    <cellStyle name="Normal 11 2 3 2 2 4 2 3" xfId="42670" xr:uid="{00000000-0005-0000-0000-00005E560000}"/>
    <cellStyle name="Normal 11 2 3 2 2 4 3" xfId="22318" xr:uid="{00000000-0005-0000-0000-00005F560000}"/>
    <cellStyle name="Normal 11 2 3 2 2 4 3 2" xfId="49451" xr:uid="{00000000-0005-0000-0000-000060560000}"/>
    <cellStyle name="Normal 11 2 3 2 2 4 4" xfId="35889" xr:uid="{00000000-0005-0000-0000-000061560000}"/>
    <cellStyle name="Normal 11 2 3 2 2 5" xfId="12142" xr:uid="{00000000-0005-0000-0000-000062560000}"/>
    <cellStyle name="Normal 11 2 3 2 2 5 2" xfId="25710" xr:uid="{00000000-0005-0000-0000-000063560000}"/>
    <cellStyle name="Normal 11 2 3 2 2 5 2 2" xfId="52843" xr:uid="{00000000-0005-0000-0000-000064560000}"/>
    <cellStyle name="Normal 11 2 3 2 2 5 3" xfId="39281" xr:uid="{00000000-0005-0000-0000-000065560000}"/>
    <cellStyle name="Normal 11 2 3 2 2 6" xfId="18929" xr:uid="{00000000-0005-0000-0000-000066560000}"/>
    <cellStyle name="Normal 11 2 3 2 2 6 2" xfId="46062" xr:uid="{00000000-0005-0000-0000-000067560000}"/>
    <cellStyle name="Normal 11 2 3 2 2 7" xfId="32500" xr:uid="{00000000-0005-0000-0000-000068560000}"/>
    <cellStyle name="Normal 11 2 3 2 3" xfId="5194" xr:uid="{00000000-0005-0000-0000-000069560000}"/>
    <cellStyle name="Normal 11 2 3 2 3 2" xfId="5195" xr:uid="{00000000-0005-0000-0000-00006A560000}"/>
    <cellStyle name="Normal 11 2 3 2 3 2 2" xfId="8746" xr:uid="{00000000-0005-0000-0000-00006B560000}"/>
    <cellStyle name="Normal 11 2 3 2 3 2 2 2" xfId="15535" xr:uid="{00000000-0005-0000-0000-00006C560000}"/>
    <cellStyle name="Normal 11 2 3 2 3 2 2 2 2" xfId="29103" xr:uid="{00000000-0005-0000-0000-00006D560000}"/>
    <cellStyle name="Normal 11 2 3 2 3 2 2 2 2 2" xfId="56236" xr:uid="{00000000-0005-0000-0000-00006E560000}"/>
    <cellStyle name="Normal 11 2 3 2 3 2 2 2 3" xfId="42674" xr:uid="{00000000-0005-0000-0000-00006F560000}"/>
    <cellStyle name="Normal 11 2 3 2 3 2 2 3" xfId="22322" xr:uid="{00000000-0005-0000-0000-000070560000}"/>
    <cellStyle name="Normal 11 2 3 2 3 2 2 3 2" xfId="49455" xr:uid="{00000000-0005-0000-0000-000071560000}"/>
    <cellStyle name="Normal 11 2 3 2 3 2 2 4" xfId="35893" xr:uid="{00000000-0005-0000-0000-000072560000}"/>
    <cellStyle name="Normal 11 2 3 2 3 2 3" xfId="12146" xr:uid="{00000000-0005-0000-0000-000073560000}"/>
    <cellStyle name="Normal 11 2 3 2 3 2 3 2" xfId="25714" xr:uid="{00000000-0005-0000-0000-000074560000}"/>
    <cellStyle name="Normal 11 2 3 2 3 2 3 2 2" xfId="52847" xr:uid="{00000000-0005-0000-0000-000075560000}"/>
    <cellStyle name="Normal 11 2 3 2 3 2 3 3" xfId="39285" xr:uid="{00000000-0005-0000-0000-000076560000}"/>
    <cellStyle name="Normal 11 2 3 2 3 2 4" xfId="18933" xr:uid="{00000000-0005-0000-0000-000077560000}"/>
    <cellStyle name="Normal 11 2 3 2 3 2 4 2" xfId="46066" xr:uid="{00000000-0005-0000-0000-000078560000}"/>
    <cellStyle name="Normal 11 2 3 2 3 2 5" xfId="32504" xr:uid="{00000000-0005-0000-0000-000079560000}"/>
    <cellStyle name="Normal 11 2 3 2 3 3" xfId="8745" xr:uid="{00000000-0005-0000-0000-00007A560000}"/>
    <cellStyle name="Normal 11 2 3 2 3 3 2" xfId="15534" xr:uid="{00000000-0005-0000-0000-00007B560000}"/>
    <cellStyle name="Normal 11 2 3 2 3 3 2 2" xfId="29102" xr:uid="{00000000-0005-0000-0000-00007C560000}"/>
    <cellStyle name="Normal 11 2 3 2 3 3 2 2 2" xfId="56235" xr:uid="{00000000-0005-0000-0000-00007D560000}"/>
    <cellStyle name="Normal 11 2 3 2 3 3 2 3" xfId="42673" xr:uid="{00000000-0005-0000-0000-00007E560000}"/>
    <cellStyle name="Normal 11 2 3 2 3 3 3" xfId="22321" xr:uid="{00000000-0005-0000-0000-00007F560000}"/>
    <cellStyle name="Normal 11 2 3 2 3 3 3 2" xfId="49454" xr:uid="{00000000-0005-0000-0000-000080560000}"/>
    <cellStyle name="Normal 11 2 3 2 3 3 4" xfId="35892" xr:uid="{00000000-0005-0000-0000-000081560000}"/>
    <cellStyle name="Normal 11 2 3 2 3 4" xfId="12145" xr:uid="{00000000-0005-0000-0000-000082560000}"/>
    <cellStyle name="Normal 11 2 3 2 3 4 2" xfId="25713" xr:uid="{00000000-0005-0000-0000-000083560000}"/>
    <cellStyle name="Normal 11 2 3 2 3 4 2 2" xfId="52846" xr:uid="{00000000-0005-0000-0000-000084560000}"/>
    <cellStyle name="Normal 11 2 3 2 3 4 3" xfId="39284" xr:uid="{00000000-0005-0000-0000-000085560000}"/>
    <cellStyle name="Normal 11 2 3 2 3 5" xfId="18932" xr:uid="{00000000-0005-0000-0000-000086560000}"/>
    <cellStyle name="Normal 11 2 3 2 3 5 2" xfId="46065" xr:uid="{00000000-0005-0000-0000-000087560000}"/>
    <cellStyle name="Normal 11 2 3 2 3 6" xfId="32503" xr:uid="{00000000-0005-0000-0000-000088560000}"/>
    <cellStyle name="Normal 11 2 3 2 4" xfId="5196" xr:uid="{00000000-0005-0000-0000-000089560000}"/>
    <cellStyle name="Normal 11 2 3 2 4 2" xfId="8747" xr:uid="{00000000-0005-0000-0000-00008A560000}"/>
    <cellStyle name="Normal 11 2 3 2 4 2 2" xfId="15536" xr:uid="{00000000-0005-0000-0000-00008B560000}"/>
    <cellStyle name="Normal 11 2 3 2 4 2 2 2" xfId="29104" xr:uid="{00000000-0005-0000-0000-00008C560000}"/>
    <cellStyle name="Normal 11 2 3 2 4 2 2 2 2" xfId="56237" xr:uid="{00000000-0005-0000-0000-00008D560000}"/>
    <cellStyle name="Normal 11 2 3 2 4 2 2 3" xfId="42675" xr:uid="{00000000-0005-0000-0000-00008E560000}"/>
    <cellStyle name="Normal 11 2 3 2 4 2 3" xfId="22323" xr:uid="{00000000-0005-0000-0000-00008F560000}"/>
    <cellStyle name="Normal 11 2 3 2 4 2 3 2" xfId="49456" xr:uid="{00000000-0005-0000-0000-000090560000}"/>
    <cellStyle name="Normal 11 2 3 2 4 2 4" xfId="35894" xr:uid="{00000000-0005-0000-0000-000091560000}"/>
    <cellStyle name="Normal 11 2 3 2 4 3" xfId="12147" xr:uid="{00000000-0005-0000-0000-000092560000}"/>
    <cellStyle name="Normal 11 2 3 2 4 3 2" xfId="25715" xr:uid="{00000000-0005-0000-0000-000093560000}"/>
    <cellStyle name="Normal 11 2 3 2 4 3 2 2" xfId="52848" xr:uid="{00000000-0005-0000-0000-000094560000}"/>
    <cellStyle name="Normal 11 2 3 2 4 3 3" xfId="39286" xr:uid="{00000000-0005-0000-0000-000095560000}"/>
    <cellStyle name="Normal 11 2 3 2 4 4" xfId="18934" xr:uid="{00000000-0005-0000-0000-000096560000}"/>
    <cellStyle name="Normal 11 2 3 2 4 4 2" xfId="46067" xr:uid="{00000000-0005-0000-0000-000097560000}"/>
    <cellStyle name="Normal 11 2 3 2 4 5" xfId="32505" xr:uid="{00000000-0005-0000-0000-000098560000}"/>
    <cellStyle name="Normal 11 2 3 2 5" xfId="5197" xr:uid="{00000000-0005-0000-0000-000099560000}"/>
    <cellStyle name="Normal 11 2 3 2 5 2" xfId="8748" xr:uid="{00000000-0005-0000-0000-00009A560000}"/>
    <cellStyle name="Normal 11 2 3 2 5 2 2" xfId="15537" xr:uid="{00000000-0005-0000-0000-00009B560000}"/>
    <cellStyle name="Normal 11 2 3 2 5 2 2 2" xfId="29105" xr:uid="{00000000-0005-0000-0000-00009C560000}"/>
    <cellStyle name="Normal 11 2 3 2 5 2 2 2 2" xfId="56238" xr:uid="{00000000-0005-0000-0000-00009D560000}"/>
    <cellStyle name="Normal 11 2 3 2 5 2 2 3" xfId="42676" xr:uid="{00000000-0005-0000-0000-00009E560000}"/>
    <cellStyle name="Normal 11 2 3 2 5 2 3" xfId="22324" xr:uid="{00000000-0005-0000-0000-00009F560000}"/>
    <cellStyle name="Normal 11 2 3 2 5 2 3 2" xfId="49457" xr:uid="{00000000-0005-0000-0000-0000A0560000}"/>
    <cellStyle name="Normal 11 2 3 2 5 2 4" xfId="35895" xr:uid="{00000000-0005-0000-0000-0000A1560000}"/>
    <cellStyle name="Normal 11 2 3 2 5 3" xfId="12148" xr:uid="{00000000-0005-0000-0000-0000A2560000}"/>
    <cellStyle name="Normal 11 2 3 2 5 3 2" xfId="25716" xr:uid="{00000000-0005-0000-0000-0000A3560000}"/>
    <cellStyle name="Normal 11 2 3 2 5 3 2 2" xfId="52849" xr:uid="{00000000-0005-0000-0000-0000A4560000}"/>
    <cellStyle name="Normal 11 2 3 2 5 3 3" xfId="39287" xr:uid="{00000000-0005-0000-0000-0000A5560000}"/>
    <cellStyle name="Normal 11 2 3 2 5 4" xfId="18935" xr:uid="{00000000-0005-0000-0000-0000A6560000}"/>
    <cellStyle name="Normal 11 2 3 2 5 4 2" xfId="46068" xr:uid="{00000000-0005-0000-0000-0000A7560000}"/>
    <cellStyle name="Normal 11 2 3 2 5 5" xfId="32506" xr:uid="{00000000-0005-0000-0000-0000A8560000}"/>
    <cellStyle name="Normal 11 2 3 2 6" xfId="8741" xr:uid="{00000000-0005-0000-0000-0000A9560000}"/>
    <cellStyle name="Normal 11 2 3 2 6 2" xfId="15530" xr:uid="{00000000-0005-0000-0000-0000AA560000}"/>
    <cellStyle name="Normal 11 2 3 2 6 2 2" xfId="29098" xr:uid="{00000000-0005-0000-0000-0000AB560000}"/>
    <cellStyle name="Normal 11 2 3 2 6 2 2 2" xfId="56231" xr:uid="{00000000-0005-0000-0000-0000AC560000}"/>
    <cellStyle name="Normal 11 2 3 2 6 2 3" xfId="42669" xr:uid="{00000000-0005-0000-0000-0000AD560000}"/>
    <cellStyle name="Normal 11 2 3 2 6 3" xfId="22317" xr:uid="{00000000-0005-0000-0000-0000AE560000}"/>
    <cellStyle name="Normal 11 2 3 2 6 3 2" xfId="49450" xr:uid="{00000000-0005-0000-0000-0000AF560000}"/>
    <cellStyle name="Normal 11 2 3 2 6 4" xfId="35888" xr:uid="{00000000-0005-0000-0000-0000B0560000}"/>
    <cellStyle name="Normal 11 2 3 2 7" xfId="12141" xr:uid="{00000000-0005-0000-0000-0000B1560000}"/>
    <cellStyle name="Normal 11 2 3 2 7 2" xfId="25709" xr:uid="{00000000-0005-0000-0000-0000B2560000}"/>
    <cellStyle name="Normal 11 2 3 2 7 2 2" xfId="52842" xr:uid="{00000000-0005-0000-0000-0000B3560000}"/>
    <cellStyle name="Normal 11 2 3 2 7 3" xfId="39280" xr:uid="{00000000-0005-0000-0000-0000B4560000}"/>
    <cellStyle name="Normal 11 2 3 2 8" xfId="18928" xr:uid="{00000000-0005-0000-0000-0000B5560000}"/>
    <cellStyle name="Normal 11 2 3 2 8 2" xfId="46061" xr:uid="{00000000-0005-0000-0000-0000B6560000}"/>
    <cellStyle name="Normal 11 2 3 2 9" xfId="32499" xr:uid="{00000000-0005-0000-0000-0000B7560000}"/>
    <cellStyle name="Normal 11 2 3 3" xfId="5198" xr:uid="{00000000-0005-0000-0000-0000B8560000}"/>
    <cellStyle name="Normal 11 2 3 3 2" xfId="5199" xr:uid="{00000000-0005-0000-0000-0000B9560000}"/>
    <cellStyle name="Normal 11 2 3 3 2 2" xfId="8750" xr:uid="{00000000-0005-0000-0000-0000BA560000}"/>
    <cellStyle name="Normal 11 2 3 3 2 2 2" xfId="15539" xr:uid="{00000000-0005-0000-0000-0000BB560000}"/>
    <cellStyle name="Normal 11 2 3 3 2 2 2 2" xfId="29107" xr:uid="{00000000-0005-0000-0000-0000BC560000}"/>
    <cellStyle name="Normal 11 2 3 3 2 2 2 2 2" xfId="56240" xr:uid="{00000000-0005-0000-0000-0000BD560000}"/>
    <cellStyle name="Normal 11 2 3 3 2 2 2 3" xfId="42678" xr:uid="{00000000-0005-0000-0000-0000BE560000}"/>
    <cellStyle name="Normal 11 2 3 3 2 2 3" xfId="22326" xr:uid="{00000000-0005-0000-0000-0000BF560000}"/>
    <cellStyle name="Normal 11 2 3 3 2 2 3 2" xfId="49459" xr:uid="{00000000-0005-0000-0000-0000C0560000}"/>
    <cellStyle name="Normal 11 2 3 3 2 2 4" xfId="35897" xr:uid="{00000000-0005-0000-0000-0000C1560000}"/>
    <cellStyle name="Normal 11 2 3 3 2 3" xfId="12150" xr:uid="{00000000-0005-0000-0000-0000C2560000}"/>
    <cellStyle name="Normal 11 2 3 3 2 3 2" xfId="25718" xr:uid="{00000000-0005-0000-0000-0000C3560000}"/>
    <cellStyle name="Normal 11 2 3 3 2 3 2 2" xfId="52851" xr:uid="{00000000-0005-0000-0000-0000C4560000}"/>
    <cellStyle name="Normal 11 2 3 3 2 3 3" xfId="39289" xr:uid="{00000000-0005-0000-0000-0000C5560000}"/>
    <cellStyle name="Normal 11 2 3 3 2 4" xfId="18937" xr:uid="{00000000-0005-0000-0000-0000C6560000}"/>
    <cellStyle name="Normal 11 2 3 3 2 4 2" xfId="46070" xr:uid="{00000000-0005-0000-0000-0000C7560000}"/>
    <cellStyle name="Normal 11 2 3 3 2 5" xfId="32508" xr:uid="{00000000-0005-0000-0000-0000C8560000}"/>
    <cellStyle name="Normal 11 2 3 3 3" xfId="5200" xr:uid="{00000000-0005-0000-0000-0000C9560000}"/>
    <cellStyle name="Normal 11 2 3 3 3 2" xfId="8751" xr:uid="{00000000-0005-0000-0000-0000CA560000}"/>
    <cellStyle name="Normal 11 2 3 3 3 2 2" xfId="15540" xr:uid="{00000000-0005-0000-0000-0000CB560000}"/>
    <cellStyle name="Normal 11 2 3 3 3 2 2 2" xfId="29108" xr:uid="{00000000-0005-0000-0000-0000CC560000}"/>
    <cellStyle name="Normal 11 2 3 3 3 2 2 2 2" xfId="56241" xr:uid="{00000000-0005-0000-0000-0000CD560000}"/>
    <cellStyle name="Normal 11 2 3 3 3 2 2 3" xfId="42679" xr:uid="{00000000-0005-0000-0000-0000CE560000}"/>
    <cellStyle name="Normal 11 2 3 3 3 2 3" xfId="22327" xr:uid="{00000000-0005-0000-0000-0000CF560000}"/>
    <cellStyle name="Normal 11 2 3 3 3 2 3 2" xfId="49460" xr:uid="{00000000-0005-0000-0000-0000D0560000}"/>
    <cellStyle name="Normal 11 2 3 3 3 2 4" xfId="35898" xr:uid="{00000000-0005-0000-0000-0000D1560000}"/>
    <cellStyle name="Normal 11 2 3 3 3 3" xfId="12151" xr:uid="{00000000-0005-0000-0000-0000D2560000}"/>
    <cellStyle name="Normal 11 2 3 3 3 3 2" xfId="25719" xr:uid="{00000000-0005-0000-0000-0000D3560000}"/>
    <cellStyle name="Normal 11 2 3 3 3 3 2 2" xfId="52852" xr:uid="{00000000-0005-0000-0000-0000D4560000}"/>
    <cellStyle name="Normal 11 2 3 3 3 3 3" xfId="39290" xr:uid="{00000000-0005-0000-0000-0000D5560000}"/>
    <cellStyle name="Normal 11 2 3 3 3 4" xfId="18938" xr:uid="{00000000-0005-0000-0000-0000D6560000}"/>
    <cellStyle name="Normal 11 2 3 3 3 4 2" xfId="46071" xr:uid="{00000000-0005-0000-0000-0000D7560000}"/>
    <cellStyle name="Normal 11 2 3 3 3 5" xfId="32509" xr:uid="{00000000-0005-0000-0000-0000D8560000}"/>
    <cellStyle name="Normal 11 2 3 3 4" xfId="8749" xr:uid="{00000000-0005-0000-0000-0000D9560000}"/>
    <cellStyle name="Normal 11 2 3 3 4 2" xfId="15538" xr:uid="{00000000-0005-0000-0000-0000DA560000}"/>
    <cellStyle name="Normal 11 2 3 3 4 2 2" xfId="29106" xr:uid="{00000000-0005-0000-0000-0000DB560000}"/>
    <cellStyle name="Normal 11 2 3 3 4 2 2 2" xfId="56239" xr:uid="{00000000-0005-0000-0000-0000DC560000}"/>
    <cellStyle name="Normal 11 2 3 3 4 2 3" xfId="42677" xr:uid="{00000000-0005-0000-0000-0000DD560000}"/>
    <cellStyle name="Normal 11 2 3 3 4 3" xfId="22325" xr:uid="{00000000-0005-0000-0000-0000DE560000}"/>
    <cellStyle name="Normal 11 2 3 3 4 3 2" xfId="49458" xr:uid="{00000000-0005-0000-0000-0000DF560000}"/>
    <cellStyle name="Normal 11 2 3 3 4 4" xfId="35896" xr:uid="{00000000-0005-0000-0000-0000E0560000}"/>
    <cellStyle name="Normal 11 2 3 3 5" xfId="12149" xr:uid="{00000000-0005-0000-0000-0000E1560000}"/>
    <cellStyle name="Normal 11 2 3 3 5 2" xfId="25717" xr:uid="{00000000-0005-0000-0000-0000E2560000}"/>
    <cellStyle name="Normal 11 2 3 3 5 2 2" xfId="52850" xr:uid="{00000000-0005-0000-0000-0000E3560000}"/>
    <cellStyle name="Normal 11 2 3 3 5 3" xfId="39288" xr:uid="{00000000-0005-0000-0000-0000E4560000}"/>
    <cellStyle name="Normal 11 2 3 3 6" xfId="18936" xr:uid="{00000000-0005-0000-0000-0000E5560000}"/>
    <cellStyle name="Normal 11 2 3 3 6 2" xfId="46069" xr:uid="{00000000-0005-0000-0000-0000E6560000}"/>
    <cellStyle name="Normal 11 2 3 3 7" xfId="32507" xr:uid="{00000000-0005-0000-0000-0000E7560000}"/>
    <cellStyle name="Normal 11 2 3 4" xfId="5201" xr:uid="{00000000-0005-0000-0000-0000E8560000}"/>
    <cellStyle name="Normal 11 2 3 4 2" xfId="5202" xr:uid="{00000000-0005-0000-0000-0000E9560000}"/>
    <cellStyle name="Normal 11 2 3 4 2 2" xfId="8753" xr:uid="{00000000-0005-0000-0000-0000EA560000}"/>
    <cellStyle name="Normal 11 2 3 4 2 2 2" xfId="15542" xr:uid="{00000000-0005-0000-0000-0000EB560000}"/>
    <cellStyle name="Normal 11 2 3 4 2 2 2 2" xfId="29110" xr:uid="{00000000-0005-0000-0000-0000EC560000}"/>
    <cellStyle name="Normal 11 2 3 4 2 2 2 2 2" xfId="56243" xr:uid="{00000000-0005-0000-0000-0000ED560000}"/>
    <cellStyle name="Normal 11 2 3 4 2 2 2 3" xfId="42681" xr:uid="{00000000-0005-0000-0000-0000EE560000}"/>
    <cellStyle name="Normal 11 2 3 4 2 2 3" xfId="22329" xr:uid="{00000000-0005-0000-0000-0000EF560000}"/>
    <cellStyle name="Normal 11 2 3 4 2 2 3 2" xfId="49462" xr:uid="{00000000-0005-0000-0000-0000F0560000}"/>
    <cellStyle name="Normal 11 2 3 4 2 2 4" xfId="35900" xr:uid="{00000000-0005-0000-0000-0000F1560000}"/>
    <cellStyle name="Normal 11 2 3 4 2 3" xfId="12153" xr:uid="{00000000-0005-0000-0000-0000F2560000}"/>
    <cellStyle name="Normal 11 2 3 4 2 3 2" xfId="25721" xr:uid="{00000000-0005-0000-0000-0000F3560000}"/>
    <cellStyle name="Normal 11 2 3 4 2 3 2 2" xfId="52854" xr:uid="{00000000-0005-0000-0000-0000F4560000}"/>
    <cellStyle name="Normal 11 2 3 4 2 3 3" xfId="39292" xr:uid="{00000000-0005-0000-0000-0000F5560000}"/>
    <cellStyle name="Normal 11 2 3 4 2 4" xfId="18940" xr:uid="{00000000-0005-0000-0000-0000F6560000}"/>
    <cellStyle name="Normal 11 2 3 4 2 4 2" xfId="46073" xr:uid="{00000000-0005-0000-0000-0000F7560000}"/>
    <cellStyle name="Normal 11 2 3 4 2 5" xfId="32511" xr:uid="{00000000-0005-0000-0000-0000F8560000}"/>
    <cellStyle name="Normal 11 2 3 4 3" xfId="8752" xr:uid="{00000000-0005-0000-0000-0000F9560000}"/>
    <cellStyle name="Normal 11 2 3 4 3 2" xfId="15541" xr:uid="{00000000-0005-0000-0000-0000FA560000}"/>
    <cellStyle name="Normal 11 2 3 4 3 2 2" xfId="29109" xr:uid="{00000000-0005-0000-0000-0000FB560000}"/>
    <cellStyle name="Normal 11 2 3 4 3 2 2 2" xfId="56242" xr:uid="{00000000-0005-0000-0000-0000FC560000}"/>
    <cellStyle name="Normal 11 2 3 4 3 2 3" xfId="42680" xr:uid="{00000000-0005-0000-0000-0000FD560000}"/>
    <cellStyle name="Normal 11 2 3 4 3 3" xfId="22328" xr:uid="{00000000-0005-0000-0000-0000FE560000}"/>
    <cellStyle name="Normal 11 2 3 4 3 3 2" xfId="49461" xr:uid="{00000000-0005-0000-0000-0000FF560000}"/>
    <cellStyle name="Normal 11 2 3 4 3 4" xfId="35899" xr:uid="{00000000-0005-0000-0000-000000570000}"/>
    <cellStyle name="Normal 11 2 3 4 4" xfId="12152" xr:uid="{00000000-0005-0000-0000-000001570000}"/>
    <cellStyle name="Normal 11 2 3 4 4 2" xfId="25720" xr:uid="{00000000-0005-0000-0000-000002570000}"/>
    <cellStyle name="Normal 11 2 3 4 4 2 2" xfId="52853" xr:uid="{00000000-0005-0000-0000-000003570000}"/>
    <cellStyle name="Normal 11 2 3 4 4 3" xfId="39291" xr:uid="{00000000-0005-0000-0000-000004570000}"/>
    <cellStyle name="Normal 11 2 3 4 5" xfId="18939" xr:uid="{00000000-0005-0000-0000-000005570000}"/>
    <cellStyle name="Normal 11 2 3 4 5 2" xfId="46072" xr:uid="{00000000-0005-0000-0000-000006570000}"/>
    <cellStyle name="Normal 11 2 3 4 6" xfId="32510" xr:uid="{00000000-0005-0000-0000-000007570000}"/>
    <cellStyle name="Normal 11 2 3 5" xfId="5203" xr:uid="{00000000-0005-0000-0000-000008570000}"/>
    <cellStyle name="Normal 11 2 3 5 2" xfId="8754" xr:uid="{00000000-0005-0000-0000-000009570000}"/>
    <cellStyle name="Normal 11 2 3 5 2 2" xfId="15543" xr:uid="{00000000-0005-0000-0000-00000A570000}"/>
    <cellStyle name="Normal 11 2 3 5 2 2 2" xfId="29111" xr:uid="{00000000-0005-0000-0000-00000B570000}"/>
    <cellStyle name="Normal 11 2 3 5 2 2 2 2" xfId="56244" xr:uid="{00000000-0005-0000-0000-00000C570000}"/>
    <cellStyle name="Normal 11 2 3 5 2 2 3" xfId="42682" xr:uid="{00000000-0005-0000-0000-00000D570000}"/>
    <cellStyle name="Normal 11 2 3 5 2 3" xfId="22330" xr:uid="{00000000-0005-0000-0000-00000E570000}"/>
    <cellStyle name="Normal 11 2 3 5 2 3 2" xfId="49463" xr:uid="{00000000-0005-0000-0000-00000F570000}"/>
    <cellStyle name="Normal 11 2 3 5 2 4" xfId="35901" xr:uid="{00000000-0005-0000-0000-000010570000}"/>
    <cellStyle name="Normal 11 2 3 5 3" xfId="12154" xr:uid="{00000000-0005-0000-0000-000011570000}"/>
    <cellStyle name="Normal 11 2 3 5 3 2" xfId="25722" xr:uid="{00000000-0005-0000-0000-000012570000}"/>
    <cellStyle name="Normal 11 2 3 5 3 2 2" xfId="52855" xr:uid="{00000000-0005-0000-0000-000013570000}"/>
    <cellStyle name="Normal 11 2 3 5 3 3" xfId="39293" xr:uid="{00000000-0005-0000-0000-000014570000}"/>
    <cellStyle name="Normal 11 2 3 5 4" xfId="18941" xr:uid="{00000000-0005-0000-0000-000015570000}"/>
    <cellStyle name="Normal 11 2 3 5 4 2" xfId="46074" xr:uid="{00000000-0005-0000-0000-000016570000}"/>
    <cellStyle name="Normal 11 2 3 5 5" xfId="32512" xr:uid="{00000000-0005-0000-0000-000017570000}"/>
    <cellStyle name="Normal 11 2 3 6" xfId="5204" xr:uid="{00000000-0005-0000-0000-000018570000}"/>
    <cellStyle name="Normal 11 2 3 6 2" xfId="8755" xr:uid="{00000000-0005-0000-0000-000019570000}"/>
    <cellStyle name="Normal 11 2 3 6 2 2" xfId="15544" xr:uid="{00000000-0005-0000-0000-00001A570000}"/>
    <cellStyle name="Normal 11 2 3 6 2 2 2" xfId="29112" xr:uid="{00000000-0005-0000-0000-00001B570000}"/>
    <cellStyle name="Normal 11 2 3 6 2 2 2 2" xfId="56245" xr:uid="{00000000-0005-0000-0000-00001C570000}"/>
    <cellStyle name="Normal 11 2 3 6 2 2 3" xfId="42683" xr:uid="{00000000-0005-0000-0000-00001D570000}"/>
    <cellStyle name="Normal 11 2 3 6 2 3" xfId="22331" xr:uid="{00000000-0005-0000-0000-00001E570000}"/>
    <cellStyle name="Normal 11 2 3 6 2 3 2" xfId="49464" xr:uid="{00000000-0005-0000-0000-00001F570000}"/>
    <cellStyle name="Normal 11 2 3 6 2 4" xfId="35902" xr:uid="{00000000-0005-0000-0000-000020570000}"/>
    <cellStyle name="Normal 11 2 3 6 3" xfId="12155" xr:uid="{00000000-0005-0000-0000-000021570000}"/>
    <cellStyle name="Normal 11 2 3 6 3 2" xfId="25723" xr:uid="{00000000-0005-0000-0000-000022570000}"/>
    <cellStyle name="Normal 11 2 3 6 3 2 2" xfId="52856" xr:uid="{00000000-0005-0000-0000-000023570000}"/>
    <cellStyle name="Normal 11 2 3 6 3 3" xfId="39294" xr:uid="{00000000-0005-0000-0000-000024570000}"/>
    <cellStyle name="Normal 11 2 3 6 4" xfId="18942" xr:uid="{00000000-0005-0000-0000-000025570000}"/>
    <cellStyle name="Normal 11 2 3 6 4 2" xfId="46075" xr:uid="{00000000-0005-0000-0000-000026570000}"/>
    <cellStyle name="Normal 11 2 3 6 5" xfId="32513" xr:uid="{00000000-0005-0000-0000-000027570000}"/>
    <cellStyle name="Normal 11 2 3 7" xfId="8740" xr:uid="{00000000-0005-0000-0000-000028570000}"/>
    <cellStyle name="Normal 11 2 3 7 2" xfId="15529" xr:uid="{00000000-0005-0000-0000-000029570000}"/>
    <cellStyle name="Normal 11 2 3 7 2 2" xfId="29097" xr:uid="{00000000-0005-0000-0000-00002A570000}"/>
    <cellStyle name="Normal 11 2 3 7 2 2 2" xfId="56230" xr:uid="{00000000-0005-0000-0000-00002B570000}"/>
    <cellStyle name="Normal 11 2 3 7 2 3" xfId="42668" xr:uid="{00000000-0005-0000-0000-00002C570000}"/>
    <cellStyle name="Normal 11 2 3 7 3" xfId="22316" xr:uid="{00000000-0005-0000-0000-00002D570000}"/>
    <cellStyle name="Normal 11 2 3 7 3 2" xfId="49449" xr:uid="{00000000-0005-0000-0000-00002E570000}"/>
    <cellStyle name="Normal 11 2 3 7 4" xfId="35887" xr:uid="{00000000-0005-0000-0000-00002F570000}"/>
    <cellStyle name="Normal 11 2 3 8" xfId="12140" xr:uid="{00000000-0005-0000-0000-000030570000}"/>
    <cellStyle name="Normal 11 2 3 8 2" xfId="25708" xr:uid="{00000000-0005-0000-0000-000031570000}"/>
    <cellStyle name="Normal 11 2 3 8 2 2" xfId="52841" xr:uid="{00000000-0005-0000-0000-000032570000}"/>
    <cellStyle name="Normal 11 2 3 8 3" xfId="39279" xr:uid="{00000000-0005-0000-0000-000033570000}"/>
    <cellStyle name="Normal 11 2 3 9" xfId="18927" xr:uid="{00000000-0005-0000-0000-000034570000}"/>
    <cellStyle name="Normal 11 2 3 9 2" xfId="46060" xr:uid="{00000000-0005-0000-0000-000035570000}"/>
    <cellStyle name="Normal 11 2 4" xfId="5205" xr:uid="{00000000-0005-0000-0000-000036570000}"/>
    <cellStyle name="Normal 11 2 4 2" xfId="5206" xr:uid="{00000000-0005-0000-0000-000037570000}"/>
    <cellStyle name="Normal 11 2 4 2 2" xfId="5207" xr:uid="{00000000-0005-0000-0000-000038570000}"/>
    <cellStyle name="Normal 11 2 4 2 2 2" xfId="8758" xr:uid="{00000000-0005-0000-0000-000039570000}"/>
    <cellStyle name="Normal 11 2 4 2 2 2 2" xfId="15547" xr:uid="{00000000-0005-0000-0000-00003A570000}"/>
    <cellStyle name="Normal 11 2 4 2 2 2 2 2" xfId="29115" xr:uid="{00000000-0005-0000-0000-00003B570000}"/>
    <cellStyle name="Normal 11 2 4 2 2 2 2 2 2" xfId="56248" xr:uid="{00000000-0005-0000-0000-00003C570000}"/>
    <cellStyle name="Normal 11 2 4 2 2 2 2 3" xfId="42686" xr:uid="{00000000-0005-0000-0000-00003D570000}"/>
    <cellStyle name="Normal 11 2 4 2 2 2 3" xfId="22334" xr:uid="{00000000-0005-0000-0000-00003E570000}"/>
    <cellStyle name="Normal 11 2 4 2 2 2 3 2" xfId="49467" xr:uid="{00000000-0005-0000-0000-00003F570000}"/>
    <cellStyle name="Normal 11 2 4 2 2 2 4" xfId="35905" xr:uid="{00000000-0005-0000-0000-000040570000}"/>
    <cellStyle name="Normal 11 2 4 2 2 3" xfId="12158" xr:uid="{00000000-0005-0000-0000-000041570000}"/>
    <cellStyle name="Normal 11 2 4 2 2 3 2" xfId="25726" xr:uid="{00000000-0005-0000-0000-000042570000}"/>
    <cellStyle name="Normal 11 2 4 2 2 3 2 2" xfId="52859" xr:uid="{00000000-0005-0000-0000-000043570000}"/>
    <cellStyle name="Normal 11 2 4 2 2 3 3" xfId="39297" xr:uid="{00000000-0005-0000-0000-000044570000}"/>
    <cellStyle name="Normal 11 2 4 2 2 4" xfId="18945" xr:uid="{00000000-0005-0000-0000-000045570000}"/>
    <cellStyle name="Normal 11 2 4 2 2 4 2" xfId="46078" xr:uid="{00000000-0005-0000-0000-000046570000}"/>
    <cellStyle name="Normal 11 2 4 2 2 5" xfId="32516" xr:uid="{00000000-0005-0000-0000-000047570000}"/>
    <cellStyle name="Normal 11 2 4 2 3" xfId="5208" xr:uid="{00000000-0005-0000-0000-000048570000}"/>
    <cellStyle name="Normal 11 2 4 2 3 2" xfId="8759" xr:uid="{00000000-0005-0000-0000-000049570000}"/>
    <cellStyle name="Normal 11 2 4 2 3 2 2" xfId="15548" xr:uid="{00000000-0005-0000-0000-00004A570000}"/>
    <cellStyle name="Normal 11 2 4 2 3 2 2 2" xfId="29116" xr:uid="{00000000-0005-0000-0000-00004B570000}"/>
    <cellStyle name="Normal 11 2 4 2 3 2 2 2 2" xfId="56249" xr:uid="{00000000-0005-0000-0000-00004C570000}"/>
    <cellStyle name="Normal 11 2 4 2 3 2 2 3" xfId="42687" xr:uid="{00000000-0005-0000-0000-00004D570000}"/>
    <cellStyle name="Normal 11 2 4 2 3 2 3" xfId="22335" xr:uid="{00000000-0005-0000-0000-00004E570000}"/>
    <cellStyle name="Normal 11 2 4 2 3 2 3 2" xfId="49468" xr:uid="{00000000-0005-0000-0000-00004F570000}"/>
    <cellStyle name="Normal 11 2 4 2 3 2 4" xfId="35906" xr:uid="{00000000-0005-0000-0000-000050570000}"/>
    <cellStyle name="Normal 11 2 4 2 3 3" xfId="12159" xr:uid="{00000000-0005-0000-0000-000051570000}"/>
    <cellStyle name="Normal 11 2 4 2 3 3 2" xfId="25727" xr:uid="{00000000-0005-0000-0000-000052570000}"/>
    <cellStyle name="Normal 11 2 4 2 3 3 2 2" xfId="52860" xr:uid="{00000000-0005-0000-0000-000053570000}"/>
    <cellStyle name="Normal 11 2 4 2 3 3 3" xfId="39298" xr:uid="{00000000-0005-0000-0000-000054570000}"/>
    <cellStyle name="Normal 11 2 4 2 3 4" xfId="18946" xr:uid="{00000000-0005-0000-0000-000055570000}"/>
    <cellStyle name="Normal 11 2 4 2 3 4 2" xfId="46079" xr:uid="{00000000-0005-0000-0000-000056570000}"/>
    <cellStyle name="Normal 11 2 4 2 3 5" xfId="32517" xr:uid="{00000000-0005-0000-0000-000057570000}"/>
    <cellStyle name="Normal 11 2 4 2 4" xfId="8757" xr:uid="{00000000-0005-0000-0000-000058570000}"/>
    <cellStyle name="Normal 11 2 4 2 4 2" xfId="15546" xr:uid="{00000000-0005-0000-0000-000059570000}"/>
    <cellStyle name="Normal 11 2 4 2 4 2 2" xfId="29114" xr:uid="{00000000-0005-0000-0000-00005A570000}"/>
    <cellStyle name="Normal 11 2 4 2 4 2 2 2" xfId="56247" xr:uid="{00000000-0005-0000-0000-00005B570000}"/>
    <cellStyle name="Normal 11 2 4 2 4 2 3" xfId="42685" xr:uid="{00000000-0005-0000-0000-00005C570000}"/>
    <cellStyle name="Normal 11 2 4 2 4 3" xfId="22333" xr:uid="{00000000-0005-0000-0000-00005D570000}"/>
    <cellStyle name="Normal 11 2 4 2 4 3 2" xfId="49466" xr:uid="{00000000-0005-0000-0000-00005E570000}"/>
    <cellStyle name="Normal 11 2 4 2 4 4" xfId="35904" xr:uid="{00000000-0005-0000-0000-00005F570000}"/>
    <cellStyle name="Normal 11 2 4 2 5" xfId="12157" xr:uid="{00000000-0005-0000-0000-000060570000}"/>
    <cellStyle name="Normal 11 2 4 2 5 2" xfId="25725" xr:uid="{00000000-0005-0000-0000-000061570000}"/>
    <cellStyle name="Normal 11 2 4 2 5 2 2" xfId="52858" xr:uid="{00000000-0005-0000-0000-000062570000}"/>
    <cellStyle name="Normal 11 2 4 2 5 3" xfId="39296" xr:uid="{00000000-0005-0000-0000-000063570000}"/>
    <cellStyle name="Normal 11 2 4 2 6" xfId="18944" xr:uid="{00000000-0005-0000-0000-000064570000}"/>
    <cellStyle name="Normal 11 2 4 2 6 2" xfId="46077" xr:uid="{00000000-0005-0000-0000-000065570000}"/>
    <cellStyle name="Normal 11 2 4 2 7" xfId="32515" xr:uid="{00000000-0005-0000-0000-000066570000}"/>
    <cellStyle name="Normal 11 2 4 3" xfId="5209" xr:uid="{00000000-0005-0000-0000-000067570000}"/>
    <cellStyle name="Normal 11 2 4 3 2" xfId="5210" xr:uid="{00000000-0005-0000-0000-000068570000}"/>
    <cellStyle name="Normal 11 2 4 3 2 2" xfId="8761" xr:uid="{00000000-0005-0000-0000-000069570000}"/>
    <cellStyle name="Normal 11 2 4 3 2 2 2" xfId="15550" xr:uid="{00000000-0005-0000-0000-00006A570000}"/>
    <cellStyle name="Normal 11 2 4 3 2 2 2 2" xfId="29118" xr:uid="{00000000-0005-0000-0000-00006B570000}"/>
    <cellStyle name="Normal 11 2 4 3 2 2 2 2 2" xfId="56251" xr:uid="{00000000-0005-0000-0000-00006C570000}"/>
    <cellStyle name="Normal 11 2 4 3 2 2 2 3" xfId="42689" xr:uid="{00000000-0005-0000-0000-00006D570000}"/>
    <cellStyle name="Normal 11 2 4 3 2 2 3" xfId="22337" xr:uid="{00000000-0005-0000-0000-00006E570000}"/>
    <cellStyle name="Normal 11 2 4 3 2 2 3 2" xfId="49470" xr:uid="{00000000-0005-0000-0000-00006F570000}"/>
    <cellStyle name="Normal 11 2 4 3 2 2 4" xfId="35908" xr:uid="{00000000-0005-0000-0000-000070570000}"/>
    <cellStyle name="Normal 11 2 4 3 2 3" xfId="12161" xr:uid="{00000000-0005-0000-0000-000071570000}"/>
    <cellStyle name="Normal 11 2 4 3 2 3 2" xfId="25729" xr:uid="{00000000-0005-0000-0000-000072570000}"/>
    <cellStyle name="Normal 11 2 4 3 2 3 2 2" xfId="52862" xr:uid="{00000000-0005-0000-0000-000073570000}"/>
    <cellStyle name="Normal 11 2 4 3 2 3 3" xfId="39300" xr:uid="{00000000-0005-0000-0000-000074570000}"/>
    <cellStyle name="Normal 11 2 4 3 2 4" xfId="18948" xr:uid="{00000000-0005-0000-0000-000075570000}"/>
    <cellStyle name="Normal 11 2 4 3 2 4 2" xfId="46081" xr:uid="{00000000-0005-0000-0000-000076570000}"/>
    <cellStyle name="Normal 11 2 4 3 2 5" xfId="32519" xr:uid="{00000000-0005-0000-0000-000077570000}"/>
    <cellStyle name="Normal 11 2 4 3 3" xfId="8760" xr:uid="{00000000-0005-0000-0000-000078570000}"/>
    <cellStyle name="Normal 11 2 4 3 3 2" xfId="15549" xr:uid="{00000000-0005-0000-0000-000079570000}"/>
    <cellStyle name="Normal 11 2 4 3 3 2 2" xfId="29117" xr:uid="{00000000-0005-0000-0000-00007A570000}"/>
    <cellStyle name="Normal 11 2 4 3 3 2 2 2" xfId="56250" xr:uid="{00000000-0005-0000-0000-00007B570000}"/>
    <cellStyle name="Normal 11 2 4 3 3 2 3" xfId="42688" xr:uid="{00000000-0005-0000-0000-00007C570000}"/>
    <cellStyle name="Normal 11 2 4 3 3 3" xfId="22336" xr:uid="{00000000-0005-0000-0000-00007D570000}"/>
    <cellStyle name="Normal 11 2 4 3 3 3 2" xfId="49469" xr:uid="{00000000-0005-0000-0000-00007E570000}"/>
    <cellStyle name="Normal 11 2 4 3 3 4" xfId="35907" xr:uid="{00000000-0005-0000-0000-00007F570000}"/>
    <cellStyle name="Normal 11 2 4 3 4" xfId="12160" xr:uid="{00000000-0005-0000-0000-000080570000}"/>
    <cellStyle name="Normal 11 2 4 3 4 2" xfId="25728" xr:uid="{00000000-0005-0000-0000-000081570000}"/>
    <cellStyle name="Normal 11 2 4 3 4 2 2" xfId="52861" xr:uid="{00000000-0005-0000-0000-000082570000}"/>
    <cellStyle name="Normal 11 2 4 3 4 3" xfId="39299" xr:uid="{00000000-0005-0000-0000-000083570000}"/>
    <cellStyle name="Normal 11 2 4 3 5" xfId="18947" xr:uid="{00000000-0005-0000-0000-000084570000}"/>
    <cellStyle name="Normal 11 2 4 3 5 2" xfId="46080" xr:uid="{00000000-0005-0000-0000-000085570000}"/>
    <cellStyle name="Normal 11 2 4 3 6" xfId="32518" xr:uid="{00000000-0005-0000-0000-000086570000}"/>
    <cellStyle name="Normal 11 2 4 4" xfId="5211" xr:uid="{00000000-0005-0000-0000-000087570000}"/>
    <cellStyle name="Normal 11 2 4 4 2" xfId="8762" xr:uid="{00000000-0005-0000-0000-000088570000}"/>
    <cellStyle name="Normal 11 2 4 4 2 2" xfId="15551" xr:uid="{00000000-0005-0000-0000-000089570000}"/>
    <cellStyle name="Normal 11 2 4 4 2 2 2" xfId="29119" xr:uid="{00000000-0005-0000-0000-00008A570000}"/>
    <cellStyle name="Normal 11 2 4 4 2 2 2 2" xfId="56252" xr:uid="{00000000-0005-0000-0000-00008B570000}"/>
    <cellStyle name="Normal 11 2 4 4 2 2 3" xfId="42690" xr:uid="{00000000-0005-0000-0000-00008C570000}"/>
    <cellStyle name="Normal 11 2 4 4 2 3" xfId="22338" xr:uid="{00000000-0005-0000-0000-00008D570000}"/>
    <cellStyle name="Normal 11 2 4 4 2 3 2" xfId="49471" xr:uid="{00000000-0005-0000-0000-00008E570000}"/>
    <cellStyle name="Normal 11 2 4 4 2 4" xfId="35909" xr:uid="{00000000-0005-0000-0000-00008F570000}"/>
    <cellStyle name="Normal 11 2 4 4 3" xfId="12162" xr:uid="{00000000-0005-0000-0000-000090570000}"/>
    <cellStyle name="Normal 11 2 4 4 3 2" xfId="25730" xr:uid="{00000000-0005-0000-0000-000091570000}"/>
    <cellStyle name="Normal 11 2 4 4 3 2 2" xfId="52863" xr:uid="{00000000-0005-0000-0000-000092570000}"/>
    <cellStyle name="Normal 11 2 4 4 3 3" xfId="39301" xr:uid="{00000000-0005-0000-0000-000093570000}"/>
    <cellStyle name="Normal 11 2 4 4 4" xfId="18949" xr:uid="{00000000-0005-0000-0000-000094570000}"/>
    <cellStyle name="Normal 11 2 4 4 4 2" xfId="46082" xr:uid="{00000000-0005-0000-0000-000095570000}"/>
    <cellStyle name="Normal 11 2 4 4 5" xfId="32520" xr:uid="{00000000-0005-0000-0000-000096570000}"/>
    <cellStyle name="Normal 11 2 4 5" xfId="5212" xr:uid="{00000000-0005-0000-0000-000097570000}"/>
    <cellStyle name="Normal 11 2 4 5 2" xfId="8763" xr:uid="{00000000-0005-0000-0000-000098570000}"/>
    <cellStyle name="Normal 11 2 4 5 2 2" xfId="15552" xr:uid="{00000000-0005-0000-0000-000099570000}"/>
    <cellStyle name="Normal 11 2 4 5 2 2 2" xfId="29120" xr:uid="{00000000-0005-0000-0000-00009A570000}"/>
    <cellStyle name="Normal 11 2 4 5 2 2 2 2" xfId="56253" xr:uid="{00000000-0005-0000-0000-00009B570000}"/>
    <cellStyle name="Normal 11 2 4 5 2 2 3" xfId="42691" xr:uid="{00000000-0005-0000-0000-00009C570000}"/>
    <cellStyle name="Normal 11 2 4 5 2 3" xfId="22339" xr:uid="{00000000-0005-0000-0000-00009D570000}"/>
    <cellStyle name="Normal 11 2 4 5 2 3 2" xfId="49472" xr:uid="{00000000-0005-0000-0000-00009E570000}"/>
    <cellStyle name="Normal 11 2 4 5 2 4" xfId="35910" xr:uid="{00000000-0005-0000-0000-00009F570000}"/>
    <cellStyle name="Normal 11 2 4 5 3" xfId="12163" xr:uid="{00000000-0005-0000-0000-0000A0570000}"/>
    <cellStyle name="Normal 11 2 4 5 3 2" xfId="25731" xr:uid="{00000000-0005-0000-0000-0000A1570000}"/>
    <cellStyle name="Normal 11 2 4 5 3 2 2" xfId="52864" xr:uid="{00000000-0005-0000-0000-0000A2570000}"/>
    <cellStyle name="Normal 11 2 4 5 3 3" xfId="39302" xr:uid="{00000000-0005-0000-0000-0000A3570000}"/>
    <cellStyle name="Normal 11 2 4 5 4" xfId="18950" xr:uid="{00000000-0005-0000-0000-0000A4570000}"/>
    <cellStyle name="Normal 11 2 4 5 4 2" xfId="46083" xr:uid="{00000000-0005-0000-0000-0000A5570000}"/>
    <cellStyle name="Normal 11 2 4 5 5" xfId="32521" xr:uid="{00000000-0005-0000-0000-0000A6570000}"/>
    <cellStyle name="Normal 11 2 4 6" xfId="8756" xr:uid="{00000000-0005-0000-0000-0000A7570000}"/>
    <cellStyle name="Normal 11 2 4 6 2" xfId="15545" xr:uid="{00000000-0005-0000-0000-0000A8570000}"/>
    <cellStyle name="Normal 11 2 4 6 2 2" xfId="29113" xr:uid="{00000000-0005-0000-0000-0000A9570000}"/>
    <cellStyle name="Normal 11 2 4 6 2 2 2" xfId="56246" xr:uid="{00000000-0005-0000-0000-0000AA570000}"/>
    <cellStyle name="Normal 11 2 4 6 2 3" xfId="42684" xr:uid="{00000000-0005-0000-0000-0000AB570000}"/>
    <cellStyle name="Normal 11 2 4 6 3" xfId="22332" xr:uid="{00000000-0005-0000-0000-0000AC570000}"/>
    <cellStyle name="Normal 11 2 4 6 3 2" xfId="49465" xr:uid="{00000000-0005-0000-0000-0000AD570000}"/>
    <cellStyle name="Normal 11 2 4 6 4" xfId="35903" xr:uid="{00000000-0005-0000-0000-0000AE570000}"/>
    <cellStyle name="Normal 11 2 4 7" xfId="12156" xr:uid="{00000000-0005-0000-0000-0000AF570000}"/>
    <cellStyle name="Normal 11 2 4 7 2" xfId="25724" xr:uid="{00000000-0005-0000-0000-0000B0570000}"/>
    <cellStyle name="Normal 11 2 4 7 2 2" xfId="52857" xr:uid="{00000000-0005-0000-0000-0000B1570000}"/>
    <cellStyle name="Normal 11 2 4 7 3" xfId="39295" xr:uid="{00000000-0005-0000-0000-0000B2570000}"/>
    <cellStyle name="Normal 11 2 4 8" xfId="18943" xr:uid="{00000000-0005-0000-0000-0000B3570000}"/>
    <cellStyle name="Normal 11 2 4 8 2" xfId="46076" xr:uid="{00000000-0005-0000-0000-0000B4570000}"/>
    <cellStyle name="Normal 11 2 4 9" xfId="32514" xr:uid="{00000000-0005-0000-0000-0000B5570000}"/>
    <cellStyle name="Normal 11 2 5" xfId="5213" xr:uid="{00000000-0005-0000-0000-0000B6570000}"/>
    <cellStyle name="Normal 11 2 5 2" xfId="5214" xr:uid="{00000000-0005-0000-0000-0000B7570000}"/>
    <cellStyle name="Normal 11 2 5 2 2" xfId="5215" xr:uid="{00000000-0005-0000-0000-0000B8570000}"/>
    <cellStyle name="Normal 11 2 5 2 2 2" xfId="8766" xr:uid="{00000000-0005-0000-0000-0000B9570000}"/>
    <cellStyle name="Normal 11 2 5 2 2 2 2" xfId="15555" xr:uid="{00000000-0005-0000-0000-0000BA570000}"/>
    <cellStyle name="Normal 11 2 5 2 2 2 2 2" xfId="29123" xr:uid="{00000000-0005-0000-0000-0000BB570000}"/>
    <cellStyle name="Normal 11 2 5 2 2 2 2 2 2" xfId="56256" xr:uid="{00000000-0005-0000-0000-0000BC570000}"/>
    <cellStyle name="Normal 11 2 5 2 2 2 2 3" xfId="42694" xr:uid="{00000000-0005-0000-0000-0000BD570000}"/>
    <cellStyle name="Normal 11 2 5 2 2 2 3" xfId="22342" xr:uid="{00000000-0005-0000-0000-0000BE570000}"/>
    <cellStyle name="Normal 11 2 5 2 2 2 3 2" xfId="49475" xr:uid="{00000000-0005-0000-0000-0000BF570000}"/>
    <cellStyle name="Normal 11 2 5 2 2 2 4" xfId="35913" xr:uid="{00000000-0005-0000-0000-0000C0570000}"/>
    <cellStyle name="Normal 11 2 5 2 2 3" xfId="12166" xr:uid="{00000000-0005-0000-0000-0000C1570000}"/>
    <cellStyle name="Normal 11 2 5 2 2 3 2" xfId="25734" xr:uid="{00000000-0005-0000-0000-0000C2570000}"/>
    <cellStyle name="Normal 11 2 5 2 2 3 2 2" xfId="52867" xr:uid="{00000000-0005-0000-0000-0000C3570000}"/>
    <cellStyle name="Normal 11 2 5 2 2 3 3" xfId="39305" xr:uid="{00000000-0005-0000-0000-0000C4570000}"/>
    <cellStyle name="Normal 11 2 5 2 2 4" xfId="18953" xr:uid="{00000000-0005-0000-0000-0000C5570000}"/>
    <cellStyle name="Normal 11 2 5 2 2 4 2" xfId="46086" xr:uid="{00000000-0005-0000-0000-0000C6570000}"/>
    <cellStyle name="Normal 11 2 5 2 2 5" xfId="32524" xr:uid="{00000000-0005-0000-0000-0000C7570000}"/>
    <cellStyle name="Normal 11 2 5 2 3" xfId="5216" xr:uid="{00000000-0005-0000-0000-0000C8570000}"/>
    <cellStyle name="Normal 11 2 5 2 3 2" xfId="8767" xr:uid="{00000000-0005-0000-0000-0000C9570000}"/>
    <cellStyle name="Normal 11 2 5 2 3 2 2" xfId="15556" xr:uid="{00000000-0005-0000-0000-0000CA570000}"/>
    <cellStyle name="Normal 11 2 5 2 3 2 2 2" xfId="29124" xr:uid="{00000000-0005-0000-0000-0000CB570000}"/>
    <cellStyle name="Normal 11 2 5 2 3 2 2 2 2" xfId="56257" xr:uid="{00000000-0005-0000-0000-0000CC570000}"/>
    <cellStyle name="Normal 11 2 5 2 3 2 2 3" xfId="42695" xr:uid="{00000000-0005-0000-0000-0000CD570000}"/>
    <cellStyle name="Normal 11 2 5 2 3 2 3" xfId="22343" xr:uid="{00000000-0005-0000-0000-0000CE570000}"/>
    <cellStyle name="Normal 11 2 5 2 3 2 3 2" xfId="49476" xr:uid="{00000000-0005-0000-0000-0000CF570000}"/>
    <cellStyle name="Normal 11 2 5 2 3 2 4" xfId="35914" xr:uid="{00000000-0005-0000-0000-0000D0570000}"/>
    <cellStyle name="Normal 11 2 5 2 3 3" xfId="12167" xr:uid="{00000000-0005-0000-0000-0000D1570000}"/>
    <cellStyle name="Normal 11 2 5 2 3 3 2" xfId="25735" xr:uid="{00000000-0005-0000-0000-0000D2570000}"/>
    <cellStyle name="Normal 11 2 5 2 3 3 2 2" xfId="52868" xr:uid="{00000000-0005-0000-0000-0000D3570000}"/>
    <cellStyle name="Normal 11 2 5 2 3 3 3" xfId="39306" xr:uid="{00000000-0005-0000-0000-0000D4570000}"/>
    <cellStyle name="Normal 11 2 5 2 3 4" xfId="18954" xr:uid="{00000000-0005-0000-0000-0000D5570000}"/>
    <cellStyle name="Normal 11 2 5 2 3 4 2" xfId="46087" xr:uid="{00000000-0005-0000-0000-0000D6570000}"/>
    <cellStyle name="Normal 11 2 5 2 3 5" xfId="32525" xr:uid="{00000000-0005-0000-0000-0000D7570000}"/>
    <cellStyle name="Normal 11 2 5 2 4" xfId="8765" xr:uid="{00000000-0005-0000-0000-0000D8570000}"/>
    <cellStyle name="Normal 11 2 5 2 4 2" xfId="15554" xr:uid="{00000000-0005-0000-0000-0000D9570000}"/>
    <cellStyle name="Normal 11 2 5 2 4 2 2" xfId="29122" xr:uid="{00000000-0005-0000-0000-0000DA570000}"/>
    <cellStyle name="Normal 11 2 5 2 4 2 2 2" xfId="56255" xr:uid="{00000000-0005-0000-0000-0000DB570000}"/>
    <cellStyle name="Normal 11 2 5 2 4 2 3" xfId="42693" xr:uid="{00000000-0005-0000-0000-0000DC570000}"/>
    <cellStyle name="Normal 11 2 5 2 4 3" xfId="22341" xr:uid="{00000000-0005-0000-0000-0000DD570000}"/>
    <cellStyle name="Normal 11 2 5 2 4 3 2" xfId="49474" xr:uid="{00000000-0005-0000-0000-0000DE570000}"/>
    <cellStyle name="Normal 11 2 5 2 4 4" xfId="35912" xr:uid="{00000000-0005-0000-0000-0000DF570000}"/>
    <cellStyle name="Normal 11 2 5 2 5" xfId="12165" xr:uid="{00000000-0005-0000-0000-0000E0570000}"/>
    <cellStyle name="Normal 11 2 5 2 5 2" xfId="25733" xr:uid="{00000000-0005-0000-0000-0000E1570000}"/>
    <cellStyle name="Normal 11 2 5 2 5 2 2" xfId="52866" xr:uid="{00000000-0005-0000-0000-0000E2570000}"/>
    <cellStyle name="Normal 11 2 5 2 5 3" xfId="39304" xr:uid="{00000000-0005-0000-0000-0000E3570000}"/>
    <cellStyle name="Normal 11 2 5 2 6" xfId="18952" xr:uid="{00000000-0005-0000-0000-0000E4570000}"/>
    <cellStyle name="Normal 11 2 5 2 6 2" xfId="46085" xr:uid="{00000000-0005-0000-0000-0000E5570000}"/>
    <cellStyle name="Normal 11 2 5 2 7" xfId="32523" xr:uid="{00000000-0005-0000-0000-0000E6570000}"/>
    <cellStyle name="Normal 11 2 5 3" xfId="5217" xr:uid="{00000000-0005-0000-0000-0000E7570000}"/>
    <cellStyle name="Normal 11 2 5 3 2" xfId="8768" xr:uid="{00000000-0005-0000-0000-0000E8570000}"/>
    <cellStyle name="Normal 11 2 5 3 2 2" xfId="15557" xr:uid="{00000000-0005-0000-0000-0000E9570000}"/>
    <cellStyle name="Normal 11 2 5 3 2 2 2" xfId="29125" xr:uid="{00000000-0005-0000-0000-0000EA570000}"/>
    <cellStyle name="Normal 11 2 5 3 2 2 2 2" xfId="56258" xr:uid="{00000000-0005-0000-0000-0000EB570000}"/>
    <cellStyle name="Normal 11 2 5 3 2 2 3" xfId="42696" xr:uid="{00000000-0005-0000-0000-0000EC570000}"/>
    <cellStyle name="Normal 11 2 5 3 2 3" xfId="22344" xr:uid="{00000000-0005-0000-0000-0000ED570000}"/>
    <cellStyle name="Normal 11 2 5 3 2 3 2" xfId="49477" xr:uid="{00000000-0005-0000-0000-0000EE570000}"/>
    <cellStyle name="Normal 11 2 5 3 2 4" xfId="35915" xr:uid="{00000000-0005-0000-0000-0000EF570000}"/>
    <cellStyle name="Normal 11 2 5 3 3" xfId="12168" xr:uid="{00000000-0005-0000-0000-0000F0570000}"/>
    <cellStyle name="Normal 11 2 5 3 3 2" xfId="25736" xr:uid="{00000000-0005-0000-0000-0000F1570000}"/>
    <cellStyle name="Normal 11 2 5 3 3 2 2" xfId="52869" xr:uid="{00000000-0005-0000-0000-0000F2570000}"/>
    <cellStyle name="Normal 11 2 5 3 3 3" xfId="39307" xr:uid="{00000000-0005-0000-0000-0000F3570000}"/>
    <cellStyle name="Normal 11 2 5 3 4" xfId="18955" xr:uid="{00000000-0005-0000-0000-0000F4570000}"/>
    <cellStyle name="Normal 11 2 5 3 4 2" xfId="46088" xr:uid="{00000000-0005-0000-0000-0000F5570000}"/>
    <cellStyle name="Normal 11 2 5 3 5" xfId="32526" xr:uid="{00000000-0005-0000-0000-0000F6570000}"/>
    <cellStyle name="Normal 11 2 5 4" xfId="5218" xr:uid="{00000000-0005-0000-0000-0000F7570000}"/>
    <cellStyle name="Normal 11 2 5 4 2" xfId="8769" xr:uid="{00000000-0005-0000-0000-0000F8570000}"/>
    <cellStyle name="Normal 11 2 5 4 2 2" xfId="15558" xr:uid="{00000000-0005-0000-0000-0000F9570000}"/>
    <cellStyle name="Normal 11 2 5 4 2 2 2" xfId="29126" xr:uid="{00000000-0005-0000-0000-0000FA570000}"/>
    <cellStyle name="Normal 11 2 5 4 2 2 2 2" xfId="56259" xr:uid="{00000000-0005-0000-0000-0000FB570000}"/>
    <cellStyle name="Normal 11 2 5 4 2 2 3" xfId="42697" xr:uid="{00000000-0005-0000-0000-0000FC570000}"/>
    <cellStyle name="Normal 11 2 5 4 2 3" xfId="22345" xr:uid="{00000000-0005-0000-0000-0000FD570000}"/>
    <cellStyle name="Normal 11 2 5 4 2 3 2" xfId="49478" xr:uid="{00000000-0005-0000-0000-0000FE570000}"/>
    <cellStyle name="Normal 11 2 5 4 2 4" xfId="35916" xr:uid="{00000000-0005-0000-0000-0000FF570000}"/>
    <cellStyle name="Normal 11 2 5 4 3" xfId="12169" xr:uid="{00000000-0005-0000-0000-000000580000}"/>
    <cellStyle name="Normal 11 2 5 4 3 2" xfId="25737" xr:uid="{00000000-0005-0000-0000-000001580000}"/>
    <cellStyle name="Normal 11 2 5 4 3 2 2" xfId="52870" xr:uid="{00000000-0005-0000-0000-000002580000}"/>
    <cellStyle name="Normal 11 2 5 4 3 3" xfId="39308" xr:uid="{00000000-0005-0000-0000-000003580000}"/>
    <cellStyle name="Normal 11 2 5 4 4" xfId="18956" xr:uid="{00000000-0005-0000-0000-000004580000}"/>
    <cellStyle name="Normal 11 2 5 4 4 2" xfId="46089" xr:uid="{00000000-0005-0000-0000-000005580000}"/>
    <cellStyle name="Normal 11 2 5 4 5" xfId="32527" xr:uid="{00000000-0005-0000-0000-000006580000}"/>
    <cellStyle name="Normal 11 2 5 5" xfId="8764" xr:uid="{00000000-0005-0000-0000-000007580000}"/>
    <cellStyle name="Normal 11 2 5 5 2" xfId="15553" xr:uid="{00000000-0005-0000-0000-000008580000}"/>
    <cellStyle name="Normal 11 2 5 5 2 2" xfId="29121" xr:uid="{00000000-0005-0000-0000-000009580000}"/>
    <cellStyle name="Normal 11 2 5 5 2 2 2" xfId="56254" xr:uid="{00000000-0005-0000-0000-00000A580000}"/>
    <cellStyle name="Normal 11 2 5 5 2 3" xfId="42692" xr:uid="{00000000-0005-0000-0000-00000B580000}"/>
    <cellStyle name="Normal 11 2 5 5 3" xfId="22340" xr:uid="{00000000-0005-0000-0000-00000C580000}"/>
    <cellStyle name="Normal 11 2 5 5 3 2" xfId="49473" xr:uid="{00000000-0005-0000-0000-00000D580000}"/>
    <cellStyle name="Normal 11 2 5 5 4" xfId="35911" xr:uid="{00000000-0005-0000-0000-00000E580000}"/>
    <cellStyle name="Normal 11 2 5 6" xfId="12164" xr:uid="{00000000-0005-0000-0000-00000F580000}"/>
    <cellStyle name="Normal 11 2 5 6 2" xfId="25732" xr:uid="{00000000-0005-0000-0000-000010580000}"/>
    <cellStyle name="Normal 11 2 5 6 2 2" xfId="52865" xr:uid="{00000000-0005-0000-0000-000011580000}"/>
    <cellStyle name="Normal 11 2 5 6 3" xfId="39303" xr:uid="{00000000-0005-0000-0000-000012580000}"/>
    <cellStyle name="Normal 11 2 5 7" xfId="18951" xr:uid="{00000000-0005-0000-0000-000013580000}"/>
    <cellStyle name="Normal 11 2 5 7 2" xfId="46084" xr:uid="{00000000-0005-0000-0000-000014580000}"/>
    <cellStyle name="Normal 11 2 5 8" xfId="32522" xr:uid="{00000000-0005-0000-0000-000015580000}"/>
    <cellStyle name="Normal 11 2 6" xfId="5219" xr:uid="{00000000-0005-0000-0000-000016580000}"/>
    <cellStyle name="Normal 11 2 6 2" xfId="5220" xr:uid="{00000000-0005-0000-0000-000017580000}"/>
    <cellStyle name="Normal 11 2 6 2 2" xfId="5221" xr:uid="{00000000-0005-0000-0000-000018580000}"/>
    <cellStyle name="Normal 11 2 6 2 2 2" xfId="8772" xr:uid="{00000000-0005-0000-0000-000019580000}"/>
    <cellStyle name="Normal 11 2 6 2 2 2 2" xfId="15561" xr:uid="{00000000-0005-0000-0000-00001A580000}"/>
    <cellStyle name="Normal 11 2 6 2 2 2 2 2" xfId="29129" xr:uid="{00000000-0005-0000-0000-00001B580000}"/>
    <cellStyle name="Normal 11 2 6 2 2 2 2 2 2" xfId="56262" xr:uid="{00000000-0005-0000-0000-00001C580000}"/>
    <cellStyle name="Normal 11 2 6 2 2 2 2 3" xfId="42700" xr:uid="{00000000-0005-0000-0000-00001D580000}"/>
    <cellStyle name="Normal 11 2 6 2 2 2 3" xfId="22348" xr:uid="{00000000-0005-0000-0000-00001E580000}"/>
    <cellStyle name="Normal 11 2 6 2 2 2 3 2" xfId="49481" xr:uid="{00000000-0005-0000-0000-00001F580000}"/>
    <cellStyle name="Normal 11 2 6 2 2 2 4" xfId="35919" xr:uid="{00000000-0005-0000-0000-000020580000}"/>
    <cellStyle name="Normal 11 2 6 2 2 3" xfId="12172" xr:uid="{00000000-0005-0000-0000-000021580000}"/>
    <cellStyle name="Normal 11 2 6 2 2 3 2" xfId="25740" xr:uid="{00000000-0005-0000-0000-000022580000}"/>
    <cellStyle name="Normal 11 2 6 2 2 3 2 2" xfId="52873" xr:uid="{00000000-0005-0000-0000-000023580000}"/>
    <cellStyle name="Normal 11 2 6 2 2 3 3" xfId="39311" xr:uid="{00000000-0005-0000-0000-000024580000}"/>
    <cellStyle name="Normal 11 2 6 2 2 4" xfId="18959" xr:uid="{00000000-0005-0000-0000-000025580000}"/>
    <cellStyle name="Normal 11 2 6 2 2 4 2" xfId="46092" xr:uid="{00000000-0005-0000-0000-000026580000}"/>
    <cellStyle name="Normal 11 2 6 2 2 5" xfId="32530" xr:uid="{00000000-0005-0000-0000-000027580000}"/>
    <cellStyle name="Normal 11 2 6 2 3" xfId="5222" xr:uid="{00000000-0005-0000-0000-000028580000}"/>
    <cellStyle name="Normal 11 2 6 2 3 2" xfId="8773" xr:uid="{00000000-0005-0000-0000-000029580000}"/>
    <cellStyle name="Normal 11 2 6 2 3 2 2" xfId="15562" xr:uid="{00000000-0005-0000-0000-00002A580000}"/>
    <cellStyle name="Normal 11 2 6 2 3 2 2 2" xfId="29130" xr:uid="{00000000-0005-0000-0000-00002B580000}"/>
    <cellStyle name="Normal 11 2 6 2 3 2 2 2 2" xfId="56263" xr:uid="{00000000-0005-0000-0000-00002C580000}"/>
    <cellStyle name="Normal 11 2 6 2 3 2 2 3" xfId="42701" xr:uid="{00000000-0005-0000-0000-00002D580000}"/>
    <cellStyle name="Normal 11 2 6 2 3 2 3" xfId="22349" xr:uid="{00000000-0005-0000-0000-00002E580000}"/>
    <cellStyle name="Normal 11 2 6 2 3 2 3 2" xfId="49482" xr:uid="{00000000-0005-0000-0000-00002F580000}"/>
    <cellStyle name="Normal 11 2 6 2 3 2 4" xfId="35920" xr:uid="{00000000-0005-0000-0000-000030580000}"/>
    <cellStyle name="Normal 11 2 6 2 3 3" xfId="12173" xr:uid="{00000000-0005-0000-0000-000031580000}"/>
    <cellStyle name="Normal 11 2 6 2 3 3 2" xfId="25741" xr:uid="{00000000-0005-0000-0000-000032580000}"/>
    <cellStyle name="Normal 11 2 6 2 3 3 2 2" xfId="52874" xr:uid="{00000000-0005-0000-0000-000033580000}"/>
    <cellStyle name="Normal 11 2 6 2 3 3 3" xfId="39312" xr:uid="{00000000-0005-0000-0000-000034580000}"/>
    <cellStyle name="Normal 11 2 6 2 3 4" xfId="18960" xr:uid="{00000000-0005-0000-0000-000035580000}"/>
    <cellStyle name="Normal 11 2 6 2 3 4 2" xfId="46093" xr:uid="{00000000-0005-0000-0000-000036580000}"/>
    <cellStyle name="Normal 11 2 6 2 3 5" xfId="32531" xr:uid="{00000000-0005-0000-0000-000037580000}"/>
    <cellStyle name="Normal 11 2 6 2 4" xfId="8771" xr:uid="{00000000-0005-0000-0000-000038580000}"/>
    <cellStyle name="Normal 11 2 6 2 4 2" xfId="15560" xr:uid="{00000000-0005-0000-0000-000039580000}"/>
    <cellStyle name="Normal 11 2 6 2 4 2 2" xfId="29128" xr:uid="{00000000-0005-0000-0000-00003A580000}"/>
    <cellStyle name="Normal 11 2 6 2 4 2 2 2" xfId="56261" xr:uid="{00000000-0005-0000-0000-00003B580000}"/>
    <cellStyle name="Normal 11 2 6 2 4 2 3" xfId="42699" xr:uid="{00000000-0005-0000-0000-00003C580000}"/>
    <cellStyle name="Normal 11 2 6 2 4 3" xfId="22347" xr:uid="{00000000-0005-0000-0000-00003D580000}"/>
    <cellStyle name="Normal 11 2 6 2 4 3 2" xfId="49480" xr:uid="{00000000-0005-0000-0000-00003E580000}"/>
    <cellStyle name="Normal 11 2 6 2 4 4" xfId="35918" xr:uid="{00000000-0005-0000-0000-00003F580000}"/>
    <cellStyle name="Normal 11 2 6 2 5" xfId="12171" xr:uid="{00000000-0005-0000-0000-000040580000}"/>
    <cellStyle name="Normal 11 2 6 2 5 2" xfId="25739" xr:uid="{00000000-0005-0000-0000-000041580000}"/>
    <cellStyle name="Normal 11 2 6 2 5 2 2" xfId="52872" xr:uid="{00000000-0005-0000-0000-000042580000}"/>
    <cellStyle name="Normal 11 2 6 2 5 3" xfId="39310" xr:uid="{00000000-0005-0000-0000-000043580000}"/>
    <cellStyle name="Normal 11 2 6 2 6" xfId="18958" xr:uid="{00000000-0005-0000-0000-000044580000}"/>
    <cellStyle name="Normal 11 2 6 2 6 2" xfId="46091" xr:uid="{00000000-0005-0000-0000-000045580000}"/>
    <cellStyle name="Normal 11 2 6 2 7" xfId="32529" xr:uid="{00000000-0005-0000-0000-000046580000}"/>
    <cellStyle name="Normal 11 2 6 3" xfId="5223" xr:uid="{00000000-0005-0000-0000-000047580000}"/>
    <cellStyle name="Normal 11 2 6 3 2" xfId="8774" xr:uid="{00000000-0005-0000-0000-000048580000}"/>
    <cellStyle name="Normal 11 2 6 3 2 2" xfId="15563" xr:uid="{00000000-0005-0000-0000-000049580000}"/>
    <cellStyle name="Normal 11 2 6 3 2 2 2" xfId="29131" xr:uid="{00000000-0005-0000-0000-00004A580000}"/>
    <cellStyle name="Normal 11 2 6 3 2 2 2 2" xfId="56264" xr:uid="{00000000-0005-0000-0000-00004B580000}"/>
    <cellStyle name="Normal 11 2 6 3 2 2 3" xfId="42702" xr:uid="{00000000-0005-0000-0000-00004C580000}"/>
    <cellStyle name="Normal 11 2 6 3 2 3" xfId="22350" xr:uid="{00000000-0005-0000-0000-00004D580000}"/>
    <cellStyle name="Normal 11 2 6 3 2 3 2" xfId="49483" xr:uid="{00000000-0005-0000-0000-00004E580000}"/>
    <cellStyle name="Normal 11 2 6 3 2 4" xfId="35921" xr:uid="{00000000-0005-0000-0000-00004F580000}"/>
    <cellStyle name="Normal 11 2 6 3 3" xfId="12174" xr:uid="{00000000-0005-0000-0000-000050580000}"/>
    <cellStyle name="Normal 11 2 6 3 3 2" xfId="25742" xr:uid="{00000000-0005-0000-0000-000051580000}"/>
    <cellStyle name="Normal 11 2 6 3 3 2 2" xfId="52875" xr:uid="{00000000-0005-0000-0000-000052580000}"/>
    <cellStyle name="Normal 11 2 6 3 3 3" xfId="39313" xr:uid="{00000000-0005-0000-0000-000053580000}"/>
    <cellStyle name="Normal 11 2 6 3 4" xfId="18961" xr:uid="{00000000-0005-0000-0000-000054580000}"/>
    <cellStyle name="Normal 11 2 6 3 4 2" xfId="46094" xr:uid="{00000000-0005-0000-0000-000055580000}"/>
    <cellStyle name="Normal 11 2 6 3 5" xfId="32532" xr:uid="{00000000-0005-0000-0000-000056580000}"/>
    <cellStyle name="Normal 11 2 6 4" xfId="5224" xr:uid="{00000000-0005-0000-0000-000057580000}"/>
    <cellStyle name="Normal 11 2 6 4 2" xfId="8775" xr:uid="{00000000-0005-0000-0000-000058580000}"/>
    <cellStyle name="Normal 11 2 6 4 2 2" xfId="15564" xr:uid="{00000000-0005-0000-0000-000059580000}"/>
    <cellStyle name="Normal 11 2 6 4 2 2 2" xfId="29132" xr:uid="{00000000-0005-0000-0000-00005A580000}"/>
    <cellStyle name="Normal 11 2 6 4 2 2 2 2" xfId="56265" xr:uid="{00000000-0005-0000-0000-00005B580000}"/>
    <cellStyle name="Normal 11 2 6 4 2 2 3" xfId="42703" xr:uid="{00000000-0005-0000-0000-00005C580000}"/>
    <cellStyle name="Normal 11 2 6 4 2 3" xfId="22351" xr:uid="{00000000-0005-0000-0000-00005D580000}"/>
    <cellStyle name="Normal 11 2 6 4 2 3 2" xfId="49484" xr:uid="{00000000-0005-0000-0000-00005E580000}"/>
    <cellStyle name="Normal 11 2 6 4 2 4" xfId="35922" xr:uid="{00000000-0005-0000-0000-00005F580000}"/>
    <cellStyle name="Normal 11 2 6 4 3" xfId="12175" xr:uid="{00000000-0005-0000-0000-000060580000}"/>
    <cellStyle name="Normal 11 2 6 4 3 2" xfId="25743" xr:uid="{00000000-0005-0000-0000-000061580000}"/>
    <cellStyle name="Normal 11 2 6 4 3 2 2" xfId="52876" xr:uid="{00000000-0005-0000-0000-000062580000}"/>
    <cellStyle name="Normal 11 2 6 4 3 3" xfId="39314" xr:uid="{00000000-0005-0000-0000-000063580000}"/>
    <cellStyle name="Normal 11 2 6 4 4" xfId="18962" xr:uid="{00000000-0005-0000-0000-000064580000}"/>
    <cellStyle name="Normal 11 2 6 4 4 2" xfId="46095" xr:uid="{00000000-0005-0000-0000-000065580000}"/>
    <cellStyle name="Normal 11 2 6 4 5" xfId="32533" xr:uid="{00000000-0005-0000-0000-000066580000}"/>
    <cellStyle name="Normal 11 2 6 5" xfId="8770" xr:uid="{00000000-0005-0000-0000-000067580000}"/>
    <cellStyle name="Normal 11 2 6 5 2" xfId="15559" xr:uid="{00000000-0005-0000-0000-000068580000}"/>
    <cellStyle name="Normal 11 2 6 5 2 2" xfId="29127" xr:uid="{00000000-0005-0000-0000-000069580000}"/>
    <cellStyle name="Normal 11 2 6 5 2 2 2" xfId="56260" xr:uid="{00000000-0005-0000-0000-00006A580000}"/>
    <cellStyle name="Normal 11 2 6 5 2 3" xfId="42698" xr:uid="{00000000-0005-0000-0000-00006B580000}"/>
    <cellStyle name="Normal 11 2 6 5 3" xfId="22346" xr:uid="{00000000-0005-0000-0000-00006C580000}"/>
    <cellStyle name="Normal 11 2 6 5 3 2" xfId="49479" xr:uid="{00000000-0005-0000-0000-00006D580000}"/>
    <cellStyle name="Normal 11 2 6 5 4" xfId="35917" xr:uid="{00000000-0005-0000-0000-00006E580000}"/>
    <cellStyle name="Normal 11 2 6 6" xfId="12170" xr:uid="{00000000-0005-0000-0000-00006F580000}"/>
    <cellStyle name="Normal 11 2 6 6 2" xfId="25738" xr:uid="{00000000-0005-0000-0000-000070580000}"/>
    <cellStyle name="Normal 11 2 6 6 2 2" xfId="52871" xr:uid="{00000000-0005-0000-0000-000071580000}"/>
    <cellStyle name="Normal 11 2 6 6 3" xfId="39309" xr:uid="{00000000-0005-0000-0000-000072580000}"/>
    <cellStyle name="Normal 11 2 6 7" xfId="18957" xr:uid="{00000000-0005-0000-0000-000073580000}"/>
    <cellStyle name="Normal 11 2 6 7 2" xfId="46090" xr:uid="{00000000-0005-0000-0000-000074580000}"/>
    <cellStyle name="Normal 11 2 6 8" xfId="32528" xr:uid="{00000000-0005-0000-0000-000075580000}"/>
    <cellStyle name="Normal 11 2 7" xfId="5225" xr:uid="{00000000-0005-0000-0000-000076580000}"/>
    <cellStyle name="Normal 11 2 7 2" xfId="5226" xr:uid="{00000000-0005-0000-0000-000077580000}"/>
    <cellStyle name="Normal 11 2 7 2 2" xfId="8777" xr:uid="{00000000-0005-0000-0000-000078580000}"/>
    <cellStyle name="Normal 11 2 7 2 2 2" xfId="15566" xr:uid="{00000000-0005-0000-0000-000079580000}"/>
    <cellStyle name="Normal 11 2 7 2 2 2 2" xfId="29134" xr:uid="{00000000-0005-0000-0000-00007A580000}"/>
    <cellStyle name="Normal 11 2 7 2 2 2 2 2" xfId="56267" xr:uid="{00000000-0005-0000-0000-00007B580000}"/>
    <cellStyle name="Normal 11 2 7 2 2 2 3" xfId="42705" xr:uid="{00000000-0005-0000-0000-00007C580000}"/>
    <cellStyle name="Normal 11 2 7 2 2 3" xfId="22353" xr:uid="{00000000-0005-0000-0000-00007D580000}"/>
    <cellStyle name="Normal 11 2 7 2 2 3 2" xfId="49486" xr:uid="{00000000-0005-0000-0000-00007E580000}"/>
    <cellStyle name="Normal 11 2 7 2 2 4" xfId="35924" xr:uid="{00000000-0005-0000-0000-00007F580000}"/>
    <cellStyle name="Normal 11 2 7 2 3" xfId="12177" xr:uid="{00000000-0005-0000-0000-000080580000}"/>
    <cellStyle name="Normal 11 2 7 2 3 2" xfId="25745" xr:uid="{00000000-0005-0000-0000-000081580000}"/>
    <cellStyle name="Normal 11 2 7 2 3 2 2" xfId="52878" xr:uid="{00000000-0005-0000-0000-000082580000}"/>
    <cellStyle name="Normal 11 2 7 2 3 3" xfId="39316" xr:uid="{00000000-0005-0000-0000-000083580000}"/>
    <cellStyle name="Normal 11 2 7 2 4" xfId="18964" xr:uid="{00000000-0005-0000-0000-000084580000}"/>
    <cellStyle name="Normal 11 2 7 2 4 2" xfId="46097" xr:uid="{00000000-0005-0000-0000-000085580000}"/>
    <cellStyle name="Normal 11 2 7 2 5" xfId="32535" xr:uid="{00000000-0005-0000-0000-000086580000}"/>
    <cellStyle name="Normal 11 2 7 3" xfId="5227" xr:uid="{00000000-0005-0000-0000-000087580000}"/>
    <cellStyle name="Normal 11 2 7 3 2" xfId="8778" xr:uid="{00000000-0005-0000-0000-000088580000}"/>
    <cellStyle name="Normal 11 2 7 3 2 2" xfId="15567" xr:uid="{00000000-0005-0000-0000-000089580000}"/>
    <cellStyle name="Normal 11 2 7 3 2 2 2" xfId="29135" xr:uid="{00000000-0005-0000-0000-00008A580000}"/>
    <cellStyle name="Normal 11 2 7 3 2 2 2 2" xfId="56268" xr:uid="{00000000-0005-0000-0000-00008B580000}"/>
    <cellStyle name="Normal 11 2 7 3 2 2 3" xfId="42706" xr:uid="{00000000-0005-0000-0000-00008C580000}"/>
    <cellStyle name="Normal 11 2 7 3 2 3" xfId="22354" xr:uid="{00000000-0005-0000-0000-00008D580000}"/>
    <cellStyle name="Normal 11 2 7 3 2 3 2" xfId="49487" xr:uid="{00000000-0005-0000-0000-00008E580000}"/>
    <cellStyle name="Normal 11 2 7 3 2 4" xfId="35925" xr:uid="{00000000-0005-0000-0000-00008F580000}"/>
    <cellStyle name="Normal 11 2 7 3 3" xfId="12178" xr:uid="{00000000-0005-0000-0000-000090580000}"/>
    <cellStyle name="Normal 11 2 7 3 3 2" xfId="25746" xr:uid="{00000000-0005-0000-0000-000091580000}"/>
    <cellStyle name="Normal 11 2 7 3 3 2 2" xfId="52879" xr:uid="{00000000-0005-0000-0000-000092580000}"/>
    <cellStyle name="Normal 11 2 7 3 3 3" xfId="39317" xr:uid="{00000000-0005-0000-0000-000093580000}"/>
    <cellStyle name="Normal 11 2 7 3 4" xfId="18965" xr:uid="{00000000-0005-0000-0000-000094580000}"/>
    <cellStyle name="Normal 11 2 7 3 4 2" xfId="46098" xr:uid="{00000000-0005-0000-0000-000095580000}"/>
    <cellStyle name="Normal 11 2 7 3 5" xfId="32536" xr:uid="{00000000-0005-0000-0000-000096580000}"/>
    <cellStyle name="Normal 11 2 7 4" xfId="8776" xr:uid="{00000000-0005-0000-0000-000097580000}"/>
    <cellStyle name="Normal 11 2 7 4 2" xfId="15565" xr:uid="{00000000-0005-0000-0000-000098580000}"/>
    <cellStyle name="Normal 11 2 7 4 2 2" xfId="29133" xr:uid="{00000000-0005-0000-0000-000099580000}"/>
    <cellStyle name="Normal 11 2 7 4 2 2 2" xfId="56266" xr:uid="{00000000-0005-0000-0000-00009A580000}"/>
    <cellStyle name="Normal 11 2 7 4 2 3" xfId="42704" xr:uid="{00000000-0005-0000-0000-00009B580000}"/>
    <cellStyle name="Normal 11 2 7 4 3" xfId="22352" xr:uid="{00000000-0005-0000-0000-00009C580000}"/>
    <cellStyle name="Normal 11 2 7 4 3 2" xfId="49485" xr:uid="{00000000-0005-0000-0000-00009D580000}"/>
    <cellStyle name="Normal 11 2 7 4 4" xfId="35923" xr:uid="{00000000-0005-0000-0000-00009E580000}"/>
    <cellStyle name="Normal 11 2 7 5" xfId="12176" xr:uid="{00000000-0005-0000-0000-00009F580000}"/>
    <cellStyle name="Normal 11 2 7 5 2" xfId="25744" xr:uid="{00000000-0005-0000-0000-0000A0580000}"/>
    <cellStyle name="Normal 11 2 7 5 2 2" xfId="52877" xr:uid="{00000000-0005-0000-0000-0000A1580000}"/>
    <cellStyle name="Normal 11 2 7 5 3" xfId="39315" xr:uid="{00000000-0005-0000-0000-0000A2580000}"/>
    <cellStyle name="Normal 11 2 7 6" xfId="18963" xr:uid="{00000000-0005-0000-0000-0000A3580000}"/>
    <cellStyle name="Normal 11 2 7 6 2" xfId="46096" xr:uid="{00000000-0005-0000-0000-0000A4580000}"/>
    <cellStyle name="Normal 11 2 7 7" xfId="32534" xr:uid="{00000000-0005-0000-0000-0000A5580000}"/>
    <cellStyle name="Normal 11 2 8" xfId="5228" xr:uid="{00000000-0005-0000-0000-0000A6580000}"/>
    <cellStyle name="Normal 11 2 8 2" xfId="5229" xr:uid="{00000000-0005-0000-0000-0000A7580000}"/>
    <cellStyle name="Normal 11 2 8 2 2" xfId="8780" xr:uid="{00000000-0005-0000-0000-0000A8580000}"/>
    <cellStyle name="Normal 11 2 8 2 2 2" xfId="15569" xr:uid="{00000000-0005-0000-0000-0000A9580000}"/>
    <cellStyle name="Normal 11 2 8 2 2 2 2" xfId="29137" xr:uid="{00000000-0005-0000-0000-0000AA580000}"/>
    <cellStyle name="Normal 11 2 8 2 2 2 2 2" xfId="56270" xr:uid="{00000000-0005-0000-0000-0000AB580000}"/>
    <cellStyle name="Normal 11 2 8 2 2 2 3" xfId="42708" xr:uid="{00000000-0005-0000-0000-0000AC580000}"/>
    <cellStyle name="Normal 11 2 8 2 2 3" xfId="22356" xr:uid="{00000000-0005-0000-0000-0000AD580000}"/>
    <cellStyle name="Normal 11 2 8 2 2 3 2" xfId="49489" xr:uid="{00000000-0005-0000-0000-0000AE580000}"/>
    <cellStyle name="Normal 11 2 8 2 2 4" xfId="35927" xr:uid="{00000000-0005-0000-0000-0000AF580000}"/>
    <cellStyle name="Normal 11 2 8 2 3" xfId="12180" xr:uid="{00000000-0005-0000-0000-0000B0580000}"/>
    <cellStyle name="Normal 11 2 8 2 3 2" xfId="25748" xr:uid="{00000000-0005-0000-0000-0000B1580000}"/>
    <cellStyle name="Normal 11 2 8 2 3 2 2" xfId="52881" xr:uid="{00000000-0005-0000-0000-0000B2580000}"/>
    <cellStyle name="Normal 11 2 8 2 3 3" xfId="39319" xr:uid="{00000000-0005-0000-0000-0000B3580000}"/>
    <cellStyle name="Normal 11 2 8 2 4" xfId="18967" xr:uid="{00000000-0005-0000-0000-0000B4580000}"/>
    <cellStyle name="Normal 11 2 8 2 4 2" xfId="46100" xr:uid="{00000000-0005-0000-0000-0000B5580000}"/>
    <cellStyle name="Normal 11 2 8 2 5" xfId="32538" xr:uid="{00000000-0005-0000-0000-0000B6580000}"/>
    <cellStyle name="Normal 11 2 8 3" xfId="5230" xr:uid="{00000000-0005-0000-0000-0000B7580000}"/>
    <cellStyle name="Normal 11 2 8 3 2" xfId="8781" xr:uid="{00000000-0005-0000-0000-0000B8580000}"/>
    <cellStyle name="Normal 11 2 8 3 2 2" xfId="15570" xr:uid="{00000000-0005-0000-0000-0000B9580000}"/>
    <cellStyle name="Normal 11 2 8 3 2 2 2" xfId="29138" xr:uid="{00000000-0005-0000-0000-0000BA580000}"/>
    <cellStyle name="Normal 11 2 8 3 2 2 2 2" xfId="56271" xr:uid="{00000000-0005-0000-0000-0000BB580000}"/>
    <cellStyle name="Normal 11 2 8 3 2 2 3" xfId="42709" xr:uid="{00000000-0005-0000-0000-0000BC580000}"/>
    <cellStyle name="Normal 11 2 8 3 2 3" xfId="22357" xr:uid="{00000000-0005-0000-0000-0000BD580000}"/>
    <cellStyle name="Normal 11 2 8 3 2 3 2" xfId="49490" xr:uid="{00000000-0005-0000-0000-0000BE580000}"/>
    <cellStyle name="Normal 11 2 8 3 2 4" xfId="35928" xr:uid="{00000000-0005-0000-0000-0000BF580000}"/>
    <cellStyle name="Normal 11 2 8 3 3" xfId="12181" xr:uid="{00000000-0005-0000-0000-0000C0580000}"/>
    <cellStyle name="Normal 11 2 8 3 3 2" xfId="25749" xr:uid="{00000000-0005-0000-0000-0000C1580000}"/>
    <cellStyle name="Normal 11 2 8 3 3 2 2" xfId="52882" xr:uid="{00000000-0005-0000-0000-0000C2580000}"/>
    <cellStyle name="Normal 11 2 8 3 3 3" xfId="39320" xr:uid="{00000000-0005-0000-0000-0000C3580000}"/>
    <cellStyle name="Normal 11 2 8 3 4" xfId="18968" xr:uid="{00000000-0005-0000-0000-0000C4580000}"/>
    <cellStyle name="Normal 11 2 8 3 4 2" xfId="46101" xr:uid="{00000000-0005-0000-0000-0000C5580000}"/>
    <cellStyle name="Normal 11 2 8 3 5" xfId="32539" xr:uid="{00000000-0005-0000-0000-0000C6580000}"/>
    <cellStyle name="Normal 11 2 8 4" xfId="8779" xr:uid="{00000000-0005-0000-0000-0000C7580000}"/>
    <cellStyle name="Normal 11 2 8 4 2" xfId="15568" xr:uid="{00000000-0005-0000-0000-0000C8580000}"/>
    <cellStyle name="Normal 11 2 8 4 2 2" xfId="29136" xr:uid="{00000000-0005-0000-0000-0000C9580000}"/>
    <cellStyle name="Normal 11 2 8 4 2 2 2" xfId="56269" xr:uid="{00000000-0005-0000-0000-0000CA580000}"/>
    <cellStyle name="Normal 11 2 8 4 2 3" xfId="42707" xr:uid="{00000000-0005-0000-0000-0000CB580000}"/>
    <cellStyle name="Normal 11 2 8 4 3" xfId="22355" xr:uid="{00000000-0005-0000-0000-0000CC580000}"/>
    <cellStyle name="Normal 11 2 8 4 3 2" xfId="49488" xr:uid="{00000000-0005-0000-0000-0000CD580000}"/>
    <cellStyle name="Normal 11 2 8 4 4" xfId="35926" xr:uid="{00000000-0005-0000-0000-0000CE580000}"/>
    <cellStyle name="Normal 11 2 8 5" xfId="12179" xr:uid="{00000000-0005-0000-0000-0000CF580000}"/>
    <cellStyle name="Normal 11 2 8 5 2" xfId="25747" xr:uid="{00000000-0005-0000-0000-0000D0580000}"/>
    <cellStyle name="Normal 11 2 8 5 2 2" xfId="52880" xr:uid="{00000000-0005-0000-0000-0000D1580000}"/>
    <cellStyle name="Normal 11 2 8 5 3" xfId="39318" xr:uid="{00000000-0005-0000-0000-0000D2580000}"/>
    <cellStyle name="Normal 11 2 8 6" xfId="18966" xr:uid="{00000000-0005-0000-0000-0000D3580000}"/>
    <cellStyle name="Normal 11 2 8 6 2" xfId="46099" xr:uid="{00000000-0005-0000-0000-0000D4580000}"/>
    <cellStyle name="Normal 11 2 8 7" xfId="32537" xr:uid="{00000000-0005-0000-0000-0000D5580000}"/>
    <cellStyle name="Normal 11 2 9" xfId="5231" xr:uid="{00000000-0005-0000-0000-0000D6580000}"/>
    <cellStyle name="Normal 11 2 9 2" xfId="8782" xr:uid="{00000000-0005-0000-0000-0000D7580000}"/>
    <cellStyle name="Normal 11 2 9 2 2" xfId="15571" xr:uid="{00000000-0005-0000-0000-0000D8580000}"/>
    <cellStyle name="Normal 11 2 9 2 2 2" xfId="29139" xr:uid="{00000000-0005-0000-0000-0000D9580000}"/>
    <cellStyle name="Normal 11 2 9 2 2 2 2" xfId="56272" xr:uid="{00000000-0005-0000-0000-0000DA580000}"/>
    <cellStyle name="Normal 11 2 9 2 2 3" xfId="42710" xr:uid="{00000000-0005-0000-0000-0000DB580000}"/>
    <cellStyle name="Normal 11 2 9 2 3" xfId="22358" xr:uid="{00000000-0005-0000-0000-0000DC580000}"/>
    <cellStyle name="Normal 11 2 9 2 3 2" xfId="49491" xr:uid="{00000000-0005-0000-0000-0000DD580000}"/>
    <cellStyle name="Normal 11 2 9 2 4" xfId="35929" xr:uid="{00000000-0005-0000-0000-0000DE580000}"/>
    <cellStyle name="Normal 11 2 9 3" xfId="12182" xr:uid="{00000000-0005-0000-0000-0000DF580000}"/>
    <cellStyle name="Normal 11 2 9 3 2" xfId="25750" xr:uid="{00000000-0005-0000-0000-0000E0580000}"/>
    <cellStyle name="Normal 11 2 9 3 2 2" xfId="52883" xr:uid="{00000000-0005-0000-0000-0000E1580000}"/>
    <cellStyle name="Normal 11 2 9 3 3" xfId="39321" xr:uid="{00000000-0005-0000-0000-0000E2580000}"/>
    <cellStyle name="Normal 11 2 9 4" xfId="18969" xr:uid="{00000000-0005-0000-0000-0000E3580000}"/>
    <cellStyle name="Normal 11 2 9 4 2" xfId="46102" xr:uid="{00000000-0005-0000-0000-0000E4580000}"/>
    <cellStyle name="Normal 11 2 9 5" xfId="32540" xr:uid="{00000000-0005-0000-0000-0000E5580000}"/>
    <cellStyle name="Normal 11 3" xfId="5232" xr:uid="{00000000-0005-0000-0000-0000E6580000}"/>
    <cellStyle name="Normal 11 4" xfId="5233" xr:uid="{00000000-0005-0000-0000-0000E7580000}"/>
    <cellStyle name="Normal 11 4 10" xfId="8783" xr:uid="{00000000-0005-0000-0000-0000E8580000}"/>
    <cellStyle name="Normal 11 4 10 2" xfId="15572" xr:uid="{00000000-0005-0000-0000-0000E9580000}"/>
    <cellStyle name="Normal 11 4 10 2 2" xfId="29140" xr:uid="{00000000-0005-0000-0000-0000EA580000}"/>
    <cellStyle name="Normal 11 4 10 2 2 2" xfId="56273" xr:uid="{00000000-0005-0000-0000-0000EB580000}"/>
    <cellStyle name="Normal 11 4 10 2 3" xfId="42711" xr:uid="{00000000-0005-0000-0000-0000EC580000}"/>
    <cellStyle name="Normal 11 4 10 3" xfId="22359" xr:uid="{00000000-0005-0000-0000-0000ED580000}"/>
    <cellStyle name="Normal 11 4 10 3 2" xfId="49492" xr:uid="{00000000-0005-0000-0000-0000EE580000}"/>
    <cellStyle name="Normal 11 4 10 4" xfId="35930" xr:uid="{00000000-0005-0000-0000-0000EF580000}"/>
    <cellStyle name="Normal 11 4 11" xfId="12183" xr:uid="{00000000-0005-0000-0000-0000F0580000}"/>
    <cellStyle name="Normal 11 4 11 2" xfId="25751" xr:uid="{00000000-0005-0000-0000-0000F1580000}"/>
    <cellStyle name="Normal 11 4 11 2 2" xfId="52884" xr:uid="{00000000-0005-0000-0000-0000F2580000}"/>
    <cellStyle name="Normal 11 4 11 3" xfId="39322" xr:uid="{00000000-0005-0000-0000-0000F3580000}"/>
    <cellStyle name="Normal 11 4 12" xfId="18970" xr:uid="{00000000-0005-0000-0000-0000F4580000}"/>
    <cellStyle name="Normal 11 4 12 2" xfId="46103" xr:uid="{00000000-0005-0000-0000-0000F5580000}"/>
    <cellStyle name="Normal 11 4 13" xfId="32541" xr:uid="{00000000-0005-0000-0000-0000F6580000}"/>
    <cellStyle name="Normal 11 4 2" xfId="5234" xr:uid="{00000000-0005-0000-0000-0000F7580000}"/>
    <cellStyle name="Normal 11 4 2 10" xfId="32542" xr:uid="{00000000-0005-0000-0000-0000F8580000}"/>
    <cellStyle name="Normal 11 4 2 2" xfId="5235" xr:uid="{00000000-0005-0000-0000-0000F9580000}"/>
    <cellStyle name="Normal 11 4 2 2 2" xfId="5236" xr:uid="{00000000-0005-0000-0000-0000FA580000}"/>
    <cellStyle name="Normal 11 4 2 2 2 2" xfId="5237" xr:uid="{00000000-0005-0000-0000-0000FB580000}"/>
    <cellStyle name="Normal 11 4 2 2 2 2 2" xfId="8787" xr:uid="{00000000-0005-0000-0000-0000FC580000}"/>
    <cellStyle name="Normal 11 4 2 2 2 2 2 2" xfId="15576" xr:uid="{00000000-0005-0000-0000-0000FD580000}"/>
    <cellStyle name="Normal 11 4 2 2 2 2 2 2 2" xfId="29144" xr:uid="{00000000-0005-0000-0000-0000FE580000}"/>
    <cellStyle name="Normal 11 4 2 2 2 2 2 2 2 2" xfId="56277" xr:uid="{00000000-0005-0000-0000-0000FF580000}"/>
    <cellStyle name="Normal 11 4 2 2 2 2 2 2 3" xfId="42715" xr:uid="{00000000-0005-0000-0000-000000590000}"/>
    <cellStyle name="Normal 11 4 2 2 2 2 2 3" xfId="22363" xr:uid="{00000000-0005-0000-0000-000001590000}"/>
    <cellStyle name="Normal 11 4 2 2 2 2 2 3 2" xfId="49496" xr:uid="{00000000-0005-0000-0000-000002590000}"/>
    <cellStyle name="Normal 11 4 2 2 2 2 2 4" xfId="35934" xr:uid="{00000000-0005-0000-0000-000003590000}"/>
    <cellStyle name="Normal 11 4 2 2 2 2 3" xfId="12187" xr:uid="{00000000-0005-0000-0000-000004590000}"/>
    <cellStyle name="Normal 11 4 2 2 2 2 3 2" xfId="25755" xr:uid="{00000000-0005-0000-0000-000005590000}"/>
    <cellStyle name="Normal 11 4 2 2 2 2 3 2 2" xfId="52888" xr:uid="{00000000-0005-0000-0000-000006590000}"/>
    <cellStyle name="Normal 11 4 2 2 2 2 3 3" xfId="39326" xr:uid="{00000000-0005-0000-0000-000007590000}"/>
    <cellStyle name="Normal 11 4 2 2 2 2 4" xfId="18974" xr:uid="{00000000-0005-0000-0000-000008590000}"/>
    <cellStyle name="Normal 11 4 2 2 2 2 4 2" xfId="46107" xr:uid="{00000000-0005-0000-0000-000009590000}"/>
    <cellStyle name="Normal 11 4 2 2 2 2 5" xfId="32545" xr:uid="{00000000-0005-0000-0000-00000A590000}"/>
    <cellStyle name="Normal 11 4 2 2 2 3" xfId="5238" xr:uid="{00000000-0005-0000-0000-00000B590000}"/>
    <cellStyle name="Normal 11 4 2 2 2 3 2" xfId="8788" xr:uid="{00000000-0005-0000-0000-00000C590000}"/>
    <cellStyle name="Normal 11 4 2 2 2 3 2 2" xfId="15577" xr:uid="{00000000-0005-0000-0000-00000D590000}"/>
    <cellStyle name="Normal 11 4 2 2 2 3 2 2 2" xfId="29145" xr:uid="{00000000-0005-0000-0000-00000E590000}"/>
    <cellStyle name="Normal 11 4 2 2 2 3 2 2 2 2" xfId="56278" xr:uid="{00000000-0005-0000-0000-00000F590000}"/>
    <cellStyle name="Normal 11 4 2 2 2 3 2 2 3" xfId="42716" xr:uid="{00000000-0005-0000-0000-000010590000}"/>
    <cellStyle name="Normal 11 4 2 2 2 3 2 3" xfId="22364" xr:uid="{00000000-0005-0000-0000-000011590000}"/>
    <cellStyle name="Normal 11 4 2 2 2 3 2 3 2" xfId="49497" xr:uid="{00000000-0005-0000-0000-000012590000}"/>
    <cellStyle name="Normal 11 4 2 2 2 3 2 4" xfId="35935" xr:uid="{00000000-0005-0000-0000-000013590000}"/>
    <cellStyle name="Normal 11 4 2 2 2 3 3" xfId="12188" xr:uid="{00000000-0005-0000-0000-000014590000}"/>
    <cellStyle name="Normal 11 4 2 2 2 3 3 2" xfId="25756" xr:uid="{00000000-0005-0000-0000-000015590000}"/>
    <cellStyle name="Normal 11 4 2 2 2 3 3 2 2" xfId="52889" xr:uid="{00000000-0005-0000-0000-000016590000}"/>
    <cellStyle name="Normal 11 4 2 2 2 3 3 3" xfId="39327" xr:uid="{00000000-0005-0000-0000-000017590000}"/>
    <cellStyle name="Normal 11 4 2 2 2 3 4" xfId="18975" xr:uid="{00000000-0005-0000-0000-000018590000}"/>
    <cellStyle name="Normal 11 4 2 2 2 3 4 2" xfId="46108" xr:uid="{00000000-0005-0000-0000-000019590000}"/>
    <cellStyle name="Normal 11 4 2 2 2 3 5" xfId="32546" xr:uid="{00000000-0005-0000-0000-00001A590000}"/>
    <cellStyle name="Normal 11 4 2 2 2 4" xfId="8786" xr:uid="{00000000-0005-0000-0000-00001B590000}"/>
    <cellStyle name="Normal 11 4 2 2 2 4 2" xfId="15575" xr:uid="{00000000-0005-0000-0000-00001C590000}"/>
    <cellStyle name="Normal 11 4 2 2 2 4 2 2" xfId="29143" xr:uid="{00000000-0005-0000-0000-00001D590000}"/>
    <cellStyle name="Normal 11 4 2 2 2 4 2 2 2" xfId="56276" xr:uid="{00000000-0005-0000-0000-00001E590000}"/>
    <cellStyle name="Normal 11 4 2 2 2 4 2 3" xfId="42714" xr:uid="{00000000-0005-0000-0000-00001F590000}"/>
    <cellStyle name="Normal 11 4 2 2 2 4 3" xfId="22362" xr:uid="{00000000-0005-0000-0000-000020590000}"/>
    <cellStyle name="Normal 11 4 2 2 2 4 3 2" xfId="49495" xr:uid="{00000000-0005-0000-0000-000021590000}"/>
    <cellStyle name="Normal 11 4 2 2 2 4 4" xfId="35933" xr:uid="{00000000-0005-0000-0000-000022590000}"/>
    <cellStyle name="Normal 11 4 2 2 2 5" xfId="12186" xr:uid="{00000000-0005-0000-0000-000023590000}"/>
    <cellStyle name="Normal 11 4 2 2 2 5 2" xfId="25754" xr:uid="{00000000-0005-0000-0000-000024590000}"/>
    <cellStyle name="Normal 11 4 2 2 2 5 2 2" xfId="52887" xr:uid="{00000000-0005-0000-0000-000025590000}"/>
    <cellStyle name="Normal 11 4 2 2 2 5 3" xfId="39325" xr:uid="{00000000-0005-0000-0000-000026590000}"/>
    <cellStyle name="Normal 11 4 2 2 2 6" xfId="18973" xr:uid="{00000000-0005-0000-0000-000027590000}"/>
    <cellStyle name="Normal 11 4 2 2 2 6 2" xfId="46106" xr:uid="{00000000-0005-0000-0000-000028590000}"/>
    <cellStyle name="Normal 11 4 2 2 2 7" xfId="32544" xr:uid="{00000000-0005-0000-0000-000029590000}"/>
    <cellStyle name="Normal 11 4 2 2 3" xfId="5239" xr:uid="{00000000-0005-0000-0000-00002A590000}"/>
    <cellStyle name="Normal 11 4 2 2 3 2" xfId="5240" xr:uid="{00000000-0005-0000-0000-00002B590000}"/>
    <cellStyle name="Normal 11 4 2 2 3 2 2" xfId="8790" xr:uid="{00000000-0005-0000-0000-00002C590000}"/>
    <cellStyle name="Normal 11 4 2 2 3 2 2 2" xfId="15579" xr:uid="{00000000-0005-0000-0000-00002D590000}"/>
    <cellStyle name="Normal 11 4 2 2 3 2 2 2 2" xfId="29147" xr:uid="{00000000-0005-0000-0000-00002E590000}"/>
    <cellStyle name="Normal 11 4 2 2 3 2 2 2 2 2" xfId="56280" xr:uid="{00000000-0005-0000-0000-00002F590000}"/>
    <cellStyle name="Normal 11 4 2 2 3 2 2 2 3" xfId="42718" xr:uid="{00000000-0005-0000-0000-000030590000}"/>
    <cellStyle name="Normal 11 4 2 2 3 2 2 3" xfId="22366" xr:uid="{00000000-0005-0000-0000-000031590000}"/>
    <cellStyle name="Normal 11 4 2 2 3 2 2 3 2" xfId="49499" xr:uid="{00000000-0005-0000-0000-000032590000}"/>
    <cellStyle name="Normal 11 4 2 2 3 2 2 4" xfId="35937" xr:uid="{00000000-0005-0000-0000-000033590000}"/>
    <cellStyle name="Normal 11 4 2 2 3 2 3" xfId="12190" xr:uid="{00000000-0005-0000-0000-000034590000}"/>
    <cellStyle name="Normal 11 4 2 2 3 2 3 2" xfId="25758" xr:uid="{00000000-0005-0000-0000-000035590000}"/>
    <cellStyle name="Normal 11 4 2 2 3 2 3 2 2" xfId="52891" xr:uid="{00000000-0005-0000-0000-000036590000}"/>
    <cellStyle name="Normal 11 4 2 2 3 2 3 3" xfId="39329" xr:uid="{00000000-0005-0000-0000-000037590000}"/>
    <cellStyle name="Normal 11 4 2 2 3 2 4" xfId="18977" xr:uid="{00000000-0005-0000-0000-000038590000}"/>
    <cellStyle name="Normal 11 4 2 2 3 2 4 2" xfId="46110" xr:uid="{00000000-0005-0000-0000-000039590000}"/>
    <cellStyle name="Normal 11 4 2 2 3 2 5" xfId="32548" xr:uid="{00000000-0005-0000-0000-00003A590000}"/>
    <cellStyle name="Normal 11 4 2 2 3 3" xfId="8789" xr:uid="{00000000-0005-0000-0000-00003B590000}"/>
    <cellStyle name="Normal 11 4 2 2 3 3 2" xfId="15578" xr:uid="{00000000-0005-0000-0000-00003C590000}"/>
    <cellStyle name="Normal 11 4 2 2 3 3 2 2" xfId="29146" xr:uid="{00000000-0005-0000-0000-00003D590000}"/>
    <cellStyle name="Normal 11 4 2 2 3 3 2 2 2" xfId="56279" xr:uid="{00000000-0005-0000-0000-00003E590000}"/>
    <cellStyle name="Normal 11 4 2 2 3 3 2 3" xfId="42717" xr:uid="{00000000-0005-0000-0000-00003F590000}"/>
    <cellStyle name="Normal 11 4 2 2 3 3 3" xfId="22365" xr:uid="{00000000-0005-0000-0000-000040590000}"/>
    <cellStyle name="Normal 11 4 2 2 3 3 3 2" xfId="49498" xr:uid="{00000000-0005-0000-0000-000041590000}"/>
    <cellStyle name="Normal 11 4 2 2 3 3 4" xfId="35936" xr:uid="{00000000-0005-0000-0000-000042590000}"/>
    <cellStyle name="Normal 11 4 2 2 3 4" xfId="12189" xr:uid="{00000000-0005-0000-0000-000043590000}"/>
    <cellStyle name="Normal 11 4 2 2 3 4 2" xfId="25757" xr:uid="{00000000-0005-0000-0000-000044590000}"/>
    <cellStyle name="Normal 11 4 2 2 3 4 2 2" xfId="52890" xr:uid="{00000000-0005-0000-0000-000045590000}"/>
    <cellStyle name="Normal 11 4 2 2 3 4 3" xfId="39328" xr:uid="{00000000-0005-0000-0000-000046590000}"/>
    <cellStyle name="Normal 11 4 2 2 3 5" xfId="18976" xr:uid="{00000000-0005-0000-0000-000047590000}"/>
    <cellStyle name="Normal 11 4 2 2 3 5 2" xfId="46109" xr:uid="{00000000-0005-0000-0000-000048590000}"/>
    <cellStyle name="Normal 11 4 2 2 3 6" xfId="32547" xr:uid="{00000000-0005-0000-0000-000049590000}"/>
    <cellStyle name="Normal 11 4 2 2 4" xfId="5241" xr:uid="{00000000-0005-0000-0000-00004A590000}"/>
    <cellStyle name="Normal 11 4 2 2 4 2" xfId="8791" xr:uid="{00000000-0005-0000-0000-00004B590000}"/>
    <cellStyle name="Normal 11 4 2 2 4 2 2" xfId="15580" xr:uid="{00000000-0005-0000-0000-00004C590000}"/>
    <cellStyle name="Normal 11 4 2 2 4 2 2 2" xfId="29148" xr:uid="{00000000-0005-0000-0000-00004D590000}"/>
    <cellStyle name="Normal 11 4 2 2 4 2 2 2 2" xfId="56281" xr:uid="{00000000-0005-0000-0000-00004E590000}"/>
    <cellStyle name="Normal 11 4 2 2 4 2 2 3" xfId="42719" xr:uid="{00000000-0005-0000-0000-00004F590000}"/>
    <cellStyle name="Normal 11 4 2 2 4 2 3" xfId="22367" xr:uid="{00000000-0005-0000-0000-000050590000}"/>
    <cellStyle name="Normal 11 4 2 2 4 2 3 2" xfId="49500" xr:uid="{00000000-0005-0000-0000-000051590000}"/>
    <cellStyle name="Normal 11 4 2 2 4 2 4" xfId="35938" xr:uid="{00000000-0005-0000-0000-000052590000}"/>
    <cellStyle name="Normal 11 4 2 2 4 3" xfId="12191" xr:uid="{00000000-0005-0000-0000-000053590000}"/>
    <cellStyle name="Normal 11 4 2 2 4 3 2" xfId="25759" xr:uid="{00000000-0005-0000-0000-000054590000}"/>
    <cellStyle name="Normal 11 4 2 2 4 3 2 2" xfId="52892" xr:uid="{00000000-0005-0000-0000-000055590000}"/>
    <cellStyle name="Normal 11 4 2 2 4 3 3" xfId="39330" xr:uid="{00000000-0005-0000-0000-000056590000}"/>
    <cellStyle name="Normal 11 4 2 2 4 4" xfId="18978" xr:uid="{00000000-0005-0000-0000-000057590000}"/>
    <cellStyle name="Normal 11 4 2 2 4 4 2" xfId="46111" xr:uid="{00000000-0005-0000-0000-000058590000}"/>
    <cellStyle name="Normal 11 4 2 2 4 5" xfId="32549" xr:uid="{00000000-0005-0000-0000-000059590000}"/>
    <cellStyle name="Normal 11 4 2 2 5" xfId="5242" xr:uid="{00000000-0005-0000-0000-00005A590000}"/>
    <cellStyle name="Normal 11 4 2 2 5 2" xfId="8792" xr:uid="{00000000-0005-0000-0000-00005B590000}"/>
    <cellStyle name="Normal 11 4 2 2 5 2 2" xfId="15581" xr:uid="{00000000-0005-0000-0000-00005C590000}"/>
    <cellStyle name="Normal 11 4 2 2 5 2 2 2" xfId="29149" xr:uid="{00000000-0005-0000-0000-00005D590000}"/>
    <cellStyle name="Normal 11 4 2 2 5 2 2 2 2" xfId="56282" xr:uid="{00000000-0005-0000-0000-00005E590000}"/>
    <cellStyle name="Normal 11 4 2 2 5 2 2 3" xfId="42720" xr:uid="{00000000-0005-0000-0000-00005F590000}"/>
    <cellStyle name="Normal 11 4 2 2 5 2 3" xfId="22368" xr:uid="{00000000-0005-0000-0000-000060590000}"/>
    <cellStyle name="Normal 11 4 2 2 5 2 3 2" xfId="49501" xr:uid="{00000000-0005-0000-0000-000061590000}"/>
    <cellStyle name="Normal 11 4 2 2 5 2 4" xfId="35939" xr:uid="{00000000-0005-0000-0000-000062590000}"/>
    <cellStyle name="Normal 11 4 2 2 5 3" xfId="12192" xr:uid="{00000000-0005-0000-0000-000063590000}"/>
    <cellStyle name="Normal 11 4 2 2 5 3 2" xfId="25760" xr:uid="{00000000-0005-0000-0000-000064590000}"/>
    <cellStyle name="Normal 11 4 2 2 5 3 2 2" xfId="52893" xr:uid="{00000000-0005-0000-0000-000065590000}"/>
    <cellStyle name="Normal 11 4 2 2 5 3 3" xfId="39331" xr:uid="{00000000-0005-0000-0000-000066590000}"/>
    <cellStyle name="Normal 11 4 2 2 5 4" xfId="18979" xr:uid="{00000000-0005-0000-0000-000067590000}"/>
    <cellStyle name="Normal 11 4 2 2 5 4 2" xfId="46112" xr:uid="{00000000-0005-0000-0000-000068590000}"/>
    <cellStyle name="Normal 11 4 2 2 5 5" xfId="32550" xr:uid="{00000000-0005-0000-0000-000069590000}"/>
    <cellStyle name="Normal 11 4 2 2 6" xfId="8785" xr:uid="{00000000-0005-0000-0000-00006A590000}"/>
    <cellStyle name="Normal 11 4 2 2 6 2" xfId="15574" xr:uid="{00000000-0005-0000-0000-00006B590000}"/>
    <cellStyle name="Normal 11 4 2 2 6 2 2" xfId="29142" xr:uid="{00000000-0005-0000-0000-00006C590000}"/>
    <cellStyle name="Normal 11 4 2 2 6 2 2 2" xfId="56275" xr:uid="{00000000-0005-0000-0000-00006D590000}"/>
    <cellStyle name="Normal 11 4 2 2 6 2 3" xfId="42713" xr:uid="{00000000-0005-0000-0000-00006E590000}"/>
    <cellStyle name="Normal 11 4 2 2 6 3" xfId="22361" xr:uid="{00000000-0005-0000-0000-00006F590000}"/>
    <cellStyle name="Normal 11 4 2 2 6 3 2" xfId="49494" xr:uid="{00000000-0005-0000-0000-000070590000}"/>
    <cellStyle name="Normal 11 4 2 2 6 4" xfId="35932" xr:uid="{00000000-0005-0000-0000-000071590000}"/>
    <cellStyle name="Normal 11 4 2 2 7" xfId="12185" xr:uid="{00000000-0005-0000-0000-000072590000}"/>
    <cellStyle name="Normal 11 4 2 2 7 2" xfId="25753" xr:uid="{00000000-0005-0000-0000-000073590000}"/>
    <cellStyle name="Normal 11 4 2 2 7 2 2" xfId="52886" xr:uid="{00000000-0005-0000-0000-000074590000}"/>
    <cellStyle name="Normal 11 4 2 2 7 3" xfId="39324" xr:uid="{00000000-0005-0000-0000-000075590000}"/>
    <cellStyle name="Normal 11 4 2 2 8" xfId="18972" xr:uid="{00000000-0005-0000-0000-000076590000}"/>
    <cellStyle name="Normal 11 4 2 2 8 2" xfId="46105" xr:uid="{00000000-0005-0000-0000-000077590000}"/>
    <cellStyle name="Normal 11 4 2 2 9" xfId="32543" xr:uid="{00000000-0005-0000-0000-000078590000}"/>
    <cellStyle name="Normal 11 4 2 3" xfId="5243" xr:uid="{00000000-0005-0000-0000-000079590000}"/>
    <cellStyle name="Normal 11 4 2 3 2" xfId="5244" xr:uid="{00000000-0005-0000-0000-00007A590000}"/>
    <cellStyle name="Normal 11 4 2 3 2 2" xfId="8794" xr:uid="{00000000-0005-0000-0000-00007B590000}"/>
    <cellStyle name="Normal 11 4 2 3 2 2 2" xfId="15583" xr:uid="{00000000-0005-0000-0000-00007C590000}"/>
    <cellStyle name="Normal 11 4 2 3 2 2 2 2" xfId="29151" xr:uid="{00000000-0005-0000-0000-00007D590000}"/>
    <cellStyle name="Normal 11 4 2 3 2 2 2 2 2" xfId="56284" xr:uid="{00000000-0005-0000-0000-00007E590000}"/>
    <cellStyle name="Normal 11 4 2 3 2 2 2 3" xfId="42722" xr:uid="{00000000-0005-0000-0000-00007F590000}"/>
    <cellStyle name="Normal 11 4 2 3 2 2 3" xfId="22370" xr:uid="{00000000-0005-0000-0000-000080590000}"/>
    <cellStyle name="Normal 11 4 2 3 2 2 3 2" xfId="49503" xr:uid="{00000000-0005-0000-0000-000081590000}"/>
    <cellStyle name="Normal 11 4 2 3 2 2 4" xfId="35941" xr:uid="{00000000-0005-0000-0000-000082590000}"/>
    <cellStyle name="Normal 11 4 2 3 2 3" xfId="12194" xr:uid="{00000000-0005-0000-0000-000083590000}"/>
    <cellStyle name="Normal 11 4 2 3 2 3 2" xfId="25762" xr:uid="{00000000-0005-0000-0000-000084590000}"/>
    <cellStyle name="Normal 11 4 2 3 2 3 2 2" xfId="52895" xr:uid="{00000000-0005-0000-0000-000085590000}"/>
    <cellStyle name="Normal 11 4 2 3 2 3 3" xfId="39333" xr:uid="{00000000-0005-0000-0000-000086590000}"/>
    <cellStyle name="Normal 11 4 2 3 2 4" xfId="18981" xr:uid="{00000000-0005-0000-0000-000087590000}"/>
    <cellStyle name="Normal 11 4 2 3 2 4 2" xfId="46114" xr:uid="{00000000-0005-0000-0000-000088590000}"/>
    <cellStyle name="Normal 11 4 2 3 2 5" xfId="32552" xr:uid="{00000000-0005-0000-0000-000089590000}"/>
    <cellStyle name="Normal 11 4 2 3 3" xfId="5245" xr:uid="{00000000-0005-0000-0000-00008A590000}"/>
    <cellStyle name="Normal 11 4 2 3 3 2" xfId="8795" xr:uid="{00000000-0005-0000-0000-00008B590000}"/>
    <cellStyle name="Normal 11 4 2 3 3 2 2" xfId="15584" xr:uid="{00000000-0005-0000-0000-00008C590000}"/>
    <cellStyle name="Normal 11 4 2 3 3 2 2 2" xfId="29152" xr:uid="{00000000-0005-0000-0000-00008D590000}"/>
    <cellStyle name="Normal 11 4 2 3 3 2 2 2 2" xfId="56285" xr:uid="{00000000-0005-0000-0000-00008E590000}"/>
    <cellStyle name="Normal 11 4 2 3 3 2 2 3" xfId="42723" xr:uid="{00000000-0005-0000-0000-00008F590000}"/>
    <cellStyle name="Normal 11 4 2 3 3 2 3" xfId="22371" xr:uid="{00000000-0005-0000-0000-000090590000}"/>
    <cellStyle name="Normal 11 4 2 3 3 2 3 2" xfId="49504" xr:uid="{00000000-0005-0000-0000-000091590000}"/>
    <cellStyle name="Normal 11 4 2 3 3 2 4" xfId="35942" xr:uid="{00000000-0005-0000-0000-000092590000}"/>
    <cellStyle name="Normal 11 4 2 3 3 3" xfId="12195" xr:uid="{00000000-0005-0000-0000-000093590000}"/>
    <cellStyle name="Normal 11 4 2 3 3 3 2" xfId="25763" xr:uid="{00000000-0005-0000-0000-000094590000}"/>
    <cellStyle name="Normal 11 4 2 3 3 3 2 2" xfId="52896" xr:uid="{00000000-0005-0000-0000-000095590000}"/>
    <cellStyle name="Normal 11 4 2 3 3 3 3" xfId="39334" xr:uid="{00000000-0005-0000-0000-000096590000}"/>
    <cellStyle name="Normal 11 4 2 3 3 4" xfId="18982" xr:uid="{00000000-0005-0000-0000-000097590000}"/>
    <cellStyle name="Normal 11 4 2 3 3 4 2" xfId="46115" xr:uid="{00000000-0005-0000-0000-000098590000}"/>
    <cellStyle name="Normal 11 4 2 3 3 5" xfId="32553" xr:uid="{00000000-0005-0000-0000-000099590000}"/>
    <cellStyle name="Normal 11 4 2 3 4" xfId="8793" xr:uid="{00000000-0005-0000-0000-00009A590000}"/>
    <cellStyle name="Normal 11 4 2 3 4 2" xfId="15582" xr:uid="{00000000-0005-0000-0000-00009B590000}"/>
    <cellStyle name="Normal 11 4 2 3 4 2 2" xfId="29150" xr:uid="{00000000-0005-0000-0000-00009C590000}"/>
    <cellStyle name="Normal 11 4 2 3 4 2 2 2" xfId="56283" xr:uid="{00000000-0005-0000-0000-00009D590000}"/>
    <cellStyle name="Normal 11 4 2 3 4 2 3" xfId="42721" xr:uid="{00000000-0005-0000-0000-00009E590000}"/>
    <cellStyle name="Normal 11 4 2 3 4 3" xfId="22369" xr:uid="{00000000-0005-0000-0000-00009F590000}"/>
    <cellStyle name="Normal 11 4 2 3 4 3 2" xfId="49502" xr:uid="{00000000-0005-0000-0000-0000A0590000}"/>
    <cellStyle name="Normal 11 4 2 3 4 4" xfId="35940" xr:uid="{00000000-0005-0000-0000-0000A1590000}"/>
    <cellStyle name="Normal 11 4 2 3 5" xfId="12193" xr:uid="{00000000-0005-0000-0000-0000A2590000}"/>
    <cellStyle name="Normal 11 4 2 3 5 2" xfId="25761" xr:uid="{00000000-0005-0000-0000-0000A3590000}"/>
    <cellStyle name="Normal 11 4 2 3 5 2 2" xfId="52894" xr:uid="{00000000-0005-0000-0000-0000A4590000}"/>
    <cellStyle name="Normal 11 4 2 3 5 3" xfId="39332" xr:uid="{00000000-0005-0000-0000-0000A5590000}"/>
    <cellStyle name="Normal 11 4 2 3 6" xfId="18980" xr:uid="{00000000-0005-0000-0000-0000A6590000}"/>
    <cellStyle name="Normal 11 4 2 3 6 2" xfId="46113" xr:uid="{00000000-0005-0000-0000-0000A7590000}"/>
    <cellStyle name="Normal 11 4 2 3 7" xfId="32551" xr:uid="{00000000-0005-0000-0000-0000A8590000}"/>
    <cellStyle name="Normal 11 4 2 4" xfId="5246" xr:uid="{00000000-0005-0000-0000-0000A9590000}"/>
    <cellStyle name="Normal 11 4 2 4 2" xfId="5247" xr:uid="{00000000-0005-0000-0000-0000AA590000}"/>
    <cellStyle name="Normal 11 4 2 4 2 2" xfId="8797" xr:uid="{00000000-0005-0000-0000-0000AB590000}"/>
    <cellStyle name="Normal 11 4 2 4 2 2 2" xfId="15586" xr:uid="{00000000-0005-0000-0000-0000AC590000}"/>
    <cellStyle name="Normal 11 4 2 4 2 2 2 2" xfId="29154" xr:uid="{00000000-0005-0000-0000-0000AD590000}"/>
    <cellStyle name="Normal 11 4 2 4 2 2 2 2 2" xfId="56287" xr:uid="{00000000-0005-0000-0000-0000AE590000}"/>
    <cellStyle name="Normal 11 4 2 4 2 2 2 3" xfId="42725" xr:uid="{00000000-0005-0000-0000-0000AF590000}"/>
    <cellStyle name="Normal 11 4 2 4 2 2 3" xfId="22373" xr:uid="{00000000-0005-0000-0000-0000B0590000}"/>
    <cellStyle name="Normal 11 4 2 4 2 2 3 2" xfId="49506" xr:uid="{00000000-0005-0000-0000-0000B1590000}"/>
    <cellStyle name="Normal 11 4 2 4 2 2 4" xfId="35944" xr:uid="{00000000-0005-0000-0000-0000B2590000}"/>
    <cellStyle name="Normal 11 4 2 4 2 3" xfId="12197" xr:uid="{00000000-0005-0000-0000-0000B3590000}"/>
    <cellStyle name="Normal 11 4 2 4 2 3 2" xfId="25765" xr:uid="{00000000-0005-0000-0000-0000B4590000}"/>
    <cellStyle name="Normal 11 4 2 4 2 3 2 2" xfId="52898" xr:uid="{00000000-0005-0000-0000-0000B5590000}"/>
    <cellStyle name="Normal 11 4 2 4 2 3 3" xfId="39336" xr:uid="{00000000-0005-0000-0000-0000B6590000}"/>
    <cellStyle name="Normal 11 4 2 4 2 4" xfId="18984" xr:uid="{00000000-0005-0000-0000-0000B7590000}"/>
    <cellStyle name="Normal 11 4 2 4 2 4 2" xfId="46117" xr:uid="{00000000-0005-0000-0000-0000B8590000}"/>
    <cellStyle name="Normal 11 4 2 4 2 5" xfId="32555" xr:uid="{00000000-0005-0000-0000-0000B9590000}"/>
    <cellStyle name="Normal 11 4 2 4 3" xfId="8796" xr:uid="{00000000-0005-0000-0000-0000BA590000}"/>
    <cellStyle name="Normal 11 4 2 4 3 2" xfId="15585" xr:uid="{00000000-0005-0000-0000-0000BB590000}"/>
    <cellStyle name="Normal 11 4 2 4 3 2 2" xfId="29153" xr:uid="{00000000-0005-0000-0000-0000BC590000}"/>
    <cellStyle name="Normal 11 4 2 4 3 2 2 2" xfId="56286" xr:uid="{00000000-0005-0000-0000-0000BD590000}"/>
    <cellStyle name="Normal 11 4 2 4 3 2 3" xfId="42724" xr:uid="{00000000-0005-0000-0000-0000BE590000}"/>
    <cellStyle name="Normal 11 4 2 4 3 3" xfId="22372" xr:uid="{00000000-0005-0000-0000-0000BF590000}"/>
    <cellStyle name="Normal 11 4 2 4 3 3 2" xfId="49505" xr:uid="{00000000-0005-0000-0000-0000C0590000}"/>
    <cellStyle name="Normal 11 4 2 4 3 4" xfId="35943" xr:uid="{00000000-0005-0000-0000-0000C1590000}"/>
    <cellStyle name="Normal 11 4 2 4 4" xfId="12196" xr:uid="{00000000-0005-0000-0000-0000C2590000}"/>
    <cellStyle name="Normal 11 4 2 4 4 2" xfId="25764" xr:uid="{00000000-0005-0000-0000-0000C3590000}"/>
    <cellStyle name="Normal 11 4 2 4 4 2 2" xfId="52897" xr:uid="{00000000-0005-0000-0000-0000C4590000}"/>
    <cellStyle name="Normal 11 4 2 4 4 3" xfId="39335" xr:uid="{00000000-0005-0000-0000-0000C5590000}"/>
    <cellStyle name="Normal 11 4 2 4 5" xfId="18983" xr:uid="{00000000-0005-0000-0000-0000C6590000}"/>
    <cellStyle name="Normal 11 4 2 4 5 2" xfId="46116" xr:uid="{00000000-0005-0000-0000-0000C7590000}"/>
    <cellStyle name="Normal 11 4 2 4 6" xfId="32554" xr:uid="{00000000-0005-0000-0000-0000C8590000}"/>
    <cellStyle name="Normal 11 4 2 5" xfId="5248" xr:uid="{00000000-0005-0000-0000-0000C9590000}"/>
    <cellStyle name="Normal 11 4 2 5 2" xfId="8798" xr:uid="{00000000-0005-0000-0000-0000CA590000}"/>
    <cellStyle name="Normal 11 4 2 5 2 2" xfId="15587" xr:uid="{00000000-0005-0000-0000-0000CB590000}"/>
    <cellStyle name="Normal 11 4 2 5 2 2 2" xfId="29155" xr:uid="{00000000-0005-0000-0000-0000CC590000}"/>
    <cellStyle name="Normal 11 4 2 5 2 2 2 2" xfId="56288" xr:uid="{00000000-0005-0000-0000-0000CD590000}"/>
    <cellStyle name="Normal 11 4 2 5 2 2 3" xfId="42726" xr:uid="{00000000-0005-0000-0000-0000CE590000}"/>
    <cellStyle name="Normal 11 4 2 5 2 3" xfId="22374" xr:uid="{00000000-0005-0000-0000-0000CF590000}"/>
    <cellStyle name="Normal 11 4 2 5 2 3 2" xfId="49507" xr:uid="{00000000-0005-0000-0000-0000D0590000}"/>
    <cellStyle name="Normal 11 4 2 5 2 4" xfId="35945" xr:uid="{00000000-0005-0000-0000-0000D1590000}"/>
    <cellStyle name="Normal 11 4 2 5 3" xfId="12198" xr:uid="{00000000-0005-0000-0000-0000D2590000}"/>
    <cellStyle name="Normal 11 4 2 5 3 2" xfId="25766" xr:uid="{00000000-0005-0000-0000-0000D3590000}"/>
    <cellStyle name="Normal 11 4 2 5 3 2 2" xfId="52899" xr:uid="{00000000-0005-0000-0000-0000D4590000}"/>
    <cellStyle name="Normal 11 4 2 5 3 3" xfId="39337" xr:uid="{00000000-0005-0000-0000-0000D5590000}"/>
    <cellStyle name="Normal 11 4 2 5 4" xfId="18985" xr:uid="{00000000-0005-0000-0000-0000D6590000}"/>
    <cellStyle name="Normal 11 4 2 5 4 2" xfId="46118" xr:uid="{00000000-0005-0000-0000-0000D7590000}"/>
    <cellStyle name="Normal 11 4 2 5 5" xfId="32556" xr:uid="{00000000-0005-0000-0000-0000D8590000}"/>
    <cellStyle name="Normal 11 4 2 6" xfId="5249" xr:uid="{00000000-0005-0000-0000-0000D9590000}"/>
    <cellStyle name="Normal 11 4 2 6 2" xfId="8799" xr:uid="{00000000-0005-0000-0000-0000DA590000}"/>
    <cellStyle name="Normal 11 4 2 6 2 2" xfId="15588" xr:uid="{00000000-0005-0000-0000-0000DB590000}"/>
    <cellStyle name="Normal 11 4 2 6 2 2 2" xfId="29156" xr:uid="{00000000-0005-0000-0000-0000DC590000}"/>
    <cellStyle name="Normal 11 4 2 6 2 2 2 2" xfId="56289" xr:uid="{00000000-0005-0000-0000-0000DD590000}"/>
    <cellStyle name="Normal 11 4 2 6 2 2 3" xfId="42727" xr:uid="{00000000-0005-0000-0000-0000DE590000}"/>
    <cellStyle name="Normal 11 4 2 6 2 3" xfId="22375" xr:uid="{00000000-0005-0000-0000-0000DF590000}"/>
    <cellStyle name="Normal 11 4 2 6 2 3 2" xfId="49508" xr:uid="{00000000-0005-0000-0000-0000E0590000}"/>
    <cellStyle name="Normal 11 4 2 6 2 4" xfId="35946" xr:uid="{00000000-0005-0000-0000-0000E1590000}"/>
    <cellStyle name="Normal 11 4 2 6 3" xfId="12199" xr:uid="{00000000-0005-0000-0000-0000E2590000}"/>
    <cellStyle name="Normal 11 4 2 6 3 2" xfId="25767" xr:uid="{00000000-0005-0000-0000-0000E3590000}"/>
    <cellStyle name="Normal 11 4 2 6 3 2 2" xfId="52900" xr:uid="{00000000-0005-0000-0000-0000E4590000}"/>
    <cellStyle name="Normal 11 4 2 6 3 3" xfId="39338" xr:uid="{00000000-0005-0000-0000-0000E5590000}"/>
    <cellStyle name="Normal 11 4 2 6 4" xfId="18986" xr:uid="{00000000-0005-0000-0000-0000E6590000}"/>
    <cellStyle name="Normal 11 4 2 6 4 2" xfId="46119" xr:uid="{00000000-0005-0000-0000-0000E7590000}"/>
    <cellStyle name="Normal 11 4 2 6 5" xfId="32557" xr:uid="{00000000-0005-0000-0000-0000E8590000}"/>
    <cellStyle name="Normal 11 4 2 7" xfId="8784" xr:uid="{00000000-0005-0000-0000-0000E9590000}"/>
    <cellStyle name="Normal 11 4 2 7 2" xfId="15573" xr:uid="{00000000-0005-0000-0000-0000EA590000}"/>
    <cellStyle name="Normal 11 4 2 7 2 2" xfId="29141" xr:uid="{00000000-0005-0000-0000-0000EB590000}"/>
    <cellStyle name="Normal 11 4 2 7 2 2 2" xfId="56274" xr:uid="{00000000-0005-0000-0000-0000EC590000}"/>
    <cellStyle name="Normal 11 4 2 7 2 3" xfId="42712" xr:uid="{00000000-0005-0000-0000-0000ED590000}"/>
    <cellStyle name="Normal 11 4 2 7 3" xfId="22360" xr:uid="{00000000-0005-0000-0000-0000EE590000}"/>
    <cellStyle name="Normal 11 4 2 7 3 2" xfId="49493" xr:uid="{00000000-0005-0000-0000-0000EF590000}"/>
    <cellStyle name="Normal 11 4 2 7 4" xfId="35931" xr:uid="{00000000-0005-0000-0000-0000F0590000}"/>
    <cellStyle name="Normal 11 4 2 8" xfId="12184" xr:uid="{00000000-0005-0000-0000-0000F1590000}"/>
    <cellStyle name="Normal 11 4 2 8 2" xfId="25752" xr:uid="{00000000-0005-0000-0000-0000F2590000}"/>
    <cellStyle name="Normal 11 4 2 8 2 2" xfId="52885" xr:uid="{00000000-0005-0000-0000-0000F3590000}"/>
    <cellStyle name="Normal 11 4 2 8 3" xfId="39323" xr:uid="{00000000-0005-0000-0000-0000F4590000}"/>
    <cellStyle name="Normal 11 4 2 9" xfId="18971" xr:uid="{00000000-0005-0000-0000-0000F5590000}"/>
    <cellStyle name="Normal 11 4 2 9 2" xfId="46104" xr:uid="{00000000-0005-0000-0000-0000F6590000}"/>
    <cellStyle name="Normal 11 4 3" xfId="5250" xr:uid="{00000000-0005-0000-0000-0000F7590000}"/>
    <cellStyle name="Normal 11 4 3 2" xfId="5251" xr:uid="{00000000-0005-0000-0000-0000F8590000}"/>
    <cellStyle name="Normal 11 4 3 2 2" xfId="5252" xr:uid="{00000000-0005-0000-0000-0000F9590000}"/>
    <cellStyle name="Normal 11 4 3 2 2 2" xfId="8802" xr:uid="{00000000-0005-0000-0000-0000FA590000}"/>
    <cellStyle name="Normal 11 4 3 2 2 2 2" xfId="15591" xr:uid="{00000000-0005-0000-0000-0000FB590000}"/>
    <cellStyle name="Normal 11 4 3 2 2 2 2 2" xfId="29159" xr:uid="{00000000-0005-0000-0000-0000FC590000}"/>
    <cellStyle name="Normal 11 4 3 2 2 2 2 2 2" xfId="56292" xr:uid="{00000000-0005-0000-0000-0000FD590000}"/>
    <cellStyle name="Normal 11 4 3 2 2 2 2 3" xfId="42730" xr:uid="{00000000-0005-0000-0000-0000FE590000}"/>
    <cellStyle name="Normal 11 4 3 2 2 2 3" xfId="22378" xr:uid="{00000000-0005-0000-0000-0000FF590000}"/>
    <cellStyle name="Normal 11 4 3 2 2 2 3 2" xfId="49511" xr:uid="{00000000-0005-0000-0000-0000005A0000}"/>
    <cellStyle name="Normal 11 4 3 2 2 2 4" xfId="35949" xr:uid="{00000000-0005-0000-0000-0000015A0000}"/>
    <cellStyle name="Normal 11 4 3 2 2 3" xfId="12202" xr:uid="{00000000-0005-0000-0000-0000025A0000}"/>
    <cellStyle name="Normal 11 4 3 2 2 3 2" xfId="25770" xr:uid="{00000000-0005-0000-0000-0000035A0000}"/>
    <cellStyle name="Normal 11 4 3 2 2 3 2 2" xfId="52903" xr:uid="{00000000-0005-0000-0000-0000045A0000}"/>
    <cellStyle name="Normal 11 4 3 2 2 3 3" xfId="39341" xr:uid="{00000000-0005-0000-0000-0000055A0000}"/>
    <cellStyle name="Normal 11 4 3 2 2 4" xfId="18989" xr:uid="{00000000-0005-0000-0000-0000065A0000}"/>
    <cellStyle name="Normal 11 4 3 2 2 4 2" xfId="46122" xr:uid="{00000000-0005-0000-0000-0000075A0000}"/>
    <cellStyle name="Normal 11 4 3 2 2 5" xfId="32560" xr:uid="{00000000-0005-0000-0000-0000085A0000}"/>
    <cellStyle name="Normal 11 4 3 2 3" xfId="5253" xr:uid="{00000000-0005-0000-0000-0000095A0000}"/>
    <cellStyle name="Normal 11 4 3 2 3 2" xfId="8803" xr:uid="{00000000-0005-0000-0000-00000A5A0000}"/>
    <cellStyle name="Normal 11 4 3 2 3 2 2" xfId="15592" xr:uid="{00000000-0005-0000-0000-00000B5A0000}"/>
    <cellStyle name="Normal 11 4 3 2 3 2 2 2" xfId="29160" xr:uid="{00000000-0005-0000-0000-00000C5A0000}"/>
    <cellStyle name="Normal 11 4 3 2 3 2 2 2 2" xfId="56293" xr:uid="{00000000-0005-0000-0000-00000D5A0000}"/>
    <cellStyle name="Normal 11 4 3 2 3 2 2 3" xfId="42731" xr:uid="{00000000-0005-0000-0000-00000E5A0000}"/>
    <cellStyle name="Normal 11 4 3 2 3 2 3" xfId="22379" xr:uid="{00000000-0005-0000-0000-00000F5A0000}"/>
    <cellStyle name="Normal 11 4 3 2 3 2 3 2" xfId="49512" xr:uid="{00000000-0005-0000-0000-0000105A0000}"/>
    <cellStyle name="Normal 11 4 3 2 3 2 4" xfId="35950" xr:uid="{00000000-0005-0000-0000-0000115A0000}"/>
    <cellStyle name="Normal 11 4 3 2 3 3" xfId="12203" xr:uid="{00000000-0005-0000-0000-0000125A0000}"/>
    <cellStyle name="Normal 11 4 3 2 3 3 2" xfId="25771" xr:uid="{00000000-0005-0000-0000-0000135A0000}"/>
    <cellStyle name="Normal 11 4 3 2 3 3 2 2" xfId="52904" xr:uid="{00000000-0005-0000-0000-0000145A0000}"/>
    <cellStyle name="Normal 11 4 3 2 3 3 3" xfId="39342" xr:uid="{00000000-0005-0000-0000-0000155A0000}"/>
    <cellStyle name="Normal 11 4 3 2 3 4" xfId="18990" xr:uid="{00000000-0005-0000-0000-0000165A0000}"/>
    <cellStyle name="Normal 11 4 3 2 3 4 2" xfId="46123" xr:uid="{00000000-0005-0000-0000-0000175A0000}"/>
    <cellStyle name="Normal 11 4 3 2 3 5" xfId="32561" xr:uid="{00000000-0005-0000-0000-0000185A0000}"/>
    <cellStyle name="Normal 11 4 3 2 4" xfId="8801" xr:uid="{00000000-0005-0000-0000-0000195A0000}"/>
    <cellStyle name="Normal 11 4 3 2 4 2" xfId="15590" xr:uid="{00000000-0005-0000-0000-00001A5A0000}"/>
    <cellStyle name="Normal 11 4 3 2 4 2 2" xfId="29158" xr:uid="{00000000-0005-0000-0000-00001B5A0000}"/>
    <cellStyle name="Normal 11 4 3 2 4 2 2 2" xfId="56291" xr:uid="{00000000-0005-0000-0000-00001C5A0000}"/>
    <cellStyle name="Normal 11 4 3 2 4 2 3" xfId="42729" xr:uid="{00000000-0005-0000-0000-00001D5A0000}"/>
    <cellStyle name="Normal 11 4 3 2 4 3" xfId="22377" xr:uid="{00000000-0005-0000-0000-00001E5A0000}"/>
    <cellStyle name="Normal 11 4 3 2 4 3 2" xfId="49510" xr:uid="{00000000-0005-0000-0000-00001F5A0000}"/>
    <cellStyle name="Normal 11 4 3 2 4 4" xfId="35948" xr:uid="{00000000-0005-0000-0000-0000205A0000}"/>
    <cellStyle name="Normal 11 4 3 2 5" xfId="12201" xr:uid="{00000000-0005-0000-0000-0000215A0000}"/>
    <cellStyle name="Normal 11 4 3 2 5 2" xfId="25769" xr:uid="{00000000-0005-0000-0000-0000225A0000}"/>
    <cellStyle name="Normal 11 4 3 2 5 2 2" xfId="52902" xr:uid="{00000000-0005-0000-0000-0000235A0000}"/>
    <cellStyle name="Normal 11 4 3 2 5 3" xfId="39340" xr:uid="{00000000-0005-0000-0000-0000245A0000}"/>
    <cellStyle name="Normal 11 4 3 2 6" xfId="18988" xr:uid="{00000000-0005-0000-0000-0000255A0000}"/>
    <cellStyle name="Normal 11 4 3 2 6 2" xfId="46121" xr:uid="{00000000-0005-0000-0000-0000265A0000}"/>
    <cellStyle name="Normal 11 4 3 2 7" xfId="32559" xr:uid="{00000000-0005-0000-0000-0000275A0000}"/>
    <cellStyle name="Normal 11 4 3 3" xfId="5254" xr:uid="{00000000-0005-0000-0000-0000285A0000}"/>
    <cellStyle name="Normal 11 4 3 3 2" xfId="5255" xr:uid="{00000000-0005-0000-0000-0000295A0000}"/>
    <cellStyle name="Normal 11 4 3 3 2 2" xfId="8805" xr:uid="{00000000-0005-0000-0000-00002A5A0000}"/>
    <cellStyle name="Normal 11 4 3 3 2 2 2" xfId="15594" xr:uid="{00000000-0005-0000-0000-00002B5A0000}"/>
    <cellStyle name="Normal 11 4 3 3 2 2 2 2" xfId="29162" xr:uid="{00000000-0005-0000-0000-00002C5A0000}"/>
    <cellStyle name="Normal 11 4 3 3 2 2 2 2 2" xfId="56295" xr:uid="{00000000-0005-0000-0000-00002D5A0000}"/>
    <cellStyle name="Normal 11 4 3 3 2 2 2 3" xfId="42733" xr:uid="{00000000-0005-0000-0000-00002E5A0000}"/>
    <cellStyle name="Normal 11 4 3 3 2 2 3" xfId="22381" xr:uid="{00000000-0005-0000-0000-00002F5A0000}"/>
    <cellStyle name="Normal 11 4 3 3 2 2 3 2" xfId="49514" xr:uid="{00000000-0005-0000-0000-0000305A0000}"/>
    <cellStyle name="Normal 11 4 3 3 2 2 4" xfId="35952" xr:uid="{00000000-0005-0000-0000-0000315A0000}"/>
    <cellStyle name="Normal 11 4 3 3 2 3" xfId="12205" xr:uid="{00000000-0005-0000-0000-0000325A0000}"/>
    <cellStyle name="Normal 11 4 3 3 2 3 2" xfId="25773" xr:uid="{00000000-0005-0000-0000-0000335A0000}"/>
    <cellStyle name="Normal 11 4 3 3 2 3 2 2" xfId="52906" xr:uid="{00000000-0005-0000-0000-0000345A0000}"/>
    <cellStyle name="Normal 11 4 3 3 2 3 3" xfId="39344" xr:uid="{00000000-0005-0000-0000-0000355A0000}"/>
    <cellStyle name="Normal 11 4 3 3 2 4" xfId="18992" xr:uid="{00000000-0005-0000-0000-0000365A0000}"/>
    <cellStyle name="Normal 11 4 3 3 2 4 2" xfId="46125" xr:uid="{00000000-0005-0000-0000-0000375A0000}"/>
    <cellStyle name="Normal 11 4 3 3 2 5" xfId="32563" xr:uid="{00000000-0005-0000-0000-0000385A0000}"/>
    <cellStyle name="Normal 11 4 3 3 3" xfId="8804" xr:uid="{00000000-0005-0000-0000-0000395A0000}"/>
    <cellStyle name="Normal 11 4 3 3 3 2" xfId="15593" xr:uid="{00000000-0005-0000-0000-00003A5A0000}"/>
    <cellStyle name="Normal 11 4 3 3 3 2 2" xfId="29161" xr:uid="{00000000-0005-0000-0000-00003B5A0000}"/>
    <cellStyle name="Normal 11 4 3 3 3 2 2 2" xfId="56294" xr:uid="{00000000-0005-0000-0000-00003C5A0000}"/>
    <cellStyle name="Normal 11 4 3 3 3 2 3" xfId="42732" xr:uid="{00000000-0005-0000-0000-00003D5A0000}"/>
    <cellStyle name="Normal 11 4 3 3 3 3" xfId="22380" xr:uid="{00000000-0005-0000-0000-00003E5A0000}"/>
    <cellStyle name="Normal 11 4 3 3 3 3 2" xfId="49513" xr:uid="{00000000-0005-0000-0000-00003F5A0000}"/>
    <cellStyle name="Normal 11 4 3 3 3 4" xfId="35951" xr:uid="{00000000-0005-0000-0000-0000405A0000}"/>
    <cellStyle name="Normal 11 4 3 3 4" xfId="12204" xr:uid="{00000000-0005-0000-0000-0000415A0000}"/>
    <cellStyle name="Normal 11 4 3 3 4 2" xfId="25772" xr:uid="{00000000-0005-0000-0000-0000425A0000}"/>
    <cellStyle name="Normal 11 4 3 3 4 2 2" xfId="52905" xr:uid="{00000000-0005-0000-0000-0000435A0000}"/>
    <cellStyle name="Normal 11 4 3 3 4 3" xfId="39343" xr:uid="{00000000-0005-0000-0000-0000445A0000}"/>
    <cellStyle name="Normal 11 4 3 3 5" xfId="18991" xr:uid="{00000000-0005-0000-0000-0000455A0000}"/>
    <cellStyle name="Normal 11 4 3 3 5 2" xfId="46124" xr:uid="{00000000-0005-0000-0000-0000465A0000}"/>
    <cellStyle name="Normal 11 4 3 3 6" xfId="32562" xr:uid="{00000000-0005-0000-0000-0000475A0000}"/>
    <cellStyle name="Normal 11 4 3 4" xfId="5256" xr:uid="{00000000-0005-0000-0000-0000485A0000}"/>
    <cellStyle name="Normal 11 4 3 4 2" xfId="8806" xr:uid="{00000000-0005-0000-0000-0000495A0000}"/>
    <cellStyle name="Normal 11 4 3 4 2 2" xfId="15595" xr:uid="{00000000-0005-0000-0000-00004A5A0000}"/>
    <cellStyle name="Normal 11 4 3 4 2 2 2" xfId="29163" xr:uid="{00000000-0005-0000-0000-00004B5A0000}"/>
    <cellStyle name="Normal 11 4 3 4 2 2 2 2" xfId="56296" xr:uid="{00000000-0005-0000-0000-00004C5A0000}"/>
    <cellStyle name="Normal 11 4 3 4 2 2 3" xfId="42734" xr:uid="{00000000-0005-0000-0000-00004D5A0000}"/>
    <cellStyle name="Normal 11 4 3 4 2 3" xfId="22382" xr:uid="{00000000-0005-0000-0000-00004E5A0000}"/>
    <cellStyle name="Normal 11 4 3 4 2 3 2" xfId="49515" xr:uid="{00000000-0005-0000-0000-00004F5A0000}"/>
    <cellStyle name="Normal 11 4 3 4 2 4" xfId="35953" xr:uid="{00000000-0005-0000-0000-0000505A0000}"/>
    <cellStyle name="Normal 11 4 3 4 3" xfId="12206" xr:uid="{00000000-0005-0000-0000-0000515A0000}"/>
    <cellStyle name="Normal 11 4 3 4 3 2" xfId="25774" xr:uid="{00000000-0005-0000-0000-0000525A0000}"/>
    <cellStyle name="Normal 11 4 3 4 3 2 2" xfId="52907" xr:uid="{00000000-0005-0000-0000-0000535A0000}"/>
    <cellStyle name="Normal 11 4 3 4 3 3" xfId="39345" xr:uid="{00000000-0005-0000-0000-0000545A0000}"/>
    <cellStyle name="Normal 11 4 3 4 4" xfId="18993" xr:uid="{00000000-0005-0000-0000-0000555A0000}"/>
    <cellStyle name="Normal 11 4 3 4 4 2" xfId="46126" xr:uid="{00000000-0005-0000-0000-0000565A0000}"/>
    <cellStyle name="Normal 11 4 3 4 5" xfId="32564" xr:uid="{00000000-0005-0000-0000-0000575A0000}"/>
    <cellStyle name="Normal 11 4 3 5" xfId="5257" xr:uid="{00000000-0005-0000-0000-0000585A0000}"/>
    <cellStyle name="Normal 11 4 3 5 2" xfId="8807" xr:uid="{00000000-0005-0000-0000-0000595A0000}"/>
    <cellStyle name="Normal 11 4 3 5 2 2" xfId="15596" xr:uid="{00000000-0005-0000-0000-00005A5A0000}"/>
    <cellStyle name="Normal 11 4 3 5 2 2 2" xfId="29164" xr:uid="{00000000-0005-0000-0000-00005B5A0000}"/>
    <cellStyle name="Normal 11 4 3 5 2 2 2 2" xfId="56297" xr:uid="{00000000-0005-0000-0000-00005C5A0000}"/>
    <cellStyle name="Normal 11 4 3 5 2 2 3" xfId="42735" xr:uid="{00000000-0005-0000-0000-00005D5A0000}"/>
    <cellStyle name="Normal 11 4 3 5 2 3" xfId="22383" xr:uid="{00000000-0005-0000-0000-00005E5A0000}"/>
    <cellStyle name="Normal 11 4 3 5 2 3 2" xfId="49516" xr:uid="{00000000-0005-0000-0000-00005F5A0000}"/>
    <cellStyle name="Normal 11 4 3 5 2 4" xfId="35954" xr:uid="{00000000-0005-0000-0000-0000605A0000}"/>
    <cellStyle name="Normal 11 4 3 5 3" xfId="12207" xr:uid="{00000000-0005-0000-0000-0000615A0000}"/>
    <cellStyle name="Normal 11 4 3 5 3 2" xfId="25775" xr:uid="{00000000-0005-0000-0000-0000625A0000}"/>
    <cellStyle name="Normal 11 4 3 5 3 2 2" xfId="52908" xr:uid="{00000000-0005-0000-0000-0000635A0000}"/>
    <cellStyle name="Normal 11 4 3 5 3 3" xfId="39346" xr:uid="{00000000-0005-0000-0000-0000645A0000}"/>
    <cellStyle name="Normal 11 4 3 5 4" xfId="18994" xr:uid="{00000000-0005-0000-0000-0000655A0000}"/>
    <cellStyle name="Normal 11 4 3 5 4 2" xfId="46127" xr:uid="{00000000-0005-0000-0000-0000665A0000}"/>
    <cellStyle name="Normal 11 4 3 5 5" xfId="32565" xr:uid="{00000000-0005-0000-0000-0000675A0000}"/>
    <cellStyle name="Normal 11 4 3 6" xfId="8800" xr:uid="{00000000-0005-0000-0000-0000685A0000}"/>
    <cellStyle name="Normal 11 4 3 6 2" xfId="15589" xr:uid="{00000000-0005-0000-0000-0000695A0000}"/>
    <cellStyle name="Normal 11 4 3 6 2 2" xfId="29157" xr:uid="{00000000-0005-0000-0000-00006A5A0000}"/>
    <cellStyle name="Normal 11 4 3 6 2 2 2" xfId="56290" xr:uid="{00000000-0005-0000-0000-00006B5A0000}"/>
    <cellStyle name="Normal 11 4 3 6 2 3" xfId="42728" xr:uid="{00000000-0005-0000-0000-00006C5A0000}"/>
    <cellStyle name="Normal 11 4 3 6 3" xfId="22376" xr:uid="{00000000-0005-0000-0000-00006D5A0000}"/>
    <cellStyle name="Normal 11 4 3 6 3 2" xfId="49509" xr:uid="{00000000-0005-0000-0000-00006E5A0000}"/>
    <cellStyle name="Normal 11 4 3 6 4" xfId="35947" xr:uid="{00000000-0005-0000-0000-00006F5A0000}"/>
    <cellStyle name="Normal 11 4 3 7" xfId="12200" xr:uid="{00000000-0005-0000-0000-0000705A0000}"/>
    <cellStyle name="Normal 11 4 3 7 2" xfId="25768" xr:uid="{00000000-0005-0000-0000-0000715A0000}"/>
    <cellStyle name="Normal 11 4 3 7 2 2" xfId="52901" xr:uid="{00000000-0005-0000-0000-0000725A0000}"/>
    <cellStyle name="Normal 11 4 3 7 3" xfId="39339" xr:uid="{00000000-0005-0000-0000-0000735A0000}"/>
    <cellStyle name="Normal 11 4 3 8" xfId="18987" xr:uid="{00000000-0005-0000-0000-0000745A0000}"/>
    <cellStyle name="Normal 11 4 3 8 2" xfId="46120" xr:uid="{00000000-0005-0000-0000-0000755A0000}"/>
    <cellStyle name="Normal 11 4 3 9" xfId="32558" xr:uid="{00000000-0005-0000-0000-0000765A0000}"/>
    <cellStyle name="Normal 11 4 4" xfId="5258" xr:uid="{00000000-0005-0000-0000-0000775A0000}"/>
    <cellStyle name="Normal 11 4 4 2" xfId="5259" xr:uid="{00000000-0005-0000-0000-0000785A0000}"/>
    <cellStyle name="Normal 11 4 4 2 2" xfId="5260" xr:uid="{00000000-0005-0000-0000-0000795A0000}"/>
    <cellStyle name="Normal 11 4 4 2 2 2" xfId="8810" xr:uid="{00000000-0005-0000-0000-00007A5A0000}"/>
    <cellStyle name="Normal 11 4 4 2 2 2 2" xfId="15599" xr:uid="{00000000-0005-0000-0000-00007B5A0000}"/>
    <cellStyle name="Normal 11 4 4 2 2 2 2 2" xfId="29167" xr:uid="{00000000-0005-0000-0000-00007C5A0000}"/>
    <cellStyle name="Normal 11 4 4 2 2 2 2 2 2" xfId="56300" xr:uid="{00000000-0005-0000-0000-00007D5A0000}"/>
    <cellStyle name="Normal 11 4 4 2 2 2 2 3" xfId="42738" xr:uid="{00000000-0005-0000-0000-00007E5A0000}"/>
    <cellStyle name="Normal 11 4 4 2 2 2 3" xfId="22386" xr:uid="{00000000-0005-0000-0000-00007F5A0000}"/>
    <cellStyle name="Normal 11 4 4 2 2 2 3 2" xfId="49519" xr:uid="{00000000-0005-0000-0000-0000805A0000}"/>
    <cellStyle name="Normal 11 4 4 2 2 2 4" xfId="35957" xr:uid="{00000000-0005-0000-0000-0000815A0000}"/>
    <cellStyle name="Normal 11 4 4 2 2 3" xfId="12210" xr:uid="{00000000-0005-0000-0000-0000825A0000}"/>
    <cellStyle name="Normal 11 4 4 2 2 3 2" xfId="25778" xr:uid="{00000000-0005-0000-0000-0000835A0000}"/>
    <cellStyle name="Normal 11 4 4 2 2 3 2 2" xfId="52911" xr:uid="{00000000-0005-0000-0000-0000845A0000}"/>
    <cellStyle name="Normal 11 4 4 2 2 3 3" xfId="39349" xr:uid="{00000000-0005-0000-0000-0000855A0000}"/>
    <cellStyle name="Normal 11 4 4 2 2 4" xfId="18997" xr:uid="{00000000-0005-0000-0000-0000865A0000}"/>
    <cellStyle name="Normal 11 4 4 2 2 4 2" xfId="46130" xr:uid="{00000000-0005-0000-0000-0000875A0000}"/>
    <cellStyle name="Normal 11 4 4 2 2 5" xfId="32568" xr:uid="{00000000-0005-0000-0000-0000885A0000}"/>
    <cellStyle name="Normal 11 4 4 2 3" xfId="5261" xr:uid="{00000000-0005-0000-0000-0000895A0000}"/>
    <cellStyle name="Normal 11 4 4 2 3 2" xfId="8811" xr:uid="{00000000-0005-0000-0000-00008A5A0000}"/>
    <cellStyle name="Normal 11 4 4 2 3 2 2" xfId="15600" xr:uid="{00000000-0005-0000-0000-00008B5A0000}"/>
    <cellStyle name="Normal 11 4 4 2 3 2 2 2" xfId="29168" xr:uid="{00000000-0005-0000-0000-00008C5A0000}"/>
    <cellStyle name="Normal 11 4 4 2 3 2 2 2 2" xfId="56301" xr:uid="{00000000-0005-0000-0000-00008D5A0000}"/>
    <cellStyle name="Normal 11 4 4 2 3 2 2 3" xfId="42739" xr:uid="{00000000-0005-0000-0000-00008E5A0000}"/>
    <cellStyle name="Normal 11 4 4 2 3 2 3" xfId="22387" xr:uid="{00000000-0005-0000-0000-00008F5A0000}"/>
    <cellStyle name="Normal 11 4 4 2 3 2 3 2" xfId="49520" xr:uid="{00000000-0005-0000-0000-0000905A0000}"/>
    <cellStyle name="Normal 11 4 4 2 3 2 4" xfId="35958" xr:uid="{00000000-0005-0000-0000-0000915A0000}"/>
    <cellStyle name="Normal 11 4 4 2 3 3" xfId="12211" xr:uid="{00000000-0005-0000-0000-0000925A0000}"/>
    <cellStyle name="Normal 11 4 4 2 3 3 2" xfId="25779" xr:uid="{00000000-0005-0000-0000-0000935A0000}"/>
    <cellStyle name="Normal 11 4 4 2 3 3 2 2" xfId="52912" xr:uid="{00000000-0005-0000-0000-0000945A0000}"/>
    <cellStyle name="Normal 11 4 4 2 3 3 3" xfId="39350" xr:uid="{00000000-0005-0000-0000-0000955A0000}"/>
    <cellStyle name="Normal 11 4 4 2 3 4" xfId="18998" xr:uid="{00000000-0005-0000-0000-0000965A0000}"/>
    <cellStyle name="Normal 11 4 4 2 3 4 2" xfId="46131" xr:uid="{00000000-0005-0000-0000-0000975A0000}"/>
    <cellStyle name="Normal 11 4 4 2 3 5" xfId="32569" xr:uid="{00000000-0005-0000-0000-0000985A0000}"/>
    <cellStyle name="Normal 11 4 4 2 4" xfId="8809" xr:uid="{00000000-0005-0000-0000-0000995A0000}"/>
    <cellStyle name="Normal 11 4 4 2 4 2" xfId="15598" xr:uid="{00000000-0005-0000-0000-00009A5A0000}"/>
    <cellStyle name="Normal 11 4 4 2 4 2 2" xfId="29166" xr:uid="{00000000-0005-0000-0000-00009B5A0000}"/>
    <cellStyle name="Normal 11 4 4 2 4 2 2 2" xfId="56299" xr:uid="{00000000-0005-0000-0000-00009C5A0000}"/>
    <cellStyle name="Normal 11 4 4 2 4 2 3" xfId="42737" xr:uid="{00000000-0005-0000-0000-00009D5A0000}"/>
    <cellStyle name="Normal 11 4 4 2 4 3" xfId="22385" xr:uid="{00000000-0005-0000-0000-00009E5A0000}"/>
    <cellStyle name="Normal 11 4 4 2 4 3 2" xfId="49518" xr:uid="{00000000-0005-0000-0000-00009F5A0000}"/>
    <cellStyle name="Normal 11 4 4 2 4 4" xfId="35956" xr:uid="{00000000-0005-0000-0000-0000A05A0000}"/>
    <cellStyle name="Normal 11 4 4 2 5" xfId="12209" xr:uid="{00000000-0005-0000-0000-0000A15A0000}"/>
    <cellStyle name="Normal 11 4 4 2 5 2" xfId="25777" xr:uid="{00000000-0005-0000-0000-0000A25A0000}"/>
    <cellStyle name="Normal 11 4 4 2 5 2 2" xfId="52910" xr:uid="{00000000-0005-0000-0000-0000A35A0000}"/>
    <cellStyle name="Normal 11 4 4 2 5 3" xfId="39348" xr:uid="{00000000-0005-0000-0000-0000A45A0000}"/>
    <cellStyle name="Normal 11 4 4 2 6" xfId="18996" xr:uid="{00000000-0005-0000-0000-0000A55A0000}"/>
    <cellStyle name="Normal 11 4 4 2 6 2" xfId="46129" xr:uid="{00000000-0005-0000-0000-0000A65A0000}"/>
    <cellStyle name="Normal 11 4 4 2 7" xfId="32567" xr:uid="{00000000-0005-0000-0000-0000A75A0000}"/>
    <cellStyle name="Normal 11 4 4 3" xfId="5262" xr:uid="{00000000-0005-0000-0000-0000A85A0000}"/>
    <cellStyle name="Normal 11 4 4 3 2" xfId="8812" xr:uid="{00000000-0005-0000-0000-0000A95A0000}"/>
    <cellStyle name="Normal 11 4 4 3 2 2" xfId="15601" xr:uid="{00000000-0005-0000-0000-0000AA5A0000}"/>
    <cellStyle name="Normal 11 4 4 3 2 2 2" xfId="29169" xr:uid="{00000000-0005-0000-0000-0000AB5A0000}"/>
    <cellStyle name="Normal 11 4 4 3 2 2 2 2" xfId="56302" xr:uid="{00000000-0005-0000-0000-0000AC5A0000}"/>
    <cellStyle name="Normal 11 4 4 3 2 2 3" xfId="42740" xr:uid="{00000000-0005-0000-0000-0000AD5A0000}"/>
    <cellStyle name="Normal 11 4 4 3 2 3" xfId="22388" xr:uid="{00000000-0005-0000-0000-0000AE5A0000}"/>
    <cellStyle name="Normal 11 4 4 3 2 3 2" xfId="49521" xr:uid="{00000000-0005-0000-0000-0000AF5A0000}"/>
    <cellStyle name="Normal 11 4 4 3 2 4" xfId="35959" xr:uid="{00000000-0005-0000-0000-0000B05A0000}"/>
    <cellStyle name="Normal 11 4 4 3 3" xfId="12212" xr:uid="{00000000-0005-0000-0000-0000B15A0000}"/>
    <cellStyle name="Normal 11 4 4 3 3 2" xfId="25780" xr:uid="{00000000-0005-0000-0000-0000B25A0000}"/>
    <cellStyle name="Normal 11 4 4 3 3 2 2" xfId="52913" xr:uid="{00000000-0005-0000-0000-0000B35A0000}"/>
    <cellStyle name="Normal 11 4 4 3 3 3" xfId="39351" xr:uid="{00000000-0005-0000-0000-0000B45A0000}"/>
    <cellStyle name="Normal 11 4 4 3 4" xfId="18999" xr:uid="{00000000-0005-0000-0000-0000B55A0000}"/>
    <cellStyle name="Normal 11 4 4 3 4 2" xfId="46132" xr:uid="{00000000-0005-0000-0000-0000B65A0000}"/>
    <cellStyle name="Normal 11 4 4 3 5" xfId="32570" xr:uid="{00000000-0005-0000-0000-0000B75A0000}"/>
    <cellStyle name="Normal 11 4 4 4" xfId="5263" xr:uid="{00000000-0005-0000-0000-0000B85A0000}"/>
    <cellStyle name="Normal 11 4 4 4 2" xfId="8813" xr:uid="{00000000-0005-0000-0000-0000B95A0000}"/>
    <cellStyle name="Normal 11 4 4 4 2 2" xfId="15602" xr:uid="{00000000-0005-0000-0000-0000BA5A0000}"/>
    <cellStyle name="Normal 11 4 4 4 2 2 2" xfId="29170" xr:uid="{00000000-0005-0000-0000-0000BB5A0000}"/>
    <cellStyle name="Normal 11 4 4 4 2 2 2 2" xfId="56303" xr:uid="{00000000-0005-0000-0000-0000BC5A0000}"/>
    <cellStyle name="Normal 11 4 4 4 2 2 3" xfId="42741" xr:uid="{00000000-0005-0000-0000-0000BD5A0000}"/>
    <cellStyle name="Normal 11 4 4 4 2 3" xfId="22389" xr:uid="{00000000-0005-0000-0000-0000BE5A0000}"/>
    <cellStyle name="Normal 11 4 4 4 2 3 2" xfId="49522" xr:uid="{00000000-0005-0000-0000-0000BF5A0000}"/>
    <cellStyle name="Normal 11 4 4 4 2 4" xfId="35960" xr:uid="{00000000-0005-0000-0000-0000C05A0000}"/>
    <cellStyle name="Normal 11 4 4 4 3" xfId="12213" xr:uid="{00000000-0005-0000-0000-0000C15A0000}"/>
    <cellStyle name="Normal 11 4 4 4 3 2" xfId="25781" xr:uid="{00000000-0005-0000-0000-0000C25A0000}"/>
    <cellStyle name="Normal 11 4 4 4 3 2 2" xfId="52914" xr:uid="{00000000-0005-0000-0000-0000C35A0000}"/>
    <cellStyle name="Normal 11 4 4 4 3 3" xfId="39352" xr:uid="{00000000-0005-0000-0000-0000C45A0000}"/>
    <cellStyle name="Normal 11 4 4 4 4" xfId="19000" xr:uid="{00000000-0005-0000-0000-0000C55A0000}"/>
    <cellStyle name="Normal 11 4 4 4 4 2" xfId="46133" xr:uid="{00000000-0005-0000-0000-0000C65A0000}"/>
    <cellStyle name="Normal 11 4 4 4 5" xfId="32571" xr:uid="{00000000-0005-0000-0000-0000C75A0000}"/>
    <cellStyle name="Normal 11 4 4 5" xfId="8808" xr:uid="{00000000-0005-0000-0000-0000C85A0000}"/>
    <cellStyle name="Normal 11 4 4 5 2" xfId="15597" xr:uid="{00000000-0005-0000-0000-0000C95A0000}"/>
    <cellStyle name="Normal 11 4 4 5 2 2" xfId="29165" xr:uid="{00000000-0005-0000-0000-0000CA5A0000}"/>
    <cellStyle name="Normal 11 4 4 5 2 2 2" xfId="56298" xr:uid="{00000000-0005-0000-0000-0000CB5A0000}"/>
    <cellStyle name="Normal 11 4 4 5 2 3" xfId="42736" xr:uid="{00000000-0005-0000-0000-0000CC5A0000}"/>
    <cellStyle name="Normal 11 4 4 5 3" xfId="22384" xr:uid="{00000000-0005-0000-0000-0000CD5A0000}"/>
    <cellStyle name="Normal 11 4 4 5 3 2" xfId="49517" xr:uid="{00000000-0005-0000-0000-0000CE5A0000}"/>
    <cellStyle name="Normal 11 4 4 5 4" xfId="35955" xr:uid="{00000000-0005-0000-0000-0000CF5A0000}"/>
    <cellStyle name="Normal 11 4 4 6" xfId="12208" xr:uid="{00000000-0005-0000-0000-0000D05A0000}"/>
    <cellStyle name="Normal 11 4 4 6 2" xfId="25776" xr:uid="{00000000-0005-0000-0000-0000D15A0000}"/>
    <cellStyle name="Normal 11 4 4 6 2 2" xfId="52909" xr:uid="{00000000-0005-0000-0000-0000D25A0000}"/>
    <cellStyle name="Normal 11 4 4 6 3" xfId="39347" xr:uid="{00000000-0005-0000-0000-0000D35A0000}"/>
    <cellStyle name="Normal 11 4 4 7" xfId="18995" xr:uid="{00000000-0005-0000-0000-0000D45A0000}"/>
    <cellStyle name="Normal 11 4 4 7 2" xfId="46128" xr:uid="{00000000-0005-0000-0000-0000D55A0000}"/>
    <cellStyle name="Normal 11 4 4 8" xfId="32566" xr:uid="{00000000-0005-0000-0000-0000D65A0000}"/>
    <cellStyle name="Normal 11 4 5" xfId="5264" xr:uid="{00000000-0005-0000-0000-0000D75A0000}"/>
    <cellStyle name="Normal 11 4 5 2" xfId="5265" xr:uid="{00000000-0005-0000-0000-0000D85A0000}"/>
    <cellStyle name="Normal 11 4 5 2 2" xfId="5266" xr:uid="{00000000-0005-0000-0000-0000D95A0000}"/>
    <cellStyle name="Normal 11 4 5 2 2 2" xfId="8816" xr:uid="{00000000-0005-0000-0000-0000DA5A0000}"/>
    <cellStyle name="Normal 11 4 5 2 2 2 2" xfId="15605" xr:uid="{00000000-0005-0000-0000-0000DB5A0000}"/>
    <cellStyle name="Normal 11 4 5 2 2 2 2 2" xfId="29173" xr:uid="{00000000-0005-0000-0000-0000DC5A0000}"/>
    <cellStyle name="Normal 11 4 5 2 2 2 2 2 2" xfId="56306" xr:uid="{00000000-0005-0000-0000-0000DD5A0000}"/>
    <cellStyle name="Normal 11 4 5 2 2 2 2 3" xfId="42744" xr:uid="{00000000-0005-0000-0000-0000DE5A0000}"/>
    <cellStyle name="Normal 11 4 5 2 2 2 3" xfId="22392" xr:uid="{00000000-0005-0000-0000-0000DF5A0000}"/>
    <cellStyle name="Normal 11 4 5 2 2 2 3 2" xfId="49525" xr:uid="{00000000-0005-0000-0000-0000E05A0000}"/>
    <cellStyle name="Normal 11 4 5 2 2 2 4" xfId="35963" xr:uid="{00000000-0005-0000-0000-0000E15A0000}"/>
    <cellStyle name="Normal 11 4 5 2 2 3" xfId="12216" xr:uid="{00000000-0005-0000-0000-0000E25A0000}"/>
    <cellStyle name="Normal 11 4 5 2 2 3 2" xfId="25784" xr:uid="{00000000-0005-0000-0000-0000E35A0000}"/>
    <cellStyle name="Normal 11 4 5 2 2 3 2 2" xfId="52917" xr:uid="{00000000-0005-0000-0000-0000E45A0000}"/>
    <cellStyle name="Normal 11 4 5 2 2 3 3" xfId="39355" xr:uid="{00000000-0005-0000-0000-0000E55A0000}"/>
    <cellStyle name="Normal 11 4 5 2 2 4" xfId="19003" xr:uid="{00000000-0005-0000-0000-0000E65A0000}"/>
    <cellStyle name="Normal 11 4 5 2 2 4 2" xfId="46136" xr:uid="{00000000-0005-0000-0000-0000E75A0000}"/>
    <cellStyle name="Normal 11 4 5 2 2 5" xfId="32574" xr:uid="{00000000-0005-0000-0000-0000E85A0000}"/>
    <cellStyle name="Normal 11 4 5 2 3" xfId="5267" xr:uid="{00000000-0005-0000-0000-0000E95A0000}"/>
    <cellStyle name="Normal 11 4 5 2 3 2" xfId="8817" xr:uid="{00000000-0005-0000-0000-0000EA5A0000}"/>
    <cellStyle name="Normal 11 4 5 2 3 2 2" xfId="15606" xr:uid="{00000000-0005-0000-0000-0000EB5A0000}"/>
    <cellStyle name="Normal 11 4 5 2 3 2 2 2" xfId="29174" xr:uid="{00000000-0005-0000-0000-0000EC5A0000}"/>
    <cellStyle name="Normal 11 4 5 2 3 2 2 2 2" xfId="56307" xr:uid="{00000000-0005-0000-0000-0000ED5A0000}"/>
    <cellStyle name="Normal 11 4 5 2 3 2 2 3" xfId="42745" xr:uid="{00000000-0005-0000-0000-0000EE5A0000}"/>
    <cellStyle name="Normal 11 4 5 2 3 2 3" xfId="22393" xr:uid="{00000000-0005-0000-0000-0000EF5A0000}"/>
    <cellStyle name="Normal 11 4 5 2 3 2 3 2" xfId="49526" xr:uid="{00000000-0005-0000-0000-0000F05A0000}"/>
    <cellStyle name="Normal 11 4 5 2 3 2 4" xfId="35964" xr:uid="{00000000-0005-0000-0000-0000F15A0000}"/>
    <cellStyle name="Normal 11 4 5 2 3 3" xfId="12217" xr:uid="{00000000-0005-0000-0000-0000F25A0000}"/>
    <cellStyle name="Normal 11 4 5 2 3 3 2" xfId="25785" xr:uid="{00000000-0005-0000-0000-0000F35A0000}"/>
    <cellStyle name="Normal 11 4 5 2 3 3 2 2" xfId="52918" xr:uid="{00000000-0005-0000-0000-0000F45A0000}"/>
    <cellStyle name="Normal 11 4 5 2 3 3 3" xfId="39356" xr:uid="{00000000-0005-0000-0000-0000F55A0000}"/>
    <cellStyle name="Normal 11 4 5 2 3 4" xfId="19004" xr:uid="{00000000-0005-0000-0000-0000F65A0000}"/>
    <cellStyle name="Normal 11 4 5 2 3 4 2" xfId="46137" xr:uid="{00000000-0005-0000-0000-0000F75A0000}"/>
    <cellStyle name="Normal 11 4 5 2 3 5" xfId="32575" xr:uid="{00000000-0005-0000-0000-0000F85A0000}"/>
    <cellStyle name="Normal 11 4 5 2 4" xfId="8815" xr:uid="{00000000-0005-0000-0000-0000F95A0000}"/>
    <cellStyle name="Normal 11 4 5 2 4 2" xfId="15604" xr:uid="{00000000-0005-0000-0000-0000FA5A0000}"/>
    <cellStyle name="Normal 11 4 5 2 4 2 2" xfId="29172" xr:uid="{00000000-0005-0000-0000-0000FB5A0000}"/>
    <cellStyle name="Normal 11 4 5 2 4 2 2 2" xfId="56305" xr:uid="{00000000-0005-0000-0000-0000FC5A0000}"/>
    <cellStyle name="Normal 11 4 5 2 4 2 3" xfId="42743" xr:uid="{00000000-0005-0000-0000-0000FD5A0000}"/>
    <cellStyle name="Normal 11 4 5 2 4 3" xfId="22391" xr:uid="{00000000-0005-0000-0000-0000FE5A0000}"/>
    <cellStyle name="Normal 11 4 5 2 4 3 2" xfId="49524" xr:uid="{00000000-0005-0000-0000-0000FF5A0000}"/>
    <cellStyle name="Normal 11 4 5 2 4 4" xfId="35962" xr:uid="{00000000-0005-0000-0000-0000005B0000}"/>
    <cellStyle name="Normal 11 4 5 2 5" xfId="12215" xr:uid="{00000000-0005-0000-0000-0000015B0000}"/>
    <cellStyle name="Normal 11 4 5 2 5 2" xfId="25783" xr:uid="{00000000-0005-0000-0000-0000025B0000}"/>
    <cellStyle name="Normal 11 4 5 2 5 2 2" xfId="52916" xr:uid="{00000000-0005-0000-0000-0000035B0000}"/>
    <cellStyle name="Normal 11 4 5 2 5 3" xfId="39354" xr:uid="{00000000-0005-0000-0000-0000045B0000}"/>
    <cellStyle name="Normal 11 4 5 2 6" xfId="19002" xr:uid="{00000000-0005-0000-0000-0000055B0000}"/>
    <cellStyle name="Normal 11 4 5 2 6 2" xfId="46135" xr:uid="{00000000-0005-0000-0000-0000065B0000}"/>
    <cellStyle name="Normal 11 4 5 2 7" xfId="32573" xr:uid="{00000000-0005-0000-0000-0000075B0000}"/>
    <cellStyle name="Normal 11 4 5 3" xfId="5268" xr:uid="{00000000-0005-0000-0000-0000085B0000}"/>
    <cellStyle name="Normal 11 4 5 3 2" xfId="8818" xr:uid="{00000000-0005-0000-0000-0000095B0000}"/>
    <cellStyle name="Normal 11 4 5 3 2 2" xfId="15607" xr:uid="{00000000-0005-0000-0000-00000A5B0000}"/>
    <cellStyle name="Normal 11 4 5 3 2 2 2" xfId="29175" xr:uid="{00000000-0005-0000-0000-00000B5B0000}"/>
    <cellStyle name="Normal 11 4 5 3 2 2 2 2" xfId="56308" xr:uid="{00000000-0005-0000-0000-00000C5B0000}"/>
    <cellStyle name="Normal 11 4 5 3 2 2 3" xfId="42746" xr:uid="{00000000-0005-0000-0000-00000D5B0000}"/>
    <cellStyle name="Normal 11 4 5 3 2 3" xfId="22394" xr:uid="{00000000-0005-0000-0000-00000E5B0000}"/>
    <cellStyle name="Normal 11 4 5 3 2 3 2" xfId="49527" xr:uid="{00000000-0005-0000-0000-00000F5B0000}"/>
    <cellStyle name="Normal 11 4 5 3 2 4" xfId="35965" xr:uid="{00000000-0005-0000-0000-0000105B0000}"/>
    <cellStyle name="Normal 11 4 5 3 3" xfId="12218" xr:uid="{00000000-0005-0000-0000-0000115B0000}"/>
    <cellStyle name="Normal 11 4 5 3 3 2" xfId="25786" xr:uid="{00000000-0005-0000-0000-0000125B0000}"/>
    <cellStyle name="Normal 11 4 5 3 3 2 2" xfId="52919" xr:uid="{00000000-0005-0000-0000-0000135B0000}"/>
    <cellStyle name="Normal 11 4 5 3 3 3" xfId="39357" xr:uid="{00000000-0005-0000-0000-0000145B0000}"/>
    <cellStyle name="Normal 11 4 5 3 4" xfId="19005" xr:uid="{00000000-0005-0000-0000-0000155B0000}"/>
    <cellStyle name="Normal 11 4 5 3 4 2" xfId="46138" xr:uid="{00000000-0005-0000-0000-0000165B0000}"/>
    <cellStyle name="Normal 11 4 5 3 5" xfId="32576" xr:uid="{00000000-0005-0000-0000-0000175B0000}"/>
    <cellStyle name="Normal 11 4 5 4" xfId="5269" xr:uid="{00000000-0005-0000-0000-0000185B0000}"/>
    <cellStyle name="Normal 11 4 5 4 2" xfId="8819" xr:uid="{00000000-0005-0000-0000-0000195B0000}"/>
    <cellStyle name="Normal 11 4 5 4 2 2" xfId="15608" xr:uid="{00000000-0005-0000-0000-00001A5B0000}"/>
    <cellStyle name="Normal 11 4 5 4 2 2 2" xfId="29176" xr:uid="{00000000-0005-0000-0000-00001B5B0000}"/>
    <cellStyle name="Normal 11 4 5 4 2 2 2 2" xfId="56309" xr:uid="{00000000-0005-0000-0000-00001C5B0000}"/>
    <cellStyle name="Normal 11 4 5 4 2 2 3" xfId="42747" xr:uid="{00000000-0005-0000-0000-00001D5B0000}"/>
    <cellStyle name="Normal 11 4 5 4 2 3" xfId="22395" xr:uid="{00000000-0005-0000-0000-00001E5B0000}"/>
    <cellStyle name="Normal 11 4 5 4 2 3 2" xfId="49528" xr:uid="{00000000-0005-0000-0000-00001F5B0000}"/>
    <cellStyle name="Normal 11 4 5 4 2 4" xfId="35966" xr:uid="{00000000-0005-0000-0000-0000205B0000}"/>
    <cellStyle name="Normal 11 4 5 4 3" xfId="12219" xr:uid="{00000000-0005-0000-0000-0000215B0000}"/>
    <cellStyle name="Normal 11 4 5 4 3 2" xfId="25787" xr:uid="{00000000-0005-0000-0000-0000225B0000}"/>
    <cellStyle name="Normal 11 4 5 4 3 2 2" xfId="52920" xr:uid="{00000000-0005-0000-0000-0000235B0000}"/>
    <cellStyle name="Normal 11 4 5 4 3 3" xfId="39358" xr:uid="{00000000-0005-0000-0000-0000245B0000}"/>
    <cellStyle name="Normal 11 4 5 4 4" xfId="19006" xr:uid="{00000000-0005-0000-0000-0000255B0000}"/>
    <cellStyle name="Normal 11 4 5 4 4 2" xfId="46139" xr:uid="{00000000-0005-0000-0000-0000265B0000}"/>
    <cellStyle name="Normal 11 4 5 4 5" xfId="32577" xr:uid="{00000000-0005-0000-0000-0000275B0000}"/>
    <cellStyle name="Normal 11 4 5 5" xfId="8814" xr:uid="{00000000-0005-0000-0000-0000285B0000}"/>
    <cellStyle name="Normal 11 4 5 5 2" xfId="15603" xr:uid="{00000000-0005-0000-0000-0000295B0000}"/>
    <cellStyle name="Normal 11 4 5 5 2 2" xfId="29171" xr:uid="{00000000-0005-0000-0000-00002A5B0000}"/>
    <cellStyle name="Normal 11 4 5 5 2 2 2" xfId="56304" xr:uid="{00000000-0005-0000-0000-00002B5B0000}"/>
    <cellStyle name="Normal 11 4 5 5 2 3" xfId="42742" xr:uid="{00000000-0005-0000-0000-00002C5B0000}"/>
    <cellStyle name="Normal 11 4 5 5 3" xfId="22390" xr:uid="{00000000-0005-0000-0000-00002D5B0000}"/>
    <cellStyle name="Normal 11 4 5 5 3 2" xfId="49523" xr:uid="{00000000-0005-0000-0000-00002E5B0000}"/>
    <cellStyle name="Normal 11 4 5 5 4" xfId="35961" xr:uid="{00000000-0005-0000-0000-00002F5B0000}"/>
    <cellStyle name="Normal 11 4 5 6" xfId="12214" xr:uid="{00000000-0005-0000-0000-0000305B0000}"/>
    <cellStyle name="Normal 11 4 5 6 2" xfId="25782" xr:uid="{00000000-0005-0000-0000-0000315B0000}"/>
    <cellStyle name="Normal 11 4 5 6 2 2" xfId="52915" xr:uid="{00000000-0005-0000-0000-0000325B0000}"/>
    <cellStyle name="Normal 11 4 5 6 3" xfId="39353" xr:uid="{00000000-0005-0000-0000-0000335B0000}"/>
    <cellStyle name="Normal 11 4 5 7" xfId="19001" xr:uid="{00000000-0005-0000-0000-0000345B0000}"/>
    <cellStyle name="Normal 11 4 5 7 2" xfId="46134" xr:uid="{00000000-0005-0000-0000-0000355B0000}"/>
    <cellStyle name="Normal 11 4 5 8" xfId="32572" xr:uid="{00000000-0005-0000-0000-0000365B0000}"/>
    <cellStyle name="Normal 11 4 6" xfId="5270" xr:uid="{00000000-0005-0000-0000-0000375B0000}"/>
    <cellStyle name="Normal 11 4 6 2" xfId="5271" xr:uid="{00000000-0005-0000-0000-0000385B0000}"/>
    <cellStyle name="Normal 11 4 6 2 2" xfId="8821" xr:uid="{00000000-0005-0000-0000-0000395B0000}"/>
    <cellStyle name="Normal 11 4 6 2 2 2" xfId="15610" xr:uid="{00000000-0005-0000-0000-00003A5B0000}"/>
    <cellStyle name="Normal 11 4 6 2 2 2 2" xfId="29178" xr:uid="{00000000-0005-0000-0000-00003B5B0000}"/>
    <cellStyle name="Normal 11 4 6 2 2 2 2 2" xfId="56311" xr:uid="{00000000-0005-0000-0000-00003C5B0000}"/>
    <cellStyle name="Normal 11 4 6 2 2 2 3" xfId="42749" xr:uid="{00000000-0005-0000-0000-00003D5B0000}"/>
    <cellStyle name="Normal 11 4 6 2 2 3" xfId="22397" xr:uid="{00000000-0005-0000-0000-00003E5B0000}"/>
    <cellStyle name="Normal 11 4 6 2 2 3 2" xfId="49530" xr:uid="{00000000-0005-0000-0000-00003F5B0000}"/>
    <cellStyle name="Normal 11 4 6 2 2 4" xfId="35968" xr:uid="{00000000-0005-0000-0000-0000405B0000}"/>
    <cellStyle name="Normal 11 4 6 2 3" xfId="12221" xr:uid="{00000000-0005-0000-0000-0000415B0000}"/>
    <cellStyle name="Normal 11 4 6 2 3 2" xfId="25789" xr:uid="{00000000-0005-0000-0000-0000425B0000}"/>
    <cellStyle name="Normal 11 4 6 2 3 2 2" xfId="52922" xr:uid="{00000000-0005-0000-0000-0000435B0000}"/>
    <cellStyle name="Normal 11 4 6 2 3 3" xfId="39360" xr:uid="{00000000-0005-0000-0000-0000445B0000}"/>
    <cellStyle name="Normal 11 4 6 2 4" xfId="19008" xr:uid="{00000000-0005-0000-0000-0000455B0000}"/>
    <cellStyle name="Normal 11 4 6 2 4 2" xfId="46141" xr:uid="{00000000-0005-0000-0000-0000465B0000}"/>
    <cellStyle name="Normal 11 4 6 2 5" xfId="32579" xr:uid="{00000000-0005-0000-0000-0000475B0000}"/>
    <cellStyle name="Normal 11 4 6 3" xfId="5272" xr:uid="{00000000-0005-0000-0000-0000485B0000}"/>
    <cellStyle name="Normal 11 4 6 3 2" xfId="8822" xr:uid="{00000000-0005-0000-0000-0000495B0000}"/>
    <cellStyle name="Normal 11 4 6 3 2 2" xfId="15611" xr:uid="{00000000-0005-0000-0000-00004A5B0000}"/>
    <cellStyle name="Normal 11 4 6 3 2 2 2" xfId="29179" xr:uid="{00000000-0005-0000-0000-00004B5B0000}"/>
    <cellStyle name="Normal 11 4 6 3 2 2 2 2" xfId="56312" xr:uid="{00000000-0005-0000-0000-00004C5B0000}"/>
    <cellStyle name="Normal 11 4 6 3 2 2 3" xfId="42750" xr:uid="{00000000-0005-0000-0000-00004D5B0000}"/>
    <cellStyle name="Normal 11 4 6 3 2 3" xfId="22398" xr:uid="{00000000-0005-0000-0000-00004E5B0000}"/>
    <cellStyle name="Normal 11 4 6 3 2 3 2" xfId="49531" xr:uid="{00000000-0005-0000-0000-00004F5B0000}"/>
    <cellStyle name="Normal 11 4 6 3 2 4" xfId="35969" xr:uid="{00000000-0005-0000-0000-0000505B0000}"/>
    <cellStyle name="Normal 11 4 6 3 3" xfId="12222" xr:uid="{00000000-0005-0000-0000-0000515B0000}"/>
    <cellStyle name="Normal 11 4 6 3 3 2" xfId="25790" xr:uid="{00000000-0005-0000-0000-0000525B0000}"/>
    <cellStyle name="Normal 11 4 6 3 3 2 2" xfId="52923" xr:uid="{00000000-0005-0000-0000-0000535B0000}"/>
    <cellStyle name="Normal 11 4 6 3 3 3" xfId="39361" xr:uid="{00000000-0005-0000-0000-0000545B0000}"/>
    <cellStyle name="Normal 11 4 6 3 4" xfId="19009" xr:uid="{00000000-0005-0000-0000-0000555B0000}"/>
    <cellStyle name="Normal 11 4 6 3 4 2" xfId="46142" xr:uid="{00000000-0005-0000-0000-0000565B0000}"/>
    <cellStyle name="Normal 11 4 6 3 5" xfId="32580" xr:uid="{00000000-0005-0000-0000-0000575B0000}"/>
    <cellStyle name="Normal 11 4 6 4" xfId="8820" xr:uid="{00000000-0005-0000-0000-0000585B0000}"/>
    <cellStyle name="Normal 11 4 6 4 2" xfId="15609" xr:uid="{00000000-0005-0000-0000-0000595B0000}"/>
    <cellStyle name="Normal 11 4 6 4 2 2" xfId="29177" xr:uid="{00000000-0005-0000-0000-00005A5B0000}"/>
    <cellStyle name="Normal 11 4 6 4 2 2 2" xfId="56310" xr:uid="{00000000-0005-0000-0000-00005B5B0000}"/>
    <cellStyle name="Normal 11 4 6 4 2 3" xfId="42748" xr:uid="{00000000-0005-0000-0000-00005C5B0000}"/>
    <cellStyle name="Normal 11 4 6 4 3" xfId="22396" xr:uid="{00000000-0005-0000-0000-00005D5B0000}"/>
    <cellStyle name="Normal 11 4 6 4 3 2" xfId="49529" xr:uid="{00000000-0005-0000-0000-00005E5B0000}"/>
    <cellStyle name="Normal 11 4 6 4 4" xfId="35967" xr:uid="{00000000-0005-0000-0000-00005F5B0000}"/>
    <cellStyle name="Normal 11 4 6 5" xfId="12220" xr:uid="{00000000-0005-0000-0000-0000605B0000}"/>
    <cellStyle name="Normal 11 4 6 5 2" xfId="25788" xr:uid="{00000000-0005-0000-0000-0000615B0000}"/>
    <cellStyle name="Normal 11 4 6 5 2 2" xfId="52921" xr:uid="{00000000-0005-0000-0000-0000625B0000}"/>
    <cellStyle name="Normal 11 4 6 5 3" xfId="39359" xr:uid="{00000000-0005-0000-0000-0000635B0000}"/>
    <cellStyle name="Normal 11 4 6 6" xfId="19007" xr:uid="{00000000-0005-0000-0000-0000645B0000}"/>
    <cellStyle name="Normal 11 4 6 6 2" xfId="46140" xr:uid="{00000000-0005-0000-0000-0000655B0000}"/>
    <cellStyle name="Normal 11 4 6 7" xfId="32578" xr:uid="{00000000-0005-0000-0000-0000665B0000}"/>
    <cellStyle name="Normal 11 4 7" xfId="5273" xr:uid="{00000000-0005-0000-0000-0000675B0000}"/>
    <cellStyle name="Normal 11 4 7 2" xfId="5274" xr:uid="{00000000-0005-0000-0000-0000685B0000}"/>
    <cellStyle name="Normal 11 4 7 2 2" xfId="8824" xr:uid="{00000000-0005-0000-0000-0000695B0000}"/>
    <cellStyle name="Normal 11 4 7 2 2 2" xfId="15613" xr:uid="{00000000-0005-0000-0000-00006A5B0000}"/>
    <cellStyle name="Normal 11 4 7 2 2 2 2" xfId="29181" xr:uid="{00000000-0005-0000-0000-00006B5B0000}"/>
    <cellStyle name="Normal 11 4 7 2 2 2 2 2" xfId="56314" xr:uid="{00000000-0005-0000-0000-00006C5B0000}"/>
    <cellStyle name="Normal 11 4 7 2 2 2 3" xfId="42752" xr:uid="{00000000-0005-0000-0000-00006D5B0000}"/>
    <cellStyle name="Normal 11 4 7 2 2 3" xfId="22400" xr:uid="{00000000-0005-0000-0000-00006E5B0000}"/>
    <cellStyle name="Normal 11 4 7 2 2 3 2" xfId="49533" xr:uid="{00000000-0005-0000-0000-00006F5B0000}"/>
    <cellStyle name="Normal 11 4 7 2 2 4" xfId="35971" xr:uid="{00000000-0005-0000-0000-0000705B0000}"/>
    <cellStyle name="Normal 11 4 7 2 3" xfId="12224" xr:uid="{00000000-0005-0000-0000-0000715B0000}"/>
    <cellStyle name="Normal 11 4 7 2 3 2" xfId="25792" xr:uid="{00000000-0005-0000-0000-0000725B0000}"/>
    <cellStyle name="Normal 11 4 7 2 3 2 2" xfId="52925" xr:uid="{00000000-0005-0000-0000-0000735B0000}"/>
    <cellStyle name="Normal 11 4 7 2 3 3" xfId="39363" xr:uid="{00000000-0005-0000-0000-0000745B0000}"/>
    <cellStyle name="Normal 11 4 7 2 4" xfId="19011" xr:uid="{00000000-0005-0000-0000-0000755B0000}"/>
    <cellStyle name="Normal 11 4 7 2 4 2" xfId="46144" xr:uid="{00000000-0005-0000-0000-0000765B0000}"/>
    <cellStyle name="Normal 11 4 7 2 5" xfId="32582" xr:uid="{00000000-0005-0000-0000-0000775B0000}"/>
    <cellStyle name="Normal 11 4 7 3" xfId="5275" xr:uid="{00000000-0005-0000-0000-0000785B0000}"/>
    <cellStyle name="Normal 11 4 7 3 2" xfId="8825" xr:uid="{00000000-0005-0000-0000-0000795B0000}"/>
    <cellStyle name="Normal 11 4 7 3 2 2" xfId="15614" xr:uid="{00000000-0005-0000-0000-00007A5B0000}"/>
    <cellStyle name="Normal 11 4 7 3 2 2 2" xfId="29182" xr:uid="{00000000-0005-0000-0000-00007B5B0000}"/>
    <cellStyle name="Normal 11 4 7 3 2 2 2 2" xfId="56315" xr:uid="{00000000-0005-0000-0000-00007C5B0000}"/>
    <cellStyle name="Normal 11 4 7 3 2 2 3" xfId="42753" xr:uid="{00000000-0005-0000-0000-00007D5B0000}"/>
    <cellStyle name="Normal 11 4 7 3 2 3" xfId="22401" xr:uid="{00000000-0005-0000-0000-00007E5B0000}"/>
    <cellStyle name="Normal 11 4 7 3 2 3 2" xfId="49534" xr:uid="{00000000-0005-0000-0000-00007F5B0000}"/>
    <cellStyle name="Normal 11 4 7 3 2 4" xfId="35972" xr:uid="{00000000-0005-0000-0000-0000805B0000}"/>
    <cellStyle name="Normal 11 4 7 3 3" xfId="12225" xr:uid="{00000000-0005-0000-0000-0000815B0000}"/>
    <cellStyle name="Normal 11 4 7 3 3 2" xfId="25793" xr:uid="{00000000-0005-0000-0000-0000825B0000}"/>
    <cellStyle name="Normal 11 4 7 3 3 2 2" xfId="52926" xr:uid="{00000000-0005-0000-0000-0000835B0000}"/>
    <cellStyle name="Normal 11 4 7 3 3 3" xfId="39364" xr:uid="{00000000-0005-0000-0000-0000845B0000}"/>
    <cellStyle name="Normal 11 4 7 3 4" xfId="19012" xr:uid="{00000000-0005-0000-0000-0000855B0000}"/>
    <cellStyle name="Normal 11 4 7 3 4 2" xfId="46145" xr:uid="{00000000-0005-0000-0000-0000865B0000}"/>
    <cellStyle name="Normal 11 4 7 3 5" xfId="32583" xr:uid="{00000000-0005-0000-0000-0000875B0000}"/>
    <cellStyle name="Normal 11 4 7 4" xfId="8823" xr:uid="{00000000-0005-0000-0000-0000885B0000}"/>
    <cellStyle name="Normal 11 4 7 4 2" xfId="15612" xr:uid="{00000000-0005-0000-0000-0000895B0000}"/>
    <cellStyle name="Normal 11 4 7 4 2 2" xfId="29180" xr:uid="{00000000-0005-0000-0000-00008A5B0000}"/>
    <cellStyle name="Normal 11 4 7 4 2 2 2" xfId="56313" xr:uid="{00000000-0005-0000-0000-00008B5B0000}"/>
    <cellStyle name="Normal 11 4 7 4 2 3" xfId="42751" xr:uid="{00000000-0005-0000-0000-00008C5B0000}"/>
    <cellStyle name="Normal 11 4 7 4 3" xfId="22399" xr:uid="{00000000-0005-0000-0000-00008D5B0000}"/>
    <cellStyle name="Normal 11 4 7 4 3 2" xfId="49532" xr:uid="{00000000-0005-0000-0000-00008E5B0000}"/>
    <cellStyle name="Normal 11 4 7 4 4" xfId="35970" xr:uid="{00000000-0005-0000-0000-00008F5B0000}"/>
    <cellStyle name="Normal 11 4 7 5" xfId="12223" xr:uid="{00000000-0005-0000-0000-0000905B0000}"/>
    <cellStyle name="Normal 11 4 7 5 2" xfId="25791" xr:uid="{00000000-0005-0000-0000-0000915B0000}"/>
    <cellStyle name="Normal 11 4 7 5 2 2" xfId="52924" xr:uid="{00000000-0005-0000-0000-0000925B0000}"/>
    <cellStyle name="Normal 11 4 7 5 3" xfId="39362" xr:uid="{00000000-0005-0000-0000-0000935B0000}"/>
    <cellStyle name="Normal 11 4 7 6" xfId="19010" xr:uid="{00000000-0005-0000-0000-0000945B0000}"/>
    <cellStyle name="Normal 11 4 7 6 2" xfId="46143" xr:uid="{00000000-0005-0000-0000-0000955B0000}"/>
    <cellStyle name="Normal 11 4 7 7" xfId="32581" xr:uid="{00000000-0005-0000-0000-0000965B0000}"/>
    <cellStyle name="Normal 11 4 8" xfId="5276" xr:uid="{00000000-0005-0000-0000-0000975B0000}"/>
    <cellStyle name="Normal 11 4 8 2" xfId="8826" xr:uid="{00000000-0005-0000-0000-0000985B0000}"/>
    <cellStyle name="Normal 11 4 8 2 2" xfId="15615" xr:uid="{00000000-0005-0000-0000-0000995B0000}"/>
    <cellStyle name="Normal 11 4 8 2 2 2" xfId="29183" xr:uid="{00000000-0005-0000-0000-00009A5B0000}"/>
    <cellStyle name="Normal 11 4 8 2 2 2 2" xfId="56316" xr:uid="{00000000-0005-0000-0000-00009B5B0000}"/>
    <cellStyle name="Normal 11 4 8 2 2 3" xfId="42754" xr:uid="{00000000-0005-0000-0000-00009C5B0000}"/>
    <cellStyle name="Normal 11 4 8 2 3" xfId="22402" xr:uid="{00000000-0005-0000-0000-00009D5B0000}"/>
    <cellStyle name="Normal 11 4 8 2 3 2" xfId="49535" xr:uid="{00000000-0005-0000-0000-00009E5B0000}"/>
    <cellStyle name="Normal 11 4 8 2 4" xfId="35973" xr:uid="{00000000-0005-0000-0000-00009F5B0000}"/>
    <cellStyle name="Normal 11 4 8 3" xfId="12226" xr:uid="{00000000-0005-0000-0000-0000A05B0000}"/>
    <cellStyle name="Normal 11 4 8 3 2" xfId="25794" xr:uid="{00000000-0005-0000-0000-0000A15B0000}"/>
    <cellStyle name="Normal 11 4 8 3 2 2" xfId="52927" xr:uid="{00000000-0005-0000-0000-0000A25B0000}"/>
    <cellStyle name="Normal 11 4 8 3 3" xfId="39365" xr:uid="{00000000-0005-0000-0000-0000A35B0000}"/>
    <cellStyle name="Normal 11 4 8 4" xfId="19013" xr:uid="{00000000-0005-0000-0000-0000A45B0000}"/>
    <cellStyle name="Normal 11 4 8 4 2" xfId="46146" xr:uid="{00000000-0005-0000-0000-0000A55B0000}"/>
    <cellStyle name="Normal 11 4 8 5" xfId="32584" xr:uid="{00000000-0005-0000-0000-0000A65B0000}"/>
    <cellStyle name="Normal 11 4 9" xfId="5277" xr:uid="{00000000-0005-0000-0000-0000A75B0000}"/>
    <cellStyle name="Normal 11 4 9 2" xfId="8827" xr:uid="{00000000-0005-0000-0000-0000A85B0000}"/>
    <cellStyle name="Normal 11 4 9 2 2" xfId="15616" xr:uid="{00000000-0005-0000-0000-0000A95B0000}"/>
    <cellStyle name="Normal 11 4 9 2 2 2" xfId="29184" xr:uid="{00000000-0005-0000-0000-0000AA5B0000}"/>
    <cellStyle name="Normal 11 4 9 2 2 2 2" xfId="56317" xr:uid="{00000000-0005-0000-0000-0000AB5B0000}"/>
    <cellStyle name="Normal 11 4 9 2 2 3" xfId="42755" xr:uid="{00000000-0005-0000-0000-0000AC5B0000}"/>
    <cellStyle name="Normal 11 4 9 2 3" xfId="22403" xr:uid="{00000000-0005-0000-0000-0000AD5B0000}"/>
    <cellStyle name="Normal 11 4 9 2 3 2" xfId="49536" xr:uid="{00000000-0005-0000-0000-0000AE5B0000}"/>
    <cellStyle name="Normal 11 4 9 2 4" xfId="35974" xr:uid="{00000000-0005-0000-0000-0000AF5B0000}"/>
    <cellStyle name="Normal 11 4 9 3" xfId="12227" xr:uid="{00000000-0005-0000-0000-0000B05B0000}"/>
    <cellStyle name="Normal 11 4 9 3 2" xfId="25795" xr:uid="{00000000-0005-0000-0000-0000B15B0000}"/>
    <cellStyle name="Normal 11 4 9 3 2 2" xfId="52928" xr:uid="{00000000-0005-0000-0000-0000B25B0000}"/>
    <cellStyle name="Normal 11 4 9 3 3" xfId="39366" xr:uid="{00000000-0005-0000-0000-0000B35B0000}"/>
    <cellStyle name="Normal 11 4 9 4" xfId="19014" xr:uid="{00000000-0005-0000-0000-0000B45B0000}"/>
    <cellStyle name="Normal 11 4 9 4 2" xfId="46147" xr:uid="{00000000-0005-0000-0000-0000B55B0000}"/>
    <cellStyle name="Normal 11 4 9 5" xfId="32585" xr:uid="{00000000-0005-0000-0000-0000B65B0000}"/>
    <cellStyle name="Normal 11 5" xfId="5278" xr:uid="{00000000-0005-0000-0000-0000B75B0000}"/>
    <cellStyle name="Normal 11 5 10" xfId="32586" xr:uid="{00000000-0005-0000-0000-0000B85B0000}"/>
    <cellStyle name="Normal 11 5 2" xfId="5279" xr:uid="{00000000-0005-0000-0000-0000B95B0000}"/>
    <cellStyle name="Normal 11 5 2 2" xfId="5280" xr:uid="{00000000-0005-0000-0000-0000BA5B0000}"/>
    <cellStyle name="Normal 11 5 2 2 2" xfId="5281" xr:uid="{00000000-0005-0000-0000-0000BB5B0000}"/>
    <cellStyle name="Normal 11 5 2 2 2 2" xfId="8831" xr:uid="{00000000-0005-0000-0000-0000BC5B0000}"/>
    <cellStyle name="Normal 11 5 2 2 2 2 2" xfId="15620" xr:uid="{00000000-0005-0000-0000-0000BD5B0000}"/>
    <cellStyle name="Normal 11 5 2 2 2 2 2 2" xfId="29188" xr:uid="{00000000-0005-0000-0000-0000BE5B0000}"/>
    <cellStyle name="Normal 11 5 2 2 2 2 2 2 2" xfId="56321" xr:uid="{00000000-0005-0000-0000-0000BF5B0000}"/>
    <cellStyle name="Normal 11 5 2 2 2 2 2 3" xfId="42759" xr:uid="{00000000-0005-0000-0000-0000C05B0000}"/>
    <cellStyle name="Normal 11 5 2 2 2 2 3" xfId="22407" xr:uid="{00000000-0005-0000-0000-0000C15B0000}"/>
    <cellStyle name="Normal 11 5 2 2 2 2 3 2" xfId="49540" xr:uid="{00000000-0005-0000-0000-0000C25B0000}"/>
    <cellStyle name="Normal 11 5 2 2 2 2 4" xfId="35978" xr:uid="{00000000-0005-0000-0000-0000C35B0000}"/>
    <cellStyle name="Normal 11 5 2 2 2 3" xfId="12231" xr:uid="{00000000-0005-0000-0000-0000C45B0000}"/>
    <cellStyle name="Normal 11 5 2 2 2 3 2" xfId="25799" xr:uid="{00000000-0005-0000-0000-0000C55B0000}"/>
    <cellStyle name="Normal 11 5 2 2 2 3 2 2" xfId="52932" xr:uid="{00000000-0005-0000-0000-0000C65B0000}"/>
    <cellStyle name="Normal 11 5 2 2 2 3 3" xfId="39370" xr:uid="{00000000-0005-0000-0000-0000C75B0000}"/>
    <cellStyle name="Normal 11 5 2 2 2 4" xfId="19018" xr:uid="{00000000-0005-0000-0000-0000C85B0000}"/>
    <cellStyle name="Normal 11 5 2 2 2 4 2" xfId="46151" xr:uid="{00000000-0005-0000-0000-0000C95B0000}"/>
    <cellStyle name="Normal 11 5 2 2 2 5" xfId="32589" xr:uid="{00000000-0005-0000-0000-0000CA5B0000}"/>
    <cellStyle name="Normal 11 5 2 2 3" xfId="5282" xr:uid="{00000000-0005-0000-0000-0000CB5B0000}"/>
    <cellStyle name="Normal 11 5 2 2 3 2" xfId="8832" xr:uid="{00000000-0005-0000-0000-0000CC5B0000}"/>
    <cellStyle name="Normal 11 5 2 2 3 2 2" xfId="15621" xr:uid="{00000000-0005-0000-0000-0000CD5B0000}"/>
    <cellStyle name="Normal 11 5 2 2 3 2 2 2" xfId="29189" xr:uid="{00000000-0005-0000-0000-0000CE5B0000}"/>
    <cellStyle name="Normal 11 5 2 2 3 2 2 2 2" xfId="56322" xr:uid="{00000000-0005-0000-0000-0000CF5B0000}"/>
    <cellStyle name="Normal 11 5 2 2 3 2 2 3" xfId="42760" xr:uid="{00000000-0005-0000-0000-0000D05B0000}"/>
    <cellStyle name="Normal 11 5 2 2 3 2 3" xfId="22408" xr:uid="{00000000-0005-0000-0000-0000D15B0000}"/>
    <cellStyle name="Normal 11 5 2 2 3 2 3 2" xfId="49541" xr:uid="{00000000-0005-0000-0000-0000D25B0000}"/>
    <cellStyle name="Normal 11 5 2 2 3 2 4" xfId="35979" xr:uid="{00000000-0005-0000-0000-0000D35B0000}"/>
    <cellStyle name="Normal 11 5 2 2 3 3" xfId="12232" xr:uid="{00000000-0005-0000-0000-0000D45B0000}"/>
    <cellStyle name="Normal 11 5 2 2 3 3 2" xfId="25800" xr:uid="{00000000-0005-0000-0000-0000D55B0000}"/>
    <cellStyle name="Normal 11 5 2 2 3 3 2 2" xfId="52933" xr:uid="{00000000-0005-0000-0000-0000D65B0000}"/>
    <cellStyle name="Normal 11 5 2 2 3 3 3" xfId="39371" xr:uid="{00000000-0005-0000-0000-0000D75B0000}"/>
    <cellStyle name="Normal 11 5 2 2 3 4" xfId="19019" xr:uid="{00000000-0005-0000-0000-0000D85B0000}"/>
    <cellStyle name="Normal 11 5 2 2 3 4 2" xfId="46152" xr:uid="{00000000-0005-0000-0000-0000D95B0000}"/>
    <cellStyle name="Normal 11 5 2 2 3 5" xfId="32590" xr:uid="{00000000-0005-0000-0000-0000DA5B0000}"/>
    <cellStyle name="Normal 11 5 2 2 4" xfId="8830" xr:uid="{00000000-0005-0000-0000-0000DB5B0000}"/>
    <cellStyle name="Normal 11 5 2 2 4 2" xfId="15619" xr:uid="{00000000-0005-0000-0000-0000DC5B0000}"/>
    <cellStyle name="Normal 11 5 2 2 4 2 2" xfId="29187" xr:uid="{00000000-0005-0000-0000-0000DD5B0000}"/>
    <cellStyle name="Normal 11 5 2 2 4 2 2 2" xfId="56320" xr:uid="{00000000-0005-0000-0000-0000DE5B0000}"/>
    <cellStyle name="Normal 11 5 2 2 4 2 3" xfId="42758" xr:uid="{00000000-0005-0000-0000-0000DF5B0000}"/>
    <cellStyle name="Normal 11 5 2 2 4 3" xfId="22406" xr:uid="{00000000-0005-0000-0000-0000E05B0000}"/>
    <cellStyle name="Normal 11 5 2 2 4 3 2" xfId="49539" xr:uid="{00000000-0005-0000-0000-0000E15B0000}"/>
    <cellStyle name="Normal 11 5 2 2 4 4" xfId="35977" xr:uid="{00000000-0005-0000-0000-0000E25B0000}"/>
    <cellStyle name="Normal 11 5 2 2 5" xfId="12230" xr:uid="{00000000-0005-0000-0000-0000E35B0000}"/>
    <cellStyle name="Normal 11 5 2 2 5 2" xfId="25798" xr:uid="{00000000-0005-0000-0000-0000E45B0000}"/>
    <cellStyle name="Normal 11 5 2 2 5 2 2" xfId="52931" xr:uid="{00000000-0005-0000-0000-0000E55B0000}"/>
    <cellStyle name="Normal 11 5 2 2 5 3" xfId="39369" xr:uid="{00000000-0005-0000-0000-0000E65B0000}"/>
    <cellStyle name="Normal 11 5 2 2 6" xfId="19017" xr:uid="{00000000-0005-0000-0000-0000E75B0000}"/>
    <cellStyle name="Normal 11 5 2 2 6 2" xfId="46150" xr:uid="{00000000-0005-0000-0000-0000E85B0000}"/>
    <cellStyle name="Normal 11 5 2 2 7" xfId="32588" xr:uid="{00000000-0005-0000-0000-0000E95B0000}"/>
    <cellStyle name="Normal 11 5 2 3" xfId="5283" xr:uid="{00000000-0005-0000-0000-0000EA5B0000}"/>
    <cellStyle name="Normal 11 5 2 3 2" xfId="5284" xr:uid="{00000000-0005-0000-0000-0000EB5B0000}"/>
    <cellStyle name="Normal 11 5 2 3 2 2" xfId="8834" xr:uid="{00000000-0005-0000-0000-0000EC5B0000}"/>
    <cellStyle name="Normal 11 5 2 3 2 2 2" xfId="15623" xr:uid="{00000000-0005-0000-0000-0000ED5B0000}"/>
    <cellStyle name="Normal 11 5 2 3 2 2 2 2" xfId="29191" xr:uid="{00000000-0005-0000-0000-0000EE5B0000}"/>
    <cellStyle name="Normal 11 5 2 3 2 2 2 2 2" xfId="56324" xr:uid="{00000000-0005-0000-0000-0000EF5B0000}"/>
    <cellStyle name="Normal 11 5 2 3 2 2 2 3" xfId="42762" xr:uid="{00000000-0005-0000-0000-0000F05B0000}"/>
    <cellStyle name="Normal 11 5 2 3 2 2 3" xfId="22410" xr:uid="{00000000-0005-0000-0000-0000F15B0000}"/>
    <cellStyle name="Normal 11 5 2 3 2 2 3 2" xfId="49543" xr:uid="{00000000-0005-0000-0000-0000F25B0000}"/>
    <cellStyle name="Normal 11 5 2 3 2 2 4" xfId="35981" xr:uid="{00000000-0005-0000-0000-0000F35B0000}"/>
    <cellStyle name="Normal 11 5 2 3 2 3" xfId="12234" xr:uid="{00000000-0005-0000-0000-0000F45B0000}"/>
    <cellStyle name="Normal 11 5 2 3 2 3 2" xfId="25802" xr:uid="{00000000-0005-0000-0000-0000F55B0000}"/>
    <cellStyle name="Normal 11 5 2 3 2 3 2 2" xfId="52935" xr:uid="{00000000-0005-0000-0000-0000F65B0000}"/>
    <cellStyle name="Normal 11 5 2 3 2 3 3" xfId="39373" xr:uid="{00000000-0005-0000-0000-0000F75B0000}"/>
    <cellStyle name="Normal 11 5 2 3 2 4" xfId="19021" xr:uid="{00000000-0005-0000-0000-0000F85B0000}"/>
    <cellStyle name="Normal 11 5 2 3 2 4 2" xfId="46154" xr:uid="{00000000-0005-0000-0000-0000F95B0000}"/>
    <cellStyle name="Normal 11 5 2 3 2 5" xfId="32592" xr:uid="{00000000-0005-0000-0000-0000FA5B0000}"/>
    <cellStyle name="Normal 11 5 2 3 3" xfId="8833" xr:uid="{00000000-0005-0000-0000-0000FB5B0000}"/>
    <cellStyle name="Normal 11 5 2 3 3 2" xfId="15622" xr:uid="{00000000-0005-0000-0000-0000FC5B0000}"/>
    <cellStyle name="Normal 11 5 2 3 3 2 2" xfId="29190" xr:uid="{00000000-0005-0000-0000-0000FD5B0000}"/>
    <cellStyle name="Normal 11 5 2 3 3 2 2 2" xfId="56323" xr:uid="{00000000-0005-0000-0000-0000FE5B0000}"/>
    <cellStyle name="Normal 11 5 2 3 3 2 3" xfId="42761" xr:uid="{00000000-0005-0000-0000-0000FF5B0000}"/>
    <cellStyle name="Normal 11 5 2 3 3 3" xfId="22409" xr:uid="{00000000-0005-0000-0000-0000005C0000}"/>
    <cellStyle name="Normal 11 5 2 3 3 3 2" xfId="49542" xr:uid="{00000000-0005-0000-0000-0000015C0000}"/>
    <cellStyle name="Normal 11 5 2 3 3 4" xfId="35980" xr:uid="{00000000-0005-0000-0000-0000025C0000}"/>
    <cellStyle name="Normal 11 5 2 3 4" xfId="12233" xr:uid="{00000000-0005-0000-0000-0000035C0000}"/>
    <cellStyle name="Normal 11 5 2 3 4 2" xfId="25801" xr:uid="{00000000-0005-0000-0000-0000045C0000}"/>
    <cellStyle name="Normal 11 5 2 3 4 2 2" xfId="52934" xr:uid="{00000000-0005-0000-0000-0000055C0000}"/>
    <cellStyle name="Normal 11 5 2 3 4 3" xfId="39372" xr:uid="{00000000-0005-0000-0000-0000065C0000}"/>
    <cellStyle name="Normal 11 5 2 3 5" xfId="19020" xr:uid="{00000000-0005-0000-0000-0000075C0000}"/>
    <cellStyle name="Normal 11 5 2 3 5 2" xfId="46153" xr:uid="{00000000-0005-0000-0000-0000085C0000}"/>
    <cellStyle name="Normal 11 5 2 3 6" xfId="32591" xr:uid="{00000000-0005-0000-0000-0000095C0000}"/>
    <cellStyle name="Normal 11 5 2 4" xfId="5285" xr:uid="{00000000-0005-0000-0000-00000A5C0000}"/>
    <cellStyle name="Normal 11 5 2 4 2" xfId="8835" xr:uid="{00000000-0005-0000-0000-00000B5C0000}"/>
    <cellStyle name="Normal 11 5 2 4 2 2" xfId="15624" xr:uid="{00000000-0005-0000-0000-00000C5C0000}"/>
    <cellStyle name="Normal 11 5 2 4 2 2 2" xfId="29192" xr:uid="{00000000-0005-0000-0000-00000D5C0000}"/>
    <cellStyle name="Normal 11 5 2 4 2 2 2 2" xfId="56325" xr:uid="{00000000-0005-0000-0000-00000E5C0000}"/>
    <cellStyle name="Normal 11 5 2 4 2 2 3" xfId="42763" xr:uid="{00000000-0005-0000-0000-00000F5C0000}"/>
    <cellStyle name="Normal 11 5 2 4 2 3" xfId="22411" xr:uid="{00000000-0005-0000-0000-0000105C0000}"/>
    <cellStyle name="Normal 11 5 2 4 2 3 2" xfId="49544" xr:uid="{00000000-0005-0000-0000-0000115C0000}"/>
    <cellStyle name="Normal 11 5 2 4 2 4" xfId="35982" xr:uid="{00000000-0005-0000-0000-0000125C0000}"/>
    <cellStyle name="Normal 11 5 2 4 3" xfId="12235" xr:uid="{00000000-0005-0000-0000-0000135C0000}"/>
    <cellStyle name="Normal 11 5 2 4 3 2" xfId="25803" xr:uid="{00000000-0005-0000-0000-0000145C0000}"/>
    <cellStyle name="Normal 11 5 2 4 3 2 2" xfId="52936" xr:uid="{00000000-0005-0000-0000-0000155C0000}"/>
    <cellStyle name="Normal 11 5 2 4 3 3" xfId="39374" xr:uid="{00000000-0005-0000-0000-0000165C0000}"/>
    <cellStyle name="Normal 11 5 2 4 4" xfId="19022" xr:uid="{00000000-0005-0000-0000-0000175C0000}"/>
    <cellStyle name="Normal 11 5 2 4 4 2" xfId="46155" xr:uid="{00000000-0005-0000-0000-0000185C0000}"/>
    <cellStyle name="Normal 11 5 2 4 5" xfId="32593" xr:uid="{00000000-0005-0000-0000-0000195C0000}"/>
    <cellStyle name="Normal 11 5 2 5" xfId="5286" xr:uid="{00000000-0005-0000-0000-00001A5C0000}"/>
    <cellStyle name="Normal 11 5 2 5 2" xfId="8836" xr:uid="{00000000-0005-0000-0000-00001B5C0000}"/>
    <cellStyle name="Normal 11 5 2 5 2 2" xfId="15625" xr:uid="{00000000-0005-0000-0000-00001C5C0000}"/>
    <cellStyle name="Normal 11 5 2 5 2 2 2" xfId="29193" xr:uid="{00000000-0005-0000-0000-00001D5C0000}"/>
    <cellStyle name="Normal 11 5 2 5 2 2 2 2" xfId="56326" xr:uid="{00000000-0005-0000-0000-00001E5C0000}"/>
    <cellStyle name="Normal 11 5 2 5 2 2 3" xfId="42764" xr:uid="{00000000-0005-0000-0000-00001F5C0000}"/>
    <cellStyle name="Normal 11 5 2 5 2 3" xfId="22412" xr:uid="{00000000-0005-0000-0000-0000205C0000}"/>
    <cellStyle name="Normal 11 5 2 5 2 3 2" xfId="49545" xr:uid="{00000000-0005-0000-0000-0000215C0000}"/>
    <cellStyle name="Normal 11 5 2 5 2 4" xfId="35983" xr:uid="{00000000-0005-0000-0000-0000225C0000}"/>
    <cellStyle name="Normal 11 5 2 5 3" xfId="12236" xr:uid="{00000000-0005-0000-0000-0000235C0000}"/>
    <cellStyle name="Normal 11 5 2 5 3 2" xfId="25804" xr:uid="{00000000-0005-0000-0000-0000245C0000}"/>
    <cellStyle name="Normal 11 5 2 5 3 2 2" xfId="52937" xr:uid="{00000000-0005-0000-0000-0000255C0000}"/>
    <cellStyle name="Normal 11 5 2 5 3 3" xfId="39375" xr:uid="{00000000-0005-0000-0000-0000265C0000}"/>
    <cellStyle name="Normal 11 5 2 5 4" xfId="19023" xr:uid="{00000000-0005-0000-0000-0000275C0000}"/>
    <cellStyle name="Normal 11 5 2 5 4 2" xfId="46156" xr:uid="{00000000-0005-0000-0000-0000285C0000}"/>
    <cellStyle name="Normal 11 5 2 5 5" xfId="32594" xr:uid="{00000000-0005-0000-0000-0000295C0000}"/>
    <cellStyle name="Normal 11 5 2 6" xfId="8829" xr:uid="{00000000-0005-0000-0000-00002A5C0000}"/>
    <cellStyle name="Normal 11 5 2 6 2" xfId="15618" xr:uid="{00000000-0005-0000-0000-00002B5C0000}"/>
    <cellStyle name="Normal 11 5 2 6 2 2" xfId="29186" xr:uid="{00000000-0005-0000-0000-00002C5C0000}"/>
    <cellStyle name="Normal 11 5 2 6 2 2 2" xfId="56319" xr:uid="{00000000-0005-0000-0000-00002D5C0000}"/>
    <cellStyle name="Normal 11 5 2 6 2 3" xfId="42757" xr:uid="{00000000-0005-0000-0000-00002E5C0000}"/>
    <cellStyle name="Normal 11 5 2 6 3" xfId="22405" xr:uid="{00000000-0005-0000-0000-00002F5C0000}"/>
    <cellStyle name="Normal 11 5 2 6 3 2" xfId="49538" xr:uid="{00000000-0005-0000-0000-0000305C0000}"/>
    <cellStyle name="Normal 11 5 2 6 4" xfId="35976" xr:uid="{00000000-0005-0000-0000-0000315C0000}"/>
    <cellStyle name="Normal 11 5 2 7" xfId="12229" xr:uid="{00000000-0005-0000-0000-0000325C0000}"/>
    <cellStyle name="Normal 11 5 2 7 2" xfId="25797" xr:uid="{00000000-0005-0000-0000-0000335C0000}"/>
    <cellStyle name="Normal 11 5 2 7 2 2" xfId="52930" xr:uid="{00000000-0005-0000-0000-0000345C0000}"/>
    <cellStyle name="Normal 11 5 2 7 3" xfId="39368" xr:uid="{00000000-0005-0000-0000-0000355C0000}"/>
    <cellStyle name="Normal 11 5 2 8" xfId="19016" xr:uid="{00000000-0005-0000-0000-0000365C0000}"/>
    <cellStyle name="Normal 11 5 2 8 2" xfId="46149" xr:uid="{00000000-0005-0000-0000-0000375C0000}"/>
    <cellStyle name="Normal 11 5 2 9" xfId="32587" xr:uid="{00000000-0005-0000-0000-0000385C0000}"/>
    <cellStyle name="Normal 11 5 3" xfId="5287" xr:uid="{00000000-0005-0000-0000-0000395C0000}"/>
    <cellStyle name="Normal 11 5 3 2" xfId="5288" xr:uid="{00000000-0005-0000-0000-00003A5C0000}"/>
    <cellStyle name="Normal 11 5 3 2 2" xfId="8838" xr:uid="{00000000-0005-0000-0000-00003B5C0000}"/>
    <cellStyle name="Normal 11 5 3 2 2 2" xfId="15627" xr:uid="{00000000-0005-0000-0000-00003C5C0000}"/>
    <cellStyle name="Normal 11 5 3 2 2 2 2" xfId="29195" xr:uid="{00000000-0005-0000-0000-00003D5C0000}"/>
    <cellStyle name="Normal 11 5 3 2 2 2 2 2" xfId="56328" xr:uid="{00000000-0005-0000-0000-00003E5C0000}"/>
    <cellStyle name="Normal 11 5 3 2 2 2 3" xfId="42766" xr:uid="{00000000-0005-0000-0000-00003F5C0000}"/>
    <cellStyle name="Normal 11 5 3 2 2 3" xfId="22414" xr:uid="{00000000-0005-0000-0000-0000405C0000}"/>
    <cellStyle name="Normal 11 5 3 2 2 3 2" xfId="49547" xr:uid="{00000000-0005-0000-0000-0000415C0000}"/>
    <cellStyle name="Normal 11 5 3 2 2 4" xfId="35985" xr:uid="{00000000-0005-0000-0000-0000425C0000}"/>
    <cellStyle name="Normal 11 5 3 2 3" xfId="12238" xr:uid="{00000000-0005-0000-0000-0000435C0000}"/>
    <cellStyle name="Normal 11 5 3 2 3 2" xfId="25806" xr:uid="{00000000-0005-0000-0000-0000445C0000}"/>
    <cellStyle name="Normal 11 5 3 2 3 2 2" xfId="52939" xr:uid="{00000000-0005-0000-0000-0000455C0000}"/>
    <cellStyle name="Normal 11 5 3 2 3 3" xfId="39377" xr:uid="{00000000-0005-0000-0000-0000465C0000}"/>
    <cellStyle name="Normal 11 5 3 2 4" xfId="19025" xr:uid="{00000000-0005-0000-0000-0000475C0000}"/>
    <cellStyle name="Normal 11 5 3 2 4 2" xfId="46158" xr:uid="{00000000-0005-0000-0000-0000485C0000}"/>
    <cellStyle name="Normal 11 5 3 2 5" xfId="32596" xr:uid="{00000000-0005-0000-0000-0000495C0000}"/>
    <cellStyle name="Normal 11 5 3 3" xfId="5289" xr:uid="{00000000-0005-0000-0000-00004A5C0000}"/>
    <cellStyle name="Normal 11 5 3 3 2" xfId="8839" xr:uid="{00000000-0005-0000-0000-00004B5C0000}"/>
    <cellStyle name="Normal 11 5 3 3 2 2" xfId="15628" xr:uid="{00000000-0005-0000-0000-00004C5C0000}"/>
    <cellStyle name="Normal 11 5 3 3 2 2 2" xfId="29196" xr:uid="{00000000-0005-0000-0000-00004D5C0000}"/>
    <cellStyle name="Normal 11 5 3 3 2 2 2 2" xfId="56329" xr:uid="{00000000-0005-0000-0000-00004E5C0000}"/>
    <cellStyle name="Normal 11 5 3 3 2 2 3" xfId="42767" xr:uid="{00000000-0005-0000-0000-00004F5C0000}"/>
    <cellStyle name="Normal 11 5 3 3 2 3" xfId="22415" xr:uid="{00000000-0005-0000-0000-0000505C0000}"/>
    <cellStyle name="Normal 11 5 3 3 2 3 2" xfId="49548" xr:uid="{00000000-0005-0000-0000-0000515C0000}"/>
    <cellStyle name="Normal 11 5 3 3 2 4" xfId="35986" xr:uid="{00000000-0005-0000-0000-0000525C0000}"/>
    <cellStyle name="Normal 11 5 3 3 3" xfId="12239" xr:uid="{00000000-0005-0000-0000-0000535C0000}"/>
    <cellStyle name="Normal 11 5 3 3 3 2" xfId="25807" xr:uid="{00000000-0005-0000-0000-0000545C0000}"/>
    <cellStyle name="Normal 11 5 3 3 3 2 2" xfId="52940" xr:uid="{00000000-0005-0000-0000-0000555C0000}"/>
    <cellStyle name="Normal 11 5 3 3 3 3" xfId="39378" xr:uid="{00000000-0005-0000-0000-0000565C0000}"/>
    <cellStyle name="Normal 11 5 3 3 4" xfId="19026" xr:uid="{00000000-0005-0000-0000-0000575C0000}"/>
    <cellStyle name="Normal 11 5 3 3 4 2" xfId="46159" xr:uid="{00000000-0005-0000-0000-0000585C0000}"/>
    <cellStyle name="Normal 11 5 3 3 5" xfId="32597" xr:uid="{00000000-0005-0000-0000-0000595C0000}"/>
    <cellStyle name="Normal 11 5 3 4" xfId="8837" xr:uid="{00000000-0005-0000-0000-00005A5C0000}"/>
    <cellStyle name="Normal 11 5 3 4 2" xfId="15626" xr:uid="{00000000-0005-0000-0000-00005B5C0000}"/>
    <cellStyle name="Normal 11 5 3 4 2 2" xfId="29194" xr:uid="{00000000-0005-0000-0000-00005C5C0000}"/>
    <cellStyle name="Normal 11 5 3 4 2 2 2" xfId="56327" xr:uid="{00000000-0005-0000-0000-00005D5C0000}"/>
    <cellStyle name="Normal 11 5 3 4 2 3" xfId="42765" xr:uid="{00000000-0005-0000-0000-00005E5C0000}"/>
    <cellStyle name="Normal 11 5 3 4 3" xfId="22413" xr:uid="{00000000-0005-0000-0000-00005F5C0000}"/>
    <cellStyle name="Normal 11 5 3 4 3 2" xfId="49546" xr:uid="{00000000-0005-0000-0000-0000605C0000}"/>
    <cellStyle name="Normal 11 5 3 4 4" xfId="35984" xr:uid="{00000000-0005-0000-0000-0000615C0000}"/>
    <cellStyle name="Normal 11 5 3 5" xfId="12237" xr:uid="{00000000-0005-0000-0000-0000625C0000}"/>
    <cellStyle name="Normal 11 5 3 5 2" xfId="25805" xr:uid="{00000000-0005-0000-0000-0000635C0000}"/>
    <cellStyle name="Normal 11 5 3 5 2 2" xfId="52938" xr:uid="{00000000-0005-0000-0000-0000645C0000}"/>
    <cellStyle name="Normal 11 5 3 5 3" xfId="39376" xr:uid="{00000000-0005-0000-0000-0000655C0000}"/>
    <cellStyle name="Normal 11 5 3 6" xfId="19024" xr:uid="{00000000-0005-0000-0000-0000665C0000}"/>
    <cellStyle name="Normal 11 5 3 6 2" xfId="46157" xr:uid="{00000000-0005-0000-0000-0000675C0000}"/>
    <cellStyle name="Normal 11 5 3 7" xfId="32595" xr:uid="{00000000-0005-0000-0000-0000685C0000}"/>
    <cellStyle name="Normal 11 5 4" xfId="5290" xr:uid="{00000000-0005-0000-0000-0000695C0000}"/>
    <cellStyle name="Normal 11 5 4 2" xfId="5291" xr:uid="{00000000-0005-0000-0000-00006A5C0000}"/>
    <cellStyle name="Normal 11 5 4 2 2" xfId="8841" xr:uid="{00000000-0005-0000-0000-00006B5C0000}"/>
    <cellStyle name="Normal 11 5 4 2 2 2" xfId="15630" xr:uid="{00000000-0005-0000-0000-00006C5C0000}"/>
    <cellStyle name="Normal 11 5 4 2 2 2 2" xfId="29198" xr:uid="{00000000-0005-0000-0000-00006D5C0000}"/>
    <cellStyle name="Normal 11 5 4 2 2 2 2 2" xfId="56331" xr:uid="{00000000-0005-0000-0000-00006E5C0000}"/>
    <cellStyle name="Normal 11 5 4 2 2 2 3" xfId="42769" xr:uid="{00000000-0005-0000-0000-00006F5C0000}"/>
    <cellStyle name="Normal 11 5 4 2 2 3" xfId="22417" xr:uid="{00000000-0005-0000-0000-0000705C0000}"/>
    <cellStyle name="Normal 11 5 4 2 2 3 2" xfId="49550" xr:uid="{00000000-0005-0000-0000-0000715C0000}"/>
    <cellStyle name="Normal 11 5 4 2 2 4" xfId="35988" xr:uid="{00000000-0005-0000-0000-0000725C0000}"/>
    <cellStyle name="Normal 11 5 4 2 3" xfId="12241" xr:uid="{00000000-0005-0000-0000-0000735C0000}"/>
    <cellStyle name="Normal 11 5 4 2 3 2" xfId="25809" xr:uid="{00000000-0005-0000-0000-0000745C0000}"/>
    <cellStyle name="Normal 11 5 4 2 3 2 2" xfId="52942" xr:uid="{00000000-0005-0000-0000-0000755C0000}"/>
    <cellStyle name="Normal 11 5 4 2 3 3" xfId="39380" xr:uid="{00000000-0005-0000-0000-0000765C0000}"/>
    <cellStyle name="Normal 11 5 4 2 4" xfId="19028" xr:uid="{00000000-0005-0000-0000-0000775C0000}"/>
    <cellStyle name="Normal 11 5 4 2 4 2" xfId="46161" xr:uid="{00000000-0005-0000-0000-0000785C0000}"/>
    <cellStyle name="Normal 11 5 4 2 5" xfId="32599" xr:uid="{00000000-0005-0000-0000-0000795C0000}"/>
    <cellStyle name="Normal 11 5 4 3" xfId="8840" xr:uid="{00000000-0005-0000-0000-00007A5C0000}"/>
    <cellStyle name="Normal 11 5 4 3 2" xfId="15629" xr:uid="{00000000-0005-0000-0000-00007B5C0000}"/>
    <cellStyle name="Normal 11 5 4 3 2 2" xfId="29197" xr:uid="{00000000-0005-0000-0000-00007C5C0000}"/>
    <cellStyle name="Normal 11 5 4 3 2 2 2" xfId="56330" xr:uid="{00000000-0005-0000-0000-00007D5C0000}"/>
    <cellStyle name="Normal 11 5 4 3 2 3" xfId="42768" xr:uid="{00000000-0005-0000-0000-00007E5C0000}"/>
    <cellStyle name="Normal 11 5 4 3 3" xfId="22416" xr:uid="{00000000-0005-0000-0000-00007F5C0000}"/>
    <cellStyle name="Normal 11 5 4 3 3 2" xfId="49549" xr:uid="{00000000-0005-0000-0000-0000805C0000}"/>
    <cellStyle name="Normal 11 5 4 3 4" xfId="35987" xr:uid="{00000000-0005-0000-0000-0000815C0000}"/>
    <cellStyle name="Normal 11 5 4 4" xfId="12240" xr:uid="{00000000-0005-0000-0000-0000825C0000}"/>
    <cellStyle name="Normal 11 5 4 4 2" xfId="25808" xr:uid="{00000000-0005-0000-0000-0000835C0000}"/>
    <cellStyle name="Normal 11 5 4 4 2 2" xfId="52941" xr:uid="{00000000-0005-0000-0000-0000845C0000}"/>
    <cellStyle name="Normal 11 5 4 4 3" xfId="39379" xr:uid="{00000000-0005-0000-0000-0000855C0000}"/>
    <cellStyle name="Normal 11 5 4 5" xfId="19027" xr:uid="{00000000-0005-0000-0000-0000865C0000}"/>
    <cellStyle name="Normal 11 5 4 5 2" xfId="46160" xr:uid="{00000000-0005-0000-0000-0000875C0000}"/>
    <cellStyle name="Normal 11 5 4 6" xfId="32598" xr:uid="{00000000-0005-0000-0000-0000885C0000}"/>
    <cellStyle name="Normal 11 5 5" xfId="5292" xr:uid="{00000000-0005-0000-0000-0000895C0000}"/>
    <cellStyle name="Normal 11 5 5 2" xfId="8842" xr:uid="{00000000-0005-0000-0000-00008A5C0000}"/>
    <cellStyle name="Normal 11 5 5 2 2" xfId="15631" xr:uid="{00000000-0005-0000-0000-00008B5C0000}"/>
    <cellStyle name="Normal 11 5 5 2 2 2" xfId="29199" xr:uid="{00000000-0005-0000-0000-00008C5C0000}"/>
    <cellStyle name="Normal 11 5 5 2 2 2 2" xfId="56332" xr:uid="{00000000-0005-0000-0000-00008D5C0000}"/>
    <cellStyle name="Normal 11 5 5 2 2 3" xfId="42770" xr:uid="{00000000-0005-0000-0000-00008E5C0000}"/>
    <cellStyle name="Normal 11 5 5 2 3" xfId="22418" xr:uid="{00000000-0005-0000-0000-00008F5C0000}"/>
    <cellStyle name="Normal 11 5 5 2 3 2" xfId="49551" xr:uid="{00000000-0005-0000-0000-0000905C0000}"/>
    <cellStyle name="Normal 11 5 5 2 4" xfId="35989" xr:uid="{00000000-0005-0000-0000-0000915C0000}"/>
    <cellStyle name="Normal 11 5 5 3" xfId="12242" xr:uid="{00000000-0005-0000-0000-0000925C0000}"/>
    <cellStyle name="Normal 11 5 5 3 2" xfId="25810" xr:uid="{00000000-0005-0000-0000-0000935C0000}"/>
    <cellStyle name="Normal 11 5 5 3 2 2" xfId="52943" xr:uid="{00000000-0005-0000-0000-0000945C0000}"/>
    <cellStyle name="Normal 11 5 5 3 3" xfId="39381" xr:uid="{00000000-0005-0000-0000-0000955C0000}"/>
    <cellStyle name="Normal 11 5 5 4" xfId="19029" xr:uid="{00000000-0005-0000-0000-0000965C0000}"/>
    <cellStyle name="Normal 11 5 5 4 2" xfId="46162" xr:uid="{00000000-0005-0000-0000-0000975C0000}"/>
    <cellStyle name="Normal 11 5 5 5" xfId="32600" xr:uid="{00000000-0005-0000-0000-0000985C0000}"/>
    <cellStyle name="Normal 11 5 6" xfId="5293" xr:uid="{00000000-0005-0000-0000-0000995C0000}"/>
    <cellStyle name="Normal 11 5 6 2" xfId="8843" xr:uid="{00000000-0005-0000-0000-00009A5C0000}"/>
    <cellStyle name="Normal 11 5 6 2 2" xfId="15632" xr:uid="{00000000-0005-0000-0000-00009B5C0000}"/>
    <cellStyle name="Normal 11 5 6 2 2 2" xfId="29200" xr:uid="{00000000-0005-0000-0000-00009C5C0000}"/>
    <cellStyle name="Normal 11 5 6 2 2 2 2" xfId="56333" xr:uid="{00000000-0005-0000-0000-00009D5C0000}"/>
    <cellStyle name="Normal 11 5 6 2 2 3" xfId="42771" xr:uid="{00000000-0005-0000-0000-00009E5C0000}"/>
    <cellStyle name="Normal 11 5 6 2 3" xfId="22419" xr:uid="{00000000-0005-0000-0000-00009F5C0000}"/>
    <cellStyle name="Normal 11 5 6 2 3 2" xfId="49552" xr:uid="{00000000-0005-0000-0000-0000A05C0000}"/>
    <cellStyle name="Normal 11 5 6 2 4" xfId="35990" xr:uid="{00000000-0005-0000-0000-0000A15C0000}"/>
    <cellStyle name="Normal 11 5 6 3" xfId="12243" xr:uid="{00000000-0005-0000-0000-0000A25C0000}"/>
    <cellStyle name="Normal 11 5 6 3 2" xfId="25811" xr:uid="{00000000-0005-0000-0000-0000A35C0000}"/>
    <cellStyle name="Normal 11 5 6 3 2 2" xfId="52944" xr:uid="{00000000-0005-0000-0000-0000A45C0000}"/>
    <cellStyle name="Normal 11 5 6 3 3" xfId="39382" xr:uid="{00000000-0005-0000-0000-0000A55C0000}"/>
    <cellStyle name="Normal 11 5 6 4" xfId="19030" xr:uid="{00000000-0005-0000-0000-0000A65C0000}"/>
    <cellStyle name="Normal 11 5 6 4 2" xfId="46163" xr:uid="{00000000-0005-0000-0000-0000A75C0000}"/>
    <cellStyle name="Normal 11 5 6 5" xfId="32601" xr:uid="{00000000-0005-0000-0000-0000A85C0000}"/>
    <cellStyle name="Normal 11 5 7" xfId="8828" xr:uid="{00000000-0005-0000-0000-0000A95C0000}"/>
    <cellStyle name="Normal 11 5 7 2" xfId="15617" xr:uid="{00000000-0005-0000-0000-0000AA5C0000}"/>
    <cellStyle name="Normal 11 5 7 2 2" xfId="29185" xr:uid="{00000000-0005-0000-0000-0000AB5C0000}"/>
    <cellStyle name="Normal 11 5 7 2 2 2" xfId="56318" xr:uid="{00000000-0005-0000-0000-0000AC5C0000}"/>
    <cellStyle name="Normal 11 5 7 2 3" xfId="42756" xr:uid="{00000000-0005-0000-0000-0000AD5C0000}"/>
    <cellStyle name="Normal 11 5 7 3" xfId="22404" xr:uid="{00000000-0005-0000-0000-0000AE5C0000}"/>
    <cellStyle name="Normal 11 5 7 3 2" xfId="49537" xr:uid="{00000000-0005-0000-0000-0000AF5C0000}"/>
    <cellStyle name="Normal 11 5 7 4" xfId="35975" xr:uid="{00000000-0005-0000-0000-0000B05C0000}"/>
    <cellStyle name="Normal 11 5 8" xfId="12228" xr:uid="{00000000-0005-0000-0000-0000B15C0000}"/>
    <cellStyle name="Normal 11 5 8 2" xfId="25796" xr:uid="{00000000-0005-0000-0000-0000B25C0000}"/>
    <cellStyle name="Normal 11 5 8 2 2" xfId="52929" xr:uid="{00000000-0005-0000-0000-0000B35C0000}"/>
    <cellStyle name="Normal 11 5 8 3" xfId="39367" xr:uid="{00000000-0005-0000-0000-0000B45C0000}"/>
    <cellStyle name="Normal 11 5 9" xfId="19015" xr:uid="{00000000-0005-0000-0000-0000B55C0000}"/>
    <cellStyle name="Normal 11 5 9 2" xfId="46148" xr:uid="{00000000-0005-0000-0000-0000B65C0000}"/>
    <cellStyle name="Normal 11 6" xfId="5294" xr:uid="{00000000-0005-0000-0000-0000B75C0000}"/>
    <cellStyle name="Normal 11 6 2" xfId="5295" xr:uid="{00000000-0005-0000-0000-0000B85C0000}"/>
    <cellStyle name="Normal 11 6 2 2" xfId="5296" xr:uid="{00000000-0005-0000-0000-0000B95C0000}"/>
    <cellStyle name="Normal 11 6 2 2 2" xfId="8846" xr:uid="{00000000-0005-0000-0000-0000BA5C0000}"/>
    <cellStyle name="Normal 11 6 2 2 2 2" xfId="15635" xr:uid="{00000000-0005-0000-0000-0000BB5C0000}"/>
    <cellStyle name="Normal 11 6 2 2 2 2 2" xfId="29203" xr:uid="{00000000-0005-0000-0000-0000BC5C0000}"/>
    <cellStyle name="Normal 11 6 2 2 2 2 2 2" xfId="56336" xr:uid="{00000000-0005-0000-0000-0000BD5C0000}"/>
    <cellStyle name="Normal 11 6 2 2 2 2 3" xfId="42774" xr:uid="{00000000-0005-0000-0000-0000BE5C0000}"/>
    <cellStyle name="Normal 11 6 2 2 2 3" xfId="22422" xr:uid="{00000000-0005-0000-0000-0000BF5C0000}"/>
    <cellStyle name="Normal 11 6 2 2 2 3 2" xfId="49555" xr:uid="{00000000-0005-0000-0000-0000C05C0000}"/>
    <cellStyle name="Normal 11 6 2 2 2 4" xfId="35993" xr:uid="{00000000-0005-0000-0000-0000C15C0000}"/>
    <cellStyle name="Normal 11 6 2 2 3" xfId="12246" xr:uid="{00000000-0005-0000-0000-0000C25C0000}"/>
    <cellStyle name="Normal 11 6 2 2 3 2" xfId="25814" xr:uid="{00000000-0005-0000-0000-0000C35C0000}"/>
    <cellStyle name="Normal 11 6 2 2 3 2 2" xfId="52947" xr:uid="{00000000-0005-0000-0000-0000C45C0000}"/>
    <cellStyle name="Normal 11 6 2 2 3 3" xfId="39385" xr:uid="{00000000-0005-0000-0000-0000C55C0000}"/>
    <cellStyle name="Normal 11 6 2 2 4" xfId="19033" xr:uid="{00000000-0005-0000-0000-0000C65C0000}"/>
    <cellStyle name="Normal 11 6 2 2 4 2" xfId="46166" xr:uid="{00000000-0005-0000-0000-0000C75C0000}"/>
    <cellStyle name="Normal 11 6 2 2 5" xfId="32604" xr:uid="{00000000-0005-0000-0000-0000C85C0000}"/>
    <cellStyle name="Normal 11 6 2 3" xfId="5297" xr:uid="{00000000-0005-0000-0000-0000C95C0000}"/>
    <cellStyle name="Normal 11 6 2 3 2" xfId="8847" xr:uid="{00000000-0005-0000-0000-0000CA5C0000}"/>
    <cellStyle name="Normal 11 6 2 3 2 2" xfId="15636" xr:uid="{00000000-0005-0000-0000-0000CB5C0000}"/>
    <cellStyle name="Normal 11 6 2 3 2 2 2" xfId="29204" xr:uid="{00000000-0005-0000-0000-0000CC5C0000}"/>
    <cellStyle name="Normal 11 6 2 3 2 2 2 2" xfId="56337" xr:uid="{00000000-0005-0000-0000-0000CD5C0000}"/>
    <cellStyle name="Normal 11 6 2 3 2 2 3" xfId="42775" xr:uid="{00000000-0005-0000-0000-0000CE5C0000}"/>
    <cellStyle name="Normal 11 6 2 3 2 3" xfId="22423" xr:uid="{00000000-0005-0000-0000-0000CF5C0000}"/>
    <cellStyle name="Normal 11 6 2 3 2 3 2" xfId="49556" xr:uid="{00000000-0005-0000-0000-0000D05C0000}"/>
    <cellStyle name="Normal 11 6 2 3 2 4" xfId="35994" xr:uid="{00000000-0005-0000-0000-0000D15C0000}"/>
    <cellStyle name="Normal 11 6 2 3 3" xfId="12247" xr:uid="{00000000-0005-0000-0000-0000D25C0000}"/>
    <cellStyle name="Normal 11 6 2 3 3 2" xfId="25815" xr:uid="{00000000-0005-0000-0000-0000D35C0000}"/>
    <cellStyle name="Normal 11 6 2 3 3 2 2" xfId="52948" xr:uid="{00000000-0005-0000-0000-0000D45C0000}"/>
    <cellStyle name="Normal 11 6 2 3 3 3" xfId="39386" xr:uid="{00000000-0005-0000-0000-0000D55C0000}"/>
    <cellStyle name="Normal 11 6 2 3 4" xfId="19034" xr:uid="{00000000-0005-0000-0000-0000D65C0000}"/>
    <cellStyle name="Normal 11 6 2 3 4 2" xfId="46167" xr:uid="{00000000-0005-0000-0000-0000D75C0000}"/>
    <cellStyle name="Normal 11 6 2 3 5" xfId="32605" xr:uid="{00000000-0005-0000-0000-0000D85C0000}"/>
    <cellStyle name="Normal 11 6 2 4" xfId="8845" xr:uid="{00000000-0005-0000-0000-0000D95C0000}"/>
    <cellStyle name="Normal 11 6 2 4 2" xfId="15634" xr:uid="{00000000-0005-0000-0000-0000DA5C0000}"/>
    <cellStyle name="Normal 11 6 2 4 2 2" xfId="29202" xr:uid="{00000000-0005-0000-0000-0000DB5C0000}"/>
    <cellStyle name="Normal 11 6 2 4 2 2 2" xfId="56335" xr:uid="{00000000-0005-0000-0000-0000DC5C0000}"/>
    <cellStyle name="Normal 11 6 2 4 2 3" xfId="42773" xr:uid="{00000000-0005-0000-0000-0000DD5C0000}"/>
    <cellStyle name="Normal 11 6 2 4 3" xfId="22421" xr:uid="{00000000-0005-0000-0000-0000DE5C0000}"/>
    <cellStyle name="Normal 11 6 2 4 3 2" xfId="49554" xr:uid="{00000000-0005-0000-0000-0000DF5C0000}"/>
    <cellStyle name="Normal 11 6 2 4 4" xfId="35992" xr:uid="{00000000-0005-0000-0000-0000E05C0000}"/>
    <cellStyle name="Normal 11 6 2 5" xfId="12245" xr:uid="{00000000-0005-0000-0000-0000E15C0000}"/>
    <cellStyle name="Normal 11 6 2 5 2" xfId="25813" xr:uid="{00000000-0005-0000-0000-0000E25C0000}"/>
    <cellStyle name="Normal 11 6 2 5 2 2" xfId="52946" xr:uid="{00000000-0005-0000-0000-0000E35C0000}"/>
    <cellStyle name="Normal 11 6 2 5 3" xfId="39384" xr:uid="{00000000-0005-0000-0000-0000E45C0000}"/>
    <cellStyle name="Normal 11 6 2 6" xfId="19032" xr:uid="{00000000-0005-0000-0000-0000E55C0000}"/>
    <cellStyle name="Normal 11 6 2 6 2" xfId="46165" xr:uid="{00000000-0005-0000-0000-0000E65C0000}"/>
    <cellStyle name="Normal 11 6 2 7" xfId="32603" xr:uid="{00000000-0005-0000-0000-0000E75C0000}"/>
    <cellStyle name="Normal 11 6 3" xfId="5298" xr:uid="{00000000-0005-0000-0000-0000E85C0000}"/>
    <cellStyle name="Normal 11 6 3 2" xfId="5299" xr:uid="{00000000-0005-0000-0000-0000E95C0000}"/>
    <cellStyle name="Normal 11 6 3 2 2" xfId="8849" xr:uid="{00000000-0005-0000-0000-0000EA5C0000}"/>
    <cellStyle name="Normal 11 6 3 2 2 2" xfId="15638" xr:uid="{00000000-0005-0000-0000-0000EB5C0000}"/>
    <cellStyle name="Normal 11 6 3 2 2 2 2" xfId="29206" xr:uid="{00000000-0005-0000-0000-0000EC5C0000}"/>
    <cellStyle name="Normal 11 6 3 2 2 2 2 2" xfId="56339" xr:uid="{00000000-0005-0000-0000-0000ED5C0000}"/>
    <cellStyle name="Normal 11 6 3 2 2 2 3" xfId="42777" xr:uid="{00000000-0005-0000-0000-0000EE5C0000}"/>
    <cellStyle name="Normal 11 6 3 2 2 3" xfId="22425" xr:uid="{00000000-0005-0000-0000-0000EF5C0000}"/>
    <cellStyle name="Normal 11 6 3 2 2 3 2" xfId="49558" xr:uid="{00000000-0005-0000-0000-0000F05C0000}"/>
    <cellStyle name="Normal 11 6 3 2 2 4" xfId="35996" xr:uid="{00000000-0005-0000-0000-0000F15C0000}"/>
    <cellStyle name="Normal 11 6 3 2 3" xfId="12249" xr:uid="{00000000-0005-0000-0000-0000F25C0000}"/>
    <cellStyle name="Normal 11 6 3 2 3 2" xfId="25817" xr:uid="{00000000-0005-0000-0000-0000F35C0000}"/>
    <cellStyle name="Normal 11 6 3 2 3 2 2" xfId="52950" xr:uid="{00000000-0005-0000-0000-0000F45C0000}"/>
    <cellStyle name="Normal 11 6 3 2 3 3" xfId="39388" xr:uid="{00000000-0005-0000-0000-0000F55C0000}"/>
    <cellStyle name="Normal 11 6 3 2 4" xfId="19036" xr:uid="{00000000-0005-0000-0000-0000F65C0000}"/>
    <cellStyle name="Normal 11 6 3 2 4 2" xfId="46169" xr:uid="{00000000-0005-0000-0000-0000F75C0000}"/>
    <cellStyle name="Normal 11 6 3 2 5" xfId="32607" xr:uid="{00000000-0005-0000-0000-0000F85C0000}"/>
    <cellStyle name="Normal 11 6 3 3" xfId="8848" xr:uid="{00000000-0005-0000-0000-0000F95C0000}"/>
    <cellStyle name="Normal 11 6 3 3 2" xfId="15637" xr:uid="{00000000-0005-0000-0000-0000FA5C0000}"/>
    <cellStyle name="Normal 11 6 3 3 2 2" xfId="29205" xr:uid="{00000000-0005-0000-0000-0000FB5C0000}"/>
    <cellStyle name="Normal 11 6 3 3 2 2 2" xfId="56338" xr:uid="{00000000-0005-0000-0000-0000FC5C0000}"/>
    <cellStyle name="Normal 11 6 3 3 2 3" xfId="42776" xr:uid="{00000000-0005-0000-0000-0000FD5C0000}"/>
    <cellStyle name="Normal 11 6 3 3 3" xfId="22424" xr:uid="{00000000-0005-0000-0000-0000FE5C0000}"/>
    <cellStyle name="Normal 11 6 3 3 3 2" xfId="49557" xr:uid="{00000000-0005-0000-0000-0000FF5C0000}"/>
    <cellStyle name="Normal 11 6 3 3 4" xfId="35995" xr:uid="{00000000-0005-0000-0000-0000005D0000}"/>
    <cellStyle name="Normal 11 6 3 4" xfId="12248" xr:uid="{00000000-0005-0000-0000-0000015D0000}"/>
    <cellStyle name="Normal 11 6 3 4 2" xfId="25816" xr:uid="{00000000-0005-0000-0000-0000025D0000}"/>
    <cellStyle name="Normal 11 6 3 4 2 2" xfId="52949" xr:uid="{00000000-0005-0000-0000-0000035D0000}"/>
    <cellStyle name="Normal 11 6 3 4 3" xfId="39387" xr:uid="{00000000-0005-0000-0000-0000045D0000}"/>
    <cellStyle name="Normal 11 6 3 5" xfId="19035" xr:uid="{00000000-0005-0000-0000-0000055D0000}"/>
    <cellStyle name="Normal 11 6 3 5 2" xfId="46168" xr:uid="{00000000-0005-0000-0000-0000065D0000}"/>
    <cellStyle name="Normal 11 6 3 6" xfId="32606" xr:uid="{00000000-0005-0000-0000-0000075D0000}"/>
    <cellStyle name="Normal 11 6 4" xfId="5300" xr:uid="{00000000-0005-0000-0000-0000085D0000}"/>
    <cellStyle name="Normal 11 6 4 2" xfId="8850" xr:uid="{00000000-0005-0000-0000-0000095D0000}"/>
    <cellStyle name="Normal 11 6 4 2 2" xfId="15639" xr:uid="{00000000-0005-0000-0000-00000A5D0000}"/>
    <cellStyle name="Normal 11 6 4 2 2 2" xfId="29207" xr:uid="{00000000-0005-0000-0000-00000B5D0000}"/>
    <cellStyle name="Normal 11 6 4 2 2 2 2" xfId="56340" xr:uid="{00000000-0005-0000-0000-00000C5D0000}"/>
    <cellStyle name="Normal 11 6 4 2 2 3" xfId="42778" xr:uid="{00000000-0005-0000-0000-00000D5D0000}"/>
    <cellStyle name="Normal 11 6 4 2 3" xfId="22426" xr:uid="{00000000-0005-0000-0000-00000E5D0000}"/>
    <cellStyle name="Normal 11 6 4 2 3 2" xfId="49559" xr:uid="{00000000-0005-0000-0000-00000F5D0000}"/>
    <cellStyle name="Normal 11 6 4 2 4" xfId="35997" xr:uid="{00000000-0005-0000-0000-0000105D0000}"/>
    <cellStyle name="Normal 11 6 4 3" xfId="12250" xr:uid="{00000000-0005-0000-0000-0000115D0000}"/>
    <cellStyle name="Normal 11 6 4 3 2" xfId="25818" xr:uid="{00000000-0005-0000-0000-0000125D0000}"/>
    <cellStyle name="Normal 11 6 4 3 2 2" xfId="52951" xr:uid="{00000000-0005-0000-0000-0000135D0000}"/>
    <cellStyle name="Normal 11 6 4 3 3" xfId="39389" xr:uid="{00000000-0005-0000-0000-0000145D0000}"/>
    <cellStyle name="Normal 11 6 4 4" xfId="19037" xr:uid="{00000000-0005-0000-0000-0000155D0000}"/>
    <cellStyle name="Normal 11 6 4 4 2" xfId="46170" xr:uid="{00000000-0005-0000-0000-0000165D0000}"/>
    <cellStyle name="Normal 11 6 4 5" xfId="32608" xr:uid="{00000000-0005-0000-0000-0000175D0000}"/>
    <cellStyle name="Normal 11 6 5" xfId="5301" xr:uid="{00000000-0005-0000-0000-0000185D0000}"/>
    <cellStyle name="Normal 11 6 5 2" xfId="8851" xr:uid="{00000000-0005-0000-0000-0000195D0000}"/>
    <cellStyle name="Normal 11 6 5 2 2" xfId="15640" xr:uid="{00000000-0005-0000-0000-00001A5D0000}"/>
    <cellStyle name="Normal 11 6 5 2 2 2" xfId="29208" xr:uid="{00000000-0005-0000-0000-00001B5D0000}"/>
    <cellStyle name="Normal 11 6 5 2 2 2 2" xfId="56341" xr:uid="{00000000-0005-0000-0000-00001C5D0000}"/>
    <cellStyle name="Normal 11 6 5 2 2 3" xfId="42779" xr:uid="{00000000-0005-0000-0000-00001D5D0000}"/>
    <cellStyle name="Normal 11 6 5 2 3" xfId="22427" xr:uid="{00000000-0005-0000-0000-00001E5D0000}"/>
    <cellStyle name="Normal 11 6 5 2 3 2" xfId="49560" xr:uid="{00000000-0005-0000-0000-00001F5D0000}"/>
    <cellStyle name="Normal 11 6 5 2 4" xfId="35998" xr:uid="{00000000-0005-0000-0000-0000205D0000}"/>
    <cellStyle name="Normal 11 6 5 3" xfId="12251" xr:uid="{00000000-0005-0000-0000-0000215D0000}"/>
    <cellStyle name="Normal 11 6 5 3 2" xfId="25819" xr:uid="{00000000-0005-0000-0000-0000225D0000}"/>
    <cellStyle name="Normal 11 6 5 3 2 2" xfId="52952" xr:uid="{00000000-0005-0000-0000-0000235D0000}"/>
    <cellStyle name="Normal 11 6 5 3 3" xfId="39390" xr:uid="{00000000-0005-0000-0000-0000245D0000}"/>
    <cellStyle name="Normal 11 6 5 4" xfId="19038" xr:uid="{00000000-0005-0000-0000-0000255D0000}"/>
    <cellStyle name="Normal 11 6 5 4 2" xfId="46171" xr:uid="{00000000-0005-0000-0000-0000265D0000}"/>
    <cellStyle name="Normal 11 6 5 5" xfId="32609" xr:uid="{00000000-0005-0000-0000-0000275D0000}"/>
    <cellStyle name="Normal 11 6 6" xfId="8844" xr:uid="{00000000-0005-0000-0000-0000285D0000}"/>
    <cellStyle name="Normal 11 6 6 2" xfId="15633" xr:uid="{00000000-0005-0000-0000-0000295D0000}"/>
    <cellStyle name="Normal 11 6 6 2 2" xfId="29201" xr:uid="{00000000-0005-0000-0000-00002A5D0000}"/>
    <cellStyle name="Normal 11 6 6 2 2 2" xfId="56334" xr:uid="{00000000-0005-0000-0000-00002B5D0000}"/>
    <cellStyle name="Normal 11 6 6 2 3" xfId="42772" xr:uid="{00000000-0005-0000-0000-00002C5D0000}"/>
    <cellStyle name="Normal 11 6 6 3" xfId="22420" xr:uid="{00000000-0005-0000-0000-00002D5D0000}"/>
    <cellStyle name="Normal 11 6 6 3 2" xfId="49553" xr:uid="{00000000-0005-0000-0000-00002E5D0000}"/>
    <cellStyle name="Normal 11 6 6 4" xfId="35991" xr:uid="{00000000-0005-0000-0000-00002F5D0000}"/>
    <cellStyle name="Normal 11 6 7" xfId="12244" xr:uid="{00000000-0005-0000-0000-0000305D0000}"/>
    <cellStyle name="Normal 11 6 7 2" xfId="25812" xr:uid="{00000000-0005-0000-0000-0000315D0000}"/>
    <cellStyle name="Normal 11 6 7 2 2" xfId="52945" xr:uid="{00000000-0005-0000-0000-0000325D0000}"/>
    <cellStyle name="Normal 11 6 7 3" xfId="39383" xr:uid="{00000000-0005-0000-0000-0000335D0000}"/>
    <cellStyle name="Normal 11 6 8" xfId="19031" xr:uid="{00000000-0005-0000-0000-0000345D0000}"/>
    <cellStyle name="Normal 11 6 8 2" xfId="46164" xr:uid="{00000000-0005-0000-0000-0000355D0000}"/>
    <cellStyle name="Normal 11 6 9" xfId="32602" xr:uid="{00000000-0005-0000-0000-0000365D0000}"/>
    <cellStyle name="Normal 11 7" xfId="5302" xr:uid="{00000000-0005-0000-0000-0000375D0000}"/>
    <cellStyle name="Normal 11 7 2" xfId="5303" xr:uid="{00000000-0005-0000-0000-0000385D0000}"/>
    <cellStyle name="Normal 11 7 2 2" xfId="5304" xr:uid="{00000000-0005-0000-0000-0000395D0000}"/>
    <cellStyle name="Normal 11 7 2 2 2" xfId="8854" xr:uid="{00000000-0005-0000-0000-00003A5D0000}"/>
    <cellStyle name="Normal 11 7 2 2 2 2" xfId="15643" xr:uid="{00000000-0005-0000-0000-00003B5D0000}"/>
    <cellStyle name="Normal 11 7 2 2 2 2 2" xfId="29211" xr:uid="{00000000-0005-0000-0000-00003C5D0000}"/>
    <cellStyle name="Normal 11 7 2 2 2 2 2 2" xfId="56344" xr:uid="{00000000-0005-0000-0000-00003D5D0000}"/>
    <cellStyle name="Normal 11 7 2 2 2 2 3" xfId="42782" xr:uid="{00000000-0005-0000-0000-00003E5D0000}"/>
    <cellStyle name="Normal 11 7 2 2 2 3" xfId="22430" xr:uid="{00000000-0005-0000-0000-00003F5D0000}"/>
    <cellStyle name="Normal 11 7 2 2 2 3 2" xfId="49563" xr:uid="{00000000-0005-0000-0000-0000405D0000}"/>
    <cellStyle name="Normal 11 7 2 2 2 4" xfId="36001" xr:uid="{00000000-0005-0000-0000-0000415D0000}"/>
    <cellStyle name="Normal 11 7 2 2 3" xfId="12254" xr:uid="{00000000-0005-0000-0000-0000425D0000}"/>
    <cellStyle name="Normal 11 7 2 2 3 2" xfId="25822" xr:uid="{00000000-0005-0000-0000-0000435D0000}"/>
    <cellStyle name="Normal 11 7 2 2 3 2 2" xfId="52955" xr:uid="{00000000-0005-0000-0000-0000445D0000}"/>
    <cellStyle name="Normal 11 7 2 2 3 3" xfId="39393" xr:uid="{00000000-0005-0000-0000-0000455D0000}"/>
    <cellStyle name="Normal 11 7 2 2 4" xfId="19041" xr:uid="{00000000-0005-0000-0000-0000465D0000}"/>
    <cellStyle name="Normal 11 7 2 2 4 2" xfId="46174" xr:uid="{00000000-0005-0000-0000-0000475D0000}"/>
    <cellStyle name="Normal 11 7 2 2 5" xfId="32612" xr:uid="{00000000-0005-0000-0000-0000485D0000}"/>
    <cellStyle name="Normal 11 7 2 3" xfId="5305" xr:uid="{00000000-0005-0000-0000-0000495D0000}"/>
    <cellStyle name="Normal 11 7 2 3 2" xfId="8855" xr:uid="{00000000-0005-0000-0000-00004A5D0000}"/>
    <cellStyle name="Normal 11 7 2 3 2 2" xfId="15644" xr:uid="{00000000-0005-0000-0000-00004B5D0000}"/>
    <cellStyle name="Normal 11 7 2 3 2 2 2" xfId="29212" xr:uid="{00000000-0005-0000-0000-00004C5D0000}"/>
    <cellStyle name="Normal 11 7 2 3 2 2 2 2" xfId="56345" xr:uid="{00000000-0005-0000-0000-00004D5D0000}"/>
    <cellStyle name="Normal 11 7 2 3 2 2 3" xfId="42783" xr:uid="{00000000-0005-0000-0000-00004E5D0000}"/>
    <cellStyle name="Normal 11 7 2 3 2 3" xfId="22431" xr:uid="{00000000-0005-0000-0000-00004F5D0000}"/>
    <cellStyle name="Normal 11 7 2 3 2 3 2" xfId="49564" xr:uid="{00000000-0005-0000-0000-0000505D0000}"/>
    <cellStyle name="Normal 11 7 2 3 2 4" xfId="36002" xr:uid="{00000000-0005-0000-0000-0000515D0000}"/>
    <cellStyle name="Normal 11 7 2 3 3" xfId="12255" xr:uid="{00000000-0005-0000-0000-0000525D0000}"/>
    <cellStyle name="Normal 11 7 2 3 3 2" xfId="25823" xr:uid="{00000000-0005-0000-0000-0000535D0000}"/>
    <cellStyle name="Normal 11 7 2 3 3 2 2" xfId="52956" xr:uid="{00000000-0005-0000-0000-0000545D0000}"/>
    <cellStyle name="Normal 11 7 2 3 3 3" xfId="39394" xr:uid="{00000000-0005-0000-0000-0000555D0000}"/>
    <cellStyle name="Normal 11 7 2 3 4" xfId="19042" xr:uid="{00000000-0005-0000-0000-0000565D0000}"/>
    <cellStyle name="Normal 11 7 2 3 4 2" xfId="46175" xr:uid="{00000000-0005-0000-0000-0000575D0000}"/>
    <cellStyle name="Normal 11 7 2 3 5" xfId="32613" xr:uid="{00000000-0005-0000-0000-0000585D0000}"/>
    <cellStyle name="Normal 11 7 2 4" xfId="8853" xr:uid="{00000000-0005-0000-0000-0000595D0000}"/>
    <cellStyle name="Normal 11 7 2 4 2" xfId="15642" xr:uid="{00000000-0005-0000-0000-00005A5D0000}"/>
    <cellStyle name="Normal 11 7 2 4 2 2" xfId="29210" xr:uid="{00000000-0005-0000-0000-00005B5D0000}"/>
    <cellStyle name="Normal 11 7 2 4 2 2 2" xfId="56343" xr:uid="{00000000-0005-0000-0000-00005C5D0000}"/>
    <cellStyle name="Normal 11 7 2 4 2 3" xfId="42781" xr:uid="{00000000-0005-0000-0000-00005D5D0000}"/>
    <cellStyle name="Normal 11 7 2 4 3" xfId="22429" xr:uid="{00000000-0005-0000-0000-00005E5D0000}"/>
    <cellStyle name="Normal 11 7 2 4 3 2" xfId="49562" xr:uid="{00000000-0005-0000-0000-00005F5D0000}"/>
    <cellStyle name="Normal 11 7 2 4 4" xfId="36000" xr:uid="{00000000-0005-0000-0000-0000605D0000}"/>
    <cellStyle name="Normal 11 7 2 5" xfId="12253" xr:uid="{00000000-0005-0000-0000-0000615D0000}"/>
    <cellStyle name="Normal 11 7 2 5 2" xfId="25821" xr:uid="{00000000-0005-0000-0000-0000625D0000}"/>
    <cellStyle name="Normal 11 7 2 5 2 2" xfId="52954" xr:uid="{00000000-0005-0000-0000-0000635D0000}"/>
    <cellStyle name="Normal 11 7 2 5 3" xfId="39392" xr:uid="{00000000-0005-0000-0000-0000645D0000}"/>
    <cellStyle name="Normal 11 7 2 6" xfId="19040" xr:uid="{00000000-0005-0000-0000-0000655D0000}"/>
    <cellStyle name="Normal 11 7 2 6 2" xfId="46173" xr:uid="{00000000-0005-0000-0000-0000665D0000}"/>
    <cellStyle name="Normal 11 7 2 7" xfId="32611" xr:uid="{00000000-0005-0000-0000-0000675D0000}"/>
    <cellStyle name="Normal 11 7 3" xfId="5306" xr:uid="{00000000-0005-0000-0000-0000685D0000}"/>
    <cellStyle name="Normal 11 7 3 2" xfId="8856" xr:uid="{00000000-0005-0000-0000-0000695D0000}"/>
    <cellStyle name="Normal 11 7 3 2 2" xfId="15645" xr:uid="{00000000-0005-0000-0000-00006A5D0000}"/>
    <cellStyle name="Normal 11 7 3 2 2 2" xfId="29213" xr:uid="{00000000-0005-0000-0000-00006B5D0000}"/>
    <cellStyle name="Normal 11 7 3 2 2 2 2" xfId="56346" xr:uid="{00000000-0005-0000-0000-00006C5D0000}"/>
    <cellStyle name="Normal 11 7 3 2 2 3" xfId="42784" xr:uid="{00000000-0005-0000-0000-00006D5D0000}"/>
    <cellStyle name="Normal 11 7 3 2 3" xfId="22432" xr:uid="{00000000-0005-0000-0000-00006E5D0000}"/>
    <cellStyle name="Normal 11 7 3 2 3 2" xfId="49565" xr:uid="{00000000-0005-0000-0000-00006F5D0000}"/>
    <cellStyle name="Normal 11 7 3 2 4" xfId="36003" xr:uid="{00000000-0005-0000-0000-0000705D0000}"/>
    <cellStyle name="Normal 11 7 3 3" xfId="12256" xr:uid="{00000000-0005-0000-0000-0000715D0000}"/>
    <cellStyle name="Normal 11 7 3 3 2" xfId="25824" xr:uid="{00000000-0005-0000-0000-0000725D0000}"/>
    <cellStyle name="Normal 11 7 3 3 2 2" xfId="52957" xr:uid="{00000000-0005-0000-0000-0000735D0000}"/>
    <cellStyle name="Normal 11 7 3 3 3" xfId="39395" xr:uid="{00000000-0005-0000-0000-0000745D0000}"/>
    <cellStyle name="Normal 11 7 3 4" xfId="19043" xr:uid="{00000000-0005-0000-0000-0000755D0000}"/>
    <cellStyle name="Normal 11 7 3 4 2" xfId="46176" xr:uid="{00000000-0005-0000-0000-0000765D0000}"/>
    <cellStyle name="Normal 11 7 3 5" xfId="32614" xr:uid="{00000000-0005-0000-0000-0000775D0000}"/>
    <cellStyle name="Normal 11 7 4" xfId="5307" xr:uid="{00000000-0005-0000-0000-0000785D0000}"/>
    <cellStyle name="Normal 11 7 4 2" xfId="8857" xr:uid="{00000000-0005-0000-0000-0000795D0000}"/>
    <cellStyle name="Normal 11 7 4 2 2" xfId="15646" xr:uid="{00000000-0005-0000-0000-00007A5D0000}"/>
    <cellStyle name="Normal 11 7 4 2 2 2" xfId="29214" xr:uid="{00000000-0005-0000-0000-00007B5D0000}"/>
    <cellStyle name="Normal 11 7 4 2 2 2 2" xfId="56347" xr:uid="{00000000-0005-0000-0000-00007C5D0000}"/>
    <cellStyle name="Normal 11 7 4 2 2 3" xfId="42785" xr:uid="{00000000-0005-0000-0000-00007D5D0000}"/>
    <cellStyle name="Normal 11 7 4 2 3" xfId="22433" xr:uid="{00000000-0005-0000-0000-00007E5D0000}"/>
    <cellStyle name="Normal 11 7 4 2 3 2" xfId="49566" xr:uid="{00000000-0005-0000-0000-00007F5D0000}"/>
    <cellStyle name="Normal 11 7 4 2 4" xfId="36004" xr:uid="{00000000-0005-0000-0000-0000805D0000}"/>
    <cellStyle name="Normal 11 7 4 3" xfId="12257" xr:uid="{00000000-0005-0000-0000-0000815D0000}"/>
    <cellStyle name="Normal 11 7 4 3 2" xfId="25825" xr:uid="{00000000-0005-0000-0000-0000825D0000}"/>
    <cellStyle name="Normal 11 7 4 3 2 2" xfId="52958" xr:uid="{00000000-0005-0000-0000-0000835D0000}"/>
    <cellStyle name="Normal 11 7 4 3 3" xfId="39396" xr:uid="{00000000-0005-0000-0000-0000845D0000}"/>
    <cellStyle name="Normal 11 7 4 4" xfId="19044" xr:uid="{00000000-0005-0000-0000-0000855D0000}"/>
    <cellStyle name="Normal 11 7 4 4 2" xfId="46177" xr:uid="{00000000-0005-0000-0000-0000865D0000}"/>
    <cellStyle name="Normal 11 7 4 5" xfId="32615" xr:uid="{00000000-0005-0000-0000-0000875D0000}"/>
    <cellStyle name="Normal 11 7 5" xfId="8852" xr:uid="{00000000-0005-0000-0000-0000885D0000}"/>
    <cellStyle name="Normal 11 7 5 2" xfId="15641" xr:uid="{00000000-0005-0000-0000-0000895D0000}"/>
    <cellStyle name="Normal 11 7 5 2 2" xfId="29209" xr:uid="{00000000-0005-0000-0000-00008A5D0000}"/>
    <cellStyle name="Normal 11 7 5 2 2 2" xfId="56342" xr:uid="{00000000-0005-0000-0000-00008B5D0000}"/>
    <cellStyle name="Normal 11 7 5 2 3" xfId="42780" xr:uid="{00000000-0005-0000-0000-00008C5D0000}"/>
    <cellStyle name="Normal 11 7 5 3" xfId="22428" xr:uid="{00000000-0005-0000-0000-00008D5D0000}"/>
    <cellStyle name="Normal 11 7 5 3 2" xfId="49561" xr:uid="{00000000-0005-0000-0000-00008E5D0000}"/>
    <cellStyle name="Normal 11 7 5 4" xfId="35999" xr:uid="{00000000-0005-0000-0000-00008F5D0000}"/>
    <cellStyle name="Normal 11 7 6" xfId="12252" xr:uid="{00000000-0005-0000-0000-0000905D0000}"/>
    <cellStyle name="Normal 11 7 6 2" xfId="25820" xr:uid="{00000000-0005-0000-0000-0000915D0000}"/>
    <cellStyle name="Normal 11 7 6 2 2" xfId="52953" xr:uid="{00000000-0005-0000-0000-0000925D0000}"/>
    <cellStyle name="Normal 11 7 6 3" xfId="39391" xr:uid="{00000000-0005-0000-0000-0000935D0000}"/>
    <cellStyle name="Normal 11 7 7" xfId="19039" xr:uid="{00000000-0005-0000-0000-0000945D0000}"/>
    <cellStyle name="Normal 11 7 7 2" xfId="46172" xr:uid="{00000000-0005-0000-0000-0000955D0000}"/>
    <cellStyle name="Normal 11 7 8" xfId="32610" xr:uid="{00000000-0005-0000-0000-0000965D0000}"/>
    <cellStyle name="Normal 11 8" xfId="5308" xr:uid="{00000000-0005-0000-0000-0000975D0000}"/>
    <cellStyle name="Normal 11 8 2" xfId="5309" xr:uid="{00000000-0005-0000-0000-0000985D0000}"/>
    <cellStyle name="Normal 11 8 2 2" xfId="5310" xr:uid="{00000000-0005-0000-0000-0000995D0000}"/>
    <cellStyle name="Normal 11 8 2 2 2" xfId="8860" xr:uid="{00000000-0005-0000-0000-00009A5D0000}"/>
    <cellStyle name="Normal 11 8 2 2 2 2" xfId="15649" xr:uid="{00000000-0005-0000-0000-00009B5D0000}"/>
    <cellStyle name="Normal 11 8 2 2 2 2 2" xfId="29217" xr:uid="{00000000-0005-0000-0000-00009C5D0000}"/>
    <cellStyle name="Normal 11 8 2 2 2 2 2 2" xfId="56350" xr:uid="{00000000-0005-0000-0000-00009D5D0000}"/>
    <cellStyle name="Normal 11 8 2 2 2 2 3" xfId="42788" xr:uid="{00000000-0005-0000-0000-00009E5D0000}"/>
    <cellStyle name="Normal 11 8 2 2 2 3" xfId="22436" xr:uid="{00000000-0005-0000-0000-00009F5D0000}"/>
    <cellStyle name="Normal 11 8 2 2 2 3 2" xfId="49569" xr:uid="{00000000-0005-0000-0000-0000A05D0000}"/>
    <cellStyle name="Normal 11 8 2 2 2 4" xfId="36007" xr:uid="{00000000-0005-0000-0000-0000A15D0000}"/>
    <cellStyle name="Normal 11 8 2 2 3" xfId="12260" xr:uid="{00000000-0005-0000-0000-0000A25D0000}"/>
    <cellStyle name="Normal 11 8 2 2 3 2" xfId="25828" xr:uid="{00000000-0005-0000-0000-0000A35D0000}"/>
    <cellStyle name="Normal 11 8 2 2 3 2 2" xfId="52961" xr:uid="{00000000-0005-0000-0000-0000A45D0000}"/>
    <cellStyle name="Normal 11 8 2 2 3 3" xfId="39399" xr:uid="{00000000-0005-0000-0000-0000A55D0000}"/>
    <cellStyle name="Normal 11 8 2 2 4" xfId="19047" xr:uid="{00000000-0005-0000-0000-0000A65D0000}"/>
    <cellStyle name="Normal 11 8 2 2 4 2" xfId="46180" xr:uid="{00000000-0005-0000-0000-0000A75D0000}"/>
    <cellStyle name="Normal 11 8 2 2 5" xfId="32618" xr:uid="{00000000-0005-0000-0000-0000A85D0000}"/>
    <cellStyle name="Normal 11 8 2 3" xfId="5311" xr:uid="{00000000-0005-0000-0000-0000A95D0000}"/>
    <cellStyle name="Normal 11 8 2 3 2" xfId="8861" xr:uid="{00000000-0005-0000-0000-0000AA5D0000}"/>
    <cellStyle name="Normal 11 8 2 3 2 2" xfId="15650" xr:uid="{00000000-0005-0000-0000-0000AB5D0000}"/>
    <cellStyle name="Normal 11 8 2 3 2 2 2" xfId="29218" xr:uid="{00000000-0005-0000-0000-0000AC5D0000}"/>
    <cellStyle name="Normal 11 8 2 3 2 2 2 2" xfId="56351" xr:uid="{00000000-0005-0000-0000-0000AD5D0000}"/>
    <cellStyle name="Normal 11 8 2 3 2 2 3" xfId="42789" xr:uid="{00000000-0005-0000-0000-0000AE5D0000}"/>
    <cellStyle name="Normal 11 8 2 3 2 3" xfId="22437" xr:uid="{00000000-0005-0000-0000-0000AF5D0000}"/>
    <cellStyle name="Normal 11 8 2 3 2 3 2" xfId="49570" xr:uid="{00000000-0005-0000-0000-0000B05D0000}"/>
    <cellStyle name="Normal 11 8 2 3 2 4" xfId="36008" xr:uid="{00000000-0005-0000-0000-0000B15D0000}"/>
    <cellStyle name="Normal 11 8 2 3 3" xfId="12261" xr:uid="{00000000-0005-0000-0000-0000B25D0000}"/>
    <cellStyle name="Normal 11 8 2 3 3 2" xfId="25829" xr:uid="{00000000-0005-0000-0000-0000B35D0000}"/>
    <cellStyle name="Normal 11 8 2 3 3 2 2" xfId="52962" xr:uid="{00000000-0005-0000-0000-0000B45D0000}"/>
    <cellStyle name="Normal 11 8 2 3 3 3" xfId="39400" xr:uid="{00000000-0005-0000-0000-0000B55D0000}"/>
    <cellStyle name="Normal 11 8 2 3 4" xfId="19048" xr:uid="{00000000-0005-0000-0000-0000B65D0000}"/>
    <cellStyle name="Normal 11 8 2 3 4 2" xfId="46181" xr:uid="{00000000-0005-0000-0000-0000B75D0000}"/>
    <cellStyle name="Normal 11 8 2 3 5" xfId="32619" xr:uid="{00000000-0005-0000-0000-0000B85D0000}"/>
    <cellStyle name="Normal 11 8 2 4" xfId="8859" xr:uid="{00000000-0005-0000-0000-0000B95D0000}"/>
    <cellStyle name="Normal 11 8 2 4 2" xfId="15648" xr:uid="{00000000-0005-0000-0000-0000BA5D0000}"/>
    <cellStyle name="Normal 11 8 2 4 2 2" xfId="29216" xr:uid="{00000000-0005-0000-0000-0000BB5D0000}"/>
    <cellStyle name="Normal 11 8 2 4 2 2 2" xfId="56349" xr:uid="{00000000-0005-0000-0000-0000BC5D0000}"/>
    <cellStyle name="Normal 11 8 2 4 2 3" xfId="42787" xr:uid="{00000000-0005-0000-0000-0000BD5D0000}"/>
    <cellStyle name="Normal 11 8 2 4 3" xfId="22435" xr:uid="{00000000-0005-0000-0000-0000BE5D0000}"/>
    <cellStyle name="Normal 11 8 2 4 3 2" xfId="49568" xr:uid="{00000000-0005-0000-0000-0000BF5D0000}"/>
    <cellStyle name="Normal 11 8 2 4 4" xfId="36006" xr:uid="{00000000-0005-0000-0000-0000C05D0000}"/>
    <cellStyle name="Normal 11 8 2 5" xfId="12259" xr:uid="{00000000-0005-0000-0000-0000C15D0000}"/>
    <cellStyle name="Normal 11 8 2 5 2" xfId="25827" xr:uid="{00000000-0005-0000-0000-0000C25D0000}"/>
    <cellStyle name="Normal 11 8 2 5 2 2" xfId="52960" xr:uid="{00000000-0005-0000-0000-0000C35D0000}"/>
    <cellStyle name="Normal 11 8 2 5 3" xfId="39398" xr:uid="{00000000-0005-0000-0000-0000C45D0000}"/>
    <cellStyle name="Normal 11 8 2 6" xfId="19046" xr:uid="{00000000-0005-0000-0000-0000C55D0000}"/>
    <cellStyle name="Normal 11 8 2 6 2" xfId="46179" xr:uid="{00000000-0005-0000-0000-0000C65D0000}"/>
    <cellStyle name="Normal 11 8 2 7" xfId="32617" xr:uid="{00000000-0005-0000-0000-0000C75D0000}"/>
    <cellStyle name="Normal 11 8 3" xfId="5312" xr:uid="{00000000-0005-0000-0000-0000C85D0000}"/>
    <cellStyle name="Normal 11 8 3 2" xfId="8862" xr:uid="{00000000-0005-0000-0000-0000C95D0000}"/>
    <cellStyle name="Normal 11 8 3 2 2" xfId="15651" xr:uid="{00000000-0005-0000-0000-0000CA5D0000}"/>
    <cellStyle name="Normal 11 8 3 2 2 2" xfId="29219" xr:uid="{00000000-0005-0000-0000-0000CB5D0000}"/>
    <cellStyle name="Normal 11 8 3 2 2 2 2" xfId="56352" xr:uid="{00000000-0005-0000-0000-0000CC5D0000}"/>
    <cellStyle name="Normal 11 8 3 2 2 3" xfId="42790" xr:uid="{00000000-0005-0000-0000-0000CD5D0000}"/>
    <cellStyle name="Normal 11 8 3 2 3" xfId="22438" xr:uid="{00000000-0005-0000-0000-0000CE5D0000}"/>
    <cellStyle name="Normal 11 8 3 2 3 2" xfId="49571" xr:uid="{00000000-0005-0000-0000-0000CF5D0000}"/>
    <cellStyle name="Normal 11 8 3 2 4" xfId="36009" xr:uid="{00000000-0005-0000-0000-0000D05D0000}"/>
    <cellStyle name="Normal 11 8 3 3" xfId="12262" xr:uid="{00000000-0005-0000-0000-0000D15D0000}"/>
    <cellStyle name="Normal 11 8 3 3 2" xfId="25830" xr:uid="{00000000-0005-0000-0000-0000D25D0000}"/>
    <cellStyle name="Normal 11 8 3 3 2 2" xfId="52963" xr:uid="{00000000-0005-0000-0000-0000D35D0000}"/>
    <cellStyle name="Normal 11 8 3 3 3" xfId="39401" xr:uid="{00000000-0005-0000-0000-0000D45D0000}"/>
    <cellStyle name="Normal 11 8 3 4" xfId="19049" xr:uid="{00000000-0005-0000-0000-0000D55D0000}"/>
    <cellStyle name="Normal 11 8 3 4 2" xfId="46182" xr:uid="{00000000-0005-0000-0000-0000D65D0000}"/>
    <cellStyle name="Normal 11 8 3 5" xfId="32620" xr:uid="{00000000-0005-0000-0000-0000D75D0000}"/>
    <cellStyle name="Normal 11 8 4" xfId="5313" xr:uid="{00000000-0005-0000-0000-0000D85D0000}"/>
    <cellStyle name="Normal 11 8 4 2" xfId="8863" xr:uid="{00000000-0005-0000-0000-0000D95D0000}"/>
    <cellStyle name="Normal 11 8 4 2 2" xfId="15652" xr:uid="{00000000-0005-0000-0000-0000DA5D0000}"/>
    <cellStyle name="Normal 11 8 4 2 2 2" xfId="29220" xr:uid="{00000000-0005-0000-0000-0000DB5D0000}"/>
    <cellStyle name="Normal 11 8 4 2 2 2 2" xfId="56353" xr:uid="{00000000-0005-0000-0000-0000DC5D0000}"/>
    <cellStyle name="Normal 11 8 4 2 2 3" xfId="42791" xr:uid="{00000000-0005-0000-0000-0000DD5D0000}"/>
    <cellStyle name="Normal 11 8 4 2 3" xfId="22439" xr:uid="{00000000-0005-0000-0000-0000DE5D0000}"/>
    <cellStyle name="Normal 11 8 4 2 3 2" xfId="49572" xr:uid="{00000000-0005-0000-0000-0000DF5D0000}"/>
    <cellStyle name="Normal 11 8 4 2 4" xfId="36010" xr:uid="{00000000-0005-0000-0000-0000E05D0000}"/>
    <cellStyle name="Normal 11 8 4 3" xfId="12263" xr:uid="{00000000-0005-0000-0000-0000E15D0000}"/>
    <cellStyle name="Normal 11 8 4 3 2" xfId="25831" xr:uid="{00000000-0005-0000-0000-0000E25D0000}"/>
    <cellStyle name="Normal 11 8 4 3 2 2" xfId="52964" xr:uid="{00000000-0005-0000-0000-0000E35D0000}"/>
    <cellStyle name="Normal 11 8 4 3 3" xfId="39402" xr:uid="{00000000-0005-0000-0000-0000E45D0000}"/>
    <cellStyle name="Normal 11 8 4 4" xfId="19050" xr:uid="{00000000-0005-0000-0000-0000E55D0000}"/>
    <cellStyle name="Normal 11 8 4 4 2" xfId="46183" xr:uid="{00000000-0005-0000-0000-0000E65D0000}"/>
    <cellStyle name="Normal 11 8 4 5" xfId="32621" xr:uid="{00000000-0005-0000-0000-0000E75D0000}"/>
    <cellStyle name="Normal 11 8 5" xfId="8858" xr:uid="{00000000-0005-0000-0000-0000E85D0000}"/>
    <cellStyle name="Normal 11 8 5 2" xfId="15647" xr:uid="{00000000-0005-0000-0000-0000E95D0000}"/>
    <cellStyle name="Normal 11 8 5 2 2" xfId="29215" xr:uid="{00000000-0005-0000-0000-0000EA5D0000}"/>
    <cellStyle name="Normal 11 8 5 2 2 2" xfId="56348" xr:uid="{00000000-0005-0000-0000-0000EB5D0000}"/>
    <cellStyle name="Normal 11 8 5 2 3" xfId="42786" xr:uid="{00000000-0005-0000-0000-0000EC5D0000}"/>
    <cellStyle name="Normal 11 8 5 3" xfId="22434" xr:uid="{00000000-0005-0000-0000-0000ED5D0000}"/>
    <cellStyle name="Normal 11 8 5 3 2" xfId="49567" xr:uid="{00000000-0005-0000-0000-0000EE5D0000}"/>
    <cellStyle name="Normal 11 8 5 4" xfId="36005" xr:uid="{00000000-0005-0000-0000-0000EF5D0000}"/>
    <cellStyle name="Normal 11 8 6" xfId="12258" xr:uid="{00000000-0005-0000-0000-0000F05D0000}"/>
    <cellStyle name="Normal 11 8 6 2" xfId="25826" xr:uid="{00000000-0005-0000-0000-0000F15D0000}"/>
    <cellStyle name="Normal 11 8 6 2 2" xfId="52959" xr:uid="{00000000-0005-0000-0000-0000F25D0000}"/>
    <cellStyle name="Normal 11 8 6 3" xfId="39397" xr:uid="{00000000-0005-0000-0000-0000F35D0000}"/>
    <cellStyle name="Normal 11 8 7" xfId="19045" xr:uid="{00000000-0005-0000-0000-0000F45D0000}"/>
    <cellStyle name="Normal 11 8 7 2" xfId="46178" xr:uid="{00000000-0005-0000-0000-0000F55D0000}"/>
    <cellStyle name="Normal 11 8 8" xfId="32616" xr:uid="{00000000-0005-0000-0000-0000F65D0000}"/>
    <cellStyle name="Normal 11 9" xfId="5314" xr:uid="{00000000-0005-0000-0000-0000F75D0000}"/>
    <cellStyle name="Normal 11 9 2" xfId="5315" xr:uid="{00000000-0005-0000-0000-0000F85D0000}"/>
    <cellStyle name="Normal 11 9 2 2" xfId="8865" xr:uid="{00000000-0005-0000-0000-0000F95D0000}"/>
    <cellStyle name="Normal 11 9 2 2 2" xfId="15654" xr:uid="{00000000-0005-0000-0000-0000FA5D0000}"/>
    <cellStyle name="Normal 11 9 2 2 2 2" xfId="29222" xr:uid="{00000000-0005-0000-0000-0000FB5D0000}"/>
    <cellStyle name="Normal 11 9 2 2 2 2 2" xfId="56355" xr:uid="{00000000-0005-0000-0000-0000FC5D0000}"/>
    <cellStyle name="Normal 11 9 2 2 2 3" xfId="42793" xr:uid="{00000000-0005-0000-0000-0000FD5D0000}"/>
    <cellStyle name="Normal 11 9 2 2 3" xfId="22441" xr:uid="{00000000-0005-0000-0000-0000FE5D0000}"/>
    <cellStyle name="Normal 11 9 2 2 3 2" xfId="49574" xr:uid="{00000000-0005-0000-0000-0000FF5D0000}"/>
    <cellStyle name="Normal 11 9 2 2 4" xfId="36012" xr:uid="{00000000-0005-0000-0000-0000005E0000}"/>
    <cellStyle name="Normal 11 9 2 3" xfId="12265" xr:uid="{00000000-0005-0000-0000-0000015E0000}"/>
    <cellStyle name="Normal 11 9 2 3 2" xfId="25833" xr:uid="{00000000-0005-0000-0000-0000025E0000}"/>
    <cellStyle name="Normal 11 9 2 3 2 2" xfId="52966" xr:uid="{00000000-0005-0000-0000-0000035E0000}"/>
    <cellStyle name="Normal 11 9 2 3 3" xfId="39404" xr:uid="{00000000-0005-0000-0000-0000045E0000}"/>
    <cellStyle name="Normal 11 9 2 4" xfId="19052" xr:uid="{00000000-0005-0000-0000-0000055E0000}"/>
    <cellStyle name="Normal 11 9 2 4 2" xfId="46185" xr:uid="{00000000-0005-0000-0000-0000065E0000}"/>
    <cellStyle name="Normal 11 9 2 5" xfId="32623" xr:uid="{00000000-0005-0000-0000-0000075E0000}"/>
    <cellStyle name="Normal 11 9 3" xfId="8864" xr:uid="{00000000-0005-0000-0000-0000085E0000}"/>
    <cellStyle name="Normal 11 9 3 2" xfId="15653" xr:uid="{00000000-0005-0000-0000-0000095E0000}"/>
    <cellStyle name="Normal 11 9 3 2 2" xfId="29221" xr:uid="{00000000-0005-0000-0000-00000A5E0000}"/>
    <cellStyle name="Normal 11 9 3 2 2 2" xfId="56354" xr:uid="{00000000-0005-0000-0000-00000B5E0000}"/>
    <cellStyle name="Normal 11 9 3 2 3" xfId="42792" xr:uid="{00000000-0005-0000-0000-00000C5E0000}"/>
    <cellStyle name="Normal 11 9 3 3" xfId="22440" xr:uid="{00000000-0005-0000-0000-00000D5E0000}"/>
    <cellStyle name="Normal 11 9 3 3 2" xfId="49573" xr:uid="{00000000-0005-0000-0000-00000E5E0000}"/>
    <cellStyle name="Normal 11 9 3 4" xfId="36011" xr:uid="{00000000-0005-0000-0000-00000F5E0000}"/>
    <cellStyle name="Normal 11 9 4" xfId="12264" xr:uid="{00000000-0005-0000-0000-0000105E0000}"/>
    <cellStyle name="Normal 11 9 4 2" xfId="25832" xr:uid="{00000000-0005-0000-0000-0000115E0000}"/>
    <cellStyle name="Normal 11 9 4 2 2" xfId="52965" xr:uid="{00000000-0005-0000-0000-0000125E0000}"/>
    <cellStyle name="Normal 11 9 4 3" xfId="39403" xr:uid="{00000000-0005-0000-0000-0000135E0000}"/>
    <cellStyle name="Normal 11 9 5" xfId="19051" xr:uid="{00000000-0005-0000-0000-0000145E0000}"/>
    <cellStyle name="Normal 11 9 5 2" xfId="46184" xr:uid="{00000000-0005-0000-0000-0000155E0000}"/>
    <cellStyle name="Normal 11 9 6" xfId="32622" xr:uid="{00000000-0005-0000-0000-0000165E0000}"/>
    <cellStyle name="Normal 111" xfId="7297" xr:uid="{00000000-0005-0000-0000-0000175E0000}"/>
    <cellStyle name="Normal 12" xfId="2552" xr:uid="{00000000-0005-0000-0000-0000185E0000}"/>
    <cellStyle name="Normal 12 10" xfId="5316" xr:uid="{00000000-0005-0000-0000-0000195E0000}"/>
    <cellStyle name="Normal 12 10 2" xfId="8866" xr:uid="{00000000-0005-0000-0000-00001A5E0000}"/>
    <cellStyle name="Normal 12 10 2 2" xfId="15655" xr:uid="{00000000-0005-0000-0000-00001B5E0000}"/>
    <cellStyle name="Normal 12 10 2 2 2" xfId="29223" xr:uid="{00000000-0005-0000-0000-00001C5E0000}"/>
    <cellStyle name="Normal 12 10 2 2 2 2" xfId="56356" xr:uid="{00000000-0005-0000-0000-00001D5E0000}"/>
    <cellStyle name="Normal 12 10 2 2 3" xfId="42794" xr:uid="{00000000-0005-0000-0000-00001E5E0000}"/>
    <cellStyle name="Normal 12 10 2 3" xfId="22442" xr:uid="{00000000-0005-0000-0000-00001F5E0000}"/>
    <cellStyle name="Normal 12 10 2 3 2" xfId="49575" xr:uid="{00000000-0005-0000-0000-0000205E0000}"/>
    <cellStyle name="Normal 12 10 2 4" xfId="36013" xr:uid="{00000000-0005-0000-0000-0000215E0000}"/>
    <cellStyle name="Normal 12 10 3" xfId="12266" xr:uid="{00000000-0005-0000-0000-0000225E0000}"/>
    <cellStyle name="Normal 12 10 3 2" xfId="25834" xr:uid="{00000000-0005-0000-0000-0000235E0000}"/>
    <cellStyle name="Normal 12 10 3 2 2" xfId="52967" xr:uid="{00000000-0005-0000-0000-0000245E0000}"/>
    <cellStyle name="Normal 12 10 3 3" xfId="39405" xr:uid="{00000000-0005-0000-0000-0000255E0000}"/>
    <cellStyle name="Normal 12 10 4" xfId="19053" xr:uid="{00000000-0005-0000-0000-0000265E0000}"/>
    <cellStyle name="Normal 12 10 4 2" xfId="46186" xr:uid="{00000000-0005-0000-0000-0000275E0000}"/>
    <cellStyle name="Normal 12 10 5" xfId="32624" xr:uid="{00000000-0005-0000-0000-0000285E0000}"/>
    <cellStyle name="Normal 12 11" xfId="5317" xr:uid="{00000000-0005-0000-0000-0000295E0000}"/>
    <cellStyle name="Normal 12 11 2" xfId="8867" xr:uid="{00000000-0005-0000-0000-00002A5E0000}"/>
    <cellStyle name="Normal 12 11 2 2" xfId="15656" xr:uid="{00000000-0005-0000-0000-00002B5E0000}"/>
    <cellStyle name="Normal 12 11 2 2 2" xfId="29224" xr:uid="{00000000-0005-0000-0000-00002C5E0000}"/>
    <cellStyle name="Normal 12 11 2 2 2 2" xfId="56357" xr:uid="{00000000-0005-0000-0000-00002D5E0000}"/>
    <cellStyle name="Normal 12 11 2 2 3" xfId="42795" xr:uid="{00000000-0005-0000-0000-00002E5E0000}"/>
    <cellStyle name="Normal 12 11 2 3" xfId="22443" xr:uid="{00000000-0005-0000-0000-00002F5E0000}"/>
    <cellStyle name="Normal 12 11 2 3 2" xfId="49576" xr:uid="{00000000-0005-0000-0000-0000305E0000}"/>
    <cellStyle name="Normal 12 11 2 4" xfId="36014" xr:uid="{00000000-0005-0000-0000-0000315E0000}"/>
    <cellStyle name="Normal 12 11 3" xfId="12267" xr:uid="{00000000-0005-0000-0000-0000325E0000}"/>
    <cellStyle name="Normal 12 11 3 2" xfId="25835" xr:uid="{00000000-0005-0000-0000-0000335E0000}"/>
    <cellStyle name="Normal 12 11 3 2 2" xfId="52968" xr:uid="{00000000-0005-0000-0000-0000345E0000}"/>
    <cellStyle name="Normal 12 11 3 3" xfId="39406" xr:uid="{00000000-0005-0000-0000-0000355E0000}"/>
    <cellStyle name="Normal 12 11 4" xfId="19054" xr:uid="{00000000-0005-0000-0000-0000365E0000}"/>
    <cellStyle name="Normal 12 11 4 2" xfId="46187" xr:uid="{00000000-0005-0000-0000-0000375E0000}"/>
    <cellStyle name="Normal 12 11 5" xfId="32625" xr:uid="{00000000-0005-0000-0000-0000385E0000}"/>
    <cellStyle name="Normal 12 12" xfId="7290" xr:uid="{00000000-0005-0000-0000-0000395E0000}"/>
    <cellStyle name="Normal 12 2" xfId="5318" xr:uid="{00000000-0005-0000-0000-00003A5E0000}"/>
    <cellStyle name="Normal 12 3" xfId="5319" xr:uid="{00000000-0005-0000-0000-00003B5E0000}"/>
    <cellStyle name="Normal 12 3 10" xfId="8868" xr:uid="{00000000-0005-0000-0000-00003C5E0000}"/>
    <cellStyle name="Normal 12 3 10 2" xfId="15657" xr:uid="{00000000-0005-0000-0000-00003D5E0000}"/>
    <cellStyle name="Normal 12 3 10 2 2" xfId="29225" xr:uid="{00000000-0005-0000-0000-00003E5E0000}"/>
    <cellStyle name="Normal 12 3 10 2 2 2" xfId="56358" xr:uid="{00000000-0005-0000-0000-00003F5E0000}"/>
    <cellStyle name="Normal 12 3 10 2 3" xfId="42796" xr:uid="{00000000-0005-0000-0000-0000405E0000}"/>
    <cellStyle name="Normal 12 3 10 3" xfId="22444" xr:uid="{00000000-0005-0000-0000-0000415E0000}"/>
    <cellStyle name="Normal 12 3 10 3 2" xfId="49577" xr:uid="{00000000-0005-0000-0000-0000425E0000}"/>
    <cellStyle name="Normal 12 3 10 4" xfId="36015" xr:uid="{00000000-0005-0000-0000-0000435E0000}"/>
    <cellStyle name="Normal 12 3 11" xfId="12268" xr:uid="{00000000-0005-0000-0000-0000445E0000}"/>
    <cellStyle name="Normal 12 3 11 2" xfId="25836" xr:uid="{00000000-0005-0000-0000-0000455E0000}"/>
    <cellStyle name="Normal 12 3 11 2 2" xfId="52969" xr:uid="{00000000-0005-0000-0000-0000465E0000}"/>
    <cellStyle name="Normal 12 3 11 3" xfId="39407" xr:uid="{00000000-0005-0000-0000-0000475E0000}"/>
    <cellStyle name="Normal 12 3 12" xfId="19055" xr:uid="{00000000-0005-0000-0000-0000485E0000}"/>
    <cellStyle name="Normal 12 3 12 2" xfId="46188" xr:uid="{00000000-0005-0000-0000-0000495E0000}"/>
    <cellStyle name="Normal 12 3 13" xfId="32626" xr:uid="{00000000-0005-0000-0000-00004A5E0000}"/>
    <cellStyle name="Normal 12 3 2" xfId="5320" xr:uid="{00000000-0005-0000-0000-00004B5E0000}"/>
    <cellStyle name="Normal 12 3 2 10" xfId="32627" xr:uid="{00000000-0005-0000-0000-00004C5E0000}"/>
    <cellStyle name="Normal 12 3 2 2" xfId="5321" xr:uid="{00000000-0005-0000-0000-00004D5E0000}"/>
    <cellStyle name="Normal 12 3 2 2 2" xfId="5322" xr:uid="{00000000-0005-0000-0000-00004E5E0000}"/>
    <cellStyle name="Normal 12 3 2 2 2 2" xfId="5323" xr:uid="{00000000-0005-0000-0000-00004F5E0000}"/>
    <cellStyle name="Normal 12 3 2 2 2 2 2" xfId="8872" xr:uid="{00000000-0005-0000-0000-0000505E0000}"/>
    <cellStyle name="Normal 12 3 2 2 2 2 2 2" xfId="15661" xr:uid="{00000000-0005-0000-0000-0000515E0000}"/>
    <cellStyle name="Normal 12 3 2 2 2 2 2 2 2" xfId="29229" xr:uid="{00000000-0005-0000-0000-0000525E0000}"/>
    <cellStyle name="Normal 12 3 2 2 2 2 2 2 2 2" xfId="56362" xr:uid="{00000000-0005-0000-0000-0000535E0000}"/>
    <cellStyle name="Normal 12 3 2 2 2 2 2 2 3" xfId="42800" xr:uid="{00000000-0005-0000-0000-0000545E0000}"/>
    <cellStyle name="Normal 12 3 2 2 2 2 2 3" xfId="22448" xr:uid="{00000000-0005-0000-0000-0000555E0000}"/>
    <cellStyle name="Normal 12 3 2 2 2 2 2 3 2" xfId="49581" xr:uid="{00000000-0005-0000-0000-0000565E0000}"/>
    <cellStyle name="Normal 12 3 2 2 2 2 2 4" xfId="36019" xr:uid="{00000000-0005-0000-0000-0000575E0000}"/>
    <cellStyle name="Normal 12 3 2 2 2 2 3" xfId="12272" xr:uid="{00000000-0005-0000-0000-0000585E0000}"/>
    <cellStyle name="Normal 12 3 2 2 2 2 3 2" xfId="25840" xr:uid="{00000000-0005-0000-0000-0000595E0000}"/>
    <cellStyle name="Normal 12 3 2 2 2 2 3 2 2" xfId="52973" xr:uid="{00000000-0005-0000-0000-00005A5E0000}"/>
    <cellStyle name="Normal 12 3 2 2 2 2 3 3" xfId="39411" xr:uid="{00000000-0005-0000-0000-00005B5E0000}"/>
    <cellStyle name="Normal 12 3 2 2 2 2 4" xfId="19059" xr:uid="{00000000-0005-0000-0000-00005C5E0000}"/>
    <cellStyle name="Normal 12 3 2 2 2 2 4 2" xfId="46192" xr:uid="{00000000-0005-0000-0000-00005D5E0000}"/>
    <cellStyle name="Normal 12 3 2 2 2 2 5" xfId="32630" xr:uid="{00000000-0005-0000-0000-00005E5E0000}"/>
    <cellStyle name="Normal 12 3 2 2 2 3" xfId="5324" xr:uid="{00000000-0005-0000-0000-00005F5E0000}"/>
    <cellStyle name="Normal 12 3 2 2 2 3 2" xfId="8873" xr:uid="{00000000-0005-0000-0000-0000605E0000}"/>
    <cellStyle name="Normal 12 3 2 2 2 3 2 2" xfId="15662" xr:uid="{00000000-0005-0000-0000-0000615E0000}"/>
    <cellStyle name="Normal 12 3 2 2 2 3 2 2 2" xfId="29230" xr:uid="{00000000-0005-0000-0000-0000625E0000}"/>
    <cellStyle name="Normal 12 3 2 2 2 3 2 2 2 2" xfId="56363" xr:uid="{00000000-0005-0000-0000-0000635E0000}"/>
    <cellStyle name="Normal 12 3 2 2 2 3 2 2 3" xfId="42801" xr:uid="{00000000-0005-0000-0000-0000645E0000}"/>
    <cellStyle name="Normal 12 3 2 2 2 3 2 3" xfId="22449" xr:uid="{00000000-0005-0000-0000-0000655E0000}"/>
    <cellStyle name="Normal 12 3 2 2 2 3 2 3 2" xfId="49582" xr:uid="{00000000-0005-0000-0000-0000665E0000}"/>
    <cellStyle name="Normal 12 3 2 2 2 3 2 4" xfId="36020" xr:uid="{00000000-0005-0000-0000-0000675E0000}"/>
    <cellStyle name="Normal 12 3 2 2 2 3 3" xfId="12273" xr:uid="{00000000-0005-0000-0000-0000685E0000}"/>
    <cellStyle name="Normal 12 3 2 2 2 3 3 2" xfId="25841" xr:uid="{00000000-0005-0000-0000-0000695E0000}"/>
    <cellStyle name="Normal 12 3 2 2 2 3 3 2 2" xfId="52974" xr:uid="{00000000-0005-0000-0000-00006A5E0000}"/>
    <cellStyle name="Normal 12 3 2 2 2 3 3 3" xfId="39412" xr:uid="{00000000-0005-0000-0000-00006B5E0000}"/>
    <cellStyle name="Normal 12 3 2 2 2 3 4" xfId="19060" xr:uid="{00000000-0005-0000-0000-00006C5E0000}"/>
    <cellStyle name="Normal 12 3 2 2 2 3 4 2" xfId="46193" xr:uid="{00000000-0005-0000-0000-00006D5E0000}"/>
    <cellStyle name="Normal 12 3 2 2 2 3 5" xfId="32631" xr:uid="{00000000-0005-0000-0000-00006E5E0000}"/>
    <cellStyle name="Normal 12 3 2 2 2 4" xfId="8871" xr:uid="{00000000-0005-0000-0000-00006F5E0000}"/>
    <cellStyle name="Normal 12 3 2 2 2 4 2" xfId="15660" xr:uid="{00000000-0005-0000-0000-0000705E0000}"/>
    <cellStyle name="Normal 12 3 2 2 2 4 2 2" xfId="29228" xr:uid="{00000000-0005-0000-0000-0000715E0000}"/>
    <cellStyle name="Normal 12 3 2 2 2 4 2 2 2" xfId="56361" xr:uid="{00000000-0005-0000-0000-0000725E0000}"/>
    <cellStyle name="Normal 12 3 2 2 2 4 2 3" xfId="42799" xr:uid="{00000000-0005-0000-0000-0000735E0000}"/>
    <cellStyle name="Normal 12 3 2 2 2 4 3" xfId="22447" xr:uid="{00000000-0005-0000-0000-0000745E0000}"/>
    <cellStyle name="Normal 12 3 2 2 2 4 3 2" xfId="49580" xr:uid="{00000000-0005-0000-0000-0000755E0000}"/>
    <cellStyle name="Normal 12 3 2 2 2 4 4" xfId="36018" xr:uid="{00000000-0005-0000-0000-0000765E0000}"/>
    <cellStyle name="Normal 12 3 2 2 2 5" xfId="12271" xr:uid="{00000000-0005-0000-0000-0000775E0000}"/>
    <cellStyle name="Normal 12 3 2 2 2 5 2" xfId="25839" xr:uid="{00000000-0005-0000-0000-0000785E0000}"/>
    <cellStyle name="Normal 12 3 2 2 2 5 2 2" xfId="52972" xr:uid="{00000000-0005-0000-0000-0000795E0000}"/>
    <cellStyle name="Normal 12 3 2 2 2 5 3" xfId="39410" xr:uid="{00000000-0005-0000-0000-00007A5E0000}"/>
    <cellStyle name="Normal 12 3 2 2 2 6" xfId="19058" xr:uid="{00000000-0005-0000-0000-00007B5E0000}"/>
    <cellStyle name="Normal 12 3 2 2 2 6 2" xfId="46191" xr:uid="{00000000-0005-0000-0000-00007C5E0000}"/>
    <cellStyle name="Normal 12 3 2 2 2 7" xfId="32629" xr:uid="{00000000-0005-0000-0000-00007D5E0000}"/>
    <cellStyle name="Normal 12 3 2 2 3" xfId="5325" xr:uid="{00000000-0005-0000-0000-00007E5E0000}"/>
    <cellStyle name="Normal 12 3 2 2 3 2" xfId="5326" xr:uid="{00000000-0005-0000-0000-00007F5E0000}"/>
    <cellStyle name="Normal 12 3 2 2 3 2 2" xfId="8875" xr:uid="{00000000-0005-0000-0000-0000805E0000}"/>
    <cellStyle name="Normal 12 3 2 2 3 2 2 2" xfId="15664" xr:uid="{00000000-0005-0000-0000-0000815E0000}"/>
    <cellStyle name="Normal 12 3 2 2 3 2 2 2 2" xfId="29232" xr:uid="{00000000-0005-0000-0000-0000825E0000}"/>
    <cellStyle name="Normal 12 3 2 2 3 2 2 2 2 2" xfId="56365" xr:uid="{00000000-0005-0000-0000-0000835E0000}"/>
    <cellStyle name="Normal 12 3 2 2 3 2 2 2 3" xfId="42803" xr:uid="{00000000-0005-0000-0000-0000845E0000}"/>
    <cellStyle name="Normal 12 3 2 2 3 2 2 3" xfId="22451" xr:uid="{00000000-0005-0000-0000-0000855E0000}"/>
    <cellStyle name="Normal 12 3 2 2 3 2 2 3 2" xfId="49584" xr:uid="{00000000-0005-0000-0000-0000865E0000}"/>
    <cellStyle name="Normal 12 3 2 2 3 2 2 4" xfId="36022" xr:uid="{00000000-0005-0000-0000-0000875E0000}"/>
    <cellStyle name="Normal 12 3 2 2 3 2 3" xfId="12275" xr:uid="{00000000-0005-0000-0000-0000885E0000}"/>
    <cellStyle name="Normal 12 3 2 2 3 2 3 2" xfId="25843" xr:uid="{00000000-0005-0000-0000-0000895E0000}"/>
    <cellStyle name="Normal 12 3 2 2 3 2 3 2 2" xfId="52976" xr:uid="{00000000-0005-0000-0000-00008A5E0000}"/>
    <cellStyle name="Normal 12 3 2 2 3 2 3 3" xfId="39414" xr:uid="{00000000-0005-0000-0000-00008B5E0000}"/>
    <cellStyle name="Normal 12 3 2 2 3 2 4" xfId="19062" xr:uid="{00000000-0005-0000-0000-00008C5E0000}"/>
    <cellStyle name="Normal 12 3 2 2 3 2 4 2" xfId="46195" xr:uid="{00000000-0005-0000-0000-00008D5E0000}"/>
    <cellStyle name="Normal 12 3 2 2 3 2 5" xfId="32633" xr:uid="{00000000-0005-0000-0000-00008E5E0000}"/>
    <cellStyle name="Normal 12 3 2 2 3 3" xfId="8874" xr:uid="{00000000-0005-0000-0000-00008F5E0000}"/>
    <cellStyle name="Normal 12 3 2 2 3 3 2" xfId="15663" xr:uid="{00000000-0005-0000-0000-0000905E0000}"/>
    <cellStyle name="Normal 12 3 2 2 3 3 2 2" xfId="29231" xr:uid="{00000000-0005-0000-0000-0000915E0000}"/>
    <cellStyle name="Normal 12 3 2 2 3 3 2 2 2" xfId="56364" xr:uid="{00000000-0005-0000-0000-0000925E0000}"/>
    <cellStyle name="Normal 12 3 2 2 3 3 2 3" xfId="42802" xr:uid="{00000000-0005-0000-0000-0000935E0000}"/>
    <cellStyle name="Normal 12 3 2 2 3 3 3" xfId="22450" xr:uid="{00000000-0005-0000-0000-0000945E0000}"/>
    <cellStyle name="Normal 12 3 2 2 3 3 3 2" xfId="49583" xr:uid="{00000000-0005-0000-0000-0000955E0000}"/>
    <cellStyle name="Normal 12 3 2 2 3 3 4" xfId="36021" xr:uid="{00000000-0005-0000-0000-0000965E0000}"/>
    <cellStyle name="Normal 12 3 2 2 3 4" xfId="12274" xr:uid="{00000000-0005-0000-0000-0000975E0000}"/>
    <cellStyle name="Normal 12 3 2 2 3 4 2" xfId="25842" xr:uid="{00000000-0005-0000-0000-0000985E0000}"/>
    <cellStyle name="Normal 12 3 2 2 3 4 2 2" xfId="52975" xr:uid="{00000000-0005-0000-0000-0000995E0000}"/>
    <cellStyle name="Normal 12 3 2 2 3 4 3" xfId="39413" xr:uid="{00000000-0005-0000-0000-00009A5E0000}"/>
    <cellStyle name="Normal 12 3 2 2 3 5" xfId="19061" xr:uid="{00000000-0005-0000-0000-00009B5E0000}"/>
    <cellStyle name="Normal 12 3 2 2 3 5 2" xfId="46194" xr:uid="{00000000-0005-0000-0000-00009C5E0000}"/>
    <cellStyle name="Normal 12 3 2 2 3 6" xfId="32632" xr:uid="{00000000-0005-0000-0000-00009D5E0000}"/>
    <cellStyle name="Normal 12 3 2 2 4" xfId="5327" xr:uid="{00000000-0005-0000-0000-00009E5E0000}"/>
    <cellStyle name="Normal 12 3 2 2 4 2" xfId="8876" xr:uid="{00000000-0005-0000-0000-00009F5E0000}"/>
    <cellStyle name="Normal 12 3 2 2 4 2 2" xfId="15665" xr:uid="{00000000-0005-0000-0000-0000A05E0000}"/>
    <cellStyle name="Normal 12 3 2 2 4 2 2 2" xfId="29233" xr:uid="{00000000-0005-0000-0000-0000A15E0000}"/>
    <cellStyle name="Normal 12 3 2 2 4 2 2 2 2" xfId="56366" xr:uid="{00000000-0005-0000-0000-0000A25E0000}"/>
    <cellStyle name="Normal 12 3 2 2 4 2 2 3" xfId="42804" xr:uid="{00000000-0005-0000-0000-0000A35E0000}"/>
    <cellStyle name="Normal 12 3 2 2 4 2 3" xfId="22452" xr:uid="{00000000-0005-0000-0000-0000A45E0000}"/>
    <cellStyle name="Normal 12 3 2 2 4 2 3 2" xfId="49585" xr:uid="{00000000-0005-0000-0000-0000A55E0000}"/>
    <cellStyle name="Normal 12 3 2 2 4 2 4" xfId="36023" xr:uid="{00000000-0005-0000-0000-0000A65E0000}"/>
    <cellStyle name="Normal 12 3 2 2 4 3" xfId="12276" xr:uid="{00000000-0005-0000-0000-0000A75E0000}"/>
    <cellStyle name="Normal 12 3 2 2 4 3 2" xfId="25844" xr:uid="{00000000-0005-0000-0000-0000A85E0000}"/>
    <cellStyle name="Normal 12 3 2 2 4 3 2 2" xfId="52977" xr:uid="{00000000-0005-0000-0000-0000A95E0000}"/>
    <cellStyle name="Normal 12 3 2 2 4 3 3" xfId="39415" xr:uid="{00000000-0005-0000-0000-0000AA5E0000}"/>
    <cellStyle name="Normal 12 3 2 2 4 4" xfId="19063" xr:uid="{00000000-0005-0000-0000-0000AB5E0000}"/>
    <cellStyle name="Normal 12 3 2 2 4 4 2" xfId="46196" xr:uid="{00000000-0005-0000-0000-0000AC5E0000}"/>
    <cellStyle name="Normal 12 3 2 2 4 5" xfId="32634" xr:uid="{00000000-0005-0000-0000-0000AD5E0000}"/>
    <cellStyle name="Normal 12 3 2 2 5" xfId="5328" xr:uid="{00000000-0005-0000-0000-0000AE5E0000}"/>
    <cellStyle name="Normal 12 3 2 2 5 2" xfId="8877" xr:uid="{00000000-0005-0000-0000-0000AF5E0000}"/>
    <cellStyle name="Normal 12 3 2 2 5 2 2" xfId="15666" xr:uid="{00000000-0005-0000-0000-0000B05E0000}"/>
    <cellStyle name="Normal 12 3 2 2 5 2 2 2" xfId="29234" xr:uid="{00000000-0005-0000-0000-0000B15E0000}"/>
    <cellStyle name="Normal 12 3 2 2 5 2 2 2 2" xfId="56367" xr:uid="{00000000-0005-0000-0000-0000B25E0000}"/>
    <cellStyle name="Normal 12 3 2 2 5 2 2 3" xfId="42805" xr:uid="{00000000-0005-0000-0000-0000B35E0000}"/>
    <cellStyle name="Normal 12 3 2 2 5 2 3" xfId="22453" xr:uid="{00000000-0005-0000-0000-0000B45E0000}"/>
    <cellStyle name="Normal 12 3 2 2 5 2 3 2" xfId="49586" xr:uid="{00000000-0005-0000-0000-0000B55E0000}"/>
    <cellStyle name="Normal 12 3 2 2 5 2 4" xfId="36024" xr:uid="{00000000-0005-0000-0000-0000B65E0000}"/>
    <cellStyle name="Normal 12 3 2 2 5 3" xfId="12277" xr:uid="{00000000-0005-0000-0000-0000B75E0000}"/>
    <cellStyle name="Normal 12 3 2 2 5 3 2" xfId="25845" xr:uid="{00000000-0005-0000-0000-0000B85E0000}"/>
    <cellStyle name="Normal 12 3 2 2 5 3 2 2" xfId="52978" xr:uid="{00000000-0005-0000-0000-0000B95E0000}"/>
    <cellStyle name="Normal 12 3 2 2 5 3 3" xfId="39416" xr:uid="{00000000-0005-0000-0000-0000BA5E0000}"/>
    <cellStyle name="Normal 12 3 2 2 5 4" xfId="19064" xr:uid="{00000000-0005-0000-0000-0000BB5E0000}"/>
    <cellStyle name="Normal 12 3 2 2 5 4 2" xfId="46197" xr:uid="{00000000-0005-0000-0000-0000BC5E0000}"/>
    <cellStyle name="Normal 12 3 2 2 5 5" xfId="32635" xr:uid="{00000000-0005-0000-0000-0000BD5E0000}"/>
    <cellStyle name="Normal 12 3 2 2 6" xfId="8870" xr:uid="{00000000-0005-0000-0000-0000BE5E0000}"/>
    <cellStyle name="Normal 12 3 2 2 6 2" xfId="15659" xr:uid="{00000000-0005-0000-0000-0000BF5E0000}"/>
    <cellStyle name="Normal 12 3 2 2 6 2 2" xfId="29227" xr:uid="{00000000-0005-0000-0000-0000C05E0000}"/>
    <cellStyle name="Normal 12 3 2 2 6 2 2 2" xfId="56360" xr:uid="{00000000-0005-0000-0000-0000C15E0000}"/>
    <cellStyle name="Normal 12 3 2 2 6 2 3" xfId="42798" xr:uid="{00000000-0005-0000-0000-0000C25E0000}"/>
    <cellStyle name="Normal 12 3 2 2 6 3" xfId="22446" xr:uid="{00000000-0005-0000-0000-0000C35E0000}"/>
    <cellStyle name="Normal 12 3 2 2 6 3 2" xfId="49579" xr:uid="{00000000-0005-0000-0000-0000C45E0000}"/>
    <cellStyle name="Normal 12 3 2 2 6 4" xfId="36017" xr:uid="{00000000-0005-0000-0000-0000C55E0000}"/>
    <cellStyle name="Normal 12 3 2 2 7" xfId="12270" xr:uid="{00000000-0005-0000-0000-0000C65E0000}"/>
    <cellStyle name="Normal 12 3 2 2 7 2" xfId="25838" xr:uid="{00000000-0005-0000-0000-0000C75E0000}"/>
    <cellStyle name="Normal 12 3 2 2 7 2 2" xfId="52971" xr:uid="{00000000-0005-0000-0000-0000C85E0000}"/>
    <cellStyle name="Normal 12 3 2 2 7 3" xfId="39409" xr:uid="{00000000-0005-0000-0000-0000C95E0000}"/>
    <cellStyle name="Normal 12 3 2 2 8" xfId="19057" xr:uid="{00000000-0005-0000-0000-0000CA5E0000}"/>
    <cellStyle name="Normal 12 3 2 2 8 2" xfId="46190" xr:uid="{00000000-0005-0000-0000-0000CB5E0000}"/>
    <cellStyle name="Normal 12 3 2 2 9" xfId="32628" xr:uid="{00000000-0005-0000-0000-0000CC5E0000}"/>
    <cellStyle name="Normal 12 3 2 3" xfId="5329" xr:uid="{00000000-0005-0000-0000-0000CD5E0000}"/>
    <cellStyle name="Normal 12 3 2 3 2" xfId="5330" xr:uid="{00000000-0005-0000-0000-0000CE5E0000}"/>
    <cellStyle name="Normal 12 3 2 3 2 2" xfId="8879" xr:uid="{00000000-0005-0000-0000-0000CF5E0000}"/>
    <cellStyle name="Normal 12 3 2 3 2 2 2" xfId="15668" xr:uid="{00000000-0005-0000-0000-0000D05E0000}"/>
    <cellStyle name="Normal 12 3 2 3 2 2 2 2" xfId="29236" xr:uid="{00000000-0005-0000-0000-0000D15E0000}"/>
    <cellStyle name="Normal 12 3 2 3 2 2 2 2 2" xfId="56369" xr:uid="{00000000-0005-0000-0000-0000D25E0000}"/>
    <cellStyle name="Normal 12 3 2 3 2 2 2 3" xfId="42807" xr:uid="{00000000-0005-0000-0000-0000D35E0000}"/>
    <cellStyle name="Normal 12 3 2 3 2 2 3" xfId="22455" xr:uid="{00000000-0005-0000-0000-0000D45E0000}"/>
    <cellStyle name="Normal 12 3 2 3 2 2 3 2" xfId="49588" xr:uid="{00000000-0005-0000-0000-0000D55E0000}"/>
    <cellStyle name="Normal 12 3 2 3 2 2 4" xfId="36026" xr:uid="{00000000-0005-0000-0000-0000D65E0000}"/>
    <cellStyle name="Normal 12 3 2 3 2 3" xfId="12279" xr:uid="{00000000-0005-0000-0000-0000D75E0000}"/>
    <cellStyle name="Normal 12 3 2 3 2 3 2" xfId="25847" xr:uid="{00000000-0005-0000-0000-0000D85E0000}"/>
    <cellStyle name="Normal 12 3 2 3 2 3 2 2" xfId="52980" xr:uid="{00000000-0005-0000-0000-0000D95E0000}"/>
    <cellStyle name="Normal 12 3 2 3 2 3 3" xfId="39418" xr:uid="{00000000-0005-0000-0000-0000DA5E0000}"/>
    <cellStyle name="Normal 12 3 2 3 2 4" xfId="19066" xr:uid="{00000000-0005-0000-0000-0000DB5E0000}"/>
    <cellStyle name="Normal 12 3 2 3 2 4 2" xfId="46199" xr:uid="{00000000-0005-0000-0000-0000DC5E0000}"/>
    <cellStyle name="Normal 12 3 2 3 2 5" xfId="32637" xr:uid="{00000000-0005-0000-0000-0000DD5E0000}"/>
    <cellStyle name="Normal 12 3 2 3 3" xfId="5331" xr:uid="{00000000-0005-0000-0000-0000DE5E0000}"/>
    <cellStyle name="Normal 12 3 2 3 3 2" xfId="8880" xr:uid="{00000000-0005-0000-0000-0000DF5E0000}"/>
    <cellStyle name="Normal 12 3 2 3 3 2 2" xfId="15669" xr:uid="{00000000-0005-0000-0000-0000E05E0000}"/>
    <cellStyle name="Normal 12 3 2 3 3 2 2 2" xfId="29237" xr:uid="{00000000-0005-0000-0000-0000E15E0000}"/>
    <cellStyle name="Normal 12 3 2 3 3 2 2 2 2" xfId="56370" xr:uid="{00000000-0005-0000-0000-0000E25E0000}"/>
    <cellStyle name="Normal 12 3 2 3 3 2 2 3" xfId="42808" xr:uid="{00000000-0005-0000-0000-0000E35E0000}"/>
    <cellStyle name="Normal 12 3 2 3 3 2 3" xfId="22456" xr:uid="{00000000-0005-0000-0000-0000E45E0000}"/>
    <cellStyle name="Normal 12 3 2 3 3 2 3 2" xfId="49589" xr:uid="{00000000-0005-0000-0000-0000E55E0000}"/>
    <cellStyle name="Normal 12 3 2 3 3 2 4" xfId="36027" xr:uid="{00000000-0005-0000-0000-0000E65E0000}"/>
    <cellStyle name="Normal 12 3 2 3 3 3" xfId="12280" xr:uid="{00000000-0005-0000-0000-0000E75E0000}"/>
    <cellStyle name="Normal 12 3 2 3 3 3 2" xfId="25848" xr:uid="{00000000-0005-0000-0000-0000E85E0000}"/>
    <cellStyle name="Normal 12 3 2 3 3 3 2 2" xfId="52981" xr:uid="{00000000-0005-0000-0000-0000E95E0000}"/>
    <cellStyle name="Normal 12 3 2 3 3 3 3" xfId="39419" xr:uid="{00000000-0005-0000-0000-0000EA5E0000}"/>
    <cellStyle name="Normal 12 3 2 3 3 4" xfId="19067" xr:uid="{00000000-0005-0000-0000-0000EB5E0000}"/>
    <cellStyle name="Normal 12 3 2 3 3 4 2" xfId="46200" xr:uid="{00000000-0005-0000-0000-0000EC5E0000}"/>
    <cellStyle name="Normal 12 3 2 3 3 5" xfId="32638" xr:uid="{00000000-0005-0000-0000-0000ED5E0000}"/>
    <cellStyle name="Normal 12 3 2 3 4" xfId="8878" xr:uid="{00000000-0005-0000-0000-0000EE5E0000}"/>
    <cellStyle name="Normal 12 3 2 3 4 2" xfId="15667" xr:uid="{00000000-0005-0000-0000-0000EF5E0000}"/>
    <cellStyle name="Normal 12 3 2 3 4 2 2" xfId="29235" xr:uid="{00000000-0005-0000-0000-0000F05E0000}"/>
    <cellStyle name="Normal 12 3 2 3 4 2 2 2" xfId="56368" xr:uid="{00000000-0005-0000-0000-0000F15E0000}"/>
    <cellStyle name="Normal 12 3 2 3 4 2 3" xfId="42806" xr:uid="{00000000-0005-0000-0000-0000F25E0000}"/>
    <cellStyle name="Normal 12 3 2 3 4 3" xfId="22454" xr:uid="{00000000-0005-0000-0000-0000F35E0000}"/>
    <cellStyle name="Normal 12 3 2 3 4 3 2" xfId="49587" xr:uid="{00000000-0005-0000-0000-0000F45E0000}"/>
    <cellStyle name="Normal 12 3 2 3 4 4" xfId="36025" xr:uid="{00000000-0005-0000-0000-0000F55E0000}"/>
    <cellStyle name="Normal 12 3 2 3 5" xfId="12278" xr:uid="{00000000-0005-0000-0000-0000F65E0000}"/>
    <cellStyle name="Normal 12 3 2 3 5 2" xfId="25846" xr:uid="{00000000-0005-0000-0000-0000F75E0000}"/>
    <cellStyle name="Normal 12 3 2 3 5 2 2" xfId="52979" xr:uid="{00000000-0005-0000-0000-0000F85E0000}"/>
    <cellStyle name="Normal 12 3 2 3 5 3" xfId="39417" xr:uid="{00000000-0005-0000-0000-0000F95E0000}"/>
    <cellStyle name="Normal 12 3 2 3 6" xfId="19065" xr:uid="{00000000-0005-0000-0000-0000FA5E0000}"/>
    <cellStyle name="Normal 12 3 2 3 6 2" xfId="46198" xr:uid="{00000000-0005-0000-0000-0000FB5E0000}"/>
    <cellStyle name="Normal 12 3 2 3 7" xfId="32636" xr:uid="{00000000-0005-0000-0000-0000FC5E0000}"/>
    <cellStyle name="Normal 12 3 2 4" xfId="5332" xr:uid="{00000000-0005-0000-0000-0000FD5E0000}"/>
    <cellStyle name="Normal 12 3 2 4 2" xfId="5333" xr:uid="{00000000-0005-0000-0000-0000FE5E0000}"/>
    <cellStyle name="Normal 12 3 2 4 2 2" xfId="8882" xr:uid="{00000000-0005-0000-0000-0000FF5E0000}"/>
    <cellStyle name="Normal 12 3 2 4 2 2 2" xfId="15671" xr:uid="{00000000-0005-0000-0000-0000005F0000}"/>
    <cellStyle name="Normal 12 3 2 4 2 2 2 2" xfId="29239" xr:uid="{00000000-0005-0000-0000-0000015F0000}"/>
    <cellStyle name="Normal 12 3 2 4 2 2 2 2 2" xfId="56372" xr:uid="{00000000-0005-0000-0000-0000025F0000}"/>
    <cellStyle name="Normal 12 3 2 4 2 2 2 3" xfId="42810" xr:uid="{00000000-0005-0000-0000-0000035F0000}"/>
    <cellStyle name="Normal 12 3 2 4 2 2 3" xfId="22458" xr:uid="{00000000-0005-0000-0000-0000045F0000}"/>
    <cellStyle name="Normal 12 3 2 4 2 2 3 2" xfId="49591" xr:uid="{00000000-0005-0000-0000-0000055F0000}"/>
    <cellStyle name="Normal 12 3 2 4 2 2 4" xfId="36029" xr:uid="{00000000-0005-0000-0000-0000065F0000}"/>
    <cellStyle name="Normal 12 3 2 4 2 3" xfId="12282" xr:uid="{00000000-0005-0000-0000-0000075F0000}"/>
    <cellStyle name="Normal 12 3 2 4 2 3 2" xfId="25850" xr:uid="{00000000-0005-0000-0000-0000085F0000}"/>
    <cellStyle name="Normal 12 3 2 4 2 3 2 2" xfId="52983" xr:uid="{00000000-0005-0000-0000-0000095F0000}"/>
    <cellStyle name="Normal 12 3 2 4 2 3 3" xfId="39421" xr:uid="{00000000-0005-0000-0000-00000A5F0000}"/>
    <cellStyle name="Normal 12 3 2 4 2 4" xfId="19069" xr:uid="{00000000-0005-0000-0000-00000B5F0000}"/>
    <cellStyle name="Normal 12 3 2 4 2 4 2" xfId="46202" xr:uid="{00000000-0005-0000-0000-00000C5F0000}"/>
    <cellStyle name="Normal 12 3 2 4 2 5" xfId="32640" xr:uid="{00000000-0005-0000-0000-00000D5F0000}"/>
    <cellStyle name="Normal 12 3 2 4 3" xfId="8881" xr:uid="{00000000-0005-0000-0000-00000E5F0000}"/>
    <cellStyle name="Normal 12 3 2 4 3 2" xfId="15670" xr:uid="{00000000-0005-0000-0000-00000F5F0000}"/>
    <cellStyle name="Normal 12 3 2 4 3 2 2" xfId="29238" xr:uid="{00000000-0005-0000-0000-0000105F0000}"/>
    <cellStyle name="Normal 12 3 2 4 3 2 2 2" xfId="56371" xr:uid="{00000000-0005-0000-0000-0000115F0000}"/>
    <cellStyle name="Normal 12 3 2 4 3 2 3" xfId="42809" xr:uid="{00000000-0005-0000-0000-0000125F0000}"/>
    <cellStyle name="Normal 12 3 2 4 3 3" xfId="22457" xr:uid="{00000000-0005-0000-0000-0000135F0000}"/>
    <cellStyle name="Normal 12 3 2 4 3 3 2" xfId="49590" xr:uid="{00000000-0005-0000-0000-0000145F0000}"/>
    <cellStyle name="Normal 12 3 2 4 3 4" xfId="36028" xr:uid="{00000000-0005-0000-0000-0000155F0000}"/>
    <cellStyle name="Normal 12 3 2 4 4" xfId="12281" xr:uid="{00000000-0005-0000-0000-0000165F0000}"/>
    <cellStyle name="Normal 12 3 2 4 4 2" xfId="25849" xr:uid="{00000000-0005-0000-0000-0000175F0000}"/>
    <cellStyle name="Normal 12 3 2 4 4 2 2" xfId="52982" xr:uid="{00000000-0005-0000-0000-0000185F0000}"/>
    <cellStyle name="Normal 12 3 2 4 4 3" xfId="39420" xr:uid="{00000000-0005-0000-0000-0000195F0000}"/>
    <cellStyle name="Normal 12 3 2 4 5" xfId="19068" xr:uid="{00000000-0005-0000-0000-00001A5F0000}"/>
    <cellStyle name="Normal 12 3 2 4 5 2" xfId="46201" xr:uid="{00000000-0005-0000-0000-00001B5F0000}"/>
    <cellStyle name="Normal 12 3 2 4 6" xfId="32639" xr:uid="{00000000-0005-0000-0000-00001C5F0000}"/>
    <cellStyle name="Normal 12 3 2 5" xfId="5334" xr:uid="{00000000-0005-0000-0000-00001D5F0000}"/>
    <cellStyle name="Normal 12 3 2 5 2" xfId="8883" xr:uid="{00000000-0005-0000-0000-00001E5F0000}"/>
    <cellStyle name="Normal 12 3 2 5 2 2" xfId="15672" xr:uid="{00000000-0005-0000-0000-00001F5F0000}"/>
    <cellStyle name="Normal 12 3 2 5 2 2 2" xfId="29240" xr:uid="{00000000-0005-0000-0000-0000205F0000}"/>
    <cellStyle name="Normal 12 3 2 5 2 2 2 2" xfId="56373" xr:uid="{00000000-0005-0000-0000-0000215F0000}"/>
    <cellStyle name="Normal 12 3 2 5 2 2 3" xfId="42811" xr:uid="{00000000-0005-0000-0000-0000225F0000}"/>
    <cellStyle name="Normal 12 3 2 5 2 3" xfId="22459" xr:uid="{00000000-0005-0000-0000-0000235F0000}"/>
    <cellStyle name="Normal 12 3 2 5 2 3 2" xfId="49592" xr:uid="{00000000-0005-0000-0000-0000245F0000}"/>
    <cellStyle name="Normal 12 3 2 5 2 4" xfId="36030" xr:uid="{00000000-0005-0000-0000-0000255F0000}"/>
    <cellStyle name="Normal 12 3 2 5 3" xfId="12283" xr:uid="{00000000-0005-0000-0000-0000265F0000}"/>
    <cellStyle name="Normal 12 3 2 5 3 2" xfId="25851" xr:uid="{00000000-0005-0000-0000-0000275F0000}"/>
    <cellStyle name="Normal 12 3 2 5 3 2 2" xfId="52984" xr:uid="{00000000-0005-0000-0000-0000285F0000}"/>
    <cellStyle name="Normal 12 3 2 5 3 3" xfId="39422" xr:uid="{00000000-0005-0000-0000-0000295F0000}"/>
    <cellStyle name="Normal 12 3 2 5 4" xfId="19070" xr:uid="{00000000-0005-0000-0000-00002A5F0000}"/>
    <cellStyle name="Normal 12 3 2 5 4 2" xfId="46203" xr:uid="{00000000-0005-0000-0000-00002B5F0000}"/>
    <cellStyle name="Normal 12 3 2 5 5" xfId="32641" xr:uid="{00000000-0005-0000-0000-00002C5F0000}"/>
    <cellStyle name="Normal 12 3 2 6" xfId="5335" xr:uid="{00000000-0005-0000-0000-00002D5F0000}"/>
    <cellStyle name="Normal 12 3 2 6 2" xfId="8884" xr:uid="{00000000-0005-0000-0000-00002E5F0000}"/>
    <cellStyle name="Normal 12 3 2 6 2 2" xfId="15673" xr:uid="{00000000-0005-0000-0000-00002F5F0000}"/>
    <cellStyle name="Normal 12 3 2 6 2 2 2" xfId="29241" xr:uid="{00000000-0005-0000-0000-0000305F0000}"/>
    <cellStyle name="Normal 12 3 2 6 2 2 2 2" xfId="56374" xr:uid="{00000000-0005-0000-0000-0000315F0000}"/>
    <cellStyle name="Normal 12 3 2 6 2 2 3" xfId="42812" xr:uid="{00000000-0005-0000-0000-0000325F0000}"/>
    <cellStyle name="Normal 12 3 2 6 2 3" xfId="22460" xr:uid="{00000000-0005-0000-0000-0000335F0000}"/>
    <cellStyle name="Normal 12 3 2 6 2 3 2" xfId="49593" xr:uid="{00000000-0005-0000-0000-0000345F0000}"/>
    <cellStyle name="Normal 12 3 2 6 2 4" xfId="36031" xr:uid="{00000000-0005-0000-0000-0000355F0000}"/>
    <cellStyle name="Normal 12 3 2 6 3" xfId="12284" xr:uid="{00000000-0005-0000-0000-0000365F0000}"/>
    <cellStyle name="Normal 12 3 2 6 3 2" xfId="25852" xr:uid="{00000000-0005-0000-0000-0000375F0000}"/>
    <cellStyle name="Normal 12 3 2 6 3 2 2" xfId="52985" xr:uid="{00000000-0005-0000-0000-0000385F0000}"/>
    <cellStyle name="Normal 12 3 2 6 3 3" xfId="39423" xr:uid="{00000000-0005-0000-0000-0000395F0000}"/>
    <cellStyle name="Normal 12 3 2 6 4" xfId="19071" xr:uid="{00000000-0005-0000-0000-00003A5F0000}"/>
    <cellStyle name="Normal 12 3 2 6 4 2" xfId="46204" xr:uid="{00000000-0005-0000-0000-00003B5F0000}"/>
    <cellStyle name="Normal 12 3 2 6 5" xfId="32642" xr:uid="{00000000-0005-0000-0000-00003C5F0000}"/>
    <cellStyle name="Normal 12 3 2 7" xfId="8869" xr:uid="{00000000-0005-0000-0000-00003D5F0000}"/>
    <cellStyle name="Normal 12 3 2 7 2" xfId="15658" xr:uid="{00000000-0005-0000-0000-00003E5F0000}"/>
    <cellStyle name="Normal 12 3 2 7 2 2" xfId="29226" xr:uid="{00000000-0005-0000-0000-00003F5F0000}"/>
    <cellStyle name="Normal 12 3 2 7 2 2 2" xfId="56359" xr:uid="{00000000-0005-0000-0000-0000405F0000}"/>
    <cellStyle name="Normal 12 3 2 7 2 3" xfId="42797" xr:uid="{00000000-0005-0000-0000-0000415F0000}"/>
    <cellStyle name="Normal 12 3 2 7 3" xfId="22445" xr:uid="{00000000-0005-0000-0000-0000425F0000}"/>
    <cellStyle name="Normal 12 3 2 7 3 2" xfId="49578" xr:uid="{00000000-0005-0000-0000-0000435F0000}"/>
    <cellStyle name="Normal 12 3 2 7 4" xfId="36016" xr:uid="{00000000-0005-0000-0000-0000445F0000}"/>
    <cellStyle name="Normal 12 3 2 8" xfId="12269" xr:uid="{00000000-0005-0000-0000-0000455F0000}"/>
    <cellStyle name="Normal 12 3 2 8 2" xfId="25837" xr:uid="{00000000-0005-0000-0000-0000465F0000}"/>
    <cellStyle name="Normal 12 3 2 8 2 2" xfId="52970" xr:uid="{00000000-0005-0000-0000-0000475F0000}"/>
    <cellStyle name="Normal 12 3 2 8 3" xfId="39408" xr:uid="{00000000-0005-0000-0000-0000485F0000}"/>
    <cellStyle name="Normal 12 3 2 9" xfId="19056" xr:uid="{00000000-0005-0000-0000-0000495F0000}"/>
    <cellStyle name="Normal 12 3 2 9 2" xfId="46189" xr:uid="{00000000-0005-0000-0000-00004A5F0000}"/>
    <cellStyle name="Normal 12 3 3" xfId="5336" xr:uid="{00000000-0005-0000-0000-00004B5F0000}"/>
    <cellStyle name="Normal 12 3 3 2" xfId="5337" xr:uid="{00000000-0005-0000-0000-00004C5F0000}"/>
    <cellStyle name="Normal 12 3 3 2 2" xfId="5338" xr:uid="{00000000-0005-0000-0000-00004D5F0000}"/>
    <cellStyle name="Normal 12 3 3 2 2 2" xfId="8887" xr:uid="{00000000-0005-0000-0000-00004E5F0000}"/>
    <cellStyle name="Normal 12 3 3 2 2 2 2" xfId="15676" xr:uid="{00000000-0005-0000-0000-00004F5F0000}"/>
    <cellStyle name="Normal 12 3 3 2 2 2 2 2" xfId="29244" xr:uid="{00000000-0005-0000-0000-0000505F0000}"/>
    <cellStyle name="Normal 12 3 3 2 2 2 2 2 2" xfId="56377" xr:uid="{00000000-0005-0000-0000-0000515F0000}"/>
    <cellStyle name="Normal 12 3 3 2 2 2 2 3" xfId="42815" xr:uid="{00000000-0005-0000-0000-0000525F0000}"/>
    <cellStyle name="Normal 12 3 3 2 2 2 3" xfId="22463" xr:uid="{00000000-0005-0000-0000-0000535F0000}"/>
    <cellStyle name="Normal 12 3 3 2 2 2 3 2" xfId="49596" xr:uid="{00000000-0005-0000-0000-0000545F0000}"/>
    <cellStyle name="Normal 12 3 3 2 2 2 4" xfId="36034" xr:uid="{00000000-0005-0000-0000-0000555F0000}"/>
    <cellStyle name="Normal 12 3 3 2 2 3" xfId="12287" xr:uid="{00000000-0005-0000-0000-0000565F0000}"/>
    <cellStyle name="Normal 12 3 3 2 2 3 2" xfId="25855" xr:uid="{00000000-0005-0000-0000-0000575F0000}"/>
    <cellStyle name="Normal 12 3 3 2 2 3 2 2" xfId="52988" xr:uid="{00000000-0005-0000-0000-0000585F0000}"/>
    <cellStyle name="Normal 12 3 3 2 2 3 3" xfId="39426" xr:uid="{00000000-0005-0000-0000-0000595F0000}"/>
    <cellStyle name="Normal 12 3 3 2 2 4" xfId="19074" xr:uid="{00000000-0005-0000-0000-00005A5F0000}"/>
    <cellStyle name="Normal 12 3 3 2 2 4 2" xfId="46207" xr:uid="{00000000-0005-0000-0000-00005B5F0000}"/>
    <cellStyle name="Normal 12 3 3 2 2 5" xfId="32645" xr:uid="{00000000-0005-0000-0000-00005C5F0000}"/>
    <cellStyle name="Normal 12 3 3 2 3" xfId="5339" xr:uid="{00000000-0005-0000-0000-00005D5F0000}"/>
    <cellStyle name="Normal 12 3 3 2 3 2" xfId="8888" xr:uid="{00000000-0005-0000-0000-00005E5F0000}"/>
    <cellStyle name="Normal 12 3 3 2 3 2 2" xfId="15677" xr:uid="{00000000-0005-0000-0000-00005F5F0000}"/>
    <cellStyle name="Normal 12 3 3 2 3 2 2 2" xfId="29245" xr:uid="{00000000-0005-0000-0000-0000605F0000}"/>
    <cellStyle name="Normal 12 3 3 2 3 2 2 2 2" xfId="56378" xr:uid="{00000000-0005-0000-0000-0000615F0000}"/>
    <cellStyle name="Normal 12 3 3 2 3 2 2 3" xfId="42816" xr:uid="{00000000-0005-0000-0000-0000625F0000}"/>
    <cellStyle name="Normal 12 3 3 2 3 2 3" xfId="22464" xr:uid="{00000000-0005-0000-0000-0000635F0000}"/>
    <cellStyle name="Normal 12 3 3 2 3 2 3 2" xfId="49597" xr:uid="{00000000-0005-0000-0000-0000645F0000}"/>
    <cellStyle name="Normal 12 3 3 2 3 2 4" xfId="36035" xr:uid="{00000000-0005-0000-0000-0000655F0000}"/>
    <cellStyle name="Normal 12 3 3 2 3 3" xfId="12288" xr:uid="{00000000-0005-0000-0000-0000665F0000}"/>
    <cellStyle name="Normal 12 3 3 2 3 3 2" xfId="25856" xr:uid="{00000000-0005-0000-0000-0000675F0000}"/>
    <cellStyle name="Normal 12 3 3 2 3 3 2 2" xfId="52989" xr:uid="{00000000-0005-0000-0000-0000685F0000}"/>
    <cellStyle name="Normal 12 3 3 2 3 3 3" xfId="39427" xr:uid="{00000000-0005-0000-0000-0000695F0000}"/>
    <cellStyle name="Normal 12 3 3 2 3 4" xfId="19075" xr:uid="{00000000-0005-0000-0000-00006A5F0000}"/>
    <cellStyle name="Normal 12 3 3 2 3 4 2" xfId="46208" xr:uid="{00000000-0005-0000-0000-00006B5F0000}"/>
    <cellStyle name="Normal 12 3 3 2 3 5" xfId="32646" xr:uid="{00000000-0005-0000-0000-00006C5F0000}"/>
    <cellStyle name="Normal 12 3 3 2 4" xfId="8886" xr:uid="{00000000-0005-0000-0000-00006D5F0000}"/>
    <cellStyle name="Normal 12 3 3 2 4 2" xfId="15675" xr:uid="{00000000-0005-0000-0000-00006E5F0000}"/>
    <cellStyle name="Normal 12 3 3 2 4 2 2" xfId="29243" xr:uid="{00000000-0005-0000-0000-00006F5F0000}"/>
    <cellStyle name="Normal 12 3 3 2 4 2 2 2" xfId="56376" xr:uid="{00000000-0005-0000-0000-0000705F0000}"/>
    <cellStyle name="Normal 12 3 3 2 4 2 3" xfId="42814" xr:uid="{00000000-0005-0000-0000-0000715F0000}"/>
    <cellStyle name="Normal 12 3 3 2 4 3" xfId="22462" xr:uid="{00000000-0005-0000-0000-0000725F0000}"/>
    <cellStyle name="Normal 12 3 3 2 4 3 2" xfId="49595" xr:uid="{00000000-0005-0000-0000-0000735F0000}"/>
    <cellStyle name="Normal 12 3 3 2 4 4" xfId="36033" xr:uid="{00000000-0005-0000-0000-0000745F0000}"/>
    <cellStyle name="Normal 12 3 3 2 5" xfId="12286" xr:uid="{00000000-0005-0000-0000-0000755F0000}"/>
    <cellStyle name="Normal 12 3 3 2 5 2" xfId="25854" xr:uid="{00000000-0005-0000-0000-0000765F0000}"/>
    <cellStyle name="Normal 12 3 3 2 5 2 2" xfId="52987" xr:uid="{00000000-0005-0000-0000-0000775F0000}"/>
    <cellStyle name="Normal 12 3 3 2 5 3" xfId="39425" xr:uid="{00000000-0005-0000-0000-0000785F0000}"/>
    <cellStyle name="Normal 12 3 3 2 6" xfId="19073" xr:uid="{00000000-0005-0000-0000-0000795F0000}"/>
    <cellStyle name="Normal 12 3 3 2 6 2" xfId="46206" xr:uid="{00000000-0005-0000-0000-00007A5F0000}"/>
    <cellStyle name="Normal 12 3 3 2 7" xfId="32644" xr:uid="{00000000-0005-0000-0000-00007B5F0000}"/>
    <cellStyle name="Normal 12 3 3 3" xfId="5340" xr:uid="{00000000-0005-0000-0000-00007C5F0000}"/>
    <cellStyle name="Normal 12 3 3 3 2" xfId="5341" xr:uid="{00000000-0005-0000-0000-00007D5F0000}"/>
    <cellStyle name="Normal 12 3 3 3 2 2" xfId="8890" xr:uid="{00000000-0005-0000-0000-00007E5F0000}"/>
    <cellStyle name="Normal 12 3 3 3 2 2 2" xfId="15679" xr:uid="{00000000-0005-0000-0000-00007F5F0000}"/>
    <cellStyle name="Normal 12 3 3 3 2 2 2 2" xfId="29247" xr:uid="{00000000-0005-0000-0000-0000805F0000}"/>
    <cellStyle name="Normal 12 3 3 3 2 2 2 2 2" xfId="56380" xr:uid="{00000000-0005-0000-0000-0000815F0000}"/>
    <cellStyle name="Normal 12 3 3 3 2 2 2 3" xfId="42818" xr:uid="{00000000-0005-0000-0000-0000825F0000}"/>
    <cellStyle name="Normal 12 3 3 3 2 2 3" xfId="22466" xr:uid="{00000000-0005-0000-0000-0000835F0000}"/>
    <cellStyle name="Normal 12 3 3 3 2 2 3 2" xfId="49599" xr:uid="{00000000-0005-0000-0000-0000845F0000}"/>
    <cellStyle name="Normal 12 3 3 3 2 2 4" xfId="36037" xr:uid="{00000000-0005-0000-0000-0000855F0000}"/>
    <cellStyle name="Normal 12 3 3 3 2 3" xfId="12290" xr:uid="{00000000-0005-0000-0000-0000865F0000}"/>
    <cellStyle name="Normal 12 3 3 3 2 3 2" xfId="25858" xr:uid="{00000000-0005-0000-0000-0000875F0000}"/>
    <cellStyle name="Normal 12 3 3 3 2 3 2 2" xfId="52991" xr:uid="{00000000-0005-0000-0000-0000885F0000}"/>
    <cellStyle name="Normal 12 3 3 3 2 3 3" xfId="39429" xr:uid="{00000000-0005-0000-0000-0000895F0000}"/>
    <cellStyle name="Normal 12 3 3 3 2 4" xfId="19077" xr:uid="{00000000-0005-0000-0000-00008A5F0000}"/>
    <cellStyle name="Normal 12 3 3 3 2 4 2" xfId="46210" xr:uid="{00000000-0005-0000-0000-00008B5F0000}"/>
    <cellStyle name="Normal 12 3 3 3 2 5" xfId="32648" xr:uid="{00000000-0005-0000-0000-00008C5F0000}"/>
    <cellStyle name="Normal 12 3 3 3 3" xfId="8889" xr:uid="{00000000-0005-0000-0000-00008D5F0000}"/>
    <cellStyle name="Normal 12 3 3 3 3 2" xfId="15678" xr:uid="{00000000-0005-0000-0000-00008E5F0000}"/>
    <cellStyle name="Normal 12 3 3 3 3 2 2" xfId="29246" xr:uid="{00000000-0005-0000-0000-00008F5F0000}"/>
    <cellStyle name="Normal 12 3 3 3 3 2 2 2" xfId="56379" xr:uid="{00000000-0005-0000-0000-0000905F0000}"/>
    <cellStyle name="Normal 12 3 3 3 3 2 3" xfId="42817" xr:uid="{00000000-0005-0000-0000-0000915F0000}"/>
    <cellStyle name="Normal 12 3 3 3 3 3" xfId="22465" xr:uid="{00000000-0005-0000-0000-0000925F0000}"/>
    <cellStyle name="Normal 12 3 3 3 3 3 2" xfId="49598" xr:uid="{00000000-0005-0000-0000-0000935F0000}"/>
    <cellStyle name="Normal 12 3 3 3 3 4" xfId="36036" xr:uid="{00000000-0005-0000-0000-0000945F0000}"/>
    <cellStyle name="Normal 12 3 3 3 4" xfId="12289" xr:uid="{00000000-0005-0000-0000-0000955F0000}"/>
    <cellStyle name="Normal 12 3 3 3 4 2" xfId="25857" xr:uid="{00000000-0005-0000-0000-0000965F0000}"/>
    <cellStyle name="Normal 12 3 3 3 4 2 2" xfId="52990" xr:uid="{00000000-0005-0000-0000-0000975F0000}"/>
    <cellStyle name="Normal 12 3 3 3 4 3" xfId="39428" xr:uid="{00000000-0005-0000-0000-0000985F0000}"/>
    <cellStyle name="Normal 12 3 3 3 5" xfId="19076" xr:uid="{00000000-0005-0000-0000-0000995F0000}"/>
    <cellStyle name="Normal 12 3 3 3 5 2" xfId="46209" xr:uid="{00000000-0005-0000-0000-00009A5F0000}"/>
    <cellStyle name="Normal 12 3 3 3 6" xfId="32647" xr:uid="{00000000-0005-0000-0000-00009B5F0000}"/>
    <cellStyle name="Normal 12 3 3 4" xfId="5342" xr:uid="{00000000-0005-0000-0000-00009C5F0000}"/>
    <cellStyle name="Normal 12 3 3 4 2" xfId="8891" xr:uid="{00000000-0005-0000-0000-00009D5F0000}"/>
    <cellStyle name="Normal 12 3 3 4 2 2" xfId="15680" xr:uid="{00000000-0005-0000-0000-00009E5F0000}"/>
    <cellStyle name="Normal 12 3 3 4 2 2 2" xfId="29248" xr:uid="{00000000-0005-0000-0000-00009F5F0000}"/>
    <cellStyle name="Normal 12 3 3 4 2 2 2 2" xfId="56381" xr:uid="{00000000-0005-0000-0000-0000A05F0000}"/>
    <cellStyle name="Normal 12 3 3 4 2 2 3" xfId="42819" xr:uid="{00000000-0005-0000-0000-0000A15F0000}"/>
    <cellStyle name="Normal 12 3 3 4 2 3" xfId="22467" xr:uid="{00000000-0005-0000-0000-0000A25F0000}"/>
    <cellStyle name="Normal 12 3 3 4 2 3 2" xfId="49600" xr:uid="{00000000-0005-0000-0000-0000A35F0000}"/>
    <cellStyle name="Normal 12 3 3 4 2 4" xfId="36038" xr:uid="{00000000-0005-0000-0000-0000A45F0000}"/>
    <cellStyle name="Normal 12 3 3 4 3" xfId="12291" xr:uid="{00000000-0005-0000-0000-0000A55F0000}"/>
    <cellStyle name="Normal 12 3 3 4 3 2" xfId="25859" xr:uid="{00000000-0005-0000-0000-0000A65F0000}"/>
    <cellStyle name="Normal 12 3 3 4 3 2 2" xfId="52992" xr:uid="{00000000-0005-0000-0000-0000A75F0000}"/>
    <cellStyle name="Normal 12 3 3 4 3 3" xfId="39430" xr:uid="{00000000-0005-0000-0000-0000A85F0000}"/>
    <cellStyle name="Normal 12 3 3 4 4" xfId="19078" xr:uid="{00000000-0005-0000-0000-0000A95F0000}"/>
    <cellStyle name="Normal 12 3 3 4 4 2" xfId="46211" xr:uid="{00000000-0005-0000-0000-0000AA5F0000}"/>
    <cellStyle name="Normal 12 3 3 4 5" xfId="32649" xr:uid="{00000000-0005-0000-0000-0000AB5F0000}"/>
    <cellStyle name="Normal 12 3 3 5" xfId="5343" xr:uid="{00000000-0005-0000-0000-0000AC5F0000}"/>
    <cellStyle name="Normal 12 3 3 5 2" xfId="8892" xr:uid="{00000000-0005-0000-0000-0000AD5F0000}"/>
    <cellStyle name="Normal 12 3 3 5 2 2" xfId="15681" xr:uid="{00000000-0005-0000-0000-0000AE5F0000}"/>
    <cellStyle name="Normal 12 3 3 5 2 2 2" xfId="29249" xr:uid="{00000000-0005-0000-0000-0000AF5F0000}"/>
    <cellStyle name="Normal 12 3 3 5 2 2 2 2" xfId="56382" xr:uid="{00000000-0005-0000-0000-0000B05F0000}"/>
    <cellStyle name="Normal 12 3 3 5 2 2 3" xfId="42820" xr:uid="{00000000-0005-0000-0000-0000B15F0000}"/>
    <cellStyle name="Normal 12 3 3 5 2 3" xfId="22468" xr:uid="{00000000-0005-0000-0000-0000B25F0000}"/>
    <cellStyle name="Normal 12 3 3 5 2 3 2" xfId="49601" xr:uid="{00000000-0005-0000-0000-0000B35F0000}"/>
    <cellStyle name="Normal 12 3 3 5 2 4" xfId="36039" xr:uid="{00000000-0005-0000-0000-0000B45F0000}"/>
    <cellStyle name="Normal 12 3 3 5 3" xfId="12292" xr:uid="{00000000-0005-0000-0000-0000B55F0000}"/>
    <cellStyle name="Normal 12 3 3 5 3 2" xfId="25860" xr:uid="{00000000-0005-0000-0000-0000B65F0000}"/>
    <cellStyle name="Normal 12 3 3 5 3 2 2" xfId="52993" xr:uid="{00000000-0005-0000-0000-0000B75F0000}"/>
    <cellStyle name="Normal 12 3 3 5 3 3" xfId="39431" xr:uid="{00000000-0005-0000-0000-0000B85F0000}"/>
    <cellStyle name="Normal 12 3 3 5 4" xfId="19079" xr:uid="{00000000-0005-0000-0000-0000B95F0000}"/>
    <cellStyle name="Normal 12 3 3 5 4 2" xfId="46212" xr:uid="{00000000-0005-0000-0000-0000BA5F0000}"/>
    <cellStyle name="Normal 12 3 3 5 5" xfId="32650" xr:uid="{00000000-0005-0000-0000-0000BB5F0000}"/>
    <cellStyle name="Normal 12 3 3 6" xfId="8885" xr:uid="{00000000-0005-0000-0000-0000BC5F0000}"/>
    <cellStyle name="Normal 12 3 3 6 2" xfId="15674" xr:uid="{00000000-0005-0000-0000-0000BD5F0000}"/>
    <cellStyle name="Normal 12 3 3 6 2 2" xfId="29242" xr:uid="{00000000-0005-0000-0000-0000BE5F0000}"/>
    <cellStyle name="Normal 12 3 3 6 2 2 2" xfId="56375" xr:uid="{00000000-0005-0000-0000-0000BF5F0000}"/>
    <cellStyle name="Normal 12 3 3 6 2 3" xfId="42813" xr:uid="{00000000-0005-0000-0000-0000C05F0000}"/>
    <cellStyle name="Normal 12 3 3 6 3" xfId="22461" xr:uid="{00000000-0005-0000-0000-0000C15F0000}"/>
    <cellStyle name="Normal 12 3 3 6 3 2" xfId="49594" xr:uid="{00000000-0005-0000-0000-0000C25F0000}"/>
    <cellStyle name="Normal 12 3 3 6 4" xfId="36032" xr:uid="{00000000-0005-0000-0000-0000C35F0000}"/>
    <cellStyle name="Normal 12 3 3 7" xfId="12285" xr:uid="{00000000-0005-0000-0000-0000C45F0000}"/>
    <cellStyle name="Normal 12 3 3 7 2" xfId="25853" xr:uid="{00000000-0005-0000-0000-0000C55F0000}"/>
    <cellStyle name="Normal 12 3 3 7 2 2" xfId="52986" xr:uid="{00000000-0005-0000-0000-0000C65F0000}"/>
    <cellStyle name="Normal 12 3 3 7 3" xfId="39424" xr:uid="{00000000-0005-0000-0000-0000C75F0000}"/>
    <cellStyle name="Normal 12 3 3 8" xfId="19072" xr:uid="{00000000-0005-0000-0000-0000C85F0000}"/>
    <cellStyle name="Normal 12 3 3 8 2" xfId="46205" xr:uid="{00000000-0005-0000-0000-0000C95F0000}"/>
    <cellStyle name="Normal 12 3 3 9" xfId="32643" xr:uid="{00000000-0005-0000-0000-0000CA5F0000}"/>
    <cellStyle name="Normal 12 3 4" xfId="5344" xr:uid="{00000000-0005-0000-0000-0000CB5F0000}"/>
    <cellStyle name="Normal 12 3 4 2" xfId="5345" xr:uid="{00000000-0005-0000-0000-0000CC5F0000}"/>
    <cellStyle name="Normal 12 3 4 2 2" xfId="5346" xr:uid="{00000000-0005-0000-0000-0000CD5F0000}"/>
    <cellStyle name="Normal 12 3 4 2 2 2" xfId="8895" xr:uid="{00000000-0005-0000-0000-0000CE5F0000}"/>
    <cellStyle name="Normal 12 3 4 2 2 2 2" xfId="15684" xr:uid="{00000000-0005-0000-0000-0000CF5F0000}"/>
    <cellStyle name="Normal 12 3 4 2 2 2 2 2" xfId="29252" xr:uid="{00000000-0005-0000-0000-0000D05F0000}"/>
    <cellStyle name="Normal 12 3 4 2 2 2 2 2 2" xfId="56385" xr:uid="{00000000-0005-0000-0000-0000D15F0000}"/>
    <cellStyle name="Normal 12 3 4 2 2 2 2 3" xfId="42823" xr:uid="{00000000-0005-0000-0000-0000D25F0000}"/>
    <cellStyle name="Normal 12 3 4 2 2 2 3" xfId="22471" xr:uid="{00000000-0005-0000-0000-0000D35F0000}"/>
    <cellStyle name="Normal 12 3 4 2 2 2 3 2" xfId="49604" xr:uid="{00000000-0005-0000-0000-0000D45F0000}"/>
    <cellStyle name="Normal 12 3 4 2 2 2 4" xfId="36042" xr:uid="{00000000-0005-0000-0000-0000D55F0000}"/>
    <cellStyle name="Normal 12 3 4 2 2 3" xfId="12295" xr:uid="{00000000-0005-0000-0000-0000D65F0000}"/>
    <cellStyle name="Normal 12 3 4 2 2 3 2" xfId="25863" xr:uid="{00000000-0005-0000-0000-0000D75F0000}"/>
    <cellStyle name="Normal 12 3 4 2 2 3 2 2" xfId="52996" xr:uid="{00000000-0005-0000-0000-0000D85F0000}"/>
    <cellStyle name="Normal 12 3 4 2 2 3 3" xfId="39434" xr:uid="{00000000-0005-0000-0000-0000D95F0000}"/>
    <cellStyle name="Normal 12 3 4 2 2 4" xfId="19082" xr:uid="{00000000-0005-0000-0000-0000DA5F0000}"/>
    <cellStyle name="Normal 12 3 4 2 2 4 2" xfId="46215" xr:uid="{00000000-0005-0000-0000-0000DB5F0000}"/>
    <cellStyle name="Normal 12 3 4 2 2 5" xfId="32653" xr:uid="{00000000-0005-0000-0000-0000DC5F0000}"/>
    <cellStyle name="Normal 12 3 4 2 3" xfId="5347" xr:uid="{00000000-0005-0000-0000-0000DD5F0000}"/>
    <cellStyle name="Normal 12 3 4 2 3 2" xfId="8896" xr:uid="{00000000-0005-0000-0000-0000DE5F0000}"/>
    <cellStyle name="Normal 12 3 4 2 3 2 2" xfId="15685" xr:uid="{00000000-0005-0000-0000-0000DF5F0000}"/>
    <cellStyle name="Normal 12 3 4 2 3 2 2 2" xfId="29253" xr:uid="{00000000-0005-0000-0000-0000E05F0000}"/>
    <cellStyle name="Normal 12 3 4 2 3 2 2 2 2" xfId="56386" xr:uid="{00000000-0005-0000-0000-0000E15F0000}"/>
    <cellStyle name="Normal 12 3 4 2 3 2 2 3" xfId="42824" xr:uid="{00000000-0005-0000-0000-0000E25F0000}"/>
    <cellStyle name="Normal 12 3 4 2 3 2 3" xfId="22472" xr:uid="{00000000-0005-0000-0000-0000E35F0000}"/>
    <cellStyle name="Normal 12 3 4 2 3 2 3 2" xfId="49605" xr:uid="{00000000-0005-0000-0000-0000E45F0000}"/>
    <cellStyle name="Normal 12 3 4 2 3 2 4" xfId="36043" xr:uid="{00000000-0005-0000-0000-0000E55F0000}"/>
    <cellStyle name="Normal 12 3 4 2 3 3" xfId="12296" xr:uid="{00000000-0005-0000-0000-0000E65F0000}"/>
    <cellStyle name="Normal 12 3 4 2 3 3 2" xfId="25864" xr:uid="{00000000-0005-0000-0000-0000E75F0000}"/>
    <cellStyle name="Normal 12 3 4 2 3 3 2 2" xfId="52997" xr:uid="{00000000-0005-0000-0000-0000E85F0000}"/>
    <cellStyle name="Normal 12 3 4 2 3 3 3" xfId="39435" xr:uid="{00000000-0005-0000-0000-0000E95F0000}"/>
    <cellStyle name="Normal 12 3 4 2 3 4" xfId="19083" xr:uid="{00000000-0005-0000-0000-0000EA5F0000}"/>
    <cellStyle name="Normal 12 3 4 2 3 4 2" xfId="46216" xr:uid="{00000000-0005-0000-0000-0000EB5F0000}"/>
    <cellStyle name="Normal 12 3 4 2 3 5" xfId="32654" xr:uid="{00000000-0005-0000-0000-0000EC5F0000}"/>
    <cellStyle name="Normal 12 3 4 2 4" xfId="8894" xr:uid="{00000000-0005-0000-0000-0000ED5F0000}"/>
    <cellStyle name="Normal 12 3 4 2 4 2" xfId="15683" xr:uid="{00000000-0005-0000-0000-0000EE5F0000}"/>
    <cellStyle name="Normal 12 3 4 2 4 2 2" xfId="29251" xr:uid="{00000000-0005-0000-0000-0000EF5F0000}"/>
    <cellStyle name="Normal 12 3 4 2 4 2 2 2" xfId="56384" xr:uid="{00000000-0005-0000-0000-0000F05F0000}"/>
    <cellStyle name="Normal 12 3 4 2 4 2 3" xfId="42822" xr:uid="{00000000-0005-0000-0000-0000F15F0000}"/>
    <cellStyle name="Normal 12 3 4 2 4 3" xfId="22470" xr:uid="{00000000-0005-0000-0000-0000F25F0000}"/>
    <cellStyle name="Normal 12 3 4 2 4 3 2" xfId="49603" xr:uid="{00000000-0005-0000-0000-0000F35F0000}"/>
    <cellStyle name="Normal 12 3 4 2 4 4" xfId="36041" xr:uid="{00000000-0005-0000-0000-0000F45F0000}"/>
    <cellStyle name="Normal 12 3 4 2 5" xfId="12294" xr:uid="{00000000-0005-0000-0000-0000F55F0000}"/>
    <cellStyle name="Normal 12 3 4 2 5 2" xfId="25862" xr:uid="{00000000-0005-0000-0000-0000F65F0000}"/>
    <cellStyle name="Normal 12 3 4 2 5 2 2" xfId="52995" xr:uid="{00000000-0005-0000-0000-0000F75F0000}"/>
    <cellStyle name="Normal 12 3 4 2 5 3" xfId="39433" xr:uid="{00000000-0005-0000-0000-0000F85F0000}"/>
    <cellStyle name="Normal 12 3 4 2 6" xfId="19081" xr:uid="{00000000-0005-0000-0000-0000F95F0000}"/>
    <cellStyle name="Normal 12 3 4 2 6 2" xfId="46214" xr:uid="{00000000-0005-0000-0000-0000FA5F0000}"/>
    <cellStyle name="Normal 12 3 4 2 7" xfId="32652" xr:uid="{00000000-0005-0000-0000-0000FB5F0000}"/>
    <cellStyle name="Normal 12 3 4 3" xfId="5348" xr:uid="{00000000-0005-0000-0000-0000FC5F0000}"/>
    <cellStyle name="Normal 12 3 4 3 2" xfId="8897" xr:uid="{00000000-0005-0000-0000-0000FD5F0000}"/>
    <cellStyle name="Normal 12 3 4 3 2 2" xfId="15686" xr:uid="{00000000-0005-0000-0000-0000FE5F0000}"/>
    <cellStyle name="Normal 12 3 4 3 2 2 2" xfId="29254" xr:uid="{00000000-0005-0000-0000-0000FF5F0000}"/>
    <cellStyle name="Normal 12 3 4 3 2 2 2 2" xfId="56387" xr:uid="{00000000-0005-0000-0000-000000600000}"/>
    <cellStyle name="Normal 12 3 4 3 2 2 3" xfId="42825" xr:uid="{00000000-0005-0000-0000-000001600000}"/>
    <cellStyle name="Normal 12 3 4 3 2 3" xfId="22473" xr:uid="{00000000-0005-0000-0000-000002600000}"/>
    <cellStyle name="Normal 12 3 4 3 2 3 2" xfId="49606" xr:uid="{00000000-0005-0000-0000-000003600000}"/>
    <cellStyle name="Normal 12 3 4 3 2 4" xfId="36044" xr:uid="{00000000-0005-0000-0000-000004600000}"/>
    <cellStyle name="Normal 12 3 4 3 3" xfId="12297" xr:uid="{00000000-0005-0000-0000-000005600000}"/>
    <cellStyle name="Normal 12 3 4 3 3 2" xfId="25865" xr:uid="{00000000-0005-0000-0000-000006600000}"/>
    <cellStyle name="Normal 12 3 4 3 3 2 2" xfId="52998" xr:uid="{00000000-0005-0000-0000-000007600000}"/>
    <cellStyle name="Normal 12 3 4 3 3 3" xfId="39436" xr:uid="{00000000-0005-0000-0000-000008600000}"/>
    <cellStyle name="Normal 12 3 4 3 4" xfId="19084" xr:uid="{00000000-0005-0000-0000-000009600000}"/>
    <cellStyle name="Normal 12 3 4 3 4 2" xfId="46217" xr:uid="{00000000-0005-0000-0000-00000A600000}"/>
    <cellStyle name="Normal 12 3 4 3 5" xfId="32655" xr:uid="{00000000-0005-0000-0000-00000B600000}"/>
    <cellStyle name="Normal 12 3 4 4" xfId="5349" xr:uid="{00000000-0005-0000-0000-00000C600000}"/>
    <cellStyle name="Normal 12 3 4 4 2" xfId="8898" xr:uid="{00000000-0005-0000-0000-00000D600000}"/>
    <cellStyle name="Normal 12 3 4 4 2 2" xfId="15687" xr:uid="{00000000-0005-0000-0000-00000E600000}"/>
    <cellStyle name="Normal 12 3 4 4 2 2 2" xfId="29255" xr:uid="{00000000-0005-0000-0000-00000F600000}"/>
    <cellStyle name="Normal 12 3 4 4 2 2 2 2" xfId="56388" xr:uid="{00000000-0005-0000-0000-000010600000}"/>
    <cellStyle name="Normal 12 3 4 4 2 2 3" xfId="42826" xr:uid="{00000000-0005-0000-0000-000011600000}"/>
    <cellStyle name="Normal 12 3 4 4 2 3" xfId="22474" xr:uid="{00000000-0005-0000-0000-000012600000}"/>
    <cellStyle name="Normal 12 3 4 4 2 3 2" xfId="49607" xr:uid="{00000000-0005-0000-0000-000013600000}"/>
    <cellStyle name="Normal 12 3 4 4 2 4" xfId="36045" xr:uid="{00000000-0005-0000-0000-000014600000}"/>
    <cellStyle name="Normal 12 3 4 4 3" xfId="12298" xr:uid="{00000000-0005-0000-0000-000015600000}"/>
    <cellStyle name="Normal 12 3 4 4 3 2" xfId="25866" xr:uid="{00000000-0005-0000-0000-000016600000}"/>
    <cellStyle name="Normal 12 3 4 4 3 2 2" xfId="52999" xr:uid="{00000000-0005-0000-0000-000017600000}"/>
    <cellStyle name="Normal 12 3 4 4 3 3" xfId="39437" xr:uid="{00000000-0005-0000-0000-000018600000}"/>
    <cellStyle name="Normal 12 3 4 4 4" xfId="19085" xr:uid="{00000000-0005-0000-0000-000019600000}"/>
    <cellStyle name="Normal 12 3 4 4 4 2" xfId="46218" xr:uid="{00000000-0005-0000-0000-00001A600000}"/>
    <cellStyle name="Normal 12 3 4 4 5" xfId="32656" xr:uid="{00000000-0005-0000-0000-00001B600000}"/>
    <cellStyle name="Normal 12 3 4 5" xfId="8893" xr:uid="{00000000-0005-0000-0000-00001C600000}"/>
    <cellStyle name="Normal 12 3 4 5 2" xfId="15682" xr:uid="{00000000-0005-0000-0000-00001D600000}"/>
    <cellStyle name="Normal 12 3 4 5 2 2" xfId="29250" xr:uid="{00000000-0005-0000-0000-00001E600000}"/>
    <cellStyle name="Normal 12 3 4 5 2 2 2" xfId="56383" xr:uid="{00000000-0005-0000-0000-00001F600000}"/>
    <cellStyle name="Normal 12 3 4 5 2 3" xfId="42821" xr:uid="{00000000-0005-0000-0000-000020600000}"/>
    <cellStyle name="Normal 12 3 4 5 3" xfId="22469" xr:uid="{00000000-0005-0000-0000-000021600000}"/>
    <cellStyle name="Normal 12 3 4 5 3 2" xfId="49602" xr:uid="{00000000-0005-0000-0000-000022600000}"/>
    <cellStyle name="Normal 12 3 4 5 4" xfId="36040" xr:uid="{00000000-0005-0000-0000-000023600000}"/>
    <cellStyle name="Normal 12 3 4 6" xfId="12293" xr:uid="{00000000-0005-0000-0000-000024600000}"/>
    <cellStyle name="Normal 12 3 4 6 2" xfId="25861" xr:uid="{00000000-0005-0000-0000-000025600000}"/>
    <cellStyle name="Normal 12 3 4 6 2 2" xfId="52994" xr:uid="{00000000-0005-0000-0000-000026600000}"/>
    <cellStyle name="Normal 12 3 4 6 3" xfId="39432" xr:uid="{00000000-0005-0000-0000-000027600000}"/>
    <cellStyle name="Normal 12 3 4 7" xfId="19080" xr:uid="{00000000-0005-0000-0000-000028600000}"/>
    <cellStyle name="Normal 12 3 4 7 2" xfId="46213" xr:uid="{00000000-0005-0000-0000-000029600000}"/>
    <cellStyle name="Normal 12 3 4 8" xfId="32651" xr:uid="{00000000-0005-0000-0000-00002A600000}"/>
    <cellStyle name="Normal 12 3 5" xfId="5350" xr:uid="{00000000-0005-0000-0000-00002B600000}"/>
    <cellStyle name="Normal 12 3 5 2" xfId="5351" xr:uid="{00000000-0005-0000-0000-00002C600000}"/>
    <cellStyle name="Normal 12 3 5 2 2" xfId="5352" xr:uid="{00000000-0005-0000-0000-00002D600000}"/>
    <cellStyle name="Normal 12 3 5 2 2 2" xfId="8901" xr:uid="{00000000-0005-0000-0000-00002E600000}"/>
    <cellStyle name="Normal 12 3 5 2 2 2 2" xfId="15690" xr:uid="{00000000-0005-0000-0000-00002F600000}"/>
    <cellStyle name="Normal 12 3 5 2 2 2 2 2" xfId="29258" xr:uid="{00000000-0005-0000-0000-000030600000}"/>
    <cellStyle name="Normal 12 3 5 2 2 2 2 2 2" xfId="56391" xr:uid="{00000000-0005-0000-0000-000031600000}"/>
    <cellStyle name="Normal 12 3 5 2 2 2 2 3" xfId="42829" xr:uid="{00000000-0005-0000-0000-000032600000}"/>
    <cellStyle name="Normal 12 3 5 2 2 2 3" xfId="22477" xr:uid="{00000000-0005-0000-0000-000033600000}"/>
    <cellStyle name="Normal 12 3 5 2 2 2 3 2" xfId="49610" xr:uid="{00000000-0005-0000-0000-000034600000}"/>
    <cellStyle name="Normal 12 3 5 2 2 2 4" xfId="36048" xr:uid="{00000000-0005-0000-0000-000035600000}"/>
    <cellStyle name="Normal 12 3 5 2 2 3" xfId="12301" xr:uid="{00000000-0005-0000-0000-000036600000}"/>
    <cellStyle name="Normal 12 3 5 2 2 3 2" xfId="25869" xr:uid="{00000000-0005-0000-0000-000037600000}"/>
    <cellStyle name="Normal 12 3 5 2 2 3 2 2" xfId="53002" xr:uid="{00000000-0005-0000-0000-000038600000}"/>
    <cellStyle name="Normal 12 3 5 2 2 3 3" xfId="39440" xr:uid="{00000000-0005-0000-0000-000039600000}"/>
    <cellStyle name="Normal 12 3 5 2 2 4" xfId="19088" xr:uid="{00000000-0005-0000-0000-00003A600000}"/>
    <cellStyle name="Normal 12 3 5 2 2 4 2" xfId="46221" xr:uid="{00000000-0005-0000-0000-00003B600000}"/>
    <cellStyle name="Normal 12 3 5 2 2 5" xfId="32659" xr:uid="{00000000-0005-0000-0000-00003C600000}"/>
    <cellStyle name="Normal 12 3 5 2 3" xfId="5353" xr:uid="{00000000-0005-0000-0000-00003D600000}"/>
    <cellStyle name="Normal 12 3 5 2 3 2" xfId="8902" xr:uid="{00000000-0005-0000-0000-00003E600000}"/>
    <cellStyle name="Normal 12 3 5 2 3 2 2" xfId="15691" xr:uid="{00000000-0005-0000-0000-00003F600000}"/>
    <cellStyle name="Normal 12 3 5 2 3 2 2 2" xfId="29259" xr:uid="{00000000-0005-0000-0000-000040600000}"/>
    <cellStyle name="Normal 12 3 5 2 3 2 2 2 2" xfId="56392" xr:uid="{00000000-0005-0000-0000-000041600000}"/>
    <cellStyle name="Normal 12 3 5 2 3 2 2 3" xfId="42830" xr:uid="{00000000-0005-0000-0000-000042600000}"/>
    <cellStyle name="Normal 12 3 5 2 3 2 3" xfId="22478" xr:uid="{00000000-0005-0000-0000-000043600000}"/>
    <cellStyle name="Normal 12 3 5 2 3 2 3 2" xfId="49611" xr:uid="{00000000-0005-0000-0000-000044600000}"/>
    <cellStyle name="Normal 12 3 5 2 3 2 4" xfId="36049" xr:uid="{00000000-0005-0000-0000-000045600000}"/>
    <cellStyle name="Normal 12 3 5 2 3 3" xfId="12302" xr:uid="{00000000-0005-0000-0000-000046600000}"/>
    <cellStyle name="Normal 12 3 5 2 3 3 2" xfId="25870" xr:uid="{00000000-0005-0000-0000-000047600000}"/>
    <cellStyle name="Normal 12 3 5 2 3 3 2 2" xfId="53003" xr:uid="{00000000-0005-0000-0000-000048600000}"/>
    <cellStyle name="Normal 12 3 5 2 3 3 3" xfId="39441" xr:uid="{00000000-0005-0000-0000-000049600000}"/>
    <cellStyle name="Normal 12 3 5 2 3 4" xfId="19089" xr:uid="{00000000-0005-0000-0000-00004A600000}"/>
    <cellStyle name="Normal 12 3 5 2 3 4 2" xfId="46222" xr:uid="{00000000-0005-0000-0000-00004B600000}"/>
    <cellStyle name="Normal 12 3 5 2 3 5" xfId="32660" xr:uid="{00000000-0005-0000-0000-00004C600000}"/>
    <cellStyle name="Normal 12 3 5 2 4" xfId="8900" xr:uid="{00000000-0005-0000-0000-00004D600000}"/>
    <cellStyle name="Normal 12 3 5 2 4 2" xfId="15689" xr:uid="{00000000-0005-0000-0000-00004E600000}"/>
    <cellStyle name="Normal 12 3 5 2 4 2 2" xfId="29257" xr:uid="{00000000-0005-0000-0000-00004F600000}"/>
    <cellStyle name="Normal 12 3 5 2 4 2 2 2" xfId="56390" xr:uid="{00000000-0005-0000-0000-000050600000}"/>
    <cellStyle name="Normal 12 3 5 2 4 2 3" xfId="42828" xr:uid="{00000000-0005-0000-0000-000051600000}"/>
    <cellStyle name="Normal 12 3 5 2 4 3" xfId="22476" xr:uid="{00000000-0005-0000-0000-000052600000}"/>
    <cellStyle name="Normal 12 3 5 2 4 3 2" xfId="49609" xr:uid="{00000000-0005-0000-0000-000053600000}"/>
    <cellStyle name="Normal 12 3 5 2 4 4" xfId="36047" xr:uid="{00000000-0005-0000-0000-000054600000}"/>
    <cellStyle name="Normal 12 3 5 2 5" xfId="12300" xr:uid="{00000000-0005-0000-0000-000055600000}"/>
    <cellStyle name="Normal 12 3 5 2 5 2" xfId="25868" xr:uid="{00000000-0005-0000-0000-000056600000}"/>
    <cellStyle name="Normal 12 3 5 2 5 2 2" xfId="53001" xr:uid="{00000000-0005-0000-0000-000057600000}"/>
    <cellStyle name="Normal 12 3 5 2 5 3" xfId="39439" xr:uid="{00000000-0005-0000-0000-000058600000}"/>
    <cellStyle name="Normal 12 3 5 2 6" xfId="19087" xr:uid="{00000000-0005-0000-0000-000059600000}"/>
    <cellStyle name="Normal 12 3 5 2 6 2" xfId="46220" xr:uid="{00000000-0005-0000-0000-00005A600000}"/>
    <cellStyle name="Normal 12 3 5 2 7" xfId="32658" xr:uid="{00000000-0005-0000-0000-00005B600000}"/>
    <cellStyle name="Normal 12 3 5 3" xfId="5354" xr:uid="{00000000-0005-0000-0000-00005C600000}"/>
    <cellStyle name="Normal 12 3 5 3 2" xfId="8903" xr:uid="{00000000-0005-0000-0000-00005D600000}"/>
    <cellStyle name="Normal 12 3 5 3 2 2" xfId="15692" xr:uid="{00000000-0005-0000-0000-00005E600000}"/>
    <cellStyle name="Normal 12 3 5 3 2 2 2" xfId="29260" xr:uid="{00000000-0005-0000-0000-00005F600000}"/>
    <cellStyle name="Normal 12 3 5 3 2 2 2 2" xfId="56393" xr:uid="{00000000-0005-0000-0000-000060600000}"/>
    <cellStyle name="Normal 12 3 5 3 2 2 3" xfId="42831" xr:uid="{00000000-0005-0000-0000-000061600000}"/>
    <cellStyle name="Normal 12 3 5 3 2 3" xfId="22479" xr:uid="{00000000-0005-0000-0000-000062600000}"/>
    <cellStyle name="Normal 12 3 5 3 2 3 2" xfId="49612" xr:uid="{00000000-0005-0000-0000-000063600000}"/>
    <cellStyle name="Normal 12 3 5 3 2 4" xfId="36050" xr:uid="{00000000-0005-0000-0000-000064600000}"/>
    <cellStyle name="Normal 12 3 5 3 3" xfId="12303" xr:uid="{00000000-0005-0000-0000-000065600000}"/>
    <cellStyle name="Normal 12 3 5 3 3 2" xfId="25871" xr:uid="{00000000-0005-0000-0000-000066600000}"/>
    <cellStyle name="Normal 12 3 5 3 3 2 2" xfId="53004" xr:uid="{00000000-0005-0000-0000-000067600000}"/>
    <cellStyle name="Normal 12 3 5 3 3 3" xfId="39442" xr:uid="{00000000-0005-0000-0000-000068600000}"/>
    <cellStyle name="Normal 12 3 5 3 4" xfId="19090" xr:uid="{00000000-0005-0000-0000-000069600000}"/>
    <cellStyle name="Normal 12 3 5 3 4 2" xfId="46223" xr:uid="{00000000-0005-0000-0000-00006A600000}"/>
    <cellStyle name="Normal 12 3 5 3 5" xfId="32661" xr:uid="{00000000-0005-0000-0000-00006B600000}"/>
    <cellStyle name="Normal 12 3 5 4" xfId="5355" xr:uid="{00000000-0005-0000-0000-00006C600000}"/>
    <cellStyle name="Normal 12 3 5 4 2" xfId="8904" xr:uid="{00000000-0005-0000-0000-00006D600000}"/>
    <cellStyle name="Normal 12 3 5 4 2 2" xfId="15693" xr:uid="{00000000-0005-0000-0000-00006E600000}"/>
    <cellStyle name="Normal 12 3 5 4 2 2 2" xfId="29261" xr:uid="{00000000-0005-0000-0000-00006F600000}"/>
    <cellStyle name="Normal 12 3 5 4 2 2 2 2" xfId="56394" xr:uid="{00000000-0005-0000-0000-000070600000}"/>
    <cellStyle name="Normal 12 3 5 4 2 2 3" xfId="42832" xr:uid="{00000000-0005-0000-0000-000071600000}"/>
    <cellStyle name="Normal 12 3 5 4 2 3" xfId="22480" xr:uid="{00000000-0005-0000-0000-000072600000}"/>
    <cellStyle name="Normal 12 3 5 4 2 3 2" xfId="49613" xr:uid="{00000000-0005-0000-0000-000073600000}"/>
    <cellStyle name="Normal 12 3 5 4 2 4" xfId="36051" xr:uid="{00000000-0005-0000-0000-000074600000}"/>
    <cellStyle name="Normal 12 3 5 4 3" xfId="12304" xr:uid="{00000000-0005-0000-0000-000075600000}"/>
    <cellStyle name="Normal 12 3 5 4 3 2" xfId="25872" xr:uid="{00000000-0005-0000-0000-000076600000}"/>
    <cellStyle name="Normal 12 3 5 4 3 2 2" xfId="53005" xr:uid="{00000000-0005-0000-0000-000077600000}"/>
    <cellStyle name="Normal 12 3 5 4 3 3" xfId="39443" xr:uid="{00000000-0005-0000-0000-000078600000}"/>
    <cellStyle name="Normal 12 3 5 4 4" xfId="19091" xr:uid="{00000000-0005-0000-0000-000079600000}"/>
    <cellStyle name="Normal 12 3 5 4 4 2" xfId="46224" xr:uid="{00000000-0005-0000-0000-00007A600000}"/>
    <cellStyle name="Normal 12 3 5 4 5" xfId="32662" xr:uid="{00000000-0005-0000-0000-00007B600000}"/>
    <cellStyle name="Normal 12 3 5 5" xfId="8899" xr:uid="{00000000-0005-0000-0000-00007C600000}"/>
    <cellStyle name="Normal 12 3 5 5 2" xfId="15688" xr:uid="{00000000-0005-0000-0000-00007D600000}"/>
    <cellStyle name="Normal 12 3 5 5 2 2" xfId="29256" xr:uid="{00000000-0005-0000-0000-00007E600000}"/>
    <cellStyle name="Normal 12 3 5 5 2 2 2" xfId="56389" xr:uid="{00000000-0005-0000-0000-00007F600000}"/>
    <cellStyle name="Normal 12 3 5 5 2 3" xfId="42827" xr:uid="{00000000-0005-0000-0000-000080600000}"/>
    <cellStyle name="Normal 12 3 5 5 3" xfId="22475" xr:uid="{00000000-0005-0000-0000-000081600000}"/>
    <cellStyle name="Normal 12 3 5 5 3 2" xfId="49608" xr:uid="{00000000-0005-0000-0000-000082600000}"/>
    <cellStyle name="Normal 12 3 5 5 4" xfId="36046" xr:uid="{00000000-0005-0000-0000-000083600000}"/>
    <cellStyle name="Normal 12 3 5 6" xfId="12299" xr:uid="{00000000-0005-0000-0000-000084600000}"/>
    <cellStyle name="Normal 12 3 5 6 2" xfId="25867" xr:uid="{00000000-0005-0000-0000-000085600000}"/>
    <cellStyle name="Normal 12 3 5 6 2 2" xfId="53000" xr:uid="{00000000-0005-0000-0000-000086600000}"/>
    <cellStyle name="Normal 12 3 5 6 3" xfId="39438" xr:uid="{00000000-0005-0000-0000-000087600000}"/>
    <cellStyle name="Normal 12 3 5 7" xfId="19086" xr:uid="{00000000-0005-0000-0000-000088600000}"/>
    <cellStyle name="Normal 12 3 5 7 2" xfId="46219" xr:uid="{00000000-0005-0000-0000-000089600000}"/>
    <cellStyle name="Normal 12 3 5 8" xfId="32657" xr:uid="{00000000-0005-0000-0000-00008A600000}"/>
    <cellStyle name="Normal 12 3 6" xfId="5356" xr:uid="{00000000-0005-0000-0000-00008B600000}"/>
    <cellStyle name="Normal 12 3 6 2" xfId="5357" xr:uid="{00000000-0005-0000-0000-00008C600000}"/>
    <cellStyle name="Normal 12 3 6 2 2" xfId="8906" xr:uid="{00000000-0005-0000-0000-00008D600000}"/>
    <cellStyle name="Normal 12 3 6 2 2 2" xfId="15695" xr:uid="{00000000-0005-0000-0000-00008E600000}"/>
    <cellStyle name="Normal 12 3 6 2 2 2 2" xfId="29263" xr:uid="{00000000-0005-0000-0000-00008F600000}"/>
    <cellStyle name="Normal 12 3 6 2 2 2 2 2" xfId="56396" xr:uid="{00000000-0005-0000-0000-000090600000}"/>
    <cellStyle name="Normal 12 3 6 2 2 2 3" xfId="42834" xr:uid="{00000000-0005-0000-0000-000091600000}"/>
    <cellStyle name="Normal 12 3 6 2 2 3" xfId="22482" xr:uid="{00000000-0005-0000-0000-000092600000}"/>
    <cellStyle name="Normal 12 3 6 2 2 3 2" xfId="49615" xr:uid="{00000000-0005-0000-0000-000093600000}"/>
    <cellStyle name="Normal 12 3 6 2 2 4" xfId="36053" xr:uid="{00000000-0005-0000-0000-000094600000}"/>
    <cellStyle name="Normal 12 3 6 2 3" xfId="12306" xr:uid="{00000000-0005-0000-0000-000095600000}"/>
    <cellStyle name="Normal 12 3 6 2 3 2" xfId="25874" xr:uid="{00000000-0005-0000-0000-000096600000}"/>
    <cellStyle name="Normal 12 3 6 2 3 2 2" xfId="53007" xr:uid="{00000000-0005-0000-0000-000097600000}"/>
    <cellStyle name="Normal 12 3 6 2 3 3" xfId="39445" xr:uid="{00000000-0005-0000-0000-000098600000}"/>
    <cellStyle name="Normal 12 3 6 2 4" xfId="19093" xr:uid="{00000000-0005-0000-0000-000099600000}"/>
    <cellStyle name="Normal 12 3 6 2 4 2" xfId="46226" xr:uid="{00000000-0005-0000-0000-00009A600000}"/>
    <cellStyle name="Normal 12 3 6 2 5" xfId="32664" xr:uid="{00000000-0005-0000-0000-00009B600000}"/>
    <cellStyle name="Normal 12 3 6 3" xfId="5358" xr:uid="{00000000-0005-0000-0000-00009C600000}"/>
    <cellStyle name="Normal 12 3 6 3 2" xfId="8907" xr:uid="{00000000-0005-0000-0000-00009D600000}"/>
    <cellStyle name="Normal 12 3 6 3 2 2" xfId="15696" xr:uid="{00000000-0005-0000-0000-00009E600000}"/>
    <cellStyle name="Normal 12 3 6 3 2 2 2" xfId="29264" xr:uid="{00000000-0005-0000-0000-00009F600000}"/>
    <cellStyle name="Normal 12 3 6 3 2 2 2 2" xfId="56397" xr:uid="{00000000-0005-0000-0000-0000A0600000}"/>
    <cellStyle name="Normal 12 3 6 3 2 2 3" xfId="42835" xr:uid="{00000000-0005-0000-0000-0000A1600000}"/>
    <cellStyle name="Normal 12 3 6 3 2 3" xfId="22483" xr:uid="{00000000-0005-0000-0000-0000A2600000}"/>
    <cellStyle name="Normal 12 3 6 3 2 3 2" xfId="49616" xr:uid="{00000000-0005-0000-0000-0000A3600000}"/>
    <cellStyle name="Normal 12 3 6 3 2 4" xfId="36054" xr:uid="{00000000-0005-0000-0000-0000A4600000}"/>
    <cellStyle name="Normal 12 3 6 3 3" xfId="12307" xr:uid="{00000000-0005-0000-0000-0000A5600000}"/>
    <cellStyle name="Normal 12 3 6 3 3 2" xfId="25875" xr:uid="{00000000-0005-0000-0000-0000A6600000}"/>
    <cellStyle name="Normal 12 3 6 3 3 2 2" xfId="53008" xr:uid="{00000000-0005-0000-0000-0000A7600000}"/>
    <cellStyle name="Normal 12 3 6 3 3 3" xfId="39446" xr:uid="{00000000-0005-0000-0000-0000A8600000}"/>
    <cellStyle name="Normal 12 3 6 3 4" xfId="19094" xr:uid="{00000000-0005-0000-0000-0000A9600000}"/>
    <cellStyle name="Normal 12 3 6 3 4 2" xfId="46227" xr:uid="{00000000-0005-0000-0000-0000AA600000}"/>
    <cellStyle name="Normal 12 3 6 3 5" xfId="32665" xr:uid="{00000000-0005-0000-0000-0000AB600000}"/>
    <cellStyle name="Normal 12 3 6 4" xfId="8905" xr:uid="{00000000-0005-0000-0000-0000AC600000}"/>
    <cellStyle name="Normal 12 3 6 4 2" xfId="15694" xr:uid="{00000000-0005-0000-0000-0000AD600000}"/>
    <cellStyle name="Normal 12 3 6 4 2 2" xfId="29262" xr:uid="{00000000-0005-0000-0000-0000AE600000}"/>
    <cellStyle name="Normal 12 3 6 4 2 2 2" xfId="56395" xr:uid="{00000000-0005-0000-0000-0000AF600000}"/>
    <cellStyle name="Normal 12 3 6 4 2 3" xfId="42833" xr:uid="{00000000-0005-0000-0000-0000B0600000}"/>
    <cellStyle name="Normal 12 3 6 4 3" xfId="22481" xr:uid="{00000000-0005-0000-0000-0000B1600000}"/>
    <cellStyle name="Normal 12 3 6 4 3 2" xfId="49614" xr:uid="{00000000-0005-0000-0000-0000B2600000}"/>
    <cellStyle name="Normal 12 3 6 4 4" xfId="36052" xr:uid="{00000000-0005-0000-0000-0000B3600000}"/>
    <cellStyle name="Normal 12 3 6 5" xfId="12305" xr:uid="{00000000-0005-0000-0000-0000B4600000}"/>
    <cellStyle name="Normal 12 3 6 5 2" xfId="25873" xr:uid="{00000000-0005-0000-0000-0000B5600000}"/>
    <cellStyle name="Normal 12 3 6 5 2 2" xfId="53006" xr:uid="{00000000-0005-0000-0000-0000B6600000}"/>
    <cellStyle name="Normal 12 3 6 5 3" xfId="39444" xr:uid="{00000000-0005-0000-0000-0000B7600000}"/>
    <cellStyle name="Normal 12 3 6 6" xfId="19092" xr:uid="{00000000-0005-0000-0000-0000B8600000}"/>
    <cellStyle name="Normal 12 3 6 6 2" xfId="46225" xr:uid="{00000000-0005-0000-0000-0000B9600000}"/>
    <cellStyle name="Normal 12 3 6 7" xfId="32663" xr:uid="{00000000-0005-0000-0000-0000BA600000}"/>
    <cellStyle name="Normal 12 3 7" xfId="5359" xr:uid="{00000000-0005-0000-0000-0000BB600000}"/>
    <cellStyle name="Normal 12 3 7 2" xfId="5360" xr:uid="{00000000-0005-0000-0000-0000BC600000}"/>
    <cellStyle name="Normal 12 3 7 2 2" xfId="8909" xr:uid="{00000000-0005-0000-0000-0000BD600000}"/>
    <cellStyle name="Normal 12 3 7 2 2 2" xfId="15698" xr:uid="{00000000-0005-0000-0000-0000BE600000}"/>
    <cellStyle name="Normal 12 3 7 2 2 2 2" xfId="29266" xr:uid="{00000000-0005-0000-0000-0000BF600000}"/>
    <cellStyle name="Normal 12 3 7 2 2 2 2 2" xfId="56399" xr:uid="{00000000-0005-0000-0000-0000C0600000}"/>
    <cellStyle name="Normal 12 3 7 2 2 2 3" xfId="42837" xr:uid="{00000000-0005-0000-0000-0000C1600000}"/>
    <cellStyle name="Normal 12 3 7 2 2 3" xfId="22485" xr:uid="{00000000-0005-0000-0000-0000C2600000}"/>
    <cellStyle name="Normal 12 3 7 2 2 3 2" xfId="49618" xr:uid="{00000000-0005-0000-0000-0000C3600000}"/>
    <cellStyle name="Normal 12 3 7 2 2 4" xfId="36056" xr:uid="{00000000-0005-0000-0000-0000C4600000}"/>
    <cellStyle name="Normal 12 3 7 2 3" xfId="12309" xr:uid="{00000000-0005-0000-0000-0000C5600000}"/>
    <cellStyle name="Normal 12 3 7 2 3 2" xfId="25877" xr:uid="{00000000-0005-0000-0000-0000C6600000}"/>
    <cellStyle name="Normal 12 3 7 2 3 2 2" xfId="53010" xr:uid="{00000000-0005-0000-0000-0000C7600000}"/>
    <cellStyle name="Normal 12 3 7 2 3 3" xfId="39448" xr:uid="{00000000-0005-0000-0000-0000C8600000}"/>
    <cellStyle name="Normal 12 3 7 2 4" xfId="19096" xr:uid="{00000000-0005-0000-0000-0000C9600000}"/>
    <cellStyle name="Normal 12 3 7 2 4 2" xfId="46229" xr:uid="{00000000-0005-0000-0000-0000CA600000}"/>
    <cellStyle name="Normal 12 3 7 2 5" xfId="32667" xr:uid="{00000000-0005-0000-0000-0000CB600000}"/>
    <cellStyle name="Normal 12 3 7 3" xfId="5361" xr:uid="{00000000-0005-0000-0000-0000CC600000}"/>
    <cellStyle name="Normal 12 3 7 3 2" xfId="8910" xr:uid="{00000000-0005-0000-0000-0000CD600000}"/>
    <cellStyle name="Normal 12 3 7 3 2 2" xfId="15699" xr:uid="{00000000-0005-0000-0000-0000CE600000}"/>
    <cellStyle name="Normal 12 3 7 3 2 2 2" xfId="29267" xr:uid="{00000000-0005-0000-0000-0000CF600000}"/>
    <cellStyle name="Normal 12 3 7 3 2 2 2 2" xfId="56400" xr:uid="{00000000-0005-0000-0000-0000D0600000}"/>
    <cellStyle name="Normal 12 3 7 3 2 2 3" xfId="42838" xr:uid="{00000000-0005-0000-0000-0000D1600000}"/>
    <cellStyle name="Normal 12 3 7 3 2 3" xfId="22486" xr:uid="{00000000-0005-0000-0000-0000D2600000}"/>
    <cellStyle name="Normal 12 3 7 3 2 3 2" xfId="49619" xr:uid="{00000000-0005-0000-0000-0000D3600000}"/>
    <cellStyle name="Normal 12 3 7 3 2 4" xfId="36057" xr:uid="{00000000-0005-0000-0000-0000D4600000}"/>
    <cellStyle name="Normal 12 3 7 3 3" xfId="12310" xr:uid="{00000000-0005-0000-0000-0000D5600000}"/>
    <cellStyle name="Normal 12 3 7 3 3 2" xfId="25878" xr:uid="{00000000-0005-0000-0000-0000D6600000}"/>
    <cellStyle name="Normal 12 3 7 3 3 2 2" xfId="53011" xr:uid="{00000000-0005-0000-0000-0000D7600000}"/>
    <cellStyle name="Normal 12 3 7 3 3 3" xfId="39449" xr:uid="{00000000-0005-0000-0000-0000D8600000}"/>
    <cellStyle name="Normal 12 3 7 3 4" xfId="19097" xr:uid="{00000000-0005-0000-0000-0000D9600000}"/>
    <cellStyle name="Normal 12 3 7 3 4 2" xfId="46230" xr:uid="{00000000-0005-0000-0000-0000DA600000}"/>
    <cellStyle name="Normal 12 3 7 3 5" xfId="32668" xr:uid="{00000000-0005-0000-0000-0000DB600000}"/>
    <cellStyle name="Normal 12 3 7 4" xfId="8908" xr:uid="{00000000-0005-0000-0000-0000DC600000}"/>
    <cellStyle name="Normal 12 3 7 4 2" xfId="15697" xr:uid="{00000000-0005-0000-0000-0000DD600000}"/>
    <cellStyle name="Normal 12 3 7 4 2 2" xfId="29265" xr:uid="{00000000-0005-0000-0000-0000DE600000}"/>
    <cellStyle name="Normal 12 3 7 4 2 2 2" xfId="56398" xr:uid="{00000000-0005-0000-0000-0000DF600000}"/>
    <cellStyle name="Normal 12 3 7 4 2 3" xfId="42836" xr:uid="{00000000-0005-0000-0000-0000E0600000}"/>
    <cellStyle name="Normal 12 3 7 4 3" xfId="22484" xr:uid="{00000000-0005-0000-0000-0000E1600000}"/>
    <cellStyle name="Normal 12 3 7 4 3 2" xfId="49617" xr:uid="{00000000-0005-0000-0000-0000E2600000}"/>
    <cellStyle name="Normal 12 3 7 4 4" xfId="36055" xr:uid="{00000000-0005-0000-0000-0000E3600000}"/>
    <cellStyle name="Normal 12 3 7 5" xfId="12308" xr:uid="{00000000-0005-0000-0000-0000E4600000}"/>
    <cellStyle name="Normal 12 3 7 5 2" xfId="25876" xr:uid="{00000000-0005-0000-0000-0000E5600000}"/>
    <cellStyle name="Normal 12 3 7 5 2 2" xfId="53009" xr:uid="{00000000-0005-0000-0000-0000E6600000}"/>
    <cellStyle name="Normal 12 3 7 5 3" xfId="39447" xr:uid="{00000000-0005-0000-0000-0000E7600000}"/>
    <cellStyle name="Normal 12 3 7 6" xfId="19095" xr:uid="{00000000-0005-0000-0000-0000E8600000}"/>
    <cellStyle name="Normal 12 3 7 6 2" xfId="46228" xr:uid="{00000000-0005-0000-0000-0000E9600000}"/>
    <cellStyle name="Normal 12 3 7 7" xfId="32666" xr:uid="{00000000-0005-0000-0000-0000EA600000}"/>
    <cellStyle name="Normal 12 3 8" xfId="5362" xr:uid="{00000000-0005-0000-0000-0000EB600000}"/>
    <cellStyle name="Normal 12 3 8 2" xfId="8911" xr:uid="{00000000-0005-0000-0000-0000EC600000}"/>
    <cellStyle name="Normal 12 3 8 2 2" xfId="15700" xr:uid="{00000000-0005-0000-0000-0000ED600000}"/>
    <cellStyle name="Normal 12 3 8 2 2 2" xfId="29268" xr:uid="{00000000-0005-0000-0000-0000EE600000}"/>
    <cellStyle name="Normal 12 3 8 2 2 2 2" xfId="56401" xr:uid="{00000000-0005-0000-0000-0000EF600000}"/>
    <cellStyle name="Normal 12 3 8 2 2 3" xfId="42839" xr:uid="{00000000-0005-0000-0000-0000F0600000}"/>
    <cellStyle name="Normal 12 3 8 2 3" xfId="22487" xr:uid="{00000000-0005-0000-0000-0000F1600000}"/>
    <cellStyle name="Normal 12 3 8 2 3 2" xfId="49620" xr:uid="{00000000-0005-0000-0000-0000F2600000}"/>
    <cellStyle name="Normal 12 3 8 2 4" xfId="36058" xr:uid="{00000000-0005-0000-0000-0000F3600000}"/>
    <cellStyle name="Normal 12 3 8 3" xfId="12311" xr:uid="{00000000-0005-0000-0000-0000F4600000}"/>
    <cellStyle name="Normal 12 3 8 3 2" xfId="25879" xr:uid="{00000000-0005-0000-0000-0000F5600000}"/>
    <cellStyle name="Normal 12 3 8 3 2 2" xfId="53012" xr:uid="{00000000-0005-0000-0000-0000F6600000}"/>
    <cellStyle name="Normal 12 3 8 3 3" xfId="39450" xr:uid="{00000000-0005-0000-0000-0000F7600000}"/>
    <cellStyle name="Normal 12 3 8 4" xfId="19098" xr:uid="{00000000-0005-0000-0000-0000F8600000}"/>
    <cellStyle name="Normal 12 3 8 4 2" xfId="46231" xr:uid="{00000000-0005-0000-0000-0000F9600000}"/>
    <cellStyle name="Normal 12 3 8 5" xfId="32669" xr:uid="{00000000-0005-0000-0000-0000FA600000}"/>
    <cellStyle name="Normal 12 3 9" xfId="5363" xr:uid="{00000000-0005-0000-0000-0000FB600000}"/>
    <cellStyle name="Normal 12 3 9 2" xfId="8912" xr:uid="{00000000-0005-0000-0000-0000FC600000}"/>
    <cellStyle name="Normal 12 3 9 2 2" xfId="15701" xr:uid="{00000000-0005-0000-0000-0000FD600000}"/>
    <cellStyle name="Normal 12 3 9 2 2 2" xfId="29269" xr:uid="{00000000-0005-0000-0000-0000FE600000}"/>
    <cellStyle name="Normal 12 3 9 2 2 2 2" xfId="56402" xr:uid="{00000000-0005-0000-0000-0000FF600000}"/>
    <cellStyle name="Normal 12 3 9 2 2 3" xfId="42840" xr:uid="{00000000-0005-0000-0000-000000610000}"/>
    <cellStyle name="Normal 12 3 9 2 3" xfId="22488" xr:uid="{00000000-0005-0000-0000-000001610000}"/>
    <cellStyle name="Normal 12 3 9 2 3 2" xfId="49621" xr:uid="{00000000-0005-0000-0000-000002610000}"/>
    <cellStyle name="Normal 12 3 9 2 4" xfId="36059" xr:uid="{00000000-0005-0000-0000-000003610000}"/>
    <cellStyle name="Normal 12 3 9 3" xfId="12312" xr:uid="{00000000-0005-0000-0000-000004610000}"/>
    <cellStyle name="Normal 12 3 9 3 2" xfId="25880" xr:uid="{00000000-0005-0000-0000-000005610000}"/>
    <cellStyle name="Normal 12 3 9 3 2 2" xfId="53013" xr:uid="{00000000-0005-0000-0000-000006610000}"/>
    <cellStyle name="Normal 12 3 9 3 3" xfId="39451" xr:uid="{00000000-0005-0000-0000-000007610000}"/>
    <cellStyle name="Normal 12 3 9 4" xfId="19099" xr:uid="{00000000-0005-0000-0000-000008610000}"/>
    <cellStyle name="Normal 12 3 9 4 2" xfId="46232" xr:uid="{00000000-0005-0000-0000-000009610000}"/>
    <cellStyle name="Normal 12 3 9 5" xfId="32670" xr:uid="{00000000-0005-0000-0000-00000A610000}"/>
    <cellStyle name="Normal 12 4" xfId="5364" xr:uid="{00000000-0005-0000-0000-00000B610000}"/>
    <cellStyle name="Normal 12 4 10" xfId="8913" xr:uid="{00000000-0005-0000-0000-00000C610000}"/>
    <cellStyle name="Normal 12 4 10 2" xfId="15702" xr:uid="{00000000-0005-0000-0000-00000D610000}"/>
    <cellStyle name="Normal 12 4 10 2 2" xfId="29270" xr:uid="{00000000-0005-0000-0000-00000E610000}"/>
    <cellStyle name="Normal 12 4 10 2 2 2" xfId="56403" xr:uid="{00000000-0005-0000-0000-00000F610000}"/>
    <cellStyle name="Normal 12 4 10 2 3" xfId="42841" xr:uid="{00000000-0005-0000-0000-000010610000}"/>
    <cellStyle name="Normal 12 4 10 3" xfId="22489" xr:uid="{00000000-0005-0000-0000-000011610000}"/>
    <cellStyle name="Normal 12 4 10 3 2" xfId="49622" xr:uid="{00000000-0005-0000-0000-000012610000}"/>
    <cellStyle name="Normal 12 4 10 4" xfId="36060" xr:uid="{00000000-0005-0000-0000-000013610000}"/>
    <cellStyle name="Normal 12 4 11" xfId="12313" xr:uid="{00000000-0005-0000-0000-000014610000}"/>
    <cellStyle name="Normal 12 4 11 2" xfId="25881" xr:uid="{00000000-0005-0000-0000-000015610000}"/>
    <cellStyle name="Normal 12 4 11 2 2" xfId="53014" xr:uid="{00000000-0005-0000-0000-000016610000}"/>
    <cellStyle name="Normal 12 4 11 3" xfId="39452" xr:uid="{00000000-0005-0000-0000-000017610000}"/>
    <cellStyle name="Normal 12 4 12" xfId="19100" xr:uid="{00000000-0005-0000-0000-000018610000}"/>
    <cellStyle name="Normal 12 4 12 2" xfId="46233" xr:uid="{00000000-0005-0000-0000-000019610000}"/>
    <cellStyle name="Normal 12 4 13" xfId="32671" xr:uid="{00000000-0005-0000-0000-00001A610000}"/>
    <cellStyle name="Normal 12 4 2" xfId="5365" xr:uid="{00000000-0005-0000-0000-00001B610000}"/>
    <cellStyle name="Normal 12 4 2 10" xfId="32672" xr:uid="{00000000-0005-0000-0000-00001C610000}"/>
    <cellStyle name="Normal 12 4 2 2" xfId="5366" xr:uid="{00000000-0005-0000-0000-00001D610000}"/>
    <cellStyle name="Normal 12 4 2 2 2" xfId="5367" xr:uid="{00000000-0005-0000-0000-00001E610000}"/>
    <cellStyle name="Normal 12 4 2 2 2 2" xfId="5368" xr:uid="{00000000-0005-0000-0000-00001F610000}"/>
    <cellStyle name="Normal 12 4 2 2 2 2 2" xfId="8917" xr:uid="{00000000-0005-0000-0000-000020610000}"/>
    <cellStyle name="Normal 12 4 2 2 2 2 2 2" xfId="15706" xr:uid="{00000000-0005-0000-0000-000021610000}"/>
    <cellStyle name="Normal 12 4 2 2 2 2 2 2 2" xfId="29274" xr:uid="{00000000-0005-0000-0000-000022610000}"/>
    <cellStyle name="Normal 12 4 2 2 2 2 2 2 2 2" xfId="56407" xr:uid="{00000000-0005-0000-0000-000023610000}"/>
    <cellStyle name="Normal 12 4 2 2 2 2 2 2 3" xfId="42845" xr:uid="{00000000-0005-0000-0000-000024610000}"/>
    <cellStyle name="Normal 12 4 2 2 2 2 2 3" xfId="22493" xr:uid="{00000000-0005-0000-0000-000025610000}"/>
    <cellStyle name="Normal 12 4 2 2 2 2 2 3 2" xfId="49626" xr:uid="{00000000-0005-0000-0000-000026610000}"/>
    <cellStyle name="Normal 12 4 2 2 2 2 2 4" xfId="36064" xr:uid="{00000000-0005-0000-0000-000027610000}"/>
    <cellStyle name="Normal 12 4 2 2 2 2 3" xfId="12317" xr:uid="{00000000-0005-0000-0000-000028610000}"/>
    <cellStyle name="Normal 12 4 2 2 2 2 3 2" xfId="25885" xr:uid="{00000000-0005-0000-0000-000029610000}"/>
    <cellStyle name="Normal 12 4 2 2 2 2 3 2 2" xfId="53018" xr:uid="{00000000-0005-0000-0000-00002A610000}"/>
    <cellStyle name="Normal 12 4 2 2 2 2 3 3" xfId="39456" xr:uid="{00000000-0005-0000-0000-00002B610000}"/>
    <cellStyle name="Normal 12 4 2 2 2 2 4" xfId="19104" xr:uid="{00000000-0005-0000-0000-00002C610000}"/>
    <cellStyle name="Normal 12 4 2 2 2 2 4 2" xfId="46237" xr:uid="{00000000-0005-0000-0000-00002D610000}"/>
    <cellStyle name="Normal 12 4 2 2 2 2 5" xfId="32675" xr:uid="{00000000-0005-0000-0000-00002E610000}"/>
    <cellStyle name="Normal 12 4 2 2 2 3" xfId="5369" xr:uid="{00000000-0005-0000-0000-00002F610000}"/>
    <cellStyle name="Normal 12 4 2 2 2 3 2" xfId="8918" xr:uid="{00000000-0005-0000-0000-000030610000}"/>
    <cellStyle name="Normal 12 4 2 2 2 3 2 2" xfId="15707" xr:uid="{00000000-0005-0000-0000-000031610000}"/>
    <cellStyle name="Normal 12 4 2 2 2 3 2 2 2" xfId="29275" xr:uid="{00000000-0005-0000-0000-000032610000}"/>
    <cellStyle name="Normal 12 4 2 2 2 3 2 2 2 2" xfId="56408" xr:uid="{00000000-0005-0000-0000-000033610000}"/>
    <cellStyle name="Normal 12 4 2 2 2 3 2 2 3" xfId="42846" xr:uid="{00000000-0005-0000-0000-000034610000}"/>
    <cellStyle name="Normal 12 4 2 2 2 3 2 3" xfId="22494" xr:uid="{00000000-0005-0000-0000-000035610000}"/>
    <cellStyle name="Normal 12 4 2 2 2 3 2 3 2" xfId="49627" xr:uid="{00000000-0005-0000-0000-000036610000}"/>
    <cellStyle name="Normal 12 4 2 2 2 3 2 4" xfId="36065" xr:uid="{00000000-0005-0000-0000-000037610000}"/>
    <cellStyle name="Normal 12 4 2 2 2 3 3" xfId="12318" xr:uid="{00000000-0005-0000-0000-000038610000}"/>
    <cellStyle name="Normal 12 4 2 2 2 3 3 2" xfId="25886" xr:uid="{00000000-0005-0000-0000-000039610000}"/>
    <cellStyle name="Normal 12 4 2 2 2 3 3 2 2" xfId="53019" xr:uid="{00000000-0005-0000-0000-00003A610000}"/>
    <cellStyle name="Normal 12 4 2 2 2 3 3 3" xfId="39457" xr:uid="{00000000-0005-0000-0000-00003B610000}"/>
    <cellStyle name="Normal 12 4 2 2 2 3 4" xfId="19105" xr:uid="{00000000-0005-0000-0000-00003C610000}"/>
    <cellStyle name="Normal 12 4 2 2 2 3 4 2" xfId="46238" xr:uid="{00000000-0005-0000-0000-00003D610000}"/>
    <cellStyle name="Normal 12 4 2 2 2 3 5" xfId="32676" xr:uid="{00000000-0005-0000-0000-00003E610000}"/>
    <cellStyle name="Normal 12 4 2 2 2 4" xfId="8916" xr:uid="{00000000-0005-0000-0000-00003F610000}"/>
    <cellStyle name="Normal 12 4 2 2 2 4 2" xfId="15705" xr:uid="{00000000-0005-0000-0000-000040610000}"/>
    <cellStyle name="Normal 12 4 2 2 2 4 2 2" xfId="29273" xr:uid="{00000000-0005-0000-0000-000041610000}"/>
    <cellStyle name="Normal 12 4 2 2 2 4 2 2 2" xfId="56406" xr:uid="{00000000-0005-0000-0000-000042610000}"/>
    <cellStyle name="Normal 12 4 2 2 2 4 2 3" xfId="42844" xr:uid="{00000000-0005-0000-0000-000043610000}"/>
    <cellStyle name="Normal 12 4 2 2 2 4 3" xfId="22492" xr:uid="{00000000-0005-0000-0000-000044610000}"/>
    <cellStyle name="Normal 12 4 2 2 2 4 3 2" xfId="49625" xr:uid="{00000000-0005-0000-0000-000045610000}"/>
    <cellStyle name="Normal 12 4 2 2 2 4 4" xfId="36063" xr:uid="{00000000-0005-0000-0000-000046610000}"/>
    <cellStyle name="Normal 12 4 2 2 2 5" xfId="12316" xr:uid="{00000000-0005-0000-0000-000047610000}"/>
    <cellStyle name="Normal 12 4 2 2 2 5 2" xfId="25884" xr:uid="{00000000-0005-0000-0000-000048610000}"/>
    <cellStyle name="Normal 12 4 2 2 2 5 2 2" xfId="53017" xr:uid="{00000000-0005-0000-0000-000049610000}"/>
    <cellStyle name="Normal 12 4 2 2 2 5 3" xfId="39455" xr:uid="{00000000-0005-0000-0000-00004A610000}"/>
    <cellStyle name="Normal 12 4 2 2 2 6" xfId="19103" xr:uid="{00000000-0005-0000-0000-00004B610000}"/>
    <cellStyle name="Normal 12 4 2 2 2 6 2" xfId="46236" xr:uid="{00000000-0005-0000-0000-00004C610000}"/>
    <cellStyle name="Normal 12 4 2 2 2 7" xfId="32674" xr:uid="{00000000-0005-0000-0000-00004D610000}"/>
    <cellStyle name="Normal 12 4 2 2 3" xfId="5370" xr:uid="{00000000-0005-0000-0000-00004E610000}"/>
    <cellStyle name="Normal 12 4 2 2 3 2" xfId="5371" xr:uid="{00000000-0005-0000-0000-00004F610000}"/>
    <cellStyle name="Normal 12 4 2 2 3 2 2" xfId="8920" xr:uid="{00000000-0005-0000-0000-000050610000}"/>
    <cellStyle name="Normal 12 4 2 2 3 2 2 2" xfId="15709" xr:uid="{00000000-0005-0000-0000-000051610000}"/>
    <cellStyle name="Normal 12 4 2 2 3 2 2 2 2" xfId="29277" xr:uid="{00000000-0005-0000-0000-000052610000}"/>
    <cellStyle name="Normal 12 4 2 2 3 2 2 2 2 2" xfId="56410" xr:uid="{00000000-0005-0000-0000-000053610000}"/>
    <cellStyle name="Normal 12 4 2 2 3 2 2 2 3" xfId="42848" xr:uid="{00000000-0005-0000-0000-000054610000}"/>
    <cellStyle name="Normal 12 4 2 2 3 2 2 3" xfId="22496" xr:uid="{00000000-0005-0000-0000-000055610000}"/>
    <cellStyle name="Normal 12 4 2 2 3 2 2 3 2" xfId="49629" xr:uid="{00000000-0005-0000-0000-000056610000}"/>
    <cellStyle name="Normal 12 4 2 2 3 2 2 4" xfId="36067" xr:uid="{00000000-0005-0000-0000-000057610000}"/>
    <cellStyle name="Normal 12 4 2 2 3 2 3" xfId="12320" xr:uid="{00000000-0005-0000-0000-000058610000}"/>
    <cellStyle name="Normal 12 4 2 2 3 2 3 2" xfId="25888" xr:uid="{00000000-0005-0000-0000-000059610000}"/>
    <cellStyle name="Normal 12 4 2 2 3 2 3 2 2" xfId="53021" xr:uid="{00000000-0005-0000-0000-00005A610000}"/>
    <cellStyle name="Normal 12 4 2 2 3 2 3 3" xfId="39459" xr:uid="{00000000-0005-0000-0000-00005B610000}"/>
    <cellStyle name="Normal 12 4 2 2 3 2 4" xfId="19107" xr:uid="{00000000-0005-0000-0000-00005C610000}"/>
    <cellStyle name="Normal 12 4 2 2 3 2 4 2" xfId="46240" xr:uid="{00000000-0005-0000-0000-00005D610000}"/>
    <cellStyle name="Normal 12 4 2 2 3 2 5" xfId="32678" xr:uid="{00000000-0005-0000-0000-00005E610000}"/>
    <cellStyle name="Normal 12 4 2 2 3 3" xfId="8919" xr:uid="{00000000-0005-0000-0000-00005F610000}"/>
    <cellStyle name="Normal 12 4 2 2 3 3 2" xfId="15708" xr:uid="{00000000-0005-0000-0000-000060610000}"/>
    <cellStyle name="Normal 12 4 2 2 3 3 2 2" xfId="29276" xr:uid="{00000000-0005-0000-0000-000061610000}"/>
    <cellStyle name="Normal 12 4 2 2 3 3 2 2 2" xfId="56409" xr:uid="{00000000-0005-0000-0000-000062610000}"/>
    <cellStyle name="Normal 12 4 2 2 3 3 2 3" xfId="42847" xr:uid="{00000000-0005-0000-0000-000063610000}"/>
    <cellStyle name="Normal 12 4 2 2 3 3 3" xfId="22495" xr:uid="{00000000-0005-0000-0000-000064610000}"/>
    <cellStyle name="Normal 12 4 2 2 3 3 3 2" xfId="49628" xr:uid="{00000000-0005-0000-0000-000065610000}"/>
    <cellStyle name="Normal 12 4 2 2 3 3 4" xfId="36066" xr:uid="{00000000-0005-0000-0000-000066610000}"/>
    <cellStyle name="Normal 12 4 2 2 3 4" xfId="12319" xr:uid="{00000000-0005-0000-0000-000067610000}"/>
    <cellStyle name="Normal 12 4 2 2 3 4 2" xfId="25887" xr:uid="{00000000-0005-0000-0000-000068610000}"/>
    <cellStyle name="Normal 12 4 2 2 3 4 2 2" xfId="53020" xr:uid="{00000000-0005-0000-0000-000069610000}"/>
    <cellStyle name="Normal 12 4 2 2 3 4 3" xfId="39458" xr:uid="{00000000-0005-0000-0000-00006A610000}"/>
    <cellStyle name="Normal 12 4 2 2 3 5" xfId="19106" xr:uid="{00000000-0005-0000-0000-00006B610000}"/>
    <cellStyle name="Normal 12 4 2 2 3 5 2" xfId="46239" xr:uid="{00000000-0005-0000-0000-00006C610000}"/>
    <cellStyle name="Normal 12 4 2 2 3 6" xfId="32677" xr:uid="{00000000-0005-0000-0000-00006D610000}"/>
    <cellStyle name="Normal 12 4 2 2 4" xfId="5372" xr:uid="{00000000-0005-0000-0000-00006E610000}"/>
    <cellStyle name="Normal 12 4 2 2 4 2" xfId="8921" xr:uid="{00000000-0005-0000-0000-00006F610000}"/>
    <cellStyle name="Normal 12 4 2 2 4 2 2" xfId="15710" xr:uid="{00000000-0005-0000-0000-000070610000}"/>
    <cellStyle name="Normal 12 4 2 2 4 2 2 2" xfId="29278" xr:uid="{00000000-0005-0000-0000-000071610000}"/>
    <cellStyle name="Normal 12 4 2 2 4 2 2 2 2" xfId="56411" xr:uid="{00000000-0005-0000-0000-000072610000}"/>
    <cellStyle name="Normal 12 4 2 2 4 2 2 3" xfId="42849" xr:uid="{00000000-0005-0000-0000-000073610000}"/>
    <cellStyle name="Normal 12 4 2 2 4 2 3" xfId="22497" xr:uid="{00000000-0005-0000-0000-000074610000}"/>
    <cellStyle name="Normal 12 4 2 2 4 2 3 2" xfId="49630" xr:uid="{00000000-0005-0000-0000-000075610000}"/>
    <cellStyle name="Normal 12 4 2 2 4 2 4" xfId="36068" xr:uid="{00000000-0005-0000-0000-000076610000}"/>
    <cellStyle name="Normal 12 4 2 2 4 3" xfId="12321" xr:uid="{00000000-0005-0000-0000-000077610000}"/>
    <cellStyle name="Normal 12 4 2 2 4 3 2" xfId="25889" xr:uid="{00000000-0005-0000-0000-000078610000}"/>
    <cellStyle name="Normal 12 4 2 2 4 3 2 2" xfId="53022" xr:uid="{00000000-0005-0000-0000-000079610000}"/>
    <cellStyle name="Normal 12 4 2 2 4 3 3" xfId="39460" xr:uid="{00000000-0005-0000-0000-00007A610000}"/>
    <cellStyle name="Normal 12 4 2 2 4 4" xfId="19108" xr:uid="{00000000-0005-0000-0000-00007B610000}"/>
    <cellStyle name="Normal 12 4 2 2 4 4 2" xfId="46241" xr:uid="{00000000-0005-0000-0000-00007C610000}"/>
    <cellStyle name="Normal 12 4 2 2 4 5" xfId="32679" xr:uid="{00000000-0005-0000-0000-00007D610000}"/>
    <cellStyle name="Normal 12 4 2 2 5" xfId="5373" xr:uid="{00000000-0005-0000-0000-00007E610000}"/>
    <cellStyle name="Normal 12 4 2 2 5 2" xfId="8922" xr:uid="{00000000-0005-0000-0000-00007F610000}"/>
    <cellStyle name="Normal 12 4 2 2 5 2 2" xfId="15711" xr:uid="{00000000-0005-0000-0000-000080610000}"/>
    <cellStyle name="Normal 12 4 2 2 5 2 2 2" xfId="29279" xr:uid="{00000000-0005-0000-0000-000081610000}"/>
    <cellStyle name="Normal 12 4 2 2 5 2 2 2 2" xfId="56412" xr:uid="{00000000-0005-0000-0000-000082610000}"/>
    <cellStyle name="Normal 12 4 2 2 5 2 2 3" xfId="42850" xr:uid="{00000000-0005-0000-0000-000083610000}"/>
    <cellStyle name="Normal 12 4 2 2 5 2 3" xfId="22498" xr:uid="{00000000-0005-0000-0000-000084610000}"/>
    <cellStyle name="Normal 12 4 2 2 5 2 3 2" xfId="49631" xr:uid="{00000000-0005-0000-0000-000085610000}"/>
    <cellStyle name="Normal 12 4 2 2 5 2 4" xfId="36069" xr:uid="{00000000-0005-0000-0000-000086610000}"/>
    <cellStyle name="Normal 12 4 2 2 5 3" xfId="12322" xr:uid="{00000000-0005-0000-0000-000087610000}"/>
    <cellStyle name="Normal 12 4 2 2 5 3 2" xfId="25890" xr:uid="{00000000-0005-0000-0000-000088610000}"/>
    <cellStyle name="Normal 12 4 2 2 5 3 2 2" xfId="53023" xr:uid="{00000000-0005-0000-0000-000089610000}"/>
    <cellStyle name="Normal 12 4 2 2 5 3 3" xfId="39461" xr:uid="{00000000-0005-0000-0000-00008A610000}"/>
    <cellStyle name="Normal 12 4 2 2 5 4" xfId="19109" xr:uid="{00000000-0005-0000-0000-00008B610000}"/>
    <cellStyle name="Normal 12 4 2 2 5 4 2" xfId="46242" xr:uid="{00000000-0005-0000-0000-00008C610000}"/>
    <cellStyle name="Normal 12 4 2 2 5 5" xfId="32680" xr:uid="{00000000-0005-0000-0000-00008D610000}"/>
    <cellStyle name="Normal 12 4 2 2 6" xfId="8915" xr:uid="{00000000-0005-0000-0000-00008E610000}"/>
    <cellStyle name="Normal 12 4 2 2 6 2" xfId="15704" xr:uid="{00000000-0005-0000-0000-00008F610000}"/>
    <cellStyle name="Normal 12 4 2 2 6 2 2" xfId="29272" xr:uid="{00000000-0005-0000-0000-000090610000}"/>
    <cellStyle name="Normal 12 4 2 2 6 2 2 2" xfId="56405" xr:uid="{00000000-0005-0000-0000-000091610000}"/>
    <cellStyle name="Normal 12 4 2 2 6 2 3" xfId="42843" xr:uid="{00000000-0005-0000-0000-000092610000}"/>
    <cellStyle name="Normal 12 4 2 2 6 3" xfId="22491" xr:uid="{00000000-0005-0000-0000-000093610000}"/>
    <cellStyle name="Normal 12 4 2 2 6 3 2" xfId="49624" xr:uid="{00000000-0005-0000-0000-000094610000}"/>
    <cellStyle name="Normal 12 4 2 2 6 4" xfId="36062" xr:uid="{00000000-0005-0000-0000-000095610000}"/>
    <cellStyle name="Normal 12 4 2 2 7" xfId="12315" xr:uid="{00000000-0005-0000-0000-000096610000}"/>
    <cellStyle name="Normal 12 4 2 2 7 2" xfId="25883" xr:uid="{00000000-0005-0000-0000-000097610000}"/>
    <cellStyle name="Normal 12 4 2 2 7 2 2" xfId="53016" xr:uid="{00000000-0005-0000-0000-000098610000}"/>
    <cellStyle name="Normal 12 4 2 2 7 3" xfId="39454" xr:uid="{00000000-0005-0000-0000-000099610000}"/>
    <cellStyle name="Normal 12 4 2 2 8" xfId="19102" xr:uid="{00000000-0005-0000-0000-00009A610000}"/>
    <cellStyle name="Normal 12 4 2 2 8 2" xfId="46235" xr:uid="{00000000-0005-0000-0000-00009B610000}"/>
    <cellStyle name="Normal 12 4 2 2 9" xfId="32673" xr:uid="{00000000-0005-0000-0000-00009C610000}"/>
    <cellStyle name="Normal 12 4 2 3" xfId="5374" xr:uid="{00000000-0005-0000-0000-00009D610000}"/>
    <cellStyle name="Normal 12 4 2 3 2" xfId="5375" xr:uid="{00000000-0005-0000-0000-00009E610000}"/>
    <cellStyle name="Normal 12 4 2 3 2 2" xfId="8924" xr:uid="{00000000-0005-0000-0000-00009F610000}"/>
    <cellStyle name="Normal 12 4 2 3 2 2 2" xfId="15713" xr:uid="{00000000-0005-0000-0000-0000A0610000}"/>
    <cellStyle name="Normal 12 4 2 3 2 2 2 2" xfId="29281" xr:uid="{00000000-0005-0000-0000-0000A1610000}"/>
    <cellStyle name="Normal 12 4 2 3 2 2 2 2 2" xfId="56414" xr:uid="{00000000-0005-0000-0000-0000A2610000}"/>
    <cellStyle name="Normal 12 4 2 3 2 2 2 3" xfId="42852" xr:uid="{00000000-0005-0000-0000-0000A3610000}"/>
    <cellStyle name="Normal 12 4 2 3 2 2 3" xfId="22500" xr:uid="{00000000-0005-0000-0000-0000A4610000}"/>
    <cellStyle name="Normal 12 4 2 3 2 2 3 2" xfId="49633" xr:uid="{00000000-0005-0000-0000-0000A5610000}"/>
    <cellStyle name="Normal 12 4 2 3 2 2 4" xfId="36071" xr:uid="{00000000-0005-0000-0000-0000A6610000}"/>
    <cellStyle name="Normal 12 4 2 3 2 3" xfId="12324" xr:uid="{00000000-0005-0000-0000-0000A7610000}"/>
    <cellStyle name="Normal 12 4 2 3 2 3 2" xfId="25892" xr:uid="{00000000-0005-0000-0000-0000A8610000}"/>
    <cellStyle name="Normal 12 4 2 3 2 3 2 2" xfId="53025" xr:uid="{00000000-0005-0000-0000-0000A9610000}"/>
    <cellStyle name="Normal 12 4 2 3 2 3 3" xfId="39463" xr:uid="{00000000-0005-0000-0000-0000AA610000}"/>
    <cellStyle name="Normal 12 4 2 3 2 4" xfId="19111" xr:uid="{00000000-0005-0000-0000-0000AB610000}"/>
    <cellStyle name="Normal 12 4 2 3 2 4 2" xfId="46244" xr:uid="{00000000-0005-0000-0000-0000AC610000}"/>
    <cellStyle name="Normal 12 4 2 3 2 5" xfId="32682" xr:uid="{00000000-0005-0000-0000-0000AD610000}"/>
    <cellStyle name="Normal 12 4 2 3 3" xfId="5376" xr:uid="{00000000-0005-0000-0000-0000AE610000}"/>
    <cellStyle name="Normal 12 4 2 3 3 2" xfId="8925" xr:uid="{00000000-0005-0000-0000-0000AF610000}"/>
    <cellStyle name="Normal 12 4 2 3 3 2 2" xfId="15714" xr:uid="{00000000-0005-0000-0000-0000B0610000}"/>
    <cellStyle name="Normal 12 4 2 3 3 2 2 2" xfId="29282" xr:uid="{00000000-0005-0000-0000-0000B1610000}"/>
    <cellStyle name="Normal 12 4 2 3 3 2 2 2 2" xfId="56415" xr:uid="{00000000-0005-0000-0000-0000B2610000}"/>
    <cellStyle name="Normal 12 4 2 3 3 2 2 3" xfId="42853" xr:uid="{00000000-0005-0000-0000-0000B3610000}"/>
    <cellStyle name="Normal 12 4 2 3 3 2 3" xfId="22501" xr:uid="{00000000-0005-0000-0000-0000B4610000}"/>
    <cellStyle name="Normal 12 4 2 3 3 2 3 2" xfId="49634" xr:uid="{00000000-0005-0000-0000-0000B5610000}"/>
    <cellStyle name="Normal 12 4 2 3 3 2 4" xfId="36072" xr:uid="{00000000-0005-0000-0000-0000B6610000}"/>
    <cellStyle name="Normal 12 4 2 3 3 3" xfId="12325" xr:uid="{00000000-0005-0000-0000-0000B7610000}"/>
    <cellStyle name="Normal 12 4 2 3 3 3 2" xfId="25893" xr:uid="{00000000-0005-0000-0000-0000B8610000}"/>
    <cellStyle name="Normal 12 4 2 3 3 3 2 2" xfId="53026" xr:uid="{00000000-0005-0000-0000-0000B9610000}"/>
    <cellStyle name="Normal 12 4 2 3 3 3 3" xfId="39464" xr:uid="{00000000-0005-0000-0000-0000BA610000}"/>
    <cellStyle name="Normal 12 4 2 3 3 4" xfId="19112" xr:uid="{00000000-0005-0000-0000-0000BB610000}"/>
    <cellStyle name="Normal 12 4 2 3 3 4 2" xfId="46245" xr:uid="{00000000-0005-0000-0000-0000BC610000}"/>
    <cellStyle name="Normal 12 4 2 3 3 5" xfId="32683" xr:uid="{00000000-0005-0000-0000-0000BD610000}"/>
    <cellStyle name="Normal 12 4 2 3 4" xfId="8923" xr:uid="{00000000-0005-0000-0000-0000BE610000}"/>
    <cellStyle name="Normal 12 4 2 3 4 2" xfId="15712" xr:uid="{00000000-0005-0000-0000-0000BF610000}"/>
    <cellStyle name="Normal 12 4 2 3 4 2 2" xfId="29280" xr:uid="{00000000-0005-0000-0000-0000C0610000}"/>
    <cellStyle name="Normal 12 4 2 3 4 2 2 2" xfId="56413" xr:uid="{00000000-0005-0000-0000-0000C1610000}"/>
    <cellStyle name="Normal 12 4 2 3 4 2 3" xfId="42851" xr:uid="{00000000-0005-0000-0000-0000C2610000}"/>
    <cellStyle name="Normal 12 4 2 3 4 3" xfId="22499" xr:uid="{00000000-0005-0000-0000-0000C3610000}"/>
    <cellStyle name="Normal 12 4 2 3 4 3 2" xfId="49632" xr:uid="{00000000-0005-0000-0000-0000C4610000}"/>
    <cellStyle name="Normal 12 4 2 3 4 4" xfId="36070" xr:uid="{00000000-0005-0000-0000-0000C5610000}"/>
    <cellStyle name="Normal 12 4 2 3 5" xfId="12323" xr:uid="{00000000-0005-0000-0000-0000C6610000}"/>
    <cellStyle name="Normal 12 4 2 3 5 2" xfId="25891" xr:uid="{00000000-0005-0000-0000-0000C7610000}"/>
    <cellStyle name="Normal 12 4 2 3 5 2 2" xfId="53024" xr:uid="{00000000-0005-0000-0000-0000C8610000}"/>
    <cellStyle name="Normal 12 4 2 3 5 3" xfId="39462" xr:uid="{00000000-0005-0000-0000-0000C9610000}"/>
    <cellStyle name="Normal 12 4 2 3 6" xfId="19110" xr:uid="{00000000-0005-0000-0000-0000CA610000}"/>
    <cellStyle name="Normal 12 4 2 3 6 2" xfId="46243" xr:uid="{00000000-0005-0000-0000-0000CB610000}"/>
    <cellStyle name="Normal 12 4 2 3 7" xfId="32681" xr:uid="{00000000-0005-0000-0000-0000CC610000}"/>
    <cellStyle name="Normal 12 4 2 4" xfId="5377" xr:uid="{00000000-0005-0000-0000-0000CD610000}"/>
    <cellStyle name="Normal 12 4 2 4 2" xfId="5378" xr:uid="{00000000-0005-0000-0000-0000CE610000}"/>
    <cellStyle name="Normal 12 4 2 4 2 2" xfId="8927" xr:uid="{00000000-0005-0000-0000-0000CF610000}"/>
    <cellStyle name="Normal 12 4 2 4 2 2 2" xfId="15716" xr:uid="{00000000-0005-0000-0000-0000D0610000}"/>
    <cellStyle name="Normal 12 4 2 4 2 2 2 2" xfId="29284" xr:uid="{00000000-0005-0000-0000-0000D1610000}"/>
    <cellStyle name="Normal 12 4 2 4 2 2 2 2 2" xfId="56417" xr:uid="{00000000-0005-0000-0000-0000D2610000}"/>
    <cellStyle name="Normal 12 4 2 4 2 2 2 3" xfId="42855" xr:uid="{00000000-0005-0000-0000-0000D3610000}"/>
    <cellStyle name="Normal 12 4 2 4 2 2 3" xfId="22503" xr:uid="{00000000-0005-0000-0000-0000D4610000}"/>
    <cellStyle name="Normal 12 4 2 4 2 2 3 2" xfId="49636" xr:uid="{00000000-0005-0000-0000-0000D5610000}"/>
    <cellStyle name="Normal 12 4 2 4 2 2 4" xfId="36074" xr:uid="{00000000-0005-0000-0000-0000D6610000}"/>
    <cellStyle name="Normal 12 4 2 4 2 3" xfId="12327" xr:uid="{00000000-0005-0000-0000-0000D7610000}"/>
    <cellStyle name="Normal 12 4 2 4 2 3 2" xfId="25895" xr:uid="{00000000-0005-0000-0000-0000D8610000}"/>
    <cellStyle name="Normal 12 4 2 4 2 3 2 2" xfId="53028" xr:uid="{00000000-0005-0000-0000-0000D9610000}"/>
    <cellStyle name="Normal 12 4 2 4 2 3 3" xfId="39466" xr:uid="{00000000-0005-0000-0000-0000DA610000}"/>
    <cellStyle name="Normal 12 4 2 4 2 4" xfId="19114" xr:uid="{00000000-0005-0000-0000-0000DB610000}"/>
    <cellStyle name="Normal 12 4 2 4 2 4 2" xfId="46247" xr:uid="{00000000-0005-0000-0000-0000DC610000}"/>
    <cellStyle name="Normal 12 4 2 4 2 5" xfId="32685" xr:uid="{00000000-0005-0000-0000-0000DD610000}"/>
    <cellStyle name="Normal 12 4 2 4 3" xfId="8926" xr:uid="{00000000-0005-0000-0000-0000DE610000}"/>
    <cellStyle name="Normal 12 4 2 4 3 2" xfId="15715" xr:uid="{00000000-0005-0000-0000-0000DF610000}"/>
    <cellStyle name="Normal 12 4 2 4 3 2 2" xfId="29283" xr:uid="{00000000-0005-0000-0000-0000E0610000}"/>
    <cellStyle name="Normal 12 4 2 4 3 2 2 2" xfId="56416" xr:uid="{00000000-0005-0000-0000-0000E1610000}"/>
    <cellStyle name="Normal 12 4 2 4 3 2 3" xfId="42854" xr:uid="{00000000-0005-0000-0000-0000E2610000}"/>
    <cellStyle name="Normal 12 4 2 4 3 3" xfId="22502" xr:uid="{00000000-0005-0000-0000-0000E3610000}"/>
    <cellStyle name="Normal 12 4 2 4 3 3 2" xfId="49635" xr:uid="{00000000-0005-0000-0000-0000E4610000}"/>
    <cellStyle name="Normal 12 4 2 4 3 4" xfId="36073" xr:uid="{00000000-0005-0000-0000-0000E5610000}"/>
    <cellStyle name="Normal 12 4 2 4 4" xfId="12326" xr:uid="{00000000-0005-0000-0000-0000E6610000}"/>
    <cellStyle name="Normal 12 4 2 4 4 2" xfId="25894" xr:uid="{00000000-0005-0000-0000-0000E7610000}"/>
    <cellStyle name="Normal 12 4 2 4 4 2 2" xfId="53027" xr:uid="{00000000-0005-0000-0000-0000E8610000}"/>
    <cellStyle name="Normal 12 4 2 4 4 3" xfId="39465" xr:uid="{00000000-0005-0000-0000-0000E9610000}"/>
    <cellStyle name="Normal 12 4 2 4 5" xfId="19113" xr:uid="{00000000-0005-0000-0000-0000EA610000}"/>
    <cellStyle name="Normal 12 4 2 4 5 2" xfId="46246" xr:uid="{00000000-0005-0000-0000-0000EB610000}"/>
    <cellStyle name="Normal 12 4 2 4 6" xfId="32684" xr:uid="{00000000-0005-0000-0000-0000EC610000}"/>
    <cellStyle name="Normal 12 4 2 5" xfId="5379" xr:uid="{00000000-0005-0000-0000-0000ED610000}"/>
    <cellStyle name="Normal 12 4 2 5 2" xfId="8928" xr:uid="{00000000-0005-0000-0000-0000EE610000}"/>
    <cellStyle name="Normal 12 4 2 5 2 2" xfId="15717" xr:uid="{00000000-0005-0000-0000-0000EF610000}"/>
    <cellStyle name="Normal 12 4 2 5 2 2 2" xfId="29285" xr:uid="{00000000-0005-0000-0000-0000F0610000}"/>
    <cellStyle name="Normal 12 4 2 5 2 2 2 2" xfId="56418" xr:uid="{00000000-0005-0000-0000-0000F1610000}"/>
    <cellStyle name="Normal 12 4 2 5 2 2 3" xfId="42856" xr:uid="{00000000-0005-0000-0000-0000F2610000}"/>
    <cellStyle name="Normal 12 4 2 5 2 3" xfId="22504" xr:uid="{00000000-0005-0000-0000-0000F3610000}"/>
    <cellStyle name="Normal 12 4 2 5 2 3 2" xfId="49637" xr:uid="{00000000-0005-0000-0000-0000F4610000}"/>
    <cellStyle name="Normal 12 4 2 5 2 4" xfId="36075" xr:uid="{00000000-0005-0000-0000-0000F5610000}"/>
    <cellStyle name="Normal 12 4 2 5 3" xfId="12328" xr:uid="{00000000-0005-0000-0000-0000F6610000}"/>
    <cellStyle name="Normal 12 4 2 5 3 2" xfId="25896" xr:uid="{00000000-0005-0000-0000-0000F7610000}"/>
    <cellStyle name="Normal 12 4 2 5 3 2 2" xfId="53029" xr:uid="{00000000-0005-0000-0000-0000F8610000}"/>
    <cellStyle name="Normal 12 4 2 5 3 3" xfId="39467" xr:uid="{00000000-0005-0000-0000-0000F9610000}"/>
    <cellStyle name="Normal 12 4 2 5 4" xfId="19115" xr:uid="{00000000-0005-0000-0000-0000FA610000}"/>
    <cellStyle name="Normal 12 4 2 5 4 2" xfId="46248" xr:uid="{00000000-0005-0000-0000-0000FB610000}"/>
    <cellStyle name="Normal 12 4 2 5 5" xfId="32686" xr:uid="{00000000-0005-0000-0000-0000FC610000}"/>
    <cellStyle name="Normal 12 4 2 6" xfId="5380" xr:uid="{00000000-0005-0000-0000-0000FD610000}"/>
    <cellStyle name="Normal 12 4 2 6 2" xfId="8929" xr:uid="{00000000-0005-0000-0000-0000FE610000}"/>
    <cellStyle name="Normal 12 4 2 6 2 2" xfId="15718" xr:uid="{00000000-0005-0000-0000-0000FF610000}"/>
    <cellStyle name="Normal 12 4 2 6 2 2 2" xfId="29286" xr:uid="{00000000-0005-0000-0000-000000620000}"/>
    <cellStyle name="Normal 12 4 2 6 2 2 2 2" xfId="56419" xr:uid="{00000000-0005-0000-0000-000001620000}"/>
    <cellStyle name="Normal 12 4 2 6 2 2 3" xfId="42857" xr:uid="{00000000-0005-0000-0000-000002620000}"/>
    <cellStyle name="Normal 12 4 2 6 2 3" xfId="22505" xr:uid="{00000000-0005-0000-0000-000003620000}"/>
    <cellStyle name="Normal 12 4 2 6 2 3 2" xfId="49638" xr:uid="{00000000-0005-0000-0000-000004620000}"/>
    <cellStyle name="Normal 12 4 2 6 2 4" xfId="36076" xr:uid="{00000000-0005-0000-0000-000005620000}"/>
    <cellStyle name="Normal 12 4 2 6 3" xfId="12329" xr:uid="{00000000-0005-0000-0000-000006620000}"/>
    <cellStyle name="Normal 12 4 2 6 3 2" xfId="25897" xr:uid="{00000000-0005-0000-0000-000007620000}"/>
    <cellStyle name="Normal 12 4 2 6 3 2 2" xfId="53030" xr:uid="{00000000-0005-0000-0000-000008620000}"/>
    <cellStyle name="Normal 12 4 2 6 3 3" xfId="39468" xr:uid="{00000000-0005-0000-0000-000009620000}"/>
    <cellStyle name="Normal 12 4 2 6 4" xfId="19116" xr:uid="{00000000-0005-0000-0000-00000A620000}"/>
    <cellStyle name="Normal 12 4 2 6 4 2" xfId="46249" xr:uid="{00000000-0005-0000-0000-00000B620000}"/>
    <cellStyle name="Normal 12 4 2 6 5" xfId="32687" xr:uid="{00000000-0005-0000-0000-00000C620000}"/>
    <cellStyle name="Normal 12 4 2 7" xfId="8914" xr:uid="{00000000-0005-0000-0000-00000D620000}"/>
    <cellStyle name="Normal 12 4 2 7 2" xfId="15703" xr:uid="{00000000-0005-0000-0000-00000E620000}"/>
    <cellStyle name="Normal 12 4 2 7 2 2" xfId="29271" xr:uid="{00000000-0005-0000-0000-00000F620000}"/>
    <cellStyle name="Normal 12 4 2 7 2 2 2" xfId="56404" xr:uid="{00000000-0005-0000-0000-000010620000}"/>
    <cellStyle name="Normal 12 4 2 7 2 3" xfId="42842" xr:uid="{00000000-0005-0000-0000-000011620000}"/>
    <cellStyle name="Normal 12 4 2 7 3" xfId="22490" xr:uid="{00000000-0005-0000-0000-000012620000}"/>
    <cellStyle name="Normal 12 4 2 7 3 2" xfId="49623" xr:uid="{00000000-0005-0000-0000-000013620000}"/>
    <cellStyle name="Normal 12 4 2 7 4" xfId="36061" xr:uid="{00000000-0005-0000-0000-000014620000}"/>
    <cellStyle name="Normal 12 4 2 8" xfId="12314" xr:uid="{00000000-0005-0000-0000-000015620000}"/>
    <cellStyle name="Normal 12 4 2 8 2" xfId="25882" xr:uid="{00000000-0005-0000-0000-000016620000}"/>
    <cellStyle name="Normal 12 4 2 8 2 2" xfId="53015" xr:uid="{00000000-0005-0000-0000-000017620000}"/>
    <cellStyle name="Normal 12 4 2 8 3" xfId="39453" xr:uid="{00000000-0005-0000-0000-000018620000}"/>
    <cellStyle name="Normal 12 4 2 9" xfId="19101" xr:uid="{00000000-0005-0000-0000-000019620000}"/>
    <cellStyle name="Normal 12 4 2 9 2" xfId="46234" xr:uid="{00000000-0005-0000-0000-00001A620000}"/>
    <cellStyle name="Normal 12 4 3" xfId="5381" xr:uid="{00000000-0005-0000-0000-00001B620000}"/>
    <cellStyle name="Normal 12 4 3 2" xfId="5382" xr:uid="{00000000-0005-0000-0000-00001C620000}"/>
    <cellStyle name="Normal 12 4 3 2 2" xfId="5383" xr:uid="{00000000-0005-0000-0000-00001D620000}"/>
    <cellStyle name="Normal 12 4 3 2 2 2" xfId="8932" xr:uid="{00000000-0005-0000-0000-00001E620000}"/>
    <cellStyle name="Normal 12 4 3 2 2 2 2" xfId="15721" xr:uid="{00000000-0005-0000-0000-00001F620000}"/>
    <cellStyle name="Normal 12 4 3 2 2 2 2 2" xfId="29289" xr:uid="{00000000-0005-0000-0000-000020620000}"/>
    <cellStyle name="Normal 12 4 3 2 2 2 2 2 2" xfId="56422" xr:uid="{00000000-0005-0000-0000-000021620000}"/>
    <cellStyle name="Normal 12 4 3 2 2 2 2 3" xfId="42860" xr:uid="{00000000-0005-0000-0000-000022620000}"/>
    <cellStyle name="Normal 12 4 3 2 2 2 3" xfId="22508" xr:uid="{00000000-0005-0000-0000-000023620000}"/>
    <cellStyle name="Normal 12 4 3 2 2 2 3 2" xfId="49641" xr:uid="{00000000-0005-0000-0000-000024620000}"/>
    <cellStyle name="Normal 12 4 3 2 2 2 4" xfId="36079" xr:uid="{00000000-0005-0000-0000-000025620000}"/>
    <cellStyle name="Normal 12 4 3 2 2 3" xfId="12332" xr:uid="{00000000-0005-0000-0000-000026620000}"/>
    <cellStyle name="Normal 12 4 3 2 2 3 2" xfId="25900" xr:uid="{00000000-0005-0000-0000-000027620000}"/>
    <cellStyle name="Normal 12 4 3 2 2 3 2 2" xfId="53033" xr:uid="{00000000-0005-0000-0000-000028620000}"/>
    <cellStyle name="Normal 12 4 3 2 2 3 3" xfId="39471" xr:uid="{00000000-0005-0000-0000-000029620000}"/>
    <cellStyle name="Normal 12 4 3 2 2 4" xfId="19119" xr:uid="{00000000-0005-0000-0000-00002A620000}"/>
    <cellStyle name="Normal 12 4 3 2 2 4 2" xfId="46252" xr:uid="{00000000-0005-0000-0000-00002B620000}"/>
    <cellStyle name="Normal 12 4 3 2 2 5" xfId="32690" xr:uid="{00000000-0005-0000-0000-00002C620000}"/>
    <cellStyle name="Normal 12 4 3 2 3" xfId="5384" xr:uid="{00000000-0005-0000-0000-00002D620000}"/>
    <cellStyle name="Normal 12 4 3 2 3 2" xfId="8933" xr:uid="{00000000-0005-0000-0000-00002E620000}"/>
    <cellStyle name="Normal 12 4 3 2 3 2 2" xfId="15722" xr:uid="{00000000-0005-0000-0000-00002F620000}"/>
    <cellStyle name="Normal 12 4 3 2 3 2 2 2" xfId="29290" xr:uid="{00000000-0005-0000-0000-000030620000}"/>
    <cellStyle name="Normal 12 4 3 2 3 2 2 2 2" xfId="56423" xr:uid="{00000000-0005-0000-0000-000031620000}"/>
    <cellStyle name="Normal 12 4 3 2 3 2 2 3" xfId="42861" xr:uid="{00000000-0005-0000-0000-000032620000}"/>
    <cellStyle name="Normal 12 4 3 2 3 2 3" xfId="22509" xr:uid="{00000000-0005-0000-0000-000033620000}"/>
    <cellStyle name="Normal 12 4 3 2 3 2 3 2" xfId="49642" xr:uid="{00000000-0005-0000-0000-000034620000}"/>
    <cellStyle name="Normal 12 4 3 2 3 2 4" xfId="36080" xr:uid="{00000000-0005-0000-0000-000035620000}"/>
    <cellStyle name="Normal 12 4 3 2 3 3" xfId="12333" xr:uid="{00000000-0005-0000-0000-000036620000}"/>
    <cellStyle name="Normal 12 4 3 2 3 3 2" xfId="25901" xr:uid="{00000000-0005-0000-0000-000037620000}"/>
    <cellStyle name="Normal 12 4 3 2 3 3 2 2" xfId="53034" xr:uid="{00000000-0005-0000-0000-000038620000}"/>
    <cellStyle name="Normal 12 4 3 2 3 3 3" xfId="39472" xr:uid="{00000000-0005-0000-0000-000039620000}"/>
    <cellStyle name="Normal 12 4 3 2 3 4" xfId="19120" xr:uid="{00000000-0005-0000-0000-00003A620000}"/>
    <cellStyle name="Normal 12 4 3 2 3 4 2" xfId="46253" xr:uid="{00000000-0005-0000-0000-00003B620000}"/>
    <cellStyle name="Normal 12 4 3 2 3 5" xfId="32691" xr:uid="{00000000-0005-0000-0000-00003C620000}"/>
    <cellStyle name="Normal 12 4 3 2 4" xfId="8931" xr:uid="{00000000-0005-0000-0000-00003D620000}"/>
    <cellStyle name="Normal 12 4 3 2 4 2" xfId="15720" xr:uid="{00000000-0005-0000-0000-00003E620000}"/>
    <cellStyle name="Normal 12 4 3 2 4 2 2" xfId="29288" xr:uid="{00000000-0005-0000-0000-00003F620000}"/>
    <cellStyle name="Normal 12 4 3 2 4 2 2 2" xfId="56421" xr:uid="{00000000-0005-0000-0000-000040620000}"/>
    <cellStyle name="Normal 12 4 3 2 4 2 3" xfId="42859" xr:uid="{00000000-0005-0000-0000-000041620000}"/>
    <cellStyle name="Normal 12 4 3 2 4 3" xfId="22507" xr:uid="{00000000-0005-0000-0000-000042620000}"/>
    <cellStyle name="Normal 12 4 3 2 4 3 2" xfId="49640" xr:uid="{00000000-0005-0000-0000-000043620000}"/>
    <cellStyle name="Normal 12 4 3 2 4 4" xfId="36078" xr:uid="{00000000-0005-0000-0000-000044620000}"/>
    <cellStyle name="Normal 12 4 3 2 5" xfId="12331" xr:uid="{00000000-0005-0000-0000-000045620000}"/>
    <cellStyle name="Normal 12 4 3 2 5 2" xfId="25899" xr:uid="{00000000-0005-0000-0000-000046620000}"/>
    <cellStyle name="Normal 12 4 3 2 5 2 2" xfId="53032" xr:uid="{00000000-0005-0000-0000-000047620000}"/>
    <cellStyle name="Normal 12 4 3 2 5 3" xfId="39470" xr:uid="{00000000-0005-0000-0000-000048620000}"/>
    <cellStyle name="Normal 12 4 3 2 6" xfId="19118" xr:uid="{00000000-0005-0000-0000-000049620000}"/>
    <cellStyle name="Normal 12 4 3 2 6 2" xfId="46251" xr:uid="{00000000-0005-0000-0000-00004A620000}"/>
    <cellStyle name="Normal 12 4 3 2 7" xfId="32689" xr:uid="{00000000-0005-0000-0000-00004B620000}"/>
    <cellStyle name="Normal 12 4 3 3" xfId="5385" xr:uid="{00000000-0005-0000-0000-00004C620000}"/>
    <cellStyle name="Normal 12 4 3 3 2" xfId="5386" xr:uid="{00000000-0005-0000-0000-00004D620000}"/>
    <cellStyle name="Normal 12 4 3 3 2 2" xfId="8935" xr:uid="{00000000-0005-0000-0000-00004E620000}"/>
    <cellStyle name="Normal 12 4 3 3 2 2 2" xfId="15724" xr:uid="{00000000-0005-0000-0000-00004F620000}"/>
    <cellStyle name="Normal 12 4 3 3 2 2 2 2" xfId="29292" xr:uid="{00000000-0005-0000-0000-000050620000}"/>
    <cellStyle name="Normal 12 4 3 3 2 2 2 2 2" xfId="56425" xr:uid="{00000000-0005-0000-0000-000051620000}"/>
    <cellStyle name="Normal 12 4 3 3 2 2 2 3" xfId="42863" xr:uid="{00000000-0005-0000-0000-000052620000}"/>
    <cellStyle name="Normal 12 4 3 3 2 2 3" xfId="22511" xr:uid="{00000000-0005-0000-0000-000053620000}"/>
    <cellStyle name="Normal 12 4 3 3 2 2 3 2" xfId="49644" xr:uid="{00000000-0005-0000-0000-000054620000}"/>
    <cellStyle name="Normal 12 4 3 3 2 2 4" xfId="36082" xr:uid="{00000000-0005-0000-0000-000055620000}"/>
    <cellStyle name="Normal 12 4 3 3 2 3" xfId="12335" xr:uid="{00000000-0005-0000-0000-000056620000}"/>
    <cellStyle name="Normal 12 4 3 3 2 3 2" xfId="25903" xr:uid="{00000000-0005-0000-0000-000057620000}"/>
    <cellStyle name="Normal 12 4 3 3 2 3 2 2" xfId="53036" xr:uid="{00000000-0005-0000-0000-000058620000}"/>
    <cellStyle name="Normal 12 4 3 3 2 3 3" xfId="39474" xr:uid="{00000000-0005-0000-0000-000059620000}"/>
    <cellStyle name="Normal 12 4 3 3 2 4" xfId="19122" xr:uid="{00000000-0005-0000-0000-00005A620000}"/>
    <cellStyle name="Normal 12 4 3 3 2 4 2" xfId="46255" xr:uid="{00000000-0005-0000-0000-00005B620000}"/>
    <cellStyle name="Normal 12 4 3 3 2 5" xfId="32693" xr:uid="{00000000-0005-0000-0000-00005C620000}"/>
    <cellStyle name="Normal 12 4 3 3 3" xfId="8934" xr:uid="{00000000-0005-0000-0000-00005D620000}"/>
    <cellStyle name="Normal 12 4 3 3 3 2" xfId="15723" xr:uid="{00000000-0005-0000-0000-00005E620000}"/>
    <cellStyle name="Normal 12 4 3 3 3 2 2" xfId="29291" xr:uid="{00000000-0005-0000-0000-00005F620000}"/>
    <cellStyle name="Normal 12 4 3 3 3 2 2 2" xfId="56424" xr:uid="{00000000-0005-0000-0000-000060620000}"/>
    <cellStyle name="Normal 12 4 3 3 3 2 3" xfId="42862" xr:uid="{00000000-0005-0000-0000-000061620000}"/>
    <cellStyle name="Normal 12 4 3 3 3 3" xfId="22510" xr:uid="{00000000-0005-0000-0000-000062620000}"/>
    <cellStyle name="Normal 12 4 3 3 3 3 2" xfId="49643" xr:uid="{00000000-0005-0000-0000-000063620000}"/>
    <cellStyle name="Normal 12 4 3 3 3 4" xfId="36081" xr:uid="{00000000-0005-0000-0000-000064620000}"/>
    <cellStyle name="Normal 12 4 3 3 4" xfId="12334" xr:uid="{00000000-0005-0000-0000-000065620000}"/>
    <cellStyle name="Normal 12 4 3 3 4 2" xfId="25902" xr:uid="{00000000-0005-0000-0000-000066620000}"/>
    <cellStyle name="Normal 12 4 3 3 4 2 2" xfId="53035" xr:uid="{00000000-0005-0000-0000-000067620000}"/>
    <cellStyle name="Normal 12 4 3 3 4 3" xfId="39473" xr:uid="{00000000-0005-0000-0000-000068620000}"/>
    <cellStyle name="Normal 12 4 3 3 5" xfId="19121" xr:uid="{00000000-0005-0000-0000-000069620000}"/>
    <cellStyle name="Normal 12 4 3 3 5 2" xfId="46254" xr:uid="{00000000-0005-0000-0000-00006A620000}"/>
    <cellStyle name="Normal 12 4 3 3 6" xfId="32692" xr:uid="{00000000-0005-0000-0000-00006B620000}"/>
    <cellStyle name="Normal 12 4 3 4" xfId="5387" xr:uid="{00000000-0005-0000-0000-00006C620000}"/>
    <cellStyle name="Normal 12 4 3 4 2" xfId="8936" xr:uid="{00000000-0005-0000-0000-00006D620000}"/>
    <cellStyle name="Normal 12 4 3 4 2 2" xfId="15725" xr:uid="{00000000-0005-0000-0000-00006E620000}"/>
    <cellStyle name="Normal 12 4 3 4 2 2 2" xfId="29293" xr:uid="{00000000-0005-0000-0000-00006F620000}"/>
    <cellStyle name="Normal 12 4 3 4 2 2 2 2" xfId="56426" xr:uid="{00000000-0005-0000-0000-000070620000}"/>
    <cellStyle name="Normal 12 4 3 4 2 2 3" xfId="42864" xr:uid="{00000000-0005-0000-0000-000071620000}"/>
    <cellStyle name="Normal 12 4 3 4 2 3" xfId="22512" xr:uid="{00000000-0005-0000-0000-000072620000}"/>
    <cellStyle name="Normal 12 4 3 4 2 3 2" xfId="49645" xr:uid="{00000000-0005-0000-0000-000073620000}"/>
    <cellStyle name="Normal 12 4 3 4 2 4" xfId="36083" xr:uid="{00000000-0005-0000-0000-000074620000}"/>
    <cellStyle name="Normal 12 4 3 4 3" xfId="12336" xr:uid="{00000000-0005-0000-0000-000075620000}"/>
    <cellStyle name="Normal 12 4 3 4 3 2" xfId="25904" xr:uid="{00000000-0005-0000-0000-000076620000}"/>
    <cellStyle name="Normal 12 4 3 4 3 2 2" xfId="53037" xr:uid="{00000000-0005-0000-0000-000077620000}"/>
    <cellStyle name="Normal 12 4 3 4 3 3" xfId="39475" xr:uid="{00000000-0005-0000-0000-000078620000}"/>
    <cellStyle name="Normal 12 4 3 4 4" xfId="19123" xr:uid="{00000000-0005-0000-0000-000079620000}"/>
    <cellStyle name="Normal 12 4 3 4 4 2" xfId="46256" xr:uid="{00000000-0005-0000-0000-00007A620000}"/>
    <cellStyle name="Normal 12 4 3 4 5" xfId="32694" xr:uid="{00000000-0005-0000-0000-00007B620000}"/>
    <cellStyle name="Normal 12 4 3 5" xfId="5388" xr:uid="{00000000-0005-0000-0000-00007C620000}"/>
    <cellStyle name="Normal 12 4 3 5 2" xfId="8937" xr:uid="{00000000-0005-0000-0000-00007D620000}"/>
    <cellStyle name="Normal 12 4 3 5 2 2" xfId="15726" xr:uid="{00000000-0005-0000-0000-00007E620000}"/>
    <cellStyle name="Normal 12 4 3 5 2 2 2" xfId="29294" xr:uid="{00000000-0005-0000-0000-00007F620000}"/>
    <cellStyle name="Normal 12 4 3 5 2 2 2 2" xfId="56427" xr:uid="{00000000-0005-0000-0000-000080620000}"/>
    <cellStyle name="Normal 12 4 3 5 2 2 3" xfId="42865" xr:uid="{00000000-0005-0000-0000-000081620000}"/>
    <cellStyle name="Normal 12 4 3 5 2 3" xfId="22513" xr:uid="{00000000-0005-0000-0000-000082620000}"/>
    <cellStyle name="Normal 12 4 3 5 2 3 2" xfId="49646" xr:uid="{00000000-0005-0000-0000-000083620000}"/>
    <cellStyle name="Normal 12 4 3 5 2 4" xfId="36084" xr:uid="{00000000-0005-0000-0000-000084620000}"/>
    <cellStyle name="Normal 12 4 3 5 3" xfId="12337" xr:uid="{00000000-0005-0000-0000-000085620000}"/>
    <cellStyle name="Normal 12 4 3 5 3 2" xfId="25905" xr:uid="{00000000-0005-0000-0000-000086620000}"/>
    <cellStyle name="Normal 12 4 3 5 3 2 2" xfId="53038" xr:uid="{00000000-0005-0000-0000-000087620000}"/>
    <cellStyle name="Normal 12 4 3 5 3 3" xfId="39476" xr:uid="{00000000-0005-0000-0000-000088620000}"/>
    <cellStyle name="Normal 12 4 3 5 4" xfId="19124" xr:uid="{00000000-0005-0000-0000-000089620000}"/>
    <cellStyle name="Normal 12 4 3 5 4 2" xfId="46257" xr:uid="{00000000-0005-0000-0000-00008A620000}"/>
    <cellStyle name="Normal 12 4 3 5 5" xfId="32695" xr:uid="{00000000-0005-0000-0000-00008B620000}"/>
    <cellStyle name="Normal 12 4 3 6" xfId="8930" xr:uid="{00000000-0005-0000-0000-00008C620000}"/>
    <cellStyle name="Normal 12 4 3 6 2" xfId="15719" xr:uid="{00000000-0005-0000-0000-00008D620000}"/>
    <cellStyle name="Normal 12 4 3 6 2 2" xfId="29287" xr:uid="{00000000-0005-0000-0000-00008E620000}"/>
    <cellStyle name="Normal 12 4 3 6 2 2 2" xfId="56420" xr:uid="{00000000-0005-0000-0000-00008F620000}"/>
    <cellStyle name="Normal 12 4 3 6 2 3" xfId="42858" xr:uid="{00000000-0005-0000-0000-000090620000}"/>
    <cellStyle name="Normal 12 4 3 6 3" xfId="22506" xr:uid="{00000000-0005-0000-0000-000091620000}"/>
    <cellStyle name="Normal 12 4 3 6 3 2" xfId="49639" xr:uid="{00000000-0005-0000-0000-000092620000}"/>
    <cellStyle name="Normal 12 4 3 6 4" xfId="36077" xr:uid="{00000000-0005-0000-0000-000093620000}"/>
    <cellStyle name="Normal 12 4 3 7" xfId="12330" xr:uid="{00000000-0005-0000-0000-000094620000}"/>
    <cellStyle name="Normal 12 4 3 7 2" xfId="25898" xr:uid="{00000000-0005-0000-0000-000095620000}"/>
    <cellStyle name="Normal 12 4 3 7 2 2" xfId="53031" xr:uid="{00000000-0005-0000-0000-000096620000}"/>
    <cellStyle name="Normal 12 4 3 7 3" xfId="39469" xr:uid="{00000000-0005-0000-0000-000097620000}"/>
    <cellStyle name="Normal 12 4 3 8" xfId="19117" xr:uid="{00000000-0005-0000-0000-000098620000}"/>
    <cellStyle name="Normal 12 4 3 8 2" xfId="46250" xr:uid="{00000000-0005-0000-0000-000099620000}"/>
    <cellStyle name="Normal 12 4 3 9" xfId="32688" xr:uid="{00000000-0005-0000-0000-00009A620000}"/>
    <cellStyle name="Normal 12 4 4" xfId="5389" xr:uid="{00000000-0005-0000-0000-00009B620000}"/>
    <cellStyle name="Normal 12 4 4 2" xfId="5390" xr:uid="{00000000-0005-0000-0000-00009C620000}"/>
    <cellStyle name="Normal 12 4 4 2 2" xfId="5391" xr:uid="{00000000-0005-0000-0000-00009D620000}"/>
    <cellStyle name="Normal 12 4 4 2 2 2" xfId="8940" xr:uid="{00000000-0005-0000-0000-00009E620000}"/>
    <cellStyle name="Normal 12 4 4 2 2 2 2" xfId="15729" xr:uid="{00000000-0005-0000-0000-00009F620000}"/>
    <cellStyle name="Normal 12 4 4 2 2 2 2 2" xfId="29297" xr:uid="{00000000-0005-0000-0000-0000A0620000}"/>
    <cellStyle name="Normal 12 4 4 2 2 2 2 2 2" xfId="56430" xr:uid="{00000000-0005-0000-0000-0000A1620000}"/>
    <cellStyle name="Normal 12 4 4 2 2 2 2 3" xfId="42868" xr:uid="{00000000-0005-0000-0000-0000A2620000}"/>
    <cellStyle name="Normal 12 4 4 2 2 2 3" xfId="22516" xr:uid="{00000000-0005-0000-0000-0000A3620000}"/>
    <cellStyle name="Normal 12 4 4 2 2 2 3 2" xfId="49649" xr:uid="{00000000-0005-0000-0000-0000A4620000}"/>
    <cellStyle name="Normal 12 4 4 2 2 2 4" xfId="36087" xr:uid="{00000000-0005-0000-0000-0000A5620000}"/>
    <cellStyle name="Normal 12 4 4 2 2 3" xfId="12340" xr:uid="{00000000-0005-0000-0000-0000A6620000}"/>
    <cellStyle name="Normal 12 4 4 2 2 3 2" xfId="25908" xr:uid="{00000000-0005-0000-0000-0000A7620000}"/>
    <cellStyle name="Normal 12 4 4 2 2 3 2 2" xfId="53041" xr:uid="{00000000-0005-0000-0000-0000A8620000}"/>
    <cellStyle name="Normal 12 4 4 2 2 3 3" xfId="39479" xr:uid="{00000000-0005-0000-0000-0000A9620000}"/>
    <cellStyle name="Normal 12 4 4 2 2 4" xfId="19127" xr:uid="{00000000-0005-0000-0000-0000AA620000}"/>
    <cellStyle name="Normal 12 4 4 2 2 4 2" xfId="46260" xr:uid="{00000000-0005-0000-0000-0000AB620000}"/>
    <cellStyle name="Normal 12 4 4 2 2 5" xfId="32698" xr:uid="{00000000-0005-0000-0000-0000AC620000}"/>
    <cellStyle name="Normal 12 4 4 2 3" xfId="5392" xr:uid="{00000000-0005-0000-0000-0000AD620000}"/>
    <cellStyle name="Normal 12 4 4 2 3 2" xfId="8941" xr:uid="{00000000-0005-0000-0000-0000AE620000}"/>
    <cellStyle name="Normal 12 4 4 2 3 2 2" xfId="15730" xr:uid="{00000000-0005-0000-0000-0000AF620000}"/>
    <cellStyle name="Normal 12 4 4 2 3 2 2 2" xfId="29298" xr:uid="{00000000-0005-0000-0000-0000B0620000}"/>
    <cellStyle name="Normal 12 4 4 2 3 2 2 2 2" xfId="56431" xr:uid="{00000000-0005-0000-0000-0000B1620000}"/>
    <cellStyle name="Normal 12 4 4 2 3 2 2 3" xfId="42869" xr:uid="{00000000-0005-0000-0000-0000B2620000}"/>
    <cellStyle name="Normal 12 4 4 2 3 2 3" xfId="22517" xr:uid="{00000000-0005-0000-0000-0000B3620000}"/>
    <cellStyle name="Normal 12 4 4 2 3 2 3 2" xfId="49650" xr:uid="{00000000-0005-0000-0000-0000B4620000}"/>
    <cellStyle name="Normal 12 4 4 2 3 2 4" xfId="36088" xr:uid="{00000000-0005-0000-0000-0000B5620000}"/>
    <cellStyle name="Normal 12 4 4 2 3 3" xfId="12341" xr:uid="{00000000-0005-0000-0000-0000B6620000}"/>
    <cellStyle name="Normal 12 4 4 2 3 3 2" xfId="25909" xr:uid="{00000000-0005-0000-0000-0000B7620000}"/>
    <cellStyle name="Normal 12 4 4 2 3 3 2 2" xfId="53042" xr:uid="{00000000-0005-0000-0000-0000B8620000}"/>
    <cellStyle name="Normal 12 4 4 2 3 3 3" xfId="39480" xr:uid="{00000000-0005-0000-0000-0000B9620000}"/>
    <cellStyle name="Normal 12 4 4 2 3 4" xfId="19128" xr:uid="{00000000-0005-0000-0000-0000BA620000}"/>
    <cellStyle name="Normal 12 4 4 2 3 4 2" xfId="46261" xr:uid="{00000000-0005-0000-0000-0000BB620000}"/>
    <cellStyle name="Normal 12 4 4 2 3 5" xfId="32699" xr:uid="{00000000-0005-0000-0000-0000BC620000}"/>
    <cellStyle name="Normal 12 4 4 2 4" xfId="8939" xr:uid="{00000000-0005-0000-0000-0000BD620000}"/>
    <cellStyle name="Normal 12 4 4 2 4 2" xfId="15728" xr:uid="{00000000-0005-0000-0000-0000BE620000}"/>
    <cellStyle name="Normal 12 4 4 2 4 2 2" xfId="29296" xr:uid="{00000000-0005-0000-0000-0000BF620000}"/>
    <cellStyle name="Normal 12 4 4 2 4 2 2 2" xfId="56429" xr:uid="{00000000-0005-0000-0000-0000C0620000}"/>
    <cellStyle name="Normal 12 4 4 2 4 2 3" xfId="42867" xr:uid="{00000000-0005-0000-0000-0000C1620000}"/>
    <cellStyle name="Normal 12 4 4 2 4 3" xfId="22515" xr:uid="{00000000-0005-0000-0000-0000C2620000}"/>
    <cellStyle name="Normal 12 4 4 2 4 3 2" xfId="49648" xr:uid="{00000000-0005-0000-0000-0000C3620000}"/>
    <cellStyle name="Normal 12 4 4 2 4 4" xfId="36086" xr:uid="{00000000-0005-0000-0000-0000C4620000}"/>
    <cellStyle name="Normal 12 4 4 2 5" xfId="12339" xr:uid="{00000000-0005-0000-0000-0000C5620000}"/>
    <cellStyle name="Normal 12 4 4 2 5 2" xfId="25907" xr:uid="{00000000-0005-0000-0000-0000C6620000}"/>
    <cellStyle name="Normal 12 4 4 2 5 2 2" xfId="53040" xr:uid="{00000000-0005-0000-0000-0000C7620000}"/>
    <cellStyle name="Normal 12 4 4 2 5 3" xfId="39478" xr:uid="{00000000-0005-0000-0000-0000C8620000}"/>
    <cellStyle name="Normal 12 4 4 2 6" xfId="19126" xr:uid="{00000000-0005-0000-0000-0000C9620000}"/>
    <cellStyle name="Normal 12 4 4 2 6 2" xfId="46259" xr:uid="{00000000-0005-0000-0000-0000CA620000}"/>
    <cellStyle name="Normal 12 4 4 2 7" xfId="32697" xr:uid="{00000000-0005-0000-0000-0000CB620000}"/>
    <cellStyle name="Normal 12 4 4 3" xfId="5393" xr:uid="{00000000-0005-0000-0000-0000CC620000}"/>
    <cellStyle name="Normal 12 4 4 3 2" xfId="8942" xr:uid="{00000000-0005-0000-0000-0000CD620000}"/>
    <cellStyle name="Normal 12 4 4 3 2 2" xfId="15731" xr:uid="{00000000-0005-0000-0000-0000CE620000}"/>
    <cellStyle name="Normal 12 4 4 3 2 2 2" xfId="29299" xr:uid="{00000000-0005-0000-0000-0000CF620000}"/>
    <cellStyle name="Normal 12 4 4 3 2 2 2 2" xfId="56432" xr:uid="{00000000-0005-0000-0000-0000D0620000}"/>
    <cellStyle name="Normal 12 4 4 3 2 2 3" xfId="42870" xr:uid="{00000000-0005-0000-0000-0000D1620000}"/>
    <cellStyle name="Normal 12 4 4 3 2 3" xfId="22518" xr:uid="{00000000-0005-0000-0000-0000D2620000}"/>
    <cellStyle name="Normal 12 4 4 3 2 3 2" xfId="49651" xr:uid="{00000000-0005-0000-0000-0000D3620000}"/>
    <cellStyle name="Normal 12 4 4 3 2 4" xfId="36089" xr:uid="{00000000-0005-0000-0000-0000D4620000}"/>
    <cellStyle name="Normal 12 4 4 3 3" xfId="12342" xr:uid="{00000000-0005-0000-0000-0000D5620000}"/>
    <cellStyle name="Normal 12 4 4 3 3 2" xfId="25910" xr:uid="{00000000-0005-0000-0000-0000D6620000}"/>
    <cellStyle name="Normal 12 4 4 3 3 2 2" xfId="53043" xr:uid="{00000000-0005-0000-0000-0000D7620000}"/>
    <cellStyle name="Normal 12 4 4 3 3 3" xfId="39481" xr:uid="{00000000-0005-0000-0000-0000D8620000}"/>
    <cellStyle name="Normal 12 4 4 3 4" xfId="19129" xr:uid="{00000000-0005-0000-0000-0000D9620000}"/>
    <cellStyle name="Normal 12 4 4 3 4 2" xfId="46262" xr:uid="{00000000-0005-0000-0000-0000DA620000}"/>
    <cellStyle name="Normal 12 4 4 3 5" xfId="32700" xr:uid="{00000000-0005-0000-0000-0000DB620000}"/>
    <cellStyle name="Normal 12 4 4 4" xfId="5394" xr:uid="{00000000-0005-0000-0000-0000DC620000}"/>
    <cellStyle name="Normal 12 4 4 4 2" xfId="8943" xr:uid="{00000000-0005-0000-0000-0000DD620000}"/>
    <cellStyle name="Normal 12 4 4 4 2 2" xfId="15732" xr:uid="{00000000-0005-0000-0000-0000DE620000}"/>
    <cellStyle name="Normal 12 4 4 4 2 2 2" xfId="29300" xr:uid="{00000000-0005-0000-0000-0000DF620000}"/>
    <cellStyle name="Normal 12 4 4 4 2 2 2 2" xfId="56433" xr:uid="{00000000-0005-0000-0000-0000E0620000}"/>
    <cellStyle name="Normal 12 4 4 4 2 2 3" xfId="42871" xr:uid="{00000000-0005-0000-0000-0000E1620000}"/>
    <cellStyle name="Normal 12 4 4 4 2 3" xfId="22519" xr:uid="{00000000-0005-0000-0000-0000E2620000}"/>
    <cellStyle name="Normal 12 4 4 4 2 3 2" xfId="49652" xr:uid="{00000000-0005-0000-0000-0000E3620000}"/>
    <cellStyle name="Normal 12 4 4 4 2 4" xfId="36090" xr:uid="{00000000-0005-0000-0000-0000E4620000}"/>
    <cellStyle name="Normal 12 4 4 4 3" xfId="12343" xr:uid="{00000000-0005-0000-0000-0000E5620000}"/>
    <cellStyle name="Normal 12 4 4 4 3 2" xfId="25911" xr:uid="{00000000-0005-0000-0000-0000E6620000}"/>
    <cellStyle name="Normal 12 4 4 4 3 2 2" xfId="53044" xr:uid="{00000000-0005-0000-0000-0000E7620000}"/>
    <cellStyle name="Normal 12 4 4 4 3 3" xfId="39482" xr:uid="{00000000-0005-0000-0000-0000E8620000}"/>
    <cellStyle name="Normal 12 4 4 4 4" xfId="19130" xr:uid="{00000000-0005-0000-0000-0000E9620000}"/>
    <cellStyle name="Normal 12 4 4 4 4 2" xfId="46263" xr:uid="{00000000-0005-0000-0000-0000EA620000}"/>
    <cellStyle name="Normal 12 4 4 4 5" xfId="32701" xr:uid="{00000000-0005-0000-0000-0000EB620000}"/>
    <cellStyle name="Normal 12 4 4 5" xfId="8938" xr:uid="{00000000-0005-0000-0000-0000EC620000}"/>
    <cellStyle name="Normal 12 4 4 5 2" xfId="15727" xr:uid="{00000000-0005-0000-0000-0000ED620000}"/>
    <cellStyle name="Normal 12 4 4 5 2 2" xfId="29295" xr:uid="{00000000-0005-0000-0000-0000EE620000}"/>
    <cellStyle name="Normal 12 4 4 5 2 2 2" xfId="56428" xr:uid="{00000000-0005-0000-0000-0000EF620000}"/>
    <cellStyle name="Normal 12 4 4 5 2 3" xfId="42866" xr:uid="{00000000-0005-0000-0000-0000F0620000}"/>
    <cellStyle name="Normal 12 4 4 5 3" xfId="22514" xr:uid="{00000000-0005-0000-0000-0000F1620000}"/>
    <cellStyle name="Normal 12 4 4 5 3 2" xfId="49647" xr:uid="{00000000-0005-0000-0000-0000F2620000}"/>
    <cellStyle name="Normal 12 4 4 5 4" xfId="36085" xr:uid="{00000000-0005-0000-0000-0000F3620000}"/>
    <cellStyle name="Normal 12 4 4 6" xfId="12338" xr:uid="{00000000-0005-0000-0000-0000F4620000}"/>
    <cellStyle name="Normal 12 4 4 6 2" xfId="25906" xr:uid="{00000000-0005-0000-0000-0000F5620000}"/>
    <cellStyle name="Normal 12 4 4 6 2 2" xfId="53039" xr:uid="{00000000-0005-0000-0000-0000F6620000}"/>
    <cellStyle name="Normal 12 4 4 6 3" xfId="39477" xr:uid="{00000000-0005-0000-0000-0000F7620000}"/>
    <cellStyle name="Normal 12 4 4 7" xfId="19125" xr:uid="{00000000-0005-0000-0000-0000F8620000}"/>
    <cellStyle name="Normal 12 4 4 7 2" xfId="46258" xr:uid="{00000000-0005-0000-0000-0000F9620000}"/>
    <cellStyle name="Normal 12 4 4 8" xfId="32696" xr:uid="{00000000-0005-0000-0000-0000FA620000}"/>
    <cellStyle name="Normal 12 4 5" xfId="5395" xr:uid="{00000000-0005-0000-0000-0000FB620000}"/>
    <cellStyle name="Normal 12 4 5 2" xfId="5396" xr:uid="{00000000-0005-0000-0000-0000FC620000}"/>
    <cellStyle name="Normal 12 4 5 2 2" xfId="5397" xr:uid="{00000000-0005-0000-0000-0000FD620000}"/>
    <cellStyle name="Normal 12 4 5 2 2 2" xfId="8946" xr:uid="{00000000-0005-0000-0000-0000FE620000}"/>
    <cellStyle name="Normal 12 4 5 2 2 2 2" xfId="15735" xr:uid="{00000000-0005-0000-0000-0000FF620000}"/>
    <cellStyle name="Normal 12 4 5 2 2 2 2 2" xfId="29303" xr:uid="{00000000-0005-0000-0000-000000630000}"/>
    <cellStyle name="Normal 12 4 5 2 2 2 2 2 2" xfId="56436" xr:uid="{00000000-0005-0000-0000-000001630000}"/>
    <cellStyle name="Normal 12 4 5 2 2 2 2 3" xfId="42874" xr:uid="{00000000-0005-0000-0000-000002630000}"/>
    <cellStyle name="Normal 12 4 5 2 2 2 3" xfId="22522" xr:uid="{00000000-0005-0000-0000-000003630000}"/>
    <cellStyle name="Normal 12 4 5 2 2 2 3 2" xfId="49655" xr:uid="{00000000-0005-0000-0000-000004630000}"/>
    <cellStyle name="Normal 12 4 5 2 2 2 4" xfId="36093" xr:uid="{00000000-0005-0000-0000-000005630000}"/>
    <cellStyle name="Normal 12 4 5 2 2 3" xfId="12346" xr:uid="{00000000-0005-0000-0000-000006630000}"/>
    <cellStyle name="Normal 12 4 5 2 2 3 2" xfId="25914" xr:uid="{00000000-0005-0000-0000-000007630000}"/>
    <cellStyle name="Normal 12 4 5 2 2 3 2 2" xfId="53047" xr:uid="{00000000-0005-0000-0000-000008630000}"/>
    <cellStyle name="Normal 12 4 5 2 2 3 3" xfId="39485" xr:uid="{00000000-0005-0000-0000-000009630000}"/>
    <cellStyle name="Normal 12 4 5 2 2 4" xfId="19133" xr:uid="{00000000-0005-0000-0000-00000A630000}"/>
    <cellStyle name="Normal 12 4 5 2 2 4 2" xfId="46266" xr:uid="{00000000-0005-0000-0000-00000B630000}"/>
    <cellStyle name="Normal 12 4 5 2 2 5" xfId="32704" xr:uid="{00000000-0005-0000-0000-00000C630000}"/>
    <cellStyle name="Normal 12 4 5 2 3" xfId="5398" xr:uid="{00000000-0005-0000-0000-00000D630000}"/>
    <cellStyle name="Normal 12 4 5 2 3 2" xfId="8947" xr:uid="{00000000-0005-0000-0000-00000E630000}"/>
    <cellStyle name="Normal 12 4 5 2 3 2 2" xfId="15736" xr:uid="{00000000-0005-0000-0000-00000F630000}"/>
    <cellStyle name="Normal 12 4 5 2 3 2 2 2" xfId="29304" xr:uid="{00000000-0005-0000-0000-000010630000}"/>
    <cellStyle name="Normal 12 4 5 2 3 2 2 2 2" xfId="56437" xr:uid="{00000000-0005-0000-0000-000011630000}"/>
    <cellStyle name="Normal 12 4 5 2 3 2 2 3" xfId="42875" xr:uid="{00000000-0005-0000-0000-000012630000}"/>
    <cellStyle name="Normal 12 4 5 2 3 2 3" xfId="22523" xr:uid="{00000000-0005-0000-0000-000013630000}"/>
    <cellStyle name="Normal 12 4 5 2 3 2 3 2" xfId="49656" xr:uid="{00000000-0005-0000-0000-000014630000}"/>
    <cellStyle name="Normal 12 4 5 2 3 2 4" xfId="36094" xr:uid="{00000000-0005-0000-0000-000015630000}"/>
    <cellStyle name="Normal 12 4 5 2 3 3" xfId="12347" xr:uid="{00000000-0005-0000-0000-000016630000}"/>
    <cellStyle name="Normal 12 4 5 2 3 3 2" xfId="25915" xr:uid="{00000000-0005-0000-0000-000017630000}"/>
    <cellStyle name="Normal 12 4 5 2 3 3 2 2" xfId="53048" xr:uid="{00000000-0005-0000-0000-000018630000}"/>
    <cellStyle name="Normal 12 4 5 2 3 3 3" xfId="39486" xr:uid="{00000000-0005-0000-0000-000019630000}"/>
    <cellStyle name="Normal 12 4 5 2 3 4" xfId="19134" xr:uid="{00000000-0005-0000-0000-00001A630000}"/>
    <cellStyle name="Normal 12 4 5 2 3 4 2" xfId="46267" xr:uid="{00000000-0005-0000-0000-00001B630000}"/>
    <cellStyle name="Normal 12 4 5 2 3 5" xfId="32705" xr:uid="{00000000-0005-0000-0000-00001C630000}"/>
    <cellStyle name="Normal 12 4 5 2 4" xfId="8945" xr:uid="{00000000-0005-0000-0000-00001D630000}"/>
    <cellStyle name="Normal 12 4 5 2 4 2" xfId="15734" xr:uid="{00000000-0005-0000-0000-00001E630000}"/>
    <cellStyle name="Normal 12 4 5 2 4 2 2" xfId="29302" xr:uid="{00000000-0005-0000-0000-00001F630000}"/>
    <cellStyle name="Normal 12 4 5 2 4 2 2 2" xfId="56435" xr:uid="{00000000-0005-0000-0000-000020630000}"/>
    <cellStyle name="Normal 12 4 5 2 4 2 3" xfId="42873" xr:uid="{00000000-0005-0000-0000-000021630000}"/>
    <cellStyle name="Normal 12 4 5 2 4 3" xfId="22521" xr:uid="{00000000-0005-0000-0000-000022630000}"/>
    <cellStyle name="Normal 12 4 5 2 4 3 2" xfId="49654" xr:uid="{00000000-0005-0000-0000-000023630000}"/>
    <cellStyle name="Normal 12 4 5 2 4 4" xfId="36092" xr:uid="{00000000-0005-0000-0000-000024630000}"/>
    <cellStyle name="Normal 12 4 5 2 5" xfId="12345" xr:uid="{00000000-0005-0000-0000-000025630000}"/>
    <cellStyle name="Normal 12 4 5 2 5 2" xfId="25913" xr:uid="{00000000-0005-0000-0000-000026630000}"/>
    <cellStyle name="Normal 12 4 5 2 5 2 2" xfId="53046" xr:uid="{00000000-0005-0000-0000-000027630000}"/>
    <cellStyle name="Normal 12 4 5 2 5 3" xfId="39484" xr:uid="{00000000-0005-0000-0000-000028630000}"/>
    <cellStyle name="Normal 12 4 5 2 6" xfId="19132" xr:uid="{00000000-0005-0000-0000-000029630000}"/>
    <cellStyle name="Normal 12 4 5 2 6 2" xfId="46265" xr:uid="{00000000-0005-0000-0000-00002A630000}"/>
    <cellStyle name="Normal 12 4 5 2 7" xfId="32703" xr:uid="{00000000-0005-0000-0000-00002B630000}"/>
    <cellStyle name="Normal 12 4 5 3" xfId="5399" xr:uid="{00000000-0005-0000-0000-00002C630000}"/>
    <cellStyle name="Normal 12 4 5 3 2" xfId="8948" xr:uid="{00000000-0005-0000-0000-00002D630000}"/>
    <cellStyle name="Normal 12 4 5 3 2 2" xfId="15737" xr:uid="{00000000-0005-0000-0000-00002E630000}"/>
    <cellStyle name="Normal 12 4 5 3 2 2 2" xfId="29305" xr:uid="{00000000-0005-0000-0000-00002F630000}"/>
    <cellStyle name="Normal 12 4 5 3 2 2 2 2" xfId="56438" xr:uid="{00000000-0005-0000-0000-000030630000}"/>
    <cellStyle name="Normal 12 4 5 3 2 2 3" xfId="42876" xr:uid="{00000000-0005-0000-0000-000031630000}"/>
    <cellStyle name="Normal 12 4 5 3 2 3" xfId="22524" xr:uid="{00000000-0005-0000-0000-000032630000}"/>
    <cellStyle name="Normal 12 4 5 3 2 3 2" xfId="49657" xr:uid="{00000000-0005-0000-0000-000033630000}"/>
    <cellStyle name="Normal 12 4 5 3 2 4" xfId="36095" xr:uid="{00000000-0005-0000-0000-000034630000}"/>
    <cellStyle name="Normal 12 4 5 3 3" xfId="12348" xr:uid="{00000000-0005-0000-0000-000035630000}"/>
    <cellStyle name="Normal 12 4 5 3 3 2" xfId="25916" xr:uid="{00000000-0005-0000-0000-000036630000}"/>
    <cellStyle name="Normal 12 4 5 3 3 2 2" xfId="53049" xr:uid="{00000000-0005-0000-0000-000037630000}"/>
    <cellStyle name="Normal 12 4 5 3 3 3" xfId="39487" xr:uid="{00000000-0005-0000-0000-000038630000}"/>
    <cellStyle name="Normal 12 4 5 3 4" xfId="19135" xr:uid="{00000000-0005-0000-0000-000039630000}"/>
    <cellStyle name="Normal 12 4 5 3 4 2" xfId="46268" xr:uid="{00000000-0005-0000-0000-00003A630000}"/>
    <cellStyle name="Normal 12 4 5 3 5" xfId="32706" xr:uid="{00000000-0005-0000-0000-00003B630000}"/>
    <cellStyle name="Normal 12 4 5 4" xfId="5400" xr:uid="{00000000-0005-0000-0000-00003C630000}"/>
    <cellStyle name="Normal 12 4 5 4 2" xfId="8949" xr:uid="{00000000-0005-0000-0000-00003D630000}"/>
    <cellStyle name="Normal 12 4 5 4 2 2" xfId="15738" xr:uid="{00000000-0005-0000-0000-00003E630000}"/>
    <cellStyle name="Normal 12 4 5 4 2 2 2" xfId="29306" xr:uid="{00000000-0005-0000-0000-00003F630000}"/>
    <cellStyle name="Normal 12 4 5 4 2 2 2 2" xfId="56439" xr:uid="{00000000-0005-0000-0000-000040630000}"/>
    <cellStyle name="Normal 12 4 5 4 2 2 3" xfId="42877" xr:uid="{00000000-0005-0000-0000-000041630000}"/>
    <cellStyle name="Normal 12 4 5 4 2 3" xfId="22525" xr:uid="{00000000-0005-0000-0000-000042630000}"/>
    <cellStyle name="Normal 12 4 5 4 2 3 2" xfId="49658" xr:uid="{00000000-0005-0000-0000-000043630000}"/>
    <cellStyle name="Normal 12 4 5 4 2 4" xfId="36096" xr:uid="{00000000-0005-0000-0000-000044630000}"/>
    <cellStyle name="Normal 12 4 5 4 3" xfId="12349" xr:uid="{00000000-0005-0000-0000-000045630000}"/>
    <cellStyle name="Normal 12 4 5 4 3 2" xfId="25917" xr:uid="{00000000-0005-0000-0000-000046630000}"/>
    <cellStyle name="Normal 12 4 5 4 3 2 2" xfId="53050" xr:uid="{00000000-0005-0000-0000-000047630000}"/>
    <cellStyle name="Normal 12 4 5 4 3 3" xfId="39488" xr:uid="{00000000-0005-0000-0000-000048630000}"/>
    <cellStyle name="Normal 12 4 5 4 4" xfId="19136" xr:uid="{00000000-0005-0000-0000-000049630000}"/>
    <cellStyle name="Normal 12 4 5 4 4 2" xfId="46269" xr:uid="{00000000-0005-0000-0000-00004A630000}"/>
    <cellStyle name="Normal 12 4 5 4 5" xfId="32707" xr:uid="{00000000-0005-0000-0000-00004B630000}"/>
    <cellStyle name="Normal 12 4 5 5" xfId="8944" xr:uid="{00000000-0005-0000-0000-00004C630000}"/>
    <cellStyle name="Normal 12 4 5 5 2" xfId="15733" xr:uid="{00000000-0005-0000-0000-00004D630000}"/>
    <cellStyle name="Normal 12 4 5 5 2 2" xfId="29301" xr:uid="{00000000-0005-0000-0000-00004E630000}"/>
    <cellStyle name="Normal 12 4 5 5 2 2 2" xfId="56434" xr:uid="{00000000-0005-0000-0000-00004F630000}"/>
    <cellStyle name="Normal 12 4 5 5 2 3" xfId="42872" xr:uid="{00000000-0005-0000-0000-000050630000}"/>
    <cellStyle name="Normal 12 4 5 5 3" xfId="22520" xr:uid="{00000000-0005-0000-0000-000051630000}"/>
    <cellStyle name="Normal 12 4 5 5 3 2" xfId="49653" xr:uid="{00000000-0005-0000-0000-000052630000}"/>
    <cellStyle name="Normal 12 4 5 5 4" xfId="36091" xr:uid="{00000000-0005-0000-0000-000053630000}"/>
    <cellStyle name="Normal 12 4 5 6" xfId="12344" xr:uid="{00000000-0005-0000-0000-000054630000}"/>
    <cellStyle name="Normal 12 4 5 6 2" xfId="25912" xr:uid="{00000000-0005-0000-0000-000055630000}"/>
    <cellStyle name="Normal 12 4 5 6 2 2" xfId="53045" xr:uid="{00000000-0005-0000-0000-000056630000}"/>
    <cellStyle name="Normal 12 4 5 6 3" xfId="39483" xr:uid="{00000000-0005-0000-0000-000057630000}"/>
    <cellStyle name="Normal 12 4 5 7" xfId="19131" xr:uid="{00000000-0005-0000-0000-000058630000}"/>
    <cellStyle name="Normal 12 4 5 7 2" xfId="46264" xr:uid="{00000000-0005-0000-0000-000059630000}"/>
    <cellStyle name="Normal 12 4 5 8" xfId="32702" xr:uid="{00000000-0005-0000-0000-00005A630000}"/>
    <cellStyle name="Normal 12 4 6" xfId="5401" xr:uid="{00000000-0005-0000-0000-00005B630000}"/>
    <cellStyle name="Normal 12 4 6 2" xfId="5402" xr:uid="{00000000-0005-0000-0000-00005C630000}"/>
    <cellStyle name="Normal 12 4 6 2 2" xfId="8951" xr:uid="{00000000-0005-0000-0000-00005D630000}"/>
    <cellStyle name="Normal 12 4 6 2 2 2" xfId="15740" xr:uid="{00000000-0005-0000-0000-00005E630000}"/>
    <cellStyle name="Normal 12 4 6 2 2 2 2" xfId="29308" xr:uid="{00000000-0005-0000-0000-00005F630000}"/>
    <cellStyle name="Normal 12 4 6 2 2 2 2 2" xfId="56441" xr:uid="{00000000-0005-0000-0000-000060630000}"/>
    <cellStyle name="Normal 12 4 6 2 2 2 3" xfId="42879" xr:uid="{00000000-0005-0000-0000-000061630000}"/>
    <cellStyle name="Normal 12 4 6 2 2 3" xfId="22527" xr:uid="{00000000-0005-0000-0000-000062630000}"/>
    <cellStyle name="Normal 12 4 6 2 2 3 2" xfId="49660" xr:uid="{00000000-0005-0000-0000-000063630000}"/>
    <cellStyle name="Normal 12 4 6 2 2 4" xfId="36098" xr:uid="{00000000-0005-0000-0000-000064630000}"/>
    <cellStyle name="Normal 12 4 6 2 3" xfId="12351" xr:uid="{00000000-0005-0000-0000-000065630000}"/>
    <cellStyle name="Normal 12 4 6 2 3 2" xfId="25919" xr:uid="{00000000-0005-0000-0000-000066630000}"/>
    <cellStyle name="Normal 12 4 6 2 3 2 2" xfId="53052" xr:uid="{00000000-0005-0000-0000-000067630000}"/>
    <cellStyle name="Normal 12 4 6 2 3 3" xfId="39490" xr:uid="{00000000-0005-0000-0000-000068630000}"/>
    <cellStyle name="Normal 12 4 6 2 4" xfId="19138" xr:uid="{00000000-0005-0000-0000-000069630000}"/>
    <cellStyle name="Normal 12 4 6 2 4 2" xfId="46271" xr:uid="{00000000-0005-0000-0000-00006A630000}"/>
    <cellStyle name="Normal 12 4 6 2 5" xfId="32709" xr:uid="{00000000-0005-0000-0000-00006B630000}"/>
    <cellStyle name="Normal 12 4 6 3" xfId="5403" xr:uid="{00000000-0005-0000-0000-00006C630000}"/>
    <cellStyle name="Normal 12 4 6 3 2" xfId="8952" xr:uid="{00000000-0005-0000-0000-00006D630000}"/>
    <cellStyle name="Normal 12 4 6 3 2 2" xfId="15741" xr:uid="{00000000-0005-0000-0000-00006E630000}"/>
    <cellStyle name="Normal 12 4 6 3 2 2 2" xfId="29309" xr:uid="{00000000-0005-0000-0000-00006F630000}"/>
    <cellStyle name="Normal 12 4 6 3 2 2 2 2" xfId="56442" xr:uid="{00000000-0005-0000-0000-000070630000}"/>
    <cellStyle name="Normal 12 4 6 3 2 2 3" xfId="42880" xr:uid="{00000000-0005-0000-0000-000071630000}"/>
    <cellStyle name="Normal 12 4 6 3 2 3" xfId="22528" xr:uid="{00000000-0005-0000-0000-000072630000}"/>
    <cellStyle name="Normal 12 4 6 3 2 3 2" xfId="49661" xr:uid="{00000000-0005-0000-0000-000073630000}"/>
    <cellStyle name="Normal 12 4 6 3 2 4" xfId="36099" xr:uid="{00000000-0005-0000-0000-000074630000}"/>
    <cellStyle name="Normal 12 4 6 3 3" xfId="12352" xr:uid="{00000000-0005-0000-0000-000075630000}"/>
    <cellStyle name="Normal 12 4 6 3 3 2" xfId="25920" xr:uid="{00000000-0005-0000-0000-000076630000}"/>
    <cellStyle name="Normal 12 4 6 3 3 2 2" xfId="53053" xr:uid="{00000000-0005-0000-0000-000077630000}"/>
    <cellStyle name="Normal 12 4 6 3 3 3" xfId="39491" xr:uid="{00000000-0005-0000-0000-000078630000}"/>
    <cellStyle name="Normal 12 4 6 3 4" xfId="19139" xr:uid="{00000000-0005-0000-0000-000079630000}"/>
    <cellStyle name="Normal 12 4 6 3 4 2" xfId="46272" xr:uid="{00000000-0005-0000-0000-00007A630000}"/>
    <cellStyle name="Normal 12 4 6 3 5" xfId="32710" xr:uid="{00000000-0005-0000-0000-00007B630000}"/>
    <cellStyle name="Normal 12 4 6 4" xfId="8950" xr:uid="{00000000-0005-0000-0000-00007C630000}"/>
    <cellStyle name="Normal 12 4 6 4 2" xfId="15739" xr:uid="{00000000-0005-0000-0000-00007D630000}"/>
    <cellStyle name="Normal 12 4 6 4 2 2" xfId="29307" xr:uid="{00000000-0005-0000-0000-00007E630000}"/>
    <cellStyle name="Normal 12 4 6 4 2 2 2" xfId="56440" xr:uid="{00000000-0005-0000-0000-00007F630000}"/>
    <cellStyle name="Normal 12 4 6 4 2 3" xfId="42878" xr:uid="{00000000-0005-0000-0000-000080630000}"/>
    <cellStyle name="Normal 12 4 6 4 3" xfId="22526" xr:uid="{00000000-0005-0000-0000-000081630000}"/>
    <cellStyle name="Normal 12 4 6 4 3 2" xfId="49659" xr:uid="{00000000-0005-0000-0000-000082630000}"/>
    <cellStyle name="Normal 12 4 6 4 4" xfId="36097" xr:uid="{00000000-0005-0000-0000-000083630000}"/>
    <cellStyle name="Normal 12 4 6 5" xfId="12350" xr:uid="{00000000-0005-0000-0000-000084630000}"/>
    <cellStyle name="Normal 12 4 6 5 2" xfId="25918" xr:uid="{00000000-0005-0000-0000-000085630000}"/>
    <cellStyle name="Normal 12 4 6 5 2 2" xfId="53051" xr:uid="{00000000-0005-0000-0000-000086630000}"/>
    <cellStyle name="Normal 12 4 6 5 3" xfId="39489" xr:uid="{00000000-0005-0000-0000-000087630000}"/>
    <cellStyle name="Normal 12 4 6 6" xfId="19137" xr:uid="{00000000-0005-0000-0000-000088630000}"/>
    <cellStyle name="Normal 12 4 6 6 2" xfId="46270" xr:uid="{00000000-0005-0000-0000-000089630000}"/>
    <cellStyle name="Normal 12 4 6 7" xfId="32708" xr:uid="{00000000-0005-0000-0000-00008A630000}"/>
    <cellStyle name="Normal 12 4 7" xfId="5404" xr:uid="{00000000-0005-0000-0000-00008B630000}"/>
    <cellStyle name="Normal 12 4 7 2" xfId="5405" xr:uid="{00000000-0005-0000-0000-00008C630000}"/>
    <cellStyle name="Normal 12 4 7 2 2" xfId="8954" xr:uid="{00000000-0005-0000-0000-00008D630000}"/>
    <cellStyle name="Normal 12 4 7 2 2 2" xfId="15743" xr:uid="{00000000-0005-0000-0000-00008E630000}"/>
    <cellStyle name="Normal 12 4 7 2 2 2 2" xfId="29311" xr:uid="{00000000-0005-0000-0000-00008F630000}"/>
    <cellStyle name="Normal 12 4 7 2 2 2 2 2" xfId="56444" xr:uid="{00000000-0005-0000-0000-000090630000}"/>
    <cellStyle name="Normal 12 4 7 2 2 2 3" xfId="42882" xr:uid="{00000000-0005-0000-0000-000091630000}"/>
    <cellStyle name="Normal 12 4 7 2 2 3" xfId="22530" xr:uid="{00000000-0005-0000-0000-000092630000}"/>
    <cellStyle name="Normal 12 4 7 2 2 3 2" xfId="49663" xr:uid="{00000000-0005-0000-0000-000093630000}"/>
    <cellStyle name="Normal 12 4 7 2 2 4" xfId="36101" xr:uid="{00000000-0005-0000-0000-000094630000}"/>
    <cellStyle name="Normal 12 4 7 2 3" xfId="12354" xr:uid="{00000000-0005-0000-0000-000095630000}"/>
    <cellStyle name="Normal 12 4 7 2 3 2" xfId="25922" xr:uid="{00000000-0005-0000-0000-000096630000}"/>
    <cellStyle name="Normal 12 4 7 2 3 2 2" xfId="53055" xr:uid="{00000000-0005-0000-0000-000097630000}"/>
    <cellStyle name="Normal 12 4 7 2 3 3" xfId="39493" xr:uid="{00000000-0005-0000-0000-000098630000}"/>
    <cellStyle name="Normal 12 4 7 2 4" xfId="19141" xr:uid="{00000000-0005-0000-0000-000099630000}"/>
    <cellStyle name="Normal 12 4 7 2 4 2" xfId="46274" xr:uid="{00000000-0005-0000-0000-00009A630000}"/>
    <cellStyle name="Normal 12 4 7 2 5" xfId="32712" xr:uid="{00000000-0005-0000-0000-00009B630000}"/>
    <cellStyle name="Normal 12 4 7 3" xfId="8953" xr:uid="{00000000-0005-0000-0000-00009C630000}"/>
    <cellStyle name="Normal 12 4 7 3 2" xfId="15742" xr:uid="{00000000-0005-0000-0000-00009D630000}"/>
    <cellStyle name="Normal 12 4 7 3 2 2" xfId="29310" xr:uid="{00000000-0005-0000-0000-00009E630000}"/>
    <cellStyle name="Normal 12 4 7 3 2 2 2" xfId="56443" xr:uid="{00000000-0005-0000-0000-00009F630000}"/>
    <cellStyle name="Normal 12 4 7 3 2 3" xfId="42881" xr:uid="{00000000-0005-0000-0000-0000A0630000}"/>
    <cellStyle name="Normal 12 4 7 3 3" xfId="22529" xr:uid="{00000000-0005-0000-0000-0000A1630000}"/>
    <cellStyle name="Normal 12 4 7 3 3 2" xfId="49662" xr:uid="{00000000-0005-0000-0000-0000A2630000}"/>
    <cellStyle name="Normal 12 4 7 3 4" xfId="36100" xr:uid="{00000000-0005-0000-0000-0000A3630000}"/>
    <cellStyle name="Normal 12 4 7 4" xfId="12353" xr:uid="{00000000-0005-0000-0000-0000A4630000}"/>
    <cellStyle name="Normal 12 4 7 4 2" xfId="25921" xr:uid="{00000000-0005-0000-0000-0000A5630000}"/>
    <cellStyle name="Normal 12 4 7 4 2 2" xfId="53054" xr:uid="{00000000-0005-0000-0000-0000A6630000}"/>
    <cellStyle name="Normal 12 4 7 4 3" xfId="39492" xr:uid="{00000000-0005-0000-0000-0000A7630000}"/>
    <cellStyle name="Normal 12 4 7 5" xfId="19140" xr:uid="{00000000-0005-0000-0000-0000A8630000}"/>
    <cellStyle name="Normal 12 4 7 5 2" xfId="46273" xr:uid="{00000000-0005-0000-0000-0000A9630000}"/>
    <cellStyle name="Normal 12 4 7 6" xfId="32711" xr:uid="{00000000-0005-0000-0000-0000AA630000}"/>
    <cellStyle name="Normal 12 4 8" xfId="5406" xr:uid="{00000000-0005-0000-0000-0000AB630000}"/>
    <cellStyle name="Normal 12 4 8 2" xfId="8955" xr:uid="{00000000-0005-0000-0000-0000AC630000}"/>
    <cellStyle name="Normal 12 4 8 2 2" xfId="15744" xr:uid="{00000000-0005-0000-0000-0000AD630000}"/>
    <cellStyle name="Normal 12 4 8 2 2 2" xfId="29312" xr:uid="{00000000-0005-0000-0000-0000AE630000}"/>
    <cellStyle name="Normal 12 4 8 2 2 2 2" xfId="56445" xr:uid="{00000000-0005-0000-0000-0000AF630000}"/>
    <cellStyle name="Normal 12 4 8 2 2 3" xfId="42883" xr:uid="{00000000-0005-0000-0000-0000B0630000}"/>
    <cellStyle name="Normal 12 4 8 2 3" xfId="22531" xr:uid="{00000000-0005-0000-0000-0000B1630000}"/>
    <cellStyle name="Normal 12 4 8 2 3 2" xfId="49664" xr:uid="{00000000-0005-0000-0000-0000B2630000}"/>
    <cellStyle name="Normal 12 4 8 2 4" xfId="36102" xr:uid="{00000000-0005-0000-0000-0000B3630000}"/>
    <cellStyle name="Normal 12 4 8 3" xfId="12355" xr:uid="{00000000-0005-0000-0000-0000B4630000}"/>
    <cellStyle name="Normal 12 4 8 3 2" xfId="25923" xr:uid="{00000000-0005-0000-0000-0000B5630000}"/>
    <cellStyle name="Normal 12 4 8 3 2 2" xfId="53056" xr:uid="{00000000-0005-0000-0000-0000B6630000}"/>
    <cellStyle name="Normal 12 4 8 3 3" xfId="39494" xr:uid="{00000000-0005-0000-0000-0000B7630000}"/>
    <cellStyle name="Normal 12 4 8 4" xfId="19142" xr:uid="{00000000-0005-0000-0000-0000B8630000}"/>
    <cellStyle name="Normal 12 4 8 4 2" xfId="46275" xr:uid="{00000000-0005-0000-0000-0000B9630000}"/>
    <cellStyle name="Normal 12 4 8 5" xfId="32713" xr:uid="{00000000-0005-0000-0000-0000BA630000}"/>
    <cellStyle name="Normal 12 4 9" xfId="5407" xr:uid="{00000000-0005-0000-0000-0000BB630000}"/>
    <cellStyle name="Normal 12 4 9 2" xfId="8956" xr:uid="{00000000-0005-0000-0000-0000BC630000}"/>
    <cellStyle name="Normal 12 4 9 2 2" xfId="15745" xr:uid="{00000000-0005-0000-0000-0000BD630000}"/>
    <cellStyle name="Normal 12 4 9 2 2 2" xfId="29313" xr:uid="{00000000-0005-0000-0000-0000BE630000}"/>
    <cellStyle name="Normal 12 4 9 2 2 2 2" xfId="56446" xr:uid="{00000000-0005-0000-0000-0000BF630000}"/>
    <cellStyle name="Normal 12 4 9 2 2 3" xfId="42884" xr:uid="{00000000-0005-0000-0000-0000C0630000}"/>
    <cellStyle name="Normal 12 4 9 2 3" xfId="22532" xr:uid="{00000000-0005-0000-0000-0000C1630000}"/>
    <cellStyle name="Normal 12 4 9 2 3 2" xfId="49665" xr:uid="{00000000-0005-0000-0000-0000C2630000}"/>
    <cellStyle name="Normal 12 4 9 2 4" xfId="36103" xr:uid="{00000000-0005-0000-0000-0000C3630000}"/>
    <cellStyle name="Normal 12 4 9 3" xfId="12356" xr:uid="{00000000-0005-0000-0000-0000C4630000}"/>
    <cellStyle name="Normal 12 4 9 3 2" xfId="25924" xr:uid="{00000000-0005-0000-0000-0000C5630000}"/>
    <cellStyle name="Normal 12 4 9 3 2 2" xfId="53057" xr:uid="{00000000-0005-0000-0000-0000C6630000}"/>
    <cellStyle name="Normal 12 4 9 3 3" xfId="39495" xr:uid="{00000000-0005-0000-0000-0000C7630000}"/>
    <cellStyle name="Normal 12 4 9 4" xfId="19143" xr:uid="{00000000-0005-0000-0000-0000C8630000}"/>
    <cellStyle name="Normal 12 4 9 4 2" xfId="46276" xr:uid="{00000000-0005-0000-0000-0000C9630000}"/>
    <cellStyle name="Normal 12 4 9 5" xfId="32714" xr:uid="{00000000-0005-0000-0000-0000CA630000}"/>
    <cellStyle name="Normal 12 5" xfId="5408" xr:uid="{00000000-0005-0000-0000-0000CB630000}"/>
    <cellStyle name="Normal 12 5 10" xfId="32715" xr:uid="{00000000-0005-0000-0000-0000CC630000}"/>
    <cellStyle name="Normal 12 5 2" xfId="5409" xr:uid="{00000000-0005-0000-0000-0000CD630000}"/>
    <cellStyle name="Normal 12 5 2 2" xfId="5410" xr:uid="{00000000-0005-0000-0000-0000CE630000}"/>
    <cellStyle name="Normal 12 5 2 2 2" xfId="5411" xr:uid="{00000000-0005-0000-0000-0000CF630000}"/>
    <cellStyle name="Normal 12 5 2 2 2 2" xfId="8960" xr:uid="{00000000-0005-0000-0000-0000D0630000}"/>
    <cellStyle name="Normal 12 5 2 2 2 2 2" xfId="15749" xr:uid="{00000000-0005-0000-0000-0000D1630000}"/>
    <cellStyle name="Normal 12 5 2 2 2 2 2 2" xfId="29317" xr:uid="{00000000-0005-0000-0000-0000D2630000}"/>
    <cellStyle name="Normal 12 5 2 2 2 2 2 2 2" xfId="56450" xr:uid="{00000000-0005-0000-0000-0000D3630000}"/>
    <cellStyle name="Normal 12 5 2 2 2 2 2 3" xfId="42888" xr:uid="{00000000-0005-0000-0000-0000D4630000}"/>
    <cellStyle name="Normal 12 5 2 2 2 2 3" xfId="22536" xr:uid="{00000000-0005-0000-0000-0000D5630000}"/>
    <cellStyle name="Normal 12 5 2 2 2 2 3 2" xfId="49669" xr:uid="{00000000-0005-0000-0000-0000D6630000}"/>
    <cellStyle name="Normal 12 5 2 2 2 2 4" xfId="36107" xr:uid="{00000000-0005-0000-0000-0000D7630000}"/>
    <cellStyle name="Normal 12 5 2 2 2 3" xfId="12360" xr:uid="{00000000-0005-0000-0000-0000D8630000}"/>
    <cellStyle name="Normal 12 5 2 2 2 3 2" xfId="25928" xr:uid="{00000000-0005-0000-0000-0000D9630000}"/>
    <cellStyle name="Normal 12 5 2 2 2 3 2 2" xfId="53061" xr:uid="{00000000-0005-0000-0000-0000DA630000}"/>
    <cellStyle name="Normal 12 5 2 2 2 3 3" xfId="39499" xr:uid="{00000000-0005-0000-0000-0000DB630000}"/>
    <cellStyle name="Normal 12 5 2 2 2 4" xfId="19147" xr:uid="{00000000-0005-0000-0000-0000DC630000}"/>
    <cellStyle name="Normal 12 5 2 2 2 4 2" xfId="46280" xr:uid="{00000000-0005-0000-0000-0000DD630000}"/>
    <cellStyle name="Normal 12 5 2 2 2 5" xfId="32718" xr:uid="{00000000-0005-0000-0000-0000DE630000}"/>
    <cellStyle name="Normal 12 5 2 2 3" xfId="5412" xr:uid="{00000000-0005-0000-0000-0000DF630000}"/>
    <cellStyle name="Normal 12 5 2 2 3 2" xfId="8961" xr:uid="{00000000-0005-0000-0000-0000E0630000}"/>
    <cellStyle name="Normal 12 5 2 2 3 2 2" xfId="15750" xr:uid="{00000000-0005-0000-0000-0000E1630000}"/>
    <cellStyle name="Normal 12 5 2 2 3 2 2 2" xfId="29318" xr:uid="{00000000-0005-0000-0000-0000E2630000}"/>
    <cellStyle name="Normal 12 5 2 2 3 2 2 2 2" xfId="56451" xr:uid="{00000000-0005-0000-0000-0000E3630000}"/>
    <cellStyle name="Normal 12 5 2 2 3 2 2 3" xfId="42889" xr:uid="{00000000-0005-0000-0000-0000E4630000}"/>
    <cellStyle name="Normal 12 5 2 2 3 2 3" xfId="22537" xr:uid="{00000000-0005-0000-0000-0000E5630000}"/>
    <cellStyle name="Normal 12 5 2 2 3 2 3 2" xfId="49670" xr:uid="{00000000-0005-0000-0000-0000E6630000}"/>
    <cellStyle name="Normal 12 5 2 2 3 2 4" xfId="36108" xr:uid="{00000000-0005-0000-0000-0000E7630000}"/>
    <cellStyle name="Normal 12 5 2 2 3 3" xfId="12361" xr:uid="{00000000-0005-0000-0000-0000E8630000}"/>
    <cellStyle name="Normal 12 5 2 2 3 3 2" xfId="25929" xr:uid="{00000000-0005-0000-0000-0000E9630000}"/>
    <cellStyle name="Normal 12 5 2 2 3 3 2 2" xfId="53062" xr:uid="{00000000-0005-0000-0000-0000EA630000}"/>
    <cellStyle name="Normal 12 5 2 2 3 3 3" xfId="39500" xr:uid="{00000000-0005-0000-0000-0000EB630000}"/>
    <cellStyle name="Normal 12 5 2 2 3 4" xfId="19148" xr:uid="{00000000-0005-0000-0000-0000EC630000}"/>
    <cellStyle name="Normal 12 5 2 2 3 4 2" xfId="46281" xr:uid="{00000000-0005-0000-0000-0000ED630000}"/>
    <cellStyle name="Normal 12 5 2 2 3 5" xfId="32719" xr:uid="{00000000-0005-0000-0000-0000EE630000}"/>
    <cellStyle name="Normal 12 5 2 2 4" xfId="8959" xr:uid="{00000000-0005-0000-0000-0000EF630000}"/>
    <cellStyle name="Normal 12 5 2 2 4 2" xfId="15748" xr:uid="{00000000-0005-0000-0000-0000F0630000}"/>
    <cellStyle name="Normal 12 5 2 2 4 2 2" xfId="29316" xr:uid="{00000000-0005-0000-0000-0000F1630000}"/>
    <cellStyle name="Normal 12 5 2 2 4 2 2 2" xfId="56449" xr:uid="{00000000-0005-0000-0000-0000F2630000}"/>
    <cellStyle name="Normal 12 5 2 2 4 2 3" xfId="42887" xr:uid="{00000000-0005-0000-0000-0000F3630000}"/>
    <cellStyle name="Normal 12 5 2 2 4 3" xfId="22535" xr:uid="{00000000-0005-0000-0000-0000F4630000}"/>
    <cellStyle name="Normal 12 5 2 2 4 3 2" xfId="49668" xr:uid="{00000000-0005-0000-0000-0000F5630000}"/>
    <cellStyle name="Normal 12 5 2 2 4 4" xfId="36106" xr:uid="{00000000-0005-0000-0000-0000F6630000}"/>
    <cellStyle name="Normal 12 5 2 2 5" xfId="12359" xr:uid="{00000000-0005-0000-0000-0000F7630000}"/>
    <cellStyle name="Normal 12 5 2 2 5 2" xfId="25927" xr:uid="{00000000-0005-0000-0000-0000F8630000}"/>
    <cellStyle name="Normal 12 5 2 2 5 2 2" xfId="53060" xr:uid="{00000000-0005-0000-0000-0000F9630000}"/>
    <cellStyle name="Normal 12 5 2 2 5 3" xfId="39498" xr:uid="{00000000-0005-0000-0000-0000FA630000}"/>
    <cellStyle name="Normal 12 5 2 2 6" xfId="19146" xr:uid="{00000000-0005-0000-0000-0000FB630000}"/>
    <cellStyle name="Normal 12 5 2 2 6 2" xfId="46279" xr:uid="{00000000-0005-0000-0000-0000FC630000}"/>
    <cellStyle name="Normal 12 5 2 2 7" xfId="32717" xr:uid="{00000000-0005-0000-0000-0000FD630000}"/>
    <cellStyle name="Normal 12 5 2 3" xfId="5413" xr:uid="{00000000-0005-0000-0000-0000FE630000}"/>
    <cellStyle name="Normal 12 5 2 3 2" xfId="5414" xr:uid="{00000000-0005-0000-0000-0000FF630000}"/>
    <cellStyle name="Normal 12 5 2 3 2 2" xfId="8963" xr:uid="{00000000-0005-0000-0000-000000640000}"/>
    <cellStyle name="Normal 12 5 2 3 2 2 2" xfId="15752" xr:uid="{00000000-0005-0000-0000-000001640000}"/>
    <cellStyle name="Normal 12 5 2 3 2 2 2 2" xfId="29320" xr:uid="{00000000-0005-0000-0000-000002640000}"/>
    <cellStyle name="Normal 12 5 2 3 2 2 2 2 2" xfId="56453" xr:uid="{00000000-0005-0000-0000-000003640000}"/>
    <cellStyle name="Normal 12 5 2 3 2 2 2 3" xfId="42891" xr:uid="{00000000-0005-0000-0000-000004640000}"/>
    <cellStyle name="Normal 12 5 2 3 2 2 3" xfId="22539" xr:uid="{00000000-0005-0000-0000-000005640000}"/>
    <cellStyle name="Normal 12 5 2 3 2 2 3 2" xfId="49672" xr:uid="{00000000-0005-0000-0000-000006640000}"/>
    <cellStyle name="Normal 12 5 2 3 2 2 4" xfId="36110" xr:uid="{00000000-0005-0000-0000-000007640000}"/>
    <cellStyle name="Normal 12 5 2 3 2 3" xfId="12363" xr:uid="{00000000-0005-0000-0000-000008640000}"/>
    <cellStyle name="Normal 12 5 2 3 2 3 2" xfId="25931" xr:uid="{00000000-0005-0000-0000-000009640000}"/>
    <cellStyle name="Normal 12 5 2 3 2 3 2 2" xfId="53064" xr:uid="{00000000-0005-0000-0000-00000A640000}"/>
    <cellStyle name="Normal 12 5 2 3 2 3 3" xfId="39502" xr:uid="{00000000-0005-0000-0000-00000B640000}"/>
    <cellStyle name="Normal 12 5 2 3 2 4" xfId="19150" xr:uid="{00000000-0005-0000-0000-00000C640000}"/>
    <cellStyle name="Normal 12 5 2 3 2 4 2" xfId="46283" xr:uid="{00000000-0005-0000-0000-00000D640000}"/>
    <cellStyle name="Normal 12 5 2 3 2 5" xfId="32721" xr:uid="{00000000-0005-0000-0000-00000E640000}"/>
    <cellStyle name="Normal 12 5 2 3 3" xfId="8962" xr:uid="{00000000-0005-0000-0000-00000F640000}"/>
    <cellStyle name="Normal 12 5 2 3 3 2" xfId="15751" xr:uid="{00000000-0005-0000-0000-000010640000}"/>
    <cellStyle name="Normal 12 5 2 3 3 2 2" xfId="29319" xr:uid="{00000000-0005-0000-0000-000011640000}"/>
    <cellStyle name="Normal 12 5 2 3 3 2 2 2" xfId="56452" xr:uid="{00000000-0005-0000-0000-000012640000}"/>
    <cellStyle name="Normal 12 5 2 3 3 2 3" xfId="42890" xr:uid="{00000000-0005-0000-0000-000013640000}"/>
    <cellStyle name="Normal 12 5 2 3 3 3" xfId="22538" xr:uid="{00000000-0005-0000-0000-000014640000}"/>
    <cellStyle name="Normal 12 5 2 3 3 3 2" xfId="49671" xr:uid="{00000000-0005-0000-0000-000015640000}"/>
    <cellStyle name="Normal 12 5 2 3 3 4" xfId="36109" xr:uid="{00000000-0005-0000-0000-000016640000}"/>
    <cellStyle name="Normal 12 5 2 3 4" xfId="12362" xr:uid="{00000000-0005-0000-0000-000017640000}"/>
    <cellStyle name="Normal 12 5 2 3 4 2" xfId="25930" xr:uid="{00000000-0005-0000-0000-000018640000}"/>
    <cellStyle name="Normal 12 5 2 3 4 2 2" xfId="53063" xr:uid="{00000000-0005-0000-0000-000019640000}"/>
    <cellStyle name="Normal 12 5 2 3 4 3" xfId="39501" xr:uid="{00000000-0005-0000-0000-00001A640000}"/>
    <cellStyle name="Normal 12 5 2 3 5" xfId="19149" xr:uid="{00000000-0005-0000-0000-00001B640000}"/>
    <cellStyle name="Normal 12 5 2 3 5 2" xfId="46282" xr:uid="{00000000-0005-0000-0000-00001C640000}"/>
    <cellStyle name="Normal 12 5 2 3 6" xfId="32720" xr:uid="{00000000-0005-0000-0000-00001D640000}"/>
    <cellStyle name="Normal 12 5 2 4" xfId="5415" xr:uid="{00000000-0005-0000-0000-00001E640000}"/>
    <cellStyle name="Normal 12 5 2 4 2" xfId="8964" xr:uid="{00000000-0005-0000-0000-00001F640000}"/>
    <cellStyle name="Normal 12 5 2 4 2 2" xfId="15753" xr:uid="{00000000-0005-0000-0000-000020640000}"/>
    <cellStyle name="Normal 12 5 2 4 2 2 2" xfId="29321" xr:uid="{00000000-0005-0000-0000-000021640000}"/>
    <cellStyle name="Normal 12 5 2 4 2 2 2 2" xfId="56454" xr:uid="{00000000-0005-0000-0000-000022640000}"/>
    <cellStyle name="Normal 12 5 2 4 2 2 3" xfId="42892" xr:uid="{00000000-0005-0000-0000-000023640000}"/>
    <cellStyle name="Normal 12 5 2 4 2 3" xfId="22540" xr:uid="{00000000-0005-0000-0000-000024640000}"/>
    <cellStyle name="Normal 12 5 2 4 2 3 2" xfId="49673" xr:uid="{00000000-0005-0000-0000-000025640000}"/>
    <cellStyle name="Normal 12 5 2 4 2 4" xfId="36111" xr:uid="{00000000-0005-0000-0000-000026640000}"/>
    <cellStyle name="Normal 12 5 2 4 3" xfId="12364" xr:uid="{00000000-0005-0000-0000-000027640000}"/>
    <cellStyle name="Normal 12 5 2 4 3 2" xfId="25932" xr:uid="{00000000-0005-0000-0000-000028640000}"/>
    <cellStyle name="Normal 12 5 2 4 3 2 2" xfId="53065" xr:uid="{00000000-0005-0000-0000-000029640000}"/>
    <cellStyle name="Normal 12 5 2 4 3 3" xfId="39503" xr:uid="{00000000-0005-0000-0000-00002A640000}"/>
    <cellStyle name="Normal 12 5 2 4 4" xfId="19151" xr:uid="{00000000-0005-0000-0000-00002B640000}"/>
    <cellStyle name="Normal 12 5 2 4 4 2" xfId="46284" xr:uid="{00000000-0005-0000-0000-00002C640000}"/>
    <cellStyle name="Normal 12 5 2 4 5" xfId="32722" xr:uid="{00000000-0005-0000-0000-00002D640000}"/>
    <cellStyle name="Normal 12 5 2 5" xfId="5416" xr:uid="{00000000-0005-0000-0000-00002E640000}"/>
    <cellStyle name="Normal 12 5 2 5 2" xfId="8965" xr:uid="{00000000-0005-0000-0000-00002F640000}"/>
    <cellStyle name="Normal 12 5 2 5 2 2" xfId="15754" xr:uid="{00000000-0005-0000-0000-000030640000}"/>
    <cellStyle name="Normal 12 5 2 5 2 2 2" xfId="29322" xr:uid="{00000000-0005-0000-0000-000031640000}"/>
    <cellStyle name="Normal 12 5 2 5 2 2 2 2" xfId="56455" xr:uid="{00000000-0005-0000-0000-000032640000}"/>
    <cellStyle name="Normal 12 5 2 5 2 2 3" xfId="42893" xr:uid="{00000000-0005-0000-0000-000033640000}"/>
    <cellStyle name="Normal 12 5 2 5 2 3" xfId="22541" xr:uid="{00000000-0005-0000-0000-000034640000}"/>
    <cellStyle name="Normal 12 5 2 5 2 3 2" xfId="49674" xr:uid="{00000000-0005-0000-0000-000035640000}"/>
    <cellStyle name="Normal 12 5 2 5 2 4" xfId="36112" xr:uid="{00000000-0005-0000-0000-000036640000}"/>
    <cellStyle name="Normal 12 5 2 5 3" xfId="12365" xr:uid="{00000000-0005-0000-0000-000037640000}"/>
    <cellStyle name="Normal 12 5 2 5 3 2" xfId="25933" xr:uid="{00000000-0005-0000-0000-000038640000}"/>
    <cellStyle name="Normal 12 5 2 5 3 2 2" xfId="53066" xr:uid="{00000000-0005-0000-0000-000039640000}"/>
    <cellStyle name="Normal 12 5 2 5 3 3" xfId="39504" xr:uid="{00000000-0005-0000-0000-00003A640000}"/>
    <cellStyle name="Normal 12 5 2 5 4" xfId="19152" xr:uid="{00000000-0005-0000-0000-00003B640000}"/>
    <cellStyle name="Normal 12 5 2 5 4 2" xfId="46285" xr:uid="{00000000-0005-0000-0000-00003C640000}"/>
    <cellStyle name="Normal 12 5 2 5 5" xfId="32723" xr:uid="{00000000-0005-0000-0000-00003D640000}"/>
    <cellStyle name="Normal 12 5 2 6" xfId="8958" xr:uid="{00000000-0005-0000-0000-00003E640000}"/>
    <cellStyle name="Normal 12 5 2 6 2" xfId="15747" xr:uid="{00000000-0005-0000-0000-00003F640000}"/>
    <cellStyle name="Normal 12 5 2 6 2 2" xfId="29315" xr:uid="{00000000-0005-0000-0000-000040640000}"/>
    <cellStyle name="Normal 12 5 2 6 2 2 2" xfId="56448" xr:uid="{00000000-0005-0000-0000-000041640000}"/>
    <cellStyle name="Normal 12 5 2 6 2 3" xfId="42886" xr:uid="{00000000-0005-0000-0000-000042640000}"/>
    <cellStyle name="Normal 12 5 2 6 3" xfId="22534" xr:uid="{00000000-0005-0000-0000-000043640000}"/>
    <cellStyle name="Normal 12 5 2 6 3 2" xfId="49667" xr:uid="{00000000-0005-0000-0000-000044640000}"/>
    <cellStyle name="Normal 12 5 2 6 4" xfId="36105" xr:uid="{00000000-0005-0000-0000-000045640000}"/>
    <cellStyle name="Normal 12 5 2 7" xfId="12358" xr:uid="{00000000-0005-0000-0000-000046640000}"/>
    <cellStyle name="Normal 12 5 2 7 2" xfId="25926" xr:uid="{00000000-0005-0000-0000-000047640000}"/>
    <cellStyle name="Normal 12 5 2 7 2 2" xfId="53059" xr:uid="{00000000-0005-0000-0000-000048640000}"/>
    <cellStyle name="Normal 12 5 2 7 3" xfId="39497" xr:uid="{00000000-0005-0000-0000-000049640000}"/>
    <cellStyle name="Normal 12 5 2 8" xfId="19145" xr:uid="{00000000-0005-0000-0000-00004A640000}"/>
    <cellStyle name="Normal 12 5 2 8 2" xfId="46278" xr:uid="{00000000-0005-0000-0000-00004B640000}"/>
    <cellStyle name="Normal 12 5 2 9" xfId="32716" xr:uid="{00000000-0005-0000-0000-00004C640000}"/>
    <cellStyle name="Normal 12 5 3" xfId="5417" xr:uid="{00000000-0005-0000-0000-00004D640000}"/>
    <cellStyle name="Normal 12 5 3 2" xfId="5418" xr:uid="{00000000-0005-0000-0000-00004E640000}"/>
    <cellStyle name="Normal 12 5 3 2 2" xfId="8967" xr:uid="{00000000-0005-0000-0000-00004F640000}"/>
    <cellStyle name="Normal 12 5 3 2 2 2" xfId="15756" xr:uid="{00000000-0005-0000-0000-000050640000}"/>
    <cellStyle name="Normal 12 5 3 2 2 2 2" xfId="29324" xr:uid="{00000000-0005-0000-0000-000051640000}"/>
    <cellStyle name="Normal 12 5 3 2 2 2 2 2" xfId="56457" xr:uid="{00000000-0005-0000-0000-000052640000}"/>
    <cellStyle name="Normal 12 5 3 2 2 2 3" xfId="42895" xr:uid="{00000000-0005-0000-0000-000053640000}"/>
    <cellStyle name="Normal 12 5 3 2 2 3" xfId="22543" xr:uid="{00000000-0005-0000-0000-000054640000}"/>
    <cellStyle name="Normal 12 5 3 2 2 3 2" xfId="49676" xr:uid="{00000000-0005-0000-0000-000055640000}"/>
    <cellStyle name="Normal 12 5 3 2 2 4" xfId="36114" xr:uid="{00000000-0005-0000-0000-000056640000}"/>
    <cellStyle name="Normal 12 5 3 2 3" xfId="12367" xr:uid="{00000000-0005-0000-0000-000057640000}"/>
    <cellStyle name="Normal 12 5 3 2 3 2" xfId="25935" xr:uid="{00000000-0005-0000-0000-000058640000}"/>
    <cellStyle name="Normal 12 5 3 2 3 2 2" xfId="53068" xr:uid="{00000000-0005-0000-0000-000059640000}"/>
    <cellStyle name="Normal 12 5 3 2 3 3" xfId="39506" xr:uid="{00000000-0005-0000-0000-00005A640000}"/>
    <cellStyle name="Normal 12 5 3 2 4" xfId="19154" xr:uid="{00000000-0005-0000-0000-00005B640000}"/>
    <cellStyle name="Normal 12 5 3 2 4 2" xfId="46287" xr:uid="{00000000-0005-0000-0000-00005C640000}"/>
    <cellStyle name="Normal 12 5 3 2 5" xfId="32725" xr:uid="{00000000-0005-0000-0000-00005D640000}"/>
    <cellStyle name="Normal 12 5 3 3" xfId="5419" xr:uid="{00000000-0005-0000-0000-00005E640000}"/>
    <cellStyle name="Normal 12 5 3 3 2" xfId="8968" xr:uid="{00000000-0005-0000-0000-00005F640000}"/>
    <cellStyle name="Normal 12 5 3 3 2 2" xfId="15757" xr:uid="{00000000-0005-0000-0000-000060640000}"/>
    <cellStyle name="Normal 12 5 3 3 2 2 2" xfId="29325" xr:uid="{00000000-0005-0000-0000-000061640000}"/>
    <cellStyle name="Normal 12 5 3 3 2 2 2 2" xfId="56458" xr:uid="{00000000-0005-0000-0000-000062640000}"/>
    <cellStyle name="Normal 12 5 3 3 2 2 3" xfId="42896" xr:uid="{00000000-0005-0000-0000-000063640000}"/>
    <cellStyle name="Normal 12 5 3 3 2 3" xfId="22544" xr:uid="{00000000-0005-0000-0000-000064640000}"/>
    <cellStyle name="Normal 12 5 3 3 2 3 2" xfId="49677" xr:uid="{00000000-0005-0000-0000-000065640000}"/>
    <cellStyle name="Normal 12 5 3 3 2 4" xfId="36115" xr:uid="{00000000-0005-0000-0000-000066640000}"/>
    <cellStyle name="Normal 12 5 3 3 3" xfId="12368" xr:uid="{00000000-0005-0000-0000-000067640000}"/>
    <cellStyle name="Normal 12 5 3 3 3 2" xfId="25936" xr:uid="{00000000-0005-0000-0000-000068640000}"/>
    <cellStyle name="Normal 12 5 3 3 3 2 2" xfId="53069" xr:uid="{00000000-0005-0000-0000-000069640000}"/>
    <cellStyle name="Normal 12 5 3 3 3 3" xfId="39507" xr:uid="{00000000-0005-0000-0000-00006A640000}"/>
    <cellStyle name="Normal 12 5 3 3 4" xfId="19155" xr:uid="{00000000-0005-0000-0000-00006B640000}"/>
    <cellStyle name="Normal 12 5 3 3 4 2" xfId="46288" xr:uid="{00000000-0005-0000-0000-00006C640000}"/>
    <cellStyle name="Normal 12 5 3 3 5" xfId="32726" xr:uid="{00000000-0005-0000-0000-00006D640000}"/>
    <cellStyle name="Normal 12 5 3 4" xfId="8966" xr:uid="{00000000-0005-0000-0000-00006E640000}"/>
    <cellStyle name="Normal 12 5 3 4 2" xfId="15755" xr:uid="{00000000-0005-0000-0000-00006F640000}"/>
    <cellStyle name="Normal 12 5 3 4 2 2" xfId="29323" xr:uid="{00000000-0005-0000-0000-000070640000}"/>
    <cellStyle name="Normal 12 5 3 4 2 2 2" xfId="56456" xr:uid="{00000000-0005-0000-0000-000071640000}"/>
    <cellStyle name="Normal 12 5 3 4 2 3" xfId="42894" xr:uid="{00000000-0005-0000-0000-000072640000}"/>
    <cellStyle name="Normal 12 5 3 4 3" xfId="22542" xr:uid="{00000000-0005-0000-0000-000073640000}"/>
    <cellStyle name="Normal 12 5 3 4 3 2" xfId="49675" xr:uid="{00000000-0005-0000-0000-000074640000}"/>
    <cellStyle name="Normal 12 5 3 4 4" xfId="36113" xr:uid="{00000000-0005-0000-0000-000075640000}"/>
    <cellStyle name="Normal 12 5 3 5" xfId="12366" xr:uid="{00000000-0005-0000-0000-000076640000}"/>
    <cellStyle name="Normal 12 5 3 5 2" xfId="25934" xr:uid="{00000000-0005-0000-0000-000077640000}"/>
    <cellStyle name="Normal 12 5 3 5 2 2" xfId="53067" xr:uid="{00000000-0005-0000-0000-000078640000}"/>
    <cellStyle name="Normal 12 5 3 5 3" xfId="39505" xr:uid="{00000000-0005-0000-0000-000079640000}"/>
    <cellStyle name="Normal 12 5 3 6" xfId="19153" xr:uid="{00000000-0005-0000-0000-00007A640000}"/>
    <cellStyle name="Normal 12 5 3 6 2" xfId="46286" xr:uid="{00000000-0005-0000-0000-00007B640000}"/>
    <cellStyle name="Normal 12 5 3 7" xfId="32724" xr:uid="{00000000-0005-0000-0000-00007C640000}"/>
    <cellStyle name="Normal 12 5 4" xfId="5420" xr:uid="{00000000-0005-0000-0000-00007D640000}"/>
    <cellStyle name="Normal 12 5 4 2" xfId="5421" xr:uid="{00000000-0005-0000-0000-00007E640000}"/>
    <cellStyle name="Normal 12 5 4 2 2" xfId="8970" xr:uid="{00000000-0005-0000-0000-00007F640000}"/>
    <cellStyle name="Normal 12 5 4 2 2 2" xfId="15759" xr:uid="{00000000-0005-0000-0000-000080640000}"/>
    <cellStyle name="Normal 12 5 4 2 2 2 2" xfId="29327" xr:uid="{00000000-0005-0000-0000-000081640000}"/>
    <cellStyle name="Normal 12 5 4 2 2 2 2 2" xfId="56460" xr:uid="{00000000-0005-0000-0000-000082640000}"/>
    <cellStyle name="Normal 12 5 4 2 2 2 3" xfId="42898" xr:uid="{00000000-0005-0000-0000-000083640000}"/>
    <cellStyle name="Normal 12 5 4 2 2 3" xfId="22546" xr:uid="{00000000-0005-0000-0000-000084640000}"/>
    <cellStyle name="Normal 12 5 4 2 2 3 2" xfId="49679" xr:uid="{00000000-0005-0000-0000-000085640000}"/>
    <cellStyle name="Normal 12 5 4 2 2 4" xfId="36117" xr:uid="{00000000-0005-0000-0000-000086640000}"/>
    <cellStyle name="Normal 12 5 4 2 3" xfId="12370" xr:uid="{00000000-0005-0000-0000-000087640000}"/>
    <cellStyle name="Normal 12 5 4 2 3 2" xfId="25938" xr:uid="{00000000-0005-0000-0000-000088640000}"/>
    <cellStyle name="Normal 12 5 4 2 3 2 2" xfId="53071" xr:uid="{00000000-0005-0000-0000-000089640000}"/>
    <cellStyle name="Normal 12 5 4 2 3 3" xfId="39509" xr:uid="{00000000-0005-0000-0000-00008A640000}"/>
    <cellStyle name="Normal 12 5 4 2 4" xfId="19157" xr:uid="{00000000-0005-0000-0000-00008B640000}"/>
    <cellStyle name="Normal 12 5 4 2 4 2" xfId="46290" xr:uid="{00000000-0005-0000-0000-00008C640000}"/>
    <cellStyle name="Normal 12 5 4 2 5" xfId="32728" xr:uid="{00000000-0005-0000-0000-00008D640000}"/>
    <cellStyle name="Normal 12 5 4 3" xfId="8969" xr:uid="{00000000-0005-0000-0000-00008E640000}"/>
    <cellStyle name="Normal 12 5 4 3 2" xfId="15758" xr:uid="{00000000-0005-0000-0000-00008F640000}"/>
    <cellStyle name="Normal 12 5 4 3 2 2" xfId="29326" xr:uid="{00000000-0005-0000-0000-000090640000}"/>
    <cellStyle name="Normal 12 5 4 3 2 2 2" xfId="56459" xr:uid="{00000000-0005-0000-0000-000091640000}"/>
    <cellStyle name="Normal 12 5 4 3 2 3" xfId="42897" xr:uid="{00000000-0005-0000-0000-000092640000}"/>
    <cellStyle name="Normal 12 5 4 3 3" xfId="22545" xr:uid="{00000000-0005-0000-0000-000093640000}"/>
    <cellStyle name="Normal 12 5 4 3 3 2" xfId="49678" xr:uid="{00000000-0005-0000-0000-000094640000}"/>
    <cellStyle name="Normal 12 5 4 3 4" xfId="36116" xr:uid="{00000000-0005-0000-0000-000095640000}"/>
    <cellStyle name="Normal 12 5 4 4" xfId="12369" xr:uid="{00000000-0005-0000-0000-000096640000}"/>
    <cellStyle name="Normal 12 5 4 4 2" xfId="25937" xr:uid="{00000000-0005-0000-0000-000097640000}"/>
    <cellStyle name="Normal 12 5 4 4 2 2" xfId="53070" xr:uid="{00000000-0005-0000-0000-000098640000}"/>
    <cellStyle name="Normal 12 5 4 4 3" xfId="39508" xr:uid="{00000000-0005-0000-0000-000099640000}"/>
    <cellStyle name="Normal 12 5 4 5" xfId="19156" xr:uid="{00000000-0005-0000-0000-00009A640000}"/>
    <cellStyle name="Normal 12 5 4 5 2" xfId="46289" xr:uid="{00000000-0005-0000-0000-00009B640000}"/>
    <cellStyle name="Normal 12 5 4 6" xfId="32727" xr:uid="{00000000-0005-0000-0000-00009C640000}"/>
    <cellStyle name="Normal 12 5 5" xfId="5422" xr:uid="{00000000-0005-0000-0000-00009D640000}"/>
    <cellStyle name="Normal 12 5 5 2" xfId="8971" xr:uid="{00000000-0005-0000-0000-00009E640000}"/>
    <cellStyle name="Normal 12 5 5 2 2" xfId="15760" xr:uid="{00000000-0005-0000-0000-00009F640000}"/>
    <cellStyle name="Normal 12 5 5 2 2 2" xfId="29328" xr:uid="{00000000-0005-0000-0000-0000A0640000}"/>
    <cellStyle name="Normal 12 5 5 2 2 2 2" xfId="56461" xr:uid="{00000000-0005-0000-0000-0000A1640000}"/>
    <cellStyle name="Normal 12 5 5 2 2 3" xfId="42899" xr:uid="{00000000-0005-0000-0000-0000A2640000}"/>
    <cellStyle name="Normal 12 5 5 2 3" xfId="22547" xr:uid="{00000000-0005-0000-0000-0000A3640000}"/>
    <cellStyle name="Normal 12 5 5 2 3 2" xfId="49680" xr:uid="{00000000-0005-0000-0000-0000A4640000}"/>
    <cellStyle name="Normal 12 5 5 2 4" xfId="36118" xr:uid="{00000000-0005-0000-0000-0000A5640000}"/>
    <cellStyle name="Normal 12 5 5 3" xfId="12371" xr:uid="{00000000-0005-0000-0000-0000A6640000}"/>
    <cellStyle name="Normal 12 5 5 3 2" xfId="25939" xr:uid="{00000000-0005-0000-0000-0000A7640000}"/>
    <cellStyle name="Normal 12 5 5 3 2 2" xfId="53072" xr:uid="{00000000-0005-0000-0000-0000A8640000}"/>
    <cellStyle name="Normal 12 5 5 3 3" xfId="39510" xr:uid="{00000000-0005-0000-0000-0000A9640000}"/>
    <cellStyle name="Normal 12 5 5 4" xfId="19158" xr:uid="{00000000-0005-0000-0000-0000AA640000}"/>
    <cellStyle name="Normal 12 5 5 4 2" xfId="46291" xr:uid="{00000000-0005-0000-0000-0000AB640000}"/>
    <cellStyle name="Normal 12 5 5 5" xfId="32729" xr:uid="{00000000-0005-0000-0000-0000AC640000}"/>
    <cellStyle name="Normal 12 5 6" xfId="5423" xr:uid="{00000000-0005-0000-0000-0000AD640000}"/>
    <cellStyle name="Normal 12 5 6 2" xfId="8972" xr:uid="{00000000-0005-0000-0000-0000AE640000}"/>
    <cellStyle name="Normal 12 5 6 2 2" xfId="15761" xr:uid="{00000000-0005-0000-0000-0000AF640000}"/>
    <cellStyle name="Normal 12 5 6 2 2 2" xfId="29329" xr:uid="{00000000-0005-0000-0000-0000B0640000}"/>
    <cellStyle name="Normal 12 5 6 2 2 2 2" xfId="56462" xr:uid="{00000000-0005-0000-0000-0000B1640000}"/>
    <cellStyle name="Normal 12 5 6 2 2 3" xfId="42900" xr:uid="{00000000-0005-0000-0000-0000B2640000}"/>
    <cellStyle name="Normal 12 5 6 2 3" xfId="22548" xr:uid="{00000000-0005-0000-0000-0000B3640000}"/>
    <cellStyle name="Normal 12 5 6 2 3 2" xfId="49681" xr:uid="{00000000-0005-0000-0000-0000B4640000}"/>
    <cellStyle name="Normal 12 5 6 2 4" xfId="36119" xr:uid="{00000000-0005-0000-0000-0000B5640000}"/>
    <cellStyle name="Normal 12 5 6 3" xfId="12372" xr:uid="{00000000-0005-0000-0000-0000B6640000}"/>
    <cellStyle name="Normal 12 5 6 3 2" xfId="25940" xr:uid="{00000000-0005-0000-0000-0000B7640000}"/>
    <cellStyle name="Normal 12 5 6 3 2 2" xfId="53073" xr:uid="{00000000-0005-0000-0000-0000B8640000}"/>
    <cellStyle name="Normal 12 5 6 3 3" xfId="39511" xr:uid="{00000000-0005-0000-0000-0000B9640000}"/>
    <cellStyle name="Normal 12 5 6 4" xfId="19159" xr:uid="{00000000-0005-0000-0000-0000BA640000}"/>
    <cellStyle name="Normal 12 5 6 4 2" xfId="46292" xr:uid="{00000000-0005-0000-0000-0000BB640000}"/>
    <cellStyle name="Normal 12 5 6 5" xfId="32730" xr:uid="{00000000-0005-0000-0000-0000BC640000}"/>
    <cellStyle name="Normal 12 5 7" xfId="8957" xr:uid="{00000000-0005-0000-0000-0000BD640000}"/>
    <cellStyle name="Normal 12 5 7 2" xfId="15746" xr:uid="{00000000-0005-0000-0000-0000BE640000}"/>
    <cellStyle name="Normal 12 5 7 2 2" xfId="29314" xr:uid="{00000000-0005-0000-0000-0000BF640000}"/>
    <cellStyle name="Normal 12 5 7 2 2 2" xfId="56447" xr:uid="{00000000-0005-0000-0000-0000C0640000}"/>
    <cellStyle name="Normal 12 5 7 2 3" xfId="42885" xr:uid="{00000000-0005-0000-0000-0000C1640000}"/>
    <cellStyle name="Normal 12 5 7 3" xfId="22533" xr:uid="{00000000-0005-0000-0000-0000C2640000}"/>
    <cellStyle name="Normal 12 5 7 3 2" xfId="49666" xr:uid="{00000000-0005-0000-0000-0000C3640000}"/>
    <cellStyle name="Normal 12 5 7 4" xfId="36104" xr:uid="{00000000-0005-0000-0000-0000C4640000}"/>
    <cellStyle name="Normal 12 5 8" xfId="12357" xr:uid="{00000000-0005-0000-0000-0000C5640000}"/>
    <cellStyle name="Normal 12 5 8 2" xfId="25925" xr:uid="{00000000-0005-0000-0000-0000C6640000}"/>
    <cellStyle name="Normal 12 5 8 2 2" xfId="53058" xr:uid="{00000000-0005-0000-0000-0000C7640000}"/>
    <cellStyle name="Normal 12 5 8 3" xfId="39496" xr:uid="{00000000-0005-0000-0000-0000C8640000}"/>
    <cellStyle name="Normal 12 5 9" xfId="19144" xr:uid="{00000000-0005-0000-0000-0000C9640000}"/>
    <cellStyle name="Normal 12 5 9 2" xfId="46277" xr:uid="{00000000-0005-0000-0000-0000CA640000}"/>
    <cellStyle name="Normal 12 6" xfId="5424" xr:uid="{00000000-0005-0000-0000-0000CB640000}"/>
    <cellStyle name="Normal 12 6 2" xfId="5425" xr:uid="{00000000-0005-0000-0000-0000CC640000}"/>
    <cellStyle name="Normal 12 6 2 2" xfId="5426" xr:uid="{00000000-0005-0000-0000-0000CD640000}"/>
    <cellStyle name="Normal 12 6 2 2 2" xfId="8975" xr:uid="{00000000-0005-0000-0000-0000CE640000}"/>
    <cellStyle name="Normal 12 6 2 2 2 2" xfId="15764" xr:uid="{00000000-0005-0000-0000-0000CF640000}"/>
    <cellStyle name="Normal 12 6 2 2 2 2 2" xfId="29332" xr:uid="{00000000-0005-0000-0000-0000D0640000}"/>
    <cellStyle name="Normal 12 6 2 2 2 2 2 2" xfId="56465" xr:uid="{00000000-0005-0000-0000-0000D1640000}"/>
    <cellStyle name="Normal 12 6 2 2 2 2 3" xfId="42903" xr:uid="{00000000-0005-0000-0000-0000D2640000}"/>
    <cellStyle name="Normal 12 6 2 2 2 3" xfId="22551" xr:uid="{00000000-0005-0000-0000-0000D3640000}"/>
    <cellStyle name="Normal 12 6 2 2 2 3 2" xfId="49684" xr:uid="{00000000-0005-0000-0000-0000D4640000}"/>
    <cellStyle name="Normal 12 6 2 2 2 4" xfId="36122" xr:uid="{00000000-0005-0000-0000-0000D5640000}"/>
    <cellStyle name="Normal 12 6 2 2 3" xfId="12375" xr:uid="{00000000-0005-0000-0000-0000D6640000}"/>
    <cellStyle name="Normal 12 6 2 2 3 2" xfId="25943" xr:uid="{00000000-0005-0000-0000-0000D7640000}"/>
    <cellStyle name="Normal 12 6 2 2 3 2 2" xfId="53076" xr:uid="{00000000-0005-0000-0000-0000D8640000}"/>
    <cellStyle name="Normal 12 6 2 2 3 3" xfId="39514" xr:uid="{00000000-0005-0000-0000-0000D9640000}"/>
    <cellStyle name="Normal 12 6 2 2 4" xfId="19162" xr:uid="{00000000-0005-0000-0000-0000DA640000}"/>
    <cellStyle name="Normal 12 6 2 2 4 2" xfId="46295" xr:uid="{00000000-0005-0000-0000-0000DB640000}"/>
    <cellStyle name="Normal 12 6 2 2 5" xfId="32733" xr:uid="{00000000-0005-0000-0000-0000DC640000}"/>
    <cellStyle name="Normal 12 6 2 3" xfId="5427" xr:uid="{00000000-0005-0000-0000-0000DD640000}"/>
    <cellStyle name="Normal 12 6 2 3 2" xfId="8976" xr:uid="{00000000-0005-0000-0000-0000DE640000}"/>
    <cellStyle name="Normal 12 6 2 3 2 2" xfId="15765" xr:uid="{00000000-0005-0000-0000-0000DF640000}"/>
    <cellStyle name="Normal 12 6 2 3 2 2 2" xfId="29333" xr:uid="{00000000-0005-0000-0000-0000E0640000}"/>
    <cellStyle name="Normal 12 6 2 3 2 2 2 2" xfId="56466" xr:uid="{00000000-0005-0000-0000-0000E1640000}"/>
    <cellStyle name="Normal 12 6 2 3 2 2 3" xfId="42904" xr:uid="{00000000-0005-0000-0000-0000E2640000}"/>
    <cellStyle name="Normal 12 6 2 3 2 3" xfId="22552" xr:uid="{00000000-0005-0000-0000-0000E3640000}"/>
    <cellStyle name="Normal 12 6 2 3 2 3 2" xfId="49685" xr:uid="{00000000-0005-0000-0000-0000E4640000}"/>
    <cellStyle name="Normal 12 6 2 3 2 4" xfId="36123" xr:uid="{00000000-0005-0000-0000-0000E5640000}"/>
    <cellStyle name="Normal 12 6 2 3 3" xfId="12376" xr:uid="{00000000-0005-0000-0000-0000E6640000}"/>
    <cellStyle name="Normal 12 6 2 3 3 2" xfId="25944" xr:uid="{00000000-0005-0000-0000-0000E7640000}"/>
    <cellStyle name="Normal 12 6 2 3 3 2 2" xfId="53077" xr:uid="{00000000-0005-0000-0000-0000E8640000}"/>
    <cellStyle name="Normal 12 6 2 3 3 3" xfId="39515" xr:uid="{00000000-0005-0000-0000-0000E9640000}"/>
    <cellStyle name="Normal 12 6 2 3 4" xfId="19163" xr:uid="{00000000-0005-0000-0000-0000EA640000}"/>
    <cellStyle name="Normal 12 6 2 3 4 2" xfId="46296" xr:uid="{00000000-0005-0000-0000-0000EB640000}"/>
    <cellStyle name="Normal 12 6 2 3 5" xfId="32734" xr:uid="{00000000-0005-0000-0000-0000EC640000}"/>
    <cellStyle name="Normal 12 6 2 4" xfId="8974" xr:uid="{00000000-0005-0000-0000-0000ED640000}"/>
    <cellStyle name="Normal 12 6 2 4 2" xfId="15763" xr:uid="{00000000-0005-0000-0000-0000EE640000}"/>
    <cellStyle name="Normal 12 6 2 4 2 2" xfId="29331" xr:uid="{00000000-0005-0000-0000-0000EF640000}"/>
    <cellStyle name="Normal 12 6 2 4 2 2 2" xfId="56464" xr:uid="{00000000-0005-0000-0000-0000F0640000}"/>
    <cellStyle name="Normal 12 6 2 4 2 3" xfId="42902" xr:uid="{00000000-0005-0000-0000-0000F1640000}"/>
    <cellStyle name="Normal 12 6 2 4 3" xfId="22550" xr:uid="{00000000-0005-0000-0000-0000F2640000}"/>
    <cellStyle name="Normal 12 6 2 4 3 2" xfId="49683" xr:uid="{00000000-0005-0000-0000-0000F3640000}"/>
    <cellStyle name="Normal 12 6 2 4 4" xfId="36121" xr:uid="{00000000-0005-0000-0000-0000F4640000}"/>
    <cellStyle name="Normal 12 6 2 5" xfId="12374" xr:uid="{00000000-0005-0000-0000-0000F5640000}"/>
    <cellStyle name="Normal 12 6 2 5 2" xfId="25942" xr:uid="{00000000-0005-0000-0000-0000F6640000}"/>
    <cellStyle name="Normal 12 6 2 5 2 2" xfId="53075" xr:uid="{00000000-0005-0000-0000-0000F7640000}"/>
    <cellStyle name="Normal 12 6 2 5 3" xfId="39513" xr:uid="{00000000-0005-0000-0000-0000F8640000}"/>
    <cellStyle name="Normal 12 6 2 6" xfId="19161" xr:uid="{00000000-0005-0000-0000-0000F9640000}"/>
    <cellStyle name="Normal 12 6 2 6 2" xfId="46294" xr:uid="{00000000-0005-0000-0000-0000FA640000}"/>
    <cellStyle name="Normal 12 6 2 7" xfId="32732" xr:uid="{00000000-0005-0000-0000-0000FB640000}"/>
    <cellStyle name="Normal 12 6 3" xfId="5428" xr:uid="{00000000-0005-0000-0000-0000FC640000}"/>
    <cellStyle name="Normal 12 6 3 2" xfId="5429" xr:uid="{00000000-0005-0000-0000-0000FD640000}"/>
    <cellStyle name="Normal 12 6 3 2 2" xfId="8978" xr:uid="{00000000-0005-0000-0000-0000FE640000}"/>
    <cellStyle name="Normal 12 6 3 2 2 2" xfId="15767" xr:uid="{00000000-0005-0000-0000-0000FF640000}"/>
    <cellStyle name="Normal 12 6 3 2 2 2 2" xfId="29335" xr:uid="{00000000-0005-0000-0000-000000650000}"/>
    <cellStyle name="Normal 12 6 3 2 2 2 2 2" xfId="56468" xr:uid="{00000000-0005-0000-0000-000001650000}"/>
    <cellStyle name="Normal 12 6 3 2 2 2 3" xfId="42906" xr:uid="{00000000-0005-0000-0000-000002650000}"/>
    <cellStyle name="Normal 12 6 3 2 2 3" xfId="22554" xr:uid="{00000000-0005-0000-0000-000003650000}"/>
    <cellStyle name="Normal 12 6 3 2 2 3 2" xfId="49687" xr:uid="{00000000-0005-0000-0000-000004650000}"/>
    <cellStyle name="Normal 12 6 3 2 2 4" xfId="36125" xr:uid="{00000000-0005-0000-0000-000005650000}"/>
    <cellStyle name="Normal 12 6 3 2 3" xfId="12378" xr:uid="{00000000-0005-0000-0000-000006650000}"/>
    <cellStyle name="Normal 12 6 3 2 3 2" xfId="25946" xr:uid="{00000000-0005-0000-0000-000007650000}"/>
    <cellStyle name="Normal 12 6 3 2 3 2 2" xfId="53079" xr:uid="{00000000-0005-0000-0000-000008650000}"/>
    <cellStyle name="Normal 12 6 3 2 3 3" xfId="39517" xr:uid="{00000000-0005-0000-0000-000009650000}"/>
    <cellStyle name="Normal 12 6 3 2 4" xfId="19165" xr:uid="{00000000-0005-0000-0000-00000A650000}"/>
    <cellStyle name="Normal 12 6 3 2 4 2" xfId="46298" xr:uid="{00000000-0005-0000-0000-00000B650000}"/>
    <cellStyle name="Normal 12 6 3 2 5" xfId="32736" xr:uid="{00000000-0005-0000-0000-00000C650000}"/>
    <cellStyle name="Normal 12 6 3 3" xfId="8977" xr:uid="{00000000-0005-0000-0000-00000D650000}"/>
    <cellStyle name="Normal 12 6 3 3 2" xfId="15766" xr:uid="{00000000-0005-0000-0000-00000E650000}"/>
    <cellStyle name="Normal 12 6 3 3 2 2" xfId="29334" xr:uid="{00000000-0005-0000-0000-00000F650000}"/>
    <cellStyle name="Normal 12 6 3 3 2 2 2" xfId="56467" xr:uid="{00000000-0005-0000-0000-000010650000}"/>
    <cellStyle name="Normal 12 6 3 3 2 3" xfId="42905" xr:uid="{00000000-0005-0000-0000-000011650000}"/>
    <cellStyle name="Normal 12 6 3 3 3" xfId="22553" xr:uid="{00000000-0005-0000-0000-000012650000}"/>
    <cellStyle name="Normal 12 6 3 3 3 2" xfId="49686" xr:uid="{00000000-0005-0000-0000-000013650000}"/>
    <cellStyle name="Normal 12 6 3 3 4" xfId="36124" xr:uid="{00000000-0005-0000-0000-000014650000}"/>
    <cellStyle name="Normal 12 6 3 4" xfId="12377" xr:uid="{00000000-0005-0000-0000-000015650000}"/>
    <cellStyle name="Normal 12 6 3 4 2" xfId="25945" xr:uid="{00000000-0005-0000-0000-000016650000}"/>
    <cellStyle name="Normal 12 6 3 4 2 2" xfId="53078" xr:uid="{00000000-0005-0000-0000-000017650000}"/>
    <cellStyle name="Normal 12 6 3 4 3" xfId="39516" xr:uid="{00000000-0005-0000-0000-000018650000}"/>
    <cellStyle name="Normal 12 6 3 5" xfId="19164" xr:uid="{00000000-0005-0000-0000-000019650000}"/>
    <cellStyle name="Normal 12 6 3 5 2" xfId="46297" xr:uid="{00000000-0005-0000-0000-00001A650000}"/>
    <cellStyle name="Normal 12 6 3 6" xfId="32735" xr:uid="{00000000-0005-0000-0000-00001B650000}"/>
    <cellStyle name="Normal 12 6 4" xfId="5430" xr:uid="{00000000-0005-0000-0000-00001C650000}"/>
    <cellStyle name="Normal 12 6 4 2" xfId="8979" xr:uid="{00000000-0005-0000-0000-00001D650000}"/>
    <cellStyle name="Normal 12 6 4 2 2" xfId="15768" xr:uid="{00000000-0005-0000-0000-00001E650000}"/>
    <cellStyle name="Normal 12 6 4 2 2 2" xfId="29336" xr:uid="{00000000-0005-0000-0000-00001F650000}"/>
    <cellStyle name="Normal 12 6 4 2 2 2 2" xfId="56469" xr:uid="{00000000-0005-0000-0000-000020650000}"/>
    <cellStyle name="Normal 12 6 4 2 2 3" xfId="42907" xr:uid="{00000000-0005-0000-0000-000021650000}"/>
    <cellStyle name="Normal 12 6 4 2 3" xfId="22555" xr:uid="{00000000-0005-0000-0000-000022650000}"/>
    <cellStyle name="Normal 12 6 4 2 3 2" xfId="49688" xr:uid="{00000000-0005-0000-0000-000023650000}"/>
    <cellStyle name="Normal 12 6 4 2 4" xfId="36126" xr:uid="{00000000-0005-0000-0000-000024650000}"/>
    <cellStyle name="Normal 12 6 4 3" xfId="12379" xr:uid="{00000000-0005-0000-0000-000025650000}"/>
    <cellStyle name="Normal 12 6 4 3 2" xfId="25947" xr:uid="{00000000-0005-0000-0000-000026650000}"/>
    <cellStyle name="Normal 12 6 4 3 2 2" xfId="53080" xr:uid="{00000000-0005-0000-0000-000027650000}"/>
    <cellStyle name="Normal 12 6 4 3 3" xfId="39518" xr:uid="{00000000-0005-0000-0000-000028650000}"/>
    <cellStyle name="Normal 12 6 4 4" xfId="19166" xr:uid="{00000000-0005-0000-0000-000029650000}"/>
    <cellStyle name="Normal 12 6 4 4 2" xfId="46299" xr:uid="{00000000-0005-0000-0000-00002A650000}"/>
    <cellStyle name="Normal 12 6 4 5" xfId="32737" xr:uid="{00000000-0005-0000-0000-00002B650000}"/>
    <cellStyle name="Normal 12 6 5" xfId="5431" xr:uid="{00000000-0005-0000-0000-00002C650000}"/>
    <cellStyle name="Normal 12 6 5 2" xfId="8980" xr:uid="{00000000-0005-0000-0000-00002D650000}"/>
    <cellStyle name="Normal 12 6 5 2 2" xfId="15769" xr:uid="{00000000-0005-0000-0000-00002E650000}"/>
    <cellStyle name="Normal 12 6 5 2 2 2" xfId="29337" xr:uid="{00000000-0005-0000-0000-00002F650000}"/>
    <cellStyle name="Normal 12 6 5 2 2 2 2" xfId="56470" xr:uid="{00000000-0005-0000-0000-000030650000}"/>
    <cellStyle name="Normal 12 6 5 2 2 3" xfId="42908" xr:uid="{00000000-0005-0000-0000-000031650000}"/>
    <cellStyle name="Normal 12 6 5 2 3" xfId="22556" xr:uid="{00000000-0005-0000-0000-000032650000}"/>
    <cellStyle name="Normal 12 6 5 2 3 2" xfId="49689" xr:uid="{00000000-0005-0000-0000-000033650000}"/>
    <cellStyle name="Normal 12 6 5 2 4" xfId="36127" xr:uid="{00000000-0005-0000-0000-000034650000}"/>
    <cellStyle name="Normal 12 6 5 3" xfId="12380" xr:uid="{00000000-0005-0000-0000-000035650000}"/>
    <cellStyle name="Normal 12 6 5 3 2" xfId="25948" xr:uid="{00000000-0005-0000-0000-000036650000}"/>
    <cellStyle name="Normal 12 6 5 3 2 2" xfId="53081" xr:uid="{00000000-0005-0000-0000-000037650000}"/>
    <cellStyle name="Normal 12 6 5 3 3" xfId="39519" xr:uid="{00000000-0005-0000-0000-000038650000}"/>
    <cellStyle name="Normal 12 6 5 4" xfId="19167" xr:uid="{00000000-0005-0000-0000-000039650000}"/>
    <cellStyle name="Normal 12 6 5 4 2" xfId="46300" xr:uid="{00000000-0005-0000-0000-00003A650000}"/>
    <cellStyle name="Normal 12 6 5 5" xfId="32738" xr:uid="{00000000-0005-0000-0000-00003B650000}"/>
    <cellStyle name="Normal 12 6 6" xfId="8973" xr:uid="{00000000-0005-0000-0000-00003C650000}"/>
    <cellStyle name="Normal 12 6 6 2" xfId="15762" xr:uid="{00000000-0005-0000-0000-00003D650000}"/>
    <cellStyle name="Normal 12 6 6 2 2" xfId="29330" xr:uid="{00000000-0005-0000-0000-00003E650000}"/>
    <cellStyle name="Normal 12 6 6 2 2 2" xfId="56463" xr:uid="{00000000-0005-0000-0000-00003F650000}"/>
    <cellStyle name="Normal 12 6 6 2 3" xfId="42901" xr:uid="{00000000-0005-0000-0000-000040650000}"/>
    <cellStyle name="Normal 12 6 6 3" xfId="22549" xr:uid="{00000000-0005-0000-0000-000041650000}"/>
    <cellStyle name="Normal 12 6 6 3 2" xfId="49682" xr:uid="{00000000-0005-0000-0000-000042650000}"/>
    <cellStyle name="Normal 12 6 6 4" xfId="36120" xr:uid="{00000000-0005-0000-0000-000043650000}"/>
    <cellStyle name="Normal 12 6 7" xfId="12373" xr:uid="{00000000-0005-0000-0000-000044650000}"/>
    <cellStyle name="Normal 12 6 7 2" xfId="25941" xr:uid="{00000000-0005-0000-0000-000045650000}"/>
    <cellStyle name="Normal 12 6 7 2 2" xfId="53074" xr:uid="{00000000-0005-0000-0000-000046650000}"/>
    <cellStyle name="Normal 12 6 7 3" xfId="39512" xr:uid="{00000000-0005-0000-0000-000047650000}"/>
    <cellStyle name="Normal 12 6 8" xfId="19160" xr:uid="{00000000-0005-0000-0000-000048650000}"/>
    <cellStyle name="Normal 12 6 8 2" xfId="46293" xr:uid="{00000000-0005-0000-0000-000049650000}"/>
    <cellStyle name="Normal 12 6 9" xfId="32731" xr:uid="{00000000-0005-0000-0000-00004A650000}"/>
    <cellStyle name="Normal 12 7" xfId="5432" xr:uid="{00000000-0005-0000-0000-00004B650000}"/>
    <cellStyle name="Normal 12 7 2" xfId="5433" xr:uid="{00000000-0005-0000-0000-00004C650000}"/>
    <cellStyle name="Normal 12 7 2 2" xfId="5434" xr:uid="{00000000-0005-0000-0000-00004D650000}"/>
    <cellStyle name="Normal 12 7 2 2 2" xfId="8983" xr:uid="{00000000-0005-0000-0000-00004E650000}"/>
    <cellStyle name="Normal 12 7 2 2 2 2" xfId="15772" xr:uid="{00000000-0005-0000-0000-00004F650000}"/>
    <cellStyle name="Normal 12 7 2 2 2 2 2" xfId="29340" xr:uid="{00000000-0005-0000-0000-000050650000}"/>
    <cellStyle name="Normal 12 7 2 2 2 2 2 2" xfId="56473" xr:uid="{00000000-0005-0000-0000-000051650000}"/>
    <cellStyle name="Normal 12 7 2 2 2 2 3" xfId="42911" xr:uid="{00000000-0005-0000-0000-000052650000}"/>
    <cellStyle name="Normal 12 7 2 2 2 3" xfId="22559" xr:uid="{00000000-0005-0000-0000-000053650000}"/>
    <cellStyle name="Normal 12 7 2 2 2 3 2" xfId="49692" xr:uid="{00000000-0005-0000-0000-000054650000}"/>
    <cellStyle name="Normal 12 7 2 2 2 4" xfId="36130" xr:uid="{00000000-0005-0000-0000-000055650000}"/>
    <cellStyle name="Normal 12 7 2 2 3" xfId="12383" xr:uid="{00000000-0005-0000-0000-000056650000}"/>
    <cellStyle name="Normal 12 7 2 2 3 2" xfId="25951" xr:uid="{00000000-0005-0000-0000-000057650000}"/>
    <cellStyle name="Normal 12 7 2 2 3 2 2" xfId="53084" xr:uid="{00000000-0005-0000-0000-000058650000}"/>
    <cellStyle name="Normal 12 7 2 2 3 3" xfId="39522" xr:uid="{00000000-0005-0000-0000-000059650000}"/>
    <cellStyle name="Normal 12 7 2 2 4" xfId="19170" xr:uid="{00000000-0005-0000-0000-00005A650000}"/>
    <cellStyle name="Normal 12 7 2 2 4 2" xfId="46303" xr:uid="{00000000-0005-0000-0000-00005B650000}"/>
    <cellStyle name="Normal 12 7 2 2 5" xfId="32741" xr:uid="{00000000-0005-0000-0000-00005C650000}"/>
    <cellStyle name="Normal 12 7 2 3" xfId="5435" xr:uid="{00000000-0005-0000-0000-00005D650000}"/>
    <cellStyle name="Normal 12 7 2 3 2" xfId="8984" xr:uid="{00000000-0005-0000-0000-00005E650000}"/>
    <cellStyle name="Normal 12 7 2 3 2 2" xfId="15773" xr:uid="{00000000-0005-0000-0000-00005F650000}"/>
    <cellStyle name="Normal 12 7 2 3 2 2 2" xfId="29341" xr:uid="{00000000-0005-0000-0000-000060650000}"/>
    <cellStyle name="Normal 12 7 2 3 2 2 2 2" xfId="56474" xr:uid="{00000000-0005-0000-0000-000061650000}"/>
    <cellStyle name="Normal 12 7 2 3 2 2 3" xfId="42912" xr:uid="{00000000-0005-0000-0000-000062650000}"/>
    <cellStyle name="Normal 12 7 2 3 2 3" xfId="22560" xr:uid="{00000000-0005-0000-0000-000063650000}"/>
    <cellStyle name="Normal 12 7 2 3 2 3 2" xfId="49693" xr:uid="{00000000-0005-0000-0000-000064650000}"/>
    <cellStyle name="Normal 12 7 2 3 2 4" xfId="36131" xr:uid="{00000000-0005-0000-0000-000065650000}"/>
    <cellStyle name="Normal 12 7 2 3 3" xfId="12384" xr:uid="{00000000-0005-0000-0000-000066650000}"/>
    <cellStyle name="Normal 12 7 2 3 3 2" xfId="25952" xr:uid="{00000000-0005-0000-0000-000067650000}"/>
    <cellStyle name="Normal 12 7 2 3 3 2 2" xfId="53085" xr:uid="{00000000-0005-0000-0000-000068650000}"/>
    <cellStyle name="Normal 12 7 2 3 3 3" xfId="39523" xr:uid="{00000000-0005-0000-0000-000069650000}"/>
    <cellStyle name="Normal 12 7 2 3 4" xfId="19171" xr:uid="{00000000-0005-0000-0000-00006A650000}"/>
    <cellStyle name="Normal 12 7 2 3 4 2" xfId="46304" xr:uid="{00000000-0005-0000-0000-00006B650000}"/>
    <cellStyle name="Normal 12 7 2 3 5" xfId="32742" xr:uid="{00000000-0005-0000-0000-00006C650000}"/>
    <cellStyle name="Normal 12 7 2 4" xfId="8982" xr:uid="{00000000-0005-0000-0000-00006D650000}"/>
    <cellStyle name="Normal 12 7 2 4 2" xfId="15771" xr:uid="{00000000-0005-0000-0000-00006E650000}"/>
    <cellStyle name="Normal 12 7 2 4 2 2" xfId="29339" xr:uid="{00000000-0005-0000-0000-00006F650000}"/>
    <cellStyle name="Normal 12 7 2 4 2 2 2" xfId="56472" xr:uid="{00000000-0005-0000-0000-000070650000}"/>
    <cellStyle name="Normal 12 7 2 4 2 3" xfId="42910" xr:uid="{00000000-0005-0000-0000-000071650000}"/>
    <cellStyle name="Normal 12 7 2 4 3" xfId="22558" xr:uid="{00000000-0005-0000-0000-000072650000}"/>
    <cellStyle name="Normal 12 7 2 4 3 2" xfId="49691" xr:uid="{00000000-0005-0000-0000-000073650000}"/>
    <cellStyle name="Normal 12 7 2 4 4" xfId="36129" xr:uid="{00000000-0005-0000-0000-000074650000}"/>
    <cellStyle name="Normal 12 7 2 5" xfId="12382" xr:uid="{00000000-0005-0000-0000-000075650000}"/>
    <cellStyle name="Normal 12 7 2 5 2" xfId="25950" xr:uid="{00000000-0005-0000-0000-000076650000}"/>
    <cellStyle name="Normal 12 7 2 5 2 2" xfId="53083" xr:uid="{00000000-0005-0000-0000-000077650000}"/>
    <cellStyle name="Normal 12 7 2 5 3" xfId="39521" xr:uid="{00000000-0005-0000-0000-000078650000}"/>
    <cellStyle name="Normal 12 7 2 6" xfId="19169" xr:uid="{00000000-0005-0000-0000-000079650000}"/>
    <cellStyle name="Normal 12 7 2 6 2" xfId="46302" xr:uid="{00000000-0005-0000-0000-00007A650000}"/>
    <cellStyle name="Normal 12 7 2 7" xfId="32740" xr:uid="{00000000-0005-0000-0000-00007B650000}"/>
    <cellStyle name="Normal 12 7 3" xfId="5436" xr:uid="{00000000-0005-0000-0000-00007C650000}"/>
    <cellStyle name="Normal 12 7 3 2" xfId="8985" xr:uid="{00000000-0005-0000-0000-00007D650000}"/>
    <cellStyle name="Normal 12 7 3 2 2" xfId="15774" xr:uid="{00000000-0005-0000-0000-00007E650000}"/>
    <cellStyle name="Normal 12 7 3 2 2 2" xfId="29342" xr:uid="{00000000-0005-0000-0000-00007F650000}"/>
    <cellStyle name="Normal 12 7 3 2 2 2 2" xfId="56475" xr:uid="{00000000-0005-0000-0000-000080650000}"/>
    <cellStyle name="Normal 12 7 3 2 2 3" xfId="42913" xr:uid="{00000000-0005-0000-0000-000081650000}"/>
    <cellStyle name="Normal 12 7 3 2 3" xfId="22561" xr:uid="{00000000-0005-0000-0000-000082650000}"/>
    <cellStyle name="Normal 12 7 3 2 3 2" xfId="49694" xr:uid="{00000000-0005-0000-0000-000083650000}"/>
    <cellStyle name="Normal 12 7 3 2 4" xfId="36132" xr:uid="{00000000-0005-0000-0000-000084650000}"/>
    <cellStyle name="Normal 12 7 3 3" xfId="12385" xr:uid="{00000000-0005-0000-0000-000085650000}"/>
    <cellStyle name="Normal 12 7 3 3 2" xfId="25953" xr:uid="{00000000-0005-0000-0000-000086650000}"/>
    <cellStyle name="Normal 12 7 3 3 2 2" xfId="53086" xr:uid="{00000000-0005-0000-0000-000087650000}"/>
    <cellStyle name="Normal 12 7 3 3 3" xfId="39524" xr:uid="{00000000-0005-0000-0000-000088650000}"/>
    <cellStyle name="Normal 12 7 3 4" xfId="19172" xr:uid="{00000000-0005-0000-0000-000089650000}"/>
    <cellStyle name="Normal 12 7 3 4 2" xfId="46305" xr:uid="{00000000-0005-0000-0000-00008A650000}"/>
    <cellStyle name="Normal 12 7 3 5" xfId="32743" xr:uid="{00000000-0005-0000-0000-00008B650000}"/>
    <cellStyle name="Normal 12 7 4" xfId="5437" xr:uid="{00000000-0005-0000-0000-00008C650000}"/>
    <cellStyle name="Normal 12 7 4 2" xfId="8986" xr:uid="{00000000-0005-0000-0000-00008D650000}"/>
    <cellStyle name="Normal 12 7 4 2 2" xfId="15775" xr:uid="{00000000-0005-0000-0000-00008E650000}"/>
    <cellStyle name="Normal 12 7 4 2 2 2" xfId="29343" xr:uid="{00000000-0005-0000-0000-00008F650000}"/>
    <cellStyle name="Normal 12 7 4 2 2 2 2" xfId="56476" xr:uid="{00000000-0005-0000-0000-000090650000}"/>
    <cellStyle name="Normal 12 7 4 2 2 3" xfId="42914" xr:uid="{00000000-0005-0000-0000-000091650000}"/>
    <cellStyle name="Normal 12 7 4 2 3" xfId="22562" xr:uid="{00000000-0005-0000-0000-000092650000}"/>
    <cellStyle name="Normal 12 7 4 2 3 2" xfId="49695" xr:uid="{00000000-0005-0000-0000-000093650000}"/>
    <cellStyle name="Normal 12 7 4 2 4" xfId="36133" xr:uid="{00000000-0005-0000-0000-000094650000}"/>
    <cellStyle name="Normal 12 7 4 3" xfId="12386" xr:uid="{00000000-0005-0000-0000-000095650000}"/>
    <cellStyle name="Normal 12 7 4 3 2" xfId="25954" xr:uid="{00000000-0005-0000-0000-000096650000}"/>
    <cellStyle name="Normal 12 7 4 3 2 2" xfId="53087" xr:uid="{00000000-0005-0000-0000-000097650000}"/>
    <cellStyle name="Normal 12 7 4 3 3" xfId="39525" xr:uid="{00000000-0005-0000-0000-000098650000}"/>
    <cellStyle name="Normal 12 7 4 4" xfId="19173" xr:uid="{00000000-0005-0000-0000-000099650000}"/>
    <cellStyle name="Normal 12 7 4 4 2" xfId="46306" xr:uid="{00000000-0005-0000-0000-00009A650000}"/>
    <cellStyle name="Normal 12 7 4 5" xfId="32744" xr:uid="{00000000-0005-0000-0000-00009B650000}"/>
    <cellStyle name="Normal 12 7 5" xfId="8981" xr:uid="{00000000-0005-0000-0000-00009C650000}"/>
    <cellStyle name="Normal 12 7 5 2" xfId="15770" xr:uid="{00000000-0005-0000-0000-00009D650000}"/>
    <cellStyle name="Normal 12 7 5 2 2" xfId="29338" xr:uid="{00000000-0005-0000-0000-00009E650000}"/>
    <cellStyle name="Normal 12 7 5 2 2 2" xfId="56471" xr:uid="{00000000-0005-0000-0000-00009F650000}"/>
    <cellStyle name="Normal 12 7 5 2 3" xfId="42909" xr:uid="{00000000-0005-0000-0000-0000A0650000}"/>
    <cellStyle name="Normal 12 7 5 3" xfId="22557" xr:uid="{00000000-0005-0000-0000-0000A1650000}"/>
    <cellStyle name="Normal 12 7 5 3 2" xfId="49690" xr:uid="{00000000-0005-0000-0000-0000A2650000}"/>
    <cellStyle name="Normal 12 7 5 4" xfId="36128" xr:uid="{00000000-0005-0000-0000-0000A3650000}"/>
    <cellStyle name="Normal 12 7 6" xfId="12381" xr:uid="{00000000-0005-0000-0000-0000A4650000}"/>
    <cellStyle name="Normal 12 7 6 2" xfId="25949" xr:uid="{00000000-0005-0000-0000-0000A5650000}"/>
    <cellStyle name="Normal 12 7 6 2 2" xfId="53082" xr:uid="{00000000-0005-0000-0000-0000A6650000}"/>
    <cellStyle name="Normal 12 7 6 3" xfId="39520" xr:uid="{00000000-0005-0000-0000-0000A7650000}"/>
    <cellStyle name="Normal 12 7 7" xfId="19168" xr:uid="{00000000-0005-0000-0000-0000A8650000}"/>
    <cellStyle name="Normal 12 7 7 2" xfId="46301" xr:uid="{00000000-0005-0000-0000-0000A9650000}"/>
    <cellStyle name="Normal 12 7 8" xfId="32739" xr:uid="{00000000-0005-0000-0000-0000AA650000}"/>
    <cellStyle name="Normal 12 8" xfId="5438" xr:uid="{00000000-0005-0000-0000-0000AB650000}"/>
    <cellStyle name="Normal 12 8 2" xfId="5439" xr:uid="{00000000-0005-0000-0000-0000AC650000}"/>
    <cellStyle name="Normal 12 8 2 2" xfId="5440" xr:uid="{00000000-0005-0000-0000-0000AD650000}"/>
    <cellStyle name="Normal 12 8 2 2 2" xfId="8989" xr:uid="{00000000-0005-0000-0000-0000AE650000}"/>
    <cellStyle name="Normal 12 8 2 2 2 2" xfId="15778" xr:uid="{00000000-0005-0000-0000-0000AF650000}"/>
    <cellStyle name="Normal 12 8 2 2 2 2 2" xfId="29346" xr:uid="{00000000-0005-0000-0000-0000B0650000}"/>
    <cellStyle name="Normal 12 8 2 2 2 2 2 2" xfId="56479" xr:uid="{00000000-0005-0000-0000-0000B1650000}"/>
    <cellStyle name="Normal 12 8 2 2 2 2 3" xfId="42917" xr:uid="{00000000-0005-0000-0000-0000B2650000}"/>
    <cellStyle name="Normal 12 8 2 2 2 3" xfId="22565" xr:uid="{00000000-0005-0000-0000-0000B3650000}"/>
    <cellStyle name="Normal 12 8 2 2 2 3 2" xfId="49698" xr:uid="{00000000-0005-0000-0000-0000B4650000}"/>
    <cellStyle name="Normal 12 8 2 2 2 4" xfId="36136" xr:uid="{00000000-0005-0000-0000-0000B5650000}"/>
    <cellStyle name="Normal 12 8 2 2 3" xfId="12389" xr:uid="{00000000-0005-0000-0000-0000B6650000}"/>
    <cellStyle name="Normal 12 8 2 2 3 2" xfId="25957" xr:uid="{00000000-0005-0000-0000-0000B7650000}"/>
    <cellStyle name="Normal 12 8 2 2 3 2 2" xfId="53090" xr:uid="{00000000-0005-0000-0000-0000B8650000}"/>
    <cellStyle name="Normal 12 8 2 2 3 3" xfId="39528" xr:uid="{00000000-0005-0000-0000-0000B9650000}"/>
    <cellStyle name="Normal 12 8 2 2 4" xfId="19176" xr:uid="{00000000-0005-0000-0000-0000BA650000}"/>
    <cellStyle name="Normal 12 8 2 2 4 2" xfId="46309" xr:uid="{00000000-0005-0000-0000-0000BB650000}"/>
    <cellStyle name="Normal 12 8 2 2 5" xfId="32747" xr:uid="{00000000-0005-0000-0000-0000BC650000}"/>
    <cellStyle name="Normal 12 8 2 3" xfId="5441" xr:uid="{00000000-0005-0000-0000-0000BD650000}"/>
    <cellStyle name="Normal 12 8 2 3 2" xfId="8990" xr:uid="{00000000-0005-0000-0000-0000BE650000}"/>
    <cellStyle name="Normal 12 8 2 3 2 2" xfId="15779" xr:uid="{00000000-0005-0000-0000-0000BF650000}"/>
    <cellStyle name="Normal 12 8 2 3 2 2 2" xfId="29347" xr:uid="{00000000-0005-0000-0000-0000C0650000}"/>
    <cellStyle name="Normal 12 8 2 3 2 2 2 2" xfId="56480" xr:uid="{00000000-0005-0000-0000-0000C1650000}"/>
    <cellStyle name="Normal 12 8 2 3 2 2 3" xfId="42918" xr:uid="{00000000-0005-0000-0000-0000C2650000}"/>
    <cellStyle name="Normal 12 8 2 3 2 3" xfId="22566" xr:uid="{00000000-0005-0000-0000-0000C3650000}"/>
    <cellStyle name="Normal 12 8 2 3 2 3 2" xfId="49699" xr:uid="{00000000-0005-0000-0000-0000C4650000}"/>
    <cellStyle name="Normal 12 8 2 3 2 4" xfId="36137" xr:uid="{00000000-0005-0000-0000-0000C5650000}"/>
    <cellStyle name="Normal 12 8 2 3 3" xfId="12390" xr:uid="{00000000-0005-0000-0000-0000C6650000}"/>
    <cellStyle name="Normal 12 8 2 3 3 2" xfId="25958" xr:uid="{00000000-0005-0000-0000-0000C7650000}"/>
    <cellStyle name="Normal 12 8 2 3 3 2 2" xfId="53091" xr:uid="{00000000-0005-0000-0000-0000C8650000}"/>
    <cellStyle name="Normal 12 8 2 3 3 3" xfId="39529" xr:uid="{00000000-0005-0000-0000-0000C9650000}"/>
    <cellStyle name="Normal 12 8 2 3 4" xfId="19177" xr:uid="{00000000-0005-0000-0000-0000CA650000}"/>
    <cellStyle name="Normal 12 8 2 3 4 2" xfId="46310" xr:uid="{00000000-0005-0000-0000-0000CB650000}"/>
    <cellStyle name="Normal 12 8 2 3 5" xfId="32748" xr:uid="{00000000-0005-0000-0000-0000CC650000}"/>
    <cellStyle name="Normal 12 8 2 4" xfId="8988" xr:uid="{00000000-0005-0000-0000-0000CD650000}"/>
    <cellStyle name="Normal 12 8 2 4 2" xfId="15777" xr:uid="{00000000-0005-0000-0000-0000CE650000}"/>
    <cellStyle name="Normal 12 8 2 4 2 2" xfId="29345" xr:uid="{00000000-0005-0000-0000-0000CF650000}"/>
    <cellStyle name="Normal 12 8 2 4 2 2 2" xfId="56478" xr:uid="{00000000-0005-0000-0000-0000D0650000}"/>
    <cellStyle name="Normal 12 8 2 4 2 3" xfId="42916" xr:uid="{00000000-0005-0000-0000-0000D1650000}"/>
    <cellStyle name="Normal 12 8 2 4 3" xfId="22564" xr:uid="{00000000-0005-0000-0000-0000D2650000}"/>
    <cellStyle name="Normal 12 8 2 4 3 2" xfId="49697" xr:uid="{00000000-0005-0000-0000-0000D3650000}"/>
    <cellStyle name="Normal 12 8 2 4 4" xfId="36135" xr:uid="{00000000-0005-0000-0000-0000D4650000}"/>
    <cellStyle name="Normal 12 8 2 5" xfId="12388" xr:uid="{00000000-0005-0000-0000-0000D5650000}"/>
    <cellStyle name="Normal 12 8 2 5 2" xfId="25956" xr:uid="{00000000-0005-0000-0000-0000D6650000}"/>
    <cellStyle name="Normal 12 8 2 5 2 2" xfId="53089" xr:uid="{00000000-0005-0000-0000-0000D7650000}"/>
    <cellStyle name="Normal 12 8 2 5 3" xfId="39527" xr:uid="{00000000-0005-0000-0000-0000D8650000}"/>
    <cellStyle name="Normal 12 8 2 6" xfId="19175" xr:uid="{00000000-0005-0000-0000-0000D9650000}"/>
    <cellStyle name="Normal 12 8 2 6 2" xfId="46308" xr:uid="{00000000-0005-0000-0000-0000DA650000}"/>
    <cellStyle name="Normal 12 8 2 7" xfId="32746" xr:uid="{00000000-0005-0000-0000-0000DB650000}"/>
    <cellStyle name="Normal 12 8 3" xfId="5442" xr:uid="{00000000-0005-0000-0000-0000DC650000}"/>
    <cellStyle name="Normal 12 8 3 2" xfId="8991" xr:uid="{00000000-0005-0000-0000-0000DD650000}"/>
    <cellStyle name="Normal 12 8 3 2 2" xfId="15780" xr:uid="{00000000-0005-0000-0000-0000DE650000}"/>
    <cellStyle name="Normal 12 8 3 2 2 2" xfId="29348" xr:uid="{00000000-0005-0000-0000-0000DF650000}"/>
    <cellStyle name="Normal 12 8 3 2 2 2 2" xfId="56481" xr:uid="{00000000-0005-0000-0000-0000E0650000}"/>
    <cellStyle name="Normal 12 8 3 2 2 3" xfId="42919" xr:uid="{00000000-0005-0000-0000-0000E1650000}"/>
    <cellStyle name="Normal 12 8 3 2 3" xfId="22567" xr:uid="{00000000-0005-0000-0000-0000E2650000}"/>
    <cellStyle name="Normal 12 8 3 2 3 2" xfId="49700" xr:uid="{00000000-0005-0000-0000-0000E3650000}"/>
    <cellStyle name="Normal 12 8 3 2 4" xfId="36138" xr:uid="{00000000-0005-0000-0000-0000E4650000}"/>
    <cellStyle name="Normal 12 8 3 3" xfId="12391" xr:uid="{00000000-0005-0000-0000-0000E5650000}"/>
    <cellStyle name="Normal 12 8 3 3 2" xfId="25959" xr:uid="{00000000-0005-0000-0000-0000E6650000}"/>
    <cellStyle name="Normal 12 8 3 3 2 2" xfId="53092" xr:uid="{00000000-0005-0000-0000-0000E7650000}"/>
    <cellStyle name="Normal 12 8 3 3 3" xfId="39530" xr:uid="{00000000-0005-0000-0000-0000E8650000}"/>
    <cellStyle name="Normal 12 8 3 4" xfId="19178" xr:uid="{00000000-0005-0000-0000-0000E9650000}"/>
    <cellStyle name="Normal 12 8 3 4 2" xfId="46311" xr:uid="{00000000-0005-0000-0000-0000EA650000}"/>
    <cellStyle name="Normal 12 8 3 5" xfId="32749" xr:uid="{00000000-0005-0000-0000-0000EB650000}"/>
    <cellStyle name="Normal 12 8 4" xfId="5443" xr:uid="{00000000-0005-0000-0000-0000EC650000}"/>
    <cellStyle name="Normal 12 8 4 2" xfId="8992" xr:uid="{00000000-0005-0000-0000-0000ED650000}"/>
    <cellStyle name="Normal 12 8 4 2 2" xfId="15781" xr:uid="{00000000-0005-0000-0000-0000EE650000}"/>
    <cellStyle name="Normal 12 8 4 2 2 2" xfId="29349" xr:uid="{00000000-0005-0000-0000-0000EF650000}"/>
    <cellStyle name="Normal 12 8 4 2 2 2 2" xfId="56482" xr:uid="{00000000-0005-0000-0000-0000F0650000}"/>
    <cellStyle name="Normal 12 8 4 2 2 3" xfId="42920" xr:uid="{00000000-0005-0000-0000-0000F1650000}"/>
    <cellStyle name="Normal 12 8 4 2 3" xfId="22568" xr:uid="{00000000-0005-0000-0000-0000F2650000}"/>
    <cellStyle name="Normal 12 8 4 2 3 2" xfId="49701" xr:uid="{00000000-0005-0000-0000-0000F3650000}"/>
    <cellStyle name="Normal 12 8 4 2 4" xfId="36139" xr:uid="{00000000-0005-0000-0000-0000F4650000}"/>
    <cellStyle name="Normal 12 8 4 3" xfId="12392" xr:uid="{00000000-0005-0000-0000-0000F5650000}"/>
    <cellStyle name="Normal 12 8 4 3 2" xfId="25960" xr:uid="{00000000-0005-0000-0000-0000F6650000}"/>
    <cellStyle name="Normal 12 8 4 3 2 2" xfId="53093" xr:uid="{00000000-0005-0000-0000-0000F7650000}"/>
    <cellStyle name="Normal 12 8 4 3 3" xfId="39531" xr:uid="{00000000-0005-0000-0000-0000F8650000}"/>
    <cellStyle name="Normal 12 8 4 4" xfId="19179" xr:uid="{00000000-0005-0000-0000-0000F9650000}"/>
    <cellStyle name="Normal 12 8 4 4 2" xfId="46312" xr:uid="{00000000-0005-0000-0000-0000FA650000}"/>
    <cellStyle name="Normal 12 8 4 5" xfId="32750" xr:uid="{00000000-0005-0000-0000-0000FB650000}"/>
    <cellStyle name="Normal 12 8 5" xfId="8987" xr:uid="{00000000-0005-0000-0000-0000FC650000}"/>
    <cellStyle name="Normal 12 8 5 2" xfId="15776" xr:uid="{00000000-0005-0000-0000-0000FD650000}"/>
    <cellStyle name="Normal 12 8 5 2 2" xfId="29344" xr:uid="{00000000-0005-0000-0000-0000FE650000}"/>
    <cellStyle name="Normal 12 8 5 2 2 2" xfId="56477" xr:uid="{00000000-0005-0000-0000-0000FF650000}"/>
    <cellStyle name="Normal 12 8 5 2 3" xfId="42915" xr:uid="{00000000-0005-0000-0000-000000660000}"/>
    <cellStyle name="Normal 12 8 5 3" xfId="22563" xr:uid="{00000000-0005-0000-0000-000001660000}"/>
    <cellStyle name="Normal 12 8 5 3 2" xfId="49696" xr:uid="{00000000-0005-0000-0000-000002660000}"/>
    <cellStyle name="Normal 12 8 5 4" xfId="36134" xr:uid="{00000000-0005-0000-0000-000003660000}"/>
    <cellStyle name="Normal 12 8 6" xfId="12387" xr:uid="{00000000-0005-0000-0000-000004660000}"/>
    <cellStyle name="Normal 12 8 6 2" xfId="25955" xr:uid="{00000000-0005-0000-0000-000005660000}"/>
    <cellStyle name="Normal 12 8 6 2 2" xfId="53088" xr:uid="{00000000-0005-0000-0000-000006660000}"/>
    <cellStyle name="Normal 12 8 6 3" xfId="39526" xr:uid="{00000000-0005-0000-0000-000007660000}"/>
    <cellStyle name="Normal 12 8 7" xfId="19174" xr:uid="{00000000-0005-0000-0000-000008660000}"/>
    <cellStyle name="Normal 12 8 7 2" xfId="46307" xr:uid="{00000000-0005-0000-0000-000009660000}"/>
    <cellStyle name="Normal 12 8 8" xfId="32745" xr:uid="{00000000-0005-0000-0000-00000A660000}"/>
    <cellStyle name="Normal 12 9" xfId="5444" xr:uid="{00000000-0005-0000-0000-00000B660000}"/>
    <cellStyle name="Normal 12 9 2" xfId="5445" xr:uid="{00000000-0005-0000-0000-00000C660000}"/>
    <cellStyle name="Normal 12 9 2 2" xfId="8994" xr:uid="{00000000-0005-0000-0000-00000D660000}"/>
    <cellStyle name="Normal 12 9 2 2 2" xfId="15783" xr:uid="{00000000-0005-0000-0000-00000E660000}"/>
    <cellStyle name="Normal 12 9 2 2 2 2" xfId="29351" xr:uid="{00000000-0005-0000-0000-00000F660000}"/>
    <cellStyle name="Normal 12 9 2 2 2 2 2" xfId="56484" xr:uid="{00000000-0005-0000-0000-000010660000}"/>
    <cellStyle name="Normal 12 9 2 2 2 3" xfId="42922" xr:uid="{00000000-0005-0000-0000-000011660000}"/>
    <cellStyle name="Normal 12 9 2 2 3" xfId="22570" xr:uid="{00000000-0005-0000-0000-000012660000}"/>
    <cellStyle name="Normal 12 9 2 2 3 2" xfId="49703" xr:uid="{00000000-0005-0000-0000-000013660000}"/>
    <cellStyle name="Normal 12 9 2 2 4" xfId="36141" xr:uid="{00000000-0005-0000-0000-000014660000}"/>
    <cellStyle name="Normal 12 9 2 3" xfId="12394" xr:uid="{00000000-0005-0000-0000-000015660000}"/>
    <cellStyle name="Normal 12 9 2 3 2" xfId="25962" xr:uid="{00000000-0005-0000-0000-000016660000}"/>
    <cellStyle name="Normal 12 9 2 3 2 2" xfId="53095" xr:uid="{00000000-0005-0000-0000-000017660000}"/>
    <cellStyle name="Normal 12 9 2 3 3" xfId="39533" xr:uid="{00000000-0005-0000-0000-000018660000}"/>
    <cellStyle name="Normal 12 9 2 4" xfId="19181" xr:uid="{00000000-0005-0000-0000-000019660000}"/>
    <cellStyle name="Normal 12 9 2 4 2" xfId="46314" xr:uid="{00000000-0005-0000-0000-00001A660000}"/>
    <cellStyle name="Normal 12 9 2 5" xfId="32752" xr:uid="{00000000-0005-0000-0000-00001B660000}"/>
    <cellStyle name="Normal 12 9 3" xfId="8993" xr:uid="{00000000-0005-0000-0000-00001C660000}"/>
    <cellStyle name="Normal 12 9 3 2" xfId="15782" xr:uid="{00000000-0005-0000-0000-00001D660000}"/>
    <cellStyle name="Normal 12 9 3 2 2" xfId="29350" xr:uid="{00000000-0005-0000-0000-00001E660000}"/>
    <cellStyle name="Normal 12 9 3 2 2 2" xfId="56483" xr:uid="{00000000-0005-0000-0000-00001F660000}"/>
    <cellStyle name="Normal 12 9 3 2 3" xfId="42921" xr:uid="{00000000-0005-0000-0000-000020660000}"/>
    <cellStyle name="Normal 12 9 3 3" xfId="22569" xr:uid="{00000000-0005-0000-0000-000021660000}"/>
    <cellStyle name="Normal 12 9 3 3 2" xfId="49702" xr:uid="{00000000-0005-0000-0000-000022660000}"/>
    <cellStyle name="Normal 12 9 3 4" xfId="36140" xr:uid="{00000000-0005-0000-0000-000023660000}"/>
    <cellStyle name="Normal 12 9 4" xfId="12393" xr:uid="{00000000-0005-0000-0000-000024660000}"/>
    <cellStyle name="Normal 12 9 4 2" xfId="25961" xr:uid="{00000000-0005-0000-0000-000025660000}"/>
    <cellStyle name="Normal 12 9 4 2 2" xfId="53094" xr:uid="{00000000-0005-0000-0000-000026660000}"/>
    <cellStyle name="Normal 12 9 4 3" xfId="39532" xr:uid="{00000000-0005-0000-0000-000027660000}"/>
    <cellStyle name="Normal 12 9 5" xfId="19180" xr:uid="{00000000-0005-0000-0000-000028660000}"/>
    <cellStyle name="Normal 12 9 5 2" xfId="46313" xr:uid="{00000000-0005-0000-0000-000029660000}"/>
    <cellStyle name="Normal 12 9 6" xfId="32751" xr:uid="{00000000-0005-0000-0000-00002A660000}"/>
    <cellStyle name="Normal 13" xfId="3" xr:uid="{00000000-0005-0000-0000-00002B660000}"/>
    <cellStyle name="Normal 13 2" xfId="5446" xr:uid="{00000000-0005-0000-0000-00002C660000}"/>
    <cellStyle name="Normal 13 3" xfId="5447" xr:uid="{00000000-0005-0000-0000-00002D660000}"/>
    <cellStyle name="Normal 13 4" xfId="10843" xr:uid="{00000000-0005-0000-0000-00002E660000}"/>
    <cellStyle name="Normal 13 5" xfId="58357" xr:uid="{00000000-0005-0000-0000-00002F660000}"/>
    <cellStyle name="Normal 13 6" xfId="2553" xr:uid="{00000000-0005-0000-0000-000030660000}"/>
    <cellStyle name="Normal 133" xfId="10840" xr:uid="{00000000-0005-0000-0000-000031660000}"/>
    <cellStyle name="Normal 14" xfId="2554" xr:uid="{00000000-0005-0000-0000-000032660000}"/>
    <cellStyle name="Normal 14 2" xfId="2555" xr:uid="{00000000-0005-0000-0000-000033660000}"/>
    <cellStyle name="Normal 14 2 2" xfId="7300" xr:uid="{00000000-0005-0000-0000-000034660000}"/>
    <cellStyle name="Normal 14 2 2 2" xfId="7309" xr:uid="{00000000-0005-0000-0000-000035660000}"/>
    <cellStyle name="Normal 14 2 2 2 2" xfId="10799" xr:uid="{00000000-0005-0000-0000-000036660000}"/>
    <cellStyle name="Normal 14 2 2 2 2 2" xfId="17588" xr:uid="{00000000-0005-0000-0000-000037660000}"/>
    <cellStyle name="Normal 14 2 2 2 2 2 2" xfId="31156" xr:uid="{00000000-0005-0000-0000-000038660000}"/>
    <cellStyle name="Normal 14 2 2 2 2 2 2 2" xfId="58289" xr:uid="{00000000-0005-0000-0000-000039660000}"/>
    <cellStyle name="Normal 14 2 2 2 2 2 3" xfId="44727" xr:uid="{00000000-0005-0000-0000-00003A660000}"/>
    <cellStyle name="Normal 14 2 2 2 2 3" xfId="24375" xr:uid="{00000000-0005-0000-0000-00003B660000}"/>
    <cellStyle name="Normal 14 2 2 2 2 3 2" xfId="51508" xr:uid="{00000000-0005-0000-0000-00003C660000}"/>
    <cellStyle name="Normal 14 2 2 2 2 4" xfId="37946" xr:uid="{00000000-0005-0000-0000-00003D660000}"/>
    <cellStyle name="Normal 14 2 2 2 3" xfId="14199" xr:uid="{00000000-0005-0000-0000-00003E660000}"/>
    <cellStyle name="Normal 14 2 2 2 3 2" xfId="27767" xr:uid="{00000000-0005-0000-0000-00003F660000}"/>
    <cellStyle name="Normal 14 2 2 2 3 2 2" xfId="54900" xr:uid="{00000000-0005-0000-0000-000040660000}"/>
    <cellStyle name="Normal 14 2 2 2 3 3" xfId="41338" xr:uid="{00000000-0005-0000-0000-000041660000}"/>
    <cellStyle name="Normal 14 2 2 2 4" xfId="20986" xr:uid="{00000000-0005-0000-0000-000042660000}"/>
    <cellStyle name="Normal 14 2 2 2 4 2" xfId="48119" xr:uid="{00000000-0005-0000-0000-000043660000}"/>
    <cellStyle name="Normal 14 2 2 2 5" xfId="34557" xr:uid="{00000000-0005-0000-0000-000044660000}"/>
    <cellStyle name="Normal 14 2 2 3" xfId="7312" xr:uid="{00000000-0005-0000-0000-000045660000}"/>
    <cellStyle name="Normal 14 2 2 3 2" xfId="10802" xr:uid="{00000000-0005-0000-0000-000046660000}"/>
    <cellStyle name="Normal 14 2 2 3 2 2" xfId="17591" xr:uid="{00000000-0005-0000-0000-000047660000}"/>
    <cellStyle name="Normal 14 2 2 3 2 2 2" xfId="31159" xr:uid="{00000000-0005-0000-0000-000048660000}"/>
    <cellStyle name="Normal 14 2 2 3 2 2 2 2" xfId="58292" xr:uid="{00000000-0005-0000-0000-000049660000}"/>
    <cellStyle name="Normal 14 2 2 3 2 2 3" xfId="44730" xr:uid="{00000000-0005-0000-0000-00004A660000}"/>
    <cellStyle name="Normal 14 2 2 3 2 3" xfId="24378" xr:uid="{00000000-0005-0000-0000-00004B660000}"/>
    <cellStyle name="Normal 14 2 2 3 2 3 2" xfId="51511" xr:uid="{00000000-0005-0000-0000-00004C660000}"/>
    <cellStyle name="Normal 14 2 2 3 2 4" xfId="37949" xr:uid="{00000000-0005-0000-0000-00004D660000}"/>
    <cellStyle name="Normal 14 2 2 3 3" xfId="14202" xr:uid="{00000000-0005-0000-0000-00004E660000}"/>
    <cellStyle name="Normal 14 2 2 3 3 2" xfId="27770" xr:uid="{00000000-0005-0000-0000-00004F660000}"/>
    <cellStyle name="Normal 14 2 2 3 3 2 2" xfId="54903" xr:uid="{00000000-0005-0000-0000-000050660000}"/>
    <cellStyle name="Normal 14 2 2 3 3 3" xfId="41341" xr:uid="{00000000-0005-0000-0000-000051660000}"/>
    <cellStyle name="Normal 14 2 2 3 4" xfId="20989" xr:uid="{00000000-0005-0000-0000-000052660000}"/>
    <cellStyle name="Normal 14 2 2 3 4 2" xfId="48122" xr:uid="{00000000-0005-0000-0000-000053660000}"/>
    <cellStyle name="Normal 14 2 2 3 5" xfId="34560" xr:uid="{00000000-0005-0000-0000-000054660000}"/>
    <cellStyle name="Normal 14 2 2 3 7" xfId="58356" xr:uid="{00000000-0005-0000-0000-000055660000}"/>
    <cellStyle name="Normal 14 2 2 4" xfId="10796" xr:uid="{00000000-0005-0000-0000-000056660000}"/>
    <cellStyle name="Normal 14 2 2 4 2" xfId="17585" xr:uid="{00000000-0005-0000-0000-000057660000}"/>
    <cellStyle name="Normal 14 2 2 4 2 2" xfId="31153" xr:uid="{00000000-0005-0000-0000-000058660000}"/>
    <cellStyle name="Normal 14 2 2 4 2 2 2" xfId="58286" xr:uid="{00000000-0005-0000-0000-000059660000}"/>
    <cellStyle name="Normal 14 2 2 4 2 3" xfId="44724" xr:uid="{00000000-0005-0000-0000-00005A660000}"/>
    <cellStyle name="Normal 14 2 2 4 3" xfId="24372" xr:uid="{00000000-0005-0000-0000-00005B660000}"/>
    <cellStyle name="Normal 14 2 2 4 3 2" xfId="51505" xr:uid="{00000000-0005-0000-0000-00005C660000}"/>
    <cellStyle name="Normal 14 2 2 4 4" xfId="37943" xr:uid="{00000000-0005-0000-0000-00005D660000}"/>
    <cellStyle name="Normal 14 2 2 5" xfId="14196" xr:uid="{00000000-0005-0000-0000-00005E660000}"/>
    <cellStyle name="Normal 14 2 2 5 2" xfId="27764" xr:uid="{00000000-0005-0000-0000-00005F660000}"/>
    <cellStyle name="Normal 14 2 2 5 2 2" xfId="54897" xr:uid="{00000000-0005-0000-0000-000060660000}"/>
    <cellStyle name="Normal 14 2 2 5 3" xfId="41335" xr:uid="{00000000-0005-0000-0000-000061660000}"/>
    <cellStyle name="Normal 14 2 2 6" xfId="20983" xr:uid="{00000000-0005-0000-0000-000062660000}"/>
    <cellStyle name="Normal 14 2 2 6 2" xfId="48116" xr:uid="{00000000-0005-0000-0000-000063660000}"/>
    <cellStyle name="Normal 14 2 2 7" xfId="34554" xr:uid="{00000000-0005-0000-0000-000064660000}"/>
    <cellStyle name="Normal 14 3" xfId="5448" xr:uid="{00000000-0005-0000-0000-000065660000}"/>
    <cellStyle name="Normal 15" xfId="2556" xr:uid="{00000000-0005-0000-0000-000066660000}"/>
    <cellStyle name="Normal 15 10" xfId="5449" xr:uid="{00000000-0005-0000-0000-000067660000}"/>
    <cellStyle name="Normal 15 10 2" xfId="8995" xr:uid="{00000000-0005-0000-0000-000068660000}"/>
    <cellStyle name="Normal 15 10 2 2" xfId="15784" xr:uid="{00000000-0005-0000-0000-000069660000}"/>
    <cellStyle name="Normal 15 10 2 2 2" xfId="29352" xr:uid="{00000000-0005-0000-0000-00006A660000}"/>
    <cellStyle name="Normal 15 10 2 2 2 2" xfId="56485" xr:uid="{00000000-0005-0000-0000-00006B660000}"/>
    <cellStyle name="Normal 15 10 2 2 3" xfId="42923" xr:uid="{00000000-0005-0000-0000-00006C660000}"/>
    <cellStyle name="Normal 15 10 2 3" xfId="22571" xr:uid="{00000000-0005-0000-0000-00006D660000}"/>
    <cellStyle name="Normal 15 10 2 3 2" xfId="49704" xr:uid="{00000000-0005-0000-0000-00006E660000}"/>
    <cellStyle name="Normal 15 10 2 4" xfId="36142" xr:uid="{00000000-0005-0000-0000-00006F660000}"/>
    <cellStyle name="Normal 15 10 3" xfId="12395" xr:uid="{00000000-0005-0000-0000-000070660000}"/>
    <cellStyle name="Normal 15 10 3 2" xfId="25963" xr:uid="{00000000-0005-0000-0000-000071660000}"/>
    <cellStyle name="Normal 15 10 3 2 2" xfId="53096" xr:uid="{00000000-0005-0000-0000-000072660000}"/>
    <cellStyle name="Normal 15 10 3 3" xfId="39534" xr:uid="{00000000-0005-0000-0000-000073660000}"/>
    <cellStyle name="Normal 15 10 4" xfId="19182" xr:uid="{00000000-0005-0000-0000-000074660000}"/>
    <cellStyle name="Normal 15 10 4 2" xfId="46315" xr:uid="{00000000-0005-0000-0000-000075660000}"/>
    <cellStyle name="Normal 15 10 5" xfId="32753" xr:uid="{00000000-0005-0000-0000-000076660000}"/>
    <cellStyle name="Normal 15 2" xfId="2557" xr:uid="{00000000-0005-0000-0000-000077660000}"/>
    <cellStyle name="Normal 15 3" xfId="5450" xr:uid="{00000000-0005-0000-0000-000078660000}"/>
    <cellStyle name="Normal 15 3 10" xfId="12396" xr:uid="{00000000-0005-0000-0000-000079660000}"/>
    <cellStyle name="Normal 15 3 10 2" xfId="25964" xr:uid="{00000000-0005-0000-0000-00007A660000}"/>
    <cellStyle name="Normal 15 3 10 2 2" xfId="53097" xr:uid="{00000000-0005-0000-0000-00007B660000}"/>
    <cellStyle name="Normal 15 3 10 3" xfId="39535" xr:uid="{00000000-0005-0000-0000-00007C660000}"/>
    <cellStyle name="Normal 15 3 11" xfId="19183" xr:uid="{00000000-0005-0000-0000-00007D660000}"/>
    <cellStyle name="Normal 15 3 11 2" xfId="46316" xr:uid="{00000000-0005-0000-0000-00007E660000}"/>
    <cellStyle name="Normal 15 3 12" xfId="32754" xr:uid="{00000000-0005-0000-0000-00007F660000}"/>
    <cellStyle name="Normal 15 3 2" xfId="5451" xr:uid="{00000000-0005-0000-0000-000080660000}"/>
    <cellStyle name="Normal 15 3 2 10" xfId="32755" xr:uid="{00000000-0005-0000-0000-000081660000}"/>
    <cellStyle name="Normal 15 3 2 2" xfId="5452" xr:uid="{00000000-0005-0000-0000-000082660000}"/>
    <cellStyle name="Normal 15 3 2 2 2" xfId="5453" xr:uid="{00000000-0005-0000-0000-000083660000}"/>
    <cellStyle name="Normal 15 3 2 2 2 2" xfId="5454" xr:uid="{00000000-0005-0000-0000-000084660000}"/>
    <cellStyle name="Normal 15 3 2 2 2 2 2" xfId="9000" xr:uid="{00000000-0005-0000-0000-000085660000}"/>
    <cellStyle name="Normal 15 3 2 2 2 2 2 2" xfId="15789" xr:uid="{00000000-0005-0000-0000-000086660000}"/>
    <cellStyle name="Normal 15 3 2 2 2 2 2 2 2" xfId="29357" xr:uid="{00000000-0005-0000-0000-000087660000}"/>
    <cellStyle name="Normal 15 3 2 2 2 2 2 2 2 2" xfId="56490" xr:uid="{00000000-0005-0000-0000-000088660000}"/>
    <cellStyle name="Normal 15 3 2 2 2 2 2 2 3" xfId="42928" xr:uid="{00000000-0005-0000-0000-000089660000}"/>
    <cellStyle name="Normal 15 3 2 2 2 2 2 3" xfId="22576" xr:uid="{00000000-0005-0000-0000-00008A660000}"/>
    <cellStyle name="Normal 15 3 2 2 2 2 2 3 2" xfId="49709" xr:uid="{00000000-0005-0000-0000-00008B660000}"/>
    <cellStyle name="Normal 15 3 2 2 2 2 2 4" xfId="36147" xr:uid="{00000000-0005-0000-0000-00008C660000}"/>
    <cellStyle name="Normal 15 3 2 2 2 2 3" xfId="12400" xr:uid="{00000000-0005-0000-0000-00008D660000}"/>
    <cellStyle name="Normal 15 3 2 2 2 2 3 2" xfId="25968" xr:uid="{00000000-0005-0000-0000-00008E660000}"/>
    <cellStyle name="Normal 15 3 2 2 2 2 3 2 2" xfId="53101" xr:uid="{00000000-0005-0000-0000-00008F660000}"/>
    <cellStyle name="Normal 15 3 2 2 2 2 3 3" xfId="39539" xr:uid="{00000000-0005-0000-0000-000090660000}"/>
    <cellStyle name="Normal 15 3 2 2 2 2 4" xfId="19187" xr:uid="{00000000-0005-0000-0000-000091660000}"/>
    <cellStyle name="Normal 15 3 2 2 2 2 4 2" xfId="46320" xr:uid="{00000000-0005-0000-0000-000092660000}"/>
    <cellStyle name="Normal 15 3 2 2 2 2 5" xfId="32758" xr:uid="{00000000-0005-0000-0000-000093660000}"/>
    <cellStyle name="Normal 15 3 2 2 2 3" xfId="5455" xr:uid="{00000000-0005-0000-0000-000094660000}"/>
    <cellStyle name="Normal 15 3 2 2 2 3 2" xfId="9001" xr:uid="{00000000-0005-0000-0000-000095660000}"/>
    <cellStyle name="Normal 15 3 2 2 2 3 2 2" xfId="15790" xr:uid="{00000000-0005-0000-0000-000096660000}"/>
    <cellStyle name="Normal 15 3 2 2 2 3 2 2 2" xfId="29358" xr:uid="{00000000-0005-0000-0000-000097660000}"/>
    <cellStyle name="Normal 15 3 2 2 2 3 2 2 2 2" xfId="56491" xr:uid="{00000000-0005-0000-0000-000098660000}"/>
    <cellStyle name="Normal 15 3 2 2 2 3 2 2 3" xfId="42929" xr:uid="{00000000-0005-0000-0000-000099660000}"/>
    <cellStyle name="Normal 15 3 2 2 2 3 2 3" xfId="22577" xr:uid="{00000000-0005-0000-0000-00009A660000}"/>
    <cellStyle name="Normal 15 3 2 2 2 3 2 3 2" xfId="49710" xr:uid="{00000000-0005-0000-0000-00009B660000}"/>
    <cellStyle name="Normal 15 3 2 2 2 3 2 4" xfId="36148" xr:uid="{00000000-0005-0000-0000-00009C660000}"/>
    <cellStyle name="Normal 15 3 2 2 2 3 3" xfId="12401" xr:uid="{00000000-0005-0000-0000-00009D660000}"/>
    <cellStyle name="Normal 15 3 2 2 2 3 3 2" xfId="25969" xr:uid="{00000000-0005-0000-0000-00009E660000}"/>
    <cellStyle name="Normal 15 3 2 2 2 3 3 2 2" xfId="53102" xr:uid="{00000000-0005-0000-0000-00009F660000}"/>
    <cellStyle name="Normal 15 3 2 2 2 3 3 3" xfId="39540" xr:uid="{00000000-0005-0000-0000-0000A0660000}"/>
    <cellStyle name="Normal 15 3 2 2 2 3 4" xfId="19188" xr:uid="{00000000-0005-0000-0000-0000A1660000}"/>
    <cellStyle name="Normal 15 3 2 2 2 3 4 2" xfId="46321" xr:uid="{00000000-0005-0000-0000-0000A2660000}"/>
    <cellStyle name="Normal 15 3 2 2 2 3 5" xfId="32759" xr:uid="{00000000-0005-0000-0000-0000A3660000}"/>
    <cellStyle name="Normal 15 3 2 2 2 4" xfId="8999" xr:uid="{00000000-0005-0000-0000-0000A4660000}"/>
    <cellStyle name="Normal 15 3 2 2 2 4 2" xfId="15788" xr:uid="{00000000-0005-0000-0000-0000A5660000}"/>
    <cellStyle name="Normal 15 3 2 2 2 4 2 2" xfId="29356" xr:uid="{00000000-0005-0000-0000-0000A6660000}"/>
    <cellStyle name="Normal 15 3 2 2 2 4 2 2 2" xfId="56489" xr:uid="{00000000-0005-0000-0000-0000A7660000}"/>
    <cellStyle name="Normal 15 3 2 2 2 4 2 3" xfId="42927" xr:uid="{00000000-0005-0000-0000-0000A8660000}"/>
    <cellStyle name="Normal 15 3 2 2 2 4 3" xfId="22575" xr:uid="{00000000-0005-0000-0000-0000A9660000}"/>
    <cellStyle name="Normal 15 3 2 2 2 4 3 2" xfId="49708" xr:uid="{00000000-0005-0000-0000-0000AA660000}"/>
    <cellStyle name="Normal 15 3 2 2 2 4 4" xfId="36146" xr:uid="{00000000-0005-0000-0000-0000AB660000}"/>
    <cellStyle name="Normal 15 3 2 2 2 5" xfId="12399" xr:uid="{00000000-0005-0000-0000-0000AC660000}"/>
    <cellStyle name="Normal 15 3 2 2 2 5 2" xfId="25967" xr:uid="{00000000-0005-0000-0000-0000AD660000}"/>
    <cellStyle name="Normal 15 3 2 2 2 5 2 2" xfId="53100" xr:uid="{00000000-0005-0000-0000-0000AE660000}"/>
    <cellStyle name="Normal 15 3 2 2 2 5 3" xfId="39538" xr:uid="{00000000-0005-0000-0000-0000AF660000}"/>
    <cellStyle name="Normal 15 3 2 2 2 6" xfId="19186" xr:uid="{00000000-0005-0000-0000-0000B0660000}"/>
    <cellStyle name="Normal 15 3 2 2 2 6 2" xfId="46319" xr:uid="{00000000-0005-0000-0000-0000B1660000}"/>
    <cellStyle name="Normal 15 3 2 2 2 7" xfId="32757" xr:uid="{00000000-0005-0000-0000-0000B2660000}"/>
    <cellStyle name="Normal 15 3 2 2 3" xfId="5456" xr:uid="{00000000-0005-0000-0000-0000B3660000}"/>
    <cellStyle name="Normal 15 3 2 2 3 2" xfId="5457" xr:uid="{00000000-0005-0000-0000-0000B4660000}"/>
    <cellStyle name="Normal 15 3 2 2 3 2 2" xfId="9003" xr:uid="{00000000-0005-0000-0000-0000B5660000}"/>
    <cellStyle name="Normal 15 3 2 2 3 2 2 2" xfId="15792" xr:uid="{00000000-0005-0000-0000-0000B6660000}"/>
    <cellStyle name="Normal 15 3 2 2 3 2 2 2 2" xfId="29360" xr:uid="{00000000-0005-0000-0000-0000B7660000}"/>
    <cellStyle name="Normal 15 3 2 2 3 2 2 2 2 2" xfId="56493" xr:uid="{00000000-0005-0000-0000-0000B8660000}"/>
    <cellStyle name="Normal 15 3 2 2 3 2 2 2 3" xfId="42931" xr:uid="{00000000-0005-0000-0000-0000B9660000}"/>
    <cellStyle name="Normal 15 3 2 2 3 2 2 3" xfId="22579" xr:uid="{00000000-0005-0000-0000-0000BA660000}"/>
    <cellStyle name="Normal 15 3 2 2 3 2 2 3 2" xfId="49712" xr:uid="{00000000-0005-0000-0000-0000BB660000}"/>
    <cellStyle name="Normal 15 3 2 2 3 2 2 4" xfId="36150" xr:uid="{00000000-0005-0000-0000-0000BC660000}"/>
    <cellStyle name="Normal 15 3 2 2 3 2 3" xfId="12403" xr:uid="{00000000-0005-0000-0000-0000BD660000}"/>
    <cellStyle name="Normal 15 3 2 2 3 2 3 2" xfId="25971" xr:uid="{00000000-0005-0000-0000-0000BE660000}"/>
    <cellStyle name="Normal 15 3 2 2 3 2 3 2 2" xfId="53104" xr:uid="{00000000-0005-0000-0000-0000BF660000}"/>
    <cellStyle name="Normal 15 3 2 2 3 2 3 3" xfId="39542" xr:uid="{00000000-0005-0000-0000-0000C0660000}"/>
    <cellStyle name="Normal 15 3 2 2 3 2 4" xfId="19190" xr:uid="{00000000-0005-0000-0000-0000C1660000}"/>
    <cellStyle name="Normal 15 3 2 2 3 2 4 2" xfId="46323" xr:uid="{00000000-0005-0000-0000-0000C2660000}"/>
    <cellStyle name="Normal 15 3 2 2 3 2 5" xfId="32761" xr:uid="{00000000-0005-0000-0000-0000C3660000}"/>
    <cellStyle name="Normal 15 3 2 2 3 3" xfId="9002" xr:uid="{00000000-0005-0000-0000-0000C4660000}"/>
    <cellStyle name="Normal 15 3 2 2 3 3 2" xfId="15791" xr:uid="{00000000-0005-0000-0000-0000C5660000}"/>
    <cellStyle name="Normal 15 3 2 2 3 3 2 2" xfId="29359" xr:uid="{00000000-0005-0000-0000-0000C6660000}"/>
    <cellStyle name="Normal 15 3 2 2 3 3 2 2 2" xfId="56492" xr:uid="{00000000-0005-0000-0000-0000C7660000}"/>
    <cellStyle name="Normal 15 3 2 2 3 3 2 3" xfId="42930" xr:uid="{00000000-0005-0000-0000-0000C8660000}"/>
    <cellStyle name="Normal 15 3 2 2 3 3 3" xfId="22578" xr:uid="{00000000-0005-0000-0000-0000C9660000}"/>
    <cellStyle name="Normal 15 3 2 2 3 3 3 2" xfId="49711" xr:uid="{00000000-0005-0000-0000-0000CA660000}"/>
    <cellStyle name="Normal 15 3 2 2 3 3 4" xfId="36149" xr:uid="{00000000-0005-0000-0000-0000CB660000}"/>
    <cellStyle name="Normal 15 3 2 2 3 4" xfId="12402" xr:uid="{00000000-0005-0000-0000-0000CC660000}"/>
    <cellStyle name="Normal 15 3 2 2 3 4 2" xfId="25970" xr:uid="{00000000-0005-0000-0000-0000CD660000}"/>
    <cellStyle name="Normal 15 3 2 2 3 4 2 2" xfId="53103" xr:uid="{00000000-0005-0000-0000-0000CE660000}"/>
    <cellStyle name="Normal 15 3 2 2 3 4 3" xfId="39541" xr:uid="{00000000-0005-0000-0000-0000CF660000}"/>
    <cellStyle name="Normal 15 3 2 2 3 5" xfId="19189" xr:uid="{00000000-0005-0000-0000-0000D0660000}"/>
    <cellStyle name="Normal 15 3 2 2 3 5 2" xfId="46322" xr:uid="{00000000-0005-0000-0000-0000D1660000}"/>
    <cellStyle name="Normal 15 3 2 2 3 6" xfId="32760" xr:uid="{00000000-0005-0000-0000-0000D2660000}"/>
    <cellStyle name="Normal 15 3 2 2 4" xfId="5458" xr:uid="{00000000-0005-0000-0000-0000D3660000}"/>
    <cellStyle name="Normal 15 3 2 2 4 2" xfId="9004" xr:uid="{00000000-0005-0000-0000-0000D4660000}"/>
    <cellStyle name="Normal 15 3 2 2 4 2 2" xfId="15793" xr:uid="{00000000-0005-0000-0000-0000D5660000}"/>
    <cellStyle name="Normal 15 3 2 2 4 2 2 2" xfId="29361" xr:uid="{00000000-0005-0000-0000-0000D6660000}"/>
    <cellStyle name="Normal 15 3 2 2 4 2 2 2 2" xfId="56494" xr:uid="{00000000-0005-0000-0000-0000D7660000}"/>
    <cellStyle name="Normal 15 3 2 2 4 2 2 3" xfId="42932" xr:uid="{00000000-0005-0000-0000-0000D8660000}"/>
    <cellStyle name="Normal 15 3 2 2 4 2 3" xfId="22580" xr:uid="{00000000-0005-0000-0000-0000D9660000}"/>
    <cellStyle name="Normal 15 3 2 2 4 2 3 2" xfId="49713" xr:uid="{00000000-0005-0000-0000-0000DA660000}"/>
    <cellStyle name="Normal 15 3 2 2 4 2 4" xfId="36151" xr:uid="{00000000-0005-0000-0000-0000DB660000}"/>
    <cellStyle name="Normal 15 3 2 2 4 3" xfId="12404" xr:uid="{00000000-0005-0000-0000-0000DC660000}"/>
    <cellStyle name="Normal 15 3 2 2 4 3 2" xfId="25972" xr:uid="{00000000-0005-0000-0000-0000DD660000}"/>
    <cellStyle name="Normal 15 3 2 2 4 3 2 2" xfId="53105" xr:uid="{00000000-0005-0000-0000-0000DE660000}"/>
    <cellStyle name="Normal 15 3 2 2 4 3 3" xfId="39543" xr:uid="{00000000-0005-0000-0000-0000DF660000}"/>
    <cellStyle name="Normal 15 3 2 2 4 4" xfId="19191" xr:uid="{00000000-0005-0000-0000-0000E0660000}"/>
    <cellStyle name="Normal 15 3 2 2 4 4 2" xfId="46324" xr:uid="{00000000-0005-0000-0000-0000E1660000}"/>
    <cellStyle name="Normal 15 3 2 2 4 5" xfId="32762" xr:uid="{00000000-0005-0000-0000-0000E2660000}"/>
    <cellStyle name="Normal 15 3 2 2 5" xfId="5459" xr:uid="{00000000-0005-0000-0000-0000E3660000}"/>
    <cellStyle name="Normal 15 3 2 2 5 2" xfId="9005" xr:uid="{00000000-0005-0000-0000-0000E4660000}"/>
    <cellStyle name="Normal 15 3 2 2 5 2 2" xfId="15794" xr:uid="{00000000-0005-0000-0000-0000E5660000}"/>
    <cellStyle name="Normal 15 3 2 2 5 2 2 2" xfId="29362" xr:uid="{00000000-0005-0000-0000-0000E6660000}"/>
    <cellStyle name="Normal 15 3 2 2 5 2 2 2 2" xfId="56495" xr:uid="{00000000-0005-0000-0000-0000E7660000}"/>
    <cellStyle name="Normal 15 3 2 2 5 2 2 3" xfId="42933" xr:uid="{00000000-0005-0000-0000-0000E8660000}"/>
    <cellStyle name="Normal 15 3 2 2 5 2 3" xfId="22581" xr:uid="{00000000-0005-0000-0000-0000E9660000}"/>
    <cellStyle name="Normal 15 3 2 2 5 2 3 2" xfId="49714" xr:uid="{00000000-0005-0000-0000-0000EA660000}"/>
    <cellStyle name="Normal 15 3 2 2 5 2 4" xfId="36152" xr:uid="{00000000-0005-0000-0000-0000EB660000}"/>
    <cellStyle name="Normal 15 3 2 2 5 3" xfId="12405" xr:uid="{00000000-0005-0000-0000-0000EC660000}"/>
    <cellStyle name="Normal 15 3 2 2 5 3 2" xfId="25973" xr:uid="{00000000-0005-0000-0000-0000ED660000}"/>
    <cellStyle name="Normal 15 3 2 2 5 3 2 2" xfId="53106" xr:uid="{00000000-0005-0000-0000-0000EE660000}"/>
    <cellStyle name="Normal 15 3 2 2 5 3 3" xfId="39544" xr:uid="{00000000-0005-0000-0000-0000EF660000}"/>
    <cellStyle name="Normal 15 3 2 2 5 4" xfId="19192" xr:uid="{00000000-0005-0000-0000-0000F0660000}"/>
    <cellStyle name="Normal 15 3 2 2 5 4 2" xfId="46325" xr:uid="{00000000-0005-0000-0000-0000F1660000}"/>
    <cellStyle name="Normal 15 3 2 2 5 5" xfId="32763" xr:uid="{00000000-0005-0000-0000-0000F2660000}"/>
    <cellStyle name="Normal 15 3 2 2 6" xfId="8998" xr:uid="{00000000-0005-0000-0000-0000F3660000}"/>
    <cellStyle name="Normal 15 3 2 2 6 2" xfId="15787" xr:uid="{00000000-0005-0000-0000-0000F4660000}"/>
    <cellStyle name="Normal 15 3 2 2 6 2 2" xfId="29355" xr:uid="{00000000-0005-0000-0000-0000F5660000}"/>
    <cellStyle name="Normal 15 3 2 2 6 2 2 2" xfId="56488" xr:uid="{00000000-0005-0000-0000-0000F6660000}"/>
    <cellStyle name="Normal 15 3 2 2 6 2 3" xfId="42926" xr:uid="{00000000-0005-0000-0000-0000F7660000}"/>
    <cellStyle name="Normal 15 3 2 2 6 3" xfId="22574" xr:uid="{00000000-0005-0000-0000-0000F8660000}"/>
    <cellStyle name="Normal 15 3 2 2 6 3 2" xfId="49707" xr:uid="{00000000-0005-0000-0000-0000F9660000}"/>
    <cellStyle name="Normal 15 3 2 2 6 4" xfId="36145" xr:uid="{00000000-0005-0000-0000-0000FA660000}"/>
    <cellStyle name="Normal 15 3 2 2 7" xfId="12398" xr:uid="{00000000-0005-0000-0000-0000FB660000}"/>
    <cellStyle name="Normal 15 3 2 2 7 2" xfId="25966" xr:uid="{00000000-0005-0000-0000-0000FC660000}"/>
    <cellStyle name="Normal 15 3 2 2 7 2 2" xfId="53099" xr:uid="{00000000-0005-0000-0000-0000FD660000}"/>
    <cellStyle name="Normal 15 3 2 2 7 3" xfId="39537" xr:uid="{00000000-0005-0000-0000-0000FE660000}"/>
    <cellStyle name="Normal 15 3 2 2 8" xfId="19185" xr:uid="{00000000-0005-0000-0000-0000FF660000}"/>
    <cellStyle name="Normal 15 3 2 2 8 2" xfId="46318" xr:uid="{00000000-0005-0000-0000-000000670000}"/>
    <cellStyle name="Normal 15 3 2 2 9" xfId="32756" xr:uid="{00000000-0005-0000-0000-000001670000}"/>
    <cellStyle name="Normal 15 3 2 3" xfId="5460" xr:uid="{00000000-0005-0000-0000-000002670000}"/>
    <cellStyle name="Normal 15 3 2 3 2" xfId="5461" xr:uid="{00000000-0005-0000-0000-000003670000}"/>
    <cellStyle name="Normal 15 3 2 3 2 2" xfId="9007" xr:uid="{00000000-0005-0000-0000-000004670000}"/>
    <cellStyle name="Normal 15 3 2 3 2 2 2" xfId="15796" xr:uid="{00000000-0005-0000-0000-000005670000}"/>
    <cellStyle name="Normal 15 3 2 3 2 2 2 2" xfId="29364" xr:uid="{00000000-0005-0000-0000-000006670000}"/>
    <cellStyle name="Normal 15 3 2 3 2 2 2 2 2" xfId="56497" xr:uid="{00000000-0005-0000-0000-000007670000}"/>
    <cellStyle name="Normal 15 3 2 3 2 2 2 3" xfId="42935" xr:uid="{00000000-0005-0000-0000-000008670000}"/>
    <cellStyle name="Normal 15 3 2 3 2 2 3" xfId="22583" xr:uid="{00000000-0005-0000-0000-000009670000}"/>
    <cellStyle name="Normal 15 3 2 3 2 2 3 2" xfId="49716" xr:uid="{00000000-0005-0000-0000-00000A670000}"/>
    <cellStyle name="Normal 15 3 2 3 2 2 4" xfId="36154" xr:uid="{00000000-0005-0000-0000-00000B670000}"/>
    <cellStyle name="Normal 15 3 2 3 2 3" xfId="12407" xr:uid="{00000000-0005-0000-0000-00000C670000}"/>
    <cellStyle name="Normal 15 3 2 3 2 3 2" xfId="25975" xr:uid="{00000000-0005-0000-0000-00000D670000}"/>
    <cellStyle name="Normal 15 3 2 3 2 3 2 2" xfId="53108" xr:uid="{00000000-0005-0000-0000-00000E670000}"/>
    <cellStyle name="Normal 15 3 2 3 2 3 3" xfId="39546" xr:uid="{00000000-0005-0000-0000-00000F670000}"/>
    <cellStyle name="Normal 15 3 2 3 2 4" xfId="19194" xr:uid="{00000000-0005-0000-0000-000010670000}"/>
    <cellStyle name="Normal 15 3 2 3 2 4 2" xfId="46327" xr:uid="{00000000-0005-0000-0000-000011670000}"/>
    <cellStyle name="Normal 15 3 2 3 2 5" xfId="32765" xr:uid="{00000000-0005-0000-0000-000012670000}"/>
    <cellStyle name="Normal 15 3 2 3 3" xfId="5462" xr:uid="{00000000-0005-0000-0000-000013670000}"/>
    <cellStyle name="Normal 15 3 2 3 3 2" xfId="9008" xr:uid="{00000000-0005-0000-0000-000014670000}"/>
    <cellStyle name="Normal 15 3 2 3 3 2 2" xfId="15797" xr:uid="{00000000-0005-0000-0000-000015670000}"/>
    <cellStyle name="Normal 15 3 2 3 3 2 2 2" xfId="29365" xr:uid="{00000000-0005-0000-0000-000016670000}"/>
    <cellStyle name="Normal 15 3 2 3 3 2 2 2 2" xfId="56498" xr:uid="{00000000-0005-0000-0000-000017670000}"/>
    <cellStyle name="Normal 15 3 2 3 3 2 2 3" xfId="42936" xr:uid="{00000000-0005-0000-0000-000018670000}"/>
    <cellStyle name="Normal 15 3 2 3 3 2 3" xfId="22584" xr:uid="{00000000-0005-0000-0000-000019670000}"/>
    <cellStyle name="Normal 15 3 2 3 3 2 3 2" xfId="49717" xr:uid="{00000000-0005-0000-0000-00001A670000}"/>
    <cellStyle name="Normal 15 3 2 3 3 2 4" xfId="36155" xr:uid="{00000000-0005-0000-0000-00001B670000}"/>
    <cellStyle name="Normal 15 3 2 3 3 3" xfId="12408" xr:uid="{00000000-0005-0000-0000-00001C670000}"/>
    <cellStyle name="Normal 15 3 2 3 3 3 2" xfId="25976" xr:uid="{00000000-0005-0000-0000-00001D670000}"/>
    <cellStyle name="Normal 15 3 2 3 3 3 2 2" xfId="53109" xr:uid="{00000000-0005-0000-0000-00001E670000}"/>
    <cellStyle name="Normal 15 3 2 3 3 3 3" xfId="39547" xr:uid="{00000000-0005-0000-0000-00001F670000}"/>
    <cellStyle name="Normal 15 3 2 3 3 4" xfId="19195" xr:uid="{00000000-0005-0000-0000-000020670000}"/>
    <cellStyle name="Normal 15 3 2 3 3 4 2" xfId="46328" xr:uid="{00000000-0005-0000-0000-000021670000}"/>
    <cellStyle name="Normal 15 3 2 3 3 5" xfId="32766" xr:uid="{00000000-0005-0000-0000-000022670000}"/>
    <cellStyle name="Normal 15 3 2 3 4" xfId="9006" xr:uid="{00000000-0005-0000-0000-000023670000}"/>
    <cellStyle name="Normal 15 3 2 3 4 2" xfId="15795" xr:uid="{00000000-0005-0000-0000-000024670000}"/>
    <cellStyle name="Normal 15 3 2 3 4 2 2" xfId="29363" xr:uid="{00000000-0005-0000-0000-000025670000}"/>
    <cellStyle name="Normal 15 3 2 3 4 2 2 2" xfId="56496" xr:uid="{00000000-0005-0000-0000-000026670000}"/>
    <cellStyle name="Normal 15 3 2 3 4 2 3" xfId="42934" xr:uid="{00000000-0005-0000-0000-000027670000}"/>
    <cellStyle name="Normal 15 3 2 3 4 3" xfId="22582" xr:uid="{00000000-0005-0000-0000-000028670000}"/>
    <cellStyle name="Normal 15 3 2 3 4 3 2" xfId="49715" xr:uid="{00000000-0005-0000-0000-000029670000}"/>
    <cellStyle name="Normal 15 3 2 3 4 4" xfId="36153" xr:uid="{00000000-0005-0000-0000-00002A670000}"/>
    <cellStyle name="Normal 15 3 2 3 5" xfId="12406" xr:uid="{00000000-0005-0000-0000-00002B670000}"/>
    <cellStyle name="Normal 15 3 2 3 5 2" xfId="25974" xr:uid="{00000000-0005-0000-0000-00002C670000}"/>
    <cellStyle name="Normal 15 3 2 3 5 2 2" xfId="53107" xr:uid="{00000000-0005-0000-0000-00002D670000}"/>
    <cellStyle name="Normal 15 3 2 3 5 3" xfId="39545" xr:uid="{00000000-0005-0000-0000-00002E670000}"/>
    <cellStyle name="Normal 15 3 2 3 6" xfId="19193" xr:uid="{00000000-0005-0000-0000-00002F670000}"/>
    <cellStyle name="Normal 15 3 2 3 6 2" xfId="46326" xr:uid="{00000000-0005-0000-0000-000030670000}"/>
    <cellStyle name="Normal 15 3 2 3 7" xfId="32764" xr:uid="{00000000-0005-0000-0000-000031670000}"/>
    <cellStyle name="Normal 15 3 2 4" xfId="5463" xr:uid="{00000000-0005-0000-0000-000032670000}"/>
    <cellStyle name="Normal 15 3 2 4 2" xfId="5464" xr:uid="{00000000-0005-0000-0000-000033670000}"/>
    <cellStyle name="Normal 15 3 2 4 2 2" xfId="9010" xr:uid="{00000000-0005-0000-0000-000034670000}"/>
    <cellStyle name="Normal 15 3 2 4 2 2 2" xfId="15799" xr:uid="{00000000-0005-0000-0000-000035670000}"/>
    <cellStyle name="Normal 15 3 2 4 2 2 2 2" xfId="29367" xr:uid="{00000000-0005-0000-0000-000036670000}"/>
    <cellStyle name="Normal 15 3 2 4 2 2 2 2 2" xfId="56500" xr:uid="{00000000-0005-0000-0000-000037670000}"/>
    <cellStyle name="Normal 15 3 2 4 2 2 2 3" xfId="42938" xr:uid="{00000000-0005-0000-0000-000038670000}"/>
    <cellStyle name="Normal 15 3 2 4 2 2 3" xfId="22586" xr:uid="{00000000-0005-0000-0000-000039670000}"/>
    <cellStyle name="Normal 15 3 2 4 2 2 3 2" xfId="49719" xr:uid="{00000000-0005-0000-0000-00003A670000}"/>
    <cellStyle name="Normal 15 3 2 4 2 2 4" xfId="36157" xr:uid="{00000000-0005-0000-0000-00003B670000}"/>
    <cellStyle name="Normal 15 3 2 4 2 3" xfId="12410" xr:uid="{00000000-0005-0000-0000-00003C670000}"/>
    <cellStyle name="Normal 15 3 2 4 2 3 2" xfId="25978" xr:uid="{00000000-0005-0000-0000-00003D670000}"/>
    <cellStyle name="Normal 15 3 2 4 2 3 2 2" xfId="53111" xr:uid="{00000000-0005-0000-0000-00003E670000}"/>
    <cellStyle name="Normal 15 3 2 4 2 3 3" xfId="39549" xr:uid="{00000000-0005-0000-0000-00003F670000}"/>
    <cellStyle name="Normal 15 3 2 4 2 4" xfId="19197" xr:uid="{00000000-0005-0000-0000-000040670000}"/>
    <cellStyle name="Normal 15 3 2 4 2 4 2" xfId="46330" xr:uid="{00000000-0005-0000-0000-000041670000}"/>
    <cellStyle name="Normal 15 3 2 4 2 5" xfId="32768" xr:uid="{00000000-0005-0000-0000-000042670000}"/>
    <cellStyle name="Normal 15 3 2 4 3" xfId="9009" xr:uid="{00000000-0005-0000-0000-000043670000}"/>
    <cellStyle name="Normal 15 3 2 4 3 2" xfId="15798" xr:uid="{00000000-0005-0000-0000-000044670000}"/>
    <cellStyle name="Normal 15 3 2 4 3 2 2" xfId="29366" xr:uid="{00000000-0005-0000-0000-000045670000}"/>
    <cellStyle name="Normal 15 3 2 4 3 2 2 2" xfId="56499" xr:uid="{00000000-0005-0000-0000-000046670000}"/>
    <cellStyle name="Normal 15 3 2 4 3 2 3" xfId="42937" xr:uid="{00000000-0005-0000-0000-000047670000}"/>
    <cellStyle name="Normal 15 3 2 4 3 3" xfId="22585" xr:uid="{00000000-0005-0000-0000-000048670000}"/>
    <cellStyle name="Normal 15 3 2 4 3 3 2" xfId="49718" xr:uid="{00000000-0005-0000-0000-000049670000}"/>
    <cellStyle name="Normal 15 3 2 4 3 4" xfId="36156" xr:uid="{00000000-0005-0000-0000-00004A670000}"/>
    <cellStyle name="Normal 15 3 2 4 4" xfId="12409" xr:uid="{00000000-0005-0000-0000-00004B670000}"/>
    <cellStyle name="Normal 15 3 2 4 4 2" xfId="25977" xr:uid="{00000000-0005-0000-0000-00004C670000}"/>
    <cellStyle name="Normal 15 3 2 4 4 2 2" xfId="53110" xr:uid="{00000000-0005-0000-0000-00004D670000}"/>
    <cellStyle name="Normal 15 3 2 4 4 3" xfId="39548" xr:uid="{00000000-0005-0000-0000-00004E670000}"/>
    <cellStyle name="Normal 15 3 2 4 5" xfId="19196" xr:uid="{00000000-0005-0000-0000-00004F670000}"/>
    <cellStyle name="Normal 15 3 2 4 5 2" xfId="46329" xr:uid="{00000000-0005-0000-0000-000050670000}"/>
    <cellStyle name="Normal 15 3 2 4 6" xfId="32767" xr:uid="{00000000-0005-0000-0000-000051670000}"/>
    <cellStyle name="Normal 15 3 2 5" xfId="5465" xr:uid="{00000000-0005-0000-0000-000052670000}"/>
    <cellStyle name="Normal 15 3 2 5 2" xfId="9011" xr:uid="{00000000-0005-0000-0000-000053670000}"/>
    <cellStyle name="Normal 15 3 2 5 2 2" xfId="15800" xr:uid="{00000000-0005-0000-0000-000054670000}"/>
    <cellStyle name="Normal 15 3 2 5 2 2 2" xfId="29368" xr:uid="{00000000-0005-0000-0000-000055670000}"/>
    <cellStyle name="Normal 15 3 2 5 2 2 2 2" xfId="56501" xr:uid="{00000000-0005-0000-0000-000056670000}"/>
    <cellStyle name="Normal 15 3 2 5 2 2 3" xfId="42939" xr:uid="{00000000-0005-0000-0000-000057670000}"/>
    <cellStyle name="Normal 15 3 2 5 2 3" xfId="22587" xr:uid="{00000000-0005-0000-0000-000058670000}"/>
    <cellStyle name="Normal 15 3 2 5 2 3 2" xfId="49720" xr:uid="{00000000-0005-0000-0000-000059670000}"/>
    <cellStyle name="Normal 15 3 2 5 2 4" xfId="36158" xr:uid="{00000000-0005-0000-0000-00005A670000}"/>
    <cellStyle name="Normal 15 3 2 5 3" xfId="12411" xr:uid="{00000000-0005-0000-0000-00005B670000}"/>
    <cellStyle name="Normal 15 3 2 5 3 2" xfId="25979" xr:uid="{00000000-0005-0000-0000-00005C670000}"/>
    <cellStyle name="Normal 15 3 2 5 3 2 2" xfId="53112" xr:uid="{00000000-0005-0000-0000-00005D670000}"/>
    <cellStyle name="Normal 15 3 2 5 3 3" xfId="39550" xr:uid="{00000000-0005-0000-0000-00005E670000}"/>
    <cellStyle name="Normal 15 3 2 5 4" xfId="19198" xr:uid="{00000000-0005-0000-0000-00005F670000}"/>
    <cellStyle name="Normal 15 3 2 5 4 2" xfId="46331" xr:uid="{00000000-0005-0000-0000-000060670000}"/>
    <cellStyle name="Normal 15 3 2 5 5" xfId="32769" xr:uid="{00000000-0005-0000-0000-000061670000}"/>
    <cellStyle name="Normal 15 3 2 6" xfId="5466" xr:uid="{00000000-0005-0000-0000-000062670000}"/>
    <cellStyle name="Normal 15 3 2 6 2" xfId="9012" xr:uid="{00000000-0005-0000-0000-000063670000}"/>
    <cellStyle name="Normal 15 3 2 6 2 2" xfId="15801" xr:uid="{00000000-0005-0000-0000-000064670000}"/>
    <cellStyle name="Normal 15 3 2 6 2 2 2" xfId="29369" xr:uid="{00000000-0005-0000-0000-000065670000}"/>
    <cellStyle name="Normal 15 3 2 6 2 2 2 2" xfId="56502" xr:uid="{00000000-0005-0000-0000-000066670000}"/>
    <cellStyle name="Normal 15 3 2 6 2 2 3" xfId="42940" xr:uid="{00000000-0005-0000-0000-000067670000}"/>
    <cellStyle name="Normal 15 3 2 6 2 3" xfId="22588" xr:uid="{00000000-0005-0000-0000-000068670000}"/>
    <cellStyle name="Normal 15 3 2 6 2 3 2" xfId="49721" xr:uid="{00000000-0005-0000-0000-000069670000}"/>
    <cellStyle name="Normal 15 3 2 6 2 4" xfId="36159" xr:uid="{00000000-0005-0000-0000-00006A670000}"/>
    <cellStyle name="Normal 15 3 2 6 3" xfId="12412" xr:uid="{00000000-0005-0000-0000-00006B670000}"/>
    <cellStyle name="Normal 15 3 2 6 3 2" xfId="25980" xr:uid="{00000000-0005-0000-0000-00006C670000}"/>
    <cellStyle name="Normal 15 3 2 6 3 2 2" xfId="53113" xr:uid="{00000000-0005-0000-0000-00006D670000}"/>
    <cellStyle name="Normal 15 3 2 6 3 3" xfId="39551" xr:uid="{00000000-0005-0000-0000-00006E670000}"/>
    <cellStyle name="Normal 15 3 2 6 4" xfId="19199" xr:uid="{00000000-0005-0000-0000-00006F670000}"/>
    <cellStyle name="Normal 15 3 2 6 4 2" xfId="46332" xr:uid="{00000000-0005-0000-0000-000070670000}"/>
    <cellStyle name="Normal 15 3 2 6 5" xfId="32770" xr:uid="{00000000-0005-0000-0000-000071670000}"/>
    <cellStyle name="Normal 15 3 2 7" xfId="8997" xr:uid="{00000000-0005-0000-0000-000072670000}"/>
    <cellStyle name="Normal 15 3 2 7 2" xfId="15786" xr:uid="{00000000-0005-0000-0000-000073670000}"/>
    <cellStyle name="Normal 15 3 2 7 2 2" xfId="29354" xr:uid="{00000000-0005-0000-0000-000074670000}"/>
    <cellStyle name="Normal 15 3 2 7 2 2 2" xfId="56487" xr:uid="{00000000-0005-0000-0000-000075670000}"/>
    <cellStyle name="Normal 15 3 2 7 2 3" xfId="42925" xr:uid="{00000000-0005-0000-0000-000076670000}"/>
    <cellStyle name="Normal 15 3 2 7 3" xfId="22573" xr:uid="{00000000-0005-0000-0000-000077670000}"/>
    <cellStyle name="Normal 15 3 2 7 3 2" xfId="49706" xr:uid="{00000000-0005-0000-0000-000078670000}"/>
    <cellStyle name="Normal 15 3 2 7 4" xfId="36144" xr:uid="{00000000-0005-0000-0000-000079670000}"/>
    <cellStyle name="Normal 15 3 2 8" xfId="12397" xr:uid="{00000000-0005-0000-0000-00007A670000}"/>
    <cellStyle name="Normal 15 3 2 8 2" xfId="25965" xr:uid="{00000000-0005-0000-0000-00007B670000}"/>
    <cellStyle name="Normal 15 3 2 8 2 2" xfId="53098" xr:uid="{00000000-0005-0000-0000-00007C670000}"/>
    <cellStyle name="Normal 15 3 2 8 3" xfId="39536" xr:uid="{00000000-0005-0000-0000-00007D670000}"/>
    <cellStyle name="Normal 15 3 2 9" xfId="19184" xr:uid="{00000000-0005-0000-0000-00007E670000}"/>
    <cellStyle name="Normal 15 3 2 9 2" xfId="46317" xr:uid="{00000000-0005-0000-0000-00007F670000}"/>
    <cellStyle name="Normal 15 3 3" xfId="5467" xr:uid="{00000000-0005-0000-0000-000080670000}"/>
    <cellStyle name="Normal 15 3 3 2" xfId="5468" xr:uid="{00000000-0005-0000-0000-000081670000}"/>
    <cellStyle name="Normal 15 3 3 2 2" xfId="5469" xr:uid="{00000000-0005-0000-0000-000082670000}"/>
    <cellStyle name="Normal 15 3 3 2 2 2" xfId="9015" xr:uid="{00000000-0005-0000-0000-000083670000}"/>
    <cellStyle name="Normal 15 3 3 2 2 2 2" xfId="15804" xr:uid="{00000000-0005-0000-0000-000084670000}"/>
    <cellStyle name="Normal 15 3 3 2 2 2 2 2" xfId="29372" xr:uid="{00000000-0005-0000-0000-000085670000}"/>
    <cellStyle name="Normal 15 3 3 2 2 2 2 2 2" xfId="56505" xr:uid="{00000000-0005-0000-0000-000086670000}"/>
    <cellStyle name="Normal 15 3 3 2 2 2 2 3" xfId="42943" xr:uid="{00000000-0005-0000-0000-000087670000}"/>
    <cellStyle name="Normal 15 3 3 2 2 2 3" xfId="22591" xr:uid="{00000000-0005-0000-0000-000088670000}"/>
    <cellStyle name="Normal 15 3 3 2 2 2 3 2" xfId="49724" xr:uid="{00000000-0005-0000-0000-000089670000}"/>
    <cellStyle name="Normal 15 3 3 2 2 2 4" xfId="36162" xr:uid="{00000000-0005-0000-0000-00008A670000}"/>
    <cellStyle name="Normal 15 3 3 2 2 3" xfId="12415" xr:uid="{00000000-0005-0000-0000-00008B670000}"/>
    <cellStyle name="Normal 15 3 3 2 2 3 2" xfId="25983" xr:uid="{00000000-0005-0000-0000-00008C670000}"/>
    <cellStyle name="Normal 15 3 3 2 2 3 2 2" xfId="53116" xr:uid="{00000000-0005-0000-0000-00008D670000}"/>
    <cellStyle name="Normal 15 3 3 2 2 3 3" xfId="39554" xr:uid="{00000000-0005-0000-0000-00008E670000}"/>
    <cellStyle name="Normal 15 3 3 2 2 4" xfId="19202" xr:uid="{00000000-0005-0000-0000-00008F670000}"/>
    <cellStyle name="Normal 15 3 3 2 2 4 2" xfId="46335" xr:uid="{00000000-0005-0000-0000-000090670000}"/>
    <cellStyle name="Normal 15 3 3 2 2 5" xfId="32773" xr:uid="{00000000-0005-0000-0000-000091670000}"/>
    <cellStyle name="Normal 15 3 3 2 3" xfId="5470" xr:uid="{00000000-0005-0000-0000-000092670000}"/>
    <cellStyle name="Normal 15 3 3 2 3 2" xfId="9016" xr:uid="{00000000-0005-0000-0000-000093670000}"/>
    <cellStyle name="Normal 15 3 3 2 3 2 2" xfId="15805" xr:uid="{00000000-0005-0000-0000-000094670000}"/>
    <cellStyle name="Normal 15 3 3 2 3 2 2 2" xfId="29373" xr:uid="{00000000-0005-0000-0000-000095670000}"/>
    <cellStyle name="Normal 15 3 3 2 3 2 2 2 2" xfId="56506" xr:uid="{00000000-0005-0000-0000-000096670000}"/>
    <cellStyle name="Normal 15 3 3 2 3 2 2 3" xfId="42944" xr:uid="{00000000-0005-0000-0000-000097670000}"/>
    <cellStyle name="Normal 15 3 3 2 3 2 3" xfId="22592" xr:uid="{00000000-0005-0000-0000-000098670000}"/>
    <cellStyle name="Normal 15 3 3 2 3 2 3 2" xfId="49725" xr:uid="{00000000-0005-0000-0000-000099670000}"/>
    <cellStyle name="Normal 15 3 3 2 3 2 4" xfId="36163" xr:uid="{00000000-0005-0000-0000-00009A670000}"/>
    <cellStyle name="Normal 15 3 3 2 3 3" xfId="12416" xr:uid="{00000000-0005-0000-0000-00009B670000}"/>
    <cellStyle name="Normal 15 3 3 2 3 3 2" xfId="25984" xr:uid="{00000000-0005-0000-0000-00009C670000}"/>
    <cellStyle name="Normal 15 3 3 2 3 3 2 2" xfId="53117" xr:uid="{00000000-0005-0000-0000-00009D670000}"/>
    <cellStyle name="Normal 15 3 3 2 3 3 3" xfId="39555" xr:uid="{00000000-0005-0000-0000-00009E670000}"/>
    <cellStyle name="Normal 15 3 3 2 3 4" xfId="19203" xr:uid="{00000000-0005-0000-0000-00009F670000}"/>
    <cellStyle name="Normal 15 3 3 2 3 4 2" xfId="46336" xr:uid="{00000000-0005-0000-0000-0000A0670000}"/>
    <cellStyle name="Normal 15 3 3 2 3 5" xfId="32774" xr:uid="{00000000-0005-0000-0000-0000A1670000}"/>
    <cellStyle name="Normal 15 3 3 2 4" xfId="9014" xr:uid="{00000000-0005-0000-0000-0000A2670000}"/>
    <cellStyle name="Normal 15 3 3 2 4 2" xfId="15803" xr:uid="{00000000-0005-0000-0000-0000A3670000}"/>
    <cellStyle name="Normal 15 3 3 2 4 2 2" xfId="29371" xr:uid="{00000000-0005-0000-0000-0000A4670000}"/>
    <cellStyle name="Normal 15 3 3 2 4 2 2 2" xfId="56504" xr:uid="{00000000-0005-0000-0000-0000A5670000}"/>
    <cellStyle name="Normal 15 3 3 2 4 2 3" xfId="42942" xr:uid="{00000000-0005-0000-0000-0000A6670000}"/>
    <cellStyle name="Normal 15 3 3 2 4 3" xfId="22590" xr:uid="{00000000-0005-0000-0000-0000A7670000}"/>
    <cellStyle name="Normal 15 3 3 2 4 3 2" xfId="49723" xr:uid="{00000000-0005-0000-0000-0000A8670000}"/>
    <cellStyle name="Normal 15 3 3 2 4 4" xfId="36161" xr:uid="{00000000-0005-0000-0000-0000A9670000}"/>
    <cellStyle name="Normal 15 3 3 2 5" xfId="12414" xr:uid="{00000000-0005-0000-0000-0000AA670000}"/>
    <cellStyle name="Normal 15 3 3 2 5 2" xfId="25982" xr:uid="{00000000-0005-0000-0000-0000AB670000}"/>
    <cellStyle name="Normal 15 3 3 2 5 2 2" xfId="53115" xr:uid="{00000000-0005-0000-0000-0000AC670000}"/>
    <cellStyle name="Normal 15 3 3 2 5 3" xfId="39553" xr:uid="{00000000-0005-0000-0000-0000AD670000}"/>
    <cellStyle name="Normal 15 3 3 2 6" xfId="19201" xr:uid="{00000000-0005-0000-0000-0000AE670000}"/>
    <cellStyle name="Normal 15 3 3 2 6 2" xfId="46334" xr:uid="{00000000-0005-0000-0000-0000AF670000}"/>
    <cellStyle name="Normal 15 3 3 2 7" xfId="32772" xr:uid="{00000000-0005-0000-0000-0000B0670000}"/>
    <cellStyle name="Normal 15 3 3 3" xfId="5471" xr:uid="{00000000-0005-0000-0000-0000B1670000}"/>
    <cellStyle name="Normal 15 3 3 3 2" xfId="5472" xr:uid="{00000000-0005-0000-0000-0000B2670000}"/>
    <cellStyle name="Normal 15 3 3 3 2 2" xfId="9018" xr:uid="{00000000-0005-0000-0000-0000B3670000}"/>
    <cellStyle name="Normal 15 3 3 3 2 2 2" xfId="15807" xr:uid="{00000000-0005-0000-0000-0000B4670000}"/>
    <cellStyle name="Normal 15 3 3 3 2 2 2 2" xfId="29375" xr:uid="{00000000-0005-0000-0000-0000B5670000}"/>
    <cellStyle name="Normal 15 3 3 3 2 2 2 2 2" xfId="56508" xr:uid="{00000000-0005-0000-0000-0000B6670000}"/>
    <cellStyle name="Normal 15 3 3 3 2 2 2 3" xfId="42946" xr:uid="{00000000-0005-0000-0000-0000B7670000}"/>
    <cellStyle name="Normal 15 3 3 3 2 2 3" xfId="22594" xr:uid="{00000000-0005-0000-0000-0000B8670000}"/>
    <cellStyle name="Normal 15 3 3 3 2 2 3 2" xfId="49727" xr:uid="{00000000-0005-0000-0000-0000B9670000}"/>
    <cellStyle name="Normal 15 3 3 3 2 2 4" xfId="36165" xr:uid="{00000000-0005-0000-0000-0000BA670000}"/>
    <cellStyle name="Normal 15 3 3 3 2 3" xfId="12418" xr:uid="{00000000-0005-0000-0000-0000BB670000}"/>
    <cellStyle name="Normal 15 3 3 3 2 3 2" xfId="25986" xr:uid="{00000000-0005-0000-0000-0000BC670000}"/>
    <cellStyle name="Normal 15 3 3 3 2 3 2 2" xfId="53119" xr:uid="{00000000-0005-0000-0000-0000BD670000}"/>
    <cellStyle name="Normal 15 3 3 3 2 3 3" xfId="39557" xr:uid="{00000000-0005-0000-0000-0000BE670000}"/>
    <cellStyle name="Normal 15 3 3 3 2 4" xfId="19205" xr:uid="{00000000-0005-0000-0000-0000BF670000}"/>
    <cellStyle name="Normal 15 3 3 3 2 4 2" xfId="46338" xr:uid="{00000000-0005-0000-0000-0000C0670000}"/>
    <cellStyle name="Normal 15 3 3 3 2 5" xfId="32776" xr:uid="{00000000-0005-0000-0000-0000C1670000}"/>
    <cellStyle name="Normal 15 3 3 3 3" xfId="9017" xr:uid="{00000000-0005-0000-0000-0000C2670000}"/>
    <cellStyle name="Normal 15 3 3 3 3 2" xfId="15806" xr:uid="{00000000-0005-0000-0000-0000C3670000}"/>
    <cellStyle name="Normal 15 3 3 3 3 2 2" xfId="29374" xr:uid="{00000000-0005-0000-0000-0000C4670000}"/>
    <cellStyle name="Normal 15 3 3 3 3 2 2 2" xfId="56507" xr:uid="{00000000-0005-0000-0000-0000C5670000}"/>
    <cellStyle name="Normal 15 3 3 3 3 2 3" xfId="42945" xr:uid="{00000000-0005-0000-0000-0000C6670000}"/>
    <cellStyle name="Normal 15 3 3 3 3 3" xfId="22593" xr:uid="{00000000-0005-0000-0000-0000C7670000}"/>
    <cellStyle name="Normal 15 3 3 3 3 3 2" xfId="49726" xr:uid="{00000000-0005-0000-0000-0000C8670000}"/>
    <cellStyle name="Normal 15 3 3 3 3 4" xfId="36164" xr:uid="{00000000-0005-0000-0000-0000C9670000}"/>
    <cellStyle name="Normal 15 3 3 3 4" xfId="12417" xr:uid="{00000000-0005-0000-0000-0000CA670000}"/>
    <cellStyle name="Normal 15 3 3 3 4 2" xfId="25985" xr:uid="{00000000-0005-0000-0000-0000CB670000}"/>
    <cellStyle name="Normal 15 3 3 3 4 2 2" xfId="53118" xr:uid="{00000000-0005-0000-0000-0000CC670000}"/>
    <cellStyle name="Normal 15 3 3 3 4 3" xfId="39556" xr:uid="{00000000-0005-0000-0000-0000CD670000}"/>
    <cellStyle name="Normal 15 3 3 3 5" xfId="19204" xr:uid="{00000000-0005-0000-0000-0000CE670000}"/>
    <cellStyle name="Normal 15 3 3 3 5 2" xfId="46337" xr:uid="{00000000-0005-0000-0000-0000CF670000}"/>
    <cellStyle name="Normal 15 3 3 3 6" xfId="32775" xr:uid="{00000000-0005-0000-0000-0000D0670000}"/>
    <cellStyle name="Normal 15 3 3 4" xfId="5473" xr:uid="{00000000-0005-0000-0000-0000D1670000}"/>
    <cellStyle name="Normal 15 3 3 4 2" xfId="9019" xr:uid="{00000000-0005-0000-0000-0000D2670000}"/>
    <cellStyle name="Normal 15 3 3 4 2 2" xfId="15808" xr:uid="{00000000-0005-0000-0000-0000D3670000}"/>
    <cellStyle name="Normal 15 3 3 4 2 2 2" xfId="29376" xr:uid="{00000000-0005-0000-0000-0000D4670000}"/>
    <cellStyle name="Normal 15 3 3 4 2 2 2 2" xfId="56509" xr:uid="{00000000-0005-0000-0000-0000D5670000}"/>
    <cellStyle name="Normal 15 3 3 4 2 2 3" xfId="42947" xr:uid="{00000000-0005-0000-0000-0000D6670000}"/>
    <cellStyle name="Normal 15 3 3 4 2 3" xfId="22595" xr:uid="{00000000-0005-0000-0000-0000D7670000}"/>
    <cellStyle name="Normal 15 3 3 4 2 3 2" xfId="49728" xr:uid="{00000000-0005-0000-0000-0000D8670000}"/>
    <cellStyle name="Normal 15 3 3 4 2 4" xfId="36166" xr:uid="{00000000-0005-0000-0000-0000D9670000}"/>
    <cellStyle name="Normal 15 3 3 4 3" xfId="12419" xr:uid="{00000000-0005-0000-0000-0000DA670000}"/>
    <cellStyle name="Normal 15 3 3 4 3 2" xfId="25987" xr:uid="{00000000-0005-0000-0000-0000DB670000}"/>
    <cellStyle name="Normal 15 3 3 4 3 2 2" xfId="53120" xr:uid="{00000000-0005-0000-0000-0000DC670000}"/>
    <cellStyle name="Normal 15 3 3 4 3 3" xfId="39558" xr:uid="{00000000-0005-0000-0000-0000DD670000}"/>
    <cellStyle name="Normal 15 3 3 4 4" xfId="19206" xr:uid="{00000000-0005-0000-0000-0000DE670000}"/>
    <cellStyle name="Normal 15 3 3 4 4 2" xfId="46339" xr:uid="{00000000-0005-0000-0000-0000DF670000}"/>
    <cellStyle name="Normal 15 3 3 4 5" xfId="32777" xr:uid="{00000000-0005-0000-0000-0000E0670000}"/>
    <cellStyle name="Normal 15 3 3 5" xfId="5474" xr:uid="{00000000-0005-0000-0000-0000E1670000}"/>
    <cellStyle name="Normal 15 3 3 5 2" xfId="9020" xr:uid="{00000000-0005-0000-0000-0000E2670000}"/>
    <cellStyle name="Normal 15 3 3 5 2 2" xfId="15809" xr:uid="{00000000-0005-0000-0000-0000E3670000}"/>
    <cellStyle name="Normal 15 3 3 5 2 2 2" xfId="29377" xr:uid="{00000000-0005-0000-0000-0000E4670000}"/>
    <cellStyle name="Normal 15 3 3 5 2 2 2 2" xfId="56510" xr:uid="{00000000-0005-0000-0000-0000E5670000}"/>
    <cellStyle name="Normal 15 3 3 5 2 2 3" xfId="42948" xr:uid="{00000000-0005-0000-0000-0000E6670000}"/>
    <cellStyle name="Normal 15 3 3 5 2 3" xfId="22596" xr:uid="{00000000-0005-0000-0000-0000E7670000}"/>
    <cellStyle name="Normal 15 3 3 5 2 3 2" xfId="49729" xr:uid="{00000000-0005-0000-0000-0000E8670000}"/>
    <cellStyle name="Normal 15 3 3 5 2 4" xfId="36167" xr:uid="{00000000-0005-0000-0000-0000E9670000}"/>
    <cellStyle name="Normal 15 3 3 5 3" xfId="12420" xr:uid="{00000000-0005-0000-0000-0000EA670000}"/>
    <cellStyle name="Normal 15 3 3 5 3 2" xfId="25988" xr:uid="{00000000-0005-0000-0000-0000EB670000}"/>
    <cellStyle name="Normal 15 3 3 5 3 2 2" xfId="53121" xr:uid="{00000000-0005-0000-0000-0000EC670000}"/>
    <cellStyle name="Normal 15 3 3 5 3 3" xfId="39559" xr:uid="{00000000-0005-0000-0000-0000ED670000}"/>
    <cellStyle name="Normal 15 3 3 5 4" xfId="19207" xr:uid="{00000000-0005-0000-0000-0000EE670000}"/>
    <cellStyle name="Normal 15 3 3 5 4 2" xfId="46340" xr:uid="{00000000-0005-0000-0000-0000EF670000}"/>
    <cellStyle name="Normal 15 3 3 5 5" xfId="32778" xr:uid="{00000000-0005-0000-0000-0000F0670000}"/>
    <cellStyle name="Normal 15 3 3 6" xfId="9013" xr:uid="{00000000-0005-0000-0000-0000F1670000}"/>
    <cellStyle name="Normal 15 3 3 6 2" xfId="15802" xr:uid="{00000000-0005-0000-0000-0000F2670000}"/>
    <cellStyle name="Normal 15 3 3 6 2 2" xfId="29370" xr:uid="{00000000-0005-0000-0000-0000F3670000}"/>
    <cellStyle name="Normal 15 3 3 6 2 2 2" xfId="56503" xr:uid="{00000000-0005-0000-0000-0000F4670000}"/>
    <cellStyle name="Normal 15 3 3 6 2 3" xfId="42941" xr:uid="{00000000-0005-0000-0000-0000F5670000}"/>
    <cellStyle name="Normal 15 3 3 6 3" xfId="22589" xr:uid="{00000000-0005-0000-0000-0000F6670000}"/>
    <cellStyle name="Normal 15 3 3 6 3 2" xfId="49722" xr:uid="{00000000-0005-0000-0000-0000F7670000}"/>
    <cellStyle name="Normal 15 3 3 6 4" xfId="36160" xr:uid="{00000000-0005-0000-0000-0000F8670000}"/>
    <cellStyle name="Normal 15 3 3 7" xfId="12413" xr:uid="{00000000-0005-0000-0000-0000F9670000}"/>
    <cellStyle name="Normal 15 3 3 7 2" xfId="25981" xr:uid="{00000000-0005-0000-0000-0000FA670000}"/>
    <cellStyle name="Normal 15 3 3 7 2 2" xfId="53114" xr:uid="{00000000-0005-0000-0000-0000FB670000}"/>
    <cellStyle name="Normal 15 3 3 7 3" xfId="39552" xr:uid="{00000000-0005-0000-0000-0000FC670000}"/>
    <cellStyle name="Normal 15 3 3 8" xfId="19200" xr:uid="{00000000-0005-0000-0000-0000FD670000}"/>
    <cellStyle name="Normal 15 3 3 8 2" xfId="46333" xr:uid="{00000000-0005-0000-0000-0000FE670000}"/>
    <cellStyle name="Normal 15 3 3 9" xfId="32771" xr:uid="{00000000-0005-0000-0000-0000FF670000}"/>
    <cellStyle name="Normal 15 3 4" xfId="5475" xr:uid="{00000000-0005-0000-0000-000000680000}"/>
    <cellStyle name="Normal 15 3 4 2" xfId="5476" xr:uid="{00000000-0005-0000-0000-000001680000}"/>
    <cellStyle name="Normal 15 3 4 2 2" xfId="5477" xr:uid="{00000000-0005-0000-0000-000002680000}"/>
    <cellStyle name="Normal 15 3 4 2 2 2" xfId="9023" xr:uid="{00000000-0005-0000-0000-000003680000}"/>
    <cellStyle name="Normal 15 3 4 2 2 2 2" xfId="15812" xr:uid="{00000000-0005-0000-0000-000004680000}"/>
    <cellStyle name="Normal 15 3 4 2 2 2 2 2" xfId="29380" xr:uid="{00000000-0005-0000-0000-000005680000}"/>
    <cellStyle name="Normal 15 3 4 2 2 2 2 2 2" xfId="56513" xr:uid="{00000000-0005-0000-0000-000006680000}"/>
    <cellStyle name="Normal 15 3 4 2 2 2 2 3" xfId="42951" xr:uid="{00000000-0005-0000-0000-000007680000}"/>
    <cellStyle name="Normal 15 3 4 2 2 2 3" xfId="22599" xr:uid="{00000000-0005-0000-0000-000008680000}"/>
    <cellStyle name="Normal 15 3 4 2 2 2 3 2" xfId="49732" xr:uid="{00000000-0005-0000-0000-000009680000}"/>
    <cellStyle name="Normal 15 3 4 2 2 2 4" xfId="36170" xr:uid="{00000000-0005-0000-0000-00000A680000}"/>
    <cellStyle name="Normal 15 3 4 2 2 3" xfId="12423" xr:uid="{00000000-0005-0000-0000-00000B680000}"/>
    <cellStyle name="Normal 15 3 4 2 2 3 2" xfId="25991" xr:uid="{00000000-0005-0000-0000-00000C680000}"/>
    <cellStyle name="Normal 15 3 4 2 2 3 2 2" xfId="53124" xr:uid="{00000000-0005-0000-0000-00000D680000}"/>
    <cellStyle name="Normal 15 3 4 2 2 3 3" xfId="39562" xr:uid="{00000000-0005-0000-0000-00000E680000}"/>
    <cellStyle name="Normal 15 3 4 2 2 4" xfId="19210" xr:uid="{00000000-0005-0000-0000-00000F680000}"/>
    <cellStyle name="Normal 15 3 4 2 2 4 2" xfId="46343" xr:uid="{00000000-0005-0000-0000-000010680000}"/>
    <cellStyle name="Normal 15 3 4 2 2 5" xfId="32781" xr:uid="{00000000-0005-0000-0000-000011680000}"/>
    <cellStyle name="Normal 15 3 4 2 3" xfId="5478" xr:uid="{00000000-0005-0000-0000-000012680000}"/>
    <cellStyle name="Normal 15 3 4 2 3 2" xfId="9024" xr:uid="{00000000-0005-0000-0000-000013680000}"/>
    <cellStyle name="Normal 15 3 4 2 3 2 2" xfId="15813" xr:uid="{00000000-0005-0000-0000-000014680000}"/>
    <cellStyle name="Normal 15 3 4 2 3 2 2 2" xfId="29381" xr:uid="{00000000-0005-0000-0000-000015680000}"/>
    <cellStyle name="Normal 15 3 4 2 3 2 2 2 2" xfId="56514" xr:uid="{00000000-0005-0000-0000-000016680000}"/>
    <cellStyle name="Normal 15 3 4 2 3 2 2 3" xfId="42952" xr:uid="{00000000-0005-0000-0000-000017680000}"/>
    <cellStyle name="Normal 15 3 4 2 3 2 3" xfId="22600" xr:uid="{00000000-0005-0000-0000-000018680000}"/>
    <cellStyle name="Normal 15 3 4 2 3 2 3 2" xfId="49733" xr:uid="{00000000-0005-0000-0000-000019680000}"/>
    <cellStyle name="Normal 15 3 4 2 3 2 4" xfId="36171" xr:uid="{00000000-0005-0000-0000-00001A680000}"/>
    <cellStyle name="Normal 15 3 4 2 3 3" xfId="12424" xr:uid="{00000000-0005-0000-0000-00001B680000}"/>
    <cellStyle name="Normal 15 3 4 2 3 3 2" xfId="25992" xr:uid="{00000000-0005-0000-0000-00001C680000}"/>
    <cellStyle name="Normal 15 3 4 2 3 3 2 2" xfId="53125" xr:uid="{00000000-0005-0000-0000-00001D680000}"/>
    <cellStyle name="Normal 15 3 4 2 3 3 3" xfId="39563" xr:uid="{00000000-0005-0000-0000-00001E680000}"/>
    <cellStyle name="Normal 15 3 4 2 3 4" xfId="19211" xr:uid="{00000000-0005-0000-0000-00001F680000}"/>
    <cellStyle name="Normal 15 3 4 2 3 4 2" xfId="46344" xr:uid="{00000000-0005-0000-0000-000020680000}"/>
    <cellStyle name="Normal 15 3 4 2 3 5" xfId="32782" xr:uid="{00000000-0005-0000-0000-000021680000}"/>
    <cellStyle name="Normal 15 3 4 2 4" xfId="9022" xr:uid="{00000000-0005-0000-0000-000022680000}"/>
    <cellStyle name="Normal 15 3 4 2 4 2" xfId="15811" xr:uid="{00000000-0005-0000-0000-000023680000}"/>
    <cellStyle name="Normal 15 3 4 2 4 2 2" xfId="29379" xr:uid="{00000000-0005-0000-0000-000024680000}"/>
    <cellStyle name="Normal 15 3 4 2 4 2 2 2" xfId="56512" xr:uid="{00000000-0005-0000-0000-000025680000}"/>
    <cellStyle name="Normal 15 3 4 2 4 2 3" xfId="42950" xr:uid="{00000000-0005-0000-0000-000026680000}"/>
    <cellStyle name="Normal 15 3 4 2 4 3" xfId="22598" xr:uid="{00000000-0005-0000-0000-000027680000}"/>
    <cellStyle name="Normal 15 3 4 2 4 3 2" xfId="49731" xr:uid="{00000000-0005-0000-0000-000028680000}"/>
    <cellStyle name="Normal 15 3 4 2 4 4" xfId="36169" xr:uid="{00000000-0005-0000-0000-000029680000}"/>
    <cellStyle name="Normal 15 3 4 2 5" xfId="12422" xr:uid="{00000000-0005-0000-0000-00002A680000}"/>
    <cellStyle name="Normal 15 3 4 2 5 2" xfId="25990" xr:uid="{00000000-0005-0000-0000-00002B680000}"/>
    <cellStyle name="Normal 15 3 4 2 5 2 2" xfId="53123" xr:uid="{00000000-0005-0000-0000-00002C680000}"/>
    <cellStyle name="Normal 15 3 4 2 5 3" xfId="39561" xr:uid="{00000000-0005-0000-0000-00002D680000}"/>
    <cellStyle name="Normal 15 3 4 2 6" xfId="19209" xr:uid="{00000000-0005-0000-0000-00002E680000}"/>
    <cellStyle name="Normal 15 3 4 2 6 2" xfId="46342" xr:uid="{00000000-0005-0000-0000-00002F680000}"/>
    <cellStyle name="Normal 15 3 4 2 7" xfId="32780" xr:uid="{00000000-0005-0000-0000-000030680000}"/>
    <cellStyle name="Normal 15 3 4 3" xfId="5479" xr:uid="{00000000-0005-0000-0000-000031680000}"/>
    <cellStyle name="Normal 15 3 4 3 2" xfId="9025" xr:uid="{00000000-0005-0000-0000-000032680000}"/>
    <cellStyle name="Normal 15 3 4 3 2 2" xfId="15814" xr:uid="{00000000-0005-0000-0000-000033680000}"/>
    <cellStyle name="Normal 15 3 4 3 2 2 2" xfId="29382" xr:uid="{00000000-0005-0000-0000-000034680000}"/>
    <cellStyle name="Normal 15 3 4 3 2 2 2 2" xfId="56515" xr:uid="{00000000-0005-0000-0000-000035680000}"/>
    <cellStyle name="Normal 15 3 4 3 2 2 3" xfId="42953" xr:uid="{00000000-0005-0000-0000-000036680000}"/>
    <cellStyle name="Normal 15 3 4 3 2 3" xfId="22601" xr:uid="{00000000-0005-0000-0000-000037680000}"/>
    <cellStyle name="Normal 15 3 4 3 2 3 2" xfId="49734" xr:uid="{00000000-0005-0000-0000-000038680000}"/>
    <cellStyle name="Normal 15 3 4 3 2 4" xfId="36172" xr:uid="{00000000-0005-0000-0000-000039680000}"/>
    <cellStyle name="Normal 15 3 4 3 3" xfId="12425" xr:uid="{00000000-0005-0000-0000-00003A680000}"/>
    <cellStyle name="Normal 15 3 4 3 3 2" xfId="25993" xr:uid="{00000000-0005-0000-0000-00003B680000}"/>
    <cellStyle name="Normal 15 3 4 3 3 2 2" xfId="53126" xr:uid="{00000000-0005-0000-0000-00003C680000}"/>
    <cellStyle name="Normal 15 3 4 3 3 3" xfId="39564" xr:uid="{00000000-0005-0000-0000-00003D680000}"/>
    <cellStyle name="Normal 15 3 4 3 4" xfId="19212" xr:uid="{00000000-0005-0000-0000-00003E680000}"/>
    <cellStyle name="Normal 15 3 4 3 4 2" xfId="46345" xr:uid="{00000000-0005-0000-0000-00003F680000}"/>
    <cellStyle name="Normal 15 3 4 3 5" xfId="32783" xr:uid="{00000000-0005-0000-0000-000040680000}"/>
    <cellStyle name="Normal 15 3 4 4" xfId="5480" xr:uid="{00000000-0005-0000-0000-000041680000}"/>
    <cellStyle name="Normal 15 3 4 4 2" xfId="9026" xr:uid="{00000000-0005-0000-0000-000042680000}"/>
    <cellStyle name="Normal 15 3 4 4 2 2" xfId="15815" xr:uid="{00000000-0005-0000-0000-000043680000}"/>
    <cellStyle name="Normal 15 3 4 4 2 2 2" xfId="29383" xr:uid="{00000000-0005-0000-0000-000044680000}"/>
    <cellStyle name="Normal 15 3 4 4 2 2 2 2" xfId="56516" xr:uid="{00000000-0005-0000-0000-000045680000}"/>
    <cellStyle name="Normal 15 3 4 4 2 2 3" xfId="42954" xr:uid="{00000000-0005-0000-0000-000046680000}"/>
    <cellStyle name="Normal 15 3 4 4 2 3" xfId="22602" xr:uid="{00000000-0005-0000-0000-000047680000}"/>
    <cellStyle name="Normal 15 3 4 4 2 3 2" xfId="49735" xr:uid="{00000000-0005-0000-0000-000048680000}"/>
    <cellStyle name="Normal 15 3 4 4 2 4" xfId="36173" xr:uid="{00000000-0005-0000-0000-000049680000}"/>
    <cellStyle name="Normal 15 3 4 4 3" xfId="12426" xr:uid="{00000000-0005-0000-0000-00004A680000}"/>
    <cellStyle name="Normal 15 3 4 4 3 2" xfId="25994" xr:uid="{00000000-0005-0000-0000-00004B680000}"/>
    <cellStyle name="Normal 15 3 4 4 3 2 2" xfId="53127" xr:uid="{00000000-0005-0000-0000-00004C680000}"/>
    <cellStyle name="Normal 15 3 4 4 3 3" xfId="39565" xr:uid="{00000000-0005-0000-0000-00004D680000}"/>
    <cellStyle name="Normal 15 3 4 4 4" xfId="19213" xr:uid="{00000000-0005-0000-0000-00004E680000}"/>
    <cellStyle name="Normal 15 3 4 4 4 2" xfId="46346" xr:uid="{00000000-0005-0000-0000-00004F680000}"/>
    <cellStyle name="Normal 15 3 4 4 5" xfId="32784" xr:uid="{00000000-0005-0000-0000-000050680000}"/>
    <cellStyle name="Normal 15 3 4 5" xfId="9021" xr:uid="{00000000-0005-0000-0000-000051680000}"/>
    <cellStyle name="Normal 15 3 4 5 2" xfId="15810" xr:uid="{00000000-0005-0000-0000-000052680000}"/>
    <cellStyle name="Normal 15 3 4 5 2 2" xfId="29378" xr:uid="{00000000-0005-0000-0000-000053680000}"/>
    <cellStyle name="Normal 15 3 4 5 2 2 2" xfId="56511" xr:uid="{00000000-0005-0000-0000-000054680000}"/>
    <cellStyle name="Normal 15 3 4 5 2 3" xfId="42949" xr:uid="{00000000-0005-0000-0000-000055680000}"/>
    <cellStyle name="Normal 15 3 4 5 3" xfId="22597" xr:uid="{00000000-0005-0000-0000-000056680000}"/>
    <cellStyle name="Normal 15 3 4 5 3 2" xfId="49730" xr:uid="{00000000-0005-0000-0000-000057680000}"/>
    <cellStyle name="Normal 15 3 4 5 4" xfId="36168" xr:uid="{00000000-0005-0000-0000-000058680000}"/>
    <cellStyle name="Normal 15 3 4 6" xfId="12421" xr:uid="{00000000-0005-0000-0000-000059680000}"/>
    <cellStyle name="Normal 15 3 4 6 2" xfId="25989" xr:uid="{00000000-0005-0000-0000-00005A680000}"/>
    <cellStyle name="Normal 15 3 4 6 2 2" xfId="53122" xr:uid="{00000000-0005-0000-0000-00005B680000}"/>
    <cellStyle name="Normal 15 3 4 6 3" xfId="39560" xr:uid="{00000000-0005-0000-0000-00005C680000}"/>
    <cellStyle name="Normal 15 3 4 7" xfId="19208" xr:uid="{00000000-0005-0000-0000-00005D680000}"/>
    <cellStyle name="Normal 15 3 4 7 2" xfId="46341" xr:uid="{00000000-0005-0000-0000-00005E680000}"/>
    <cellStyle name="Normal 15 3 4 8" xfId="32779" xr:uid="{00000000-0005-0000-0000-00005F680000}"/>
    <cellStyle name="Normal 15 3 5" xfId="5481" xr:uid="{00000000-0005-0000-0000-000060680000}"/>
    <cellStyle name="Normal 15 3 5 2" xfId="5482" xr:uid="{00000000-0005-0000-0000-000061680000}"/>
    <cellStyle name="Normal 15 3 5 2 2" xfId="9028" xr:uid="{00000000-0005-0000-0000-000062680000}"/>
    <cellStyle name="Normal 15 3 5 2 2 2" xfId="15817" xr:uid="{00000000-0005-0000-0000-000063680000}"/>
    <cellStyle name="Normal 15 3 5 2 2 2 2" xfId="29385" xr:uid="{00000000-0005-0000-0000-000064680000}"/>
    <cellStyle name="Normal 15 3 5 2 2 2 2 2" xfId="56518" xr:uid="{00000000-0005-0000-0000-000065680000}"/>
    <cellStyle name="Normal 15 3 5 2 2 2 3" xfId="42956" xr:uid="{00000000-0005-0000-0000-000066680000}"/>
    <cellStyle name="Normal 15 3 5 2 2 3" xfId="22604" xr:uid="{00000000-0005-0000-0000-000067680000}"/>
    <cellStyle name="Normal 15 3 5 2 2 3 2" xfId="49737" xr:uid="{00000000-0005-0000-0000-000068680000}"/>
    <cellStyle name="Normal 15 3 5 2 2 4" xfId="36175" xr:uid="{00000000-0005-0000-0000-000069680000}"/>
    <cellStyle name="Normal 15 3 5 2 3" xfId="12428" xr:uid="{00000000-0005-0000-0000-00006A680000}"/>
    <cellStyle name="Normal 15 3 5 2 3 2" xfId="25996" xr:uid="{00000000-0005-0000-0000-00006B680000}"/>
    <cellStyle name="Normal 15 3 5 2 3 2 2" xfId="53129" xr:uid="{00000000-0005-0000-0000-00006C680000}"/>
    <cellStyle name="Normal 15 3 5 2 3 3" xfId="39567" xr:uid="{00000000-0005-0000-0000-00006D680000}"/>
    <cellStyle name="Normal 15 3 5 2 4" xfId="19215" xr:uid="{00000000-0005-0000-0000-00006E680000}"/>
    <cellStyle name="Normal 15 3 5 2 4 2" xfId="46348" xr:uid="{00000000-0005-0000-0000-00006F680000}"/>
    <cellStyle name="Normal 15 3 5 2 5" xfId="32786" xr:uid="{00000000-0005-0000-0000-000070680000}"/>
    <cellStyle name="Normal 15 3 5 3" xfId="5483" xr:uid="{00000000-0005-0000-0000-000071680000}"/>
    <cellStyle name="Normal 15 3 5 3 2" xfId="9029" xr:uid="{00000000-0005-0000-0000-000072680000}"/>
    <cellStyle name="Normal 15 3 5 3 2 2" xfId="15818" xr:uid="{00000000-0005-0000-0000-000073680000}"/>
    <cellStyle name="Normal 15 3 5 3 2 2 2" xfId="29386" xr:uid="{00000000-0005-0000-0000-000074680000}"/>
    <cellStyle name="Normal 15 3 5 3 2 2 2 2" xfId="56519" xr:uid="{00000000-0005-0000-0000-000075680000}"/>
    <cellStyle name="Normal 15 3 5 3 2 2 3" xfId="42957" xr:uid="{00000000-0005-0000-0000-000076680000}"/>
    <cellStyle name="Normal 15 3 5 3 2 3" xfId="22605" xr:uid="{00000000-0005-0000-0000-000077680000}"/>
    <cellStyle name="Normal 15 3 5 3 2 3 2" xfId="49738" xr:uid="{00000000-0005-0000-0000-000078680000}"/>
    <cellStyle name="Normal 15 3 5 3 2 4" xfId="36176" xr:uid="{00000000-0005-0000-0000-000079680000}"/>
    <cellStyle name="Normal 15 3 5 3 3" xfId="12429" xr:uid="{00000000-0005-0000-0000-00007A680000}"/>
    <cellStyle name="Normal 15 3 5 3 3 2" xfId="25997" xr:uid="{00000000-0005-0000-0000-00007B680000}"/>
    <cellStyle name="Normal 15 3 5 3 3 2 2" xfId="53130" xr:uid="{00000000-0005-0000-0000-00007C680000}"/>
    <cellStyle name="Normal 15 3 5 3 3 3" xfId="39568" xr:uid="{00000000-0005-0000-0000-00007D680000}"/>
    <cellStyle name="Normal 15 3 5 3 4" xfId="19216" xr:uid="{00000000-0005-0000-0000-00007E680000}"/>
    <cellStyle name="Normal 15 3 5 3 4 2" xfId="46349" xr:uid="{00000000-0005-0000-0000-00007F680000}"/>
    <cellStyle name="Normal 15 3 5 3 5" xfId="32787" xr:uid="{00000000-0005-0000-0000-000080680000}"/>
    <cellStyle name="Normal 15 3 5 4" xfId="9027" xr:uid="{00000000-0005-0000-0000-000081680000}"/>
    <cellStyle name="Normal 15 3 5 4 2" xfId="15816" xr:uid="{00000000-0005-0000-0000-000082680000}"/>
    <cellStyle name="Normal 15 3 5 4 2 2" xfId="29384" xr:uid="{00000000-0005-0000-0000-000083680000}"/>
    <cellStyle name="Normal 15 3 5 4 2 2 2" xfId="56517" xr:uid="{00000000-0005-0000-0000-000084680000}"/>
    <cellStyle name="Normal 15 3 5 4 2 3" xfId="42955" xr:uid="{00000000-0005-0000-0000-000085680000}"/>
    <cellStyle name="Normal 15 3 5 4 3" xfId="22603" xr:uid="{00000000-0005-0000-0000-000086680000}"/>
    <cellStyle name="Normal 15 3 5 4 3 2" xfId="49736" xr:uid="{00000000-0005-0000-0000-000087680000}"/>
    <cellStyle name="Normal 15 3 5 4 4" xfId="36174" xr:uid="{00000000-0005-0000-0000-000088680000}"/>
    <cellStyle name="Normal 15 3 5 5" xfId="12427" xr:uid="{00000000-0005-0000-0000-000089680000}"/>
    <cellStyle name="Normal 15 3 5 5 2" xfId="25995" xr:uid="{00000000-0005-0000-0000-00008A680000}"/>
    <cellStyle name="Normal 15 3 5 5 2 2" xfId="53128" xr:uid="{00000000-0005-0000-0000-00008B680000}"/>
    <cellStyle name="Normal 15 3 5 5 3" xfId="39566" xr:uid="{00000000-0005-0000-0000-00008C680000}"/>
    <cellStyle name="Normal 15 3 5 6" xfId="19214" xr:uid="{00000000-0005-0000-0000-00008D680000}"/>
    <cellStyle name="Normal 15 3 5 6 2" xfId="46347" xr:uid="{00000000-0005-0000-0000-00008E680000}"/>
    <cellStyle name="Normal 15 3 5 7" xfId="32785" xr:uid="{00000000-0005-0000-0000-00008F680000}"/>
    <cellStyle name="Normal 15 3 6" xfId="5484" xr:uid="{00000000-0005-0000-0000-000090680000}"/>
    <cellStyle name="Normal 15 3 6 2" xfId="5485" xr:uid="{00000000-0005-0000-0000-000091680000}"/>
    <cellStyle name="Normal 15 3 6 2 2" xfId="9031" xr:uid="{00000000-0005-0000-0000-000092680000}"/>
    <cellStyle name="Normal 15 3 6 2 2 2" xfId="15820" xr:uid="{00000000-0005-0000-0000-000093680000}"/>
    <cellStyle name="Normal 15 3 6 2 2 2 2" xfId="29388" xr:uid="{00000000-0005-0000-0000-000094680000}"/>
    <cellStyle name="Normal 15 3 6 2 2 2 2 2" xfId="56521" xr:uid="{00000000-0005-0000-0000-000095680000}"/>
    <cellStyle name="Normal 15 3 6 2 2 2 3" xfId="42959" xr:uid="{00000000-0005-0000-0000-000096680000}"/>
    <cellStyle name="Normal 15 3 6 2 2 3" xfId="22607" xr:uid="{00000000-0005-0000-0000-000097680000}"/>
    <cellStyle name="Normal 15 3 6 2 2 3 2" xfId="49740" xr:uid="{00000000-0005-0000-0000-000098680000}"/>
    <cellStyle name="Normal 15 3 6 2 2 4" xfId="36178" xr:uid="{00000000-0005-0000-0000-000099680000}"/>
    <cellStyle name="Normal 15 3 6 2 3" xfId="12431" xr:uid="{00000000-0005-0000-0000-00009A680000}"/>
    <cellStyle name="Normal 15 3 6 2 3 2" xfId="25999" xr:uid="{00000000-0005-0000-0000-00009B680000}"/>
    <cellStyle name="Normal 15 3 6 2 3 2 2" xfId="53132" xr:uid="{00000000-0005-0000-0000-00009C680000}"/>
    <cellStyle name="Normal 15 3 6 2 3 3" xfId="39570" xr:uid="{00000000-0005-0000-0000-00009D680000}"/>
    <cellStyle name="Normal 15 3 6 2 4" xfId="19218" xr:uid="{00000000-0005-0000-0000-00009E680000}"/>
    <cellStyle name="Normal 15 3 6 2 4 2" xfId="46351" xr:uid="{00000000-0005-0000-0000-00009F680000}"/>
    <cellStyle name="Normal 15 3 6 2 5" xfId="32789" xr:uid="{00000000-0005-0000-0000-0000A0680000}"/>
    <cellStyle name="Normal 15 3 6 3" xfId="5486" xr:uid="{00000000-0005-0000-0000-0000A1680000}"/>
    <cellStyle name="Normal 15 3 6 3 2" xfId="9032" xr:uid="{00000000-0005-0000-0000-0000A2680000}"/>
    <cellStyle name="Normal 15 3 6 3 2 2" xfId="15821" xr:uid="{00000000-0005-0000-0000-0000A3680000}"/>
    <cellStyle name="Normal 15 3 6 3 2 2 2" xfId="29389" xr:uid="{00000000-0005-0000-0000-0000A4680000}"/>
    <cellStyle name="Normal 15 3 6 3 2 2 2 2" xfId="56522" xr:uid="{00000000-0005-0000-0000-0000A5680000}"/>
    <cellStyle name="Normal 15 3 6 3 2 2 3" xfId="42960" xr:uid="{00000000-0005-0000-0000-0000A6680000}"/>
    <cellStyle name="Normal 15 3 6 3 2 3" xfId="22608" xr:uid="{00000000-0005-0000-0000-0000A7680000}"/>
    <cellStyle name="Normal 15 3 6 3 2 3 2" xfId="49741" xr:uid="{00000000-0005-0000-0000-0000A8680000}"/>
    <cellStyle name="Normal 15 3 6 3 2 4" xfId="36179" xr:uid="{00000000-0005-0000-0000-0000A9680000}"/>
    <cellStyle name="Normal 15 3 6 3 3" xfId="12432" xr:uid="{00000000-0005-0000-0000-0000AA680000}"/>
    <cellStyle name="Normal 15 3 6 3 3 2" xfId="26000" xr:uid="{00000000-0005-0000-0000-0000AB680000}"/>
    <cellStyle name="Normal 15 3 6 3 3 2 2" xfId="53133" xr:uid="{00000000-0005-0000-0000-0000AC680000}"/>
    <cellStyle name="Normal 15 3 6 3 3 3" xfId="39571" xr:uid="{00000000-0005-0000-0000-0000AD680000}"/>
    <cellStyle name="Normal 15 3 6 3 4" xfId="19219" xr:uid="{00000000-0005-0000-0000-0000AE680000}"/>
    <cellStyle name="Normal 15 3 6 3 4 2" xfId="46352" xr:uid="{00000000-0005-0000-0000-0000AF680000}"/>
    <cellStyle name="Normal 15 3 6 3 5" xfId="32790" xr:uid="{00000000-0005-0000-0000-0000B0680000}"/>
    <cellStyle name="Normal 15 3 6 4" xfId="9030" xr:uid="{00000000-0005-0000-0000-0000B1680000}"/>
    <cellStyle name="Normal 15 3 6 4 2" xfId="15819" xr:uid="{00000000-0005-0000-0000-0000B2680000}"/>
    <cellStyle name="Normal 15 3 6 4 2 2" xfId="29387" xr:uid="{00000000-0005-0000-0000-0000B3680000}"/>
    <cellStyle name="Normal 15 3 6 4 2 2 2" xfId="56520" xr:uid="{00000000-0005-0000-0000-0000B4680000}"/>
    <cellStyle name="Normal 15 3 6 4 2 3" xfId="42958" xr:uid="{00000000-0005-0000-0000-0000B5680000}"/>
    <cellStyle name="Normal 15 3 6 4 3" xfId="22606" xr:uid="{00000000-0005-0000-0000-0000B6680000}"/>
    <cellStyle name="Normal 15 3 6 4 3 2" xfId="49739" xr:uid="{00000000-0005-0000-0000-0000B7680000}"/>
    <cellStyle name="Normal 15 3 6 4 4" xfId="36177" xr:uid="{00000000-0005-0000-0000-0000B8680000}"/>
    <cellStyle name="Normal 15 3 6 5" xfId="12430" xr:uid="{00000000-0005-0000-0000-0000B9680000}"/>
    <cellStyle name="Normal 15 3 6 5 2" xfId="25998" xr:uid="{00000000-0005-0000-0000-0000BA680000}"/>
    <cellStyle name="Normal 15 3 6 5 2 2" xfId="53131" xr:uid="{00000000-0005-0000-0000-0000BB680000}"/>
    <cellStyle name="Normal 15 3 6 5 3" xfId="39569" xr:uid="{00000000-0005-0000-0000-0000BC680000}"/>
    <cellStyle name="Normal 15 3 6 6" xfId="19217" xr:uid="{00000000-0005-0000-0000-0000BD680000}"/>
    <cellStyle name="Normal 15 3 6 6 2" xfId="46350" xr:uid="{00000000-0005-0000-0000-0000BE680000}"/>
    <cellStyle name="Normal 15 3 6 7" xfId="32788" xr:uid="{00000000-0005-0000-0000-0000BF680000}"/>
    <cellStyle name="Normal 15 3 7" xfId="5487" xr:uid="{00000000-0005-0000-0000-0000C0680000}"/>
    <cellStyle name="Normal 15 3 7 2" xfId="9033" xr:uid="{00000000-0005-0000-0000-0000C1680000}"/>
    <cellStyle name="Normal 15 3 7 2 2" xfId="15822" xr:uid="{00000000-0005-0000-0000-0000C2680000}"/>
    <cellStyle name="Normal 15 3 7 2 2 2" xfId="29390" xr:uid="{00000000-0005-0000-0000-0000C3680000}"/>
    <cellStyle name="Normal 15 3 7 2 2 2 2" xfId="56523" xr:uid="{00000000-0005-0000-0000-0000C4680000}"/>
    <cellStyle name="Normal 15 3 7 2 2 3" xfId="42961" xr:uid="{00000000-0005-0000-0000-0000C5680000}"/>
    <cellStyle name="Normal 15 3 7 2 3" xfId="22609" xr:uid="{00000000-0005-0000-0000-0000C6680000}"/>
    <cellStyle name="Normal 15 3 7 2 3 2" xfId="49742" xr:uid="{00000000-0005-0000-0000-0000C7680000}"/>
    <cellStyle name="Normal 15 3 7 2 4" xfId="36180" xr:uid="{00000000-0005-0000-0000-0000C8680000}"/>
    <cellStyle name="Normal 15 3 7 3" xfId="12433" xr:uid="{00000000-0005-0000-0000-0000C9680000}"/>
    <cellStyle name="Normal 15 3 7 3 2" xfId="26001" xr:uid="{00000000-0005-0000-0000-0000CA680000}"/>
    <cellStyle name="Normal 15 3 7 3 2 2" xfId="53134" xr:uid="{00000000-0005-0000-0000-0000CB680000}"/>
    <cellStyle name="Normal 15 3 7 3 3" xfId="39572" xr:uid="{00000000-0005-0000-0000-0000CC680000}"/>
    <cellStyle name="Normal 15 3 7 4" xfId="19220" xr:uid="{00000000-0005-0000-0000-0000CD680000}"/>
    <cellStyle name="Normal 15 3 7 4 2" xfId="46353" xr:uid="{00000000-0005-0000-0000-0000CE680000}"/>
    <cellStyle name="Normal 15 3 7 5" xfId="32791" xr:uid="{00000000-0005-0000-0000-0000CF680000}"/>
    <cellStyle name="Normal 15 3 8" xfId="5488" xr:uid="{00000000-0005-0000-0000-0000D0680000}"/>
    <cellStyle name="Normal 15 3 8 2" xfId="9034" xr:uid="{00000000-0005-0000-0000-0000D1680000}"/>
    <cellStyle name="Normal 15 3 8 2 2" xfId="15823" xr:uid="{00000000-0005-0000-0000-0000D2680000}"/>
    <cellStyle name="Normal 15 3 8 2 2 2" xfId="29391" xr:uid="{00000000-0005-0000-0000-0000D3680000}"/>
    <cellStyle name="Normal 15 3 8 2 2 2 2" xfId="56524" xr:uid="{00000000-0005-0000-0000-0000D4680000}"/>
    <cellStyle name="Normal 15 3 8 2 2 3" xfId="42962" xr:uid="{00000000-0005-0000-0000-0000D5680000}"/>
    <cellStyle name="Normal 15 3 8 2 3" xfId="22610" xr:uid="{00000000-0005-0000-0000-0000D6680000}"/>
    <cellStyle name="Normal 15 3 8 2 3 2" xfId="49743" xr:uid="{00000000-0005-0000-0000-0000D7680000}"/>
    <cellStyle name="Normal 15 3 8 2 4" xfId="36181" xr:uid="{00000000-0005-0000-0000-0000D8680000}"/>
    <cellStyle name="Normal 15 3 8 3" xfId="12434" xr:uid="{00000000-0005-0000-0000-0000D9680000}"/>
    <cellStyle name="Normal 15 3 8 3 2" xfId="26002" xr:uid="{00000000-0005-0000-0000-0000DA680000}"/>
    <cellStyle name="Normal 15 3 8 3 2 2" xfId="53135" xr:uid="{00000000-0005-0000-0000-0000DB680000}"/>
    <cellStyle name="Normal 15 3 8 3 3" xfId="39573" xr:uid="{00000000-0005-0000-0000-0000DC680000}"/>
    <cellStyle name="Normal 15 3 8 4" xfId="19221" xr:uid="{00000000-0005-0000-0000-0000DD680000}"/>
    <cellStyle name="Normal 15 3 8 4 2" xfId="46354" xr:uid="{00000000-0005-0000-0000-0000DE680000}"/>
    <cellStyle name="Normal 15 3 8 5" xfId="32792" xr:uid="{00000000-0005-0000-0000-0000DF680000}"/>
    <cellStyle name="Normal 15 3 9" xfId="8996" xr:uid="{00000000-0005-0000-0000-0000E0680000}"/>
    <cellStyle name="Normal 15 3 9 2" xfId="15785" xr:uid="{00000000-0005-0000-0000-0000E1680000}"/>
    <cellStyle name="Normal 15 3 9 2 2" xfId="29353" xr:uid="{00000000-0005-0000-0000-0000E2680000}"/>
    <cellStyle name="Normal 15 3 9 2 2 2" xfId="56486" xr:uid="{00000000-0005-0000-0000-0000E3680000}"/>
    <cellStyle name="Normal 15 3 9 2 3" xfId="42924" xr:uid="{00000000-0005-0000-0000-0000E4680000}"/>
    <cellStyle name="Normal 15 3 9 3" xfId="22572" xr:uid="{00000000-0005-0000-0000-0000E5680000}"/>
    <cellStyle name="Normal 15 3 9 3 2" xfId="49705" xr:uid="{00000000-0005-0000-0000-0000E6680000}"/>
    <cellStyle name="Normal 15 3 9 4" xfId="36143" xr:uid="{00000000-0005-0000-0000-0000E7680000}"/>
    <cellStyle name="Normal 15 4" xfId="5489" xr:uid="{00000000-0005-0000-0000-0000E8680000}"/>
    <cellStyle name="Normal 15 4 10" xfId="32793" xr:uid="{00000000-0005-0000-0000-0000E9680000}"/>
    <cellStyle name="Normal 15 4 2" xfId="5490" xr:uid="{00000000-0005-0000-0000-0000EA680000}"/>
    <cellStyle name="Normal 15 4 2 2" xfId="5491" xr:uid="{00000000-0005-0000-0000-0000EB680000}"/>
    <cellStyle name="Normal 15 4 2 2 2" xfId="5492" xr:uid="{00000000-0005-0000-0000-0000EC680000}"/>
    <cellStyle name="Normal 15 4 2 2 2 2" xfId="9038" xr:uid="{00000000-0005-0000-0000-0000ED680000}"/>
    <cellStyle name="Normal 15 4 2 2 2 2 2" xfId="15827" xr:uid="{00000000-0005-0000-0000-0000EE680000}"/>
    <cellStyle name="Normal 15 4 2 2 2 2 2 2" xfId="29395" xr:uid="{00000000-0005-0000-0000-0000EF680000}"/>
    <cellStyle name="Normal 15 4 2 2 2 2 2 2 2" xfId="56528" xr:uid="{00000000-0005-0000-0000-0000F0680000}"/>
    <cellStyle name="Normal 15 4 2 2 2 2 2 3" xfId="42966" xr:uid="{00000000-0005-0000-0000-0000F1680000}"/>
    <cellStyle name="Normal 15 4 2 2 2 2 3" xfId="22614" xr:uid="{00000000-0005-0000-0000-0000F2680000}"/>
    <cellStyle name="Normal 15 4 2 2 2 2 3 2" xfId="49747" xr:uid="{00000000-0005-0000-0000-0000F3680000}"/>
    <cellStyle name="Normal 15 4 2 2 2 2 4" xfId="36185" xr:uid="{00000000-0005-0000-0000-0000F4680000}"/>
    <cellStyle name="Normal 15 4 2 2 2 3" xfId="12438" xr:uid="{00000000-0005-0000-0000-0000F5680000}"/>
    <cellStyle name="Normal 15 4 2 2 2 3 2" xfId="26006" xr:uid="{00000000-0005-0000-0000-0000F6680000}"/>
    <cellStyle name="Normal 15 4 2 2 2 3 2 2" xfId="53139" xr:uid="{00000000-0005-0000-0000-0000F7680000}"/>
    <cellStyle name="Normal 15 4 2 2 2 3 3" xfId="39577" xr:uid="{00000000-0005-0000-0000-0000F8680000}"/>
    <cellStyle name="Normal 15 4 2 2 2 4" xfId="19225" xr:uid="{00000000-0005-0000-0000-0000F9680000}"/>
    <cellStyle name="Normal 15 4 2 2 2 4 2" xfId="46358" xr:uid="{00000000-0005-0000-0000-0000FA680000}"/>
    <cellStyle name="Normal 15 4 2 2 2 5" xfId="32796" xr:uid="{00000000-0005-0000-0000-0000FB680000}"/>
    <cellStyle name="Normal 15 4 2 2 3" xfId="5493" xr:uid="{00000000-0005-0000-0000-0000FC680000}"/>
    <cellStyle name="Normal 15 4 2 2 3 2" xfId="9039" xr:uid="{00000000-0005-0000-0000-0000FD680000}"/>
    <cellStyle name="Normal 15 4 2 2 3 2 2" xfId="15828" xr:uid="{00000000-0005-0000-0000-0000FE680000}"/>
    <cellStyle name="Normal 15 4 2 2 3 2 2 2" xfId="29396" xr:uid="{00000000-0005-0000-0000-0000FF680000}"/>
    <cellStyle name="Normal 15 4 2 2 3 2 2 2 2" xfId="56529" xr:uid="{00000000-0005-0000-0000-000000690000}"/>
    <cellStyle name="Normal 15 4 2 2 3 2 2 3" xfId="42967" xr:uid="{00000000-0005-0000-0000-000001690000}"/>
    <cellStyle name="Normal 15 4 2 2 3 2 3" xfId="22615" xr:uid="{00000000-0005-0000-0000-000002690000}"/>
    <cellStyle name="Normal 15 4 2 2 3 2 3 2" xfId="49748" xr:uid="{00000000-0005-0000-0000-000003690000}"/>
    <cellStyle name="Normal 15 4 2 2 3 2 4" xfId="36186" xr:uid="{00000000-0005-0000-0000-000004690000}"/>
    <cellStyle name="Normal 15 4 2 2 3 3" xfId="12439" xr:uid="{00000000-0005-0000-0000-000005690000}"/>
    <cellStyle name="Normal 15 4 2 2 3 3 2" xfId="26007" xr:uid="{00000000-0005-0000-0000-000006690000}"/>
    <cellStyle name="Normal 15 4 2 2 3 3 2 2" xfId="53140" xr:uid="{00000000-0005-0000-0000-000007690000}"/>
    <cellStyle name="Normal 15 4 2 2 3 3 3" xfId="39578" xr:uid="{00000000-0005-0000-0000-000008690000}"/>
    <cellStyle name="Normal 15 4 2 2 3 4" xfId="19226" xr:uid="{00000000-0005-0000-0000-000009690000}"/>
    <cellStyle name="Normal 15 4 2 2 3 4 2" xfId="46359" xr:uid="{00000000-0005-0000-0000-00000A690000}"/>
    <cellStyle name="Normal 15 4 2 2 3 5" xfId="32797" xr:uid="{00000000-0005-0000-0000-00000B690000}"/>
    <cellStyle name="Normal 15 4 2 2 4" xfId="9037" xr:uid="{00000000-0005-0000-0000-00000C690000}"/>
    <cellStyle name="Normal 15 4 2 2 4 2" xfId="15826" xr:uid="{00000000-0005-0000-0000-00000D690000}"/>
    <cellStyle name="Normal 15 4 2 2 4 2 2" xfId="29394" xr:uid="{00000000-0005-0000-0000-00000E690000}"/>
    <cellStyle name="Normal 15 4 2 2 4 2 2 2" xfId="56527" xr:uid="{00000000-0005-0000-0000-00000F690000}"/>
    <cellStyle name="Normal 15 4 2 2 4 2 3" xfId="42965" xr:uid="{00000000-0005-0000-0000-000010690000}"/>
    <cellStyle name="Normal 15 4 2 2 4 3" xfId="22613" xr:uid="{00000000-0005-0000-0000-000011690000}"/>
    <cellStyle name="Normal 15 4 2 2 4 3 2" xfId="49746" xr:uid="{00000000-0005-0000-0000-000012690000}"/>
    <cellStyle name="Normal 15 4 2 2 4 4" xfId="36184" xr:uid="{00000000-0005-0000-0000-000013690000}"/>
    <cellStyle name="Normal 15 4 2 2 5" xfId="12437" xr:uid="{00000000-0005-0000-0000-000014690000}"/>
    <cellStyle name="Normal 15 4 2 2 5 2" xfId="26005" xr:uid="{00000000-0005-0000-0000-000015690000}"/>
    <cellStyle name="Normal 15 4 2 2 5 2 2" xfId="53138" xr:uid="{00000000-0005-0000-0000-000016690000}"/>
    <cellStyle name="Normal 15 4 2 2 5 3" xfId="39576" xr:uid="{00000000-0005-0000-0000-000017690000}"/>
    <cellStyle name="Normal 15 4 2 2 6" xfId="19224" xr:uid="{00000000-0005-0000-0000-000018690000}"/>
    <cellStyle name="Normal 15 4 2 2 6 2" xfId="46357" xr:uid="{00000000-0005-0000-0000-000019690000}"/>
    <cellStyle name="Normal 15 4 2 2 7" xfId="32795" xr:uid="{00000000-0005-0000-0000-00001A690000}"/>
    <cellStyle name="Normal 15 4 2 3" xfId="5494" xr:uid="{00000000-0005-0000-0000-00001B690000}"/>
    <cellStyle name="Normal 15 4 2 3 2" xfId="5495" xr:uid="{00000000-0005-0000-0000-00001C690000}"/>
    <cellStyle name="Normal 15 4 2 3 2 2" xfId="9041" xr:uid="{00000000-0005-0000-0000-00001D690000}"/>
    <cellStyle name="Normal 15 4 2 3 2 2 2" xfId="15830" xr:uid="{00000000-0005-0000-0000-00001E690000}"/>
    <cellStyle name="Normal 15 4 2 3 2 2 2 2" xfId="29398" xr:uid="{00000000-0005-0000-0000-00001F690000}"/>
    <cellStyle name="Normal 15 4 2 3 2 2 2 2 2" xfId="56531" xr:uid="{00000000-0005-0000-0000-000020690000}"/>
    <cellStyle name="Normal 15 4 2 3 2 2 2 3" xfId="42969" xr:uid="{00000000-0005-0000-0000-000021690000}"/>
    <cellStyle name="Normal 15 4 2 3 2 2 3" xfId="22617" xr:uid="{00000000-0005-0000-0000-000022690000}"/>
    <cellStyle name="Normal 15 4 2 3 2 2 3 2" xfId="49750" xr:uid="{00000000-0005-0000-0000-000023690000}"/>
    <cellStyle name="Normal 15 4 2 3 2 2 4" xfId="36188" xr:uid="{00000000-0005-0000-0000-000024690000}"/>
    <cellStyle name="Normal 15 4 2 3 2 3" xfId="12441" xr:uid="{00000000-0005-0000-0000-000025690000}"/>
    <cellStyle name="Normal 15 4 2 3 2 3 2" xfId="26009" xr:uid="{00000000-0005-0000-0000-000026690000}"/>
    <cellStyle name="Normal 15 4 2 3 2 3 2 2" xfId="53142" xr:uid="{00000000-0005-0000-0000-000027690000}"/>
    <cellStyle name="Normal 15 4 2 3 2 3 3" xfId="39580" xr:uid="{00000000-0005-0000-0000-000028690000}"/>
    <cellStyle name="Normal 15 4 2 3 2 4" xfId="19228" xr:uid="{00000000-0005-0000-0000-000029690000}"/>
    <cellStyle name="Normal 15 4 2 3 2 4 2" xfId="46361" xr:uid="{00000000-0005-0000-0000-00002A690000}"/>
    <cellStyle name="Normal 15 4 2 3 2 5" xfId="32799" xr:uid="{00000000-0005-0000-0000-00002B690000}"/>
    <cellStyle name="Normal 15 4 2 3 3" xfId="9040" xr:uid="{00000000-0005-0000-0000-00002C690000}"/>
    <cellStyle name="Normal 15 4 2 3 3 2" xfId="15829" xr:uid="{00000000-0005-0000-0000-00002D690000}"/>
    <cellStyle name="Normal 15 4 2 3 3 2 2" xfId="29397" xr:uid="{00000000-0005-0000-0000-00002E690000}"/>
    <cellStyle name="Normal 15 4 2 3 3 2 2 2" xfId="56530" xr:uid="{00000000-0005-0000-0000-00002F690000}"/>
    <cellStyle name="Normal 15 4 2 3 3 2 3" xfId="42968" xr:uid="{00000000-0005-0000-0000-000030690000}"/>
    <cellStyle name="Normal 15 4 2 3 3 3" xfId="22616" xr:uid="{00000000-0005-0000-0000-000031690000}"/>
    <cellStyle name="Normal 15 4 2 3 3 3 2" xfId="49749" xr:uid="{00000000-0005-0000-0000-000032690000}"/>
    <cellStyle name="Normal 15 4 2 3 3 4" xfId="36187" xr:uid="{00000000-0005-0000-0000-000033690000}"/>
    <cellStyle name="Normal 15 4 2 3 4" xfId="12440" xr:uid="{00000000-0005-0000-0000-000034690000}"/>
    <cellStyle name="Normal 15 4 2 3 4 2" xfId="26008" xr:uid="{00000000-0005-0000-0000-000035690000}"/>
    <cellStyle name="Normal 15 4 2 3 4 2 2" xfId="53141" xr:uid="{00000000-0005-0000-0000-000036690000}"/>
    <cellStyle name="Normal 15 4 2 3 4 3" xfId="39579" xr:uid="{00000000-0005-0000-0000-000037690000}"/>
    <cellStyle name="Normal 15 4 2 3 5" xfId="19227" xr:uid="{00000000-0005-0000-0000-000038690000}"/>
    <cellStyle name="Normal 15 4 2 3 5 2" xfId="46360" xr:uid="{00000000-0005-0000-0000-000039690000}"/>
    <cellStyle name="Normal 15 4 2 3 6" xfId="32798" xr:uid="{00000000-0005-0000-0000-00003A690000}"/>
    <cellStyle name="Normal 15 4 2 4" xfId="5496" xr:uid="{00000000-0005-0000-0000-00003B690000}"/>
    <cellStyle name="Normal 15 4 2 4 2" xfId="9042" xr:uid="{00000000-0005-0000-0000-00003C690000}"/>
    <cellStyle name="Normal 15 4 2 4 2 2" xfId="15831" xr:uid="{00000000-0005-0000-0000-00003D690000}"/>
    <cellStyle name="Normal 15 4 2 4 2 2 2" xfId="29399" xr:uid="{00000000-0005-0000-0000-00003E690000}"/>
    <cellStyle name="Normal 15 4 2 4 2 2 2 2" xfId="56532" xr:uid="{00000000-0005-0000-0000-00003F690000}"/>
    <cellStyle name="Normal 15 4 2 4 2 2 3" xfId="42970" xr:uid="{00000000-0005-0000-0000-000040690000}"/>
    <cellStyle name="Normal 15 4 2 4 2 3" xfId="22618" xr:uid="{00000000-0005-0000-0000-000041690000}"/>
    <cellStyle name="Normal 15 4 2 4 2 3 2" xfId="49751" xr:uid="{00000000-0005-0000-0000-000042690000}"/>
    <cellStyle name="Normal 15 4 2 4 2 4" xfId="36189" xr:uid="{00000000-0005-0000-0000-000043690000}"/>
    <cellStyle name="Normal 15 4 2 4 3" xfId="12442" xr:uid="{00000000-0005-0000-0000-000044690000}"/>
    <cellStyle name="Normal 15 4 2 4 3 2" xfId="26010" xr:uid="{00000000-0005-0000-0000-000045690000}"/>
    <cellStyle name="Normal 15 4 2 4 3 2 2" xfId="53143" xr:uid="{00000000-0005-0000-0000-000046690000}"/>
    <cellStyle name="Normal 15 4 2 4 3 3" xfId="39581" xr:uid="{00000000-0005-0000-0000-000047690000}"/>
    <cellStyle name="Normal 15 4 2 4 4" xfId="19229" xr:uid="{00000000-0005-0000-0000-000048690000}"/>
    <cellStyle name="Normal 15 4 2 4 4 2" xfId="46362" xr:uid="{00000000-0005-0000-0000-000049690000}"/>
    <cellStyle name="Normal 15 4 2 4 5" xfId="32800" xr:uid="{00000000-0005-0000-0000-00004A690000}"/>
    <cellStyle name="Normal 15 4 2 5" xfId="5497" xr:uid="{00000000-0005-0000-0000-00004B690000}"/>
    <cellStyle name="Normal 15 4 2 5 2" xfId="9043" xr:uid="{00000000-0005-0000-0000-00004C690000}"/>
    <cellStyle name="Normal 15 4 2 5 2 2" xfId="15832" xr:uid="{00000000-0005-0000-0000-00004D690000}"/>
    <cellStyle name="Normal 15 4 2 5 2 2 2" xfId="29400" xr:uid="{00000000-0005-0000-0000-00004E690000}"/>
    <cellStyle name="Normal 15 4 2 5 2 2 2 2" xfId="56533" xr:uid="{00000000-0005-0000-0000-00004F690000}"/>
    <cellStyle name="Normal 15 4 2 5 2 2 3" xfId="42971" xr:uid="{00000000-0005-0000-0000-000050690000}"/>
    <cellStyle name="Normal 15 4 2 5 2 3" xfId="22619" xr:uid="{00000000-0005-0000-0000-000051690000}"/>
    <cellStyle name="Normal 15 4 2 5 2 3 2" xfId="49752" xr:uid="{00000000-0005-0000-0000-000052690000}"/>
    <cellStyle name="Normal 15 4 2 5 2 4" xfId="36190" xr:uid="{00000000-0005-0000-0000-000053690000}"/>
    <cellStyle name="Normal 15 4 2 5 3" xfId="12443" xr:uid="{00000000-0005-0000-0000-000054690000}"/>
    <cellStyle name="Normal 15 4 2 5 3 2" xfId="26011" xr:uid="{00000000-0005-0000-0000-000055690000}"/>
    <cellStyle name="Normal 15 4 2 5 3 2 2" xfId="53144" xr:uid="{00000000-0005-0000-0000-000056690000}"/>
    <cellStyle name="Normal 15 4 2 5 3 3" xfId="39582" xr:uid="{00000000-0005-0000-0000-000057690000}"/>
    <cellStyle name="Normal 15 4 2 5 4" xfId="19230" xr:uid="{00000000-0005-0000-0000-000058690000}"/>
    <cellStyle name="Normal 15 4 2 5 4 2" xfId="46363" xr:uid="{00000000-0005-0000-0000-000059690000}"/>
    <cellStyle name="Normal 15 4 2 5 5" xfId="32801" xr:uid="{00000000-0005-0000-0000-00005A690000}"/>
    <cellStyle name="Normal 15 4 2 6" xfId="9036" xr:uid="{00000000-0005-0000-0000-00005B690000}"/>
    <cellStyle name="Normal 15 4 2 6 2" xfId="15825" xr:uid="{00000000-0005-0000-0000-00005C690000}"/>
    <cellStyle name="Normal 15 4 2 6 2 2" xfId="29393" xr:uid="{00000000-0005-0000-0000-00005D690000}"/>
    <cellStyle name="Normal 15 4 2 6 2 2 2" xfId="56526" xr:uid="{00000000-0005-0000-0000-00005E690000}"/>
    <cellStyle name="Normal 15 4 2 6 2 3" xfId="42964" xr:uid="{00000000-0005-0000-0000-00005F690000}"/>
    <cellStyle name="Normal 15 4 2 6 3" xfId="22612" xr:uid="{00000000-0005-0000-0000-000060690000}"/>
    <cellStyle name="Normal 15 4 2 6 3 2" xfId="49745" xr:uid="{00000000-0005-0000-0000-000061690000}"/>
    <cellStyle name="Normal 15 4 2 6 4" xfId="36183" xr:uid="{00000000-0005-0000-0000-000062690000}"/>
    <cellStyle name="Normal 15 4 2 7" xfId="12436" xr:uid="{00000000-0005-0000-0000-000063690000}"/>
    <cellStyle name="Normal 15 4 2 7 2" xfId="26004" xr:uid="{00000000-0005-0000-0000-000064690000}"/>
    <cellStyle name="Normal 15 4 2 7 2 2" xfId="53137" xr:uid="{00000000-0005-0000-0000-000065690000}"/>
    <cellStyle name="Normal 15 4 2 7 3" xfId="39575" xr:uid="{00000000-0005-0000-0000-000066690000}"/>
    <cellStyle name="Normal 15 4 2 8" xfId="19223" xr:uid="{00000000-0005-0000-0000-000067690000}"/>
    <cellStyle name="Normal 15 4 2 8 2" xfId="46356" xr:uid="{00000000-0005-0000-0000-000068690000}"/>
    <cellStyle name="Normal 15 4 2 9" xfId="32794" xr:uid="{00000000-0005-0000-0000-000069690000}"/>
    <cellStyle name="Normal 15 4 3" xfId="5498" xr:uid="{00000000-0005-0000-0000-00006A690000}"/>
    <cellStyle name="Normal 15 4 3 2" xfId="5499" xr:uid="{00000000-0005-0000-0000-00006B690000}"/>
    <cellStyle name="Normal 15 4 3 2 2" xfId="9045" xr:uid="{00000000-0005-0000-0000-00006C690000}"/>
    <cellStyle name="Normal 15 4 3 2 2 2" xfId="15834" xr:uid="{00000000-0005-0000-0000-00006D690000}"/>
    <cellStyle name="Normal 15 4 3 2 2 2 2" xfId="29402" xr:uid="{00000000-0005-0000-0000-00006E690000}"/>
    <cellStyle name="Normal 15 4 3 2 2 2 2 2" xfId="56535" xr:uid="{00000000-0005-0000-0000-00006F690000}"/>
    <cellStyle name="Normal 15 4 3 2 2 2 3" xfId="42973" xr:uid="{00000000-0005-0000-0000-000070690000}"/>
    <cellStyle name="Normal 15 4 3 2 2 3" xfId="22621" xr:uid="{00000000-0005-0000-0000-000071690000}"/>
    <cellStyle name="Normal 15 4 3 2 2 3 2" xfId="49754" xr:uid="{00000000-0005-0000-0000-000072690000}"/>
    <cellStyle name="Normal 15 4 3 2 2 4" xfId="36192" xr:uid="{00000000-0005-0000-0000-000073690000}"/>
    <cellStyle name="Normal 15 4 3 2 3" xfId="12445" xr:uid="{00000000-0005-0000-0000-000074690000}"/>
    <cellStyle name="Normal 15 4 3 2 3 2" xfId="26013" xr:uid="{00000000-0005-0000-0000-000075690000}"/>
    <cellStyle name="Normal 15 4 3 2 3 2 2" xfId="53146" xr:uid="{00000000-0005-0000-0000-000076690000}"/>
    <cellStyle name="Normal 15 4 3 2 3 3" xfId="39584" xr:uid="{00000000-0005-0000-0000-000077690000}"/>
    <cellStyle name="Normal 15 4 3 2 4" xfId="19232" xr:uid="{00000000-0005-0000-0000-000078690000}"/>
    <cellStyle name="Normal 15 4 3 2 4 2" xfId="46365" xr:uid="{00000000-0005-0000-0000-000079690000}"/>
    <cellStyle name="Normal 15 4 3 2 5" xfId="32803" xr:uid="{00000000-0005-0000-0000-00007A690000}"/>
    <cellStyle name="Normal 15 4 3 3" xfId="5500" xr:uid="{00000000-0005-0000-0000-00007B690000}"/>
    <cellStyle name="Normal 15 4 3 3 2" xfId="9046" xr:uid="{00000000-0005-0000-0000-00007C690000}"/>
    <cellStyle name="Normal 15 4 3 3 2 2" xfId="15835" xr:uid="{00000000-0005-0000-0000-00007D690000}"/>
    <cellStyle name="Normal 15 4 3 3 2 2 2" xfId="29403" xr:uid="{00000000-0005-0000-0000-00007E690000}"/>
    <cellStyle name="Normal 15 4 3 3 2 2 2 2" xfId="56536" xr:uid="{00000000-0005-0000-0000-00007F690000}"/>
    <cellStyle name="Normal 15 4 3 3 2 2 3" xfId="42974" xr:uid="{00000000-0005-0000-0000-000080690000}"/>
    <cellStyle name="Normal 15 4 3 3 2 3" xfId="22622" xr:uid="{00000000-0005-0000-0000-000081690000}"/>
    <cellStyle name="Normal 15 4 3 3 2 3 2" xfId="49755" xr:uid="{00000000-0005-0000-0000-000082690000}"/>
    <cellStyle name="Normal 15 4 3 3 2 4" xfId="36193" xr:uid="{00000000-0005-0000-0000-000083690000}"/>
    <cellStyle name="Normal 15 4 3 3 3" xfId="12446" xr:uid="{00000000-0005-0000-0000-000084690000}"/>
    <cellStyle name="Normal 15 4 3 3 3 2" xfId="26014" xr:uid="{00000000-0005-0000-0000-000085690000}"/>
    <cellStyle name="Normal 15 4 3 3 3 2 2" xfId="53147" xr:uid="{00000000-0005-0000-0000-000086690000}"/>
    <cellStyle name="Normal 15 4 3 3 3 3" xfId="39585" xr:uid="{00000000-0005-0000-0000-000087690000}"/>
    <cellStyle name="Normal 15 4 3 3 4" xfId="19233" xr:uid="{00000000-0005-0000-0000-000088690000}"/>
    <cellStyle name="Normal 15 4 3 3 4 2" xfId="46366" xr:uid="{00000000-0005-0000-0000-000089690000}"/>
    <cellStyle name="Normal 15 4 3 3 5" xfId="32804" xr:uid="{00000000-0005-0000-0000-00008A690000}"/>
    <cellStyle name="Normal 15 4 3 4" xfId="9044" xr:uid="{00000000-0005-0000-0000-00008B690000}"/>
    <cellStyle name="Normal 15 4 3 4 2" xfId="15833" xr:uid="{00000000-0005-0000-0000-00008C690000}"/>
    <cellStyle name="Normal 15 4 3 4 2 2" xfId="29401" xr:uid="{00000000-0005-0000-0000-00008D690000}"/>
    <cellStyle name="Normal 15 4 3 4 2 2 2" xfId="56534" xr:uid="{00000000-0005-0000-0000-00008E690000}"/>
    <cellStyle name="Normal 15 4 3 4 2 3" xfId="42972" xr:uid="{00000000-0005-0000-0000-00008F690000}"/>
    <cellStyle name="Normal 15 4 3 4 3" xfId="22620" xr:uid="{00000000-0005-0000-0000-000090690000}"/>
    <cellStyle name="Normal 15 4 3 4 3 2" xfId="49753" xr:uid="{00000000-0005-0000-0000-000091690000}"/>
    <cellStyle name="Normal 15 4 3 4 4" xfId="36191" xr:uid="{00000000-0005-0000-0000-000092690000}"/>
    <cellStyle name="Normal 15 4 3 5" xfId="12444" xr:uid="{00000000-0005-0000-0000-000093690000}"/>
    <cellStyle name="Normal 15 4 3 5 2" xfId="26012" xr:uid="{00000000-0005-0000-0000-000094690000}"/>
    <cellStyle name="Normal 15 4 3 5 2 2" xfId="53145" xr:uid="{00000000-0005-0000-0000-000095690000}"/>
    <cellStyle name="Normal 15 4 3 5 3" xfId="39583" xr:uid="{00000000-0005-0000-0000-000096690000}"/>
    <cellStyle name="Normal 15 4 3 6" xfId="19231" xr:uid="{00000000-0005-0000-0000-000097690000}"/>
    <cellStyle name="Normal 15 4 3 6 2" xfId="46364" xr:uid="{00000000-0005-0000-0000-000098690000}"/>
    <cellStyle name="Normal 15 4 3 7" xfId="32802" xr:uid="{00000000-0005-0000-0000-000099690000}"/>
    <cellStyle name="Normal 15 4 4" xfId="5501" xr:uid="{00000000-0005-0000-0000-00009A690000}"/>
    <cellStyle name="Normal 15 4 4 2" xfId="5502" xr:uid="{00000000-0005-0000-0000-00009B690000}"/>
    <cellStyle name="Normal 15 4 4 2 2" xfId="9048" xr:uid="{00000000-0005-0000-0000-00009C690000}"/>
    <cellStyle name="Normal 15 4 4 2 2 2" xfId="15837" xr:uid="{00000000-0005-0000-0000-00009D690000}"/>
    <cellStyle name="Normal 15 4 4 2 2 2 2" xfId="29405" xr:uid="{00000000-0005-0000-0000-00009E690000}"/>
    <cellStyle name="Normal 15 4 4 2 2 2 2 2" xfId="56538" xr:uid="{00000000-0005-0000-0000-00009F690000}"/>
    <cellStyle name="Normal 15 4 4 2 2 2 3" xfId="42976" xr:uid="{00000000-0005-0000-0000-0000A0690000}"/>
    <cellStyle name="Normal 15 4 4 2 2 3" xfId="22624" xr:uid="{00000000-0005-0000-0000-0000A1690000}"/>
    <cellStyle name="Normal 15 4 4 2 2 3 2" xfId="49757" xr:uid="{00000000-0005-0000-0000-0000A2690000}"/>
    <cellStyle name="Normal 15 4 4 2 2 4" xfId="36195" xr:uid="{00000000-0005-0000-0000-0000A3690000}"/>
    <cellStyle name="Normal 15 4 4 2 3" xfId="12448" xr:uid="{00000000-0005-0000-0000-0000A4690000}"/>
    <cellStyle name="Normal 15 4 4 2 3 2" xfId="26016" xr:uid="{00000000-0005-0000-0000-0000A5690000}"/>
    <cellStyle name="Normal 15 4 4 2 3 2 2" xfId="53149" xr:uid="{00000000-0005-0000-0000-0000A6690000}"/>
    <cellStyle name="Normal 15 4 4 2 3 3" xfId="39587" xr:uid="{00000000-0005-0000-0000-0000A7690000}"/>
    <cellStyle name="Normal 15 4 4 2 4" xfId="19235" xr:uid="{00000000-0005-0000-0000-0000A8690000}"/>
    <cellStyle name="Normal 15 4 4 2 4 2" xfId="46368" xr:uid="{00000000-0005-0000-0000-0000A9690000}"/>
    <cellStyle name="Normal 15 4 4 2 5" xfId="32806" xr:uid="{00000000-0005-0000-0000-0000AA690000}"/>
    <cellStyle name="Normal 15 4 4 3" xfId="9047" xr:uid="{00000000-0005-0000-0000-0000AB690000}"/>
    <cellStyle name="Normal 15 4 4 3 2" xfId="15836" xr:uid="{00000000-0005-0000-0000-0000AC690000}"/>
    <cellStyle name="Normal 15 4 4 3 2 2" xfId="29404" xr:uid="{00000000-0005-0000-0000-0000AD690000}"/>
    <cellStyle name="Normal 15 4 4 3 2 2 2" xfId="56537" xr:uid="{00000000-0005-0000-0000-0000AE690000}"/>
    <cellStyle name="Normal 15 4 4 3 2 3" xfId="42975" xr:uid="{00000000-0005-0000-0000-0000AF690000}"/>
    <cellStyle name="Normal 15 4 4 3 3" xfId="22623" xr:uid="{00000000-0005-0000-0000-0000B0690000}"/>
    <cellStyle name="Normal 15 4 4 3 3 2" xfId="49756" xr:uid="{00000000-0005-0000-0000-0000B1690000}"/>
    <cellStyle name="Normal 15 4 4 3 4" xfId="36194" xr:uid="{00000000-0005-0000-0000-0000B2690000}"/>
    <cellStyle name="Normal 15 4 4 4" xfId="12447" xr:uid="{00000000-0005-0000-0000-0000B3690000}"/>
    <cellStyle name="Normal 15 4 4 4 2" xfId="26015" xr:uid="{00000000-0005-0000-0000-0000B4690000}"/>
    <cellStyle name="Normal 15 4 4 4 2 2" xfId="53148" xr:uid="{00000000-0005-0000-0000-0000B5690000}"/>
    <cellStyle name="Normal 15 4 4 4 3" xfId="39586" xr:uid="{00000000-0005-0000-0000-0000B6690000}"/>
    <cellStyle name="Normal 15 4 4 5" xfId="19234" xr:uid="{00000000-0005-0000-0000-0000B7690000}"/>
    <cellStyle name="Normal 15 4 4 5 2" xfId="46367" xr:uid="{00000000-0005-0000-0000-0000B8690000}"/>
    <cellStyle name="Normal 15 4 4 6" xfId="32805" xr:uid="{00000000-0005-0000-0000-0000B9690000}"/>
    <cellStyle name="Normal 15 4 5" xfId="5503" xr:uid="{00000000-0005-0000-0000-0000BA690000}"/>
    <cellStyle name="Normal 15 4 5 2" xfId="9049" xr:uid="{00000000-0005-0000-0000-0000BB690000}"/>
    <cellStyle name="Normal 15 4 5 2 2" xfId="15838" xr:uid="{00000000-0005-0000-0000-0000BC690000}"/>
    <cellStyle name="Normal 15 4 5 2 2 2" xfId="29406" xr:uid="{00000000-0005-0000-0000-0000BD690000}"/>
    <cellStyle name="Normal 15 4 5 2 2 2 2" xfId="56539" xr:uid="{00000000-0005-0000-0000-0000BE690000}"/>
    <cellStyle name="Normal 15 4 5 2 2 3" xfId="42977" xr:uid="{00000000-0005-0000-0000-0000BF690000}"/>
    <cellStyle name="Normal 15 4 5 2 3" xfId="22625" xr:uid="{00000000-0005-0000-0000-0000C0690000}"/>
    <cellStyle name="Normal 15 4 5 2 3 2" xfId="49758" xr:uid="{00000000-0005-0000-0000-0000C1690000}"/>
    <cellStyle name="Normal 15 4 5 2 4" xfId="36196" xr:uid="{00000000-0005-0000-0000-0000C2690000}"/>
    <cellStyle name="Normal 15 4 5 3" xfId="12449" xr:uid="{00000000-0005-0000-0000-0000C3690000}"/>
    <cellStyle name="Normal 15 4 5 3 2" xfId="26017" xr:uid="{00000000-0005-0000-0000-0000C4690000}"/>
    <cellStyle name="Normal 15 4 5 3 2 2" xfId="53150" xr:uid="{00000000-0005-0000-0000-0000C5690000}"/>
    <cellStyle name="Normal 15 4 5 3 3" xfId="39588" xr:uid="{00000000-0005-0000-0000-0000C6690000}"/>
    <cellStyle name="Normal 15 4 5 4" xfId="19236" xr:uid="{00000000-0005-0000-0000-0000C7690000}"/>
    <cellStyle name="Normal 15 4 5 4 2" xfId="46369" xr:uid="{00000000-0005-0000-0000-0000C8690000}"/>
    <cellStyle name="Normal 15 4 5 5" xfId="32807" xr:uid="{00000000-0005-0000-0000-0000C9690000}"/>
    <cellStyle name="Normal 15 4 6" xfId="5504" xr:uid="{00000000-0005-0000-0000-0000CA690000}"/>
    <cellStyle name="Normal 15 4 6 2" xfId="9050" xr:uid="{00000000-0005-0000-0000-0000CB690000}"/>
    <cellStyle name="Normal 15 4 6 2 2" xfId="15839" xr:uid="{00000000-0005-0000-0000-0000CC690000}"/>
    <cellStyle name="Normal 15 4 6 2 2 2" xfId="29407" xr:uid="{00000000-0005-0000-0000-0000CD690000}"/>
    <cellStyle name="Normal 15 4 6 2 2 2 2" xfId="56540" xr:uid="{00000000-0005-0000-0000-0000CE690000}"/>
    <cellStyle name="Normal 15 4 6 2 2 3" xfId="42978" xr:uid="{00000000-0005-0000-0000-0000CF690000}"/>
    <cellStyle name="Normal 15 4 6 2 3" xfId="22626" xr:uid="{00000000-0005-0000-0000-0000D0690000}"/>
    <cellStyle name="Normal 15 4 6 2 3 2" xfId="49759" xr:uid="{00000000-0005-0000-0000-0000D1690000}"/>
    <cellStyle name="Normal 15 4 6 2 4" xfId="36197" xr:uid="{00000000-0005-0000-0000-0000D2690000}"/>
    <cellStyle name="Normal 15 4 6 3" xfId="12450" xr:uid="{00000000-0005-0000-0000-0000D3690000}"/>
    <cellStyle name="Normal 15 4 6 3 2" xfId="26018" xr:uid="{00000000-0005-0000-0000-0000D4690000}"/>
    <cellStyle name="Normal 15 4 6 3 2 2" xfId="53151" xr:uid="{00000000-0005-0000-0000-0000D5690000}"/>
    <cellStyle name="Normal 15 4 6 3 3" xfId="39589" xr:uid="{00000000-0005-0000-0000-0000D6690000}"/>
    <cellStyle name="Normal 15 4 6 4" xfId="19237" xr:uid="{00000000-0005-0000-0000-0000D7690000}"/>
    <cellStyle name="Normal 15 4 6 4 2" xfId="46370" xr:uid="{00000000-0005-0000-0000-0000D8690000}"/>
    <cellStyle name="Normal 15 4 6 5" xfId="32808" xr:uid="{00000000-0005-0000-0000-0000D9690000}"/>
    <cellStyle name="Normal 15 4 7" xfId="9035" xr:uid="{00000000-0005-0000-0000-0000DA690000}"/>
    <cellStyle name="Normal 15 4 7 2" xfId="15824" xr:uid="{00000000-0005-0000-0000-0000DB690000}"/>
    <cellStyle name="Normal 15 4 7 2 2" xfId="29392" xr:uid="{00000000-0005-0000-0000-0000DC690000}"/>
    <cellStyle name="Normal 15 4 7 2 2 2" xfId="56525" xr:uid="{00000000-0005-0000-0000-0000DD690000}"/>
    <cellStyle name="Normal 15 4 7 2 3" xfId="42963" xr:uid="{00000000-0005-0000-0000-0000DE690000}"/>
    <cellStyle name="Normal 15 4 7 3" xfId="22611" xr:uid="{00000000-0005-0000-0000-0000DF690000}"/>
    <cellStyle name="Normal 15 4 7 3 2" xfId="49744" xr:uid="{00000000-0005-0000-0000-0000E0690000}"/>
    <cellStyle name="Normal 15 4 7 4" xfId="36182" xr:uid="{00000000-0005-0000-0000-0000E1690000}"/>
    <cellStyle name="Normal 15 4 8" xfId="12435" xr:uid="{00000000-0005-0000-0000-0000E2690000}"/>
    <cellStyle name="Normal 15 4 8 2" xfId="26003" xr:uid="{00000000-0005-0000-0000-0000E3690000}"/>
    <cellStyle name="Normal 15 4 8 2 2" xfId="53136" xr:uid="{00000000-0005-0000-0000-0000E4690000}"/>
    <cellStyle name="Normal 15 4 8 3" xfId="39574" xr:uid="{00000000-0005-0000-0000-0000E5690000}"/>
    <cellStyle name="Normal 15 4 9" xfId="19222" xr:uid="{00000000-0005-0000-0000-0000E6690000}"/>
    <cellStyle name="Normal 15 4 9 2" xfId="46355" xr:uid="{00000000-0005-0000-0000-0000E7690000}"/>
    <cellStyle name="Normal 15 5" xfId="5505" xr:uid="{00000000-0005-0000-0000-0000E8690000}"/>
    <cellStyle name="Normal 15 5 2" xfId="5506" xr:uid="{00000000-0005-0000-0000-0000E9690000}"/>
    <cellStyle name="Normal 15 5 2 2" xfId="5507" xr:uid="{00000000-0005-0000-0000-0000EA690000}"/>
    <cellStyle name="Normal 15 5 2 2 2" xfId="9053" xr:uid="{00000000-0005-0000-0000-0000EB690000}"/>
    <cellStyle name="Normal 15 5 2 2 2 2" xfId="15842" xr:uid="{00000000-0005-0000-0000-0000EC690000}"/>
    <cellStyle name="Normal 15 5 2 2 2 2 2" xfId="29410" xr:uid="{00000000-0005-0000-0000-0000ED690000}"/>
    <cellStyle name="Normal 15 5 2 2 2 2 2 2" xfId="56543" xr:uid="{00000000-0005-0000-0000-0000EE690000}"/>
    <cellStyle name="Normal 15 5 2 2 2 2 3" xfId="42981" xr:uid="{00000000-0005-0000-0000-0000EF690000}"/>
    <cellStyle name="Normal 15 5 2 2 2 3" xfId="22629" xr:uid="{00000000-0005-0000-0000-0000F0690000}"/>
    <cellStyle name="Normal 15 5 2 2 2 3 2" xfId="49762" xr:uid="{00000000-0005-0000-0000-0000F1690000}"/>
    <cellStyle name="Normal 15 5 2 2 2 4" xfId="36200" xr:uid="{00000000-0005-0000-0000-0000F2690000}"/>
    <cellStyle name="Normal 15 5 2 2 3" xfId="12453" xr:uid="{00000000-0005-0000-0000-0000F3690000}"/>
    <cellStyle name="Normal 15 5 2 2 3 2" xfId="26021" xr:uid="{00000000-0005-0000-0000-0000F4690000}"/>
    <cellStyle name="Normal 15 5 2 2 3 2 2" xfId="53154" xr:uid="{00000000-0005-0000-0000-0000F5690000}"/>
    <cellStyle name="Normal 15 5 2 2 3 3" xfId="39592" xr:uid="{00000000-0005-0000-0000-0000F6690000}"/>
    <cellStyle name="Normal 15 5 2 2 4" xfId="19240" xr:uid="{00000000-0005-0000-0000-0000F7690000}"/>
    <cellStyle name="Normal 15 5 2 2 4 2" xfId="46373" xr:uid="{00000000-0005-0000-0000-0000F8690000}"/>
    <cellStyle name="Normal 15 5 2 2 5" xfId="32811" xr:uid="{00000000-0005-0000-0000-0000F9690000}"/>
    <cellStyle name="Normal 15 5 2 3" xfId="5508" xr:uid="{00000000-0005-0000-0000-0000FA690000}"/>
    <cellStyle name="Normal 15 5 2 3 2" xfId="9054" xr:uid="{00000000-0005-0000-0000-0000FB690000}"/>
    <cellStyle name="Normal 15 5 2 3 2 2" xfId="15843" xr:uid="{00000000-0005-0000-0000-0000FC690000}"/>
    <cellStyle name="Normal 15 5 2 3 2 2 2" xfId="29411" xr:uid="{00000000-0005-0000-0000-0000FD690000}"/>
    <cellStyle name="Normal 15 5 2 3 2 2 2 2" xfId="56544" xr:uid="{00000000-0005-0000-0000-0000FE690000}"/>
    <cellStyle name="Normal 15 5 2 3 2 2 3" xfId="42982" xr:uid="{00000000-0005-0000-0000-0000FF690000}"/>
    <cellStyle name="Normal 15 5 2 3 2 3" xfId="22630" xr:uid="{00000000-0005-0000-0000-0000006A0000}"/>
    <cellStyle name="Normal 15 5 2 3 2 3 2" xfId="49763" xr:uid="{00000000-0005-0000-0000-0000016A0000}"/>
    <cellStyle name="Normal 15 5 2 3 2 4" xfId="36201" xr:uid="{00000000-0005-0000-0000-0000026A0000}"/>
    <cellStyle name="Normal 15 5 2 3 3" xfId="12454" xr:uid="{00000000-0005-0000-0000-0000036A0000}"/>
    <cellStyle name="Normal 15 5 2 3 3 2" xfId="26022" xr:uid="{00000000-0005-0000-0000-0000046A0000}"/>
    <cellStyle name="Normal 15 5 2 3 3 2 2" xfId="53155" xr:uid="{00000000-0005-0000-0000-0000056A0000}"/>
    <cellStyle name="Normal 15 5 2 3 3 3" xfId="39593" xr:uid="{00000000-0005-0000-0000-0000066A0000}"/>
    <cellStyle name="Normal 15 5 2 3 4" xfId="19241" xr:uid="{00000000-0005-0000-0000-0000076A0000}"/>
    <cellStyle name="Normal 15 5 2 3 4 2" xfId="46374" xr:uid="{00000000-0005-0000-0000-0000086A0000}"/>
    <cellStyle name="Normal 15 5 2 3 5" xfId="32812" xr:uid="{00000000-0005-0000-0000-0000096A0000}"/>
    <cellStyle name="Normal 15 5 2 4" xfId="9052" xr:uid="{00000000-0005-0000-0000-00000A6A0000}"/>
    <cellStyle name="Normal 15 5 2 4 2" xfId="15841" xr:uid="{00000000-0005-0000-0000-00000B6A0000}"/>
    <cellStyle name="Normal 15 5 2 4 2 2" xfId="29409" xr:uid="{00000000-0005-0000-0000-00000C6A0000}"/>
    <cellStyle name="Normal 15 5 2 4 2 2 2" xfId="56542" xr:uid="{00000000-0005-0000-0000-00000D6A0000}"/>
    <cellStyle name="Normal 15 5 2 4 2 3" xfId="42980" xr:uid="{00000000-0005-0000-0000-00000E6A0000}"/>
    <cellStyle name="Normal 15 5 2 4 3" xfId="22628" xr:uid="{00000000-0005-0000-0000-00000F6A0000}"/>
    <cellStyle name="Normal 15 5 2 4 3 2" xfId="49761" xr:uid="{00000000-0005-0000-0000-0000106A0000}"/>
    <cellStyle name="Normal 15 5 2 4 4" xfId="36199" xr:uid="{00000000-0005-0000-0000-0000116A0000}"/>
    <cellStyle name="Normal 15 5 2 5" xfId="12452" xr:uid="{00000000-0005-0000-0000-0000126A0000}"/>
    <cellStyle name="Normal 15 5 2 5 2" xfId="26020" xr:uid="{00000000-0005-0000-0000-0000136A0000}"/>
    <cellStyle name="Normal 15 5 2 5 2 2" xfId="53153" xr:uid="{00000000-0005-0000-0000-0000146A0000}"/>
    <cellStyle name="Normal 15 5 2 5 3" xfId="39591" xr:uid="{00000000-0005-0000-0000-0000156A0000}"/>
    <cellStyle name="Normal 15 5 2 6" xfId="19239" xr:uid="{00000000-0005-0000-0000-0000166A0000}"/>
    <cellStyle name="Normal 15 5 2 6 2" xfId="46372" xr:uid="{00000000-0005-0000-0000-0000176A0000}"/>
    <cellStyle name="Normal 15 5 2 7" xfId="32810" xr:uid="{00000000-0005-0000-0000-0000186A0000}"/>
    <cellStyle name="Normal 15 5 3" xfId="5509" xr:uid="{00000000-0005-0000-0000-0000196A0000}"/>
    <cellStyle name="Normal 15 5 3 2" xfId="5510" xr:uid="{00000000-0005-0000-0000-00001A6A0000}"/>
    <cellStyle name="Normal 15 5 3 2 2" xfId="9056" xr:uid="{00000000-0005-0000-0000-00001B6A0000}"/>
    <cellStyle name="Normal 15 5 3 2 2 2" xfId="15845" xr:uid="{00000000-0005-0000-0000-00001C6A0000}"/>
    <cellStyle name="Normal 15 5 3 2 2 2 2" xfId="29413" xr:uid="{00000000-0005-0000-0000-00001D6A0000}"/>
    <cellStyle name="Normal 15 5 3 2 2 2 2 2" xfId="56546" xr:uid="{00000000-0005-0000-0000-00001E6A0000}"/>
    <cellStyle name="Normal 15 5 3 2 2 2 3" xfId="42984" xr:uid="{00000000-0005-0000-0000-00001F6A0000}"/>
    <cellStyle name="Normal 15 5 3 2 2 3" xfId="22632" xr:uid="{00000000-0005-0000-0000-0000206A0000}"/>
    <cellStyle name="Normal 15 5 3 2 2 3 2" xfId="49765" xr:uid="{00000000-0005-0000-0000-0000216A0000}"/>
    <cellStyle name="Normal 15 5 3 2 2 4" xfId="36203" xr:uid="{00000000-0005-0000-0000-0000226A0000}"/>
    <cellStyle name="Normal 15 5 3 2 3" xfId="12456" xr:uid="{00000000-0005-0000-0000-0000236A0000}"/>
    <cellStyle name="Normal 15 5 3 2 3 2" xfId="26024" xr:uid="{00000000-0005-0000-0000-0000246A0000}"/>
    <cellStyle name="Normal 15 5 3 2 3 2 2" xfId="53157" xr:uid="{00000000-0005-0000-0000-0000256A0000}"/>
    <cellStyle name="Normal 15 5 3 2 3 3" xfId="39595" xr:uid="{00000000-0005-0000-0000-0000266A0000}"/>
    <cellStyle name="Normal 15 5 3 2 4" xfId="19243" xr:uid="{00000000-0005-0000-0000-0000276A0000}"/>
    <cellStyle name="Normal 15 5 3 2 4 2" xfId="46376" xr:uid="{00000000-0005-0000-0000-0000286A0000}"/>
    <cellStyle name="Normal 15 5 3 2 5" xfId="32814" xr:uid="{00000000-0005-0000-0000-0000296A0000}"/>
    <cellStyle name="Normal 15 5 3 3" xfId="9055" xr:uid="{00000000-0005-0000-0000-00002A6A0000}"/>
    <cellStyle name="Normal 15 5 3 3 2" xfId="15844" xr:uid="{00000000-0005-0000-0000-00002B6A0000}"/>
    <cellStyle name="Normal 15 5 3 3 2 2" xfId="29412" xr:uid="{00000000-0005-0000-0000-00002C6A0000}"/>
    <cellStyle name="Normal 15 5 3 3 2 2 2" xfId="56545" xr:uid="{00000000-0005-0000-0000-00002D6A0000}"/>
    <cellStyle name="Normal 15 5 3 3 2 3" xfId="42983" xr:uid="{00000000-0005-0000-0000-00002E6A0000}"/>
    <cellStyle name="Normal 15 5 3 3 3" xfId="22631" xr:uid="{00000000-0005-0000-0000-00002F6A0000}"/>
    <cellStyle name="Normal 15 5 3 3 3 2" xfId="49764" xr:uid="{00000000-0005-0000-0000-0000306A0000}"/>
    <cellStyle name="Normal 15 5 3 3 4" xfId="36202" xr:uid="{00000000-0005-0000-0000-0000316A0000}"/>
    <cellStyle name="Normal 15 5 3 4" xfId="12455" xr:uid="{00000000-0005-0000-0000-0000326A0000}"/>
    <cellStyle name="Normal 15 5 3 4 2" xfId="26023" xr:uid="{00000000-0005-0000-0000-0000336A0000}"/>
    <cellStyle name="Normal 15 5 3 4 2 2" xfId="53156" xr:uid="{00000000-0005-0000-0000-0000346A0000}"/>
    <cellStyle name="Normal 15 5 3 4 3" xfId="39594" xr:uid="{00000000-0005-0000-0000-0000356A0000}"/>
    <cellStyle name="Normal 15 5 3 5" xfId="19242" xr:uid="{00000000-0005-0000-0000-0000366A0000}"/>
    <cellStyle name="Normal 15 5 3 5 2" xfId="46375" xr:uid="{00000000-0005-0000-0000-0000376A0000}"/>
    <cellStyle name="Normal 15 5 3 6" xfId="32813" xr:uid="{00000000-0005-0000-0000-0000386A0000}"/>
    <cellStyle name="Normal 15 5 4" xfId="5511" xr:uid="{00000000-0005-0000-0000-0000396A0000}"/>
    <cellStyle name="Normal 15 5 4 2" xfId="9057" xr:uid="{00000000-0005-0000-0000-00003A6A0000}"/>
    <cellStyle name="Normal 15 5 4 2 2" xfId="15846" xr:uid="{00000000-0005-0000-0000-00003B6A0000}"/>
    <cellStyle name="Normal 15 5 4 2 2 2" xfId="29414" xr:uid="{00000000-0005-0000-0000-00003C6A0000}"/>
    <cellStyle name="Normal 15 5 4 2 2 2 2" xfId="56547" xr:uid="{00000000-0005-0000-0000-00003D6A0000}"/>
    <cellStyle name="Normal 15 5 4 2 2 3" xfId="42985" xr:uid="{00000000-0005-0000-0000-00003E6A0000}"/>
    <cellStyle name="Normal 15 5 4 2 3" xfId="22633" xr:uid="{00000000-0005-0000-0000-00003F6A0000}"/>
    <cellStyle name="Normal 15 5 4 2 3 2" xfId="49766" xr:uid="{00000000-0005-0000-0000-0000406A0000}"/>
    <cellStyle name="Normal 15 5 4 2 4" xfId="36204" xr:uid="{00000000-0005-0000-0000-0000416A0000}"/>
    <cellStyle name="Normal 15 5 4 3" xfId="12457" xr:uid="{00000000-0005-0000-0000-0000426A0000}"/>
    <cellStyle name="Normal 15 5 4 3 2" xfId="26025" xr:uid="{00000000-0005-0000-0000-0000436A0000}"/>
    <cellStyle name="Normal 15 5 4 3 2 2" xfId="53158" xr:uid="{00000000-0005-0000-0000-0000446A0000}"/>
    <cellStyle name="Normal 15 5 4 3 3" xfId="39596" xr:uid="{00000000-0005-0000-0000-0000456A0000}"/>
    <cellStyle name="Normal 15 5 4 4" xfId="19244" xr:uid="{00000000-0005-0000-0000-0000466A0000}"/>
    <cellStyle name="Normal 15 5 4 4 2" xfId="46377" xr:uid="{00000000-0005-0000-0000-0000476A0000}"/>
    <cellStyle name="Normal 15 5 4 5" xfId="32815" xr:uid="{00000000-0005-0000-0000-0000486A0000}"/>
    <cellStyle name="Normal 15 5 5" xfId="5512" xr:uid="{00000000-0005-0000-0000-0000496A0000}"/>
    <cellStyle name="Normal 15 5 5 2" xfId="9058" xr:uid="{00000000-0005-0000-0000-00004A6A0000}"/>
    <cellStyle name="Normal 15 5 5 2 2" xfId="15847" xr:uid="{00000000-0005-0000-0000-00004B6A0000}"/>
    <cellStyle name="Normal 15 5 5 2 2 2" xfId="29415" xr:uid="{00000000-0005-0000-0000-00004C6A0000}"/>
    <cellStyle name="Normal 15 5 5 2 2 2 2" xfId="56548" xr:uid="{00000000-0005-0000-0000-00004D6A0000}"/>
    <cellStyle name="Normal 15 5 5 2 2 3" xfId="42986" xr:uid="{00000000-0005-0000-0000-00004E6A0000}"/>
    <cellStyle name="Normal 15 5 5 2 3" xfId="22634" xr:uid="{00000000-0005-0000-0000-00004F6A0000}"/>
    <cellStyle name="Normal 15 5 5 2 3 2" xfId="49767" xr:uid="{00000000-0005-0000-0000-0000506A0000}"/>
    <cellStyle name="Normal 15 5 5 2 4" xfId="36205" xr:uid="{00000000-0005-0000-0000-0000516A0000}"/>
    <cellStyle name="Normal 15 5 5 3" xfId="12458" xr:uid="{00000000-0005-0000-0000-0000526A0000}"/>
    <cellStyle name="Normal 15 5 5 3 2" xfId="26026" xr:uid="{00000000-0005-0000-0000-0000536A0000}"/>
    <cellStyle name="Normal 15 5 5 3 2 2" xfId="53159" xr:uid="{00000000-0005-0000-0000-0000546A0000}"/>
    <cellStyle name="Normal 15 5 5 3 3" xfId="39597" xr:uid="{00000000-0005-0000-0000-0000556A0000}"/>
    <cellStyle name="Normal 15 5 5 4" xfId="19245" xr:uid="{00000000-0005-0000-0000-0000566A0000}"/>
    <cellStyle name="Normal 15 5 5 4 2" xfId="46378" xr:uid="{00000000-0005-0000-0000-0000576A0000}"/>
    <cellStyle name="Normal 15 5 5 5" xfId="32816" xr:uid="{00000000-0005-0000-0000-0000586A0000}"/>
    <cellStyle name="Normal 15 5 6" xfId="9051" xr:uid="{00000000-0005-0000-0000-0000596A0000}"/>
    <cellStyle name="Normal 15 5 6 2" xfId="15840" xr:uid="{00000000-0005-0000-0000-00005A6A0000}"/>
    <cellStyle name="Normal 15 5 6 2 2" xfId="29408" xr:uid="{00000000-0005-0000-0000-00005B6A0000}"/>
    <cellStyle name="Normal 15 5 6 2 2 2" xfId="56541" xr:uid="{00000000-0005-0000-0000-00005C6A0000}"/>
    <cellStyle name="Normal 15 5 6 2 3" xfId="42979" xr:uid="{00000000-0005-0000-0000-00005D6A0000}"/>
    <cellStyle name="Normal 15 5 6 3" xfId="22627" xr:uid="{00000000-0005-0000-0000-00005E6A0000}"/>
    <cellStyle name="Normal 15 5 6 3 2" xfId="49760" xr:uid="{00000000-0005-0000-0000-00005F6A0000}"/>
    <cellStyle name="Normal 15 5 6 4" xfId="36198" xr:uid="{00000000-0005-0000-0000-0000606A0000}"/>
    <cellStyle name="Normal 15 5 7" xfId="12451" xr:uid="{00000000-0005-0000-0000-0000616A0000}"/>
    <cellStyle name="Normal 15 5 7 2" xfId="26019" xr:uid="{00000000-0005-0000-0000-0000626A0000}"/>
    <cellStyle name="Normal 15 5 7 2 2" xfId="53152" xr:uid="{00000000-0005-0000-0000-0000636A0000}"/>
    <cellStyle name="Normal 15 5 7 3" xfId="39590" xr:uid="{00000000-0005-0000-0000-0000646A0000}"/>
    <cellStyle name="Normal 15 5 8" xfId="19238" xr:uid="{00000000-0005-0000-0000-0000656A0000}"/>
    <cellStyle name="Normal 15 5 8 2" xfId="46371" xr:uid="{00000000-0005-0000-0000-0000666A0000}"/>
    <cellStyle name="Normal 15 5 9" xfId="32809" xr:uid="{00000000-0005-0000-0000-0000676A0000}"/>
    <cellStyle name="Normal 15 6" xfId="5513" xr:uid="{00000000-0005-0000-0000-0000686A0000}"/>
    <cellStyle name="Normal 15 6 2" xfId="5514" xr:uid="{00000000-0005-0000-0000-0000696A0000}"/>
    <cellStyle name="Normal 15 6 2 2" xfId="5515" xr:uid="{00000000-0005-0000-0000-00006A6A0000}"/>
    <cellStyle name="Normal 15 6 2 2 2" xfId="9061" xr:uid="{00000000-0005-0000-0000-00006B6A0000}"/>
    <cellStyle name="Normal 15 6 2 2 2 2" xfId="15850" xr:uid="{00000000-0005-0000-0000-00006C6A0000}"/>
    <cellStyle name="Normal 15 6 2 2 2 2 2" xfId="29418" xr:uid="{00000000-0005-0000-0000-00006D6A0000}"/>
    <cellStyle name="Normal 15 6 2 2 2 2 2 2" xfId="56551" xr:uid="{00000000-0005-0000-0000-00006E6A0000}"/>
    <cellStyle name="Normal 15 6 2 2 2 2 3" xfId="42989" xr:uid="{00000000-0005-0000-0000-00006F6A0000}"/>
    <cellStyle name="Normal 15 6 2 2 2 3" xfId="22637" xr:uid="{00000000-0005-0000-0000-0000706A0000}"/>
    <cellStyle name="Normal 15 6 2 2 2 3 2" xfId="49770" xr:uid="{00000000-0005-0000-0000-0000716A0000}"/>
    <cellStyle name="Normal 15 6 2 2 2 4" xfId="36208" xr:uid="{00000000-0005-0000-0000-0000726A0000}"/>
    <cellStyle name="Normal 15 6 2 2 3" xfId="12461" xr:uid="{00000000-0005-0000-0000-0000736A0000}"/>
    <cellStyle name="Normal 15 6 2 2 3 2" xfId="26029" xr:uid="{00000000-0005-0000-0000-0000746A0000}"/>
    <cellStyle name="Normal 15 6 2 2 3 2 2" xfId="53162" xr:uid="{00000000-0005-0000-0000-0000756A0000}"/>
    <cellStyle name="Normal 15 6 2 2 3 3" xfId="39600" xr:uid="{00000000-0005-0000-0000-0000766A0000}"/>
    <cellStyle name="Normal 15 6 2 2 4" xfId="19248" xr:uid="{00000000-0005-0000-0000-0000776A0000}"/>
    <cellStyle name="Normal 15 6 2 2 4 2" xfId="46381" xr:uid="{00000000-0005-0000-0000-0000786A0000}"/>
    <cellStyle name="Normal 15 6 2 2 5" xfId="32819" xr:uid="{00000000-0005-0000-0000-0000796A0000}"/>
    <cellStyle name="Normal 15 6 2 3" xfId="5516" xr:uid="{00000000-0005-0000-0000-00007A6A0000}"/>
    <cellStyle name="Normal 15 6 2 3 2" xfId="9062" xr:uid="{00000000-0005-0000-0000-00007B6A0000}"/>
    <cellStyle name="Normal 15 6 2 3 2 2" xfId="15851" xr:uid="{00000000-0005-0000-0000-00007C6A0000}"/>
    <cellStyle name="Normal 15 6 2 3 2 2 2" xfId="29419" xr:uid="{00000000-0005-0000-0000-00007D6A0000}"/>
    <cellStyle name="Normal 15 6 2 3 2 2 2 2" xfId="56552" xr:uid="{00000000-0005-0000-0000-00007E6A0000}"/>
    <cellStyle name="Normal 15 6 2 3 2 2 3" xfId="42990" xr:uid="{00000000-0005-0000-0000-00007F6A0000}"/>
    <cellStyle name="Normal 15 6 2 3 2 3" xfId="22638" xr:uid="{00000000-0005-0000-0000-0000806A0000}"/>
    <cellStyle name="Normal 15 6 2 3 2 3 2" xfId="49771" xr:uid="{00000000-0005-0000-0000-0000816A0000}"/>
    <cellStyle name="Normal 15 6 2 3 2 4" xfId="36209" xr:uid="{00000000-0005-0000-0000-0000826A0000}"/>
    <cellStyle name="Normal 15 6 2 3 3" xfId="12462" xr:uid="{00000000-0005-0000-0000-0000836A0000}"/>
    <cellStyle name="Normal 15 6 2 3 3 2" xfId="26030" xr:uid="{00000000-0005-0000-0000-0000846A0000}"/>
    <cellStyle name="Normal 15 6 2 3 3 2 2" xfId="53163" xr:uid="{00000000-0005-0000-0000-0000856A0000}"/>
    <cellStyle name="Normal 15 6 2 3 3 3" xfId="39601" xr:uid="{00000000-0005-0000-0000-0000866A0000}"/>
    <cellStyle name="Normal 15 6 2 3 4" xfId="19249" xr:uid="{00000000-0005-0000-0000-0000876A0000}"/>
    <cellStyle name="Normal 15 6 2 3 4 2" xfId="46382" xr:uid="{00000000-0005-0000-0000-0000886A0000}"/>
    <cellStyle name="Normal 15 6 2 3 5" xfId="32820" xr:uid="{00000000-0005-0000-0000-0000896A0000}"/>
    <cellStyle name="Normal 15 6 2 4" xfId="9060" xr:uid="{00000000-0005-0000-0000-00008A6A0000}"/>
    <cellStyle name="Normal 15 6 2 4 2" xfId="15849" xr:uid="{00000000-0005-0000-0000-00008B6A0000}"/>
    <cellStyle name="Normal 15 6 2 4 2 2" xfId="29417" xr:uid="{00000000-0005-0000-0000-00008C6A0000}"/>
    <cellStyle name="Normal 15 6 2 4 2 2 2" xfId="56550" xr:uid="{00000000-0005-0000-0000-00008D6A0000}"/>
    <cellStyle name="Normal 15 6 2 4 2 3" xfId="42988" xr:uid="{00000000-0005-0000-0000-00008E6A0000}"/>
    <cellStyle name="Normal 15 6 2 4 3" xfId="22636" xr:uid="{00000000-0005-0000-0000-00008F6A0000}"/>
    <cellStyle name="Normal 15 6 2 4 3 2" xfId="49769" xr:uid="{00000000-0005-0000-0000-0000906A0000}"/>
    <cellStyle name="Normal 15 6 2 4 4" xfId="36207" xr:uid="{00000000-0005-0000-0000-0000916A0000}"/>
    <cellStyle name="Normal 15 6 2 5" xfId="12460" xr:uid="{00000000-0005-0000-0000-0000926A0000}"/>
    <cellStyle name="Normal 15 6 2 5 2" xfId="26028" xr:uid="{00000000-0005-0000-0000-0000936A0000}"/>
    <cellStyle name="Normal 15 6 2 5 2 2" xfId="53161" xr:uid="{00000000-0005-0000-0000-0000946A0000}"/>
    <cellStyle name="Normal 15 6 2 5 3" xfId="39599" xr:uid="{00000000-0005-0000-0000-0000956A0000}"/>
    <cellStyle name="Normal 15 6 2 6" xfId="19247" xr:uid="{00000000-0005-0000-0000-0000966A0000}"/>
    <cellStyle name="Normal 15 6 2 6 2" xfId="46380" xr:uid="{00000000-0005-0000-0000-0000976A0000}"/>
    <cellStyle name="Normal 15 6 2 7" xfId="32818" xr:uid="{00000000-0005-0000-0000-0000986A0000}"/>
    <cellStyle name="Normal 15 6 3" xfId="5517" xr:uid="{00000000-0005-0000-0000-0000996A0000}"/>
    <cellStyle name="Normal 15 6 3 2" xfId="9063" xr:uid="{00000000-0005-0000-0000-00009A6A0000}"/>
    <cellStyle name="Normal 15 6 3 2 2" xfId="15852" xr:uid="{00000000-0005-0000-0000-00009B6A0000}"/>
    <cellStyle name="Normal 15 6 3 2 2 2" xfId="29420" xr:uid="{00000000-0005-0000-0000-00009C6A0000}"/>
    <cellStyle name="Normal 15 6 3 2 2 2 2" xfId="56553" xr:uid="{00000000-0005-0000-0000-00009D6A0000}"/>
    <cellStyle name="Normal 15 6 3 2 2 3" xfId="42991" xr:uid="{00000000-0005-0000-0000-00009E6A0000}"/>
    <cellStyle name="Normal 15 6 3 2 3" xfId="22639" xr:uid="{00000000-0005-0000-0000-00009F6A0000}"/>
    <cellStyle name="Normal 15 6 3 2 3 2" xfId="49772" xr:uid="{00000000-0005-0000-0000-0000A06A0000}"/>
    <cellStyle name="Normal 15 6 3 2 4" xfId="36210" xr:uid="{00000000-0005-0000-0000-0000A16A0000}"/>
    <cellStyle name="Normal 15 6 3 3" xfId="12463" xr:uid="{00000000-0005-0000-0000-0000A26A0000}"/>
    <cellStyle name="Normal 15 6 3 3 2" xfId="26031" xr:uid="{00000000-0005-0000-0000-0000A36A0000}"/>
    <cellStyle name="Normal 15 6 3 3 2 2" xfId="53164" xr:uid="{00000000-0005-0000-0000-0000A46A0000}"/>
    <cellStyle name="Normal 15 6 3 3 3" xfId="39602" xr:uid="{00000000-0005-0000-0000-0000A56A0000}"/>
    <cellStyle name="Normal 15 6 3 4" xfId="19250" xr:uid="{00000000-0005-0000-0000-0000A66A0000}"/>
    <cellStyle name="Normal 15 6 3 4 2" xfId="46383" xr:uid="{00000000-0005-0000-0000-0000A76A0000}"/>
    <cellStyle name="Normal 15 6 3 5" xfId="32821" xr:uid="{00000000-0005-0000-0000-0000A86A0000}"/>
    <cellStyle name="Normal 15 6 4" xfId="5518" xr:uid="{00000000-0005-0000-0000-0000A96A0000}"/>
    <cellStyle name="Normal 15 6 4 2" xfId="9064" xr:uid="{00000000-0005-0000-0000-0000AA6A0000}"/>
    <cellStyle name="Normal 15 6 4 2 2" xfId="15853" xr:uid="{00000000-0005-0000-0000-0000AB6A0000}"/>
    <cellStyle name="Normal 15 6 4 2 2 2" xfId="29421" xr:uid="{00000000-0005-0000-0000-0000AC6A0000}"/>
    <cellStyle name="Normal 15 6 4 2 2 2 2" xfId="56554" xr:uid="{00000000-0005-0000-0000-0000AD6A0000}"/>
    <cellStyle name="Normal 15 6 4 2 2 3" xfId="42992" xr:uid="{00000000-0005-0000-0000-0000AE6A0000}"/>
    <cellStyle name="Normal 15 6 4 2 3" xfId="22640" xr:uid="{00000000-0005-0000-0000-0000AF6A0000}"/>
    <cellStyle name="Normal 15 6 4 2 3 2" xfId="49773" xr:uid="{00000000-0005-0000-0000-0000B06A0000}"/>
    <cellStyle name="Normal 15 6 4 2 4" xfId="36211" xr:uid="{00000000-0005-0000-0000-0000B16A0000}"/>
    <cellStyle name="Normal 15 6 4 3" xfId="12464" xr:uid="{00000000-0005-0000-0000-0000B26A0000}"/>
    <cellStyle name="Normal 15 6 4 3 2" xfId="26032" xr:uid="{00000000-0005-0000-0000-0000B36A0000}"/>
    <cellStyle name="Normal 15 6 4 3 2 2" xfId="53165" xr:uid="{00000000-0005-0000-0000-0000B46A0000}"/>
    <cellStyle name="Normal 15 6 4 3 3" xfId="39603" xr:uid="{00000000-0005-0000-0000-0000B56A0000}"/>
    <cellStyle name="Normal 15 6 4 4" xfId="19251" xr:uid="{00000000-0005-0000-0000-0000B66A0000}"/>
    <cellStyle name="Normal 15 6 4 4 2" xfId="46384" xr:uid="{00000000-0005-0000-0000-0000B76A0000}"/>
    <cellStyle name="Normal 15 6 4 5" xfId="32822" xr:uid="{00000000-0005-0000-0000-0000B86A0000}"/>
    <cellStyle name="Normal 15 6 5" xfId="9059" xr:uid="{00000000-0005-0000-0000-0000B96A0000}"/>
    <cellStyle name="Normal 15 6 5 2" xfId="15848" xr:uid="{00000000-0005-0000-0000-0000BA6A0000}"/>
    <cellStyle name="Normal 15 6 5 2 2" xfId="29416" xr:uid="{00000000-0005-0000-0000-0000BB6A0000}"/>
    <cellStyle name="Normal 15 6 5 2 2 2" xfId="56549" xr:uid="{00000000-0005-0000-0000-0000BC6A0000}"/>
    <cellStyle name="Normal 15 6 5 2 3" xfId="42987" xr:uid="{00000000-0005-0000-0000-0000BD6A0000}"/>
    <cellStyle name="Normal 15 6 5 3" xfId="22635" xr:uid="{00000000-0005-0000-0000-0000BE6A0000}"/>
    <cellStyle name="Normal 15 6 5 3 2" xfId="49768" xr:uid="{00000000-0005-0000-0000-0000BF6A0000}"/>
    <cellStyle name="Normal 15 6 5 4" xfId="36206" xr:uid="{00000000-0005-0000-0000-0000C06A0000}"/>
    <cellStyle name="Normal 15 6 6" xfId="12459" xr:uid="{00000000-0005-0000-0000-0000C16A0000}"/>
    <cellStyle name="Normal 15 6 6 2" xfId="26027" xr:uid="{00000000-0005-0000-0000-0000C26A0000}"/>
    <cellStyle name="Normal 15 6 6 2 2" xfId="53160" xr:uid="{00000000-0005-0000-0000-0000C36A0000}"/>
    <cellStyle name="Normal 15 6 6 3" xfId="39598" xr:uid="{00000000-0005-0000-0000-0000C46A0000}"/>
    <cellStyle name="Normal 15 6 7" xfId="19246" xr:uid="{00000000-0005-0000-0000-0000C56A0000}"/>
    <cellStyle name="Normal 15 6 7 2" xfId="46379" xr:uid="{00000000-0005-0000-0000-0000C66A0000}"/>
    <cellStyle name="Normal 15 6 8" xfId="32817" xr:uid="{00000000-0005-0000-0000-0000C76A0000}"/>
    <cellStyle name="Normal 15 7" xfId="5519" xr:uid="{00000000-0005-0000-0000-0000C86A0000}"/>
    <cellStyle name="Normal 15 7 2" xfId="5520" xr:uid="{00000000-0005-0000-0000-0000C96A0000}"/>
    <cellStyle name="Normal 15 7 2 2" xfId="5521" xr:uid="{00000000-0005-0000-0000-0000CA6A0000}"/>
    <cellStyle name="Normal 15 7 2 2 2" xfId="9067" xr:uid="{00000000-0005-0000-0000-0000CB6A0000}"/>
    <cellStyle name="Normal 15 7 2 2 2 2" xfId="15856" xr:uid="{00000000-0005-0000-0000-0000CC6A0000}"/>
    <cellStyle name="Normal 15 7 2 2 2 2 2" xfId="29424" xr:uid="{00000000-0005-0000-0000-0000CD6A0000}"/>
    <cellStyle name="Normal 15 7 2 2 2 2 2 2" xfId="56557" xr:uid="{00000000-0005-0000-0000-0000CE6A0000}"/>
    <cellStyle name="Normal 15 7 2 2 2 2 3" xfId="42995" xr:uid="{00000000-0005-0000-0000-0000CF6A0000}"/>
    <cellStyle name="Normal 15 7 2 2 2 3" xfId="22643" xr:uid="{00000000-0005-0000-0000-0000D06A0000}"/>
    <cellStyle name="Normal 15 7 2 2 2 3 2" xfId="49776" xr:uid="{00000000-0005-0000-0000-0000D16A0000}"/>
    <cellStyle name="Normal 15 7 2 2 2 4" xfId="36214" xr:uid="{00000000-0005-0000-0000-0000D26A0000}"/>
    <cellStyle name="Normal 15 7 2 2 3" xfId="12467" xr:uid="{00000000-0005-0000-0000-0000D36A0000}"/>
    <cellStyle name="Normal 15 7 2 2 3 2" xfId="26035" xr:uid="{00000000-0005-0000-0000-0000D46A0000}"/>
    <cellStyle name="Normal 15 7 2 2 3 2 2" xfId="53168" xr:uid="{00000000-0005-0000-0000-0000D56A0000}"/>
    <cellStyle name="Normal 15 7 2 2 3 3" xfId="39606" xr:uid="{00000000-0005-0000-0000-0000D66A0000}"/>
    <cellStyle name="Normal 15 7 2 2 4" xfId="19254" xr:uid="{00000000-0005-0000-0000-0000D76A0000}"/>
    <cellStyle name="Normal 15 7 2 2 4 2" xfId="46387" xr:uid="{00000000-0005-0000-0000-0000D86A0000}"/>
    <cellStyle name="Normal 15 7 2 2 5" xfId="32825" xr:uid="{00000000-0005-0000-0000-0000D96A0000}"/>
    <cellStyle name="Normal 15 7 2 3" xfId="5522" xr:uid="{00000000-0005-0000-0000-0000DA6A0000}"/>
    <cellStyle name="Normal 15 7 2 3 2" xfId="9068" xr:uid="{00000000-0005-0000-0000-0000DB6A0000}"/>
    <cellStyle name="Normal 15 7 2 3 2 2" xfId="15857" xr:uid="{00000000-0005-0000-0000-0000DC6A0000}"/>
    <cellStyle name="Normal 15 7 2 3 2 2 2" xfId="29425" xr:uid="{00000000-0005-0000-0000-0000DD6A0000}"/>
    <cellStyle name="Normal 15 7 2 3 2 2 2 2" xfId="56558" xr:uid="{00000000-0005-0000-0000-0000DE6A0000}"/>
    <cellStyle name="Normal 15 7 2 3 2 2 3" xfId="42996" xr:uid="{00000000-0005-0000-0000-0000DF6A0000}"/>
    <cellStyle name="Normal 15 7 2 3 2 3" xfId="22644" xr:uid="{00000000-0005-0000-0000-0000E06A0000}"/>
    <cellStyle name="Normal 15 7 2 3 2 3 2" xfId="49777" xr:uid="{00000000-0005-0000-0000-0000E16A0000}"/>
    <cellStyle name="Normal 15 7 2 3 2 4" xfId="36215" xr:uid="{00000000-0005-0000-0000-0000E26A0000}"/>
    <cellStyle name="Normal 15 7 2 3 3" xfId="12468" xr:uid="{00000000-0005-0000-0000-0000E36A0000}"/>
    <cellStyle name="Normal 15 7 2 3 3 2" xfId="26036" xr:uid="{00000000-0005-0000-0000-0000E46A0000}"/>
    <cellStyle name="Normal 15 7 2 3 3 2 2" xfId="53169" xr:uid="{00000000-0005-0000-0000-0000E56A0000}"/>
    <cellStyle name="Normal 15 7 2 3 3 3" xfId="39607" xr:uid="{00000000-0005-0000-0000-0000E66A0000}"/>
    <cellStyle name="Normal 15 7 2 3 4" xfId="19255" xr:uid="{00000000-0005-0000-0000-0000E76A0000}"/>
    <cellStyle name="Normal 15 7 2 3 4 2" xfId="46388" xr:uid="{00000000-0005-0000-0000-0000E86A0000}"/>
    <cellStyle name="Normal 15 7 2 3 5" xfId="32826" xr:uid="{00000000-0005-0000-0000-0000E96A0000}"/>
    <cellStyle name="Normal 15 7 2 4" xfId="9066" xr:uid="{00000000-0005-0000-0000-0000EA6A0000}"/>
    <cellStyle name="Normal 15 7 2 4 2" xfId="15855" xr:uid="{00000000-0005-0000-0000-0000EB6A0000}"/>
    <cellStyle name="Normal 15 7 2 4 2 2" xfId="29423" xr:uid="{00000000-0005-0000-0000-0000EC6A0000}"/>
    <cellStyle name="Normal 15 7 2 4 2 2 2" xfId="56556" xr:uid="{00000000-0005-0000-0000-0000ED6A0000}"/>
    <cellStyle name="Normal 15 7 2 4 2 3" xfId="42994" xr:uid="{00000000-0005-0000-0000-0000EE6A0000}"/>
    <cellStyle name="Normal 15 7 2 4 3" xfId="22642" xr:uid="{00000000-0005-0000-0000-0000EF6A0000}"/>
    <cellStyle name="Normal 15 7 2 4 3 2" xfId="49775" xr:uid="{00000000-0005-0000-0000-0000F06A0000}"/>
    <cellStyle name="Normal 15 7 2 4 4" xfId="36213" xr:uid="{00000000-0005-0000-0000-0000F16A0000}"/>
    <cellStyle name="Normal 15 7 2 5" xfId="12466" xr:uid="{00000000-0005-0000-0000-0000F26A0000}"/>
    <cellStyle name="Normal 15 7 2 5 2" xfId="26034" xr:uid="{00000000-0005-0000-0000-0000F36A0000}"/>
    <cellStyle name="Normal 15 7 2 5 2 2" xfId="53167" xr:uid="{00000000-0005-0000-0000-0000F46A0000}"/>
    <cellStyle name="Normal 15 7 2 5 3" xfId="39605" xr:uid="{00000000-0005-0000-0000-0000F56A0000}"/>
    <cellStyle name="Normal 15 7 2 6" xfId="19253" xr:uid="{00000000-0005-0000-0000-0000F66A0000}"/>
    <cellStyle name="Normal 15 7 2 6 2" xfId="46386" xr:uid="{00000000-0005-0000-0000-0000F76A0000}"/>
    <cellStyle name="Normal 15 7 2 7" xfId="32824" xr:uid="{00000000-0005-0000-0000-0000F86A0000}"/>
    <cellStyle name="Normal 15 7 3" xfId="5523" xr:uid="{00000000-0005-0000-0000-0000F96A0000}"/>
    <cellStyle name="Normal 15 7 3 2" xfId="9069" xr:uid="{00000000-0005-0000-0000-0000FA6A0000}"/>
    <cellStyle name="Normal 15 7 3 2 2" xfId="15858" xr:uid="{00000000-0005-0000-0000-0000FB6A0000}"/>
    <cellStyle name="Normal 15 7 3 2 2 2" xfId="29426" xr:uid="{00000000-0005-0000-0000-0000FC6A0000}"/>
    <cellStyle name="Normal 15 7 3 2 2 2 2" xfId="56559" xr:uid="{00000000-0005-0000-0000-0000FD6A0000}"/>
    <cellStyle name="Normal 15 7 3 2 2 3" xfId="42997" xr:uid="{00000000-0005-0000-0000-0000FE6A0000}"/>
    <cellStyle name="Normal 15 7 3 2 3" xfId="22645" xr:uid="{00000000-0005-0000-0000-0000FF6A0000}"/>
    <cellStyle name="Normal 15 7 3 2 3 2" xfId="49778" xr:uid="{00000000-0005-0000-0000-0000006B0000}"/>
    <cellStyle name="Normal 15 7 3 2 4" xfId="36216" xr:uid="{00000000-0005-0000-0000-0000016B0000}"/>
    <cellStyle name="Normal 15 7 3 3" xfId="12469" xr:uid="{00000000-0005-0000-0000-0000026B0000}"/>
    <cellStyle name="Normal 15 7 3 3 2" xfId="26037" xr:uid="{00000000-0005-0000-0000-0000036B0000}"/>
    <cellStyle name="Normal 15 7 3 3 2 2" xfId="53170" xr:uid="{00000000-0005-0000-0000-0000046B0000}"/>
    <cellStyle name="Normal 15 7 3 3 3" xfId="39608" xr:uid="{00000000-0005-0000-0000-0000056B0000}"/>
    <cellStyle name="Normal 15 7 3 4" xfId="19256" xr:uid="{00000000-0005-0000-0000-0000066B0000}"/>
    <cellStyle name="Normal 15 7 3 4 2" xfId="46389" xr:uid="{00000000-0005-0000-0000-0000076B0000}"/>
    <cellStyle name="Normal 15 7 3 5" xfId="32827" xr:uid="{00000000-0005-0000-0000-0000086B0000}"/>
    <cellStyle name="Normal 15 7 4" xfId="5524" xr:uid="{00000000-0005-0000-0000-0000096B0000}"/>
    <cellStyle name="Normal 15 7 4 2" xfId="9070" xr:uid="{00000000-0005-0000-0000-00000A6B0000}"/>
    <cellStyle name="Normal 15 7 4 2 2" xfId="15859" xr:uid="{00000000-0005-0000-0000-00000B6B0000}"/>
    <cellStyle name="Normal 15 7 4 2 2 2" xfId="29427" xr:uid="{00000000-0005-0000-0000-00000C6B0000}"/>
    <cellStyle name="Normal 15 7 4 2 2 2 2" xfId="56560" xr:uid="{00000000-0005-0000-0000-00000D6B0000}"/>
    <cellStyle name="Normal 15 7 4 2 2 3" xfId="42998" xr:uid="{00000000-0005-0000-0000-00000E6B0000}"/>
    <cellStyle name="Normal 15 7 4 2 3" xfId="22646" xr:uid="{00000000-0005-0000-0000-00000F6B0000}"/>
    <cellStyle name="Normal 15 7 4 2 3 2" xfId="49779" xr:uid="{00000000-0005-0000-0000-0000106B0000}"/>
    <cellStyle name="Normal 15 7 4 2 4" xfId="36217" xr:uid="{00000000-0005-0000-0000-0000116B0000}"/>
    <cellStyle name="Normal 15 7 4 3" xfId="12470" xr:uid="{00000000-0005-0000-0000-0000126B0000}"/>
    <cellStyle name="Normal 15 7 4 3 2" xfId="26038" xr:uid="{00000000-0005-0000-0000-0000136B0000}"/>
    <cellStyle name="Normal 15 7 4 3 2 2" xfId="53171" xr:uid="{00000000-0005-0000-0000-0000146B0000}"/>
    <cellStyle name="Normal 15 7 4 3 3" xfId="39609" xr:uid="{00000000-0005-0000-0000-0000156B0000}"/>
    <cellStyle name="Normal 15 7 4 4" xfId="19257" xr:uid="{00000000-0005-0000-0000-0000166B0000}"/>
    <cellStyle name="Normal 15 7 4 4 2" xfId="46390" xr:uid="{00000000-0005-0000-0000-0000176B0000}"/>
    <cellStyle name="Normal 15 7 4 5" xfId="32828" xr:uid="{00000000-0005-0000-0000-0000186B0000}"/>
    <cellStyle name="Normal 15 7 5" xfId="9065" xr:uid="{00000000-0005-0000-0000-0000196B0000}"/>
    <cellStyle name="Normal 15 7 5 2" xfId="15854" xr:uid="{00000000-0005-0000-0000-00001A6B0000}"/>
    <cellStyle name="Normal 15 7 5 2 2" xfId="29422" xr:uid="{00000000-0005-0000-0000-00001B6B0000}"/>
    <cellStyle name="Normal 15 7 5 2 2 2" xfId="56555" xr:uid="{00000000-0005-0000-0000-00001C6B0000}"/>
    <cellStyle name="Normal 15 7 5 2 3" xfId="42993" xr:uid="{00000000-0005-0000-0000-00001D6B0000}"/>
    <cellStyle name="Normal 15 7 5 3" xfId="22641" xr:uid="{00000000-0005-0000-0000-00001E6B0000}"/>
    <cellStyle name="Normal 15 7 5 3 2" xfId="49774" xr:uid="{00000000-0005-0000-0000-00001F6B0000}"/>
    <cellStyle name="Normal 15 7 5 4" xfId="36212" xr:uid="{00000000-0005-0000-0000-0000206B0000}"/>
    <cellStyle name="Normal 15 7 6" xfId="12465" xr:uid="{00000000-0005-0000-0000-0000216B0000}"/>
    <cellStyle name="Normal 15 7 6 2" xfId="26033" xr:uid="{00000000-0005-0000-0000-0000226B0000}"/>
    <cellStyle name="Normal 15 7 6 2 2" xfId="53166" xr:uid="{00000000-0005-0000-0000-0000236B0000}"/>
    <cellStyle name="Normal 15 7 6 3" xfId="39604" xr:uid="{00000000-0005-0000-0000-0000246B0000}"/>
    <cellStyle name="Normal 15 7 7" xfId="19252" xr:uid="{00000000-0005-0000-0000-0000256B0000}"/>
    <cellStyle name="Normal 15 7 7 2" xfId="46385" xr:uid="{00000000-0005-0000-0000-0000266B0000}"/>
    <cellStyle name="Normal 15 7 8" xfId="32823" xr:uid="{00000000-0005-0000-0000-0000276B0000}"/>
    <cellStyle name="Normal 15 8" xfId="5525" xr:uid="{00000000-0005-0000-0000-0000286B0000}"/>
    <cellStyle name="Normal 15 8 2" xfId="5526" xr:uid="{00000000-0005-0000-0000-0000296B0000}"/>
    <cellStyle name="Normal 15 8 2 2" xfId="9072" xr:uid="{00000000-0005-0000-0000-00002A6B0000}"/>
    <cellStyle name="Normal 15 8 2 2 2" xfId="15861" xr:uid="{00000000-0005-0000-0000-00002B6B0000}"/>
    <cellStyle name="Normal 15 8 2 2 2 2" xfId="29429" xr:uid="{00000000-0005-0000-0000-00002C6B0000}"/>
    <cellStyle name="Normal 15 8 2 2 2 2 2" xfId="56562" xr:uid="{00000000-0005-0000-0000-00002D6B0000}"/>
    <cellStyle name="Normal 15 8 2 2 2 3" xfId="43000" xr:uid="{00000000-0005-0000-0000-00002E6B0000}"/>
    <cellStyle name="Normal 15 8 2 2 3" xfId="22648" xr:uid="{00000000-0005-0000-0000-00002F6B0000}"/>
    <cellStyle name="Normal 15 8 2 2 3 2" xfId="49781" xr:uid="{00000000-0005-0000-0000-0000306B0000}"/>
    <cellStyle name="Normal 15 8 2 2 4" xfId="36219" xr:uid="{00000000-0005-0000-0000-0000316B0000}"/>
    <cellStyle name="Normal 15 8 2 3" xfId="12472" xr:uid="{00000000-0005-0000-0000-0000326B0000}"/>
    <cellStyle name="Normal 15 8 2 3 2" xfId="26040" xr:uid="{00000000-0005-0000-0000-0000336B0000}"/>
    <cellStyle name="Normal 15 8 2 3 2 2" xfId="53173" xr:uid="{00000000-0005-0000-0000-0000346B0000}"/>
    <cellStyle name="Normal 15 8 2 3 3" xfId="39611" xr:uid="{00000000-0005-0000-0000-0000356B0000}"/>
    <cellStyle name="Normal 15 8 2 4" xfId="19259" xr:uid="{00000000-0005-0000-0000-0000366B0000}"/>
    <cellStyle name="Normal 15 8 2 4 2" xfId="46392" xr:uid="{00000000-0005-0000-0000-0000376B0000}"/>
    <cellStyle name="Normal 15 8 2 5" xfId="32830" xr:uid="{00000000-0005-0000-0000-0000386B0000}"/>
    <cellStyle name="Normal 15 8 3" xfId="9071" xr:uid="{00000000-0005-0000-0000-0000396B0000}"/>
    <cellStyle name="Normal 15 8 3 2" xfId="15860" xr:uid="{00000000-0005-0000-0000-00003A6B0000}"/>
    <cellStyle name="Normal 15 8 3 2 2" xfId="29428" xr:uid="{00000000-0005-0000-0000-00003B6B0000}"/>
    <cellStyle name="Normal 15 8 3 2 2 2" xfId="56561" xr:uid="{00000000-0005-0000-0000-00003C6B0000}"/>
    <cellStyle name="Normal 15 8 3 2 3" xfId="42999" xr:uid="{00000000-0005-0000-0000-00003D6B0000}"/>
    <cellStyle name="Normal 15 8 3 3" xfId="22647" xr:uid="{00000000-0005-0000-0000-00003E6B0000}"/>
    <cellStyle name="Normal 15 8 3 3 2" xfId="49780" xr:uid="{00000000-0005-0000-0000-00003F6B0000}"/>
    <cellStyle name="Normal 15 8 3 4" xfId="36218" xr:uid="{00000000-0005-0000-0000-0000406B0000}"/>
    <cellStyle name="Normal 15 8 4" xfId="12471" xr:uid="{00000000-0005-0000-0000-0000416B0000}"/>
    <cellStyle name="Normal 15 8 4 2" xfId="26039" xr:uid="{00000000-0005-0000-0000-0000426B0000}"/>
    <cellStyle name="Normal 15 8 4 2 2" xfId="53172" xr:uid="{00000000-0005-0000-0000-0000436B0000}"/>
    <cellStyle name="Normal 15 8 4 3" xfId="39610" xr:uid="{00000000-0005-0000-0000-0000446B0000}"/>
    <cellStyle name="Normal 15 8 5" xfId="19258" xr:uid="{00000000-0005-0000-0000-0000456B0000}"/>
    <cellStyle name="Normal 15 8 5 2" xfId="46391" xr:uid="{00000000-0005-0000-0000-0000466B0000}"/>
    <cellStyle name="Normal 15 8 6" xfId="32829" xr:uid="{00000000-0005-0000-0000-0000476B0000}"/>
    <cellStyle name="Normal 15 9" xfId="5527" xr:uid="{00000000-0005-0000-0000-0000486B0000}"/>
    <cellStyle name="Normal 15 9 2" xfId="9073" xr:uid="{00000000-0005-0000-0000-0000496B0000}"/>
    <cellStyle name="Normal 15 9 2 2" xfId="15862" xr:uid="{00000000-0005-0000-0000-00004A6B0000}"/>
    <cellStyle name="Normal 15 9 2 2 2" xfId="29430" xr:uid="{00000000-0005-0000-0000-00004B6B0000}"/>
    <cellStyle name="Normal 15 9 2 2 2 2" xfId="56563" xr:uid="{00000000-0005-0000-0000-00004C6B0000}"/>
    <cellStyle name="Normal 15 9 2 2 3" xfId="43001" xr:uid="{00000000-0005-0000-0000-00004D6B0000}"/>
    <cellStyle name="Normal 15 9 2 3" xfId="22649" xr:uid="{00000000-0005-0000-0000-00004E6B0000}"/>
    <cellStyle name="Normal 15 9 2 3 2" xfId="49782" xr:uid="{00000000-0005-0000-0000-00004F6B0000}"/>
    <cellStyle name="Normal 15 9 2 4" xfId="36220" xr:uid="{00000000-0005-0000-0000-0000506B0000}"/>
    <cellStyle name="Normal 15 9 3" xfId="12473" xr:uid="{00000000-0005-0000-0000-0000516B0000}"/>
    <cellStyle name="Normal 15 9 3 2" xfId="26041" xr:uid="{00000000-0005-0000-0000-0000526B0000}"/>
    <cellStyle name="Normal 15 9 3 2 2" xfId="53174" xr:uid="{00000000-0005-0000-0000-0000536B0000}"/>
    <cellStyle name="Normal 15 9 3 3" xfId="39612" xr:uid="{00000000-0005-0000-0000-0000546B0000}"/>
    <cellStyle name="Normal 15 9 4" xfId="19260" xr:uid="{00000000-0005-0000-0000-0000556B0000}"/>
    <cellStyle name="Normal 15 9 4 2" xfId="46393" xr:uid="{00000000-0005-0000-0000-0000566B0000}"/>
    <cellStyle name="Normal 15 9 5" xfId="32831" xr:uid="{00000000-0005-0000-0000-0000576B0000}"/>
    <cellStyle name="Normal 16" xfId="2558" xr:uid="{00000000-0005-0000-0000-0000586B0000}"/>
    <cellStyle name="Normal 16 2" xfId="2559" xr:uid="{00000000-0005-0000-0000-0000596B0000}"/>
    <cellStyle name="Normal 164 4 3" xfId="58363" xr:uid="{00000000-0005-0000-0000-00005C6B0000}"/>
    <cellStyle name="Normal 17" xfId="2560" xr:uid="{00000000-0005-0000-0000-00005D6B0000}"/>
    <cellStyle name="Normal 17 2" xfId="2561" xr:uid="{00000000-0005-0000-0000-00005E6B0000}"/>
    <cellStyle name="Normal 18" xfId="2562" xr:uid="{00000000-0005-0000-0000-0000616B0000}"/>
    <cellStyle name="Normal 18 2" xfId="2563" xr:uid="{00000000-0005-0000-0000-0000626B0000}"/>
    <cellStyle name="Normal 19" xfId="2564" xr:uid="{00000000-0005-0000-0000-0000636B0000}"/>
    <cellStyle name="Normal 19 2" xfId="2565" xr:uid="{00000000-0005-0000-0000-0000646B0000}"/>
    <cellStyle name="Normal 2" xfId="2" xr:uid="{00000000-0005-0000-0000-0000656B0000}"/>
    <cellStyle name="Normal 2 10" xfId="7" xr:uid="{00000000-0005-0000-0000-0000666B0000}"/>
    <cellStyle name="Normal 2 10 2 2" xfId="7384" xr:uid="{00000000-0005-0000-0000-0000676B0000}"/>
    <cellStyle name="Normal 2 11" xfId="2566" xr:uid="{00000000-0005-0000-0000-0000686B0000}"/>
    <cellStyle name="Normal 2 12" xfId="2567" xr:uid="{00000000-0005-0000-0000-0000696B0000}"/>
    <cellStyle name="Normal 2 13" xfId="2568" xr:uid="{00000000-0005-0000-0000-00006A6B0000}"/>
    <cellStyle name="Normal 2 14" xfId="2569" xr:uid="{00000000-0005-0000-0000-00006B6B0000}"/>
    <cellStyle name="Normal 2 15" xfId="2570" xr:uid="{00000000-0005-0000-0000-00006C6B0000}"/>
    <cellStyle name="Normal 2 16" xfId="2571" xr:uid="{00000000-0005-0000-0000-00006D6B0000}"/>
    <cellStyle name="Normal 2 17" xfId="2572" xr:uid="{00000000-0005-0000-0000-00006E6B0000}"/>
    <cellStyle name="Normal 2 18" xfId="2573" xr:uid="{00000000-0005-0000-0000-00006F6B0000}"/>
    <cellStyle name="Normal 2 19" xfId="2574" xr:uid="{00000000-0005-0000-0000-0000706B0000}"/>
    <cellStyle name="Normal 2 2" xfId="59" xr:uid="{00000000-0005-0000-0000-0000716B0000}"/>
    <cellStyle name="Normal 2 2 2" xfId="70" xr:uid="{00000000-0005-0000-0000-0000726B0000}"/>
    <cellStyle name="Normal 2 2 2 10" xfId="7385" xr:uid="{00000000-0005-0000-0000-0000736B0000}"/>
    <cellStyle name="Normal 2 2 2 10 2" xfId="7386" xr:uid="{00000000-0005-0000-0000-0000746B0000}"/>
    <cellStyle name="Normal 2 2 2 10 2 2" xfId="10806" xr:uid="{00000000-0005-0000-0000-0000756B0000}"/>
    <cellStyle name="Normal 2 2 2 10 2 2 2" xfId="17595" xr:uid="{00000000-0005-0000-0000-0000766B0000}"/>
    <cellStyle name="Normal 2 2 2 10 2 2 2 2" xfId="31163" xr:uid="{00000000-0005-0000-0000-0000776B0000}"/>
    <cellStyle name="Normal 2 2 2 10 2 2 2 2 2" xfId="58296" xr:uid="{00000000-0005-0000-0000-0000786B0000}"/>
    <cellStyle name="Normal 2 2 2 10 2 2 2 3" xfId="44734" xr:uid="{00000000-0005-0000-0000-0000796B0000}"/>
    <cellStyle name="Normal 2 2 2 10 2 2 3" xfId="24382" xr:uid="{00000000-0005-0000-0000-00007A6B0000}"/>
    <cellStyle name="Normal 2 2 2 10 2 2 3 2" xfId="51515" xr:uid="{00000000-0005-0000-0000-00007B6B0000}"/>
    <cellStyle name="Normal 2 2 2 10 2 2 4" xfId="37953" xr:uid="{00000000-0005-0000-0000-00007C6B0000}"/>
    <cellStyle name="Normal 2 2 2 10 2 3" xfId="14206" xr:uid="{00000000-0005-0000-0000-00007D6B0000}"/>
    <cellStyle name="Normal 2 2 2 10 2 3 2" xfId="27774" xr:uid="{00000000-0005-0000-0000-00007E6B0000}"/>
    <cellStyle name="Normal 2 2 2 10 2 3 2 2" xfId="54907" xr:uid="{00000000-0005-0000-0000-00007F6B0000}"/>
    <cellStyle name="Normal 2 2 2 10 2 3 3" xfId="41345" xr:uid="{00000000-0005-0000-0000-0000806B0000}"/>
    <cellStyle name="Normal 2 2 2 10 2 4" xfId="20993" xr:uid="{00000000-0005-0000-0000-0000816B0000}"/>
    <cellStyle name="Normal 2 2 2 10 2 4 2" xfId="48126" xr:uid="{00000000-0005-0000-0000-0000826B0000}"/>
    <cellStyle name="Normal 2 2 2 10 2 5" xfId="34564" xr:uid="{00000000-0005-0000-0000-0000836B0000}"/>
    <cellStyle name="Normal 2 2 2 10 3" xfId="10805" xr:uid="{00000000-0005-0000-0000-0000846B0000}"/>
    <cellStyle name="Normal 2 2 2 10 3 2" xfId="17594" xr:uid="{00000000-0005-0000-0000-0000856B0000}"/>
    <cellStyle name="Normal 2 2 2 10 3 2 2" xfId="31162" xr:uid="{00000000-0005-0000-0000-0000866B0000}"/>
    <cellStyle name="Normal 2 2 2 10 3 2 2 2" xfId="58295" xr:uid="{00000000-0005-0000-0000-0000876B0000}"/>
    <cellStyle name="Normal 2 2 2 10 3 2 3" xfId="44733" xr:uid="{00000000-0005-0000-0000-0000886B0000}"/>
    <cellStyle name="Normal 2 2 2 10 3 3" xfId="24381" xr:uid="{00000000-0005-0000-0000-0000896B0000}"/>
    <cellStyle name="Normal 2 2 2 10 3 3 2" xfId="51514" xr:uid="{00000000-0005-0000-0000-00008A6B0000}"/>
    <cellStyle name="Normal 2 2 2 10 3 4" xfId="37952" xr:uid="{00000000-0005-0000-0000-00008B6B0000}"/>
    <cellStyle name="Normal 2 2 2 10 4" xfId="14205" xr:uid="{00000000-0005-0000-0000-00008C6B0000}"/>
    <cellStyle name="Normal 2 2 2 10 4 2" xfId="27773" xr:uid="{00000000-0005-0000-0000-00008D6B0000}"/>
    <cellStyle name="Normal 2 2 2 10 4 2 2" xfId="54906" xr:uid="{00000000-0005-0000-0000-00008E6B0000}"/>
    <cellStyle name="Normal 2 2 2 10 4 3" xfId="41344" xr:uid="{00000000-0005-0000-0000-00008F6B0000}"/>
    <cellStyle name="Normal 2 2 2 10 5" xfId="20992" xr:uid="{00000000-0005-0000-0000-0000906B0000}"/>
    <cellStyle name="Normal 2 2 2 10 5 2" xfId="48125" xr:uid="{00000000-0005-0000-0000-0000916B0000}"/>
    <cellStyle name="Normal 2 2 2 10 6" xfId="34563" xr:uid="{00000000-0005-0000-0000-0000926B0000}"/>
    <cellStyle name="Normal 2 2 2 11" xfId="7387" xr:uid="{00000000-0005-0000-0000-0000936B0000}"/>
    <cellStyle name="Normal 2 2 2 11 2" xfId="7388" xr:uid="{00000000-0005-0000-0000-0000946B0000}"/>
    <cellStyle name="Normal 2 2 2 11 2 2" xfId="10808" xr:uid="{00000000-0005-0000-0000-0000956B0000}"/>
    <cellStyle name="Normal 2 2 2 11 2 2 2" xfId="17597" xr:uid="{00000000-0005-0000-0000-0000966B0000}"/>
    <cellStyle name="Normal 2 2 2 11 2 2 2 2" xfId="31165" xr:uid="{00000000-0005-0000-0000-0000976B0000}"/>
    <cellStyle name="Normal 2 2 2 11 2 2 2 2 2" xfId="58298" xr:uid="{00000000-0005-0000-0000-0000986B0000}"/>
    <cellStyle name="Normal 2 2 2 11 2 2 2 3" xfId="44736" xr:uid="{00000000-0005-0000-0000-0000996B0000}"/>
    <cellStyle name="Normal 2 2 2 11 2 2 3" xfId="24384" xr:uid="{00000000-0005-0000-0000-00009A6B0000}"/>
    <cellStyle name="Normal 2 2 2 11 2 2 3 2" xfId="51517" xr:uid="{00000000-0005-0000-0000-00009B6B0000}"/>
    <cellStyle name="Normal 2 2 2 11 2 2 4" xfId="37955" xr:uid="{00000000-0005-0000-0000-00009C6B0000}"/>
    <cellStyle name="Normal 2 2 2 11 2 3" xfId="14208" xr:uid="{00000000-0005-0000-0000-00009D6B0000}"/>
    <cellStyle name="Normal 2 2 2 11 2 3 2" xfId="27776" xr:uid="{00000000-0005-0000-0000-00009E6B0000}"/>
    <cellStyle name="Normal 2 2 2 11 2 3 2 2" xfId="54909" xr:uid="{00000000-0005-0000-0000-00009F6B0000}"/>
    <cellStyle name="Normal 2 2 2 11 2 3 3" xfId="41347" xr:uid="{00000000-0005-0000-0000-0000A06B0000}"/>
    <cellStyle name="Normal 2 2 2 11 2 4" xfId="20995" xr:uid="{00000000-0005-0000-0000-0000A16B0000}"/>
    <cellStyle name="Normal 2 2 2 11 2 4 2" xfId="48128" xr:uid="{00000000-0005-0000-0000-0000A26B0000}"/>
    <cellStyle name="Normal 2 2 2 11 2 5" xfId="34566" xr:uid="{00000000-0005-0000-0000-0000A36B0000}"/>
    <cellStyle name="Normal 2 2 2 11 3" xfId="10807" xr:uid="{00000000-0005-0000-0000-0000A46B0000}"/>
    <cellStyle name="Normal 2 2 2 11 3 2" xfId="17596" xr:uid="{00000000-0005-0000-0000-0000A56B0000}"/>
    <cellStyle name="Normal 2 2 2 11 3 2 2" xfId="31164" xr:uid="{00000000-0005-0000-0000-0000A66B0000}"/>
    <cellStyle name="Normal 2 2 2 11 3 2 2 2" xfId="58297" xr:uid="{00000000-0005-0000-0000-0000A76B0000}"/>
    <cellStyle name="Normal 2 2 2 11 3 2 3" xfId="44735" xr:uid="{00000000-0005-0000-0000-0000A86B0000}"/>
    <cellStyle name="Normal 2 2 2 11 3 3" xfId="24383" xr:uid="{00000000-0005-0000-0000-0000A96B0000}"/>
    <cellStyle name="Normal 2 2 2 11 3 3 2" xfId="51516" xr:uid="{00000000-0005-0000-0000-0000AA6B0000}"/>
    <cellStyle name="Normal 2 2 2 11 3 4" xfId="37954" xr:uid="{00000000-0005-0000-0000-0000AB6B0000}"/>
    <cellStyle name="Normal 2 2 2 11 4" xfId="14207" xr:uid="{00000000-0005-0000-0000-0000AC6B0000}"/>
    <cellStyle name="Normal 2 2 2 11 4 2" xfId="27775" xr:uid="{00000000-0005-0000-0000-0000AD6B0000}"/>
    <cellStyle name="Normal 2 2 2 11 4 2 2" xfId="54908" xr:uid="{00000000-0005-0000-0000-0000AE6B0000}"/>
    <cellStyle name="Normal 2 2 2 11 4 3" xfId="41346" xr:uid="{00000000-0005-0000-0000-0000AF6B0000}"/>
    <cellStyle name="Normal 2 2 2 11 5" xfId="20994" xr:uid="{00000000-0005-0000-0000-0000B06B0000}"/>
    <cellStyle name="Normal 2 2 2 11 5 2" xfId="48127" xr:uid="{00000000-0005-0000-0000-0000B16B0000}"/>
    <cellStyle name="Normal 2 2 2 11 6" xfId="34565" xr:uid="{00000000-0005-0000-0000-0000B26B0000}"/>
    <cellStyle name="Normal 2 2 2 12" xfId="7389" xr:uid="{00000000-0005-0000-0000-0000B36B0000}"/>
    <cellStyle name="Normal 2 2 2 12 2" xfId="7390" xr:uid="{00000000-0005-0000-0000-0000B46B0000}"/>
    <cellStyle name="Normal 2 2 2 12 2 2" xfId="10810" xr:uid="{00000000-0005-0000-0000-0000B56B0000}"/>
    <cellStyle name="Normal 2 2 2 12 2 2 2" xfId="17599" xr:uid="{00000000-0005-0000-0000-0000B66B0000}"/>
    <cellStyle name="Normal 2 2 2 12 2 2 2 2" xfId="31167" xr:uid="{00000000-0005-0000-0000-0000B76B0000}"/>
    <cellStyle name="Normal 2 2 2 12 2 2 2 2 2" xfId="58300" xr:uid="{00000000-0005-0000-0000-0000B86B0000}"/>
    <cellStyle name="Normal 2 2 2 12 2 2 2 3" xfId="44738" xr:uid="{00000000-0005-0000-0000-0000B96B0000}"/>
    <cellStyle name="Normal 2 2 2 12 2 2 3" xfId="24386" xr:uid="{00000000-0005-0000-0000-0000BA6B0000}"/>
    <cellStyle name="Normal 2 2 2 12 2 2 3 2" xfId="51519" xr:uid="{00000000-0005-0000-0000-0000BB6B0000}"/>
    <cellStyle name="Normal 2 2 2 12 2 2 4" xfId="37957" xr:uid="{00000000-0005-0000-0000-0000BC6B0000}"/>
    <cellStyle name="Normal 2 2 2 12 2 3" xfId="14210" xr:uid="{00000000-0005-0000-0000-0000BD6B0000}"/>
    <cellStyle name="Normal 2 2 2 12 2 3 2" xfId="27778" xr:uid="{00000000-0005-0000-0000-0000BE6B0000}"/>
    <cellStyle name="Normal 2 2 2 12 2 3 2 2" xfId="54911" xr:uid="{00000000-0005-0000-0000-0000BF6B0000}"/>
    <cellStyle name="Normal 2 2 2 12 2 3 3" xfId="41349" xr:uid="{00000000-0005-0000-0000-0000C06B0000}"/>
    <cellStyle name="Normal 2 2 2 12 2 4" xfId="20997" xr:uid="{00000000-0005-0000-0000-0000C16B0000}"/>
    <cellStyle name="Normal 2 2 2 12 2 4 2" xfId="48130" xr:uid="{00000000-0005-0000-0000-0000C26B0000}"/>
    <cellStyle name="Normal 2 2 2 12 2 5" xfId="34568" xr:uid="{00000000-0005-0000-0000-0000C36B0000}"/>
    <cellStyle name="Normal 2 2 2 12 3" xfId="10809" xr:uid="{00000000-0005-0000-0000-0000C46B0000}"/>
    <cellStyle name="Normal 2 2 2 12 3 2" xfId="17598" xr:uid="{00000000-0005-0000-0000-0000C56B0000}"/>
    <cellStyle name="Normal 2 2 2 12 3 2 2" xfId="31166" xr:uid="{00000000-0005-0000-0000-0000C66B0000}"/>
    <cellStyle name="Normal 2 2 2 12 3 2 2 2" xfId="58299" xr:uid="{00000000-0005-0000-0000-0000C76B0000}"/>
    <cellStyle name="Normal 2 2 2 12 3 2 3" xfId="44737" xr:uid="{00000000-0005-0000-0000-0000C86B0000}"/>
    <cellStyle name="Normal 2 2 2 12 3 3" xfId="24385" xr:uid="{00000000-0005-0000-0000-0000C96B0000}"/>
    <cellStyle name="Normal 2 2 2 12 3 3 2" xfId="51518" xr:uid="{00000000-0005-0000-0000-0000CA6B0000}"/>
    <cellStyle name="Normal 2 2 2 12 3 4" xfId="37956" xr:uid="{00000000-0005-0000-0000-0000CB6B0000}"/>
    <cellStyle name="Normal 2 2 2 12 4" xfId="14209" xr:uid="{00000000-0005-0000-0000-0000CC6B0000}"/>
    <cellStyle name="Normal 2 2 2 12 4 2" xfId="27777" xr:uid="{00000000-0005-0000-0000-0000CD6B0000}"/>
    <cellStyle name="Normal 2 2 2 12 4 2 2" xfId="54910" xr:uid="{00000000-0005-0000-0000-0000CE6B0000}"/>
    <cellStyle name="Normal 2 2 2 12 4 3" xfId="41348" xr:uid="{00000000-0005-0000-0000-0000CF6B0000}"/>
    <cellStyle name="Normal 2 2 2 12 5" xfId="20996" xr:uid="{00000000-0005-0000-0000-0000D06B0000}"/>
    <cellStyle name="Normal 2 2 2 12 5 2" xfId="48129" xr:uid="{00000000-0005-0000-0000-0000D16B0000}"/>
    <cellStyle name="Normal 2 2 2 12 6" xfId="34567" xr:uid="{00000000-0005-0000-0000-0000D26B0000}"/>
    <cellStyle name="Normal 2 2 2 13" xfId="7391" xr:uid="{00000000-0005-0000-0000-0000D36B0000}"/>
    <cellStyle name="Normal 2 2 2 13 2" xfId="7392" xr:uid="{00000000-0005-0000-0000-0000D46B0000}"/>
    <cellStyle name="Normal 2 2 2 13 2 2" xfId="10812" xr:uid="{00000000-0005-0000-0000-0000D56B0000}"/>
    <cellStyle name="Normal 2 2 2 13 2 2 2" xfId="17601" xr:uid="{00000000-0005-0000-0000-0000D66B0000}"/>
    <cellStyle name="Normal 2 2 2 13 2 2 2 2" xfId="31169" xr:uid="{00000000-0005-0000-0000-0000D76B0000}"/>
    <cellStyle name="Normal 2 2 2 13 2 2 2 2 2" xfId="58302" xr:uid="{00000000-0005-0000-0000-0000D86B0000}"/>
    <cellStyle name="Normal 2 2 2 13 2 2 2 3" xfId="44740" xr:uid="{00000000-0005-0000-0000-0000D96B0000}"/>
    <cellStyle name="Normal 2 2 2 13 2 2 3" xfId="24388" xr:uid="{00000000-0005-0000-0000-0000DA6B0000}"/>
    <cellStyle name="Normal 2 2 2 13 2 2 3 2" xfId="51521" xr:uid="{00000000-0005-0000-0000-0000DB6B0000}"/>
    <cellStyle name="Normal 2 2 2 13 2 2 4" xfId="37959" xr:uid="{00000000-0005-0000-0000-0000DC6B0000}"/>
    <cellStyle name="Normal 2 2 2 13 2 3" xfId="14212" xr:uid="{00000000-0005-0000-0000-0000DD6B0000}"/>
    <cellStyle name="Normal 2 2 2 13 2 3 2" xfId="27780" xr:uid="{00000000-0005-0000-0000-0000DE6B0000}"/>
    <cellStyle name="Normal 2 2 2 13 2 3 2 2" xfId="54913" xr:uid="{00000000-0005-0000-0000-0000DF6B0000}"/>
    <cellStyle name="Normal 2 2 2 13 2 3 3" xfId="41351" xr:uid="{00000000-0005-0000-0000-0000E06B0000}"/>
    <cellStyle name="Normal 2 2 2 13 2 4" xfId="20999" xr:uid="{00000000-0005-0000-0000-0000E16B0000}"/>
    <cellStyle name="Normal 2 2 2 13 2 4 2" xfId="48132" xr:uid="{00000000-0005-0000-0000-0000E26B0000}"/>
    <cellStyle name="Normal 2 2 2 13 2 5" xfId="34570" xr:uid="{00000000-0005-0000-0000-0000E36B0000}"/>
    <cellStyle name="Normal 2 2 2 13 3" xfId="10811" xr:uid="{00000000-0005-0000-0000-0000E46B0000}"/>
    <cellStyle name="Normal 2 2 2 13 3 2" xfId="17600" xr:uid="{00000000-0005-0000-0000-0000E56B0000}"/>
    <cellStyle name="Normal 2 2 2 13 3 2 2" xfId="31168" xr:uid="{00000000-0005-0000-0000-0000E66B0000}"/>
    <cellStyle name="Normal 2 2 2 13 3 2 2 2" xfId="58301" xr:uid="{00000000-0005-0000-0000-0000E76B0000}"/>
    <cellStyle name="Normal 2 2 2 13 3 2 3" xfId="44739" xr:uid="{00000000-0005-0000-0000-0000E86B0000}"/>
    <cellStyle name="Normal 2 2 2 13 3 3" xfId="24387" xr:uid="{00000000-0005-0000-0000-0000E96B0000}"/>
    <cellStyle name="Normal 2 2 2 13 3 3 2" xfId="51520" xr:uid="{00000000-0005-0000-0000-0000EA6B0000}"/>
    <cellStyle name="Normal 2 2 2 13 3 4" xfId="37958" xr:uid="{00000000-0005-0000-0000-0000EB6B0000}"/>
    <cellStyle name="Normal 2 2 2 13 4" xfId="14211" xr:uid="{00000000-0005-0000-0000-0000EC6B0000}"/>
    <cellStyle name="Normal 2 2 2 13 4 2" xfId="27779" xr:uid="{00000000-0005-0000-0000-0000ED6B0000}"/>
    <cellStyle name="Normal 2 2 2 13 4 2 2" xfId="54912" xr:uid="{00000000-0005-0000-0000-0000EE6B0000}"/>
    <cellStyle name="Normal 2 2 2 13 4 3" xfId="41350" xr:uid="{00000000-0005-0000-0000-0000EF6B0000}"/>
    <cellStyle name="Normal 2 2 2 13 5" xfId="20998" xr:uid="{00000000-0005-0000-0000-0000F06B0000}"/>
    <cellStyle name="Normal 2 2 2 13 5 2" xfId="48131" xr:uid="{00000000-0005-0000-0000-0000F16B0000}"/>
    <cellStyle name="Normal 2 2 2 13 6" xfId="34569" xr:uid="{00000000-0005-0000-0000-0000F26B0000}"/>
    <cellStyle name="Normal 2 2 2 14" xfId="7393" xr:uid="{00000000-0005-0000-0000-0000F36B0000}"/>
    <cellStyle name="Normal 2 2 2 14 2" xfId="7394" xr:uid="{00000000-0005-0000-0000-0000F46B0000}"/>
    <cellStyle name="Normal 2 2 2 14 2 2" xfId="10814" xr:uid="{00000000-0005-0000-0000-0000F56B0000}"/>
    <cellStyle name="Normal 2 2 2 14 2 2 2" xfId="17603" xr:uid="{00000000-0005-0000-0000-0000F66B0000}"/>
    <cellStyle name="Normal 2 2 2 14 2 2 2 2" xfId="31171" xr:uid="{00000000-0005-0000-0000-0000F76B0000}"/>
    <cellStyle name="Normal 2 2 2 14 2 2 2 2 2" xfId="58304" xr:uid="{00000000-0005-0000-0000-0000F86B0000}"/>
    <cellStyle name="Normal 2 2 2 14 2 2 2 3" xfId="44742" xr:uid="{00000000-0005-0000-0000-0000F96B0000}"/>
    <cellStyle name="Normal 2 2 2 14 2 2 3" xfId="24390" xr:uid="{00000000-0005-0000-0000-0000FA6B0000}"/>
    <cellStyle name="Normal 2 2 2 14 2 2 3 2" xfId="51523" xr:uid="{00000000-0005-0000-0000-0000FB6B0000}"/>
    <cellStyle name="Normal 2 2 2 14 2 2 4" xfId="37961" xr:uid="{00000000-0005-0000-0000-0000FC6B0000}"/>
    <cellStyle name="Normal 2 2 2 14 2 3" xfId="14214" xr:uid="{00000000-0005-0000-0000-0000FD6B0000}"/>
    <cellStyle name="Normal 2 2 2 14 2 3 2" xfId="27782" xr:uid="{00000000-0005-0000-0000-0000FE6B0000}"/>
    <cellStyle name="Normal 2 2 2 14 2 3 2 2" xfId="54915" xr:uid="{00000000-0005-0000-0000-0000FF6B0000}"/>
    <cellStyle name="Normal 2 2 2 14 2 3 3" xfId="41353" xr:uid="{00000000-0005-0000-0000-0000006C0000}"/>
    <cellStyle name="Normal 2 2 2 14 2 4" xfId="21001" xr:uid="{00000000-0005-0000-0000-0000016C0000}"/>
    <cellStyle name="Normal 2 2 2 14 2 4 2" xfId="48134" xr:uid="{00000000-0005-0000-0000-0000026C0000}"/>
    <cellStyle name="Normal 2 2 2 14 2 5" xfId="34572" xr:uid="{00000000-0005-0000-0000-0000036C0000}"/>
    <cellStyle name="Normal 2 2 2 14 3" xfId="10813" xr:uid="{00000000-0005-0000-0000-0000046C0000}"/>
    <cellStyle name="Normal 2 2 2 14 3 2" xfId="17602" xr:uid="{00000000-0005-0000-0000-0000056C0000}"/>
    <cellStyle name="Normal 2 2 2 14 3 2 2" xfId="31170" xr:uid="{00000000-0005-0000-0000-0000066C0000}"/>
    <cellStyle name="Normal 2 2 2 14 3 2 2 2" xfId="58303" xr:uid="{00000000-0005-0000-0000-0000076C0000}"/>
    <cellStyle name="Normal 2 2 2 14 3 2 3" xfId="44741" xr:uid="{00000000-0005-0000-0000-0000086C0000}"/>
    <cellStyle name="Normal 2 2 2 14 3 3" xfId="24389" xr:uid="{00000000-0005-0000-0000-0000096C0000}"/>
    <cellStyle name="Normal 2 2 2 14 3 3 2" xfId="51522" xr:uid="{00000000-0005-0000-0000-00000A6C0000}"/>
    <cellStyle name="Normal 2 2 2 14 3 4" xfId="37960" xr:uid="{00000000-0005-0000-0000-00000B6C0000}"/>
    <cellStyle name="Normal 2 2 2 14 4" xfId="14213" xr:uid="{00000000-0005-0000-0000-00000C6C0000}"/>
    <cellStyle name="Normal 2 2 2 14 4 2" xfId="27781" xr:uid="{00000000-0005-0000-0000-00000D6C0000}"/>
    <cellStyle name="Normal 2 2 2 14 4 2 2" xfId="54914" xr:uid="{00000000-0005-0000-0000-00000E6C0000}"/>
    <cellStyle name="Normal 2 2 2 14 4 3" xfId="41352" xr:uid="{00000000-0005-0000-0000-00000F6C0000}"/>
    <cellStyle name="Normal 2 2 2 14 5" xfId="21000" xr:uid="{00000000-0005-0000-0000-0000106C0000}"/>
    <cellStyle name="Normal 2 2 2 14 5 2" xfId="48133" xr:uid="{00000000-0005-0000-0000-0000116C0000}"/>
    <cellStyle name="Normal 2 2 2 14 6" xfId="34571" xr:uid="{00000000-0005-0000-0000-0000126C0000}"/>
    <cellStyle name="Normal 2 2 2 15" xfId="7395" xr:uid="{00000000-0005-0000-0000-0000136C0000}"/>
    <cellStyle name="Normal 2 2 2 15 2" xfId="7396" xr:uid="{00000000-0005-0000-0000-0000146C0000}"/>
    <cellStyle name="Normal 2 2 2 15 2 2" xfId="10816" xr:uid="{00000000-0005-0000-0000-0000156C0000}"/>
    <cellStyle name="Normal 2 2 2 15 2 2 2" xfId="17605" xr:uid="{00000000-0005-0000-0000-0000166C0000}"/>
    <cellStyle name="Normal 2 2 2 15 2 2 2 2" xfId="31173" xr:uid="{00000000-0005-0000-0000-0000176C0000}"/>
    <cellStyle name="Normal 2 2 2 15 2 2 2 2 2" xfId="58306" xr:uid="{00000000-0005-0000-0000-0000186C0000}"/>
    <cellStyle name="Normal 2 2 2 15 2 2 2 3" xfId="44744" xr:uid="{00000000-0005-0000-0000-0000196C0000}"/>
    <cellStyle name="Normal 2 2 2 15 2 2 3" xfId="24392" xr:uid="{00000000-0005-0000-0000-00001A6C0000}"/>
    <cellStyle name="Normal 2 2 2 15 2 2 3 2" xfId="51525" xr:uid="{00000000-0005-0000-0000-00001B6C0000}"/>
    <cellStyle name="Normal 2 2 2 15 2 2 4" xfId="37963" xr:uid="{00000000-0005-0000-0000-00001C6C0000}"/>
    <cellStyle name="Normal 2 2 2 15 2 3" xfId="14216" xr:uid="{00000000-0005-0000-0000-00001D6C0000}"/>
    <cellStyle name="Normal 2 2 2 15 2 3 2" xfId="27784" xr:uid="{00000000-0005-0000-0000-00001E6C0000}"/>
    <cellStyle name="Normal 2 2 2 15 2 3 2 2" xfId="54917" xr:uid="{00000000-0005-0000-0000-00001F6C0000}"/>
    <cellStyle name="Normal 2 2 2 15 2 3 3" xfId="41355" xr:uid="{00000000-0005-0000-0000-0000206C0000}"/>
    <cellStyle name="Normal 2 2 2 15 2 4" xfId="21003" xr:uid="{00000000-0005-0000-0000-0000216C0000}"/>
    <cellStyle name="Normal 2 2 2 15 2 4 2" xfId="48136" xr:uid="{00000000-0005-0000-0000-0000226C0000}"/>
    <cellStyle name="Normal 2 2 2 15 2 5" xfId="34574" xr:uid="{00000000-0005-0000-0000-0000236C0000}"/>
    <cellStyle name="Normal 2 2 2 15 3" xfId="10815" xr:uid="{00000000-0005-0000-0000-0000246C0000}"/>
    <cellStyle name="Normal 2 2 2 15 3 2" xfId="17604" xr:uid="{00000000-0005-0000-0000-0000256C0000}"/>
    <cellStyle name="Normal 2 2 2 15 3 2 2" xfId="31172" xr:uid="{00000000-0005-0000-0000-0000266C0000}"/>
    <cellStyle name="Normal 2 2 2 15 3 2 2 2" xfId="58305" xr:uid="{00000000-0005-0000-0000-0000276C0000}"/>
    <cellStyle name="Normal 2 2 2 15 3 2 3" xfId="44743" xr:uid="{00000000-0005-0000-0000-0000286C0000}"/>
    <cellStyle name="Normal 2 2 2 15 3 3" xfId="24391" xr:uid="{00000000-0005-0000-0000-0000296C0000}"/>
    <cellStyle name="Normal 2 2 2 15 3 3 2" xfId="51524" xr:uid="{00000000-0005-0000-0000-00002A6C0000}"/>
    <cellStyle name="Normal 2 2 2 15 3 4" xfId="37962" xr:uid="{00000000-0005-0000-0000-00002B6C0000}"/>
    <cellStyle name="Normal 2 2 2 15 4" xfId="14215" xr:uid="{00000000-0005-0000-0000-00002C6C0000}"/>
    <cellStyle name="Normal 2 2 2 15 4 2" xfId="27783" xr:uid="{00000000-0005-0000-0000-00002D6C0000}"/>
    <cellStyle name="Normal 2 2 2 15 4 2 2" xfId="54916" xr:uid="{00000000-0005-0000-0000-00002E6C0000}"/>
    <cellStyle name="Normal 2 2 2 15 4 3" xfId="41354" xr:uid="{00000000-0005-0000-0000-00002F6C0000}"/>
    <cellStyle name="Normal 2 2 2 15 5" xfId="21002" xr:uid="{00000000-0005-0000-0000-0000306C0000}"/>
    <cellStyle name="Normal 2 2 2 15 5 2" xfId="48135" xr:uid="{00000000-0005-0000-0000-0000316C0000}"/>
    <cellStyle name="Normal 2 2 2 15 6" xfId="34573" xr:uid="{00000000-0005-0000-0000-0000326C0000}"/>
    <cellStyle name="Normal 2 2 2 16" xfId="7397" xr:uid="{00000000-0005-0000-0000-0000336C0000}"/>
    <cellStyle name="Normal 2 2 2 16 2" xfId="7398" xr:uid="{00000000-0005-0000-0000-0000346C0000}"/>
    <cellStyle name="Normal 2 2 2 16 2 2" xfId="10818" xr:uid="{00000000-0005-0000-0000-0000356C0000}"/>
    <cellStyle name="Normal 2 2 2 16 2 2 2" xfId="17607" xr:uid="{00000000-0005-0000-0000-0000366C0000}"/>
    <cellStyle name="Normal 2 2 2 16 2 2 2 2" xfId="31175" xr:uid="{00000000-0005-0000-0000-0000376C0000}"/>
    <cellStyle name="Normal 2 2 2 16 2 2 2 2 2" xfId="58308" xr:uid="{00000000-0005-0000-0000-0000386C0000}"/>
    <cellStyle name="Normal 2 2 2 16 2 2 2 3" xfId="44746" xr:uid="{00000000-0005-0000-0000-0000396C0000}"/>
    <cellStyle name="Normal 2 2 2 16 2 2 3" xfId="24394" xr:uid="{00000000-0005-0000-0000-00003A6C0000}"/>
    <cellStyle name="Normal 2 2 2 16 2 2 3 2" xfId="51527" xr:uid="{00000000-0005-0000-0000-00003B6C0000}"/>
    <cellStyle name="Normal 2 2 2 16 2 2 4" xfId="37965" xr:uid="{00000000-0005-0000-0000-00003C6C0000}"/>
    <cellStyle name="Normal 2 2 2 16 2 3" xfId="14218" xr:uid="{00000000-0005-0000-0000-00003D6C0000}"/>
    <cellStyle name="Normal 2 2 2 16 2 3 2" xfId="27786" xr:uid="{00000000-0005-0000-0000-00003E6C0000}"/>
    <cellStyle name="Normal 2 2 2 16 2 3 2 2" xfId="54919" xr:uid="{00000000-0005-0000-0000-00003F6C0000}"/>
    <cellStyle name="Normal 2 2 2 16 2 3 3" xfId="41357" xr:uid="{00000000-0005-0000-0000-0000406C0000}"/>
    <cellStyle name="Normal 2 2 2 16 2 4" xfId="21005" xr:uid="{00000000-0005-0000-0000-0000416C0000}"/>
    <cellStyle name="Normal 2 2 2 16 2 4 2" xfId="48138" xr:uid="{00000000-0005-0000-0000-0000426C0000}"/>
    <cellStyle name="Normal 2 2 2 16 2 5" xfId="34576" xr:uid="{00000000-0005-0000-0000-0000436C0000}"/>
    <cellStyle name="Normal 2 2 2 16 3" xfId="10817" xr:uid="{00000000-0005-0000-0000-0000446C0000}"/>
    <cellStyle name="Normal 2 2 2 16 3 2" xfId="17606" xr:uid="{00000000-0005-0000-0000-0000456C0000}"/>
    <cellStyle name="Normal 2 2 2 16 3 2 2" xfId="31174" xr:uid="{00000000-0005-0000-0000-0000466C0000}"/>
    <cellStyle name="Normal 2 2 2 16 3 2 2 2" xfId="58307" xr:uid="{00000000-0005-0000-0000-0000476C0000}"/>
    <cellStyle name="Normal 2 2 2 16 3 2 3" xfId="44745" xr:uid="{00000000-0005-0000-0000-0000486C0000}"/>
    <cellStyle name="Normal 2 2 2 16 3 3" xfId="24393" xr:uid="{00000000-0005-0000-0000-0000496C0000}"/>
    <cellStyle name="Normal 2 2 2 16 3 3 2" xfId="51526" xr:uid="{00000000-0005-0000-0000-00004A6C0000}"/>
    <cellStyle name="Normal 2 2 2 16 3 4" xfId="37964" xr:uid="{00000000-0005-0000-0000-00004B6C0000}"/>
    <cellStyle name="Normal 2 2 2 16 4" xfId="14217" xr:uid="{00000000-0005-0000-0000-00004C6C0000}"/>
    <cellStyle name="Normal 2 2 2 16 4 2" xfId="27785" xr:uid="{00000000-0005-0000-0000-00004D6C0000}"/>
    <cellStyle name="Normal 2 2 2 16 4 2 2" xfId="54918" xr:uid="{00000000-0005-0000-0000-00004E6C0000}"/>
    <cellStyle name="Normal 2 2 2 16 4 3" xfId="41356" xr:uid="{00000000-0005-0000-0000-00004F6C0000}"/>
    <cellStyle name="Normal 2 2 2 16 5" xfId="21004" xr:uid="{00000000-0005-0000-0000-0000506C0000}"/>
    <cellStyle name="Normal 2 2 2 16 5 2" xfId="48137" xr:uid="{00000000-0005-0000-0000-0000516C0000}"/>
    <cellStyle name="Normal 2 2 2 16 6" xfId="34575" xr:uid="{00000000-0005-0000-0000-0000526C0000}"/>
    <cellStyle name="Normal 2 2 2 2" xfId="192" xr:uid="{00000000-0005-0000-0000-0000536C0000}"/>
    <cellStyle name="Normal 2 2 2 2 2" xfId="7399" xr:uid="{00000000-0005-0000-0000-0000546C0000}"/>
    <cellStyle name="Normal 2 2 2 2 2 2" xfId="10819" xr:uid="{00000000-0005-0000-0000-0000556C0000}"/>
    <cellStyle name="Normal 2 2 2 2 2 2 2" xfId="17608" xr:uid="{00000000-0005-0000-0000-0000566C0000}"/>
    <cellStyle name="Normal 2 2 2 2 2 2 2 2" xfId="31176" xr:uid="{00000000-0005-0000-0000-0000576C0000}"/>
    <cellStyle name="Normal 2 2 2 2 2 2 2 2 2" xfId="58309" xr:uid="{00000000-0005-0000-0000-0000586C0000}"/>
    <cellStyle name="Normal 2 2 2 2 2 2 2 3" xfId="44747" xr:uid="{00000000-0005-0000-0000-0000596C0000}"/>
    <cellStyle name="Normal 2 2 2 2 2 2 3" xfId="24395" xr:uid="{00000000-0005-0000-0000-00005A6C0000}"/>
    <cellStyle name="Normal 2 2 2 2 2 2 3 2" xfId="51528" xr:uid="{00000000-0005-0000-0000-00005B6C0000}"/>
    <cellStyle name="Normal 2 2 2 2 2 2 4" xfId="37966" xr:uid="{00000000-0005-0000-0000-00005C6C0000}"/>
    <cellStyle name="Normal 2 2 2 2 2 3" xfId="14219" xr:uid="{00000000-0005-0000-0000-00005D6C0000}"/>
    <cellStyle name="Normal 2 2 2 2 2 3 2" xfId="27787" xr:uid="{00000000-0005-0000-0000-00005E6C0000}"/>
    <cellStyle name="Normal 2 2 2 2 2 3 2 2" xfId="54920" xr:uid="{00000000-0005-0000-0000-00005F6C0000}"/>
    <cellStyle name="Normal 2 2 2 2 2 3 3" xfId="41358" xr:uid="{00000000-0005-0000-0000-0000606C0000}"/>
    <cellStyle name="Normal 2 2 2 2 2 4" xfId="21006" xr:uid="{00000000-0005-0000-0000-0000616C0000}"/>
    <cellStyle name="Normal 2 2 2 2 2 4 2" xfId="48139" xr:uid="{00000000-0005-0000-0000-0000626C0000}"/>
    <cellStyle name="Normal 2 2 2 2 2 5" xfId="34577" xr:uid="{00000000-0005-0000-0000-0000636C0000}"/>
    <cellStyle name="Normal 2 2 2 3" xfId="7400" xr:uid="{00000000-0005-0000-0000-0000646C0000}"/>
    <cellStyle name="Normal 2 2 2 3 2" xfId="7401" xr:uid="{00000000-0005-0000-0000-0000656C0000}"/>
    <cellStyle name="Normal 2 2 2 3 2 2" xfId="10821" xr:uid="{00000000-0005-0000-0000-0000666C0000}"/>
    <cellStyle name="Normal 2 2 2 3 2 2 2" xfId="17610" xr:uid="{00000000-0005-0000-0000-0000676C0000}"/>
    <cellStyle name="Normal 2 2 2 3 2 2 2 2" xfId="31178" xr:uid="{00000000-0005-0000-0000-0000686C0000}"/>
    <cellStyle name="Normal 2 2 2 3 2 2 2 2 2" xfId="58311" xr:uid="{00000000-0005-0000-0000-0000696C0000}"/>
    <cellStyle name="Normal 2 2 2 3 2 2 2 3" xfId="44749" xr:uid="{00000000-0005-0000-0000-00006A6C0000}"/>
    <cellStyle name="Normal 2 2 2 3 2 2 3" xfId="24397" xr:uid="{00000000-0005-0000-0000-00006B6C0000}"/>
    <cellStyle name="Normal 2 2 2 3 2 2 3 2" xfId="51530" xr:uid="{00000000-0005-0000-0000-00006C6C0000}"/>
    <cellStyle name="Normal 2 2 2 3 2 2 4" xfId="37968" xr:uid="{00000000-0005-0000-0000-00006D6C0000}"/>
    <cellStyle name="Normal 2 2 2 3 2 3" xfId="14221" xr:uid="{00000000-0005-0000-0000-00006E6C0000}"/>
    <cellStyle name="Normal 2 2 2 3 2 3 2" xfId="27789" xr:uid="{00000000-0005-0000-0000-00006F6C0000}"/>
    <cellStyle name="Normal 2 2 2 3 2 3 2 2" xfId="54922" xr:uid="{00000000-0005-0000-0000-0000706C0000}"/>
    <cellStyle name="Normal 2 2 2 3 2 3 3" xfId="41360" xr:uid="{00000000-0005-0000-0000-0000716C0000}"/>
    <cellStyle name="Normal 2 2 2 3 2 4" xfId="21008" xr:uid="{00000000-0005-0000-0000-0000726C0000}"/>
    <cellStyle name="Normal 2 2 2 3 2 4 2" xfId="48141" xr:uid="{00000000-0005-0000-0000-0000736C0000}"/>
    <cellStyle name="Normal 2 2 2 3 2 5" xfId="34579" xr:uid="{00000000-0005-0000-0000-0000746C0000}"/>
    <cellStyle name="Normal 2 2 2 3 3" xfId="10820" xr:uid="{00000000-0005-0000-0000-0000756C0000}"/>
    <cellStyle name="Normal 2 2 2 3 3 2" xfId="17609" xr:uid="{00000000-0005-0000-0000-0000766C0000}"/>
    <cellStyle name="Normal 2 2 2 3 3 2 2" xfId="31177" xr:uid="{00000000-0005-0000-0000-0000776C0000}"/>
    <cellStyle name="Normal 2 2 2 3 3 2 2 2" xfId="58310" xr:uid="{00000000-0005-0000-0000-0000786C0000}"/>
    <cellStyle name="Normal 2 2 2 3 3 2 3" xfId="44748" xr:uid="{00000000-0005-0000-0000-0000796C0000}"/>
    <cellStyle name="Normal 2 2 2 3 3 3" xfId="24396" xr:uid="{00000000-0005-0000-0000-00007A6C0000}"/>
    <cellStyle name="Normal 2 2 2 3 3 3 2" xfId="51529" xr:uid="{00000000-0005-0000-0000-00007B6C0000}"/>
    <cellStyle name="Normal 2 2 2 3 3 4" xfId="37967" xr:uid="{00000000-0005-0000-0000-00007C6C0000}"/>
    <cellStyle name="Normal 2 2 2 3 4" xfId="14220" xr:uid="{00000000-0005-0000-0000-00007D6C0000}"/>
    <cellStyle name="Normal 2 2 2 3 4 2" xfId="27788" xr:uid="{00000000-0005-0000-0000-00007E6C0000}"/>
    <cellStyle name="Normal 2 2 2 3 4 2 2" xfId="54921" xr:uid="{00000000-0005-0000-0000-00007F6C0000}"/>
    <cellStyle name="Normal 2 2 2 3 4 3" xfId="41359" xr:uid="{00000000-0005-0000-0000-0000806C0000}"/>
    <cellStyle name="Normal 2 2 2 3 5" xfId="21007" xr:uid="{00000000-0005-0000-0000-0000816C0000}"/>
    <cellStyle name="Normal 2 2 2 3 5 2" xfId="48140" xr:uid="{00000000-0005-0000-0000-0000826C0000}"/>
    <cellStyle name="Normal 2 2 2 3 6" xfId="34578" xr:uid="{00000000-0005-0000-0000-0000836C0000}"/>
    <cellStyle name="Normal 2 2 2 4" xfId="7402" xr:uid="{00000000-0005-0000-0000-0000846C0000}"/>
    <cellStyle name="Normal 2 2 2 4 2" xfId="7403" xr:uid="{00000000-0005-0000-0000-0000856C0000}"/>
    <cellStyle name="Normal 2 2 2 4 2 2" xfId="10823" xr:uid="{00000000-0005-0000-0000-0000866C0000}"/>
    <cellStyle name="Normal 2 2 2 4 2 2 2" xfId="17612" xr:uid="{00000000-0005-0000-0000-0000876C0000}"/>
    <cellStyle name="Normal 2 2 2 4 2 2 2 2" xfId="31180" xr:uid="{00000000-0005-0000-0000-0000886C0000}"/>
    <cellStyle name="Normal 2 2 2 4 2 2 2 2 2" xfId="58313" xr:uid="{00000000-0005-0000-0000-0000896C0000}"/>
    <cellStyle name="Normal 2 2 2 4 2 2 2 3" xfId="44751" xr:uid="{00000000-0005-0000-0000-00008A6C0000}"/>
    <cellStyle name="Normal 2 2 2 4 2 2 3" xfId="24399" xr:uid="{00000000-0005-0000-0000-00008B6C0000}"/>
    <cellStyle name="Normal 2 2 2 4 2 2 3 2" xfId="51532" xr:uid="{00000000-0005-0000-0000-00008C6C0000}"/>
    <cellStyle name="Normal 2 2 2 4 2 2 4" xfId="37970" xr:uid="{00000000-0005-0000-0000-00008D6C0000}"/>
    <cellStyle name="Normal 2 2 2 4 2 3" xfId="14223" xr:uid="{00000000-0005-0000-0000-00008E6C0000}"/>
    <cellStyle name="Normal 2 2 2 4 2 3 2" xfId="27791" xr:uid="{00000000-0005-0000-0000-00008F6C0000}"/>
    <cellStyle name="Normal 2 2 2 4 2 3 2 2" xfId="54924" xr:uid="{00000000-0005-0000-0000-0000906C0000}"/>
    <cellStyle name="Normal 2 2 2 4 2 3 3" xfId="41362" xr:uid="{00000000-0005-0000-0000-0000916C0000}"/>
    <cellStyle name="Normal 2 2 2 4 2 4" xfId="21010" xr:uid="{00000000-0005-0000-0000-0000926C0000}"/>
    <cellStyle name="Normal 2 2 2 4 2 4 2" xfId="48143" xr:uid="{00000000-0005-0000-0000-0000936C0000}"/>
    <cellStyle name="Normal 2 2 2 4 2 5" xfId="34581" xr:uid="{00000000-0005-0000-0000-0000946C0000}"/>
    <cellStyle name="Normal 2 2 2 4 3" xfId="10822" xr:uid="{00000000-0005-0000-0000-0000956C0000}"/>
    <cellStyle name="Normal 2 2 2 4 3 2" xfId="17611" xr:uid="{00000000-0005-0000-0000-0000966C0000}"/>
    <cellStyle name="Normal 2 2 2 4 3 2 2" xfId="31179" xr:uid="{00000000-0005-0000-0000-0000976C0000}"/>
    <cellStyle name="Normal 2 2 2 4 3 2 2 2" xfId="58312" xr:uid="{00000000-0005-0000-0000-0000986C0000}"/>
    <cellStyle name="Normal 2 2 2 4 3 2 3" xfId="44750" xr:uid="{00000000-0005-0000-0000-0000996C0000}"/>
    <cellStyle name="Normal 2 2 2 4 3 3" xfId="24398" xr:uid="{00000000-0005-0000-0000-00009A6C0000}"/>
    <cellStyle name="Normal 2 2 2 4 3 3 2" xfId="51531" xr:uid="{00000000-0005-0000-0000-00009B6C0000}"/>
    <cellStyle name="Normal 2 2 2 4 3 4" xfId="37969" xr:uid="{00000000-0005-0000-0000-00009C6C0000}"/>
    <cellStyle name="Normal 2 2 2 4 4" xfId="14222" xr:uid="{00000000-0005-0000-0000-00009D6C0000}"/>
    <cellStyle name="Normal 2 2 2 4 4 2" xfId="27790" xr:uid="{00000000-0005-0000-0000-00009E6C0000}"/>
    <cellStyle name="Normal 2 2 2 4 4 2 2" xfId="54923" xr:uid="{00000000-0005-0000-0000-00009F6C0000}"/>
    <cellStyle name="Normal 2 2 2 4 4 3" xfId="41361" xr:uid="{00000000-0005-0000-0000-0000A06C0000}"/>
    <cellStyle name="Normal 2 2 2 4 5" xfId="21009" xr:uid="{00000000-0005-0000-0000-0000A16C0000}"/>
    <cellStyle name="Normal 2 2 2 4 5 2" xfId="48142" xr:uid="{00000000-0005-0000-0000-0000A26C0000}"/>
    <cellStyle name="Normal 2 2 2 4 6" xfId="34580" xr:uid="{00000000-0005-0000-0000-0000A36C0000}"/>
    <cellStyle name="Normal 2 2 2 5" xfId="7404" xr:uid="{00000000-0005-0000-0000-0000A46C0000}"/>
    <cellStyle name="Normal 2 2 2 5 2" xfId="7405" xr:uid="{00000000-0005-0000-0000-0000A56C0000}"/>
    <cellStyle name="Normal 2 2 2 5 2 2" xfId="10825" xr:uid="{00000000-0005-0000-0000-0000A66C0000}"/>
    <cellStyle name="Normal 2 2 2 5 2 2 2" xfId="17614" xr:uid="{00000000-0005-0000-0000-0000A76C0000}"/>
    <cellStyle name="Normal 2 2 2 5 2 2 2 2" xfId="31182" xr:uid="{00000000-0005-0000-0000-0000A86C0000}"/>
    <cellStyle name="Normal 2 2 2 5 2 2 2 2 2" xfId="58315" xr:uid="{00000000-0005-0000-0000-0000A96C0000}"/>
    <cellStyle name="Normal 2 2 2 5 2 2 2 3" xfId="44753" xr:uid="{00000000-0005-0000-0000-0000AA6C0000}"/>
    <cellStyle name="Normal 2 2 2 5 2 2 3" xfId="24401" xr:uid="{00000000-0005-0000-0000-0000AB6C0000}"/>
    <cellStyle name="Normal 2 2 2 5 2 2 3 2" xfId="51534" xr:uid="{00000000-0005-0000-0000-0000AC6C0000}"/>
    <cellStyle name="Normal 2 2 2 5 2 2 4" xfId="37972" xr:uid="{00000000-0005-0000-0000-0000AD6C0000}"/>
    <cellStyle name="Normal 2 2 2 5 2 3" xfId="14225" xr:uid="{00000000-0005-0000-0000-0000AE6C0000}"/>
    <cellStyle name="Normal 2 2 2 5 2 3 2" xfId="27793" xr:uid="{00000000-0005-0000-0000-0000AF6C0000}"/>
    <cellStyle name="Normal 2 2 2 5 2 3 2 2" xfId="54926" xr:uid="{00000000-0005-0000-0000-0000B06C0000}"/>
    <cellStyle name="Normal 2 2 2 5 2 3 3" xfId="41364" xr:uid="{00000000-0005-0000-0000-0000B16C0000}"/>
    <cellStyle name="Normal 2 2 2 5 2 4" xfId="21012" xr:uid="{00000000-0005-0000-0000-0000B26C0000}"/>
    <cellStyle name="Normal 2 2 2 5 2 4 2" xfId="48145" xr:uid="{00000000-0005-0000-0000-0000B36C0000}"/>
    <cellStyle name="Normal 2 2 2 5 2 5" xfId="34583" xr:uid="{00000000-0005-0000-0000-0000B46C0000}"/>
    <cellStyle name="Normal 2 2 2 5 3" xfId="10824" xr:uid="{00000000-0005-0000-0000-0000B56C0000}"/>
    <cellStyle name="Normal 2 2 2 5 3 2" xfId="17613" xr:uid="{00000000-0005-0000-0000-0000B66C0000}"/>
    <cellStyle name="Normal 2 2 2 5 3 2 2" xfId="31181" xr:uid="{00000000-0005-0000-0000-0000B76C0000}"/>
    <cellStyle name="Normal 2 2 2 5 3 2 2 2" xfId="58314" xr:uid="{00000000-0005-0000-0000-0000B86C0000}"/>
    <cellStyle name="Normal 2 2 2 5 3 2 3" xfId="44752" xr:uid="{00000000-0005-0000-0000-0000B96C0000}"/>
    <cellStyle name="Normal 2 2 2 5 3 3" xfId="24400" xr:uid="{00000000-0005-0000-0000-0000BA6C0000}"/>
    <cellStyle name="Normal 2 2 2 5 3 3 2" xfId="51533" xr:uid="{00000000-0005-0000-0000-0000BB6C0000}"/>
    <cellStyle name="Normal 2 2 2 5 3 4" xfId="37971" xr:uid="{00000000-0005-0000-0000-0000BC6C0000}"/>
    <cellStyle name="Normal 2 2 2 5 4" xfId="14224" xr:uid="{00000000-0005-0000-0000-0000BD6C0000}"/>
    <cellStyle name="Normal 2 2 2 5 4 2" xfId="27792" xr:uid="{00000000-0005-0000-0000-0000BE6C0000}"/>
    <cellStyle name="Normal 2 2 2 5 4 2 2" xfId="54925" xr:uid="{00000000-0005-0000-0000-0000BF6C0000}"/>
    <cellStyle name="Normal 2 2 2 5 4 3" xfId="41363" xr:uid="{00000000-0005-0000-0000-0000C06C0000}"/>
    <cellStyle name="Normal 2 2 2 5 5" xfId="21011" xr:uid="{00000000-0005-0000-0000-0000C16C0000}"/>
    <cellStyle name="Normal 2 2 2 5 5 2" xfId="48144" xr:uid="{00000000-0005-0000-0000-0000C26C0000}"/>
    <cellStyle name="Normal 2 2 2 5 6" xfId="34582" xr:uid="{00000000-0005-0000-0000-0000C36C0000}"/>
    <cellStyle name="Normal 2 2 2 6" xfId="7406" xr:uid="{00000000-0005-0000-0000-0000C46C0000}"/>
    <cellStyle name="Normal 2 2 2 6 2" xfId="7407" xr:uid="{00000000-0005-0000-0000-0000C56C0000}"/>
    <cellStyle name="Normal 2 2 2 6 2 2" xfId="10827" xr:uid="{00000000-0005-0000-0000-0000C66C0000}"/>
    <cellStyle name="Normal 2 2 2 6 2 2 2" xfId="17616" xr:uid="{00000000-0005-0000-0000-0000C76C0000}"/>
    <cellStyle name="Normal 2 2 2 6 2 2 2 2" xfId="31184" xr:uid="{00000000-0005-0000-0000-0000C86C0000}"/>
    <cellStyle name="Normal 2 2 2 6 2 2 2 2 2" xfId="58317" xr:uid="{00000000-0005-0000-0000-0000C96C0000}"/>
    <cellStyle name="Normal 2 2 2 6 2 2 2 3" xfId="44755" xr:uid="{00000000-0005-0000-0000-0000CA6C0000}"/>
    <cellStyle name="Normal 2 2 2 6 2 2 3" xfId="24403" xr:uid="{00000000-0005-0000-0000-0000CB6C0000}"/>
    <cellStyle name="Normal 2 2 2 6 2 2 3 2" xfId="51536" xr:uid="{00000000-0005-0000-0000-0000CC6C0000}"/>
    <cellStyle name="Normal 2 2 2 6 2 2 4" xfId="37974" xr:uid="{00000000-0005-0000-0000-0000CD6C0000}"/>
    <cellStyle name="Normal 2 2 2 6 2 3" xfId="14227" xr:uid="{00000000-0005-0000-0000-0000CE6C0000}"/>
    <cellStyle name="Normal 2 2 2 6 2 3 2" xfId="27795" xr:uid="{00000000-0005-0000-0000-0000CF6C0000}"/>
    <cellStyle name="Normal 2 2 2 6 2 3 2 2" xfId="54928" xr:uid="{00000000-0005-0000-0000-0000D06C0000}"/>
    <cellStyle name="Normal 2 2 2 6 2 3 3" xfId="41366" xr:uid="{00000000-0005-0000-0000-0000D16C0000}"/>
    <cellStyle name="Normal 2 2 2 6 2 4" xfId="21014" xr:uid="{00000000-0005-0000-0000-0000D26C0000}"/>
    <cellStyle name="Normal 2 2 2 6 2 4 2" xfId="48147" xr:uid="{00000000-0005-0000-0000-0000D36C0000}"/>
    <cellStyle name="Normal 2 2 2 6 2 5" xfId="34585" xr:uid="{00000000-0005-0000-0000-0000D46C0000}"/>
    <cellStyle name="Normal 2 2 2 6 3" xfId="10826" xr:uid="{00000000-0005-0000-0000-0000D56C0000}"/>
    <cellStyle name="Normal 2 2 2 6 3 2" xfId="17615" xr:uid="{00000000-0005-0000-0000-0000D66C0000}"/>
    <cellStyle name="Normal 2 2 2 6 3 2 2" xfId="31183" xr:uid="{00000000-0005-0000-0000-0000D76C0000}"/>
    <cellStyle name="Normal 2 2 2 6 3 2 2 2" xfId="58316" xr:uid="{00000000-0005-0000-0000-0000D86C0000}"/>
    <cellStyle name="Normal 2 2 2 6 3 2 3" xfId="44754" xr:uid="{00000000-0005-0000-0000-0000D96C0000}"/>
    <cellStyle name="Normal 2 2 2 6 3 3" xfId="24402" xr:uid="{00000000-0005-0000-0000-0000DA6C0000}"/>
    <cellStyle name="Normal 2 2 2 6 3 3 2" xfId="51535" xr:uid="{00000000-0005-0000-0000-0000DB6C0000}"/>
    <cellStyle name="Normal 2 2 2 6 3 4" xfId="37973" xr:uid="{00000000-0005-0000-0000-0000DC6C0000}"/>
    <cellStyle name="Normal 2 2 2 6 4" xfId="14226" xr:uid="{00000000-0005-0000-0000-0000DD6C0000}"/>
    <cellStyle name="Normal 2 2 2 6 4 2" xfId="27794" xr:uid="{00000000-0005-0000-0000-0000DE6C0000}"/>
    <cellStyle name="Normal 2 2 2 6 4 2 2" xfId="54927" xr:uid="{00000000-0005-0000-0000-0000DF6C0000}"/>
    <cellStyle name="Normal 2 2 2 6 4 3" xfId="41365" xr:uid="{00000000-0005-0000-0000-0000E06C0000}"/>
    <cellStyle name="Normal 2 2 2 6 5" xfId="21013" xr:uid="{00000000-0005-0000-0000-0000E16C0000}"/>
    <cellStyle name="Normal 2 2 2 6 5 2" xfId="48146" xr:uid="{00000000-0005-0000-0000-0000E26C0000}"/>
    <cellStyle name="Normal 2 2 2 6 6" xfId="34584" xr:uid="{00000000-0005-0000-0000-0000E36C0000}"/>
    <cellStyle name="Normal 2 2 2 7" xfId="7408" xr:uid="{00000000-0005-0000-0000-0000E46C0000}"/>
    <cellStyle name="Normal 2 2 2 7 2" xfId="7409" xr:uid="{00000000-0005-0000-0000-0000E56C0000}"/>
    <cellStyle name="Normal 2 2 2 7 2 2" xfId="10829" xr:uid="{00000000-0005-0000-0000-0000E66C0000}"/>
    <cellStyle name="Normal 2 2 2 7 2 2 2" xfId="17618" xr:uid="{00000000-0005-0000-0000-0000E76C0000}"/>
    <cellStyle name="Normal 2 2 2 7 2 2 2 2" xfId="31186" xr:uid="{00000000-0005-0000-0000-0000E86C0000}"/>
    <cellStyle name="Normal 2 2 2 7 2 2 2 2 2" xfId="58319" xr:uid="{00000000-0005-0000-0000-0000E96C0000}"/>
    <cellStyle name="Normal 2 2 2 7 2 2 2 3" xfId="44757" xr:uid="{00000000-0005-0000-0000-0000EA6C0000}"/>
    <cellStyle name="Normal 2 2 2 7 2 2 3" xfId="24405" xr:uid="{00000000-0005-0000-0000-0000EB6C0000}"/>
    <cellStyle name="Normal 2 2 2 7 2 2 3 2" xfId="51538" xr:uid="{00000000-0005-0000-0000-0000EC6C0000}"/>
    <cellStyle name="Normal 2 2 2 7 2 2 4" xfId="37976" xr:uid="{00000000-0005-0000-0000-0000ED6C0000}"/>
    <cellStyle name="Normal 2 2 2 7 2 3" xfId="14229" xr:uid="{00000000-0005-0000-0000-0000EE6C0000}"/>
    <cellStyle name="Normal 2 2 2 7 2 3 2" xfId="27797" xr:uid="{00000000-0005-0000-0000-0000EF6C0000}"/>
    <cellStyle name="Normal 2 2 2 7 2 3 2 2" xfId="54930" xr:uid="{00000000-0005-0000-0000-0000F06C0000}"/>
    <cellStyle name="Normal 2 2 2 7 2 3 3" xfId="41368" xr:uid="{00000000-0005-0000-0000-0000F16C0000}"/>
    <cellStyle name="Normal 2 2 2 7 2 4" xfId="21016" xr:uid="{00000000-0005-0000-0000-0000F26C0000}"/>
    <cellStyle name="Normal 2 2 2 7 2 4 2" xfId="48149" xr:uid="{00000000-0005-0000-0000-0000F36C0000}"/>
    <cellStyle name="Normal 2 2 2 7 2 5" xfId="34587" xr:uid="{00000000-0005-0000-0000-0000F46C0000}"/>
    <cellStyle name="Normal 2 2 2 7 3" xfId="10828" xr:uid="{00000000-0005-0000-0000-0000F56C0000}"/>
    <cellStyle name="Normal 2 2 2 7 3 2" xfId="17617" xr:uid="{00000000-0005-0000-0000-0000F66C0000}"/>
    <cellStyle name="Normal 2 2 2 7 3 2 2" xfId="31185" xr:uid="{00000000-0005-0000-0000-0000F76C0000}"/>
    <cellStyle name="Normal 2 2 2 7 3 2 2 2" xfId="58318" xr:uid="{00000000-0005-0000-0000-0000F86C0000}"/>
    <cellStyle name="Normal 2 2 2 7 3 2 3" xfId="44756" xr:uid="{00000000-0005-0000-0000-0000F96C0000}"/>
    <cellStyle name="Normal 2 2 2 7 3 3" xfId="24404" xr:uid="{00000000-0005-0000-0000-0000FA6C0000}"/>
    <cellStyle name="Normal 2 2 2 7 3 3 2" xfId="51537" xr:uid="{00000000-0005-0000-0000-0000FB6C0000}"/>
    <cellStyle name="Normal 2 2 2 7 3 4" xfId="37975" xr:uid="{00000000-0005-0000-0000-0000FC6C0000}"/>
    <cellStyle name="Normal 2 2 2 7 4" xfId="14228" xr:uid="{00000000-0005-0000-0000-0000FD6C0000}"/>
    <cellStyle name="Normal 2 2 2 7 4 2" xfId="27796" xr:uid="{00000000-0005-0000-0000-0000FE6C0000}"/>
    <cellStyle name="Normal 2 2 2 7 4 2 2" xfId="54929" xr:uid="{00000000-0005-0000-0000-0000FF6C0000}"/>
    <cellStyle name="Normal 2 2 2 7 4 3" xfId="41367" xr:uid="{00000000-0005-0000-0000-0000006D0000}"/>
    <cellStyle name="Normal 2 2 2 7 5" xfId="21015" xr:uid="{00000000-0005-0000-0000-0000016D0000}"/>
    <cellStyle name="Normal 2 2 2 7 5 2" xfId="48148" xr:uid="{00000000-0005-0000-0000-0000026D0000}"/>
    <cellStyle name="Normal 2 2 2 7 6" xfId="34586" xr:uid="{00000000-0005-0000-0000-0000036D0000}"/>
    <cellStyle name="Normal 2 2 2 8" xfId="7410" xr:uid="{00000000-0005-0000-0000-0000046D0000}"/>
    <cellStyle name="Normal 2 2 2 8 2" xfId="7411" xr:uid="{00000000-0005-0000-0000-0000056D0000}"/>
    <cellStyle name="Normal 2 2 2 8 2 2" xfId="10831" xr:uid="{00000000-0005-0000-0000-0000066D0000}"/>
    <cellStyle name="Normal 2 2 2 8 2 2 2" xfId="17620" xr:uid="{00000000-0005-0000-0000-0000076D0000}"/>
    <cellStyle name="Normal 2 2 2 8 2 2 2 2" xfId="31188" xr:uid="{00000000-0005-0000-0000-0000086D0000}"/>
    <cellStyle name="Normal 2 2 2 8 2 2 2 2 2" xfId="58321" xr:uid="{00000000-0005-0000-0000-0000096D0000}"/>
    <cellStyle name="Normal 2 2 2 8 2 2 2 3" xfId="44759" xr:uid="{00000000-0005-0000-0000-00000A6D0000}"/>
    <cellStyle name="Normal 2 2 2 8 2 2 3" xfId="24407" xr:uid="{00000000-0005-0000-0000-00000B6D0000}"/>
    <cellStyle name="Normal 2 2 2 8 2 2 3 2" xfId="51540" xr:uid="{00000000-0005-0000-0000-00000C6D0000}"/>
    <cellStyle name="Normal 2 2 2 8 2 2 4" xfId="37978" xr:uid="{00000000-0005-0000-0000-00000D6D0000}"/>
    <cellStyle name="Normal 2 2 2 8 2 3" xfId="14231" xr:uid="{00000000-0005-0000-0000-00000E6D0000}"/>
    <cellStyle name="Normal 2 2 2 8 2 3 2" xfId="27799" xr:uid="{00000000-0005-0000-0000-00000F6D0000}"/>
    <cellStyle name="Normal 2 2 2 8 2 3 2 2" xfId="54932" xr:uid="{00000000-0005-0000-0000-0000106D0000}"/>
    <cellStyle name="Normal 2 2 2 8 2 3 3" xfId="41370" xr:uid="{00000000-0005-0000-0000-0000116D0000}"/>
    <cellStyle name="Normal 2 2 2 8 2 4" xfId="21018" xr:uid="{00000000-0005-0000-0000-0000126D0000}"/>
    <cellStyle name="Normal 2 2 2 8 2 4 2" xfId="48151" xr:uid="{00000000-0005-0000-0000-0000136D0000}"/>
    <cellStyle name="Normal 2 2 2 8 2 5" xfId="34589" xr:uid="{00000000-0005-0000-0000-0000146D0000}"/>
    <cellStyle name="Normal 2 2 2 8 3" xfId="10830" xr:uid="{00000000-0005-0000-0000-0000156D0000}"/>
    <cellStyle name="Normal 2 2 2 8 3 2" xfId="17619" xr:uid="{00000000-0005-0000-0000-0000166D0000}"/>
    <cellStyle name="Normal 2 2 2 8 3 2 2" xfId="31187" xr:uid="{00000000-0005-0000-0000-0000176D0000}"/>
    <cellStyle name="Normal 2 2 2 8 3 2 2 2" xfId="58320" xr:uid="{00000000-0005-0000-0000-0000186D0000}"/>
    <cellStyle name="Normal 2 2 2 8 3 2 3" xfId="44758" xr:uid="{00000000-0005-0000-0000-0000196D0000}"/>
    <cellStyle name="Normal 2 2 2 8 3 3" xfId="24406" xr:uid="{00000000-0005-0000-0000-00001A6D0000}"/>
    <cellStyle name="Normal 2 2 2 8 3 3 2" xfId="51539" xr:uid="{00000000-0005-0000-0000-00001B6D0000}"/>
    <cellStyle name="Normal 2 2 2 8 3 4" xfId="37977" xr:uid="{00000000-0005-0000-0000-00001C6D0000}"/>
    <cellStyle name="Normal 2 2 2 8 4" xfId="14230" xr:uid="{00000000-0005-0000-0000-00001D6D0000}"/>
    <cellStyle name="Normal 2 2 2 8 4 2" xfId="27798" xr:uid="{00000000-0005-0000-0000-00001E6D0000}"/>
    <cellStyle name="Normal 2 2 2 8 4 2 2" xfId="54931" xr:uid="{00000000-0005-0000-0000-00001F6D0000}"/>
    <cellStyle name="Normal 2 2 2 8 4 3" xfId="41369" xr:uid="{00000000-0005-0000-0000-0000206D0000}"/>
    <cellStyle name="Normal 2 2 2 8 5" xfId="21017" xr:uid="{00000000-0005-0000-0000-0000216D0000}"/>
    <cellStyle name="Normal 2 2 2 8 5 2" xfId="48150" xr:uid="{00000000-0005-0000-0000-0000226D0000}"/>
    <cellStyle name="Normal 2 2 2 8 6" xfId="34588" xr:uid="{00000000-0005-0000-0000-0000236D0000}"/>
    <cellStyle name="Normal 2 2 2 9" xfId="7412" xr:uid="{00000000-0005-0000-0000-0000246D0000}"/>
    <cellStyle name="Normal 2 2 2 9 2" xfId="7413" xr:uid="{00000000-0005-0000-0000-0000256D0000}"/>
    <cellStyle name="Normal 2 2 2 9 2 2" xfId="10833" xr:uid="{00000000-0005-0000-0000-0000266D0000}"/>
    <cellStyle name="Normal 2 2 2 9 2 2 2" xfId="17622" xr:uid="{00000000-0005-0000-0000-0000276D0000}"/>
    <cellStyle name="Normal 2 2 2 9 2 2 2 2" xfId="31190" xr:uid="{00000000-0005-0000-0000-0000286D0000}"/>
    <cellStyle name="Normal 2 2 2 9 2 2 2 2 2" xfId="58323" xr:uid="{00000000-0005-0000-0000-0000296D0000}"/>
    <cellStyle name="Normal 2 2 2 9 2 2 2 3" xfId="44761" xr:uid="{00000000-0005-0000-0000-00002A6D0000}"/>
    <cellStyle name="Normal 2 2 2 9 2 2 3" xfId="24409" xr:uid="{00000000-0005-0000-0000-00002B6D0000}"/>
    <cellStyle name="Normal 2 2 2 9 2 2 3 2" xfId="51542" xr:uid="{00000000-0005-0000-0000-00002C6D0000}"/>
    <cellStyle name="Normal 2 2 2 9 2 2 4" xfId="37980" xr:uid="{00000000-0005-0000-0000-00002D6D0000}"/>
    <cellStyle name="Normal 2 2 2 9 2 3" xfId="14233" xr:uid="{00000000-0005-0000-0000-00002E6D0000}"/>
    <cellStyle name="Normal 2 2 2 9 2 3 2" xfId="27801" xr:uid="{00000000-0005-0000-0000-00002F6D0000}"/>
    <cellStyle name="Normal 2 2 2 9 2 3 2 2" xfId="54934" xr:uid="{00000000-0005-0000-0000-0000306D0000}"/>
    <cellStyle name="Normal 2 2 2 9 2 3 3" xfId="41372" xr:uid="{00000000-0005-0000-0000-0000316D0000}"/>
    <cellStyle name="Normal 2 2 2 9 2 4" xfId="21020" xr:uid="{00000000-0005-0000-0000-0000326D0000}"/>
    <cellStyle name="Normal 2 2 2 9 2 4 2" xfId="48153" xr:uid="{00000000-0005-0000-0000-0000336D0000}"/>
    <cellStyle name="Normal 2 2 2 9 2 5" xfId="34591" xr:uid="{00000000-0005-0000-0000-0000346D0000}"/>
    <cellStyle name="Normal 2 2 2 9 3" xfId="10832" xr:uid="{00000000-0005-0000-0000-0000356D0000}"/>
    <cellStyle name="Normal 2 2 2 9 3 2" xfId="17621" xr:uid="{00000000-0005-0000-0000-0000366D0000}"/>
    <cellStyle name="Normal 2 2 2 9 3 2 2" xfId="31189" xr:uid="{00000000-0005-0000-0000-0000376D0000}"/>
    <cellStyle name="Normal 2 2 2 9 3 2 2 2" xfId="58322" xr:uid="{00000000-0005-0000-0000-0000386D0000}"/>
    <cellStyle name="Normal 2 2 2 9 3 2 3" xfId="44760" xr:uid="{00000000-0005-0000-0000-0000396D0000}"/>
    <cellStyle name="Normal 2 2 2 9 3 3" xfId="24408" xr:uid="{00000000-0005-0000-0000-00003A6D0000}"/>
    <cellStyle name="Normal 2 2 2 9 3 3 2" xfId="51541" xr:uid="{00000000-0005-0000-0000-00003B6D0000}"/>
    <cellStyle name="Normal 2 2 2 9 3 4" xfId="37979" xr:uid="{00000000-0005-0000-0000-00003C6D0000}"/>
    <cellStyle name="Normal 2 2 2 9 4" xfId="14232" xr:uid="{00000000-0005-0000-0000-00003D6D0000}"/>
    <cellStyle name="Normal 2 2 2 9 4 2" xfId="27800" xr:uid="{00000000-0005-0000-0000-00003E6D0000}"/>
    <cellStyle name="Normal 2 2 2 9 4 2 2" xfId="54933" xr:uid="{00000000-0005-0000-0000-00003F6D0000}"/>
    <cellStyle name="Normal 2 2 2 9 4 3" xfId="41371" xr:uid="{00000000-0005-0000-0000-0000406D0000}"/>
    <cellStyle name="Normal 2 2 2 9 5" xfId="21019" xr:uid="{00000000-0005-0000-0000-0000416D0000}"/>
    <cellStyle name="Normal 2 2 2 9 5 2" xfId="48152" xr:uid="{00000000-0005-0000-0000-0000426D0000}"/>
    <cellStyle name="Normal 2 2 2 9 6" xfId="34590" xr:uid="{00000000-0005-0000-0000-0000436D0000}"/>
    <cellStyle name="Normal 2 2 3" xfId="142" xr:uid="{00000000-0005-0000-0000-0000446D0000}"/>
    <cellStyle name="Normal 2 2 3 2" xfId="58377" xr:uid="{F6214A41-E5D8-40AC-A2BF-39E2DD8FC936}"/>
    <cellStyle name="Normal 2 2 4" xfId="2575" xr:uid="{00000000-0005-0000-0000-0000456D0000}"/>
    <cellStyle name="Normal 2 2 5" xfId="2576" xr:uid="{00000000-0005-0000-0000-0000466D0000}"/>
    <cellStyle name="Normal 2 2 6" xfId="7293" xr:uid="{00000000-0005-0000-0000-0000476D0000}"/>
    <cellStyle name="Normal 2 2 6 2" xfId="10793" xr:uid="{00000000-0005-0000-0000-0000486D0000}"/>
    <cellStyle name="Normal 2 2 6 2 2" xfId="17582" xr:uid="{00000000-0005-0000-0000-0000496D0000}"/>
    <cellStyle name="Normal 2 2 6 2 2 2" xfId="31150" xr:uid="{00000000-0005-0000-0000-00004A6D0000}"/>
    <cellStyle name="Normal 2 2 6 2 2 2 2" xfId="58283" xr:uid="{00000000-0005-0000-0000-00004B6D0000}"/>
    <cellStyle name="Normal 2 2 6 2 2 3" xfId="44721" xr:uid="{00000000-0005-0000-0000-00004C6D0000}"/>
    <cellStyle name="Normal 2 2 6 2 3" xfId="24369" xr:uid="{00000000-0005-0000-0000-00004D6D0000}"/>
    <cellStyle name="Normal 2 2 6 2 3 2" xfId="51502" xr:uid="{00000000-0005-0000-0000-00004E6D0000}"/>
    <cellStyle name="Normal 2 2 6 2 4" xfId="37940" xr:uid="{00000000-0005-0000-0000-00004F6D0000}"/>
    <cellStyle name="Normal 2 2 6 3" xfId="14193" xr:uid="{00000000-0005-0000-0000-0000506D0000}"/>
    <cellStyle name="Normal 2 2 6 3 2" xfId="27761" xr:uid="{00000000-0005-0000-0000-0000516D0000}"/>
    <cellStyle name="Normal 2 2 6 3 2 2" xfId="54894" xr:uid="{00000000-0005-0000-0000-0000526D0000}"/>
    <cellStyle name="Normal 2 2 6 3 3" xfId="41332" xr:uid="{00000000-0005-0000-0000-0000536D0000}"/>
    <cellStyle name="Normal 2 2 6 4" xfId="20980" xr:uid="{00000000-0005-0000-0000-0000546D0000}"/>
    <cellStyle name="Normal 2 2 6 4 2" xfId="48113" xr:uid="{00000000-0005-0000-0000-0000556D0000}"/>
    <cellStyle name="Normal 2 2 6 5" xfId="34551" xr:uid="{00000000-0005-0000-0000-0000566D0000}"/>
    <cellStyle name="Normal 2 20" xfId="2577" xr:uid="{00000000-0005-0000-0000-0000576D0000}"/>
    <cellStyle name="Normal 2 21" xfId="2578" xr:uid="{00000000-0005-0000-0000-0000586D0000}"/>
    <cellStyle name="Normal 2 22" xfId="2579" xr:uid="{00000000-0005-0000-0000-0000596D0000}"/>
    <cellStyle name="Normal 2 23" xfId="2580" xr:uid="{00000000-0005-0000-0000-00005A6D0000}"/>
    <cellStyle name="Normal 2 24" xfId="2581" xr:uid="{00000000-0005-0000-0000-00005B6D0000}"/>
    <cellStyle name="Normal 2 25" xfId="2582" xr:uid="{00000000-0005-0000-0000-00005C6D0000}"/>
    <cellStyle name="Normal 2 26" xfId="2583" xr:uid="{00000000-0005-0000-0000-00005D6D0000}"/>
    <cellStyle name="Normal 2 26 2" xfId="2584" xr:uid="{00000000-0005-0000-0000-00005E6D0000}"/>
    <cellStyle name="Normal 2 27" xfId="2585" xr:uid="{00000000-0005-0000-0000-00005F6D0000}"/>
    <cellStyle name="Normal 2 28" xfId="2586" xr:uid="{00000000-0005-0000-0000-0000606D0000}"/>
    <cellStyle name="Normal 2 29" xfId="2587" xr:uid="{00000000-0005-0000-0000-0000616D0000}"/>
    <cellStyle name="Normal 2 3" xfId="60" xr:uid="{00000000-0005-0000-0000-0000626D0000}"/>
    <cellStyle name="Normal 2 3 2" xfId="2588" xr:uid="{00000000-0005-0000-0000-0000636D0000}"/>
    <cellStyle name="Normal 2 3 2 2" xfId="7298" xr:uid="{00000000-0005-0000-0000-0000646D0000}"/>
    <cellStyle name="Normal 2 30" xfId="2589" xr:uid="{00000000-0005-0000-0000-0000656D0000}"/>
    <cellStyle name="Normal 2 31" xfId="2590" xr:uid="{00000000-0005-0000-0000-0000666D0000}"/>
    <cellStyle name="Normal 2 32" xfId="2591" xr:uid="{00000000-0005-0000-0000-0000676D0000}"/>
    <cellStyle name="Normal 2 33" xfId="2592" xr:uid="{00000000-0005-0000-0000-0000686D0000}"/>
    <cellStyle name="Normal 2 34" xfId="2593" xr:uid="{00000000-0005-0000-0000-0000696D0000}"/>
    <cellStyle name="Normal 2 35" xfId="2594" xr:uid="{00000000-0005-0000-0000-00006A6D0000}"/>
    <cellStyle name="Normal 2 36" xfId="2595" xr:uid="{00000000-0005-0000-0000-00006B6D0000}"/>
    <cellStyle name="Normal 2 37" xfId="2596" xr:uid="{00000000-0005-0000-0000-00006C6D0000}"/>
    <cellStyle name="Normal 2 38" xfId="2597" xr:uid="{00000000-0005-0000-0000-00006D6D0000}"/>
    <cellStyle name="Normal 2 39" xfId="2598" xr:uid="{00000000-0005-0000-0000-00006E6D0000}"/>
    <cellStyle name="Normal 2 4" xfId="186" xr:uid="{00000000-0005-0000-0000-00006F6D0000}"/>
    <cellStyle name="Normal 2 4 2" xfId="3414" xr:uid="{00000000-0005-0000-0000-0000706D0000}"/>
    <cellStyle name="Normal 2 4 3" xfId="7452" xr:uid="{00000000-0005-0000-0000-0000716D0000}"/>
    <cellStyle name="Normal 2 4 3 2" xfId="14241" xr:uid="{00000000-0005-0000-0000-0000726D0000}"/>
    <cellStyle name="Normal 2 4 3 2 2" xfId="27809" xr:uid="{00000000-0005-0000-0000-0000736D0000}"/>
    <cellStyle name="Normal 2 4 3 2 2 2" xfId="54942" xr:uid="{00000000-0005-0000-0000-0000746D0000}"/>
    <cellStyle name="Normal 2 4 3 2 3" xfId="41380" xr:uid="{00000000-0005-0000-0000-0000756D0000}"/>
    <cellStyle name="Normal 2 4 3 3" xfId="21028" xr:uid="{00000000-0005-0000-0000-0000766D0000}"/>
    <cellStyle name="Normal 2 4 3 3 2" xfId="48161" xr:uid="{00000000-0005-0000-0000-0000776D0000}"/>
    <cellStyle name="Normal 2 4 3 4" xfId="34599" xr:uid="{00000000-0005-0000-0000-0000786D0000}"/>
    <cellStyle name="Normal 2 4 4" xfId="10852" xr:uid="{00000000-0005-0000-0000-0000796D0000}"/>
    <cellStyle name="Normal 2 4 4 2" xfId="24420" xr:uid="{00000000-0005-0000-0000-00007A6D0000}"/>
    <cellStyle name="Normal 2 4 4 2 2" xfId="51553" xr:uid="{00000000-0005-0000-0000-00007B6D0000}"/>
    <cellStyle name="Normal 2 4 4 3" xfId="37991" xr:uid="{00000000-0005-0000-0000-00007C6D0000}"/>
    <cellStyle name="Normal 2 4 5" xfId="17636" xr:uid="{00000000-0005-0000-0000-00007D6D0000}"/>
    <cellStyle name="Normal 2 4 5 2" xfId="44772" xr:uid="{00000000-0005-0000-0000-00007E6D0000}"/>
    <cellStyle name="Normal 2 4 6" xfId="31210" xr:uid="{00000000-0005-0000-0000-00007F6D0000}"/>
    <cellStyle name="Normal 2 40" xfId="2599" xr:uid="{00000000-0005-0000-0000-0000806D0000}"/>
    <cellStyle name="Normal 2 41" xfId="2600" xr:uid="{00000000-0005-0000-0000-0000816D0000}"/>
    <cellStyle name="Normal 2 42" xfId="2601" xr:uid="{00000000-0005-0000-0000-0000826D0000}"/>
    <cellStyle name="Normal 2 43" xfId="2602" xr:uid="{00000000-0005-0000-0000-0000836D0000}"/>
    <cellStyle name="Normal 2 44" xfId="2603" xr:uid="{00000000-0005-0000-0000-0000846D0000}"/>
    <cellStyle name="Normal 2 45" xfId="2604" xr:uid="{00000000-0005-0000-0000-0000856D0000}"/>
    <cellStyle name="Normal 2 46" xfId="2605" xr:uid="{00000000-0005-0000-0000-0000866D0000}"/>
    <cellStyle name="Normal 2 47" xfId="2606" xr:uid="{00000000-0005-0000-0000-0000876D0000}"/>
    <cellStyle name="Normal 2 48" xfId="2607" xr:uid="{00000000-0005-0000-0000-0000886D0000}"/>
    <cellStyle name="Normal 2 49" xfId="2608" xr:uid="{00000000-0005-0000-0000-0000896D0000}"/>
    <cellStyle name="Normal 2 5" xfId="180" xr:uid="{00000000-0005-0000-0000-00008A6D0000}"/>
    <cellStyle name="Normal 2 5 2" xfId="7451" xr:uid="{00000000-0005-0000-0000-00008B6D0000}"/>
    <cellStyle name="Normal 2 5 2 2" xfId="14240" xr:uid="{00000000-0005-0000-0000-00008C6D0000}"/>
    <cellStyle name="Normal 2 5 2 2 2" xfId="27808" xr:uid="{00000000-0005-0000-0000-00008D6D0000}"/>
    <cellStyle name="Normal 2 5 2 2 2 2" xfId="54941" xr:uid="{00000000-0005-0000-0000-00008E6D0000}"/>
    <cellStyle name="Normal 2 5 2 2 3" xfId="41379" xr:uid="{00000000-0005-0000-0000-00008F6D0000}"/>
    <cellStyle name="Normal 2 5 2 3" xfId="21027" xr:uid="{00000000-0005-0000-0000-0000906D0000}"/>
    <cellStyle name="Normal 2 5 2 3 2" xfId="48160" xr:uid="{00000000-0005-0000-0000-0000916D0000}"/>
    <cellStyle name="Normal 2 5 2 4" xfId="34598" xr:uid="{00000000-0005-0000-0000-0000926D0000}"/>
    <cellStyle name="Normal 2 5 3" xfId="10851" xr:uid="{00000000-0005-0000-0000-0000936D0000}"/>
    <cellStyle name="Normal 2 5 3 2" xfId="24419" xr:uid="{00000000-0005-0000-0000-0000946D0000}"/>
    <cellStyle name="Normal 2 5 3 2 2" xfId="51552" xr:uid="{00000000-0005-0000-0000-0000956D0000}"/>
    <cellStyle name="Normal 2 5 3 3" xfId="37990" xr:uid="{00000000-0005-0000-0000-0000966D0000}"/>
    <cellStyle name="Normal 2 5 4" xfId="17635" xr:uid="{00000000-0005-0000-0000-0000976D0000}"/>
    <cellStyle name="Normal 2 5 4 2" xfId="44771" xr:uid="{00000000-0005-0000-0000-0000986D0000}"/>
    <cellStyle name="Normal 2 5 5" xfId="31209" xr:uid="{00000000-0005-0000-0000-0000996D0000}"/>
    <cellStyle name="Normal 2 50" xfId="2609" xr:uid="{00000000-0005-0000-0000-00009A6D0000}"/>
    <cellStyle name="Normal 2 51" xfId="2610" xr:uid="{00000000-0005-0000-0000-00009B6D0000}"/>
    <cellStyle name="Normal 2 52" xfId="2611" xr:uid="{00000000-0005-0000-0000-00009C6D0000}"/>
    <cellStyle name="Normal 2 53" xfId="2612" xr:uid="{00000000-0005-0000-0000-00009D6D0000}"/>
    <cellStyle name="Normal 2 54" xfId="2613" xr:uid="{00000000-0005-0000-0000-00009E6D0000}"/>
    <cellStyle name="Normal 2 55" xfId="2614" xr:uid="{00000000-0005-0000-0000-00009F6D0000}"/>
    <cellStyle name="Normal 2 56" xfId="2615" xr:uid="{00000000-0005-0000-0000-0000A06D0000}"/>
    <cellStyle name="Normal 2 57" xfId="2616" xr:uid="{00000000-0005-0000-0000-0000A16D0000}"/>
    <cellStyle name="Normal 2 58" xfId="2617" xr:uid="{00000000-0005-0000-0000-0000A26D0000}"/>
    <cellStyle name="Normal 2 59" xfId="2618" xr:uid="{00000000-0005-0000-0000-0000A36D0000}"/>
    <cellStyle name="Normal 2 6" xfId="2619" xr:uid="{00000000-0005-0000-0000-0000A46D0000}"/>
    <cellStyle name="Normal 2 6 2" xfId="7462" xr:uid="{00000000-0005-0000-0000-0000A56D0000}"/>
    <cellStyle name="Normal 2 6 2 2" xfId="14251" xr:uid="{00000000-0005-0000-0000-0000A66D0000}"/>
    <cellStyle name="Normal 2 6 2 2 2" xfId="27819" xr:uid="{00000000-0005-0000-0000-0000A76D0000}"/>
    <cellStyle name="Normal 2 6 2 2 2 2" xfId="54952" xr:uid="{00000000-0005-0000-0000-0000A86D0000}"/>
    <cellStyle name="Normal 2 6 2 2 3" xfId="41390" xr:uid="{00000000-0005-0000-0000-0000A96D0000}"/>
    <cellStyle name="Normal 2 6 2 3" xfId="21038" xr:uid="{00000000-0005-0000-0000-0000AA6D0000}"/>
    <cellStyle name="Normal 2 6 2 3 2" xfId="48171" xr:uid="{00000000-0005-0000-0000-0000AB6D0000}"/>
    <cellStyle name="Normal 2 6 2 4" xfId="34609" xr:uid="{00000000-0005-0000-0000-0000AC6D0000}"/>
    <cellStyle name="Normal 2 6 3" xfId="10862" xr:uid="{00000000-0005-0000-0000-0000AD6D0000}"/>
    <cellStyle name="Normal 2 6 3 2" xfId="24430" xr:uid="{00000000-0005-0000-0000-0000AE6D0000}"/>
    <cellStyle name="Normal 2 6 3 2 2" xfId="51563" xr:uid="{00000000-0005-0000-0000-0000AF6D0000}"/>
    <cellStyle name="Normal 2 6 3 3" xfId="38001" xr:uid="{00000000-0005-0000-0000-0000B06D0000}"/>
    <cellStyle name="Normal 2 6 4" xfId="17649" xr:uid="{00000000-0005-0000-0000-0000B16D0000}"/>
    <cellStyle name="Normal 2 6 4 2" xfId="44782" xr:uid="{00000000-0005-0000-0000-0000B26D0000}"/>
    <cellStyle name="Normal 2 6 5" xfId="31220" xr:uid="{00000000-0005-0000-0000-0000B36D0000}"/>
    <cellStyle name="Normal 2 60" xfId="2620" xr:uid="{00000000-0005-0000-0000-0000B46D0000}"/>
    <cellStyle name="Normal 2 61" xfId="2621" xr:uid="{00000000-0005-0000-0000-0000B56D0000}"/>
    <cellStyle name="Normal 2 62" xfId="2622" xr:uid="{00000000-0005-0000-0000-0000B66D0000}"/>
    <cellStyle name="Normal 2 63" xfId="2623" xr:uid="{00000000-0005-0000-0000-0000B76D0000}"/>
    <cellStyle name="Normal 2 64" xfId="2624" xr:uid="{00000000-0005-0000-0000-0000B86D0000}"/>
    <cellStyle name="Normal 2 65" xfId="2625" xr:uid="{00000000-0005-0000-0000-0000B96D0000}"/>
    <cellStyle name="Normal 2 66" xfId="2626" xr:uid="{00000000-0005-0000-0000-0000BA6D0000}"/>
    <cellStyle name="Normal 2 67" xfId="2627" xr:uid="{00000000-0005-0000-0000-0000BB6D0000}"/>
    <cellStyle name="Normal 2 68" xfId="2628" xr:uid="{00000000-0005-0000-0000-0000BC6D0000}"/>
    <cellStyle name="Normal 2 69" xfId="7449" xr:uid="{00000000-0005-0000-0000-0000BD6D0000}"/>
    <cellStyle name="Normal 2 69 2" xfId="14239" xr:uid="{00000000-0005-0000-0000-0000BE6D0000}"/>
    <cellStyle name="Normal 2 69 2 2" xfId="27807" xr:uid="{00000000-0005-0000-0000-0000BF6D0000}"/>
    <cellStyle name="Normal 2 69 2 2 2" xfId="54940" xr:uid="{00000000-0005-0000-0000-0000C06D0000}"/>
    <cellStyle name="Normal 2 69 2 3" xfId="41378" xr:uid="{00000000-0005-0000-0000-0000C16D0000}"/>
    <cellStyle name="Normal 2 69 3" xfId="21026" xr:uid="{00000000-0005-0000-0000-0000C26D0000}"/>
    <cellStyle name="Normal 2 69 3 2" xfId="48159" xr:uid="{00000000-0005-0000-0000-0000C36D0000}"/>
    <cellStyle name="Normal 2 69 4" xfId="34597" xr:uid="{00000000-0005-0000-0000-0000C46D0000}"/>
    <cellStyle name="Normal 2 7" xfId="2629" xr:uid="{00000000-0005-0000-0000-0000C56D0000}"/>
    <cellStyle name="Normal 2 7 2" xfId="7463" xr:uid="{00000000-0005-0000-0000-0000C66D0000}"/>
    <cellStyle name="Normal 2 7 2 2" xfId="14252" xr:uid="{00000000-0005-0000-0000-0000C76D0000}"/>
    <cellStyle name="Normal 2 7 2 2 2" xfId="27820" xr:uid="{00000000-0005-0000-0000-0000C86D0000}"/>
    <cellStyle name="Normal 2 7 2 2 2 2" xfId="54953" xr:uid="{00000000-0005-0000-0000-0000C96D0000}"/>
    <cellStyle name="Normal 2 7 2 2 3" xfId="41391" xr:uid="{00000000-0005-0000-0000-0000CA6D0000}"/>
    <cellStyle name="Normal 2 7 2 3" xfId="21039" xr:uid="{00000000-0005-0000-0000-0000CB6D0000}"/>
    <cellStyle name="Normal 2 7 2 3 2" xfId="48172" xr:uid="{00000000-0005-0000-0000-0000CC6D0000}"/>
    <cellStyle name="Normal 2 7 2 4" xfId="34610" xr:uid="{00000000-0005-0000-0000-0000CD6D0000}"/>
    <cellStyle name="Normal 2 7 3" xfId="10863" xr:uid="{00000000-0005-0000-0000-0000CE6D0000}"/>
    <cellStyle name="Normal 2 7 3 2" xfId="24431" xr:uid="{00000000-0005-0000-0000-0000CF6D0000}"/>
    <cellStyle name="Normal 2 7 3 2 2" xfId="51564" xr:uid="{00000000-0005-0000-0000-0000D06D0000}"/>
    <cellStyle name="Normal 2 7 3 3" xfId="38002" xr:uid="{00000000-0005-0000-0000-0000D16D0000}"/>
    <cellStyle name="Normal 2 7 4" xfId="17650" xr:uid="{00000000-0005-0000-0000-0000D26D0000}"/>
    <cellStyle name="Normal 2 7 4 2" xfId="44783" xr:uid="{00000000-0005-0000-0000-0000D36D0000}"/>
    <cellStyle name="Normal 2 7 5" xfId="31221" xr:uid="{00000000-0005-0000-0000-0000D46D0000}"/>
    <cellStyle name="Normal 2 70" xfId="10849" xr:uid="{00000000-0005-0000-0000-0000D56D0000}"/>
    <cellStyle name="Normal 2 70 2" xfId="24418" xr:uid="{00000000-0005-0000-0000-0000D66D0000}"/>
    <cellStyle name="Normal 2 70 2 2" xfId="51551" xr:uid="{00000000-0005-0000-0000-0000D76D0000}"/>
    <cellStyle name="Normal 2 70 3" xfId="37989" xr:uid="{00000000-0005-0000-0000-0000D86D0000}"/>
    <cellStyle name="Normal 2 71" xfId="17633" xr:uid="{00000000-0005-0000-0000-0000D96D0000}"/>
    <cellStyle name="Normal 2 71 2" xfId="44770" xr:uid="{00000000-0005-0000-0000-0000DA6D0000}"/>
    <cellStyle name="Normal 2 72" xfId="31207" xr:uid="{00000000-0005-0000-0000-0000DB6D0000}"/>
    <cellStyle name="Normal 2 73" xfId="58336" xr:uid="{00000000-0005-0000-0000-0000DC6D0000}"/>
    <cellStyle name="Normal 2 74" xfId="58" xr:uid="{00000000-0005-0000-0000-0000DD6D0000}"/>
    <cellStyle name="Normal 2 75" xfId="58375" xr:uid="{655B950E-BE2F-4409-8C37-590371969FA5}"/>
    <cellStyle name="Normal 2 8" xfId="2630" xr:uid="{00000000-0005-0000-0000-0000DE6D0000}"/>
    <cellStyle name="Normal 2 9" xfId="4" xr:uid="{00000000-0005-0000-0000-0000DF6D0000}"/>
    <cellStyle name="Normal 2 9 2" xfId="58358" xr:uid="{00000000-0005-0000-0000-0000E06D0000}"/>
    <cellStyle name="Normal 2 9 3" xfId="2631" xr:uid="{00000000-0005-0000-0000-0000E16D0000}"/>
    <cellStyle name="Normal 2_01_METRADO_IBF(1)" xfId="61" xr:uid="{00000000-0005-0000-0000-0000E26D0000}"/>
    <cellStyle name="Normal 20" xfId="2632" xr:uid="{00000000-0005-0000-0000-0000E36D0000}"/>
    <cellStyle name="Normal 20 2" xfId="2633" xr:uid="{00000000-0005-0000-0000-0000E46D0000}"/>
    <cellStyle name="Normal 21" xfId="2634" xr:uid="{00000000-0005-0000-0000-0000E56D0000}"/>
    <cellStyle name="Normal 21 2" xfId="2635" xr:uid="{00000000-0005-0000-0000-0000E66D0000}"/>
    <cellStyle name="Normal 22" xfId="2636" xr:uid="{00000000-0005-0000-0000-0000E76D0000}"/>
    <cellStyle name="Normal 22 2" xfId="2637" xr:uid="{00000000-0005-0000-0000-0000E86D0000}"/>
    <cellStyle name="Normal 23" xfId="2638" xr:uid="{00000000-0005-0000-0000-0000E96D0000}"/>
    <cellStyle name="Normal 23 2" xfId="2639" xr:uid="{00000000-0005-0000-0000-0000EA6D0000}"/>
    <cellStyle name="Normal 24" xfId="2640" xr:uid="{00000000-0005-0000-0000-0000EB6D0000}"/>
    <cellStyle name="Normal 24 2" xfId="2641" xr:uid="{00000000-0005-0000-0000-0000EC6D0000}"/>
    <cellStyle name="Normal 25" xfId="12" xr:uid="{00000000-0005-0000-0000-0000ED6D0000}"/>
    <cellStyle name="Normal 25 2" xfId="2643" xr:uid="{00000000-0005-0000-0000-0000EE6D0000}"/>
    <cellStyle name="Normal 25 3" xfId="2642" xr:uid="{00000000-0005-0000-0000-0000EF6D0000}"/>
    <cellStyle name="Normal 25 6" xfId="58378" xr:uid="{0AFAB107-6464-44E4-9056-41D8B1E9950E}"/>
    <cellStyle name="Normal 26" xfId="2644" xr:uid="{00000000-0005-0000-0000-0000F06D0000}"/>
    <cellStyle name="Normal 26 2" xfId="2645" xr:uid="{00000000-0005-0000-0000-0000F16D0000}"/>
    <cellStyle name="Normal 27" xfId="2646" xr:uid="{00000000-0005-0000-0000-0000F26D0000}"/>
    <cellStyle name="Normal 27 2" xfId="2647" xr:uid="{00000000-0005-0000-0000-0000F36D0000}"/>
    <cellStyle name="Normal 28" xfId="2648" xr:uid="{00000000-0005-0000-0000-0000F46D0000}"/>
    <cellStyle name="Normal 28 2" xfId="2649" xr:uid="{00000000-0005-0000-0000-0000F56D0000}"/>
    <cellStyle name="Normal 28 2 2" xfId="5528" xr:uid="{00000000-0005-0000-0000-0000F66D0000}"/>
    <cellStyle name="Normal 28 2 2 2" xfId="5529" xr:uid="{00000000-0005-0000-0000-0000F76D0000}"/>
    <cellStyle name="Normal 28 2 2 2 2" xfId="5530" xr:uid="{00000000-0005-0000-0000-0000F86D0000}"/>
    <cellStyle name="Normal 28 2 2 2 2 2" xfId="9076" xr:uid="{00000000-0005-0000-0000-0000F96D0000}"/>
    <cellStyle name="Normal 28 2 2 2 2 2 2" xfId="15865" xr:uid="{00000000-0005-0000-0000-0000FA6D0000}"/>
    <cellStyle name="Normal 28 2 2 2 2 2 2 2" xfId="29433" xr:uid="{00000000-0005-0000-0000-0000FB6D0000}"/>
    <cellStyle name="Normal 28 2 2 2 2 2 2 2 2" xfId="56566" xr:uid="{00000000-0005-0000-0000-0000FC6D0000}"/>
    <cellStyle name="Normal 28 2 2 2 2 2 2 3" xfId="43004" xr:uid="{00000000-0005-0000-0000-0000FD6D0000}"/>
    <cellStyle name="Normal 28 2 2 2 2 2 3" xfId="22652" xr:uid="{00000000-0005-0000-0000-0000FE6D0000}"/>
    <cellStyle name="Normal 28 2 2 2 2 2 3 2" xfId="49785" xr:uid="{00000000-0005-0000-0000-0000FF6D0000}"/>
    <cellStyle name="Normal 28 2 2 2 2 2 4" xfId="36223" xr:uid="{00000000-0005-0000-0000-0000006E0000}"/>
    <cellStyle name="Normal 28 2 2 2 2 3" xfId="12476" xr:uid="{00000000-0005-0000-0000-0000016E0000}"/>
    <cellStyle name="Normal 28 2 2 2 2 3 2" xfId="26044" xr:uid="{00000000-0005-0000-0000-0000026E0000}"/>
    <cellStyle name="Normal 28 2 2 2 2 3 2 2" xfId="53177" xr:uid="{00000000-0005-0000-0000-0000036E0000}"/>
    <cellStyle name="Normal 28 2 2 2 2 3 3" xfId="39615" xr:uid="{00000000-0005-0000-0000-0000046E0000}"/>
    <cellStyle name="Normal 28 2 2 2 2 4" xfId="19263" xr:uid="{00000000-0005-0000-0000-0000056E0000}"/>
    <cellStyle name="Normal 28 2 2 2 2 4 2" xfId="46396" xr:uid="{00000000-0005-0000-0000-0000066E0000}"/>
    <cellStyle name="Normal 28 2 2 2 2 5" xfId="32834" xr:uid="{00000000-0005-0000-0000-0000076E0000}"/>
    <cellStyle name="Normal 28 2 2 2 3" xfId="5531" xr:uid="{00000000-0005-0000-0000-0000086E0000}"/>
    <cellStyle name="Normal 28 2 2 2 3 2" xfId="9077" xr:uid="{00000000-0005-0000-0000-0000096E0000}"/>
    <cellStyle name="Normal 28 2 2 2 3 2 2" xfId="15866" xr:uid="{00000000-0005-0000-0000-00000A6E0000}"/>
    <cellStyle name="Normal 28 2 2 2 3 2 2 2" xfId="29434" xr:uid="{00000000-0005-0000-0000-00000B6E0000}"/>
    <cellStyle name="Normal 28 2 2 2 3 2 2 2 2" xfId="56567" xr:uid="{00000000-0005-0000-0000-00000C6E0000}"/>
    <cellStyle name="Normal 28 2 2 2 3 2 2 3" xfId="43005" xr:uid="{00000000-0005-0000-0000-00000D6E0000}"/>
    <cellStyle name="Normal 28 2 2 2 3 2 3" xfId="22653" xr:uid="{00000000-0005-0000-0000-00000E6E0000}"/>
    <cellStyle name="Normal 28 2 2 2 3 2 3 2" xfId="49786" xr:uid="{00000000-0005-0000-0000-00000F6E0000}"/>
    <cellStyle name="Normal 28 2 2 2 3 2 4" xfId="36224" xr:uid="{00000000-0005-0000-0000-0000106E0000}"/>
    <cellStyle name="Normal 28 2 2 2 3 3" xfId="12477" xr:uid="{00000000-0005-0000-0000-0000116E0000}"/>
    <cellStyle name="Normal 28 2 2 2 3 3 2" xfId="26045" xr:uid="{00000000-0005-0000-0000-0000126E0000}"/>
    <cellStyle name="Normal 28 2 2 2 3 3 2 2" xfId="53178" xr:uid="{00000000-0005-0000-0000-0000136E0000}"/>
    <cellStyle name="Normal 28 2 2 2 3 3 3" xfId="39616" xr:uid="{00000000-0005-0000-0000-0000146E0000}"/>
    <cellStyle name="Normal 28 2 2 2 3 4" xfId="19264" xr:uid="{00000000-0005-0000-0000-0000156E0000}"/>
    <cellStyle name="Normal 28 2 2 2 3 4 2" xfId="46397" xr:uid="{00000000-0005-0000-0000-0000166E0000}"/>
    <cellStyle name="Normal 28 2 2 2 3 5" xfId="32835" xr:uid="{00000000-0005-0000-0000-0000176E0000}"/>
    <cellStyle name="Normal 28 2 2 2 4" xfId="9075" xr:uid="{00000000-0005-0000-0000-0000186E0000}"/>
    <cellStyle name="Normal 28 2 2 2 4 2" xfId="15864" xr:uid="{00000000-0005-0000-0000-0000196E0000}"/>
    <cellStyle name="Normal 28 2 2 2 4 2 2" xfId="29432" xr:uid="{00000000-0005-0000-0000-00001A6E0000}"/>
    <cellStyle name="Normal 28 2 2 2 4 2 2 2" xfId="56565" xr:uid="{00000000-0005-0000-0000-00001B6E0000}"/>
    <cellStyle name="Normal 28 2 2 2 4 2 3" xfId="43003" xr:uid="{00000000-0005-0000-0000-00001C6E0000}"/>
    <cellStyle name="Normal 28 2 2 2 4 3" xfId="22651" xr:uid="{00000000-0005-0000-0000-00001D6E0000}"/>
    <cellStyle name="Normal 28 2 2 2 4 3 2" xfId="49784" xr:uid="{00000000-0005-0000-0000-00001E6E0000}"/>
    <cellStyle name="Normal 28 2 2 2 4 4" xfId="36222" xr:uid="{00000000-0005-0000-0000-00001F6E0000}"/>
    <cellStyle name="Normal 28 2 2 2 5" xfId="12475" xr:uid="{00000000-0005-0000-0000-0000206E0000}"/>
    <cellStyle name="Normal 28 2 2 2 5 2" xfId="26043" xr:uid="{00000000-0005-0000-0000-0000216E0000}"/>
    <cellStyle name="Normal 28 2 2 2 5 2 2" xfId="53176" xr:uid="{00000000-0005-0000-0000-0000226E0000}"/>
    <cellStyle name="Normal 28 2 2 2 5 3" xfId="39614" xr:uid="{00000000-0005-0000-0000-0000236E0000}"/>
    <cellStyle name="Normal 28 2 2 2 6" xfId="19262" xr:uid="{00000000-0005-0000-0000-0000246E0000}"/>
    <cellStyle name="Normal 28 2 2 2 6 2" xfId="46395" xr:uid="{00000000-0005-0000-0000-0000256E0000}"/>
    <cellStyle name="Normal 28 2 2 2 7" xfId="32833" xr:uid="{00000000-0005-0000-0000-0000266E0000}"/>
    <cellStyle name="Normal 28 2 2 3" xfId="5532" xr:uid="{00000000-0005-0000-0000-0000276E0000}"/>
    <cellStyle name="Normal 28 2 2 3 2" xfId="5533" xr:uid="{00000000-0005-0000-0000-0000286E0000}"/>
    <cellStyle name="Normal 28 2 2 3 2 2" xfId="9079" xr:uid="{00000000-0005-0000-0000-0000296E0000}"/>
    <cellStyle name="Normal 28 2 2 3 2 2 2" xfId="15868" xr:uid="{00000000-0005-0000-0000-00002A6E0000}"/>
    <cellStyle name="Normal 28 2 2 3 2 2 2 2" xfId="29436" xr:uid="{00000000-0005-0000-0000-00002B6E0000}"/>
    <cellStyle name="Normal 28 2 2 3 2 2 2 2 2" xfId="56569" xr:uid="{00000000-0005-0000-0000-00002C6E0000}"/>
    <cellStyle name="Normal 28 2 2 3 2 2 2 3" xfId="43007" xr:uid="{00000000-0005-0000-0000-00002D6E0000}"/>
    <cellStyle name="Normal 28 2 2 3 2 2 3" xfId="22655" xr:uid="{00000000-0005-0000-0000-00002E6E0000}"/>
    <cellStyle name="Normal 28 2 2 3 2 2 3 2" xfId="49788" xr:uid="{00000000-0005-0000-0000-00002F6E0000}"/>
    <cellStyle name="Normal 28 2 2 3 2 2 4" xfId="36226" xr:uid="{00000000-0005-0000-0000-0000306E0000}"/>
    <cellStyle name="Normal 28 2 2 3 2 3" xfId="12479" xr:uid="{00000000-0005-0000-0000-0000316E0000}"/>
    <cellStyle name="Normal 28 2 2 3 2 3 2" xfId="26047" xr:uid="{00000000-0005-0000-0000-0000326E0000}"/>
    <cellStyle name="Normal 28 2 2 3 2 3 2 2" xfId="53180" xr:uid="{00000000-0005-0000-0000-0000336E0000}"/>
    <cellStyle name="Normal 28 2 2 3 2 3 3" xfId="39618" xr:uid="{00000000-0005-0000-0000-0000346E0000}"/>
    <cellStyle name="Normal 28 2 2 3 2 4" xfId="19266" xr:uid="{00000000-0005-0000-0000-0000356E0000}"/>
    <cellStyle name="Normal 28 2 2 3 2 4 2" xfId="46399" xr:uid="{00000000-0005-0000-0000-0000366E0000}"/>
    <cellStyle name="Normal 28 2 2 3 2 5" xfId="32837" xr:uid="{00000000-0005-0000-0000-0000376E0000}"/>
    <cellStyle name="Normal 28 2 2 3 3" xfId="9078" xr:uid="{00000000-0005-0000-0000-0000386E0000}"/>
    <cellStyle name="Normal 28 2 2 3 3 2" xfId="15867" xr:uid="{00000000-0005-0000-0000-0000396E0000}"/>
    <cellStyle name="Normal 28 2 2 3 3 2 2" xfId="29435" xr:uid="{00000000-0005-0000-0000-00003A6E0000}"/>
    <cellStyle name="Normal 28 2 2 3 3 2 2 2" xfId="56568" xr:uid="{00000000-0005-0000-0000-00003B6E0000}"/>
    <cellStyle name="Normal 28 2 2 3 3 2 3" xfId="43006" xr:uid="{00000000-0005-0000-0000-00003C6E0000}"/>
    <cellStyle name="Normal 28 2 2 3 3 3" xfId="22654" xr:uid="{00000000-0005-0000-0000-00003D6E0000}"/>
    <cellStyle name="Normal 28 2 2 3 3 3 2" xfId="49787" xr:uid="{00000000-0005-0000-0000-00003E6E0000}"/>
    <cellStyle name="Normal 28 2 2 3 3 4" xfId="36225" xr:uid="{00000000-0005-0000-0000-00003F6E0000}"/>
    <cellStyle name="Normal 28 2 2 3 4" xfId="12478" xr:uid="{00000000-0005-0000-0000-0000406E0000}"/>
    <cellStyle name="Normal 28 2 2 3 4 2" xfId="26046" xr:uid="{00000000-0005-0000-0000-0000416E0000}"/>
    <cellStyle name="Normal 28 2 2 3 4 2 2" xfId="53179" xr:uid="{00000000-0005-0000-0000-0000426E0000}"/>
    <cellStyle name="Normal 28 2 2 3 4 3" xfId="39617" xr:uid="{00000000-0005-0000-0000-0000436E0000}"/>
    <cellStyle name="Normal 28 2 2 3 5" xfId="19265" xr:uid="{00000000-0005-0000-0000-0000446E0000}"/>
    <cellStyle name="Normal 28 2 2 3 5 2" xfId="46398" xr:uid="{00000000-0005-0000-0000-0000456E0000}"/>
    <cellStyle name="Normal 28 2 2 3 6" xfId="32836" xr:uid="{00000000-0005-0000-0000-0000466E0000}"/>
    <cellStyle name="Normal 28 2 2 4" xfId="5534" xr:uid="{00000000-0005-0000-0000-0000476E0000}"/>
    <cellStyle name="Normal 28 2 2 4 2" xfId="9080" xr:uid="{00000000-0005-0000-0000-0000486E0000}"/>
    <cellStyle name="Normal 28 2 2 4 2 2" xfId="15869" xr:uid="{00000000-0005-0000-0000-0000496E0000}"/>
    <cellStyle name="Normal 28 2 2 4 2 2 2" xfId="29437" xr:uid="{00000000-0005-0000-0000-00004A6E0000}"/>
    <cellStyle name="Normal 28 2 2 4 2 2 2 2" xfId="56570" xr:uid="{00000000-0005-0000-0000-00004B6E0000}"/>
    <cellStyle name="Normal 28 2 2 4 2 2 3" xfId="43008" xr:uid="{00000000-0005-0000-0000-00004C6E0000}"/>
    <cellStyle name="Normal 28 2 2 4 2 3" xfId="22656" xr:uid="{00000000-0005-0000-0000-00004D6E0000}"/>
    <cellStyle name="Normal 28 2 2 4 2 3 2" xfId="49789" xr:uid="{00000000-0005-0000-0000-00004E6E0000}"/>
    <cellStyle name="Normal 28 2 2 4 2 4" xfId="36227" xr:uid="{00000000-0005-0000-0000-00004F6E0000}"/>
    <cellStyle name="Normal 28 2 2 4 3" xfId="12480" xr:uid="{00000000-0005-0000-0000-0000506E0000}"/>
    <cellStyle name="Normal 28 2 2 4 3 2" xfId="26048" xr:uid="{00000000-0005-0000-0000-0000516E0000}"/>
    <cellStyle name="Normal 28 2 2 4 3 2 2" xfId="53181" xr:uid="{00000000-0005-0000-0000-0000526E0000}"/>
    <cellStyle name="Normal 28 2 2 4 3 3" xfId="39619" xr:uid="{00000000-0005-0000-0000-0000536E0000}"/>
    <cellStyle name="Normal 28 2 2 4 4" xfId="19267" xr:uid="{00000000-0005-0000-0000-0000546E0000}"/>
    <cellStyle name="Normal 28 2 2 4 4 2" xfId="46400" xr:uid="{00000000-0005-0000-0000-0000556E0000}"/>
    <cellStyle name="Normal 28 2 2 4 5" xfId="32838" xr:uid="{00000000-0005-0000-0000-0000566E0000}"/>
    <cellStyle name="Normal 28 2 2 5" xfId="5535" xr:uid="{00000000-0005-0000-0000-0000576E0000}"/>
    <cellStyle name="Normal 28 2 2 5 2" xfId="9081" xr:uid="{00000000-0005-0000-0000-0000586E0000}"/>
    <cellStyle name="Normal 28 2 2 5 2 2" xfId="15870" xr:uid="{00000000-0005-0000-0000-0000596E0000}"/>
    <cellStyle name="Normal 28 2 2 5 2 2 2" xfId="29438" xr:uid="{00000000-0005-0000-0000-00005A6E0000}"/>
    <cellStyle name="Normal 28 2 2 5 2 2 2 2" xfId="56571" xr:uid="{00000000-0005-0000-0000-00005B6E0000}"/>
    <cellStyle name="Normal 28 2 2 5 2 2 3" xfId="43009" xr:uid="{00000000-0005-0000-0000-00005C6E0000}"/>
    <cellStyle name="Normal 28 2 2 5 2 3" xfId="22657" xr:uid="{00000000-0005-0000-0000-00005D6E0000}"/>
    <cellStyle name="Normal 28 2 2 5 2 3 2" xfId="49790" xr:uid="{00000000-0005-0000-0000-00005E6E0000}"/>
    <cellStyle name="Normal 28 2 2 5 2 4" xfId="36228" xr:uid="{00000000-0005-0000-0000-00005F6E0000}"/>
    <cellStyle name="Normal 28 2 2 5 3" xfId="12481" xr:uid="{00000000-0005-0000-0000-0000606E0000}"/>
    <cellStyle name="Normal 28 2 2 5 3 2" xfId="26049" xr:uid="{00000000-0005-0000-0000-0000616E0000}"/>
    <cellStyle name="Normal 28 2 2 5 3 2 2" xfId="53182" xr:uid="{00000000-0005-0000-0000-0000626E0000}"/>
    <cellStyle name="Normal 28 2 2 5 3 3" xfId="39620" xr:uid="{00000000-0005-0000-0000-0000636E0000}"/>
    <cellStyle name="Normal 28 2 2 5 4" xfId="19268" xr:uid="{00000000-0005-0000-0000-0000646E0000}"/>
    <cellStyle name="Normal 28 2 2 5 4 2" xfId="46401" xr:uid="{00000000-0005-0000-0000-0000656E0000}"/>
    <cellStyle name="Normal 28 2 2 5 5" xfId="32839" xr:uid="{00000000-0005-0000-0000-0000666E0000}"/>
    <cellStyle name="Normal 28 2 2 6" xfId="9074" xr:uid="{00000000-0005-0000-0000-0000676E0000}"/>
    <cellStyle name="Normal 28 2 2 6 2" xfId="15863" xr:uid="{00000000-0005-0000-0000-0000686E0000}"/>
    <cellStyle name="Normal 28 2 2 6 2 2" xfId="29431" xr:uid="{00000000-0005-0000-0000-0000696E0000}"/>
    <cellStyle name="Normal 28 2 2 6 2 2 2" xfId="56564" xr:uid="{00000000-0005-0000-0000-00006A6E0000}"/>
    <cellStyle name="Normal 28 2 2 6 2 3" xfId="43002" xr:uid="{00000000-0005-0000-0000-00006B6E0000}"/>
    <cellStyle name="Normal 28 2 2 6 3" xfId="22650" xr:uid="{00000000-0005-0000-0000-00006C6E0000}"/>
    <cellStyle name="Normal 28 2 2 6 3 2" xfId="49783" xr:uid="{00000000-0005-0000-0000-00006D6E0000}"/>
    <cellStyle name="Normal 28 2 2 6 4" xfId="36221" xr:uid="{00000000-0005-0000-0000-00006E6E0000}"/>
    <cellStyle name="Normal 28 2 2 7" xfId="12474" xr:uid="{00000000-0005-0000-0000-00006F6E0000}"/>
    <cellStyle name="Normal 28 2 2 7 2" xfId="26042" xr:uid="{00000000-0005-0000-0000-0000706E0000}"/>
    <cellStyle name="Normal 28 2 2 7 2 2" xfId="53175" xr:uid="{00000000-0005-0000-0000-0000716E0000}"/>
    <cellStyle name="Normal 28 2 2 7 3" xfId="39613" xr:uid="{00000000-0005-0000-0000-0000726E0000}"/>
    <cellStyle name="Normal 28 2 2 8" xfId="19261" xr:uid="{00000000-0005-0000-0000-0000736E0000}"/>
    <cellStyle name="Normal 28 2 2 8 2" xfId="46394" xr:uid="{00000000-0005-0000-0000-0000746E0000}"/>
    <cellStyle name="Normal 28 2 2 9" xfId="32832" xr:uid="{00000000-0005-0000-0000-0000756E0000}"/>
    <cellStyle name="Normal 28 2 3" xfId="5536" xr:uid="{00000000-0005-0000-0000-0000766E0000}"/>
    <cellStyle name="Normal 28 2 3 2" xfId="5537" xr:uid="{00000000-0005-0000-0000-0000776E0000}"/>
    <cellStyle name="Normal 28 2 3 2 2" xfId="9083" xr:uid="{00000000-0005-0000-0000-0000786E0000}"/>
    <cellStyle name="Normal 28 2 3 2 2 2" xfId="15872" xr:uid="{00000000-0005-0000-0000-0000796E0000}"/>
    <cellStyle name="Normal 28 2 3 2 2 2 2" xfId="29440" xr:uid="{00000000-0005-0000-0000-00007A6E0000}"/>
    <cellStyle name="Normal 28 2 3 2 2 2 2 2" xfId="56573" xr:uid="{00000000-0005-0000-0000-00007B6E0000}"/>
    <cellStyle name="Normal 28 2 3 2 2 2 3" xfId="43011" xr:uid="{00000000-0005-0000-0000-00007C6E0000}"/>
    <cellStyle name="Normal 28 2 3 2 2 3" xfId="22659" xr:uid="{00000000-0005-0000-0000-00007D6E0000}"/>
    <cellStyle name="Normal 28 2 3 2 2 3 2" xfId="49792" xr:uid="{00000000-0005-0000-0000-00007E6E0000}"/>
    <cellStyle name="Normal 28 2 3 2 2 4" xfId="36230" xr:uid="{00000000-0005-0000-0000-00007F6E0000}"/>
    <cellStyle name="Normal 28 2 3 2 3" xfId="12483" xr:uid="{00000000-0005-0000-0000-0000806E0000}"/>
    <cellStyle name="Normal 28 2 3 2 3 2" xfId="26051" xr:uid="{00000000-0005-0000-0000-0000816E0000}"/>
    <cellStyle name="Normal 28 2 3 2 3 2 2" xfId="53184" xr:uid="{00000000-0005-0000-0000-0000826E0000}"/>
    <cellStyle name="Normal 28 2 3 2 3 3" xfId="39622" xr:uid="{00000000-0005-0000-0000-0000836E0000}"/>
    <cellStyle name="Normal 28 2 3 2 4" xfId="19270" xr:uid="{00000000-0005-0000-0000-0000846E0000}"/>
    <cellStyle name="Normal 28 2 3 2 4 2" xfId="46403" xr:uid="{00000000-0005-0000-0000-0000856E0000}"/>
    <cellStyle name="Normal 28 2 3 2 5" xfId="32841" xr:uid="{00000000-0005-0000-0000-0000866E0000}"/>
    <cellStyle name="Normal 28 2 3 3" xfId="5538" xr:uid="{00000000-0005-0000-0000-0000876E0000}"/>
    <cellStyle name="Normal 28 2 3 3 2" xfId="9084" xr:uid="{00000000-0005-0000-0000-0000886E0000}"/>
    <cellStyle name="Normal 28 2 3 3 2 2" xfId="15873" xr:uid="{00000000-0005-0000-0000-0000896E0000}"/>
    <cellStyle name="Normal 28 2 3 3 2 2 2" xfId="29441" xr:uid="{00000000-0005-0000-0000-00008A6E0000}"/>
    <cellStyle name="Normal 28 2 3 3 2 2 2 2" xfId="56574" xr:uid="{00000000-0005-0000-0000-00008B6E0000}"/>
    <cellStyle name="Normal 28 2 3 3 2 2 3" xfId="43012" xr:uid="{00000000-0005-0000-0000-00008C6E0000}"/>
    <cellStyle name="Normal 28 2 3 3 2 3" xfId="22660" xr:uid="{00000000-0005-0000-0000-00008D6E0000}"/>
    <cellStyle name="Normal 28 2 3 3 2 3 2" xfId="49793" xr:uid="{00000000-0005-0000-0000-00008E6E0000}"/>
    <cellStyle name="Normal 28 2 3 3 2 4" xfId="36231" xr:uid="{00000000-0005-0000-0000-00008F6E0000}"/>
    <cellStyle name="Normal 28 2 3 3 3" xfId="12484" xr:uid="{00000000-0005-0000-0000-0000906E0000}"/>
    <cellStyle name="Normal 28 2 3 3 3 2" xfId="26052" xr:uid="{00000000-0005-0000-0000-0000916E0000}"/>
    <cellStyle name="Normal 28 2 3 3 3 2 2" xfId="53185" xr:uid="{00000000-0005-0000-0000-0000926E0000}"/>
    <cellStyle name="Normal 28 2 3 3 3 3" xfId="39623" xr:uid="{00000000-0005-0000-0000-0000936E0000}"/>
    <cellStyle name="Normal 28 2 3 3 4" xfId="19271" xr:uid="{00000000-0005-0000-0000-0000946E0000}"/>
    <cellStyle name="Normal 28 2 3 3 4 2" xfId="46404" xr:uid="{00000000-0005-0000-0000-0000956E0000}"/>
    <cellStyle name="Normal 28 2 3 3 5" xfId="32842" xr:uid="{00000000-0005-0000-0000-0000966E0000}"/>
    <cellStyle name="Normal 28 2 3 4" xfId="9082" xr:uid="{00000000-0005-0000-0000-0000976E0000}"/>
    <cellStyle name="Normal 28 2 3 4 2" xfId="15871" xr:uid="{00000000-0005-0000-0000-0000986E0000}"/>
    <cellStyle name="Normal 28 2 3 4 2 2" xfId="29439" xr:uid="{00000000-0005-0000-0000-0000996E0000}"/>
    <cellStyle name="Normal 28 2 3 4 2 2 2" xfId="56572" xr:uid="{00000000-0005-0000-0000-00009A6E0000}"/>
    <cellStyle name="Normal 28 2 3 4 2 3" xfId="43010" xr:uid="{00000000-0005-0000-0000-00009B6E0000}"/>
    <cellStyle name="Normal 28 2 3 4 3" xfId="22658" xr:uid="{00000000-0005-0000-0000-00009C6E0000}"/>
    <cellStyle name="Normal 28 2 3 4 3 2" xfId="49791" xr:uid="{00000000-0005-0000-0000-00009D6E0000}"/>
    <cellStyle name="Normal 28 2 3 4 4" xfId="36229" xr:uid="{00000000-0005-0000-0000-00009E6E0000}"/>
    <cellStyle name="Normal 28 2 3 5" xfId="12482" xr:uid="{00000000-0005-0000-0000-00009F6E0000}"/>
    <cellStyle name="Normal 28 2 3 5 2" xfId="26050" xr:uid="{00000000-0005-0000-0000-0000A06E0000}"/>
    <cellStyle name="Normal 28 2 3 5 2 2" xfId="53183" xr:uid="{00000000-0005-0000-0000-0000A16E0000}"/>
    <cellStyle name="Normal 28 2 3 5 3" xfId="39621" xr:uid="{00000000-0005-0000-0000-0000A26E0000}"/>
    <cellStyle name="Normal 28 2 3 6" xfId="19269" xr:uid="{00000000-0005-0000-0000-0000A36E0000}"/>
    <cellStyle name="Normal 28 2 3 6 2" xfId="46402" xr:uid="{00000000-0005-0000-0000-0000A46E0000}"/>
    <cellStyle name="Normal 28 2 3 7" xfId="32840" xr:uid="{00000000-0005-0000-0000-0000A56E0000}"/>
    <cellStyle name="Normal 28 2 4" xfId="5539" xr:uid="{00000000-0005-0000-0000-0000A66E0000}"/>
    <cellStyle name="Normal 28 2 4 2" xfId="5540" xr:uid="{00000000-0005-0000-0000-0000A76E0000}"/>
    <cellStyle name="Normal 28 2 4 2 2" xfId="9086" xr:uid="{00000000-0005-0000-0000-0000A86E0000}"/>
    <cellStyle name="Normal 28 2 4 2 2 2" xfId="15875" xr:uid="{00000000-0005-0000-0000-0000A96E0000}"/>
    <cellStyle name="Normal 28 2 4 2 2 2 2" xfId="29443" xr:uid="{00000000-0005-0000-0000-0000AA6E0000}"/>
    <cellStyle name="Normal 28 2 4 2 2 2 2 2" xfId="56576" xr:uid="{00000000-0005-0000-0000-0000AB6E0000}"/>
    <cellStyle name="Normal 28 2 4 2 2 2 3" xfId="43014" xr:uid="{00000000-0005-0000-0000-0000AC6E0000}"/>
    <cellStyle name="Normal 28 2 4 2 2 3" xfId="22662" xr:uid="{00000000-0005-0000-0000-0000AD6E0000}"/>
    <cellStyle name="Normal 28 2 4 2 2 3 2" xfId="49795" xr:uid="{00000000-0005-0000-0000-0000AE6E0000}"/>
    <cellStyle name="Normal 28 2 4 2 2 4" xfId="36233" xr:uid="{00000000-0005-0000-0000-0000AF6E0000}"/>
    <cellStyle name="Normal 28 2 4 2 3" xfId="12486" xr:uid="{00000000-0005-0000-0000-0000B06E0000}"/>
    <cellStyle name="Normal 28 2 4 2 3 2" xfId="26054" xr:uid="{00000000-0005-0000-0000-0000B16E0000}"/>
    <cellStyle name="Normal 28 2 4 2 3 2 2" xfId="53187" xr:uid="{00000000-0005-0000-0000-0000B26E0000}"/>
    <cellStyle name="Normal 28 2 4 2 3 3" xfId="39625" xr:uid="{00000000-0005-0000-0000-0000B36E0000}"/>
    <cellStyle name="Normal 28 2 4 2 4" xfId="19273" xr:uid="{00000000-0005-0000-0000-0000B46E0000}"/>
    <cellStyle name="Normal 28 2 4 2 4 2" xfId="46406" xr:uid="{00000000-0005-0000-0000-0000B56E0000}"/>
    <cellStyle name="Normal 28 2 4 2 5" xfId="32844" xr:uid="{00000000-0005-0000-0000-0000B66E0000}"/>
    <cellStyle name="Normal 28 2 4 3" xfId="9085" xr:uid="{00000000-0005-0000-0000-0000B76E0000}"/>
    <cellStyle name="Normal 28 2 4 3 2" xfId="15874" xr:uid="{00000000-0005-0000-0000-0000B86E0000}"/>
    <cellStyle name="Normal 28 2 4 3 2 2" xfId="29442" xr:uid="{00000000-0005-0000-0000-0000B96E0000}"/>
    <cellStyle name="Normal 28 2 4 3 2 2 2" xfId="56575" xr:uid="{00000000-0005-0000-0000-0000BA6E0000}"/>
    <cellStyle name="Normal 28 2 4 3 2 3" xfId="43013" xr:uid="{00000000-0005-0000-0000-0000BB6E0000}"/>
    <cellStyle name="Normal 28 2 4 3 3" xfId="22661" xr:uid="{00000000-0005-0000-0000-0000BC6E0000}"/>
    <cellStyle name="Normal 28 2 4 3 3 2" xfId="49794" xr:uid="{00000000-0005-0000-0000-0000BD6E0000}"/>
    <cellStyle name="Normal 28 2 4 3 4" xfId="36232" xr:uid="{00000000-0005-0000-0000-0000BE6E0000}"/>
    <cellStyle name="Normal 28 2 4 4" xfId="12485" xr:uid="{00000000-0005-0000-0000-0000BF6E0000}"/>
    <cellStyle name="Normal 28 2 4 4 2" xfId="26053" xr:uid="{00000000-0005-0000-0000-0000C06E0000}"/>
    <cellStyle name="Normal 28 2 4 4 2 2" xfId="53186" xr:uid="{00000000-0005-0000-0000-0000C16E0000}"/>
    <cellStyle name="Normal 28 2 4 4 3" xfId="39624" xr:uid="{00000000-0005-0000-0000-0000C26E0000}"/>
    <cellStyle name="Normal 28 2 4 5" xfId="19272" xr:uid="{00000000-0005-0000-0000-0000C36E0000}"/>
    <cellStyle name="Normal 28 2 4 5 2" xfId="46405" xr:uid="{00000000-0005-0000-0000-0000C46E0000}"/>
    <cellStyle name="Normal 28 2 4 6" xfId="32843" xr:uid="{00000000-0005-0000-0000-0000C56E0000}"/>
    <cellStyle name="Normal 28 2 5" xfId="5541" xr:uid="{00000000-0005-0000-0000-0000C66E0000}"/>
    <cellStyle name="Normal 28 2 5 2" xfId="9087" xr:uid="{00000000-0005-0000-0000-0000C76E0000}"/>
    <cellStyle name="Normal 28 2 5 2 2" xfId="15876" xr:uid="{00000000-0005-0000-0000-0000C86E0000}"/>
    <cellStyle name="Normal 28 2 5 2 2 2" xfId="29444" xr:uid="{00000000-0005-0000-0000-0000C96E0000}"/>
    <cellStyle name="Normal 28 2 5 2 2 2 2" xfId="56577" xr:uid="{00000000-0005-0000-0000-0000CA6E0000}"/>
    <cellStyle name="Normal 28 2 5 2 2 3" xfId="43015" xr:uid="{00000000-0005-0000-0000-0000CB6E0000}"/>
    <cellStyle name="Normal 28 2 5 2 3" xfId="22663" xr:uid="{00000000-0005-0000-0000-0000CC6E0000}"/>
    <cellStyle name="Normal 28 2 5 2 3 2" xfId="49796" xr:uid="{00000000-0005-0000-0000-0000CD6E0000}"/>
    <cellStyle name="Normal 28 2 5 2 4" xfId="36234" xr:uid="{00000000-0005-0000-0000-0000CE6E0000}"/>
    <cellStyle name="Normal 28 2 5 3" xfId="12487" xr:uid="{00000000-0005-0000-0000-0000CF6E0000}"/>
    <cellStyle name="Normal 28 2 5 3 2" xfId="26055" xr:uid="{00000000-0005-0000-0000-0000D06E0000}"/>
    <cellStyle name="Normal 28 2 5 3 2 2" xfId="53188" xr:uid="{00000000-0005-0000-0000-0000D16E0000}"/>
    <cellStyle name="Normal 28 2 5 3 3" xfId="39626" xr:uid="{00000000-0005-0000-0000-0000D26E0000}"/>
    <cellStyle name="Normal 28 2 5 4" xfId="19274" xr:uid="{00000000-0005-0000-0000-0000D36E0000}"/>
    <cellStyle name="Normal 28 2 5 4 2" xfId="46407" xr:uid="{00000000-0005-0000-0000-0000D46E0000}"/>
    <cellStyle name="Normal 28 2 5 5" xfId="32845" xr:uid="{00000000-0005-0000-0000-0000D56E0000}"/>
    <cellStyle name="Normal 28 2 6" xfId="5542" xr:uid="{00000000-0005-0000-0000-0000D66E0000}"/>
    <cellStyle name="Normal 28 2 6 2" xfId="9088" xr:uid="{00000000-0005-0000-0000-0000D76E0000}"/>
    <cellStyle name="Normal 28 2 6 2 2" xfId="15877" xr:uid="{00000000-0005-0000-0000-0000D86E0000}"/>
    <cellStyle name="Normal 28 2 6 2 2 2" xfId="29445" xr:uid="{00000000-0005-0000-0000-0000D96E0000}"/>
    <cellStyle name="Normal 28 2 6 2 2 2 2" xfId="56578" xr:uid="{00000000-0005-0000-0000-0000DA6E0000}"/>
    <cellStyle name="Normal 28 2 6 2 2 3" xfId="43016" xr:uid="{00000000-0005-0000-0000-0000DB6E0000}"/>
    <cellStyle name="Normal 28 2 6 2 3" xfId="22664" xr:uid="{00000000-0005-0000-0000-0000DC6E0000}"/>
    <cellStyle name="Normal 28 2 6 2 3 2" xfId="49797" xr:uid="{00000000-0005-0000-0000-0000DD6E0000}"/>
    <cellStyle name="Normal 28 2 6 2 4" xfId="36235" xr:uid="{00000000-0005-0000-0000-0000DE6E0000}"/>
    <cellStyle name="Normal 28 2 6 3" xfId="12488" xr:uid="{00000000-0005-0000-0000-0000DF6E0000}"/>
    <cellStyle name="Normal 28 2 6 3 2" xfId="26056" xr:uid="{00000000-0005-0000-0000-0000E06E0000}"/>
    <cellStyle name="Normal 28 2 6 3 2 2" xfId="53189" xr:uid="{00000000-0005-0000-0000-0000E16E0000}"/>
    <cellStyle name="Normal 28 2 6 3 3" xfId="39627" xr:uid="{00000000-0005-0000-0000-0000E26E0000}"/>
    <cellStyle name="Normal 28 2 6 4" xfId="19275" xr:uid="{00000000-0005-0000-0000-0000E36E0000}"/>
    <cellStyle name="Normal 28 2 6 4 2" xfId="46408" xr:uid="{00000000-0005-0000-0000-0000E46E0000}"/>
    <cellStyle name="Normal 28 2 6 5" xfId="32846" xr:uid="{00000000-0005-0000-0000-0000E56E0000}"/>
    <cellStyle name="Normal 28 3" xfId="5543" xr:uid="{00000000-0005-0000-0000-0000E66E0000}"/>
    <cellStyle name="Normal 28 3 2" xfId="5544" xr:uid="{00000000-0005-0000-0000-0000E76E0000}"/>
    <cellStyle name="Normal 28 3 2 2" xfId="5545" xr:uid="{00000000-0005-0000-0000-0000E86E0000}"/>
    <cellStyle name="Normal 28 3 2 2 2" xfId="9091" xr:uid="{00000000-0005-0000-0000-0000E96E0000}"/>
    <cellStyle name="Normal 28 3 2 2 2 2" xfId="15880" xr:uid="{00000000-0005-0000-0000-0000EA6E0000}"/>
    <cellStyle name="Normal 28 3 2 2 2 2 2" xfId="29448" xr:uid="{00000000-0005-0000-0000-0000EB6E0000}"/>
    <cellStyle name="Normal 28 3 2 2 2 2 2 2" xfId="56581" xr:uid="{00000000-0005-0000-0000-0000EC6E0000}"/>
    <cellStyle name="Normal 28 3 2 2 2 2 3" xfId="43019" xr:uid="{00000000-0005-0000-0000-0000ED6E0000}"/>
    <cellStyle name="Normal 28 3 2 2 2 3" xfId="22667" xr:uid="{00000000-0005-0000-0000-0000EE6E0000}"/>
    <cellStyle name="Normal 28 3 2 2 2 3 2" xfId="49800" xr:uid="{00000000-0005-0000-0000-0000EF6E0000}"/>
    <cellStyle name="Normal 28 3 2 2 2 4" xfId="36238" xr:uid="{00000000-0005-0000-0000-0000F06E0000}"/>
    <cellStyle name="Normal 28 3 2 2 3" xfId="12491" xr:uid="{00000000-0005-0000-0000-0000F16E0000}"/>
    <cellStyle name="Normal 28 3 2 2 3 2" xfId="26059" xr:uid="{00000000-0005-0000-0000-0000F26E0000}"/>
    <cellStyle name="Normal 28 3 2 2 3 2 2" xfId="53192" xr:uid="{00000000-0005-0000-0000-0000F36E0000}"/>
    <cellStyle name="Normal 28 3 2 2 3 3" xfId="39630" xr:uid="{00000000-0005-0000-0000-0000F46E0000}"/>
    <cellStyle name="Normal 28 3 2 2 4" xfId="19278" xr:uid="{00000000-0005-0000-0000-0000F56E0000}"/>
    <cellStyle name="Normal 28 3 2 2 4 2" xfId="46411" xr:uid="{00000000-0005-0000-0000-0000F66E0000}"/>
    <cellStyle name="Normal 28 3 2 2 5" xfId="32849" xr:uid="{00000000-0005-0000-0000-0000F76E0000}"/>
    <cellStyle name="Normal 28 3 2 3" xfId="5546" xr:uid="{00000000-0005-0000-0000-0000F86E0000}"/>
    <cellStyle name="Normal 28 3 2 3 2" xfId="9092" xr:uid="{00000000-0005-0000-0000-0000F96E0000}"/>
    <cellStyle name="Normal 28 3 2 3 2 2" xfId="15881" xr:uid="{00000000-0005-0000-0000-0000FA6E0000}"/>
    <cellStyle name="Normal 28 3 2 3 2 2 2" xfId="29449" xr:uid="{00000000-0005-0000-0000-0000FB6E0000}"/>
    <cellStyle name="Normal 28 3 2 3 2 2 2 2" xfId="56582" xr:uid="{00000000-0005-0000-0000-0000FC6E0000}"/>
    <cellStyle name="Normal 28 3 2 3 2 2 3" xfId="43020" xr:uid="{00000000-0005-0000-0000-0000FD6E0000}"/>
    <cellStyle name="Normal 28 3 2 3 2 3" xfId="22668" xr:uid="{00000000-0005-0000-0000-0000FE6E0000}"/>
    <cellStyle name="Normal 28 3 2 3 2 3 2" xfId="49801" xr:uid="{00000000-0005-0000-0000-0000FF6E0000}"/>
    <cellStyle name="Normal 28 3 2 3 2 4" xfId="36239" xr:uid="{00000000-0005-0000-0000-0000006F0000}"/>
    <cellStyle name="Normal 28 3 2 3 3" xfId="12492" xr:uid="{00000000-0005-0000-0000-0000016F0000}"/>
    <cellStyle name="Normal 28 3 2 3 3 2" xfId="26060" xr:uid="{00000000-0005-0000-0000-0000026F0000}"/>
    <cellStyle name="Normal 28 3 2 3 3 2 2" xfId="53193" xr:uid="{00000000-0005-0000-0000-0000036F0000}"/>
    <cellStyle name="Normal 28 3 2 3 3 3" xfId="39631" xr:uid="{00000000-0005-0000-0000-0000046F0000}"/>
    <cellStyle name="Normal 28 3 2 3 4" xfId="19279" xr:uid="{00000000-0005-0000-0000-0000056F0000}"/>
    <cellStyle name="Normal 28 3 2 3 4 2" xfId="46412" xr:uid="{00000000-0005-0000-0000-0000066F0000}"/>
    <cellStyle name="Normal 28 3 2 3 5" xfId="32850" xr:uid="{00000000-0005-0000-0000-0000076F0000}"/>
    <cellStyle name="Normal 28 3 2 4" xfId="9090" xr:uid="{00000000-0005-0000-0000-0000086F0000}"/>
    <cellStyle name="Normal 28 3 2 4 2" xfId="15879" xr:uid="{00000000-0005-0000-0000-0000096F0000}"/>
    <cellStyle name="Normal 28 3 2 4 2 2" xfId="29447" xr:uid="{00000000-0005-0000-0000-00000A6F0000}"/>
    <cellStyle name="Normal 28 3 2 4 2 2 2" xfId="56580" xr:uid="{00000000-0005-0000-0000-00000B6F0000}"/>
    <cellStyle name="Normal 28 3 2 4 2 3" xfId="43018" xr:uid="{00000000-0005-0000-0000-00000C6F0000}"/>
    <cellStyle name="Normal 28 3 2 4 3" xfId="22666" xr:uid="{00000000-0005-0000-0000-00000D6F0000}"/>
    <cellStyle name="Normal 28 3 2 4 3 2" xfId="49799" xr:uid="{00000000-0005-0000-0000-00000E6F0000}"/>
    <cellStyle name="Normal 28 3 2 4 4" xfId="36237" xr:uid="{00000000-0005-0000-0000-00000F6F0000}"/>
    <cellStyle name="Normal 28 3 2 5" xfId="12490" xr:uid="{00000000-0005-0000-0000-0000106F0000}"/>
    <cellStyle name="Normal 28 3 2 5 2" xfId="26058" xr:uid="{00000000-0005-0000-0000-0000116F0000}"/>
    <cellStyle name="Normal 28 3 2 5 2 2" xfId="53191" xr:uid="{00000000-0005-0000-0000-0000126F0000}"/>
    <cellStyle name="Normal 28 3 2 5 3" xfId="39629" xr:uid="{00000000-0005-0000-0000-0000136F0000}"/>
    <cellStyle name="Normal 28 3 2 6" xfId="19277" xr:uid="{00000000-0005-0000-0000-0000146F0000}"/>
    <cellStyle name="Normal 28 3 2 6 2" xfId="46410" xr:uid="{00000000-0005-0000-0000-0000156F0000}"/>
    <cellStyle name="Normal 28 3 2 7" xfId="32848" xr:uid="{00000000-0005-0000-0000-0000166F0000}"/>
    <cellStyle name="Normal 28 3 3" xfId="5547" xr:uid="{00000000-0005-0000-0000-0000176F0000}"/>
    <cellStyle name="Normal 28 3 3 2" xfId="5548" xr:uid="{00000000-0005-0000-0000-0000186F0000}"/>
    <cellStyle name="Normal 28 3 3 2 2" xfId="9094" xr:uid="{00000000-0005-0000-0000-0000196F0000}"/>
    <cellStyle name="Normal 28 3 3 2 2 2" xfId="15883" xr:uid="{00000000-0005-0000-0000-00001A6F0000}"/>
    <cellStyle name="Normal 28 3 3 2 2 2 2" xfId="29451" xr:uid="{00000000-0005-0000-0000-00001B6F0000}"/>
    <cellStyle name="Normal 28 3 3 2 2 2 2 2" xfId="56584" xr:uid="{00000000-0005-0000-0000-00001C6F0000}"/>
    <cellStyle name="Normal 28 3 3 2 2 2 3" xfId="43022" xr:uid="{00000000-0005-0000-0000-00001D6F0000}"/>
    <cellStyle name="Normal 28 3 3 2 2 3" xfId="22670" xr:uid="{00000000-0005-0000-0000-00001E6F0000}"/>
    <cellStyle name="Normal 28 3 3 2 2 3 2" xfId="49803" xr:uid="{00000000-0005-0000-0000-00001F6F0000}"/>
    <cellStyle name="Normal 28 3 3 2 2 4" xfId="36241" xr:uid="{00000000-0005-0000-0000-0000206F0000}"/>
    <cellStyle name="Normal 28 3 3 2 3" xfId="12494" xr:uid="{00000000-0005-0000-0000-0000216F0000}"/>
    <cellStyle name="Normal 28 3 3 2 3 2" xfId="26062" xr:uid="{00000000-0005-0000-0000-0000226F0000}"/>
    <cellStyle name="Normal 28 3 3 2 3 2 2" xfId="53195" xr:uid="{00000000-0005-0000-0000-0000236F0000}"/>
    <cellStyle name="Normal 28 3 3 2 3 3" xfId="39633" xr:uid="{00000000-0005-0000-0000-0000246F0000}"/>
    <cellStyle name="Normal 28 3 3 2 4" xfId="19281" xr:uid="{00000000-0005-0000-0000-0000256F0000}"/>
    <cellStyle name="Normal 28 3 3 2 4 2" xfId="46414" xr:uid="{00000000-0005-0000-0000-0000266F0000}"/>
    <cellStyle name="Normal 28 3 3 2 5" xfId="32852" xr:uid="{00000000-0005-0000-0000-0000276F0000}"/>
    <cellStyle name="Normal 28 3 3 3" xfId="9093" xr:uid="{00000000-0005-0000-0000-0000286F0000}"/>
    <cellStyle name="Normal 28 3 3 3 2" xfId="15882" xr:uid="{00000000-0005-0000-0000-0000296F0000}"/>
    <cellStyle name="Normal 28 3 3 3 2 2" xfId="29450" xr:uid="{00000000-0005-0000-0000-00002A6F0000}"/>
    <cellStyle name="Normal 28 3 3 3 2 2 2" xfId="56583" xr:uid="{00000000-0005-0000-0000-00002B6F0000}"/>
    <cellStyle name="Normal 28 3 3 3 2 3" xfId="43021" xr:uid="{00000000-0005-0000-0000-00002C6F0000}"/>
    <cellStyle name="Normal 28 3 3 3 3" xfId="22669" xr:uid="{00000000-0005-0000-0000-00002D6F0000}"/>
    <cellStyle name="Normal 28 3 3 3 3 2" xfId="49802" xr:uid="{00000000-0005-0000-0000-00002E6F0000}"/>
    <cellStyle name="Normal 28 3 3 3 4" xfId="36240" xr:uid="{00000000-0005-0000-0000-00002F6F0000}"/>
    <cellStyle name="Normal 28 3 3 4" xfId="12493" xr:uid="{00000000-0005-0000-0000-0000306F0000}"/>
    <cellStyle name="Normal 28 3 3 4 2" xfId="26061" xr:uid="{00000000-0005-0000-0000-0000316F0000}"/>
    <cellStyle name="Normal 28 3 3 4 2 2" xfId="53194" xr:uid="{00000000-0005-0000-0000-0000326F0000}"/>
    <cellStyle name="Normal 28 3 3 4 3" xfId="39632" xr:uid="{00000000-0005-0000-0000-0000336F0000}"/>
    <cellStyle name="Normal 28 3 3 5" xfId="19280" xr:uid="{00000000-0005-0000-0000-0000346F0000}"/>
    <cellStyle name="Normal 28 3 3 5 2" xfId="46413" xr:uid="{00000000-0005-0000-0000-0000356F0000}"/>
    <cellStyle name="Normal 28 3 3 6" xfId="32851" xr:uid="{00000000-0005-0000-0000-0000366F0000}"/>
    <cellStyle name="Normal 28 3 4" xfId="5549" xr:uid="{00000000-0005-0000-0000-0000376F0000}"/>
    <cellStyle name="Normal 28 3 4 2" xfId="9095" xr:uid="{00000000-0005-0000-0000-0000386F0000}"/>
    <cellStyle name="Normal 28 3 4 2 2" xfId="15884" xr:uid="{00000000-0005-0000-0000-0000396F0000}"/>
    <cellStyle name="Normal 28 3 4 2 2 2" xfId="29452" xr:uid="{00000000-0005-0000-0000-00003A6F0000}"/>
    <cellStyle name="Normal 28 3 4 2 2 2 2" xfId="56585" xr:uid="{00000000-0005-0000-0000-00003B6F0000}"/>
    <cellStyle name="Normal 28 3 4 2 2 3" xfId="43023" xr:uid="{00000000-0005-0000-0000-00003C6F0000}"/>
    <cellStyle name="Normal 28 3 4 2 3" xfId="22671" xr:uid="{00000000-0005-0000-0000-00003D6F0000}"/>
    <cellStyle name="Normal 28 3 4 2 3 2" xfId="49804" xr:uid="{00000000-0005-0000-0000-00003E6F0000}"/>
    <cellStyle name="Normal 28 3 4 2 4" xfId="36242" xr:uid="{00000000-0005-0000-0000-00003F6F0000}"/>
    <cellStyle name="Normal 28 3 4 3" xfId="12495" xr:uid="{00000000-0005-0000-0000-0000406F0000}"/>
    <cellStyle name="Normal 28 3 4 3 2" xfId="26063" xr:uid="{00000000-0005-0000-0000-0000416F0000}"/>
    <cellStyle name="Normal 28 3 4 3 2 2" xfId="53196" xr:uid="{00000000-0005-0000-0000-0000426F0000}"/>
    <cellStyle name="Normal 28 3 4 3 3" xfId="39634" xr:uid="{00000000-0005-0000-0000-0000436F0000}"/>
    <cellStyle name="Normal 28 3 4 4" xfId="19282" xr:uid="{00000000-0005-0000-0000-0000446F0000}"/>
    <cellStyle name="Normal 28 3 4 4 2" xfId="46415" xr:uid="{00000000-0005-0000-0000-0000456F0000}"/>
    <cellStyle name="Normal 28 3 4 5" xfId="32853" xr:uid="{00000000-0005-0000-0000-0000466F0000}"/>
    <cellStyle name="Normal 28 3 5" xfId="5550" xr:uid="{00000000-0005-0000-0000-0000476F0000}"/>
    <cellStyle name="Normal 28 3 5 2" xfId="9096" xr:uid="{00000000-0005-0000-0000-0000486F0000}"/>
    <cellStyle name="Normal 28 3 5 2 2" xfId="15885" xr:uid="{00000000-0005-0000-0000-0000496F0000}"/>
    <cellStyle name="Normal 28 3 5 2 2 2" xfId="29453" xr:uid="{00000000-0005-0000-0000-00004A6F0000}"/>
    <cellStyle name="Normal 28 3 5 2 2 2 2" xfId="56586" xr:uid="{00000000-0005-0000-0000-00004B6F0000}"/>
    <cellStyle name="Normal 28 3 5 2 2 3" xfId="43024" xr:uid="{00000000-0005-0000-0000-00004C6F0000}"/>
    <cellStyle name="Normal 28 3 5 2 3" xfId="22672" xr:uid="{00000000-0005-0000-0000-00004D6F0000}"/>
    <cellStyle name="Normal 28 3 5 2 3 2" xfId="49805" xr:uid="{00000000-0005-0000-0000-00004E6F0000}"/>
    <cellStyle name="Normal 28 3 5 2 4" xfId="36243" xr:uid="{00000000-0005-0000-0000-00004F6F0000}"/>
    <cellStyle name="Normal 28 3 5 3" xfId="12496" xr:uid="{00000000-0005-0000-0000-0000506F0000}"/>
    <cellStyle name="Normal 28 3 5 3 2" xfId="26064" xr:uid="{00000000-0005-0000-0000-0000516F0000}"/>
    <cellStyle name="Normal 28 3 5 3 2 2" xfId="53197" xr:uid="{00000000-0005-0000-0000-0000526F0000}"/>
    <cellStyle name="Normal 28 3 5 3 3" xfId="39635" xr:uid="{00000000-0005-0000-0000-0000536F0000}"/>
    <cellStyle name="Normal 28 3 5 4" xfId="19283" xr:uid="{00000000-0005-0000-0000-0000546F0000}"/>
    <cellStyle name="Normal 28 3 5 4 2" xfId="46416" xr:uid="{00000000-0005-0000-0000-0000556F0000}"/>
    <cellStyle name="Normal 28 3 5 5" xfId="32854" xr:uid="{00000000-0005-0000-0000-0000566F0000}"/>
    <cellStyle name="Normal 28 3 6" xfId="9089" xr:uid="{00000000-0005-0000-0000-0000576F0000}"/>
    <cellStyle name="Normal 28 3 6 2" xfId="15878" xr:uid="{00000000-0005-0000-0000-0000586F0000}"/>
    <cellStyle name="Normal 28 3 6 2 2" xfId="29446" xr:uid="{00000000-0005-0000-0000-0000596F0000}"/>
    <cellStyle name="Normal 28 3 6 2 2 2" xfId="56579" xr:uid="{00000000-0005-0000-0000-00005A6F0000}"/>
    <cellStyle name="Normal 28 3 6 2 3" xfId="43017" xr:uid="{00000000-0005-0000-0000-00005B6F0000}"/>
    <cellStyle name="Normal 28 3 6 3" xfId="22665" xr:uid="{00000000-0005-0000-0000-00005C6F0000}"/>
    <cellStyle name="Normal 28 3 6 3 2" xfId="49798" xr:uid="{00000000-0005-0000-0000-00005D6F0000}"/>
    <cellStyle name="Normal 28 3 6 4" xfId="36236" xr:uid="{00000000-0005-0000-0000-00005E6F0000}"/>
    <cellStyle name="Normal 28 3 7" xfId="12489" xr:uid="{00000000-0005-0000-0000-00005F6F0000}"/>
    <cellStyle name="Normal 28 3 7 2" xfId="26057" xr:uid="{00000000-0005-0000-0000-0000606F0000}"/>
    <cellStyle name="Normal 28 3 7 2 2" xfId="53190" xr:uid="{00000000-0005-0000-0000-0000616F0000}"/>
    <cellStyle name="Normal 28 3 7 3" xfId="39628" xr:uid="{00000000-0005-0000-0000-0000626F0000}"/>
    <cellStyle name="Normal 28 3 8" xfId="19276" xr:uid="{00000000-0005-0000-0000-0000636F0000}"/>
    <cellStyle name="Normal 28 3 8 2" xfId="46409" xr:uid="{00000000-0005-0000-0000-0000646F0000}"/>
    <cellStyle name="Normal 28 3 9" xfId="32847" xr:uid="{00000000-0005-0000-0000-0000656F0000}"/>
    <cellStyle name="Normal 28 4" xfId="5551" xr:uid="{00000000-0005-0000-0000-0000666F0000}"/>
    <cellStyle name="Normal 28 5" xfId="5552" xr:uid="{00000000-0005-0000-0000-0000676F0000}"/>
    <cellStyle name="Normal 28 5 2" xfId="5553" xr:uid="{00000000-0005-0000-0000-0000686F0000}"/>
    <cellStyle name="Normal 28 5 2 2" xfId="5554" xr:uid="{00000000-0005-0000-0000-0000696F0000}"/>
    <cellStyle name="Normal 28 5 2 2 2" xfId="9099" xr:uid="{00000000-0005-0000-0000-00006A6F0000}"/>
    <cellStyle name="Normal 28 5 2 2 2 2" xfId="15888" xr:uid="{00000000-0005-0000-0000-00006B6F0000}"/>
    <cellStyle name="Normal 28 5 2 2 2 2 2" xfId="29456" xr:uid="{00000000-0005-0000-0000-00006C6F0000}"/>
    <cellStyle name="Normal 28 5 2 2 2 2 2 2" xfId="56589" xr:uid="{00000000-0005-0000-0000-00006D6F0000}"/>
    <cellStyle name="Normal 28 5 2 2 2 2 3" xfId="43027" xr:uid="{00000000-0005-0000-0000-00006E6F0000}"/>
    <cellStyle name="Normal 28 5 2 2 2 3" xfId="22675" xr:uid="{00000000-0005-0000-0000-00006F6F0000}"/>
    <cellStyle name="Normal 28 5 2 2 2 3 2" xfId="49808" xr:uid="{00000000-0005-0000-0000-0000706F0000}"/>
    <cellStyle name="Normal 28 5 2 2 2 4" xfId="36246" xr:uid="{00000000-0005-0000-0000-0000716F0000}"/>
    <cellStyle name="Normal 28 5 2 2 3" xfId="12499" xr:uid="{00000000-0005-0000-0000-0000726F0000}"/>
    <cellStyle name="Normal 28 5 2 2 3 2" xfId="26067" xr:uid="{00000000-0005-0000-0000-0000736F0000}"/>
    <cellStyle name="Normal 28 5 2 2 3 2 2" xfId="53200" xr:uid="{00000000-0005-0000-0000-0000746F0000}"/>
    <cellStyle name="Normal 28 5 2 2 3 3" xfId="39638" xr:uid="{00000000-0005-0000-0000-0000756F0000}"/>
    <cellStyle name="Normal 28 5 2 2 4" xfId="19286" xr:uid="{00000000-0005-0000-0000-0000766F0000}"/>
    <cellStyle name="Normal 28 5 2 2 4 2" xfId="46419" xr:uid="{00000000-0005-0000-0000-0000776F0000}"/>
    <cellStyle name="Normal 28 5 2 2 5" xfId="32857" xr:uid="{00000000-0005-0000-0000-0000786F0000}"/>
    <cellStyle name="Normal 28 5 2 3" xfId="5555" xr:uid="{00000000-0005-0000-0000-0000796F0000}"/>
    <cellStyle name="Normal 28 5 2 3 2" xfId="9100" xr:uid="{00000000-0005-0000-0000-00007A6F0000}"/>
    <cellStyle name="Normal 28 5 2 3 2 2" xfId="15889" xr:uid="{00000000-0005-0000-0000-00007B6F0000}"/>
    <cellStyle name="Normal 28 5 2 3 2 2 2" xfId="29457" xr:uid="{00000000-0005-0000-0000-00007C6F0000}"/>
    <cellStyle name="Normal 28 5 2 3 2 2 2 2" xfId="56590" xr:uid="{00000000-0005-0000-0000-00007D6F0000}"/>
    <cellStyle name="Normal 28 5 2 3 2 2 3" xfId="43028" xr:uid="{00000000-0005-0000-0000-00007E6F0000}"/>
    <cellStyle name="Normal 28 5 2 3 2 3" xfId="22676" xr:uid="{00000000-0005-0000-0000-00007F6F0000}"/>
    <cellStyle name="Normal 28 5 2 3 2 3 2" xfId="49809" xr:uid="{00000000-0005-0000-0000-0000806F0000}"/>
    <cellStyle name="Normal 28 5 2 3 2 4" xfId="36247" xr:uid="{00000000-0005-0000-0000-0000816F0000}"/>
    <cellStyle name="Normal 28 5 2 3 3" xfId="12500" xr:uid="{00000000-0005-0000-0000-0000826F0000}"/>
    <cellStyle name="Normal 28 5 2 3 3 2" xfId="26068" xr:uid="{00000000-0005-0000-0000-0000836F0000}"/>
    <cellStyle name="Normal 28 5 2 3 3 2 2" xfId="53201" xr:uid="{00000000-0005-0000-0000-0000846F0000}"/>
    <cellStyle name="Normal 28 5 2 3 3 3" xfId="39639" xr:uid="{00000000-0005-0000-0000-0000856F0000}"/>
    <cellStyle name="Normal 28 5 2 3 4" xfId="19287" xr:uid="{00000000-0005-0000-0000-0000866F0000}"/>
    <cellStyle name="Normal 28 5 2 3 4 2" xfId="46420" xr:uid="{00000000-0005-0000-0000-0000876F0000}"/>
    <cellStyle name="Normal 28 5 2 3 5" xfId="32858" xr:uid="{00000000-0005-0000-0000-0000886F0000}"/>
    <cellStyle name="Normal 28 5 2 4" xfId="9098" xr:uid="{00000000-0005-0000-0000-0000896F0000}"/>
    <cellStyle name="Normal 28 5 2 4 2" xfId="15887" xr:uid="{00000000-0005-0000-0000-00008A6F0000}"/>
    <cellStyle name="Normal 28 5 2 4 2 2" xfId="29455" xr:uid="{00000000-0005-0000-0000-00008B6F0000}"/>
    <cellStyle name="Normal 28 5 2 4 2 2 2" xfId="56588" xr:uid="{00000000-0005-0000-0000-00008C6F0000}"/>
    <cellStyle name="Normal 28 5 2 4 2 3" xfId="43026" xr:uid="{00000000-0005-0000-0000-00008D6F0000}"/>
    <cellStyle name="Normal 28 5 2 4 3" xfId="22674" xr:uid="{00000000-0005-0000-0000-00008E6F0000}"/>
    <cellStyle name="Normal 28 5 2 4 3 2" xfId="49807" xr:uid="{00000000-0005-0000-0000-00008F6F0000}"/>
    <cellStyle name="Normal 28 5 2 4 4" xfId="36245" xr:uid="{00000000-0005-0000-0000-0000906F0000}"/>
    <cellStyle name="Normal 28 5 2 5" xfId="12498" xr:uid="{00000000-0005-0000-0000-0000916F0000}"/>
    <cellStyle name="Normal 28 5 2 5 2" xfId="26066" xr:uid="{00000000-0005-0000-0000-0000926F0000}"/>
    <cellStyle name="Normal 28 5 2 5 2 2" xfId="53199" xr:uid="{00000000-0005-0000-0000-0000936F0000}"/>
    <cellStyle name="Normal 28 5 2 5 3" xfId="39637" xr:uid="{00000000-0005-0000-0000-0000946F0000}"/>
    <cellStyle name="Normal 28 5 2 6" xfId="19285" xr:uid="{00000000-0005-0000-0000-0000956F0000}"/>
    <cellStyle name="Normal 28 5 2 6 2" xfId="46418" xr:uid="{00000000-0005-0000-0000-0000966F0000}"/>
    <cellStyle name="Normal 28 5 2 7" xfId="32856" xr:uid="{00000000-0005-0000-0000-0000976F0000}"/>
    <cellStyle name="Normal 28 5 3" xfId="5556" xr:uid="{00000000-0005-0000-0000-0000986F0000}"/>
    <cellStyle name="Normal 28 5 3 2" xfId="9101" xr:uid="{00000000-0005-0000-0000-0000996F0000}"/>
    <cellStyle name="Normal 28 5 3 2 2" xfId="15890" xr:uid="{00000000-0005-0000-0000-00009A6F0000}"/>
    <cellStyle name="Normal 28 5 3 2 2 2" xfId="29458" xr:uid="{00000000-0005-0000-0000-00009B6F0000}"/>
    <cellStyle name="Normal 28 5 3 2 2 2 2" xfId="56591" xr:uid="{00000000-0005-0000-0000-00009C6F0000}"/>
    <cellStyle name="Normal 28 5 3 2 2 3" xfId="43029" xr:uid="{00000000-0005-0000-0000-00009D6F0000}"/>
    <cellStyle name="Normal 28 5 3 2 3" xfId="22677" xr:uid="{00000000-0005-0000-0000-00009E6F0000}"/>
    <cellStyle name="Normal 28 5 3 2 3 2" xfId="49810" xr:uid="{00000000-0005-0000-0000-00009F6F0000}"/>
    <cellStyle name="Normal 28 5 3 2 4" xfId="36248" xr:uid="{00000000-0005-0000-0000-0000A06F0000}"/>
    <cellStyle name="Normal 28 5 3 3" xfId="12501" xr:uid="{00000000-0005-0000-0000-0000A16F0000}"/>
    <cellStyle name="Normal 28 5 3 3 2" xfId="26069" xr:uid="{00000000-0005-0000-0000-0000A26F0000}"/>
    <cellStyle name="Normal 28 5 3 3 2 2" xfId="53202" xr:uid="{00000000-0005-0000-0000-0000A36F0000}"/>
    <cellStyle name="Normal 28 5 3 3 3" xfId="39640" xr:uid="{00000000-0005-0000-0000-0000A46F0000}"/>
    <cellStyle name="Normal 28 5 3 4" xfId="19288" xr:uid="{00000000-0005-0000-0000-0000A56F0000}"/>
    <cellStyle name="Normal 28 5 3 4 2" xfId="46421" xr:uid="{00000000-0005-0000-0000-0000A66F0000}"/>
    <cellStyle name="Normal 28 5 3 5" xfId="32859" xr:uid="{00000000-0005-0000-0000-0000A76F0000}"/>
    <cellStyle name="Normal 28 5 4" xfId="5557" xr:uid="{00000000-0005-0000-0000-0000A86F0000}"/>
    <cellStyle name="Normal 28 5 4 2" xfId="9102" xr:uid="{00000000-0005-0000-0000-0000A96F0000}"/>
    <cellStyle name="Normal 28 5 4 2 2" xfId="15891" xr:uid="{00000000-0005-0000-0000-0000AA6F0000}"/>
    <cellStyle name="Normal 28 5 4 2 2 2" xfId="29459" xr:uid="{00000000-0005-0000-0000-0000AB6F0000}"/>
    <cellStyle name="Normal 28 5 4 2 2 2 2" xfId="56592" xr:uid="{00000000-0005-0000-0000-0000AC6F0000}"/>
    <cellStyle name="Normal 28 5 4 2 2 3" xfId="43030" xr:uid="{00000000-0005-0000-0000-0000AD6F0000}"/>
    <cellStyle name="Normal 28 5 4 2 3" xfId="22678" xr:uid="{00000000-0005-0000-0000-0000AE6F0000}"/>
    <cellStyle name="Normal 28 5 4 2 3 2" xfId="49811" xr:uid="{00000000-0005-0000-0000-0000AF6F0000}"/>
    <cellStyle name="Normal 28 5 4 2 4" xfId="36249" xr:uid="{00000000-0005-0000-0000-0000B06F0000}"/>
    <cellStyle name="Normal 28 5 4 3" xfId="12502" xr:uid="{00000000-0005-0000-0000-0000B16F0000}"/>
    <cellStyle name="Normal 28 5 4 3 2" xfId="26070" xr:uid="{00000000-0005-0000-0000-0000B26F0000}"/>
    <cellStyle name="Normal 28 5 4 3 2 2" xfId="53203" xr:uid="{00000000-0005-0000-0000-0000B36F0000}"/>
    <cellStyle name="Normal 28 5 4 3 3" xfId="39641" xr:uid="{00000000-0005-0000-0000-0000B46F0000}"/>
    <cellStyle name="Normal 28 5 4 4" xfId="19289" xr:uid="{00000000-0005-0000-0000-0000B56F0000}"/>
    <cellStyle name="Normal 28 5 4 4 2" xfId="46422" xr:uid="{00000000-0005-0000-0000-0000B66F0000}"/>
    <cellStyle name="Normal 28 5 4 5" xfId="32860" xr:uid="{00000000-0005-0000-0000-0000B76F0000}"/>
    <cellStyle name="Normal 28 5 5" xfId="9097" xr:uid="{00000000-0005-0000-0000-0000B86F0000}"/>
    <cellStyle name="Normal 28 5 5 2" xfId="15886" xr:uid="{00000000-0005-0000-0000-0000B96F0000}"/>
    <cellStyle name="Normal 28 5 5 2 2" xfId="29454" xr:uid="{00000000-0005-0000-0000-0000BA6F0000}"/>
    <cellStyle name="Normal 28 5 5 2 2 2" xfId="56587" xr:uid="{00000000-0005-0000-0000-0000BB6F0000}"/>
    <cellStyle name="Normal 28 5 5 2 3" xfId="43025" xr:uid="{00000000-0005-0000-0000-0000BC6F0000}"/>
    <cellStyle name="Normal 28 5 5 3" xfId="22673" xr:uid="{00000000-0005-0000-0000-0000BD6F0000}"/>
    <cellStyle name="Normal 28 5 5 3 2" xfId="49806" xr:uid="{00000000-0005-0000-0000-0000BE6F0000}"/>
    <cellStyle name="Normal 28 5 5 4" xfId="36244" xr:uid="{00000000-0005-0000-0000-0000BF6F0000}"/>
    <cellStyle name="Normal 28 5 6" xfId="12497" xr:uid="{00000000-0005-0000-0000-0000C06F0000}"/>
    <cellStyle name="Normal 28 5 6 2" xfId="26065" xr:uid="{00000000-0005-0000-0000-0000C16F0000}"/>
    <cellStyle name="Normal 28 5 6 2 2" xfId="53198" xr:uid="{00000000-0005-0000-0000-0000C26F0000}"/>
    <cellStyle name="Normal 28 5 6 3" xfId="39636" xr:uid="{00000000-0005-0000-0000-0000C36F0000}"/>
    <cellStyle name="Normal 28 5 7" xfId="19284" xr:uid="{00000000-0005-0000-0000-0000C46F0000}"/>
    <cellStyle name="Normal 28 5 7 2" xfId="46417" xr:uid="{00000000-0005-0000-0000-0000C56F0000}"/>
    <cellStyle name="Normal 28 5 8" xfId="32855" xr:uid="{00000000-0005-0000-0000-0000C66F0000}"/>
    <cellStyle name="Normal 28 6" xfId="5558" xr:uid="{00000000-0005-0000-0000-0000C76F0000}"/>
    <cellStyle name="Normal 28 6 2" xfId="5559" xr:uid="{00000000-0005-0000-0000-0000C86F0000}"/>
    <cellStyle name="Normal 28 6 2 2" xfId="9104" xr:uid="{00000000-0005-0000-0000-0000C96F0000}"/>
    <cellStyle name="Normal 28 6 2 2 2" xfId="15893" xr:uid="{00000000-0005-0000-0000-0000CA6F0000}"/>
    <cellStyle name="Normal 28 6 2 2 2 2" xfId="29461" xr:uid="{00000000-0005-0000-0000-0000CB6F0000}"/>
    <cellStyle name="Normal 28 6 2 2 2 2 2" xfId="56594" xr:uid="{00000000-0005-0000-0000-0000CC6F0000}"/>
    <cellStyle name="Normal 28 6 2 2 2 3" xfId="43032" xr:uid="{00000000-0005-0000-0000-0000CD6F0000}"/>
    <cellStyle name="Normal 28 6 2 2 3" xfId="22680" xr:uid="{00000000-0005-0000-0000-0000CE6F0000}"/>
    <cellStyle name="Normal 28 6 2 2 3 2" xfId="49813" xr:uid="{00000000-0005-0000-0000-0000CF6F0000}"/>
    <cellStyle name="Normal 28 6 2 2 4" xfId="36251" xr:uid="{00000000-0005-0000-0000-0000D06F0000}"/>
    <cellStyle name="Normal 28 6 2 3" xfId="12504" xr:uid="{00000000-0005-0000-0000-0000D16F0000}"/>
    <cellStyle name="Normal 28 6 2 3 2" xfId="26072" xr:uid="{00000000-0005-0000-0000-0000D26F0000}"/>
    <cellStyle name="Normal 28 6 2 3 2 2" xfId="53205" xr:uid="{00000000-0005-0000-0000-0000D36F0000}"/>
    <cellStyle name="Normal 28 6 2 3 3" xfId="39643" xr:uid="{00000000-0005-0000-0000-0000D46F0000}"/>
    <cellStyle name="Normal 28 6 2 4" xfId="19291" xr:uid="{00000000-0005-0000-0000-0000D56F0000}"/>
    <cellStyle name="Normal 28 6 2 4 2" xfId="46424" xr:uid="{00000000-0005-0000-0000-0000D66F0000}"/>
    <cellStyle name="Normal 28 6 2 5" xfId="32862" xr:uid="{00000000-0005-0000-0000-0000D76F0000}"/>
    <cellStyle name="Normal 28 6 3" xfId="5560" xr:uid="{00000000-0005-0000-0000-0000D86F0000}"/>
    <cellStyle name="Normal 28 6 4" xfId="9103" xr:uid="{00000000-0005-0000-0000-0000D96F0000}"/>
    <cellStyle name="Normal 28 6 4 2" xfId="15892" xr:uid="{00000000-0005-0000-0000-0000DA6F0000}"/>
    <cellStyle name="Normal 28 6 4 2 2" xfId="29460" xr:uid="{00000000-0005-0000-0000-0000DB6F0000}"/>
    <cellStyle name="Normal 28 6 4 2 2 2" xfId="56593" xr:uid="{00000000-0005-0000-0000-0000DC6F0000}"/>
    <cellStyle name="Normal 28 6 4 2 3" xfId="43031" xr:uid="{00000000-0005-0000-0000-0000DD6F0000}"/>
    <cellStyle name="Normal 28 6 4 3" xfId="22679" xr:uid="{00000000-0005-0000-0000-0000DE6F0000}"/>
    <cellStyle name="Normal 28 6 4 3 2" xfId="49812" xr:uid="{00000000-0005-0000-0000-0000DF6F0000}"/>
    <cellStyle name="Normal 28 6 4 4" xfId="36250" xr:uid="{00000000-0005-0000-0000-0000E06F0000}"/>
    <cellStyle name="Normal 28 6 5" xfId="12503" xr:uid="{00000000-0005-0000-0000-0000E16F0000}"/>
    <cellStyle name="Normal 28 6 5 2" xfId="26071" xr:uid="{00000000-0005-0000-0000-0000E26F0000}"/>
    <cellStyle name="Normal 28 6 5 2 2" xfId="53204" xr:uid="{00000000-0005-0000-0000-0000E36F0000}"/>
    <cellStyle name="Normal 28 6 5 3" xfId="39642" xr:uid="{00000000-0005-0000-0000-0000E46F0000}"/>
    <cellStyle name="Normal 28 6 6" xfId="19290" xr:uid="{00000000-0005-0000-0000-0000E56F0000}"/>
    <cellStyle name="Normal 28 6 6 2" xfId="46423" xr:uid="{00000000-0005-0000-0000-0000E66F0000}"/>
    <cellStyle name="Normal 28 6 7" xfId="32861" xr:uid="{00000000-0005-0000-0000-0000E76F0000}"/>
    <cellStyle name="Normal 28 7" xfId="5561" xr:uid="{00000000-0005-0000-0000-0000E86F0000}"/>
    <cellStyle name="Normal 28 7 2" xfId="9105" xr:uid="{00000000-0005-0000-0000-0000E96F0000}"/>
    <cellStyle name="Normal 28 7 2 2" xfId="15894" xr:uid="{00000000-0005-0000-0000-0000EA6F0000}"/>
    <cellStyle name="Normal 28 7 2 2 2" xfId="29462" xr:uid="{00000000-0005-0000-0000-0000EB6F0000}"/>
    <cellStyle name="Normal 28 7 2 2 2 2" xfId="56595" xr:uid="{00000000-0005-0000-0000-0000EC6F0000}"/>
    <cellStyle name="Normal 28 7 2 2 3" xfId="43033" xr:uid="{00000000-0005-0000-0000-0000ED6F0000}"/>
    <cellStyle name="Normal 28 7 2 3" xfId="22681" xr:uid="{00000000-0005-0000-0000-0000EE6F0000}"/>
    <cellStyle name="Normal 28 7 2 3 2" xfId="49814" xr:uid="{00000000-0005-0000-0000-0000EF6F0000}"/>
    <cellStyle name="Normal 28 7 2 4" xfId="36252" xr:uid="{00000000-0005-0000-0000-0000F06F0000}"/>
    <cellStyle name="Normal 28 7 3" xfId="12505" xr:uid="{00000000-0005-0000-0000-0000F16F0000}"/>
    <cellStyle name="Normal 28 7 3 2" xfId="26073" xr:uid="{00000000-0005-0000-0000-0000F26F0000}"/>
    <cellStyle name="Normal 28 7 3 2 2" xfId="53206" xr:uid="{00000000-0005-0000-0000-0000F36F0000}"/>
    <cellStyle name="Normal 28 7 3 3" xfId="39644" xr:uid="{00000000-0005-0000-0000-0000F46F0000}"/>
    <cellStyle name="Normal 28 7 4" xfId="19292" xr:uid="{00000000-0005-0000-0000-0000F56F0000}"/>
    <cellStyle name="Normal 28 7 4 2" xfId="46425" xr:uid="{00000000-0005-0000-0000-0000F66F0000}"/>
    <cellStyle name="Normal 28 7 5" xfId="32863" xr:uid="{00000000-0005-0000-0000-0000F76F0000}"/>
    <cellStyle name="Normal 28 8" xfId="5562" xr:uid="{00000000-0005-0000-0000-0000F86F0000}"/>
    <cellStyle name="Normal 28 8 2" xfId="9106" xr:uid="{00000000-0005-0000-0000-0000F96F0000}"/>
    <cellStyle name="Normal 28 8 2 2" xfId="15895" xr:uid="{00000000-0005-0000-0000-0000FA6F0000}"/>
    <cellStyle name="Normal 28 8 2 2 2" xfId="29463" xr:uid="{00000000-0005-0000-0000-0000FB6F0000}"/>
    <cellStyle name="Normal 28 8 2 2 2 2" xfId="56596" xr:uid="{00000000-0005-0000-0000-0000FC6F0000}"/>
    <cellStyle name="Normal 28 8 2 2 3" xfId="43034" xr:uid="{00000000-0005-0000-0000-0000FD6F0000}"/>
    <cellStyle name="Normal 28 8 2 3" xfId="22682" xr:uid="{00000000-0005-0000-0000-0000FE6F0000}"/>
    <cellStyle name="Normal 28 8 2 3 2" xfId="49815" xr:uid="{00000000-0005-0000-0000-0000FF6F0000}"/>
    <cellStyle name="Normal 28 8 2 4" xfId="36253" xr:uid="{00000000-0005-0000-0000-000000700000}"/>
    <cellStyle name="Normal 28 8 3" xfId="12506" xr:uid="{00000000-0005-0000-0000-000001700000}"/>
    <cellStyle name="Normal 28 8 3 2" xfId="26074" xr:uid="{00000000-0005-0000-0000-000002700000}"/>
    <cellStyle name="Normal 28 8 3 2 2" xfId="53207" xr:uid="{00000000-0005-0000-0000-000003700000}"/>
    <cellStyle name="Normal 28 8 3 3" xfId="39645" xr:uid="{00000000-0005-0000-0000-000004700000}"/>
    <cellStyle name="Normal 28 8 4" xfId="19293" xr:uid="{00000000-0005-0000-0000-000005700000}"/>
    <cellStyle name="Normal 28 8 4 2" xfId="46426" xr:uid="{00000000-0005-0000-0000-000006700000}"/>
    <cellStyle name="Normal 28 8 5" xfId="32864" xr:uid="{00000000-0005-0000-0000-000007700000}"/>
    <cellStyle name="Normal 29" xfId="2650" xr:uid="{00000000-0005-0000-0000-000008700000}"/>
    <cellStyle name="Normal 29 2" xfId="5563" xr:uid="{00000000-0005-0000-0000-000009700000}"/>
    <cellStyle name="Normal 29 2 2" xfId="5564" xr:uid="{00000000-0005-0000-0000-00000A700000}"/>
    <cellStyle name="Normal 29 2 2 2" xfId="5565" xr:uid="{00000000-0005-0000-0000-00000B700000}"/>
    <cellStyle name="Normal 29 2 2 2 2" xfId="9109" xr:uid="{00000000-0005-0000-0000-00000C700000}"/>
    <cellStyle name="Normal 29 2 2 2 2 2" xfId="15898" xr:uid="{00000000-0005-0000-0000-00000D700000}"/>
    <cellStyle name="Normal 29 2 2 2 2 2 2" xfId="29466" xr:uid="{00000000-0005-0000-0000-00000E700000}"/>
    <cellStyle name="Normal 29 2 2 2 2 2 2 2" xfId="56599" xr:uid="{00000000-0005-0000-0000-00000F700000}"/>
    <cellStyle name="Normal 29 2 2 2 2 2 3" xfId="43037" xr:uid="{00000000-0005-0000-0000-000010700000}"/>
    <cellStyle name="Normal 29 2 2 2 2 3" xfId="22685" xr:uid="{00000000-0005-0000-0000-000011700000}"/>
    <cellStyle name="Normal 29 2 2 2 2 3 2" xfId="49818" xr:uid="{00000000-0005-0000-0000-000012700000}"/>
    <cellStyle name="Normal 29 2 2 2 2 4" xfId="36256" xr:uid="{00000000-0005-0000-0000-000013700000}"/>
    <cellStyle name="Normal 29 2 2 2 3" xfId="12509" xr:uid="{00000000-0005-0000-0000-000014700000}"/>
    <cellStyle name="Normal 29 2 2 2 3 2" xfId="26077" xr:uid="{00000000-0005-0000-0000-000015700000}"/>
    <cellStyle name="Normal 29 2 2 2 3 2 2" xfId="53210" xr:uid="{00000000-0005-0000-0000-000016700000}"/>
    <cellStyle name="Normal 29 2 2 2 3 3" xfId="39648" xr:uid="{00000000-0005-0000-0000-000017700000}"/>
    <cellStyle name="Normal 29 2 2 2 4" xfId="19296" xr:uid="{00000000-0005-0000-0000-000018700000}"/>
    <cellStyle name="Normal 29 2 2 2 4 2" xfId="46429" xr:uid="{00000000-0005-0000-0000-000019700000}"/>
    <cellStyle name="Normal 29 2 2 2 5" xfId="32867" xr:uid="{00000000-0005-0000-0000-00001A700000}"/>
    <cellStyle name="Normal 29 2 2 3" xfId="5566" xr:uid="{00000000-0005-0000-0000-00001B700000}"/>
    <cellStyle name="Normal 29 2 2 3 2" xfId="9110" xr:uid="{00000000-0005-0000-0000-00001C700000}"/>
    <cellStyle name="Normal 29 2 2 3 2 2" xfId="15899" xr:uid="{00000000-0005-0000-0000-00001D700000}"/>
    <cellStyle name="Normal 29 2 2 3 2 2 2" xfId="29467" xr:uid="{00000000-0005-0000-0000-00001E700000}"/>
    <cellStyle name="Normal 29 2 2 3 2 2 2 2" xfId="56600" xr:uid="{00000000-0005-0000-0000-00001F700000}"/>
    <cellStyle name="Normal 29 2 2 3 2 2 3" xfId="43038" xr:uid="{00000000-0005-0000-0000-000020700000}"/>
    <cellStyle name="Normal 29 2 2 3 2 3" xfId="22686" xr:uid="{00000000-0005-0000-0000-000021700000}"/>
    <cellStyle name="Normal 29 2 2 3 2 3 2" xfId="49819" xr:uid="{00000000-0005-0000-0000-000022700000}"/>
    <cellStyle name="Normal 29 2 2 3 2 4" xfId="36257" xr:uid="{00000000-0005-0000-0000-000023700000}"/>
    <cellStyle name="Normal 29 2 2 3 3" xfId="12510" xr:uid="{00000000-0005-0000-0000-000024700000}"/>
    <cellStyle name="Normal 29 2 2 3 3 2" xfId="26078" xr:uid="{00000000-0005-0000-0000-000025700000}"/>
    <cellStyle name="Normal 29 2 2 3 3 2 2" xfId="53211" xr:uid="{00000000-0005-0000-0000-000026700000}"/>
    <cellStyle name="Normal 29 2 2 3 3 3" xfId="39649" xr:uid="{00000000-0005-0000-0000-000027700000}"/>
    <cellStyle name="Normal 29 2 2 3 4" xfId="19297" xr:uid="{00000000-0005-0000-0000-000028700000}"/>
    <cellStyle name="Normal 29 2 2 3 4 2" xfId="46430" xr:uid="{00000000-0005-0000-0000-000029700000}"/>
    <cellStyle name="Normal 29 2 2 3 5" xfId="32868" xr:uid="{00000000-0005-0000-0000-00002A700000}"/>
    <cellStyle name="Normal 29 2 2 4" xfId="9108" xr:uid="{00000000-0005-0000-0000-00002B700000}"/>
    <cellStyle name="Normal 29 2 2 4 2" xfId="15897" xr:uid="{00000000-0005-0000-0000-00002C700000}"/>
    <cellStyle name="Normal 29 2 2 4 2 2" xfId="29465" xr:uid="{00000000-0005-0000-0000-00002D700000}"/>
    <cellStyle name="Normal 29 2 2 4 2 2 2" xfId="56598" xr:uid="{00000000-0005-0000-0000-00002E700000}"/>
    <cellStyle name="Normal 29 2 2 4 2 3" xfId="43036" xr:uid="{00000000-0005-0000-0000-00002F700000}"/>
    <cellStyle name="Normal 29 2 2 4 3" xfId="22684" xr:uid="{00000000-0005-0000-0000-000030700000}"/>
    <cellStyle name="Normal 29 2 2 4 3 2" xfId="49817" xr:uid="{00000000-0005-0000-0000-000031700000}"/>
    <cellStyle name="Normal 29 2 2 4 4" xfId="36255" xr:uid="{00000000-0005-0000-0000-000032700000}"/>
    <cellStyle name="Normal 29 2 2 5" xfId="12508" xr:uid="{00000000-0005-0000-0000-000033700000}"/>
    <cellStyle name="Normal 29 2 2 5 2" xfId="26076" xr:uid="{00000000-0005-0000-0000-000034700000}"/>
    <cellStyle name="Normal 29 2 2 5 2 2" xfId="53209" xr:uid="{00000000-0005-0000-0000-000035700000}"/>
    <cellStyle name="Normal 29 2 2 5 3" xfId="39647" xr:uid="{00000000-0005-0000-0000-000036700000}"/>
    <cellStyle name="Normal 29 2 2 6" xfId="19295" xr:uid="{00000000-0005-0000-0000-000037700000}"/>
    <cellStyle name="Normal 29 2 2 6 2" xfId="46428" xr:uid="{00000000-0005-0000-0000-000038700000}"/>
    <cellStyle name="Normal 29 2 2 7" xfId="32866" xr:uid="{00000000-0005-0000-0000-000039700000}"/>
    <cellStyle name="Normal 29 2 3" xfId="5567" xr:uid="{00000000-0005-0000-0000-00003A700000}"/>
    <cellStyle name="Normal 29 2 3 2" xfId="5568" xr:uid="{00000000-0005-0000-0000-00003B700000}"/>
    <cellStyle name="Normal 29 2 3 2 2" xfId="9112" xr:uid="{00000000-0005-0000-0000-00003C700000}"/>
    <cellStyle name="Normal 29 2 3 2 2 2" xfId="15901" xr:uid="{00000000-0005-0000-0000-00003D700000}"/>
    <cellStyle name="Normal 29 2 3 2 2 2 2" xfId="29469" xr:uid="{00000000-0005-0000-0000-00003E700000}"/>
    <cellStyle name="Normal 29 2 3 2 2 2 2 2" xfId="56602" xr:uid="{00000000-0005-0000-0000-00003F700000}"/>
    <cellStyle name="Normal 29 2 3 2 2 2 3" xfId="43040" xr:uid="{00000000-0005-0000-0000-000040700000}"/>
    <cellStyle name="Normal 29 2 3 2 2 3" xfId="22688" xr:uid="{00000000-0005-0000-0000-000041700000}"/>
    <cellStyle name="Normal 29 2 3 2 2 3 2" xfId="49821" xr:uid="{00000000-0005-0000-0000-000042700000}"/>
    <cellStyle name="Normal 29 2 3 2 2 4" xfId="36259" xr:uid="{00000000-0005-0000-0000-000043700000}"/>
    <cellStyle name="Normal 29 2 3 2 3" xfId="12512" xr:uid="{00000000-0005-0000-0000-000044700000}"/>
    <cellStyle name="Normal 29 2 3 2 3 2" xfId="26080" xr:uid="{00000000-0005-0000-0000-000045700000}"/>
    <cellStyle name="Normal 29 2 3 2 3 2 2" xfId="53213" xr:uid="{00000000-0005-0000-0000-000046700000}"/>
    <cellStyle name="Normal 29 2 3 2 3 3" xfId="39651" xr:uid="{00000000-0005-0000-0000-000047700000}"/>
    <cellStyle name="Normal 29 2 3 2 4" xfId="19299" xr:uid="{00000000-0005-0000-0000-000048700000}"/>
    <cellStyle name="Normal 29 2 3 2 4 2" xfId="46432" xr:uid="{00000000-0005-0000-0000-000049700000}"/>
    <cellStyle name="Normal 29 2 3 2 5" xfId="32870" xr:uid="{00000000-0005-0000-0000-00004A700000}"/>
    <cellStyle name="Normal 29 2 3 3" xfId="9111" xr:uid="{00000000-0005-0000-0000-00004B700000}"/>
    <cellStyle name="Normal 29 2 3 3 2" xfId="15900" xr:uid="{00000000-0005-0000-0000-00004C700000}"/>
    <cellStyle name="Normal 29 2 3 3 2 2" xfId="29468" xr:uid="{00000000-0005-0000-0000-00004D700000}"/>
    <cellStyle name="Normal 29 2 3 3 2 2 2" xfId="56601" xr:uid="{00000000-0005-0000-0000-00004E700000}"/>
    <cellStyle name="Normal 29 2 3 3 2 3" xfId="43039" xr:uid="{00000000-0005-0000-0000-00004F700000}"/>
    <cellStyle name="Normal 29 2 3 3 3" xfId="22687" xr:uid="{00000000-0005-0000-0000-000050700000}"/>
    <cellStyle name="Normal 29 2 3 3 3 2" xfId="49820" xr:uid="{00000000-0005-0000-0000-000051700000}"/>
    <cellStyle name="Normal 29 2 3 3 4" xfId="36258" xr:uid="{00000000-0005-0000-0000-000052700000}"/>
    <cellStyle name="Normal 29 2 3 4" xfId="12511" xr:uid="{00000000-0005-0000-0000-000053700000}"/>
    <cellStyle name="Normal 29 2 3 4 2" xfId="26079" xr:uid="{00000000-0005-0000-0000-000054700000}"/>
    <cellStyle name="Normal 29 2 3 4 2 2" xfId="53212" xr:uid="{00000000-0005-0000-0000-000055700000}"/>
    <cellStyle name="Normal 29 2 3 4 3" xfId="39650" xr:uid="{00000000-0005-0000-0000-000056700000}"/>
    <cellStyle name="Normal 29 2 3 5" xfId="19298" xr:uid="{00000000-0005-0000-0000-000057700000}"/>
    <cellStyle name="Normal 29 2 3 5 2" xfId="46431" xr:uid="{00000000-0005-0000-0000-000058700000}"/>
    <cellStyle name="Normal 29 2 3 6" xfId="32869" xr:uid="{00000000-0005-0000-0000-000059700000}"/>
    <cellStyle name="Normal 29 2 4" xfId="5569" xr:uid="{00000000-0005-0000-0000-00005A700000}"/>
    <cellStyle name="Normal 29 2 4 2" xfId="9113" xr:uid="{00000000-0005-0000-0000-00005B700000}"/>
    <cellStyle name="Normal 29 2 4 2 2" xfId="15902" xr:uid="{00000000-0005-0000-0000-00005C700000}"/>
    <cellStyle name="Normal 29 2 4 2 2 2" xfId="29470" xr:uid="{00000000-0005-0000-0000-00005D700000}"/>
    <cellStyle name="Normal 29 2 4 2 2 2 2" xfId="56603" xr:uid="{00000000-0005-0000-0000-00005E700000}"/>
    <cellStyle name="Normal 29 2 4 2 2 3" xfId="43041" xr:uid="{00000000-0005-0000-0000-00005F700000}"/>
    <cellStyle name="Normal 29 2 4 2 3" xfId="22689" xr:uid="{00000000-0005-0000-0000-000060700000}"/>
    <cellStyle name="Normal 29 2 4 2 3 2" xfId="49822" xr:uid="{00000000-0005-0000-0000-000061700000}"/>
    <cellStyle name="Normal 29 2 4 2 4" xfId="36260" xr:uid="{00000000-0005-0000-0000-000062700000}"/>
    <cellStyle name="Normal 29 2 4 3" xfId="12513" xr:uid="{00000000-0005-0000-0000-000063700000}"/>
    <cellStyle name="Normal 29 2 4 3 2" xfId="26081" xr:uid="{00000000-0005-0000-0000-000064700000}"/>
    <cellStyle name="Normal 29 2 4 3 2 2" xfId="53214" xr:uid="{00000000-0005-0000-0000-000065700000}"/>
    <cellStyle name="Normal 29 2 4 3 3" xfId="39652" xr:uid="{00000000-0005-0000-0000-000066700000}"/>
    <cellStyle name="Normal 29 2 4 4" xfId="19300" xr:uid="{00000000-0005-0000-0000-000067700000}"/>
    <cellStyle name="Normal 29 2 4 4 2" xfId="46433" xr:uid="{00000000-0005-0000-0000-000068700000}"/>
    <cellStyle name="Normal 29 2 4 5" xfId="32871" xr:uid="{00000000-0005-0000-0000-000069700000}"/>
    <cellStyle name="Normal 29 2 5" xfId="5570" xr:uid="{00000000-0005-0000-0000-00006A700000}"/>
    <cellStyle name="Normal 29 2 5 2" xfId="9114" xr:uid="{00000000-0005-0000-0000-00006B700000}"/>
    <cellStyle name="Normal 29 2 5 2 2" xfId="15903" xr:uid="{00000000-0005-0000-0000-00006C700000}"/>
    <cellStyle name="Normal 29 2 5 2 2 2" xfId="29471" xr:uid="{00000000-0005-0000-0000-00006D700000}"/>
    <cellStyle name="Normal 29 2 5 2 2 2 2" xfId="56604" xr:uid="{00000000-0005-0000-0000-00006E700000}"/>
    <cellStyle name="Normal 29 2 5 2 2 3" xfId="43042" xr:uid="{00000000-0005-0000-0000-00006F700000}"/>
    <cellStyle name="Normal 29 2 5 2 3" xfId="22690" xr:uid="{00000000-0005-0000-0000-000070700000}"/>
    <cellStyle name="Normal 29 2 5 2 3 2" xfId="49823" xr:uid="{00000000-0005-0000-0000-000071700000}"/>
    <cellStyle name="Normal 29 2 5 2 4" xfId="36261" xr:uid="{00000000-0005-0000-0000-000072700000}"/>
    <cellStyle name="Normal 29 2 5 3" xfId="12514" xr:uid="{00000000-0005-0000-0000-000073700000}"/>
    <cellStyle name="Normal 29 2 5 3 2" xfId="26082" xr:uid="{00000000-0005-0000-0000-000074700000}"/>
    <cellStyle name="Normal 29 2 5 3 2 2" xfId="53215" xr:uid="{00000000-0005-0000-0000-000075700000}"/>
    <cellStyle name="Normal 29 2 5 3 3" xfId="39653" xr:uid="{00000000-0005-0000-0000-000076700000}"/>
    <cellStyle name="Normal 29 2 5 4" xfId="19301" xr:uid="{00000000-0005-0000-0000-000077700000}"/>
    <cellStyle name="Normal 29 2 5 4 2" xfId="46434" xr:uid="{00000000-0005-0000-0000-000078700000}"/>
    <cellStyle name="Normal 29 2 5 5" xfId="32872" xr:uid="{00000000-0005-0000-0000-000079700000}"/>
    <cellStyle name="Normal 29 2 6" xfId="9107" xr:uid="{00000000-0005-0000-0000-00007A700000}"/>
    <cellStyle name="Normal 29 2 6 2" xfId="15896" xr:uid="{00000000-0005-0000-0000-00007B700000}"/>
    <cellStyle name="Normal 29 2 6 2 2" xfId="29464" xr:uid="{00000000-0005-0000-0000-00007C700000}"/>
    <cellStyle name="Normal 29 2 6 2 2 2" xfId="56597" xr:uid="{00000000-0005-0000-0000-00007D700000}"/>
    <cellStyle name="Normal 29 2 6 2 3" xfId="43035" xr:uid="{00000000-0005-0000-0000-00007E700000}"/>
    <cellStyle name="Normal 29 2 6 3" xfId="22683" xr:uid="{00000000-0005-0000-0000-00007F700000}"/>
    <cellStyle name="Normal 29 2 6 3 2" xfId="49816" xr:uid="{00000000-0005-0000-0000-000080700000}"/>
    <cellStyle name="Normal 29 2 6 4" xfId="36254" xr:uid="{00000000-0005-0000-0000-000081700000}"/>
    <cellStyle name="Normal 29 2 7" xfId="12507" xr:uid="{00000000-0005-0000-0000-000082700000}"/>
    <cellStyle name="Normal 29 2 7 2" xfId="26075" xr:uid="{00000000-0005-0000-0000-000083700000}"/>
    <cellStyle name="Normal 29 2 7 2 2" xfId="53208" xr:uid="{00000000-0005-0000-0000-000084700000}"/>
    <cellStyle name="Normal 29 2 7 3" xfId="39646" xr:uid="{00000000-0005-0000-0000-000085700000}"/>
    <cellStyle name="Normal 29 2 8" xfId="19294" xr:uid="{00000000-0005-0000-0000-000086700000}"/>
    <cellStyle name="Normal 29 2 8 2" xfId="46427" xr:uid="{00000000-0005-0000-0000-000087700000}"/>
    <cellStyle name="Normal 29 2 9" xfId="32865" xr:uid="{00000000-0005-0000-0000-000088700000}"/>
    <cellStyle name="Normal 29 3" xfId="5571" xr:uid="{00000000-0005-0000-0000-000089700000}"/>
    <cellStyle name="Normal 29 3 2" xfId="5572" xr:uid="{00000000-0005-0000-0000-00008A700000}"/>
    <cellStyle name="Normal 29 3 2 2" xfId="9116" xr:uid="{00000000-0005-0000-0000-00008B700000}"/>
    <cellStyle name="Normal 29 3 2 2 2" xfId="15905" xr:uid="{00000000-0005-0000-0000-00008C700000}"/>
    <cellStyle name="Normal 29 3 2 2 2 2" xfId="29473" xr:uid="{00000000-0005-0000-0000-00008D700000}"/>
    <cellStyle name="Normal 29 3 2 2 2 2 2" xfId="56606" xr:uid="{00000000-0005-0000-0000-00008E700000}"/>
    <cellStyle name="Normal 29 3 2 2 2 3" xfId="43044" xr:uid="{00000000-0005-0000-0000-00008F700000}"/>
    <cellStyle name="Normal 29 3 2 2 3" xfId="22692" xr:uid="{00000000-0005-0000-0000-000090700000}"/>
    <cellStyle name="Normal 29 3 2 2 3 2" xfId="49825" xr:uid="{00000000-0005-0000-0000-000091700000}"/>
    <cellStyle name="Normal 29 3 2 2 4" xfId="36263" xr:uid="{00000000-0005-0000-0000-000092700000}"/>
    <cellStyle name="Normal 29 3 2 3" xfId="12516" xr:uid="{00000000-0005-0000-0000-000093700000}"/>
    <cellStyle name="Normal 29 3 2 3 2" xfId="26084" xr:uid="{00000000-0005-0000-0000-000094700000}"/>
    <cellStyle name="Normal 29 3 2 3 2 2" xfId="53217" xr:uid="{00000000-0005-0000-0000-000095700000}"/>
    <cellStyle name="Normal 29 3 2 3 3" xfId="39655" xr:uid="{00000000-0005-0000-0000-000096700000}"/>
    <cellStyle name="Normal 29 3 2 4" xfId="19303" xr:uid="{00000000-0005-0000-0000-000097700000}"/>
    <cellStyle name="Normal 29 3 2 4 2" xfId="46436" xr:uid="{00000000-0005-0000-0000-000098700000}"/>
    <cellStyle name="Normal 29 3 2 5" xfId="32874" xr:uid="{00000000-0005-0000-0000-000099700000}"/>
    <cellStyle name="Normal 29 3 3" xfId="5573" xr:uid="{00000000-0005-0000-0000-00009A700000}"/>
    <cellStyle name="Normal 29 3 3 2" xfId="9117" xr:uid="{00000000-0005-0000-0000-00009B700000}"/>
    <cellStyle name="Normal 29 3 3 2 2" xfId="15906" xr:uid="{00000000-0005-0000-0000-00009C700000}"/>
    <cellStyle name="Normal 29 3 3 2 2 2" xfId="29474" xr:uid="{00000000-0005-0000-0000-00009D700000}"/>
    <cellStyle name="Normal 29 3 3 2 2 2 2" xfId="56607" xr:uid="{00000000-0005-0000-0000-00009E700000}"/>
    <cellStyle name="Normal 29 3 3 2 2 3" xfId="43045" xr:uid="{00000000-0005-0000-0000-00009F700000}"/>
    <cellStyle name="Normal 29 3 3 2 3" xfId="22693" xr:uid="{00000000-0005-0000-0000-0000A0700000}"/>
    <cellStyle name="Normal 29 3 3 2 3 2" xfId="49826" xr:uid="{00000000-0005-0000-0000-0000A1700000}"/>
    <cellStyle name="Normal 29 3 3 2 4" xfId="36264" xr:uid="{00000000-0005-0000-0000-0000A2700000}"/>
    <cellStyle name="Normal 29 3 3 3" xfId="12517" xr:uid="{00000000-0005-0000-0000-0000A3700000}"/>
    <cellStyle name="Normal 29 3 3 3 2" xfId="26085" xr:uid="{00000000-0005-0000-0000-0000A4700000}"/>
    <cellStyle name="Normal 29 3 3 3 2 2" xfId="53218" xr:uid="{00000000-0005-0000-0000-0000A5700000}"/>
    <cellStyle name="Normal 29 3 3 3 3" xfId="39656" xr:uid="{00000000-0005-0000-0000-0000A6700000}"/>
    <cellStyle name="Normal 29 3 3 4" xfId="19304" xr:uid="{00000000-0005-0000-0000-0000A7700000}"/>
    <cellStyle name="Normal 29 3 3 4 2" xfId="46437" xr:uid="{00000000-0005-0000-0000-0000A8700000}"/>
    <cellStyle name="Normal 29 3 3 5" xfId="32875" xr:uid="{00000000-0005-0000-0000-0000A9700000}"/>
    <cellStyle name="Normal 29 3 4" xfId="9115" xr:uid="{00000000-0005-0000-0000-0000AA700000}"/>
    <cellStyle name="Normal 29 3 4 2" xfId="15904" xr:uid="{00000000-0005-0000-0000-0000AB700000}"/>
    <cellStyle name="Normal 29 3 4 2 2" xfId="29472" xr:uid="{00000000-0005-0000-0000-0000AC700000}"/>
    <cellStyle name="Normal 29 3 4 2 2 2" xfId="56605" xr:uid="{00000000-0005-0000-0000-0000AD700000}"/>
    <cellStyle name="Normal 29 3 4 2 3" xfId="43043" xr:uid="{00000000-0005-0000-0000-0000AE700000}"/>
    <cellStyle name="Normal 29 3 4 3" xfId="22691" xr:uid="{00000000-0005-0000-0000-0000AF700000}"/>
    <cellStyle name="Normal 29 3 4 3 2" xfId="49824" xr:uid="{00000000-0005-0000-0000-0000B0700000}"/>
    <cellStyle name="Normal 29 3 4 4" xfId="36262" xr:uid="{00000000-0005-0000-0000-0000B1700000}"/>
    <cellStyle name="Normal 29 3 5" xfId="12515" xr:uid="{00000000-0005-0000-0000-0000B2700000}"/>
    <cellStyle name="Normal 29 3 5 2" xfId="26083" xr:uid="{00000000-0005-0000-0000-0000B3700000}"/>
    <cellStyle name="Normal 29 3 5 2 2" xfId="53216" xr:uid="{00000000-0005-0000-0000-0000B4700000}"/>
    <cellStyle name="Normal 29 3 5 3" xfId="39654" xr:uid="{00000000-0005-0000-0000-0000B5700000}"/>
    <cellStyle name="Normal 29 3 6" xfId="19302" xr:uid="{00000000-0005-0000-0000-0000B6700000}"/>
    <cellStyle name="Normal 29 3 6 2" xfId="46435" xr:uid="{00000000-0005-0000-0000-0000B7700000}"/>
    <cellStyle name="Normal 29 3 7" xfId="32873" xr:uid="{00000000-0005-0000-0000-0000B8700000}"/>
    <cellStyle name="Normal 29 4" xfId="5574" xr:uid="{00000000-0005-0000-0000-0000B9700000}"/>
    <cellStyle name="Normal 29 4 2" xfId="5575" xr:uid="{00000000-0005-0000-0000-0000BA700000}"/>
    <cellStyle name="Normal 29 4 2 2" xfId="9119" xr:uid="{00000000-0005-0000-0000-0000BB700000}"/>
    <cellStyle name="Normal 29 4 2 2 2" xfId="15908" xr:uid="{00000000-0005-0000-0000-0000BC700000}"/>
    <cellStyle name="Normal 29 4 2 2 2 2" xfId="29476" xr:uid="{00000000-0005-0000-0000-0000BD700000}"/>
    <cellStyle name="Normal 29 4 2 2 2 2 2" xfId="56609" xr:uid="{00000000-0005-0000-0000-0000BE700000}"/>
    <cellStyle name="Normal 29 4 2 2 2 3" xfId="43047" xr:uid="{00000000-0005-0000-0000-0000BF700000}"/>
    <cellStyle name="Normal 29 4 2 2 3" xfId="22695" xr:uid="{00000000-0005-0000-0000-0000C0700000}"/>
    <cellStyle name="Normal 29 4 2 2 3 2" xfId="49828" xr:uid="{00000000-0005-0000-0000-0000C1700000}"/>
    <cellStyle name="Normal 29 4 2 2 4" xfId="36266" xr:uid="{00000000-0005-0000-0000-0000C2700000}"/>
    <cellStyle name="Normal 29 4 2 3" xfId="12519" xr:uid="{00000000-0005-0000-0000-0000C3700000}"/>
    <cellStyle name="Normal 29 4 2 3 2" xfId="26087" xr:uid="{00000000-0005-0000-0000-0000C4700000}"/>
    <cellStyle name="Normal 29 4 2 3 2 2" xfId="53220" xr:uid="{00000000-0005-0000-0000-0000C5700000}"/>
    <cellStyle name="Normal 29 4 2 3 3" xfId="39658" xr:uid="{00000000-0005-0000-0000-0000C6700000}"/>
    <cellStyle name="Normal 29 4 2 4" xfId="19306" xr:uid="{00000000-0005-0000-0000-0000C7700000}"/>
    <cellStyle name="Normal 29 4 2 4 2" xfId="46439" xr:uid="{00000000-0005-0000-0000-0000C8700000}"/>
    <cellStyle name="Normal 29 4 2 5" xfId="32877" xr:uid="{00000000-0005-0000-0000-0000C9700000}"/>
    <cellStyle name="Normal 29 4 3" xfId="9118" xr:uid="{00000000-0005-0000-0000-0000CA700000}"/>
    <cellStyle name="Normal 29 4 3 2" xfId="15907" xr:uid="{00000000-0005-0000-0000-0000CB700000}"/>
    <cellStyle name="Normal 29 4 3 2 2" xfId="29475" xr:uid="{00000000-0005-0000-0000-0000CC700000}"/>
    <cellStyle name="Normal 29 4 3 2 2 2" xfId="56608" xr:uid="{00000000-0005-0000-0000-0000CD700000}"/>
    <cellStyle name="Normal 29 4 3 2 3" xfId="43046" xr:uid="{00000000-0005-0000-0000-0000CE700000}"/>
    <cellStyle name="Normal 29 4 3 3" xfId="22694" xr:uid="{00000000-0005-0000-0000-0000CF700000}"/>
    <cellStyle name="Normal 29 4 3 3 2" xfId="49827" xr:uid="{00000000-0005-0000-0000-0000D0700000}"/>
    <cellStyle name="Normal 29 4 3 4" xfId="36265" xr:uid="{00000000-0005-0000-0000-0000D1700000}"/>
    <cellStyle name="Normal 29 4 4" xfId="12518" xr:uid="{00000000-0005-0000-0000-0000D2700000}"/>
    <cellStyle name="Normal 29 4 4 2" xfId="26086" xr:uid="{00000000-0005-0000-0000-0000D3700000}"/>
    <cellStyle name="Normal 29 4 4 2 2" xfId="53219" xr:uid="{00000000-0005-0000-0000-0000D4700000}"/>
    <cellStyle name="Normal 29 4 4 3" xfId="39657" xr:uid="{00000000-0005-0000-0000-0000D5700000}"/>
    <cellStyle name="Normal 29 4 5" xfId="19305" xr:uid="{00000000-0005-0000-0000-0000D6700000}"/>
    <cellStyle name="Normal 29 4 5 2" xfId="46438" xr:uid="{00000000-0005-0000-0000-0000D7700000}"/>
    <cellStyle name="Normal 29 4 6" xfId="32876" xr:uid="{00000000-0005-0000-0000-0000D8700000}"/>
    <cellStyle name="Normal 29 5" xfId="5576" xr:uid="{00000000-0005-0000-0000-0000D9700000}"/>
    <cellStyle name="Normal 29 5 2" xfId="9120" xr:uid="{00000000-0005-0000-0000-0000DA700000}"/>
    <cellStyle name="Normal 29 5 2 2" xfId="15909" xr:uid="{00000000-0005-0000-0000-0000DB700000}"/>
    <cellStyle name="Normal 29 5 2 2 2" xfId="29477" xr:uid="{00000000-0005-0000-0000-0000DC700000}"/>
    <cellStyle name="Normal 29 5 2 2 2 2" xfId="56610" xr:uid="{00000000-0005-0000-0000-0000DD700000}"/>
    <cellStyle name="Normal 29 5 2 2 3" xfId="43048" xr:uid="{00000000-0005-0000-0000-0000DE700000}"/>
    <cellStyle name="Normal 29 5 2 3" xfId="22696" xr:uid="{00000000-0005-0000-0000-0000DF700000}"/>
    <cellStyle name="Normal 29 5 2 3 2" xfId="49829" xr:uid="{00000000-0005-0000-0000-0000E0700000}"/>
    <cellStyle name="Normal 29 5 2 4" xfId="36267" xr:uid="{00000000-0005-0000-0000-0000E1700000}"/>
    <cellStyle name="Normal 29 5 3" xfId="12520" xr:uid="{00000000-0005-0000-0000-0000E2700000}"/>
    <cellStyle name="Normal 29 5 3 2" xfId="26088" xr:uid="{00000000-0005-0000-0000-0000E3700000}"/>
    <cellStyle name="Normal 29 5 3 2 2" xfId="53221" xr:uid="{00000000-0005-0000-0000-0000E4700000}"/>
    <cellStyle name="Normal 29 5 3 3" xfId="39659" xr:uid="{00000000-0005-0000-0000-0000E5700000}"/>
    <cellStyle name="Normal 29 5 4" xfId="19307" xr:uid="{00000000-0005-0000-0000-0000E6700000}"/>
    <cellStyle name="Normal 29 5 4 2" xfId="46440" xr:uid="{00000000-0005-0000-0000-0000E7700000}"/>
    <cellStyle name="Normal 29 5 5" xfId="32878" xr:uid="{00000000-0005-0000-0000-0000E8700000}"/>
    <cellStyle name="Normal 29 6" xfId="5577" xr:uid="{00000000-0005-0000-0000-0000E9700000}"/>
    <cellStyle name="Normal 29 6 2" xfId="9121" xr:uid="{00000000-0005-0000-0000-0000EA700000}"/>
    <cellStyle name="Normal 29 6 2 2" xfId="15910" xr:uid="{00000000-0005-0000-0000-0000EB700000}"/>
    <cellStyle name="Normal 29 6 2 2 2" xfId="29478" xr:uid="{00000000-0005-0000-0000-0000EC700000}"/>
    <cellStyle name="Normal 29 6 2 2 2 2" xfId="56611" xr:uid="{00000000-0005-0000-0000-0000ED700000}"/>
    <cellStyle name="Normal 29 6 2 2 3" xfId="43049" xr:uid="{00000000-0005-0000-0000-0000EE700000}"/>
    <cellStyle name="Normal 29 6 2 3" xfId="22697" xr:uid="{00000000-0005-0000-0000-0000EF700000}"/>
    <cellStyle name="Normal 29 6 2 3 2" xfId="49830" xr:uid="{00000000-0005-0000-0000-0000F0700000}"/>
    <cellStyle name="Normal 29 6 2 4" xfId="36268" xr:uid="{00000000-0005-0000-0000-0000F1700000}"/>
    <cellStyle name="Normal 29 6 3" xfId="12521" xr:uid="{00000000-0005-0000-0000-0000F2700000}"/>
    <cellStyle name="Normal 29 6 3 2" xfId="26089" xr:uid="{00000000-0005-0000-0000-0000F3700000}"/>
    <cellStyle name="Normal 29 6 3 2 2" xfId="53222" xr:uid="{00000000-0005-0000-0000-0000F4700000}"/>
    <cellStyle name="Normal 29 6 3 3" xfId="39660" xr:uid="{00000000-0005-0000-0000-0000F5700000}"/>
    <cellStyle name="Normal 29 6 4" xfId="19308" xr:uid="{00000000-0005-0000-0000-0000F6700000}"/>
    <cellStyle name="Normal 29 6 4 2" xfId="46441" xr:uid="{00000000-0005-0000-0000-0000F7700000}"/>
    <cellStyle name="Normal 29 6 5" xfId="32879" xr:uid="{00000000-0005-0000-0000-0000F8700000}"/>
    <cellStyle name="Normal 3" xfId="31" xr:uid="{00000000-0005-0000-0000-0000F9700000}"/>
    <cellStyle name="Normal 3 10" xfId="2651" xr:uid="{00000000-0005-0000-0000-0000FA700000}"/>
    <cellStyle name="Normal 3 10 2" xfId="2652" xr:uid="{00000000-0005-0000-0000-0000FB700000}"/>
    <cellStyle name="Normal 3 10 2 2" xfId="5578" xr:uid="{00000000-0005-0000-0000-0000FC700000}"/>
    <cellStyle name="Normal 3 10 2 2 2" xfId="9122" xr:uid="{00000000-0005-0000-0000-0000FD700000}"/>
    <cellStyle name="Normal 3 10 2 2 2 2" xfId="15911" xr:uid="{00000000-0005-0000-0000-0000FE700000}"/>
    <cellStyle name="Normal 3 10 2 2 2 2 2" xfId="29479" xr:uid="{00000000-0005-0000-0000-0000FF700000}"/>
    <cellStyle name="Normal 3 10 2 2 2 2 2 2" xfId="56612" xr:uid="{00000000-0005-0000-0000-000000710000}"/>
    <cellStyle name="Normal 3 10 2 2 2 2 3" xfId="43050" xr:uid="{00000000-0005-0000-0000-000001710000}"/>
    <cellStyle name="Normal 3 10 2 2 2 3" xfId="22698" xr:uid="{00000000-0005-0000-0000-000002710000}"/>
    <cellStyle name="Normal 3 10 2 2 2 3 2" xfId="49831" xr:uid="{00000000-0005-0000-0000-000003710000}"/>
    <cellStyle name="Normal 3 10 2 2 2 4" xfId="36269" xr:uid="{00000000-0005-0000-0000-000004710000}"/>
    <cellStyle name="Normal 3 10 2 2 3" xfId="12522" xr:uid="{00000000-0005-0000-0000-000005710000}"/>
    <cellStyle name="Normal 3 10 2 2 3 2" xfId="26090" xr:uid="{00000000-0005-0000-0000-000006710000}"/>
    <cellStyle name="Normal 3 10 2 2 3 2 2" xfId="53223" xr:uid="{00000000-0005-0000-0000-000007710000}"/>
    <cellStyle name="Normal 3 10 2 2 3 3" xfId="39661" xr:uid="{00000000-0005-0000-0000-000008710000}"/>
    <cellStyle name="Normal 3 10 2 2 4" xfId="19309" xr:uid="{00000000-0005-0000-0000-000009710000}"/>
    <cellStyle name="Normal 3 10 2 2 4 2" xfId="46442" xr:uid="{00000000-0005-0000-0000-00000A710000}"/>
    <cellStyle name="Normal 3 10 2 2 5" xfId="32880" xr:uid="{00000000-0005-0000-0000-00000B710000}"/>
    <cellStyle name="Normal 3 10 2 3" xfId="5579" xr:uid="{00000000-0005-0000-0000-00000C710000}"/>
    <cellStyle name="Normal 3 10 2 3 2" xfId="9123" xr:uid="{00000000-0005-0000-0000-00000D710000}"/>
    <cellStyle name="Normal 3 10 2 3 2 2" xfId="15912" xr:uid="{00000000-0005-0000-0000-00000E710000}"/>
    <cellStyle name="Normal 3 10 2 3 2 2 2" xfId="29480" xr:uid="{00000000-0005-0000-0000-00000F710000}"/>
    <cellStyle name="Normal 3 10 2 3 2 2 2 2" xfId="56613" xr:uid="{00000000-0005-0000-0000-000010710000}"/>
    <cellStyle name="Normal 3 10 2 3 2 2 3" xfId="43051" xr:uid="{00000000-0005-0000-0000-000011710000}"/>
    <cellStyle name="Normal 3 10 2 3 2 3" xfId="22699" xr:uid="{00000000-0005-0000-0000-000012710000}"/>
    <cellStyle name="Normal 3 10 2 3 2 3 2" xfId="49832" xr:uid="{00000000-0005-0000-0000-000013710000}"/>
    <cellStyle name="Normal 3 10 2 3 2 4" xfId="36270" xr:uid="{00000000-0005-0000-0000-000014710000}"/>
    <cellStyle name="Normal 3 10 2 3 3" xfId="12523" xr:uid="{00000000-0005-0000-0000-000015710000}"/>
    <cellStyle name="Normal 3 10 2 3 3 2" xfId="26091" xr:uid="{00000000-0005-0000-0000-000016710000}"/>
    <cellStyle name="Normal 3 10 2 3 3 2 2" xfId="53224" xr:uid="{00000000-0005-0000-0000-000017710000}"/>
    <cellStyle name="Normal 3 10 2 3 3 3" xfId="39662" xr:uid="{00000000-0005-0000-0000-000018710000}"/>
    <cellStyle name="Normal 3 10 2 3 4" xfId="19310" xr:uid="{00000000-0005-0000-0000-000019710000}"/>
    <cellStyle name="Normal 3 10 2 3 4 2" xfId="46443" xr:uid="{00000000-0005-0000-0000-00001A710000}"/>
    <cellStyle name="Normal 3 10 2 3 5" xfId="32881" xr:uid="{00000000-0005-0000-0000-00001B710000}"/>
    <cellStyle name="Normal 3 10 2 4" xfId="7465" xr:uid="{00000000-0005-0000-0000-00001C710000}"/>
    <cellStyle name="Normal 3 10 2 4 2" xfId="14254" xr:uid="{00000000-0005-0000-0000-00001D710000}"/>
    <cellStyle name="Normal 3 10 2 4 2 2" xfId="27822" xr:uid="{00000000-0005-0000-0000-00001E710000}"/>
    <cellStyle name="Normal 3 10 2 4 2 2 2" xfId="54955" xr:uid="{00000000-0005-0000-0000-00001F710000}"/>
    <cellStyle name="Normal 3 10 2 4 2 3" xfId="41393" xr:uid="{00000000-0005-0000-0000-000020710000}"/>
    <cellStyle name="Normal 3 10 2 4 3" xfId="21041" xr:uid="{00000000-0005-0000-0000-000021710000}"/>
    <cellStyle name="Normal 3 10 2 4 3 2" xfId="48174" xr:uid="{00000000-0005-0000-0000-000022710000}"/>
    <cellStyle name="Normal 3 10 2 4 4" xfId="34612" xr:uid="{00000000-0005-0000-0000-000023710000}"/>
    <cellStyle name="Normal 3 10 2 5" xfId="10865" xr:uid="{00000000-0005-0000-0000-000024710000}"/>
    <cellStyle name="Normal 3 10 2 5 2" xfId="24433" xr:uid="{00000000-0005-0000-0000-000025710000}"/>
    <cellStyle name="Normal 3 10 2 5 2 2" xfId="51566" xr:uid="{00000000-0005-0000-0000-000026710000}"/>
    <cellStyle name="Normal 3 10 2 5 3" xfId="38004" xr:uid="{00000000-0005-0000-0000-000027710000}"/>
    <cellStyle name="Normal 3 10 2 6" xfId="17652" xr:uid="{00000000-0005-0000-0000-000028710000}"/>
    <cellStyle name="Normal 3 10 2 6 2" xfId="44785" xr:uid="{00000000-0005-0000-0000-000029710000}"/>
    <cellStyle name="Normal 3 10 2 7" xfId="31223" xr:uid="{00000000-0005-0000-0000-00002A710000}"/>
    <cellStyle name="Normal 3 10 3" xfId="5580" xr:uid="{00000000-0005-0000-0000-00002B710000}"/>
    <cellStyle name="Normal 3 10 3 2" xfId="9124" xr:uid="{00000000-0005-0000-0000-00002C710000}"/>
    <cellStyle name="Normal 3 10 3 2 2" xfId="15913" xr:uid="{00000000-0005-0000-0000-00002D710000}"/>
    <cellStyle name="Normal 3 10 3 2 2 2" xfId="29481" xr:uid="{00000000-0005-0000-0000-00002E710000}"/>
    <cellStyle name="Normal 3 10 3 2 2 2 2" xfId="56614" xr:uid="{00000000-0005-0000-0000-00002F710000}"/>
    <cellStyle name="Normal 3 10 3 2 2 3" xfId="43052" xr:uid="{00000000-0005-0000-0000-000030710000}"/>
    <cellStyle name="Normal 3 10 3 2 3" xfId="22700" xr:uid="{00000000-0005-0000-0000-000031710000}"/>
    <cellStyle name="Normal 3 10 3 2 3 2" xfId="49833" xr:uid="{00000000-0005-0000-0000-000032710000}"/>
    <cellStyle name="Normal 3 10 3 2 4" xfId="36271" xr:uid="{00000000-0005-0000-0000-000033710000}"/>
    <cellStyle name="Normal 3 10 3 3" xfId="12524" xr:uid="{00000000-0005-0000-0000-000034710000}"/>
    <cellStyle name="Normal 3 10 3 3 2" xfId="26092" xr:uid="{00000000-0005-0000-0000-000035710000}"/>
    <cellStyle name="Normal 3 10 3 3 2 2" xfId="53225" xr:uid="{00000000-0005-0000-0000-000036710000}"/>
    <cellStyle name="Normal 3 10 3 3 3" xfId="39663" xr:uid="{00000000-0005-0000-0000-000037710000}"/>
    <cellStyle name="Normal 3 10 3 4" xfId="19311" xr:uid="{00000000-0005-0000-0000-000038710000}"/>
    <cellStyle name="Normal 3 10 3 4 2" xfId="46444" xr:uid="{00000000-0005-0000-0000-000039710000}"/>
    <cellStyle name="Normal 3 10 3 5" xfId="32882" xr:uid="{00000000-0005-0000-0000-00003A710000}"/>
    <cellStyle name="Normal 3 10 4" xfId="5581" xr:uid="{00000000-0005-0000-0000-00003B710000}"/>
    <cellStyle name="Normal 3 10 4 2" xfId="9125" xr:uid="{00000000-0005-0000-0000-00003C710000}"/>
    <cellStyle name="Normal 3 10 4 2 2" xfId="15914" xr:uid="{00000000-0005-0000-0000-00003D710000}"/>
    <cellStyle name="Normal 3 10 4 2 2 2" xfId="29482" xr:uid="{00000000-0005-0000-0000-00003E710000}"/>
    <cellStyle name="Normal 3 10 4 2 2 2 2" xfId="56615" xr:uid="{00000000-0005-0000-0000-00003F710000}"/>
    <cellStyle name="Normal 3 10 4 2 2 3" xfId="43053" xr:uid="{00000000-0005-0000-0000-000040710000}"/>
    <cellStyle name="Normal 3 10 4 2 3" xfId="22701" xr:uid="{00000000-0005-0000-0000-000041710000}"/>
    <cellStyle name="Normal 3 10 4 2 3 2" xfId="49834" xr:uid="{00000000-0005-0000-0000-000042710000}"/>
    <cellStyle name="Normal 3 10 4 2 4" xfId="36272" xr:uid="{00000000-0005-0000-0000-000043710000}"/>
    <cellStyle name="Normal 3 10 4 3" xfId="12525" xr:uid="{00000000-0005-0000-0000-000044710000}"/>
    <cellStyle name="Normal 3 10 4 3 2" xfId="26093" xr:uid="{00000000-0005-0000-0000-000045710000}"/>
    <cellStyle name="Normal 3 10 4 3 2 2" xfId="53226" xr:uid="{00000000-0005-0000-0000-000046710000}"/>
    <cellStyle name="Normal 3 10 4 3 3" xfId="39664" xr:uid="{00000000-0005-0000-0000-000047710000}"/>
    <cellStyle name="Normal 3 10 4 4" xfId="19312" xr:uid="{00000000-0005-0000-0000-000048710000}"/>
    <cellStyle name="Normal 3 10 4 4 2" xfId="46445" xr:uid="{00000000-0005-0000-0000-000049710000}"/>
    <cellStyle name="Normal 3 10 4 5" xfId="32883" xr:uid="{00000000-0005-0000-0000-00004A710000}"/>
    <cellStyle name="Normal 3 10 5" xfId="7464" xr:uid="{00000000-0005-0000-0000-00004B710000}"/>
    <cellStyle name="Normal 3 10 5 2" xfId="14253" xr:uid="{00000000-0005-0000-0000-00004C710000}"/>
    <cellStyle name="Normal 3 10 5 2 2" xfId="27821" xr:uid="{00000000-0005-0000-0000-00004D710000}"/>
    <cellStyle name="Normal 3 10 5 2 2 2" xfId="54954" xr:uid="{00000000-0005-0000-0000-00004E710000}"/>
    <cellStyle name="Normal 3 10 5 2 3" xfId="41392" xr:uid="{00000000-0005-0000-0000-00004F710000}"/>
    <cellStyle name="Normal 3 10 5 3" xfId="21040" xr:uid="{00000000-0005-0000-0000-000050710000}"/>
    <cellStyle name="Normal 3 10 5 3 2" xfId="48173" xr:uid="{00000000-0005-0000-0000-000051710000}"/>
    <cellStyle name="Normal 3 10 5 4" xfId="34611" xr:uid="{00000000-0005-0000-0000-000052710000}"/>
    <cellStyle name="Normal 3 10 6" xfId="10864" xr:uid="{00000000-0005-0000-0000-000053710000}"/>
    <cellStyle name="Normal 3 10 6 2" xfId="24432" xr:uid="{00000000-0005-0000-0000-000054710000}"/>
    <cellStyle name="Normal 3 10 6 2 2" xfId="51565" xr:uid="{00000000-0005-0000-0000-000055710000}"/>
    <cellStyle name="Normal 3 10 6 3" xfId="38003" xr:uid="{00000000-0005-0000-0000-000056710000}"/>
    <cellStyle name="Normal 3 10 7" xfId="17651" xr:uid="{00000000-0005-0000-0000-000057710000}"/>
    <cellStyle name="Normal 3 10 7 2" xfId="44784" xr:uid="{00000000-0005-0000-0000-000058710000}"/>
    <cellStyle name="Normal 3 10 8" xfId="31222" xr:uid="{00000000-0005-0000-0000-000059710000}"/>
    <cellStyle name="Normal 3 11" xfId="2653" xr:uid="{00000000-0005-0000-0000-00005A710000}"/>
    <cellStyle name="Normal 3 11 2" xfId="2654" xr:uid="{00000000-0005-0000-0000-00005B710000}"/>
    <cellStyle name="Normal 3 11 2 2" xfId="5582" xr:uid="{00000000-0005-0000-0000-00005C710000}"/>
    <cellStyle name="Normal 3 11 2 2 2" xfId="9126" xr:uid="{00000000-0005-0000-0000-00005D710000}"/>
    <cellStyle name="Normal 3 11 2 2 2 2" xfId="15915" xr:uid="{00000000-0005-0000-0000-00005E710000}"/>
    <cellStyle name="Normal 3 11 2 2 2 2 2" xfId="29483" xr:uid="{00000000-0005-0000-0000-00005F710000}"/>
    <cellStyle name="Normal 3 11 2 2 2 2 2 2" xfId="56616" xr:uid="{00000000-0005-0000-0000-000060710000}"/>
    <cellStyle name="Normal 3 11 2 2 2 2 3" xfId="43054" xr:uid="{00000000-0005-0000-0000-000061710000}"/>
    <cellStyle name="Normal 3 11 2 2 2 3" xfId="22702" xr:uid="{00000000-0005-0000-0000-000062710000}"/>
    <cellStyle name="Normal 3 11 2 2 2 3 2" xfId="49835" xr:uid="{00000000-0005-0000-0000-000063710000}"/>
    <cellStyle name="Normal 3 11 2 2 2 4" xfId="36273" xr:uid="{00000000-0005-0000-0000-000064710000}"/>
    <cellStyle name="Normal 3 11 2 2 3" xfId="12526" xr:uid="{00000000-0005-0000-0000-000065710000}"/>
    <cellStyle name="Normal 3 11 2 2 3 2" xfId="26094" xr:uid="{00000000-0005-0000-0000-000066710000}"/>
    <cellStyle name="Normal 3 11 2 2 3 2 2" xfId="53227" xr:uid="{00000000-0005-0000-0000-000067710000}"/>
    <cellStyle name="Normal 3 11 2 2 3 3" xfId="39665" xr:uid="{00000000-0005-0000-0000-000068710000}"/>
    <cellStyle name="Normal 3 11 2 2 4" xfId="19313" xr:uid="{00000000-0005-0000-0000-000069710000}"/>
    <cellStyle name="Normal 3 11 2 2 4 2" xfId="46446" xr:uid="{00000000-0005-0000-0000-00006A710000}"/>
    <cellStyle name="Normal 3 11 2 2 5" xfId="32884" xr:uid="{00000000-0005-0000-0000-00006B710000}"/>
    <cellStyle name="Normal 3 11 2 3" xfId="5583" xr:uid="{00000000-0005-0000-0000-00006C710000}"/>
    <cellStyle name="Normal 3 11 2 3 2" xfId="9127" xr:uid="{00000000-0005-0000-0000-00006D710000}"/>
    <cellStyle name="Normal 3 11 2 3 2 2" xfId="15916" xr:uid="{00000000-0005-0000-0000-00006E710000}"/>
    <cellStyle name="Normal 3 11 2 3 2 2 2" xfId="29484" xr:uid="{00000000-0005-0000-0000-00006F710000}"/>
    <cellStyle name="Normal 3 11 2 3 2 2 2 2" xfId="56617" xr:uid="{00000000-0005-0000-0000-000070710000}"/>
    <cellStyle name="Normal 3 11 2 3 2 2 3" xfId="43055" xr:uid="{00000000-0005-0000-0000-000071710000}"/>
    <cellStyle name="Normal 3 11 2 3 2 3" xfId="22703" xr:uid="{00000000-0005-0000-0000-000072710000}"/>
    <cellStyle name="Normal 3 11 2 3 2 3 2" xfId="49836" xr:uid="{00000000-0005-0000-0000-000073710000}"/>
    <cellStyle name="Normal 3 11 2 3 2 4" xfId="36274" xr:uid="{00000000-0005-0000-0000-000074710000}"/>
    <cellStyle name="Normal 3 11 2 3 3" xfId="12527" xr:uid="{00000000-0005-0000-0000-000075710000}"/>
    <cellStyle name="Normal 3 11 2 3 3 2" xfId="26095" xr:uid="{00000000-0005-0000-0000-000076710000}"/>
    <cellStyle name="Normal 3 11 2 3 3 2 2" xfId="53228" xr:uid="{00000000-0005-0000-0000-000077710000}"/>
    <cellStyle name="Normal 3 11 2 3 3 3" xfId="39666" xr:uid="{00000000-0005-0000-0000-000078710000}"/>
    <cellStyle name="Normal 3 11 2 3 4" xfId="19314" xr:uid="{00000000-0005-0000-0000-000079710000}"/>
    <cellStyle name="Normal 3 11 2 3 4 2" xfId="46447" xr:uid="{00000000-0005-0000-0000-00007A710000}"/>
    <cellStyle name="Normal 3 11 2 3 5" xfId="32885" xr:uid="{00000000-0005-0000-0000-00007B710000}"/>
    <cellStyle name="Normal 3 11 2 4" xfId="7467" xr:uid="{00000000-0005-0000-0000-00007C710000}"/>
    <cellStyle name="Normal 3 11 2 4 2" xfId="14256" xr:uid="{00000000-0005-0000-0000-00007D710000}"/>
    <cellStyle name="Normal 3 11 2 4 2 2" xfId="27824" xr:uid="{00000000-0005-0000-0000-00007E710000}"/>
    <cellStyle name="Normal 3 11 2 4 2 2 2" xfId="54957" xr:uid="{00000000-0005-0000-0000-00007F710000}"/>
    <cellStyle name="Normal 3 11 2 4 2 3" xfId="41395" xr:uid="{00000000-0005-0000-0000-000080710000}"/>
    <cellStyle name="Normal 3 11 2 4 3" xfId="21043" xr:uid="{00000000-0005-0000-0000-000081710000}"/>
    <cellStyle name="Normal 3 11 2 4 3 2" xfId="48176" xr:uid="{00000000-0005-0000-0000-000082710000}"/>
    <cellStyle name="Normal 3 11 2 4 4" xfId="34614" xr:uid="{00000000-0005-0000-0000-000083710000}"/>
    <cellStyle name="Normal 3 11 2 5" xfId="10867" xr:uid="{00000000-0005-0000-0000-000084710000}"/>
    <cellStyle name="Normal 3 11 2 5 2" xfId="24435" xr:uid="{00000000-0005-0000-0000-000085710000}"/>
    <cellStyle name="Normal 3 11 2 5 2 2" xfId="51568" xr:uid="{00000000-0005-0000-0000-000086710000}"/>
    <cellStyle name="Normal 3 11 2 5 3" xfId="38006" xr:uid="{00000000-0005-0000-0000-000087710000}"/>
    <cellStyle name="Normal 3 11 2 6" xfId="17654" xr:uid="{00000000-0005-0000-0000-000088710000}"/>
    <cellStyle name="Normal 3 11 2 6 2" xfId="44787" xr:uid="{00000000-0005-0000-0000-000089710000}"/>
    <cellStyle name="Normal 3 11 2 7" xfId="31225" xr:uid="{00000000-0005-0000-0000-00008A710000}"/>
    <cellStyle name="Normal 3 11 3" xfId="5584" xr:uid="{00000000-0005-0000-0000-00008B710000}"/>
    <cellStyle name="Normal 3 11 3 2" xfId="9128" xr:uid="{00000000-0005-0000-0000-00008C710000}"/>
    <cellStyle name="Normal 3 11 3 2 2" xfId="15917" xr:uid="{00000000-0005-0000-0000-00008D710000}"/>
    <cellStyle name="Normal 3 11 3 2 2 2" xfId="29485" xr:uid="{00000000-0005-0000-0000-00008E710000}"/>
    <cellStyle name="Normal 3 11 3 2 2 2 2" xfId="56618" xr:uid="{00000000-0005-0000-0000-00008F710000}"/>
    <cellStyle name="Normal 3 11 3 2 2 3" xfId="43056" xr:uid="{00000000-0005-0000-0000-000090710000}"/>
    <cellStyle name="Normal 3 11 3 2 3" xfId="22704" xr:uid="{00000000-0005-0000-0000-000091710000}"/>
    <cellStyle name="Normal 3 11 3 2 3 2" xfId="49837" xr:uid="{00000000-0005-0000-0000-000092710000}"/>
    <cellStyle name="Normal 3 11 3 2 4" xfId="36275" xr:uid="{00000000-0005-0000-0000-000093710000}"/>
    <cellStyle name="Normal 3 11 3 3" xfId="12528" xr:uid="{00000000-0005-0000-0000-000094710000}"/>
    <cellStyle name="Normal 3 11 3 3 2" xfId="26096" xr:uid="{00000000-0005-0000-0000-000095710000}"/>
    <cellStyle name="Normal 3 11 3 3 2 2" xfId="53229" xr:uid="{00000000-0005-0000-0000-000096710000}"/>
    <cellStyle name="Normal 3 11 3 3 3" xfId="39667" xr:uid="{00000000-0005-0000-0000-000097710000}"/>
    <cellStyle name="Normal 3 11 3 4" xfId="19315" xr:uid="{00000000-0005-0000-0000-000098710000}"/>
    <cellStyle name="Normal 3 11 3 4 2" xfId="46448" xr:uid="{00000000-0005-0000-0000-000099710000}"/>
    <cellStyle name="Normal 3 11 3 5" xfId="32886" xr:uid="{00000000-0005-0000-0000-00009A710000}"/>
    <cellStyle name="Normal 3 11 4" xfId="5585" xr:uid="{00000000-0005-0000-0000-00009B710000}"/>
    <cellStyle name="Normal 3 11 4 2" xfId="9129" xr:uid="{00000000-0005-0000-0000-00009C710000}"/>
    <cellStyle name="Normal 3 11 4 2 2" xfId="15918" xr:uid="{00000000-0005-0000-0000-00009D710000}"/>
    <cellStyle name="Normal 3 11 4 2 2 2" xfId="29486" xr:uid="{00000000-0005-0000-0000-00009E710000}"/>
    <cellStyle name="Normal 3 11 4 2 2 2 2" xfId="56619" xr:uid="{00000000-0005-0000-0000-00009F710000}"/>
    <cellStyle name="Normal 3 11 4 2 2 3" xfId="43057" xr:uid="{00000000-0005-0000-0000-0000A0710000}"/>
    <cellStyle name="Normal 3 11 4 2 3" xfId="22705" xr:uid="{00000000-0005-0000-0000-0000A1710000}"/>
    <cellStyle name="Normal 3 11 4 2 3 2" xfId="49838" xr:uid="{00000000-0005-0000-0000-0000A2710000}"/>
    <cellStyle name="Normal 3 11 4 2 4" xfId="36276" xr:uid="{00000000-0005-0000-0000-0000A3710000}"/>
    <cellStyle name="Normal 3 11 4 3" xfId="12529" xr:uid="{00000000-0005-0000-0000-0000A4710000}"/>
    <cellStyle name="Normal 3 11 4 3 2" xfId="26097" xr:uid="{00000000-0005-0000-0000-0000A5710000}"/>
    <cellStyle name="Normal 3 11 4 3 2 2" xfId="53230" xr:uid="{00000000-0005-0000-0000-0000A6710000}"/>
    <cellStyle name="Normal 3 11 4 3 3" xfId="39668" xr:uid="{00000000-0005-0000-0000-0000A7710000}"/>
    <cellStyle name="Normal 3 11 4 4" xfId="19316" xr:uid="{00000000-0005-0000-0000-0000A8710000}"/>
    <cellStyle name="Normal 3 11 4 4 2" xfId="46449" xr:uid="{00000000-0005-0000-0000-0000A9710000}"/>
    <cellStyle name="Normal 3 11 4 5" xfId="32887" xr:uid="{00000000-0005-0000-0000-0000AA710000}"/>
    <cellStyle name="Normal 3 11 5" xfId="7466" xr:uid="{00000000-0005-0000-0000-0000AB710000}"/>
    <cellStyle name="Normal 3 11 5 2" xfId="14255" xr:uid="{00000000-0005-0000-0000-0000AC710000}"/>
    <cellStyle name="Normal 3 11 5 2 2" xfId="27823" xr:uid="{00000000-0005-0000-0000-0000AD710000}"/>
    <cellStyle name="Normal 3 11 5 2 2 2" xfId="54956" xr:uid="{00000000-0005-0000-0000-0000AE710000}"/>
    <cellStyle name="Normal 3 11 5 2 3" xfId="41394" xr:uid="{00000000-0005-0000-0000-0000AF710000}"/>
    <cellStyle name="Normal 3 11 5 3" xfId="21042" xr:uid="{00000000-0005-0000-0000-0000B0710000}"/>
    <cellStyle name="Normal 3 11 5 3 2" xfId="48175" xr:uid="{00000000-0005-0000-0000-0000B1710000}"/>
    <cellStyle name="Normal 3 11 5 4" xfId="34613" xr:uid="{00000000-0005-0000-0000-0000B2710000}"/>
    <cellStyle name="Normal 3 11 6" xfId="10866" xr:uid="{00000000-0005-0000-0000-0000B3710000}"/>
    <cellStyle name="Normal 3 11 6 2" xfId="24434" xr:uid="{00000000-0005-0000-0000-0000B4710000}"/>
    <cellStyle name="Normal 3 11 6 2 2" xfId="51567" xr:uid="{00000000-0005-0000-0000-0000B5710000}"/>
    <cellStyle name="Normal 3 11 6 3" xfId="38005" xr:uid="{00000000-0005-0000-0000-0000B6710000}"/>
    <cellStyle name="Normal 3 11 7" xfId="17653" xr:uid="{00000000-0005-0000-0000-0000B7710000}"/>
    <cellStyle name="Normal 3 11 7 2" xfId="44786" xr:uid="{00000000-0005-0000-0000-0000B8710000}"/>
    <cellStyle name="Normal 3 11 8" xfId="31224" xr:uid="{00000000-0005-0000-0000-0000B9710000}"/>
    <cellStyle name="Normal 3 12" xfId="2655" xr:uid="{00000000-0005-0000-0000-0000BA710000}"/>
    <cellStyle name="Normal 3 12 2" xfId="2656" xr:uid="{00000000-0005-0000-0000-0000BB710000}"/>
    <cellStyle name="Normal 3 12 2 2" xfId="7469" xr:uid="{00000000-0005-0000-0000-0000BC710000}"/>
    <cellStyle name="Normal 3 12 2 2 2" xfId="14258" xr:uid="{00000000-0005-0000-0000-0000BD710000}"/>
    <cellStyle name="Normal 3 12 2 2 2 2" xfId="27826" xr:uid="{00000000-0005-0000-0000-0000BE710000}"/>
    <cellStyle name="Normal 3 12 2 2 2 2 2" xfId="54959" xr:uid="{00000000-0005-0000-0000-0000BF710000}"/>
    <cellStyle name="Normal 3 12 2 2 2 3" xfId="41397" xr:uid="{00000000-0005-0000-0000-0000C0710000}"/>
    <cellStyle name="Normal 3 12 2 2 3" xfId="21045" xr:uid="{00000000-0005-0000-0000-0000C1710000}"/>
    <cellStyle name="Normal 3 12 2 2 3 2" xfId="48178" xr:uid="{00000000-0005-0000-0000-0000C2710000}"/>
    <cellStyle name="Normal 3 12 2 2 4" xfId="34616" xr:uid="{00000000-0005-0000-0000-0000C3710000}"/>
    <cellStyle name="Normal 3 12 2 3" xfId="10869" xr:uid="{00000000-0005-0000-0000-0000C4710000}"/>
    <cellStyle name="Normal 3 12 2 3 2" xfId="24437" xr:uid="{00000000-0005-0000-0000-0000C5710000}"/>
    <cellStyle name="Normal 3 12 2 3 2 2" xfId="51570" xr:uid="{00000000-0005-0000-0000-0000C6710000}"/>
    <cellStyle name="Normal 3 12 2 3 3" xfId="38008" xr:uid="{00000000-0005-0000-0000-0000C7710000}"/>
    <cellStyle name="Normal 3 12 2 4" xfId="17656" xr:uid="{00000000-0005-0000-0000-0000C8710000}"/>
    <cellStyle name="Normal 3 12 2 4 2" xfId="44789" xr:uid="{00000000-0005-0000-0000-0000C9710000}"/>
    <cellStyle name="Normal 3 12 2 5" xfId="31227" xr:uid="{00000000-0005-0000-0000-0000CA710000}"/>
    <cellStyle name="Normal 3 12 3" xfId="7468" xr:uid="{00000000-0005-0000-0000-0000CB710000}"/>
    <cellStyle name="Normal 3 12 3 2" xfId="14257" xr:uid="{00000000-0005-0000-0000-0000CC710000}"/>
    <cellStyle name="Normal 3 12 3 2 2" xfId="27825" xr:uid="{00000000-0005-0000-0000-0000CD710000}"/>
    <cellStyle name="Normal 3 12 3 2 2 2" xfId="54958" xr:uid="{00000000-0005-0000-0000-0000CE710000}"/>
    <cellStyle name="Normal 3 12 3 2 3" xfId="41396" xr:uid="{00000000-0005-0000-0000-0000CF710000}"/>
    <cellStyle name="Normal 3 12 3 3" xfId="21044" xr:uid="{00000000-0005-0000-0000-0000D0710000}"/>
    <cellStyle name="Normal 3 12 3 3 2" xfId="48177" xr:uid="{00000000-0005-0000-0000-0000D1710000}"/>
    <cellStyle name="Normal 3 12 3 4" xfId="34615" xr:uid="{00000000-0005-0000-0000-0000D2710000}"/>
    <cellStyle name="Normal 3 12 4" xfId="10868" xr:uid="{00000000-0005-0000-0000-0000D3710000}"/>
    <cellStyle name="Normal 3 12 4 2" xfId="24436" xr:uid="{00000000-0005-0000-0000-0000D4710000}"/>
    <cellStyle name="Normal 3 12 4 2 2" xfId="51569" xr:uid="{00000000-0005-0000-0000-0000D5710000}"/>
    <cellStyle name="Normal 3 12 4 3" xfId="38007" xr:uid="{00000000-0005-0000-0000-0000D6710000}"/>
    <cellStyle name="Normal 3 12 5" xfId="17655" xr:uid="{00000000-0005-0000-0000-0000D7710000}"/>
    <cellStyle name="Normal 3 12 5 2" xfId="44788" xr:uid="{00000000-0005-0000-0000-0000D8710000}"/>
    <cellStyle name="Normal 3 12 6" xfId="31226" xr:uid="{00000000-0005-0000-0000-0000D9710000}"/>
    <cellStyle name="Normal 3 13" xfId="2657" xr:uid="{00000000-0005-0000-0000-0000DA710000}"/>
    <cellStyle name="Normal 3 13 2" xfId="2658" xr:uid="{00000000-0005-0000-0000-0000DB710000}"/>
    <cellStyle name="Normal 3 13 2 2" xfId="7471" xr:uid="{00000000-0005-0000-0000-0000DC710000}"/>
    <cellStyle name="Normal 3 13 2 2 2" xfId="14260" xr:uid="{00000000-0005-0000-0000-0000DD710000}"/>
    <cellStyle name="Normal 3 13 2 2 2 2" xfId="27828" xr:uid="{00000000-0005-0000-0000-0000DE710000}"/>
    <cellStyle name="Normal 3 13 2 2 2 2 2" xfId="54961" xr:uid="{00000000-0005-0000-0000-0000DF710000}"/>
    <cellStyle name="Normal 3 13 2 2 2 3" xfId="41399" xr:uid="{00000000-0005-0000-0000-0000E0710000}"/>
    <cellStyle name="Normal 3 13 2 2 3" xfId="21047" xr:uid="{00000000-0005-0000-0000-0000E1710000}"/>
    <cellStyle name="Normal 3 13 2 2 3 2" xfId="48180" xr:uid="{00000000-0005-0000-0000-0000E2710000}"/>
    <cellStyle name="Normal 3 13 2 2 4" xfId="34618" xr:uid="{00000000-0005-0000-0000-0000E3710000}"/>
    <cellStyle name="Normal 3 13 2 3" xfId="10871" xr:uid="{00000000-0005-0000-0000-0000E4710000}"/>
    <cellStyle name="Normal 3 13 2 3 2" xfId="24439" xr:uid="{00000000-0005-0000-0000-0000E5710000}"/>
    <cellStyle name="Normal 3 13 2 3 2 2" xfId="51572" xr:uid="{00000000-0005-0000-0000-0000E6710000}"/>
    <cellStyle name="Normal 3 13 2 3 3" xfId="38010" xr:uid="{00000000-0005-0000-0000-0000E7710000}"/>
    <cellStyle name="Normal 3 13 2 4" xfId="17658" xr:uid="{00000000-0005-0000-0000-0000E8710000}"/>
    <cellStyle name="Normal 3 13 2 4 2" xfId="44791" xr:uid="{00000000-0005-0000-0000-0000E9710000}"/>
    <cellStyle name="Normal 3 13 2 5" xfId="31229" xr:uid="{00000000-0005-0000-0000-0000EA710000}"/>
    <cellStyle name="Normal 3 13 3" xfId="7470" xr:uid="{00000000-0005-0000-0000-0000EB710000}"/>
    <cellStyle name="Normal 3 13 3 2" xfId="14259" xr:uid="{00000000-0005-0000-0000-0000EC710000}"/>
    <cellStyle name="Normal 3 13 3 2 2" xfId="27827" xr:uid="{00000000-0005-0000-0000-0000ED710000}"/>
    <cellStyle name="Normal 3 13 3 2 2 2" xfId="54960" xr:uid="{00000000-0005-0000-0000-0000EE710000}"/>
    <cellStyle name="Normal 3 13 3 2 3" xfId="41398" xr:uid="{00000000-0005-0000-0000-0000EF710000}"/>
    <cellStyle name="Normal 3 13 3 3" xfId="21046" xr:uid="{00000000-0005-0000-0000-0000F0710000}"/>
    <cellStyle name="Normal 3 13 3 3 2" xfId="48179" xr:uid="{00000000-0005-0000-0000-0000F1710000}"/>
    <cellStyle name="Normal 3 13 3 4" xfId="34617" xr:uid="{00000000-0005-0000-0000-0000F2710000}"/>
    <cellStyle name="Normal 3 13 4" xfId="10870" xr:uid="{00000000-0005-0000-0000-0000F3710000}"/>
    <cellStyle name="Normal 3 13 4 2" xfId="24438" xr:uid="{00000000-0005-0000-0000-0000F4710000}"/>
    <cellStyle name="Normal 3 13 4 2 2" xfId="51571" xr:uid="{00000000-0005-0000-0000-0000F5710000}"/>
    <cellStyle name="Normal 3 13 4 3" xfId="38009" xr:uid="{00000000-0005-0000-0000-0000F6710000}"/>
    <cellStyle name="Normal 3 13 5" xfId="17657" xr:uid="{00000000-0005-0000-0000-0000F7710000}"/>
    <cellStyle name="Normal 3 13 5 2" xfId="44790" xr:uid="{00000000-0005-0000-0000-0000F8710000}"/>
    <cellStyle name="Normal 3 13 6" xfId="31228" xr:uid="{00000000-0005-0000-0000-0000F9710000}"/>
    <cellStyle name="Normal 3 14" xfId="2659" xr:uid="{00000000-0005-0000-0000-0000FA710000}"/>
    <cellStyle name="Normal 3 14 2" xfId="2660" xr:uid="{00000000-0005-0000-0000-0000FB710000}"/>
    <cellStyle name="Normal 3 14 2 2" xfId="7473" xr:uid="{00000000-0005-0000-0000-0000FC710000}"/>
    <cellStyle name="Normal 3 14 2 2 2" xfId="14262" xr:uid="{00000000-0005-0000-0000-0000FD710000}"/>
    <cellStyle name="Normal 3 14 2 2 2 2" xfId="27830" xr:uid="{00000000-0005-0000-0000-0000FE710000}"/>
    <cellStyle name="Normal 3 14 2 2 2 2 2" xfId="54963" xr:uid="{00000000-0005-0000-0000-0000FF710000}"/>
    <cellStyle name="Normal 3 14 2 2 2 3" xfId="41401" xr:uid="{00000000-0005-0000-0000-000000720000}"/>
    <cellStyle name="Normal 3 14 2 2 3" xfId="21049" xr:uid="{00000000-0005-0000-0000-000001720000}"/>
    <cellStyle name="Normal 3 14 2 2 3 2" xfId="48182" xr:uid="{00000000-0005-0000-0000-000002720000}"/>
    <cellStyle name="Normal 3 14 2 2 4" xfId="34620" xr:uid="{00000000-0005-0000-0000-000003720000}"/>
    <cellStyle name="Normal 3 14 2 3" xfId="10873" xr:uid="{00000000-0005-0000-0000-000004720000}"/>
    <cellStyle name="Normal 3 14 2 3 2" xfId="24441" xr:uid="{00000000-0005-0000-0000-000005720000}"/>
    <cellStyle name="Normal 3 14 2 3 2 2" xfId="51574" xr:uid="{00000000-0005-0000-0000-000006720000}"/>
    <cellStyle name="Normal 3 14 2 3 3" xfId="38012" xr:uid="{00000000-0005-0000-0000-000007720000}"/>
    <cellStyle name="Normal 3 14 2 4" xfId="17660" xr:uid="{00000000-0005-0000-0000-000008720000}"/>
    <cellStyle name="Normal 3 14 2 4 2" xfId="44793" xr:uid="{00000000-0005-0000-0000-000009720000}"/>
    <cellStyle name="Normal 3 14 2 5" xfId="31231" xr:uid="{00000000-0005-0000-0000-00000A720000}"/>
    <cellStyle name="Normal 3 14 3" xfId="7472" xr:uid="{00000000-0005-0000-0000-00000B720000}"/>
    <cellStyle name="Normal 3 14 3 2" xfId="14261" xr:uid="{00000000-0005-0000-0000-00000C720000}"/>
    <cellStyle name="Normal 3 14 3 2 2" xfId="27829" xr:uid="{00000000-0005-0000-0000-00000D720000}"/>
    <cellStyle name="Normal 3 14 3 2 2 2" xfId="54962" xr:uid="{00000000-0005-0000-0000-00000E720000}"/>
    <cellStyle name="Normal 3 14 3 2 3" xfId="41400" xr:uid="{00000000-0005-0000-0000-00000F720000}"/>
    <cellStyle name="Normal 3 14 3 3" xfId="21048" xr:uid="{00000000-0005-0000-0000-000010720000}"/>
    <cellStyle name="Normal 3 14 3 3 2" xfId="48181" xr:uid="{00000000-0005-0000-0000-000011720000}"/>
    <cellStyle name="Normal 3 14 3 4" xfId="34619" xr:uid="{00000000-0005-0000-0000-000012720000}"/>
    <cellStyle name="Normal 3 14 4" xfId="10872" xr:uid="{00000000-0005-0000-0000-000013720000}"/>
    <cellStyle name="Normal 3 14 4 2" xfId="24440" xr:uid="{00000000-0005-0000-0000-000014720000}"/>
    <cellStyle name="Normal 3 14 4 2 2" xfId="51573" xr:uid="{00000000-0005-0000-0000-000015720000}"/>
    <cellStyle name="Normal 3 14 4 3" xfId="38011" xr:uid="{00000000-0005-0000-0000-000016720000}"/>
    <cellStyle name="Normal 3 14 5" xfId="17659" xr:uid="{00000000-0005-0000-0000-000017720000}"/>
    <cellStyle name="Normal 3 14 5 2" xfId="44792" xr:uid="{00000000-0005-0000-0000-000018720000}"/>
    <cellStyle name="Normal 3 14 6" xfId="31230" xr:uid="{00000000-0005-0000-0000-000019720000}"/>
    <cellStyle name="Normal 3 15" xfId="2661" xr:uid="{00000000-0005-0000-0000-00001A720000}"/>
    <cellStyle name="Normal 3 15 2" xfId="2662" xr:uid="{00000000-0005-0000-0000-00001B720000}"/>
    <cellStyle name="Normal 3 15 2 2" xfId="7475" xr:uid="{00000000-0005-0000-0000-00001C720000}"/>
    <cellStyle name="Normal 3 15 2 2 2" xfId="14264" xr:uid="{00000000-0005-0000-0000-00001D720000}"/>
    <cellStyle name="Normal 3 15 2 2 2 2" xfId="27832" xr:uid="{00000000-0005-0000-0000-00001E720000}"/>
    <cellStyle name="Normal 3 15 2 2 2 2 2" xfId="54965" xr:uid="{00000000-0005-0000-0000-00001F720000}"/>
    <cellStyle name="Normal 3 15 2 2 2 3" xfId="41403" xr:uid="{00000000-0005-0000-0000-000020720000}"/>
    <cellStyle name="Normal 3 15 2 2 3" xfId="21051" xr:uid="{00000000-0005-0000-0000-000021720000}"/>
    <cellStyle name="Normal 3 15 2 2 3 2" xfId="48184" xr:uid="{00000000-0005-0000-0000-000022720000}"/>
    <cellStyle name="Normal 3 15 2 2 4" xfId="34622" xr:uid="{00000000-0005-0000-0000-000023720000}"/>
    <cellStyle name="Normal 3 15 2 3" xfId="10875" xr:uid="{00000000-0005-0000-0000-000024720000}"/>
    <cellStyle name="Normal 3 15 2 3 2" xfId="24443" xr:uid="{00000000-0005-0000-0000-000025720000}"/>
    <cellStyle name="Normal 3 15 2 3 2 2" xfId="51576" xr:uid="{00000000-0005-0000-0000-000026720000}"/>
    <cellStyle name="Normal 3 15 2 3 3" xfId="38014" xr:uid="{00000000-0005-0000-0000-000027720000}"/>
    <cellStyle name="Normal 3 15 2 4" xfId="17662" xr:uid="{00000000-0005-0000-0000-000028720000}"/>
    <cellStyle name="Normal 3 15 2 4 2" xfId="44795" xr:uid="{00000000-0005-0000-0000-000029720000}"/>
    <cellStyle name="Normal 3 15 2 5" xfId="31233" xr:uid="{00000000-0005-0000-0000-00002A720000}"/>
    <cellStyle name="Normal 3 15 3" xfId="7474" xr:uid="{00000000-0005-0000-0000-00002B720000}"/>
    <cellStyle name="Normal 3 15 3 2" xfId="14263" xr:uid="{00000000-0005-0000-0000-00002C720000}"/>
    <cellStyle name="Normal 3 15 3 2 2" xfId="27831" xr:uid="{00000000-0005-0000-0000-00002D720000}"/>
    <cellStyle name="Normal 3 15 3 2 2 2" xfId="54964" xr:uid="{00000000-0005-0000-0000-00002E720000}"/>
    <cellStyle name="Normal 3 15 3 2 3" xfId="41402" xr:uid="{00000000-0005-0000-0000-00002F720000}"/>
    <cellStyle name="Normal 3 15 3 3" xfId="21050" xr:uid="{00000000-0005-0000-0000-000030720000}"/>
    <cellStyle name="Normal 3 15 3 3 2" xfId="48183" xr:uid="{00000000-0005-0000-0000-000031720000}"/>
    <cellStyle name="Normal 3 15 3 4" xfId="34621" xr:uid="{00000000-0005-0000-0000-000032720000}"/>
    <cellStyle name="Normal 3 15 4" xfId="10874" xr:uid="{00000000-0005-0000-0000-000033720000}"/>
    <cellStyle name="Normal 3 15 4 2" xfId="24442" xr:uid="{00000000-0005-0000-0000-000034720000}"/>
    <cellStyle name="Normal 3 15 4 2 2" xfId="51575" xr:uid="{00000000-0005-0000-0000-000035720000}"/>
    <cellStyle name="Normal 3 15 4 3" xfId="38013" xr:uid="{00000000-0005-0000-0000-000036720000}"/>
    <cellStyle name="Normal 3 15 5" xfId="17661" xr:uid="{00000000-0005-0000-0000-000037720000}"/>
    <cellStyle name="Normal 3 15 5 2" xfId="44794" xr:uid="{00000000-0005-0000-0000-000038720000}"/>
    <cellStyle name="Normal 3 15 6" xfId="31232" xr:uid="{00000000-0005-0000-0000-000039720000}"/>
    <cellStyle name="Normal 3 16" xfId="2663" xr:uid="{00000000-0005-0000-0000-00003A720000}"/>
    <cellStyle name="Normal 3 16 2" xfId="2664" xr:uid="{00000000-0005-0000-0000-00003B720000}"/>
    <cellStyle name="Normal 3 16 2 2" xfId="7477" xr:uid="{00000000-0005-0000-0000-00003C720000}"/>
    <cellStyle name="Normal 3 16 2 2 2" xfId="14266" xr:uid="{00000000-0005-0000-0000-00003D720000}"/>
    <cellStyle name="Normal 3 16 2 2 2 2" xfId="27834" xr:uid="{00000000-0005-0000-0000-00003E720000}"/>
    <cellStyle name="Normal 3 16 2 2 2 2 2" xfId="54967" xr:uid="{00000000-0005-0000-0000-00003F720000}"/>
    <cellStyle name="Normal 3 16 2 2 2 3" xfId="41405" xr:uid="{00000000-0005-0000-0000-000040720000}"/>
    <cellStyle name="Normal 3 16 2 2 3" xfId="21053" xr:uid="{00000000-0005-0000-0000-000041720000}"/>
    <cellStyle name="Normal 3 16 2 2 3 2" xfId="48186" xr:uid="{00000000-0005-0000-0000-000042720000}"/>
    <cellStyle name="Normal 3 16 2 2 4" xfId="34624" xr:uid="{00000000-0005-0000-0000-000043720000}"/>
    <cellStyle name="Normal 3 16 2 3" xfId="10877" xr:uid="{00000000-0005-0000-0000-000044720000}"/>
    <cellStyle name="Normal 3 16 2 3 2" xfId="24445" xr:uid="{00000000-0005-0000-0000-000045720000}"/>
    <cellStyle name="Normal 3 16 2 3 2 2" xfId="51578" xr:uid="{00000000-0005-0000-0000-000046720000}"/>
    <cellStyle name="Normal 3 16 2 3 3" xfId="38016" xr:uid="{00000000-0005-0000-0000-000047720000}"/>
    <cellStyle name="Normal 3 16 2 4" xfId="17664" xr:uid="{00000000-0005-0000-0000-000048720000}"/>
    <cellStyle name="Normal 3 16 2 4 2" xfId="44797" xr:uid="{00000000-0005-0000-0000-000049720000}"/>
    <cellStyle name="Normal 3 16 2 5" xfId="31235" xr:uid="{00000000-0005-0000-0000-00004A720000}"/>
    <cellStyle name="Normal 3 16 3" xfId="7476" xr:uid="{00000000-0005-0000-0000-00004B720000}"/>
    <cellStyle name="Normal 3 16 3 2" xfId="14265" xr:uid="{00000000-0005-0000-0000-00004C720000}"/>
    <cellStyle name="Normal 3 16 3 2 2" xfId="27833" xr:uid="{00000000-0005-0000-0000-00004D720000}"/>
    <cellStyle name="Normal 3 16 3 2 2 2" xfId="54966" xr:uid="{00000000-0005-0000-0000-00004E720000}"/>
    <cellStyle name="Normal 3 16 3 2 3" xfId="41404" xr:uid="{00000000-0005-0000-0000-00004F720000}"/>
    <cellStyle name="Normal 3 16 3 3" xfId="21052" xr:uid="{00000000-0005-0000-0000-000050720000}"/>
    <cellStyle name="Normal 3 16 3 3 2" xfId="48185" xr:uid="{00000000-0005-0000-0000-000051720000}"/>
    <cellStyle name="Normal 3 16 3 4" xfId="34623" xr:uid="{00000000-0005-0000-0000-000052720000}"/>
    <cellStyle name="Normal 3 16 4" xfId="10876" xr:uid="{00000000-0005-0000-0000-000053720000}"/>
    <cellStyle name="Normal 3 16 4 2" xfId="24444" xr:uid="{00000000-0005-0000-0000-000054720000}"/>
    <cellStyle name="Normal 3 16 4 2 2" xfId="51577" xr:uid="{00000000-0005-0000-0000-000055720000}"/>
    <cellStyle name="Normal 3 16 4 3" xfId="38015" xr:uid="{00000000-0005-0000-0000-000056720000}"/>
    <cellStyle name="Normal 3 16 5" xfId="17663" xr:uid="{00000000-0005-0000-0000-000057720000}"/>
    <cellStyle name="Normal 3 16 5 2" xfId="44796" xr:uid="{00000000-0005-0000-0000-000058720000}"/>
    <cellStyle name="Normal 3 16 6" xfId="31234" xr:uid="{00000000-0005-0000-0000-000059720000}"/>
    <cellStyle name="Normal 3 17" xfId="2665" xr:uid="{00000000-0005-0000-0000-00005A720000}"/>
    <cellStyle name="Normal 3 17 2" xfId="2666" xr:uid="{00000000-0005-0000-0000-00005B720000}"/>
    <cellStyle name="Normal 3 17 2 2" xfId="7479" xr:uid="{00000000-0005-0000-0000-00005C720000}"/>
    <cellStyle name="Normal 3 17 2 2 2" xfId="14268" xr:uid="{00000000-0005-0000-0000-00005D720000}"/>
    <cellStyle name="Normal 3 17 2 2 2 2" xfId="27836" xr:uid="{00000000-0005-0000-0000-00005E720000}"/>
    <cellStyle name="Normal 3 17 2 2 2 2 2" xfId="54969" xr:uid="{00000000-0005-0000-0000-00005F720000}"/>
    <cellStyle name="Normal 3 17 2 2 2 3" xfId="41407" xr:uid="{00000000-0005-0000-0000-000060720000}"/>
    <cellStyle name="Normal 3 17 2 2 3" xfId="21055" xr:uid="{00000000-0005-0000-0000-000061720000}"/>
    <cellStyle name="Normal 3 17 2 2 3 2" xfId="48188" xr:uid="{00000000-0005-0000-0000-000062720000}"/>
    <cellStyle name="Normal 3 17 2 2 4" xfId="34626" xr:uid="{00000000-0005-0000-0000-000063720000}"/>
    <cellStyle name="Normal 3 17 2 3" xfId="10879" xr:uid="{00000000-0005-0000-0000-000064720000}"/>
    <cellStyle name="Normal 3 17 2 3 2" xfId="24447" xr:uid="{00000000-0005-0000-0000-000065720000}"/>
    <cellStyle name="Normal 3 17 2 3 2 2" xfId="51580" xr:uid="{00000000-0005-0000-0000-000066720000}"/>
    <cellStyle name="Normal 3 17 2 3 3" xfId="38018" xr:uid="{00000000-0005-0000-0000-000067720000}"/>
    <cellStyle name="Normal 3 17 2 4" xfId="17666" xr:uid="{00000000-0005-0000-0000-000068720000}"/>
    <cellStyle name="Normal 3 17 2 4 2" xfId="44799" xr:uid="{00000000-0005-0000-0000-000069720000}"/>
    <cellStyle name="Normal 3 17 2 5" xfId="31237" xr:uid="{00000000-0005-0000-0000-00006A720000}"/>
    <cellStyle name="Normal 3 17 3" xfId="7478" xr:uid="{00000000-0005-0000-0000-00006B720000}"/>
    <cellStyle name="Normal 3 17 3 2" xfId="14267" xr:uid="{00000000-0005-0000-0000-00006C720000}"/>
    <cellStyle name="Normal 3 17 3 2 2" xfId="27835" xr:uid="{00000000-0005-0000-0000-00006D720000}"/>
    <cellStyle name="Normal 3 17 3 2 2 2" xfId="54968" xr:uid="{00000000-0005-0000-0000-00006E720000}"/>
    <cellStyle name="Normal 3 17 3 2 3" xfId="41406" xr:uid="{00000000-0005-0000-0000-00006F720000}"/>
    <cellStyle name="Normal 3 17 3 3" xfId="21054" xr:uid="{00000000-0005-0000-0000-000070720000}"/>
    <cellStyle name="Normal 3 17 3 3 2" xfId="48187" xr:uid="{00000000-0005-0000-0000-000071720000}"/>
    <cellStyle name="Normal 3 17 3 4" xfId="34625" xr:uid="{00000000-0005-0000-0000-000072720000}"/>
    <cellStyle name="Normal 3 17 4" xfId="10878" xr:uid="{00000000-0005-0000-0000-000073720000}"/>
    <cellStyle name="Normal 3 17 4 2" xfId="24446" xr:uid="{00000000-0005-0000-0000-000074720000}"/>
    <cellStyle name="Normal 3 17 4 2 2" xfId="51579" xr:uid="{00000000-0005-0000-0000-000075720000}"/>
    <cellStyle name="Normal 3 17 4 3" xfId="38017" xr:uid="{00000000-0005-0000-0000-000076720000}"/>
    <cellStyle name="Normal 3 17 5" xfId="17665" xr:uid="{00000000-0005-0000-0000-000077720000}"/>
    <cellStyle name="Normal 3 17 5 2" xfId="44798" xr:uid="{00000000-0005-0000-0000-000078720000}"/>
    <cellStyle name="Normal 3 17 6" xfId="31236" xr:uid="{00000000-0005-0000-0000-000079720000}"/>
    <cellStyle name="Normal 3 18" xfId="2667" xr:uid="{00000000-0005-0000-0000-00007A720000}"/>
    <cellStyle name="Normal 3 18 2" xfId="7480" xr:uid="{00000000-0005-0000-0000-00007B720000}"/>
    <cellStyle name="Normal 3 18 2 2" xfId="14269" xr:uid="{00000000-0005-0000-0000-00007C720000}"/>
    <cellStyle name="Normal 3 18 2 2 2" xfId="27837" xr:uid="{00000000-0005-0000-0000-00007D720000}"/>
    <cellStyle name="Normal 3 18 2 2 2 2" xfId="54970" xr:uid="{00000000-0005-0000-0000-00007E720000}"/>
    <cellStyle name="Normal 3 18 2 2 3" xfId="41408" xr:uid="{00000000-0005-0000-0000-00007F720000}"/>
    <cellStyle name="Normal 3 18 2 3" xfId="21056" xr:uid="{00000000-0005-0000-0000-000080720000}"/>
    <cellStyle name="Normal 3 18 2 3 2" xfId="48189" xr:uid="{00000000-0005-0000-0000-000081720000}"/>
    <cellStyle name="Normal 3 18 2 4" xfId="34627" xr:uid="{00000000-0005-0000-0000-000082720000}"/>
    <cellStyle name="Normal 3 18 3" xfId="10880" xr:uid="{00000000-0005-0000-0000-000083720000}"/>
    <cellStyle name="Normal 3 18 3 2" xfId="24448" xr:uid="{00000000-0005-0000-0000-000084720000}"/>
    <cellStyle name="Normal 3 18 3 2 2" xfId="51581" xr:uid="{00000000-0005-0000-0000-000085720000}"/>
    <cellStyle name="Normal 3 18 3 3" xfId="38019" xr:uid="{00000000-0005-0000-0000-000086720000}"/>
    <cellStyle name="Normal 3 18 4" xfId="17667" xr:uid="{00000000-0005-0000-0000-000087720000}"/>
    <cellStyle name="Normal 3 18 4 2" xfId="44800" xr:uid="{00000000-0005-0000-0000-000088720000}"/>
    <cellStyle name="Normal 3 18 5" xfId="31238" xr:uid="{00000000-0005-0000-0000-000089720000}"/>
    <cellStyle name="Normal 3 19" xfId="5586" xr:uid="{00000000-0005-0000-0000-00008A720000}"/>
    <cellStyle name="Normal 3 19 10" xfId="5587" xr:uid="{00000000-0005-0000-0000-00008B720000}"/>
    <cellStyle name="Normal 3 19 10 2" xfId="9130" xr:uid="{00000000-0005-0000-0000-00008C720000}"/>
    <cellStyle name="Normal 3 19 10 2 2" xfId="15919" xr:uid="{00000000-0005-0000-0000-00008D720000}"/>
    <cellStyle name="Normal 3 19 10 2 2 2" xfId="29487" xr:uid="{00000000-0005-0000-0000-00008E720000}"/>
    <cellStyle name="Normal 3 19 10 2 2 2 2" xfId="56620" xr:uid="{00000000-0005-0000-0000-00008F720000}"/>
    <cellStyle name="Normal 3 19 10 2 2 3" xfId="43058" xr:uid="{00000000-0005-0000-0000-000090720000}"/>
    <cellStyle name="Normal 3 19 10 2 3" xfId="22706" xr:uid="{00000000-0005-0000-0000-000091720000}"/>
    <cellStyle name="Normal 3 19 10 2 3 2" xfId="49839" xr:uid="{00000000-0005-0000-0000-000092720000}"/>
    <cellStyle name="Normal 3 19 10 2 4" xfId="36277" xr:uid="{00000000-0005-0000-0000-000093720000}"/>
    <cellStyle name="Normal 3 19 10 3" xfId="12530" xr:uid="{00000000-0005-0000-0000-000094720000}"/>
    <cellStyle name="Normal 3 19 10 3 2" xfId="26098" xr:uid="{00000000-0005-0000-0000-000095720000}"/>
    <cellStyle name="Normal 3 19 10 3 2 2" xfId="53231" xr:uid="{00000000-0005-0000-0000-000096720000}"/>
    <cellStyle name="Normal 3 19 10 3 3" xfId="39669" xr:uid="{00000000-0005-0000-0000-000097720000}"/>
    <cellStyle name="Normal 3 19 10 4" xfId="19317" xr:uid="{00000000-0005-0000-0000-000098720000}"/>
    <cellStyle name="Normal 3 19 10 4 2" xfId="46450" xr:uid="{00000000-0005-0000-0000-000099720000}"/>
    <cellStyle name="Normal 3 19 10 5" xfId="32888" xr:uid="{00000000-0005-0000-0000-00009A720000}"/>
    <cellStyle name="Normal 3 19 11" xfId="5588" xr:uid="{00000000-0005-0000-0000-00009B720000}"/>
    <cellStyle name="Normal 3 19 11 2" xfId="9131" xr:uid="{00000000-0005-0000-0000-00009C720000}"/>
    <cellStyle name="Normal 3 19 11 2 2" xfId="15920" xr:uid="{00000000-0005-0000-0000-00009D720000}"/>
    <cellStyle name="Normal 3 19 11 2 2 2" xfId="29488" xr:uid="{00000000-0005-0000-0000-00009E720000}"/>
    <cellStyle name="Normal 3 19 11 2 2 2 2" xfId="56621" xr:uid="{00000000-0005-0000-0000-00009F720000}"/>
    <cellStyle name="Normal 3 19 11 2 2 3" xfId="43059" xr:uid="{00000000-0005-0000-0000-0000A0720000}"/>
    <cellStyle name="Normal 3 19 11 2 3" xfId="22707" xr:uid="{00000000-0005-0000-0000-0000A1720000}"/>
    <cellStyle name="Normal 3 19 11 2 3 2" xfId="49840" xr:uid="{00000000-0005-0000-0000-0000A2720000}"/>
    <cellStyle name="Normal 3 19 11 2 4" xfId="36278" xr:uid="{00000000-0005-0000-0000-0000A3720000}"/>
    <cellStyle name="Normal 3 19 11 3" xfId="12531" xr:uid="{00000000-0005-0000-0000-0000A4720000}"/>
    <cellStyle name="Normal 3 19 11 3 2" xfId="26099" xr:uid="{00000000-0005-0000-0000-0000A5720000}"/>
    <cellStyle name="Normal 3 19 11 3 2 2" xfId="53232" xr:uid="{00000000-0005-0000-0000-0000A6720000}"/>
    <cellStyle name="Normal 3 19 11 3 3" xfId="39670" xr:uid="{00000000-0005-0000-0000-0000A7720000}"/>
    <cellStyle name="Normal 3 19 11 4" xfId="19318" xr:uid="{00000000-0005-0000-0000-0000A8720000}"/>
    <cellStyle name="Normal 3 19 11 4 2" xfId="46451" xr:uid="{00000000-0005-0000-0000-0000A9720000}"/>
    <cellStyle name="Normal 3 19 11 5" xfId="32889" xr:uid="{00000000-0005-0000-0000-0000AA720000}"/>
    <cellStyle name="Normal 3 19 2" xfId="5589" xr:uid="{00000000-0005-0000-0000-0000AB720000}"/>
    <cellStyle name="Normal 3 19 2 10" xfId="5590" xr:uid="{00000000-0005-0000-0000-0000AC720000}"/>
    <cellStyle name="Normal 3 19 2 10 2" xfId="9133" xr:uid="{00000000-0005-0000-0000-0000AD720000}"/>
    <cellStyle name="Normal 3 19 2 10 2 2" xfId="15922" xr:uid="{00000000-0005-0000-0000-0000AE720000}"/>
    <cellStyle name="Normal 3 19 2 10 2 2 2" xfId="29490" xr:uid="{00000000-0005-0000-0000-0000AF720000}"/>
    <cellStyle name="Normal 3 19 2 10 2 2 2 2" xfId="56623" xr:uid="{00000000-0005-0000-0000-0000B0720000}"/>
    <cellStyle name="Normal 3 19 2 10 2 2 3" xfId="43061" xr:uid="{00000000-0005-0000-0000-0000B1720000}"/>
    <cellStyle name="Normal 3 19 2 10 2 3" xfId="22709" xr:uid="{00000000-0005-0000-0000-0000B2720000}"/>
    <cellStyle name="Normal 3 19 2 10 2 3 2" xfId="49842" xr:uid="{00000000-0005-0000-0000-0000B3720000}"/>
    <cellStyle name="Normal 3 19 2 10 2 4" xfId="36280" xr:uid="{00000000-0005-0000-0000-0000B4720000}"/>
    <cellStyle name="Normal 3 19 2 10 3" xfId="12533" xr:uid="{00000000-0005-0000-0000-0000B5720000}"/>
    <cellStyle name="Normal 3 19 2 10 3 2" xfId="26101" xr:uid="{00000000-0005-0000-0000-0000B6720000}"/>
    <cellStyle name="Normal 3 19 2 10 3 2 2" xfId="53234" xr:uid="{00000000-0005-0000-0000-0000B7720000}"/>
    <cellStyle name="Normal 3 19 2 10 3 3" xfId="39672" xr:uid="{00000000-0005-0000-0000-0000B8720000}"/>
    <cellStyle name="Normal 3 19 2 10 4" xfId="19320" xr:uid="{00000000-0005-0000-0000-0000B9720000}"/>
    <cellStyle name="Normal 3 19 2 10 4 2" xfId="46453" xr:uid="{00000000-0005-0000-0000-0000BA720000}"/>
    <cellStyle name="Normal 3 19 2 10 5" xfId="32891" xr:uid="{00000000-0005-0000-0000-0000BB720000}"/>
    <cellStyle name="Normal 3 19 2 11" xfId="9132" xr:uid="{00000000-0005-0000-0000-0000BC720000}"/>
    <cellStyle name="Normal 3 19 2 11 2" xfId="15921" xr:uid="{00000000-0005-0000-0000-0000BD720000}"/>
    <cellStyle name="Normal 3 19 2 11 2 2" xfId="29489" xr:uid="{00000000-0005-0000-0000-0000BE720000}"/>
    <cellStyle name="Normal 3 19 2 11 2 2 2" xfId="56622" xr:uid="{00000000-0005-0000-0000-0000BF720000}"/>
    <cellStyle name="Normal 3 19 2 11 2 3" xfId="43060" xr:uid="{00000000-0005-0000-0000-0000C0720000}"/>
    <cellStyle name="Normal 3 19 2 11 3" xfId="22708" xr:uid="{00000000-0005-0000-0000-0000C1720000}"/>
    <cellStyle name="Normal 3 19 2 11 3 2" xfId="49841" xr:uid="{00000000-0005-0000-0000-0000C2720000}"/>
    <cellStyle name="Normal 3 19 2 11 4" xfId="36279" xr:uid="{00000000-0005-0000-0000-0000C3720000}"/>
    <cellStyle name="Normal 3 19 2 12" xfId="12532" xr:uid="{00000000-0005-0000-0000-0000C4720000}"/>
    <cellStyle name="Normal 3 19 2 12 2" xfId="26100" xr:uid="{00000000-0005-0000-0000-0000C5720000}"/>
    <cellStyle name="Normal 3 19 2 12 2 2" xfId="53233" xr:uid="{00000000-0005-0000-0000-0000C6720000}"/>
    <cellStyle name="Normal 3 19 2 12 3" xfId="39671" xr:uid="{00000000-0005-0000-0000-0000C7720000}"/>
    <cellStyle name="Normal 3 19 2 13" xfId="19319" xr:uid="{00000000-0005-0000-0000-0000C8720000}"/>
    <cellStyle name="Normal 3 19 2 13 2" xfId="46452" xr:uid="{00000000-0005-0000-0000-0000C9720000}"/>
    <cellStyle name="Normal 3 19 2 14" xfId="32890" xr:uid="{00000000-0005-0000-0000-0000CA720000}"/>
    <cellStyle name="Normal 3 19 2 2" xfId="5591" xr:uid="{00000000-0005-0000-0000-0000CB720000}"/>
    <cellStyle name="Normal 3 19 2 2 10" xfId="12534" xr:uid="{00000000-0005-0000-0000-0000CC720000}"/>
    <cellStyle name="Normal 3 19 2 2 10 2" xfId="26102" xr:uid="{00000000-0005-0000-0000-0000CD720000}"/>
    <cellStyle name="Normal 3 19 2 2 10 2 2" xfId="53235" xr:uid="{00000000-0005-0000-0000-0000CE720000}"/>
    <cellStyle name="Normal 3 19 2 2 10 3" xfId="39673" xr:uid="{00000000-0005-0000-0000-0000CF720000}"/>
    <cellStyle name="Normal 3 19 2 2 11" xfId="19321" xr:uid="{00000000-0005-0000-0000-0000D0720000}"/>
    <cellStyle name="Normal 3 19 2 2 11 2" xfId="46454" xr:uid="{00000000-0005-0000-0000-0000D1720000}"/>
    <cellStyle name="Normal 3 19 2 2 12" xfId="32892" xr:uid="{00000000-0005-0000-0000-0000D2720000}"/>
    <cellStyle name="Normal 3 19 2 2 2" xfId="5592" xr:uid="{00000000-0005-0000-0000-0000D3720000}"/>
    <cellStyle name="Normal 3 19 2 2 2 10" xfId="32893" xr:uid="{00000000-0005-0000-0000-0000D4720000}"/>
    <cellStyle name="Normal 3 19 2 2 2 2" xfId="5593" xr:uid="{00000000-0005-0000-0000-0000D5720000}"/>
    <cellStyle name="Normal 3 19 2 2 2 2 2" xfId="5594" xr:uid="{00000000-0005-0000-0000-0000D6720000}"/>
    <cellStyle name="Normal 3 19 2 2 2 2 2 2" xfId="5595" xr:uid="{00000000-0005-0000-0000-0000D7720000}"/>
    <cellStyle name="Normal 3 19 2 2 2 2 2 2 2" xfId="9138" xr:uid="{00000000-0005-0000-0000-0000D8720000}"/>
    <cellStyle name="Normal 3 19 2 2 2 2 2 2 2 2" xfId="15927" xr:uid="{00000000-0005-0000-0000-0000D9720000}"/>
    <cellStyle name="Normal 3 19 2 2 2 2 2 2 2 2 2" xfId="29495" xr:uid="{00000000-0005-0000-0000-0000DA720000}"/>
    <cellStyle name="Normal 3 19 2 2 2 2 2 2 2 2 2 2" xfId="56628" xr:uid="{00000000-0005-0000-0000-0000DB720000}"/>
    <cellStyle name="Normal 3 19 2 2 2 2 2 2 2 2 3" xfId="43066" xr:uid="{00000000-0005-0000-0000-0000DC720000}"/>
    <cellStyle name="Normal 3 19 2 2 2 2 2 2 2 3" xfId="22714" xr:uid="{00000000-0005-0000-0000-0000DD720000}"/>
    <cellStyle name="Normal 3 19 2 2 2 2 2 2 2 3 2" xfId="49847" xr:uid="{00000000-0005-0000-0000-0000DE720000}"/>
    <cellStyle name="Normal 3 19 2 2 2 2 2 2 2 4" xfId="36285" xr:uid="{00000000-0005-0000-0000-0000DF720000}"/>
    <cellStyle name="Normal 3 19 2 2 2 2 2 2 3" xfId="12538" xr:uid="{00000000-0005-0000-0000-0000E0720000}"/>
    <cellStyle name="Normal 3 19 2 2 2 2 2 2 3 2" xfId="26106" xr:uid="{00000000-0005-0000-0000-0000E1720000}"/>
    <cellStyle name="Normal 3 19 2 2 2 2 2 2 3 2 2" xfId="53239" xr:uid="{00000000-0005-0000-0000-0000E2720000}"/>
    <cellStyle name="Normal 3 19 2 2 2 2 2 2 3 3" xfId="39677" xr:uid="{00000000-0005-0000-0000-0000E3720000}"/>
    <cellStyle name="Normal 3 19 2 2 2 2 2 2 4" xfId="19325" xr:uid="{00000000-0005-0000-0000-0000E4720000}"/>
    <cellStyle name="Normal 3 19 2 2 2 2 2 2 4 2" xfId="46458" xr:uid="{00000000-0005-0000-0000-0000E5720000}"/>
    <cellStyle name="Normal 3 19 2 2 2 2 2 2 5" xfId="32896" xr:uid="{00000000-0005-0000-0000-0000E6720000}"/>
    <cellStyle name="Normal 3 19 2 2 2 2 2 3" xfId="5596" xr:uid="{00000000-0005-0000-0000-0000E7720000}"/>
    <cellStyle name="Normal 3 19 2 2 2 2 2 3 2" xfId="9139" xr:uid="{00000000-0005-0000-0000-0000E8720000}"/>
    <cellStyle name="Normal 3 19 2 2 2 2 2 3 2 2" xfId="15928" xr:uid="{00000000-0005-0000-0000-0000E9720000}"/>
    <cellStyle name="Normal 3 19 2 2 2 2 2 3 2 2 2" xfId="29496" xr:uid="{00000000-0005-0000-0000-0000EA720000}"/>
    <cellStyle name="Normal 3 19 2 2 2 2 2 3 2 2 2 2" xfId="56629" xr:uid="{00000000-0005-0000-0000-0000EB720000}"/>
    <cellStyle name="Normal 3 19 2 2 2 2 2 3 2 2 3" xfId="43067" xr:uid="{00000000-0005-0000-0000-0000EC720000}"/>
    <cellStyle name="Normal 3 19 2 2 2 2 2 3 2 3" xfId="22715" xr:uid="{00000000-0005-0000-0000-0000ED720000}"/>
    <cellStyle name="Normal 3 19 2 2 2 2 2 3 2 3 2" xfId="49848" xr:uid="{00000000-0005-0000-0000-0000EE720000}"/>
    <cellStyle name="Normal 3 19 2 2 2 2 2 3 2 4" xfId="36286" xr:uid="{00000000-0005-0000-0000-0000EF720000}"/>
    <cellStyle name="Normal 3 19 2 2 2 2 2 3 3" xfId="12539" xr:uid="{00000000-0005-0000-0000-0000F0720000}"/>
    <cellStyle name="Normal 3 19 2 2 2 2 2 3 3 2" xfId="26107" xr:uid="{00000000-0005-0000-0000-0000F1720000}"/>
    <cellStyle name="Normal 3 19 2 2 2 2 2 3 3 2 2" xfId="53240" xr:uid="{00000000-0005-0000-0000-0000F2720000}"/>
    <cellStyle name="Normal 3 19 2 2 2 2 2 3 3 3" xfId="39678" xr:uid="{00000000-0005-0000-0000-0000F3720000}"/>
    <cellStyle name="Normal 3 19 2 2 2 2 2 3 4" xfId="19326" xr:uid="{00000000-0005-0000-0000-0000F4720000}"/>
    <cellStyle name="Normal 3 19 2 2 2 2 2 3 4 2" xfId="46459" xr:uid="{00000000-0005-0000-0000-0000F5720000}"/>
    <cellStyle name="Normal 3 19 2 2 2 2 2 3 5" xfId="32897" xr:uid="{00000000-0005-0000-0000-0000F6720000}"/>
    <cellStyle name="Normal 3 19 2 2 2 2 2 4" xfId="9137" xr:uid="{00000000-0005-0000-0000-0000F7720000}"/>
    <cellStyle name="Normal 3 19 2 2 2 2 2 4 2" xfId="15926" xr:uid="{00000000-0005-0000-0000-0000F8720000}"/>
    <cellStyle name="Normal 3 19 2 2 2 2 2 4 2 2" xfId="29494" xr:uid="{00000000-0005-0000-0000-0000F9720000}"/>
    <cellStyle name="Normal 3 19 2 2 2 2 2 4 2 2 2" xfId="56627" xr:uid="{00000000-0005-0000-0000-0000FA720000}"/>
    <cellStyle name="Normal 3 19 2 2 2 2 2 4 2 3" xfId="43065" xr:uid="{00000000-0005-0000-0000-0000FB720000}"/>
    <cellStyle name="Normal 3 19 2 2 2 2 2 4 3" xfId="22713" xr:uid="{00000000-0005-0000-0000-0000FC720000}"/>
    <cellStyle name="Normal 3 19 2 2 2 2 2 4 3 2" xfId="49846" xr:uid="{00000000-0005-0000-0000-0000FD720000}"/>
    <cellStyle name="Normal 3 19 2 2 2 2 2 4 4" xfId="36284" xr:uid="{00000000-0005-0000-0000-0000FE720000}"/>
    <cellStyle name="Normal 3 19 2 2 2 2 2 5" xfId="12537" xr:uid="{00000000-0005-0000-0000-0000FF720000}"/>
    <cellStyle name="Normal 3 19 2 2 2 2 2 5 2" xfId="26105" xr:uid="{00000000-0005-0000-0000-000000730000}"/>
    <cellStyle name="Normal 3 19 2 2 2 2 2 5 2 2" xfId="53238" xr:uid="{00000000-0005-0000-0000-000001730000}"/>
    <cellStyle name="Normal 3 19 2 2 2 2 2 5 3" xfId="39676" xr:uid="{00000000-0005-0000-0000-000002730000}"/>
    <cellStyle name="Normal 3 19 2 2 2 2 2 6" xfId="19324" xr:uid="{00000000-0005-0000-0000-000003730000}"/>
    <cellStyle name="Normal 3 19 2 2 2 2 2 6 2" xfId="46457" xr:uid="{00000000-0005-0000-0000-000004730000}"/>
    <cellStyle name="Normal 3 19 2 2 2 2 2 7" xfId="32895" xr:uid="{00000000-0005-0000-0000-000005730000}"/>
    <cellStyle name="Normal 3 19 2 2 2 2 3" xfId="5597" xr:uid="{00000000-0005-0000-0000-000006730000}"/>
    <cellStyle name="Normal 3 19 2 2 2 2 3 2" xfId="5598" xr:uid="{00000000-0005-0000-0000-000007730000}"/>
    <cellStyle name="Normal 3 19 2 2 2 2 3 2 2" xfId="9141" xr:uid="{00000000-0005-0000-0000-000008730000}"/>
    <cellStyle name="Normal 3 19 2 2 2 2 3 2 2 2" xfId="15930" xr:uid="{00000000-0005-0000-0000-000009730000}"/>
    <cellStyle name="Normal 3 19 2 2 2 2 3 2 2 2 2" xfId="29498" xr:uid="{00000000-0005-0000-0000-00000A730000}"/>
    <cellStyle name="Normal 3 19 2 2 2 2 3 2 2 2 2 2" xfId="56631" xr:uid="{00000000-0005-0000-0000-00000B730000}"/>
    <cellStyle name="Normal 3 19 2 2 2 2 3 2 2 2 3" xfId="43069" xr:uid="{00000000-0005-0000-0000-00000C730000}"/>
    <cellStyle name="Normal 3 19 2 2 2 2 3 2 2 3" xfId="22717" xr:uid="{00000000-0005-0000-0000-00000D730000}"/>
    <cellStyle name="Normal 3 19 2 2 2 2 3 2 2 3 2" xfId="49850" xr:uid="{00000000-0005-0000-0000-00000E730000}"/>
    <cellStyle name="Normal 3 19 2 2 2 2 3 2 2 4" xfId="36288" xr:uid="{00000000-0005-0000-0000-00000F730000}"/>
    <cellStyle name="Normal 3 19 2 2 2 2 3 2 3" xfId="12541" xr:uid="{00000000-0005-0000-0000-000010730000}"/>
    <cellStyle name="Normal 3 19 2 2 2 2 3 2 3 2" xfId="26109" xr:uid="{00000000-0005-0000-0000-000011730000}"/>
    <cellStyle name="Normal 3 19 2 2 2 2 3 2 3 2 2" xfId="53242" xr:uid="{00000000-0005-0000-0000-000012730000}"/>
    <cellStyle name="Normal 3 19 2 2 2 2 3 2 3 3" xfId="39680" xr:uid="{00000000-0005-0000-0000-000013730000}"/>
    <cellStyle name="Normal 3 19 2 2 2 2 3 2 4" xfId="19328" xr:uid="{00000000-0005-0000-0000-000014730000}"/>
    <cellStyle name="Normal 3 19 2 2 2 2 3 2 4 2" xfId="46461" xr:uid="{00000000-0005-0000-0000-000015730000}"/>
    <cellStyle name="Normal 3 19 2 2 2 2 3 2 5" xfId="32899" xr:uid="{00000000-0005-0000-0000-000016730000}"/>
    <cellStyle name="Normal 3 19 2 2 2 2 3 3" xfId="9140" xr:uid="{00000000-0005-0000-0000-000017730000}"/>
    <cellStyle name="Normal 3 19 2 2 2 2 3 3 2" xfId="15929" xr:uid="{00000000-0005-0000-0000-000018730000}"/>
    <cellStyle name="Normal 3 19 2 2 2 2 3 3 2 2" xfId="29497" xr:uid="{00000000-0005-0000-0000-000019730000}"/>
    <cellStyle name="Normal 3 19 2 2 2 2 3 3 2 2 2" xfId="56630" xr:uid="{00000000-0005-0000-0000-00001A730000}"/>
    <cellStyle name="Normal 3 19 2 2 2 2 3 3 2 3" xfId="43068" xr:uid="{00000000-0005-0000-0000-00001B730000}"/>
    <cellStyle name="Normal 3 19 2 2 2 2 3 3 3" xfId="22716" xr:uid="{00000000-0005-0000-0000-00001C730000}"/>
    <cellStyle name="Normal 3 19 2 2 2 2 3 3 3 2" xfId="49849" xr:uid="{00000000-0005-0000-0000-00001D730000}"/>
    <cellStyle name="Normal 3 19 2 2 2 2 3 3 4" xfId="36287" xr:uid="{00000000-0005-0000-0000-00001E730000}"/>
    <cellStyle name="Normal 3 19 2 2 2 2 3 4" xfId="12540" xr:uid="{00000000-0005-0000-0000-00001F730000}"/>
    <cellStyle name="Normal 3 19 2 2 2 2 3 4 2" xfId="26108" xr:uid="{00000000-0005-0000-0000-000020730000}"/>
    <cellStyle name="Normal 3 19 2 2 2 2 3 4 2 2" xfId="53241" xr:uid="{00000000-0005-0000-0000-000021730000}"/>
    <cellStyle name="Normal 3 19 2 2 2 2 3 4 3" xfId="39679" xr:uid="{00000000-0005-0000-0000-000022730000}"/>
    <cellStyle name="Normal 3 19 2 2 2 2 3 5" xfId="19327" xr:uid="{00000000-0005-0000-0000-000023730000}"/>
    <cellStyle name="Normal 3 19 2 2 2 2 3 5 2" xfId="46460" xr:uid="{00000000-0005-0000-0000-000024730000}"/>
    <cellStyle name="Normal 3 19 2 2 2 2 3 6" xfId="32898" xr:uid="{00000000-0005-0000-0000-000025730000}"/>
    <cellStyle name="Normal 3 19 2 2 2 2 4" xfId="5599" xr:uid="{00000000-0005-0000-0000-000026730000}"/>
    <cellStyle name="Normal 3 19 2 2 2 2 4 2" xfId="9142" xr:uid="{00000000-0005-0000-0000-000027730000}"/>
    <cellStyle name="Normal 3 19 2 2 2 2 4 2 2" xfId="15931" xr:uid="{00000000-0005-0000-0000-000028730000}"/>
    <cellStyle name="Normal 3 19 2 2 2 2 4 2 2 2" xfId="29499" xr:uid="{00000000-0005-0000-0000-000029730000}"/>
    <cellStyle name="Normal 3 19 2 2 2 2 4 2 2 2 2" xfId="56632" xr:uid="{00000000-0005-0000-0000-00002A730000}"/>
    <cellStyle name="Normal 3 19 2 2 2 2 4 2 2 3" xfId="43070" xr:uid="{00000000-0005-0000-0000-00002B730000}"/>
    <cellStyle name="Normal 3 19 2 2 2 2 4 2 3" xfId="22718" xr:uid="{00000000-0005-0000-0000-00002C730000}"/>
    <cellStyle name="Normal 3 19 2 2 2 2 4 2 3 2" xfId="49851" xr:uid="{00000000-0005-0000-0000-00002D730000}"/>
    <cellStyle name="Normal 3 19 2 2 2 2 4 2 4" xfId="36289" xr:uid="{00000000-0005-0000-0000-00002E730000}"/>
    <cellStyle name="Normal 3 19 2 2 2 2 4 3" xfId="12542" xr:uid="{00000000-0005-0000-0000-00002F730000}"/>
    <cellStyle name="Normal 3 19 2 2 2 2 4 3 2" xfId="26110" xr:uid="{00000000-0005-0000-0000-000030730000}"/>
    <cellStyle name="Normal 3 19 2 2 2 2 4 3 2 2" xfId="53243" xr:uid="{00000000-0005-0000-0000-000031730000}"/>
    <cellStyle name="Normal 3 19 2 2 2 2 4 3 3" xfId="39681" xr:uid="{00000000-0005-0000-0000-000032730000}"/>
    <cellStyle name="Normal 3 19 2 2 2 2 4 4" xfId="19329" xr:uid="{00000000-0005-0000-0000-000033730000}"/>
    <cellStyle name="Normal 3 19 2 2 2 2 4 4 2" xfId="46462" xr:uid="{00000000-0005-0000-0000-000034730000}"/>
    <cellStyle name="Normal 3 19 2 2 2 2 4 5" xfId="32900" xr:uid="{00000000-0005-0000-0000-000035730000}"/>
    <cellStyle name="Normal 3 19 2 2 2 2 5" xfId="5600" xr:uid="{00000000-0005-0000-0000-000036730000}"/>
    <cellStyle name="Normal 3 19 2 2 2 2 5 2" xfId="9143" xr:uid="{00000000-0005-0000-0000-000037730000}"/>
    <cellStyle name="Normal 3 19 2 2 2 2 5 2 2" xfId="15932" xr:uid="{00000000-0005-0000-0000-000038730000}"/>
    <cellStyle name="Normal 3 19 2 2 2 2 5 2 2 2" xfId="29500" xr:uid="{00000000-0005-0000-0000-000039730000}"/>
    <cellStyle name="Normal 3 19 2 2 2 2 5 2 2 2 2" xfId="56633" xr:uid="{00000000-0005-0000-0000-00003A730000}"/>
    <cellStyle name="Normal 3 19 2 2 2 2 5 2 2 3" xfId="43071" xr:uid="{00000000-0005-0000-0000-00003B730000}"/>
    <cellStyle name="Normal 3 19 2 2 2 2 5 2 3" xfId="22719" xr:uid="{00000000-0005-0000-0000-00003C730000}"/>
    <cellStyle name="Normal 3 19 2 2 2 2 5 2 3 2" xfId="49852" xr:uid="{00000000-0005-0000-0000-00003D730000}"/>
    <cellStyle name="Normal 3 19 2 2 2 2 5 2 4" xfId="36290" xr:uid="{00000000-0005-0000-0000-00003E730000}"/>
    <cellStyle name="Normal 3 19 2 2 2 2 5 3" xfId="12543" xr:uid="{00000000-0005-0000-0000-00003F730000}"/>
    <cellStyle name="Normal 3 19 2 2 2 2 5 3 2" xfId="26111" xr:uid="{00000000-0005-0000-0000-000040730000}"/>
    <cellStyle name="Normal 3 19 2 2 2 2 5 3 2 2" xfId="53244" xr:uid="{00000000-0005-0000-0000-000041730000}"/>
    <cellStyle name="Normal 3 19 2 2 2 2 5 3 3" xfId="39682" xr:uid="{00000000-0005-0000-0000-000042730000}"/>
    <cellStyle name="Normal 3 19 2 2 2 2 5 4" xfId="19330" xr:uid="{00000000-0005-0000-0000-000043730000}"/>
    <cellStyle name="Normal 3 19 2 2 2 2 5 4 2" xfId="46463" xr:uid="{00000000-0005-0000-0000-000044730000}"/>
    <cellStyle name="Normal 3 19 2 2 2 2 5 5" xfId="32901" xr:uid="{00000000-0005-0000-0000-000045730000}"/>
    <cellStyle name="Normal 3 19 2 2 2 2 6" xfId="9136" xr:uid="{00000000-0005-0000-0000-000046730000}"/>
    <cellStyle name="Normal 3 19 2 2 2 2 6 2" xfId="15925" xr:uid="{00000000-0005-0000-0000-000047730000}"/>
    <cellStyle name="Normal 3 19 2 2 2 2 6 2 2" xfId="29493" xr:uid="{00000000-0005-0000-0000-000048730000}"/>
    <cellStyle name="Normal 3 19 2 2 2 2 6 2 2 2" xfId="56626" xr:uid="{00000000-0005-0000-0000-000049730000}"/>
    <cellStyle name="Normal 3 19 2 2 2 2 6 2 3" xfId="43064" xr:uid="{00000000-0005-0000-0000-00004A730000}"/>
    <cellStyle name="Normal 3 19 2 2 2 2 6 3" xfId="22712" xr:uid="{00000000-0005-0000-0000-00004B730000}"/>
    <cellStyle name="Normal 3 19 2 2 2 2 6 3 2" xfId="49845" xr:uid="{00000000-0005-0000-0000-00004C730000}"/>
    <cellStyle name="Normal 3 19 2 2 2 2 6 4" xfId="36283" xr:uid="{00000000-0005-0000-0000-00004D730000}"/>
    <cellStyle name="Normal 3 19 2 2 2 2 7" xfId="12536" xr:uid="{00000000-0005-0000-0000-00004E730000}"/>
    <cellStyle name="Normal 3 19 2 2 2 2 7 2" xfId="26104" xr:uid="{00000000-0005-0000-0000-00004F730000}"/>
    <cellStyle name="Normal 3 19 2 2 2 2 7 2 2" xfId="53237" xr:uid="{00000000-0005-0000-0000-000050730000}"/>
    <cellStyle name="Normal 3 19 2 2 2 2 7 3" xfId="39675" xr:uid="{00000000-0005-0000-0000-000051730000}"/>
    <cellStyle name="Normal 3 19 2 2 2 2 8" xfId="19323" xr:uid="{00000000-0005-0000-0000-000052730000}"/>
    <cellStyle name="Normal 3 19 2 2 2 2 8 2" xfId="46456" xr:uid="{00000000-0005-0000-0000-000053730000}"/>
    <cellStyle name="Normal 3 19 2 2 2 2 9" xfId="32894" xr:uid="{00000000-0005-0000-0000-000054730000}"/>
    <cellStyle name="Normal 3 19 2 2 2 3" xfId="5601" xr:uid="{00000000-0005-0000-0000-000055730000}"/>
    <cellStyle name="Normal 3 19 2 2 2 3 2" xfId="5602" xr:uid="{00000000-0005-0000-0000-000056730000}"/>
    <cellStyle name="Normal 3 19 2 2 2 3 2 2" xfId="9145" xr:uid="{00000000-0005-0000-0000-000057730000}"/>
    <cellStyle name="Normal 3 19 2 2 2 3 2 2 2" xfId="15934" xr:uid="{00000000-0005-0000-0000-000058730000}"/>
    <cellStyle name="Normal 3 19 2 2 2 3 2 2 2 2" xfId="29502" xr:uid="{00000000-0005-0000-0000-000059730000}"/>
    <cellStyle name="Normal 3 19 2 2 2 3 2 2 2 2 2" xfId="56635" xr:uid="{00000000-0005-0000-0000-00005A730000}"/>
    <cellStyle name="Normal 3 19 2 2 2 3 2 2 2 3" xfId="43073" xr:uid="{00000000-0005-0000-0000-00005B730000}"/>
    <cellStyle name="Normal 3 19 2 2 2 3 2 2 3" xfId="22721" xr:uid="{00000000-0005-0000-0000-00005C730000}"/>
    <cellStyle name="Normal 3 19 2 2 2 3 2 2 3 2" xfId="49854" xr:uid="{00000000-0005-0000-0000-00005D730000}"/>
    <cellStyle name="Normal 3 19 2 2 2 3 2 2 4" xfId="36292" xr:uid="{00000000-0005-0000-0000-00005E730000}"/>
    <cellStyle name="Normal 3 19 2 2 2 3 2 3" xfId="12545" xr:uid="{00000000-0005-0000-0000-00005F730000}"/>
    <cellStyle name="Normal 3 19 2 2 2 3 2 3 2" xfId="26113" xr:uid="{00000000-0005-0000-0000-000060730000}"/>
    <cellStyle name="Normal 3 19 2 2 2 3 2 3 2 2" xfId="53246" xr:uid="{00000000-0005-0000-0000-000061730000}"/>
    <cellStyle name="Normal 3 19 2 2 2 3 2 3 3" xfId="39684" xr:uid="{00000000-0005-0000-0000-000062730000}"/>
    <cellStyle name="Normal 3 19 2 2 2 3 2 4" xfId="19332" xr:uid="{00000000-0005-0000-0000-000063730000}"/>
    <cellStyle name="Normal 3 19 2 2 2 3 2 4 2" xfId="46465" xr:uid="{00000000-0005-0000-0000-000064730000}"/>
    <cellStyle name="Normal 3 19 2 2 2 3 2 5" xfId="32903" xr:uid="{00000000-0005-0000-0000-000065730000}"/>
    <cellStyle name="Normal 3 19 2 2 2 3 3" xfId="5603" xr:uid="{00000000-0005-0000-0000-000066730000}"/>
    <cellStyle name="Normal 3 19 2 2 2 3 3 2" xfId="9146" xr:uid="{00000000-0005-0000-0000-000067730000}"/>
    <cellStyle name="Normal 3 19 2 2 2 3 3 2 2" xfId="15935" xr:uid="{00000000-0005-0000-0000-000068730000}"/>
    <cellStyle name="Normal 3 19 2 2 2 3 3 2 2 2" xfId="29503" xr:uid="{00000000-0005-0000-0000-000069730000}"/>
    <cellStyle name="Normal 3 19 2 2 2 3 3 2 2 2 2" xfId="56636" xr:uid="{00000000-0005-0000-0000-00006A730000}"/>
    <cellStyle name="Normal 3 19 2 2 2 3 3 2 2 3" xfId="43074" xr:uid="{00000000-0005-0000-0000-00006B730000}"/>
    <cellStyle name="Normal 3 19 2 2 2 3 3 2 3" xfId="22722" xr:uid="{00000000-0005-0000-0000-00006C730000}"/>
    <cellStyle name="Normal 3 19 2 2 2 3 3 2 3 2" xfId="49855" xr:uid="{00000000-0005-0000-0000-00006D730000}"/>
    <cellStyle name="Normal 3 19 2 2 2 3 3 2 4" xfId="36293" xr:uid="{00000000-0005-0000-0000-00006E730000}"/>
    <cellStyle name="Normal 3 19 2 2 2 3 3 3" xfId="12546" xr:uid="{00000000-0005-0000-0000-00006F730000}"/>
    <cellStyle name="Normal 3 19 2 2 2 3 3 3 2" xfId="26114" xr:uid="{00000000-0005-0000-0000-000070730000}"/>
    <cellStyle name="Normal 3 19 2 2 2 3 3 3 2 2" xfId="53247" xr:uid="{00000000-0005-0000-0000-000071730000}"/>
    <cellStyle name="Normal 3 19 2 2 2 3 3 3 3" xfId="39685" xr:uid="{00000000-0005-0000-0000-000072730000}"/>
    <cellStyle name="Normal 3 19 2 2 2 3 3 4" xfId="19333" xr:uid="{00000000-0005-0000-0000-000073730000}"/>
    <cellStyle name="Normal 3 19 2 2 2 3 3 4 2" xfId="46466" xr:uid="{00000000-0005-0000-0000-000074730000}"/>
    <cellStyle name="Normal 3 19 2 2 2 3 3 5" xfId="32904" xr:uid="{00000000-0005-0000-0000-000075730000}"/>
    <cellStyle name="Normal 3 19 2 2 2 3 4" xfId="9144" xr:uid="{00000000-0005-0000-0000-000076730000}"/>
    <cellStyle name="Normal 3 19 2 2 2 3 4 2" xfId="15933" xr:uid="{00000000-0005-0000-0000-000077730000}"/>
    <cellStyle name="Normal 3 19 2 2 2 3 4 2 2" xfId="29501" xr:uid="{00000000-0005-0000-0000-000078730000}"/>
    <cellStyle name="Normal 3 19 2 2 2 3 4 2 2 2" xfId="56634" xr:uid="{00000000-0005-0000-0000-000079730000}"/>
    <cellStyle name="Normal 3 19 2 2 2 3 4 2 3" xfId="43072" xr:uid="{00000000-0005-0000-0000-00007A730000}"/>
    <cellStyle name="Normal 3 19 2 2 2 3 4 3" xfId="22720" xr:uid="{00000000-0005-0000-0000-00007B730000}"/>
    <cellStyle name="Normal 3 19 2 2 2 3 4 3 2" xfId="49853" xr:uid="{00000000-0005-0000-0000-00007C730000}"/>
    <cellStyle name="Normal 3 19 2 2 2 3 4 4" xfId="36291" xr:uid="{00000000-0005-0000-0000-00007D730000}"/>
    <cellStyle name="Normal 3 19 2 2 2 3 5" xfId="12544" xr:uid="{00000000-0005-0000-0000-00007E730000}"/>
    <cellStyle name="Normal 3 19 2 2 2 3 5 2" xfId="26112" xr:uid="{00000000-0005-0000-0000-00007F730000}"/>
    <cellStyle name="Normal 3 19 2 2 2 3 5 2 2" xfId="53245" xr:uid="{00000000-0005-0000-0000-000080730000}"/>
    <cellStyle name="Normal 3 19 2 2 2 3 5 3" xfId="39683" xr:uid="{00000000-0005-0000-0000-000081730000}"/>
    <cellStyle name="Normal 3 19 2 2 2 3 6" xfId="19331" xr:uid="{00000000-0005-0000-0000-000082730000}"/>
    <cellStyle name="Normal 3 19 2 2 2 3 6 2" xfId="46464" xr:uid="{00000000-0005-0000-0000-000083730000}"/>
    <cellStyle name="Normal 3 19 2 2 2 3 7" xfId="32902" xr:uid="{00000000-0005-0000-0000-000084730000}"/>
    <cellStyle name="Normal 3 19 2 2 2 4" xfId="5604" xr:uid="{00000000-0005-0000-0000-000085730000}"/>
    <cellStyle name="Normal 3 19 2 2 2 4 2" xfId="5605" xr:uid="{00000000-0005-0000-0000-000086730000}"/>
    <cellStyle name="Normal 3 19 2 2 2 4 2 2" xfId="9148" xr:uid="{00000000-0005-0000-0000-000087730000}"/>
    <cellStyle name="Normal 3 19 2 2 2 4 2 2 2" xfId="15937" xr:uid="{00000000-0005-0000-0000-000088730000}"/>
    <cellStyle name="Normal 3 19 2 2 2 4 2 2 2 2" xfId="29505" xr:uid="{00000000-0005-0000-0000-000089730000}"/>
    <cellStyle name="Normal 3 19 2 2 2 4 2 2 2 2 2" xfId="56638" xr:uid="{00000000-0005-0000-0000-00008A730000}"/>
    <cellStyle name="Normal 3 19 2 2 2 4 2 2 2 3" xfId="43076" xr:uid="{00000000-0005-0000-0000-00008B730000}"/>
    <cellStyle name="Normal 3 19 2 2 2 4 2 2 3" xfId="22724" xr:uid="{00000000-0005-0000-0000-00008C730000}"/>
    <cellStyle name="Normal 3 19 2 2 2 4 2 2 3 2" xfId="49857" xr:uid="{00000000-0005-0000-0000-00008D730000}"/>
    <cellStyle name="Normal 3 19 2 2 2 4 2 2 4" xfId="36295" xr:uid="{00000000-0005-0000-0000-00008E730000}"/>
    <cellStyle name="Normal 3 19 2 2 2 4 2 3" xfId="12548" xr:uid="{00000000-0005-0000-0000-00008F730000}"/>
    <cellStyle name="Normal 3 19 2 2 2 4 2 3 2" xfId="26116" xr:uid="{00000000-0005-0000-0000-000090730000}"/>
    <cellStyle name="Normal 3 19 2 2 2 4 2 3 2 2" xfId="53249" xr:uid="{00000000-0005-0000-0000-000091730000}"/>
    <cellStyle name="Normal 3 19 2 2 2 4 2 3 3" xfId="39687" xr:uid="{00000000-0005-0000-0000-000092730000}"/>
    <cellStyle name="Normal 3 19 2 2 2 4 2 4" xfId="19335" xr:uid="{00000000-0005-0000-0000-000093730000}"/>
    <cellStyle name="Normal 3 19 2 2 2 4 2 4 2" xfId="46468" xr:uid="{00000000-0005-0000-0000-000094730000}"/>
    <cellStyle name="Normal 3 19 2 2 2 4 2 5" xfId="32906" xr:uid="{00000000-0005-0000-0000-000095730000}"/>
    <cellStyle name="Normal 3 19 2 2 2 4 3" xfId="9147" xr:uid="{00000000-0005-0000-0000-000096730000}"/>
    <cellStyle name="Normal 3 19 2 2 2 4 3 2" xfId="15936" xr:uid="{00000000-0005-0000-0000-000097730000}"/>
    <cellStyle name="Normal 3 19 2 2 2 4 3 2 2" xfId="29504" xr:uid="{00000000-0005-0000-0000-000098730000}"/>
    <cellStyle name="Normal 3 19 2 2 2 4 3 2 2 2" xfId="56637" xr:uid="{00000000-0005-0000-0000-000099730000}"/>
    <cellStyle name="Normal 3 19 2 2 2 4 3 2 3" xfId="43075" xr:uid="{00000000-0005-0000-0000-00009A730000}"/>
    <cellStyle name="Normal 3 19 2 2 2 4 3 3" xfId="22723" xr:uid="{00000000-0005-0000-0000-00009B730000}"/>
    <cellStyle name="Normal 3 19 2 2 2 4 3 3 2" xfId="49856" xr:uid="{00000000-0005-0000-0000-00009C730000}"/>
    <cellStyle name="Normal 3 19 2 2 2 4 3 4" xfId="36294" xr:uid="{00000000-0005-0000-0000-00009D730000}"/>
    <cellStyle name="Normal 3 19 2 2 2 4 4" xfId="12547" xr:uid="{00000000-0005-0000-0000-00009E730000}"/>
    <cellStyle name="Normal 3 19 2 2 2 4 4 2" xfId="26115" xr:uid="{00000000-0005-0000-0000-00009F730000}"/>
    <cellStyle name="Normal 3 19 2 2 2 4 4 2 2" xfId="53248" xr:uid="{00000000-0005-0000-0000-0000A0730000}"/>
    <cellStyle name="Normal 3 19 2 2 2 4 4 3" xfId="39686" xr:uid="{00000000-0005-0000-0000-0000A1730000}"/>
    <cellStyle name="Normal 3 19 2 2 2 4 5" xfId="19334" xr:uid="{00000000-0005-0000-0000-0000A2730000}"/>
    <cellStyle name="Normal 3 19 2 2 2 4 5 2" xfId="46467" xr:uid="{00000000-0005-0000-0000-0000A3730000}"/>
    <cellStyle name="Normal 3 19 2 2 2 4 6" xfId="32905" xr:uid="{00000000-0005-0000-0000-0000A4730000}"/>
    <cellStyle name="Normal 3 19 2 2 2 5" xfId="5606" xr:uid="{00000000-0005-0000-0000-0000A5730000}"/>
    <cellStyle name="Normal 3 19 2 2 2 5 2" xfId="9149" xr:uid="{00000000-0005-0000-0000-0000A6730000}"/>
    <cellStyle name="Normal 3 19 2 2 2 5 2 2" xfId="15938" xr:uid="{00000000-0005-0000-0000-0000A7730000}"/>
    <cellStyle name="Normal 3 19 2 2 2 5 2 2 2" xfId="29506" xr:uid="{00000000-0005-0000-0000-0000A8730000}"/>
    <cellStyle name="Normal 3 19 2 2 2 5 2 2 2 2" xfId="56639" xr:uid="{00000000-0005-0000-0000-0000A9730000}"/>
    <cellStyle name="Normal 3 19 2 2 2 5 2 2 3" xfId="43077" xr:uid="{00000000-0005-0000-0000-0000AA730000}"/>
    <cellStyle name="Normal 3 19 2 2 2 5 2 3" xfId="22725" xr:uid="{00000000-0005-0000-0000-0000AB730000}"/>
    <cellStyle name="Normal 3 19 2 2 2 5 2 3 2" xfId="49858" xr:uid="{00000000-0005-0000-0000-0000AC730000}"/>
    <cellStyle name="Normal 3 19 2 2 2 5 2 4" xfId="36296" xr:uid="{00000000-0005-0000-0000-0000AD730000}"/>
    <cellStyle name="Normal 3 19 2 2 2 5 3" xfId="12549" xr:uid="{00000000-0005-0000-0000-0000AE730000}"/>
    <cellStyle name="Normal 3 19 2 2 2 5 3 2" xfId="26117" xr:uid="{00000000-0005-0000-0000-0000AF730000}"/>
    <cellStyle name="Normal 3 19 2 2 2 5 3 2 2" xfId="53250" xr:uid="{00000000-0005-0000-0000-0000B0730000}"/>
    <cellStyle name="Normal 3 19 2 2 2 5 3 3" xfId="39688" xr:uid="{00000000-0005-0000-0000-0000B1730000}"/>
    <cellStyle name="Normal 3 19 2 2 2 5 4" xfId="19336" xr:uid="{00000000-0005-0000-0000-0000B2730000}"/>
    <cellStyle name="Normal 3 19 2 2 2 5 4 2" xfId="46469" xr:uid="{00000000-0005-0000-0000-0000B3730000}"/>
    <cellStyle name="Normal 3 19 2 2 2 5 5" xfId="32907" xr:uid="{00000000-0005-0000-0000-0000B4730000}"/>
    <cellStyle name="Normal 3 19 2 2 2 6" xfId="5607" xr:uid="{00000000-0005-0000-0000-0000B5730000}"/>
    <cellStyle name="Normal 3 19 2 2 2 6 2" xfId="9150" xr:uid="{00000000-0005-0000-0000-0000B6730000}"/>
    <cellStyle name="Normal 3 19 2 2 2 6 2 2" xfId="15939" xr:uid="{00000000-0005-0000-0000-0000B7730000}"/>
    <cellStyle name="Normal 3 19 2 2 2 6 2 2 2" xfId="29507" xr:uid="{00000000-0005-0000-0000-0000B8730000}"/>
    <cellStyle name="Normal 3 19 2 2 2 6 2 2 2 2" xfId="56640" xr:uid="{00000000-0005-0000-0000-0000B9730000}"/>
    <cellStyle name="Normal 3 19 2 2 2 6 2 2 3" xfId="43078" xr:uid="{00000000-0005-0000-0000-0000BA730000}"/>
    <cellStyle name="Normal 3 19 2 2 2 6 2 3" xfId="22726" xr:uid="{00000000-0005-0000-0000-0000BB730000}"/>
    <cellStyle name="Normal 3 19 2 2 2 6 2 3 2" xfId="49859" xr:uid="{00000000-0005-0000-0000-0000BC730000}"/>
    <cellStyle name="Normal 3 19 2 2 2 6 2 4" xfId="36297" xr:uid="{00000000-0005-0000-0000-0000BD730000}"/>
    <cellStyle name="Normal 3 19 2 2 2 6 3" xfId="12550" xr:uid="{00000000-0005-0000-0000-0000BE730000}"/>
    <cellStyle name="Normal 3 19 2 2 2 6 3 2" xfId="26118" xr:uid="{00000000-0005-0000-0000-0000BF730000}"/>
    <cellStyle name="Normal 3 19 2 2 2 6 3 2 2" xfId="53251" xr:uid="{00000000-0005-0000-0000-0000C0730000}"/>
    <cellStyle name="Normal 3 19 2 2 2 6 3 3" xfId="39689" xr:uid="{00000000-0005-0000-0000-0000C1730000}"/>
    <cellStyle name="Normal 3 19 2 2 2 6 4" xfId="19337" xr:uid="{00000000-0005-0000-0000-0000C2730000}"/>
    <cellStyle name="Normal 3 19 2 2 2 6 4 2" xfId="46470" xr:uid="{00000000-0005-0000-0000-0000C3730000}"/>
    <cellStyle name="Normal 3 19 2 2 2 6 5" xfId="32908" xr:uid="{00000000-0005-0000-0000-0000C4730000}"/>
    <cellStyle name="Normal 3 19 2 2 2 7" xfId="9135" xr:uid="{00000000-0005-0000-0000-0000C5730000}"/>
    <cellStyle name="Normal 3 19 2 2 2 7 2" xfId="15924" xr:uid="{00000000-0005-0000-0000-0000C6730000}"/>
    <cellStyle name="Normal 3 19 2 2 2 7 2 2" xfId="29492" xr:uid="{00000000-0005-0000-0000-0000C7730000}"/>
    <cellStyle name="Normal 3 19 2 2 2 7 2 2 2" xfId="56625" xr:uid="{00000000-0005-0000-0000-0000C8730000}"/>
    <cellStyle name="Normal 3 19 2 2 2 7 2 3" xfId="43063" xr:uid="{00000000-0005-0000-0000-0000C9730000}"/>
    <cellStyle name="Normal 3 19 2 2 2 7 3" xfId="22711" xr:uid="{00000000-0005-0000-0000-0000CA730000}"/>
    <cellStyle name="Normal 3 19 2 2 2 7 3 2" xfId="49844" xr:uid="{00000000-0005-0000-0000-0000CB730000}"/>
    <cellStyle name="Normal 3 19 2 2 2 7 4" xfId="36282" xr:uid="{00000000-0005-0000-0000-0000CC730000}"/>
    <cellStyle name="Normal 3 19 2 2 2 8" xfId="12535" xr:uid="{00000000-0005-0000-0000-0000CD730000}"/>
    <cellStyle name="Normal 3 19 2 2 2 8 2" xfId="26103" xr:uid="{00000000-0005-0000-0000-0000CE730000}"/>
    <cellStyle name="Normal 3 19 2 2 2 8 2 2" xfId="53236" xr:uid="{00000000-0005-0000-0000-0000CF730000}"/>
    <cellStyle name="Normal 3 19 2 2 2 8 3" xfId="39674" xr:uid="{00000000-0005-0000-0000-0000D0730000}"/>
    <cellStyle name="Normal 3 19 2 2 2 9" xfId="19322" xr:uid="{00000000-0005-0000-0000-0000D1730000}"/>
    <cellStyle name="Normal 3 19 2 2 2 9 2" xfId="46455" xr:uid="{00000000-0005-0000-0000-0000D2730000}"/>
    <cellStyle name="Normal 3 19 2 2 3" xfId="5608" xr:uid="{00000000-0005-0000-0000-0000D3730000}"/>
    <cellStyle name="Normal 3 19 2 2 3 2" xfId="5609" xr:uid="{00000000-0005-0000-0000-0000D4730000}"/>
    <cellStyle name="Normal 3 19 2 2 3 2 2" xfId="5610" xr:uid="{00000000-0005-0000-0000-0000D5730000}"/>
    <cellStyle name="Normal 3 19 2 2 3 2 2 2" xfId="9153" xr:uid="{00000000-0005-0000-0000-0000D6730000}"/>
    <cellStyle name="Normal 3 19 2 2 3 2 2 2 2" xfId="15942" xr:uid="{00000000-0005-0000-0000-0000D7730000}"/>
    <cellStyle name="Normal 3 19 2 2 3 2 2 2 2 2" xfId="29510" xr:uid="{00000000-0005-0000-0000-0000D8730000}"/>
    <cellStyle name="Normal 3 19 2 2 3 2 2 2 2 2 2" xfId="56643" xr:uid="{00000000-0005-0000-0000-0000D9730000}"/>
    <cellStyle name="Normal 3 19 2 2 3 2 2 2 2 3" xfId="43081" xr:uid="{00000000-0005-0000-0000-0000DA730000}"/>
    <cellStyle name="Normal 3 19 2 2 3 2 2 2 3" xfId="22729" xr:uid="{00000000-0005-0000-0000-0000DB730000}"/>
    <cellStyle name="Normal 3 19 2 2 3 2 2 2 3 2" xfId="49862" xr:uid="{00000000-0005-0000-0000-0000DC730000}"/>
    <cellStyle name="Normal 3 19 2 2 3 2 2 2 4" xfId="36300" xr:uid="{00000000-0005-0000-0000-0000DD730000}"/>
    <cellStyle name="Normal 3 19 2 2 3 2 2 3" xfId="12553" xr:uid="{00000000-0005-0000-0000-0000DE730000}"/>
    <cellStyle name="Normal 3 19 2 2 3 2 2 3 2" xfId="26121" xr:uid="{00000000-0005-0000-0000-0000DF730000}"/>
    <cellStyle name="Normal 3 19 2 2 3 2 2 3 2 2" xfId="53254" xr:uid="{00000000-0005-0000-0000-0000E0730000}"/>
    <cellStyle name="Normal 3 19 2 2 3 2 2 3 3" xfId="39692" xr:uid="{00000000-0005-0000-0000-0000E1730000}"/>
    <cellStyle name="Normal 3 19 2 2 3 2 2 4" xfId="19340" xr:uid="{00000000-0005-0000-0000-0000E2730000}"/>
    <cellStyle name="Normal 3 19 2 2 3 2 2 4 2" xfId="46473" xr:uid="{00000000-0005-0000-0000-0000E3730000}"/>
    <cellStyle name="Normal 3 19 2 2 3 2 2 5" xfId="32911" xr:uid="{00000000-0005-0000-0000-0000E4730000}"/>
    <cellStyle name="Normal 3 19 2 2 3 2 3" xfId="5611" xr:uid="{00000000-0005-0000-0000-0000E5730000}"/>
    <cellStyle name="Normal 3 19 2 2 3 2 3 2" xfId="9154" xr:uid="{00000000-0005-0000-0000-0000E6730000}"/>
    <cellStyle name="Normal 3 19 2 2 3 2 3 2 2" xfId="15943" xr:uid="{00000000-0005-0000-0000-0000E7730000}"/>
    <cellStyle name="Normal 3 19 2 2 3 2 3 2 2 2" xfId="29511" xr:uid="{00000000-0005-0000-0000-0000E8730000}"/>
    <cellStyle name="Normal 3 19 2 2 3 2 3 2 2 2 2" xfId="56644" xr:uid="{00000000-0005-0000-0000-0000E9730000}"/>
    <cellStyle name="Normal 3 19 2 2 3 2 3 2 2 3" xfId="43082" xr:uid="{00000000-0005-0000-0000-0000EA730000}"/>
    <cellStyle name="Normal 3 19 2 2 3 2 3 2 3" xfId="22730" xr:uid="{00000000-0005-0000-0000-0000EB730000}"/>
    <cellStyle name="Normal 3 19 2 2 3 2 3 2 3 2" xfId="49863" xr:uid="{00000000-0005-0000-0000-0000EC730000}"/>
    <cellStyle name="Normal 3 19 2 2 3 2 3 2 4" xfId="36301" xr:uid="{00000000-0005-0000-0000-0000ED730000}"/>
    <cellStyle name="Normal 3 19 2 2 3 2 3 3" xfId="12554" xr:uid="{00000000-0005-0000-0000-0000EE730000}"/>
    <cellStyle name="Normal 3 19 2 2 3 2 3 3 2" xfId="26122" xr:uid="{00000000-0005-0000-0000-0000EF730000}"/>
    <cellStyle name="Normal 3 19 2 2 3 2 3 3 2 2" xfId="53255" xr:uid="{00000000-0005-0000-0000-0000F0730000}"/>
    <cellStyle name="Normal 3 19 2 2 3 2 3 3 3" xfId="39693" xr:uid="{00000000-0005-0000-0000-0000F1730000}"/>
    <cellStyle name="Normal 3 19 2 2 3 2 3 4" xfId="19341" xr:uid="{00000000-0005-0000-0000-0000F2730000}"/>
    <cellStyle name="Normal 3 19 2 2 3 2 3 4 2" xfId="46474" xr:uid="{00000000-0005-0000-0000-0000F3730000}"/>
    <cellStyle name="Normal 3 19 2 2 3 2 3 5" xfId="32912" xr:uid="{00000000-0005-0000-0000-0000F4730000}"/>
    <cellStyle name="Normal 3 19 2 2 3 2 4" xfId="9152" xr:uid="{00000000-0005-0000-0000-0000F5730000}"/>
    <cellStyle name="Normal 3 19 2 2 3 2 4 2" xfId="15941" xr:uid="{00000000-0005-0000-0000-0000F6730000}"/>
    <cellStyle name="Normal 3 19 2 2 3 2 4 2 2" xfId="29509" xr:uid="{00000000-0005-0000-0000-0000F7730000}"/>
    <cellStyle name="Normal 3 19 2 2 3 2 4 2 2 2" xfId="56642" xr:uid="{00000000-0005-0000-0000-0000F8730000}"/>
    <cellStyle name="Normal 3 19 2 2 3 2 4 2 3" xfId="43080" xr:uid="{00000000-0005-0000-0000-0000F9730000}"/>
    <cellStyle name="Normal 3 19 2 2 3 2 4 3" xfId="22728" xr:uid="{00000000-0005-0000-0000-0000FA730000}"/>
    <cellStyle name="Normal 3 19 2 2 3 2 4 3 2" xfId="49861" xr:uid="{00000000-0005-0000-0000-0000FB730000}"/>
    <cellStyle name="Normal 3 19 2 2 3 2 4 4" xfId="36299" xr:uid="{00000000-0005-0000-0000-0000FC730000}"/>
    <cellStyle name="Normal 3 19 2 2 3 2 5" xfId="12552" xr:uid="{00000000-0005-0000-0000-0000FD730000}"/>
    <cellStyle name="Normal 3 19 2 2 3 2 5 2" xfId="26120" xr:uid="{00000000-0005-0000-0000-0000FE730000}"/>
    <cellStyle name="Normal 3 19 2 2 3 2 5 2 2" xfId="53253" xr:uid="{00000000-0005-0000-0000-0000FF730000}"/>
    <cellStyle name="Normal 3 19 2 2 3 2 5 3" xfId="39691" xr:uid="{00000000-0005-0000-0000-000000740000}"/>
    <cellStyle name="Normal 3 19 2 2 3 2 6" xfId="19339" xr:uid="{00000000-0005-0000-0000-000001740000}"/>
    <cellStyle name="Normal 3 19 2 2 3 2 6 2" xfId="46472" xr:uid="{00000000-0005-0000-0000-000002740000}"/>
    <cellStyle name="Normal 3 19 2 2 3 2 7" xfId="32910" xr:uid="{00000000-0005-0000-0000-000003740000}"/>
    <cellStyle name="Normal 3 19 2 2 3 3" xfId="5612" xr:uid="{00000000-0005-0000-0000-000004740000}"/>
    <cellStyle name="Normal 3 19 2 2 3 3 2" xfId="5613" xr:uid="{00000000-0005-0000-0000-000005740000}"/>
    <cellStyle name="Normal 3 19 2 2 3 3 2 2" xfId="9156" xr:uid="{00000000-0005-0000-0000-000006740000}"/>
    <cellStyle name="Normal 3 19 2 2 3 3 2 2 2" xfId="15945" xr:uid="{00000000-0005-0000-0000-000007740000}"/>
    <cellStyle name="Normal 3 19 2 2 3 3 2 2 2 2" xfId="29513" xr:uid="{00000000-0005-0000-0000-000008740000}"/>
    <cellStyle name="Normal 3 19 2 2 3 3 2 2 2 2 2" xfId="56646" xr:uid="{00000000-0005-0000-0000-000009740000}"/>
    <cellStyle name="Normal 3 19 2 2 3 3 2 2 2 3" xfId="43084" xr:uid="{00000000-0005-0000-0000-00000A740000}"/>
    <cellStyle name="Normal 3 19 2 2 3 3 2 2 3" xfId="22732" xr:uid="{00000000-0005-0000-0000-00000B740000}"/>
    <cellStyle name="Normal 3 19 2 2 3 3 2 2 3 2" xfId="49865" xr:uid="{00000000-0005-0000-0000-00000C740000}"/>
    <cellStyle name="Normal 3 19 2 2 3 3 2 2 4" xfId="36303" xr:uid="{00000000-0005-0000-0000-00000D740000}"/>
    <cellStyle name="Normal 3 19 2 2 3 3 2 3" xfId="12556" xr:uid="{00000000-0005-0000-0000-00000E740000}"/>
    <cellStyle name="Normal 3 19 2 2 3 3 2 3 2" xfId="26124" xr:uid="{00000000-0005-0000-0000-00000F740000}"/>
    <cellStyle name="Normal 3 19 2 2 3 3 2 3 2 2" xfId="53257" xr:uid="{00000000-0005-0000-0000-000010740000}"/>
    <cellStyle name="Normal 3 19 2 2 3 3 2 3 3" xfId="39695" xr:uid="{00000000-0005-0000-0000-000011740000}"/>
    <cellStyle name="Normal 3 19 2 2 3 3 2 4" xfId="19343" xr:uid="{00000000-0005-0000-0000-000012740000}"/>
    <cellStyle name="Normal 3 19 2 2 3 3 2 4 2" xfId="46476" xr:uid="{00000000-0005-0000-0000-000013740000}"/>
    <cellStyle name="Normal 3 19 2 2 3 3 2 5" xfId="32914" xr:uid="{00000000-0005-0000-0000-000014740000}"/>
    <cellStyle name="Normal 3 19 2 2 3 3 3" xfId="9155" xr:uid="{00000000-0005-0000-0000-000015740000}"/>
    <cellStyle name="Normal 3 19 2 2 3 3 3 2" xfId="15944" xr:uid="{00000000-0005-0000-0000-000016740000}"/>
    <cellStyle name="Normal 3 19 2 2 3 3 3 2 2" xfId="29512" xr:uid="{00000000-0005-0000-0000-000017740000}"/>
    <cellStyle name="Normal 3 19 2 2 3 3 3 2 2 2" xfId="56645" xr:uid="{00000000-0005-0000-0000-000018740000}"/>
    <cellStyle name="Normal 3 19 2 2 3 3 3 2 3" xfId="43083" xr:uid="{00000000-0005-0000-0000-000019740000}"/>
    <cellStyle name="Normal 3 19 2 2 3 3 3 3" xfId="22731" xr:uid="{00000000-0005-0000-0000-00001A740000}"/>
    <cellStyle name="Normal 3 19 2 2 3 3 3 3 2" xfId="49864" xr:uid="{00000000-0005-0000-0000-00001B740000}"/>
    <cellStyle name="Normal 3 19 2 2 3 3 3 4" xfId="36302" xr:uid="{00000000-0005-0000-0000-00001C740000}"/>
    <cellStyle name="Normal 3 19 2 2 3 3 4" xfId="12555" xr:uid="{00000000-0005-0000-0000-00001D740000}"/>
    <cellStyle name="Normal 3 19 2 2 3 3 4 2" xfId="26123" xr:uid="{00000000-0005-0000-0000-00001E740000}"/>
    <cellStyle name="Normal 3 19 2 2 3 3 4 2 2" xfId="53256" xr:uid="{00000000-0005-0000-0000-00001F740000}"/>
    <cellStyle name="Normal 3 19 2 2 3 3 4 3" xfId="39694" xr:uid="{00000000-0005-0000-0000-000020740000}"/>
    <cellStyle name="Normal 3 19 2 2 3 3 5" xfId="19342" xr:uid="{00000000-0005-0000-0000-000021740000}"/>
    <cellStyle name="Normal 3 19 2 2 3 3 5 2" xfId="46475" xr:uid="{00000000-0005-0000-0000-000022740000}"/>
    <cellStyle name="Normal 3 19 2 2 3 3 6" xfId="32913" xr:uid="{00000000-0005-0000-0000-000023740000}"/>
    <cellStyle name="Normal 3 19 2 2 3 4" xfId="5614" xr:uid="{00000000-0005-0000-0000-000024740000}"/>
    <cellStyle name="Normal 3 19 2 2 3 4 2" xfId="9157" xr:uid="{00000000-0005-0000-0000-000025740000}"/>
    <cellStyle name="Normal 3 19 2 2 3 4 2 2" xfId="15946" xr:uid="{00000000-0005-0000-0000-000026740000}"/>
    <cellStyle name="Normal 3 19 2 2 3 4 2 2 2" xfId="29514" xr:uid="{00000000-0005-0000-0000-000027740000}"/>
    <cellStyle name="Normal 3 19 2 2 3 4 2 2 2 2" xfId="56647" xr:uid="{00000000-0005-0000-0000-000028740000}"/>
    <cellStyle name="Normal 3 19 2 2 3 4 2 2 3" xfId="43085" xr:uid="{00000000-0005-0000-0000-000029740000}"/>
    <cellStyle name="Normal 3 19 2 2 3 4 2 3" xfId="22733" xr:uid="{00000000-0005-0000-0000-00002A740000}"/>
    <cellStyle name="Normal 3 19 2 2 3 4 2 3 2" xfId="49866" xr:uid="{00000000-0005-0000-0000-00002B740000}"/>
    <cellStyle name="Normal 3 19 2 2 3 4 2 4" xfId="36304" xr:uid="{00000000-0005-0000-0000-00002C740000}"/>
    <cellStyle name="Normal 3 19 2 2 3 4 3" xfId="12557" xr:uid="{00000000-0005-0000-0000-00002D740000}"/>
    <cellStyle name="Normal 3 19 2 2 3 4 3 2" xfId="26125" xr:uid="{00000000-0005-0000-0000-00002E740000}"/>
    <cellStyle name="Normal 3 19 2 2 3 4 3 2 2" xfId="53258" xr:uid="{00000000-0005-0000-0000-00002F740000}"/>
    <cellStyle name="Normal 3 19 2 2 3 4 3 3" xfId="39696" xr:uid="{00000000-0005-0000-0000-000030740000}"/>
    <cellStyle name="Normal 3 19 2 2 3 4 4" xfId="19344" xr:uid="{00000000-0005-0000-0000-000031740000}"/>
    <cellStyle name="Normal 3 19 2 2 3 4 4 2" xfId="46477" xr:uid="{00000000-0005-0000-0000-000032740000}"/>
    <cellStyle name="Normal 3 19 2 2 3 4 5" xfId="32915" xr:uid="{00000000-0005-0000-0000-000033740000}"/>
    <cellStyle name="Normal 3 19 2 2 3 5" xfId="5615" xr:uid="{00000000-0005-0000-0000-000034740000}"/>
    <cellStyle name="Normal 3 19 2 2 3 5 2" xfId="9158" xr:uid="{00000000-0005-0000-0000-000035740000}"/>
    <cellStyle name="Normal 3 19 2 2 3 5 2 2" xfId="15947" xr:uid="{00000000-0005-0000-0000-000036740000}"/>
    <cellStyle name="Normal 3 19 2 2 3 5 2 2 2" xfId="29515" xr:uid="{00000000-0005-0000-0000-000037740000}"/>
    <cellStyle name="Normal 3 19 2 2 3 5 2 2 2 2" xfId="56648" xr:uid="{00000000-0005-0000-0000-000038740000}"/>
    <cellStyle name="Normal 3 19 2 2 3 5 2 2 3" xfId="43086" xr:uid="{00000000-0005-0000-0000-000039740000}"/>
    <cellStyle name="Normal 3 19 2 2 3 5 2 3" xfId="22734" xr:uid="{00000000-0005-0000-0000-00003A740000}"/>
    <cellStyle name="Normal 3 19 2 2 3 5 2 3 2" xfId="49867" xr:uid="{00000000-0005-0000-0000-00003B740000}"/>
    <cellStyle name="Normal 3 19 2 2 3 5 2 4" xfId="36305" xr:uid="{00000000-0005-0000-0000-00003C740000}"/>
    <cellStyle name="Normal 3 19 2 2 3 5 3" xfId="12558" xr:uid="{00000000-0005-0000-0000-00003D740000}"/>
    <cellStyle name="Normal 3 19 2 2 3 5 3 2" xfId="26126" xr:uid="{00000000-0005-0000-0000-00003E740000}"/>
    <cellStyle name="Normal 3 19 2 2 3 5 3 2 2" xfId="53259" xr:uid="{00000000-0005-0000-0000-00003F740000}"/>
    <cellStyle name="Normal 3 19 2 2 3 5 3 3" xfId="39697" xr:uid="{00000000-0005-0000-0000-000040740000}"/>
    <cellStyle name="Normal 3 19 2 2 3 5 4" xfId="19345" xr:uid="{00000000-0005-0000-0000-000041740000}"/>
    <cellStyle name="Normal 3 19 2 2 3 5 4 2" xfId="46478" xr:uid="{00000000-0005-0000-0000-000042740000}"/>
    <cellStyle name="Normal 3 19 2 2 3 5 5" xfId="32916" xr:uid="{00000000-0005-0000-0000-000043740000}"/>
    <cellStyle name="Normal 3 19 2 2 3 6" xfId="9151" xr:uid="{00000000-0005-0000-0000-000044740000}"/>
    <cellStyle name="Normal 3 19 2 2 3 6 2" xfId="15940" xr:uid="{00000000-0005-0000-0000-000045740000}"/>
    <cellStyle name="Normal 3 19 2 2 3 6 2 2" xfId="29508" xr:uid="{00000000-0005-0000-0000-000046740000}"/>
    <cellStyle name="Normal 3 19 2 2 3 6 2 2 2" xfId="56641" xr:uid="{00000000-0005-0000-0000-000047740000}"/>
    <cellStyle name="Normal 3 19 2 2 3 6 2 3" xfId="43079" xr:uid="{00000000-0005-0000-0000-000048740000}"/>
    <cellStyle name="Normal 3 19 2 2 3 6 3" xfId="22727" xr:uid="{00000000-0005-0000-0000-000049740000}"/>
    <cellStyle name="Normal 3 19 2 2 3 6 3 2" xfId="49860" xr:uid="{00000000-0005-0000-0000-00004A740000}"/>
    <cellStyle name="Normal 3 19 2 2 3 6 4" xfId="36298" xr:uid="{00000000-0005-0000-0000-00004B740000}"/>
    <cellStyle name="Normal 3 19 2 2 3 7" xfId="12551" xr:uid="{00000000-0005-0000-0000-00004C740000}"/>
    <cellStyle name="Normal 3 19 2 2 3 7 2" xfId="26119" xr:uid="{00000000-0005-0000-0000-00004D740000}"/>
    <cellStyle name="Normal 3 19 2 2 3 7 2 2" xfId="53252" xr:uid="{00000000-0005-0000-0000-00004E740000}"/>
    <cellStyle name="Normal 3 19 2 2 3 7 3" xfId="39690" xr:uid="{00000000-0005-0000-0000-00004F740000}"/>
    <cellStyle name="Normal 3 19 2 2 3 8" xfId="19338" xr:uid="{00000000-0005-0000-0000-000050740000}"/>
    <cellStyle name="Normal 3 19 2 2 3 8 2" xfId="46471" xr:uid="{00000000-0005-0000-0000-000051740000}"/>
    <cellStyle name="Normal 3 19 2 2 3 9" xfId="32909" xr:uid="{00000000-0005-0000-0000-000052740000}"/>
    <cellStyle name="Normal 3 19 2 2 4" xfId="5616" xr:uid="{00000000-0005-0000-0000-000053740000}"/>
    <cellStyle name="Normal 3 19 2 2 4 2" xfId="5617" xr:uid="{00000000-0005-0000-0000-000054740000}"/>
    <cellStyle name="Normal 3 19 2 2 4 2 2" xfId="5618" xr:uid="{00000000-0005-0000-0000-000055740000}"/>
    <cellStyle name="Normal 3 19 2 2 4 2 2 2" xfId="9161" xr:uid="{00000000-0005-0000-0000-000056740000}"/>
    <cellStyle name="Normal 3 19 2 2 4 2 2 2 2" xfId="15950" xr:uid="{00000000-0005-0000-0000-000057740000}"/>
    <cellStyle name="Normal 3 19 2 2 4 2 2 2 2 2" xfId="29518" xr:uid="{00000000-0005-0000-0000-000058740000}"/>
    <cellStyle name="Normal 3 19 2 2 4 2 2 2 2 2 2" xfId="56651" xr:uid="{00000000-0005-0000-0000-000059740000}"/>
    <cellStyle name="Normal 3 19 2 2 4 2 2 2 2 3" xfId="43089" xr:uid="{00000000-0005-0000-0000-00005A740000}"/>
    <cellStyle name="Normal 3 19 2 2 4 2 2 2 3" xfId="22737" xr:uid="{00000000-0005-0000-0000-00005B740000}"/>
    <cellStyle name="Normal 3 19 2 2 4 2 2 2 3 2" xfId="49870" xr:uid="{00000000-0005-0000-0000-00005C740000}"/>
    <cellStyle name="Normal 3 19 2 2 4 2 2 2 4" xfId="36308" xr:uid="{00000000-0005-0000-0000-00005D740000}"/>
    <cellStyle name="Normal 3 19 2 2 4 2 2 3" xfId="12561" xr:uid="{00000000-0005-0000-0000-00005E740000}"/>
    <cellStyle name="Normal 3 19 2 2 4 2 2 3 2" xfId="26129" xr:uid="{00000000-0005-0000-0000-00005F740000}"/>
    <cellStyle name="Normal 3 19 2 2 4 2 2 3 2 2" xfId="53262" xr:uid="{00000000-0005-0000-0000-000060740000}"/>
    <cellStyle name="Normal 3 19 2 2 4 2 2 3 3" xfId="39700" xr:uid="{00000000-0005-0000-0000-000061740000}"/>
    <cellStyle name="Normal 3 19 2 2 4 2 2 4" xfId="19348" xr:uid="{00000000-0005-0000-0000-000062740000}"/>
    <cellStyle name="Normal 3 19 2 2 4 2 2 4 2" xfId="46481" xr:uid="{00000000-0005-0000-0000-000063740000}"/>
    <cellStyle name="Normal 3 19 2 2 4 2 2 5" xfId="32919" xr:uid="{00000000-0005-0000-0000-000064740000}"/>
    <cellStyle name="Normal 3 19 2 2 4 2 3" xfId="5619" xr:uid="{00000000-0005-0000-0000-000065740000}"/>
    <cellStyle name="Normal 3 19 2 2 4 2 3 2" xfId="9162" xr:uid="{00000000-0005-0000-0000-000066740000}"/>
    <cellStyle name="Normal 3 19 2 2 4 2 3 2 2" xfId="15951" xr:uid="{00000000-0005-0000-0000-000067740000}"/>
    <cellStyle name="Normal 3 19 2 2 4 2 3 2 2 2" xfId="29519" xr:uid="{00000000-0005-0000-0000-000068740000}"/>
    <cellStyle name="Normal 3 19 2 2 4 2 3 2 2 2 2" xfId="56652" xr:uid="{00000000-0005-0000-0000-000069740000}"/>
    <cellStyle name="Normal 3 19 2 2 4 2 3 2 2 3" xfId="43090" xr:uid="{00000000-0005-0000-0000-00006A740000}"/>
    <cellStyle name="Normal 3 19 2 2 4 2 3 2 3" xfId="22738" xr:uid="{00000000-0005-0000-0000-00006B740000}"/>
    <cellStyle name="Normal 3 19 2 2 4 2 3 2 3 2" xfId="49871" xr:uid="{00000000-0005-0000-0000-00006C740000}"/>
    <cellStyle name="Normal 3 19 2 2 4 2 3 2 4" xfId="36309" xr:uid="{00000000-0005-0000-0000-00006D740000}"/>
    <cellStyle name="Normal 3 19 2 2 4 2 3 3" xfId="12562" xr:uid="{00000000-0005-0000-0000-00006E740000}"/>
    <cellStyle name="Normal 3 19 2 2 4 2 3 3 2" xfId="26130" xr:uid="{00000000-0005-0000-0000-00006F740000}"/>
    <cellStyle name="Normal 3 19 2 2 4 2 3 3 2 2" xfId="53263" xr:uid="{00000000-0005-0000-0000-000070740000}"/>
    <cellStyle name="Normal 3 19 2 2 4 2 3 3 3" xfId="39701" xr:uid="{00000000-0005-0000-0000-000071740000}"/>
    <cellStyle name="Normal 3 19 2 2 4 2 3 4" xfId="19349" xr:uid="{00000000-0005-0000-0000-000072740000}"/>
    <cellStyle name="Normal 3 19 2 2 4 2 3 4 2" xfId="46482" xr:uid="{00000000-0005-0000-0000-000073740000}"/>
    <cellStyle name="Normal 3 19 2 2 4 2 3 5" xfId="32920" xr:uid="{00000000-0005-0000-0000-000074740000}"/>
    <cellStyle name="Normal 3 19 2 2 4 2 4" xfId="9160" xr:uid="{00000000-0005-0000-0000-000075740000}"/>
    <cellStyle name="Normal 3 19 2 2 4 2 4 2" xfId="15949" xr:uid="{00000000-0005-0000-0000-000076740000}"/>
    <cellStyle name="Normal 3 19 2 2 4 2 4 2 2" xfId="29517" xr:uid="{00000000-0005-0000-0000-000077740000}"/>
    <cellStyle name="Normal 3 19 2 2 4 2 4 2 2 2" xfId="56650" xr:uid="{00000000-0005-0000-0000-000078740000}"/>
    <cellStyle name="Normal 3 19 2 2 4 2 4 2 3" xfId="43088" xr:uid="{00000000-0005-0000-0000-000079740000}"/>
    <cellStyle name="Normal 3 19 2 2 4 2 4 3" xfId="22736" xr:uid="{00000000-0005-0000-0000-00007A740000}"/>
    <cellStyle name="Normal 3 19 2 2 4 2 4 3 2" xfId="49869" xr:uid="{00000000-0005-0000-0000-00007B740000}"/>
    <cellStyle name="Normal 3 19 2 2 4 2 4 4" xfId="36307" xr:uid="{00000000-0005-0000-0000-00007C740000}"/>
    <cellStyle name="Normal 3 19 2 2 4 2 5" xfId="12560" xr:uid="{00000000-0005-0000-0000-00007D740000}"/>
    <cellStyle name="Normal 3 19 2 2 4 2 5 2" xfId="26128" xr:uid="{00000000-0005-0000-0000-00007E740000}"/>
    <cellStyle name="Normal 3 19 2 2 4 2 5 2 2" xfId="53261" xr:uid="{00000000-0005-0000-0000-00007F740000}"/>
    <cellStyle name="Normal 3 19 2 2 4 2 5 3" xfId="39699" xr:uid="{00000000-0005-0000-0000-000080740000}"/>
    <cellStyle name="Normal 3 19 2 2 4 2 6" xfId="19347" xr:uid="{00000000-0005-0000-0000-000081740000}"/>
    <cellStyle name="Normal 3 19 2 2 4 2 6 2" xfId="46480" xr:uid="{00000000-0005-0000-0000-000082740000}"/>
    <cellStyle name="Normal 3 19 2 2 4 2 7" xfId="32918" xr:uid="{00000000-0005-0000-0000-000083740000}"/>
    <cellStyle name="Normal 3 19 2 2 4 3" xfId="5620" xr:uid="{00000000-0005-0000-0000-000084740000}"/>
    <cellStyle name="Normal 3 19 2 2 4 3 2" xfId="9163" xr:uid="{00000000-0005-0000-0000-000085740000}"/>
    <cellStyle name="Normal 3 19 2 2 4 3 2 2" xfId="15952" xr:uid="{00000000-0005-0000-0000-000086740000}"/>
    <cellStyle name="Normal 3 19 2 2 4 3 2 2 2" xfId="29520" xr:uid="{00000000-0005-0000-0000-000087740000}"/>
    <cellStyle name="Normal 3 19 2 2 4 3 2 2 2 2" xfId="56653" xr:uid="{00000000-0005-0000-0000-000088740000}"/>
    <cellStyle name="Normal 3 19 2 2 4 3 2 2 3" xfId="43091" xr:uid="{00000000-0005-0000-0000-000089740000}"/>
    <cellStyle name="Normal 3 19 2 2 4 3 2 3" xfId="22739" xr:uid="{00000000-0005-0000-0000-00008A740000}"/>
    <cellStyle name="Normal 3 19 2 2 4 3 2 3 2" xfId="49872" xr:uid="{00000000-0005-0000-0000-00008B740000}"/>
    <cellStyle name="Normal 3 19 2 2 4 3 2 4" xfId="36310" xr:uid="{00000000-0005-0000-0000-00008C740000}"/>
    <cellStyle name="Normal 3 19 2 2 4 3 3" xfId="12563" xr:uid="{00000000-0005-0000-0000-00008D740000}"/>
    <cellStyle name="Normal 3 19 2 2 4 3 3 2" xfId="26131" xr:uid="{00000000-0005-0000-0000-00008E740000}"/>
    <cellStyle name="Normal 3 19 2 2 4 3 3 2 2" xfId="53264" xr:uid="{00000000-0005-0000-0000-00008F740000}"/>
    <cellStyle name="Normal 3 19 2 2 4 3 3 3" xfId="39702" xr:uid="{00000000-0005-0000-0000-000090740000}"/>
    <cellStyle name="Normal 3 19 2 2 4 3 4" xfId="19350" xr:uid="{00000000-0005-0000-0000-000091740000}"/>
    <cellStyle name="Normal 3 19 2 2 4 3 4 2" xfId="46483" xr:uid="{00000000-0005-0000-0000-000092740000}"/>
    <cellStyle name="Normal 3 19 2 2 4 3 5" xfId="32921" xr:uid="{00000000-0005-0000-0000-000093740000}"/>
    <cellStyle name="Normal 3 19 2 2 4 4" xfId="5621" xr:uid="{00000000-0005-0000-0000-000094740000}"/>
    <cellStyle name="Normal 3 19 2 2 4 4 2" xfId="9164" xr:uid="{00000000-0005-0000-0000-000095740000}"/>
    <cellStyle name="Normal 3 19 2 2 4 4 2 2" xfId="15953" xr:uid="{00000000-0005-0000-0000-000096740000}"/>
    <cellStyle name="Normal 3 19 2 2 4 4 2 2 2" xfId="29521" xr:uid="{00000000-0005-0000-0000-000097740000}"/>
    <cellStyle name="Normal 3 19 2 2 4 4 2 2 2 2" xfId="56654" xr:uid="{00000000-0005-0000-0000-000098740000}"/>
    <cellStyle name="Normal 3 19 2 2 4 4 2 2 3" xfId="43092" xr:uid="{00000000-0005-0000-0000-000099740000}"/>
    <cellStyle name="Normal 3 19 2 2 4 4 2 3" xfId="22740" xr:uid="{00000000-0005-0000-0000-00009A740000}"/>
    <cellStyle name="Normal 3 19 2 2 4 4 2 3 2" xfId="49873" xr:uid="{00000000-0005-0000-0000-00009B740000}"/>
    <cellStyle name="Normal 3 19 2 2 4 4 2 4" xfId="36311" xr:uid="{00000000-0005-0000-0000-00009C740000}"/>
    <cellStyle name="Normal 3 19 2 2 4 4 3" xfId="12564" xr:uid="{00000000-0005-0000-0000-00009D740000}"/>
    <cellStyle name="Normal 3 19 2 2 4 4 3 2" xfId="26132" xr:uid="{00000000-0005-0000-0000-00009E740000}"/>
    <cellStyle name="Normal 3 19 2 2 4 4 3 2 2" xfId="53265" xr:uid="{00000000-0005-0000-0000-00009F740000}"/>
    <cellStyle name="Normal 3 19 2 2 4 4 3 3" xfId="39703" xr:uid="{00000000-0005-0000-0000-0000A0740000}"/>
    <cellStyle name="Normal 3 19 2 2 4 4 4" xfId="19351" xr:uid="{00000000-0005-0000-0000-0000A1740000}"/>
    <cellStyle name="Normal 3 19 2 2 4 4 4 2" xfId="46484" xr:uid="{00000000-0005-0000-0000-0000A2740000}"/>
    <cellStyle name="Normal 3 19 2 2 4 4 5" xfId="32922" xr:uid="{00000000-0005-0000-0000-0000A3740000}"/>
    <cellStyle name="Normal 3 19 2 2 4 5" xfId="9159" xr:uid="{00000000-0005-0000-0000-0000A4740000}"/>
    <cellStyle name="Normal 3 19 2 2 4 5 2" xfId="15948" xr:uid="{00000000-0005-0000-0000-0000A5740000}"/>
    <cellStyle name="Normal 3 19 2 2 4 5 2 2" xfId="29516" xr:uid="{00000000-0005-0000-0000-0000A6740000}"/>
    <cellStyle name="Normal 3 19 2 2 4 5 2 2 2" xfId="56649" xr:uid="{00000000-0005-0000-0000-0000A7740000}"/>
    <cellStyle name="Normal 3 19 2 2 4 5 2 3" xfId="43087" xr:uid="{00000000-0005-0000-0000-0000A8740000}"/>
    <cellStyle name="Normal 3 19 2 2 4 5 3" xfId="22735" xr:uid="{00000000-0005-0000-0000-0000A9740000}"/>
    <cellStyle name="Normal 3 19 2 2 4 5 3 2" xfId="49868" xr:uid="{00000000-0005-0000-0000-0000AA740000}"/>
    <cellStyle name="Normal 3 19 2 2 4 5 4" xfId="36306" xr:uid="{00000000-0005-0000-0000-0000AB740000}"/>
    <cellStyle name="Normal 3 19 2 2 4 6" xfId="12559" xr:uid="{00000000-0005-0000-0000-0000AC740000}"/>
    <cellStyle name="Normal 3 19 2 2 4 6 2" xfId="26127" xr:uid="{00000000-0005-0000-0000-0000AD740000}"/>
    <cellStyle name="Normal 3 19 2 2 4 6 2 2" xfId="53260" xr:uid="{00000000-0005-0000-0000-0000AE740000}"/>
    <cellStyle name="Normal 3 19 2 2 4 6 3" xfId="39698" xr:uid="{00000000-0005-0000-0000-0000AF740000}"/>
    <cellStyle name="Normal 3 19 2 2 4 7" xfId="19346" xr:uid="{00000000-0005-0000-0000-0000B0740000}"/>
    <cellStyle name="Normal 3 19 2 2 4 7 2" xfId="46479" xr:uid="{00000000-0005-0000-0000-0000B1740000}"/>
    <cellStyle name="Normal 3 19 2 2 4 8" xfId="32917" xr:uid="{00000000-0005-0000-0000-0000B2740000}"/>
    <cellStyle name="Normal 3 19 2 2 5" xfId="5622" xr:uid="{00000000-0005-0000-0000-0000B3740000}"/>
    <cellStyle name="Normal 3 19 2 2 5 2" xfId="5623" xr:uid="{00000000-0005-0000-0000-0000B4740000}"/>
    <cellStyle name="Normal 3 19 2 2 5 2 2" xfId="9166" xr:uid="{00000000-0005-0000-0000-0000B5740000}"/>
    <cellStyle name="Normal 3 19 2 2 5 2 2 2" xfId="15955" xr:uid="{00000000-0005-0000-0000-0000B6740000}"/>
    <cellStyle name="Normal 3 19 2 2 5 2 2 2 2" xfId="29523" xr:uid="{00000000-0005-0000-0000-0000B7740000}"/>
    <cellStyle name="Normal 3 19 2 2 5 2 2 2 2 2" xfId="56656" xr:uid="{00000000-0005-0000-0000-0000B8740000}"/>
    <cellStyle name="Normal 3 19 2 2 5 2 2 2 3" xfId="43094" xr:uid="{00000000-0005-0000-0000-0000B9740000}"/>
    <cellStyle name="Normal 3 19 2 2 5 2 2 3" xfId="22742" xr:uid="{00000000-0005-0000-0000-0000BA740000}"/>
    <cellStyle name="Normal 3 19 2 2 5 2 2 3 2" xfId="49875" xr:uid="{00000000-0005-0000-0000-0000BB740000}"/>
    <cellStyle name="Normal 3 19 2 2 5 2 2 4" xfId="36313" xr:uid="{00000000-0005-0000-0000-0000BC740000}"/>
    <cellStyle name="Normal 3 19 2 2 5 2 3" xfId="12566" xr:uid="{00000000-0005-0000-0000-0000BD740000}"/>
    <cellStyle name="Normal 3 19 2 2 5 2 3 2" xfId="26134" xr:uid="{00000000-0005-0000-0000-0000BE740000}"/>
    <cellStyle name="Normal 3 19 2 2 5 2 3 2 2" xfId="53267" xr:uid="{00000000-0005-0000-0000-0000BF740000}"/>
    <cellStyle name="Normal 3 19 2 2 5 2 3 3" xfId="39705" xr:uid="{00000000-0005-0000-0000-0000C0740000}"/>
    <cellStyle name="Normal 3 19 2 2 5 2 4" xfId="19353" xr:uid="{00000000-0005-0000-0000-0000C1740000}"/>
    <cellStyle name="Normal 3 19 2 2 5 2 4 2" xfId="46486" xr:uid="{00000000-0005-0000-0000-0000C2740000}"/>
    <cellStyle name="Normal 3 19 2 2 5 2 5" xfId="32924" xr:uid="{00000000-0005-0000-0000-0000C3740000}"/>
    <cellStyle name="Normal 3 19 2 2 5 3" xfId="5624" xr:uid="{00000000-0005-0000-0000-0000C4740000}"/>
    <cellStyle name="Normal 3 19 2 2 5 3 2" xfId="9167" xr:uid="{00000000-0005-0000-0000-0000C5740000}"/>
    <cellStyle name="Normal 3 19 2 2 5 3 2 2" xfId="15956" xr:uid="{00000000-0005-0000-0000-0000C6740000}"/>
    <cellStyle name="Normal 3 19 2 2 5 3 2 2 2" xfId="29524" xr:uid="{00000000-0005-0000-0000-0000C7740000}"/>
    <cellStyle name="Normal 3 19 2 2 5 3 2 2 2 2" xfId="56657" xr:uid="{00000000-0005-0000-0000-0000C8740000}"/>
    <cellStyle name="Normal 3 19 2 2 5 3 2 2 3" xfId="43095" xr:uid="{00000000-0005-0000-0000-0000C9740000}"/>
    <cellStyle name="Normal 3 19 2 2 5 3 2 3" xfId="22743" xr:uid="{00000000-0005-0000-0000-0000CA740000}"/>
    <cellStyle name="Normal 3 19 2 2 5 3 2 3 2" xfId="49876" xr:uid="{00000000-0005-0000-0000-0000CB740000}"/>
    <cellStyle name="Normal 3 19 2 2 5 3 2 4" xfId="36314" xr:uid="{00000000-0005-0000-0000-0000CC740000}"/>
    <cellStyle name="Normal 3 19 2 2 5 3 3" xfId="12567" xr:uid="{00000000-0005-0000-0000-0000CD740000}"/>
    <cellStyle name="Normal 3 19 2 2 5 3 3 2" xfId="26135" xr:uid="{00000000-0005-0000-0000-0000CE740000}"/>
    <cellStyle name="Normal 3 19 2 2 5 3 3 2 2" xfId="53268" xr:uid="{00000000-0005-0000-0000-0000CF740000}"/>
    <cellStyle name="Normal 3 19 2 2 5 3 3 3" xfId="39706" xr:uid="{00000000-0005-0000-0000-0000D0740000}"/>
    <cellStyle name="Normal 3 19 2 2 5 3 4" xfId="19354" xr:uid="{00000000-0005-0000-0000-0000D1740000}"/>
    <cellStyle name="Normal 3 19 2 2 5 3 4 2" xfId="46487" xr:uid="{00000000-0005-0000-0000-0000D2740000}"/>
    <cellStyle name="Normal 3 19 2 2 5 3 5" xfId="32925" xr:uid="{00000000-0005-0000-0000-0000D3740000}"/>
    <cellStyle name="Normal 3 19 2 2 5 4" xfId="9165" xr:uid="{00000000-0005-0000-0000-0000D4740000}"/>
    <cellStyle name="Normal 3 19 2 2 5 4 2" xfId="15954" xr:uid="{00000000-0005-0000-0000-0000D5740000}"/>
    <cellStyle name="Normal 3 19 2 2 5 4 2 2" xfId="29522" xr:uid="{00000000-0005-0000-0000-0000D6740000}"/>
    <cellStyle name="Normal 3 19 2 2 5 4 2 2 2" xfId="56655" xr:uid="{00000000-0005-0000-0000-0000D7740000}"/>
    <cellStyle name="Normal 3 19 2 2 5 4 2 3" xfId="43093" xr:uid="{00000000-0005-0000-0000-0000D8740000}"/>
    <cellStyle name="Normal 3 19 2 2 5 4 3" xfId="22741" xr:uid="{00000000-0005-0000-0000-0000D9740000}"/>
    <cellStyle name="Normal 3 19 2 2 5 4 3 2" xfId="49874" xr:uid="{00000000-0005-0000-0000-0000DA740000}"/>
    <cellStyle name="Normal 3 19 2 2 5 4 4" xfId="36312" xr:uid="{00000000-0005-0000-0000-0000DB740000}"/>
    <cellStyle name="Normal 3 19 2 2 5 5" xfId="12565" xr:uid="{00000000-0005-0000-0000-0000DC740000}"/>
    <cellStyle name="Normal 3 19 2 2 5 5 2" xfId="26133" xr:uid="{00000000-0005-0000-0000-0000DD740000}"/>
    <cellStyle name="Normal 3 19 2 2 5 5 2 2" xfId="53266" xr:uid="{00000000-0005-0000-0000-0000DE740000}"/>
    <cellStyle name="Normal 3 19 2 2 5 5 3" xfId="39704" xr:uid="{00000000-0005-0000-0000-0000DF740000}"/>
    <cellStyle name="Normal 3 19 2 2 5 6" xfId="19352" xr:uid="{00000000-0005-0000-0000-0000E0740000}"/>
    <cellStyle name="Normal 3 19 2 2 5 6 2" xfId="46485" xr:uid="{00000000-0005-0000-0000-0000E1740000}"/>
    <cellStyle name="Normal 3 19 2 2 5 7" xfId="32923" xr:uid="{00000000-0005-0000-0000-0000E2740000}"/>
    <cellStyle name="Normal 3 19 2 2 6" xfId="5625" xr:uid="{00000000-0005-0000-0000-0000E3740000}"/>
    <cellStyle name="Normal 3 19 2 2 6 2" xfId="5626" xr:uid="{00000000-0005-0000-0000-0000E4740000}"/>
    <cellStyle name="Normal 3 19 2 2 6 2 2" xfId="9169" xr:uid="{00000000-0005-0000-0000-0000E5740000}"/>
    <cellStyle name="Normal 3 19 2 2 6 2 2 2" xfId="15958" xr:uid="{00000000-0005-0000-0000-0000E6740000}"/>
    <cellStyle name="Normal 3 19 2 2 6 2 2 2 2" xfId="29526" xr:uid="{00000000-0005-0000-0000-0000E7740000}"/>
    <cellStyle name="Normal 3 19 2 2 6 2 2 2 2 2" xfId="56659" xr:uid="{00000000-0005-0000-0000-0000E8740000}"/>
    <cellStyle name="Normal 3 19 2 2 6 2 2 2 3" xfId="43097" xr:uid="{00000000-0005-0000-0000-0000E9740000}"/>
    <cellStyle name="Normal 3 19 2 2 6 2 2 3" xfId="22745" xr:uid="{00000000-0005-0000-0000-0000EA740000}"/>
    <cellStyle name="Normal 3 19 2 2 6 2 2 3 2" xfId="49878" xr:uid="{00000000-0005-0000-0000-0000EB740000}"/>
    <cellStyle name="Normal 3 19 2 2 6 2 2 4" xfId="36316" xr:uid="{00000000-0005-0000-0000-0000EC740000}"/>
    <cellStyle name="Normal 3 19 2 2 6 2 3" xfId="12569" xr:uid="{00000000-0005-0000-0000-0000ED740000}"/>
    <cellStyle name="Normal 3 19 2 2 6 2 3 2" xfId="26137" xr:uid="{00000000-0005-0000-0000-0000EE740000}"/>
    <cellStyle name="Normal 3 19 2 2 6 2 3 2 2" xfId="53270" xr:uid="{00000000-0005-0000-0000-0000EF740000}"/>
    <cellStyle name="Normal 3 19 2 2 6 2 3 3" xfId="39708" xr:uid="{00000000-0005-0000-0000-0000F0740000}"/>
    <cellStyle name="Normal 3 19 2 2 6 2 4" xfId="19356" xr:uid="{00000000-0005-0000-0000-0000F1740000}"/>
    <cellStyle name="Normal 3 19 2 2 6 2 4 2" xfId="46489" xr:uid="{00000000-0005-0000-0000-0000F2740000}"/>
    <cellStyle name="Normal 3 19 2 2 6 2 5" xfId="32927" xr:uid="{00000000-0005-0000-0000-0000F3740000}"/>
    <cellStyle name="Normal 3 19 2 2 6 3" xfId="5627" xr:uid="{00000000-0005-0000-0000-0000F4740000}"/>
    <cellStyle name="Normal 3 19 2 2 6 3 2" xfId="9170" xr:uid="{00000000-0005-0000-0000-0000F5740000}"/>
    <cellStyle name="Normal 3 19 2 2 6 3 2 2" xfId="15959" xr:uid="{00000000-0005-0000-0000-0000F6740000}"/>
    <cellStyle name="Normal 3 19 2 2 6 3 2 2 2" xfId="29527" xr:uid="{00000000-0005-0000-0000-0000F7740000}"/>
    <cellStyle name="Normal 3 19 2 2 6 3 2 2 2 2" xfId="56660" xr:uid="{00000000-0005-0000-0000-0000F8740000}"/>
    <cellStyle name="Normal 3 19 2 2 6 3 2 2 3" xfId="43098" xr:uid="{00000000-0005-0000-0000-0000F9740000}"/>
    <cellStyle name="Normal 3 19 2 2 6 3 2 3" xfId="22746" xr:uid="{00000000-0005-0000-0000-0000FA740000}"/>
    <cellStyle name="Normal 3 19 2 2 6 3 2 3 2" xfId="49879" xr:uid="{00000000-0005-0000-0000-0000FB740000}"/>
    <cellStyle name="Normal 3 19 2 2 6 3 2 4" xfId="36317" xr:uid="{00000000-0005-0000-0000-0000FC740000}"/>
    <cellStyle name="Normal 3 19 2 2 6 3 3" xfId="12570" xr:uid="{00000000-0005-0000-0000-0000FD740000}"/>
    <cellStyle name="Normal 3 19 2 2 6 3 3 2" xfId="26138" xr:uid="{00000000-0005-0000-0000-0000FE740000}"/>
    <cellStyle name="Normal 3 19 2 2 6 3 3 2 2" xfId="53271" xr:uid="{00000000-0005-0000-0000-0000FF740000}"/>
    <cellStyle name="Normal 3 19 2 2 6 3 3 3" xfId="39709" xr:uid="{00000000-0005-0000-0000-000000750000}"/>
    <cellStyle name="Normal 3 19 2 2 6 3 4" xfId="19357" xr:uid="{00000000-0005-0000-0000-000001750000}"/>
    <cellStyle name="Normal 3 19 2 2 6 3 4 2" xfId="46490" xr:uid="{00000000-0005-0000-0000-000002750000}"/>
    <cellStyle name="Normal 3 19 2 2 6 3 5" xfId="32928" xr:uid="{00000000-0005-0000-0000-000003750000}"/>
    <cellStyle name="Normal 3 19 2 2 6 4" xfId="9168" xr:uid="{00000000-0005-0000-0000-000004750000}"/>
    <cellStyle name="Normal 3 19 2 2 6 4 2" xfId="15957" xr:uid="{00000000-0005-0000-0000-000005750000}"/>
    <cellStyle name="Normal 3 19 2 2 6 4 2 2" xfId="29525" xr:uid="{00000000-0005-0000-0000-000006750000}"/>
    <cellStyle name="Normal 3 19 2 2 6 4 2 2 2" xfId="56658" xr:uid="{00000000-0005-0000-0000-000007750000}"/>
    <cellStyle name="Normal 3 19 2 2 6 4 2 3" xfId="43096" xr:uid="{00000000-0005-0000-0000-000008750000}"/>
    <cellStyle name="Normal 3 19 2 2 6 4 3" xfId="22744" xr:uid="{00000000-0005-0000-0000-000009750000}"/>
    <cellStyle name="Normal 3 19 2 2 6 4 3 2" xfId="49877" xr:uid="{00000000-0005-0000-0000-00000A750000}"/>
    <cellStyle name="Normal 3 19 2 2 6 4 4" xfId="36315" xr:uid="{00000000-0005-0000-0000-00000B750000}"/>
    <cellStyle name="Normal 3 19 2 2 6 5" xfId="12568" xr:uid="{00000000-0005-0000-0000-00000C750000}"/>
    <cellStyle name="Normal 3 19 2 2 6 5 2" xfId="26136" xr:uid="{00000000-0005-0000-0000-00000D750000}"/>
    <cellStyle name="Normal 3 19 2 2 6 5 2 2" xfId="53269" xr:uid="{00000000-0005-0000-0000-00000E750000}"/>
    <cellStyle name="Normal 3 19 2 2 6 5 3" xfId="39707" xr:uid="{00000000-0005-0000-0000-00000F750000}"/>
    <cellStyle name="Normal 3 19 2 2 6 6" xfId="19355" xr:uid="{00000000-0005-0000-0000-000010750000}"/>
    <cellStyle name="Normal 3 19 2 2 6 6 2" xfId="46488" xr:uid="{00000000-0005-0000-0000-000011750000}"/>
    <cellStyle name="Normal 3 19 2 2 6 7" xfId="32926" xr:uid="{00000000-0005-0000-0000-000012750000}"/>
    <cellStyle name="Normal 3 19 2 2 7" xfId="5628" xr:uid="{00000000-0005-0000-0000-000013750000}"/>
    <cellStyle name="Normal 3 19 2 2 7 2" xfId="9171" xr:uid="{00000000-0005-0000-0000-000014750000}"/>
    <cellStyle name="Normal 3 19 2 2 7 2 2" xfId="15960" xr:uid="{00000000-0005-0000-0000-000015750000}"/>
    <cellStyle name="Normal 3 19 2 2 7 2 2 2" xfId="29528" xr:uid="{00000000-0005-0000-0000-000016750000}"/>
    <cellStyle name="Normal 3 19 2 2 7 2 2 2 2" xfId="56661" xr:uid="{00000000-0005-0000-0000-000017750000}"/>
    <cellStyle name="Normal 3 19 2 2 7 2 2 3" xfId="43099" xr:uid="{00000000-0005-0000-0000-000018750000}"/>
    <cellStyle name="Normal 3 19 2 2 7 2 3" xfId="22747" xr:uid="{00000000-0005-0000-0000-000019750000}"/>
    <cellStyle name="Normal 3 19 2 2 7 2 3 2" xfId="49880" xr:uid="{00000000-0005-0000-0000-00001A750000}"/>
    <cellStyle name="Normal 3 19 2 2 7 2 4" xfId="36318" xr:uid="{00000000-0005-0000-0000-00001B750000}"/>
    <cellStyle name="Normal 3 19 2 2 7 3" xfId="12571" xr:uid="{00000000-0005-0000-0000-00001C750000}"/>
    <cellStyle name="Normal 3 19 2 2 7 3 2" xfId="26139" xr:uid="{00000000-0005-0000-0000-00001D750000}"/>
    <cellStyle name="Normal 3 19 2 2 7 3 2 2" xfId="53272" xr:uid="{00000000-0005-0000-0000-00001E750000}"/>
    <cellStyle name="Normal 3 19 2 2 7 3 3" xfId="39710" xr:uid="{00000000-0005-0000-0000-00001F750000}"/>
    <cellStyle name="Normal 3 19 2 2 7 4" xfId="19358" xr:uid="{00000000-0005-0000-0000-000020750000}"/>
    <cellStyle name="Normal 3 19 2 2 7 4 2" xfId="46491" xr:uid="{00000000-0005-0000-0000-000021750000}"/>
    <cellStyle name="Normal 3 19 2 2 7 5" xfId="32929" xr:uid="{00000000-0005-0000-0000-000022750000}"/>
    <cellStyle name="Normal 3 19 2 2 8" xfId="5629" xr:uid="{00000000-0005-0000-0000-000023750000}"/>
    <cellStyle name="Normal 3 19 2 2 8 2" xfId="9172" xr:uid="{00000000-0005-0000-0000-000024750000}"/>
    <cellStyle name="Normal 3 19 2 2 8 2 2" xfId="15961" xr:uid="{00000000-0005-0000-0000-000025750000}"/>
    <cellStyle name="Normal 3 19 2 2 8 2 2 2" xfId="29529" xr:uid="{00000000-0005-0000-0000-000026750000}"/>
    <cellStyle name="Normal 3 19 2 2 8 2 2 2 2" xfId="56662" xr:uid="{00000000-0005-0000-0000-000027750000}"/>
    <cellStyle name="Normal 3 19 2 2 8 2 2 3" xfId="43100" xr:uid="{00000000-0005-0000-0000-000028750000}"/>
    <cellStyle name="Normal 3 19 2 2 8 2 3" xfId="22748" xr:uid="{00000000-0005-0000-0000-000029750000}"/>
    <cellStyle name="Normal 3 19 2 2 8 2 3 2" xfId="49881" xr:uid="{00000000-0005-0000-0000-00002A750000}"/>
    <cellStyle name="Normal 3 19 2 2 8 2 4" xfId="36319" xr:uid="{00000000-0005-0000-0000-00002B750000}"/>
    <cellStyle name="Normal 3 19 2 2 8 3" xfId="12572" xr:uid="{00000000-0005-0000-0000-00002C750000}"/>
    <cellStyle name="Normal 3 19 2 2 8 3 2" xfId="26140" xr:uid="{00000000-0005-0000-0000-00002D750000}"/>
    <cellStyle name="Normal 3 19 2 2 8 3 2 2" xfId="53273" xr:uid="{00000000-0005-0000-0000-00002E750000}"/>
    <cellStyle name="Normal 3 19 2 2 8 3 3" xfId="39711" xr:uid="{00000000-0005-0000-0000-00002F750000}"/>
    <cellStyle name="Normal 3 19 2 2 8 4" xfId="19359" xr:uid="{00000000-0005-0000-0000-000030750000}"/>
    <cellStyle name="Normal 3 19 2 2 8 4 2" xfId="46492" xr:uid="{00000000-0005-0000-0000-000031750000}"/>
    <cellStyle name="Normal 3 19 2 2 8 5" xfId="32930" xr:uid="{00000000-0005-0000-0000-000032750000}"/>
    <cellStyle name="Normal 3 19 2 2 9" xfId="9134" xr:uid="{00000000-0005-0000-0000-000033750000}"/>
    <cellStyle name="Normal 3 19 2 2 9 2" xfId="15923" xr:uid="{00000000-0005-0000-0000-000034750000}"/>
    <cellStyle name="Normal 3 19 2 2 9 2 2" xfId="29491" xr:uid="{00000000-0005-0000-0000-000035750000}"/>
    <cellStyle name="Normal 3 19 2 2 9 2 2 2" xfId="56624" xr:uid="{00000000-0005-0000-0000-000036750000}"/>
    <cellStyle name="Normal 3 19 2 2 9 2 3" xfId="43062" xr:uid="{00000000-0005-0000-0000-000037750000}"/>
    <cellStyle name="Normal 3 19 2 2 9 3" xfId="22710" xr:uid="{00000000-0005-0000-0000-000038750000}"/>
    <cellStyle name="Normal 3 19 2 2 9 3 2" xfId="49843" xr:uid="{00000000-0005-0000-0000-000039750000}"/>
    <cellStyle name="Normal 3 19 2 2 9 4" xfId="36281" xr:uid="{00000000-0005-0000-0000-00003A750000}"/>
    <cellStyle name="Normal 3 19 2 3" xfId="5630" xr:uid="{00000000-0005-0000-0000-00003B750000}"/>
    <cellStyle name="Normal 3 19 2 3 10" xfId="32931" xr:uid="{00000000-0005-0000-0000-00003C750000}"/>
    <cellStyle name="Normal 3 19 2 3 2" xfId="5631" xr:uid="{00000000-0005-0000-0000-00003D750000}"/>
    <cellStyle name="Normal 3 19 2 3 2 2" xfId="5632" xr:uid="{00000000-0005-0000-0000-00003E750000}"/>
    <cellStyle name="Normal 3 19 2 3 2 2 2" xfId="5633" xr:uid="{00000000-0005-0000-0000-00003F750000}"/>
    <cellStyle name="Normal 3 19 2 3 2 2 2 2" xfId="9176" xr:uid="{00000000-0005-0000-0000-000040750000}"/>
    <cellStyle name="Normal 3 19 2 3 2 2 2 2 2" xfId="15965" xr:uid="{00000000-0005-0000-0000-000041750000}"/>
    <cellStyle name="Normal 3 19 2 3 2 2 2 2 2 2" xfId="29533" xr:uid="{00000000-0005-0000-0000-000042750000}"/>
    <cellStyle name="Normal 3 19 2 3 2 2 2 2 2 2 2" xfId="56666" xr:uid="{00000000-0005-0000-0000-000043750000}"/>
    <cellStyle name="Normal 3 19 2 3 2 2 2 2 2 3" xfId="43104" xr:uid="{00000000-0005-0000-0000-000044750000}"/>
    <cellStyle name="Normal 3 19 2 3 2 2 2 2 3" xfId="22752" xr:uid="{00000000-0005-0000-0000-000045750000}"/>
    <cellStyle name="Normal 3 19 2 3 2 2 2 2 3 2" xfId="49885" xr:uid="{00000000-0005-0000-0000-000046750000}"/>
    <cellStyle name="Normal 3 19 2 3 2 2 2 2 4" xfId="36323" xr:uid="{00000000-0005-0000-0000-000047750000}"/>
    <cellStyle name="Normal 3 19 2 3 2 2 2 3" xfId="12576" xr:uid="{00000000-0005-0000-0000-000048750000}"/>
    <cellStyle name="Normal 3 19 2 3 2 2 2 3 2" xfId="26144" xr:uid="{00000000-0005-0000-0000-000049750000}"/>
    <cellStyle name="Normal 3 19 2 3 2 2 2 3 2 2" xfId="53277" xr:uid="{00000000-0005-0000-0000-00004A750000}"/>
    <cellStyle name="Normal 3 19 2 3 2 2 2 3 3" xfId="39715" xr:uid="{00000000-0005-0000-0000-00004B750000}"/>
    <cellStyle name="Normal 3 19 2 3 2 2 2 4" xfId="19363" xr:uid="{00000000-0005-0000-0000-00004C750000}"/>
    <cellStyle name="Normal 3 19 2 3 2 2 2 4 2" xfId="46496" xr:uid="{00000000-0005-0000-0000-00004D750000}"/>
    <cellStyle name="Normal 3 19 2 3 2 2 2 5" xfId="32934" xr:uid="{00000000-0005-0000-0000-00004E750000}"/>
    <cellStyle name="Normal 3 19 2 3 2 2 3" xfId="5634" xr:uid="{00000000-0005-0000-0000-00004F750000}"/>
    <cellStyle name="Normal 3 19 2 3 2 2 3 2" xfId="9177" xr:uid="{00000000-0005-0000-0000-000050750000}"/>
    <cellStyle name="Normal 3 19 2 3 2 2 3 2 2" xfId="15966" xr:uid="{00000000-0005-0000-0000-000051750000}"/>
    <cellStyle name="Normal 3 19 2 3 2 2 3 2 2 2" xfId="29534" xr:uid="{00000000-0005-0000-0000-000052750000}"/>
    <cellStyle name="Normal 3 19 2 3 2 2 3 2 2 2 2" xfId="56667" xr:uid="{00000000-0005-0000-0000-000053750000}"/>
    <cellStyle name="Normal 3 19 2 3 2 2 3 2 2 3" xfId="43105" xr:uid="{00000000-0005-0000-0000-000054750000}"/>
    <cellStyle name="Normal 3 19 2 3 2 2 3 2 3" xfId="22753" xr:uid="{00000000-0005-0000-0000-000055750000}"/>
    <cellStyle name="Normal 3 19 2 3 2 2 3 2 3 2" xfId="49886" xr:uid="{00000000-0005-0000-0000-000056750000}"/>
    <cellStyle name="Normal 3 19 2 3 2 2 3 2 4" xfId="36324" xr:uid="{00000000-0005-0000-0000-000057750000}"/>
    <cellStyle name="Normal 3 19 2 3 2 2 3 3" xfId="12577" xr:uid="{00000000-0005-0000-0000-000058750000}"/>
    <cellStyle name="Normal 3 19 2 3 2 2 3 3 2" xfId="26145" xr:uid="{00000000-0005-0000-0000-000059750000}"/>
    <cellStyle name="Normal 3 19 2 3 2 2 3 3 2 2" xfId="53278" xr:uid="{00000000-0005-0000-0000-00005A750000}"/>
    <cellStyle name="Normal 3 19 2 3 2 2 3 3 3" xfId="39716" xr:uid="{00000000-0005-0000-0000-00005B750000}"/>
    <cellStyle name="Normal 3 19 2 3 2 2 3 4" xfId="19364" xr:uid="{00000000-0005-0000-0000-00005C750000}"/>
    <cellStyle name="Normal 3 19 2 3 2 2 3 4 2" xfId="46497" xr:uid="{00000000-0005-0000-0000-00005D750000}"/>
    <cellStyle name="Normal 3 19 2 3 2 2 3 5" xfId="32935" xr:uid="{00000000-0005-0000-0000-00005E750000}"/>
    <cellStyle name="Normal 3 19 2 3 2 2 4" xfId="9175" xr:uid="{00000000-0005-0000-0000-00005F750000}"/>
    <cellStyle name="Normal 3 19 2 3 2 2 4 2" xfId="15964" xr:uid="{00000000-0005-0000-0000-000060750000}"/>
    <cellStyle name="Normal 3 19 2 3 2 2 4 2 2" xfId="29532" xr:uid="{00000000-0005-0000-0000-000061750000}"/>
    <cellStyle name="Normal 3 19 2 3 2 2 4 2 2 2" xfId="56665" xr:uid="{00000000-0005-0000-0000-000062750000}"/>
    <cellStyle name="Normal 3 19 2 3 2 2 4 2 3" xfId="43103" xr:uid="{00000000-0005-0000-0000-000063750000}"/>
    <cellStyle name="Normal 3 19 2 3 2 2 4 3" xfId="22751" xr:uid="{00000000-0005-0000-0000-000064750000}"/>
    <cellStyle name="Normal 3 19 2 3 2 2 4 3 2" xfId="49884" xr:uid="{00000000-0005-0000-0000-000065750000}"/>
    <cellStyle name="Normal 3 19 2 3 2 2 4 4" xfId="36322" xr:uid="{00000000-0005-0000-0000-000066750000}"/>
    <cellStyle name="Normal 3 19 2 3 2 2 5" xfId="12575" xr:uid="{00000000-0005-0000-0000-000067750000}"/>
    <cellStyle name="Normal 3 19 2 3 2 2 5 2" xfId="26143" xr:uid="{00000000-0005-0000-0000-000068750000}"/>
    <cellStyle name="Normal 3 19 2 3 2 2 5 2 2" xfId="53276" xr:uid="{00000000-0005-0000-0000-000069750000}"/>
    <cellStyle name="Normal 3 19 2 3 2 2 5 3" xfId="39714" xr:uid="{00000000-0005-0000-0000-00006A750000}"/>
    <cellStyle name="Normal 3 19 2 3 2 2 6" xfId="19362" xr:uid="{00000000-0005-0000-0000-00006B750000}"/>
    <cellStyle name="Normal 3 19 2 3 2 2 6 2" xfId="46495" xr:uid="{00000000-0005-0000-0000-00006C750000}"/>
    <cellStyle name="Normal 3 19 2 3 2 2 7" xfId="32933" xr:uid="{00000000-0005-0000-0000-00006D750000}"/>
    <cellStyle name="Normal 3 19 2 3 2 3" xfId="5635" xr:uid="{00000000-0005-0000-0000-00006E750000}"/>
    <cellStyle name="Normal 3 19 2 3 2 3 2" xfId="5636" xr:uid="{00000000-0005-0000-0000-00006F750000}"/>
    <cellStyle name="Normal 3 19 2 3 2 3 2 2" xfId="9179" xr:uid="{00000000-0005-0000-0000-000070750000}"/>
    <cellStyle name="Normal 3 19 2 3 2 3 2 2 2" xfId="15968" xr:uid="{00000000-0005-0000-0000-000071750000}"/>
    <cellStyle name="Normal 3 19 2 3 2 3 2 2 2 2" xfId="29536" xr:uid="{00000000-0005-0000-0000-000072750000}"/>
    <cellStyle name="Normal 3 19 2 3 2 3 2 2 2 2 2" xfId="56669" xr:uid="{00000000-0005-0000-0000-000073750000}"/>
    <cellStyle name="Normal 3 19 2 3 2 3 2 2 2 3" xfId="43107" xr:uid="{00000000-0005-0000-0000-000074750000}"/>
    <cellStyle name="Normal 3 19 2 3 2 3 2 2 3" xfId="22755" xr:uid="{00000000-0005-0000-0000-000075750000}"/>
    <cellStyle name="Normal 3 19 2 3 2 3 2 2 3 2" xfId="49888" xr:uid="{00000000-0005-0000-0000-000076750000}"/>
    <cellStyle name="Normal 3 19 2 3 2 3 2 2 4" xfId="36326" xr:uid="{00000000-0005-0000-0000-000077750000}"/>
    <cellStyle name="Normal 3 19 2 3 2 3 2 3" xfId="12579" xr:uid="{00000000-0005-0000-0000-000078750000}"/>
    <cellStyle name="Normal 3 19 2 3 2 3 2 3 2" xfId="26147" xr:uid="{00000000-0005-0000-0000-000079750000}"/>
    <cellStyle name="Normal 3 19 2 3 2 3 2 3 2 2" xfId="53280" xr:uid="{00000000-0005-0000-0000-00007A750000}"/>
    <cellStyle name="Normal 3 19 2 3 2 3 2 3 3" xfId="39718" xr:uid="{00000000-0005-0000-0000-00007B750000}"/>
    <cellStyle name="Normal 3 19 2 3 2 3 2 4" xfId="19366" xr:uid="{00000000-0005-0000-0000-00007C750000}"/>
    <cellStyle name="Normal 3 19 2 3 2 3 2 4 2" xfId="46499" xr:uid="{00000000-0005-0000-0000-00007D750000}"/>
    <cellStyle name="Normal 3 19 2 3 2 3 2 5" xfId="32937" xr:uid="{00000000-0005-0000-0000-00007E750000}"/>
    <cellStyle name="Normal 3 19 2 3 2 3 3" xfId="9178" xr:uid="{00000000-0005-0000-0000-00007F750000}"/>
    <cellStyle name="Normal 3 19 2 3 2 3 3 2" xfId="15967" xr:uid="{00000000-0005-0000-0000-000080750000}"/>
    <cellStyle name="Normal 3 19 2 3 2 3 3 2 2" xfId="29535" xr:uid="{00000000-0005-0000-0000-000081750000}"/>
    <cellStyle name="Normal 3 19 2 3 2 3 3 2 2 2" xfId="56668" xr:uid="{00000000-0005-0000-0000-000082750000}"/>
    <cellStyle name="Normal 3 19 2 3 2 3 3 2 3" xfId="43106" xr:uid="{00000000-0005-0000-0000-000083750000}"/>
    <cellStyle name="Normal 3 19 2 3 2 3 3 3" xfId="22754" xr:uid="{00000000-0005-0000-0000-000084750000}"/>
    <cellStyle name="Normal 3 19 2 3 2 3 3 3 2" xfId="49887" xr:uid="{00000000-0005-0000-0000-000085750000}"/>
    <cellStyle name="Normal 3 19 2 3 2 3 3 4" xfId="36325" xr:uid="{00000000-0005-0000-0000-000086750000}"/>
    <cellStyle name="Normal 3 19 2 3 2 3 4" xfId="12578" xr:uid="{00000000-0005-0000-0000-000087750000}"/>
    <cellStyle name="Normal 3 19 2 3 2 3 4 2" xfId="26146" xr:uid="{00000000-0005-0000-0000-000088750000}"/>
    <cellStyle name="Normal 3 19 2 3 2 3 4 2 2" xfId="53279" xr:uid="{00000000-0005-0000-0000-000089750000}"/>
    <cellStyle name="Normal 3 19 2 3 2 3 4 3" xfId="39717" xr:uid="{00000000-0005-0000-0000-00008A750000}"/>
    <cellStyle name="Normal 3 19 2 3 2 3 5" xfId="19365" xr:uid="{00000000-0005-0000-0000-00008B750000}"/>
    <cellStyle name="Normal 3 19 2 3 2 3 5 2" xfId="46498" xr:uid="{00000000-0005-0000-0000-00008C750000}"/>
    <cellStyle name="Normal 3 19 2 3 2 3 6" xfId="32936" xr:uid="{00000000-0005-0000-0000-00008D750000}"/>
    <cellStyle name="Normal 3 19 2 3 2 4" xfId="5637" xr:uid="{00000000-0005-0000-0000-00008E750000}"/>
    <cellStyle name="Normal 3 19 2 3 2 4 2" xfId="9180" xr:uid="{00000000-0005-0000-0000-00008F750000}"/>
    <cellStyle name="Normal 3 19 2 3 2 4 2 2" xfId="15969" xr:uid="{00000000-0005-0000-0000-000090750000}"/>
    <cellStyle name="Normal 3 19 2 3 2 4 2 2 2" xfId="29537" xr:uid="{00000000-0005-0000-0000-000091750000}"/>
    <cellStyle name="Normal 3 19 2 3 2 4 2 2 2 2" xfId="56670" xr:uid="{00000000-0005-0000-0000-000092750000}"/>
    <cellStyle name="Normal 3 19 2 3 2 4 2 2 3" xfId="43108" xr:uid="{00000000-0005-0000-0000-000093750000}"/>
    <cellStyle name="Normal 3 19 2 3 2 4 2 3" xfId="22756" xr:uid="{00000000-0005-0000-0000-000094750000}"/>
    <cellStyle name="Normal 3 19 2 3 2 4 2 3 2" xfId="49889" xr:uid="{00000000-0005-0000-0000-000095750000}"/>
    <cellStyle name="Normal 3 19 2 3 2 4 2 4" xfId="36327" xr:uid="{00000000-0005-0000-0000-000096750000}"/>
    <cellStyle name="Normal 3 19 2 3 2 4 3" xfId="12580" xr:uid="{00000000-0005-0000-0000-000097750000}"/>
    <cellStyle name="Normal 3 19 2 3 2 4 3 2" xfId="26148" xr:uid="{00000000-0005-0000-0000-000098750000}"/>
    <cellStyle name="Normal 3 19 2 3 2 4 3 2 2" xfId="53281" xr:uid="{00000000-0005-0000-0000-000099750000}"/>
    <cellStyle name="Normal 3 19 2 3 2 4 3 3" xfId="39719" xr:uid="{00000000-0005-0000-0000-00009A750000}"/>
    <cellStyle name="Normal 3 19 2 3 2 4 4" xfId="19367" xr:uid="{00000000-0005-0000-0000-00009B750000}"/>
    <cellStyle name="Normal 3 19 2 3 2 4 4 2" xfId="46500" xr:uid="{00000000-0005-0000-0000-00009C750000}"/>
    <cellStyle name="Normal 3 19 2 3 2 4 5" xfId="32938" xr:uid="{00000000-0005-0000-0000-00009D750000}"/>
    <cellStyle name="Normal 3 19 2 3 2 5" xfId="5638" xr:uid="{00000000-0005-0000-0000-00009E750000}"/>
    <cellStyle name="Normal 3 19 2 3 2 5 2" xfId="9181" xr:uid="{00000000-0005-0000-0000-00009F750000}"/>
    <cellStyle name="Normal 3 19 2 3 2 5 2 2" xfId="15970" xr:uid="{00000000-0005-0000-0000-0000A0750000}"/>
    <cellStyle name="Normal 3 19 2 3 2 5 2 2 2" xfId="29538" xr:uid="{00000000-0005-0000-0000-0000A1750000}"/>
    <cellStyle name="Normal 3 19 2 3 2 5 2 2 2 2" xfId="56671" xr:uid="{00000000-0005-0000-0000-0000A2750000}"/>
    <cellStyle name="Normal 3 19 2 3 2 5 2 2 3" xfId="43109" xr:uid="{00000000-0005-0000-0000-0000A3750000}"/>
    <cellStyle name="Normal 3 19 2 3 2 5 2 3" xfId="22757" xr:uid="{00000000-0005-0000-0000-0000A4750000}"/>
    <cellStyle name="Normal 3 19 2 3 2 5 2 3 2" xfId="49890" xr:uid="{00000000-0005-0000-0000-0000A5750000}"/>
    <cellStyle name="Normal 3 19 2 3 2 5 2 4" xfId="36328" xr:uid="{00000000-0005-0000-0000-0000A6750000}"/>
    <cellStyle name="Normal 3 19 2 3 2 5 3" xfId="12581" xr:uid="{00000000-0005-0000-0000-0000A7750000}"/>
    <cellStyle name="Normal 3 19 2 3 2 5 3 2" xfId="26149" xr:uid="{00000000-0005-0000-0000-0000A8750000}"/>
    <cellStyle name="Normal 3 19 2 3 2 5 3 2 2" xfId="53282" xr:uid="{00000000-0005-0000-0000-0000A9750000}"/>
    <cellStyle name="Normal 3 19 2 3 2 5 3 3" xfId="39720" xr:uid="{00000000-0005-0000-0000-0000AA750000}"/>
    <cellStyle name="Normal 3 19 2 3 2 5 4" xfId="19368" xr:uid="{00000000-0005-0000-0000-0000AB750000}"/>
    <cellStyle name="Normal 3 19 2 3 2 5 4 2" xfId="46501" xr:uid="{00000000-0005-0000-0000-0000AC750000}"/>
    <cellStyle name="Normal 3 19 2 3 2 5 5" xfId="32939" xr:uid="{00000000-0005-0000-0000-0000AD750000}"/>
    <cellStyle name="Normal 3 19 2 3 2 6" xfId="9174" xr:uid="{00000000-0005-0000-0000-0000AE750000}"/>
    <cellStyle name="Normal 3 19 2 3 2 6 2" xfId="15963" xr:uid="{00000000-0005-0000-0000-0000AF750000}"/>
    <cellStyle name="Normal 3 19 2 3 2 6 2 2" xfId="29531" xr:uid="{00000000-0005-0000-0000-0000B0750000}"/>
    <cellStyle name="Normal 3 19 2 3 2 6 2 2 2" xfId="56664" xr:uid="{00000000-0005-0000-0000-0000B1750000}"/>
    <cellStyle name="Normal 3 19 2 3 2 6 2 3" xfId="43102" xr:uid="{00000000-0005-0000-0000-0000B2750000}"/>
    <cellStyle name="Normal 3 19 2 3 2 6 3" xfId="22750" xr:uid="{00000000-0005-0000-0000-0000B3750000}"/>
    <cellStyle name="Normal 3 19 2 3 2 6 3 2" xfId="49883" xr:uid="{00000000-0005-0000-0000-0000B4750000}"/>
    <cellStyle name="Normal 3 19 2 3 2 6 4" xfId="36321" xr:uid="{00000000-0005-0000-0000-0000B5750000}"/>
    <cellStyle name="Normal 3 19 2 3 2 7" xfId="12574" xr:uid="{00000000-0005-0000-0000-0000B6750000}"/>
    <cellStyle name="Normal 3 19 2 3 2 7 2" xfId="26142" xr:uid="{00000000-0005-0000-0000-0000B7750000}"/>
    <cellStyle name="Normal 3 19 2 3 2 7 2 2" xfId="53275" xr:uid="{00000000-0005-0000-0000-0000B8750000}"/>
    <cellStyle name="Normal 3 19 2 3 2 7 3" xfId="39713" xr:uid="{00000000-0005-0000-0000-0000B9750000}"/>
    <cellStyle name="Normal 3 19 2 3 2 8" xfId="19361" xr:uid="{00000000-0005-0000-0000-0000BA750000}"/>
    <cellStyle name="Normal 3 19 2 3 2 8 2" xfId="46494" xr:uid="{00000000-0005-0000-0000-0000BB750000}"/>
    <cellStyle name="Normal 3 19 2 3 2 9" xfId="32932" xr:uid="{00000000-0005-0000-0000-0000BC750000}"/>
    <cellStyle name="Normal 3 19 2 3 3" xfId="5639" xr:uid="{00000000-0005-0000-0000-0000BD750000}"/>
    <cellStyle name="Normal 3 19 2 3 3 2" xfId="5640" xr:uid="{00000000-0005-0000-0000-0000BE750000}"/>
    <cellStyle name="Normal 3 19 2 3 3 2 2" xfId="9183" xr:uid="{00000000-0005-0000-0000-0000BF750000}"/>
    <cellStyle name="Normal 3 19 2 3 3 2 2 2" xfId="15972" xr:uid="{00000000-0005-0000-0000-0000C0750000}"/>
    <cellStyle name="Normal 3 19 2 3 3 2 2 2 2" xfId="29540" xr:uid="{00000000-0005-0000-0000-0000C1750000}"/>
    <cellStyle name="Normal 3 19 2 3 3 2 2 2 2 2" xfId="56673" xr:uid="{00000000-0005-0000-0000-0000C2750000}"/>
    <cellStyle name="Normal 3 19 2 3 3 2 2 2 3" xfId="43111" xr:uid="{00000000-0005-0000-0000-0000C3750000}"/>
    <cellStyle name="Normal 3 19 2 3 3 2 2 3" xfId="22759" xr:uid="{00000000-0005-0000-0000-0000C4750000}"/>
    <cellStyle name="Normal 3 19 2 3 3 2 2 3 2" xfId="49892" xr:uid="{00000000-0005-0000-0000-0000C5750000}"/>
    <cellStyle name="Normal 3 19 2 3 3 2 2 4" xfId="36330" xr:uid="{00000000-0005-0000-0000-0000C6750000}"/>
    <cellStyle name="Normal 3 19 2 3 3 2 3" xfId="12583" xr:uid="{00000000-0005-0000-0000-0000C7750000}"/>
    <cellStyle name="Normal 3 19 2 3 3 2 3 2" xfId="26151" xr:uid="{00000000-0005-0000-0000-0000C8750000}"/>
    <cellStyle name="Normal 3 19 2 3 3 2 3 2 2" xfId="53284" xr:uid="{00000000-0005-0000-0000-0000C9750000}"/>
    <cellStyle name="Normal 3 19 2 3 3 2 3 3" xfId="39722" xr:uid="{00000000-0005-0000-0000-0000CA750000}"/>
    <cellStyle name="Normal 3 19 2 3 3 2 4" xfId="19370" xr:uid="{00000000-0005-0000-0000-0000CB750000}"/>
    <cellStyle name="Normal 3 19 2 3 3 2 4 2" xfId="46503" xr:uid="{00000000-0005-0000-0000-0000CC750000}"/>
    <cellStyle name="Normal 3 19 2 3 3 2 5" xfId="32941" xr:uid="{00000000-0005-0000-0000-0000CD750000}"/>
    <cellStyle name="Normal 3 19 2 3 3 3" xfId="5641" xr:uid="{00000000-0005-0000-0000-0000CE750000}"/>
    <cellStyle name="Normal 3 19 2 3 3 3 2" xfId="9184" xr:uid="{00000000-0005-0000-0000-0000CF750000}"/>
    <cellStyle name="Normal 3 19 2 3 3 3 2 2" xfId="15973" xr:uid="{00000000-0005-0000-0000-0000D0750000}"/>
    <cellStyle name="Normal 3 19 2 3 3 3 2 2 2" xfId="29541" xr:uid="{00000000-0005-0000-0000-0000D1750000}"/>
    <cellStyle name="Normal 3 19 2 3 3 3 2 2 2 2" xfId="56674" xr:uid="{00000000-0005-0000-0000-0000D2750000}"/>
    <cellStyle name="Normal 3 19 2 3 3 3 2 2 3" xfId="43112" xr:uid="{00000000-0005-0000-0000-0000D3750000}"/>
    <cellStyle name="Normal 3 19 2 3 3 3 2 3" xfId="22760" xr:uid="{00000000-0005-0000-0000-0000D4750000}"/>
    <cellStyle name="Normal 3 19 2 3 3 3 2 3 2" xfId="49893" xr:uid="{00000000-0005-0000-0000-0000D5750000}"/>
    <cellStyle name="Normal 3 19 2 3 3 3 2 4" xfId="36331" xr:uid="{00000000-0005-0000-0000-0000D6750000}"/>
    <cellStyle name="Normal 3 19 2 3 3 3 3" xfId="12584" xr:uid="{00000000-0005-0000-0000-0000D7750000}"/>
    <cellStyle name="Normal 3 19 2 3 3 3 3 2" xfId="26152" xr:uid="{00000000-0005-0000-0000-0000D8750000}"/>
    <cellStyle name="Normal 3 19 2 3 3 3 3 2 2" xfId="53285" xr:uid="{00000000-0005-0000-0000-0000D9750000}"/>
    <cellStyle name="Normal 3 19 2 3 3 3 3 3" xfId="39723" xr:uid="{00000000-0005-0000-0000-0000DA750000}"/>
    <cellStyle name="Normal 3 19 2 3 3 3 4" xfId="19371" xr:uid="{00000000-0005-0000-0000-0000DB750000}"/>
    <cellStyle name="Normal 3 19 2 3 3 3 4 2" xfId="46504" xr:uid="{00000000-0005-0000-0000-0000DC750000}"/>
    <cellStyle name="Normal 3 19 2 3 3 3 5" xfId="32942" xr:uid="{00000000-0005-0000-0000-0000DD750000}"/>
    <cellStyle name="Normal 3 19 2 3 3 4" xfId="9182" xr:uid="{00000000-0005-0000-0000-0000DE750000}"/>
    <cellStyle name="Normal 3 19 2 3 3 4 2" xfId="15971" xr:uid="{00000000-0005-0000-0000-0000DF750000}"/>
    <cellStyle name="Normal 3 19 2 3 3 4 2 2" xfId="29539" xr:uid="{00000000-0005-0000-0000-0000E0750000}"/>
    <cellStyle name="Normal 3 19 2 3 3 4 2 2 2" xfId="56672" xr:uid="{00000000-0005-0000-0000-0000E1750000}"/>
    <cellStyle name="Normal 3 19 2 3 3 4 2 3" xfId="43110" xr:uid="{00000000-0005-0000-0000-0000E2750000}"/>
    <cellStyle name="Normal 3 19 2 3 3 4 3" xfId="22758" xr:uid="{00000000-0005-0000-0000-0000E3750000}"/>
    <cellStyle name="Normal 3 19 2 3 3 4 3 2" xfId="49891" xr:uid="{00000000-0005-0000-0000-0000E4750000}"/>
    <cellStyle name="Normal 3 19 2 3 3 4 4" xfId="36329" xr:uid="{00000000-0005-0000-0000-0000E5750000}"/>
    <cellStyle name="Normal 3 19 2 3 3 5" xfId="12582" xr:uid="{00000000-0005-0000-0000-0000E6750000}"/>
    <cellStyle name="Normal 3 19 2 3 3 5 2" xfId="26150" xr:uid="{00000000-0005-0000-0000-0000E7750000}"/>
    <cellStyle name="Normal 3 19 2 3 3 5 2 2" xfId="53283" xr:uid="{00000000-0005-0000-0000-0000E8750000}"/>
    <cellStyle name="Normal 3 19 2 3 3 5 3" xfId="39721" xr:uid="{00000000-0005-0000-0000-0000E9750000}"/>
    <cellStyle name="Normal 3 19 2 3 3 6" xfId="19369" xr:uid="{00000000-0005-0000-0000-0000EA750000}"/>
    <cellStyle name="Normal 3 19 2 3 3 6 2" xfId="46502" xr:uid="{00000000-0005-0000-0000-0000EB750000}"/>
    <cellStyle name="Normal 3 19 2 3 3 7" xfId="32940" xr:uid="{00000000-0005-0000-0000-0000EC750000}"/>
    <cellStyle name="Normal 3 19 2 3 4" xfId="5642" xr:uid="{00000000-0005-0000-0000-0000ED750000}"/>
    <cellStyle name="Normal 3 19 2 3 4 2" xfId="5643" xr:uid="{00000000-0005-0000-0000-0000EE750000}"/>
    <cellStyle name="Normal 3 19 2 3 4 2 2" xfId="9186" xr:uid="{00000000-0005-0000-0000-0000EF750000}"/>
    <cellStyle name="Normal 3 19 2 3 4 2 2 2" xfId="15975" xr:uid="{00000000-0005-0000-0000-0000F0750000}"/>
    <cellStyle name="Normal 3 19 2 3 4 2 2 2 2" xfId="29543" xr:uid="{00000000-0005-0000-0000-0000F1750000}"/>
    <cellStyle name="Normal 3 19 2 3 4 2 2 2 2 2" xfId="56676" xr:uid="{00000000-0005-0000-0000-0000F2750000}"/>
    <cellStyle name="Normal 3 19 2 3 4 2 2 2 3" xfId="43114" xr:uid="{00000000-0005-0000-0000-0000F3750000}"/>
    <cellStyle name="Normal 3 19 2 3 4 2 2 3" xfId="22762" xr:uid="{00000000-0005-0000-0000-0000F4750000}"/>
    <cellStyle name="Normal 3 19 2 3 4 2 2 3 2" xfId="49895" xr:uid="{00000000-0005-0000-0000-0000F5750000}"/>
    <cellStyle name="Normal 3 19 2 3 4 2 2 4" xfId="36333" xr:uid="{00000000-0005-0000-0000-0000F6750000}"/>
    <cellStyle name="Normal 3 19 2 3 4 2 3" xfId="12586" xr:uid="{00000000-0005-0000-0000-0000F7750000}"/>
    <cellStyle name="Normal 3 19 2 3 4 2 3 2" xfId="26154" xr:uid="{00000000-0005-0000-0000-0000F8750000}"/>
    <cellStyle name="Normal 3 19 2 3 4 2 3 2 2" xfId="53287" xr:uid="{00000000-0005-0000-0000-0000F9750000}"/>
    <cellStyle name="Normal 3 19 2 3 4 2 3 3" xfId="39725" xr:uid="{00000000-0005-0000-0000-0000FA750000}"/>
    <cellStyle name="Normal 3 19 2 3 4 2 4" xfId="19373" xr:uid="{00000000-0005-0000-0000-0000FB750000}"/>
    <cellStyle name="Normal 3 19 2 3 4 2 4 2" xfId="46506" xr:uid="{00000000-0005-0000-0000-0000FC750000}"/>
    <cellStyle name="Normal 3 19 2 3 4 2 5" xfId="32944" xr:uid="{00000000-0005-0000-0000-0000FD750000}"/>
    <cellStyle name="Normal 3 19 2 3 4 3" xfId="9185" xr:uid="{00000000-0005-0000-0000-0000FE750000}"/>
    <cellStyle name="Normal 3 19 2 3 4 3 2" xfId="15974" xr:uid="{00000000-0005-0000-0000-0000FF750000}"/>
    <cellStyle name="Normal 3 19 2 3 4 3 2 2" xfId="29542" xr:uid="{00000000-0005-0000-0000-000000760000}"/>
    <cellStyle name="Normal 3 19 2 3 4 3 2 2 2" xfId="56675" xr:uid="{00000000-0005-0000-0000-000001760000}"/>
    <cellStyle name="Normal 3 19 2 3 4 3 2 3" xfId="43113" xr:uid="{00000000-0005-0000-0000-000002760000}"/>
    <cellStyle name="Normal 3 19 2 3 4 3 3" xfId="22761" xr:uid="{00000000-0005-0000-0000-000003760000}"/>
    <cellStyle name="Normal 3 19 2 3 4 3 3 2" xfId="49894" xr:uid="{00000000-0005-0000-0000-000004760000}"/>
    <cellStyle name="Normal 3 19 2 3 4 3 4" xfId="36332" xr:uid="{00000000-0005-0000-0000-000005760000}"/>
    <cellStyle name="Normal 3 19 2 3 4 4" xfId="12585" xr:uid="{00000000-0005-0000-0000-000006760000}"/>
    <cellStyle name="Normal 3 19 2 3 4 4 2" xfId="26153" xr:uid="{00000000-0005-0000-0000-000007760000}"/>
    <cellStyle name="Normal 3 19 2 3 4 4 2 2" xfId="53286" xr:uid="{00000000-0005-0000-0000-000008760000}"/>
    <cellStyle name="Normal 3 19 2 3 4 4 3" xfId="39724" xr:uid="{00000000-0005-0000-0000-000009760000}"/>
    <cellStyle name="Normal 3 19 2 3 4 5" xfId="19372" xr:uid="{00000000-0005-0000-0000-00000A760000}"/>
    <cellStyle name="Normal 3 19 2 3 4 5 2" xfId="46505" xr:uid="{00000000-0005-0000-0000-00000B760000}"/>
    <cellStyle name="Normal 3 19 2 3 4 6" xfId="32943" xr:uid="{00000000-0005-0000-0000-00000C760000}"/>
    <cellStyle name="Normal 3 19 2 3 5" xfId="5644" xr:uid="{00000000-0005-0000-0000-00000D760000}"/>
    <cellStyle name="Normal 3 19 2 3 5 2" xfId="9187" xr:uid="{00000000-0005-0000-0000-00000E760000}"/>
    <cellStyle name="Normal 3 19 2 3 5 2 2" xfId="15976" xr:uid="{00000000-0005-0000-0000-00000F760000}"/>
    <cellStyle name="Normal 3 19 2 3 5 2 2 2" xfId="29544" xr:uid="{00000000-0005-0000-0000-000010760000}"/>
    <cellStyle name="Normal 3 19 2 3 5 2 2 2 2" xfId="56677" xr:uid="{00000000-0005-0000-0000-000011760000}"/>
    <cellStyle name="Normal 3 19 2 3 5 2 2 3" xfId="43115" xr:uid="{00000000-0005-0000-0000-000012760000}"/>
    <cellStyle name="Normal 3 19 2 3 5 2 3" xfId="22763" xr:uid="{00000000-0005-0000-0000-000013760000}"/>
    <cellStyle name="Normal 3 19 2 3 5 2 3 2" xfId="49896" xr:uid="{00000000-0005-0000-0000-000014760000}"/>
    <cellStyle name="Normal 3 19 2 3 5 2 4" xfId="36334" xr:uid="{00000000-0005-0000-0000-000015760000}"/>
    <cellStyle name="Normal 3 19 2 3 5 3" xfId="12587" xr:uid="{00000000-0005-0000-0000-000016760000}"/>
    <cellStyle name="Normal 3 19 2 3 5 3 2" xfId="26155" xr:uid="{00000000-0005-0000-0000-000017760000}"/>
    <cellStyle name="Normal 3 19 2 3 5 3 2 2" xfId="53288" xr:uid="{00000000-0005-0000-0000-000018760000}"/>
    <cellStyle name="Normal 3 19 2 3 5 3 3" xfId="39726" xr:uid="{00000000-0005-0000-0000-000019760000}"/>
    <cellStyle name="Normal 3 19 2 3 5 4" xfId="19374" xr:uid="{00000000-0005-0000-0000-00001A760000}"/>
    <cellStyle name="Normal 3 19 2 3 5 4 2" xfId="46507" xr:uid="{00000000-0005-0000-0000-00001B760000}"/>
    <cellStyle name="Normal 3 19 2 3 5 5" xfId="32945" xr:uid="{00000000-0005-0000-0000-00001C760000}"/>
    <cellStyle name="Normal 3 19 2 3 6" xfId="5645" xr:uid="{00000000-0005-0000-0000-00001D760000}"/>
    <cellStyle name="Normal 3 19 2 3 6 2" xfId="9188" xr:uid="{00000000-0005-0000-0000-00001E760000}"/>
    <cellStyle name="Normal 3 19 2 3 6 2 2" xfId="15977" xr:uid="{00000000-0005-0000-0000-00001F760000}"/>
    <cellStyle name="Normal 3 19 2 3 6 2 2 2" xfId="29545" xr:uid="{00000000-0005-0000-0000-000020760000}"/>
    <cellStyle name="Normal 3 19 2 3 6 2 2 2 2" xfId="56678" xr:uid="{00000000-0005-0000-0000-000021760000}"/>
    <cellStyle name="Normal 3 19 2 3 6 2 2 3" xfId="43116" xr:uid="{00000000-0005-0000-0000-000022760000}"/>
    <cellStyle name="Normal 3 19 2 3 6 2 3" xfId="22764" xr:uid="{00000000-0005-0000-0000-000023760000}"/>
    <cellStyle name="Normal 3 19 2 3 6 2 3 2" xfId="49897" xr:uid="{00000000-0005-0000-0000-000024760000}"/>
    <cellStyle name="Normal 3 19 2 3 6 2 4" xfId="36335" xr:uid="{00000000-0005-0000-0000-000025760000}"/>
    <cellStyle name="Normal 3 19 2 3 6 3" xfId="12588" xr:uid="{00000000-0005-0000-0000-000026760000}"/>
    <cellStyle name="Normal 3 19 2 3 6 3 2" xfId="26156" xr:uid="{00000000-0005-0000-0000-000027760000}"/>
    <cellStyle name="Normal 3 19 2 3 6 3 2 2" xfId="53289" xr:uid="{00000000-0005-0000-0000-000028760000}"/>
    <cellStyle name="Normal 3 19 2 3 6 3 3" xfId="39727" xr:uid="{00000000-0005-0000-0000-000029760000}"/>
    <cellStyle name="Normal 3 19 2 3 6 4" xfId="19375" xr:uid="{00000000-0005-0000-0000-00002A760000}"/>
    <cellStyle name="Normal 3 19 2 3 6 4 2" xfId="46508" xr:uid="{00000000-0005-0000-0000-00002B760000}"/>
    <cellStyle name="Normal 3 19 2 3 6 5" xfId="32946" xr:uid="{00000000-0005-0000-0000-00002C760000}"/>
    <cellStyle name="Normal 3 19 2 3 7" xfId="9173" xr:uid="{00000000-0005-0000-0000-00002D760000}"/>
    <cellStyle name="Normal 3 19 2 3 7 2" xfId="15962" xr:uid="{00000000-0005-0000-0000-00002E760000}"/>
    <cellStyle name="Normal 3 19 2 3 7 2 2" xfId="29530" xr:uid="{00000000-0005-0000-0000-00002F760000}"/>
    <cellStyle name="Normal 3 19 2 3 7 2 2 2" xfId="56663" xr:uid="{00000000-0005-0000-0000-000030760000}"/>
    <cellStyle name="Normal 3 19 2 3 7 2 3" xfId="43101" xr:uid="{00000000-0005-0000-0000-000031760000}"/>
    <cellStyle name="Normal 3 19 2 3 7 3" xfId="22749" xr:uid="{00000000-0005-0000-0000-000032760000}"/>
    <cellStyle name="Normal 3 19 2 3 7 3 2" xfId="49882" xr:uid="{00000000-0005-0000-0000-000033760000}"/>
    <cellStyle name="Normal 3 19 2 3 7 4" xfId="36320" xr:uid="{00000000-0005-0000-0000-000034760000}"/>
    <cellStyle name="Normal 3 19 2 3 8" xfId="12573" xr:uid="{00000000-0005-0000-0000-000035760000}"/>
    <cellStyle name="Normal 3 19 2 3 8 2" xfId="26141" xr:uid="{00000000-0005-0000-0000-000036760000}"/>
    <cellStyle name="Normal 3 19 2 3 8 2 2" xfId="53274" xr:uid="{00000000-0005-0000-0000-000037760000}"/>
    <cellStyle name="Normal 3 19 2 3 8 3" xfId="39712" xr:uid="{00000000-0005-0000-0000-000038760000}"/>
    <cellStyle name="Normal 3 19 2 3 9" xfId="19360" xr:uid="{00000000-0005-0000-0000-000039760000}"/>
    <cellStyle name="Normal 3 19 2 3 9 2" xfId="46493" xr:uid="{00000000-0005-0000-0000-00003A760000}"/>
    <cellStyle name="Normal 3 19 2 4" xfId="5646" xr:uid="{00000000-0005-0000-0000-00003B760000}"/>
    <cellStyle name="Normal 3 19 2 4 2" xfId="5647" xr:uid="{00000000-0005-0000-0000-00003C760000}"/>
    <cellStyle name="Normal 3 19 2 4 2 2" xfId="5648" xr:uid="{00000000-0005-0000-0000-00003D760000}"/>
    <cellStyle name="Normal 3 19 2 4 2 2 2" xfId="9191" xr:uid="{00000000-0005-0000-0000-00003E760000}"/>
    <cellStyle name="Normal 3 19 2 4 2 2 2 2" xfId="15980" xr:uid="{00000000-0005-0000-0000-00003F760000}"/>
    <cellStyle name="Normal 3 19 2 4 2 2 2 2 2" xfId="29548" xr:uid="{00000000-0005-0000-0000-000040760000}"/>
    <cellStyle name="Normal 3 19 2 4 2 2 2 2 2 2" xfId="56681" xr:uid="{00000000-0005-0000-0000-000041760000}"/>
    <cellStyle name="Normal 3 19 2 4 2 2 2 2 3" xfId="43119" xr:uid="{00000000-0005-0000-0000-000042760000}"/>
    <cellStyle name="Normal 3 19 2 4 2 2 2 3" xfId="22767" xr:uid="{00000000-0005-0000-0000-000043760000}"/>
    <cellStyle name="Normal 3 19 2 4 2 2 2 3 2" xfId="49900" xr:uid="{00000000-0005-0000-0000-000044760000}"/>
    <cellStyle name="Normal 3 19 2 4 2 2 2 4" xfId="36338" xr:uid="{00000000-0005-0000-0000-000045760000}"/>
    <cellStyle name="Normal 3 19 2 4 2 2 3" xfId="12591" xr:uid="{00000000-0005-0000-0000-000046760000}"/>
    <cellStyle name="Normal 3 19 2 4 2 2 3 2" xfId="26159" xr:uid="{00000000-0005-0000-0000-000047760000}"/>
    <cellStyle name="Normal 3 19 2 4 2 2 3 2 2" xfId="53292" xr:uid="{00000000-0005-0000-0000-000048760000}"/>
    <cellStyle name="Normal 3 19 2 4 2 2 3 3" xfId="39730" xr:uid="{00000000-0005-0000-0000-000049760000}"/>
    <cellStyle name="Normal 3 19 2 4 2 2 4" xfId="19378" xr:uid="{00000000-0005-0000-0000-00004A760000}"/>
    <cellStyle name="Normal 3 19 2 4 2 2 4 2" xfId="46511" xr:uid="{00000000-0005-0000-0000-00004B760000}"/>
    <cellStyle name="Normal 3 19 2 4 2 2 5" xfId="32949" xr:uid="{00000000-0005-0000-0000-00004C760000}"/>
    <cellStyle name="Normal 3 19 2 4 2 3" xfId="5649" xr:uid="{00000000-0005-0000-0000-00004D760000}"/>
    <cellStyle name="Normal 3 19 2 4 2 3 2" xfId="9192" xr:uid="{00000000-0005-0000-0000-00004E760000}"/>
    <cellStyle name="Normal 3 19 2 4 2 3 2 2" xfId="15981" xr:uid="{00000000-0005-0000-0000-00004F760000}"/>
    <cellStyle name="Normal 3 19 2 4 2 3 2 2 2" xfId="29549" xr:uid="{00000000-0005-0000-0000-000050760000}"/>
    <cellStyle name="Normal 3 19 2 4 2 3 2 2 2 2" xfId="56682" xr:uid="{00000000-0005-0000-0000-000051760000}"/>
    <cellStyle name="Normal 3 19 2 4 2 3 2 2 3" xfId="43120" xr:uid="{00000000-0005-0000-0000-000052760000}"/>
    <cellStyle name="Normal 3 19 2 4 2 3 2 3" xfId="22768" xr:uid="{00000000-0005-0000-0000-000053760000}"/>
    <cellStyle name="Normal 3 19 2 4 2 3 2 3 2" xfId="49901" xr:uid="{00000000-0005-0000-0000-000054760000}"/>
    <cellStyle name="Normal 3 19 2 4 2 3 2 4" xfId="36339" xr:uid="{00000000-0005-0000-0000-000055760000}"/>
    <cellStyle name="Normal 3 19 2 4 2 3 3" xfId="12592" xr:uid="{00000000-0005-0000-0000-000056760000}"/>
    <cellStyle name="Normal 3 19 2 4 2 3 3 2" xfId="26160" xr:uid="{00000000-0005-0000-0000-000057760000}"/>
    <cellStyle name="Normal 3 19 2 4 2 3 3 2 2" xfId="53293" xr:uid="{00000000-0005-0000-0000-000058760000}"/>
    <cellStyle name="Normal 3 19 2 4 2 3 3 3" xfId="39731" xr:uid="{00000000-0005-0000-0000-000059760000}"/>
    <cellStyle name="Normal 3 19 2 4 2 3 4" xfId="19379" xr:uid="{00000000-0005-0000-0000-00005A760000}"/>
    <cellStyle name="Normal 3 19 2 4 2 3 4 2" xfId="46512" xr:uid="{00000000-0005-0000-0000-00005B760000}"/>
    <cellStyle name="Normal 3 19 2 4 2 3 5" xfId="32950" xr:uid="{00000000-0005-0000-0000-00005C760000}"/>
    <cellStyle name="Normal 3 19 2 4 2 4" xfId="9190" xr:uid="{00000000-0005-0000-0000-00005D760000}"/>
    <cellStyle name="Normal 3 19 2 4 2 4 2" xfId="15979" xr:uid="{00000000-0005-0000-0000-00005E760000}"/>
    <cellStyle name="Normal 3 19 2 4 2 4 2 2" xfId="29547" xr:uid="{00000000-0005-0000-0000-00005F760000}"/>
    <cellStyle name="Normal 3 19 2 4 2 4 2 2 2" xfId="56680" xr:uid="{00000000-0005-0000-0000-000060760000}"/>
    <cellStyle name="Normal 3 19 2 4 2 4 2 3" xfId="43118" xr:uid="{00000000-0005-0000-0000-000061760000}"/>
    <cellStyle name="Normal 3 19 2 4 2 4 3" xfId="22766" xr:uid="{00000000-0005-0000-0000-000062760000}"/>
    <cellStyle name="Normal 3 19 2 4 2 4 3 2" xfId="49899" xr:uid="{00000000-0005-0000-0000-000063760000}"/>
    <cellStyle name="Normal 3 19 2 4 2 4 4" xfId="36337" xr:uid="{00000000-0005-0000-0000-000064760000}"/>
    <cellStyle name="Normal 3 19 2 4 2 5" xfId="12590" xr:uid="{00000000-0005-0000-0000-000065760000}"/>
    <cellStyle name="Normal 3 19 2 4 2 5 2" xfId="26158" xr:uid="{00000000-0005-0000-0000-000066760000}"/>
    <cellStyle name="Normal 3 19 2 4 2 5 2 2" xfId="53291" xr:uid="{00000000-0005-0000-0000-000067760000}"/>
    <cellStyle name="Normal 3 19 2 4 2 5 3" xfId="39729" xr:uid="{00000000-0005-0000-0000-000068760000}"/>
    <cellStyle name="Normal 3 19 2 4 2 6" xfId="19377" xr:uid="{00000000-0005-0000-0000-000069760000}"/>
    <cellStyle name="Normal 3 19 2 4 2 6 2" xfId="46510" xr:uid="{00000000-0005-0000-0000-00006A760000}"/>
    <cellStyle name="Normal 3 19 2 4 2 7" xfId="32948" xr:uid="{00000000-0005-0000-0000-00006B760000}"/>
    <cellStyle name="Normal 3 19 2 4 3" xfId="5650" xr:uid="{00000000-0005-0000-0000-00006C760000}"/>
    <cellStyle name="Normal 3 19 2 4 3 2" xfId="5651" xr:uid="{00000000-0005-0000-0000-00006D760000}"/>
    <cellStyle name="Normal 3 19 2 4 3 2 2" xfId="9194" xr:uid="{00000000-0005-0000-0000-00006E760000}"/>
    <cellStyle name="Normal 3 19 2 4 3 2 2 2" xfId="15983" xr:uid="{00000000-0005-0000-0000-00006F760000}"/>
    <cellStyle name="Normal 3 19 2 4 3 2 2 2 2" xfId="29551" xr:uid="{00000000-0005-0000-0000-000070760000}"/>
    <cellStyle name="Normal 3 19 2 4 3 2 2 2 2 2" xfId="56684" xr:uid="{00000000-0005-0000-0000-000071760000}"/>
    <cellStyle name="Normal 3 19 2 4 3 2 2 2 3" xfId="43122" xr:uid="{00000000-0005-0000-0000-000072760000}"/>
    <cellStyle name="Normal 3 19 2 4 3 2 2 3" xfId="22770" xr:uid="{00000000-0005-0000-0000-000073760000}"/>
    <cellStyle name="Normal 3 19 2 4 3 2 2 3 2" xfId="49903" xr:uid="{00000000-0005-0000-0000-000074760000}"/>
    <cellStyle name="Normal 3 19 2 4 3 2 2 4" xfId="36341" xr:uid="{00000000-0005-0000-0000-000075760000}"/>
    <cellStyle name="Normal 3 19 2 4 3 2 3" xfId="12594" xr:uid="{00000000-0005-0000-0000-000076760000}"/>
    <cellStyle name="Normal 3 19 2 4 3 2 3 2" xfId="26162" xr:uid="{00000000-0005-0000-0000-000077760000}"/>
    <cellStyle name="Normal 3 19 2 4 3 2 3 2 2" xfId="53295" xr:uid="{00000000-0005-0000-0000-000078760000}"/>
    <cellStyle name="Normal 3 19 2 4 3 2 3 3" xfId="39733" xr:uid="{00000000-0005-0000-0000-000079760000}"/>
    <cellStyle name="Normal 3 19 2 4 3 2 4" xfId="19381" xr:uid="{00000000-0005-0000-0000-00007A760000}"/>
    <cellStyle name="Normal 3 19 2 4 3 2 4 2" xfId="46514" xr:uid="{00000000-0005-0000-0000-00007B760000}"/>
    <cellStyle name="Normal 3 19 2 4 3 2 5" xfId="32952" xr:uid="{00000000-0005-0000-0000-00007C760000}"/>
    <cellStyle name="Normal 3 19 2 4 3 3" xfId="9193" xr:uid="{00000000-0005-0000-0000-00007D760000}"/>
    <cellStyle name="Normal 3 19 2 4 3 3 2" xfId="15982" xr:uid="{00000000-0005-0000-0000-00007E760000}"/>
    <cellStyle name="Normal 3 19 2 4 3 3 2 2" xfId="29550" xr:uid="{00000000-0005-0000-0000-00007F760000}"/>
    <cellStyle name="Normal 3 19 2 4 3 3 2 2 2" xfId="56683" xr:uid="{00000000-0005-0000-0000-000080760000}"/>
    <cellStyle name="Normal 3 19 2 4 3 3 2 3" xfId="43121" xr:uid="{00000000-0005-0000-0000-000081760000}"/>
    <cellStyle name="Normal 3 19 2 4 3 3 3" xfId="22769" xr:uid="{00000000-0005-0000-0000-000082760000}"/>
    <cellStyle name="Normal 3 19 2 4 3 3 3 2" xfId="49902" xr:uid="{00000000-0005-0000-0000-000083760000}"/>
    <cellStyle name="Normal 3 19 2 4 3 3 4" xfId="36340" xr:uid="{00000000-0005-0000-0000-000084760000}"/>
    <cellStyle name="Normal 3 19 2 4 3 4" xfId="12593" xr:uid="{00000000-0005-0000-0000-000085760000}"/>
    <cellStyle name="Normal 3 19 2 4 3 4 2" xfId="26161" xr:uid="{00000000-0005-0000-0000-000086760000}"/>
    <cellStyle name="Normal 3 19 2 4 3 4 2 2" xfId="53294" xr:uid="{00000000-0005-0000-0000-000087760000}"/>
    <cellStyle name="Normal 3 19 2 4 3 4 3" xfId="39732" xr:uid="{00000000-0005-0000-0000-000088760000}"/>
    <cellStyle name="Normal 3 19 2 4 3 5" xfId="19380" xr:uid="{00000000-0005-0000-0000-000089760000}"/>
    <cellStyle name="Normal 3 19 2 4 3 5 2" xfId="46513" xr:uid="{00000000-0005-0000-0000-00008A760000}"/>
    <cellStyle name="Normal 3 19 2 4 3 6" xfId="32951" xr:uid="{00000000-0005-0000-0000-00008B760000}"/>
    <cellStyle name="Normal 3 19 2 4 4" xfId="5652" xr:uid="{00000000-0005-0000-0000-00008C760000}"/>
    <cellStyle name="Normal 3 19 2 4 4 2" xfId="9195" xr:uid="{00000000-0005-0000-0000-00008D760000}"/>
    <cellStyle name="Normal 3 19 2 4 4 2 2" xfId="15984" xr:uid="{00000000-0005-0000-0000-00008E760000}"/>
    <cellStyle name="Normal 3 19 2 4 4 2 2 2" xfId="29552" xr:uid="{00000000-0005-0000-0000-00008F760000}"/>
    <cellStyle name="Normal 3 19 2 4 4 2 2 2 2" xfId="56685" xr:uid="{00000000-0005-0000-0000-000090760000}"/>
    <cellStyle name="Normal 3 19 2 4 4 2 2 3" xfId="43123" xr:uid="{00000000-0005-0000-0000-000091760000}"/>
    <cellStyle name="Normal 3 19 2 4 4 2 3" xfId="22771" xr:uid="{00000000-0005-0000-0000-000092760000}"/>
    <cellStyle name="Normal 3 19 2 4 4 2 3 2" xfId="49904" xr:uid="{00000000-0005-0000-0000-000093760000}"/>
    <cellStyle name="Normal 3 19 2 4 4 2 4" xfId="36342" xr:uid="{00000000-0005-0000-0000-000094760000}"/>
    <cellStyle name="Normal 3 19 2 4 4 3" xfId="12595" xr:uid="{00000000-0005-0000-0000-000095760000}"/>
    <cellStyle name="Normal 3 19 2 4 4 3 2" xfId="26163" xr:uid="{00000000-0005-0000-0000-000096760000}"/>
    <cellStyle name="Normal 3 19 2 4 4 3 2 2" xfId="53296" xr:uid="{00000000-0005-0000-0000-000097760000}"/>
    <cellStyle name="Normal 3 19 2 4 4 3 3" xfId="39734" xr:uid="{00000000-0005-0000-0000-000098760000}"/>
    <cellStyle name="Normal 3 19 2 4 4 4" xfId="19382" xr:uid="{00000000-0005-0000-0000-000099760000}"/>
    <cellStyle name="Normal 3 19 2 4 4 4 2" xfId="46515" xr:uid="{00000000-0005-0000-0000-00009A760000}"/>
    <cellStyle name="Normal 3 19 2 4 4 5" xfId="32953" xr:uid="{00000000-0005-0000-0000-00009B760000}"/>
    <cellStyle name="Normal 3 19 2 4 5" xfId="5653" xr:uid="{00000000-0005-0000-0000-00009C760000}"/>
    <cellStyle name="Normal 3 19 2 4 5 2" xfId="9196" xr:uid="{00000000-0005-0000-0000-00009D760000}"/>
    <cellStyle name="Normal 3 19 2 4 5 2 2" xfId="15985" xr:uid="{00000000-0005-0000-0000-00009E760000}"/>
    <cellStyle name="Normal 3 19 2 4 5 2 2 2" xfId="29553" xr:uid="{00000000-0005-0000-0000-00009F760000}"/>
    <cellStyle name="Normal 3 19 2 4 5 2 2 2 2" xfId="56686" xr:uid="{00000000-0005-0000-0000-0000A0760000}"/>
    <cellStyle name="Normal 3 19 2 4 5 2 2 3" xfId="43124" xr:uid="{00000000-0005-0000-0000-0000A1760000}"/>
    <cellStyle name="Normal 3 19 2 4 5 2 3" xfId="22772" xr:uid="{00000000-0005-0000-0000-0000A2760000}"/>
    <cellStyle name="Normal 3 19 2 4 5 2 3 2" xfId="49905" xr:uid="{00000000-0005-0000-0000-0000A3760000}"/>
    <cellStyle name="Normal 3 19 2 4 5 2 4" xfId="36343" xr:uid="{00000000-0005-0000-0000-0000A4760000}"/>
    <cellStyle name="Normal 3 19 2 4 5 3" xfId="12596" xr:uid="{00000000-0005-0000-0000-0000A5760000}"/>
    <cellStyle name="Normal 3 19 2 4 5 3 2" xfId="26164" xr:uid="{00000000-0005-0000-0000-0000A6760000}"/>
    <cellStyle name="Normal 3 19 2 4 5 3 2 2" xfId="53297" xr:uid="{00000000-0005-0000-0000-0000A7760000}"/>
    <cellStyle name="Normal 3 19 2 4 5 3 3" xfId="39735" xr:uid="{00000000-0005-0000-0000-0000A8760000}"/>
    <cellStyle name="Normal 3 19 2 4 5 4" xfId="19383" xr:uid="{00000000-0005-0000-0000-0000A9760000}"/>
    <cellStyle name="Normal 3 19 2 4 5 4 2" xfId="46516" xr:uid="{00000000-0005-0000-0000-0000AA760000}"/>
    <cellStyle name="Normal 3 19 2 4 5 5" xfId="32954" xr:uid="{00000000-0005-0000-0000-0000AB760000}"/>
    <cellStyle name="Normal 3 19 2 4 6" xfId="9189" xr:uid="{00000000-0005-0000-0000-0000AC760000}"/>
    <cellStyle name="Normal 3 19 2 4 6 2" xfId="15978" xr:uid="{00000000-0005-0000-0000-0000AD760000}"/>
    <cellStyle name="Normal 3 19 2 4 6 2 2" xfId="29546" xr:uid="{00000000-0005-0000-0000-0000AE760000}"/>
    <cellStyle name="Normal 3 19 2 4 6 2 2 2" xfId="56679" xr:uid="{00000000-0005-0000-0000-0000AF760000}"/>
    <cellStyle name="Normal 3 19 2 4 6 2 3" xfId="43117" xr:uid="{00000000-0005-0000-0000-0000B0760000}"/>
    <cellStyle name="Normal 3 19 2 4 6 3" xfId="22765" xr:uid="{00000000-0005-0000-0000-0000B1760000}"/>
    <cellStyle name="Normal 3 19 2 4 6 3 2" xfId="49898" xr:uid="{00000000-0005-0000-0000-0000B2760000}"/>
    <cellStyle name="Normal 3 19 2 4 6 4" xfId="36336" xr:uid="{00000000-0005-0000-0000-0000B3760000}"/>
    <cellStyle name="Normal 3 19 2 4 7" xfId="12589" xr:uid="{00000000-0005-0000-0000-0000B4760000}"/>
    <cellStyle name="Normal 3 19 2 4 7 2" xfId="26157" xr:uid="{00000000-0005-0000-0000-0000B5760000}"/>
    <cellStyle name="Normal 3 19 2 4 7 2 2" xfId="53290" xr:uid="{00000000-0005-0000-0000-0000B6760000}"/>
    <cellStyle name="Normal 3 19 2 4 7 3" xfId="39728" xr:uid="{00000000-0005-0000-0000-0000B7760000}"/>
    <cellStyle name="Normal 3 19 2 4 8" xfId="19376" xr:uid="{00000000-0005-0000-0000-0000B8760000}"/>
    <cellStyle name="Normal 3 19 2 4 8 2" xfId="46509" xr:uid="{00000000-0005-0000-0000-0000B9760000}"/>
    <cellStyle name="Normal 3 19 2 4 9" xfId="32947" xr:uid="{00000000-0005-0000-0000-0000BA760000}"/>
    <cellStyle name="Normal 3 19 2 5" xfId="5654" xr:uid="{00000000-0005-0000-0000-0000BB760000}"/>
    <cellStyle name="Normal 3 19 2 5 2" xfId="5655" xr:uid="{00000000-0005-0000-0000-0000BC760000}"/>
    <cellStyle name="Normal 3 19 2 5 2 2" xfId="5656" xr:uid="{00000000-0005-0000-0000-0000BD760000}"/>
    <cellStyle name="Normal 3 19 2 5 2 2 2" xfId="9199" xr:uid="{00000000-0005-0000-0000-0000BE760000}"/>
    <cellStyle name="Normal 3 19 2 5 2 2 2 2" xfId="15988" xr:uid="{00000000-0005-0000-0000-0000BF760000}"/>
    <cellStyle name="Normal 3 19 2 5 2 2 2 2 2" xfId="29556" xr:uid="{00000000-0005-0000-0000-0000C0760000}"/>
    <cellStyle name="Normal 3 19 2 5 2 2 2 2 2 2" xfId="56689" xr:uid="{00000000-0005-0000-0000-0000C1760000}"/>
    <cellStyle name="Normal 3 19 2 5 2 2 2 2 3" xfId="43127" xr:uid="{00000000-0005-0000-0000-0000C2760000}"/>
    <cellStyle name="Normal 3 19 2 5 2 2 2 3" xfId="22775" xr:uid="{00000000-0005-0000-0000-0000C3760000}"/>
    <cellStyle name="Normal 3 19 2 5 2 2 2 3 2" xfId="49908" xr:uid="{00000000-0005-0000-0000-0000C4760000}"/>
    <cellStyle name="Normal 3 19 2 5 2 2 2 4" xfId="36346" xr:uid="{00000000-0005-0000-0000-0000C5760000}"/>
    <cellStyle name="Normal 3 19 2 5 2 2 3" xfId="12599" xr:uid="{00000000-0005-0000-0000-0000C6760000}"/>
    <cellStyle name="Normal 3 19 2 5 2 2 3 2" xfId="26167" xr:uid="{00000000-0005-0000-0000-0000C7760000}"/>
    <cellStyle name="Normal 3 19 2 5 2 2 3 2 2" xfId="53300" xr:uid="{00000000-0005-0000-0000-0000C8760000}"/>
    <cellStyle name="Normal 3 19 2 5 2 2 3 3" xfId="39738" xr:uid="{00000000-0005-0000-0000-0000C9760000}"/>
    <cellStyle name="Normal 3 19 2 5 2 2 4" xfId="19386" xr:uid="{00000000-0005-0000-0000-0000CA760000}"/>
    <cellStyle name="Normal 3 19 2 5 2 2 4 2" xfId="46519" xr:uid="{00000000-0005-0000-0000-0000CB760000}"/>
    <cellStyle name="Normal 3 19 2 5 2 2 5" xfId="32957" xr:uid="{00000000-0005-0000-0000-0000CC760000}"/>
    <cellStyle name="Normal 3 19 2 5 2 3" xfId="5657" xr:uid="{00000000-0005-0000-0000-0000CD760000}"/>
    <cellStyle name="Normal 3 19 2 5 2 3 2" xfId="9200" xr:uid="{00000000-0005-0000-0000-0000CE760000}"/>
    <cellStyle name="Normal 3 19 2 5 2 3 2 2" xfId="15989" xr:uid="{00000000-0005-0000-0000-0000CF760000}"/>
    <cellStyle name="Normal 3 19 2 5 2 3 2 2 2" xfId="29557" xr:uid="{00000000-0005-0000-0000-0000D0760000}"/>
    <cellStyle name="Normal 3 19 2 5 2 3 2 2 2 2" xfId="56690" xr:uid="{00000000-0005-0000-0000-0000D1760000}"/>
    <cellStyle name="Normal 3 19 2 5 2 3 2 2 3" xfId="43128" xr:uid="{00000000-0005-0000-0000-0000D2760000}"/>
    <cellStyle name="Normal 3 19 2 5 2 3 2 3" xfId="22776" xr:uid="{00000000-0005-0000-0000-0000D3760000}"/>
    <cellStyle name="Normal 3 19 2 5 2 3 2 3 2" xfId="49909" xr:uid="{00000000-0005-0000-0000-0000D4760000}"/>
    <cellStyle name="Normal 3 19 2 5 2 3 2 4" xfId="36347" xr:uid="{00000000-0005-0000-0000-0000D5760000}"/>
    <cellStyle name="Normal 3 19 2 5 2 3 3" xfId="12600" xr:uid="{00000000-0005-0000-0000-0000D6760000}"/>
    <cellStyle name="Normal 3 19 2 5 2 3 3 2" xfId="26168" xr:uid="{00000000-0005-0000-0000-0000D7760000}"/>
    <cellStyle name="Normal 3 19 2 5 2 3 3 2 2" xfId="53301" xr:uid="{00000000-0005-0000-0000-0000D8760000}"/>
    <cellStyle name="Normal 3 19 2 5 2 3 3 3" xfId="39739" xr:uid="{00000000-0005-0000-0000-0000D9760000}"/>
    <cellStyle name="Normal 3 19 2 5 2 3 4" xfId="19387" xr:uid="{00000000-0005-0000-0000-0000DA760000}"/>
    <cellStyle name="Normal 3 19 2 5 2 3 4 2" xfId="46520" xr:uid="{00000000-0005-0000-0000-0000DB760000}"/>
    <cellStyle name="Normal 3 19 2 5 2 3 5" xfId="32958" xr:uid="{00000000-0005-0000-0000-0000DC760000}"/>
    <cellStyle name="Normal 3 19 2 5 2 4" xfId="9198" xr:uid="{00000000-0005-0000-0000-0000DD760000}"/>
    <cellStyle name="Normal 3 19 2 5 2 4 2" xfId="15987" xr:uid="{00000000-0005-0000-0000-0000DE760000}"/>
    <cellStyle name="Normal 3 19 2 5 2 4 2 2" xfId="29555" xr:uid="{00000000-0005-0000-0000-0000DF760000}"/>
    <cellStyle name="Normal 3 19 2 5 2 4 2 2 2" xfId="56688" xr:uid="{00000000-0005-0000-0000-0000E0760000}"/>
    <cellStyle name="Normal 3 19 2 5 2 4 2 3" xfId="43126" xr:uid="{00000000-0005-0000-0000-0000E1760000}"/>
    <cellStyle name="Normal 3 19 2 5 2 4 3" xfId="22774" xr:uid="{00000000-0005-0000-0000-0000E2760000}"/>
    <cellStyle name="Normal 3 19 2 5 2 4 3 2" xfId="49907" xr:uid="{00000000-0005-0000-0000-0000E3760000}"/>
    <cellStyle name="Normal 3 19 2 5 2 4 4" xfId="36345" xr:uid="{00000000-0005-0000-0000-0000E4760000}"/>
    <cellStyle name="Normal 3 19 2 5 2 5" xfId="12598" xr:uid="{00000000-0005-0000-0000-0000E5760000}"/>
    <cellStyle name="Normal 3 19 2 5 2 5 2" xfId="26166" xr:uid="{00000000-0005-0000-0000-0000E6760000}"/>
    <cellStyle name="Normal 3 19 2 5 2 5 2 2" xfId="53299" xr:uid="{00000000-0005-0000-0000-0000E7760000}"/>
    <cellStyle name="Normal 3 19 2 5 2 5 3" xfId="39737" xr:uid="{00000000-0005-0000-0000-0000E8760000}"/>
    <cellStyle name="Normal 3 19 2 5 2 6" xfId="19385" xr:uid="{00000000-0005-0000-0000-0000E9760000}"/>
    <cellStyle name="Normal 3 19 2 5 2 6 2" xfId="46518" xr:uid="{00000000-0005-0000-0000-0000EA760000}"/>
    <cellStyle name="Normal 3 19 2 5 2 7" xfId="32956" xr:uid="{00000000-0005-0000-0000-0000EB760000}"/>
    <cellStyle name="Normal 3 19 2 5 3" xfId="5658" xr:uid="{00000000-0005-0000-0000-0000EC760000}"/>
    <cellStyle name="Normal 3 19 2 5 3 2" xfId="9201" xr:uid="{00000000-0005-0000-0000-0000ED760000}"/>
    <cellStyle name="Normal 3 19 2 5 3 2 2" xfId="15990" xr:uid="{00000000-0005-0000-0000-0000EE760000}"/>
    <cellStyle name="Normal 3 19 2 5 3 2 2 2" xfId="29558" xr:uid="{00000000-0005-0000-0000-0000EF760000}"/>
    <cellStyle name="Normal 3 19 2 5 3 2 2 2 2" xfId="56691" xr:uid="{00000000-0005-0000-0000-0000F0760000}"/>
    <cellStyle name="Normal 3 19 2 5 3 2 2 3" xfId="43129" xr:uid="{00000000-0005-0000-0000-0000F1760000}"/>
    <cellStyle name="Normal 3 19 2 5 3 2 3" xfId="22777" xr:uid="{00000000-0005-0000-0000-0000F2760000}"/>
    <cellStyle name="Normal 3 19 2 5 3 2 3 2" xfId="49910" xr:uid="{00000000-0005-0000-0000-0000F3760000}"/>
    <cellStyle name="Normal 3 19 2 5 3 2 4" xfId="36348" xr:uid="{00000000-0005-0000-0000-0000F4760000}"/>
    <cellStyle name="Normal 3 19 2 5 3 3" xfId="12601" xr:uid="{00000000-0005-0000-0000-0000F5760000}"/>
    <cellStyle name="Normal 3 19 2 5 3 3 2" xfId="26169" xr:uid="{00000000-0005-0000-0000-0000F6760000}"/>
    <cellStyle name="Normal 3 19 2 5 3 3 2 2" xfId="53302" xr:uid="{00000000-0005-0000-0000-0000F7760000}"/>
    <cellStyle name="Normal 3 19 2 5 3 3 3" xfId="39740" xr:uid="{00000000-0005-0000-0000-0000F8760000}"/>
    <cellStyle name="Normal 3 19 2 5 3 4" xfId="19388" xr:uid="{00000000-0005-0000-0000-0000F9760000}"/>
    <cellStyle name="Normal 3 19 2 5 3 4 2" xfId="46521" xr:uid="{00000000-0005-0000-0000-0000FA760000}"/>
    <cellStyle name="Normal 3 19 2 5 3 5" xfId="32959" xr:uid="{00000000-0005-0000-0000-0000FB760000}"/>
    <cellStyle name="Normal 3 19 2 5 4" xfId="5659" xr:uid="{00000000-0005-0000-0000-0000FC760000}"/>
    <cellStyle name="Normal 3 19 2 5 4 2" xfId="9202" xr:uid="{00000000-0005-0000-0000-0000FD760000}"/>
    <cellStyle name="Normal 3 19 2 5 4 2 2" xfId="15991" xr:uid="{00000000-0005-0000-0000-0000FE760000}"/>
    <cellStyle name="Normal 3 19 2 5 4 2 2 2" xfId="29559" xr:uid="{00000000-0005-0000-0000-0000FF760000}"/>
    <cellStyle name="Normal 3 19 2 5 4 2 2 2 2" xfId="56692" xr:uid="{00000000-0005-0000-0000-000000770000}"/>
    <cellStyle name="Normal 3 19 2 5 4 2 2 3" xfId="43130" xr:uid="{00000000-0005-0000-0000-000001770000}"/>
    <cellStyle name="Normal 3 19 2 5 4 2 3" xfId="22778" xr:uid="{00000000-0005-0000-0000-000002770000}"/>
    <cellStyle name="Normal 3 19 2 5 4 2 3 2" xfId="49911" xr:uid="{00000000-0005-0000-0000-000003770000}"/>
    <cellStyle name="Normal 3 19 2 5 4 2 4" xfId="36349" xr:uid="{00000000-0005-0000-0000-000004770000}"/>
    <cellStyle name="Normal 3 19 2 5 4 3" xfId="12602" xr:uid="{00000000-0005-0000-0000-000005770000}"/>
    <cellStyle name="Normal 3 19 2 5 4 3 2" xfId="26170" xr:uid="{00000000-0005-0000-0000-000006770000}"/>
    <cellStyle name="Normal 3 19 2 5 4 3 2 2" xfId="53303" xr:uid="{00000000-0005-0000-0000-000007770000}"/>
    <cellStyle name="Normal 3 19 2 5 4 3 3" xfId="39741" xr:uid="{00000000-0005-0000-0000-000008770000}"/>
    <cellStyle name="Normal 3 19 2 5 4 4" xfId="19389" xr:uid="{00000000-0005-0000-0000-000009770000}"/>
    <cellStyle name="Normal 3 19 2 5 4 4 2" xfId="46522" xr:uid="{00000000-0005-0000-0000-00000A770000}"/>
    <cellStyle name="Normal 3 19 2 5 4 5" xfId="32960" xr:uid="{00000000-0005-0000-0000-00000B770000}"/>
    <cellStyle name="Normal 3 19 2 5 5" xfId="9197" xr:uid="{00000000-0005-0000-0000-00000C770000}"/>
    <cellStyle name="Normal 3 19 2 5 5 2" xfId="15986" xr:uid="{00000000-0005-0000-0000-00000D770000}"/>
    <cellStyle name="Normal 3 19 2 5 5 2 2" xfId="29554" xr:uid="{00000000-0005-0000-0000-00000E770000}"/>
    <cellStyle name="Normal 3 19 2 5 5 2 2 2" xfId="56687" xr:uid="{00000000-0005-0000-0000-00000F770000}"/>
    <cellStyle name="Normal 3 19 2 5 5 2 3" xfId="43125" xr:uid="{00000000-0005-0000-0000-000010770000}"/>
    <cellStyle name="Normal 3 19 2 5 5 3" xfId="22773" xr:uid="{00000000-0005-0000-0000-000011770000}"/>
    <cellStyle name="Normal 3 19 2 5 5 3 2" xfId="49906" xr:uid="{00000000-0005-0000-0000-000012770000}"/>
    <cellStyle name="Normal 3 19 2 5 5 4" xfId="36344" xr:uid="{00000000-0005-0000-0000-000013770000}"/>
    <cellStyle name="Normal 3 19 2 5 6" xfId="12597" xr:uid="{00000000-0005-0000-0000-000014770000}"/>
    <cellStyle name="Normal 3 19 2 5 6 2" xfId="26165" xr:uid="{00000000-0005-0000-0000-000015770000}"/>
    <cellStyle name="Normal 3 19 2 5 6 2 2" xfId="53298" xr:uid="{00000000-0005-0000-0000-000016770000}"/>
    <cellStyle name="Normal 3 19 2 5 6 3" xfId="39736" xr:uid="{00000000-0005-0000-0000-000017770000}"/>
    <cellStyle name="Normal 3 19 2 5 7" xfId="19384" xr:uid="{00000000-0005-0000-0000-000018770000}"/>
    <cellStyle name="Normal 3 19 2 5 7 2" xfId="46517" xr:uid="{00000000-0005-0000-0000-000019770000}"/>
    <cellStyle name="Normal 3 19 2 5 8" xfId="32955" xr:uid="{00000000-0005-0000-0000-00001A770000}"/>
    <cellStyle name="Normal 3 19 2 6" xfId="5660" xr:uid="{00000000-0005-0000-0000-00001B770000}"/>
    <cellStyle name="Normal 3 19 2 6 2" xfId="5661" xr:uid="{00000000-0005-0000-0000-00001C770000}"/>
    <cellStyle name="Normal 3 19 2 6 2 2" xfId="5662" xr:uid="{00000000-0005-0000-0000-00001D770000}"/>
    <cellStyle name="Normal 3 19 2 6 2 2 2" xfId="9205" xr:uid="{00000000-0005-0000-0000-00001E770000}"/>
    <cellStyle name="Normal 3 19 2 6 2 2 2 2" xfId="15994" xr:uid="{00000000-0005-0000-0000-00001F770000}"/>
    <cellStyle name="Normal 3 19 2 6 2 2 2 2 2" xfId="29562" xr:uid="{00000000-0005-0000-0000-000020770000}"/>
    <cellStyle name="Normal 3 19 2 6 2 2 2 2 2 2" xfId="56695" xr:uid="{00000000-0005-0000-0000-000021770000}"/>
    <cellStyle name="Normal 3 19 2 6 2 2 2 2 3" xfId="43133" xr:uid="{00000000-0005-0000-0000-000022770000}"/>
    <cellStyle name="Normal 3 19 2 6 2 2 2 3" xfId="22781" xr:uid="{00000000-0005-0000-0000-000023770000}"/>
    <cellStyle name="Normal 3 19 2 6 2 2 2 3 2" xfId="49914" xr:uid="{00000000-0005-0000-0000-000024770000}"/>
    <cellStyle name="Normal 3 19 2 6 2 2 2 4" xfId="36352" xr:uid="{00000000-0005-0000-0000-000025770000}"/>
    <cellStyle name="Normal 3 19 2 6 2 2 3" xfId="12605" xr:uid="{00000000-0005-0000-0000-000026770000}"/>
    <cellStyle name="Normal 3 19 2 6 2 2 3 2" xfId="26173" xr:uid="{00000000-0005-0000-0000-000027770000}"/>
    <cellStyle name="Normal 3 19 2 6 2 2 3 2 2" xfId="53306" xr:uid="{00000000-0005-0000-0000-000028770000}"/>
    <cellStyle name="Normal 3 19 2 6 2 2 3 3" xfId="39744" xr:uid="{00000000-0005-0000-0000-000029770000}"/>
    <cellStyle name="Normal 3 19 2 6 2 2 4" xfId="19392" xr:uid="{00000000-0005-0000-0000-00002A770000}"/>
    <cellStyle name="Normal 3 19 2 6 2 2 4 2" xfId="46525" xr:uid="{00000000-0005-0000-0000-00002B770000}"/>
    <cellStyle name="Normal 3 19 2 6 2 2 5" xfId="32963" xr:uid="{00000000-0005-0000-0000-00002C770000}"/>
    <cellStyle name="Normal 3 19 2 6 2 3" xfId="5663" xr:uid="{00000000-0005-0000-0000-00002D770000}"/>
    <cellStyle name="Normal 3 19 2 6 2 3 2" xfId="9206" xr:uid="{00000000-0005-0000-0000-00002E770000}"/>
    <cellStyle name="Normal 3 19 2 6 2 3 2 2" xfId="15995" xr:uid="{00000000-0005-0000-0000-00002F770000}"/>
    <cellStyle name="Normal 3 19 2 6 2 3 2 2 2" xfId="29563" xr:uid="{00000000-0005-0000-0000-000030770000}"/>
    <cellStyle name="Normal 3 19 2 6 2 3 2 2 2 2" xfId="56696" xr:uid="{00000000-0005-0000-0000-000031770000}"/>
    <cellStyle name="Normal 3 19 2 6 2 3 2 2 3" xfId="43134" xr:uid="{00000000-0005-0000-0000-000032770000}"/>
    <cellStyle name="Normal 3 19 2 6 2 3 2 3" xfId="22782" xr:uid="{00000000-0005-0000-0000-000033770000}"/>
    <cellStyle name="Normal 3 19 2 6 2 3 2 3 2" xfId="49915" xr:uid="{00000000-0005-0000-0000-000034770000}"/>
    <cellStyle name="Normal 3 19 2 6 2 3 2 4" xfId="36353" xr:uid="{00000000-0005-0000-0000-000035770000}"/>
    <cellStyle name="Normal 3 19 2 6 2 3 3" xfId="12606" xr:uid="{00000000-0005-0000-0000-000036770000}"/>
    <cellStyle name="Normal 3 19 2 6 2 3 3 2" xfId="26174" xr:uid="{00000000-0005-0000-0000-000037770000}"/>
    <cellStyle name="Normal 3 19 2 6 2 3 3 2 2" xfId="53307" xr:uid="{00000000-0005-0000-0000-000038770000}"/>
    <cellStyle name="Normal 3 19 2 6 2 3 3 3" xfId="39745" xr:uid="{00000000-0005-0000-0000-000039770000}"/>
    <cellStyle name="Normal 3 19 2 6 2 3 4" xfId="19393" xr:uid="{00000000-0005-0000-0000-00003A770000}"/>
    <cellStyle name="Normal 3 19 2 6 2 3 4 2" xfId="46526" xr:uid="{00000000-0005-0000-0000-00003B770000}"/>
    <cellStyle name="Normal 3 19 2 6 2 3 5" xfId="32964" xr:uid="{00000000-0005-0000-0000-00003C770000}"/>
    <cellStyle name="Normal 3 19 2 6 2 4" xfId="9204" xr:uid="{00000000-0005-0000-0000-00003D770000}"/>
    <cellStyle name="Normal 3 19 2 6 2 4 2" xfId="15993" xr:uid="{00000000-0005-0000-0000-00003E770000}"/>
    <cellStyle name="Normal 3 19 2 6 2 4 2 2" xfId="29561" xr:uid="{00000000-0005-0000-0000-00003F770000}"/>
    <cellStyle name="Normal 3 19 2 6 2 4 2 2 2" xfId="56694" xr:uid="{00000000-0005-0000-0000-000040770000}"/>
    <cellStyle name="Normal 3 19 2 6 2 4 2 3" xfId="43132" xr:uid="{00000000-0005-0000-0000-000041770000}"/>
    <cellStyle name="Normal 3 19 2 6 2 4 3" xfId="22780" xr:uid="{00000000-0005-0000-0000-000042770000}"/>
    <cellStyle name="Normal 3 19 2 6 2 4 3 2" xfId="49913" xr:uid="{00000000-0005-0000-0000-000043770000}"/>
    <cellStyle name="Normal 3 19 2 6 2 4 4" xfId="36351" xr:uid="{00000000-0005-0000-0000-000044770000}"/>
    <cellStyle name="Normal 3 19 2 6 2 5" xfId="12604" xr:uid="{00000000-0005-0000-0000-000045770000}"/>
    <cellStyle name="Normal 3 19 2 6 2 5 2" xfId="26172" xr:uid="{00000000-0005-0000-0000-000046770000}"/>
    <cellStyle name="Normal 3 19 2 6 2 5 2 2" xfId="53305" xr:uid="{00000000-0005-0000-0000-000047770000}"/>
    <cellStyle name="Normal 3 19 2 6 2 5 3" xfId="39743" xr:uid="{00000000-0005-0000-0000-000048770000}"/>
    <cellStyle name="Normal 3 19 2 6 2 6" xfId="19391" xr:uid="{00000000-0005-0000-0000-000049770000}"/>
    <cellStyle name="Normal 3 19 2 6 2 6 2" xfId="46524" xr:uid="{00000000-0005-0000-0000-00004A770000}"/>
    <cellStyle name="Normal 3 19 2 6 2 7" xfId="32962" xr:uid="{00000000-0005-0000-0000-00004B770000}"/>
    <cellStyle name="Normal 3 19 2 6 3" xfId="5664" xr:uid="{00000000-0005-0000-0000-00004C770000}"/>
    <cellStyle name="Normal 3 19 2 6 3 2" xfId="9207" xr:uid="{00000000-0005-0000-0000-00004D770000}"/>
    <cellStyle name="Normal 3 19 2 6 3 2 2" xfId="15996" xr:uid="{00000000-0005-0000-0000-00004E770000}"/>
    <cellStyle name="Normal 3 19 2 6 3 2 2 2" xfId="29564" xr:uid="{00000000-0005-0000-0000-00004F770000}"/>
    <cellStyle name="Normal 3 19 2 6 3 2 2 2 2" xfId="56697" xr:uid="{00000000-0005-0000-0000-000050770000}"/>
    <cellStyle name="Normal 3 19 2 6 3 2 2 3" xfId="43135" xr:uid="{00000000-0005-0000-0000-000051770000}"/>
    <cellStyle name="Normal 3 19 2 6 3 2 3" xfId="22783" xr:uid="{00000000-0005-0000-0000-000052770000}"/>
    <cellStyle name="Normal 3 19 2 6 3 2 3 2" xfId="49916" xr:uid="{00000000-0005-0000-0000-000053770000}"/>
    <cellStyle name="Normal 3 19 2 6 3 2 4" xfId="36354" xr:uid="{00000000-0005-0000-0000-000054770000}"/>
    <cellStyle name="Normal 3 19 2 6 3 3" xfId="12607" xr:uid="{00000000-0005-0000-0000-000055770000}"/>
    <cellStyle name="Normal 3 19 2 6 3 3 2" xfId="26175" xr:uid="{00000000-0005-0000-0000-000056770000}"/>
    <cellStyle name="Normal 3 19 2 6 3 3 2 2" xfId="53308" xr:uid="{00000000-0005-0000-0000-000057770000}"/>
    <cellStyle name="Normal 3 19 2 6 3 3 3" xfId="39746" xr:uid="{00000000-0005-0000-0000-000058770000}"/>
    <cellStyle name="Normal 3 19 2 6 3 4" xfId="19394" xr:uid="{00000000-0005-0000-0000-000059770000}"/>
    <cellStyle name="Normal 3 19 2 6 3 4 2" xfId="46527" xr:uid="{00000000-0005-0000-0000-00005A770000}"/>
    <cellStyle name="Normal 3 19 2 6 3 5" xfId="32965" xr:uid="{00000000-0005-0000-0000-00005B770000}"/>
    <cellStyle name="Normal 3 19 2 6 4" xfId="5665" xr:uid="{00000000-0005-0000-0000-00005C770000}"/>
    <cellStyle name="Normal 3 19 2 6 4 2" xfId="9208" xr:uid="{00000000-0005-0000-0000-00005D770000}"/>
    <cellStyle name="Normal 3 19 2 6 4 2 2" xfId="15997" xr:uid="{00000000-0005-0000-0000-00005E770000}"/>
    <cellStyle name="Normal 3 19 2 6 4 2 2 2" xfId="29565" xr:uid="{00000000-0005-0000-0000-00005F770000}"/>
    <cellStyle name="Normal 3 19 2 6 4 2 2 2 2" xfId="56698" xr:uid="{00000000-0005-0000-0000-000060770000}"/>
    <cellStyle name="Normal 3 19 2 6 4 2 2 3" xfId="43136" xr:uid="{00000000-0005-0000-0000-000061770000}"/>
    <cellStyle name="Normal 3 19 2 6 4 2 3" xfId="22784" xr:uid="{00000000-0005-0000-0000-000062770000}"/>
    <cellStyle name="Normal 3 19 2 6 4 2 3 2" xfId="49917" xr:uid="{00000000-0005-0000-0000-000063770000}"/>
    <cellStyle name="Normal 3 19 2 6 4 2 4" xfId="36355" xr:uid="{00000000-0005-0000-0000-000064770000}"/>
    <cellStyle name="Normal 3 19 2 6 4 3" xfId="12608" xr:uid="{00000000-0005-0000-0000-000065770000}"/>
    <cellStyle name="Normal 3 19 2 6 4 3 2" xfId="26176" xr:uid="{00000000-0005-0000-0000-000066770000}"/>
    <cellStyle name="Normal 3 19 2 6 4 3 2 2" xfId="53309" xr:uid="{00000000-0005-0000-0000-000067770000}"/>
    <cellStyle name="Normal 3 19 2 6 4 3 3" xfId="39747" xr:uid="{00000000-0005-0000-0000-000068770000}"/>
    <cellStyle name="Normal 3 19 2 6 4 4" xfId="19395" xr:uid="{00000000-0005-0000-0000-000069770000}"/>
    <cellStyle name="Normal 3 19 2 6 4 4 2" xfId="46528" xr:uid="{00000000-0005-0000-0000-00006A770000}"/>
    <cellStyle name="Normal 3 19 2 6 4 5" xfId="32966" xr:uid="{00000000-0005-0000-0000-00006B770000}"/>
    <cellStyle name="Normal 3 19 2 6 5" xfId="9203" xr:uid="{00000000-0005-0000-0000-00006C770000}"/>
    <cellStyle name="Normal 3 19 2 6 5 2" xfId="15992" xr:uid="{00000000-0005-0000-0000-00006D770000}"/>
    <cellStyle name="Normal 3 19 2 6 5 2 2" xfId="29560" xr:uid="{00000000-0005-0000-0000-00006E770000}"/>
    <cellStyle name="Normal 3 19 2 6 5 2 2 2" xfId="56693" xr:uid="{00000000-0005-0000-0000-00006F770000}"/>
    <cellStyle name="Normal 3 19 2 6 5 2 3" xfId="43131" xr:uid="{00000000-0005-0000-0000-000070770000}"/>
    <cellStyle name="Normal 3 19 2 6 5 3" xfId="22779" xr:uid="{00000000-0005-0000-0000-000071770000}"/>
    <cellStyle name="Normal 3 19 2 6 5 3 2" xfId="49912" xr:uid="{00000000-0005-0000-0000-000072770000}"/>
    <cellStyle name="Normal 3 19 2 6 5 4" xfId="36350" xr:uid="{00000000-0005-0000-0000-000073770000}"/>
    <cellStyle name="Normal 3 19 2 6 6" xfId="12603" xr:uid="{00000000-0005-0000-0000-000074770000}"/>
    <cellStyle name="Normal 3 19 2 6 6 2" xfId="26171" xr:uid="{00000000-0005-0000-0000-000075770000}"/>
    <cellStyle name="Normal 3 19 2 6 6 2 2" xfId="53304" xr:uid="{00000000-0005-0000-0000-000076770000}"/>
    <cellStyle name="Normal 3 19 2 6 6 3" xfId="39742" xr:uid="{00000000-0005-0000-0000-000077770000}"/>
    <cellStyle name="Normal 3 19 2 6 7" xfId="19390" xr:uid="{00000000-0005-0000-0000-000078770000}"/>
    <cellStyle name="Normal 3 19 2 6 7 2" xfId="46523" xr:uid="{00000000-0005-0000-0000-000079770000}"/>
    <cellStyle name="Normal 3 19 2 6 8" xfId="32961" xr:uid="{00000000-0005-0000-0000-00007A770000}"/>
    <cellStyle name="Normal 3 19 2 7" xfId="5666" xr:uid="{00000000-0005-0000-0000-00007B770000}"/>
    <cellStyle name="Normal 3 19 2 7 2" xfId="5667" xr:uid="{00000000-0005-0000-0000-00007C770000}"/>
    <cellStyle name="Normal 3 19 2 7 2 2" xfId="9210" xr:uid="{00000000-0005-0000-0000-00007D770000}"/>
    <cellStyle name="Normal 3 19 2 7 2 2 2" xfId="15999" xr:uid="{00000000-0005-0000-0000-00007E770000}"/>
    <cellStyle name="Normal 3 19 2 7 2 2 2 2" xfId="29567" xr:uid="{00000000-0005-0000-0000-00007F770000}"/>
    <cellStyle name="Normal 3 19 2 7 2 2 2 2 2" xfId="56700" xr:uid="{00000000-0005-0000-0000-000080770000}"/>
    <cellStyle name="Normal 3 19 2 7 2 2 2 3" xfId="43138" xr:uid="{00000000-0005-0000-0000-000081770000}"/>
    <cellStyle name="Normal 3 19 2 7 2 2 3" xfId="22786" xr:uid="{00000000-0005-0000-0000-000082770000}"/>
    <cellStyle name="Normal 3 19 2 7 2 2 3 2" xfId="49919" xr:uid="{00000000-0005-0000-0000-000083770000}"/>
    <cellStyle name="Normal 3 19 2 7 2 2 4" xfId="36357" xr:uid="{00000000-0005-0000-0000-000084770000}"/>
    <cellStyle name="Normal 3 19 2 7 2 3" xfId="12610" xr:uid="{00000000-0005-0000-0000-000085770000}"/>
    <cellStyle name="Normal 3 19 2 7 2 3 2" xfId="26178" xr:uid="{00000000-0005-0000-0000-000086770000}"/>
    <cellStyle name="Normal 3 19 2 7 2 3 2 2" xfId="53311" xr:uid="{00000000-0005-0000-0000-000087770000}"/>
    <cellStyle name="Normal 3 19 2 7 2 3 3" xfId="39749" xr:uid="{00000000-0005-0000-0000-000088770000}"/>
    <cellStyle name="Normal 3 19 2 7 2 4" xfId="19397" xr:uid="{00000000-0005-0000-0000-000089770000}"/>
    <cellStyle name="Normal 3 19 2 7 2 4 2" xfId="46530" xr:uid="{00000000-0005-0000-0000-00008A770000}"/>
    <cellStyle name="Normal 3 19 2 7 2 5" xfId="32968" xr:uid="{00000000-0005-0000-0000-00008B770000}"/>
    <cellStyle name="Normal 3 19 2 7 3" xfId="5668" xr:uid="{00000000-0005-0000-0000-00008C770000}"/>
    <cellStyle name="Normal 3 19 2 7 3 2" xfId="9211" xr:uid="{00000000-0005-0000-0000-00008D770000}"/>
    <cellStyle name="Normal 3 19 2 7 3 2 2" xfId="16000" xr:uid="{00000000-0005-0000-0000-00008E770000}"/>
    <cellStyle name="Normal 3 19 2 7 3 2 2 2" xfId="29568" xr:uid="{00000000-0005-0000-0000-00008F770000}"/>
    <cellStyle name="Normal 3 19 2 7 3 2 2 2 2" xfId="56701" xr:uid="{00000000-0005-0000-0000-000090770000}"/>
    <cellStyle name="Normal 3 19 2 7 3 2 2 3" xfId="43139" xr:uid="{00000000-0005-0000-0000-000091770000}"/>
    <cellStyle name="Normal 3 19 2 7 3 2 3" xfId="22787" xr:uid="{00000000-0005-0000-0000-000092770000}"/>
    <cellStyle name="Normal 3 19 2 7 3 2 3 2" xfId="49920" xr:uid="{00000000-0005-0000-0000-000093770000}"/>
    <cellStyle name="Normal 3 19 2 7 3 2 4" xfId="36358" xr:uid="{00000000-0005-0000-0000-000094770000}"/>
    <cellStyle name="Normal 3 19 2 7 3 3" xfId="12611" xr:uid="{00000000-0005-0000-0000-000095770000}"/>
    <cellStyle name="Normal 3 19 2 7 3 3 2" xfId="26179" xr:uid="{00000000-0005-0000-0000-000096770000}"/>
    <cellStyle name="Normal 3 19 2 7 3 3 2 2" xfId="53312" xr:uid="{00000000-0005-0000-0000-000097770000}"/>
    <cellStyle name="Normal 3 19 2 7 3 3 3" xfId="39750" xr:uid="{00000000-0005-0000-0000-000098770000}"/>
    <cellStyle name="Normal 3 19 2 7 3 4" xfId="19398" xr:uid="{00000000-0005-0000-0000-000099770000}"/>
    <cellStyle name="Normal 3 19 2 7 3 4 2" xfId="46531" xr:uid="{00000000-0005-0000-0000-00009A770000}"/>
    <cellStyle name="Normal 3 19 2 7 3 5" xfId="32969" xr:uid="{00000000-0005-0000-0000-00009B770000}"/>
    <cellStyle name="Normal 3 19 2 7 4" xfId="9209" xr:uid="{00000000-0005-0000-0000-00009C770000}"/>
    <cellStyle name="Normal 3 19 2 7 4 2" xfId="15998" xr:uid="{00000000-0005-0000-0000-00009D770000}"/>
    <cellStyle name="Normal 3 19 2 7 4 2 2" xfId="29566" xr:uid="{00000000-0005-0000-0000-00009E770000}"/>
    <cellStyle name="Normal 3 19 2 7 4 2 2 2" xfId="56699" xr:uid="{00000000-0005-0000-0000-00009F770000}"/>
    <cellStyle name="Normal 3 19 2 7 4 2 3" xfId="43137" xr:uid="{00000000-0005-0000-0000-0000A0770000}"/>
    <cellStyle name="Normal 3 19 2 7 4 3" xfId="22785" xr:uid="{00000000-0005-0000-0000-0000A1770000}"/>
    <cellStyle name="Normal 3 19 2 7 4 3 2" xfId="49918" xr:uid="{00000000-0005-0000-0000-0000A2770000}"/>
    <cellStyle name="Normal 3 19 2 7 4 4" xfId="36356" xr:uid="{00000000-0005-0000-0000-0000A3770000}"/>
    <cellStyle name="Normal 3 19 2 7 5" xfId="12609" xr:uid="{00000000-0005-0000-0000-0000A4770000}"/>
    <cellStyle name="Normal 3 19 2 7 5 2" xfId="26177" xr:uid="{00000000-0005-0000-0000-0000A5770000}"/>
    <cellStyle name="Normal 3 19 2 7 5 2 2" xfId="53310" xr:uid="{00000000-0005-0000-0000-0000A6770000}"/>
    <cellStyle name="Normal 3 19 2 7 5 3" xfId="39748" xr:uid="{00000000-0005-0000-0000-0000A7770000}"/>
    <cellStyle name="Normal 3 19 2 7 6" xfId="19396" xr:uid="{00000000-0005-0000-0000-0000A8770000}"/>
    <cellStyle name="Normal 3 19 2 7 6 2" xfId="46529" xr:uid="{00000000-0005-0000-0000-0000A9770000}"/>
    <cellStyle name="Normal 3 19 2 7 7" xfId="32967" xr:uid="{00000000-0005-0000-0000-0000AA770000}"/>
    <cellStyle name="Normal 3 19 2 8" xfId="5669" xr:uid="{00000000-0005-0000-0000-0000AB770000}"/>
    <cellStyle name="Normal 3 19 2 8 2" xfId="5670" xr:uid="{00000000-0005-0000-0000-0000AC770000}"/>
    <cellStyle name="Normal 3 19 2 8 2 2" xfId="9213" xr:uid="{00000000-0005-0000-0000-0000AD770000}"/>
    <cellStyle name="Normal 3 19 2 8 2 2 2" xfId="16002" xr:uid="{00000000-0005-0000-0000-0000AE770000}"/>
    <cellStyle name="Normal 3 19 2 8 2 2 2 2" xfId="29570" xr:uid="{00000000-0005-0000-0000-0000AF770000}"/>
    <cellStyle name="Normal 3 19 2 8 2 2 2 2 2" xfId="56703" xr:uid="{00000000-0005-0000-0000-0000B0770000}"/>
    <cellStyle name="Normal 3 19 2 8 2 2 2 3" xfId="43141" xr:uid="{00000000-0005-0000-0000-0000B1770000}"/>
    <cellStyle name="Normal 3 19 2 8 2 2 3" xfId="22789" xr:uid="{00000000-0005-0000-0000-0000B2770000}"/>
    <cellStyle name="Normal 3 19 2 8 2 2 3 2" xfId="49922" xr:uid="{00000000-0005-0000-0000-0000B3770000}"/>
    <cellStyle name="Normal 3 19 2 8 2 2 4" xfId="36360" xr:uid="{00000000-0005-0000-0000-0000B4770000}"/>
    <cellStyle name="Normal 3 19 2 8 2 3" xfId="12613" xr:uid="{00000000-0005-0000-0000-0000B5770000}"/>
    <cellStyle name="Normal 3 19 2 8 2 3 2" xfId="26181" xr:uid="{00000000-0005-0000-0000-0000B6770000}"/>
    <cellStyle name="Normal 3 19 2 8 2 3 2 2" xfId="53314" xr:uid="{00000000-0005-0000-0000-0000B7770000}"/>
    <cellStyle name="Normal 3 19 2 8 2 3 3" xfId="39752" xr:uid="{00000000-0005-0000-0000-0000B8770000}"/>
    <cellStyle name="Normal 3 19 2 8 2 4" xfId="19400" xr:uid="{00000000-0005-0000-0000-0000B9770000}"/>
    <cellStyle name="Normal 3 19 2 8 2 4 2" xfId="46533" xr:uid="{00000000-0005-0000-0000-0000BA770000}"/>
    <cellStyle name="Normal 3 19 2 8 2 5" xfId="32971" xr:uid="{00000000-0005-0000-0000-0000BB770000}"/>
    <cellStyle name="Normal 3 19 2 8 3" xfId="5671" xr:uid="{00000000-0005-0000-0000-0000BC770000}"/>
    <cellStyle name="Normal 3 19 2 8 3 2" xfId="9214" xr:uid="{00000000-0005-0000-0000-0000BD770000}"/>
    <cellStyle name="Normal 3 19 2 8 3 2 2" xfId="16003" xr:uid="{00000000-0005-0000-0000-0000BE770000}"/>
    <cellStyle name="Normal 3 19 2 8 3 2 2 2" xfId="29571" xr:uid="{00000000-0005-0000-0000-0000BF770000}"/>
    <cellStyle name="Normal 3 19 2 8 3 2 2 2 2" xfId="56704" xr:uid="{00000000-0005-0000-0000-0000C0770000}"/>
    <cellStyle name="Normal 3 19 2 8 3 2 2 3" xfId="43142" xr:uid="{00000000-0005-0000-0000-0000C1770000}"/>
    <cellStyle name="Normal 3 19 2 8 3 2 3" xfId="22790" xr:uid="{00000000-0005-0000-0000-0000C2770000}"/>
    <cellStyle name="Normal 3 19 2 8 3 2 3 2" xfId="49923" xr:uid="{00000000-0005-0000-0000-0000C3770000}"/>
    <cellStyle name="Normal 3 19 2 8 3 2 4" xfId="36361" xr:uid="{00000000-0005-0000-0000-0000C4770000}"/>
    <cellStyle name="Normal 3 19 2 8 3 3" xfId="12614" xr:uid="{00000000-0005-0000-0000-0000C5770000}"/>
    <cellStyle name="Normal 3 19 2 8 3 3 2" xfId="26182" xr:uid="{00000000-0005-0000-0000-0000C6770000}"/>
    <cellStyle name="Normal 3 19 2 8 3 3 2 2" xfId="53315" xr:uid="{00000000-0005-0000-0000-0000C7770000}"/>
    <cellStyle name="Normal 3 19 2 8 3 3 3" xfId="39753" xr:uid="{00000000-0005-0000-0000-0000C8770000}"/>
    <cellStyle name="Normal 3 19 2 8 3 4" xfId="19401" xr:uid="{00000000-0005-0000-0000-0000C9770000}"/>
    <cellStyle name="Normal 3 19 2 8 3 4 2" xfId="46534" xr:uid="{00000000-0005-0000-0000-0000CA770000}"/>
    <cellStyle name="Normal 3 19 2 8 3 5" xfId="32972" xr:uid="{00000000-0005-0000-0000-0000CB770000}"/>
    <cellStyle name="Normal 3 19 2 8 4" xfId="9212" xr:uid="{00000000-0005-0000-0000-0000CC770000}"/>
    <cellStyle name="Normal 3 19 2 8 4 2" xfId="16001" xr:uid="{00000000-0005-0000-0000-0000CD770000}"/>
    <cellStyle name="Normal 3 19 2 8 4 2 2" xfId="29569" xr:uid="{00000000-0005-0000-0000-0000CE770000}"/>
    <cellStyle name="Normal 3 19 2 8 4 2 2 2" xfId="56702" xr:uid="{00000000-0005-0000-0000-0000CF770000}"/>
    <cellStyle name="Normal 3 19 2 8 4 2 3" xfId="43140" xr:uid="{00000000-0005-0000-0000-0000D0770000}"/>
    <cellStyle name="Normal 3 19 2 8 4 3" xfId="22788" xr:uid="{00000000-0005-0000-0000-0000D1770000}"/>
    <cellStyle name="Normal 3 19 2 8 4 3 2" xfId="49921" xr:uid="{00000000-0005-0000-0000-0000D2770000}"/>
    <cellStyle name="Normal 3 19 2 8 4 4" xfId="36359" xr:uid="{00000000-0005-0000-0000-0000D3770000}"/>
    <cellStyle name="Normal 3 19 2 8 5" xfId="12612" xr:uid="{00000000-0005-0000-0000-0000D4770000}"/>
    <cellStyle name="Normal 3 19 2 8 5 2" xfId="26180" xr:uid="{00000000-0005-0000-0000-0000D5770000}"/>
    <cellStyle name="Normal 3 19 2 8 5 2 2" xfId="53313" xr:uid="{00000000-0005-0000-0000-0000D6770000}"/>
    <cellStyle name="Normal 3 19 2 8 5 3" xfId="39751" xr:uid="{00000000-0005-0000-0000-0000D7770000}"/>
    <cellStyle name="Normal 3 19 2 8 6" xfId="19399" xr:uid="{00000000-0005-0000-0000-0000D8770000}"/>
    <cellStyle name="Normal 3 19 2 8 6 2" xfId="46532" xr:uid="{00000000-0005-0000-0000-0000D9770000}"/>
    <cellStyle name="Normal 3 19 2 8 7" xfId="32970" xr:uid="{00000000-0005-0000-0000-0000DA770000}"/>
    <cellStyle name="Normal 3 19 2 9" xfId="5672" xr:uid="{00000000-0005-0000-0000-0000DB770000}"/>
    <cellStyle name="Normal 3 19 2 9 2" xfId="9215" xr:uid="{00000000-0005-0000-0000-0000DC770000}"/>
    <cellStyle name="Normal 3 19 2 9 2 2" xfId="16004" xr:uid="{00000000-0005-0000-0000-0000DD770000}"/>
    <cellStyle name="Normal 3 19 2 9 2 2 2" xfId="29572" xr:uid="{00000000-0005-0000-0000-0000DE770000}"/>
    <cellStyle name="Normal 3 19 2 9 2 2 2 2" xfId="56705" xr:uid="{00000000-0005-0000-0000-0000DF770000}"/>
    <cellStyle name="Normal 3 19 2 9 2 2 3" xfId="43143" xr:uid="{00000000-0005-0000-0000-0000E0770000}"/>
    <cellStyle name="Normal 3 19 2 9 2 3" xfId="22791" xr:uid="{00000000-0005-0000-0000-0000E1770000}"/>
    <cellStyle name="Normal 3 19 2 9 2 3 2" xfId="49924" xr:uid="{00000000-0005-0000-0000-0000E2770000}"/>
    <cellStyle name="Normal 3 19 2 9 2 4" xfId="36362" xr:uid="{00000000-0005-0000-0000-0000E3770000}"/>
    <cellStyle name="Normal 3 19 2 9 3" xfId="12615" xr:uid="{00000000-0005-0000-0000-0000E4770000}"/>
    <cellStyle name="Normal 3 19 2 9 3 2" xfId="26183" xr:uid="{00000000-0005-0000-0000-0000E5770000}"/>
    <cellStyle name="Normal 3 19 2 9 3 2 2" xfId="53316" xr:uid="{00000000-0005-0000-0000-0000E6770000}"/>
    <cellStyle name="Normal 3 19 2 9 3 3" xfId="39754" xr:uid="{00000000-0005-0000-0000-0000E7770000}"/>
    <cellStyle name="Normal 3 19 2 9 4" xfId="19402" xr:uid="{00000000-0005-0000-0000-0000E8770000}"/>
    <cellStyle name="Normal 3 19 2 9 4 2" xfId="46535" xr:uid="{00000000-0005-0000-0000-0000E9770000}"/>
    <cellStyle name="Normal 3 19 2 9 5" xfId="32973" xr:uid="{00000000-0005-0000-0000-0000EA770000}"/>
    <cellStyle name="Normal 3 19 3" xfId="5673" xr:uid="{00000000-0005-0000-0000-0000EB770000}"/>
    <cellStyle name="Normal 3 19 3 10" xfId="9216" xr:uid="{00000000-0005-0000-0000-0000EC770000}"/>
    <cellStyle name="Normal 3 19 3 10 2" xfId="16005" xr:uid="{00000000-0005-0000-0000-0000ED770000}"/>
    <cellStyle name="Normal 3 19 3 10 2 2" xfId="29573" xr:uid="{00000000-0005-0000-0000-0000EE770000}"/>
    <cellStyle name="Normal 3 19 3 10 2 2 2" xfId="56706" xr:uid="{00000000-0005-0000-0000-0000EF770000}"/>
    <cellStyle name="Normal 3 19 3 10 2 3" xfId="43144" xr:uid="{00000000-0005-0000-0000-0000F0770000}"/>
    <cellStyle name="Normal 3 19 3 10 3" xfId="22792" xr:uid="{00000000-0005-0000-0000-0000F1770000}"/>
    <cellStyle name="Normal 3 19 3 10 3 2" xfId="49925" xr:uid="{00000000-0005-0000-0000-0000F2770000}"/>
    <cellStyle name="Normal 3 19 3 10 4" xfId="36363" xr:uid="{00000000-0005-0000-0000-0000F3770000}"/>
    <cellStyle name="Normal 3 19 3 11" xfId="12616" xr:uid="{00000000-0005-0000-0000-0000F4770000}"/>
    <cellStyle name="Normal 3 19 3 11 2" xfId="26184" xr:uid="{00000000-0005-0000-0000-0000F5770000}"/>
    <cellStyle name="Normal 3 19 3 11 2 2" xfId="53317" xr:uid="{00000000-0005-0000-0000-0000F6770000}"/>
    <cellStyle name="Normal 3 19 3 11 3" xfId="39755" xr:uid="{00000000-0005-0000-0000-0000F7770000}"/>
    <cellStyle name="Normal 3 19 3 12" xfId="19403" xr:uid="{00000000-0005-0000-0000-0000F8770000}"/>
    <cellStyle name="Normal 3 19 3 12 2" xfId="46536" xr:uid="{00000000-0005-0000-0000-0000F9770000}"/>
    <cellStyle name="Normal 3 19 3 13" xfId="32974" xr:uid="{00000000-0005-0000-0000-0000FA770000}"/>
    <cellStyle name="Normal 3 19 3 2" xfId="5674" xr:uid="{00000000-0005-0000-0000-0000FB770000}"/>
    <cellStyle name="Normal 3 19 3 2 10" xfId="32975" xr:uid="{00000000-0005-0000-0000-0000FC770000}"/>
    <cellStyle name="Normal 3 19 3 2 2" xfId="5675" xr:uid="{00000000-0005-0000-0000-0000FD770000}"/>
    <cellStyle name="Normal 3 19 3 2 2 2" xfId="5676" xr:uid="{00000000-0005-0000-0000-0000FE770000}"/>
    <cellStyle name="Normal 3 19 3 2 2 2 2" xfId="5677" xr:uid="{00000000-0005-0000-0000-0000FF770000}"/>
    <cellStyle name="Normal 3 19 3 2 2 2 2 2" xfId="9220" xr:uid="{00000000-0005-0000-0000-000000780000}"/>
    <cellStyle name="Normal 3 19 3 2 2 2 2 2 2" xfId="16009" xr:uid="{00000000-0005-0000-0000-000001780000}"/>
    <cellStyle name="Normal 3 19 3 2 2 2 2 2 2 2" xfId="29577" xr:uid="{00000000-0005-0000-0000-000002780000}"/>
    <cellStyle name="Normal 3 19 3 2 2 2 2 2 2 2 2" xfId="56710" xr:uid="{00000000-0005-0000-0000-000003780000}"/>
    <cellStyle name="Normal 3 19 3 2 2 2 2 2 2 3" xfId="43148" xr:uid="{00000000-0005-0000-0000-000004780000}"/>
    <cellStyle name="Normal 3 19 3 2 2 2 2 2 3" xfId="22796" xr:uid="{00000000-0005-0000-0000-000005780000}"/>
    <cellStyle name="Normal 3 19 3 2 2 2 2 2 3 2" xfId="49929" xr:uid="{00000000-0005-0000-0000-000006780000}"/>
    <cellStyle name="Normal 3 19 3 2 2 2 2 2 4" xfId="36367" xr:uid="{00000000-0005-0000-0000-000007780000}"/>
    <cellStyle name="Normal 3 19 3 2 2 2 2 3" xfId="12620" xr:uid="{00000000-0005-0000-0000-000008780000}"/>
    <cellStyle name="Normal 3 19 3 2 2 2 2 3 2" xfId="26188" xr:uid="{00000000-0005-0000-0000-000009780000}"/>
    <cellStyle name="Normal 3 19 3 2 2 2 2 3 2 2" xfId="53321" xr:uid="{00000000-0005-0000-0000-00000A780000}"/>
    <cellStyle name="Normal 3 19 3 2 2 2 2 3 3" xfId="39759" xr:uid="{00000000-0005-0000-0000-00000B780000}"/>
    <cellStyle name="Normal 3 19 3 2 2 2 2 4" xfId="19407" xr:uid="{00000000-0005-0000-0000-00000C780000}"/>
    <cellStyle name="Normal 3 19 3 2 2 2 2 4 2" xfId="46540" xr:uid="{00000000-0005-0000-0000-00000D780000}"/>
    <cellStyle name="Normal 3 19 3 2 2 2 2 5" xfId="32978" xr:uid="{00000000-0005-0000-0000-00000E780000}"/>
    <cellStyle name="Normal 3 19 3 2 2 2 3" xfId="5678" xr:uid="{00000000-0005-0000-0000-00000F780000}"/>
    <cellStyle name="Normal 3 19 3 2 2 2 3 2" xfId="9221" xr:uid="{00000000-0005-0000-0000-000010780000}"/>
    <cellStyle name="Normal 3 19 3 2 2 2 3 2 2" xfId="16010" xr:uid="{00000000-0005-0000-0000-000011780000}"/>
    <cellStyle name="Normal 3 19 3 2 2 2 3 2 2 2" xfId="29578" xr:uid="{00000000-0005-0000-0000-000012780000}"/>
    <cellStyle name="Normal 3 19 3 2 2 2 3 2 2 2 2" xfId="56711" xr:uid="{00000000-0005-0000-0000-000013780000}"/>
    <cellStyle name="Normal 3 19 3 2 2 2 3 2 2 3" xfId="43149" xr:uid="{00000000-0005-0000-0000-000014780000}"/>
    <cellStyle name="Normal 3 19 3 2 2 2 3 2 3" xfId="22797" xr:uid="{00000000-0005-0000-0000-000015780000}"/>
    <cellStyle name="Normal 3 19 3 2 2 2 3 2 3 2" xfId="49930" xr:uid="{00000000-0005-0000-0000-000016780000}"/>
    <cellStyle name="Normal 3 19 3 2 2 2 3 2 4" xfId="36368" xr:uid="{00000000-0005-0000-0000-000017780000}"/>
    <cellStyle name="Normal 3 19 3 2 2 2 3 3" xfId="12621" xr:uid="{00000000-0005-0000-0000-000018780000}"/>
    <cellStyle name="Normal 3 19 3 2 2 2 3 3 2" xfId="26189" xr:uid="{00000000-0005-0000-0000-000019780000}"/>
    <cellStyle name="Normal 3 19 3 2 2 2 3 3 2 2" xfId="53322" xr:uid="{00000000-0005-0000-0000-00001A780000}"/>
    <cellStyle name="Normal 3 19 3 2 2 2 3 3 3" xfId="39760" xr:uid="{00000000-0005-0000-0000-00001B780000}"/>
    <cellStyle name="Normal 3 19 3 2 2 2 3 4" xfId="19408" xr:uid="{00000000-0005-0000-0000-00001C780000}"/>
    <cellStyle name="Normal 3 19 3 2 2 2 3 4 2" xfId="46541" xr:uid="{00000000-0005-0000-0000-00001D780000}"/>
    <cellStyle name="Normal 3 19 3 2 2 2 3 5" xfId="32979" xr:uid="{00000000-0005-0000-0000-00001E780000}"/>
    <cellStyle name="Normal 3 19 3 2 2 2 4" xfId="9219" xr:uid="{00000000-0005-0000-0000-00001F780000}"/>
    <cellStyle name="Normal 3 19 3 2 2 2 4 2" xfId="16008" xr:uid="{00000000-0005-0000-0000-000020780000}"/>
    <cellStyle name="Normal 3 19 3 2 2 2 4 2 2" xfId="29576" xr:uid="{00000000-0005-0000-0000-000021780000}"/>
    <cellStyle name="Normal 3 19 3 2 2 2 4 2 2 2" xfId="56709" xr:uid="{00000000-0005-0000-0000-000022780000}"/>
    <cellStyle name="Normal 3 19 3 2 2 2 4 2 3" xfId="43147" xr:uid="{00000000-0005-0000-0000-000023780000}"/>
    <cellStyle name="Normal 3 19 3 2 2 2 4 3" xfId="22795" xr:uid="{00000000-0005-0000-0000-000024780000}"/>
    <cellStyle name="Normal 3 19 3 2 2 2 4 3 2" xfId="49928" xr:uid="{00000000-0005-0000-0000-000025780000}"/>
    <cellStyle name="Normal 3 19 3 2 2 2 4 4" xfId="36366" xr:uid="{00000000-0005-0000-0000-000026780000}"/>
    <cellStyle name="Normal 3 19 3 2 2 2 5" xfId="12619" xr:uid="{00000000-0005-0000-0000-000027780000}"/>
    <cellStyle name="Normal 3 19 3 2 2 2 5 2" xfId="26187" xr:uid="{00000000-0005-0000-0000-000028780000}"/>
    <cellStyle name="Normal 3 19 3 2 2 2 5 2 2" xfId="53320" xr:uid="{00000000-0005-0000-0000-000029780000}"/>
    <cellStyle name="Normal 3 19 3 2 2 2 5 3" xfId="39758" xr:uid="{00000000-0005-0000-0000-00002A780000}"/>
    <cellStyle name="Normal 3 19 3 2 2 2 6" xfId="19406" xr:uid="{00000000-0005-0000-0000-00002B780000}"/>
    <cellStyle name="Normal 3 19 3 2 2 2 6 2" xfId="46539" xr:uid="{00000000-0005-0000-0000-00002C780000}"/>
    <cellStyle name="Normal 3 19 3 2 2 2 7" xfId="32977" xr:uid="{00000000-0005-0000-0000-00002D780000}"/>
    <cellStyle name="Normal 3 19 3 2 2 3" xfId="5679" xr:uid="{00000000-0005-0000-0000-00002E780000}"/>
    <cellStyle name="Normal 3 19 3 2 2 3 2" xfId="5680" xr:uid="{00000000-0005-0000-0000-00002F780000}"/>
    <cellStyle name="Normal 3 19 3 2 2 3 2 2" xfId="9223" xr:uid="{00000000-0005-0000-0000-000030780000}"/>
    <cellStyle name="Normal 3 19 3 2 2 3 2 2 2" xfId="16012" xr:uid="{00000000-0005-0000-0000-000031780000}"/>
    <cellStyle name="Normal 3 19 3 2 2 3 2 2 2 2" xfId="29580" xr:uid="{00000000-0005-0000-0000-000032780000}"/>
    <cellStyle name="Normal 3 19 3 2 2 3 2 2 2 2 2" xfId="56713" xr:uid="{00000000-0005-0000-0000-000033780000}"/>
    <cellStyle name="Normal 3 19 3 2 2 3 2 2 2 3" xfId="43151" xr:uid="{00000000-0005-0000-0000-000034780000}"/>
    <cellStyle name="Normal 3 19 3 2 2 3 2 2 3" xfId="22799" xr:uid="{00000000-0005-0000-0000-000035780000}"/>
    <cellStyle name="Normal 3 19 3 2 2 3 2 2 3 2" xfId="49932" xr:uid="{00000000-0005-0000-0000-000036780000}"/>
    <cellStyle name="Normal 3 19 3 2 2 3 2 2 4" xfId="36370" xr:uid="{00000000-0005-0000-0000-000037780000}"/>
    <cellStyle name="Normal 3 19 3 2 2 3 2 3" xfId="12623" xr:uid="{00000000-0005-0000-0000-000038780000}"/>
    <cellStyle name="Normal 3 19 3 2 2 3 2 3 2" xfId="26191" xr:uid="{00000000-0005-0000-0000-000039780000}"/>
    <cellStyle name="Normal 3 19 3 2 2 3 2 3 2 2" xfId="53324" xr:uid="{00000000-0005-0000-0000-00003A780000}"/>
    <cellStyle name="Normal 3 19 3 2 2 3 2 3 3" xfId="39762" xr:uid="{00000000-0005-0000-0000-00003B780000}"/>
    <cellStyle name="Normal 3 19 3 2 2 3 2 4" xfId="19410" xr:uid="{00000000-0005-0000-0000-00003C780000}"/>
    <cellStyle name="Normal 3 19 3 2 2 3 2 4 2" xfId="46543" xr:uid="{00000000-0005-0000-0000-00003D780000}"/>
    <cellStyle name="Normal 3 19 3 2 2 3 2 5" xfId="32981" xr:uid="{00000000-0005-0000-0000-00003E780000}"/>
    <cellStyle name="Normal 3 19 3 2 2 3 3" xfId="9222" xr:uid="{00000000-0005-0000-0000-00003F780000}"/>
    <cellStyle name="Normal 3 19 3 2 2 3 3 2" xfId="16011" xr:uid="{00000000-0005-0000-0000-000040780000}"/>
    <cellStyle name="Normal 3 19 3 2 2 3 3 2 2" xfId="29579" xr:uid="{00000000-0005-0000-0000-000041780000}"/>
    <cellStyle name="Normal 3 19 3 2 2 3 3 2 2 2" xfId="56712" xr:uid="{00000000-0005-0000-0000-000042780000}"/>
    <cellStyle name="Normal 3 19 3 2 2 3 3 2 3" xfId="43150" xr:uid="{00000000-0005-0000-0000-000043780000}"/>
    <cellStyle name="Normal 3 19 3 2 2 3 3 3" xfId="22798" xr:uid="{00000000-0005-0000-0000-000044780000}"/>
    <cellStyle name="Normal 3 19 3 2 2 3 3 3 2" xfId="49931" xr:uid="{00000000-0005-0000-0000-000045780000}"/>
    <cellStyle name="Normal 3 19 3 2 2 3 3 4" xfId="36369" xr:uid="{00000000-0005-0000-0000-000046780000}"/>
    <cellStyle name="Normal 3 19 3 2 2 3 4" xfId="12622" xr:uid="{00000000-0005-0000-0000-000047780000}"/>
    <cellStyle name="Normal 3 19 3 2 2 3 4 2" xfId="26190" xr:uid="{00000000-0005-0000-0000-000048780000}"/>
    <cellStyle name="Normal 3 19 3 2 2 3 4 2 2" xfId="53323" xr:uid="{00000000-0005-0000-0000-000049780000}"/>
    <cellStyle name="Normal 3 19 3 2 2 3 4 3" xfId="39761" xr:uid="{00000000-0005-0000-0000-00004A780000}"/>
    <cellStyle name="Normal 3 19 3 2 2 3 5" xfId="19409" xr:uid="{00000000-0005-0000-0000-00004B780000}"/>
    <cellStyle name="Normal 3 19 3 2 2 3 5 2" xfId="46542" xr:uid="{00000000-0005-0000-0000-00004C780000}"/>
    <cellStyle name="Normal 3 19 3 2 2 3 6" xfId="32980" xr:uid="{00000000-0005-0000-0000-00004D780000}"/>
    <cellStyle name="Normal 3 19 3 2 2 4" xfId="5681" xr:uid="{00000000-0005-0000-0000-00004E780000}"/>
    <cellStyle name="Normal 3 19 3 2 2 4 2" xfId="9224" xr:uid="{00000000-0005-0000-0000-00004F780000}"/>
    <cellStyle name="Normal 3 19 3 2 2 4 2 2" xfId="16013" xr:uid="{00000000-0005-0000-0000-000050780000}"/>
    <cellStyle name="Normal 3 19 3 2 2 4 2 2 2" xfId="29581" xr:uid="{00000000-0005-0000-0000-000051780000}"/>
    <cellStyle name="Normal 3 19 3 2 2 4 2 2 2 2" xfId="56714" xr:uid="{00000000-0005-0000-0000-000052780000}"/>
    <cellStyle name="Normal 3 19 3 2 2 4 2 2 3" xfId="43152" xr:uid="{00000000-0005-0000-0000-000053780000}"/>
    <cellStyle name="Normal 3 19 3 2 2 4 2 3" xfId="22800" xr:uid="{00000000-0005-0000-0000-000054780000}"/>
    <cellStyle name="Normal 3 19 3 2 2 4 2 3 2" xfId="49933" xr:uid="{00000000-0005-0000-0000-000055780000}"/>
    <cellStyle name="Normal 3 19 3 2 2 4 2 4" xfId="36371" xr:uid="{00000000-0005-0000-0000-000056780000}"/>
    <cellStyle name="Normal 3 19 3 2 2 4 3" xfId="12624" xr:uid="{00000000-0005-0000-0000-000057780000}"/>
    <cellStyle name="Normal 3 19 3 2 2 4 3 2" xfId="26192" xr:uid="{00000000-0005-0000-0000-000058780000}"/>
    <cellStyle name="Normal 3 19 3 2 2 4 3 2 2" xfId="53325" xr:uid="{00000000-0005-0000-0000-000059780000}"/>
    <cellStyle name="Normal 3 19 3 2 2 4 3 3" xfId="39763" xr:uid="{00000000-0005-0000-0000-00005A780000}"/>
    <cellStyle name="Normal 3 19 3 2 2 4 4" xfId="19411" xr:uid="{00000000-0005-0000-0000-00005B780000}"/>
    <cellStyle name="Normal 3 19 3 2 2 4 4 2" xfId="46544" xr:uid="{00000000-0005-0000-0000-00005C780000}"/>
    <cellStyle name="Normal 3 19 3 2 2 4 5" xfId="32982" xr:uid="{00000000-0005-0000-0000-00005D780000}"/>
    <cellStyle name="Normal 3 19 3 2 2 5" xfId="5682" xr:uid="{00000000-0005-0000-0000-00005E780000}"/>
    <cellStyle name="Normal 3 19 3 2 2 5 2" xfId="9225" xr:uid="{00000000-0005-0000-0000-00005F780000}"/>
    <cellStyle name="Normal 3 19 3 2 2 5 2 2" xfId="16014" xr:uid="{00000000-0005-0000-0000-000060780000}"/>
    <cellStyle name="Normal 3 19 3 2 2 5 2 2 2" xfId="29582" xr:uid="{00000000-0005-0000-0000-000061780000}"/>
    <cellStyle name="Normal 3 19 3 2 2 5 2 2 2 2" xfId="56715" xr:uid="{00000000-0005-0000-0000-000062780000}"/>
    <cellStyle name="Normal 3 19 3 2 2 5 2 2 3" xfId="43153" xr:uid="{00000000-0005-0000-0000-000063780000}"/>
    <cellStyle name="Normal 3 19 3 2 2 5 2 3" xfId="22801" xr:uid="{00000000-0005-0000-0000-000064780000}"/>
    <cellStyle name="Normal 3 19 3 2 2 5 2 3 2" xfId="49934" xr:uid="{00000000-0005-0000-0000-000065780000}"/>
    <cellStyle name="Normal 3 19 3 2 2 5 2 4" xfId="36372" xr:uid="{00000000-0005-0000-0000-000066780000}"/>
    <cellStyle name="Normal 3 19 3 2 2 5 3" xfId="12625" xr:uid="{00000000-0005-0000-0000-000067780000}"/>
    <cellStyle name="Normal 3 19 3 2 2 5 3 2" xfId="26193" xr:uid="{00000000-0005-0000-0000-000068780000}"/>
    <cellStyle name="Normal 3 19 3 2 2 5 3 2 2" xfId="53326" xr:uid="{00000000-0005-0000-0000-000069780000}"/>
    <cellStyle name="Normal 3 19 3 2 2 5 3 3" xfId="39764" xr:uid="{00000000-0005-0000-0000-00006A780000}"/>
    <cellStyle name="Normal 3 19 3 2 2 5 4" xfId="19412" xr:uid="{00000000-0005-0000-0000-00006B780000}"/>
    <cellStyle name="Normal 3 19 3 2 2 5 4 2" xfId="46545" xr:uid="{00000000-0005-0000-0000-00006C780000}"/>
    <cellStyle name="Normal 3 19 3 2 2 5 5" xfId="32983" xr:uid="{00000000-0005-0000-0000-00006D780000}"/>
    <cellStyle name="Normal 3 19 3 2 2 6" xfId="9218" xr:uid="{00000000-0005-0000-0000-00006E780000}"/>
    <cellStyle name="Normal 3 19 3 2 2 6 2" xfId="16007" xr:uid="{00000000-0005-0000-0000-00006F780000}"/>
    <cellStyle name="Normal 3 19 3 2 2 6 2 2" xfId="29575" xr:uid="{00000000-0005-0000-0000-000070780000}"/>
    <cellStyle name="Normal 3 19 3 2 2 6 2 2 2" xfId="56708" xr:uid="{00000000-0005-0000-0000-000071780000}"/>
    <cellStyle name="Normal 3 19 3 2 2 6 2 3" xfId="43146" xr:uid="{00000000-0005-0000-0000-000072780000}"/>
    <cellStyle name="Normal 3 19 3 2 2 6 3" xfId="22794" xr:uid="{00000000-0005-0000-0000-000073780000}"/>
    <cellStyle name="Normal 3 19 3 2 2 6 3 2" xfId="49927" xr:uid="{00000000-0005-0000-0000-000074780000}"/>
    <cellStyle name="Normal 3 19 3 2 2 6 4" xfId="36365" xr:uid="{00000000-0005-0000-0000-000075780000}"/>
    <cellStyle name="Normal 3 19 3 2 2 7" xfId="12618" xr:uid="{00000000-0005-0000-0000-000076780000}"/>
    <cellStyle name="Normal 3 19 3 2 2 7 2" xfId="26186" xr:uid="{00000000-0005-0000-0000-000077780000}"/>
    <cellStyle name="Normal 3 19 3 2 2 7 2 2" xfId="53319" xr:uid="{00000000-0005-0000-0000-000078780000}"/>
    <cellStyle name="Normal 3 19 3 2 2 7 3" xfId="39757" xr:uid="{00000000-0005-0000-0000-000079780000}"/>
    <cellStyle name="Normal 3 19 3 2 2 8" xfId="19405" xr:uid="{00000000-0005-0000-0000-00007A780000}"/>
    <cellStyle name="Normal 3 19 3 2 2 8 2" xfId="46538" xr:uid="{00000000-0005-0000-0000-00007B780000}"/>
    <cellStyle name="Normal 3 19 3 2 2 9" xfId="32976" xr:uid="{00000000-0005-0000-0000-00007C780000}"/>
    <cellStyle name="Normal 3 19 3 2 3" xfId="5683" xr:uid="{00000000-0005-0000-0000-00007D780000}"/>
    <cellStyle name="Normal 3 19 3 2 3 2" xfId="5684" xr:uid="{00000000-0005-0000-0000-00007E780000}"/>
    <cellStyle name="Normal 3 19 3 2 3 2 2" xfId="9227" xr:uid="{00000000-0005-0000-0000-00007F780000}"/>
    <cellStyle name="Normal 3 19 3 2 3 2 2 2" xfId="16016" xr:uid="{00000000-0005-0000-0000-000080780000}"/>
    <cellStyle name="Normal 3 19 3 2 3 2 2 2 2" xfId="29584" xr:uid="{00000000-0005-0000-0000-000081780000}"/>
    <cellStyle name="Normal 3 19 3 2 3 2 2 2 2 2" xfId="56717" xr:uid="{00000000-0005-0000-0000-000082780000}"/>
    <cellStyle name="Normal 3 19 3 2 3 2 2 2 3" xfId="43155" xr:uid="{00000000-0005-0000-0000-000083780000}"/>
    <cellStyle name="Normal 3 19 3 2 3 2 2 3" xfId="22803" xr:uid="{00000000-0005-0000-0000-000084780000}"/>
    <cellStyle name="Normal 3 19 3 2 3 2 2 3 2" xfId="49936" xr:uid="{00000000-0005-0000-0000-000085780000}"/>
    <cellStyle name="Normal 3 19 3 2 3 2 2 4" xfId="36374" xr:uid="{00000000-0005-0000-0000-000086780000}"/>
    <cellStyle name="Normal 3 19 3 2 3 2 3" xfId="12627" xr:uid="{00000000-0005-0000-0000-000087780000}"/>
    <cellStyle name="Normal 3 19 3 2 3 2 3 2" xfId="26195" xr:uid="{00000000-0005-0000-0000-000088780000}"/>
    <cellStyle name="Normal 3 19 3 2 3 2 3 2 2" xfId="53328" xr:uid="{00000000-0005-0000-0000-000089780000}"/>
    <cellStyle name="Normal 3 19 3 2 3 2 3 3" xfId="39766" xr:uid="{00000000-0005-0000-0000-00008A780000}"/>
    <cellStyle name="Normal 3 19 3 2 3 2 4" xfId="19414" xr:uid="{00000000-0005-0000-0000-00008B780000}"/>
    <cellStyle name="Normal 3 19 3 2 3 2 4 2" xfId="46547" xr:uid="{00000000-0005-0000-0000-00008C780000}"/>
    <cellStyle name="Normal 3 19 3 2 3 2 5" xfId="32985" xr:uid="{00000000-0005-0000-0000-00008D780000}"/>
    <cellStyle name="Normal 3 19 3 2 3 3" xfId="5685" xr:uid="{00000000-0005-0000-0000-00008E780000}"/>
    <cellStyle name="Normal 3 19 3 2 3 3 2" xfId="9228" xr:uid="{00000000-0005-0000-0000-00008F780000}"/>
    <cellStyle name="Normal 3 19 3 2 3 3 2 2" xfId="16017" xr:uid="{00000000-0005-0000-0000-000090780000}"/>
    <cellStyle name="Normal 3 19 3 2 3 3 2 2 2" xfId="29585" xr:uid="{00000000-0005-0000-0000-000091780000}"/>
    <cellStyle name="Normal 3 19 3 2 3 3 2 2 2 2" xfId="56718" xr:uid="{00000000-0005-0000-0000-000092780000}"/>
    <cellStyle name="Normal 3 19 3 2 3 3 2 2 3" xfId="43156" xr:uid="{00000000-0005-0000-0000-000093780000}"/>
    <cellStyle name="Normal 3 19 3 2 3 3 2 3" xfId="22804" xr:uid="{00000000-0005-0000-0000-000094780000}"/>
    <cellStyle name="Normal 3 19 3 2 3 3 2 3 2" xfId="49937" xr:uid="{00000000-0005-0000-0000-000095780000}"/>
    <cellStyle name="Normal 3 19 3 2 3 3 2 4" xfId="36375" xr:uid="{00000000-0005-0000-0000-000096780000}"/>
    <cellStyle name="Normal 3 19 3 2 3 3 3" xfId="12628" xr:uid="{00000000-0005-0000-0000-000097780000}"/>
    <cellStyle name="Normal 3 19 3 2 3 3 3 2" xfId="26196" xr:uid="{00000000-0005-0000-0000-000098780000}"/>
    <cellStyle name="Normal 3 19 3 2 3 3 3 2 2" xfId="53329" xr:uid="{00000000-0005-0000-0000-000099780000}"/>
    <cellStyle name="Normal 3 19 3 2 3 3 3 3" xfId="39767" xr:uid="{00000000-0005-0000-0000-00009A780000}"/>
    <cellStyle name="Normal 3 19 3 2 3 3 4" xfId="19415" xr:uid="{00000000-0005-0000-0000-00009B780000}"/>
    <cellStyle name="Normal 3 19 3 2 3 3 4 2" xfId="46548" xr:uid="{00000000-0005-0000-0000-00009C780000}"/>
    <cellStyle name="Normal 3 19 3 2 3 3 5" xfId="32986" xr:uid="{00000000-0005-0000-0000-00009D780000}"/>
    <cellStyle name="Normal 3 19 3 2 3 4" xfId="9226" xr:uid="{00000000-0005-0000-0000-00009E780000}"/>
    <cellStyle name="Normal 3 19 3 2 3 4 2" xfId="16015" xr:uid="{00000000-0005-0000-0000-00009F780000}"/>
    <cellStyle name="Normal 3 19 3 2 3 4 2 2" xfId="29583" xr:uid="{00000000-0005-0000-0000-0000A0780000}"/>
    <cellStyle name="Normal 3 19 3 2 3 4 2 2 2" xfId="56716" xr:uid="{00000000-0005-0000-0000-0000A1780000}"/>
    <cellStyle name="Normal 3 19 3 2 3 4 2 3" xfId="43154" xr:uid="{00000000-0005-0000-0000-0000A2780000}"/>
    <cellStyle name="Normal 3 19 3 2 3 4 3" xfId="22802" xr:uid="{00000000-0005-0000-0000-0000A3780000}"/>
    <cellStyle name="Normal 3 19 3 2 3 4 3 2" xfId="49935" xr:uid="{00000000-0005-0000-0000-0000A4780000}"/>
    <cellStyle name="Normal 3 19 3 2 3 4 4" xfId="36373" xr:uid="{00000000-0005-0000-0000-0000A5780000}"/>
    <cellStyle name="Normal 3 19 3 2 3 5" xfId="12626" xr:uid="{00000000-0005-0000-0000-0000A6780000}"/>
    <cellStyle name="Normal 3 19 3 2 3 5 2" xfId="26194" xr:uid="{00000000-0005-0000-0000-0000A7780000}"/>
    <cellStyle name="Normal 3 19 3 2 3 5 2 2" xfId="53327" xr:uid="{00000000-0005-0000-0000-0000A8780000}"/>
    <cellStyle name="Normal 3 19 3 2 3 5 3" xfId="39765" xr:uid="{00000000-0005-0000-0000-0000A9780000}"/>
    <cellStyle name="Normal 3 19 3 2 3 6" xfId="19413" xr:uid="{00000000-0005-0000-0000-0000AA780000}"/>
    <cellStyle name="Normal 3 19 3 2 3 6 2" xfId="46546" xr:uid="{00000000-0005-0000-0000-0000AB780000}"/>
    <cellStyle name="Normal 3 19 3 2 3 7" xfId="32984" xr:uid="{00000000-0005-0000-0000-0000AC780000}"/>
    <cellStyle name="Normal 3 19 3 2 4" xfId="5686" xr:uid="{00000000-0005-0000-0000-0000AD780000}"/>
    <cellStyle name="Normal 3 19 3 2 4 2" xfId="5687" xr:uid="{00000000-0005-0000-0000-0000AE780000}"/>
    <cellStyle name="Normal 3 19 3 2 4 2 2" xfId="9230" xr:uid="{00000000-0005-0000-0000-0000AF780000}"/>
    <cellStyle name="Normal 3 19 3 2 4 2 2 2" xfId="16019" xr:uid="{00000000-0005-0000-0000-0000B0780000}"/>
    <cellStyle name="Normal 3 19 3 2 4 2 2 2 2" xfId="29587" xr:uid="{00000000-0005-0000-0000-0000B1780000}"/>
    <cellStyle name="Normal 3 19 3 2 4 2 2 2 2 2" xfId="56720" xr:uid="{00000000-0005-0000-0000-0000B2780000}"/>
    <cellStyle name="Normal 3 19 3 2 4 2 2 2 3" xfId="43158" xr:uid="{00000000-0005-0000-0000-0000B3780000}"/>
    <cellStyle name="Normal 3 19 3 2 4 2 2 3" xfId="22806" xr:uid="{00000000-0005-0000-0000-0000B4780000}"/>
    <cellStyle name="Normal 3 19 3 2 4 2 2 3 2" xfId="49939" xr:uid="{00000000-0005-0000-0000-0000B5780000}"/>
    <cellStyle name="Normal 3 19 3 2 4 2 2 4" xfId="36377" xr:uid="{00000000-0005-0000-0000-0000B6780000}"/>
    <cellStyle name="Normal 3 19 3 2 4 2 3" xfId="12630" xr:uid="{00000000-0005-0000-0000-0000B7780000}"/>
    <cellStyle name="Normal 3 19 3 2 4 2 3 2" xfId="26198" xr:uid="{00000000-0005-0000-0000-0000B8780000}"/>
    <cellStyle name="Normal 3 19 3 2 4 2 3 2 2" xfId="53331" xr:uid="{00000000-0005-0000-0000-0000B9780000}"/>
    <cellStyle name="Normal 3 19 3 2 4 2 3 3" xfId="39769" xr:uid="{00000000-0005-0000-0000-0000BA780000}"/>
    <cellStyle name="Normal 3 19 3 2 4 2 4" xfId="19417" xr:uid="{00000000-0005-0000-0000-0000BB780000}"/>
    <cellStyle name="Normal 3 19 3 2 4 2 4 2" xfId="46550" xr:uid="{00000000-0005-0000-0000-0000BC780000}"/>
    <cellStyle name="Normal 3 19 3 2 4 2 5" xfId="32988" xr:uid="{00000000-0005-0000-0000-0000BD780000}"/>
    <cellStyle name="Normal 3 19 3 2 4 3" xfId="9229" xr:uid="{00000000-0005-0000-0000-0000BE780000}"/>
    <cellStyle name="Normal 3 19 3 2 4 3 2" xfId="16018" xr:uid="{00000000-0005-0000-0000-0000BF780000}"/>
    <cellStyle name="Normal 3 19 3 2 4 3 2 2" xfId="29586" xr:uid="{00000000-0005-0000-0000-0000C0780000}"/>
    <cellStyle name="Normal 3 19 3 2 4 3 2 2 2" xfId="56719" xr:uid="{00000000-0005-0000-0000-0000C1780000}"/>
    <cellStyle name="Normal 3 19 3 2 4 3 2 3" xfId="43157" xr:uid="{00000000-0005-0000-0000-0000C2780000}"/>
    <cellStyle name="Normal 3 19 3 2 4 3 3" xfId="22805" xr:uid="{00000000-0005-0000-0000-0000C3780000}"/>
    <cellStyle name="Normal 3 19 3 2 4 3 3 2" xfId="49938" xr:uid="{00000000-0005-0000-0000-0000C4780000}"/>
    <cellStyle name="Normal 3 19 3 2 4 3 4" xfId="36376" xr:uid="{00000000-0005-0000-0000-0000C5780000}"/>
    <cellStyle name="Normal 3 19 3 2 4 4" xfId="12629" xr:uid="{00000000-0005-0000-0000-0000C6780000}"/>
    <cellStyle name="Normal 3 19 3 2 4 4 2" xfId="26197" xr:uid="{00000000-0005-0000-0000-0000C7780000}"/>
    <cellStyle name="Normal 3 19 3 2 4 4 2 2" xfId="53330" xr:uid="{00000000-0005-0000-0000-0000C8780000}"/>
    <cellStyle name="Normal 3 19 3 2 4 4 3" xfId="39768" xr:uid="{00000000-0005-0000-0000-0000C9780000}"/>
    <cellStyle name="Normal 3 19 3 2 4 5" xfId="19416" xr:uid="{00000000-0005-0000-0000-0000CA780000}"/>
    <cellStyle name="Normal 3 19 3 2 4 5 2" xfId="46549" xr:uid="{00000000-0005-0000-0000-0000CB780000}"/>
    <cellStyle name="Normal 3 19 3 2 4 6" xfId="32987" xr:uid="{00000000-0005-0000-0000-0000CC780000}"/>
    <cellStyle name="Normal 3 19 3 2 5" xfId="5688" xr:uid="{00000000-0005-0000-0000-0000CD780000}"/>
    <cellStyle name="Normal 3 19 3 2 5 2" xfId="9231" xr:uid="{00000000-0005-0000-0000-0000CE780000}"/>
    <cellStyle name="Normal 3 19 3 2 5 2 2" xfId="16020" xr:uid="{00000000-0005-0000-0000-0000CF780000}"/>
    <cellStyle name="Normal 3 19 3 2 5 2 2 2" xfId="29588" xr:uid="{00000000-0005-0000-0000-0000D0780000}"/>
    <cellStyle name="Normal 3 19 3 2 5 2 2 2 2" xfId="56721" xr:uid="{00000000-0005-0000-0000-0000D1780000}"/>
    <cellStyle name="Normal 3 19 3 2 5 2 2 3" xfId="43159" xr:uid="{00000000-0005-0000-0000-0000D2780000}"/>
    <cellStyle name="Normal 3 19 3 2 5 2 3" xfId="22807" xr:uid="{00000000-0005-0000-0000-0000D3780000}"/>
    <cellStyle name="Normal 3 19 3 2 5 2 3 2" xfId="49940" xr:uid="{00000000-0005-0000-0000-0000D4780000}"/>
    <cellStyle name="Normal 3 19 3 2 5 2 4" xfId="36378" xr:uid="{00000000-0005-0000-0000-0000D5780000}"/>
    <cellStyle name="Normal 3 19 3 2 5 3" xfId="12631" xr:uid="{00000000-0005-0000-0000-0000D6780000}"/>
    <cellStyle name="Normal 3 19 3 2 5 3 2" xfId="26199" xr:uid="{00000000-0005-0000-0000-0000D7780000}"/>
    <cellStyle name="Normal 3 19 3 2 5 3 2 2" xfId="53332" xr:uid="{00000000-0005-0000-0000-0000D8780000}"/>
    <cellStyle name="Normal 3 19 3 2 5 3 3" xfId="39770" xr:uid="{00000000-0005-0000-0000-0000D9780000}"/>
    <cellStyle name="Normal 3 19 3 2 5 4" xfId="19418" xr:uid="{00000000-0005-0000-0000-0000DA780000}"/>
    <cellStyle name="Normal 3 19 3 2 5 4 2" xfId="46551" xr:uid="{00000000-0005-0000-0000-0000DB780000}"/>
    <cellStyle name="Normal 3 19 3 2 5 5" xfId="32989" xr:uid="{00000000-0005-0000-0000-0000DC780000}"/>
    <cellStyle name="Normal 3 19 3 2 6" xfId="5689" xr:uid="{00000000-0005-0000-0000-0000DD780000}"/>
    <cellStyle name="Normal 3 19 3 2 6 2" xfId="9232" xr:uid="{00000000-0005-0000-0000-0000DE780000}"/>
    <cellStyle name="Normal 3 19 3 2 6 2 2" xfId="16021" xr:uid="{00000000-0005-0000-0000-0000DF780000}"/>
    <cellStyle name="Normal 3 19 3 2 6 2 2 2" xfId="29589" xr:uid="{00000000-0005-0000-0000-0000E0780000}"/>
    <cellStyle name="Normal 3 19 3 2 6 2 2 2 2" xfId="56722" xr:uid="{00000000-0005-0000-0000-0000E1780000}"/>
    <cellStyle name="Normal 3 19 3 2 6 2 2 3" xfId="43160" xr:uid="{00000000-0005-0000-0000-0000E2780000}"/>
    <cellStyle name="Normal 3 19 3 2 6 2 3" xfId="22808" xr:uid="{00000000-0005-0000-0000-0000E3780000}"/>
    <cellStyle name="Normal 3 19 3 2 6 2 3 2" xfId="49941" xr:uid="{00000000-0005-0000-0000-0000E4780000}"/>
    <cellStyle name="Normal 3 19 3 2 6 2 4" xfId="36379" xr:uid="{00000000-0005-0000-0000-0000E5780000}"/>
    <cellStyle name="Normal 3 19 3 2 6 3" xfId="12632" xr:uid="{00000000-0005-0000-0000-0000E6780000}"/>
    <cellStyle name="Normal 3 19 3 2 6 3 2" xfId="26200" xr:uid="{00000000-0005-0000-0000-0000E7780000}"/>
    <cellStyle name="Normal 3 19 3 2 6 3 2 2" xfId="53333" xr:uid="{00000000-0005-0000-0000-0000E8780000}"/>
    <cellStyle name="Normal 3 19 3 2 6 3 3" xfId="39771" xr:uid="{00000000-0005-0000-0000-0000E9780000}"/>
    <cellStyle name="Normal 3 19 3 2 6 4" xfId="19419" xr:uid="{00000000-0005-0000-0000-0000EA780000}"/>
    <cellStyle name="Normal 3 19 3 2 6 4 2" xfId="46552" xr:uid="{00000000-0005-0000-0000-0000EB780000}"/>
    <cellStyle name="Normal 3 19 3 2 6 5" xfId="32990" xr:uid="{00000000-0005-0000-0000-0000EC780000}"/>
    <cellStyle name="Normal 3 19 3 2 7" xfId="9217" xr:uid="{00000000-0005-0000-0000-0000ED780000}"/>
    <cellStyle name="Normal 3 19 3 2 7 2" xfId="16006" xr:uid="{00000000-0005-0000-0000-0000EE780000}"/>
    <cellStyle name="Normal 3 19 3 2 7 2 2" xfId="29574" xr:uid="{00000000-0005-0000-0000-0000EF780000}"/>
    <cellStyle name="Normal 3 19 3 2 7 2 2 2" xfId="56707" xr:uid="{00000000-0005-0000-0000-0000F0780000}"/>
    <cellStyle name="Normal 3 19 3 2 7 2 3" xfId="43145" xr:uid="{00000000-0005-0000-0000-0000F1780000}"/>
    <cellStyle name="Normal 3 19 3 2 7 3" xfId="22793" xr:uid="{00000000-0005-0000-0000-0000F2780000}"/>
    <cellStyle name="Normal 3 19 3 2 7 3 2" xfId="49926" xr:uid="{00000000-0005-0000-0000-0000F3780000}"/>
    <cellStyle name="Normal 3 19 3 2 7 4" xfId="36364" xr:uid="{00000000-0005-0000-0000-0000F4780000}"/>
    <cellStyle name="Normal 3 19 3 2 8" xfId="12617" xr:uid="{00000000-0005-0000-0000-0000F5780000}"/>
    <cellStyle name="Normal 3 19 3 2 8 2" xfId="26185" xr:uid="{00000000-0005-0000-0000-0000F6780000}"/>
    <cellStyle name="Normal 3 19 3 2 8 2 2" xfId="53318" xr:uid="{00000000-0005-0000-0000-0000F7780000}"/>
    <cellStyle name="Normal 3 19 3 2 8 3" xfId="39756" xr:uid="{00000000-0005-0000-0000-0000F8780000}"/>
    <cellStyle name="Normal 3 19 3 2 9" xfId="19404" xr:uid="{00000000-0005-0000-0000-0000F9780000}"/>
    <cellStyle name="Normal 3 19 3 2 9 2" xfId="46537" xr:uid="{00000000-0005-0000-0000-0000FA780000}"/>
    <cellStyle name="Normal 3 19 3 3" xfId="5690" xr:uid="{00000000-0005-0000-0000-0000FB780000}"/>
    <cellStyle name="Normal 3 19 3 3 2" xfId="5691" xr:uid="{00000000-0005-0000-0000-0000FC780000}"/>
    <cellStyle name="Normal 3 19 3 3 2 2" xfId="5692" xr:uid="{00000000-0005-0000-0000-0000FD780000}"/>
    <cellStyle name="Normal 3 19 3 3 2 2 2" xfId="9235" xr:uid="{00000000-0005-0000-0000-0000FE780000}"/>
    <cellStyle name="Normal 3 19 3 3 2 2 2 2" xfId="16024" xr:uid="{00000000-0005-0000-0000-0000FF780000}"/>
    <cellStyle name="Normal 3 19 3 3 2 2 2 2 2" xfId="29592" xr:uid="{00000000-0005-0000-0000-000000790000}"/>
    <cellStyle name="Normal 3 19 3 3 2 2 2 2 2 2" xfId="56725" xr:uid="{00000000-0005-0000-0000-000001790000}"/>
    <cellStyle name="Normal 3 19 3 3 2 2 2 2 3" xfId="43163" xr:uid="{00000000-0005-0000-0000-000002790000}"/>
    <cellStyle name="Normal 3 19 3 3 2 2 2 3" xfId="22811" xr:uid="{00000000-0005-0000-0000-000003790000}"/>
    <cellStyle name="Normal 3 19 3 3 2 2 2 3 2" xfId="49944" xr:uid="{00000000-0005-0000-0000-000004790000}"/>
    <cellStyle name="Normal 3 19 3 3 2 2 2 4" xfId="36382" xr:uid="{00000000-0005-0000-0000-000005790000}"/>
    <cellStyle name="Normal 3 19 3 3 2 2 3" xfId="12635" xr:uid="{00000000-0005-0000-0000-000006790000}"/>
    <cellStyle name="Normal 3 19 3 3 2 2 3 2" xfId="26203" xr:uid="{00000000-0005-0000-0000-000007790000}"/>
    <cellStyle name="Normal 3 19 3 3 2 2 3 2 2" xfId="53336" xr:uid="{00000000-0005-0000-0000-000008790000}"/>
    <cellStyle name="Normal 3 19 3 3 2 2 3 3" xfId="39774" xr:uid="{00000000-0005-0000-0000-000009790000}"/>
    <cellStyle name="Normal 3 19 3 3 2 2 4" xfId="19422" xr:uid="{00000000-0005-0000-0000-00000A790000}"/>
    <cellStyle name="Normal 3 19 3 3 2 2 4 2" xfId="46555" xr:uid="{00000000-0005-0000-0000-00000B790000}"/>
    <cellStyle name="Normal 3 19 3 3 2 2 5" xfId="32993" xr:uid="{00000000-0005-0000-0000-00000C790000}"/>
    <cellStyle name="Normal 3 19 3 3 2 3" xfId="5693" xr:uid="{00000000-0005-0000-0000-00000D790000}"/>
    <cellStyle name="Normal 3 19 3 3 2 3 2" xfId="9236" xr:uid="{00000000-0005-0000-0000-00000E790000}"/>
    <cellStyle name="Normal 3 19 3 3 2 3 2 2" xfId="16025" xr:uid="{00000000-0005-0000-0000-00000F790000}"/>
    <cellStyle name="Normal 3 19 3 3 2 3 2 2 2" xfId="29593" xr:uid="{00000000-0005-0000-0000-000010790000}"/>
    <cellStyle name="Normal 3 19 3 3 2 3 2 2 2 2" xfId="56726" xr:uid="{00000000-0005-0000-0000-000011790000}"/>
    <cellStyle name="Normal 3 19 3 3 2 3 2 2 3" xfId="43164" xr:uid="{00000000-0005-0000-0000-000012790000}"/>
    <cellStyle name="Normal 3 19 3 3 2 3 2 3" xfId="22812" xr:uid="{00000000-0005-0000-0000-000013790000}"/>
    <cellStyle name="Normal 3 19 3 3 2 3 2 3 2" xfId="49945" xr:uid="{00000000-0005-0000-0000-000014790000}"/>
    <cellStyle name="Normal 3 19 3 3 2 3 2 4" xfId="36383" xr:uid="{00000000-0005-0000-0000-000015790000}"/>
    <cellStyle name="Normal 3 19 3 3 2 3 3" xfId="12636" xr:uid="{00000000-0005-0000-0000-000016790000}"/>
    <cellStyle name="Normal 3 19 3 3 2 3 3 2" xfId="26204" xr:uid="{00000000-0005-0000-0000-000017790000}"/>
    <cellStyle name="Normal 3 19 3 3 2 3 3 2 2" xfId="53337" xr:uid="{00000000-0005-0000-0000-000018790000}"/>
    <cellStyle name="Normal 3 19 3 3 2 3 3 3" xfId="39775" xr:uid="{00000000-0005-0000-0000-000019790000}"/>
    <cellStyle name="Normal 3 19 3 3 2 3 4" xfId="19423" xr:uid="{00000000-0005-0000-0000-00001A790000}"/>
    <cellStyle name="Normal 3 19 3 3 2 3 4 2" xfId="46556" xr:uid="{00000000-0005-0000-0000-00001B790000}"/>
    <cellStyle name="Normal 3 19 3 3 2 3 5" xfId="32994" xr:uid="{00000000-0005-0000-0000-00001C790000}"/>
    <cellStyle name="Normal 3 19 3 3 2 4" xfId="9234" xr:uid="{00000000-0005-0000-0000-00001D790000}"/>
    <cellStyle name="Normal 3 19 3 3 2 4 2" xfId="16023" xr:uid="{00000000-0005-0000-0000-00001E790000}"/>
    <cellStyle name="Normal 3 19 3 3 2 4 2 2" xfId="29591" xr:uid="{00000000-0005-0000-0000-00001F790000}"/>
    <cellStyle name="Normal 3 19 3 3 2 4 2 2 2" xfId="56724" xr:uid="{00000000-0005-0000-0000-000020790000}"/>
    <cellStyle name="Normal 3 19 3 3 2 4 2 3" xfId="43162" xr:uid="{00000000-0005-0000-0000-000021790000}"/>
    <cellStyle name="Normal 3 19 3 3 2 4 3" xfId="22810" xr:uid="{00000000-0005-0000-0000-000022790000}"/>
    <cellStyle name="Normal 3 19 3 3 2 4 3 2" xfId="49943" xr:uid="{00000000-0005-0000-0000-000023790000}"/>
    <cellStyle name="Normal 3 19 3 3 2 4 4" xfId="36381" xr:uid="{00000000-0005-0000-0000-000024790000}"/>
    <cellStyle name="Normal 3 19 3 3 2 5" xfId="12634" xr:uid="{00000000-0005-0000-0000-000025790000}"/>
    <cellStyle name="Normal 3 19 3 3 2 5 2" xfId="26202" xr:uid="{00000000-0005-0000-0000-000026790000}"/>
    <cellStyle name="Normal 3 19 3 3 2 5 2 2" xfId="53335" xr:uid="{00000000-0005-0000-0000-000027790000}"/>
    <cellStyle name="Normal 3 19 3 3 2 5 3" xfId="39773" xr:uid="{00000000-0005-0000-0000-000028790000}"/>
    <cellStyle name="Normal 3 19 3 3 2 6" xfId="19421" xr:uid="{00000000-0005-0000-0000-000029790000}"/>
    <cellStyle name="Normal 3 19 3 3 2 6 2" xfId="46554" xr:uid="{00000000-0005-0000-0000-00002A790000}"/>
    <cellStyle name="Normal 3 19 3 3 2 7" xfId="32992" xr:uid="{00000000-0005-0000-0000-00002B790000}"/>
    <cellStyle name="Normal 3 19 3 3 3" xfId="5694" xr:uid="{00000000-0005-0000-0000-00002C790000}"/>
    <cellStyle name="Normal 3 19 3 3 3 2" xfId="5695" xr:uid="{00000000-0005-0000-0000-00002D790000}"/>
    <cellStyle name="Normal 3 19 3 3 3 2 2" xfId="9238" xr:uid="{00000000-0005-0000-0000-00002E790000}"/>
    <cellStyle name="Normal 3 19 3 3 3 2 2 2" xfId="16027" xr:uid="{00000000-0005-0000-0000-00002F790000}"/>
    <cellStyle name="Normal 3 19 3 3 3 2 2 2 2" xfId="29595" xr:uid="{00000000-0005-0000-0000-000030790000}"/>
    <cellStyle name="Normal 3 19 3 3 3 2 2 2 2 2" xfId="56728" xr:uid="{00000000-0005-0000-0000-000031790000}"/>
    <cellStyle name="Normal 3 19 3 3 3 2 2 2 3" xfId="43166" xr:uid="{00000000-0005-0000-0000-000032790000}"/>
    <cellStyle name="Normal 3 19 3 3 3 2 2 3" xfId="22814" xr:uid="{00000000-0005-0000-0000-000033790000}"/>
    <cellStyle name="Normal 3 19 3 3 3 2 2 3 2" xfId="49947" xr:uid="{00000000-0005-0000-0000-000034790000}"/>
    <cellStyle name="Normal 3 19 3 3 3 2 2 4" xfId="36385" xr:uid="{00000000-0005-0000-0000-000035790000}"/>
    <cellStyle name="Normal 3 19 3 3 3 2 3" xfId="12638" xr:uid="{00000000-0005-0000-0000-000036790000}"/>
    <cellStyle name="Normal 3 19 3 3 3 2 3 2" xfId="26206" xr:uid="{00000000-0005-0000-0000-000037790000}"/>
    <cellStyle name="Normal 3 19 3 3 3 2 3 2 2" xfId="53339" xr:uid="{00000000-0005-0000-0000-000038790000}"/>
    <cellStyle name="Normal 3 19 3 3 3 2 3 3" xfId="39777" xr:uid="{00000000-0005-0000-0000-000039790000}"/>
    <cellStyle name="Normal 3 19 3 3 3 2 4" xfId="19425" xr:uid="{00000000-0005-0000-0000-00003A790000}"/>
    <cellStyle name="Normal 3 19 3 3 3 2 4 2" xfId="46558" xr:uid="{00000000-0005-0000-0000-00003B790000}"/>
    <cellStyle name="Normal 3 19 3 3 3 2 5" xfId="32996" xr:uid="{00000000-0005-0000-0000-00003C790000}"/>
    <cellStyle name="Normal 3 19 3 3 3 3" xfId="9237" xr:uid="{00000000-0005-0000-0000-00003D790000}"/>
    <cellStyle name="Normal 3 19 3 3 3 3 2" xfId="16026" xr:uid="{00000000-0005-0000-0000-00003E790000}"/>
    <cellStyle name="Normal 3 19 3 3 3 3 2 2" xfId="29594" xr:uid="{00000000-0005-0000-0000-00003F790000}"/>
    <cellStyle name="Normal 3 19 3 3 3 3 2 2 2" xfId="56727" xr:uid="{00000000-0005-0000-0000-000040790000}"/>
    <cellStyle name="Normal 3 19 3 3 3 3 2 3" xfId="43165" xr:uid="{00000000-0005-0000-0000-000041790000}"/>
    <cellStyle name="Normal 3 19 3 3 3 3 3" xfId="22813" xr:uid="{00000000-0005-0000-0000-000042790000}"/>
    <cellStyle name="Normal 3 19 3 3 3 3 3 2" xfId="49946" xr:uid="{00000000-0005-0000-0000-000043790000}"/>
    <cellStyle name="Normal 3 19 3 3 3 3 4" xfId="36384" xr:uid="{00000000-0005-0000-0000-000044790000}"/>
    <cellStyle name="Normal 3 19 3 3 3 4" xfId="12637" xr:uid="{00000000-0005-0000-0000-000045790000}"/>
    <cellStyle name="Normal 3 19 3 3 3 4 2" xfId="26205" xr:uid="{00000000-0005-0000-0000-000046790000}"/>
    <cellStyle name="Normal 3 19 3 3 3 4 2 2" xfId="53338" xr:uid="{00000000-0005-0000-0000-000047790000}"/>
    <cellStyle name="Normal 3 19 3 3 3 4 3" xfId="39776" xr:uid="{00000000-0005-0000-0000-000048790000}"/>
    <cellStyle name="Normal 3 19 3 3 3 5" xfId="19424" xr:uid="{00000000-0005-0000-0000-000049790000}"/>
    <cellStyle name="Normal 3 19 3 3 3 5 2" xfId="46557" xr:uid="{00000000-0005-0000-0000-00004A790000}"/>
    <cellStyle name="Normal 3 19 3 3 3 6" xfId="32995" xr:uid="{00000000-0005-0000-0000-00004B790000}"/>
    <cellStyle name="Normal 3 19 3 3 4" xfId="5696" xr:uid="{00000000-0005-0000-0000-00004C790000}"/>
    <cellStyle name="Normal 3 19 3 3 4 2" xfId="9239" xr:uid="{00000000-0005-0000-0000-00004D790000}"/>
    <cellStyle name="Normal 3 19 3 3 4 2 2" xfId="16028" xr:uid="{00000000-0005-0000-0000-00004E790000}"/>
    <cellStyle name="Normal 3 19 3 3 4 2 2 2" xfId="29596" xr:uid="{00000000-0005-0000-0000-00004F790000}"/>
    <cellStyle name="Normal 3 19 3 3 4 2 2 2 2" xfId="56729" xr:uid="{00000000-0005-0000-0000-000050790000}"/>
    <cellStyle name="Normal 3 19 3 3 4 2 2 3" xfId="43167" xr:uid="{00000000-0005-0000-0000-000051790000}"/>
    <cellStyle name="Normal 3 19 3 3 4 2 3" xfId="22815" xr:uid="{00000000-0005-0000-0000-000052790000}"/>
    <cellStyle name="Normal 3 19 3 3 4 2 3 2" xfId="49948" xr:uid="{00000000-0005-0000-0000-000053790000}"/>
    <cellStyle name="Normal 3 19 3 3 4 2 4" xfId="36386" xr:uid="{00000000-0005-0000-0000-000054790000}"/>
    <cellStyle name="Normal 3 19 3 3 4 3" xfId="12639" xr:uid="{00000000-0005-0000-0000-000055790000}"/>
    <cellStyle name="Normal 3 19 3 3 4 3 2" xfId="26207" xr:uid="{00000000-0005-0000-0000-000056790000}"/>
    <cellStyle name="Normal 3 19 3 3 4 3 2 2" xfId="53340" xr:uid="{00000000-0005-0000-0000-000057790000}"/>
    <cellStyle name="Normal 3 19 3 3 4 3 3" xfId="39778" xr:uid="{00000000-0005-0000-0000-000058790000}"/>
    <cellStyle name="Normal 3 19 3 3 4 4" xfId="19426" xr:uid="{00000000-0005-0000-0000-000059790000}"/>
    <cellStyle name="Normal 3 19 3 3 4 4 2" xfId="46559" xr:uid="{00000000-0005-0000-0000-00005A790000}"/>
    <cellStyle name="Normal 3 19 3 3 4 5" xfId="32997" xr:uid="{00000000-0005-0000-0000-00005B790000}"/>
    <cellStyle name="Normal 3 19 3 3 5" xfId="5697" xr:uid="{00000000-0005-0000-0000-00005C790000}"/>
    <cellStyle name="Normal 3 19 3 3 5 2" xfId="9240" xr:uid="{00000000-0005-0000-0000-00005D790000}"/>
    <cellStyle name="Normal 3 19 3 3 5 2 2" xfId="16029" xr:uid="{00000000-0005-0000-0000-00005E790000}"/>
    <cellStyle name="Normal 3 19 3 3 5 2 2 2" xfId="29597" xr:uid="{00000000-0005-0000-0000-00005F790000}"/>
    <cellStyle name="Normal 3 19 3 3 5 2 2 2 2" xfId="56730" xr:uid="{00000000-0005-0000-0000-000060790000}"/>
    <cellStyle name="Normal 3 19 3 3 5 2 2 3" xfId="43168" xr:uid="{00000000-0005-0000-0000-000061790000}"/>
    <cellStyle name="Normal 3 19 3 3 5 2 3" xfId="22816" xr:uid="{00000000-0005-0000-0000-000062790000}"/>
    <cellStyle name="Normal 3 19 3 3 5 2 3 2" xfId="49949" xr:uid="{00000000-0005-0000-0000-000063790000}"/>
    <cellStyle name="Normal 3 19 3 3 5 2 4" xfId="36387" xr:uid="{00000000-0005-0000-0000-000064790000}"/>
    <cellStyle name="Normal 3 19 3 3 5 3" xfId="12640" xr:uid="{00000000-0005-0000-0000-000065790000}"/>
    <cellStyle name="Normal 3 19 3 3 5 3 2" xfId="26208" xr:uid="{00000000-0005-0000-0000-000066790000}"/>
    <cellStyle name="Normal 3 19 3 3 5 3 2 2" xfId="53341" xr:uid="{00000000-0005-0000-0000-000067790000}"/>
    <cellStyle name="Normal 3 19 3 3 5 3 3" xfId="39779" xr:uid="{00000000-0005-0000-0000-000068790000}"/>
    <cellStyle name="Normal 3 19 3 3 5 4" xfId="19427" xr:uid="{00000000-0005-0000-0000-000069790000}"/>
    <cellStyle name="Normal 3 19 3 3 5 4 2" xfId="46560" xr:uid="{00000000-0005-0000-0000-00006A790000}"/>
    <cellStyle name="Normal 3 19 3 3 5 5" xfId="32998" xr:uid="{00000000-0005-0000-0000-00006B790000}"/>
    <cellStyle name="Normal 3 19 3 3 6" xfId="9233" xr:uid="{00000000-0005-0000-0000-00006C790000}"/>
    <cellStyle name="Normal 3 19 3 3 6 2" xfId="16022" xr:uid="{00000000-0005-0000-0000-00006D790000}"/>
    <cellStyle name="Normal 3 19 3 3 6 2 2" xfId="29590" xr:uid="{00000000-0005-0000-0000-00006E790000}"/>
    <cellStyle name="Normal 3 19 3 3 6 2 2 2" xfId="56723" xr:uid="{00000000-0005-0000-0000-00006F790000}"/>
    <cellStyle name="Normal 3 19 3 3 6 2 3" xfId="43161" xr:uid="{00000000-0005-0000-0000-000070790000}"/>
    <cellStyle name="Normal 3 19 3 3 6 3" xfId="22809" xr:uid="{00000000-0005-0000-0000-000071790000}"/>
    <cellStyle name="Normal 3 19 3 3 6 3 2" xfId="49942" xr:uid="{00000000-0005-0000-0000-000072790000}"/>
    <cellStyle name="Normal 3 19 3 3 6 4" xfId="36380" xr:uid="{00000000-0005-0000-0000-000073790000}"/>
    <cellStyle name="Normal 3 19 3 3 7" xfId="12633" xr:uid="{00000000-0005-0000-0000-000074790000}"/>
    <cellStyle name="Normal 3 19 3 3 7 2" xfId="26201" xr:uid="{00000000-0005-0000-0000-000075790000}"/>
    <cellStyle name="Normal 3 19 3 3 7 2 2" xfId="53334" xr:uid="{00000000-0005-0000-0000-000076790000}"/>
    <cellStyle name="Normal 3 19 3 3 7 3" xfId="39772" xr:uid="{00000000-0005-0000-0000-000077790000}"/>
    <cellStyle name="Normal 3 19 3 3 8" xfId="19420" xr:uid="{00000000-0005-0000-0000-000078790000}"/>
    <cellStyle name="Normal 3 19 3 3 8 2" xfId="46553" xr:uid="{00000000-0005-0000-0000-000079790000}"/>
    <cellStyle name="Normal 3 19 3 3 9" xfId="32991" xr:uid="{00000000-0005-0000-0000-00007A790000}"/>
    <cellStyle name="Normal 3 19 3 4" xfId="5698" xr:uid="{00000000-0005-0000-0000-00007B790000}"/>
    <cellStyle name="Normal 3 19 3 4 2" xfId="5699" xr:uid="{00000000-0005-0000-0000-00007C790000}"/>
    <cellStyle name="Normal 3 19 3 4 2 2" xfId="5700" xr:uid="{00000000-0005-0000-0000-00007D790000}"/>
    <cellStyle name="Normal 3 19 3 4 2 2 2" xfId="9243" xr:uid="{00000000-0005-0000-0000-00007E790000}"/>
    <cellStyle name="Normal 3 19 3 4 2 2 2 2" xfId="16032" xr:uid="{00000000-0005-0000-0000-00007F790000}"/>
    <cellStyle name="Normal 3 19 3 4 2 2 2 2 2" xfId="29600" xr:uid="{00000000-0005-0000-0000-000080790000}"/>
    <cellStyle name="Normal 3 19 3 4 2 2 2 2 2 2" xfId="56733" xr:uid="{00000000-0005-0000-0000-000081790000}"/>
    <cellStyle name="Normal 3 19 3 4 2 2 2 2 3" xfId="43171" xr:uid="{00000000-0005-0000-0000-000082790000}"/>
    <cellStyle name="Normal 3 19 3 4 2 2 2 3" xfId="22819" xr:uid="{00000000-0005-0000-0000-000083790000}"/>
    <cellStyle name="Normal 3 19 3 4 2 2 2 3 2" xfId="49952" xr:uid="{00000000-0005-0000-0000-000084790000}"/>
    <cellStyle name="Normal 3 19 3 4 2 2 2 4" xfId="36390" xr:uid="{00000000-0005-0000-0000-000085790000}"/>
    <cellStyle name="Normal 3 19 3 4 2 2 3" xfId="12643" xr:uid="{00000000-0005-0000-0000-000086790000}"/>
    <cellStyle name="Normal 3 19 3 4 2 2 3 2" xfId="26211" xr:uid="{00000000-0005-0000-0000-000087790000}"/>
    <cellStyle name="Normal 3 19 3 4 2 2 3 2 2" xfId="53344" xr:uid="{00000000-0005-0000-0000-000088790000}"/>
    <cellStyle name="Normal 3 19 3 4 2 2 3 3" xfId="39782" xr:uid="{00000000-0005-0000-0000-000089790000}"/>
    <cellStyle name="Normal 3 19 3 4 2 2 4" xfId="19430" xr:uid="{00000000-0005-0000-0000-00008A790000}"/>
    <cellStyle name="Normal 3 19 3 4 2 2 4 2" xfId="46563" xr:uid="{00000000-0005-0000-0000-00008B790000}"/>
    <cellStyle name="Normal 3 19 3 4 2 2 5" xfId="33001" xr:uid="{00000000-0005-0000-0000-00008C790000}"/>
    <cellStyle name="Normal 3 19 3 4 2 3" xfId="5701" xr:uid="{00000000-0005-0000-0000-00008D790000}"/>
    <cellStyle name="Normal 3 19 3 4 2 3 2" xfId="9244" xr:uid="{00000000-0005-0000-0000-00008E790000}"/>
    <cellStyle name="Normal 3 19 3 4 2 3 2 2" xfId="16033" xr:uid="{00000000-0005-0000-0000-00008F790000}"/>
    <cellStyle name="Normal 3 19 3 4 2 3 2 2 2" xfId="29601" xr:uid="{00000000-0005-0000-0000-000090790000}"/>
    <cellStyle name="Normal 3 19 3 4 2 3 2 2 2 2" xfId="56734" xr:uid="{00000000-0005-0000-0000-000091790000}"/>
    <cellStyle name="Normal 3 19 3 4 2 3 2 2 3" xfId="43172" xr:uid="{00000000-0005-0000-0000-000092790000}"/>
    <cellStyle name="Normal 3 19 3 4 2 3 2 3" xfId="22820" xr:uid="{00000000-0005-0000-0000-000093790000}"/>
    <cellStyle name="Normal 3 19 3 4 2 3 2 3 2" xfId="49953" xr:uid="{00000000-0005-0000-0000-000094790000}"/>
    <cellStyle name="Normal 3 19 3 4 2 3 2 4" xfId="36391" xr:uid="{00000000-0005-0000-0000-000095790000}"/>
    <cellStyle name="Normal 3 19 3 4 2 3 3" xfId="12644" xr:uid="{00000000-0005-0000-0000-000096790000}"/>
    <cellStyle name="Normal 3 19 3 4 2 3 3 2" xfId="26212" xr:uid="{00000000-0005-0000-0000-000097790000}"/>
    <cellStyle name="Normal 3 19 3 4 2 3 3 2 2" xfId="53345" xr:uid="{00000000-0005-0000-0000-000098790000}"/>
    <cellStyle name="Normal 3 19 3 4 2 3 3 3" xfId="39783" xr:uid="{00000000-0005-0000-0000-000099790000}"/>
    <cellStyle name="Normal 3 19 3 4 2 3 4" xfId="19431" xr:uid="{00000000-0005-0000-0000-00009A790000}"/>
    <cellStyle name="Normal 3 19 3 4 2 3 4 2" xfId="46564" xr:uid="{00000000-0005-0000-0000-00009B790000}"/>
    <cellStyle name="Normal 3 19 3 4 2 3 5" xfId="33002" xr:uid="{00000000-0005-0000-0000-00009C790000}"/>
    <cellStyle name="Normal 3 19 3 4 2 4" xfId="9242" xr:uid="{00000000-0005-0000-0000-00009D790000}"/>
    <cellStyle name="Normal 3 19 3 4 2 4 2" xfId="16031" xr:uid="{00000000-0005-0000-0000-00009E790000}"/>
    <cellStyle name="Normal 3 19 3 4 2 4 2 2" xfId="29599" xr:uid="{00000000-0005-0000-0000-00009F790000}"/>
    <cellStyle name="Normal 3 19 3 4 2 4 2 2 2" xfId="56732" xr:uid="{00000000-0005-0000-0000-0000A0790000}"/>
    <cellStyle name="Normal 3 19 3 4 2 4 2 3" xfId="43170" xr:uid="{00000000-0005-0000-0000-0000A1790000}"/>
    <cellStyle name="Normal 3 19 3 4 2 4 3" xfId="22818" xr:uid="{00000000-0005-0000-0000-0000A2790000}"/>
    <cellStyle name="Normal 3 19 3 4 2 4 3 2" xfId="49951" xr:uid="{00000000-0005-0000-0000-0000A3790000}"/>
    <cellStyle name="Normal 3 19 3 4 2 4 4" xfId="36389" xr:uid="{00000000-0005-0000-0000-0000A4790000}"/>
    <cellStyle name="Normal 3 19 3 4 2 5" xfId="12642" xr:uid="{00000000-0005-0000-0000-0000A5790000}"/>
    <cellStyle name="Normal 3 19 3 4 2 5 2" xfId="26210" xr:uid="{00000000-0005-0000-0000-0000A6790000}"/>
    <cellStyle name="Normal 3 19 3 4 2 5 2 2" xfId="53343" xr:uid="{00000000-0005-0000-0000-0000A7790000}"/>
    <cellStyle name="Normal 3 19 3 4 2 5 3" xfId="39781" xr:uid="{00000000-0005-0000-0000-0000A8790000}"/>
    <cellStyle name="Normal 3 19 3 4 2 6" xfId="19429" xr:uid="{00000000-0005-0000-0000-0000A9790000}"/>
    <cellStyle name="Normal 3 19 3 4 2 6 2" xfId="46562" xr:uid="{00000000-0005-0000-0000-0000AA790000}"/>
    <cellStyle name="Normal 3 19 3 4 2 7" xfId="33000" xr:uid="{00000000-0005-0000-0000-0000AB790000}"/>
    <cellStyle name="Normal 3 19 3 4 3" xfId="5702" xr:uid="{00000000-0005-0000-0000-0000AC790000}"/>
    <cellStyle name="Normal 3 19 3 4 3 2" xfId="9245" xr:uid="{00000000-0005-0000-0000-0000AD790000}"/>
    <cellStyle name="Normal 3 19 3 4 3 2 2" xfId="16034" xr:uid="{00000000-0005-0000-0000-0000AE790000}"/>
    <cellStyle name="Normal 3 19 3 4 3 2 2 2" xfId="29602" xr:uid="{00000000-0005-0000-0000-0000AF790000}"/>
    <cellStyle name="Normal 3 19 3 4 3 2 2 2 2" xfId="56735" xr:uid="{00000000-0005-0000-0000-0000B0790000}"/>
    <cellStyle name="Normal 3 19 3 4 3 2 2 3" xfId="43173" xr:uid="{00000000-0005-0000-0000-0000B1790000}"/>
    <cellStyle name="Normal 3 19 3 4 3 2 3" xfId="22821" xr:uid="{00000000-0005-0000-0000-0000B2790000}"/>
    <cellStyle name="Normal 3 19 3 4 3 2 3 2" xfId="49954" xr:uid="{00000000-0005-0000-0000-0000B3790000}"/>
    <cellStyle name="Normal 3 19 3 4 3 2 4" xfId="36392" xr:uid="{00000000-0005-0000-0000-0000B4790000}"/>
    <cellStyle name="Normal 3 19 3 4 3 3" xfId="12645" xr:uid="{00000000-0005-0000-0000-0000B5790000}"/>
    <cellStyle name="Normal 3 19 3 4 3 3 2" xfId="26213" xr:uid="{00000000-0005-0000-0000-0000B6790000}"/>
    <cellStyle name="Normal 3 19 3 4 3 3 2 2" xfId="53346" xr:uid="{00000000-0005-0000-0000-0000B7790000}"/>
    <cellStyle name="Normal 3 19 3 4 3 3 3" xfId="39784" xr:uid="{00000000-0005-0000-0000-0000B8790000}"/>
    <cellStyle name="Normal 3 19 3 4 3 4" xfId="19432" xr:uid="{00000000-0005-0000-0000-0000B9790000}"/>
    <cellStyle name="Normal 3 19 3 4 3 4 2" xfId="46565" xr:uid="{00000000-0005-0000-0000-0000BA790000}"/>
    <cellStyle name="Normal 3 19 3 4 3 5" xfId="33003" xr:uid="{00000000-0005-0000-0000-0000BB790000}"/>
    <cellStyle name="Normal 3 19 3 4 4" xfId="5703" xr:uid="{00000000-0005-0000-0000-0000BC790000}"/>
    <cellStyle name="Normal 3 19 3 4 4 2" xfId="9246" xr:uid="{00000000-0005-0000-0000-0000BD790000}"/>
    <cellStyle name="Normal 3 19 3 4 4 2 2" xfId="16035" xr:uid="{00000000-0005-0000-0000-0000BE790000}"/>
    <cellStyle name="Normal 3 19 3 4 4 2 2 2" xfId="29603" xr:uid="{00000000-0005-0000-0000-0000BF790000}"/>
    <cellStyle name="Normal 3 19 3 4 4 2 2 2 2" xfId="56736" xr:uid="{00000000-0005-0000-0000-0000C0790000}"/>
    <cellStyle name="Normal 3 19 3 4 4 2 2 3" xfId="43174" xr:uid="{00000000-0005-0000-0000-0000C1790000}"/>
    <cellStyle name="Normal 3 19 3 4 4 2 3" xfId="22822" xr:uid="{00000000-0005-0000-0000-0000C2790000}"/>
    <cellStyle name="Normal 3 19 3 4 4 2 3 2" xfId="49955" xr:uid="{00000000-0005-0000-0000-0000C3790000}"/>
    <cellStyle name="Normal 3 19 3 4 4 2 4" xfId="36393" xr:uid="{00000000-0005-0000-0000-0000C4790000}"/>
    <cellStyle name="Normal 3 19 3 4 4 3" xfId="12646" xr:uid="{00000000-0005-0000-0000-0000C5790000}"/>
    <cellStyle name="Normal 3 19 3 4 4 3 2" xfId="26214" xr:uid="{00000000-0005-0000-0000-0000C6790000}"/>
    <cellStyle name="Normal 3 19 3 4 4 3 2 2" xfId="53347" xr:uid="{00000000-0005-0000-0000-0000C7790000}"/>
    <cellStyle name="Normal 3 19 3 4 4 3 3" xfId="39785" xr:uid="{00000000-0005-0000-0000-0000C8790000}"/>
    <cellStyle name="Normal 3 19 3 4 4 4" xfId="19433" xr:uid="{00000000-0005-0000-0000-0000C9790000}"/>
    <cellStyle name="Normal 3 19 3 4 4 4 2" xfId="46566" xr:uid="{00000000-0005-0000-0000-0000CA790000}"/>
    <cellStyle name="Normal 3 19 3 4 4 5" xfId="33004" xr:uid="{00000000-0005-0000-0000-0000CB790000}"/>
    <cellStyle name="Normal 3 19 3 4 5" xfId="9241" xr:uid="{00000000-0005-0000-0000-0000CC790000}"/>
    <cellStyle name="Normal 3 19 3 4 5 2" xfId="16030" xr:uid="{00000000-0005-0000-0000-0000CD790000}"/>
    <cellStyle name="Normal 3 19 3 4 5 2 2" xfId="29598" xr:uid="{00000000-0005-0000-0000-0000CE790000}"/>
    <cellStyle name="Normal 3 19 3 4 5 2 2 2" xfId="56731" xr:uid="{00000000-0005-0000-0000-0000CF790000}"/>
    <cellStyle name="Normal 3 19 3 4 5 2 3" xfId="43169" xr:uid="{00000000-0005-0000-0000-0000D0790000}"/>
    <cellStyle name="Normal 3 19 3 4 5 3" xfId="22817" xr:uid="{00000000-0005-0000-0000-0000D1790000}"/>
    <cellStyle name="Normal 3 19 3 4 5 3 2" xfId="49950" xr:uid="{00000000-0005-0000-0000-0000D2790000}"/>
    <cellStyle name="Normal 3 19 3 4 5 4" xfId="36388" xr:uid="{00000000-0005-0000-0000-0000D3790000}"/>
    <cellStyle name="Normal 3 19 3 4 6" xfId="12641" xr:uid="{00000000-0005-0000-0000-0000D4790000}"/>
    <cellStyle name="Normal 3 19 3 4 6 2" xfId="26209" xr:uid="{00000000-0005-0000-0000-0000D5790000}"/>
    <cellStyle name="Normal 3 19 3 4 6 2 2" xfId="53342" xr:uid="{00000000-0005-0000-0000-0000D6790000}"/>
    <cellStyle name="Normal 3 19 3 4 6 3" xfId="39780" xr:uid="{00000000-0005-0000-0000-0000D7790000}"/>
    <cellStyle name="Normal 3 19 3 4 7" xfId="19428" xr:uid="{00000000-0005-0000-0000-0000D8790000}"/>
    <cellStyle name="Normal 3 19 3 4 7 2" xfId="46561" xr:uid="{00000000-0005-0000-0000-0000D9790000}"/>
    <cellStyle name="Normal 3 19 3 4 8" xfId="32999" xr:uid="{00000000-0005-0000-0000-0000DA790000}"/>
    <cellStyle name="Normal 3 19 3 5" xfId="5704" xr:uid="{00000000-0005-0000-0000-0000DB790000}"/>
    <cellStyle name="Normal 3 19 3 5 2" xfId="5705" xr:uid="{00000000-0005-0000-0000-0000DC790000}"/>
    <cellStyle name="Normal 3 19 3 5 2 2" xfId="5706" xr:uid="{00000000-0005-0000-0000-0000DD790000}"/>
    <cellStyle name="Normal 3 19 3 5 2 2 2" xfId="9249" xr:uid="{00000000-0005-0000-0000-0000DE790000}"/>
    <cellStyle name="Normal 3 19 3 5 2 2 2 2" xfId="16038" xr:uid="{00000000-0005-0000-0000-0000DF790000}"/>
    <cellStyle name="Normal 3 19 3 5 2 2 2 2 2" xfId="29606" xr:uid="{00000000-0005-0000-0000-0000E0790000}"/>
    <cellStyle name="Normal 3 19 3 5 2 2 2 2 2 2" xfId="56739" xr:uid="{00000000-0005-0000-0000-0000E1790000}"/>
    <cellStyle name="Normal 3 19 3 5 2 2 2 2 3" xfId="43177" xr:uid="{00000000-0005-0000-0000-0000E2790000}"/>
    <cellStyle name="Normal 3 19 3 5 2 2 2 3" xfId="22825" xr:uid="{00000000-0005-0000-0000-0000E3790000}"/>
    <cellStyle name="Normal 3 19 3 5 2 2 2 3 2" xfId="49958" xr:uid="{00000000-0005-0000-0000-0000E4790000}"/>
    <cellStyle name="Normal 3 19 3 5 2 2 2 4" xfId="36396" xr:uid="{00000000-0005-0000-0000-0000E5790000}"/>
    <cellStyle name="Normal 3 19 3 5 2 2 3" xfId="12649" xr:uid="{00000000-0005-0000-0000-0000E6790000}"/>
    <cellStyle name="Normal 3 19 3 5 2 2 3 2" xfId="26217" xr:uid="{00000000-0005-0000-0000-0000E7790000}"/>
    <cellStyle name="Normal 3 19 3 5 2 2 3 2 2" xfId="53350" xr:uid="{00000000-0005-0000-0000-0000E8790000}"/>
    <cellStyle name="Normal 3 19 3 5 2 2 3 3" xfId="39788" xr:uid="{00000000-0005-0000-0000-0000E9790000}"/>
    <cellStyle name="Normal 3 19 3 5 2 2 4" xfId="19436" xr:uid="{00000000-0005-0000-0000-0000EA790000}"/>
    <cellStyle name="Normal 3 19 3 5 2 2 4 2" xfId="46569" xr:uid="{00000000-0005-0000-0000-0000EB790000}"/>
    <cellStyle name="Normal 3 19 3 5 2 2 5" xfId="33007" xr:uid="{00000000-0005-0000-0000-0000EC790000}"/>
    <cellStyle name="Normal 3 19 3 5 2 3" xfId="5707" xr:uid="{00000000-0005-0000-0000-0000ED790000}"/>
    <cellStyle name="Normal 3 19 3 5 2 3 2" xfId="9250" xr:uid="{00000000-0005-0000-0000-0000EE790000}"/>
    <cellStyle name="Normal 3 19 3 5 2 3 2 2" xfId="16039" xr:uid="{00000000-0005-0000-0000-0000EF790000}"/>
    <cellStyle name="Normal 3 19 3 5 2 3 2 2 2" xfId="29607" xr:uid="{00000000-0005-0000-0000-0000F0790000}"/>
    <cellStyle name="Normal 3 19 3 5 2 3 2 2 2 2" xfId="56740" xr:uid="{00000000-0005-0000-0000-0000F1790000}"/>
    <cellStyle name="Normal 3 19 3 5 2 3 2 2 3" xfId="43178" xr:uid="{00000000-0005-0000-0000-0000F2790000}"/>
    <cellStyle name="Normal 3 19 3 5 2 3 2 3" xfId="22826" xr:uid="{00000000-0005-0000-0000-0000F3790000}"/>
    <cellStyle name="Normal 3 19 3 5 2 3 2 3 2" xfId="49959" xr:uid="{00000000-0005-0000-0000-0000F4790000}"/>
    <cellStyle name="Normal 3 19 3 5 2 3 2 4" xfId="36397" xr:uid="{00000000-0005-0000-0000-0000F5790000}"/>
    <cellStyle name="Normal 3 19 3 5 2 3 3" xfId="12650" xr:uid="{00000000-0005-0000-0000-0000F6790000}"/>
    <cellStyle name="Normal 3 19 3 5 2 3 3 2" xfId="26218" xr:uid="{00000000-0005-0000-0000-0000F7790000}"/>
    <cellStyle name="Normal 3 19 3 5 2 3 3 2 2" xfId="53351" xr:uid="{00000000-0005-0000-0000-0000F8790000}"/>
    <cellStyle name="Normal 3 19 3 5 2 3 3 3" xfId="39789" xr:uid="{00000000-0005-0000-0000-0000F9790000}"/>
    <cellStyle name="Normal 3 19 3 5 2 3 4" xfId="19437" xr:uid="{00000000-0005-0000-0000-0000FA790000}"/>
    <cellStyle name="Normal 3 19 3 5 2 3 4 2" xfId="46570" xr:uid="{00000000-0005-0000-0000-0000FB790000}"/>
    <cellStyle name="Normal 3 19 3 5 2 3 5" xfId="33008" xr:uid="{00000000-0005-0000-0000-0000FC790000}"/>
    <cellStyle name="Normal 3 19 3 5 2 4" xfId="9248" xr:uid="{00000000-0005-0000-0000-0000FD790000}"/>
    <cellStyle name="Normal 3 19 3 5 2 4 2" xfId="16037" xr:uid="{00000000-0005-0000-0000-0000FE790000}"/>
    <cellStyle name="Normal 3 19 3 5 2 4 2 2" xfId="29605" xr:uid="{00000000-0005-0000-0000-0000FF790000}"/>
    <cellStyle name="Normal 3 19 3 5 2 4 2 2 2" xfId="56738" xr:uid="{00000000-0005-0000-0000-0000007A0000}"/>
    <cellStyle name="Normal 3 19 3 5 2 4 2 3" xfId="43176" xr:uid="{00000000-0005-0000-0000-0000017A0000}"/>
    <cellStyle name="Normal 3 19 3 5 2 4 3" xfId="22824" xr:uid="{00000000-0005-0000-0000-0000027A0000}"/>
    <cellStyle name="Normal 3 19 3 5 2 4 3 2" xfId="49957" xr:uid="{00000000-0005-0000-0000-0000037A0000}"/>
    <cellStyle name="Normal 3 19 3 5 2 4 4" xfId="36395" xr:uid="{00000000-0005-0000-0000-0000047A0000}"/>
    <cellStyle name="Normal 3 19 3 5 2 5" xfId="12648" xr:uid="{00000000-0005-0000-0000-0000057A0000}"/>
    <cellStyle name="Normal 3 19 3 5 2 5 2" xfId="26216" xr:uid="{00000000-0005-0000-0000-0000067A0000}"/>
    <cellStyle name="Normal 3 19 3 5 2 5 2 2" xfId="53349" xr:uid="{00000000-0005-0000-0000-0000077A0000}"/>
    <cellStyle name="Normal 3 19 3 5 2 5 3" xfId="39787" xr:uid="{00000000-0005-0000-0000-0000087A0000}"/>
    <cellStyle name="Normal 3 19 3 5 2 6" xfId="19435" xr:uid="{00000000-0005-0000-0000-0000097A0000}"/>
    <cellStyle name="Normal 3 19 3 5 2 6 2" xfId="46568" xr:uid="{00000000-0005-0000-0000-00000A7A0000}"/>
    <cellStyle name="Normal 3 19 3 5 2 7" xfId="33006" xr:uid="{00000000-0005-0000-0000-00000B7A0000}"/>
    <cellStyle name="Normal 3 19 3 5 3" xfId="5708" xr:uid="{00000000-0005-0000-0000-00000C7A0000}"/>
    <cellStyle name="Normal 3 19 3 5 3 2" xfId="9251" xr:uid="{00000000-0005-0000-0000-00000D7A0000}"/>
    <cellStyle name="Normal 3 19 3 5 3 2 2" xfId="16040" xr:uid="{00000000-0005-0000-0000-00000E7A0000}"/>
    <cellStyle name="Normal 3 19 3 5 3 2 2 2" xfId="29608" xr:uid="{00000000-0005-0000-0000-00000F7A0000}"/>
    <cellStyle name="Normal 3 19 3 5 3 2 2 2 2" xfId="56741" xr:uid="{00000000-0005-0000-0000-0000107A0000}"/>
    <cellStyle name="Normal 3 19 3 5 3 2 2 3" xfId="43179" xr:uid="{00000000-0005-0000-0000-0000117A0000}"/>
    <cellStyle name="Normal 3 19 3 5 3 2 3" xfId="22827" xr:uid="{00000000-0005-0000-0000-0000127A0000}"/>
    <cellStyle name="Normal 3 19 3 5 3 2 3 2" xfId="49960" xr:uid="{00000000-0005-0000-0000-0000137A0000}"/>
    <cellStyle name="Normal 3 19 3 5 3 2 4" xfId="36398" xr:uid="{00000000-0005-0000-0000-0000147A0000}"/>
    <cellStyle name="Normal 3 19 3 5 3 3" xfId="12651" xr:uid="{00000000-0005-0000-0000-0000157A0000}"/>
    <cellStyle name="Normal 3 19 3 5 3 3 2" xfId="26219" xr:uid="{00000000-0005-0000-0000-0000167A0000}"/>
    <cellStyle name="Normal 3 19 3 5 3 3 2 2" xfId="53352" xr:uid="{00000000-0005-0000-0000-0000177A0000}"/>
    <cellStyle name="Normal 3 19 3 5 3 3 3" xfId="39790" xr:uid="{00000000-0005-0000-0000-0000187A0000}"/>
    <cellStyle name="Normal 3 19 3 5 3 4" xfId="19438" xr:uid="{00000000-0005-0000-0000-0000197A0000}"/>
    <cellStyle name="Normal 3 19 3 5 3 4 2" xfId="46571" xr:uid="{00000000-0005-0000-0000-00001A7A0000}"/>
    <cellStyle name="Normal 3 19 3 5 3 5" xfId="33009" xr:uid="{00000000-0005-0000-0000-00001B7A0000}"/>
    <cellStyle name="Normal 3 19 3 5 4" xfId="5709" xr:uid="{00000000-0005-0000-0000-00001C7A0000}"/>
    <cellStyle name="Normal 3 19 3 5 4 2" xfId="9252" xr:uid="{00000000-0005-0000-0000-00001D7A0000}"/>
    <cellStyle name="Normal 3 19 3 5 4 2 2" xfId="16041" xr:uid="{00000000-0005-0000-0000-00001E7A0000}"/>
    <cellStyle name="Normal 3 19 3 5 4 2 2 2" xfId="29609" xr:uid="{00000000-0005-0000-0000-00001F7A0000}"/>
    <cellStyle name="Normal 3 19 3 5 4 2 2 2 2" xfId="56742" xr:uid="{00000000-0005-0000-0000-0000207A0000}"/>
    <cellStyle name="Normal 3 19 3 5 4 2 2 3" xfId="43180" xr:uid="{00000000-0005-0000-0000-0000217A0000}"/>
    <cellStyle name="Normal 3 19 3 5 4 2 3" xfId="22828" xr:uid="{00000000-0005-0000-0000-0000227A0000}"/>
    <cellStyle name="Normal 3 19 3 5 4 2 3 2" xfId="49961" xr:uid="{00000000-0005-0000-0000-0000237A0000}"/>
    <cellStyle name="Normal 3 19 3 5 4 2 4" xfId="36399" xr:uid="{00000000-0005-0000-0000-0000247A0000}"/>
    <cellStyle name="Normal 3 19 3 5 4 3" xfId="12652" xr:uid="{00000000-0005-0000-0000-0000257A0000}"/>
    <cellStyle name="Normal 3 19 3 5 4 3 2" xfId="26220" xr:uid="{00000000-0005-0000-0000-0000267A0000}"/>
    <cellStyle name="Normal 3 19 3 5 4 3 2 2" xfId="53353" xr:uid="{00000000-0005-0000-0000-0000277A0000}"/>
    <cellStyle name="Normal 3 19 3 5 4 3 3" xfId="39791" xr:uid="{00000000-0005-0000-0000-0000287A0000}"/>
    <cellStyle name="Normal 3 19 3 5 4 4" xfId="19439" xr:uid="{00000000-0005-0000-0000-0000297A0000}"/>
    <cellStyle name="Normal 3 19 3 5 4 4 2" xfId="46572" xr:uid="{00000000-0005-0000-0000-00002A7A0000}"/>
    <cellStyle name="Normal 3 19 3 5 4 5" xfId="33010" xr:uid="{00000000-0005-0000-0000-00002B7A0000}"/>
    <cellStyle name="Normal 3 19 3 5 5" xfId="9247" xr:uid="{00000000-0005-0000-0000-00002C7A0000}"/>
    <cellStyle name="Normal 3 19 3 5 5 2" xfId="16036" xr:uid="{00000000-0005-0000-0000-00002D7A0000}"/>
    <cellStyle name="Normal 3 19 3 5 5 2 2" xfId="29604" xr:uid="{00000000-0005-0000-0000-00002E7A0000}"/>
    <cellStyle name="Normal 3 19 3 5 5 2 2 2" xfId="56737" xr:uid="{00000000-0005-0000-0000-00002F7A0000}"/>
    <cellStyle name="Normal 3 19 3 5 5 2 3" xfId="43175" xr:uid="{00000000-0005-0000-0000-0000307A0000}"/>
    <cellStyle name="Normal 3 19 3 5 5 3" xfId="22823" xr:uid="{00000000-0005-0000-0000-0000317A0000}"/>
    <cellStyle name="Normal 3 19 3 5 5 3 2" xfId="49956" xr:uid="{00000000-0005-0000-0000-0000327A0000}"/>
    <cellStyle name="Normal 3 19 3 5 5 4" xfId="36394" xr:uid="{00000000-0005-0000-0000-0000337A0000}"/>
    <cellStyle name="Normal 3 19 3 5 6" xfId="12647" xr:uid="{00000000-0005-0000-0000-0000347A0000}"/>
    <cellStyle name="Normal 3 19 3 5 6 2" xfId="26215" xr:uid="{00000000-0005-0000-0000-0000357A0000}"/>
    <cellStyle name="Normal 3 19 3 5 6 2 2" xfId="53348" xr:uid="{00000000-0005-0000-0000-0000367A0000}"/>
    <cellStyle name="Normal 3 19 3 5 6 3" xfId="39786" xr:uid="{00000000-0005-0000-0000-0000377A0000}"/>
    <cellStyle name="Normal 3 19 3 5 7" xfId="19434" xr:uid="{00000000-0005-0000-0000-0000387A0000}"/>
    <cellStyle name="Normal 3 19 3 5 7 2" xfId="46567" xr:uid="{00000000-0005-0000-0000-0000397A0000}"/>
    <cellStyle name="Normal 3 19 3 5 8" xfId="33005" xr:uid="{00000000-0005-0000-0000-00003A7A0000}"/>
    <cellStyle name="Normal 3 19 3 6" xfId="5710" xr:uid="{00000000-0005-0000-0000-00003B7A0000}"/>
    <cellStyle name="Normal 3 19 3 6 2" xfId="5711" xr:uid="{00000000-0005-0000-0000-00003C7A0000}"/>
    <cellStyle name="Normal 3 19 3 6 2 2" xfId="9254" xr:uid="{00000000-0005-0000-0000-00003D7A0000}"/>
    <cellStyle name="Normal 3 19 3 6 2 2 2" xfId="16043" xr:uid="{00000000-0005-0000-0000-00003E7A0000}"/>
    <cellStyle name="Normal 3 19 3 6 2 2 2 2" xfId="29611" xr:uid="{00000000-0005-0000-0000-00003F7A0000}"/>
    <cellStyle name="Normal 3 19 3 6 2 2 2 2 2" xfId="56744" xr:uid="{00000000-0005-0000-0000-0000407A0000}"/>
    <cellStyle name="Normal 3 19 3 6 2 2 2 3" xfId="43182" xr:uid="{00000000-0005-0000-0000-0000417A0000}"/>
    <cellStyle name="Normal 3 19 3 6 2 2 3" xfId="22830" xr:uid="{00000000-0005-0000-0000-0000427A0000}"/>
    <cellStyle name="Normal 3 19 3 6 2 2 3 2" xfId="49963" xr:uid="{00000000-0005-0000-0000-0000437A0000}"/>
    <cellStyle name="Normal 3 19 3 6 2 2 4" xfId="36401" xr:uid="{00000000-0005-0000-0000-0000447A0000}"/>
    <cellStyle name="Normal 3 19 3 6 2 3" xfId="12654" xr:uid="{00000000-0005-0000-0000-0000457A0000}"/>
    <cellStyle name="Normal 3 19 3 6 2 3 2" xfId="26222" xr:uid="{00000000-0005-0000-0000-0000467A0000}"/>
    <cellStyle name="Normal 3 19 3 6 2 3 2 2" xfId="53355" xr:uid="{00000000-0005-0000-0000-0000477A0000}"/>
    <cellStyle name="Normal 3 19 3 6 2 3 3" xfId="39793" xr:uid="{00000000-0005-0000-0000-0000487A0000}"/>
    <cellStyle name="Normal 3 19 3 6 2 4" xfId="19441" xr:uid="{00000000-0005-0000-0000-0000497A0000}"/>
    <cellStyle name="Normal 3 19 3 6 2 4 2" xfId="46574" xr:uid="{00000000-0005-0000-0000-00004A7A0000}"/>
    <cellStyle name="Normal 3 19 3 6 2 5" xfId="33012" xr:uid="{00000000-0005-0000-0000-00004B7A0000}"/>
    <cellStyle name="Normal 3 19 3 6 3" xfId="5712" xr:uid="{00000000-0005-0000-0000-00004C7A0000}"/>
    <cellStyle name="Normal 3 19 3 6 3 2" xfId="9255" xr:uid="{00000000-0005-0000-0000-00004D7A0000}"/>
    <cellStyle name="Normal 3 19 3 6 3 2 2" xfId="16044" xr:uid="{00000000-0005-0000-0000-00004E7A0000}"/>
    <cellStyle name="Normal 3 19 3 6 3 2 2 2" xfId="29612" xr:uid="{00000000-0005-0000-0000-00004F7A0000}"/>
    <cellStyle name="Normal 3 19 3 6 3 2 2 2 2" xfId="56745" xr:uid="{00000000-0005-0000-0000-0000507A0000}"/>
    <cellStyle name="Normal 3 19 3 6 3 2 2 3" xfId="43183" xr:uid="{00000000-0005-0000-0000-0000517A0000}"/>
    <cellStyle name="Normal 3 19 3 6 3 2 3" xfId="22831" xr:uid="{00000000-0005-0000-0000-0000527A0000}"/>
    <cellStyle name="Normal 3 19 3 6 3 2 3 2" xfId="49964" xr:uid="{00000000-0005-0000-0000-0000537A0000}"/>
    <cellStyle name="Normal 3 19 3 6 3 2 4" xfId="36402" xr:uid="{00000000-0005-0000-0000-0000547A0000}"/>
    <cellStyle name="Normal 3 19 3 6 3 3" xfId="12655" xr:uid="{00000000-0005-0000-0000-0000557A0000}"/>
    <cellStyle name="Normal 3 19 3 6 3 3 2" xfId="26223" xr:uid="{00000000-0005-0000-0000-0000567A0000}"/>
    <cellStyle name="Normal 3 19 3 6 3 3 2 2" xfId="53356" xr:uid="{00000000-0005-0000-0000-0000577A0000}"/>
    <cellStyle name="Normal 3 19 3 6 3 3 3" xfId="39794" xr:uid="{00000000-0005-0000-0000-0000587A0000}"/>
    <cellStyle name="Normal 3 19 3 6 3 4" xfId="19442" xr:uid="{00000000-0005-0000-0000-0000597A0000}"/>
    <cellStyle name="Normal 3 19 3 6 3 4 2" xfId="46575" xr:uid="{00000000-0005-0000-0000-00005A7A0000}"/>
    <cellStyle name="Normal 3 19 3 6 3 5" xfId="33013" xr:uid="{00000000-0005-0000-0000-00005B7A0000}"/>
    <cellStyle name="Normal 3 19 3 6 4" xfId="9253" xr:uid="{00000000-0005-0000-0000-00005C7A0000}"/>
    <cellStyle name="Normal 3 19 3 6 4 2" xfId="16042" xr:uid="{00000000-0005-0000-0000-00005D7A0000}"/>
    <cellStyle name="Normal 3 19 3 6 4 2 2" xfId="29610" xr:uid="{00000000-0005-0000-0000-00005E7A0000}"/>
    <cellStyle name="Normal 3 19 3 6 4 2 2 2" xfId="56743" xr:uid="{00000000-0005-0000-0000-00005F7A0000}"/>
    <cellStyle name="Normal 3 19 3 6 4 2 3" xfId="43181" xr:uid="{00000000-0005-0000-0000-0000607A0000}"/>
    <cellStyle name="Normal 3 19 3 6 4 3" xfId="22829" xr:uid="{00000000-0005-0000-0000-0000617A0000}"/>
    <cellStyle name="Normal 3 19 3 6 4 3 2" xfId="49962" xr:uid="{00000000-0005-0000-0000-0000627A0000}"/>
    <cellStyle name="Normal 3 19 3 6 4 4" xfId="36400" xr:uid="{00000000-0005-0000-0000-0000637A0000}"/>
    <cellStyle name="Normal 3 19 3 6 5" xfId="12653" xr:uid="{00000000-0005-0000-0000-0000647A0000}"/>
    <cellStyle name="Normal 3 19 3 6 5 2" xfId="26221" xr:uid="{00000000-0005-0000-0000-0000657A0000}"/>
    <cellStyle name="Normal 3 19 3 6 5 2 2" xfId="53354" xr:uid="{00000000-0005-0000-0000-0000667A0000}"/>
    <cellStyle name="Normal 3 19 3 6 5 3" xfId="39792" xr:uid="{00000000-0005-0000-0000-0000677A0000}"/>
    <cellStyle name="Normal 3 19 3 6 6" xfId="19440" xr:uid="{00000000-0005-0000-0000-0000687A0000}"/>
    <cellStyle name="Normal 3 19 3 6 6 2" xfId="46573" xr:uid="{00000000-0005-0000-0000-0000697A0000}"/>
    <cellStyle name="Normal 3 19 3 6 7" xfId="33011" xr:uid="{00000000-0005-0000-0000-00006A7A0000}"/>
    <cellStyle name="Normal 3 19 3 7" xfId="5713" xr:uid="{00000000-0005-0000-0000-00006B7A0000}"/>
    <cellStyle name="Normal 3 19 3 7 2" xfId="5714" xr:uid="{00000000-0005-0000-0000-00006C7A0000}"/>
    <cellStyle name="Normal 3 19 3 7 2 2" xfId="9257" xr:uid="{00000000-0005-0000-0000-00006D7A0000}"/>
    <cellStyle name="Normal 3 19 3 7 2 2 2" xfId="16046" xr:uid="{00000000-0005-0000-0000-00006E7A0000}"/>
    <cellStyle name="Normal 3 19 3 7 2 2 2 2" xfId="29614" xr:uid="{00000000-0005-0000-0000-00006F7A0000}"/>
    <cellStyle name="Normal 3 19 3 7 2 2 2 2 2" xfId="56747" xr:uid="{00000000-0005-0000-0000-0000707A0000}"/>
    <cellStyle name="Normal 3 19 3 7 2 2 2 3" xfId="43185" xr:uid="{00000000-0005-0000-0000-0000717A0000}"/>
    <cellStyle name="Normal 3 19 3 7 2 2 3" xfId="22833" xr:uid="{00000000-0005-0000-0000-0000727A0000}"/>
    <cellStyle name="Normal 3 19 3 7 2 2 3 2" xfId="49966" xr:uid="{00000000-0005-0000-0000-0000737A0000}"/>
    <cellStyle name="Normal 3 19 3 7 2 2 4" xfId="36404" xr:uid="{00000000-0005-0000-0000-0000747A0000}"/>
    <cellStyle name="Normal 3 19 3 7 2 3" xfId="12657" xr:uid="{00000000-0005-0000-0000-0000757A0000}"/>
    <cellStyle name="Normal 3 19 3 7 2 3 2" xfId="26225" xr:uid="{00000000-0005-0000-0000-0000767A0000}"/>
    <cellStyle name="Normal 3 19 3 7 2 3 2 2" xfId="53358" xr:uid="{00000000-0005-0000-0000-0000777A0000}"/>
    <cellStyle name="Normal 3 19 3 7 2 3 3" xfId="39796" xr:uid="{00000000-0005-0000-0000-0000787A0000}"/>
    <cellStyle name="Normal 3 19 3 7 2 4" xfId="19444" xr:uid="{00000000-0005-0000-0000-0000797A0000}"/>
    <cellStyle name="Normal 3 19 3 7 2 4 2" xfId="46577" xr:uid="{00000000-0005-0000-0000-00007A7A0000}"/>
    <cellStyle name="Normal 3 19 3 7 2 5" xfId="33015" xr:uid="{00000000-0005-0000-0000-00007B7A0000}"/>
    <cellStyle name="Normal 3 19 3 7 3" xfId="5715" xr:uid="{00000000-0005-0000-0000-00007C7A0000}"/>
    <cellStyle name="Normal 3 19 3 7 3 2" xfId="9258" xr:uid="{00000000-0005-0000-0000-00007D7A0000}"/>
    <cellStyle name="Normal 3 19 3 7 3 2 2" xfId="16047" xr:uid="{00000000-0005-0000-0000-00007E7A0000}"/>
    <cellStyle name="Normal 3 19 3 7 3 2 2 2" xfId="29615" xr:uid="{00000000-0005-0000-0000-00007F7A0000}"/>
    <cellStyle name="Normal 3 19 3 7 3 2 2 2 2" xfId="56748" xr:uid="{00000000-0005-0000-0000-0000807A0000}"/>
    <cellStyle name="Normal 3 19 3 7 3 2 2 3" xfId="43186" xr:uid="{00000000-0005-0000-0000-0000817A0000}"/>
    <cellStyle name="Normal 3 19 3 7 3 2 3" xfId="22834" xr:uid="{00000000-0005-0000-0000-0000827A0000}"/>
    <cellStyle name="Normal 3 19 3 7 3 2 3 2" xfId="49967" xr:uid="{00000000-0005-0000-0000-0000837A0000}"/>
    <cellStyle name="Normal 3 19 3 7 3 2 4" xfId="36405" xr:uid="{00000000-0005-0000-0000-0000847A0000}"/>
    <cellStyle name="Normal 3 19 3 7 3 3" xfId="12658" xr:uid="{00000000-0005-0000-0000-0000857A0000}"/>
    <cellStyle name="Normal 3 19 3 7 3 3 2" xfId="26226" xr:uid="{00000000-0005-0000-0000-0000867A0000}"/>
    <cellStyle name="Normal 3 19 3 7 3 3 2 2" xfId="53359" xr:uid="{00000000-0005-0000-0000-0000877A0000}"/>
    <cellStyle name="Normal 3 19 3 7 3 3 3" xfId="39797" xr:uid="{00000000-0005-0000-0000-0000887A0000}"/>
    <cellStyle name="Normal 3 19 3 7 3 4" xfId="19445" xr:uid="{00000000-0005-0000-0000-0000897A0000}"/>
    <cellStyle name="Normal 3 19 3 7 3 4 2" xfId="46578" xr:uid="{00000000-0005-0000-0000-00008A7A0000}"/>
    <cellStyle name="Normal 3 19 3 7 3 5" xfId="33016" xr:uid="{00000000-0005-0000-0000-00008B7A0000}"/>
    <cellStyle name="Normal 3 19 3 7 4" xfId="9256" xr:uid="{00000000-0005-0000-0000-00008C7A0000}"/>
    <cellStyle name="Normal 3 19 3 7 4 2" xfId="16045" xr:uid="{00000000-0005-0000-0000-00008D7A0000}"/>
    <cellStyle name="Normal 3 19 3 7 4 2 2" xfId="29613" xr:uid="{00000000-0005-0000-0000-00008E7A0000}"/>
    <cellStyle name="Normal 3 19 3 7 4 2 2 2" xfId="56746" xr:uid="{00000000-0005-0000-0000-00008F7A0000}"/>
    <cellStyle name="Normal 3 19 3 7 4 2 3" xfId="43184" xr:uid="{00000000-0005-0000-0000-0000907A0000}"/>
    <cellStyle name="Normal 3 19 3 7 4 3" xfId="22832" xr:uid="{00000000-0005-0000-0000-0000917A0000}"/>
    <cellStyle name="Normal 3 19 3 7 4 3 2" xfId="49965" xr:uid="{00000000-0005-0000-0000-0000927A0000}"/>
    <cellStyle name="Normal 3 19 3 7 4 4" xfId="36403" xr:uid="{00000000-0005-0000-0000-0000937A0000}"/>
    <cellStyle name="Normal 3 19 3 7 5" xfId="12656" xr:uid="{00000000-0005-0000-0000-0000947A0000}"/>
    <cellStyle name="Normal 3 19 3 7 5 2" xfId="26224" xr:uid="{00000000-0005-0000-0000-0000957A0000}"/>
    <cellStyle name="Normal 3 19 3 7 5 2 2" xfId="53357" xr:uid="{00000000-0005-0000-0000-0000967A0000}"/>
    <cellStyle name="Normal 3 19 3 7 5 3" xfId="39795" xr:uid="{00000000-0005-0000-0000-0000977A0000}"/>
    <cellStyle name="Normal 3 19 3 7 6" xfId="19443" xr:uid="{00000000-0005-0000-0000-0000987A0000}"/>
    <cellStyle name="Normal 3 19 3 7 6 2" xfId="46576" xr:uid="{00000000-0005-0000-0000-0000997A0000}"/>
    <cellStyle name="Normal 3 19 3 7 7" xfId="33014" xr:uid="{00000000-0005-0000-0000-00009A7A0000}"/>
    <cellStyle name="Normal 3 19 3 8" xfId="5716" xr:uid="{00000000-0005-0000-0000-00009B7A0000}"/>
    <cellStyle name="Normal 3 19 3 8 2" xfId="9259" xr:uid="{00000000-0005-0000-0000-00009C7A0000}"/>
    <cellStyle name="Normal 3 19 3 8 2 2" xfId="16048" xr:uid="{00000000-0005-0000-0000-00009D7A0000}"/>
    <cellStyle name="Normal 3 19 3 8 2 2 2" xfId="29616" xr:uid="{00000000-0005-0000-0000-00009E7A0000}"/>
    <cellStyle name="Normal 3 19 3 8 2 2 2 2" xfId="56749" xr:uid="{00000000-0005-0000-0000-00009F7A0000}"/>
    <cellStyle name="Normal 3 19 3 8 2 2 3" xfId="43187" xr:uid="{00000000-0005-0000-0000-0000A07A0000}"/>
    <cellStyle name="Normal 3 19 3 8 2 3" xfId="22835" xr:uid="{00000000-0005-0000-0000-0000A17A0000}"/>
    <cellStyle name="Normal 3 19 3 8 2 3 2" xfId="49968" xr:uid="{00000000-0005-0000-0000-0000A27A0000}"/>
    <cellStyle name="Normal 3 19 3 8 2 4" xfId="36406" xr:uid="{00000000-0005-0000-0000-0000A37A0000}"/>
    <cellStyle name="Normal 3 19 3 8 3" xfId="12659" xr:uid="{00000000-0005-0000-0000-0000A47A0000}"/>
    <cellStyle name="Normal 3 19 3 8 3 2" xfId="26227" xr:uid="{00000000-0005-0000-0000-0000A57A0000}"/>
    <cellStyle name="Normal 3 19 3 8 3 2 2" xfId="53360" xr:uid="{00000000-0005-0000-0000-0000A67A0000}"/>
    <cellStyle name="Normal 3 19 3 8 3 3" xfId="39798" xr:uid="{00000000-0005-0000-0000-0000A77A0000}"/>
    <cellStyle name="Normal 3 19 3 8 4" xfId="19446" xr:uid="{00000000-0005-0000-0000-0000A87A0000}"/>
    <cellStyle name="Normal 3 19 3 8 4 2" xfId="46579" xr:uid="{00000000-0005-0000-0000-0000A97A0000}"/>
    <cellStyle name="Normal 3 19 3 8 5" xfId="33017" xr:uid="{00000000-0005-0000-0000-0000AA7A0000}"/>
    <cellStyle name="Normal 3 19 3 9" xfId="5717" xr:uid="{00000000-0005-0000-0000-0000AB7A0000}"/>
    <cellStyle name="Normal 3 19 3 9 2" xfId="9260" xr:uid="{00000000-0005-0000-0000-0000AC7A0000}"/>
    <cellStyle name="Normal 3 19 3 9 2 2" xfId="16049" xr:uid="{00000000-0005-0000-0000-0000AD7A0000}"/>
    <cellStyle name="Normal 3 19 3 9 2 2 2" xfId="29617" xr:uid="{00000000-0005-0000-0000-0000AE7A0000}"/>
    <cellStyle name="Normal 3 19 3 9 2 2 2 2" xfId="56750" xr:uid="{00000000-0005-0000-0000-0000AF7A0000}"/>
    <cellStyle name="Normal 3 19 3 9 2 2 3" xfId="43188" xr:uid="{00000000-0005-0000-0000-0000B07A0000}"/>
    <cellStyle name="Normal 3 19 3 9 2 3" xfId="22836" xr:uid="{00000000-0005-0000-0000-0000B17A0000}"/>
    <cellStyle name="Normal 3 19 3 9 2 3 2" xfId="49969" xr:uid="{00000000-0005-0000-0000-0000B27A0000}"/>
    <cellStyle name="Normal 3 19 3 9 2 4" xfId="36407" xr:uid="{00000000-0005-0000-0000-0000B37A0000}"/>
    <cellStyle name="Normal 3 19 3 9 3" xfId="12660" xr:uid="{00000000-0005-0000-0000-0000B47A0000}"/>
    <cellStyle name="Normal 3 19 3 9 3 2" xfId="26228" xr:uid="{00000000-0005-0000-0000-0000B57A0000}"/>
    <cellStyle name="Normal 3 19 3 9 3 2 2" xfId="53361" xr:uid="{00000000-0005-0000-0000-0000B67A0000}"/>
    <cellStyle name="Normal 3 19 3 9 3 3" xfId="39799" xr:uid="{00000000-0005-0000-0000-0000B77A0000}"/>
    <cellStyle name="Normal 3 19 3 9 4" xfId="19447" xr:uid="{00000000-0005-0000-0000-0000B87A0000}"/>
    <cellStyle name="Normal 3 19 3 9 4 2" xfId="46580" xr:uid="{00000000-0005-0000-0000-0000B97A0000}"/>
    <cellStyle name="Normal 3 19 3 9 5" xfId="33018" xr:uid="{00000000-0005-0000-0000-0000BA7A0000}"/>
    <cellStyle name="Normal 3 19 4" xfId="5718" xr:uid="{00000000-0005-0000-0000-0000BB7A0000}"/>
    <cellStyle name="Normal 3 19 4 10" xfId="33019" xr:uid="{00000000-0005-0000-0000-0000BC7A0000}"/>
    <cellStyle name="Normal 3 19 4 2" xfId="5719" xr:uid="{00000000-0005-0000-0000-0000BD7A0000}"/>
    <cellStyle name="Normal 3 19 4 2 2" xfId="5720" xr:uid="{00000000-0005-0000-0000-0000BE7A0000}"/>
    <cellStyle name="Normal 3 19 4 2 2 2" xfId="5721" xr:uid="{00000000-0005-0000-0000-0000BF7A0000}"/>
    <cellStyle name="Normal 3 19 4 2 2 2 2" xfId="9264" xr:uid="{00000000-0005-0000-0000-0000C07A0000}"/>
    <cellStyle name="Normal 3 19 4 2 2 2 2 2" xfId="16053" xr:uid="{00000000-0005-0000-0000-0000C17A0000}"/>
    <cellStyle name="Normal 3 19 4 2 2 2 2 2 2" xfId="29621" xr:uid="{00000000-0005-0000-0000-0000C27A0000}"/>
    <cellStyle name="Normal 3 19 4 2 2 2 2 2 2 2" xfId="56754" xr:uid="{00000000-0005-0000-0000-0000C37A0000}"/>
    <cellStyle name="Normal 3 19 4 2 2 2 2 2 3" xfId="43192" xr:uid="{00000000-0005-0000-0000-0000C47A0000}"/>
    <cellStyle name="Normal 3 19 4 2 2 2 2 3" xfId="22840" xr:uid="{00000000-0005-0000-0000-0000C57A0000}"/>
    <cellStyle name="Normal 3 19 4 2 2 2 2 3 2" xfId="49973" xr:uid="{00000000-0005-0000-0000-0000C67A0000}"/>
    <cellStyle name="Normal 3 19 4 2 2 2 2 4" xfId="36411" xr:uid="{00000000-0005-0000-0000-0000C77A0000}"/>
    <cellStyle name="Normal 3 19 4 2 2 2 3" xfId="12664" xr:uid="{00000000-0005-0000-0000-0000C87A0000}"/>
    <cellStyle name="Normal 3 19 4 2 2 2 3 2" xfId="26232" xr:uid="{00000000-0005-0000-0000-0000C97A0000}"/>
    <cellStyle name="Normal 3 19 4 2 2 2 3 2 2" xfId="53365" xr:uid="{00000000-0005-0000-0000-0000CA7A0000}"/>
    <cellStyle name="Normal 3 19 4 2 2 2 3 3" xfId="39803" xr:uid="{00000000-0005-0000-0000-0000CB7A0000}"/>
    <cellStyle name="Normal 3 19 4 2 2 2 4" xfId="19451" xr:uid="{00000000-0005-0000-0000-0000CC7A0000}"/>
    <cellStyle name="Normal 3 19 4 2 2 2 4 2" xfId="46584" xr:uid="{00000000-0005-0000-0000-0000CD7A0000}"/>
    <cellStyle name="Normal 3 19 4 2 2 2 5" xfId="33022" xr:uid="{00000000-0005-0000-0000-0000CE7A0000}"/>
    <cellStyle name="Normal 3 19 4 2 2 3" xfId="5722" xr:uid="{00000000-0005-0000-0000-0000CF7A0000}"/>
    <cellStyle name="Normal 3 19 4 2 2 3 2" xfId="9265" xr:uid="{00000000-0005-0000-0000-0000D07A0000}"/>
    <cellStyle name="Normal 3 19 4 2 2 3 2 2" xfId="16054" xr:uid="{00000000-0005-0000-0000-0000D17A0000}"/>
    <cellStyle name="Normal 3 19 4 2 2 3 2 2 2" xfId="29622" xr:uid="{00000000-0005-0000-0000-0000D27A0000}"/>
    <cellStyle name="Normal 3 19 4 2 2 3 2 2 2 2" xfId="56755" xr:uid="{00000000-0005-0000-0000-0000D37A0000}"/>
    <cellStyle name="Normal 3 19 4 2 2 3 2 2 3" xfId="43193" xr:uid="{00000000-0005-0000-0000-0000D47A0000}"/>
    <cellStyle name="Normal 3 19 4 2 2 3 2 3" xfId="22841" xr:uid="{00000000-0005-0000-0000-0000D57A0000}"/>
    <cellStyle name="Normal 3 19 4 2 2 3 2 3 2" xfId="49974" xr:uid="{00000000-0005-0000-0000-0000D67A0000}"/>
    <cellStyle name="Normal 3 19 4 2 2 3 2 4" xfId="36412" xr:uid="{00000000-0005-0000-0000-0000D77A0000}"/>
    <cellStyle name="Normal 3 19 4 2 2 3 3" xfId="12665" xr:uid="{00000000-0005-0000-0000-0000D87A0000}"/>
    <cellStyle name="Normal 3 19 4 2 2 3 3 2" xfId="26233" xr:uid="{00000000-0005-0000-0000-0000D97A0000}"/>
    <cellStyle name="Normal 3 19 4 2 2 3 3 2 2" xfId="53366" xr:uid="{00000000-0005-0000-0000-0000DA7A0000}"/>
    <cellStyle name="Normal 3 19 4 2 2 3 3 3" xfId="39804" xr:uid="{00000000-0005-0000-0000-0000DB7A0000}"/>
    <cellStyle name="Normal 3 19 4 2 2 3 4" xfId="19452" xr:uid="{00000000-0005-0000-0000-0000DC7A0000}"/>
    <cellStyle name="Normal 3 19 4 2 2 3 4 2" xfId="46585" xr:uid="{00000000-0005-0000-0000-0000DD7A0000}"/>
    <cellStyle name="Normal 3 19 4 2 2 3 5" xfId="33023" xr:uid="{00000000-0005-0000-0000-0000DE7A0000}"/>
    <cellStyle name="Normal 3 19 4 2 2 4" xfId="9263" xr:uid="{00000000-0005-0000-0000-0000DF7A0000}"/>
    <cellStyle name="Normal 3 19 4 2 2 4 2" xfId="16052" xr:uid="{00000000-0005-0000-0000-0000E07A0000}"/>
    <cellStyle name="Normal 3 19 4 2 2 4 2 2" xfId="29620" xr:uid="{00000000-0005-0000-0000-0000E17A0000}"/>
    <cellStyle name="Normal 3 19 4 2 2 4 2 2 2" xfId="56753" xr:uid="{00000000-0005-0000-0000-0000E27A0000}"/>
    <cellStyle name="Normal 3 19 4 2 2 4 2 3" xfId="43191" xr:uid="{00000000-0005-0000-0000-0000E37A0000}"/>
    <cellStyle name="Normal 3 19 4 2 2 4 3" xfId="22839" xr:uid="{00000000-0005-0000-0000-0000E47A0000}"/>
    <cellStyle name="Normal 3 19 4 2 2 4 3 2" xfId="49972" xr:uid="{00000000-0005-0000-0000-0000E57A0000}"/>
    <cellStyle name="Normal 3 19 4 2 2 4 4" xfId="36410" xr:uid="{00000000-0005-0000-0000-0000E67A0000}"/>
    <cellStyle name="Normal 3 19 4 2 2 5" xfId="12663" xr:uid="{00000000-0005-0000-0000-0000E77A0000}"/>
    <cellStyle name="Normal 3 19 4 2 2 5 2" xfId="26231" xr:uid="{00000000-0005-0000-0000-0000E87A0000}"/>
    <cellStyle name="Normal 3 19 4 2 2 5 2 2" xfId="53364" xr:uid="{00000000-0005-0000-0000-0000E97A0000}"/>
    <cellStyle name="Normal 3 19 4 2 2 5 3" xfId="39802" xr:uid="{00000000-0005-0000-0000-0000EA7A0000}"/>
    <cellStyle name="Normal 3 19 4 2 2 6" xfId="19450" xr:uid="{00000000-0005-0000-0000-0000EB7A0000}"/>
    <cellStyle name="Normal 3 19 4 2 2 6 2" xfId="46583" xr:uid="{00000000-0005-0000-0000-0000EC7A0000}"/>
    <cellStyle name="Normal 3 19 4 2 2 7" xfId="33021" xr:uid="{00000000-0005-0000-0000-0000ED7A0000}"/>
    <cellStyle name="Normal 3 19 4 2 3" xfId="5723" xr:uid="{00000000-0005-0000-0000-0000EE7A0000}"/>
    <cellStyle name="Normal 3 19 4 2 3 2" xfId="5724" xr:uid="{00000000-0005-0000-0000-0000EF7A0000}"/>
    <cellStyle name="Normal 3 19 4 2 3 2 2" xfId="9267" xr:uid="{00000000-0005-0000-0000-0000F07A0000}"/>
    <cellStyle name="Normal 3 19 4 2 3 2 2 2" xfId="16056" xr:uid="{00000000-0005-0000-0000-0000F17A0000}"/>
    <cellStyle name="Normal 3 19 4 2 3 2 2 2 2" xfId="29624" xr:uid="{00000000-0005-0000-0000-0000F27A0000}"/>
    <cellStyle name="Normal 3 19 4 2 3 2 2 2 2 2" xfId="56757" xr:uid="{00000000-0005-0000-0000-0000F37A0000}"/>
    <cellStyle name="Normal 3 19 4 2 3 2 2 2 3" xfId="43195" xr:uid="{00000000-0005-0000-0000-0000F47A0000}"/>
    <cellStyle name="Normal 3 19 4 2 3 2 2 3" xfId="22843" xr:uid="{00000000-0005-0000-0000-0000F57A0000}"/>
    <cellStyle name="Normal 3 19 4 2 3 2 2 3 2" xfId="49976" xr:uid="{00000000-0005-0000-0000-0000F67A0000}"/>
    <cellStyle name="Normal 3 19 4 2 3 2 2 4" xfId="36414" xr:uid="{00000000-0005-0000-0000-0000F77A0000}"/>
    <cellStyle name="Normal 3 19 4 2 3 2 3" xfId="12667" xr:uid="{00000000-0005-0000-0000-0000F87A0000}"/>
    <cellStyle name="Normal 3 19 4 2 3 2 3 2" xfId="26235" xr:uid="{00000000-0005-0000-0000-0000F97A0000}"/>
    <cellStyle name="Normal 3 19 4 2 3 2 3 2 2" xfId="53368" xr:uid="{00000000-0005-0000-0000-0000FA7A0000}"/>
    <cellStyle name="Normal 3 19 4 2 3 2 3 3" xfId="39806" xr:uid="{00000000-0005-0000-0000-0000FB7A0000}"/>
    <cellStyle name="Normal 3 19 4 2 3 2 4" xfId="19454" xr:uid="{00000000-0005-0000-0000-0000FC7A0000}"/>
    <cellStyle name="Normal 3 19 4 2 3 2 4 2" xfId="46587" xr:uid="{00000000-0005-0000-0000-0000FD7A0000}"/>
    <cellStyle name="Normal 3 19 4 2 3 2 5" xfId="33025" xr:uid="{00000000-0005-0000-0000-0000FE7A0000}"/>
    <cellStyle name="Normal 3 19 4 2 3 3" xfId="9266" xr:uid="{00000000-0005-0000-0000-0000FF7A0000}"/>
    <cellStyle name="Normal 3 19 4 2 3 3 2" xfId="16055" xr:uid="{00000000-0005-0000-0000-0000007B0000}"/>
    <cellStyle name="Normal 3 19 4 2 3 3 2 2" xfId="29623" xr:uid="{00000000-0005-0000-0000-0000017B0000}"/>
    <cellStyle name="Normal 3 19 4 2 3 3 2 2 2" xfId="56756" xr:uid="{00000000-0005-0000-0000-0000027B0000}"/>
    <cellStyle name="Normal 3 19 4 2 3 3 2 3" xfId="43194" xr:uid="{00000000-0005-0000-0000-0000037B0000}"/>
    <cellStyle name="Normal 3 19 4 2 3 3 3" xfId="22842" xr:uid="{00000000-0005-0000-0000-0000047B0000}"/>
    <cellStyle name="Normal 3 19 4 2 3 3 3 2" xfId="49975" xr:uid="{00000000-0005-0000-0000-0000057B0000}"/>
    <cellStyle name="Normal 3 19 4 2 3 3 4" xfId="36413" xr:uid="{00000000-0005-0000-0000-0000067B0000}"/>
    <cellStyle name="Normal 3 19 4 2 3 4" xfId="12666" xr:uid="{00000000-0005-0000-0000-0000077B0000}"/>
    <cellStyle name="Normal 3 19 4 2 3 4 2" xfId="26234" xr:uid="{00000000-0005-0000-0000-0000087B0000}"/>
    <cellStyle name="Normal 3 19 4 2 3 4 2 2" xfId="53367" xr:uid="{00000000-0005-0000-0000-0000097B0000}"/>
    <cellStyle name="Normal 3 19 4 2 3 4 3" xfId="39805" xr:uid="{00000000-0005-0000-0000-00000A7B0000}"/>
    <cellStyle name="Normal 3 19 4 2 3 5" xfId="19453" xr:uid="{00000000-0005-0000-0000-00000B7B0000}"/>
    <cellStyle name="Normal 3 19 4 2 3 5 2" xfId="46586" xr:uid="{00000000-0005-0000-0000-00000C7B0000}"/>
    <cellStyle name="Normal 3 19 4 2 3 6" xfId="33024" xr:uid="{00000000-0005-0000-0000-00000D7B0000}"/>
    <cellStyle name="Normal 3 19 4 2 4" xfId="5725" xr:uid="{00000000-0005-0000-0000-00000E7B0000}"/>
    <cellStyle name="Normal 3 19 4 2 4 2" xfId="9268" xr:uid="{00000000-0005-0000-0000-00000F7B0000}"/>
    <cellStyle name="Normal 3 19 4 2 4 2 2" xfId="16057" xr:uid="{00000000-0005-0000-0000-0000107B0000}"/>
    <cellStyle name="Normal 3 19 4 2 4 2 2 2" xfId="29625" xr:uid="{00000000-0005-0000-0000-0000117B0000}"/>
    <cellStyle name="Normal 3 19 4 2 4 2 2 2 2" xfId="56758" xr:uid="{00000000-0005-0000-0000-0000127B0000}"/>
    <cellStyle name="Normal 3 19 4 2 4 2 2 3" xfId="43196" xr:uid="{00000000-0005-0000-0000-0000137B0000}"/>
    <cellStyle name="Normal 3 19 4 2 4 2 3" xfId="22844" xr:uid="{00000000-0005-0000-0000-0000147B0000}"/>
    <cellStyle name="Normal 3 19 4 2 4 2 3 2" xfId="49977" xr:uid="{00000000-0005-0000-0000-0000157B0000}"/>
    <cellStyle name="Normal 3 19 4 2 4 2 4" xfId="36415" xr:uid="{00000000-0005-0000-0000-0000167B0000}"/>
    <cellStyle name="Normal 3 19 4 2 4 3" xfId="12668" xr:uid="{00000000-0005-0000-0000-0000177B0000}"/>
    <cellStyle name="Normal 3 19 4 2 4 3 2" xfId="26236" xr:uid="{00000000-0005-0000-0000-0000187B0000}"/>
    <cellStyle name="Normal 3 19 4 2 4 3 2 2" xfId="53369" xr:uid="{00000000-0005-0000-0000-0000197B0000}"/>
    <cellStyle name="Normal 3 19 4 2 4 3 3" xfId="39807" xr:uid="{00000000-0005-0000-0000-00001A7B0000}"/>
    <cellStyle name="Normal 3 19 4 2 4 4" xfId="19455" xr:uid="{00000000-0005-0000-0000-00001B7B0000}"/>
    <cellStyle name="Normal 3 19 4 2 4 4 2" xfId="46588" xr:uid="{00000000-0005-0000-0000-00001C7B0000}"/>
    <cellStyle name="Normal 3 19 4 2 4 5" xfId="33026" xr:uid="{00000000-0005-0000-0000-00001D7B0000}"/>
    <cellStyle name="Normal 3 19 4 2 5" xfId="5726" xr:uid="{00000000-0005-0000-0000-00001E7B0000}"/>
    <cellStyle name="Normal 3 19 4 2 5 2" xfId="9269" xr:uid="{00000000-0005-0000-0000-00001F7B0000}"/>
    <cellStyle name="Normal 3 19 4 2 5 2 2" xfId="16058" xr:uid="{00000000-0005-0000-0000-0000207B0000}"/>
    <cellStyle name="Normal 3 19 4 2 5 2 2 2" xfId="29626" xr:uid="{00000000-0005-0000-0000-0000217B0000}"/>
    <cellStyle name="Normal 3 19 4 2 5 2 2 2 2" xfId="56759" xr:uid="{00000000-0005-0000-0000-0000227B0000}"/>
    <cellStyle name="Normal 3 19 4 2 5 2 2 3" xfId="43197" xr:uid="{00000000-0005-0000-0000-0000237B0000}"/>
    <cellStyle name="Normal 3 19 4 2 5 2 3" xfId="22845" xr:uid="{00000000-0005-0000-0000-0000247B0000}"/>
    <cellStyle name="Normal 3 19 4 2 5 2 3 2" xfId="49978" xr:uid="{00000000-0005-0000-0000-0000257B0000}"/>
    <cellStyle name="Normal 3 19 4 2 5 2 4" xfId="36416" xr:uid="{00000000-0005-0000-0000-0000267B0000}"/>
    <cellStyle name="Normal 3 19 4 2 5 3" xfId="12669" xr:uid="{00000000-0005-0000-0000-0000277B0000}"/>
    <cellStyle name="Normal 3 19 4 2 5 3 2" xfId="26237" xr:uid="{00000000-0005-0000-0000-0000287B0000}"/>
    <cellStyle name="Normal 3 19 4 2 5 3 2 2" xfId="53370" xr:uid="{00000000-0005-0000-0000-0000297B0000}"/>
    <cellStyle name="Normal 3 19 4 2 5 3 3" xfId="39808" xr:uid="{00000000-0005-0000-0000-00002A7B0000}"/>
    <cellStyle name="Normal 3 19 4 2 5 4" xfId="19456" xr:uid="{00000000-0005-0000-0000-00002B7B0000}"/>
    <cellStyle name="Normal 3 19 4 2 5 4 2" xfId="46589" xr:uid="{00000000-0005-0000-0000-00002C7B0000}"/>
    <cellStyle name="Normal 3 19 4 2 5 5" xfId="33027" xr:uid="{00000000-0005-0000-0000-00002D7B0000}"/>
    <cellStyle name="Normal 3 19 4 2 6" xfId="9262" xr:uid="{00000000-0005-0000-0000-00002E7B0000}"/>
    <cellStyle name="Normal 3 19 4 2 6 2" xfId="16051" xr:uid="{00000000-0005-0000-0000-00002F7B0000}"/>
    <cellStyle name="Normal 3 19 4 2 6 2 2" xfId="29619" xr:uid="{00000000-0005-0000-0000-0000307B0000}"/>
    <cellStyle name="Normal 3 19 4 2 6 2 2 2" xfId="56752" xr:uid="{00000000-0005-0000-0000-0000317B0000}"/>
    <cellStyle name="Normal 3 19 4 2 6 2 3" xfId="43190" xr:uid="{00000000-0005-0000-0000-0000327B0000}"/>
    <cellStyle name="Normal 3 19 4 2 6 3" xfId="22838" xr:uid="{00000000-0005-0000-0000-0000337B0000}"/>
    <cellStyle name="Normal 3 19 4 2 6 3 2" xfId="49971" xr:uid="{00000000-0005-0000-0000-0000347B0000}"/>
    <cellStyle name="Normal 3 19 4 2 6 4" xfId="36409" xr:uid="{00000000-0005-0000-0000-0000357B0000}"/>
    <cellStyle name="Normal 3 19 4 2 7" xfId="12662" xr:uid="{00000000-0005-0000-0000-0000367B0000}"/>
    <cellStyle name="Normal 3 19 4 2 7 2" xfId="26230" xr:uid="{00000000-0005-0000-0000-0000377B0000}"/>
    <cellStyle name="Normal 3 19 4 2 7 2 2" xfId="53363" xr:uid="{00000000-0005-0000-0000-0000387B0000}"/>
    <cellStyle name="Normal 3 19 4 2 7 3" xfId="39801" xr:uid="{00000000-0005-0000-0000-0000397B0000}"/>
    <cellStyle name="Normal 3 19 4 2 8" xfId="19449" xr:uid="{00000000-0005-0000-0000-00003A7B0000}"/>
    <cellStyle name="Normal 3 19 4 2 8 2" xfId="46582" xr:uid="{00000000-0005-0000-0000-00003B7B0000}"/>
    <cellStyle name="Normal 3 19 4 2 9" xfId="33020" xr:uid="{00000000-0005-0000-0000-00003C7B0000}"/>
    <cellStyle name="Normal 3 19 4 3" xfId="5727" xr:uid="{00000000-0005-0000-0000-00003D7B0000}"/>
    <cellStyle name="Normal 3 19 4 3 2" xfId="5728" xr:uid="{00000000-0005-0000-0000-00003E7B0000}"/>
    <cellStyle name="Normal 3 19 4 3 2 2" xfId="9271" xr:uid="{00000000-0005-0000-0000-00003F7B0000}"/>
    <cellStyle name="Normal 3 19 4 3 2 2 2" xfId="16060" xr:uid="{00000000-0005-0000-0000-0000407B0000}"/>
    <cellStyle name="Normal 3 19 4 3 2 2 2 2" xfId="29628" xr:uid="{00000000-0005-0000-0000-0000417B0000}"/>
    <cellStyle name="Normal 3 19 4 3 2 2 2 2 2" xfId="56761" xr:uid="{00000000-0005-0000-0000-0000427B0000}"/>
    <cellStyle name="Normal 3 19 4 3 2 2 2 3" xfId="43199" xr:uid="{00000000-0005-0000-0000-0000437B0000}"/>
    <cellStyle name="Normal 3 19 4 3 2 2 3" xfId="22847" xr:uid="{00000000-0005-0000-0000-0000447B0000}"/>
    <cellStyle name="Normal 3 19 4 3 2 2 3 2" xfId="49980" xr:uid="{00000000-0005-0000-0000-0000457B0000}"/>
    <cellStyle name="Normal 3 19 4 3 2 2 4" xfId="36418" xr:uid="{00000000-0005-0000-0000-0000467B0000}"/>
    <cellStyle name="Normal 3 19 4 3 2 3" xfId="12671" xr:uid="{00000000-0005-0000-0000-0000477B0000}"/>
    <cellStyle name="Normal 3 19 4 3 2 3 2" xfId="26239" xr:uid="{00000000-0005-0000-0000-0000487B0000}"/>
    <cellStyle name="Normal 3 19 4 3 2 3 2 2" xfId="53372" xr:uid="{00000000-0005-0000-0000-0000497B0000}"/>
    <cellStyle name="Normal 3 19 4 3 2 3 3" xfId="39810" xr:uid="{00000000-0005-0000-0000-00004A7B0000}"/>
    <cellStyle name="Normal 3 19 4 3 2 4" xfId="19458" xr:uid="{00000000-0005-0000-0000-00004B7B0000}"/>
    <cellStyle name="Normal 3 19 4 3 2 4 2" xfId="46591" xr:uid="{00000000-0005-0000-0000-00004C7B0000}"/>
    <cellStyle name="Normal 3 19 4 3 2 5" xfId="33029" xr:uid="{00000000-0005-0000-0000-00004D7B0000}"/>
    <cellStyle name="Normal 3 19 4 3 3" xfId="5729" xr:uid="{00000000-0005-0000-0000-00004E7B0000}"/>
    <cellStyle name="Normal 3 19 4 3 3 2" xfId="9272" xr:uid="{00000000-0005-0000-0000-00004F7B0000}"/>
    <cellStyle name="Normal 3 19 4 3 3 2 2" xfId="16061" xr:uid="{00000000-0005-0000-0000-0000507B0000}"/>
    <cellStyle name="Normal 3 19 4 3 3 2 2 2" xfId="29629" xr:uid="{00000000-0005-0000-0000-0000517B0000}"/>
    <cellStyle name="Normal 3 19 4 3 3 2 2 2 2" xfId="56762" xr:uid="{00000000-0005-0000-0000-0000527B0000}"/>
    <cellStyle name="Normal 3 19 4 3 3 2 2 3" xfId="43200" xr:uid="{00000000-0005-0000-0000-0000537B0000}"/>
    <cellStyle name="Normal 3 19 4 3 3 2 3" xfId="22848" xr:uid="{00000000-0005-0000-0000-0000547B0000}"/>
    <cellStyle name="Normal 3 19 4 3 3 2 3 2" xfId="49981" xr:uid="{00000000-0005-0000-0000-0000557B0000}"/>
    <cellStyle name="Normal 3 19 4 3 3 2 4" xfId="36419" xr:uid="{00000000-0005-0000-0000-0000567B0000}"/>
    <cellStyle name="Normal 3 19 4 3 3 3" xfId="12672" xr:uid="{00000000-0005-0000-0000-0000577B0000}"/>
    <cellStyle name="Normal 3 19 4 3 3 3 2" xfId="26240" xr:uid="{00000000-0005-0000-0000-0000587B0000}"/>
    <cellStyle name="Normal 3 19 4 3 3 3 2 2" xfId="53373" xr:uid="{00000000-0005-0000-0000-0000597B0000}"/>
    <cellStyle name="Normal 3 19 4 3 3 3 3" xfId="39811" xr:uid="{00000000-0005-0000-0000-00005A7B0000}"/>
    <cellStyle name="Normal 3 19 4 3 3 4" xfId="19459" xr:uid="{00000000-0005-0000-0000-00005B7B0000}"/>
    <cellStyle name="Normal 3 19 4 3 3 4 2" xfId="46592" xr:uid="{00000000-0005-0000-0000-00005C7B0000}"/>
    <cellStyle name="Normal 3 19 4 3 3 5" xfId="33030" xr:uid="{00000000-0005-0000-0000-00005D7B0000}"/>
    <cellStyle name="Normal 3 19 4 3 4" xfId="9270" xr:uid="{00000000-0005-0000-0000-00005E7B0000}"/>
    <cellStyle name="Normal 3 19 4 3 4 2" xfId="16059" xr:uid="{00000000-0005-0000-0000-00005F7B0000}"/>
    <cellStyle name="Normal 3 19 4 3 4 2 2" xfId="29627" xr:uid="{00000000-0005-0000-0000-0000607B0000}"/>
    <cellStyle name="Normal 3 19 4 3 4 2 2 2" xfId="56760" xr:uid="{00000000-0005-0000-0000-0000617B0000}"/>
    <cellStyle name="Normal 3 19 4 3 4 2 3" xfId="43198" xr:uid="{00000000-0005-0000-0000-0000627B0000}"/>
    <cellStyle name="Normal 3 19 4 3 4 3" xfId="22846" xr:uid="{00000000-0005-0000-0000-0000637B0000}"/>
    <cellStyle name="Normal 3 19 4 3 4 3 2" xfId="49979" xr:uid="{00000000-0005-0000-0000-0000647B0000}"/>
    <cellStyle name="Normal 3 19 4 3 4 4" xfId="36417" xr:uid="{00000000-0005-0000-0000-0000657B0000}"/>
    <cellStyle name="Normal 3 19 4 3 5" xfId="12670" xr:uid="{00000000-0005-0000-0000-0000667B0000}"/>
    <cellStyle name="Normal 3 19 4 3 5 2" xfId="26238" xr:uid="{00000000-0005-0000-0000-0000677B0000}"/>
    <cellStyle name="Normal 3 19 4 3 5 2 2" xfId="53371" xr:uid="{00000000-0005-0000-0000-0000687B0000}"/>
    <cellStyle name="Normal 3 19 4 3 5 3" xfId="39809" xr:uid="{00000000-0005-0000-0000-0000697B0000}"/>
    <cellStyle name="Normal 3 19 4 3 6" xfId="19457" xr:uid="{00000000-0005-0000-0000-00006A7B0000}"/>
    <cellStyle name="Normal 3 19 4 3 6 2" xfId="46590" xr:uid="{00000000-0005-0000-0000-00006B7B0000}"/>
    <cellStyle name="Normal 3 19 4 3 7" xfId="33028" xr:uid="{00000000-0005-0000-0000-00006C7B0000}"/>
    <cellStyle name="Normal 3 19 4 4" xfId="5730" xr:uid="{00000000-0005-0000-0000-00006D7B0000}"/>
    <cellStyle name="Normal 3 19 4 4 2" xfId="5731" xr:uid="{00000000-0005-0000-0000-00006E7B0000}"/>
    <cellStyle name="Normal 3 19 4 4 2 2" xfId="9274" xr:uid="{00000000-0005-0000-0000-00006F7B0000}"/>
    <cellStyle name="Normal 3 19 4 4 2 2 2" xfId="16063" xr:uid="{00000000-0005-0000-0000-0000707B0000}"/>
    <cellStyle name="Normal 3 19 4 4 2 2 2 2" xfId="29631" xr:uid="{00000000-0005-0000-0000-0000717B0000}"/>
    <cellStyle name="Normal 3 19 4 4 2 2 2 2 2" xfId="56764" xr:uid="{00000000-0005-0000-0000-0000727B0000}"/>
    <cellStyle name="Normal 3 19 4 4 2 2 2 3" xfId="43202" xr:uid="{00000000-0005-0000-0000-0000737B0000}"/>
    <cellStyle name="Normal 3 19 4 4 2 2 3" xfId="22850" xr:uid="{00000000-0005-0000-0000-0000747B0000}"/>
    <cellStyle name="Normal 3 19 4 4 2 2 3 2" xfId="49983" xr:uid="{00000000-0005-0000-0000-0000757B0000}"/>
    <cellStyle name="Normal 3 19 4 4 2 2 4" xfId="36421" xr:uid="{00000000-0005-0000-0000-0000767B0000}"/>
    <cellStyle name="Normal 3 19 4 4 2 3" xfId="12674" xr:uid="{00000000-0005-0000-0000-0000777B0000}"/>
    <cellStyle name="Normal 3 19 4 4 2 3 2" xfId="26242" xr:uid="{00000000-0005-0000-0000-0000787B0000}"/>
    <cellStyle name="Normal 3 19 4 4 2 3 2 2" xfId="53375" xr:uid="{00000000-0005-0000-0000-0000797B0000}"/>
    <cellStyle name="Normal 3 19 4 4 2 3 3" xfId="39813" xr:uid="{00000000-0005-0000-0000-00007A7B0000}"/>
    <cellStyle name="Normal 3 19 4 4 2 4" xfId="19461" xr:uid="{00000000-0005-0000-0000-00007B7B0000}"/>
    <cellStyle name="Normal 3 19 4 4 2 4 2" xfId="46594" xr:uid="{00000000-0005-0000-0000-00007C7B0000}"/>
    <cellStyle name="Normal 3 19 4 4 2 5" xfId="33032" xr:uid="{00000000-0005-0000-0000-00007D7B0000}"/>
    <cellStyle name="Normal 3 19 4 4 3" xfId="9273" xr:uid="{00000000-0005-0000-0000-00007E7B0000}"/>
    <cellStyle name="Normal 3 19 4 4 3 2" xfId="16062" xr:uid="{00000000-0005-0000-0000-00007F7B0000}"/>
    <cellStyle name="Normal 3 19 4 4 3 2 2" xfId="29630" xr:uid="{00000000-0005-0000-0000-0000807B0000}"/>
    <cellStyle name="Normal 3 19 4 4 3 2 2 2" xfId="56763" xr:uid="{00000000-0005-0000-0000-0000817B0000}"/>
    <cellStyle name="Normal 3 19 4 4 3 2 3" xfId="43201" xr:uid="{00000000-0005-0000-0000-0000827B0000}"/>
    <cellStyle name="Normal 3 19 4 4 3 3" xfId="22849" xr:uid="{00000000-0005-0000-0000-0000837B0000}"/>
    <cellStyle name="Normal 3 19 4 4 3 3 2" xfId="49982" xr:uid="{00000000-0005-0000-0000-0000847B0000}"/>
    <cellStyle name="Normal 3 19 4 4 3 4" xfId="36420" xr:uid="{00000000-0005-0000-0000-0000857B0000}"/>
    <cellStyle name="Normal 3 19 4 4 4" xfId="12673" xr:uid="{00000000-0005-0000-0000-0000867B0000}"/>
    <cellStyle name="Normal 3 19 4 4 4 2" xfId="26241" xr:uid="{00000000-0005-0000-0000-0000877B0000}"/>
    <cellStyle name="Normal 3 19 4 4 4 2 2" xfId="53374" xr:uid="{00000000-0005-0000-0000-0000887B0000}"/>
    <cellStyle name="Normal 3 19 4 4 4 3" xfId="39812" xr:uid="{00000000-0005-0000-0000-0000897B0000}"/>
    <cellStyle name="Normal 3 19 4 4 5" xfId="19460" xr:uid="{00000000-0005-0000-0000-00008A7B0000}"/>
    <cellStyle name="Normal 3 19 4 4 5 2" xfId="46593" xr:uid="{00000000-0005-0000-0000-00008B7B0000}"/>
    <cellStyle name="Normal 3 19 4 4 6" xfId="33031" xr:uid="{00000000-0005-0000-0000-00008C7B0000}"/>
    <cellStyle name="Normal 3 19 4 5" xfId="5732" xr:uid="{00000000-0005-0000-0000-00008D7B0000}"/>
    <cellStyle name="Normal 3 19 4 5 2" xfId="9275" xr:uid="{00000000-0005-0000-0000-00008E7B0000}"/>
    <cellStyle name="Normal 3 19 4 5 2 2" xfId="16064" xr:uid="{00000000-0005-0000-0000-00008F7B0000}"/>
    <cellStyle name="Normal 3 19 4 5 2 2 2" xfId="29632" xr:uid="{00000000-0005-0000-0000-0000907B0000}"/>
    <cellStyle name="Normal 3 19 4 5 2 2 2 2" xfId="56765" xr:uid="{00000000-0005-0000-0000-0000917B0000}"/>
    <cellStyle name="Normal 3 19 4 5 2 2 3" xfId="43203" xr:uid="{00000000-0005-0000-0000-0000927B0000}"/>
    <cellStyle name="Normal 3 19 4 5 2 3" xfId="22851" xr:uid="{00000000-0005-0000-0000-0000937B0000}"/>
    <cellStyle name="Normal 3 19 4 5 2 3 2" xfId="49984" xr:uid="{00000000-0005-0000-0000-0000947B0000}"/>
    <cellStyle name="Normal 3 19 4 5 2 4" xfId="36422" xr:uid="{00000000-0005-0000-0000-0000957B0000}"/>
    <cellStyle name="Normal 3 19 4 5 3" xfId="12675" xr:uid="{00000000-0005-0000-0000-0000967B0000}"/>
    <cellStyle name="Normal 3 19 4 5 3 2" xfId="26243" xr:uid="{00000000-0005-0000-0000-0000977B0000}"/>
    <cellStyle name="Normal 3 19 4 5 3 2 2" xfId="53376" xr:uid="{00000000-0005-0000-0000-0000987B0000}"/>
    <cellStyle name="Normal 3 19 4 5 3 3" xfId="39814" xr:uid="{00000000-0005-0000-0000-0000997B0000}"/>
    <cellStyle name="Normal 3 19 4 5 4" xfId="19462" xr:uid="{00000000-0005-0000-0000-00009A7B0000}"/>
    <cellStyle name="Normal 3 19 4 5 4 2" xfId="46595" xr:uid="{00000000-0005-0000-0000-00009B7B0000}"/>
    <cellStyle name="Normal 3 19 4 5 5" xfId="33033" xr:uid="{00000000-0005-0000-0000-00009C7B0000}"/>
    <cellStyle name="Normal 3 19 4 6" xfId="5733" xr:uid="{00000000-0005-0000-0000-00009D7B0000}"/>
    <cellStyle name="Normal 3 19 4 6 2" xfId="9276" xr:uid="{00000000-0005-0000-0000-00009E7B0000}"/>
    <cellStyle name="Normal 3 19 4 6 2 2" xfId="16065" xr:uid="{00000000-0005-0000-0000-00009F7B0000}"/>
    <cellStyle name="Normal 3 19 4 6 2 2 2" xfId="29633" xr:uid="{00000000-0005-0000-0000-0000A07B0000}"/>
    <cellStyle name="Normal 3 19 4 6 2 2 2 2" xfId="56766" xr:uid="{00000000-0005-0000-0000-0000A17B0000}"/>
    <cellStyle name="Normal 3 19 4 6 2 2 3" xfId="43204" xr:uid="{00000000-0005-0000-0000-0000A27B0000}"/>
    <cellStyle name="Normal 3 19 4 6 2 3" xfId="22852" xr:uid="{00000000-0005-0000-0000-0000A37B0000}"/>
    <cellStyle name="Normal 3 19 4 6 2 3 2" xfId="49985" xr:uid="{00000000-0005-0000-0000-0000A47B0000}"/>
    <cellStyle name="Normal 3 19 4 6 2 4" xfId="36423" xr:uid="{00000000-0005-0000-0000-0000A57B0000}"/>
    <cellStyle name="Normal 3 19 4 6 3" xfId="12676" xr:uid="{00000000-0005-0000-0000-0000A67B0000}"/>
    <cellStyle name="Normal 3 19 4 6 3 2" xfId="26244" xr:uid="{00000000-0005-0000-0000-0000A77B0000}"/>
    <cellStyle name="Normal 3 19 4 6 3 2 2" xfId="53377" xr:uid="{00000000-0005-0000-0000-0000A87B0000}"/>
    <cellStyle name="Normal 3 19 4 6 3 3" xfId="39815" xr:uid="{00000000-0005-0000-0000-0000A97B0000}"/>
    <cellStyle name="Normal 3 19 4 6 4" xfId="19463" xr:uid="{00000000-0005-0000-0000-0000AA7B0000}"/>
    <cellStyle name="Normal 3 19 4 6 4 2" xfId="46596" xr:uid="{00000000-0005-0000-0000-0000AB7B0000}"/>
    <cellStyle name="Normal 3 19 4 6 5" xfId="33034" xr:uid="{00000000-0005-0000-0000-0000AC7B0000}"/>
    <cellStyle name="Normal 3 19 4 7" xfId="9261" xr:uid="{00000000-0005-0000-0000-0000AD7B0000}"/>
    <cellStyle name="Normal 3 19 4 7 2" xfId="16050" xr:uid="{00000000-0005-0000-0000-0000AE7B0000}"/>
    <cellStyle name="Normal 3 19 4 7 2 2" xfId="29618" xr:uid="{00000000-0005-0000-0000-0000AF7B0000}"/>
    <cellStyle name="Normal 3 19 4 7 2 2 2" xfId="56751" xr:uid="{00000000-0005-0000-0000-0000B07B0000}"/>
    <cellStyle name="Normal 3 19 4 7 2 3" xfId="43189" xr:uid="{00000000-0005-0000-0000-0000B17B0000}"/>
    <cellStyle name="Normal 3 19 4 7 3" xfId="22837" xr:uid="{00000000-0005-0000-0000-0000B27B0000}"/>
    <cellStyle name="Normal 3 19 4 7 3 2" xfId="49970" xr:uid="{00000000-0005-0000-0000-0000B37B0000}"/>
    <cellStyle name="Normal 3 19 4 7 4" xfId="36408" xr:uid="{00000000-0005-0000-0000-0000B47B0000}"/>
    <cellStyle name="Normal 3 19 4 8" xfId="12661" xr:uid="{00000000-0005-0000-0000-0000B57B0000}"/>
    <cellStyle name="Normal 3 19 4 8 2" xfId="26229" xr:uid="{00000000-0005-0000-0000-0000B67B0000}"/>
    <cellStyle name="Normal 3 19 4 8 2 2" xfId="53362" xr:uid="{00000000-0005-0000-0000-0000B77B0000}"/>
    <cellStyle name="Normal 3 19 4 8 3" xfId="39800" xr:uid="{00000000-0005-0000-0000-0000B87B0000}"/>
    <cellStyle name="Normal 3 19 4 9" xfId="19448" xr:uid="{00000000-0005-0000-0000-0000B97B0000}"/>
    <cellStyle name="Normal 3 19 4 9 2" xfId="46581" xr:uid="{00000000-0005-0000-0000-0000BA7B0000}"/>
    <cellStyle name="Normal 3 19 5" xfId="5734" xr:uid="{00000000-0005-0000-0000-0000BB7B0000}"/>
    <cellStyle name="Normal 3 19 5 2" xfId="5735" xr:uid="{00000000-0005-0000-0000-0000BC7B0000}"/>
    <cellStyle name="Normal 3 19 5 2 2" xfId="5736" xr:uid="{00000000-0005-0000-0000-0000BD7B0000}"/>
    <cellStyle name="Normal 3 19 5 2 2 2" xfId="9279" xr:uid="{00000000-0005-0000-0000-0000BE7B0000}"/>
    <cellStyle name="Normal 3 19 5 2 2 2 2" xfId="16068" xr:uid="{00000000-0005-0000-0000-0000BF7B0000}"/>
    <cellStyle name="Normal 3 19 5 2 2 2 2 2" xfId="29636" xr:uid="{00000000-0005-0000-0000-0000C07B0000}"/>
    <cellStyle name="Normal 3 19 5 2 2 2 2 2 2" xfId="56769" xr:uid="{00000000-0005-0000-0000-0000C17B0000}"/>
    <cellStyle name="Normal 3 19 5 2 2 2 2 3" xfId="43207" xr:uid="{00000000-0005-0000-0000-0000C27B0000}"/>
    <cellStyle name="Normal 3 19 5 2 2 2 3" xfId="22855" xr:uid="{00000000-0005-0000-0000-0000C37B0000}"/>
    <cellStyle name="Normal 3 19 5 2 2 2 3 2" xfId="49988" xr:uid="{00000000-0005-0000-0000-0000C47B0000}"/>
    <cellStyle name="Normal 3 19 5 2 2 2 4" xfId="36426" xr:uid="{00000000-0005-0000-0000-0000C57B0000}"/>
    <cellStyle name="Normal 3 19 5 2 2 3" xfId="12679" xr:uid="{00000000-0005-0000-0000-0000C67B0000}"/>
    <cellStyle name="Normal 3 19 5 2 2 3 2" xfId="26247" xr:uid="{00000000-0005-0000-0000-0000C77B0000}"/>
    <cellStyle name="Normal 3 19 5 2 2 3 2 2" xfId="53380" xr:uid="{00000000-0005-0000-0000-0000C87B0000}"/>
    <cellStyle name="Normal 3 19 5 2 2 3 3" xfId="39818" xr:uid="{00000000-0005-0000-0000-0000C97B0000}"/>
    <cellStyle name="Normal 3 19 5 2 2 4" xfId="19466" xr:uid="{00000000-0005-0000-0000-0000CA7B0000}"/>
    <cellStyle name="Normal 3 19 5 2 2 4 2" xfId="46599" xr:uid="{00000000-0005-0000-0000-0000CB7B0000}"/>
    <cellStyle name="Normal 3 19 5 2 2 5" xfId="33037" xr:uid="{00000000-0005-0000-0000-0000CC7B0000}"/>
    <cellStyle name="Normal 3 19 5 2 3" xfId="5737" xr:uid="{00000000-0005-0000-0000-0000CD7B0000}"/>
    <cellStyle name="Normal 3 19 5 2 3 2" xfId="9280" xr:uid="{00000000-0005-0000-0000-0000CE7B0000}"/>
    <cellStyle name="Normal 3 19 5 2 3 2 2" xfId="16069" xr:uid="{00000000-0005-0000-0000-0000CF7B0000}"/>
    <cellStyle name="Normal 3 19 5 2 3 2 2 2" xfId="29637" xr:uid="{00000000-0005-0000-0000-0000D07B0000}"/>
    <cellStyle name="Normal 3 19 5 2 3 2 2 2 2" xfId="56770" xr:uid="{00000000-0005-0000-0000-0000D17B0000}"/>
    <cellStyle name="Normal 3 19 5 2 3 2 2 3" xfId="43208" xr:uid="{00000000-0005-0000-0000-0000D27B0000}"/>
    <cellStyle name="Normal 3 19 5 2 3 2 3" xfId="22856" xr:uid="{00000000-0005-0000-0000-0000D37B0000}"/>
    <cellStyle name="Normal 3 19 5 2 3 2 3 2" xfId="49989" xr:uid="{00000000-0005-0000-0000-0000D47B0000}"/>
    <cellStyle name="Normal 3 19 5 2 3 2 4" xfId="36427" xr:uid="{00000000-0005-0000-0000-0000D57B0000}"/>
    <cellStyle name="Normal 3 19 5 2 3 3" xfId="12680" xr:uid="{00000000-0005-0000-0000-0000D67B0000}"/>
    <cellStyle name="Normal 3 19 5 2 3 3 2" xfId="26248" xr:uid="{00000000-0005-0000-0000-0000D77B0000}"/>
    <cellStyle name="Normal 3 19 5 2 3 3 2 2" xfId="53381" xr:uid="{00000000-0005-0000-0000-0000D87B0000}"/>
    <cellStyle name="Normal 3 19 5 2 3 3 3" xfId="39819" xr:uid="{00000000-0005-0000-0000-0000D97B0000}"/>
    <cellStyle name="Normal 3 19 5 2 3 4" xfId="19467" xr:uid="{00000000-0005-0000-0000-0000DA7B0000}"/>
    <cellStyle name="Normal 3 19 5 2 3 4 2" xfId="46600" xr:uid="{00000000-0005-0000-0000-0000DB7B0000}"/>
    <cellStyle name="Normal 3 19 5 2 3 5" xfId="33038" xr:uid="{00000000-0005-0000-0000-0000DC7B0000}"/>
    <cellStyle name="Normal 3 19 5 2 4" xfId="9278" xr:uid="{00000000-0005-0000-0000-0000DD7B0000}"/>
    <cellStyle name="Normal 3 19 5 2 4 2" xfId="16067" xr:uid="{00000000-0005-0000-0000-0000DE7B0000}"/>
    <cellStyle name="Normal 3 19 5 2 4 2 2" xfId="29635" xr:uid="{00000000-0005-0000-0000-0000DF7B0000}"/>
    <cellStyle name="Normal 3 19 5 2 4 2 2 2" xfId="56768" xr:uid="{00000000-0005-0000-0000-0000E07B0000}"/>
    <cellStyle name="Normal 3 19 5 2 4 2 3" xfId="43206" xr:uid="{00000000-0005-0000-0000-0000E17B0000}"/>
    <cellStyle name="Normal 3 19 5 2 4 3" xfId="22854" xr:uid="{00000000-0005-0000-0000-0000E27B0000}"/>
    <cellStyle name="Normal 3 19 5 2 4 3 2" xfId="49987" xr:uid="{00000000-0005-0000-0000-0000E37B0000}"/>
    <cellStyle name="Normal 3 19 5 2 4 4" xfId="36425" xr:uid="{00000000-0005-0000-0000-0000E47B0000}"/>
    <cellStyle name="Normal 3 19 5 2 5" xfId="12678" xr:uid="{00000000-0005-0000-0000-0000E57B0000}"/>
    <cellStyle name="Normal 3 19 5 2 5 2" xfId="26246" xr:uid="{00000000-0005-0000-0000-0000E67B0000}"/>
    <cellStyle name="Normal 3 19 5 2 5 2 2" xfId="53379" xr:uid="{00000000-0005-0000-0000-0000E77B0000}"/>
    <cellStyle name="Normal 3 19 5 2 5 3" xfId="39817" xr:uid="{00000000-0005-0000-0000-0000E87B0000}"/>
    <cellStyle name="Normal 3 19 5 2 6" xfId="19465" xr:uid="{00000000-0005-0000-0000-0000E97B0000}"/>
    <cellStyle name="Normal 3 19 5 2 6 2" xfId="46598" xr:uid="{00000000-0005-0000-0000-0000EA7B0000}"/>
    <cellStyle name="Normal 3 19 5 2 7" xfId="33036" xr:uid="{00000000-0005-0000-0000-0000EB7B0000}"/>
    <cellStyle name="Normal 3 19 5 3" xfId="5738" xr:uid="{00000000-0005-0000-0000-0000EC7B0000}"/>
    <cellStyle name="Normal 3 19 5 3 2" xfId="5739" xr:uid="{00000000-0005-0000-0000-0000ED7B0000}"/>
    <cellStyle name="Normal 3 19 5 3 2 2" xfId="9282" xr:uid="{00000000-0005-0000-0000-0000EE7B0000}"/>
    <cellStyle name="Normal 3 19 5 3 2 2 2" xfId="16071" xr:uid="{00000000-0005-0000-0000-0000EF7B0000}"/>
    <cellStyle name="Normal 3 19 5 3 2 2 2 2" xfId="29639" xr:uid="{00000000-0005-0000-0000-0000F07B0000}"/>
    <cellStyle name="Normal 3 19 5 3 2 2 2 2 2" xfId="56772" xr:uid="{00000000-0005-0000-0000-0000F17B0000}"/>
    <cellStyle name="Normal 3 19 5 3 2 2 2 3" xfId="43210" xr:uid="{00000000-0005-0000-0000-0000F27B0000}"/>
    <cellStyle name="Normal 3 19 5 3 2 2 3" xfId="22858" xr:uid="{00000000-0005-0000-0000-0000F37B0000}"/>
    <cellStyle name="Normal 3 19 5 3 2 2 3 2" xfId="49991" xr:uid="{00000000-0005-0000-0000-0000F47B0000}"/>
    <cellStyle name="Normal 3 19 5 3 2 2 4" xfId="36429" xr:uid="{00000000-0005-0000-0000-0000F57B0000}"/>
    <cellStyle name="Normal 3 19 5 3 2 3" xfId="12682" xr:uid="{00000000-0005-0000-0000-0000F67B0000}"/>
    <cellStyle name="Normal 3 19 5 3 2 3 2" xfId="26250" xr:uid="{00000000-0005-0000-0000-0000F77B0000}"/>
    <cellStyle name="Normal 3 19 5 3 2 3 2 2" xfId="53383" xr:uid="{00000000-0005-0000-0000-0000F87B0000}"/>
    <cellStyle name="Normal 3 19 5 3 2 3 3" xfId="39821" xr:uid="{00000000-0005-0000-0000-0000F97B0000}"/>
    <cellStyle name="Normal 3 19 5 3 2 4" xfId="19469" xr:uid="{00000000-0005-0000-0000-0000FA7B0000}"/>
    <cellStyle name="Normal 3 19 5 3 2 4 2" xfId="46602" xr:uid="{00000000-0005-0000-0000-0000FB7B0000}"/>
    <cellStyle name="Normal 3 19 5 3 2 5" xfId="33040" xr:uid="{00000000-0005-0000-0000-0000FC7B0000}"/>
    <cellStyle name="Normal 3 19 5 3 3" xfId="9281" xr:uid="{00000000-0005-0000-0000-0000FD7B0000}"/>
    <cellStyle name="Normal 3 19 5 3 3 2" xfId="16070" xr:uid="{00000000-0005-0000-0000-0000FE7B0000}"/>
    <cellStyle name="Normal 3 19 5 3 3 2 2" xfId="29638" xr:uid="{00000000-0005-0000-0000-0000FF7B0000}"/>
    <cellStyle name="Normal 3 19 5 3 3 2 2 2" xfId="56771" xr:uid="{00000000-0005-0000-0000-0000007C0000}"/>
    <cellStyle name="Normal 3 19 5 3 3 2 3" xfId="43209" xr:uid="{00000000-0005-0000-0000-0000017C0000}"/>
    <cellStyle name="Normal 3 19 5 3 3 3" xfId="22857" xr:uid="{00000000-0005-0000-0000-0000027C0000}"/>
    <cellStyle name="Normal 3 19 5 3 3 3 2" xfId="49990" xr:uid="{00000000-0005-0000-0000-0000037C0000}"/>
    <cellStyle name="Normal 3 19 5 3 3 4" xfId="36428" xr:uid="{00000000-0005-0000-0000-0000047C0000}"/>
    <cellStyle name="Normal 3 19 5 3 4" xfId="12681" xr:uid="{00000000-0005-0000-0000-0000057C0000}"/>
    <cellStyle name="Normal 3 19 5 3 4 2" xfId="26249" xr:uid="{00000000-0005-0000-0000-0000067C0000}"/>
    <cellStyle name="Normal 3 19 5 3 4 2 2" xfId="53382" xr:uid="{00000000-0005-0000-0000-0000077C0000}"/>
    <cellStyle name="Normal 3 19 5 3 4 3" xfId="39820" xr:uid="{00000000-0005-0000-0000-0000087C0000}"/>
    <cellStyle name="Normal 3 19 5 3 5" xfId="19468" xr:uid="{00000000-0005-0000-0000-0000097C0000}"/>
    <cellStyle name="Normal 3 19 5 3 5 2" xfId="46601" xr:uid="{00000000-0005-0000-0000-00000A7C0000}"/>
    <cellStyle name="Normal 3 19 5 3 6" xfId="33039" xr:uid="{00000000-0005-0000-0000-00000B7C0000}"/>
    <cellStyle name="Normal 3 19 5 4" xfId="5740" xr:uid="{00000000-0005-0000-0000-00000C7C0000}"/>
    <cellStyle name="Normal 3 19 5 4 2" xfId="9283" xr:uid="{00000000-0005-0000-0000-00000D7C0000}"/>
    <cellStyle name="Normal 3 19 5 4 2 2" xfId="16072" xr:uid="{00000000-0005-0000-0000-00000E7C0000}"/>
    <cellStyle name="Normal 3 19 5 4 2 2 2" xfId="29640" xr:uid="{00000000-0005-0000-0000-00000F7C0000}"/>
    <cellStyle name="Normal 3 19 5 4 2 2 2 2" xfId="56773" xr:uid="{00000000-0005-0000-0000-0000107C0000}"/>
    <cellStyle name="Normal 3 19 5 4 2 2 3" xfId="43211" xr:uid="{00000000-0005-0000-0000-0000117C0000}"/>
    <cellStyle name="Normal 3 19 5 4 2 3" xfId="22859" xr:uid="{00000000-0005-0000-0000-0000127C0000}"/>
    <cellStyle name="Normal 3 19 5 4 2 3 2" xfId="49992" xr:uid="{00000000-0005-0000-0000-0000137C0000}"/>
    <cellStyle name="Normal 3 19 5 4 2 4" xfId="36430" xr:uid="{00000000-0005-0000-0000-0000147C0000}"/>
    <cellStyle name="Normal 3 19 5 4 3" xfId="12683" xr:uid="{00000000-0005-0000-0000-0000157C0000}"/>
    <cellStyle name="Normal 3 19 5 4 3 2" xfId="26251" xr:uid="{00000000-0005-0000-0000-0000167C0000}"/>
    <cellStyle name="Normal 3 19 5 4 3 2 2" xfId="53384" xr:uid="{00000000-0005-0000-0000-0000177C0000}"/>
    <cellStyle name="Normal 3 19 5 4 3 3" xfId="39822" xr:uid="{00000000-0005-0000-0000-0000187C0000}"/>
    <cellStyle name="Normal 3 19 5 4 4" xfId="19470" xr:uid="{00000000-0005-0000-0000-0000197C0000}"/>
    <cellStyle name="Normal 3 19 5 4 4 2" xfId="46603" xr:uid="{00000000-0005-0000-0000-00001A7C0000}"/>
    <cellStyle name="Normal 3 19 5 4 5" xfId="33041" xr:uid="{00000000-0005-0000-0000-00001B7C0000}"/>
    <cellStyle name="Normal 3 19 5 5" xfId="5741" xr:uid="{00000000-0005-0000-0000-00001C7C0000}"/>
    <cellStyle name="Normal 3 19 5 5 2" xfId="9284" xr:uid="{00000000-0005-0000-0000-00001D7C0000}"/>
    <cellStyle name="Normal 3 19 5 5 2 2" xfId="16073" xr:uid="{00000000-0005-0000-0000-00001E7C0000}"/>
    <cellStyle name="Normal 3 19 5 5 2 2 2" xfId="29641" xr:uid="{00000000-0005-0000-0000-00001F7C0000}"/>
    <cellStyle name="Normal 3 19 5 5 2 2 2 2" xfId="56774" xr:uid="{00000000-0005-0000-0000-0000207C0000}"/>
    <cellStyle name="Normal 3 19 5 5 2 2 3" xfId="43212" xr:uid="{00000000-0005-0000-0000-0000217C0000}"/>
    <cellStyle name="Normal 3 19 5 5 2 3" xfId="22860" xr:uid="{00000000-0005-0000-0000-0000227C0000}"/>
    <cellStyle name="Normal 3 19 5 5 2 3 2" xfId="49993" xr:uid="{00000000-0005-0000-0000-0000237C0000}"/>
    <cellStyle name="Normal 3 19 5 5 2 4" xfId="36431" xr:uid="{00000000-0005-0000-0000-0000247C0000}"/>
    <cellStyle name="Normal 3 19 5 5 3" xfId="12684" xr:uid="{00000000-0005-0000-0000-0000257C0000}"/>
    <cellStyle name="Normal 3 19 5 5 3 2" xfId="26252" xr:uid="{00000000-0005-0000-0000-0000267C0000}"/>
    <cellStyle name="Normal 3 19 5 5 3 2 2" xfId="53385" xr:uid="{00000000-0005-0000-0000-0000277C0000}"/>
    <cellStyle name="Normal 3 19 5 5 3 3" xfId="39823" xr:uid="{00000000-0005-0000-0000-0000287C0000}"/>
    <cellStyle name="Normal 3 19 5 5 4" xfId="19471" xr:uid="{00000000-0005-0000-0000-0000297C0000}"/>
    <cellStyle name="Normal 3 19 5 5 4 2" xfId="46604" xr:uid="{00000000-0005-0000-0000-00002A7C0000}"/>
    <cellStyle name="Normal 3 19 5 5 5" xfId="33042" xr:uid="{00000000-0005-0000-0000-00002B7C0000}"/>
    <cellStyle name="Normal 3 19 5 6" xfId="9277" xr:uid="{00000000-0005-0000-0000-00002C7C0000}"/>
    <cellStyle name="Normal 3 19 5 6 2" xfId="16066" xr:uid="{00000000-0005-0000-0000-00002D7C0000}"/>
    <cellStyle name="Normal 3 19 5 6 2 2" xfId="29634" xr:uid="{00000000-0005-0000-0000-00002E7C0000}"/>
    <cellStyle name="Normal 3 19 5 6 2 2 2" xfId="56767" xr:uid="{00000000-0005-0000-0000-00002F7C0000}"/>
    <cellStyle name="Normal 3 19 5 6 2 3" xfId="43205" xr:uid="{00000000-0005-0000-0000-0000307C0000}"/>
    <cellStyle name="Normal 3 19 5 6 3" xfId="22853" xr:uid="{00000000-0005-0000-0000-0000317C0000}"/>
    <cellStyle name="Normal 3 19 5 6 3 2" xfId="49986" xr:uid="{00000000-0005-0000-0000-0000327C0000}"/>
    <cellStyle name="Normal 3 19 5 6 4" xfId="36424" xr:uid="{00000000-0005-0000-0000-0000337C0000}"/>
    <cellStyle name="Normal 3 19 5 7" xfId="12677" xr:uid="{00000000-0005-0000-0000-0000347C0000}"/>
    <cellStyle name="Normal 3 19 5 7 2" xfId="26245" xr:uid="{00000000-0005-0000-0000-0000357C0000}"/>
    <cellStyle name="Normal 3 19 5 7 2 2" xfId="53378" xr:uid="{00000000-0005-0000-0000-0000367C0000}"/>
    <cellStyle name="Normal 3 19 5 7 3" xfId="39816" xr:uid="{00000000-0005-0000-0000-0000377C0000}"/>
    <cellStyle name="Normal 3 19 5 8" xfId="19464" xr:uid="{00000000-0005-0000-0000-0000387C0000}"/>
    <cellStyle name="Normal 3 19 5 8 2" xfId="46597" xr:uid="{00000000-0005-0000-0000-0000397C0000}"/>
    <cellStyle name="Normal 3 19 5 9" xfId="33035" xr:uid="{00000000-0005-0000-0000-00003A7C0000}"/>
    <cellStyle name="Normal 3 19 6" xfId="5742" xr:uid="{00000000-0005-0000-0000-00003B7C0000}"/>
    <cellStyle name="Normal 3 19 6 2" xfId="5743" xr:uid="{00000000-0005-0000-0000-00003C7C0000}"/>
    <cellStyle name="Normal 3 19 6 2 2" xfId="5744" xr:uid="{00000000-0005-0000-0000-00003D7C0000}"/>
    <cellStyle name="Normal 3 19 6 2 2 2" xfId="9287" xr:uid="{00000000-0005-0000-0000-00003E7C0000}"/>
    <cellStyle name="Normal 3 19 6 2 2 2 2" xfId="16076" xr:uid="{00000000-0005-0000-0000-00003F7C0000}"/>
    <cellStyle name="Normal 3 19 6 2 2 2 2 2" xfId="29644" xr:uid="{00000000-0005-0000-0000-0000407C0000}"/>
    <cellStyle name="Normal 3 19 6 2 2 2 2 2 2" xfId="56777" xr:uid="{00000000-0005-0000-0000-0000417C0000}"/>
    <cellStyle name="Normal 3 19 6 2 2 2 2 3" xfId="43215" xr:uid="{00000000-0005-0000-0000-0000427C0000}"/>
    <cellStyle name="Normal 3 19 6 2 2 2 3" xfId="22863" xr:uid="{00000000-0005-0000-0000-0000437C0000}"/>
    <cellStyle name="Normal 3 19 6 2 2 2 3 2" xfId="49996" xr:uid="{00000000-0005-0000-0000-0000447C0000}"/>
    <cellStyle name="Normal 3 19 6 2 2 2 4" xfId="36434" xr:uid="{00000000-0005-0000-0000-0000457C0000}"/>
    <cellStyle name="Normal 3 19 6 2 2 3" xfId="12687" xr:uid="{00000000-0005-0000-0000-0000467C0000}"/>
    <cellStyle name="Normal 3 19 6 2 2 3 2" xfId="26255" xr:uid="{00000000-0005-0000-0000-0000477C0000}"/>
    <cellStyle name="Normal 3 19 6 2 2 3 2 2" xfId="53388" xr:uid="{00000000-0005-0000-0000-0000487C0000}"/>
    <cellStyle name="Normal 3 19 6 2 2 3 3" xfId="39826" xr:uid="{00000000-0005-0000-0000-0000497C0000}"/>
    <cellStyle name="Normal 3 19 6 2 2 4" xfId="19474" xr:uid="{00000000-0005-0000-0000-00004A7C0000}"/>
    <cellStyle name="Normal 3 19 6 2 2 4 2" xfId="46607" xr:uid="{00000000-0005-0000-0000-00004B7C0000}"/>
    <cellStyle name="Normal 3 19 6 2 2 5" xfId="33045" xr:uid="{00000000-0005-0000-0000-00004C7C0000}"/>
    <cellStyle name="Normal 3 19 6 2 3" xfId="5745" xr:uid="{00000000-0005-0000-0000-00004D7C0000}"/>
    <cellStyle name="Normal 3 19 6 2 3 2" xfId="9288" xr:uid="{00000000-0005-0000-0000-00004E7C0000}"/>
    <cellStyle name="Normal 3 19 6 2 3 2 2" xfId="16077" xr:uid="{00000000-0005-0000-0000-00004F7C0000}"/>
    <cellStyle name="Normal 3 19 6 2 3 2 2 2" xfId="29645" xr:uid="{00000000-0005-0000-0000-0000507C0000}"/>
    <cellStyle name="Normal 3 19 6 2 3 2 2 2 2" xfId="56778" xr:uid="{00000000-0005-0000-0000-0000517C0000}"/>
    <cellStyle name="Normal 3 19 6 2 3 2 2 3" xfId="43216" xr:uid="{00000000-0005-0000-0000-0000527C0000}"/>
    <cellStyle name="Normal 3 19 6 2 3 2 3" xfId="22864" xr:uid="{00000000-0005-0000-0000-0000537C0000}"/>
    <cellStyle name="Normal 3 19 6 2 3 2 3 2" xfId="49997" xr:uid="{00000000-0005-0000-0000-0000547C0000}"/>
    <cellStyle name="Normal 3 19 6 2 3 2 4" xfId="36435" xr:uid="{00000000-0005-0000-0000-0000557C0000}"/>
    <cellStyle name="Normal 3 19 6 2 3 3" xfId="12688" xr:uid="{00000000-0005-0000-0000-0000567C0000}"/>
    <cellStyle name="Normal 3 19 6 2 3 3 2" xfId="26256" xr:uid="{00000000-0005-0000-0000-0000577C0000}"/>
    <cellStyle name="Normal 3 19 6 2 3 3 2 2" xfId="53389" xr:uid="{00000000-0005-0000-0000-0000587C0000}"/>
    <cellStyle name="Normal 3 19 6 2 3 3 3" xfId="39827" xr:uid="{00000000-0005-0000-0000-0000597C0000}"/>
    <cellStyle name="Normal 3 19 6 2 3 4" xfId="19475" xr:uid="{00000000-0005-0000-0000-00005A7C0000}"/>
    <cellStyle name="Normal 3 19 6 2 3 4 2" xfId="46608" xr:uid="{00000000-0005-0000-0000-00005B7C0000}"/>
    <cellStyle name="Normal 3 19 6 2 3 5" xfId="33046" xr:uid="{00000000-0005-0000-0000-00005C7C0000}"/>
    <cellStyle name="Normal 3 19 6 2 4" xfId="9286" xr:uid="{00000000-0005-0000-0000-00005D7C0000}"/>
    <cellStyle name="Normal 3 19 6 2 4 2" xfId="16075" xr:uid="{00000000-0005-0000-0000-00005E7C0000}"/>
    <cellStyle name="Normal 3 19 6 2 4 2 2" xfId="29643" xr:uid="{00000000-0005-0000-0000-00005F7C0000}"/>
    <cellStyle name="Normal 3 19 6 2 4 2 2 2" xfId="56776" xr:uid="{00000000-0005-0000-0000-0000607C0000}"/>
    <cellStyle name="Normal 3 19 6 2 4 2 3" xfId="43214" xr:uid="{00000000-0005-0000-0000-0000617C0000}"/>
    <cellStyle name="Normal 3 19 6 2 4 3" xfId="22862" xr:uid="{00000000-0005-0000-0000-0000627C0000}"/>
    <cellStyle name="Normal 3 19 6 2 4 3 2" xfId="49995" xr:uid="{00000000-0005-0000-0000-0000637C0000}"/>
    <cellStyle name="Normal 3 19 6 2 4 4" xfId="36433" xr:uid="{00000000-0005-0000-0000-0000647C0000}"/>
    <cellStyle name="Normal 3 19 6 2 5" xfId="12686" xr:uid="{00000000-0005-0000-0000-0000657C0000}"/>
    <cellStyle name="Normal 3 19 6 2 5 2" xfId="26254" xr:uid="{00000000-0005-0000-0000-0000667C0000}"/>
    <cellStyle name="Normal 3 19 6 2 5 2 2" xfId="53387" xr:uid="{00000000-0005-0000-0000-0000677C0000}"/>
    <cellStyle name="Normal 3 19 6 2 5 3" xfId="39825" xr:uid="{00000000-0005-0000-0000-0000687C0000}"/>
    <cellStyle name="Normal 3 19 6 2 6" xfId="19473" xr:uid="{00000000-0005-0000-0000-0000697C0000}"/>
    <cellStyle name="Normal 3 19 6 2 6 2" xfId="46606" xr:uid="{00000000-0005-0000-0000-00006A7C0000}"/>
    <cellStyle name="Normal 3 19 6 2 7" xfId="33044" xr:uid="{00000000-0005-0000-0000-00006B7C0000}"/>
    <cellStyle name="Normal 3 19 6 3" xfId="5746" xr:uid="{00000000-0005-0000-0000-00006C7C0000}"/>
    <cellStyle name="Normal 3 19 6 3 2" xfId="9289" xr:uid="{00000000-0005-0000-0000-00006D7C0000}"/>
    <cellStyle name="Normal 3 19 6 3 2 2" xfId="16078" xr:uid="{00000000-0005-0000-0000-00006E7C0000}"/>
    <cellStyle name="Normal 3 19 6 3 2 2 2" xfId="29646" xr:uid="{00000000-0005-0000-0000-00006F7C0000}"/>
    <cellStyle name="Normal 3 19 6 3 2 2 2 2" xfId="56779" xr:uid="{00000000-0005-0000-0000-0000707C0000}"/>
    <cellStyle name="Normal 3 19 6 3 2 2 3" xfId="43217" xr:uid="{00000000-0005-0000-0000-0000717C0000}"/>
    <cellStyle name="Normal 3 19 6 3 2 3" xfId="22865" xr:uid="{00000000-0005-0000-0000-0000727C0000}"/>
    <cellStyle name="Normal 3 19 6 3 2 3 2" xfId="49998" xr:uid="{00000000-0005-0000-0000-0000737C0000}"/>
    <cellStyle name="Normal 3 19 6 3 2 4" xfId="36436" xr:uid="{00000000-0005-0000-0000-0000747C0000}"/>
    <cellStyle name="Normal 3 19 6 3 3" xfId="12689" xr:uid="{00000000-0005-0000-0000-0000757C0000}"/>
    <cellStyle name="Normal 3 19 6 3 3 2" xfId="26257" xr:uid="{00000000-0005-0000-0000-0000767C0000}"/>
    <cellStyle name="Normal 3 19 6 3 3 2 2" xfId="53390" xr:uid="{00000000-0005-0000-0000-0000777C0000}"/>
    <cellStyle name="Normal 3 19 6 3 3 3" xfId="39828" xr:uid="{00000000-0005-0000-0000-0000787C0000}"/>
    <cellStyle name="Normal 3 19 6 3 4" xfId="19476" xr:uid="{00000000-0005-0000-0000-0000797C0000}"/>
    <cellStyle name="Normal 3 19 6 3 4 2" xfId="46609" xr:uid="{00000000-0005-0000-0000-00007A7C0000}"/>
    <cellStyle name="Normal 3 19 6 3 5" xfId="33047" xr:uid="{00000000-0005-0000-0000-00007B7C0000}"/>
    <cellStyle name="Normal 3 19 6 4" xfId="5747" xr:uid="{00000000-0005-0000-0000-00007C7C0000}"/>
    <cellStyle name="Normal 3 19 6 4 2" xfId="9290" xr:uid="{00000000-0005-0000-0000-00007D7C0000}"/>
    <cellStyle name="Normal 3 19 6 4 2 2" xfId="16079" xr:uid="{00000000-0005-0000-0000-00007E7C0000}"/>
    <cellStyle name="Normal 3 19 6 4 2 2 2" xfId="29647" xr:uid="{00000000-0005-0000-0000-00007F7C0000}"/>
    <cellStyle name="Normal 3 19 6 4 2 2 2 2" xfId="56780" xr:uid="{00000000-0005-0000-0000-0000807C0000}"/>
    <cellStyle name="Normal 3 19 6 4 2 2 3" xfId="43218" xr:uid="{00000000-0005-0000-0000-0000817C0000}"/>
    <cellStyle name="Normal 3 19 6 4 2 3" xfId="22866" xr:uid="{00000000-0005-0000-0000-0000827C0000}"/>
    <cellStyle name="Normal 3 19 6 4 2 3 2" xfId="49999" xr:uid="{00000000-0005-0000-0000-0000837C0000}"/>
    <cellStyle name="Normal 3 19 6 4 2 4" xfId="36437" xr:uid="{00000000-0005-0000-0000-0000847C0000}"/>
    <cellStyle name="Normal 3 19 6 4 3" xfId="12690" xr:uid="{00000000-0005-0000-0000-0000857C0000}"/>
    <cellStyle name="Normal 3 19 6 4 3 2" xfId="26258" xr:uid="{00000000-0005-0000-0000-0000867C0000}"/>
    <cellStyle name="Normal 3 19 6 4 3 2 2" xfId="53391" xr:uid="{00000000-0005-0000-0000-0000877C0000}"/>
    <cellStyle name="Normal 3 19 6 4 3 3" xfId="39829" xr:uid="{00000000-0005-0000-0000-0000887C0000}"/>
    <cellStyle name="Normal 3 19 6 4 4" xfId="19477" xr:uid="{00000000-0005-0000-0000-0000897C0000}"/>
    <cellStyle name="Normal 3 19 6 4 4 2" xfId="46610" xr:uid="{00000000-0005-0000-0000-00008A7C0000}"/>
    <cellStyle name="Normal 3 19 6 4 5" xfId="33048" xr:uid="{00000000-0005-0000-0000-00008B7C0000}"/>
    <cellStyle name="Normal 3 19 6 5" xfId="9285" xr:uid="{00000000-0005-0000-0000-00008C7C0000}"/>
    <cellStyle name="Normal 3 19 6 5 2" xfId="16074" xr:uid="{00000000-0005-0000-0000-00008D7C0000}"/>
    <cellStyle name="Normal 3 19 6 5 2 2" xfId="29642" xr:uid="{00000000-0005-0000-0000-00008E7C0000}"/>
    <cellStyle name="Normal 3 19 6 5 2 2 2" xfId="56775" xr:uid="{00000000-0005-0000-0000-00008F7C0000}"/>
    <cellStyle name="Normal 3 19 6 5 2 3" xfId="43213" xr:uid="{00000000-0005-0000-0000-0000907C0000}"/>
    <cellStyle name="Normal 3 19 6 5 3" xfId="22861" xr:uid="{00000000-0005-0000-0000-0000917C0000}"/>
    <cellStyle name="Normal 3 19 6 5 3 2" xfId="49994" xr:uid="{00000000-0005-0000-0000-0000927C0000}"/>
    <cellStyle name="Normal 3 19 6 5 4" xfId="36432" xr:uid="{00000000-0005-0000-0000-0000937C0000}"/>
    <cellStyle name="Normal 3 19 6 6" xfId="12685" xr:uid="{00000000-0005-0000-0000-0000947C0000}"/>
    <cellStyle name="Normal 3 19 6 6 2" xfId="26253" xr:uid="{00000000-0005-0000-0000-0000957C0000}"/>
    <cellStyle name="Normal 3 19 6 6 2 2" xfId="53386" xr:uid="{00000000-0005-0000-0000-0000967C0000}"/>
    <cellStyle name="Normal 3 19 6 6 3" xfId="39824" xr:uid="{00000000-0005-0000-0000-0000977C0000}"/>
    <cellStyle name="Normal 3 19 6 7" xfId="19472" xr:uid="{00000000-0005-0000-0000-0000987C0000}"/>
    <cellStyle name="Normal 3 19 6 7 2" xfId="46605" xr:uid="{00000000-0005-0000-0000-0000997C0000}"/>
    <cellStyle name="Normal 3 19 6 8" xfId="33043" xr:uid="{00000000-0005-0000-0000-00009A7C0000}"/>
    <cellStyle name="Normal 3 19 7" xfId="5748" xr:uid="{00000000-0005-0000-0000-00009B7C0000}"/>
    <cellStyle name="Normal 3 19 7 2" xfId="5749" xr:uid="{00000000-0005-0000-0000-00009C7C0000}"/>
    <cellStyle name="Normal 3 19 7 2 2" xfId="5750" xr:uid="{00000000-0005-0000-0000-00009D7C0000}"/>
    <cellStyle name="Normal 3 19 7 2 2 2" xfId="9293" xr:uid="{00000000-0005-0000-0000-00009E7C0000}"/>
    <cellStyle name="Normal 3 19 7 2 2 2 2" xfId="16082" xr:uid="{00000000-0005-0000-0000-00009F7C0000}"/>
    <cellStyle name="Normal 3 19 7 2 2 2 2 2" xfId="29650" xr:uid="{00000000-0005-0000-0000-0000A07C0000}"/>
    <cellStyle name="Normal 3 19 7 2 2 2 2 2 2" xfId="56783" xr:uid="{00000000-0005-0000-0000-0000A17C0000}"/>
    <cellStyle name="Normal 3 19 7 2 2 2 2 3" xfId="43221" xr:uid="{00000000-0005-0000-0000-0000A27C0000}"/>
    <cellStyle name="Normal 3 19 7 2 2 2 3" xfId="22869" xr:uid="{00000000-0005-0000-0000-0000A37C0000}"/>
    <cellStyle name="Normal 3 19 7 2 2 2 3 2" xfId="50002" xr:uid="{00000000-0005-0000-0000-0000A47C0000}"/>
    <cellStyle name="Normal 3 19 7 2 2 2 4" xfId="36440" xr:uid="{00000000-0005-0000-0000-0000A57C0000}"/>
    <cellStyle name="Normal 3 19 7 2 2 3" xfId="12693" xr:uid="{00000000-0005-0000-0000-0000A67C0000}"/>
    <cellStyle name="Normal 3 19 7 2 2 3 2" xfId="26261" xr:uid="{00000000-0005-0000-0000-0000A77C0000}"/>
    <cellStyle name="Normal 3 19 7 2 2 3 2 2" xfId="53394" xr:uid="{00000000-0005-0000-0000-0000A87C0000}"/>
    <cellStyle name="Normal 3 19 7 2 2 3 3" xfId="39832" xr:uid="{00000000-0005-0000-0000-0000A97C0000}"/>
    <cellStyle name="Normal 3 19 7 2 2 4" xfId="19480" xr:uid="{00000000-0005-0000-0000-0000AA7C0000}"/>
    <cellStyle name="Normal 3 19 7 2 2 4 2" xfId="46613" xr:uid="{00000000-0005-0000-0000-0000AB7C0000}"/>
    <cellStyle name="Normal 3 19 7 2 2 5" xfId="33051" xr:uid="{00000000-0005-0000-0000-0000AC7C0000}"/>
    <cellStyle name="Normal 3 19 7 2 3" xfId="5751" xr:uid="{00000000-0005-0000-0000-0000AD7C0000}"/>
    <cellStyle name="Normal 3 19 7 2 3 2" xfId="9294" xr:uid="{00000000-0005-0000-0000-0000AE7C0000}"/>
    <cellStyle name="Normal 3 19 7 2 3 2 2" xfId="16083" xr:uid="{00000000-0005-0000-0000-0000AF7C0000}"/>
    <cellStyle name="Normal 3 19 7 2 3 2 2 2" xfId="29651" xr:uid="{00000000-0005-0000-0000-0000B07C0000}"/>
    <cellStyle name="Normal 3 19 7 2 3 2 2 2 2" xfId="56784" xr:uid="{00000000-0005-0000-0000-0000B17C0000}"/>
    <cellStyle name="Normal 3 19 7 2 3 2 2 3" xfId="43222" xr:uid="{00000000-0005-0000-0000-0000B27C0000}"/>
    <cellStyle name="Normal 3 19 7 2 3 2 3" xfId="22870" xr:uid="{00000000-0005-0000-0000-0000B37C0000}"/>
    <cellStyle name="Normal 3 19 7 2 3 2 3 2" xfId="50003" xr:uid="{00000000-0005-0000-0000-0000B47C0000}"/>
    <cellStyle name="Normal 3 19 7 2 3 2 4" xfId="36441" xr:uid="{00000000-0005-0000-0000-0000B57C0000}"/>
    <cellStyle name="Normal 3 19 7 2 3 3" xfId="12694" xr:uid="{00000000-0005-0000-0000-0000B67C0000}"/>
    <cellStyle name="Normal 3 19 7 2 3 3 2" xfId="26262" xr:uid="{00000000-0005-0000-0000-0000B77C0000}"/>
    <cellStyle name="Normal 3 19 7 2 3 3 2 2" xfId="53395" xr:uid="{00000000-0005-0000-0000-0000B87C0000}"/>
    <cellStyle name="Normal 3 19 7 2 3 3 3" xfId="39833" xr:uid="{00000000-0005-0000-0000-0000B97C0000}"/>
    <cellStyle name="Normal 3 19 7 2 3 4" xfId="19481" xr:uid="{00000000-0005-0000-0000-0000BA7C0000}"/>
    <cellStyle name="Normal 3 19 7 2 3 4 2" xfId="46614" xr:uid="{00000000-0005-0000-0000-0000BB7C0000}"/>
    <cellStyle name="Normal 3 19 7 2 3 5" xfId="33052" xr:uid="{00000000-0005-0000-0000-0000BC7C0000}"/>
    <cellStyle name="Normal 3 19 7 2 4" xfId="9292" xr:uid="{00000000-0005-0000-0000-0000BD7C0000}"/>
    <cellStyle name="Normal 3 19 7 2 4 2" xfId="16081" xr:uid="{00000000-0005-0000-0000-0000BE7C0000}"/>
    <cellStyle name="Normal 3 19 7 2 4 2 2" xfId="29649" xr:uid="{00000000-0005-0000-0000-0000BF7C0000}"/>
    <cellStyle name="Normal 3 19 7 2 4 2 2 2" xfId="56782" xr:uid="{00000000-0005-0000-0000-0000C07C0000}"/>
    <cellStyle name="Normal 3 19 7 2 4 2 3" xfId="43220" xr:uid="{00000000-0005-0000-0000-0000C17C0000}"/>
    <cellStyle name="Normal 3 19 7 2 4 3" xfId="22868" xr:uid="{00000000-0005-0000-0000-0000C27C0000}"/>
    <cellStyle name="Normal 3 19 7 2 4 3 2" xfId="50001" xr:uid="{00000000-0005-0000-0000-0000C37C0000}"/>
    <cellStyle name="Normal 3 19 7 2 4 4" xfId="36439" xr:uid="{00000000-0005-0000-0000-0000C47C0000}"/>
    <cellStyle name="Normal 3 19 7 2 5" xfId="12692" xr:uid="{00000000-0005-0000-0000-0000C57C0000}"/>
    <cellStyle name="Normal 3 19 7 2 5 2" xfId="26260" xr:uid="{00000000-0005-0000-0000-0000C67C0000}"/>
    <cellStyle name="Normal 3 19 7 2 5 2 2" xfId="53393" xr:uid="{00000000-0005-0000-0000-0000C77C0000}"/>
    <cellStyle name="Normal 3 19 7 2 5 3" xfId="39831" xr:uid="{00000000-0005-0000-0000-0000C87C0000}"/>
    <cellStyle name="Normal 3 19 7 2 6" xfId="19479" xr:uid="{00000000-0005-0000-0000-0000C97C0000}"/>
    <cellStyle name="Normal 3 19 7 2 6 2" xfId="46612" xr:uid="{00000000-0005-0000-0000-0000CA7C0000}"/>
    <cellStyle name="Normal 3 19 7 2 7" xfId="33050" xr:uid="{00000000-0005-0000-0000-0000CB7C0000}"/>
    <cellStyle name="Normal 3 19 7 3" xfId="5752" xr:uid="{00000000-0005-0000-0000-0000CC7C0000}"/>
    <cellStyle name="Normal 3 19 7 3 2" xfId="9295" xr:uid="{00000000-0005-0000-0000-0000CD7C0000}"/>
    <cellStyle name="Normal 3 19 7 3 2 2" xfId="16084" xr:uid="{00000000-0005-0000-0000-0000CE7C0000}"/>
    <cellStyle name="Normal 3 19 7 3 2 2 2" xfId="29652" xr:uid="{00000000-0005-0000-0000-0000CF7C0000}"/>
    <cellStyle name="Normal 3 19 7 3 2 2 2 2" xfId="56785" xr:uid="{00000000-0005-0000-0000-0000D07C0000}"/>
    <cellStyle name="Normal 3 19 7 3 2 2 3" xfId="43223" xr:uid="{00000000-0005-0000-0000-0000D17C0000}"/>
    <cellStyle name="Normal 3 19 7 3 2 3" xfId="22871" xr:uid="{00000000-0005-0000-0000-0000D27C0000}"/>
    <cellStyle name="Normal 3 19 7 3 2 3 2" xfId="50004" xr:uid="{00000000-0005-0000-0000-0000D37C0000}"/>
    <cellStyle name="Normal 3 19 7 3 2 4" xfId="36442" xr:uid="{00000000-0005-0000-0000-0000D47C0000}"/>
    <cellStyle name="Normal 3 19 7 3 3" xfId="12695" xr:uid="{00000000-0005-0000-0000-0000D57C0000}"/>
    <cellStyle name="Normal 3 19 7 3 3 2" xfId="26263" xr:uid="{00000000-0005-0000-0000-0000D67C0000}"/>
    <cellStyle name="Normal 3 19 7 3 3 2 2" xfId="53396" xr:uid="{00000000-0005-0000-0000-0000D77C0000}"/>
    <cellStyle name="Normal 3 19 7 3 3 3" xfId="39834" xr:uid="{00000000-0005-0000-0000-0000D87C0000}"/>
    <cellStyle name="Normal 3 19 7 3 4" xfId="19482" xr:uid="{00000000-0005-0000-0000-0000D97C0000}"/>
    <cellStyle name="Normal 3 19 7 3 4 2" xfId="46615" xr:uid="{00000000-0005-0000-0000-0000DA7C0000}"/>
    <cellStyle name="Normal 3 19 7 3 5" xfId="33053" xr:uid="{00000000-0005-0000-0000-0000DB7C0000}"/>
    <cellStyle name="Normal 3 19 7 4" xfId="5753" xr:uid="{00000000-0005-0000-0000-0000DC7C0000}"/>
    <cellStyle name="Normal 3 19 7 4 2" xfId="9296" xr:uid="{00000000-0005-0000-0000-0000DD7C0000}"/>
    <cellStyle name="Normal 3 19 7 4 2 2" xfId="16085" xr:uid="{00000000-0005-0000-0000-0000DE7C0000}"/>
    <cellStyle name="Normal 3 19 7 4 2 2 2" xfId="29653" xr:uid="{00000000-0005-0000-0000-0000DF7C0000}"/>
    <cellStyle name="Normal 3 19 7 4 2 2 2 2" xfId="56786" xr:uid="{00000000-0005-0000-0000-0000E07C0000}"/>
    <cellStyle name="Normal 3 19 7 4 2 2 3" xfId="43224" xr:uid="{00000000-0005-0000-0000-0000E17C0000}"/>
    <cellStyle name="Normal 3 19 7 4 2 3" xfId="22872" xr:uid="{00000000-0005-0000-0000-0000E27C0000}"/>
    <cellStyle name="Normal 3 19 7 4 2 3 2" xfId="50005" xr:uid="{00000000-0005-0000-0000-0000E37C0000}"/>
    <cellStyle name="Normal 3 19 7 4 2 4" xfId="36443" xr:uid="{00000000-0005-0000-0000-0000E47C0000}"/>
    <cellStyle name="Normal 3 19 7 4 3" xfId="12696" xr:uid="{00000000-0005-0000-0000-0000E57C0000}"/>
    <cellStyle name="Normal 3 19 7 4 3 2" xfId="26264" xr:uid="{00000000-0005-0000-0000-0000E67C0000}"/>
    <cellStyle name="Normal 3 19 7 4 3 2 2" xfId="53397" xr:uid="{00000000-0005-0000-0000-0000E77C0000}"/>
    <cellStyle name="Normal 3 19 7 4 3 3" xfId="39835" xr:uid="{00000000-0005-0000-0000-0000E87C0000}"/>
    <cellStyle name="Normal 3 19 7 4 4" xfId="19483" xr:uid="{00000000-0005-0000-0000-0000E97C0000}"/>
    <cellStyle name="Normal 3 19 7 4 4 2" xfId="46616" xr:uid="{00000000-0005-0000-0000-0000EA7C0000}"/>
    <cellStyle name="Normal 3 19 7 4 5" xfId="33054" xr:uid="{00000000-0005-0000-0000-0000EB7C0000}"/>
    <cellStyle name="Normal 3 19 7 5" xfId="9291" xr:uid="{00000000-0005-0000-0000-0000EC7C0000}"/>
    <cellStyle name="Normal 3 19 7 5 2" xfId="16080" xr:uid="{00000000-0005-0000-0000-0000ED7C0000}"/>
    <cellStyle name="Normal 3 19 7 5 2 2" xfId="29648" xr:uid="{00000000-0005-0000-0000-0000EE7C0000}"/>
    <cellStyle name="Normal 3 19 7 5 2 2 2" xfId="56781" xr:uid="{00000000-0005-0000-0000-0000EF7C0000}"/>
    <cellStyle name="Normal 3 19 7 5 2 3" xfId="43219" xr:uid="{00000000-0005-0000-0000-0000F07C0000}"/>
    <cellStyle name="Normal 3 19 7 5 3" xfId="22867" xr:uid="{00000000-0005-0000-0000-0000F17C0000}"/>
    <cellStyle name="Normal 3 19 7 5 3 2" xfId="50000" xr:uid="{00000000-0005-0000-0000-0000F27C0000}"/>
    <cellStyle name="Normal 3 19 7 5 4" xfId="36438" xr:uid="{00000000-0005-0000-0000-0000F37C0000}"/>
    <cellStyle name="Normal 3 19 7 6" xfId="12691" xr:uid="{00000000-0005-0000-0000-0000F47C0000}"/>
    <cellStyle name="Normal 3 19 7 6 2" xfId="26259" xr:uid="{00000000-0005-0000-0000-0000F57C0000}"/>
    <cellStyle name="Normal 3 19 7 6 2 2" xfId="53392" xr:uid="{00000000-0005-0000-0000-0000F67C0000}"/>
    <cellStyle name="Normal 3 19 7 6 3" xfId="39830" xr:uid="{00000000-0005-0000-0000-0000F77C0000}"/>
    <cellStyle name="Normal 3 19 7 7" xfId="19478" xr:uid="{00000000-0005-0000-0000-0000F87C0000}"/>
    <cellStyle name="Normal 3 19 7 7 2" xfId="46611" xr:uid="{00000000-0005-0000-0000-0000F97C0000}"/>
    <cellStyle name="Normal 3 19 7 8" xfId="33049" xr:uid="{00000000-0005-0000-0000-0000FA7C0000}"/>
    <cellStyle name="Normal 3 19 8" xfId="5754" xr:uid="{00000000-0005-0000-0000-0000FB7C0000}"/>
    <cellStyle name="Normal 3 19 8 2" xfId="5755" xr:uid="{00000000-0005-0000-0000-0000FC7C0000}"/>
    <cellStyle name="Normal 3 19 8 2 2" xfId="9298" xr:uid="{00000000-0005-0000-0000-0000FD7C0000}"/>
    <cellStyle name="Normal 3 19 8 2 2 2" xfId="16087" xr:uid="{00000000-0005-0000-0000-0000FE7C0000}"/>
    <cellStyle name="Normal 3 19 8 2 2 2 2" xfId="29655" xr:uid="{00000000-0005-0000-0000-0000FF7C0000}"/>
    <cellStyle name="Normal 3 19 8 2 2 2 2 2" xfId="56788" xr:uid="{00000000-0005-0000-0000-0000007D0000}"/>
    <cellStyle name="Normal 3 19 8 2 2 2 3" xfId="43226" xr:uid="{00000000-0005-0000-0000-0000017D0000}"/>
    <cellStyle name="Normal 3 19 8 2 2 3" xfId="22874" xr:uid="{00000000-0005-0000-0000-0000027D0000}"/>
    <cellStyle name="Normal 3 19 8 2 2 3 2" xfId="50007" xr:uid="{00000000-0005-0000-0000-0000037D0000}"/>
    <cellStyle name="Normal 3 19 8 2 2 4" xfId="36445" xr:uid="{00000000-0005-0000-0000-0000047D0000}"/>
    <cellStyle name="Normal 3 19 8 2 3" xfId="12698" xr:uid="{00000000-0005-0000-0000-0000057D0000}"/>
    <cellStyle name="Normal 3 19 8 2 3 2" xfId="26266" xr:uid="{00000000-0005-0000-0000-0000067D0000}"/>
    <cellStyle name="Normal 3 19 8 2 3 2 2" xfId="53399" xr:uid="{00000000-0005-0000-0000-0000077D0000}"/>
    <cellStyle name="Normal 3 19 8 2 3 3" xfId="39837" xr:uid="{00000000-0005-0000-0000-0000087D0000}"/>
    <cellStyle name="Normal 3 19 8 2 4" xfId="19485" xr:uid="{00000000-0005-0000-0000-0000097D0000}"/>
    <cellStyle name="Normal 3 19 8 2 4 2" xfId="46618" xr:uid="{00000000-0005-0000-0000-00000A7D0000}"/>
    <cellStyle name="Normal 3 19 8 2 5" xfId="33056" xr:uid="{00000000-0005-0000-0000-00000B7D0000}"/>
    <cellStyle name="Normal 3 19 8 3" xfId="5756" xr:uid="{00000000-0005-0000-0000-00000C7D0000}"/>
    <cellStyle name="Normal 3 19 8 3 2" xfId="9299" xr:uid="{00000000-0005-0000-0000-00000D7D0000}"/>
    <cellStyle name="Normal 3 19 8 3 2 2" xfId="16088" xr:uid="{00000000-0005-0000-0000-00000E7D0000}"/>
    <cellStyle name="Normal 3 19 8 3 2 2 2" xfId="29656" xr:uid="{00000000-0005-0000-0000-00000F7D0000}"/>
    <cellStyle name="Normal 3 19 8 3 2 2 2 2" xfId="56789" xr:uid="{00000000-0005-0000-0000-0000107D0000}"/>
    <cellStyle name="Normal 3 19 8 3 2 2 3" xfId="43227" xr:uid="{00000000-0005-0000-0000-0000117D0000}"/>
    <cellStyle name="Normal 3 19 8 3 2 3" xfId="22875" xr:uid="{00000000-0005-0000-0000-0000127D0000}"/>
    <cellStyle name="Normal 3 19 8 3 2 3 2" xfId="50008" xr:uid="{00000000-0005-0000-0000-0000137D0000}"/>
    <cellStyle name="Normal 3 19 8 3 2 4" xfId="36446" xr:uid="{00000000-0005-0000-0000-0000147D0000}"/>
    <cellStyle name="Normal 3 19 8 3 3" xfId="12699" xr:uid="{00000000-0005-0000-0000-0000157D0000}"/>
    <cellStyle name="Normal 3 19 8 3 3 2" xfId="26267" xr:uid="{00000000-0005-0000-0000-0000167D0000}"/>
    <cellStyle name="Normal 3 19 8 3 3 2 2" xfId="53400" xr:uid="{00000000-0005-0000-0000-0000177D0000}"/>
    <cellStyle name="Normal 3 19 8 3 3 3" xfId="39838" xr:uid="{00000000-0005-0000-0000-0000187D0000}"/>
    <cellStyle name="Normal 3 19 8 3 4" xfId="19486" xr:uid="{00000000-0005-0000-0000-0000197D0000}"/>
    <cellStyle name="Normal 3 19 8 3 4 2" xfId="46619" xr:uid="{00000000-0005-0000-0000-00001A7D0000}"/>
    <cellStyle name="Normal 3 19 8 3 5" xfId="33057" xr:uid="{00000000-0005-0000-0000-00001B7D0000}"/>
    <cellStyle name="Normal 3 19 8 4" xfId="9297" xr:uid="{00000000-0005-0000-0000-00001C7D0000}"/>
    <cellStyle name="Normal 3 19 8 4 2" xfId="16086" xr:uid="{00000000-0005-0000-0000-00001D7D0000}"/>
    <cellStyle name="Normal 3 19 8 4 2 2" xfId="29654" xr:uid="{00000000-0005-0000-0000-00001E7D0000}"/>
    <cellStyle name="Normal 3 19 8 4 2 2 2" xfId="56787" xr:uid="{00000000-0005-0000-0000-00001F7D0000}"/>
    <cellStyle name="Normal 3 19 8 4 2 3" xfId="43225" xr:uid="{00000000-0005-0000-0000-0000207D0000}"/>
    <cellStyle name="Normal 3 19 8 4 3" xfId="22873" xr:uid="{00000000-0005-0000-0000-0000217D0000}"/>
    <cellStyle name="Normal 3 19 8 4 3 2" xfId="50006" xr:uid="{00000000-0005-0000-0000-0000227D0000}"/>
    <cellStyle name="Normal 3 19 8 4 4" xfId="36444" xr:uid="{00000000-0005-0000-0000-0000237D0000}"/>
    <cellStyle name="Normal 3 19 8 5" xfId="12697" xr:uid="{00000000-0005-0000-0000-0000247D0000}"/>
    <cellStyle name="Normal 3 19 8 5 2" xfId="26265" xr:uid="{00000000-0005-0000-0000-0000257D0000}"/>
    <cellStyle name="Normal 3 19 8 5 2 2" xfId="53398" xr:uid="{00000000-0005-0000-0000-0000267D0000}"/>
    <cellStyle name="Normal 3 19 8 5 3" xfId="39836" xr:uid="{00000000-0005-0000-0000-0000277D0000}"/>
    <cellStyle name="Normal 3 19 8 6" xfId="19484" xr:uid="{00000000-0005-0000-0000-0000287D0000}"/>
    <cellStyle name="Normal 3 19 8 6 2" xfId="46617" xr:uid="{00000000-0005-0000-0000-0000297D0000}"/>
    <cellStyle name="Normal 3 19 8 7" xfId="33055" xr:uid="{00000000-0005-0000-0000-00002A7D0000}"/>
    <cellStyle name="Normal 3 19 9" xfId="5757" xr:uid="{00000000-0005-0000-0000-00002B7D0000}"/>
    <cellStyle name="Normal 3 19 9 2" xfId="5758" xr:uid="{00000000-0005-0000-0000-00002C7D0000}"/>
    <cellStyle name="Normal 3 19 9 2 2" xfId="9301" xr:uid="{00000000-0005-0000-0000-00002D7D0000}"/>
    <cellStyle name="Normal 3 19 9 2 2 2" xfId="16090" xr:uid="{00000000-0005-0000-0000-00002E7D0000}"/>
    <cellStyle name="Normal 3 19 9 2 2 2 2" xfId="29658" xr:uid="{00000000-0005-0000-0000-00002F7D0000}"/>
    <cellStyle name="Normal 3 19 9 2 2 2 2 2" xfId="56791" xr:uid="{00000000-0005-0000-0000-0000307D0000}"/>
    <cellStyle name="Normal 3 19 9 2 2 2 3" xfId="43229" xr:uid="{00000000-0005-0000-0000-0000317D0000}"/>
    <cellStyle name="Normal 3 19 9 2 2 3" xfId="22877" xr:uid="{00000000-0005-0000-0000-0000327D0000}"/>
    <cellStyle name="Normal 3 19 9 2 2 3 2" xfId="50010" xr:uid="{00000000-0005-0000-0000-0000337D0000}"/>
    <cellStyle name="Normal 3 19 9 2 2 4" xfId="36448" xr:uid="{00000000-0005-0000-0000-0000347D0000}"/>
    <cellStyle name="Normal 3 19 9 2 3" xfId="12701" xr:uid="{00000000-0005-0000-0000-0000357D0000}"/>
    <cellStyle name="Normal 3 19 9 2 3 2" xfId="26269" xr:uid="{00000000-0005-0000-0000-0000367D0000}"/>
    <cellStyle name="Normal 3 19 9 2 3 2 2" xfId="53402" xr:uid="{00000000-0005-0000-0000-0000377D0000}"/>
    <cellStyle name="Normal 3 19 9 2 3 3" xfId="39840" xr:uid="{00000000-0005-0000-0000-0000387D0000}"/>
    <cellStyle name="Normal 3 19 9 2 4" xfId="19488" xr:uid="{00000000-0005-0000-0000-0000397D0000}"/>
    <cellStyle name="Normal 3 19 9 2 4 2" xfId="46621" xr:uid="{00000000-0005-0000-0000-00003A7D0000}"/>
    <cellStyle name="Normal 3 19 9 2 5" xfId="33059" xr:uid="{00000000-0005-0000-0000-00003B7D0000}"/>
    <cellStyle name="Normal 3 19 9 3" xfId="5759" xr:uid="{00000000-0005-0000-0000-00003C7D0000}"/>
    <cellStyle name="Normal 3 19 9 3 2" xfId="9302" xr:uid="{00000000-0005-0000-0000-00003D7D0000}"/>
    <cellStyle name="Normal 3 19 9 3 2 2" xfId="16091" xr:uid="{00000000-0005-0000-0000-00003E7D0000}"/>
    <cellStyle name="Normal 3 19 9 3 2 2 2" xfId="29659" xr:uid="{00000000-0005-0000-0000-00003F7D0000}"/>
    <cellStyle name="Normal 3 19 9 3 2 2 2 2" xfId="56792" xr:uid="{00000000-0005-0000-0000-0000407D0000}"/>
    <cellStyle name="Normal 3 19 9 3 2 2 3" xfId="43230" xr:uid="{00000000-0005-0000-0000-0000417D0000}"/>
    <cellStyle name="Normal 3 19 9 3 2 3" xfId="22878" xr:uid="{00000000-0005-0000-0000-0000427D0000}"/>
    <cellStyle name="Normal 3 19 9 3 2 3 2" xfId="50011" xr:uid="{00000000-0005-0000-0000-0000437D0000}"/>
    <cellStyle name="Normal 3 19 9 3 2 4" xfId="36449" xr:uid="{00000000-0005-0000-0000-0000447D0000}"/>
    <cellStyle name="Normal 3 19 9 3 3" xfId="12702" xr:uid="{00000000-0005-0000-0000-0000457D0000}"/>
    <cellStyle name="Normal 3 19 9 3 3 2" xfId="26270" xr:uid="{00000000-0005-0000-0000-0000467D0000}"/>
    <cellStyle name="Normal 3 19 9 3 3 2 2" xfId="53403" xr:uid="{00000000-0005-0000-0000-0000477D0000}"/>
    <cellStyle name="Normal 3 19 9 3 3 3" xfId="39841" xr:uid="{00000000-0005-0000-0000-0000487D0000}"/>
    <cellStyle name="Normal 3 19 9 3 4" xfId="19489" xr:uid="{00000000-0005-0000-0000-0000497D0000}"/>
    <cellStyle name="Normal 3 19 9 3 4 2" xfId="46622" xr:uid="{00000000-0005-0000-0000-00004A7D0000}"/>
    <cellStyle name="Normal 3 19 9 3 5" xfId="33060" xr:uid="{00000000-0005-0000-0000-00004B7D0000}"/>
    <cellStyle name="Normal 3 19 9 4" xfId="9300" xr:uid="{00000000-0005-0000-0000-00004C7D0000}"/>
    <cellStyle name="Normal 3 19 9 4 2" xfId="16089" xr:uid="{00000000-0005-0000-0000-00004D7D0000}"/>
    <cellStyle name="Normal 3 19 9 4 2 2" xfId="29657" xr:uid="{00000000-0005-0000-0000-00004E7D0000}"/>
    <cellStyle name="Normal 3 19 9 4 2 2 2" xfId="56790" xr:uid="{00000000-0005-0000-0000-00004F7D0000}"/>
    <cellStyle name="Normal 3 19 9 4 2 3" xfId="43228" xr:uid="{00000000-0005-0000-0000-0000507D0000}"/>
    <cellStyle name="Normal 3 19 9 4 3" xfId="22876" xr:uid="{00000000-0005-0000-0000-0000517D0000}"/>
    <cellStyle name="Normal 3 19 9 4 3 2" xfId="50009" xr:uid="{00000000-0005-0000-0000-0000527D0000}"/>
    <cellStyle name="Normal 3 19 9 4 4" xfId="36447" xr:uid="{00000000-0005-0000-0000-0000537D0000}"/>
    <cellStyle name="Normal 3 19 9 5" xfId="12700" xr:uid="{00000000-0005-0000-0000-0000547D0000}"/>
    <cellStyle name="Normal 3 19 9 5 2" xfId="26268" xr:uid="{00000000-0005-0000-0000-0000557D0000}"/>
    <cellStyle name="Normal 3 19 9 5 2 2" xfId="53401" xr:uid="{00000000-0005-0000-0000-0000567D0000}"/>
    <cellStyle name="Normal 3 19 9 5 3" xfId="39839" xr:uid="{00000000-0005-0000-0000-0000577D0000}"/>
    <cellStyle name="Normal 3 19 9 6" xfId="19487" xr:uid="{00000000-0005-0000-0000-0000587D0000}"/>
    <cellStyle name="Normal 3 19 9 6 2" xfId="46620" xr:uid="{00000000-0005-0000-0000-0000597D0000}"/>
    <cellStyle name="Normal 3 19 9 7" xfId="33058" xr:uid="{00000000-0005-0000-0000-00005A7D0000}"/>
    <cellStyle name="Normal 3 2" xfId="143" xr:uid="{00000000-0005-0000-0000-00005B7D0000}"/>
    <cellStyle name="Normal 3 2 2" xfId="2668" xr:uid="{00000000-0005-0000-0000-00005C7D0000}"/>
    <cellStyle name="Normal 3 2 2 2" xfId="2669" xr:uid="{00000000-0005-0000-0000-00005D7D0000}"/>
    <cellStyle name="Normal 3 2 2 2 2" xfId="7482" xr:uid="{00000000-0005-0000-0000-00005E7D0000}"/>
    <cellStyle name="Normal 3 2 2 2 2 2" xfId="14271" xr:uid="{00000000-0005-0000-0000-00005F7D0000}"/>
    <cellStyle name="Normal 3 2 2 2 2 2 2" xfId="27839" xr:uid="{00000000-0005-0000-0000-0000607D0000}"/>
    <cellStyle name="Normal 3 2 2 2 2 2 2 2" xfId="54972" xr:uid="{00000000-0005-0000-0000-0000617D0000}"/>
    <cellStyle name="Normal 3 2 2 2 2 2 3" xfId="41410" xr:uid="{00000000-0005-0000-0000-0000627D0000}"/>
    <cellStyle name="Normal 3 2 2 2 2 3" xfId="21058" xr:uid="{00000000-0005-0000-0000-0000637D0000}"/>
    <cellStyle name="Normal 3 2 2 2 2 3 2" xfId="48191" xr:uid="{00000000-0005-0000-0000-0000647D0000}"/>
    <cellStyle name="Normal 3 2 2 2 2 4" xfId="34629" xr:uid="{00000000-0005-0000-0000-0000657D0000}"/>
    <cellStyle name="Normal 3 2 2 2 3" xfId="10882" xr:uid="{00000000-0005-0000-0000-0000667D0000}"/>
    <cellStyle name="Normal 3 2 2 2 3 2" xfId="24450" xr:uid="{00000000-0005-0000-0000-0000677D0000}"/>
    <cellStyle name="Normal 3 2 2 2 3 2 2" xfId="51583" xr:uid="{00000000-0005-0000-0000-0000687D0000}"/>
    <cellStyle name="Normal 3 2 2 2 3 3" xfId="38021" xr:uid="{00000000-0005-0000-0000-0000697D0000}"/>
    <cellStyle name="Normal 3 2 2 2 4" xfId="17669" xr:uid="{00000000-0005-0000-0000-00006A7D0000}"/>
    <cellStyle name="Normal 3 2 2 2 4 2" xfId="44802" xr:uid="{00000000-0005-0000-0000-00006B7D0000}"/>
    <cellStyle name="Normal 3 2 2 2 5" xfId="31240" xr:uid="{00000000-0005-0000-0000-00006C7D0000}"/>
    <cellStyle name="Normal 3 2 2 3" xfId="7481" xr:uid="{00000000-0005-0000-0000-00006D7D0000}"/>
    <cellStyle name="Normal 3 2 2 3 2" xfId="14270" xr:uid="{00000000-0005-0000-0000-00006E7D0000}"/>
    <cellStyle name="Normal 3 2 2 3 2 2" xfId="27838" xr:uid="{00000000-0005-0000-0000-00006F7D0000}"/>
    <cellStyle name="Normal 3 2 2 3 2 2 2" xfId="54971" xr:uid="{00000000-0005-0000-0000-0000707D0000}"/>
    <cellStyle name="Normal 3 2 2 3 2 3" xfId="41409" xr:uid="{00000000-0005-0000-0000-0000717D0000}"/>
    <cellStyle name="Normal 3 2 2 3 3" xfId="21057" xr:uid="{00000000-0005-0000-0000-0000727D0000}"/>
    <cellStyle name="Normal 3 2 2 3 3 2" xfId="48190" xr:uid="{00000000-0005-0000-0000-0000737D0000}"/>
    <cellStyle name="Normal 3 2 2 3 4" xfId="34628" xr:uid="{00000000-0005-0000-0000-0000747D0000}"/>
    <cellStyle name="Normal 3 2 2 4" xfId="10881" xr:uid="{00000000-0005-0000-0000-0000757D0000}"/>
    <cellStyle name="Normal 3 2 2 4 2" xfId="24449" xr:uid="{00000000-0005-0000-0000-0000767D0000}"/>
    <cellStyle name="Normal 3 2 2 4 2 2" xfId="51582" xr:uid="{00000000-0005-0000-0000-0000777D0000}"/>
    <cellStyle name="Normal 3 2 2 4 3" xfId="38020" xr:uid="{00000000-0005-0000-0000-0000787D0000}"/>
    <cellStyle name="Normal 3 2 2 5" xfId="17668" xr:uid="{00000000-0005-0000-0000-0000797D0000}"/>
    <cellStyle name="Normal 3 2 2 5 2" xfId="44801" xr:uid="{00000000-0005-0000-0000-00007A7D0000}"/>
    <cellStyle name="Normal 3 2 2 6" xfId="31239" xr:uid="{00000000-0005-0000-0000-00007B7D0000}"/>
    <cellStyle name="Normal 3 2 3" xfId="2670" xr:uid="{00000000-0005-0000-0000-00007C7D0000}"/>
    <cellStyle name="Normal 3 2 3 2" xfId="2671" xr:uid="{00000000-0005-0000-0000-00007D7D0000}"/>
    <cellStyle name="Normal 3 2 3 2 2" xfId="7484" xr:uid="{00000000-0005-0000-0000-00007E7D0000}"/>
    <cellStyle name="Normal 3 2 3 2 2 2" xfId="14273" xr:uid="{00000000-0005-0000-0000-00007F7D0000}"/>
    <cellStyle name="Normal 3 2 3 2 2 2 2" xfId="27841" xr:uid="{00000000-0005-0000-0000-0000807D0000}"/>
    <cellStyle name="Normal 3 2 3 2 2 2 2 2" xfId="54974" xr:uid="{00000000-0005-0000-0000-0000817D0000}"/>
    <cellStyle name="Normal 3 2 3 2 2 2 3" xfId="41412" xr:uid="{00000000-0005-0000-0000-0000827D0000}"/>
    <cellStyle name="Normal 3 2 3 2 2 3" xfId="21060" xr:uid="{00000000-0005-0000-0000-0000837D0000}"/>
    <cellStyle name="Normal 3 2 3 2 2 3 2" xfId="48193" xr:uid="{00000000-0005-0000-0000-0000847D0000}"/>
    <cellStyle name="Normal 3 2 3 2 2 4" xfId="34631" xr:uid="{00000000-0005-0000-0000-0000857D0000}"/>
    <cellStyle name="Normal 3 2 3 2 3" xfId="10884" xr:uid="{00000000-0005-0000-0000-0000867D0000}"/>
    <cellStyle name="Normal 3 2 3 2 3 2" xfId="24452" xr:uid="{00000000-0005-0000-0000-0000877D0000}"/>
    <cellStyle name="Normal 3 2 3 2 3 2 2" xfId="51585" xr:uid="{00000000-0005-0000-0000-0000887D0000}"/>
    <cellStyle name="Normal 3 2 3 2 3 3" xfId="38023" xr:uid="{00000000-0005-0000-0000-0000897D0000}"/>
    <cellStyle name="Normal 3 2 3 2 4" xfId="17671" xr:uid="{00000000-0005-0000-0000-00008A7D0000}"/>
    <cellStyle name="Normal 3 2 3 2 4 2" xfId="44804" xr:uid="{00000000-0005-0000-0000-00008B7D0000}"/>
    <cellStyle name="Normal 3 2 3 2 5" xfId="31242" xr:uid="{00000000-0005-0000-0000-00008C7D0000}"/>
    <cellStyle name="Normal 3 2 3 3" xfId="7483" xr:uid="{00000000-0005-0000-0000-00008D7D0000}"/>
    <cellStyle name="Normal 3 2 3 3 2" xfId="14272" xr:uid="{00000000-0005-0000-0000-00008E7D0000}"/>
    <cellStyle name="Normal 3 2 3 3 2 2" xfId="27840" xr:uid="{00000000-0005-0000-0000-00008F7D0000}"/>
    <cellStyle name="Normal 3 2 3 3 2 2 2" xfId="54973" xr:uid="{00000000-0005-0000-0000-0000907D0000}"/>
    <cellStyle name="Normal 3 2 3 3 2 3" xfId="41411" xr:uid="{00000000-0005-0000-0000-0000917D0000}"/>
    <cellStyle name="Normal 3 2 3 3 3" xfId="21059" xr:uid="{00000000-0005-0000-0000-0000927D0000}"/>
    <cellStyle name="Normal 3 2 3 3 3 2" xfId="48192" xr:uid="{00000000-0005-0000-0000-0000937D0000}"/>
    <cellStyle name="Normal 3 2 3 3 4" xfId="34630" xr:uid="{00000000-0005-0000-0000-0000947D0000}"/>
    <cellStyle name="Normal 3 2 3 4" xfId="10883" xr:uid="{00000000-0005-0000-0000-0000957D0000}"/>
    <cellStyle name="Normal 3 2 3 4 2" xfId="24451" xr:uid="{00000000-0005-0000-0000-0000967D0000}"/>
    <cellStyle name="Normal 3 2 3 4 2 2" xfId="51584" xr:uid="{00000000-0005-0000-0000-0000977D0000}"/>
    <cellStyle name="Normal 3 2 3 4 3" xfId="38022" xr:uid="{00000000-0005-0000-0000-0000987D0000}"/>
    <cellStyle name="Normal 3 2 3 5" xfId="17670" xr:uid="{00000000-0005-0000-0000-0000997D0000}"/>
    <cellStyle name="Normal 3 2 3 5 2" xfId="44803" xr:uid="{00000000-0005-0000-0000-00009A7D0000}"/>
    <cellStyle name="Normal 3 2 3 6" xfId="31241" xr:uid="{00000000-0005-0000-0000-00009B7D0000}"/>
    <cellStyle name="Normal 3 2 4" xfId="2672" xr:uid="{00000000-0005-0000-0000-00009C7D0000}"/>
    <cellStyle name="Normal 3 2 4 2" xfId="2673" xr:uid="{00000000-0005-0000-0000-00009D7D0000}"/>
    <cellStyle name="Normal 3 2 4 2 2" xfId="7486" xr:uid="{00000000-0005-0000-0000-00009E7D0000}"/>
    <cellStyle name="Normal 3 2 4 2 2 2" xfId="14275" xr:uid="{00000000-0005-0000-0000-00009F7D0000}"/>
    <cellStyle name="Normal 3 2 4 2 2 2 2" xfId="27843" xr:uid="{00000000-0005-0000-0000-0000A07D0000}"/>
    <cellStyle name="Normal 3 2 4 2 2 2 2 2" xfId="54976" xr:uid="{00000000-0005-0000-0000-0000A17D0000}"/>
    <cellStyle name="Normal 3 2 4 2 2 2 3" xfId="41414" xr:uid="{00000000-0005-0000-0000-0000A27D0000}"/>
    <cellStyle name="Normal 3 2 4 2 2 3" xfId="21062" xr:uid="{00000000-0005-0000-0000-0000A37D0000}"/>
    <cellStyle name="Normal 3 2 4 2 2 3 2" xfId="48195" xr:uid="{00000000-0005-0000-0000-0000A47D0000}"/>
    <cellStyle name="Normal 3 2 4 2 2 4" xfId="34633" xr:uid="{00000000-0005-0000-0000-0000A57D0000}"/>
    <cellStyle name="Normal 3 2 4 2 3" xfId="10886" xr:uid="{00000000-0005-0000-0000-0000A67D0000}"/>
    <cellStyle name="Normal 3 2 4 2 3 2" xfId="24454" xr:uid="{00000000-0005-0000-0000-0000A77D0000}"/>
    <cellStyle name="Normal 3 2 4 2 3 2 2" xfId="51587" xr:uid="{00000000-0005-0000-0000-0000A87D0000}"/>
    <cellStyle name="Normal 3 2 4 2 3 3" xfId="38025" xr:uid="{00000000-0005-0000-0000-0000A97D0000}"/>
    <cellStyle name="Normal 3 2 4 2 4" xfId="17673" xr:uid="{00000000-0005-0000-0000-0000AA7D0000}"/>
    <cellStyle name="Normal 3 2 4 2 4 2" xfId="44806" xr:uid="{00000000-0005-0000-0000-0000AB7D0000}"/>
    <cellStyle name="Normal 3 2 4 2 5" xfId="31244" xr:uid="{00000000-0005-0000-0000-0000AC7D0000}"/>
    <cellStyle name="Normal 3 2 4 3" xfId="7485" xr:uid="{00000000-0005-0000-0000-0000AD7D0000}"/>
    <cellStyle name="Normal 3 2 4 3 2" xfId="14274" xr:uid="{00000000-0005-0000-0000-0000AE7D0000}"/>
    <cellStyle name="Normal 3 2 4 3 2 2" xfId="27842" xr:uid="{00000000-0005-0000-0000-0000AF7D0000}"/>
    <cellStyle name="Normal 3 2 4 3 2 2 2" xfId="54975" xr:uid="{00000000-0005-0000-0000-0000B07D0000}"/>
    <cellStyle name="Normal 3 2 4 3 2 3" xfId="41413" xr:uid="{00000000-0005-0000-0000-0000B17D0000}"/>
    <cellStyle name="Normal 3 2 4 3 3" xfId="21061" xr:uid="{00000000-0005-0000-0000-0000B27D0000}"/>
    <cellStyle name="Normal 3 2 4 3 3 2" xfId="48194" xr:uid="{00000000-0005-0000-0000-0000B37D0000}"/>
    <cellStyle name="Normal 3 2 4 3 4" xfId="34632" xr:uid="{00000000-0005-0000-0000-0000B47D0000}"/>
    <cellStyle name="Normal 3 2 4 4" xfId="10885" xr:uid="{00000000-0005-0000-0000-0000B57D0000}"/>
    <cellStyle name="Normal 3 2 4 4 2" xfId="24453" xr:uid="{00000000-0005-0000-0000-0000B67D0000}"/>
    <cellStyle name="Normal 3 2 4 4 2 2" xfId="51586" xr:uid="{00000000-0005-0000-0000-0000B77D0000}"/>
    <cellStyle name="Normal 3 2 4 4 3" xfId="38024" xr:uid="{00000000-0005-0000-0000-0000B87D0000}"/>
    <cellStyle name="Normal 3 2 4 5" xfId="17672" xr:uid="{00000000-0005-0000-0000-0000B97D0000}"/>
    <cellStyle name="Normal 3 2 4 5 2" xfId="44805" xr:uid="{00000000-0005-0000-0000-0000BA7D0000}"/>
    <cellStyle name="Normal 3 2 4 6" xfId="31243" xr:uid="{00000000-0005-0000-0000-0000BB7D0000}"/>
    <cellStyle name="Normal 3 2 5" xfId="2674" xr:uid="{00000000-0005-0000-0000-0000BC7D0000}"/>
    <cellStyle name="Normal 3 2 5 2" xfId="2675" xr:uid="{00000000-0005-0000-0000-0000BD7D0000}"/>
    <cellStyle name="Normal 3 2 5 2 2" xfId="7488" xr:uid="{00000000-0005-0000-0000-0000BE7D0000}"/>
    <cellStyle name="Normal 3 2 5 2 2 2" xfId="14277" xr:uid="{00000000-0005-0000-0000-0000BF7D0000}"/>
    <cellStyle name="Normal 3 2 5 2 2 2 2" xfId="27845" xr:uid="{00000000-0005-0000-0000-0000C07D0000}"/>
    <cellStyle name="Normal 3 2 5 2 2 2 2 2" xfId="54978" xr:uid="{00000000-0005-0000-0000-0000C17D0000}"/>
    <cellStyle name="Normal 3 2 5 2 2 2 3" xfId="41416" xr:uid="{00000000-0005-0000-0000-0000C27D0000}"/>
    <cellStyle name="Normal 3 2 5 2 2 3" xfId="21064" xr:uid="{00000000-0005-0000-0000-0000C37D0000}"/>
    <cellStyle name="Normal 3 2 5 2 2 3 2" xfId="48197" xr:uid="{00000000-0005-0000-0000-0000C47D0000}"/>
    <cellStyle name="Normal 3 2 5 2 2 4" xfId="34635" xr:uid="{00000000-0005-0000-0000-0000C57D0000}"/>
    <cellStyle name="Normal 3 2 5 2 3" xfId="10888" xr:uid="{00000000-0005-0000-0000-0000C67D0000}"/>
    <cellStyle name="Normal 3 2 5 2 3 2" xfId="24456" xr:uid="{00000000-0005-0000-0000-0000C77D0000}"/>
    <cellStyle name="Normal 3 2 5 2 3 2 2" xfId="51589" xr:uid="{00000000-0005-0000-0000-0000C87D0000}"/>
    <cellStyle name="Normal 3 2 5 2 3 3" xfId="38027" xr:uid="{00000000-0005-0000-0000-0000C97D0000}"/>
    <cellStyle name="Normal 3 2 5 2 4" xfId="17675" xr:uid="{00000000-0005-0000-0000-0000CA7D0000}"/>
    <cellStyle name="Normal 3 2 5 2 4 2" xfId="44808" xr:uid="{00000000-0005-0000-0000-0000CB7D0000}"/>
    <cellStyle name="Normal 3 2 5 2 5" xfId="31246" xr:uid="{00000000-0005-0000-0000-0000CC7D0000}"/>
    <cellStyle name="Normal 3 2 5 3" xfId="7487" xr:uid="{00000000-0005-0000-0000-0000CD7D0000}"/>
    <cellStyle name="Normal 3 2 5 3 2" xfId="14276" xr:uid="{00000000-0005-0000-0000-0000CE7D0000}"/>
    <cellStyle name="Normal 3 2 5 3 2 2" xfId="27844" xr:uid="{00000000-0005-0000-0000-0000CF7D0000}"/>
    <cellStyle name="Normal 3 2 5 3 2 2 2" xfId="54977" xr:uid="{00000000-0005-0000-0000-0000D07D0000}"/>
    <cellStyle name="Normal 3 2 5 3 2 3" xfId="41415" xr:uid="{00000000-0005-0000-0000-0000D17D0000}"/>
    <cellStyle name="Normal 3 2 5 3 3" xfId="21063" xr:uid="{00000000-0005-0000-0000-0000D27D0000}"/>
    <cellStyle name="Normal 3 2 5 3 3 2" xfId="48196" xr:uid="{00000000-0005-0000-0000-0000D37D0000}"/>
    <cellStyle name="Normal 3 2 5 3 4" xfId="34634" xr:uid="{00000000-0005-0000-0000-0000D47D0000}"/>
    <cellStyle name="Normal 3 2 5 4" xfId="10887" xr:uid="{00000000-0005-0000-0000-0000D57D0000}"/>
    <cellStyle name="Normal 3 2 5 4 2" xfId="24455" xr:uid="{00000000-0005-0000-0000-0000D67D0000}"/>
    <cellStyle name="Normal 3 2 5 4 2 2" xfId="51588" xr:uid="{00000000-0005-0000-0000-0000D77D0000}"/>
    <cellStyle name="Normal 3 2 5 4 3" xfId="38026" xr:uid="{00000000-0005-0000-0000-0000D87D0000}"/>
    <cellStyle name="Normal 3 2 5 5" xfId="17674" xr:uid="{00000000-0005-0000-0000-0000D97D0000}"/>
    <cellStyle name="Normal 3 2 5 5 2" xfId="44807" xr:uid="{00000000-0005-0000-0000-0000DA7D0000}"/>
    <cellStyle name="Normal 3 2 5 6" xfId="31245" xr:uid="{00000000-0005-0000-0000-0000DB7D0000}"/>
    <cellStyle name="Normal 3 2 6" xfId="2676" xr:uid="{00000000-0005-0000-0000-0000DC7D0000}"/>
    <cellStyle name="Normal 3 2 6 2" xfId="2677" xr:uid="{00000000-0005-0000-0000-0000DD7D0000}"/>
    <cellStyle name="Normal 3 2 6 2 2" xfId="7490" xr:uid="{00000000-0005-0000-0000-0000DE7D0000}"/>
    <cellStyle name="Normal 3 2 6 2 2 2" xfId="14279" xr:uid="{00000000-0005-0000-0000-0000DF7D0000}"/>
    <cellStyle name="Normal 3 2 6 2 2 2 2" xfId="27847" xr:uid="{00000000-0005-0000-0000-0000E07D0000}"/>
    <cellStyle name="Normal 3 2 6 2 2 2 2 2" xfId="54980" xr:uid="{00000000-0005-0000-0000-0000E17D0000}"/>
    <cellStyle name="Normal 3 2 6 2 2 2 3" xfId="41418" xr:uid="{00000000-0005-0000-0000-0000E27D0000}"/>
    <cellStyle name="Normal 3 2 6 2 2 3" xfId="21066" xr:uid="{00000000-0005-0000-0000-0000E37D0000}"/>
    <cellStyle name="Normal 3 2 6 2 2 3 2" xfId="48199" xr:uid="{00000000-0005-0000-0000-0000E47D0000}"/>
    <cellStyle name="Normal 3 2 6 2 2 4" xfId="34637" xr:uid="{00000000-0005-0000-0000-0000E57D0000}"/>
    <cellStyle name="Normal 3 2 6 2 3" xfId="10890" xr:uid="{00000000-0005-0000-0000-0000E67D0000}"/>
    <cellStyle name="Normal 3 2 6 2 3 2" xfId="24458" xr:uid="{00000000-0005-0000-0000-0000E77D0000}"/>
    <cellStyle name="Normal 3 2 6 2 3 2 2" xfId="51591" xr:uid="{00000000-0005-0000-0000-0000E87D0000}"/>
    <cellStyle name="Normal 3 2 6 2 3 3" xfId="38029" xr:uid="{00000000-0005-0000-0000-0000E97D0000}"/>
    <cellStyle name="Normal 3 2 6 2 4" xfId="17677" xr:uid="{00000000-0005-0000-0000-0000EA7D0000}"/>
    <cellStyle name="Normal 3 2 6 2 4 2" xfId="44810" xr:uid="{00000000-0005-0000-0000-0000EB7D0000}"/>
    <cellStyle name="Normal 3 2 6 2 5" xfId="31248" xr:uid="{00000000-0005-0000-0000-0000EC7D0000}"/>
    <cellStyle name="Normal 3 2 6 3" xfId="7489" xr:uid="{00000000-0005-0000-0000-0000ED7D0000}"/>
    <cellStyle name="Normal 3 2 6 3 2" xfId="14278" xr:uid="{00000000-0005-0000-0000-0000EE7D0000}"/>
    <cellStyle name="Normal 3 2 6 3 2 2" xfId="27846" xr:uid="{00000000-0005-0000-0000-0000EF7D0000}"/>
    <cellStyle name="Normal 3 2 6 3 2 2 2" xfId="54979" xr:uid="{00000000-0005-0000-0000-0000F07D0000}"/>
    <cellStyle name="Normal 3 2 6 3 2 3" xfId="41417" xr:uid="{00000000-0005-0000-0000-0000F17D0000}"/>
    <cellStyle name="Normal 3 2 6 3 3" xfId="21065" xr:uid="{00000000-0005-0000-0000-0000F27D0000}"/>
    <cellStyle name="Normal 3 2 6 3 3 2" xfId="48198" xr:uid="{00000000-0005-0000-0000-0000F37D0000}"/>
    <cellStyle name="Normal 3 2 6 3 4" xfId="34636" xr:uid="{00000000-0005-0000-0000-0000F47D0000}"/>
    <cellStyle name="Normal 3 2 6 4" xfId="10889" xr:uid="{00000000-0005-0000-0000-0000F57D0000}"/>
    <cellStyle name="Normal 3 2 6 4 2" xfId="24457" xr:uid="{00000000-0005-0000-0000-0000F67D0000}"/>
    <cellStyle name="Normal 3 2 6 4 2 2" xfId="51590" xr:uid="{00000000-0005-0000-0000-0000F77D0000}"/>
    <cellStyle name="Normal 3 2 6 4 3" xfId="38028" xr:uid="{00000000-0005-0000-0000-0000F87D0000}"/>
    <cellStyle name="Normal 3 2 6 5" xfId="17676" xr:uid="{00000000-0005-0000-0000-0000F97D0000}"/>
    <cellStyle name="Normal 3 2 6 5 2" xfId="44809" xr:uid="{00000000-0005-0000-0000-0000FA7D0000}"/>
    <cellStyle name="Normal 3 2 6 6" xfId="31247" xr:uid="{00000000-0005-0000-0000-0000FB7D0000}"/>
    <cellStyle name="Normal 3 2 7" xfId="2678" xr:uid="{00000000-0005-0000-0000-0000FC7D0000}"/>
    <cellStyle name="Normal 3 2 7 2" xfId="2679" xr:uid="{00000000-0005-0000-0000-0000FD7D0000}"/>
    <cellStyle name="Normal 3 2 7 2 2" xfId="7492" xr:uid="{00000000-0005-0000-0000-0000FE7D0000}"/>
    <cellStyle name="Normal 3 2 7 2 2 2" xfId="14281" xr:uid="{00000000-0005-0000-0000-0000FF7D0000}"/>
    <cellStyle name="Normal 3 2 7 2 2 2 2" xfId="27849" xr:uid="{00000000-0005-0000-0000-0000007E0000}"/>
    <cellStyle name="Normal 3 2 7 2 2 2 2 2" xfId="54982" xr:uid="{00000000-0005-0000-0000-0000017E0000}"/>
    <cellStyle name="Normal 3 2 7 2 2 2 3" xfId="41420" xr:uid="{00000000-0005-0000-0000-0000027E0000}"/>
    <cellStyle name="Normal 3 2 7 2 2 3" xfId="21068" xr:uid="{00000000-0005-0000-0000-0000037E0000}"/>
    <cellStyle name="Normal 3 2 7 2 2 3 2" xfId="48201" xr:uid="{00000000-0005-0000-0000-0000047E0000}"/>
    <cellStyle name="Normal 3 2 7 2 2 4" xfId="34639" xr:uid="{00000000-0005-0000-0000-0000057E0000}"/>
    <cellStyle name="Normal 3 2 7 2 3" xfId="10892" xr:uid="{00000000-0005-0000-0000-0000067E0000}"/>
    <cellStyle name="Normal 3 2 7 2 3 2" xfId="24460" xr:uid="{00000000-0005-0000-0000-0000077E0000}"/>
    <cellStyle name="Normal 3 2 7 2 3 2 2" xfId="51593" xr:uid="{00000000-0005-0000-0000-0000087E0000}"/>
    <cellStyle name="Normal 3 2 7 2 3 3" xfId="38031" xr:uid="{00000000-0005-0000-0000-0000097E0000}"/>
    <cellStyle name="Normal 3 2 7 2 4" xfId="17679" xr:uid="{00000000-0005-0000-0000-00000A7E0000}"/>
    <cellStyle name="Normal 3 2 7 2 4 2" xfId="44812" xr:uid="{00000000-0005-0000-0000-00000B7E0000}"/>
    <cellStyle name="Normal 3 2 7 2 5" xfId="31250" xr:uid="{00000000-0005-0000-0000-00000C7E0000}"/>
    <cellStyle name="Normal 3 2 7 3" xfId="7491" xr:uid="{00000000-0005-0000-0000-00000D7E0000}"/>
    <cellStyle name="Normal 3 2 7 3 2" xfId="14280" xr:uid="{00000000-0005-0000-0000-00000E7E0000}"/>
    <cellStyle name="Normal 3 2 7 3 2 2" xfId="27848" xr:uid="{00000000-0005-0000-0000-00000F7E0000}"/>
    <cellStyle name="Normal 3 2 7 3 2 2 2" xfId="54981" xr:uid="{00000000-0005-0000-0000-0000107E0000}"/>
    <cellStyle name="Normal 3 2 7 3 2 3" xfId="41419" xr:uid="{00000000-0005-0000-0000-0000117E0000}"/>
    <cellStyle name="Normal 3 2 7 3 3" xfId="21067" xr:uid="{00000000-0005-0000-0000-0000127E0000}"/>
    <cellStyle name="Normal 3 2 7 3 3 2" xfId="48200" xr:uid="{00000000-0005-0000-0000-0000137E0000}"/>
    <cellStyle name="Normal 3 2 7 3 4" xfId="34638" xr:uid="{00000000-0005-0000-0000-0000147E0000}"/>
    <cellStyle name="Normal 3 2 7 4" xfId="10891" xr:uid="{00000000-0005-0000-0000-0000157E0000}"/>
    <cellStyle name="Normal 3 2 7 4 2" xfId="24459" xr:uid="{00000000-0005-0000-0000-0000167E0000}"/>
    <cellStyle name="Normal 3 2 7 4 2 2" xfId="51592" xr:uid="{00000000-0005-0000-0000-0000177E0000}"/>
    <cellStyle name="Normal 3 2 7 4 3" xfId="38030" xr:uid="{00000000-0005-0000-0000-0000187E0000}"/>
    <cellStyle name="Normal 3 2 7 5" xfId="17678" xr:uid="{00000000-0005-0000-0000-0000197E0000}"/>
    <cellStyle name="Normal 3 2 7 5 2" xfId="44811" xr:uid="{00000000-0005-0000-0000-00001A7E0000}"/>
    <cellStyle name="Normal 3 2 7 6" xfId="31249" xr:uid="{00000000-0005-0000-0000-00001B7E0000}"/>
    <cellStyle name="Normal 3 2 8" xfId="2680" xr:uid="{00000000-0005-0000-0000-00001C7E0000}"/>
    <cellStyle name="Normal 3 2 8 2" xfId="2681" xr:uid="{00000000-0005-0000-0000-00001D7E0000}"/>
    <cellStyle name="Normal 3 2 8 2 2" xfId="7494" xr:uid="{00000000-0005-0000-0000-00001E7E0000}"/>
    <cellStyle name="Normal 3 2 8 2 2 2" xfId="14283" xr:uid="{00000000-0005-0000-0000-00001F7E0000}"/>
    <cellStyle name="Normal 3 2 8 2 2 2 2" xfId="27851" xr:uid="{00000000-0005-0000-0000-0000207E0000}"/>
    <cellStyle name="Normal 3 2 8 2 2 2 2 2" xfId="54984" xr:uid="{00000000-0005-0000-0000-0000217E0000}"/>
    <cellStyle name="Normal 3 2 8 2 2 2 3" xfId="41422" xr:uid="{00000000-0005-0000-0000-0000227E0000}"/>
    <cellStyle name="Normal 3 2 8 2 2 3" xfId="21070" xr:uid="{00000000-0005-0000-0000-0000237E0000}"/>
    <cellStyle name="Normal 3 2 8 2 2 3 2" xfId="48203" xr:uid="{00000000-0005-0000-0000-0000247E0000}"/>
    <cellStyle name="Normal 3 2 8 2 2 4" xfId="34641" xr:uid="{00000000-0005-0000-0000-0000257E0000}"/>
    <cellStyle name="Normal 3 2 8 2 3" xfId="10894" xr:uid="{00000000-0005-0000-0000-0000267E0000}"/>
    <cellStyle name="Normal 3 2 8 2 3 2" xfId="24462" xr:uid="{00000000-0005-0000-0000-0000277E0000}"/>
    <cellStyle name="Normal 3 2 8 2 3 2 2" xfId="51595" xr:uid="{00000000-0005-0000-0000-0000287E0000}"/>
    <cellStyle name="Normal 3 2 8 2 3 3" xfId="38033" xr:uid="{00000000-0005-0000-0000-0000297E0000}"/>
    <cellStyle name="Normal 3 2 8 2 4" xfId="17681" xr:uid="{00000000-0005-0000-0000-00002A7E0000}"/>
    <cellStyle name="Normal 3 2 8 2 4 2" xfId="44814" xr:uid="{00000000-0005-0000-0000-00002B7E0000}"/>
    <cellStyle name="Normal 3 2 8 2 5" xfId="31252" xr:uid="{00000000-0005-0000-0000-00002C7E0000}"/>
    <cellStyle name="Normal 3 2 8 3" xfId="7493" xr:uid="{00000000-0005-0000-0000-00002D7E0000}"/>
    <cellStyle name="Normal 3 2 8 3 2" xfId="14282" xr:uid="{00000000-0005-0000-0000-00002E7E0000}"/>
    <cellStyle name="Normal 3 2 8 3 2 2" xfId="27850" xr:uid="{00000000-0005-0000-0000-00002F7E0000}"/>
    <cellStyle name="Normal 3 2 8 3 2 2 2" xfId="54983" xr:uid="{00000000-0005-0000-0000-0000307E0000}"/>
    <cellStyle name="Normal 3 2 8 3 2 3" xfId="41421" xr:uid="{00000000-0005-0000-0000-0000317E0000}"/>
    <cellStyle name="Normal 3 2 8 3 3" xfId="21069" xr:uid="{00000000-0005-0000-0000-0000327E0000}"/>
    <cellStyle name="Normal 3 2 8 3 3 2" xfId="48202" xr:uid="{00000000-0005-0000-0000-0000337E0000}"/>
    <cellStyle name="Normal 3 2 8 3 4" xfId="34640" xr:uid="{00000000-0005-0000-0000-0000347E0000}"/>
    <cellStyle name="Normal 3 2 8 4" xfId="10893" xr:uid="{00000000-0005-0000-0000-0000357E0000}"/>
    <cellStyle name="Normal 3 2 8 4 2" xfId="24461" xr:uid="{00000000-0005-0000-0000-0000367E0000}"/>
    <cellStyle name="Normal 3 2 8 4 2 2" xfId="51594" xr:uid="{00000000-0005-0000-0000-0000377E0000}"/>
    <cellStyle name="Normal 3 2 8 4 3" xfId="38032" xr:uid="{00000000-0005-0000-0000-0000387E0000}"/>
    <cellStyle name="Normal 3 2 8 5" xfId="17680" xr:uid="{00000000-0005-0000-0000-0000397E0000}"/>
    <cellStyle name="Normal 3 2 8 5 2" xfId="44813" xr:uid="{00000000-0005-0000-0000-00003A7E0000}"/>
    <cellStyle name="Normal 3 2 8 6" xfId="31251" xr:uid="{00000000-0005-0000-0000-00003B7E0000}"/>
    <cellStyle name="Normal 3 2 9" xfId="2682" xr:uid="{00000000-0005-0000-0000-00003C7E0000}"/>
    <cellStyle name="Normal 3 2 9 2" xfId="7495" xr:uid="{00000000-0005-0000-0000-00003D7E0000}"/>
    <cellStyle name="Normal 3 2 9 2 2" xfId="14284" xr:uid="{00000000-0005-0000-0000-00003E7E0000}"/>
    <cellStyle name="Normal 3 2 9 2 2 2" xfId="27852" xr:uid="{00000000-0005-0000-0000-00003F7E0000}"/>
    <cellStyle name="Normal 3 2 9 2 2 2 2" xfId="54985" xr:uid="{00000000-0005-0000-0000-0000407E0000}"/>
    <cellStyle name="Normal 3 2 9 2 2 3" xfId="41423" xr:uid="{00000000-0005-0000-0000-0000417E0000}"/>
    <cellStyle name="Normal 3 2 9 2 3" xfId="21071" xr:uid="{00000000-0005-0000-0000-0000427E0000}"/>
    <cellStyle name="Normal 3 2 9 2 3 2" xfId="48204" xr:uid="{00000000-0005-0000-0000-0000437E0000}"/>
    <cellStyle name="Normal 3 2 9 2 4" xfId="34642" xr:uid="{00000000-0005-0000-0000-0000447E0000}"/>
    <cellStyle name="Normal 3 2 9 3" xfId="10895" xr:uid="{00000000-0005-0000-0000-0000457E0000}"/>
    <cellStyle name="Normal 3 2 9 3 2" xfId="24463" xr:uid="{00000000-0005-0000-0000-0000467E0000}"/>
    <cellStyle name="Normal 3 2 9 3 2 2" xfId="51596" xr:uid="{00000000-0005-0000-0000-0000477E0000}"/>
    <cellStyle name="Normal 3 2 9 3 3" xfId="38034" xr:uid="{00000000-0005-0000-0000-0000487E0000}"/>
    <cellStyle name="Normal 3 2 9 4" xfId="17682" xr:uid="{00000000-0005-0000-0000-0000497E0000}"/>
    <cellStyle name="Normal 3 2 9 4 2" xfId="44815" xr:uid="{00000000-0005-0000-0000-00004A7E0000}"/>
    <cellStyle name="Normal 3 2 9 5" xfId="31253" xr:uid="{00000000-0005-0000-0000-00004B7E0000}"/>
    <cellStyle name="Normal 3 20" xfId="7315" xr:uid="{00000000-0005-0000-0000-00004C7E0000}"/>
    <cellStyle name="Normal 3 26" xfId="7414" xr:uid="{00000000-0005-0000-0000-00004D7E0000}"/>
    <cellStyle name="Normal 3 3" xfId="187" xr:uid="{00000000-0005-0000-0000-00004E7E0000}"/>
    <cellStyle name="Normal 3 3 10" xfId="5760" xr:uid="{00000000-0005-0000-0000-00004F7E0000}"/>
    <cellStyle name="Normal 3 3 10 2" xfId="5761" xr:uid="{00000000-0005-0000-0000-0000507E0000}"/>
    <cellStyle name="Normal 3 3 10 2 2" xfId="9304" xr:uid="{00000000-0005-0000-0000-0000517E0000}"/>
    <cellStyle name="Normal 3 3 10 2 2 2" xfId="16093" xr:uid="{00000000-0005-0000-0000-0000527E0000}"/>
    <cellStyle name="Normal 3 3 10 2 2 2 2" xfId="29661" xr:uid="{00000000-0005-0000-0000-0000537E0000}"/>
    <cellStyle name="Normal 3 3 10 2 2 2 2 2" xfId="56794" xr:uid="{00000000-0005-0000-0000-0000547E0000}"/>
    <cellStyle name="Normal 3 3 10 2 2 2 3" xfId="43232" xr:uid="{00000000-0005-0000-0000-0000557E0000}"/>
    <cellStyle name="Normal 3 3 10 2 2 3" xfId="22880" xr:uid="{00000000-0005-0000-0000-0000567E0000}"/>
    <cellStyle name="Normal 3 3 10 2 2 3 2" xfId="50013" xr:uid="{00000000-0005-0000-0000-0000577E0000}"/>
    <cellStyle name="Normal 3 3 10 2 2 4" xfId="36451" xr:uid="{00000000-0005-0000-0000-0000587E0000}"/>
    <cellStyle name="Normal 3 3 10 2 3" xfId="12704" xr:uid="{00000000-0005-0000-0000-0000597E0000}"/>
    <cellStyle name="Normal 3 3 10 2 3 2" xfId="26272" xr:uid="{00000000-0005-0000-0000-00005A7E0000}"/>
    <cellStyle name="Normal 3 3 10 2 3 2 2" xfId="53405" xr:uid="{00000000-0005-0000-0000-00005B7E0000}"/>
    <cellStyle name="Normal 3 3 10 2 3 3" xfId="39843" xr:uid="{00000000-0005-0000-0000-00005C7E0000}"/>
    <cellStyle name="Normal 3 3 10 2 4" xfId="19491" xr:uid="{00000000-0005-0000-0000-00005D7E0000}"/>
    <cellStyle name="Normal 3 3 10 2 4 2" xfId="46624" xr:uid="{00000000-0005-0000-0000-00005E7E0000}"/>
    <cellStyle name="Normal 3 3 10 2 5" xfId="33062" xr:uid="{00000000-0005-0000-0000-00005F7E0000}"/>
    <cellStyle name="Normal 3 3 10 3" xfId="5762" xr:uid="{00000000-0005-0000-0000-0000607E0000}"/>
    <cellStyle name="Normal 3 3 10 3 2" xfId="9305" xr:uid="{00000000-0005-0000-0000-0000617E0000}"/>
    <cellStyle name="Normal 3 3 10 3 2 2" xfId="16094" xr:uid="{00000000-0005-0000-0000-0000627E0000}"/>
    <cellStyle name="Normal 3 3 10 3 2 2 2" xfId="29662" xr:uid="{00000000-0005-0000-0000-0000637E0000}"/>
    <cellStyle name="Normal 3 3 10 3 2 2 2 2" xfId="56795" xr:uid="{00000000-0005-0000-0000-0000647E0000}"/>
    <cellStyle name="Normal 3 3 10 3 2 2 3" xfId="43233" xr:uid="{00000000-0005-0000-0000-0000657E0000}"/>
    <cellStyle name="Normal 3 3 10 3 2 3" xfId="22881" xr:uid="{00000000-0005-0000-0000-0000667E0000}"/>
    <cellStyle name="Normal 3 3 10 3 2 3 2" xfId="50014" xr:uid="{00000000-0005-0000-0000-0000677E0000}"/>
    <cellStyle name="Normal 3 3 10 3 2 4" xfId="36452" xr:uid="{00000000-0005-0000-0000-0000687E0000}"/>
    <cellStyle name="Normal 3 3 10 3 3" xfId="12705" xr:uid="{00000000-0005-0000-0000-0000697E0000}"/>
    <cellStyle name="Normal 3 3 10 3 3 2" xfId="26273" xr:uid="{00000000-0005-0000-0000-00006A7E0000}"/>
    <cellStyle name="Normal 3 3 10 3 3 2 2" xfId="53406" xr:uid="{00000000-0005-0000-0000-00006B7E0000}"/>
    <cellStyle name="Normal 3 3 10 3 3 3" xfId="39844" xr:uid="{00000000-0005-0000-0000-00006C7E0000}"/>
    <cellStyle name="Normal 3 3 10 3 4" xfId="19492" xr:uid="{00000000-0005-0000-0000-00006D7E0000}"/>
    <cellStyle name="Normal 3 3 10 3 4 2" xfId="46625" xr:uid="{00000000-0005-0000-0000-00006E7E0000}"/>
    <cellStyle name="Normal 3 3 10 3 5" xfId="33063" xr:uid="{00000000-0005-0000-0000-00006F7E0000}"/>
    <cellStyle name="Normal 3 3 10 4" xfId="9303" xr:uid="{00000000-0005-0000-0000-0000707E0000}"/>
    <cellStyle name="Normal 3 3 10 4 2" xfId="16092" xr:uid="{00000000-0005-0000-0000-0000717E0000}"/>
    <cellStyle name="Normal 3 3 10 4 2 2" xfId="29660" xr:uid="{00000000-0005-0000-0000-0000727E0000}"/>
    <cellStyle name="Normal 3 3 10 4 2 2 2" xfId="56793" xr:uid="{00000000-0005-0000-0000-0000737E0000}"/>
    <cellStyle name="Normal 3 3 10 4 2 3" xfId="43231" xr:uid="{00000000-0005-0000-0000-0000747E0000}"/>
    <cellStyle name="Normal 3 3 10 4 3" xfId="22879" xr:uid="{00000000-0005-0000-0000-0000757E0000}"/>
    <cellStyle name="Normal 3 3 10 4 3 2" xfId="50012" xr:uid="{00000000-0005-0000-0000-0000767E0000}"/>
    <cellStyle name="Normal 3 3 10 4 4" xfId="36450" xr:uid="{00000000-0005-0000-0000-0000777E0000}"/>
    <cellStyle name="Normal 3 3 10 5" xfId="12703" xr:uid="{00000000-0005-0000-0000-0000787E0000}"/>
    <cellStyle name="Normal 3 3 10 5 2" xfId="26271" xr:uid="{00000000-0005-0000-0000-0000797E0000}"/>
    <cellStyle name="Normal 3 3 10 5 2 2" xfId="53404" xr:uid="{00000000-0005-0000-0000-00007A7E0000}"/>
    <cellStyle name="Normal 3 3 10 5 3" xfId="39842" xr:uid="{00000000-0005-0000-0000-00007B7E0000}"/>
    <cellStyle name="Normal 3 3 10 6" xfId="19490" xr:uid="{00000000-0005-0000-0000-00007C7E0000}"/>
    <cellStyle name="Normal 3 3 10 6 2" xfId="46623" xr:uid="{00000000-0005-0000-0000-00007D7E0000}"/>
    <cellStyle name="Normal 3 3 10 7" xfId="33061" xr:uid="{00000000-0005-0000-0000-00007E7E0000}"/>
    <cellStyle name="Normal 3 3 11" xfId="5763" xr:uid="{00000000-0005-0000-0000-00007F7E0000}"/>
    <cellStyle name="Normal 3 3 11 2" xfId="9306" xr:uid="{00000000-0005-0000-0000-0000807E0000}"/>
    <cellStyle name="Normal 3 3 11 2 2" xfId="16095" xr:uid="{00000000-0005-0000-0000-0000817E0000}"/>
    <cellStyle name="Normal 3 3 11 2 2 2" xfId="29663" xr:uid="{00000000-0005-0000-0000-0000827E0000}"/>
    <cellStyle name="Normal 3 3 11 2 2 2 2" xfId="56796" xr:uid="{00000000-0005-0000-0000-0000837E0000}"/>
    <cellStyle name="Normal 3 3 11 2 2 3" xfId="43234" xr:uid="{00000000-0005-0000-0000-0000847E0000}"/>
    <cellStyle name="Normal 3 3 11 2 3" xfId="22882" xr:uid="{00000000-0005-0000-0000-0000857E0000}"/>
    <cellStyle name="Normal 3 3 11 2 3 2" xfId="50015" xr:uid="{00000000-0005-0000-0000-0000867E0000}"/>
    <cellStyle name="Normal 3 3 11 2 4" xfId="36453" xr:uid="{00000000-0005-0000-0000-0000877E0000}"/>
    <cellStyle name="Normal 3 3 11 3" xfId="12706" xr:uid="{00000000-0005-0000-0000-0000887E0000}"/>
    <cellStyle name="Normal 3 3 11 3 2" xfId="26274" xr:uid="{00000000-0005-0000-0000-0000897E0000}"/>
    <cellStyle name="Normal 3 3 11 3 2 2" xfId="53407" xr:uid="{00000000-0005-0000-0000-00008A7E0000}"/>
    <cellStyle name="Normal 3 3 11 3 3" xfId="39845" xr:uid="{00000000-0005-0000-0000-00008B7E0000}"/>
    <cellStyle name="Normal 3 3 11 4" xfId="19493" xr:uid="{00000000-0005-0000-0000-00008C7E0000}"/>
    <cellStyle name="Normal 3 3 11 4 2" xfId="46626" xr:uid="{00000000-0005-0000-0000-00008D7E0000}"/>
    <cellStyle name="Normal 3 3 11 5" xfId="33064" xr:uid="{00000000-0005-0000-0000-00008E7E0000}"/>
    <cellStyle name="Normal 3 3 12" xfId="5764" xr:uid="{00000000-0005-0000-0000-00008F7E0000}"/>
    <cellStyle name="Normal 3 3 12 2" xfId="9307" xr:uid="{00000000-0005-0000-0000-0000907E0000}"/>
    <cellStyle name="Normal 3 3 12 2 2" xfId="16096" xr:uid="{00000000-0005-0000-0000-0000917E0000}"/>
    <cellStyle name="Normal 3 3 12 2 2 2" xfId="29664" xr:uid="{00000000-0005-0000-0000-0000927E0000}"/>
    <cellStyle name="Normal 3 3 12 2 2 2 2" xfId="56797" xr:uid="{00000000-0005-0000-0000-0000937E0000}"/>
    <cellStyle name="Normal 3 3 12 2 2 3" xfId="43235" xr:uid="{00000000-0005-0000-0000-0000947E0000}"/>
    <cellStyle name="Normal 3 3 12 2 3" xfId="22883" xr:uid="{00000000-0005-0000-0000-0000957E0000}"/>
    <cellStyle name="Normal 3 3 12 2 3 2" xfId="50016" xr:uid="{00000000-0005-0000-0000-0000967E0000}"/>
    <cellStyle name="Normal 3 3 12 2 4" xfId="36454" xr:uid="{00000000-0005-0000-0000-0000977E0000}"/>
    <cellStyle name="Normal 3 3 12 3" xfId="12707" xr:uid="{00000000-0005-0000-0000-0000987E0000}"/>
    <cellStyle name="Normal 3 3 12 3 2" xfId="26275" xr:uid="{00000000-0005-0000-0000-0000997E0000}"/>
    <cellStyle name="Normal 3 3 12 3 2 2" xfId="53408" xr:uid="{00000000-0005-0000-0000-00009A7E0000}"/>
    <cellStyle name="Normal 3 3 12 3 3" xfId="39846" xr:uid="{00000000-0005-0000-0000-00009B7E0000}"/>
    <cellStyle name="Normal 3 3 12 4" xfId="19494" xr:uid="{00000000-0005-0000-0000-00009C7E0000}"/>
    <cellStyle name="Normal 3 3 12 4 2" xfId="46627" xr:uid="{00000000-0005-0000-0000-00009D7E0000}"/>
    <cellStyle name="Normal 3 3 12 5" xfId="33065" xr:uid="{00000000-0005-0000-0000-00009E7E0000}"/>
    <cellStyle name="Normal 3 3 2" xfId="2683" xr:uid="{00000000-0005-0000-0000-00009F7E0000}"/>
    <cellStyle name="Normal 3 3 2 10" xfId="5765" xr:uid="{00000000-0005-0000-0000-0000A07E0000}"/>
    <cellStyle name="Normal 3 3 2 10 2" xfId="9308" xr:uid="{00000000-0005-0000-0000-0000A17E0000}"/>
    <cellStyle name="Normal 3 3 2 10 2 2" xfId="16097" xr:uid="{00000000-0005-0000-0000-0000A27E0000}"/>
    <cellStyle name="Normal 3 3 2 10 2 2 2" xfId="29665" xr:uid="{00000000-0005-0000-0000-0000A37E0000}"/>
    <cellStyle name="Normal 3 3 2 10 2 2 2 2" xfId="56798" xr:uid="{00000000-0005-0000-0000-0000A47E0000}"/>
    <cellStyle name="Normal 3 3 2 10 2 2 3" xfId="43236" xr:uid="{00000000-0005-0000-0000-0000A57E0000}"/>
    <cellStyle name="Normal 3 3 2 10 2 3" xfId="22884" xr:uid="{00000000-0005-0000-0000-0000A67E0000}"/>
    <cellStyle name="Normal 3 3 2 10 2 3 2" xfId="50017" xr:uid="{00000000-0005-0000-0000-0000A77E0000}"/>
    <cellStyle name="Normal 3 3 2 10 2 4" xfId="36455" xr:uid="{00000000-0005-0000-0000-0000A87E0000}"/>
    <cellStyle name="Normal 3 3 2 10 3" xfId="12708" xr:uid="{00000000-0005-0000-0000-0000A97E0000}"/>
    <cellStyle name="Normal 3 3 2 10 3 2" xfId="26276" xr:uid="{00000000-0005-0000-0000-0000AA7E0000}"/>
    <cellStyle name="Normal 3 3 2 10 3 2 2" xfId="53409" xr:uid="{00000000-0005-0000-0000-0000AB7E0000}"/>
    <cellStyle name="Normal 3 3 2 10 3 3" xfId="39847" xr:uid="{00000000-0005-0000-0000-0000AC7E0000}"/>
    <cellStyle name="Normal 3 3 2 10 4" xfId="19495" xr:uid="{00000000-0005-0000-0000-0000AD7E0000}"/>
    <cellStyle name="Normal 3 3 2 10 4 2" xfId="46628" xr:uid="{00000000-0005-0000-0000-0000AE7E0000}"/>
    <cellStyle name="Normal 3 3 2 10 5" xfId="33066" xr:uid="{00000000-0005-0000-0000-0000AF7E0000}"/>
    <cellStyle name="Normal 3 3 2 11" xfId="7496" xr:uid="{00000000-0005-0000-0000-0000B07E0000}"/>
    <cellStyle name="Normal 3 3 2 11 2" xfId="14285" xr:uid="{00000000-0005-0000-0000-0000B17E0000}"/>
    <cellStyle name="Normal 3 3 2 11 2 2" xfId="27853" xr:uid="{00000000-0005-0000-0000-0000B27E0000}"/>
    <cellStyle name="Normal 3 3 2 11 2 2 2" xfId="54986" xr:uid="{00000000-0005-0000-0000-0000B37E0000}"/>
    <cellStyle name="Normal 3 3 2 11 2 3" xfId="41424" xr:uid="{00000000-0005-0000-0000-0000B47E0000}"/>
    <cellStyle name="Normal 3 3 2 11 3" xfId="21072" xr:uid="{00000000-0005-0000-0000-0000B57E0000}"/>
    <cellStyle name="Normal 3 3 2 11 3 2" xfId="48205" xr:uid="{00000000-0005-0000-0000-0000B67E0000}"/>
    <cellStyle name="Normal 3 3 2 11 4" xfId="34643" xr:uid="{00000000-0005-0000-0000-0000B77E0000}"/>
    <cellStyle name="Normal 3 3 2 12" xfId="10896" xr:uid="{00000000-0005-0000-0000-0000B87E0000}"/>
    <cellStyle name="Normal 3 3 2 12 2" xfId="24464" xr:uid="{00000000-0005-0000-0000-0000B97E0000}"/>
    <cellStyle name="Normal 3 3 2 12 2 2" xfId="51597" xr:uid="{00000000-0005-0000-0000-0000BA7E0000}"/>
    <cellStyle name="Normal 3 3 2 12 3" xfId="38035" xr:uid="{00000000-0005-0000-0000-0000BB7E0000}"/>
    <cellStyle name="Normal 3 3 2 13" xfId="17683" xr:uid="{00000000-0005-0000-0000-0000BC7E0000}"/>
    <cellStyle name="Normal 3 3 2 13 2" xfId="44816" xr:uid="{00000000-0005-0000-0000-0000BD7E0000}"/>
    <cellStyle name="Normal 3 3 2 14" xfId="31254" xr:uid="{00000000-0005-0000-0000-0000BE7E0000}"/>
    <cellStyle name="Normal 3 3 2 2" xfId="2684" xr:uid="{00000000-0005-0000-0000-0000BF7E0000}"/>
    <cellStyle name="Normal 3 3 2 2 10" xfId="10897" xr:uid="{00000000-0005-0000-0000-0000C07E0000}"/>
    <cellStyle name="Normal 3 3 2 2 10 2" xfId="24465" xr:uid="{00000000-0005-0000-0000-0000C17E0000}"/>
    <cellStyle name="Normal 3 3 2 2 10 2 2" xfId="51598" xr:uid="{00000000-0005-0000-0000-0000C27E0000}"/>
    <cellStyle name="Normal 3 3 2 2 10 3" xfId="38036" xr:uid="{00000000-0005-0000-0000-0000C37E0000}"/>
    <cellStyle name="Normal 3 3 2 2 11" xfId="17684" xr:uid="{00000000-0005-0000-0000-0000C47E0000}"/>
    <cellStyle name="Normal 3 3 2 2 11 2" xfId="44817" xr:uid="{00000000-0005-0000-0000-0000C57E0000}"/>
    <cellStyle name="Normal 3 3 2 2 12" xfId="31255" xr:uid="{00000000-0005-0000-0000-0000C67E0000}"/>
    <cellStyle name="Normal 3 3 2 2 2" xfId="5766" xr:uid="{00000000-0005-0000-0000-0000C77E0000}"/>
    <cellStyle name="Normal 3 3 2 2 2 10" xfId="33067" xr:uid="{00000000-0005-0000-0000-0000C87E0000}"/>
    <cellStyle name="Normal 3 3 2 2 2 2" xfId="5767" xr:uid="{00000000-0005-0000-0000-0000C97E0000}"/>
    <cellStyle name="Normal 3 3 2 2 2 2 2" xfId="5768" xr:uid="{00000000-0005-0000-0000-0000CA7E0000}"/>
    <cellStyle name="Normal 3 3 2 2 2 2 2 2" xfId="5769" xr:uid="{00000000-0005-0000-0000-0000CB7E0000}"/>
    <cellStyle name="Normal 3 3 2 2 2 2 2 2 2" xfId="9312" xr:uid="{00000000-0005-0000-0000-0000CC7E0000}"/>
    <cellStyle name="Normal 3 3 2 2 2 2 2 2 2 2" xfId="16101" xr:uid="{00000000-0005-0000-0000-0000CD7E0000}"/>
    <cellStyle name="Normal 3 3 2 2 2 2 2 2 2 2 2" xfId="29669" xr:uid="{00000000-0005-0000-0000-0000CE7E0000}"/>
    <cellStyle name="Normal 3 3 2 2 2 2 2 2 2 2 2 2" xfId="56802" xr:uid="{00000000-0005-0000-0000-0000CF7E0000}"/>
    <cellStyle name="Normal 3 3 2 2 2 2 2 2 2 2 3" xfId="43240" xr:uid="{00000000-0005-0000-0000-0000D07E0000}"/>
    <cellStyle name="Normal 3 3 2 2 2 2 2 2 2 3" xfId="22888" xr:uid="{00000000-0005-0000-0000-0000D17E0000}"/>
    <cellStyle name="Normal 3 3 2 2 2 2 2 2 2 3 2" xfId="50021" xr:uid="{00000000-0005-0000-0000-0000D27E0000}"/>
    <cellStyle name="Normal 3 3 2 2 2 2 2 2 2 4" xfId="36459" xr:uid="{00000000-0005-0000-0000-0000D37E0000}"/>
    <cellStyle name="Normal 3 3 2 2 2 2 2 2 3" xfId="12712" xr:uid="{00000000-0005-0000-0000-0000D47E0000}"/>
    <cellStyle name="Normal 3 3 2 2 2 2 2 2 3 2" xfId="26280" xr:uid="{00000000-0005-0000-0000-0000D57E0000}"/>
    <cellStyle name="Normal 3 3 2 2 2 2 2 2 3 2 2" xfId="53413" xr:uid="{00000000-0005-0000-0000-0000D67E0000}"/>
    <cellStyle name="Normal 3 3 2 2 2 2 2 2 3 3" xfId="39851" xr:uid="{00000000-0005-0000-0000-0000D77E0000}"/>
    <cellStyle name="Normal 3 3 2 2 2 2 2 2 4" xfId="19499" xr:uid="{00000000-0005-0000-0000-0000D87E0000}"/>
    <cellStyle name="Normal 3 3 2 2 2 2 2 2 4 2" xfId="46632" xr:uid="{00000000-0005-0000-0000-0000D97E0000}"/>
    <cellStyle name="Normal 3 3 2 2 2 2 2 2 5" xfId="33070" xr:uid="{00000000-0005-0000-0000-0000DA7E0000}"/>
    <cellStyle name="Normal 3 3 2 2 2 2 2 3" xfId="5770" xr:uid="{00000000-0005-0000-0000-0000DB7E0000}"/>
    <cellStyle name="Normal 3 3 2 2 2 2 2 3 2" xfId="9313" xr:uid="{00000000-0005-0000-0000-0000DC7E0000}"/>
    <cellStyle name="Normal 3 3 2 2 2 2 2 3 2 2" xfId="16102" xr:uid="{00000000-0005-0000-0000-0000DD7E0000}"/>
    <cellStyle name="Normal 3 3 2 2 2 2 2 3 2 2 2" xfId="29670" xr:uid="{00000000-0005-0000-0000-0000DE7E0000}"/>
    <cellStyle name="Normal 3 3 2 2 2 2 2 3 2 2 2 2" xfId="56803" xr:uid="{00000000-0005-0000-0000-0000DF7E0000}"/>
    <cellStyle name="Normal 3 3 2 2 2 2 2 3 2 2 3" xfId="43241" xr:uid="{00000000-0005-0000-0000-0000E07E0000}"/>
    <cellStyle name="Normal 3 3 2 2 2 2 2 3 2 3" xfId="22889" xr:uid="{00000000-0005-0000-0000-0000E17E0000}"/>
    <cellStyle name="Normal 3 3 2 2 2 2 2 3 2 3 2" xfId="50022" xr:uid="{00000000-0005-0000-0000-0000E27E0000}"/>
    <cellStyle name="Normal 3 3 2 2 2 2 2 3 2 4" xfId="36460" xr:uid="{00000000-0005-0000-0000-0000E37E0000}"/>
    <cellStyle name="Normal 3 3 2 2 2 2 2 3 3" xfId="12713" xr:uid="{00000000-0005-0000-0000-0000E47E0000}"/>
    <cellStyle name="Normal 3 3 2 2 2 2 2 3 3 2" xfId="26281" xr:uid="{00000000-0005-0000-0000-0000E57E0000}"/>
    <cellStyle name="Normal 3 3 2 2 2 2 2 3 3 2 2" xfId="53414" xr:uid="{00000000-0005-0000-0000-0000E67E0000}"/>
    <cellStyle name="Normal 3 3 2 2 2 2 2 3 3 3" xfId="39852" xr:uid="{00000000-0005-0000-0000-0000E77E0000}"/>
    <cellStyle name="Normal 3 3 2 2 2 2 2 3 4" xfId="19500" xr:uid="{00000000-0005-0000-0000-0000E87E0000}"/>
    <cellStyle name="Normal 3 3 2 2 2 2 2 3 4 2" xfId="46633" xr:uid="{00000000-0005-0000-0000-0000E97E0000}"/>
    <cellStyle name="Normal 3 3 2 2 2 2 2 3 5" xfId="33071" xr:uid="{00000000-0005-0000-0000-0000EA7E0000}"/>
    <cellStyle name="Normal 3 3 2 2 2 2 2 4" xfId="9311" xr:uid="{00000000-0005-0000-0000-0000EB7E0000}"/>
    <cellStyle name="Normal 3 3 2 2 2 2 2 4 2" xfId="16100" xr:uid="{00000000-0005-0000-0000-0000EC7E0000}"/>
    <cellStyle name="Normal 3 3 2 2 2 2 2 4 2 2" xfId="29668" xr:uid="{00000000-0005-0000-0000-0000ED7E0000}"/>
    <cellStyle name="Normal 3 3 2 2 2 2 2 4 2 2 2" xfId="56801" xr:uid="{00000000-0005-0000-0000-0000EE7E0000}"/>
    <cellStyle name="Normal 3 3 2 2 2 2 2 4 2 3" xfId="43239" xr:uid="{00000000-0005-0000-0000-0000EF7E0000}"/>
    <cellStyle name="Normal 3 3 2 2 2 2 2 4 3" xfId="22887" xr:uid="{00000000-0005-0000-0000-0000F07E0000}"/>
    <cellStyle name="Normal 3 3 2 2 2 2 2 4 3 2" xfId="50020" xr:uid="{00000000-0005-0000-0000-0000F17E0000}"/>
    <cellStyle name="Normal 3 3 2 2 2 2 2 4 4" xfId="36458" xr:uid="{00000000-0005-0000-0000-0000F27E0000}"/>
    <cellStyle name="Normal 3 3 2 2 2 2 2 5" xfId="12711" xr:uid="{00000000-0005-0000-0000-0000F37E0000}"/>
    <cellStyle name="Normal 3 3 2 2 2 2 2 5 2" xfId="26279" xr:uid="{00000000-0005-0000-0000-0000F47E0000}"/>
    <cellStyle name="Normal 3 3 2 2 2 2 2 5 2 2" xfId="53412" xr:uid="{00000000-0005-0000-0000-0000F57E0000}"/>
    <cellStyle name="Normal 3 3 2 2 2 2 2 5 3" xfId="39850" xr:uid="{00000000-0005-0000-0000-0000F67E0000}"/>
    <cellStyle name="Normal 3 3 2 2 2 2 2 6" xfId="19498" xr:uid="{00000000-0005-0000-0000-0000F77E0000}"/>
    <cellStyle name="Normal 3 3 2 2 2 2 2 6 2" xfId="46631" xr:uid="{00000000-0005-0000-0000-0000F87E0000}"/>
    <cellStyle name="Normal 3 3 2 2 2 2 2 7" xfId="33069" xr:uid="{00000000-0005-0000-0000-0000F97E0000}"/>
    <cellStyle name="Normal 3 3 2 2 2 2 3" xfId="5771" xr:uid="{00000000-0005-0000-0000-0000FA7E0000}"/>
    <cellStyle name="Normal 3 3 2 2 2 2 3 2" xfId="5772" xr:uid="{00000000-0005-0000-0000-0000FB7E0000}"/>
    <cellStyle name="Normal 3 3 2 2 2 2 3 2 2" xfId="9315" xr:uid="{00000000-0005-0000-0000-0000FC7E0000}"/>
    <cellStyle name="Normal 3 3 2 2 2 2 3 2 2 2" xfId="16104" xr:uid="{00000000-0005-0000-0000-0000FD7E0000}"/>
    <cellStyle name="Normal 3 3 2 2 2 2 3 2 2 2 2" xfId="29672" xr:uid="{00000000-0005-0000-0000-0000FE7E0000}"/>
    <cellStyle name="Normal 3 3 2 2 2 2 3 2 2 2 2 2" xfId="56805" xr:uid="{00000000-0005-0000-0000-0000FF7E0000}"/>
    <cellStyle name="Normal 3 3 2 2 2 2 3 2 2 2 3" xfId="43243" xr:uid="{00000000-0005-0000-0000-0000007F0000}"/>
    <cellStyle name="Normal 3 3 2 2 2 2 3 2 2 3" xfId="22891" xr:uid="{00000000-0005-0000-0000-0000017F0000}"/>
    <cellStyle name="Normal 3 3 2 2 2 2 3 2 2 3 2" xfId="50024" xr:uid="{00000000-0005-0000-0000-0000027F0000}"/>
    <cellStyle name="Normal 3 3 2 2 2 2 3 2 2 4" xfId="36462" xr:uid="{00000000-0005-0000-0000-0000037F0000}"/>
    <cellStyle name="Normal 3 3 2 2 2 2 3 2 3" xfId="12715" xr:uid="{00000000-0005-0000-0000-0000047F0000}"/>
    <cellStyle name="Normal 3 3 2 2 2 2 3 2 3 2" xfId="26283" xr:uid="{00000000-0005-0000-0000-0000057F0000}"/>
    <cellStyle name="Normal 3 3 2 2 2 2 3 2 3 2 2" xfId="53416" xr:uid="{00000000-0005-0000-0000-0000067F0000}"/>
    <cellStyle name="Normal 3 3 2 2 2 2 3 2 3 3" xfId="39854" xr:uid="{00000000-0005-0000-0000-0000077F0000}"/>
    <cellStyle name="Normal 3 3 2 2 2 2 3 2 4" xfId="19502" xr:uid="{00000000-0005-0000-0000-0000087F0000}"/>
    <cellStyle name="Normal 3 3 2 2 2 2 3 2 4 2" xfId="46635" xr:uid="{00000000-0005-0000-0000-0000097F0000}"/>
    <cellStyle name="Normal 3 3 2 2 2 2 3 2 5" xfId="33073" xr:uid="{00000000-0005-0000-0000-00000A7F0000}"/>
    <cellStyle name="Normal 3 3 2 2 2 2 3 3" xfId="9314" xr:uid="{00000000-0005-0000-0000-00000B7F0000}"/>
    <cellStyle name="Normal 3 3 2 2 2 2 3 3 2" xfId="16103" xr:uid="{00000000-0005-0000-0000-00000C7F0000}"/>
    <cellStyle name="Normal 3 3 2 2 2 2 3 3 2 2" xfId="29671" xr:uid="{00000000-0005-0000-0000-00000D7F0000}"/>
    <cellStyle name="Normal 3 3 2 2 2 2 3 3 2 2 2" xfId="56804" xr:uid="{00000000-0005-0000-0000-00000E7F0000}"/>
    <cellStyle name="Normal 3 3 2 2 2 2 3 3 2 3" xfId="43242" xr:uid="{00000000-0005-0000-0000-00000F7F0000}"/>
    <cellStyle name="Normal 3 3 2 2 2 2 3 3 3" xfId="22890" xr:uid="{00000000-0005-0000-0000-0000107F0000}"/>
    <cellStyle name="Normal 3 3 2 2 2 2 3 3 3 2" xfId="50023" xr:uid="{00000000-0005-0000-0000-0000117F0000}"/>
    <cellStyle name="Normal 3 3 2 2 2 2 3 3 4" xfId="36461" xr:uid="{00000000-0005-0000-0000-0000127F0000}"/>
    <cellStyle name="Normal 3 3 2 2 2 2 3 4" xfId="12714" xr:uid="{00000000-0005-0000-0000-0000137F0000}"/>
    <cellStyle name="Normal 3 3 2 2 2 2 3 4 2" xfId="26282" xr:uid="{00000000-0005-0000-0000-0000147F0000}"/>
    <cellStyle name="Normal 3 3 2 2 2 2 3 4 2 2" xfId="53415" xr:uid="{00000000-0005-0000-0000-0000157F0000}"/>
    <cellStyle name="Normal 3 3 2 2 2 2 3 4 3" xfId="39853" xr:uid="{00000000-0005-0000-0000-0000167F0000}"/>
    <cellStyle name="Normal 3 3 2 2 2 2 3 5" xfId="19501" xr:uid="{00000000-0005-0000-0000-0000177F0000}"/>
    <cellStyle name="Normal 3 3 2 2 2 2 3 5 2" xfId="46634" xr:uid="{00000000-0005-0000-0000-0000187F0000}"/>
    <cellStyle name="Normal 3 3 2 2 2 2 3 6" xfId="33072" xr:uid="{00000000-0005-0000-0000-0000197F0000}"/>
    <cellStyle name="Normal 3 3 2 2 2 2 4" xfId="5773" xr:uid="{00000000-0005-0000-0000-00001A7F0000}"/>
    <cellStyle name="Normal 3 3 2 2 2 2 4 2" xfId="9316" xr:uid="{00000000-0005-0000-0000-00001B7F0000}"/>
    <cellStyle name="Normal 3 3 2 2 2 2 4 2 2" xfId="16105" xr:uid="{00000000-0005-0000-0000-00001C7F0000}"/>
    <cellStyle name="Normal 3 3 2 2 2 2 4 2 2 2" xfId="29673" xr:uid="{00000000-0005-0000-0000-00001D7F0000}"/>
    <cellStyle name="Normal 3 3 2 2 2 2 4 2 2 2 2" xfId="56806" xr:uid="{00000000-0005-0000-0000-00001E7F0000}"/>
    <cellStyle name="Normal 3 3 2 2 2 2 4 2 2 3" xfId="43244" xr:uid="{00000000-0005-0000-0000-00001F7F0000}"/>
    <cellStyle name="Normal 3 3 2 2 2 2 4 2 3" xfId="22892" xr:uid="{00000000-0005-0000-0000-0000207F0000}"/>
    <cellStyle name="Normal 3 3 2 2 2 2 4 2 3 2" xfId="50025" xr:uid="{00000000-0005-0000-0000-0000217F0000}"/>
    <cellStyle name="Normal 3 3 2 2 2 2 4 2 4" xfId="36463" xr:uid="{00000000-0005-0000-0000-0000227F0000}"/>
    <cellStyle name="Normal 3 3 2 2 2 2 4 3" xfId="12716" xr:uid="{00000000-0005-0000-0000-0000237F0000}"/>
    <cellStyle name="Normal 3 3 2 2 2 2 4 3 2" xfId="26284" xr:uid="{00000000-0005-0000-0000-0000247F0000}"/>
    <cellStyle name="Normal 3 3 2 2 2 2 4 3 2 2" xfId="53417" xr:uid="{00000000-0005-0000-0000-0000257F0000}"/>
    <cellStyle name="Normal 3 3 2 2 2 2 4 3 3" xfId="39855" xr:uid="{00000000-0005-0000-0000-0000267F0000}"/>
    <cellStyle name="Normal 3 3 2 2 2 2 4 4" xfId="19503" xr:uid="{00000000-0005-0000-0000-0000277F0000}"/>
    <cellStyle name="Normal 3 3 2 2 2 2 4 4 2" xfId="46636" xr:uid="{00000000-0005-0000-0000-0000287F0000}"/>
    <cellStyle name="Normal 3 3 2 2 2 2 4 5" xfId="33074" xr:uid="{00000000-0005-0000-0000-0000297F0000}"/>
    <cellStyle name="Normal 3 3 2 2 2 2 5" xfId="5774" xr:uid="{00000000-0005-0000-0000-00002A7F0000}"/>
    <cellStyle name="Normal 3 3 2 2 2 2 5 2" xfId="9317" xr:uid="{00000000-0005-0000-0000-00002B7F0000}"/>
    <cellStyle name="Normal 3 3 2 2 2 2 5 2 2" xfId="16106" xr:uid="{00000000-0005-0000-0000-00002C7F0000}"/>
    <cellStyle name="Normal 3 3 2 2 2 2 5 2 2 2" xfId="29674" xr:uid="{00000000-0005-0000-0000-00002D7F0000}"/>
    <cellStyle name="Normal 3 3 2 2 2 2 5 2 2 2 2" xfId="56807" xr:uid="{00000000-0005-0000-0000-00002E7F0000}"/>
    <cellStyle name="Normal 3 3 2 2 2 2 5 2 2 3" xfId="43245" xr:uid="{00000000-0005-0000-0000-00002F7F0000}"/>
    <cellStyle name="Normal 3 3 2 2 2 2 5 2 3" xfId="22893" xr:uid="{00000000-0005-0000-0000-0000307F0000}"/>
    <cellStyle name="Normal 3 3 2 2 2 2 5 2 3 2" xfId="50026" xr:uid="{00000000-0005-0000-0000-0000317F0000}"/>
    <cellStyle name="Normal 3 3 2 2 2 2 5 2 4" xfId="36464" xr:uid="{00000000-0005-0000-0000-0000327F0000}"/>
    <cellStyle name="Normal 3 3 2 2 2 2 5 3" xfId="12717" xr:uid="{00000000-0005-0000-0000-0000337F0000}"/>
    <cellStyle name="Normal 3 3 2 2 2 2 5 3 2" xfId="26285" xr:uid="{00000000-0005-0000-0000-0000347F0000}"/>
    <cellStyle name="Normal 3 3 2 2 2 2 5 3 2 2" xfId="53418" xr:uid="{00000000-0005-0000-0000-0000357F0000}"/>
    <cellStyle name="Normal 3 3 2 2 2 2 5 3 3" xfId="39856" xr:uid="{00000000-0005-0000-0000-0000367F0000}"/>
    <cellStyle name="Normal 3 3 2 2 2 2 5 4" xfId="19504" xr:uid="{00000000-0005-0000-0000-0000377F0000}"/>
    <cellStyle name="Normal 3 3 2 2 2 2 5 4 2" xfId="46637" xr:uid="{00000000-0005-0000-0000-0000387F0000}"/>
    <cellStyle name="Normal 3 3 2 2 2 2 5 5" xfId="33075" xr:uid="{00000000-0005-0000-0000-0000397F0000}"/>
    <cellStyle name="Normal 3 3 2 2 2 2 6" xfId="9310" xr:uid="{00000000-0005-0000-0000-00003A7F0000}"/>
    <cellStyle name="Normal 3 3 2 2 2 2 6 2" xfId="16099" xr:uid="{00000000-0005-0000-0000-00003B7F0000}"/>
    <cellStyle name="Normal 3 3 2 2 2 2 6 2 2" xfId="29667" xr:uid="{00000000-0005-0000-0000-00003C7F0000}"/>
    <cellStyle name="Normal 3 3 2 2 2 2 6 2 2 2" xfId="56800" xr:uid="{00000000-0005-0000-0000-00003D7F0000}"/>
    <cellStyle name="Normal 3 3 2 2 2 2 6 2 3" xfId="43238" xr:uid="{00000000-0005-0000-0000-00003E7F0000}"/>
    <cellStyle name="Normal 3 3 2 2 2 2 6 3" xfId="22886" xr:uid="{00000000-0005-0000-0000-00003F7F0000}"/>
    <cellStyle name="Normal 3 3 2 2 2 2 6 3 2" xfId="50019" xr:uid="{00000000-0005-0000-0000-0000407F0000}"/>
    <cellStyle name="Normal 3 3 2 2 2 2 6 4" xfId="36457" xr:uid="{00000000-0005-0000-0000-0000417F0000}"/>
    <cellStyle name="Normal 3 3 2 2 2 2 7" xfId="12710" xr:uid="{00000000-0005-0000-0000-0000427F0000}"/>
    <cellStyle name="Normal 3 3 2 2 2 2 7 2" xfId="26278" xr:uid="{00000000-0005-0000-0000-0000437F0000}"/>
    <cellStyle name="Normal 3 3 2 2 2 2 7 2 2" xfId="53411" xr:uid="{00000000-0005-0000-0000-0000447F0000}"/>
    <cellStyle name="Normal 3 3 2 2 2 2 7 3" xfId="39849" xr:uid="{00000000-0005-0000-0000-0000457F0000}"/>
    <cellStyle name="Normal 3 3 2 2 2 2 8" xfId="19497" xr:uid="{00000000-0005-0000-0000-0000467F0000}"/>
    <cellStyle name="Normal 3 3 2 2 2 2 8 2" xfId="46630" xr:uid="{00000000-0005-0000-0000-0000477F0000}"/>
    <cellStyle name="Normal 3 3 2 2 2 2 9" xfId="33068" xr:uid="{00000000-0005-0000-0000-0000487F0000}"/>
    <cellStyle name="Normal 3 3 2 2 2 3" xfId="5775" xr:uid="{00000000-0005-0000-0000-0000497F0000}"/>
    <cellStyle name="Normal 3 3 2 2 2 3 2" xfId="5776" xr:uid="{00000000-0005-0000-0000-00004A7F0000}"/>
    <cellStyle name="Normal 3 3 2 2 2 3 2 2" xfId="9319" xr:uid="{00000000-0005-0000-0000-00004B7F0000}"/>
    <cellStyle name="Normal 3 3 2 2 2 3 2 2 2" xfId="16108" xr:uid="{00000000-0005-0000-0000-00004C7F0000}"/>
    <cellStyle name="Normal 3 3 2 2 2 3 2 2 2 2" xfId="29676" xr:uid="{00000000-0005-0000-0000-00004D7F0000}"/>
    <cellStyle name="Normal 3 3 2 2 2 3 2 2 2 2 2" xfId="56809" xr:uid="{00000000-0005-0000-0000-00004E7F0000}"/>
    <cellStyle name="Normal 3 3 2 2 2 3 2 2 2 3" xfId="43247" xr:uid="{00000000-0005-0000-0000-00004F7F0000}"/>
    <cellStyle name="Normal 3 3 2 2 2 3 2 2 3" xfId="22895" xr:uid="{00000000-0005-0000-0000-0000507F0000}"/>
    <cellStyle name="Normal 3 3 2 2 2 3 2 2 3 2" xfId="50028" xr:uid="{00000000-0005-0000-0000-0000517F0000}"/>
    <cellStyle name="Normal 3 3 2 2 2 3 2 2 4" xfId="36466" xr:uid="{00000000-0005-0000-0000-0000527F0000}"/>
    <cellStyle name="Normal 3 3 2 2 2 3 2 3" xfId="12719" xr:uid="{00000000-0005-0000-0000-0000537F0000}"/>
    <cellStyle name="Normal 3 3 2 2 2 3 2 3 2" xfId="26287" xr:uid="{00000000-0005-0000-0000-0000547F0000}"/>
    <cellStyle name="Normal 3 3 2 2 2 3 2 3 2 2" xfId="53420" xr:uid="{00000000-0005-0000-0000-0000557F0000}"/>
    <cellStyle name="Normal 3 3 2 2 2 3 2 3 3" xfId="39858" xr:uid="{00000000-0005-0000-0000-0000567F0000}"/>
    <cellStyle name="Normal 3 3 2 2 2 3 2 4" xfId="19506" xr:uid="{00000000-0005-0000-0000-0000577F0000}"/>
    <cellStyle name="Normal 3 3 2 2 2 3 2 4 2" xfId="46639" xr:uid="{00000000-0005-0000-0000-0000587F0000}"/>
    <cellStyle name="Normal 3 3 2 2 2 3 2 5" xfId="33077" xr:uid="{00000000-0005-0000-0000-0000597F0000}"/>
    <cellStyle name="Normal 3 3 2 2 2 3 3" xfId="5777" xr:uid="{00000000-0005-0000-0000-00005A7F0000}"/>
    <cellStyle name="Normal 3 3 2 2 2 3 3 2" xfId="9320" xr:uid="{00000000-0005-0000-0000-00005B7F0000}"/>
    <cellStyle name="Normal 3 3 2 2 2 3 3 2 2" xfId="16109" xr:uid="{00000000-0005-0000-0000-00005C7F0000}"/>
    <cellStyle name="Normal 3 3 2 2 2 3 3 2 2 2" xfId="29677" xr:uid="{00000000-0005-0000-0000-00005D7F0000}"/>
    <cellStyle name="Normal 3 3 2 2 2 3 3 2 2 2 2" xfId="56810" xr:uid="{00000000-0005-0000-0000-00005E7F0000}"/>
    <cellStyle name="Normal 3 3 2 2 2 3 3 2 2 3" xfId="43248" xr:uid="{00000000-0005-0000-0000-00005F7F0000}"/>
    <cellStyle name="Normal 3 3 2 2 2 3 3 2 3" xfId="22896" xr:uid="{00000000-0005-0000-0000-0000607F0000}"/>
    <cellStyle name="Normal 3 3 2 2 2 3 3 2 3 2" xfId="50029" xr:uid="{00000000-0005-0000-0000-0000617F0000}"/>
    <cellStyle name="Normal 3 3 2 2 2 3 3 2 4" xfId="36467" xr:uid="{00000000-0005-0000-0000-0000627F0000}"/>
    <cellStyle name="Normal 3 3 2 2 2 3 3 3" xfId="12720" xr:uid="{00000000-0005-0000-0000-0000637F0000}"/>
    <cellStyle name="Normal 3 3 2 2 2 3 3 3 2" xfId="26288" xr:uid="{00000000-0005-0000-0000-0000647F0000}"/>
    <cellStyle name="Normal 3 3 2 2 2 3 3 3 2 2" xfId="53421" xr:uid="{00000000-0005-0000-0000-0000657F0000}"/>
    <cellStyle name="Normal 3 3 2 2 2 3 3 3 3" xfId="39859" xr:uid="{00000000-0005-0000-0000-0000667F0000}"/>
    <cellStyle name="Normal 3 3 2 2 2 3 3 4" xfId="19507" xr:uid="{00000000-0005-0000-0000-0000677F0000}"/>
    <cellStyle name="Normal 3 3 2 2 2 3 3 4 2" xfId="46640" xr:uid="{00000000-0005-0000-0000-0000687F0000}"/>
    <cellStyle name="Normal 3 3 2 2 2 3 3 5" xfId="33078" xr:uid="{00000000-0005-0000-0000-0000697F0000}"/>
    <cellStyle name="Normal 3 3 2 2 2 3 4" xfId="9318" xr:uid="{00000000-0005-0000-0000-00006A7F0000}"/>
    <cellStyle name="Normal 3 3 2 2 2 3 4 2" xfId="16107" xr:uid="{00000000-0005-0000-0000-00006B7F0000}"/>
    <cellStyle name="Normal 3 3 2 2 2 3 4 2 2" xfId="29675" xr:uid="{00000000-0005-0000-0000-00006C7F0000}"/>
    <cellStyle name="Normal 3 3 2 2 2 3 4 2 2 2" xfId="56808" xr:uid="{00000000-0005-0000-0000-00006D7F0000}"/>
    <cellStyle name="Normal 3 3 2 2 2 3 4 2 3" xfId="43246" xr:uid="{00000000-0005-0000-0000-00006E7F0000}"/>
    <cellStyle name="Normal 3 3 2 2 2 3 4 3" xfId="22894" xr:uid="{00000000-0005-0000-0000-00006F7F0000}"/>
    <cellStyle name="Normal 3 3 2 2 2 3 4 3 2" xfId="50027" xr:uid="{00000000-0005-0000-0000-0000707F0000}"/>
    <cellStyle name="Normal 3 3 2 2 2 3 4 4" xfId="36465" xr:uid="{00000000-0005-0000-0000-0000717F0000}"/>
    <cellStyle name="Normal 3 3 2 2 2 3 5" xfId="12718" xr:uid="{00000000-0005-0000-0000-0000727F0000}"/>
    <cellStyle name="Normal 3 3 2 2 2 3 5 2" xfId="26286" xr:uid="{00000000-0005-0000-0000-0000737F0000}"/>
    <cellStyle name="Normal 3 3 2 2 2 3 5 2 2" xfId="53419" xr:uid="{00000000-0005-0000-0000-0000747F0000}"/>
    <cellStyle name="Normal 3 3 2 2 2 3 5 3" xfId="39857" xr:uid="{00000000-0005-0000-0000-0000757F0000}"/>
    <cellStyle name="Normal 3 3 2 2 2 3 6" xfId="19505" xr:uid="{00000000-0005-0000-0000-0000767F0000}"/>
    <cellStyle name="Normal 3 3 2 2 2 3 6 2" xfId="46638" xr:uid="{00000000-0005-0000-0000-0000777F0000}"/>
    <cellStyle name="Normal 3 3 2 2 2 3 7" xfId="33076" xr:uid="{00000000-0005-0000-0000-0000787F0000}"/>
    <cellStyle name="Normal 3 3 2 2 2 4" xfId="5778" xr:uid="{00000000-0005-0000-0000-0000797F0000}"/>
    <cellStyle name="Normal 3 3 2 2 2 4 2" xfId="5779" xr:uid="{00000000-0005-0000-0000-00007A7F0000}"/>
    <cellStyle name="Normal 3 3 2 2 2 4 2 2" xfId="9322" xr:uid="{00000000-0005-0000-0000-00007B7F0000}"/>
    <cellStyle name="Normal 3 3 2 2 2 4 2 2 2" xfId="16111" xr:uid="{00000000-0005-0000-0000-00007C7F0000}"/>
    <cellStyle name="Normal 3 3 2 2 2 4 2 2 2 2" xfId="29679" xr:uid="{00000000-0005-0000-0000-00007D7F0000}"/>
    <cellStyle name="Normal 3 3 2 2 2 4 2 2 2 2 2" xfId="56812" xr:uid="{00000000-0005-0000-0000-00007E7F0000}"/>
    <cellStyle name="Normal 3 3 2 2 2 4 2 2 2 3" xfId="43250" xr:uid="{00000000-0005-0000-0000-00007F7F0000}"/>
    <cellStyle name="Normal 3 3 2 2 2 4 2 2 3" xfId="22898" xr:uid="{00000000-0005-0000-0000-0000807F0000}"/>
    <cellStyle name="Normal 3 3 2 2 2 4 2 2 3 2" xfId="50031" xr:uid="{00000000-0005-0000-0000-0000817F0000}"/>
    <cellStyle name="Normal 3 3 2 2 2 4 2 2 4" xfId="36469" xr:uid="{00000000-0005-0000-0000-0000827F0000}"/>
    <cellStyle name="Normal 3 3 2 2 2 4 2 3" xfId="12722" xr:uid="{00000000-0005-0000-0000-0000837F0000}"/>
    <cellStyle name="Normal 3 3 2 2 2 4 2 3 2" xfId="26290" xr:uid="{00000000-0005-0000-0000-0000847F0000}"/>
    <cellStyle name="Normal 3 3 2 2 2 4 2 3 2 2" xfId="53423" xr:uid="{00000000-0005-0000-0000-0000857F0000}"/>
    <cellStyle name="Normal 3 3 2 2 2 4 2 3 3" xfId="39861" xr:uid="{00000000-0005-0000-0000-0000867F0000}"/>
    <cellStyle name="Normal 3 3 2 2 2 4 2 4" xfId="19509" xr:uid="{00000000-0005-0000-0000-0000877F0000}"/>
    <cellStyle name="Normal 3 3 2 2 2 4 2 4 2" xfId="46642" xr:uid="{00000000-0005-0000-0000-0000887F0000}"/>
    <cellStyle name="Normal 3 3 2 2 2 4 2 5" xfId="33080" xr:uid="{00000000-0005-0000-0000-0000897F0000}"/>
    <cellStyle name="Normal 3 3 2 2 2 4 3" xfId="9321" xr:uid="{00000000-0005-0000-0000-00008A7F0000}"/>
    <cellStyle name="Normal 3 3 2 2 2 4 3 2" xfId="16110" xr:uid="{00000000-0005-0000-0000-00008B7F0000}"/>
    <cellStyle name="Normal 3 3 2 2 2 4 3 2 2" xfId="29678" xr:uid="{00000000-0005-0000-0000-00008C7F0000}"/>
    <cellStyle name="Normal 3 3 2 2 2 4 3 2 2 2" xfId="56811" xr:uid="{00000000-0005-0000-0000-00008D7F0000}"/>
    <cellStyle name="Normal 3 3 2 2 2 4 3 2 3" xfId="43249" xr:uid="{00000000-0005-0000-0000-00008E7F0000}"/>
    <cellStyle name="Normal 3 3 2 2 2 4 3 3" xfId="22897" xr:uid="{00000000-0005-0000-0000-00008F7F0000}"/>
    <cellStyle name="Normal 3 3 2 2 2 4 3 3 2" xfId="50030" xr:uid="{00000000-0005-0000-0000-0000907F0000}"/>
    <cellStyle name="Normal 3 3 2 2 2 4 3 4" xfId="36468" xr:uid="{00000000-0005-0000-0000-0000917F0000}"/>
    <cellStyle name="Normal 3 3 2 2 2 4 4" xfId="12721" xr:uid="{00000000-0005-0000-0000-0000927F0000}"/>
    <cellStyle name="Normal 3 3 2 2 2 4 4 2" xfId="26289" xr:uid="{00000000-0005-0000-0000-0000937F0000}"/>
    <cellStyle name="Normal 3 3 2 2 2 4 4 2 2" xfId="53422" xr:uid="{00000000-0005-0000-0000-0000947F0000}"/>
    <cellStyle name="Normal 3 3 2 2 2 4 4 3" xfId="39860" xr:uid="{00000000-0005-0000-0000-0000957F0000}"/>
    <cellStyle name="Normal 3 3 2 2 2 4 5" xfId="19508" xr:uid="{00000000-0005-0000-0000-0000967F0000}"/>
    <cellStyle name="Normal 3 3 2 2 2 4 5 2" xfId="46641" xr:uid="{00000000-0005-0000-0000-0000977F0000}"/>
    <cellStyle name="Normal 3 3 2 2 2 4 6" xfId="33079" xr:uid="{00000000-0005-0000-0000-0000987F0000}"/>
    <cellStyle name="Normal 3 3 2 2 2 5" xfId="5780" xr:uid="{00000000-0005-0000-0000-0000997F0000}"/>
    <cellStyle name="Normal 3 3 2 2 2 5 2" xfId="9323" xr:uid="{00000000-0005-0000-0000-00009A7F0000}"/>
    <cellStyle name="Normal 3 3 2 2 2 5 2 2" xfId="16112" xr:uid="{00000000-0005-0000-0000-00009B7F0000}"/>
    <cellStyle name="Normal 3 3 2 2 2 5 2 2 2" xfId="29680" xr:uid="{00000000-0005-0000-0000-00009C7F0000}"/>
    <cellStyle name="Normal 3 3 2 2 2 5 2 2 2 2" xfId="56813" xr:uid="{00000000-0005-0000-0000-00009D7F0000}"/>
    <cellStyle name="Normal 3 3 2 2 2 5 2 2 3" xfId="43251" xr:uid="{00000000-0005-0000-0000-00009E7F0000}"/>
    <cellStyle name="Normal 3 3 2 2 2 5 2 3" xfId="22899" xr:uid="{00000000-0005-0000-0000-00009F7F0000}"/>
    <cellStyle name="Normal 3 3 2 2 2 5 2 3 2" xfId="50032" xr:uid="{00000000-0005-0000-0000-0000A07F0000}"/>
    <cellStyle name="Normal 3 3 2 2 2 5 2 4" xfId="36470" xr:uid="{00000000-0005-0000-0000-0000A17F0000}"/>
    <cellStyle name="Normal 3 3 2 2 2 5 3" xfId="12723" xr:uid="{00000000-0005-0000-0000-0000A27F0000}"/>
    <cellStyle name="Normal 3 3 2 2 2 5 3 2" xfId="26291" xr:uid="{00000000-0005-0000-0000-0000A37F0000}"/>
    <cellStyle name="Normal 3 3 2 2 2 5 3 2 2" xfId="53424" xr:uid="{00000000-0005-0000-0000-0000A47F0000}"/>
    <cellStyle name="Normal 3 3 2 2 2 5 3 3" xfId="39862" xr:uid="{00000000-0005-0000-0000-0000A57F0000}"/>
    <cellStyle name="Normal 3 3 2 2 2 5 4" xfId="19510" xr:uid="{00000000-0005-0000-0000-0000A67F0000}"/>
    <cellStyle name="Normal 3 3 2 2 2 5 4 2" xfId="46643" xr:uid="{00000000-0005-0000-0000-0000A77F0000}"/>
    <cellStyle name="Normal 3 3 2 2 2 5 5" xfId="33081" xr:uid="{00000000-0005-0000-0000-0000A87F0000}"/>
    <cellStyle name="Normal 3 3 2 2 2 6" xfId="5781" xr:uid="{00000000-0005-0000-0000-0000A97F0000}"/>
    <cellStyle name="Normal 3 3 2 2 2 6 2" xfId="9324" xr:uid="{00000000-0005-0000-0000-0000AA7F0000}"/>
    <cellStyle name="Normal 3 3 2 2 2 6 2 2" xfId="16113" xr:uid="{00000000-0005-0000-0000-0000AB7F0000}"/>
    <cellStyle name="Normal 3 3 2 2 2 6 2 2 2" xfId="29681" xr:uid="{00000000-0005-0000-0000-0000AC7F0000}"/>
    <cellStyle name="Normal 3 3 2 2 2 6 2 2 2 2" xfId="56814" xr:uid="{00000000-0005-0000-0000-0000AD7F0000}"/>
    <cellStyle name="Normal 3 3 2 2 2 6 2 2 3" xfId="43252" xr:uid="{00000000-0005-0000-0000-0000AE7F0000}"/>
    <cellStyle name="Normal 3 3 2 2 2 6 2 3" xfId="22900" xr:uid="{00000000-0005-0000-0000-0000AF7F0000}"/>
    <cellStyle name="Normal 3 3 2 2 2 6 2 3 2" xfId="50033" xr:uid="{00000000-0005-0000-0000-0000B07F0000}"/>
    <cellStyle name="Normal 3 3 2 2 2 6 2 4" xfId="36471" xr:uid="{00000000-0005-0000-0000-0000B17F0000}"/>
    <cellStyle name="Normal 3 3 2 2 2 6 3" xfId="12724" xr:uid="{00000000-0005-0000-0000-0000B27F0000}"/>
    <cellStyle name="Normal 3 3 2 2 2 6 3 2" xfId="26292" xr:uid="{00000000-0005-0000-0000-0000B37F0000}"/>
    <cellStyle name="Normal 3 3 2 2 2 6 3 2 2" xfId="53425" xr:uid="{00000000-0005-0000-0000-0000B47F0000}"/>
    <cellStyle name="Normal 3 3 2 2 2 6 3 3" xfId="39863" xr:uid="{00000000-0005-0000-0000-0000B57F0000}"/>
    <cellStyle name="Normal 3 3 2 2 2 6 4" xfId="19511" xr:uid="{00000000-0005-0000-0000-0000B67F0000}"/>
    <cellStyle name="Normal 3 3 2 2 2 6 4 2" xfId="46644" xr:uid="{00000000-0005-0000-0000-0000B77F0000}"/>
    <cellStyle name="Normal 3 3 2 2 2 6 5" xfId="33082" xr:uid="{00000000-0005-0000-0000-0000B87F0000}"/>
    <cellStyle name="Normal 3 3 2 2 2 7" xfId="9309" xr:uid="{00000000-0005-0000-0000-0000B97F0000}"/>
    <cellStyle name="Normal 3 3 2 2 2 7 2" xfId="16098" xr:uid="{00000000-0005-0000-0000-0000BA7F0000}"/>
    <cellStyle name="Normal 3 3 2 2 2 7 2 2" xfId="29666" xr:uid="{00000000-0005-0000-0000-0000BB7F0000}"/>
    <cellStyle name="Normal 3 3 2 2 2 7 2 2 2" xfId="56799" xr:uid="{00000000-0005-0000-0000-0000BC7F0000}"/>
    <cellStyle name="Normal 3 3 2 2 2 7 2 3" xfId="43237" xr:uid="{00000000-0005-0000-0000-0000BD7F0000}"/>
    <cellStyle name="Normal 3 3 2 2 2 7 3" xfId="22885" xr:uid="{00000000-0005-0000-0000-0000BE7F0000}"/>
    <cellStyle name="Normal 3 3 2 2 2 7 3 2" xfId="50018" xr:uid="{00000000-0005-0000-0000-0000BF7F0000}"/>
    <cellStyle name="Normal 3 3 2 2 2 7 4" xfId="36456" xr:uid="{00000000-0005-0000-0000-0000C07F0000}"/>
    <cellStyle name="Normal 3 3 2 2 2 8" xfId="12709" xr:uid="{00000000-0005-0000-0000-0000C17F0000}"/>
    <cellStyle name="Normal 3 3 2 2 2 8 2" xfId="26277" xr:uid="{00000000-0005-0000-0000-0000C27F0000}"/>
    <cellStyle name="Normal 3 3 2 2 2 8 2 2" xfId="53410" xr:uid="{00000000-0005-0000-0000-0000C37F0000}"/>
    <cellStyle name="Normal 3 3 2 2 2 8 3" xfId="39848" xr:uid="{00000000-0005-0000-0000-0000C47F0000}"/>
    <cellStyle name="Normal 3 3 2 2 2 9" xfId="19496" xr:uid="{00000000-0005-0000-0000-0000C57F0000}"/>
    <cellStyle name="Normal 3 3 2 2 2 9 2" xfId="46629" xr:uid="{00000000-0005-0000-0000-0000C67F0000}"/>
    <cellStyle name="Normal 3 3 2 2 3" xfId="5782" xr:uid="{00000000-0005-0000-0000-0000C77F0000}"/>
    <cellStyle name="Normal 3 3 2 2 3 2" xfId="5783" xr:uid="{00000000-0005-0000-0000-0000C87F0000}"/>
    <cellStyle name="Normal 3 3 2 2 3 2 2" xfId="5784" xr:uid="{00000000-0005-0000-0000-0000C97F0000}"/>
    <cellStyle name="Normal 3 3 2 2 3 2 2 2" xfId="9327" xr:uid="{00000000-0005-0000-0000-0000CA7F0000}"/>
    <cellStyle name="Normal 3 3 2 2 3 2 2 2 2" xfId="16116" xr:uid="{00000000-0005-0000-0000-0000CB7F0000}"/>
    <cellStyle name="Normal 3 3 2 2 3 2 2 2 2 2" xfId="29684" xr:uid="{00000000-0005-0000-0000-0000CC7F0000}"/>
    <cellStyle name="Normal 3 3 2 2 3 2 2 2 2 2 2" xfId="56817" xr:uid="{00000000-0005-0000-0000-0000CD7F0000}"/>
    <cellStyle name="Normal 3 3 2 2 3 2 2 2 2 3" xfId="43255" xr:uid="{00000000-0005-0000-0000-0000CE7F0000}"/>
    <cellStyle name="Normal 3 3 2 2 3 2 2 2 3" xfId="22903" xr:uid="{00000000-0005-0000-0000-0000CF7F0000}"/>
    <cellStyle name="Normal 3 3 2 2 3 2 2 2 3 2" xfId="50036" xr:uid="{00000000-0005-0000-0000-0000D07F0000}"/>
    <cellStyle name="Normal 3 3 2 2 3 2 2 2 4" xfId="36474" xr:uid="{00000000-0005-0000-0000-0000D17F0000}"/>
    <cellStyle name="Normal 3 3 2 2 3 2 2 3" xfId="12727" xr:uid="{00000000-0005-0000-0000-0000D27F0000}"/>
    <cellStyle name="Normal 3 3 2 2 3 2 2 3 2" xfId="26295" xr:uid="{00000000-0005-0000-0000-0000D37F0000}"/>
    <cellStyle name="Normal 3 3 2 2 3 2 2 3 2 2" xfId="53428" xr:uid="{00000000-0005-0000-0000-0000D47F0000}"/>
    <cellStyle name="Normal 3 3 2 2 3 2 2 3 3" xfId="39866" xr:uid="{00000000-0005-0000-0000-0000D57F0000}"/>
    <cellStyle name="Normal 3 3 2 2 3 2 2 4" xfId="19514" xr:uid="{00000000-0005-0000-0000-0000D67F0000}"/>
    <cellStyle name="Normal 3 3 2 2 3 2 2 4 2" xfId="46647" xr:uid="{00000000-0005-0000-0000-0000D77F0000}"/>
    <cellStyle name="Normal 3 3 2 2 3 2 2 5" xfId="33085" xr:uid="{00000000-0005-0000-0000-0000D87F0000}"/>
    <cellStyle name="Normal 3 3 2 2 3 2 3" xfId="5785" xr:uid="{00000000-0005-0000-0000-0000D97F0000}"/>
    <cellStyle name="Normal 3 3 2 2 3 2 3 2" xfId="9328" xr:uid="{00000000-0005-0000-0000-0000DA7F0000}"/>
    <cellStyle name="Normal 3 3 2 2 3 2 3 2 2" xfId="16117" xr:uid="{00000000-0005-0000-0000-0000DB7F0000}"/>
    <cellStyle name="Normal 3 3 2 2 3 2 3 2 2 2" xfId="29685" xr:uid="{00000000-0005-0000-0000-0000DC7F0000}"/>
    <cellStyle name="Normal 3 3 2 2 3 2 3 2 2 2 2" xfId="56818" xr:uid="{00000000-0005-0000-0000-0000DD7F0000}"/>
    <cellStyle name="Normal 3 3 2 2 3 2 3 2 2 3" xfId="43256" xr:uid="{00000000-0005-0000-0000-0000DE7F0000}"/>
    <cellStyle name="Normal 3 3 2 2 3 2 3 2 3" xfId="22904" xr:uid="{00000000-0005-0000-0000-0000DF7F0000}"/>
    <cellStyle name="Normal 3 3 2 2 3 2 3 2 3 2" xfId="50037" xr:uid="{00000000-0005-0000-0000-0000E07F0000}"/>
    <cellStyle name="Normal 3 3 2 2 3 2 3 2 4" xfId="36475" xr:uid="{00000000-0005-0000-0000-0000E17F0000}"/>
    <cellStyle name="Normal 3 3 2 2 3 2 3 3" xfId="12728" xr:uid="{00000000-0005-0000-0000-0000E27F0000}"/>
    <cellStyle name="Normal 3 3 2 2 3 2 3 3 2" xfId="26296" xr:uid="{00000000-0005-0000-0000-0000E37F0000}"/>
    <cellStyle name="Normal 3 3 2 2 3 2 3 3 2 2" xfId="53429" xr:uid="{00000000-0005-0000-0000-0000E47F0000}"/>
    <cellStyle name="Normal 3 3 2 2 3 2 3 3 3" xfId="39867" xr:uid="{00000000-0005-0000-0000-0000E57F0000}"/>
    <cellStyle name="Normal 3 3 2 2 3 2 3 4" xfId="19515" xr:uid="{00000000-0005-0000-0000-0000E67F0000}"/>
    <cellStyle name="Normal 3 3 2 2 3 2 3 4 2" xfId="46648" xr:uid="{00000000-0005-0000-0000-0000E77F0000}"/>
    <cellStyle name="Normal 3 3 2 2 3 2 3 5" xfId="33086" xr:uid="{00000000-0005-0000-0000-0000E87F0000}"/>
    <cellStyle name="Normal 3 3 2 2 3 2 4" xfId="9326" xr:uid="{00000000-0005-0000-0000-0000E97F0000}"/>
    <cellStyle name="Normal 3 3 2 2 3 2 4 2" xfId="16115" xr:uid="{00000000-0005-0000-0000-0000EA7F0000}"/>
    <cellStyle name="Normal 3 3 2 2 3 2 4 2 2" xfId="29683" xr:uid="{00000000-0005-0000-0000-0000EB7F0000}"/>
    <cellStyle name="Normal 3 3 2 2 3 2 4 2 2 2" xfId="56816" xr:uid="{00000000-0005-0000-0000-0000EC7F0000}"/>
    <cellStyle name="Normal 3 3 2 2 3 2 4 2 3" xfId="43254" xr:uid="{00000000-0005-0000-0000-0000ED7F0000}"/>
    <cellStyle name="Normal 3 3 2 2 3 2 4 3" xfId="22902" xr:uid="{00000000-0005-0000-0000-0000EE7F0000}"/>
    <cellStyle name="Normal 3 3 2 2 3 2 4 3 2" xfId="50035" xr:uid="{00000000-0005-0000-0000-0000EF7F0000}"/>
    <cellStyle name="Normal 3 3 2 2 3 2 4 4" xfId="36473" xr:uid="{00000000-0005-0000-0000-0000F07F0000}"/>
    <cellStyle name="Normal 3 3 2 2 3 2 5" xfId="12726" xr:uid="{00000000-0005-0000-0000-0000F17F0000}"/>
    <cellStyle name="Normal 3 3 2 2 3 2 5 2" xfId="26294" xr:uid="{00000000-0005-0000-0000-0000F27F0000}"/>
    <cellStyle name="Normal 3 3 2 2 3 2 5 2 2" xfId="53427" xr:uid="{00000000-0005-0000-0000-0000F37F0000}"/>
    <cellStyle name="Normal 3 3 2 2 3 2 5 3" xfId="39865" xr:uid="{00000000-0005-0000-0000-0000F47F0000}"/>
    <cellStyle name="Normal 3 3 2 2 3 2 6" xfId="19513" xr:uid="{00000000-0005-0000-0000-0000F57F0000}"/>
    <cellStyle name="Normal 3 3 2 2 3 2 6 2" xfId="46646" xr:uid="{00000000-0005-0000-0000-0000F67F0000}"/>
    <cellStyle name="Normal 3 3 2 2 3 2 7" xfId="33084" xr:uid="{00000000-0005-0000-0000-0000F77F0000}"/>
    <cellStyle name="Normal 3 3 2 2 3 3" xfId="5786" xr:uid="{00000000-0005-0000-0000-0000F87F0000}"/>
    <cellStyle name="Normal 3 3 2 2 3 3 2" xfId="5787" xr:uid="{00000000-0005-0000-0000-0000F97F0000}"/>
    <cellStyle name="Normal 3 3 2 2 3 3 2 2" xfId="9330" xr:uid="{00000000-0005-0000-0000-0000FA7F0000}"/>
    <cellStyle name="Normal 3 3 2 2 3 3 2 2 2" xfId="16119" xr:uid="{00000000-0005-0000-0000-0000FB7F0000}"/>
    <cellStyle name="Normal 3 3 2 2 3 3 2 2 2 2" xfId="29687" xr:uid="{00000000-0005-0000-0000-0000FC7F0000}"/>
    <cellStyle name="Normal 3 3 2 2 3 3 2 2 2 2 2" xfId="56820" xr:uid="{00000000-0005-0000-0000-0000FD7F0000}"/>
    <cellStyle name="Normal 3 3 2 2 3 3 2 2 2 3" xfId="43258" xr:uid="{00000000-0005-0000-0000-0000FE7F0000}"/>
    <cellStyle name="Normal 3 3 2 2 3 3 2 2 3" xfId="22906" xr:uid="{00000000-0005-0000-0000-0000FF7F0000}"/>
    <cellStyle name="Normal 3 3 2 2 3 3 2 2 3 2" xfId="50039" xr:uid="{00000000-0005-0000-0000-000000800000}"/>
    <cellStyle name="Normal 3 3 2 2 3 3 2 2 4" xfId="36477" xr:uid="{00000000-0005-0000-0000-000001800000}"/>
    <cellStyle name="Normal 3 3 2 2 3 3 2 3" xfId="12730" xr:uid="{00000000-0005-0000-0000-000002800000}"/>
    <cellStyle name="Normal 3 3 2 2 3 3 2 3 2" xfId="26298" xr:uid="{00000000-0005-0000-0000-000003800000}"/>
    <cellStyle name="Normal 3 3 2 2 3 3 2 3 2 2" xfId="53431" xr:uid="{00000000-0005-0000-0000-000004800000}"/>
    <cellStyle name="Normal 3 3 2 2 3 3 2 3 3" xfId="39869" xr:uid="{00000000-0005-0000-0000-000005800000}"/>
    <cellStyle name="Normal 3 3 2 2 3 3 2 4" xfId="19517" xr:uid="{00000000-0005-0000-0000-000006800000}"/>
    <cellStyle name="Normal 3 3 2 2 3 3 2 4 2" xfId="46650" xr:uid="{00000000-0005-0000-0000-000007800000}"/>
    <cellStyle name="Normal 3 3 2 2 3 3 2 5" xfId="33088" xr:uid="{00000000-0005-0000-0000-000008800000}"/>
    <cellStyle name="Normal 3 3 2 2 3 3 3" xfId="9329" xr:uid="{00000000-0005-0000-0000-000009800000}"/>
    <cellStyle name="Normal 3 3 2 2 3 3 3 2" xfId="16118" xr:uid="{00000000-0005-0000-0000-00000A800000}"/>
    <cellStyle name="Normal 3 3 2 2 3 3 3 2 2" xfId="29686" xr:uid="{00000000-0005-0000-0000-00000B800000}"/>
    <cellStyle name="Normal 3 3 2 2 3 3 3 2 2 2" xfId="56819" xr:uid="{00000000-0005-0000-0000-00000C800000}"/>
    <cellStyle name="Normal 3 3 2 2 3 3 3 2 3" xfId="43257" xr:uid="{00000000-0005-0000-0000-00000D800000}"/>
    <cellStyle name="Normal 3 3 2 2 3 3 3 3" xfId="22905" xr:uid="{00000000-0005-0000-0000-00000E800000}"/>
    <cellStyle name="Normal 3 3 2 2 3 3 3 3 2" xfId="50038" xr:uid="{00000000-0005-0000-0000-00000F800000}"/>
    <cellStyle name="Normal 3 3 2 2 3 3 3 4" xfId="36476" xr:uid="{00000000-0005-0000-0000-000010800000}"/>
    <cellStyle name="Normal 3 3 2 2 3 3 4" xfId="12729" xr:uid="{00000000-0005-0000-0000-000011800000}"/>
    <cellStyle name="Normal 3 3 2 2 3 3 4 2" xfId="26297" xr:uid="{00000000-0005-0000-0000-000012800000}"/>
    <cellStyle name="Normal 3 3 2 2 3 3 4 2 2" xfId="53430" xr:uid="{00000000-0005-0000-0000-000013800000}"/>
    <cellStyle name="Normal 3 3 2 2 3 3 4 3" xfId="39868" xr:uid="{00000000-0005-0000-0000-000014800000}"/>
    <cellStyle name="Normal 3 3 2 2 3 3 5" xfId="19516" xr:uid="{00000000-0005-0000-0000-000015800000}"/>
    <cellStyle name="Normal 3 3 2 2 3 3 5 2" xfId="46649" xr:uid="{00000000-0005-0000-0000-000016800000}"/>
    <cellStyle name="Normal 3 3 2 2 3 3 6" xfId="33087" xr:uid="{00000000-0005-0000-0000-000017800000}"/>
    <cellStyle name="Normal 3 3 2 2 3 4" xfId="5788" xr:uid="{00000000-0005-0000-0000-000018800000}"/>
    <cellStyle name="Normal 3 3 2 2 3 4 2" xfId="9331" xr:uid="{00000000-0005-0000-0000-000019800000}"/>
    <cellStyle name="Normal 3 3 2 2 3 4 2 2" xfId="16120" xr:uid="{00000000-0005-0000-0000-00001A800000}"/>
    <cellStyle name="Normal 3 3 2 2 3 4 2 2 2" xfId="29688" xr:uid="{00000000-0005-0000-0000-00001B800000}"/>
    <cellStyle name="Normal 3 3 2 2 3 4 2 2 2 2" xfId="56821" xr:uid="{00000000-0005-0000-0000-00001C800000}"/>
    <cellStyle name="Normal 3 3 2 2 3 4 2 2 3" xfId="43259" xr:uid="{00000000-0005-0000-0000-00001D800000}"/>
    <cellStyle name="Normal 3 3 2 2 3 4 2 3" xfId="22907" xr:uid="{00000000-0005-0000-0000-00001E800000}"/>
    <cellStyle name="Normal 3 3 2 2 3 4 2 3 2" xfId="50040" xr:uid="{00000000-0005-0000-0000-00001F800000}"/>
    <cellStyle name="Normal 3 3 2 2 3 4 2 4" xfId="36478" xr:uid="{00000000-0005-0000-0000-000020800000}"/>
    <cellStyle name="Normal 3 3 2 2 3 4 3" xfId="12731" xr:uid="{00000000-0005-0000-0000-000021800000}"/>
    <cellStyle name="Normal 3 3 2 2 3 4 3 2" xfId="26299" xr:uid="{00000000-0005-0000-0000-000022800000}"/>
    <cellStyle name="Normal 3 3 2 2 3 4 3 2 2" xfId="53432" xr:uid="{00000000-0005-0000-0000-000023800000}"/>
    <cellStyle name="Normal 3 3 2 2 3 4 3 3" xfId="39870" xr:uid="{00000000-0005-0000-0000-000024800000}"/>
    <cellStyle name="Normal 3 3 2 2 3 4 4" xfId="19518" xr:uid="{00000000-0005-0000-0000-000025800000}"/>
    <cellStyle name="Normal 3 3 2 2 3 4 4 2" xfId="46651" xr:uid="{00000000-0005-0000-0000-000026800000}"/>
    <cellStyle name="Normal 3 3 2 2 3 4 5" xfId="33089" xr:uid="{00000000-0005-0000-0000-000027800000}"/>
    <cellStyle name="Normal 3 3 2 2 3 5" xfId="5789" xr:uid="{00000000-0005-0000-0000-000028800000}"/>
    <cellStyle name="Normal 3 3 2 2 3 5 2" xfId="9332" xr:uid="{00000000-0005-0000-0000-000029800000}"/>
    <cellStyle name="Normal 3 3 2 2 3 5 2 2" xfId="16121" xr:uid="{00000000-0005-0000-0000-00002A800000}"/>
    <cellStyle name="Normal 3 3 2 2 3 5 2 2 2" xfId="29689" xr:uid="{00000000-0005-0000-0000-00002B800000}"/>
    <cellStyle name="Normal 3 3 2 2 3 5 2 2 2 2" xfId="56822" xr:uid="{00000000-0005-0000-0000-00002C800000}"/>
    <cellStyle name="Normal 3 3 2 2 3 5 2 2 3" xfId="43260" xr:uid="{00000000-0005-0000-0000-00002D800000}"/>
    <cellStyle name="Normal 3 3 2 2 3 5 2 3" xfId="22908" xr:uid="{00000000-0005-0000-0000-00002E800000}"/>
    <cellStyle name="Normal 3 3 2 2 3 5 2 3 2" xfId="50041" xr:uid="{00000000-0005-0000-0000-00002F800000}"/>
    <cellStyle name="Normal 3 3 2 2 3 5 2 4" xfId="36479" xr:uid="{00000000-0005-0000-0000-000030800000}"/>
    <cellStyle name="Normal 3 3 2 2 3 5 3" xfId="12732" xr:uid="{00000000-0005-0000-0000-000031800000}"/>
    <cellStyle name="Normal 3 3 2 2 3 5 3 2" xfId="26300" xr:uid="{00000000-0005-0000-0000-000032800000}"/>
    <cellStyle name="Normal 3 3 2 2 3 5 3 2 2" xfId="53433" xr:uid="{00000000-0005-0000-0000-000033800000}"/>
    <cellStyle name="Normal 3 3 2 2 3 5 3 3" xfId="39871" xr:uid="{00000000-0005-0000-0000-000034800000}"/>
    <cellStyle name="Normal 3 3 2 2 3 5 4" xfId="19519" xr:uid="{00000000-0005-0000-0000-000035800000}"/>
    <cellStyle name="Normal 3 3 2 2 3 5 4 2" xfId="46652" xr:uid="{00000000-0005-0000-0000-000036800000}"/>
    <cellStyle name="Normal 3 3 2 2 3 5 5" xfId="33090" xr:uid="{00000000-0005-0000-0000-000037800000}"/>
    <cellStyle name="Normal 3 3 2 2 3 6" xfId="9325" xr:uid="{00000000-0005-0000-0000-000038800000}"/>
    <cellStyle name="Normal 3 3 2 2 3 6 2" xfId="16114" xr:uid="{00000000-0005-0000-0000-000039800000}"/>
    <cellStyle name="Normal 3 3 2 2 3 6 2 2" xfId="29682" xr:uid="{00000000-0005-0000-0000-00003A800000}"/>
    <cellStyle name="Normal 3 3 2 2 3 6 2 2 2" xfId="56815" xr:uid="{00000000-0005-0000-0000-00003B800000}"/>
    <cellStyle name="Normal 3 3 2 2 3 6 2 3" xfId="43253" xr:uid="{00000000-0005-0000-0000-00003C800000}"/>
    <cellStyle name="Normal 3 3 2 2 3 6 3" xfId="22901" xr:uid="{00000000-0005-0000-0000-00003D800000}"/>
    <cellStyle name="Normal 3 3 2 2 3 6 3 2" xfId="50034" xr:uid="{00000000-0005-0000-0000-00003E800000}"/>
    <cellStyle name="Normal 3 3 2 2 3 6 4" xfId="36472" xr:uid="{00000000-0005-0000-0000-00003F800000}"/>
    <cellStyle name="Normal 3 3 2 2 3 7" xfId="12725" xr:uid="{00000000-0005-0000-0000-000040800000}"/>
    <cellStyle name="Normal 3 3 2 2 3 7 2" xfId="26293" xr:uid="{00000000-0005-0000-0000-000041800000}"/>
    <cellStyle name="Normal 3 3 2 2 3 7 2 2" xfId="53426" xr:uid="{00000000-0005-0000-0000-000042800000}"/>
    <cellStyle name="Normal 3 3 2 2 3 7 3" xfId="39864" xr:uid="{00000000-0005-0000-0000-000043800000}"/>
    <cellStyle name="Normal 3 3 2 2 3 8" xfId="19512" xr:uid="{00000000-0005-0000-0000-000044800000}"/>
    <cellStyle name="Normal 3 3 2 2 3 8 2" xfId="46645" xr:uid="{00000000-0005-0000-0000-000045800000}"/>
    <cellStyle name="Normal 3 3 2 2 3 9" xfId="33083" xr:uid="{00000000-0005-0000-0000-000046800000}"/>
    <cellStyle name="Normal 3 3 2 2 4" xfId="5790" xr:uid="{00000000-0005-0000-0000-000047800000}"/>
    <cellStyle name="Normal 3 3 2 2 4 2" xfId="5791" xr:uid="{00000000-0005-0000-0000-000048800000}"/>
    <cellStyle name="Normal 3 3 2 2 4 2 2" xfId="5792" xr:uid="{00000000-0005-0000-0000-000049800000}"/>
    <cellStyle name="Normal 3 3 2 2 4 2 2 2" xfId="9335" xr:uid="{00000000-0005-0000-0000-00004A800000}"/>
    <cellStyle name="Normal 3 3 2 2 4 2 2 2 2" xfId="16124" xr:uid="{00000000-0005-0000-0000-00004B800000}"/>
    <cellStyle name="Normal 3 3 2 2 4 2 2 2 2 2" xfId="29692" xr:uid="{00000000-0005-0000-0000-00004C800000}"/>
    <cellStyle name="Normal 3 3 2 2 4 2 2 2 2 2 2" xfId="56825" xr:uid="{00000000-0005-0000-0000-00004D800000}"/>
    <cellStyle name="Normal 3 3 2 2 4 2 2 2 2 3" xfId="43263" xr:uid="{00000000-0005-0000-0000-00004E800000}"/>
    <cellStyle name="Normal 3 3 2 2 4 2 2 2 3" xfId="22911" xr:uid="{00000000-0005-0000-0000-00004F800000}"/>
    <cellStyle name="Normal 3 3 2 2 4 2 2 2 3 2" xfId="50044" xr:uid="{00000000-0005-0000-0000-000050800000}"/>
    <cellStyle name="Normal 3 3 2 2 4 2 2 2 4" xfId="36482" xr:uid="{00000000-0005-0000-0000-000051800000}"/>
    <cellStyle name="Normal 3 3 2 2 4 2 2 3" xfId="12735" xr:uid="{00000000-0005-0000-0000-000052800000}"/>
    <cellStyle name="Normal 3 3 2 2 4 2 2 3 2" xfId="26303" xr:uid="{00000000-0005-0000-0000-000053800000}"/>
    <cellStyle name="Normal 3 3 2 2 4 2 2 3 2 2" xfId="53436" xr:uid="{00000000-0005-0000-0000-000054800000}"/>
    <cellStyle name="Normal 3 3 2 2 4 2 2 3 3" xfId="39874" xr:uid="{00000000-0005-0000-0000-000055800000}"/>
    <cellStyle name="Normal 3 3 2 2 4 2 2 4" xfId="19522" xr:uid="{00000000-0005-0000-0000-000056800000}"/>
    <cellStyle name="Normal 3 3 2 2 4 2 2 4 2" xfId="46655" xr:uid="{00000000-0005-0000-0000-000057800000}"/>
    <cellStyle name="Normal 3 3 2 2 4 2 2 5" xfId="33093" xr:uid="{00000000-0005-0000-0000-000058800000}"/>
    <cellStyle name="Normal 3 3 2 2 4 2 3" xfId="5793" xr:uid="{00000000-0005-0000-0000-000059800000}"/>
    <cellStyle name="Normal 3 3 2 2 4 2 3 2" xfId="9336" xr:uid="{00000000-0005-0000-0000-00005A800000}"/>
    <cellStyle name="Normal 3 3 2 2 4 2 3 2 2" xfId="16125" xr:uid="{00000000-0005-0000-0000-00005B800000}"/>
    <cellStyle name="Normal 3 3 2 2 4 2 3 2 2 2" xfId="29693" xr:uid="{00000000-0005-0000-0000-00005C800000}"/>
    <cellStyle name="Normal 3 3 2 2 4 2 3 2 2 2 2" xfId="56826" xr:uid="{00000000-0005-0000-0000-00005D800000}"/>
    <cellStyle name="Normal 3 3 2 2 4 2 3 2 2 3" xfId="43264" xr:uid="{00000000-0005-0000-0000-00005E800000}"/>
    <cellStyle name="Normal 3 3 2 2 4 2 3 2 3" xfId="22912" xr:uid="{00000000-0005-0000-0000-00005F800000}"/>
    <cellStyle name="Normal 3 3 2 2 4 2 3 2 3 2" xfId="50045" xr:uid="{00000000-0005-0000-0000-000060800000}"/>
    <cellStyle name="Normal 3 3 2 2 4 2 3 2 4" xfId="36483" xr:uid="{00000000-0005-0000-0000-000061800000}"/>
    <cellStyle name="Normal 3 3 2 2 4 2 3 3" xfId="12736" xr:uid="{00000000-0005-0000-0000-000062800000}"/>
    <cellStyle name="Normal 3 3 2 2 4 2 3 3 2" xfId="26304" xr:uid="{00000000-0005-0000-0000-000063800000}"/>
    <cellStyle name="Normal 3 3 2 2 4 2 3 3 2 2" xfId="53437" xr:uid="{00000000-0005-0000-0000-000064800000}"/>
    <cellStyle name="Normal 3 3 2 2 4 2 3 3 3" xfId="39875" xr:uid="{00000000-0005-0000-0000-000065800000}"/>
    <cellStyle name="Normal 3 3 2 2 4 2 3 4" xfId="19523" xr:uid="{00000000-0005-0000-0000-000066800000}"/>
    <cellStyle name="Normal 3 3 2 2 4 2 3 4 2" xfId="46656" xr:uid="{00000000-0005-0000-0000-000067800000}"/>
    <cellStyle name="Normal 3 3 2 2 4 2 3 5" xfId="33094" xr:uid="{00000000-0005-0000-0000-000068800000}"/>
    <cellStyle name="Normal 3 3 2 2 4 2 4" xfId="9334" xr:uid="{00000000-0005-0000-0000-000069800000}"/>
    <cellStyle name="Normal 3 3 2 2 4 2 4 2" xfId="16123" xr:uid="{00000000-0005-0000-0000-00006A800000}"/>
    <cellStyle name="Normal 3 3 2 2 4 2 4 2 2" xfId="29691" xr:uid="{00000000-0005-0000-0000-00006B800000}"/>
    <cellStyle name="Normal 3 3 2 2 4 2 4 2 2 2" xfId="56824" xr:uid="{00000000-0005-0000-0000-00006C800000}"/>
    <cellStyle name="Normal 3 3 2 2 4 2 4 2 3" xfId="43262" xr:uid="{00000000-0005-0000-0000-00006D800000}"/>
    <cellStyle name="Normal 3 3 2 2 4 2 4 3" xfId="22910" xr:uid="{00000000-0005-0000-0000-00006E800000}"/>
    <cellStyle name="Normal 3 3 2 2 4 2 4 3 2" xfId="50043" xr:uid="{00000000-0005-0000-0000-00006F800000}"/>
    <cellStyle name="Normal 3 3 2 2 4 2 4 4" xfId="36481" xr:uid="{00000000-0005-0000-0000-000070800000}"/>
    <cellStyle name="Normal 3 3 2 2 4 2 5" xfId="12734" xr:uid="{00000000-0005-0000-0000-000071800000}"/>
    <cellStyle name="Normal 3 3 2 2 4 2 5 2" xfId="26302" xr:uid="{00000000-0005-0000-0000-000072800000}"/>
    <cellStyle name="Normal 3 3 2 2 4 2 5 2 2" xfId="53435" xr:uid="{00000000-0005-0000-0000-000073800000}"/>
    <cellStyle name="Normal 3 3 2 2 4 2 5 3" xfId="39873" xr:uid="{00000000-0005-0000-0000-000074800000}"/>
    <cellStyle name="Normal 3 3 2 2 4 2 6" xfId="19521" xr:uid="{00000000-0005-0000-0000-000075800000}"/>
    <cellStyle name="Normal 3 3 2 2 4 2 6 2" xfId="46654" xr:uid="{00000000-0005-0000-0000-000076800000}"/>
    <cellStyle name="Normal 3 3 2 2 4 2 7" xfId="33092" xr:uid="{00000000-0005-0000-0000-000077800000}"/>
    <cellStyle name="Normal 3 3 2 2 4 3" xfId="5794" xr:uid="{00000000-0005-0000-0000-000078800000}"/>
    <cellStyle name="Normal 3 3 2 2 4 3 2" xfId="9337" xr:uid="{00000000-0005-0000-0000-000079800000}"/>
    <cellStyle name="Normal 3 3 2 2 4 3 2 2" xfId="16126" xr:uid="{00000000-0005-0000-0000-00007A800000}"/>
    <cellStyle name="Normal 3 3 2 2 4 3 2 2 2" xfId="29694" xr:uid="{00000000-0005-0000-0000-00007B800000}"/>
    <cellStyle name="Normal 3 3 2 2 4 3 2 2 2 2" xfId="56827" xr:uid="{00000000-0005-0000-0000-00007C800000}"/>
    <cellStyle name="Normal 3 3 2 2 4 3 2 2 3" xfId="43265" xr:uid="{00000000-0005-0000-0000-00007D800000}"/>
    <cellStyle name="Normal 3 3 2 2 4 3 2 3" xfId="22913" xr:uid="{00000000-0005-0000-0000-00007E800000}"/>
    <cellStyle name="Normal 3 3 2 2 4 3 2 3 2" xfId="50046" xr:uid="{00000000-0005-0000-0000-00007F800000}"/>
    <cellStyle name="Normal 3 3 2 2 4 3 2 4" xfId="36484" xr:uid="{00000000-0005-0000-0000-000080800000}"/>
    <cellStyle name="Normal 3 3 2 2 4 3 3" xfId="12737" xr:uid="{00000000-0005-0000-0000-000081800000}"/>
    <cellStyle name="Normal 3 3 2 2 4 3 3 2" xfId="26305" xr:uid="{00000000-0005-0000-0000-000082800000}"/>
    <cellStyle name="Normal 3 3 2 2 4 3 3 2 2" xfId="53438" xr:uid="{00000000-0005-0000-0000-000083800000}"/>
    <cellStyle name="Normal 3 3 2 2 4 3 3 3" xfId="39876" xr:uid="{00000000-0005-0000-0000-000084800000}"/>
    <cellStyle name="Normal 3 3 2 2 4 3 4" xfId="19524" xr:uid="{00000000-0005-0000-0000-000085800000}"/>
    <cellStyle name="Normal 3 3 2 2 4 3 4 2" xfId="46657" xr:uid="{00000000-0005-0000-0000-000086800000}"/>
    <cellStyle name="Normal 3 3 2 2 4 3 5" xfId="33095" xr:uid="{00000000-0005-0000-0000-000087800000}"/>
    <cellStyle name="Normal 3 3 2 2 4 4" xfId="5795" xr:uid="{00000000-0005-0000-0000-000088800000}"/>
    <cellStyle name="Normal 3 3 2 2 4 4 2" xfId="9338" xr:uid="{00000000-0005-0000-0000-000089800000}"/>
    <cellStyle name="Normal 3 3 2 2 4 4 2 2" xfId="16127" xr:uid="{00000000-0005-0000-0000-00008A800000}"/>
    <cellStyle name="Normal 3 3 2 2 4 4 2 2 2" xfId="29695" xr:uid="{00000000-0005-0000-0000-00008B800000}"/>
    <cellStyle name="Normal 3 3 2 2 4 4 2 2 2 2" xfId="56828" xr:uid="{00000000-0005-0000-0000-00008C800000}"/>
    <cellStyle name="Normal 3 3 2 2 4 4 2 2 3" xfId="43266" xr:uid="{00000000-0005-0000-0000-00008D800000}"/>
    <cellStyle name="Normal 3 3 2 2 4 4 2 3" xfId="22914" xr:uid="{00000000-0005-0000-0000-00008E800000}"/>
    <cellStyle name="Normal 3 3 2 2 4 4 2 3 2" xfId="50047" xr:uid="{00000000-0005-0000-0000-00008F800000}"/>
    <cellStyle name="Normal 3 3 2 2 4 4 2 4" xfId="36485" xr:uid="{00000000-0005-0000-0000-000090800000}"/>
    <cellStyle name="Normal 3 3 2 2 4 4 3" xfId="12738" xr:uid="{00000000-0005-0000-0000-000091800000}"/>
    <cellStyle name="Normal 3 3 2 2 4 4 3 2" xfId="26306" xr:uid="{00000000-0005-0000-0000-000092800000}"/>
    <cellStyle name="Normal 3 3 2 2 4 4 3 2 2" xfId="53439" xr:uid="{00000000-0005-0000-0000-000093800000}"/>
    <cellStyle name="Normal 3 3 2 2 4 4 3 3" xfId="39877" xr:uid="{00000000-0005-0000-0000-000094800000}"/>
    <cellStyle name="Normal 3 3 2 2 4 4 4" xfId="19525" xr:uid="{00000000-0005-0000-0000-000095800000}"/>
    <cellStyle name="Normal 3 3 2 2 4 4 4 2" xfId="46658" xr:uid="{00000000-0005-0000-0000-000096800000}"/>
    <cellStyle name="Normal 3 3 2 2 4 4 5" xfId="33096" xr:uid="{00000000-0005-0000-0000-000097800000}"/>
    <cellStyle name="Normal 3 3 2 2 4 5" xfId="9333" xr:uid="{00000000-0005-0000-0000-000098800000}"/>
    <cellStyle name="Normal 3 3 2 2 4 5 2" xfId="16122" xr:uid="{00000000-0005-0000-0000-000099800000}"/>
    <cellStyle name="Normal 3 3 2 2 4 5 2 2" xfId="29690" xr:uid="{00000000-0005-0000-0000-00009A800000}"/>
    <cellStyle name="Normal 3 3 2 2 4 5 2 2 2" xfId="56823" xr:uid="{00000000-0005-0000-0000-00009B800000}"/>
    <cellStyle name="Normal 3 3 2 2 4 5 2 3" xfId="43261" xr:uid="{00000000-0005-0000-0000-00009C800000}"/>
    <cellStyle name="Normal 3 3 2 2 4 5 3" xfId="22909" xr:uid="{00000000-0005-0000-0000-00009D800000}"/>
    <cellStyle name="Normal 3 3 2 2 4 5 3 2" xfId="50042" xr:uid="{00000000-0005-0000-0000-00009E800000}"/>
    <cellStyle name="Normal 3 3 2 2 4 5 4" xfId="36480" xr:uid="{00000000-0005-0000-0000-00009F800000}"/>
    <cellStyle name="Normal 3 3 2 2 4 6" xfId="12733" xr:uid="{00000000-0005-0000-0000-0000A0800000}"/>
    <cellStyle name="Normal 3 3 2 2 4 6 2" xfId="26301" xr:uid="{00000000-0005-0000-0000-0000A1800000}"/>
    <cellStyle name="Normal 3 3 2 2 4 6 2 2" xfId="53434" xr:uid="{00000000-0005-0000-0000-0000A2800000}"/>
    <cellStyle name="Normal 3 3 2 2 4 6 3" xfId="39872" xr:uid="{00000000-0005-0000-0000-0000A3800000}"/>
    <cellStyle name="Normal 3 3 2 2 4 7" xfId="19520" xr:uid="{00000000-0005-0000-0000-0000A4800000}"/>
    <cellStyle name="Normal 3 3 2 2 4 7 2" xfId="46653" xr:uid="{00000000-0005-0000-0000-0000A5800000}"/>
    <cellStyle name="Normal 3 3 2 2 4 8" xfId="33091" xr:uid="{00000000-0005-0000-0000-0000A6800000}"/>
    <cellStyle name="Normal 3 3 2 2 5" xfId="5796" xr:uid="{00000000-0005-0000-0000-0000A7800000}"/>
    <cellStyle name="Normal 3 3 2 2 5 2" xfId="5797" xr:uid="{00000000-0005-0000-0000-0000A8800000}"/>
    <cellStyle name="Normal 3 3 2 2 5 2 2" xfId="9340" xr:uid="{00000000-0005-0000-0000-0000A9800000}"/>
    <cellStyle name="Normal 3 3 2 2 5 2 2 2" xfId="16129" xr:uid="{00000000-0005-0000-0000-0000AA800000}"/>
    <cellStyle name="Normal 3 3 2 2 5 2 2 2 2" xfId="29697" xr:uid="{00000000-0005-0000-0000-0000AB800000}"/>
    <cellStyle name="Normal 3 3 2 2 5 2 2 2 2 2" xfId="56830" xr:uid="{00000000-0005-0000-0000-0000AC800000}"/>
    <cellStyle name="Normal 3 3 2 2 5 2 2 2 3" xfId="43268" xr:uid="{00000000-0005-0000-0000-0000AD800000}"/>
    <cellStyle name="Normal 3 3 2 2 5 2 2 3" xfId="22916" xr:uid="{00000000-0005-0000-0000-0000AE800000}"/>
    <cellStyle name="Normal 3 3 2 2 5 2 2 3 2" xfId="50049" xr:uid="{00000000-0005-0000-0000-0000AF800000}"/>
    <cellStyle name="Normal 3 3 2 2 5 2 2 4" xfId="36487" xr:uid="{00000000-0005-0000-0000-0000B0800000}"/>
    <cellStyle name="Normal 3 3 2 2 5 2 3" xfId="12740" xr:uid="{00000000-0005-0000-0000-0000B1800000}"/>
    <cellStyle name="Normal 3 3 2 2 5 2 3 2" xfId="26308" xr:uid="{00000000-0005-0000-0000-0000B2800000}"/>
    <cellStyle name="Normal 3 3 2 2 5 2 3 2 2" xfId="53441" xr:uid="{00000000-0005-0000-0000-0000B3800000}"/>
    <cellStyle name="Normal 3 3 2 2 5 2 3 3" xfId="39879" xr:uid="{00000000-0005-0000-0000-0000B4800000}"/>
    <cellStyle name="Normal 3 3 2 2 5 2 4" xfId="19527" xr:uid="{00000000-0005-0000-0000-0000B5800000}"/>
    <cellStyle name="Normal 3 3 2 2 5 2 4 2" xfId="46660" xr:uid="{00000000-0005-0000-0000-0000B6800000}"/>
    <cellStyle name="Normal 3 3 2 2 5 2 5" xfId="33098" xr:uid="{00000000-0005-0000-0000-0000B7800000}"/>
    <cellStyle name="Normal 3 3 2 2 5 3" xfId="5798" xr:uid="{00000000-0005-0000-0000-0000B8800000}"/>
    <cellStyle name="Normal 3 3 2 2 5 3 2" xfId="9341" xr:uid="{00000000-0005-0000-0000-0000B9800000}"/>
    <cellStyle name="Normal 3 3 2 2 5 3 2 2" xfId="16130" xr:uid="{00000000-0005-0000-0000-0000BA800000}"/>
    <cellStyle name="Normal 3 3 2 2 5 3 2 2 2" xfId="29698" xr:uid="{00000000-0005-0000-0000-0000BB800000}"/>
    <cellStyle name="Normal 3 3 2 2 5 3 2 2 2 2" xfId="56831" xr:uid="{00000000-0005-0000-0000-0000BC800000}"/>
    <cellStyle name="Normal 3 3 2 2 5 3 2 2 3" xfId="43269" xr:uid="{00000000-0005-0000-0000-0000BD800000}"/>
    <cellStyle name="Normal 3 3 2 2 5 3 2 3" xfId="22917" xr:uid="{00000000-0005-0000-0000-0000BE800000}"/>
    <cellStyle name="Normal 3 3 2 2 5 3 2 3 2" xfId="50050" xr:uid="{00000000-0005-0000-0000-0000BF800000}"/>
    <cellStyle name="Normal 3 3 2 2 5 3 2 4" xfId="36488" xr:uid="{00000000-0005-0000-0000-0000C0800000}"/>
    <cellStyle name="Normal 3 3 2 2 5 3 3" xfId="12741" xr:uid="{00000000-0005-0000-0000-0000C1800000}"/>
    <cellStyle name="Normal 3 3 2 2 5 3 3 2" xfId="26309" xr:uid="{00000000-0005-0000-0000-0000C2800000}"/>
    <cellStyle name="Normal 3 3 2 2 5 3 3 2 2" xfId="53442" xr:uid="{00000000-0005-0000-0000-0000C3800000}"/>
    <cellStyle name="Normal 3 3 2 2 5 3 3 3" xfId="39880" xr:uid="{00000000-0005-0000-0000-0000C4800000}"/>
    <cellStyle name="Normal 3 3 2 2 5 3 4" xfId="19528" xr:uid="{00000000-0005-0000-0000-0000C5800000}"/>
    <cellStyle name="Normal 3 3 2 2 5 3 4 2" xfId="46661" xr:uid="{00000000-0005-0000-0000-0000C6800000}"/>
    <cellStyle name="Normal 3 3 2 2 5 3 5" xfId="33099" xr:uid="{00000000-0005-0000-0000-0000C7800000}"/>
    <cellStyle name="Normal 3 3 2 2 5 4" xfId="9339" xr:uid="{00000000-0005-0000-0000-0000C8800000}"/>
    <cellStyle name="Normal 3 3 2 2 5 4 2" xfId="16128" xr:uid="{00000000-0005-0000-0000-0000C9800000}"/>
    <cellStyle name="Normal 3 3 2 2 5 4 2 2" xfId="29696" xr:uid="{00000000-0005-0000-0000-0000CA800000}"/>
    <cellStyle name="Normal 3 3 2 2 5 4 2 2 2" xfId="56829" xr:uid="{00000000-0005-0000-0000-0000CB800000}"/>
    <cellStyle name="Normal 3 3 2 2 5 4 2 3" xfId="43267" xr:uid="{00000000-0005-0000-0000-0000CC800000}"/>
    <cellStyle name="Normal 3 3 2 2 5 4 3" xfId="22915" xr:uid="{00000000-0005-0000-0000-0000CD800000}"/>
    <cellStyle name="Normal 3 3 2 2 5 4 3 2" xfId="50048" xr:uid="{00000000-0005-0000-0000-0000CE800000}"/>
    <cellStyle name="Normal 3 3 2 2 5 4 4" xfId="36486" xr:uid="{00000000-0005-0000-0000-0000CF800000}"/>
    <cellStyle name="Normal 3 3 2 2 5 5" xfId="12739" xr:uid="{00000000-0005-0000-0000-0000D0800000}"/>
    <cellStyle name="Normal 3 3 2 2 5 5 2" xfId="26307" xr:uid="{00000000-0005-0000-0000-0000D1800000}"/>
    <cellStyle name="Normal 3 3 2 2 5 5 2 2" xfId="53440" xr:uid="{00000000-0005-0000-0000-0000D2800000}"/>
    <cellStyle name="Normal 3 3 2 2 5 5 3" xfId="39878" xr:uid="{00000000-0005-0000-0000-0000D3800000}"/>
    <cellStyle name="Normal 3 3 2 2 5 6" xfId="19526" xr:uid="{00000000-0005-0000-0000-0000D4800000}"/>
    <cellStyle name="Normal 3 3 2 2 5 6 2" xfId="46659" xr:uid="{00000000-0005-0000-0000-0000D5800000}"/>
    <cellStyle name="Normal 3 3 2 2 5 7" xfId="33097" xr:uid="{00000000-0005-0000-0000-0000D6800000}"/>
    <cellStyle name="Normal 3 3 2 2 6" xfId="5799" xr:uid="{00000000-0005-0000-0000-0000D7800000}"/>
    <cellStyle name="Normal 3 3 2 2 6 2" xfId="5800" xr:uid="{00000000-0005-0000-0000-0000D8800000}"/>
    <cellStyle name="Normal 3 3 2 2 6 2 2" xfId="9343" xr:uid="{00000000-0005-0000-0000-0000D9800000}"/>
    <cellStyle name="Normal 3 3 2 2 6 2 2 2" xfId="16132" xr:uid="{00000000-0005-0000-0000-0000DA800000}"/>
    <cellStyle name="Normal 3 3 2 2 6 2 2 2 2" xfId="29700" xr:uid="{00000000-0005-0000-0000-0000DB800000}"/>
    <cellStyle name="Normal 3 3 2 2 6 2 2 2 2 2" xfId="56833" xr:uid="{00000000-0005-0000-0000-0000DC800000}"/>
    <cellStyle name="Normal 3 3 2 2 6 2 2 2 3" xfId="43271" xr:uid="{00000000-0005-0000-0000-0000DD800000}"/>
    <cellStyle name="Normal 3 3 2 2 6 2 2 3" xfId="22919" xr:uid="{00000000-0005-0000-0000-0000DE800000}"/>
    <cellStyle name="Normal 3 3 2 2 6 2 2 3 2" xfId="50052" xr:uid="{00000000-0005-0000-0000-0000DF800000}"/>
    <cellStyle name="Normal 3 3 2 2 6 2 2 4" xfId="36490" xr:uid="{00000000-0005-0000-0000-0000E0800000}"/>
    <cellStyle name="Normal 3 3 2 2 6 2 3" xfId="12743" xr:uid="{00000000-0005-0000-0000-0000E1800000}"/>
    <cellStyle name="Normal 3 3 2 2 6 2 3 2" xfId="26311" xr:uid="{00000000-0005-0000-0000-0000E2800000}"/>
    <cellStyle name="Normal 3 3 2 2 6 2 3 2 2" xfId="53444" xr:uid="{00000000-0005-0000-0000-0000E3800000}"/>
    <cellStyle name="Normal 3 3 2 2 6 2 3 3" xfId="39882" xr:uid="{00000000-0005-0000-0000-0000E4800000}"/>
    <cellStyle name="Normal 3 3 2 2 6 2 4" xfId="19530" xr:uid="{00000000-0005-0000-0000-0000E5800000}"/>
    <cellStyle name="Normal 3 3 2 2 6 2 4 2" xfId="46663" xr:uid="{00000000-0005-0000-0000-0000E6800000}"/>
    <cellStyle name="Normal 3 3 2 2 6 2 5" xfId="33101" xr:uid="{00000000-0005-0000-0000-0000E7800000}"/>
    <cellStyle name="Normal 3 3 2 2 6 3" xfId="5801" xr:uid="{00000000-0005-0000-0000-0000E8800000}"/>
    <cellStyle name="Normal 3 3 2 2 6 3 2" xfId="9344" xr:uid="{00000000-0005-0000-0000-0000E9800000}"/>
    <cellStyle name="Normal 3 3 2 2 6 3 2 2" xfId="16133" xr:uid="{00000000-0005-0000-0000-0000EA800000}"/>
    <cellStyle name="Normal 3 3 2 2 6 3 2 2 2" xfId="29701" xr:uid="{00000000-0005-0000-0000-0000EB800000}"/>
    <cellStyle name="Normal 3 3 2 2 6 3 2 2 2 2" xfId="56834" xr:uid="{00000000-0005-0000-0000-0000EC800000}"/>
    <cellStyle name="Normal 3 3 2 2 6 3 2 2 3" xfId="43272" xr:uid="{00000000-0005-0000-0000-0000ED800000}"/>
    <cellStyle name="Normal 3 3 2 2 6 3 2 3" xfId="22920" xr:uid="{00000000-0005-0000-0000-0000EE800000}"/>
    <cellStyle name="Normal 3 3 2 2 6 3 2 3 2" xfId="50053" xr:uid="{00000000-0005-0000-0000-0000EF800000}"/>
    <cellStyle name="Normal 3 3 2 2 6 3 2 4" xfId="36491" xr:uid="{00000000-0005-0000-0000-0000F0800000}"/>
    <cellStyle name="Normal 3 3 2 2 6 3 3" xfId="12744" xr:uid="{00000000-0005-0000-0000-0000F1800000}"/>
    <cellStyle name="Normal 3 3 2 2 6 3 3 2" xfId="26312" xr:uid="{00000000-0005-0000-0000-0000F2800000}"/>
    <cellStyle name="Normal 3 3 2 2 6 3 3 2 2" xfId="53445" xr:uid="{00000000-0005-0000-0000-0000F3800000}"/>
    <cellStyle name="Normal 3 3 2 2 6 3 3 3" xfId="39883" xr:uid="{00000000-0005-0000-0000-0000F4800000}"/>
    <cellStyle name="Normal 3 3 2 2 6 3 4" xfId="19531" xr:uid="{00000000-0005-0000-0000-0000F5800000}"/>
    <cellStyle name="Normal 3 3 2 2 6 3 4 2" xfId="46664" xr:uid="{00000000-0005-0000-0000-0000F6800000}"/>
    <cellStyle name="Normal 3 3 2 2 6 3 5" xfId="33102" xr:uid="{00000000-0005-0000-0000-0000F7800000}"/>
    <cellStyle name="Normal 3 3 2 2 6 4" xfId="9342" xr:uid="{00000000-0005-0000-0000-0000F8800000}"/>
    <cellStyle name="Normal 3 3 2 2 6 4 2" xfId="16131" xr:uid="{00000000-0005-0000-0000-0000F9800000}"/>
    <cellStyle name="Normal 3 3 2 2 6 4 2 2" xfId="29699" xr:uid="{00000000-0005-0000-0000-0000FA800000}"/>
    <cellStyle name="Normal 3 3 2 2 6 4 2 2 2" xfId="56832" xr:uid="{00000000-0005-0000-0000-0000FB800000}"/>
    <cellStyle name="Normal 3 3 2 2 6 4 2 3" xfId="43270" xr:uid="{00000000-0005-0000-0000-0000FC800000}"/>
    <cellStyle name="Normal 3 3 2 2 6 4 3" xfId="22918" xr:uid="{00000000-0005-0000-0000-0000FD800000}"/>
    <cellStyle name="Normal 3 3 2 2 6 4 3 2" xfId="50051" xr:uid="{00000000-0005-0000-0000-0000FE800000}"/>
    <cellStyle name="Normal 3 3 2 2 6 4 4" xfId="36489" xr:uid="{00000000-0005-0000-0000-0000FF800000}"/>
    <cellStyle name="Normal 3 3 2 2 6 5" xfId="12742" xr:uid="{00000000-0005-0000-0000-000000810000}"/>
    <cellStyle name="Normal 3 3 2 2 6 5 2" xfId="26310" xr:uid="{00000000-0005-0000-0000-000001810000}"/>
    <cellStyle name="Normal 3 3 2 2 6 5 2 2" xfId="53443" xr:uid="{00000000-0005-0000-0000-000002810000}"/>
    <cellStyle name="Normal 3 3 2 2 6 5 3" xfId="39881" xr:uid="{00000000-0005-0000-0000-000003810000}"/>
    <cellStyle name="Normal 3 3 2 2 6 6" xfId="19529" xr:uid="{00000000-0005-0000-0000-000004810000}"/>
    <cellStyle name="Normal 3 3 2 2 6 6 2" xfId="46662" xr:uid="{00000000-0005-0000-0000-000005810000}"/>
    <cellStyle name="Normal 3 3 2 2 6 7" xfId="33100" xr:uid="{00000000-0005-0000-0000-000006810000}"/>
    <cellStyle name="Normal 3 3 2 2 7" xfId="5802" xr:uid="{00000000-0005-0000-0000-000007810000}"/>
    <cellStyle name="Normal 3 3 2 2 7 2" xfId="9345" xr:uid="{00000000-0005-0000-0000-000008810000}"/>
    <cellStyle name="Normal 3 3 2 2 7 2 2" xfId="16134" xr:uid="{00000000-0005-0000-0000-000009810000}"/>
    <cellStyle name="Normal 3 3 2 2 7 2 2 2" xfId="29702" xr:uid="{00000000-0005-0000-0000-00000A810000}"/>
    <cellStyle name="Normal 3 3 2 2 7 2 2 2 2" xfId="56835" xr:uid="{00000000-0005-0000-0000-00000B810000}"/>
    <cellStyle name="Normal 3 3 2 2 7 2 2 3" xfId="43273" xr:uid="{00000000-0005-0000-0000-00000C810000}"/>
    <cellStyle name="Normal 3 3 2 2 7 2 3" xfId="22921" xr:uid="{00000000-0005-0000-0000-00000D810000}"/>
    <cellStyle name="Normal 3 3 2 2 7 2 3 2" xfId="50054" xr:uid="{00000000-0005-0000-0000-00000E810000}"/>
    <cellStyle name="Normal 3 3 2 2 7 2 4" xfId="36492" xr:uid="{00000000-0005-0000-0000-00000F810000}"/>
    <cellStyle name="Normal 3 3 2 2 7 3" xfId="12745" xr:uid="{00000000-0005-0000-0000-000010810000}"/>
    <cellStyle name="Normal 3 3 2 2 7 3 2" xfId="26313" xr:uid="{00000000-0005-0000-0000-000011810000}"/>
    <cellStyle name="Normal 3 3 2 2 7 3 2 2" xfId="53446" xr:uid="{00000000-0005-0000-0000-000012810000}"/>
    <cellStyle name="Normal 3 3 2 2 7 3 3" xfId="39884" xr:uid="{00000000-0005-0000-0000-000013810000}"/>
    <cellStyle name="Normal 3 3 2 2 7 4" xfId="19532" xr:uid="{00000000-0005-0000-0000-000014810000}"/>
    <cellStyle name="Normal 3 3 2 2 7 4 2" xfId="46665" xr:uid="{00000000-0005-0000-0000-000015810000}"/>
    <cellStyle name="Normal 3 3 2 2 7 5" xfId="33103" xr:uid="{00000000-0005-0000-0000-000016810000}"/>
    <cellStyle name="Normal 3 3 2 2 8" xfId="5803" xr:uid="{00000000-0005-0000-0000-000017810000}"/>
    <cellStyle name="Normal 3 3 2 2 8 2" xfId="9346" xr:uid="{00000000-0005-0000-0000-000018810000}"/>
    <cellStyle name="Normal 3 3 2 2 8 2 2" xfId="16135" xr:uid="{00000000-0005-0000-0000-000019810000}"/>
    <cellStyle name="Normal 3 3 2 2 8 2 2 2" xfId="29703" xr:uid="{00000000-0005-0000-0000-00001A810000}"/>
    <cellStyle name="Normal 3 3 2 2 8 2 2 2 2" xfId="56836" xr:uid="{00000000-0005-0000-0000-00001B810000}"/>
    <cellStyle name="Normal 3 3 2 2 8 2 2 3" xfId="43274" xr:uid="{00000000-0005-0000-0000-00001C810000}"/>
    <cellStyle name="Normal 3 3 2 2 8 2 3" xfId="22922" xr:uid="{00000000-0005-0000-0000-00001D810000}"/>
    <cellStyle name="Normal 3 3 2 2 8 2 3 2" xfId="50055" xr:uid="{00000000-0005-0000-0000-00001E810000}"/>
    <cellStyle name="Normal 3 3 2 2 8 2 4" xfId="36493" xr:uid="{00000000-0005-0000-0000-00001F810000}"/>
    <cellStyle name="Normal 3 3 2 2 8 3" xfId="12746" xr:uid="{00000000-0005-0000-0000-000020810000}"/>
    <cellStyle name="Normal 3 3 2 2 8 3 2" xfId="26314" xr:uid="{00000000-0005-0000-0000-000021810000}"/>
    <cellStyle name="Normal 3 3 2 2 8 3 2 2" xfId="53447" xr:uid="{00000000-0005-0000-0000-000022810000}"/>
    <cellStyle name="Normal 3 3 2 2 8 3 3" xfId="39885" xr:uid="{00000000-0005-0000-0000-000023810000}"/>
    <cellStyle name="Normal 3 3 2 2 8 4" xfId="19533" xr:uid="{00000000-0005-0000-0000-000024810000}"/>
    <cellStyle name="Normal 3 3 2 2 8 4 2" xfId="46666" xr:uid="{00000000-0005-0000-0000-000025810000}"/>
    <cellStyle name="Normal 3 3 2 2 8 5" xfId="33104" xr:uid="{00000000-0005-0000-0000-000026810000}"/>
    <cellStyle name="Normal 3 3 2 2 9" xfId="7497" xr:uid="{00000000-0005-0000-0000-000027810000}"/>
    <cellStyle name="Normal 3 3 2 2 9 2" xfId="14286" xr:uid="{00000000-0005-0000-0000-000028810000}"/>
    <cellStyle name="Normal 3 3 2 2 9 2 2" xfId="27854" xr:uid="{00000000-0005-0000-0000-000029810000}"/>
    <cellStyle name="Normal 3 3 2 2 9 2 2 2" xfId="54987" xr:uid="{00000000-0005-0000-0000-00002A810000}"/>
    <cellStyle name="Normal 3 3 2 2 9 2 3" xfId="41425" xr:uid="{00000000-0005-0000-0000-00002B810000}"/>
    <cellStyle name="Normal 3 3 2 2 9 3" xfId="21073" xr:uid="{00000000-0005-0000-0000-00002C810000}"/>
    <cellStyle name="Normal 3 3 2 2 9 3 2" xfId="48206" xr:uid="{00000000-0005-0000-0000-00002D810000}"/>
    <cellStyle name="Normal 3 3 2 2 9 4" xfId="34644" xr:uid="{00000000-0005-0000-0000-00002E810000}"/>
    <cellStyle name="Normal 3 3 2 3" xfId="5804" xr:uid="{00000000-0005-0000-0000-00002F810000}"/>
    <cellStyle name="Normal 3 3 2 3 10" xfId="33105" xr:uid="{00000000-0005-0000-0000-000030810000}"/>
    <cellStyle name="Normal 3 3 2 3 2" xfId="5805" xr:uid="{00000000-0005-0000-0000-000031810000}"/>
    <cellStyle name="Normal 3 3 2 3 2 2" xfId="5806" xr:uid="{00000000-0005-0000-0000-000032810000}"/>
    <cellStyle name="Normal 3 3 2 3 2 2 2" xfId="5807" xr:uid="{00000000-0005-0000-0000-000033810000}"/>
    <cellStyle name="Normal 3 3 2 3 2 2 2 2" xfId="9350" xr:uid="{00000000-0005-0000-0000-000034810000}"/>
    <cellStyle name="Normal 3 3 2 3 2 2 2 2 2" xfId="16139" xr:uid="{00000000-0005-0000-0000-000035810000}"/>
    <cellStyle name="Normal 3 3 2 3 2 2 2 2 2 2" xfId="29707" xr:uid="{00000000-0005-0000-0000-000036810000}"/>
    <cellStyle name="Normal 3 3 2 3 2 2 2 2 2 2 2" xfId="56840" xr:uid="{00000000-0005-0000-0000-000037810000}"/>
    <cellStyle name="Normal 3 3 2 3 2 2 2 2 2 3" xfId="43278" xr:uid="{00000000-0005-0000-0000-000038810000}"/>
    <cellStyle name="Normal 3 3 2 3 2 2 2 2 3" xfId="22926" xr:uid="{00000000-0005-0000-0000-000039810000}"/>
    <cellStyle name="Normal 3 3 2 3 2 2 2 2 3 2" xfId="50059" xr:uid="{00000000-0005-0000-0000-00003A810000}"/>
    <cellStyle name="Normal 3 3 2 3 2 2 2 2 4" xfId="36497" xr:uid="{00000000-0005-0000-0000-00003B810000}"/>
    <cellStyle name="Normal 3 3 2 3 2 2 2 3" xfId="12750" xr:uid="{00000000-0005-0000-0000-00003C810000}"/>
    <cellStyle name="Normal 3 3 2 3 2 2 2 3 2" xfId="26318" xr:uid="{00000000-0005-0000-0000-00003D810000}"/>
    <cellStyle name="Normal 3 3 2 3 2 2 2 3 2 2" xfId="53451" xr:uid="{00000000-0005-0000-0000-00003E810000}"/>
    <cellStyle name="Normal 3 3 2 3 2 2 2 3 3" xfId="39889" xr:uid="{00000000-0005-0000-0000-00003F810000}"/>
    <cellStyle name="Normal 3 3 2 3 2 2 2 4" xfId="19537" xr:uid="{00000000-0005-0000-0000-000040810000}"/>
    <cellStyle name="Normal 3 3 2 3 2 2 2 4 2" xfId="46670" xr:uid="{00000000-0005-0000-0000-000041810000}"/>
    <cellStyle name="Normal 3 3 2 3 2 2 2 5" xfId="33108" xr:uid="{00000000-0005-0000-0000-000042810000}"/>
    <cellStyle name="Normal 3 3 2 3 2 2 3" xfId="5808" xr:uid="{00000000-0005-0000-0000-000043810000}"/>
    <cellStyle name="Normal 3 3 2 3 2 2 3 2" xfId="9351" xr:uid="{00000000-0005-0000-0000-000044810000}"/>
    <cellStyle name="Normal 3 3 2 3 2 2 3 2 2" xfId="16140" xr:uid="{00000000-0005-0000-0000-000045810000}"/>
    <cellStyle name="Normal 3 3 2 3 2 2 3 2 2 2" xfId="29708" xr:uid="{00000000-0005-0000-0000-000046810000}"/>
    <cellStyle name="Normal 3 3 2 3 2 2 3 2 2 2 2" xfId="56841" xr:uid="{00000000-0005-0000-0000-000047810000}"/>
    <cellStyle name="Normal 3 3 2 3 2 2 3 2 2 3" xfId="43279" xr:uid="{00000000-0005-0000-0000-000048810000}"/>
    <cellStyle name="Normal 3 3 2 3 2 2 3 2 3" xfId="22927" xr:uid="{00000000-0005-0000-0000-000049810000}"/>
    <cellStyle name="Normal 3 3 2 3 2 2 3 2 3 2" xfId="50060" xr:uid="{00000000-0005-0000-0000-00004A810000}"/>
    <cellStyle name="Normal 3 3 2 3 2 2 3 2 4" xfId="36498" xr:uid="{00000000-0005-0000-0000-00004B810000}"/>
    <cellStyle name="Normal 3 3 2 3 2 2 3 3" xfId="12751" xr:uid="{00000000-0005-0000-0000-00004C810000}"/>
    <cellStyle name="Normal 3 3 2 3 2 2 3 3 2" xfId="26319" xr:uid="{00000000-0005-0000-0000-00004D810000}"/>
    <cellStyle name="Normal 3 3 2 3 2 2 3 3 2 2" xfId="53452" xr:uid="{00000000-0005-0000-0000-00004E810000}"/>
    <cellStyle name="Normal 3 3 2 3 2 2 3 3 3" xfId="39890" xr:uid="{00000000-0005-0000-0000-00004F810000}"/>
    <cellStyle name="Normal 3 3 2 3 2 2 3 4" xfId="19538" xr:uid="{00000000-0005-0000-0000-000050810000}"/>
    <cellStyle name="Normal 3 3 2 3 2 2 3 4 2" xfId="46671" xr:uid="{00000000-0005-0000-0000-000051810000}"/>
    <cellStyle name="Normal 3 3 2 3 2 2 3 5" xfId="33109" xr:uid="{00000000-0005-0000-0000-000052810000}"/>
    <cellStyle name="Normal 3 3 2 3 2 2 4" xfId="9349" xr:uid="{00000000-0005-0000-0000-000053810000}"/>
    <cellStyle name="Normal 3 3 2 3 2 2 4 2" xfId="16138" xr:uid="{00000000-0005-0000-0000-000054810000}"/>
    <cellStyle name="Normal 3 3 2 3 2 2 4 2 2" xfId="29706" xr:uid="{00000000-0005-0000-0000-000055810000}"/>
    <cellStyle name="Normal 3 3 2 3 2 2 4 2 2 2" xfId="56839" xr:uid="{00000000-0005-0000-0000-000056810000}"/>
    <cellStyle name="Normal 3 3 2 3 2 2 4 2 3" xfId="43277" xr:uid="{00000000-0005-0000-0000-000057810000}"/>
    <cellStyle name="Normal 3 3 2 3 2 2 4 3" xfId="22925" xr:uid="{00000000-0005-0000-0000-000058810000}"/>
    <cellStyle name="Normal 3 3 2 3 2 2 4 3 2" xfId="50058" xr:uid="{00000000-0005-0000-0000-000059810000}"/>
    <cellStyle name="Normal 3 3 2 3 2 2 4 4" xfId="36496" xr:uid="{00000000-0005-0000-0000-00005A810000}"/>
    <cellStyle name="Normal 3 3 2 3 2 2 5" xfId="12749" xr:uid="{00000000-0005-0000-0000-00005B810000}"/>
    <cellStyle name="Normal 3 3 2 3 2 2 5 2" xfId="26317" xr:uid="{00000000-0005-0000-0000-00005C810000}"/>
    <cellStyle name="Normal 3 3 2 3 2 2 5 2 2" xfId="53450" xr:uid="{00000000-0005-0000-0000-00005D810000}"/>
    <cellStyle name="Normal 3 3 2 3 2 2 5 3" xfId="39888" xr:uid="{00000000-0005-0000-0000-00005E810000}"/>
    <cellStyle name="Normal 3 3 2 3 2 2 6" xfId="19536" xr:uid="{00000000-0005-0000-0000-00005F810000}"/>
    <cellStyle name="Normal 3 3 2 3 2 2 6 2" xfId="46669" xr:uid="{00000000-0005-0000-0000-000060810000}"/>
    <cellStyle name="Normal 3 3 2 3 2 2 7" xfId="33107" xr:uid="{00000000-0005-0000-0000-000061810000}"/>
    <cellStyle name="Normal 3 3 2 3 2 3" xfId="5809" xr:uid="{00000000-0005-0000-0000-000062810000}"/>
    <cellStyle name="Normal 3 3 2 3 2 3 2" xfId="5810" xr:uid="{00000000-0005-0000-0000-000063810000}"/>
    <cellStyle name="Normal 3 3 2 3 2 3 2 2" xfId="9353" xr:uid="{00000000-0005-0000-0000-000064810000}"/>
    <cellStyle name="Normal 3 3 2 3 2 3 2 2 2" xfId="16142" xr:uid="{00000000-0005-0000-0000-000065810000}"/>
    <cellStyle name="Normal 3 3 2 3 2 3 2 2 2 2" xfId="29710" xr:uid="{00000000-0005-0000-0000-000066810000}"/>
    <cellStyle name="Normal 3 3 2 3 2 3 2 2 2 2 2" xfId="56843" xr:uid="{00000000-0005-0000-0000-000067810000}"/>
    <cellStyle name="Normal 3 3 2 3 2 3 2 2 2 3" xfId="43281" xr:uid="{00000000-0005-0000-0000-000068810000}"/>
    <cellStyle name="Normal 3 3 2 3 2 3 2 2 3" xfId="22929" xr:uid="{00000000-0005-0000-0000-000069810000}"/>
    <cellStyle name="Normal 3 3 2 3 2 3 2 2 3 2" xfId="50062" xr:uid="{00000000-0005-0000-0000-00006A810000}"/>
    <cellStyle name="Normal 3 3 2 3 2 3 2 2 4" xfId="36500" xr:uid="{00000000-0005-0000-0000-00006B810000}"/>
    <cellStyle name="Normal 3 3 2 3 2 3 2 3" xfId="12753" xr:uid="{00000000-0005-0000-0000-00006C810000}"/>
    <cellStyle name="Normal 3 3 2 3 2 3 2 3 2" xfId="26321" xr:uid="{00000000-0005-0000-0000-00006D810000}"/>
    <cellStyle name="Normal 3 3 2 3 2 3 2 3 2 2" xfId="53454" xr:uid="{00000000-0005-0000-0000-00006E810000}"/>
    <cellStyle name="Normal 3 3 2 3 2 3 2 3 3" xfId="39892" xr:uid="{00000000-0005-0000-0000-00006F810000}"/>
    <cellStyle name="Normal 3 3 2 3 2 3 2 4" xfId="19540" xr:uid="{00000000-0005-0000-0000-000070810000}"/>
    <cellStyle name="Normal 3 3 2 3 2 3 2 4 2" xfId="46673" xr:uid="{00000000-0005-0000-0000-000071810000}"/>
    <cellStyle name="Normal 3 3 2 3 2 3 2 5" xfId="33111" xr:uid="{00000000-0005-0000-0000-000072810000}"/>
    <cellStyle name="Normal 3 3 2 3 2 3 3" xfId="9352" xr:uid="{00000000-0005-0000-0000-000073810000}"/>
    <cellStyle name="Normal 3 3 2 3 2 3 3 2" xfId="16141" xr:uid="{00000000-0005-0000-0000-000074810000}"/>
    <cellStyle name="Normal 3 3 2 3 2 3 3 2 2" xfId="29709" xr:uid="{00000000-0005-0000-0000-000075810000}"/>
    <cellStyle name="Normal 3 3 2 3 2 3 3 2 2 2" xfId="56842" xr:uid="{00000000-0005-0000-0000-000076810000}"/>
    <cellStyle name="Normal 3 3 2 3 2 3 3 2 3" xfId="43280" xr:uid="{00000000-0005-0000-0000-000077810000}"/>
    <cellStyle name="Normal 3 3 2 3 2 3 3 3" xfId="22928" xr:uid="{00000000-0005-0000-0000-000078810000}"/>
    <cellStyle name="Normal 3 3 2 3 2 3 3 3 2" xfId="50061" xr:uid="{00000000-0005-0000-0000-000079810000}"/>
    <cellStyle name="Normal 3 3 2 3 2 3 3 4" xfId="36499" xr:uid="{00000000-0005-0000-0000-00007A810000}"/>
    <cellStyle name="Normal 3 3 2 3 2 3 4" xfId="12752" xr:uid="{00000000-0005-0000-0000-00007B810000}"/>
    <cellStyle name="Normal 3 3 2 3 2 3 4 2" xfId="26320" xr:uid="{00000000-0005-0000-0000-00007C810000}"/>
    <cellStyle name="Normal 3 3 2 3 2 3 4 2 2" xfId="53453" xr:uid="{00000000-0005-0000-0000-00007D810000}"/>
    <cellStyle name="Normal 3 3 2 3 2 3 4 3" xfId="39891" xr:uid="{00000000-0005-0000-0000-00007E810000}"/>
    <cellStyle name="Normal 3 3 2 3 2 3 5" xfId="19539" xr:uid="{00000000-0005-0000-0000-00007F810000}"/>
    <cellStyle name="Normal 3 3 2 3 2 3 5 2" xfId="46672" xr:uid="{00000000-0005-0000-0000-000080810000}"/>
    <cellStyle name="Normal 3 3 2 3 2 3 6" xfId="33110" xr:uid="{00000000-0005-0000-0000-000081810000}"/>
    <cellStyle name="Normal 3 3 2 3 2 4" xfId="5811" xr:uid="{00000000-0005-0000-0000-000082810000}"/>
    <cellStyle name="Normal 3 3 2 3 2 4 2" xfId="9354" xr:uid="{00000000-0005-0000-0000-000083810000}"/>
    <cellStyle name="Normal 3 3 2 3 2 4 2 2" xfId="16143" xr:uid="{00000000-0005-0000-0000-000084810000}"/>
    <cellStyle name="Normal 3 3 2 3 2 4 2 2 2" xfId="29711" xr:uid="{00000000-0005-0000-0000-000085810000}"/>
    <cellStyle name="Normal 3 3 2 3 2 4 2 2 2 2" xfId="56844" xr:uid="{00000000-0005-0000-0000-000086810000}"/>
    <cellStyle name="Normal 3 3 2 3 2 4 2 2 3" xfId="43282" xr:uid="{00000000-0005-0000-0000-000087810000}"/>
    <cellStyle name="Normal 3 3 2 3 2 4 2 3" xfId="22930" xr:uid="{00000000-0005-0000-0000-000088810000}"/>
    <cellStyle name="Normal 3 3 2 3 2 4 2 3 2" xfId="50063" xr:uid="{00000000-0005-0000-0000-000089810000}"/>
    <cellStyle name="Normal 3 3 2 3 2 4 2 4" xfId="36501" xr:uid="{00000000-0005-0000-0000-00008A810000}"/>
    <cellStyle name="Normal 3 3 2 3 2 4 3" xfId="12754" xr:uid="{00000000-0005-0000-0000-00008B810000}"/>
    <cellStyle name="Normal 3 3 2 3 2 4 3 2" xfId="26322" xr:uid="{00000000-0005-0000-0000-00008C810000}"/>
    <cellStyle name="Normal 3 3 2 3 2 4 3 2 2" xfId="53455" xr:uid="{00000000-0005-0000-0000-00008D810000}"/>
    <cellStyle name="Normal 3 3 2 3 2 4 3 3" xfId="39893" xr:uid="{00000000-0005-0000-0000-00008E810000}"/>
    <cellStyle name="Normal 3 3 2 3 2 4 4" xfId="19541" xr:uid="{00000000-0005-0000-0000-00008F810000}"/>
    <cellStyle name="Normal 3 3 2 3 2 4 4 2" xfId="46674" xr:uid="{00000000-0005-0000-0000-000090810000}"/>
    <cellStyle name="Normal 3 3 2 3 2 4 5" xfId="33112" xr:uid="{00000000-0005-0000-0000-000091810000}"/>
    <cellStyle name="Normal 3 3 2 3 2 5" xfId="5812" xr:uid="{00000000-0005-0000-0000-000092810000}"/>
    <cellStyle name="Normal 3 3 2 3 2 5 2" xfId="9355" xr:uid="{00000000-0005-0000-0000-000093810000}"/>
    <cellStyle name="Normal 3 3 2 3 2 5 2 2" xfId="16144" xr:uid="{00000000-0005-0000-0000-000094810000}"/>
    <cellStyle name="Normal 3 3 2 3 2 5 2 2 2" xfId="29712" xr:uid="{00000000-0005-0000-0000-000095810000}"/>
    <cellStyle name="Normal 3 3 2 3 2 5 2 2 2 2" xfId="56845" xr:uid="{00000000-0005-0000-0000-000096810000}"/>
    <cellStyle name="Normal 3 3 2 3 2 5 2 2 3" xfId="43283" xr:uid="{00000000-0005-0000-0000-000097810000}"/>
    <cellStyle name="Normal 3 3 2 3 2 5 2 3" xfId="22931" xr:uid="{00000000-0005-0000-0000-000098810000}"/>
    <cellStyle name="Normal 3 3 2 3 2 5 2 3 2" xfId="50064" xr:uid="{00000000-0005-0000-0000-000099810000}"/>
    <cellStyle name="Normal 3 3 2 3 2 5 2 4" xfId="36502" xr:uid="{00000000-0005-0000-0000-00009A810000}"/>
    <cellStyle name="Normal 3 3 2 3 2 5 3" xfId="12755" xr:uid="{00000000-0005-0000-0000-00009B810000}"/>
    <cellStyle name="Normal 3 3 2 3 2 5 3 2" xfId="26323" xr:uid="{00000000-0005-0000-0000-00009C810000}"/>
    <cellStyle name="Normal 3 3 2 3 2 5 3 2 2" xfId="53456" xr:uid="{00000000-0005-0000-0000-00009D810000}"/>
    <cellStyle name="Normal 3 3 2 3 2 5 3 3" xfId="39894" xr:uid="{00000000-0005-0000-0000-00009E810000}"/>
    <cellStyle name="Normal 3 3 2 3 2 5 4" xfId="19542" xr:uid="{00000000-0005-0000-0000-00009F810000}"/>
    <cellStyle name="Normal 3 3 2 3 2 5 4 2" xfId="46675" xr:uid="{00000000-0005-0000-0000-0000A0810000}"/>
    <cellStyle name="Normal 3 3 2 3 2 5 5" xfId="33113" xr:uid="{00000000-0005-0000-0000-0000A1810000}"/>
    <cellStyle name="Normal 3 3 2 3 2 6" xfId="9348" xr:uid="{00000000-0005-0000-0000-0000A2810000}"/>
    <cellStyle name="Normal 3 3 2 3 2 6 2" xfId="16137" xr:uid="{00000000-0005-0000-0000-0000A3810000}"/>
    <cellStyle name="Normal 3 3 2 3 2 6 2 2" xfId="29705" xr:uid="{00000000-0005-0000-0000-0000A4810000}"/>
    <cellStyle name="Normal 3 3 2 3 2 6 2 2 2" xfId="56838" xr:uid="{00000000-0005-0000-0000-0000A5810000}"/>
    <cellStyle name="Normal 3 3 2 3 2 6 2 3" xfId="43276" xr:uid="{00000000-0005-0000-0000-0000A6810000}"/>
    <cellStyle name="Normal 3 3 2 3 2 6 3" xfId="22924" xr:uid="{00000000-0005-0000-0000-0000A7810000}"/>
    <cellStyle name="Normal 3 3 2 3 2 6 3 2" xfId="50057" xr:uid="{00000000-0005-0000-0000-0000A8810000}"/>
    <cellStyle name="Normal 3 3 2 3 2 6 4" xfId="36495" xr:uid="{00000000-0005-0000-0000-0000A9810000}"/>
    <cellStyle name="Normal 3 3 2 3 2 7" xfId="12748" xr:uid="{00000000-0005-0000-0000-0000AA810000}"/>
    <cellStyle name="Normal 3 3 2 3 2 7 2" xfId="26316" xr:uid="{00000000-0005-0000-0000-0000AB810000}"/>
    <cellStyle name="Normal 3 3 2 3 2 7 2 2" xfId="53449" xr:uid="{00000000-0005-0000-0000-0000AC810000}"/>
    <cellStyle name="Normal 3 3 2 3 2 7 3" xfId="39887" xr:uid="{00000000-0005-0000-0000-0000AD810000}"/>
    <cellStyle name="Normal 3 3 2 3 2 8" xfId="19535" xr:uid="{00000000-0005-0000-0000-0000AE810000}"/>
    <cellStyle name="Normal 3 3 2 3 2 8 2" xfId="46668" xr:uid="{00000000-0005-0000-0000-0000AF810000}"/>
    <cellStyle name="Normal 3 3 2 3 2 9" xfId="33106" xr:uid="{00000000-0005-0000-0000-0000B0810000}"/>
    <cellStyle name="Normal 3 3 2 3 3" xfId="5813" xr:uid="{00000000-0005-0000-0000-0000B1810000}"/>
    <cellStyle name="Normal 3 3 2 3 3 2" xfId="5814" xr:uid="{00000000-0005-0000-0000-0000B2810000}"/>
    <cellStyle name="Normal 3 3 2 3 3 2 2" xfId="9357" xr:uid="{00000000-0005-0000-0000-0000B3810000}"/>
    <cellStyle name="Normal 3 3 2 3 3 2 2 2" xfId="16146" xr:uid="{00000000-0005-0000-0000-0000B4810000}"/>
    <cellStyle name="Normal 3 3 2 3 3 2 2 2 2" xfId="29714" xr:uid="{00000000-0005-0000-0000-0000B5810000}"/>
    <cellStyle name="Normal 3 3 2 3 3 2 2 2 2 2" xfId="56847" xr:uid="{00000000-0005-0000-0000-0000B6810000}"/>
    <cellStyle name="Normal 3 3 2 3 3 2 2 2 3" xfId="43285" xr:uid="{00000000-0005-0000-0000-0000B7810000}"/>
    <cellStyle name="Normal 3 3 2 3 3 2 2 3" xfId="22933" xr:uid="{00000000-0005-0000-0000-0000B8810000}"/>
    <cellStyle name="Normal 3 3 2 3 3 2 2 3 2" xfId="50066" xr:uid="{00000000-0005-0000-0000-0000B9810000}"/>
    <cellStyle name="Normal 3 3 2 3 3 2 2 4" xfId="36504" xr:uid="{00000000-0005-0000-0000-0000BA810000}"/>
    <cellStyle name="Normal 3 3 2 3 3 2 3" xfId="12757" xr:uid="{00000000-0005-0000-0000-0000BB810000}"/>
    <cellStyle name="Normal 3 3 2 3 3 2 3 2" xfId="26325" xr:uid="{00000000-0005-0000-0000-0000BC810000}"/>
    <cellStyle name="Normal 3 3 2 3 3 2 3 2 2" xfId="53458" xr:uid="{00000000-0005-0000-0000-0000BD810000}"/>
    <cellStyle name="Normal 3 3 2 3 3 2 3 3" xfId="39896" xr:uid="{00000000-0005-0000-0000-0000BE810000}"/>
    <cellStyle name="Normal 3 3 2 3 3 2 4" xfId="19544" xr:uid="{00000000-0005-0000-0000-0000BF810000}"/>
    <cellStyle name="Normal 3 3 2 3 3 2 4 2" xfId="46677" xr:uid="{00000000-0005-0000-0000-0000C0810000}"/>
    <cellStyle name="Normal 3 3 2 3 3 2 5" xfId="33115" xr:uid="{00000000-0005-0000-0000-0000C1810000}"/>
    <cellStyle name="Normal 3 3 2 3 3 3" xfId="5815" xr:uid="{00000000-0005-0000-0000-0000C2810000}"/>
    <cellStyle name="Normal 3 3 2 3 3 3 2" xfId="9358" xr:uid="{00000000-0005-0000-0000-0000C3810000}"/>
    <cellStyle name="Normal 3 3 2 3 3 3 2 2" xfId="16147" xr:uid="{00000000-0005-0000-0000-0000C4810000}"/>
    <cellStyle name="Normal 3 3 2 3 3 3 2 2 2" xfId="29715" xr:uid="{00000000-0005-0000-0000-0000C5810000}"/>
    <cellStyle name="Normal 3 3 2 3 3 3 2 2 2 2" xfId="56848" xr:uid="{00000000-0005-0000-0000-0000C6810000}"/>
    <cellStyle name="Normal 3 3 2 3 3 3 2 2 3" xfId="43286" xr:uid="{00000000-0005-0000-0000-0000C7810000}"/>
    <cellStyle name="Normal 3 3 2 3 3 3 2 3" xfId="22934" xr:uid="{00000000-0005-0000-0000-0000C8810000}"/>
    <cellStyle name="Normal 3 3 2 3 3 3 2 3 2" xfId="50067" xr:uid="{00000000-0005-0000-0000-0000C9810000}"/>
    <cellStyle name="Normal 3 3 2 3 3 3 2 4" xfId="36505" xr:uid="{00000000-0005-0000-0000-0000CA810000}"/>
    <cellStyle name="Normal 3 3 2 3 3 3 3" xfId="12758" xr:uid="{00000000-0005-0000-0000-0000CB810000}"/>
    <cellStyle name="Normal 3 3 2 3 3 3 3 2" xfId="26326" xr:uid="{00000000-0005-0000-0000-0000CC810000}"/>
    <cellStyle name="Normal 3 3 2 3 3 3 3 2 2" xfId="53459" xr:uid="{00000000-0005-0000-0000-0000CD810000}"/>
    <cellStyle name="Normal 3 3 2 3 3 3 3 3" xfId="39897" xr:uid="{00000000-0005-0000-0000-0000CE810000}"/>
    <cellStyle name="Normal 3 3 2 3 3 3 4" xfId="19545" xr:uid="{00000000-0005-0000-0000-0000CF810000}"/>
    <cellStyle name="Normal 3 3 2 3 3 3 4 2" xfId="46678" xr:uid="{00000000-0005-0000-0000-0000D0810000}"/>
    <cellStyle name="Normal 3 3 2 3 3 3 5" xfId="33116" xr:uid="{00000000-0005-0000-0000-0000D1810000}"/>
    <cellStyle name="Normal 3 3 2 3 3 4" xfId="9356" xr:uid="{00000000-0005-0000-0000-0000D2810000}"/>
    <cellStyle name="Normal 3 3 2 3 3 4 2" xfId="16145" xr:uid="{00000000-0005-0000-0000-0000D3810000}"/>
    <cellStyle name="Normal 3 3 2 3 3 4 2 2" xfId="29713" xr:uid="{00000000-0005-0000-0000-0000D4810000}"/>
    <cellStyle name="Normal 3 3 2 3 3 4 2 2 2" xfId="56846" xr:uid="{00000000-0005-0000-0000-0000D5810000}"/>
    <cellStyle name="Normal 3 3 2 3 3 4 2 3" xfId="43284" xr:uid="{00000000-0005-0000-0000-0000D6810000}"/>
    <cellStyle name="Normal 3 3 2 3 3 4 3" xfId="22932" xr:uid="{00000000-0005-0000-0000-0000D7810000}"/>
    <cellStyle name="Normal 3 3 2 3 3 4 3 2" xfId="50065" xr:uid="{00000000-0005-0000-0000-0000D8810000}"/>
    <cellStyle name="Normal 3 3 2 3 3 4 4" xfId="36503" xr:uid="{00000000-0005-0000-0000-0000D9810000}"/>
    <cellStyle name="Normal 3 3 2 3 3 5" xfId="12756" xr:uid="{00000000-0005-0000-0000-0000DA810000}"/>
    <cellStyle name="Normal 3 3 2 3 3 5 2" xfId="26324" xr:uid="{00000000-0005-0000-0000-0000DB810000}"/>
    <cellStyle name="Normal 3 3 2 3 3 5 2 2" xfId="53457" xr:uid="{00000000-0005-0000-0000-0000DC810000}"/>
    <cellStyle name="Normal 3 3 2 3 3 5 3" xfId="39895" xr:uid="{00000000-0005-0000-0000-0000DD810000}"/>
    <cellStyle name="Normal 3 3 2 3 3 6" xfId="19543" xr:uid="{00000000-0005-0000-0000-0000DE810000}"/>
    <cellStyle name="Normal 3 3 2 3 3 6 2" xfId="46676" xr:uid="{00000000-0005-0000-0000-0000DF810000}"/>
    <cellStyle name="Normal 3 3 2 3 3 7" xfId="33114" xr:uid="{00000000-0005-0000-0000-0000E0810000}"/>
    <cellStyle name="Normal 3 3 2 3 4" xfId="5816" xr:uid="{00000000-0005-0000-0000-0000E1810000}"/>
    <cellStyle name="Normal 3 3 2 3 4 2" xfId="5817" xr:uid="{00000000-0005-0000-0000-0000E2810000}"/>
    <cellStyle name="Normal 3 3 2 3 4 2 2" xfId="9360" xr:uid="{00000000-0005-0000-0000-0000E3810000}"/>
    <cellStyle name="Normal 3 3 2 3 4 2 2 2" xfId="16149" xr:uid="{00000000-0005-0000-0000-0000E4810000}"/>
    <cellStyle name="Normal 3 3 2 3 4 2 2 2 2" xfId="29717" xr:uid="{00000000-0005-0000-0000-0000E5810000}"/>
    <cellStyle name="Normal 3 3 2 3 4 2 2 2 2 2" xfId="56850" xr:uid="{00000000-0005-0000-0000-0000E6810000}"/>
    <cellStyle name="Normal 3 3 2 3 4 2 2 2 3" xfId="43288" xr:uid="{00000000-0005-0000-0000-0000E7810000}"/>
    <cellStyle name="Normal 3 3 2 3 4 2 2 3" xfId="22936" xr:uid="{00000000-0005-0000-0000-0000E8810000}"/>
    <cellStyle name="Normal 3 3 2 3 4 2 2 3 2" xfId="50069" xr:uid="{00000000-0005-0000-0000-0000E9810000}"/>
    <cellStyle name="Normal 3 3 2 3 4 2 2 4" xfId="36507" xr:uid="{00000000-0005-0000-0000-0000EA810000}"/>
    <cellStyle name="Normal 3 3 2 3 4 2 3" xfId="12760" xr:uid="{00000000-0005-0000-0000-0000EB810000}"/>
    <cellStyle name="Normal 3 3 2 3 4 2 3 2" xfId="26328" xr:uid="{00000000-0005-0000-0000-0000EC810000}"/>
    <cellStyle name="Normal 3 3 2 3 4 2 3 2 2" xfId="53461" xr:uid="{00000000-0005-0000-0000-0000ED810000}"/>
    <cellStyle name="Normal 3 3 2 3 4 2 3 3" xfId="39899" xr:uid="{00000000-0005-0000-0000-0000EE810000}"/>
    <cellStyle name="Normal 3 3 2 3 4 2 4" xfId="19547" xr:uid="{00000000-0005-0000-0000-0000EF810000}"/>
    <cellStyle name="Normal 3 3 2 3 4 2 4 2" xfId="46680" xr:uid="{00000000-0005-0000-0000-0000F0810000}"/>
    <cellStyle name="Normal 3 3 2 3 4 2 5" xfId="33118" xr:uid="{00000000-0005-0000-0000-0000F1810000}"/>
    <cellStyle name="Normal 3 3 2 3 4 3" xfId="9359" xr:uid="{00000000-0005-0000-0000-0000F2810000}"/>
    <cellStyle name="Normal 3 3 2 3 4 3 2" xfId="16148" xr:uid="{00000000-0005-0000-0000-0000F3810000}"/>
    <cellStyle name="Normal 3 3 2 3 4 3 2 2" xfId="29716" xr:uid="{00000000-0005-0000-0000-0000F4810000}"/>
    <cellStyle name="Normal 3 3 2 3 4 3 2 2 2" xfId="56849" xr:uid="{00000000-0005-0000-0000-0000F5810000}"/>
    <cellStyle name="Normal 3 3 2 3 4 3 2 3" xfId="43287" xr:uid="{00000000-0005-0000-0000-0000F6810000}"/>
    <cellStyle name="Normal 3 3 2 3 4 3 3" xfId="22935" xr:uid="{00000000-0005-0000-0000-0000F7810000}"/>
    <cellStyle name="Normal 3 3 2 3 4 3 3 2" xfId="50068" xr:uid="{00000000-0005-0000-0000-0000F8810000}"/>
    <cellStyle name="Normal 3 3 2 3 4 3 4" xfId="36506" xr:uid="{00000000-0005-0000-0000-0000F9810000}"/>
    <cellStyle name="Normal 3 3 2 3 4 4" xfId="12759" xr:uid="{00000000-0005-0000-0000-0000FA810000}"/>
    <cellStyle name="Normal 3 3 2 3 4 4 2" xfId="26327" xr:uid="{00000000-0005-0000-0000-0000FB810000}"/>
    <cellStyle name="Normal 3 3 2 3 4 4 2 2" xfId="53460" xr:uid="{00000000-0005-0000-0000-0000FC810000}"/>
    <cellStyle name="Normal 3 3 2 3 4 4 3" xfId="39898" xr:uid="{00000000-0005-0000-0000-0000FD810000}"/>
    <cellStyle name="Normal 3 3 2 3 4 5" xfId="19546" xr:uid="{00000000-0005-0000-0000-0000FE810000}"/>
    <cellStyle name="Normal 3 3 2 3 4 5 2" xfId="46679" xr:uid="{00000000-0005-0000-0000-0000FF810000}"/>
    <cellStyle name="Normal 3 3 2 3 4 6" xfId="33117" xr:uid="{00000000-0005-0000-0000-000000820000}"/>
    <cellStyle name="Normal 3 3 2 3 5" xfId="5818" xr:uid="{00000000-0005-0000-0000-000001820000}"/>
    <cellStyle name="Normal 3 3 2 3 5 2" xfId="9361" xr:uid="{00000000-0005-0000-0000-000002820000}"/>
    <cellStyle name="Normal 3 3 2 3 5 2 2" xfId="16150" xr:uid="{00000000-0005-0000-0000-000003820000}"/>
    <cellStyle name="Normal 3 3 2 3 5 2 2 2" xfId="29718" xr:uid="{00000000-0005-0000-0000-000004820000}"/>
    <cellStyle name="Normal 3 3 2 3 5 2 2 2 2" xfId="56851" xr:uid="{00000000-0005-0000-0000-000005820000}"/>
    <cellStyle name="Normal 3 3 2 3 5 2 2 3" xfId="43289" xr:uid="{00000000-0005-0000-0000-000006820000}"/>
    <cellStyle name="Normal 3 3 2 3 5 2 3" xfId="22937" xr:uid="{00000000-0005-0000-0000-000007820000}"/>
    <cellStyle name="Normal 3 3 2 3 5 2 3 2" xfId="50070" xr:uid="{00000000-0005-0000-0000-000008820000}"/>
    <cellStyle name="Normal 3 3 2 3 5 2 4" xfId="36508" xr:uid="{00000000-0005-0000-0000-000009820000}"/>
    <cellStyle name="Normal 3 3 2 3 5 3" xfId="12761" xr:uid="{00000000-0005-0000-0000-00000A820000}"/>
    <cellStyle name="Normal 3 3 2 3 5 3 2" xfId="26329" xr:uid="{00000000-0005-0000-0000-00000B820000}"/>
    <cellStyle name="Normal 3 3 2 3 5 3 2 2" xfId="53462" xr:uid="{00000000-0005-0000-0000-00000C820000}"/>
    <cellStyle name="Normal 3 3 2 3 5 3 3" xfId="39900" xr:uid="{00000000-0005-0000-0000-00000D820000}"/>
    <cellStyle name="Normal 3 3 2 3 5 4" xfId="19548" xr:uid="{00000000-0005-0000-0000-00000E820000}"/>
    <cellStyle name="Normal 3 3 2 3 5 4 2" xfId="46681" xr:uid="{00000000-0005-0000-0000-00000F820000}"/>
    <cellStyle name="Normal 3 3 2 3 5 5" xfId="33119" xr:uid="{00000000-0005-0000-0000-000010820000}"/>
    <cellStyle name="Normal 3 3 2 3 6" xfId="5819" xr:uid="{00000000-0005-0000-0000-000011820000}"/>
    <cellStyle name="Normal 3 3 2 3 6 2" xfId="9362" xr:uid="{00000000-0005-0000-0000-000012820000}"/>
    <cellStyle name="Normal 3 3 2 3 6 2 2" xfId="16151" xr:uid="{00000000-0005-0000-0000-000013820000}"/>
    <cellStyle name="Normal 3 3 2 3 6 2 2 2" xfId="29719" xr:uid="{00000000-0005-0000-0000-000014820000}"/>
    <cellStyle name="Normal 3 3 2 3 6 2 2 2 2" xfId="56852" xr:uid="{00000000-0005-0000-0000-000015820000}"/>
    <cellStyle name="Normal 3 3 2 3 6 2 2 3" xfId="43290" xr:uid="{00000000-0005-0000-0000-000016820000}"/>
    <cellStyle name="Normal 3 3 2 3 6 2 3" xfId="22938" xr:uid="{00000000-0005-0000-0000-000017820000}"/>
    <cellStyle name="Normal 3 3 2 3 6 2 3 2" xfId="50071" xr:uid="{00000000-0005-0000-0000-000018820000}"/>
    <cellStyle name="Normal 3 3 2 3 6 2 4" xfId="36509" xr:uid="{00000000-0005-0000-0000-000019820000}"/>
    <cellStyle name="Normal 3 3 2 3 6 3" xfId="12762" xr:uid="{00000000-0005-0000-0000-00001A820000}"/>
    <cellStyle name="Normal 3 3 2 3 6 3 2" xfId="26330" xr:uid="{00000000-0005-0000-0000-00001B820000}"/>
    <cellStyle name="Normal 3 3 2 3 6 3 2 2" xfId="53463" xr:uid="{00000000-0005-0000-0000-00001C820000}"/>
    <cellStyle name="Normal 3 3 2 3 6 3 3" xfId="39901" xr:uid="{00000000-0005-0000-0000-00001D820000}"/>
    <cellStyle name="Normal 3 3 2 3 6 4" xfId="19549" xr:uid="{00000000-0005-0000-0000-00001E820000}"/>
    <cellStyle name="Normal 3 3 2 3 6 4 2" xfId="46682" xr:uid="{00000000-0005-0000-0000-00001F820000}"/>
    <cellStyle name="Normal 3 3 2 3 6 5" xfId="33120" xr:uid="{00000000-0005-0000-0000-000020820000}"/>
    <cellStyle name="Normal 3 3 2 3 7" xfId="9347" xr:uid="{00000000-0005-0000-0000-000021820000}"/>
    <cellStyle name="Normal 3 3 2 3 7 2" xfId="16136" xr:uid="{00000000-0005-0000-0000-000022820000}"/>
    <cellStyle name="Normal 3 3 2 3 7 2 2" xfId="29704" xr:uid="{00000000-0005-0000-0000-000023820000}"/>
    <cellStyle name="Normal 3 3 2 3 7 2 2 2" xfId="56837" xr:uid="{00000000-0005-0000-0000-000024820000}"/>
    <cellStyle name="Normal 3 3 2 3 7 2 3" xfId="43275" xr:uid="{00000000-0005-0000-0000-000025820000}"/>
    <cellStyle name="Normal 3 3 2 3 7 3" xfId="22923" xr:uid="{00000000-0005-0000-0000-000026820000}"/>
    <cellStyle name="Normal 3 3 2 3 7 3 2" xfId="50056" xr:uid="{00000000-0005-0000-0000-000027820000}"/>
    <cellStyle name="Normal 3 3 2 3 7 4" xfId="36494" xr:uid="{00000000-0005-0000-0000-000028820000}"/>
    <cellStyle name="Normal 3 3 2 3 8" xfId="12747" xr:uid="{00000000-0005-0000-0000-000029820000}"/>
    <cellStyle name="Normal 3 3 2 3 8 2" xfId="26315" xr:uid="{00000000-0005-0000-0000-00002A820000}"/>
    <cellStyle name="Normal 3 3 2 3 8 2 2" xfId="53448" xr:uid="{00000000-0005-0000-0000-00002B820000}"/>
    <cellStyle name="Normal 3 3 2 3 8 3" xfId="39886" xr:uid="{00000000-0005-0000-0000-00002C820000}"/>
    <cellStyle name="Normal 3 3 2 3 9" xfId="19534" xr:uid="{00000000-0005-0000-0000-00002D820000}"/>
    <cellStyle name="Normal 3 3 2 3 9 2" xfId="46667" xr:uid="{00000000-0005-0000-0000-00002E820000}"/>
    <cellStyle name="Normal 3 3 2 4" xfId="5820" xr:uid="{00000000-0005-0000-0000-00002F820000}"/>
    <cellStyle name="Normal 3 3 2 4 2" xfId="5821" xr:uid="{00000000-0005-0000-0000-000030820000}"/>
    <cellStyle name="Normal 3 3 2 4 2 2" xfId="5822" xr:uid="{00000000-0005-0000-0000-000031820000}"/>
    <cellStyle name="Normal 3 3 2 4 2 2 2" xfId="9365" xr:uid="{00000000-0005-0000-0000-000032820000}"/>
    <cellStyle name="Normal 3 3 2 4 2 2 2 2" xfId="16154" xr:uid="{00000000-0005-0000-0000-000033820000}"/>
    <cellStyle name="Normal 3 3 2 4 2 2 2 2 2" xfId="29722" xr:uid="{00000000-0005-0000-0000-000034820000}"/>
    <cellStyle name="Normal 3 3 2 4 2 2 2 2 2 2" xfId="56855" xr:uid="{00000000-0005-0000-0000-000035820000}"/>
    <cellStyle name="Normal 3 3 2 4 2 2 2 2 3" xfId="43293" xr:uid="{00000000-0005-0000-0000-000036820000}"/>
    <cellStyle name="Normal 3 3 2 4 2 2 2 3" xfId="22941" xr:uid="{00000000-0005-0000-0000-000037820000}"/>
    <cellStyle name="Normal 3 3 2 4 2 2 2 3 2" xfId="50074" xr:uid="{00000000-0005-0000-0000-000038820000}"/>
    <cellStyle name="Normal 3 3 2 4 2 2 2 4" xfId="36512" xr:uid="{00000000-0005-0000-0000-000039820000}"/>
    <cellStyle name="Normal 3 3 2 4 2 2 3" xfId="12765" xr:uid="{00000000-0005-0000-0000-00003A820000}"/>
    <cellStyle name="Normal 3 3 2 4 2 2 3 2" xfId="26333" xr:uid="{00000000-0005-0000-0000-00003B820000}"/>
    <cellStyle name="Normal 3 3 2 4 2 2 3 2 2" xfId="53466" xr:uid="{00000000-0005-0000-0000-00003C820000}"/>
    <cellStyle name="Normal 3 3 2 4 2 2 3 3" xfId="39904" xr:uid="{00000000-0005-0000-0000-00003D820000}"/>
    <cellStyle name="Normal 3 3 2 4 2 2 4" xfId="19552" xr:uid="{00000000-0005-0000-0000-00003E820000}"/>
    <cellStyle name="Normal 3 3 2 4 2 2 4 2" xfId="46685" xr:uid="{00000000-0005-0000-0000-00003F820000}"/>
    <cellStyle name="Normal 3 3 2 4 2 2 5" xfId="33123" xr:uid="{00000000-0005-0000-0000-000040820000}"/>
    <cellStyle name="Normal 3 3 2 4 2 3" xfId="5823" xr:uid="{00000000-0005-0000-0000-000041820000}"/>
    <cellStyle name="Normal 3 3 2 4 2 3 2" xfId="9366" xr:uid="{00000000-0005-0000-0000-000042820000}"/>
    <cellStyle name="Normal 3 3 2 4 2 3 2 2" xfId="16155" xr:uid="{00000000-0005-0000-0000-000043820000}"/>
    <cellStyle name="Normal 3 3 2 4 2 3 2 2 2" xfId="29723" xr:uid="{00000000-0005-0000-0000-000044820000}"/>
    <cellStyle name="Normal 3 3 2 4 2 3 2 2 2 2" xfId="56856" xr:uid="{00000000-0005-0000-0000-000045820000}"/>
    <cellStyle name="Normal 3 3 2 4 2 3 2 2 3" xfId="43294" xr:uid="{00000000-0005-0000-0000-000046820000}"/>
    <cellStyle name="Normal 3 3 2 4 2 3 2 3" xfId="22942" xr:uid="{00000000-0005-0000-0000-000047820000}"/>
    <cellStyle name="Normal 3 3 2 4 2 3 2 3 2" xfId="50075" xr:uid="{00000000-0005-0000-0000-000048820000}"/>
    <cellStyle name="Normal 3 3 2 4 2 3 2 4" xfId="36513" xr:uid="{00000000-0005-0000-0000-000049820000}"/>
    <cellStyle name="Normal 3 3 2 4 2 3 3" xfId="12766" xr:uid="{00000000-0005-0000-0000-00004A820000}"/>
    <cellStyle name="Normal 3 3 2 4 2 3 3 2" xfId="26334" xr:uid="{00000000-0005-0000-0000-00004B820000}"/>
    <cellStyle name="Normal 3 3 2 4 2 3 3 2 2" xfId="53467" xr:uid="{00000000-0005-0000-0000-00004C820000}"/>
    <cellStyle name="Normal 3 3 2 4 2 3 3 3" xfId="39905" xr:uid="{00000000-0005-0000-0000-00004D820000}"/>
    <cellStyle name="Normal 3 3 2 4 2 3 4" xfId="19553" xr:uid="{00000000-0005-0000-0000-00004E820000}"/>
    <cellStyle name="Normal 3 3 2 4 2 3 4 2" xfId="46686" xr:uid="{00000000-0005-0000-0000-00004F820000}"/>
    <cellStyle name="Normal 3 3 2 4 2 3 5" xfId="33124" xr:uid="{00000000-0005-0000-0000-000050820000}"/>
    <cellStyle name="Normal 3 3 2 4 2 4" xfId="9364" xr:uid="{00000000-0005-0000-0000-000051820000}"/>
    <cellStyle name="Normal 3 3 2 4 2 4 2" xfId="16153" xr:uid="{00000000-0005-0000-0000-000052820000}"/>
    <cellStyle name="Normal 3 3 2 4 2 4 2 2" xfId="29721" xr:uid="{00000000-0005-0000-0000-000053820000}"/>
    <cellStyle name="Normal 3 3 2 4 2 4 2 2 2" xfId="56854" xr:uid="{00000000-0005-0000-0000-000054820000}"/>
    <cellStyle name="Normal 3 3 2 4 2 4 2 3" xfId="43292" xr:uid="{00000000-0005-0000-0000-000055820000}"/>
    <cellStyle name="Normal 3 3 2 4 2 4 3" xfId="22940" xr:uid="{00000000-0005-0000-0000-000056820000}"/>
    <cellStyle name="Normal 3 3 2 4 2 4 3 2" xfId="50073" xr:uid="{00000000-0005-0000-0000-000057820000}"/>
    <cellStyle name="Normal 3 3 2 4 2 4 4" xfId="36511" xr:uid="{00000000-0005-0000-0000-000058820000}"/>
    <cellStyle name="Normal 3 3 2 4 2 5" xfId="12764" xr:uid="{00000000-0005-0000-0000-000059820000}"/>
    <cellStyle name="Normal 3 3 2 4 2 5 2" xfId="26332" xr:uid="{00000000-0005-0000-0000-00005A820000}"/>
    <cellStyle name="Normal 3 3 2 4 2 5 2 2" xfId="53465" xr:uid="{00000000-0005-0000-0000-00005B820000}"/>
    <cellStyle name="Normal 3 3 2 4 2 5 3" xfId="39903" xr:uid="{00000000-0005-0000-0000-00005C820000}"/>
    <cellStyle name="Normal 3 3 2 4 2 6" xfId="19551" xr:uid="{00000000-0005-0000-0000-00005D820000}"/>
    <cellStyle name="Normal 3 3 2 4 2 6 2" xfId="46684" xr:uid="{00000000-0005-0000-0000-00005E820000}"/>
    <cellStyle name="Normal 3 3 2 4 2 7" xfId="33122" xr:uid="{00000000-0005-0000-0000-00005F820000}"/>
    <cellStyle name="Normal 3 3 2 4 3" xfId="5824" xr:uid="{00000000-0005-0000-0000-000060820000}"/>
    <cellStyle name="Normal 3 3 2 4 3 2" xfId="5825" xr:uid="{00000000-0005-0000-0000-000061820000}"/>
    <cellStyle name="Normal 3 3 2 4 3 2 2" xfId="9368" xr:uid="{00000000-0005-0000-0000-000062820000}"/>
    <cellStyle name="Normal 3 3 2 4 3 2 2 2" xfId="16157" xr:uid="{00000000-0005-0000-0000-000063820000}"/>
    <cellStyle name="Normal 3 3 2 4 3 2 2 2 2" xfId="29725" xr:uid="{00000000-0005-0000-0000-000064820000}"/>
    <cellStyle name="Normal 3 3 2 4 3 2 2 2 2 2" xfId="56858" xr:uid="{00000000-0005-0000-0000-000065820000}"/>
    <cellStyle name="Normal 3 3 2 4 3 2 2 2 3" xfId="43296" xr:uid="{00000000-0005-0000-0000-000066820000}"/>
    <cellStyle name="Normal 3 3 2 4 3 2 2 3" xfId="22944" xr:uid="{00000000-0005-0000-0000-000067820000}"/>
    <cellStyle name="Normal 3 3 2 4 3 2 2 3 2" xfId="50077" xr:uid="{00000000-0005-0000-0000-000068820000}"/>
    <cellStyle name="Normal 3 3 2 4 3 2 2 4" xfId="36515" xr:uid="{00000000-0005-0000-0000-000069820000}"/>
    <cellStyle name="Normal 3 3 2 4 3 2 3" xfId="12768" xr:uid="{00000000-0005-0000-0000-00006A820000}"/>
    <cellStyle name="Normal 3 3 2 4 3 2 3 2" xfId="26336" xr:uid="{00000000-0005-0000-0000-00006B820000}"/>
    <cellStyle name="Normal 3 3 2 4 3 2 3 2 2" xfId="53469" xr:uid="{00000000-0005-0000-0000-00006C820000}"/>
    <cellStyle name="Normal 3 3 2 4 3 2 3 3" xfId="39907" xr:uid="{00000000-0005-0000-0000-00006D820000}"/>
    <cellStyle name="Normal 3 3 2 4 3 2 4" xfId="19555" xr:uid="{00000000-0005-0000-0000-00006E820000}"/>
    <cellStyle name="Normal 3 3 2 4 3 2 4 2" xfId="46688" xr:uid="{00000000-0005-0000-0000-00006F820000}"/>
    <cellStyle name="Normal 3 3 2 4 3 2 5" xfId="33126" xr:uid="{00000000-0005-0000-0000-000070820000}"/>
    <cellStyle name="Normal 3 3 2 4 3 3" xfId="9367" xr:uid="{00000000-0005-0000-0000-000071820000}"/>
    <cellStyle name="Normal 3 3 2 4 3 3 2" xfId="16156" xr:uid="{00000000-0005-0000-0000-000072820000}"/>
    <cellStyle name="Normal 3 3 2 4 3 3 2 2" xfId="29724" xr:uid="{00000000-0005-0000-0000-000073820000}"/>
    <cellStyle name="Normal 3 3 2 4 3 3 2 2 2" xfId="56857" xr:uid="{00000000-0005-0000-0000-000074820000}"/>
    <cellStyle name="Normal 3 3 2 4 3 3 2 3" xfId="43295" xr:uid="{00000000-0005-0000-0000-000075820000}"/>
    <cellStyle name="Normal 3 3 2 4 3 3 3" xfId="22943" xr:uid="{00000000-0005-0000-0000-000076820000}"/>
    <cellStyle name="Normal 3 3 2 4 3 3 3 2" xfId="50076" xr:uid="{00000000-0005-0000-0000-000077820000}"/>
    <cellStyle name="Normal 3 3 2 4 3 3 4" xfId="36514" xr:uid="{00000000-0005-0000-0000-000078820000}"/>
    <cellStyle name="Normal 3 3 2 4 3 4" xfId="12767" xr:uid="{00000000-0005-0000-0000-000079820000}"/>
    <cellStyle name="Normal 3 3 2 4 3 4 2" xfId="26335" xr:uid="{00000000-0005-0000-0000-00007A820000}"/>
    <cellStyle name="Normal 3 3 2 4 3 4 2 2" xfId="53468" xr:uid="{00000000-0005-0000-0000-00007B820000}"/>
    <cellStyle name="Normal 3 3 2 4 3 4 3" xfId="39906" xr:uid="{00000000-0005-0000-0000-00007C820000}"/>
    <cellStyle name="Normal 3 3 2 4 3 5" xfId="19554" xr:uid="{00000000-0005-0000-0000-00007D820000}"/>
    <cellStyle name="Normal 3 3 2 4 3 5 2" xfId="46687" xr:uid="{00000000-0005-0000-0000-00007E820000}"/>
    <cellStyle name="Normal 3 3 2 4 3 6" xfId="33125" xr:uid="{00000000-0005-0000-0000-00007F820000}"/>
    <cellStyle name="Normal 3 3 2 4 4" xfId="5826" xr:uid="{00000000-0005-0000-0000-000080820000}"/>
    <cellStyle name="Normal 3 3 2 4 4 2" xfId="9369" xr:uid="{00000000-0005-0000-0000-000081820000}"/>
    <cellStyle name="Normal 3 3 2 4 4 2 2" xfId="16158" xr:uid="{00000000-0005-0000-0000-000082820000}"/>
    <cellStyle name="Normal 3 3 2 4 4 2 2 2" xfId="29726" xr:uid="{00000000-0005-0000-0000-000083820000}"/>
    <cellStyle name="Normal 3 3 2 4 4 2 2 2 2" xfId="56859" xr:uid="{00000000-0005-0000-0000-000084820000}"/>
    <cellStyle name="Normal 3 3 2 4 4 2 2 3" xfId="43297" xr:uid="{00000000-0005-0000-0000-000085820000}"/>
    <cellStyle name="Normal 3 3 2 4 4 2 3" xfId="22945" xr:uid="{00000000-0005-0000-0000-000086820000}"/>
    <cellStyle name="Normal 3 3 2 4 4 2 3 2" xfId="50078" xr:uid="{00000000-0005-0000-0000-000087820000}"/>
    <cellStyle name="Normal 3 3 2 4 4 2 4" xfId="36516" xr:uid="{00000000-0005-0000-0000-000088820000}"/>
    <cellStyle name="Normal 3 3 2 4 4 3" xfId="12769" xr:uid="{00000000-0005-0000-0000-000089820000}"/>
    <cellStyle name="Normal 3 3 2 4 4 3 2" xfId="26337" xr:uid="{00000000-0005-0000-0000-00008A820000}"/>
    <cellStyle name="Normal 3 3 2 4 4 3 2 2" xfId="53470" xr:uid="{00000000-0005-0000-0000-00008B820000}"/>
    <cellStyle name="Normal 3 3 2 4 4 3 3" xfId="39908" xr:uid="{00000000-0005-0000-0000-00008C820000}"/>
    <cellStyle name="Normal 3 3 2 4 4 4" xfId="19556" xr:uid="{00000000-0005-0000-0000-00008D820000}"/>
    <cellStyle name="Normal 3 3 2 4 4 4 2" xfId="46689" xr:uid="{00000000-0005-0000-0000-00008E820000}"/>
    <cellStyle name="Normal 3 3 2 4 4 5" xfId="33127" xr:uid="{00000000-0005-0000-0000-00008F820000}"/>
    <cellStyle name="Normal 3 3 2 4 5" xfId="5827" xr:uid="{00000000-0005-0000-0000-000090820000}"/>
    <cellStyle name="Normal 3 3 2 4 5 2" xfId="9370" xr:uid="{00000000-0005-0000-0000-000091820000}"/>
    <cellStyle name="Normal 3 3 2 4 5 2 2" xfId="16159" xr:uid="{00000000-0005-0000-0000-000092820000}"/>
    <cellStyle name="Normal 3 3 2 4 5 2 2 2" xfId="29727" xr:uid="{00000000-0005-0000-0000-000093820000}"/>
    <cellStyle name="Normal 3 3 2 4 5 2 2 2 2" xfId="56860" xr:uid="{00000000-0005-0000-0000-000094820000}"/>
    <cellStyle name="Normal 3 3 2 4 5 2 2 3" xfId="43298" xr:uid="{00000000-0005-0000-0000-000095820000}"/>
    <cellStyle name="Normal 3 3 2 4 5 2 3" xfId="22946" xr:uid="{00000000-0005-0000-0000-000096820000}"/>
    <cellStyle name="Normal 3 3 2 4 5 2 3 2" xfId="50079" xr:uid="{00000000-0005-0000-0000-000097820000}"/>
    <cellStyle name="Normal 3 3 2 4 5 2 4" xfId="36517" xr:uid="{00000000-0005-0000-0000-000098820000}"/>
    <cellStyle name="Normal 3 3 2 4 5 3" xfId="12770" xr:uid="{00000000-0005-0000-0000-000099820000}"/>
    <cellStyle name="Normal 3 3 2 4 5 3 2" xfId="26338" xr:uid="{00000000-0005-0000-0000-00009A820000}"/>
    <cellStyle name="Normal 3 3 2 4 5 3 2 2" xfId="53471" xr:uid="{00000000-0005-0000-0000-00009B820000}"/>
    <cellStyle name="Normal 3 3 2 4 5 3 3" xfId="39909" xr:uid="{00000000-0005-0000-0000-00009C820000}"/>
    <cellStyle name="Normal 3 3 2 4 5 4" xfId="19557" xr:uid="{00000000-0005-0000-0000-00009D820000}"/>
    <cellStyle name="Normal 3 3 2 4 5 4 2" xfId="46690" xr:uid="{00000000-0005-0000-0000-00009E820000}"/>
    <cellStyle name="Normal 3 3 2 4 5 5" xfId="33128" xr:uid="{00000000-0005-0000-0000-00009F820000}"/>
    <cellStyle name="Normal 3 3 2 4 6" xfId="9363" xr:uid="{00000000-0005-0000-0000-0000A0820000}"/>
    <cellStyle name="Normal 3 3 2 4 6 2" xfId="16152" xr:uid="{00000000-0005-0000-0000-0000A1820000}"/>
    <cellStyle name="Normal 3 3 2 4 6 2 2" xfId="29720" xr:uid="{00000000-0005-0000-0000-0000A2820000}"/>
    <cellStyle name="Normal 3 3 2 4 6 2 2 2" xfId="56853" xr:uid="{00000000-0005-0000-0000-0000A3820000}"/>
    <cellStyle name="Normal 3 3 2 4 6 2 3" xfId="43291" xr:uid="{00000000-0005-0000-0000-0000A4820000}"/>
    <cellStyle name="Normal 3 3 2 4 6 3" xfId="22939" xr:uid="{00000000-0005-0000-0000-0000A5820000}"/>
    <cellStyle name="Normal 3 3 2 4 6 3 2" xfId="50072" xr:uid="{00000000-0005-0000-0000-0000A6820000}"/>
    <cellStyle name="Normal 3 3 2 4 6 4" xfId="36510" xr:uid="{00000000-0005-0000-0000-0000A7820000}"/>
    <cellStyle name="Normal 3 3 2 4 7" xfId="12763" xr:uid="{00000000-0005-0000-0000-0000A8820000}"/>
    <cellStyle name="Normal 3 3 2 4 7 2" xfId="26331" xr:uid="{00000000-0005-0000-0000-0000A9820000}"/>
    <cellStyle name="Normal 3 3 2 4 7 2 2" xfId="53464" xr:uid="{00000000-0005-0000-0000-0000AA820000}"/>
    <cellStyle name="Normal 3 3 2 4 7 3" xfId="39902" xr:uid="{00000000-0005-0000-0000-0000AB820000}"/>
    <cellStyle name="Normal 3 3 2 4 8" xfId="19550" xr:uid="{00000000-0005-0000-0000-0000AC820000}"/>
    <cellStyle name="Normal 3 3 2 4 8 2" xfId="46683" xr:uid="{00000000-0005-0000-0000-0000AD820000}"/>
    <cellStyle name="Normal 3 3 2 4 9" xfId="33121" xr:uid="{00000000-0005-0000-0000-0000AE820000}"/>
    <cellStyle name="Normal 3 3 2 5" xfId="5828" xr:uid="{00000000-0005-0000-0000-0000AF820000}"/>
    <cellStyle name="Normal 3 3 2 5 2" xfId="5829" xr:uid="{00000000-0005-0000-0000-0000B0820000}"/>
    <cellStyle name="Normal 3 3 2 5 2 2" xfId="5830" xr:uid="{00000000-0005-0000-0000-0000B1820000}"/>
    <cellStyle name="Normal 3 3 2 5 2 2 2" xfId="9373" xr:uid="{00000000-0005-0000-0000-0000B2820000}"/>
    <cellStyle name="Normal 3 3 2 5 2 2 2 2" xfId="16162" xr:uid="{00000000-0005-0000-0000-0000B3820000}"/>
    <cellStyle name="Normal 3 3 2 5 2 2 2 2 2" xfId="29730" xr:uid="{00000000-0005-0000-0000-0000B4820000}"/>
    <cellStyle name="Normal 3 3 2 5 2 2 2 2 2 2" xfId="56863" xr:uid="{00000000-0005-0000-0000-0000B5820000}"/>
    <cellStyle name="Normal 3 3 2 5 2 2 2 2 3" xfId="43301" xr:uid="{00000000-0005-0000-0000-0000B6820000}"/>
    <cellStyle name="Normal 3 3 2 5 2 2 2 3" xfId="22949" xr:uid="{00000000-0005-0000-0000-0000B7820000}"/>
    <cellStyle name="Normal 3 3 2 5 2 2 2 3 2" xfId="50082" xr:uid="{00000000-0005-0000-0000-0000B8820000}"/>
    <cellStyle name="Normal 3 3 2 5 2 2 2 4" xfId="36520" xr:uid="{00000000-0005-0000-0000-0000B9820000}"/>
    <cellStyle name="Normal 3 3 2 5 2 2 3" xfId="12773" xr:uid="{00000000-0005-0000-0000-0000BA820000}"/>
    <cellStyle name="Normal 3 3 2 5 2 2 3 2" xfId="26341" xr:uid="{00000000-0005-0000-0000-0000BB820000}"/>
    <cellStyle name="Normal 3 3 2 5 2 2 3 2 2" xfId="53474" xr:uid="{00000000-0005-0000-0000-0000BC820000}"/>
    <cellStyle name="Normal 3 3 2 5 2 2 3 3" xfId="39912" xr:uid="{00000000-0005-0000-0000-0000BD820000}"/>
    <cellStyle name="Normal 3 3 2 5 2 2 4" xfId="19560" xr:uid="{00000000-0005-0000-0000-0000BE820000}"/>
    <cellStyle name="Normal 3 3 2 5 2 2 4 2" xfId="46693" xr:uid="{00000000-0005-0000-0000-0000BF820000}"/>
    <cellStyle name="Normal 3 3 2 5 2 2 5" xfId="33131" xr:uid="{00000000-0005-0000-0000-0000C0820000}"/>
    <cellStyle name="Normal 3 3 2 5 2 3" xfId="5831" xr:uid="{00000000-0005-0000-0000-0000C1820000}"/>
    <cellStyle name="Normal 3 3 2 5 2 3 2" xfId="9374" xr:uid="{00000000-0005-0000-0000-0000C2820000}"/>
    <cellStyle name="Normal 3 3 2 5 2 3 2 2" xfId="16163" xr:uid="{00000000-0005-0000-0000-0000C3820000}"/>
    <cellStyle name="Normal 3 3 2 5 2 3 2 2 2" xfId="29731" xr:uid="{00000000-0005-0000-0000-0000C4820000}"/>
    <cellStyle name="Normal 3 3 2 5 2 3 2 2 2 2" xfId="56864" xr:uid="{00000000-0005-0000-0000-0000C5820000}"/>
    <cellStyle name="Normal 3 3 2 5 2 3 2 2 3" xfId="43302" xr:uid="{00000000-0005-0000-0000-0000C6820000}"/>
    <cellStyle name="Normal 3 3 2 5 2 3 2 3" xfId="22950" xr:uid="{00000000-0005-0000-0000-0000C7820000}"/>
    <cellStyle name="Normal 3 3 2 5 2 3 2 3 2" xfId="50083" xr:uid="{00000000-0005-0000-0000-0000C8820000}"/>
    <cellStyle name="Normal 3 3 2 5 2 3 2 4" xfId="36521" xr:uid="{00000000-0005-0000-0000-0000C9820000}"/>
    <cellStyle name="Normal 3 3 2 5 2 3 3" xfId="12774" xr:uid="{00000000-0005-0000-0000-0000CA820000}"/>
    <cellStyle name="Normal 3 3 2 5 2 3 3 2" xfId="26342" xr:uid="{00000000-0005-0000-0000-0000CB820000}"/>
    <cellStyle name="Normal 3 3 2 5 2 3 3 2 2" xfId="53475" xr:uid="{00000000-0005-0000-0000-0000CC820000}"/>
    <cellStyle name="Normal 3 3 2 5 2 3 3 3" xfId="39913" xr:uid="{00000000-0005-0000-0000-0000CD820000}"/>
    <cellStyle name="Normal 3 3 2 5 2 3 4" xfId="19561" xr:uid="{00000000-0005-0000-0000-0000CE820000}"/>
    <cellStyle name="Normal 3 3 2 5 2 3 4 2" xfId="46694" xr:uid="{00000000-0005-0000-0000-0000CF820000}"/>
    <cellStyle name="Normal 3 3 2 5 2 3 5" xfId="33132" xr:uid="{00000000-0005-0000-0000-0000D0820000}"/>
    <cellStyle name="Normal 3 3 2 5 2 4" xfId="9372" xr:uid="{00000000-0005-0000-0000-0000D1820000}"/>
    <cellStyle name="Normal 3 3 2 5 2 4 2" xfId="16161" xr:uid="{00000000-0005-0000-0000-0000D2820000}"/>
    <cellStyle name="Normal 3 3 2 5 2 4 2 2" xfId="29729" xr:uid="{00000000-0005-0000-0000-0000D3820000}"/>
    <cellStyle name="Normal 3 3 2 5 2 4 2 2 2" xfId="56862" xr:uid="{00000000-0005-0000-0000-0000D4820000}"/>
    <cellStyle name="Normal 3 3 2 5 2 4 2 3" xfId="43300" xr:uid="{00000000-0005-0000-0000-0000D5820000}"/>
    <cellStyle name="Normal 3 3 2 5 2 4 3" xfId="22948" xr:uid="{00000000-0005-0000-0000-0000D6820000}"/>
    <cellStyle name="Normal 3 3 2 5 2 4 3 2" xfId="50081" xr:uid="{00000000-0005-0000-0000-0000D7820000}"/>
    <cellStyle name="Normal 3 3 2 5 2 4 4" xfId="36519" xr:uid="{00000000-0005-0000-0000-0000D8820000}"/>
    <cellStyle name="Normal 3 3 2 5 2 5" xfId="12772" xr:uid="{00000000-0005-0000-0000-0000D9820000}"/>
    <cellStyle name="Normal 3 3 2 5 2 5 2" xfId="26340" xr:uid="{00000000-0005-0000-0000-0000DA820000}"/>
    <cellStyle name="Normal 3 3 2 5 2 5 2 2" xfId="53473" xr:uid="{00000000-0005-0000-0000-0000DB820000}"/>
    <cellStyle name="Normal 3 3 2 5 2 5 3" xfId="39911" xr:uid="{00000000-0005-0000-0000-0000DC820000}"/>
    <cellStyle name="Normal 3 3 2 5 2 6" xfId="19559" xr:uid="{00000000-0005-0000-0000-0000DD820000}"/>
    <cellStyle name="Normal 3 3 2 5 2 6 2" xfId="46692" xr:uid="{00000000-0005-0000-0000-0000DE820000}"/>
    <cellStyle name="Normal 3 3 2 5 2 7" xfId="33130" xr:uid="{00000000-0005-0000-0000-0000DF820000}"/>
    <cellStyle name="Normal 3 3 2 5 3" xfId="5832" xr:uid="{00000000-0005-0000-0000-0000E0820000}"/>
    <cellStyle name="Normal 3 3 2 5 3 2" xfId="9375" xr:uid="{00000000-0005-0000-0000-0000E1820000}"/>
    <cellStyle name="Normal 3 3 2 5 3 2 2" xfId="16164" xr:uid="{00000000-0005-0000-0000-0000E2820000}"/>
    <cellStyle name="Normal 3 3 2 5 3 2 2 2" xfId="29732" xr:uid="{00000000-0005-0000-0000-0000E3820000}"/>
    <cellStyle name="Normal 3 3 2 5 3 2 2 2 2" xfId="56865" xr:uid="{00000000-0005-0000-0000-0000E4820000}"/>
    <cellStyle name="Normal 3 3 2 5 3 2 2 3" xfId="43303" xr:uid="{00000000-0005-0000-0000-0000E5820000}"/>
    <cellStyle name="Normal 3 3 2 5 3 2 3" xfId="22951" xr:uid="{00000000-0005-0000-0000-0000E6820000}"/>
    <cellStyle name="Normal 3 3 2 5 3 2 3 2" xfId="50084" xr:uid="{00000000-0005-0000-0000-0000E7820000}"/>
    <cellStyle name="Normal 3 3 2 5 3 2 4" xfId="36522" xr:uid="{00000000-0005-0000-0000-0000E8820000}"/>
    <cellStyle name="Normal 3 3 2 5 3 3" xfId="12775" xr:uid="{00000000-0005-0000-0000-0000E9820000}"/>
    <cellStyle name="Normal 3 3 2 5 3 3 2" xfId="26343" xr:uid="{00000000-0005-0000-0000-0000EA820000}"/>
    <cellStyle name="Normal 3 3 2 5 3 3 2 2" xfId="53476" xr:uid="{00000000-0005-0000-0000-0000EB820000}"/>
    <cellStyle name="Normal 3 3 2 5 3 3 3" xfId="39914" xr:uid="{00000000-0005-0000-0000-0000EC820000}"/>
    <cellStyle name="Normal 3 3 2 5 3 4" xfId="19562" xr:uid="{00000000-0005-0000-0000-0000ED820000}"/>
    <cellStyle name="Normal 3 3 2 5 3 4 2" xfId="46695" xr:uid="{00000000-0005-0000-0000-0000EE820000}"/>
    <cellStyle name="Normal 3 3 2 5 3 5" xfId="33133" xr:uid="{00000000-0005-0000-0000-0000EF820000}"/>
    <cellStyle name="Normal 3 3 2 5 4" xfId="5833" xr:uid="{00000000-0005-0000-0000-0000F0820000}"/>
    <cellStyle name="Normal 3 3 2 5 4 2" xfId="9376" xr:uid="{00000000-0005-0000-0000-0000F1820000}"/>
    <cellStyle name="Normal 3 3 2 5 4 2 2" xfId="16165" xr:uid="{00000000-0005-0000-0000-0000F2820000}"/>
    <cellStyle name="Normal 3 3 2 5 4 2 2 2" xfId="29733" xr:uid="{00000000-0005-0000-0000-0000F3820000}"/>
    <cellStyle name="Normal 3 3 2 5 4 2 2 2 2" xfId="56866" xr:uid="{00000000-0005-0000-0000-0000F4820000}"/>
    <cellStyle name="Normal 3 3 2 5 4 2 2 3" xfId="43304" xr:uid="{00000000-0005-0000-0000-0000F5820000}"/>
    <cellStyle name="Normal 3 3 2 5 4 2 3" xfId="22952" xr:uid="{00000000-0005-0000-0000-0000F6820000}"/>
    <cellStyle name="Normal 3 3 2 5 4 2 3 2" xfId="50085" xr:uid="{00000000-0005-0000-0000-0000F7820000}"/>
    <cellStyle name="Normal 3 3 2 5 4 2 4" xfId="36523" xr:uid="{00000000-0005-0000-0000-0000F8820000}"/>
    <cellStyle name="Normal 3 3 2 5 4 3" xfId="12776" xr:uid="{00000000-0005-0000-0000-0000F9820000}"/>
    <cellStyle name="Normal 3 3 2 5 4 3 2" xfId="26344" xr:uid="{00000000-0005-0000-0000-0000FA820000}"/>
    <cellStyle name="Normal 3 3 2 5 4 3 2 2" xfId="53477" xr:uid="{00000000-0005-0000-0000-0000FB820000}"/>
    <cellStyle name="Normal 3 3 2 5 4 3 3" xfId="39915" xr:uid="{00000000-0005-0000-0000-0000FC820000}"/>
    <cellStyle name="Normal 3 3 2 5 4 4" xfId="19563" xr:uid="{00000000-0005-0000-0000-0000FD820000}"/>
    <cellStyle name="Normal 3 3 2 5 4 4 2" xfId="46696" xr:uid="{00000000-0005-0000-0000-0000FE820000}"/>
    <cellStyle name="Normal 3 3 2 5 4 5" xfId="33134" xr:uid="{00000000-0005-0000-0000-0000FF820000}"/>
    <cellStyle name="Normal 3 3 2 5 5" xfId="9371" xr:uid="{00000000-0005-0000-0000-000000830000}"/>
    <cellStyle name="Normal 3 3 2 5 5 2" xfId="16160" xr:uid="{00000000-0005-0000-0000-000001830000}"/>
    <cellStyle name="Normal 3 3 2 5 5 2 2" xfId="29728" xr:uid="{00000000-0005-0000-0000-000002830000}"/>
    <cellStyle name="Normal 3 3 2 5 5 2 2 2" xfId="56861" xr:uid="{00000000-0005-0000-0000-000003830000}"/>
    <cellStyle name="Normal 3 3 2 5 5 2 3" xfId="43299" xr:uid="{00000000-0005-0000-0000-000004830000}"/>
    <cellStyle name="Normal 3 3 2 5 5 3" xfId="22947" xr:uid="{00000000-0005-0000-0000-000005830000}"/>
    <cellStyle name="Normal 3 3 2 5 5 3 2" xfId="50080" xr:uid="{00000000-0005-0000-0000-000006830000}"/>
    <cellStyle name="Normal 3 3 2 5 5 4" xfId="36518" xr:uid="{00000000-0005-0000-0000-000007830000}"/>
    <cellStyle name="Normal 3 3 2 5 6" xfId="12771" xr:uid="{00000000-0005-0000-0000-000008830000}"/>
    <cellStyle name="Normal 3 3 2 5 6 2" xfId="26339" xr:uid="{00000000-0005-0000-0000-000009830000}"/>
    <cellStyle name="Normal 3 3 2 5 6 2 2" xfId="53472" xr:uid="{00000000-0005-0000-0000-00000A830000}"/>
    <cellStyle name="Normal 3 3 2 5 6 3" xfId="39910" xr:uid="{00000000-0005-0000-0000-00000B830000}"/>
    <cellStyle name="Normal 3 3 2 5 7" xfId="19558" xr:uid="{00000000-0005-0000-0000-00000C830000}"/>
    <cellStyle name="Normal 3 3 2 5 7 2" xfId="46691" xr:uid="{00000000-0005-0000-0000-00000D830000}"/>
    <cellStyle name="Normal 3 3 2 5 8" xfId="33129" xr:uid="{00000000-0005-0000-0000-00000E830000}"/>
    <cellStyle name="Normal 3 3 2 6" xfId="5834" xr:uid="{00000000-0005-0000-0000-00000F830000}"/>
    <cellStyle name="Normal 3 3 2 6 2" xfId="5835" xr:uid="{00000000-0005-0000-0000-000010830000}"/>
    <cellStyle name="Normal 3 3 2 6 2 2" xfId="5836" xr:uid="{00000000-0005-0000-0000-000011830000}"/>
    <cellStyle name="Normal 3 3 2 6 2 2 2" xfId="9379" xr:uid="{00000000-0005-0000-0000-000012830000}"/>
    <cellStyle name="Normal 3 3 2 6 2 2 2 2" xfId="16168" xr:uid="{00000000-0005-0000-0000-000013830000}"/>
    <cellStyle name="Normal 3 3 2 6 2 2 2 2 2" xfId="29736" xr:uid="{00000000-0005-0000-0000-000014830000}"/>
    <cellStyle name="Normal 3 3 2 6 2 2 2 2 2 2" xfId="56869" xr:uid="{00000000-0005-0000-0000-000015830000}"/>
    <cellStyle name="Normal 3 3 2 6 2 2 2 2 3" xfId="43307" xr:uid="{00000000-0005-0000-0000-000016830000}"/>
    <cellStyle name="Normal 3 3 2 6 2 2 2 3" xfId="22955" xr:uid="{00000000-0005-0000-0000-000017830000}"/>
    <cellStyle name="Normal 3 3 2 6 2 2 2 3 2" xfId="50088" xr:uid="{00000000-0005-0000-0000-000018830000}"/>
    <cellStyle name="Normal 3 3 2 6 2 2 2 4" xfId="36526" xr:uid="{00000000-0005-0000-0000-000019830000}"/>
    <cellStyle name="Normal 3 3 2 6 2 2 3" xfId="12779" xr:uid="{00000000-0005-0000-0000-00001A830000}"/>
    <cellStyle name="Normal 3 3 2 6 2 2 3 2" xfId="26347" xr:uid="{00000000-0005-0000-0000-00001B830000}"/>
    <cellStyle name="Normal 3 3 2 6 2 2 3 2 2" xfId="53480" xr:uid="{00000000-0005-0000-0000-00001C830000}"/>
    <cellStyle name="Normal 3 3 2 6 2 2 3 3" xfId="39918" xr:uid="{00000000-0005-0000-0000-00001D830000}"/>
    <cellStyle name="Normal 3 3 2 6 2 2 4" xfId="19566" xr:uid="{00000000-0005-0000-0000-00001E830000}"/>
    <cellStyle name="Normal 3 3 2 6 2 2 4 2" xfId="46699" xr:uid="{00000000-0005-0000-0000-00001F830000}"/>
    <cellStyle name="Normal 3 3 2 6 2 2 5" xfId="33137" xr:uid="{00000000-0005-0000-0000-000020830000}"/>
    <cellStyle name="Normal 3 3 2 6 2 3" xfId="5837" xr:uid="{00000000-0005-0000-0000-000021830000}"/>
    <cellStyle name="Normal 3 3 2 6 2 3 2" xfId="9380" xr:uid="{00000000-0005-0000-0000-000022830000}"/>
    <cellStyle name="Normal 3 3 2 6 2 3 2 2" xfId="16169" xr:uid="{00000000-0005-0000-0000-000023830000}"/>
    <cellStyle name="Normal 3 3 2 6 2 3 2 2 2" xfId="29737" xr:uid="{00000000-0005-0000-0000-000024830000}"/>
    <cellStyle name="Normal 3 3 2 6 2 3 2 2 2 2" xfId="56870" xr:uid="{00000000-0005-0000-0000-000025830000}"/>
    <cellStyle name="Normal 3 3 2 6 2 3 2 2 3" xfId="43308" xr:uid="{00000000-0005-0000-0000-000026830000}"/>
    <cellStyle name="Normal 3 3 2 6 2 3 2 3" xfId="22956" xr:uid="{00000000-0005-0000-0000-000027830000}"/>
    <cellStyle name="Normal 3 3 2 6 2 3 2 3 2" xfId="50089" xr:uid="{00000000-0005-0000-0000-000028830000}"/>
    <cellStyle name="Normal 3 3 2 6 2 3 2 4" xfId="36527" xr:uid="{00000000-0005-0000-0000-000029830000}"/>
    <cellStyle name="Normal 3 3 2 6 2 3 3" xfId="12780" xr:uid="{00000000-0005-0000-0000-00002A830000}"/>
    <cellStyle name="Normal 3 3 2 6 2 3 3 2" xfId="26348" xr:uid="{00000000-0005-0000-0000-00002B830000}"/>
    <cellStyle name="Normal 3 3 2 6 2 3 3 2 2" xfId="53481" xr:uid="{00000000-0005-0000-0000-00002C830000}"/>
    <cellStyle name="Normal 3 3 2 6 2 3 3 3" xfId="39919" xr:uid="{00000000-0005-0000-0000-00002D830000}"/>
    <cellStyle name="Normal 3 3 2 6 2 3 4" xfId="19567" xr:uid="{00000000-0005-0000-0000-00002E830000}"/>
    <cellStyle name="Normal 3 3 2 6 2 3 4 2" xfId="46700" xr:uid="{00000000-0005-0000-0000-00002F830000}"/>
    <cellStyle name="Normal 3 3 2 6 2 3 5" xfId="33138" xr:uid="{00000000-0005-0000-0000-000030830000}"/>
    <cellStyle name="Normal 3 3 2 6 2 4" xfId="9378" xr:uid="{00000000-0005-0000-0000-000031830000}"/>
    <cellStyle name="Normal 3 3 2 6 2 4 2" xfId="16167" xr:uid="{00000000-0005-0000-0000-000032830000}"/>
    <cellStyle name="Normal 3 3 2 6 2 4 2 2" xfId="29735" xr:uid="{00000000-0005-0000-0000-000033830000}"/>
    <cellStyle name="Normal 3 3 2 6 2 4 2 2 2" xfId="56868" xr:uid="{00000000-0005-0000-0000-000034830000}"/>
    <cellStyle name="Normal 3 3 2 6 2 4 2 3" xfId="43306" xr:uid="{00000000-0005-0000-0000-000035830000}"/>
    <cellStyle name="Normal 3 3 2 6 2 4 3" xfId="22954" xr:uid="{00000000-0005-0000-0000-000036830000}"/>
    <cellStyle name="Normal 3 3 2 6 2 4 3 2" xfId="50087" xr:uid="{00000000-0005-0000-0000-000037830000}"/>
    <cellStyle name="Normal 3 3 2 6 2 4 4" xfId="36525" xr:uid="{00000000-0005-0000-0000-000038830000}"/>
    <cellStyle name="Normal 3 3 2 6 2 5" xfId="12778" xr:uid="{00000000-0005-0000-0000-000039830000}"/>
    <cellStyle name="Normal 3 3 2 6 2 5 2" xfId="26346" xr:uid="{00000000-0005-0000-0000-00003A830000}"/>
    <cellStyle name="Normal 3 3 2 6 2 5 2 2" xfId="53479" xr:uid="{00000000-0005-0000-0000-00003B830000}"/>
    <cellStyle name="Normal 3 3 2 6 2 5 3" xfId="39917" xr:uid="{00000000-0005-0000-0000-00003C830000}"/>
    <cellStyle name="Normal 3 3 2 6 2 6" xfId="19565" xr:uid="{00000000-0005-0000-0000-00003D830000}"/>
    <cellStyle name="Normal 3 3 2 6 2 6 2" xfId="46698" xr:uid="{00000000-0005-0000-0000-00003E830000}"/>
    <cellStyle name="Normal 3 3 2 6 2 7" xfId="33136" xr:uid="{00000000-0005-0000-0000-00003F830000}"/>
    <cellStyle name="Normal 3 3 2 6 3" xfId="5838" xr:uid="{00000000-0005-0000-0000-000040830000}"/>
    <cellStyle name="Normal 3 3 2 6 3 2" xfId="9381" xr:uid="{00000000-0005-0000-0000-000041830000}"/>
    <cellStyle name="Normal 3 3 2 6 3 2 2" xfId="16170" xr:uid="{00000000-0005-0000-0000-000042830000}"/>
    <cellStyle name="Normal 3 3 2 6 3 2 2 2" xfId="29738" xr:uid="{00000000-0005-0000-0000-000043830000}"/>
    <cellStyle name="Normal 3 3 2 6 3 2 2 2 2" xfId="56871" xr:uid="{00000000-0005-0000-0000-000044830000}"/>
    <cellStyle name="Normal 3 3 2 6 3 2 2 3" xfId="43309" xr:uid="{00000000-0005-0000-0000-000045830000}"/>
    <cellStyle name="Normal 3 3 2 6 3 2 3" xfId="22957" xr:uid="{00000000-0005-0000-0000-000046830000}"/>
    <cellStyle name="Normal 3 3 2 6 3 2 3 2" xfId="50090" xr:uid="{00000000-0005-0000-0000-000047830000}"/>
    <cellStyle name="Normal 3 3 2 6 3 2 4" xfId="36528" xr:uid="{00000000-0005-0000-0000-000048830000}"/>
    <cellStyle name="Normal 3 3 2 6 3 3" xfId="12781" xr:uid="{00000000-0005-0000-0000-000049830000}"/>
    <cellStyle name="Normal 3 3 2 6 3 3 2" xfId="26349" xr:uid="{00000000-0005-0000-0000-00004A830000}"/>
    <cellStyle name="Normal 3 3 2 6 3 3 2 2" xfId="53482" xr:uid="{00000000-0005-0000-0000-00004B830000}"/>
    <cellStyle name="Normal 3 3 2 6 3 3 3" xfId="39920" xr:uid="{00000000-0005-0000-0000-00004C830000}"/>
    <cellStyle name="Normal 3 3 2 6 3 4" xfId="19568" xr:uid="{00000000-0005-0000-0000-00004D830000}"/>
    <cellStyle name="Normal 3 3 2 6 3 4 2" xfId="46701" xr:uid="{00000000-0005-0000-0000-00004E830000}"/>
    <cellStyle name="Normal 3 3 2 6 3 5" xfId="33139" xr:uid="{00000000-0005-0000-0000-00004F830000}"/>
    <cellStyle name="Normal 3 3 2 6 4" xfId="5839" xr:uid="{00000000-0005-0000-0000-000050830000}"/>
    <cellStyle name="Normal 3 3 2 6 4 2" xfId="9382" xr:uid="{00000000-0005-0000-0000-000051830000}"/>
    <cellStyle name="Normal 3 3 2 6 4 2 2" xfId="16171" xr:uid="{00000000-0005-0000-0000-000052830000}"/>
    <cellStyle name="Normal 3 3 2 6 4 2 2 2" xfId="29739" xr:uid="{00000000-0005-0000-0000-000053830000}"/>
    <cellStyle name="Normal 3 3 2 6 4 2 2 2 2" xfId="56872" xr:uid="{00000000-0005-0000-0000-000054830000}"/>
    <cellStyle name="Normal 3 3 2 6 4 2 2 3" xfId="43310" xr:uid="{00000000-0005-0000-0000-000055830000}"/>
    <cellStyle name="Normal 3 3 2 6 4 2 3" xfId="22958" xr:uid="{00000000-0005-0000-0000-000056830000}"/>
    <cellStyle name="Normal 3 3 2 6 4 2 3 2" xfId="50091" xr:uid="{00000000-0005-0000-0000-000057830000}"/>
    <cellStyle name="Normal 3 3 2 6 4 2 4" xfId="36529" xr:uid="{00000000-0005-0000-0000-000058830000}"/>
    <cellStyle name="Normal 3 3 2 6 4 3" xfId="12782" xr:uid="{00000000-0005-0000-0000-000059830000}"/>
    <cellStyle name="Normal 3 3 2 6 4 3 2" xfId="26350" xr:uid="{00000000-0005-0000-0000-00005A830000}"/>
    <cellStyle name="Normal 3 3 2 6 4 3 2 2" xfId="53483" xr:uid="{00000000-0005-0000-0000-00005B830000}"/>
    <cellStyle name="Normal 3 3 2 6 4 3 3" xfId="39921" xr:uid="{00000000-0005-0000-0000-00005C830000}"/>
    <cellStyle name="Normal 3 3 2 6 4 4" xfId="19569" xr:uid="{00000000-0005-0000-0000-00005D830000}"/>
    <cellStyle name="Normal 3 3 2 6 4 4 2" xfId="46702" xr:uid="{00000000-0005-0000-0000-00005E830000}"/>
    <cellStyle name="Normal 3 3 2 6 4 5" xfId="33140" xr:uid="{00000000-0005-0000-0000-00005F830000}"/>
    <cellStyle name="Normal 3 3 2 6 5" xfId="9377" xr:uid="{00000000-0005-0000-0000-000060830000}"/>
    <cellStyle name="Normal 3 3 2 6 5 2" xfId="16166" xr:uid="{00000000-0005-0000-0000-000061830000}"/>
    <cellStyle name="Normal 3 3 2 6 5 2 2" xfId="29734" xr:uid="{00000000-0005-0000-0000-000062830000}"/>
    <cellStyle name="Normal 3 3 2 6 5 2 2 2" xfId="56867" xr:uid="{00000000-0005-0000-0000-000063830000}"/>
    <cellStyle name="Normal 3 3 2 6 5 2 3" xfId="43305" xr:uid="{00000000-0005-0000-0000-000064830000}"/>
    <cellStyle name="Normal 3 3 2 6 5 3" xfId="22953" xr:uid="{00000000-0005-0000-0000-000065830000}"/>
    <cellStyle name="Normal 3 3 2 6 5 3 2" xfId="50086" xr:uid="{00000000-0005-0000-0000-000066830000}"/>
    <cellStyle name="Normal 3 3 2 6 5 4" xfId="36524" xr:uid="{00000000-0005-0000-0000-000067830000}"/>
    <cellStyle name="Normal 3 3 2 6 6" xfId="12777" xr:uid="{00000000-0005-0000-0000-000068830000}"/>
    <cellStyle name="Normal 3 3 2 6 6 2" xfId="26345" xr:uid="{00000000-0005-0000-0000-000069830000}"/>
    <cellStyle name="Normal 3 3 2 6 6 2 2" xfId="53478" xr:uid="{00000000-0005-0000-0000-00006A830000}"/>
    <cellStyle name="Normal 3 3 2 6 6 3" xfId="39916" xr:uid="{00000000-0005-0000-0000-00006B830000}"/>
    <cellStyle name="Normal 3 3 2 6 7" xfId="19564" xr:uid="{00000000-0005-0000-0000-00006C830000}"/>
    <cellStyle name="Normal 3 3 2 6 7 2" xfId="46697" xr:uid="{00000000-0005-0000-0000-00006D830000}"/>
    <cellStyle name="Normal 3 3 2 6 8" xfId="33135" xr:uid="{00000000-0005-0000-0000-00006E830000}"/>
    <cellStyle name="Normal 3 3 2 7" xfId="5840" xr:uid="{00000000-0005-0000-0000-00006F830000}"/>
    <cellStyle name="Normal 3 3 2 7 2" xfId="5841" xr:uid="{00000000-0005-0000-0000-000070830000}"/>
    <cellStyle name="Normal 3 3 2 7 2 2" xfId="9384" xr:uid="{00000000-0005-0000-0000-000071830000}"/>
    <cellStyle name="Normal 3 3 2 7 2 2 2" xfId="16173" xr:uid="{00000000-0005-0000-0000-000072830000}"/>
    <cellStyle name="Normal 3 3 2 7 2 2 2 2" xfId="29741" xr:uid="{00000000-0005-0000-0000-000073830000}"/>
    <cellStyle name="Normal 3 3 2 7 2 2 2 2 2" xfId="56874" xr:uid="{00000000-0005-0000-0000-000074830000}"/>
    <cellStyle name="Normal 3 3 2 7 2 2 2 3" xfId="43312" xr:uid="{00000000-0005-0000-0000-000075830000}"/>
    <cellStyle name="Normal 3 3 2 7 2 2 3" xfId="22960" xr:uid="{00000000-0005-0000-0000-000076830000}"/>
    <cellStyle name="Normal 3 3 2 7 2 2 3 2" xfId="50093" xr:uid="{00000000-0005-0000-0000-000077830000}"/>
    <cellStyle name="Normal 3 3 2 7 2 2 4" xfId="36531" xr:uid="{00000000-0005-0000-0000-000078830000}"/>
    <cellStyle name="Normal 3 3 2 7 2 3" xfId="12784" xr:uid="{00000000-0005-0000-0000-000079830000}"/>
    <cellStyle name="Normal 3 3 2 7 2 3 2" xfId="26352" xr:uid="{00000000-0005-0000-0000-00007A830000}"/>
    <cellStyle name="Normal 3 3 2 7 2 3 2 2" xfId="53485" xr:uid="{00000000-0005-0000-0000-00007B830000}"/>
    <cellStyle name="Normal 3 3 2 7 2 3 3" xfId="39923" xr:uid="{00000000-0005-0000-0000-00007C830000}"/>
    <cellStyle name="Normal 3 3 2 7 2 4" xfId="19571" xr:uid="{00000000-0005-0000-0000-00007D830000}"/>
    <cellStyle name="Normal 3 3 2 7 2 4 2" xfId="46704" xr:uid="{00000000-0005-0000-0000-00007E830000}"/>
    <cellStyle name="Normal 3 3 2 7 2 5" xfId="33142" xr:uid="{00000000-0005-0000-0000-00007F830000}"/>
    <cellStyle name="Normal 3 3 2 7 3" xfId="5842" xr:uid="{00000000-0005-0000-0000-000080830000}"/>
    <cellStyle name="Normal 3 3 2 7 3 2" xfId="9385" xr:uid="{00000000-0005-0000-0000-000081830000}"/>
    <cellStyle name="Normal 3 3 2 7 3 2 2" xfId="16174" xr:uid="{00000000-0005-0000-0000-000082830000}"/>
    <cellStyle name="Normal 3 3 2 7 3 2 2 2" xfId="29742" xr:uid="{00000000-0005-0000-0000-000083830000}"/>
    <cellStyle name="Normal 3 3 2 7 3 2 2 2 2" xfId="56875" xr:uid="{00000000-0005-0000-0000-000084830000}"/>
    <cellStyle name="Normal 3 3 2 7 3 2 2 3" xfId="43313" xr:uid="{00000000-0005-0000-0000-000085830000}"/>
    <cellStyle name="Normal 3 3 2 7 3 2 3" xfId="22961" xr:uid="{00000000-0005-0000-0000-000086830000}"/>
    <cellStyle name="Normal 3 3 2 7 3 2 3 2" xfId="50094" xr:uid="{00000000-0005-0000-0000-000087830000}"/>
    <cellStyle name="Normal 3 3 2 7 3 2 4" xfId="36532" xr:uid="{00000000-0005-0000-0000-000088830000}"/>
    <cellStyle name="Normal 3 3 2 7 3 3" xfId="12785" xr:uid="{00000000-0005-0000-0000-000089830000}"/>
    <cellStyle name="Normal 3 3 2 7 3 3 2" xfId="26353" xr:uid="{00000000-0005-0000-0000-00008A830000}"/>
    <cellStyle name="Normal 3 3 2 7 3 3 2 2" xfId="53486" xr:uid="{00000000-0005-0000-0000-00008B830000}"/>
    <cellStyle name="Normal 3 3 2 7 3 3 3" xfId="39924" xr:uid="{00000000-0005-0000-0000-00008C830000}"/>
    <cellStyle name="Normal 3 3 2 7 3 4" xfId="19572" xr:uid="{00000000-0005-0000-0000-00008D830000}"/>
    <cellStyle name="Normal 3 3 2 7 3 4 2" xfId="46705" xr:uid="{00000000-0005-0000-0000-00008E830000}"/>
    <cellStyle name="Normal 3 3 2 7 3 5" xfId="33143" xr:uid="{00000000-0005-0000-0000-00008F830000}"/>
    <cellStyle name="Normal 3 3 2 7 4" xfId="9383" xr:uid="{00000000-0005-0000-0000-000090830000}"/>
    <cellStyle name="Normal 3 3 2 7 4 2" xfId="16172" xr:uid="{00000000-0005-0000-0000-000091830000}"/>
    <cellStyle name="Normal 3 3 2 7 4 2 2" xfId="29740" xr:uid="{00000000-0005-0000-0000-000092830000}"/>
    <cellStyle name="Normal 3 3 2 7 4 2 2 2" xfId="56873" xr:uid="{00000000-0005-0000-0000-000093830000}"/>
    <cellStyle name="Normal 3 3 2 7 4 2 3" xfId="43311" xr:uid="{00000000-0005-0000-0000-000094830000}"/>
    <cellStyle name="Normal 3 3 2 7 4 3" xfId="22959" xr:uid="{00000000-0005-0000-0000-000095830000}"/>
    <cellStyle name="Normal 3 3 2 7 4 3 2" xfId="50092" xr:uid="{00000000-0005-0000-0000-000096830000}"/>
    <cellStyle name="Normal 3 3 2 7 4 4" xfId="36530" xr:uid="{00000000-0005-0000-0000-000097830000}"/>
    <cellStyle name="Normal 3 3 2 7 5" xfId="12783" xr:uid="{00000000-0005-0000-0000-000098830000}"/>
    <cellStyle name="Normal 3 3 2 7 5 2" xfId="26351" xr:uid="{00000000-0005-0000-0000-000099830000}"/>
    <cellStyle name="Normal 3 3 2 7 5 2 2" xfId="53484" xr:uid="{00000000-0005-0000-0000-00009A830000}"/>
    <cellStyle name="Normal 3 3 2 7 5 3" xfId="39922" xr:uid="{00000000-0005-0000-0000-00009B830000}"/>
    <cellStyle name="Normal 3 3 2 7 6" xfId="19570" xr:uid="{00000000-0005-0000-0000-00009C830000}"/>
    <cellStyle name="Normal 3 3 2 7 6 2" xfId="46703" xr:uid="{00000000-0005-0000-0000-00009D830000}"/>
    <cellStyle name="Normal 3 3 2 7 7" xfId="33141" xr:uid="{00000000-0005-0000-0000-00009E830000}"/>
    <cellStyle name="Normal 3 3 2 8" xfId="5843" xr:uid="{00000000-0005-0000-0000-00009F830000}"/>
    <cellStyle name="Normal 3 3 2 8 2" xfId="5844" xr:uid="{00000000-0005-0000-0000-0000A0830000}"/>
    <cellStyle name="Normal 3 3 2 8 2 2" xfId="9387" xr:uid="{00000000-0005-0000-0000-0000A1830000}"/>
    <cellStyle name="Normal 3 3 2 8 2 2 2" xfId="16176" xr:uid="{00000000-0005-0000-0000-0000A2830000}"/>
    <cellStyle name="Normal 3 3 2 8 2 2 2 2" xfId="29744" xr:uid="{00000000-0005-0000-0000-0000A3830000}"/>
    <cellStyle name="Normal 3 3 2 8 2 2 2 2 2" xfId="56877" xr:uid="{00000000-0005-0000-0000-0000A4830000}"/>
    <cellStyle name="Normal 3 3 2 8 2 2 2 3" xfId="43315" xr:uid="{00000000-0005-0000-0000-0000A5830000}"/>
    <cellStyle name="Normal 3 3 2 8 2 2 3" xfId="22963" xr:uid="{00000000-0005-0000-0000-0000A6830000}"/>
    <cellStyle name="Normal 3 3 2 8 2 2 3 2" xfId="50096" xr:uid="{00000000-0005-0000-0000-0000A7830000}"/>
    <cellStyle name="Normal 3 3 2 8 2 2 4" xfId="36534" xr:uid="{00000000-0005-0000-0000-0000A8830000}"/>
    <cellStyle name="Normal 3 3 2 8 2 3" xfId="12787" xr:uid="{00000000-0005-0000-0000-0000A9830000}"/>
    <cellStyle name="Normal 3 3 2 8 2 3 2" xfId="26355" xr:uid="{00000000-0005-0000-0000-0000AA830000}"/>
    <cellStyle name="Normal 3 3 2 8 2 3 2 2" xfId="53488" xr:uid="{00000000-0005-0000-0000-0000AB830000}"/>
    <cellStyle name="Normal 3 3 2 8 2 3 3" xfId="39926" xr:uid="{00000000-0005-0000-0000-0000AC830000}"/>
    <cellStyle name="Normal 3 3 2 8 2 4" xfId="19574" xr:uid="{00000000-0005-0000-0000-0000AD830000}"/>
    <cellStyle name="Normal 3 3 2 8 2 4 2" xfId="46707" xr:uid="{00000000-0005-0000-0000-0000AE830000}"/>
    <cellStyle name="Normal 3 3 2 8 2 5" xfId="33145" xr:uid="{00000000-0005-0000-0000-0000AF830000}"/>
    <cellStyle name="Normal 3 3 2 8 3" xfId="5845" xr:uid="{00000000-0005-0000-0000-0000B0830000}"/>
    <cellStyle name="Normal 3 3 2 8 3 2" xfId="9388" xr:uid="{00000000-0005-0000-0000-0000B1830000}"/>
    <cellStyle name="Normal 3 3 2 8 3 2 2" xfId="16177" xr:uid="{00000000-0005-0000-0000-0000B2830000}"/>
    <cellStyle name="Normal 3 3 2 8 3 2 2 2" xfId="29745" xr:uid="{00000000-0005-0000-0000-0000B3830000}"/>
    <cellStyle name="Normal 3 3 2 8 3 2 2 2 2" xfId="56878" xr:uid="{00000000-0005-0000-0000-0000B4830000}"/>
    <cellStyle name="Normal 3 3 2 8 3 2 2 3" xfId="43316" xr:uid="{00000000-0005-0000-0000-0000B5830000}"/>
    <cellStyle name="Normal 3 3 2 8 3 2 3" xfId="22964" xr:uid="{00000000-0005-0000-0000-0000B6830000}"/>
    <cellStyle name="Normal 3 3 2 8 3 2 3 2" xfId="50097" xr:uid="{00000000-0005-0000-0000-0000B7830000}"/>
    <cellStyle name="Normal 3 3 2 8 3 2 4" xfId="36535" xr:uid="{00000000-0005-0000-0000-0000B8830000}"/>
    <cellStyle name="Normal 3 3 2 8 3 3" xfId="12788" xr:uid="{00000000-0005-0000-0000-0000B9830000}"/>
    <cellStyle name="Normal 3 3 2 8 3 3 2" xfId="26356" xr:uid="{00000000-0005-0000-0000-0000BA830000}"/>
    <cellStyle name="Normal 3 3 2 8 3 3 2 2" xfId="53489" xr:uid="{00000000-0005-0000-0000-0000BB830000}"/>
    <cellStyle name="Normal 3 3 2 8 3 3 3" xfId="39927" xr:uid="{00000000-0005-0000-0000-0000BC830000}"/>
    <cellStyle name="Normal 3 3 2 8 3 4" xfId="19575" xr:uid="{00000000-0005-0000-0000-0000BD830000}"/>
    <cellStyle name="Normal 3 3 2 8 3 4 2" xfId="46708" xr:uid="{00000000-0005-0000-0000-0000BE830000}"/>
    <cellStyle name="Normal 3 3 2 8 3 5" xfId="33146" xr:uid="{00000000-0005-0000-0000-0000BF830000}"/>
    <cellStyle name="Normal 3 3 2 8 4" xfId="9386" xr:uid="{00000000-0005-0000-0000-0000C0830000}"/>
    <cellStyle name="Normal 3 3 2 8 4 2" xfId="16175" xr:uid="{00000000-0005-0000-0000-0000C1830000}"/>
    <cellStyle name="Normal 3 3 2 8 4 2 2" xfId="29743" xr:uid="{00000000-0005-0000-0000-0000C2830000}"/>
    <cellStyle name="Normal 3 3 2 8 4 2 2 2" xfId="56876" xr:uid="{00000000-0005-0000-0000-0000C3830000}"/>
    <cellStyle name="Normal 3 3 2 8 4 2 3" xfId="43314" xr:uid="{00000000-0005-0000-0000-0000C4830000}"/>
    <cellStyle name="Normal 3 3 2 8 4 3" xfId="22962" xr:uid="{00000000-0005-0000-0000-0000C5830000}"/>
    <cellStyle name="Normal 3 3 2 8 4 3 2" xfId="50095" xr:uid="{00000000-0005-0000-0000-0000C6830000}"/>
    <cellStyle name="Normal 3 3 2 8 4 4" xfId="36533" xr:uid="{00000000-0005-0000-0000-0000C7830000}"/>
    <cellStyle name="Normal 3 3 2 8 5" xfId="12786" xr:uid="{00000000-0005-0000-0000-0000C8830000}"/>
    <cellStyle name="Normal 3 3 2 8 5 2" xfId="26354" xr:uid="{00000000-0005-0000-0000-0000C9830000}"/>
    <cellStyle name="Normal 3 3 2 8 5 2 2" xfId="53487" xr:uid="{00000000-0005-0000-0000-0000CA830000}"/>
    <cellStyle name="Normal 3 3 2 8 5 3" xfId="39925" xr:uid="{00000000-0005-0000-0000-0000CB830000}"/>
    <cellStyle name="Normal 3 3 2 8 6" xfId="19573" xr:uid="{00000000-0005-0000-0000-0000CC830000}"/>
    <cellStyle name="Normal 3 3 2 8 6 2" xfId="46706" xr:uid="{00000000-0005-0000-0000-0000CD830000}"/>
    <cellStyle name="Normal 3 3 2 8 7" xfId="33144" xr:uid="{00000000-0005-0000-0000-0000CE830000}"/>
    <cellStyle name="Normal 3 3 2 9" xfId="5846" xr:uid="{00000000-0005-0000-0000-0000CF830000}"/>
    <cellStyle name="Normal 3 3 2 9 2" xfId="9389" xr:uid="{00000000-0005-0000-0000-0000D0830000}"/>
    <cellStyle name="Normal 3 3 2 9 2 2" xfId="16178" xr:uid="{00000000-0005-0000-0000-0000D1830000}"/>
    <cellStyle name="Normal 3 3 2 9 2 2 2" xfId="29746" xr:uid="{00000000-0005-0000-0000-0000D2830000}"/>
    <cellStyle name="Normal 3 3 2 9 2 2 2 2" xfId="56879" xr:uid="{00000000-0005-0000-0000-0000D3830000}"/>
    <cellStyle name="Normal 3 3 2 9 2 2 3" xfId="43317" xr:uid="{00000000-0005-0000-0000-0000D4830000}"/>
    <cellStyle name="Normal 3 3 2 9 2 3" xfId="22965" xr:uid="{00000000-0005-0000-0000-0000D5830000}"/>
    <cellStyle name="Normal 3 3 2 9 2 3 2" xfId="50098" xr:uid="{00000000-0005-0000-0000-0000D6830000}"/>
    <cellStyle name="Normal 3 3 2 9 2 4" xfId="36536" xr:uid="{00000000-0005-0000-0000-0000D7830000}"/>
    <cellStyle name="Normal 3 3 2 9 3" xfId="12789" xr:uid="{00000000-0005-0000-0000-0000D8830000}"/>
    <cellStyle name="Normal 3 3 2 9 3 2" xfId="26357" xr:uid="{00000000-0005-0000-0000-0000D9830000}"/>
    <cellStyle name="Normal 3 3 2 9 3 2 2" xfId="53490" xr:uid="{00000000-0005-0000-0000-0000DA830000}"/>
    <cellStyle name="Normal 3 3 2 9 3 3" xfId="39928" xr:uid="{00000000-0005-0000-0000-0000DB830000}"/>
    <cellStyle name="Normal 3 3 2 9 4" xfId="19576" xr:uid="{00000000-0005-0000-0000-0000DC830000}"/>
    <cellStyle name="Normal 3 3 2 9 4 2" xfId="46709" xr:uid="{00000000-0005-0000-0000-0000DD830000}"/>
    <cellStyle name="Normal 3 3 2 9 5" xfId="33147" xr:uid="{00000000-0005-0000-0000-0000DE830000}"/>
    <cellStyle name="Normal 3 3 3" xfId="2685" xr:uid="{00000000-0005-0000-0000-0000DF830000}"/>
    <cellStyle name="Normal 3 3 3 10" xfId="7498" xr:uid="{00000000-0005-0000-0000-0000E0830000}"/>
    <cellStyle name="Normal 3 3 3 10 2" xfId="14287" xr:uid="{00000000-0005-0000-0000-0000E1830000}"/>
    <cellStyle name="Normal 3 3 3 10 2 2" xfId="27855" xr:uid="{00000000-0005-0000-0000-0000E2830000}"/>
    <cellStyle name="Normal 3 3 3 10 2 2 2" xfId="54988" xr:uid="{00000000-0005-0000-0000-0000E3830000}"/>
    <cellStyle name="Normal 3 3 3 10 2 3" xfId="41426" xr:uid="{00000000-0005-0000-0000-0000E4830000}"/>
    <cellStyle name="Normal 3 3 3 10 3" xfId="21074" xr:uid="{00000000-0005-0000-0000-0000E5830000}"/>
    <cellStyle name="Normal 3 3 3 10 3 2" xfId="48207" xr:uid="{00000000-0005-0000-0000-0000E6830000}"/>
    <cellStyle name="Normal 3 3 3 10 4" xfId="34645" xr:uid="{00000000-0005-0000-0000-0000E7830000}"/>
    <cellStyle name="Normal 3 3 3 11" xfId="10898" xr:uid="{00000000-0005-0000-0000-0000E8830000}"/>
    <cellStyle name="Normal 3 3 3 11 2" xfId="24466" xr:uid="{00000000-0005-0000-0000-0000E9830000}"/>
    <cellStyle name="Normal 3 3 3 11 2 2" xfId="51599" xr:uid="{00000000-0005-0000-0000-0000EA830000}"/>
    <cellStyle name="Normal 3 3 3 11 3" xfId="38037" xr:uid="{00000000-0005-0000-0000-0000EB830000}"/>
    <cellStyle name="Normal 3 3 3 12" xfId="17685" xr:uid="{00000000-0005-0000-0000-0000EC830000}"/>
    <cellStyle name="Normal 3 3 3 12 2" xfId="44818" xr:uid="{00000000-0005-0000-0000-0000ED830000}"/>
    <cellStyle name="Normal 3 3 3 13" xfId="31256" xr:uid="{00000000-0005-0000-0000-0000EE830000}"/>
    <cellStyle name="Normal 3 3 3 2" xfId="2686" xr:uid="{00000000-0005-0000-0000-0000EF830000}"/>
    <cellStyle name="Normal 3 3 3 2 10" xfId="31257" xr:uid="{00000000-0005-0000-0000-0000F0830000}"/>
    <cellStyle name="Normal 3 3 3 2 2" xfId="5847" xr:uid="{00000000-0005-0000-0000-0000F1830000}"/>
    <cellStyle name="Normal 3 3 3 2 2 2" xfId="5848" xr:uid="{00000000-0005-0000-0000-0000F2830000}"/>
    <cellStyle name="Normal 3 3 3 2 2 2 2" xfId="5849" xr:uid="{00000000-0005-0000-0000-0000F3830000}"/>
    <cellStyle name="Normal 3 3 3 2 2 2 2 2" xfId="9392" xr:uid="{00000000-0005-0000-0000-0000F4830000}"/>
    <cellStyle name="Normal 3 3 3 2 2 2 2 2 2" xfId="16181" xr:uid="{00000000-0005-0000-0000-0000F5830000}"/>
    <cellStyle name="Normal 3 3 3 2 2 2 2 2 2 2" xfId="29749" xr:uid="{00000000-0005-0000-0000-0000F6830000}"/>
    <cellStyle name="Normal 3 3 3 2 2 2 2 2 2 2 2" xfId="56882" xr:uid="{00000000-0005-0000-0000-0000F7830000}"/>
    <cellStyle name="Normal 3 3 3 2 2 2 2 2 2 3" xfId="43320" xr:uid="{00000000-0005-0000-0000-0000F8830000}"/>
    <cellStyle name="Normal 3 3 3 2 2 2 2 2 3" xfId="22968" xr:uid="{00000000-0005-0000-0000-0000F9830000}"/>
    <cellStyle name="Normal 3 3 3 2 2 2 2 2 3 2" xfId="50101" xr:uid="{00000000-0005-0000-0000-0000FA830000}"/>
    <cellStyle name="Normal 3 3 3 2 2 2 2 2 4" xfId="36539" xr:uid="{00000000-0005-0000-0000-0000FB830000}"/>
    <cellStyle name="Normal 3 3 3 2 2 2 2 3" xfId="12792" xr:uid="{00000000-0005-0000-0000-0000FC830000}"/>
    <cellStyle name="Normal 3 3 3 2 2 2 2 3 2" xfId="26360" xr:uid="{00000000-0005-0000-0000-0000FD830000}"/>
    <cellStyle name="Normal 3 3 3 2 2 2 2 3 2 2" xfId="53493" xr:uid="{00000000-0005-0000-0000-0000FE830000}"/>
    <cellStyle name="Normal 3 3 3 2 2 2 2 3 3" xfId="39931" xr:uid="{00000000-0005-0000-0000-0000FF830000}"/>
    <cellStyle name="Normal 3 3 3 2 2 2 2 4" xfId="19579" xr:uid="{00000000-0005-0000-0000-000000840000}"/>
    <cellStyle name="Normal 3 3 3 2 2 2 2 4 2" xfId="46712" xr:uid="{00000000-0005-0000-0000-000001840000}"/>
    <cellStyle name="Normal 3 3 3 2 2 2 2 5" xfId="33150" xr:uid="{00000000-0005-0000-0000-000002840000}"/>
    <cellStyle name="Normal 3 3 3 2 2 2 3" xfId="5850" xr:uid="{00000000-0005-0000-0000-000003840000}"/>
    <cellStyle name="Normal 3 3 3 2 2 2 3 2" xfId="9393" xr:uid="{00000000-0005-0000-0000-000004840000}"/>
    <cellStyle name="Normal 3 3 3 2 2 2 3 2 2" xfId="16182" xr:uid="{00000000-0005-0000-0000-000005840000}"/>
    <cellStyle name="Normal 3 3 3 2 2 2 3 2 2 2" xfId="29750" xr:uid="{00000000-0005-0000-0000-000006840000}"/>
    <cellStyle name="Normal 3 3 3 2 2 2 3 2 2 2 2" xfId="56883" xr:uid="{00000000-0005-0000-0000-000007840000}"/>
    <cellStyle name="Normal 3 3 3 2 2 2 3 2 2 3" xfId="43321" xr:uid="{00000000-0005-0000-0000-000008840000}"/>
    <cellStyle name="Normal 3 3 3 2 2 2 3 2 3" xfId="22969" xr:uid="{00000000-0005-0000-0000-000009840000}"/>
    <cellStyle name="Normal 3 3 3 2 2 2 3 2 3 2" xfId="50102" xr:uid="{00000000-0005-0000-0000-00000A840000}"/>
    <cellStyle name="Normal 3 3 3 2 2 2 3 2 4" xfId="36540" xr:uid="{00000000-0005-0000-0000-00000B840000}"/>
    <cellStyle name="Normal 3 3 3 2 2 2 3 3" xfId="12793" xr:uid="{00000000-0005-0000-0000-00000C840000}"/>
    <cellStyle name="Normal 3 3 3 2 2 2 3 3 2" xfId="26361" xr:uid="{00000000-0005-0000-0000-00000D840000}"/>
    <cellStyle name="Normal 3 3 3 2 2 2 3 3 2 2" xfId="53494" xr:uid="{00000000-0005-0000-0000-00000E840000}"/>
    <cellStyle name="Normal 3 3 3 2 2 2 3 3 3" xfId="39932" xr:uid="{00000000-0005-0000-0000-00000F840000}"/>
    <cellStyle name="Normal 3 3 3 2 2 2 3 4" xfId="19580" xr:uid="{00000000-0005-0000-0000-000010840000}"/>
    <cellStyle name="Normal 3 3 3 2 2 2 3 4 2" xfId="46713" xr:uid="{00000000-0005-0000-0000-000011840000}"/>
    <cellStyle name="Normal 3 3 3 2 2 2 3 5" xfId="33151" xr:uid="{00000000-0005-0000-0000-000012840000}"/>
    <cellStyle name="Normal 3 3 3 2 2 2 4" xfId="9391" xr:uid="{00000000-0005-0000-0000-000013840000}"/>
    <cellStyle name="Normal 3 3 3 2 2 2 4 2" xfId="16180" xr:uid="{00000000-0005-0000-0000-000014840000}"/>
    <cellStyle name="Normal 3 3 3 2 2 2 4 2 2" xfId="29748" xr:uid="{00000000-0005-0000-0000-000015840000}"/>
    <cellStyle name="Normal 3 3 3 2 2 2 4 2 2 2" xfId="56881" xr:uid="{00000000-0005-0000-0000-000016840000}"/>
    <cellStyle name="Normal 3 3 3 2 2 2 4 2 3" xfId="43319" xr:uid="{00000000-0005-0000-0000-000017840000}"/>
    <cellStyle name="Normal 3 3 3 2 2 2 4 3" xfId="22967" xr:uid="{00000000-0005-0000-0000-000018840000}"/>
    <cellStyle name="Normal 3 3 3 2 2 2 4 3 2" xfId="50100" xr:uid="{00000000-0005-0000-0000-000019840000}"/>
    <cellStyle name="Normal 3 3 3 2 2 2 4 4" xfId="36538" xr:uid="{00000000-0005-0000-0000-00001A840000}"/>
    <cellStyle name="Normal 3 3 3 2 2 2 5" xfId="12791" xr:uid="{00000000-0005-0000-0000-00001B840000}"/>
    <cellStyle name="Normal 3 3 3 2 2 2 5 2" xfId="26359" xr:uid="{00000000-0005-0000-0000-00001C840000}"/>
    <cellStyle name="Normal 3 3 3 2 2 2 5 2 2" xfId="53492" xr:uid="{00000000-0005-0000-0000-00001D840000}"/>
    <cellStyle name="Normal 3 3 3 2 2 2 5 3" xfId="39930" xr:uid="{00000000-0005-0000-0000-00001E840000}"/>
    <cellStyle name="Normal 3 3 3 2 2 2 6" xfId="19578" xr:uid="{00000000-0005-0000-0000-00001F840000}"/>
    <cellStyle name="Normal 3 3 3 2 2 2 6 2" xfId="46711" xr:uid="{00000000-0005-0000-0000-000020840000}"/>
    <cellStyle name="Normal 3 3 3 2 2 2 7" xfId="33149" xr:uid="{00000000-0005-0000-0000-000021840000}"/>
    <cellStyle name="Normal 3 3 3 2 2 3" xfId="5851" xr:uid="{00000000-0005-0000-0000-000022840000}"/>
    <cellStyle name="Normal 3 3 3 2 2 3 2" xfId="5852" xr:uid="{00000000-0005-0000-0000-000023840000}"/>
    <cellStyle name="Normal 3 3 3 2 2 3 2 2" xfId="9395" xr:uid="{00000000-0005-0000-0000-000024840000}"/>
    <cellStyle name="Normal 3 3 3 2 2 3 2 2 2" xfId="16184" xr:uid="{00000000-0005-0000-0000-000025840000}"/>
    <cellStyle name="Normal 3 3 3 2 2 3 2 2 2 2" xfId="29752" xr:uid="{00000000-0005-0000-0000-000026840000}"/>
    <cellStyle name="Normal 3 3 3 2 2 3 2 2 2 2 2" xfId="56885" xr:uid="{00000000-0005-0000-0000-000027840000}"/>
    <cellStyle name="Normal 3 3 3 2 2 3 2 2 2 3" xfId="43323" xr:uid="{00000000-0005-0000-0000-000028840000}"/>
    <cellStyle name="Normal 3 3 3 2 2 3 2 2 3" xfId="22971" xr:uid="{00000000-0005-0000-0000-000029840000}"/>
    <cellStyle name="Normal 3 3 3 2 2 3 2 2 3 2" xfId="50104" xr:uid="{00000000-0005-0000-0000-00002A840000}"/>
    <cellStyle name="Normal 3 3 3 2 2 3 2 2 4" xfId="36542" xr:uid="{00000000-0005-0000-0000-00002B840000}"/>
    <cellStyle name="Normal 3 3 3 2 2 3 2 3" xfId="12795" xr:uid="{00000000-0005-0000-0000-00002C840000}"/>
    <cellStyle name="Normal 3 3 3 2 2 3 2 3 2" xfId="26363" xr:uid="{00000000-0005-0000-0000-00002D840000}"/>
    <cellStyle name="Normal 3 3 3 2 2 3 2 3 2 2" xfId="53496" xr:uid="{00000000-0005-0000-0000-00002E840000}"/>
    <cellStyle name="Normal 3 3 3 2 2 3 2 3 3" xfId="39934" xr:uid="{00000000-0005-0000-0000-00002F840000}"/>
    <cellStyle name="Normal 3 3 3 2 2 3 2 4" xfId="19582" xr:uid="{00000000-0005-0000-0000-000030840000}"/>
    <cellStyle name="Normal 3 3 3 2 2 3 2 4 2" xfId="46715" xr:uid="{00000000-0005-0000-0000-000031840000}"/>
    <cellStyle name="Normal 3 3 3 2 2 3 2 5" xfId="33153" xr:uid="{00000000-0005-0000-0000-000032840000}"/>
    <cellStyle name="Normal 3 3 3 2 2 3 3" xfId="9394" xr:uid="{00000000-0005-0000-0000-000033840000}"/>
    <cellStyle name="Normal 3 3 3 2 2 3 3 2" xfId="16183" xr:uid="{00000000-0005-0000-0000-000034840000}"/>
    <cellStyle name="Normal 3 3 3 2 2 3 3 2 2" xfId="29751" xr:uid="{00000000-0005-0000-0000-000035840000}"/>
    <cellStyle name="Normal 3 3 3 2 2 3 3 2 2 2" xfId="56884" xr:uid="{00000000-0005-0000-0000-000036840000}"/>
    <cellStyle name="Normal 3 3 3 2 2 3 3 2 3" xfId="43322" xr:uid="{00000000-0005-0000-0000-000037840000}"/>
    <cellStyle name="Normal 3 3 3 2 2 3 3 3" xfId="22970" xr:uid="{00000000-0005-0000-0000-000038840000}"/>
    <cellStyle name="Normal 3 3 3 2 2 3 3 3 2" xfId="50103" xr:uid="{00000000-0005-0000-0000-000039840000}"/>
    <cellStyle name="Normal 3 3 3 2 2 3 3 4" xfId="36541" xr:uid="{00000000-0005-0000-0000-00003A840000}"/>
    <cellStyle name="Normal 3 3 3 2 2 3 4" xfId="12794" xr:uid="{00000000-0005-0000-0000-00003B840000}"/>
    <cellStyle name="Normal 3 3 3 2 2 3 4 2" xfId="26362" xr:uid="{00000000-0005-0000-0000-00003C840000}"/>
    <cellStyle name="Normal 3 3 3 2 2 3 4 2 2" xfId="53495" xr:uid="{00000000-0005-0000-0000-00003D840000}"/>
    <cellStyle name="Normal 3 3 3 2 2 3 4 3" xfId="39933" xr:uid="{00000000-0005-0000-0000-00003E840000}"/>
    <cellStyle name="Normal 3 3 3 2 2 3 5" xfId="19581" xr:uid="{00000000-0005-0000-0000-00003F840000}"/>
    <cellStyle name="Normal 3 3 3 2 2 3 5 2" xfId="46714" xr:uid="{00000000-0005-0000-0000-000040840000}"/>
    <cellStyle name="Normal 3 3 3 2 2 3 6" xfId="33152" xr:uid="{00000000-0005-0000-0000-000041840000}"/>
    <cellStyle name="Normal 3 3 3 2 2 4" xfId="5853" xr:uid="{00000000-0005-0000-0000-000042840000}"/>
    <cellStyle name="Normal 3 3 3 2 2 4 2" xfId="9396" xr:uid="{00000000-0005-0000-0000-000043840000}"/>
    <cellStyle name="Normal 3 3 3 2 2 4 2 2" xfId="16185" xr:uid="{00000000-0005-0000-0000-000044840000}"/>
    <cellStyle name="Normal 3 3 3 2 2 4 2 2 2" xfId="29753" xr:uid="{00000000-0005-0000-0000-000045840000}"/>
    <cellStyle name="Normal 3 3 3 2 2 4 2 2 2 2" xfId="56886" xr:uid="{00000000-0005-0000-0000-000046840000}"/>
    <cellStyle name="Normal 3 3 3 2 2 4 2 2 3" xfId="43324" xr:uid="{00000000-0005-0000-0000-000047840000}"/>
    <cellStyle name="Normal 3 3 3 2 2 4 2 3" xfId="22972" xr:uid="{00000000-0005-0000-0000-000048840000}"/>
    <cellStyle name="Normal 3 3 3 2 2 4 2 3 2" xfId="50105" xr:uid="{00000000-0005-0000-0000-000049840000}"/>
    <cellStyle name="Normal 3 3 3 2 2 4 2 4" xfId="36543" xr:uid="{00000000-0005-0000-0000-00004A840000}"/>
    <cellStyle name="Normal 3 3 3 2 2 4 3" xfId="12796" xr:uid="{00000000-0005-0000-0000-00004B840000}"/>
    <cellStyle name="Normal 3 3 3 2 2 4 3 2" xfId="26364" xr:uid="{00000000-0005-0000-0000-00004C840000}"/>
    <cellStyle name="Normal 3 3 3 2 2 4 3 2 2" xfId="53497" xr:uid="{00000000-0005-0000-0000-00004D840000}"/>
    <cellStyle name="Normal 3 3 3 2 2 4 3 3" xfId="39935" xr:uid="{00000000-0005-0000-0000-00004E840000}"/>
    <cellStyle name="Normal 3 3 3 2 2 4 4" xfId="19583" xr:uid="{00000000-0005-0000-0000-00004F840000}"/>
    <cellStyle name="Normal 3 3 3 2 2 4 4 2" xfId="46716" xr:uid="{00000000-0005-0000-0000-000050840000}"/>
    <cellStyle name="Normal 3 3 3 2 2 4 5" xfId="33154" xr:uid="{00000000-0005-0000-0000-000051840000}"/>
    <cellStyle name="Normal 3 3 3 2 2 5" xfId="5854" xr:uid="{00000000-0005-0000-0000-000052840000}"/>
    <cellStyle name="Normal 3 3 3 2 2 5 2" xfId="9397" xr:uid="{00000000-0005-0000-0000-000053840000}"/>
    <cellStyle name="Normal 3 3 3 2 2 5 2 2" xfId="16186" xr:uid="{00000000-0005-0000-0000-000054840000}"/>
    <cellStyle name="Normal 3 3 3 2 2 5 2 2 2" xfId="29754" xr:uid="{00000000-0005-0000-0000-000055840000}"/>
    <cellStyle name="Normal 3 3 3 2 2 5 2 2 2 2" xfId="56887" xr:uid="{00000000-0005-0000-0000-000056840000}"/>
    <cellStyle name="Normal 3 3 3 2 2 5 2 2 3" xfId="43325" xr:uid="{00000000-0005-0000-0000-000057840000}"/>
    <cellStyle name="Normal 3 3 3 2 2 5 2 3" xfId="22973" xr:uid="{00000000-0005-0000-0000-000058840000}"/>
    <cellStyle name="Normal 3 3 3 2 2 5 2 3 2" xfId="50106" xr:uid="{00000000-0005-0000-0000-000059840000}"/>
    <cellStyle name="Normal 3 3 3 2 2 5 2 4" xfId="36544" xr:uid="{00000000-0005-0000-0000-00005A840000}"/>
    <cellStyle name="Normal 3 3 3 2 2 5 3" xfId="12797" xr:uid="{00000000-0005-0000-0000-00005B840000}"/>
    <cellStyle name="Normal 3 3 3 2 2 5 3 2" xfId="26365" xr:uid="{00000000-0005-0000-0000-00005C840000}"/>
    <cellStyle name="Normal 3 3 3 2 2 5 3 2 2" xfId="53498" xr:uid="{00000000-0005-0000-0000-00005D840000}"/>
    <cellStyle name="Normal 3 3 3 2 2 5 3 3" xfId="39936" xr:uid="{00000000-0005-0000-0000-00005E840000}"/>
    <cellStyle name="Normal 3 3 3 2 2 5 4" xfId="19584" xr:uid="{00000000-0005-0000-0000-00005F840000}"/>
    <cellStyle name="Normal 3 3 3 2 2 5 4 2" xfId="46717" xr:uid="{00000000-0005-0000-0000-000060840000}"/>
    <cellStyle name="Normal 3 3 3 2 2 5 5" xfId="33155" xr:uid="{00000000-0005-0000-0000-000061840000}"/>
    <cellStyle name="Normal 3 3 3 2 2 6" xfId="9390" xr:uid="{00000000-0005-0000-0000-000062840000}"/>
    <cellStyle name="Normal 3 3 3 2 2 6 2" xfId="16179" xr:uid="{00000000-0005-0000-0000-000063840000}"/>
    <cellStyle name="Normal 3 3 3 2 2 6 2 2" xfId="29747" xr:uid="{00000000-0005-0000-0000-000064840000}"/>
    <cellStyle name="Normal 3 3 3 2 2 6 2 2 2" xfId="56880" xr:uid="{00000000-0005-0000-0000-000065840000}"/>
    <cellStyle name="Normal 3 3 3 2 2 6 2 3" xfId="43318" xr:uid="{00000000-0005-0000-0000-000066840000}"/>
    <cellStyle name="Normal 3 3 3 2 2 6 3" xfId="22966" xr:uid="{00000000-0005-0000-0000-000067840000}"/>
    <cellStyle name="Normal 3 3 3 2 2 6 3 2" xfId="50099" xr:uid="{00000000-0005-0000-0000-000068840000}"/>
    <cellStyle name="Normal 3 3 3 2 2 6 4" xfId="36537" xr:uid="{00000000-0005-0000-0000-000069840000}"/>
    <cellStyle name="Normal 3 3 3 2 2 7" xfId="12790" xr:uid="{00000000-0005-0000-0000-00006A840000}"/>
    <cellStyle name="Normal 3 3 3 2 2 7 2" xfId="26358" xr:uid="{00000000-0005-0000-0000-00006B840000}"/>
    <cellStyle name="Normal 3 3 3 2 2 7 2 2" xfId="53491" xr:uid="{00000000-0005-0000-0000-00006C840000}"/>
    <cellStyle name="Normal 3 3 3 2 2 7 3" xfId="39929" xr:uid="{00000000-0005-0000-0000-00006D840000}"/>
    <cellStyle name="Normal 3 3 3 2 2 8" xfId="19577" xr:uid="{00000000-0005-0000-0000-00006E840000}"/>
    <cellStyle name="Normal 3 3 3 2 2 8 2" xfId="46710" xr:uid="{00000000-0005-0000-0000-00006F840000}"/>
    <cellStyle name="Normal 3 3 3 2 2 9" xfId="33148" xr:uid="{00000000-0005-0000-0000-000070840000}"/>
    <cellStyle name="Normal 3 3 3 2 3" xfId="5855" xr:uid="{00000000-0005-0000-0000-000071840000}"/>
    <cellStyle name="Normal 3 3 3 2 3 2" xfId="5856" xr:uid="{00000000-0005-0000-0000-000072840000}"/>
    <cellStyle name="Normal 3 3 3 2 3 2 2" xfId="9399" xr:uid="{00000000-0005-0000-0000-000073840000}"/>
    <cellStyle name="Normal 3 3 3 2 3 2 2 2" xfId="16188" xr:uid="{00000000-0005-0000-0000-000074840000}"/>
    <cellStyle name="Normal 3 3 3 2 3 2 2 2 2" xfId="29756" xr:uid="{00000000-0005-0000-0000-000075840000}"/>
    <cellStyle name="Normal 3 3 3 2 3 2 2 2 2 2" xfId="56889" xr:uid="{00000000-0005-0000-0000-000076840000}"/>
    <cellStyle name="Normal 3 3 3 2 3 2 2 2 3" xfId="43327" xr:uid="{00000000-0005-0000-0000-000077840000}"/>
    <cellStyle name="Normal 3 3 3 2 3 2 2 3" xfId="22975" xr:uid="{00000000-0005-0000-0000-000078840000}"/>
    <cellStyle name="Normal 3 3 3 2 3 2 2 3 2" xfId="50108" xr:uid="{00000000-0005-0000-0000-000079840000}"/>
    <cellStyle name="Normal 3 3 3 2 3 2 2 4" xfId="36546" xr:uid="{00000000-0005-0000-0000-00007A840000}"/>
    <cellStyle name="Normal 3 3 3 2 3 2 3" xfId="12799" xr:uid="{00000000-0005-0000-0000-00007B840000}"/>
    <cellStyle name="Normal 3 3 3 2 3 2 3 2" xfId="26367" xr:uid="{00000000-0005-0000-0000-00007C840000}"/>
    <cellStyle name="Normal 3 3 3 2 3 2 3 2 2" xfId="53500" xr:uid="{00000000-0005-0000-0000-00007D840000}"/>
    <cellStyle name="Normal 3 3 3 2 3 2 3 3" xfId="39938" xr:uid="{00000000-0005-0000-0000-00007E840000}"/>
    <cellStyle name="Normal 3 3 3 2 3 2 4" xfId="19586" xr:uid="{00000000-0005-0000-0000-00007F840000}"/>
    <cellStyle name="Normal 3 3 3 2 3 2 4 2" xfId="46719" xr:uid="{00000000-0005-0000-0000-000080840000}"/>
    <cellStyle name="Normal 3 3 3 2 3 2 5" xfId="33157" xr:uid="{00000000-0005-0000-0000-000081840000}"/>
    <cellStyle name="Normal 3 3 3 2 3 3" xfId="5857" xr:uid="{00000000-0005-0000-0000-000082840000}"/>
    <cellStyle name="Normal 3 3 3 2 3 3 2" xfId="9400" xr:uid="{00000000-0005-0000-0000-000083840000}"/>
    <cellStyle name="Normal 3 3 3 2 3 3 2 2" xfId="16189" xr:uid="{00000000-0005-0000-0000-000084840000}"/>
    <cellStyle name="Normal 3 3 3 2 3 3 2 2 2" xfId="29757" xr:uid="{00000000-0005-0000-0000-000085840000}"/>
    <cellStyle name="Normal 3 3 3 2 3 3 2 2 2 2" xfId="56890" xr:uid="{00000000-0005-0000-0000-000086840000}"/>
    <cellStyle name="Normal 3 3 3 2 3 3 2 2 3" xfId="43328" xr:uid="{00000000-0005-0000-0000-000087840000}"/>
    <cellStyle name="Normal 3 3 3 2 3 3 2 3" xfId="22976" xr:uid="{00000000-0005-0000-0000-000088840000}"/>
    <cellStyle name="Normal 3 3 3 2 3 3 2 3 2" xfId="50109" xr:uid="{00000000-0005-0000-0000-000089840000}"/>
    <cellStyle name="Normal 3 3 3 2 3 3 2 4" xfId="36547" xr:uid="{00000000-0005-0000-0000-00008A840000}"/>
    <cellStyle name="Normal 3 3 3 2 3 3 3" xfId="12800" xr:uid="{00000000-0005-0000-0000-00008B840000}"/>
    <cellStyle name="Normal 3 3 3 2 3 3 3 2" xfId="26368" xr:uid="{00000000-0005-0000-0000-00008C840000}"/>
    <cellStyle name="Normal 3 3 3 2 3 3 3 2 2" xfId="53501" xr:uid="{00000000-0005-0000-0000-00008D840000}"/>
    <cellStyle name="Normal 3 3 3 2 3 3 3 3" xfId="39939" xr:uid="{00000000-0005-0000-0000-00008E840000}"/>
    <cellStyle name="Normal 3 3 3 2 3 3 4" xfId="19587" xr:uid="{00000000-0005-0000-0000-00008F840000}"/>
    <cellStyle name="Normal 3 3 3 2 3 3 4 2" xfId="46720" xr:uid="{00000000-0005-0000-0000-000090840000}"/>
    <cellStyle name="Normal 3 3 3 2 3 3 5" xfId="33158" xr:uid="{00000000-0005-0000-0000-000091840000}"/>
    <cellStyle name="Normal 3 3 3 2 3 4" xfId="9398" xr:uid="{00000000-0005-0000-0000-000092840000}"/>
    <cellStyle name="Normal 3 3 3 2 3 4 2" xfId="16187" xr:uid="{00000000-0005-0000-0000-000093840000}"/>
    <cellStyle name="Normal 3 3 3 2 3 4 2 2" xfId="29755" xr:uid="{00000000-0005-0000-0000-000094840000}"/>
    <cellStyle name="Normal 3 3 3 2 3 4 2 2 2" xfId="56888" xr:uid="{00000000-0005-0000-0000-000095840000}"/>
    <cellStyle name="Normal 3 3 3 2 3 4 2 3" xfId="43326" xr:uid="{00000000-0005-0000-0000-000096840000}"/>
    <cellStyle name="Normal 3 3 3 2 3 4 3" xfId="22974" xr:uid="{00000000-0005-0000-0000-000097840000}"/>
    <cellStyle name="Normal 3 3 3 2 3 4 3 2" xfId="50107" xr:uid="{00000000-0005-0000-0000-000098840000}"/>
    <cellStyle name="Normal 3 3 3 2 3 4 4" xfId="36545" xr:uid="{00000000-0005-0000-0000-000099840000}"/>
    <cellStyle name="Normal 3 3 3 2 3 5" xfId="12798" xr:uid="{00000000-0005-0000-0000-00009A840000}"/>
    <cellStyle name="Normal 3 3 3 2 3 5 2" xfId="26366" xr:uid="{00000000-0005-0000-0000-00009B840000}"/>
    <cellStyle name="Normal 3 3 3 2 3 5 2 2" xfId="53499" xr:uid="{00000000-0005-0000-0000-00009C840000}"/>
    <cellStyle name="Normal 3 3 3 2 3 5 3" xfId="39937" xr:uid="{00000000-0005-0000-0000-00009D840000}"/>
    <cellStyle name="Normal 3 3 3 2 3 6" xfId="19585" xr:uid="{00000000-0005-0000-0000-00009E840000}"/>
    <cellStyle name="Normal 3 3 3 2 3 6 2" xfId="46718" xr:uid="{00000000-0005-0000-0000-00009F840000}"/>
    <cellStyle name="Normal 3 3 3 2 3 7" xfId="33156" xr:uid="{00000000-0005-0000-0000-0000A0840000}"/>
    <cellStyle name="Normal 3 3 3 2 4" xfId="5858" xr:uid="{00000000-0005-0000-0000-0000A1840000}"/>
    <cellStyle name="Normal 3 3 3 2 4 2" xfId="5859" xr:uid="{00000000-0005-0000-0000-0000A2840000}"/>
    <cellStyle name="Normal 3 3 3 2 4 2 2" xfId="9402" xr:uid="{00000000-0005-0000-0000-0000A3840000}"/>
    <cellStyle name="Normal 3 3 3 2 4 2 2 2" xfId="16191" xr:uid="{00000000-0005-0000-0000-0000A4840000}"/>
    <cellStyle name="Normal 3 3 3 2 4 2 2 2 2" xfId="29759" xr:uid="{00000000-0005-0000-0000-0000A5840000}"/>
    <cellStyle name="Normal 3 3 3 2 4 2 2 2 2 2" xfId="56892" xr:uid="{00000000-0005-0000-0000-0000A6840000}"/>
    <cellStyle name="Normal 3 3 3 2 4 2 2 2 3" xfId="43330" xr:uid="{00000000-0005-0000-0000-0000A7840000}"/>
    <cellStyle name="Normal 3 3 3 2 4 2 2 3" xfId="22978" xr:uid="{00000000-0005-0000-0000-0000A8840000}"/>
    <cellStyle name="Normal 3 3 3 2 4 2 2 3 2" xfId="50111" xr:uid="{00000000-0005-0000-0000-0000A9840000}"/>
    <cellStyle name="Normal 3 3 3 2 4 2 2 4" xfId="36549" xr:uid="{00000000-0005-0000-0000-0000AA840000}"/>
    <cellStyle name="Normal 3 3 3 2 4 2 3" xfId="12802" xr:uid="{00000000-0005-0000-0000-0000AB840000}"/>
    <cellStyle name="Normal 3 3 3 2 4 2 3 2" xfId="26370" xr:uid="{00000000-0005-0000-0000-0000AC840000}"/>
    <cellStyle name="Normal 3 3 3 2 4 2 3 2 2" xfId="53503" xr:uid="{00000000-0005-0000-0000-0000AD840000}"/>
    <cellStyle name="Normal 3 3 3 2 4 2 3 3" xfId="39941" xr:uid="{00000000-0005-0000-0000-0000AE840000}"/>
    <cellStyle name="Normal 3 3 3 2 4 2 4" xfId="19589" xr:uid="{00000000-0005-0000-0000-0000AF840000}"/>
    <cellStyle name="Normal 3 3 3 2 4 2 4 2" xfId="46722" xr:uid="{00000000-0005-0000-0000-0000B0840000}"/>
    <cellStyle name="Normal 3 3 3 2 4 2 5" xfId="33160" xr:uid="{00000000-0005-0000-0000-0000B1840000}"/>
    <cellStyle name="Normal 3 3 3 2 4 3" xfId="9401" xr:uid="{00000000-0005-0000-0000-0000B2840000}"/>
    <cellStyle name="Normal 3 3 3 2 4 3 2" xfId="16190" xr:uid="{00000000-0005-0000-0000-0000B3840000}"/>
    <cellStyle name="Normal 3 3 3 2 4 3 2 2" xfId="29758" xr:uid="{00000000-0005-0000-0000-0000B4840000}"/>
    <cellStyle name="Normal 3 3 3 2 4 3 2 2 2" xfId="56891" xr:uid="{00000000-0005-0000-0000-0000B5840000}"/>
    <cellStyle name="Normal 3 3 3 2 4 3 2 3" xfId="43329" xr:uid="{00000000-0005-0000-0000-0000B6840000}"/>
    <cellStyle name="Normal 3 3 3 2 4 3 3" xfId="22977" xr:uid="{00000000-0005-0000-0000-0000B7840000}"/>
    <cellStyle name="Normal 3 3 3 2 4 3 3 2" xfId="50110" xr:uid="{00000000-0005-0000-0000-0000B8840000}"/>
    <cellStyle name="Normal 3 3 3 2 4 3 4" xfId="36548" xr:uid="{00000000-0005-0000-0000-0000B9840000}"/>
    <cellStyle name="Normal 3 3 3 2 4 4" xfId="12801" xr:uid="{00000000-0005-0000-0000-0000BA840000}"/>
    <cellStyle name="Normal 3 3 3 2 4 4 2" xfId="26369" xr:uid="{00000000-0005-0000-0000-0000BB840000}"/>
    <cellStyle name="Normal 3 3 3 2 4 4 2 2" xfId="53502" xr:uid="{00000000-0005-0000-0000-0000BC840000}"/>
    <cellStyle name="Normal 3 3 3 2 4 4 3" xfId="39940" xr:uid="{00000000-0005-0000-0000-0000BD840000}"/>
    <cellStyle name="Normal 3 3 3 2 4 5" xfId="19588" xr:uid="{00000000-0005-0000-0000-0000BE840000}"/>
    <cellStyle name="Normal 3 3 3 2 4 5 2" xfId="46721" xr:uid="{00000000-0005-0000-0000-0000BF840000}"/>
    <cellStyle name="Normal 3 3 3 2 4 6" xfId="33159" xr:uid="{00000000-0005-0000-0000-0000C0840000}"/>
    <cellStyle name="Normal 3 3 3 2 5" xfId="5860" xr:uid="{00000000-0005-0000-0000-0000C1840000}"/>
    <cellStyle name="Normal 3 3 3 2 5 2" xfId="9403" xr:uid="{00000000-0005-0000-0000-0000C2840000}"/>
    <cellStyle name="Normal 3 3 3 2 5 2 2" xfId="16192" xr:uid="{00000000-0005-0000-0000-0000C3840000}"/>
    <cellStyle name="Normal 3 3 3 2 5 2 2 2" xfId="29760" xr:uid="{00000000-0005-0000-0000-0000C4840000}"/>
    <cellStyle name="Normal 3 3 3 2 5 2 2 2 2" xfId="56893" xr:uid="{00000000-0005-0000-0000-0000C5840000}"/>
    <cellStyle name="Normal 3 3 3 2 5 2 2 3" xfId="43331" xr:uid="{00000000-0005-0000-0000-0000C6840000}"/>
    <cellStyle name="Normal 3 3 3 2 5 2 3" xfId="22979" xr:uid="{00000000-0005-0000-0000-0000C7840000}"/>
    <cellStyle name="Normal 3 3 3 2 5 2 3 2" xfId="50112" xr:uid="{00000000-0005-0000-0000-0000C8840000}"/>
    <cellStyle name="Normal 3 3 3 2 5 2 4" xfId="36550" xr:uid="{00000000-0005-0000-0000-0000C9840000}"/>
    <cellStyle name="Normal 3 3 3 2 5 3" xfId="12803" xr:uid="{00000000-0005-0000-0000-0000CA840000}"/>
    <cellStyle name="Normal 3 3 3 2 5 3 2" xfId="26371" xr:uid="{00000000-0005-0000-0000-0000CB840000}"/>
    <cellStyle name="Normal 3 3 3 2 5 3 2 2" xfId="53504" xr:uid="{00000000-0005-0000-0000-0000CC840000}"/>
    <cellStyle name="Normal 3 3 3 2 5 3 3" xfId="39942" xr:uid="{00000000-0005-0000-0000-0000CD840000}"/>
    <cellStyle name="Normal 3 3 3 2 5 4" xfId="19590" xr:uid="{00000000-0005-0000-0000-0000CE840000}"/>
    <cellStyle name="Normal 3 3 3 2 5 4 2" xfId="46723" xr:uid="{00000000-0005-0000-0000-0000CF840000}"/>
    <cellStyle name="Normal 3 3 3 2 5 5" xfId="33161" xr:uid="{00000000-0005-0000-0000-0000D0840000}"/>
    <cellStyle name="Normal 3 3 3 2 6" xfId="5861" xr:uid="{00000000-0005-0000-0000-0000D1840000}"/>
    <cellStyle name="Normal 3 3 3 2 6 2" xfId="9404" xr:uid="{00000000-0005-0000-0000-0000D2840000}"/>
    <cellStyle name="Normal 3 3 3 2 6 2 2" xfId="16193" xr:uid="{00000000-0005-0000-0000-0000D3840000}"/>
    <cellStyle name="Normal 3 3 3 2 6 2 2 2" xfId="29761" xr:uid="{00000000-0005-0000-0000-0000D4840000}"/>
    <cellStyle name="Normal 3 3 3 2 6 2 2 2 2" xfId="56894" xr:uid="{00000000-0005-0000-0000-0000D5840000}"/>
    <cellStyle name="Normal 3 3 3 2 6 2 2 3" xfId="43332" xr:uid="{00000000-0005-0000-0000-0000D6840000}"/>
    <cellStyle name="Normal 3 3 3 2 6 2 3" xfId="22980" xr:uid="{00000000-0005-0000-0000-0000D7840000}"/>
    <cellStyle name="Normal 3 3 3 2 6 2 3 2" xfId="50113" xr:uid="{00000000-0005-0000-0000-0000D8840000}"/>
    <cellStyle name="Normal 3 3 3 2 6 2 4" xfId="36551" xr:uid="{00000000-0005-0000-0000-0000D9840000}"/>
    <cellStyle name="Normal 3 3 3 2 6 3" xfId="12804" xr:uid="{00000000-0005-0000-0000-0000DA840000}"/>
    <cellStyle name="Normal 3 3 3 2 6 3 2" xfId="26372" xr:uid="{00000000-0005-0000-0000-0000DB840000}"/>
    <cellStyle name="Normal 3 3 3 2 6 3 2 2" xfId="53505" xr:uid="{00000000-0005-0000-0000-0000DC840000}"/>
    <cellStyle name="Normal 3 3 3 2 6 3 3" xfId="39943" xr:uid="{00000000-0005-0000-0000-0000DD840000}"/>
    <cellStyle name="Normal 3 3 3 2 6 4" xfId="19591" xr:uid="{00000000-0005-0000-0000-0000DE840000}"/>
    <cellStyle name="Normal 3 3 3 2 6 4 2" xfId="46724" xr:uid="{00000000-0005-0000-0000-0000DF840000}"/>
    <cellStyle name="Normal 3 3 3 2 6 5" xfId="33162" xr:uid="{00000000-0005-0000-0000-0000E0840000}"/>
    <cellStyle name="Normal 3 3 3 2 7" xfId="7499" xr:uid="{00000000-0005-0000-0000-0000E1840000}"/>
    <cellStyle name="Normal 3 3 3 2 7 2" xfId="14288" xr:uid="{00000000-0005-0000-0000-0000E2840000}"/>
    <cellStyle name="Normal 3 3 3 2 7 2 2" xfId="27856" xr:uid="{00000000-0005-0000-0000-0000E3840000}"/>
    <cellStyle name="Normal 3 3 3 2 7 2 2 2" xfId="54989" xr:uid="{00000000-0005-0000-0000-0000E4840000}"/>
    <cellStyle name="Normal 3 3 3 2 7 2 3" xfId="41427" xr:uid="{00000000-0005-0000-0000-0000E5840000}"/>
    <cellStyle name="Normal 3 3 3 2 7 3" xfId="21075" xr:uid="{00000000-0005-0000-0000-0000E6840000}"/>
    <cellStyle name="Normal 3 3 3 2 7 3 2" xfId="48208" xr:uid="{00000000-0005-0000-0000-0000E7840000}"/>
    <cellStyle name="Normal 3 3 3 2 7 4" xfId="34646" xr:uid="{00000000-0005-0000-0000-0000E8840000}"/>
    <cellStyle name="Normal 3 3 3 2 8" xfId="10899" xr:uid="{00000000-0005-0000-0000-0000E9840000}"/>
    <cellStyle name="Normal 3 3 3 2 8 2" xfId="24467" xr:uid="{00000000-0005-0000-0000-0000EA840000}"/>
    <cellStyle name="Normal 3 3 3 2 8 2 2" xfId="51600" xr:uid="{00000000-0005-0000-0000-0000EB840000}"/>
    <cellStyle name="Normal 3 3 3 2 8 3" xfId="38038" xr:uid="{00000000-0005-0000-0000-0000EC840000}"/>
    <cellStyle name="Normal 3 3 3 2 9" xfId="17686" xr:uid="{00000000-0005-0000-0000-0000ED840000}"/>
    <cellStyle name="Normal 3 3 3 2 9 2" xfId="44819" xr:uid="{00000000-0005-0000-0000-0000EE840000}"/>
    <cellStyle name="Normal 3 3 3 3" xfId="5862" xr:uid="{00000000-0005-0000-0000-0000EF840000}"/>
    <cellStyle name="Normal 3 3 3 3 2" xfId="5863" xr:uid="{00000000-0005-0000-0000-0000F0840000}"/>
    <cellStyle name="Normal 3 3 3 3 2 2" xfId="5864" xr:uid="{00000000-0005-0000-0000-0000F1840000}"/>
    <cellStyle name="Normal 3 3 3 3 2 2 2" xfId="9407" xr:uid="{00000000-0005-0000-0000-0000F2840000}"/>
    <cellStyle name="Normal 3 3 3 3 2 2 2 2" xfId="16196" xr:uid="{00000000-0005-0000-0000-0000F3840000}"/>
    <cellStyle name="Normal 3 3 3 3 2 2 2 2 2" xfId="29764" xr:uid="{00000000-0005-0000-0000-0000F4840000}"/>
    <cellStyle name="Normal 3 3 3 3 2 2 2 2 2 2" xfId="56897" xr:uid="{00000000-0005-0000-0000-0000F5840000}"/>
    <cellStyle name="Normal 3 3 3 3 2 2 2 2 3" xfId="43335" xr:uid="{00000000-0005-0000-0000-0000F6840000}"/>
    <cellStyle name="Normal 3 3 3 3 2 2 2 3" xfId="22983" xr:uid="{00000000-0005-0000-0000-0000F7840000}"/>
    <cellStyle name="Normal 3 3 3 3 2 2 2 3 2" xfId="50116" xr:uid="{00000000-0005-0000-0000-0000F8840000}"/>
    <cellStyle name="Normal 3 3 3 3 2 2 2 4" xfId="36554" xr:uid="{00000000-0005-0000-0000-0000F9840000}"/>
    <cellStyle name="Normal 3 3 3 3 2 2 3" xfId="12807" xr:uid="{00000000-0005-0000-0000-0000FA840000}"/>
    <cellStyle name="Normal 3 3 3 3 2 2 3 2" xfId="26375" xr:uid="{00000000-0005-0000-0000-0000FB840000}"/>
    <cellStyle name="Normal 3 3 3 3 2 2 3 2 2" xfId="53508" xr:uid="{00000000-0005-0000-0000-0000FC840000}"/>
    <cellStyle name="Normal 3 3 3 3 2 2 3 3" xfId="39946" xr:uid="{00000000-0005-0000-0000-0000FD840000}"/>
    <cellStyle name="Normal 3 3 3 3 2 2 4" xfId="19594" xr:uid="{00000000-0005-0000-0000-0000FE840000}"/>
    <cellStyle name="Normal 3 3 3 3 2 2 4 2" xfId="46727" xr:uid="{00000000-0005-0000-0000-0000FF840000}"/>
    <cellStyle name="Normal 3 3 3 3 2 2 5" xfId="33165" xr:uid="{00000000-0005-0000-0000-000000850000}"/>
    <cellStyle name="Normal 3 3 3 3 2 3" xfId="5865" xr:uid="{00000000-0005-0000-0000-000001850000}"/>
    <cellStyle name="Normal 3 3 3 3 2 3 2" xfId="9408" xr:uid="{00000000-0005-0000-0000-000002850000}"/>
    <cellStyle name="Normal 3 3 3 3 2 3 2 2" xfId="16197" xr:uid="{00000000-0005-0000-0000-000003850000}"/>
    <cellStyle name="Normal 3 3 3 3 2 3 2 2 2" xfId="29765" xr:uid="{00000000-0005-0000-0000-000004850000}"/>
    <cellStyle name="Normal 3 3 3 3 2 3 2 2 2 2" xfId="56898" xr:uid="{00000000-0005-0000-0000-000005850000}"/>
    <cellStyle name="Normal 3 3 3 3 2 3 2 2 3" xfId="43336" xr:uid="{00000000-0005-0000-0000-000006850000}"/>
    <cellStyle name="Normal 3 3 3 3 2 3 2 3" xfId="22984" xr:uid="{00000000-0005-0000-0000-000007850000}"/>
    <cellStyle name="Normal 3 3 3 3 2 3 2 3 2" xfId="50117" xr:uid="{00000000-0005-0000-0000-000008850000}"/>
    <cellStyle name="Normal 3 3 3 3 2 3 2 4" xfId="36555" xr:uid="{00000000-0005-0000-0000-000009850000}"/>
    <cellStyle name="Normal 3 3 3 3 2 3 3" xfId="12808" xr:uid="{00000000-0005-0000-0000-00000A850000}"/>
    <cellStyle name="Normal 3 3 3 3 2 3 3 2" xfId="26376" xr:uid="{00000000-0005-0000-0000-00000B850000}"/>
    <cellStyle name="Normal 3 3 3 3 2 3 3 2 2" xfId="53509" xr:uid="{00000000-0005-0000-0000-00000C850000}"/>
    <cellStyle name="Normal 3 3 3 3 2 3 3 3" xfId="39947" xr:uid="{00000000-0005-0000-0000-00000D850000}"/>
    <cellStyle name="Normal 3 3 3 3 2 3 4" xfId="19595" xr:uid="{00000000-0005-0000-0000-00000E850000}"/>
    <cellStyle name="Normal 3 3 3 3 2 3 4 2" xfId="46728" xr:uid="{00000000-0005-0000-0000-00000F850000}"/>
    <cellStyle name="Normal 3 3 3 3 2 3 5" xfId="33166" xr:uid="{00000000-0005-0000-0000-000010850000}"/>
    <cellStyle name="Normal 3 3 3 3 2 4" xfId="9406" xr:uid="{00000000-0005-0000-0000-000011850000}"/>
    <cellStyle name="Normal 3 3 3 3 2 4 2" xfId="16195" xr:uid="{00000000-0005-0000-0000-000012850000}"/>
    <cellStyle name="Normal 3 3 3 3 2 4 2 2" xfId="29763" xr:uid="{00000000-0005-0000-0000-000013850000}"/>
    <cellStyle name="Normal 3 3 3 3 2 4 2 2 2" xfId="56896" xr:uid="{00000000-0005-0000-0000-000014850000}"/>
    <cellStyle name="Normal 3 3 3 3 2 4 2 3" xfId="43334" xr:uid="{00000000-0005-0000-0000-000015850000}"/>
    <cellStyle name="Normal 3 3 3 3 2 4 3" xfId="22982" xr:uid="{00000000-0005-0000-0000-000016850000}"/>
    <cellStyle name="Normal 3 3 3 3 2 4 3 2" xfId="50115" xr:uid="{00000000-0005-0000-0000-000017850000}"/>
    <cellStyle name="Normal 3 3 3 3 2 4 4" xfId="36553" xr:uid="{00000000-0005-0000-0000-000018850000}"/>
    <cellStyle name="Normal 3 3 3 3 2 5" xfId="12806" xr:uid="{00000000-0005-0000-0000-000019850000}"/>
    <cellStyle name="Normal 3 3 3 3 2 5 2" xfId="26374" xr:uid="{00000000-0005-0000-0000-00001A850000}"/>
    <cellStyle name="Normal 3 3 3 3 2 5 2 2" xfId="53507" xr:uid="{00000000-0005-0000-0000-00001B850000}"/>
    <cellStyle name="Normal 3 3 3 3 2 5 3" xfId="39945" xr:uid="{00000000-0005-0000-0000-00001C850000}"/>
    <cellStyle name="Normal 3 3 3 3 2 6" xfId="19593" xr:uid="{00000000-0005-0000-0000-00001D850000}"/>
    <cellStyle name="Normal 3 3 3 3 2 6 2" xfId="46726" xr:uid="{00000000-0005-0000-0000-00001E850000}"/>
    <cellStyle name="Normal 3 3 3 3 2 7" xfId="33164" xr:uid="{00000000-0005-0000-0000-00001F850000}"/>
    <cellStyle name="Normal 3 3 3 3 3" xfId="5866" xr:uid="{00000000-0005-0000-0000-000020850000}"/>
    <cellStyle name="Normal 3 3 3 3 3 2" xfId="5867" xr:uid="{00000000-0005-0000-0000-000021850000}"/>
    <cellStyle name="Normal 3 3 3 3 3 2 2" xfId="9410" xr:uid="{00000000-0005-0000-0000-000022850000}"/>
    <cellStyle name="Normal 3 3 3 3 3 2 2 2" xfId="16199" xr:uid="{00000000-0005-0000-0000-000023850000}"/>
    <cellStyle name="Normal 3 3 3 3 3 2 2 2 2" xfId="29767" xr:uid="{00000000-0005-0000-0000-000024850000}"/>
    <cellStyle name="Normal 3 3 3 3 3 2 2 2 2 2" xfId="56900" xr:uid="{00000000-0005-0000-0000-000025850000}"/>
    <cellStyle name="Normal 3 3 3 3 3 2 2 2 3" xfId="43338" xr:uid="{00000000-0005-0000-0000-000026850000}"/>
    <cellStyle name="Normal 3 3 3 3 3 2 2 3" xfId="22986" xr:uid="{00000000-0005-0000-0000-000027850000}"/>
    <cellStyle name="Normal 3 3 3 3 3 2 2 3 2" xfId="50119" xr:uid="{00000000-0005-0000-0000-000028850000}"/>
    <cellStyle name="Normal 3 3 3 3 3 2 2 4" xfId="36557" xr:uid="{00000000-0005-0000-0000-000029850000}"/>
    <cellStyle name="Normal 3 3 3 3 3 2 3" xfId="12810" xr:uid="{00000000-0005-0000-0000-00002A850000}"/>
    <cellStyle name="Normal 3 3 3 3 3 2 3 2" xfId="26378" xr:uid="{00000000-0005-0000-0000-00002B850000}"/>
    <cellStyle name="Normal 3 3 3 3 3 2 3 2 2" xfId="53511" xr:uid="{00000000-0005-0000-0000-00002C850000}"/>
    <cellStyle name="Normal 3 3 3 3 3 2 3 3" xfId="39949" xr:uid="{00000000-0005-0000-0000-00002D850000}"/>
    <cellStyle name="Normal 3 3 3 3 3 2 4" xfId="19597" xr:uid="{00000000-0005-0000-0000-00002E850000}"/>
    <cellStyle name="Normal 3 3 3 3 3 2 4 2" xfId="46730" xr:uid="{00000000-0005-0000-0000-00002F850000}"/>
    <cellStyle name="Normal 3 3 3 3 3 2 5" xfId="33168" xr:uid="{00000000-0005-0000-0000-000030850000}"/>
    <cellStyle name="Normal 3 3 3 3 3 3" xfId="9409" xr:uid="{00000000-0005-0000-0000-000031850000}"/>
    <cellStyle name="Normal 3 3 3 3 3 3 2" xfId="16198" xr:uid="{00000000-0005-0000-0000-000032850000}"/>
    <cellStyle name="Normal 3 3 3 3 3 3 2 2" xfId="29766" xr:uid="{00000000-0005-0000-0000-000033850000}"/>
    <cellStyle name="Normal 3 3 3 3 3 3 2 2 2" xfId="56899" xr:uid="{00000000-0005-0000-0000-000034850000}"/>
    <cellStyle name="Normal 3 3 3 3 3 3 2 3" xfId="43337" xr:uid="{00000000-0005-0000-0000-000035850000}"/>
    <cellStyle name="Normal 3 3 3 3 3 3 3" xfId="22985" xr:uid="{00000000-0005-0000-0000-000036850000}"/>
    <cellStyle name="Normal 3 3 3 3 3 3 3 2" xfId="50118" xr:uid="{00000000-0005-0000-0000-000037850000}"/>
    <cellStyle name="Normal 3 3 3 3 3 3 4" xfId="36556" xr:uid="{00000000-0005-0000-0000-000038850000}"/>
    <cellStyle name="Normal 3 3 3 3 3 4" xfId="12809" xr:uid="{00000000-0005-0000-0000-000039850000}"/>
    <cellStyle name="Normal 3 3 3 3 3 4 2" xfId="26377" xr:uid="{00000000-0005-0000-0000-00003A850000}"/>
    <cellStyle name="Normal 3 3 3 3 3 4 2 2" xfId="53510" xr:uid="{00000000-0005-0000-0000-00003B850000}"/>
    <cellStyle name="Normal 3 3 3 3 3 4 3" xfId="39948" xr:uid="{00000000-0005-0000-0000-00003C850000}"/>
    <cellStyle name="Normal 3 3 3 3 3 5" xfId="19596" xr:uid="{00000000-0005-0000-0000-00003D850000}"/>
    <cellStyle name="Normal 3 3 3 3 3 5 2" xfId="46729" xr:uid="{00000000-0005-0000-0000-00003E850000}"/>
    <cellStyle name="Normal 3 3 3 3 3 6" xfId="33167" xr:uid="{00000000-0005-0000-0000-00003F850000}"/>
    <cellStyle name="Normal 3 3 3 3 4" xfId="5868" xr:uid="{00000000-0005-0000-0000-000040850000}"/>
    <cellStyle name="Normal 3 3 3 3 4 2" xfId="9411" xr:uid="{00000000-0005-0000-0000-000041850000}"/>
    <cellStyle name="Normal 3 3 3 3 4 2 2" xfId="16200" xr:uid="{00000000-0005-0000-0000-000042850000}"/>
    <cellStyle name="Normal 3 3 3 3 4 2 2 2" xfId="29768" xr:uid="{00000000-0005-0000-0000-000043850000}"/>
    <cellStyle name="Normal 3 3 3 3 4 2 2 2 2" xfId="56901" xr:uid="{00000000-0005-0000-0000-000044850000}"/>
    <cellStyle name="Normal 3 3 3 3 4 2 2 3" xfId="43339" xr:uid="{00000000-0005-0000-0000-000045850000}"/>
    <cellStyle name="Normal 3 3 3 3 4 2 3" xfId="22987" xr:uid="{00000000-0005-0000-0000-000046850000}"/>
    <cellStyle name="Normal 3 3 3 3 4 2 3 2" xfId="50120" xr:uid="{00000000-0005-0000-0000-000047850000}"/>
    <cellStyle name="Normal 3 3 3 3 4 2 4" xfId="36558" xr:uid="{00000000-0005-0000-0000-000048850000}"/>
    <cellStyle name="Normal 3 3 3 3 4 3" xfId="12811" xr:uid="{00000000-0005-0000-0000-000049850000}"/>
    <cellStyle name="Normal 3 3 3 3 4 3 2" xfId="26379" xr:uid="{00000000-0005-0000-0000-00004A850000}"/>
    <cellStyle name="Normal 3 3 3 3 4 3 2 2" xfId="53512" xr:uid="{00000000-0005-0000-0000-00004B850000}"/>
    <cellStyle name="Normal 3 3 3 3 4 3 3" xfId="39950" xr:uid="{00000000-0005-0000-0000-00004C850000}"/>
    <cellStyle name="Normal 3 3 3 3 4 4" xfId="19598" xr:uid="{00000000-0005-0000-0000-00004D850000}"/>
    <cellStyle name="Normal 3 3 3 3 4 4 2" xfId="46731" xr:uid="{00000000-0005-0000-0000-00004E850000}"/>
    <cellStyle name="Normal 3 3 3 3 4 5" xfId="33169" xr:uid="{00000000-0005-0000-0000-00004F850000}"/>
    <cellStyle name="Normal 3 3 3 3 5" xfId="5869" xr:uid="{00000000-0005-0000-0000-000050850000}"/>
    <cellStyle name="Normal 3 3 3 3 5 2" xfId="9412" xr:uid="{00000000-0005-0000-0000-000051850000}"/>
    <cellStyle name="Normal 3 3 3 3 5 2 2" xfId="16201" xr:uid="{00000000-0005-0000-0000-000052850000}"/>
    <cellStyle name="Normal 3 3 3 3 5 2 2 2" xfId="29769" xr:uid="{00000000-0005-0000-0000-000053850000}"/>
    <cellStyle name="Normal 3 3 3 3 5 2 2 2 2" xfId="56902" xr:uid="{00000000-0005-0000-0000-000054850000}"/>
    <cellStyle name="Normal 3 3 3 3 5 2 2 3" xfId="43340" xr:uid="{00000000-0005-0000-0000-000055850000}"/>
    <cellStyle name="Normal 3 3 3 3 5 2 3" xfId="22988" xr:uid="{00000000-0005-0000-0000-000056850000}"/>
    <cellStyle name="Normal 3 3 3 3 5 2 3 2" xfId="50121" xr:uid="{00000000-0005-0000-0000-000057850000}"/>
    <cellStyle name="Normal 3 3 3 3 5 2 4" xfId="36559" xr:uid="{00000000-0005-0000-0000-000058850000}"/>
    <cellStyle name="Normal 3 3 3 3 5 3" xfId="12812" xr:uid="{00000000-0005-0000-0000-000059850000}"/>
    <cellStyle name="Normal 3 3 3 3 5 3 2" xfId="26380" xr:uid="{00000000-0005-0000-0000-00005A850000}"/>
    <cellStyle name="Normal 3 3 3 3 5 3 2 2" xfId="53513" xr:uid="{00000000-0005-0000-0000-00005B850000}"/>
    <cellStyle name="Normal 3 3 3 3 5 3 3" xfId="39951" xr:uid="{00000000-0005-0000-0000-00005C850000}"/>
    <cellStyle name="Normal 3 3 3 3 5 4" xfId="19599" xr:uid="{00000000-0005-0000-0000-00005D850000}"/>
    <cellStyle name="Normal 3 3 3 3 5 4 2" xfId="46732" xr:uid="{00000000-0005-0000-0000-00005E850000}"/>
    <cellStyle name="Normal 3 3 3 3 5 5" xfId="33170" xr:uid="{00000000-0005-0000-0000-00005F850000}"/>
    <cellStyle name="Normal 3 3 3 3 6" xfId="9405" xr:uid="{00000000-0005-0000-0000-000060850000}"/>
    <cellStyle name="Normal 3 3 3 3 6 2" xfId="16194" xr:uid="{00000000-0005-0000-0000-000061850000}"/>
    <cellStyle name="Normal 3 3 3 3 6 2 2" xfId="29762" xr:uid="{00000000-0005-0000-0000-000062850000}"/>
    <cellStyle name="Normal 3 3 3 3 6 2 2 2" xfId="56895" xr:uid="{00000000-0005-0000-0000-000063850000}"/>
    <cellStyle name="Normal 3 3 3 3 6 2 3" xfId="43333" xr:uid="{00000000-0005-0000-0000-000064850000}"/>
    <cellStyle name="Normal 3 3 3 3 6 3" xfId="22981" xr:uid="{00000000-0005-0000-0000-000065850000}"/>
    <cellStyle name="Normal 3 3 3 3 6 3 2" xfId="50114" xr:uid="{00000000-0005-0000-0000-000066850000}"/>
    <cellStyle name="Normal 3 3 3 3 6 4" xfId="36552" xr:uid="{00000000-0005-0000-0000-000067850000}"/>
    <cellStyle name="Normal 3 3 3 3 7" xfId="12805" xr:uid="{00000000-0005-0000-0000-000068850000}"/>
    <cellStyle name="Normal 3 3 3 3 7 2" xfId="26373" xr:uid="{00000000-0005-0000-0000-000069850000}"/>
    <cellStyle name="Normal 3 3 3 3 7 2 2" xfId="53506" xr:uid="{00000000-0005-0000-0000-00006A850000}"/>
    <cellStyle name="Normal 3 3 3 3 7 3" xfId="39944" xr:uid="{00000000-0005-0000-0000-00006B850000}"/>
    <cellStyle name="Normal 3 3 3 3 8" xfId="19592" xr:uid="{00000000-0005-0000-0000-00006C850000}"/>
    <cellStyle name="Normal 3 3 3 3 8 2" xfId="46725" xr:uid="{00000000-0005-0000-0000-00006D850000}"/>
    <cellStyle name="Normal 3 3 3 3 9" xfId="33163" xr:uid="{00000000-0005-0000-0000-00006E850000}"/>
    <cellStyle name="Normal 3 3 3 4" xfId="5870" xr:uid="{00000000-0005-0000-0000-00006F850000}"/>
    <cellStyle name="Normal 3 3 3 4 2" xfId="5871" xr:uid="{00000000-0005-0000-0000-000070850000}"/>
    <cellStyle name="Normal 3 3 3 4 2 2" xfId="5872" xr:uid="{00000000-0005-0000-0000-000071850000}"/>
    <cellStyle name="Normal 3 3 3 4 2 2 2" xfId="9415" xr:uid="{00000000-0005-0000-0000-000072850000}"/>
    <cellStyle name="Normal 3 3 3 4 2 2 2 2" xfId="16204" xr:uid="{00000000-0005-0000-0000-000073850000}"/>
    <cellStyle name="Normal 3 3 3 4 2 2 2 2 2" xfId="29772" xr:uid="{00000000-0005-0000-0000-000074850000}"/>
    <cellStyle name="Normal 3 3 3 4 2 2 2 2 2 2" xfId="56905" xr:uid="{00000000-0005-0000-0000-000075850000}"/>
    <cellStyle name="Normal 3 3 3 4 2 2 2 2 3" xfId="43343" xr:uid="{00000000-0005-0000-0000-000076850000}"/>
    <cellStyle name="Normal 3 3 3 4 2 2 2 3" xfId="22991" xr:uid="{00000000-0005-0000-0000-000077850000}"/>
    <cellStyle name="Normal 3 3 3 4 2 2 2 3 2" xfId="50124" xr:uid="{00000000-0005-0000-0000-000078850000}"/>
    <cellStyle name="Normal 3 3 3 4 2 2 2 4" xfId="36562" xr:uid="{00000000-0005-0000-0000-000079850000}"/>
    <cellStyle name="Normal 3 3 3 4 2 2 3" xfId="12815" xr:uid="{00000000-0005-0000-0000-00007A850000}"/>
    <cellStyle name="Normal 3 3 3 4 2 2 3 2" xfId="26383" xr:uid="{00000000-0005-0000-0000-00007B850000}"/>
    <cellStyle name="Normal 3 3 3 4 2 2 3 2 2" xfId="53516" xr:uid="{00000000-0005-0000-0000-00007C850000}"/>
    <cellStyle name="Normal 3 3 3 4 2 2 3 3" xfId="39954" xr:uid="{00000000-0005-0000-0000-00007D850000}"/>
    <cellStyle name="Normal 3 3 3 4 2 2 4" xfId="19602" xr:uid="{00000000-0005-0000-0000-00007E850000}"/>
    <cellStyle name="Normal 3 3 3 4 2 2 4 2" xfId="46735" xr:uid="{00000000-0005-0000-0000-00007F850000}"/>
    <cellStyle name="Normal 3 3 3 4 2 2 5" xfId="33173" xr:uid="{00000000-0005-0000-0000-000080850000}"/>
    <cellStyle name="Normal 3 3 3 4 2 3" xfId="5873" xr:uid="{00000000-0005-0000-0000-000081850000}"/>
    <cellStyle name="Normal 3 3 3 4 2 3 2" xfId="9416" xr:uid="{00000000-0005-0000-0000-000082850000}"/>
    <cellStyle name="Normal 3 3 3 4 2 3 2 2" xfId="16205" xr:uid="{00000000-0005-0000-0000-000083850000}"/>
    <cellStyle name="Normal 3 3 3 4 2 3 2 2 2" xfId="29773" xr:uid="{00000000-0005-0000-0000-000084850000}"/>
    <cellStyle name="Normal 3 3 3 4 2 3 2 2 2 2" xfId="56906" xr:uid="{00000000-0005-0000-0000-000085850000}"/>
    <cellStyle name="Normal 3 3 3 4 2 3 2 2 3" xfId="43344" xr:uid="{00000000-0005-0000-0000-000086850000}"/>
    <cellStyle name="Normal 3 3 3 4 2 3 2 3" xfId="22992" xr:uid="{00000000-0005-0000-0000-000087850000}"/>
    <cellStyle name="Normal 3 3 3 4 2 3 2 3 2" xfId="50125" xr:uid="{00000000-0005-0000-0000-000088850000}"/>
    <cellStyle name="Normal 3 3 3 4 2 3 2 4" xfId="36563" xr:uid="{00000000-0005-0000-0000-000089850000}"/>
    <cellStyle name="Normal 3 3 3 4 2 3 3" xfId="12816" xr:uid="{00000000-0005-0000-0000-00008A850000}"/>
    <cellStyle name="Normal 3 3 3 4 2 3 3 2" xfId="26384" xr:uid="{00000000-0005-0000-0000-00008B850000}"/>
    <cellStyle name="Normal 3 3 3 4 2 3 3 2 2" xfId="53517" xr:uid="{00000000-0005-0000-0000-00008C850000}"/>
    <cellStyle name="Normal 3 3 3 4 2 3 3 3" xfId="39955" xr:uid="{00000000-0005-0000-0000-00008D850000}"/>
    <cellStyle name="Normal 3 3 3 4 2 3 4" xfId="19603" xr:uid="{00000000-0005-0000-0000-00008E850000}"/>
    <cellStyle name="Normal 3 3 3 4 2 3 4 2" xfId="46736" xr:uid="{00000000-0005-0000-0000-00008F850000}"/>
    <cellStyle name="Normal 3 3 3 4 2 3 5" xfId="33174" xr:uid="{00000000-0005-0000-0000-000090850000}"/>
    <cellStyle name="Normal 3 3 3 4 2 4" xfId="9414" xr:uid="{00000000-0005-0000-0000-000091850000}"/>
    <cellStyle name="Normal 3 3 3 4 2 4 2" xfId="16203" xr:uid="{00000000-0005-0000-0000-000092850000}"/>
    <cellStyle name="Normal 3 3 3 4 2 4 2 2" xfId="29771" xr:uid="{00000000-0005-0000-0000-000093850000}"/>
    <cellStyle name="Normal 3 3 3 4 2 4 2 2 2" xfId="56904" xr:uid="{00000000-0005-0000-0000-000094850000}"/>
    <cellStyle name="Normal 3 3 3 4 2 4 2 3" xfId="43342" xr:uid="{00000000-0005-0000-0000-000095850000}"/>
    <cellStyle name="Normal 3 3 3 4 2 4 3" xfId="22990" xr:uid="{00000000-0005-0000-0000-000096850000}"/>
    <cellStyle name="Normal 3 3 3 4 2 4 3 2" xfId="50123" xr:uid="{00000000-0005-0000-0000-000097850000}"/>
    <cellStyle name="Normal 3 3 3 4 2 4 4" xfId="36561" xr:uid="{00000000-0005-0000-0000-000098850000}"/>
    <cellStyle name="Normal 3 3 3 4 2 5" xfId="12814" xr:uid="{00000000-0005-0000-0000-000099850000}"/>
    <cellStyle name="Normal 3 3 3 4 2 5 2" xfId="26382" xr:uid="{00000000-0005-0000-0000-00009A850000}"/>
    <cellStyle name="Normal 3 3 3 4 2 5 2 2" xfId="53515" xr:uid="{00000000-0005-0000-0000-00009B850000}"/>
    <cellStyle name="Normal 3 3 3 4 2 5 3" xfId="39953" xr:uid="{00000000-0005-0000-0000-00009C850000}"/>
    <cellStyle name="Normal 3 3 3 4 2 6" xfId="19601" xr:uid="{00000000-0005-0000-0000-00009D850000}"/>
    <cellStyle name="Normal 3 3 3 4 2 6 2" xfId="46734" xr:uid="{00000000-0005-0000-0000-00009E850000}"/>
    <cellStyle name="Normal 3 3 3 4 2 7" xfId="33172" xr:uid="{00000000-0005-0000-0000-00009F850000}"/>
    <cellStyle name="Normal 3 3 3 4 3" xfId="5874" xr:uid="{00000000-0005-0000-0000-0000A0850000}"/>
    <cellStyle name="Normal 3 3 3 4 3 2" xfId="9417" xr:uid="{00000000-0005-0000-0000-0000A1850000}"/>
    <cellStyle name="Normal 3 3 3 4 3 2 2" xfId="16206" xr:uid="{00000000-0005-0000-0000-0000A2850000}"/>
    <cellStyle name="Normal 3 3 3 4 3 2 2 2" xfId="29774" xr:uid="{00000000-0005-0000-0000-0000A3850000}"/>
    <cellStyle name="Normal 3 3 3 4 3 2 2 2 2" xfId="56907" xr:uid="{00000000-0005-0000-0000-0000A4850000}"/>
    <cellStyle name="Normal 3 3 3 4 3 2 2 3" xfId="43345" xr:uid="{00000000-0005-0000-0000-0000A5850000}"/>
    <cellStyle name="Normal 3 3 3 4 3 2 3" xfId="22993" xr:uid="{00000000-0005-0000-0000-0000A6850000}"/>
    <cellStyle name="Normal 3 3 3 4 3 2 3 2" xfId="50126" xr:uid="{00000000-0005-0000-0000-0000A7850000}"/>
    <cellStyle name="Normal 3 3 3 4 3 2 4" xfId="36564" xr:uid="{00000000-0005-0000-0000-0000A8850000}"/>
    <cellStyle name="Normal 3 3 3 4 3 3" xfId="12817" xr:uid="{00000000-0005-0000-0000-0000A9850000}"/>
    <cellStyle name="Normal 3 3 3 4 3 3 2" xfId="26385" xr:uid="{00000000-0005-0000-0000-0000AA850000}"/>
    <cellStyle name="Normal 3 3 3 4 3 3 2 2" xfId="53518" xr:uid="{00000000-0005-0000-0000-0000AB850000}"/>
    <cellStyle name="Normal 3 3 3 4 3 3 3" xfId="39956" xr:uid="{00000000-0005-0000-0000-0000AC850000}"/>
    <cellStyle name="Normal 3 3 3 4 3 4" xfId="19604" xr:uid="{00000000-0005-0000-0000-0000AD850000}"/>
    <cellStyle name="Normal 3 3 3 4 3 4 2" xfId="46737" xr:uid="{00000000-0005-0000-0000-0000AE850000}"/>
    <cellStyle name="Normal 3 3 3 4 3 5" xfId="33175" xr:uid="{00000000-0005-0000-0000-0000AF850000}"/>
    <cellStyle name="Normal 3 3 3 4 4" xfId="5875" xr:uid="{00000000-0005-0000-0000-0000B0850000}"/>
    <cellStyle name="Normal 3 3 3 4 4 2" xfId="9418" xr:uid="{00000000-0005-0000-0000-0000B1850000}"/>
    <cellStyle name="Normal 3 3 3 4 4 2 2" xfId="16207" xr:uid="{00000000-0005-0000-0000-0000B2850000}"/>
    <cellStyle name="Normal 3 3 3 4 4 2 2 2" xfId="29775" xr:uid="{00000000-0005-0000-0000-0000B3850000}"/>
    <cellStyle name="Normal 3 3 3 4 4 2 2 2 2" xfId="56908" xr:uid="{00000000-0005-0000-0000-0000B4850000}"/>
    <cellStyle name="Normal 3 3 3 4 4 2 2 3" xfId="43346" xr:uid="{00000000-0005-0000-0000-0000B5850000}"/>
    <cellStyle name="Normal 3 3 3 4 4 2 3" xfId="22994" xr:uid="{00000000-0005-0000-0000-0000B6850000}"/>
    <cellStyle name="Normal 3 3 3 4 4 2 3 2" xfId="50127" xr:uid="{00000000-0005-0000-0000-0000B7850000}"/>
    <cellStyle name="Normal 3 3 3 4 4 2 4" xfId="36565" xr:uid="{00000000-0005-0000-0000-0000B8850000}"/>
    <cellStyle name="Normal 3 3 3 4 4 3" xfId="12818" xr:uid="{00000000-0005-0000-0000-0000B9850000}"/>
    <cellStyle name="Normal 3 3 3 4 4 3 2" xfId="26386" xr:uid="{00000000-0005-0000-0000-0000BA850000}"/>
    <cellStyle name="Normal 3 3 3 4 4 3 2 2" xfId="53519" xr:uid="{00000000-0005-0000-0000-0000BB850000}"/>
    <cellStyle name="Normal 3 3 3 4 4 3 3" xfId="39957" xr:uid="{00000000-0005-0000-0000-0000BC850000}"/>
    <cellStyle name="Normal 3 3 3 4 4 4" xfId="19605" xr:uid="{00000000-0005-0000-0000-0000BD850000}"/>
    <cellStyle name="Normal 3 3 3 4 4 4 2" xfId="46738" xr:uid="{00000000-0005-0000-0000-0000BE850000}"/>
    <cellStyle name="Normal 3 3 3 4 4 5" xfId="33176" xr:uid="{00000000-0005-0000-0000-0000BF850000}"/>
    <cellStyle name="Normal 3 3 3 4 5" xfId="9413" xr:uid="{00000000-0005-0000-0000-0000C0850000}"/>
    <cellStyle name="Normal 3 3 3 4 5 2" xfId="16202" xr:uid="{00000000-0005-0000-0000-0000C1850000}"/>
    <cellStyle name="Normal 3 3 3 4 5 2 2" xfId="29770" xr:uid="{00000000-0005-0000-0000-0000C2850000}"/>
    <cellStyle name="Normal 3 3 3 4 5 2 2 2" xfId="56903" xr:uid="{00000000-0005-0000-0000-0000C3850000}"/>
    <cellStyle name="Normal 3 3 3 4 5 2 3" xfId="43341" xr:uid="{00000000-0005-0000-0000-0000C4850000}"/>
    <cellStyle name="Normal 3 3 3 4 5 3" xfId="22989" xr:uid="{00000000-0005-0000-0000-0000C5850000}"/>
    <cellStyle name="Normal 3 3 3 4 5 3 2" xfId="50122" xr:uid="{00000000-0005-0000-0000-0000C6850000}"/>
    <cellStyle name="Normal 3 3 3 4 5 4" xfId="36560" xr:uid="{00000000-0005-0000-0000-0000C7850000}"/>
    <cellStyle name="Normal 3 3 3 4 6" xfId="12813" xr:uid="{00000000-0005-0000-0000-0000C8850000}"/>
    <cellStyle name="Normal 3 3 3 4 6 2" xfId="26381" xr:uid="{00000000-0005-0000-0000-0000C9850000}"/>
    <cellStyle name="Normal 3 3 3 4 6 2 2" xfId="53514" xr:uid="{00000000-0005-0000-0000-0000CA850000}"/>
    <cellStyle name="Normal 3 3 3 4 6 3" xfId="39952" xr:uid="{00000000-0005-0000-0000-0000CB850000}"/>
    <cellStyle name="Normal 3 3 3 4 7" xfId="19600" xr:uid="{00000000-0005-0000-0000-0000CC850000}"/>
    <cellStyle name="Normal 3 3 3 4 7 2" xfId="46733" xr:uid="{00000000-0005-0000-0000-0000CD850000}"/>
    <cellStyle name="Normal 3 3 3 4 8" xfId="33171" xr:uid="{00000000-0005-0000-0000-0000CE850000}"/>
    <cellStyle name="Normal 3 3 3 5" xfId="5876" xr:uid="{00000000-0005-0000-0000-0000CF850000}"/>
    <cellStyle name="Normal 3 3 3 5 2" xfId="5877" xr:uid="{00000000-0005-0000-0000-0000D0850000}"/>
    <cellStyle name="Normal 3 3 3 5 2 2" xfId="5878" xr:uid="{00000000-0005-0000-0000-0000D1850000}"/>
    <cellStyle name="Normal 3 3 3 5 2 2 2" xfId="9421" xr:uid="{00000000-0005-0000-0000-0000D2850000}"/>
    <cellStyle name="Normal 3 3 3 5 2 2 2 2" xfId="16210" xr:uid="{00000000-0005-0000-0000-0000D3850000}"/>
    <cellStyle name="Normal 3 3 3 5 2 2 2 2 2" xfId="29778" xr:uid="{00000000-0005-0000-0000-0000D4850000}"/>
    <cellStyle name="Normal 3 3 3 5 2 2 2 2 2 2" xfId="56911" xr:uid="{00000000-0005-0000-0000-0000D5850000}"/>
    <cellStyle name="Normal 3 3 3 5 2 2 2 2 3" xfId="43349" xr:uid="{00000000-0005-0000-0000-0000D6850000}"/>
    <cellStyle name="Normal 3 3 3 5 2 2 2 3" xfId="22997" xr:uid="{00000000-0005-0000-0000-0000D7850000}"/>
    <cellStyle name="Normal 3 3 3 5 2 2 2 3 2" xfId="50130" xr:uid="{00000000-0005-0000-0000-0000D8850000}"/>
    <cellStyle name="Normal 3 3 3 5 2 2 2 4" xfId="36568" xr:uid="{00000000-0005-0000-0000-0000D9850000}"/>
    <cellStyle name="Normal 3 3 3 5 2 2 3" xfId="12821" xr:uid="{00000000-0005-0000-0000-0000DA850000}"/>
    <cellStyle name="Normal 3 3 3 5 2 2 3 2" xfId="26389" xr:uid="{00000000-0005-0000-0000-0000DB850000}"/>
    <cellStyle name="Normal 3 3 3 5 2 2 3 2 2" xfId="53522" xr:uid="{00000000-0005-0000-0000-0000DC850000}"/>
    <cellStyle name="Normal 3 3 3 5 2 2 3 3" xfId="39960" xr:uid="{00000000-0005-0000-0000-0000DD850000}"/>
    <cellStyle name="Normal 3 3 3 5 2 2 4" xfId="19608" xr:uid="{00000000-0005-0000-0000-0000DE850000}"/>
    <cellStyle name="Normal 3 3 3 5 2 2 4 2" xfId="46741" xr:uid="{00000000-0005-0000-0000-0000DF850000}"/>
    <cellStyle name="Normal 3 3 3 5 2 2 5" xfId="33179" xr:uid="{00000000-0005-0000-0000-0000E0850000}"/>
    <cellStyle name="Normal 3 3 3 5 2 3" xfId="5879" xr:uid="{00000000-0005-0000-0000-0000E1850000}"/>
    <cellStyle name="Normal 3 3 3 5 2 3 2" xfId="9422" xr:uid="{00000000-0005-0000-0000-0000E2850000}"/>
    <cellStyle name="Normal 3 3 3 5 2 3 2 2" xfId="16211" xr:uid="{00000000-0005-0000-0000-0000E3850000}"/>
    <cellStyle name="Normal 3 3 3 5 2 3 2 2 2" xfId="29779" xr:uid="{00000000-0005-0000-0000-0000E4850000}"/>
    <cellStyle name="Normal 3 3 3 5 2 3 2 2 2 2" xfId="56912" xr:uid="{00000000-0005-0000-0000-0000E5850000}"/>
    <cellStyle name="Normal 3 3 3 5 2 3 2 2 3" xfId="43350" xr:uid="{00000000-0005-0000-0000-0000E6850000}"/>
    <cellStyle name="Normal 3 3 3 5 2 3 2 3" xfId="22998" xr:uid="{00000000-0005-0000-0000-0000E7850000}"/>
    <cellStyle name="Normal 3 3 3 5 2 3 2 3 2" xfId="50131" xr:uid="{00000000-0005-0000-0000-0000E8850000}"/>
    <cellStyle name="Normal 3 3 3 5 2 3 2 4" xfId="36569" xr:uid="{00000000-0005-0000-0000-0000E9850000}"/>
    <cellStyle name="Normal 3 3 3 5 2 3 3" xfId="12822" xr:uid="{00000000-0005-0000-0000-0000EA850000}"/>
    <cellStyle name="Normal 3 3 3 5 2 3 3 2" xfId="26390" xr:uid="{00000000-0005-0000-0000-0000EB850000}"/>
    <cellStyle name="Normal 3 3 3 5 2 3 3 2 2" xfId="53523" xr:uid="{00000000-0005-0000-0000-0000EC850000}"/>
    <cellStyle name="Normal 3 3 3 5 2 3 3 3" xfId="39961" xr:uid="{00000000-0005-0000-0000-0000ED850000}"/>
    <cellStyle name="Normal 3 3 3 5 2 3 4" xfId="19609" xr:uid="{00000000-0005-0000-0000-0000EE850000}"/>
    <cellStyle name="Normal 3 3 3 5 2 3 4 2" xfId="46742" xr:uid="{00000000-0005-0000-0000-0000EF850000}"/>
    <cellStyle name="Normal 3 3 3 5 2 3 5" xfId="33180" xr:uid="{00000000-0005-0000-0000-0000F0850000}"/>
    <cellStyle name="Normal 3 3 3 5 2 4" xfId="9420" xr:uid="{00000000-0005-0000-0000-0000F1850000}"/>
    <cellStyle name="Normal 3 3 3 5 2 4 2" xfId="16209" xr:uid="{00000000-0005-0000-0000-0000F2850000}"/>
    <cellStyle name="Normal 3 3 3 5 2 4 2 2" xfId="29777" xr:uid="{00000000-0005-0000-0000-0000F3850000}"/>
    <cellStyle name="Normal 3 3 3 5 2 4 2 2 2" xfId="56910" xr:uid="{00000000-0005-0000-0000-0000F4850000}"/>
    <cellStyle name="Normal 3 3 3 5 2 4 2 3" xfId="43348" xr:uid="{00000000-0005-0000-0000-0000F5850000}"/>
    <cellStyle name="Normal 3 3 3 5 2 4 3" xfId="22996" xr:uid="{00000000-0005-0000-0000-0000F6850000}"/>
    <cellStyle name="Normal 3 3 3 5 2 4 3 2" xfId="50129" xr:uid="{00000000-0005-0000-0000-0000F7850000}"/>
    <cellStyle name="Normal 3 3 3 5 2 4 4" xfId="36567" xr:uid="{00000000-0005-0000-0000-0000F8850000}"/>
    <cellStyle name="Normal 3 3 3 5 2 5" xfId="12820" xr:uid="{00000000-0005-0000-0000-0000F9850000}"/>
    <cellStyle name="Normal 3 3 3 5 2 5 2" xfId="26388" xr:uid="{00000000-0005-0000-0000-0000FA850000}"/>
    <cellStyle name="Normal 3 3 3 5 2 5 2 2" xfId="53521" xr:uid="{00000000-0005-0000-0000-0000FB850000}"/>
    <cellStyle name="Normal 3 3 3 5 2 5 3" xfId="39959" xr:uid="{00000000-0005-0000-0000-0000FC850000}"/>
    <cellStyle name="Normal 3 3 3 5 2 6" xfId="19607" xr:uid="{00000000-0005-0000-0000-0000FD850000}"/>
    <cellStyle name="Normal 3 3 3 5 2 6 2" xfId="46740" xr:uid="{00000000-0005-0000-0000-0000FE850000}"/>
    <cellStyle name="Normal 3 3 3 5 2 7" xfId="33178" xr:uid="{00000000-0005-0000-0000-0000FF850000}"/>
    <cellStyle name="Normal 3 3 3 5 3" xfId="5880" xr:uid="{00000000-0005-0000-0000-000000860000}"/>
    <cellStyle name="Normal 3 3 3 5 3 2" xfId="9423" xr:uid="{00000000-0005-0000-0000-000001860000}"/>
    <cellStyle name="Normal 3 3 3 5 3 2 2" xfId="16212" xr:uid="{00000000-0005-0000-0000-000002860000}"/>
    <cellStyle name="Normal 3 3 3 5 3 2 2 2" xfId="29780" xr:uid="{00000000-0005-0000-0000-000003860000}"/>
    <cellStyle name="Normal 3 3 3 5 3 2 2 2 2" xfId="56913" xr:uid="{00000000-0005-0000-0000-000004860000}"/>
    <cellStyle name="Normal 3 3 3 5 3 2 2 3" xfId="43351" xr:uid="{00000000-0005-0000-0000-000005860000}"/>
    <cellStyle name="Normal 3 3 3 5 3 2 3" xfId="22999" xr:uid="{00000000-0005-0000-0000-000006860000}"/>
    <cellStyle name="Normal 3 3 3 5 3 2 3 2" xfId="50132" xr:uid="{00000000-0005-0000-0000-000007860000}"/>
    <cellStyle name="Normal 3 3 3 5 3 2 4" xfId="36570" xr:uid="{00000000-0005-0000-0000-000008860000}"/>
    <cellStyle name="Normal 3 3 3 5 3 3" xfId="12823" xr:uid="{00000000-0005-0000-0000-000009860000}"/>
    <cellStyle name="Normal 3 3 3 5 3 3 2" xfId="26391" xr:uid="{00000000-0005-0000-0000-00000A860000}"/>
    <cellStyle name="Normal 3 3 3 5 3 3 2 2" xfId="53524" xr:uid="{00000000-0005-0000-0000-00000B860000}"/>
    <cellStyle name="Normal 3 3 3 5 3 3 3" xfId="39962" xr:uid="{00000000-0005-0000-0000-00000C860000}"/>
    <cellStyle name="Normal 3 3 3 5 3 4" xfId="19610" xr:uid="{00000000-0005-0000-0000-00000D860000}"/>
    <cellStyle name="Normal 3 3 3 5 3 4 2" xfId="46743" xr:uid="{00000000-0005-0000-0000-00000E860000}"/>
    <cellStyle name="Normal 3 3 3 5 3 5" xfId="33181" xr:uid="{00000000-0005-0000-0000-00000F860000}"/>
    <cellStyle name="Normal 3 3 3 5 4" xfId="5881" xr:uid="{00000000-0005-0000-0000-000010860000}"/>
    <cellStyle name="Normal 3 3 3 5 4 2" xfId="9424" xr:uid="{00000000-0005-0000-0000-000011860000}"/>
    <cellStyle name="Normal 3 3 3 5 4 2 2" xfId="16213" xr:uid="{00000000-0005-0000-0000-000012860000}"/>
    <cellStyle name="Normal 3 3 3 5 4 2 2 2" xfId="29781" xr:uid="{00000000-0005-0000-0000-000013860000}"/>
    <cellStyle name="Normal 3 3 3 5 4 2 2 2 2" xfId="56914" xr:uid="{00000000-0005-0000-0000-000014860000}"/>
    <cellStyle name="Normal 3 3 3 5 4 2 2 3" xfId="43352" xr:uid="{00000000-0005-0000-0000-000015860000}"/>
    <cellStyle name="Normal 3 3 3 5 4 2 3" xfId="23000" xr:uid="{00000000-0005-0000-0000-000016860000}"/>
    <cellStyle name="Normal 3 3 3 5 4 2 3 2" xfId="50133" xr:uid="{00000000-0005-0000-0000-000017860000}"/>
    <cellStyle name="Normal 3 3 3 5 4 2 4" xfId="36571" xr:uid="{00000000-0005-0000-0000-000018860000}"/>
    <cellStyle name="Normal 3 3 3 5 4 3" xfId="12824" xr:uid="{00000000-0005-0000-0000-000019860000}"/>
    <cellStyle name="Normal 3 3 3 5 4 3 2" xfId="26392" xr:uid="{00000000-0005-0000-0000-00001A860000}"/>
    <cellStyle name="Normal 3 3 3 5 4 3 2 2" xfId="53525" xr:uid="{00000000-0005-0000-0000-00001B860000}"/>
    <cellStyle name="Normal 3 3 3 5 4 3 3" xfId="39963" xr:uid="{00000000-0005-0000-0000-00001C860000}"/>
    <cellStyle name="Normal 3 3 3 5 4 4" xfId="19611" xr:uid="{00000000-0005-0000-0000-00001D860000}"/>
    <cellStyle name="Normal 3 3 3 5 4 4 2" xfId="46744" xr:uid="{00000000-0005-0000-0000-00001E860000}"/>
    <cellStyle name="Normal 3 3 3 5 4 5" xfId="33182" xr:uid="{00000000-0005-0000-0000-00001F860000}"/>
    <cellStyle name="Normal 3 3 3 5 5" xfId="9419" xr:uid="{00000000-0005-0000-0000-000020860000}"/>
    <cellStyle name="Normal 3 3 3 5 5 2" xfId="16208" xr:uid="{00000000-0005-0000-0000-000021860000}"/>
    <cellStyle name="Normal 3 3 3 5 5 2 2" xfId="29776" xr:uid="{00000000-0005-0000-0000-000022860000}"/>
    <cellStyle name="Normal 3 3 3 5 5 2 2 2" xfId="56909" xr:uid="{00000000-0005-0000-0000-000023860000}"/>
    <cellStyle name="Normal 3 3 3 5 5 2 3" xfId="43347" xr:uid="{00000000-0005-0000-0000-000024860000}"/>
    <cellStyle name="Normal 3 3 3 5 5 3" xfId="22995" xr:uid="{00000000-0005-0000-0000-000025860000}"/>
    <cellStyle name="Normal 3 3 3 5 5 3 2" xfId="50128" xr:uid="{00000000-0005-0000-0000-000026860000}"/>
    <cellStyle name="Normal 3 3 3 5 5 4" xfId="36566" xr:uid="{00000000-0005-0000-0000-000027860000}"/>
    <cellStyle name="Normal 3 3 3 5 6" xfId="12819" xr:uid="{00000000-0005-0000-0000-000028860000}"/>
    <cellStyle name="Normal 3 3 3 5 6 2" xfId="26387" xr:uid="{00000000-0005-0000-0000-000029860000}"/>
    <cellStyle name="Normal 3 3 3 5 6 2 2" xfId="53520" xr:uid="{00000000-0005-0000-0000-00002A860000}"/>
    <cellStyle name="Normal 3 3 3 5 6 3" xfId="39958" xr:uid="{00000000-0005-0000-0000-00002B860000}"/>
    <cellStyle name="Normal 3 3 3 5 7" xfId="19606" xr:uid="{00000000-0005-0000-0000-00002C860000}"/>
    <cellStyle name="Normal 3 3 3 5 7 2" xfId="46739" xr:uid="{00000000-0005-0000-0000-00002D860000}"/>
    <cellStyle name="Normal 3 3 3 5 8" xfId="33177" xr:uid="{00000000-0005-0000-0000-00002E860000}"/>
    <cellStyle name="Normal 3 3 3 6" xfId="5882" xr:uid="{00000000-0005-0000-0000-00002F860000}"/>
    <cellStyle name="Normal 3 3 3 6 2" xfId="5883" xr:uid="{00000000-0005-0000-0000-000030860000}"/>
    <cellStyle name="Normal 3 3 3 6 2 2" xfId="9426" xr:uid="{00000000-0005-0000-0000-000031860000}"/>
    <cellStyle name="Normal 3 3 3 6 2 2 2" xfId="16215" xr:uid="{00000000-0005-0000-0000-000032860000}"/>
    <cellStyle name="Normal 3 3 3 6 2 2 2 2" xfId="29783" xr:uid="{00000000-0005-0000-0000-000033860000}"/>
    <cellStyle name="Normal 3 3 3 6 2 2 2 2 2" xfId="56916" xr:uid="{00000000-0005-0000-0000-000034860000}"/>
    <cellStyle name="Normal 3 3 3 6 2 2 2 3" xfId="43354" xr:uid="{00000000-0005-0000-0000-000035860000}"/>
    <cellStyle name="Normal 3 3 3 6 2 2 3" xfId="23002" xr:uid="{00000000-0005-0000-0000-000036860000}"/>
    <cellStyle name="Normal 3 3 3 6 2 2 3 2" xfId="50135" xr:uid="{00000000-0005-0000-0000-000037860000}"/>
    <cellStyle name="Normal 3 3 3 6 2 2 4" xfId="36573" xr:uid="{00000000-0005-0000-0000-000038860000}"/>
    <cellStyle name="Normal 3 3 3 6 2 3" xfId="12826" xr:uid="{00000000-0005-0000-0000-000039860000}"/>
    <cellStyle name="Normal 3 3 3 6 2 3 2" xfId="26394" xr:uid="{00000000-0005-0000-0000-00003A860000}"/>
    <cellStyle name="Normal 3 3 3 6 2 3 2 2" xfId="53527" xr:uid="{00000000-0005-0000-0000-00003B860000}"/>
    <cellStyle name="Normal 3 3 3 6 2 3 3" xfId="39965" xr:uid="{00000000-0005-0000-0000-00003C860000}"/>
    <cellStyle name="Normal 3 3 3 6 2 4" xfId="19613" xr:uid="{00000000-0005-0000-0000-00003D860000}"/>
    <cellStyle name="Normal 3 3 3 6 2 4 2" xfId="46746" xr:uid="{00000000-0005-0000-0000-00003E860000}"/>
    <cellStyle name="Normal 3 3 3 6 2 5" xfId="33184" xr:uid="{00000000-0005-0000-0000-00003F860000}"/>
    <cellStyle name="Normal 3 3 3 6 3" xfId="5884" xr:uid="{00000000-0005-0000-0000-000040860000}"/>
    <cellStyle name="Normal 3 3 3 6 3 2" xfId="9427" xr:uid="{00000000-0005-0000-0000-000041860000}"/>
    <cellStyle name="Normal 3 3 3 6 3 2 2" xfId="16216" xr:uid="{00000000-0005-0000-0000-000042860000}"/>
    <cellStyle name="Normal 3 3 3 6 3 2 2 2" xfId="29784" xr:uid="{00000000-0005-0000-0000-000043860000}"/>
    <cellStyle name="Normal 3 3 3 6 3 2 2 2 2" xfId="56917" xr:uid="{00000000-0005-0000-0000-000044860000}"/>
    <cellStyle name="Normal 3 3 3 6 3 2 2 3" xfId="43355" xr:uid="{00000000-0005-0000-0000-000045860000}"/>
    <cellStyle name="Normal 3 3 3 6 3 2 3" xfId="23003" xr:uid="{00000000-0005-0000-0000-000046860000}"/>
    <cellStyle name="Normal 3 3 3 6 3 2 3 2" xfId="50136" xr:uid="{00000000-0005-0000-0000-000047860000}"/>
    <cellStyle name="Normal 3 3 3 6 3 2 4" xfId="36574" xr:uid="{00000000-0005-0000-0000-000048860000}"/>
    <cellStyle name="Normal 3 3 3 6 3 3" xfId="12827" xr:uid="{00000000-0005-0000-0000-000049860000}"/>
    <cellStyle name="Normal 3 3 3 6 3 3 2" xfId="26395" xr:uid="{00000000-0005-0000-0000-00004A860000}"/>
    <cellStyle name="Normal 3 3 3 6 3 3 2 2" xfId="53528" xr:uid="{00000000-0005-0000-0000-00004B860000}"/>
    <cellStyle name="Normal 3 3 3 6 3 3 3" xfId="39966" xr:uid="{00000000-0005-0000-0000-00004C860000}"/>
    <cellStyle name="Normal 3 3 3 6 3 4" xfId="19614" xr:uid="{00000000-0005-0000-0000-00004D860000}"/>
    <cellStyle name="Normal 3 3 3 6 3 4 2" xfId="46747" xr:uid="{00000000-0005-0000-0000-00004E860000}"/>
    <cellStyle name="Normal 3 3 3 6 3 5" xfId="33185" xr:uid="{00000000-0005-0000-0000-00004F860000}"/>
    <cellStyle name="Normal 3 3 3 6 4" xfId="9425" xr:uid="{00000000-0005-0000-0000-000050860000}"/>
    <cellStyle name="Normal 3 3 3 6 4 2" xfId="16214" xr:uid="{00000000-0005-0000-0000-000051860000}"/>
    <cellStyle name="Normal 3 3 3 6 4 2 2" xfId="29782" xr:uid="{00000000-0005-0000-0000-000052860000}"/>
    <cellStyle name="Normal 3 3 3 6 4 2 2 2" xfId="56915" xr:uid="{00000000-0005-0000-0000-000053860000}"/>
    <cellStyle name="Normal 3 3 3 6 4 2 3" xfId="43353" xr:uid="{00000000-0005-0000-0000-000054860000}"/>
    <cellStyle name="Normal 3 3 3 6 4 3" xfId="23001" xr:uid="{00000000-0005-0000-0000-000055860000}"/>
    <cellStyle name="Normal 3 3 3 6 4 3 2" xfId="50134" xr:uid="{00000000-0005-0000-0000-000056860000}"/>
    <cellStyle name="Normal 3 3 3 6 4 4" xfId="36572" xr:uid="{00000000-0005-0000-0000-000057860000}"/>
    <cellStyle name="Normal 3 3 3 6 5" xfId="12825" xr:uid="{00000000-0005-0000-0000-000058860000}"/>
    <cellStyle name="Normal 3 3 3 6 5 2" xfId="26393" xr:uid="{00000000-0005-0000-0000-000059860000}"/>
    <cellStyle name="Normal 3 3 3 6 5 2 2" xfId="53526" xr:uid="{00000000-0005-0000-0000-00005A860000}"/>
    <cellStyle name="Normal 3 3 3 6 5 3" xfId="39964" xr:uid="{00000000-0005-0000-0000-00005B860000}"/>
    <cellStyle name="Normal 3 3 3 6 6" xfId="19612" xr:uid="{00000000-0005-0000-0000-00005C860000}"/>
    <cellStyle name="Normal 3 3 3 6 6 2" xfId="46745" xr:uid="{00000000-0005-0000-0000-00005D860000}"/>
    <cellStyle name="Normal 3 3 3 6 7" xfId="33183" xr:uid="{00000000-0005-0000-0000-00005E860000}"/>
    <cellStyle name="Normal 3 3 3 7" xfId="5885" xr:uid="{00000000-0005-0000-0000-00005F860000}"/>
    <cellStyle name="Normal 3 3 3 7 2" xfId="5886" xr:uid="{00000000-0005-0000-0000-000060860000}"/>
    <cellStyle name="Normal 3 3 3 7 2 2" xfId="9429" xr:uid="{00000000-0005-0000-0000-000061860000}"/>
    <cellStyle name="Normal 3 3 3 7 2 2 2" xfId="16218" xr:uid="{00000000-0005-0000-0000-000062860000}"/>
    <cellStyle name="Normal 3 3 3 7 2 2 2 2" xfId="29786" xr:uid="{00000000-0005-0000-0000-000063860000}"/>
    <cellStyle name="Normal 3 3 3 7 2 2 2 2 2" xfId="56919" xr:uid="{00000000-0005-0000-0000-000064860000}"/>
    <cellStyle name="Normal 3 3 3 7 2 2 2 3" xfId="43357" xr:uid="{00000000-0005-0000-0000-000065860000}"/>
    <cellStyle name="Normal 3 3 3 7 2 2 3" xfId="23005" xr:uid="{00000000-0005-0000-0000-000066860000}"/>
    <cellStyle name="Normal 3 3 3 7 2 2 3 2" xfId="50138" xr:uid="{00000000-0005-0000-0000-000067860000}"/>
    <cellStyle name="Normal 3 3 3 7 2 2 4" xfId="36576" xr:uid="{00000000-0005-0000-0000-000068860000}"/>
    <cellStyle name="Normal 3 3 3 7 2 3" xfId="12829" xr:uid="{00000000-0005-0000-0000-000069860000}"/>
    <cellStyle name="Normal 3 3 3 7 2 3 2" xfId="26397" xr:uid="{00000000-0005-0000-0000-00006A860000}"/>
    <cellStyle name="Normal 3 3 3 7 2 3 2 2" xfId="53530" xr:uid="{00000000-0005-0000-0000-00006B860000}"/>
    <cellStyle name="Normal 3 3 3 7 2 3 3" xfId="39968" xr:uid="{00000000-0005-0000-0000-00006C860000}"/>
    <cellStyle name="Normal 3 3 3 7 2 4" xfId="19616" xr:uid="{00000000-0005-0000-0000-00006D860000}"/>
    <cellStyle name="Normal 3 3 3 7 2 4 2" xfId="46749" xr:uid="{00000000-0005-0000-0000-00006E860000}"/>
    <cellStyle name="Normal 3 3 3 7 2 5" xfId="33187" xr:uid="{00000000-0005-0000-0000-00006F860000}"/>
    <cellStyle name="Normal 3 3 3 7 3" xfId="5887" xr:uid="{00000000-0005-0000-0000-000070860000}"/>
    <cellStyle name="Normal 3 3 3 7 3 2" xfId="9430" xr:uid="{00000000-0005-0000-0000-000071860000}"/>
    <cellStyle name="Normal 3 3 3 7 3 2 2" xfId="16219" xr:uid="{00000000-0005-0000-0000-000072860000}"/>
    <cellStyle name="Normal 3 3 3 7 3 2 2 2" xfId="29787" xr:uid="{00000000-0005-0000-0000-000073860000}"/>
    <cellStyle name="Normal 3 3 3 7 3 2 2 2 2" xfId="56920" xr:uid="{00000000-0005-0000-0000-000074860000}"/>
    <cellStyle name="Normal 3 3 3 7 3 2 2 3" xfId="43358" xr:uid="{00000000-0005-0000-0000-000075860000}"/>
    <cellStyle name="Normal 3 3 3 7 3 2 3" xfId="23006" xr:uid="{00000000-0005-0000-0000-000076860000}"/>
    <cellStyle name="Normal 3 3 3 7 3 2 3 2" xfId="50139" xr:uid="{00000000-0005-0000-0000-000077860000}"/>
    <cellStyle name="Normal 3 3 3 7 3 2 4" xfId="36577" xr:uid="{00000000-0005-0000-0000-000078860000}"/>
    <cellStyle name="Normal 3 3 3 7 3 3" xfId="12830" xr:uid="{00000000-0005-0000-0000-000079860000}"/>
    <cellStyle name="Normal 3 3 3 7 3 3 2" xfId="26398" xr:uid="{00000000-0005-0000-0000-00007A860000}"/>
    <cellStyle name="Normal 3 3 3 7 3 3 2 2" xfId="53531" xr:uid="{00000000-0005-0000-0000-00007B860000}"/>
    <cellStyle name="Normal 3 3 3 7 3 3 3" xfId="39969" xr:uid="{00000000-0005-0000-0000-00007C860000}"/>
    <cellStyle name="Normal 3 3 3 7 3 4" xfId="19617" xr:uid="{00000000-0005-0000-0000-00007D860000}"/>
    <cellStyle name="Normal 3 3 3 7 3 4 2" xfId="46750" xr:uid="{00000000-0005-0000-0000-00007E860000}"/>
    <cellStyle name="Normal 3 3 3 7 3 5" xfId="33188" xr:uid="{00000000-0005-0000-0000-00007F860000}"/>
    <cellStyle name="Normal 3 3 3 7 4" xfId="9428" xr:uid="{00000000-0005-0000-0000-000080860000}"/>
    <cellStyle name="Normal 3 3 3 7 4 2" xfId="16217" xr:uid="{00000000-0005-0000-0000-000081860000}"/>
    <cellStyle name="Normal 3 3 3 7 4 2 2" xfId="29785" xr:uid="{00000000-0005-0000-0000-000082860000}"/>
    <cellStyle name="Normal 3 3 3 7 4 2 2 2" xfId="56918" xr:uid="{00000000-0005-0000-0000-000083860000}"/>
    <cellStyle name="Normal 3 3 3 7 4 2 3" xfId="43356" xr:uid="{00000000-0005-0000-0000-000084860000}"/>
    <cellStyle name="Normal 3 3 3 7 4 3" xfId="23004" xr:uid="{00000000-0005-0000-0000-000085860000}"/>
    <cellStyle name="Normal 3 3 3 7 4 3 2" xfId="50137" xr:uid="{00000000-0005-0000-0000-000086860000}"/>
    <cellStyle name="Normal 3 3 3 7 4 4" xfId="36575" xr:uid="{00000000-0005-0000-0000-000087860000}"/>
    <cellStyle name="Normal 3 3 3 7 5" xfId="12828" xr:uid="{00000000-0005-0000-0000-000088860000}"/>
    <cellStyle name="Normal 3 3 3 7 5 2" xfId="26396" xr:uid="{00000000-0005-0000-0000-000089860000}"/>
    <cellStyle name="Normal 3 3 3 7 5 2 2" xfId="53529" xr:uid="{00000000-0005-0000-0000-00008A860000}"/>
    <cellStyle name="Normal 3 3 3 7 5 3" xfId="39967" xr:uid="{00000000-0005-0000-0000-00008B860000}"/>
    <cellStyle name="Normal 3 3 3 7 6" xfId="19615" xr:uid="{00000000-0005-0000-0000-00008C860000}"/>
    <cellStyle name="Normal 3 3 3 7 6 2" xfId="46748" xr:uid="{00000000-0005-0000-0000-00008D860000}"/>
    <cellStyle name="Normal 3 3 3 7 7" xfId="33186" xr:uid="{00000000-0005-0000-0000-00008E860000}"/>
    <cellStyle name="Normal 3 3 3 8" xfId="5888" xr:uid="{00000000-0005-0000-0000-00008F860000}"/>
    <cellStyle name="Normal 3 3 3 8 2" xfId="9431" xr:uid="{00000000-0005-0000-0000-000090860000}"/>
    <cellStyle name="Normal 3 3 3 8 2 2" xfId="16220" xr:uid="{00000000-0005-0000-0000-000091860000}"/>
    <cellStyle name="Normal 3 3 3 8 2 2 2" xfId="29788" xr:uid="{00000000-0005-0000-0000-000092860000}"/>
    <cellStyle name="Normal 3 3 3 8 2 2 2 2" xfId="56921" xr:uid="{00000000-0005-0000-0000-000093860000}"/>
    <cellStyle name="Normal 3 3 3 8 2 2 3" xfId="43359" xr:uid="{00000000-0005-0000-0000-000094860000}"/>
    <cellStyle name="Normal 3 3 3 8 2 3" xfId="23007" xr:uid="{00000000-0005-0000-0000-000095860000}"/>
    <cellStyle name="Normal 3 3 3 8 2 3 2" xfId="50140" xr:uid="{00000000-0005-0000-0000-000096860000}"/>
    <cellStyle name="Normal 3 3 3 8 2 4" xfId="36578" xr:uid="{00000000-0005-0000-0000-000097860000}"/>
    <cellStyle name="Normal 3 3 3 8 3" xfId="12831" xr:uid="{00000000-0005-0000-0000-000098860000}"/>
    <cellStyle name="Normal 3 3 3 8 3 2" xfId="26399" xr:uid="{00000000-0005-0000-0000-000099860000}"/>
    <cellStyle name="Normal 3 3 3 8 3 2 2" xfId="53532" xr:uid="{00000000-0005-0000-0000-00009A860000}"/>
    <cellStyle name="Normal 3 3 3 8 3 3" xfId="39970" xr:uid="{00000000-0005-0000-0000-00009B860000}"/>
    <cellStyle name="Normal 3 3 3 8 4" xfId="19618" xr:uid="{00000000-0005-0000-0000-00009C860000}"/>
    <cellStyle name="Normal 3 3 3 8 4 2" xfId="46751" xr:uid="{00000000-0005-0000-0000-00009D860000}"/>
    <cellStyle name="Normal 3 3 3 8 5" xfId="33189" xr:uid="{00000000-0005-0000-0000-00009E860000}"/>
    <cellStyle name="Normal 3 3 3 9" xfId="5889" xr:uid="{00000000-0005-0000-0000-00009F860000}"/>
    <cellStyle name="Normal 3 3 3 9 2" xfId="9432" xr:uid="{00000000-0005-0000-0000-0000A0860000}"/>
    <cellStyle name="Normal 3 3 3 9 2 2" xfId="16221" xr:uid="{00000000-0005-0000-0000-0000A1860000}"/>
    <cellStyle name="Normal 3 3 3 9 2 2 2" xfId="29789" xr:uid="{00000000-0005-0000-0000-0000A2860000}"/>
    <cellStyle name="Normal 3 3 3 9 2 2 2 2" xfId="56922" xr:uid="{00000000-0005-0000-0000-0000A3860000}"/>
    <cellStyle name="Normal 3 3 3 9 2 2 3" xfId="43360" xr:uid="{00000000-0005-0000-0000-0000A4860000}"/>
    <cellStyle name="Normal 3 3 3 9 2 3" xfId="23008" xr:uid="{00000000-0005-0000-0000-0000A5860000}"/>
    <cellStyle name="Normal 3 3 3 9 2 3 2" xfId="50141" xr:uid="{00000000-0005-0000-0000-0000A6860000}"/>
    <cellStyle name="Normal 3 3 3 9 2 4" xfId="36579" xr:uid="{00000000-0005-0000-0000-0000A7860000}"/>
    <cellStyle name="Normal 3 3 3 9 3" xfId="12832" xr:uid="{00000000-0005-0000-0000-0000A8860000}"/>
    <cellStyle name="Normal 3 3 3 9 3 2" xfId="26400" xr:uid="{00000000-0005-0000-0000-0000A9860000}"/>
    <cellStyle name="Normal 3 3 3 9 3 2 2" xfId="53533" xr:uid="{00000000-0005-0000-0000-0000AA860000}"/>
    <cellStyle name="Normal 3 3 3 9 3 3" xfId="39971" xr:uid="{00000000-0005-0000-0000-0000AB860000}"/>
    <cellStyle name="Normal 3 3 3 9 4" xfId="19619" xr:uid="{00000000-0005-0000-0000-0000AC860000}"/>
    <cellStyle name="Normal 3 3 3 9 4 2" xfId="46752" xr:uid="{00000000-0005-0000-0000-0000AD860000}"/>
    <cellStyle name="Normal 3 3 3 9 5" xfId="33190" xr:uid="{00000000-0005-0000-0000-0000AE860000}"/>
    <cellStyle name="Normal 3 3 4" xfId="2687" xr:uid="{00000000-0005-0000-0000-0000AF860000}"/>
    <cellStyle name="Normal 3 3 4 10" xfId="7500" xr:uid="{00000000-0005-0000-0000-0000B0860000}"/>
    <cellStyle name="Normal 3 3 4 10 2" xfId="14289" xr:uid="{00000000-0005-0000-0000-0000B1860000}"/>
    <cellStyle name="Normal 3 3 4 10 2 2" xfId="27857" xr:uid="{00000000-0005-0000-0000-0000B2860000}"/>
    <cellStyle name="Normal 3 3 4 10 2 2 2" xfId="54990" xr:uid="{00000000-0005-0000-0000-0000B3860000}"/>
    <cellStyle name="Normal 3 3 4 10 2 3" xfId="41428" xr:uid="{00000000-0005-0000-0000-0000B4860000}"/>
    <cellStyle name="Normal 3 3 4 10 3" xfId="21076" xr:uid="{00000000-0005-0000-0000-0000B5860000}"/>
    <cellStyle name="Normal 3 3 4 10 3 2" xfId="48209" xr:uid="{00000000-0005-0000-0000-0000B6860000}"/>
    <cellStyle name="Normal 3 3 4 10 4" xfId="34647" xr:uid="{00000000-0005-0000-0000-0000B7860000}"/>
    <cellStyle name="Normal 3 3 4 11" xfId="10900" xr:uid="{00000000-0005-0000-0000-0000B8860000}"/>
    <cellStyle name="Normal 3 3 4 11 2" xfId="24468" xr:uid="{00000000-0005-0000-0000-0000B9860000}"/>
    <cellStyle name="Normal 3 3 4 11 2 2" xfId="51601" xr:uid="{00000000-0005-0000-0000-0000BA860000}"/>
    <cellStyle name="Normal 3 3 4 11 3" xfId="38039" xr:uid="{00000000-0005-0000-0000-0000BB860000}"/>
    <cellStyle name="Normal 3 3 4 12" xfId="17687" xr:uid="{00000000-0005-0000-0000-0000BC860000}"/>
    <cellStyle name="Normal 3 3 4 12 2" xfId="44820" xr:uid="{00000000-0005-0000-0000-0000BD860000}"/>
    <cellStyle name="Normal 3 3 4 13" xfId="31258" xr:uid="{00000000-0005-0000-0000-0000BE860000}"/>
    <cellStyle name="Normal 3 3 4 2" xfId="2688" xr:uid="{00000000-0005-0000-0000-0000BF860000}"/>
    <cellStyle name="Normal 3 3 4 2 10" xfId="31259" xr:uid="{00000000-0005-0000-0000-0000C0860000}"/>
    <cellStyle name="Normal 3 3 4 2 2" xfId="5890" xr:uid="{00000000-0005-0000-0000-0000C1860000}"/>
    <cellStyle name="Normal 3 3 4 2 2 2" xfId="5891" xr:uid="{00000000-0005-0000-0000-0000C2860000}"/>
    <cellStyle name="Normal 3 3 4 2 2 2 2" xfId="5892" xr:uid="{00000000-0005-0000-0000-0000C3860000}"/>
    <cellStyle name="Normal 3 3 4 2 2 2 2 2" xfId="9435" xr:uid="{00000000-0005-0000-0000-0000C4860000}"/>
    <cellStyle name="Normal 3 3 4 2 2 2 2 2 2" xfId="16224" xr:uid="{00000000-0005-0000-0000-0000C5860000}"/>
    <cellStyle name="Normal 3 3 4 2 2 2 2 2 2 2" xfId="29792" xr:uid="{00000000-0005-0000-0000-0000C6860000}"/>
    <cellStyle name="Normal 3 3 4 2 2 2 2 2 2 2 2" xfId="56925" xr:uid="{00000000-0005-0000-0000-0000C7860000}"/>
    <cellStyle name="Normal 3 3 4 2 2 2 2 2 2 3" xfId="43363" xr:uid="{00000000-0005-0000-0000-0000C8860000}"/>
    <cellStyle name="Normal 3 3 4 2 2 2 2 2 3" xfId="23011" xr:uid="{00000000-0005-0000-0000-0000C9860000}"/>
    <cellStyle name="Normal 3 3 4 2 2 2 2 2 3 2" xfId="50144" xr:uid="{00000000-0005-0000-0000-0000CA860000}"/>
    <cellStyle name="Normal 3 3 4 2 2 2 2 2 4" xfId="36582" xr:uid="{00000000-0005-0000-0000-0000CB860000}"/>
    <cellStyle name="Normal 3 3 4 2 2 2 2 3" xfId="12835" xr:uid="{00000000-0005-0000-0000-0000CC860000}"/>
    <cellStyle name="Normal 3 3 4 2 2 2 2 3 2" xfId="26403" xr:uid="{00000000-0005-0000-0000-0000CD860000}"/>
    <cellStyle name="Normal 3 3 4 2 2 2 2 3 2 2" xfId="53536" xr:uid="{00000000-0005-0000-0000-0000CE860000}"/>
    <cellStyle name="Normal 3 3 4 2 2 2 2 3 3" xfId="39974" xr:uid="{00000000-0005-0000-0000-0000CF860000}"/>
    <cellStyle name="Normal 3 3 4 2 2 2 2 4" xfId="19622" xr:uid="{00000000-0005-0000-0000-0000D0860000}"/>
    <cellStyle name="Normal 3 3 4 2 2 2 2 4 2" xfId="46755" xr:uid="{00000000-0005-0000-0000-0000D1860000}"/>
    <cellStyle name="Normal 3 3 4 2 2 2 2 5" xfId="33193" xr:uid="{00000000-0005-0000-0000-0000D2860000}"/>
    <cellStyle name="Normal 3 3 4 2 2 2 3" xfId="5893" xr:uid="{00000000-0005-0000-0000-0000D3860000}"/>
    <cellStyle name="Normal 3 3 4 2 2 2 3 2" xfId="9436" xr:uid="{00000000-0005-0000-0000-0000D4860000}"/>
    <cellStyle name="Normal 3 3 4 2 2 2 3 2 2" xfId="16225" xr:uid="{00000000-0005-0000-0000-0000D5860000}"/>
    <cellStyle name="Normal 3 3 4 2 2 2 3 2 2 2" xfId="29793" xr:uid="{00000000-0005-0000-0000-0000D6860000}"/>
    <cellStyle name="Normal 3 3 4 2 2 2 3 2 2 2 2" xfId="56926" xr:uid="{00000000-0005-0000-0000-0000D7860000}"/>
    <cellStyle name="Normal 3 3 4 2 2 2 3 2 2 3" xfId="43364" xr:uid="{00000000-0005-0000-0000-0000D8860000}"/>
    <cellStyle name="Normal 3 3 4 2 2 2 3 2 3" xfId="23012" xr:uid="{00000000-0005-0000-0000-0000D9860000}"/>
    <cellStyle name="Normal 3 3 4 2 2 2 3 2 3 2" xfId="50145" xr:uid="{00000000-0005-0000-0000-0000DA860000}"/>
    <cellStyle name="Normal 3 3 4 2 2 2 3 2 4" xfId="36583" xr:uid="{00000000-0005-0000-0000-0000DB860000}"/>
    <cellStyle name="Normal 3 3 4 2 2 2 3 3" xfId="12836" xr:uid="{00000000-0005-0000-0000-0000DC860000}"/>
    <cellStyle name="Normal 3 3 4 2 2 2 3 3 2" xfId="26404" xr:uid="{00000000-0005-0000-0000-0000DD860000}"/>
    <cellStyle name="Normal 3 3 4 2 2 2 3 3 2 2" xfId="53537" xr:uid="{00000000-0005-0000-0000-0000DE860000}"/>
    <cellStyle name="Normal 3 3 4 2 2 2 3 3 3" xfId="39975" xr:uid="{00000000-0005-0000-0000-0000DF860000}"/>
    <cellStyle name="Normal 3 3 4 2 2 2 3 4" xfId="19623" xr:uid="{00000000-0005-0000-0000-0000E0860000}"/>
    <cellStyle name="Normal 3 3 4 2 2 2 3 4 2" xfId="46756" xr:uid="{00000000-0005-0000-0000-0000E1860000}"/>
    <cellStyle name="Normal 3 3 4 2 2 2 3 5" xfId="33194" xr:uid="{00000000-0005-0000-0000-0000E2860000}"/>
    <cellStyle name="Normal 3 3 4 2 2 2 4" xfId="9434" xr:uid="{00000000-0005-0000-0000-0000E3860000}"/>
    <cellStyle name="Normal 3 3 4 2 2 2 4 2" xfId="16223" xr:uid="{00000000-0005-0000-0000-0000E4860000}"/>
    <cellStyle name="Normal 3 3 4 2 2 2 4 2 2" xfId="29791" xr:uid="{00000000-0005-0000-0000-0000E5860000}"/>
    <cellStyle name="Normal 3 3 4 2 2 2 4 2 2 2" xfId="56924" xr:uid="{00000000-0005-0000-0000-0000E6860000}"/>
    <cellStyle name="Normal 3 3 4 2 2 2 4 2 3" xfId="43362" xr:uid="{00000000-0005-0000-0000-0000E7860000}"/>
    <cellStyle name="Normal 3 3 4 2 2 2 4 3" xfId="23010" xr:uid="{00000000-0005-0000-0000-0000E8860000}"/>
    <cellStyle name="Normal 3 3 4 2 2 2 4 3 2" xfId="50143" xr:uid="{00000000-0005-0000-0000-0000E9860000}"/>
    <cellStyle name="Normal 3 3 4 2 2 2 4 4" xfId="36581" xr:uid="{00000000-0005-0000-0000-0000EA860000}"/>
    <cellStyle name="Normal 3 3 4 2 2 2 5" xfId="12834" xr:uid="{00000000-0005-0000-0000-0000EB860000}"/>
    <cellStyle name="Normal 3 3 4 2 2 2 5 2" xfId="26402" xr:uid="{00000000-0005-0000-0000-0000EC860000}"/>
    <cellStyle name="Normal 3 3 4 2 2 2 5 2 2" xfId="53535" xr:uid="{00000000-0005-0000-0000-0000ED860000}"/>
    <cellStyle name="Normal 3 3 4 2 2 2 5 3" xfId="39973" xr:uid="{00000000-0005-0000-0000-0000EE860000}"/>
    <cellStyle name="Normal 3 3 4 2 2 2 6" xfId="19621" xr:uid="{00000000-0005-0000-0000-0000EF860000}"/>
    <cellStyle name="Normal 3 3 4 2 2 2 6 2" xfId="46754" xr:uid="{00000000-0005-0000-0000-0000F0860000}"/>
    <cellStyle name="Normal 3 3 4 2 2 2 7" xfId="33192" xr:uid="{00000000-0005-0000-0000-0000F1860000}"/>
    <cellStyle name="Normal 3 3 4 2 2 3" xfId="5894" xr:uid="{00000000-0005-0000-0000-0000F2860000}"/>
    <cellStyle name="Normal 3 3 4 2 2 3 2" xfId="5895" xr:uid="{00000000-0005-0000-0000-0000F3860000}"/>
    <cellStyle name="Normal 3 3 4 2 2 3 2 2" xfId="9438" xr:uid="{00000000-0005-0000-0000-0000F4860000}"/>
    <cellStyle name="Normal 3 3 4 2 2 3 2 2 2" xfId="16227" xr:uid="{00000000-0005-0000-0000-0000F5860000}"/>
    <cellStyle name="Normal 3 3 4 2 2 3 2 2 2 2" xfId="29795" xr:uid="{00000000-0005-0000-0000-0000F6860000}"/>
    <cellStyle name="Normal 3 3 4 2 2 3 2 2 2 2 2" xfId="56928" xr:uid="{00000000-0005-0000-0000-0000F7860000}"/>
    <cellStyle name="Normal 3 3 4 2 2 3 2 2 2 3" xfId="43366" xr:uid="{00000000-0005-0000-0000-0000F8860000}"/>
    <cellStyle name="Normal 3 3 4 2 2 3 2 2 3" xfId="23014" xr:uid="{00000000-0005-0000-0000-0000F9860000}"/>
    <cellStyle name="Normal 3 3 4 2 2 3 2 2 3 2" xfId="50147" xr:uid="{00000000-0005-0000-0000-0000FA860000}"/>
    <cellStyle name="Normal 3 3 4 2 2 3 2 2 4" xfId="36585" xr:uid="{00000000-0005-0000-0000-0000FB860000}"/>
    <cellStyle name="Normal 3 3 4 2 2 3 2 3" xfId="12838" xr:uid="{00000000-0005-0000-0000-0000FC860000}"/>
    <cellStyle name="Normal 3 3 4 2 2 3 2 3 2" xfId="26406" xr:uid="{00000000-0005-0000-0000-0000FD860000}"/>
    <cellStyle name="Normal 3 3 4 2 2 3 2 3 2 2" xfId="53539" xr:uid="{00000000-0005-0000-0000-0000FE860000}"/>
    <cellStyle name="Normal 3 3 4 2 2 3 2 3 3" xfId="39977" xr:uid="{00000000-0005-0000-0000-0000FF860000}"/>
    <cellStyle name="Normal 3 3 4 2 2 3 2 4" xfId="19625" xr:uid="{00000000-0005-0000-0000-000000870000}"/>
    <cellStyle name="Normal 3 3 4 2 2 3 2 4 2" xfId="46758" xr:uid="{00000000-0005-0000-0000-000001870000}"/>
    <cellStyle name="Normal 3 3 4 2 2 3 2 5" xfId="33196" xr:uid="{00000000-0005-0000-0000-000002870000}"/>
    <cellStyle name="Normal 3 3 4 2 2 3 3" xfId="9437" xr:uid="{00000000-0005-0000-0000-000003870000}"/>
    <cellStyle name="Normal 3 3 4 2 2 3 3 2" xfId="16226" xr:uid="{00000000-0005-0000-0000-000004870000}"/>
    <cellStyle name="Normal 3 3 4 2 2 3 3 2 2" xfId="29794" xr:uid="{00000000-0005-0000-0000-000005870000}"/>
    <cellStyle name="Normal 3 3 4 2 2 3 3 2 2 2" xfId="56927" xr:uid="{00000000-0005-0000-0000-000006870000}"/>
    <cellStyle name="Normal 3 3 4 2 2 3 3 2 3" xfId="43365" xr:uid="{00000000-0005-0000-0000-000007870000}"/>
    <cellStyle name="Normal 3 3 4 2 2 3 3 3" xfId="23013" xr:uid="{00000000-0005-0000-0000-000008870000}"/>
    <cellStyle name="Normal 3 3 4 2 2 3 3 3 2" xfId="50146" xr:uid="{00000000-0005-0000-0000-000009870000}"/>
    <cellStyle name="Normal 3 3 4 2 2 3 3 4" xfId="36584" xr:uid="{00000000-0005-0000-0000-00000A870000}"/>
    <cellStyle name="Normal 3 3 4 2 2 3 4" xfId="12837" xr:uid="{00000000-0005-0000-0000-00000B870000}"/>
    <cellStyle name="Normal 3 3 4 2 2 3 4 2" xfId="26405" xr:uid="{00000000-0005-0000-0000-00000C870000}"/>
    <cellStyle name="Normal 3 3 4 2 2 3 4 2 2" xfId="53538" xr:uid="{00000000-0005-0000-0000-00000D870000}"/>
    <cellStyle name="Normal 3 3 4 2 2 3 4 3" xfId="39976" xr:uid="{00000000-0005-0000-0000-00000E870000}"/>
    <cellStyle name="Normal 3 3 4 2 2 3 5" xfId="19624" xr:uid="{00000000-0005-0000-0000-00000F870000}"/>
    <cellStyle name="Normal 3 3 4 2 2 3 5 2" xfId="46757" xr:uid="{00000000-0005-0000-0000-000010870000}"/>
    <cellStyle name="Normal 3 3 4 2 2 3 6" xfId="33195" xr:uid="{00000000-0005-0000-0000-000011870000}"/>
    <cellStyle name="Normal 3 3 4 2 2 4" xfId="5896" xr:uid="{00000000-0005-0000-0000-000012870000}"/>
    <cellStyle name="Normal 3 3 4 2 2 4 2" xfId="9439" xr:uid="{00000000-0005-0000-0000-000013870000}"/>
    <cellStyle name="Normal 3 3 4 2 2 4 2 2" xfId="16228" xr:uid="{00000000-0005-0000-0000-000014870000}"/>
    <cellStyle name="Normal 3 3 4 2 2 4 2 2 2" xfId="29796" xr:uid="{00000000-0005-0000-0000-000015870000}"/>
    <cellStyle name="Normal 3 3 4 2 2 4 2 2 2 2" xfId="56929" xr:uid="{00000000-0005-0000-0000-000016870000}"/>
    <cellStyle name="Normal 3 3 4 2 2 4 2 2 3" xfId="43367" xr:uid="{00000000-0005-0000-0000-000017870000}"/>
    <cellStyle name="Normal 3 3 4 2 2 4 2 3" xfId="23015" xr:uid="{00000000-0005-0000-0000-000018870000}"/>
    <cellStyle name="Normal 3 3 4 2 2 4 2 3 2" xfId="50148" xr:uid="{00000000-0005-0000-0000-000019870000}"/>
    <cellStyle name="Normal 3 3 4 2 2 4 2 4" xfId="36586" xr:uid="{00000000-0005-0000-0000-00001A870000}"/>
    <cellStyle name="Normal 3 3 4 2 2 4 3" xfId="12839" xr:uid="{00000000-0005-0000-0000-00001B870000}"/>
    <cellStyle name="Normal 3 3 4 2 2 4 3 2" xfId="26407" xr:uid="{00000000-0005-0000-0000-00001C870000}"/>
    <cellStyle name="Normal 3 3 4 2 2 4 3 2 2" xfId="53540" xr:uid="{00000000-0005-0000-0000-00001D870000}"/>
    <cellStyle name="Normal 3 3 4 2 2 4 3 3" xfId="39978" xr:uid="{00000000-0005-0000-0000-00001E870000}"/>
    <cellStyle name="Normal 3 3 4 2 2 4 4" xfId="19626" xr:uid="{00000000-0005-0000-0000-00001F870000}"/>
    <cellStyle name="Normal 3 3 4 2 2 4 4 2" xfId="46759" xr:uid="{00000000-0005-0000-0000-000020870000}"/>
    <cellStyle name="Normal 3 3 4 2 2 4 5" xfId="33197" xr:uid="{00000000-0005-0000-0000-000021870000}"/>
    <cellStyle name="Normal 3 3 4 2 2 5" xfId="5897" xr:uid="{00000000-0005-0000-0000-000022870000}"/>
    <cellStyle name="Normal 3 3 4 2 2 5 2" xfId="9440" xr:uid="{00000000-0005-0000-0000-000023870000}"/>
    <cellStyle name="Normal 3 3 4 2 2 5 2 2" xfId="16229" xr:uid="{00000000-0005-0000-0000-000024870000}"/>
    <cellStyle name="Normal 3 3 4 2 2 5 2 2 2" xfId="29797" xr:uid="{00000000-0005-0000-0000-000025870000}"/>
    <cellStyle name="Normal 3 3 4 2 2 5 2 2 2 2" xfId="56930" xr:uid="{00000000-0005-0000-0000-000026870000}"/>
    <cellStyle name="Normal 3 3 4 2 2 5 2 2 3" xfId="43368" xr:uid="{00000000-0005-0000-0000-000027870000}"/>
    <cellStyle name="Normal 3 3 4 2 2 5 2 3" xfId="23016" xr:uid="{00000000-0005-0000-0000-000028870000}"/>
    <cellStyle name="Normal 3 3 4 2 2 5 2 3 2" xfId="50149" xr:uid="{00000000-0005-0000-0000-000029870000}"/>
    <cellStyle name="Normal 3 3 4 2 2 5 2 4" xfId="36587" xr:uid="{00000000-0005-0000-0000-00002A870000}"/>
    <cellStyle name="Normal 3 3 4 2 2 5 3" xfId="12840" xr:uid="{00000000-0005-0000-0000-00002B870000}"/>
    <cellStyle name="Normal 3 3 4 2 2 5 3 2" xfId="26408" xr:uid="{00000000-0005-0000-0000-00002C870000}"/>
    <cellStyle name="Normal 3 3 4 2 2 5 3 2 2" xfId="53541" xr:uid="{00000000-0005-0000-0000-00002D870000}"/>
    <cellStyle name="Normal 3 3 4 2 2 5 3 3" xfId="39979" xr:uid="{00000000-0005-0000-0000-00002E870000}"/>
    <cellStyle name="Normal 3 3 4 2 2 5 4" xfId="19627" xr:uid="{00000000-0005-0000-0000-00002F870000}"/>
    <cellStyle name="Normal 3 3 4 2 2 5 4 2" xfId="46760" xr:uid="{00000000-0005-0000-0000-000030870000}"/>
    <cellStyle name="Normal 3 3 4 2 2 5 5" xfId="33198" xr:uid="{00000000-0005-0000-0000-000031870000}"/>
    <cellStyle name="Normal 3 3 4 2 2 6" xfId="9433" xr:uid="{00000000-0005-0000-0000-000032870000}"/>
    <cellStyle name="Normal 3 3 4 2 2 6 2" xfId="16222" xr:uid="{00000000-0005-0000-0000-000033870000}"/>
    <cellStyle name="Normal 3 3 4 2 2 6 2 2" xfId="29790" xr:uid="{00000000-0005-0000-0000-000034870000}"/>
    <cellStyle name="Normal 3 3 4 2 2 6 2 2 2" xfId="56923" xr:uid="{00000000-0005-0000-0000-000035870000}"/>
    <cellStyle name="Normal 3 3 4 2 2 6 2 3" xfId="43361" xr:uid="{00000000-0005-0000-0000-000036870000}"/>
    <cellStyle name="Normal 3 3 4 2 2 6 3" xfId="23009" xr:uid="{00000000-0005-0000-0000-000037870000}"/>
    <cellStyle name="Normal 3 3 4 2 2 6 3 2" xfId="50142" xr:uid="{00000000-0005-0000-0000-000038870000}"/>
    <cellStyle name="Normal 3 3 4 2 2 6 4" xfId="36580" xr:uid="{00000000-0005-0000-0000-000039870000}"/>
    <cellStyle name="Normal 3 3 4 2 2 7" xfId="12833" xr:uid="{00000000-0005-0000-0000-00003A870000}"/>
    <cellStyle name="Normal 3 3 4 2 2 7 2" xfId="26401" xr:uid="{00000000-0005-0000-0000-00003B870000}"/>
    <cellStyle name="Normal 3 3 4 2 2 7 2 2" xfId="53534" xr:uid="{00000000-0005-0000-0000-00003C870000}"/>
    <cellStyle name="Normal 3 3 4 2 2 7 3" xfId="39972" xr:uid="{00000000-0005-0000-0000-00003D870000}"/>
    <cellStyle name="Normal 3 3 4 2 2 8" xfId="19620" xr:uid="{00000000-0005-0000-0000-00003E870000}"/>
    <cellStyle name="Normal 3 3 4 2 2 8 2" xfId="46753" xr:uid="{00000000-0005-0000-0000-00003F870000}"/>
    <cellStyle name="Normal 3 3 4 2 2 9" xfId="33191" xr:uid="{00000000-0005-0000-0000-000040870000}"/>
    <cellStyle name="Normal 3 3 4 2 3" xfId="5898" xr:uid="{00000000-0005-0000-0000-000041870000}"/>
    <cellStyle name="Normal 3 3 4 2 3 2" xfId="5899" xr:uid="{00000000-0005-0000-0000-000042870000}"/>
    <cellStyle name="Normal 3 3 4 2 3 2 2" xfId="9442" xr:uid="{00000000-0005-0000-0000-000043870000}"/>
    <cellStyle name="Normal 3 3 4 2 3 2 2 2" xfId="16231" xr:uid="{00000000-0005-0000-0000-000044870000}"/>
    <cellStyle name="Normal 3 3 4 2 3 2 2 2 2" xfId="29799" xr:uid="{00000000-0005-0000-0000-000045870000}"/>
    <cellStyle name="Normal 3 3 4 2 3 2 2 2 2 2" xfId="56932" xr:uid="{00000000-0005-0000-0000-000046870000}"/>
    <cellStyle name="Normal 3 3 4 2 3 2 2 2 3" xfId="43370" xr:uid="{00000000-0005-0000-0000-000047870000}"/>
    <cellStyle name="Normal 3 3 4 2 3 2 2 3" xfId="23018" xr:uid="{00000000-0005-0000-0000-000048870000}"/>
    <cellStyle name="Normal 3 3 4 2 3 2 2 3 2" xfId="50151" xr:uid="{00000000-0005-0000-0000-000049870000}"/>
    <cellStyle name="Normal 3 3 4 2 3 2 2 4" xfId="36589" xr:uid="{00000000-0005-0000-0000-00004A870000}"/>
    <cellStyle name="Normal 3 3 4 2 3 2 3" xfId="12842" xr:uid="{00000000-0005-0000-0000-00004B870000}"/>
    <cellStyle name="Normal 3 3 4 2 3 2 3 2" xfId="26410" xr:uid="{00000000-0005-0000-0000-00004C870000}"/>
    <cellStyle name="Normal 3 3 4 2 3 2 3 2 2" xfId="53543" xr:uid="{00000000-0005-0000-0000-00004D870000}"/>
    <cellStyle name="Normal 3 3 4 2 3 2 3 3" xfId="39981" xr:uid="{00000000-0005-0000-0000-00004E870000}"/>
    <cellStyle name="Normal 3 3 4 2 3 2 4" xfId="19629" xr:uid="{00000000-0005-0000-0000-00004F870000}"/>
    <cellStyle name="Normal 3 3 4 2 3 2 4 2" xfId="46762" xr:uid="{00000000-0005-0000-0000-000050870000}"/>
    <cellStyle name="Normal 3 3 4 2 3 2 5" xfId="33200" xr:uid="{00000000-0005-0000-0000-000051870000}"/>
    <cellStyle name="Normal 3 3 4 2 3 3" xfId="5900" xr:uid="{00000000-0005-0000-0000-000052870000}"/>
    <cellStyle name="Normal 3 3 4 2 3 3 2" xfId="9443" xr:uid="{00000000-0005-0000-0000-000053870000}"/>
    <cellStyle name="Normal 3 3 4 2 3 3 2 2" xfId="16232" xr:uid="{00000000-0005-0000-0000-000054870000}"/>
    <cellStyle name="Normal 3 3 4 2 3 3 2 2 2" xfId="29800" xr:uid="{00000000-0005-0000-0000-000055870000}"/>
    <cellStyle name="Normal 3 3 4 2 3 3 2 2 2 2" xfId="56933" xr:uid="{00000000-0005-0000-0000-000056870000}"/>
    <cellStyle name="Normal 3 3 4 2 3 3 2 2 3" xfId="43371" xr:uid="{00000000-0005-0000-0000-000057870000}"/>
    <cellStyle name="Normal 3 3 4 2 3 3 2 3" xfId="23019" xr:uid="{00000000-0005-0000-0000-000058870000}"/>
    <cellStyle name="Normal 3 3 4 2 3 3 2 3 2" xfId="50152" xr:uid="{00000000-0005-0000-0000-000059870000}"/>
    <cellStyle name="Normal 3 3 4 2 3 3 2 4" xfId="36590" xr:uid="{00000000-0005-0000-0000-00005A870000}"/>
    <cellStyle name="Normal 3 3 4 2 3 3 3" xfId="12843" xr:uid="{00000000-0005-0000-0000-00005B870000}"/>
    <cellStyle name="Normal 3 3 4 2 3 3 3 2" xfId="26411" xr:uid="{00000000-0005-0000-0000-00005C870000}"/>
    <cellStyle name="Normal 3 3 4 2 3 3 3 2 2" xfId="53544" xr:uid="{00000000-0005-0000-0000-00005D870000}"/>
    <cellStyle name="Normal 3 3 4 2 3 3 3 3" xfId="39982" xr:uid="{00000000-0005-0000-0000-00005E870000}"/>
    <cellStyle name="Normal 3 3 4 2 3 3 4" xfId="19630" xr:uid="{00000000-0005-0000-0000-00005F870000}"/>
    <cellStyle name="Normal 3 3 4 2 3 3 4 2" xfId="46763" xr:uid="{00000000-0005-0000-0000-000060870000}"/>
    <cellStyle name="Normal 3 3 4 2 3 3 5" xfId="33201" xr:uid="{00000000-0005-0000-0000-000061870000}"/>
    <cellStyle name="Normal 3 3 4 2 3 4" xfId="9441" xr:uid="{00000000-0005-0000-0000-000062870000}"/>
    <cellStyle name="Normal 3 3 4 2 3 4 2" xfId="16230" xr:uid="{00000000-0005-0000-0000-000063870000}"/>
    <cellStyle name="Normal 3 3 4 2 3 4 2 2" xfId="29798" xr:uid="{00000000-0005-0000-0000-000064870000}"/>
    <cellStyle name="Normal 3 3 4 2 3 4 2 2 2" xfId="56931" xr:uid="{00000000-0005-0000-0000-000065870000}"/>
    <cellStyle name="Normal 3 3 4 2 3 4 2 3" xfId="43369" xr:uid="{00000000-0005-0000-0000-000066870000}"/>
    <cellStyle name="Normal 3 3 4 2 3 4 3" xfId="23017" xr:uid="{00000000-0005-0000-0000-000067870000}"/>
    <cellStyle name="Normal 3 3 4 2 3 4 3 2" xfId="50150" xr:uid="{00000000-0005-0000-0000-000068870000}"/>
    <cellStyle name="Normal 3 3 4 2 3 4 4" xfId="36588" xr:uid="{00000000-0005-0000-0000-000069870000}"/>
    <cellStyle name="Normal 3 3 4 2 3 5" xfId="12841" xr:uid="{00000000-0005-0000-0000-00006A870000}"/>
    <cellStyle name="Normal 3 3 4 2 3 5 2" xfId="26409" xr:uid="{00000000-0005-0000-0000-00006B870000}"/>
    <cellStyle name="Normal 3 3 4 2 3 5 2 2" xfId="53542" xr:uid="{00000000-0005-0000-0000-00006C870000}"/>
    <cellStyle name="Normal 3 3 4 2 3 5 3" xfId="39980" xr:uid="{00000000-0005-0000-0000-00006D870000}"/>
    <cellStyle name="Normal 3 3 4 2 3 6" xfId="19628" xr:uid="{00000000-0005-0000-0000-00006E870000}"/>
    <cellStyle name="Normal 3 3 4 2 3 6 2" xfId="46761" xr:uid="{00000000-0005-0000-0000-00006F870000}"/>
    <cellStyle name="Normal 3 3 4 2 3 7" xfId="33199" xr:uid="{00000000-0005-0000-0000-000070870000}"/>
    <cellStyle name="Normal 3 3 4 2 4" xfId="5901" xr:uid="{00000000-0005-0000-0000-000071870000}"/>
    <cellStyle name="Normal 3 3 4 2 4 2" xfId="5902" xr:uid="{00000000-0005-0000-0000-000072870000}"/>
    <cellStyle name="Normal 3 3 4 2 4 2 2" xfId="9445" xr:uid="{00000000-0005-0000-0000-000073870000}"/>
    <cellStyle name="Normal 3 3 4 2 4 2 2 2" xfId="16234" xr:uid="{00000000-0005-0000-0000-000074870000}"/>
    <cellStyle name="Normal 3 3 4 2 4 2 2 2 2" xfId="29802" xr:uid="{00000000-0005-0000-0000-000075870000}"/>
    <cellStyle name="Normal 3 3 4 2 4 2 2 2 2 2" xfId="56935" xr:uid="{00000000-0005-0000-0000-000076870000}"/>
    <cellStyle name="Normal 3 3 4 2 4 2 2 2 3" xfId="43373" xr:uid="{00000000-0005-0000-0000-000077870000}"/>
    <cellStyle name="Normal 3 3 4 2 4 2 2 3" xfId="23021" xr:uid="{00000000-0005-0000-0000-000078870000}"/>
    <cellStyle name="Normal 3 3 4 2 4 2 2 3 2" xfId="50154" xr:uid="{00000000-0005-0000-0000-000079870000}"/>
    <cellStyle name="Normal 3 3 4 2 4 2 2 4" xfId="36592" xr:uid="{00000000-0005-0000-0000-00007A870000}"/>
    <cellStyle name="Normal 3 3 4 2 4 2 3" xfId="12845" xr:uid="{00000000-0005-0000-0000-00007B870000}"/>
    <cellStyle name="Normal 3 3 4 2 4 2 3 2" xfId="26413" xr:uid="{00000000-0005-0000-0000-00007C870000}"/>
    <cellStyle name="Normal 3 3 4 2 4 2 3 2 2" xfId="53546" xr:uid="{00000000-0005-0000-0000-00007D870000}"/>
    <cellStyle name="Normal 3 3 4 2 4 2 3 3" xfId="39984" xr:uid="{00000000-0005-0000-0000-00007E870000}"/>
    <cellStyle name="Normal 3 3 4 2 4 2 4" xfId="19632" xr:uid="{00000000-0005-0000-0000-00007F870000}"/>
    <cellStyle name="Normal 3 3 4 2 4 2 4 2" xfId="46765" xr:uid="{00000000-0005-0000-0000-000080870000}"/>
    <cellStyle name="Normal 3 3 4 2 4 2 5" xfId="33203" xr:uid="{00000000-0005-0000-0000-000081870000}"/>
    <cellStyle name="Normal 3 3 4 2 4 3" xfId="9444" xr:uid="{00000000-0005-0000-0000-000082870000}"/>
    <cellStyle name="Normal 3 3 4 2 4 3 2" xfId="16233" xr:uid="{00000000-0005-0000-0000-000083870000}"/>
    <cellStyle name="Normal 3 3 4 2 4 3 2 2" xfId="29801" xr:uid="{00000000-0005-0000-0000-000084870000}"/>
    <cellStyle name="Normal 3 3 4 2 4 3 2 2 2" xfId="56934" xr:uid="{00000000-0005-0000-0000-000085870000}"/>
    <cellStyle name="Normal 3 3 4 2 4 3 2 3" xfId="43372" xr:uid="{00000000-0005-0000-0000-000086870000}"/>
    <cellStyle name="Normal 3 3 4 2 4 3 3" xfId="23020" xr:uid="{00000000-0005-0000-0000-000087870000}"/>
    <cellStyle name="Normal 3 3 4 2 4 3 3 2" xfId="50153" xr:uid="{00000000-0005-0000-0000-000088870000}"/>
    <cellStyle name="Normal 3 3 4 2 4 3 4" xfId="36591" xr:uid="{00000000-0005-0000-0000-000089870000}"/>
    <cellStyle name="Normal 3 3 4 2 4 4" xfId="12844" xr:uid="{00000000-0005-0000-0000-00008A870000}"/>
    <cellStyle name="Normal 3 3 4 2 4 4 2" xfId="26412" xr:uid="{00000000-0005-0000-0000-00008B870000}"/>
    <cellStyle name="Normal 3 3 4 2 4 4 2 2" xfId="53545" xr:uid="{00000000-0005-0000-0000-00008C870000}"/>
    <cellStyle name="Normal 3 3 4 2 4 4 3" xfId="39983" xr:uid="{00000000-0005-0000-0000-00008D870000}"/>
    <cellStyle name="Normal 3 3 4 2 4 5" xfId="19631" xr:uid="{00000000-0005-0000-0000-00008E870000}"/>
    <cellStyle name="Normal 3 3 4 2 4 5 2" xfId="46764" xr:uid="{00000000-0005-0000-0000-00008F870000}"/>
    <cellStyle name="Normal 3 3 4 2 4 6" xfId="33202" xr:uid="{00000000-0005-0000-0000-000090870000}"/>
    <cellStyle name="Normal 3 3 4 2 5" xfId="5903" xr:uid="{00000000-0005-0000-0000-000091870000}"/>
    <cellStyle name="Normal 3 3 4 2 5 2" xfId="9446" xr:uid="{00000000-0005-0000-0000-000092870000}"/>
    <cellStyle name="Normal 3 3 4 2 5 2 2" xfId="16235" xr:uid="{00000000-0005-0000-0000-000093870000}"/>
    <cellStyle name="Normal 3 3 4 2 5 2 2 2" xfId="29803" xr:uid="{00000000-0005-0000-0000-000094870000}"/>
    <cellStyle name="Normal 3 3 4 2 5 2 2 2 2" xfId="56936" xr:uid="{00000000-0005-0000-0000-000095870000}"/>
    <cellStyle name="Normal 3 3 4 2 5 2 2 3" xfId="43374" xr:uid="{00000000-0005-0000-0000-000096870000}"/>
    <cellStyle name="Normal 3 3 4 2 5 2 3" xfId="23022" xr:uid="{00000000-0005-0000-0000-000097870000}"/>
    <cellStyle name="Normal 3 3 4 2 5 2 3 2" xfId="50155" xr:uid="{00000000-0005-0000-0000-000098870000}"/>
    <cellStyle name="Normal 3 3 4 2 5 2 4" xfId="36593" xr:uid="{00000000-0005-0000-0000-000099870000}"/>
    <cellStyle name="Normal 3 3 4 2 5 3" xfId="12846" xr:uid="{00000000-0005-0000-0000-00009A870000}"/>
    <cellStyle name="Normal 3 3 4 2 5 3 2" xfId="26414" xr:uid="{00000000-0005-0000-0000-00009B870000}"/>
    <cellStyle name="Normal 3 3 4 2 5 3 2 2" xfId="53547" xr:uid="{00000000-0005-0000-0000-00009C870000}"/>
    <cellStyle name="Normal 3 3 4 2 5 3 3" xfId="39985" xr:uid="{00000000-0005-0000-0000-00009D870000}"/>
    <cellStyle name="Normal 3 3 4 2 5 4" xfId="19633" xr:uid="{00000000-0005-0000-0000-00009E870000}"/>
    <cellStyle name="Normal 3 3 4 2 5 4 2" xfId="46766" xr:uid="{00000000-0005-0000-0000-00009F870000}"/>
    <cellStyle name="Normal 3 3 4 2 5 5" xfId="33204" xr:uid="{00000000-0005-0000-0000-0000A0870000}"/>
    <cellStyle name="Normal 3 3 4 2 6" xfId="5904" xr:uid="{00000000-0005-0000-0000-0000A1870000}"/>
    <cellStyle name="Normal 3 3 4 2 6 2" xfId="9447" xr:uid="{00000000-0005-0000-0000-0000A2870000}"/>
    <cellStyle name="Normal 3 3 4 2 6 2 2" xfId="16236" xr:uid="{00000000-0005-0000-0000-0000A3870000}"/>
    <cellStyle name="Normal 3 3 4 2 6 2 2 2" xfId="29804" xr:uid="{00000000-0005-0000-0000-0000A4870000}"/>
    <cellStyle name="Normal 3 3 4 2 6 2 2 2 2" xfId="56937" xr:uid="{00000000-0005-0000-0000-0000A5870000}"/>
    <cellStyle name="Normal 3 3 4 2 6 2 2 3" xfId="43375" xr:uid="{00000000-0005-0000-0000-0000A6870000}"/>
    <cellStyle name="Normal 3 3 4 2 6 2 3" xfId="23023" xr:uid="{00000000-0005-0000-0000-0000A7870000}"/>
    <cellStyle name="Normal 3 3 4 2 6 2 3 2" xfId="50156" xr:uid="{00000000-0005-0000-0000-0000A8870000}"/>
    <cellStyle name="Normal 3 3 4 2 6 2 4" xfId="36594" xr:uid="{00000000-0005-0000-0000-0000A9870000}"/>
    <cellStyle name="Normal 3 3 4 2 6 3" xfId="12847" xr:uid="{00000000-0005-0000-0000-0000AA870000}"/>
    <cellStyle name="Normal 3 3 4 2 6 3 2" xfId="26415" xr:uid="{00000000-0005-0000-0000-0000AB870000}"/>
    <cellStyle name="Normal 3 3 4 2 6 3 2 2" xfId="53548" xr:uid="{00000000-0005-0000-0000-0000AC870000}"/>
    <cellStyle name="Normal 3 3 4 2 6 3 3" xfId="39986" xr:uid="{00000000-0005-0000-0000-0000AD870000}"/>
    <cellStyle name="Normal 3 3 4 2 6 4" xfId="19634" xr:uid="{00000000-0005-0000-0000-0000AE870000}"/>
    <cellStyle name="Normal 3 3 4 2 6 4 2" xfId="46767" xr:uid="{00000000-0005-0000-0000-0000AF870000}"/>
    <cellStyle name="Normal 3 3 4 2 6 5" xfId="33205" xr:uid="{00000000-0005-0000-0000-0000B0870000}"/>
    <cellStyle name="Normal 3 3 4 2 7" xfId="7501" xr:uid="{00000000-0005-0000-0000-0000B1870000}"/>
    <cellStyle name="Normal 3 3 4 2 7 2" xfId="14290" xr:uid="{00000000-0005-0000-0000-0000B2870000}"/>
    <cellStyle name="Normal 3 3 4 2 7 2 2" xfId="27858" xr:uid="{00000000-0005-0000-0000-0000B3870000}"/>
    <cellStyle name="Normal 3 3 4 2 7 2 2 2" xfId="54991" xr:uid="{00000000-0005-0000-0000-0000B4870000}"/>
    <cellStyle name="Normal 3 3 4 2 7 2 3" xfId="41429" xr:uid="{00000000-0005-0000-0000-0000B5870000}"/>
    <cellStyle name="Normal 3 3 4 2 7 3" xfId="21077" xr:uid="{00000000-0005-0000-0000-0000B6870000}"/>
    <cellStyle name="Normal 3 3 4 2 7 3 2" xfId="48210" xr:uid="{00000000-0005-0000-0000-0000B7870000}"/>
    <cellStyle name="Normal 3 3 4 2 7 4" xfId="34648" xr:uid="{00000000-0005-0000-0000-0000B8870000}"/>
    <cellStyle name="Normal 3 3 4 2 8" xfId="10901" xr:uid="{00000000-0005-0000-0000-0000B9870000}"/>
    <cellStyle name="Normal 3 3 4 2 8 2" xfId="24469" xr:uid="{00000000-0005-0000-0000-0000BA870000}"/>
    <cellStyle name="Normal 3 3 4 2 8 2 2" xfId="51602" xr:uid="{00000000-0005-0000-0000-0000BB870000}"/>
    <cellStyle name="Normal 3 3 4 2 8 3" xfId="38040" xr:uid="{00000000-0005-0000-0000-0000BC870000}"/>
    <cellStyle name="Normal 3 3 4 2 9" xfId="17688" xr:uid="{00000000-0005-0000-0000-0000BD870000}"/>
    <cellStyle name="Normal 3 3 4 2 9 2" xfId="44821" xr:uid="{00000000-0005-0000-0000-0000BE870000}"/>
    <cellStyle name="Normal 3 3 4 3" xfId="5905" xr:uid="{00000000-0005-0000-0000-0000BF870000}"/>
    <cellStyle name="Normal 3 3 4 3 2" xfId="5906" xr:uid="{00000000-0005-0000-0000-0000C0870000}"/>
    <cellStyle name="Normal 3 3 4 3 2 2" xfId="5907" xr:uid="{00000000-0005-0000-0000-0000C1870000}"/>
    <cellStyle name="Normal 3 3 4 3 2 2 2" xfId="9450" xr:uid="{00000000-0005-0000-0000-0000C2870000}"/>
    <cellStyle name="Normal 3 3 4 3 2 2 2 2" xfId="16239" xr:uid="{00000000-0005-0000-0000-0000C3870000}"/>
    <cellStyle name="Normal 3 3 4 3 2 2 2 2 2" xfId="29807" xr:uid="{00000000-0005-0000-0000-0000C4870000}"/>
    <cellStyle name="Normal 3 3 4 3 2 2 2 2 2 2" xfId="56940" xr:uid="{00000000-0005-0000-0000-0000C5870000}"/>
    <cellStyle name="Normal 3 3 4 3 2 2 2 2 3" xfId="43378" xr:uid="{00000000-0005-0000-0000-0000C6870000}"/>
    <cellStyle name="Normal 3 3 4 3 2 2 2 3" xfId="23026" xr:uid="{00000000-0005-0000-0000-0000C7870000}"/>
    <cellStyle name="Normal 3 3 4 3 2 2 2 3 2" xfId="50159" xr:uid="{00000000-0005-0000-0000-0000C8870000}"/>
    <cellStyle name="Normal 3 3 4 3 2 2 2 4" xfId="36597" xr:uid="{00000000-0005-0000-0000-0000C9870000}"/>
    <cellStyle name="Normal 3 3 4 3 2 2 3" xfId="12850" xr:uid="{00000000-0005-0000-0000-0000CA870000}"/>
    <cellStyle name="Normal 3 3 4 3 2 2 3 2" xfId="26418" xr:uid="{00000000-0005-0000-0000-0000CB870000}"/>
    <cellStyle name="Normal 3 3 4 3 2 2 3 2 2" xfId="53551" xr:uid="{00000000-0005-0000-0000-0000CC870000}"/>
    <cellStyle name="Normal 3 3 4 3 2 2 3 3" xfId="39989" xr:uid="{00000000-0005-0000-0000-0000CD870000}"/>
    <cellStyle name="Normal 3 3 4 3 2 2 4" xfId="19637" xr:uid="{00000000-0005-0000-0000-0000CE870000}"/>
    <cellStyle name="Normal 3 3 4 3 2 2 4 2" xfId="46770" xr:uid="{00000000-0005-0000-0000-0000CF870000}"/>
    <cellStyle name="Normal 3 3 4 3 2 2 5" xfId="33208" xr:uid="{00000000-0005-0000-0000-0000D0870000}"/>
    <cellStyle name="Normal 3 3 4 3 2 3" xfId="5908" xr:uid="{00000000-0005-0000-0000-0000D1870000}"/>
    <cellStyle name="Normal 3 3 4 3 2 3 2" xfId="9451" xr:uid="{00000000-0005-0000-0000-0000D2870000}"/>
    <cellStyle name="Normal 3 3 4 3 2 3 2 2" xfId="16240" xr:uid="{00000000-0005-0000-0000-0000D3870000}"/>
    <cellStyle name="Normal 3 3 4 3 2 3 2 2 2" xfId="29808" xr:uid="{00000000-0005-0000-0000-0000D4870000}"/>
    <cellStyle name="Normal 3 3 4 3 2 3 2 2 2 2" xfId="56941" xr:uid="{00000000-0005-0000-0000-0000D5870000}"/>
    <cellStyle name="Normal 3 3 4 3 2 3 2 2 3" xfId="43379" xr:uid="{00000000-0005-0000-0000-0000D6870000}"/>
    <cellStyle name="Normal 3 3 4 3 2 3 2 3" xfId="23027" xr:uid="{00000000-0005-0000-0000-0000D7870000}"/>
    <cellStyle name="Normal 3 3 4 3 2 3 2 3 2" xfId="50160" xr:uid="{00000000-0005-0000-0000-0000D8870000}"/>
    <cellStyle name="Normal 3 3 4 3 2 3 2 4" xfId="36598" xr:uid="{00000000-0005-0000-0000-0000D9870000}"/>
    <cellStyle name="Normal 3 3 4 3 2 3 3" xfId="12851" xr:uid="{00000000-0005-0000-0000-0000DA870000}"/>
    <cellStyle name="Normal 3 3 4 3 2 3 3 2" xfId="26419" xr:uid="{00000000-0005-0000-0000-0000DB870000}"/>
    <cellStyle name="Normal 3 3 4 3 2 3 3 2 2" xfId="53552" xr:uid="{00000000-0005-0000-0000-0000DC870000}"/>
    <cellStyle name="Normal 3 3 4 3 2 3 3 3" xfId="39990" xr:uid="{00000000-0005-0000-0000-0000DD870000}"/>
    <cellStyle name="Normal 3 3 4 3 2 3 4" xfId="19638" xr:uid="{00000000-0005-0000-0000-0000DE870000}"/>
    <cellStyle name="Normal 3 3 4 3 2 3 4 2" xfId="46771" xr:uid="{00000000-0005-0000-0000-0000DF870000}"/>
    <cellStyle name="Normal 3 3 4 3 2 3 5" xfId="33209" xr:uid="{00000000-0005-0000-0000-0000E0870000}"/>
    <cellStyle name="Normal 3 3 4 3 2 4" xfId="9449" xr:uid="{00000000-0005-0000-0000-0000E1870000}"/>
    <cellStyle name="Normal 3 3 4 3 2 4 2" xfId="16238" xr:uid="{00000000-0005-0000-0000-0000E2870000}"/>
    <cellStyle name="Normal 3 3 4 3 2 4 2 2" xfId="29806" xr:uid="{00000000-0005-0000-0000-0000E3870000}"/>
    <cellStyle name="Normal 3 3 4 3 2 4 2 2 2" xfId="56939" xr:uid="{00000000-0005-0000-0000-0000E4870000}"/>
    <cellStyle name="Normal 3 3 4 3 2 4 2 3" xfId="43377" xr:uid="{00000000-0005-0000-0000-0000E5870000}"/>
    <cellStyle name="Normal 3 3 4 3 2 4 3" xfId="23025" xr:uid="{00000000-0005-0000-0000-0000E6870000}"/>
    <cellStyle name="Normal 3 3 4 3 2 4 3 2" xfId="50158" xr:uid="{00000000-0005-0000-0000-0000E7870000}"/>
    <cellStyle name="Normal 3 3 4 3 2 4 4" xfId="36596" xr:uid="{00000000-0005-0000-0000-0000E8870000}"/>
    <cellStyle name="Normal 3 3 4 3 2 5" xfId="12849" xr:uid="{00000000-0005-0000-0000-0000E9870000}"/>
    <cellStyle name="Normal 3 3 4 3 2 5 2" xfId="26417" xr:uid="{00000000-0005-0000-0000-0000EA870000}"/>
    <cellStyle name="Normal 3 3 4 3 2 5 2 2" xfId="53550" xr:uid="{00000000-0005-0000-0000-0000EB870000}"/>
    <cellStyle name="Normal 3 3 4 3 2 5 3" xfId="39988" xr:uid="{00000000-0005-0000-0000-0000EC870000}"/>
    <cellStyle name="Normal 3 3 4 3 2 6" xfId="19636" xr:uid="{00000000-0005-0000-0000-0000ED870000}"/>
    <cellStyle name="Normal 3 3 4 3 2 6 2" xfId="46769" xr:uid="{00000000-0005-0000-0000-0000EE870000}"/>
    <cellStyle name="Normal 3 3 4 3 2 7" xfId="33207" xr:uid="{00000000-0005-0000-0000-0000EF870000}"/>
    <cellStyle name="Normal 3 3 4 3 3" xfId="5909" xr:uid="{00000000-0005-0000-0000-0000F0870000}"/>
    <cellStyle name="Normal 3 3 4 3 3 2" xfId="5910" xr:uid="{00000000-0005-0000-0000-0000F1870000}"/>
    <cellStyle name="Normal 3 3 4 3 3 2 2" xfId="9453" xr:uid="{00000000-0005-0000-0000-0000F2870000}"/>
    <cellStyle name="Normal 3 3 4 3 3 2 2 2" xfId="16242" xr:uid="{00000000-0005-0000-0000-0000F3870000}"/>
    <cellStyle name="Normal 3 3 4 3 3 2 2 2 2" xfId="29810" xr:uid="{00000000-0005-0000-0000-0000F4870000}"/>
    <cellStyle name="Normal 3 3 4 3 3 2 2 2 2 2" xfId="56943" xr:uid="{00000000-0005-0000-0000-0000F5870000}"/>
    <cellStyle name="Normal 3 3 4 3 3 2 2 2 3" xfId="43381" xr:uid="{00000000-0005-0000-0000-0000F6870000}"/>
    <cellStyle name="Normal 3 3 4 3 3 2 2 3" xfId="23029" xr:uid="{00000000-0005-0000-0000-0000F7870000}"/>
    <cellStyle name="Normal 3 3 4 3 3 2 2 3 2" xfId="50162" xr:uid="{00000000-0005-0000-0000-0000F8870000}"/>
    <cellStyle name="Normal 3 3 4 3 3 2 2 4" xfId="36600" xr:uid="{00000000-0005-0000-0000-0000F9870000}"/>
    <cellStyle name="Normal 3 3 4 3 3 2 3" xfId="12853" xr:uid="{00000000-0005-0000-0000-0000FA870000}"/>
    <cellStyle name="Normal 3 3 4 3 3 2 3 2" xfId="26421" xr:uid="{00000000-0005-0000-0000-0000FB870000}"/>
    <cellStyle name="Normal 3 3 4 3 3 2 3 2 2" xfId="53554" xr:uid="{00000000-0005-0000-0000-0000FC870000}"/>
    <cellStyle name="Normal 3 3 4 3 3 2 3 3" xfId="39992" xr:uid="{00000000-0005-0000-0000-0000FD870000}"/>
    <cellStyle name="Normal 3 3 4 3 3 2 4" xfId="19640" xr:uid="{00000000-0005-0000-0000-0000FE870000}"/>
    <cellStyle name="Normal 3 3 4 3 3 2 4 2" xfId="46773" xr:uid="{00000000-0005-0000-0000-0000FF870000}"/>
    <cellStyle name="Normal 3 3 4 3 3 2 5" xfId="33211" xr:uid="{00000000-0005-0000-0000-000000880000}"/>
    <cellStyle name="Normal 3 3 4 3 3 3" xfId="9452" xr:uid="{00000000-0005-0000-0000-000001880000}"/>
    <cellStyle name="Normal 3 3 4 3 3 3 2" xfId="16241" xr:uid="{00000000-0005-0000-0000-000002880000}"/>
    <cellStyle name="Normal 3 3 4 3 3 3 2 2" xfId="29809" xr:uid="{00000000-0005-0000-0000-000003880000}"/>
    <cellStyle name="Normal 3 3 4 3 3 3 2 2 2" xfId="56942" xr:uid="{00000000-0005-0000-0000-000004880000}"/>
    <cellStyle name="Normal 3 3 4 3 3 3 2 3" xfId="43380" xr:uid="{00000000-0005-0000-0000-000005880000}"/>
    <cellStyle name="Normal 3 3 4 3 3 3 3" xfId="23028" xr:uid="{00000000-0005-0000-0000-000006880000}"/>
    <cellStyle name="Normal 3 3 4 3 3 3 3 2" xfId="50161" xr:uid="{00000000-0005-0000-0000-000007880000}"/>
    <cellStyle name="Normal 3 3 4 3 3 3 4" xfId="36599" xr:uid="{00000000-0005-0000-0000-000008880000}"/>
    <cellStyle name="Normal 3 3 4 3 3 4" xfId="12852" xr:uid="{00000000-0005-0000-0000-000009880000}"/>
    <cellStyle name="Normal 3 3 4 3 3 4 2" xfId="26420" xr:uid="{00000000-0005-0000-0000-00000A880000}"/>
    <cellStyle name="Normal 3 3 4 3 3 4 2 2" xfId="53553" xr:uid="{00000000-0005-0000-0000-00000B880000}"/>
    <cellStyle name="Normal 3 3 4 3 3 4 3" xfId="39991" xr:uid="{00000000-0005-0000-0000-00000C880000}"/>
    <cellStyle name="Normal 3 3 4 3 3 5" xfId="19639" xr:uid="{00000000-0005-0000-0000-00000D880000}"/>
    <cellStyle name="Normal 3 3 4 3 3 5 2" xfId="46772" xr:uid="{00000000-0005-0000-0000-00000E880000}"/>
    <cellStyle name="Normal 3 3 4 3 3 6" xfId="33210" xr:uid="{00000000-0005-0000-0000-00000F880000}"/>
    <cellStyle name="Normal 3 3 4 3 4" xfId="5911" xr:uid="{00000000-0005-0000-0000-000010880000}"/>
    <cellStyle name="Normal 3 3 4 3 4 2" xfId="9454" xr:uid="{00000000-0005-0000-0000-000011880000}"/>
    <cellStyle name="Normal 3 3 4 3 4 2 2" xfId="16243" xr:uid="{00000000-0005-0000-0000-000012880000}"/>
    <cellStyle name="Normal 3 3 4 3 4 2 2 2" xfId="29811" xr:uid="{00000000-0005-0000-0000-000013880000}"/>
    <cellStyle name="Normal 3 3 4 3 4 2 2 2 2" xfId="56944" xr:uid="{00000000-0005-0000-0000-000014880000}"/>
    <cellStyle name="Normal 3 3 4 3 4 2 2 3" xfId="43382" xr:uid="{00000000-0005-0000-0000-000015880000}"/>
    <cellStyle name="Normal 3 3 4 3 4 2 3" xfId="23030" xr:uid="{00000000-0005-0000-0000-000016880000}"/>
    <cellStyle name="Normal 3 3 4 3 4 2 3 2" xfId="50163" xr:uid="{00000000-0005-0000-0000-000017880000}"/>
    <cellStyle name="Normal 3 3 4 3 4 2 4" xfId="36601" xr:uid="{00000000-0005-0000-0000-000018880000}"/>
    <cellStyle name="Normal 3 3 4 3 4 3" xfId="12854" xr:uid="{00000000-0005-0000-0000-000019880000}"/>
    <cellStyle name="Normal 3 3 4 3 4 3 2" xfId="26422" xr:uid="{00000000-0005-0000-0000-00001A880000}"/>
    <cellStyle name="Normal 3 3 4 3 4 3 2 2" xfId="53555" xr:uid="{00000000-0005-0000-0000-00001B880000}"/>
    <cellStyle name="Normal 3 3 4 3 4 3 3" xfId="39993" xr:uid="{00000000-0005-0000-0000-00001C880000}"/>
    <cellStyle name="Normal 3 3 4 3 4 4" xfId="19641" xr:uid="{00000000-0005-0000-0000-00001D880000}"/>
    <cellStyle name="Normal 3 3 4 3 4 4 2" xfId="46774" xr:uid="{00000000-0005-0000-0000-00001E880000}"/>
    <cellStyle name="Normal 3 3 4 3 4 5" xfId="33212" xr:uid="{00000000-0005-0000-0000-00001F880000}"/>
    <cellStyle name="Normal 3 3 4 3 5" xfId="5912" xr:uid="{00000000-0005-0000-0000-000020880000}"/>
    <cellStyle name="Normal 3 3 4 3 5 2" xfId="9455" xr:uid="{00000000-0005-0000-0000-000021880000}"/>
    <cellStyle name="Normal 3 3 4 3 5 2 2" xfId="16244" xr:uid="{00000000-0005-0000-0000-000022880000}"/>
    <cellStyle name="Normal 3 3 4 3 5 2 2 2" xfId="29812" xr:uid="{00000000-0005-0000-0000-000023880000}"/>
    <cellStyle name="Normal 3 3 4 3 5 2 2 2 2" xfId="56945" xr:uid="{00000000-0005-0000-0000-000024880000}"/>
    <cellStyle name="Normal 3 3 4 3 5 2 2 3" xfId="43383" xr:uid="{00000000-0005-0000-0000-000025880000}"/>
    <cellStyle name="Normal 3 3 4 3 5 2 3" xfId="23031" xr:uid="{00000000-0005-0000-0000-000026880000}"/>
    <cellStyle name="Normal 3 3 4 3 5 2 3 2" xfId="50164" xr:uid="{00000000-0005-0000-0000-000027880000}"/>
    <cellStyle name="Normal 3 3 4 3 5 2 4" xfId="36602" xr:uid="{00000000-0005-0000-0000-000028880000}"/>
    <cellStyle name="Normal 3 3 4 3 5 3" xfId="12855" xr:uid="{00000000-0005-0000-0000-000029880000}"/>
    <cellStyle name="Normal 3 3 4 3 5 3 2" xfId="26423" xr:uid="{00000000-0005-0000-0000-00002A880000}"/>
    <cellStyle name="Normal 3 3 4 3 5 3 2 2" xfId="53556" xr:uid="{00000000-0005-0000-0000-00002B880000}"/>
    <cellStyle name="Normal 3 3 4 3 5 3 3" xfId="39994" xr:uid="{00000000-0005-0000-0000-00002C880000}"/>
    <cellStyle name="Normal 3 3 4 3 5 4" xfId="19642" xr:uid="{00000000-0005-0000-0000-00002D880000}"/>
    <cellStyle name="Normal 3 3 4 3 5 4 2" xfId="46775" xr:uid="{00000000-0005-0000-0000-00002E880000}"/>
    <cellStyle name="Normal 3 3 4 3 5 5" xfId="33213" xr:uid="{00000000-0005-0000-0000-00002F880000}"/>
    <cellStyle name="Normal 3 3 4 3 6" xfId="9448" xr:uid="{00000000-0005-0000-0000-000030880000}"/>
    <cellStyle name="Normal 3 3 4 3 6 2" xfId="16237" xr:uid="{00000000-0005-0000-0000-000031880000}"/>
    <cellStyle name="Normal 3 3 4 3 6 2 2" xfId="29805" xr:uid="{00000000-0005-0000-0000-000032880000}"/>
    <cellStyle name="Normal 3 3 4 3 6 2 2 2" xfId="56938" xr:uid="{00000000-0005-0000-0000-000033880000}"/>
    <cellStyle name="Normal 3 3 4 3 6 2 3" xfId="43376" xr:uid="{00000000-0005-0000-0000-000034880000}"/>
    <cellStyle name="Normal 3 3 4 3 6 3" xfId="23024" xr:uid="{00000000-0005-0000-0000-000035880000}"/>
    <cellStyle name="Normal 3 3 4 3 6 3 2" xfId="50157" xr:uid="{00000000-0005-0000-0000-000036880000}"/>
    <cellStyle name="Normal 3 3 4 3 6 4" xfId="36595" xr:uid="{00000000-0005-0000-0000-000037880000}"/>
    <cellStyle name="Normal 3 3 4 3 7" xfId="12848" xr:uid="{00000000-0005-0000-0000-000038880000}"/>
    <cellStyle name="Normal 3 3 4 3 7 2" xfId="26416" xr:uid="{00000000-0005-0000-0000-000039880000}"/>
    <cellStyle name="Normal 3 3 4 3 7 2 2" xfId="53549" xr:uid="{00000000-0005-0000-0000-00003A880000}"/>
    <cellStyle name="Normal 3 3 4 3 7 3" xfId="39987" xr:uid="{00000000-0005-0000-0000-00003B880000}"/>
    <cellStyle name="Normal 3 3 4 3 8" xfId="19635" xr:uid="{00000000-0005-0000-0000-00003C880000}"/>
    <cellStyle name="Normal 3 3 4 3 8 2" xfId="46768" xr:uid="{00000000-0005-0000-0000-00003D880000}"/>
    <cellStyle name="Normal 3 3 4 3 9" xfId="33206" xr:uid="{00000000-0005-0000-0000-00003E880000}"/>
    <cellStyle name="Normal 3 3 4 4" xfId="5913" xr:uid="{00000000-0005-0000-0000-00003F880000}"/>
    <cellStyle name="Normal 3 3 4 4 2" xfId="5914" xr:uid="{00000000-0005-0000-0000-000040880000}"/>
    <cellStyle name="Normal 3 3 4 4 2 2" xfId="5915" xr:uid="{00000000-0005-0000-0000-000041880000}"/>
    <cellStyle name="Normal 3 3 4 4 2 2 2" xfId="9458" xr:uid="{00000000-0005-0000-0000-000042880000}"/>
    <cellStyle name="Normal 3 3 4 4 2 2 2 2" xfId="16247" xr:uid="{00000000-0005-0000-0000-000043880000}"/>
    <cellStyle name="Normal 3 3 4 4 2 2 2 2 2" xfId="29815" xr:uid="{00000000-0005-0000-0000-000044880000}"/>
    <cellStyle name="Normal 3 3 4 4 2 2 2 2 2 2" xfId="56948" xr:uid="{00000000-0005-0000-0000-000045880000}"/>
    <cellStyle name="Normal 3 3 4 4 2 2 2 2 3" xfId="43386" xr:uid="{00000000-0005-0000-0000-000046880000}"/>
    <cellStyle name="Normal 3 3 4 4 2 2 2 3" xfId="23034" xr:uid="{00000000-0005-0000-0000-000047880000}"/>
    <cellStyle name="Normal 3 3 4 4 2 2 2 3 2" xfId="50167" xr:uid="{00000000-0005-0000-0000-000048880000}"/>
    <cellStyle name="Normal 3 3 4 4 2 2 2 4" xfId="36605" xr:uid="{00000000-0005-0000-0000-000049880000}"/>
    <cellStyle name="Normal 3 3 4 4 2 2 3" xfId="12858" xr:uid="{00000000-0005-0000-0000-00004A880000}"/>
    <cellStyle name="Normal 3 3 4 4 2 2 3 2" xfId="26426" xr:uid="{00000000-0005-0000-0000-00004B880000}"/>
    <cellStyle name="Normal 3 3 4 4 2 2 3 2 2" xfId="53559" xr:uid="{00000000-0005-0000-0000-00004C880000}"/>
    <cellStyle name="Normal 3 3 4 4 2 2 3 3" xfId="39997" xr:uid="{00000000-0005-0000-0000-00004D880000}"/>
    <cellStyle name="Normal 3 3 4 4 2 2 4" xfId="19645" xr:uid="{00000000-0005-0000-0000-00004E880000}"/>
    <cellStyle name="Normal 3 3 4 4 2 2 4 2" xfId="46778" xr:uid="{00000000-0005-0000-0000-00004F880000}"/>
    <cellStyle name="Normal 3 3 4 4 2 2 5" xfId="33216" xr:uid="{00000000-0005-0000-0000-000050880000}"/>
    <cellStyle name="Normal 3 3 4 4 2 3" xfId="5916" xr:uid="{00000000-0005-0000-0000-000051880000}"/>
    <cellStyle name="Normal 3 3 4 4 2 3 2" xfId="9459" xr:uid="{00000000-0005-0000-0000-000052880000}"/>
    <cellStyle name="Normal 3 3 4 4 2 3 2 2" xfId="16248" xr:uid="{00000000-0005-0000-0000-000053880000}"/>
    <cellStyle name="Normal 3 3 4 4 2 3 2 2 2" xfId="29816" xr:uid="{00000000-0005-0000-0000-000054880000}"/>
    <cellStyle name="Normal 3 3 4 4 2 3 2 2 2 2" xfId="56949" xr:uid="{00000000-0005-0000-0000-000055880000}"/>
    <cellStyle name="Normal 3 3 4 4 2 3 2 2 3" xfId="43387" xr:uid="{00000000-0005-0000-0000-000056880000}"/>
    <cellStyle name="Normal 3 3 4 4 2 3 2 3" xfId="23035" xr:uid="{00000000-0005-0000-0000-000057880000}"/>
    <cellStyle name="Normal 3 3 4 4 2 3 2 3 2" xfId="50168" xr:uid="{00000000-0005-0000-0000-000058880000}"/>
    <cellStyle name="Normal 3 3 4 4 2 3 2 4" xfId="36606" xr:uid="{00000000-0005-0000-0000-000059880000}"/>
    <cellStyle name="Normal 3 3 4 4 2 3 3" xfId="12859" xr:uid="{00000000-0005-0000-0000-00005A880000}"/>
    <cellStyle name="Normal 3 3 4 4 2 3 3 2" xfId="26427" xr:uid="{00000000-0005-0000-0000-00005B880000}"/>
    <cellStyle name="Normal 3 3 4 4 2 3 3 2 2" xfId="53560" xr:uid="{00000000-0005-0000-0000-00005C880000}"/>
    <cellStyle name="Normal 3 3 4 4 2 3 3 3" xfId="39998" xr:uid="{00000000-0005-0000-0000-00005D880000}"/>
    <cellStyle name="Normal 3 3 4 4 2 3 4" xfId="19646" xr:uid="{00000000-0005-0000-0000-00005E880000}"/>
    <cellStyle name="Normal 3 3 4 4 2 3 4 2" xfId="46779" xr:uid="{00000000-0005-0000-0000-00005F880000}"/>
    <cellStyle name="Normal 3 3 4 4 2 3 5" xfId="33217" xr:uid="{00000000-0005-0000-0000-000060880000}"/>
    <cellStyle name="Normal 3 3 4 4 2 4" xfId="9457" xr:uid="{00000000-0005-0000-0000-000061880000}"/>
    <cellStyle name="Normal 3 3 4 4 2 4 2" xfId="16246" xr:uid="{00000000-0005-0000-0000-000062880000}"/>
    <cellStyle name="Normal 3 3 4 4 2 4 2 2" xfId="29814" xr:uid="{00000000-0005-0000-0000-000063880000}"/>
    <cellStyle name="Normal 3 3 4 4 2 4 2 2 2" xfId="56947" xr:uid="{00000000-0005-0000-0000-000064880000}"/>
    <cellStyle name="Normal 3 3 4 4 2 4 2 3" xfId="43385" xr:uid="{00000000-0005-0000-0000-000065880000}"/>
    <cellStyle name="Normal 3 3 4 4 2 4 3" xfId="23033" xr:uid="{00000000-0005-0000-0000-000066880000}"/>
    <cellStyle name="Normal 3 3 4 4 2 4 3 2" xfId="50166" xr:uid="{00000000-0005-0000-0000-000067880000}"/>
    <cellStyle name="Normal 3 3 4 4 2 4 4" xfId="36604" xr:uid="{00000000-0005-0000-0000-000068880000}"/>
    <cellStyle name="Normal 3 3 4 4 2 5" xfId="12857" xr:uid="{00000000-0005-0000-0000-000069880000}"/>
    <cellStyle name="Normal 3 3 4 4 2 5 2" xfId="26425" xr:uid="{00000000-0005-0000-0000-00006A880000}"/>
    <cellStyle name="Normal 3 3 4 4 2 5 2 2" xfId="53558" xr:uid="{00000000-0005-0000-0000-00006B880000}"/>
    <cellStyle name="Normal 3 3 4 4 2 5 3" xfId="39996" xr:uid="{00000000-0005-0000-0000-00006C880000}"/>
    <cellStyle name="Normal 3 3 4 4 2 6" xfId="19644" xr:uid="{00000000-0005-0000-0000-00006D880000}"/>
    <cellStyle name="Normal 3 3 4 4 2 6 2" xfId="46777" xr:uid="{00000000-0005-0000-0000-00006E880000}"/>
    <cellStyle name="Normal 3 3 4 4 2 7" xfId="33215" xr:uid="{00000000-0005-0000-0000-00006F880000}"/>
    <cellStyle name="Normal 3 3 4 4 3" xfId="5917" xr:uid="{00000000-0005-0000-0000-000070880000}"/>
    <cellStyle name="Normal 3 3 4 4 3 2" xfId="9460" xr:uid="{00000000-0005-0000-0000-000071880000}"/>
    <cellStyle name="Normal 3 3 4 4 3 2 2" xfId="16249" xr:uid="{00000000-0005-0000-0000-000072880000}"/>
    <cellStyle name="Normal 3 3 4 4 3 2 2 2" xfId="29817" xr:uid="{00000000-0005-0000-0000-000073880000}"/>
    <cellStyle name="Normal 3 3 4 4 3 2 2 2 2" xfId="56950" xr:uid="{00000000-0005-0000-0000-000074880000}"/>
    <cellStyle name="Normal 3 3 4 4 3 2 2 3" xfId="43388" xr:uid="{00000000-0005-0000-0000-000075880000}"/>
    <cellStyle name="Normal 3 3 4 4 3 2 3" xfId="23036" xr:uid="{00000000-0005-0000-0000-000076880000}"/>
    <cellStyle name="Normal 3 3 4 4 3 2 3 2" xfId="50169" xr:uid="{00000000-0005-0000-0000-000077880000}"/>
    <cellStyle name="Normal 3 3 4 4 3 2 4" xfId="36607" xr:uid="{00000000-0005-0000-0000-000078880000}"/>
    <cellStyle name="Normal 3 3 4 4 3 3" xfId="12860" xr:uid="{00000000-0005-0000-0000-000079880000}"/>
    <cellStyle name="Normal 3 3 4 4 3 3 2" xfId="26428" xr:uid="{00000000-0005-0000-0000-00007A880000}"/>
    <cellStyle name="Normal 3 3 4 4 3 3 2 2" xfId="53561" xr:uid="{00000000-0005-0000-0000-00007B880000}"/>
    <cellStyle name="Normal 3 3 4 4 3 3 3" xfId="39999" xr:uid="{00000000-0005-0000-0000-00007C880000}"/>
    <cellStyle name="Normal 3 3 4 4 3 4" xfId="19647" xr:uid="{00000000-0005-0000-0000-00007D880000}"/>
    <cellStyle name="Normal 3 3 4 4 3 4 2" xfId="46780" xr:uid="{00000000-0005-0000-0000-00007E880000}"/>
    <cellStyle name="Normal 3 3 4 4 3 5" xfId="33218" xr:uid="{00000000-0005-0000-0000-00007F880000}"/>
    <cellStyle name="Normal 3 3 4 4 4" xfId="5918" xr:uid="{00000000-0005-0000-0000-000080880000}"/>
    <cellStyle name="Normal 3 3 4 4 4 2" xfId="9461" xr:uid="{00000000-0005-0000-0000-000081880000}"/>
    <cellStyle name="Normal 3 3 4 4 4 2 2" xfId="16250" xr:uid="{00000000-0005-0000-0000-000082880000}"/>
    <cellStyle name="Normal 3 3 4 4 4 2 2 2" xfId="29818" xr:uid="{00000000-0005-0000-0000-000083880000}"/>
    <cellStyle name="Normal 3 3 4 4 4 2 2 2 2" xfId="56951" xr:uid="{00000000-0005-0000-0000-000084880000}"/>
    <cellStyle name="Normal 3 3 4 4 4 2 2 3" xfId="43389" xr:uid="{00000000-0005-0000-0000-000085880000}"/>
    <cellStyle name="Normal 3 3 4 4 4 2 3" xfId="23037" xr:uid="{00000000-0005-0000-0000-000086880000}"/>
    <cellStyle name="Normal 3 3 4 4 4 2 3 2" xfId="50170" xr:uid="{00000000-0005-0000-0000-000087880000}"/>
    <cellStyle name="Normal 3 3 4 4 4 2 4" xfId="36608" xr:uid="{00000000-0005-0000-0000-000088880000}"/>
    <cellStyle name="Normal 3 3 4 4 4 3" xfId="12861" xr:uid="{00000000-0005-0000-0000-000089880000}"/>
    <cellStyle name="Normal 3 3 4 4 4 3 2" xfId="26429" xr:uid="{00000000-0005-0000-0000-00008A880000}"/>
    <cellStyle name="Normal 3 3 4 4 4 3 2 2" xfId="53562" xr:uid="{00000000-0005-0000-0000-00008B880000}"/>
    <cellStyle name="Normal 3 3 4 4 4 3 3" xfId="40000" xr:uid="{00000000-0005-0000-0000-00008C880000}"/>
    <cellStyle name="Normal 3 3 4 4 4 4" xfId="19648" xr:uid="{00000000-0005-0000-0000-00008D880000}"/>
    <cellStyle name="Normal 3 3 4 4 4 4 2" xfId="46781" xr:uid="{00000000-0005-0000-0000-00008E880000}"/>
    <cellStyle name="Normal 3 3 4 4 4 5" xfId="33219" xr:uid="{00000000-0005-0000-0000-00008F880000}"/>
    <cellStyle name="Normal 3 3 4 4 5" xfId="9456" xr:uid="{00000000-0005-0000-0000-000090880000}"/>
    <cellStyle name="Normal 3 3 4 4 5 2" xfId="16245" xr:uid="{00000000-0005-0000-0000-000091880000}"/>
    <cellStyle name="Normal 3 3 4 4 5 2 2" xfId="29813" xr:uid="{00000000-0005-0000-0000-000092880000}"/>
    <cellStyle name="Normal 3 3 4 4 5 2 2 2" xfId="56946" xr:uid="{00000000-0005-0000-0000-000093880000}"/>
    <cellStyle name="Normal 3 3 4 4 5 2 3" xfId="43384" xr:uid="{00000000-0005-0000-0000-000094880000}"/>
    <cellStyle name="Normal 3 3 4 4 5 3" xfId="23032" xr:uid="{00000000-0005-0000-0000-000095880000}"/>
    <cellStyle name="Normal 3 3 4 4 5 3 2" xfId="50165" xr:uid="{00000000-0005-0000-0000-000096880000}"/>
    <cellStyle name="Normal 3 3 4 4 5 4" xfId="36603" xr:uid="{00000000-0005-0000-0000-000097880000}"/>
    <cellStyle name="Normal 3 3 4 4 6" xfId="12856" xr:uid="{00000000-0005-0000-0000-000098880000}"/>
    <cellStyle name="Normal 3 3 4 4 6 2" xfId="26424" xr:uid="{00000000-0005-0000-0000-000099880000}"/>
    <cellStyle name="Normal 3 3 4 4 6 2 2" xfId="53557" xr:uid="{00000000-0005-0000-0000-00009A880000}"/>
    <cellStyle name="Normal 3 3 4 4 6 3" xfId="39995" xr:uid="{00000000-0005-0000-0000-00009B880000}"/>
    <cellStyle name="Normal 3 3 4 4 7" xfId="19643" xr:uid="{00000000-0005-0000-0000-00009C880000}"/>
    <cellStyle name="Normal 3 3 4 4 7 2" xfId="46776" xr:uid="{00000000-0005-0000-0000-00009D880000}"/>
    <cellStyle name="Normal 3 3 4 4 8" xfId="33214" xr:uid="{00000000-0005-0000-0000-00009E880000}"/>
    <cellStyle name="Normal 3 3 4 5" xfId="5919" xr:uid="{00000000-0005-0000-0000-00009F880000}"/>
    <cellStyle name="Normal 3 3 4 5 2" xfId="5920" xr:uid="{00000000-0005-0000-0000-0000A0880000}"/>
    <cellStyle name="Normal 3 3 4 5 2 2" xfId="5921" xr:uid="{00000000-0005-0000-0000-0000A1880000}"/>
    <cellStyle name="Normal 3 3 4 5 2 2 2" xfId="9464" xr:uid="{00000000-0005-0000-0000-0000A2880000}"/>
    <cellStyle name="Normal 3 3 4 5 2 2 2 2" xfId="16253" xr:uid="{00000000-0005-0000-0000-0000A3880000}"/>
    <cellStyle name="Normal 3 3 4 5 2 2 2 2 2" xfId="29821" xr:uid="{00000000-0005-0000-0000-0000A4880000}"/>
    <cellStyle name="Normal 3 3 4 5 2 2 2 2 2 2" xfId="56954" xr:uid="{00000000-0005-0000-0000-0000A5880000}"/>
    <cellStyle name="Normal 3 3 4 5 2 2 2 2 3" xfId="43392" xr:uid="{00000000-0005-0000-0000-0000A6880000}"/>
    <cellStyle name="Normal 3 3 4 5 2 2 2 3" xfId="23040" xr:uid="{00000000-0005-0000-0000-0000A7880000}"/>
    <cellStyle name="Normal 3 3 4 5 2 2 2 3 2" xfId="50173" xr:uid="{00000000-0005-0000-0000-0000A8880000}"/>
    <cellStyle name="Normal 3 3 4 5 2 2 2 4" xfId="36611" xr:uid="{00000000-0005-0000-0000-0000A9880000}"/>
    <cellStyle name="Normal 3 3 4 5 2 2 3" xfId="12864" xr:uid="{00000000-0005-0000-0000-0000AA880000}"/>
    <cellStyle name="Normal 3 3 4 5 2 2 3 2" xfId="26432" xr:uid="{00000000-0005-0000-0000-0000AB880000}"/>
    <cellStyle name="Normal 3 3 4 5 2 2 3 2 2" xfId="53565" xr:uid="{00000000-0005-0000-0000-0000AC880000}"/>
    <cellStyle name="Normal 3 3 4 5 2 2 3 3" xfId="40003" xr:uid="{00000000-0005-0000-0000-0000AD880000}"/>
    <cellStyle name="Normal 3 3 4 5 2 2 4" xfId="19651" xr:uid="{00000000-0005-0000-0000-0000AE880000}"/>
    <cellStyle name="Normal 3 3 4 5 2 2 4 2" xfId="46784" xr:uid="{00000000-0005-0000-0000-0000AF880000}"/>
    <cellStyle name="Normal 3 3 4 5 2 2 5" xfId="33222" xr:uid="{00000000-0005-0000-0000-0000B0880000}"/>
    <cellStyle name="Normal 3 3 4 5 2 3" xfId="5922" xr:uid="{00000000-0005-0000-0000-0000B1880000}"/>
    <cellStyle name="Normal 3 3 4 5 2 3 2" xfId="9465" xr:uid="{00000000-0005-0000-0000-0000B2880000}"/>
    <cellStyle name="Normal 3 3 4 5 2 3 2 2" xfId="16254" xr:uid="{00000000-0005-0000-0000-0000B3880000}"/>
    <cellStyle name="Normal 3 3 4 5 2 3 2 2 2" xfId="29822" xr:uid="{00000000-0005-0000-0000-0000B4880000}"/>
    <cellStyle name="Normal 3 3 4 5 2 3 2 2 2 2" xfId="56955" xr:uid="{00000000-0005-0000-0000-0000B5880000}"/>
    <cellStyle name="Normal 3 3 4 5 2 3 2 2 3" xfId="43393" xr:uid="{00000000-0005-0000-0000-0000B6880000}"/>
    <cellStyle name="Normal 3 3 4 5 2 3 2 3" xfId="23041" xr:uid="{00000000-0005-0000-0000-0000B7880000}"/>
    <cellStyle name="Normal 3 3 4 5 2 3 2 3 2" xfId="50174" xr:uid="{00000000-0005-0000-0000-0000B8880000}"/>
    <cellStyle name="Normal 3 3 4 5 2 3 2 4" xfId="36612" xr:uid="{00000000-0005-0000-0000-0000B9880000}"/>
    <cellStyle name="Normal 3 3 4 5 2 3 3" xfId="12865" xr:uid="{00000000-0005-0000-0000-0000BA880000}"/>
    <cellStyle name="Normal 3 3 4 5 2 3 3 2" xfId="26433" xr:uid="{00000000-0005-0000-0000-0000BB880000}"/>
    <cellStyle name="Normal 3 3 4 5 2 3 3 2 2" xfId="53566" xr:uid="{00000000-0005-0000-0000-0000BC880000}"/>
    <cellStyle name="Normal 3 3 4 5 2 3 3 3" xfId="40004" xr:uid="{00000000-0005-0000-0000-0000BD880000}"/>
    <cellStyle name="Normal 3 3 4 5 2 3 4" xfId="19652" xr:uid="{00000000-0005-0000-0000-0000BE880000}"/>
    <cellStyle name="Normal 3 3 4 5 2 3 4 2" xfId="46785" xr:uid="{00000000-0005-0000-0000-0000BF880000}"/>
    <cellStyle name="Normal 3 3 4 5 2 3 5" xfId="33223" xr:uid="{00000000-0005-0000-0000-0000C0880000}"/>
    <cellStyle name="Normal 3 3 4 5 2 4" xfId="9463" xr:uid="{00000000-0005-0000-0000-0000C1880000}"/>
    <cellStyle name="Normal 3 3 4 5 2 4 2" xfId="16252" xr:uid="{00000000-0005-0000-0000-0000C2880000}"/>
    <cellStyle name="Normal 3 3 4 5 2 4 2 2" xfId="29820" xr:uid="{00000000-0005-0000-0000-0000C3880000}"/>
    <cellStyle name="Normal 3 3 4 5 2 4 2 2 2" xfId="56953" xr:uid="{00000000-0005-0000-0000-0000C4880000}"/>
    <cellStyle name="Normal 3 3 4 5 2 4 2 3" xfId="43391" xr:uid="{00000000-0005-0000-0000-0000C5880000}"/>
    <cellStyle name="Normal 3 3 4 5 2 4 3" xfId="23039" xr:uid="{00000000-0005-0000-0000-0000C6880000}"/>
    <cellStyle name="Normal 3 3 4 5 2 4 3 2" xfId="50172" xr:uid="{00000000-0005-0000-0000-0000C7880000}"/>
    <cellStyle name="Normal 3 3 4 5 2 4 4" xfId="36610" xr:uid="{00000000-0005-0000-0000-0000C8880000}"/>
    <cellStyle name="Normal 3 3 4 5 2 5" xfId="12863" xr:uid="{00000000-0005-0000-0000-0000C9880000}"/>
    <cellStyle name="Normal 3 3 4 5 2 5 2" xfId="26431" xr:uid="{00000000-0005-0000-0000-0000CA880000}"/>
    <cellStyle name="Normal 3 3 4 5 2 5 2 2" xfId="53564" xr:uid="{00000000-0005-0000-0000-0000CB880000}"/>
    <cellStyle name="Normal 3 3 4 5 2 5 3" xfId="40002" xr:uid="{00000000-0005-0000-0000-0000CC880000}"/>
    <cellStyle name="Normal 3 3 4 5 2 6" xfId="19650" xr:uid="{00000000-0005-0000-0000-0000CD880000}"/>
    <cellStyle name="Normal 3 3 4 5 2 6 2" xfId="46783" xr:uid="{00000000-0005-0000-0000-0000CE880000}"/>
    <cellStyle name="Normal 3 3 4 5 2 7" xfId="33221" xr:uid="{00000000-0005-0000-0000-0000CF880000}"/>
    <cellStyle name="Normal 3 3 4 5 3" xfId="5923" xr:uid="{00000000-0005-0000-0000-0000D0880000}"/>
    <cellStyle name="Normal 3 3 4 5 3 2" xfId="9466" xr:uid="{00000000-0005-0000-0000-0000D1880000}"/>
    <cellStyle name="Normal 3 3 4 5 3 2 2" xfId="16255" xr:uid="{00000000-0005-0000-0000-0000D2880000}"/>
    <cellStyle name="Normal 3 3 4 5 3 2 2 2" xfId="29823" xr:uid="{00000000-0005-0000-0000-0000D3880000}"/>
    <cellStyle name="Normal 3 3 4 5 3 2 2 2 2" xfId="56956" xr:uid="{00000000-0005-0000-0000-0000D4880000}"/>
    <cellStyle name="Normal 3 3 4 5 3 2 2 3" xfId="43394" xr:uid="{00000000-0005-0000-0000-0000D5880000}"/>
    <cellStyle name="Normal 3 3 4 5 3 2 3" xfId="23042" xr:uid="{00000000-0005-0000-0000-0000D6880000}"/>
    <cellStyle name="Normal 3 3 4 5 3 2 3 2" xfId="50175" xr:uid="{00000000-0005-0000-0000-0000D7880000}"/>
    <cellStyle name="Normal 3 3 4 5 3 2 4" xfId="36613" xr:uid="{00000000-0005-0000-0000-0000D8880000}"/>
    <cellStyle name="Normal 3 3 4 5 3 3" xfId="12866" xr:uid="{00000000-0005-0000-0000-0000D9880000}"/>
    <cellStyle name="Normal 3 3 4 5 3 3 2" xfId="26434" xr:uid="{00000000-0005-0000-0000-0000DA880000}"/>
    <cellStyle name="Normal 3 3 4 5 3 3 2 2" xfId="53567" xr:uid="{00000000-0005-0000-0000-0000DB880000}"/>
    <cellStyle name="Normal 3 3 4 5 3 3 3" xfId="40005" xr:uid="{00000000-0005-0000-0000-0000DC880000}"/>
    <cellStyle name="Normal 3 3 4 5 3 4" xfId="19653" xr:uid="{00000000-0005-0000-0000-0000DD880000}"/>
    <cellStyle name="Normal 3 3 4 5 3 4 2" xfId="46786" xr:uid="{00000000-0005-0000-0000-0000DE880000}"/>
    <cellStyle name="Normal 3 3 4 5 3 5" xfId="33224" xr:uid="{00000000-0005-0000-0000-0000DF880000}"/>
    <cellStyle name="Normal 3 3 4 5 4" xfId="5924" xr:uid="{00000000-0005-0000-0000-0000E0880000}"/>
    <cellStyle name="Normal 3 3 4 5 4 2" xfId="9467" xr:uid="{00000000-0005-0000-0000-0000E1880000}"/>
    <cellStyle name="Normal 3 3 4 5 4 2 2" xfId="16256" xr:uid="{00000000-0005-0000-0000-0000E2880000}"/>
    <cellStyle name="Normal 3 3 4 5 4 2 2 2" xfId="29824" xr:uid="{00000000-0005-0000-0000-0000E3880000}"/>
    <cellStyle name="Normal 3 3 4 5 4 2 2 2 2" xfId="56957" xr:uid="{00000000-0005-0000-0000-0000E4880000}"/>
    <cellStyle name="Normal 3 3 4 5 4 2 2 3" xfId="43395" xr:uid="{00000000-0005-0000-0000-0000E5880000}"/>
    <cellStyle name="Normal 3 3 4 5 4 2 3" xfId="23043" xr:uid="{00000000-0005-0000-0000-0000E6880000}"/>
    <cellStyle name="Normal 3 3 4 5 4 2 3 2" xfId="50176" xr:uid="{00000000-0005-0000-0000-0000E7880000}"/>
    <cellStyle name="Normal 3 3 4 5 4 2 4" xfId="36614" xr:uid="{00000000-0005-0000-0000-0000E8880000}"/>
    <cellStyle name="Normal 3 3 4 5 4 3" xfId="12867" xr:uid="{00000000-0005-0000-0000-0000E9880000}"/>
    <cellStyle name="Normal 3 3 4 5 4 3 2" xfId="26435" xr:uid="{00000000-0005-0000-0000-0000EA880000}"/>
    <cellStyle name="Normal 3 3 4 5 4 3 2 2" xfId="53568" xr:uid="{00000000-0005-0000-0000-0000EB880000}"/>
    <cellStyle name="Normal 3 3 4 5 4 3 3" xfId="40006" xr:uid="{00000000-0005-0000-0000-0000EC880000}"/>
    <cellStyle name="Normal 3 3 4 5 4 4" xfId="19654" xr:uid="{00000000-0005-0000-0000-0000ED880000}"/>
    <cellStyle name="Normal 3 3 4 5 4 4 2" xfId="46787" xr:uid="{00000000-0005-0000-0000-0000EE880000}"/>
    <cellStyle name="Normal 3 3 4 5 4 5" xfId="33225" xr:uid="{00000000-0005-0000-0000-0000EF880000}"/>
    <cellStyle name="Normal 3 3 4 5 5" xfId="9462" xr:uid="{00000000-0005-0000-0000-0000F0880000}"/>
    <cellStyle name="Normal 3 3 4 5 5 2" xfId="16251" xr:uid="{00000000-0005-0000-0000-0000F1880000}"/>
    <cellStyle name="Normal 3 3 4 5 5 2 2" xfId="29819" xr:uid="{00000000-0005-0000-0000-0000F2880000}"/>
    <cellStyle name="Normal 3 3 4 5 5 2 2 2" xfId="56952" xr:uid="{00000000-0005-0000-0000-0000F3880000}"/>
    <cellStyle name="Normal 3 3 4 5 5 2 3" xfId="43390" xr:uid="{00000000-0005-0000-0000-0000F4880000}"/>
    <cellStyle name="Normal 3 3 4 5 5 3" xfId="23038" xr:uid="{00000000-0005-0000-0000-0000F5880000}"/>
    <cellStyle name="Normal 3 3 4 5 5 3 2" xfId="50171" xr:uid="{00000000-0005-0000-0000-0000F6880000}"/>
    <cellStyle name="Normal 3 3 4 5 5 4" xfId="36609" xr:uid="{00000000-0005-0000-0000-0000F7880000}"/>
    <cellStyle name="Normal 3 3 4 5 6" xfId="12862" xr:uid="{00000000-0005-0000-0000-0000F8880000}"/>
    <cellStyle name="Normal 3 3 4 5 6 2" xfId="26430" xr:uid="{00000000-0005-0000-0000-0000F9880000}"/>
    <cellStyle name="Normal 3 3 4 5 6 2 2" xfId="53563" xr:uid="{00000000-0005-0000-0000-0000FA880000}"/>
    <cellStyle name="Normal 3 3 4 5 6 3" xfId="40001" xr:uid="{00000000-0005-0000-0000-0000FB880000}"/>
    <cellStyle name="Normal 3 3 4 5 7" xfId="19649" xr:uid="{00000000-0005-0000-0000-0000FC880000}"/>
    <cellStyle name="Normal 3 3 4 5 7 2" xfId="46782" xr:uid="{00000000-0005-0000-0000-0000FD880000}"/>
    <cellStyle name="Normal 3 3 4 5 8" xfId="33220" xr:uid="{00000000-0005-0000-0000-0000FE880000}"/>
    <cellStyle name="Normal 3 3 4 6" xfId="5925" xr:uid="{00000000-0005-0000-0000-0000FF880000}"/>
    <cellStyle name="Normal 3 3 4 6 2" xfId="5926" xr:uid="{00000000-0005-0000-0000-000000890000}"/>
    <cellStyle name="Normal 3 3 4 6 2 2" xfId="9469" xr:uid="{00000000-0005-0000-0000-000001890000}"/>
    <cellStyle name="Normal 3 3 4 6 2 2 2" xfId="16258" xr:uid="{00000000-0005-0000-0000-000002890000}"/>
    <cellStyle name="Normal 3 3 4 6 2 2 2 2" xfId="29826" xr:uid="{00000000-0005-0000-0000-000003890000}"/>
    <cellStyle name="Normal 3 3 4 6 2 2 2 2 2" xfId="56959" xr:uid="{00000000-0005-0000-0000-000004890000}"/>
    <cellStyle name="Normal 3 3 4 6 2 2 2 3" xfId="43397" xr:uid="{00000000-0005-0000-0000-000005890000}"/>
    <cellStyle name="Normal 3 3 4 6 2 2 3" xfId="23045" xr:uid="{00000000-0005-0000-0000-000006890000}"/>
    <cellStyle name="Normal 3 3 4 6 2 2 3 2" xfId="50178" xr:uid="{00000000-0005-0000-0000-000007890000}"/>
    <cellStyle name="Normal 3 3 4 6 2 2 4" xfId="36616" xr:uid="{00000000-0005-0000-0000-000008890000}"/>
    <cellStyle name="Normal 3 3 4 6 2 3" xfId="12869" xr:uid="{00000000-0005-0000-0000-000009890000}"/>
    <cellStyle name="Normal 3 3 4 6 2 3 2" xfId="26437" xr:uid="{00000000-0005-0000-0000-00000A890000}"/>
    <cellStyle name="Normal 3 3 4 6 2 3 2 2" xfId="53570" xr:uid="{00000000-0005-0000-0000-00000B890000}"/>
    <cellStyle name="Normal 3 3 4 6 2 3 3" xfId="40008" xr:uid="{00000000-0005-0000-0000-00000C890000}"/>
    <cellStyle name="Normal 3 3 4 6 2 4" xfId="19656" xr:uid="{00000000-0005-0000-0000-00000D890000}"/>
    <cellStyle name="Normal 3 3 4 6 2 4 2" xfId="46789" xr:uid="{00000000-0005-0000-0000-00000E890000}"/>
    <cellStyle name="Normal 3 3 4 6 2 5" xfId="33227" xr:uid="{00000000-0005-0000-0000-00000F890000}"/>
    <cellStyle name="Normal 3 3 4 6 3" xfId="5927" xr:uid="{00000000-0005-0000-0000-000010890000}"/>
    <cellStyle name="Normal 3 3 4 6 3 2" xfId="9470" xr:uid="{00000000-0005-0000-0000-000011890000}"/>
    <cellStyle name="Normal 3 3 4 6 3 2 2" xfId="16259" xr:uid="{00000000-0005-0000-0000-000012890000}"/>
    <cellStyle name="Normal 3 3 4 6 3 2 2 2" xfId="29827" xr:uid="{00000000-0005-0000-0000-000013890000}"/>
    <cellStyle name="Normal 3 3 4 6 3 2 2 2 2" xfId="56960" xr:uid="{00000000-0005-0000-0000-000014890000}"/>
    <cellStyle name="Normal 3 3 4 6 3 2 2 3" xfId="43398" xr:uid="{00000000-0005-0000-0000-000015890000}"/>
    <cellStyle name="Normal 3 3 4 6 3 2 3" xfId="23046" xr:uid="{00000000-0005-0000-0000-000016890000}"/>
    <cellStyle name="Normal 3 3 4 6 3 2 3 2" xfId="50179" xr:uid="{00000000-0005-0000-0000-000017890000}"/>
    <cellStyle name="Normal 3 3 4 6 3 2 4" xfId="36617" xr:uid="{00000000-0005-0000-0000-000018890000}"/>
    <cellStyle name="Normal 3 3 4 6 3 3" xfId="12870" xr:uid="{00000000-0005-0000-0000-000019890000}"/>
    <cellStyle name="Normal 3 3 4 6 3 3 2" xfId="26438" xr:uid="{00000000-0005-0000-0000-00001A890000}"/>
    <cellStyle name="Normal 3 3 4 6 3 3 2 2" xfId="53571" xr:uid="{00000000-0005-0000-0000-00001B890000}"/>
    <cellStyle name="Normal 3 3 4 6 3 3 3" xfId="40009" xr:uid="{00000000-0005-0000-0000-00001C890000}"/>
    <cellStyle name="Normal 3 3 4 6 3 4" xfId="19657" xr:uid="{00000000-0005-0000-0000-00001D890000}"/>
    <cellStyle name="Normal 3 3 4 6 3 4 2" xfId="46790" xr:uid="{00000000-0005-0000-0000-00001E890000}"/>
    <cellStyle name="Normal 3 3 4 6 3 5" xfId="33228" xr:uid="{00000000-0005-0000-0000-00001F890000}"/>
    <cellStyle name="Normal 3 3 4 6 4" xfId="9468" xr:uid="{00000000-0005-0000-0000-000020890000}"/>
    <cellStyle name="Normal 3 3 4 6 4 2" xfId="16257" xr:uid="{00000000-0005-0000-0000-000021890000}"/>
    <cellStyle name="Normal 3 3 4 6 4 2 2" xfId="29825" xr:uid="{00000000-0005-0000-0000-000022890000}"/>
    <cellStyle name="Normal 3 3 4 6 4 2 2 2" xfId="56958" xr:uid="{00000000-0005-0000-0000-000023890000}"/>
    <cellStyle name="Normal 3 3 4 6 4 2 3" xfId="43396" xr:uid="{00000000-0005-0000-0000-000024890000}"/>
    <cellStyle name="Normal 3 3 4 6 4 3" xfId="23044" xr:uid="{00000000-0005-0000-0000-000025890000}"/>
    <cellStyle name="Normal 3 3 4 6 4 3 2" xfId="50177" xr:uid="{00000000-0005-0000-0000-000026890000}"/>
    <cellStyle name="Normal 3 3 4 6 4 4" xfId="36615" xr:uid="{00000000-0005-0000-0000-000027890000}"/>
    <cellStyle name="Normal 3 3 4 6 5" xfId="12868" xr:uid="{00000000-0005-0000-0000-000028890000}"/>
    <cellStyle name="Normal 3 3 4 6 5 2" xfId="26436" xr:uid="{00000000-0005-0000-0000-000029890000}"/>
    <cellStyle name="Normal 3 3 4 6 5 2 2" xfId="53569" xr:uid="{00000000-0005-0000-0000-00002A890000}"/>
    <cellStyle name="Normal 3 3 4 6 5 3" xfId="40007" xr:uid="{00000000-0005-0000-0000-00002B890000}"/>
    <cellStyle name="Normal 3 3 4 6 6" xfId="19655" xr:uid="{00000000-0005-0000-0000-00002C890000}"/>
    <cellStyle name="Normal 3 3 4 6 6 2" xfId="46788" xr:uid="{00000000-0005-0000-0000-00002D890000}"/>
    <cellStyle name="Normal 3 3 4 6 7" xfId="33226" xr:uid="{00000000-0005-0000-0000-00002E890000}"/>
    <cellStyle name="Normal 3 3 4 7" xfId="5928" xr:uid="{00000000-0005-0000-0000-00002F890000}"/>
    <cellStyle name="Normal 3 3 4 7 2" xfId="5929" xr:uid="{00000000-0005-0000-0000-000030890000}"/>
    <cellStyle name="Normal 3 3 4 7 2 2" xfId="9472" xr:uid="{00000000-0005-0000-0000-000031890000}"/>
    <cellStyle name="Normal 3 3 4 7 2 2 2" xfId="16261" xr:uid="{00000000-0005-0000-0000-000032890000}"/>
    <cellStyle name="Normal 3 3 4 7 2 2 2 2" xfId="29829" xr:uid="{00000000-0005-0000-0000-000033890000}"/>
    <cellStyle name="Normal 3 3 4 7 2 2 2 2 2" xfId="56962" xr:uid="{00000000-0005-0000-0000-000034890000}"/>
    <cellStyle name="Normal 3 3 4 7 2 2 2 3" xfId="43400" xr:uid="{00000000-0005-0000-0000-000035890000}"/>
    <cellStyle name="Normal 3 3 4 7 2 2 3" xfId="23048" xr:uid="{00000000-0005-0000-0000-000036890000}"/>
    <cellStyle name="Normal 3 3 4 7 2 2 3 2" xfId="50181" xr:uid="{00000000-0005-0000-0000-000037890000}"/>
    <cellStyle name="Normal 3 3 4 7 2 2 4" xfId="36619" xr:uid="{00000000-0005-0000-0000-000038890000}"/>
    <cellStyle name="Normal 3 3 4 7 2 3" xfId="12872" xr:uid="{00000000-0005-0000-0000-000039890000}"/>
    <cellStyle name="Normal 3 3 4 7 2 3 2" xfId="26440" xr:uid="{00000000-0005-0000-0000-00003A890000}"/>
    <cellStyle name="Normal 3 3 4 7 2 3 2 2" xfId="53573" xr:uid="{00000000-0005-0000-0000-00003B890000}"/>
    <cellStyle name="Normal 3 3 4 7 2 3 3" xfId="40011" xr:uid="{00000000-0005-0000-0000-00003C890000}"/>
    <cellStyle name="Normal 3 3 4 7 2 4" xfId="19659" xr:uid="{00000000-0005-0000-0000-00003D890000}"/>
    <cellStyle name="Normal 3 3 4 7 2 4 2" xfId="46792" xr:uid="{00000000-0005-0000-0000-00003E890000}"/>
    <cellStyle name="Normal 3 3 4 7 2 5" xfId="33230" xr:uid="{00000000-0005-0000-0000-00003F890000}"/>
    <cellStyle name="Normal 3 3 4 7 3" xfId="9471" xr:uid="{00000000-0005-0000-0000-000040890000}"/>
    <cellStyle name="Normal 3 3 4 7 3 2" xfId="16260" xr:uid="{00000000-0005-0000-0000-000041890000}"/>
    <cellStyle name="Normal 3 3 4 7 3 2 2" xfId="29828" xr:uid="{00000000-0005-0000-0000-000042890000}"/>
    <cellStyle name="Normal 3 3 4 7 3 2 2 2" xfId="56961" xr:uid="{00000000-0005-0000-0000-000043890000}"/>
    <cellStyle name="Normal 3 3 4 7 3 2 3" xfId="43399" xr:uid="{00000000-0005-0000-0000-000044890000}"/>
    <cellStyle name="Normal 3 3 4 7 3 3" xfId="23047" xr:uid="{00000000-0005-0000-0000-000045890000}"/>
    <cellStyle name="Normal 3 3 4 7 3 3 2" xfId="50180" xr:uid="{00000000-0005-0000-0000-000046890000}"/>
    <cellStyle name="Normal 3 3 4 7 3 4" xfId="36618" xr:uid="{00000000-0005-0000-0000-000047890000}"/>
    <cellStyle name="Normal 3 3 4 7 4" xfId="12871" xr:uid="{00000000-0005-0000-0000-000048890000}"/>
    <cellStyle name="Normal 3 3 4 7 4 2" xfId="26439" xr:uid="{00000000-0005-0000-0000-000049890000}"/>
    <cellStyle name="Normal 3 3 4 7 4 2 2" xfId="53572" xr:uid="{00000000-0005-0000-0000-00004A890000}"/>
    <cellStyle name="Normal 3 3 4 7 4 3" xfId="40010" xr:uid="{00000000-0005-0000-0000-00004B890000}"/>
    <cellStyle name="Normal 3 3 4 7 5" xfId="19658" xr:uid="{00000000-0005-0000-0000-00004C890000}"/>
    <cellStyle name="Normal 3 3 4 7 5 2" xfId="46791" xr:uid="{00000000-0005-0000-0000-00004D890000}"/>
    <cellStyle name="Normal 3 3 4 7 6" xfId="33229" xr:uid="{00000000-0005-0000-0000-00004E890000}"/>
    <cellStyle name="Normal 3 3 4 8" xfId="5930" xr:uid="{00000000-0005-0000-0000-00004F890000}"/>
    <cellStyle name="Normal 3 3 4 8 2" xfId="9473" xr:uid="{00000000-0005-0000-0000-000050890000}"/>
    <cellStyle name="Normal 3 3 4 8 2 2" xfId="16262" xr:uid="{00000000-0005-0000-0000-000051890000}"/>
    <cellStyle name="Normal 3 3 4 8 2 2 2" xfId="29830" xr:uid="{00000000-0005-0000-0000-000052890000}"/>
    <cellStyle name="Normal 3 3 4 8 2 2 2 2" xfId="56963" xr:uid="{00000000-0005-0000-0000-000053890000}"/>
    <cellStyle name="Normal 3 3 4 8 2 2 3" xfId="43401" xr:uid="{00000000-0005-0000-0000-000054890000}"/>
    <cellStyle name="Normal 3 3 4 8 2 3" xfId="23049" xr:uid="{00000000-0005-0000-0000-000055890000}"/>
    <cellStyle name="Normal 3 3 4 8 2 3 2" xfId="50182" xr:uid="{00000000-0005-0000-0000-000056890000}"/>
    <cellStyle name="Normal 3 3 4 8 2 4" xfId="36620" xr:uid="{00000000-0005-0000-0000-000057890000}"/>
    <cellStyle name="Normal 3 3 4 8 3" xfId="12873" xr:uid="{00000000-0005-0000-0000-000058890000}"/>
    <cellStyle name="Normal 3 3 4 8 3 2" xfId="26441" xr:uid="{00000000-0005-0000-0000-000059890000}"/>
    <cellStyle name="Normal 3 3 4 8 3 2 2" xfId="53574" xr:uid="{00000000-0005-0000-0000-00005A890000}"/>
    <cellStyle name="Normal 3 3 4 8 3 3" xfId="40012" xr:uid="{00000000-0005-0000-0000-00005B890000}"/>
    <cellStyle name="Normal 3 3 4 8 4" xfId="19660" xr:uid="{00000000-0005-0000-0000-00005C890000}"/>
    <cellStyle name="Normal 3 3 4 8 4 2" xfId="46793" xr:uid="{00000000-0005-0000-0000-00005D890000}"/>
    <cellStyle name="Normal 3 3 4 8 5" xfId="33231" xr:uid="{00000000-0005-0000-0000-00005E890000}"/>
    <cellStyle name="Normal 3 3 4 9" xfId="5931" xr:uid="{00000000-0005-0000-0000-00005F890000}"/>
    <cellStyle name="Normal 3 3 4 9 2" xfId="9474" xr:uid="{00000000-0005-0000-0000-000060890000}"/>
    <cellStyle name="Normal 3 3 4 9 2 2" xfId="16263" xr:uid="{00000000-0005-0000-0000-000061890000}"/>
    <cellStyle name="Normal 3 3 4 9 2 2 2" xfId="29831" xr:uid="{00000000-0005-0000-0000-000062890000}"/>
    <cellStyle name="Normal 3 3 4 9 2 2 2 2" xfId="56964" xr:uid="{00000000-0005-0000-0000-000063890000}"/>
    <cellStyle name="Normal 3 3 4 9 2 2 3" xfId="43402" xr:uid="{00000000-0005-0000-0000-000064890000}"/>
    <cellStyle name="Normal 3 3 4 9 2 3" xfId="23050" xr:uid="{00000000-0005-0000-0000-000065890000}"/>
    <cellStyle name="Normal 3 3 4 9 2 3 2" xfId="50183" xr:uid="{00000000-0005-0000-0000-000066890000}"/>
    <cellStyle name="Normal 3 3 4 9 2 4" xfId="36621" xr:uid="{00000000-0005-0000-0000-000067890000}"/>
    <cellStyle name="Normal 3 3 4 9 3" xfId="12874" xr:uid="{00000000-0005-0000-0000-000068890000}"/>
    <cellStyle name="Normal 3 3 4 9 3 2" xfId="26442" xr:uid="{00000000-0005-0000-0000-000069890000}"/>
    <cellStyle name="Normal 3 3 4 9 3 2 2" xfId="53575" xr:uid="{00000000-0005-0000-0000-00006A890000}"/>
    <cellStyle name="Normal 3 3 4 9 3 3" xfId="40013" xr:uid="{00000000-0005-0000-0000-00006B890000}"/>
    <cellStyle name="Normal 3 3 4 9 4" xfId="19661" xr:uid="{00000000-0005-0000-0000-00006C890000}"/>
    <cellStyle name="Normal 3 3 4 9 4 2" xfId="46794" xr:uid="{00000000-0005-0000-0000-00006D890000}"/>
    <cellStyle name="Normal 3 3 4 9 5" xfId="33232" xr:uid="{00000000-0005-0000-0000-00006E890000}"/>
    <cellStyle name="Normal 3 3 5" xfId="2689" xr:uid="{00000000-0005-0000-0000-00006F890000}"/>
    <cellStyle name="Normal 3 3 5 10" xfId="31260" xr:uid="{00000000-0005-0000-0000-000070890000}"/>
    <cellStyle name="Normal 3 3 5 2" xfId="2690" xr:uid="{00000000-0005-0000-0000-000071890000}"/>
    <cellStyle name="Normal 3 3 5 2 2" xfId="5932" xr:uid="{00000000-0005-0000-0000-000072890000}"/>
    <cellStyle name="Normal 3 3 5 2 2 2" xfId="5933" xr:uid="{00000000-0005-0000-0000-000073890000}"/>
    <cellStyle name="Normal 3 3 5 2 2 2 2" xfId="9476" xr:uid="{00000000-0005-0000-0000-000074890000}"/>
    <cellStyle name="Normal 3 3 5 2 2 2 2 2" xfId="16265" xr:uid="{00000000-0005-0000-0000-000075890000}"/>
    <cellStyle name="Normal 3 3 5 2 2 2 2 2 2" xfId="29833" xr:uid="{00000000-0005-0000-0000-000076890000}"/>
    <cellStyle name="Normal 3 3 5 2 2 2 2 2 2 2" xfId="56966" xr:uid="{00000000-0005-0000-0000-000077890000}"/>
    <cellStyle name="Normal 3 3 5 2 2 2 2 2 3" xfId="43404" xr:uid="{00000000-0005-0000-0000-000078890000}"/>
    <cellStyle name="Normal 3 3 5 2 2 2 2 3" xfId="23052" xr:uid="{00000000-0005-0000-0000-000079890000}"/>
    <cellStyle name="Normal 3 3 5 2 2 2 2 3 2" xfId="50185" xr:uid="{00000000-0005-0000-0000-00007A890000}"/>
    <cellStyle name="Normal 3 3 5 2 2 2 2 4" xfId="36623" xr:uid="{00000000-0005-0000-0000-00007B890000}"/>
    <cellStyle name="Normal 3 3 5 2 2 2 3" xfId="12876" xr:uid="{00000000-0005-0000-0000-00007C890000}"/>
    <cellStyle name="Normal 3 3 5 2 2 2 3 2" xfId="26444" xr:uid="{00000000-0005-0000-0000-00007D890000}"/>
    <cellStyle name="Normal 3 3 5 2 2 2 3 2 2" xfId="53577" xr:uid="{00000000-0005-0000-0000-00007E890000}"/>
    <cellStyle name="Normal 3 3 5 2 2 2 3 3" xfId="40015" xr:uid="{00000000-0005-0000-0000-00007F890000}"/>
    <cellStyle name="Normal 3 3 5 2 2 2 4" xfId="19663" xr:uid="{00000000-0005-0000-0000-000080890000}"/>
    <cellStyle name="Normal 3 3 5 2 2 2 4 2" xfId="46796" xr:uid="{00000000-0005-0000-0000-000081890000}"/>
    <cellStyle name="Normal 3 3 5 2 2 2 5" xfId="33234" xr:uid="{00000000-0005-0000-0000-000082890000}"/>
    <cellStyle name="Normal 3 3 5 2 2 3" xfId="5934" xr:uid="{00000000-0005-0000-0000-000083890000}"/>
    <cellStyle name="Normal 3 3 5 2 2 3 2" xfId="9477" xr:uid="{00000000-0005-0000-0000-000084890000}"/>
    <cellStyle name="Normal 3 3 5 2 2 3 2 2" xfId="16266" xr:uid="{00000000-0005-0000-0000-000085890000}"/>
    <cellStyle name="Normal 3 3 5 2 2 3 2 2 2" xfId="29834" xr:uid="{00000000-0005-0000-0000-000086890000}"/>
    <cellStyle name="Normal 3 3 5 2 2 3 2 2 2 2" xfId="56967" xr:uid="{00000000-0005-0000-0000-000087890000}"/>
    <cellStyle name="Normal 3 3 5 2 2 3 2 2 3" xfId="43405" xr:uid="{00000000-0005-0000-0000-000088890000}"/>
    <cellStyle name="Normal 3 3 5 2 2 3 2 3" xfId="23053" xr:uid="{00000000-0005-0000-0000-000089890000}"/>
    <cellStyle name="Normal 3 3 5 2 2 3 2 3 2" xfId="50186" xr:uid="{00000000-0005-0000-0000-00008A890000}"/>
    <cellStyle name="Normal 3 3 5 2 2 3 2 4" xfId="36624" xr:uid="{00000000-0005-0000-0000-00008B890000}"/>
    <cellStyle name="Normal 3 3 5 2 2 3 3" xfId="12877" xr:uid="{00000000-0005-0000-0000-00008C890000}"/>
    <cellStyle name="Normal 3 3 5 2 2 3 3 2" xfId="26445" xr:uid="{00000000-0005-0000-0000-00008D890000}"/>
    <cellStyle name="Normal 3 3 5 2 2 3 3 2 2" xfId="53578" xr:uid="{00000000-0005-0000-0000-00008E890000}"/>
    <cellStyle name="Normal 3 3 5 2 2 3 3 3" xfId="40016" xr:uid="{00000000-0005-0000-0000-00008F890000}"/>
    <cellStyle name="Normal 3 3 5 2 2 3 4" xfId="19664" xr:uid="{00000000-0005-0000-0000-000090890000}"/>
    <cellStyle name="Normal 3 3 5 2 2 3 4 2" xfId="46797" xr:uid="{00000000-0005-0000-0000-000091890000}"/>
    <cellStyle name="Normal 3 3 5 2 2 3 5" xfId="33235" xr:uid="{00000000-0005-0000-0000-000092890000}"/>
    <cellStyle name="Normal 3 3 5 2 2 4" xfId="9475" xr:uid="{00000000-0005-0000-0000-000093890000}"/>
    <cellStyle name="Normal 3 3 5 2 2 4 2" xfId="16264" xr:uid="{00000000-0005-0000-0000-000094890000}"/>
    <cellStyle name="Normal 3 3 5 2 2 4 2 2" xfId="29832" xr:uid="{00000000-0005-0000-0000-000095890000}"/>
    <cellStyle name="Normal 3 3 5 2 2 4 2 2 2" xfId="56965" xr:uid="{00000000-0005-0000-0000-000096890000}"/>
    <cellStyle name="Normal 3 3 5 2 2 4 2 3" xfId="43403" xr:uid="{00000000-0005-0000-0000-000097890000}"/>
    <cellStyle name="Normal 3 3 5 2 2 4 3" xfId="23051" xr:uid="{00000000-0005-0000-0000-000098890000}"/>
    <cellStyle name="Normal 3 3 5 2 2 4 3 2" xfId="50184" xr:uid="{00000000-0005-0000-0000-000099890000}"/>
    <cellStyle name="Normal 3 3 5 2 2 4 4" xfId="36622" xr:uid="{00000000-0005-0000-0000-00009A890000}"/>
    <cellStyle name="Normal 3 3 5 2 2 5" xfId="12875" xr:uid="{00000000-0005-0000-0000-00009B890000}"/>
    <cellStyle name="Normal 3 3 5 2 2 5 2" xfId="26443" xr:uid="{00000000-0005-0000-0000-00009C890000}"/>
    <cellStyle name="Normal 3 3 5 2 2 5 2 2" xfId="53576" xr:uid="{00000000-0005-0000-0000-00009D890000}"/>
    <cellStyle name="Normal 3 3 5 2 2 5 3" xfId="40014" xr:uid="{00000000-0005-0000-0000-00009E890000}"/>
    <cellStyle name="Normal 3 3 5 2 2 6" xfId="19662" xr:uid="{00000000-0005-0000-0000-00009F890000}"/>
    <cellStyle name="Normal 3 3 5 2 2 6 2" xfId="46795" xr:uid="{00000000-0005-0000-0000-0000A0890000}"/>
    <cellStyle name="Normal 3 3 5 2 2 7" xfId="33233" xr:uid="{00000000-0005-0000-0000-0000A1890000}"/>
    <cellStyle name="Normal 3 3 5 2 3" xfId="5935" xr:uid="{00000000-0005-0000-0000-0000A2890000}"/>
    <cellStyle name="Normal 3 3 5 2 3 2" xfId="5936" xr:uid="{00000000-0005-0000-0000-0000A3890000}"/>
    <cellStyle name="Normal 3 3 5 2 3 2 2" xfId="9479" xr:uid="{00000000-0005-0000-0000-0000A4890000}"/>
    <cellStyle name="Normal 3 3 5 2 3 2 2 2" xfId="16268" xr:uid="{00000000-0005-0000-0000-0000A5890000}"/>
    <cellStyle name="Normal 3 3 5 2 3 2 2 2 2" xfId="29836" xr:uid="{00000000-0005-0000-0000-0000A6890000}"/>
    <cellStyle name="Normal 3 3 5 2 3 2 2 2 2 2" xfId="56969" xr:uid="{00000000-0005-0000-0000-0000A7890000}"/>
    <cellStyle name="Normal 3 3 5 2 3 2 2 2 3" xfId="43407" xr:uid="{00000000-0005-0000-0000-0000A8890000}"/>
    <cellStyle name="Normal 3 3 5 2 3 2 2 3" xfId="23055" xr:uid="{00000000-0005-0000-0000-0000A9890000}"/>
    <cellStyle name="Normal 3 3 5 2 3 2 2 3 2" xfId="50188" xr:uid="{00000000-0005-0000-0000-0000AA890000}"/>
    <cellStyle name="Normal 3 3 5 2 3 2 2 4" xfId="36626" xr:uid="{00000000-0005-0000-0000-0000AB890000}"/>
    <cellStyle name="Normal 3 3 5 2 3 2 3" xfId="12879" xr:uid="{00000000-0005-0000-0000-0000AC890000}"/>
    <cellStyle name="Normal 3 3 5 2 3 2 3 2" xfId="26447" xr:uid="{00000000-0005-0000-0000-0000AD890000}"/>
    <cellStyle name="Normal 3 3 5 2 3 2 3 2 2" xfId="53580" xr:uid="{00000000-0005-0000-0000-0000AE890000}"/>
    <cellStyle name="Normal 3 3 5 2 3 2 3 3" xfId="40018" xr:uid="{00000000-0005-0000-0000-0000AF890000}"/>
    <cellStyle name="Normal 3 3 5 2 3 2 4" xfId="19666" xr:uid="{00000000-0005-0000-0000-0000B0890000}"/>
    <cellStyle name="Normal 3 3 5 2 3 2 4 2" xfId="46799" xr:uid="{00000000-0005-0000-0000-0000B1890000}"/>
    <cellStyle name="Normal 3 3 5 2 3 2 5" xfId="33237" xr:uid="{00000000-0005-0000-0000-0000B2890000}"/>
    <cellStyle name="Normal 3 3 5 2 3 3" xfId="9478" xr:uid="{00000000-0005-0000-0000-0000B3890000}"/>
    <cellStyle name="Normal 3 3 5 2 3 3 2" xfId="16267" xr:uid="{00000000-0005-0000-0000-0000B4890000}"/>
    <cellStyle name="Normal 3 3 5 2 3 3 2 2" xfId="29835" xr:uid="{00000000-0005-0000-0000-0000B5890000}"/>
    <cellStyle name="Normal 3 3 5 2 3 3 2 2 2" xfId="56968" xr:uid="{00000000-0005-0000-0000-0000B6890000}"/>
    <cellStyle name="Normal 3 3 5 2 3 3 2 3" xfId="43406" xr:uid="{00000000-0005-0000-0000-0000B7890000}"/>
    <cellStyle name="Normal 3 3 5 2 3 3 3" xfId="23054" xr:uid="{00000000-0005-0000-0000-0000B8890000}"/>
    <cellStyle name="Normal 3 3 5 2 3 3 3 2" xfId="50187" xr:uid="{00000000-0005-0000-0000-0000B9890000}"/>
    <cellStyle name="Normal 3 3 5 2 3 3 4" xfId="36625" xr:uid="{00000000-0005-0000-0000-0000BA890000}"/>
    <cellStyle name="Normal 3 3 5 2 3 4" xfId="12878" xr:uid="{00000000-0005-0000-0000-0000BB890000}"/>
    <cellStyle name="Normal 3 3 5 2 3 4 2" xfId="26446" xr:uid="{00000000-0005-0000-0000-0000BC890000}"/>
    <cellStyle name="Normal 3 3 5 2 3 4 2 2" xfId="53579" xr:uid="{00000000-0005-0000-0000-0000BD890000}"/>
    <cellStyle name="Normal 3 3 5 2 3 4 3" xfId="40017" xr:uid="{00000000-0005-0000-0000-0000BE890000}"/>
    <cellStyle name="Normal 3 3 5 2 3 5" xfId="19665" xr:uid="{00000000-0005-0000-0000-0000BF890000}"/>
    <cellStyle name="Normal 3 3 5 2 3 5 2" xfId="46798" xr:uid="{00000000-0005-0000-0000-0000C0890000}"/>
    <cellStyle name="Normal 3 3 5 2 3 6" xfId="33236" xr:uid="{00000000-0005-0000-0000-0000C1890000}"/>
    <cellStyle name="Normal 3 3 5 2 4" xfId="5937" xr:uid="{00000000-0005-0000-0000-0000C2890000}"/>
    <cellStyle name="Normal 3 3 5 2 4 2" xfId="9480" xr:uid="{00000000-0005-0000-0000-0000C3890000}"/>
    <cellStyle name="Normal 3 3 5 2 4 2 2" xfId="16269" xr:uid="{00000000-0005-0000-0000-0000C4890000}"/>
    <cellStyle name="Normal 3 3 5 2 4 2 2 2" xfId="29837" xr:uid="{00000000-0005-0000-0000-0000C5890000}"/>
    <cellStyle name="Normal 3 3 5 2 4 2 2 2 2" xfId="56970" xr:uid="{00000000-0005-0000-0000-0000C6890000}"/>
    <cellStyle name="Normal 3 3 5 2 4 2 2 3" xfId="43408" xr:uid="{00000000-0005-0000-0000-0000C7890000}"/>
    <cellStyle name="Normal 3 3 5 2 4 2 3" xfId="23056" xr:uid="{00000000-0005-0000-0000-0000C8890000}"/>
    <cellStyle name="Normal 3 3 5 2 4 2 3 2" xfId="50189" xr:uid="{00000000-0005-0000-0000-0000C9890000}"/>
    <cellStyle name="Normal 3 3 5 2 4 2 4" xfId="36627" xr:uid="{00000000-0005-0000-0000-0000CA890000}"/>
    <cellStyle name="Normal 3 3 5 2 4 3" xfId="12880" xr:uid="{00000000-0005-0000-0000-0000CB890000}"/>
    <cellStyle name="Normal 3 3 5 2 4 3 2" xfId="26448" xr:uid="{00000000-0005-0000-0000-0000CC890000}"/>
    <cellStyle name="Normal 3 3 5 2 4 3 2 2" xfId="53581" xr:uid="{00000000-0005-0000-0000-0000CD890000}"/>
    <cellStyle name="Normal 3 3 5 2 4 3 3" xfId="40019" xr:uid="{00000000-0005-0000-0000-0000CE890000}"/>
    <cellStyle name="Normal 3 3 5 2 4 4" xfId="19667" xr:uid="{00000000-0005-0000-0000-0000CF890000}"/>
    <cellStyle name="Normal 3 3 5 2 4 4 2" xfId="46800" xr:uid="{00000000-0005-0000-0000-0000D0890000}"/>
    <cellStyle name="Normal 3 3 5 2 4 5" xfId="33238" xr:uid="{00000000-0005-0000-0000-0000D1890000}"/>
    <cellStyle name="Normal 3 3 5 2 5" xfId="5938" xr:uid="{00000000-0005-0000-0000-0000D2890000}"/>
    <cellStyle name="Normal 3 3 5 2 5 2" xfId="9481" xr:uid="{00000000-0005-0000-0000-0000D3890000}"/>
    <cellStyle name="Normal 3 3 5 2 5 2 2" xfId="16270" xr:uid="{00000000-0005-0000-0000-0000D4890000}"/>
    <cellStyle name="Normal 3 3 5 2 5 2 2 2" xfId="29838" xr:uid="{00000000-0005-0000-0000-0000D5890000}"/>
    <cellStyle name="Normal 3 3 5 2 5 2 2 2 2" xfId="56971" xr:uid="{00000000-0005-0000-0000-0000D6890000}"/>
    <cellStyle name="Normal 3 3 5 2 5 2 2 3" xfId="43409" xr:uid="{00000000-0005-0000-0000-0000D7890000}"/>
    <cellStyle name="Normal 3 3 5 2 5 2 3" xfId="23057" xr:uid="{00000000-0005-0000-0000-0000D8890000}"/>
    <cellStyle name="Normal 3 3 5 2 5 2 3 2" xfId="50190" xr:uid="{00000000-0005-0000-0000-0000D9890000}"/>
    <cellStyle name="Normal 3 3 5 2 5 2 4" xfId="36628" xr:uid="{00000000-0005-0000-0000-0000DA890000}"/>
    <cellStyle name="Normal 3 3 5 2 5 3" xfId="12881" xr:uid="{00000000-0005-0000-0000-0000DB890000}"/>
    <cellStyle name="Normal 3 3 5 2 5 3 2" xfId="26449" xr:uid="{00000000-0005-0000-0000-0000DC890000}"/>
    <cellStyle name="Normal 3 3 5 2 5 3 2 2" xfId="53582" xr:uid="{00000000-0005-0000-0000-0000DD890000}"/>
    <cellStyle name="Normal 3 3 5 2 5 3 3" xfId="40020" xr:uid="{00000000-0005-0000-0000-0000DE890000}"/>
    <cellStyle name="Normal 3 3 5 2 5 4" xfId="19668" xr:uid="{00000000-0005-0000-0000-0000DF890000}"/>
    <cellStyle name="Normal 3 3 5 2 5 4 2" xfId="46801" xr:uid="{00000000-0005-0000-0000-0000E0890000}"/>
    <cellStyle name="Normal 3 3 5 2 5 5" xfId="33239" xr:uid="{00000000-0005-0000-0000-0000E1890000}"/>
    <cellStyle name="Normal 3 3 5 2 6" xfId="7503" xr:uid="{00000000-0005-0000-0000-0000E2890000}"/>
    <cellStyle name="Normal 3 3 5 2 6 2" xfId="14292" xr:uid="{00000000-0005-0000-0000-0000E3890000}"/>
    <cellStyle name="Normal 3 3 5 2 6 2 2" xfId="27860" xr:uid="{00000000-0005-0000-0000-0000E4890000}"/>
    <cellStyle name="Normal 3 3 5 2 6 2 2 2" xfId="54993" xr:uid="{00000000-0005-0000-0000-0000E5890000}"/>
    <cellStyle name="Normal 3 3 5 2 6 2 3" xfId="41431" xr:uid="{00000000-0005-0000-0000-0000E6890000}"/>
    <cellStyle name="Normal 3 3 5 2 6 3" xfId="21079" xr:uid="{00000000-0005-0000-0000-0000E7890000}"/>
    <cellStyle name="Normal 3 3 5 2 6 3 2" xfId="48212" xr:uid="{00000000-0005-0000-0000-0000E8890000}"/>
    <cellStyle name="Normal 3 3 5 2 6 4" xfId="34650" xr:uid="{00000000-0005-0000-0000-0000E9890000}"/>
    <cellStyle name="Normal 3 3 5 2 7" xfId="10903" xr:uid="{00000000-0005-0000-0000-0000EA890000}"/>
    <cellStyle name="Normal 3 3 5 2 7 2" xfId="24471" xr:uid="{00000000-0005-0000-0000-0000EB890000}"/>
    <cellStyle name="Normal 3 3 5 2 7 2 2" xfId="51604" xr:uid="{00000000-0005-0000-0000-0000EC890000}"/>
    <cellStyle name="Normal 3 3 5 2 7 3" xfId="38042" xr:uid="{00000000-0005-0000-0000-0000ED890000}"/>
    <cellStyle name="Normal 3 3 5 2 8" xfId="17690" xr:uid="{00000000-0005-0000-0000-0000EE890000}"/>
    <cellStyle name="Normal 3 3 5 2 8 2" xfId="44823" xr:uid="{00000000-0005-0000-0000-0000EF890000}"/>
    <cellStyle name="Normal 3 3 5 2 9" xfId="31261" xr:uid="{00000000-0005-0000-0000-0000F0890000}"/>
    <cellStyle name="Normal 3 3 5 3" xfId="5939" xr:uid="{00000000-0005-0000-0000-0000F1890000}"/>
    <cellStyle name="Normal 3 3 5 3 2" xfId="5940" xr:uid="{00000000-0005-0000-0000-0000F2890000}"/>
    <cellStyle name="Normal 3 3 5 3 2 2" xfId="9483" xr:uid="{00000000-0005-0000-0000-0000F3890000}"/>
    <cellStyle name="Normal 3 3 5 3 2 2 2" xfId="16272" xr:uid="{00000000-0005-0000-0000-0000F4890000}"/>
    <cellStyle name="Normal 3 3 5 3 2 2 2 2" xfId="29840" xr:uid="{00000000-0005-0000-0000-0000F5890000}"/>
    <cellStyle name="Normal 3 3 5 3 2 2 2 2 2" xfId="56973" xr:uid="{00000000-0005-0000-0000-0000F6890000}"/>
    <cellStyle name="Normal 3 3 5 3 2 2 2 3" xfId="43411" xr:uid="{00000000-0005-0000-0000-0000F7890000}"/>
    <cellStyle name="Normal 3 3 5 3 2 2 3" xfId="23059" xr:uid="{00000000-0005-0000-0000-0000F8890000}"/>
    <cellStyle name="Normal 3 3 5 3 2 2 3 2" xfId="50192" xr:uid="{00000000-0005-0000-0000-0000F9890000}"/>
    <cellStyle name="Normal 3 3 5 3 2 2 4" xfId="36630" xr:uid="{00000000-0005-0000-0000-0000FA890000}"/>
    <cellStyle name="Normal 3 3 5 3 2 3" xfId="12883" xr:uid="{00000000-0005-0000-0000-0000FB890000}"/>
    <cellStyle name="Normal 3 3 5 3 2 3 2" xfId="26451" xr:uid="{00000000-0005-0000-0000-0000FC890000}"/>
    <cellStyle name="Normal 3 3 5 3 2 3 2 2" xfId="53584" xr:uid="{00000000-0005-0000-0000-0000FD890000}"/>
    <cellStyle name="Normal 3 3 5 3 2 3 3" xfId="40022" xr:uid="{00000000-0005-0000-0000-0000FE890000}"/>
    <cellStyle name="Normal 3 3 5 3 2 4" xfId="19670" xr:uid="{00000000-0005-0000-0000-0000FF890000}"/>
    <cellStyle name="Normal 3 3 5 3 2 4 2" xfId="46803" xr:uid="{00000000-0005-0000-0000-0000008A0000}"/>
    <cellStyle name="Normal 3 3 5 3 2 5" xfId="33241" xr:uid="{00000000-0005-0000-0000-0000018A0000}"/>
    <cellStyle name="Normal 3 3 5 3 3" xfId="5941" xr:uid="{00000000-0005-0000-0000-0000028A0000}"/>
    <cellStyle name="Normal 3 3 5 3 3 2" xfId="9484" xr:uid="{00000000-0005-0000-0000-0000038A0000}"/>
    <cellStyle name="Normal 3 3 5 3 3 2 2" xfId="16273" xr:uid="{00000000-0005-0000-0000-0000048A0000}"/>
    <cellStyle name="Normal 3 3 5 3 3 2 2 2" xfId="29841" xr:uid="{00000000-0005-0000-0000-0000058A0000}"/>
    <cellStyle name="Normal 3 3 5 3 3 2 2 2 2" xfId="56974" xr:uid="{00000000-0005-0000-0000-0000068A0000}"/>
    <cellStyle name="Normal 3 3 5 3 3 2 2 3" xfId="43412" xr:uid="{00000000-0005-0000-0000-0000078A0000}"/>
    <cellStyle name="Normal 3 3 5 3 3 2 3" xfId="23060" xr:uid="{00000000-0005-0000-0000-0000088A0000}"/>
    <cellStyle name="Normal 3 3 5 3 3 2 3 2" xfId="50193" xr:uid="{00000000-0005-0000-0000-0000098A0000}"/>
    <cellStyle name="Normal 3 3 5 3 3 2 4" xfId="36631" xr:uid="{00000000-0005-0000-0000-00000A8A0000}"/>
    <cellStyle name="Normal 3 3 5 3 3 3" xfId="12884" xr:uid="{00000000-0005-0000-0000-00000B8A0000}"/>
    <cellStyle name="Normal 3 3 5 3 3 3 2" xfId="26452" xr:uid="{00000000-0005-0000-0000-00000C8A0000}"/>
    <cellStyle name="Normal 3 3 5 3 3 3 2 2" xfId="53585" xr:uid="{00000000-0005-0000-0000-00000D8A0000}"/>
    <cellStyle name="Normal 3 3 5 3 3 3 3" xfId="40023" xr:uid="{00000000-0005-0000-0000-00000E8A0000}"/>
    <cellStyle name="Normal 3 3 5 3 3 4" xfId="19671" xr:uid="{00000000-0005-0000-0000-00000F8A0000}"/>
    <cellStyle name="Normal 3 3 5 3 3 4 2" xfId="46804" xr:uid="{00000000-0005-0000-0000-0000108A0000}"/>
    <cellStyle name="Normal 3 3 5 3 3 5" xfId="33242" xr:uid="{00000000-0005-0000-0000-0000118A0000}"/>
    <cellStyle name="Normal 3 3 5 3 4" xfId="9482" xr:uid="{00000000-0005-0000-0000-0000128A0000}"/>
    <cellStyle name="Normal 3 3 5 3 4 2" xfId="16271" xr:uid="{00000000-0005-0000-0000-0000138A0000}"/>
    <cellStyle name="Normal 3 3 5 3 4 2 2" xfId="29839" xr:uid="{00000000-0005-0000-0000-0000148A0000}"/>
    <cellStyle name="Normal 3 3 5 3 4 2 2 2" xfId="56972" xr:uid="{00000000-0005-0000-0000-0000158A0000}"/>
    <cellStyle name="Normal 3 3 5 3 4 2 3" xfId="43410" xr:uid="{00000000-0005-0000-0000-0000168A0000}"/>
    <cellStyle name="Normal 3 3 5 3 4 3" xfId="23058" xr:uid="{00000000-0005-0000-0000-0000178A0000}"/>
    <cellStyle name="Normal 3 3 5 3 4 3 2" xfId="50191" xr:uid="{00000000-0005-0000-0000-0000188A0000}"/>
    <cellStyle name="Normal 3 3 5 3 4 4" xfId="36629" xr:uid="{00000000-0005-0000-0000-0000198A0000}"/>
    <cellStyle name="Normal 3 3 5 3 5" xfId="12882" xr:uid="{00000000-0005-0000-0000-00001A8A0000}"/>
    <cellStyle name="Normal 3 3 5 3 5 2" xfId="26450" xr:uid="{00000000-0005-0000-0000-00001B8A0000}"/>
    <cellStyle name="Normal 3 3 5 3 5 2 2" xfId="53583" xr:uid="{00000000-0005-0000-0000-00001C8A0000}"/>
    <cellStyle name="Normal 3 3 5 3 5 3" xfId="40021" xr:uid="{00000000-0005-0000-0000-00001D8A0000}"/>
    <cellStyle name="Normal 3 3 5 3 6" xfId="19669" xr:uid="{00000000-0005-0000-0000-00001E8A0000}"/>
    <cellStyle name="Normal 3 3 5 3 6 2" xfId="46802" xr:uid="{00000000-0005-0000-0000-00001F8A0000}"/>
    <cellStyle name="Normal 3 3 5 3 7" xfId="33240" xr:uid="{00000000-0005-0000-0000-0000208A0000}"/>
    <cellStyle name="Normal 3 3 5 4" xfId="5942" xr:uid="{00000000-0005-0000-0000-0000218A0000}"/>
    <cellStyle name="Normal 3 3 5 4 2" xfId="5943" xr:uid="{00000000-0005-0000-0000-0000228A0000}"/>
    <cellStyle name="Normal 3 3 5 4 2 2" xfId="9486" xr:uid="{00000000-0005-0000-0000-0000238A0000}"/>
    <cellStyle name="Normal 3 3 5 4 2 2 2" xfId="16275" xr:uid="{00000000-0005-0000-0000-0000248A0000}"/>
    <cellStyle name="Normal 3 3 5 4 2 2 2 2" xfId="29843" xr:uid="{00000000-0005-0000-0000-0000258A0000}"/>
    <cellStyle name="Normal 3 3 5 4 2 2 2 2 2" xfId="56976" xr:uid="{00000000-0005-0000-0000-0000268A0000}"/>
    <cellStyle name="Normal 3 3 5 4 2 2 2 3" xfId="43414" xr:uid="{00000000-0005-0000-0000-0000278A0000}"/>
    <cellStyle name="Normal 3 3 5 4 2 2 3" xfId="23062" xr:uid="{00000000-0005-0000-0000-0000288A0000}"/>
    <cellStyle name="Normal 3 3 5 4 2 2 3 2" xfId="50195" xr:uid="{00000000-0005-0000-0000-0000298A0000}"/>
    <cellStyle name="Normal 3 3 5 4 2 2 4" xfId="36633" xr:uid="{00000000-0005-0000-0000-00002A8A0000}"/>
    <cellStyle name="Normal 3 3 5 4 2 3" xfId="12886" xr:uid="{00000000-0005-0000-0000-00002B8A0000}"/>
    <cellStyle name="Normal 3 3 5 4 2 3 2" xfId="26454" xr:uid="{00000000-0005-0000-0000-00002C8A0000}"/>
    <cellStyle name="Normal 3 3 5 4 2 3 2 2" xfId="53587" xr:uid="{00000000-0005-0000-0000-00002D8A0000}"/>
    <cellStyle name="Normal 3 3 5 4 2 3 3" xfId="40025" xr:uid="{00000000-0005-0000-0000-00002E8A0000}"/>
    <cellStyle name="Normal 3 3 5 4 2 4" xfId="19673" xr:uid="{00000000-0005-0000-0000-00002F8A0000}"/>
    <cellStyle name="Normal 3 3 5 4 2 4 2" xfId="46806" xr:uid="{00000000-0005-0000-0000-0000308A0000}"/>
    <cellStyle name="Normal 3 3 5 4 2 5" xfId="33244" xr:uid="{00000000-0005-0000-0000-0000318A0000}"/>
    <cellStyle name="Normal 3 3 5 4 3" xfId="9485" xr:uid="{00000000-0005-0000-0000-0000328A0000}"/>
    <cellStyle name="Normal 3 3 5 4 3 2" xfId="16274" xr:uid="{00000000-0005-0000-0000-0000338A0000}"/>
    <cellStyle name="Normal 3 3 5 4 3 2 2" xfId="29842" xr:uid="{00000000-0005-0000-0000-0000348A0000}"/>
    <cellStyle name="Normal 3 3 5 4 3 2 2 2" xfId="56975" xr:uid="{00000000-0005-0000-0000-0000358A0000}"/>
    <cellStyle name="Normal 3 3 5 4 3 2 3" xfId="43413" xr:uid="{00000000-0005-0000-0000-0000368A0000}"/>
    <cellStyle name="Normal 3 3 5 4 3 3" xfId="23061" xr:uid="{00000000-0005-0000-0000-0000378A0000}"/>
    <cellStyle name="Normal 3 3 5 4 3 3 2" xfId="50194" xr:uid="{00000000-0005-0000-0000-0000388A0000}"/>
    <cellStyle name="Normal 3 3 5 4 3 4" xfId="36632" xr:uid="{00000000-0005-0000-0000-0000398A0000}"/>
    <cellStyle name="Normal 3 3 5 4 4" xfId="12885" xr:uid="{00000000-0005-0000-0000-00003A8A0000}"/>
    <cellStyle name="Normal 3 3 5 4 4 2" xfId="26453" xr:uid="{00000000-0005-0000-0000-00003B8A0000}"/>
    <cellStyle name="Normal 3 3 5 4 4 2 2" xfId="53586" xr:uid="{00000000-0005-0000-0000-00003C8A0000}"/>
    <cellStyle name="Normal 3 3 5 4 4 3" xfId="40024" xr:uid="{00000000-0005-0000-0000-00003D8A0000}"/>
    <cellStyle name="Normal 3 3 5 4 5" xfId="19672" xr:uid="{00000000-0005-0000-0000-00003E8A0000}"/>
    <cellStyle name="Normal 3 3 5 4 5 2" xfId="46805" xr:uid="{00000000-0005-0000-0000-00003F8A0000}"/>
    <cellStyle name="Normal 3 3 5 4 6" xfId="33243" xr:uid="{00000000-0005-0000-0000-0000408A0000}"/>
    <cellStyle name="Normal 3 3 5 5" xfId="5944" xr:uid="{00000000-0005-0000-0000-0000418A0000}"/>
    <cellStyle name="Normal 3 3 5 5 2" xfId="9487" xr:uid="{00000000-0005-0000-0000-0000428A0000}"/>
    <cellStyle name="Normal 3 3 5 5 2 2" xfId="16276" xr:uid="{00000000-0005-0000-0000-0000438A0000}"/>
    <cellStyle name="Normal 3 3 5 5 2 2 2" xfId="29844" xr:uid="{00000000-0005-0000-0000-0000448A0000}"/>
    <cellStyle name="Normal 3 3 5 5 2 2 2 2" xfId="56977" xr:uid="{00000000-0005-0000-0000-0000458A0000}"/>
    <cellStyle name="Normal 3 3 5 5 2 2 3" xfId="43415" xr:uid="{00000000-0005-0000-0000-0000468A0000}"/>
    <cellStyle name="Normal 3 3 5 5 2 3" xfId="23063" xr:uid="{00000000-0005-0000-0000-0000478A0000}"/>
    <cellStyle name="Normal 3 3 5 5 2 3 2" xfId="50196" xr:uid="{00000000-0005-0000-0000-0000488A0000}"/>
    <cellStyle name="Normal 3 3 5 5 2 4" xfId="36634" xr:uid="{00000000-0005-0000-0000-0000498A0000}"/>
    <cellStyle name="Normal 3 3 5 5 3" xfId="12887" xr:uid="{00000000-0005-0000-0000-00004A8A0000}"/>
    <cellStyle name="Normal 3 3 5 5 3 2" xfId="26455" xr:uid="{00000000-0005-0000-0000-00004B8A0000}"/>
    <cellStyle name="Normal 3 3 5 5 3 2 2" xfId="53588" xr:uid="{00000000-0005-0000-0000-00004C8A0000}"/>
    <cellStyle name="Normal 3 3 5 5 3 3" xfId="40026" xr:uid="{00000000-0005-0000-0000-00004D8A0000}"/>
    <cellStyle name="Normal 3 3 5 5 4" xfId="19674" xr:uid="{00000000-0005-0000-0000-00004E8A0000}"/>
    <cellStyle name="Normal 3 3 5 5 4 2" xfId="46807" xr:uid="{00000000-0005-0000-0000-00004F8A0000}"/>
    <cellStyle name="Normal 3 3 5 5 5" xfId="33245" xr:uid="{00000000-0005-0000-0000-0000508A0000}"/>
    <cellStyle name="Normal 3 3 5 6" xfId="5945" xr:uid="{00000000-0005-0000-0000-0000518A0000}"/>
    <cellStyle name="Normal 3 3 5 6 2" xfId="9488" xr:uid="{00000000-0005-0000-0000-0000528A0000}"/>
    <cellStyle name="Normal 3 3 5 6 2 2" xfId="16277" xr:uid="{00000000-0005-0000-0000-0000538A0000}"/>
    <cellStyle name="Normal 3 3 5 6 2 2 2" xfId="29845" xr:uid="{00000000-0005-0000-0000-0000548A0000}"/>
    <cellStyle name="Normal 3 3 5 6 2 2 2 2" xfId="56978" xr:uid="{00000000-0005-0000-0000-0000558A0000}"/>
    <cellStyle name="Normal 3 3 5 6 2 2 3" xfId="43416" xr:uid="{00000000-0005-0000-0000-0000568A0000}"/>
    <cellStyle name="Normal 3 3 5 6 2 3" xfId="23064" xr:uid="{00000000-0005-0000-0000-0000578A0000}"/>
    <cellStyle name="Normal 3 3 5 6 2 3 2" xfId="50197" xr:uid="{00000000-0005-0000-0000-0000588A0000}"/>
    <cellStyle name="Normal 3 3 5 6 2 4" xfId="36635" xr:uid="{00000000-0005-0000-0000-0000598A0000}"/>
    <cellStyle name="Normal 3 3 5 6 3" xfId="12888" xr:uid="{00000000-0005-0000-0000-00005A8A0000}"/>
    <cellStyle name="Normal 3 3 5 6 3 2" xfId="26456" xr:uid="{00000000-0005-0000-0000-00005B8A0000}"/>
    <cellStyle name="Normal 3 3 5 6 3 2 2" xfId="53589" xr:uid="{00000000-0005-0000-0000-00005C8A0000}"/>
    <cellStyle name="Normal 3 3 5 6 3 3" xfId="40027" xr:uid="{00000000-0005-0000-0000-00005D8A0000}"/>
    <cellStyle name="Normal 3 3 5 6 4" xfId="19675" xr:uid="{00000000-0005-0000-0000-00005E8A0000}"/>
    <cellStyle name="Normal 3 3 5 6 4 2" xfId="46808" xr:uid="{00000000-0005-0000-0000-00005F8A0000}"/>
    <cellStyle name="Normal 3 3 5 6 5" xfId="33246" xr:uid="{00000000-0005-0000-0000-0000608A0000}"/>
    <cellStyle name="Normal 3 3 5 7" xfId="7502" xr:uid="{00000000-0005-0000-0000-0000618A0000}"/>
    <cellStyle name="Normal 3 3 5 7 2" xfId="14291" xr:uid="{00000000-0005-0000-0000-0000628A0000}"/>
    <cellStyle name="Normal 3 3 5 7 2 2" xfId="27859" xr:uid="{00000000-0005-0000-0000-0000638A0000}"/>
    <cellStyle name="Normal 3 3 5 7 2 2 2" xfId="54992" xr:uid="{00000000-0005-0000-0000-0000648A0000}"/>
    <cellStyle name="Normal 3 3 5 7 2 3" xfId="41430" xr:uid="{00000000-0005-0000-0000-0000658A0000}"/>
    <cellStyle name="Normal 3 3 5 7 3" xfId="21078" xr:uid="{00000000-0005-0000-0000-0000668A0000}"/>
    <cellStyle name="Normal 3 3 5 7 3 2" xfId="48211" xr:uid="{00000000-0005-0000-0000-0000678A0000}"/>
    <cellStyle name="Normal 3 3 5 7 4" xfId="34649" xr:uid="{00000000-0005-0000-0000-0000688A0000}"/>
    <cellStyle name="Normal 3 3 5 8" xfId="10902" xr:uid="{00000000-0005-0000-0000-0000698A0000}"/>
    <cellStyle name="Normal 3 3 5 8 2" xfId="24470" xr:uid="{00000000-0005-0000-0000-00006A8A0000}"/>
    <cellStyle name="Normal 3 3 5 8 2 2" xfId="51603" xr:uid="{00000000-0005-0000-0000-00006B8A0000}"/>
    <cellStyle name="Normal 3 3 5 8 3" xfId="38041" xr:uid="{00000000-0005-0000-0000-00006C8A0000}"/>
    <cellStyle name="Normal 3 3 5 9" xfId="17689" xr:uid="{00000000-0005-0000-0000-00006D8A0000}"/>
    <cellStyle name="Normal 3 3 5 9 2" xfId="44822" xr:uid="{00000000-0005-0000-0000-00006E8A0000}"/>
    <cellStyle name="Normal 3 3 6" xfId="30" xr:uid="{00000000-0005-0000-0000-00006F8A0000}"/>
    <cellStyle name="Normal 3 3 6 10" xfId="2691" xr:uid="{00000000-0005-0000-0000-0000708A0000}"/>
    <cellStyle name="Normal 3 3 6 2" xfId="2692" xr:uid="{00000000-0005-0000-0000-0000718A0000}"/>
    <cellStyle name="Normal 3 3 6 2 2" xfId="5946" xr:uid="{00000000-0005-0000-0000-0000728A0000}"/>
    <cellStyle name="Normal 3 3 6 2 2 2" xfId="9489" xr:uid="{00000000-0005-0000-0000-0000738A0000}"/>
    <cellStyle name="Normal 3 3 6 2 2 2 2" xfId="16278" xr:uid="{00000000-0005-0000-0000-0000748A0000}"/>
    <cellStyle name="Normal 3 3 6 2 2 2 2 2" xfId="29846" xr:uid="{00000000-0005-0000-0000-0000758A0000}"/>
    <cellStyle name="Normal 3 3 6 2 2 2 2 2 2" xfId="56979" xr:uid="{00000000-0005-0000-0000-0000768A0000}"/>
    <cellStyle name="Normal 3 3 6 2 2 2 2 3" xfId="43417" xr:uid="{00000000-0005-0000-0000-0000778A0000}"/>
    <cellStyle name="Normal 3 3 6 2 2 2 3" xfId="23065" xr:uid="{00000000-0005-0000-0000-0000788A0000}"/>
    <cellStyle name="Normal 3 3 6 2 2 2 3 2" xfId="50198" xr:uid="{00000000-0005-0000-0000-0000798A0000}"/>
    <cellStyle name="Normal 3 3 6 2 2 2 4" xfId="36636" xr:uid="{00000000-0005-0000-0000-00007A8A0000}"/>
    <cellStyle name="Normal 3 3 6 2 2 3" xfId="12889" xr:uid="{00000000-0005-0000-0000-00007B8A0000}"/>
    <cellStyle name="Normal 3 3 6 2 2 3 2" xfId="26457" xr:uid="{00000000-0005-0000-0000-00007C8A0000}"/>
    <cellStyle name="Normal 3 3 6 2 2 3 2 2" xfId="53590" xr:uid="{00000000-0005-0000-0000-00007D8A0000}"/>
    <cellStyle name="Normal 3 3 6 2 2 3 3" xfId="40028" xr:uid="{00000000-0005-0000-0000-00007E8A0000}"/>
    <cellStyle name="Normal 3 3 6 2 2 4" xfId="19676" xr:uid="{00000000-0005-0000-0000-00007F8A0000}"/>
    <cellStyle name="Normal 3 3 6 2 2 4 2" xfId="46809" xr:uid="{00000000-0005-0000-0000-0000808A0000}"/>
    <cellStyle name="Normal 3 3 6 2 2 5" xfId="33247" xr:uid="{00000000-0005-0000-0000-0000818A0000}"/>
    <cellStyle name="Normal 3 3 6 2 3" xfId="5947" xr:uid="{00000000-0005-0000-0000-0000828A0000}"/>
    <cellStyle name="Normal 3 3 6 2 3 2" xfId="9490" xr:uid="{00000000-0005-0000-0000-0000838A0000}"/>
    <cellStyle name="Normal 3 3 6 2 3 2 2" xfId="16279" xr:uid="{00000000-0005-0000-0000-0000848A0000}"/>
    <cellStyle name="Normal 3 3 6 2 3 2 2 2" xfId="29847" xr:uid="{00000000-0005-0000-0000-0000858A0000}"/>
    <cellStyle name="Normal 3 3 6 2 3 2 2 2 2" xfId="56980" xr:uid="{00000000-0005-0000-0000-0000868A0000}"/>
    <cellStyle name="Normal 3 3 6 2 3 2 2 3" xfId="43418" xr:uid="{00000000-0005-0000-0000-0000878A0000}"/>
    <cellStyle name="Normal 3 3 6 2 3 2 3" xfId="23066" xr:uid="{00000000-0005-0000-0000-0000888A0000}"/>
    <cellStyle name="Normal 3 3 6 2 3 2 3 2" xfId="50199" xr:uid="{00000000-0005-0000-0000-0000898A0000}"/>
    <cellStyle name="Normal 3 3 6 2 3 2 4" xfId="36637" xr:uid="{00000000-0005-0000-0000-00008A8A0000}"/>
    <cellStyle name="Normal 3 3 6 2 3 3" xfId="12890" xr:uid="{00000000-0005-0000-0000-00008B8A0000}"/>
    <cellStyle name="Normal 3 3 6 2 3 3 2" xfId="26458" xr:uid="{00000000-0005-0000-0000-00008C8A0000}"/>
    <cellStyle name="Normal 3 3 6 2 3 3 2 2" xfId="53591" xr:uid="{00000000-0005-0000-0000-00008D8A0000}"/>
    <cellStyle name="Normal 3 3 6 2 3 3 3" xfId="40029" xr:uid="{00000000-0005-0000-0000-00008E8A0000}"/>
    <cellStyle name="Normal 3 3 6 2 3 4" xfId="19677" xr:uid="{00000000-0005-0000-0000-00008F8A0000}"/>
    <cellStyle name="Normal 3 3 6 2 3 4 2" xfId="46810" xr:uid="{00000000-0005-0000-0000-0000908A0000}"/>
    <cellStyle name="Normal 3 3 6 2 3 5" xfId="33248" xr:uid="{00000000-0005-0000-0000-0000918A0000}"/>
    <cellStyle name="Normal 3 3 6 2 4" xfId="7505" xr:uid="{00000000-0005-0000-0000-0000928A0000}"/>
    <cellStyle name="Normal 3 3 6 2 4 2" xfId="14294" xr:uid="{00000000-0005-0000-0000-0000938A0000}"/>
    <cellStyle name="Normal 3 3 6 2 4 2 2" xfId="27862" xr:uid="{00000000-0005-0000-0000-0000948A0000}"/>
    <cellStyle name="Normal 3 3 6 2 4 2 2 2" xfId="54995" xr:uid="{00000000-0005-0000-0000-0000958A0000}"/>
    <cellStyle name="Normal 3 3 6 2 4 2 3" xfId="41433" xr:uid="{00000000-0005-0000-0000-0000968A0000}"/>
    <cellStyle name="Normal 3 3 6 2 4 3" xfId="21081" xr:uid="{00000000-0005-0000-0000-0000978A0000}"/>
    <cellStyle name="Normal 3 3 6 2 4 3 2" xfId="48214" xr:uid="{00000000-0005-0000-0000-0000988A0000}"/>
    <cellStyle name="Normal 3 3 6 2 4 4" xfId="34652" xr:uid="{00000000-0005-0000-0000-0000998A0000}"/>
    <cellStyle name="Normal 3 3 6 2 5" xfId="10905" xr:uid="{00000000-0005-0000-0000-00009A8A0000}"/>
    <cellStyle name="Normal 3 3 6 2 5 2" xfId="24473" xr:uid="{00000000-0005-0000-0000-00009B8A0000}"/>
    <cellStyle name="Normal 3 3 6 2 5 2 2" xfId="51606" xr:uid="{00000000-0005-0000-0000-00009C8A0000}"/>
    <cellStyle name="Normal 3 3 6 2 5 3" xfId="38044" xr:uid="{00000000-0005-0000-0000-00009D8A0000}"/>
    <cellStyle name="Normal 3 3 6 2 6" xfId="17692" xr:uid="{00000000-0005-0000-0000-00009E8A0000}"/>
    <cellStyle name="Normal 3 3 6 2 6 2" xfId="44825" xr:uid="{00000000-0005-0000-0000-00009F8A0000}"/>
    <cellStyle name="Normal 3 3 6 2 7" xfId="31263" xr:uid="{00000000-0005-0000-0000-0000A08A0000}"/>
    <cellStyle name="Normal 3 3 6 3" xfId="5948" xr:uid="{00000000-0005-0000-0000-0000A18A0000}"/>
    <cellStyle name="Normal 3 3 6 3 2" xfId="5949" xr:uid="{00000000-0005-0000-0000-0000A28A0000}"/>
    <cellStyle name="Normal 3 3 6 3 2 2" xfId="9492" xr:uid="{00000000-0005-0000-0000-0000A38A0000}"/>
    <cellStyle name="Normal 3 3 6 3 2 2 2" xfId="16281" xr:uid="{00000000-0005-0000-0000-0000A48A0000}"/>
    <cellStyle name="Normal 3 3 6 3 2 2 2 2" xfId="29849" xr:uid="{00000000-0005-0000-0000-0000A58A0000}"/>
    <cellStyle name="Normal 3 3 6 3 2 2 2 2 2" xfId="56982" xr:uid="{00000000-0005-0000-0000-0000A68A0000}"/>
    <cellStyle name="Normal 3 3 6 3 2 2 2 3" xfId="43420" xr:uid="{00000000-0005-0000-0000-0000A78A0000}"/>
    <cellStyle name="Normal 3 3 6 3 2 2 3" xfId="23068" xr:uid="{00000000-0005-0000-0000-0000A88A0000}"/>
    <cellStyle name="Normal 3 3 6 3 2 2 3 2" xfId="50201" xr:uid="{00000000-0005-0000-0000-0000A98A0000}"/>
    <cellStyle name="Normal 3 3 6 3 2 2 4" xfId="36639" xr:uid="{00000000-0005-0000-0000-0000AA8A0000}"/>
    <cellStyle name="Normal 3 3 6 3 2 3" xfId="12892" xr:uid="{00000000-0005-0000-0000-0000AB8A0000}"/>
    <cellStyle name="Normal 3 3 6 3 2 3 2" xfId="26460" xr:uid="{00000000-0005-0000-0000-0000AC8A0000}"/>
    <cellStyle name="Normal 3 3 6 3 2 3 2 2" xfId="53593" xr:uid="{00000000-0005-0000-0000-0000AD8A0000}"/>
    <cellStyle name="Normal 3 3 6 3 2 3 3" xfId="40031" xr:uid="{00000000-0005-0000-0000-0000AE8A0000}"/>
    <cellStyle name="Normal 3 3 6 3 2 4" xfId="19679" xr:uid="{00000000-0005-0000-0000-0000AF8A0000}"/>
    <cellStyle name="Normal 3 3 6 3 2 4 2" xfId="46812" xr:uid="{00000000-0005-0000-0000-0000B08A0000}"/>
    <cellStyle name="Normal 3 3 6 3 2 5" xfId="33250" xr:uid="{00000000-0005-0000-0000-0000B18A0000}"/>
    <cellStyle name="Normal 3 3 6 3 3" xfId="9491" xr:uid="{00000000-0005-0000-0000-0000B28A0000}"/>
    <cellStyle name="Normal 3 3 6 3 3 2" xfId="16280" xr:uid="{00000000-0005-0000-0000-0000B38A0000}"/>
    <cellStyle name="Normal 3 3 6 3 3 2 2" xfId="29848" xr:uid="{00000000-0005-0000-0000-0000B48A0000}"/>
    <cellStyle name="Normal 3 3 6 3 3 2 2 2" xfId="56981" xr:uid="{00000000-0005-0000-0000-0000B58A0000}"/>
    <cellStyle name="Normal 3 3 6 3 3 2 3" xfId="43419" xr:uid="{00000000-0005-0000-0000-0000B68A0000}"/>
    <cellStyle name="Normal 3 3 6 3 3 3" xfId="23067" xr:uid="{00000000-0005-0000-0000-0000B78A0000}"/>
    <cellStyle name="Normal 3 3 6 3 3 3 2" xfId="50200" xr:uid="{00000000-0005-0000-0000-0000B88A0000}"/>
    <cellStyle name="Normal 3 3 6 3 3 4" xfId="36638" xr:uid="{00000000-0005-0000-0000-0000B98A0000}"/>
    <cellStyle name="Normal 3 3 6 3 4" xfId="12891" xr:uid="{00000000-0005-0000-0000-0000BA8A0000}"/>
    <cellStyle name="Normal 3 3 6 3 4 2" xfId="26459" xr:uid="{00000000-0005-0000-0000-0000BB8A0000}"/>
    <cellStyle name="Normal 3 3 6 3 4 2 2" xfId="53592" xr:uid="{00000000-0005-0000-0000-0000BC8A0000}"/>
    <cellStyle name="Normal 3 3 6 3 4 3" xfId="40030" xr:uid="{00000000-0005-0000-0000-0000BD8A0000}"/>
    <cellStyle name="Normal 3 3 6 3 5" xfId="19678" xr:uid="{00000000-0005-0000-0000-0000BE8A0000}"/>
    <cellStyle name="Normal 3 3 6 3 5 2" xfId="46811" xr:uid="{00000000-0005-0000-0000-0000BF8A0000}"/>
    <cellStyle name="Normal 3 3 6 3 6" xfId="33249" xr:uid="{00000000-0005-0000-0000-0000C08A0000}"/>
    <cellStyle name="Normal 3 3 6 4" xfId="5950" xr:uid="{00000000-0005-0000-0000-0000C18A0000}"/>
    <cellStyle name="Normal 3 3 6 4 2" xfId="9493" xr:uid="{00000000-0005-0000-0000-0000C28A0000}"/>
    <cellStyle name="Normal 3 3 6 4 2 2" xfId="16282" xr:uid="{00000000-0005-0000-0000-0000C38A0000}"/>
    <cellStyle name="Normal 3 3 6 4 2 2 2" xfId="29850" xr:uid="{00000000-0005-0000-0000-0000C48A0000}"/>
    <cellStyle name="Normal 3 3 6 4 2 2 2 2" xfId="56983" xr:uid="{00000000-0005-0000-0000-0000C58A0000}"/>
    <cellStyle name="Normal 3 3 6 4 2 2 3" xfId="43421" xr:uid="{00000000-0005-0000-0000-0000C68A0000}"/>
    <cellStyle name="Normal 3 3 6 4 2 3" xfId="23069" xr:uid="{00000000-0005-0000-0000-0000C78A0000}"/>
    <cellStyle name="Normal 3 3 6 4 2 3 2" xfId="50202" xr:uid="{00000000-0005-0000-0000-0000C88A0000}"/>
    <cellStyle name="Normal 3 3 6 4 2 4" xfId="36640" xr:uid="{00000000-0005-0000-0000-0000C98A0000}"/>
    <cellStyle name="Normal 3 3 6 4 3" xfId="12893" xr:uid="{00000000-0005-0000-0000-0000CA8A0000}"/>
    <cellStyle name="Normal 3 3 6 4 3 2" xfId="26461" xr:uid="{00000000-0005-0000-0000-0000CB8A0000}"/>
    <cellStyle name="Normal 3 3 6 4 3 2 2" xfId="53594" xr:uid="{00000000-0005-0000-0000-0000CC8A0000}"/>
    <cellStyle name="Normal 3 3 6 4 3 3" xfId="40032" xr:uid="{00000000-0005-0000-0000-0000CD8A0000}"/>
    <cellStyle name="Normal 3 3 6 4 4" xfId="19680" xr:uid="{00000000-0005-0000-0000-0000CE8A0000}"/>
    <cellStyle name="Normal 3 3 6 4 4 2" xfId="46813" xr:uid="{00000000-0005-0000-0000-0000CF8A0000}"/>
    <cellStyle name="Normal 3 3 6 4 5" xfId="33251" xr:uid="{00000000-0005-0000-0000-0000D08A0000}"/>
    <cellStyle name="Normal 3 3 6 5" xfId="5951" xr:uid="{00000000-0005-0000-0000-0000D18A0000}"/>
    <cellStyle name="Normal 3 3 6 5 2" xfId="9494" xr:uid="{00000000-0005-0000-0000-0000D28A0000}"/>
    <cellStyle name="Normal 3 3 6 5 2 2" xfId="16283" xr:uid="{00000000-0005-0000-0000-0000D38A0000}"/>
    <cellStyle name="Normal 3 3 6 5 2 2 2" xfId="29851" xr:uid="{00000000-0005-0000-0000-0000D48A0000}"/>
    <cellStyle name="Normal 3 3 6 5 2 2 2 2" xfId="56984" xr:uid="{00000000-0005-0000-0000-0000D58A0000}"/>
    <cellStyle name="Normal 3 3 6 5 2 2 3" xfId="43422" xr:uid="{00000000-0005-0000-0000-0000D68A0000}"/>
    <cellStyle name="Normal 3 3 6 5 2 3" xfId="23070" xr:uid="{00000000-0005-0000-0000-0000D78A0000}"/>
    <cellStyle name="Normal 3 3 6 5 2 3 2" xfId="50203" xr:uid="{00000000-0005-0000-0000-0000D88A0000}"/>
    <cellStyle name="Normal 3 3 6 5 2 4" xfId="36641" xr:uid="{00000000-0005-0000-0000-0000D98A0000}"/>
    <cellStyle name="Normal 3 3 6 5 3" xfId="12894" xr:uid="{00000000-0005-0000-0000-0000DA8A0000}"/>
    <cellStyle name="Normal 3 3 6 5 3 2" xfId="26462" xr:uid="{00000000-0005-0000-0000-0000DB8A0000}"/>
    <cellStyle name="Normal 3 3 6 5 3 2 2" xfId="53595" xr:uid="{00000000-0005-0000-0000-0000DC8A0000}"/>
    <cellStyle name="Normal 3 3 6 5 3 3" xfId="40033" xr:uid="{00000000-0005-0000-0000-0000DD8A0000}"/>
    <cellStyle name="Normal 3 3 6 5 4" xfId="19681" xr:uid="{00000000-0005-0000-0000-0000DE8A0000}"/>
    <cellStyle name="Normal 3 3 6 5 4 2" xfId="46814" xr:uid="{00000000-0005-0000-0000-0000DF8A0000}"/>
    <cellStyle name="Normal 3 3 6 5 5" xfId="33252" xr:uid="{00000000-0005-0000-0000-0000E08A0000}"/>
    <cellStyle name="Normal 3 3 6 6" xfId="7504" xr:uid="{00000000-0005-0000-0000-0000E18A0000}"/>
    <cellStyle name="Normal 3 3 6 6 2" xfId="14293" xr:uid="{00000000-0005-0000-0000-0000E28A0000}"/>
    <cellStyle name="Normal 3 3 6 6 2 2" xfId="27861" xr:uid="{00000000-0005-0000-0000-0000E38A0000}"/>
    <cellStyle name="Normal 3 3 6 6 2 2 2" xfId="54994" xr:uid="{00000000-0005-0000-0000-0000E48A0000}"/>
    <cellStyle name="Normal 3 3 6 6 2 3" xfId="41432" xr:uid="{00000000-0005-0000-0000-0000E58A0000}"/>
    <cellStyle name="Normal 3 3 6 6 3" xfId="21080" xr:uid="{00000000-0005-0000-0000-0000E68A0000}"/>
    <cellStyle name="Normal 3 3 6 6 3 2" xfId="48213" xr:uid="{00000000-0005-0000-0000-0000E78A0000}"/>
    <cellStyle name="Normal 3 3 6 6 4" xfId="34651" xr:uid="{00000000-0005-0000-0000-0000E88A0000}"/>
    <cellStyle name="Normal 3 3 6 7" xfId="10904" xr:uid="{00000000-0005-0000-0000-0000E98A0000}"/>
    <cellStyle name="Normal 3 3 6 7 2" xfId="24472" xr:uid="{00000000-0005-0000-0000-0000EA8A0000}"/>
    <cellStyle name="Normal 3 3 6 7 2 2" xfId="51605" xr:uid="{00000000-0005-0000-0000-0000EB8A0000}"/>
    <cellStyle name="Normal 3 3 6 7 3" xfId="38043" xr:uid="{00000000-0005-0000-0000-0000EC8A0000}"/>
    <cellStyle name="Normal 3 3 6 8" xfId="17691" xr:uid="{00000000-0005-0000-0000-0000ED8A0000}"/>
    <cellStyle name="Normal 3 3 6 8 2" xfId="44824" xr:uid="{00000000-0005-0000-0000-0000EE8A0000}"/>
    <cellStyle name="Normal 3 3 6 9" xfId="31262" xr:uid="{00000000-0005-0000-0000-0000EF8A0000}"/>
    <cellStyle name="Normal 3 3 7" xfId="2693" xr:uid="{00000000-0005-0000-0000-0000F08A0000}"/>
    <cellStyle name="Normal 3 3 7 2" xfId="2694" xr:uid="{00000000-0005-0000-0000-0000F18A0000}"/>
    <cellStyle name="Normal 3 3 7 2 2" xfId="5952" xr:uid="{00000000-0005-0000-0000-0000F28A0000}"/>
    <cellStyle name="Normal 3 3 7 2 2 2" xfId="9495" xr:uid="{00000000-0005-0000-0000-0000F38A0000}"/>
    <cellStyle name="Normal 3 3 7 2 2 2 2" xfId="16284" xr:uid="{00000000-0005-0000-0000-0000F48A0000}"/>
    <cellStyle name="Normal 3 3 7 2 2 2 2 2" xfId="29852" xr:uid="{00000000-0005-0000-0000-0000F58A0000}"/>
    <cellStyle name="Normal 3 3 7 2 2 2 2 2 2" xfId="56985" xr:uid="{00000000-0005-0000-0000-0000F68A0000}"/>
    <cellStyle name="Normal 3 3 7 2 2 2 2 3" xfId="43423" xr:uid="{00000000-0005-0000-0000-0000F78A0000}"/>
    <cellStyle name="Normal 3 3 7 2 2 2 3" xfId="23071" xr:uid="{00000000-0005-0000-0000-0000F88A0000}"/>
    <cellStyle name="Normal 3 3 7 2 2 2 3 2" xfId="50204" xr:uid="{00000000-0005-0000-0000-0000F98A0000}"/>
    <cellStyle name="Normal 3 3 7 2 2 2 4" xfId="36642" xr:uid="{00000000-0005-0000-0000-0000FA8A0000}"/>
    <cellStyle name="Normal 3 3 7 2 2 3" xfId="12895" xr:uid="{00000000-0005-0000-0000-0000FB8A0000}"/>
    <cellStyle name="Normal 3 3 7 2 2 3 2" xfId="26463" xr:uid="{00000000-0005-0000-0000-0000FC8A0000}"/>
    <cellStyle name="Normal 3 3 7 2 2 3 2 2" xfId="53596" xr:uid="{00000000-0005-0000-0000-0000FD8A0000}"/>
    <cellStyle name="Normal 3 3 7 2 2 3 3" xfId="40034" xr:uid="{00000000-0005-0000-0000-0000FE8A0000}"/>
    <cellStyle name="Normal 3 3 7 2 2 4" xfId="19682" xr:uid="{00000000-0005-0000-0000-0000FF8A0000}"/>
    <cellStyle name="Normal 3 3 7 2 2 4 2" xfId="46815" xr:uid="{00000000-0005-0000-0000-0000008B0000}"/>
    <cellStyle name="Normal 3 3 7 2 2 5" xfId="33253" xr:uid="{00000000-0005-0000-0000-0000018B0000}"/>
    <cellStyle name="Normal 3 3 7 2 3" xfId="5953" xr:uid="{00000000-0005-0000-0000-0000028B0000}"/>
    <cellStyle name="Normal 3 3 7 2 3 2" xfId="9496" xr:uid="{00000000-0005-0000-0000-0000038B0000}"/>
    <cellStyle name="Normal 3 3 7 2 3 2 2" xfId="16285" xr:uid="{00000000-0005-0000-0000-0000048B0000}"/>
    <cellStyle name="Normal 3 3 7 2 3 2 2 2" xfId="29853" xr:uid="{00000000-0005-0000-0000-0000058B0000}"/>
    <cellStyle name="Normal 3 3 7 2 3 2 2 2 2" xfId="56986" xr:uid="{00000000-0005-0000-0000-0000068B0000}"/>
    <cellStyle name="Normal 3 3 7 2 3 2 2 3" xfId="43424" xr:uid="{00000000-0005-0000-0000-0000078B0000}"/>
    <cellStyle name="Normal 3 3 7 2 3 2 3" xfId="23072" xr:uid="{00000000-0005-0000-0000-0000088B0000}"/>
    <cellStyle name="Normal 3 3 7 2 3 2 3 2" xfId="50205" xr:uid="{00000000-0005-0000-0000-0000098B0000}"/>
    <cellStyle name="Normal 3 3 7 2 3 2 4" xfId="36643" xr:uid="{00000000-0005-0000-0000-00000A8B0000}"/>
    <cellStyle name="Normal 3 3 7 2 3 3" xfId="12896" xr:uid="{00000000-0005-0000-0000-00000B8B0000}"/>
    <cellStyle name="Normal 3 3 7 2 3 3 2" xfId="26464" xr:uid="{00000000-0005-0000-0000-00000C8B0000}"/>
    <cellStyle name="Normal 3 3 7 2 3 3 2 2" xfId="53597" xr:uid="{00000000-0005-0000-0000-00000D8B0000}"/>
    <cellStyle name="Normal 3 3 7 2 3 3 3" xfId="40035" xr:uid="{00000000-0005-0000-0000-00000E8B0000}"/>
    <cellStyle name="Normal 3 3 7 2 3 4" xfId="19683" xr:uid="{00000000-0005-0000-0000-00000F8B0000}"/>
    <cellStyle name="Normal 3 3 7 2 3 4 2" xfId="46816" xr:uid="{00000000-0005-0000-0000-0000108B0000}"/>
    <cellStyle name="Normal 3 3 7 2 3 5" xfId="33254" xr:uid="{00000000-0005-0000-0000-0000118B0000}"/>
    <cellStyle name="Normal 3 3 7 2 4" xfId="7507" xr:uid="{00000000-0005-0000-0000-0000128B0000}"/>
    <cellStyle name="Normal 3 3 7 2 4 2" xfId="14296" xr:uid="{00000000-0005-0000-0000-0000138B0000}"/>
    <cellStyle name="Normal 3 3 7 2 4 2 2" xfId="27864" xr:uid="{00000000-0005-0000-0000-0000148B0000}"/>
    <cellStyle name="Normal 3 3 7 2 4 2 2 2" xfId="54997" xr:uid="{00000000-0005-0000-0000-0000158B0000}"/>
    <cellStyle name="Normal 3 3 7 2 4 2 3" xfId="41435" xr:uid="{00000000-0005-0000-0000-0000168B0000}"/>
    <cellStyle name="Normal 3 3 7 2 4 3" xfId="21083" xr:uid="{00000000-0005-0000-0000-0000178B0000}"/>
    <cellStyle name="Normal 3 3 7 2 4 3 2" xfId="48216" xr:uid="{00000000-0005-0000-0000-0000188B0000}"/>
    <cellStyle name="Normal 3 3 7 2 4 4" xfId="34654" xr:uid="{00000000-0005-0000-0000-0000198B0000}"/>
    <cellStyle name="Normal 3 3 7 2 5" xfId="10907" xr:uid="{00000000-0005-0000-0000-00001A8B0000}"/>
    <cellStyle name="Normal 3 3 7 2 5 2" xfId="24475" xr:uid="{00000000-0005-0000-0000-00001B8B0000}"/>
    <cellStyle name="Normal 3 3 7 2 5 2 2" xfId="51608" xr:uid="{00000000-0005-0000-0000-00001C8B0000}"/>
    <cellStyle name="Normal 3 3 7 2 5 3" xfId="38046" xr:uid="{00000000-0005-0000-0000-00001D8B0000}"/>
    <cellStyle name="Normal 3 3 7 2 6" xfId="17694" xr:uid="{00000000-0005-0000-0000-00001E8B0000}"/>
    <cellStyle name="Normal 3 3 7 2 6 2" xfId="44827" xr:uid="{00000000-0005-0000-0000-00001F8B0000}"/>
    <cellStyle name="Normal 3 3 7 2 7" xfId="31265" xr:uid="{00000000-0005-0000-0000-0000208B0000}"/>
    <cellStyle name="Normal 3 3 7 3" xfId="5954" xr:uid="{00000000-0005-0000-0000-0000218B0000}"/>
    <cellStyle name="Normal 3 3 7 3 2" xfId="9497" xr:uid="{00000000-0005-0000-0000-0000228B0000}"/>
    <cellStyle name="Normal 3 3 7 3 2 2" xfId="16286" xr:uid="{00000000-0005-0000-0000-0000238B0000}"/>
    <cellStyle name="Normal 3 3 7 3 2 2 2" xfId="29854" xr:uid="{00000000-0005-0000-0000-0000248B0000}"/>
    <cellStyle name="Normal 3 3 7 3 2 2 2 2" xfId="56987" xr:uid="{00000000-0005-0000-0000-0000258B0000}"/>
    <cellStyle name="Normal 3 3 7 3 2 2 3" xfId="43425" xr:uid="{00000000-0005-0000-0000-0000268B0000}"/>
    <cellStyle name="Normal 3 3 7 3 2 3" xfId="23073" xr:uid="{00000000-0005-0000-0000-0000278B0000}"/>
    <cellStyle name="Normal 3 3 7 3 2 3 2" xfId="50206" xr:uid="{00000000-0005-0000-0000-0000288B0000}"/>
    <cellStyle name="Normal 3 3 7 3 2 4" xfId="36644" xr:uid="{00000000-0005-0000-0000-0000298B0000}"/>
    <cellStyle name="Normal 3 3 7 3 3" xfId="12897" xr:uid="{00000000-0005-0000-0000-00002A8B0000}"/>
    <cellStyle name="Normal 3 3 7 3 3 2" xfId="26465" xr:uid="{00000000-0005-0000-0000-00002B8B0000}"/>
    <cellStyle name="Normal 3 3 7 3 3 2 2" xfId="53598" xr:uid="{00000000-0005-0000-0000-00002C8B0000}"/>
    <cellStyle name="Normal 3 3 7 3 3 3" xfId="40036" xr:uid="{00000000-0005-0000-0000-00002D8B0000}"/>
    <cellStyle name="Normal 3 3 7 3 4" xfId="19684" xr:uid="{00000000-0005-0000-0000-00002E8B0000}"/>
    <cellStyle name="Normal 3 3 7 3 4 2" xfId="46817" xr:uid="{00000000-0005-0000-0000-00002F8B0000}"/>
    <cellStyle name="Normal 3 3 7 3 5" xfId="33255" xr:uid="{00000000-0005-0000-0000-0000308B0000}"/>
    <cellStyle name="Normal 3 3 7 4" xfId="5955" xr:uid="{00000000-0005-0000-0000-0000318B0000}"/>
    <cellStyle name="Normal 3 3 7 4 2" xfId="9498" xr:uid="{00000000-0005-0000-0000-0000328B0000}"/>
    <cellStyle name="Normal 3 3 7 4 2 2" xfId="16287" xr:uid="{00000000-0005-0000-0000-0000338B0000}"/>
    <cellStyle name="Normal 3 3 7 4 2 2 2" xfId="29855" xr:uid="{00000000-0005-0000-0000-0000348B0000}"/>
    <cellStyle name="Normal 3 3 7 4 2 2 2 2" xfId="56988" xr:uid="{00000000-0005-0000-0000-0000358B0000}"/>
    <cellStyle name="Normal 3 3 7 4 2 2 3" xfId="43426" xr:uid="{00000000-0005-0000-0000-0000368B0000}"/>
    <cellStyle name="Normal 3 3 7 4 2 3" xfId="23074" xr:uid="{00000000-0005-0000-0000-0000378B0000}"/>
    <cellStyle name="Normal 3 3 7 4 2 3 2" xfId="50207" xr:uid="{00000000-0005-0000-0000-0000388B0000}"/>
    <cellStyle name="Normal 3 3 7 4 2 4" xfId="36645" xr:uid="{00000000-0005-0000-0000-0000398B0000}"/>
    <cellStyle name="Normal 3 3 7 4 3" xfId="12898" xr:uid="{00000000-0005-0000-0000-00003A8B0000}"/>
    <cellStyle name="Normal 3 3 7 4 3 2" xfId="26466" xr:uid="{00000000-0005-0000-0000-00003B8B0000}"/>
    <cellStyle name="Normal 3 3 7 4 3 2 2" xfId="53599" xr:uid="{00000000-0005-0000-0000-00003C8B0000}"/>
    <cellStyle name="Normal 3 3 7 4 3 3" xfId="40037" xr:uid="{00000000-0005-0000-0000-00003D8B0000}"/>
    <cellStyle name="Normal 3 3 7 4 4" xfId="19685" xr:uid="{00000000-0005-0000-0000-00003E8B0000}"/>
    <cellStyle name="Normal 3 3 7 4 4 2" xfId="46818" xr:uid="{00000000-0005-0000-0000-00003F8B0000}"/>
    <cellStyle name="Normal 3 3 7 4 5" xfId="33256" xr:uid="{00000000-0005-0000-0000-0000408B0000}"/>
    <cellStyle name="Normal 3 3 7 5" xfId="7506" xr:uid="{00000000-0005-0000-0000-0000418B0000}"/>
    <cellStyle name="Normal 3 3 7 5 2" xfId="14295" xr:uid="{00000000-0005-0000-0000-0000428B0000}"/>
    <cellStyle name="Normal 3 3 7 5 2 2" xfId="27863" xr:uid="{00000000-0005-0000-0000-0000438B0000}"/>
    <cellStyle name="Normal 3 3 7 5 2 2 2" xfId="54996" xr:uid="{00000000-0005-0000-0000-0000448B0000}"/>
    <cellStyle name="Normal 3 3 7 5 2 3" xfId="41434" xr:uid="{00000000-0005-0000-0000-0000458B0000}"/>
    <cellStyle name="Normal 3 3 7 5 3" xfId="21082" xr:uid="{00000000-0005-0000-0000-0000468B0000}"/>
    <cellStyle name="Normal 3 3 7 5 3 2" xfId="48215" xr:uid="{00000000-0005-0000-0000-0000478B0000}"/>
    <cellStyle name="Normal 3 3 7 5 4" xfId="34653" xr:uid="{00000000-0005-0000-0000-0000488B0000}"/>
    <cellStyle name="Normal 3 3 7 6" xfId="10906" xr:uid="{00000000-0005-0000-0000-0000498B0000}"/>
    <cellStyle name="Normal 3 3 7 6 2" xfId="24474" xr:uid="{00000000-0005-0000-0000-00004A8B0000}"/>
    <cellStyle name="Normal 3 3 7 6 2 2" xfId="51607" xr:uid="{00000000-0005-0000-0000-00004B8B0000}"/>
    <cellStyle name="Normal 3 3 7 6 3" xfId="38045" xr:uid="{00000000-0005-0000-0000-00004C8B0000}"/>
    <cellStyle name="Normal 3 3 7 7" xfId="17693" xr:uid="{00000000-0005-0000-0000-00004D8B0000}"/>
    <cellStyle name="Normal 3 3 7 7 2" xfId="44826" xr:uid="{00000000-0005-0000-0000-00004E8B0000}"/>
    <cellStyle name="Normal 3 3 7 8" xfId="31264" xr:uid="{00000000-0005-0000-0000-00004F8B0000}"/>
    <cellStyle name="Normal 3 3 8" xfId="2695" xr:uid="{00000000-0005-0000-0000-0000508B0000}"/>
    <cellStyle name="Normal 3 3 8 2" xfId="2696" xr:uid="{00000000-0005-0000-0000-0000518B0000}"/>
    <cellStyle name="Normal 3 3 8 2 2" xfId="5956" xr:uid="{00000000-0005-0000-0000-0000528B0000}"/>
    <cellStyle name="Normal 3 3 8 2 2 2" xfId="9499" xr:uid="{00000000-0005-0000-0000-0000538B0000}"/>
    <cellStyle name="Normal 3 3 8 2 2 2 2" xfId="16288" xr:uid="{00000000-0005-0000-0000-0000548B0000}"/>
    <cellStyle name="Normal 3 3 8 2 2 2 2 2" xfId="29856" xr:uid="{00000000-0005-0000-0000-0000558B0000}"/>
    <cellStyle name="Normal 3 3 8 2 2 2 2 2 2" xfId="56989" xr:uid="{00000000-0005-0000-0000-0000568B0000}"/>
    <cellStyle name="Normal 3 3 8 2 2 2 2 3" xfId="43427" xr:uid="{00000000-0005-0000-0000-0000578B0000}"/>
    <cellStyle name="Normal 3 3 8 2 2 2 3" xfId="23075" xr:uid="{00000000-0005-0000-0000-0000588B0000}"/>
    <cellStyle name="Normal 3 3 8 2 2 2 3 2" xfId="50208" xr:uid="{00000000-0005-0000-0000-0000598B0000}"/>
    <cellStyle name="Normal 3 3 8 2 2 2 4" xfId="36646" xr:uid="{00000000-0005-0000-0000-00005A8B0000}"/>
    <cellStyle name="Normal 3 3 8 2 2 3" xfId="12899" xr:uid="{00000000-0005-0000-0000-00005B8B0000}"/>
    <cellStyle name="Normal 3 3 8 2 2 3 2" xfId="26467" xr:uid="{00000000-0005-0000-0000-00005C8B0000}"/>
    <cellStyle name="Normal 3 3 8 2 2 3 2 2" xfId="53600" xr:uid="{00000000-0005-0000-0000-00005D8B0000}"/>
    <cellStyle name="Normal 3 3 8 2 2 3 3" xfId="40038" xr:uid="{00000000-0005-0000-0000-00005E8B0000}"/>
    <cellStyle name="Normal 3 3 8 2 2 4" xfId="19686" xr:uid="{00000000-0005-0000-0000-00005F8B0000}"/>
    <cellStyle name="Normal 3 3 8 2 2 4 2" xfId="46819" xr:uid="{00000000-0005-0000-0000-0000608B0000}"/>
    <cellStyle name="Normal 3 3 8 2 2 5" xfId="33257" xr:uid="{00000000-0005-0000-0000-0000618B0000}"/>
    <cellStyle name="Normal 3 3 8 2 3" xfId="5957" xr:uid="{00000000-0005-0000-0000-0000628B0000}"/>
    <cellStyle name="Normal 3 3 8 2 3 2" xfId="9500" xr:uid="{00000000-0005-0000-0000-0000638B0000}"/>
    <cellStyle name="Normal 3 3 8 2 3 2 2" xfId="16289" xr:uid="{00000000-0005-0000-0000-0000648B0000}"/>
    <cellStyle name="Normal 3 3 8 2 3 2 2 2" xfId="29857" xr:uid="{00000000-0005-0000-0000-0000658B0000}"/>
    <cellStyle name="Normal 3 3 8 2 3 2 2 2 2" xfId="56990" xr:uid="{00000000-0005-0000-0000-0000668B0000}"/>
    <cellStyle name="Normal 3 3 8 2 3 2 2 3" xfId="43428" xr:uid="{00000000-0005-0000-0000-0000678B0000}"/>
    <cellStyle name="Normal 3 3 8 2 3 2 3" xfId="23076" xr:uid="{00000000-0005-0000-0000-0000688B0000}"/>
    <cellStyle name="Normal 3 3 8 2 3 2 3 2" xfId="50209" xr:uid="{00000000-0005-0000-0000-0000698B0000}"/>
    <cellStyle name="Normal 3 3 8 2 3 2 4" xfId="36647" xr:uid="{00000000-0005-0000-0000-00006A8B0000}"/>
    <cellStyle name="Normal 3 3 8 2 3 3" xfId="12900" xr:uid="{00000000-0005-0000-0000-00006B8B0000}"/>
    <cellStyle name="Normal 3 3 8 2 3 3 2" xfId="26468" xr:uid="{00000000-0005-0000-0000-00006C8B0000}"/>
    <cellStyle name="Normal 3 3 8 2 3 3 2 2" xfId="53601" xr:uid="{00000000-0005-0000-0000-00006D8B0000}"/>
    <cellStyle name="Normal 3 3 8 2 3 3 3" xfId="40039" xr:uid="{00000000-0005-0000-0000-00006E8B0000}"/>
    <cellStyle name="Normal 3 3 8 2 3 4" xfId="19687" xr:uid="{00000000-0005-0000-0000-00006F8B0000}"/>
    <cellStyle name="Normal 3 3 8 2 3 4 2" xfId="46820" xr:uid="{00000000-0005-0000-0000-0000708B0000}"/>
    <cellStyle name="Normal 3 3 8 2 3 5" xfId="33258" xr:uid="{00000000-0005-0000-0000-0000718B0000}"/>
    <cellStyle name="Normal 3 3 8 2 4" xfId="7509" xr:uid="{00000000-0005-0000-0000-0000728B0000}"/>
    <cellStyle name="Normal 3 3 8 2 4 2" xfId="14298" xr:uid="{00000000-0005-0000-0000-0000738B0000}"/>
    <cellStyle name="Normal 3 3 8 2 4 2 2" xfId="27866" xr:uid="{00000000-0005-0000-0000-0000748B0000}"/>
    <cellStyle name="Normal 3 3 8 2 4 2 2 2" xfId="54999" xr:uid="{00000000-0005-0000-0000-0000758B0000}"/>
    <cellStyle name="Normal 3 3 8 2 4 2 3" xfId="41437" xr:uid="{00000000-0005-0000-0000-0000768B0000}"/>
    <cellStyle name="Normal 3 3 8 2 4 3" xfId="21085" xr:uid="{00000000-0005-0000-0000-0000778B0000}"/>
    <cellStyle name="Normal 3 3 8 2 4 3 2" xfId="48218" xr:uid="{00000000-0005-0000-0000-0000788B0000}"/>
    <cellStyle name="Normal 3 3 8 2 4 4" xfId="34656" xr:uid="{00000000-0005-0000-0000-0000798B0000}"/>
    <cellStyle name="Normal 3 3 8 2 5" xfId="10909" xr:uid="{00000000-0005-0000-0000-00007A8B0000}"/>
    <cellStyle name="Normal 3 3 8 2 5 2" xfId="24477" xr:uid="{00000000-0005-0000-0000-00007B8B0000}"/>
    <cellStyle name="Normal 3 3 8 2 5 2 2" xfId="51610" xr:uid="{00000000-0005-0000-0000-00007C8B0000}"/>
    <cellStyle name="Normal 3 3 8 2 5 3" xfId="38048" xr:uid="{00000000-0005-0000-0000-00007D8B0000}"/>
    <cellStyle name="Normal 3 3 8 2 6" xfId="17696" xr:uid="{00000000-0005-0000-0000-00007E8B0000}"/>
    <cellStyle name="Normal 3 3 8 2 6 2" xfId="44829" xr:uid="{00000000-0005-0000-0000-00007F8B0000}"/>
    <cellStyle name="Normal 3 3 8 2 7" xfId="31267" xr:uid="{00000000-0005-0000-0000-0000808B0000}"/>
    <cellStyle name="Normal 3 3 8 3" xfId="5958" xr:uid="{00000000-0005-0000-0000-0000818B0000}"/>
    <cellStyle name="Normal 3 3 8 3 2" xfId="9501" xr:uid="{00000000-0005-0000-0000-0000828B0000}"/>
    <cellStyle name="Normal 3 3 8 3 2 2" xfId="16290" xr:uid="{00000000-0005-0000-0000-0000838B0000}"/>
    <cellStyle name="Normal 3 3 8 3 2 2 2" xfId="29858" xr:uid="{00000000-0005-0000-0000-0000848B0000}"/>
    <cellStyle name="Normal 3 3 8 3 2 2 2 2" xfId="56991" xr:uid="{00000000-0005-0000-0000-0000858B0000}"/>
    <cellStyle name="Normal 3 3 8 3 2 2 3" xfId="43429" xr:uid="{00000000-0005-0000-0000-0000868B0000}"/>
    <cellStyle name="Normal 3 3 8 3 2 3" xfId="23077" xr:uid="{00000000-0005-0000-0000-0000878B0000}"/>
    <cellStyle name="Normal 3 3 8 3 2 3 2" xfId="50210" xr:uid="{00000000-0005-0000-0000-0000888B0000}"/>
    <cellStyle name="Normal 3 3 8 3 2 4" xfId="36648" xr:uid="{00000000-0005-0000-0000-0000898B0000}"/>
    <cellStyle name="Normal 3 3 8 3 3" xfId="12901" xr:uid="{00000000-0005-0000-0000-00008A8B0000}"/>
    <cellStyle name="Normal 3 3 8 3 3 2" xfId="26469" xr:uid="{00000000-0005-0000-0000-00008B8B0000}"/>
    <cellStyle name="Normal 3 3 8 3 3 2 2" xfId="53602" xr:uid="{00000000-0005-0000-0000-00008C8B0000}"/>
    <cellStyle name="Normal 3 3 8 3 3 3" xfId="40040" xr:uid="{00000000-0005-0000-0000-00008D8B0000}"/>
    <cellStyle name="Normal 3 3 8 3 4" xfId="19688" xr:uid="{00000000-0005-0000-0000-00008E8B0000}"/>
    <cellStyle name="Normal 3 3 8 3 4 2" xfId="46821" xr:uid="{00000000-0005-0000-0000-00008F8B0000}"/>
    <cellStyle name="Normal 3 3 8 3 5" xfId="33259" xr:uid="{00000000-0005-0000-0000-0000908B0000}"/>
    <cellStyle name="Normal 3 3 8 4" xfId="5959" xr:uid="{00000000-0005-0000-0000-0000918B0000}"/>
    <cellStyle name="Normal 3 3 8 4 2" xfId="9502" xr:uid="{00000000-0005-0000-0000-0000928B0000}"/>
    <cellStyle name="Normal 3 3 8 4 2 2" xfId="16291" xr:uid="{00000000-0005-0000-0000-0000938B0000}"/>
    <cellStyle name="Normal 3 3 8 4 2 2 2" xfId="29859" xr:uid="{00000000-0005-0000-0000-0000948B0000}"/>
    <cellStyle name="Normal 3 3 8 4 2 2 2 2" xfId="56992" xr:uid="{00000000-0005-0000-0000-0000958B0000}"/>
    <cellStyle name="Normal 3 3 8 4 2 2 3" xfId="43430" xr:uid="{00000000-0005-0000-0000-0000968B0000}"/>
    <cellStyle name="Normal 3 3 8 4 2 3" xfId="23078" xr:uid="{00000000-0005-0000-0000-0000978B0000}"/>
    <cellStyle name="Normal 3 3 8 4 2 3 2" xfId="50211" xr:uid="{00000000-0005-0000-0000-0000988B0000}"/>
    <cellStyle name="Normal 3 3 8 4 2 4" xfId="36649" xr:uid="{00000000-0005-0000-0000-0000998B0000}"/>
    <cellStyle name="Normal 3 3 8 4 3" xfId="12902" xr:uid="{00000000-0005-0000-0000-00009A8B0000}"/>
    <cellStyle name="Normal 3 3 8 4 3 2" xfId="26470" xr:uid="{00000000-0005-0000-0000-00009B8B0000}"/>
    <cellStyle name="Normal 3 3 8 4 3 2 2" xfId="53603" xr:uid="{00000000-0005-0000-0000-00009C8B0000}"/>
    <cellStyle name="Normal 3 3 8 4 3 3" xfId="40041" xr:uid="{00000000-0005-0000-0000-00009D8B0000}"/>
    <cellStyle name="Normal 3 3 8 4 4" xfId="19689" xr:uid="{00000000-0005-0000-0000-00009E8B0000}"/>
    <cellStyle name="Normal 3 3 8 4 4 2" xfId="46822" xr:uid="{00000000-0005-0000-0000-00009F8B0000}"/>
    <cellStyle name="Normal 3 3 8 4 5" xfId="33260" xr:uid="{00000000-0005-0000-0000-0000A08B0000}"/>
    <cellStyle name="Normal 3 3 8 5" xfId="7508" xr:uid="{00000000-0005-0000-0000-0000A18B0000}"/>
    <cellStyle name="Normal 3 3 8 5 2" xfId="14297" xr:uid="{00000000-0005-0000-0000-0000A28B0000}"/>
    <cellStyle name="Normal 3 3 8 5 2 2" xfId="27865" xr:uid="{00000000-0005-0000-0000-0000A38B0000}"/>
    <cellStyle name="Normal 3 3 8 5 2 2 2" xfId="54998" xr:uid="{00000000-0005-0000-0000-0000A48B0000}"/>
    <cellStyle name="Normal 3 3 8 5 2 3" xfId="41436" xr:uid="{00000000-0005-0000-0000-0000A58B0000}"/>
    <cellStyle name="Normal 3 3 8 5 3" xfId="21084" xr:uid="{00000000-0005-0000-0000-0000A68B0000}"/>
    <cellStyle name="Normal 3 3 8 5 3 2" xfId="48217" xr:uid="{00000000-0005-0000-0000-0000A78B0000}"/>
    <cellStyle name="Normal 3 3 8 5 4" xfId="34655" xr:uid="{00000000-0005-0000-0000-0000A88B0000}"/>
    <cellStyle name="Normal 3 3 8 6" xfId="10908" xr:uid="{00000000-0005-0000-0000-0000A98B0000}"/>
    <cellStyle name="Normal 3 3 8 6 2" xfId="24476" xr:uid="{00000000-0005-0000-0000-0000AA8B0000}"/>
    <cellStyle name="Normal 3 3 8 6 2 2" xfId="51609" xr:uid="{00000000-0005-0000-0000-0000AB8B0000}"/>
    <cellStyle name="Normal 3 3 8 6 3" xfId="38047" xr:uid="{00000000-0005-0000-0000-0000AC8B0000}"/>
    <cellStyle name="Normal 3 3 8 7" xfId="17695" xr:uid="{00000000-0005-0000-0000-0000AD8B0000}"/>
    <cellStyle name="Normal 3 3 8 7 2" xfId="44828" xr:uid="{00000000-0005-0000-0000-0000AE8B0000}"/>
    <cellStyle name="Normal 3 3 8 8" xfId="31266" xr:uid="{00000000-0005-0000-0000-0000AF8B0000}"/>
    <cellStyle name="Normal 3 3 9" xfId="2697" xr:uid="{00000000-0005-0000-0000-0000B08B0000}"/>
    <cellStyle name="Normal 3 3 9 2" xfId="5960" xr:uid="{00000000-0005-0000-0000-0000B18B0000}"/>
    <cellStyle name="Normal 3 3 9 2 2" xfId="9503" xr:uid="{00000000-0005-0000-0000-0000B28B0000}"/>
    <cellStyle name="Normal 3 3 9 2 2 2" xfId="16292" xr:uid="{00000000-0005-0000-0000-0000B38B0000}"/>
    <cellStyle name="Normal 3 3 9 2 2 2 2" xfId="29860" xr:uid="{00000000-0005-0000-0000-0000B48B0000}"/>
    <cellStyle name="Normal 3 3 9 2 2 2 2 2" xfId="56993" xr:uid="{00000000-0005-0000-0000-0000B58B0000}"/>
    <cellStyle name="Normal 3 3 9 2 2 2 3" xfId="43431" xr:uid="{00000000-0005-0000-0000-0000B68B0000}"/>
    <cellStyle name="Normal 3 3 9 2 2 3" xfId="23079" xr:uid="{00000000-0005-0000-0000-0000B78B0000}"/>
    <cellStyle name="Normal 3 3 9 2 2 3 2" xfId="50212" xr:uid="{00000000-0005-0000-0000-0000B88B0000}"/>
    <cellStyle name="Normal 3 3 9 2 2 4" xfId="36650" xr:uid="{00000000-0005-0000-0000-0000B98B0000}"/>
    <cellStyle name="Normal 3 3 9 2 3" xfId="12903" xr:uid="{00000000-0005-0000-0000-0000BA8B0000}"/>
    <cellStyle name="Normal 3 3 9 2 3 2" xfId="26471" xr:uid="{00000000-0005-0000-0000-0000BB8B0000}"/>
    <cellStyle name="Normal 3 3 9 2 3 2 2" xfId="53604" xr:uid="{00000000-0005-0000-0000-0000BC8B0000}"/>
    <cellStyle name="Normal 3 3 9 2 3 3" xfId="40042" xr:uid="{00000000-0005-0000-0000-0000BD8B0000}"/>
    <cellStyle name="Normal 3 3 9 2 4" xfId="19690" xr:uid="{00000000-0005-0000-0000-0000BE8B0000}"/>
    <cellStyle name="Normal 3 3 9 2 4 2" xfId="46823" xr:uid="{00000000-0005-0000-0000-0000BF8B0000}"/>
    <cellStyle name="Normal 3 3 9 2 5" xfId="33261" xr:uid="{00000000-0005-0000-0000-0000C08B0000}"/>
    <cellStyle name="Normal 3 3 9 3" xfId="5961" xr:uid="{00000000-0005-0000-0000-0000C18B0000}"/>
    <cellStyle name="Normal 3 3 9 3 2" xfId="9504" xr:uid="{00000000-0005-0000-0000-0000C28B0000}"/>
    <cellStyle name="Normal 3 3 9 3 2 2" xfId="16293" xr:uid="{00000000-0005-0000-0000-0000C38B0000}"/>
    <cellStyle name="Normal 3 3 9 3 2 2 2" xfId="29861" xr:uid="{00000000-0005-0000-0000-0000C48B0000}"/>
    <cellStyle name="Normal 3 3 9 3 2 2 2 2" xfId="56994" xr:uid="{00000000-0005-0000-0000-0000C58B0000}"/>
    <cellStyle name="Normal 3 3 9 3 2 2 3" xfId="43432" xr:uid="{00000000-0005-0000-0000-0000C68B0000}"/>
    <cellStyle name="Normal 3 3 9 3 2 3" xfId="23080" xr:uid="{00000000-0005-0000-0000-0000C78B0000}"/>
    <cellStyle name="Normal 3 3 9 3 2 3 2" xfId="50213" xr:uid="{00000000-0005-0000-0000-0000C88B0000}"/>
    <cellStyle name="Normal 3 3 9 3 2 4" xfId="36651" xr:uid="{00000000-0005-0000-0000-0000C98B0000}"/>
    <cellStyle name="Normal 3 3 9 3 3" xfId="12904" xr:uid="{00000000-0005-0000-0000-0000CA8B0000}"/>
    <cellStyle name="Normal 3 3 9 3 3 2" xfId="26472" xr:uid="{00000000-0005-0000-0000-0000CB8B0000}"/>
    <cellStyle name="Normal 3 3 9 3 3 2 2" xfId="53605" xr:uid="{00000000-0005-0000-0000-0000CC8B0000}"/>
    <cellStyle name="Normal 3 3 9 3 3 3" xfId="40043" xr:uid="{00000000-0005-0000-0000-0000CD8B0000}"/>
    <cellStyle name="Normal 3 3 9 3 4" xfId="19691" xr:uid="{00000000-0005-0000-0000-0000CE8B0000}"/>
    <cellStyle name="Normal 3 3 9 3 4 2" xfId="46824" xr:uid="{00000000-0005-0000-0000-0000CF8B0000}"/>
    <cellStyle name="Normal 3 3 9 3 5" xfId="33262" xr:uid="{00000000-0005-0000-0000-0000D08B0000}"/>
    <cellStyle name="Normal 3 3 9 4" xfId="7510" xr:uid="{00000000-0005-0000-0000-0000D18B0000}"/>
    <cellStyle name="Normal 3 3 9 4 2" xfId="14299" xr:uid="{00000000-0005-0000-0000-0000D28B0000}"/>
    <cellStyle name="Normal 3 3 9 4 2 2" xfId="27867" xr:uid="{00000000-0005-0000-0000-0000D38B0000}"/>
    <cellStyle name="Normal 3 3 9 4 2 2 2" xfId="55000" xr:uid="{00000000-0005-0000-0000-0000D48B0000}"/>
    <cellStyle name="Normal 3 3 9 4 2 3" xfId="41438" xr:uid="{00000000-0005-0000-0000-0000D58B0000}"/>
    <cellStyle name="Normal 3 3 9 4 3" xfId="21086" xr:uid="{00000000-0005-0000-0000-0000D68B0000}"/>
    <cellStyle name="Normal 3 3 9 4 3 2" xfId="48219" xr:uid="{00000000-0005-0000-0000-0000D78B0000}"/>
    <cellStyle name="Normal 3 3 9 4 4" xfId="34657" xr:uid="{00000000-0005-0000-0000-0000D88B0000}"/>
    <cellStyle name="Normal 3 3 9 5" xfId="10910" xr:uid="{00000000-0005-0000-0000-0000D98B0000}"/>
    <cellStyle name="Normal 3 3 9 5 2" xfId="24478" xr:uid="{00000000-0005-0000-0000-0000DA8B0000}"/>
    <cellStyle name="Normal 3 3 9 5 2 2" xfId="51611" xr:uid="{00000000-0005-0000-0000-0000DB8B0000}"/>
    <cellStyle name="Normal 3 3 9 5 3" xfId="38049" xr:uid="{00000000-0005-0000-0000-0000DC8B0000}"/>
    <cellStyle name="Normal 3 3 9 6" xfId="17697" xr:uid="{00000000-0005-0000-0000-0000DD8B0000}"/>
    <cellStyle name="Normal 3 3 9 6 2" xfId="44830" xr:uid="{00000000-0005-0000-0000-0000DE8B0000}"/>
    <cellStyle name="Normal 3 3 9 7" xfId="31268" xr:uid="{00000000-0005-0000-0000-0000DF8B0000}"/>
    <cellStyle name="Normal 3 4" xfId="2698" xr:uid="{00000000-0005-0000-0000-0000E08B0000}"/>
    <cellStyle name="Normal 3 4 10" xfId="5962" xr:uid="{00000000-0005-0000-0000-0000E18B0000}"/>
    <cellStyle name="Normal 3 4 10 2" xfId="9505" xr:uid="{00000000-0005-0000-0000-0000E28B0000}"/>
    <cellStyle name="Normal 3 4 10 2 2" xfId="16294" xr:uid="{00000000-0005-0000-0000-0000E38B0000}"/>
    <cellStyle name="Normal 3 4 10 2 2 2" xfId="29862" xr:uid="{00000000-0005-0000-0000-0000E48B0000}"/>
    <cellStyle name="Normal 3 4 10 2 2 2 2" xfId="56995" xr:uid="{00000000-0005-0000-0000-0000E58B0000}"/>
    <cellStyle name="Normal 3 4 10 2 2 3" xfId="43433" xr:uid="{00000000-0005-0000-0000-0000E68B0000}"/>
    <cellStyle name="Normal 3 4 10 2 3" xfId="23081" xr:uid="{00000000-0005-0000-0000-0000E78B0000}"/>
    <cellStyle name="Normal 3 4 10 2 3 2" xfId="50214" xr:uid="{00000000-0005-0000-0000-0000E88B0000}"/>
    <cellStyle name="Normal 3 4 10 2 4" xfId="36652" xr:uid="{00000000-0005-0000-0000-0000E98B0000}"/>
    <cellStyle name="Normal 3 4 10 3" xfId="12905" xr:uid="{00000000-0005-0000-0000-0000EA8B0000}"/>
    <cellStyle name="Normal 3 4 10 3 2" xfId="26473" xr:uid="{00000000-0005-0000-0000-0000EB8B0000}"/>
    <cellStyle name="Normal 3 4 10 3 2 2" xfId="53606" xr:uid="{00000000-0005-0000-0000-0000EC8B0000}"/>
    <cellStyle name="Normal 3 4 10 3 3" xfId="40044" xr:uid="{00000000-0005-0000-0000-0000ED8B0000}"/>
    <cellStyle name="Normal 3 4 10 4" xfId="19692" xr:uid="{00000000-0005-0000-0000-0000EE8B0000}"/>
    <cellStyle name="Normal 3 4 10 4 2" xfId="46825" xr:uid="{00000000-0005-0000-0000-0000EF8B0000}"/>
    <cellStyle name="Normal 3 4 10 5" xfId="33263" xr:uid="{00000000-0005-0000-0000-0000F08B0000}"/>
    <cellStyle name="Normal 3 4 11" xfId="5963" xr:uid="{00000000-0005-0000-0000-0000F18B0000}"/>
    <cellStyle name="Normal 3 4 11 2" xfId="9506" xr:uid="{00000000-0005-0000-0000-0000F28B0000}"/>
    <cellStyle name="Normal 3 4 11 2 2" xfId="16295" xr:uid="{00000000-0005-0000-0000-0000F38B0000}"/>
    <cellStyle name="Normal 3 4 11 2 2 2" xfId="29863" xr:uid="{00000000-0005-0000-0000-0000F48B0000}"/>
    <cellStyle name="Normal 3 4 11 2 2 2 2" xfId="56996" xr:uid="{00000000-0005-0000-0000-0000F58B0000}"/>
    <cellStyle name="Normal 3 4 11 2 2 3" xfId="43434" xr:uid="{00000000-0005-0000-0000-0000F68B0000}"/>
    <cellStyle name="Normal 3 4 11 2 3" xfId="23082" xr:uid="{00000000-0005-0000-0000-0000F78B0000}"/>
    <cellStyle name="Normal 3 4 11 2 3 2" xfId="50215" xr:uid="{00000000-0005-0000-0000-0000F88B0000}"/>
    <cellStyle name="Normal 3 4 11 2 4" xfId="36653" xr:uid="{00000000-0005-0000-0000-0000F98B0000}"/>
    <cellStyle name="Normal 3 4 11 3" xfId="12906" xr:uid="{00000000-0005-0000-0000-0000FA8B0000}"/>
    <cellStyle name="Normal 3 4 11 3 2" xfId="26474" xr:uid="{00000000-0005-0000-0000-0000FB8B0000}"/>
    <cellStyle name="Normal 3 4 11 3 2 2" xfId="53607" xr:uid="{00000000-0005-0000-0000-0000FC8B0000}"/>
    <cellStyle name="Normal 3 4 11 3 3" xfId="40045" xr:uid="{00000000-0005-0000-0000-0000FD8B0000}"/>
    <cellStyle name="Normal 3 4 11 4" xfId="19693" xr:uid="{00000000-0005-0000-0000-0000FE8B0000}"/>
    <cellStyle name="Normal 3 4 11 4 2" xfId="46826" xr:uid="{00000000-0005-0000-0000-0000FF8B0000}"/>
    <cellStyle name="Normal 3 4 11 5" xfId="33264" xr:uid="{00000000-0005-0000-0000-0000008C0000}"/>
    <cellStyle name="Normal 3 4 12" xfId="7511" xr:uid="{00000000-0005-0000-0000-0000018C0000}"/>
    <cellStyle name="Normal 3 4 12 2" xfId="14300" xr:uid="{00000000-0005-0000-0000-0000028C0000}"/>
    <cellStyle name="Normal 3 4 12 2 2" xfId="27868" xr:uid="{00000000-0005-0000-0000-0000038C0000}"/>
    <cellStyle name="Normal 3 4 12 2 2 2" xfId="55001" xr:uid="{00000000-0005-0000-0000-0000048C0000}"/>
    <cellStyle name="Normal 3 4 12 2 3" xfId="41439" xr:uid="{00000000-0005-0000-0000-0000058C0000}"/>
    <cellStyle name="Normal 3 4 12 3" xfId="21087" xr:uid="{00000000-0005-0000-0000-0000068C0000}"/>
    <cellStyle name="Normal 3 4 12 3 2" xfId="48220" xr:uid="{00000000-0005-0000-0000-0000078C0000}"/>
    <cellStyle name="Normal 3 4 12 4" xfId="34658" xr:uid="{00000000-0005-0000-0000-0000088C0000}"/>
    <cellStyle name="Normal 3 4 13" xfId="10841" xr:uid="{00000000-0005-0000-0000-0000098C0000}"/>
    <cellStyle name="Normal 3 4 14" xfId="10911" xr:uid="{00000000-0005-0000-0000-00000A8C0000}"/>
    <cellStyle name="Normal 3 4 14 2" xfId="24479" xr:uid="{00000000-0005-0000-0000-00000B8C0000}"/>
    <cellStyle name="Normal 3 4 14 2 2" xfId="51612" xr:uid="{00000000-0005-0000-0000-00000C8C0000}"/>
    <cellStyle name="Normal 3 4 14 3" xfId="38050" xr:uid="{00000000-0005-0000-0000-00000D8C0000}"/>
    <cellStyle name="Normal 3 4 15" xfId="17698" xr:uid="{00000000-0005-0000-0000-00000E8C0000}"/>
    <cellStyle name="Normal 3 4 15 2" xfId="44831" xr:uid="{00000000-0005-0000-0000-00000F8C0000}"/>
    <cellStyle name="Normal 3 4 16" xfId="31269" xr:uid="{00000000-0005-0000-0000-0000108C0000}"/>
    <cellStyle name="Normal 3 4 2" xfId="2699" xr:uid="{00000000-0005-0000-0000-0000118C0000}"/>
    <cellStyle name="Normal 3 4 2 10" xfId="7512" xr:uid="{00000000-0005-0000-0000-0000128C0000}"/>
    <cellStyle name="Normal 3 4 2 10 2" xfId="14301" xr:uid="{00000000-0005-0000-0000-0000138C0000}"/>
    <cellStyle name="Normal 3 4 2 10 2 2" xfId="27869" xr:uid="{00000000-0005-0000-0000-0000148C0000}"/>
    <cellStyle name="Normal 3 4 2 10 2 2 2" xfId="55002" xr:uid="{00000000-0005-0000-0000-0000158C0000}"/>
    <cellStyle name="Normal 3 4 2 10 2 3" xfId="41440" xr:uid="{00000000-0005-0000-0000-0000168C0000}"/>
    <cellStyle name="Normal 3 4 2 10 3" xfId="21088" xr:uid="{00000000-0005-0000-0000-0000178C0000}"/>
    <cellStyle name="Normal 3 4 2 10 3 2" xfId="48221" xr:uid="{00000000-0005-0000-0000-0000188C0000}"/>
    <cellStyle name="Normal 3 4 2 10 4" xfId="34659" xr:uid="{00000000-0005-0000-0000-0000198C0000}"/>
    <cellStyle name="Normal 3 4 2 11" xfId="10912" xr:uid="{00000000-0005-0000-0000-00001A8C0000}"/>
    <cellStyle name="Normal 3 4 2 11 2" xfId="24480" xr:uid="{00000000-0005-0000-0000-00001B8C0000}"/>
    <cellStyle name="Normal 3 4 2 11 2 2" xfId="51613" xr:uid="{00000000-0005-0000-0000-00001C8C0000}"/>
    <cellStyle name="Normal 3 4 2 11 3" xfId="38051" xr:uid="{00000000-0005-0000-0000-00001D8C0000}"/>
    <cellStyle name="Normal 3 4 2 12" xfId="17699" xr:uid="{00000000-0005-0000-0000-00001E8C0000}"/>
    <cellStyle name="Normal 3 4 2 12 2" xfId="44832" xr:uid="{00000000-0005-0000-0000-00001F8C0000}"/>
    <cellStyle name="Normal 3 4 2 13" xfId="31270" xr:uid="{00000000-0005-0000-0000-0000208C0000}"/>
    <cellStyle name="Normal 3 4 2 2" xfId="2700" xr:uid="{00000000-0005-0000-0000-0000218C0000}"/>
    <cellStyle name="Normal 3 4 2 2 10" xfId="31271" xr:uid="{00000000-0005-0000-0000-0000228C0000}"/>
    <cellStyle name="Normal 3 4 2 2 2" xfId="5964" xr:uid="{00000000-0005-0000-0000-0000238C0000}"/>
    <cellStyle name="Normal 3 4 2 2 2 2" xfId="5965" xr:uid="{00000000-0005-0000-0000-0000248C0000}"/>
    <cellStyle name="Normal 3 4 2 2 2 2 2" xfId="5966" xr:uid="{00000000-0005-0000-0000-0000258C0000}"/>
    <cellStyle name="Normal 3 4 2 2 2 2 2 2" xfId="9509" xr:uid="{00000000-0005-0000-0000-0000268C0000}"/>
    <cellStyle name="Normal 3 4 2 2 2 2 2 2 2" xfId="16298" xr:uid="{00000000-0005-0000-0000-0000278C0000}"/>
    <cellStyle name="Normal 3 4 2 2 2 2 2 2 2 2" xfId="29866" xr:uid="{00000000-0005-0000-0000-0000288C0000}"/>
    <cellStyle name="Normal 3 4 2 2 2 2 2 2 2 2 2" xfId="56999" xr:uid="{00000000-0005-0000-0000-0000298C0000}"/>
    <cellStyle name="Normal 3 4 2 2 2 2 2 2 2 3" xfId="43437" xr:uid="{00000000-0005-0000-0000-00002A8C0000}"/>
    <cellStyle name="Normal 3 4 2 2 2 2 2 2 3" xfId="23085" xr:uid="{00000000-0005-0000-0000-00002B8C0000}"/>
    <cellStyle name="Normal 3 4 2 2 2 2 2 2 3 2" xfId="50218" xr:uid="{00000000-0005-0000-0000-00002C8C0000}"/>
    <cellStyle name="Normal 3 4 2 2 2 2 2 2 4" xfId="36656" xr:uid="{00000000-0005-0000-0000-00002D8C0000}"/>
    <cellStyle name="Normal 3 4 2 2 2 2 2 3" xfId="12909" xr:uid="{00000000-0005-0000-0000-00002E8C0000}"/>
    <cellStyle name="Normal 3 4 2 2 2 2 2 3 2" xfId="26477" xr:uid="{00000000-0005-0000-0000-00002F8C0000}"/>
    <cellStyle name="Normal 3 4 2 2 2 2 2 3 2 2" xfId="53610" xr:uid="{00000000-0005-0000-0000-0000308C0000}"/>
    <cellStyle name="Normal 3 4 2 2 2 2 2 3 3" xfId="40048" xr:uid="{00000000-0005-0000-0000-0000318C0000}"/>
    <cellStyle name="Normal 3 4 2 2 2 2 2 4" xfId="19696" xr:uid="{00000000-0005-0000-0000-0000328C0000}"/>
    <cellStyle name="Normal 3 4 2 2 2 2 2 4 2" xfId="46829" xr:uid="{00000000-0005-0000-0000-0000338C0000}"/>
    <cellStyle name="Normal 3 4 2 2 2 2 2 5" xfId="33267" xr:uid="{00000000-0005-0000-0000-0000348C0000}"/>
    <cellStyle name="Normal 3 4 2 2 2 2 3" xfId="5967" xr:uid="{00000000-0005-0000-0000-0000358C0000}"/>
    <cellStyle name="Normal 3 4 2 2 2 2 3 2" xfId="9510" xr:uid="{00000000-0005-0000-0000-0000368C0000}"/>
    <cellStyle name="Normal 3 4 2 2 2 2 3 2 2" xfId="16299" xr:uid="{00000000-0005-0000-0000-0000378C0000}"/>
    <cellStyle name="Normal 3 4 2 2 2 2 3 2 2 2" xfId="29867" xr:uid="{00000000-0005-0000-0000-0000388C0000}"/>
    <cellStyle name="Normal 3 4 2 2 2 2 3 2 2 2 2" xfId="57000" xr:uid="{00000000-0005-0000-0000-0000398C0000}"/>
    <cellStyle name="Normal 3 4 2 2 2 2 3 2 2 3" xfId="43438" xr:uid="{00000000-0005-0000-0000-00003A8C0000}"/>
    <cellStyle name="Normal 3 4 2 2 2 2 3 2 3" xfId="23086" xr:uid="{00000000-0005-0000-0000-00003B8C0000}"/>
    <cellStyle name="Normal 3 4 2 2 2 2 3 2 3 2" xfId="50219" xr:uid="{00000000-0005-0000-0000-00003C8C0000}"/>
    <cellStyle name="Normal 3 4 2 2 2 2 3 2 4" xfId="36657" xr:uid="{00000000-0005-0000-0000-00003D8C0000}"/>
    <cellStyle name="Normal 3 4 2 2 2 2 3 3" xfId="12910" xr:uid="{00000000-0005-0000-0000-00003E8C0000}"/>
    <cellStyle name="Normal 3 4 2 2 2 2 3 3 2" xfId="26478" xr:uid="{00000000-0005-0000-0000-00003F8C0000}"/>
    <cellStyle name="Normal 3 4 2 2 2 2 3 3 2 2" xfId="53611" xr:uid="{00000000-0005-0000-0000-0000408C0000}"/>
    <cellStyle name="Normal 3 4 2 2 2 2 3 3 3" xfId="40049" xr:uid="{00000000-0005-0000-0000-0000418C0000}"/>
    <cellStyle name="Normal 3 4 2 2 2 2 3 4" xfId="19697" xr:uid="{00000000-0005-0000-0000-0000428C0000}"/>
    <cellStyle name="Normal 3 4 2 2 2 2 3 4 2" xfId="46830" xr:uid="{00000000-0005-0000-0000-0000438C0000}"/>
    <cellStyle name="Normal 3 4 2 2 2 2 3 5" xfId="33268" xr:uid="{00000000-0005-0000-0000-0000448C0000}"/>
    <cellStyle name="Normal 3 4 2 2 2 2 4" xfId="9508" xr:uid="{00000000-0005-0000-0000-0000458C0000}"/>
    <cellStyle name="Normal 3 4 2 2 2 2 4 2" xfId="16297" xr:uid="{00000000-0005-0000-0000-0000468C0000}"/>
    <cellStyle name="Normal 3 4 2 2 2 2 4 2 2" xfId="29865" xr:uid="{00000000-0005-0000-0000-0000478C0000}"/>
    <cellStyle name="Normal 3 4 2 2 2 2 4 2 2 2" xfId="56998" xr:uid="{00000000-0005-0000-0000-0000488C0000}"/>
    <cellStyle name="Normal 3 4 2 2 2 2 4 2 3" xfId="43436" xr:uid="{00000000-0005-0000-0000-0000498C0000}"/>
    <cellStyle name="Normal 3 4 2 2 2 2 4 3" xfId="23084" xr:uid="{00000000-0005-0000-0000-00004A8C0000}"/>
    <cellStyle name="Normal 3 4 2 2 2 2 4 3 2" xfId="50217" xr:uid="{00000000-0005-0000-0000-00004B8C0000}"/>
    <cellStyle name="Normal 3 4 2 2 2 2 4 4" xfId="36655" xr:uid="{00000000-0005-0000-0000-00004C8C0000}"/>
    <cellStyle name="Normal 3 4 2 2 2 2 5" xfId="12908" xr:uid="{00000000-0005-0000-0000-00004D8C0000}"/>
    <cellStyle name="Normal 3 4 2 2 2 2 5 2" xfId="26476" xr:uid="{00000000-0005-0000-0000-00004E8C0000}"/>
    <cellStyle name="Normal 3 4 2 2 2 2 5 2 2" xfId="53609" xr:uid="{00000000-0005-0000-0000-00004F8C0000}"/>
    <cellStyle name="Normal 3 4 2 2 2 2 5 3" xfId="40047" xr:uid="{00000000-0005-0000-0000-0000508C0000}"/>
    <cellStyle name="Normal 3 4 2 2 2 2 6" xfId="19695" xr:uid="{00000000-0005-0000-0000-0000518C0000}"/>
    <cellStyle name="Normal 3 4 2 2 2 2 6 2" xfId="46828" xr:uid="{00000000-0005-0000-0000-0000528C0000}"/>
    <cellStyle name="Normal 3 4 2 2 2 2 7" xfId="33266" xr:uid="{00000000-0005-0000-0000-0000538C0000}"/>
    <cellStyle name="Normal 3 4 2 2 2 3" xfId="5968" xr:uid="{00000000-0005-0000-0000-0000548C0000}"/>
    <cellStyle name="Normal 3 4 2 2 2 3 2" xfId="5969" xr:uid="{00000000-0005-0000-0000-0000558C0000}"/>
    <cellStyle name="Normal 3 4 2 2 2 3 2 2" xfId="9512" xr:uid="{00000000-0005-0000-0000-0000568C0000}"/>
    <cellStyle name="Normal 3 4 2 2 2 3 2 2 2" xfId="16301" xr:uid="{00000000-0005-0000-0000-0000578C0000}"/>
    <cellStyle name="Normal 3 4 2 2 2 3 2 2 2 2" xfId="29869" xr:uid="{00000000-0005-0000-0000-0000588C0000}"/>
    <cellStyle name="Normal 3 4 2 2 2 3 2 2 2 2 2" xfId="57002" xr:uid="{00000000-0005-0000-0000-0000598C0000}"/>
    <cellStyle name="Normal 3 4 2 2 2 3 2 2 2 3" xfId="43440" xr:uid="{00000000-0005-0000-0000-00005A8C0000}"/>
    <cellStyle name="Normal 3 4 2 2 2 3 2 2 3" xfId="23088" xr:uid="{00000000-0005-0000-0000-00005B8C0000}"/>
    <cellStyle name="Normal 3 4 2 2 2 3 2 2 3 2" xfId="50221" xr:uid="{00000000-0005-0000-0000-00005C8C0000}"/>
    <cellStyle name="Normal 3 4 2 2 2 3 2 2 4" xfId="36659" xr:uid="{00000000-0005-0000-0000-00005D8C0000}"/>
    <cellStyle name="Normal 3 4 2 2 2 3 2 3" xfId="12912" xr:uid="{00000000-0005-0000-0000-00005E8C0000}"/>
    <cellStyle name="Normal 3 4 2 2 2 3 2 3 2" xfId="26480" xr:uid="{00000000-0005-0000-0000-00005F8C0000}"/>
    <cellStyle name="Normal 3 4 2 2 2 3 2 3 2 2" xfId="53613" xr:uid="{00000000-0005-0000-0000-0000608C0000}"/>
    <cellStyle name="Normal 3 4 2 2 2 3 2 3 3" xfId="40051" xr:uid="{00000000-0005-0000-0000-0000618C0000}"/>
    <cellStyle name="Normal 3 4 2 2 2 3 2 4" xfId="19699" xr:uid="{00000000-0005-0000-0000-0000628C0000}"/>
    <cellStyle name="Normal 3 4 2 2 2 3 2 4 2" xfId="46832" xr:uid="{00000000-0005-0000-0000-0000638C0000}"/>
    <cellStyle name="Normal 3 4 2 2 2 3 2 5" xfId="33270" xr:uid="{00000000-0005-0000-0000-0000648C0000}"/>
    <cellStyle name="Normal 3 4 2 2 2 3 3" xfId="9511" xr:uid="{00000000-0005-0000-0000-0000658C0000}"/>
    <cellStyle name="Normal 3 4 2 2 2 3 3 2" xfId="16300" xr:uid="{00000000-0005-0000-0000-0000668C0000}"/>
    <cellStyle name="Normal 3 4 2 2 2 3 3 2 2" xfId="29868" xr:uid="{00000000-0005-0000-0000-0000678C0000}"/>
    <cellStyle name="Normal 3 4 2 2 2 3 3 2 2 2" xfId="57001" xr:uid="{00000000-0005-0000-0000-0000688C0000}"/>
    <cellStyle name="Normal 3 4 2 2 2 3 3 2 3" xfId="43439" xr:uid="{00000000-0005-0000-0000-0000698C0000}"/>
    <cellStyle name="Normal 3 4 2 2 2 3 3 3" xfId="23087" xr:uid="{00000000-0005-0000-0000-00006A8C0000}"/>
    <cellStyle name="Normal 3 4 2 2 2 3 3 3 2" xfId="50220" xr:uid="{00000000-0005-0000-0000-00006B8C0000}"/>
    <cellStyle name="Normal 3 4 2 2 2 3 3 4" xfId="36658" xr:uid="{00000000-0005-0000-0000-00006C8C0000}"/>
    <cellStyle name="Normal 3 4 2 2 2 3 4" xfId="12911" xr:uid="{00000000-0005-0000-0000-00006D8C0000}"/>
    <cellStyle name="Normal 3 4 2 2 2 3 4 2" xfId="26479" xr:uid="{00000000-0005-0000-0000-00006E8C0000}"/>
    <cellStyle name="Normal 3 4 2 2 2 3 4 2 2" xfId="53612" xr:uid="{00000000-0005-0000-0000-00006F8C0000}"/>
    <cellStyle name="Normal 3 4 2 2 2 3 4 3" xfId="40050" xr:uid="{00000000-0005-0000-0000-0000708C0000}"/>
    <cellStyle name="Normal 3 4 2 2 2 3 5" xfId="19698" xr:uid="{00000000-0005-0000-0000-0000718C0000}"/>
    <cellStyle name="Normal 3 4 2 2 2 3 5 2" xfId="46831" xr:uid="{00000000-0005-0000-0000-0000728C0000}"/>
    <cellStyle name="Normal 3 4 2 2 2 3 6" xfId="33269" xr:uid="{00000000-0005-0000-0000-0000738C0000}"/>
    <cellStyle name="Normal 3 4 2 2 2 4" xfId="5970" xr:uid="{00000000-0005-0000-0000-0000748C0000}"/>
    <cellStyle name="Normal 3 4 2 2 2 4 2" xfId="9513" xr:uid="{00000000-0005-0000-0000-0000758C0000}"/>
    <cellStyle name="Normal 3 4 2 2 2 4 2 2" xfId="16302" xr:uid="{00000000-0005-0000-0000-0000768C0000}"/>
    <cellStyle name="Normal 3 4 2 2 2 4 2 2 2" xfId="29870" xr:uid="{00000000-0005-0000-0000-0000778C0000}"/>
    <cellStyle name="Normal 3 4 2 2 2 4 2 2 2 2" xfId="57003" xr:uid="{00000000-0005-0000-0000-0000788C0000}"/>
    <cellStyle name="Normal 3 4 2 2 2 4 2 2 3" xfId="43441" xr:uid="{00000000-0005-0000-0000-0000798C0000}"/>
    <cellStyle name="Normal 3 4 2 2 2 4 2 3" xfId="23089" xr:uid="{00000000-0005-0000-0000-00007A8C0000}"/>
    <cellStyle name="Normal 3 4 2 2 2 4 2 3 2" xfId="50222" xr:uid="{00000000-0005-0000-0000-00007B8C0000}"/>
    <cellStyle name="Normal 3 4 2 2 2 4 2 4" xfId="36660" xr:uid="{00000000-0005-0000-0000-00007C8C0000}"/>
    <cellStyle name="Normal 3 4 2 2 2 4 3" xfId="12913" xr:uid="{00000000-0005-0000-0000-00007D8C0000}"/>
    <cellStyle name="Normal 3 4 2 2 2 4 3 2" xfId="26481" xr:uid="{00000000-0005-0000-0000-00007E8C0000}"/>
    <cellStyle name="Normal 3 4 2 2 2 4 3 2 2" xfId="53614" xr:uid="{00000000-0005-0000-0000-00007F8C0000}"/>
    <cellStyle name="Normal 3 4 2 2 2 4 3 3" xfId="40052" xr:uid="{00000000-0005-0000-0000-0000808C0000}"/>
    <cellStyle name="Normal 3 4 2 2 2 4 4" xfId="19700" xr:uid="{00000000-0005-0000-0000-0000818C0000}"/>
    <cellStyle name="Normal 3 4 2 2 2 4 4 2" xfId="46833" xr:uid="{00000000-0005-0000-0000-0000828C0000}"/>
    <cellStyle name="Normal 3 4 2 2 2 4 5" xfId="33271" xr:uid="{00000000-0005-0000-0000-0000838C0000}"/>
    <cellStyle name="Normal 3 4 2 2 2 5" xfId="5971" xr:uid="{00000000-0005-0000-0000-0000848C0000}"/>
    <cellStyle name="Normal 3 4 2 2 2 5 2" xfId="9514" xr:uid="{00000000-0005-0000-0000-0000858C0000}"/>
    <cellStyle name="Normal 3 4 2 2 2 5 2 2" xfId="16303" xr:uid="{00000000-0005-0000-0000-0000868C0000}"/>
    <cellStyle name="Normal 3 4 2 2 2 5 2 2 2" xfId="29871" xr:uid="{00000000-0005-0000-0000-0000878C0000}"/>
    <cellStyle name="Normal 3 4 2 2 2 5 2 2 2 2" xfId="57004" xr:uid="{00000000-0005-0000-0000-0000888C0000}"/>
    <cellStyle name="Normal 3 4 2 2 2 5 2 2 3" xfId="43442" xr:uid="{00000000-0005-0000-0000-0000898C0000}"/>
    <cellStyle name="Normal 3 4 2 2 2 5 2 3" xfId="23090" xr:uid="{00000000-0005-0000-0000-00008A8C0000}"/>
    <cellStyle name="Normal 3 4 2 2 2 5 2 3 2" xfId="50223" xr:uid="{00000000-0005-0000-0000-00008B8C0000}"/>
    <cellStyle name="Normal 3 4 2 2 2 5 2 4" xfId="36661" xr:uid="{00000000-0005-0000-0000-00008C8C0000}"/>
    <cellStyle name="Normal 3 4 2 2 2 5 3" xfId="12914" xr:uid="{00000000-0005-0000-0000-00008D8C0000}"/>
    <cellStyle name="Normal 3 4 2 2 2 5 3 2" xfId="26482" xr:uid="{00000000-0005-0000-0000-00008E8C0000}"/>
    <cellStyle name="Normal 3 4 2 2 2 5 3 2 2" xfId="53615" xr:uid="{00000000-0005-0000-0000-00008F8C0000}"/>
    <cellStyle name="Normal 3 4 2 2 2 5 3 3" xfId="40053" xr:uid="{00000000-0005-0000-0000-0000908C0000}"/>
    <cellStyle name="Normal 3 4 2 2 2 5 4" xfId="19701" xr:uid="{00000000-0005-0000-0000-0000918C0000}"/>
    <cellStyle name="Normal 3 4 2 2 2 5 4 2" xfId="46834" xr:uid="{00000000-0005-0000-0000-0000928C0000}"/>
    <cellStyle name="Normal 3 4 2 2 2 5 5" xfId="33272" xr:uid="{00000000-0005-0000-0000-0000938C0000}"/>
    <cellStyle name="Normal 3 4 2 2 2 6" xfId="9507" xr:uid="{00000000-0005-0000-0000-0000948C0000}"/>
    <cellStyle name="Normal 3 4 2 2 2 6 2" xfId="16296" xr:uid="{00000000-0005-0000-0000-0000958C0000}"/>
    <cellStyle name="Normal 3 4 2 2 2 6 2 2" xfId="29864" xr:uid="{00000000-0005-0000-0000-0000968C0000}"/>
    <cellStyle name="Normal 3 4 2 2 2 6 2 2 2" xfId="56997" xr:uid="{00000000-0005-0000-0000-0000978C0000}"/>
    <cellStyle name="Normal 3 4 2 2 2 6 2 3" xfId="43435" xr:uid="{00000000-0005-0000-0000-0000988C0000}"/>
    <cellStyle name="Normal 3 4 2 2 2 6 3" xfId="23083" xr:uid="{00000000-0005-0000-0000-0000998C0000}"/>
    <cellStyle name="Normal 3 4 2 2 2 6 3 2" xfId="50216" xr:uid="{00000000-0005-0000-0000-00009A8C0000}"/>
    <cellStyle name="Normal 3 4 2 2 2 6 4" xfId="36654" xr:uid="{00000000-0005-0000-0000-00009B8C0000}"/>
    <cellStyle name="Normal 3 4 2 2 2 7" xfId="12907" xr:uid="{00000000-0005-0000-0000-00009C8C0000}"/>
    <cellStyle name="Normal 3 4 2 2 2 7 2" xfId="26475" xr:uid="{00000000-0005-0000-0000-00009D8C0000}"/>
    <cellStyle name="Normal 3 4 2 2 2 7 2 2" xfId="53608" xr:uid="{00000000-0005-0000-0000-00009E8C0000}"/>
    <cellStyle name="Normal 3 4 2 2 2 7 3" xfId="40046" xr:uid="{00000000-0005-0000-0000-00009F8C0000}"/>
    <cellStyle name="Normal 3 4 2 2 2 8" xfId="19694" xr:uid="{00000000-0005-0000-0000-0000A08C0000}"/>
    <cellStyle name="Normal 3 4 2 2 2 8 2" xfId="46827" xr:uid="{00000000-0005-0000-0000-0000A18C0000}"/>
    <cellStyle name="Normal 3 4 2 2 2 9" xfId="33265" xr:uid="{00000000-0005-0000-0000-0000A28C0000}"/>
    <cellStyle name="Normal 3 4 2 2 3" xfId="5972" xr:uid="{00000000-0005-0000-0000-0000A38C0000}"/>
    <cellStyle name="Normal 3 4 2 2 3 2" xfId="5973" xr:uid="{00000000-0005-0000-0000-0000A48C0000}"/>
    <cellStyle name="Normal 3 4 2 2 3 2 2" xfId="9516" xr:uid="{00000000-0005-0000-0000-0000A58C0000}"/>
    <cellStyle name="Normal 3 4 2 2 3 2 2 2" xfId="16305" xr:uid="{00000000-0005-0000-0000-0000A68C0000}"/>
    <cellStyle name="Normal 3 4 2 2 3 2 2 2 2" xfId="29873" xr:uid="{00000000-0005-0000-0000-0000A78C0000}"/>
    <cellStyle name="Normal 3 4 2 2 3 2 2 2 2 2" xfId="57006" xr:uid="{00000000-0005-0000-0000-0000A88C0000}"/>
    <cellStyle name="Normal 3 4 2 2 3 2 2 2 3" xfId="43444" xr:uid="{00000000-0005-0000-0000-0000A98C0000}"/>
    <cellStyle name="Normal 3 4 2 2 3 2 2 3" xfId="23092" xr:uid="{00000000-0005-0000-0000-0000AA8C0000}"/>
    <cellStyle name="Normal 3 4 2 2 3 2 2 3 2" xfId="50225" xr:uid="{00000000-0005-0000-0000-0000AB8C0000}"/>
    <cellStyle name="Normal 3 4 2 2 3 2 2 4" xfId="36663" xr:uid="{00000000-0005-0000-0000-0000AC8C0000}"/>
    <cellStyle name="Normal 3 4 2 2 3 2 3" xfId="12916" xr:uid="{00000000-0005-0000-0000-0000AD8C0000}"/>
    <cellStyle name="Normal 3 4 2 2 3 2 3 2" xfId="26484" xr:uid="{00000000-0005-0000-0000-0000AE8C0000}"/>
    <cellStyle name="Normal 3 4 2 2 3 2 3 2 2" xfId="53617" xr:uid="{00000000-0005-0000-0000-0000AF8C0000}"/>
    <cellStyle name="Normal 3 4 2 2 3 2 3 3" xfId="40055" xr:uid="{00000000-0005-0000-0000-0000B08C0000}"/>
    <cellStyle name="Normal 3 4 2 2 3 2 4" xfId="19703" xr:uid="{00000000-0005-0000-0000-0000B18C0000}"/>
    <cellStyle name="Normal 3 4 2 2 3 2 4 2" xfId="46836" xr:uid="{00000000-0005-0000-0000-0000B28C0000}"/>
    <cellStyle name="Normal 3 4 2 2 3 2 5" xfId="33274" xr:uid="{00000000-0005-0000-0000-0000B38C0000}"/>
    <cellStyle name="Normal 3 4 2 2 3 3" xfId="5974" xr:uid="{00000000-0005-0000-0000-0000B48C0000}"/>
    <cellStyle name="Normal 3 4 2 2 3 3 2" xfId="9517" xr:uid="{00000000-0005-0000-0000-0000B58C0000}"/>
    <cellStyle name="Normal 3 4 2 2 3 3 2 2" xfId="16306" xr:uid="{00000000-0005-0000-0000-0000B68C0000}"/>
    <cellStyle name="Normal 3 4 2 2 3 3 2 2 2" xfId="29874" xr:uid="{00000000-0005-0000-0000-0000B78C0000}"/>
    <cellStyle name="Normal 3 4 2 2 3 3 2 2 2 2" xfId="57007" xr:uid="{00000000-0005-0000-0000-0000B88C0000}"/>
    <cellStyle name="Normal 3 4 2 2 3 3 2 2 3" xfId="43445" xr:uid="{00000000-0005-0000-0000-0000B98C0000}"/>
    <cellStyle name="Normal 3 4 2 2 3 3 2 3" xfId="23093" xr:uid="{00000000-0005-0000-0000-0000BA8C0000}"/>
    <cellStyle name="Normal 3 4 2 2 3 3 2 3 2" xfId="50226" xr:uid="{00000000-0005-0000-0000-0000BB8C0000}"/>
    <cellStyle name="Normal 3 4 2 2 3 3 2 4" xfId="36664" xr:uid="{00000000-0005-0000-0000-0000BC8C0000}"/>
    <cellStyle name="Normal 3 4 2 2 3 3 3" xfId="12917" xr:uid="{00000000-0005-0000-0000-0000BD8C0000}"/>
    <cellStyle name="Normal 3 4 2 2 3 3 3 2" xfId="26485" xr:uid="{00000000-0005-0000-0000-0000BE8C0000}"/>
    <cellStyle name="Normal 3 4 2 2 3 3 3 2 2" xfId="53618" xr:uid="{00000000-0005-0000-0000-0000BF8C0000}"/>
    <cellStyle name="Normal 3 4 2 2 3 3 3 3" xfId="40056" xr:uid="{00000000-0005-0000-0000-0000C08C0000}"/>
    <cellStyle name="Normal 3 4 2 2 3 3 4" xfId="19704" xr:uid="{00000000-0005-0000-0000-0000C18C0000}"/>
    <cellStyle name="Normal 3 4 2 2 3 3 4 2" xfId="46837" xr:uid="{00000000-0005-0000-0000-0000C28C0000}"/>
    <cellStyle name="Normal 3 4 2 2 3 3 5" xfId="33275" xr:uid="{00000000-0005-0000-0000-0000C38C0000}"/>
    <cellStyle name="Normal 3 4 2 2 3 4" xfId="9515" xr:uid="{00000000-0005-0000-0000-0000C48C0000}"/>
    <cellStyle name="Normal 3 4 2 2 3 4 2" xfId="16304" xr:uid="{00000000-0005-0000-0000-0000C58C0000}"/>
    <cellStyle name="Normal 3 4 2 2 3 4 2 2" xfId="29872" xr:uid="{00000000-0005-0000-0000-0000C68C0000}"/>
    <cellStyle name="Normal 3 4 2 2 3 4 2 2 2" xfId="57005" xr:uid="{00000000-0005-0000-0000-0000C78C0000}"/>
    <cellStyle name="Normal 3 4 2 2 3 4 2 3" xfId="43443" xr:uid="{00000000-0005-0000-0000-0000C88C0000}"/>
    <cellStyle name="Normal 3 4 2 2 3 4 3" xfId="23091" xr:uid="{00000000-0005-0000-0000-0000C98C0000}"/>
    <cellStyle name="Normal 3 4 2 2 3 4 3 2" xfId="50224" xr:uid="{00000000-0005-0000-0000-0000CA8C0000}"/>
    <cellStyle name="Normal 3 4 2 2 3 4 4" xfId="36662" xr:uid="{00000000-0005-0000-0000-0000CB8C0000}"/>
    <cellStyle name="Normal 3 4 2 2 3 5" xfId="12915" xr:uid="{00000000-0005-0000-0000-0000CC8C0000}"/>
    <cellStyle name="Normal 3 4 2 2 3 5 2" xfId="26483" xr:uid="{00000000-0005-0000-0000-0000CD8C0000}"/>
    <cellStyle name="Normal 3 4 2 2 3 5 2 2" xfId="53616" xr:uid="{00000000-0005-0000-0000-0000CE8C0000}"/>
    <cellStyle name="Normal 3 4 2 2 3 5 3" xfId="40054" xr:uid="{00000000-0005-0000-0000-0000CF8C0000}"/>
    <cellStyle name="Normal 3 4 2 2 3 6" xfId="19702" xr:uid="{00000000-0005-0000-0000-0000D08C0000}"/>
    <cellStyle name="Normal 3 4 2 2 3 6 2" xfId="46835" xr:uid="{00000000-0005-0000-0000-0000D18C0000}"/>
    <cellStyle name="Normal 3 4 2 2 3 7" xfId="33273" xr:uid="{00000000-0005-0000-0000-0000D28C0000}"/>
    <cellStyle name="Normal 3 4 2 2 4" xfId="5975" xr:uid="{00000000-0005-0000-0000-0000D38C0000}"/>
    <cellStyle name="Normal 3 4 2 2 4 2" xfId="5976" xr:uid="{00000000-0005-0000-0000-0000D48C0000}"/>
    <cellStyle name="Normal 3 4 2 2 4 2 2" xfId="9519" xr:uid="{00000000-0005-0000-0000-0000D58C0000}"/>
    <cellStyle name="Normal 3 4 2 2 4 2 2 2" xfId="16308" xr:uid="{00000000-0005-0000-0000-0000D68C0000}"/>
    <cellStyle name="Normal 3 4 2 2 4 2 2 2 2" xfId="29876" xr:uid="{00000000-0005-0000-0000-0000D78C0000}"/>
    <cellStyle name="Normal 3 4 2 2 4 2 2 2 2 2" xfId="57009" xr:uid="{00000000-0005-0000-0000-0000D88C0000}"/>
    <cellStyle name="Normal 3 4 2 2 4 2 2 2 3" xfId="43447" xr:uid="{00000000-0005-0000-0000-0000D98C0000}"/>
    <cellStyle name="Normal 3 4 2 2 4 2 2 3" xfId="23095" xr:uid="{00000000-0005-0000-0000-0000DA8C0000}"/>
    <cellStyle name="Normal 3 4 2 2 4 2 2 3 2" xfId="50228" xr:uid="{00000000-0005-0000-0000-0000DB8C0000}"/>
    <cellStyle name="Normal 3 4 2 2 4 2 2 4" xfId="36666" xr:uid="{00000000-0005-0000-0000-0000DC8C0000}"/>
    <cellStyle name="Normal 3 4 2 2 4 2 3" xfId="12919" xr:uid="{00000000-0005-0000-0000-0000DD8C0000}"/>
    <cellStyle name="Normal 3 4 2 2 4 2 3 2" xfId="26487" xr:uid="{00000000-0005-0000-0000-0000DE8C0000}"/>
    <cellStyle name="Normal 3 4 2 2 4 2 3 2 2" xfId="53620" xr:uid="{00000000-0005-0000-0000-0000DF8C0000}"/>
    <cellStyle name="Normal 3 4 2 2 4 2 3 3" xfId="40058" xr:uid="{00000000-0005-0000-0000-0000E08C0000}"/>
    <cellStyle name="Normal 3 4 2 2 4 2 4" xfId="19706" xr:uid="{00000000-0005-0000-0000-0000E18C0000}"/>
    <cellStyle name="Normal 3 4 2 2 4 2 4 2" xfId="46839" xr:uid="{00000000-0005-0000-0000-0000E28C0000}"/>
    <cellStyle name="Normal 3 4 2 2 4 2 5" xfId="33277" xr:uid="{00000000-0005-0000-0000-0000E38C0000}"/>
    <cellStyle name="Normal 3 4 2 2 4 3" xfId="9518" xr:uid="{00000000-0005-0000-0000-0000E48C0000}"/>
    <cellStyle name="Normal 3 4 2 2 4 3 2" xfId="16307" xr:uid="{00000000-0005-0000-0000-0000E58C0000}"/>
    <cellStyle name="Normal 3 4 2 2 4 3 2 2" xfId="29875" xr:uid="{00000000-0005-0000-0000-0000E68C0000}"/>
    <cellStyle name="Normal 3 4 2 2 4 3 2 2 2" xfId="57008" xr:uid="{00000000-0005-0000-0000-0000E78C0000}"/>
    <cellStyle name="Normal 3 4 2 2 4 3 2 3" xfId="43446" xr:uid="{00000000-0005-0000-0000-0000E88C0000}"/>
    <cellStyle name="Normal 3 4 2 2 4 3 3" xfId="23094" xr:uid="{00000000-0005-0000-0000-0000E98C0000}"/>
    <cellStyle name="Normal 3 4 2 2 4 3 3 2" xfId="50227" xr:uid="{00000000-0005-0000-0000-0000EA8C0000}"/>
    <cellStyle name="Normal 3 4 2 2 4 3 4" xfId="36665" xr:uid="{00000000-0005-0000-0000-0000EB8C0000}"/>
    <cellStyle name="Normal 3 4 2 2 4 4" xfId="12918" xr:uid="{00000000-0005-0000-0000-0000EC8C0000}"/>
    <cellStyle name="Normal 3 4 2 2 4 4 2" xfId="26486" xr:uid="{00000000-0005-0000-0000-0000ED8C0000}"/>
    <cellStyle name="Normal 3 4 2 2 4 4 2 2" xfId="53619" xr:uid="{00000000-0005-0000-0000-0000EE8C0000}"/>
    <cellStyle name="Normal 3 4 2 2 4 4 3" xfId="40057" xr:uid="{00000000-0005-0000-0000-0000EF8C0000}"/>
    <cellStyle name="Normal 3 4 2 2 4 5" xfId="19705" xr:uid="{00000000-0005-0000-0000-0000F08C0000}"/>
    <cellStyle name="Normal 3 4 2 2 4 5 2" xfId="46838" xr:uid="{00000000-0005-0000-0000-0000F18C0000}"/>
    <cellStyle name="Normal 3 4 2 2 4 6" xfId="33276" xr:uid="{00000000-0005-0000-0000-0000F28C0000}"/>
    <cellStyle name="Normal 3 4 2 2 5" xfId="5977" xr:uid="{00000000-0005-0000-0000-0000F38C0000}"/>
    <cellStyle name="Normal 3 4 2 2 5 2" xfId="9520" xr:uid="{00000000-0005-0000-0000-0000F48C0000}"/>
    <cellStyle name="Normal 3 4 2 2 5 2 2" xfId="16309" xr:uid="{00000000-0005-0000-0000-0000F58C0000}"/>
    <cellStyle name="Normal 3 4 2 2 5 2 2 2" xfId="29877" xr:uid="{00000000-0005-0000-0000-0000F68C0000}"/>
    <cellStyle name="Normal 3 4 2 2 5 2 2 2 2" xfId="57010" xr:uid="{00000000-0005-0000-0000-0000F78C0000}"/>
    <cellStyle name="Normal 3 4 2 2 5 2 2 3" xfId="43448" xr:uid="{00000000-0005-0000-0000-0000F88C0000}"/>
    <cellStyle name="Normal 3 4 2 2 5 2 3" xfId="23096" xr:uid="{00000000-0005-0000-0000-0000F98C0000}"/>
    <cellStyle name="Normal 3 4 2 2 5 2 3 2" xfId="50229" xr:uid="{00000000-0005-0000-0000-0000FA8C0000}"/>
    <cellStyle name="Normal 3 4 2 2 5 2 4" xfId="36667" xr:uid="{00000000-0005-0000-0000-0000FB8C0000}"/>
    <cellStyle name="Normal 3 4 2 2 5 3" xfId="12920" xr:uid="{00000000-0005-0000-0000-0000FC8C0000}"/>
    <cellStyle name="Normal 3 4 2 2 5 3 2" xfId="26488" xr:uid="{00000000-0005-0000-0000-0000FD8C0000}"/>
    <cellStyle name="Normal 3 4 2 2 5 3 2 2" xfId="53621" xr:uid="{00000000-0005-0000-0000-0000FE8C0000}"/>
    <cellStyle name="Normal 3 4 2 2 5 3 3" xfId="40059" xr:uid="{00000000-0005-0000-0000-0000FF8C0000}"/>
    <cellStyle name="Normal 3 4 2 2 5 4" xfId="19707" xr:uid="{00000000-0005-0000-0000-0000008D0000}"/>
    <cellStyle name="Normal 3 4 2 2 5 4 2" xfId="46840" xr:uid="{00000000-0005-0000-0000-0000018D0000}"/>
    <cellStyle name="Normal 3 4 2 2 5 5" xfId="33278" xr:uid="{00000000-0005-0000-0000-0000028D0000}"/>
    <cellStyle name="Normal 3 4 2 2 6" xfId="5978" xr:uid="{00000000-0005-0000-0000-0000038D0000}"/>
    <cellStyle name="Normal 3 4 2 2 6 2" xfId="9521" xr:uid="{00000000-0005-0000-0000-0000048D0000}"/>
    <cellStyle name="Normal 3 4 2 2 6 2 2" xfId="16310" xr:uid="{00000000-0005-0000-0000-0000058D0000}"/>
    <cellStyle name="Normal 3 4 2 2 6 2 2 2" xfId="29878" xr:uid="{00000000-0005-0000-0000-0000068D0000}"/>
    <cellStyle name="Normal 3 4 2 2 6 2 2 2 2" xfId="57011" xr:uid="{00000000-0005-0000-0000-0000078D0000}"/>
    <cellStyle name="Normal 3 4 2 2 6 2 2 3" xfId="43449" xr:uid="{00000000-0005-0000-0000-0000088D0000}"/>
    <cellStyle name="Normal 3 4 2 2 6 2 3" xfId="23097" xr:uid="{00000000-0005-0000-0000-0000098D0000}"/>
    <cellStyle name="Normal 3 4 2 2 6 2 3 2" xfId="50230" xr:uid="{00000000-0005-0000-0000-00000A8D0000}"/>
    <cellStyle name="Normal 3 4 2 2 6 2 4" xfId="36668" xr:uid="{00000000-0005-0000-0000-00000B8D0000}"/>
    <cellStyle name="Normal 3 4 2 2 6 3" xfId="12921" xr:uid="{00000000-0005-0000-0000-00000C8D0000}"/>
    <cellStyle name="Normal 3 4 2 2 6 3 2" xfId="26489" xr:uid="{00000000-0005-0000-0000-00000D8D0000}"/>
    <cellStyle name="Normal 3 4 2 2 6 3 2 2" xfId="53622" xr:uid="{00000000-0005-0000-0000-00000E8D0000}"/>
    <cellStyle name="Normal 3 4 2 2 6 3 3" xfId="40060" xr:uid="{00000000-0005-0000-0000-00000F8D0000}"/>
    <cellStyle name="Normal 3 4 2 2 6 4" xfId="19708" xr:uid="{00000000-0005-0000-0000-0000108D0000}"/>
    <cellStyle name="Normal 3 4 2 2 6 4 2" xfId="46841" xr:uid="{00000000-0005-0000-0000-0000118D0000}"/>
    <cellStyle name="Normal 3 4 2 2 6 5" xfId="33279" xr:uid="{00000000-0005-0000-0000-0000128D0000}"/>
    <cellStyle name="Normal 3 4 2 2 7" xfId="7513" xr:uid="{00000000-0005-0000-0000-0000138D0000}"/>
    <cellStyle name="Normal 3 4 2 2 7 2" xfId="14302" xr:uid="{00000000-0005-0000-0000-0000148D0000}"/>
    <cellStyle name="Normal 3 4 2 2 7 2 2" xfId="27870" xr:uid="{00000000-0005-0000-0000-0000158D0000}"/>
    <cellStyle name="Normal 3 4 2 2 7 2 2 2" xfId="55003" xr:uid="{00000000-0005-0000-0000-0000168D0000}"/>
    <cellStyle name="Normal 3 4 2 2 7 2 3" xfId="41441" xr:uid="{00000000-0005-0000-0000-0000178D0000}"/>
    <cellStyle name="Normal 3 4 2 2 7 3" xfId="21089" xr:uid="{00000000-0005-0000-0000-0000188D0000}"/>
    <cellStyle name="Normal 3 4 2 2 7 3 2" xfId="48222" xr:uid="{00000000-0005-0000-0000-0000198D0000}"/>
    <cellStyle name="Normal 3 4 2 2 7 4" xfId="34660" xr:uid="{00000000-0005-0000-0000-00001A8D0000}"/>
    <cellStyle name="Normal 3 4 2 2 8" xfId="10913" xr:uid="{00000000-0005-0000-0000-00001B8D0000}"/>
    <cellStyle name="Normal 3 4 2 2 8 2" xfId="24481" xr:uid="{00000000-0005-0000-0000-00001C8D0000}"/>
    <cellStyle name="Normal 3 4 2 2 8 2 2" xfId="51614" xr:uid="{00000000-0005-0000-0000-00001D8D0000}"/>
    <cellStyle name="Normal 3 4 2 2 8 3" xfId="38052" xr:uid="{00000000-0005-0000-0000-00001E8D0000}"/>
    <cellStyle name="Normal 3 4 2 2 9" xfId="17700" xr:uid="{00000000-0005-0000-0000-00001F8D0000}"/>
    <cellStyle name="Normal 3 4 2 2 9 2" xfId="44833" xr:uid="{00000000-0005-0000-0000-0000208D0000}"/>
    <cellStyle name="Normal 3 4 2 3" xfId="5979" xr:uid="{00000000-0005-0000-0000-0000218D0000}"/>
    <cellStyle name="Normal 3 4 2 3 2" xfId="5980" xr:uid="{00000000-0005-0000-0000-0000228D0000}"/>
    <cellStyle name="Normal 3 4 2 3 2 2" xfId="5981" xr:uid="{00000000-0005-0000-0000-0000238D0000}"/>
    <cellStyle name="Normal 3 4 2 3 2 2 2" xfId="9524" xr:uid="{00000000-0005-0000-0000-0000248D0000}"/>
    <cellStyle name="Normal 3 4 2 3 2 2 2 2" xfId="16313" xr:uid="{00000000-0005-0000-0000-0000258D0000}"/>
    <cellStyle name="Normal 3 4 2 3 2 2 2 2 2" xfId="29881" xr:uid="{00000000-0005-0000-0000-0000268D0000}"/>
    <cellStyle name="Normal 3 4 2 3 2 2 2 2 2 2" xfId="57014" xr:uid="{00000000-0005-0000-0000-0000278D0000}"/>
    <cellStyle name="Normal 3 4 2 3 2 2 2 2 3" xfId="43452" xr:uid="{00000000-0005-0000-0000-0000288D0000}"/>
    <cellStyle name="Normal 3 4 2 3 2 2 2 3" xfId="23100" xr:uid="{00000000-0005-0000-0000-0000298D0000}"/>
    <cellStyle name="Normal 3 4 2 3 2 2 2 3 2" xfId="50233" xr:uid="{00000000-0005-0000-0000-00002A8D0000}"/>
    <cellStyle name="Normal 3 4 2 3 2 2 2 4" xfId="36671" xr:uid="{00000000-0005-0000-0000-00002B8D0000}"/>
    <cellStyle name="Normal 3 4 2 3 2 2 3" xfId="12924" xr:uid="{00000000-0005-0000-0000-00002C8D0000}"/>
    <cellStyle name="Normal 3 4 2 3 2 2 3 2" xfId="26492" xr:uid="{00000000-0005-0000-0000-00002D8D0000}"/>
    <cellStyle name="Normal 3 4 2 3 2 2 3 2 2" xfId="53625" xr:uid="{00000000-0005-0000-0000-00002E8D0000}"/>
    <cellStyle name="Normal 3 4 2 3 2 2 3 3" xfId="40063" xr:uid="{00000000-0005-0000-0000-00002F8D0000}"/>
    <cellStyle name="Normal 3 4 2 3 2 2 4" xfId="19711" xr:uid="{00000000-0005-0000-0000-0000308D0000}"/>
    <cellStyle name="Normal 3 4 2 3 2 2 4 2" xfId="46844" xr:uid="{00000000-0005-0000-0000-0000318D0000}"/>
    <cellStyle name="Normal 3 4 2 3 2 2 5" xfId="33282" xr:uid="{00000000-0005-0000-0000-0000328D0000}"/>
    <cellStyle name="Normal 3 4 2 3 2 3" xfId="5982" xr:uid="{00000000-0005-0000-0000-0000338D0000}"/>
    <cellStyle name="Normal 3 4 2 3 2 3 2" xfId="9525" xr:uid="{00000000-0005-0000-0000-0000348D0000}"/>
    <cellStyle name="Normal 3 4 2 3 2 3 2 2" xfId="16314" xr:uid="{00000000-0005-0000-0000-0000358D0000}"/>
    <cellStyle name="Normal 3 4 2 3 2 3 2 2 2" xfId="29882" xr:uid="{00000000-0005-0000-0000-0000368D0000}"/>
    <cellStyle name="Normal 3 4 2 3 2 3 2 2 2 2" xfId="57015" xr:uid="{00000000-0005-0000-0000-0000378D0000}"/>
    <cellStyle name="Normal 3 4 2 3 2 3 2 2 3" xfId="43453" xr:uid="{00000000-0005-0000-0000-0000388D0000}"/>
    <cellStyle name="Normal 3 4 2 3 2 3 2 3" xfId="23101" xr:uid="{00000000-0005-0000-0000-0000398D0000}"/>
    <cellStyle name="Normal 3 4 2 3 2 3 2 3 2" xfId="50234" xr:uid="{00000000-0005-0000-0000-00003A8D0000}"/>
    <cellStyle name="Normal 3 4 2 3 2 3 2 4" xfId="36672" xr:uid="{00000000-0005-0000-0000-00003B8D0000}"/>
    <cellStyle name="Normal 3 4 2 3 2 3 3" xfId="12925" xr:uid="{00000000-0005-0000-0000-00003C8D0000}"/>
    <cellStyle name="Normal 3 4 2 3 2 3 3 2" xfId="26493" xr:uid="{00000000-0005-0000-0000-00003D8D0000}"/>
    <cellStyle name="Normal 3 4 2 3 2 3 3 2 2" xfId="53626" xr:uid="{00000000-0005-0000-0000-00003E8D0000}"/>
    <cellStyle name="Normal 3 4 2 3 2 3 3 3" xfId="40064" xr:uid="{00000000-0005-0000-0000-00003F8D0000}"/>
    <cellStyle name="Normal 3 4 2 3 2 3 4" xfId="19712" xr:uid="{00000000-0005-0000-0000-0000408D0000}"/>
    <cellStyle name="Normal 3 4 2 3 2 3 4 2" xfId="46845" xr:uid="{00000000-0005-0000-0000-0000418D0000}"/>
    <cellStyle name="Normal 3 4 2 3 2 3 5" xfId="33283" xr:uid="{00000000-0005-0000-0000-0000428D0000}"/>
    <cellStyle name="Normal 3 4 2 3 2 4" xfId="9523" xr:uid="{00000000-0005-0000-0000-0000438D0000}"/>
    <cellStyle name="Normal 3 4 2 3 2 4 2" xfId="16312" xr:uid="{00000000-0005-0000-0000-0000448D0000}"/>
    <cellStyle name="Normal 3 4 2 3 2 4 2 2" xfId="29880" xr:uid="{00000000-0005-0000-0000-0000458D0000}"/>
    <cellStyle name="Normal 3 4 2 3 2 4 2 2 2" xfId="57013" xr:uid="{00000000-0005-0000-0000-0000468D0000}"/>
    <cellStyle name="Normal 3 4 2 3 2 4 2 3" xfId="43451" xr:uid="{00000000-0005-0000-0000-0000478D0000}"/>
    <cellStyle name="Normal 3 4 2 3 2 4 3" xfId="23099" xr:uid="{00000000-0005-0000-0000-0000488D0000}"/>
    <cellStyle name="Normal 3 4 2 3 2 4 3 2" xfId="50232" xr:uid="{00000000-0005-0000-0000-0000498D0000}"/>
    <cellStyle name="Normal 3 4 2 3 2 4 4" xfId="36670" xr:uid="{00000000-0005-0000-0000-00004A8D0000}"/>
    <cellStyle name="Normal 3 4 2 3 2 5" xfId="12923" xr:uid="{00000000-0005-0000-0000-00004B8D0000}"/>
    <cellStyle name="Normal 3 4 2 3 2 5 2" xfId="26491" xr:uid="{00000000-0005-0000-0000-00004C8D0000}"/>
    <cellStyle name="Normal 3 4 2 3 2 5 2 2" xfId="53624" xr:uid="{00000000-0005-0000-0000-00004D8D0000}"/>
    <cellStyle name="Normal 3 4 2 3 2 5 3" xfId="40062" xr:uid="{00000000-0005-0000-0000-00004E8D0000}"/>
    <cellStyle name="Normal 3 4 2 3 2 6" xfId="19710" xr:uid="{00000000-0005-0000-0000-00004F8D0000}"/>
    <cellStyle name="Normal 3 4 2 3 2 6 2" xfId="46843" xr:uid="{00000000-0005-0000-0000-0000508D0000}"/>
    <cellStyle name="Normal 3 4 2 3 2 7" xfId="33281" xr:uid="{00000000-0005-0000-0000-0000518D0000}"/>
    <cellStyle name="Normal 3 4 2 3 3" xfId="5983" xr:uid="{00000000-0005-0000-0000-0000528D0000}"/>
    <cellStyle name="Normal 3 4 2 3 3 2" xfId="5984" xr:uid="{00000000-0005-0000-0000-0000538D0000}"/>
    <cellStyle name="Normal 3 4 2 3 3 2 2" xfId="9527" xr:uid="{00000000-0005-0000-0000-0000548D0000}"/>
    <cellStyle name="Normal 3 4 2 3 3 2 2 2" xfId="16316" xr:uid="{00000000-0005-0000-0000-0000558D0000}"/>
    <cellStyle name="Normal 3 4 2 3 3 2 2 2 2" xfId="29884" xr:uid="{00000000-0005-0000-0000-0000568D0000}"/>
    <cellStyle name="Normal 3 4 2 3 3 2 2 2 2 2" xfId="57017" xr:uid="{00000000-0005-0000-0000-0000578D0000}"/>
    <cellStyle name="Normal 3 4 2 3 3 2 2 2 3" xfId="43455" xr:uid="{00000000-0005-0000-0000-0000588D0000}"/>
    <cellStyle name="Normal 3 4 2 3 3 2 2 3" xfId="23103" xr:uid="{00000000-0005-0000-0000-0000598D0000}"/>
    <cellStyle name="Normal 3 4 2 3 3 2 2 3 2" xfId="50236" xr:uid="{00000000-0005-0000-0000-00005A8D0000}"/>
    <cellStyle name="Normal 3 4 2 3 3 2 2 4" xfId="36674" xr:uid="{00000000-0005-0000-0000-00005B8D0000}"/>
    <cellStyle name="Normal 3 4 2 3 3 2 3" xfId="12927" xr:uid="{00000000-0005-0000-0000-00005C8D0000}"/>
    <cellStyle name="Normal 3 4 2 3 3 2 3 2" xfId="26495" xr:uid="{00000000-0005-0000-0000-00005D8D0000}"/>
    <cellStyle name="Normal 3 4 2 3 3 2 3 2 2" xfId="53628" xr:uid="{00000000-0005-0000-0000-00005E8D0000}"/>
    <cellStyle name="Normal 3 4 2 3 3 2 3 3" xfId="40066" xr:uid="{00000000-0005-0000-0000-00005F8D0000}"/>
    <cellStyle name="Normal 3 4 2 3 3 2 4" xfId="19714" xr:uid="{00000000-0005-0000-0000-0000608D0000}"/>
    <cellStyle name="Normal 3 4 2 3 3 2 4 2" xfId="46847" xr:uid="{00000000-0005-0000-0000-0000618D0000}"/>
    <cellStyle name="Normal 3 4 2 3 3 2 5" xfId="33285" xr:uid="{00000000-0005-0000-0000-0000628D0000}"/>
    <cellStyle name="Normal 3 4 2 3 3 3" xfId="9526" xr:uid="{00000000-0005-0000-0000-0000638D0000}"/>
    <cellStyle name="Normal 3 4 2 3 3 3 2" xfId="16315" xr:uid="{00000000-0005-0000-0000-0000648D0000}"/>
    <cellStyle name="Normal 3 4 2 3 3 3 2 2" xfId="29883" xr:uid="{00000000-0005-0000-0000-0000658D0000}"/>
    <cellStyle name="Normal 3 4 2 3 3 3 2 2 2" xfId="57016" xr:uid="{00000000-0005-0000-0000-0000668D0000}"/>
    <cellStyle name="Normal 3 4 2 3 3 3 2 3" xfId="43454" xr:uid="{00000000-0005-0000-0000-0000678D0000}"/>
    <cellStyle name="Normal 3 4 2 3 3 3 3" xfId="23102" xr:uid="{00000000-0005-0000-0000-0000688D0000}"/>
    <cellStyle name="Normal 3 4 2 3 3 3 3 2" xfId="50235" xr:uid="{00000000-0005-0000-0000-0000698D0000}"/>
    <cellStyle name="Normal 3 4 2 3 3 3 4" xfId="36673" xr:uid="{00000000-0005-0000-0000-00006A8D0000}"/>
    <cellStyle name="Normal 3 4 2 3 3 4" xfId="12926" xr:uid="{00000000-0005-0000-0000-00006B8D0000}"/>
    <cellStyle name="Normal 3 4 2 3 3 4 2" xfId="26494" xr:uid="{00000000-0005-0000-0000-00006C8D0000}"/>
    <cellStyle name="Normal 3 4 2 3 3 4 2 2" xfId="53627" xr:uid="{00000000-0005-0000-0000-00006D8D0000}"/>
    <cellStyle name="Normal 3 4 2 3 3 4 3" xfId="40065" xr:uid="{00000000-0005-0000-0000-00006E8D0000}"/>
    <cellStyle name="Normal 3 4 2 3 3 5" xfId="19713" xr:uid="{00000000-0005-0000-0000-00006F8D0000}"/>
    <cellStyle name="Normal 3 4 2 3 3 5 2" xfId="46846" xr:uid="{00000000-0005-0000-0000-0000708D0000}"/>
    <cellStyle name="Normal 3 4 2 3 3 6" xfId="33284" xr:uid="{00000000-0005-0000-0000-0000718D0000}"/>
    <cellStyle name="Normal 3 4 2 3 4" xfId="5985" xr:uid="{00000000-0005-0000-0000-0000728D0000}"/>
    <cellStyle name="Normal 3 4 2 3 4 2" xfId="9528" xr:uid="{00000000-0005-0000-0000-0000738D0000}"/>
    <cellStyle name="Normal 3 4 2 3 4 2 2" xfId="16317" xr:uid="{00000000-0005-0000-0000-0000748D0000}"/>
    <cellStyle name="Normal 3 4 2 3 4 2 2 2" xfId="29885" xr:uid="{00000000-0005-0000-0000-0000758D0000}"/>
    <cellStyle name="Normal 3 4 2 3 4 2 2 2 2" xfId="57018" xr:uid="{00000000-0005-0000-0000-0000768D0000}"/>
    <cellStyle name="Normal 3 4 2 3 4 2 2 3" xfId="43456" xr:uid="{00000000-0005-0000-0000-0000778D0000}"/>
    <cellStyle name="Normal 3 4 2 3 4 2 3" xfId="23104" xr:uid="{00000000-0005-0000-0000-0000788D0000}"/>
    <cellStyle name="Normal 3 4 2 3 4 2 3 2" xfId="50237" xr:uid="{00000000-0005-0000-0000-0000798D0000}"/>
    <cellStyle name="Normal 3 4 2 3 4 2 4" xfId="36675" xr:uid="{00000000-0005-0000-0000-00007A8D0000}"/>
    <cellStyle name="Normal 3 4 2 3 4 3" xfId="12928" xr:uid="{00000000-0005-0000-0000-00007B8D0000}"/>
    <cellStyle name="Normal 3 4 2 3 4 3 2" xfId="26496" xr:uid="{00000000-0005-0000-0000-00007C8D0000}"/>
    <cellStyle name="Normal 3 4 2 3 4 3 2 2" xfId="53629" xr:uid="{00000000-0005-0000-0000-00007D8D0000}"/>
    <cellStyle name="Normal 3 4 2 3 4 3 3" xfId="40067" xr:uid="{00000000-0005-0000-0000-00007E8D0000}"/>
    <cellStyle name="Normal 3 4 2 3 4 4" xfId="19715" xr:uid="{00000000-0005-0000-0000-00007F8D0000}"/>
    <cellStyle name="Normal 3 4 2 3 4 4 2" xfId="46848" xr:uid="{00000000-0005-0000-0000-0000808D0000}"/>
    <cellStyle name="Normal 3 4 2 3 4 5" xfId="33286" xr:uid="{00000000-0005-0000-0000-0000818D0000}"/>
    <cellStyle name="Normal 3 4 2 3 5" xfId="5986" xr:uid="{00000000-0005-0000-0000-0000828D0000}"/>
    <cellStyle name="Normal 3 4 2 3 5 2" xfId="9529" xr:uid="{00000000-0005-0000-0000-0000838D0000}"/>
    <cellStyle name="Normal 3 4 2 3 5 2 2" xfId="16318" xr:uid="{00000000-0005-0000-0000-0000848D0000}"/>
    <cellStyle name="Normal 3 4 2 3 5 2 2 2" xfId="29886" xr:uid="{00000000-0005-0000-0000-0000858D0000}"/>
    <cellStyle name="Normal 3 4 2 3 5 2 2 2 2" xfId="57019" xr:uid="{00000000-0005-0000-0000-0000868D0000}"/>
    <cellStyle name="Normal 3 4 2 3 5 2 2 3" xfId="43457" xr:uid="{00000000-0005-0000-0000-0000878D0000}"/>
    <cellStyle name="Normal 3 4 2 3 5 2 3" xfId="23105" xr:uid="{00000000-0005-0000-0000-0000888D0000}"/>
    <cellStyle name="Normal 3 4 2 3 5 2 3 2" xfId="50238" xr:uid="{00000000-0005-0000-0000-0000898D0000}"/>
    <cellStyle name="Normal 3 4 2 3 5 2 4" xfId="36676" xr:uid="{00000000-0005-0000-0000-00008A8D0000}"/>
    <cellStyle name="Normal 3 4 2 3 5 3" xfId="12929" xr:uid="{00000000-0005-0000-0000-00008B8D0000}"/>
    <cellStyle name="Normal 3 4 2 3 5 3 2" xfId="26497" xr:uid="{00000000-0005-0000-0000-00008C8D0000}"/>
    <cellStyle name="Normal 3 4 2 3 5 3 2 2" xfId="53630" xr:uid="{00000000-0005-0000-0000-00008D8D0000}"/>
    <cellStyle name="Normal 3 4 2 3 5 3 3" xfId="40068" xr:uid="{00000000-0005-0000-0000-00008E8D0000}"/>
    <cellStyle name="Normal 3 4 2 3 5 4" xfId="19716" xr:uid="{00000000-0005-0000-0000-00008F8D0000}"/>
    <cellStyle name="Normal 3 4 2 3 5 4 2" xfId="46849" xr:uid="{00000000-0005-0000-0000-0000908D0000}"/>
    <cellStyle name="Normal 3 4 2 3 5 5" xfId="33287" xr:uid="{00000000-0005-0000-0000-0000918D0000}"/>
    <cellStyle name="Normal 3 4 2 3 6" xfId="9522" xr:uid="{00000000-0005-0000-0000-0000928D0000}"/>
    <cellStyle name="Normal 3 4 2 3 6 2" xfId="16311" xr:uid="{00000000-0005-0000-0000-0000938D0000}"/>
    <cellStyle name="Normal 3 4 2 3 6 2 2" xfId="29879" xr:uid="{00000000-0005-0000-0000-0000948D0000}"/>
    <cellStyle name="Normal 3 4 2 3 6 2 2 2" xfId="57012" xr:uid="{00000000-0005-0000-0000-0000958D0000}"/>
    <cellStyle name="Normal 3 4 2 3 6 2 3" xfId="43450" xr:uid="{00000000-0005-0000-0000-0000968D0000}"/>
    <cellStyle name="Normal 3 4 2 3 6 3" xfId="23098" xr:uid="{00000000-0005-0000-0000-0000978D0000}"/>
    <cellStyle name="Normal 3 4 2 3 6 3 2" xfId="50231" xr:uid="{00000000-0005-0000-0000-0000988D0000}"/>
    <cellStyle name="Normal 3 4 2 3 6 4" xfId="36669" xr:uid="{00000000-0005-0000-0000-0000998D0000}"/>
    <cellStyle name="Normal 3 4 2 3 7" xfId="12922" xr:uid="{00000000-0005-0000-0000-00009A8D0000}"/>
    <cellStyle name="Normal 3 4 2 3 7 2" xfId="26490" xr:uid="{00000000-0005-0000-0000-00009B8D0000}"/>
    <cellStyle name="Normal 3 4 2 3 7 2 2" xfId="53623" xr:uid="{00000000-0005-0000-0000-00009C8D0000}"/>
    <cellStyle name="Normal 3 4 2 3 7 3" xfId="40061" xr:uid="{00000000-0005-0000-0000-00009D8D0000}"/>
    <cellStyle name="Normal 3 4 2 3 8" xfId="19709" xr:uid="{00000000-0005-0000-0000-00009E8D0000}"/>
    <cellStyle name="Normal 3 4 2 3 8 2" xfId="46842" xr:uid="{00000000-0005-0000-0000-00009F8D0000}"/>
    <cellStyle name="Normal 3 4 2 3 9" xfId="33280" xr:uid="{00000000-0005-0000-0000-0000A08D0000}"/>
    <cellStyle name="Normal 3 4 2 4" xfId="5987" xr:uid="{00000000-0005-0000-0000-0000A18D0000}"/>
    <cellStyle name="Normal 3 4 2 4 2" xfId="5988" xr:uid="{00000000-0005-0000-0000-0000A28D0000}"/>
    <cellStyle name="Normal 3 4 2 4 2 2" xfId="5989" xr:uid="{00000000-0005-0000-0000-0000A38D0000}"/>
    <cellStyle name="Normal 3 4 2 4 2 2 2" xfId="9532" xr:uid="{00000000-0005-0000-0000-0000A48D0000}"/>
    <cellStyle name="Normal 3 4 2 4 2 2 2 2" xfId="16321" xr:uid="{00000000-0005-0000-0000-0000A58D0000}"/>
    <cellStyle name="Normal 3 4 2 4 2 2 2 2 2" xfId="29889" xr:uid="{00000000-0005-0000-0000-0000A68D0000}"/>
    <cellStyle name="Normal 3 4 2 4 2 2 2 2 2 2" xfId="57022" xr:uid="{00000000-0005-0000-0000-0000A78D0000}"/>
    <cellStyle name="Normal 3 4 2 4 2 2 2 2 3" xfId="43460" xr:uid="{00000000-0005-0000-0000-0000A88D0000}"/>
    <cellStyle name="Normal 3 4 2 4 2 2 2 3" xfId="23108" xr:uid="{00000000-0005-0000-0000-0000A98D0000}"/>
    <cellStyle name="Normal 3 4 2 4 2 2 2 3 2" xfId="50241" xr:uid="{00000000-0005-0000-0000-0000AA8D0000}"/>
    <cellStyle name="Normal 3 4 2 4 2 2 2 4" xfId="36679" xr:uid="{00000000-0005-0000-0000-0000AB8D0000}"/>
    <cellStyle name="Normal 3 4 2 4 2 2 3" xfId="12932" xr:uid="{00000000-0005-0000-0000-0000AC8D0000}"/>
    <cellStyle name="Normal 3 4 2 4 2 2 3 2" xfId="26500" xr:uid="{00000000-0005-0000-0000-0000AD8D0000}"/>
    <cellStyle name="Normal 3 4 2 4 2 2 3 2 2" xfId="53633" xr:uid="{00000000-0005-0000-0000-0000AE8D0000}"/>
    <cellStyle name="Normal 3 4 2 4 2 2 3 3" xfId="40071" xr:uid="{00000000-0005-0000-0000-0000AF8D0000}"/>
    <cellStyle name="Normal 3 4 2 4 2 2 4" xfId="19719" xr:uid="{00000000-0005-0000-0000-0000B08D0000}"/>
    <cellStyle name="Normal 3 4 2 4 2 2 4 2" xfId="46852" xr:uid="{00000000-0005-0000-0000-0000B18D0000}"/>
    <cellStyle name="Normal 3 4 2 4 2 2 5" xfId="33290" xr:uid="{00000000-0005-0000-0000-0000B28D0000}"/>
    <cellStyle name="Normal 3 4 2 4 2 3" xfId="5990" xr:uid="{00000000-0005-0000-0000-0000B38D0000}"/>
    <cellStyle name="Normal 3 4 2 4 2 3 2" xfId="9533" xr:uid="{00000000-0005-0000-0000-0000B48D0000}"/>
    <cellStyle name="Normal 3 4 2 4 2 3 2 2" xfId="16322" xr:uid="{00000000-0005-0000-0000-0000B58D0000}"/>
    <cellStyle name="Normal 3 4 2 4 2 3 2 2 2" xfId="29890" xr:uid="{00000000-0005-0000-0000-0000B68D0000}"/>
    <cellStyle name="Normal 3 4 2 4 2 3 2 2 2 2" xfId="57023" xr:uid="{00000000-0005-0000-0000-0000B78D0000}"/>
    <cellStyle name="Normal 3 4 2 4 2 3 2 2 3" xfId="43461" xr:uid="{00000000-0005-0000-0000-0000B88D0000}"/>
    <cellStyle name="Normal 3 4 2 4 2 3 2 3" xfId="23109" xr:uid="{00000000-0005-0000-0000-0000B98D0000}"/>
    <cellStyle name="Normal 3 4 2 4 2 3 2 3 2" xfId="50242" xr:uid="{00000000-0005-0000-0000-0000BA8D0000}"/>
    <cellStyle name="Normal 3 4 2 4 2 3 2 4" xfId="36680" xr:uid="{00000000-0005-0000-0000-0000BB8D0000}"/>
    <cellStyle name="Normal 3 4 2 4 2 3 3" xfId="12933" xr:uid="{00000000-0005-0000-0000-0000BC8D0000}"/>
    <cellStyle name="Normal 3 4 2 4 2 3 3 2" xfId="26501" xr:uid="{00000000-0005-0000-0000-0000BD8D0000}"/>
    <cellStyle name="Normal 3 4 2 4 2 3 3 2 2" xfId="53634" xr:uid="{00000000-0005-0000-0000-0000BE8D0000}"/>
    <cellStyle name="Normal 3 4 2 4 2 3 3 3" xfId="40072" xr:uid="{00000000-0005-0000-0000-0000BF8D0000}"/>
    <cellStyle name="Normal 3 4 2 4 2 3 4" xfId="19720" xr:uid="{00000000-0005-0000-0000-0000C08D0000}"/>
    <cellStyle name="Normal 3 4 2 4 2 3 4 2" xfId="46853" xr:uid="{00000000-0005-0000-0000-0000C18D0000}"/>
    <cellStyle name="Normal 3 4 2 4 2 3 5" xfId="33291" xr:uid="{00000000-0005-0000-0000-0000C28D0000}"/>
    <cellStyle name="Normal 3 4 2 4 2 4" xfId="9531" xr:uid="{00000000-0005-0000-0000-0000C38D0000}"/>
    <cellStyle name="Normal 3 4 2 4 2 4 2" xfId="16320" xr:uid="{00000000-0005-0000-0000-0000C48D0000}"/>
    <cellStyle name="Normal 3 4 2 4 2 4 2 2" xfId="29888" xr:uid="{00000000-0005-0000-0000-0000C58D0000}"/>
    <cellStyle name="Normal 3 4 2 4 2 4 2 2 2" xfId="57021" xr:uid="{00000000-0005-0000-0000-0000C68D0000}"/>
    <cellStyle name="Normal 3 4 2 4 2 4 2 3" xfId="43459" xr:uid="{00000000-0005-0000-0000-0000C78D0000}"/>
    <cellStyle name="Normal 3 4 2 4 2 4 3" xfId="23107" xr:uid="{00000000-0005-0000-0000-0000C88D0000}"/>
    <cellStyle name="Normal 3 4 2 4 2 4 3 2" xfId="50240" xr:uid="{00000000-0005-0000-0000-0000C98D0000}"/>
    <cellStyle name="Normal 3 4 2 4 2 4 4" xfId="36678" xr:uid="{00000000-0005-0000-0000-0000CA8D0000}"/>
    <cellStyle name="Normal 3 4 2 4 2 5" xfId="12931" xr:uid="{00000000-0005-0000-0000-0000CB8D0000}"/>
    <cellStyle name="Normal 3 4 2 4 2 5 2" xfId="26499" xr:uid="{00000000-0005-0000-0000-0000CC8D0000}"/>
    <cellStyle name="Normal 3 4 2 4 2 5 2 2" xfId="53632" xr:uid="{00000000-0005-0000-0000-0000CD8D0000}"/>
    <cellStyle name="Normal 3 4 2 4 2 5 3" xfId="40070" xr:uid="{00000000-0005-0000-0000-0000CE8D0000}"/>
    <cellStyle name="Normal 3 4 2 4 2 6" xfId="19718" xr:uid="{00000000-0005-0000-0000-0000CF8D0000}"/>
    <cellStyle name="Normal 3 4 2 4 2 6 2" xfId="46851" xr:uid="{00000000-0005-0000-0000-0000D08D0000}"/>
    <cellStyle name="Normal 3 4 2 4 2 7" xfId="33289" xr:uid="{00000000-0005-0000-0000-0000D18D0000}"/>
    <cellStyle name="Normal 3 4 2 4 3" xfId="5991" xr:uid="{00000000-0005-0000-0000-0000D28D0000}"/>
    <cellStyle name="Normal 3 4 2 4 3 2" xfId="9534" xr:uid="{00000000-0005-0000-0000-0000D38D0000}"/>
    <cellStyle name="Normal 3 4 2 4 3 2 2" xfId="16323" xr:uid="{00000000-0005-0000-0000-0000D48D0000}"/>
    <cellStyle name="Normal 3 4 2 4 3 2 2 2" xfId="29891" xr:uid="{00000000-0005-0000-0000-0000D58D0000}"/>
    <cellStyle name="Normal 3 4 2 4 3 2 2 2 2" xfId="57024" xr:uid="{00000000-0005-0000-0000-0000D68D0000}"/>
    <cellStyle name="Normal 3 4 2 4 3 2 2 3" xfId="43462" xr:uid="{00000000-0005-0000-0000-0000D78D0000}"/>
    <cellStyle name="Normal 3 4 2 4 3 2 3" xfId="23110" xr:uid="{00000000-0005-0000-0000-0000D88D0000}"/>
    <cellStyle name="Normal 3 4 2 4 3 2 3 2" xfId="50243" xr:uid="{00000000-0005-0000-0000-0000D98D0000}"/>
    <cellStyle name="Normal 3 4 2 4 3 2 4" xfId="36681" xr:uid="{00000000-0005-0000-0000-0000DA8D0000}"/>
    <cellStyle name="Normal 3 4 2 4 3 3" xfId="12934" xr:uid="{00000000-0005-0000-0000-0000DB8D0000}"/>
    <cellStyle name="Normal 3 4 2 4 3 3 2" xfId="26502" xr:uid="{00000000-0005-0000-0000-0000DC8D0000}"/>
    <cellStyle name="Normal 3 4 2 4 3 3 2 2" xfId="53635" xr:uid="{00000000-0005-0000-0000-0000DD8D0000}"/>
    <cellStyle name="Normal 3 4 2 4 3 3 3" xfId="40073" xr:uid="{00000000-0005-0000-0000-0000DE8D0000}"/>
    <cellStyle name="Normal 3 4 2 4 3 4" xfId="19721" xr:uid="{00000000-0005-0000-0000-0000DF8D0000}"/>
    <cellStyle name="Normal 3 4 2 4 3 4 2" xfId="46854" xr:uid="{00000000-0005-0000-0000-0000E08D0000}"/>
    <cellStyle name="Normal 3 4 2 4 3 5" xfId="33292" xr:uid="{00000000-0005-0000-0000-0000E18D0000}"/>
    <cellStyle name="Normal 3 4 2 4 4" xfId="5992" xr:uid="{00000000-0005-0000-0000-0000E28D0000}"/>
    <cellStyle name="Normal 3 4 2 4 4 2" xfId="9535" xr:uid="{00000000-0005-0000-0000-0000E38D0000}"/>
    <cellStyle name="Normal 3 4 2 4 4 2 2" xfId="16324" xr:uid="{00000000-0005-0000-0000-0000E48D0000}"/>
    <cellStyle name="Normal 3 4 2 4 4 2 2 2" xfId="29892" xr:uid="{00000000-0005-0000-0000-0000E58D0000}"/>
    <cellStyle name="Normal 3 4 2 4 4 2 2 2 2" xfId="57025" xr:uid="{00000000-0005-0000-0000-0000E68D0000}"/>
    <cellStyle name="Normal 3 4 2 4 4 2 2 3" xfId="43463" xr:uid="{00000000-0005-0000-0000-0000E78D0000}"/>
    <cellStyle name="Normal 3 4 2 4 4 2 3" xfId="23111" xr:uid="{00000000-0005-0000-0000-0000E88D0000}"/>
    <cellStyle name="Normal 3 4 2 4 4 2 3 2" xfId="50244" xr:uid="{00000000-0005-0000-0000-0000E98D0000}"/>
    <cellStyle name="Normal 3 4 2 4 4 2 4" xfId="36682" xr:uid="{00000000-0005-0000-0000-0000EA8D0000}"/>
    <cellStyle name="Normal 3 4 2 4 4 3" xfId="12935" xr:uid="{00000000-0005-0000-0000-0000EB8D0000}"/>
    <cellStyle name="Normal 3 4 2 4 4 3 2" xfId="26503" xr:uid="{00000000-0005-0000-0000-0000EC8D0000}"/>
    <cellStyle name="Normal 3 4 2 4 4 3 2 2" xfId="53636" xr:uid="{00000000-0005-0000-0000-0000ED8D0000}"/>
    <cellStyle name="Normal 3 4 2 4 4 3 3" xfId="40074" xr:uid="{00000000-0005-0000-0000-0000EE8D0000}"/>
    <cellStyle name="Normal 3 4 2 4 4 4" xfId="19722" xr:uid="{00000000-0005-0000-0000-0000EF8D0000}"/>
    <cellStyle name="Normal 3 4 2 4 4 4 2" xfId="46855" xr:uid="{00000000-0005-0000-0000-0000F08D0000}"/>
    <cellStyle name="Normal 3 4 2 4 4 5" xfId="33293" xr:uid="{00000000-0005-0000-0000-0000F18D0000}"/>
    <cellStyle name="Normal 3 4 2 4 5" xfId="9530" xr:uid="{00000000-0005-0000-0000-0000F28D0000}"/>
    <cellStyle name="Normal 3 4 2 4 5 2" xfId="16319" xr:uid="{00000000-0005-0000-0000-0000F38D0000}"/>
    <cellStyle name="Normal 3 4 2 4 5 2 2" xfId="29887" xr:uid="{00000000-0005-0000-0000-0000F48D0000}"/>
    <cellStyle name="Normal 3 4 2 4 5 2 2 2" xfId="57020" xr:uid="{00000000-0005-0000-0000-0000F58D0000}"/>
    <cellStyle name="Normal 3 4 2 4 5 2 3" xfId="43458" xr:uid="{00000000-0005-0000-0000-0000F68D0000}"/>
    <cellStyle name="Normal 3 4 2 4 5 3" xfId="23106" xr:uid="{00000000-0005-0000-0000-0000F78D0000}"/>
    <cellStyle name="Normal 3 4 2 4 5 3 2" xfId="50239" xr:uid="{00000000-0005-0000-0000-0000F88D0000}"/>
    <cellStyle name="Normal 3 4 2 4 5 4" xfId="36677" xr:uid="{00000000-0005-0000-0000-0000F98D0000}"/>
    <cellStyle name="Normal 3 4 2 4 6" xfId="12930" xr:uid="{00000000-0005-0000-0000-0000FA8D0000}"/>
    <cellStyle name="Normal 3 4 2 4 6 2" xfId="26498" xr:uid="{00000000-0005-0000-0000-0000FB8D0000}"/>
    <cellStyle name="Normal 3 4 2 4 6 2 2" xfId="53631" xr:uid="{00000000-0005-0000-0000-0000FC8D0000}"/>
    <cellStyle name="Normal 3 4 2 4 6 3" xfId="40069" xr:uid="{00000000-0005-0000-0000-0000FD8D0000}"/>
    <cellStyle name="Normal 3 4 2 4 7" xfId="19717" xr:uid="{00000000-0005-0000-0000-0000FE8D0000}"/>
    <cellStyle name="Normal 3 4 2 4 7 2" xfId="46850" xr:uid="{00000000-0005-0000-0000-0000FF8D0000}"/>
    <cellStyle name="Normal 3 4 2 4 8" xfId="33288" xr:uid="{00000000-0005-0000-0000-0000008E0000}"/>
    <cellStyle name="Normal 3 4 2 5" xfId="5993" xr:uid="{00000000-0005-0000-0000-0000018E0000}"/>
    <cellStyle name="Normal 3 4 2 5 2" xfId="5994" xr:uid="{00000000-0005-0000-0000-0000028E0000}"/>
    <cellStyle name="Normal 3 4 2 5 2 2" xfId="5995" xr:uid="{00000000-0005-0000-0000-0000038E0000}"/>
    <cellStyle name="Normal 3 4 2 5 2 2 2" xfId="9538" xr:uid="{00000000-0005-0000-0000-0000048E0000}"/>
    <cellStyle name="Normal 3 4 2 5 2 2 2 2" xfId="16327" xr:uid="{00000000-0005-0000-0000-0000058E0000}"/>
    <cellStyle name="Normal 3 4 2 5 2 2 2 2 2" xfId="29895" xr:uid="{00000000-0005-0000-0000-0000068E0000}"/>
    <cellStyle name="Normal 3 4 2 5 2 2 2 2 2 2" xfId="57028" xr:uid="{00000000-0005-0000-0000-0000078E0000}"/>
    <cellStyle name="Normal 3 4 2 5 2 2 2 2 3" xfId="43466" xr:uid="{00000000-0005-0000-0000-0000088E0000}"/>
    <cellStyle name="Normal 3 4 2 5 2 2 2 3" xfId="23114" xr:uid="{00000000-0005-0000-0000-0000098E0000}"/>
    <cellStyle name="Normal 3 4 2 5 2 2 2 3 2" xfId="50247" xr:uid="{00000000-0005-0000-0000-00000A8E0000}"/>
    <cellStyle name="Normal 3 4 2 5 2 2 2 4" xfId="36685" xr:uid="{00000000-0005-0000-0000-00000B8E0000}"/>
    <cellStyle name="Normal 3 4 2 5 2 2 3" xfId="12938" xr:uid="{00000000-0005-0000-0000-00000C8E0000}"/>
    <cellStyle name="Normal 3 4 2 5 2 2 3 2" xfId="26506" xr:uid="{00000000-0005-0000-0000-00000D8E0000}"/>
    <cellStyle name="Normal 3 4 2 5 2 2 3 2 2" xfId="53639" xr:uid="{00000000-0005-0000-0000-00000E8E0000}"/>
    <cellStyle name="Normal 3 4 2 5 2 2 3 3" xfId="40077" xr:uid="{00000000-0005-0000-0000-00000F8E0000}"/>
    <cellStyle name="Normal 3 4 2 5 2 2 4" xfId="19725" xr:uid="{00000000-0005-0000-0000-0000108E0000}"/>
    <cellStyle name="Normal 3 4 2 5 2 2 4 2" xfId="46858" xr:uid="{00000000-0005-0000-0000-0000118E0000}"/>
    <cellStyle name="Normal 3 4 2 5 2 2 5" xfId="33296" xr:uid="{00000000-0005-0000-0000-0000128E0000}"/>
    <cellStyle name="Normal 3 4 2 5 2 3" xfId="5996" xr:uid="{00000000-0005-0000-0000-0000138E0000}"/>
    <cellStyle name="Normal 3 4 2 5 2 3 2" xfId="9539" xr:uid="{00000000-0005-0000-0000-0000148E0000}"/>
    <cellStyle name="Normal 3 4 2 5 2 3 2 2" xfId="16328" xr:uid="{00000000-0005-0000-0000-0000158E0000}"/>
    <cellStyle name="Normal 3 4 2 5 2 3 2 2 2" xfId="29896" xr:uid="{00000000-0005-0000-0000-0000168E0000}"/>
    <cellStyle name="Normal 3 4 2 5 2 3 2 2 2 2" xfId="57029" xr:uid="{00000000-0005-0000-0000-0000178E0000}"/>
    <cellStyle name="Normal 3 4 2 5 2 3 2 2 3" xfId="43467" xr:uid="{00000000-0005-0000-0000-0000188E0000}"/>
    <cellStyle name="Normal 3 4 2 5 2 3 2 3" xfId="23115" xr:uid="{00000000-0005-0000-0000-0000198E0000}"/>
    <cellStyle name="Normal 3 4 2 5 2 3 2 3 2" xfId="50248" xr:uid="{00000000-0005-0000-0000-00001A8E0000}"/>
    <cellStyle name="Normal 3 4 2 5 2 3 2 4" xfId="36686" xr:uid="{00000000-0005-0000-0000-00001B8E0000}"/>
    <cellStyle name="Normal 3 4 2 5 2 3 3" xfId="12939" xr:uid="{00000000-0005-0000-0000-00001C8E0000}"/>
    <cellStyle name="Normal 3 4 2 5 2 3 3 2" xfId="26507" xr:uid="{00000000-0005-0000-0000-00001D8E0000}"/>
    <cellStyle name="Normal 3 4 2 5 2 3 3 2 2" xfId="53640" xr:uid="{00000000-0005-0000-0000-00001E8E0000}"/>
    <cellStyle name="Normal 3 4 2 5 2 3 3 3" xfId="40078" xr:uid="{00000000-0005-0000-0000-00001F8E0000}"/>
    <cellStyle name="Normal 3 4 2 5 2 3 4" xfId="19726" xr:uid="{00000000-0005-0000-0000-0000208E0000}"/>
    <cellStyle name="Normal 3 4 2 5 2 3 4 2" xfId="46859" xr:uid="{00000000-0005-0000-0000-0000218E0000}"/>
    <cellStyle name="Normal 3 4 2 5 2 3 5" xfId="33297" xr:uid="{00000000-0005-0000-0000-0000228E0000}"/>
    <cellStyle name="Normal 3 4 2 5 2 4" xfId="9537" xr:uid="{00000000-0005-0000-0000-0000238E0000}"/>
    <cellStyle name="Normal 3 4 2 5 2 4 2" xfId="16326" xr:uid="{00000000-0005-0000-0000-0000248E0000}"/>
    <cellStyle name="Normal 3 4 2 5 2 4 2 2" xfId="29894" xr:uid="{00000000-0005-0000-0000-0000258E0000}"/>
    <cellStyle name="Normal 3 4 2 5 2 4 2 2 2" xfId="57027" xr:uid="{00000000-0005-0000-0000-0000268E0000}"/>
    <cellStyle name="Normal 3 4 2 5 2 4 2 3" xfId="43465" xr:uid="{00000000-0005-0000-0000-0000278E0000}"/>
    <cellStyle name="Normal 3 4 2 5 2 4 3" xfId="23113" xr:uid="{00000000-0005-0000-0000-0000288E0000}"/>
    <cellStyle name="Normal 3 4 2 5 2 4 3 2" xfId="50246" xr:uid="{00000000-0005-0000-0000-0000298E0000}"/>
    <cellStyle name="Normal 3 4 2 5 2 4 4" xfId="36684" xr:uid="{00000000-0005-0000-0000-00002A8E0000}"/>
    <cellStyle name="Normal 3 4 2 5 2 5" xfId="12937" xr:uid="{00000000-0005-0000-0000-00002B8E0000}"/>
    <cellStyle name="Normal 3 4 2 5 2 5 2" xfId="26505" xr:uid="{00000000-0005-0000-0000-00002C8E0000}"/>
    <cellStyle name="Normal 3 4 2 5 2 5 2 2" xfId="53638" xr:uid="{00000000-0005-0000-0000-00002D8E0000}"/>
    <cellStyle name="Normal 3 4 2 5 2 5 3" xfId="40076" xr:uid="{00000000-0005-0000-0000-00002E8E0000}"/>
    <cellStyle name="Normal 3 4 2 5 2 6" xfId="19724" xr:uid="{00000000-0005-0000-0000-00002F8E0000}"/>
    <cellStyle name="Normal 3 4 2 5 2 6 2" xfId="46857" xr:uid="{00000000-0005-0000-0000-0000308E0000}"/>
    <cellStyle name="Normal 3 4 2 5 2 7" xfId="33295" xr:uid="{00000000-0005-0000-0000-0000318E0000}"/>
    <cellStyle name="Normal 3 4 2 5 3" xfId="5997" xr:uid="{00000000-0005-0000-0000-0000328E0000}"/>
    <cellStyle name="Normal 3 4 2 5 3 2" xfId="9540" xr:uid="{00000000-0005-0000-0000-0000338E0000}"/>
    <cellStyle name="Normal 3 4 2 5 3 2 2" xfId="16329" xr:uid="{00000000-0005-0000-0000-0000348E0000}"/>
    <cellStyle name="Normal 3 4 2 5 3 2 2 2" xfId="29897" xr:uid="{00000000-0005-0000-0000-0000358E0000}"/>
    <cellStyle name="Normal 3 4 2 5 3 2 2 2 2" xfId="57030" xr:uid="{00000000-0005-0000-0000-0000368E0000}"/>
    <cellStyle name="Normal 3 4 2 5 3 2 2 3" xfId="43468" xr:uid="{00000000-0005-0000-0000-0000378E0000}"/>
    <cellStyle name="Normal 3 4 2 5 3 2 3" xfId="23116" xr:uid="{00000000-0005-0000-0000-0000388E0000}"/>
    <cellStyle name="Normal 3 4 2 5 3 2 3 2" xfId="50249" xr:uid="{00000000-0005-0000-0000-0000398E0000}"/>
    <cellStyle name="Normal 3 4 2 5 3 2 4" xfId="36687" xr:uid="{00000000-0005-0000-0000-00003A8E0000}"/>
    <cellStyle name="Normal 3 4 2 5 3 3" xfId="12940" xr:uid="{00000000-0005-0000-0000-00003B8E0000}"/>
    <cellStyle name="Normal 3 4 2 5 3 3 2" xfId="26508" xr:uid="{00000000-0005-0000-0000-00003C8E0000}"/>
    <cellStyle name="Normal 3 4 2 5 3 3 2 2" xfId="53641" xr:uid="{00000000-0005-0000-0000-00003D8E0000}"/>
    <cellStyle name="Normal 3 4 2 5 3 3 3" xfId="40079" xr:uid="{00000000-0005-0000-0000-00003E8E0000}"/>
    <cellStyle name="Normal 3 4 2 5 3 4" xfId="19727" xr:uid="{00000000-0005-0000-0000-00003F8E0000}"/>
    <cellStyle name="Normal 3 4 2 5 3 4 2" xfId="46860" xr:uid="{00000000-0005-0000-0000-0000408E0000}"/>
    <cellStyle name="Normal 3 4 2 5 3 5" xfId="33298" xr:uid="{00000000-0005-0000-0000-0000418E0000}"/>
    <cellStyle name="Normal 3 4 2 5 4" xfId="5998" xr:uid="{00000000-0005-0000-0000-0000428E0000}"/>
    <cellStyle name="Normal 3 4 2 5 4 2" xfId="9541" xr:uid="{00000000-0005-0000-0000-0000438E0000}"/>
    <cellStyle name="Normal 3 4 2 5 4 2 2" xfId="16330" xr:uid="{00000000-0005-0000-0000-0000448E0000}"/>
    <cellStyle name="Normal 3 4 2 5 4 2 2 2" xfId="29898" xr:uid="{00000000-0005-0000-0000-0000458E0000}"/>
    <cellStyle name="Normal 3 4 2 5 4 2 2 2 2" xfId="57031" xr:uid="{00000000-0005-0000-0000-0000468E0000}"/>
    <cellStyle name="Normal 3 4 2 5 4 2 2 3" xfId="43469" xr:uid="{00000000-0005-0000-0000-0000478E0000}"/>
    <cellStyle name="Normal 3 4 2 5 4 2 3" xfId="23117" xr:uid="{00000000-0005-0000-0000-0000488E0000}"/>
    <cellStyle name="Normal 3 4 2 5 4 2 3 2" xfId="50250" xr:uid="{00000000-0005-0000-0000-0000498E0000}"/>
    <cellStyle name="Normal 3 4 2 5 4 2 4" xfId="36688" xr:uid="{00000000-0005-0000-0000-00004A8E0000}"/>
    <cellStyle name="Normal 3 4 2 5 4 3" xfId="12941" xr:uid="{00000000-0005-0000-0000-00004B8E0000}"/>
    <cellStyle name="Normal 3 4 2 5 4 3 2" xfId="26509" xr:uid="{00000000-0005-0000-0000-00004C8E0000}"/>
    <cellStyle name="Normal 3 4 2 5 4 3 2 2" xfId="53642" xr:uid="{00000000-0005-0000-0000-00004D8E0000}"/>
    <cellStyle name="Normal 3 4 2 5 4 3 3" xfId="40080" xr:uid="{00000000-0005-0000-0000-00004E8E0000}"/>
    <cellStyle name="Normal 3 4 2 5 4 4" xfId="19728" xr:uid="{00000000-0005-0000-0000-00004F8E0000}"/>
    <cellStyle name="Normal 3 4 2 5 4 4 2" xfId="46861" xr:uid="{00000000-0005-0000-0000-0000508E0000}"/>
    <cellStyle name="Normal 3 4 2 5 4 5" xfId="33299" xr:uid="{00000000-0005-0000-0000-0000518E0000}"/>
    <cellStyle name="Normal 3 4 2 5 5" xfId="9536" xr:uid="{00000000-0005-0000-0000-0000528E0000}"/>
    <cellStyle name="Normal 3 4 2 5 5 2" xfId="16325" xr:uid="{00000000-0005-0000-0000-0000538E0000}"/>
    <cellStyle name="Normal 3 4 2 5 5 2 2" xfId="29893" xr:uid="{00000000-0005-0000-0000-0000548E0000}"/>
    <cellStyle name="Normal 3 4 2 5 5 2 2 2" xfId="57026" xr:uid="{00000000-0005-0000-0000-0000558E0000}"/>
    <cellStyle name="Normal 3 4 2 5 5 2 3" xfId="43464" xr:uid="{00000000-0005-0000-0000-0000568E0000}"/>
    <cellStyle name="Normal 3 4 2 5 5 3" xfId="23112" xr:uid="{00000000-0005-0000-0000-0000578E0000}"/>
    <cellStyle name="Normal 3 4 2 5 5 3 2" xfId="50245" xr:uid="{00000000-0005-0000-0000-0000588E0000}"/>
    <cellStyle name="Normal 3 4 2 5 5 4" xfId="36683" xr:uid="{00000000-0005-0000-0000-0000598E0000}"/>
    <cellStyle name="Normal 3 4 2 5 6" xfId="12936" xr:uid="{00000000-0005-0000-0000-00005A8E0000}"/>
    <cellStyle name="Normal 3 4 2 5 6 2" xfId="26504" xr:uid="{00000000-0005-0000-0000-00005B8E0000}"/>
    <cellStyle name="Normal 3 4 2 5 6 2 2" xfId="53637" xr:uid="{00000000-0005-0000-0000-00005C8E0000}"/>
    <cellStyle name="Normal 3 4 2 5 6 3" xfId="40075" xr:uid="{00000000-0005-0000-0000-00005D8E0000}"/>
    <cellStyle name="Normal 3 4 2 5 7" xfId="19723" xr:uid="{00000000-0005-0000-0000-00005E8E0000}"/>
    <cellStyle name="Normal 3 4 2 5 7 2" xfId="46856" xr:uid="{00000000-0005-0000-0000-00005F8E0000}"/>
    <cellStyle name="Normal 3 4 2 5 8" xfId="33294" xr:uid="{00000000-0005-0000-0000-0000608E0000}"/>
    <cellStyle name="Normal 3 4 2 6" xfId="5999" xr:uid="{00000000-0005-0000-0000-0000618E0000}"/>
    <cellStyle name="Normal 3 4 2 6 2" xfId="6000" xr:uid="{00000000-0005-0000-0000-0000628E0000}"/>
    <cellStyle name="Normal 3 4 2 6 2 2" xfId="9543" xr:uid="{00000000-0005-0000-0000-0000638E0000}"/>
    <cellStyle name="Normal 3 4 2 6 2 2 2" xfId="16332" xr:uid="{00000000-0005-0000-0000-0000648E0000}"/>
    <cellStyle name="Normal 3 4 2 6 2 2 2 2" xfId="29900" xr:uid="{00000000-0005-0000-0000-0000658E0000}"/>
    <cellStyle name="Normal 3 4 2 6 2 2 2 2 2" xfId="57033" xr:uid="{00000000-0005-0000-0000-0000668E0000}"/>
    <cellStyle name="Normal 3 4 2 6 2 2 2 3" xfId="43471" xr:uid="{00000000-0005-0000-0000-0000678E0000}"/>
    <cellStyle name="Normal 3 4 2 6 2 2 3" xfId="23119" xr:uid="{00000000-0005-0000-0000-0000688E0000}"/>
    <cellStyle name="Normal 3 4 2 6 2 2 3 2" xfId="50252" xr:uid="{00000000-0005-0000-0000-0000698E0000}"/>
    <cellStyle name="Normal 3 4 2 6 2 2 4" xfId="36690" xr:uid="{00000000-0005-0000-0000-00006A8E0000}"/>
    <cellStyle name="Normal 3 4 2 6 2 3" xfId="12943" xr:uid="{00000000-0005-0000-0000-00006B8E0000}"/>
    <cellStyle name="Normal 3 4 2 6 2 3 2" xfId="26511" xr:uid="{00000000-0005-0000-0000-00006C8E0000}"/>
    <cellStyle name="Normal 3 4 2 6 2 3 2 2" xfId="53644" xr:uid="{00000000-0005-0000-0000-00006D8E0000}"/>
    <cellStyle name="Normal 3 4 2 6 2 3 3" xfId="40082" xr:uid="{00000000-0005-0000-0000-00006E8E0000}"/>
    <cellStyle name="Normal 3 4 2 6 2 4" xfId="19730" xr:uid="{00000000-0005-0000-0000-00006F8E0000}"/>
    <cellStyle name="Normal 3 4 2 6 2 4 2" xfId="46863" xr:uid="{00000000-0005-0000-0000-0000708E0000}"/>
    <cellStyle name="Normal 3 4 2 6 2 5" xfId="33301" xr:uid="{00000000-0005-0000-0000-0000718E0000}"/>
    <cellStyle name="Normal 3 4 2 6 3" xfId="6001" xr:uid="{00000000-0005-0000-0000-0000728E0000}"/>
    <cellStyle name="Normal 3 4 2 6 3 2" xfId="9544" xr:uid="{00000000-0005-0000-0000-0000738E0000}"/>
    <cellStyle name="Normal 3 4 2 6 3 2 2" xfId="16333" xr:uid="{00000000-0005-0000-0000-0000748E0000}"/>
    <cellStyle name="Normal 3 4 2 6 3 2 2 2" xfId="29901" xr:uid="{00000000-0005-0000-0000-0000758E0000}"/>
    <cellStyle name="Normal 3 4 2 6 3 2 2 2 2" xfId="57034" xr:uid="{00000000-0005-0000-0000-0000768E0000}"/>
    <cellStyle name="Normal 3 4 2 6 3 2 2 3" xfId="43472" xr:uid="{00000000-0005-0000-0000-0000778E0000}"/>
    <cellStyle name="Normal 3 4 2 6 3 2 3" xfId="23120" xr:uid="{00000000-0005-0000-0000-0000788E0000}"/>
    <cellStyle name="Normal 3 4 2 6 3 2 3 2" xfId="50253" xr:uid="{00000000-0005-0000-0000-0000798E0000}"/>
    <cellStyle name="Normal 3 4 2 6 3 2 4" xfId="36691" xr:uid="{00000000-0005-0000-0000-00007A8E0000}"/>
    <cellStyle name="Normal 3 4 2 6 3 3" xfId="12944" xr:uid="{00000000-0005-0000-0000-00007B8E0000}"/>
    <cellStyle name="Normal 3 4 2 6 3 3 2" xfId="26512" xr:uid="{00000000-0005-0000-0000-00007C8E0000}"/>
    <cellStyle name="Normal 3 4 2 6 3 3 2 2" xfId="53645" xr:uid="{00000000-0005-0000-0000-00007D8E0000}"/>
    <cellStyle name="Normal 3 4 2 6 3 3 3" xfId="40083" xr:uid="{00000000-0005-0000-0000-00007E8E0000}"/>
    <cellStyle name="Normal 3 4 2 6 3 4" xfId="19731" xr:uid="{00000000-0005-0000-0000-00007F8E0000}"/>
    <cellStyle name="Normal 3 4 2 6 3 4 2" xfId="46864" xr:uid="{00000000-0005-0000-0000-0000808E0000}"/>
    <cellStyle name="Normal 3 4 2 6 3 5" xfId="33302" xr:uid="{00000000-0005-0000-0000-0000818E0000}"/>
    <cellStyle name="Normal 3 4 2 6 4" xfId="9542" xr:uid="{00000000-0005-0000-0000-0000828E0000}"/>
    <cellStyle name="Normal 3 4 2 6 4 2" xfId="16331" xr:uid="{00000000-0005-0000-0000-0000838E0000}"/>
    <cellStyle name="Normal 3 4 2 6 4 2 2" xfId="29899" xr:uid="{00000000-0005-0000-0000-0000848E0000}"/>
    <cellStyle name="Normal 3 4 2 6 4 2 2 2" xfId="57032" xr:uid="{00000000-0005-0000-0000-0000858E0000}"/>
    <cellStyle name="Normal 3 4 2 6 4 2 3" xfId="43470" xr:uid="{00000000-0005-0000-0000-0000868E0000}"/>
    <cellStyle name="Normal 3 4 2 6 4 3" xfId="23118" xr:uid="{00000000-0005-0000-0000-0000878E0000}"/>
    <cellStyle name="Normal 3 4 2 6 4 3 2" xfId="50251" xr:uid="{00000000-0005-0000-0000-0000888E0000}"/>
    <cellStyle name="Normal 3 4 2 6 4 4" xfId="36689" xr:uid="{00000000-0005-0000-0000-0000898E0000}"/>
    <cellStyle name="Normal 3 4 2 6 5" xfId="12942" xr:uid="{00000000-0005-0000-0000-00008A8E0000}"/>
    <cellStyle name="Normal 3 4 2 6 5 2" xfId="26510" xr:uid="{00000000-0005-0000-0000-00008B8E0000}"/>
    <cellStyle name="Normal 3 4 2 6 5 2 2" xfId="53643" xr:uid="{00000000-0005-0000-0000-00008C8E0000}"/>
    <cellStyle name="Normal 3 4 2 6 5 3" xfId="40081" xr:uid="{00000000-0005-0000-0000-00008D8E0000}"/>
    <cellStyle name="Normal 3 4 2 6 6" xfId="19729" xr:uid="{00000000-0005-0000-0000-00008E8E0000}"/>
    <cellStyle name="Normal 3 4 2 6 6 2" xfId="46862" xr:uid="{00000000-0005-0000-0000-00008F8E0000}"/>
    <cellStyle name="Normal 3 4 2 6 7" xfId="33300" xr:uid="{00000000-0005-0000-0000-0000908E0000}"/>
    <cellStyle name="Normal 3 4 2 7" xfId="6002" xr:uid="{00000000-0005-0000-0000-0000918E0000}"/>
    <cellStyle name="Normal 3 4 2 7 2" xfId="6003" xr:uid="{00000000-0005-0000-0000-0000928E0000}"/>
    <cellStyle name="Normal 3 4 2 7 2 2" xfId="9546" xr:uid="{00000000-0005-0000-0000-0000938E0000}"/>
    <cellStyle name="Normal 3 4 2 7 2 2 2" xfId="16335" xr:uid="{00000000-0005-0000-0000-0000948E0000}"/>
    <cellStyle name="Normal 3 4 2 7 2 2 2 2" xfId="29903" xr:uid="{00000000-0005-0000-0000-0000958E0000}"/>
    <cellStyle name="Normal 3 4 2 7 2 2 2 2 2" xfId="57036" xr:uid="{00000000-0005-0000-0000-0000968E0000}"/>
    <cellStyle name="Normal 3 4 2 7 2 2 2 3" xfId="43474" xr:uid="{00000000-0005-0000-0000-0000978E0000}"/>
    <cellStyle name="Normal 3 4 2 7 2 2 3" xfId="23122" xr:uid="{00000000-0005-0000-0000-0000988E0000}"/>
    <cellStyle name="Normal 3 4 2 7 2 2 3 2" xfId="50255" xr:uid="{00000000-0005-0000-0000-0000998E0000}"/>
    <cellStyle name="Normal 3 4 2 7 2 2 4" xfId="36693" xr:uid="{00000000-0005-0000-0000-00009A8E0000}"/>
    <cellStyle name="Normal 3 4 2 7 2 3" xfId="12946" xr:uid="{00000000-0005-0000-0000-00009B8E0000}"/>
    <cellStyle name="Normal 3 4 2 7 2 3 2" xfId="26514" xr:uid="{00000000-0005-0000-0000-00009C8E0000}"/>
    <cellStyle name="Normal 3 4 2 7 2 3 2 2" xfId="53647" xr:uid="{00000000-0005-0000-0000-00009D8E0000}"/>
    <cellStyle name="Normal 3 4 2 7 2 3 3" xfId="40085" xr:uid="{00000000-0005-0000-0000-00009E8E0000}"/>
    <cellStyle name="Normal 3 4 2 7 2 4" xfId="19733" xr:uid="{00000000-0005-0000-0000-00009F8E0000}"/>
    <cellStyle name="Normal 3 4 2 7 2 4 2" xfId="46866" xr:uid="{00000000-0005-0000-0000-0000A08E0000}"/>
    <cellStyle name="Normal 3 4 2 7 2 5" xfId="33304" xr:uid="{00000000-0005-0000-0000-0000A18E0000}"/>
    <cellStyle name="Normal 3 4 2 7 3" xfId="6004" xr:uid="{00000000-0005-0000-0000-0000A28E0000}"/>
    <cellStyle name="Normal 3 4 2 7 3 2" xfId="9547" xr:uid="{00000000-0005-0000-0000-0000A38E0000}"/>
    <cellStyle name="Normal 3 4 2 7 3 2 2" xfId="16336" xr:uid="{00000000-0005-0000-0000-0000A48E0000}"/>
    <cellStyle name="Normal 3 4 2 7 3 2 2 2" xfId="29904" xr:uid="{00000000-0005-0000-0000-0000A58E0000}"/>
    <cellStyle name="Normal 3 4 2 7 3 2 2 2 2" xfId="57037" xr:uid="{00000000-0005-0000-0000-0000A68E0000}"/>
    <cellStyle name="Normal 3 4 2 7 3 2 2 3" xfId="43475" xr:uid="{00000000-0005-0000-0000-0000A78E0000}"/>
    <cellStyle name="Normal 3 4 2 7 3 2 3" xfId="23123" xr:uid="{00000000-0005-0000-0000-0000A88E0000}"/>
    <cellStyle name="Normal 3 4 2 7 3 2 3 2" xfId="50256" xr:uid="{00000000-0005-0000-0000-0000A98E0000}"/>
    <cellStyle name="Normal 3 4 2 7 3 2 4" xfId="36694" xr:uid="{00000000-0005-0000-0000-0000AA8E0000}"/>
    <cellStyle name="Normal 3 4 2 7 3 3" xfId="12947" xr:uid="{00000000-0005-0000-0000-0000AB8E0000}"/>
    <cellStyle name="Normal 3 4 2 7 3 3 2" xfId="26515" xr:uid="{00000000-0005-0000-0000-0000AC8E0000}"/>
    <cellStyle name="Normal 3 4 2 7 3 3 2 2" xfId="53648" xr:uid="{00000000-0005-0000-0000-0000AD8E0000}"/>
    <cellStyle name="Normal 3 4 2 7 3 3 3" xfId="40086" xr:uid="{00000000-0005-0000-0000-0000AE8E0000}"/>
    <cellStyle name="Normal 3 4 2 7 3 4" xfId="19734" xr:uid="{00000000-0005-0000-0000-0000AF8E0000}"/>
    <cellStyle name="Normal 3 4 2 7 3 4 2" xfId="46867" xr:uid="{00000000-0005-0000-0000-0000B08E0000}"/>
    <cellStyle name="Normal 3 4 2 7 3 5" xfId="33305" xr:uid="{00000000-0005-0000-0000-0000B18E0000}"/>
    <cellStyle name="Normal 3 4 2 7 4" xfId="9545" xr:uid="{00000000-0005-0000-0000-0000B28E0000}"/>
    <cellStyle name="Normal 3 4 2 7 4 2" xfId="16334" xr:uid="{00000000-0005-0000-0000-0000B38E0000}"/>
    <cellStyle name="Normal 3 4 2 7 4 2 2" xfId="29902" xr:uid="{00000000-0005-0000-0000-0000B48E0000}"/>
    <cellStyle name="Normal 3 4 2 7 4 2 2 2" xfId="57035" xr:uid="{00000000-0005-0000-0000-0000B58E0000}"/>
    <cellStyle name="Normal 3 4 2 7 4 2 3" xfId="43473" xr:uid="{00000000-0005-0000-0000-0000B68E0000}"/>
    <cellStyle name="Normal 3 4 2 7 4 3" xfId="23121" xr:uid="{00000000-0005-0000-0000-0000B78E0000}"/>
    <cellStyle name="Normal 3 4 2 7 4 3 2" xfId="50254" xr:uid="{00000000-0005-0000-0000-0000B88E0000}"/>
    <cellStyle name="Normal 3 4 2 7 4 4" xfId="36692" xr:uid="{00000000-0005-0000-0000-0000B98E0000}"/>
    <cellStyle name="Normal 3 4 2 7 5" xfId="12945" xr:uid="{00000000-0005-0000-0000-0000BA8E0000}"/>
    <cellStyle name="Normal 3 4 2 7 5 2" xfId="26513" xr:uid="{00000000-0005-0000-0000-0000BB8E0000}"/>
    <cellStyle name="Normal 3 4 2 7 5 2 2" xfId="53646" xr:uid="{00000000-0005-0000-0000-0000BC8E0000}"/>
    <cellStyle name="Normal 3 4 2 7 5 3" xfId="40084" xr:uid="{00000000-0005-0000-0000-0000BD8E0000}"/>
    <cellStyle name="Normal 3 4 2 7 6" xfId="19732" xr:uid="{00000000-0005-0000-0000-0000BE8E0000}"/>
    <cellStyle name="Normal 3 4 2 7 6 2" xfId="46865" xr:uid="{00000000-0005-0000-0000-0000BF8E0000}"/>
    <cellStyle name="Normal 3 4 2 7 7" xfId="33303" xr:uid="{00000000-0005-0000-0000-0000C08E0000}"/>
    <cellStyle name="Normal 3 4 2 8" xfId="6005" xr:uid="{00000000-0005-0000-0000-0000C18E0000}"/>
    <cellStyle name="Normal 3 4 2 8 2" xfId="9548" xr:uid="{00000000-0005-0000-0000-0000C28E0000}"/>
    <cellStyle name="Normal 3 4 2 8 2 2" xfId="16337" xr:uid="{00000000-0005-0000-0000-0000C38E0000}"/>
    <cellStyle name="Normal 3 4 2 8 2 2 2" xfId="29905" xr:uid="{00000000-0005-0000-0000-0000C48E0000}"/>
    <cellStyle name="Normal 3 4 2 8 2 2 2 2" xfId="57038" xr:uid="{00000000-0005-0000-0000-0000C58E0000}"/>
    <cellStyle name="Normal 3 4 2 8 2 2 3" xfId="43476" xr:uid="{00000000-0005-0000-0000-0000C68E0000}"/>
    <cellStyle name="Normal 3 4 2 8 2 3" xfId="23124" xr:uid="{00000000-0005-0000-0000-0000C78E0000}"/>
    <cellStyle name="Normal 3 4 2 8 2 3 2" xfId="50257" xr:uid="{00000000-0005-0000-0000-0000C88E0000}"/>
    <cellStyle name="Normal 3 4 2 8 2 4" xfId="36695" xr:uid="{00000000-0005-0000-0000-0000C98E0000}"/>
    <cellStyle name="Normal 3 4 2 8 3" xfId="12948" xr:uid="{00000000-0005-0000-0000-0000CA8E0000}"/>
    <cellStyle name="Normal 3 4 2 8 3 2" xfId="26516" xr:uid="{00000000-0005-0000-0000-0000CB8E0000}"/>
    <cellStyle name="Normal 3 4 2 8 3 2 2" xfId="53649" xr:uid="{00000000-0005-0000-0000-0000CC8E0000}"/>
    <cellStyle name="Normal 3 4 2 8 3 3" xfId="40087" xr:uid="{00000000-0005-0000-0000-0000CD8E0000}"/>
    <cellStyle name="Normal 3 4 2 8 4" xfId="19735" xr:uid="{00000000-0005-0000-0000-0000CE8E0000}"/>
    <cellStyle name="Normal 3 4 2 8 4 2" xfId="46868" xr:uid="{00000000-0005-0000-0000-0000CF8E0000}"/>
    <cellStyle name="Normal 3 4 2 8 5" xfId="33306" xr:uid="{00000000-0005-0000-0000-0000D08E0000}"/>
    <cellStyle name="Normal 3 4 2 9" xfId="6006" xr:uid="{00000000-0005-0000-0000-0000D18E0000}"/>
    <cellStyle name="Normal 3 4 2 9 2" xfId="9549" xr:uid="{00000000-0005-0000-0000-0000D28E0000}"/>
    <cellStyle name="Normal 3 4 2 9 2 2" xfId="16338" xr:uid="{00000000-0005-0000-0000-0000D38E0000}"/>
    <cellStyle name="Normal 3 4 2 9 2 2 2" xfId="29906" xr:uid="{00000000-0005-0000-0000-0000D48E0000}"/>
    <cellStyle name="Normal 3 4 2 9 2 2 2 2" xfId="57039" xr:uid="{00000000-0005-0000-0000-0000D58E0000}"/>
    <cellStyle name="Normal 3 4 2 9 2 2 3" xfId="43477" xr:uid="{00000000-0005-0000-0000-0000D68E0000}"/>
    <cellStyle name="Normal 3 4 2 9 2 3" xfId="23125" xr:uid="{00000000-0005-0000-0000-0000D78E0000}"/>
    <cellStyle name="Normal 3 4 2 9 2 3 2" xfId="50258" xr:uid="{00000000-0005-0000-0000-0000D88E0000}"/>
    <cellStyle name="Normal 3 4 2 9 2 4" xfId="36696" xr:uid="{00000000-0005-0000-0000-0000D98E0000}"/>
    <cellStyle name="Normal 3 4 2 9 3" xfId="12949" xr:uid="{00000000-0005-0000-0000-0000DA8E0000}"/>
    <cellStyle name="Normal 3 4 2 9 3 2" xfId="26517" xr:uid="{00000000-0005-0000-0000-0000DB8E0000}"/>
    <cellStyle name="Normal 3 4 2 9 3 2 2" xfId="53650" xr:uid="{00000000-0005-0000-0000-0000DC8E0000}"/>
    <cellStyle name="Normal 3 4 2 9 3 3" xfId="40088" xr:uid="{00000000-0005-0000-0000-0000DD8E0000}"/>
    <cellStyle name="Normal 3 4 2 9 4" xfId="19736" xr:uid="{00000000-0005-0000-0000-0000DE8E0000}"/>
    <cellStyle name="Normal 3 4 2 9 4 2" xfId="46869" xr:uid="{00000000-0005-0000-0000-0000DF8E0000}"/>
    <cellStyle name="Normal 3 4 2 9 5" xfId="33307" xr:uid="{00000000-0005-0000-0000-0000E08E0000}"/>
    <cellStyle name="Normal 3 4 3" xfId="2701" xr:uid="{00000000-0005-0000-0000-0000E18E0000}"/>
    <cellStyle name="Normal 3 4 3 10" xfId="10914" xr:uid="{00000000-0005-0000-0000-0000E28E0000}"/>
    <cellStyle name="Normal 3 4 3 10 2" xfId="24482" xr:uid="{00000000-0005-0000-0000-0000E38E0000}"/>
    <cellStyle name="Normal 3 4 3 10 2 2" xfId="51615" xr:uid="{00000000-0005-0000-0000-0000E48E0000}"/>
    <cellStyle name="Normal 3 4 3 10 3" xfId="38053" xr:uid="{00000000-0005-0000-0000-0000E58E0000}"/>
    <cellStyle name="Normal 3 4 3 11" xfId="17701" xr:uid="{00000000-0005-0000-0000-0000E68E0000}"/>
    <cellStyle name="Normal 3 4 3 11 2" xfId="44834" xr:uid="{00000000-0005-0000-0000-0000E78E0000}"/>
    <cellStyle name="Normal 3 4 3 12" xfId="31272" xr:uid="{00000000-0005-0000-0000-0000E88E0000}"/>
    <cellStyle name="Normal 3 4 3 2" xfId="2702" xr:uid="{00000000-0005-0000-0000-0000E98E0000}"/>
    <cellStyle name="Normal 3 4 3 2 10" xfId="31273" xr:uid="{00000000-0005-0000-0000-0000EA8E0000}"/>
    <cellStyle name="Normal 3 4 3 2 2" xfId="6007" xr:uid="{00000000-0005-0000-0000-0000EB8E0000}"/>
    <cellStyle name="Normal 3 4 3 2 2 2" xfId="6008" xr:uid="{00000000-0005-0000-0000-0000EC8E0000}"/>
    <cellStyle name="Normal 3 4 3 2 2 2 2" xfId="6009" xr:uid="{00000000-0005-0000-0000-0000ED8E0000}"/>
    <cellStyle name="Normal 3 4 3 2 2 2 2 2" xfId="9552" xr:uid="{00000000-0005-0000-0000-0000EE8E0000}"/>
    <cellStyle name="Normal 3 4 3 2 2 2 2 2 2" xfId="16341" xr:uid="{00000000-0005-0000-0000-0000EF8E0000}"/>
    <cellStyle name="Normal 3 4 3 2 2 2 2 2 2 2" xfId="29909" xr:uid="{00000000-0005-0000-0000-0000F08E0000}"/>
    <cellStyle name="Normal 3 4 3 2 2 2 2 2 2 2 2" xfId="57042" xr:uid="{00000000-0005-0000-0000-0000F18E0000}"/>
    <cellStyle name="Normal 3 4 3 2 2 2 2 2 2 3" xfId="43480" xr:uid="{00000000-0005-0000-0000-0000F28E0000}"/>
    <cellStyle name="Normal 3 4 3 2 2 2 2 2 3" xfId="23128" xr:uid="{00000000-0005-0000-0000-0000F38E0000}"/>
    <cellStyle name="Normal 3 4 3 2 2 2 2 2 3 2" xfId="50261" xr:uid="{00000000-0005-0000-0000-0000F48E0000}"/>
    <cellStyle name="Normal 3 4 3 2 2 2 2 2 4" xfId="36699" xr:uid="{00000000-0005-0000-0000-0000F58E0000}"/>
    <cellStyle name="Normal 3 4 3 2 2 2 2 3" xfId="12952" xr:uid="{00000000-0005-0000-0000-0000F68E0000}"/>
    <cellStyle name="Normal 3 4 3 2 2 2 2 3 2" xfId="26520" xr:uid="{00000000-0005-0000-0000-0000F78E0000}"/>
    <cellStyle name="Normal 3 4 3 2 2 2 2 3 2 2" xfId="53653" xr:uid="{00000000-0005-0000-0000-0000F88E0000}"/>
    <cellStyle name="Normal 3 4 3 2 2 2 2 3 3" xfId="40091" xr:uid="{00000000-0005-0000-0000-0000F98E0000}"/>
    <cellStyle name="Normal 3 4 3 2 2 2 2 4" xfId="19739" xr:uid="{00000000-0005-0000-0000-0000FA8E0000}"/>
    <cellStyle name="Normal 3 4 3 2 2 2 2 4 2" xfId="46872" xr:uid="{00000000-0005-0000-0000-0000FB8E0000}"/>
    <cellStyle name="Normal 3 4 3 2 2 2 2 5" xfId="33310" xr:uid="{00000000-0005-0000-0000-0000FC8E0000}"/>
    <cellStyle name="Normal 3 4 3 2 2 2 3" xfId="6010" xr:uid="{00000000-0005-0000-0000-0000FD8E0000}"/>
    <cellStyle name="Normal 3 4 3 2 2 2 3 2" xfId="9553" xr:uid="{00000000-0005-0000-0000-0000FE8E0000}"/>
    <cellStyle name="Normal 3 4 3 2 2 2 3 2 2" xfId="16342" xr:uid="{00000000-0005-0000-0000-0000FF8E0000}"/>
    <cellStyle name="Normal 3 4 3 2 2 2 3 2 2 2" xfId="29910" xr:uid="{00000000-0005-0000-0000-0000008F0000}"/>
    <cellStyle name="Normal 3 4 3 2 2 2 3 2 2 2 2" xfId="57043" xr:uid="{00000000-0005-0000-0000-0000018F0000}"/>
    <cellStyle name="Normal 3 4 3 2 2 2 3 2 2 3" xfId="43481" xr:uid="{00000000-0005-0000-0000-0000028F0000}"/>
    <cellStyle name="Normal 3 4 3 2 2 2 3 2 3" xfId="23129" xr:uid="{00000000-0005-0000-0000-0000038F0000}"/>
    <cellStyle name="Normal 3 4 3 2 2 2 3 2 3 2" xfId="50262" xr:uid="{00000000-0005-0000-0000-0000048F0000}"/>
    <cellStyle name="Normal 3 4 3 2 2 2 3 2 4" xfId="36700" xr:uid="{00000000-0005-0000-0000-0000058F0000}"/>
    <cellStyle name="Normal 3 4 3 2 2 2 3 3" xfId="12953" xr:uid="{00000000-0005-0000-0000-0000068F0000}"/>
    <cellStyle name="Normal 3 4 3 2 2 2 3 3 2" xfId="26521" xr:uid="{00000000-0005-0000-0000-0000078F0000}"/>
    <cellStyle name="Normal 3 4 3 2 2 2 3 3 2 2" xfId="53654" xr:uid="{00000000-0005-0000-0000-0000088F0000}"/>
    <cellStyle name="Normal 3 4 3 2 2 2 3 3 3" xfId="40092" xr:uid="{00000000-0005-0000-0000-0000098F0000}"/>
    <cellStyle name="Normal 3 4 3 2 2 2 3 4" xfId="19740" xr:uid="{00000000-0005-0000-0000-00000A8F0000}"/>
    <cellStyle name="Normal 3 4 3 2 2 2 3 4 2" xfId="46873" xr:uid="{00000000-0005-0000-0000-00000B8F0000}"/>
    <cellStyle name="Normal 3 4 3 2 2 2 3 5" xfId="33311" xr:uid="{00000000-0005-0000-0000-00000C8F0000}"/>
    <cellStyle name="Normal 3 4 3 2 2 2 4" xfId="9551" xr:uid="{00000000-0005-0000-0000-00000D8F0000}"/>
    <cellStyle name="Normal 3 4 3 2 2 2 4 2" xfId="16340" xr:uid="{00000000-0005-0000-0000-00000E8F0000}"/>
    <cellStyle name="Normal 3 4 3 2 2 2 4 2 2" xfId="29908" xr:uid="{00000000-0005-0000-0000-00000F8F0000}"/>
    <cellStyle name="Normal 3 4 3 2 2 2 4 2 2 2" xfId="57041" xr:uid="{00000000-0005-0000-0000-0000108F0000}"/>
    <cellStyle name="Normal 3 4 3 2 2 2 4 2 3" xfId="43479" xr:uid="{00000000-0005-0000-0000-0000118F0000}"/>
    <cellStyle name="Normal 3 4 3 2 2 2 4 3" xfId="23127" xr:uid="{00000000-0005-0000-0000-0000128F0000}"/>
    <cellStyle name="Normal 3 4 3 2 2 2 4 3 2" xfId="50260" xr:uid="{00000000-0005-0000-0000-0000138F0000}"/>
    <cellStyle name="Normal 3 4 3 2 2 2 4 4" xfId="36698" xr:uid="{00000000-0005-0000-0000-0000148F0000}"/>
    <cellStyle name="Normal 3 4 3 2 2 2 5" xfId="12951" xr:uid="{00000000-0005-0000-0000-0000158F0000}"/>
    <cellStyle name="Normal 3 4 3 2 2 2 5 2" xfId="26519" xr:uid="{00000000-0005-0000-0000-0000168F0000}"/>
    <cellStyle name="Normal 3 4 3 2 2 2 5 2 2" xfId="53652" xr:uid="{00000000-0005-0000-0000-0000178F0000}"/>
    <cellStyle name="Normal 3 4 3 2 2 2 5 3" xfId="40090" xr:uid="{00000000-0005-0000-0000-0000188F0000}"/>
    <cellStyle name="Normal 3 4 3 2 2 2 6" xfId="19738" xr:uid="{00000000-0005-0000-0000-0000198F0000}"/>
    <cellStyle name="Normal 3 4 3 2 2 2 6 2" xfId="46871" xr:uid="{00000000-0005-0000-0000-00001A8F0000}"/>
    <cellStyle name="Normal 3 4 3 2 2 2 7" xfId="33309" xr:uid="{00000000-0005-0000-0000-00001B8F0000}"/>
    <cellStyle name="Normal 3 4 3 2 2 3" xfId="6011" xr:uid="{00000000-0005-0000-0000-00001C8F0000}"/>
    <cellStyle name="Normal 3 4 3 2 2 3 2" xfId="6012" xr:uid="{00000000-0005-0000-0000-00001D8F0000}"/>
    <cellStyle name="Normal 3 4 3 2 2 3 2 2" xfId="9555" xr:uid="{00000000-0005-0000-0000-00001E8F0000}"/>
    <cellStyle name="Normal 3 4 3 2 2 3 2 2 2" xfId="16344" xr:uid="{00000000-0005-0000-0000-00001F8F0000}"/>
    <cellStyle name="Normal 3 4 3 2 2 3 2 2 2 2" xfId="29912" xr:uid="{00000000-0005-0000-0000-0000208F0000}"/>
    <cellStyle name="Normal 3 4 3 2 2 3 2 2 2 2 2" xfId="57045" xr:uid="{00000000-0005-0000-0000-0000218F0000}"/>
    <cellStyle name="Normal 3 4 3 2 2 3 2 2 2 3" xfId="43483" xr:uid="{00000000-0005-0000-0000-0000228F0000}"/>
    <cellStyle name="Normal 3 4 3 2 2 3 2 2 3" xfId="23131" xr:uid="{00000000-0005-0000-0000-0000238F0000}"/>
    <cellStyle name="Normal 3 4 3 2 2 3 2 2 3 2" xfId="50264" xr:uid="{00000000-0005-0000-0000-0000248F0000}"/>
    <cellStyle name="Normal 3 4 3 2 2 3 2 2 4" xfId="36702" xr:uid="{00000000-0005-0000-0000-0000258F0000}"/>
    <cellStyle name="Normal 3 4 3 2 2 3 2 3" xfId="12955" xr:uid="{00000000-0005-0000-0000-0000268F0000}"/>
    <cellStyle name="Normal 3 4 3 2 2 3 2 3 2" xfId="26523" xr:uid="{00000000-0005-0000-0000-0000278F0000}"/>
    <cellStyle name="Normal 3 4 3 2 2 3 2 3 2 2" xfId="53656" xr:uid="{00000000-0005-0000-0000-0000288F0000}"/>
    <cellStyle name="Normal 3 4 3 2 2 3 2 3 3" xfId="40094" xr:uid="{00000000-0005-0000-0000-0000298F0000}"/>
    <cellStyle name="Normal 3 4 3 2 2 3 2 4" xfId="19742" xr:uid="{00000000-0005-0000-0000-00002A8F0000}"/>
    <cellStyle name="Normal 3 4 3 2 2 3 2 4 2" xfId="46875" xr:uid="{00000000-0005-0000-0000-00002B8F0000}"/>
    <cellStyle name="Normal 3 4 3 2 2 3 2 5" xfId="33313" xr:uid="{00000000-0005-0000-0000-00002C8F0000}"/>
    <cellStyle name="Normal 3 4 3 2 2 3 3" xfId="9554" xr:uid="{00000000-0005-0000-0000-00002D8F0000}"/>
    <cellStyle name="Normal 3 4 3 2 2 3 3 2" xfId="16343" xr:uid="{00000000-0005-0000-0000-00002E8F0000}"/>
    <cellStyle name="Normal 3 4 3 2 2 3 3 2 2" xfId="29911" xr:uid="{00000000-0005-0000-0000-00002F8F0000}"/>
    <cellStyle name="Normal 3 4 3 2 2 3 3 2 2 2" xfId="57044" xr:uid="{00000000-0005-0000-0000-0000308F0000}"/>
    <cellStyle name="Normal 3 4 3 2 2 3 3 2 3" xfId="43482" xr:uid="{00000000-0005-0000-0000-0000318F0000}"/>
    <cellStyle name="Normal 3 4 3 2 2 3 3 3" xfId="23130" xr:uid="{00000000-0005-0000-0000-0000328F0000}"/>
    <cellStyle name="Normal 3 4 3 2 2 3 3 3 2" xfId="50263" xr:uid="{00000000-0005-0000-0000-0000338F0000}"/>
    <cellStyle name="Normal 3 4 3 2 2 3 3 4" xfId="36701" xr:uid="{00000000-0005-0000-0000-0000348F0000}"/>
    <cellStyle name="Normal 3 4 3 2 2 3 4" xfId="12954" xr:uid="{00000000-0005-0000-0000-0000358F0000}"/>
    <cellStyle name="Normal 3 4 3 2 2 3 4 2" xfId="26522" xr:uid="{00000000-0005-0000-0000-0000368F0000}"/>
    <cellStyle name="Normal 3 4 3 2 2 3 4 2 2" xfId="53655" xr:uid="{00000000-0005-0000-0000-0000378F0000}"/>
    <cellStyle name="Normal 3 4 3 2 2 3 4 3" xfId="40093" xr:uid="{00000000-0005-0000-0000-0000388F0000}"/>
    <cellStyle name="Normal 3 4 3 2 2 3 5" xfId="19741" xr:uid="{00000000-0005-0000-0000-0000398F0000}"/>
    <cellStyle name="Normal 3 4 3 2 2 3 5 2" xfId="46874" xr:uid="{00000000-0005-0000-0000-00003A8F0000}"/>
    <cellStyle name="Normal 3 4 3 2 2 3 6" xfId="33312" xr:uid="{00000000-0005-0000-0000-00003B8F0000}"/>
    <cellStyle name="Normal 3 4 3 2 2 4" xfId="6013" xr:uid="{00000000-0005-0000-0000-00003C8F0000}"/>
    <cellStyle name="Normal 3 4 3 2 2 4 2" xfId="9556" xr:uid="{00000000-0005-0000-0000-00003D8F0000}"/>
    <cellStyle name="Normal 3 4 3 2 2 4 2 2" xfId="16345" xr:uid="{00000000-0005-0000-0000-00003E8F0000}"/>
    <cellStyle name="Normal 3 4 3 2 2 4 2 2 2" xfId="29913" xr:uid="{00000000-0005-0000-0000-00003F8F0000}"/>
    <cellStyle name="Normal 3 4 3 2 2 4 2 2 2 2" xfId="57046" xr:uid="{00000000-0005-0000-0000-0000408F0000}"/>
    <cellStyle name="Normal 3 4 3 2 2 4 2 2 3" xfId="43484" xr:uid="{00000000-0005-0000-0000-0000418F0000}"/>
    <cellStyle name="Normal 3 4 3 2 2 4 2 3" xfId="23132" xr:uid="{00000000-0005-0000-0000-0000428F0000}"/>
    <cellStyle name="Normal 3 4 3 2 2 4 2 3 2" xfId="50265" xr:uid="{00000000-0005-0000-0000-0000438F0000}"/>
    <cellStyle name="Normal 3 4 3 2 2 4 2 4" xfId="36703" xr:uid="{00000000-0005-0000-0000-0000448F0000}"/>
    <cellStyle name="Normal 3 4 3 2 2 4 3" xfId="12956" xr:uid="{00000000-0005-0000-0000-0000458F0000}"/>
    <cellStyle name="Normal 3 4 3 2 2 4 3 2" xfId="26524" xr:uid="{00000000-0005-0000-0000-0000468F0000}"/>
    <cellStyle name="Normal 3 4 3 2 2 4 3 2 2" xfId="53657" xr:uid="{00000000-0005-0000-0000-0000478F0000}"/>
    <cellStyle name="Normal 3 4 3 2 2 4 3 3" xfId="40095" xr:uid="{00000000-0005-0000-0000-0000488F0000}"/>
    <cellStyle name="Normal 3 4 3 2 2 4 4" xfId="19743" xr:uid="{00000000-0005-0000-0000-0000498F0000}"/>
    <cellStyle name="Normal 3 4 3 2 2 4 4 2" xfId="46876" xr:uid="{00000000-0005-0000-0000-00004A8F0000}"/>
    <cellStyle name="Normal 3 4 3 2 2 4 5" xfId="33314" xr:uid="{00000000-0005-0000-0000-00004B8F0000}"/>
    <cellStyle name="Normal 3 4 3 2 2 5" xfId="6014" xr:uid="{00000000-0005-0000-0000-00004C8F0000}"/>
    <cellStyle name="Normal 3 4 3 2 2 5 2" xfId="9557" xr:uid="{00000000-0005-0000-0000-00004D8F0000}"/>
    <cellStyle name="Normal 3 4 3 2 2 5 2 2" xfId="16346" xr:uid="{00000000-0005-0000-0000-00004E8F0000}"/>
    <cellStyle name="Normal 3 4 3 2 2 5 2 2 2" xfId="29914" xr:uid="{00000000-0005-0000-0000-00004F8F0000}"/>
    <cellStyle name="Normal 3 4 3 2 2 5 2 2 2 2" xfId="57047" xr:uid="{00000000-0005-0000-0000-0000508F0000}"/>
    <cellStyle name="Normal 3 4 3 2 2 5 2 2 3" xfId="43485" xr:uid="{00000000-0005-0000-0000-0000518F0000}"/>
    <cellStyle name="Normal 3 4 3 2 2 5 2 3" xfId="23133" xr:uid="{00000000-0005-0000-0000-0000528F0000}"/>
    <cellStyle name="Normal 3 4 3 2 2 5 2 3 2" xfId="50266" xr:uid="{00000000-0005-0000-0000-0000538F0000}"/>
    <cellStyle name="Normal 3 4 3 2 2 5 2 4" xfId="36704" xr:uid="{00000000-0005-0000-0000-0000548F0000}"/>
    <cellStyle name="Normal 3 4 3 2 2 5 3" xfId="12957" xr:uid="{00000000-0005-0000-0000-0000558F0000}"/>
    <cellStyle name="Normal 3 4 3 2 2 5 3 2" xfId="26525" xr:uid="{00000000-0005-0000-0000-0000568F0000}"/>
    <cellStyle name="Normal 3 4 3 2 2 5 3 2 2" xfId="53658" xr:uid="{00000000-0005-0000-0000-0000578F0000}"/>
    <cellStyle name="Normal 3 4 3 2 2 5 3 3" xfId="40096" xr:uid="{00000000-0005-0000-0000-0000588F0000}"/>
    <cellStyle name="Normal 3 4 3 2 2 5 4" xfId="19744" xr:uid="{00000000-0005-0000-0000-0000598F0000}"/>
    <cellStyle name="Normal 3 4 3 2 2 5 4 2" xfId="46877" xr:uid="{00000000-0005-0000-0000-00005A8F0000}"/>
    <cellStyle name="Normal 3 4 3 2 2 5 5" xfId="33315" xr:uid="{00000000-0005-0000-0000-00005B8F0000}"/>
    <cellStyle name="Normal 3 4 3 2 2 6" xfId="9550" xr:uid="{00000000-0005-0000-0000-00005C8F0000}"/>
    <cellStyle name="Normal 3 4 3 2 2 6 2" xfId="16339" xr:uid="{00000000-0005-0000-0000-00005D8F0000}"/>
    <cellStyle name="Normal 3 4 3 2 2 6 2 2" xfId="29907" xr:uid="{00000000-0005-0000-0000-00005E8F0000}"/>
    <cellStyle name="Normal 3 4 3 2 2 6 2 2 2" xfId="57040" xr:uid="{00000000-0005-0000-0000-00005F8F0000}"/>
    <cellStyle name="Normal 3 4 3 2 2 6 2 3" xfId="43478" xr:uid="{00000000-0005-0000-0000-0000608F0000}"/>
    <cellStyle name="Normal 3 4 3 2 2 6 3" xfId="23126" xr:uid="{00000000-0005-0000-0000-0000618F0000}"/>
    <cellStyle name="Normal 3 4 3 2 2 6 3 2" xfId="50259" xr:uid="{00000000-0005-0000-0000-0000628F0000}"/>
    <cellStyle name="Normal 3 4 3 2 2 6 4" xfId="36697" xr:uid="{00000000-0005-0000-0000-0000638F0000}"/>
    <cellStyle name="Normal 3 4 3 2 2 7" xfId="12950" xr:uid="{00000000-0005-0000-0000-0000648F0000}"/>
    <cellStyle name="Normal 3 4 3 2 2 7 2" xfId="26518" xr:uid="{00000000-0005-0000-0000-0000658F0000}"/>
    <cellStyle name="Normal 3 4 3 2 2 7 2 2" xfId="53651" xr:uid="{00000000-0005-0000-0000-0000668F0000}"/>
    <cellStyle name="Normal 3 4 3 2 2 7 3" xfId="40089" xr:uid="{00000000-0005-0000-0000-0000678F0000}"/>
    <cellStyle name="Normal 3 4 3 2 2 8" xfId="19737" xr:uid="{00000000-0005-0000-0000-0000688F0000}"/>
    <cellStyle name="Normal 3 4 3 2 2 8 2" xfId="46870" xr:uid="{00000000-0005-0000-0000-0000698F0000}"/>
    <cellStyle name="Normal 3 4 3 2 2 9" xfId="33308" xr:uid="{00000000-0005-0000-0000-00006A8F0000}"/>
    <cellStyle name="Normal 3 4 3 2 3" xfId="6015" xr:uid="{00000000-0005-0000-0000-00006B8F0000}"/>
    <cellStyle name="Normal 3 4 3 2 3 2" xfId="6016" xr:uid="{00000000-0005-0000-0000-00006C8F0000}"/>
    <cellStyle name="Normal 3 4 3 2 3 2 2" xfId="9559" xr:uid="{00000000-0005-0000-0000-00006D8F0000}"/>
    <cellStyle name="Normal 3 4 3 2 3 2 2 2" xfId="16348" xr:uid="{00000000-0005-0000-0000-00006E8F0000}"/>
    <cellStyle name="Normal 3 4 3 2 3 2 2 2 2" xfId="29916" xr:uid="{00000000-0005-0000-0000-00006F8F0000}"/>
    <cellStyle name="Normal 3 4 3 2 3 2 2 2 2 2" xfId="57049" xr:uid="{00000000-0005-0000-0000-0000708F0000}"/>
    <cellStyle name="Normal 3 4 3 2 3 2 2 2 3" xfId="43487" xr:uid="{00000000-0005-0000-0000-0000718F0000}"/>
    <cellStyle name="Normal 3 4 3 2 3 2 2 3" xfId="23135" xr:uid="{00000000-0005-0000-0000-0000728F0000}"/>
    <cellStyle name="Normal 3 4 3 2 3 2 2 3 2" xfId="50268" xr:uid="{00000000-0005-0000-0000-0000738F0000}"/>
    <cellStyle name="Normal 3 4 3 2 3 2 2 4" xfId="36706" xr:uid="{00000000-0005-0000-0000-0000748F0000}"/>
    <cellStyle name="Normal 3 4 3 2 3 2 3" xfId="12959" xr:uid="{00000000-0005-0000-0000-0000758F0000}"/>
    <cellStyle name="Normal 3 4 3 2 3 2 3 2" xfId="26527" xr:uid="{00000000-0005-0000-0000-0000768F0000}"/>
    <cellStyle name="Normal 3 4 3 2 3 2 3 2 2" xfId="53660" xr:uid="{00000000-0005-0000-0000-0000778F0000}"/>
    <cellStyle name="Normal 3 4 3 2 3 2 3 3" xfId="40098" xr:uid="{00000000-0005-0000-0000-0000788F0000}"/>
    <cellStyle name="Normal 3 4 3 2 3 2 4" xfId="19746" xr:uid="{00000000-0005-0000-0000-0000798F0000}"/>
    <cellStyle name="Normal 3 4 3 2 3 2 4 2" xfId="46879" xr:uid="{00000000-0005-0000-0000-00007A8F0000}"/>
    <cellStyle name="Normal 3 4 3 2 3 2 5" xfId="33317" xr:uid="{00000000-0005-0000-0000-00007B8F0000}"/>
    <cellStyle name="Normal 3 4 3 2 3 3" xfId="6017" xr:uid="{00000000-0005-0000-0000-00007C8F0000}"/>
    <cellStyle name="Normal 3 4 3 2 3 3 2" xfId="9560" xr:uid="{00000000-0005-0000-0000-00007D8F0000}"/>
    <cellStyle name="Normal 3 4 3 2 3 3 2 2" xfId="16349" xr:uid="{00000000-0005-0000-0000-00007E8F0000}"/>
    <cellStyle name="Normal 3 4 3 2 3 3 2 2 2" xfId="29917" xr:uid="{00000000-0005-0000-0000-00007F8F0000}"/>
    <cellStyle name="Normal 3 4 3 2 3 3 2 2 2 2" xfId="57050" xr:uid="{00000000-0005-0000-0000-0000808F0000}"/>
    <cellStyle name="Normal 3 4 3 2 3 3 2 2 3" xfId="43488" xr:uid="{00000000-0005-0000-0000-0000818F0000}"/>
    <cellStyle name="Normal 3 4 3 2 3 3 2 3" xfId="23136" xr:uid="{00000000-0005-0000-0000-0000828F0000}"/>
    <cellStyle name="Normal 3 4 3 2 3 3 2 3 2" xfId="50269" xr:uid="{00000000-0005-0000-0000-0000838F0000}"/>
    <cellStyle name="Normal 3 4 3 2 3 3 2 4" xfId="36707" xr:uid="{00000000-0005-0000-0000-0000848F0000}"/>
    <cellStyle name="Normal 3 4 3 2 3 3 3" xfId="12960" xr:uid="{00000000-0005-0000-0000-0000858F0000}"/>
    <cellStyle name="Normal 3 4 3 2 3 3 3 2" xfId="26528" xr:uid="{00000000-0005-0000-0000-0000868F0000}"/>
    <cellStyle name="Normal 3 4 3 2 3 3 3 2 2" xfId="53661" xr:uid="{00000000-0005-0000-0000-0000878F0000}"/>
    <cellStyle name="Normal 3 4 3 2 3 3 3 3" xfId="40099" xr:uid="{00000000-0005-0000-0000-0000888F0000}"/>
    <cellStyle name="Normal 3 4 3 2 3 3 4" xfId="19747" xr:uid="{00000000-0005-0000-0000-0000898F0000}"/>
    <cellStyle name="Normal 3 4 3 2 3 3 4 2" xfId="46880" xr:uid="{00000000-0005-0000-0000-00008A8F0000}"/>
    <cellStyle name="Normal 3 4 3 2 3 3 5" xfId="33318" xr:uid="{00000000-0005-0000-0000-00008B8F0000}"/>
    <cellStyle name="Normal 3 4 3 2 3 4" xfId="9558" xr:uid="{00000000-0005-0000-0000-00008C8F0000}"/>
    <cellStyle name="Normal 3 4 3 2 3 4 2" xfId="16347" xr:uid="{00000000-0005-0000-0000-00008D8F0000}"/>
    <cellStyle name="Normal 3 4 3 2 3 4 2 2" xfId="29915" xr:uid="{00000000-0005-0000-0000-00008E8F0000}"/>
    <cellStyle name="Normal 3 4 3 2 3 4 2 2 2" xfId="57048" xr:uid="{00000000-0005-0000-0000-00008F8F0000}"/>
    <cellStyle name="Normal 3 4 3 2 3 4 2 3" xfId="43486" xr:uid="{00000000-0005-0000-0000-0000908F0000}"/>
    <cellStyle name="Normal 3 4 3 2 3 4 3" xfId="23134" xr:uid="{00000000-0005-0000-0000-0000918F0000}"/>
    <cellStyle name="Normal 3 4 3 2 3 4 3 2" xfId="50267" xr:uid="{00000000-0005-0000-0000-0000928F0000}"/>
    <cellStyle name="Normal 3 4 3 2 3 4 4" xfId="36705" xr:uid="{00000000-0005-0000-0000-0000938F0000}"/>
    <cellStyle name="Normal 3 4 3 2 3 5" xfId="12958" xr:uid="{00000000-0005-0000-0000-0000948F0000}"/>
    <cellStyle name="Normal 3 4 3 2 3 5 2" xfId="26526" xr:uid="{00000000-0005-0000-0000-0000958F0000}"/>
    <cellStyle name="Normal 3 4 3 2 3 5 2 2" xfId="53659" xr:uid="{00000000-0005-0000-0000-0000968F0000}"/>
    <cellStyle name="Normal 3 4 3 2 3 5 3" xfId="40097" xr:uid="{00000000-0005-0000-0000-0000978F0000}"/>
    <cellStyle name="Normal 3 4 3 2 3 6" xfId="19745" xr:uid="{00000000-0005-0000-0000-0000988F0000}"/>
    <cellStyle name="Normal 3 4 3 2 3 6 2" xfId="46878" xr:uid="{00000000-0005-0000-0000-0000998F0000}"/>
    <cellStyle name="Normal 3 4 3 2 3 7" xfId="33316" xr:uid="{00000000-0005-0000-0000-00009A8F0000}"/>
    <cellStyle name="Normal 3 4 3 2 4" xfId="6018" xr:uid="{00000000-0005-0000-0000-00009B8F0000}"/>
    <cellStyle name="Normal 3 4 3 2 4 2" xfId="6019" xr:uid="{00000000-0005-0000-0000-00009C8F0000}"/>
    <cellStyle name="Normal 3 4 3 2 4 2 2" xfId="9562" xr:uid="{00000000-0005-0000-0000-00009D8F0000}"/>
    <cellStyle name="Normal 3 4 3 2 4 2 2 2" xfId="16351" xr:uid="{00000000-0005-0000-0000-00009E8F0000}"/>
    <cellStyle name="Normal 3 4 3 2 4 2 2 2 2" xfId="29919" xr:uid="{00000000-0005-0000-0000-00009F8F0000}"/>
    <cellStyle name="Normal 3 4 3 2 4 2 2 2 2 2" xfId="57052" xr:uid="{00000000-0005-0000-0000-0000A08F0000}"/>
    <cellStyle name="Normal 3 4 3 2 4 2 2 2 3" xfId="43490" xr:uid="{00000000-0005-0000-0000-0000A18F0000}"/>
    <cellStyle name="Normal 3 4 3 2 4 2 2 3" xfId="23138" xr:uid="{00000000-0005-0000-0000-0000A28F0000}"/>
    <cellStyle name="Normal 3 4 3 2 4 2 2 3 2" xfId="50271" xr:uid="{00000000-0005-0000-0000-0000A38F0000}"/>
    <cellStyle name="Normal 3 4 3 2 4 2 2 4" xfId="36709" xr:uid="{00000000-0005-0000-0000-0000A48F0000}"/>
    <cellStyle name="Normal 3 4 3 2 4 2 3" xfId="12962" xr:uid="{00000000-0005-0000-0000-0000A58F0000}"/>
    <cellStyle name="Normal 3 4 3 2 4 2 3 2" xfId="26530" xr:uid="{00000000-0005-0000-0000-0000A68F0000}"/>
    <cellStyle name="Normal 3 4 3 2 4 2 3 2 2" xfId="53663" xr:uid="{00000000-0005-0000-0000-0000A78F0000}"/>
    <cellStyle name="Normal 3 4 3 2 4 2 3 3" xfId="40101" xr:uid="{00000000-0005-0000-0000-0000A88F0000}"/>
    <cellStyle name="Normal 3 4 3 2 4 2 4" xfId="19749" xr:uid="{00000000-0005-0000-0000-0000A98F0000}"/>
    <cellStyle name="Normal 3 4 3 2 4 2 4 2" xfId="46882" xr:uid="{00000000-0005-0000-0000-0000AA8F0000}"/>
    <cellStyle name="Normal 3 4 3 2 4 2 5" xfId="33320" xr:uid="{00000000-0005-0000-0000-0000AB8F0000}"/>
    <cellStyle name="Normal 3 4 3 2 4 3" xfId="9561" xr:uid="{00000000-0005-0000-0000-0000AC8F0000}"/>
    <cellStyle name="Normal 3 4 3 2 4 3 2" xfId="16350" xr:uid="{00000000-0005-0000-0000-0000AD8F0000}"/>
    <cellStyle name="Normal 3 4 3 2 4 3 2 2" xfId="29918" xr:uid="{00000000-0005-0000-0000-0000AE8F0000}"/>
    <cellStyle name="Normal 3 4 3 2 4 3 2 2 2" xfId="57051" xr:uid="{00000000-0005-0000-0000-0000AF8F0000}"/>
    <cellStyle name="Normal 3 4 3 2 4 3 2 3" xfId="43489" xr:uid="{00000000-0005-0000-0000-0000B08F0000}"/>
    <cellStyle name="Normal 3 4 3 2 4 3 3" xfId="23137" xr:uid="{00000000-0005-0000-0000-0000B18F0000}"/>
    <cellStyle name="Normal 3 4 3 2 4 3 3 2" xfId="50270" xr:uid="{00000000-0005-0000-0000-0000B28F0000}"/>
    <cellStyle name="Normal 3 4 3 2 4 3 4" xfId="36708" xr:uid="{00000000-0005-0000-0000-0000B38F0000}"/>
    <cellStyle name="Normal 3 4 3 2 4 4" xfId="12961" xr:uid="{00000000-0005-0000-0000-0000B48F0000}"/>
    <cellStyle name="Normal 3 4 3 2 4 4 2" xfId="26529" xr:uid="{00000000-0005-0000-0000-0000B58F0000}"/>
    <cellStyle name="Normal 3 4 3 2 4 4 2 2" xfId="53662" xr:uid="{00000000-0005-0000-0000-0000B68F0000}"/>
    <cellStyle name="Normal 3 4 3 2 4 4 3" xfId="40100" xr:uid="{00000000-0005-0000-0000-0000B78F0000}"/>
    <cellStyle name="Normal 3 4 3 2 4 5" xfId="19748" xr:uid="{00000000-0005-0000-0000-0000B88F0000}"/>
    <cellStyle name="Normal 3 4 3 2 4 5 2" xfId="46881" xr:uid="{00000000-0005-0000-0000-0000B98F0000}"/>
    <cellStyle name="Normal 3 4 3 2 4 6" xfId="33319" xr:uid="{00000000-0005-0000-0000-0000BA8F0000}"/>
    <cellStyle name="Normal 3 4 3 2 5" xfId="6020" xr:uid="{00000000-0005-0000-0000-0000BB8F0000}"/>
    <cellStyle name="Normal 3 4 3 2 5 2" xfId="9563" xr:uid="{00000000-0005-0000-0000-0000BC8F0000}"/>
    <cellStyle name="Normal 3 4 3 2 5 2 2" xfId="16352" xr:uid="{00000000-0005-0000-0000-0000BD8F0000}"/>
    <cellStyle name="Normal 3 4 3 2 5 2 2 2" xfId="29920" xr:uid="{00000000-0005-0000-0000-0000BE8F0000}"/>
    <cellStyle name="Normal 3 4 3 2 5 2 2 2 2" xfId="57053" xr:uid="{00000000-0005-0000-0000-0000BF8F0000}"/>
    <cellStyle name="Normal 3 4 3 2 5 2 2 3" xfId="43491" xr:uid="{00000000-0005-0000-0000-0000C08F0000}"/>
    <cellStyle name="Normal 3 4 3 2 5 2 3" xfId="23139" xr:uid="{00000000-0005-0000-0000-0000C18F0000}"/>
    <cellStyle name="Normal 3 4 3 2 5 2 3 2" xfId="50272" xr:uid="{00000000-0005-0000-0000-0000C28F0000}"/>
    <cellStyle name="Normal 3 4 3 2 5 2 4" xfId="36710" xr:uid="{00000000-0005-0000-0000-0000C38F0000}"/>
    <cellStyle name="Normal 3 4 3 2 5 3" xfId="12963" xr:uid="{00000000-0005-0000-0000-0000C48F0000}"/>
    <cellStyle name="Normal 3 4 3 2 5 3 2" xfId="26531" xr:uid="{00000000-0005-0000-0000-0000C58F0000}"/>
    <cellStyle name="Normal 3 4 3 2 5 3 2 2" xfId="53664" xr:uid="{00000000-0005-0000-0000-0000C68F0000}"/>
    <cellStyle name="Normal 3 4 3 2 5 3 3" xfId="40102" xr:uid="{00000000-0005-0000-0000-0000C78F0000}"/>
    <cellStyle name="Normal 3 4 3 2 5 4" xfId="19750" xr:uid="{00000000-0005-0000-0000-0000C88F0000}"/>
    <cellStyle name="Normal 3 4 3 2 5 4 2" xfId="46883" xr:uid="{00000000-0005-0000-0000-0000C98F0000}"/>
    <cellStyle name="Normal 3 4 3 2 5 5" xfId="33321" xr:uid="{00000000-0005-0000-0000-0000CA8F0000}"/>
    <cellStyle name="Normal 3 4 3 2 6" xfId="6021" xr:uid="{00000000-0005-0000-0000-0000CB8F0000}"/>
    <cellStyle name="Normal 3 4 3 2 6 2" xfId="9564" xr:uid="{00000000-0005-0000-0000-0000CC8F0000}"/>
    <cellStyle name="Normal 3 4 3 2 6 2 2" xfId="16353" xr:uid="{00000000-0005-0000-0000-0000CD8F0000}"/>
    <cellStyle name="Normal 3 4 3 2 6 2 2 2" xfId="29921" xr:uid="{00000000-0005-0000-0000-0000CE8F0000}"/>
    <cellStyle name="Normal 3 4 3 2 6 2 2 2 2" xfId="57054" xr:uid="{00000000-0005-0000-0000-0000CF8F0000}"/>
    <cellStyle name="Normal 3 4 3 2 6 2 2 3" xfId="43492" xr:uid="{00000000-0005-0000-0000-0000D08F0000}"/>
    <cellStyle name="Normal 3 4 3 2 6 2 3" xfId="23140" xr:uid="{00000000-0005-0000-0000-0000D18F0000}"/>
    <cellStyle name="Normal 3 4 3 2 6 2 3 2" xfId="50273" xr:uid="{00000000-0005-0000-0000-0000D28F0000}"/>
    <cellStyle name="Normal 3 4 3 2 6 2 4" xfId="36711" xr:uid="{00000000-0005-0000-0000-0000D38F0000}"/>
    <cellStyle name="Normal 3 4 3 2 6 3" xfId="12964" xr:uid="{00000000-0005-0000-0000-0000D48F0000}"/>
    <cellStyle name="Normal 3 4 3 2 6 3 2" xfId="26532" xr:uid="{00000000-0005-0000-0000-0000D58F0000}"/>
    <cellStyle name="Normal 3 4 3 2 6 3 2 2" xfId="53665" xr:uid="{00000000-0005-0000-0000-0000D68F0000}"/>
    <cellStyle name="Normal 3 4 3 2 6 3 3" xfId="40103" xr:uid="{00000000-0005-0000-0000-0000D78F0000}"/>
    <cellStyle name="Normal 3 4 3 2 6 4" xfId="19751" xr:uid="{00000000-0005-0000-0000-0000D88F0000}"/>
    <cellStyle name="Normal 3 4 3 2 6 4 2" xfId="46884" xr:uid="{00000000-0005-0000-0000-0000D98F0000}"/>
    <cellStyle name="Normal 3 4 3 2 6 5" xfId="33322" xr:uid="{00000000-0005-0000-0000-0000DA8F0000}"/>
    <cellStyle name="Normal 3 4 3 2 7" xfId="7515" xr:uid="{00000000-0005-0000-0000-0000DB8F0000}"/>
    <cellStyle name="Normal 3 4 3 2 7 2" xfId="14304" xr:uid="{00000000-0005-0000-0000-0000DC8F0000}"/>
    <cellStyle name="Normal 3 4 3 2 7 2 2" xfId="27872" xr:uid="{00000000-0005-0000-0000-0000DD8F0000}"/>
    <cellStyle name="Normal 3 4 3 2 7 2 2 2" xfId="55005" xr:uid="{00000000-0005-0000-0000-0000DE8F0000}"/>
    <cellStyle name="Normal 3 4 3 2 7 2 3" xfId="41443" xr:uid="{00000000-0005-0000-0000-0000DF8F0000}"/>
    <cellStyle name="Normal 3 4 3 2 7 3" xfId="21091" xr:uid="{00000000-0005-0000-0000-0000E08F0000}"/>
    <cellStyle name="Normal 3 4 3 2 7 3 2" xfId="48224" xr:uid="{00000000-0005-0000-0000-0000E18F0000}"/>
    <cellStyle name="Normal 3 4 3 2 7 4" xfId="34662" xr:uid="{00000000-0005-0000-0000-0000E28F0000}"/>
    <cellStyle name="Normal 3 4 3 2 8" xfId="10915" xr:uid="{00000000-0005-0000-0000-0000E38F0000}"/>
    <cellStyle name="Normal 3 4 3 2 8 2" xfId="24483" xr:uid="{00000000-0005-0000-0000-0000E48F0000}"/>
    <cellStyle name="Normal 3 4 3 2 8 2 2" xfId="51616" xr:uid="{00000000-0005-0000-0000-0000E58F0000}"/>
    <cellStyle name="Normal 3 4 3 2 8 3" xfId="38054" xr:uid="{00000000-0005-0000-0000-0000E68F0000}"/>
    <cellStyle name="Normal 3 4 3 2 9" xfId="17702" xr:uid="{00000000-0005-0000-0000-0000E78F0000}"/>
    <cellStyle name="Normal 3 4 3 2 9 2" xfId="44835" xr:uid="{00000000-0005-0000-0000-0000E88F0000}"/>
    <cellStyle name="Normal 3 4 3 3" xfId="6022" xr:uid="{00000000-0005-0000-0000-0000E98F0000}"/>
    <cellStyle name="Normal 3 4 3 3 2" xfId="6023" xr:uid="{00000000-0005-0000-0000-0000EA8F0000}"/>
    <cellStyle name="Normal 3 4 3 3 2 2" xfId="6024" xr:uid="{00000000-0005-0000-0000-0000EB8F0000}"/>
    <cellStyle name="Normal 3 4 3 3 2 2 2" xfId="9567" xr:uid="{00000000-0005-0000-0000-0000EC8F0000}"/>
    <cellStyle name="Normal 3 4 3 3 2 2 2 2" xfId="16356" xr:uid="{00000000-0005-0000-0000-0000ED8F0000}"/>
    <cellStyle name="Normal 3 4 3 3 2 2 2 2 2" xfId="29924" xr:uid="{00000000-0005-0000-0000-0000EE8F0000}"/>
    <cellStyle name="Normal 3 4 3 3 2 2 2 2 2 2" xfId="57057" xr:uid="{00000000-0005-0000-0000-0000EF8F0000}"/>
    <cellStyle name="Normal 3 4 3 3 2 2 2 2 3" xfId="43495" xr:uid="{00000000-0005-0000-0000-0000F08F0000}"/>
    <cellStyle name="Normal 3 4 3 3 2 2 2 3" xfId="23143" xr:uid="{00000000-0005-0000-0000-0000F18F0000}"/>
    <cellStyle name="Normal 3 4 3 3 2 2 2 3 2" xfId="50276" xr:uid="{00000000-0005-0000-0000-0000F28F0000}"/>
    <cellStyle name="Normal 3 4 3 3 2 2 2 4" xfId="36714" xr:uid="{00000000-0005-0000-0000-0000F38F0000}"/>
    <cellStyle name="Normal 3 4 3 3 2 2 3" xfId="12967" xr:uid="{00000000-0005-0000-0000-0000F48F0000}"/>
    <cellStyle name="Normal 3 4 3 3 2 2 3 2" xfId="26535" xr:uid="{00000000-0005-0000-0000-0000F58F0000}"/>
    <cellStyle name="Normal 3 4 3 3 2 2 3 2 2" xfId="53668" xr:uid="{00000000-0005-0000-0000-0000F68F0000}"/>
    <cellStyle name="Normal 3 4 3 3 2 2 3 3" xfId="40106" xr:uid="{00000000-0005-0000-0000-0000F78F0000}"/>
    <cellStyle name="Normal 3 4 3 3 2 2 4" xfId="19754" xr:uid="{00000000-0005-0000-0000-0000F88F0000}"/>
    <cellStyle name="Normal 3 4 3 3 2 2 4 2" xfId="46887" xr:uid="{00000000-0005-0000-0000-0000F98F0000}"/>
    <cellStyle name="Normal 3 4 3 3 2 2 5" xfId="33325" xr:uid="{00000000-0005-0000-0000-0000FA8F0000}"/>
    <cellStyle name="Normal 3 4 3 3 2 3" xfId="6025" xr:uid="{00000000-0005-0000-0000-0000FB8F0000}"/>
    <cellStyle name="Normal 3 4 3 3 2 3 2" xfId="9568" xr:uid="{00000000-0005-0000-0000-0000FC8F0000}"/>
    <cellStyle name="Normal 3 4 3 3 2 3 2 2" xfId="16357" xr:uid="{00000000-0005-0000-0000-0000FD8F0000}"/>
    <cellStyle name="Normal 3 4 3 3 2 3 2 2 2" xfId="29925" xr:uid="{00000000-0005-0000-0000-0000FE8F0000}"/>
    <cellStyle name="Normal 3 4 3 3 2 3 2 2 2 2" xfId="57058" xr:uid="{00000000-0005-0000-0000-0000FF8F0000}"/>
    <cellStyle name="Normal 3 4 3 3 2 3 2 2 3" xfId="43496" xr:uid="{00000000-0005-0000-0000-000000900000}"/>
    <cellStyle name="Normal 3 4 3 3 2 3 2 3" xfId="23144" xr:uid="{00000000-0005-0000-0000-000001900000}"/>
    <cellStyle name="Normal 3 4 3 3 2 3 2 3 2" xfId="50277" xr:uid="{00000000-0005-0000-0000-000002900000}"/>
    <cellStyle name="Normal 3 4 3 3 2 3 2 4" xfId="36715" xr:uid="{00000000-0005-0000-0000-000003900000}"/>
    <cellStyle name="Normal 3 4 3 3 2 3 3" xfId="12968" xr:uid="{00000000-0005-0000-0000-000004900000}"/>
    <cellStyle name="Normal 3 4 3 3 2 3 3 2" xfId="26536" xr:uid="{00000000-0005-0000-0000-000005900000}"/>
    <cellStyle name="Normal 3 4 3 3 2 3 3 2 2" xfId="53669" xr:uid="{00000000-0005-0000-0000-000006900000}"/>
    <cellStyle name="Normal 3 4 3 3 2 3 3 3" xfId="40107" xr:uid="{00000000-0005-0000-0000-000007900000}"/>
    <cellStyle name="Normal 3 4 3 3 2 3 4" xfId="19755" xr:uid="{00000000-0005-0000-0000-000008900000}"/>
    <cellStyle name="Normal 3 4 3 3 2 3 4 2" xfId="46888" xr:uid="{00000000-0005-0000-0000-000009900000}"/>
    <cellStyle name="Normal 3 4 3 3 2 3 5" xfId="33326" xr:uid="{00000000-0005-0000-0000-00000A900000}"/>
    <cellStyle name="Normal 3 4 3 3 2 4" xfId="9566" xr:uid="{00000000-0005-0000-0000-00000B900000}"/>
    <cellStyle name="Normal 3 4 3 3 2 4 2" xfId="16355" xr:uid="{00000000-0005-0000-0000-00000C900000}"/>
    <cellStyle name="Normal 3 4 3 3 2 4 2 2" xfId="29923" xr:uid="{00000000-0005-0000-0000-00000D900000}"/>
    <cellStyle name="Normal 3 4 3 3 2 4 2 2 2" xfId="57056" xr:uid="{00000000-0005-0000-0000-00000E900000}"/>
    <cellStyle name="Normal 3 4 3 3 2 4 2 3" xfId="43494" xr:uid="{00000000-0005-0000-0000-00000F900000}"/>
    <cellStyle name="Normal 3 4 3 3 2 4 3" xfId="23142" xr:uid="{00000000-0005-0000-0000-000010900000}"/>
    <cellStyle name="Normal 3 4 3 3 2 4 3 2" xfId="50275" xr:uid="{00000000-0005-0000-0000-000011900000}"/>
    <cellStyle name="Normal 3 4 3 3 2 4 4" xfId="36713" xr:uid="{00000000-0005-0000-0000-000012900000}"/>
    <cellStyle name="Normal 3 4 3 3 2 5" xfId="12966" xr:uid="{00000000-0005-0000-0000-000013900000}"/>
    <cellStyle name="Normal 3 4 3 3 2 5 2" xfId="26534" xr:uid="{00000000-0005-0000-0000-000014900000}"/>
    <cellStyle name="Normal 3 4 3 3 2 5 2 2" xfId="53667" xr:uid="{00000000-0005-0000-0000-000015900000}"/>
    <cellStyle name="Normal 3 4 3 3 2 5 3" xfId="40105" xr:uid="{00000000-0005-0000-0000-000016900000}"/>
    <cellStyle name="Normal 3 4 3 3 2 6" xfId="19753" xr:uid="{00000000-0005-0000-0000-000017900000}"/>
    <cellStyle name="Normal 3 4 3 3 2 6 2" xfId="46886" xr:uid="{00000000-0005-0000-0000-000018900000}"/>
    <cellStyle name="Normal 3 4 3 3 2 7" xfId="33324" xr:uid="{00000000-0005-0000-0000-000019900000}"/>
    <cellStyle name="Normal 3 4 3 3 3" xfId="6026" xr:uid="{00000000-0005-0000-0000-00001A900000}"/>
    <cellStyle name="Normal 3 4 3 3 3 2" xfId="6027" xr:uid="{00000000-0005-0000-0000-00001B900000}"/>
    <cellStyle name="Normal 3 4 3 3 3 2 2" xfId="9570" xr:uid="{00000000-0005-0000-0000-00001C900000}"/>
    <cellStyle name="Normal 3 4 3 3 3 2 2 2" xfId="16359" xr:uid="{00000000-0005-0000-0000-00001D900000}"/>
    <cellStyle name="Normal 3 4 3 3 3 2 2 2 2" xfId="29927" xr:uid="{00000000-0005-0000-0000-00001E900000}"/>
    <cellStyle name="Normal 3 4 3 3 3 2 2 2 2 2" xfId="57060" xr:uid="{00000000-0005-0000-0000-00001F900000}"/>
    <cellStyle name="Normal 3 4 3 3 3 2 2 2 3" xfId="43498" xr:uid="{00000000-0005-0000-0000-000020900000}"/>
    <cellStyle name="Normal 3 4 3 3 3 2 2 3" xfId="23146" xr:uid="{00000000-0005-0000-0000-000021900000}"/>
    <cellStyle name="Normal 3 4 3 3 3 2 2 3 2" xfId="50279" xr:uid="{00000000-0005-0000-0000-000022900000}"/>
    <cellStyle name="Normal 3 4 3 3 3 2 2 4" xfId="36717" xr:uid="{00000000-0005-0000-0000-000023900000}"/>
    <cellStyle name="Normal 3 4 3 3 3 2 3" xfId="12970" xr:uid="{00000000-0005-0000-0000-000024900000}"/>
    <cellStyle name="Normal 3 4 3 3 3 2 3 2" xfId="26538" xr:uid="{00000000-0005-0000-0000-000025900000}"/>
    <cellStyle name="Normal 3 4 3 3 3 2 3 2 2" xfId="53671" xr:uid="{00000000-0005-0000-0000-000026900000}"/>
    <cellStyle name="Normal 3 4 3 3 3 2 3 3" xfId="40109" xr:uid="{00000000-0005-0000-0000-000027900000}"/>
    <cellStyle name="Normal 3 4 3 3 3 2 4" xfId="19757" xr:uid="{00000000-0005-0000-0000-000028900000}"/>
    <cellStyle name="Normal 3 4 3 3 3 2 4 2" xfId="46890" xr:uid="{00000000-0005-0000-0000-000029900000}"/>
    <cellStyle name="Normal 3 4 3 3 3 2 5" xfId="33328" xr:uid="{00000000-0005-0000-0000-00002A900000}"/>
    <cellStyle name="Normal 3 4 3 3 3 3" xfId="9569" xr:uid="{00000000-0005-0000-0000-00002B900000}"/>
    <cellStyle name="Normal 3 4 3 3 3 3 2" xfId="16358" xr:uid="{00000000-0005-0000-0000-00002C900000}"/>
    <cellStyle name="Normal 3 4 3 3 3 3 2 2" xfId="29926" xr:uid="{00000000-0005-0000-0000-00002D900000}"/>
    <cellStyle name="Normal 3 4 3 3 3 3 2 2 2" xfId="57059" xr:uid="{00000000-0005-0000-0000-00002E900000}"/>
    <cellStyle name="Normal 3 4 3 3 3 3 2 3" xfId="43497" xr:uid="{00000000-0005-0000-0000-00002F900000}"/>
    <cellStyle name="Normal 3 4 3 3 3 3 3" xfId="23145" xr:uid="{00000000-0005-0000-0000-000030900000}"/>
    <cellStyle name="Normal 3 4 3 3 3 3 3 2" xfId="50278" xr:uid="{00000000-0005-0000-0000-000031900000}"/>
    <cellStyle name="Normal 3 4 3 3 3 3 4" xfId="36716" xr:uid="{00000000-0005-0000-0000-000032900000}"/>
    <cellStyle name="Normal 3 4 3 3 3 4" xfId="12969" xr:uid="{00000000-0005-0000-0000-000033900000}"/>
    <cellStyle name="Normal 3 4 3 3 3 4 2" xfId="26537" xr:uid="{00000000-0005-0000-0000-000034900000}"/>
    <cellStyle name="Normal 3 4 3 3 3 4 2 2" xfId="53670" xr:uid="{00000000-0005-0000-0000-000035900000}"/>
    <cellStyle name="Normal 3 4 3 3 3 4 3" xfId="40108" xr:uid="{00000000-0005-0000-0000-000036900000}"/>
    <cellStyle name="Normal 3 4 3 3 3 5" xfId="19756" xr:uid="{00000000-0005-0000-0000-000037900000}"/>
    <cellStyle name="Normal 3 4 3 3 3 5 2" xfId="46889" xr:uid="{00000000-0005-0000-0000-000038900000}"/>
    <cellStyle name="Normal 3 4 3 3 3 6" xfId="33327" xr:uid="{00000000-0005-0000-0000-000039900000}"/>
    <cellStyle name="Normal 3 4 3 3 4" xfId="6028" xr:uid="{00000000-0005-0000-0000-00003A900000}"/>
    <cellStyle name="Normal 3 4 3 3 4 2" xfId="9571" xr:uid="{00000000-0005-0000-0000-00003B900000}"/>
    <cellStyle name="Normal 3 4 3 3 4 2 2" xfId="16360" xr:uid="{00000000-0005-0000-0000-00003C900000}"/>
    <cellStyle name="Normal 3 4 3 3 4 2 2 2" xfId="29928" xr:uid="{00000000-0005-0000-0000-00003D900000}"/>
    <cellStyle name="Normal 3 4 3 3 4 2 2 2 2" xfId="57061" xr:uid="{00000000-0005-0000-0000-00003E900000}"/>
    <cellStyle name="Normal 3 4 3 3 4 2 2 3" xfId="43499" xr:uid="{00000000-0005-0000-0000-00003F900000}"/>
    <cellStyle name="Normal 3 4 3 3 4 2 3" xfId="23147" xr:uid="{00000000-0005-0000-0000-000040900000}"/>
    <cellStyle name="Normal 3 4 3 3 4 2 3 2" xfId="50280" xr:uid="{00000000-0005-0000-0000-000041900000}"/>
    <cellStyle name="Normal 3 4 3 3 4 2 4" xfId="36718" xr:uid="{00000000-0005-0000-0000-000042900000}"/>
    <cellStyle name="Normal 3 4 3 3 4 3" xfId="12971" xr:uid="{00000000-0005-0000-0000-000043900000}"/>
    <cellStyle name="Normal 3 4 3 3 4 3 2" xfId="26539" xr:uid="{00000000-0005-0000-0000-000044900000}"/>
    <cellStyle name="Normal 3 4 3 3 4 3 2 2" xfId="53672" xr:uid="{00000000-0005-0000-0000-000045900000}"/>
    <cellStyle name="Normal 3 4 3 3 4 3 3" xfId="40110" xr:uid="{00000000-0005-0000-0000-000046900000}"/>
    <cellStyle name="Normal 3 4 3 3 4 4" xfId="19758" xr:uid="{00000000-0005-0000-0000-000047900000}"/>
    <cellStyle name="Normal 3 4 3 3 4 4 2" xfId="46891" xr:uid="{00000000-0005-0000-0000-000048900000}"/>
    <cellStyle name="Normal 3 4 3 3 4 5" xfId="33329" xr:uid="{00000000-0005-0000-0000-000049900000}"/>
    <cellStyle name="Normal 3 4 3 3 5" xfId="6029" xr:uid="{00000000-0005-0000-0000-00004A900000}"/>
    <cellStyle name="Normal 3 4 3 3 5 2" xfId="9572" xr:uid="{00000000-0005-0000-0000-00004B900000}"/>
    <cellStyle name="Normal 3 4 3 3 5 2 2" xfId="16361" xr:uid="{00000000-0005-0000-0000-00004C900000}"/>
    <cellStyle name="Normal 3 4 3 3 5 2 2 2" xfId="29929" xr:uid="{00000000-0005-0000-0000-00004D900000}"/>
    <cellStyle name="Normal 3 4 3 3 5 2 2 2 2" xfId="57062" xr:uid="{00000000-0005-0000-0000-00004E900000}"/>
    <cellStyle name="Normal 3 4 3 3 5 2 2 3" xfId="43500" xr:uid="{00000000-0005-0000-0000-00004F900000}"/>
    <cellStyle name="Normal 3 4 3 3 5 2 3" xfId="23148" xr:uid="{00000000-0005-0000-0000-000050900000}"/>
    <cellStyle name="Normal 3 4 3 3 5 2 3 2" xfId="50281" xr:uid="{00000000-0005-0000-0000-000051900000}"/>
    <cellStyle name="Normal 3 4 3 3 5 2 4" xfId="36719" xr:uid="{00000000-0005-0000-0000-000052900000}"/>
    <cellStyle name="Normal 3 4 3 3 5 3" xfId="12972" xr:uid="{00000000-0005-0000-0000-000053900000}"/>
    <cellStyle name="Normal 3 4 3 3 5 3 2" xfId="26540" xr:uid="{00000000-0005-0000-0000-000054900000}"/>
    <cellStyle name="Normal 3 4 3 3 5 3 2 2" xfId="53673" xr:uid="{00000000-0005-0000-0000-000055900000}"/>
    <cellStyle name="Normal 3 4 3 3 5 3 3" xfId="40111" xr:uid="{00000000-0005-0000-0000-000056900000}"/>
    <cellStyle name="Normal 3 4 3 3 5 4" xfId="19759" xr:uid="{00000000-0005-0000-0000-000057900000}"/>
    <cellStyle name="Normal 3 4 3 3 5 4 2" xfId="46892" xr:uid="{00000000-0005-0000-0000-000058900000}"/>
    <cellStyle name="Normal 3 4 3 3 5 5" xfId="33330" xr:uid="{00000000-0005-0000-0000-000059900000}"/>
    <cellStyle name="Normal 3 4 3 3 6" xfId="9565" xr:uid="{00000000-0005-0000-0000-00005A900000}"/>
    <cellStyle name="Normal 3 4 3 3 6 2" xfId="16354" xr:uid="{00000000-0005-0000-0000-00005B900000}"/>
    <cellStyle name="Normal 3 4 3 3 6 2 2" xfId="29922" xr:uid="{00000000-0005-0000-0000-00005C900000}"/>
    <cellStyle name="Normal 3 4 3 3 6 2 2 2" xfId="57055" xr:uid="{00000000-0005-0000-0000-00005D900000}"/>
    <cellStyle name="Normal 3 4 3 3 6 2 3" xfId="43493" xr:uid="{00000000-0005-0000-0000-00005E900000}"/>
    <cellStyle name="Normal 3 4 3 3 6 3" xfId="23141" xr:uid="{00000000-0005-0000-0000-00005F900000}"/>
    <cellStyle name="Normal 3 4 3 3 6 3 2" xfId="50274" xr:uid="{00000000-0005-0000-0000-000060900000}"/>
    <cellStyle name="Normal 3 4 3 3 6 4" xfId="36712" xr:uid="{00000000-0005-0000-0000-000061900000}"/>
    <cellStyle name="Normal 3 4 3 3 7" xfId="12965" xr:uid="{00000000-0005-0000-0000-000062900000}"/>
    <cellStyle name="Normal 3 4 3 3 7 2" xfId="26533" xr:uid="{00000000-0005-0000-0000-000063900000}"/>
    <cellStyle name="Normal 3 4 3 3 7 2 2" xfId="53666" xr:uid="{00000000-0005-0000-0000-000064900000}"/>
    <cellStyle name="Normal 3 4 3 3 7 3" xfId="40104" xr:uid="{00000000-0005-0000-0000-000065900000}"/>
    <cellStyle name="Normal 3 4 3 3 8" xfId="19752" xr:uid="{00000000-0005-0000-0000-000066900000}"/>
    <cellStyle name="Normal 3 4 3 3 8 2" xfId="46885" xr:uid="{00000000-0005-0000-0000-000067900000}"/>
    <cellStyle name="Normal 3 4 3 3 9" xfId="33323" xr:uid="{00000000-0005-0000-0000-000068900000}"/>
    <cellStyle name="Normal 3 4 3 4" xfId="6030" xr:uid="{00000000-0005-0000-0000-000069900000}"/>
    <cellStyle name="Normal 3 4 3 4 2" xfId="6031" xr:uid="{00000000-0005-0000-0000-00006A900000}"/>
    <cellStyle name="Normal 3 4 3 4 2 2" xfId="6032" xr:uid="{00000000-0005-0000-0000-00006B900000}"/>
    <cellStyle name="Normal 3 4 3 4 2 2 2" xfId="9575" xr:uid="{00000000-0005-0000-0000-00006C900000}"/>
    <cellStyle name="Normal 3 4 3 4 2 2 2 2" xfId="16364" xr:uid="{00000000-0005-0000-0000-00006D900000}"/>
    <cellStyle name="Normal 3 4 3 4 2 2 2 2 2" xfId="29932" xr:uid="{00000000-0005-0000-0000-00006E900000}"/>
    <cellStyle name="Normal 3 4 3 4 2 2 2 2 2 2" xfId="57065" xr:uid="{00000000-0005-0000-0000-00006F900000}"/>
    <cellStyle name="Normal 3 4 3 4 2 2 2 2 3" xfId="43503" xr:uid="{00000000-0005-0000-0000-000070900000}"/>
    <cellStyle name="Normal 3 4 3 4 2 2 2 3" xfId="23151" xr:uid="{00000000-0005-0000-0000-000071900000}"/>
    <cellStyle name="Normal 3 4 3 4 2 2 2 3 2" xfId="50284" xr:uid="{00000000-0005-0000-0000-000072900000}"/>
    <cellStyle name="Normal 3 4 3 4 2 2 2 4" xfId="36722" xr:uid="{00000000-0005-0000-0000-000073900000}"/>
    <cellStyle name="Normal 3 4 3 4 2 2 3" xfId="12975" xr:uid="{00000000-0005-0000-0000-000074900000}"/>
    <cellStyle name="Normal 3 4 3 4 2 2 3 2" xfId="26543" xr:uid="{00000000-0005-0000-0000-000075900000}"/>
    <cellStyle name="Normal 3 4 3 4 2 2 3 2 2" xfId="53676" xr:uid="{00000000-0005-0000-0000-000076900000}"/>
    <cellStyle name="Normal 3 4 3 4 2 2 3 3" xfId="40114" xr:uid="{00000000-0005-0000-0000-000077900000}"/>
    <cellStyle name="Normal 3 4 3 4 2 2 4" xfId="19762" xr:uid="{00000000-0005-0000-0000-000078900000}"/>
    <cellStyle name="Normal 3 4 3 4 2 2 4 2" xfId="46895" xr:uid="{00000000-0005-0000-0000-000079900000}"/>
    <cellStyle name="Normal 3 4 3 4 2 2 5" xfId="33333" xr:uid="{00000000-0005-0000-0000-00007A900000}"/>
    <cellStyle name="Normal 3 4 3 4 2 3" xfId="6033" xr:uid="{00000000-0005-0000-0000-00007B900000}"/>
    <cellStyle name="Normal 3 4 3 4 2 3 2" xfId="9576" xr:uid="{00000000-0005-0000-0000-00007C900000}"/>
    <cellStyle name="Normal 3 4 3 4 2 3 2 2" xfId="16365" xr:uid="{00000000-0005-0000-0000-00007D900000}"/>
    <cellStyle name="Normal 3 4 3 4 2 3 2 2 2" xfId="29933" xr:uid="{00000000-0005-0000-0000-00007E900000}"/>
    <cellStyle name="Normal 3 4 3 4 2 3 2 2 2 2" xfId="57066" xr:uid="{00000000-0005-0000-0000-00007F900000}"/>
    <cellStyle name="Normal 3 4 3 4 2 3 2 2 3" xfId="43504" xr:uid="{00000000-0005-0000-0000-000080900000}"/>
    <cellStyle name="Normal 3 4 3 4 2 3 2 3" xfId="23152" xr:uid="{00000000-0005-0000-0000-000081900000}"/>
    <cellStyle name="Normal 3 4 3 4 2 3 2 3 2" xfId="50285" xr:uid="{00000000-0005-0000-0000-000082900000}"/>
    <cellStyle name="Normal 3 4 3 4 2 3 2 4" xfId="36723" xr:uid="{00000000-0005-0000-0000-000083900000}"/>
    <cellStyle name="Normal 3 4 3 4 2 3 3" xfId="12976" xr:uid="{00000000-0005-0000-0000-000084900000}"/>
    <cellStyle name="Normal 3 4 3 4 2 3 3 2" xfId="26544" xr:uid="{00000000-0005-0000-0000-000085900000}"/>
    <cellStyle name="Normal 3 4 3 4 2 3 3 2 2" xfId="53677" xr:uid="{00000000-0005-0000-0000-000086900000}"/>
    <cellStyle name="Normal 3 4 3 4 2 3 3 3" xfId="40115" xr:uid="{00000000-0005-0000-0000-000087900000}"/>
    <cellStyle name="Normal 3 4 3 4 2 3 4" xfId="19763" xr:uid="{00000000-0005-0000-0000-000088900000}"/>
    <cellStyle name="Normal 3 4 3 4 2 3 4 2" xfId="46896" xr:uid="{00000000-0005-0000-0000-000089900000}"/>
    <cellStyle name="Normal 3 4 3 4 2 3 5" xfId="33334" xr:uid="{00000000-0005-0000-0000-00008A900000}"/>
    <cellStyle name="Normal 3 4 3 4 2 4" xfId="9574" xr:uid="{00000000-0005-0000-0000-00008B900000}"/>
    <cellStyle name="Normal 3 4 3 4 2 4 2" xfId="16363" xr:uid="{00000000-0005-0000-0000-00008C900000}"/>
    <cellStyle name="Normal 3 4 3 4 2 4 2 2" xfId="29931" xr:uid="{00000000-0005-0000-0000-00008D900000}"/>
    <cellStyle name="Normal 3 4 3 4 2 4 2 2 2" xfId="57064" xr:uid="{00000000-0005-0000-0000-00008E900000}"/>
    <cellStyle name="Normal 3 4 3 4 2 4 2 3" xfId="43502" xr:uid="{00000000-0005-0000-0000-00008F900000}"/>
    <cellStyle name="Normal 3 4 3 4 2 4 3" xfId="23150" xr:uid="{00000000-0005-0000-0000-000090900000}"/>
    <cellStyle name="Normal 3 4 3 4 2 4 3 2" xfId="50283" xr:uid="{00000000-0005-0000-0000-000091900000}"/>
    <cellStyle name="Normal 3 4 3 4 2 4 4" xfId="36721" xr:uid="{00000000-0005-0000-0000-000092900000}"/>
    <cellStyle name="Normal 3 4 3 4 2 5" xfId="12974" xr:uid="{00000000-0005-0000-0000-000093900000}"/>
    <cellStyle name="Normal 3 4 3 4 2 5 2" xfId="26542" xr:uid="{00000000-0005-0000-0000-000094900000}"/>
    <cellStyle name="Normal 3 4 3 4 2 5 2 2" xfId="53675" xr:uid="{00000000-0005-0000-0000-000095900000}"/>
    <cellStyle name="Normal 3 4 3 4 2 5 3" xfId="40113" xr:uid="{00000000-0005-0000-0000-000096900000}"/>
    <cellStyle name="Normal 3 4 3 4 2 6" xfId="19761" xr:uid="{00000000-0005-0000-0000-000097900000}"/>
    <cellStyle name="Normal 3 4 3 4 2 6 2" xfId="46894" xr:uid="{00000000-0005-0000-0000-000098900000}"/>
    <cellStyle name="Normal 3 4 3 4 2 7" xfId="33332" xr:uid="{00000000-0005-0000-0000-000099900000}"/>
    <cellStyle name="Normal 3 4 3 4 3" xfId="6034" xr:uid="{00000000-0005-0000-0000-00009A900000}"/>
    <cellStyle name="Normal 3 4 3 4 3 2" xfId="9577" xr:uid="{00000000-0005-0000-0000-00009B900000}"/>
    <cellStyle name="Normal 3 4 3 4 3 2 2" xfId="16366" xr:uid="{00000000-0005-0000-0000-00009C900000}"/>
    <cellStyle name="Normal 3 4 3 4 3 2 2 2" xfId="29934" xr:uid="{00000000-0005-0000-0000-00009D900000}"/>
    <cellStyle name="Normal 3 4 3 4 3 2 2 2 2" xfId="57067" xr:uid="{00000000-0005-0000-0000-00009E900000}"/>
    <cellStyle name="Normal 3 4 3 4 3 2 2 3" xfId="43505" xr:uid="{00000000-0005-0000-0000-00009F900000}"/>
    <cellStyle name="Normal 3 4 3 4 3 2 3" xfId="23153" xr:uid="{00000000-0005-0000-0000-0000A0900000}"/>
    <cellStyle name="Normal 3 4 3 4 3 2 3 2" xfId="50286" xr:uid="{00000000-0005-0000-0000-0000A1900000}"/>
    <cellStyle name="Normal 3 4 3 4 3 2 4" xfId="36724" xr:uid="{00000000-0005-0000-0000-0000A2900000}"/>
    <cellStyle name="Normal 3 4 3 4 3 3" xfId="12977" xr:uid="{00000000-0005-0000-0000-0000A3900000}"/>
    <cellStyle name="Normal 3 4 3 4 3 3 2" xfId="26545" xr:uid="{00000000-0005-0000-0000-0000A4900000}"/>
    <cellStyle name="Normal 3 4 3 4 3 3 2 2" xfId="53678" xr:uid="{00000000-0005-0000-0000-0000A5900000}"/>
    <cellStyle name="Normal 3 4 3 4 3 3 3" xfId="40116" xr:uid="{00000000-0005-0000-0000-0000A6900000}"/>
    <cellStyle name="Normal 3 4 3 4 3 4" xfId="19764" xr:uid="{00000000-0005-0000-0000-0000A7900000}"/>
    <cellStyle name="Normal 3 4 3 4 3 4 2" xfId="46897" xr:uid="{00000000-0005-0000-0000-0000A8900000}"/>
    <cellStyle name="Normal 3 4 3 4 3 5" xfId="33335" xr:uid="{00000000-0005-0000-0000-0000A9900000}"/>
    <cellStyle name="Normal 3 4 3 4 4" xfId="6035" xr:uid="{00000000-0005-0000-0000-0000AA900000}"/>
    <cellStyle name="Normal 3 4 3 4 4 2" xfId="9578" xr:uid="{00000000-0005-0000-0000-0000AB900000}"/>
    <cellStyle name="Normal 3 4 3 4 4 2 2" xfId="16367" xr:uid="{00000000-0005-0000-0000-0000AC900000}"/>
    <cellStyle name="Normal 3 4 3 4 4 2 2 2" xfId="29935" xr:uid="{00000000-0005-0000-0000-0000AD900000}"/>
    <cellStyle name="Normal 3 4 3 4 4 2 2 2 2" xfId="57068" xr:uid="{00000000-0005-0000-0000-0000AE900000}"/>
    <cellStyle name="Normal 3 4 3 4 4 2 2 3" xfId="43506" xr:uid="{00000000-0005-0000-0000-0000AF900000}"/>
    <cellStyle name="Normal 3 4 3 4 4 2 3" xfId="23154" xr:uid="{00000000-0005-0000-0000-0000B0900000}"/>
    <cellStyle name="Normal 3 4 3 4 4 2 3 2" xfId="50287" xr:uid="{00000000-0005-0000-0000-0000B1900000}"/>
    <cellStyle name="Normal 3 4 3 4 4 2 4" xfId="36725" xr:uid="{00000000-0005-0000-0000-0000B2900000}"/>
    <cellStyle name="Normal 3 4 3 4 4 3" xfId="12978" xr:uid="{00000000-0005-0000-0000-0000B3900000}"/>
    <cellStyle name="Normal 3 4 3 4 4 3 2" xfId="26546" xr:uid="{00000000-0005-0000-0000-0000B4900000}"/>
    <cellStyle name="Normal 3 4 3 4 4 3 2 2" xfId="53679" xr:uid="{00000000-0005-0000-0000-0000B5900000}"/>
    <cellStyle name="Normal 3 4 3 4 4 3 3" xfId="40117" xr:uid="{00000000-0005-0000-0000-0000B6900000}"/>
    <cellStyle name="Normal 3 4 3 4 4 4" xfId="19765" xr:uid="{00000000-0005-0000-0000-0000B7900000}"/>
    <cellStyle name="Normal 3 4 3 4 4 4 2" xfId="46898" xr:uid="{00000000-0005-0000-0000-0000B8900000}"/>
    <cellStyle name="Normal 3 4 3 4 4 5" xfId="33336" xr:uid="{00000000-0005-0000-0000-0000B9900000}"/>
    <cellStyle name="Normal 3 4 3 4 5" xfId="9573" xr:uid="{00000000-0005-0000-0000-0000BA900000}"/>
    <cellStyle name="Normal 3 4 3 4 5 2" xfId="16362" xr:uid="{00000000-0005-0000-0000-0000BB900000}"/>
    <cellStyle name="Normal 3 4 3 4 5 2 2" xfId="29930" xr:uid="{00000000-0005-0000-0000-0000BC900000}"/>
    <cellStyle name="Normal 3 4 3 4 5 2 2 2" xfId="57063" xr:uid="{00000000-0005-0000-0000-0000BD900000}"/>
    <cellStyle name="Normal 3 4 3 4 5 2 3" xfId="43501" xr:uid="{00000000-0005-0000-0000-0000BE900000}"/>
    <cellStyle name="Normal 3 4 3 4 5 3" xfId="23149" xr:uid="{00000000-0005-0000-0000-0000BF900000}"/>
    <cellStyle name="Normal 3 4 3 4 5 3 2" xfId="50282" xr:uid="{00000000-0005-0000-0000-0000C0900000}"/>
    <cellStyle name="Normal 3 4 3 4 5 4" xfId="36720" xr:uid="{00000000-0005-0000-0000-0000C1900000}"/>
    <cellStyle name="Normal 3 4 3 4 6" xfId="12973" xr:uid="{00000000-0005-0000-0000-0000C2900000}"/>
    <cellStyle name="Normal 3 4 3 4 6 2" xfId="26541" xr:uid="{00000000-0005-0000-0000-0000C3900000}"/>
    <cellStyle name="Normal 3 4 3 4 6 2 2" xfId="53674" xr:uid="{00000000-0005-0000-0000-0000C4900000}"/>
    <cellStyle name="Normal 3 4 3 4 6 3" xfId="40112" xr:uid="{00000000-0005-0000-0000-0000C5900000}"/>
    <cellStyle name="Normal 3 4 3 4 7" xfId="19760" xr:uid="{00000000-0005-0000-0000-0000C6900000}"/>
    <cellStyle name="Normal 3 4 3 4 7 2" xfId="46893" xr:uid="{00000000-0005-0000-0000-0000C7900000}"/>
    <cellStyle name="Normal 3 4 3 4 8" xfId="33331" xr:uid="{00000000-0005-0000-0000-0000C8900000}"/>
    <cellStyle name="Normal 3 4 3 5" xfId="6036" xr:uid="{00000000-0005-0000-0000-0000C9900000}"/>
    <cellStyle name="Normal 3 4 3 5 2" xfId="6037" xr:uid="{00000000-0005-0000-0000-0000CA900000}"/>
    <cellStyle name="Normal 3 4 3 5 2 2" xfId="9580" xr:uid="{00000000-0005-0000-0000-0000CB900000}"/>
    <cellStyle name="Normal 3 4 3 5 2 2 2" xfId="16369" xr:uid="{00000000-0005-0000-0000-0000CC900000}"/>
    <cellStyle name="Normal 3 4 3 5 2 2 2 2" xfId="29937" xr:uid="{00000000-0005-0000-0000-0000CD900000}"/>
    <cellStyle name="Normal 3 4 3 5 2 2 2 2 2" xfId="57070" xr:uid="{00000000-0005-0000-0000-0000CE900000}"/>
    <cellStyle name="Normal 3 4 3 5 2 2 2 3" xfId="43508" xr:uid="{00000000-0005-0000-0000-0000CF900000}"/>
    <cellStyle name="Normal 3 4 3 5 2 2 3" xfId="23156" xr:uid="{00000000-0005-0000-0000-0000D0900000}"/>
    <cellStyle name="Normal 3 4 3 5 2 2 3 2" xfId="50289" xr:uid="{00000000-0005-0000-0000-0000D1900000}"/>
    <cellStyle name="Normal 3 4 3 5 2 2 4" xfId="36727" xr:uid="{00000000-0005-0000-0000-0000D2900000}"/>
    <cellStyle name="Normal 3 4 3 5 2 3" xfId="12980" xr:uid="{00000000-0005-0000-0000-0000D3900000}"/>
    <cellStyle name="Normal 3 4 3 5 2 3 2" xfId="26548" xr:uid="{00000000-0005-0000-0000-0000D4900000}"/>
    <cellStyle name="Normal 3 4 3 5 2 3 2 2" xfId="53681" xr:uid="{00000000-0005-0000-0000-0000D5900000}"/>
    <cellStyle name="Normal 3 4 3 5 2 3 3" xfId="40119" xr:uid="{00000000-0005-0000-0000-0000D6900000}"/>
    <cellStyle name="Normal 3 4 3 5 2 4" xfId="19767" xr:uid="{00000000-0005-0000-0000-0000D7900000}"/>
    <cellStyle name="Normal 3 4 3 5 2 4 2" xfId="46900" xr:uid="{00000000-0005-0000-0000-0000D8900000}"/>
    <cellStyle name="Normal 3 4 3 5 2 5" xfId="33338" xr:uid="{00000000-0005-0000-0000-0000D9900000}"/>
    <cellStyle name="Normal 3 4 3 5 3" xfId="6038" xr:uid="{00000000-0005-0000-0000-0000DA900000}"/>
    <cellStyle name="Normal 3 4 3 5 3 2" xfId="9581" xr:uid="{00000000-0005-0000-0000-0000DB900000}"/>
    <cellStyle name="Normal 3 4 3 5 3 2 2" xfId="16370" xr:uid="{00000000-0005-0000-0000-0000DC900000}"/>
    <cellStyle name="Normal 3 4 3 5 3 2 2 2" xfId="29938" xr:uid="{00000000-0005-0000-0000-0000DD900000}"/>
    <cellStyle name="Normal 3 4 3 5 3 2 2 2 2" xfId="57071" xr:uid="{00000000-0005-0000-0000-0000DE900000}"/>
    <cellStyle name="Normal 3 4 3 5 3 2 2 3" xfId="43509" xr:uid="{00000000-0005-0000-0000-0000DF900000}"/>
    <cellStyle name="Normal 3 4 3 5 3 2 3" xfId="23157" xr:uid="{00000000-0005-0000-0000-0000E0900000}"/>
    <cellStyle name="Normal 3 4 3 5 3 2 3 2" xfId="50290" xr:uid="{00000000-0005-0000-0000-0000E1900000}"/>
    <cellStyle name="Normal 3 4 3 5 3 2 4" xfId="36728" xr:uid="{00000000-0005-0000-0000-0000E2900000}"/>
    <cellStyle name="Normal 3 4 3 5 3 3" xfId="12981" xr:uid="{00000000-0005-0000-0000-0000E3900000}"/>
    <cellStyle name="Normal 3 4 3 5 3 3 2" xfId="26549" xr:uid="{00000000-0005-0000-0000-0000E4900000}"/>
    <cellStyle name="Normal 3 4 3 5 3 3 2 2" xfId="53682" xr:uid="{00000000-0005-0000-0000-0000E5900000}"/>
    <cellStyle name="Normal 3 4 3 5 3 3 3" xfId="40120" xr:uid="{00000000-0005-0000-0000-0000E6900000}"/>
    <cellStyle name="Normal 3 4 3 5 3 4" xfId="19768" xr:uid="{00000000-0005-0000-0000-0000E7900000}"/>
    <cellStyle name="Normal 3 4 3 5 3 4 2" xfId="46901" xr:uid="{00000000-0005-0000-0000-0000E8900000}"/>
    <cellStyle name="Normal 3 4 3 5 3 5" xfId="33339" xr:uid="{00000000-0005-0000-0000-0000E9900000}"/>
    <cellStyle name="Normal 3 4 3 5 4" xfId="9579" xr:uid="{00000000-0005-0000-0000-0000EA900000}"/>
    <cellStyle name="Normal 3 4 3 5 4 2" xfId="16368" xr:uid="{00000000-0005-0000-0000-0000EB900000}"/>
    <cellStyle name="Normal 3 4 3 5 4 2 2" xfId="29936" xr:uid="{00000000-0005-0000-0000-0000EC900000}"/>
    <cellStyle name="Normal 3 4 3 5 4 2 2 2" xfId="57069" xr:uid="{00000000-0005-0000-0000-0000ED900000}"/>
    <cellStyle name="Normal 3 4 3 5 4 2 3" xfId="43507" xr:uid="{00000000-0005-0000-0000-0000EE900000}"/>
    <cellStyle name="Normal 3 4 3 5 4 3" xfId="23155" xr:uid="{00000000-0005-0000-0000-0000EF900000}"/>
    <cellStyle name="Normal 3 4 3 5 4 3 2" xfId="50288" xr:uid="{00000000-0005-0000-0000-0000F0900000}"/>
    <cellStyle name="Normal 3 4 3 5 4 4" xfId="36726" xr:uid="{00000000-0005-0000-0000-0000F1900000}"/>
    <cellStyle name="Normal 3 4 3 5 5" xfId="12979" xr:uid="{00000000-0005-0000-0000-0000F2900000}"/>
    <cellStyle name="Normal 3 4 3 5 5 2" xfId="26547" xr:uid="{00000000-0005-0000-0000-0000F3900000}"/>
    <cellStyle name="Normal 3 4 3 5 5 2 2" xfId="53680" xr:uid="{00000000-0005-0000-0000-0000F4900000}"/>
    <cellStyle name="Normal 3 4 3 5 5 3" xfId="40118" xr:uid="{00000000-0005-0000-0000-0000F5900000}"/>
    <cellStyle name="Normal 3 4 3 5 6" xfId="19766" xr:uid="{00000000-0005-0000-0000-0000F6900000}"/>
    <cellStyle name="Normal 3 4 3 5 6 2" xfId="46899" xr:uid="{00000000-0005-0000-0000-0000F7900000}"/>
    <cellStyle name="Normal 3 4 3 5 7" xfId="33337" xr:uid="{00000000-0005-0000-0000-0000F8900000}"/>
    <cellStyle name="Normal 3 4 3 6" xfId="6039" xr:uid="{00000000-0005-0000-0000-0000F9900000}"/>
    <cellStyle name="Normal 3 4 3 6 2" xfId="6040" xr:uid="{00000000-0005-0000-0000-0000FA900000}"/>
    <cellStyle name="Normal 3 4 3 6 2 2" xfId="9583" xr:uid="{00000000-0005-0000-0000-0000FB900000}"/>
    <cellStyle name="Normal 3 4 3 6 2 2 2" xfId="16372" xr:uid="{00000000-0005-0000-0000-0000FC900000}"/>
    <cellStyle name="Normal 3 4 3 6 2 2 2 2" xfId="29940" xr:uid="{00000000-0005-0000-0000-0000FD900000}"/>
    <cellStyle name="Normal 3 4 3 6 2 2 2 2 2" xfId="57073" xr:uid="{00000000-0005-0000-0000-0000FE900000}"/>
    <cellStyle name="Normal 3 4 3 6 2 2 2 3" xfId="43511" xr:uid="{00000000-0005-0000-0000-0000FF900000}"/>
    <cellStyle name="Normal 3 4 3 6 2 2 3" xfId="23159" xr:uid="{00000000-0005-0000-0000-000000910000}"/>
    <cellStyle name="Normal 3 4 3 6 2 2 3 2" xfId="50292" xr:uid="{00000000-0005-0000-0000-000001910000}"/>
    <cellStyle name="Normal 3 4 3 6 2 2 4" xfId="36730" xr:uid="{00000000-0005-0000-0000-000002910000}"/>
    <cellStyle name="Normal 3 4 3 6 2 3" xfId="12983" xr:uid="{00000000-0005-0000-0000-000003910000}"/>
    <cellStyle name="Normal 3 4 3 6 2 3 2" xfId="26551" xr:uid="{00000000-0005-0000-0000-000004910000}"/>
    <cellStyle name="Normal 3 4 3 6 2 3 2 2" xfId="53684" xr:uid="{00000000-0005-0000-0000-000005910000}"/>
    <cellStyle name="Normal 3 4 3 6 2 3 3" xfId="40122" xr:uid="{00000000-0005-0000-0000-000006910000}"/>
    <cellStyle name="Normal 3 4 3 6 2 4" xfId="19770" xr:uid="{00000000-0005-0000-0000-000007910000}"/>
    <cellStyle name="Normal 3 4 3 6 2 4 2" xfId="46903" xr:uid="{00000000-0005-0000-0000-000008910000}"/>
    <cellStyle name="Normal 3 4 3 6 2 5" xfId="33341" xr:uid="{00000000-0005-0000-0000-000009910000}"/>
    <cellStyle name="Normal 3 4 3 6 3" xfId="9582" xr:uid="{00000000-0005-0000-0000-00000A910000}"/>
    <cellStyle name="Normal 3 4 3 6 3 2" xfId="16371" xr:uid="{00000000-0005-0000-0000-00000B910000}"/>
    <cellStyle name="Normal 3 4 3 6 3 2 2" xfId="29939" xr:uid="{00000000-0005-0000-0000-00000C910000}"/>
    <cellStyle name="Normal 3 4 3 6 3 2 2 2" xfId="57072" xr:uid="{00000000-0005-0000-0000-00000D910000}"/>
    <cellStyle name="Normal 3 4 3 6 3 2 3" xfId="43510" xr:uid="{00000000-0005-0000-0000-00000E910000}"/>
    <cellStyle name="Normal 3 4 3 6 3 3" xfId="23158" xr:uid="{00000000-0005-0000-0000-00000F910000}"/>
    <cellStyle name="Normal 3 4 3 6 3 3 2" xfId="50291" xr:uid="{00000000-0005-0000-0000-000010910000}"/>
    <cellStyle name="Normal 3 4 3 6 3 4" xfId="36729" xr:uid="{00000000-0005-0000-0000-000011910000}"/>
    <cellStyle name="Normal 3 4 3 6 4" xfId="12982" xr:uid="{00000000-0005-0000-0000-000012910000}"/>
    <cellStyle name="Normal 3 4 3 6 4 2" xfId="26550" xr:uid="{00000000-0005-0000-0000-000013910000}"/>
    <cellStyle name="Normal 3 4 3 6 4 2 2" xfId="53683" xr:uid="{00000000-0005-0000-0000-000014910000}"/>
    <cellStyle name="Normal 3 4 3 6 4 3" xfId="40121" xr:uid="{00000000-0005-0000-0000-000015910000}"/>
    <cellStyle name="Normal 3 4 3 6 5" xfId="19769" xr:uid="{00000000-0005-0000-0000-000016910000}"/>
    <cellStyle name="Normal 3 4 3 6 5 2" xfId="46902" xr:uid="{00000000-0005-0000-0000-000017910000}"/>
    <cellStyle name="Normal 3 4 3 6 6" xfId="33340" xr:uid="{00000000-0005-0000-0000-000018910000}"/>
    <cellStyle name="Normal 3 4 3 7" xfId="6041" xr:uid="{00000000-0005-0000-0000-000019910000}"/>
    <cellStyle name="Normal 3 4 3 7 2" xfId="9584" xr:uid="{00000000-0005-0000-0000-00001A910000}"/>
    <cellStyle name="Normal 3 4 3 7 2 2" xfId="16373" xr:uid="{00000000-0005-0000-0000-00001B910000}"/>
    <cellStyle name="Normal 3 4 3 7 2 2 2" xfId="29941" xr:uid="{00000000-0005-0000-0000-00001C910000}"/>
    <cellStyle name="Normal 3 4 3 7 2 2 2 2" xfId="57074" xr:uid="{00000000-0005-0000-0000-00001D910000}"/>
    <cellStyle name="Normal 3 4 3 7 2 2 3" xfId="43512" xr:uid="{00000000-0005-0000-0000-00001E910000}"/>
    <cellStyle name="Normal 3 4 3 7 2 3" xfId="23160" xr:uid="{00000000-0005-0000-0000-00001F910000}"/>
    <cellStyle name="Normal 3 4 3 7 2 3 2" xfId="50293" xr:uid="{00000000-0005-0000-0000-000020910000}"/>
    <cellStyle name="Normal 3 4 3 7 2 4" xfId="36731" xr:uid="{00000000-0005-0000-0000-000021910000}"/>
    <cellStyle name="Normal 3 4 3 7 3" xfId="12984" xr:uid="{00000000-0005-0000-0000-000022910000}"/>
    <cellStyle name="Normal 3 4 3 7 3 2" xfId="26552" xr:uid="{00000000-0005-0000-0000-000023910000}"/>
    <cellStyle name="Normal 3 4 3 7 3 2 2" xfId="53685" xr:uid="{00000000-0005-0000-0000-000024910000}"/>
    <cellStyle name="Normal 3 4 3 7 3 3" xfId="40123" xr:uid="{00000000-0005-0000-0000-000025910000}"/>
    <cellStyle name="Normal 3 4 3 7 4" xfId="19771" xr:uid="{00000000-0005-0000-0000-000026910000}"/>
    <cellStyle name="Normal 3 4 3 7 4 2" xfId="46904" xr:uid="{00000000-0005-0000-0000-000027910000}"/>
    <cellStyle name="Normal 3 4 3 7 5" xfId="33342" xr:uid="{00000000-0005-0000-0000-000028910000}"/>
    <cellStyle name="Normal 3 4 3 8" xfId="6042" xr:uid="{00000000-0005-0000-0000-000029910000}"/>
    <cellStyle name="Normal 3 4 3 8 2" xfId="9585" xr:uid="{00000000-0005-0000-0000-00002A910000}"/>
    <cellStyle name="Normal 3 4 3 8 2 2" xfId="16374" xr:uid="{00000000-0005-0000-0000-00002B910000}"/>
    <cellStyle name="Normal 3 4 3 8 2 2 2" xfId="29942" xr:uid="{00000000-0005-0000-0000-00002C910000}"/>
    <cellStyle name="Normal 3 4 3 8 2 2 2 2" xfId="57075" xr:uid="{00000000-0005-0000-0000-00002D910000}"/>
    <cellStyle name="Normal 3 4 3 8 2 2 3" xfId="43513" xr:uid="{00000000-0005-0000-0000-00002E910000}"/>
    <cellStyle name="Normal 3 4 3 8 2 3" xfId="23161" xr:uid="{00000000-0005-0000-0000-00002F910000}"/>
    <cellStyle name="Normal 3 4 3 8 2 3 2" xfId="50294" xr:uid="{00000000-0005-0000-0000-000030910000}"/>
    <cellStyle name="Normal 3 4 3 8 2 4" xfId="36732" xr:uid="{00000000-0005-0000-0000-000031910000}"/>
    <cellStyle name="Normal 3 4 3 8 3" xfId="12985" xr:uid="{00000000-0005-0000-0000-000032910000}"/>
    <cellStyle name="Normal 3 4 3 8 3 2" xfId="26553" xr:uid="{00000000-0005-0000-0000-000033910000}"/>
    <cellStyle name="Normal 3 4 3 8 3 2 2" xfId="53686" xr:uid="{00000000-0005-0000-0000-000034910000}"/>
    <cellStyle name="Normal 3 4 3 8 3 3" xfId="40124" xr:uid="{00000000-0005-0000-0000-000035910000}"/>
    <cellStyle name="Normal 3 4 3 8 4" xfId="19772" xr:uid="{00000000-0005-0000-0000-000036910000}"/>
    <cellStyle name="Normal 3 4 3 8 4 2" xfId="46905" xr:uid="{00000000-0005-0000-0000-000037910000}"/>
    <cellStyle name="Normal 3 4 3 8 5" xfId="33343" xr:uid="{00000000-0005-0000-0000-000038910000}"/>
    <cellStyle name="Normal 3 4 3 9" xfId="7514" xr:uid="{00000000-0005-0000-0000-000039910000}"/>
    <cellStyle name="Normal 3 4 3 9 2" xfId="14303" xr:uid="{00000000-0005-0000-0000-00003A910000}"/>
    <cellStyle name="Normal 3 4 3 9 2 2" xfId="27871" xr:uid="{00000000-0005-0000-0000-00003B910000}"/>
    <cellStyle name="Normal 3 4 3 9 2 2 2" xfId="55004" xr:uid="{00000000-0005-0000-0000-00003C910000}"/>
    <cellStyle name="Normal 3 4 3 9 2 3" xfId="41442" xr:uid="{00000000-0005-0000-0000-00003D910000}"/>
    <cellStyle name="Normal 3 4 3 9 3" xfId="21090" xr:uid="{00000000-0005-0000-0000-00003E910000}"/>
    <cellStyle name="Normal 3 4 3 9 3 2" xfId="48223" xr:uid="{00000000-0005-0000-0000-00003F910000}"/>
    <cellStyle name="Normal 3 4 3 9 4" xfId="34661" xr:uid="{00000000-0005-0000-0000-000040910000}"/>
    <cellStyle name="Normal 3 4 4" xfId="2703" xr:uid="{00000000-0005-0000-0000-000041910000}"/>
    <cellStyle name="Normal 3 4 4 10" xfId="31274" xr:uid="{00000000-0005-0000-0000-000042910000}"/>
    <cellStyle name="Normal 3 4 4 2" xfId="2704" xr:uid="{00000000-0005-0000-0000-000043910000}"/>
    <cellStyle name="Normal 3 4 4 2 2" xfId="6043" xr:uid="{00000000-0005-0000-0000-000044910000}"/>
    <cellStyle name="Normal 3 4 4 2 2 2" xfId="6044" xr:uid="{00000000-0005-0000-0000-000045910000}"/>
    <cellStyle name="Normal 3 4 4 2 2 2 2" xfId="9587" xr:uid="{00000000-0005-0000-0000-000046910000}"/>
    <cellStyle name="Normal 3 4 4 2 2 2 2 2" xfId="16376" xr:uid="{00000000-0005-0000-0000-000047910000}"/>
    <cellStyle name="Normal 3 4 4 2 2 2 2 2 2" xfId="29944" xr:uid="{00000000-0005-0000-0000-000048910000}"/>
    <cellStyle name="Normal 3 4 4 2 2 2 2 2 2 2" xfId="57077" xr:uid="{00000000-0005-0000-0000-000049910000}"/>
    <cellStyle name="Normal 3 4 4 2 2 2 2 2 3" xfId="43515" xr:uid="{00000000-0005-0000-0000-00004A910000}"/>
    <cellStyle name="Normal 3 4 4 2 2 2 2 3" xfId="23163" xr:uid="{00000000-0005-0000-0000-00004B910000}"/>
    <cellStyle name="Normal 3 4 4 2 2 2 2 3 2" xfId="50296" xr:uid="{00000000-0005-0000-0000-00004C910000}"/>
    <cellStyle name="Normal 3 4 4 2 2 2 2 4" xfId="36734" xr:uid="{00000000-0005-0000-0000-00004D910000}"/>
    <cellStyle name="Normal 3 4 4 2 2 2 3" xfId="12987" xr:uid="{00000000-0005-0000-0000-00004E910000}"/>
    <cellStyle name="Normal 3 4 4 2 2 2 3 2" xfId="26555" xr:uid="{00000000-0005-0000-0000-00004F910000}"/>
    <cellStyle name="Normal 3 4 4 2 2 2 3 2 2" xfId="53688" xr:uid="{00000000-0005-0000-0000-000050910000}"/>
    <cellStyle name="Normal 3 4 4 2 2 2 3 3" xfId="40126" xr:uid="{00000000-0005-0000-0000-000051910000}"/>
    <cellStyle name="Normal 3 4 4 2 2 2 4" xfId="19774" xr:uid="{00000000-0005-0000-0000-000052910000}"/>
    <cellStyle name="Normal 3 4 4 2 2 2 4 2" xfId="46907" xr:uid="{00000000-0005-0000-0000-000053910000}"/>
    <cellStyle name="Normal 3 4 4 2 2 2 5" xfId="33345" xr:uid="{00000000-0005-0000-0000-000054910000}"/>
    <cellStyle name="Normal 3 4 4 2 2 3" xfId="6045" xr:uid="{00000000-0005-0000-0000-000055910000}"/>
    <cellStyle name="Normal 3 4 4 2 2 3 2" xfId="9588" xr:uid="{00000000-0005-0000-0000-000056910000}"/>
    <cellStyle name="Normal 3 4 4 2 2 3 2 2" xfId="16377" xr:uid="{00000000-0005-0000-0000-000057910000}"/>
    <cellStyle name="Normal 3 4 4 2 2 3 2 2 2" xfId="29945" xr:uid="{00000000-0005-0000-0000-000058910000}"/>
    <cellStyle name="Normal 3 4 4 2 2 3 2 2 2 2" xfId="57078" xr:uid="{00000000-0005-0000-0000-000059910000}"/>
    <cellStyle name="Normal 3 4 4 2 2 3 2 2 3" xfId="43516" xr:uid="{00000000-0005-0000-0000-00005A910000}"/>
    <cellStyle name="Normal 3 4 4 2 2 3 2 3" xfId="23164" xr:uid="{00000000-0005-0000-0000-00005B910000}"/>
    <cellStyle name="Normal 3 4 4 2 2 3 2 3 2" xfId="50297" xr:uid="{00000000-0005-0000-0000-00005C910000}"/>
    <cellStyle name="Normal 3 4 4 2 2 3 2 4" xfId="36735" xr:uid="{00000000-0005-0000-0000-00005D910000}"/>
    <cellStyle name="Normal 3 4 4 2 2 3 3" xfId="12988" xr:uid="{00000000-0005-0000-0000-00005E910000}"/>
    <cellStyle name="Normal 3 4 4 2 2 3 3 2" xfId="26556" xr:uid="{00000000-0005-0000-0000-00005F910000}"/>
    <cellStyle name="Normal 3 4 4 2 2 3 3 2 2" xfId="53689" xr:uid="{00000000-0005-0000-0000-000060910000}"/>
    <cellStyle name="Normal 3 4 4 2 2 3 3 3" xfId="40127" xr:uid="{00000000-0005-0000-0000-000061910000}"/>
    <cellStyle name="Normal 3 4 4 2 2 3 4" xfId="19775" xr:uid="{00000000-0005-0000-0000-000062910000}"/>
    <cellStyle name="Normal 3 4 4 2 2 3 4 2" xfId="46908" xr:uid="{00000000-0005-0000-0000-000063910000}"/>
    <cellStyle name="Normal 3 4 4 2 2 3 5" xfId="33346" xr:uid="{00000000-0005-0000-0000-000064910000}"/>
    <cellStyle name="Normal 3 4 4 2 2 4" xfId="9586" xr:uid="{00000000-0005-0000-0000-000065910000}"/>
    <cellStyle name="Normal 3 4 4 2 2 4 2" xfId="16375" xr:uid="{00000000-0005-0000-0000-000066910000}"/>
    <cellStyle name="Normal 3 4 4 2 2 4 2 2" xfId="29943" xr:uid="{00000000-0005-0000-0000-000067910000}"/>
    <cellStyle name="Normal 3 4 4 2 2 4 2 2 2" xfId="57076" xr:uid="{00000000-0005-0000-0000-000068910000}"/>
    <cellStyle name="Normal 3 4 4 2 2 4 2 3" xfId="43514" xr:uid="{00000000-0005-0000-0000-000069910000}"/>
    <cellStyle name="Normal 3 4 4 2 2 4 3" xfId="23162" xr:uid="{00000000-0005-0000-0000-00006A910000}"/>
    <cellStyle name="Normal 3 4 4 2 2 4 3 2" xfId="50295" xr:uid="{00000000-0005-0000-0000-00006B910000}"/>
    <cellStyle name="Normal 3 4 4 2 2 4 4" xfId="36733" xr:uid="{00000000-0005-0000-0000-00006C910000}"/>
    <cellStyle name="Normal 3 4 4 2 2 5" xfId="12986" xr:uid="{00000000-0005-0000-0000-00006D910000}"/>
    <cellStyle name="Normal 3 4 4 2 2 5 2" xfId="26554" xr:uid="{00000000-0005-0000-0000-00006E910000}"/>
    <cellStyle name="Normal 3 4 4 2 2 5 2 2" xfId="53687" xr:uid="{00000000-0005-0000-0000-00006F910000}"/>
    <cellStyle name="Normal 3 4 4 2 2 5 3" xfId="40125" xr:uid="{00000000-0005-0000-0000-000070910000}"/>
    <cellStyle name="Normal 3 4 4 2 2 6" xfId="19773" xr:uid="{00000000-0005-0000-0000-000071910000}"/>
    <cellStyle name="Normal 3 4 4 2 2 6 2" xfId="46906" xr:uid="{00000000-0005-0000-0000-000072910000}"/>
    <cellStyle name="Normal 3 4 4 2 2 7" xfId="33344" xr:uid="{00000000-0005-0000-0000-000073910000}"/>
    <cellStyle name="Normal 3 4 4 2 3" xfId="6046" xr:uid="{00000000-0005-0000-0000-000074910000}"/>
    <cellStyle name="Normal 3 4 4 2 3 2" xfId="6047" xr:uid="{00000000-0005-0000-0000-000075910000}"/>
    <cellStyle name="Normal 3 4 4 2 3 2 2" xfId="9590" xr:uid="{00000000-0005-0000-0000-000076910000}"/>
    <cellStyle name="Normal 3 4 4 2 3 2 2 2" xfId="16379" xr:uid="{00000000-0005-0000-0000-000077910000}"/>
    <cellStyle name="Normal 3 4 4 2 3 2 2 2 2" xfId="29947" xr:uid="{00000000-0005-0000-0000-000078910000}"/>
    <cellStyle name="Normal 3 4 4 2 3 2 2 2 2 2" xfId="57080" xr:uid="{00000000-0005-0000-0000-000079910000}"/>
    <cellStyle name="Normal 3 4 4 2 3 2 2 2 3" xfId="43518" xr:uid="{00000000-0005-0000-0000-00007A910000}"/>
    <cellStyle name="Normal 3 4 4 2 3 2 2 3" xfId="23166" xr:uid="{00000000-0005-0000-0000-00007B910000}"/>
    <cellStyle name="Normal 3 4 4 2 3 2 2 3 2" xfId="50299" xr:uid="{00000000-0005-0000-0000-00007C910000}"/>
    <cellStyle name="Normal 3 4 4 2 3 2 2 4" xfId="36737" xr:uid="{00000000-0005-0000-0000-00007D910000}"/>
    <cellStyle name="Normal 3 4 4 2 3 2 3" xfId="12990" xr:uid="{00000000-0005-0000-0000-00007E910000}"/>
    <cellStyle name="Normal 3 4 4 2 3 2 3 2" xfId="26558" xr:uid="{00000000-0005-0000-0000-00007F910000}"/>
    <cellStyle name="Normal 3 4 4 2 3 2 3 2 2" xfId="53691" xr:uid="{00000000-0005-0000-0000-000080910000}"/>
    <cellStyle name="Normal 3 4 4 2 3 2 3 3" xfId="40129" xr:uid="{00000000-0005-0000-0000-000081910000}"/>
    <cellStyle name="Normal 3 4 4 2 3 2 4" xfId="19777" xr:uid="{00000000-0005-0000-0000-000082910000}"/>
    <cellStyle name="Normal 3 4 4 2 3 2 4 2" xfId="46910" xr:uid="{00000000-0005-0000-0000-000083910000}"/>
    <cellStyle name="Normal 3 4 4 2 3 2 5" xfId="33348" xr:uid="{00000000-0005-0000-0000-000084910000}"/>
    <cellStyle name="Normal 3 4 4 2 3 3" xfId="9589" xr:uid="{00000000-0005-0000-0000-000085910000}"/>
    <cellStyle name="Normal 3 4 4 2 3 3 2" xfId="16378" xr:uid="{00000000-0005-0000-0000-000086910000}"/>
    <cellStyle name="Normal 3 4 4 2 3 3 2 2" xfId="29946" xr:uid="{00000000-0005-0000-0000-000087910000}"/>
    <cellStyle name="Normal 3 4 4 2 3 3 2 2 2" xfId="57079" xr:uid="{00000000-0005-0000-0000-000088910000}"/>
    <cellStyle name="Normal 3 4 4 2 3 3 2 3" xfId="43517" xr:uid="{00000000-0005-0000-0000-000089910000}"/>
    <cellStyle name="Normal 3 4 4 2 3 3 3" xfId="23165" xr:uid="{00000000-0005-0000-0000-00008A910000}"/>
    <cellStyle name="Normal 3 4 4 2 3 3 3 2" xfId="50298" xr:uid="{00000000-0005-0000-0000-00008B910000}"/>
    <cellStyle name="Normal 3 4 4 2 3 3 4" xfId="36736" xr:uid="{00000000-0005-0000-0000-00008C910000}"/>
    <cellStyle name="Normal 3 4 4 2 3 4" xfId="12989" xr:uid="{00000000-0005-0000-0000-00008D910000}"/>
    <cellStyle name="Normal 3 4 4 2 3 4 2" xfId="26557" xr:uid="{00000000-0005-0000-0000-00008E910000}"/>
    <cellStyle name="Normal 3 4 4 2 3 4 2 2" xfId="53690" xr:uid="{00000000-0005-0000-0000-00008F910000}"/>
    <cellStyle name="Normal 3 4 4 2 3 4 3" xfId="40128" xr:uid="{00000000-0005-0000-0000-000090910000}"/>
    <cellStyle name="Normal 3 4 4 2 3 5" xfId="19776" xr:uid="{00000000-0005-0000-0000-000091910000}"/>
    <cellStyle name="Normal 3 4 4 2 3 5 2" xfId="46909" xr:uid="{00000000-0005-0000-0000-000092910000}"/>
    <cellStyle name="Normal 3 4 4 2 3 6" xfId="33347" xr:uid="{00000000-0005-0000-0000-000093910000}"/>
    <cellStyle name="Normal 3 4 4 2 4" xfId="6048" xr:uid="{00000000-0005-0000-0000-000094910000}"/>
    <cellStyle name="Normal 3 4 4 2 4 2" xfId="9591" xr:uid="{00000000-0005-0000-0000-000095910000}"/>
    <cellStyle name="Normal 3 4 4 2 4 2 2" xfId="16380" xr:uid="{00000000-0005-0000-0000-000096910000}"/>
    <cellStyle name="Normal 3 4 4 2 4 2 2 2" xfId="29948" xr:uid="{00000000-0005-0000-0000-000097910000}"/>
    <cellStyle name="Normal 3 4 4 2 4 2 2 2 2" xfId="57081" xr:uid="{00000000-0005-0000-0000-000098910000}"/>
    <cellStyle name="Normal 3 4 4 2 4 2 2 3" xfId="43519" xr:uid="{00000000-0005-0000-0000-000099910000}"/>
    <cellStyle name="Normal 3 4 4 2 4 2 3" xfId="23167" xr:uid="{00000000-0005-0000-0000-00009A910000}"/>
    <cellStyle name="Normal 3 4 4 2 4 2 3 2" xfId="50300" xr:uid="{00000000-0005-0000-0000-00009B910000}"/>
    <cellStyle name="Normal 3 4 4 2 4 2 4" xfId="36738" xr:uid="{00000000-0005-0000-0000-00009C910000}"/>
    <cellStyle name="Normal 3 4 4 2 4 3" xfId="12991" xr:uid="{00000000-0005-0000-0000-00009D910000}"/>
    <cellStyle name="Normal 3 4 4 2 4 3 2" xfId="26559" xr:uid="{00000000-0005-0000-0000-00009E910000}"/>
    <cellStyle name="Normal 3 4 4 2 4 3 2 2" xfId="53692" xr:uid="{00000000-0005-0000-0000-00009F910000}"/>
    <cellStyle name="Normal 3 4 4 2 4 3 3" xfId="40130" xr:uid="{00000000-0005-0000-0000-0000A0910000}"/>
    <cellStyle name="Normal 3 4 4 2 4 4" xfId="19778" xr:uid="{00000000-0005-0000-0000-0000A1910000}"/>
    <cellStyle name="Normal 3 4 4 2 4 4 2" xfId="46911" xr:uid="{00000000-0005-0000-0000-0000A2910000}"/>
    <cellStyle name="Normal 3 4 4 2 4 5" xfId="33349" xr:uid="{00000000-0005-0000-0000-0000A3910000}"/>
    <cellStyle name="Normal 3 4 4 2 5" xfId="6049" xr:uid="{00000000-0005-0000-0000-0000A4910000}"/>
    <cellStyle name="Normal 3 4 4 2 5 2" xfId="9592" xr:uid="{00000000-0005-0000-0000-0000A5910000}"/>
    <cellStyle name="Normal 3 4 4 2 5 2 2" xfId="16381" xr:uid="{00000000-0005-0000-0000-0000A6910000}"/>
    <cellStyle name="Normal 3 4 4 2 5 2 2 2" xfId="29949" xr:uid="{00000000-0005-0000-0000-0000A7910000}"/>
    <cellStyle name="Normal 3 4 4 2 5 2 2 2 2" xfId="57082" xr:uid="{00000000-0005-0000-0000-0000A8910000}"/>
    <cellStyle name="Normal 3 4 4 2 5 2 2 3" xfId="43520" xr:uid="{00000000-0005-0000-0000-0000A9910000}"/>
    <cellStyle name="Normal 3 4 4 2 5 2 3" xfId="23168" xr:uid="{00000000-0005-0000-0000-0000AA910000}"/>
    <cellStyle name="Normal 3 4 4 2 5 2 3 2" xfId="50301" xr:uid="{00000000-0005-0000-0000-0000AB910000}"/>
    <cellStyle name="Normal 3 4 4 2 5 2 4" xfId="36739" xr:uid="{00000000-0005-0000-0000-0000AC910000}"/>
    <cellStyle name="Normal 3 4 4 2 5 3" xfId="12992" xr:uid="{00000000-0005-0000-0000-0000AD910000}"/>
    <cellStyle name="Normal 3 4 4 2 5 3 2" xfId="26560" xr:uid="{00000000-0005-0000-0000-0000AE910000}"/>
    <cellStyle name="Normal 3 4 4 2 5 3 2 2" xfId="53693" xr:uid="{00000000-0005-0000-0000-0000AF910000}"/>
    <cellStyle name="Normal 3 4 4 2 5 3 3" xfId="40131" xr:uid="{00000000-0005-0000-0000-0000B0910000}"/>
    <cellStyle name="Normal 3 4 4 2 5 4" xfId="19779" xr:uid="{00000000-0005-0000-0000-0000B1910000}"/>
    <cellStyle name="Normal 3 4 4 2 5 4 2" xfId="46912" xr:uid="{00000000-0005-0000-0000-0000B2910000}"/>
    <cellStyle name="Normal 3 4 4 2 5 5" xfId="33350" xr:uid="{00000000-0005-0000-0000-0000B3910000}"/>
    <cellStyle name="Normal 3 4 4 2 6" xfId="7517" xr:uid="{00000000-0005-0000-0000-0000B4910000}"/>
    <cellStyle name="Normal 3 4 4 2 6 2" xfId="14306" xr:uid="{00000000-0005-0000-0000-0000B5910000}"/>
    <cellStyle name="Normal 3 4 4 2 6 2 2" xfId="27874" xr:uid="{00000000-0005-0000-0000-0000B6910000}"/>
    <cellStyle name="Normal 3 4 4 2 6 2 2 2" xfId="55007" xr:uid="{00000000-0005-0000-0000-0000B7910000}"/>
    <cellStyle name="Normal 3 4 4 2 6 2 3" xfId="41445" xr:uid="{00000000-0005-0000-0000-0000B8910000}"/>
    <cellStyle name="Normal 3 4 4 2 6 3" xfId="21093" xr:uid="{00000000-0005-0000-0000-0000B9910000}"/>
    <cellStyle name="Normal 3 4 4 2 6 3 2" xfId="48226" xr:uid="{00000000-0005-0000-0000-0000BA910000}"/>
    <cellStyle name="Normal 3 4 4 2 6 4" xfId="34664" xr:uid="{00000000-0005-0000-0000-0000BB910000}"/>
    <cellStyle name="Normal 3 4 4 2 7" xfId="10917" xr:uid="{00000000-0005-0000-0000-0000BC910000}"/>
    <cellStyle name="Normal 3 4 4 2 7 2" xfId="24485" xr:uid="{00000000-0005-0000-0000-0000BD910000}"/>
    <cellStyle name="Normal 3 4 4 2 7 2 2" xfId="51618" xr:uid="{00000000-0005-0000-0000-0000BE910000}"/>
    <cellStyle name="Normal 3 4 4 2 7 3" xfId="38056" xr:uid="{00000000-0005-0000-0000-0000BF910000}"/>
    <cellStyle name="Normal 3 4 4 2 8" xfId="17704" xr:uid="{00000000-0005-0000-0000-0000C0910000}"/>
    <cellStyle name="Normal 3 4 4 2 8 2" xfId="44837" xr:uid="{00000000-0005-0000-0000-0000C1910000}"/>
    <cellStyle name="Normal 3 4 4 2 9" xfId="31275" xr:uid="{00000000-0005-0000-0000-0000C2910000}"/>
    <cellStyle name="Normal 3 4 4 3" xfId="6050" xr:uid="{00000000-0005-0000-0000-0000C3910000}"/>
    <cellStyle name="Normal 3 4 4 3 2" xfId="6051" xr:uid="{00000000-0005-0000-0000-0000C4910000}"/>
    <cellStyle name="Normal 3 4 4 3 2 2" xfId="9594" xr:uid="{00000000-0005-0000-0000-0000C5910000}"/>
    <cellStyle name="Normal 3 4 4 3 2 2 2" xfId="16383" xr:uid="{00000000-0005-0000-0000-0000C6910000}"/>
    <cellStyle name="Normal 3 4 4 3 2 2 2 2" xfId="29951" xr:uid="{00000000-0005-0000-0000-0000C7910000}"/>
    <cellStyle name="Normal 3 4 4 3 2 2 2 2 2" xfId="57084" xr:uid="{00000000-0005-0000-0000-0000C8910000}"/>
    <cellStyle name="Normal 3 4 4 3 2 2 2 3" xfId="43522" xr:uid="{00000000-0005-0000-0000-0000C9910000}"/>
    <cellStyle name="Normal 3 4 4 3 2 2 3" xfId="23170" xr:uid="{00000000-0005-0000-0000-0000CA910000}"/>
    <cellStyle name="Normal 3 4 4 3 2 2 3 2" xfId="50303" xr:uid="{00000000-0005-0000-0000-0000CB910000}"/>
    <cellStyle name="Normal 3 4 4 3 2 2 4" xfId="36741" xr:uid="{00000000-0005-0000-0000-0000CC910000}"/>
    <cellStyle name="Normal 3 4 4 3 2 3" xfId="12994" xr:uid="{00000000-0005-0000-0000-0000CD910000}"/>
    <cellStyle name="Normal 3 4 4 3 2 3 2" xfId="26562" xr:uid="{00000000-0005-0000-0000-0000CE910000}"/>
    <cellStyle name="Normal 3 4 4 3 2 3 2 2" xfId="53695" xr:uid="{00000000-0005-0000-0000-0000CF910000}"/>
    <cellStyle name="Normal 3 4 4 3 2 3 3" xfId="40133" xr:uid="{00000000-0005-0000-0000-0000D0910000}"/>
    <cellStyle name="Normal 3 4 4 3 2 4" xfId="19781" xr:uid="{00000000-0005-0000-0000-0000D1910000}"/>
    <cellStyle name="Normal 3 4 4 3 2 4 2" xfId="46914" xr:uid="{00000000-0005-0000-0000-0000D2910000}"/>
    <cellStyle name="Normal 3 4 4 3 2 5" xfId="33352" xr:uid="{00000000-0005-0000-0000-0000D3910000}"/>
    <cellStyle name="Normal 3 4 4 3 3" xfId="6052" xr:uid="{00000000-0005-0000-0000-0000D4910000}"/>
    <cellStyle name="Normal 3 4 4 3 3 2" xfId="9595" xr:uid="{00000000-0005-0000-0000-0000D5910000}"/>
    <cellStyle name="Normal 3 4 4 3 3 2 2" xfId="16384" xr:uid="{00000000-0005-0000-0000-0000D6910000}"/>
    <cellStyle name="Normal 3 4 4 3 3 2 2 2" xfId="29952" xr:uid="{00000000-0005-0000-0000-0000D7910000}"/>
    <cellStyle name="Normal 3 4 4 3 3 2 2 2 2" xfId="57085" xr:uid="{00000000-0005-0000-0000-0000D8910000}"/>
    <cellStyle name="Normal 3 4 4 3 3 2 2 3" xfId="43523" xr:uid="{00000000-0005-0000-0000-0000D9910000}"/>
    <cellStyle name="Normal 3 4 4 3 3 2 3" xfId="23171" xr:uid="{00000000-0005-0000-0000-0000DA910000}"/>
    <cellStyle name="Normal 3 4 4 3 3 2 3 2" xfId="50304" xr:uid="{00000000-0005-0000-0000-0000DB910000}"/>
    <cellStyle name="Normal 3 4 4 3 3 2 4" xfId="36742" xr:uid="{00000000-0005-0000-0000-0000DC910000}"/>
    <cellStyle name="Normal 3 4 4 3 3 3" xfId="12995" xr:uid="{00000000-0005-0000-0000-0000DD910000}"/>
    <cellStyle name="Normal 3 4 4 3 3 3 2" xfId="26563" xr:uid="{00000000-0005-0000-0000-0000DE910000}"/>
    <cellStyle name="Normal 3 4 4 3 3 3 2 2" xfId="53696" xr:uid="{00000000-0005-0000-0000-0000DF910000}"/>
    <cellStyle name="Normal 3 4 4 3 3 3 3" xfId="40134" xr:uid="{00000000-0005-0000-0000-0000E0910000}"/>
    <cellStyle name="Normal 3 4 4 3 3 4" xfId="19782" xr:uid="{00000000-0005-0000-0000-0000E1910000}"/>
    <cellStyle name="Normal 3 4 4 3 3 4 2" xfId="46915" xr:uid="{00000000-0005-0000-0000-0000E2910000}"/>
    <cellStyle name="Normal 3 4 4 3 3 5" xfId="33353" xr:uid="{00000000-0005-0000-0000-0000E3910000}"/>
    <cellStyle name="Normal 3 4 4 3 4" xfId="9593" xr:uid="{00000000-0005-0000-0000-0000E4910000}"/>
    <cellStyle name="Normal 3 4 4 3 4 2" xfId="16382" xr:uid="{00000000-0005-0000-0000-0000E5910000}"/>
    <cellStyle name="Normal 3 4 4 3 4 2 2" xfId="29950" xr:uid="{00000000-0005-0000-0000-0000E6910000}"/>
    <cellStyle name="Normal 3 4 4 3 4 2 2 2" xfId="57083" xr:uid="{00000000-0005-0000-0000-0000E7910000}"/>
    <cellStyle name="Normal 3 4 4 3 4 2 3" xfId="43521" xr:uid="{00000000-0005-0000-0000-0000E8910000}"/>
    <cellStyle name="Normal 3 4 4 3 4 3" xfId="23169" xr:uid="{00000000-0005-0000-0000-0000E9910000}"/>
    <cellStyle name="Normal 3 4 4 3 4 3 2" xfId="50302" xr:uid="{00000000-0005-0000-0000-0000EA910000}"/>
    <cellStyle name="Normal 3 4 4 3 4 4" xfId="36740" xr:uid="{00000000-0005-0000-0000-0000EB910000}"/>
    <cellStyle name="Normal 3 4 4 3 5" xfId="12993" xr:uid="{00000000-0005-0000-0000-0000EC910000}"/>
    <cellStyle name="Normal 3 4 4 3 5 2" xfId="26561" xr:uid="{00000000-0005-0000-0000-0000ED910000}"/>
    <cellStyle name="Normal 3 4 4 3 5 2 2" xfId="53694" xr:uid="{00000000-0005-0000-0000-0000EE910000}"/>
    <cellStyle name="Normal 3 4 4 3 5 3" xfId="40132" xr:uid="{00000000-0005-0000-0000-0000EF910000}"/>
    <cellStyle name="Normal 3 4 4 3 6" xfId="19780" xr:uid="{00000000-0005-0000-0000-0000F0910000}"/>
    <cellStyle name="Normal 3 4 4 3 6 2" xfId="46913" xr:uid="{00000000-0005-0000-0000-0000F1910000}"/>
    <cellStyle name="Normal 3 4 4 3 7" xfId="33351" xr:uid="{00000000-0005-0000-0000-0000F2910000}"/>
    <cellStyle name="Normal 3 4 4 4" xfId="6053" xr:uid="{00000000-0005-0000-0000-0000F3910000}"/>
    <cellStyle name="Normal 3 4 4 4 2" xfId="6054" xr:uid="{00000000-0005-0000-0000-0000F4910000}"/>
    <cellStyle name="Normal 3 4 4 4 2 2" xfId="9597" xr:uid="{00000000-0005-0000-0000-0000F5910000}"/>
    <cellStyle name="Normal 3 4 4 4 2 2 2" xfId="16386" xr:uid="{00000000-0005-0000-0000-0000F6910000}"/>
    <cellStyle name="Normal 3 4 4 4 2 2 2 2" xfId="29954" xr:uid="{00000000-0005-0000-0000-0000F7910000}"/>
    <cellStyle name="Normal 3 4 4 4 2 2 2 2 2" xfId="57087" xr:uid="{00000000-0005-0000-0000-0000F8910000}"/>
    <cellStyle name="Normal 3 4 4 4 2 2 2 3" xfId="43525" xr:uid="{00000000-0005-0000-0000-0000F9910000}"/>
    <cellStyle name="Normal 3 4 4 4 2 2 3" xfId="23173" xr:uid="{00000000-0005-0000-0000-0000FA910000}"/>
    <cellStyle name="Normal 3 4 4 4 2 2 3 2" xfId="50306" xr:uid="{00000000-0005-0000-0000-0000FB910000}"/>
    <cellStyle name="Normal 3 4 4 4 2 2 4" xfId="36744" xr:uid="{00000000-0005-0000-0000-0000FC910000}"/>
    <cellStyle name="Normal 3 4 4 4 2 3" xfId="12997" xr:uid="{00000000-0005-0000-0000-0000FD910000}"/>
    <cellStyle name="Normal 3 4 4 4 2 3 2" xfId="26565" xr:uid="{00000000-0005-0000-0000-0000FE910000}"/>
    <cellStyle name="Normal 3 4 4 4 2 3 2 2" xfId="53698" xr:uid="{00000000-0005-0000-0000-0000FF910000}"/>
    <cellStyle name="Normal 3 4 4 4 2 3 3" xfId="40136" xr:uid="{00000000-0005-0000-0000-000000920000}"/>
    <cellStyle name="Normal 3 4 4 4 2 4" xfId="19784" xr:uid="{00000000-0005-0000-0000-000001920000}"/>
    <cellStyle name="Normal 3 4 4 4 2 4 2" xfId="46917" xr:uid="{00000000-0005-0000-0000-000002920000}"/>
    <cellStyle name="Normal 3 4 4 4 2 5" xfId="33355" xr:uid="{00000000-0005-0000-0000-000003920000}"/>
    <cellStyle name="Normal 3 4 4 4 3" xfId="9596" xr:uid="{00000000-0005-0000-0000-000004920000}"/>
    <cellStyle name="Normal 3 4 4 4 3 2" xfId="16385" xr:uid="{00000000-0005-0000-0000-000005920000}"/>
    <cellStyle name="Normal 3 4 4 4 3 2 2" xfId="29953" xr:uid="{00000000-0005-0000-0000-000006920000}"/>
    <cellStyle name="Normal 3 4 4 4 3 2 2 2" xfId="57086" xr:uid="{00000000-0005-0000-0000-000007920000}"/>
    <cellStyle name="Normal 3 4 4 4 3 2 3" xfId="43524" xr:uid="{00000000-0005-0000-0000-000008920000}"/>
    <cellStyle name="Normal 3 4 4 4 3 3" xfId="23172" xr:uid="{00000000-0005-0000-0000-000009920000}"/>
    <cellStyle name="Normal 3 4 4 4 3 3 2" xfId="50305" xr:uid="{00000000-0005-0000-0000-00000A920000}"/>
    <cellStyle name="Normal 3 4 4 4 3 4" xfId="36743" xr:uid="{00000000-0005-0000-0000-00000B920000}"/>
    <cellStyle name="Normal 3 4 4 4 4" xfId="12996" xr:uid="{00000000-0005-0000-0000-00000C920000}"/>
    <cellStyle name="Normal 3 4 4 4 4 2" xfId="26564" xr:uid="{00000000-0005-0000-0000-00000D920000}"/>
    <cellStyle name="Normal 3 4 4 4 4 2 2" xfId="53697" xr:uid="{00000000-0005-0000-0000-00000E920000}"/>
    <cellStyle name="Normal 3 4 4 4 4 3" xfId="40135" xr:uid="{00000000-0005-0000-0000-00000F920000}"/>
    <cellStyle name="Normal 3 4 4 4 5" xfId="19783" xr:uid="{00000000-0005-0000-0000-000010920000}"/>
    <cellStyle name="Normal 3 4 4 4 5 2" xfId="46916" xr:uid="{00000000-0005-0000-0000-000011920000}"/>
    <cellStyle name="Normal 3 4 4 4 6" xfId="33354" xr:uid="{00000000-0005-0000-0000-000012920000}"/>
    <cellStyle name="Normal 3 4 4 5" xfId="6055" xr:uid="{00000000-0005-0000-0000-000013920000}"/>
    <cellStyle name="Normal 3 4 4 5 2" xfId="9598" xr:uid="{00000000-0005-0000-0000-000014920000}"/>
    <cellStyle name="Normal 3 4 4 5 2 2" xfId="16387" xr:uid="{00000000-0005-0000-0000-000015920000}"/>
    <cellStyle name="Normal 3 4 4 5 2 2 2" xfId="29955" xr:uid="{00000000-0005-0000-0000-000016920000}"/>
    <cellStyle name="Normal 3 4 4 5 2 2 2 2" xfId="57088" xr:uid="{00000000-0005-0000-0000-000017920000}"/>
    <cellStyle name="Normal 3 4 4 5 2 2 3" xfId="43526" xr:uid="{00000000-0005-0000-0000-000018920000}"/>
    <cellStyle name="Normal 3 4 4 5 2 3" xfId="23174" xr:uid="{00000000-0005-0000-0000-000019920000}"/>
    <cellStyle name="Normal 3 4 4 5 2 3 2" xfId="50307" xr:uid="{00000000-0005-0000-0000-00001A920000}"/>
    <cellStyle name="Normal 3 4 4 5 2 4" xfId="36745" xr:uid="{00000000-0005-0000-0000-00001B920000}"/>
    <cellStyle name="Normal 3 4 4 5 3" xfId="12998" xr:uid="{00000000-0005-0000-0000-00001C920000}"/>
    <cellStyle name="Normal 3 4 4 5 3 2" xfId="26566" xr:uid="{00000000-0005-0000-0000-00001D920000}"/>
    <cellStyle name="Normal 3 4 4 5 3 2 2" xfId="53699" xr:uid="{00000000-0005-0000-0000-00001E920000}"/>
    <cellStyle name="Normal 3 4 4 5 3 3" xfId="40137" xr:uid="{00000000-0005-0000-0000-00001F920000}"/>
    <cellStyle name="Normal 3 4 4 5 4" xfId="19785" xr:uid="{00000000-0005-0000-0000-000020920000}"/>
    <cellStyle name="Normal 3 4 4 5 4 2" xfId="46918" xr:uid="{00000000-0005-0000-0000-000021920000}"/>
    <cellStyle name="Normal 3 4 4 5 5" xfId="33356" xr:uid="{00000000-0005-0000-0000-000022920000}"/>
    <cellStyle name="Normal 3 4 4 6" xfId="6056" xr:uid="{00000000-0005-0000-0000-000023920000}"/>
    <cellStyle name="Normal 3 4 4 6 2" xfId="9599" xr:uid="{00000000-0005-0000-0000-000024920000}"/>
    <cellStyle name="Normal 3 4 4 6 2 2" xfId="16388" xr:uid="{00000000-0005-0000-0000-000025920000}"/>
    <cellStyle name="Normal 3 4 4 6 2 2 2" xfId="29956" xr:uid="{00000000-0005-0000-0000-000026920000}"/>
    <cellStyle name="Normal 3 4 4 6 2 2 2 2" xfId="57089" xr:uid="{00000000-0005-0000-0000-000027920000}"/>
    <cellStyle name="Normal 3 4 4 6 2 2 3" xfId="43527" xr:uid="{00000000-0005-0000-0000-000028920000}"/>
    <cellStyle name="Normal 3 4 4 6 2 3" xfId="23175" xr:uid="{00000000-0005-0000-0000-000029920000}"/>
    <cellStyle name="Normal 3 4 4 6 2 3 2" xfId="50308" xr:uid="{00000000-0005-0000-0000-00002A920000}"/>
    <cellStyle name="Normal 3 4 4 6 2 4" xfId="36746" xr:uid="{00000000-0005-0000-0000-00002B920000}"/>
    <cellStyle name="Normal 3 4 4 6 3" xfId="12999" xr:uid="{00000000-0005-0000-0000-00002C920000}"/>
    <cellStyle name="Normal 3 4 4 6 3 2" xfId="26567" xr:uid="{00000000-0005-0000-0000-00002D920000}"/>
    <cellStyle name="Normal 3 4 4 6 3 2 2" xfId="53700" xr:uid="{00000000-0005-0000-0000-00002E920000}"/>
    <cellStyle name="Normal 3 4 4 6 3 3" xfId="40138" xr:uid="{00000000-0005-0000-0000-00002F920000}"/>
    <cellStyle name="Normal 3 4 4 6 4" xfId="19786" xr:uid="{00000000-0005-0000-0000-000030920000}"/>
    <cellStyle name="Normal 3 4 4 6 4 2" xfId="46919" xr:uid="{00000000-0005-0000-0000-000031920000}"/>
    <cellStyle name="Normal 3 4 4 6 5" xfId="33357" xr:uid="{00000000-0005-0000-0000-000032920000}"/>
    <cellStyle name="Normal 3 4 4 7" xfId="7516" xr:uid="{00000000-0005-0000-0000-000033920000}"/>
    <cellStyle name="Normal 3 4 4 7 2" xfId="14305" xr:uid="{00000000-0005-0000-0000-000034920000}"/>
    <cellStyle name="Normal 3 4 4 7 2 2" xfId="27873" xr:uid="{00000000-0005-0000-0000-000035920000}"/>
    <cellStyle name="Normal 3 4 4 7 2 2 2" xfId="55006" xr:uid="{00000000-0005-0000-0000-000036920000}"/>
    <cellStyle name="Normal 3 4 4 7 2 3" xfId="41444" xr:uid="{00000000-0005-0000-0000-000037920000}"/>
    <cellStyle name="Normal 3 4 4 7 3" xfId="21092" xr:uid="{00000000-0005-0000-0000-000038920000}"/>
    <cellStyle name="Normal 3 4 4 7 3 2" xfId="48225" xr:uid="{00000000-0005-0000-0000-000039920000}"/>
    <cellStyle name="Normal 3 4 4 7 4" xfId="34663" xr:uid="{00000000-0005-0000-0000-00003A920000}"/>
    <cellStyle name="Normal 3 4 4 8" xfId="10916" xr:uid="{00000000-0005-0000-0000-00003B920000}"/>
    <cellStyle name="Normal 3 4 4 8 2" xfId="24484" xr:uid="{00000000-0005-0000-0000-00003C920000}"/>
    <cellStyle name="Normal 3 4 4 8 2 2" xfId="51617" xr:uid="{00000000-0005-0000-0000-00003D920000}"/>
    <cellStyle name="Normal 3 4 4 8 3" xfId="38055" xr:uid="{00000000-0005-0000-0000-00003E920000}"/>
    <cellStyle name="Normal 3 4 4 9" xfId="17703" xr:uid="{00000000-0005-0000-0000-00003F920000}"/>
    <cellStyle name="Normal 3 4 4 9 2" xfId="44836" xr:uid="{00000000-0005-0000-0000-000040920000}"/>
    <cellStyle name="Normal 3 4 5" xfId="2705" xr:uid="{00000000-0005-0000-0000-000041920000}"/>
    <cellStyle name="Normal 3 4 5 2" xfId="2706" xr:uid="{00000000-0005-0000-0000-000042920000}"/>
    <cellStyle name="Normal 3 4 5 2 2" xfId="6057" xr:uid="{00000000-0005-0000-0000-000043920000}"/>
    <cellStyle name="Normal 3 4 5 2 2 2" xfId="9600" xr:uid="{00000000-0005-0000-0000-000044920000}"/>
    <cellStyle name="Normal 3 4 5 2 2 2 2" xfId="16389" xr:uid="{00000000-0005-0000-0000-000045920000}"/>
    <cellStyle name="Normal 3 4 5 2 2 2 2 2" xfId="29957" xr:uid="{00000000-0005-0000-0000-000046920000}"/>
    <cellStyle name="Normal 3 4 5 2 2 2 2 2 2" xfId="57090" xr:uid="{00000000-0005-0000-0000-000047920000}"/>
    <cellStyle name="Normal 3 4 5 2 2 2 2 3" xfId="43528" xr:uid="{00000000-0005-0000-0000-000048920000}"/>
    <cellStyle name="Normal 3 4 5 2 2 2 3" xfId="23176" xr:uid="{00000000-0005-0000-0000-000049920000}"/>
    <cellStyle name="Normal 3 4 5 2 2 2 3 2" xfId="50309" xr:uid="{00000000-0005-0000-0000-00004A920000}"/>
    <cellStyle name="Normal 3 4 5 2 2 2 4" xfId="36747" xr:uid="{00000000-0005-0000-0000-00004B920000}"/>
    <cellStyle name="Normal 3 4 5 2 2 3" xfId="13000" xr:uid="{00000000-0005-0000-0000-00004C920000}"/>
    <cellStyle name="Normal 3 4 5 2 2 3 2" xfId="26568" xr:uid="{00000000-0005-0000-0000-00004D920000}"/>
    <cellStyle name="Normal 3 4 5 2 2 3 2 2" xfId="53701" xr:uid="{00000000-0005-0000-0000-00004E920000}"/>
    <cellStyle name="Normal 3 4 5 2 2 3 3" xfId="40139" xr:uid="{00000000-0005-0000-0000-00004F920000}"/>
    <cellStyle name="Normal 3 4 5 2 2 4" xfId="19787" xr:uid="{00000000-0005-0000-0000-000050920000}"/>
    <cellStyle name="Normal 3 4 5 2 2 4 2" xfId="46920" xr:uid="{00000000-0005-0000-0000-000051920000}"/>
    <cellStyle name="Normal 3 4 5 2 2 5" xfId="33358" xr:uid="{00000000-0005-0000-0000-000052920000}"/>
    <cellStyle name="Normal 3 4 5 2 3" xfId="6058" xr:uid="{00000000-0005-0000-0000-000053920000}"/>
    <cellStyle name="Normal 3 4 5 2 3 2" xfId="9601" xr:uid="{00000000-0005-0000-0000-000054920000}"/>
    <cellStyle name="Normal 3 4 5 2 3 2 2" xfId="16390" xr:uid="{00000000-0005-0000-0000-000055920000}"/>
    <cellStyle name="Normal 3 4 5 2 3 2 2 2" xfId="29958" xr:uid="{00000000-0005-0000-0000-000056920000}"/>
    <cellStyle name="Normal 3 4 5 2 3 2 2 2 2" xfId="57091" xr:uid="{00000000-0005-0000-0000-000057920000}"/>
    <cellStyle name="Normal 3 4 5 2 3 2 2 3" xfId="43529" xr:uid="{00000000-0005-0000-0000-000058920000}"/>
    <cellStyle name="Normal 3 4 5 2 3 2 3" xfId="23177" xr:uid="{00000000-0005-0000-0000-000059920000}"/>
    <cellStyle name="Normal 3 4 5 2 3 2 3 2" xfId="50310" xr:uid="{00000000-0005-0000-0000-00005A920000}"/>
    <cellStyle name="Normal 3 4 5 2 3 2 4" xfId="36748" xr:uid="{00000000-0005-0000-0000-00005B920000}"/>
    <cellStyle name="Normal 3 4 5 2 3 3" xfId="13001" xr:uid="{00000000-0005-0000-0000-00005C920000}"/>
    <cellStyle name="Normal 3 4 5 2 3 3 2" xfId="26569" xr:uid="{00000000-0005-0000-0000-00005D920000}"/>
    <cellStyle name="Normal 3 4 5 2 3 3 2 2" xfId="53702" xr:uid="{00000000-0005-0000-0000-00005E920000}"/>
    <cellStyle name="Normal 3 4 5 2 3 3 3" xfId="40140" xr:uid="{00000000-0005-0000-0000-00005F920000}"/>
    <cellStyle name="Normal 3 4 5 2 3 4" xfId="19788" xr:uid="{00000000-0005-0000-0000-000060920000}"/>
    <cellStyle name="Normal 3 4 5 2 3 4 2" xfId="46921" xr:uid="{00000000-0005-0000-0000-000061920000}"/>
    <cellStyle name="Normal 3 4 5 2 3 5" xfId="33359" xr:uid="{00000000-0005-0000-0000-000062920000}"/>
    <cellStyle name="Normal 3 4 5 2 4" xfId="7519" xr:uid="{00000000-0005-0000-0000-000063920000}"/>
    <cellStyle name="Normal 3 4 5 2 4 2" xfId="14308" xr:uid="{00000000-0005-0000-0000-000064920000}"/>
    <cellStyle name="Normal 3 4 5 2 4 2 2" xfId="27876" xr:uid="{00000000-0005-0000-0000-000065920000}"/>
    <cellStyle name="Normal 3 4 5 2 4 2 2 2" xfId="55009" xr:uid="{00000000-0005-0000-0000-000066920000}"/>
    <cellStyle name="Normal 3 4 5 2 4 2 3" xfId="41447" xr:uid="{00000000-0005-0000-0000-000067920000}"/>
    <cellStyle name="Normal 3 4 5 2 4 3" xfId="21095" xr:uid="{00000000-0005-0000-0000-000068920000}"/>
    <cellStyle name="Normal 3 4 5 2 4 3 2" xfId="48228" xr:uid="{00000000-0005-0000-0000-000069920000}"/>
    <cellStyle name="Normal 3 4 5 2 4 4" xfId="34666" xr:uid="{00000000-0005-0000-0000-00006A920000}"/>
    <cellStyle name="Normal 3 4 5 2 5" xfId="10919" xr:uid="{00000000-0005-0000-0000-00006B920000}"/>
    <cellStyle name="Normal 3 4 5 2 5 2" xfId="24487" xr:uid="{00000000-0005-0000-0000-00006C920000}"/>
    <cellStyle name="Normal 3 4 5 2 5 2 2" xfId="51620" xr:uid="{00000000-0005-0000-0000-00006D920000}"/>
    <cellStyle name="Normal 3 4 5 2 5 3" xfId="38058" xr:uid="{00000000-0005-0000-0000-00006E920000}"/>
    <cellStyle name="Normal 3 4 5 2 6" xfId="17706" xr:uid="{00000000-0005-0000-0000-00006F920000}"/>
    <cellStyle name="Normal 3 4 5 2 6 2" xfId="44839" xr:uid="{00000000-0005-0000-0000-000070920000}"/>
    <cellStyle name="Normal 3 4 5 2 7" xfId="31277" xr:uid="{00000000-0005-0000-0000-000071920000}"/>
    <cellStyle name="Normal 3 4 5 3" xfId="6059" xr:uid="{00000000-0005-0000-0000-000072920000}"/>
    <cellStyle name="Normal 3 4 5 3 2" xfId="6060" xr:uid="{00000000-0005-0000-0000-000073920000}"/>
    <cellStyle name="Normal 3 4 5 3 2 2" xfId="9603" xr:uid="{00000000-0005-0000-0000-000074920000}"/>
    <cellStyle name="Normal 3 4 5 3 2 2 2" xfId="16392" xr:uid="{00000000-0005-0000-0000-000075920000}"/>
    <cellStyle name="Normal 3 4 5 3 2 2 2 2" xfId="29960" xr:uid="{00000000-0005-0000-0000-000076920000}"/>
    <cellStyle name="Normal 3 4 5 3 2 2 2 2 2" xfId="57093" xr:uid="{00000000-0005-0000-0000-000077920000}"/>
    <cellStyle name="Normal 3 4 5 3 2 2 2 3" xfId="43531" xr:uid="{00000000-0005-0000-0000-000078920000}"/>
    <cellStyle name="Normal 3 4 5 3 2 2 3" xfId="23179" xr:uid="{00000000-0005-0000-0000-000079920000}"/>
    <cellStyle name="Normal 3 4 5 3 2 2 3 2" xfId="50312" xr:uid="{00000000-0005-0000-0000-00007A920000}"/>
    <cellStyle name="Normal 3 4 5 3 2 2 4" xfId="36750" xr:uid="{00000000-0005-0000-0000-00007B920000}"/>
    <cellStyle name="Normal 3 4 5 3 2 3" xfId="13003" xr:uid="{00000000-0005-0000-0000-00007C920000}"/>
    <cellStyle name="Normal 3 4 5 3 2 3 2" xfId="26571" xr:uid="{00000000-0005-0000-0000-00007D920000}"/>
    <cellStyle name="Normal 3 4 5 3 2 3 2 2" xfId="53704" xr:uid="{00000000-0005-0000-0000-00007E920000}"/>
    <cellStyle name="Normal 3 4 5 3 2 3 3" xfId="40142" xr:uid="{00000000-0005-0000-0000-00007F920000}"/>
    <cellStyle name="Normal 3 4 5 3 2 4" xfId="19790" xr:uid="{00000000-0005-0000-0000-000080920000}"/>
    <cellStyle name="Normal 3 4 5 3 2 4 2" xfId="46923" xr:uid="{00000000-0005-0000-0000-000081920000}"/>
    <cellStyle name="Normal 3 4 5 3 2 5" xfId="33361" xr:uid="{00000000-0005-0000-0000-000082920000}"/>
    <cellStyle name="Normal 3 4 5 3 3" xfId="9602" xr:uid="{00000000-0005-0000-0000-000083920000}"/>
    <cellStyle name="Normal 3 4 5 3 3 2" xfId="16391" xr:uid="{00000000-0005-0000-0000-000084920000}"/>
    <cellStyle name="Normal 3 4 5 3 3 2 2" xfId="29959" xr:uid="{00000000-0005-0000-0000-000085920000}"/>
    <cellStyle name="Normal 3 4 5 3 3 2 2 2" xfId="57092" xr:uid="{00000000-0005-0000-0000-000086920000}"/>
    <cellStyle name="Normal 3 4 5 3 3 2 3" xfId="43530" xr:uid="{00000000-0005-0000-0000-000087920000}"/>
    <cellStyle name="Normal 3 4 5 3 3 3" xfId="23178" xr:uid="{00000000-0005-0000-0000-000088920000}"/>
    <cellStyle name="Normal 3 4 5 3 3 3 2" xfId="50311" xr:uid="{00000000-0005-0000-0000-000089920000}"/>
    <cellStyle name="Normal 3 4 5 3 3 4" xfId="36749" xr:uid="{00000000-0005-0000-0000-00008A920000}"/>
    <cellStyle name="Normal 3 4 5 3 4" xfId="13002" xr:uid="{00000000-0005-0000-0000-00008B920000}"/>
    <cellStyle name="Normal 3 4 5 3 4 2" xfId="26570" xr:uid="{00000000-0005-0000-0000-00008C920000}"/>
    <cellStyle name="Normal 3 4 5 3 4 2 2" xfId="53703" xr:uid="{00000000-0005-0000-0000-00008D920000}"/>
    <cellStyle name="Normal 3 4 5 3 4 3" xfId="40141" xr:uid="{00000000-0005-0000-0000-00008E920000}"/>
    <cellStyle name="Normal 3 4 5 3 5" xfId="19789" xr:uid="{00000000-0005-0000-0000-00008F920000}"/>
    <cellStyle name="Normal 3 4 5 3 5 2" xfId="46922" xr:uid="{00000000-0005-0000-0000-000090920000}"/>
    <cellStyle name="Normal 3 4 5 3 6" xfId="33360" xr:uid="{00000000-0005-0000-0000-000091920000}"/>
    <cellStyle name="Normal 3 4 5 4" xfId="6061" xr:uid="{00000000-0005-0000-0000-000092920000}"/>
    <cellStyle name="Normal 3 4 5 4 2" xfId="9604" xr:uid="{00000000-0005-0000-0000-000093920000}"/>
    <cellStyle name="Normal 3 4 5 4 2 2" xfId="16393" xr:uid="{00000000-0005-0000-0000-000094920000}"/>
    <cellStyle name="Normal 3 4 5 4 2 2 2" xfId="29961" xr:uid="{00000000-0005-0000-0000-000095920000}"/>
    <cellStyle name="Normal 3 4 5 4 2 2 2 2" xfId="57094" xr:uid="{00000000-0005-0000-0000-000096920000}"/>
    <cellStyle name="Normal 3 4 5 4 2 2 3" xfId="43532" xr:uid="{00000000-0005-0000-0000-000097920000}"/>
    <cellStyle name="Normal 3 4 5 4 2 3" xfId="23180" xr:uid="{00000000-0005-0000-0000-000098920000}"/>
    <cellStyle name="Normal 3 4 5 4 2 3 2" xfId="50313" xr:uid="{00000000-0005-0000-0000-000099920000}"/>
    <cellStyle name="Normal 3 4 5 4 2 4" xfId="36751" xr:uid="{00000000-0005-0000-0000-00009A920000}"/>
    <cellStyle name="Normal 3 4 5 4 3" xfId="13004" xr:uid="{00000000-0005-0000-0000-00009B920000}"/>
    <cellStyle name="Normal 3 4 5 4 3 2" xfId="26572" xr:uid="{00000000-0005-0000-0000-00009C920000}"/>
    <cellStyle name="Normal 3 4 5 4 3 2 2" xfId="53705" xr:uid="{00000000-0005-0000-0000-00009D920000}"/>
    <cellStyle name="Normal 3 4 5 4 3 3" xfId="40143" xr:uid="{00000000-0005-0000-0000-00009E920000}"/>
    <cellStyle name="Normal 3 4 5 4 4" xfId="19791" xr:uid="{00000000-0005-0000-0000-00009F920000}"/>
    <cellStyle name="Normal 3 4 5 4 4 2" xfId="46924" xr:uid="{00000000-0005-0000-0000-0000A0920000}"/>
    <cellStyle name="Normal 3 4 5 4 5" xfId="33362" xr:uid="{00000000-0005-0000-0000-0000A1920000}"/>
    <cellStyle name="Normal 3 4 5 5" xfId="6062" xr:uid="{00000000-0005-0000-0000-0000A2920000}"/>
    <cellStyle name="Normal 3 4 5 5 2" xfId="9605" xr:uid="{00000000-0005-0000-0000-0000A3920000}"/>
    <cellStyle name="Normal 3 4 5 5 2 2" xfId="16394" xr:uid="{00000000-0005-0000-0000-0000A4920000}"/>
    <cellStyle name="Normal 3 4 5 5 2 2 2" xfId="29962" xr:uid="{00000000-0005-0000-0000-0000A5920000}"/>
    <cellStyle name="Normal 3 4 5 5 2 2 2 2" xfId="57095" xr:uid="{00000000-0005-0000-0000-0000A6920000}"/>
    <cellStyle name="Normal 3 4 5 5 2 2 3" xfId="43533" xr:uid="{00000000-0005-0000-0000-0000A7920000}"/>
    <cellStyle name="Normal 3 4 5 5 2 3" xfId="23181" xr:uid="{00000000-0005-0000-0000-0000A8920000}"/>
    <cellStyle name="Normal 3 4 5 5 2 3 2" xfId="50314" xr:uid="{00000000-0005-0000-0000-0000A9920000}"/>
    <cellStyle name="Normal 3 4 5 5 2 4" xfId="36752" xr:uid="{00000000-0005-0000-0000-0000AA920000}"/>
    <cellStyle name="Normal 3 4 5 5 3" xfId="13005" xr:uid="{00000000-0005-0000-0000-0000AB920000}"/>
    <cellStyle name="Normal 3 4 5 5 3 2" xfId="26573" xr:uid="{00000000-0005-0000-0000-0000AC920000}"/>
    <cellStyle name="Normal 3 4 5 5 3 2 2" xfId="53706" xr:uid="{00000000-0005-0000-0000-0000AD920000}"/>
    <cellStyle name="Normal 3 4 5 5 3 3" xfId="40144" xr:uid="{00000000-0005-0000-0000-0000AE920000}"/>
    <cellStyle name="Normal 3 4 5 5 4" xfId="19792" xr:uid="{00000000-0005-0000-0000-0000AF920000}"/>
    <cellStyle name="Normal 3 4 5 5 4 2" xfId="46925" xr:uid="{00000000-0005-0000-0000-0000B0920000}"/>
    <cellStyle name="Normal 3 4 5 5 5" xfId="33363" xr:uid="{00000000-0005-0000-0000-0000B1920000}"/>
    <cellStyle name="Normal 3 4 5 6" xfId="7518" xr:uid="{00000000-0005-0000-0000-0000B2920000}"/>
    <cellStyle name="Normal 3 4 5 6 2" xfId="14307" xr:uid="{00000000-0005-0000-0000-0000B3920000}"/>
    <cellStyle name="Normal 3 4 5 6 2 2" xfId="27875" xr:uid="{00000000-0005-0000-0000-0000B4920000}"/>
    <cellStyle name="Normal 3 4 5 6 2 2 2" xfId="55008" xr:uid="{00000000-0005-0000-0000-0000B5920000}"/>
    <cellStyle name="Normal 3 4 5 6 2 3" xfId="41446" xr:uid="{00000000-0005-0000-0000-0000B6920000}"/>
    <cellStyle name="Normal 3 4 5 6 3" xfId="21094" xr:uid="{00000000-0005-0000-0000-0000B7920000}"/>
    <cellStyle name="Normal 3 4 5 6 3 2" xfId="48227" xr:uid="{00000000-0005-0000-0000-0000B8920000}"/>
    <cellStyle name="Normal 3 4 5 6 4" xfId="34665" xr:uid="{00000000-0005-0000-0000-0000B9920000}"/>
    <cellStyle name="Normal 3 4 5 7" xfId="10918" xr:uid="{00000000-0005-0000-0000-0000BA920000}"/>
    <cellStyle name="Normal 3 4 5 7 2" xfId="24486" xr:uid="{00000000-0005-0000-0000-0000BB920000}"/>
    <cellStyle name="Normal 3 4 5 7 2 2" xfId="51619" xr:uid="{00000000-0005-0000-0000-0000BC920000}"/>
    <cellStyle name="Normal 3 4 5 7 3" xfId="38057" xr:uid="{00000000-0005-0000-0000-0000BD920000}"/>
    <cellStyle name="Normal 3 4 5 8" xfId="17705" xr:uid="{00000000-0005-0000-0000-0000BE920000}"/>
    <cellStyle name="Normal 3 4 5 8 2" xfId="44838" xr:uid="{00000000-0005-0000-0000-0000BF920000}"/>
    <cellStyle name="Normal 3 4 5 9" xfId="31276" xr:uid="{00000000-0005-0000-0000-0000C0920000}"/>
    <cellStyle name="Normal 3 4 6" xfId="2707" xr:uid="{00000000-0005-0000-0000-0000C1920000}"/>
    <cellStyle name="Normal 3 4 6 2" xfId="2708" xr:uid="{00000000-0005-0000-0000-0000C2920000}"/>
    <cellStyle name="Normal 3 4 6 2 2" xfId="6063" xr:uid="{00000000-0005-0000-0000-0000C3920000}"/>
    <cellStyle name="Normal 3 4 6 2 2 2" xfId="9606" xr:uid="{00000000-0005-0000-0000-0000C4920000}"/>
    <cellStyle name="Normal 3 4 6 2 2 2 2" xfId="16395" xr:uid="{00000000-0005-0000-0000-0000C5920000}"/>
    <cellStyle name="Normal 3 4 6 2 2 2 2 2" xfId="29963" xr:uid="{00000000-0005-0000-0000-0000C6920000}"/>
    <cellStyle name="Normal 3 4 6 2 2 2 2 2 2" xfId="57096" xr:uid="{00000000-0005-0000-0000-0000C7920000}"/>
    <cellStyle name="Normal 3 4 6 2 2 2 2 3" xfId="43534" xr:uid="{00000000-0005-0000-0000-0000C8920000}"/>
    <cellStyle name="Normal 3 4 6 2 2 2 3" xfId="23182" xr:uid="{00000000-0005-0000-0000-0000C9920000}"/>
    <cellStyle name="Normal 3 4 6 2 2 2 3 2" xfId="50315" xr:uid="{00000000-0005-0000-0000-0000CA920000}"/>
    <cellStyle name="Normal 3 4 6 2 2 2 4" xfId="36753" xr:uid="{00000000-0005-0000-0000-0000CB920000}"/>
    <cellStyle name="Normal 3 4 6 2 2 3" xfId="13006" xr:uid="{00000000-0005-0000-0000-0000CC920000}"/>
    <cellStyle name="Normal 3 4 6 2 2 3 2" xfId="26574" xr:uid="{00000000-0005-0000-0000-0000CD920000}"/>
    <cellStyle name="Normal 3 4 6 2 2 3 2 2" xfId="53707" xr:uid="{00000000-0005-0000-0000-0000CE920000}"/>
    <cellStyle name="Normal 3 4 6 2 2 3 3" xfId="40145" xr:uid="{00000000-0005-0000-0000-0000CF920000}"/>
    <cellStyle name="Normal 3 4 6 2 2 4" xfId="19793" xr:uid="{00000000-0005-0000-0000-0000D0920000}"/>
    <cellStyle name="Normal 3 4 6 2 2 4 2" xfId="46926" xr:uid="{00000000-0005-0000-0000-0000D1920000}"/>
    <cellStyle name="Normal 3 4 6 2 2 5" xfId="33364" xr:uid="{00000000-0005-0000-0000-0000D2920000}"/>
    <cellStyle name="Normal 3 4 6 2 3" xfId="6064" xr:uid="{00000000-0005-0000-0000-0000D3920000}"/>
    <cellStyle name="Normal 3 4 6 2 3 2" xfId="9607" xr:uid="{00000000-0005-0000-0000-0000D4920000}"/>
    <cellStyle name="Normal 3 4 6 2 3 2 2" xfId="16396" xr:uid="{00000000-0005-0000-0000-0000D5920000}"/>
    <cellStyle name="Normal 3 4 6 2 3 2 2 2" xfId="29964" xr:uid="{00000000-0005-0000-0000-0000D6920000}"/>
    <cellStyle name="Normal 3 4 6 2 3 2 2 2 2" xfId="57097" xr:uid="{00000000-0005-0000-0000-0000D7920000}"/>
    <cellStyle name="Normal 3 4 6 2 3 2 2 3" xfId="43535" xr:uid="{00000000-0005-0000-0000-0000D8920000}"/>
    <cellStyle name="Normal 3 4 6 2 3 2 3" xfId="23183" xr:uid="{00000000-0005-0000-0000-0000D9920000}"/>
    <cellStyle name="Normal 3 4 6 2 3 2 3 2" xfId="50316" xr:uid="{00000000-0005-0000-0000-0000DA920000}"/>
    <cellStyle name="Normal 3 4 6 2 3 2 4" xfId="36754" xr:uid="{00000000-0005-0000-0000-0000DB920000}"/>
    <cellStyle name="Normal 3 4 6 2 3 3" xfId="13007" xr:uid="{00000000-0005-0000-0000-0000DC920000}"/>
    <cellStyle name="Normal 3 4 6 2 3 3 2" xfId="26575" xr:uid="{00000000-0005-0000-0000-0000DD920000}"/>
    <cellStyle name="Normal 3 4 6 2 3 3 2 2" xfId="53708" xr:uid="{00000000-0005-0000-0000-0000DE920000}"/>
    <cellStyle name="Normal 3 4 6 2 3 3 3" xfId="40146" xr:uid="{00000000-0005-0000-0000-0000DF920000}"/>
    <cellStyle name="Normal 3 4 6 2 3 4" xfId="19794" xr:uid="{00000000-0005-0000-0000-0000E0920000}"/>
    <cellStyle name="Normal 3 4 6 2 3 4 2" xfId="46927" xr:uid="{00000000-0005-0000-0000-0000E1920000}"/>
    <cellStyle name="Normal 3 4 6 2 3 5" xfId="33365" xr:uid="{00000000-0005-0000-0000-0000E2920000}"/>
    <cellStyle name="Normal 3 4 6 2 4" xfId="7521" xr:uid="{00000000-0005-0000-0000-0000E3920000}"/>
    <cellStyle name="Normal 3 4 6 2 4 2" xfId="14310" xr:uid="{00000000-0005-0000-0000-0000E4920000}"/>
    <cellStyle name="Normal 3 4 6 2 4 2 2" xfId="27878" xr:uid="{00000000-0005-0000-0000-0000E5920000}"/>
    <cellStyle name="Normal 3 4 6 2 4 2 2 2" xfId="55011" xr:uid="{00000000-0005-0000-0000-0000E6920000}"/>
    <cellStyle name="Normal 3 4 6 2 4 2 3" xfId="41449" xr:uid="{00000000-0005-0000-0000-0000E7920000}"/>
    <cellStyle name="Normal 3 4 6 2 4 3" xfId="21097" xr:uid="{00000000-0005-0000-0000-0000E8920000}"/>
    <cellStyle name="Normal 3 4 6 2 4 3 2" xfId="48230" xr:uid="{00000000-0005-0000-0000-0000E9920000}"/>
    <cellStyle name="Normal 3 4 6 2 4 4" xfId="34668" xr:uid="{00000000-0005-0000-0000-0000EA920000}"/>
    <cellStyle name="Normal 3 4 6 2 5" xfId="10921" xr:uid="{00000000-0005-0000-0000-0000EB920000}"/>
    <cellStyle name="Normal 3 4 6 2 5 2" xfId="24489" xr:uid="{00000000-0005-0000-0000-0000EC920000}"/>
    <cellStyle name="Normal 3 4 6 2 5 2 2" xfId="51622" xr:uid="{00000000-0005-0000-0000-0000ED920000}"/>
    <cellStyle name="Normal 3 4 6 2 5 3" xfId="38060" xr:uid="{00000000-0005-0000-0000-0000EE920000}"/>
    <cellStyle name="Normal 3 4 6 2 6" xfId="17708" xr:uid="{00000000-0005-0000-0000-0000EF920000}"/>
    <cellStyle name="Normal 3 4 6 2 6 2" xfId="44841" xr:uid="{00000000-0005-0000-0000-0000F0920000}"/>
    <cellStyle name="Normal 3 4 6 2 7" xfId="31279" xr:uid="{00000000-0005-0000-0000-0000F1920000}"/>
    <cellStyle name="Normal 3 4 6 3" xfId="6065" xr:uid="{00000000-0005-0000-0000-0000F2920000}"/>
    <cellStyle name="Normal 3 4 6 3 2" xfId="9608" xr:uid="{00000000-0005-0000-0000-0000F3920000}"/>
    <cellStyle name="Normal 3 4 6 3 2 2" xfId="16397" xr:uid="{00000000-0005-0000-0000-0000F4920000}"/>
    <cellStyle name="Normal 3 4 6 3 2 2 2" xfId="29965" xr:uid="{00000000-0005-0000-0000-0000F5920000}"/>
    <cellStyle name="Normal 3 4 6 3 2 2 2 2" xfId="57098" xr:uid="{00000000-0005-0000-0000-0000F6920000}"/>
    <cellStyle name="Normal 3 4 6 3 2 2 3" xfId="43536" xr:uid="{00000000-0005-0000-0000-0000F7920000}"/>
    <cellStyle name="Normal 3 4 6 3 2 3" xfId="23184" xr:uid="{00000000-0005-0000-0000-0000F8920000}"/>
    <cellStyle name="Normal 3 4 6 3 2 3 2" xfId="50317" xr:uid="{00000000-0005-0000-0000-0000F9920000}"/>
    <cellStyle name="Normal 3 4 6 3 2 4" xfId="36755" xr:uid="{00000000-0005-0000-0000-0000FA920000}"/>
    <cellStyle name="Normal 3 4 6 3 3" xfId="13008" xr:uid="{00000000-0005-0000-0000-0000FB920000}"/>
    <cellStyle name="Normal 3 4 6 3 3 2" xfId="26576" xr:uid="{00000000-0005-0000-0000-0000FC920000}"/>
    <cellStyle name="Normal 3 4 6 3 3 2 2" xfId="53709" xr:uid="{00000000-0005-0000-0000-0000FD920000}"/>
    <cellStyle name="Normal 3 4 6 3 3 3" xfId="40147" xr:uid="{00000000-0005-0000-0000-0000FE920000}"/>
    <cellStyle name="Normal 3 4 6 3 4" xfId="19795" xr:uid="{00000000-0005-0000-0000-0000FF920000}"/>
    <cellStyle name="Normal 3 4 6 3 4 2" xfId="46928" xr:uid="{00000000-0005-0000-0000-000000930000}"/>
    <cellStyle name="Normal 3 4 6 3 5" xfId="33366" xr:uid="{00000000-0005-0000-0000-000001930000}"/>
    <cellStyle name="Normal 3 4 6 4" xfId="6066" xr:uid="{00000000-0005-0000-0000-000002930000}"/>
    <cellStyle name="Normal 3 4 6 4 2" xfId="9609" xr:uid="{00000000-0005-0000-0000-000003930000}"/>
    <cellStyle name="Normal 3 4 6 4 2 2" xfId="16398" xr:uid="{00000000-0005-0000-0000-000004930000}"/>
    <cellStyle name="Normal 3 4 6 4 2 2 2" xfId="29966" xr:uid="{00000000-0005-0000-0000-000005930000}"/>
    <cellStyle name="Normal 3 4 6 4 2 2 2 2" xfId="57099" xr:uid="{00000000-0005-0000-0000-000006930000}"/>
    <cellStyle name="Normal 3 4 6 4 2 2 3" xfId="43537" xr:uid="{00000000-0005-0000-0000-000007930000}"/>
    <cellStyle name="Normal 3 4 6 4 2 3" xfId="23185" xr:uid="{00000000-0005-0000-0000-000008930000}"/>
    <cellStyle name="Normal 3 4 6 4 2 3 2" xfId="50318" xr:uid="{00000000-0005-0000-0000-000009930000}"/>
    <cellStyle name="Normal 3 4 6 4 2 4" xfId="36756" xr:uid="{00000000-0005-0000-0000-00000A930000}"/>
    <cellStyle name="Normal 3 4 6 4 3" xfId="13009" xr:uid="{00000000-0005-0000-0000-00000B930000}"/>
    <cellStyle name="Normal 3 4 6 4 3 2" xfId="26577" xr:uid="{00000000-0005-0000-0000-00000C930000}"/>
    <cellStyle name="Normal 3 4 6 4 3 2 2" xfId="53710" xr:uid="{00000000-0005-0000-0000-00000D930000}"/>
    <cellStyle name="Normal 3 4 6 4 3 3" xfId="40148" xr:uid="{00000000-0005-0000-0000-00000E930000}"/>
    <cellStyle name="Normal 3 4 6 4 4" xfId="19796" xr:uid="{00000000-0005-0000-0000-00000F930000}"/>
    <cellStyle name="Normal 3 4 6 4 4 2" xfId="46929" xr:uid="{00000000-0005-0000-0000-000010930000}"/>
    <cellStyle name="Normal 3 4 6 4 5" xfId="33367" xr:uid="{00000000-0005-0000-0000-000011930000}"/>
    <cellStyle name="Normal 3 4 6 5" xfId="7520" xr:uid="{00000000-0005-0000-0000-000012930000}"/>
    <cellStyle name="Normal 3 4 6 5 2" xfId="14309" xr:uid="{00000000-0005-0000-0000-000013930000}"/>
    <cellStyle name="Normal 3 4 6 5 2 2" xfId="27877" xr:uid="{00000000-0005-0000-0000-000014930000}"/>
    <cellStyle name="Normal 3 4 6 5 2 2 2" xfId="55010" xr:uid="{00000000-0005-0000-0000-000015930000}"/>
    <cellStyle name="Normal 3 4 6 5 2 3" xfId="41448" xr:uid="{00000000-0005-0000-0000-000016930000}"/>
    <cellStyle name="Normal 3 4 6 5 3" xfId="21096" xr:uid="{00000000-0005-0000-0000-000017930000}"/>
    <cellStyle name="Normal 3 4 6 5 3 2" xfId="48229" xr:uid="{00000000-0005-0000-0000-000018930000}"/>
    <cellStyle name="Normal 3 4 6 5 4" xfId="34667" xr:uid="{00000000-0005-0000-0000-000019930000}"/>
    <cellStyle name="Normal 3 4 6 6" xfId="10920" xr:uid="{00000000-0005-0000-0000-00001A930000}"/>
    <cellStyle name="Normal 3 4 6 6 2" xfId="24488" xr:uid="{00000000-0005-0000-0000-00001B930000}"/>
    <cellStyle name="Normal 3 4 6 6 2 2" xfId="51621" xr:uid="{00000000-0005-0000-0000-00001C930000}"/>
    <cellStyle name="Normal 3 4 6 6 3" xfId="38059" xr:uid="{00000000-0005-0000-0000-00001D930000}"/>
    <cellStyle name="Normal 3 4 6 7" xfId="17707" xr:uid="{00000000-0005-0000-0000-00001E930000}"/>
    <cellStyle name="Normal 3 4 6 7 2" xfId="44840" xr:uid="{00000000-0005-0000-0000-00001F930000}"/>
    <cellStyle name="Normal 3 4 6 8" xfId="31278" xr:uid="{00000000-0005-0000-0000-000020930000}"/>
    <cellStyle name="Normal 3 4 7" xfId="2709" xr:uid="{00000000-0005-0000-0000-000021930000}"/>
    <cellStyle name="Normal 3 4 7 2" xfId="2710" xr:uid="{00000000-0005-0000-0000-000022930000}"/>
    <cellStyle name="Normal 3 4 7 2 2" xfId="6067" xr:uid="{00000000-0005-0000-0000-000023930000}"/>
    <cellStyle name="Normal 3 4 7 2 2 2" xfId="9610" xr:uid="{00000000-0005-0000-0000-000024930000}"/>
    <cellStyle name="Normal 3 4 7 2 2 2 2" xfId="16399" xr:uid="{00000000-0005-0000-0000-000025930000}"/>
    <cellStyle name="Normal 3 4 7 2 2 2 2 2" xfId="29967" xr:uid="{00000000-0005-0000-0000-000026930000}"/>
    <cellStyle name="Normal 3 4 7 2 2 2 2 2 2" xfId="57100" xr:uid="{00000000-0005-0000-0000-000027930000}"/>
    <cellStyle name="Normal 3 4 7 2 2 2 2 3" xfId="43538" xr:uid="{00000000-0005-0000-0000-000028930000}"/>
    <cellStyle name="Normal 3 4 7 2 2 2 3" xfId="23186" xr:uid="{00000000-0005-0000-0000-000029930000}"/>
    <cellStyle name="Normal 3 4 7 2 2 2 3 2" xfId="50319" xr:uid="{00000000-0005-0000-0000-00002A930000}"/>
    <cellStyle name="Normal 3 4 7 2 2 2 4" xfId="36757" xr:uid="{00000000-0005-0000-0000-00002B930000}"/>
    <cellStyle name="Normal 3 4 7 2 2 3" xfId="13010" xr:uid="{00000000-0005-0000-0000-00002C930000}"/>
    <cellStyle name="Normal 3 4 7 2 2 3 2" xfId="26578" xr:uid="{00000000-0005-0000-0000-00002D930000}"/>
    <cellStyle name="Normal 3 4 7 2 2 3 2 2" xfId="53711" xr:uid="{00000000-0005-0000-0000-00002E930000}"/>
    <cellStyle name="Normal 3 4 7 2 2 3 3" xfId="40149" xr:uid="{00000000-0005-0000-0000-00002F930000}"/>
    <cellStyle name="Normal 3 4 7 2 2 4" xfId="19797" xr:uid="{00000000-0005-0000-0000-000030930000}"/>
    <cellStyle name="Normal 3 4 7 2 2 4 2" xfId="46930" xr:uid="{00000000-0005-0000-0000-000031930000}"/>
    <cellStyle name="Normal 3 4 7 2 2 5" xfId="33368" xr:uid="{00000000-0005-0000-0000-000032930000}"/>
    <cellStyle name="Normal 3 4 7 2 3" xfId="6068" xr:uid="{00000000-0005-0000-0000-000033930000}"/>
    <cellStyle name="Normal 3 4 7 2 3 2" xfId="9611" xr:uid="{00000000-0005-0000-0000-000034930000}"/>
    <cellStyle name="Normal 3 4 7 2 3 2 2" xfId="16400" xr:uid="{00000000-0005-0000-0000-000035930000}"/>
    <cellStyle name="Normal 3 4 7 2 3 2 2 2" xfId="29968" xr:uid="{00000000-0005-0000-0000-000036930000}"/>
    <cellStyle name="Normal 3 4 7 2 3 2 2 2 2" xfId="57101" xr:uid="{00000000-0005-0000-0000-000037930000}"/>
    <cellStyle name="Normal 3 4 7 2 3 2 2 3" xfId="43539" xr:uid="{00000000-0005-0000-0000-000038930000}"/>
    <cellStyle name="Normal 3 4 7 2 3 2 3" xfId="23187" xr:uid="{00000000-0005-0000-0000-000039930000}"/>
    <cellStyle name="Normal 3 4 7 2 3 2 3 2" xfId="50320" xr:uid="{00000000-0005-0000-0000-00003A930000}"/>
    <cellStyle name="Normal 3 4 7 2 3 2 4" xfId="36758" xr:uid="{00000000-0005-0000-0000-00003B930000}"/>
    <cellStyle name="Normal 3 4 7 2 3 3" xfId="13011" xr:uid="{00000000-0005-0000-0000-00003C930000}"/>
    <cellStyle name="Normal 3 4 7 2 3 3 2" xfId="26579" xr:uid="{00000000-0005-0000-0000-00003D930000}"/>
    <cellStyle name="Normal 3 4 7 2 3 3 2 2" xfId="53712" xr:uid="{00000000-0005-0000-0000-00003E930000}"/>
    <cellStyle name="Normal 3 4 7 2 3 3 3" xfId="40150" xr:uid="{00000000-0005-0000-0000-00003F930000}"/>
    <cellStyle name="Normal 3 4 7 2 3 4" xfId="19798" xr:uid="{00000000-0005-0000-0000-000040930000}"/>
    <cellStyle name="Normal 3 4 7 2 3 4 2" xfId="46931" xr:uid="{00000000-0005-0000-0000-000041930000}"/>
    <cellStyle name="Normal 3 4 7 2 3 5" xfId="33369" xr:uid="{00000000-0005-0000-0000-000042930000}"/>
    <cellStyle name="Normal 3 4 7 2 4" xfId="7523" xr:uid="{00000000-0005-0000-0000-000043930000}"/>
    <cellStyle name="Normal 3 4 7 2 4 2" xfId="14312" xr:uid="{00000000-0005-0000-0000-000044930000}"/>
    <cellStyle name="Normal 3 4 7 2 4 2 2" xfId="27880" xr:uid="{00000000-0005-0000-0000-000045930000}"/>
    <cellStyle name="Normal 3 4 7 2 4 2 2 2" xfId="55013" xr:uid="{00000000-0005-0000-0000-000046930000}"/>
    <cellStyle name="Normal 3 4 7 2 4 2 3" xfId="41451" xr:uid="{00000000-0005-0000-0000-000047930000}"/>
    <cellStyle name="Normal 3 4 7 2 4 3" xfId="21099" xr:uid="{00000000-0005-0000-0000-000048930000}"/>
    <cellStyle name="Normal 3 4 7 2 4 3 2" xfId="48232" xr:uid="{00000000-0005-0000-0000-000049930000}"/>
    <cellStyle name="Normal 3 4 7 2 4 4" xfId="34670" xr:uid="{00000000-0005-0000-0000-00004A930000}"/>
    <cellStyle name="Normal 3 4 7 2 5" xfId="10923" xr:uid="{00000000-0005-0000-0000-00004B930000}"/>
    <cellStyle name="Normal 3 4 7 2 5 2" xfId="24491" xr:uid="{00000000-0005-0000-0000-00004C930000}"/>
    <cellStyle name="Normal 3 4 7 2 5 2 2" xfId="51624" xr:uid="{00000000-0005-0000-0000-00004D930000}"/>
    <cellStyle name="Normal 3 4 7 2 5 3" xfId="38062" xr:uid="{00000000-0005-0000-0000-00004E930000}"/>
    <cellStyle name="Normal 3 4 7 2 6" xfId="17710" xr:uid="{00000000-0005-0000-0000-00004F930000}"/>
    <cellStyle name="Normal 3 4 7 2 6 2" xfId="44843" xr:uid="{00000000-0005-0000-0000-000050930000}"/>
    <cellStyle name="Normal 3 4 7 2 7" xfId="31281" xr:uid="{00000000-0005-0000-0000-000051930000}"/>
    <cellStyle name="Normal 3 4 7 3" xfId="6069" xr:uid="{00000000-0005-0000-0000-000052930000}"/>
    <cellStyle name="Normal 3 4 7 3 2" xfId="9612" xr:uid="{00000000-0005-0000-0000-000053930000}"/>
    <cellStyle name="Normal 3 4 7 3 2 2" xfId="16401" xr:uid="{00000000-0005-0000-0000-000054930000}"/>
    <cellStyle name="Normal 3 4 7 3 2 2 2" xfId="29969" xr:uid="{00000000-0005-0000-0000-000055930000}"/>
    <cellStyle name="Normal 3 4 7 3 2 2 2 2" xfId="57102" xr:uid="{00000000-0005-0000-0000-000056930000}"/>
    <cellStyle name="Normal 3 4 7 3 2 2 3" xfId="43540" xr:uid="{00000000-0005-0000-0000-000057930000}"/>
    <cellStyle name="Normal 3 4 7 3 2 3" xfId="23188" xr:uid="{00000000-0005-0000-0000-000058930000}"/>
    <cellStyle name="Normal 3 4 7 3 2 3 2" xfId="50321" xr:uid="{00000000-0005-0000-0000-000059930000}"/>
    <cellStyle name="Normal 3 4 7 3 2 4" xfId="36759" xr:uid="{00000000-0005-0000-0000-00005A930000}"/>
    <cellStyle name="Normal 3 4 7 3 3" xfId="13012" xr:uid="{00000000-0005-0000-0000-00005B930000}"/>
    <cellStyle name="Normal 3 4 7 3 3 2" xfId="26580" xr:uid="{00000000-0005-0000-0000-00005C930000}"/>
    <cellStyle name="Normal 3 4 7 3 3 2 2" xfId="53713" xr:uid="{00000000-0005-0000-0000-00005D930000}"/>
    <cellStyle name="Normal 3 4 7 3 3 3" xfId="40151" xr:uid="{00000000-0005-0000-0000-00005E930000}"/>
    <cellStyle name="Normal 3 4 7 3 4" xfId="19799" xr:uid="{00000000-0005-0000-0000-00005F930000}"/>
    <cellStyle name="Normal 3 4 7 3 4 2" xfId="46932" xr:uid="{00000000-0005-0000-0000-000060930000}"/>
    <cellStyle name="Normal 3 4 7 3 5" xfId="33370" xr:uid="{00000000-0005-0000-0000-000061930000}"/>
    <cellStyle name="Normal 3 4 7 4" xfId="6070" xr:uid="{00000000-0005-0000-0000-000062930000}"/>
    <cellStyle name="Normal 3 4 7 4 2" xfId="9613" xr:uid="{00000000-0005-0000-0000-000063930000}"/>
    <cellStyle name="Normal 3 4 7 4 2 2" xfId="16402" xr:uid="{00000000-0005-0000-0000-000064930000}"/>
    <cellStyle name="Normal 3 4 7 4 2 2 2" xfId="29970" xr:uid="{00000000-0005-0000-0000-000065930000}"/>
    <cellStyle name="Normal 3 4 7 4 2 2 2 2" xfId="57103" xr:uid="{00000000-0005-0000-0000-000066930000}"/>
    <cellStyle name="Normal 3 4 7 4 2 2 3" xfId="43541" xr:uid="{00000000-0005-0000-0000-000067930000}"/>
    <cellStyle name="Normal 3 4 7 4 2 3" xfId="23189" xr:uid="{00000000-0005-0000-0000-000068930000}"/>
    <cellStyle name="Normal 3 4 7 4 2 3 2" xfId="50322" xr:uid="{00000000-0005-0000-0000-000069930000}"/>
    <cellStyle name="Normal 3 4 7 4 2 4" xfId="36760" xr:uid="{00000000-0005-0000-0000-00006A930000}"/>
    <cellStyle name="Normal 3 4 7 4 3" xfId="13013" xr:uid="{00000000-0005-0000-0000-00006B930000}"/>
    <cellStyle name="Normal 3 4 7 4 3 2" xfId="26581" xr:uid="{00000000-0005-0000-0000-00006C930000}"/>
    <cellStyle name="Normal 3 4 7 4 3 2 2" xfId="53714" xr:uid="{00000000-0005-0000-0000-00006D930000}"/>
    <cellStyle name="Normal 3 4 7 4 3 3" xfId="40152" xr:uid="{00000000-0005-0000-0000-00006E930000}"/>
    <cellStyle name="Normal 3 4 7 4 4" xfId="19800" xr:uid="{00000000-0005-0000-0000-00006F930000}"/>
    <cellStyle name="Normal 3 4 7 4 4 2" xfId="46933" xr:uid="{00000000-0005-0000-0000-000070930000}"/>
    <cellStyle name="Normal 3 4 7 4 5" xfId="33371" xr:uid="{00000000-0005-0000-0000-000071930000}"/>
    <cellStyle name="Normal 3 4 7 5" xfId="7522" xr:uid="{00000000-0005-0000-0000-000072930000}"/>
    <cellStyle name="Normal 3 4 7 5 2" xfId="14311" xr:uid="{00000000-0005-0000-0000-000073930000}"/>
    <cellStyle name="Normal 3 4 7 5 2 2" xfId="27879" xr:uid="{00000000-0005-0000-0000-000074930000}"/>
    <cellStyle name="Normal 3 4 7 5 2 2 2" xfId="55012" xr:uid="{00000000-0005-0000-0000-000075930000}"/>
    <cellStyle name="Normal 3 4 7 5 2 3" xfId="41450" xr:uid="{00000000-0005-0000-0000-000076930000}"/>
    <cellStyle name="Normal 3 4 7 5 3" xfId="21098" xr:uid="{00000000-0005-0000-0000-000077930000}"/>
    <cellStyle name="Normal 3 4 7 5 3 2" xfId="48231" xr:uid="{00000000-0005-0000-0000-000078930000}"/>
    <cellStyle name="Normal 3 4 7 5 4" xfId="34669" xr:uid="{00000000-0005-0000-0000-000079930000}"/>
    <cellStyle name="Normal 3 4 7 6" xfId="10922" xr:uid="{00000000-0005-0000-0000-00007A930000}"/>
    <cellStyle name="Normal 3 4 7 6 2" xfId="24490" xr:uid="{00000000-0005-0000-0000-00007B930000}"/>
    <cellStyle name="Normal 3 4 7 6 2 2" xfId="51623" xr:uid="{00000000-0005-0000-0000-00007C930000}"/>
    <cellStyle name="Normal 3 4 7 6 3" xfId="38061" xr:uid="{00000000-0005-0000-0000-00007D930000}"/>
    <cellStyle name="Normal 3 4 7 7" xfId="17709" xr:uid="{00000000-0005-0000-0000-00007E930000}"/>
    <cellStyle name="Normal 3 4 7 7 2" xfId="44842" xr:uid="{00000000-0005-0000-0000-00007F930000}"/>
    <cellStyle name="Normal 3 4 7 8" xfId="31280" xr:uid="{00000000-0005-0000-0000-000080930000}"/>
    <cellStyle name="Normal 3 4 8" xfId="2711" xr:uid="{00000000-0005-0000-0000-000081930000}"/>
    <cellStyle name="Normal 3 4 8 2" xfId="2712" xr:uid="{00000000-0005-0000-0000-000082930000}"/>
    <cellStyle name="Normal 3 4 8 2 2" xfId="7525" xr:uid="{00000000-0005-0000-0000-000083930000}"/>
    <cellStyle name="Normal 3 4 8 2 2 2" xfId="14314" xr:uid="{00000000-0005-0000-0000-000084930000}"/>
    <cellStyle name="Normal 3 4 8 2 2 2 2" xfId="27882" xr:uid="{00000000-0005-0000-0000-000085930000}"/>
    <cellStyle name="Normal 3 4 8 2 2 2 2 2" xfId="55015" xr:uid="{00000000-0005-0000-0000-000086930000}"/>
    <cellStyle name="Normal 3 4 8 2 2 2 3" xfId="41453" xr:uid="{00000000-0005-0000-0000-000087930000}"/>
    <cellStyle name="Normal 3 4 8 2 2 3" xfId="21101" xr:uid="{00000000-0005-0000-0000-000088930000}"/>
    <cellStyle name="Normal 3 4 8 2 2 3 2" xfId="48234" xr:uid="{00000000-0005-0000-0000-000089930000}"/>
    <cellStyle name="Normal 3 4 8 2 2 4" xfId="34672" xr:uid="{00000000-0005-0000-0000-00008A930000}"/>
    <cellStyle name="Normal 3 4 8 2 3" xfId="10925" xr:uid="{00000000-0005-0000-0000-00008B930000}"/>
    <cellStyle name="Normal 3 4 8 2 3 2" xfId="24493" xr:uid="{00000000-0005-0000-0000-00008C930000}"/>
    <cellStyle name="Normal 3 4 8 2 3 2 2" xfId="51626" xr:uid="{00000000-0005-0000-0000-00008D930000}"/>
    <cellStyle name="Normal 3 4 8 2 3 3" xfId="38064" xr:uid="{00000000-0005-0000-0000-00008E930000}"/>
    <cellStyle name="Normal 3 4 8 2 4" xfId="17712" xr:uid="{00000000-0005-0000-0000-00008F930000}"/>
    <cellStyle name="Normal 3 4 8 2 4 2" xfId="44845" xr:uid="{00000000-0005-0000-0000-000090930000}"/>
    <cellStyle name="Normal 3 4 8 2 5" xfId="31283" xr:uid="{00000000-0005-0000-0000-000091930000}"/>
    <cellStyle name="Normal 3 4 8 3" xfId="6071" xr:uid="{00000000-0005-0000-0000-000092930000}"/>
    <cellStyle name="Normal 3 4 8 3 2" xfId="9614" xr:uid="{00000000-0005-0000-0000-000093930000}"/>
    <cellStyle name="Normal 3 4 8 3 2 2" xfId="16403" xr:uid="{00000000-0005-0000-0000-000094930000}"/>
    <cellStyle name="Normal 3 4 8 3 2 2 2" xfId="29971" xr:uid="{00000000-0005-0000-0000-000095930000}"/>
    <cellStyle name="Normal 3 4 8 3 2 2 2 2" xfId="57104" xr:uid="{00000000-0005-0000-0000-000096930000}"/>
    <cellStyle name="Normal 3 4 8 3 2 2 3" xfId="43542" xr:uid="{00000000-0005-0000-0000-000097930000}"/>
    <cellStyle name="Normal 3 4 8 3 2 3" xfId="23190" xr:uid="{00000000-0005-0000-0000-000098930000}"/>
    <cellStyle name="Normal 3 4 8 3 2 3 2" xfId="50323" xr:uid="{00000000-0005-0000-0000-000099930000}"/>
    <cellStyle name="Normal 3 4 8 3 2 4" xfId="36761" xr:uid="{00000000-0005-0000-0000-00009A930000}"/>
    <cellStyle name="Normal 3 4 8 3 3" xfId="13014" xr:uid="{00000000-0005-0000-0000-00009B930000}"/>
    <cellStyle name="Normal 3 4 8 3 3 2" xfId="26582" xr:uid="{00000000-0005-0000-0000-00009C930000}"/>
    <cellStyle name="Normal 3 4 8 3 3 2 2" xfId="53715" xr:uid="{00000000-0005-0000-0000-00009D930000}"/>
    <cellStyle name="Normal 3 4 8 3 3 3" xfId="40153" xr:uid="{00000000-0005-0000-0000-00009E930000}"/>
    <cellStyle name="Normal 3 4 8 3 4" xfId="19801" xr:uid="{00000000-0005-0000-0000-00009F930000}"/>
    <cellStyle name="Normal 3 4 8 3 4 2" xfId="46934" xr:uid="{00000000-0005-0000-0000-0000A0930000}"/>
    <cellStyle name="Normal 3 4 8 3 5" xfId="33372" xr:uid="{00000000-0005-0000-0000-0000A1930000}"/>
    <cellStyle name="Normal 3 4 8 4" xfId="7524" xr:uid="{00000000-0005-0000-0000-0000A2930000}"/>
    <cellStyle name="Normal 3 4 8 4 2" xfId="14313" xr:uid="{00000000-0005-0000-0000-0000A3930000}"/>
    <cellStyle name="Normal 3 4 8 4 2 2" xfId="27881" xr:uid="{00000000-0005-0000-0000-0000A4930000}"/>
    <cellStyle name="Normal 3 4 8 4 2 2 2" xfId="55014" xr:uid="{00000000-0005-0000-0000-0000A5930000}"/>
    <cellStyle name="Normal 3 4 8 4 2 3" xfId="41452" xr:uid="{00000000-0005-0000-0000-0000A6930000}"/>
    <cellStyle name="Normal 3 4 8 4 3" xfId="21100" xr:uid="{00000000-0005-0000-0000-0000A7930000}"/>
    <cellStyle name="Normal 3 4 8 4 3 2" xfId="48233" xr:uid="{00000000-0005-0000-0000-0000A8930000}"/>
    <cellStyle name="Normal 3 4 8 4 4" xfId="34671" xr:uid="{00000000-0005-0000-0000-0000A9930000}"/>
    <cellStyle name="Normal 3 4 8 5" xfId="10924" xr:uid="{00000000-0005-0000-0000-0000AA930000}"/>
    <cellStyle name="Normal 3 4 8 5 2" xfId="24492" xr:uid="{00000000-0005-0000-0000-0000AB930000}"/>
    <cellStyle name="Normal 3 4 8 5 2 2" xfId="51625" xr:uid="{00000000-0005-0000-0000-0000AC930000}"/>
    <cellStyle name="Normal 3 4 8 5 3" xfId="38063" xr:uid="{00000000-0005-0000-0000-0000AD930000}"/>
    <cellStyle name="Normal 3 4 8 6" xfId="17711" xr:uid="{00000000-0005-0000-0000-0000AE930000}"/>
    <cellStyle name="Normal 3 4 8 6 2" xfId="44844" xr:uid="{00000000-0005-0000-0000-0000AF930000}"/>
    <cellStyle name="Normal 3 4 8 7" xfId="31282" xr:uid="{00000000-0005-0000-0000-0000B0930000}"/>
    <cellStyle name="Normal 3 4 9" xfId="2713" xr:uid="{00000000-0005-0000-0000-0000B1930000}"/>
    <cellStyle name="Normal 3 4 9 2" xfId="6072" xr:uid="{00000000-0005-0000-0000-0000B2930000}"/>
    <cellStyle name="Normal 3 4 9 2 2" xfId="9615" xr:uid="{00000000-0005-0000-0000-0000B3930000}"/>
    <cellStyle name="Normal 3 4 9 2 2 2" xfId="16404" xr:uid="{00000000-0005-0000-0000-0000B4930000}"/>
    <cellStyle name="Normal 3 4 9 2 2 2 2" xfId="29972" xr:uid="{00000000-0005-0000-0000-0000B5930000}"/>
    <cellStyle name="Normal 3 4 9 2 2 2 2 2" xfId="57105" xr:uid="{00000000-0005-0000-0000-0000B6930000}"/>
    <cellStyle name="Normal 3 4 9 2 2 2 3" xfId="43543" xr:uid="{00000000-0005-0000-0000-0000B7930000}"/>
    <cellStyle name="Normal 3 4 9 2 2 3" xfId="23191" xr:uid="{00000000-0005-0000-0000-0000B8930000}"/>
    <cellStyle name="Normal 3 4 9 2 2 3 2" xfId="50324" xr:uid="{00000000-0005-0000-0000-0000B9930000}"/>
    <cellStyle name="Normal 3 4 9 2 2 4" xfId="36762" xr:uid="{00000000-0005-0000-0000-0000BA930000}"/>
    <cellStyle name="Normal 3 4 9 2 3" xfId="13015" xr:uid="{00000000-0005-0000-0000-0000BB930000}"/>
    <cellStyle name="Normal 3 4 9 2 3 2" xfId="26583" xr:uid="{00000000-0005-0000-0000-0000BC930000}"/>
    <cellStyle name="Normal 3 4 9 2 3 2 2" xfId="53716" xr:uid="{00000000-0005-0000-0000-0000BD930000}"/>
    <cellStyle name="Normal 3 4 9 2 3 3" xfId="40154" xr:uid="{00000000-0005-0000-0000-0000BE930000}"/>
    <cellStyle name="Normal 3 4 9 2 4" xfId="19802" xr:uid="{00000000-0005-0000-0000-0000BF930000}"/>
    <cellStyle name="Normal 3 4 9 2 4 2" xfId="46935" xr:uid="{00000000-0005-0000-0000-0000C0930000}"/>
    <cellStyle name="Normal 3 4 9 2 5" xfId="33373" xr:uid="{00000000-0005-0000-0000-0000C1930000}"/>
    <cellStyle name="Normal 3 4 9 3" xfId="6073" xr:uid="{00000000-0005-0000-0000-0000C2930000}"/>
    <cellStyle name="Normal 3 4 9 3 2" xfId="9616" xr:uid="{00000000-0005-0000-0000-0000C3930000}"/>
    <cellStyle name="Normal 3 4 9 3 2 2" xfId="16405" xr:uid="{00000000-0005-0000-0000-0000C4930000}"/>
    <cellStyle name="Normal 3 4 9 3 2 2 2" xfId="29973" xr:uid="{00000000-0005-0000-0000-0000C5930000}"/>
    <cellStyle name="Normal 3 4 9 3 2 2 2 2" xfId="57106" xr:uid="{00000000-0005-0000-0000-0000C6930000}"/>
    <cellStyle name="Normal 3 4 9 3 2 2 3" xfId="43544" xr:uid="{00000000-0005-0000-0000-0000C7930000}"/>
    <cellStyle name="Normal 3 4 9 3 2 3" xfId="23192" xr:uid="{00000000-0005-0000-0000-0000C8930000}"/>
    <cellStyle name="Normal 3 4 9 3 2 3 2" xfId="50325" xr:uid="{00000000-0005-0000-0000-0000C9930000}"/>
    <cellStyle name="Normal 3 4 9 3 2 4" xfId="36763" xr:uid="{00000000-0005-0000-0000-0000CA930000}"/>
    <cellStyle name="Normal 3 4 9 3 3" xfId="13016" xr:uid="{00000000-0005-0000-0000-0000CB930000}"/>
    <cellStyle name="Normal 3 4 9 3 3 2" xfId="26584" xr:uid="{00000000-0005-0000-0000-0000CC930000}"/>
    <cellStyle name="Normal 3 4 9 3 3 2 2" xfId="53717" xr:uid="{00000000-0005-0000-0000-0000CD930000}"/>
    <cellStyle name="Normal 3 4 9 3 3 3" xfId="40155" xr:uid="{00000000-0005-0000-0000-0000CE930000}"/>
    <cellStyle name="Normal 3 4 9 3 4" xfId="19803" xr:uid="{00000000-0005-0000-0000-0000CF930000}"/>
    <cellStyle name="Normal 3 4 9 3 4 2" xfId="46936" xr:uid="{00000000-0005-0000-0000-0000D0930000}"/>
    <cellStyle name="Normal 3 4 9 3 5" xfId="33374" xr:uid="{00000000-0005-0000-0000-0000D1930000}"/>
    <cellStyle name="Normal 3 4 9 4" xfId="7526" xr:uid="{00000000-0005-0000-0000-0000D2930000}"/>
    <cellStyle name="Normal 3 4 9 4 2" xfId="14315" xr:uid="{00000000-0005-0000-0000-0000D3930000}"/>
    <cellStyle name="Normal 3 4 9 4 2 2" xfId="27883" xr:uid="{00000000-0005-0000-0000-0000D4930000}"/>
    <cellStyle name="Normal 3 4 9 4 2 2 2" xfId="55016" xr:uid="{00000000-0005-0000-0000-0000D5930000}"/>
    <cellStyle name="Normal 3 4 9 4 2 3" xfId="41454" xr:uid="{00000000-0005-0000-0000-0000D6930000}"/>
    <cellStyle name="Normal 3 4 9 4 3" xfId="21102" xr:uid="{00000000-0005-0000-0000-0000D7930000}"/>
    <cellStyle name="Normal 3 4 9 4 3 2" xfId="48235" xr:uid="{00000000-0005-0000-0000-0000D8930000}"/>
    <cellStyle name="Normal 3 4 9 4 4" xfId="34673" xr:uid="{00000000-0005-0000-0000-0000D9930000}"/>
    <cellStyle name="Normal 3 4 9 5" xfId="10926" xr:uid="{00000000-0005-0000-0000-0000DA930000}"/>
    <cellStyle name="Normal 3 4 9 5 2" xfId="24494" xr:uid="{00000000-0005-0000-0000-0000DB930000}"/>
    <cellStyle name="Normal 3 4 9 5 2 2" xfId="51627" xr:uid="{00000000-0005-0000-0000-0000DC930000}"/>
    <cellStyle name="Normal 3 4 9 5 3" xfId="38065" xr:uid="{00000000-0005-0000-0000-0000DD930000}"/>
    <cellStyle name="Normal 3 4 9 6" xfId="17713" xr:uid="{00000000-0005-0000-0000-0000DE930000}"/>
    <cellStyle name="Normal 3 4 9 6 2" xfId="44846" xr:uid="{00000000-0005-0000-0000-0000DF930000}"/>
    <cellStyle name="Normal 3 4 9 7" xfId="31284" xr:uid="{00000000-0005-0000-0000-0000E0930000}"/>
    <cellStyle name="Normal 3 5" xfId="2714" xr:uid="{00000000-0005-0000-0000-0000E1930000}"/>
    <cellStyle name="Normal 3 5 10" xfId="6074" xr:uid="{00000000-0005-0000-0000-0000E2930000}"/>
    <cellStyle name="Normal 3 5 10 2" xfId="9617" xr:uid="{00000000-0005-0000-0000-0000E3930000}"/>
    <cellStyle name="Normal 3 5 10 2 2" xfId="16406" xr:uid="{00000000-0005-0000-0000-0000E4930000}"/>
    <cellStyle name="Normal 3 5 10 2 2 2" xfId="29974" xr:uid="{00000000-0005-0000-0000-0000E5930000}"/>
    <cellStyle name="Normal 3 5 10 2 2 2 2" xfId="57107" xr:uid="{00000000-0005-0000-0000-0000E6930000}"/>
    <cellStyle name="Normal 3 5 10 2 2 3" xfId="43545" xr:uid="{00000000-0005-0000-0000-0000E7930000}"/>
    <cellStyle name="Normal 3 5 10 2 3" xfId="23193" xr:uid="{00000000-0005-0000-0000-0000E8930000}"/>
    <cellStyle name="Normal 3 5 10 2 3 2" xfId="50326" xr:uid="{00000000-0005-0000-0000-0000E9930000}"/>
    <cellStyle name="Normal 3 5 10 2 4" xfId="36764" xr:uid="{00000000-0005-0000-0000-0000EA930000}"/>
    <cellStyle name="Normal 3 5 10 3" xfId="13017" xr:uid="{00000000-0005-0000-0000-0000EB930000}"/>
    <cellStyle name="Normal 3 5 10 3 2" xfId="26585" xr:uid="{00000000-0005-0000-0000-0000EC930000}"/>
    <cellStyle name="Normal 3 5 10 3 2 2" xfId="53718" xr:uid="{00000000-0005-0000-0000-0000ED930000}"/>
    <cellStyle name="Normal 3 5 10 3 3" xfId="40156" xr:uid="{00000000-0005-0000-0000-0000EE930000}"/>
    <cellStyle name="Normal 3 5 10 4" xfId="19804" xr:uid="{00000000-0005-0000-0000-0000EF930000}"/>
    <cellStyle name="Normal 3 5 10 4 2" xfId="46937" xr:uid="{00000000-0005-0000-0000-0000F0930000}"/>
    <cellStyle name="Normal 3 5 10 5" xfId="33375" xr:uid="{00000000-0005-0000-0000-0000F1930000}"/>
    <cellStyle name="Normal 3 5 11" xfId="7527" xr:uid="{00000000-0005-0000-0000-0000F2930000}"/>
    <cellStyle name="Normal 3 5 11 2" xfId="14316" xr:uid="{00000000-0005-0000-0000-0000F3930000}"/>
    <cellStyle name="Normal 3 5 11 2 2" xfId="27884" xr:uid="{00000000-0005-0000-0000-0000F4930000}"/>
    <cellStyle name="Normal 3 5 11 2 2 2" xfId="55017" xr:uid="{00000000-0005-0000-0000-0000F5930000}"/>
    <cellStyle name="Normal 3 5 11 2 3" xfId="41455" xr:uid="{00000000-0005-0000-0000-0000F6930000}"/>
    <cellStyle name="Normal 3 5 11 3" xfId="21103" xr:uid="{00000000-0005-0000-0000-0000F7930000}"/>
    <cellStyle name="Normal 3 5 11 3 2" xfId="48236" xr:uid="{00000000-0005-0000-0000-0000F8930000}"/>
    <cellStyle name="Normal 3 5 11 4" xfId="34674" xr:uid="{00000000-0005-0000-0000-0000F9930000}"/>
    <cellStyle name="Normal 3 5 12" xfId="10927" xr:uid="{00000000-0005-0000-0000-0000FA930000}"/>
    <cellStyle name="Normal 3 5 12 2" xfId="24495" xr:uid="{00000000-0005-0000-0000-0000FB930000}"/>
    <cellStyle name="Normal 3 5 12 2 2" xfId="51628" xr:uid="{00000000-0005-0000-0000-0000FC930000}"/>
    <cellStyle name="Normal 3 5 12 3" xfId="38066" xr:uid="{00000000-0005-0000-0000-0000FD930000}"/>
    <cellStyle name="Normal 3 5 13" xfId="17714" xr:uid="{00000000-0005-0000-0000-0000FE930000}"/>
    <cellStyle name="Normal 3 5 13 2" xfId="44847" xr:uid="{00000000-0005-0000-0000-0000FF930000}"/>
    <cellStyle name="Normal 3 5 14" xfId="31285" xr:uid="{00000000-0005-0000-0000-000000940000}"/>
    <cellStyle name="Normal 3 5 2" xfId="2715" xr:uid="{00000000-0005-0000-0000-000001940000}"/>
    <cellStyle name="Normal 3 5 2 10" xfId="10928" xr:uid="{00000000-0005-0000-0000-000002940000}"/>
    <cellStyle name="Normal 3 5 2 10 2" xfId="24496" xr:uid="{00000000-0005-0000-0000-000003940000}"/>
    <cellStyle name="Normal 3 5 2 10 2 2" xfId="51629" xr:uid="{00000000-0005-0000-0000-000004940000}"/>
    <cellStyle name="Normal 3 5 2 10 3" xfId="38067" xr:uid="{00000000-0005-0000-0000-000005940000}"/>
    <cellStyle name="Normal 3 5 2 11" xfId="17715" xr:uid="{00000000-0005-0000-0000-000006940000}"/>
    <cellStyle name="Normal 3 5 2 11 2" xfId="44848" xr:uid="{00000000-0005-0000-0000-000007940000}"/>
    <cellStyle name="Normal 3 5 2 12" xfId="31286" xr:uid="{00000000-0005-0000-0000-000008940000}"/>
    <cellStyle name="Normal 3 5 2 2" xfId="2716" xr:uid="{00000000-0005-0000-0000-000009940000}"/>
    <cellStyle name="Normal 3 5 2 2 10" xfId="31287" xr:uid="{00000000-0005-0000-0000-00000A940000}"/>
    <cellStyle name="Normal 3 5 2 2 2" xfId="6075" xr:uid="{00000000-0005-0000-0000-00000B940000}"/>
    <cellStyle name="Normal 3 5 2 2 2 2" xfId="6076" xr:uid="{00000000-0005-0000-0000-00000C940000}"/>
    <cellStyle name="Normal 3 5 2 2 2 2 2" xfId="6077" xr:uid="{00000000-0005-0000-0000-00000D940000}"/>
    <cellStyle name="Normal 3 5 2 2 2 2 2 2" xfId="9620" xr:uid="{00000000-0005-0000-0000-00000E940000}"/>
    <cellStyle name="Normal 3 5 2 2 2 2 2 2 2" xfId="16409" xr:uid="{00000000-0005-0000-0000-00000F940000}"/>
    <cellStyle name="Normal 3 5 2 2 2 2 2 2 2 2" xfId="29977" xr:uid="{00000000-0005-0000-0000-000010940000}"/>
    <cellStyle name="Normal 3 5 2 2 2 2 2 2 2 2 2" xfId="57110" xr:uid="{00000000-0005-0000-0000-000011940000}"/>
    <cellStyle name="Normal 3 5 2 2 2 2 2 2 2 3" xfId="43548" xr:uid="{00000000-0005-0000-0000-000012940000}"/>
    <cellStyle name="Normal 3 5 2 2 2 2 2 2 3" xfId="23196" xr:uid="{00000000-0005-0000-0000-000013940000}"/>
    <cellStyle name="Normal 3 5 2 2 2 2 2 2 3 2" xfId="50329" xr:uid="{00000000-0005-0000-0000-000014940000}"/>
    <cellStyle name="Normal 3 5 2 2 2 2 2 2 4" xfId="36767" xr:uid="{00000000-0005-0000-0000-000015940000}"/>
    <cellStyle name="Normal 3 5 2 2 2 2 2 3" xfId="13020" xr:uid="{00000000-0005-0000-0000-000016940000}"/>
    <cellStyle name="Normal 3 5 2 2 2 2 2 3 2" xfId="26588" xr:uid="{00000000-0005-0000-0000-000017940000}"/>
    <cellStyle name="Normal 3 5 2 2 2 2 2 3 2 2" xfId="53721" xr:uid="{00000000-0005-0000-0000-000018940000}"/>
    <cellStyle name="Normal 3 5 2 2 2 2 2 3 3" xfId="40159" xr:uid="{00000000-0005-0000-0000-000019940000}"/>
    <cellStyle name="Normal 3 5 2 2 2 2 2 4" xfId="19807" xr:uid="{00000000-0005-0000-0000-00001A940000}"/>
    <cellStyle name="Normal 3 5 2 2 2 2 2 4 2" xfId="46940" xr:uid="{00000000-0005-0000-0000-00001B940000}"/>
    <cellStyle name="Normal 3 5 2 2 2 2 2 5" xfId="33378" xr:uid="{00000000-0005-0000-0000-00001C940000}"/>
    <cellStyle name="Normal 3 5 2 2 2 2 3" xfId="6078" xr:uid="{00000000-0005-0000-0000-00001D940000}"/>
    <cellStyle name="Normal 3 5 2 2 2 2 3 2" xfId="9621" xr:uid="{00000000-0005-0000-0000-00001E940000}"/>
    <cellStyle name="Normal 3 5 2 2 2 2 3 2 2" xfId="16410" xr:uid="{00000000-0005-0000-0000-00001F940000}"/>
    <cellStyle name="Normal 3 5 2 2 2 2 3 2 2 2" xfId="29978" xr:uid="{00000000-0005-0000-0000-000020940000}"/>
    <cellStyle name="Normal 3 5 2 2 2 2 3 2 2 2 2" xfId="57111" xr:uid="{00000000-0005-0000-0000-000021940000}"/>
    <cellStyle name="Normal 3 5 2 2 2 2 3 2 2 3" xfId="43549" xr:uid="{00000000-0005-0000-0000-000022940000}"/>
    <cellStyle name="Normal 3 5 2 2 2 2 3 2 3" xfId="23197" xr:uid="{00000000-0005-0000-0000-000023940000}"/>
    <cellStyle name="Normal 3 5 2 2 2 2 3 2 3 2" xfId="50330" xr:uid="{00000000-0005-0000-0000-000024940000}"/>
    <cellStyle name="Normal 3 5 2 2 2 2 3 2 4" xfId="36768" xr:uid="{00000000-0005-0000-0000-000025940000}"/>
    <cellStyle name="Normal 3 5 2 2 2 2 3 3" xfId="13021" xr:uid="{00000000-0005-0000-0000-000026940000}"/>
    <cellStyle name="Normal 3 5 2 2 2 2 3 3 2" xfId="26589" xr:uid="{00000000-0005-0000-0000-000027940000}"/>
    <cellStyle name="Normal 3 5 2 2 2 2 3 3 2 2" xfId="53722" xr:uid="{00000000-0005-0000-0000-000028940000}"/>
    <cellStyle name="Normal 3 5 2 2 2 2 3 3 3" xfId="40160" xr:uid="{00000000-0005-0000-0000-000029940000}"/>
    <cellStyle name="Normal 3 5 2 2 2 2 3 4" xfId="19808" xr:uid="{00000000-0005-0000-0000-00002A940000}"/>
    <cellStyle name="Normal 3 5 2 2 2 2 3 4 2" xfId="46941" xr:uid="{00000000-0005-0000-0000-00002B940000}"/>
    <cellStyle name="Normal 3 5 2 2 2 2 3 5" xfId="33379" xr:uid="{00000000-0005-0000-0000-00002C940000}"/>
    <cellStyle name="Normal 3 5 2 2 2 2 4" xfId="9619" xr:uid="{00000000-0005-0000-0000-00002D940000}"/>
    <cellStyle name="Normal 3 5 2 2 2 2 4 2" xfId="16408" xr:uid="{00000000-0005-0000-0000-00002E940000}"/>
    <cellStyle name="Normal 3 5 2 2 2 2 4 2 2" xfId="29976" xr:uid="{00000000-0005-0000-0000-00002F940000}"/>
    <cellStyle name="Normal 3 5 2 2 2 2 4 2 2 2" xfId="57109" xr:uid="{00000000-0005-0000-0000-000030940000}"/>
    <cellStyle name="Normal 3 5 2 2 2 2 4 2 3" xfId="43547" xr:uid="{00000000-0005-0000-0000-000031940000}"/>
    <cellStyle name="Normal 3 5 2 2 2 2 4 3" xfId="23195" xr:uid="{00000000-0005-0000-0000-000032940000}"/>
    <cellStyle name="Normal 3 5 2 2 2 2 4 3 2" xfId="50328" xr:uid="{00000000-0005-0000-0000-000033940000}"/>
    <cellStyle name="Normal 3 5 2 2 2 2 4 4" xfId="36766" xr:uid="{00000000-0005-0000-0000-000034940000}"/>
    <cellStyle name="Normal 3 5 2 2 2 2 5" xfId="13019" xr:uid="{00000000-0005-0000-0000-000035940000}"/>
    <cellStyle name="Normal 3 5 2 2 2 2 5 2" xfId="26587" xr:uid="{00000000-0005-0000-0000-000036940000}"/>
    <cellStyle name="Normal 3 5 2 2 2 2 5 2 2" xfId="53720" xr:uid="{00000000-0005-0000-0000-000037940000}"/>
    <cellStyle name="Normal 3 5 2 2 2 2 5 3" xfId="40158" xr:uid="{00000000-0005-0000-0000-000038940000}"/>
    <cellStyle name="Normal 3 5 2 2 2 2 6" xfId="19806" xr:uid="{00000000-0005-0000-0000-000039940000}"/>
    <cellStyle name="Normal 3 5 2 2 2 2 6 2" xfId="46939" xr:uid="{00000000-0005-0000-0000-00003A940000}"/>
    <cellStyle name="Normal 3 5 2 2 2 2 7" xfId="33377" xr:uid="{00000000-0005-0000-0000-00003B940000}"/>
    <cellStyle name="Normal 3 5 2 2 2 3" xfId="6079" xr:uid="{00000000-0005-0000-0000-00003C940000}"/>
    <cellStyle name="Normal 3 5 2 2 2 3 2" xfId="6080" xr:uid="{00000000-0005-0000-0000-00003D940000}"/>
    <cellStyle name="Normal 3 5 2 2 2 3 2 2" xfId="9623" xr:uid="{00000000-0005-0000-0000-00003E940000}"/>
    <cellStyle name="Normal 3 5 2 2 2 3 2 2 2" xfId="16412" xr:uid="{00000000-0005-0000-0000-00003F940000}"/>
    <cellStyle name="Normal 3 5 2 2 2 3 2 2 2 2" xfId="29980" xr:uid="{00000000-0005-0000-0000-000040940000}"/>
    <cellStyle name="Normal 3 5 2 2 2 3 2 2 2 2 2" xfId="57113" xr:uid="{00000000-0005-0000-0000-000041940000}"/>
    <cellStyle name="Normal 3 5 2 2 2 3 2 2 2 3" xfId="43551" xr:uid="{00000000-0005-0000-0000-000042940000}"/>
    <cellStyle name="Normal 3 5 2 2 2 3 2 2 3" xfId="23199" xr:uid="{00000000-0005-0000-0000-000043940000}"/>
    <cellStyle name="Normal 3 5 2 2 2 3 2 2 3 2" xfId="50332" xr:uid="{00000000-0005-0000-0000-000044940000}"/>
    <cellStyle name="Normal 3 5 2 2 2 3 2 2 4" xfId="36770" xr:uid="{00000000-0005-0000-0000-000045940000}"/>
    <cellStyle name="Normal 3 5 2 2 2 3 2 3" xfId="13023" xr:uid="{00000000-0005-0000-0000-000046940000}"/>
    <cellStyle name="Normal 3 5 2 2 2 3 2 3 2" xfId="26591" xr:uid="{00000000-0005-0000-0000-000047940000}"/>
    <cellStyle name="Normal 3 5 2 2 2 3 2 3 2 2" xfId="53724" xr:uid="{00000000-0005-0000-0000-000048940000}"/>
    <cellStyle name="Normal 3 5 2 2 2 3 2 3 3" xfId="40162" xr:uid="{00000000-0005-0000-0000-000049940000}"/>
    <cellStyle name="Normal 3 5 2 2 2 3 2 4" xfId="19810" xr:uid="{00000000-0005-0000-0000-00004A940000}"/>
    <cellStyle name="Normal 3 5 2 2 2 3 2 4 2" xfId="46943" xr:uid="{00000000-0005-0000-0000-00004B940000}"/>
    <cellStyle name="Normal 3 5 2 2 2 3 2 5" xfId="33381" xr:uid="{00000000-0005-0000-0000-00004C940000}"/>
    <cellStyle name="Normal 3 5 2 2 2 3 3" xfId="9622" xr:uid="{00000000-0005-0000-0000-00004D940000}"/>
    <cellStyle name="Normal 3 5 2 2 2 3 3 2" xfId="16411" xr:uid="{00000000-0005-0000-0000-00004E940000}"/>
    <cellStyle name="Normal 3 5 2 2 2 3 3 2 2" xfId="29979" xr:uid="{00000000-0005-0000-0000-00004F940000}"/>
    <cellStyle name="Normal 3 5 2 2 2 3 3 2 2 2" xfId="57112" xr:uid="{00000000-0005-0000-0000-000050940000}"/>
    <cellStyle name="Normal 3 5 2 2 2 3 3 2 3" xfId="43550" xr:uid="{00000000-0005-0000-0000-000051940000}"/>
    <cellStyle name="Normal 3 5 2 2 2 3 3 3" xfId="23198" xr:uid="{00000000-0005-0000-0000-000052940000}"/>
    <cellStyle name="Normal 3 5 2 2 2 3 3 3 2" xfId="50331" xr:uid="{00000000-0005-0000-0000-000053940000}"/>
    <cellStyle name="Normal 3 5 2 2 2 3 3 4" xfId="36769" xr:uid="{00000000-0005-0000-0000-000054940000}"/>
    <cellStyle name="Normal 3 5 2 2 2 3 4" xfId="13022" xr:uid="{00000000-0005-0000-0000-000055940000}"/>
    <cellStyle name="Normal 3 5 2 2 2 3 4 2" xfId="26590" xr:uid="{00000000-0005-0000-0000-000056940000}"/>
    <cellStyle name="Normal 3 5 2 2 2 3 4 2 2" xfId="53723" xr:uid="{00000000-0005-0000-0000-000057940000}"/>
    <cellStyle name="Normal 3 5 2 2 2 3 4 3" xfId="40161" xr:uid="{00000000-0005-0000-0000-000058940000}"/>
    <cellStyle name="Normal 3 5 2 2 2 3 5" xfId="19809" xr:uid="{00000000-0005-0000-0000-000059940000}"/>
    <cellStyle name="Normal 3 5 2 2 2 3 5 2" xfId="46942" xr:uid="{00000000-0005-0000-0000-00005A940000}"/>
    <cellStyle name="Normal 3 5 2 2 2 3 6" xfId="33380" xr:uid="{00000000-0005-0000-0000-00005B940000}"/>
    <cellStyle name="Normal 3 5 2 2 2 4" xfId="6081" xr:uid="{00000000-0005-0000-0000-00005C940000}"/>
    <cellStyle name="Normal 3 5 2 2 2 4 2" xfId="9624" xr:uid="{00000000-0005-0000-0000-00005D940000}"/>
    <cellStyle name="Normal 3 5 2 2 2 4 2 2" xfId="16413" xr:uid="{00000000-0005-0000-0000-00005E940000}"/>
    <cellStyle name="Normal 3 5 2 2 2 4 2 2 2" xfId="29981" xr:uid="{00000000-0005-0000-0000-00005F940000}"/>
    <cellStyle name="Normal 3 5 2 2 2 4 2 2 2 2" xfId="57114" xr:uid="{00000000-0005-0000-0000-000060940000}"/>
    <cellStyle name="Normal 3 5 2 2 2 4 2 2 3" xfId="43552" xr:uid="{00000000-0005-0000-0000-000061940000}"/>
    <cellStyle name="Normal 3 5 2 2 2 4 2 3" xfId="23200" xr:uid="{00000000-0005-0000-0000-000062940000}"/>
    <cellStyle name="Normal 3 5 2 2 2 4 2 3 2" xfId="50333" xr:uid="{00000000-0005-0000-0000-000063940000}"/>
    <cellStyle name="Normal 3 5 2 2 2 4 2 4" xfId="36771" xr:uid="{00000000-0005-0000-0000-000064940000}"/>
    <cellStyle name="Normal 3 5 2 2 2 4 3" xfId="13024" xr:uid="{00000000-0005-0000-0000-000065940000}"/>
    <cellStyle name="Normal 3 5 2 2 2 4 3 2" xfId="26592" xr:uid="{00000000-0005-0000-0000-000066940000}"/>
    <cellStyle name="Normal 3 5 2 2 2 4 3 2 2" xfId="53725" xr:uid="{00000000-0005-0000-0000-000067940000}"/>
    <cellStyle name="Normal 3 5 2 2 2 4 3 3" xfId="40163" xr:uid="{00000000-0005-0000-0000-000068940000}"/>
    <cellStyle name="Normal 3 5 2 2 2 4 4" xfId="19811" xr:uid="{00000000-0005-0000-0000-000069940000}"/>
    <cellStyle name="Normal 3 5 2 2 2 4 4 2" xfId="46944" xr:uid="{00000000-0005-0000-0000-00006A940000}"/>
    <cellStyle name="Normal 3 5 2 2 2 4 5" xfId="33382" xr:uid="{00000000-0005-0000-0000-00006B940000}"/>
    <cellStyle name="Normal 3 5 2 2 2 5" xfId="6082" xr:uid="{00000000-0005-0000-0000-00006C940000}"/>
    <cellStyle name="Normal 3 5 2 2 2 5 2" xfId="9625" xr:uid="{00000000-0005-0000-0000-00006D940000}"/>
    <cellStyle name="Normal 3 5 2 2 2 5 2 2" xfId="16414" xr:uid="{00000000-0005-0000-0000-00006E940000}"/>
    <cellStyle name="Normal 3 5 2 2 2 5 2 2 2" xfId="29982" xr:uid="{00000000-0005-0000-0000-00006F940000}"/>
    <cellStyle name="Normal 3 5 2 2 2 5 2 2 2 2" xfId="57115" xr:uid="{00000000-0005-0000-0000-000070940000}"/>
    <cellStyle name="Normal 3 5 2 2 2 5 2 2 3" xfId="43553" xr:uid="{00000000-0005-0000-0000-000071940000}"/>
    <cellStyle name="Normal 3 5 2 2 2 5 2 3" xfId="23201" xr:uid="{00000000-0005-0000-0000-000072940000}"/>
    <cellStyle name="Normal 3 5 2 2 2 5 2 3 2" xfId="50334" xr:uid="{00000000-0005-0000-0000-000073940000}"/>
    <cellStyle name="Normal 3 5 2 2 2 5 2 4" xfId="36772" xr:uid="{00000000-0005-0000-0000-000074940000}"/>
    <cellStyle name="Normal 3 5 2 2 2 5 3" xfId="13025" xr:uid="{00000000-0005-0000-0000-000075940000}"/>
    <cellStyle name="Normal 3 5 2 2 2 5 3 2" xfId="26593" xr:uid="{00000000-0005-0000-0000-000076940000}"/>
    <cellStyle name="Normal 3 5 2 2 2 5 3 2 2" xfId="53726" xr:uid="{00000000-0005-0000-0000-000077940000}"/>
    <cellStyle name="Normal 3 5 2 2 2 5 3 3" xfId="40164" xr:uid="{00000000-0005-0000-0000-000078940000}"/>
    <cellStyle name="Normal 3 5 2 2 2 5 4" xfId="19812" xr:uid="{00000000-0005-0000-0000-000079940000}"/>
    <cellStyle name="Normal 3 5 2 2 2 5 4 2" xfId="46945" xr:uid="{00000000-0005-0000-0000-00007A940000}"/>
    <cellStyle name="Normal 3 5 2 2 2 5 5" xfId="33383" xr:uid="{00000000-0005-0000-0000-00007B940000}"/>
    <cellStyle name="Normal 3 5 2 2 2 6" xfId="9618" xr:uid="{00000000-0005-0000-0000-00007C940000}"/>
    <cellStyle name="Normal 3 5 2 2 2 6 2" xfId="16407" xr:uid="{00000000-0005-0000-0000-00007D940000}"/>
    <cellStyle name="Normal 3 5 2 2 2 6 2 2" xfId="29975" xr:uid="{00000000-0005-0000-0000-00007E940000}"/>
    <cellStyle name="Normal 3 5 2 2 2 6 2 2 2" xfId="57108" xr:uid="{00000000-0005-0000-0000-00007F940000}"/>
    <cellStyle name="Normal 3 5 2 2 2 6 2 3" xfId="43546" xr:uid="{00000000-0005-0000-0000-000080940000}"/>
    <cellStyle name="Normal 3 5 2 2 2 6 3" xfId="23194" xr:uid="{00000000-0005-0000-0000-000081940000}"/>
    <cellStyle name="Normal 3 5 2 2 2 6 3 2" xfId="50327" xr:uid="{00000000-0005-0000-0000-000082940000}"/>
    <cellStyle name="Normal 3 5 2 2 2 6 4" xfId="36765" xr:uid="{00000000-0005-0000-0000-000083940000}"/>
    <cellStyle name="Normal 3 5 2 2 2 7" xfId="13018" xr:uid="{00000000-0005-0000-0000-000084940000}"/>
    <cellStyle name="Normal 3 5 2 2 2 7 2" xfId="26586" xr:uid="{00000000-0005-0000-0000-000085940000}"/>
    <cellStyle name="Normal 3 5 2 2 2 7 2 2" xfId="53719" xr:uid="{00000000-0005-0000-0000-000086940000}"/>
    <cellStyle name="Normal 3 5 2 2 2 7 3" xfId="40157" xr:uid="{00000000-0005-0000-0000-000087940000}"/>
    <cellStyle name="Normal 3 5 2 2 2 8" xfId="19805" xr:uid="{00000000-0005-0000-0000-000088940000}"/>
    <cellStyle name="Normal 3 5 2 2 2 8 2" xfId="46938" xr:uid="{00000000-0005-0000-0000-000089940000}"/>
    <cellStyle name="Normal 3 5 2 2 2 9" xfId="33376" xr:uid="{00000000-0005-0000-0000-00008A940000}"/>
    <cellStyle name="Normal 3 5 2 2 3" xfId="6083" xr:uid="{00000000-0005-0000-0000-00008B940000}"/>
    <cellStyle name="Normal 3 5 2 2 3 2" xfId="6084" xr:uid="{00000000-0005-0000-0000-00008C940000}"/>
    <cellStyle name="Normal 3 5 2 2 3 2 2" xfId="9627" xr:uid="{00000000-0005-0000-0000-00008D940000}"/>
    <cellStyle name="Normal 3 5 2 2 3 2 2 2" xfId="16416" xr:uid="{00000000-0005-0000-0000-00008E940000}"/>
    <cellStyle name="Normal 3 5 2 2 3 2 2 2 2" xfId="29984" xr:uid="{00000000-0005-0000-0000-00008F940000}"/>
    <cellStyle name="Normal 3 5 2 2 3 2 2 2 2 2" xfId="57117" xr:uid="{00000000-0005-0000-0000-000090940000}"/>
    <cellStyle name="Normal 3 5 2 2 3 2 2 2 3" xfId="43555" xr:uid="{00000000-0005-0000-0000-000091940000}"/>
    <cellStyle name="Normal 3 5 2 2 3 2 2 3" xfId="23203" xr:uid="{00000000-0005-0000-0000-000092940000}"/>
    <cellStyle name="Normal 3 5 2 2 3 2 2 3 2" xfId="50336" xr:uid="{00000000-0005-0000-0000-000093940000}"/>
    <cellStyle name="Normal 3 5 2 2 3 2 2 4" xfId="36774" xr:uid="{00000000-0005-0000-0000-000094940000}"/>
    <cellStyle name="Normal 3 5 2 2 3 2 3" xfId="13027" xr:uid="{00000000-0005-0000-0000-000095940000}"/>
    <cellStyle name="Normal 3 5 2 2 3 2 3 2" xfId="26595" xr:uid="{00000000-0005-0000-0000-000096940000}"/>
    <cellStyle name="Normal 3 5 2 2 3 2 3 2 2" xfId="53728" xr:uid="{00000000-0005-0000-0000-000097940000}"/>
    <cellStyle name="Normal 3 5 2 2 3 2 3 3" xfId="40166" xr:uid="{00000000-0005-0000-0000-000098940000}"/>
    <cellStyle name="Normal 3 5 2 2 3 2 4" xfId="19814" xr:uid="{00000000-0005-0000-0000-000099940000}"/>
    <cellStyle name="Normal 3 5 2 2 3 2 4 2" xfId="46947" xr:uid="{00000000-0005-0000-0000-00009A940000}"/>
    <cellStyle name="Normal 3 5 2 2 3 2 5" xfId="33385" xr:uid="{00000000-0005-0000-0000-00009B940000}"/>
    <cellStyle name="Normal 3 5 2 2 3 3" xfId="6085" xr:uid="{00000000-0005-0000-0000-00009C940000}"/>
    <cellStyle name="Normal 3 5 2 2 3 3 2" xfId="9628" xr:uid="{00000000-0005-0000-0000-00009D940000}"/>
    <cellStyle name="Normal 3 5 2 2 3 3 2 2" xfId="16417" xr:uid="{00000000-0005-0000-0000-00009E940000}"/>
    <cellStyle name="Normal 3 5 2 2 3 3 2 2 2" xfId="29985" xr:uid="{00000000-0005-0000-0000-00009F940000}"/>
    <cellStyle name="Normal 3 5 2 2 3 3 2 2 2 2" xfId="57118" xr:uid="{00000000-0005-0000-0000-0000A0940000}"/>
    <cellStyle name="Normal 3 5 2 2 3 3 2 2 3" xfId="43556" xr:uid="{00000000-0005-0000-0000-0000A1940000}"/>
    <cellStyle name="Normal 3 5 2 2 3 3 2 3" xfId="23204" xr:uid="{00000000-0005-0000-0000-0000A2940000}"/>
    <cellStyle name="Normal 3 5 2 2 3 3 2 3 2" xfId="50337" xr:uid="{00000000-0005-0000-0000-0000A3940000}"/>
    <cellStyle name="Normal 3 5 2 2 3 3 2 4" xfId="36775" xr:uid="{00000000-0005-0000-0000-0000A4940000}"/>
    <cellStyle name="Normal 3 5 2 2 3 3 3" xfId="13028" xr:uid="{00000000-0005-0000-0000-0000A5940000}"/>
    <cellStyle name="Normal 3 5 2 2 3 3 3 2" xfId="26596" xr:uid="{00000000-0005-0000-0000-0000A6940000}"/>
    <cellStyle name="Normal 3 5 2 2 3 3 3 2 2" xfId="53729" xr:uid="{00000000-0005-0000-0000-0000A7940000}"/>
    <cellStyle name="Normal 3 5 2 2 3 3 3 3" xfId="40167" xr:uid="{00000000-0005-0000-0000-0000A8940000}"/>
    <cellStyle name="Normal 3 5 2 2 3 3 4" xfId="19815" xr:uid="{00000000-0005-0000-0000-0000A9940000}"/>
    <cellStyle name="Normal 3 5 2 2 3 3 4 2" xfId="46948" xr:uid="{00000000-0005-0000-0000-0000AA940000}"/>
    <cellStyle name="Normal 3 5 2 2 3 3 5" xfId="33386" xr:uid="{00000000-0005-0000-0000-0000AB940000}"/>
    <cellStyle name="Normal 3 5 2 2 3 4" xfId="9626" xr:uid="{00000000-0005-0000-0000-0000AC940000}"/>
    <cellStyle name="Normal 3 5 2 2 3 4 2" xfId="16415" xr:uid="{00000000-0005-0000-0000-0000AD940000}"/>
    <cellStyle name="Normal 3 5 2 2 3 4 2 2" xfId="29983" xr:uid="{00000000-0005-0000-0000-0000AE940000}"/>
    <cellStyle name="Normal 3 5 2 2 3 4 2 2 2" xfId="57116" xr:uid="{00000000-0005-0000-0000-0000AF940000}"/>
    <cellStyle name="Normal 3 5 2 2 3 4 2 3" xfId="43554" xr:uid="{00000000-0005-0000-0000-0000B0940000}"/>
    <cellStyle name="Normal 3 5 2 2 3 4 3" xfId="23202" xr:uid="{00000000-0005-0000-0000-0000B1940000}"/>
    <cellStyle name="Normal 3 5 2 2 3 4 3 2" xfId="50335" xr:uid="{00000000-0005-0000-0000-0000B2940000}"/>
    <cellStyle name="Normal 3 5 2 2 3 4 4" xfId="36773" xr:uid="{00000000-0005-0000-0000-0000B3940000}"/>
    <cellStyle name="Normal 3 5 2 2 3 5" xfId="13026" xr:uid="{00000000-0005-0000-0000-0000B4940000}"/>
    <cellStyle name="Normal 3 5 2 2 3 5 2" xfId="26594" xr:uid="{00000000-0005-0000-0000-0000B5940000}"/>
    <cellStyle name="Normal 3 5 2 2 3 5 2 2" xfId="53727" xr:uid="{00000000-0005-0000-0000-0000B6940000}"/>
    <cellStyle name="Normal 3 5 2 2 3 5 3" xfId="40165" xr:uid="{00000000-0005-0000-0000-0000B7940000}"/>
    <cellStyle name="Normal 3 5 2 2 3 6" xfId="19813" xr:uid="{00000000-0005-0000-0000-0000B8940000}"/>
    <cellStyle name="Normal 3 5 2 2 3 6 2" xfId="46946" xr:uid="{00000000-0005-0000-0000-0000B9940000}"/>
    <cellStyle name="Normal 3 5 2 2 3 7" xfId="33384" xr:uid="{00000000-0005-0000-0000-0000BA940000}"/>
    <cellStyle name="Normal 3 5 2 2 4" xfId="6086" xr:uid="{00000000-0005-0000-0000-0000BB940000}"/>
    <cellStyle name="Normal 3 5 2 2 4 2" xfId="6087" xr:uid="{00000000-0005-0000-0000-0000BC940000}"/>
    <cellStyle name="Normal 3 5 2 2 4 2 2" xfId="9630" xr:uid="{00000000-0005-0000-0000-0000BD940000}"/>
    <cellStyle name="Normal 3 5 2 2 4 2 2 2" xfId="16419" xr:uid="{00000000-0005-0000-0000-0000BE940000}"/>
    <cellStyle name="Normal 3 5 2 2 4 2 2 2 2" xfId="29987" xr:uid="{00000000-0005-0000-0000-0000BF940000}"/>
    <cellStyle name="Normal 3 5 2 2 4 2 2 2 2 2" xfId="57120" xr:uid="{00000000-0005-0000-0000-0000C0940000}"/>
    <cellStyle name="Normal 3 5 2 2 4 2 2 2 3" xfId="43558" xr:uid="{00000000-0005-0000-0000-0000C1940000}"/>
    <cellStyle name="Normal 3 5 2 2 4 2 2 3" xfId="23206" xr:uid="{00000000-0005-0000-0000-0000C2940000}"/>
    <cellStyle name="Normal 3 5 2 2 4 2 2 3 2" xfId="50339" xr:uid="{00000000-0005-0000-0000-0000C3940000}"/>
    <cellStyle name="Normal 3 5 2 2 4 2 2 4" xfId="36777" xr:uid="{00000000-0005-0000-0000-0000C4940000}"/>
    <cellStyle name="Normal 3 5 2 2 4 2 3" xfId="13030" xr:uid="{00000000-0005-0000-0000-0000C5940000}"/>
    <cellStyle name="Normal 3 5 2 2 4 2 3 2" xfId="26598" xr:uid="{00000000-0005-0000-0000-0000C6940000}"/>
    <cellStyle name="Normal 3 5 2 2 4 2 3 2 2" xfId="53731" xr:uid="{00000000-0005-0000-0000-0000C7940000}"/>
    <cellStyle name="Normal 3 5 2 2 4 2 3 3" xfId="40169" xr:uid="{00000000-0005-0000-0000-0000C8940000}"/>
    <cellStyle name="Normal 3 5 2 2 4 2 4" xfId="19817" xr:uid="{00000000-0005-0000-0000-0000C9940000}"/>
    <cellStyle name="Normal 3 5 2 2 4 2 4 2" xfId="46950" xr:uid="{00000000-0005-0000-0000-0000CA940000}"/>
    <cellStyle name="Normal 3 5 2 2 4 2 5" xfId="33388" xr:uid="{00000000-0005-0000-0000-0000CB940000}"/>
    <cellStyle name="Normal 3 5 2 2 4 3" xfId="9629" xr:uid="{00000000-0005-0000-0000-0000CC940000}"/>
    <cellStyle name="Normal 3 5 2 2 4 3 2" xfId="16418" xr:uid="{00000000-0005-0000-0000-0000CD940000}"/>
    <cellStyle name="Normal 3 5 2 2 4 3 2 2" xfId="29986" xr:uid="{00000000-0005-0000-0000-0000CE940000}"/>
    <cellStyle name="Normal 3 5 2 2 4 3 2 2 2" xfId="57119" xr:uid="{00000000-0005-0000-0000-0000CF940000}"/>
    <cellStyle name="Normal 3 5 2 2 4 3 2 3" xfId="43557" xr:uid="{00000000-0005-0000-0000-0000D0940000}"/>
    <cellStyle name="Normal 3 5 2 2 4 3 3" xfId="23205" xr:uid="{00000000-0005-0000-0000-0000D1940000}"/>
    <cellStyle name="Normal 3 5 2 2 4 3 3 2" xfId="50338" xr:uid="{00000000-0005-0000-0000-0000D2940000}"/>
    <cellStyle name="Normal 3 5 2 2 4 3 4" xfId="36776" xr:uid="{00000000-0005-0000-0000-0000D3940000}"/>
    <cellStyle name="Normal 3 5 2 2 4 4" xfId="13029" xr:uid="{00000000-0005-0000-0000-0000D4940000}"/>
    <cellStyle name="Normal 3 5 2 2 4 4 2" xfId="26597" xr:uid="{00000000-0005-0000-0000-0000D5940000}"/>
    <cellStyle name="Normal 3 5 2 2 4 4 2 2" xfId="53730" xr:uid="{00000000-0005-0000-0000-0000D6940000}"/>
    <cellStyle name="Normal 3 5 2 2 4 4 3" xfId="40168" xr:uid="{00000000-0005-0000-0000-0000D7940000}"/>
    <cellStyle name="Normal 3 5 2 2 4 5" xfId="19816" xr:uid="{00000000-0005-0000-0000-0000D8940000}"/>
    <cellStyle name="Normal 3 5 2 2 4 5 2" xfId="46949" xr:uid="{00000000-0005-0000-0000-0000D9940000}"/>
    <cellStyle name="Normal 3 5 2 2 4 6" xfId="33387" xr:uid="{00000000-0005-0000-0000-0000DA940000}"/>
    <cellStyle name="Normal 3 5 2 2 5" xfId="6088" xr:uid="{00000000-0005-0000-0000-0000DB940000}"/>
    <cellStyle name="Normal 3 5 2 2 5 2" xfId="9631" xr:uid="{00000000-0005-0000-0000-0000DC940000}"/>
    <cellStyle name="Normal 3 5 2 2 5 2 2" xfId="16420" xr:uid="{00000000-0005-0000-0000-0000DD940000}"/>
    <cellStyle name="Normal 3 5 2 2 5 2 2 2" xfId="29988" xr:uid="{00000000-0005-0000-0000-0000DE940000}"/>
    <cellStyle name="Normal 3 5 2 2 5 2 2 2 2" xfId="57121" xr:uid="{00000000-0005-0000-0000-0000DF940000}"/>
    <cellStyle name="Normal 3 5 2 2 5 2 2 3" xfId="43559" xr:uid="{00000000-0005-0000-0000-0000E0940000}"/>
    <cellStyle name="Normal 3 5 2 2 5 2 3" xfId="23207" xr:uid="{00000000-0005-0000-0000-0000E1940000}"/>
    <cellStyle name="Normal 3 5 2 2 5 2 3 2" xfId="50340" xr:uid="{00000000-0005-0000-0000-0000E2940000}"/>
    <cellStyle name="Normal 3 5 2 2 5 2 4" xfId="36778" xr:uid="{00000000-0005-0000-0000-0000E3940000}"/>
    <cellStyle name="Normal 3 5 2 2 5 3" xfId="13031" xr:uid="{00000000-0005-0000-0000-0000E4940000}"/>
    <cellStyle name="Normal 3 5 2 2 5 3 2" xfId="26599" xr:uid="{00000000-0005-0000-0000-0000E5940000}"/>
    <cellStyle name="Normal 3 5 2 2 5 3 2 2" xfId="53732" xr:uid="{00000000-0005-0000-0000-0000E6940000}"/>
    <cellStyle name="Normal 3 5 2 2 5 3 3" xfId="40170" xr:uid="{00000000-0005-0000-0000-0000E7940000}"/>
    <cellStyle name="Normal 3 5 2 2 5 4" xfId="19818" xr:uid="{00000000-0005-0000-0000-0000E8940000}"/>
    <cellStyle name="Normal 3 5 2 2 5 4 2" xfId="46951" xr:uid="{00000000-0005-0000-0000-0000E9940000}"/>
    <cellStyle name="Normal 3 5 2 2 5 5" xfId="33389" xr:uid="{00000000-0005-0000-0000-0000EA940000}"/>
    <cellStyle name="Normal 3 5 2 2 6" xfId="6089" xr:uid="{00000000-0005-0000-0000-0000EB940000}"/>
    <cellStyle name="Normal 3 5 2 2 6 2" xfId="9632" xr:uid="{00000000-0005-0000-0000-0000EC940000}"/>
    <cellStyle name="Normal 3 5 2 2 6 2 2" xfId="16421" xr:uid="{00000000-0005-0000-0000-0000ED940000}"/>
    <cellStyle name="Normal 3 5 2 2 6 2 2 2" xfId="29989" xr:uid="{00000000-0005-0000-0000-0000EE940000}"/>
    <cellStyle name="Normal 3 5 2 2 6 2 2 2 2" xfId="57122" xr:uid="{00000000-0005-0000-0000-0000EF940000}"/>
    <cellStyle name="Normal 3 5 2 2 6 2 2 3" xfId="43560" xr:uid="{00000000-0005-0000-0000-0000F0940000}"/>
    <cellStyle name="Normal 3 5 2 2 6 2 3" xfId="23208" xr:uid="{00000000-0005-0000-0000-0000F1940000}"/>
    <cellStyle name="Normal 3 5 2 2 6 2 3 2" xfId="50341" xr:uid="{00000000-0005-0000-0000-0000F2940000}"/>
    <cellStyle name="Normal 3 5 2 2 6 2 4" xfId="36779" xr:uid="{00000000-0005-0000-0000-0000F3940000}"/>
    <cellStyle name="Normal 3 5 2 2 6 3" xfId="13032" xr:uid="{00000000-0005-0000-0000-0000F4940000}"/>
    <cellStyle name="Normal 3 5 2 2 6 3 2" xfId="26600" xr:uid="{00000000-0005-0000-0000-0000F5940000}"/>
    <cellStyle name="Normal 3 5 2 2 6 3 2 2" xfId="53733" xr:uid="{00000000-0005-0000-0000-0000F6940000}"/>
    <cellStyle name="Normal 3 5 2 2 6 3 3" xfId="40171" xr:uid="{00000000-0005-0000-0000-0000F7940000}"/>
    <cellStyle name="Normal 3 5 2 2 6 4" xfId="19819" xr:uid="{00000000-0005-0000-0000-0000F8940000}"/>
    <cellStyle name="Normal 3 5 2 2 6 4 2" xfId="46952" xr:uid="{00000000-0005-0000-0000-0000F9940000}"/>
    <cellStyle name="Normal 3 5 2 2 6 5" xfId="33390" xr:uid="{00000000-0005-0000-0000-0000FA940000}"/>
    <cellStyle name="Normal 3 5 2 2 7" xfId="7529" xr:uid="{00000000-0005-0000-0000-0000FB940000}"/>
    <cellStyle name="Normal 3 5 2 2 7 2" xfId="14318" xr:uid="{00000000-0005-0000-0000-0000FC940000}"/>
    <cellStyle name="Normal 3 5 2 2 7 2 2" xfId="27886" xr:uid="{00000000-0005-0000-0000-0000FD940000}"/>
    <cellStyle name="Normal 3 5 2 2 7 2 2 2" xfId="55019" xr:uid="{00000000-0005-0000-0000-0000FE940000}"/>
    <cellStyle name="Normal 3 5 2 2 7 2 3" xfId="41457" xr:uid="{00000000-0005-0000-0000-0000FF940000}"/>
    <cellStyle name="Normal 3 5 2 2 7 3" xfId="21105" xr:uid="{00000000-0005-0000-0000-000000950000}"/>
    <cellStyle name="Normal 3 5 2 2 7 3 2" xfId="48238" xr:uid="{00000000-0005-0000-0000-000001950000}"/>
    <cellStyle name="Normal 3 5 2 2 7 4" xfId="34676" xr:uid="{00000000-0005-0000-0000-000002950000}"/>
    <cellStyle name="Normal 3 5 2 2 8" xfId="10929" xr:uid="{00000000-0005-0000-0000-000003950000}"/>
    <cellStyle name="Normal 3 5 2 2 8 2" xfId="24497" xr:uid="{00000000-0005-0000-0000-000004950000}"/>
    <cellStyle name="Normal 3 5 2 2 8 2 2" xfId="51630" xr:uid="{00000000-0005-0000-0000-000005950000}"/>
    <cellStyle name="Normal 3 5 2 2 8 3" xfId="38068" xr:uid="{00000000-0005-0000-0000-000006950000}"/>
    <cellStyle name="Normal 3 5 2 2 9" xfId="17716" xr:uid="{00000000-0005-0000-0000-000007950000}"/>
    <cellStyle name="Normal 3 5 2 2 9 2" xfId="44849" xr:uid="{00000000-0005-0000-0000-000008950000}"/>
    <cellStyle name="Normal 3 5 2 3" xfId="6090" xr:uid="{00000000-0005-0000-0000-000009950000}"/>
    <cellStyle name="Normal 3 5 2 3 2" xfId="6091" xr:uid="{00000000-0005-0000-0000-00000A950000}"/>
    <cellStyle name="Normal 3 5 2 3 2 2" xfId="6092" xr:uid="{00000000-0005-0000-0000-00000B950000}"/>
    <cellStyle name="Normal 3 5 2 3 2 2 2" xfId="9635" xr:uid="{00000000-0005-0000-0000-00000C950000}"/>
    <cellStyle name="Normal 3 5 2 3 2 2 2 2" xfId="16424" xr:uid="{00000000-0005-0000-0000-00000D950000}"/>
    <cellStyle name="Normal 3 5 2 3 2 2 2 2 2" xfId="29992" xr:uid="{00000000-0005-0000-0000-00000E950000}"/>
    <cellStyle name="Normal 3 5 2 3 2 2 2 2 2 2" xfId="57125" xr:uid="{00000000-0005-0000-0000-00000F950000}"/>
    <cellStyle name="Normal 3 5 2 3 2 2 2 2 3" xfId="43563" xr:uid="{00000000-0005-0000-0000-000010950000}"/>
    <cellStyle name="Normal 3 5 2 3 2 2 2 3" xfId="23211" xr:uid="{00000000-0005-0000-0000-000011950000}"/>
    <cellStyle name="Normal 3 5 2 3 2 2 2 3 2" xfId="50344" xr:uid="{00000000-0005-0000-0000-000012950000}"/>
    <cellStyle name="Normal 3 5 2 3 2 2 2 4" xfId="36782" xr:uid="{00000000-0005-0000-0000-000013950000}"/>
    <cellStyle name="Normal 3 5 2 3 2 2 3" xfId="13035" xr:uid="{00000000-0005-0000-0000-000014950000}"/>
    <cellStyle name="Normal 3 5 2 3 2 2 3 2" xfId="26603" xr:uid="{00000000-0005-0000-0000-000015950000}"/>
    <cellStyle name="Normal 3 5 2 3 2 2 3 2 2" xfId="53736" xr:uid="{00000000-0005-0000-0000-000016950000}"/>
    <cellStyle name="Normal 3 5 2 3 2 2 3 3" xfId="40174" xr:uid="{00000000-0005-0000-0000-000017950000}"/>
    <cellStyle name="Normal 3 5 2 3 2 2 4" xfId="19822" xr:uid="{00000000-0005-0000-0000-000018950000}"/>
    <cellStyle name="Normal 3 5 2 3 2 2 4 2" xfId="46955" xr:uid="{00000000-0005-0000-0000-000019950000}"/>
    <cellStyle name="Normal 3 5 2 3 2 2 5" xfId="33393" xr:uid="{00000000-0005-0000-0000-00001A950000}"/>
    <cellStyle name="Normal 3 5 2 3 2 3" xfId="6093" xr:uid="{00000000-0005-0000-0000-00001B950000}"/>
    <cellStyle name="Normal 3 5 2 3 2 3 2" xfId="9636" xr:uid="{00000000-0005-0000-0000-00001C950000}"/>
    <cellStyle name="Normal 3 5 2 3 2 3 2 2" xfId="16425" xr:uid="{00000000-0005-0000-0000-00001D950000}"/>
    <cellStyle name="Normal 3 5 2 3 2 3 2 2 2" xfId="29993" xr:uid="{00000000-0005-0000-0000-00001E950000}"/>
    <cellStyle name="Normal 3 5 2 3 2 3 2 2 2 2" xfId="57126" xr:uid="{00000000-0005-0000-0000-00001F950000}"/>
    <cellStyle name="Normal 3 5 2 3 2 3 2 2 3" xfId="43564" xr:uid="{00000000-0005-0000-0000-000020950000}"/>
    <cellStyle name="Normal 3 5 2 3 2 3 2 3" xfId="23212" xr:uid="{00000000-0005-0000-0000-000021950000}"/>
    <cellStyle name="Normal 3 5 2 3 2 3 2 3 2" xfId="50345" xr:uid="{00000000-0005-0000-0000-000022950000}"/>
    <cellStyle name="Normal 3 5 2 3 2 3 2 4" xfId="36783" xr:uid="{00000000-0005-0000-0000-000023950000}"/>
    <cellStyle name="Normal 3 5 2 3 2 3 3" xfId="13036" xr:uid="{00000000-0005-0000-0000-000024950000}"/>
    <cellStyle name="Normal 3 5 2 3 2 3 3 2" xfId="26604" xr:uid="{00000000-0005-0000-0000-000025950000}"/>
    <cellStyle name="Normal 3 5 2 3 2 3 3 2 2" xfId="53737" xr:uid="{00000000-0005-0000-0000-000026950000}"/>
    <cellStyle name="Normal 3 5 2 3 2 3 3 3" xfId="40175" xr:uid="{00000000-0005-0000-0000-000027950000}"/>
    <cellStyle name="Normal 3 5 2 3 2 3 4" xfId="19823" xr:uid="{00000000-0005-0000-0000-000028950000}"/>
    <cellStyle name="Normal 3 5 2 3 2 3 4 2" xfId="46956" xr:uid="{00000000-0005-0000-0000-000029950000}"/>
    <cellStyle name="Normal 3 5 2 3 2 3 5" xfId="33394" xr:uid="{00000000-0005-0000-0000-00002A950000}"/>
    <cellStyle name="Normal 3 5 2 3 2 4" xfId="9634" xr:uid="{00000000-0005-0000-0000-00002B950000}"/>
    <cellStyle name="Normal 3 5 2 3 2 4 2" xfId="16423" xr:uid="{00000000-0005-0000-0000-00002C950000}"/>
    <cellStyle name="Normal 3 5 2 3 2 4 2 2" xfId="29991" xr:uid="{00000000-0005-0000-0000-00002D950000}"/>
    <cellStyle name="Normal 3 5 2 3 2 4 2 2 2" xfId="57124" xr:uid="{00000000-0005-0000-0000-00002E950000}"/>
    <cellStyle name="Normal 3 5 2 3 2 4 2 3" xfId="43562" xr:uid="{00000000-0005-0000-0000-00002F950000}"/>
    <cellStyle name="Normal 3 5 2 3 2 4 3" xfId="23210" xr:uid="{00000000-0005-0000-0000-000030950000}"/>
    <cellStyle name="Normal 3 5 2 3 2 4 3 2" xfId="50343" xr:uid="{00000000-0005-0000-0000-000031950000}"/>
    <cellStyle name="Normal 3 5 2 3 2 4 4" xfId="36781" xr:uid="{00000000-0005-0000-0000-000032950000}"/>
    <cellStyle name="Normal 3 5 2 3 2 5" xfId="13034" xr:uid="{00000000-0005-0000-0000-000033950000}"/>
    <cellStyle name="Normal 3 5 2 3 2 5 2" xfId="26602" xr:uid="{00000000-0005-0000-0000-000034950000}"/>
    <cellStyle name="Normal 3 5 2 3 2 5 2 2" xfId="53735" xr:uid="{00000000-0005-0000-0000-000035950000}"/>
    <cellStyle name="Normal 3 5 2 3 2 5 3" xfId="40173" xr:uid="{00000000-0005-0000-0000-000036950000}"/>
    <cellStyle name="Normal 3 5 2 3 2 6" xfId="19821" xr:uid="{00000000-0005-0000-0000-000037950000}"/>
    <cellStyle name="Normal 3 5 2 3 2 6 2" xfId="46954" xr:uid="{00000000-0005-0000-0000-000038950000}"/>
    <cellStyle name="Normal 3 5 2 3 2 7" xfId="33392" xr:uid="{00000000-0005-0000-0000-000039950000}"/>
    <cellStyle name="Normal 3 5 2 3 3" xfId="6094" xr:uid="{00000000-0005-0000-0000-00003A950000}"/>
    <cellStyle name="Normal 3 5 2 3 3 2" xfId="6095" xr:uid="{00000000-0005-0000-0000-00003B950000}"/>
    <cellStyle name="Normal 3 5 2 3 3 2 2" xfId="9638" xr:uid="{00000000-0005-0000-0000-00003C950000}"/>
    <cellStyle name="Normal 3 5 2 3 3 2 2 2" xfId="16427" xr:uid="{00000000-0005-0000-0000-00003D950000}"/>
    <cellStyle name="Normal 3 5 2 3 3 2 2 2 2" xfId="29995" xr:uid="{00000000-0005-0000-0000-00003E950000}"/>
    <cellStyle name="Normal 3 5 2 3 3 2 2 2 2 2" xfId="57128" xr:uid="{00000000-0005-0000-0000-00003F950000}"/>
    <cellStyle name="Normal 3 5 2 3 3 2 2 2 3" xfId="43566" xr:uid="{00000000-0005-0000-0000-000040950000}"/>
    <cellStyle name="Normal 3 5 2 3 3 2 2 3" xfId="23214" xr:uid="{00000000-0005-0000-0000-000041950000}"/>
    <cellStyle name="Normal 3 5 2 3 3 2 2 3 2" xfId="50347" xr:uid="{00000000-0005-0000-0000-000042950000}"/>
    <cellStyle name="Normal 3 5 2 3 3 2 2 4" xfId="36785" xr:uid="{00000000-0005-0000-0000-000043950000}"/>
    <cellStyle name="Normal 3 5 2 3 3 2 3" xfId="13038" xr:uid="{00000000-0005-0000-0000-000044950000}"/>
    <cellStyle name="Normal 3 5 2 3 3 2 3 2" xfId="26606" xr:uid="{00000000-0005-0000-0000-000045950000}"/>
    <cellStyle name="Normal 3 5 2 3 3 2 3 2 2" xfId="53739" xr:uid="{00000000-0005-0000-0000-000046950000}"/>
    <cellStyle name="Normal 3 5 2 3 3 2 3 3" xfId="40177" xr:uid="{00000000-0005-0000-0000-000047950000}"/>
    <cellStyle name="Normal 3 5 2 3 3 2 4" xfId="19825" xr:uid="{00000000-0005-0000-0000-000048950000}"/>
    <cellStyle name="Normal 3 5 2 3 3 2 4 2" xfId="46958" xr:uid="{00000000-0005-0000-0000-000049950000}"/>
    <cellStyle name="Normal 3 5 2 3 3 2 5" xfId="33396" xr:uid="{00000000-0005-0000-0000-00004A950000}"/>
    <cellStyle name="Normal 3 5 2 3 3 3" xfId="9637" xr:uid="{00000000-0005-0000-0000-00004B950000}"/>
    <cellStyle name="Normal 3 5 2 3 3 3 2" xfId="16426" xr:uid="{00000000-0005-0000-0000-00004C950000}"/>
    <cellStyle name="Normal 3 5 2 3 3 3 2 2" xfId="29994" xr:uid="{00000000-0005-0000-0000-00004D950000}"/>
    <cellStyle name="Normal 3 5 2 3 3 3 2 2 2" xfId="57127" xr:uid="{00000000-0005-0000-0000-00004E950000}"/>
    <cellStyle name="Normal 3 5 2 3 3 3 2 3" xfId="43565" xr:uid="{00000000-0005-0000-0000-00004F950000}"/>
    <cellStyle name="Normal 3 5 2 3 3 3 3" xfId="23213" xr:uid="{00000000-0005-0000-0000-000050950000}"/>
    <cellStyle name="Normal 3 5 2 3 3 3 3 2" xfId="50346" xr:uid="{00000000-0005-0000-0000-000051950000}"/>
    <cellStyle name="Normal 3 5 2 3 3 3 4" xfId="36784" xr:uid="{00000000-0005-0000-0000-000052950000}"/>
    <cellStyle name="Normal 3 5 2 3 3 4" xfId="13037" xr:uid="{00000000-0005-0000-0000-000053950000}"/>
    <cellStyle name="Normal 3 5 2 3 3 4 2" xfId="26605" xr:uid="{00000000-0005-0000-0000-000054950000}"/>
    <cellStyle name="Normal 3 5 2 3 3 4 2 2" xfId="53738" xr:uid="{00000000-0005-0000-0000-000055950000}"/>
    <cellStyle name="Normal 3 5 2 3 3 4 3" xfId="40176" xr:uid="{00000000-0005-0000-0000-000056950000}"/>
    <cellStyle name="Normal 3 5 2 3 3 5" xfId="19824" xr:uid="{00000000-0005-0000-0000-000057950000}"/>
    <cellStyle name="Normal 3 5 2 3 3 5 2" xfId="46957" xr:uid="{00000000-0005-0000-0000-000058950000}"/>
    <cellStyle name="Normal 3 5 2 3 3 6" xfId="33395" xr:uid="{00000000-0005-0000-0000-000059950000}"/>
    <cellStyle name="Normal 3 5 2 3 4" xfId="6096" xr:uid="{00000000-0005-0000-0000-00005A950000}"/>
    <cellStyle name="Normal 3 5 2 3 4 2" xfId="9639" xr:uid="{00000000-0005-0000-0000-00005B950000}"/>
    <cellStyle name="Normal 3 5 2 3 4 2 2" xfId="16428" xr:uid="{00000000-0005-0000-0000-00005C950000}"/>
    <cellStyle name="Normal 3 5 2 3 4 2 2 2" xfId="29996" xr:uid="{00000000-0005-0000-0000-00005D950000}"/>
    <cellStyle name="Normal 3 5 2 3 4 2 2 2 2" xfId="57129" xr:uid="{00000000-0005-0000-0000-00005E950000}"/>
    <cellStyle name="Normal 3 5 2 3 4 2 2 3" xfId="43567" xr:uid="{00000000-0005-0000-0000-00005F950000}"/>
    <cellStyle name="Normal 3 5 2 3 4 2 3" xfId="23215" xr:uid="{00000000-0005-0000-0000-000060950000}"/>
    <cellStyle name="Normal 3 5 2 3 4 2 3 2" xfId="50348" xr:uid="{00000000-0005-0000-0000-000061950000}"/>
    <cellStyle name="Normal 3 5 2 3 4 2 4" xfId="36786" xr:uid="{00000000-0005-0000-0000-000062950000}"/>
    <cellStyle name="Normal 3 5 2 3 4 3" xfId="13039" xr:uid="{00000000-0005-0000-0000-000063950000}"/>
    <cellStyle name="Normal 3 5 2 3 4 3 2" xfId="26607" xr:uid="{00000000-0005-0000-0000-000064950000}"/>
    <cellStyle name="Normal 3 5 2 3 4 3 2 2" xfId="53740" xr:uid="{00000000-0005-0000-0000-000065950000}"/>
    <cellStyle name="Normal 3 5 2 3 4 3 3" xfId="40178" xr:uid="{00000000-0005-0000-0000-000066950000}"/>
    <cellStyle name="Normal 3 5 2 3 4 4" xfId="19826" xr:uid="{00000000-0005-0000-0000-000067950000}"/>
    <cellStyle name="Normal 3 5 2 3 4 4 2" xfId="46959" xr:uid="{00000000-0005-0000-0000-000068950000}"/>
    <cellStyle name="Normal 3 5 2 3 4 5" xfId="33397" xr:uid="{00000000-0005-0000-0000-000069950000}"/>
    <cellStyle name="Normal 3 5 2 3 5" xfId="6097" xr:uid="{00000000-0005-0000-0000-00006A950000}"/>
    <cellStyle name="Normal 3 5 2 3 5 2" xfId="9640" xr:uid="{00000000-0005-0000-0000-00006B950000}"/>
    <cellStyle name="Normal 3 5 2 3 5 2 2" xfId="16429" xr:uid="{00000000-0005-0000-0000-00006C950000}"/>
    <cellStyle name="Normal 3 5 2 3 5 2 2 2" xfId="29997" xr:uid="{00000000-0005-0000-0000-00006D950000}"/>
    <cellStyle name="Normal 3 5 2 3 5 2 2 2 2" xfId="57130" xr:uid="{00000000-0005-0000-0000-00006E950000}"/>
    <cellStyle name="Normal 3 5 2 3 5 2 2 3" xfId="43568" xr:uid="{00000000-0005-0000-0000-00006F950000}"/>
    <cellStyle name="Normal 3 5 2 3 5 2 3" xfId="23216" xr:uid="{00000000-0005-0000-0000-000070950000}"/>
    <cellStyle name="Normal 3 5 2 3 5 2 3 2" xfId="50349" xr:uid="{00000000-0005-0000-0000-000071950000}"/>
    <cellStyle name="Normal 3 5 2 3 5 2 4" xfId="36787" xr:uid="{00000000-0005-0000-0000-000072950000}"/>
    <cellStyle name="Normal 3 5 2 3 5 3" xfId="13040" xr:uid="{00000000-0005-0000-0000-000073950000}"/>
    <cellStyle name="Normal 3 5 2 3 5 3 2" xfId="26608" xr:uid="{00000000-0005-0000-0000-000074950000}"/>
    <cellStyle name="Normal 3 5 2 3 5 3 2 2" xfId="53741" xr:uid="{00000000-0005-0000-0000-000075950000}"/>
    <cellStyle name="Normal 3 5 2 3 5 3 3" xfId="40179" xr:uid="{00000000-0005-0000-0000-000076950000}"/>
    <cellStyle name="Normal 3 5 2 3 5 4" xfId="19827" xr:uid="{00000000-0005-0000-0000-000077950000}"/>
    <cellStyle name="Normal 3 5 2 3 5 4 2" xfId="46960" xr:uid="{00000000-0005-0000-0000-000078950000}"/>
    <cellStyle name="Normal 3 5 2 3 5 5" xfId="33398" xr:uid="{00000000-0005-0000-0000-000079950000}"/>
    <cellStyle name="Normal 3 5 2 3 6" xfId="9633" xr:uid="{00000000-0005-0000-0000-00007A950000}"/>
    <cellStyle name="Normal 3 5 2 3 6 2" xfId="16422" xr:uid="{00000000-0005-0000-0000-00007B950000}"/>
    <cellStyle name="Normal 3 5 2 3 6 2 2" xfId="29990" xr:uid="{00000000-0005-0000-0000-00007C950000}"/>
    <cellStyle name="Normal 3 5 2 3 6 2 2 2" xfId="57123" xr:uid="{00000000-0005-0000-0000-00007D950000}"/>
    <cellStyle name="Normal 3 5 2 3 6 2 3" xfId="43561" xr:uid="{00000000-0005-0000-0000-00007E950000}"/>
    <cellStyle name="Normal 3 5 2 3 6 3" xfId="23209" xr:uid="{00000000-0005-0000-0000-00007F950000}"/>
    <cellStyle name="Normal 3 5 2 3 6 3 2" xfId="50342" xr:uid="{00000000-0005-0000-0000-000080950000}"/>
    <cellStyle name="Normal 3 5 2 3 6 4" xfId="36780" xr:uid="{00000000-0005-0000-0000-000081950000}"/>
    <cellStyle name="Normal 3 5 2 3 7" xfId="13033" xr:uid="{00000000-0005-0000-0000-000082950000}"/>
    <cellStyle name="Normal 3 5 2 3 7 2" xfId="26601" xr:uid="{00000000-0005-0000-0000-000083950000}"/>
    <cellStyle name="Normal 3 5 2 3 7 2 2" xfId="53734" xr:uid="{00000000-0005-0000-0000-000084950000}"/>
    <cellStyle name="Normal 3 5 2 3 7 3" xfId="40172" xr:uid="{00000000-0005-0000-0000-000085950000}"/>
    <cellStyle name="Normal 3 5 2 3 8" xfId="19820" xr:uid="{00000000-0005-0000-0000-000086950000}"/>
    <cellStyle name="Normal 3 5 2 3 8 2" xfId="46953" xr:uid="{00000000-0005-0000-0000-000087950000}"/>
    <cellStyle name="Normal 3 5 2 3 9" xfId="33391" xr:uid="{00000000-0005-0000-0000-000088950000}"/>
    <cellStyle name="Normal 3 5 2 4" xfId="6098" xr:uid="{00000000-0005-0000-0000-000089950000}"/>
    <cellStyle name="Normal 3 5 2 4 2" xfId="6099" xr:uid="{00000000-0005-0000-0000-00008A950000}"/>
    <cellStyle name="Normal 3 5 2 4 2 2" xfId="6100" xr:uid="{00000000-0005-0000-0000-00008B950000}"/>
    <cellStyle name="Normal 3 5 2 4 2 2 2" xfId="9643" xr:uid="{00000000-0005-0000-0000-00008C950000}"/>
    <cellStyle name="Normal 3 5 2 4 2 2 2 2" xfId="16432" xr:uid="{00000000-0005-0000-0000-00008D950000}"/>
    <cellStyle name="Normal 3 5 2 4 2 2 2 2 2" xfId="30000" xr:uid="{00000000-0005-0000-0000-00008E950000}"/>
    <cellStyle name="Normal 3 5 2 4 2 2 2 2 2 2" xfId="57133" xr:uid="{00000000-0005-0000-0000-00008F950000}"/>
    <cellStyle name="Normal 3 5 2 4 2 2 2 2 3" xfId="43571" xr:uid="{00000000-0005-0000-0000-000090950000}"/>
    <cellStyle name="Normal 3 5 2 4 2 2 2 3" xfId="23219" xr:uid="{00000000-0005-0000-0000-000091950000}"/>
    <cellStyle name="Normal 3 5 2 4 2 2 2 3 2" xfId="50352" xr:uid="{00000000-0005-0000-0000-000092950000}"/>
    <cellStyle name="Normal 3 5 2 4 2 2 2 4" xfId="36790" xr:uid="{00000000-0005-0000-0000-000093950000}"/>
    <cellStyle name="Normal 3 5 2 4 2 2 3" xfId="13043" xr:uid="{00000000-0005-0000-0000-000094950000}"/>
    <cellStyle name="Normal 3 5 2 4 2 2 3 2" xfId="26611" xr:uid="{00000000-0005-0000-0000-000095950000}"/>
    <cellStyle name="Normal 3 5 2 4 2 2 3 2 2" xfId="53744" xr:uid="{00000000-0005-0000-0000-000096950000}"/>
    <cellStyle name="Normal 3 5 2 4 2 2 3 3" xfId="40182" xr:uid="{00000000-0005-0000-0000-000097950000}"/>
    <cellStyle name="Normal 3 5 2 4 2 2 4" xfId="19830" xr:uid="{00000000-0005-0000-0000-000098950000}"/>
    <cellStyle name="Normal 3 5 2 4 2 2 4 2" xfId="46963" xr:uid="{00000000-0005-0000-0000-000099950000}"/>
    <cellStyle name="Normal 3 5 2 4 2 2 5" xfId="33401" xr:uid="{00000000-0005-0000-0000-00009A950000}"/>
    <cellStyle name="Normal 3 5 2 4 2 3" xfId="6101" xr:uid="{00000000-0005-0000-0000-00009B950000}"/>
    <cellStyle name="Normal 3 5 2 4 2 3 2" xfId="9644" xr:uid="{00000000-0005-0000-0000-00009C950000}"/>
    <cellStyle name="Normal 3 5 2 4 2 3 2 2" xfId="16433" xr:uid="{00000000-0005-0000-0000-00009D950000}"/>
    <cellStyle name="Normal 3 5 2 4 2 3 2 2 2" xfId="30001" xr:uid="{00000000-0005-0000-0000-00009E950000}"/>
    <cellStyle name="Normal 3 5 2 4 2 3 2 2 2 2" xfId="57134" xr:uid="{00000000-0005-0000-0000-00009F950000}"/>
    <cellStyle name="Normal 3 5 2 4 2 3 2 2 3" xfId="43572" xr:uid="{00000000-0005-0000-0000-0000A0950000}"/>
    <cellStyle name="Normal 3 5 2 4 2 3 2 3" xfId="23220" xr:uid="{00000000-0005-0000-0000-0000A1950000}"/>
    <cellStyle name="Normal 3 5 2 4 2 3 2 3 2" xfId="50353" xr:uid="{00000000-0005-0000-0000-0000A2950000}"/>
    <cellStyle name="Normal 3 5 2 4 2 3 2 4" xfId="36791" xr:uid="{00000000-0005-0000-0000-0000A3950000}"/>
    <cellStyle name="Normal 3 5 2 4 2 3 3" xfId="13044" xr:uid="{00000000-0005-0000-0000-0000A4950000}"/>
    <cellStyle name="Normal 3 5 2 4 2 3 3 2" xfId="26612" xr:uid="{00000000-0005-0000-0000-0000A5950000}"/>
    <cellStyle name="Normal 3 5 2 4 2 3 3 2 2" xfId="53745" xr:uid="{00000000-0005-0000-0000-0000A6950000}"/>
    <cellStyle name="Normal 3 5 2 4 2 3 3 3" xfId="40183" xr:uid="{00000000-0005-0000-0000-0000A7950000}"/>
    <cellStyle name="Normal 3 5 2 4 2 3 4" xfId="19831" xr:uid="{00000000-0005-0000-0000-0000A8950000}"/>
    <cellStyle name="Normal 3 5 2 4 2 3 4 2" xfId="46964" xr:uid="{00000000-0005-0000-0000-0000A9950000}"/>
    <cellStyle name="Normal 3 5 2 4 2 3 5" xfId="33402" xr:uid="{00000000-0005-0000-0000-0000AA950000}"/>
    <cellStyle name="Normal 3 5 2 4 2 4" xfId="9642" xr:uid="{00000000-0005-0000-0000-0000AB950000}"/>
    <cellStyle name="Normal 3 5 2 4 2 4 2" xfId="16431" xr:uid="{00000000-0005-0000-0000-0000AC950000}"/>
    <cellStyle name="Normal 3 5 2 4 2 4 2 2" xfId="29999" xr:uid="{00000000-0005-0000-0000-0000AD950000}"/>
    <cellStyle name="Normal 3 5 2 4 2 4 2 2 2" xfId="57132" xr:uid="{00000000-0005-0000-0000-0000AE950000}"/>
    <cellStyle name="Normal 3 5 2 4 2 4 2 3" xfId="43570" xr:uid="{00000000-0005-0000-0000-0000AF950000}"/>
    <cellStyle name="Normal 3 5 2 4 2 4 3" xfId="23218" xr:uid="{00000000-0005-0000-0000-0000B0950000}"/>
    <cellStyle name="Normal 3 5 2 4 2 4 3 2" xfId="50351" xr:uid="{00000000-0005-0000-0000-0000B1950000}"/>
    <cellStyle name="Normal 3 5 2 4 2 4 4" xfId="36789" xr:uid="{00000000-0005-0000-0000-0000B2950000}"/>
    <cellStyle name="Normal 3 5 2 4 2 5" xfId="13042" xr:uid="{00000000-0005-0000-0000-0000B3950000}"/>
    <cellStyle name="Normal 3 5 2 4 2 5 2" xfId="26610" xr:uid="{00000000-0005-0000-0000-0000B4950000}"/>
    <cellStyle name="Normal 3 5 2 4 2 5 2 2" xfId="53743" xr:uid="{00000000-0005-0000-0000-0000B5950000}"/>
    <cellStyle name="Normal 3 5 2 4 2 5 3" xfId="40181" xr:uid="{00000000-0005-0000-0000-0000B6950000}"/>
    <cellStyle name="Normal 3 5 2 4 2 6" xfId="19829" xr:uid="{00000000-0005-0000-0000-0000B7950000}"/>
    <cellStyle name="Normal 3 5 2 4 2 6 2" xfId="46962" xr:uid="{00000000-0005-0000-0000-0000B8950000}"/>
    <cellStyle name="Normal 3 5 2 4 2 7" xfId="33400" xr:uid="{00000000-0005-0000-0000-0000B9950000}"/>
    <cellStyle name="Normal 3 5 2 4 3" xfId="6102" xr:uid="{00000000-0005-0000-0000-0000BA950000}"/>
    <cellStyle name="Normal 3 5 2 4 3 2" xfId="9645" xr:uid="{00000000-0005-0000-0000-0000BB950000}"/>
    <cellStyle name="Normal 3 5 2 4 3 2 2" xfId="16434" xr:uid="{00000000-0005-0000-0000-0000BC950000}"/>
    <cellStyle name="Normal 3 5 2 4 3 2 2 2" xfId="30002" xr:uid="{00000000-0005-0000-0000-0000BD950000}"/>
    <cellStyle name="Normal 3 5 2 4 3 2 2 2 2" xfId="57135" xr:uid="{00000000-0005-0000-0000-0000BE950000}"/>
    <cellStyle name="Normal 3 5 2 4 3 2 2 3" xfId="43573" xr:uid="{00000000-0005-0000-0000-0000BF950000}"/>
    <cellStyle name="Normal 3 5 2 4 3 2 3" xfId="23221" xr:uid="{00000000-0005-0000-0000-0000C0950000}"/>
    <cellStyle name="Normal 3 5 2 4 3 2 3 2" xfId="50354" xr:uid="{00000000-0005-0000-0000-0000C1950000}"/>
    <cellStyle name="Normal 3 5 2 4 3 2 4" xfId="36792" xr:uid="{00000000-0005-0000-0000-0000C2950000}"/>
    <cellStyle name="Normal 3 5 2 4 3 3" xfId="13045" xr:uid="{00000000-0005-0000-0000-0000C3950000}"/>
    <cellStyle name="Normal 3 5 2 4 3 3 2" xfId="26613" xr:uid="{00000000-0005-0000-0000-0000C4950000}"/>
    <cellStyle name="Normal 3 5 2 4 3 3 2 2" xfId="53746" xr:uid="{00000000-0005-0000-0000-0000C5950000}"/>
    <cellStyle name="Normal 3 5 2 4 3 3 3" xfId="40184" xr:uid="{00000000-0005-0000-0000-0000C6950000}"/>
    <cellStyle name="Normal 3 5 2 4 3 4" xfId="19832" xr:uid="{00000000-0005-0000-0000-0000C7950000}"/>
    <cellStyle name="Normal 3 5 2 4 3 4 2" xfId="46965" xr:uid="{00000000-0005-0000-0000-0000C8950000}"/>
    <cellStyle name="Normal 3 5 2 4 3 5" xfId="33403" xr:uid="{00000000-0005-0000-0000-0000C9950000}"/>
    <cellStyle name="Normal 3 5 2 4 4" xfId="6103" xr:uid="{00000000-0005-0000-0000-0000CA950000}"/>
    <cellStyle name="Normal 3 5 2 4 4 2" xfId="9646" xr:uid="{00000000-0005-0000-0000-0000CB950000}"/>
    <cellStyle name="Normal 3 5 2 4 4 2 2" xfId="16435" xr:uid="{00000000-0005-0000-0000-0000CC950000}"/>
    <cellStyle name="Normal 3 5 2 4 4 2 2 2" xfId="30003" xr:uid="{00000000-0005-0000-0000-0000CD950000}"/>
    <cellStyle name="Normal 3 5 2 4 4 2 2 2 2" xfId="57136" xr:uid="{00000000-0005-0000-0000-0000CE950000}"/>
    <cellStyle name="Normal 3 5 2 4 4 2 2 3" xfId="43574" xr:uid="{00000000-0005-0000-0000-0000CF950000}"/>
    <cellStyle name="Normal 3 5 2 4 4 2 3" xfId="23222" xr:uid="{00000000-0005-0000-0000-0000D0950000}"/>
    <cellStyle name="Normal 3 5 2 4 4 2 3 2" xfId="50355" xr:uid="{00000000-0005-0000-0000-0000D1950000}"/>
    <cellStyle name="Normal 3 5 2 4 4 2 4" xfId="36793" xr:uid="{00000000-0005-0000-0000-0000D2950000}"/>
    <cellStyle name="Normal 3 5 2 4 4 3" xfId="13046" xr:uid="{00000000-0005-0000-0000-0000D3950000}"/>
    <cellStyle name="Normal 3 5 2 4 4 3 2" xfId="26614" xr:uid="{00000000-0005-0000-0000-0000D4950000}"/>
    <cellStyle name="Normal 3 5 2 4 4 3 2 2" xfId="53747" xr:uid="{00000000-0005-0000-0000-0000D5950000}"/>
    <cellStyle name="Normal 3 5 2 4 4 3 3" xfId="40185" xr:uid="{00000000-0005-0000-0000-0000D6950000}"/>
    <cellStyle name="Normal 3 5 2 4 4 4" xfId="19833" xr:uid="{00000000-0005-0000-0000-0000D7950000}"/>
    <cellStyle name="Normal 3 5 2 4 4 4 2" xfId="46966" xr:uid="{00000000-0005-0000-0000-0000D8950000}"/>
    <cellStyle name="Normal 3 5 2 4 4 5" xfId="33404" xr:uid="{00000000-0005-0000-0000-0000D9950000}"/>
    <cellStyle name="Normal 3 5 2 4 5" xfId="9641" xr:uid="{00000000-0005-0000-0000-0000DA950000}"/>
    <cellStyle name="Normal 3 5 2 4 5 2" xfId="16430" xr:uid="{00000000-0005-0000-0000-0000DB950000}"/>
    <cellStyle name="Normal 3 5 2 4 5 2 2" xfId="29998" xr:uid="{00000000-0005-0000-0000-0000DC950000}"/>
    <cellStyle name="Normal 3 5 2 4 5 2 2 2" xfId="57131" xr:uid="{00000000-0005-0000-0000-0000DD950000}"/>
    <cellStyle name="Normal 3 5 2 4 5 2 3" xfId="43569" xr:uid="{00000000-0005-0000-0000-0000DE950000}"/>
    <cellStyle name="Normal 3 5 2 4 5 3" xfId="23217" xr:uid="{00000000-0005-0000-0000-0000DF950000}"/>
    <cellStyle name="Normal 3 5 2 4 5 3 2" xfId="50350" xr:uid="{00000000-0005-0000-0000-0000E0950000}"/>
    <cellStyle name="Normal 3 5 2 4 5 4" xfId="36788" xr:uid="{00000000-0005-0000-0000-0000E1950000}"/>
    <cellStyle name="Normal 3 5 2 4 6" xfId="13041" xr:uid="{00000000-0005-0000-0000-0000E2950000}"/>
    <cellStyle name="Normal 3 5 2 4 6 2" xfId="26609" xr:uid="{00000000-0005-0000-0000-0000E3950000}"/>
    <cellStyle name="Normal 3 5 2 4 6 2 2" xfId="53742" xr:uid="{00000000-0005-0000-0000-0000E4950000}"/>
    <cellStyle name="Normal 3 5 2 4 6 3" xfId="40180" xr:uid="{00000000-0005-0000-0000-0000E5950000}"/>
    <cellStyle name="Normal 3 5 2 4 7" xfId="19828" xr:uid="{00000000-0005-0000-0000-0000E6950000}"/>
    <cellStyle name="Normal 3 5 2 4 7 2" xfId="46961" xr:uid="{00000000-0005-0000-0000-0000E7950000}"/>
    <cellStyle name="Normal 3 5 2 4 8" xfId="33399" xr:uid="{00000000-0005-0000-0000-0000E8950000}"/>
    <cellStyle name="Normal 3 5 2 5" xfId="6104" xr:uid="{00000000-0005-0000-0000-0000E9950000}"/>
    <cellStyle name="Normal 3 5 2 5 2" xfId="6105" xr:uid="{00000000-0005-0000-0000-0000EA950000}"/>
    <cellStyle name="Normal 3 5 2 5 2 2" xfId="9648" xr:uid="{00000000-0005-0000-0000-0000EB950000}"/>
    <cellStyle name="Normal 3 5 2 5 2 2 2" xfId="16437" xr:uid="{00000000-0005-0000-0000-0000EC950000}"/>
    <cellStyle name="Normal 3 5 2 5 2 2 2 2" xfId="30005" xr:uid="{00000000-0005-0000-0000-0000ED950000}"/>
    <cellStyle name="Normal 3 5 2 5 2 2 2 2 2" xfId="57138" xr:uid="{00000000-0005-0000-0000-0000EE950000}"/>
    <cellStyle name="Normal 3 5 2 5 2 2 2 3" xfId="43576" xr:uid="{00000000-0005-0000-0000-0000EF950000}"/>
    <cellStyle name="Normal 3 5 2 5 2 2 3" xfId="23224" xr:uid="{00000000-0005-0000-0000-0000F0950000}"/>
    <cellStyle name="Normal 3 5 2 5 2 2 3 2" xfId="50357" xr:uid="{00000000-0005-0000-0000-0000F1950000}"/>
    <cellStyle name="Normal 3 5 2 5 2 2 4" xfId="36795" xr:uid="{00000000-0005-0000-0000-0000F2950000}"/>
    <cellStyle name="Normal 3 5 2 5 2 3" xfId="13048" xr:uid="{00000000-0005-0000-0000-0000F3950000}"/>
    <cellStyle name="Normal 3 5 2 5 2 3 2" xfId="26616" xr:uid="{00000000-0005-0000-0000-0000F4950000}"/>
    <cellStyle name="Normal 3 5 2 5 2 3 2 2" xfId="53749" xr:uid="{00000000-0005-0000-0000-0000F5950000}"/>
    <cellStyle name="Normal 3 5 2 5 2 3 3" xfId="40187" xr:uid="{00000000-0005-0000-0000-0000F6950000}"/>
    <cellStyle name="Normal 3 5 2 5 2 4" xfId="19835" xr:uid="{00000000-0005-0000-0000-0000F7950000}"/>
    <cellStyle name="Normal 3 5 2 5 2 4 2" xfId="46968" xr:uid="{00000000-0005-0000-0000-0000F8950000}"/>
    <cellStyle name="Normal 3 5 2 5 2 5" xfId="33406" xr:uid="{00000000-0005-0000-0000-0000F9950000}"/>
    <cellStyle name="Normal 3 5 2 5 3" xfId="6106" xr:uid="{00000000-0005-0000-0000-0000FA950000}"/>
    <cellStyle name="Normal 3 5 2 5 3 2" xfId="9649" xr:uid="{00000000-0005-0000-0000-0000FB950000}"/>
    <cellStyle name="Normal 3 5 2 5 3 2 2" xfId="16438" xr:uid="{00000000-0005-0000-0000-0000FC950000}"/>
    <cellStyle name="Normal 3 5 2 5 3 2 2 2" xfId="30006" xr:uid="{00000000-0005-0000-0000-0000FD950000}"/>
    <cellStyle name="Normal 3 5 2 5 3 2 2 2 2" xfId="57139" xr:uid="{00000000-0005-0000-0000-0000FE950000}"/>
    <cellStyle name="Normal 3 5 2 5 3 2 2 3" xfId="43577" xr:uid="{00000000-0005-0000-0000-0000FF950000}"/>
    <cellStyle name="Normal 3 5 2 5 3 2 3" xfId="23225" xr:uid="{00000000-0005-0000-0000-000000960000}"/>
    <cellStyle name="Normal 3 5 2 5 3 2 3 2" xfId="50358" xr:uid="{00000000-0005-0000-0000-000001960000}"/>
    <cellStyle name="Normal 3 5 2 5 3 2 4" xfId="36796" xr:uid="{00000000-0005-0000-0000-000002960000}"/>
    <cellStyle name="Normal 3 5 2 5 3 3" xfId="13049" xr:uid="{00000000-0005-0000-0000-000003960000}"/>
    <cellStyle name="Normal 3 5 2 5 3 3 2" xfId="26617" xr:uid="{00000000-0005-0000-0000-000004960000}"/>
    <cellStyle name="Normal 3 5 2 5 3 3 2 2" xfId="53750" xr:uid="{00000000-0005-0000-0000-000005960000}"/>
    <cellStyle name="Normal 3 5 2 5 3 3 3" xfId="40188" xr:uid="{00000000-0005-0000-0000-000006960000}"/>
    <cellStyle name="Normal 3 5 2 5 3 4" xfId="19836" xr:uid="{00000000-0005-0000-0000-000007960000}"/>
    <cellStyle name="Normal 3 5 2 5 3 4 2" xfId="46969" xr:uid="{00000000-0005-0000-0000-000008960000}"/>
    <cellStyle name="Normal 3 5 2 5 3 5" xfId="33407" xr:uid="{00000000-0005-0000-0000-000009960000}"/>
    <cellStyle name="Normal 3 5 2 5 4" xfId="9647" xr:uid="{00000000-0005-0000-0000-00000A960000}"/>
    <cellStyle name="Normal 3 5 2 5 4 2" xfId="16436" xr:uid="{00000000-0005-0000-0000-00000B960000}"/>
    <cellStyle name="Normal 3 5 2 5 4 2 2" xfId="30004" xr:uid="{00000000-0005-0000-0000-00000C960000}"/>
    <cellStyle name="Normal 3 5 2 5 4 2 2 2" xfId="57137" xr:uid="{00000000-0005-0000-0000-00000D960000}"/>
    <cellStyle name="Normal 3 5 2 5 4 2 3" xfId="43575" xr:uid="{00000000-0005-0000-0000-00000E960000}"/>
    <cellStyle name="Normal 3 5 2 5 4 3" xfId="23223" xr:uid="{00000000-0005-0000-0000-00000F960000}"/>
    <cellStyle name="Normal 3 5 2 5 4 3 2" xfId="50356" xr:uid="{00000000-0005-0000-0000-000010960000}"/>
    <cellStyle name="Normal 3 5 2 5 4 4" xfId="36794" xr:uid="{00000000-0005-0000-0000-000011960000}"/>
    <cellStyle name="Normal 3 5 2 5 5" xfId="13047" xr:uid="{00000000-0005-0000-0000-000012960000}"/>
    <cellStyle name="Normal 3 5 2 5 5 2" xfId="26615" xr:uid="{00000000-0005-0000-0000-000013960000}"/>
    <cellStyle name="Normal 3 5 2 5 5 2 2" xfId="53748" xr:uid="{00000000-0005-0000-0000-000014960000}"/>
    <cellStyle name="Normal 3 5 2 5 5 3" xfId="40186" xr:uid="{00000000-0005-0000-0000-000015960000}"/>
    <cellStyle name="Normal 3 5 2 5 6" xfId="19834" xr:uid="{00000000-0005-0000-0000-000016960000}"/>
    <cellStyle name="Normal 3 5 2 5 6 2" xfId="46967" xr:uid="{00000000-0005-0000-0000-000017960000}"/>
    <cellStyle name="Normal 3 5 2 5 7" xfId="33405" xr:uid="{00000000-0005-0000-0000-000018960000}"/>
    <cellStyle name="Normal 3 5 2 6" xfId="6107" xr:uid="{00000000-0005-0000-0000-000019960000}"/>
    <cellStyle name="Normal 3 5 2 6 2" xfId="6108" xr:uid="{00000000-0005-0000-0000-00001A960000}"/>
    <cellStyle name="Normal 3 5 2 6 2 2" xfId="9651" xr:uid="{00000000-0005-0000-0000-00001B960000}"/>
    <cellStyle name="Normal 3 5 2 6 2 2 2" xfId="16440" xr:uid="{00000000-0005-0000-0000-00001C960000}"/>
    <cellStyle name="Normal 3 5 2 6 2 2 2 2" xfId="30008" xr:uid="{00000000-0005-0000-0000-00001D960000}"/>
    <cellStyle name="Normal 3 5 2 6 2 2 2 2 2" xfId="57141" xr:uid="{00000000-0005-0000-0000-00001E960000}"/>
    <cellStyle name="Normal 3 5 2 6 2 2 2 3" xfId="43579" xr:uid="{00000000-0005-0000-0000-00001F960000}"/>
    <cellStyle name="Normal 3 5 2 6 2 2 3" xfId="23227" xr:uid="{00000000-0005-0000-0000-000020960000}"/>
    <cellStyle name="Normal 3 5 2 6 2 2 3 2" xfId="50360" xr:uid="{00000000-0005-0000-0000-000021960000}"/>
    <cellStyle name="Normal 3 5 2 6 2 2 4" xfId="36798" xr:uid="{00000000-0005-0000-0000-000022960000}"/>
    <cellStyle name="Normal 3 5 2 6 2 3" xfId="13051" xr:uid="{00000000-0005-0000-0000-000023960000}"/>
    <cellStyle name="Normal 3 5 2 6 2 3 2" xfId="26619" xr:uid="{00000000-0005-0000-0000-000024960000}"/>
    <cellStyle name="Normal 3 5 2 6 2 3 2 2" xfId="53752" xr:uid="{00000000-0005-0000-0000-000025960000}"/>
    <cellStyle name="Normal 3 5 2 6 2 3 3" xfId="40190" xr:uid="{00000000-0005-0000-0000-000026960000}"/>
    <cellStyle name="Normal 3 5 2 6 2 4" xfId="19838" xr:uid="{00000000-0005-0000-0000-000027960000}"/>
    <cellStyle name="Normal 3 5 2 6 2 4 2" xfId="46971" xr:uid="{00000000-0005-0000-0000-000028960000}"/>
    <cellStyle name="Normal 3 5 2 6 2 5" xfId="33409" xr:uid="{00000000-0005-0000-0000-000029960000}"/>
    <cellStyle name="Normal 3 5 2 6 3" xfId="6109" xr:uid="{00000000-0005-0000-0000-00002A960000}"/>
    <cellStyle name="Normal 3 5 2 6 3 2" xfId="9652" xr:uid="{00000000-0005-0000-0000-00002B960000}"/>
    <cellStyle name="Normal 3 5 2 6 3 2 2" xfId="16441" xr:uid="{00000000-0005-0000-0000-00002C960000}"/>
    <cellStyle name="Normal 3 5 2 6 3 2 2 2" xfId="30009" xr:uid="{00000000-0005-0000-0000-00002D960000}"/>
    <cellStyle name="Normal 3 5 2 6 3 2 2 2 2" xfId="57142" xr:uid="{00000000-0005-0000-0000-00002E960000}"/>
    <cellStyle name="Normal 3 5 2 6 3 2 2 3" xfId="43580" xr:uid="{00000000-0005-0000-0000-00002F960000}"/>
    <cellStyle name="Normal 3 5 2 6 3 2 3" xfId="23228" xr:uid="{00000000-0005-0000-0000-000030960000}"/>
    <cellStyle name="Normal 3 5 2 6 3 2 3 2" xfId="50361" xr:uid="{00000000-0005-0000-0000-000031960000}"/>
    <cellStyle name="Normal 3 5 2 6 3 2 4" xfId="36799" xr:uid="{00000000-0005-0000-0000-000032960000}"/>
    <cellStyle name="Normal 3 5 2 6 3 3" xfId="13052" xr:uid="{00000000-0005-0000-0000-000033960000}"/>
    <cellStyle name="Normal 3 5 2 6 3 3 2" xfId="26620" xr:uid="{00000000-0005-0000-0000-000034960000}"/>
    <cellStyle name="Normal 3 5 2 6 3 3 2 2" xfId="53753" xr:uid="{00000000-0005-0000-0000-000035960000}"/>
    <cellStyle name="Normal 3 5 2 6 3 3 3" xfId="40191" xr:uid="{00000000-0005-0000-0000-000036960000}"/>
    <cellStyle name="Normal 3 5 2 6 3 4" xfId="19839" xr:uid="{00000000-0005-0000-0000-000037960000}"/>
    <cellStyle name="Normal 3 5 2 6 3 4 2" xfId="46972" xr:uid="{00000000-0005-0000-0000-000038960000}"/>
    <cellStyle name="Normal 3 5 2 6 3 5" xfId="33410" xr:uid="{00000000-0005-0000-0000-000039960000}"/>
    <cellStyle name="Normal 3 5 2 6 4" xfId="9650" xr:uid="{00000000-0005-0000-0000-00003A960000}"/>
    <cellStyle name="Normal 3 5 2 6 4 2" xfId="16439" xr:uid="{00000000-0005-0000-0000-00003B960000}"/>
    <cellStyle name="Normal 3 5 2 6 4 2 2" xfId="30007" xr:uid="{00000000-0005-0000-0000-00003C960000}"/>
    <cellStyle name="Normal 3 5 2 6 4 2 2 2" xfId="57140" xr:uid="{00000000-0005-0000-0000-00003D960000}"/>
    <cellStyle name="Normal 3 5 2 6 4 2 3" xfId="43578" xr:uid="{00000000-0005-0000-0000-00003E960000}"/>
    <cellStyle name="Normal 3 5 2 6 4 3" xfId="23226" xr:uid="{00000000-0005-0000-0000-00003F960000}"/>
    <cellStyle name="Normal 3 5 2 6 4 3 2" xfId="50359" xr:uid="{00000000-0005-0000-0000-000040960000}"/>
    <cellStyle name="Normal 3 5 2 6 4 4" xfId="36797" xr:uid="{00000000-0005-0000-0000-000041960000}"/>
    <cellStyle name="Normal 3 5 2 6 5" xfId="13050" xr:uid="{00000000-0005-0000-0000-000042960000}"/>
    <cellStyle name="Normal 3 5 2 6 5 2" xfId="26618" xr:uid="{00000000-0005-0000-0000-000043960000}"/>
    <cellStyle name="Normal 3 5 2 6 5 2 2" xfId="53751" xr:uid="{00000000-0005-0000-0000-000044960000}"/>
    <cellStyle name="Normal 3 5 2 6 5 3" xfId="40189" xr:uid="{00000000-0005-0000-0000-000045960000}"/>
    <cellStyle name="Normal 3 5 2 6 6" xfId="19837" xr:uid="{00000000-0005-0000-0000-000046960000}"/>
    <cellStyle name="Normal 3 5 2 6 6 2" xfId="46970" xr:uid="{00000000-0005-0000-0000-000047960000}"/>
    <cellStyle name="Normal 3 5 2 6 7" xfId="33408" xr:uid="{00000000-0005-0000-0000-000048960000}"/>
    <cellStyle name="Normal 3 5 2 7" xfId="6110" xr:uid="{00000000-0005-0000-0000-000049960000}"/>
    <cellStyle name="Normal 3 5 2 7 2" xfId="9653" xr:uid="{00000000-0005-0000-0000-00004A960000}"/>
    <cellStyle name="Normal 3 5 2 7 2 2" xfId="16442" xr:uid="{00000000-0005-0000-0000-00004B960000}"/>
    <cellStyle name="Normal 3 5 2 7 2 2 2" xfId="30010" xr:uid="{00000000-0005-0000-0000-00004C960000}"/>
    <cellStyle name="Normal 3 5 2 7 2 2 2 2" xfId="57143" xr:uid="{00000000-0005-0000-0000-00004D960000}"/>
    <cellStyle name="Normal 3 5 2 7 2 2 3" xfId="43581" xr:uid="{00000000-0005-0000-0000-00004E960000}"/>
    <cellStyle name="Normal 3 5 2 7 2 3" xfId="23229" xr:uid="{00000000-0005-0000-0000-00004F960000}"/>
    <cellStyle name="Normal 3 5 2 7 2 3 2" xfId="50362" xr:uid="{00000000-0005-0000-0000-000050960000}"/>
    <cellStyle name="Normal 3 5 2 7 2 4" xfId="36800" xr:uid="{00000000-0005-0000-0000-000051960000}"/>
    <cellStyle name="Normal 3 5 2 7 3" xfId="13053" xr:uid="{00000000-0005-0000-0000-000052960000}"/>
    <cellStyle name="Normal 3 5 2 7 3 2" xfId="26621" xr:uid="{00000000-0005-0000-0000-000053960000}"/>
    <cellStyle name="Normal 3 5 2 7 3 2 2" xfId="53754" xr:uid="{00000000-0005-0000-0000-000054960000}"/>
    <cellStyle name="Normal 3 5 2 7 3 3" xfId="40192" xr:uid="{00000000-0005-0000-0000-000055960000}"/>
    <cellStyle name="Normal 3 5 2 7 4" xfId="19840" xr:uid="{00000000-0005-0000-0000-000056960000}"/>
    <cellStyle name="Normal 3 5 2 7 4 2" xfId="46973" xr:uid="{00000000-0005-0000-0000-000057960000}"/>
    <cellStyle name="Normal 3 5 2 7 5" xfId="33411" xr:uid="{00000000-0005-0000-0000-000058960000}"/>
    <cellStyle name="Normal 3 5 2 8" xfId="6111" xr:uid="{00000000-0005-0000-0000-000059960000}"/>
    <cellStyle name="Normal 3 5 2 8 2" xfId="9654" xr:uid="{00000000-0005-0000-0000-00005A960000}"/>
    <cellStyle name="Normal 3 5 2 8 2 2" xfId="16443" xr:uid="{00000000-0005-0000-0000-00005B960000}"/>
    <cellStyle name="Normal 3 5 2 8 2 2 2" xfId="30011" xr:uid="{00000000-0005-0000-0000-00005C960000}"/>
    <cellStyle name="Normal 3 5 2 8 2 2 2 2" xfId="57144" xr:uid="{00000000-0005-0000-0000-00005D960000}"/>
    <cellStyle name="Normal 3 5 2 8 2 2 3" xfId="43582" xr:uid="{00000000-0005-0000-0000-00005E960000}"/>
    <cellStyle name="Normal 3 5 2 8 2 3" xfId="23230" xr:uid="{00000000-0005-0000-0000-00005F960000}"/>
    <cellStyle name="Normal 3 5 2 8 2 3 2" xfId="50363" xr:uid="{00000000-0005-0000-0000-000060960000}"/>
    <cellStyle name="Normal 3 5 2 8 2 4" xfId="36801" xr:uid="{00000000-0005-0000-0000-000061960000}"/>
    <cellStyle name="Normal 3 5 2 8 3" xfId="13054" xr:uid="{00000000-0005-0000-0000-000062960000}"/>
    <cellStyle name="Normal 3 5 2 8 3 2" xfId="26622" xr:uid="{00000000-0005-0000-0000-000063960000}"/>
    <cellStyle name="Normal 3 5 2 8 3 2 2" xfId="53755" xr:uid="{00000000-0005-0000-0000-000064960000}"/>
    <cellStyle name="Normal 3 5 2 8 3 3" xfId="40193" xr:uid="{00000000-0005-0000-0000-000065960000}"/>
    <cellStyle name="Normal 3 5 2 8 4" xfId="19841" xr:uid="{00000000-0005-0000-0000-000066960000}"/>
    <cellStyle name="Normal 3 5 2 8 4 2" xfId="46974" xr:uid="{00000000-0005-0000-0000-000067960000}"/>
    <cellStyle name="Normal 3 5 2 8 5" xfId="33412" xr:uid="{00000000-0005-0000-0000-000068960000}"/>
    <cellStyle name="Normal 3 5 2 9" xfId="7528" xr:uid="{00000000-0005-0000-0000-000069960000}"/>
    <cellStyle name="Normal 3 5 2 9 2" xfId="14317" xr:uid="{00000000-0005-0000-0000-00006A960000}"/>
    <cellStyle name="Normal 3 5 2 9 2 2" xfId="27885" xr:uid="{00000000-0005-0000-0000-00006B960000}"/>
    <cellStyle name="Normal 3 5 2 9 2 2 2" xfId="55018" xr:uid="{00000000-0005-0000-0000-00006C960000}"/>
    <cellStyle name="Normal 3 5 2 9 2 3" xfId="41456" xr:uid="{00000000-0005-0000-0000-00006D960000}"/>
    <cellStyle name="Normal 3 5 2 9 3" xfId="21104" xr:uid="{00000000-0005-0000-0000-00006E960000}"/>
    <cellStyle name="Normal 3 5 2 9 3 2" xfId="48237" xr:uid="{00000000-0005-0000-0000-00006F960000}"/>
    <cellStyle name="Normal 3 5 2 9 4" xfId="34675" xr:uid="{00000000-0005-0000-0000-000070960000}"/>
    <cellStyle name="Normal 3 5 3" xfId="2717" xr:uid="{00000000-0005-0000-0000-000071960000}"/>
    <cellStyle name="Normal 3 5 3 10" xfId="31288" xr:uid="{00000000-0005-0000-0000-000072960000}"/>
    <cellStyle name="Normal 3 5 3 2" xfId="2718" xr:uid="{00000000-0005-0000-0000-000073960000}"/>
    <cellStyle name="Normal 3 5 3 2 2" xfId="6112" xr:uid="{00000000-0005-0000-0000-000074960000}"/>
    <cellStyle name="Normal 3 5 3 2 2 2" xfId="6113" xr:uid="{00000000-0005-0000-0000-000075960000}"/>
    <cellStyle name="Normal 3 5 3 2 2 2 2" xfId="9656" xr:uid="{00000000-0005-0000-0000-000076960000}"/>
    <cellStyle name="Normal 3 5 3 2 2 2 2 2" xfId="16445" xr:uid="{00000000-0005-0000-0000-000077960000}"/>
    <cellStyle name="Normal 3 5 3 2 2 2 2 2 2" xfId="30013" xr:uid="{00000000-0005-0000-0000-000078960000}"/>
    <cellStyle name="Normal 3 5 3 2 2 2 2 2 2 2" xfId="57146" xr:uid="{00000000-0005-0000-0000-000079960000}"/>
    <cellStyle name="Normal 3 5 3 2 2 2 2 2 3" xfId="43584" xr:uid="{00000000-0005-0000-0000-00007A960000}"/>
    <cellStyle name="Normal 3 5 3 2 2 2 2 3" xfId="23232" xr:uid="{00000000-0005-0000-0000-00007B960000}"/>
    <cellStyle name="Normal 3 5 3 2 2 2 2 3 2" xfId="50365" xr:uid="{00000000-0005-0000-0000-00007C960000}"/>
    <cellStyle name="Normal 3 5 3 2 2 2 2 4" xfId="36803" xr:uid="{00000000-0005-0000-0000-00007D960000}"/>
    <cellStyle name="Normal 3 5 3 2 2 2 3" xfId="13056" xr:uid="{00000000-0005-0000-0000-00007E960000}"/>
    <cellStyle name="Normal 3 5 3 2 2 2 3 2" xfId="26624" xr:uid="{00000000-0005-0000-0000-00007F960000}"/>
    <cellStyle name="Normal 3 5 3 2 2 2 3 2 2" xfId="53757" xr:uid="{00000000-0005-0000-0000-000080960000}"/>
    <cellStyle name="Normal 3 5 3 2 2 2 3 3" xfId="40195" xr:uid="{00000000-0005-0000-0000-000081960000}"/>
    <cellStyle name="Normal 3 5 3 2 2 2 4" xfId="19843" xr:uid="{00000000-0005-0000-0000-000082960000}"/>
    <cellStyle name="Normal 3 5 3 2 2 2 4 2" xfId="46976" xr:uid="{00000000-0005-0000-0000-000083960000}"/>
    <cellStyle name="Normal 3 5 3 2 2 2 5" xfId="33414" xr:uid="{00000000-0005-0000-0000-000084960000}"/>
    <cellStyle name="Normal 3 5 3 2 2 3" xfId="6114" xr:uid="{00000000-0005-0000-0000-000085960000}"/>
    <cellStyle name="Normal 3 5 3 2 2 3 2" xfId="9657" xr:uid="{00000000-0005-0000-0000-000086960000}"/>
    <cellStyle name="Normal 3 5 3 2 2 3 2 2" xfId="16446" xr:uid="{00000000-0005-0000-0000-000087960000}"/>
    <cellStyle name="Normal 3 5 3 2 2 3 2 2 2" xfId="30014" xr:uid="{00000000-0005-0000-0000-000088960000}"/>
    <cellStyle name="Normal 3 5 3 2 2 3 2 2 2 2" xfId="57147" xr:uid="{00000000-0005-0000-0000-000089960000}"/>
    <cellStyle name="Normal 3 5 3 2 2 3 2 2 3" xfId="43585" xr:uid="{00000000-0005-0000-0000-00008A960000}"/>
    <cellStyle name="Normal 3 5 3 2 2 3 2 3" xfId="23233" xr:uid="{00000000-0005-0000-0000-00008B960000}"/>
    <cellStyle name="Normal 3 5 3 2 2 3 2 3 2" xfId="50366" xr:uid="{00000000-0005-0000-0000-00008C960000}"/>
    <cellStyle name="Normal 3 5 3 2 2 3 2 4" xfId="36804" xr:uid="{00000000-0005-0000-0000-00008D960000}"/>
    <cellStyle name="Normal 3 5 3 2 2 3 3" xfId="13057" xr:uid="{00000000-0005-0000-0000-00008E960000}"/>
    <cellStyle name="Normal 3 5 3 2 2 3 3 2" xfId="26625" xr:uid="{00000000-0005-0000-0000-00008F960000}"/>
    <cellStyle name="Normal 3 5 3 2 2 3 3 2 2" xfId="53758" xr:uid="{00000000-0005-0000-0000-000090960000}"/>
    <cellStyle name="Normal 3 5 3 2 2 3 3 3" xfId="40196" xr:uid="{00000000-0005-0000-0000-000091960000}"/>
    <cellStyle name="Normal 3 5 3 2 2 3 4" xfId="19844" xr:uid="{00000000-0005-0000-0000-000092960000}"/>
    <cellStyle name="Normal 3 5 3 2 2 3 4 2" xfId="46977" xr:uid="{00000000-0005-0000-0000-000093960000}"/>
    <cellStyle name="Normal 3 5 3 2 2 3 5" xfId="33415" xr:uid="{00000000-0005-0000-0000-000094960000}"/>
    <cellStyle name="Normal 3 5 3 2 2 4" xfId="9655" xr:uid="{00000000-0005-0000-0000-000095960000}"/>
    <cellStyle name="Normal 3 5 3 2 2 4 2" xfId="16444" xr:uid="{00000000-0005-0000-0000-000096960000}"/>
    <cellStyle name="Normal 3 5 3 2 2 4 2 2" xfId="30012" xr:uid="{00000000-0005-0000-0000-000097960000}"/>
    <cellStyle name="Normal 3 5 3 2 2 4 2 2 2" xfId="57145" xr:uid="{00000000-0005-0000-0000-000098960000}"/>
    <cellStyle name="Normal 3 5 3 2 2 4 2 3" xfId="43583" xr:uid="{00000000-0005-0000-0000-000099960000}"/>
    <cellStyle name="Normal 3 5 3 2 2 4 3" xfId="23231" xr:uid="{00000000-0005-0000-0000-00009A960000}"/>
    <cellStyle name="Normal 3 5 3 2 2 4 3 2" xfId="50364" xr:uid="{00000000-0005-0000-0000-00009B960000}"/>
    <cellStyle name="Normal 3 5 3 2 2 4 4" xfId="36802" xr:uid="{00000000-0005-0000-0000-00009C960000}"/>
    <cellStyle name="Normal 3 5 3 2 2 5" xfId="13055" xr:uid="{00000000-0005-0000-0000-00009D960000}"/>
    <cellStyle name="Normal 3 5 3 2 2 5 2" xfId="26623" xr:uid="{00000000-0005-0000-0000-00009E960000}"/>
    <cellStyle name="Normal 3 5 3 2 2 5 2 2" xfId="53756" xr:uid="{00000000-0005-0000-0000-00009F960000}"/>
    <cellStyle name="Normal 3 5 3 2 2 5 3" xfId="40194" xr:uid="{00000000-0005-0000-0000-0000A0960000}"/>
    <cellStyle name="Normal 3 5 3 2 2 6" xfId="19842" xr:uid="{00000000-0005-0000-0000-0000A1960000}"/>
    <cellStyle name="Normal 3 5 3 2 2 6 2" xfId="46975" xr:uid="{00000000-0005-0000-0000-0000A2960000}"/>
    <cellStyle name="Normal 3 5 3 2 2 7" xfId="33413" xr:uid="{00000000-0005-0000-0000-0000A3960000}"/>
    <cellStyle name="Normal 3 5 3 2 3" xfId="6115" xr:uid="{00000000-0005-0000-0000-0000A4960000}"/>
    <cellStyle name="Normal 3 5 3 2 3 2" xfId="6116" xr:uid="{00000000-0005-0000-0000-0000A5960000}"/>
    <cellStyle name="Normal 3 5 3 2 3 2 2" xfId="9659" xr:uid="{00000000-0005-0000-0000-0000A6960000}"/>
    <cellStyle name="Normal 3 5 3 2 3 2 2 2" xfId="16448" xr:uid="{00000000-0005-0000-0000-0000A7960000}"/>
    <cellStyle name="Normal 3 5 3 2 3 2 2 2 2" xfId="30016" xr:uid="{00000000-0005-0000-0000-0000A8960000}"/>
    <cellStyle name="Normal 3 5 3 2 3 2 2 2 2 2" xfId="57149" xr:uid="{00000000-0005-0000-0000-0000A9960000}"/>
    <cellStyle name="Normal 3 5 3 2 3 2 2 2 3" xfId="43587" xr:uid="{00000000-0005-0000-0000-0000AA960000}"/>
    <cellStyle name="Normal 3 5 3 2 3 2 2 3" xfId="23235" xr:uid="{00000000-0005-0000-0000-0000AB960000}"/>
    <cellStyle name="Normal 3 5 3 2 3 2 2 3 2" xfId="50368" xr:uid="{00000000-0005-0000-0000-0000AC960000}"/>
    <cellStyle name="Normal 3 5 3 2 3 2 2 4" xfId="36806" xr:uid="{00000000-0005-0000-0000-0000AD960000}"/>
    <cellStyle name="Normal 3 5 3 2 3 2 3" xfId="13059" xr:uid="{00000000-0005-0000-0000-0000AE960000}"/>
    <cellStyle name="Normal 3 5 3 2 3 2 3 2" xfId="26627" xr:uid="{00000000-0005-0000-0000-0000AF960000}"/>
    <cellStyle name="Normal 3 5 3 2 3 2 3 2 2" xfId="53760" xr:uid="{00000000-0005-0000-0000-0000B0960000}"/>
    <cellStyle name="Normal 3 5 3 2 3 2 3 3" xfId="40198" xr:uid="{00000000-0005-0000-0000-0000B1960000}"/>
    <cellStyle name="Normal 3 5 3 2 3 2 4" xfId="19846" xr:uid="{00000000-0005-0000-0000-0000B2960000}"/>
    <cellStyle name="Normal 3 5 3 2 3 2 4 2" xfId="46979" xr:uid="{00000000-0005-0000-0000-0000B3960000}"/>
    <cellStyle name="Normal 3 5 3 2 3 2 5" xfId="33417" xr:uid="{00000000-0005-0000-0000-0000B4960000}"/>
    <cellStyle name="Normal 3 5 3 2 3 3" xfId="9658" xr:uid="{00000000-0005-0000-0000-0000B5960000}"/>
    <cellStyle name="Normal 3 5 3 2 3 3 2" xfId="16447" xr:uid="{00000000-0005-0000-0000-0000B6960000}"/>
    <cellStyle name="Normal 3 5 3 2 3 3 2 2" xfId="30015" xr:uid="{00000000-0005-0000-0000-0000B7960000}"/>
    <cellStyle name="Normal 3 5 3 2 3 3 2 2 2" xfId="57148" xr:uid="{00000000-0005-0000-0000-0000B8960000}"/>
    <cellStyle name="Normal 3 5 3 2 3 3 2 3" xfId="43586" xr:uid="{00000000-0005-0000-0000-0000B9960000}"/>
    <cellStyle name="Normal 3 5 3 2 3 3 3" xfId="23234" xr:uid="{00000000-0005-0000-0000-0000BA960000}"/>
    <cellStyle name="Normal 3 5 3 2 3 3 3 2" xfId="50367" xr:uid="{00000000-0005-0000-0000-0000BB960000}"/>
    <cellStyle name="Normal 3 5 3 2 3 3 4" xfId="36805" xr:uid="{00000000-0005-0000-0000-0000BC960000}"/>
    <cellStyle name="Normal 3 5 3 2 3 4" xfId="13058" xr:uid="{00000000-0005-0000-0000-0000BD960000}"/>
    <cellStyle name="Normal 3 5 3 2 3 4 2" xfId="26626" xr:uid="{00000000-0005-0000-0000-0000BE960000}"/>
    <cellStyle name="Normal 3 5 3 2 3 4 2 2" xfId="53759" xr:uid="{00000000-0005-0000-0000-0000BF960000}"/>
    <cellStyle name="Normal 3 5 3 2 3 4 3" xfId="40197" xr:uid="{00000000-0005-0000-0000-0000C0960000}"/>
    <cellStyle name="Normal 3 5 3 2 3 5" xfId="19845" xr:uid="{00000000-0005-0000-0000-0000C1960000}"/>
    <cellStyle name="Normal 3 5 3 2 3 5 2" xfId="46978" xr:uid="{00000000-0005-0000-0000-0000C2960000}"/>
    <cellStyle name="Normal 3 5 3 2 3 6" xfId="33416" xr:uid="{00000000-0005-0000-0000-0000C3960000}"/>
    <cellStyle name="Normal 3 5 3 2 4" xfId="6117" xr:uid="{00000000-0005-0000-0000-0000C4960000}"/>
    <cellStyle name="Normal 3 5 3 2 4 2" xfId="9660" xr:uid="{00000000-0005-0000-0000-0000C5960000}"/>
    <cellStyle name="Normal 3 5 3 2 4 2 2" xfId="16449" xr:uid="{00000000-0005-0000-0000-0000C6960000}"/>
    <cellStyle name="Normal 3 5 3 2 4 2 2 2" xfId="30017" xr:uid="{00000000-0005-0000-0000-0000C7960000}"/>
    <cellStyle name="Normal 3 5 3 2 4 2 2 2 2" xfId="57150" xr:uid="{00000000-0005-0000-0000-0000C8960000}"/>
    <cellStyle name="Normal 3 5 3 2 4 2 2 3" xfId="43588" xr:uid="{00000000-0005-0000-0000-0000C9960000}"/>
    <cellStyle name="Normal 3 5 3 2 4 2 3" xfId="23236" xr:uid="{00000000-0005-0000-0000-0000CA960000}"/>
    <cellStyle name="Normal 3 5 3 2 4 2 3 2" xfId="50369" xr:uid="{00000000-0005-0000-0000-0000CB960000}"/>
    <cellStyle name="Normal 3 5 3 2 4 2 4" xfId="36807" xr:uid="{00000000-0005-0000-0000-0000CC960000}"/>
    <cellStyle name="Normal 3 5 3 2 4 3" xfId="13060" xr:uid="{00000000-0005-0000-0000-0000CD960000}"/>
    <cellStyle name="Normal 3 5 3 2 4 3 2" xfId="26628" xr:uid="{00000000-0005-0000-0000-0000CE960000}"/>
    <cellStyle name="Normal 3 5 3 2 4 3 2 2" xfId="53761" xr:uid="{00000000-0005-0000-0000-0000CF960000}"/>
    <cellStyle name="Normal 3 5 3 2 4 3 3" xfId="40199" xr:uid="{00000000-0005-0000-0000-0000D0960000}"/>
    <cellStyle name="Normal 3 5 3 2 4 4" xfId="19847" xr:uid="{00000000-0005-0000-0000-0000D1960000}"/>
    <cellStyle name="Normal 3 5 3 2 4 4 2" xfId="46980" xr:uid="{00000000-0005-0000-0000-0000D2960000}"/>
    <cellStyle name="Normal 3 5 3 2 4 5" xfId="33418" xr:uid="{00000000-0005-0000-0000-0000D3960000}"/>
    <cellStyle name="Normal 3 5 3 2 5" xfId="6118" xr:uid="{00000000-0005-0000-0000-0000D4960000}"/>
    <cellStyle name="Normal 3 5 3 2 5 2" xfId="9661" xr:uid="{00000000-0005-0000-0000-0000D5960000}"/>
    <cellStyle name="Normal 3 5 3 2 5 2 2" xfId="16450" xr:uid="{00000000-0005-0000-0000-0000D6960000}"/>
    <cellStyle name="Normal 3 5 3 2 5 2 2 2" xfId="30018" xr:uid="{00000000-0005-0000-0000-0000D7960000}"/>
    <cellStyle name="Normal 3 5 3 2 5 2 2 2 2" xfId="57151" xr:uid="{00000000-0005-0000-0000-0000D8960000}"/>
    <cellStyle name="Normal 3 5 3 2 5 2 2 3" xfId="43589" xr:uid="{00000000-0005-0000-0000-0000D9960000}"/>
    <cellStyle name="Normal 3 5 3 2 5 2 3" xfId="23237" xr:uid="{00000000-0005-0000-0000-0000DA960000}"/>
    <cellStyle name="Normal 3 5 3 2 5 2 3 2" xfId="50370" xr:uid="{00000000-0005-0000-0000-0000DB960000}"/>
    <cellStyle name="Normal 3 5 3 2 5 2 4" xfId="36808" xr:uid="{00000000-0005-0000-0000-0000DC960000}"/>
    <cellStyle name="Normal 3 5 3 2 5 3" xfId="13061" xr:uid="{00000000-0005-0000-0000-0000DD960000}"/>
    <cellStyle name="Normal 3 5 3 2 5 3 2" xfId="26629" xr:uid="{00000000-0005-0000-0000-0000DE960000}"/>
    <cellStyle name="Normal 3 5 3 2 5 3 2 2" xfId="53762" xr:uid="{00000000-0005-0000-0000-0000DF960000}"/>
    <cellStyle name="Normal 3 5 3 2 5 3 3" xfId="40200" xr:uid="{00000000-0005-0000-0000-0000E0960000}"/>
    <cellStyle name="Normal 3 5 3 2 5 4" xfId="19848" xr:uid="{00000000-0005-0000-0000-0000E1960000}"/>
    <cellStyle name="Normal 3 5 3 2 5 4 2" xfId="46981" xr:uid="{00000000-0005-0000-0000-0000E2960000}"/>
    <cellStyle name="Normal 3 5 3 2 5 5" xfId="33419" xr:uid="{00000000-0005-0000-0000-0000E3960000}"/>
    <cellStyle name="Normal 3 5 3 2 6" xfId="7531" xr:uid="{00000000-0005-0000-0000-0000E4960000}"/>
    <cellStyle name="Normal 3 5 3 2 6 2" xfId="14320" xr:uid="{00000000-0005-0000-0000-0000E5960000}"/>
    <cellStyle name="Normal 3 5 3 2 6 2 2" xfId="27888" xr:uid="{00000000-0005-0000-0000-0000E6960000}"/>
    <cellStyle name="Normal 3 5 3 2 6 2 2 2" xfId="55021" xr:uid="{00000000-0005-0000-0000-0000E7960000}"/>
    <cellStyle name="Normal 3 5 3 2 6 2 3" xfId="41459" xr:uid="{00000000-0005-0000-0000-0000E8960000}"/>
    <cellStyle name="Normal 3 5 3 2 6 3" xfId="21107" xr:uid="{00000000-0005-0000-0000-0000E9960000}"/>
    <cellStyle name="Normal 3 5 3 2 6 3 2" xfId="48240" xr:uid="{00000000-0005-0000-0000-0000EA960000}"/>
    <cellStyle name="Normal 3 5 3 2 6 4" xfId="34678" xr:uid="{00000000-0005-0000-0000-0000EB960000}"/>
    <cellStyle name="Normal 3 5 3 2 7" xfId="10931" xr:uid="{00000000-0005-0000-0000-0000EC960000}"/>
    <cellStyle name="Normal 3 5 3 2 7 2" xfId="24499" xr:uid="{00000000-0005-0000-0000-0000ED960000}"/>
    <cellStyle name="Normal 3 5 3 2 7 2 2" xfId="51632" xr:uid="{00000000-0005-0000-0000-0000EE960000}"/>
    <cellStyle name="Normal 3 5 3 2 7 3" xfId="38070" xr:uid="{00000000-0005-0000-0000-0000EF960000}"/>
    <cellStyle name="Normal 3 5 3 2 8" xfId="17718" xr:uid="{00000000-0005-0000-0000-0000F0960000}"/>
    <cellStyle name="Normal 3 5 3 2 8 2" xfId="44851" xr:uid="{00000000-0005-0000-0000-0000F1960000}"/>
    <cellStyle name="Normal 3 5 3 2 9" xfId="31289" xr:uid="{00000000-0005-0000-0000-0000F2960000}"/>
    <cellStyle name="Normal 3 5 3 3" xfId="6119" xr:uid="{00000000-0005-0000-0000-0000F3960000}"/>
    <cellStyle name="Normal 3 5 3 3 2" xfId="6120" xr:uid="{00000000-0005-0000-0000-0000F4960000}"/>
    <cellStyle name="Normal 3 5 3 3 2 2" xfId="9663" xr:uid="{00000000-0005-0000-0000-0000F5960000}"/>
    <cellStyle name="Normal 3 5 3 3 2 2 2" xfId="16452" xr:uid="{00000000-0005-0000-0000-0000F6960000}"/>
    <cellStyle name="Normal 3 5 3 3 2 2 2 2" xfId="30020" xr:uid="{00000000-0005-0000-0000-0000F7960000}"/>
    <cellStyle name="Normal 3 5 3 3 2 2 2 2 2" xfId="57153" xr:uid="{00000000-0005-0000-0000-0000F8960000}"/>
    <cellStyle name="Normal 3 5 3 3 2 2 2 3" xfId="43591" xr:uid="{00000000-0005-0000-0000-0000F9960000}"/>
    <cellStyle name="Normal 3 5 3 3 2 2 3" xfId="23239" xr:uid="{00000000-0005-0000-0000-0000FA960000}"/>
    <cellStyle name="Normal 3 5 3 3 2 2 3 2" xfId="50372" xr:uid="{00000000-0005-0000-0000-0000FB960000}"/>
    <cellStyle name="Normal 3 5 3 3 2 2 4" xfId="36810" xr:uid="{00000000-0005-0000-0000-0000FC960000}"/>
    <cellStyle name="Normal 3 5 3 3 2 3" xfId="13063" xr:uid="{00000000-0005-0000-0000-0000FD960000}"/>
    <cellStyle name="Normal 3 5 3 3 2 3 2" xfId="26631" xr:uid="{00000000-0005-0000-0000-0000FE960000}"/>
    <cellStyle name="Normal 3 5 3 3 2 3 2 2" xfId="53764" xr:uid="{00000000-0005-0000-0000-0000FF960000}"/>
    <cellStyle name="Normal 3 5 3 3 2 3 3" xfId="40202" xr:uid="{00000000-0005-0000-0000-000000970000}"/>
    <cellStyle name="Normal 3 5 3 3 2 4" xfId="19850" xr:uid="{00000000-0005-0000-0000-000001970000}"/>
    <cellStyle name="Normal 3 5 3 3 2 4 2" xfId="46983" xr:uid="{00000000-0005-0000-0000-000002970000}"/>
    <cellStyle name="Normal 3 5 3 3 2 5" xfId="33421" xr:uid="{00000000-0005-0000-0000-000003970000}"/>
    <cellStyle name="Normal 3 5 3 3 3" xfId="6121" xr:uid="{00000000-0005-0000-0000-000004970000}"/>
    <cellStyle name="Normal 3 5 3 3 3 2" xfId="9664" xr:uid="{00000000-0005-0000-0000-000005970000}"/>
    <cellStyle name="Normal 3 5 3 3 3 2 2" xfId="16453" xr:uid="{00000000-0005-0000-0000-000006970000}"/>
    <cellStyle name="Normal 3 5 3 3 3 2 2 2" xfId="30021" xr:uid="{00000000-0005-0000-0000-000007970000}"/>
    <cellStyle name="Normal 3 5 3 3 3 2 2 2 2" xfId="57154" xr:uid="{00000000-0005-0000-0000-000008970000}"/>
    <cellStyle name="Normal 3 5 3 3 3 2 2 3" xfId="43592" xr:uid="{00000000-0005-0000-0000-000009970000}"/>
    <cellStyle name="Normal 3 5 3 3 3 2 3" xfId="23240" xr:uid="{00000000-0005-0000-0000-00000A970000}"/>
    <cellStyle name="Normal 3 5 3 3 3 2 3 2" xfId="50373" xr:uid="{00000000-0005-0000-0000-00000B970000}"/>
    <cellStyle name="Normal 3 5 3 3 3 2 4" xfId="36811" xr:uid="{00000000-0005-0000-0000-00000C970000}"/>
    <cellStyle name="Normal 3 5 3 3 3 3" xfId="13064" xr:uid="{00000000-0005-0000-0000-00000D970000}"/>
    <cellStyle name="Normal 3 5 3 3 3 3 2" xfId="26632" xr:uid="{00000000-0005-0000-0000-00000E970000}"/>
    <cellStyle name="Normal 3 5 3 3 3 3 2 2" xfId="53765" xr:uid="{00000000-0005-0000-0000-00000F970000}"/>
    <cellStyle name="Normal 3 5 3 3 3 3 3" xfId="40203" xr:uid="{00000000-0005-0000-0000-000010970000}"/>
    <cellStyle name="Normal 3 5 3 3 3 4" xfId="19851" xr:uid="{00000000-0005-0000-0000-000011970000}"/>
    <cellStyle name="Normal 3 5 3 3 3 4 2" xfId="46984" xr:uid="{00000000-0005-0000-0000-000012970000}"/>
    <cellStyle name="Normal 3 5 3 3 3 5" xfId="33422" xr:uid="{00000000-0005-0000-0000-000013970000}"/>
    <cellStyle name="Normal 3 5 3 3 4" xfId="9662" xr:uid="{00000000-0005-0000-0000-000014970000}"/>
    <cellStyle name="Normal 3 5 3 3 4 2" xfId="16451" xr:uid="{00000000-0005-0000-0000-000015970000}"/>
    <cellStyle name="Normal 3 5 3 3 4 2 2" xfId="30019" xr:uid="{00000000-0005-0000-0000-000016970000}"/>
    <cellStyle name="Normal 3 5 3 3 4 2 2 2" xfId="57152" xr:uid="{00000000-0005-0000-0000-000017970000}"/>
    <cellStyle name="Normal 3 5 3 3 4 2 3" xfId="43590" xr:uid="{00000000-0005-0000-0000-000018970000}"/>
    <cellStyle name="Normal 3 5 3 3 4 3" xfId="23238" xr:uid="{00000000-0005-0000-0000-000019970000}"/>
    <cellStyle name="Normal 3 5 3 3 4 3 2" xfId="50371" xr:uid="{00000000-0005-0000-0000-00001A970000}"/>
    <cellStyle name="Normal 3 5 3 3 4 4" xfId="36809" xr:uid="{00000000-0005-0000-0000-00001B970000}"/>
    <cellStyle name="Normal 3 5 3 3 5" xfId="13062" xr:uid="{00000000-0005-0000-0000-00001C970000}"/>
    <cellStyle name="Normal 3 5 3 3 5 2" xfId="26630" xr:uid="{00000000-0005-0000-0000-00001D970000}"/>
    <cellStyle name="Normal 3 5 3 3 5 2 2" xfId="53763" xr:uid="{00000000-0005-0000-0000-00001E970000}"/>
    <cellStyle name="Normal 3 5 3 3 5 3" xfId="40201" xr:uid="{00000000-0005-0000-0000-00001F970000}"/>
    <cellStyle name="Normal 3 5 3 3 6" xfId="19849" xr:uid="{00000000-0005-0000-0000-000020970000}"/>
    <cellStyle name="Normal 3 5 3 3 6 2" xfId="46982" xr:uid="{00000000-0005-0000-0000-000021970000}"/>
    <cellStyle name="Normal 3 5 3 3 7" xfId="33420" xr:uid="{00000000-0005-0000-0000-000022970000}"/>
    <cellStyle name="Normal 3 5 3 4" xfId="6122" xr:uid="{00000000-0005-0000-0000-000023970000}"/>
    <cellStyle name="Normal 3 5 3 4 2" xfId="6123" xr:uid="{00000000-0005-0000-0000-000024970000}"/>
    <cellStyle name="Normal 3 5 3 4 2 2" xfId="9666" xr:uid="{00000000-0005-0000-0000-000025970000}"/>
    <cellStyle name="Normal 3 5 3 4 2 2 2" xfId="16455" xr:uid="{00000000-0005-0000-0000-000026970000}"/>
    <cellStyle name="Normal 3 5 3 4 2 2 2 2" xfId="30023" xr:uid="{00000000-0005-0000-0000-000027970000}"/>
    <cellStyle name="Normal 3 5 3 4 2 2 2 2 2" xfId="57156" xr:uid="{00000000-0005-0000-0000-000028970000}"/>
    <cellStyle name="Normal 3 5 3 4 2 2 2 3" xfId="43594" xr:uid="{00000000-0005-0000-0000-000029970000}"/>
    <cellStyle name="Normal 3 5 3 4 2 2 3" xfId="23242" xr:uid="{00000000-0005-0000-0000-00002A970000}"/>
    <cellStyle name="Normal 3 5 3 4 2 2 3 2" xfId="50375" xr:uid="{00000000-0005-0000-0000-00002B970000}"/>
    <cellStyle name="Normal 3 5 3 4 2 2 4" xfId="36813" xr:uid="{00000000-0005-0000-0000-00002C970000}"/>
    <cellStyle name="Normal 3 5 3 4 2 3" xfId="13066" xr:uid="{00000000-0005-0000-0000-00002D970000}"/>
    <cellStyle name="Normal 3 5 3 4 2 3 2" xfId="26634" xr:uid="{00000000-0005-0000-0000-00002E970000}"/>
    <cellStyle name="Normal 3 5 3 4 2 3 2 2" xfId="53767" xr:uid="{00000000-0005-0000-0000-00002F970000}"/>
    <cellStyle name="Normal 3 5 3 4 2 3 3" xfId="40205" xr:uid="{00000000-0005-0000-0000-000030970000}"/>
    <cellStyle name="Normal 3 5 3 4 2 4" xfId="19853" xr:uid="{00000000-0005-0000-0000-000031970000}"/>
    <cellStyle name="Normal 3 5 3 4 2 4 2" xfId="46986" xr:uid="{00000000-0005-0000-0000-000032970000}"/>
    <cellStyle name="Normal 3 5 3 4 2 5" xfId="33424" xr:uid="{00000000-0005-0000-0000-000033970000}"/>
    <cellStyle name="Normal 3 5 3 4 3" xfId="9665" xr:uid="{00000000-0005-0000-0000-000034970000}"/>
    <cellStyle name="Normal 3 5 3 4 3 2" xfId="16454" xr:uid="{00000000-0005-0000-0000-000035970000}"/>
    <cellStyle name="Normal 3 5 3 4 3 2 2" xfId="30022" xr:uid="{00000000-0005-0000-0000-000036970000}"/>
    <cellStyle name="Normal 3 5 3 4 3 2 2 2" xfId="57155" xr:uid="{00000000-0005-0000-0000-000037970000}"/>
    <cellStyle name="Normal 3 5 3 4 3 2 3" xfId="43593" xr:uid="{00000000-0005-0000-0000-000038970000}"/>
    <cellStyle name="Normal 3 5 3 4 3 3" xfId="23241" xr:uid="{00000000-0005-0000-0000-000039970000}"/>
    <cellStyle name="Normal 3 5 3 4 3 3 2" xfId="50374" xr:uid="{00000000-0005-0000-0000-00003A970000}"/>
    <cellStyle name="Normal 3 5 3 4 3 4" xfId="36812" xr:uid="{00000000-0005-0000-0000-00003B970000}"/>
    <cellStyle name="Normal 3 5 3 4 4" xfId="13065" xr:uid="{00000000-0005-0000-0000-00003C970000}"/>
    <cellStyle name="Normal 3 5 3 4 4 2" xfId="26633" xr:uid="{00000000-0005-0000-0000-00003D970000}"/>
    <cellStyle name="Normal 3 5 3 4 4 2 2" xfId="53766" xr:uid="{00000000-0005-0000-0000-00003E970000}"/>
    <cellStyle name="Normal 3 5 3 4 4 3" xfId="40204" xr:uid="{00000000-0005-0000-0000-00003F970000}"/>
    <cellStyle name="Normal 3 5 3 4 5" xfId="19852" xr:uid="{00000000-0005-0000-0000-000040970000}"/>
    <cellStyle name="Normal 3 5 3 4 5 2" xfId="46985" xr:uid="{00000000-0005-0000-0000-000041970000}"/>
    <cellStyle name="Normal 3 5 3 4 6" xfId="33423" xr:uid="{00000000-0005-0000-0000-000042970000}"/>
    <cellStyle name="Normal 3 5 3 5" xfId="6124" xr:uid="{00000000-0005-0000-0000-000043970000}"/>
    <cellStyle name="Normal 3 5 3 5 2" xfId="9667" xr:uid="{00000000-0005-0000-0000-000044970000}"/>
    <cellStyle name="Normal 3 5 3 5 2 2" xfId="16456" xr:uid="{00000000-0005-0000-0000-000045970000}"/>
    <cellStyle name="Normal 3 5 3 5 2 2 2" xfId="30024" xr:uid="{00000000-0005-0000-0000-000046970000}"/>
    <cellStyle name="Normal 3 5 3 5 2 2 2 2" xfId="57157" xr:uid="{00000000-0005-0000-0000-000047970000}"/>
    <cellStyle name="Normal 3 5 3 5 2 2 3" xfId="43595" xr:uid="{00000000-0005-0000-0000-000048970000}"/>
    <cellStyle name="Normal 3 5 3 5 2 3" xfId="23243" xr:uid="{00000000-0005-0000-0000-000049970000}"/>
    <cellStyle name="Normal 3 5 3 5 2 3 2" xfId="50376" xr:uid="{00000000-0005-0000-0000-00004A970000}"/>
    <cellStyle name="Normal 3 5 3 5 2 4" xfId="36814" xr:uid="{00000000-0005-0000-0000-00004B970000}"/>
    <cellStyle name="Normal 3 5 3 5 3" xfId="13067" xr:uid="{00000000-0005-0000-0000-00004C970000}"/>
    <cellStyle name="Normal 3 5 3 5 3 2" xfId="26635" xr:uid="{00000000-0005-0000-0000-00004D970000}"/>
    <cellStyle name="Normal 3 5 3 5 3 2 2" xfId="53768" xr:uid="{00000000-0005-0000-0000-00004E970000}"/>
    <cellStyle name="Normal 3 5 3 5 3 3" xfId="40206" xr:uid="{00000000-0005-0000-0000-00004F970000}"/>
    <cellStyle name="Normal 3 5 3 5 4" xfId="19854" xr:uid="{00000000-0005-0000-0000-000050970000}"/>
    <cellStyle name="Normal 3 5 3 5 4 2" xfId="46987" xr:uid="{00000000-0005-0000-0000-000051970000}"/>
    <cellStyle name="Normal 3 5 3 5 5" xfId="33425" xr:uid="{00000000-0005-0000-0000-000052970000}"/>
    <cellStyle name="Normal 3 5 3 6" xfId="6125" xr:uid="{00000000-0005-0000-0000-000053970000}"/>
    <cellStyle name="Normal 3 5 3 6 2" xfId="9668" xr:uid="{00000000-0005-0000-0000-000054970000}"/>
    <cellStyle name="Normal 3 5 3 6 2 2" xfId="16457" xr:uid="{00000000-0005-0000-0000-000055970000}"/>
    <cellStyle name="Normal 3 5 3 6 2 2 2" xfId="30025" xr:uid="{00000000-0005-0000-0000-000056970000}"/>
    <cellStyle name="Normal 3 5 3 6 2 2 2 2" xfId="57158" xr:uid="{00000000-0005-0000-0000-000057970000}"/>
    <cellStyle name="Normal 3 5 3 6 2 2 3" xfId="43596" xr:uid="{00000000-0005-0000-0000-000058970000}"/>
    <cellStyle name="Normal 3 5 3 6 2 3" xfId="23244" xr:uid="{00000000-0005-0000-0000-000059970000}"/>
    <cellStyle name="Normal 3 5 3 6 2 3 2" xfId="50377" xr:uid="{00000000-0005-0000-0000-00005A970000}"/>
    <cellStyle name="Normal 3 5 3 6 2 4" xfId="36815" xr:uid="{00000000-0005-0000-0000-00005B970000}"/>
    <cellStyle name="Normal 3 5 3 6 3" xfId="13068" xr:uid="{00000000-0005-0000-0000-00005C970000}"/>
    <cellStyle name="Normal 3 5 3 6 3 2" xfId="26636" xr:uid="{00000000-0005-0000-0000-00005D970000}"/>
    <cellStyle name="Normal 3 5 3 6 3 2 2" xfId="53769" xr:uid="{00000000-0005-0000-0000-00005E970000}"/>
    <cellStyle name="Normal 3 5 3 6 3 3" xfId="40207" xr:uid="{00000000-0005-0000-0000-00005F970000}"/>
    <cellStyle name="Normal 3 5 3 6 4" xfId="19855" xr:uid="{00000000-0005-0000-0000-000060970000}"/>
    <cellStyle name="Normal 3 5 3 6 4 2" xfId="46988" xr:uid="{00000000-0005-0000-0000-000061970000}"/>
    <cellStyle name="Normal 3 5 3 6 5" xfId="33426" xr:uid="{00000000-0005-0000-0000-000062970000}"/>
    <cellStyle name="Normal 3 5 3 7" xfId="7530" xr:uid="{00000000-0005-0000-0000-000063970000}"/>
    <cellStyle name="Normal 3 5 3 7 2" xfId="14319" xr:uid="{00000000-0005-0000-0000-000064970000}"/>
    <cellStyle name="Normal 3 5 3 7 2 2" xfId="27887" xr:uid="{00000000-0005-0000-0000-000065970000}"/>
    <cellStyle name="Normal 3 5 3 7 2 2 2" xfId="55020" xr:uid="{00000000-0005-0000-0000-000066970000}"/>
    <cellStyle name="Normal 3 5 3 7 2 3" xfId="41458" xr:uid="{00000000-0005-0000-0000-000067970000}"/>
    <cellStyle name="Normal 3 5 3 7 3" xfId="21106" xr:uid="{00000000-0005-0000-0000-000068970000}"/>
    <cellStyle name="Normal 3 5 3 7 3 2" xfId="48239" xr:uid="{00000000-0005-0000-0000-000069970000}"/>
    <cellStyle name="Normal 3 5 3 7 4" xfId="34677" xr:uid="{00000000-0005-0000-0000-00006A970000}"/>
    <cellStyle name="Normal 3 5 3 8" xfId="10930" xr:uid="{00000000-0005-0000-0000-00006B970000}"/>
    <cellStyle name="Normal 3 5 3 8 2" xfId="24498" xr:uid="{00000000-0005-0000-0000-00006C970000}"/>
    <cellStyle name="Normal 3 5 3 8 2 2" xfId="51631" xr:uid="{00000000-0005-0000-0000-00006D970000}"/>
    <cellStyle name="Normal 3 5 3 8 3" xfId="38069" xr:uid="{00000000-0005-0000-0000-00006E970000}"/>
    <cellStyle name="Normal 3 5 3 9" xfId="17717" xr:uid="{00000000-0005-0000-0000-00006F970000}"/>
    <cellStyle name="Normal 3 5 3 9 2" xfId="44850" xr:uid="{00000000-0005-0000-0000-000070970000}"/>
    <cellStyle name="Normal 3 5 4" xfId="2719" xr:uid="{00000000-0005-0000-0000-000071970000}"/>
    <cellStyle name="Normal 3 5 4 2" xfId="2720" xr:uid="{00000000-0005-0000-0000-000072970000}"/>
    <cellStyle name="Normal 3 5 4 2 2" xfId="6126" xr:uid="{00000000-0005-0000-0000-000073970000}"/>
    <cellStyle name="Normal 3 5 4 2 2 2" xfId="9669" xr:uid="{00000000-0005-0000-0000-000074970000}"/>
    <cellStyle name="Normal 3 5 4 2 2 2 2" xfId="16458" xr:uid="{00000000-0005-0000-0000-000075970000}"/>
    <cellStyle name="Normal 3 5 4 2 2 2 2 2" xfId="30026" xr:uid="{00000000-0005-0000-0000-000076970000}"/>
    <cellStyle name="Normal 3 5 4 2 2 2 2 2 2" xfId="57159" xr:uid="{00000000-0005-0000-0000-000077970000}"/>
    <cellStyle name="Normal 3 5 4 2 2 2 2 3" xfId="43597" xr:uid="{00000000-0005-0000-0000-000078970000}"/>
    <cellStyle name="Normal 3 5 4 2 2 2 3" xfId="23245" xr:uid="{00000000-0005-0000-0000-000079970000}"/>
    <cellStyle name="Normal 3 5 4 2 2 2 3 2" xfId="50378" xr:uid="{00000000-0005-0000-0000-00007A970000}"/>
    <cellStyle name="Normal 3 5 4 2 2 2 4" xfId="36816" xr:uid="{00000000-0005-0000-0000-00007B970000}"/>
    <cellStyle name="Normal 3 5 4 2 2 3" xfId="13069" xr:uid="{00000000-0005-0000-0000-00007C970000}"/>
    <cellStyle name="Normal 3 5 4 2 2 3 2" xfId="26637" xr:uid="{00000000-0005-0000-0000-00007D970000}"/>
    <cellStyle name="Normal 3 5 4 2 2 3 2 2" xfId="53770" xr:uid="{00000000-0005-0000-0000-00007E970000}"/>
    <cellStyle name="Normal 3 5 4 2 2 3 3" xfId="40208" xr:uid="{00000000-0005-0000-0000-00007F970000}"/>
    <cellStyle name="Normal 3 5 4 2 2 4" xfId="19856" xr:uid="{00000000-0005-0000-0000-000080970000}"/>
    <cellStyle name="Normal 3 5 4 2 2 4 2" xfId="46989" xr:uid="{00000000-0005-0000-0000-000081970000}"/>
    <cellStyle name="Normal 3 5 4 2 2 5" xfId="33427" xr:uid="{00000000-0005-0000-0000-000082970000}"/>
    <cellStyle name="Normal 3 5 4 2 3" xfId="6127" xr:uid="{00000000-0005-0000-0000-000083970000}"/>
    <cellStyle name="Normal 3 5 4 2 3 2" xfId="9670" xr:uid="{00000000-0005-0000-0000-000084970000}"/>
    <cellStyle name="Normal 3 5 4 2 3 2 2" xfId="16459" xr:uid="{00000000-0005-0000-0000-000085970000}"/>
    <cellStyle name="Normal 3 5 4 2 3 2 2 2" xfId="30027" xr:uid="{00000000-0005-0000-0000-000086970000}"/>
    <cellStyle name="Normal 3 5 4 2 3 2 2 2 2" xfId="57160" xr:uid="{00000000-0005-0000-0000-000087970000}"/>
    <cellStyle name="Normal 3 5 4 2 3 2 2 3" xfId="43598" xr:uid="{00000000-0005-0000-0000-000088970000}"/>
    <cellStyle name="Normal 3 5 4 2 3 2 3" xfId="23246" xr:uid="{00000000-0005-0000-0000-000089970000}"/>
    <cellStyle name="Normal 3 5 4 2 3 2 3 2" xfId="50379" xr:uid="{00000000-0005-0000-0000-00008A970000}"/>
    <cellStyle name="Normal 3 5 4 2 3 2 4" xfId="36817" xr:uid="{00000000-0005-0000-0000-00008B970000}"/>
    <cellStyle name="Normal 3 5 4 2 3 3" xfId="13070" xr:uid="{00000000-0005-0000-0000-00008C970000}"/>
    <cellStyle name="Normal 3 5 4 2 3 3 2" xfId="26638" xr:uid="{00000000-0005-0000-0000-00008D970000}"/>
    <cellStyle name="Normal 3 5 4 2 3 3 2 2" xfId="53771" xr:uid="{00000000-0005-0000-0000-00008E970000}"/>
    <cellStyle name="Normal 3 5 4 2 3 3 3" xfId="40209" xr:uid="{00000000-0005-0000-0000-00008F970000}"/>
    <cellStyle name="Normal 3 5 4 2 3 4" xfId="19857" xr:uid="{00000000-0005-0000-0000-000090970000}"/>
    <cellStyle name="Normal 3 5 4 2 3 4 2" xfId="46990" xr:uid="{00000000-0005-0000-0000-000091970000}"/>
    <cellStyle name="Normal 3 5 4 2 3 5" xfId="33428" xr:uid="{00000000-0005-0000-0000-000092970000}"/>
    <cellStyle name="Normal 3 5 4 2 4" xfId="7533" xr:uid="{00000000-0005-0000-0000-000093970000}"/>
    <cellStyle name="Normal 3 5 4 2 4 2" xfId="14322" xr:uid="{00000000-0005-0000-0000-000094970000}"/>
    <cellStyle name="Normal 3 5 4 2 4 2 2" xfId="27890" xr:uid="{00000000-0005-0000-0000-000095970000}"/>
    <cellStyle name="Normal 3 5 4 2 4 2 2 2" xfId="55023" xr:uid="{00000000-0005-0000-0000-000096970000}"/>
    <cellStyle name="Normal 3 5 4 2 4 2 3" xfId="41461" xr:uid="{00000000-0005-0000-0000-000097970000}"/>
    <cellStyle name="Normal 3 5 4 2 4 3" xfId="21109" xr:uid="{00000000-0005-0000-0000-000098970000}"/>
    <cellStyle name="Normal 3 5 4 2 4 3 2" xfId="48242" xr:uid="{00000000-0005-0000-0000-000099970000}"/>
    <cellStyle name="Normal 3 5 4 2 4 4" xfId="34680" xr:uid="{00000000-0005-0000-0000-00009A970000}"/>
    <cellStyle name="Normal 3 5 4 2 5" xfId="10933" xr:uid="{00000000-0005-0000-0000-00009B970000}"/>
    <cellStyle name="Normal 3 5 4 2 5 2" xfId="24501" xr:uid="{00000000-0005-0000-0000-00009C970000}"/>
    <cellStyle name="Normal 3 5 4 2 5 2 2" xfId="51634" xr:uid="{00000000-0005-0000-0000-00009D970000}"/>
    <cellStyle name="Normal 3 5 4 2 5 3" xfId="38072" xr:uid="{00000000-0005-0000-0000-00009E970000}"/>
    <cellStyle name="Normal 3 5 4 2 6" xfId="17720" xr:uid="{00000000-0005-0000-0000-00009F970000}"/>
    <cellStyle name="Normal 3 5 4 2 6 2" xfId="44853" xr:uid="{00000000-0005-0000-0000-0000A0970000}"/>
    <cellStyle name="Normal 3 5 4 2 7" xfId="31291" xr:uid="{00000000-0005-0000-0000-0000A1970000}"/>
    <cellStyle name="Normal 3 5 4 3" xfId="6128" xr:uid="{00000000-0005-0000-0000-0000A2970000}"/>
    <cellStyle name="Normal 3 5 4 3 2" xfId="6129" xr:uid="{00000000-0005-0000-0000-0000A3970000}"/>
    <cellStyle name="Normal 3 5 4 3 2 2" xfId="9672" xr:uid="{00000000-0005-0000-0000-0000A4970000}"/>
    <cellStyle name="Normal 3 5 4 3 2 2 2" xfId="16461" xr:uid="{00000000-0005-0000-0000-0000A5970000}"/>
    <cellStyle name="Normal 3 5 4 3 2 2 2 2" xfId="30029" xr:uid="{00000000-0005-0000-0000-0000A6970000}"/>
    <cellStyle name="Normal 3 5 4 3 2 2 2 2 2" xfId="57162" xr:uid="{00000000-0005-0000-0000-0000A7970000}"/>
    <cellStyle name="Normal 3 5 4 3 2 2 2 3" xfId="43600" xr:uid="{00000000-0005-0000-0000-0000A8970000}"/>
    <cellStyle name="Normal 3 5 4 3 2 2 3" xfId="23248" xr:uid="{00000000-0005-0000-0000-0000A9970000}"/>
    <cellStyle name="Normal 3 5 4 3 2 2 3 2" xfId="50381" xr:uid="{00000000-0005-0000-0000-0000AA970000}"/>
    <cellStyle name="Normal 3 5 4 3 2 2 4" xfId="36819" xr:uid="{00000000-0005-0000-0000-0000AB970000}"/>
    <cellStyle name="Normal 3 5 4 3 2 3" xfId="13072" xr:uid="{00000000-0005-0000-0000-0000AC970000}"/>
    <cellStyle name="Normal 3 5 4 3 2 3 2" xfId="26640" xr:uid="{00000000-0005-0000-0000-0000AD970000}"/>
    <cellStyle name="Normal 3 5 4 3 2 3 2 2" xfId="53773" xr:uid="{00000000-0005-0000-0000-0000AE970000}"/>
    <cellStyle name="Normal 3 5 4 3 2 3 3" xfId="40211" xr:uid="{00000000-0005-0000-0000-0000AF970000}"/>
    <cellStyle name="Normal 3 5 4 3 2 4" xfId="19859" xr:uid="{00000000-0005-0000-0000-0000B0970000}"/>
    <cellStyle name="Normal 3 5 4 3 2 4 2" xfId="46992" xr:uid="{00000000-0005-0000-0000-0000B1970000}"/>
    <cellStyle name="Normal 3 5 4 3 2 5" xfId="33430" xr:uid="{00000000-0005-0000-0000-0000B2970000}"/>
    <cellStyle name="Normal 3 5 4 3 3" xfId="9671" xr:uid="{00000000-0005-0000-0000-0000B3970000}"/>
    <cellStyle name="Normal 3 5 4 3 3 2" xfId="16460" xr:uid="{00000000-0005-0000-0000-0000B4970000}"/>
    <cellStyle name="Normal 3 5 4 3 3 2 2" xfId="30028" xr:uid="{00000000-0005-0000-0000-0000B5970000}"/>
    <cellStyle name="Normal 3 5 4 3 3 2 2 2" xfId="57161" xr:uid="{00000000-0005-0000-0000-0000B6970000}"/>
    <cellStyle name="Normal 3 5 4 3 3 2 3" xfId="43599" xr:uid="{00000000-0005-0000-0000-0000B7970000}"/>
    <cellStyle name="Normal 3 5 4 3 3 3" xfId="23247" xr:uid="{00000000-0005-0000-0000-0000B8970000}"/>
    <cellStyle name="Normal 3 5 4 3 3 3 2" xfId="50380" xr:uid="{00000000-0005-0000-0000-0000B9970000}"/>
    <cellStyle name="Normal 3 5 4 3 3 4" xfId="36818" xr:uid="{00000000-0005-0000-0000-0000BA970000}"/>
    <cellStyle name="Normal 3 5 4 3 4" xfId="13071" xr:uid="{00000000-0005-0000-0000-0000BB970000}"/>
    <cellStyle name="Normal 3 5 4 3 4 2" xfId="26639" xr:uid="{00000000-0005-0000-0000-0000BC970000}"/>
    <cellStyle name="Normal 3 5 4 3 4 2 2" xfId="53772" xr:uid="{00000000-0005-0000-0000-0000BD970000}"/>
    <cellStyle name="Normal 3 5 4 3 4 3" xfId="40210" xr:uid="{00000000-0005-0000-0000-0000BE970000}"/>
    <cellStyle name="Normal 3 5 4 3 5" xfId="19858" xr:uid="{00000000-0005-0000-0000-0000BF970000}"/>
    <cellStyle name="Normal 3 5 4 3 5 2" xfId="46991" xr:uid="{00000000-0005-0000-0000-0000C0970000}"/>
    <cellStyle name="Normal 3 5 4 3 6" xfId="33429" xr:uid="{00000000-0005-0000-0000-0000C1970000}"/>
    <cellStyle name="Normal 3 5 4 4" xfId="6130" xr:uid="{00000000-0005-0000-0000-0000C2970000}"/>
    <cellStyle name="Normal 3 5 4 4 2" xfId="9673" xr:uid="{00000000-0005-0000-0000-0000C3970000}"/>
    <cellStyle name="Normal 3 5 4 4 2 2" xfId="16462" xr:uid="{00000000-0005-0000-0000-0000C4970000}"/>
    <cellStyle name="Normal 3 5 4 4 2 2 2" xfId="30030" xr:uid="{00000000-0005-0000-0000-0000C5970000}"/>
    <cellStyle name="Normal 3 5 4 4 2 2 2 2" xfId="57163" xr:uid="{00000000-0005-0000-0000-0000C6970000}"/>
    <cellStyle name="Normal 3 5 4 4 2 2 3" xfId="43601" xr:uid="{00000000-0005-0000-0000-0000C7970000}"/>
    <cellStyle name="Normal 3 5 4 4 2 3" xfId="23249" xr:uid="{00000000-0005-0000-0000-0000C8970000}"/>
    <cellStyle name="Normal 3 5 4 4 2 3 2" xfId="50382" xr:uid="{00000000-0005-0000-0000-0000C9970000}"/>
    <cellStyle name="Normal 3 5 4 4 2 4" xfId="36820" xr:uid="{00000000-0005-0000-0000-0000CA970000}"/>
    <cellStyle name="Normal 3 5 4 4 3" xfId="13073" xr:uid="{00000000-0005-0000-0000-0000CB970000}"/>
    <cellStyle name="Normal 3 5 4 4 3 2" xfId="26641" xr:uid="{00000000-0005-0000-0000-0000CC970000}"/>
    <cellStyle name="Normal 3 5 4 4 3 2 2" xfId="53774" xr:uid="{00000000-0005-0000-0000-0000CD970000}"/>
    <cellStyle name="Normal 3 5 4 4 3 3" xfId="40212" xr:uid="{00000000-0005-0000-0000-0000CE970000}"/>
    <cellStyle name="Normal 3 5 4 4 4" xfId="19860" xr:uid="{00000000-0005-0000-0000-0000CF970000}"/>
    <cellStyle name="Normal 3 5 4 4 4 2" xfId="46993" xr:uid="{00000000-0005-0000-0000-0000D0970000}"/>
    <cellStyle name="Normal 3 5 4 4 5" xfId="33431" xr:uid="{00000000-0005-0000-0000-0000D1970000}"/>
    <cellStyle name="Normal 3 5 4 5" xfId="6131" xr:uid="{00000000-0005-0000-0000-0000D2970000}"/>
    <cellStyle name="Normal 3 5 4 5 2" xfId="9674" xr:uid="{00000000-0005-0000-0000-0000D3970000}"/>
    <cellStyle name="Normal 3 5 4 5 2 2" xfId="16463" xr:uid="{00000000-0005-0000-0000-0000D4970000}"/>
    <cellStyle name="Normal 3 5 4 5 2 2 2" xfId="30031" xr:uid="{00000000-0005-0000-0000-0000D5970000}"/>
    <cellStyle name="Normal 3 5 4 5 2 2 2 2" xfId="57164" xr:uid="{00000000-0005-0000-0000-0000D6970000}"/>
    <cellStyle name="Normal 3 5 4 5 2 2 3" xfId="43602" xr:uid="{00000000-0005-0000-0000-0000D7970000}"/>
    <cellStyle name="Normal 3 5 4 5 2 3" xfId="23250" xr:uid="{00000000-0005-0000-0000-0000D8970000}"/>
    <cellStyle name="Normal 3 5 4 5 2 3 2" xfId="50383" xr:uid="{00000000-0005-0000-0000-0000D9970000}"/>
    <cellStyle name="Normal 3 5 4 5 2 4" xfId="36821" xr:uid="{00000000-0005-0000-0000-0000DA970000}"/>
    <cellStyle name="Normal 3 5 4 5 3" xfId="13074" xr:uid="{00000000-0005-0000-0000-0000DB970000}"/>
    <cellStyle name="Normal 3 5 4 5 3 2" xfId="26642" xr:uid="{00000000-0005-0000-0000-0000DC970000}"/>
    <cellStyle name="Normal 3 5 4 5 3 2 2" xfId="53775" xr:uid="{00000000-0005-0000-0000-0000DD970000}"/>
    <cellStyle name="Normal 3 5 4 5 3 3" xfId="40213" xr:uid="{00000000-0005-0000-0000-0000DE970000}"/>
    <cellStyle name="Normal 3 5 4 5 4" xfId="19861" xr:uid="{00000000-0005-0000-0000-0000DF970000}"/>
    <cellStyle name="Normal 3 5 4 5 4 2" xfId="46994" xr:uid="{00000000-0005-0000-0000-0000E0970000}"/>
    <cellStyle name="Normal 3 5 4 5 5" xfId="33432" xr:uid="{00000000-0005-0000-0000-0000E1970000}"/>
    <cellStyle name="Normal 3 5 4 6" xfId="7532" xr:uid="{00000000-0005-0000-0000-0000E2970000}"/>
    <cellStyle name="Normal 3 5 4 6 2" xfId="14321" xr:uid="{00000000-0005-0000-0000-0000E3970000}"/>
    <cellStyle name="Normal 3 5 4 6 2 2" xfId="27889" xr:uid="{00000000-0005-0000-0000-0000E4970000}"/>
    <cellStyle name="Normal 3 5 4 6 2 2 2" xfId="55022" xr:uid="{00000000-0005-0000-0000-0000E5970000}"/>
    <cellStyle name="Normal 3 5 4 6 2 3" xfId="41460" xr:uid="{00000000-0005-0000-0000-0000E6970000}"/>
    <cellStyle name="Normal 3 5 4 6 3" xfId="21108" xr:uid="{00000000-0005-0000-0000-0000E7970000}"/>
    <cellStyle name="Normal 3 5 4 6 3 2" xfId="48241" xr:uid="{00000000-0005-0000-0000-0000E8970000}"/>
    <cellStyle name="Normal 3 5 4 6 4" xfId="34679" xr:uid="{00000000-0005-0000-0000-0000E9970000}"/>
    <cellStyle name="Normal 3 5 4 7" xfId="10932" xr:uid="{00000000-0005-0000-0000-0000EA970000}"/>
    <cellStyle name="Normal 3 5 4 7 2" xfId="24500" xr:uid="{00000000-0005-0000-0000-0000EB970000}"/>
    <cellStyle name="Normal 3 5 4 7 2 2" xfId="51633" xr:uid="{00000000-0005-0000-0000-0000EC970000}"/>
    <cellStyle name="Normal 3 5 4 7 3" xfId="38071" xr:uid="{00000000-0005-0000-0000-0000ED970000}"/>
    <cellStyle name="Normal 3 5 4 8" xfId="17719" xr:uid="{00000000-0005-0000-0000-0000EE970000}"/>
    <cellStyle name="Normal 3 5 4 8 2" xfId="44852" xr:uid="{00000000-0005-0000-0000-0000EF970000}"/>
    <cellStyle name="Normal 3 5 4 9" xfId="31290" xr:uid="{00000000-0005-0000-0000-0000F0970000}"/>
    <cellStyle name="Normal 3 5 5" xfId="2721" xr:uid="{00000000-0005-0000-0000-0000F1970000}"/>
    <cellStyle name="Normal 3 5 5 2" xfId="2722" xr:uid="{00000000-0005-0000-0000-0000F2970000}"/>
    <cellStyle name="Normal 3 5 5 2 2" xfId="6132" xr:uid="{00000000-0005-0000-0000-0000F3970000}"/>
    <cellStyle name="Normal 3 5 5 2 2 2" xfId="9675" xr:uid="{00000000-0005-0000-0000-0000F4970000}"/>
    <cellStyle name="Normal 3 5 5 2 2 2 2" xfId="16464" xr:uid="{00000000-0005-0000-0000-0000F5970000}"/>
    <cellStyle name="Normal 3 5 5 2 2 2 2 2" xfId="30032" xr:uid="{00000000-0005-0000-0000-0000F6970000}"/>
    <cellStyle name="Normal 3 5 5 2 2 2 2 2 2" xfId="57165" xr:uid="{00000000-0005-0000-0000-0000F7970000}"/>
    <cellStyle name="Normal 3 5 5 2 2 2 2 3" xfId="43603" xr:uid="{00000000-0005-0000-0000-0000F8970000}"/>
    <cellStyle name="Normal 3 5 5 2 2 2 3" xfId="23251" xr:uid="{00000000-0005-0000-0000-0000F9970000}"/>
    <cellStyle name="Normal 3 5 5 2 2 2 3 2" xfId="50384" xr:uid="{00000000-0005-0000-0000-0000FA970000}"/>
    <cellStyle name="Normal 3 5 5 2 2 2 4" xfId="36822" xr:uid="{00000000-0005-0000-0000-0000FB970000}"/>
    <cellStyle name="Normal 3 5 5 2 2 3" xfId="13075" xr:uid="{00000000-0005-0000-0000-0000FC970000}"/>
    <cellStyle name="Normal 3 5 5 2 2 3 2" xfId="26643" xr:uid="{00000000-0005-0000-0000-0000FD970000}"/>
    <cellStyle name="Normal 3 5 5 2 2 3 2 2" xfId="53776" xr:uid="{00000000-0005-0000-0000-0000FE970000}"/>
    <cellStyle name="Normal 3 5 5 2 2 3 3" xfId="40214" xr:uid="{00000000-0005-0000-0000-0000FF970000}"/>
    <cellStyle name="Normal 3 5 5 2 2 4" xfId="19862" xr:uid="{00000000-0005-0000-0000-000000980000}"/>
    <cellStyle name="Normal 3 5 5 2 2 4 2" xfId="46995" xr:uid="{00000000-0005-0000-0000-000001980000}"/>
    <cellStyle name="Normal 3 5 5 2 2 5" xfId="33433" xr:uid="{00000000-0005-0000-0000-000002980000}"/>
    <cellStyle name="Normal 3 5 5 2 3" xfId="6133" xr:uid="{00000000-0005-0000-0000-000003980000}"/>
    <cellStyle name="Normal 3 5 5 2 3 2" xfId="9676" xr:uid="{00000000-0005-0000-0000-000004980000}"/>
    <cellStyle name="Normal 3 5 5 2 3 2 2" xfId="16465" xr:uid="{00000000-0005-0000-0000-000005980000}"/>
    <cellStyle name="Normal 3 5 5 2 3 2 2 2" xfId="30033" xr:uid="{00000000-0005-0000-0000-000006980000}"/>
    <cellStyle name="Normal 3 5 5 2 3 2 2 2 2" xfId="57166" xr:uid="{00000000-0005-0000-0000-000007980000}"/>
    <cellStyle name="Normal 3 5 5 2 3 2 2 3" xfId="43604" xr:uid="{00000000-0005-0000-0000-000008980000}"/>
    <cellStyle name="Normal 3 5 5 2 3 2 3" xfId="23252" xr:uid="{00000000-0005-0000-0000-000009980000}"/>
    <cellStyle name="Normal 3 5 5 2 3 2 3 2" xfId="50385" xr:uid="{00000000-0005-0000-0000-00000A980000}"/>
    <cellStyle name="Normal 3 5 5 2 3 2 4" xfId="36823" xr:uid="{00000000-0005-0000-0000-00000B980000}"/>
    <cellStyle name="Normal 3 5 5 2 3 3" xfId="13076" xr:uid="{00000000-0005-0000-0000-00000C980000}"/>
    <cellStyle name="Normal 3 5 5 2 3 3 2" xfId="26644" xr:uid="{00000000-0005-0000-0000-00000D980000}"/>
    <cellStyle name="Normal 3 5 5 2 3 3 2 2" xfId="53777" xr:uid="{00000000-0005-0000-0000-00000E980000}"/>
    <cellStyle name="Normal 3 5 5 2 3 3 3" xfId="40215" xr:uid="{00000000-0005-0000-0000-00000F980000}"/>
    <cellStyle name="Normal 3 5 5 2 3 4" xfId="19863" xr:uid="{00000000-0005-0000-0000-000010980000}"/>
    <cellStyle name="Normal 3 5 5 2 3 4 2" xfId="46996" xr:uid="{00000000-0005-0000-0000-000011980000}"/>
    <cellStyle name="Normal 3 5 5 2 3 5" xfId="33434" xr:uid="{00000000-0005-0000-0000-000012980000}"/>
    <cellStyle name="Normal 3 5 5 2 4" xfId="7535" xr:uid="{00000000-0005-0000-0000-000013980000}"/>
    <cellStyle name="Normal 3 5 5 2 4 2" xfId="14324" xr:uid="{00000000-0005-0000-0000-000014980000}"/>
    <cellStyle name="Normal 3 5 5 2 4 2 2" xfId="27892" xr:uid="{00000000-0005-0000-0000-000015980000}"/>
    <cellStyle name="Normal 3 5 5 2 4 2 2 2" xfId="55025" xr:uid="{00000000-0005-0000-0000-000016980000}"/>
    <cellStyle name="Normal 3 5 5 2 4 2 3" xfId="41463" xr:uid="{00000000-0005-0000-0000-000017980000}"/>
    <cellStyle name="Normal 3 5 5 2 4 3" xfId="21111" xr:uid="{00000000-0005-0000-0000-000018980000}"/>
    <cellStyle name="Normal 3 5 5 2 4 3 2" xfId="48244" xr:uid="{00000000-0005-0000-0000-000019980000}"/>
    <cellStyle name="Normal 3 5 5 2 4 4" xfId="34682" xr:uid="{00000000-0005-0000-0000-00001A980000}"/>
    <cellStyle name="Normal 3 5 5 2 5" xfId="10935" xr:uid="{00000000-0005-0000-0000-00001B980000}"/>
    <cellStyle name="Normal 3 5 5 2 5 2" xfId="24503" xr:uid="{00000000-0005-0000-0000-00001C980000}"/>
    <cellStyle name="Normal 3 5 5 2 5 2 2" xfId="51636" xr:uid="{00000000-0005-0000-0000-00001D980000}"/>
    <cellStyle name="Normal 3 5 5 2 5 3" xfId="38074" xr:uid="{00000000-0005-0000-0000-00001E980000}"/>
    <cellStyle name="Normal 3 5 5 2 6" xfId="17722" xr:uid="{00000000-0005-0000-0000-00001F980000}"/>
    <cellStyle name="Normal 3 5 5 2 6 2" xfId="44855" xr:uid="{00000000-0005-0000-0000-000020980000}"/>
    <cellStyle name="Normal 3 5 5 2 7" xfId="31293" xr:uid="{00000000-0005-0000-0000-000021980000}"/>
    <cellStyle name="Normal 3 5 5 3" xfId="6134" xr:uid="{00000000-0005-0000-0000-000022980000}"/>
    <cellStyle name="Normal 3 5 5 3 2" xfId="9677" xr:uid="{00000000-0005-0000-0000-000023980000}"/>
    <cellStyle name="Normal 3 5 5 3 2 2" xfId="16466" xr:uid="{00000000-0005-0000-0000-000024980000}"/>
    <cellStyle name="Normal 3 5 5 3 2 2 2" xfId="30034" xr:uid="{00000000-0005-0000-0000-000025980000}"/>
    <cellStyle name="Normal 3 5 5 3 2 2 2 2" xfId="57167" xr:uid="{00000000-0005-0000-0000-000026980000}"/>
    <cellStyle name="Normal 3 5 5 3 2 2 3" xfId="43605" xr:uid="{00000000-0005-0000-0000-000027980000}"/>
    <cellStyle name="Normal 3 5 5 3 2 3" xfId="23253" xr:uid="{00000000-0005-0000-0000-000028980000}"/>
    <cellStyle name="Normal 3 5 5 3 2 3 2" xfId="50386" xr:uid="{00000000-0005-0000-0000-000029980000}"/>
    <cellStyle name="Normal 3 5 5 3 2 4" xfId="36824" xr:uid="{00000000-0005-0000-0000-00002A980000}"/>
    <cellStyle name="Normal 3 5 5 3 3" xfId="13077" xr:uid="{00000000-0005-0000-0000-00002B980000}"/>
    <cellStyle name="Normal 3 5 5 3 3 2" xfId="26645" xr:uid="{00000000-0005-0000-0000-00002C980000}"/>
    <cellStyle name="Normal 3 5 5 3 3 2 2" xfId="53778" xr:uid="{00000000-0005-0000-0000-00002D980000}"/>
    <cellStyle name="Normal 3 5 5 3 3 3" xfId="40216" xr:uid="{00000000-0005-0000-0000-00002E980000}"/>
    <cellStyle name="Normal 3 5 5 3 4" xfId="19864" xr:uid="{00000000-0005-0000-0000-00002F980000}"/>
    <cellStyle name="Normal 3 5 5 3 4 2" xfId="46997" xr:uid="{00000000-0005-0000-0000-000030980000}"/>
    <cellStyle name="Normal 3 5 5 3 5" xfId="33435" xr:uid="{00000000-0005-0000-0000-000031980000}"/>
    <cellStyle name="Normal 3 5 5 4" xfId="6135" xr:uid="{00000000-0005-0000-0000-000032980000}"/>
    <cellStyle name="Normal 3 5 5 4 2" xfId="9678" xr:uid="{00000000-0005-0000-0000-000033980000}"/>
    <cellStyle name="Normal 3 5 5 4 2 2" xfId="16467" xr:uid="{00000000-0005-0000-0000-000034980000}"/>
    <cellStyle name="Normal 3 5 5 4 2 2 2" xfId="30035" xr:uid="{00000000-0005-0000-0000-000035980000}"/>
    <cellStyle name="Normal 3 5 5 4 2 2 2 2" xfId="57168" xr:uid="{00000000-0005-0000-0000-000036980000}"/>
    <cellStyle name="Normal 3 5 5 4 2 2 3" xfId="43606" xr:uid="{00000000-0005-0000-0000-000037980000}"/>
    <cellStyle name="Normal 3 5 5 4 2 3" xfId="23254" xr:uid="{00000000-0005-0000-0000-000038980000}"/>
    <cellStyle name="Normal 3 5 5 4 2 3 2" xfId="50387" xr:uid="{00000000-0005-0000-0000-000039980000}"/>
    <cellStyle name="Normal 3 5 5 4 2 4" xfId="36825" xr:uid="{00000000-0005-0000-0000-00003A980000}"/>
    <cellStyle name="Normal 3 5 5 4 3" xfId="13078" xr:uid="{00000000-0005-0000-0000-00003B980000}"/>
    <cellStyle name="Normal 3 5 5 4 3 2" xfId="26646" xr:uid="{00000000-0005-0000-0000-00003C980000}"/>
    <cellStyle name="Normal 3 5 5 4 3 2 2" xfId="53779" xr:uid="{00000000-0005-0000-0000-00003D980000}"/>
    <cellStyle name="Normal 3 5 5 4 3 3" xfId="40217" xr:uid="{00000000-0005-0000-0000-00003E980000}"/>
    <cellStyle name="Normal 3 5 5 4 4" xfId="19865" xr:uid="{00000000-0005-0000-0000-00003F980000}"/>
    <cellStyle name="Normal 3 5 5 4 4 2" xfId="46998" xr:uid="{00000000-0005-0000-0000-000040980000}"/>
    <cellStyle name="Normal 3 5 5 4 5" xfId="33436" xr:uid="{00000000-0005-0000-0000-000041980000}"/>
    <cellStyle name="Normal 3 5 5 5" xfId="7534" xr:uid="{00000000-0005-0000-0000-000042980000}"/>
    <cellStyle name="Normal 3 5 5 5 2" xfId="14323" xr:uid="{00000000-0005-0000-0000-000043980000}"/>
    <cellStyle name="Normal 3 5 5 5 2 2" xfId="27891" xr:uid="{00000000-0005-0000-0000-000044980000}"/>
    <cellStyle name="Normal 3 5 5 5 2 2 2" xfId="55024" xr:uid="{00000000-0005-0000-0000-000045980000}"/>
    <cellStyle name="Normal 3 5 5 5 2 3" xfId="41462" xr:uid="{00000000-0005-0000-0000-000046980000}"/>
    <cellStyle name="Normal 3 5 5 5 3" xfId="21110" xr:uid="{00000000-0005-0000-0000-000047980000}"/>
    <cellStyle name="Normal 3 5 5 5 3 2" xfId="48243" xr:uid="{00000000-0005-0000-0000-000048980000}"/>
    <cellStyle name="Normal 3 5 5 5 4" xfId="34681" xr:uid="{00000000-0005-0000-0000-000049980000}"/>
    <cellStyle name="Normal 3 5 5 6" xfId="10934" xr:uid="{00000000-0005-0000-0000-00004A980000}"/>
    <cellStyle name="Normal 3 5 5 6 2" xfId="24502" xr:uid="{00000000-0005-0000-0000-00004B980000}"/>
    <cellStyle name="Normal 3 5 5 6 2 2" xfId="51635" xr:uid="{00000000-0005-0000-0000-00004C980000}"/>
    <cellStyle name="Normal 3 5 5 6 3" xfId="38073" xr:uid="{00000000-0005-0000-0000-00004D980000}"/>
    <cellStyle name="Normal 3 5 5 7" xfId="17721" xr:uid="{00000000-0005-0000-0000-00004E980000}"/>
    <cellStyle name="Normal 3 5 5 7 2" xfId="44854" xr:uid="{00000000-0005-0000-0000-00004F980000}"/>
    <cellStyle name="Normal 3 5 5 8" xfId="31292" xr:uid="{00000000-0005-0000-0000-000050980000}"/>
    <cellStyle name="Normal 3 5 6" xfId="2723" xr:uid="{00000000-0005-0000-0000-000051980000}"/>
    <cellStyle name="Normal 3 5 6 2" xfId="2724" xr:uid="{00000000-0005-0000-0000-000052980000}"/>
    <cellStyle name="Normal 3 5 6 2 2" xfId="6136" xr:uid="{00000000-0005-0000-0000-000053980000}"/>
    <cellStyle name="Normal 3 5 6 2 2 2" xfId="9679" xr:uid="{00000000-0005-0000-0000-000054980000}"/>
    <cellStyle name="Normal 3 5 6 2 2 2 2" xfId="16468" xr:uid="{00000000-0005-0000-0000-000055980000}"/>
    <cellStyle name="Normal 3 5 6 2 2 2 2 2" xfId="30036" xr:uid="{00000000-0005-0000-0000-000056980000}"/>
    <cellStyle name="Normal 3 5 6 2 2 2 2 2 2" xfId="57169" xr:uid="{00000000-0005-0000-0000-000057980000}"/>
    <cellStyle name="Normal 3 5 6 2 2 2 2 3" xfId="43607" xr:uid="{00000000-0005-0000-0000-000058980000}"/>
    <cellStyle name="Normal 3 5 6 2 2 2 3" xfId="23255" xr:uid="{00000000-0005-0000-0000-000059980000}"/>
    <cellStyle name="Normal 3 5 6 2 2 2 3 2" xfId="50388" xr:uid="{00000000-0005-0000-0000-00005A980000}"/>
    <cellStyle name="Normal 3 5 6 2 2 2 4" xfId="36826" xr:uid="{00000000-0005-0000-0000-00005B980000}"/>
    <cellStyle name="Normal 3 5 6 2 2 3" xfId="13079" xr:uid="{00000000-0005-0000-0000-00005C980000}"/>
    <cellStyle name="Normal 3 5 6 2 2 3 2" xfId="26647" xr:uid="{00000000-0005-0000-0000-00005D980000}"/>
    <cellStyle name="Normal 3 5 6 2 2 3 2 2" xfId="53780" xr:uid="{00000000-0005-0000-0000-00005E980000}"/>
    <cellStyle name="Normal 3 5 6 2 2 3 3" xfId="40218" xr:uid="{00000000-0005-0000-0000-00005F980000}"/>
    <cellStyle name="Normal 3 5 6 2 2 4" xfId="19866" xr:uid="{00000000-0005-0000-0000-000060980000}"/>
    <cellStyle name="Normal 3 5 6 2 2 4 2" xfId="46999" xr:uid="{00000000-0005-0000-0000-000061980000}"/>
    <cellStyle name="Normal 3 5 6 2 2 5" xfId="33437" xr:uid="{00000000-0005-0000-0000-000062980000}"/>
    <cellStyle name="Normal 3 5 6 2 3" xfId="6137" xr:uid="{00000000-0005-0000-0000-000063980000}"/>
    <cellStyle name="Normal 3 5 6 2 3 2" xfId="9680" xr:uid="{00000000-0005-0000-0000-000064980000}"/>
    <cellStyle name="Normal 3 5 6 2 3 2 2" xfId="16469" xr:uid="{00000000-0005-0000-0000-000065980000}"/>
    <cellStyle name="Normal 3 5 6 2 3 2 2 2" xfId="30037" xr:uid="{00000000-0005-0000-0000-000066980000}"/>
    <cellStyle name="Normal 3 5 6 2 3 2 2 2 2" xfId="57170" xr:uid="{00000000-0005-0000-0000-000067980000}"/>
    <cellStyle name="Normal 3 5 6 2 3 2 2 3" xfId="43608" xr:uid="{00000000-0005-0000-0000-000068980000}"/>
    <cellStyle name="Normal 3 5 6 2 3 2 3" xfId="23256" xr:uid="{00000000-0005-0000-0000-000069980000}"/>
    <cellStyle name="Normal 3 5 6 2 3 2 3 2" xfId="50389" xr:uid="{00000000-0005-0000-0000-00006A980000}"/>
    <cellStyle name="Normal 3 5 6 2 3 2 4" xfId="36827" xr:uid="{00000000-0005-0000-0000-00006B980000}"/>
    <cellStyle name="Normal 3 5 6 2 3 3" xfId="13080" xr:uid="{00000000-0005-0000-0000-00006C980000}"/>
    <cellStyle name="Normal 3 5 6 2 3 3 2" xfId="26648" xr:uid="{00000000-0005-0000-0000-00006D980000}"/>
    <cellStyle name="Normal 3 5 6 2 3 3 2 2" xfId="53781" xr:uid="{00000000-0005-0000-0000-00006E980000}"/>
    <cellStyle name="Normal 3 5 6 2 3 3 3" xfId="40219" xr:uid="{00000000-0005-0000-0000-00006F980000}"/>
    <cellStyle name="Normal 3 5 6 2 3 4" xfId="19867" xr:uid="{00000000-0005-0000-0000-000070980000}"/>
    <cellStyle name="Normal 3 5 6 2 3 4 2" xfId="47000" xr:uid="{00000000-0005-0000-0000-000071980000}"/>
    <cellStyle name="Normal 3 5 6 2 3 5" xfId="33438" xr:uid="{00000000-0005-0000-0000-000072980000}"/>
    <cellStyle name="Normal 3 5 6 2 4" xfId="7537" xr:uid="{00000000-0005-0000-0000-000073980000}"/>
    <cellStyle name="Normal 3 5 6 2 4 2" xfId="14326" xr:uid="{00000000-0005-0000-0000-000074980000}"/>
    <cellStyle name="Normal 3 5 6 2 4 2 2" xfId="27894" xr:uid="{00000000-0005-0000-0000-000075980000}"/>
    <cellStyle name="Normal 3 5 6 2 4 2 2 2" xfId="55027" xr:uid="{00000000-0005-0000-0000-000076980000}"/>
    <cellStyle name="Normal 3 5 6 2 4 2 3" xfId="41465" xr:uid="{00000000-0005-0000-0000-000077980000}"/>
    <cellStyle name="Normal 3 5 6 2 4 3" xfId="21113" xr:uid="{00000000-0005-0000-0000-000078980000}"/>
    <cellStyle name="Normal 3 5 6 2 4 3 2" xfId="48246" xr:uid="{00000000-0005-0000-0000-000079980000}"/>
    <cellStyle name="Normal 3 5 6 2 4 4" xfId="34684" xr:uid="{00000000-0005-0000-0000-00007A980000}"/>
    <cellStyle name="Normal 3 5 6 2 5" xfId="10937" xr:uid="{00000000-0005-0000-0000-00007B980000}"/>
    <cellStyle name="Normal 3 5 6 2 5 2" xfId="24505" xr:uid="{00000000-0005-0000-0000-00007C980000}"/>
    <cellStyle name="Normal 3 5 6 2 5 2 2" xfId="51638" xr:uid="{00000000-0005-0000-0000-00007D980000}"/>
    <cellStyle name="Normal 3 5 6 2 5 3" xfId="38076" xr:uid="{00000000-0005-0000-0000-00007E980000}"/>
    <cellStyle name="Normal 3 5 6 2 6" xfId="17724" xr:uid="{00000000-0005-0000-0000-00007F980000}"/>
    <cellStyle name="Normal 3 5 6 2 6 2" xfId="44857" xr:uid="{00000000-0005-0000-0000-000080980000}"/>
    <cellStyle name="Normal 3 5 6 2 7" xfId="31295" xr:uid="{00000000-0005-0000-0000-000081980000}"/>
    <cellStyle name="Normal 3 5 6 3" xfId="6138" xr:uid="{00000000-0005-0000-0000-000082980000}"/>
    <cellStyle name="Normal 3 5 6 3 2" xfId="9681" xr:uid="{00000000-0005-0000-0000-000083980000}"/>
    <cellStyle name="Normal 3 5 6 3 2 2" xfId="16470" xr:uid="{00000000-0005-0000-0000-000084980000}"/>
    <cellStyle name="Normal 3 5 6 3 2 2 2" xfId="30038" xr:uid="{00000000-0005-0000-0000-000085980000}"/>
    <cellStyle name="Normal 3 5 6 3 2 2 2 2" xfId="57171" xr:uid="{00000000-0005-0000-0000-000086980000}"/>
    <cellStyle name="Normal 3 5 6 3 2 2 3" xfId="43609" xr:uid="{00000000-0005-0000-0000-000087980000}"/>
    <cellStyle name="Normal 3 5 6 3 2 3" xfId="23257" xr:uid="{00000000-0005-0000-0000-000088980000}"/>
    <cellStyle name="Normal 3 5 6 3 2 3 2" xfId="50390" xr:uid="{00000000-0005-0000-0000-000089980000}"/>
    <cellStyle name="Normal 3 5 6 3 2 4" xfId="36828" xr:uid="{00000000-0005-0000-0000-00008A980000}"/>
    <cellStyle name="Normal 3 5 6 3 3" xfId="13081" xr:uid="{00000000-0005-0000-0000-00008B980000}"/>
    <cellStyle name="Normal 3 5 6 3 3 2" xfId="26649" xr:uid="{00000000-0005-0000-0000-00008C980000}"/>
    <cellStyle name="Normal 3 5 6 3 3 2 2" xfId="53782" xr:uid="{00000000-0005-0000-0000-00008D980000}"/>
    <cellStyle name="Normal 3 5 6 3 3 3" xfId="40220" xr:uid="{00000000-0005-0000-0000-00008E980000}"/>
    <cellStyle name="Normal 3 5 6 3 4" xfId="19868" xr:uid="{00000000-0005-0000-0000-00008F980000}"/>
    <cellStyle name="Normal 3 5 6 3 4 2" xfId="47001" xr:uid="{00000000-0005-0000-0000-000090980000}"/>
    <cellStyle name="Normal 3 5 6 3 5" xfId="33439" xr:uid="{00000000-0005-0000-0000-000091980000}"/>
    <cellStyle name="Normal 3 5 6 4" xfId="6139" xr:uid="{00000000-0005-0000-0000-000092980000}"/>
    <cellStyle name="Normal 3 5 6 4 2" xfId="9682" xr:uid="{00000000-0005-0000-0000-000093980000}"/>
    <cellStyle name="Normal 3 5 6 4 2 2" xfId="16471" xr:uid="{00000000-0005-0000-0000-000094980000}"/>
    <cellStyle name="Normal 3 5 6 4 2 2 2" xfId="30039" xr:uid="{00000000-0005-0000-0000-000095980000}"/>
    <cellStyle name="Normal 3 5 6 4 2 2 2 2" xfId="57172" xr:uid="{00000000-0005-0000-0000-000096980000}"/>
    <cellStyle name="Normal 3 5 6 4 2 2 3" xfId="43610" xr:uid="{00000000-0005-0000-0000-000097980000}"/>
    <cellStyle name="Normal 3 5 6 4 2 3" xfId="23258" xr:uid="{00000000-0005-0000-0000-000098980000}"/>
    <cellStyle name="Normal 3 5 6 4 2 3 2" xfId="50391" xr:uid="{00000000-0005-0000-0000-000099980000}"/>
    <cellStyle name="Normal 3 5 6 4 2 4" xfId="36829" xr:uid="{00000000-0005-0000-0000-00009A980000}"/>
    <cellStyle name="Normal 3 5 6 4 3" xfId="13082" xr:uid="{00000000-0005-0000-0000-00009B980000}"/>
    <cellStyle name="Normal 3 5 6 4 3 2" xfId="26650" xr:uid="{00000000-0005-0000-0000-00009C980000}"/>
    <cellStyle name="Normal 3 5 6 4 3 2 2" xfId="53783" xr:uid="{00000000-0005-0000-0000-00009D980000}"/>
    <cellStyle name="Normal 3 5 6 4 3 3" xfId="40221" xr:uid="{00000000-0005-0000-0000-00009E980000}"/>
    <cellStyle name="Normal 3 5 6 4 4" xfId="19869" xr:uid="{00000000-0005-0000-0000-00009F980000}"/>
    <cellStyle name="Normal 3 5 6 4 4 2" xfId="47002" xr:uid="{00000000-0005-0000-0000-0000A0980000}"/>
    <cellStyle name="Normal 3 5 6 4 5" xfId="33440" xr:uid="{00000000-0005-0000-0000-0000A1980000}"/>
    <cellStyle name="Normal 3 5 6 5" xfId="7536" xr:uid="{00000000-0005-0000-0000-0000A2980000}"/>
    <cellStyle name="Normal 3 5 6 5 2" xfId="14325" xr:uid="{00000000-0005-0000-0000-0000A3980000}"/>
    <cellStyle name="Normal 3 5 6 5 2 2" xfId="27893" xr:uid="{00000000-0005-0000-0000-0000A4980000}"/>
    <cellStyle name="Normal 3 5 6 5 2 2 2" xfId="55026" xr:uid="{00000000-0005-0000-0000-0000A5980000}"/>
    <cellStyle name="Normal 3 5 6 5 2 3" xfId="41464" xr:uid="{00000000-0005-0000-0000-0000A6980000}"/>
    <cellStyle name="Normal 3 5 6 5 3" xfId="21112" xr:uid="{00000000-0005-0000-0000-0000A7980000}"/>
    <cellStyle name="Normal 3 5 6 5 3 2" xfId="48245" xr:uid="{00000000-0005-0000-0000-0000A8980000}"/>
    <cellStyle name="Normal 3 5 6 5 4" xfId="34683" xr:uid="{00000000-0005-0000-0000-0000A9980000}"/>
    <cellStyle name="Normal 3 5 6 6" xfId="10936" xr:uid="{00000000-0005-0000-0000-0000AA980000}"/>
    <cellStyle name="Normal 3 5 6 6 2" xfId="24504" xr:uid="{00000000-0005-0000-0000-0000AB980000}"/>
    <cellStyle name="Normal 3 5 6 6 2 2" xfId="51637" xr:uid="{00000000-0005-0000-0000-0000AC980000}"/>
    <cellStyle name="Normal 3 5 6 6 3" xfId="38075" xr:uid="{00000000-0005-0000-0000-0000AD980000}"/>
    <cellStyle name="Normal 3 5 6 7" xfId="17723" xr:uid="{00000000-0005-0000-0000-0000AE980000}"/>
    <cellStyle name="Normal 3 5 6 7 2" xfId="44856" xr:uid="{00000000-0005-0000-0000-0000AF980000}"/>
    <cellStyle name="Normal 3 5 6 8" xfId="31294" xr:uid="{00000000-0005-0000-0000-0000B0980000}"/>
    <cellStyle name="Normal 3 5 7" xfId="2725" xr:uid="{00000000-0005-0000-0000-0000B1980000}"/>
    <cellStyle name="Normal 3 5 7 2" xfId="2726" xr:uid="{00000000-0005-0000-0000-0000B2980000}"/>
    <cellStyle name="Normal 3 5 7 2 2" xfId="7539" xr:uid="{00000000-0005-0000-0000-0000B3980000}"/>
    <cellStyle name="Normal 3 5 7 2 2 2" xfId="14328" xr:uid="{00000000-0005-0000-0000-0000B4980000}"/>
    <cellStyle name="Normal 3 5 7 2 2 2 2" xfId="27896" xr:uid="{00000000-0005-0000-0000-0000B5980000}"/>
    <cellStyle name="Normal 3 5 7 2 2 2 2 2" xfId="55029" xr:uid="{00000000-0005-0000-0000-0000B6980000}"/>
    <cellStyle name="Normal 3 5 7 2 2 2 3" xfId="41467" xr:uid="{00000000-0005-0000-0000-0000B7980000}"/>
    <cellStyle name="Normal 3 5 7 2 2 3" xfId="21115" xr:uid="{00000000-0005-0000-0000-0000B8980000}"/>
    <cellStyle name="Normal 3 5 7 2 2 3 2" xfId="48248" xr:uid="{00000000-0005-0000-0000-0000B9980000}"/>
    <cellStyle name="Normal 3 5 7 2 2 4" xfId="34686" xr:uid="{00000000-0005-0000-0000-0000BA980000}"/>
    <cellStyle name="Normal 3 5 7 2 3" xfId="10939" xr:uid="{00000000-0005-0000-0000-0000BB980000}"/>
    <cellStyle name="Normal 3 5 7 2 3 2" xfId="24507" xr:uid="{00000000-0005-0000-0000-0000BC980000}"/>
    <cellStyle name="Normal 3 5 7 2 3 2 2" xfId="51640" xr:uid="{00000000-0005-0000-0000-0000BD980000}"/>
    <cellStyle name="Normal 3 5 7 2 3 3" xfId="38078" xr:uid="{00000000-0005-0000-0000-0000BE980000}"/>
    <cellStyle name="Normal 3 5 7 2 4" xfId="17726" xr:uid="{00000000-0005-0000-0000-0000BF980000}"/>
    <cellStyle name="Normal 3 5 7 2 4 2" xfId="44859" xr:uid="{00000000-0005-0000-0000-0000C0980000}"/>
    <cellStyle name="Normal 3 5 7 2 5" xfId="31297" xr:uid="{00000000-0005-0000-0000-0000C1980000}"/>
    <cellStyle name="Normal 3 5 7 3" xfId="6140" xr:uid="{00000000-0005-0000-0000-0000C2980000}"/>
    <cellStyle name="Normal 3 5 7 3 2" xfId="9683" xr:uid="{00000000-0005-0000-0000-0000C3980000}"/>
    <cellStyle name="Normal 3 5 7 3 2 2" xfId="16472" xr:uid="{00000000-0005-0000-0000-0000C4980000}"/>
    <cellStyle name="Normal 3 5 7 3 2 2 2" xfId="30040" xr:uid="{00000000-0005-0000-0000-0000C5980000}"/>
    <cellStyle name="Normal 3 5 7 3 2 2 2 2" xfId="57173" xr:uid="{00000000-0005-0000-0000-0000C6980000}"/>
    <cellStyle name="Normal 3 5 7 3 2 2 3" xfId="43611" xr:uid="{00000000-0005-0000-0000-0000C7980000}"/>
    <cellStyle name="Normal 3 5 7 3 2 3" xfId="23259" xr:uid="{00000000-0005-0000-0000-0000C8980000}"/>
    <cellStyle name="Normal 3 5 7 3 2 3 2" xfId="50392" xr:uid="{00000000-0005-0000-0000-0000C9980000}"/>
    <cellStyle name="Normal 3 5 7 3 2 4" xfId="36830" xr:uid="{00000000-0005-0000-0000-0000CA980000}"/>
    <cellStyle name="Normal 3 5 7 3 3" xfId="13083" xr:uid="{00000000-0005-0000-0000-0000CB980000}"/>
    <cellStyle name="Normal 3 5 7 3 3 2" xfId="26651" xr:uid="{00000000-0005-0000-0000-0000CC980000}"/>
    <cellStyle name="Normal 3 5 7 3 3 2 2" xfId="53784" xr:uid="{00000000-0005-0000-0000-0000CD980000}"/>
    <cellStyle name="Normal 3 5 7 3 3 3" xfId="40222" xr:uid="{00000000-0005-0000-0000-0000CE980000}"/>
    <cellStyle name="Normal 3 5 7 3 4" xfId="19870" xr:uid="{00000000-0005-0000-0000-0000CF980000}"/>
    <cellStyle name="Normal 3 5 7 3 4 2" xfId="47003" xr:uid="{00000000-0005-0000-0000-0000D0980000}"/>
    <cellStyle name="Normal 3 5 7 3 5" xfId="33441" xr:uid="{00000000-0005-0000-0000-0000D1980000}"/>
    <cellStyle name="Normal 3 5 7 4" xfId="7538" xr:uid="{00000000-0005-0000-0000-0000D2980000}"/>
    <cellStyle name="Normal 3 5 7 4 2" xfId="14327" xr:uid="{00000000-0005-0000-0000-0000D3980000}"/>
    <cellStyle name="Normal 3 5 7 4 2 2" xfId="27895" xr:uid="{00000000-0005-0000-0000-0000D4980000}"/>
    <cellStyle name="Normal 3 5 7 4 2 2 2" xfId="55028" xr:uid="{00000000-0005-0000-0000-0000D5980000}"/>
    <cellStyle name="Normal 3 5 7 4 2 3" xfId="41466" xr:uid="{00000000-0005-0000-0000-0000D6980000}"/>
    <cellStyle name="Normal 3 5 7 4 3" xfId="21114" xr:uid="{00000000-0005-0000-0000-0000D7980000}"/>
    <cellStyle name="Normal 3 5 7 4 3 2" xfId="48247" xr:uid="{00000000-0005-0000-0000-0000D8980000}"/>
    <cellStyle name="Normal 3 5 7 4 4" xfId="34685" xr:uid="{00000000-0005-0000-0000-0000D9980000}"/>
    <cellStyle name="Normal 3 5 7 5" xfId="10938" xr:uid="{00000000-0005-0000-0000-0000DA980000}"/>
    <cellStyle name="Normal 3 5 7 5 2" xfId="24506" xr:uid="{00000000-0005-0000-0000-0000DB980000}"/>
    <cellStyle name="Normal 3 5 7 5 2 2" xfId="51639" xr:uid="{00000000-0005-0000-0000-0000DC980000}"/>
    <cellStyle name="Normal 3 5 7 5 3" xfId="38077" xr:uid="{00000000-0005-0000-0000-0000DD980000}"/>
    <cellStyle name="Normal 3 5 7 6" xfId="17725" xr:uid="{00000000-0005-0000-0000-0000DE980000}"/>
    <cellStyle name="Normal 3 5 7 6 2" xfId="44858" xr:uid="{00000000-0005-0000-0000-0000DF980000}"/>
    <cellStyle name="Normal 3 5 7 7" xfId="31296" xr:uid="{00000000-0005-0000-0000-0000E0980000}"/>
    <cellStyle name="Normal 3 5 8" xfId="2727" xr:uid="{00000000-0005-0000-0000-0000E1980000}"/>
    <cellStyle name="Normal 3 5 8 2" xfId="2728" xr:uid="{00000000-0005-0000-0000-0000E2980000}"/>
    <cellStyle name="Normal 3 5 8 2 2" xfId="7541" xr:uid="{00000000-0005-0000-0000-0000E3980000}"/>
    <cellStyle name="Normal 3 5 8 2 2 2" xfId="14330" xr:uid="{00000000-0005-0000-0000-0000E4980000}"/>
    <cellStyle name="Normal 3 5 8 2 2 2 2" xfId="27898" xr:uid="{00000000-0005-0000-0000-0000E5980000}"/>
    <cellStyle name="Normal 3 5 8 2 2 2 2 2" xfId="55031" xr:uid="{00000000-0005-0000-0000-0000E6980000}"/>
    <cellStyle name="Normal 3 5 8 2 2 2 3" xfId="41469" xr:uid="{00000000-0005-0000-0000-0000E7980000}"/>
    <cellStyle name="Normal 3 5 8 2 2 3" xfId="21117" xr:uid="{00000000-0005-0000-0000-0000E8980000}"/>
    <cellStyle name="Normal 3 5 8 2 2 3 2" xfId="48250" xr:uid="{00000000-0005-0000-0000-0000E9980000}"/>
    <cellStyle name="Normal 3 5 8 2 2 4" xfId="34688" xr:uid="{00000000-0005-0000-0000-0000EA980000}"/>
    <cellStyle name="Normal 3 5 8 2 3" xfId="10941" xr:uid="{00000000-0005-0000-0000-0000EB980000}"/>
    <cellStyle name="Normal 3 5 8 2 3 2" xfId="24509" xr:uid="{00000000-0005-0000-0000-0000EC980000}"/>
    <cellStyle name="Normal 3 5 8 2 3 2 2" xfId="51642" xr:uid="{00000000-0005-0000-0000-0000ED980000}"/>
    <cellStyle name="Normal 3 5 8 2 3 3" xfId="38080" xr:uid="{00000000-0005-0000-0000-0000EE980000}"/>
    <cellStyle name="Normal 3 5 8 2 4" xfId="17728" xr:uid="{00000000-0005-0000-0000-0000EF980000}"/>
    <cellStyle name="Normal 3 5 8 2 4 2" xfId="44861" xr:uid="{00000000-0005-0000-0000-0000F0980000}"/>
    <cellStyle name="Normal 3 5 8 2 5" xfId="31299" xr:uid="{00000000-0005-0000-0000-0000F1980000}"/>
    <cellStyle name="Normal 3 5 8 3" xfId="6141" xr:uid="{00000000-0005-0000-0000-0000F2980000}"/>
    <cellStyle name="Normal 3 5 8 3 2" xfId="9684" xr:uid="{00000000-0005-0000-0000-0000F3980000}"/>
    <cellStyle name="Normal 3 5 8 3 2 2" xfId="16473" xr:uid="{00000000-0005-0000-0000-0000F4980000}"/>
    <cellStyle name="Normal 3 5 8 3 2 2 2" xfId="30041" xr:uid="{00000000-0005-0000-0000-0000F5980000}"/>
    <cellStyle name="Normal 3 5 8 3 2 2 2 2" xfId="57174" xr:uid="{00000000-0005-0000-0000-0000F6980000}"/>
    <cellStyle name="Normal 3 5 8 3 2 2 3" xfId="43612" xr:uid="{00000000-0005-0000-0000-0000F7980000}"/>
    <cellStyle name="Normal 3 5 8 3 2 3" xfId="23260" xr:uid="{00000000-0005-0000-0000-0000F8980000}"/>
    <cellStyle name="Normal 3 5 8 3 2 3 2" xfId="50393" xr:uid="{00000000-0005-0000-0000-0000F9980000}"/>
    <cellStyle name="Normal 3 5 8 3 2 4" xfId="36831" xr:uid="{00000000-0005-0000-0000-0000FA980000}"/>
    <cellStyle name="Normal 3 5 8 3 3" xfId="13084" xr:uid="{00000000-0005-0000-0000-0000FB980000}"/>
    <cellStyle name="Normal 3 5 8 3 3 2" xfId="26652" xr:uid="{00000000-0005-0000-0000-0000FC980000}"/>
    <cellStyle name="Normal 3 5 8 3 3 2 2" xfId="53785" xr:uid="{00000000-0005-0000-0000-0000FD980000}"/>
    <cellStyle name="Normal 3 5 8 3 3 3" xfId="40223" xr:uid="{00000000-0005-0000-0000-0000FE980000}"/>
    <cellStyle name="Normal 3 5 8 3 4" xfId="19871" xr:uid="{00000000-0005-0000-0000-0000FF980000}"/>
    <cellStyle name="Normal 3 5 8 3 4 2" xfId="47004" xr:uid="{00000000-0005-0000-0000-000000990000}"/>
    <cellStyle name="Normal 3 5 8 3 5" xfId="33442" xr:uid="{00000000-0005-0000-0000-000001990000}"/>
    <cellStyle name="Normal 3 5 8 4" xfId="7540" xr:uid="{00000000-0005-0000-0000-000002990000}"/>
    <cellStyle name="Normal 3 5 8 4 2" xfId="14329" xr:uid="{00000000-0005-0000-0000-000003990000}"/>
    <cellStyle name="Normal 3 5 8 4 2 2" xfId="27897" xr:uid="{00000000-0005-0000-0000-000004990000}"/>
    <cellStyle name="Normal 3 5 8 4 2 2 2" xfId="55030" xr:uid="{00000000-0005-0000-0000-000005990000}"/>
    <cellStyle name="Normal 3 5 8 4 2 3" xfId="41468" xr:uid="{00000000-0005-0000-0000-000006990000}"/>
    <cellStyle name="Normal 3 5 8 4 3" xfId="21116" xr:uid="{00000000-0005-0000-0000-000007990000}"/>
    <cellStyle name="Normal 3 5 8 4 3 2" xfId="48249" xr:uid="{00000000-0005-0000-0000-000008990000}"/>
    <cellStyle name="Normal 3 5 8 4 4" xfId="34687" xr:uid="{00000000-0005-0000-0000-000009990000}"/>
    <cellStyle name="Normal 3 5 8 5" xfId="10940" xr:uid="{00000000-0005-0000-0000-00000A990000}"/>
    <cellStyle name="Normal 3 5 8 5 2" xfId="24508" xr:uid="{00000000-0005-0000-0000-00000B990000}"/>
    <cellStyle name="Normal 3 5 8 5 2 2" xfId="51641" xr:uid="{00000000-0005-0000-0000-00000C990000}"/>
    <cellStyle name="Normal 3 5 8 5 3" xfId="38079" xr:uid="{00000000-0005-0000-0000-00000D990000}"/>
    <cellStyle name="Normal 3 5 8 6" xfId="17727" xr:uid="{00000000-0005-0000-0000-00000E990000}"/>
    <cellStyle name="Normal 3 5 8 6 2" xfId="44860" xr:uid="{00000000-0005-0000-0000-00000F990000}"/>
    <cellStyle name="Normal 3 5 8 7" xfId="31298" xr:uid="{00000000-0005-0000-0000-000010990000}"/>
    <cellStyle name="Normal 3 5 9" xfId="2729" xr:uid="{00000000-0005-0000-0000-000011990000}"/>
    <cellStyle name="Normal 3 5 9 2" xfId="7542" xr:uid="{00000000-0005-0000-0000-000012990000}"/>
    <cellStyle name="Normal 3 5 9 2 2" xfId="14331" xr:uid="{00000000-0005-0000-0000-000013990000}"/>
    <cellStyle name="Normal 3 5 9 2 2 2" xfId="27899" xr:uid="{00000000-0005-0000-0000-000014990000}"/>
    <cellStyle name="Normal 3 5 9 2 2 2 2" xfId="55032" xr:uid="{00000000-0005-0000-0000-000015990000}"/>
    <cellStyle name="Normal 3 5 9 2 2 3" xfId="41470" xr:uid="{00000000-0005-0000-0000-000016990000}"/>
    <cellStyle name="Normal 3 5 9 2 3" xfId="21118" xr:uid="{00000000-0005-0000-0000-000017990000}"/>
    <cellStyle name="Normal 3 5 9 2 3 2" xfId="48251" xr:uid="{00000000-0005-0000-0000-000018990000}"/>
    <cellStyle name="Normal 3 5 9 2 4" xfId="34689" xr:uid="{00000000-0005-0000-0000-000019990000}"/>
    <cellStyle name="Normal 3 5 9 3" xfId="10942" xr:uid="{00000000-0005-0000-0000-00001A990000}"/>
    <cellStyle name="Normal 3 5 9 3 2" xfId="24510" xr:uid="{00000000-0005-0000-0000-00001B990000}"/>
    <cellStyle name="Normal 3 5 9 3 2 2" xfId="51643" xr:uid="{00000000-0005-0000-0000-00001C990000}"/>
    <cellStyle name="Normal 3 5 9 3 3" xfId="38081" xr:uid="{00000000-0005-0000-0000-00001D990000}"/>
    <cellStyle name="Normal 3 5 9 4" xfId="17729" xr:uid="{00000000-0005-0000-0000-00001E990000}"/>
    <cellStyle name="Normal 3 5 9 4 2" xfId="44862" xr:uid="{00000000-0005-0000-0000-00001F990000}"/>
    <cellStyle name="Normal 3 5 9 5" xfId="31300" xr:uid="{00000000-0005-0000-0000-000020990000}"/>
    <cellStyle name="Normal 3 56" xfId="9" xr:uid="{00000000-0005-0000-0000-000021990000}"/>
    <cellStyle name="Normal 3 6" xfId="2730" xr:uid="{00000000-0005-0000-0000-000022990000}"/>
    <cellStyle name="Normal 3 6 10" xfId="7543" xr:uid="{00000000-0005-0000-0000-000023990000}"/>
    <cellStyle name="Normal 3 6 10 2" xfId="14332" xr:uid="{00000000-0005-0000-0000-000024990000}"/>
    <cellStyle name="Normal 3 6 10 2 2" xfId="27900" xr:uid="{00000000-0005-0000-0000-000025990000}"/>
    <cellStyle name="Normal 3 6 10 2 2 2" xfId="55033" xr:uid="{00000000-0005-0000-0000-000026990000}"/>
    <cellStyle name="Normal 3 6 10 2 3" xfId="41471" xr:uid="{00000000-0005-0000-0000-000027990000}"/>
    <cellStyle name="Normal 3 6 10 3" xfId="21119" xr:uid="{00000000-0005-0000-0000-000028990000}"/>
    <cellStyle name="Normal 3 6 10 3 2" xfId="48252" xr:uid="{00000000-0005-0000-0000-000029990000}"/>
    <cellStyle name="Normal 3 6 10 4" xfId="34690" xr:uid="{00000000-0005-0000-0000-00002A990000}"/>
    <cellStyle name="Normal 3 6 11" xfId="10943" xr:uid="{00000000-0005-0000-0000-00002B990000}"/>
    <cellStyle name="Normal 3 6 11 2" xfId="24511" xr:uid="{00000000-0005-0000-0000-00002C990000}"/>
    <cellStyle name="Normal 3 6 11 2 2" xfId="51644" xr:uid="{00000000-0005-0000-0000-00002D990000}"/>
    <cellStyle name="Normal 3 6 11 3" xfId="38082" xr:uid="{00000000-0005-0000-0000-00002E990000}"/>
    <cellStyle name="Normal 3 6 12" xfId="17730" xr:uid="{00000000-0005-0000-0000-00002F990000}"/>
    <cellStyle name="Normal 3 6 12 2" xfId="44863" xr:uid="{00000000-0005-0000-0000-000030990000}"/>
    <cellStyle name="Normal 3 6 13" xfId="31301" xr:uid="{00000000-0005-0000-0000-000031990000}"/>
    <cellStyle name="Normal 3 6 2" xfId="2731" xr:uid="{00000000-0005-0000-0000-000032990000}"/>
    <cellStyle name="Normal 3 6 2 2" xfId="2732" xr:uid="{00000000-0005-0000-0000-000033990000}"/>
    <cellStyle name="Normal 3 6 2 2 2" xfId="7545" xr:uid="{00000000-0005-0000-0000-000034990000}"/>
    <cellStyle name="Normal 3 6 2 2 2 2" xfId="14334" xr:uid="{00000000-0005-0000-0000-000035990000}"/>
    <cellStyle name="Normal 3 6 2 2 2 2 2" xfId="27902" xr:uid="{00000000-0005-0000-0000-000036990000}"/>
    <cellStyle name="Normal 3 6 2 2 2 2 2 2" xfId="55035" xr:uid="{00000000-0005-0000-0000-000037990000}"/>
    <cellStyle name="Normal 3 6 2 2 2 2 3" xfId="41473" xr:uid="{00000000-0005-0000-0000-000038990000}"/>
    <cellStyle name="Normal 3 6 2 2 2 3" xfId="21121" xr:uid="{00000000-0005-0000-0000-000039990000}"/>
    <cellStyle name="Normal 3 6 2 2 2 3 2" xfId="48254" xr:uid="{00000000-0005-0000-0000-00003A990000}"/>
    <cellStyle name="Normal 3 6 2 2 2 4" xfId="34692" xr:uid="{00000000-0005-0000-0000-00003B990000}"/>
    <cellStyle name="Normal 3 6 2 2 3" xfId="10945" xr:uid="{00000000-0005-0000-0000-00003C990000}"/>
    <cellStyle name="Normal 3 6 2 2 3 2" xfId="24513" xr:uid="{00000000-0005-0000-0000-00003D990000}"/>
    <cellStyle name="Normal 3 6 2 2 3 2 2" xfId="51646" xr:uid="{00000000-0005-0000-0000-00003E990000}"/>
    <cellStyle name="Normal 3 6 2 2 3 3" xfId="38084" xr:uid="{00000000-0005-0000-0000-00003F990000}"/>
    <cellStyle name="Normal 3 6 2 2 4" xfId="17732" xr:uid="{00000000-0005-0000-0000-000040990000}"/>
    <cellStyle name="Normal 3 6 2 2 4 2" xfId="44865" xr:uid="{00000000-0005-0000-0000-000041990000}"/>
    <cellStyle name="Normal 3 6 2 2 5" xfId="31303" xr:uid="{00000000-0005-0000-0000-000042990000}"/>
    <cellStyle name="Normal 3 6 2 3" xfId="7544" xr:uid="{00000000-0005-0000-0000-000043990000}"/>
    <cellStyle name="Normal 3 6 2 3 2" xfId="14333" xr:uid="{00000000-0005-0000-0000-000044990000}"/>
    <cellStyle name="Normal 3 6 2 3 2 2" xfId="27901" xr:uid="{00000000-0005-0000-0000-000045990000}"/>
    <cellStyle name="Normal 3 6 2 3 2 2 2" xfId="55034" xr:uid="{00000000-0005-0000-0000-000046990000}"/>
    <cellStyle name="Normal 3 6 2 3 2 3" xfId="41472" xr:uid="{00000000-0005-0000-0000-000047990000}"/>
    <cellStyle name="Normal 3 6 2 3 3" xfId="21120" xr:uid="{00000000-0005-0000-0000-000048990000}"/>
    <cellStyle name="Normal 3 6 2 3 3 2" xfId="48253" xr:uid="{00000000-0005-0000-0000-000049990000}"/>
    <cellStyle name="Normal 3 6 2 3 4" xfId="34691" xr:uid="{00000000-0005-0000-0000-00004A990000}"/>
    <cellStyle name="Normal 3 6 2 4" xfId="10944" xr:uid="{00000000-0005-0000-0000-00004B990000}"/>
    <cellStyle name="Normal 3 6 2 4 2" xfId="24512" xr:uid="{00000000-0005-0000-0000-00004C990000}"/>
    <cellStyle name="Normal 3 6 2 4 2 2" xfId="51645" xr:uid="{00000000-0005-0000-0000-00004D990000}"/>
    <cellStyle name="Normal 3 6 2 4 3" xfId="38083" xr:uid="{00000000-0005-0000-0000-00004E990000}"/>
    <cellStyle name="Normal 3 6 2 5" xfId="17731" xr:uid="{00000000-0005-0000-0000-00004F990000}"/>
    <cellStyle name="Normal 3 6 2 5 2" xfId="44864" xr:uid="{00000000-0005-0000-0000-000050990000}"/>
    <cellStyle name="Normal 3 6 2 6" xfId="31302" xr:uid="{00000000-0005-0000-0000-000051990000}"/>
    <cellStyle name="Normal 3 6 3" xfId="2733" xr:uid="{00000000-0005-0000-0000-000052990000}"/>
    <cellStyle name="Normal 3 6 3 2" xfId="2734" xr:uid="{00000000-0005-0000-0000-000053990000}"/>
    <cellStyle name="Normal 3 6 3 2 2" xfId="7547" xr:uid="{00000000-0005-0000-0000-000054990000}"/>
    <cellStyle name="Normal 3 6 3 2 2 2" xfId="14336" xr:uid="{00000000-0005-0000-0000-000055990000}"/>
    <cellStyle name="Normal 3 6 3 2 2 2 2" xfId="27904" xr:uid="{00000000-0005-0000-0000-000056990000}"/>
    <cellStyle name="Normal 3 6 3 2 2 2 2 2" xfId="55037" xr:uid="{00000000-0005-0000-0000-000057990000}"/>
    <cellStyle name="Normal 3 6 3 2 2 2 3" xfId="41475" xr:uid="{00000000-0005-0000-0000-000058990000}"/>
    <cellStyle name="Normal 3 6 3 2 2 3" xfId="21123" xr:uid="{00000000-0005-0000-0000-000059990000}"/>
    <cellStyle name="Normal 3 6 3 2 2 3 2" xfId="48256" xr:uid="{00000000-0005-0000-0000-00005A990000}"/>
    <cellStyle name="Normal 3 6 3 2 2 4" xfId="34694" xr:uid="{00000000-0005-0000-0000-00005B990000}"/>
    <cellStyle name="Normal 3 6 3 2 3" xfId="10947" xr:uid="{00000000-0005-0000-0000-00005C990000}"/>
    <cellStyle name="Normal 3 6 3 2 3 2" xfId="24515" xr:uid="{00000000-0005-0000-0000-00005D990000}"/>
    <cellStyle name="Normal 3 6 3 2 3 2 2" xfId="51648" xr:uid="{00000000-0005-0000-0000-00005E990000}"/>
    <cellStyle name="Normal 3 6 3 2 3 3" xfId="38086" xr:uid="{00000000-0005-0000-0000-00005F990000}"/>
    <cellStyle name="Normal 3 6 3 2 4" xfId="17734" xr:uid="{00000000-0005-0000-0000-000060990000}"/>
    <cellStyle name="Normal 3 6 3 2 4 2" xfId="44867" xr:uid="{00000000-0005-0000-0000-000061990000}"/>
    <cellStyle name="Normal 3 6 3 2 5" xfId="31305" xr:uid="{00000000-0005-0000-0000-000062990000}"/>
    <cellStyle name="Normal 3 6 3 3" xfId="7546" xr:uid="{00000000-0005-0000-0000-000063990000}"/>
    <cellStyle name="Normal 3 6 3 3 2" xfId="14335" xr:uid="{00000000-0005-0000-0000-000064990000}"/>
    <cellStyle name="Normal 3 6 3 3 2 2" xfId="27903" xr:uid="{00000000-0005-0000-0000-000065990000}"/>
    <cellStyle name="Normal 3 6 3 3 2 2 2" xfId="55036" xr:uid="{00000000-0005-0000-0000-000066990000}"/>
    <cellStyle name="Normal 3 6 3 3 2 3" xfId="41474" xr:uid="{00000000-0005-0000-0000-000067990000}"/>
    <cellStyle name="Normal 3 6 3 3 3" xfId="21122" xr:uid="{00000000-0005-0000-0000-000068990000}"/>
    <cellStyle name="Normal 3 6 3 3 3 2" xfId="48255" xr:uid="{00000000-0005-0000-0000-000069990000}"/>
    <cellStyle name="Normal 3 6 3 3 4" xfId="34693" xr:uid="{00000000-0005-0000-0000-00006A990000}"/>
    <cellStyle name="Normal 3 6 3 4" xfId="10946" xr:uid="{00000000-0005-0000-0000-00006B990000}"/>
    <cellStyle name="Normal 3 6 3 4 2" xfId="24514" xr:uid="{00000000-0005-0000-0000-00006C990000}"/>
    <cellStyle name="Normal 3 6 3 4 2 2" xfId="51647" xr:uid="{00000000-0005-0000-0000-00006D990000}"/>
    <cellStyle name="Normal 3 6 3 4 3" xfId="38085" xr:uid="{00000000-0005-0000-0000-00006E990000}"/>
    <cellStyle name="Normal 3 6 3 5" xfId="17733" xr:uid="{00000000-0005-0000-0000-00006F990000}"/>
    <cellStyle name="Normal 3 6 3 5 2" xfId="44866" xr:uid="{00000000-0005-0000-0000-000070990000}"/>
    <cellStyle name="Normal 3 6 3 6" xfId="31304" xr:uid="{00000000-0005-0000-0000-000071990000}"/>
    <cellStyle name="Normal 3 6 4" xfId="2735" xr:uid="{00000000-0005-0000-0000-000072990000}"/>
    <cellStyle name="Normal 3 6 4 2" xfId="2736" xr:uid="{00000000-0005-0000-0000-000073990000}"/>
    <cellStyle name="Normal 3 6 4 2 2" xfId="7549" xr:uid="{00000000-0005-0000-0000-000074990000}"/>
    <cellStyle name="Normal 3 6 4 2 2 2" xfId="14338" xr:uid="{00000000-0005-0000-0000-000075990000}"/>
    <cellStyle name="Normal 3 6 4 2 2 2 2" xfId="27906" xr:uid="{00000000-0005-0000-0000-000076990000}"/>
    <cellStyle name="Normal 3 6 4 2 2 2 2 2" xfId="55039" xr:uid="{00000000-0005-0000-0000-000077990000}"/>
    <cellStyle name="Normal 3 6 4 2 2 2 3" xfId="41477" xr:uid="{00000000-0005-0000-0000-000078990000}"/>
    <cellStyle name="Normal 3 6 4 2 2 3" xfId="21125" xr:uid="{00000000-0005-0000-0000-000079990000}"/>
    <cellStyle name="Normal 3 6 4 2 2 3 2" xfId="48258" xr:uid="{00000000-0005-0000-0000-00007A990000}"/>
    <cellStyle name="Normal 3 6 4 2 2 4" xfId="34696" xr:uid="{00000000-0005-0000-0000-00007B990000}"/>
    <cellStyle name="Normal 3 6 4 2 3" xfId="10949" xr:uid="{00000000-0005-0000-0000-00007C990000}"/>
    <cellStyle name="Normal 3 6 4 2 3 2" xfId="24517" xr:uid="{00000000-0005-0000-0000-00007D990000}"/>
    <cellStyle name="Normal 3 6 4 2 3 2 2" xfId="51650" xr:uid="{00000000-0005-0000-0000-00007E990000}"/>
    <cellStyle name="Normal 3 6 4 2 3 3" xfId="38088" xr:uid="{00000000-0005-0000-0000-00007F990000}"/>
    <cellStyle name="Normal 3 6 4 2 4" xfId="17736" xr:uid="{00000000-0005-0000-0000-000080990000}"/>
    <cellStyle name="Normal 3 6 4 2 4 2" xfId="44869" xr:uid="{00000000-0005-0000-0000-000081990000}"/>
    <cellStyle name="Normal 3 6 4 2 5" xfId="31307" xr:uid="{00000000-0005-0000-0000-000082990000}"/>
    <cellStyle name="Normal 3 6 4 3" xfId="7548" xr:uid="{00000000-0005-0000-0000-000083990000}"/>
    <cellStyle name="Normal 3 6 4 3 2" xfId="14337" xr:uid="{00000000-0005-0000-0000-000084990000}"/>
    <cellStyle name="Normal 3 6 4 3 2 2" xfId="27905" xr:uid="{00000000-0005-0000-0000-000085990000}"/>
    <cellStyle name="Normal 3 6 4 3 2 2 2" xfId="55038" xr:uid="{00000000-0005-0000-0000-000086990000}"/>
    <cellStyle name="Normal 3 6 4 3 2 3" xfId="41476" xr:uid="{00000000-0005-0000-0000-000087990000}"/>
    <cellStyle name="Normal 3 6 4 3 3" xfId="21124" xr:uid="{00000000-0005-0000-0000-000088990000}"/>
    <cellStyle name="Normal 3 6 4 3 3 2" xfId="48257" xr:uid="{00000000-0005-0000-0000-000089990000}"/>
    <cellStyle name="Normal 3 6 4 3 4" xfId="34695" xr:uid="{00000000-0005-0000-0000-00008A990000}"/>
    <cellStyle name="Normal 3 6 4 4" xfId="10948" xr:uid="{00000000-0005-0000-0000-00008B990000}"/>
    <cellStyle name="Normal 3 6 4 4 2" xfId="24516" xr:uid="{00000000-0005-0000-0000-00008C990000}"/>
    <cellStyle name="Normal 3 6 4 4 2 2" xfId="51649" xr:uid="{00000000-0005-0000-0000-00008D990000}"/>
    <cellStyle name="Normal 3 6 4 4 3" xfId="38087" xr:uid="{00000000-0005-0000-0000-00008E990000}"/>
    <cellStyle name="Normal 3 6 4 5" xfId="17735" xr:uid="{00000000-0005-0000-0000-00008F990000}"/>
    <cellStyle name="Normal 3 6 4 5 2" xfId="44868" xr:uid="{00000000-0005-0000-0000-000090990000}"/>
    <cellStyle name="Normal 3 6 4 6" xfId="31306" xr:uid="{00000000-0005-0000-0000-000091990000}"/>
    <cellStyle name="Normal 3 6 5" xfId="2737" xr:uid="{00000000-0005-0000-0000-000092990000}"/>
    <cellStyle name="Normal 3 6 5 2" xfId="2738" xr:uid="{00000000-0005-0000-0000-000093990000}"/>
    <cellStyle name="Normal 3 6 5 2 2" xfId="7551" xr:uid="{00000000-0005-0000-0000-000094990000}"/>
    <cellStyle name="Normal 3 6 5 2 2 2" xfId="14340" xr:uid="{00000000-0005-0000-0000-000095990000}"/>
    <cellStyle name="Normal 3 6 5 2 2 2 2" xfId="27908" xr:uid="{00000000-0005-0000-0000-000096990000}"/>
    <cellStyle name="Normal 3 6 5 2 2 2 2 2" xfId="55041" xr:uid="{00000000-0005-0000-0000-000097990000}"/>
    <cellStyle name="Normal 3 6 5 2 2 2 3" xfId="41479" xr:uid="{00000000-0005-0000-0000-000098990000}"/>
    <cellStyle name="Normal 3 6 5 2 2 3" xfId="21127" xr:uid="{00000000-0005-0000-0000-000099990000}"/>
    <cellStyle name="Normal 3 6 5 2 2 3 2" xfId="48260" xr:uid="{00000000-0005-0000-0000-00009A990000}"/>
    <cellStyle name="Normal 3 6 5 2 2 4" xfId="34698" xr:uid="{00000000-0005-0000-0000-00009B990000}"/>
    <cellStyle name="Normal 3 6 5 2 3" xfId="10951" xr:uid="{00000000-0005-0000-0000-00009C990000}"/>
    <cellStyle name="Normal 3 6 5 2 3 2" xfId="24519" xr:uid="{00000000-0005-0000-0000-00009D990000}"/>
    <cellStyle name="Normal 3 6 5 2 3 2 2" xfId="51652" xr:uid="{00000000-0005-0000-0000-00009E990000}"/>
    <cellStyle name="Normal 3 6 5 2 3 3" xfId="38090" xr:uid="{00000000-0005-0000-0000-00009F990000}"/>
    <cellStyle name="Normal 3 6 5 2 4" xfId="17738" xr:uid="{00000000-0005-0000-0000-0000A0990000}"/>
    <cellStyle name="Normal 3 6 5 2 4 2" xfId="44871" xr:uid="{00000000-0005-0000-0000-0000A1990000}"/>
    <cellStyle name="Normal 3 6 5 2 5" xfId="31309" xr:uid="{00000000-0005-0000-0000-0000A2990000}"/>
    <cellStyle name="Normal 3 6 5 3" xfId="7550" xr:uid="{00000000-0005-0000-0000-0000A3990000}"/>
    <cellStyle name="Normal 3 6 5 3 2" xfId="14339" xr:uid="{00000000-0005-0000-0000-0000A4990000}"/>
    <cellStyle name="Normal 3 6 5 3 2 2" xfId="27907" xr:uid="{00000000-0005-0000-0000-0000A5990000}"/>
    <cellStyle name="Normal 3 6 5 3 2 2 2" xfId="55040" xr:uid="{00000000-0005-0000-0000-0000A6990000}"/>
    <cellStyle name="Normal 3 6 5 3 2 3" xfId="41478" xr:uid="{00000000-0005-0000-0000-0000A7990000}"/>
    <cellStyle name="Normal 3 6 5 3 3" xfId="21126" xr:uid="{00000000-0005-0000-0000-0000A8990000}"/>
    <cellStyle name="Normal 3 6 5 3 3 2" xfId="48259" xr:uid="{00000000-0005-0000-0000-0000A9990000}"/>
    <cellStyle name="Normal 3 6 5 3 4" xfId="34697" xr:uid="{00000000-0005-0000-0000-0000AA990000}"/>
    <cellStyle name="Normal 3 6 5 4" xfId="10950" xr:uid="{00000000-0005-0000-0000-0000AB990000}"/>
    <cellStyle name="Normal 3 6 5 4 2" xfId="24518" xr:uid="{00000000-0005-0000-0000-0000AC990000}"/>
    <cellStyle name="Normal 3 6 5 4 2 2" xfId="51651" xr:uid="{00000000-0005-0000-0000-0000AD990000}"/>
    <cellStyle name="Normal 3 6 5 4 3" xfId="38089" xr:uid="{00000000-0005-0000-0000-0000AE990000}"/>
    <cellStyle name="Normal 3 6 5 5" xfId="17737" xr:uid="{00000000-0005-0000-0000-0000AF990000}"/>
    <cellStyle name="Normal 3 6 5 5 2" xfId="44870" xr:uid="{00000000-0005-0000-0000-0000B0990000}"/>
    <cellStyle name="Normal 3 6 5 6" xfId="31308" xr:uid="{00000000-0005-0000-0000-0000B1990000}"/>
    <cellStyle name="Normal 3 6 6" xfId="2739" xr:uid="{00000000-0005-0000-0000-0000B2990000}"/>
    <cellStyle name="Normal 3 6 6 2" xfId="2740" xr:uid="{00000000-0005-0000-0000-0000B3990000}"/>
    <cellStyle name="Normal 3 6 6 2 2" xfId="7553" xr:uid="{00000000-0005-0000-0000-0000B4990000}"/>
    <cellStyle name="Normal 3 6 6 2 2 2" xfId="14342" xr:uid="{00000000-0005-0000-0000-0000B5990000}"/>
    <cellStyle name="Normal 3 6 6 2 2 2 2" xfId="27910" xr:uid="{00000000-0005-0000-0000-0000B6990000}"/>
    <cellStyle name="Normal 3 6 6 2 2 2 2 2" xfId="55043" xr:uid="{00000000-0005-0000-0000-0000B7990000}"/>
    <cellStyle name="Normal 3 6 6 2 2 2 3" xfId="41481" xr:uid="{00000000-0005-0000-0000-0000B8990000}"/>
    <cellStyle name="Normal 3 6 6 2 2 3" xfId="21129" xr:uid="{00000000-0005-0000-0000-0000B9990000}"/>
    <cellStyle name="Normal 3 6 6 2 2 3 2" xfId="48262" xr:uid="{00000000-0005-0000-0000-0000BA990000}"/>
    <cellStyle name="Normal 3 6 6 2 2 4" xfId="34700" xr:uid="{00000000-0005-0000-0000-0000BB990000}"/>
    <cellStyle name="Normal 3 6 6 2 3" xfId="10953" xr:uid="{00000000-0005-0000-0000-0000BC990000}"/>
    <cellStyle name="Normal 3 6 6 2 3 2" xfId="24521" xr:uid="{00000000-0005-0000-0000-0000BD990000}"/>
    <cellStyle name="Normal 3 6 6 2 3 2 2" xfId="51654" xr:uid="{00000000-0005-0000-0000-0000BE990000}"/>
    <cellStyle name="Normal 3 6 6 2 3 3" xfId="38092" xr:uid="{00000000-0005-0000-0000-0000BF990000}"/>
    <cellStyle name="Normal 3 6 6 2 4" xfId="17740" xr:uid="{00000000-0005-0000-0000-0000C0990000}"/>
    <cellStyle name="Normal 3 6 6 2 4 2" xfId="44873" xr:uid="{00000000-0005-0000-0000-0000C1990000}"/>
    <cellStyle name="Normal 3 6 6 2 5" xfId="31311" xr:uid="{00000000-0005-0000-0000-0000C2990000}"/>
    <cellStyle name="Normal 3 6 6 3" xfId="7552" xr:uid="{00000000-0005-0000-0000-0000C3990000}"/>
    <cellStyle name="Normal 3 6 6 3 2" xfId="14341" xr:uid="{00000000-0005-0000-0000-0000C4990000}"/>
    <cellStyle name="Normal 3 6 6 3 2 2" xfId="27909" xr:uid="{00000000-0005-0000-0000-0000C5990000}"/>
    <cellStyle name="Normal 3 6 6 3 2 2 2" xfId="55042" xr:uid="{00000000-0005-0000-0000-0000C6990000}"/>
    <cellStyle name="Normal 3 6 6 3 2 3" xfId="41480" xr:uid="{00000000-0005-0000-0000-0000C7990000}"/>
    <cellStyle name="Normal 3 6 6 3 3" xfId="21128" xr:uid="{00000000-0005-0000-0000-0000C8990000}"/>
    <cellStyle name="Normal 3 6 6 3 3 2" xfId="48261" xr:uid="{00000000-0005-0000-0000-0000C9990000}"/>
    <cellStyle name="Normal 3 6 6 3 4" xfId="34699" xr:uid="{00000000-0005-0000-0000-0000CA990000}"/>
    <cellStyle name="Normal 3 6 6 4" xfId="10952" xr:uid="{00000000-0005-0000-0000-0000CB990000}"/>
    <cellStyle name="Normal 3 6 6 4 2" xfId="24520" xr:uid="{00000000-0005-0000-0000-0000CC990000}"/>
    <cellStyle name="Normal 3 6 6 4 2 2" xfId="51653" xr:uid="{00000000-0005-0000-0000-0000CD990000}"/>
    <cellStyle name="Normal 3 6 6 4 3" xfId="38091" xr:uid="{00000000-0005-0000-0000-0000CE990000}"/>
    <cellStyle name="Normal 3 6 6 5" xfId="17739" xr:uid="{00000000-0005-0000-0000-0000CF990000}"/>
    <cellStyle name="Normal 3 6 6 5 2" xfId="44872" xr:uid="{00000000-0005-0000-0000-0000D0990000}"/>
    <cellStyle name="Normal 3 6 6 6" xfId="31310" xr:uid="{00000000-0005-0000-0000-0000D1990000}"/>
    <cellStyle name="Normal 3 6 7" xfId="2741" xr:uid="{00000000-0005-0000-0000-0000D2990000}"/>
    <cellStyle name="Normal 3 6 7 2" xfId="2742" xr:uid="{00000000-0005-0000-0000-0000D3990000}"/>
    <cellStyle name="Normal 3 6 7 2 2" xfId="7555" xr:uid="{00000000-0005-0000-0000-0000D4990000}"/>
    <cellStyle name="Normal 3 6 7 2 2 2" xfId="14344" xr:uid="{00000000-0005-0000-0000-0000D5990000}"/>
    <cellStyle name="Normal 3 6 7 2 2 2 2" xfId="27912" xr:uid="{00000000-0005-0000-0000-0000D6990000}"/>
    <cellStyle name="Normal 3 6 7 2 2 2 2 2" xfId="55045" xr:uid="{00000000-0005-0000-0000-0000D7990000}"/>
    <cellStyle name="Normal 3 6 7 2 2 2 3" xfId="41483" xr:uid="{00000000-0005-0000-0000-0000D8990000}"/>
    <cellStyle name="Normal 3 6 7 2 2 3" xfId="21131" xr:uid="{00000000-0005-0000-0000-0000D9990000}"/>
    <cellStyle name="Normal 3 6 7 2 2 3 2" xfId="48264" xr:uid="{00000000-0005-0000-0000-0000DA990000}"/>
    <cellStyle name="Normal 3 6 7 2 2 4" xfId="34702" xr:uid="{00000000-0005-0000-0000-0000DB990000}"/>
    <cellStyle name="Normal 3 6 7 2 3" xfId="10955" xr:uid="{00000000-0005-0000-0000-0000DC990000}"/>
    <cellStyle name="Normal 3 6 7 2 3 2" xfId="24523" xr:uid="{00000000-0005-0000-0000-0000DD990000}"/>
    <cellStyle name="Normal 3 6 7 2 3 2 2" xfId="51656" xr:uid="{00000000-0005-0000-0000-0000DE990000}"/>
    <cellStyle name="Normal 3 6 7 2 3 3" xfId="38094" xr:uid="{00000000-0005-0000-0000-0000DF990000}"/>
    <cellStyle name="Normal 3 6 7 2 4" xfId="17742" xr:uid="{00000000-0005-0000-0000-0000E0990000}"/>
    <cellStyle name="Normal 3 6 7 2 4 2" xfId="44875" xr:uid="{00000000-0005-0000-0000-0000E1990000}"/>
    <cellStyle name="Normal 3 6 7 2 5" xfId="31313" xr:uid="{00000000-0005-0000-0000-0000E2990000}"/>
    <cellStyle name="Normal 3 6 7 3" xfId="7554" xr:uid="{00000000-0005-0000-0000-0000E3990000}"/>
    <cellStyle name="Normal 3 6 7 3 2" xfId="14343" xr:uid="{00000000-0005-0000-0000-0000E4990000}"/>
    <cellStyle name="Normal 3 6 7 3 2 2" xfId="27911" xr:uid="{00000000-0005-0000-0000-0000E5990000}"/>
    <cellStyle name="Normal 3 6 7 3 2 2 2" xfId="55044" xr:uid="{00000000-0005-0000-0000-0000E6990000}"/>
    <cellStyle name="Normal 3 6 7 3 2 3" xfId="41482" xr:uid="{00000000-0005-0000-0000-0000E7990000}"/>
    <cellStyle name="Normal 3 6 7 3 3" xfId="21130" xr:uid="{00000000-0005-0000-0000-0000E8990000}"/>
    <cellStyle name="Normal 3 6 7 3 3 2" xfId="48263" xr:uid="{00000000-0005-0000-0000-0000E9990000}"/>
    <cellStyle name="Normal 3 6 7 3 4" xfId="34701" xr:uid="{00000000-0005-0000-0000-0000EA990000}"/>
    <cellStyle name="Normal 3 6 7 4" xfId="10954" xr:uid="{00000000-0005-0000-0000-0000EB990000}"/>
    <cellStyle name="Normal 3 6 7 4 2" xfId="24522" xr:uid="{00000000-0005-0000-0000-0000EC990000}"/>
    <cellStyle name="Normal 3 6 7 4 2 2" xfId="51655" xr:uid="{00000000-0005-0000-0000-0000ED990000}"/>
    <cellStyle name="Normal 3 6 7 4 3" xfId="38093" xr:uid="{00000000-0005-0000-0000-0000EE990000}"/>
    <cellStyle name="Normal 3 6 7 5" xfId="17741" xr:uid="{00000000-0005-0000-0000-0000EF990000}"/>
    <cellStyle name="Normal 3 6 7 5 2" xfId="44874" xr:uid="{00000000-0005-0000-0000-0000F0990000}"/>
    <cellStyle name="Normal 3 6 7 6" xfId="31312" xr:uid="{00000000-0005-0000-0000-0000F1990000}"/>
    <cellStyle name="Normal 3 6 8" xfId="2743" xr:uid="{00000000-0005-0000-0000-0000F2990000}"/>
    <cellStyle name="Normal 3 6 8 2" xfId="2744" xr:uid="{00000000-0005-0000-0000-0000F3990000}"/>
    <cellStyle name="Normal 3 6 8 2 2" xfId="7557" xr:uid="{00000000-0005-0000-0000-0000F4990000}"/>
    <cellStyle name="Normal 3 6 8 2 2 2" xfId="14346" xr:uid="{00000000-0005-0000-0000-0000F5990000}"/>
    <cellStyle name="Normal 3 6 8 2 2 2 2" xfId="27914" xr:uid="{00000000-0005-0000-0000-0000F6990000}"/>
    <cellStyle name="Normal 3 6 8 2 2 2 2 2" xfId="55047" xr:uid="{00000000-0005-0000-0000-0000F7990000}"/>
    <cellStyle name="Normal 3 6 8 2 2 2 3" xfId="41485" xr:uid="{00000000-0005-0000-0000-0000F8990000}"/>
    <cellStyle name="Normal 3 6 8 2 2 3" xfId="21133" xr:uid="{00000000-0005-0000-0000-0000F9990000}"/>
    <cellStyle name="Normal 3 6 8 2 2 3 2" xfId="48266" xr:uid="{00000000-0005-0000-0000-0000FA990000}"/>
    <cellStyle name="Normal 3 6 8 2 2 4" xfId="34704" xr:uid="{00000000-0005-0000-0000-0000FB990000}"/>
    <cellStyle name="Normal 3 6 8 2 3" xfId="10957" xr:uid="{00000000-0005-0000-0000-0000FC990000}"/>
    <cellStyle name="Normal 3 6 8 2 3 2" xfId="24525" xr:uid="{00000000-0005-0000-0000-0000FD990000}"/>
    <cellStyle name="Normal 3 6 8 2 3 2 2" xfId="51658" xr:uid="{00000000-0005-0000-0000-0000FE990000}"/>
    <cellStyle name="Normal 3 6 8 2 3 3" xfId="38096" xr:uid="{00000000-0005-0000-0000-0000FF990000}"/>
    <cellStyle name="Normal 3 6 8 2 4" xfId="17744" xr:uid="{00000000-0005-0000-0000-0000009A0000}"/>
    <cellStyle name="Normal 3 6 8 2 4 2" xfId="44877" xr:uid="{00000000-0005-0000-0000-0000019A0000}"/>
    <cellStyle name="Normal 3 6 8 2 5" xfId="31315" xr:uid="{00000000-0005-0000-0000-0000029A0000}"/>
    <cellStyle name="Normal 3 6 8 3" xfId="7556" xr:uid="{00000000-0005-0000-0000-0000039A0000}"/>
    <cellStyle name="Normal 3 6 8 3 2" xfId="14345" xr:uid="{00000000-0005-0000-0000-0000049A0000}"/>
    <cellStyle name="Normal 3 6 8 3 2 2" xfId="27913" xr:uid="{00000000-0005-0000-0000-0000059A0000}"/>
    <cellStyle name="Normal 3 6 8 3 2 2 2" xfId="55046" xr:uid="{00000000-0005-0000-0000-0000069A0000}"/>
    <cellStyle name="Normal 3 6 8 3 2 3" xfId="41484" xr:uid="{00000000-0005-0000-0000-0000079A0000}"/>
    <cellStyle name="Normal 3 6 8 3 3" xfId="21132" xr:uid="{00000000-0005-0000-0000-0000089A0000}"/>
    <cellStyle name="Normal 3 6 8 3 3 2" xfId="48265" xr:uid="{00000000-0005-0000-0000-0000099A0000}"/>
    <cellStyle name="Normal 3 6 8 3 4" xfId="34703" xr:uid="{00000000-0005-0000-0000-00000A9A0000}"/>
    <cellStyle name="Normal 3 6 8 4" xfId="10956" xr:uid="{00000000-0005-0000-0000-00000B9A0000}"/>
    <cellStyle name="Normal 3 6 8 4 2" xfId="24524" xr:uid="{00000000-0005-0000-0000-00000C9A0000}"/>
    <cellStyle name="Normal 3 6 8 4 2 2" xfId="51657" xr:uid="{00000000-0005-0000-0000-00000D9A0000}"/>
    <cellStyle name="Normal 3 6 8 4 3" xfId="38095" xr:uid="{00000000-0005-0000-0000-00000E9A0000}"/>
    <cellStyle name="Normal 3 6 8 5" xfId="17743" xr:uid="{00000000-0005-0000-0000-00000F9A0000}"/>
    <cellStyle name="Normal 3 6 8 5 2" xfId="44876" xr:uid="{00000000-0005-0000-0000-0000109A0000}"/>
    <cellStyle name="Normal 3 6 8 6" xfId="31314" xr:uid="{00000000-0005-0000-0000-0000119A0000}"/>
    <cellStyle name="Normal 3 6 9" xfId="2745" xr:uid="{00000000-0005-0000-0000-0000129A0000}"/>
    <cellStyle name="Normal 3 6 9 2" xfId="7558" xr:uid="{00000000-0005-0000-0000-0000139A0000}"/>
    <cellStyle name="Normal 3 6 9 2 2" xfId="14347" xr:uid="{00000000-0005-0000-0000-0000149A0000}"/>
    <cellStyle name="Normal 3 6 9 2 2 2" xfId="27915" xr:uid="{00000000-0005-0000-0000-0000159A0000}"/>
    <cellStyle name="Normal 3 6 9 2 2 2 2" xfId="55048" xr:uid="{00000000-0005-0000-0000-0000169A0000}"/>
    <cellStyle name="Normal 3 6 9 2 2 3" xfId="41486" xr:uid="{00000000-0005-0000-0000-0000179A0000}"/>
    <cellStyle name="Normal 3 6 9 2 3" xfId="21134" xr:uid="{00000000-0005-0000-0000-0000189A0000}"/>
    <cellStyle name="Normal 3 6 9 2 3 2" xfId="48267" xr:uid="{00000000-0005-0000-0000-0000199A0000}"/>
    <cellStyle name="Normal 3 6 9 2 4" xfId="34705" xr:uid="{00000000-0005-0000-0000-00001A9A0000}"/>
    <cellStyle name="Normal 3 6 9 3" xfId="10958" xr:uid="{00000000-0005-0000-0000-00001B9A0000}"/>
    <cellStyle name="Normal 3 6 9 3 2" xfId="24526" xr:uid="{00000000-0005-0000-0000-00001C9A0000}"/>
    <cellStyle name="Normal 3 6 9 3 2 2" xfId="51659" xr:uid="{00000000-0005-0000-0000-00001D9A0000}"/>
    <cellStyle name="Normal 3 6 9 3 3" xfId="38097" xr:uid="{00000000-0005-0000-0000-00001E9A0000}"/>
    <cellStyle name="Normal 3 6 9 4" xfId="17745" xr:uid="{00000000-0005-0000-0000-00001F9A0000}"/>
    <cellStyle name="Normal 3 6 9 4 2" xfId="44878" xr:uid="{00000000-0005-0000-0000-0000209A0000}"/>
    <cellStyle name="Normal 3 6 9 5" xfId="31316" xr:uid="{00000000-0005-0000-0000-0000219A0000}"/>
    <cellStyle name="Normal 3 7" xfId="2746" xr:uid="{00000000-0005-0000-0000-0000229A0000}"/>
    <cellStyle name="Normal 3 7 10" xfId="7559" xr:uid="{00000000-0005-0000-0000-0000239A0000}"/>
    <cellStyle name="Normal 3 7 10 2" xfId="14348" xr:uid="{00000000-0005-0000-0000-0000249A0000}"/>
    <cellStyle name="Normal 3 7 10 2 2" xfId="27916" xr:uid="{00000000-0005-0000-0000-0000259A0000}"/>
    <cellStyle name="Normal 3 7 10 2 2 2" xfId="55049" xr:uid="{00000000-0005-0000-0000-0000269A0000}"/>
    <cellStyle name="Normal 3 7 10 2 3" xfId="41487" xr:uid="{00000000-0005-0000-0000-0000279A0000}"/>
    <cellStyle name="Normal 3 7 10 3" xfId="21135" xr:uid="{00000000-0005-0000-0000-0000289A0000}"/>
    <cellStyle name="Normal 3 7 10 3 2" xfId="48268" xr:uid="{00000000-0005-0000-0000-0000299A0000}"/>
    <cellStyle name="Normal 3 7 10 4" xfId="34706" xr:uid="{00000000-0005-0000-0000-00002A9A0000}"/>
    <cellStyle name="Normal 3 7 11" xfId="10959" xr:uid="{00000000-0005-0000-0000-00002B9A0000}"/>
    <cellStyle name="Normal 3 7 11 2" xfId="24527" xr:uid="{00000000-0005-0000-0000-00002C9A0000}"/>
    <cellStyle name="Normal 3 7 11 2 2" xfId="51660" xr:uid="{00000000-0005-0000-0000-00002D9A0000}"/>
    <cellStyle name="Normal 3 7 11 3" xfId="38098" xr:uid="{00000000-0005-0000-0000-00002E9A0000}"/>
    <cellStyle name="Normal 3 7 12" xfId="17746" xr:uid="{00000000-0005-0000-0000-00002F9A0000}"/>
    <cellStyle name="Normal 3 7 12 2" xfId="44879" xr:uid="{00000000-0005-0000-0000-0000309A0000}"/>
    <cellStyle name="Normal 3 7 13" xfId="31317" xr:uid="{00000000-0005-0000-0000-0000319A0000}"/>
    <cellStyle name="Normal 3 7 2" xfId="2747" xr:uid="{00000000-0005-0000-0000-0000329A0000}"/>
    <cellStyle name="Normal 3 7 2 10" xfId="31318" xr:uid="{00000000-0005-0000-0000-0000339A0000}"/>
    <cellStyle name="Normal 3 7 2 2" xfId="6142" xr:uid="{00000000-0005-0000-0000-0000349A0000}"/>
    <cellStyle name="Normal 3 7 2 2 2" xfId="6143" xr:uid="{00000000-0005-0000-0000-0000359A0000}"/>
    <cellStyle name="Normal 3 7 2 2 2 2" xfId="6144" xr:uid="{00000000-0005-0000-0000-0000369A0000}"/>
    <cellStyle name="Normal 3 7 2 2 2 2 2" xfId="9687" xr:uid="{00000000-0005-0000-0000-0000379A0000}"/>
    <cellStyle name="Normal 3 7 2 2 2 2 2 2" xfId="16476" xr:uid="{00000000-0005-0000-0000-0000389A0000}"/>
    <cellStyle name="Normal 3 7 2 2 2 2 2 2 2" xfId="30044" xr:uid="{00000000-0005-0000-0000-0000399A0000}"/>
    <cellStyle name="Normal 3 7 2 2 2 2 2 2 2 2" xfId="57177" xr:uid="{00000000-0005-0000-0000-00003A9A0000}"/>
    <cellStyle name="Normal 3 7 2 2 2 2 2 2 3" xfId="43615" xr:uid="{00000000-0005-0000-0000-00003B9A0000}"/>
    <cellStyle name="Normal 3 7 2 2 2 2 2 3" xfId="23263" xr:uid="{00000000-0005-0000-0000-00003C9A0000}"/>
    <cellStyle name="Normal 3 7 2 2 2 2 2 3 2" xfId="50396" xr:uid="{00000000-0005-0000-0000-00003D9A0000}"/>
    <cellStyle name="Normal 3 7 2 2 2 2 2 4" xfId="36834" xr:uid="{00000000-0005-0000-0000-00003E9A0000}"/>
    <cellStyle name="Normal 3 7 2 2 2 2 3" xfId="13087" xr:uid="{00000000-0005-0000-0000-00003F9A0000}"/>
    <cellStyle name="Normal 3 7 2 2 2 2 3 2" xfId="26655" xr:uid="{00000000-0005-0000-0000-0000409A0000}"/>
    <cellStyle name="Normal 3 7 2 2 2 2 3 2 2" xfId="53788" xr:uid="{00000000-0005-0000-0000-0000419A0000}"/>
    <cellStyle name="Normal 3 7 2 2 2 2 3 3" xfId="40226" xr:uid="{00000000-0005-0000-0000-0000429A0000}"/>
    <cellStyle name="Normal 3 7 2 2 2 2 4" xfId="19874" xr:uid="{00000000-0005-0000-0000-0000439A0000}"/>
    <cellStyle name="Normal 3 7 2 2 2 2 4 2" xfId="47007" xr:uid="{00000000-0005-0000-0000-0000449A0000}"/>
    <cellStyle name="Normal 3 7 2 2 2 2 5" xfId="33445" xr:uid="{00000000-0005-0000-0000-0000459A0000}"/>
    <cellStyle name="Normal 3 7 2 2 2 3" xfId="6145" xr:uid="{00000000-0005-0000-0000-0000469A0000}"/>
    <cellStyle name="Normal 3 7 2 2 2 3 2" xfId="9688" xr:uid="{00000000-0005-0000-0000-0000479A0000}"/>
    <cellStyle name="Normal 3 7 2 2 2 3 2 2" xfId="16477" xr:uid="{00000000-0005-0000-0000-0000489A0000}"/>
    <cellStyle name="Normal 3 7 2 2 2 3 2 2 2" xfId="30045" xr:uid="{00000000-0005-0000-0000-0000499A0000}"/>
    <cellStyle name="Normal 3 7 2 2 2 3 2 2 2 2" xfId="57178" xr:uid="{00000000-0005-0000-0000-00004A9A0000}"/>
    <cellStyle name="Normal 3 7 2 2 2 3 2 2 3" xfId="43616" xr:uid="{00000000-0005-0000-0000-00004B9A0000}"/>
    <cellStyle name="Normal 3 7 2 2 2 3 2 3" xfId="23264" xr:uid="{00000000-0005-0000-0000-00004C9A0000}"/>
    <cellStyle name="Normal 3 7 2 2 2 3 2 3 2" xfId="50397" xr:uid="{00000000-0005-0000-0000-00004D9A0000}"/>
    <cellStyle name="Normal 3 7 2 2 2 3 2 4" xfId="36835" xr:uid="{00000000-0005-0000-0000-00004E9A0000}"/>
    <cellStyle name="Normal 3 7 2 2 2 3 3" xfId="13088" xr:uid="{00000000-0005-0000-0000-00004F9A0000}"/>
    <cellStyle name="Normal 3 7 2 2 2 3 3 2" xfId="26656" xr:uid="{00000000-0005-0000-0000-0000509A0000}"/>
    <cellStyle name="Normal 3 7 2 2 2 3 3 2 2" xfId="53789" xr:uid="{00000000-0005-0000-0000-0000519A0000}"/>
    <cellStyle name="Normal 3 7 2 2 2 3 3 3" xfId="40227" xr:uid="{00000000-0005-0000-0000-0000529A0000}"/>
    <cellStyle name="Normal 3 7 2 2 2 3 4" xfId="19875" xr:uid="{00000000-0005-0000-0000-0000539A0000}"/>
    <cellStyle name="Normal 3 7 2 2 2 3 4 2" xfId="47008" xr:uid="{00000000-0005-0000-0000-0000549A0000}"/>
    <cellStyle name="Normal 3 7 2 2 2 3 5" xfId="33446" xr:uid="{00000000-0005-0000-0000-0000559A0000}"/>
    <cellStyle name="Normal 3 7 2 2 2 4" xfId="9686" xr:uid="{00000000-0005-0000-0000-0000569A0000}"/>
    <cellStyle name="Normal 3 7 2 2 2 4 2" xfId="16475" xr:uid="{00000000-0005-0000-0000-0000579A0000}"/>
    <cellStyle name="Normal 3 7 2 2 2 4 2 2" xfId="30043" xr:uid="{00000000-0005-0000-0000-0000589A0000}"/>
    <cellStyle name="Normal 3 7 2 2 2 4 2 2 2" xfId="57176" xr:uid="{00000000-0005-0000-0000-0000599A0000}"/>
    <cellStyle name="Normal 3 7 2 2 2 4 2 3" xfId="43614" xr:uid="{00000000-0005-0000-0000-00005A9A0000}"/>
    <cellStyle name="Normal 3 7 2 2 2 4 3" xfId="23262" xr:uid="{00000000-0005-0000-0000-00005B9A0000}"/>
    <cellStyle name="Normal 3 7 2 2 2 4 3 2" xfId="50395" xr:uid="{00000000-0005-0000-0000-00005C9A0000}"/>
    <cellStyle name="Normal 3 7 2 2 2 4 4" xfId="36833" xr:uid="{00000000-0005-0000-0000-00005D9A0000}"/>
    <cellStyle name="Normal 3 7 2 2 2 5" xfId="13086" xr:uid="{00000000-0005-0000-0000-00005E9A0000}"/>
    <cellStyle name="Normal 3 7 2 2 2 5 2" xfId="26654" xr:uid="{00000000-0005-0000-0000-00005F9A0000}"/>
    <cellStyle name="Normal 3 7 2 2 2 5 2 2" xfId="53787" xr:uid="{00000000-0005-0000-0000-0000609A0000}"/>
    <cellStyle name="Normal 3 7 2 2 2 5 3" xfId="40225" xr:uid="{00000000-0005-0000-0000-0000619A0000}"/>
    <cellStyle name="Normal 3 7 2 2 2 6" xfId="19873" xr:uid="{00000000-0005-0000-0000-0000629A0000}"/>
    <cellStyle name="Normal 3 7 2 2 2 6 2" xfId="47006" xr:uid="{00000000-0005-0000-0000-0000639A0000}"/>
    <cellStyle name="Normal 3 7 2 2 2 7" xfId="33444" xr:uid="{00000000-0005-0000-0000-0000649A0000}"/>
    <cellStyle name="Normal 3 7 2 2 3" xfId="6146" xr:uid="{00000000-0005-0000-0000-0000659A0000}"/>
    <cellStyle name="Normal 3 7 2 2 3 2" xfId="6147" xr:uid="{00000000-0005-0000-0000-0000669A0000}"/>
    <cellStyle name="Normal 3 7 2 2 3 2 2" xfId="9690" xr:uid="{00000000-0005-0000-0000-0000679A0000}"/>
    <cellStyle name="Normal 3 7 2 2 3 2 2 2" xfId="16479" xr:uid="{00000000-0005-0000-0000-0000689A0000}"/>
    <cellStyle name="Normal 3 7 2 2 3 2 2 2 2" xfId="30047" xr:uid="{00000000-0005-0000-0000-0000699A0000}"/>
    <cellStyle name="Normal 3 7 2 2 3 2 2 2 2 2" xfId="57180" xr:uid="{00000000-0005-0000-0000-00006A9A0000}"/>
    <cellStyle name="Normal 3 7 2 2 3 2 2 2 3" xfId="43618" xr:uid="{00000000-0005-0000-0000-00006B9A0000}"/>
    <cellStyle name="Normal 3 7 2 2 3 2 2 3" xfId="23266" xr:uid="{00000000-0005-0000-0000-00006C9A0000}"/>
    <cellStyle name="Normal 3 7 2 2 3 2 2 3 2" xfId="50399" xr:uid="{00000000-0005-0000-0000-00006D9A0000}"/>
    <cellStyle name="Normal 3 7 2 2 3 2 2 4" xfId="36837" xr:uid="{00000000-0005-0000-0000-00006E9A0000}"/>
    <cellStyle name="Normal 3 7 2 2 3 2 3" xfId="13090" xr:uid="{00000000-0005-0000-0000-00006F9A0000}"/>
    <cellStyle name="Normal 3 7 2 2 3 2 3 2" xfId="26658" xr:uid="{00000000-0005-0000-0000-0000709A0000}"/>
    <cellStyle name="Normal 3 7 2 2 3 2 3 2 2" xfId="53791" xr:uid="{00000000-0005-0000-0000-0000719A0000}"/>
    <cellStyle name="Normal 3 7 2 2 3 2 3 3" xfId="40229" xr:uid="{00000000-0005-0000-0000-0000729A0000}"/>
    <cellStyle name="Normal 3 7 2 2 3 2 4" xfId="19877" xr:uid="{00000000-0005-0000-0000-0000739A0000}"/>
    <cellStyle name="Normal 3 7 2 2 3 2 4 2" xfId="47010" xr:uid="{00000000-0005-0000-0000-0000749A0000}"/>
    <cellStyle name="Normal 3 7 2 2 3 2 5" xfId="33448" xr:uid="{00000000-0005-0000-0000-0000759A0000}"/>
    <cellStyle name="Normal 3 7 2 2 3 3" xfId="9689" xr:uid="{00000000-0005-0000-0000-0000769A0000}"/>
    <cellStyle name="Normal 3 7 2 2 3 3 2" xfId="16478" xr:uid="{00000000-0005-0000-0000-0000779A0000}"/>
    <cellStyle name="Normal 3 7 2 2 3 3 2 2" xfId="30046" xr:uid="{00000000-0005-0000-0000-0000789A0000}"/>
    <cellStyle name="Normal 3 7 2 2 3 3 2 2 2" xfId="57179" xr:uid="{00000000-0005-0000-0000-0000799A0000}"/>
    <cellStyle name="Normal 3 7 2 2 3 3 2 3" xfId="43617" xr:uid="{00000000-0005-0000-0000-00007A9A0000}"/>
    <cellStyle name="Normal 3 7 2 2 3 3 3" xfId="23265" xr:uid="{00000000-0005-0000-0000-00007B9A0000}"/>
    <cellStyle name="Normal 3 7 2 2 3 3 3 2" xfId="50398" xr:uid="{00000000-0005-0000-0000-00007C9A0000}"/>
    <cellStyle name="Normal 3 7 2 2 3 3 4" xfId="36836" xr:uid="{00000000-0005-0000-0000-00007D9A0000}"/>
    <cellStyle name="Normal 3 7 2 2 3 4" xfId="13089" xr:uid="{00000000-0005-0000-0000-00007E9A0000}"/>
    <cellStyle name="Normal 3 7 2 2 3 4 2" xfId="26657" xr:uid="{00000000-0005-0000-0000-00007F9A0000}"/>
    <cellStyle name="Normal 3 7 2 2 3 4 2 2" xfId="53790" xr:uid="{00000000-0005-0000-0000-0000809A0000}"/>
    <cellStyle name="Normal 3 7 2 2 3 4 3" xfId="40228" xr:uid="{00000000-0005-0000-0000-0000819A0000}"/>
    <cellStyle name="Normal 3 7 2 2 3 5" xfId="19876" xr:uid="{00000000-0005-0000-0000-0000829A0000}"/>
    <cellStyle name="Normal 3 7 2 2 3 5 2" xfId="47009" xr:uid="{00000000-0005-0000-0000-0000839A0000}"/>
    <cellStyle name="Normal 3 7 2 2 3 6" xfId="33447" xr:uid="{00000000-0005-0000-0000-0000849A0000}"/>
    <cellStyle name="Normal 3 7 2 2 4" xfId="6148" xr:uid="{00000000-0005-0000-0000-0000859A0000}"/>
    <cellStyle name="Normal 3 7 2 2 4 2" xfId="9691" xr:uid="{00000000-0005-0000-0000-0000869A0000}"/>
    <cellStyle name="Normal 3 7 2 2 4 2 2" xfId="16480" xr:uid="{00000000-0005-0000-0000-0000879A0000}"/>
    <cellStyle name="Normal 3 7 2 2 4 2 2 2" xfId="30048" xr:uid="{00000000-0005-0000-0000-0000889A0000}"/>
    <cellStyle name="Normal 3 7 2 2 4 2 2 2 2" xfId="57181" xr:uid="{00000000-0005-0000-0000-0000899A0000}"/>
    <cellStyle name="Normal 3 7 2 2 4 2 2 3" xfId="43619" xr:uid="{00000000-0005-0000-0000-00008A9A0000}"/>
    <cellStyle name="Normal 3 7 2 2 4 2 3" xfId="23267" xr:uid="{00000000-0005-0000-0000-00008B9A0000}"/>
    <cellStyle name="Normal 3 7 2 2 4 2 3 2" xfId="50400" xr:uid="{00000000-0005-0000-0000-00008C9A0000}"/>
    <cellStyle name="Normal 3 7 2 2 4 2 4" xfId="36838" xr:uid="{00000000-0005-0000-0000-00008D9A0000}"/>
    <cellStyle name="Normal 3 7 2 2 4 3" xfId="13091" xr:uid="{00000000-0005-0000-0000-00008E9A0000}"/>
    <cellStyle name="Normal 3 7 2 2 4 3 2" xfId="26659" xr:uid="{00000000-0005-0000-0000-00008F9A0000}"/>
    <cellStyle name="Normal 3 7 2 2 4 3 2 2" xfId="53792" xr:uid="{00000000-0005-0000-0000-0000909A0000}"/>
    <cellStyle name="Normal 3 7 2 2 4 3 3" xfId="40230" xr:uid="{00000000-0005-0000-0000-0000919A0000}"/>
    <cellStyle name="Normal 3 7 2 2 4 4" xfId="19878" xr:uid="{00000000-0005-0000-0000-0000929A0000}"/>
    <cellStyle name="Normal 3 7 2 2 4 4 2" xfId="47011" xr:uid="{00000000-0005-0000-0000-0000939A0000}"/>
    <cellStyle name="Normal 3 7 2 2 4 5" xfId="33449" xr:uid="{00000000-0005-0000-0000-0000949A0000}"/>
    <cellStyle name="Normal 3 7 2 2 5" xfId="6149" xr:uid="{00000000-0005-0000-0000-0000959A0000}"/>
    <cellStyle name="Normal 3 7 2 2 5 2" xfId="9692" xr:uid="{00000000-0005-0000-0000-0000969A0000}"/>
    <cellStyle name="Normal 3 7 2 2 5 2 2" xfId="16481" xr:uid="{00000000-0005-0000-0000-0000979A0000}"/>
    <cellStyle name="Normal 3 7 2 2 5 2 2 2" xfId="30049" xr:uid="{00000000-0005-0000-0000-0000989A0000}"/>
    <cellStyle name="Normal 3 7 2 2 5 2 2 2 2" xfId="57182" xr:uid="{00000000-0005-0000-0000-0000999A0000}"/>
    <cellStyle name="Normal 3 7 2 2 5 2 2 3" xfId="43620" xr:uid="{00000000-0005-0000-0000-00009A9A0000}"/>
    <cellStyle name="Normal 3 7 2 2 5 2 3" xfId="23268" xr:uid="{00000000-0005-0000-0000-00009B9A0000}"/>
    <cellStyle name="Normal 3 7 2 2 5 2 3 2" xfId="50401" xr:uid="{00000000-0005-0000-0000-00009C9A0000}"/>
    <cellStyle name="Normal 3 7 2 2 5 2 4" xfId="36839" xr:uid="{00000000-0005-0000-0000-00009D9A0000}"/>
    <cellStyle name="Normal 3 7 2 2 5 3" xfId="13092" xr:uid="{00000000-0005-0000-0000-00009E9A0000}"/>
    <cellStyle name="Normal 3 7 2 2 5 3 2" xfId="26660" xr:uid="{00000000-0005-0000-0000-00009F9A0000}"/>
    <cellStyle name="Normal 3 7 2 2 5 3 2 2" xfId="53793" xr:uid="{00000000-0005-0000-0000-0000A09A0000}"/>
    <cellStyle name="Normal 3 7 2 2 5 3 3" xfId="40231" xr:uid="{00000000-0005-0000-0000-0000A19A0000}"/>
    <cellStyle name="Normal 3 7 2 2 5 4" xfId="19879" xr:uid="{00000000-0005-0000-0000-0000A29A0000}"/>
    <cellStyle name="Normal 3 7 2 2 5 4 2" xfId="47012" xr:uid="{00000000-0005-0000-0000-0000A39A0000}"/>
    <cellStyle name="Normal 3 7 2 2 5 5" xfId="33450" xr:uid="{00000000-0005-0000-0000-0000A49A0000}"/>
    <cellStyle name="Normal 3 7 2 2 6" xfId="9685" xr:uid="{00000000-0005-0000-0000-0000A59A0000}"/>
    <cellStyle name="Normal 3 7 2 2 6 2" xfId="16474" xr:uid="{00000000-0005-0000-0000-0000A69A0000}"/>
    <cellStyle name="Normal 3 7 2 2 6 2 2" xfId="30042" xr:uid="{00000000-0005-0000-0000-0000A79A0000}"/>
    <cellStyle name="Normal 3 7 2 2 6 2 2 2" xfId="57175" xr:uid="{00000000-0005-0000-0000-0000A89A0000}"/>
    <cellStyle name="Normal 3 7 2 2 6 2 3" xfId="43613" xr:uid="{00000000-0005-0000-0000-0000A99A0000}"/>
    <cellStyle name="Normal 3 7 2 2 6 3" xfId="23261" xr:uid="{00000000-0005-0000-0000-0000AA9A0000}"/>
    <cellStyle name="Normal 3 7 2 2 6 3 2" xfId="50394" xr:uid="{00000000-0005-0000-0000-0000AB9A0000}"/>
    <cellStyle name="Normal 3 7 2 2 6 4" xfId="36832" xr:uid="{00000000-0005-0000-0000-0000AC9A0000}"/>
    <cellStyle name="Normal 3 7 2 2 7" xfId="13085" xr:uid="{00000000-0005-0000-0000-0000AD9A0000}"/>
    <cellStyle name="Normal 3 7 2 2 7 2" xfId="26653" xr:uid="{00000000-0005-0000-0000-0000AE9A0000}"/>
    <cellStyle name="Normal 3 7 2 2 7 2 2" xfId="53786" xr:uid="{00000000-0005-0000-0000-0000AF9A0000}"/>
    <cellStyle name="Normal 3 7 2 2 7 3" xfId="40224" xr:uid="{00000000-0005-0000-0000-0000B09A0000}"/>
    <cellStyle name="Normal 3 7 2 2 8" xfId="19872" xr:uid="{00000000-0005-0000-0000-0000B19A0000}"/>
    <cellStyle name="Normal 3 7 2 2 8 2" xfId="47005" xr:uid="{00000000-0005-0000-0000-0000B29A0000}"/>
    <cellStyle name="Normal 3 7 2 2 9" xfId="33443" xr:uid="{00000000-0005-0000-0000-0000B39A0000}"/>
    <cellStyle name="Normal 3 7 2 3" xfId="6150" xr:uid="{00000000-0005-0000-0000-0000B49A0000}"/>
    <cellStyle name="Normal 3 7 2 3 2" xfId="6151" xr:uid="{00000000-0005-0000-0000-0000B59A0000}"/>
    <cellStyle name="Normal 3 7 2 3 2 2" xfId="9694" xr:uid="{00000000-0005-0000-0000-0000B69A0000}"/>
    <cellStyle name="Normal 3 7 2 3 2 2 2" xfId="16483" xr:uid="{00000000-0005-0000-0000-0000B79A0000}"/>
    <cellStyle name="Normal 3 7 2 3 2 2 2 2" xfId="30051" xr:uid="{00000000-0005-0000-0000-0000B89A0000}"/>
    <cellStyle name="Normal 3 7 2 3 2 2 2 2 2" xfId="57184" xr:uid="{00000000-0005-0000-0000-0000B99A0000}"/>
    <cellStyle name="Normal 3 7 2 3 2 2 2 3" xfId="43622" xr:uid="{00000000-0005-0000-0000-0000BA9A0000}"/>
    <cellStyle name="Normal 3 7 2 3 2 2 3" xfId="23270" xr:uid="{00000000-0005-0000-0000-0000BB9A0000}"/>
    <cellStyle name="Normal 3 7 2 3 2 2 3 2" xfId="50403" xr:uid="{00000000-0005-0000-0000-0000BC9A0000}"/>
    <cellStyle name="Normal 3 7 2 3 2 2 4" xfId="36841" xr:uid="{00000000-0005-0000-0000-0000BD9A0000}"/>
    <cellStyle name="Normal 3 7 2 3 2 3" xfId="13094" xr:uid="{00000000-0005-0000-0000-0000BE9A0000}"/>
    <cellStyle name="Normal 3 7 2 3 2 3 2" xfId="26662" xr:uid="{00000000-0005-0000-0000-0000BF9A0000}"/>
    <cellStyle name="Normal 3 7 2 3 2 3 2 2" xfId="53795" xr:uid="{00000000-0005-0000-0000-0000C09A0000}"/>
    <cellStyle name="Normal 3 7 2 3 2 3 3" xfId="40233" xr:uid="{00000000-0005-0000-0000-0000C19A0000}"/>
    <cellStyle name="Normal 3 7 2 3 2 4" xfId="19881" xr:uid="{00000000-0005-0000-0000-0000C29A0000}"/>
    <cellStyle name="Normal 3 7 2 3 2 4 2" xfId="47014" xr:uid="{00000000-0005-0000-0000-0000C39A0000}"/>
    <cellStyle name="Normal 3 7 2 3 2 5" xfId="33452" xr:uid="{00000000-0005-0000-0000-0000C49A0000}"/>
    <cellStyle name="Normal 3 7 2 3 3" xfId="6152" xr:uid="{00000000-0005-0000-0000-0000C59A0000}"/>
    <cellStyle name="Normal 3 7 2 3 3 2" xfId="9695" xr:uid="{00000000-0005-0000-0000-0000C69A0000}"/>
    <cellStyle name="Normal 3 7 2 3 3 2 2" xfId="16484" xr:uid="{00000000-0005-0000-0000-0000C79A0000}"/>
    <cellStyle name="Normal 3 7 2 3 3 2 2 2" xfId="30052" xr:uid="{00000000-0005-0000-0000-0000C89A0000}"/>
    <cellStyle name="Normal 3 7 2 3 3 2 2 2 2" xfId="57185" xr:uid="{00000000-0005-0000-0000-0000C99A0000}"/>
    <cellStyle name="Normal 3 7 2 3 3 2 2 3" xfId="43623" xr:uid="{00000000-0005-0000-0000-0000CA9A0000}"/>
    <cellStyle name="Normal 3 7 2 3 3 2 3" xfId="23271" xr:uid="{00000000-0005-0000-0000-0000CB9A0000}"/>
    <cellStyle name="Normal 3 7 2 3 3 2 3 2" xfId="50404" xr:uid="{00000000-0005-0000-0000-0000CC9A0000}"/>
    <cellStyle name="Normal 3 7 2 3 3 2 4" xfId="36842" xr:uid="{00000000-0005-0000-0000-0000CD9A0000}"/>
    <cellStyle name="Normal 3 7 2 3 3 3" xfId="13095" xr:uid="{00000000-0005-0000-0000-0000CE9A0000}"/>
    <cellStyle name="Normal 3 7 2 3 3 3 2" xfId="26663" xr:uid="{00000000-0005-0000-0000-0000CF9A0000}"/>
    <cellStyle name="Normal 3 7 2 3 3 3 2 2" xfId="53796" xr:uid="{00000000-0005-0000-0000-0000D09A0000}"/>
    <cellStyle name="Normal 3 7 2 3 3 3 3" xfId="40234" xr:uid="{00000000-0005-0000-0000-0000D19A0000}"/>
    <cellStyle name="Normal 3 7 2 3 3 4" xfId="19882" xr:uid="{00000000-0005-0000-0000-0000D29A0000}"/>
    <cellStyle name="Normal 3 7 2 3 3 4 2" xfId="47015" xr:uid="{00000000-0005-0000-0000-0000D39A0000}"/>
    <cellStyle name="Normal 3 7 2 3 3 5" xfId="33453" xr:uid="{00000000-0005-0000-0000-0000D49A0000}"/>
    <cellStyle name="Normal 3 7 2 3 4" xfId="9693" xr:uid="{00000000-0005-0000-0000-0000D59A0000}"/>
    <cellStyle name="Normal 3 7 2 3 4 2" xfId="16482" xr:uid="{00000000-0005-0000-0000-0000D69A0000}"/>
    <cellStyle name="Normal 3 7 2 3 4 2 2" xfId="30050" xr:uid="{00000000-0005-0000-0000-0000D79A0000}"/>
    <cellStyle name="Normal 3 7 2 3 4 2 2 2" xfId="57183" xr:uid="{00000000-0005-0000-0000-0000D89A0000}"/>
    <cellStyle name="Normal 3 7 2 3 4 2 3" xfId="43621" xr:uid="{00000000-0005-0000-0000-0000D99A0000}"/>
    <cellStyle name="Normal 3 7 2 3 4 3" xfId="23269" xr:uid="{00000000-0005-0000-0000-0000DA9A0000}"/>
    <cellStyle name="Normal 3 7 2 3 4 3 2" xfId="50402" xr:uid="{00000000-0005-0000-0000-0000DB9A0000}"/>
    <cellStyle name="Normal 3 7 2 3 4 4" xfId="36840" xr:uid="{00000000-0005-0000-0000-0000DC9A0000}"/>
    <cellStyle name="Normal 3 7 2 3 5" xfId="13093" xr:uid="{00000000-0005-0000-0000-0000DD9A0000}"/>
    <cellStyle name="Normal 3 7 2 3 5 2" xfId="26661" xr:uid="{00000000-0005-0000-0000-0000DE9A0000}"/>
    <cellStyle name="Normal 3 7 2 3 5 2 2" xfId="53794" xr:uid="{00000000-0005-0000-0000-0000DF9A0000}"/>
    <cellStyle name="Normal 3 7 2 3 5 3" xfId="40232" xr:uid="{00000000-0005-0000-0000-0000E09A0000}"/>
    <cellStyle name="Normal 3 7 2 3 6" xfId="19880" xr:uid="{00000000-0005-0000-0000-0000E19A0000}"/>
    <cellStyle name="Normal 3 7 2 3 6 2" xfId="47013" xr:uid="{00000000-0005-0000-0000-0000E29A0000}"/>
    <cellStyle name="Normal 3 7 2 3 7" xfId="33451" xr:uid="{00000000-0005-0000-0000-0000E39A0000}"/>
    <cellStyle name="Normal 3 7 2 4" xfId="6153" xr:uid="{00000000-0005-0000-0000-0000E49A0000}"/>
    <cellStyle name="Normal 3 7 2 4 2" xfId="6154" xr:uid="{00000000-0005-0000-0000-0000E59A0000}"/>
    <cellStyle name="Normal 3 7 2 4 2 2" xfId="9697" xr:uid="{00000000-0005-0000-0000-0000E69A0000}"/>
    <cellStyle name="Normal 3 7 2 4 2 2 2" xfId="16486" xr:uid="{00000000-0005-0000-0000-0000E79A0000}"/>
    <cellStyle name="Normal 3 7 2 4 2 2 2 2" xfId="30054" xr:uid="{00000000-0005-0000-0000-0000E89A0000}"/>
    <cellStyle name="Normal 3 7 2 4 2 2 2 2 2" xfId="57187" xr:uid="{00000000-0005-0000-0000-0000E99A0000}"/>
    <cellStyle name="Normal 3 7 2 4 2 2 2 3" xfId="43625" xr:uid="{00000000-0005-0000-0000-0000EA9A0000}"/>
    <cellStyle name="Normal 3 7 2 4 2 2 3" xfId="23273" xr:uid="{00000000-0005-0000-0000-0000EB9A0000}"/>
    <cellStyle name="Normal 3 7 2 4 2 2 3 2" xfId="50406" xr:uid="{00000000-0005-0000-0000-0000EC9A0000}"/>
    <cellStyle name="Normal 3 7 2 4 2 2 4" xfId="36844" xr:uid="{00000000-0005-0000-0000-0000ED9A0000}"/>
    <cellStyle name="Normal 3 7 2 4 2 3" xfId="13097" xr:uid="{00000000-0005-0000-0000-0000EE9A0000}"/>
    <cellStyle name="Normal 3 7 2 4 2 3 2" xfId="26665" xr:uid="{00000000-0005-0000-0000-0000EF9A0000}"/>
    <cellStyle name="Normal 3 7 2 4 2 3 2 2" xfId="53798" xr:uid="{00000000-0005-0000-0000-0000F09A0000}"/>
    <cellStyle name="Normal 3 7 2 4 2 3 3" xfId="40236" xr:uid="{00000000-0005-0000-0000-0000F19A0000}"/>
    <cellStyle name="Normal 3 7 2 4 2 4" xfId="19884" xr:uid="{00000000-0005-0000-0000-0000F29A0000}"/>
    <cellStyle name="Normal 3 7 2 4 2 4 2" xfId="47017" xr:uid="{00000000-0005-0000-0000-0000F39A0000}"/>
    <cellStyle name="Normal 3 7 2 4 2 5" xfId="33455" xr:uid="{00000000-0005-0000-0000-0000F49A0000}"/>
    <cellStyle name="Normal 3 7 2 4 3" xfId="9696" xr:uid="{00000000-0005-0000-0000-0000F59A0000}"/>
    <cellStyle name="Normal 3 7 2 4 3 2" xfId="16485" xr:uid="{00000000-0005-0000-0000-0000F69A0000}"/>
    <cellStyle name="Normal 3 7 2 4 3 2 2" xfId="30053" xr:uid="{00000000-0005-0000-0000-0000F79A0000}"/>
    <cellStyle name="Normal 3 7 2 4 3 2 2 2" xfId="57186" xr:uid="{00000000-0005-0000-0000-0000F89A0000}"/>
    <cellStyle name="Normal 3 7 2 4 3 2 3" xfId="43624" xr:uid="{00000000-0005-0000-0000-0000F99A0000}"/>
    <cellStyle name="Normal 3 7 2 4 3 3" xfId="23272" xr:uid="{00000000-0005-0000-0000-0000FA9A0000}"/>
    <cellStyle name="Normal 3 7 2 4 3 3 2" xfId="50405" xr:uid="{00000000-0005-0000-0000-0000FB9A0000}"/>
    <cellStyle name="Normal 3 7 2 4 3 4" xfId="36843" xr:uid="{00000000-0005-0000-0000-0000FC9A0000}"/>
    <cellStyle name="Normal 3 7 2 4 4" xfId="13096" xr:uid="{00000000-0005-0000-0000-0000FD9A0000}"/>
    <cellStyle name="Normal 3 7 2 4 4 2" xfId="26664" xr:uid="{00000000-0005-0000-0000-0000FE9A0000}"/>
    <cellStyle name="Normal 3 7 2 4 4 2 2" xfId="53797" xr:uid="{00000000-0005-0000-0000-0000FF9A0000}"/>
    <cellStyle name="Normal 3 7 2 4 4 3" xfId="40235" xr:uid="{00000000-0005-0000-0000-0000009B0000}"/>
    <cellStyle name="Normal 3 7 2 4 5" xfId="19883" xr:uid="{00000000-0005-0000-0000-0000019B0000}"/>
    <cellStyle name="Normal 3 7 2 4 5 2" xfId="47016" xr:uid="{00000000-0005-0000-0000-0000029B0000}"/>
    <cellStyle name="Normal 3 7 2 4 6" xfId="33454" xr:uid="{00000000-0005-0000-0000-0000039B0000}"/>
    <cellStyle name="Normal 3 7 2 5" xfId="6155" xr:uid="{00000000-0005-0000-0000-0000049B0000}"/>
    <cellStyle name="Normal 3 7 2 5 2" xfId="9698" xr:uid="{00000000-0005-0000-0000-0000059B0000}"/>
    <cellStyle name="Normal 3 7 2 5 2 2" xfId="16487" xr:uid="{00000000-0005-0000-0000-0000069B0000}"/>
    <cellStyle name="Normal 3 7 2 5 2 2 2" xfId="30055" xr:uid="{00000000-0005-0000-0000-0000079B0000}"/>
    <cellStyle name="Normal 3 7 2 5 2 2 2 2" xfId="57188" xr:uid="{00000000-0005-0000-0000-0000089B0000}"/>
    <cellStyle name="Normal 3 7 2 5 2 2 3" xfId="43626" xr:uid="{00000000-0005-0000-0000-0000099B0000}"/>
    <cellStyle name="Normal 3 7 2 5 2 3" xfId="23274" xr:uid="{00000000-0005-0000-0000-00000A9B0000}"/>
    <cellStyle name="Normal 3 7 2 5 2 3 2" xfId="50407" xr:uid="{00000000-0005-0000-0000-00000B9B0000}"/>
    <cellStyle name="Normal 3 7 2 5 2 4" xfId="36845" xr:uid="{00000000-0005-0000-0000-00000C9B0000}"/>
    <cellStyle name="Normal 3 7 2 5 3" xfId="13098" xr:uid="{00000000-0005-0000-0000-00000D9B0000}"/>
    <cellStyle name="Normal 3 7 2 5 3 2" xfId="26666" xr:uid="{00000000-0005-0000-0000-00000E9B0000}"/>
    <cellStyle name="Normal 3 7 2 5 3 2 2" xfId="53799" xr:uid="{00000000-0005-0000-0000-00000F9B0000}"/>
    <cellStyle name="Normal 3 7 2 5 3 3" xfId="40237" xr:uid="{00000000-0005-0000-0000-0000109B0000}"/>
    <cellStyle name="Normal 3 7 2 5 4" xfId="19885" xr:uid="{00000000-0005-0000-0000-0000119B0000}"/>
    <cellStyle name="Normal 3 7 2 5 4 2" xfId="47018" xr:uid="{00000000-0005-0000-0000-0000129B0000}"/>
    <cellStyle name="Normal 3 7 2 5 5" xfId="33456" xr:uid="{00000000-0005-0000-0000-0000139B0000}"/>
    <cellStyle name="Normal 3 7 2 6" xfId="6156" xr:uid="{00000000-0005-0000-0000-0000149B0000}"/>
    <cellStyle name="Normal 3 7 2 6 2" xfId="9699" xr:uid="{00000000-0005-0000-0000-0000159B0000}"/>
    <cellStyle name="Normal 3 7 2 6 2 2" xfId="16488" xr:uid="{00000000-0005-0000-0000-0000169B0000}"/>
    <cellStyle name="Normal 3 7 2 6 2 2 2" xfId="30056" xr:uid="{00000000-0005-0000-0000-0000179B0000}"/>
    <cellStyle name="Normal 3 7 2 6 2 2 2 2" xfId="57189" xr:uid="{00000000-0005-0000-0000-0000189B0000}"/>
    <cellStyle name="Normal 3 7 2 6 2 2 3" xfId="43627" xr:uid="{00000000-0005-0000-0000-0000199B0000}"/>
    <cellStyle name="Normal 3 7 2 6 2 3" xfId="23275" xr:uid="{00000000-0005-0000-0000-00001A9B0000}"/>
    <cellStyle name="Normal 3 7 2 6 2 3 2" xfId="50408" xr:uid="{00000000-0005-0000-0000-00001B9B0000}"/>
    <cellStyle name="Normal 3 7 2 6 2 4" xfId="36846" xr:uid="{00000000-0005-0000-0000-00001C9B0000}"/>
    <cellStyle name="Normal 3 7 2 6 3" xfId="13099" xr:uid="{00000000-0005-0000-0000-00001D9B0000}"/>
    <cellStyle name="Normal 3 7 2 6 3 2" xfId="26667" xr:uid="{00000000-0005-0000-0000-00001E9B0000}"/>
    <cellStyle name="Normal 3 7 2 6 3 2 2" xfId="53800" xr:uid="{00000000-0005-0000-0000-00001F9B0000}"/>
    <cellStyle name="Normal 3 7 2 6 3 3" xfId="40238" xr:uid="{00000000-0005-0000-0000-0000209B0000}"/>
    <cellStyle name="Normal 3 7 2 6 4" xfId="19886" xr:uid="{00000000-0005-0000-0000-0000219B0000}"/>
    <cellStyle name="Normal 3 7 2 6 4 2" xfId="47019" xr:uid="{00000000-0005-0000-0000-0000229B0000}"/>
    <cellStyle name="Normal 3 7 2 6 5" xfId="33457" xr:uid="{00000000-0005-0000-0000-0000239B0000}"/>
    <cellStyle name="Normal 3 7 2 7" xfId="7560" xr:uid="{00000000-0005-0000-0000-0000249B0000}"/>
    <cellStyle name="Normal 3 7 2 7 2" xfId="14349" xr:uid="{00000000-0005-0000-0000-0000259B0000}"/>
    <cellStyle name="Normal 3 7 2 7 2 2" xfId="27917" xr:uid="{00000000-0005-0000-0000-0000269B0000}"/>
    <cellStyle name="Normal 3 7 2 7 2 2 2" xfId="55050" xr:uid="{00000000-0005-0000-0000-0000279B0000}"/>
    <cellStyle name="Normal 3 7 2 7 2 3" xfId="41488" xr:uid="{00000000-0005-0000-0000-0000289B0000}"/>
    <cellStyle name="Normal 3 7 2 7 3" xfId="21136" xr:uid="{00000000-0005-0000-0000-0000299B0000}"/>
    <cellStyle name="Normal 3 7 2 7 3 2" xfId="48269" xr:uid="{00000000-0005-0000-0000-00002A9B0000}"/>
    <cellStyle name="Normal 3 7 2 7 4" xfId="34707" xr:uid="{00000000-0005-0000-0000-00002B9B0000}"/>
    <cellStyle name="Normal 3 7 2 8" xfId="10960" xr:uid="{00000000-0005-0000-0000-00002C9B0000}"/>
    <cellStyle name="Normal 3 7 2 8 2" xfId="24528" xr:uid="{00000000-0005-0000-0000-00002D9B0000}"/>
    <cellStyle name="Normal 3 7 2 8 2 2" xfId="51661" xr:uid="{00000000-0005-0000-0000-00002E9B0000}"/>
    <cellStyle name="Normal 3 7 2 8 3" xfId="38099" xr:uid="{00000000-0005-0000-0000-00002F9B0000}"/>
    <cellStyle name="Normal 3 7 2 9" xfId="17747" xr:uid="{00000000-0005-0000-0000-0000309B0000}"/>
    <cellStyle name="Normal 3 7 2 9 2" xfId="44880" xr:uid="{00000000-0005-0000-0000-0000319B0000}"/>
    <cellStyle name="Normal 3 7 3" xfId="6157" xr:uid="{00000000-0005-0000-0000-0000329B0000}"/>
    <cellStyle name="Normal 3 7 3 2" xfId="6158" xr:uid="{00000000-0005-0000-0000-0000339B0000}"/>
    <cellStyle name="Normal 3 7 3 2 2" xfId="6159" xr:uid="{00000000-0005-0000-0000-0000349B0000}"/>
    <cellStyle name="Normal 3 7 3 2 2 2" xfId="9702" xr:uid="{00000000-0005-0000-0000-0000359B0000}"/>
    <cellStyle name="Normal 3 7 3 2 2 2 2" xfId="16491" xr:uid="{00000000-0005-0000-0000-0000369B0000}"/>
    <cellStyle name="Normal 3 7 3 2 2 2 2 2" xfId="30059" xr:uid="{00000000-0005-0000-0000-0000379B0000}"/>
    <cellStyle name="Normal 3 7 3 2 2 2 2 2 2" xfId="57192" xr:uid="{00000000-0005-0000-0000-0000389B0000}"/>
    <cellStyle name="Normal 3 7 3 2 2 2 2 3" xfId="43630" xr:uid="{00000000-0005-0000-0000-0000399B0000}"/>
    <cellStyle name="Normal 3 7 3 2 2 2 3" xfId="23278" xr:uid="{00000000-0005-0000-0000-00003A9B0000}"/>
    <cellStyle name="Normal 3 7 3 2 2 2 3 2" xfId="50411" xr:uid="{00000000-0005-0000-0000-00003B9B0000}"/>
    <cellStyle name="Normal 3 7 3 2 2 2 4" xfId="36849" xr:uid="{00000000-0005-0000-0000-00003C9B0000}"/>
    <cellStyle name="Normal 3 7 3 2 2 3" xfId="13102" xr:uid="{00000000-0005-0000-0000-00003D9B0000}"/>
    <cellStyle name="Normal 3 7 3 2 2 3 2" xfId="26670" xr:uid="{00000000-0005-0000-0000-00003E9B0000}"/>
    <cellStyle name="Normal 3 7 3 2 2 3 2 2" xfId="53803" xr:uid="{00000000-0005-0000-0000-00003F9B0000}"/>
    <cellStyle name="Normal 3 7 3 2 2 3 3" xfId="40241" xr:uid="{00000000-0005-0000-0000-0000409B0000}"/>
    <cellStyle name="Normal 3 7 3 2 2 4" xfId="19889" xr:uid="{00000000-0005-0000-0000-0000419B0000}"/>
    <cellStyle name="Normal 3 7 3 2 2 4 2" xfId="47022" xr:uid="{00000000-0005-0000-0000-0000429B0000}"/>
    <cellStyle name="Normal 3 7 3 2 2 5" xfId="33460" xr:uid="{00000000-0005-0000-0000-0000439B0000}"/>
    <cellStyle name="Normal 3 7 3 2 3" xfId="6160" xr:uid="{00000000-0005-0000-0000-0000449B0000}"/>
    <cellStyle name="Normal 3 7 3 2 3 2" xfId="9703" xr:uid="{00000000-0005-0000-0000-0000459B0000}"/>
    <cellStyle name="Normal 3 7 3 2 3 2 2" xfId="16492" xr:uid="{00000000-0005-0000-0000-0000469B0000}"/>
    <cellStyle name="Normal 3 7 3 2 3 2 2 2" xfId="30060" xr:uid="{00000000-0005-0000-0000-0000479B0000}"/>
    <cellStyle name="Normal 3 7 3 2 3 2 2 2 2" xfId="57193" xr:uid="{00000000-0005-0000-0000-0000489B0000}"/>
    <cellStyle name="Normal 3 7 3 2 3 2 2 3" xfId="43631" xr:uid="{00000000-0005-0000-0000-0000499B0000}"/>
    <cellStyle name="Normal 3 7 3 2 3 2 3" xfId="23279" xr:uid="{00000000-0005-0000-0000-00004A9B0000}"/>
    <cellStyle name="Normal 3 7 3 2 3 2 3 2" xfId="50412" xr:uid="{00000000-0005-0000-0000-00004B9B0000}"/>
    <cellStyle name="Normal 3 7 3 2 3 2 4" xfId="36850" xr:uid="{00000000-0005-0000-0000-00004C9B0000}"/>
    <cellStyle name="Normal 3 7 3 2 3 3" xfId="13103" xr:uid="{00000000-0005-0000-0000-00004D9B0000}"/>
    <cellStyle name="Normal 3 7 3 2 3 3 2" xfId="26671" xr:uid="{00000000-0005-0000-0000-00004E9B0000}"/>
    <cellStyle name="Normal 3 7 3 2 3 3 2 2" xfId="53804" xr:uid="{00000000-0005-0000-0000-00004F9B0000}"/>
    <cellStyle name="Normal 3 7 3 2 3 3 3" xfId="40242" xr:uid="{00000000-0005-0000-0000-0000509B0000}"/>
    <cellStyle name="Normal 3 7 3 2 3 4" xfId="19890" xr:uid="{00000000-0005-0000-0000-0000519B0000}"/>
    <cellStyle name="Normal 3 7 3 2 3 4 2" xfId="47023" xr:uid="{00000000-0005-0000-0000-0000529B0000}"/>
    <cellStyle name="Normal 3 7 3 2 3 5" xfId="33461" xr:uid="{00000000-0005-0000-0000-0000539B0000}"/>
    <cellStyle name="Normal 3 7 3 2 4" xfId="9701" xr:uid="{00000000-0005-0000-0000-0000549B0000}"/>
    <cellStyle name="Normal 3 7 3 2 4 2" xfId="16490" xr:uid="{00000000-0005-0000-0000-0000559B0000}"/>
    <cellStyle name="Normal 3 7 3 2 4 2 2" xfId="30058" xr:uid="{00000000-0005-0000-0000-0000569B0000}"/>
    <cellStyle name="Normal 3 7 3 2 4 2 2 2" xfId="57191" xr:uid="{00000000-0005-0000-0000-0000579B0000}"/>
    <cellStyle name="Normal 3 7 3 2 4 2 3" xfId="43629" xr:uid="{00000000-0005-0000-0000-0000589B0000}"/>
    <cellStyle name="Normal 3 7 3 2 4 3" xfId="23277" xr:uid="{00000000-0005-0000-0000-0000599B0000}"/>
    <cellStyle name="Normal 3 7 3 2 4 3 2" xfId="50410" xr:uid="{00000000-0005-0000-0000-00005A9B0000}"/>
    <cellStyle name="Normal 3 7 3 2 4 4" xfId="36848" xr:uid="{00000000-0005-0000-0000-00005B9B0000}"/>
    <cellStyle name="Normal 3 7 3 2 5" xfId="13101" xr:uid="{00000000-0005-0000-0000-00005C9B0000}"/>
    <cellStyle name="Normal 3 7 3 2 5 2" xfId="26669" xr:uid="{00000000-0005-0000-0000-00005D9B0000}"/>
    <cellStyle name="Normal 3 7 3 2 5 2 2" xfId="53802" xr:uid="{00000000-0005-0000-0000-00005E9B0000}"/>
    <cellStyle name="Normal 3 7 3 2 5 3" xfId="40240" xr:uid="{00000000-0005-0000-0000-00005F9B0000}"/>
    <cellStyle name="Normal 3 7 3 2 6" xfId="19888" xr:uid="{00000000-0005-0000-0000-0000609B0000}"/>
    <cellStyle name="Normal 3 7 3 2 6 2" xfId="47021" xr:uid="{00000000-0005-0000-0000-0000619B0000}"/>
    <cellStyle name="Normal 3 7 3 2 7" xfId="33459" xr:uid="{00000000-0005-0000-0000-0000629B0000}"/>
    <cellStyle name="Normal 3 7 3 3" xfId="6161" xr:uid="{00000000-0005-0000-0000-0000639B0000}"/>
    <cellStyle name="Normal 3 7 3 3 2" xfId="6162" xr:uid="{00000000-0005-0000-0000-0000649B0000}"/>
    <cellStyle name="Normal 3 7 3 3 2 2" xfId="9705" xr:uid="{00000000-0005-0000-0000-0000659B0000}"/>
    <cellStyle name="Normal 3 7 3 3 2 2 2" xfId="16494" xr:uid="{00000000-0005-0000-0000-0000669B0000}"/>
    <cellStyle name="Normal 3 7 3 3 2 2 2 2" xfId="30062" xr:uid="{00000000-0005-0000-0000-0000679B0000}"/>
    <cellStyle name="Normal 3 7 3 3 2 2 2 2 2" xfId="57195" xr:uid="{00000000-0005-0000-0000-0000689B0000}"/>
    <cellStyle name="Normal 3 7 3 3 2 2 2 3" xfId="43633" xr:uid="{00000000-0005-0000-0000-0000699B0000}"/>
    <cellStyle name="Normal 3 7 3 3 2 2 3" xfId="23281" xr:uid="{00000000-0005-0000-0000-00006A9B0000}"/>
    <cellStyle name="Normal 3 7 3 3 2 2 3 2" xfId="50414" xr:uid="{00000000-0005-0000-0000-00006B9B0000}"/>
    <cellStyle name="Normal 3 7 3 3 2 2 4" xfId="36852" xr:uid="{00000000-0005-0000-0000-00006C9B0000}"/>
    <cellStyle name="Normal 3 7 3 3 2 3" xfId="13105" xr:uid="{00000000-0005-0000-0000-00006D9B0000}"/>
    <cellStyle name="Normal 3 7 3 3 2 3 2" xfId="26673" xr:uid="{00000000-0005-0000-0000-00006E9B0000}"/>
    <cellStyle name="Normal 3 7 3 3 2 3 2 2" xfId="53806" xr:uid="{00000000-0005-0000-0000-00006F9B0000}"/>
    <cellStyle name="Normal 3 7 3 3 2 3 3" xfId="40244" xr:uid="{00000000-0005-0000-0000-0000709B0000}"/>
    <cellStyle name="Normal 3 7 3 3 2 4" xfId="19892" xr:uid="{00000000-0005-0000-0000-0000719B0000}"/>
    <cellStyle name="Normal 3 7 3 3 2 4 2" xfId="47025" xr:uid="{00000000-0005-0000-0000-0000729B0000}"/>
    <cellStyle name="Normal 3 7 3 3 2 5" xfId="33463" xr:uid="{00000000-0005-0000-0000-0000739B0000}"/>
    <cellStyle name="Normal 3 7 3 3 3" xfId="9704" xr:uid="{00000000-0005-0000-0000-0000749B0000}"/>
    <cellStyle name="Normal 3 7 3 3 3 2" xfId="16493" xr:uid="{00000000-0005-0000-0000-0000759B0000}"/>
    <cellStyle name="Normal 3 7 3 3 3 2 2" xfId="30061" xr:uid="{00000000-0005-0000-0000-0000769B0000}"/>
    <cellStyle name="Normal 3 7 3 3 3 2 2 2" xfId="57194" xr:uid="{00000000-0005-0000-0000-0000779B0000}"/>
    <cellStyle name="Normal 3 7 3 3 3 2 3" xfId="43632" xr:uid="{00000000-0005-0000-0000-0000789B0000}"/>
    <cellStyle name="Normal 3 7 3 3 3 3" xfId="23280" xr:uid="{00000000-0005-0000-0000-0000799B0000}"/>
    <cellStyle name="Normal 3 7 3 3 3 3 2" xfId="50413" xr:uid="{00000000-0005-0000-0000-00007A9B0000}"/>
    <cellStyle name="Normal 3 7 3 3 3 4" xfId="36851" xr:uid="{00000000-0005-0000-0000-00007B9B0000}"/>
    <cellStyle name="Normal 3 7 3 3 4" xfId="13104" xr:uid="{00000000-0005-0000-0000-00007C9B0000}"/>
    <cellStyle name="Normal 3 7 3 3 4 2" xfId="26672" xr:uid="{00000000-0005-0000-0000-00007D9B0000}"/>
    <cellStyle name="Normal 3 7 3 3 4 2 2" xfId="53805" xr:uid="{00000000-0005-0000-0000-00007E9B0000}"/>
    <cellStyle name="Normal 3 7 3 3 4 3" xfId="40243" xr:uid="{00000000-0005-0000-0000-00007F9B0000}"/>
    <cellStyle name="Normal 3 7 3 3 5" xfId="19891" xr:uid="{00000000-0005-0000-0000-0000809B0000}"/>
    <cellStyle name="Normal 3 7 3 3 5 2" xfId="47024" xr:uid="{00000000-0005-0000-0000-0000819B0000}"/>
    <cellStyle name="Normal 3 7 3 3 6" xfId="33462" xr:uid="{00000000-0005-0000-0000-0000829B0000}"/>
    <cellStyle name="Normal 3 7 3 4" xfId="6163" xr:uid="{00000000-0005-0000-0000-0000839B0000}"/>
    <cellStyle name="Normal 3 7 3 4 2" xfId="9706" xr:uid="{00000000-0005-0000-0000-0000849B0000}"/>
    <cellStyle name="Normal 3 7 3 4 2 2" xfId="16495" xr:uid="{00000000-0005-0000-0000-0000859B0000}"/>
    <cellStyle name="Normal 3 7 3 4 2 2 2" xfId="30063" xr:uid="{00000000-0005-0000-0000-0000869B0000}"/>
    <cellStyle name="Normal 3 7 3 4 2 2 2 2" xfId="57196" xr:uid="{00000000-0005-0000-0000-0000879B0000}"/>
    <cellStyle name="Normal 3 7 3 4 2 2 3" xfId="43634" xr:uid="{00000000-0005-0000-0000-0000889B0000}"/>
    <cellStyle name="Normal 3 7 3 4 2 3" xfId="23282" xr:uid="{00000000-0005-0000-0000-0000899B0000}"/>
    <cellStyle name="Normal 3 7 3 4 2 3 2" xfId="50415" xr:uid="{00000000-0005-0000-0000-00008A9B0000}"/>
    <cellStyle name="Normal 3 7 3 4 2 4" xfId="36853" xr:uid="{00000000-0005-0000-0000-00008B9B0000}"/>
    <cellStyle name="Normal 3 7 3 4 3" xfId="13106" xr:uid="{00000000-0005-0000-0000-00008C9B0000}"/>
    <cellStyle name="Normal 3 7 3 4 3 2" xfId="26674" xr:uid="{00000000-0005-0000-0000-00008D9B0000}"/>
    <cellStyle name="Normal 3 7 3 4 3 2 2" xfId="53807" xr:uid="{00000000-0005-0000-0000-00008E9B0000}"/>
    <cellStyle name="Normal 3 7 3 4 3 3" xfId="40245" xr:uid="{00000000-0005-0000-0000-00008F9B0000}"/>
    <cellStyle name="Normal 3 7 3 4 4" xfId="19893" xr:uid="{00000000-0005-0000-0000-0000909B0000}"/>
    <cellStyle name="Normal 3 7 3 4 4 2" xfId="47026" xr:uid="{00000000-0005-0000-0000-0000919B0000}"/>
    <cellStyle name="Normal 3 7 3 4 5" xfId="33464" xr:uid="{00000000-0005-0000-0000-0000929B0000}"/>
    <cellStyle name="Normal 3 7 3 5" xfId="6164" xr:uid="{00000000-0005-0000-0000-0000939B0000}"/>
    <cellStyle name="Normal 3 7 3 5 2" xfId="9707" xr:uid="{00000000-0005-0000-0000-0000949B0000}"/>
    <cellStyle name="Normal 3 7 3 5 2 2" xfId="16496" xr:uid="{00000000-0005-0000-0000-0000959B0000}"/>
    <cellStyle name="Normal 3 7 3 5 2 2 2" xfId="30064" xr:uid="{00000000-0005-0000-0000-0000969B0000}"/>
    <cellStyle name="Normal 3 7 3 5 2 2 2 2" xfId="57197" xr:uid="{00000000-0005-0000-0000-0000979B0000}"/>
    <cellStyle name="Normal 3 7 3 5 2 2 3" xfId="43635" xr:uid="{00000000-0005-0000-0000-0000989B0000}"/>
    <cellStyle name="Normal 3 7 3 5 2 3" xfId="23283" xr:uid="{00000000-0005-0000-0000-0000999B0000}"/>
    <cellStyle name="Normal 3 7 3 5 2 3 2" xfId="50416" xr:uid="{00000000-0005-0000-0000-00009A9B0000}"/>
    <cellStyle name="Normal 3 7 3 5 2 4" xfId="36854" xr:uid="{00000000-0005-0000-0000-00009B9B0000}"/>
    <cellStyle name="Normal 3 7 3 5 3" xfId="13107" xr:uid="{00000000-0005-0000-0000-00009C9B0000}"/>
    <cellStyle name="Normal 3 7 3 5 3 2" xfId="26675" xr:uid="{00000000-0005-0000-0000-00009D9B0000}"/>
    <cellStyle name="Normal 3 7 3 5 3 2 2" xfId="53808" xr:uid="{00000000-0005-0000-0000-00009E9B0000}"/>
    <cellStyle name="Normal 3 7 3 5 3 3" xfId="40246" xr:uid="{00000000-0005-0000-0000-00009F9B0000}"/>
    <cellStyle name="Normal 3 7 3 5 4" xfId="19894" xr:uid="{00000000-0005-0000-0000-0000A09B0000}"/>
    <cellStyle name="Normal 3 7 3 5 4 2" xfId="47027" xr:uid="{00000000-0005-0000-0000-0000A19B0000}"/>
    <cellStyle name="Normal 3 7 3 5 5" xfId="33465" xr:uid="{00000000-0005-0000-0000-0000A29B0000}"/>
    <cellStyle name="Normal 3 7 3 6" xfId="9700" xr:uid="{00000000-0005-0000-0000-0000A39B0000}"/>
    <cellStyle name="Normal 3 7 3 6 2" xfId="16489" xr:uid="{00000000-0005-0000-0000-0000A49B0000}"/>
    <cellStyle name="Normal 3 7 3 6 2 2" xfId="30057" xr:uid="{00000000-0005-0000-0000-0000A59B0000}"/>
    <cellStyle name="Normal 3 7 3 6 2 2 2" xfId="57190" xr:uid="{00000000-0005-0000-0000-0000A69B0000}"/>
    <cellStyle name="Normal 3 7 3 6 2 3" xfId="43628" xr:uid="{00000000-0005-0000-0000-0000A79B0000}"/>
    <cellStyle name="Normal 3 7 3 6 3" xfId="23276" xr:uid="{00000000-0005-0000-0000-0000A89B0000}"/>
    <cellStyle name="Normal 3 7 3 6 3 2" xfId="50409" xr:uid="{00000000-0005-0000-0000-0000A99B0000}"/>
    <cellStyle name="Normal 3 7 3 6 4" xfId="36847" xr:uid="{00000000-0005-0000-0000-0000AA9B0000}"/>
    <cellStyle name="Normal 3 7 3 7" xfId="13100" xr:uid="{00000000-0005-0000-0000-0000AB9B0000}"/>
    <cellStyle name="Normal 3 7 3 7 2" xfId="26668" xr:uid="{00000000-0005-0000-0000-0000AC9B0000}"/>
    <cellStyle name="Normal 3 7 3 7 2 2" xfId="53801" xr:uid="{00000000-0005-0000-0000-0000AD9B0000}"/>
    <cellStyle name="Normal 3 7 3 7 3" xfId="40239" xr:uid="{00000000-0005-0000-0000-0000AE9B0000}"/>
    <cellStyle name="Normal 3 7 3 8" xfId="19887" xr:uid="{00000000-0005-0000-0000-0000AF9B0000}"/>
    <cellStyle name="Normal 3 7 3 8 2" xfId="47020" xr:uid="{00000000-0005-0000-0000-0000B09B0000}"/>
    <cellStyle name="Normal 3 7 3 9" xfId="33458" xr:uid="{00000000-0005-0000-0000-0000B19B0000}"/>
    <cellStyle name="Normal 3 7 4" xfId="6165" xr:uid="{00000000-0005-0000-0000-0000B29B0000}"/>
    <cellStyle name="Normal 3 7 4 2" xfId="6166" xr:uid="{00000000-0005-0000-0000-0000B39B0000}"/>
    <cellStyle name="Normal 3 7 4 2 2" xfId="6167" xr:uid="{00000000-0005-0000-0000-0000B49B0000}"/>
    <cellStyle name="Normal 3 7 4 2 2 2" xfId="9710" xr:uid="{00000000-0005-0000-0000-0000B59B0000}"/>
    <cellStyle name="Normal 3 7 4 2 2 2 2" xfId="16499" xr:uid="{00000000-0005-0000-0000-0000B69B0000}"/>
    <cellStyle name="Normal 3 7 4 2 2 2 2 2" xfId="30067" xr:uid="{00000000-0005-0000-0000-0000B79B0000}"/>
    <cellStyle name="Normal 3 7 4 2 2 2 2 2 2" xfId="57200" xr:uid="{00000000-0005-0000-0000-0000B89B0000}"/>
    <cellStyle name="Normal 3 7 4 2 2 2 2 3" xfId="43638" xr:uid="{00000000-0005-0000-0000-0000B99B0000}"/>
    <cellStyle name="Normal 3 7 4 2 2 2 3" xfId="23286" xr:uid="{00000000-0005-0000-0000-0000BA9B0000}"/>
    <cellStyle name="Normal 3 7 4 2 2 2 3 2" xfId="50419" xr:uid="{00000000-0005-0000-0000-0000BB9B0000}"/>
    <cellStyle name="Normal 3 7 4 2 2 2 4" xfId="36857" xr:uid="{00000000-0005-0000-0000-0000BC9B0000}"/>
    <cellStyle name="Normal 3 7 4 2 2 3" xfId="13110" xr:uid="{00000000-0005-0000-0000-0000BD9B0000}"/>
    <cellStyle name="Normal 3 7 4 2 2 3 2" xfId="26678" xr:uid="{00000000-0005-0000-0000-0000BE9B0000}"/>
    <cellStyle name="Normal 3 7 4 2 2 3 2 2" xfId="53811" xr:uid="{00000000-0005-0000-0000-0000BF9B0000}"/>
    <cellStyle name="Normal 3 7 4 2 2 3 3" xfId="40249" xr:uid="{00000000-0005-0000-0000-0000C09B0000}"/>
    <cellStyle name="Normal 3 7 4 2 2 4" xfId="19897" xr:uid="{00000000-0005-0000-0000-0000C19B0000}"/>
    <cellStyle name="Normal 3 7 4 2 2 4 2" xfId="47030" xr:uid="{00000000-0005-0000-0000-0000C29B0000}"/>
    <cellStyle name="Normal 3 7 4 2 2 5" xfId="33468" xr:uid="{00000000-0005-0000-0000-0000C39B0000}"/>
    <cellStyle name="Normal 3 7 4 2 3" xfId="6168" xr:uid="{00000000-0005-0000-0000-0000C49B0000}"/>
    <cellStyle name="Normal 3 7 4 2 3 2" xfId="9711" xr:uid="{00000000-0005-0000-0000-0000C59B0000}"/>
    <cellStyle name="Normal 3 7 4 2 3 2 2" xfId="16500" xr:uid="{00000000-0005-0000-0000-0000C69B0000}"/>
    <cellStyle name="Normal 3 7 4 2 3 2 2 2" xfId="30068" xr:uid="{00000000-0005-0000-0000-0000C79B0000}"/>
    <cellStyle name="Normal 3 7 4 2 3 2 2 2 2" xfId="57201" xr:uid="{00000000-0005-0000-0000-0000C89B0000}"/>
    <cellStyle name="Normal 3 7 4 2 3 2 2 3" xfId="43639" xr:uid="{00000000-0005-0000-0000-0000C99B0000}"/>
    <cellStyle name="Normal 3 7 4 2 3 2 3" xfId="23287" xr:uid="{00000000-0005-0000-0000-0000CA9B0000}"/>
    <cellStyle name="Normal 3 7 4 2 3 2 3 2" xfId="50420" xr:uid="{00000000-0005-0000-0000-0000CB9B0000}"/>
    <cellStyle name="Normal 3 7 4 2 3 2 4" xfId="36858" xr:uid="{00000000-0005-0000-0000-0000CC9B0000}"/>
    <cellStyle name="Normal 3 7 4 2 3 3" xfId="13111" xr:uid="{00000000-0005-0000-0000-0000CD9B0000}"/>
    <cellStyle name="Normal 3 7 4 2 3 3 2" xfId="26679" xr:uid="{00000000-0005-0000-0000-0000CE9B0000}"/>
    <cellStyle name="Normal 3 7 4 2 3 3 2 2" xfId="53812" xr:uid="{00000000-0005-0000-0000-0000CF9B0000}"/>
    <cellStyle name="Normal 3 7 4 2 3 3 3" xfId="40250" xr:uid="{00000000-0005-0000-0000-0000D09B0000}"/>
    <cellStyle name="Normal 3 7 4 2 3 4" xfId="19898" xr:uid="{00000000-0005-0000-0000-0000D19B0000}"/>
    <cellStyle name="Normal 3 7 4 2 3 4 2" xfId="47031" xr:uid="{00000000-0005-0000-0000-0000D29B0000}"/>
    <cellStyle name="Normal 3 7 4 2 3 5" xfId="33469" xr:uid="{00000000-0005-0000-0000-0000D39B0000}"/>
    <cellStyle name="Normal 3 7 4 2 4" xfId="9709" xr:uid="{00000000-0005-0000-0000-0000D49B0000}"/>
    <cellStyle name="Normal 3 7 4 2 4 2" xfId="16498" xr:uid="{00000000-0005-0000-0000-0000D59B0000}"/>
    <cellStyle name="Normal 3 7 4 2 4 2 2" xfId="30066" xr:uid="{00000000-0005-0000-0000-0000D69B0000}"/>
    <cellStyle name="Normal 3 7 4 2 4 2 2 2" xfId="57199" xr:uid="{00000000-0005-0000-0000-0000D79B0000}"/>
    <cellStyle name="Normal 3 7 4 2 4 2 3" xfId="43637" xr:uid="{00000000-0005-0000-0000-0000D89B0000}"/>
    <cellStyle name="Normal 3 7 4 2 4 3" xfId="23285" xr:uid="{00000000-0005-0000-0000-0000D99B0000}"/>
    <cellStyle name="Normal 3 7 4 2 4 3 2" xfId="50418" xr:uid="{00000000-0005-0000-0000-0000DA9B0000}"/>
    <cellStyle name="Normal 3 7 4 2 4 4" xfId="36856" xr:uid="{00000000-0005-0000-0000-0000DB9B0000}"/>
    <cellStyle name="Normal 3 7 4 2 5" xfId="13109" xr:uid="{00000000-0005-0000-0000-0000DC9B0000}"/>
    <cellStyle name="Normal 3 7 4 2 5 2" xfId="26677" xr:uid="{00000000-0005-0000-0000-0000DD9B0000}"/>
    <cellStyle name="Normal 3 7 4 2 5 2 2" xfId="53810" xr:uid="{00000000-0005-0000-0000-0000DE9B0000}"/>
    <cellStyle name="Normal 3 7 4 2 5 3" xfId="40248" xr:uid="{00000000-0005-0000-0000-0000DF9B0000}"/>
    <cellStyle name="Normal 3 7 4 2 6" xfId="19896" xr:uid="{00000000-0005-0000-0000-0000E09B0000}"/>
    <cellStyle name="Normal 3 7 4 2 6 2" xfId="47029" xr:uid="{00000000-0005-0000-0000-0000E19B0000}"/>
    <cellStyle name="Normal 3 7 4 2 7" xfId="33467" xr:uid="{00000000-0005-0000-0000-0000E29B0000}"/>
    <cellStyle name="Normal 3 7 4 3" xfId="6169" xr:uid="{00000000-0005-0000-0000-0000E39B0000}"/>
    <cellStyle name="Normal 3 7 4 3 2" xfId="9712" xr:uid="{00000000-0005-0000-0000-0000E49B0000}"/>
    <cellStyle name="Normal 3 7 4 3 2 2" xfId="16501" xr:uid="{00000000-0005-0000-0000-0000E59B0000}"/>
    <cellStyle name="Normal 3 7 4 3 2 2 2" xfId="30069" xr:uid="{00000000-0005-0000-0000-0000E69B0000}"/>
    <cellStyle name="Normal 3 7 4 3 2 2 2 2" xfId="57202" xr:uid="{00000000-0005-0000-0000-0000E79B0000}"/>
    <cellStyle name="Normal 3 7 4 3 2 2 3" xfId="43640" xr:uid="{00000000-0005-0000-0000-0000E89B0000}"/>
    <cellStyle name="Normal 3 7 4 3 2 3" xfId="23288" xr:uid="{00000000-0005-0000-0000-0000E99B0000}"/>
    <cellStyle name="Normal 3 7 4 3 2 3 2" xfId="50421" xr:uid="{00000000-0005-0000-0000-0000EA9B0000}"/>
    <cellStyle name="Normal 3 7 4 3 2 4" xfId="36859" xr:uid="{00000000-0005-0000-0000-0000EB9B0000}"/>
    <cellStyle name="Normal 3 7 4 3 3" xfId="13112" xr:uid="{00000000-0005-0000-0000-0000EC9B0000}"/>
    <cellStyle name="Normal 3 7 4 3 3 2" xfId="26680" xr:uid="{00000000-0005-0000-0000-0000ED9B0000}"/>
    <cellStyle name="Normal 3 7 4 3 3 2 2" xfId="53813" xr:uid="{00000000-0005-0000-0000-0000EE9B0000}"/>
    <cellStyle name="Normal 3 7 4 3 3 3" xfId="40251" xr:uid="{00000000-0005-0000-0000-0000EF9B0000}"/>
    <cellStyle name="Normal 3 7 4 3 4" xfId="19899" xr:uid="{00000000-0005-0000-0000-0000F09B0000}"/>
    <cellStyle name="Normal 3 7 4 3 4 2" xfId="47032" xr:uid="{00000000-0005-0000-0000-0000F19B0000}"/>
    <cellStyle name="Normal 3 7 4 3 5" xfId="33470" xr:uid="{00000000-0005-0000-0000-0000F29B0000}"/>
    <cellStyle name="Normal 3 7 4 4" xfId="6170" xr:uid="{00000000-0005-0000-0000-0000F39B0000}"/>
    <cellStyle name="Normal 3 7 4 4 2" xfId="9713" xr:uid="{00000000-0005-0000-0000-0000F49B0000}"/>
    <cellStyle name="Normal 3 7 4 4 2 2" xfId="16502" xr:uid="{00000000-0005-0000-0000-0000F59B0000}"/>
    <cellStyle name="Normal 3 7 4 4 2 2 2" xfId="30070" xr:uid="{00000000-0005-0000-0000-0000F69B0000}"/>
    <cellStyle name="Normal 3 7 4 4 2 2 2 2" xfId="57203" xr:uid="{00000000-0005-0000-0000-0000F79B0000}"/>
    <cellStyle name="Normal 3 7 4 4 2 2 3" xfId="43641" xr:uid="{00000000-0005-0000-0000-0000F89B0000}"/>
    <cellStyle name="Normal 3 7 4 4 2 3" xfId="23289" xr:uid="{00000000-0005-0000-0000-0000F99B0000}"/>
    <cellStyle name="Normal 3 7 4 4 2 3 2" xfId="50422" xr:uid="{00000000-0005-0000-0000-0000FA9B0000}"/>
    <cellStyle name="Normal 3 7 4 4 2 4" xfId="36860" xr:uid="{00000000-0005-0000-0000-0000FB9B0000}"/>
    <cellStyle name="Normal 3 7 4 4 3" xfId="13113" xr:uid="{00000000-0005-0000-0000-0000FC9B0000}"/>
    <cellStyle name="Normal 3 7 4 4 3 2" xfId="26681" xr:uid="{00000000-0005-0000-0000-0000FD9B0000}"/>
    <cellStyle name="Normal 3 7 4 4 3 2 2" xfId="53814" xr:uid="{00000000-0005-0000-0000-0000FE9B0000}"/>
    <cellStyle name="Normal 3 7 4 4 3 3" xfId="40252" xr:uid="{00000000-0005-0000-0000-0000FF9B0000}"/>
    <cellStyle name="Normal 3 7 4 4 4" xfId="19900" xr:uid="{00000000-0005-0000-0000-0000009C0000}"/>
    <cellStyle name="Normal 3 7 4 4 4 2" xfId="47033" xr:uid="{00000000-0005-0000-0000-0000019C0000}"/>
    <cellStyle name="Normal 3 7 4 4 5" xfId="33471" xr:uid="{00000000-0005-0000-0000-0000029C0000}"/>
    <cellStyle name="Normal 3 7 4 5" xfId="9708" xr:uid="{00000000-0005-0000-0000-0000039C0000}"/>
    <cellStyle name="Normal 3 7 4 5 2" xfId="16497" xr:uid="{00000000-0005-0000-0000-0000049C0000}"/>
    <cellStyle name="Normal 3 7 4 5 2 2" xfId="30065" xr:uid="{00000000-0005-0000-0000-0000059C0000}"/>
    <cellStyle name="Normal 3 7 4 5 2 2 2" xfId="57198" xr:uid="{00000000-0005-0000-0000-0000069C0000}"/>
    <cellStyle name="Normal 3 7 4 5 2 3" xfId="43636" xr:uid="{00000000-0005-0000-0000-0000079C0000}"/>
    <cellStyle name="Normal 3 7 4 5 3" xfId="23284" xr:uid="{00000000-0005-0000-0000-0000089C0000}"/>
    <cellStyle name="Normal 3 7 4 5 3 2" xfId="50417" xr:uid="{00000000-0005-0000-0000-0000099C0000}"/>
    <cellStyle name="Normal 3 7 4 5 4" xfId="36855" xr:uid="{00000000-0005-0000-0000-00000A9C0000}"/>
    <cellStyle name="Normal 3 7 4 6" xfId="13108" xr:uid="{00000000-0005-0000-0000-00000B9C0000}"/>
    <cellStyle name="Normal 3 7 4 6 2" xfId="26676" xr:uid="{00000000-0005-0000-0000-00000C9C0000}"/>
    <cellStyle name="Normal 3 7 4 6 2 2" xfId="53809" xr:uid="{00000000-0005-0000-0000-00000D9C0000}"/>
    <cellStyle name="Normal 3 7 4 6 3" xfId="40247" xr:uid="{00000000-0005-0000-0000-00000E9C0000}"/>
    <cellStyle name="Normal 3 7 4 7" xfId="19895" xr:uid="{00000000-0005-0000-0000-00000F9C0000}"/>
    <cellStyle name="Normal 3 7 4 7 2" xfId="47028" xr:uid="{00000000-0005-0000-0000-0000109C0000}"/>
    <cellStyle name="Normal 3 7 4 8" xfId="33466" xr:uid="{00000000-0005-0000-0000-0000119C0000}"/>
    <cellStyle name="Normal 3 7 5" xfId="6171" xr:uid="{00000000-0005-0000-0000-0000129C0000}"/>
    <cellStyle name="Normal 3 7 5 2" xfId="6172" xr:uid="{00000000-0005-0000-0000-0000139C0000}"/>
    <cellStyle name="Normal 3 7 5 2 2" xfId="6173" xr:uid="{00000000-0005-0000-0000-0000149C0000}"/>
    <cellStyle name="Normal 3 7 5 2 2 2" xfId="9716" xr:uid="{00000000-0005-0000-0000-0000159C0000}"/>
    <cellStyle name="Normal 3 7 5 2 2 2 2" xfId="16505" xr:uid="{00000000-0005-0000-0000-0000169C0000}"/>
    <cellStyle name="Normal 3 7 5 2 2 2 2 2" xfId="30073" xr:uid="{00000000-0005-0000-0000-0000179C0000}"/>
    <cellStyle name="Normal 3 7 5 2 2 2 2 2 2" xfId="57206" xr:uid="{00000000-0005-0000-0000-0000189C0000}"/>
    <cellStyle name="Normal 3 7 5 2 2 2 2 3" xfId="43644" xr:uid="{00000000-0005-0000-0000-0000199C0000}"/>
    <cellStyle name="Normal 3 7 5 2 2 2 3" xfId="23292" xr:uid="{00000000-0005-0000-0000-00001A9C0000}"/>
    <cellStyle name="Normal 3 7 5 2 2 2 3 2" xfId="50425" xr:uid="{00000000-0005-0000-0000-00001B9C0000}"/>
    <cellStyle name="Normal 3 7 5 2 2 2 4" xfId="36863" xr:uid="{00000000-0005-0000-0000-00001C9C0000}"/>
    <cellStyle name="Normal 3 7 5 2 2 3" xfId="13116" xr:uid="{00000000-0005-0000-0000-00001D9C0000}"/>
    <cellStyle name="Normal 3 7 5 2 2 3 2" xfId="26684" xr:uid="{00000000-0005-0000-0000-00001E9C0000}"/>
    <cellStyle name="Normal 3 7 5 2 2 3 2 2" xfId="53817" xr:uid="{00000000-0005-0000-0000-00001F9C0000}"/>
    <cellStyle name="Normal 3 7 5 2 2 3 3" xfId="40255" xr:uid="{00000000-0005-0000-0000-0000209C0000}"/>
    <cellStyle name="Normal 3 7 5 2 2 4" xfId="19903" xr:uid="{00000000-0005-0000-0000-0000219C0000}"/>
    <cellStyle name="Normal 3 7 5 2 2 4 2" xfId="47036" xr:uid="{00000000-0005-0000-0000-0000229C0000}"/>
    <cellStyle name="Normal 3 7 5 2 2 5" xfId="33474" xr:uid="{00000000-0005-0000-0000-0000239C0000}"/>
    <cellStyle name="Normal 3 7 5 2 3" xfId="6174" xr:uid="{00000000-0005-0000-0000-0000249C0000}"/>
    <cellStyle name="Normal 3 7 5 2 3 2" xfId="9717" xr:uid="{00000000-0005-0000-0000-0000259C0000}"/>
    <cellStyle name="Normal 3 7 5 2 3 2 2" xfId="16506" xr:uid="{00000000-0005-0000-0000-0000269C0000}"/>
    <cellStyle name="Normal 3 7 5 2 3 2 2 2" xfId="30074" xr:uid="{00000000-0005-0000-0000-0000279C0000}"/>
    <cellStyle name="Normal 3 7 5 2 3 2 2 2 2" xfId="57207" xr:uid="{00000000-0005-0000-0000-0000289C0000}"/>
    <cellStyle name="Normal 3 7 5 2 3 2 2 3" xfId="43645" xr:uid="{00000000-0005-0000-0000-0000299C0000}"/>
    <cellStyle name="Normal 3 7 5 2 3 2 3" xfId="23293" xr:uid="{00000000-0005-0000-0000-00002A9C0000}"/>
    <cellStyle name="Normal 3 7 5 2 3 2 3 2" xfId="50426" xr:uid="{00000000-0005-0000-0000-00002B9C0000}"/>
    <cellStyle name="Normal 3 7 5 2 3 2 4" xfId="36864" xr:uid="{00000000-0005-0000-0000-00002C9C0000}"/>
    <cellStyle name="Normal 3 7 5 2 3 3" xfId="13117" xr:uid="{00000000-0005-0000-0000-00002D9C0000}"/>
    <cellStyle name="Normal 3 7 5 2 3 3 2" xfId="26685" xr:uid="{00000000-0005-0000-0000-00002E9C0000}"/>
    <cellStyle name="Normal 3 7 5 2 3 3 2 2" xfId="53818" xr:uid="{00000000-0005-0000-0000-00002F9C0000}"/>
    <cellStyle name="Normal 3 7 5 2 3 3 3" xfId="40256" xr:uid="{00000000-0005-0000-0000-0000309C0000}"/>
    <cellStyle name="Normal 3 7 5 2 3 4" xfId="19904" xr:uid="{00000000-0005-0000-0000-0000319C0000}"/>
    <cellStyle name="Normal 3 7 5 2 3 4 2" xfId="47037" xr:uid="{00000000-0005-0000-0000-0000329C0000}"/>
    <cellStyle name="Normal 3 7 5 2 3 5" xfId="33475" xr:uid="{00000000-0005-0000-0000-0000339C0000}"/>
    <cellStyle name="Normal 3 7 5 2 4" xfId="9715" xr:uid="{00000000-0005-0000-0000-0000349C0000}"/>
    <cellStyle name="Normal 3 7 5 2 4 2" xfId="16504" xr:uid="{00000000-0005-0000-0000-0000359C0000}"/>
    <cellStyle name="Normal 3 7 5 2 4 2 2" xfId="30072" xr:uid="{00000000-0005-0000-0000-0000369C0000}"/>
    <cellStyle name="Normal 3 7 5 2 4 2 2 2" xfId="57205" xr:uid="{00000000-0005-0000-0000-0000379C0000}"/>
    <cellStyle name="Normal 3 7 5 2 4 2 3" xfId="43643" xr:uid="{00000000-0005-0000-0000-0000389C0000}"/>
    <cellStyle name="Normal 3 7 5 2 4 3" xfId="23291" xr:uid="{00000000-0005-0000-0000-0000399C0000}"/>
    <cellStyle name="Normal 3 7 5 2 4 3 2" xfId="50424" xr:uid="{00000000-0005-0000-0000-00003A9C0000}"/>
    <cellStyle name="Normal 3 7 5 2 4 4" xfId="36862" xr:uid="{00000000-0005-0000-0000-00003B9C0000}"/>
    <cellStyle name="Normal 3 7 5 2 5" xfId="13115" xr:uid="{00000000-0005-0000-0000-00003C9C0000}"/>
    <cellStyle name="Normal 3 7 5 2 5 2" xfId="26683" xr:uid="{00000000-0005-0000-0000-00003D9C0000}"/>
    <cellStyle name="Normal 3 7 5 2 5 2 2" xfId="53816" xr:uid="{00000000-0005-0000-0000-00003E9C0000}"/>
    <cellStyle name="Normal 3 7 5 2 5 3" xfId="40254" xr:uid="{00000000-0005-0000-0000-00003F9C0000}"/>
    <cellStyle name="Normal 3 7 5 2 6" xfId="19902" xr:uid="{00000000-0005-0000-0000-0000409C0000}"/>
    <cellStyle name="Normal 3 7 5 2 6 2" xfId="47035" xr:uid="{00000000-0005-0000-0000-0000419C0000}"/>
    <cellStyle name="Normal 3 7 5 2 7" xfId="33473" xr:uid="{00000000-0005-0000-0000-0000429C0000}"/>
    <cellStyle name="Normal 3 7 5 3" xfId="6175" xr:uid="{00000000-0005-0000-0000-0000439C0000}"/>
    <cellStyle name="Normal 3 7 5 3 2" xfId="9718" xr:uid="{00000000-0005-0000-0000-0000449C0000}"/>
    <cellStyle name="Normal 3 7 5 3 2 2" xfId="16507" xr:uid="{00000000-0005-0000-0000-0000459C0000}"/>
    <cellStyle name="Normal 3 7 5 3 2 2 2" xfId="30075" xr:uid="{00000000-0005-0000-0000-0000469C0000}"/>
    <cellStyle name="Normal 3 7 5 3 2 2 2 2" xfId="57208" xr:uid="{00000000-0005-0000-0000-0000479C0000}"/>
    <cellStyle name="Normal 3 7 5 3 2 2 3" xfId="43646" xr:uid="{00000000-0005-0000-0000-0000489C0000}"/>
    <cellStyle name="Normal 3 7 5 3 2 3" xfId="23294" xr:uid="{00000000-0005-0000-0000-0000499C0000}"/>
    <cellStyle name="Normal 3 7 5 3 2 3 2" xfId="50427" xr:uid="{00000000-0005-0000-0000-00004A9C0000}"/>
    <cellStyle name="Normal 3 7 5 3 2 4" xfId="36865" xr:uid="{00000000-0005-0000-0000-00004B9C0000}"/>
    <cellStyle name="Normal 3 7 5 3 3" xfId="13118" xr:uid="{00000000-0005-0000-0000-00004C9C0000}"/>
    <cellStyle name="Normal 3 7 5 3 3 2" xfId="26686" xr:uid="{00000000-0005-0000-0000-00004D9C0000}"/>
    <cellStyle name="Normal 3 7 5 3 3 2 2" xfId="53819" xr:uid="{00000000-0005-0000-0000-00004E9C0000}"/>
    <cellStyle name="Normal 3 7 5 3 3 3" xfId="40257" xr:uid="{00000000-0005-0000-0000-00004F9C0000}"/>
    <cellStyle name="Normal 3 7 5 3 4" xfId="19905" xr:uid="{00000000-0005-0000-0000-0000509C0000}"/>
    <cellStyle name="Normal 3 7 5 3 4 2" xfId="47038" xr:uid="{00000000-0005-0000-0000-0000519C0000}"/>
    <cellStyle name="Normal 3 7 5 3 5" xfId="33476" xr:uid="{00000000-0005-0000-0000-0000529C0000}"/>
    <cellStyle name="Normal 3 7 5 4" xfId="6176" xr:uid="{00000000-0005-0000-0000-0000539C0000}"/>
    <cellStyle name="Normal 3 7 5 4 2" xfId="9719" xr:uid="{00000000-0005-0000-0000-0000549C0000}"/>
    <cellStyle name="Normal 3 7 5 4 2 2" xfId="16508" xr:uid="{00000000-0005-0000-0000-0000559C0000}"/>
    <cellStyle name="Normal 3 7 5 4 2 2 2" xfId="30076" xr:uid="{00000000-0005-0000-0000-0000569C0000}"/>
    <cellStyle name="Normal 3 7 5 4 2 2 2 2" xfId="57209" xr:uid="{00000000-0005-0000-0000-0000579C0000}"/>
    <cellStyle name="Normal 3 7 5 4 2 2 3" xfId="43647" xr:uid="{00000000-0005-0000-0000-0000589C0000}"/>
    <cellStyle name="Normal 3 7 5 4 2 3" xfId="23295" xr:uid="{00000000-0005-0000-0000-0000599C0000}"/>
    <cellStyle name="Normal 3 7 5 4 2 3 2" xfId="50428" xr:uid="{00000000-0005-0000-0000-00005A9C0000}"/>
    <cellStyle name="Normal 3 7 5 4 2 4" xfId="36866" xr:uid="{00000000-0005-0000-0000-00005B9C0000}"/>
    <cellStyle name="Normal 3 7 5 4 3" xfId="13119" xr:uid="{00000000-0005-0000-0000-00005C9C0000}"/>
    <cellStyle name="Normal 3 7 5 4 3 2" xfId="26687" xr:uid="{00000000-0005-0000-0000-00005D9C0000}"/>
    <cellStyle name="Normal 3 7 5 4 3 2 2" xfId="53820" xr:uid="{00000000-0005-0000-0000-00005E9C0000}"/>
    <cellStyle name="Normal 3 7 5 4 3 3" xfId="40258" xr:uid="{00000000-0005-0000-0000-00005F9C0000}"/>
    <cellStyle name="Normal 3 7 5 4 4" xfId="19906" xr:uid="{00000000-0005-0000-0000-0000609C0000}"/>
    <cellStyle name="Normal 3 7 5 4 4 2" xfId="47039" xr:uid="{00000000-0005-0000-0000-0000619C0000}"/>
    <cellStyle name="Normal 3 7 5 4 5" xfId="33477" xr:uid="{00000000-0005-0000-0000-0000629C0000}"/>
    <cellStyle name="Normal 3 7 5 5" xfId="9714" xr:uid="{00000000-0005-0000-0000-0000639C0000}"/>
    <cellStyle name="Normal 3 7 5 5 2" xfId="16503" xr:uid="{00000000-0005-0000-0000-0000649C0000}"/>
    <cellStyle name="Normal 3 7 5 5 2 2" xfId="30071" xr:uid="{00000000-0005-0000-0000-0000659C0000}"/>
    <cellStyle name="Normal 3 7 5 5 2 2 2" xfId="57204" xr:uid="{00000000-0005-0000-0000-0000669C0000}"/>
    <cellStyle name="Normal 3 7 5 5 2 3" xfId="43642" xr:uid="{00000000-0005-0000-0000-0000679C0000}"/>
    <cellStyle name="Normal 3 7 5 5 3" xfId="23290" xr:uid="{00000000-0005-0000-0000-0000689C0000}"/>
    <cellStyle name="Normal 3 7 5 5 3 2" xfId="50423" xr:uid="{00000000-0005-0000-0000-0000699C0000}"/>
    <cellStyle name="Normal 3 7 5 5 4" xfId="36861" xr:uid="{00000000-0005-0000-0000-00006A9C0000}"/>
    <cellStyle name="Normal 3 7 5 6" xfId="13114" xr:uid="{00000000-0005-0000-0000-00006B9C0000}"/>
    <cellStyle name="Normal 3 7 5 6 2" xfId="26682" xr:uid="{00000000-0005-0000-0000-00006C9C0000}"/>
    <cellStyle name="Normal 3 7 5 6 2 2" xfId="53815" xr:uid="{00000000-0005-0000-0000-00006D9C0000}"/>
    <cellStyle name="Normal 3 7 5 6 3" xfId="40253" xr:uid="{00000000-0005-0000-0000-00006E9C0000}"/>
    <cellStyle name="Normal 3 7 5 7" xfId="19901" xr:uid="{00000000-0005-0000-0000-00006F9C0000}"/>
    <cellStyle name="Normal 3 7 5 7 2" xfId="47034" xr:uid="{00000000-0005-0000-0000-0000709C0000}"/>
    <cellStyle name="Normal 3 7 5 8" xfId="33472" xr:uid="{00000000-0005-0000-0000-0000719C0000}"/>
    <cellStyle name="Normal 3 7 6" xfId="6177" xr:uid="{00000000-0005-0000-0000-0000729C0000}"/>
    <cellStyle name="Normal 3 7 6 2" xfId="6178" xr:uid="{00000000-0005-0000-0000-0000739C0000}"/>
    <cellStyle name="Normal 3 7 6 2 2" xfId="9721" xr:uid="{00000000-0005-0000-0000-0000749C0000}"/>
    <cellStyle name="Normal 3 7 6 2 2 2" xfId="16510" xr:uid="{00000000-0005-0000-0000-0000759C0000}"/>
    <cellStyle name="Normal 3 7 6 2 2 2 2" xfId="30078" xr:uid="{00000000-0005-0000-0000-0000769C0000}"/>
    <cellStyle name="Normal 3 7 6 2 2 2 2 2" xfId="57211" xr:uid="{00000000-0005-0000-0000-0000779C0000}"/>
    <cellStyle name="Normal 3 7 6 2 2 2 3" xfId="43649" xr:uid="{00000000-0005-0000-0000-0000789C0000}"/>
    <cellStyle name="Normal 3 7 6 2 2 3" xfId="23297" xr:uid="{00000000-0005-0000-0000-0000799C0000}"/>
    <cellStyle name="Normal 3 7 6 2 2 3 2" xfId="50430" xr:uid="{00000000-0005-0000-0000-00007A9C0000}"/>
    <cellStyle name="Normal 3 7 6 2 2 4" xfId="36868" xr:uid="{00000000-0005-0000-0000-00007B9C0000}"/>
    <cellStyle name="Normal 3 7 6 2 3" xfId="13121" xr:uid="{00000000-0005-0000-0000-00007C9C0000}"/>
    <cellStyle name="Normal 3 7 6 2 3 2" xfId="26689" xr:uid="{00000000-0005-0000-0000-00007D9C0000}"/>
    <cellStyle name="Normal 3 7 6 2 3 2 2" xfId="53822" xr:uid="{00000000-0005-0000-0000-00007E9C0000}"/>
    <cellStyle name="Normal 3 7 6 2 3 3" xfId="40260" xr:uid="{00000000-0005-0000-0000-00007F9C0000}"/>
    <cellStyle name="Normal 3 7 6 2 4" xfId="19908" xr:uid="{00000000-0005-0000-0000-0000809C0000}"/>
    <cellStyle name="Normal 3 7 6 2 4 2" xfId="47041" xr:uid="{00000000-0005-0000-0000-0000819C0000}"/>
    <cellStyle name="Normal 3 7 6 2 5" xfId="33479" xr:uid="{00000000-0005-0000-0000-0000829C0000}"/>
    <cellStyle name="Normal 3 7 6 3" xfId="6179" xr:uid="{00000000-0005-0000-0000-0000839C0000}"/>
    <cellStyle name="Normal 3 7 6 3 2" xfId="9722" xr:uid="{00000000-0005-0000-0000-0000849C0000}"/>
    <cellStyle name="Normal 3 7 6 3 2 2" xfId="16511" xr:uid="{00000000-0005-0000-0000-0000859C0000}"/>
    <cellStyle name="Normal 3 7 6 3 2 2 2" xfId="30079" xr:uid="{00000000-0005-0000-0000-0000869C0000}"/>
    <cellStyle name="Normal 3 7 6 3 2 2 2 2" xfId="57212" xr:uid="{00000000-0005-0000-0000-0000879C0000}"/>
    <cellStyle name="Normal 3 7 6 3 2 2 3" xfId="43650" xr:uid="{00000000-0005-0000-0000-0000889C0000}"/>
    <cellStyle name="Normal 3 7 6 3 2 3" xfId="23298" xr:uid="{00000000-0005-0000-0000-0000899C0000}"/>
    <cellStyle name="Normal 3 7 6 3 2 3 2" xfId="50431" xr:uid="{00000000-0005-0000-0000-00008A9C0000}"/>
    <cellStyle name="Normal 3 7 6 3 2 4" xfId="36869" xr:uid="{00000000-0005-0000-0000-00008B9C0000}"/>
    <cellStyle name="Normal 3 7 6 3 3" xfId="13122" xr:uid="{00000000-0005-0000-0000-00008C9C0000}"/>
    <cellStyle name="Normal 3 7 6 3 3 2" xfId="26690" xr:uid="{00000000-0005-0000-0000-00008D9C0000}"/>
    <cellStyle name="Normal 3 7 6 3 3 2 2" xfId="53823" xr:uid="{00000000-0005-0000-0000-00008E9C0000}"/>
    <cellStyle name="Normal 3 7 6 3 3 3" xfId="40261" xr:uid="{00000000-0005-0000-0000-00008F9C0000}"/>
    <cellStyle name="Normal 3 7 6 3 4" xfId="19909" xr:uid="{00000000-0005-0000-0000-0000909C0000}"/>
    <cellStyle name="Normal 3 7 6 3 4 2" xfId="47042" xr:uid="{00000000-0005-0000-0000-0000919C0000}"/>
    <cellStyle name="Normal 3 7 6 3 5" xfId="33480" xr:uid="{00000000-0005-0000-0000-0000929C0000}"/>
    <cellStyle name="Normal 3 7 6 4" xfId="9720" xr:uid="{00000000-0005-0000-0000-0000939C0000}"/>
    <cellStyle name="Normal 3 7 6 4 2" xfId="16509" xr:uid="{00000000-0005-0000-0000-0000949C0000}"/>
    <cellStyle name="Normal 3 7 6 4 2 2" xfId="30077" xr:uid="{00000000-0005-0000-0000-0000959C0000}"/>
    <cellStyle name="Normal 3 7 6 4 2 2 2" xfId="57210" xr:uid="{00000000-0005-0000-0000-0000969C0000}"/>
    <cellStyle name="Normal 3 7 6 4 2 3" xfId="43648" xr:uid="{00000000-0005-0000-0000-0000979C0000}"/>
    <cellStyle name="Normal 3 7 6 4 3" xfId="23296" xr:uid="{00000000-0005-0000-0000-0000989C0000}"/>
    <cellStyle name="Normal 3 7 6 4 3 2" xfId="50429" xr:uid="{00000000-0005-0000-0000-0000999C0000}"/>
    <cellStyle name="Normal 3 7 6 4 4" xfId="36867" xr:uid="{00000000-0005-0000-0000-00009A9C0000}"/>
    <cellStyle name="Normal 3 7 6 5" xfId="13120" xr:uid="{00000000-0005-0000-0000-00009B9C0000}"/>
    <cellStyle name="Normal 3 7 6 5 2" xfId="26688" xr:uid="{00000000-0005-0000-0000-00009C9C0000}"/>
    <cellStyle name="Normal 3 7 6 5 2 2" xfId="53821" xr:uid="{00000000-0005-0000-0000-00009D9C0000}"/>
    <cellStyle name="Normal 3 7 6 5 3" xfId="40259" xr:uid="{00000000-0005-0000-0000-00009E9C0000}"/>
    <cellStyle name="Normal 3 7 6 6" xfId="19907" xr:uid="{00000000-0005-0000-0000-00009F9C0000}"/>
    <cellStyle name="Normal 3 7 6 6 2" xfId="47040" xr:uid="{00000000-0005-0000-0000-0000A09C0000}"/>
    <cellStyle name="Normal 3 7 6 7" xfId="33478" xr:uid="{00000000-0005-0000-0000-0000A19C0000}"/>
    <cellStyle name="Normal 3 7 7" xfId="6180" xr:uid="{00000000-0005-0000-0000-0000A29C0000}"/>
    <cellStyle name="Normal 3 7 7 2" xfId="6181" xr:uid="{00000000-0005-0000-0000-0000A39C0000}"/>
    <cellStyle name="Normal 3 7 7 2 2" xfId="9724" xr:uid="{00000000-0005-0000-0000-0000A49C0000}"/>
    <cellStyle name="Normal 3 7 7 2 2 2" xfId="16513" xr:uid="{00000000-0005-0000-0000-0000A59C0000}"/>
    <cellStyle name="Normal 3 7 7 2 2 2 2" xfId="30081" xr:uid="{00000000-0005-0000-0000-0000A69C0000}"/>
    <cellStyle name="Normal 3 7 7 2 2 2 2 2" xfId="57214" xr:uid="{00000000-0005-0000-0000-0000A79C0000}"/>
    <cellStyle name="Normal 3 7 7 2 2 2 3" xfId="43652" xr:uid="{00000000-0005-0000-0000-0000A89C0000}"/>
    <cellStyle name="Normal 3 7 7 2 2 3" xfId="23300" xr:uid="{00000000-0005-0000-0000-0000A99C0000}"/>
    <cellStyle name="Normal 3 7 7 2 2 3 2" xfId="50433" xr:uid="{00000000-0005-0000-0000-0000AA9C0000}"/>
    <cellStyle name="Normal 3 7 7 2 2 4" xfId="36871" xr:uid="{00000000-0005-0000-0000-0000AB9C0000}"/>
    <cellStyle name="Normal 3 7 7 2 3" xfId="13124" xr:uid="{00000000-0005-0000-0000-0000AC9C0000}"/>
    <cellStyle name="Normal 3 7 7 2 3 2" xfId="26692" xr:uid="{00000000-0005-0000-0000-0000AD9C0000}"/>
    <cellStyle name="Normal 3 7 7 2 3 2 2" xfId="53825" xr:uid="{00000000-0005-0000-0000-0000AE9C0000}"/>
    <cellStyle name="Normal 3 7 7 2 3 3" xfId="40263" xr:uid="{00000000-0005-0000-0000-0000AF9C0000}"/>
    <cellStyle name="Normal 3 7 7 2 4" xfId="19911" xr:uid="{00000000-0005-0000-0000-0000B09C0000}"/>
    <cellStyle name="Normal 3 7 7 2 4 2" xfId="47044" xr:uid="{00000000-0005-0000-0000-0000B19C0000}"/>
    <cellStyle name="Normal 3 7 7 2 5" xfId="33482" xr:uid="{00000000-0005-0000-0000-0000B29C0000}"/>
    <cellStyle name="Normal 3 7 7 3" xfId="6182" xr:uid="{00000000-0005-0000-0000-0000B39C0000}"/>
    <cellStyle name="Normal 3 7 7 3 2" xfId="9725" xr:uid="{00000000-0005-0000-0000-0000B49C0000}"/>
    <cellStyle name="Normal 3 7 7 3 2 2" xfId="16514" xr:uid="{00000000-0005-0000-0000-0000B59C0000}"/>
    <cellStyle name="Normal 3 7 7 3 2 2 2" xfId="30082" xr:uid="{00000000-0005-0000-0000-0000B69C0000}"/>
    <cellStyle name="Normal 3 7 7 3 2 2 2 2" xfId="57215" xr:uid="{00000000-0005-0000-0000-0000B79C0000}"/>
    <cellStyle name="Normal 3 7 7 3 2 2 3" xfId="43653" xr:uid="{00000000-0005-0000-0000-0000B89C0000}"/>
    <cellStyle name="Normal 3 7 7 3 2 3" xfId="23301" xr:uid="{00000000-0005-0000-0000-0000B99C0000}"/>
    <cellStyle name="Normal 3 7 7 3 2 3 2" xfId="50434" xr:uid="{00000000-0005-0000-0000-0000BA9C0000}"/>
    <cellStyle name="Normal 3 7 7 3 2 4" xfId="36872" xr:uid="{00000000-0005-0000-0000-0000BB9C0000}"/>
    <cellStyle name="Normal 3 7 7 3 3" xfId="13125" xr:uid="{00000000-0005-0000-0000-0000BC9C0000}"/>
    <cellStyle name="Normal 3 7 7 3 3 2" xfId="26693" xr:uid="{00000000-0005-0000-0000-0000BD9C0000}"/>
    <cellStyle name="Normal 3 7 7 3 3 2 2" xfId="53826" xr:uid="{00000000-0005-0000-0000-0000BE9C0000}"/>
    <cellStyle name="Normal 3 7 7 3 3 3" xfId="40264" xr:uid="{00000000-0005-0000-0000-0000BF9C0000}"/>
    <cellStyle name="Normal 3 7 7 3 4" xfId="19912" xr:uid="{00000000-0005-0000-0000-0000C09C0000}"/>
    <cellStyle name="Normal 3 7 7 3 4 2" xfId="47045" xr:uid="{00000000-0005-0000-0000-0000C19C0000}"/>
    <cellStyle name="Normal 3 7 7 3 5" xfId="33483" xr:uid="{00000000-0005-0000-0000-0000C29C0000}"/>
    <cellStyle name="Normal 3 7 7 4" xfId="9723" xr:uid="{00000000-0005-0000-0000-0000C39C0000}"/>
    <cellStyle name="Normal 3 7 7 4 2" xfId="16512" xr:uid="{00000000-0005-0000-0000-0000C49C0000}"/>
    <cellStyle name="Normal 3 7 7 4 2 2" xfId="30080" xr:uid="{00000000-0005-0000-0000-0000C59C0000}"/>
    <cellStyle name="Normal 3 7 7 4 2 2 2" xfId="57213" xr:uid="{00000000-0005-0000-0000-0000C69C0000}"/>
    <cellStyle name="Normal 3 7 7 4 2 3" xfId="43651" xr:uid="{00000000-0005-0000-0000-0000C79C0000}"/>
    <cellStyle name="Normal 3 7 7 4 3" xfId="23299" xr:uid="{00000000-0005-0000-0000-0000C89C0000}"/>
    <cellStyle name="Normal 3 7 7 4 3 2" xfId="50432" xr:uid="{00000000-0005-0000-0000-0000C99C0000}"/>
    <cellStyle name="Normal 3 7 7 4 4" xfId="36870" xr:uid="{00000000-0005-0000-0000-0000CA9C0000}"/>
    <cellStyle name="Normal 3 7 7 5" xfId="13123" xr:uid="{00000000-0005-0000-0000-0000CB9C0000}"/>
    <cellStyle name="Normal 3 7 7 5 2" xfId="26691" xr:uid="{00000000-0005-0000-0000-0000CC9C0000}"/>
    <cellStyle name="Normal 3 7 7 5 2 2" xfId="53824" xr:uid="{00000000-0005-0000-0000-0000CD9C0000}"/>
    <cellStyle name="Normal 3 7 7 5 3" xfId="40262" xr:uid="{00000000-0005-0000-0000-0000CE9C0000}"/>
    <cellStyle name="Normal 3 7 7 6" xfId="19910" xr:uid="{00000000-0005-0000-0000-0000CF9C0000}"/>
    <cellStyle name="Normal 3 7 7 6 2" xfId="47043" xr:uid="{00000000-0005-0000-0000-0000D09C0000}"/>
    <cellStyle name="Normal 3 7 7 7" xfId="33481" xr:uid="{00000000-0005-0000-0000-0000D19C0000}"/>
    <cellStyle name="Normal 3 7 8" xfId="6183" xr:uid="{00000000-0005-0000-0000-0000D29C0000}"/>
    <cellStyle name="Normal 3 7 8 2" xfId="9726" xr:uid="{00000000-0005-0000-0000-0000D39C0000}"/>
    <cellStyle name="Normal 3 7 8 2 2" xfId="16515" xr:uid="{00000000-0005-0000-0000-0000D49C0000}"/>
    <cellStyle name="Normal 3 7 8 2 2 2" xfId="30083" xr:uid="{00000000-0005-0000-0000-0000D59C0000}"/>
    <cellStyle name="Normal 3 7 8 2 2 2 2" xfId="57216" xr:uid="{00000000-0005-0000-0000-0000D69C0000}"/>
    <cellStyle name="Normal 3 7 8 2 2 3" xfId="43654" xr:uid="{00000000-0005-0000-0000-0000D79C0000}"/>
    <cellStyle name="Normal 3 7 8 2 3" xfId="23302" xr:uid="{00000000-0005-0000-0000-0000D89C0000}"/>
    <cellStyle name="Normal 3 7 8 2 3 2" xfId="50435" xr:uid="{00000000-0005-0000-0000-0000D99C0000}"/>
    <cellStyle name="Normal 3 7 8 2 4" xfId="36873" xr:uid="{00000000-0005-0000-0000-0000DA9C0000}"/>
    <cellStyle name="Normal 3 7 8 3" xfId="13126" xr:uid="{00000000-0005-0000-0000-0000DB9C0000}"/>
    <cellStyle name="Normal 3 7 8 3 2" xfId="26694" xr:uid="{00000000-0005-0000-0000-0000DC9C0000}"/>
    <cellStyle name="Normal 3 7 8 3 2 2" xfId="53827" xr:uid="{00000000-0005-0000-0000-0000DD9C0000}"/>
    <cellStyle name="Normal 3 7 8 3 3" xfId="40265" xr:uid="{00000000-0005-0000-0000-0000DE9C0000}"/>
    <cellStyle name="Normal 3 7 8 4" xfId="19913" xr:uid="{00000000-0005-0000-0000-0000DF9C0000}"/>
    <cellStyle name="Normal 3 7 8 4 2" xfId="47046" xr:uid="{00000000-0005-0000-0000-0000E09C0000}"/>
    <cellStyle name="Normal 3 7 8 5" xfId="33484" xr:uid="{00000000-0005-0000-0000-0000E19C0000}"/>
    <cellStyle name="Normal 3 7 9" xfId="6184" xr:uid="{00000000-0005-0000-0000-0000E29C0000}"/>
    <cellStyle name="Normal 3 7 9 2" xfId="9727" xr:uid="{00000000-0005-0000-0000-0000E39C0000}"/>
    <cellStyle name="Normal 3 7 9 2 2" xfId="16516" xr:uid="{00000000-0005-0000-0000-0000E49C0000}"/>
    <cellStyle name="Normal 3 7 9 2 2 2" xfId="30084" xr:uid="{00000000-0005-0000-0000-0000E59C0000}"/>
    <cellStyle name="Normal 3 7 9 2 2 2 2" xfId="57217" xr:uid="{00000000-0005-0000-0000-0000E69C0000}"/>
    <cellStyle name="Normal 3 7 9 2 2 3" xfId="43655" xr:uid="{00000000-0005-0000-0000-0000E79C0000}"/>
    <cellStyle name="Normal 3 7 9 2 3" xfId="23303" xr:uid="{00000000-0005-0000-0000-0000E89C0000}"/>
    <cellStyle name="Normal 3 7 9 2 3 2" xfId="50436" xr:uid="{00000000-0005-0000-0000-0000E99C0000}"/>
    <cellStyle name="Normal 3 7 9 2 4" xfId="36874" xr:uid="{00000000-0005-0000-0000-0000EA9C0000}"/>
    <cellStyle name="Normal 3 7 9 3" xfId="13127" xr:uid="{00000000-0005-0000-0000-0000EB9C0000}"/>
    <cellStyle name="Normal 3 7 9 3 2" xfId="26695" xr:uid="{00000000-0005-0000-0000-0000EC9C0000}"/>
    <cellStyle name="Normal 3 7 9 3 2 2" xfId="53828" xr:uid="{00000000-0005-0000-0000-0000ED9C0000}"/>
    <cellStyle name="Normal 3 7 9 3 3" xfId="40266" xr:uid="{00000000-0005-0000-0000-0000EE9C0000}"/>
    <cellStyle name="Normal 3 7 9 4" xfId="19914" xr:uid="{00000000-0005-0000-0000-0000EF9C0000}"/>
    <cellStyle name="Normal 3 7 9 4 2" xfId="47047" xr:uid="{00000000-0005-0000-0000-0000F09C0000}"/>
    <cellStyle name="Normal 3 7 9 5" xfId="33485" xr:uid="{00000000-0005-0000-0000-0000F19C0000}"/>
    <cellStyle name="Normal 3 8" xfId="2748" xr:uid="{00000000-0005-0000-0000-0000F29C0000}"/>
    <cellStyle name="Normal 3 8 10" xfId="17748" xr:uid="{00000000-0005-0000-0000-0000F39C0000}"/>
    <cellStyle name="Normal 3 8 10 2" xfId="44881" xr:uid="{00000000-0005-0000-0000-0000F49C0000}"/>
    <cellStyle name="Normal 3 8 11" xfId="31319" xr:uid="{00000000-0005-0000-0000-0000F59C0000}"/>
    <cellStyle name="Normal 3 8 2" xfId="2749" xr:uid="{00000000-0005-0000-0000-0000F69C0000}"/>
    <cellStyle name="Normal 3 8 2 2" xfId="6185" xr:uid="{00000000-0005-0000-0000-0000F79C0000}"/>
    <cellStyle name="Normal 3 8 2 2 2" xfId="6186" xr:uid="{00000000-0005-0000-0000-0000F89C0000}"/>
    <cellStyle name="Normal 3 8 2 2 2 2" xfId="9729" xr:uid="{00000000-0005-0000-0000-0000F99C0000}"/>
    <cellStyle name="Normal 3 8 2 2 2 2 2" xfId="16518" xr:uid="{00000000-0005-0000-0000-0000FA9C0000}"/>
    <cellStyle name="Normal 3 8 2 2 2 2 2 2" xfId="30086" xr:uid="{00000000-0005-0000-0000-0000FB9C0000}"/>
    <cellStyle name="Normal 3 8 2 2 2 2 2 2 2" xfId="57219" xr:uid="{00000000-0005-0000-0000-0000FC9C0000}"/>
    <cellStyle name="Normal 3 8 2 2 2 2 2 3" xfId="43657" xr:uid="{00000000-0005-0000-0000-0000FD9C0000}"/>
    <cellStyle name="Normal 3 8 2 2 2 2 3" xfId="23305" xr:uid="{00000000-0005-0000-0000-0000FE9C0000}"/>
    <cellStyle name="Normal 3 8 2 2 2 2 3 2" xfId="50438" xr:uid="{00000000-0005-0000-0000-0000FF9C0000}"/>
    <cellStyle name="Normal 3 8 2 2 2 2 4" xfId="36876" xr:uid="{00000000-0005-0000-0000-0000009D0000}"/>
    <cellStyle name="Normal 3 8 2 2 2 3" xfId="13129" xr:uid="{00000000-0005-0000-0000-0000019D0000}"/>
    <cellStyle name="Normal 3 8 2 2 2 3 2" xfId="26697" xr:uid="{00000000-0005-0000-0000-0000029D0000}"/>
    <cellStyle name="Normal 3 8 2 2 2 3 2 2" xfId="53830" xr:uid="{00000000-0005-0000-0000-0000039D0000}"/>
    <cellStyle name="Normal 3 8 2 2 2 3 3" xfId="40268" xr:uid="{00000000-0005-0000-0000-0000049D0000}"/>
    <cellStyle name="Normal 3 8 2 2 2 4" xfId="19916" xr:uid="{00000000-0005-0000-0000-0000059D0000}"/>
    <cellStyle name="Normal 3 8 2 2 2 4 2" xfId="47049" xr:uid="{00000000-0005-0000-0000-0000069D0000}"/>
    <cellStyle name="Normal 3 8 2 2 2 5" xfId="33487" xr:uid="{00000000-0005-0000-0000-0000079D0000}"/>
    <cellStyle name="Normal 3 8 2 2 3" xfId="6187" xr:uid="{00000000-0005-0000-0000-0000089D0000}"/>
    <cellStyle name="Normal 3 8 2 2 3 2" xfId="9730" xr:uid="{00000000-0005-0000-0000-0000099D0000}"/>
    <cellStyle name="Normal 3 8 2 2 3 2 2" xfId="16519" xr:uid="{00000000-0005-0000-0000-00000A9D0000}"/>
    <cellStyle name="Normal 3 8 2 2 3 2 2 2" xfId="30087" xr:uid="{00000000-0005-0000-0000-00000B9D0000}"/>
    <cellStyle name="Normal 3 8 2 2 3 2 2 2 2" xfId="57220" xr:uid="{00000000-0005-0000-0000-00000C9D0000}"/>
    <cellStyle name="Normal 3 8 2 2 3 2 2 3" xfId="43658" xr:uid="{00000000-0005-0000-0000-00000D9D0000}"/>
    <cellStyle name="Normal 3 8 2 2 3 2 3" xfId="23306" xr:uid="{00000000-0005-0000-0000-00000E9D0000}"/>
    <cellStyle name="Normal 3 8 2 2 3 2 3 2" xfId="50439" xr:uid="{00000000-0005-0000-0000-00000F9D0000}"/>
    <cellStyle name="Normal 3 8 2 2 3 2 4" xfId="36877" xr:uid="{00000000-0005-0000-0000-0000109D0000}"/>
    <cellStyle name="Normal 3 8 2 2 3 3" xfId="13130" xr:uid="{00000000-0005-0000-0000-0000119D0000}"/>
    <cellStyle name="Normal 3 8 2 2 3 3 2" xfId="26698" xr:uid="{00000000-0005-0000-0000-0000129D0000}"/>
    <cellStyle name="Normal 3 8 2 2 3 3 2 2" xfId="53831" xr:uid="{00000000-0005-0000-0000-0000139D0000}"/>
    <cellStyle name="Normal 3 8 2 2 3 3 3" xfId="40269" xr:uid="{00000000-0005-0000-0000-0000149D0000}"/>
    <cellStyle name="Normal 3 8 2 2 3 4" xfId="19917" xr:uid="{00000000-0005-0000-0000-0000159D0000}"/>
    <cellStyle name="Normal 3 8 2 2 3 4 2" xfId="47050" xr:uid="{00000000-0005-0000-0000-0000169D0000}"/>
    <cellStyle name="Normal 3 8 2 2 3 5" xfId="33488" xr:uid="{00000000-0005-0000-0000-0000179D0000}"/>
    <cellStyle name="Normal 3 8 2 2 4" xfId="9728" xr:uid="{00000000-0005-0000-0000-0000189D0000}"/>
    <cellStyle name="Normal 3 8 2 2 4 2" xfId="16517" xr:uid="{00000000-0005-0000-0000-0000199D0000}"/>
    <cellStyle name="Normal 3 8 2 2 4 2 2" xfId="30085" xr:uid="{00000000-0005-0000-0000-00001A9D0000}"/>
    <cellStyle name="Normal 3 8 2 2 4 2 2 2" xfId="57218" xr:uid="{00000000-0005-0000-0000-00001B9D0000}"/>
    <cellStyle name="Normal 3 8 2 2 4 2 3" xfId="43656" xr:uid="{00000000-0005-0000-0000-00001C9D0000}"/>
    <cellStyle name="Normal 3 8 2 2 4 3" xfId="23304" xr:uid="{00000000-0005-0000-0000-00001D9D0000}"/>
    <cellStyle name="Normal 3 8 2 2 4 3 2" xfId="50437" xr:uid="{00000000-0005-0000-0000-00001E9D0000}"/>
    <cellStyle name="Normal 3 8 2 2 4 4" xfId="36875" xr:uid="{00000000-0005-0000-0000-00001F9D0000}"/>
    <cellStyle name="Normal 3 8 2 2 5" xfId="13128" xr:uid="{00000000-0005-0000-0000-0000209D0000}"/>
    <cellStyle name="Normal 3 8 2 2 5 2" xfId="26696" xr:uid="{00000000-0005-0000-0000-0000219D0000}"/>
    <cellStyle name="Normal 3 8 2 2 5 2 2" xfId="53829" xr:uid="{00000000-0005-0000-0000-0000229D0000}"/>
    <cellStyle name="Normal 3 8 2 2 5 3" xfId="40267" xr:uid="{00000000-0005-0000-0000-0000239D0000}"/>
    <cellStyle name="Normal 3 8 2 2 6" xfId="19915" xr:uid="{00000000-0005-0000-0000-0000249D0000}"/>
    <cellStyle name="Normal 3 8 2 2 6 2" xfId="47048" xr:uid="{00000000-0005-0000-0000-0000259D0000}"/>
    <cellStyle name="Normal 3 8 2 2 7" xfId="33486" xr:uid="{00000000-0005-0000-0000-0000269D0000}"/>
    <cellStyle name="Normal 3 8 2 3" xfId="6188" xr:uid="{00000000-0005-0000-0000-0000279D0000}"/>
    <cellStyle name="Normal 3 8 2 3 2" xfId="6189" xr:uid="{00000000-0005-0000-0000-0000289D0000}"/>
    <cellStyle name="Normal 3 8 2 3 2 2" xfId="9732" xr:uid="{00000000-0005-0000-0000-0000299D0000}"/>
    <cellStyle name="Normal 3 8 2 3 2 2 2" xfId="16521" xr:uid="{00000000-0005-0000-0000-00002A9D0000}"/>
    <cellStyle name="Normal 3 8 2 3 2 2 2 2" xfId="30089" xr:uid="{00000000-0005-0000-0000-00002B9D0000}"/>
    <cellStyle name="Normal 3 8 2 3 2 2 2 2 2" xfId="57222" xr:uid="{00000000-0005-0000-0000-00002C9D0000}"/>
    <cellStyle name="Normal 3 8 2 3 2 2 2 3" xfId="43660" xr:uid="{00000000-0005-0000-0000-00002D9D0000}"/>
    <cellStyle name="Normal 3 8 2 3 2 2 3" xfId="23308" xr:uid="{00000000-0005-0000-0000-00002E9D0000}"/>
    <cellStyle name="Normal 3 8 2 3 2 2 3 2" xfId="50441" xr:uid="{00000000-0005-0000-0000-00002F9D0000}"/>
    <cellStyle name="Normal 3 8 2 3 2 2 4" xfId="36879" xr:uid="{00000000-0005-0000-0000-0000309D0000}"/>
    <cellStyle name="Normal 3 8 2 3 2 3" xfId="13132" xr:uid="{00000000-0005-0000-0000-0000319D0000}"/>
    <cellStyle name="Normal 3 8 2 3 2 3 2" xfId="26700" xr:uid="{00000000-0005-0000-0000-0000329D0000}"/>
    <cellStyle name="Normal 3 8 2 3 2 3 2 2" xfId="53833" xr:uid="{00000000-0005-0000-0000-0000339D0000}"/>
    <cellStyle name="Normal 3 8 2 3 2 3 3" xfId="40271" xr:uid="{00000000-0005-0000-0000-0000349D0000}"/>
    <cellStyle name="Normal 3 8 2 3 2 4" xfId="19919" xr:uid="{00000000-0005-0000-0000-0000359D0000}"/>
    <cellStyle name="Normal 3 8 2 3 2 4 2" xfId="47052" xr:uid="{00000000-0005-0000-0000-0000369D0000}"/>
    <cellStyle name="Normal 3 8 2 3 2 5" xfId="33490" xr:uid="{00000000-0005-0000-0000-0000379D0000}"/>
    <cellStyle name="Normal 3 8 2 3 3" xfId="9731" xr:uid="{00000000-0005-0000-0000-0000389D0000}"/>
    <cellStyle name="Normal 3 8 2 3 3 2" xfId="16520" xr:uid="{00000000-0005-0000-0000-0000399D0000}"/>
    <cellStyle name="Normal 3 8 2 3 3 2 2" xfId="30088" xr:uid="{00000000-0005-0000-0000-00003A9D0000}"/>
    <cellStyle name="Normal 3 8 2 3 3 2 2 2" xfId="57221" xr:uid="{00000000-0005-0000-0000-00003B9D0000}"/>
    <cellStyle name="Normal 3 8 2 3 3 2 3" xfId="43659" xr:uid="{00000000-0005-0000-0000-00003C9D0000}"/>
    <cellStyle name="Normal 3 8 2 3 3 3" xfId="23307" xr:uid="{00000000-0005-0000-0000-00003D9D0000}"/>
    <cellStyle name="Normal 3 8 2 3 3 3 2" xfId="50440" xr:uid="{00000000-0005-0000-0000-00003E9D0000}"/>
    <cellStyle name="Normal 3 8 2 3 3 4" xfId="36878" xr:uid="{00000000-0005-0000-0000-00003F9D0000}"/>
    <cellStyle name="Normal 3 8 2 3 4" xfId="13131" xr:uid="{00000000-0005-0000-0000-0000409D0000}"/>
    <cellStyle name="Normal 3 8 2 3 4 2" xfId="26699" xr:uid="{00000000-0005-0000-0000-0000419D0000}"/>
    <cellStyle name="Normal 3 8 2 3 4 2 2" xfId="53832" xr:uid="{00000000-0005-0000-0000-0000429D0000}"/>
    <cellStyle name="Normal 3 8 2 3 4 3" xfId="40270" xr:uid="{00000000-0005-0000-0000-0000439D0000}"/>
    <cellStyle name="Normal 3 8 2 3 5" xfId="19918" xr:uid="{00000000-0005-0000-0000-0000449D0000}"/>
    <cellStyle name="Normal 3 8 2 3 5 2" xfId="47051" xr:uid="{00000000-0005-0000-0000-0000459D0000}"/>
    <cellStyle name="Normal 3 8 2 3 6" xfId="33489" xr:uid="{00000000-0005-0000-0000-0000469D0000}"/>
    <cellStyle name="Normal 3 8 2 4" xfId="6190" xr:uid="{00000000-0005-0000-0000-0000479D0000}"/>
    <cellStyle name="Normal 3 8 2 4 2" xfId="9733" xr:uid="{00000000-0005-0000-0000-0000489D0000}"/>
    <cellStyle name="Normal 3 8 2 4 2 2" xfId="16522" xr:uid="{00000000-0005-0000-0000-0000499D0000}"/>
    <cellStyle name="Normal 3 8 2 4 2 2 2" xfId="30090" xr:uid="{00000000-0005-0000-0000-00004A9D0000}"/>
    <cellStyle name="Normal 3 8 2 4 2 2 2 2" xfId="57223" xr:uid="{00000000-0005-0000-0000-00004B9D0000}"/>
    <cellStyle name="Normal 3 8 2 4 2 2 3" xfId="43661" xr:uid="{00000000-0005-0000-0000-00004C9D0000}"/>
    <cellStyle name="Normal 3 8 2 4 2 3" xfId="23309" xr:uid="{00000000-0005-0000-0000-00004D9D0000}"/>
    <cellStyle name="Normal 3 8 2 4 2 3 2" xfId="50442" xr:uid="{00000000-0005-0000-0000-00004E9D0000}"/>
    <cellStyle name="Normal 3 8 2 4 2 4" xfId="36880" xr:uid="{00000000-0005-0000-0000-00004F9D0000}"/>
    <cellStyle name="Normal 3 8 2 4 3" xfId="13133" xr:uid="{00000000-0005-0000-0000-0000509D0000}"/>
    <cellStyle name="Normal 3 8 2 4 3 2" xfId="26701" xr:uid="{00000000-0005-0000-0000-0000519D0000}"/>
    <cellStyle name="Normal 3 8 2 4 3 2 2" xfId="53834" xr:uid="{00000000-0005-0000-0000-0000529D0000}"/>
    <cellStyle name="Normal 3 8 2 4 3 3" xfId="40272" xr:uid="{00000000-0005-0000-0000-0000539D0000}"/>
    <cellStyle name="Normal 3 8 2 4 4" xfId="19920" xr:uid="{00000000-0005-0000-0000-0000549D0000}"/>
    <cellStyle name="Normal 3 8 2 4 4 2" xfId="47053" xr:uid="{00000000-0005-0000-0000-0000559D0000}"/>
    <cellStyle name="Normal 3 8 2 4 5" xfId="33491" xr:uid="{00000000-0005-0000-0000-0000569D0000}"/>
    <cellStyle name="Normal 3 8 2 5" xfId="6191" xr:uid="{00000000-0005-0000-0000-0000579D0000}"/>
    <cellStyle name="Normal 3 8 2 5 2" xfId="9734" xr:uid="{00000000-0005-0000-0000-0000589D0000}"/>
    <cellStyle name="Normal 3 8 2 5 2 2" xfId="16523" xr:uid="{00000000-0005-0000-0000-0000599D0000}"/>
    <cellStyle name="Normal 3 8 2 5 2 2 2" xfId="30091" xr:uid="{00000000-0005-0000-0000-00005A9D0000}"/>
    <cellStyle name="Normal 3 8 2 5 2 2 2 2" xfId="57224" xr:uid="{00000000-0005-0000-0000-00005B9D0000}"/>
    <cellStyle name="Normal 3 8 2 5 2 2 3" xfId="43662" xr:uid="{00000000-0005-0000-0000-00005C9D0000}"/>
    <cellStyle name="Normal 3 8 2 5 2 3" xfId="23310" xr:uid="{00000000-0005-0000-0000-00005D9D0000}"/>
    <cellStyle name="Normal 3 8 2 5 2 3 2" xfId="50443" xr:uid="{00000000-0005-0000-0000-00005E9D0000}"/>
    <cellStyle name="Normal 3 8 2 5 2 4" xfId="36881" xr:uid="{00000000-0005-0000-0000-00005F9D0000}"/>
    <cellStyle name="Normal 3 8 2 5 3" xfId="13134" xr:uid="{00000000-0005-0000-0000-0000609D0000}"/>
    <cellStyle name="Normal 3 8 2 5 3 2" xfId="26702" xr:uid="{00000000-0005-0000-0000-0000619D0000}"/>
    <cellStyle name="Normal 3 8 2 5 3 2 2" xfId="53835" xr:uid="{00000000-0005-0000-0000-0000629D0000}"/>
    <cellStyle name="Normal 3 8 2 5 3 3" xfId="40273" xr:uid="{00000000-0005-0000-0000-0000639D0000}"/>
    <cellStyle name="Normal 3 8 2 5 4" xfId="19921" xr:uid="{00000000-0005-0000-0000-0000649D0000}"/>
    <cellStyle name="Normal 3 8 2 5 4 2" xfId="47054" xr:uid="{00000000-0005-0000-0000-0000659D0000}"/>
    <cellStyle name="Normal 3 8 2 5 5" xfId="33492" xr:uid="{00000000-0005-0000-0000-0000669D0000}"/>
    <cellStyle name="Normal 3 8 2 6" xfId="7562" xr:uid="{00000000-0005-0000-0000-0000679D0000}"/>
    <cellStyle name="Normal 3 8 2 6 2" xfId="14351" xr:uid="{00000000-0005-0000-0000-0000689D0000}"/>
    <cellStyle name="Normal 3 8 2 6 2 2" xfId="27919" xr:uid="{00000000-0005-0000-0000-0000699D0000}"/>
    <cellStyle name="Normal 3 8 2 6 2 2 2" xfId="55052" xr:uid="{00000000-0005-0000-0000-00006A9D0000}"/>
    <cellStyle name="Normal 3 8 2 6 2 3" xfId="41490" xr:uid="{00000000-0005-0000-0000-00006B9D0000}"/>
    <cellStyle name="Normal 3 8 2 6 3" xfId="21138" xr:uid="{00000000-0005-0000-0000-00006C9D0000}"/>
    <cellStyle name="Normal 3 8 2 6 3 2" xfId="48271" xr:uid="{00000000-0005-0000-0000-00006D9D0000}"/>
    <cellStyle name="Normal 3 8 2 6 4" xfId="34709" xr:uid="{00000000-0005-0000-0000-00006E9D0000}"/>
    <cellStyle name="Normal 3 8 2 7" xfId="10962" xr:uid="{00000000-0005-0000-0000-00006F9D0000}"/>
    <cellStyle name="Normal 3 8 2 7 2" xfId="24530" xr:uid="{00000000-0005-0000-0000-0000709D0000}"/>
    <cellStyle name="Normal 3 8 2 7 2 2" xfId="51663" xr:uid="{00000000-0005-0000-0000-0000719D0000}"/>
    <cellStyle name="Normal 3 8 2 7 3" xfId="38101" xr:uid="{00000000-0005-0000-0000-0000729D0000}"/>
    <cellStyle name="Normal 3 8 2 8" xfId="17749" xr:uid="{00000000-0005-0000-0000-0000739D0000}"/>
    <cellStyle name="Normal 3 8 2 8 2" xfId="44882" xr:uid="{00000000-0005-0000-0000-0000749D0000}"/>
    <cellStyle name="Normal 3 8 2 9" xfId="31320" xr:uid="{00000000-0005-0000-0000-0000759D0000}"/>
    <cellStyle name="Normal 3 8 3" xfId="6192" xr:uid="{00000000-0005-0000-0000-0000769D0000}"/>
    <cellStyle name="Normal 3 8 3 2" xfId="6193" xr:uid="{00000000-0005-0000-0000-0000779D0000}"/>
    <cellStyle name="Normal 3 8 3 2 2" xfId="6194" xr:uid="{00000000-0005-0000-0000-0000789D0000}"/>
    <cellStyle name="Normal 3 8 3 2 2 2" xfId="9737" xr:uid="{00000000-0005-0000-0000-0000799D0000}"/>
    <cellStyle name="Normal 3 8 3 2 2 2 2" xfId="16526" xr:uid="{00000000-0005-0000-0000-00007A9D0000}"/>
    <cellStyle name="Normal 3 8 3 2 2 2 2 2" xfId="30094" xr:uid="{00000000-0005-0000-0000-00007B9D0000}"/>
    <cellStyle name="Normal 3 8 3 2 2 2 2 2 2" xfId="57227" xr:uid="{00000000-0005-0000-0000-00007C9D0000}"/>
    <cellStyle name="Normal 3 8 3 2 2 2 2 3" xfId="43665" xr:uid="{00000000-0005-0000-0000-00007D9D0000}"/>
    <cellStyle name="Normal 3 8 3 2 2 2 3" xfId="23313" xr:uid="{00000000-0005-0000-0000-00007E9D0000}"/>
    <cellStyle name="Normal 3 8 3 2 2 2 3 2" xfId="50446" xr:uid="{00000000-0005-0000-0000-00007F9D0000}"/>
    <cellStyle name="Normal 3 8 3 2 2 2 4" xfId="36884" xr:uid="{00000000-0005-0000-0000-0000809D0000}"/>
    <cellStyle name="Normal 3 8 3 2 2 3" xfId="13137" xr:uid="{00000000-0005-0000-0000-0000819D0000}"/>
    <cellStyle name="Normal 3 8 3 2 2 3 2" xfId="26705" xr:uid="{00000000-0005-0000-0000-0000829D0000}"/>
    <cellStyle name="Normal 3 8 3 2 2 3 2 2" xfId="53838" xr:uid="{00000000-0005-0000-0000-0000839D0000}"/>
    <cellStyle name="Normal 3 8 3 2 2 3 3" xfId="40276" xr:uid="{00000000-0005-0000-0000-0000849D0000}"/>
    <cellStyle name="Normal 3 8 3 2 2 4" xfId="19924" xr:uid="{00000000-0005-0000-0000-0000859D0000}"/>
    <cellStyle name="Normal 3 8 3 2 2 4 2" xfId="47057" xr:uid="{00000000-0005-0000-0000-0000869D0000}"/>
    <cellStyle name="Normal 3 8 3 2 2 5" xfId="33495" xr:uid="{00000000-0005-0000-0000-0000879D0000}"/>
    <cellStyle name="Normal 3 8 3 2 3" xfId="6195" xr:uid="{00000000-0005-0000-0000-0000889D0000}"/>
    <cellStyle name="Normal 3 8 3 2 3 2" xfId="9738" xr:uid="{00000000-0005-0000-0000-0000899D0000}"/>
    <cellStyle name="Normal 3 8 3 2 3 2 2" xfId="16527" xr:uid="{00000000-0005-0000-0000-00008A9D0000}"/>
    <cellStyle name="Normal 3 8 3 2 3 2 2 2" xfId="30095" xr:uid="{00000000-0005-0000-0000-00008B9D0000}"/>
    <cellStyle name="Normal 3 8 3 2 3 2 2 2 2" xfId="57228" xr:uid="{00000000-0005-0000-0000-00008C9D0000}"/>
    <cellStyle name="Normal 3 8 3 2 3 2 2 3" xfId="43666" xr:uid="{00000000-0005-0000-0000-00008D9D0000}"/>
    <cellStyle name="Normal 3 8 3 2 3 2 3" xfId="23314" xr:uid="{00000000-0005-0000-0000-00008E9D0000}"/>
    <cellStyle name="Normal 3 8 3 2 3 2 3 2" xfId="50447" xr:uid="{00000000-0005-0000-0000-00008F9D0000}"/>
    <cellStyle name="Normal 3 8 3 2 3 2 4" xfId="36885" xr:uid="{00000000-0005-0000-0000-0000909D0000}"/>
    <cellStyle name="Normal 3 8 3 2 3 3" xfId="13138" xr:uid="{00000000-0005-0000-0000-0000919D0000}"/>
    <cellStyle name="Normal 3 8 3 2 3 3 2" xfId="26706" xr:uid="{00000000-0005-0000-0000-0000929D0000}"/>
    <cellStyle name="Normal 3 8 3 2 3 3 2 2" xfId="53839" xr:uid="{00000000-0005-0000-0000-0000939D0000}"/>
    <cellStyle name="Normal 3 8 3 2 3 3 3" xfId="40277" xr:uid="{00000000-0005-0000-0000-0000949D0000}"/>
    <cellStyle name="Normal 3 8 3 2 3 4" xfId="19925" xr:uid="{00000000-0005-0000-0000-0000959D0000}"/>
    <cellStyle name="Normal 3 8 3 2 3 4 2" xfId="47058" xr:uid="{00000000-0005-0000-0000-0000969D0000}"/>
    <cellStyle name="Normal 3 8 3 2 3 5" xfId="33496" xr:uid="{00000000-0005-0000-0000-0000979D0000}"/>
    <cellStyle name="Normal 3 8 3 2 4" xfId="9736" xr:uid="{00000000-0005-0000-0000-0000989D0000}"/>
    <cellStyle name="Normal 3 8 3 2 4 2" xfId="16525" xr:uid="{00000000-0005-0000-0000-0000999D0000}"/>
    <cellStyle name="Normal 3 8 3 2 4 2 2" xfId="30093" xr:uid="{00000000-0005-0000-0000-00009A9D0000}"/>
    <cellStyle name="Normal 3 8 3 2 4 2 2 2" xfId="57226" xr:uid="{00000000-0005-0000-0000-00009B9D0000}"/>
    <cellStyle name="Normal 3 8 3 2 4 2 3" xfId="43664" xr:uid="{00000000-0005-0000-0000-00009C9D0000}"/>
    <cellStyle name="Normal 3 8 3 2 4 3" xfId="23312" xr:uid="{00000000-0005-0000-0000-00009D9D0000}"/>
    <cellStyle name="Normal 3 8 3 2 4 3 2" xfId="50445" xr:uid="{00000000-0005-0000-0000-00009E9D0000}"/>
    <cellStyle name="Normal 3 8 3 2 4 4" xfId="36883" xr:uid="{00000000-0005-0000-0000-00009F9D0000}"/>
    <cellStyle name="Normal 3 8 3 2 5" xfId="13136" xr:uid="{00000000-0005-0000-0000-0000A09D0000}"/>
    <cellStyle name="Normal 3 8 3 2 5 2" xfId="26704" xr:uid="{00000000-0005-0000-0000-0000A19D0000}"/>
    <cellStyle name="Normal 3 8 3 2 5 2 2" xfId="53837" xr:uid="{00000000-0005-0000-0000-0000A29D0000}"/>
    <cellStyle name="Normal 3 8 3 2 5 3" xfId="40275" xr:uid="{00000000-0005-0000-0000-0000A39D0000}"/>
    <cellStyle name="Normal 3 8 3 2 6" xfId="19923" xr:uid="{00000000-0005-0000-0000-0000A49D0000}"/>
    <cellStyle name="Normal 3 8 3 2 6 2" xfId="47056" xr:uid="{00000000-0005-0000-0000-0000A59D0000}"/>
    <cellStyle name="Normal 3 8 3 2 7" xfId="33494" xr:uid="{00000000-0005-0000-0000-0000A69D0000}"/>
    <cellStyle name="Normal 3 8 3 3" xfId="6196" xr:uid="{00000000-0005-0000-0000-0000A79D0000}"/>
    <cellStyle name="Normal 3 8 3 3 2" xfId="9739" xr:uid="{00000000-0005-0000-0000-0000A89D0000}"/>
    <cellStyle name="Normal 3 8 3 3 2 2" xfId="16528" xr:uid="{00000000-0005-0000-0000-0000A99D0000}"/>
    <cellStyle name="Normal 3 8 3 3 2 2 2" xfId="30096" xr:uid="{00000000-0005-0000-0000-0000AA9D0000}"/>
    <cellStyle name="Normal 3 8 3 3 2 2 2 2" xfId="57229" xr:uid="{00000000-0005-0000-0000-0000AB9D0000}"/>
    <cellStyle name="Normal 3 8 3 3 2 2 3" xfId="43667" xr:uid="{00000000-0005-0000-0000-0000AC9D0000}"/>
    <cellStyle name="Normal 3 8 3 3 2 3" xfId="23315" xr:uid="{00000000-0005-0000-0000-0000AD9D0000}"/>
    <cellStyle name="Normal 3 8 3 3 2 3 2" xfId="50448" xr:uid="{00000000-0005-0000-0000-0000AE9D0000}"/>
    <cellStyle name="Normal 3 8 3 3 2 4" xfId="36886" xr:uid="{00000000-0005-0000-0000-0000AF9D0000}"/>
    <cellStyle name="Normal 3 8 3 3 3" xfId="13139" xr:uid="{00000000-0005-0000-0000-0000B09D0000}"/>
    <cellStyle name="Normal 3 8 3 3 3 2" xfId="26707" xr:uid="{00000000-0005-0000-0000-0000B19D0000}"/>
    <cellStyle name="Normal 3 8 3 3 3 2 2" xfId="53840" xr:uid="{00000000-0005-0000-0000-0000B29D0000}"/>
    <cellStyle name="Normal 3 8 3 3 3 3" xfId="40278" xr:uid="{00000000-0005-0000-0000-0000B39D0000}"/>
    <cellStyle name="Normal 3 8 3 3 4" xfId="19926" xr:uid="{00000000-0005-0000-0000-0000B49D0000}"/>
    <cellStyle name="Normal 3 8 3 3 4 2" xfId="47059" xr:uid="{00000000-0005-0000-0000-0000B59D0000}"/>
    <cellStyle name="Normal 3 8 3 3 5" xfId="33497" xr:uid="{00000000-0005-0000-0000-0000B69D0000}"/>
    <cellStyle name="Normal 3 8 3 4" xfId="6197" xr:uid="{00000000-0005-0000-0000-0000B79D0000}"/>
    <cellStyle name="Normal 3 8 3 4 2" xfId="9740" xr:uid="{00000000-0005-0000-0000-0000B89D0000}"/>
    <cellStyle name="Normal 3 8 3 4 2 2" xfId="16529" xr:uid="{00000000-0005-0000-0000-0000B99D0000}"/>
    <cellStyle name="Normal 3 8 3 4 2 2 2" xfId="30097" xr:uid="{00000000-0005-0000-0000-0000BA9D0000}"/>
    <cellStyle name="Normal 3 8 3 4 2 2 2 2" xfId="57230" xr:uid="{00000000-0005-0000-0000-0000BB9D0000}"/>
    <cellStyle name="Normal 3 8 3 4 2 2 3" xfId="43668" xr:uid="{00000000-0005-0000-0000-0000BC9D0000}"/>
    <cellStyle name="Normal 3 8 3 4 2 3" xfId="23316" xr:uid="{00000000-0005-0000-0000-0000BD9D0000}"/>
    <cellStyle name="Normal 3 8 3 4 2 3 2" xfId="50449" xr:uid="{00000000-0005-0000-0000-0000BE9D0000}"/>
    <cellStyle name="Normal 3 8 3 4 2 4" xfId="36887" xr:uid="{00000000-0005-0000-0000-0000BF9D0000}"/>
    <cellStyle name="Normal 3 8 3 4 3" xfId="13140" xr:uid="{00000000-0005-0000-0000-0000C09D0000}"/>
    <cellStyle name="Normal 3 8 3 4 3 2" xfId="26708" xr:uid="{00000000-0005-0000-0000-0000C19D0000}"/>
    <cellStyle name="Normal 3 8 3 4 3 2 2" xfId="53841" xr:uid="{00000000-0005-0000-0000-0000C29D0000}"/>
    <cellStyle name="Normal 3 8 3 4 3 3" xfId="40279" xr:uid="{00000000-0005-0000-0000-0000C39D0000}"/>
    <cellStyle name="Normal 3 8 3 4 4" xfId="19927" xr:uid="{00000000-0005-0000-0000-0000C49D0000}"/>
    <cellStyle name="Normal 3 8 3 4 4 2" xfId="47060" xr:uid="{00000000-0005-0000-0000-0000C59D0000}"/>
    <cellStyle name="Normal 3 8 3 4 5" xfId="33498" xr:uid="{00000000-0005-0000-0000-0000C69D0000}"/>
    <cellStyle name="Normal 3 8 3 5" xfId="9735" xr:uid="{00000000-0005-0000-0000-0000C79D0000}"/>
    <cellStyle name="Normal 3 8 3 5 2" xfId="16524" xr:uid="{00000000-0005-0000-0000-0000C89D0000}"/>
    <cellStyle name="Normal 3 8 3 5 2 2" xfId="30092" xr:uid="{00000000-0005-0000-0000-0000C99D0000}"/>
    <cellStyle name="Normal 3 8 3 5 2 2 2" xfId="57225" xr:uid="{00000000-0005-0000-0000-0000CA9D0000}"/>
    <cellStyle name="Normal 3 8 3 5 2 3" xfId="43663" xr:uid="{00000000-0005-0000-0000-0000CB9D0000}"/>
    <cellStyle name="Normal 3 8 3 5 3" xfId="23311" xr:uid="{00000000-0005-0000-0000-0000CC9D0000}"/>
    <cellStyle name="Normal 3 8 3 5 3 2" xfId="50444" xr:uid="{00000000-0005-0000-0000-0000CD9D0000}"/>
    <cellStyle name="Normal 3 8 3 5 4" xfId="36882" xr:uid="{00000000-0005-0000-0000-0000CE9D0000}"/>
    <cellStyle name="Normal 3 8 3 6" xfId="13135" xr:uid="{00000000-0005-0000-0000-0000CF9D0000}"/>
    <cellStyle name="Normal 3 8 3 6 2" xfId="26703" xr:uid="{00000000-0005-0000-0000-0000D09D0000}"/>
    <cellStyle name="Normal 3 8 3 6 2 2" xfId="53836" xr:uid="{00000000-0005-0000-0000-0000D19D0000}"/>
    <cellStyle name="Normal 3 8 3 6 3" xfId="40274" xr:uid="{00000000-0005-0000-0000-0000D29D0000}"/>
    <cellStyle name="Normal 3 8 3 7" xfId="19922" xr:uid="{00000000-0005-0000-0000-0000D39D0000}"/>
    <cellStyle name="Normal 3 8 3 7 2" xfId="47055" xr:uid="{00000000-0005-0000-0000-0000D49D0000}"/>
    <cellStyle name="Normal 3 8 3 8" xfId="33493" xr:uid="{00000000-0005-0000-0000-0000D59D0000}"/>
    <cellStyle name="Normal 3 8 4" xfId="6198" xr:uid="{00000000-0005-0000-0000-0000D69D0000}"/>
    <cellStyle name="Normal 3 8 4 2" xfId="6199" xr:uid="{00000000-0005-0000-0000-0000D79D0000}"/>
    <cellStyle name="Normal 3 8 4 2 2" xfId="9742" xr:uid="{00000000-0005-0000-0000-0000D89D0000}"/>
    <cellStyle name="Normal 3 8 4 2 2 2" xfId="16531" xr:uid="{00000000-0005-0000-0000-0000D99D0000}"/>
    <cellStyle name="Normal 3 8 4 2 2 2 2" xfId="30099" xr:uid="{00000000-0005-0000-0000-0000DA9D0000}"/>
    <cellStyle name="Normal 3 8 4 2 2 2 2 2" xfId="57232" xr:uid="{00000000-0005-0000-0000-0000DB9D0000}"/>
    <cellStyle name="Normal 3 8 4 2 2 2 3" xfId="43670" xr:uid="{00000000-0005-0000-0000-0000DC9D0000}"/>
    <cellStyle name="Normal 3 8 4 2 2 3" xfId="23318" xr:uid="{00000000-0005-0000-0000-0000DD9D0000}"/>
    <cellStyle name="Normal 3 8 4 2 2 3 2" xfId="50451" xr:uid="{00000000-0005-0000-0000-0000DE9D0000}"/>
    <cellStyle name="Normal 3 8 4 2 2 4" xfId="36889" xr:uid="{00000000-0005-0000-0000-0000DF9D0000}"/>
    <cellStyle name="Normal 3 8 4 2 3" xfId="13142" xr:uid="{00000000-0005-0000-0000-0000E09D0000}"/>
    <cellStyle name="Normal 3 8 4 2 3 2" xfId="26710" xr:uid="{00000000-0005-0000-0000-0000E19D0000}"/>
    <cellStyle name="Normal 3 8 4 2 3 2 2" xfId="53843" xr:uid="{00000000-0005-0000-0000-0000E29D0000}"/>
    <cellStyle name="Normal 3 8 4 2 3 3" xfId="40281" xr:uid="{00000000-0005-0000-0000-0000E39D0000}"/>
    <cellStyle name="Normal 3 8 4 2 4" xfId="19929" xr:uid="{00000000-0005-0000-0000-0000E49D0000}"/>
    <cellStyle name="Normal 3 8 4 2 4 2" xfId="47062" xr:uid="{00000000-0005-0000-0000-0000E59D0000}"/>
    <cellStyle name="Normal 3 8 4 2 5" xfId="33500" xr:uid="{00000000-0005-0000-0000-0000E69D0000}"/>
    <cellStyle name="Normal 3 8 4 3" xfId="6200" xr:uid="{00000000-0005-0000-0000-0000E79D0000}"/>
    <cellStyle name="Normal 3 8 4 3 2" xfId="9743" xr:uid="{00000000-0005-0000-0000-0000E89D0000}"/>
    <cellStyle name="Normal 3 8 4 3 2 2" xfId="16532" xr:uid="{00000000-0005-0000-0000-0000E99D0000}"/>
    <cellStyle name="Normal 3 8 4 3 2 2 2" xfId="30100" xr:uid="{00000000-0005-0000-0000-0000EA9D0000}"/>
    <cellStyle name="Normal 3 8 4 3 2 2 2 2" xfId="57233" xr:uid="{00000000-0005-0000-0000-0000EB9D0000}"/>
    <cellStyle name="Normal 3 8 4 3 2 2 3" xfId="43671" xr:uid="{00000000-0005-0000-0000-0000EC9D0000}"/>
    <cellStyle name="Normal 3 8 4 3 2 3" xfId="23319" xr:uid="{00000000-0005-0000-0000-0000ED9D0000}"/>
    <cellStyle name="Normal 3 8 4 3 2 3 2" xfId="50452" xr:uid="{00000000-0005-0000-0000-0000EE9D0000}"/>
    <cellStyle name="Normal 3 8 4 3 2 4" xfId="36890" xr:uid="{00000000-0005-0000-0000-0000EF9D0000}"/>
    <cellStyle name="Normal 3 8 4 3 3" xfId="13143" xr:uid="{00000000-0005-0000-0000-0000F09D0000}"/>
    <cellStyle name="Normal 3 8 4 3 3 2" xfId="26711" xr:uid="{00000000-0005-0000-0000-0000F19D0000}"/>
    <cellStyle name="Normal 3 8 4 3 3 2 2" xfId="53844" xr:uid="{00000000-0005-0000-0000-0000F29D0000}"/>
    <cellStyle name="Normal 3 8 4 3 3 3" xfId="40282" xr:uid="{00000000-0005-0000-0000-0000F39D0000}"/>
    <cellStyle name="Normal 3 8 4 3 4" xfId="19930" xr:uid="{00000000-0005-0000-0000-0000F49D0000}"/>
    <cellStyle name="Normal 3 8 4 3 4 2" xfId="47063" xr:uid="{00000000-0005-0000-0000-0000F59D0000}"/>
    <cellStyle name="Normal 3 8 4 3 5" xfId="33501" xr:uid="{00000000-0005-0000-0000-0000F69D0000}"/>
    <cellStyle name="Normal 3 8 4 4" xfId="9741" xr:uid="{00000000-0005-0000-0000-0000F79D0000}"/>
    <cellStyle name="Normal 3 8 4 4 2" xfId="16530" xr:uid="{00000000-0005-0000-0000-0000F89D0000}"/>
    <cellStyle name="Normal 3 8 4 4 2 2" xfId="30098" xr:uid="{00000000-0005-0000-0000-0000F99D0000}"/>
    <cellStyle name="Normal 3 8 4 4 2 2 2" xfId="57231" xr:uid="{00000000-0005-0000-0000-0000FA9D0000}"/>
    <cellStyle name="Normal 3 8 4 4 2 3" xfId="43669" xr:uid="{00000000-0005-0000-0000-0000FB9D0000}"/>
    <cellStyle name="Normal 3 8 4 4 3" xfId="23317" xr:uid="{00000000-0005-0000-0000-0000FC9D0000}"/>
    <cellStyle name="Normal 3 8 4 4 3 2" xfId="50450" xr:uid="{00000000-0005-0000-0000-0000FD9D0000}"/>
    <cellStyle name="Normal 3 8 4 4 4" xfId="36888" xr:uid="{00000000-0005-0000-0000-0000FE9D0000}"/>
    <cellStyle name="Normal 3 8 4 5" xfId="13141" xr:uid="{00000000-0005-0000-0000-0000FF9D0000}"/>
    <cellStyle name="Normal 3 8 4 5 2" xfId="26709" xr:uid="{00000000-0005-0000-0000-0000009E0000}"/>
    <cellStyle name="Normal 3 8 4 5 2 2" xfId="53842" xr:uid="{00000000-0005-0000-0000-0000019E0000}"/>
    <cellStyle name="Normal 3 8 4 5 3" xfId="40280" xr:uid="{00000000-0005-0000-0000-0000029E0000}"/>
    <cellStyle name="Normal 3 8 4 6" xfId="19928" xr:uid="{00000000-0005-0000-0000-0000039E0000}"/>
    <cellStyle name="Normal 3 8 4 6 2" xfId="47061" xr:uid="{00000000-0005-0000-0000-0000049E0000}"/>
    <cellStyle name="Normal 3 8 4 7" xfId="33499" xr:uid="{00000000-0005-0000-0000-0000059E0000}"/>
    <cellStyle name="Normal 3 8 5" xfId="6201" xr:uid="{00000000-0005-0000-0000-0000069E0000}"/>
    <cellStyle name="Normal 3 8 5 2" xfId="6202" xr:uid="{00000000-0005-0000-0000-0000079E0000}"/>
    <cellStyle name="Normal 3 8 5 2 2" xfId="9745" xr:uid="{00000000-0005-0000-0000-0000089E0000}"/>
    <cellStyle name="Normal 3 8 5 2 2 2" xfId="16534" xr:uid="{00000000-0005-0000-0000-0000099E0000}"/>
    <cellStyle name="Normal 3 8 5 2 2 2 2" xfId="30102" xr:uid="{00000000-0005-0000-0000-00000A9E0000}"/>
    <cellStyle name="Normal 3 8 5 2 2 2 2 2" xfId="57235" xr:uid="{00000000-0005-0000-0000-00000B9E0000}"/>
    <cellStyle name="Normal 3 8 5 2 2 2 3" xfId="43673" xr:uid="{00000000-0005-0000-0000-00000C9E0000}"/>
    <cellStyle name="Normal 3 8 5 2 2 3" xfId="23321" xr:uid="{00000000-0005-0000-0000-00000D9E0000}"/>
    <cellStyle name="Normal 3 8 5 2 2 3 2" xfId="50454" xr:uid="{00000000-0005-0000-0000-00000E9E0000}"/>
    <cellStyle name="Normal 3 8 5 2 2 4" xfId="36892" xr:uid="{00000000-0005-0000-0000-00000F9E0000}"/>
    <cellStyle name="Normal 3 8 5 2 3" xfId="13145" xr:uid="{00000000-0005-0000-0000-0000109E0000}"/>
    <cellStyle name="Normal 3 8 5 2 3 2" xfId="26713" xr:uid="{00000000-0005-0000-0000-0000119E0000}"/>
    <cellStyle name="Normal 3 8 5 2 3 2 2" xfId="53846" xr:uid="{00000000-0005-0000-0000-0000129E0000}"/>
    <cellStyle name="Normal 3 8 5 2 3 3" xfId="40284" xr:uid="{00000000-0005-0000-0000-0000139E0000}"/>
    <cellStyle name="Normal 3 8 5 2 4" xfId="19932" xr:uid="{00000000-0005-0000-0000-0000149E0000}"/>
    <cellStyle name="Normal 3 8 5 2 4 2" xfId="47065" xr:uid="{00000000-0005-0000-0000-0000159E0000}"/>
    <cellStyle name="Normal 3 8 5 2 5" xfId="33503" xr:uid="{00000000-0005-0000-0000-0000169E0000}"/>
    <cellStyle name="Normal 3 8 5 3" xfId="9744" xr:uid="{00000000-0005-0000-0000-0000179E0000}"/>
    <cellStyle name="Normal 3 8 5 3 2" xfId="16533" xr:uid="{00000000-0005-0000-0000-0000189E0000}"/>
    <cellStyle name="Normal 3 8 5 3 2 2" xfId="30101" xr:uid="{00000000-0005-0000-0000-0000199E0000}"/>
    <cellStyle name="Normal 3 8 5 3 2 2 2" xfId="57234" xr:uid="{00000000-0005-0000-0000-00001A9E0000}"/>
    <cellStyle name="Normal 3 8 5 3 2 3" xfId="43672" xr:uid="{00000000-0005-0000-0000-00001B9E0000}"/>
    <cellStyle name="Normal 3 8 5 3 3" xfId="23320" xr:uid="{00000000-0005-0000-0000-00001C9E0000}"/>
    <cellStyle name="Normal 3 8 5 3 3 2" xfId="50453" xr:uid="{00000000-0005-0000-0000-00001D9E0000}"/>
    <cellStyle name="Normal 3 8 5 3 4" xfId="36891" xr:uid="{00000000-0005-0000-0000-00001E9E0000}"/>
    <cellStyle name="Normal 3 8 5 4" xfId="13144" xr:uid="{00000000-0005-0000-0000-00001F9E0000}"/>
    <cellStyle name="Normal 3 8 5 4 2" xfId="26712" xr:uid="{00000000-0005-0000-0000-0000209E0000}"/>
    <cellStyle name="Normal 3 8 5 4 2 2" xfId="53845" xr:uid="{00000000-0005-0000-0000-0000219E0000}"/>
    <cellStyle name="Normal 3 8 5 4 3" xfId="40283" xr:uid="{00000000-0005-0000-0000-0000229E0000}"/>
    <cellStyle name="Normal 3 8 5 5" xfId="19931" xr:uid="{00000000-0005-0000-0000-0000239E0000}"/>
    <cellStyle name="Normal 3 8 5 5 2" xfId="47064" xr:uid="{00000000-0005-0000-0000-0000249E0000}"/>
    <cellStyle name="Normal 3 8 5 6" xfId="33502" xr:uid="{00000000-0005-0000-0000-0000259E0000}"/>
    <cellStyle name="Normal 3 8 6" xfId="6203" xr:uid="{00000000-0005-0000-0000-0000269E0000}"/>
    <cellStyle name="Normal 3 8 6 2" xfId="9746" xr:uid="{00000000-0005-0000-0000-0000279E0000}"/>
    <cellStyle name="Normal 3 8 6 2 2" xfId="16535" xr:uid="{00000000-0005-0000-0000-0000289E0000}"/>
    <cellStyle name="Normal 3 8 6 2 2 2" xfId="30103" xr:uid="{00000000-0005-0000-0000-0000299E0000}"/>
    <cellStyle name="Normal 3 8 6 2 2 2 2" xfId="57236" xr:uid="{00000000-0005-0000-0000-00002A9E0000}"/>
    <cellStyle name="Normal 3 8 6 2 2 3" xfId="43674" xr:uid="{00000000-0005-0000-0000-00002B9E0000}"/>
    <cellStyle name="Normal 3 8 6 2 3" xfId="23322" xr:uid="{00000000-0005-0000-0000-00002C9E0000}"/>
    <cellStyle name="Normal 3 8 6 2 3 2" xfId="50455" xr:uid="{00000000-0005-0000-0000-00002D9E0000}"/>
    <cellStyle name="Normal 3 8 6 2 4" xfId="36893" xr:uid="{00000000-0005-0000-0000-00002E9E0000}"/>
    <cellStyle name="Normal 3 8 6 3" xfId="13146" xr:uid="{00000000-0005-0000-0000-00002F9E0000}"/>
    <cellStyle name="Normal 3 8 6 3 2" xfId="26714" xr:uid="{00000000-0005-0000-0000-0000309E0000}"/>
    <cellStyle name="Normal 3 8 6 3 2 2" xfId="53847" xr:uid="{00000000-0005-0000-0000-0000319E0000}"/>
    <cellStyle name="Normal 3 8 6 3 3" xfId="40285" xr:uid="{00000000-0005-0000-0000-0000329E0000}"/>
    <cellStyle name="Normal 3 8 6 4" xfId="19933" xr:uid="{00000000-0005-0000-0000-0000339E0000}"/>
    <cellStyle name="Normal 3 8 6 4 2" xfId="47066" xr:uid="{00000000-0005-0000-0000-0000349E0000}"/>
    <cellStyle name="Normal 3 8 6 5" xfId="33504" xr:uid="{00000000-0005-0000-0000-0000359E0000}"/>
    <cellStyle name="Normal 3 8 7" xfId="6204" xr:uid="{00000000-0005-0000-0000-0000369E0000}"/>
    <cellStyle name="Normal 3 8 7 2" xfId="9747" xr:uid="{00000000-0005-0000-0000-0000379E0000}"/>
    <cellStyle name="Normal 3 8 7 2 2" xfId="16536" xr:uid="{00000000-0005-0000-0000-0000389E0000}"/>
    <cellStyle name="Normal 3 8 7 2 2 2" xfId="30104" xr:uid="{00000000-0005-0000-0000-0000399E0000}"/>
    <cellStyle name="Normal 3 8 7 2 2 2 2" xfId="57237" xr:uid="{00000000-0005-0000-0000-00003A9E0000}"/>
    <cellStyle name="Normal 3 8 7 2 2 3" xfId="43675" xr:uid="{00000000-0005-0000-0000-00003B9E0000}"/>
    <cellStyle name="Normal 3 8 7 2 3" xfId="23323" xr:uid="{00000000-0005-0000-0000-00003C9E0000}"/>
    <cellStyle name="Normal 3 8 7 2 3 2" xfId="50456" xr:uid="{00000000-0005-0000-0000-00003D9E0000}"/>
    <cellStyle name="Normal 3 8 7 2 4" xfId="36894" xr:uid="{00000000-0005-0000-0000-00003E9E0000}"/>
    <cellStyle name="Normal 3 8 7 3" xfId="13147" xr:uid="{00000000-0005-0000-0000-00003F9E0000}"/>
    <cellStyle name="Normal 3 8 7 3 2" xfId="26715" xr:uid="{00000000-0005-0000-0000-0000409E0000}"/>
    <cellStyle name="Normal 3 8 7 3 2 2" xfId="53848" xr:uid="{00000000-0005-0000-0000-0000419E0000}"/>
    <cellStyle name="Normal 3 8 7 3 3" xfId="40286" xr:uid="{00000000-0005-0000-0000-0000429E0000}"/>
    <cellStyle name="Normal 3 8 7 4" xfId="19934" xr:uid="{00000000-0005-0000-0000-0000439E0000}"/>
    <cellStyle name="Normal 3 8 7 4 2" xfId="47067" xr:uid="{00000000-0005-0000-0000-0000449E0000}"/>
    <cellStyle name="Normal 3 8 7 5" xfId="33505" xr:uid="{00000000-0005-0000-0000-0000459E0000}"/>
    <cellStyle name="Normal 3 8 8" xfId="7561" xr:uid="{00000000-0005-0000-0000-0000469E0000}"/>
    <cellStyle name="Normal 3 8 8 2" xfId="14350" xr:uid="{00000000-0005-0000-0000-0000479E0000}"/>
    <cellStyle name="Normal 3 8 8 2 2" xfId="27918" xr:uid="{00000000-0005-0000-0000-0000489E0000}"/>
    <cellStyle name="Normal 3 8 8 2 2 2" xfId="55051" xr:uid="{00000000-0005-0000-0000-0000499E0000}"/>
    <cellStyle name="Normal 3 8 8 2 3" xfId="41489" xr:uid="{00000000-0005-0000-0000-00004A9E0000}"/>
    <cellStyle name="Normal 3 8 8 3" xfId="21137" xr:uid="{00000000-0005-0000-0000-00004B9E0000}"/>
    <cellStyle name="Normal 3 8 8 3 2" xfId="48270" xr:uid="{00000000-0005-0000-0000-00004C9E0000}"/>
    <cellStyle name="Normal 3 8 8 4" xfId="34708" xr:uid="{00000000-0005-0000-0000-00004D9E0000}"/>
    <cellStyle name="Normal 3 8 9" xfId="10961" xr:uid="{00000000-0005-0000-0000-00004E9E0000}"/>
    <cellStyle name="Normal 3 8 9 2" xfId="24529" xr:uid="{00000000-0005-0000-0000-00004F9E0000}"/>
    <cellStyle name="Normal 3 8 9 2 2" xfId="51662" xr:uid="{00000000-0005-0000-0000-0000509E0000}"/>
    <cellStyle name="Normal 3 8 9 3" xfId="38100" xr:uid="{00000000-0005-0000-0000-0000519E0000}"/>
    <cellStyle name="Normal 3 9" xfId="2750" xr:uid="{00000000-0005-0000-0000-0000529E0000}"/>
    <cellStyle name="Normal 3 9 2" xfId="2751" xr:uid="{00000000-0005-0000-0000-0000539E0000}"/>
    <cellStyle name="Normal 3 9 2 2" xfId="6205" xr:uid="{00000000-0005-0000-0000-0000549E0000}"/>
    <cellStyle name="Normal 3 9 2 2 2" xfId="9748" xr:uid="{00000000-0005-0000-0000-0000559E0000}"/>
    <cellStyle name="Normal 3 9 2 2 2 2" xfId="16537" xr:uid="{00000000-0005-0000-0000-0000569E0000}"/>
    <cellStyle name="Normal 3 9 2 2 2 2 2" xfId="30105" xr:uid="{00000000-0005-0000-0000-0000579E0000}"/>
    <cellStyle name="Normal 3 9 2 2 2 2 2 2" xfId="57238" xr:uid="{00000000-0005-0000-0000-0000589E0000}"/>
    <cellStyle name="Normal 3 9 2 2 2 2 3" xfId="43676" xr:uid="{00000000-0005-0000-0000-0000599E0000}"/>
    <cellStyle name="Normal 3 9 2 2 2 3" xfId="23324" xr:uid="{00000000-0005-0000-0000-00005A9E0000}"/>
    <cellStyle name="Normal 3 9 2 2 2 3 2" xfId="50457" xr:uid="{00000000-0005-0000-0000-00005B9E0000}"/>
    <cellStyle name="Normal 3 9 2 2 2 4" xfId="36895" xr:uid="{00000000-0005-0000-0000-00005C9E0000}"/>
    <cellStyle name="Normal 3 9 2 2 3" xfId="13148" xr:uid="{00000000-0005-0000-0000-00005D9E0000}"/>
    <cellStyle name="Normal 3 9 2 2 3 2" xfId="26716" xr:uid="{00000000-0005-0000-0000-00005E9E0000}"/>
    <cellStyle name="Normal 3 9 2 2 3 2 2" xfId="53849" xr:uid="{00000000-0005-0000-0000-00005F9E0000}"/>
    <cellStyle name="Normal 3 9 2 2 3 3" xfId="40287" xr:uid="{00000000-0005-0000-0000-0000609E0000}"/>
    <cellStyle name="Normal 3 9 2 2 4" xfId="19935" xr:uid="{00000000-0005-0000-0000-0000619E0000}"/>
    <cellStyle name="Normal 3 9 2 2 4 2" xfId="47068" xr:uid="{00000000-0005-0000-0000-0000629E0000}"/>
    <cellStyle name="Normal 3 9 2 2 5" xfId="33506" xr:uid="{00000000-0005-0000-0000-0000639E0000}"/>
    <cellStyle name="Normal 3 9 2 3" xfId="6206" xr:uid="{00000000-0005-0000-0000-0000649E0000}"/>
    <cellStyle name="Normal 3 9 2 3 2" xfId="9749" xr:uid="{00000000-0005-0000-0000-0000659E0000}"/>
    <cellStyle name="Normal 3 9 2 3 2 2" xfId="16538" xr:uid="{00000000-0005-0000-0000-0000669E0000}"/>
    <cellStyle name="Normal 3 9 2 3 2 2 2" xfId="30106" xr:uid="{00000000-0005-0000-0000-0000679E0000}"/>
    <cellStyle name="Normal 3 9 2 3 2 2 2 2" xfId="57239" xr:uid="{00000000-0005-0000-0000-0000689E0000}"/>
    <cellStyle name="Normal 3 9 2 3 2 2 3" xfId="43677" xr:uid="{00000000-0005-0000-0000-0000699E0000}"/>
    <cellStyle name="Normal 3 9 2 3 2 3" xfId="23325" xr:uid="{00000000-0005-0000-0000-00006A9E0000}"/>
    <cellStyle name="Normal 3 9 2 3 2 3 2" xfId="50458" xr:uid="{00000000-0005-0000-0000-00006B9E0000}"/>
    <cellStyle name="Normal 3 9 2 3 2 4" xfId="36896" xr:uid="{00000000-0005-0000-0000-00006C9E0000}"/>
    <cellStyle name="Normal 3 9 2 3 3" xfId="13149" xr:uid="{00000000-0005-0000-0000-00006D9E0000}"/>
    <cellStyle name="Normal 3 9 2 3 3 2" xfId="26717" xr:uid="{00000000-0005-0000-0000-00006E9E0000}"/>
    <cellStyle name="Normal 3 9 2 3 3 2 2" xfId="53850" xr:uid="{00000000-0005-0000-0000-00006F9E0000}"/>
    <cellStyle name="Normal 3 9 2 3 3 3" xfId="40288" xr:uid="{00000000-0005-0000-0000-0000709E0000}"/>
    <cellStyle name="Normal 3 9 2 3 4" xfId="19936" xr:uid="{00000000-0005-0000-0000-0000719E0000}"/>
    <cellStyle name="Normal 3 9 2 3 4 2" xfId="47069" xr:uid="{00000000-0005-0000-0000-0000729E0000}"/>
    <cellStyle name="Normal 3 9 2 3 5" xfId="33507" xr:uid="{00000000-0005-0000-0000-0000739E0000}"/>
    <cellStyle name="Normal 3 9 2 4" xfId="7564" xr:uid="{00000000-0005-0000-0000-0000749E0000}"/>
    <cellStyle name="Normal 3 9 2 4 2" xfId="14353" xr:uid="{00000000-0005-0000-0000-0000759E0000}"/>
    <cellStyle name="Normal 3 9 2 4 2 2" xfId="27921" xr:uid="{00000000-0005-0000-0000-0000769E0000}"/>
    <cellStyle name="Normal 3 9 2 4 2 2 2" xfId="55054" xr:uid="{00000000-0005-0000-0000-0000779E0000}"/>
    <cellStyle name="Normal 3 9 2 4 2 3" xfId="41492" xr:uid="{00000000-0005-0000-0000-0000789E0000}"/>
    <cellStyle name="Normal 3 9 2 4 3" xfId="21140" xr:uid="{00000000-0005-0000-0000-0000799E0000}"/>
    <cellStyle name="Normal 3 9 2 4 3 2" xfId="48273" xr:uid="{00000000-0005-0000-0000-00007A9E0000}"/>
    <cellStyle name="Normal 3 9 2 4 4" xfId="34711" xr:uid="{00000000-0005-0000-0000-00007B9E0000}"/>
    <cellStyle name="Normal 3 9 2 5" xfId="10964" xr:uid="{00000000-0005-0000-0000-00007C9E0000}"/>
    <cellStyle name="Normal 3 9 2 5 2" xfId="24532" xr:uid="{00000000-0005-0000-0000-00007D9E0000}"/>
    <cellStyle name="Normal 3 9 2 5 2 2" xfId="51665" xr:uid="{00000000-0005-0000-0000-00007E9E0000}"/>
    <cellStyle name="Normal 3 9 2 5 3" xfId="38103" xr:uid="{00000000-0005-0000-0000-00007F9E0000}"/>
    <cellStyle name="Normal 3 9 2 6" xfId="17751" xr:uid="{00000000-0005-0000-0000-0000809E0000}"/>
    <cellStyle name="Normal 3 9 2 6 2" xfId="44884" xr:uid="{00000000-0005-0000-0000-0000819E0000}"/>
    <cellStyle name="Normal 3 9 2 7" xfId="31322" xr:uid="{00000000-0005-0000-0000-0000829E0000}"/>
    <cellStyle name="Normal 3 9 3" xfId="6207" xr:uid="{00000000-0005-0000-0000-0000839E0000}"/>
    <cellStyle name="Normal 3 9 3 2" xfId="6208" xr:uid="{00000000-0005-0000-0000-0000849E0000}"/>
    <cellStyle name="Normal 3 9 3 2 2" xfId="9751" xr:uid="{00000000-0005-0000-0000-0000859E0000}"/>
    <cellStyle name="Normal 3 9 3 2 2 2" xfId="16540" xr:uid="{00000000-0005-0000-0000-0000869E0000}"/>
    <cellStyle name="Normal 3 9 3 2 2 2 2" xfId="30108" xr:uid="{00000000-0005-0000-0000-0000879E0000}"/>
    <cellStyle name="Normal 3 9 3 2 2 2 2 2" xfId="57241" xr:uid="{00000000-0005-0000-0000-0000889E0000}"/>
    <cellStyle name="Normal 3 9 3 2 2 2 3" xfId="43679" xr:uid="{00000000-0005-0000-0000-0000899E0000}"/>
    <cellStyle name="Normal 3 9 3 2 2 3" xfId="23327" xr:uid="{00000000-0005-0000-0000-00008A9E0000}"/>
    <cellStyle name="Normal 3 9 3 2 2 3 2" xfId="50460" xr:uid="{00000000-0005-0000-0000-00008B9E0000}"/>
    <cellStyle name="Normal 3 9 3 2 2 4" xfId="36898" xr:uid="{00000000-0005-0000-0000-00008C9E0000}"/>
    <cellStyle name="Normal 3 9 3 2 3" xfId="13151" xr:uid="{00000000-0005-0000-0000-00008D9E0000}"/>
    <cellStyle name="Normal 3 9 3 2 3 2" xfId="26719" xr:uid="{00000000-0005-0000-0000-00008E9E0000}"/>
    <cellStyle name="Normal 3 9 3 2 3 2 2" xfId="53852" xr:uid="{00000000-0005-0000-0000-00008F9E0000}"/>
    <cellStyle name="Normal 3 9 3 2 3 3" xfId="40290" xr:uid="{00000000-0005-0000-0000-0000909E0000}"/>
    <cellStyle name="Normal 3 9 3 2 4" xfId="19938" xr:uid="{00000000-0005-0000-0000-0000919E0000}"/>
    <cellStyle name="Normal 3 9 3 2 4 2" xfId="47071" xr:uid="{00000000-0005-0000-0000-0000929E0000}"/>
    <cellStyle name="Normal 3 9 3 2 5" xfId="33509" xr:uid="{00000000-0005-0000-0000-0000939E0000}"/>
    <cellStyle name="Normal 3 9 3 3" xfId="9750" xr:uid="{00000000-0005-0000-0000-0000949E0000}"/>
    <cellStyle name="Normal 3 9 3 3 2" xfId="16539" xr:uid="{00000000-0005-0000-0000-0000959E0000}"/>
    <cellStyle name="Normal 3 9 3 3 2 2" xfId="30107" xr:uid="{00000000-0005-0000-0000-0000969E0000}"/>
    <cellStyle name="Normal 3 9 3 3 2 2 2" xfId="57240" xr:uid="{00000000-0005-0000-0000-0000979E0000}"/>
    <cellStyle name="Normal 3 9 3 3 2 3" xfId="43678" xr:uid="{00000000-0005-0000-0000-0000989E0000}"/>
    <cellStyle name="Normal 3 9 3 3 3" xfId="23326" xr:uid="{00000000-0005-0000-0000-0000999E0000}"/>
    <cellStyle name="Normal 3 9 3 3 3 2" xfId="50459" xr:uid="{00000000-0005-0000-0000-00009A9E0000}"/>
    <cellStyle name="Normal 3 9 3 3 4" xfId="36897" xr:uid="{00000000-0005-0000-0000-00009B9E0000}"/>
    <cellStyle name="Normal 3 9 3 4" xfId="13150" xr:uid="{00000000-0005-0000-0000-00009C9E0000}"/>
    <cellStyle name="Normal 3 9 3 4 2" xfId="26718" xr:uid="{00000000-0005-0000-0000-00009D9E0000}"/>
    <cellStyle name="Normal 3 9 3 4 2 2" xfId="53851" xr:uid="{00000000-0005-0000-0000-00009E9E0000}"/>
    <cellStyle name="Normal 3 9 3 4 3" xfId="40289" xr:uid="{00000000-0005-0000-0000-00009F9E0000}"/>
    <cellStyle name="Normal 3 9 3 5" xfId="19937" xr:uid="{00000000-0005-0000-0000-0000A09E0000}"/>
    <cellStyle name="Normal 3 9 3 5 2" xfId="47070" xr:uid="{00000000-0005-0000-0000-0000A19E0000}"/>
    <cellStyle name="Normal 3 9 3 6" xfId="33508" xr:uid="{00000000-0005-0000-0000-0000A29E0000}"/>
    <cellStyle name="Normal 3 9 4" xfId="6209" xr:uid="{00000000-0005-0000-0000-0000A39E0000}"/>
    <cellStyle name="Normal 3 9 4 2" xfId="9752" xr:uid="{00000000-0005-0000-0000-0000A49E0000}"/>
    <cellStyle name="Normal 3 9 4 2 2" xfId="16541" xr:uid="{00000000-0005-0000-0000-0000A59E0000}"/>
    <cellStyle name="Normal 3 9 4 2 2 2" xfId="30109" xr:uid="{00000000-0005-0000-0000-0000A69E0000}"/>
    <cellStyle name="Normal 3 9 4 2 2 2 2" xfId="57242" xr:uid="{00000000-0005-0000-0000-0000A79E0000}"/>
    <cellStyle name="Normal 3 9 4 2 2 3" xfId="43680" xr:uid="{00000000-0005-0000-0000-0000A89E0000}"/>
    <cellStyle name="Normal 3 9 4 2 3" xfId="23328" xr:uid="{00000000-0005-0000-0000-0000A99E0000}"/>
    <cellStyle name="Normal 3 9 4 2 3 2" xfId="50461" xr:uid="{00000000-0005-0000-0000-0000AA9E0000}"/>
    <cellStyle name="Normal 3 9 4 2 4" xfId="36899" xr:uid="{00000000-0005-0000-0000-0000AB9E0000}"/>
    <cellStyle name="Normal 3 9 4 3" xfId="13152" xr:uid="{00000000-0005-0000-0000-0000AC9E0000}"/>
    <cellStyle name="Normal 3 9 4 3 2" xfId="26720" xr:uid="{00000000-0005-0000-0000-0000AD9E0000}"/>
    <cellStyle name="Normal 3 9 4 3 2 2" xfId="53853" xr:uid="{00000000-0005-0000-0000-0000AE9E0000}"/>
    <cellStyle name="Normal 3 9 4 3 3" xfId="40291" xr:uid="{00000000-0005-0000-0000-0000AF9E0000}"/>
    <cellStyle name="Normal 3 9 4 4" xfId="19939" xr:uid="{00000000-0005-0000-0000-0000B09E0000}"/>
    <cellStyle name="Normal 3 9 4 4 2" xfId="47072" xr:uid="{00000000-0005-0000-0000-0000B19E0000}"/>
    <cellStyle name="Normal 3 9 4 5" xfId="33510" xr:uid="{00000000-0005-0000-0000-0000B29E0000}"/>
    <cellStyle name="Normal 3 9 5" xfId="6210" xr:uid="{00000000-0005-0000-0000-0000B39E0000}"/>
    <cellStyle name="Normal 3 9 5 2" xfId="9753" xr:uid="{00000000-0005-0000-0000-0000B49E0000}"/>
    <cellStyle name="Normal 3 9 5 2 2" xfId="16542" xr:uid="{00000000-0005-0000-0000-0000B59E0000}"/>
    <cellStyle name="Normal 3 9 5 2 2 2" xfId="30110" xr:uid="{00000000-0005-0000-0000-0000B69E0000}"/>
    <cellStyle name="Normal 3 9 5 2 2 2 2" xfId="57243" xr:uid="{00000000-0005-0000-0000-0000B79E0000}"/>
    <cellStyle name="Normal 3 9 5 2 2 3" xfId="43681" xr:uid="{00000000-0005-0000-0000-0000B89E0000}"/>
    <cellStyle name="Normal 3 9 5 2 3" xfId="23329" xr:uid="{00000000-0005-0000-0000-0000B99E0000}"/>
    <cellStyle name="Normal 3 9 5 2 3 2" xfId="50462" xr:uid="{00000000-0005-0000-0000-0000BA9E0000}"/>
    <cellStyle name="Normal 3 9 5 2 4" xfId="36900" xr:uid="{00000000-0005-0000-0000-0000BB9E0000}"/>
    <cellStyle name="Normal 3 9 5 3" xfId="13153" xr:uid="{00000000-0005-0000-0000-0000BC9E0000}"/>
    <cellStyle name="Normal 3 9 5 3 2" xfId="26721" xr:uid="{00000000-0005-0000-0000-0000BD9E0000}"/>
    <cellStyle name="Normal 3 9 5 3 2 2" xfId="53854" xr:uid="{00000000-0005-0000-0000-0000BE9E0000}"/>
    <cellStyle name="Normal 3 9 5 3 3" xfId="40292" xr:uid="{00000000-0005-0000-0000-0000BF9E0000}"/>
    <cellStyle name="Normal 3 9 5 4" xfId="19940" xr:uid="{00000000-0005-0000-0000-0000C09E0000}"/>
    <cellStyle name="Normal 3 9 5 4 2" xfId="47073" xr:uid="{00000000-0005-0000-0000-0000C19E0000}"/>
    <cellStyle name="Normal 3 9 5 5" xfId="33511" xr:uid="{00000000-0005-0000-0000-0000C29E0000}"/>
    <cellStyle name="Normal 3 9 6" xfId="7563" xr:uid="{00000000-0005-0000-0000-0000C39E0000}"/>
    <cellStyle name="Normal 3 9 6 2" xfId="14352" xr:uid="{00000000-0005-0000-0000-0000C49E0000}"/>
    <cellStyle name="Normal 3 9 6 2 2" xfId="27920" xr:uid="{00000000-0005-0000-0000-0000C59E0000}"/>
    <cellStyle name="Normal 3 9 6 2 2 2" xfId="55053" xr:uid="{00000000-0005-0000-0000-0000C69E0000}"/>
    <cellStyle name="Normal 3 9 6 2 3" xfId="41491" xr:uid="{00000000-0005-0000-0000-0000C79E0000}"/>
    <cellStyle name="Normal 3 9 6 3" xfId="21139" xr:uid="{00000000-0005-0000-0000-0000C89E0000}"/>
    <cellStyle name="Normal 3 9 6 3 2" xfId="48272" xr:uid="{00000000-0005-0000-0000-0000C99E0000}"/>
    <cellStyle name="Normal 3 9 6 4" xfId="34710" xr:uid="{00000000-0005-0000-0000-0000CA9E0000}"/>
    <cellStyle name="Normal 3 9 7" xfId="10963" xr:uid="{00000000-0005-0000-0000-0000CB9E0000}"/>
    <cellStyle name="Normal 3 9 7 2" xfId="24531" xr:uid="{00000000-0005-0000-0000-0000CC9E0000}"/>
    <cellStyle name="Normal 3 9 7 2 2" xfId="51664" xr:uid="{00000000-0005-0000-0000-0000CD9E0000}"/>
    <cellStyle name="Normal 3 9 7 3" xfId="38102" xr:uid="{00000000-0005-0000-0000-0000CE9E0000}"/>
    <cellStyle name="Normal 3 9 8" xfId="17750" xr:uid="{00000000-0005-0000-0000-0000CF9E0000}"/>
    <cellStyle name="Normal 3 9 8 2" xfId="44883" xr:uid="{00000000-0005-0000-0000-0000D09E0000}"/>
    <cellStyle name="Normal 3 9 9" xfId="31321" xr:uid="{00000000-0005-0000-0000-0000D19E0000}"/>
    <cellStyle name="Normal 3_CORREGIDO EVALUACION ARQUITECTURA MANTTO JK" xfId="6211" xr:uid="{00000000-0005-0000-0000-0000D29E0000}"/>
    <cellStyle name="Normal 30" xfId="2752" xr:uid="{00000000-0005-0000-0000-0000D39E0000}"/>
    <cellStyle name="Normal 30 2" xfId="6212" xr:uid="{00000000-0005-0000-0000-0000D49E0000}"/>
    <cellStyle name="Normal 30 3" xfId="7565" xr:uid="{00000000-0005-0000-0000-0000D59E0000}"/>
    <cellStyle name="Normal 30 3 2" xfId="14354" xr:uid="{00000000-0005-0000-0000-0000D69E0000}"/>
    <cellStyle name="Normal 30 3 2 2" xfId="27922" xr:uid="{00000000-0005-0000-0000-0000D79E0000}"/>
    <cellStyle name="Normal 30 3 2 2 2" xfId="55055" xr:uid="{00000000-0005-0000-0000-0000D89E0000}"/>
    <cellStyle name="Normal 30 3 2 3" xfId="41493" xr:uid="{00000000-0005-0000-0000-0000D99E0000}"/>
    <cellStyle name="Normal 30 3 3" xfId="21141" xr:uid="{00000000-0005-0000-0000-0000DA9E0000}"/>
    <cellStyle name="Normal 30 3 3 2" xfId="48274" xr:uid="{00000000-0005-0000-0000-0000DB9E0000}"/>
    <cellStyle name="Normal 30 3 4" xfId="34712" xr:uid="{00000000-0005-0000-0000-0000DC9E0000}"/>
    <cellStyle name="Normal 30 4" xfId="10965" xr:uid="{00000000-0005-0000-0000-0000DD9E0000}"/>
    <cellStyle name="Normal 30 4 2" xfId="24533" xr:uid="{00000000-0005-0000-0000-0000DE9E0000}"/>
    <cellStyle name="Normal 30 4 2 2" xfId="51666" xr:uid="{00000000-0005-0000-0000-0000DF9E0000}"/>
    <cellStyle name="Normal 30 4 3" xfId="38104" xr:uid="{00000000-0005-0000-0000-0000E09E0000}"/>
    <cellStyle name="Normal 30 5" xfId="17752" xr:uid="{00000000-0005-0000-0000-0000E19E0000}"/>
    <cellStyle name="Normal 30 5 2" xfId="44885" xr:uid="{00000000-0005-0000-0000-0000E29E0000}"/>
    <cellStyle name="Normal 30 6" xfId="31323" xr:uid="{00000000-0005-0000-0000-0000E39E0000}"/>
    <cellStyle name="Normal 31" xfId="2753" xr:uid="{00000000-0005-0000-0000-0000E49E0000}"/>
    <cellStyle name="Normal 31 2" xfId="2754" xr:uid="{00000000-0005-0000-0000-0000E59E0000}"/>
    <cellStyle name="Normal 31 3" xfId="6213" xr:uid="{00000000-0005-0000-0000-0000E69E0000}"/>
    <cellStyle name="Normal 31 3 2" xfId="9754" xr:uid="{00000000-0005-0000-0000-0000E79E0000}"/>
    <cellStyle name="Normal 31 3 2 2" xfId="16543" xr:uid="{00000000-0005-0000-0000-0000E89E0000}"/>
    <cellStyle name="Normal 31 3 2 2 2" xfId="30111" xr:uid="{00000000-0005-0000-0000-0000E99E0000}"/>
    <cellStyle name="Normal 31 3 2 2 2 2" xfId="57244" xr:uid="{00000000-0005-0000-0000-0000EA9E0000}"/>
    <cellStyle name="Normal 31 3 2 2 3" xfId="43682" xr:uid="{00000000-0005-0000-0000-0000EB9E0000}"/>
    <cellStyle name="Normal 31 3 2 3" xfId="23330" xr:uid="{00000000-0005-0000-0000-0000EC9E0000}"/>
    <cellStyle name="Normal 31 3 2 3 2" xfId="50463" xr:uid="{00000000-0005-0000-0000-0000ED9E0000}"/>
    <cellStyle name="Normal 31 3 2 4" xfId="36901" xr:uid="{00000000-0005-0000-0000-0000EE9E0000}"/>
    <cellStyle name="Normal 31 3 3" xfId="13154" xr:uid="{00000000-0005-0000-0000-0000EF9E0000}"/>
    <cellStyle name="Normal 31 3 3 2" xfId="26722" xr:uid="{00000000-0005-0000-0000-0000F09E0000}"/>
    <cellStyle name="Normal 31 3 3 2 2" xfId="53855" xr:uid="{00000000-0005-0000-0000-0000F19E0000}"/>
    <cellStyle name="Normal 31 3 3 3" xfId="40293" xr:uid="{00000000-0005-0000-0000-0000F29E0000}"/>
    <cellStyle name="Normal 31 3 4" xfId="19941" xr:uid="{00000000-0005-0000-0000-0000F39E0000}"/>
    <cellStyle name="Normal 31 3 4 2" xfId="47074" xr:uid="{00000000-0005-0000-0000-0000F49E0000}"/>
    <cellStyle name="Normal 31 3 5" xfId="33512" xr:uid="{00000000-0005-0000-0000-0000F59E0000}"/>
    <cellStyle name="Normal 32" xfId="2755" xr:uid="{00000000-0005-0000-0000-0000F69E0000}"/>
    <cellStyle name="Normal 32 2" xfId="2756" xr:uid="{00000000-0005-0000-0000-0000F79E0000}"/>
    <cellStyle name="Normal 33" xfId="2757" xr:uid="{00000000-0005-0000-0000-0000F89E0000}"/>
    <cellStyle name="Normal 33 2" xfId="6214" xr:uid="{00000000-0005-0000-0000-0000F99E0000}"/>
    <cellStyle name="Normal 33 2 2" xfId="9755" xr:uid="{00000000-0005-0000-0000-0000FA9E0000}"/>
    <cellStyle name="Normal 33 2 2 2" xfId="16544" xr:uid="{00000000-0005-0000-0000-0000FB9E0000}"/>
    <cellStyle name="Normal 33 2 2 2 2" xfId="30112" xr:uid="{00000000-0005-0000-0000-0000FC9E0000}"/>
    <cellStyle name="Normal 33 2 2 2 2 2" xfId="57245" xr:uid="{00000000-0005-0000-0000-0000FD9E0000}"/>
    <cellStyle name="Normal 33 2 2 2 3" xfId="43683" xr:uid="{00000000-0005-0000-0000-0000FE9E0000}"/>
    <cellStyle name="Normal 33 2 2 3" xfId="23331" xr:uid="{00000000-0005-0000-0000-0000FF9E0000}"/>
    <cellStyle name="Normal 33 2 2 3 2" xfId="50464" xr:uid="{00000000-0005-0000-0000-0000009F0000}"/>
    <cellStyle name="Normal 33 2 2 4" xfId="36902" xr:uid="{00000000-0005-0000-0000-0000019F0000}"/>
    <cellStyle name="Normal 33 2 3" xfId="13155" xr:uid="{00000000-0005-0000-0000-0000029F0000}"/>
    <cellStyle name="Normal 33 2 3 2" xfId="26723" xr:uid="{00000000-0005-0000-0000-0000039F0000}"/>
    <cellStyle name="Normal 33 2 3 2 2" xfId="53856" xr:uid="{00000000-0005-0000-0000-0000049F0000}"/>
    <cellStyle name="Normal 33 2 3 3" xfId="40294" xr:uid="{00000000-0005-0000-0000-0000059F0000}"/>
    <cellStyle name="Normal 33 2 4" xfId="19942" xr:uid="{00000000-0005-0000-0000-0000069F0000}"/>
    <cellStyle name="Normal 33 2 4 2" xfId="47075" xr:uid="{00000000-0005-0000-0000-0000079F0000}"/>
    <cellStyle name="Normal 33 2 5" xfId="33513" xr:uid="{00000000-0005-0000-0000-0000089F0000}"/>
    <cellStyle name="Normal 33 3" xfId="2758" xr:uid="{00000000-0005-0000-0000-0000099F0000}"/>
    <cellStyle name="Normal 33 3 2" xfId="7566" xr:uid="{00000000-0005-0000-0000-00000A9F0000}"/>
    <cellStyle name="Normal 33 3 2 2" xfId="14355" xr:uid="{00000000-0005-0000-0000-00000B9F0000}"/>
    <cellStyle name="Normal 33 3 2 2 2" xfId="27923" xr:uid="{00000000-0005-0000-0000-00000C9F0000}"/>
    <cellStyle name="Normal 33 3 2 2 2 2" xfId="55056" xr:uid="{00000000-0005-0000-0000-00000D9F0000}"/>
    <cellStyle name="Normal 33 3 2 2 3" xfId="41494" xr:uid="{00000000-0005-0000-0000-00000E9F0000}"/>
    <cellStyle name="Normal 33 3 2 3" xfId="21142" xr:uid="{00000000-0005-0000-0000-00000F9F0000}"/>
    <cellStyle name="Normal 33 3 2 3 2" xfId="48275" xr:uid="{00000000-0005-0000-0000-0000109F0000}"/>
    <cellStyle name="Normal 33 3 2 4" xfId="34713" xr:uid="{00000000-0005-0000-0000-0000119F0000}"/>
    <cellStyle name="Normal 33 3 3" xfId="10966" xr:uid="{00000000-0005-0000-0000-0000129F0000}"/>
    <cellStyle name="Normal 33 3 3 2" xfId="24534" xr:uid="{00000000-0005-0000-0000-0000139F0000}"/>
    <cellStyle name="Normal 33 3 3 2 2" xfId="51667" xr:uid="{00000000-0005-0000-0000-0000149F0000}"/>
    <cellStyle name="Normal 33 3 3 3" xfId="38105" xr:uid="{00000000-0005-0000-0000-0000159F0000}"/>
    <cellStyle name="Normal 33 3 4" xfId="17753" xr:uid="{00000000-0005-0000-0000-0000169F0000}"/>
    <cellStyle name="Normal 33 3 4 2" xfId="44886" xr:uid="{00000000-0005-0000-0000-0000179F0000}"/>
    <cellStyle name="Normal 33 3 5" xfId="31324" xr:uid="{00000000-0005-0000-0000-0000189F0000}"/>
    <cellStyle name="Normal 34" xfId="3411" xr:uid="{00000000-0005-0000-0000-0000199F0000}"/>
    <cellStyle name="Normal 34 2" xfId="7574" xr:uid="{00000000-0005-0000-0000-00001A9F0000}"/>
    <cellStyle name="Normal 34 2 2" xfId="14363" xr:uid="{00000000-0005-0000-0000-00001B9F0000}"/>
    <cellStyle name="Normal 34 2 2 2" xfId="27931" xr:uid="{00000000-0005-0000-0000-00001C9F0000}"/>
    <cellStyle name="Normal 34 2 2 2 2" xfId="55064" xr:uid="{00000000-0005-0000-0000-00001D9F0000}"/>
    <cellStyle name="Normal 34 2 2 3" xfId="41502" xr:uid="{00000000-0005-0000-0000-00001E9F0000}"/>
    <cellStyle name="Normal 34 2 3" xfId="21150" xr:uid="{00000000-0005-0000-0000-00001F9F0000}"/>
    <cellStyle name="Normal 34 2 3 2" xfId="48283" xr:uid="{00000000-0005-0000-0000-0000209F0000}"/>
    <cellStyle name="Normal 34 2 4" xfId="34721" xr:uid="{00000000-0005-0000-0000-0000219F0000}"/>
    <cellStyle name="Normal 34 3" xfId="10974" xr:uid="{00000000-0005-0000-0000-0000229F0000}"/>
    <cellStyle name="Normal 34 3 2" xfId="24542" xr:uid="{00000000-0005-0000-0000-0000239F0000}"/>
    <cellStyle name="Normal 34 3 2 2" xfId="51675" xr:uid="{00000000-0005-0000-0000-0000249F0000}"/>
    <cellStyle name="Normal 34 3 3" xfId="38113" xr:uid="{00000000-0005-0000-0000-0000259F0000}"/>
    <cellStyle name="Normal 34 4" xfId="17761" xr:uid="{00000000-0005-0000-0000-0000269F0000}"/>
    <cellStyle name="Normal 34 4 2" xfId="44894" xr:uid="{00000000-0005-0000-0000-0000279F0000}"/>
    <cellStyle name="Normal 34 5" xfId="31332" xr:uid="{00000000-0005-0000-0000-0000289F0000}"/>
    <cellStyle name="Normal 35" xfId="3413" xr:uid="{00000000-0005-0000-0000-0000299F0000}"/>
    <cellStyle name="Normal 35 2" xfId="7576" xr:uid="{00000000-0005-0000-0000-00002A9F0000}"/>
    <cellStyle name="Normal 35 2 2" xfId="14365" xr:uid="{00000000-0005-0000-0000-00002B9F0000}"/>
    <cellStyle name="Normal 35 2 2 2" xfId="27933" xr:uid="{00000000-0005-0000-0000-00002C9F0000}"/>
    <cellStyle name="Normal 35 2 2 2 2" xfId="55066" xr:uid="{00000000-0005-0000-0000-00002D9F0000}"/>
    <cellStyle name="Normal 35 2 2 3" xfId="41504" xr:uid="{00000000-0005-0000-0000-00002E9F0000}"/>
    <cellStyle name="Normal 35 2 3" xfId="21152" xr:uid="{00000000-0005-0000-0000-00002F9F0000}"/>
    <cellStyle name="Normal 35 2 3 2" xfId="48285" xr:uid="{00000000-0005-0000-0000-0000309F0000}"/>
    <cellStyle name="Normal 35 2 4" xfId="34723" xr:uid="{00000000-0005-0000-0000-0000319F0000}"/>
    <cellStyle name="Normal 35 3" xfId="10976" xr:uid="{00000000-0005-0000-0000-0000329F0000}"/>
    <cellStyle name="Normal 35 3 2" xfId="24544" xr:uid="{00000000-0005-0000-0000-0000339F0000}"/>
    <cellStyle name="Normal 35 3 2 2" xfId="51677" xr:uid="{00000000-0005-0000-0000-0000349F0000}"/>
    <cellStyle name="Normal 35 3 3" xfId="38115" xr:uid="{00000000-0005-0000-0000-0000359F0000}"/>
    <cellStyle name="Normal 35 4" xfId="17763" xr:uid="{00000000-0005-0000-0000-0000369F0000}"/>
    <cellStyle name="Normal 35 4 2" xfId="44896" xr:uid="{00000000-0005-0000-0000-0000379F0000}"/>
    <cellStyle name="Normal 35 5" xfId="31334" xr:uid="{00000000-0005-0000-0000-0000389F0000}"/>
    <cellStyle name="Normal 36" xfId="3417" xr:uid="{00000000-0005-0000-0000-0000399F0000}"/>
    <cellStyle name="Normal 37" xfId="7288" xr:uid="{00000000-0005-0000-0000-00003A9F0000}"/>
    <cellStyle name="Normal 37 2" xfId="10789" xr:uid="{00000000-0005-0000-0000-00003B9F0000}"/>
    <cellStyle name="Normal 37 2 2" xfId="17578" xr:uid="{00000000-0005-0000-0000-00003C9F0000}"/>
    <cellStyle name="Normal 37 2 2 2" xfId="31146" xr:uid="{00000000-0005-0000-0000-00003D9F0000}"/>
    <cellStyle name="Normal 37 2 2 2 2" xfId="58279" xr:uid="{00000000-0005-0000-0000-00003E9F0000}"/>
    <cellStyle name="Normal 37 2 2 3" xfId="44717" xr:uid="{00000000-0005-0000-0000-00003F9F0000}"/>
    <cellStyle name="Normal 37 2 3" xfId="24365" xr:uid="{00000000-0005-0000-0000-0000409F0000}"/>
    <cellStyle name="Normal 37 2 3 2" xfId="51498" xr:uid="{00000000-0005-0000-0000-0000419F0000}"/>
    <cellStyle name="Normal 37 2 4" xfId="37936" xr:uid="{00000000-0005-0000-0000-0000429F0000}"/>
    <cellStyle name="Normal 37 3" xfId="14189" xr:uid="{00000000-0005-0000-0000-0000439F0000}"/>
    <cellStyle name="Normal 37 3 2" xfId="27757" xr:uid="{00000000-0005-0000-0000-0000449F0000}"/>
    <cellStyle name="Normal 37 3 2 2" xfId="54890" xr:uid="{00000000-0005-0000-0000-0000459F0000}"/>
    <cellStyle name="Normal 37 3 3" xfId="41328" xr:uid="{00000000-0005-0000-0000-0000469F0000}"/>
    <cellStyle name="Normal 37 4" xfId="20976" xr:uid="{00000000-0005-0000-0000-0000479F0000}"/>
    <cellStyle name="Normal 37 4 2" xfId="48109" xr:uid="{00000000-0005-0000-0000-0000489F0000}"/>
    <cellStyle name="Normal 37 5" xfId="34547" xr:uid="{00000000-0005-0000-0000-0000499F0000}"/>
    <cellStyle name="Normal 38" xfId="7292" xr:uid="{00000000-0005-0000-0000-00004A9F0000}"/>
    <cellStyle name="Normal 38 2" xfId="10792" xr:uid="{00000000-0005-0000-0000-00004B9F0000}"/>
    <cellStyle name="Normal 38 2 2" xfId="17581" xr:uid="{00000000-0005-0000-0000-00004C9F0000}"/>
    <cellStyle name="Normal 38 2 2 2" xfId="31149" xr:uid="{00000000-0005-0000-0000-00004D9F0000}"/>
    <cellStyle name="Normal 38 2 2 2 2" xfId="58282" xr:uid="{00000000-0005-0000-0000-00004E9F0000}"/>
    <cellStyle name="Normal 38 2 2 3" xfId="44720" xr:uid="{00000000-0005-0000-0000-00004F9F0000}"/>
    <cellStyle name="Normal 38 2 3" xfId="24368" xr:uid="{00000000-0005-0000-0000-0000509F0000}"/>
    <cellStyle name="Normal 38 2 3 2" xfId="51501" xr:uid="{00000000-0005-0000-0000-0000519F0000}"/>
    <cellStyle name="Normal 38 2 4" xfId="37939" xr:uid="{00000000-0005-0000-0000-0000529F0000}"/>
    <cellStyle name="Normal 38 3" xfId="14192" xr:uid="{00000000-0005-0000-0000-0000539F0000}"/>
    <cellStyle name="Normal 38 3 2" xfId="27760" xr:uid="{00000000-0005-0000-0000-0000549F0000}"/>
    <cellStyle name="Normal 38 3 2 2" xfId="54893" xr:uid="{00000000-0005-0000-0000-0000559F0000}"/>
    <cellStyle name="Normal 38 3 3" xfId="41331" xr:uid="{00000000-0005-0000-0000-0000569F0000}"/>
    <cellStyle name="Normal 38 4" xfId="20979" xr:uid="{00000000-0005-0000-0000-0000579F0000}"/>
    <cellStyle name="Normal 38 4 2" xfId="48112" xr:uid="{00000000-0005-0000-0000-0000589F0000}"/>
    <cellStyle name="Normal 38 5" xfId="34550" xr:uid="{00000000-0005-0000-0000-0000599F0000}"/>
    <cellStyle name="Normal 39" xfId="7295" xr:uid="{00000000-0005-0000-0000-00005A9F0000}"/>
    <cellStyle name="Normal 39 2" xfId="10794" xr:uid="{00000000-0005-0000-0000-00005B9F0000}"/>
    <cellStyle name="Normal 39 2 2" xfId="17583" xr:uid="{00000000-0005-0000-0000-00005C9F0000}"/>
    <cellStyle name="Normal 39 2 2 2" xfId="31151" xr:uid="{00000000-0005-0000-0000-00005D9F0000}"/>
    <cellStyle name="Normal 39 2 2 2 2" xfId="58284" xr:uid="{00000000-0005-0000-0000-00005E9F0000}"/>
    <cellStyle name="Normal 39 2 2 3" xfId="44722" xr:uid="{00000000-0005-0000-0000-00005F9F0000}"/>
    <cellStyle name="Normal 39 2 3" xfId="24370" xr:uid="{00000000-0005-0000-0000-0000609F0000}"/>
    <cellStyle name="Normal 39 2 3 2" xfId="51503" xr:uid="{00000000-0005-0000-0000-0000619F0000}"/>
    <cellStyle name="Normal 39 2 4" xfId="37941" xr:uid="{00000000-0005-0000-0000-0000629F0000}"/>
    <cellStyle name="Normal 39 3" xfId="14194" xr:uid="{00000000-0005-0000-0000-0000639F0000}"/>
    <cellStyle name="Normal 39 3 2" xfId="27762" xr:uid="{00000000-0005-0000-0000-0000649F0000}"/>
    <cellStyle name="Normal 39 3 2 2" xfId="54895" xr:uid="{00000000-0005-0000-0000-0000659F0000}"/>
    <cellStyle name="Normal 39 3 3" xfId="41333" xr:uid="{00000000-0005-0000-0000-0000669F0000}"/>
    <cellStyle name="Normal 39 4" xfId="20981" xr:uid="{00000000-0005-0000-0000-0000679F0000}"/>
    <cellStyle name="Normal 39 4 2" xfId="48114" xr:uid="{00000000-0005-0000-0000-0000689F0000}"/>
    <cellStyle name="Normal 39 5" xfId="34552" xr:uid="{00000000-0005-0000-0000-0000699F0000}"/>
    <cellStyle name="Normal 4" xfId="69" xr:uid="{00000000-0005-0000-0000-00006A9F0000}"/>
    <cellStyle name="Normal 4 10" xfId="2759" xr:uid="{00000000-0005-0000-0000-00006B9F0000}"/>
    <cellStyle name="Normal 4 10 2" xfId="6215" xr:uid="{00000000-0005-0000-0000-00006C9F0000}"/>
    <cellStyle name="Normal 4 10 2 2" xfId="6216" xr:uid="{00000000-0005-0000-0000-00006D9F0000}"/>
    <cellStyle name="Normal 4 10 2 2 2" xfId="9757" xr:uid="{00000000-0005-0000-0000-00006E9F0000}"/>
    <cellStyle name="Normal 4 10 2 2 2 2" xfId="16546" xr:uid="{00000000-0005-0000-0000-00006F9F0000}"/>
    <cellStyle name="Normal 4 10 2 2 2 2 2" xfId="30114" xr:uid="{00000000-0005-0000-0000-0000709F0000}"/>
    <cellStyle name="Normal 4 10 2 2 2 2 2 2" xfId="57247" xr:uid="{00000000-0005-0000-0000-0000719F0000}"/>
    <cellStyle name="Normal 4 10 2 2 2 2 3" xfId="43685" xr:uid="{00000000-0005-0000-0000-0000729F0000}"/>
    <cellStyle name="Normal 4 10 2 2 2 3" xfId="23333" xr:uid="{00000000-0005-0000-0000-0000739F0000}"/>
    <cellStyle name="Normal 4 10 2 2 2 3 2" xfId="50466" xr:uid="{00000000-0005-0000-0000-0000749F0000}"/>
    <cellStyle name="Normal 4 10 2 2 2 4" xfId="36904" xr:uid="{00000000-0005-0000-0000-0000759F0000}"/>
    <cellStyle name="Normal 4 10 2 2 3" xfId="13157" xr:uid="{00000000-0005-0000-0000-0000769F0000}"/>
    <cellStyle name="Normal 4 10 2 2 3 2" xfId="26725" xr:uid="{00000000-0005-0000-0000-0000779F0000}"/>
    <cellStyle name="Normal 4 10 2 2 3 2 2" xfId="53858" xr:uid="{00000000-0005-0000-0000-0000789F0000}"/>
    <cellStyle name="Normal 4 10 2 2 3 3" xfId="40296" xr:uid="{00000000-0005-0000-0000-0000799F0000}"/>
    <cellStyle name="Normal 4 10 2 2 4" xfId="19944" xr:uid="{00000000-0005-0000-0000-00007A9F0000}"/>
    <cellStyle name="Normal 4 10 2 2 4 2" xfId="47077" xr:uid="{00000000-0005-0000-0000-00007B9F0000}"/>
    <cellStyle name="Normal 4 10 2 2 5" xfId="33515" xr:uid="{00000000-0005-0000-0000-00007C9F0000}"/>
    <cellStyle name="Normal 4 10 2 3" xfId="6217" xr:uid="{00000000-0005-0000-0000-00007D9F0000}"/>
    <cellStyle name="Normal 4 10 2 3 2" xfId="9758" xr:uid="{00000000-0005-0000-0000-00007E9F0000}"/>
    <cellStyle name="Normal 4 10 2 3 2 2" xfId="16547" xr:uid="{00000000-0005-0000-0000-00007F9F0000}"/>
    <cellStyle name="Normal 4 10 2 3 2 2 2" xfId="30115" xr:uid="{00000000-0005-0000-0000-0000809F0000}"/>
    <cellStyle name="Normal 4 10 2 3 2 2 2 2" xfId="57248" xr:uid="{00000000-0005-0000-0000-0000819F0000}"/>
    <cellStyle name="Normal 4 10 2 3 2 2 3" xfId="43686" xr:uid="{00000000-0005-0000-0000-0000829F0000}"/>
    <cellStyle name="Normal 4 10 2 3 2 3" xfId="23334" xr:uid="{00000000-0005-0000-0000-0000839F0000}"/>
    <cellStyle name="Normal 4 10 2 3 2 3 2" xfId="50467" xr:uid="{00000000-0005-0000-0000-0000849F0000}"/>
    <cellStyle name="Normal 4 10 2 3 2 4" xfId="36905" xr:uid="{00000000-0005-0000-0000-0000859F0000}"/>
    <cellStyle name="Normal 4 10 2 3 3" xfId="13158" xr:uid="{00000000-0005-0000-0000-0000869F0000}"/>
    <cellStyle name="Normal 4 10 2 3 3 2" xfId="26726" xr:uid="{00000000-0005-0000-0000-0000879F0000}"/>
    <cellStyle name="Normal 4 10 2 3 3 2 2" xfId="53859" xr:uid="{00000000-0005-0000-0000-0000889F0000}"/>
    <cellStyle name="Normal 4 10 2 3 3 3" xfId="40297" xr:uid="{00000000-0005-0000-0000-0000899F0000}"/>
    <cellStyle name="Normal 4 10 2 3 4" xfId="19945" xr:uid="{00000000-0005-0000-0000-00008A9F0000}"/>
    <cellStyle name="Normal 4 10 2 3 4 2" xfId="47078" xr:uid="{00000000-0005-0000-0000-00008B9F0000}"/>
    <cellStyle name="Normal 4 10 2 3 5" xfId="33516" xr:uid="{00000000-0005-0000-0000-00008C9F0000}"/>
    <cellStyle name="Normal 4 10 2 4" xfId="9756" xr:uid="{00000000-0005-0000-0000-00008D9F0000}"/>
    <cellStyle name="Normal 4 10 2 4 2" xfId="16545" xr:uid="{00000000-0005-0000-0000-00008E9F0000}"/>
    <cellStyle name="Normal 4 10 2 4 2 2" xfId="30113" xr:uid="{00000000-0005-0000-0000-00008F9F0000}"/>
    <cellStyle name="Normal 4 10 2 4 2 2 2" xfId="57246" xr:uid="{00000000-0005-0000-0000-0000909F0000}"/>
    <cellStyle name="Normal 4 10 2 4 2 3" xfId="43684" xr:uid="{00000000-0005-0000-0000-0000919F0000}"/>
    <cellStyle name="Normal 4 10 2 4 3" xfId="23332" xr:uid="{00000000-0005-0000-0000-0000929F0000}"/>
    <cellStyle name="Normal 4 10 2 4 3 2" xfId="50465" xr:uid="{00000000-0005-0000-0000-0000939F0000}"/>
    <cellStyle name="Normal 4 10 2 4 4" xfId="36903" xr:uid="{00000000-0005-0000-0000-0000949F0000}"/>
    <cellStyle name="Normal 4 10 2 5" xfId="13156" xr:uid="{00000000-0005-0000-0000-0000959F0000}"/>
    <cellStyle name="Normal 4 10 2 5 2" xfId="26724" xr:uid="{00000000-0005-0000-0000-0000969F0000}"/>
    <cellStyle name="Normal 4 10 2 5 2 2" xfId="53857" xr:uid="{00000000-0005-0000-0000-0000979F0000}"/>
    <cellStyle name="Normal 4 10 2 5 3" xfId="40295" xr:uid="{00000000-0005-0000-0000-0000989F0000}"/>
    <cellStyle name="Normal 4 10 2 6" xfId="19943" xr:uid="{00000000-0005-0000-0000-0000999F0000}"/>
    <cellStyle name="Normal 4 10 2 6 2" xfId="47076" xr:uid="{00000000-0005-0000-0000-00009A9F0000}"/>
    <cellStyle name="Normal 4 10 2 7" xfId="33514" xr:uid="{00000000-0005-0000-0000-00009B9F0000}"/>
    <cellStyle name="Normal 4 10 3" xfId="6218" xr:uid="{00000000-0005-0000-0000-00009C9F0000}"/>
    <cellStyle name="Normal 4 10 3 2" xfId="9759" xr:uid="{00000000-0005-0000-0000-00009D9F0000}"/>
    <cellStyle name="Normal 4 10 3 2 2" xfId="16548" xr:uid="{00000000-0005-0000-0000-00009E9F0000}"/>
    <cellStyle name="Normal 4 10 3 2 2 2" xfId="30116" xr:uid="{00000000-0005-0000-0000-00009F9F0000}"/>
    <cellStyle name="Normal 4 10 3 2 2 2 2" xfId="57249" xr:uid="{00000000-0005-0000-0000-0000A09F0000}"/>
    <cellStyle name="Normal 4 10 3 2 2 3" xfId="43687" xr:uid="{00000000-0005-0000-0000-0000A19F0000}"/>
    <cellStyle name="Normal 4 10 3 2 3" xfId="23335" xr:uid="{00000000-0005-0000-0000-0000A29F0000}"/>
    <cellStyle name="Normal 4 10 3 2 3 2" xfId="50468" xr:uid="{00000000-0005-0000-0000-0000A39F0000}"/>
    <cellStyle name="Normal 4 10 3 2 4" xfId="36906" xr:uid="{00000000-0005-0000-0000-0000A49F0000}"/>
    <cellStyle name="Normal 4 10 3 3" xfId="13159" xr:uid="{00000000-0005-0000-0000-0000A59F0000}"/>
    <cellStyle name="Normal 4 10 3 3 2" xfId="26727" xr:uid="{00000000-0005-0000-0000-0000A69F0000}"/>
    <cellStyle name="Normal 4 10 3 3 2 2" xfId="53860" xr:uid="{00000000-0005-0000-0000-0000A79F0000}"/>
    <cellStyle name="Normal 4 10 3 3 3" xfId="40298" xr:uid="{00000000-0005-0000-0000-0000A89F0000}"/>
    <cellStyle name="Normal 4 10 3 4" xfId="19946" xr:uid="{00000000-0005-0000-0000-0000A99F0000}"/>
    <cellStyle name="Normal 4 10 3 4 2" xfId="47079" xr:uid="{00000000-0005-0000-0000-0000AA9F0000}"/>
    <cellStyle name="Normal 4 10 3 5" xfId="33517" xr:uid="{00000000-0005-0000-0000-0000AB9F0000}"/>
    <cellStyle name="Normal 4 10 4" xfId="6219" xr:uid="{00000000-0005-0000-0000-0000AC9F0000}"/>
    <cellStyle name="Normal 4 10 4 2" xfId="9760" xr:uid="{00000000-0005-0000-0000-0000AD9F0000}"/>
    <cellStyle name="Normal 4 10 4 2 2" xfId="16549" xr:uid="{00000000-0005-0000-0000-0000AE9F0000}"/>
    <cellStyle name="Normal 4 10 4 2 2 2" xfId="30117" xr:uid="{00000000-0005-0000-0000-0000AF9F0000}"/>
    <cellStyle name="Normal 4 10 4 2 2 2 2" xfId="57250" xr:uid="{00000000-0005-0000-0000-0000B09F0000}"/>
    <cellStyle name="Normal 4 10 4 2 2 3" xfId="43688" xr:uid="{00000000-0005-0000-0000-0000B19F0000}"/>
    <cellStyle name="Normal 4 10 4 2 3" xfId="23336" xr:uid="{00000000-0005-0000-0000-0000B29F0000}"/>
    <cellStyle name="Normal 4 10 4 2 3 2" xfId="50469" xr:uid="{00000000-0005-0000-0000-0000B39F0000}"/>
    <cellStyle name="Normal 4 10 4 2 4" xfId="36907" xr:uid="{00000000-0005-0000-0000-0000B49F0000}"/>
    <cellStyle name="Normal 4 10 4 3" xfId="13160" xr:uid="{00000000-0005-0000-0000-0000B59F0000}"/>
    <cellStyle name="Normal 4 10 4 3 2" xfId="26728" xr:uid="{00000000-0005-0000-0000-0000B69F0000}"/>
    <cellStyle name="Normal 4 10 4 3 2 2" xfId="53861" xr:uid="{00000000-0005-0000-0000-0000B79F0000}"/>
    <cellStyle name="Normal 4 10 4 3 3" xfId="40299" xr:uid="{00000000-0005-0000-0000-0000B89F0000}"/>
    <cellStyle name="Normal 4 10 4 4" xfId="19947" xr:uid="{00000000-0005-0000-0000-0000B99F0000}"/>
    <cellStyle name="Normal 4 10 4 4 2" xfId="47080" xr:uid="{00000000-0005-0000-0000-0000BA9F0000}"/>
    <cellStyle name="Normal 4 10 4 5" xfId="33518" xr:uid="{00000000-0005-0000-0000-0000BB9F0000}"/>
    <cellStyle name="Normal 4 11" xfId="2760" xr:uid="{00000000-0005-0000-0000-0000BC9F0000}"/>
    <cellStyle name="Normal 4 11 2" xfId="6220" xr:uid="{00000000-0005-0000-0000-0000BD9F0000}"/>
    <cellStyle name="Normal 4 11 2 2" xfId="9761" xr:uid="{00000000-0005-0000-0000-0000BE9F0000}"/>
    <cellStyle name="Normal 4 11 2 2 2" xfId="16550" xr:uid="{00000000-0005-0000-0000-0000BF9F0000}"/>
    <cellStyle name="Normal 4 11 2 2 2 2" xfId="30118" xr:uid="{00000000-0005-0000-0000-0000C09F0000}"/>
    <cellStyle name="Normal 4 11 2 2 2 2 2" xfId="57251" xr:uid="{00000000-0005-0000-0000-0000C19F0000}"/>
    <cellStyle name="Normal 4 11 2 2 2 3" xfId="43689" xr:uid="{00000000-0005-0000-0000-0000C29F0000}"/>
    <cellStyle name="Normal 4 11 2 2 3" xfId="23337" xr:uid="{00000000-0005-0000-0000-0000C39F0000}"/>
    <cellStyle name="Normal 4 11 2 2 3 2" xfId="50470" xr:uid="{00000000-0005-0000-0000-0000C49F0000}"/>
    <cellStyle name="Normal 4 11 2 2 4" xfId="36908" xr:uid="{00000000-0005-0000-0000-0000C59F0000}"/>
    <cellStyle name="Normal 4 11 2 3" xfId="13161" xr:uid="{00000000-0005-0000-0000-0000C69F0000}"/>
    <cellStyle name="Normal 4 11 2 3 2" xfId="26729" xr:uid="{00000000-0005-0000-0000-0000C79F0000}"/>
    <cellStyle name="Normal 4 11 2 3 2 2" xfId="53862" xr:uid="{00000000-0005-0000-0000-0000C89F0000}"/>
    <cellStyle name="Normal 4 11 2 3 3" xfId="40300" xr:uid="{00000000-0005-0000-0000-0000C99F0000}"/>
    <cellStyle name="Normal 4 11 2 4" xfId="19948" xr:uid="{00000000-0005-0000-0000-0000CA9F0000}"/>
    <cellStyle name="Normal 4 11 2 4 2" xfId="47081" xr:uid="{00000000-0005-0000-0000-0000CB9F0000}"/>
    <cellStyle name="Normal 4 11 2 5" xfId="33519" xr:uid="{00000000-0005-0000-0000-0000CC9F0000}"/>
    <cellStyle name="Normal 4 12" xfId="2761" xr:uid="{00000000-0005-0000-0000-0000CD9F0000}"/>
    <cellStyle name="Normal 4 13" xfId="2762" xr:uid="{00000000-0005-0000-0000-0000CE9F0000}"/>
    <cellStyle name="Normal 4 13 2" xfId="7567" xr:uid="{00000000-0005-0000-0000-0000CF9F0000}"/>
    <cellStyle name="Normal 4 13 2 2" xfId="14356" xr:uid="{00000000-0005-0000-0000-0000D09F0000}"/>
    <cellStyle name="Normal 4 13 2 2 2" xfId="27924" xr:uid="{00000000-0005-0000-0000-0000D19F0000}"/>
    <cellStyle name="Normal 4 13 2 2 2 2" xfId="55057" xr:uid="{00000000-0005-0000-0000-0000D29F0000}"/>
    <cellStyle name="Normal 4 13 2 2 3" xfId="41495" xr:uid="{00000000-0005-0000-0000-0000D39F0000}"/>
    <cellStyle name="Normal 4 13 2 3" xfId="21143" xr:uid="{00000000-0005-0000-0000-0000D49F0000}"/>
    <cellStyle name="Normal 4 13 2 3 2" xfId="48276" xr:uid="{00000000-0005-0000-0000-0000D59F0000}"/>
    <cellStyle name="Normal 4 13 2 4" xfId="34714" xr:uid="{00000000-0005-0000-0000-0000D69F0000}"/>
    <cellStyle name="Normal 4 13 3" xfId="10967" xr:uid="{00000000-0005-0000-0000-0000D79F0000}"/>
    <cellStyle name="Normal 4 13 3 2" xfId="24535" xr:uid="{00000000-0005-0000-0000-0000D89F0000}"/>
    <cellStyle name="Normal 4 13 3 2 2" xfId="51668" xr:uid="{00000000-0005-0000-0000-0000D99F0000}"/>
    <cellStyle name="Normal 4 13 3 3" xfId="38106" xr:uid="{00000000-0005-0000-0000-0000DA9F0000}"/>
    <cellStyle name="Normal 4 13 4" xfId="17754" xr:uid="{00000000-0005-0000-0000-0000DB9F0000}"/>
    <cellStyle name="Normal 4 13 4 2" xfId="44887" xr:uid="{00000000-0005-0000-0000-0000DC9F0000}"/>
    <cellStyle name="Normal 4 13 5" xfId="31325" xr:uid="{00000000-0005-0000-0000-0000DD9F0000}"/>
    <cellStyle name="Normal 4 14" xfId="7415" xr:uid="{00000000-0005-0000-0000-0000DE9F0000}"/>
    <cellStyle name="Normal 4 15" xfId="7416" xr:uid="{00000000-0005-0000-0000-0000DF9F0000}"/>
    <cellStyle name="Normal 4 16" xfId="7417" xr:uid="{00000000-0005-0000-0000-0000E09F0000}"/>
    <cellStyle name="Normal 4 17" xfId="7418" xr:uid="{00000000-0005-0000-0000-0000E19F0000}"/>
    <cellStyle name="Normal 4 18" xfId="7419" xr:uid="{00000000-0005-0000-0000-0000E29F0000}"/>
    <cellStyle name="Normal 4 19" xfId="7420" xr:uid="{00000000-0005-0000-0000-0000E39F0000}"/>
    <cellStyle name="Normal 4 2" xfId="74" xr:uid="{00000000-0005-0000-0000-0000E49F0000}"/>
    <cellStyle name="Normal 4 2 2" xfId="2763" xr:uid="{00000000-0005-0000-0000-0000E59F0000}"/>
    <cellStyle name="Normal 4 2 2 2" xfId="6221" xr:uid="{00000000-0005-0000-0000-0000E69F0000}"/>
    <cellStyle name="Normal 4 2 2 2 2" xfId="6222" xr:uid="{00000000-0005-0000-0000-0000E79F0000}"/>
    <cellStyle name="Normal 4 2 2 3" xfId="7568" xr:uid="{00000000-0005-0000-0000-0000E89F0000}"/>
    <cellStyle name="Normal 4 2 2 3 2" xfId="14357" xr:uid="{00000000-0005-0000-0000-0000E99F0000}"/>
    <cellStyle name="Normal 4 2 2 3 2 2" xfId="27925" xr:uid="{00000000-0005-0000-0000-0000EA9F0000}"/>
    <cellStyle name="Normal 4 2 2 3 2 2 2" xfId="55058" xr:uid="{00000000-0005-0000-0000-0000EB9F0000}"/>
    <cellStyle name="Normal 4 2 2 3 2 3" xfId="41496" xr:uid="{00000000-0005-0000-0000-0000EC9F0000}"/>
    <cellStyle name="Normal 4 2 2 3 3" xfId="21144" xr:uid="{00000000-0005-0000-0000-0000ED9F0000}"/>
    <cellStyle name="Normal 4 2 2 3 3 2" xfId="48277" xr:uid="{00000000-0005-0000-0000-0000EE9F0000}"/>
    <cellStyle name="Normal 4 2 2 3 4" xfId="34715" xr:uid="{00000000-0005-0000-0000-0000EF9F0000}"/>
    <cellStyle name="Normal 4 2 2 4" xfId="10968" xr:uid="{00000000-0005-0000-0000-0000F09F0000}"/>
    <cellStyle name="Normal 4 2 2 4 2" xfId="24536" xr:uid="{00000000-0005-0000-0000-0000F19F0000}"/>
    <cellStyle name="Normal 4 2 2 4 2 2" xfId="51669" xr:uid="{00000000-0005-0000-0000-0000F29F0000}"/>
    <cellStyle name="Normal 4 2 2 4 3" xfId="38107" xr:uid="{00000000-0005-0000-0000-0000F39F0000}"/>
    <cellStyle name="Normal 4 2 2 5" xfId="17755" xr:uid="{00000000-0005-0000-0000-0000F49F0000}"/>
    <cellStyle name="Normal 4 2 2 5 2" xfId="44888" xr:uid="{00000000-0005-0000-0000-0000F59F0000}"/>
    <cellStyle name="Normal 4 2 2 6" xfId="31326" xr:uid="{00000000-0005-0000-0000-0000F69F0000}"/>
    <cellStyle name="Normal 4 2 3" xfId="6223" xr:uid="{00000000-0005-0000-0000-0000F79F0000}"/>
    <cellStyle name="Normal 4 2 4" xfId="6224" xr:uid="{00000000-0005-0000-0000-0000F89F0000}"/>
    <cellStyle name="Normal 4 20" xfId="7421" xr:uid="{00000000-0005-0000-0000-0000F99F0000}"/>
    <cellStyle name="Normal 4 21" xfId="7422" xr:uid="{00000000-0005-0000-0000-0000FA9F0000}"/>
    <cellStyle name="Normal 4 22" xfId="7423" xr:uid="{00000000-0005-0000-0000-0000FB9F0000}"/>
    <cellStyle name="Normal 4 23" xfId="7424" xr:uid="{00000000-0005-0000-0000-0000FC9F0000}"/>
    <cellStyle name="Normal 4 24" xfId="7425" xr:uid="{00000000-0005-0000-0000-0000FD9F0000}"/>
    <cellStyle name="Normal 4 25" xfId="7426" xr:uid="{00000000-0005-0000-0000-0000FE9F0000}"/>
    <cellStyle name="Normal 4 26" xfId="7427" xr:uid="{00000000-0005-0000-0000-0000FF9F0000}"/>
    <cellStyle name="Normal 4 27" xfId="7428" xr:uid="{00000000-0005-0000-0000-000000A00000}"/>
    <cellStyle name="Normal 4 28" xfId="7429" xr:uid="{00000000-0005-0000-0000-000001A00000}"/>
    <cellStyle name="Normal 4 29" xfId="7430" xr:uid="{00000000-0005-0000-0000-000002A00000}"/>
    <cellStyle name="Normal 4 3" xfId="191" xr:uid="{00000000-0005-0000-0000-000003A00000}"/>
    <cellStyle name="Normal 4 3 10" xfId="6225" xr:uid="{00000000-0005-0000-0000-000004A00000}"/>
    <cellStyle name="Normal 4 3 10 2" xfId="6226" xr:uid="{00000000-0005-0000-0000-000005A00000}"/>
    <cellStyle name="Normal 4 3 10 2 2" xfId="6227" xr:uid="{00000000-0005-0000-0000-000006A00000}"/>
    <cellStyle name="Normal 4 3 10 2 2 2" xfId="9764" xr:uid="{00000000-0005-0000-0000-000007A00000}"/>
    <cellStyle name="Normal 4 3 10 2 2 2 2" xfId="16553" xr:uid="{00000000-0005-0000-0000-000008A00000}"/>
    <cellStyle name="Normal 4 3 10 2 2 2 2 2" xfId="30121" xr:uid="{00000000-0005-0000-0000-000009A00000}"/>
    <cellStyle name="Normal 4 3 10 2 2 2 2 2 2" xfId="57254" xr:uid="{00000000-0005-0000-0000-00000AA00000}"/>
    <cellStyle name="Normal 4 3 10 2 2 2 2 3" xfId="43692" xr:uid="{00000000-0005-0000-0000-00000BA00000}"/>
    <cellStyle name="Normal 4 3 10 2 2 2 3" xfId="23340" xr:uid="{00000000-0005-0000-0000-00000CA00000}"/>
    <cellStyle name="Normal 4 3 10 2 2 2 3 2" xfId="50473" xr:uid="{00000000-0005-0000-0000-00000DA00000}"/>
    <cellStyle name="Normal 4 3 10 2 2 2 4" xfId="36911" xr:uid="{00000000-0005-0000-0000-00000EA00000}"/>
    <cellStyle name="Normal 4 3 10 2 2 3" xfId="13164" xr:uid="{00000000-0005-0000-0000-00000FA00000}"/>
    <cellStyle name="Normal 4 3 10 2 2 3 2" xfId="26732" xr:uid="{00000000-0005-0000-0000-000010A00000}"/>
    <cellStyle name="Normal 4 3 10 2 2 3 2 2" xfId="53865" xr:uid="{00000000-0005-0000-0000-000011A00000}"/>
    <cellStyle name="Normal 4 3 10 2 2 3 3" xfId="40303" xr:uid="{00000000-0005-0000-0000-000012A00000}"/>
    <cellStyle name="Normal 4 3 10 2 2 4" xfId="19951" xr:uid="{00000000-0005-0000-0000-000013A00000}"/>
    <cellStyle name="Normal 4 3 10 2 2 4 2" xfId="47084" xr:uid="{00000000-0005-0000-0000-000014A00000}"/>
    <cellStyle name="Normal 4 3 10 2 2 5" xfId="33522" xr:uid="{00000000-0005-0000-0000-000015A00000}"/>
    <cellStyle name="Normal 4 3 10 2 3" xfId="6228" xr:uid="{00000000-0005-0000-0000-000016A00000}"/>
    <cellStyle name="Normal 4 3 10 2 3 2" xfId="9765" xr:uid="{00000000-0005-0000-0000-000017A00000}"/>
    <cellStyle name="Normal 4 3 10 2 3 2 2" xfId="16554" xr:uid="{00000000-0005-0000-0000-000018A00000}"/>
    <cellStyle name="Normal 4 3 10 2 3 2 2 2" xfId="30122" xr:uid="{00000000-0005-0000-0000-000019A00000}"/>
    <cellStyle name="Normal 4 3 10 2 3 2 2 2 2" xfId="57255" xr:uid="{00000000-0005-0000-0000-00001AA00000}"/>
    <cellStyle name="Normal 4 3 10 2 3 2 2 3" xfId="43693" xr:uid="{00000000-0005-0000-0000-00001BA00000}"/>
    <cellStyle name="Normal 4 3 10 2 3 2 3" xfId="23341" xr:uid="{00000000-0005-0000-0000-00001CA00000}"/>
    <cellStyle name="Normal 4 3 10 2 3 2 3 2" xfId="50474" xr:uid="{00000000-0005-0000-0000-00001DA00000}"/>
    <cellStyle name="Normal 4 3 10 2 3 2 4" xfId="36912" xr:uid="{00000000-0005-0000-0000-00001EA00000}"/>
    <cellStyle name="Normal 4 3 10 2 3 3" xfId="13165" xr:uid="{00000000-0005-0000-0000-00001FA00000}"/>
    <cellStyle name="Normal 4 3 10 2 3 3 2" xfId="26733" xr:uid="{00000000-0005-0000-0000-000020A00000}"/>
    <cellStyle name="Normal 4 3 10 2 3 3 2 2" xfId="53866" xr:uid="{00000000-0005-0000-0000-000021A00000}"/>
    <cellStyle name="Normal 4 3 10 2 3 3 3" xfId="40304" xr:uid="{00000000-0005-0000-0000-000022A00000}"/>
    <cellStyle name="Normal 4 3 10 2 3 4" xfId="19952" xr:uid="{00000000-0005-0000-0000-000023A00000}"/>
    <cellStyle name="Normal 4 3 10 2 3 4 2" xfId="47085" xr:uid="{00000000-0005-0000-0000-000024A00000}"/>
    <cellStyle name="Normal 4 3 10 2 3 5" xfId="33523" xr:uid="{00000000-0005-0000-0000-000025A00000}"/>
    <cellStyle name="Normal 4 3 10 2 4" xfId="9763" xr:uid="{00000000-0005-0000-0000-000026A00000}"/>
    <cellStyle name="Normal 4 3 10 2 4 2" xfId="16552" xr:uid="{00000000-0005-0000-0000-000027A00000}"/>
    <cellStyle name="Normal 4 3 10 2 4 2 2" xfId="30120" xr:uid="{00000000-0005-0000-0000-000028A00000}"/>
    <cellStyle name="Normal 4 3 10 2 4 2 2 2" xfId="57253" xr:uid="{00000000-0005-0000-0000-000029A00000}"/>
    <cellStyle name="Normal 4 3 10 2 4 2 3" xfId="43691" xr:uid="{00000000-0005-0000-0000-00002AA00000}"/>
    <cellStyle name="Normal 4 3 10 2 4 3" xfId="23339" xr:uid="{00000000-0005-0000-0000-00002BA00000}"/>
    <cellStyle name="Normal 4 3 10 2 4 3 2" xfId="50472" xr:uid="{00000000-0005-0000-0000-00002CA00000}"/>
    <cellStyle name="Normal 4 3 10 2 4 4" xfId="36910" xr:uid="{00000000-0005-0000-0000-00002DA00000}"/>
    <cellStyle name="Normal 4 3 10 2 5" xfId="13163" xr:uid="{00000000-0005-0000-0000-00002EA00000}"/>
    <cellStyle name="Normal 4 3 10 2 5 2" xfId="26731" xr:uid="{00000000-0005-0000-0000-00002FA00000}"/>
    <cellStyle name="Normal 4 3 10 2 5 2 2" xfId="53864" xr:uid="{00000000-0005-0000-0000-000030A00000}"/>
    <cellStyle name="Normal 4 3 10 2 5 3" xfId="40302" xr:uid="{00000000-0005-0000-0000-000031A00000}"/>
    <cellStyle name="Normal 4 3 10 2 6" xfId="19950" xr:uid="{00000000-0005-0000-0000-000032A00000}"/>
    <cellStyle name="Normal 4 3 10 2 6 2" xfId="47083" xr:uid="{00000000-0005-0000-0000-000033A00000}"/>
    <cellStyle name="Normal 4 3 10 2 7" xfId="33521" xr:uid="{00000000-0005-0000-0000-000034A00000}"/>
    <cellStyle name="Normal 4 3 10 3" xfId="6229" xr:uid="{00000000-0005-0000-0000-000035A00000}"/>
    <cellStyle name="Normal 4 3 10 3 2" xfId="9766" xr:uid="{00000000-0005-0000-0000-000036A00000}"/>
    <cellStyle name="Normal 4 3 10 3 2 2" xfId="16555" xr:uid="{00000000-0005-0000-0000-000037A00000}"/>
    <cellStyle name="Normal 4 3 10 3 2 2 2" xfId="30123" xr:uid="{00000000-0005-0000-0000-000038A00000}"/>
    <cellStyle name="Normal 4 3 10 3 2 2 2 2" xfId="57256" xr:uid="{00000000-0005-0000-0000-000039A00000}"/>
    <cellStyle name="Normal 4 3 10 3 2 2 3" xfId="43694" xr:uid="{00000000-0005-0000-0000-00003AA00000}"/>
    <cellStyle name="Normal 4 3 10 3 2 3" xfId="23342" xr:uid="{00000000-0005-0000-0000-00003BA00000}"/>
    <cellStyle name="Normal 4 3 10 3 2 3 2" xfId="50475" xr:uid="{00000000-0005-0000-0000-00003CA00000}"/>
    <cellStyle name="Normal 4 3 10 3 2 4" xfId="36913" xr:uid="{00000000-0005-0000-0000-00003DA00000}"/>
    <cellStyle name="Normal 4 3 10 3 3" xfId="13166" xr:uid="{00000000-0005-0000-0000-00003EA00000}"/>
    <cellStyle name="Normal 4 3 10 3 3 2" xfId="26734" xr:uid="{00000000-0005-0000-0000-00003FA00000}"/>
    <cellStyle name="Normal 4 3 10 3 3 2 2" xfId="53867" xr:uid="{00000000-0005-0000-0000-000040A00000}"/>
    <cellStyle name="Normal 4 3 10 3 3 3" xfId="40305" xr:uid="{00000000-0005-0000-0000-000041A00000}"/>
    <cellStyle name="Normal 4 3 10 3 4" xfId="19953" xr:uid="{00000000-0005-0000-0000-000042A00000}"/>
    <cellStyle name="Normal 4 3 10 3 4 2" xfId="47086" xr:uid="{00000000-0005-0000-0000-000043A00000}"/>
    <cellStyle name="Normal 4 3 10 3 5" xfId="33524" xr:uid="{00000000-0005-0000-0000-000044A00000}"/>
    <cellStyle name="Normal 4 3 10 4" xfId="6230" xr:uid="{00000000-0005-0000-0000-000045A00000}"/>
    <cellStyle name="Normal 4 3 10 4 2" xfId="9767" xr:uid="{00000000-0005-0000-0000-000046A00000}"/>
    <cellStyle name="Normal 4 3 10 4 2 2" xfId="16556" xr:uid="{00000000-0005-0000-0000-000047A00000}"/>
    <cellStyle name="Normal 4 3 10 4 2 2 2" xfId="30124" xr:uid="{00000000-0005-0000-0000-000048A00000}"/>
    <cellStyle name="Normal 4 3 10 4 2 2 2 2" xfId="57257" xr:uid="{00000000-0005-0000-0000-000049A00000}"/>
    <cellStyle name="Normal 4 3 10 4 2 2 3" xfId="43695" xr:uid="{00000000-0005-0000-0000-00004AA00000}"/>
    <cellStyle name="Normal 4 3 10 4 2 3" xfId="23343" xr:uid="{00000000-0005-0000-0000-00004BA00000}"/>
    <cellStyle name="Normal 4 3 10 4 2 3 2" xfId="50476" xr:uid="{00000000-0005-0000-0000-00004CA00000}"/>
    <cellStyle name="Normal 4 3 10 4 2 4" xfId="36914" xr:uid="{00000000-0005-0000-0000-00004DA00000}"/>
    <cellStyle name="Normal 4 3 10 4 3" xfId="13167" xr:uid="{00000000-0005-0000-0000-00004EA00000}"/>
    <cellStyle name="Normal 4 3 10 4 3 2" xfId="26735" xr:uid="{00000000-0005-0000-0000-00004FA00000}"/>
    <cellStyle name="Normal 4 3 10 4 3 2 2" xfId="53868" xr:uid="{00000000-0005-0000-0000-000050A00000}"/>
    <cellStyle name="Normal 4 3 10 4 3 3" xfId="40306" xr:uid="{00000000-0005-0000-0000-000051A00000}"/>
    <cellStyle name="Normal 4 3 10 4 4" xfId="19954" xr:uid="{00000000-0005-0000-0000-000052A00000}"/>
    <cellStyle name="Normal 4 3 10 4 4 2" xfId="47087" xr:uid="{00000000-0005-0000-0000-000053A00000}"/>
    <cellStyle name="Normal 4 3 10 4 5" xfId="33525" xr:uid="{00000000-0005-0000-0000-000054A00000}"/>
    <cellStyle name="Normal 4 3 10 5" xfId="9762" xr:uid="{00000000-0005-0000-0000-000055A00000}"/>
    <cellStyle name="Normal 4 3 10 5 2" xfId="16551" xr:uid="{00000000-0005-0000-0000-000056A00000}"/>
    <cellStyle name="Normal 4 3 10 5 2 2" xfId="30119" xr:uid="{00000000-0005-0000-0000-000057A00000}"/>
    <cellStyle name="Normal 4 3 10 5 2 2 2" xfId="57252" xr:uid="{00000000-0005-0000-0000-000058A00000}"/>
    <cellStyle name="Normal 4 3 10 5 2 3" xfId="43690" xr:uid="{00000000-0005-0000-0000-000059A00000}"/>
    <cellStyle name="Normal 4 3 10 5 3" xfId="23338" xr:uid="{00000000-0005-0000-0000-00005AA00000}"/>
    <cellStyle name="Normal 4 3 10 5 3 2" xfId="50471" xr:uid="{00000000-0005-0000-0000-00005BA00000}"/>
    <cellStyle name="Normal 4 3 10 5 4" xfId="36909" xr:uid="{00000000-0005-0000-0000-00005CA00000}"/>
    <cellStyle name="Normal 4 3 10 6" xfId="13162" xr:uid="{00000000-0005-0000-0000-00005DA00000}"/>
    <cellStyle name="Normal 4 3 10 6 2" xfId="26730" xr:uid="{00000000-0005-0000-0000-00005EA00000}"/>
    <cellStyle name="Normal 4 3 10 6 2 2" xfId="53863" xr:uid="{00000000-0005-0000-0000-00005FA00000}"/>
    <cellStyle name="Normal 4 3 10 6 3" xfId="40301" xr:uid="{00000000-0005-0000-0000-000060A00000}"/>
    <cellStyle name="Normal 4 3 10 7" xfId="19949" xr:uid="{00000000-0005-0000-0000-000061A00000}"/>
    <cellStyle name="Normal 4 3 10 7 2" xfId="47082" xr:uid="{00000000-0005-0000-0000-000062A00000}"/>
    <cellStyle name="Normal 4 3 10 8" xfId="33520" xr:uid="{00000000-0005-0000-0000-000063A00000}"/>
    <cellStyle name="Normal 4 3 11" xfId="6231" xr:uid="{00000000-0005-0000-0000-000064A00000}"/>
    <cellStyle name="Normal 4 3 11 2" xfId="6232" xr:uid="{00000000-0005-0000-0000-000065A00000}"/>
    <cellStyle name="Normal 4 3 11 2 2" xfId="6233" xr:uid="{00000000-0005-0000-0000-000066A00000}"/>
    <cellStyle name="Normal 4 3 11 2 2 2" xfId="9770" xr:uid="{00000000-0005-0000-0000-000067A00000}"/>
    <cellStyle name="Normal 4 3 11 2 2 2 2" xfId="16559" xr:uid="{00000000-0005-0000-0000-000068A00000}"/>
    <cellStyle name="Normal 4 3 11 2 2 2 2 2" xfId="30127" xr:uid="{00000000-0005-0000-0000-000069A00000}"/>
    <cellStyle name="Normal 4 3 11 2 2 2 2 2 2" xfId="57260" xr:uid="{00000000-0005-0000-0000-00006AA00000}"/>
    <cellStyle name="Normal 4 3 11 2 2 2 2 3" xfId="43698" xr:uid="{00000000-0005-0000-0000-00006BA00000}"/>
    <cellStyle name="Normal 4 3 11 2 2 2 3" xfId="23346" xr:uid="{00000000-0005-0000-0000-00006CA00000}"/>
    <cellStyle name="Normal 4 3 11 2 2 2 3 2" xfId="50479" xr:uid="{00000000-0005-0000-0000-00006DA00000}"/>
    <cellStyle name="Normal 4 3 11 2 2 2 4" xfId="36917" xr:uid="{00000000-0005-0000-0000-00006EA00000}"/>
    <cellStyle name="Normal 4 3 11 2 2 3" xfId="13170" xr:uid="{00000000-0005-0000-0000-00006FA00000}"/>
    <cellStyle name="Normal 4 3 11 2 2 3 2" xfId="26738" xr:uid="{00000000-0005-0000-0000-000070A00000}"/>
    <cellStyle name="Normal 4 3 11 2 2 3 2 2" xfId="53871" xr:uid="{00000000-0005-0000-0000-000071A00000}"/>
    <cellStyle name="Normal 4 3 11 2 2 3 3" xfId="40309" xr:uid="{00000000-0005-0000-0000-000072A00000}"/>
    <cellStyle name="Normal 4 3 11 2 2 4" xfId="19957" xr:uid="{00000000-0005-0000-0000-000073A00000}"/>
    <cellStyle name="Normal 4 3 11 2 2 4 2" xfId="47090" xr:uid="{00000000-0005-0000-0000-000074A00000}"/>
    <cellStyle name="Normal 4 3 11 2 2 5" xfId="33528" xr:uid="{00000000-0005-0000-0000-000075A00000}"/>
    <cellStyle name="Normal 4 3 11 2 3" xfId="6234" xr:uid="{00000000-0005-0000-0000-000076A00000}"/>
    <cellStyle name="Normal 4 3 11 2 3 2" xfId="9771" xr:uid="{00000000-0005-0000-0000-000077A00000}"/>
    <cellStyle name="Normal 4 3 11 2 3 2 2" xfId="16560" xr:uid="{00000000-0005-0000-0000-000078A00000}"/>
    <cellStyle name="Normal 4 3 11 2 3 2 2 2" xfId="30128" xr:uid="{00000000-0005-0000-0000-000079A00000}"/>
    <cellStyle name="Normal 4 3 11 2 3 2 2 2 2" xfId="57261" xr:uid="{00000000-0005-0000-0000-00007AA00000}"/>
    <cellStyle name="Normal 4 3 11 2 3 2 2 3" xfId="43699" xr:uid="{00000000-0005-0000-0000-00007BA00000}"/>
    <cellStyle name="Normal 4 3 11 2 3 2 3" xfId="23347" xr:uid="{00000000-0005-0000-0000-00007CA00000}"/>
    <cellStyle name="Normal 4 3 11 2 3 2 3 2" xfId="50480" xr:uid="{00000000-0005-0000-0000-00007DA00000}"/>
    <cellStyle name="Normal 4 3 11 2 3 2 4" xfId="36918" xr:uid="{00000000-0005-0000-0000-00007EA00000}"/>
    <cellStyle name="Normal 4 3 11 2 3 3" xfId="13171" xr:uid="{00000000-0005-0000-0000-00007FA00000}"/>
    <cellStyle name="Normal 4 3 11 2 3 3 2" xfId="26739" xr:uid="{00000000-0005-0000-0000-000080A00000}"/>
    <cellStyle name="Normal 4 3 11 2 3 3 2 2" xfId="53872" xr:uid="{00000000-0005-0000-0000-000081A00000}"/>
    <cellStyle name="Normal 4 3 11 2 3 3 3" xfId="40310" xr:uid="{00000000-0005-0000-0000-000082A00000}"/>
    <cellStyle name="Normal 4 3 11 2 3 4" xfId="19958" xr:uid="{00000000-0005-0000-0000-000083A00000}"/>
    <cellStyle name="Normal 4 3 11 2 3 4 2" xfId="47091" xr:uid="{00000000-0005-0000-0000-000084A00000}"/>
    <cellStyle name="Normal 4 3 11 2 3 5" xfId="33529" xr:uid="{00000000-0005-0000-0000-000085A00000}"/>
    <cellStyle name="Normal 4 3 11 2 4" xfId="9769" xr:uid="{00000000-0005-0000-0000-000086A00000}"/>
    <cellStyle name="Normal 4 3 11 2 4 2" xfId="16558" xr:uid="{00000000-0005-0000-0000-000087A00000}"/>
    <cellStyle name="Normal 4 3 11 2 4 2 2" xfId="30126" xr:uid="{00000000-0005-0000-0000-000088A00000}"/>
    <cellStyle name="Normal 4 3 11 2 4 2 2 2" xfId="57259" xr:uid="{00000000-0005-0000-0000-000089A00000}"/>
    <cellStyle name="Normal 4 3 11 2 4 2 3" xfId="43697" xr:uid="{00000000-0005-0000-0000-00008AA00000}"/>
    <cellStyle name="Normal 4 3 11 2 4 3" xfId="23345" xr:uid="{00000000-0005-0000-0000-00008BA00000}"/>
    <cellStyle name="Normal 4 3 11 2 4 3 2" xfId="50478" xr:uid="{00000000-0005-0000-0000-00008CA00000}"/>
    <cellStyle name="Normal 4 3 11 2 4 4" xfId="36916" xr:uid="{00000000-0005-0000-0000-00008DA00000}"/>
    <cellStyle name="Normal 4 3 11 2 5" xfId="13169" xr:uid="{00000000-0005-0000-0000-00008EA00000}"/>
    <cellStyle name="Normal 4 3 11 2 5 2" xfId="26737" xr:uid="{00000000-0005-0000-0000-00008FA00000}"/>
    <cellStyle name="Normal 4 3 11 2 5 2 2" xfId="53870" xr:uid="{00000000-0005-0000-0000-000090A00000}"/>
    <cellStyle name="Normal 4 3 11 2 5 3" xfId="40308" xr:uid="{00000000-0005-0000-0000-000091A00000}"/>
    <cellStyle name="Normal 4 3 11 2 6" xfId="19956" xr:uid="{00000000-0005-0000-0000-000092A00000}"/>
    <cellStyle name="Normal 4 3 11 2 6 2" xfId="47089" xr:uid="{00000000-0005-0000-0000-000093A00000}"/>
    <cellStyle name="Normal 4 3 11 2 7" xfId="33527" xr:uid="{00000000-0005-0000-0000-000094A00000}"/>
    <cellStyle name="Normal 4 3 11 3" xfId="6235" xr:uid="{00000000-0005-0000-0000-000095A00000}"/>
    <cellStyle name="Normal 4 3 11 3 2" xfId="9772" xr:uid="{00000000-0005-0000-0000-000096A00000}"/>
    <cellStyle name="Normal 4 3 11 3 2 2" xfId="16561" xr:uid="{00000000-0005-0000-0000-000097A00000}"/>
    <cellStyle name="Normal 4 3 11 3 2 2 2" xfId="30129" xr:uid="{00000000-0005-0000-0000-000098A00000}"/>
    <cellStyle name="Normal 4 3 11 3 2 2 2 2" xfId="57262" xr:uid="{00000000-0005-0000-0000-000099A00000}"/>
    <cellStyle name="Normal 4 3 11 3 2 2 3" xfId="43700" xr:uid="{00000000-0005-0000-0000-00009AA00000}"/>
    <cellStyle name="Normal 4 3 11 3 2 3" xfId="23348" xr:uid="{00000000-0005-0000-0000-00009BA00000}"/>
    <cellStyle name="Normal 4 3 11 3 2 3 2" xfId="50481" xr:uid="{00000000-0005-0000-0000-00009CA00000}"/>
    <cellStyle name="Normal 4 3 11 3 2 4" xfId="36919" xr:uid="{00000000-0005-0000-0000-00009DA00000}"/>
    <cellStyle name="Normal 4 3 11 3 3" xfId="13172" xr:uid="{00000000-0005-0000-0000-00009EA00000}"/>
    <cellStyle name="Normal 4 3 11 3 3 2" xfId="26740" xr:uid="{00000000-0005-0000-0000-00009FA00000}"/>
    <cellStyle name="Normal 4 3 11 3 3 2 2" xfId="53873" xr:uid="{00000000-0005-0000-0000-0000A0A00000}"/>
    <cellStyle name="Normal 4 3 11 3 3 3" xfId="40311" xr:uid="{00000000-0005-0000-0000-0000A1A00000}"/>
    <cellStyle name="Normal 4 3 11 3 4" xfId="19959" xr:uid="{00000000-0005-0000-0000-0000A2A00000}"/>
    <cellStyle name="Normal 4 3 11 3 4 2" xfId="47092" xr:uid="{00000000-0005-0000-0000-0000A3A00000}"/>
    <cellStyle name="Normal 4 3 11 3 5" xfId="33530" xr:uid="{00000000-0005-0000-0000-0000A4A00000}"/>
    <cellStyle name="Normal 4 3 11 4" xfId="6236" xr:uid="{00000000-0005-0000-0000-0000A5A00000}"/>
    <cellStyle name="Normal 4 3 11 4 2" xfId="9773" xr:uid="{00000000-0005-0000-0000-0000A6A00000}"/>
    <cellStyle name="Normal 4 3 11 4 2 2" xfId="16562" xr:uid="{00000000-0005-0000-0000-0000A7A00000}"/>
    <cellStyle name="Normal 4 3 11 4 2 2 2" xfId="30130" xr:uid="{00000000-0005-0000-0000-0000A8A00000}"/>
    <cellStyle name="Normal 4 3 11 4 2 2 2 2" xfId="57263" xr:uid="{00000000-0005-0000-0000-0000A9A00000}"/>
    <cellStyle name="Normal 4 3 11 4 2 2 3" xfId="43701" xr:uid="{00000000-0005-0000-0000-0000AAA00000}"/>
    <cellStyle name="Normal 4 3 11 4 2 3" xfId="23349" xr:uid="{00000000-0005-0000-0000-0000ABA00000}"/>
    <cellStyle name="Normal 4 3 11 4 2 3 2" xfId="50482" xr:uid="{00000000-0005-0000-0000-0000ACA00000}"/>
    <cellStyle name="Normal 4 3 11 4 2 4" xfId="36920" xr:uid="{00000000-0005-0000-0000-0000ADA00000}"/>
    <cellStyle name="Normal 4 3 11 4 3" xfId="13173" xr:uid="{00000000-0005-0000-0000-0000AEA00000}"/>
    <cellStyle name="Normal 4 3 11 4 3 2" xfId="26741" xr:uid="{00000000-0005-0000-0000-0000AFA00000}"/>
    <cellStyle name="Normal 4 3 11 4 3 2 2" xfId="53874" xr:uid="{00000000-0005-0000-0000-0000B0A00000}"/>
    <cellStyle name="Normal 4 3 11 4 3 3" xfId="40312" xr:uid="{00000000-0005-0000-0000-0000B1A00000}"/>
    <cellStyle name="Normal 4 3 11 4 4" xfId="19960" xr:uid="{00000000-0005-0000-0000-0000B2A00000}"/>
    <cellStyle name="Normal 4 3 11 4 4 2" xfId="47093" xr:uid="{00000000-0005-0000-0000-0000B3A00000}"/>
    <cellStyle name="Normal 4 3 11 4 5" xfId="33531" xr:uid="{00000000-0005-0000-0000-0000B4A00000}"/>
    <cellStyle name="Normal 4 3 11 5" xfId="9768" xr:uid="{00000000-0005-0000-0000-0000B5A00000}"/>
    <cellStyle name="Normal 4 3 11 5 2" xfId="16557" xr:uid="{00000000-0005-0000-0000-0000B6A00000}"/>
    <cellStyle name="Normal 4 3 11 5 2 2" xfId="30125" xr:uid="{00000000-0005-0000-0000-0000B7A00000}"/>
    <cellStyle name="Normal 4 3 11 5 2 2 2" xfId="57258" xr:uid="{00000000-0005-0000-0000-0000B8A00000}"/>
    <cellStyle name="Normal 4 3 11 5 2 3" xfId="43696" xr:uid="{00000000-0005-0000-0000-0000B9A00000}"/>
    <cellStyle name="Normal 4 3 11 5 3" xfId="23344" xr:uid="{00000000-0005-0000-0000-0000BAA00000}"/>
    <cellStyle name="Normal 4 3 11 5 3 2" xfId="50477" xr:uid="{00000000-0005-0000-0000-0000BBA00000}"/>
    <cellStyle name="Normal 4 3 11 5 4" xfId="36915" xr:uid="{00000000-0005-0000-0000-0000BCA00000}"/>
    <cellStyle name="Normal 4 3 11 6" xfId="13168" xr:uid="{00000000-0005-0000-0000-0000BDA00000}"/>
    <cellStyle name="Normal 4 3 11 6 2" xfId="26736" xr:uid="{00000000-0005-0000-0000-0000BEA00000}"/>
    <cellStyle name="Normal 4 3 11 6 2 2" xfId="53869" xr:uid="{00000000-0005-0000-0000-0000BFA00000}"/>
    <cellStyle name="Normal 4 3 11 6 3" xfId="40307" xr:uid="{00000000-0005-0000-0000-0000C0A00000}"/>
    <cellStyle name="Normal 4 3 11 7" xfId="19955" xr:uid="{00000000-0005-0000-0000-0000C1A00000}"/>
    <cellStyle name="Normal 4 3 11 7 2" xfId="47088" xr:uid="{00000000-0005-0000-0000-0000C2A00000}"/>
    <cellStyle name="Normal 4 3 11 8" xfId="33526" xr:uid="{00000000-0005-0000-0000-0000C3A00000}"/>
    <cellStyle name="Normal 4 3 12" xfId="6237" xr:uid="{00000000-0005-0000-0000-0000C4A00000}"/>
    <cellStyle name="Normal 4 3 12 2" xfId="6238" xr:uid="{00000000-0005-0000-0000-0000C5A00000}"/>
    <cellStyle name="Normal 4 3 12 2 2" xfId="9775" xr:uid="{00000000-0005-0000-0000-0000C6A00000}"/>
    <cellStyle name="Normal 4 3 12 2 2 2" xfId="16564" xr:uid="{00000000-0005-0000-0000-0000C7A00000}"/>
    <cellStyle name="Normal 4 3 12 2 2 2 2" xfId="30132" xr:uid="{00000000-0005-0000-0000-0000C8A00000}"/>
    <cellStyle name="Normal 4 3 12 2 2 2 2 2" xfId="57265" xr:uid="{00000000-0005-0000-0000-0000C9A00000}"/>
    <cellStyle name="Normal 4 3 12 2 2 2 3" xfId="43703" xr:uid="{00000000-0005-0000-0000-0000CAA00000}"/>
    <cellStyle name="Normal 4 3 12 2 2 3" xfId="23351" xr:uid="{00000000-0005-0000-0000-0000CBA00000}"/>
    <cellStyle name="Normal 4 3 12 2 2 3 2" xfId="50484" xr:uid="{00000000-0005-0000-0000-0000CCA00000}"/>
    <cellStyle name="Normal 4 3 12 2 2 4" xfId="36922" xr:uid="{00000000-0005-0000-0000-0000CDA00000}"/>
    <cellStyle name="Normal 4 3 12 2 3" xfId="13175" xr:uid="{00000000-0005-0000-0000-0000CEA00000}"/>
    <cellStyle name="Normal 4 3 12 2 3 2" xfId="26743" xr:uid="{00000000-0005-0000-0000-0000CFA00000}"/>
    <cellStyle name="Normal 4 3 12 2 3 2 2" xfId="53876" xr:uid="{00000000-0005-0000-0000-0000D0A00000}"/>
    <cellStyle name="Normal 4 3 12 2 3 3" xfId="40314" xr:uid="{00000000-0005-0000-0000-0000D1A00000}"/>
    <cellStyle name="Normal 4 3 12 2 4" xfId="19962" xr:uid="{00000000-0005-0000-0000-0000D2A00000}"/>
    <cellStyle name="Normal 4 3 12 2 4 2" xfId="47095" xr:uid="{00000000-0005-0000-0000-0000D3A00000}"/>
    <cellStyle name="Normal 4 3 12 2 5" xfId="33533" xr:uid="{00000000-0005-0000-0000-0000D4A00000}"/>
    <cellStyle name="Normal 4 3 12 3" xfId="9774" xr:uid="{00000000-0005-0000-0000-0000D5A00000}"/>
    <cellStyle name="Normal 4 3 12 3 2" xfId="16563" xr:uid="{00000000-0005-0000-0000-0000D6A00000}"/>
    <cellStyle name="Normal 4 3 12 3 2 2" xfId="30131" xr:uid="{00000000-0005-0000-0000-0000D7A00000}"/>
    <cellStyle name="Normal 4 3 12 3 2 2 2" xfId="57264" xr:uid="{00000000-0005-0000-0000-0000D8A00000}"/>
    <cellStyle name="Normal 4 3 12 3 2 3" xfId="43702" xr:uid="{00000000-0005-0000-0000-0000D9A00000}"/>
    <cellStyle name="Normal 4 3 12 3 3" xfId="23350" xr:uid="{00000000-0005-0000-0000-0000DAA00000}"/>
    <cellStyle name="Normal 4 3 12 3 3 2" xfId="50483" xr:uid="{00000000-0005-0000-0000-0000DBA00000}"/>
    <cellStyle name="Normal 4 3 12 3 4" xfId="36921" xr:uid="{00000000-0005-0000-0000-0000DCA00000}"/>
    <cellStyle name="Normal 4 3 12 4" xfId="13174" xr:uid="{00000000-0005-0000-0000-0000DDA00000}"/>
    <cellStyle name="Normal 4 3 12 4 2" xfId="26742" xr:uid="{00000000-0005-0000-0000-0000DEA00000}"/>
    <cellStyle name="Normal 4 3 12 4 2 2" xfId="53875" xr:uid="{00000000-0005-0000-0000-0000DFA00000}"/>
    <cellStyle name="Normal 4 3 12 4 3" xfId="40313" xr:uid="{00000000-0005-0000-0000-0000E0A00000}"/>
    <cellStyle name="Normal 4 3 12 5" xfId="19961" xr:uid="{00000000-0005-0000-0000-0000E1A00000}"/>
    <cellStyle name="Normal 4 3 12 5 2" xfId="47094" xr:uid="{00000000-0005-0000-0000-0000E2A00000}"/>
    <cellStyle name="Normal 4 3 12 6" xfId="33532" xr:uid="{00000000-0005-0000-0000-0000E3A00000}"/>
    <cellStyle name="Normal 4 3 13" xfId="6239" xr:uid="{00000000-0005-0000-0000-0000E4A00000}"/>
    <cellStyle name="Normal 4 3 13 2" xfId="9776" xr:uid="{00000000-0005-0000-0000-0000E5A00000}"/>
    <cellStyle name="Normal 4 3 13 2 2" xfId="16565" xr:uid="{00000000-0005-0000-0000-0000E6A00000}"/>
    <cellStyle name="Normal 4 3 13 2 2 2" xfId="30133" xr:uid="{00000000-0005-0000-0000-0000E7A00000}"/>
    <cellStyle name="Normal 4 3 13 2 2 2 2" xfId="57266" xr:uid="{00000000-0005-0000-0000-0000E8A00000}"/>
    <cellStyle name="Normal 4 3 13 2 2 3" xfId="43704" xr:uid="{00000000-0005-0000-0000-0000E9A00000}"/>
    <cellStyle name="Normal 4 3 13 2 3" xfId="23352" xr:uid="{00000000-0005-0000-0000-0000EAA00000}"/>
    <cellStyle name="Normal 4 3 13 2 3 2" xfId="50485" xr:uid="{00000000-0005-0000-0000-0000EBA00000}"/>
    <cellStyle name="Normal 4 3 13 2 4" xfId="36923" xr:uid="{00000000-0005-0000-0000-0000ECA00000}"/>
    <cellStyle name="Normal 4 3 13 3" xfId="13176" xr:uid="{00000000-0005-0000-0000-0000EDA00000}"/>
    <cellStyle name="Normal 4 3 13 3 2" xfId="26744" xr:uid="{00000000-0005-0000-0000-0000EEA00000}"/>
    <cellStyle name="Normal 4 3 13 3 2 2" xfId="53877" xr:uid="{00000000-0005-0000-0000-0000EFA00000}"/>
    <cellStyle name="Normal 4 3 13 3 3" xfId="40315" xr:uid="{00000000-0005-0000-0000-0000F0A00000}"/>
    <cellStyle name="Normal 4 3 13 4" xfId="19963" xr:uid="{00000000-0005-0000-0000-0000F1A00000}"/>
    <cellStyle name="Normal 4 3 13 4 2" xfId="47096" xr:uid="{00000000-0005-0000-0000-0000F2A00000}"/>
    <cellStyle name="Normal 4 3 13 5" xfId="33534" xr:uid="{00000000-0005-0000-0000-0000F3A00000}"/>
    <cellStyle name="Normal 4 3 14" xfId="6240" xr:uid="{00000000-0005-0000-0000-0000F4A00000}"/>
    <cellStyle name="Normal 4 3 14 2" xfId="9777" xr:uid="{00000000-0005-0000-0000-0000F5A00000}"/>
    <cellStyle name="Normal 4 3 14 2 2" xfId="16566" xr:uid="{00000000-0005-0000-0000-0000F6A00000}"/>
    <cellStyle name="Normal 4 3 14 2 2 2" xfId="30134" xr:uid="{00000000-0005-0000-0000-0000F7A00000}"/>
    <cellStyle name="Normal 4 3 14 2 2 2 2" xfId="57267" xr:uid="{00000000-0005-0000-0000-0000F8A00000}"/>
    <cellStyle name="Normal 4 3 14 2 2 3" xfId="43705" xr:uid="{00000000-0005-0000-0000-0000F9A00000}"/>
    <cellStyle name="Normal 4 3 14 2 3" xfId="23353" xr:uid="{00000000-0005-0000-0000-0000FAA00000}"/>
    <cellStyle name="Normal 4 3 14 2 3 2" xfId="50486" xr:uid="{00000000-0005-0000-0000-0000FBA00000}"/>
    <cellStyle name="Normal 4 3 14 2 4" xfId="36924" xr:uid="{00000000-0005-0000-0000-0000FCA00000}"/>
    <cellStyle name="Normal 4 3 14 3" xfId="13177" xr:uid="{00000000-0005-0000-0000-0000FDA00000}"/>
    <cellStyle name="Normal 4 3 14 3 2" xfId="26745" xr:uid="{00000000-0005-0000-0000-0000FEA00000}"/>
    <cellStyle name="Normal 4 3 14 3 2 2" xfId="53878" xr:uid="{00000000-0005-0000-0000-0000FFA00000}"/>
    <cellStyle name="Normal 4 3 14 3 3" xfId="40316" xr:uid="{00000000-0005-0000-0000-000000A10000}"/>
    <cellStyle name="Normal 4 3 14 4" xfId="19964" xr:uid="{00000000-0005-0000-0000-000001A10000}"/>
    <cellStyle name="Normal 4 3 14 4 2" xfId="47097" xr:uid="{00000000-0005-0000-0000-000002A10000}"/>
    <cellStyle name="Normal 4 3 14 5" xfId="33535" xr:uid="{00000000-0005-0000-0000-000003A10000}"/>
    <cellStyle name="Normal 4 3 2" xfId="2764" xr:uid="{00000000-0005-0000-0000-000004A10000}"/>
    <cellStyle name="Normal 4 3 2 2" xfId="7569" xr:uid="{00000000-0005-0000-0000-000005A10000}"/>
    <cellStyle name="Normal 4 3 2 2 2" xfId="14358" xr:uid="{00000000-0005-0000-0000-000006A10000}"/>
    <cellStyle name="Normal 4 3 2 2 2 2" xfId="27926" xr:uid="{00000000-0005-0000-0000-000007A10000}"/>
    <cellStyle name="Normal 4 3 2 2 2 2 2" xfId="55059" xr:uid="{00000000-0005-0000-0000-000008A10000}"/>
    <cellStyle name="Normal 4 3 2 2 2 3" xfId="41497" xr:uid="{00000000-0005-0000-0000-000009A10000}"/>
    <cellStyle name="Normal 4 3 2 2 3" xfId="21145" xr:uid="{00000000-0005-0000-0000-00000AA10000}"/>
    <cellStyle name="Normal 4 3 2 2 3 2" xfId="48278" xr:uid="{00000000-0005-0000-0000-00000BA10000}"/>
    <cellStyle name="Normal 4 3 2 2 4" xfId="34716" xr:uid="{00000000-0005-0000-0000-00000CA10000}"/>
    <cellStyle name="Normal 4 3 2 3" xfId="10969" xr:uid="{00000000-0005-0000-0000-00000DA10000}"/>
    <cellStyle name="Normal 4 3 2 3 2" xfId="24537" xr:uid="{00000000-0005-0000-0000-00000EA10000}"/>
    <cellStyle name="Normal 4 3 2 3 2 2" xfId="51670" xr:uid="{00000000-0005-0000-0000-00000FA10000}"/>
    <cellStyle name="Normal 4 3 2 3 3" xfId="38108" xr:uid="{00000000-0005-0000-0000-000010A10000}"/>
    <cellStyle name="Normal 4 3 2 4" xfId="17756" xr:uid="{00000000-0005-0000-0000-000011A10000}"/>
    <cellStyle name="Normal 4 3 2 4 2" xfId="44889" xr:uid="{00000000-0005-0000-0000-000012A10000}"/>
    <cellStyle name="Normal 4 3 2 5" xfId="31327" xr:uid="{00000000-0005-0000-0000-000013A10000}"/>
    <cellStyle name="Normal 4 3 3" xfId="6241" xr:uid="{00000000-0005-0000-0000-000014A10000}"/>
    <cellStyle name="Normal 4 3 4" xfId="6242" xr:uid="{00000000-0005-0000-0000-000015A10000}"/>
    <cellStyle name="Normal 4 3 4 2" xfId="6243" xr:uid="{00000000-0005-0000-0000-000016A10000}"/>
    <cellStyle name="Normal 4 3 5" xfId="6244" xr:uid="{00000000-0005-0000-0000-000017A10000}"/>
    <cellStyle name="Normal 4 3 6" xfId="6245" xr:uid="{00000000-0005-0000-0000-000018A10000}"/>
    <cellStyle name="Normal 4 3 6 10" xfId="9778" xr:uid="{00000000-0005-0000-0000-000019A10000}"/>
    <cellStyle name="Normal 4 3 6 10 2" xfId="16567" xr:uid="{00000000-0005-0000-0000-00001AA10000}"/>
    <cellStyle name="Normal 4 3 6 10 2 2" xfId="30135" xr:uid="{00000000-0005-0000-0000-00001BA10000}"/>
    <cellStyle name="Normal 4 3 6 10 2 2 2" xfId="57268" xr:uid="{00000000-0005-0000-0000-00001CA10000}"/>
    <cellStyle name="Normal 4 3 6 10 2 3" xfId="43706" xr:uid="{00000000-0005-0000-0000-00001DA10000}"/>
    <cellStyle name="Normal 4 3 6 10 3" xfId="23354" xr:uid="{00000000-0005-0000-0000-00001EA10000}"/>
    <cellStyle name="Normal 4 3 6 10 3 2" xfId="50487" xr:uid="{00000000-0005-0000-0000-00001FA10000}"/>
    <cellStyle name="Normal 4 3 6 10 4" xfId="36925" xr:uid="{00000000-0005-0000-0000-000020A10000}"/>
    <cellStyle name="Normal 4 3 6 11" xfId="13178" xr:uid="{00000000-0005-0000-0000-000021A10000}"/>
    <cellStyle name="Normal 4 3 6 11 2" xfId="26746" xr:uid="{00000000-0005-0000-0000-000022A10000}"/>
    <cellStyle name="Normal 4 3 6 11 2 2" xfId="53879" xr:uid="{00000000-0005-0000-0000-000023A10000}"/>
    <cellStyle name="Normal 4 3 6 11 3" xfId="40317" xr:uid="{00000000-0005-0000-0000-000024A10000}"/>
    <cellStyle name="Normal 4 3 6 12" xfId="19965" xr:uid="{00000000-0005-0000-0000-000025A10000}"/>
    <cellStyle name="Normal 4 3 6 12 2" xfId="47098" xr:uid="{00000000-0005-0000-0000-000026A10000}"/>
    <cellStyle name="Normal 4 3 6 13" xfId="33536" xr:uid="{00000000-0005-0000-0000-000027A10000}"/>
    <cellStyle name="Normal 4 3 6 2" xfId="6246" xr:uid="{00000000-0005-0000-0000-000028A10000}"/>
    <cellStyle name="Normal 4 3 6 2 10" xfId="33537" xr:uid="{00000000-0005-0000-0000-000029A10000}"/>
    <cellStyle name="Normal 4 3 6 2 2" xfId="6247" xr:uid="{00000000-0005-0000-0000-00002AA10000}"/>
    <cellStyle name="Normal 4 3 6 2 2 2" xfId="6248" xr:uid="{00000000-0005-0000-0000-00002BA10000}"/>
    <cellStyle name="Normal 4 3 6 2 2 2 2" xfId="6249" xr:uid="{00000000-0005-0000-0000-00002CA10000}"/>
    <cellStyle name="Normal 4 3 6 2 2 2 2 2" xfId="9782" xr:uid="{00000000-0005-0000-0000-00002DA10000}"/>
    <cellStyle name="Normal 4 3 6 2 2 2 2 2 2" xfId="16571" xr:uid="{00000000-0005-0000-0000-00002EA10000}"/>
    <cellStyle name="Normal 4 3 6 2 2 2 2 2 2 2" xfId="30139" xr:uid="{00000000-0005-0000-0000-00002FA10000}"/>
    <cellStyle name="Normal 4 3 6 2 2 2 2 2 2 2 2" xfId="57272" xr:uid="{00000000-0005-0000-0000-000030A10000}"/>
    <cellStyle name="Normal 4 3 6 2 2 2 2 2 2 3" xfId="43710" xr:uid="{00000000-0005-0000-0000-000031A10000}"/>
    <cellStyle name="Normal 4 3 6 2 2 2 2 2 3" xfId="23358" xr:uid="{00000000-0005-0000-0000-000032A10000}"/>
    <cellStyle name="Normal 4 3 6 2 2 2 2 2 3 2" xfId="50491" xr:uid="{00000000-0005-0000-0000-000033A10000}"/>
    <cellStyle name="Normal 4 3 6 2 2 2 2 2 4" xfId="36929" xr:uid="{00000000-0005-0000-0000-000034A10000}"/>
    <cellStyle name="Normal 4 3 6 2 2 2 2 3" xfId="13182" xr:uid="{00000000-0005-0000-0000-000035A10000}"/>
    <cellStyle name="Normal 4 3 6 2 2 2 2 3 2" xfId="26750" xr:uid="{00000000-0005-0000-0000-000036A10000}"/>
    <cellStyle name="Normal 4 3 6 2 2 2 2 3 2 2" xfId="53883" xr:uid="{00000000-0005-0000-0000-000037A10000}"/>
    <cellStyle name="Normal 4 3 6 2 2 2 2 3 3" xfId="40321" xr:uid="{00000000-0005-0000-0000-000038A10000}"/>
    <cellStyle name="Normal 4 3 6 2 2 2 2 4" xfId="19969" xr:uid="{00000000-0005-0000-0000-000039A10000}"/>
    <cellStyle name="Normal 4 3 6 2 2 2 2 4 2" xfId="47102" xr:uid="{00000000-0005-0000-0000-00003AA10000}"/>
    <cellStyle name="Normal 4 3 6 2 2 2 2 5" xfId="33540" xr:uid="{00000000-0005-0000-0000-00003BA10000}"/>
    <cellStyle name="Normal 4 3 6 2 2 2 3" xfId="6250" xr:uid="{00000000-0005-0000-0000-00003CA10000}"/>
    <cellStyle name="Normal 4 3 6 2 2 2 3 2" xfId="9783" xr:uid="{00000000-0005-0000-0000-00003DA10000}"/>
    <cellStyle name="Normal 4 3 6 2 2 2 3 2 2" xfId="16572" xr:uid="{00000000-0005-0000-0000-00003EA10000}"/>
    <cellStyle name="Normal 4 3 6 2 2 2 3 2 2 2" xfId="30140" xr:uid="{00000000-0005-0000-0000-00003FA10000}"/>
    <cellStyle name="Normal 4 3 6 2 2 2 3 2 2 2 2" xfId="57273" xr:uid="{00000000-0005-0000-0000-000040A10000}"/>
    <cellStyle name="Normal 4 3 6 2 2 2 3 2 2 3" xfId="43711" xr:uid="{00000000-0005-0000-0000-000041A10000}"/>
    <cellStyle name="Normal 4 3 6 2 2 2 3 2 3" xfId="23359" xr:uid="{00000000-0005-0000-0000-000042A10000}"/>
    <cellStyle name="Normal 4 3 6 2 2 2 3 2 3 2" xfId="50492" xr:uid="{00000000-0005-0000-0000-000043A10000}"/>
    <cellStyle name="Normal 4 3 6 2 2 2 3 2 4" xfId="36930" xr:uid="{00000000-0005-0000-0000-000044A10000}"/>
    <cellStyle name="Normal 4 3 6 2 2 2 3 3" xfId="13183" xr:uid="{00000000-0005-0000-0000-000045A10000}"/>
    <cellStyle name="Normal 4 3 6 2 2 2 3 3 2" xfId="26751" xr:uid="{00000000-0005-0000-0000-000046A10000}"/>
    <cellStyle name="Normal 4 3 6 2 2 2 3 3 2 2" xfId="53884" xr:uid="{00000000-0005-0000-0000-000047A10000}"/>
    <cellStyle name="Normal 4 3 6 2 2 2 3 3 3" xfId="40322" xr:uid="{00000000-0005-0000-0000-000048A10000}"/>
    <cellStyle name="Normal 4 3 6 2 2 2 3 4" xfId="19970" xr:uid="{00000000-0005-0000-0000-000049A10000}"/>
    <cellStyle name="Normal 4 3 6 2 2 2 3 4 2" xfId="47103" xr:uid="{00000000-0005-0000-0000-00004AA10000}"/>
    <cellStyle name="Normal 4 3 6 2 2 2 3 5" xfId="33541" xr:uid="{00000000-0005-0000-0000-00004BA10000}"/>
    <cellStyle name="Normal 4 3 6 2 2 2 4" xfId="9781" xr:uid="{00000000-0005-0000-0000-00004CA10000}"/>
    <cellStyle name="Normal 4 3 6 2 2 2 4 2" xfId="16570" xr:uid="{00000000-0005-0000-0000-00004DA10000}"/>
    <cellStyle name="Normal 4 3 6 2 2 2 4 2 2" xfId="30138" xr:uid="{00000000-0005-0000-0000-00004EA10000}"/>
    <cellStyle name="Normal 4 3 6 2 2 2 4 2 2 2" xfId="57271" xr:uid="{00000000-0005-0000-0000-00004FA10000}"/>
    <cellStyle name="Normal 4 3 6 2 2 2 4 2 3" xfId="43709" xr:uid="{00000000-0005-0000-0000-000050A10000}"/>
    <cellStyle name="Normal 4 3 6 2 2 2 4 3" xfId="23357" xr:uid="{00000000-0005-0000-0000-000051A10000}"/>
    <cellStyle name="Normal 4 3 6 2 2 2 4 3 2" xfId="50490" xr:uid="{00000000-0005-0000-0000-000052A10000}"/>
    <cellStyle name="Normal 4 3 6 2 2 2 4 4" xfId="36928" xr:uid="{00000000-0005-0000-0000-000053A10000}"/>
    <cellStyle name="Normal 4 3 6 2 2 2 5" xfId="13181" xr:uid="{00000000-0005-0000-0000-000054A10000}"/>
    <cellStyle name="Normal 4 3 6 2 2 2 5 2" xfId="26749" xr:uid="{00000000-0005-0000-0000-000055A10000}"/>
    <cellStyle name="Normal 4 3 6 2 2 2 5 2 2" xfId="53882" xr:uid="{00000000-0005-0000-0000-000056A10000}"/>
    <cellStyle name="Normal 4 3 6 2 2 2 5 3" xfId="40320" xr:uid="{00000000-0005-0000-0000-000057A10000}"/>
    <cellStyle name="Normal 4 3 6 2 2 2 6" xfId="19968" xr:uid="{00000000-0005-0000-0000-000058A10000}"/>
    <cellStyle name="Normal 4 3 6 2 2 2 6 2" xfId="47101" xr:uid="{00000000-0005-0000-0000-000059A10000}"/>
    <cellStyle name="Normal 4 3 6 2 2 2 7" xfId="33539" xr:uid="{00000000-0005-0000-0000-00005AA10000}"/>
    <cellStyle name="Normal 4 3 6 2 2 3" xfId="6251" xr:uid="{00000000-0005-0000-0000-00005BA10000}"/>
    <cellStyle name="Normal 4 3 6 2 2 3 2" xfId="6252" xr:uid="{00000000-0005-0000-0000-00005CA10000}"/>
    <cellStyle name="Normal 4 3 6 2 2 3 2 2" xfId="9785" xr:uid="{00000000-0005-0000-0000-00005DA10000}"/>
    <cellStyle name="Normal 4 3 6 2 2 3 2 2 2" xfId="16574" xr:uid="{00000000-0005-0000-0000-00005EA10000}"/>
    <cellStyle name="Normal 4 3 6 2 2 3 2 2 2 2" xfId="30142" xr:uid="{00000000-0005-0000-0000-00005FA10000}"/>
    <cellStyle name="Normal 4 3 6 2 2 3 2 2 2 2 2" xfId="57275" xr:uid="{00000000-0005-0000-0000-000060A10000}"/>
    <cellStyle name="Normal 4 3 6 2 2 3 2 2 2 3" xfId="43713" xr:uid="{00000000-0005-0000-0000-000061A10000}"/>
    <cellStyle name="Normal 4 3 6 2 2 3 2 2 3" xfId="23361" xr:uid="{00000000-0005-0000-0000-000062A10000}"/>
    <cellStyle name="Normal 4 3 6 2 2 3 2 2 3 2" xfId="50494" xr:uid="{00000000-0005-0000-0000-000063A10000}"/>
    <cellStyle name="Normal 4 3 6 2 2 3 2 2 4" xfId="36932" xr:uid="{00000000-0005-0000-0000-000064A10000}"/>
    <cellStyle name="Normal 4 3 6 2 2 3 2 3" xfId="13185" xr:uid="{00000000-0005-0000-0000-000065A10000}"/>
    <cellStyle name="Normal 4 3 6 2 2 3 2 3 2" xfId="26753" xr:uid="{00000000-0005-0000-0000-000066A10000}"/>
    <cellStyle name="Normal 4 3 6 2 2 3 2 3 2 2" xfId="53886" xr:uid="{00000000-0005-0000-0000-000067A10000}"/>
    <cellStyle name="Normal 4 3 6 2 2 3 2 3 3" xfId="40324" xr:uid="{00000000-0005-0000-0000-000068A10000}"/>
    <cellStyle name="Normal 4 3 6 2 2 3 2 4" xfId="19972" xr:uid="{00000000-0005-0000-0000-000069A10000}"/>
    <cellStyle name="Normal 4 3 6 2 2 3 2 4 2" xfId="47105" xr:uid="{00000000-0005-0000-0000-00006AA10000}"/>
    <cellStyle name="Normal 4 3 6 2 2 3 2 5" xfId="33543" xr:uid="{00000000-0005-0000-0000-00006BA10000}"/>
    <cellStyle name="Normal 4 3 6 2 2 3 3" xfId="9784" xr:uid="{00000000-0005-0000-0000-00006CA10000}"/>
    <cellStyle name="Normal 4 3 6 2 2 3 3 2" xfId="16573" xr:uid="{00000000-0005-0000-0000-00006DA10000}"/>
    <cellStyle name="Normal 4 3 6 2 2 3 3 2 2" xfId="30141" xr:uid="{00000000-0005-0000-0000-00006EA10000}"/>
    <cellStyle name="Normal 4 3 6 2 2 3 3 2 2 2" xfId="57274" xr:uid="{00000000-0005-0000-0000-00006FA10000}"/>
    <cellStyle name="Normal 4 3 6 2 2 3 3 2 3" xfId="43712" xr:uid="{00000000-0005-0000-0000-000070A10000}"/>
    <cellStyle name="Normal 4 3 6 2 2 3 3 3" xfId="23360" xr:uid="{00000000-0005-0000-0000-000071A10000}"/>
    <cellStyle name="Normal 4 3 6 2 2 3 3 3 2" xfId="50493" xr:uid="{00000000-0005-0000-0000-000072A10000}"/>
    <cellStyle name="Normal 4 3 6 2 2 3 3 4" xfId="36931" xr:uid="{00000000-0005-0000-0000-000073A10000}"/>
    <cellStyle name="Normal 4 3 6 2 2 3 4" xfId="13184" xr:uid="{00000000-0005-0000-0000-000074A10000}"/>
    <cellStyle name="Normal 4 3 6 2 2 3 4 2" xfId="26752" xr:uid="{00000000-0005-0000-0000-000075A10000}"/>
    <cellStyle name="Normal 4 3 6 2 2 3 4 2 2" xfId="53885" xr:uid="{00000000-0005-0000-0000-000076A10000}"/>
    <cellStyle name="Normal 4 3 6 2 2 3 4 3" xfId="40323" xr:uid="{00000000-0005-0000-0000-000077A10000}"/>
    <cellStyle name="Normal 4 3 6 2 2 3 5" xfId="19971" xr:uid="{00000000-0005-0000-0000-000078A10000}"/>
    <cellStyle name="Normal 4 3 6 2 2 3 5 2" xfId="47104" xr:uid="{00000000-0005-0000-0000-000079A10000}"/>
    <cellStyle name="Normal 4 3 6 2 2 3 6" xfId="33542" xr:uid="{00000000-0005-0000-0000-00007AA10000}"/>
    <cellStyle name="Normal 4 3 6 2 2 4" xfId="6253" xr:uid="{00000000-0005-0000-0000-00007BA10000}"/>
    <cellStyle name="Normal 4 3 6 2 2 4 2" xfId="9786" xr:uid="{00000000-0005-0000-0000-00007CA10000}"/>
    <cellStyle name="Normal 4 3 6 2 2 4 2 2" xfId="16575" xr:uid="{00000000-0005-0000-0000-00007DA10000}"/>
    <cellStyle name="Normal 4 3 6 2 2 4 2 2 2" xfId="30143" xr:uid="{00000000-0005-0000-0000-00007EA10000}"/>
    <cellStyle name="Normal 4 3 6 2 2 4 2 2 2 2" xfId="57276" xr:uid="{00000000-0005-0000-0000-00007FA10000}"/>
    <cellStyle name="Normal 4 3 6 2 2 4 2 2 3" xfId="43714" xr:uid="{00000000-0005-0000-0000-000080A10000}"/>
    <cellStyle name="Normal 4 3 6 2 2 4 2 3" xfId="23362" xr:uid="{00000000-0005-0000-0000-000081A10000}"/>
    <cellStyle name="Normal 4 3 6 2 2 4 2 3 2" xfId="50495" xr:uid="{00000000-0005-0000-0000-000082A10000}"/>
    <cellStyle name="Normal 4 3 6 2 2 4 2 4" xfId="36933" xr:uid="{00000000-0005-0000-0000-000083A10000}"/>
    <cellStyle name="Normal 4 3 6 2 2 4 3" xfId="13186" xr:uid="{00000000-0005-0000-0000-000084A10000}"/>
    <cellStyle name="Normal 4 3 6 2 2 4 3 2" xfId="26754" xr:uid="{00000000-0005-0000-0000-000085A10000}"/>
    <cellStyle name="Normal 4 3 6 2 2 4 3 2 2" xfId="53887" xr:uid="{00000000-0005-0000-0000-000086A10000}"/>
    <cellStyle name="Normal 4 3 6 2 2 4 3 3" xfId="40325" xr:uid="{00000000-0005-0000-0000-000087A10000}"/>
    <cellStyle name="Normal 4 3 6 2 2 4 4" xfId="19973" xr:uid="{00000000-0005-0000-0000-000088A10000}"/>
    <cellStyle name="Normal 4 3 6 2 2 4 4 2" xfId="47106" xr:uid="{00000000-0005-0000-0000-000089A10000}"/>
    <cellStyle name="Normal 4 3 6 2 2 4 5" xfId="33544" xr:uid="{00000000-0005-0000-0000-00008AA10000}"/>
    <cellStyle name="Normal 4 3 6 2 2 5" xfId="6254" xr:uid="{00000000-0005-0000-0000-00008BA10000}"/>
    <cellStyle name="Normal 4 3 6 2 2 5 2" xfId="9787" xr:uid="{00000000-0005-0000-0000-00008CA10000}"/>
    <cellStyle name="Normal 4 3 6 2 2 5 2 2" xfId="16576" xr:uid="{00000000-0005-0000-0000-00008DA10000}"/>
    <cellStyle name="Normal 4 3 6 2 2 5 2 2 2" xfId="30144" xr:uid="{00000000-0005-0000-0000-00008EA10000}"/>
    <cellStyle name="Normal 4 3 6 2 2 5 2 2 2 2" xfId="57277" xr:uid="{00000000-0005-0000-0000-00008FA10000}"/>
    <cellStyle name="Normal 4 3 6 2 2 5 2 2 3" xfId="43715" xr:uid="{00000000-0005-0000-0000-000090A10000}"/>
    <cellStyle name="Normal 4 3 6 2 2 5 2 3" xfId="23363" xr:uid="{00000000-0005-0000-0000-000091A10000}"/>
    <cellStyle name="Normal 4 3 6 2 2 5 2 3 2" xfId="50496" xr:uid="{00000000-0005-0000-0000-000092A10000}"/>
    <cellStyle name="Normal 4 3 6 2 2 5 2 4" xfId="36934" xr:uid="{00000000-0005-0000-0000-000093A10000}"/>
    <cellStyle name="Normal 4 3 6 2 2 5 3" xfId="13187" xr:uid="{00000000-0005-0000-0000-000094A10000}"/>
    <cellStyle name="Normal 4 3 6 2 2 5 3 2" xfId="26755" xr:uid="{00000000-0005-0000-0000-000095A10000}"/>
    <cellStyle name="Normal 4 3 6 2 2 5 3 2 2" xfId="53888" xr:uid="{00000000-0005-0000-0000-000096A10000}"/>
    <cellStyle name="Normal 4 3 6 2 2 5 3 3" xfId="40326" xr:uid="{00000000-0005-0000-0000-000097A10000}"/>
    <cellStyle name="Normal 4 3 6 2 2 5 4" xfId="19974" xr:uid="{00000000-0005-0000-0000-000098A10000}"/>
    <cellStyle name="Normal 4 3 6 2 2 5 4 2" xfId="47107" xr:uid="{00000000-0005-0000-0000-000099A10000}"/>
    <cellStyle name="Normal 4 3 6 2 2 5 5" xfId="33545" xr:uid="{00000000-0005-0000-0000-00009AA10000}"/>
    <cellStyle name="Normal 4 3 6 2 2 6" xfId="9780" xr:uid="{00000000-0005-0000-0000-00009BA10000}"/>
    <cellStyle name="Normal 4 3 6 2 2 6 2" xfId="16569" xr:uid="{00000000-0005-0000-0000-00009CA10000}"/>
    <cellStyle name="Normal 4 3 6 2 2 6 2 2" xfId="30137" xr:uid="{00000000-0005-0000-0000-00009DA10000}"/>
    <cellStyle name="Normal 4 3 6 2 2 6 2 2 2" xfId="57270" xr:uid="{00000000-0005-0000-0000-00009EA10000}"/>
    <cellStyle name="Normal 4 3 6 2 2 6 2 3" xfId="43708" xr:uid="{00000000-0005-0000-0000-00009FA10000}"/>
    <cellStyle name="Normal 4 3 6 2 2 6 3" xfId="23356" xr:uid="{00000000-0005-0000-0000-0000A0A10000}"/>
    <cellStyle name="Normal 4 3 6 2 2 6 3 2" xfId="50489" xr:uid="{00000000-0005-0000-0000-0000A1A10000}"/>
    <cellStyle name="Normal 4 3 6 2 2 6 4" xfId="36927" xr:uid="{00000000-0005-0000-0000-0000A2A10000}"/>
    <cellStyle name="Normal 4 3 6 2 2 7" xfId="13180" xr:uid="{00000000-0005-0000-0000-0000A3A10000}"/>
    <cellStyle name="Normal 4 3 6 2 2 7 2" xfId="26748" xr:uid="{00000000-0005-0000-0000-0000A4A10000}"/>
    <cellStyle name="Normal 4 3 6 2 2 7 2 2" xfId="53881" xr:uid="{00000000-0005-0000-0000-0000A5A10000}"/>
    <cellStyle name="Normal 4 3 6 2 2 7 3" xfId="40319" xr:uid="{00000000-0005-0000-0000-0000A6A10000}"/>
    <cellStyle name="Normal 4 3 6 2 2 8" xfId="19967" xr:uid="{00000000-0005-0000-0000-0000A7A10000}"/>
    <cellStyle name="Normal 4 3 6 2 2 8 2" xfId="47100" xr:uid="{00000000-0005-0000-0000-0000A8A10000}"/>
    <cellStyle name="Normal 4 3 6 2 2 9" xfId="33538" xr:uid="{00000000-0005-0000-0000-0000A9A10000}"/>
    <cellStyle name="Normal 4 3 6 2 3" xfId="6255" xr:uid="{00000000-0005-0000-0000-0000AAA10000}"/>
    <cellStyle name="Normal 4 3 6 2 3 2" xfId="6256" xr:uid="{00000000-0005-0000-0000-0000ABA10000}"/>
    <cellStyle name="Normal 4 3 6 2 3 2 2" xfId="9789" xr:uid="{00000000-0005-0000-0000-0000ACA10000}"/>
    <cellStyle name="Normal 4 3 6 2 3 2 2 2" xfId="16578" xr:uid="{00000000-0005-0000-0000-0000ADA10000}"/>
    <cellStyle name="Normal 4 3 6 2 3 2 2 2 2" xfId="30146" xr:uid="{00000000-0005-0000-0000-0000AEA10000}"/>
    <cellStyle name="Normal 4 3 6 2 3 2 2 2 2 2" xfId="57279" xr:uid="{00000000-0005-0000-0000-0000AFA10000}"/>
    <cellStyle name="Normal 4 3 6 2 3 2 2 2 3" xfId="43717" xr:uid="{00000000-0005-0000-0000-0000B0A10000}"/>
    <cellStyle name="Normal 4 3 6 2 3 2 2 3" xfId="23365" xr:uid="{00000000-0005-0000-0000-0000B1A10000}"/>
    <cellStyle name="Normal 4 3 6 2 3 2 2 3 2" xfId="50498" xr:uid="{00000000-0005-0000-0000-0000B2A10000}"/>
    <cellStyle name="Normal 4 3 6 2 3 2 2 4" xfId="36936" xr:uid="{00000000-0005-0000-0000-0000B3A10000}"/>
    <cellStyle name="Normal 4 3 6 2 3 2 3" xfId="13189" xr:uid="{00000000-0005-0000-0000-0000B4A10000}"/>
    <cellStyle name="Normal 4 3 6 2 3 2 3 2" xfId="26757" xr:uid="{00000000-0005-0000-0000-0000B5A10000}"/>
    <cellStyle name="Normal 4 3 6 2 3 2 3 2 2" xfId="53890" xr:uid="{00000000-0005-0000-0000-0000B6A10000}"/>
    <cellStyle name="Normal 4 3 6 2 3 2 3 3" xfId="40328" xr:uid="{00000000-0005-0000-0000-0000B7A10000}"/>
    <cellStyle name="Normal 4 3 6 2 3 2 4" xfId="19976" xr:uid="{00000000-0005-0000-0000-0000B8A10000}"/>
    <cellStyle name="Normal 4 3 6 2 3 2 4 2" xfId="47109" xr:uid="{00000000-0005-0000-0000-0000B9A10000}"/>
    <cellStyle name="Normal 4 3 6 2 3 2 5" xfId="33547" xr:uid="{00000000-0005-0000-0000-0000BAA10000}"/>
    <cellStyle name="Normal 4 3 6 2 3 3" xfId="6257" xr:uid="{00000000-0005-0000-0000-0000BBA10000}"/>
    <cellStyle name="Normal 4 3 6 2 3 3 2" xfId="9790" xr:uid="{00000000-0005-0000-0000-0000BCA10000}"/>
    <cellStyle name="Normal 4 3 6 2 3 3 2 2" xfId="16579" xr:uid="{00000000-0005-0000-0000-0000BDA10000}"/>
    <cellStyle name="Normal 4 3 6 2 3 3 2 2 2" xfId="30147" xr:uid="{00000000-0005-0000-0000-0000BEA10000}"/>
    <cellStyle name="Normal 4 3 6 2 3 3 2 2 2 2" xfId="57280" xr:uid="{00000000-0005-0000-0000-0000BFA10000}"/>
    <cellStyle name="Normal 4 3 6 2 3 3 2 2 3" xfId="43718" xr:uid="{00000000-0005-0000-0000-0000C0A10000}"/>
    <cellStyle name="Normal 4 3 6 2 3 3 2 3" xfId="23366" xr:uid="{00000000-0005-0000-0000-0000C1A10000}"/>
    <cellStyle name="Normal 4 3 6 2 3 3 2 3 2" xfId="50499" xr:uid="{00000000-0005-0000-0000-0000C2A10000}"/>
    <cellStyle name="Normal 4 3 6 2 3 3 2 4" xfId="36937" xr:uid="{00000000-0005-0000-0000-0000C3A10000}"/>
    <cellStyle name="Normal 4 3 6 2 3 3 3" xfId="13190" xr:uid="{00000000-0005-0000-0000-0000C4A10000}"/>
    <cellStyle name="Normal 4 3 6 2 3 3 3 2" xfId="26758" xr:uid="{00000000-0005-0000-0000-0000C5A10000}"/>
    <cellStyle name="Normal 4 3 6 2 3 3 3 2 2" xfId="53891" xr:uid="{00000000-0005-0000-0000-0000C6A10000}"/>
    <cellStyle name="Normal 4 3 6 2 3 3 3 3" xfId="40329" xr:uid="{00000000-0005-0000-0000-0000C7A10000}"/>
    <cellStyle name="Normal 4 3 6 2 3 3 4" xfId="19977" xr:uid="{00000000-0005-0000-0000-0000C8A10000}"/>
    <cellStyle name="Normal 4 3 6 2 3 3 4 2" xfId="47110" xr:uid="{00000000-0005-0000-0000-0000C9A10000}"/>
    <cellStyle name="Normal 4 3 6 2 3 3 5" xfId="33548" xr:uid="{00000000-0005-0000-0000-0000CAA10000}"/>
    <cellStyle name="Normal 4 3 6 2 3 4" xfId="9788" xr:uid="{00000000-0005-0000-0000-0000CBA10000}"/>
    <cellStyle name="Normal 4 3 6 2 3 4 2" xfId="16577" xr:uid="{00000000-0005-0000-0000-0000CCA10000}"/>
    <cellStyle name="Normal 4 3 6 2 3 4 2 2" xfId="30145" xr:uid="{00000000-0005-0000-0000-0000CDA10000}"/>
    <cellStyle name="Normal 4 3 6 2 3 4 2 2 2" xfId="57278" xr:uid="{00000000-0005-0000-0000-0000CEA10000}"/>
    <cellStyle name="Normal 4 3 6 2 3 4 2 3" xfId="43716" xr:uid="{00000000-0005-0000-0000-0000CFA10000}"/>
    <cellStyle name="Normal 4 3 6 2 3 4 3" xfId="23364" xr:uid="{00000000-0005-0000-0000-0000D0A10000}"/>
    <cellStyle name="Normal 4 3 6 2 3 4 3 2" xfId="50497" xr:uid="{00000000-0005-0000-0000-0000D1A10000}"/>
    <cellStyle name="Normal 4 3 6 2 3 4 4" xfId="36935" xr:uid="{00000000-0005-0000-0000-0000D2A10000}"/>
    <cellStyle name="Normal 4 3 6 2 3 5" xfId="13188" xr:uid="{00000000-0005-0000-0000-0000D3A10000}"/>
    <cellStyle name="Normal 4 3 6 2 3 5 2" xfId="26756" xr:uid="{00000000-0005-0000-0000-0000D4A10000}"/>
    <cellStyle name="Normal 4 3 6 2 3 5 2 2" xfId="53889" xr:uid="{00000000-0005-0000-0000-0000D5A10000}"/>
    <cellStyle name="Normal 4 3 6 2 3 5 3" xfId="40327" xr:uid="{00000000-0005-0000-0000-0000D6A10000}"/>
    <cellStyle name="Normal 4 3 6 2 3 6" xfId="19975" xr:uid="{00000000-0005-0000-0000-0000D7A10000}"/>
    <cellStyle name="Normal 4 3 6 2 3 6 2" xfId="47108" xr:uid="{00000000-0005-0000-0000-0000D8A10000}"/>
    <cellStyle name="Normal 4 3 6 2 3 7" xfId="33546" xr:uid="{00000000-0005-0000-0000-0000D9A10000}"/>
    <cellStyle name="Normal 4 3 6 2 4" xfId="6258" xr:uid="{00000000-0005-0000-0000-0000DAA10000}"/>
    <cellStyle name="Normal 4 3 6 2 4 2" xfId="6259" xr:uid="{00000000-0005-0000-0000-0000DBA10000}"/>
    <cellStyle name="Normal 4 3 6 2 4 2 2" xfId="9792" xr:uid="{00000000-0005-0000-0000-0000DCA10000}"/>
    <cellStyle name="Normal 4 3 6 2 4 2 2 2" xfId="16581" xr:uid="{00000000-0005-0000-0000-0000DDA10000}"/>
    <cellStyle name="Normal 4 3 6 2 4 2 2 2 2" xfId="30149" xr:uid="{00000000-0005-0000-0000-0000DEA10000}"/>
    <cellStyle name="Normal 4 3 6 2 4 2 2 2 2 2" xfId="57282" xr:uid="{00000000-0005-0000-0000-0000DFA10000}"/>
    <cellStyle name="Normal 4 3 6 2 4 2 2 2 3" xfId="43720" xr:uid="{00000000-0005-0000-0000-0000E0A10000}"/>
    <cellStyle name="Normal 4 3 6 2 4 2 2 3" xfId="23368" xr:uid="{00000000-0005-0000-0000-0000E1A10000}"/>
    <cellStyle name="Normal 4 3 6 2 4 2 2 3 2" xfId="50501" xr:uid="{00000000-0005-0000-0000-0000E2A10000}"/>
    <cellStyle name="Normal 4 3 6 2 4 2 2 4" xfId="36939" xr:uid="{00000000-0005-0000-0000-0000E3A10000}"/>
    <cellStyle name="Normal 4 3 6 2 4 2 3" xfId="13192" xr:uid="{00000000-0005-0000-0000-0000E4A10000}"/>
    <cellStyle name="Normal 4 3 6 2 4 2 3 2" xfId="26760" xr:uid="{00000000-0005-0000-0000-0000E5A10000}"/>
    <cellStyle name="Normal 4 3 6 2 4 2 3 2 2" xfId="53893" xr:uid="{00000000-0005-0000-0000-0000E6A10000}"/>
    <cellStyle name="Normal 4 3 6 2 4 2 3 3" xfId="40331" xr:uid="{00000000-0005-0000-0000-0000E7A10000}"/>
    <cellStyle name="Normal 4 3 6 2 4 2 4" xfId="19979" xr:uid="{00000000-0005-0000-0000-0000E8A10000}"/>
    <cellStyle name="Normal 4 3 6 2 4 2 4 2" xfId="47112" xr:uid="{00000000-0005-0000-0000-0000E9A10000}"/>
    <cellStyle name="Normal 4 3 6 2 4 2 5" xfId="33550" xr:uid="{00000000-0005-0000-0000-0000EAA10000}"/>
    <cellStyle name="Normal 4 3 6 2 4 3" xfId="9791" xr:uid="{00000000-0005-0000-0000-0000EBA10000}"/>
    <cellStyle name="Normal 4 3 6 2 4 3 2" xfId="16580" xr:uid="{00000000-0005-0000-0000-0000ECA10000}"/>
    <cellStyle name="Normal 4 3 6 2 4 3 2 2" xfId="30148" xr:uid="{00000000-0005-0000-0000-0000EDA10000}"/>
    <cellStyle name="Normal 4 3 6 2 4 3 2 2 2" xfId="57281" xr:uid="{00000000-0005-0000-0000-0000EEA10000}"/>
    <cellStyle name="Normal 4 3 6 2 4 3 2 3" xfId="43719" xr:uid="{00000000-0005-0000-0000-0000EFA10000}"/>
    <cellStyle name="Normal 4 3 6 2 4 3 3" xfId="23367" xr:uid="{00000000-0005-0000-0000-0000F0A10000}"/>
    <cellStyle name="Normal 4 3 6 2 4 3 3 2" xfId="50500" xr:uid="{00000000-0005-0000-0000-0000F1A10000}"/>
    <cellStyle name="Normal 4 3 6 2 4 3 4" xfId="36938" xr:uid="{00000000-0005-0000-0000-0000F2A10000}"/>
    <cellStyle name="Normal 4 3 6 2 4 4" xfId="13191" xr:uid="{00000000-0005-0000-0000-0000F3A10000}"/>
    <cellStyle name="Normal 4 3 6 2 4 4 2" xfId="26759" xr:uid="{00000000-0005-0000-0000-0000F4A10000}"/>
    <cellStyle name="Normal 4 3 6 2 4 4 2 2" xfId="53892" xr:uid="{00000000-0005-0000-0000-0000F5A10000}"/>
    <cellStyle name="Normal 4 3 6 2 4 4 3" xfId="40330" xr:uid="{00000000-0005-0000-0000-0000F6A10000}"/>
    <cellStyle name="Normal 4 3 6 2 4 5" xfId="19978" xr:uid="{00000000-0005-0000-0000-0000F7A10000}"/>
    <cellStyle name="Normal 4 3 6 2 4 5 2" xfId="47111" xr:uid="{00000000-0005-0000-0000-0000F8A10000}"/>
    <cellStyle name="Normal 4 3 6 2 4 6" xfId="33549" xr:uid="{00000000-0005-0000-0000-0000F9A10000}"/>
    <cellStyle name="Normal 4 3 6 2 5" xfId="6260" xr:uid="{00000000-0005-0000-0000-0000FAA10000}"/>
    <cellStyle name="Normal 4 3 6 2 5 2" xfId="9793" xr:uid="{00000000-0005-0000-0000-0000FBA10000}"/>
    <cellStyle name="Normal 4 3 6 2 5 2 2" xfId="16582" xr:uid="{00000000-0005-0000-0000-0000FCA10000}"/>
    <cellStyle name="Normal 4 3 6 2 5 2 2 2" xfId="30150" xr:uid="{00000000-0005-0000-0000-0000FDA10000}"/>
    <cellStyle name="Normal 4 3 6 2 5 2 2 2 2" xfId="57283" xr:uid="{00000000-0005-0000-0000-0000FEA10000}"/>
    <cellStyle name="Normal 4 3 6 2 5 2 2 3" xfId="43721" xr:uid="{00000000-0005-0000-0000-0000FFA10000}"/>
    <cellStyle name="Normal 4 3 6 2 5 2 3" xfId="23369" xr:uid="{00000000-0005-0000-0000-000000A20000}"/>
    <cellStyle name="Normal 4 3 6 2 5 2 3 2" xfId="50502" xr:uid="{00000000-0005-0000-0000-000001A20000}"/>
    <cellStyle name="Normal 4 3 6 2 5 2 4" xfId="36940" xr:uid="{00000000-0005-0000-0000-000002A20000}"/>
    <cellStyle name="Normal 4 3 6 2 5 3" xfId="13193" xr:uid="{00000000-0005-0000-0000-000003A20000}"/>
    <cellStyle name="Normal 4 3 6 2 5 3 2" xfId="26761" xr:uid="{00000000-0005-0000-0000-000004A20000}"/>
    <cellStyle name="Normal 4 3 6 2 5 3 2 2" xfId="53894" xr:uid="{00000000-0005-0000-0000-000005A20000}"/>
    <cellStyle name="Normal 4 3 6 2 5 3 3" xfId="40332" xr:uid="{00000000-0005-0000-0000-000006A20000}"/>
    <cellStyle name="Normal 4 3 6 2 5 4" xfId="19980" xr:uid="{00000000-0005-0000-0000-000007A20000}"/>
    <cellStyle name="Normal 4 3 6 2 5 4 2" xfId="47113" xr:uid="{00000000-0005-0000-0000-000008A20000}"/>
    <cellStyle name="Normal 4 3 6 2 5 5" xfId="33551" xr:uid="{00000000-0005-0000-0000-000009A20000}"/>
    <cellStyle name="Normal 4 3 6 2 6" xfId="6261" xr:uid="{00000000-0005-0000-0000-00000AA20000}"/>
    <cellStyle name="Normal 4 3 6 2 6 2" xfId="9794" xr:uid="{00000000-0005-0000-0000-00000BA20000}"/>
    <cellStyle name="Normal 4 3 6 2 6 2 2" xfId="16583" xr:uid="{00000000-0005-0000-0000-00000CA20000}"/>
    <cellStyle name="Normal 4 3 6 2 6 2 2 2" xfId="30151" xr:uid="{00000000-0005-0000-0000-00000DA20000}"/>
    <cellStyle name="Normal 4 3 6 2 6 2 2 2 2" xfId="57284" xr:uid="{00000000-0005-0000-0000-00000EA20000}"/>
    <cellStyle name="Normal 4 3 6 2 6 2 2 3" xfId="43722" xr:uid="{00000000-0005-0000-0000-00000FA20000}"/>
    <cellStyle name="Normal 4 3 6 2 6 2 3" xfId="23370" xr:uid="{00000000-0005-0000-0000-000010A20000}"/>
    <cellStyle name="Normal 4 3 6 2 6 2 3 2" xfId="50503" xr:uid="{00000000-0005-0000-0000-000011A20000}"/>
    <cellStyle name="Normal 4 3 6 2 6 2 4" xfId="36941" xr:uid="{00000000-0005-0000-0000-000012A20000}"/>
    <cellStyle name="Normal 4 3 6 2 6 3" xfId="13194" xr:uid="{00000000-0005-0000-0000-000013A20000}"/>
    <cellStyle name="Normal 4 3 6 2 6 3 2" xfId="26762" xr:uid="{00000000-0005-0000-0000-000014A20000}"/>
    <cellStyle name="Normal 4 3 6 2 6 3 2 2" xfId="53895" xr:uid="{00000000-0005-0000-0000-000015A20000}"/>
    <cellStyle name="Normal 4 3 6 2 6 3 3" xfId="40333" xr:uid="{00000000-0005-0000-0000-000016A20000}"/>
    <cellStyle name="Normal 4 3 6 2 6 4" xfId="19981" xr:uid="{00000000-0005-0000-0000-000017A20000}"/>
    <cellStyle name="Normal 4 3 6 2 6 4 2" xfId="47114" xr:uid="{00000000-0005-0000-0000-000018A20000}"/>
    <cellStyle name="Normal 4 3 6 2 6 5" xfId="33552" xr:uid="{00000000-0005-0000-0000-000019A20000}"/>
    <cellStyle name="Normal 4 3 6 2 7" xfId="9779" xr:uid="{00000000-0005-0000-0000-00001AA20000}"/>
    <cellStyle name="Normal 4 3 6 2 7 2" xfId="16568" xr:uid="{00000000-0005-0000-0000-00001BA20000}"/>
    <cellStyle name="Normal 4 3 6 2 7 2 2" xfId="30136" xr:uid="{00000000-0005-0000-0000-00001CA20000}"/>
    <cellStyle name="Normal 4 3 6 2 7 2 2 2" xfId="57269" xr:uid="{00000000-0005-0000-0000-00001DA20000}"/>
    <cellStyle name="Normal 4 3 6 2 7 2 3" xfId="43707" xr:uid="{00000000-0005-0000-0000-00001EA20000}"/>
    <cellStyle name="Normal 4 3 6 2 7 3" xfId="23355" xr:uid="{00000000-0005-0000-0000-00001FA20000}"/>
    <cellStyle name="Normal 4 3 6 2 7 3 2" xfId="50488" xr:uid="{00000000-0005-0000-0000-000020A20000}"/>
    <cellStyle name="Normal 4 3 6 2 7 4" xfId="36926" xr:uid="{00000000-0005-0000-0000-000021A20000}"/>
    <cellStyle name="Normal 4 3 6 2 8" xfId="13179" xr:uid="{00000000-0005-0000-0000-000022A20000}"/>
    <cellStyle name="Normal 4 3 6 2 8 2" xfId="26747" xr:uid="{00000000-0005-0000-0000-000023A20000}"/>
    <cellStyle name="Normal 4 3 6 2 8 2 2" xfId="53880" xr:uid="{00000000-0005-0000-0000-000024A20000}"/>
    <cellStyle name="Normal 4 3 6 2 8 3" xfId="40318" xr:uid="{00000000-0005-0000-0000-000025A20000}"/>
    <cellStyle name="Normal 4 3 6 2 9" xfId="19966" xr:uid="{00000000-0005-0000-0000-000026A20000}"/>
    <cellStyle name="Normal 4 3 6 2 9 2" xfId="47099" xr:uid="{00000000-0005-0000-0000-000027A20000}"/>
    <cellStyle name="Normal 4 3 6 3" xfId="6262" xr:uid="{00000000-0005-0000-0000-000028A20000}"/>
    <cellStyle name="Normal 4 3 6 3 2" xfId="6263" xr:uid="{00000000-0005-0000-0000-000029A20000}"/>
    <cellStyle name="Normal 4 3 6 3 2 2" xfId="6264" xr:uid="{00000000-0005-0000-0000-00002AA20000}"/>
    <cellStyle name="Normal 4 3 6 3 2 2 2" xfId="9797" xr:uid="{00000000-0005-0000-0000-00002BA20000}"/>
    <cellStyle name="Normal 4 3 6 3 2 2 2 2" xfId="16586" xr:uid="{00000000-0005-0000-0000-00002CA20000}"/>
    <cellStyle name="Normal 4 3 6 3 2 2 2 2 2" xfId="30154" xr:uid="{00000000-0005-0000-0000-00002DA20000}"/>
    <cellStyle name="Normal 4 3 6 3 2 2 2 2 2 2" xfId="57287" xr:uid="{00000000-0005-0000-0000-00002EA20000}"/>
    <cellStyle name="Normal 4 3 6 3 2 2 2 2 3" xfId="43725" xr:uid="{00000000-0005-0000-0000-00002FA20000}"/>
    <cellStyle name="Normal 4 3 6 3 2 2 2 3" xfId="23373" xr:uid="{00000000-0005-0000-0000-000030A20000}"/>
    <cellStyle name="Normal 4 3 6 3 2 2 2 3 2" xfId="50506" xr:uid="{00000000-0005-0000-0000-000031A20000}"/>
    <cellStyle name="Normal 4 3 6 3 2 2 2 4" xfId="36944" xr:uid="{00000000-0005-0000-0000-000032A20000}"/>
    <cellStyle name="Normal 4 3 6 3 2 2 3" xfId="13197" xr:uid="{00000000-0005-0000-0000-000033A20000}"/>
    <cellStyle name="Normal 4 3 6 3 2 2 3 2" xfId="26765" xr:uid="{00000000-0005-0000-0000-000034A20000}"/>
    <cellStyle name="Normal 4 3 6 3 2 2 3 2 2" xfId="53898" xr:uid="{00000000-0005-0000-0000-000035A20000}"/>
    <cellStyle name="Normal 4 3 6 3 2 2 3 3" xfId="40336" xr:uid="{00000000-0005-0000-0000-000036A20000}"/>
    <cellStyle name="Normal 4 3 6 3 2 2 4" xfId="19984" xr:uid="{00000000-0005-0000-0000-000037A20000}"/>
    <cellStyle name="Normal 4 3 6 3 2 2 4 2" xfId="47117" xr:uid="{00000000-0005-0000-0000-000038A20000}"/>
    <cellStyle name="Normal 4 3 6 3 2 2 5" xfId="33555" xr:uid="{00000000-0005-0000-0000-000039A20000}"/>
    <cellStyle name="Normal 4 3 6 3 2 3" xfId="6265" xr:uid="{00000000-0005-0000-0000-00003AA20000}"/>
    <cellStyle name="Normal 4 3 6 3 2 3 2" xfId="9798" xr:uid="{00000000-0005-0000-0000-00003BA20000}"/>
    <cellStyle name="Normal 4 3 6 3 2 3 2 2" xfId="16587" xr:uid="{00000000-0005-0000-0000-00003CA20000}"/>
    <cellStyle name="Normal 4 3 6 3 2 3 2 2 2" xfId="30155" xr:uid="{00000000-0005-0000-0000-00003DA20000}"/>
    <cellStyle name="Normal 4 3 6 3 2 3 2 2 2 2" xfId="57288" xr:uid="{00000000-0005-0000-0000-00003EA20000}"/>
    <cellStyle name="Normal 4 3 6 3 2 3 2 2 3" xfId="43726" xr:uid="{00000000-0005-0000-0000-00003FA20000}"/>
    <cellStyle name="Normal 4 3 6 3 2 3 2 3" xfId="23374" xr:uid="{00000000-0005-0000-0000-000040A20000}"/>
    <cellStyle name="Normal 4 3 6 3 2 3 2 3 2" xfId="50507" xr:uid="{00000000-0005-0000-0000-000041A20000}"/>
    <cellStyle name="Normal 4 3 6 3 2 3 2 4" xfId="36945" xr:uid="{00000000-0005-0000-0000-000042A20000}"/>
    <cellStyle name="Normal 4 3 6 3 2 3 3" xfId="13198" xr:uid="{00000000-0005-0000-0000-000043A20000}"/>
    <cellStyle name="Normal 4 3 6 3 2 3 3 2" xfId="26766" xr:uid="{00000000-0005-0000-0000-000044A20000}"/>
    <cellStyle name="Normal 4 3 6 3 2 3 3 2 2" xfId="53899" xr:uid="{00000000-0005-0000-0000-000045A20000}"/>
    <cellStyle name="Normal 4 3 6 3 2 3 3 3" xfId="40337" xr:uid="{00000000-0005-0000-0000-000046A20000}"/>
    <cellStyle name="Normal 4 3 6 3 2 3 4" xfId="19985" xr:uid="{00000000-0005-0000-0000-000047A20000}"/>
    <cellStyle name="Normal 4 3 6 3 2 3 4 2" xfId="47118" xr:uid="{00000000-0005-0000-0000-000048A20000}"/>
    <cellStyle name="Normal 4 3 6 3 2 3 5" xfId="33556" xr:uid="{00000000-0005-0000-0000-000049A20000}"/>
    <cellStyle name="Normal 4 3 6 3 2 4" xfId="9796" xr:uid="{00000000-0005-0000-0000-00004AA20000}"/>
    <cellStyle name="Normal 4 3 6 3 2 4 2" xfId="16585" xr:uid="{00000000-0005-0000-0000-00004BA20000}"/>
    <cellStyle name="Normal 4 3 6 3 2 4 2 2" xfId="30153" xr:uid="{00000000-0005-0000-0000-00004CA20000}"/>
    <cellStyle name="Normal 4 3 6 3 2 4 2 2 2" xfId="57286" xr:uid="{00000000-0005-0000-0000-00004DA20000}"/>
    <cellStyle name="Normal 4 3 6 3 2 4 2 3" xfId="43724" xr:uid="{00000000-0005-0000-0000-00004EA20000}"/>
    <cellStyle name="Normal 4 3 6 3 2 4 3" xfId="23372" xr:uid="{00000000-0005-0000-0000-00004FA20000}"/>
    <cellStyle name="Normal 4 3 6 3 2 4 3 2" xfId="50505" xr:uid="{00000000-0005-0000-0000-000050A20000}"/>
    <cellStyle name="Normal 4 3 6 3 2 4 4" xfId="36943" xr:uid="{00000000-0005-0000-0000-000051A20000}"/>
    <cellStyle name="Normal 4 3 6 3 2 5" xfId="13196" xr:uid="{00000000-0005-0000-0000-000052A20000}"/>
    <cellStyle name="Normal 4 3 6 3 2 5 2" xfId="26764" xr:uid="{00000000-0005-0000-0000-000053A20000}"/>
    <cellStyle name="Normal 4 3 6 3 2 5 2 2" xfId="53897" xr:uid="{00000000-0005-0000-0000-000054A20000}"/>
    <cellStyle name="Normal 4 3 6 3 2 5 3" xfId="40335" xr:uid="{00000000-0005-0000-0000-000055A20000}"/>
    <cellStyle name="Normal 4 3 6 3 2 6" xfId="19983" xr:uid="{00000000-0005-0000-0000-000056A20000}"/>
    <cellStyle name="Normal 4 3 6 3 2 6 2" xfId="47116" xr:uid="{00000000-0005-0000-0000-000057A20000}"/>
    <cellStyle name="Normal 4 3 6 3 2 7" xfId="33554" xr:uid="{00000000-0005-0000-0000-000058A20000}"/>
    <cellStyle name="Normal 4 3 6 3 3" xfId="6266" xr:uid="{00000000-0005-0000-0000-000059A20000}"/>
    <cellStyle name="Normal 4 3 6 3 3 2" xfId="6267" xr:uid="{00000000-0005-0000-0000-00005AA20000}"/>
    <cellStyle name="Normal 4 3 6 3 3 2 2" xfId="9800" xr:uid="{00000000-0005-0000-0000-00005BA20000}"/>
    <cellStyle name="Normal 4 3 6 3 3 2 2 2" xfId="16589" xr:uid="{00000000-0005-0000-0000-00005CA20000}"/>
    <cellStyle name="Normal 4 3 6 3 3 2 2 2 2" xfId="30157" xr:uid="{00000000-0005-0000-0000-00005DA20000}"/>
    <cellStyle name="Normal 4 3 6 3 3 2 2 2 2 2" xfId="57290" xr:uid="{00000000-0005-0000-0000-00005EA20000}"/>
    <cellStyle name="Normal 4 3 6 3 3 2 2 2 3" xfId="43728" xr:uid="{00000000-0005-0000-0000-00005FA20000}"/>
    <cellStyle name="Normal 4 3 6 3 3 2 2 3" xfId="23376" xr:uid="{00000000-0005-0000-0000-000060A20000}"/>
    <cellStyle name="Normal 4 3 6 3 3 2 2 3 2" xfId="50509" xr:uid="{00000000-0005-0000-0000-000061A20000}"/>
    <cellStyle name="Normal 4 3 6 3 3 2 2 4" xfId="36947" xr:uid="{00000000-0005-0000-0000-000062A20000}"/>
    <cellStyle name="Normal 4 3 6 3 3 2 3" xfId="13200" xr:uid="{00000000-0005-0000-0000-000063A20000}"/>
    <cellStyle name="Normal 4 3 6 3 3 2 3 2" xfId="26768" xr:uid="{00000000-0005-0000-0000-000064A20000}"/>
    <cellStyle name="Normal 4 3 6 3 3 2 3 2 2" xfId="53901" xr:uid="{00000000-0005-0000-0000-000065A20000}"/>
    <cellStyle name="Normal 4 3 6 3 3 2 3 3" xfId="40339" xr:uid="{00000000-0005-0000-0000-000066A20000}"/>
    <cellStyle name="Normal 4 3 6 3 3 2 4" xfId="19987" xr:uid="{00000000-0005-0000-0000-000067A20000}"/>
    <cellStyle name="Normal 4 3 6 3 3 2 4 2" xfId="47120" xr:uid="{00000000-0005-0000-0000-000068A20000}"/>
    <cellStyle name="Normal 4 3 6 3 3 2 5" xfId="33558" xr:uid="{00000000-0005-0000-0000-000069A20000}"/>
    <cellStyle name="Normal 4 3 6 3 3 3" xfId="9799" xr:uid="{00000000-0005-0000-0000-00006AA20000}"/>
    <cellStyle name="Normal 4 3 6 3 3 3 2" xfId="16588" xr:uid="{00000000-0005-0000-0000-00006BA20000}"/>
    <cellStyle name="Normal 4 3 6 3 3 3 2 2" xfId="30156" xr:uid="{00000000-0005-0000-0000-00006CA20000}"/>
    <cellStyle name="Normal 4 3 6 3 3 3 2 2 2" xfId="57289" xr:uid="{00000000-0005-0000-0000-00006DA20000}"/>
    <cellStyle name="Normal 4 3 6 3 3 3 2 3" xfId="43727" xr:uid="{00000000-0005-0000-0000-00006EA20000}"/>
    <cellStyle name="Normal 4 3 6 3 3 3 3" xfId="23375" xr:uid="{00000000-0005-0000-0000-00006FA20000}"/>
    <cellStyle name="Normal 4 3 6 3 3 3 3 2" xfId="50508" xr:uid="{00000000-0005-0000-0000-000070A20000}"/>
    <cellStyle name="Normal 4 3 6 3 3 3 4" xfId="36946" xr:uid="{00000000-0005-0000-0000-000071A20000}"/>
    <cellStyle name="Normal 4 3 6 3 3 4" xfId="13199" xr:uid="{00000000-0005-0000-0000-000072A20000}"/>
    <cellStyle name="Normal 4 3 6 3 3 4 2" xfId="26767" xr:uid="{00000000-0005-0000-0000-000073A20000}"/>
    <cellStyle name="Normal 4 3 6 3 3 4 2 2" xfId="53900" xr:uid="{00000000-0005-0000-0000-000074A20000}"/>
    <cellStyle name="Normal 4 3 6 3 3 4 3" xfId="40338" xr:uid="{00000000-0005-0000-0000-000075A20000}"/>
    <cellStyle name="Normal 4 3 6 3 3 5" xfId="19986" xr:uid="{00000000-0005-0000-0000-000076A20000}"/>
    <cellStyle name="Normal 4 3 6 3 3 5 2" xfId="47119" xr:uid="{00000000-0005-0000-0000-000077A20000}"/>
    <cellStyle name="Normal 4 3 6 3 3 6" xfId="33557" xr:uid="{00000000-0005-0000-0000-000078A20000}"/>
    <cellStyle name="Normal 4 3 6 3 4" xfId="6268" xr:uid="{00000000-0005-0000-0000-000079A20000}"/>
    <cellStyle name="Normal 4 3 6 3 4 2" xfId="9801" xr:uid="{00000000-0005-0000-0000-00007AA20000}"/>
    <cellStyle name="Normal 4 3 6 3 4 2 2" xfId="16590" xr:uid="{00000000-0005-0000-0000-00007BA20000}"/>
    <cellStyle name="Normal 4 3 6 3 4 2 2 2" xfId="30158" xr:uid="{00000000-0005-0000-0000-00007CA20000}"/>
    <cellStyle name="Normal 4 3 6 3 4 2 2 2 2" xfId="57291" xr:uid="{00000000-0005-0000-0000-00007DA20000}"/>
    <cellStyle name="Normal 4 3 6 3 4 2 2 3" xfId="43729" xr:uid="{00000000-0005-0000-0000-00007EA20000}"/>
    <cellStyle name="Normal 4 3 6 3 4 2 3" xfId="23377" xr:uid="{00000000-0005-0000-0000-00007FA20000}"/>
    <cellStyle name="Normal 4 3 6 3 4 2 3 2" xfId="50510" xr:uid="{00000000-0005-0000-0000-000080A20000}"/>
    <cellStyle name="Normal 4 3 6 3 4 2 4" xfId="36948" xr:uid="{00000000-0005-0000-0000-000081A20000}"/>
    <cellStyle name="Normal 4 3 6 3 4 3" xfId="13201" xr:uid="{00000000-0005-0000-0000-000082A20000}"/>
    <cellStyle name="Normal 4 3 6 3 4 3 2" xfId="26769" xr:uid="{00000000-0005-0000-0000-000083A20000}"/>
    <cellStyle name="Normal 4 3 6 3 4 3 2 2" xfId="53902" xr:uid="{00000000-0005-0000-0000-000084A20000}"/>
    <cellStyle name="Normal 4 3 6 3 4 3 3" xfId="40340" xr:uid="{00000000-0005-0000-0000-000085A20000}"/>
    <cellStyle name="Normal 4 3 6 3 4 4" xfId="19988" xr:uid="{00000000-0005-0000-0000-000086A20000}"/>
    <cellStyle name="Normal 4 3 6 3 4 4 2" xfId="47121" xr:uid="{00000000-0005-0000-0000-000087A20000}"/>
    <cellStyle name="Normal 4 3 6 3 4 5" xfId="33559" xr:uid="{00000000-0005-0000-0000-000088A20000}"/>
    <cellStyle name="Normal 4 3 6 3 5" xfId="6269" xr:uid="{00000000-0005-0000-0000-000089A20000}"/>
    <cellStyle name="Normal 4 3 6 3 5 2" xfId="9802" xr:uid="{00000000-0005-0000-0000-00008AA20000}"/>
    <cellStyle name="Normal 4 3 6 3 5 2 2" xfId="16591" xr:uid="{00000000-0005-0000-0000-00008BA20000}"/>
    <cellStyle name="Normal 4 3 6 3 5 2 2 2" xfId="30159" xr:uid="{00000000-0005-0000-0000-00008CA20000}"/>
    <cellStyle name="Normal 4 3 6 3 5 2 2 2 2" xfId="57292" xr:uid="{00000000-0005-0000-0000-00008DA20000}"/>
    <cellStyle name="Normal 4 3 6 3 5 2 2 3" xfId="43730" xr:uid="{00000000-0005-0000-0000-00008EA20000}"/>
    <cellStyle name="Normal 4 3 6 3 5 2 3" xfId="23378" xr:uid="{00000000-0005-0000-0000-00008FA20000}"/>
    <cellStyle name="Normal 4 3 6 3 5 2 3 2" xfId="50511" xr:uid="{00000000-0005-0000-0000-000090A20000}"/>
    <cellStyle name="Normal 4 3 6 3 5 2 4" xfId="36949" xr:uid="{00000000-0005-0000-0000-000091A20000}"/>
    <cellStyle name="Normal 4 3 6 3 5 3" xfId="13202" xr:uid="{00000000-0005-0000-0000-000092A20000}"/>
    <cellStyle name="Normal 4 3 6 3 5 3 2" xfId="26770" xr:uid="{00000000-0005-0000-0000-000093A20000}"/>
    <cellStyle name="Normal 4 3 6 3 5 3 2 2" xfId="53903" xr:uid="{00000000-0005-0000-0000-000094A20000}"/>
    <cellStyle name="Normal 4 3 6 3 5 3 3" xfId="40341" xr:uid="{00000000-0005-0000-0000-000095A20000}"/>
    <cellStyle name="Normal 4 3 6 3 5 4" xfId="19989" xr:uid="{00000000-0005-0000-0000-000096A20000}"/>
    <cellStyle name="Normal 4 3 6 3 5 4 2" xfId="47122" xr:uid="{00000000-0005-0000-0000-000097A20000}"/>
    <cellStyle name="Normal 4 3 6 3 5 5" xfId="33560" xr:uid="{00000000-0005-0000-0000-000098A20000}"/>
    <cellStyle name="Normal 4 3 6 3 6" xfId="9795" xr:uid="{00000000-0005-0000-0000-000099A20000}"/>
    <cellStyle name="Normal 4 3 6 3 6 2" xfId="16584" xr:uid="{00000000-0005-0000-0000-00009AA20000}"/>
    <cellStyle name="Normal 4 3 6 3 6 2 2" xfId="30152" xr:uid="{00000000-0005-0000-0000-00009BA20000}"/>
    <cellStyle name="Normal 4 3 6 3 6 2 2 2" xfId="57285" xr:uid="{00000000-0005-0000-0000-00009CA20000}"/>
    <cellStyle name="Normal 4 3 6 3 6 2 3" xfId="43723" xr:uid="{00000000-0005-0000-0000-00009DA20000}"/>
    <cellStyle name="Normal 4 3 6 3 6 3" xfId="23371" xr:uid="{00000000-0005-0000-0000-00009EA20000}"/>
    <cellStyle name="Normal 4 3 6 3 6 3 2" xfId="50504" xr:uid="{00000000-0005-0000-0000-00009FA20000}"/>
    <cellStyle name="Normal 4 3 6 3 6 4" xfId="36942" xr:uid="{00000000-0005-0000-0000-0000A0A20000}"/>
    <cellStyle name="Normal 4 3 6 3 7" xfId="13195" xr:uid="{00000000-0005-0000-0000-0000A1A20000}"/>
    <cellStyle name="Normal 4 3 6 3 7 2" xfId="26763" xr:uid="{00000000-0005-0000-0000-0000A2A20000}"/>
    <cellStyle name="Normal 4 3 6 3 7 2 2" xfId="53896" xr:uid="{00000000-0005-0000-0000-0000A3A20000}"/>
    <cellStyle name="Normal 4 3 6 3 7 3" xfId="40334" xr:uid="{00000000-0005-0000-0000-0000A4A20000}"/>
    <cellStyle name="Normal 4 3 6 3 8" xfId="19982" xr:uid="{00000000-0005-0000-0000-0000A5A20000}"/>
    <cellStyle name="Normal 4 3 6 3 8 2" xfId="47115" xr:uid="{00000000-0005-0000-0000-0000A6A20000}"/>
    <cellStyle name="Normal 4 3 6 3 9" xfId="33553" xr:uid="{00000000-0005-0000-0000-0000A7A20000}"/>
    <cellStyle name="Normal 4 3 6 4" xfId="6270" xr:uid="{00000000-0005-0000-0000-0000A8A20000}"/>
    <cellStyle name="Normal 4 3 6 4 2" xfId="6271" xr:uid="{00000000-0005-0000-0000-0000A9A20000}"/>
    <cellStyle name="Normal 4 3 6 4 2 2" xfId="6272" xr:uid="{00000000-0005-0000-0000-0000AAA20000}"/>
    <cellStyle name="Normal 4 3 6 4 2 2 2" xfId="9805" xr:uid="{00000000-0005-0000-0000-0000ABA20000}"/>
    <cellStyle name="Normal 4 3 6 4 2 2 2 2" xfId="16594" xr:uid="{00000000-0005-0000-0000-0000ACA20000}"/>
    <cellStyle name="Normal 4 3 6 4 2 2 2 2 2" xfId="30162" xr:uid="{00000000-0005-0000-0000-0000ADA20000}"/>
    <cellStyle name="Normal 4 3 6 4 2 2 2 2 2 2" xfId="57295" xr:uid="{00000000-0005-0000-0000-0000AEA20000}"/>
    <cellStyle name="Normal 4 3 6 4 2 2 2 2 3" xfId="43733" xr:uid="{00000000-0005-0000-0000-0000AFA20000}"/>
    <cellStyle name="Normal 4 3 6 4 2 2 2 3" xfId="23381" xr:uid="{00000000-0005-0000-0000-0000B0A20000}"/>
    <cellStyle name="Normal 4 3 6 4 2 2 2 3 2" xfId="50514" xr:uid="{00000000-0005-0000-0000-0000B1A20000}"/>
    <cellStyle name="Normal 4 3 6 4 2 2 2 4" xfId="36952" xr:uid="{00000000-0005-0000-0000-0000B2A20000}"/>
    <cellStyle name="Normal 4 3 6 4 2 2 3" xfId="13205" xr:uid="{00000000-0005-0000-0000-0000B3A20000}"/>
    <cellStyle name="Normal 4 3 6 4 2 2 3 2" xfId="26773" xr:uid="{00000000-0005-0000-0000-0000B4A20000}"/>
    <cellStyle name="Normal 4 3 6 4 2 2 3 2 2" xfId="53906" xr:uid="{00000000-0005-0000-0000-0000B5A20000}"/>
    <cellStyle name="Normal 4 3 6 4 2 2 3 3" xfId="40344" xr:uid="{00000000-0005-0000-0000-0000B6A20000}"/>
    <cellStyle name="Normal 4 3 6 4 2 2 4" xfId="19992" xr:uid="{00000000-0005-0000-0000-0000B7A20000}"/>
    <cellStyle name="Normal 4 3 6 4 2 2 4 2" xfId="47125" xr:uid="{00000000-0005-0000-0000-0000B8A20000}"/>
    <cellStyle name="Normal 4 3 6 4 2 2 5" xfId="33563" xr:uid="{00000000-0005-0000-0000-0000B9A20000}"/>
    <cellStyle name="Normal 4 3 6 4 2 3" xfId="6273" xr:uid="{00000000-0005-0000-0000-0000BAA20000}"/>
    <cellStyle name="Normal 4 3 6 4 2 3 2" xfId="9806" xr:uid="{00000000-0005-0000-0000-0000BBA20000}"/>
    <cellStyle name="Normal 4 3 6 4 2 3 2 2" xfId="16595" xr:uid="{00000000-0005-0000-0000-0000BCA20000}"/>
    <cellStyle name="Normal 4 3 6 4 2 3 2 2 2" xfId="30163" xr:uid="{00000000-0005-0000-0000-0000BDA20000}"/>
    <cellStyle name="Normal 4 3 6 4 2 3 2 2 2 2" xfId="57296" xr:uid="{00000000-0005-0000-0000-0000BEA20000}"/>
    <cellStyle name="Normal 4 3 6 4 2 3 2 2 3" xfId="43734" xr:uid="{00000000-0005-0000-0000-0000BFA20000}"/>
    <cellStyle name="Normal 4 3 6 4 2 3 2 3" xfId="23382" xr:uid="{00000000-0005-0000-0000-0000C0A20000}"/>
    <cellStyle name="Normal 4 3 6 4 2 3 2 3 2" xfId="50515" xr:uid="{00000000-0005-0000-0000-0000C1A20000}"/>
    <cellStyle name="Normal 4 3 6 4 2 3 2 4" xfId="36953" xr:uid="{00000000-0005-0000-0000-0000C2A20000}"/>
    <cellStyle name="Normal 4 3 6 4 2 3 3" xfId="13206" xr:uid="{00000000-0005-0000-0000-0000C3A20000}"/>
    <cellStyle name="Normal 4 3 6 4 2 3 3 2" xfId="26774" xr:uid="{00000000-0005-0000-0000-0000C4A20000}"/>
    <cellStyle name="Normal 4 3 6 4 2 3 3 2 2" xfId="53907" xr:uid="{00000000-0005-0000-0000-0000C5A20000}"/>
    <cellStyle name="Normal 4 3 6 4 2 3 3 3" xfId="40345" xr:uid="{00000000-0005-0000-0000-0000C6A20000}"/>
    <cellStyle name="Normal 4 3 6 4 2 3 4" xfId="19993" xr:uid="{00000000-0005-0000-0000-0000C7A20000}"/>
    <cellStyle name="Normal 4 3 6 4 2 3 4 2" xfId="47126" xr:uid="{00000000-0005-0000-0000-0000C8A20000}"/>
    <cellStyle name="Normal 4 3 6 4 2 3 5" xfId="33564" xr:uid="{00000000-0005-0000-0000-0000C9A20000}"/>
    <cellStyle name="Normal 4 3 6 4 2 4" xfId="9804" xr:uid="{00000000-0005-0000-0000-0000CAA20000}"/>
    <cellStyle name="Normal 4 3 6 4 2 4 2" xfId="16593" xr:uid="{00000000-0005-0000-0000-0000CBA20000}"/>
    <cellStyle name="Normal 4 3 6 4 2 4 2 2" xfId="30161" xr:uid="{00000000-0005-0000-0000-0000CCA20000}"/>
    <cellStyle name="Normal 4 3 6 4 2 4 2 2 2" xfId="57294" xr:uid="{00000000-0005-0000-0000-0000CDA20000}"/>
    <cellStyle name="Normal 4 3 6 4 2 4 2 3" xfId="43732" xr:uid="{00000000-0005-0000-0000-0000CEA20000}"/>
    <cellStyle name="Normal 4 3 6 4 2 4 3" xfId="23380" xr:uid="{00000000-0005-0000-0000-0000CFA20000}"/>
    <cellStyle name="Normal 4 3 6 4 2 4 3 2" xfId="50513" xr:uid="{00000000-0005-0000-0000-0000D0A20000}"/>
    <cellStyle name="Normal 4 3 6 4 2 4 4" xfId="36951" xr:uid="{00000000-0005-0000-0000-0000D1A20000}"/>
    <cellStyle name="Normal 4 3 6 4 2 5" xfId="13204" xr:uid="{00000000-0005-0000-0000-0000D2A20000}"/>
    <cellStyle name="Normal 4 3 6 4 2 5 2" xfId="26772" xr:uid="{00000000-0005-0000-0000-0000D3A20000}"/>
    <cellStyle name="Normal 4 3 6 4 2 5 2 2" xfId="53905" xr:uid="{00000000-0005-0000-0000-0000D4A20000}"/>
    <cellStyle name="Normal 4 3 6 4 2 5 3" xfId="40343" xr:uid="{00000000-0005-0000-0000-0000D5A20000}"/>
    <cellStyle name="Normal 4 3 6 4 2 6" xfId="19991" xr:uid="{00000000-0005-0000-0000-0000D6A20000}"/>
    <cellStyle name="Normal 4 3 6 4 2 6 2" xfId="47124" xr:uid="{00000000-0005-0000-0000-0000D7A20000}"/>
    <cellStyle name="Normal 4 3 6 4 2 7" xfId="33562" xr:uid="{00000000-0005-0000-0000-0000D8A20000}"/>
    <cellStyle name="Normal 4 3 6 4 3" xfId="6274" xr:uid="{00000000-0005-0000-0000-0000D9A20000}"/>
    <cellStyle name="Normal 4 3 6 4 3 2" xfId="9807" xr:uid="{00000000-0005-0000-0000-0000DAA20000}"/>
    <cellStyle name="Normal 4 3 6 4 3 2 2" xfId="16596" xr:uid="{00000000-0005-0000-0000-0000DBA20000}"/>
    <cellStyle name="Normal 4 3 6 4 3 2 2 2" xfId="30164" xr:uid="{00000000-0005-0000-0000-0000DCA20000}"/>
    <cellStyle name="Normal 4 3 6 4 3 2 2 2 2" xfId="57297" xr:uid="{00000000-0005-0000-0000-0000DDA20000}"/>
    <cellStyle name="Normal 4 3 6 4 3 2 2 3" xfId="43735" xr:uid="{00000000-0005-0000-0000-0000DEA20000}"/>
    <cellStyle name="Normal 4 3 6 4 3 2 3" xfId="23383" xr:uid="{00000000-0005-0000-0000-0000DFA20000}"/>
    <cellStyle name="Normal 4 3 6 4 3 2 3 2" xfId="50516" xr:uid="{00000000-0005-0000-0000-0000E0A20000}"/>
    <cellStyle name="Normal 4 3 6 4 3 2 4" xfId="36954" xr:uid="{00000000-0005-0000-0000-0000E1A20000}"/>
    <cellStyle name="Normal 4 3 6 4 3 3" xfId="13207" xr:uid="{00000000-0005-0000-0000-0000E2A20000}"/>
    <cellStyle name="Normal 4 3 6 4 3 3 2" xfId="26775" xr:uid="{00000000-0005-0000-0000-0000E3A20000}"/>
    <cellStyle name="Normal 4 3 6 4 3 3 2 2" xfId="53908" xr:uid="{00000000-0005-0000-0000-0000E4A20000}"/>
    <cellStyle name="Normal 4 3 6 4 3 3 3" xfId="40346" xr:uid="{00000000-0005-0000-0000-0000E5A20000}"/>
    <cellStyle name="Normal 4 3 6 4 3 4" xfId="19994" xr:uid="{00000000-0005-0000-0000-0000E6A20000}"/>
    <cellStyle name="Normal 4 3 6 4 3 4 2" xfId="47127" xr:uid="{00000000-0005-0000-0000-0000E7A20000}"/>
    <cellStyle name="Normal 4 3 6 4 3 5" xfId="33565" xr:uid="{00000000-0005-0000-0000-0000E8A20000}"/>
    <cellStyle name="Normal 4 3 6 4 4" xfId="6275" xr:uid="{00000000-0005-0000-0000-0000E9A20000}"/>
    <cellStyle name="Normal 4 3 6 4 4 2" xfId="9808" xr:uid="{00000000-0005-0000-0000-0000EAA20000}"/>
    <cellStyle name="Normal 4 3 6 4 4 2 2" xfId="16597" xr:uid="{00000000-0005-0000-0000-0000EBA20000}"/>
    <cellStyle name="Normal 4 3 6 4 4 2 2 2" xfId="30165" xr:uid="{00000000-0005-0000-0000-0000ECA20000}"/>
    <cellStyle name="Normal 4 3 6 4 4 2 2 2 2" xfId="57298" xr:uid="{00000000-0005-0000-0000-0000EDA20000}"/>
    <cellStyle name="Normal 4 3 6 4 4 2 2 3" xfId="43736" xr:uid="{00000000-0005-0000-0000-0000EEA20000}"/>
    <cellStyle name="Normal 4 3 6 4 4 2 3" xfId="23384" xr:uid="{00000000-0005-0000-0000-0000EFA20000}"/>
    <cellStyle name="Normal 4 3 6 4 4 2 3 2" xfId="50517" xr:uid="{00000000-0005-0000-0000-0000F0A20000}"/>
    <cellStyle name="Normal 4 3 6 4 4 2 4" xfId="36955" xr:uid="{00000000-0005-0000-0000-0000F1A20000}"/>
    <cellStyle name="Normal 4 3 6 4 4 3" xfId="13208" xr:uid="{00000000-0005-0000-0000-0000F2A20000}"/>
    <cellStyle name="Normal 4 3 6 4 4 3 2" xfId="26776" xr:uid="{00000000-0005-0000-0000-0000F3A20000}"/>
    <cellStyle name="Normal 4 3 6 4 4 3 2 2" xfId="53909" xr:uid="{00000000-0005-0000-0000-0000F4A20000}"/>
    <cellStyle name="Normal 4 3 6 4 4 3 3" xfId="40347" xr:uid="{00000000-0005-0000-0000-0000F5A20000}"/>
    <cellStyle name="Normal 4 3 6 4 4 4" xfId="19995" xr:uid="{00000000-0005-0000-0000-0000F6A20000}"/>
    <cellStyle name="Normal 4 3 6 4 4 4 2" xfId="47128" xr:uid="{00000000-0005-0000-0000-0000F7A20000}"/>
    <cellStyle name="Normal 4 3 6 4 4 5" xfId="33566" xr:uid="{00000000-0005-0000-0000-0000F8A20000}"/>
    <cellStyle name="Normal 4 3 6 4 5" xfId="9803" xr:uid="{00000000-0005-0000-0000-0000F9A20000}"/>
    <cellStyle name="Normal 4 3 6 4 5 2" xfId="16592" xr:uid="{00000000-0005-0000-0000-0000FAA20000}"/>
    <cellStyle name="Normal 4 3 6 4 5 2 2" xfId="30160" xr:uid="{00000000-0005-0000-0000-0000FBA20000}"/>
    <cellStyle name="Normal 4 3 6 4 5 2 2 2" xfId="57293" xr:uid="{00000000-0005-0000-0000-0000FCA20000}"/>
    <cellStyle name="Normal 4 3 6 4 5 2 3" xfId="43731" xr:uid="{00000000-0005-0000-0000-0000FDA20000}"/>
    <cellStyle name="Normal 4 3 6 4 5 3" xfId="23379" xr:uid="{00000000-0005-0000-0000-0000FEA20000}"/>
    <cellStyle name="Normal 4 3 6 4 5 3 2" xfId="50512" xr:uid="{00000000-0005-0000-0000-0000FFA20000}"/>
    <cellStyle name="Normal 4 3 6 4 5 4" xfId="36950" xr:uid="{00000000-0005-0000-0000-000000A30000}"/>
    <cellStyle name="Normal 4 3 6 4 6" xfId="13203" xr:uid="{00000000-0005-0000-0000-000001A30000}"/>
    <cellStyle name="Normal 4 3 6 4 6 2" xfId="26771" xr:uid="{00000000-0005-0000-0000-000002A30000}"/>
    <cellStyle name="Normal 4 3 6 4 6 2 2" xfId="53904" xr:uid="{00000000-0005-0000-0000-000003A30000}"/>
    <cellStyle name="Normal 4 3 6 4 6 3" xfId="40342" xr:uid="{00000000-0005-0000-0000-000004A30000}"/>
    <cellStyle name="Normal 4 3 6 4 7" xfId="19990" xr:uid="{00000000-0005-0000-0000-000005A30000}"/>
    <cellStyle name="Normal 4 3 6 4 7 2" xfId="47123" xr:uid="{00000000-0005-0000-0000-000006A30000}"/>
    <cellStyle name="Normal 4 3 6 4 8" xfId="33561" xr:uid="{00000000-0005-0000-0000-000007A30000}"/>
    <cellStyle name="Normal 4 3 6 5" xfId="6276" xr:uid="{00000000-0005-0000-0000-000008A30000}"/>
    <cellStyle name="Normal 4 3 6 5 2" xfId="6277" xr:uid="{00000000-0005-0000-0000-000009A30000}"/>
    <cellStyle name="Normal 4 3 6 5 2 2" xfId="6278" xr:uid="{00000000-0005-0000-0000-00000AA30000}"/>
    <cellStyle name="Normal 4 3 6 5 2 2 2" xfId="9811" xr:uid="{00000000-0005-0000-0000-00000BA30000}"/>
    <cellStyle name="Normal 4 3 6 5 2 2 2 2" xfId="16600" xr:uid="{00000000-0005-0000-0000-00000CA30000}"/>
    <cellStyle name="Normal 4 3 6 5 2 2 2 2 2" xfId="30168" xr:uid="{00000000-0005-0000-0000-00000DA30000}"/>
    <cellStyle name="Normal 4 3 6 5 2 2 2 2 2 2" xfId="57301" xr:uid="{00000000-0005-0000-0000-00000EA30000}"/>
    <cellStyle name="Normal 4 3 6 5 2 2 2 2 3" xfId="43739" xr:uid="{00000000-0005-0000-0000-00000FA30000}"/>
    <cellStyle name="Normal 4 3 6 5 2 2 2 3" xfId="23387" xr:uid="{00000000-0005-0000-0000-000010A30000}"/>
    <cellStyle name="Normal 4 3 6 5 2 2 2 3 2" xfId="50520" xr:uid="{00000000-0005-0000-0000-000011A30000}"/>
    <cellStyle name="Normal 4 3 6 5 2 2 2 4" xfId="36958" xr:uid="{00000000-0005-0000-0000-000012A30000}"/>
    <cellStyle name="Normal 4 3 6 5 2 2 3" xfId="13211" xr:uid="{00000000-0005-0000-0000-000013A30000}"/>
    <cellStyle name="Normal 4 3 6 5 2 2 3 2" xfId="26779" xr:uid="{00000000-0005-0000-0000-000014A30000}"/>
    <cellStyle name="Normal 4 3 6 5 2 2 3 2 2" xfId="53912" xr:uid="{00000000-0005-0000-0000-000015A30000}"/>
    <cellStyle name="Normal 4 3 6 5 2 2 3 3" xfId="40350" xr:uid="{00000000-0005-0000-0000-000016A30000}"/>
    <cellStyle name="Normal 4 3 6 5 2 2 4" xfId="19998" xr:uid="{00000000-0005-0000-0000-000017A30000}"/>
    <cellStyle name="Normal 4 3 6 5 2 2 4 2" xfId="47131" xr:uid="{00000000-0005-0000-0000-000018A30000}"/>
    <cellStyle name="Normal 4 3 6 5 2 2 5" xfId="33569" xr:uid="{00000000-0005-0000-0000-000019A30000}"/>
    <cellStyle name="Normal 4 3 6 5 2 3" xfId="6279" xr:uid="{00000000-0005-0000-0000-00001AA30000}"/>
    <cellStyle name="Normal 4 3 6 5 2 3 2" xfId="9812" xr:uid="{00000000-0005-0000-0000-00001BA30000}"/>
    <cellStyle name="Normal 4 3 6 5 2 3 2 2" xfId="16601" xr:uid="{00000000-0005-0000-0000-00001CA30000}"/>
    <cellStyle name="Normal 4 3 6 5 2 3 2 2 2" xfId="30169" xr:uid="{00000000-0005-0000-0000-00001DA30000}"/>
    <cellStyle name="Normal 4 3 6 5 2 3 2 2 2 2" xfId="57302" xr:uid="{00000000-0005-0000-0000-00001EA30000}"/>
    <cellStyle name="Normal 4 3 6 5 2 3 2 2 3" xfId="43740" xr:uid="{00000000-0005-0000-0000-00001FA30000}"/>
    <cellStyle name="Normal 4 3 6 5 2 3 2 3" xfId="23388" xr:uid="{00000000-0005-0000-0000-000020A30000}"/>
    <cellStyle name="Normal 4 3 6 5 2 3 2 3 2" xfId="50521" xr:uid="{00000000-0005-0000-0000-000021A30000}"/>
    <cellStyle name="Normal 4 3 6 5 2 3 2 4" xfId="36959" xr:uid="{00000000-0005-0000-0000-000022A30000}"/>
    <cellStyle name="Normal 4 3 6 5 2 3 3" xfId="13212" xr:uid="{00000000-0005-0000-0000-000023A30000}"/>
    <cellStyle name="Normal 4 3 6 5 2 3 3 2" xfId="26780" xr:uid="{00000000-0005-0000-0000-000024A30000}"/>
    <cellStyle name="Normal 4 3 6 5 2 3 3 2 2" xfId="53913" xr:uid="{00000000-0005-0000-0000-000025A30000}"/>
    <cellStyle name="Normal 4 3 6 5 2 3 3 3" xfId="40351" xr:uid="{00000000-0005-0000-0000-000026A30000}"/>
    <cellStyle name="Normal 4 3 6 5 2 3 4" xfId="19999" xr:uid="{00000000-0005-0000-0000-000027A30000}"/>
    <cellStyle name="Normal 4 3 6 5 2 3 4 2" xfId="47132" xr:uid="{00000000-0005-0000-0000-000028A30000}"/>
    <cellStyle name="Normal 4 3 6 5 2 3 5" xfId="33570" xr:uid="{00000000-0005-0000-0000-000029A30000}"/>
    <cellStyle name="Normal 4 3 6 5 2 4" xfId="9810" xr:uid="{00000000-0005-0000-0000-00002AA30000}"/>
    <cellStyle name="Normal 4 3 6 5 2 4 2" xfId="16599" xr:uid="{00000000-0005-0000-0000-00002BA30000}"/>
    <cellStyle name="Normal 4 3 6 5 2 4 2 2" xfId="30167" xr:uid="{00000000-0005-0000-0000-00002CA30000}"/>
    <cellStyle name="Normal 4 3 6 5 2 4 2 2 2" xfId="57300" xr:uid="{00000000-0005-0000-0000-00002DA30000}"/>
    <cellStyle name="Normal 4 3 6 5 2 4 2 3" xfId="43738" xr:uid="{00000000-0005-0000-0000-00002EA30000}"/>
    <cellStyle name="Normal 4 3 6 5 2 4 3" xfId="23386" xr:uid="{00000000-0005-0000-0000-00002FA30000}"/>
    <cellStyle name="Normal 4 3 6 5 2 4 3 2" xfId="50519" xr:uid="{00000000-0005-0000-0000-000030A30000}"/>
    <cellStyle name="Normal 4 3 6 5 2 4 4" xfId="36957" xr:uid="{00000000-0005-0000-0000-000031A30000}"/>
    <cellStyle name="Normal 4 3 6 5 2 5" xfId="13210" xr:uid="{00000000-0005-0000-0000-000032A30000}"/>
    <cellStyle name="Normal 4 3 6 5 2 5 2" xfId="26778" xr:uid="{00000000-0005-0000-0000-000033A30000}"/>
    <cellStyle name="Normal 4 3 6 5 2 5 2 2" xfId="53911" xr:uid="{00000000-0005-0000-0000-000034A30000}"/>
    <cellStyle name="Normal 4 3 6 5 2 5 3" xfId="40349" xr:uid="{00000000-0005-0000-0000-000035A30000}"/>
    <cellStyle name="Normal 4 3 6 5 2 6" xfId="19997" xr:uid="{00000000-0005-0000-0000-000036A30000}"/>
    <cellStyle name="Normal 4 3 6 5 2 6 2" xfId="47130" xr:uid="{00000000-0005-0000-0000-000037A30000}"/>
    <cellStyle name="Normal 4 3 6 5 2 7" xfId="33568" xr:uid="{00000000-0005-0000-0000-000038A30000}"/>
    <cellStyle name="Normal 4 3 6 5 3" xfId="6280" xr:uid="{00000000-0005-0000-0000-000039A30000}"/>
    <cellStyle name="Normal 4 3 6 5 3 2" xfId="9813" xr:uid="{00000000-0005-0000-0000-00003AA30000}"/>
    <cellStyle name="Normal 4 3 6 5 3 2 2" xfId="16602" xr:uid="{00000000-0005-0000-0000-00003BA30000}"/>
    <cellStyle name="Normal 4 3 6 5 3 2 2 2" xfId="30170" xr:uid="{00000000-0005-0000-0000-00003CA30000}"/>
    <cellStyle name="Normal 4 3 6 5 3 2 2 2 2" xfId="57303" xr:uid="{00000000-0005-0000-0000-00003DA30000}"/>
    <cellStyle name="Normal 4 3 6 5 3 2 2 3" xfId="43741" xr:uid="{00000000-0005-0000-0000-00003EA30000}"/>
    <cellStyle name="Normal 4 3 6 5 3 2 3" xfId="23389" xr:uid="{00000000-0005-0000-0000-00003FA30000}"/>
    <cellStyle name="Normal 4 3 6 5 3 2 3 2" xfId="50522" xr:uid="{00000000-0005-0000-0000-000040A30000}"/>
    <cellStyle name="Normal 4 3 6 5 3 2 4" xfId="36960" xr:uid="{00000000-0005-0000-0000-000041A30000}"/>
    <cellStyle name="Normal 4 3 6 5 3 3" xfId="13213" xr:uid="{00000000-0005-0000-0000-000042A30000}"/>
    <cellStyle name="Normal 4 3 6 5 3 3 2" xfId="26781" xr:uid="{00000000-0005-0000-0000-000043A30000}"/>
    <cellStyle name="Normal 4 3 6 5 3 3 2 2" xfId="53914" xr:uid="{00000000-0005-0000-0000-000044A30000}"/>
    <cellStyle name="Normal 4 3 6 5 3 3 3" xfId="40352" xr:uid="{00000000-0005-0000-0000-000045A30000}"/>
    <cellStyle name="Normal 4 3 6 5 3 4" xfId="20000" xr:uid="{00000000-0005-0000-0000-000046A30000}"/>
    <cellStyle name="Normal 4 3 6 5 3 4 2" xfId="47133" xr:uid="{00000000-0005-0000-0000-000047A30000}"/>
    <cellStyle name="Normal 4 3 6 5 3 5" xfId="33571" xr:uid="{00000000-0005-0000-0000-000048A30000}"/>
    <cellStyle name="Normal 4 3 6 5 4" xfId="6281" xr:uid="{00000000-0005-0000-0000-000049A30000}"/>
    <cellStyle name="Normal 4 3 6 5 4 2" xfId="9814" xr:uid="{00000000-0005-0000-0000-00004AA30000}"/>
    <cellStyle name="Normal 4 3 6 5 4 2 2" xfId="16603" xr:uid="{00000000-0005-0000-0000-00004BA30000}"/>
    <cellStyle name="Normal 4 3 6 5 4 2 2 2" xfId="30171" xr:uid="{00000000-0005-0000-0000-00004CA30000}"/>
    <cellStyle name="Normal 4 3 6 5 4 2 2 2 2" xfId="57304" xr:uid="{00000000-0005-0000-0000-00004DA30000}"/>
    <cellStyle name="Normal 4 3 6 5 4 2 2 3" xfId="43742" xr:uid="{00000000-0005-0000-0000-00004EA30000}"/>
    <cellStyle name="Normal 4 3 6 5 4 2 3" xfId="23390" xr:uid="{00000000-0005-0000-0000-00004FA30000}"/>
    <cellStyle name="Normal 4 3 6 5 4 2 3 2" xfId="50523" xr:uid="{00000000-0005-0000-0000-000050A30000}"/>
    <cellStyle name="Normal 4 3 6 5 4 2 4" xfId="36961" xr:uid="{00000000-0005-0000-0000-000051A30000}"/>
    <cellStyle name="Normal 4 3 6 5 4 3" xfId="13214" xr:uid="{00000000-0005-0000-0000-000052A30000}"/>
    <cellStyle name="Normal 4 3 6 5 4 3 2" xfId="26782" xr:uid="{00000000-0005-0000-0000-000053A30000}"/>
    <cellStyle name="Normal 4 3 6 5 4 3 2 2" xfId="53915" xr:uid="{00000000-0005-0000-0000-000054A30000}"/>
    <cellStyle name="Normal 4 3 6 5 4 3 3" xfId="40353" xr:uid="{00000000-0005-0000-0000-000055A30000}"/>
    <cellStyle name="Normal 4 3 6 5 4 4" xfId="20001" xr:uid="{00000000-0005-0000-0000-000056A30000}"/>
    <cellStyle name="Normal 4 3 6 5 4 4 2" xfId="47134" xr:uid="{00000000-0005-0000-0000-000057A30000}"/>
    <cellStyle name="Normal 4 3 6 5 4 5" xfId="33572" xr:uid="{00000000-0005-0000-0000-000058A30000}"/>
    <cellStyle name="Normal 4 3 6 5 5" xfId="9809" xr:uid="{00000000-0005-0000-0000-000059A30000}"/>
    <cellStyle name="Normal 4 3 6 5 5 2" xfId="16598" xr:uid="{00000000-0005-0000-0000-00005AA30000}"/>
    <cellStyle name="Normal 4 3 6 5 5 2 2" xfId="30166" xr:uid="{00000000-0005-0000-0000-00005BA30000}"/>
    <cellStyle name="Normal 4 3 6 5 5 2 2 2" xfId="57299" xr:uid="{00000000-0005-0000-0000-00005CA30000}"/>
    <cellStyle name="Normal 4 3 6 5 5 2 3" xfId="43737" xr:uid="{00000000-0005-0000-0000-00005DA30000}"/>
    <cellStyle name="Normal 4 3 6 5 5 3" xfId="23385" xr:uid="{00000000-0005-0000-0000-00005EA30000}"/>
    <cellStyle name="Normal 4 3 6 5 5 3 2" xfId="50518" xr:uid="{00000000-0005-0000-0000-00005FA30000}"/>
    <cellStyle name="Normal 4 3 6 5 5 4" xfId="36956" xr:uid="{00000000-0005-0000-0000-000060A30000}"/>
    <cellStyle name="Normal 4 3 6 5 6" xfId="13209" xr:uid="{00000000-0005-0000-0000-000061A30000}"/>
    <cellStyle name="Normal 4 3 6 5 6 2" xfId="26777" xr:uid="{00000000-0005-0000-0000-000062A30000}"/>
    <cellStyle name="Normal 4 3 6 5 6 2 2" xfId="53910" xr:uid="{00000000-0005-0000-0000-000063A30000}"/>
    <cellStyle name="Normal 4 3 6 5 6 3" xfId="40348" xr:uid="{00000000-0005-0000-0000-000064A30000}"/>
    <cellStyle name="Normal 4 3 6 5 7" xfId="19996" xr:uid="{00000000-0005-0000-0000-000065A30000}"/>
    <cellStyle name="Normal 4 3 6 5 7 2" xfId="47129" xr:uid="{00000000-0005-0000-0000-000066A30000}"/>
    <cellStyle name="Normal 4 3 6 5 8" xfId="33567" xr:uid="{00000000-0005-0000-0000-000067A30000}"/>
    <cellStyle name="Normal 4 3 6 6" xfId="6282" xr:uid="{00000000-0005-0000-0000-000068A30000}"/>
    <cellStyle name="Normal 4 3 6 6 2" xfId="6283" xr:uid="{00000000-0005-0000-0000-000069A30000}"/>
    <cellStyle name="Normal 4 3 6 6 2 2" xfId="9816" xr:uid="{00000000-0005-0000-0000-00006AA30000}"/>
    <cellStyle name="Normal 4 3 6 6 2 2 2" xfId="16605" xr:uid="{00000000-0005-0000-0000-00006BA30000}"/>
    <cellStyle name="Normal 4 3 6 6 2 2 2 2" xfId="30173" xr:uid="{00000000-0005-0000-0000-00006CA30000}"/>
    <cellStyle name="Normal 4 3 6 6 2 2 2 2 2" xfId="57306" xr:uid="{00000000-0005-0000-0000-00006DA30000}"/>
    <cellStyle name="Normal 4 3 6 6 2 2 2 3" xfId="43744" xr:uid="{00000000-0005-0000-0000-00006EA30000}"/>
    <cellStyle name="Normal 4 3 6 6 2 2 3" xfId="23392" xr:uid="{00000000-0005-0000-0000-00006FA30000}"/>
    <cellStyle name="Normal 4 3 6 6 2 2 3 2" xfId="50525" xr:uid="{00000000-0005-0000-0000-000070A30000}"/>
    <cellStyle name="Normal 4 3 6 6 2 2 4" xfId="36963" xr:uid="{00000000-0005-0000-0000-000071A30000}"/>
    <cellStyle name="Normal 4 3 6 6 2 3" xfId="13216" xr:uid="{00000000-0005-0000-0000-000072A30000}"/>
    <cellStyle name="Normal 4 3 6 6 2 3 2" xfId="26784" xr:uid="{00000000-0005-0000-0000-000073A30000}"/>
    <cellStyle name="Normal 4 3 6 6 2 3 2 2" xfId="53917" xr:uid="{00000000-0005-0000-0000-000074A30000}"/>
    <cellStyle name="Normal 4 3 6 6 2 3 3" xfId="40355" xr:uid="{00000000-0005-0000-0000-000075A30000}"/>
    <cellStyle name="Normal 4 3 6 6 2 4" xfId="20003" xr:uid="{00000000-0005-0000-0000-000076A30000}"/>
    <cellStyle name="Normal 4 3 6 6 2 4 2" xfId="47136" xr:uid="{00000000-0005-0000-0000-000077A30000}"/>
    <cellStyle name="Normal 4 3 6 6 2 5" xfId="33574" xr:uid="{00000000-0005-0000-0000-000078A30000}"/>
    <cellStyle name="Normal 4 3 6 6 3" xfId="6284" xr:uid="{00000000-0005-0000-0000-000079A30000}"/>
    <cellStyle name="Normal 4 3 6 6 3 2" xfId="9817" xr:uid="{00000000-0005-0000-0000-00007AA30000}"/>
    <cellStyle name="Normal 4 3 6 6 3 2 2" xfId="16606" xr:uid="{00000000-0005-0000-0000-00007BA30000}"/>
    <cellStyle name="Normal 4 3 6 6 3 2 2 2" xfId="30174" xr:uid="{00000000-0005-0000-0000-00007CA30000}"/>
    <cellStyle name="Normal 4 3 6 6 3 2 2 2 2" xfId="57307" xr:uid="{00000000-0005-0000-0000-00007DA30000}"/>
    <cellStyle name="Normal 4 3 6 6 3 2 2 3" xfId="43745" xr:uid="{00000000-0005-0000-0000-00007EA30000}"/>
    <cellStyle name="Normal 4 3 6 6 3 2 3" xfId="23393" xr:uid="{00000000-0005-0000-0000-00007FA30000}"/>
    <cellStyle name="Normal 4 3 6 6 3 2 3 2" xfId="50526" xr:uid="{00000000-0005-0000-0000-000080A30000}"/>
    <cellStyle name="Normal 4 3 6 6 3 2 4" xfId="36964" xr:uid="{00000000-0005-0000-0000-000081A30000}"/>
    <cellStyle name="Normal 4 3 6 6 3 3" xfId="13217" xr:uid="{00000000-0005-0000-0000-000082A30000}"/>
    <cellStyle name="Normal 4 3 6 6 3 3 2" xfId="26785" xr:uid="{00000000-0005-0000-0000-000083A30000}"/>
    <cellStyle name="Normal 4 3 6 6 3 3 2 2" xfId="53918" xr:uid="{00000000-0005-0000-0000-000084A30000}"/>
    <cellStyle name="Normal 4 3 6 6 3 3 3" xfId="40356" xr:uid="{00000000-0005-0000-0000-000085A30000}"/>
    <cellStyle name="Normal 4 3 6 6 3 4" xfId="20004" xr:uid="{00000000-0005-0000-0000-000086A30000}"/>
    <cellStyle name="Normal 4 3 6 6 3 4 2" xfId="47137" xr:uid="{00000000-0005-0000-0000-000087A30000}"/>
    <cellStyle name="Normal 4 3 6 6 3 5" xfId="33575" xr:uid="{00000000-0005-0000-0000-000088A30000}"/>
    <cellStyle name="Normal 4 3 6 6 4" xfId="9815" xr:uid="{00000000-0005-0000-0000-000089A30000}"/>
    <cellStyle name="Normal 4 3 6 6 4 2" xfId="16604" xr:uid="{00000000-0005-0000-0000-00008AA30000}"/>
    <cellStyle name="Normal 4 3 6 6 4 2 2" xfId="30172" xr:uid="{00000000-0005-0000-0000-00008BA30000}"/>
    <cellStyle name="Normal 4 3 6 6 4 2 2 2" xfId="57305" xr:uid="{00000000-0005-0000-0000-00008CA30000}"/>
    <cellStyle name="Normal 4 3 6 6 4 2 3" xfId="43743" xr:uid="{00000000-0005-0000-0000-00008DA30000}"/>
    <cellStyle name="Normal 4 3 6 6 4 3" xfId="23391" xr:uid="{00000000-0005-0000-0000-00008EA30000}"/>
    <cellStyle name="Normal 4 3 6 6 4 3 2" xfId="50524" xr:uid="{00000000-0005-0000-0000-00008FA30000}"/>
    <cellStyle name="Normal 4 3 6 6 4 4" xfId="36962" xr:uid="{00000000-0005-0000-0000-000090A30000}"/>
    <cellStyle name="Normal 4 3 6 6 5" xfId="13215" xr:uid="{00000000-0005-0000-0000-000091A30000}"/>
    <cellStyle name="Normal 4 3 6 6 5 2" xfId="26783" xr:uid="{00000000-0005-0000-0000-000092A30000}"/>
    <cellStyle name="Normal 4 3 6 6 5 2 2" xfId="53916" xr:uid="{00000000-0005-0000-0000-000093A30000}"/>
    <cellStyle name="Normal 4 3 6 6 5 3" xfId="40354" xr:uid="{00000000-0005-0000-0000-000094A30000}"/>
    <cellStyle name="Normal 4 3 6 6 6" xfId="20002" xr:uid="{00000000-0005-0000-0000-000095A30000}"/>
    <cellStyle name="Normal 4 3 6 6 6 2" xfId="47135" xr:uid="{00000000-0005-0000-0000-000096A30000}"/>
    <cellStyle name="Normal 4 3 6 6 7" xfId="33573" xr:uid="{00000000-0005-0000-0000-000097A30000}"/>
    <cellStyle name="Normal 4 3 6 7" xfId="6285" xr:uid="{00000000-0005-0000-0000-000098A30000}"/>
    <cellStyle name="Normal 4 3 6 7 2" xfId="6286" xr:uid="{00000000-0005-0000-0000-000099A30000}"/>
    <cellStyle name="Normal 4 3 6 7 2 2" xfId="9819" xr:uid="{00000000-0005-0000-0000-00009AA30000}"/>
    <cellStyle name="Normal 4 3 6 7 2 2 2" xfId="16608" xr:uid="{00000000-0005-0000-0000-00009BA30000}"/>
    <cellStyle name="Normal 4 3 6 7 2 2 2 2" xfId="30176" xr:uid="{00000000-0005-0000-0000-00009CA30000}"/>
    <cellStyle name="Normal 4 3 6 7 2 2 2 2 2" xfId="57309" xr:uid="{00000000-0005-0000-0000-00009DA30000}"/>
    <cellStyle name="Normal 4 3 6 7 2 2 2 3" xfId="43747" xr:uid="{00000000-0005-0000-0000-00009EA30000}"/>
    <cellStyle name="Normal 4 3 6 7 2 2 3" xfId="23395" xr:uid="{00000000-0005-0000-0000-00009FA30000}"/>
    <cellStyle name="Normal 4 3 6 7 2 2 3 2" xfId="50528" xr:uid="{00000000-0005-0000-0000-0000A0A30000}"/>
    <cellStyle name="Normal 4 3 6 7 2 2 4" xfId="36966" xr:uid="{00000000-0005-0000-0000-0000A1A30000}"/>
    <cellStyle name="Normal 4 3 6 7 2 3" xfId="13219" xr:uid="{00000000-0005-0000-0000-0000A2A30000}"/>
    <cellStyle name="Normal 4 3 6 7 2 3 2" xfId="26787" xr:uid="{00000000-0005-0000-0000-0000A3A30000}"/>
    <cellStyle name="Normal 4 3 6 7 2 3 2 2" xfId="53920" xr:uid="{00000000-0005-0000-0000-0000A4A30000}"/>
    <cellStyle name="Normal 4 3 6 7 2 3 3" xfId="40358" xr:uid="{00000000-0005-0000-0000-0000A5A30000}"/>
    <cellStyle name="Normal 4 3 6 7 2 4" xfId="20006" xr:uid="{00000000-0005-0000-0000-0000A6A30000}"/>
    <cellStyle name="Normal 4 3 6 7 2 4 2" xfId="47139" xr:uid="{00000000-0005-0000-0000-0000A7A30000}"/>
    <cellStyle name="Normal 4 3 6 7 2 5" xfId="33577" xr:uid="{00000000-0005-0000-0000-0000A8A30000}"/>
    <cellStyle name="Normal 4 3 6 7 3" xfId="6287" xr:uid="{00000000-0005-0000-0000-0000A9A30000}"/>
    <cellStyle name="Normal 4 3 6 7 3 2" xfId="9820" xr:uid="{00000000-0005-0000-0000-0000AAA30000}"/>
    <cellStyle name="Normal 4 3 6 7 3 2 2" xfId="16609" xr:uid="{00000000-0005-0000-0000-0000ABA30000}"/>
    <cellStyle name="Normal 4 3 6 7 3 2 2 2" xfId="30177" xr:uid="{00000000-0005-0000-0000-0000ACA30000}"/>
    <cellStyle name="Normal 4 3 6 7 3 2 2 2 2" xfId="57310" xr:uid="{00000000-0005-0000-0000-0000ADA30000}"/>
    <cellStyle name="Normal 4 3 6 7 3 2 2 3" xfId="43748" xr:uid="{00000000-0005-0000-0000-0000AEA30000}"/>
    <cellStyle name="Normal 4 3 6 7 3 2 3" xfId="23396" xr:uid="{00000000-0005-0000-0000-0000AFA30000}"/>
    <cellStyle name="Normal 4 3 6 7 3 2 3 2" xfId="50529" xr:uid="{00000000-0005-0000-0000-0000B0A30000}"/>
    <cellStyle name="Normal 4 3 6 7 3 2 4" xfId="36967" xr:uid="{00000000-0005-0000-0000-0000B1A30000}"/>
    <cellStyle name="Normal 4 3 6 7 3 3" xfId="13220" xr:uid="{00000000-0005-0000-0000-0000B2A30000}"/>
    <cellStyle name="Normal 4 3 6 7 3 3 2" xfId="26788" xr:uid="{00000000-0005-0000-0000-0000B3A30000}"/>
    <cellStyle name="Normal 4 3 6 7 3 3 2 2" xfId="53921" xr:uid="{00000000-0005-0000-0000-0000B4A30000}"/>
    <cellStyle name="Normal 4 3 6 7 3 3 3" xfId="40359" xr:uid="{00000000-0005-0000-0000-0000B5A30000}"/>
    <cellStyle name="Normal 4 3 6 7 3 4" xfId="20007" xr:uid="{00000000-0005-0000-0000-0000B6A30000}"/>
    <cellStyle name="Normal 4 3 6 7 3 4 2" xfId="47140" xr:uid="{00000000-0005-0000-0000-0000B7A30000}"/>
    <cellStyle name="Normal 4 3 6 7 3 5" xfId="33578" xr:uid="{00000000-0005-0000-0000-0000B8A30000}"/>
    <cellStyle name="Normal 4 3 6 7 4" xfId="9818" xr:uid="{00000000-0005-0000-0000-0000B9A30000}"/>
    <cellStyle name="Normal 4 3 6 7 4 2" xfId="16607" xr:uid="{00000000-0005-0000-0000-0000BAA30000}"/>
    <cellStyle name="Normal 4 3 6 7 4 2 2" xfId="30175" xr:uid="{00000000-0005-0000-0000-0000BBA30000}"/>
    <cellStyle name="Normal 4 3 6 7 4 2 2 2" xfId="57308" xr:uid="{00000000-0005-0000-0000-0000BCA30000}"/>
    <cellStyle name="Normal 4 3 6 7 4 2 3" xfId="43746" xr:uid="{00000000-0005-0000-0000-0000BDA30000}"/>
    <cellStyle name="Normal 4 3 6 7 4 3" xfId="23394" xr:uid="{00000000-0005-0000-0000-0000BEA30000}"/>
    <cellStyle name="Normal 4 3 6 7 4 3 2" xfId="50527" xr:uid="{00000000-0005-0000-0000-0000BFA30000}"/>
    <cellStyle name="Normal 4 3 6 7 4 4" xfId="36965" xr:uid="{00000000-0005-0000-0000-0000C0A30000}"/>
    <cellStyle name="Normal 4 3 6 7 5" xfId="13218" xr:uid="{00000000-0005-0000-0000-0000C1A30000}"/>
    <cellStyle name="Normal 4 3 6 7 5 2" xfId="26786" xr:uid="{00000000-0005-0000-0000-0000C2A30000}"/>
    <cellStyle name="Normal 4 3 6 7 5 2 2" xfId="53919" xr:uid="{00000000-0005-0000-0000-0000C3A30000}"/>
    <cellStyle name="Normal 4 3 6 7 5 3" xfId="40357" xr:uid="{00000000-0005-0000-0000-0000C4A30000}"/>
    <cellStyle name="Normal 4 3 6 7 6" xfId="20005" xr:uid="{00000000-0005-0000-0000-0000C5A30000}"/>
    <cellStyle name="Normal 4 3 6 7 6 2" xfId="47138" xr:uid="{00000000-0005-0000-0000-0000C6A30000}"/>
    <cellStyle name="Normal 4 3 6 7 7" xfId="33576" xr:uid="{00000000-0005-0000-0000-0000C7A30000}"/>
    <cellStyle name="Normal 4 3 6 8" xfId="6288" xr:uid="{00000000-0005-0000-0000-0000C8A30000}"/>
    <cellStyle name="Normal 4 3 6 8 2" xfId="9821" xr:uid="{00000000-0005-0000-0000-0000C9A30000}"/>
    <cellStyle name="Normal 4 3 6 8 2 2" xfId="16610" xr:uid="{00000000-0005-0000-0000-0000CAA30000}"/>
    <cellStyle name="Normal 4 3 6 8 2 2 2" xfId="30178" xr:uid="{00000000-0005-0000-0000-0000CBA30000}"/>
    <cellStyle name="Normal 4 3 6 8 2 2 2 2" xfId="57311" xr:uid="{00000000-0005-0000-0000-0000CCA30000}"/>
    <cellStyle name="Normal 4 3 6 8 2 2 3" xfId="43749" xr:uid="{00000000-0005-0000-0000-0000CDA30000}"/>
    <cellStyle name="Normal 4 3 6 8 2 3" xfId="23397" xr:uid="{00000000-0005-0000-0000-0000CEA30000}"/>
    <cellStyle name="Normal 4 3 6 8 2 3 2" xfId="50530" xr:uid="{00000000-0005-0000-0000-0000CFA30000}"/>
    <cellStyle name="Normal 4 3 6 8 2 4" xfId="36968" xr:uid="{00000000-0005-0000-0000-0000D0A30000}"/>
    <cellStyle name="Normal 4 3 6 8 3" xfId="13221" xr:uid="{00000000-0005-0000-0000-0000D1A30000}"/>
    <cellStyle name="Normal 4 3 6 8 3 2" xfId="26789" xr:uid="{00000000-0005-0000-0000-0000D2A30000}"/>
    <cellStyle name="Normal 4 3 6 8 3 2 2" xfId="53922" xr:uid="{00000000-0005-0000-0000-0000D3A30000}"/>
    <cellStyle name="Normal 4 3 6 8 3 3" xfId="40360" xr:uid="{00000000-0005-0000-0000-0000D4A30000}"/>
    <cellStyle name="Normal 4 3 6 8 4" xfId="20008" xr:uid="{00000000-0005-0000-0000-0000D5A30000}"/>
    <cellStyle name="Normal 4 3 6 8 4 2" xfId="47141" xr:uid="{00000000-0005-0000-0000-0000D6A30000}"/>
    <cellStyle name="Normal 4 3 6 8 5" xfId="33579" xr:uid="{00000000-0005-0000-0000-0000D7A30000}"/>
    <cellStyle name="Normal 4 3 6 9" xfId="6289" xr:uid="{00000000-0005-0000-0000-0000D8A30000}"/>
    <cellStyle name="Normal 4 3 6 9 2" xfId="9822" xr:uid="{00000000-0005-0000-0000-0000D9A30000}"/>
    <cellStyle name="Normal 4 3 6 9 2 2" xfId="16611" xr:uid="{00000000-0005-0000-0000-0000DAA30000}"/>
    <cellStyle name="Normal 4 3 6 9 2 2 2" xfId="30179" xr:uid="{00000000-0005-0000-0000-0000DBA30000}"/>
    <cellStyle name="Normal 4 3 6 9 2 2 2 2" xfId="57312" xr:uid="{00000000-0005-0000-0000-0000DCA30000}"/>
    <cellStyle name="Normal 4 3 6 9 2 2 3" xfId="43750" xr:uid="{00000000-0005-0000-0000-0000DDA30000}"/>
    <cellStyle name="Normal 4 3 6 9 2 3" xfId="23398" xr:uid="{00000000-0005-0000-0000-0000DEA30000}"/>
    <cellStyle name="Normal 4 3 6 9 2 3 2" xfId="50531" xr:uid="{00000000-0005-0000-0000-0000DFA30000}"/>
    <cellStyle name="Normal 4 3 6 9 2 4" xfId="36969" xr:uid="{00000000-0005-0000-0000-0000E0A30000}"/>
    <cellStyle name="Normal 4 3 6 9 3" xfId="13222" xr:uid="{00000000-0005-0000-0000-0000E1A30000}"/>
    <cellStyle name="Normal 4 3 6 9 3 2" xfId="26790" xr:uid="{00000000-0005-0000-0000-0000E2A30000}"/>
    <cellStyle name="Normal 4 3 6 9 3 2 2" xfId="53923" xr:uid="{00000000-0005-0000-0000-0000E3A30000}"/>
    <cellStyle name="Normal 4 3 6 9 3 3" xfId="40361" xr:uid="{00000000-0005-0000-0000-0000E4A30000}"/>
    <cellStyle name="Normal 4 3 6 9 4" xfId="20009" xr:uid="{00000000-0005-0000-0000-0000E5A30000}"/>
    <cellStyle name="Normal 4 3 6 9 4 2" xfId="47142" xr:uid="{00000000-0005-0000-0000-0000E6A30000}"/>
    <cellStyle name="Normal 4 3 6 9 5" xfId="33580" xr:uid="{00000000-0005-0000-0000-0000E7A30000}"/>
    <cellStyle name="Normal 4 3 7" xfId="6290" xr:uid="{00000000-0005-0000-0000-0000E8A30000}"/>
    <cellStyle name="Normal 4 3 7 10" xfId="9823" xr:uid="{00000000-0005-0000-0000-0000E9A30000}"/>
    <cellStyle name="Normal 4 3 7 10 2" xfId="16612" xr:uid="{00000000-0005-0000-0000-0000EAA30000}"/>
    <cellStyle name="Normal 4 3 7 10 2 2" xfId="30180" xr:uid="{00000000-0005-0000-0000-0000EBA30000}"/>
    <cellStyle name="Normal 4 3 7 10 2 2 2" xfId="57313" xr:uid="{00000000-0005-0000-0000-0000ECA30000}"/>
    <cellStyle name="Normal 4 3 7 10 2 3" xfId="43751" xr:uid="{00000000-0005-0000-0000-0000EDA30000}"/>
    <cellStyle name="Normal 4 3 7 10 3" xfId="23399" xr:uid="{00000000-0005-0000-0000-0000EEA30000}"/>
    <cellStyle name="Normal 4 3 7 10 3 2" xfId="50532" xr:uid="{00000000-0005-0000-0000-0000EFA30000}"/>
    <cellStyle name="Normal 4 3 7 10 4" xfId="36970" xr:uid="{00000000-0005-0000-0000-0000F0A30000}"/>
    <cellStyle name="Normal 4 3 7 11" xfId="13223" xr:uid="{00000000-0005-0000-0000-0000F1A30000}"/>
    <cellStyle name="Normal 4 3 7 11 2" xfId="26791" xr:uid="{00000000-0005-0000-0000-0000F2A30000}"/>
    <cellStyle name="Normal 4 3 7 11 2 2" xfId="53924" xr:uid="{00000000-0005-0000-0000-0000F3A30000}"/>
    <cellStyle name="Normal 4 3 7 11 3" xfId="40362" xr:uid="{00000000-0005-0000-0000-0000F4A30000}"/>
    <cellStyle name="Normal 4 3 7 12" xfId="20010" xr:uid="{00000000-0005-0000-0000-0000F5A30000}"/>
    <cellStyle name="Normal 4 3 7 12 2" xfId="47143" xr:uid="{00000000-0005-0000-0000-0000F6A30000}"/>
    <cellStyle name="Normal 4 3 7 13" xfId="33581" xr:uid="{00000000-0005-0000-0000-0000F7A30000}"/>
    <cellStyle name="Normal 4 3 7 2" xfId="6291" xr:uid="{00000000-0005-0000-0000-0000F8A30000}"/>
    <cellStyle name="Normal 4 3 7 2 10" xfId="33582" xr:uid="{00000000-0005-0000-0000-0000F9A30000}"/>
    <cellStyle name="Normal 4 3 7 2 2" xfId="6292" xr:uid="{00000000-0005-0000-0000-0000FAA30000}"/>
    <cellStyle name="Normal 4 3 7 2 2 2" xfId="6293" xr:uid="{00000000-0005-0000-0000-0000FBA30000}"/>
    <cellStyle name="Normal 4 3 7 2 2 2 2" xfId="6294" xr:uid="{00000000-0005-0000-0000-0000FCA30000}"/>
    <cellStyle name="Normal 4 3 7 2 2 2 2 2" xfId="9827" xr:uid="{00000000-0005-0000-0000-0000FDA30000}"/>
    <cellStyle name="Normal 4 3 7 2 2 2 2 2 2" xfId="16616" xr:uid="{00000000-0005-0000-0000-0000FEA30000}"/>
    <cellStyle name="Normal 4 3 7 2 2 2 2 2 2 2" xfId="30184" xr:uid="{00000000-0005-0000-0000-0000FFA30000}"/>
    <cellStyle name="Normal 4 3 7 2 2 2 2 2 2 2 2" xfId="57317" xr:uid="{00000000-0005-0000-0000-000000A40000}"/>
    <cellStyle name="Normal 4 3 7 2 2 2 2 2 2 3" xfId="43755" xr:uid="{00000000-0005-0000-0000-000001A40000}"/>
    <cellStyle name="Normal 4 3 7 2 2 2 2 2 3" xfId="23403" xr:uid="{00000000-0005-0000-0000-000002A40000}"/>
    <cellStyle name="Normal 4 3 7 2 2 2 2 2 3 2" xfId="50536" xr:uid="{00000000-0005-0000-0000-000003A40000}"/>
    <cellStyle name="Normal 4 3 7 2 2 2 2 2 4" xfId="36974" xr:uid="{00000000-0005-0000-0000-000004A40000}"/>
    <cellStyle name="Normal 4 3 7 2 2 2 2 3" xfId="13227" xr:uid="{00000000-0005-0000-0000-000005A40000}"/>
    <cellStyle name="Normal 4 3 7 2 2 2 2 3 2" xfId="26795" xr:uid="{00000000-0005-0000-0000-000006A40000}"/>
    <cellStyle name="Normal 4 3 7 2 2 2 2 3 2 2" xfId="53928" xr:uid="{00000000-0005-0000-0000-000007A40000}"/>
    <cellStyle name="Normal 4 3 7 2 2 2 2 3 3" xfId="40366" xr:uid="{00000000-0005-0000-0000-000008A40000}"/>
    <cellStyle name="Normal 4 3 7 2 2 2 2 4" xfId="20014" xr:uid="{00000000-0005-0000-0000-000009A40000}"/>
    <cellStyle name="Normal 4 3 7 2 2 2 2 4 2" xfId="47147" xr:uid="{00000000-0005-0000-0000-00000AA40000}"/>
    <cellStyle name="Normal 4 3 7 2 2 2 2 5" xfId="33585" xr:uid="{00000000-0005-0000-0000-00000BA40000}"/>
    <cellStyle name="Normal 4 3 7 2 2 2 3" xfId="6295" xr:uid="{00000000-0005-0000-0000-00000CA40000}"/>
    <cellStyle name="Normal 4 3 7 2 2 2 3 2" xfId="9828" xr:uid="{00000000-0005-0000-0000-00000DA40000}"/>
    <cellStyle name="Normal 4 3 7 2 2 2 3 2 2" xfId="16617" xr:uid="{00000000-0005-0000-0000-00000EA40000}"/>
    <cellStyle name="Normal 4 3 7 2 2 2 3 2 2 2" xfId="30185" xr:uid="{00000000-0005-0000-0000-00000FA40000}"/>
    <cellStyle name="Normal 4 3 7 2 2 2 3 2 2 2 2" xfId="57318" xr:uid="{00000000-0005-0000-0000-000010A40000}"/>
    <cellStyle name="Normal 4 3 7 2 2 2 3 2 2 3" xfId="43756" xr:uid="{00000000-0005-0000-0000-000011A40000}"/>
    <cellStyle name="Normal 4 3 7 2 2 2 3 2 3" xfId="23404" xr:uid="{00000000-0005-0000-0000-000012A40000}"/>
    <cellStyle name="Normal 4 3 7 2 2 2 3 2 3 2" xfId="50537" xr:uid="{00000000-0005-0000-0000-000013A40000}"/>
    <cellStyle name="Normal 4 3 7 2 2 2 3 2 4" xfId="36975" xr:uid="{00000000-0005-0000-0000-000014A40000}"/>
    <cellStyle name="Normal 4 3 7 2 2 2 3 3" xfId="13228" xr:uid="{00000000-0005-0000-0000-000015A40000}"/>
    <cellStyle name="Normal 4 3 7 2 2 2 3 3 2" xfId="26796" xr:uid="{00000000-0005-0000-0000-000016A40000}"/>
    <cellStyle name="Normal 4 3 7 2 2 2 3 3 2 2" xfId="53929" xr:uid="{00000000-0005-0000-0000-000017A40000}"/>
    <cellStyle name="Normal 4 3 7 2 2 2 3 3 3" xfId="40367" xr:uid="{00000000-0005-0000-0000-000018A40000}"/>
    <cellStyle name="Normal 4 3 7 2 2 2 3 4" xfId="20015" xr:uid="{00000000-0005-0000-0000-000019A40000}"/>
    <cellStyle name="Normal 4 3 7 2 2 2 3 4 2" xfId="47148" xr:uid="{00000000-0005-0000-0000-00001AA40000}"/>
    <cellStyle name="Normal 4 3 7 2 2 2 3 5" xfId="33586" xr:uid="{00000000-0005-0000-0000-00001BA40000}"/>
    <cellStyle name="Normal 4 3 7 2 2 2 4" xfId="9826" xr:uid="{00000000-0005-0000-0000-00001CA40000}"/>
    <cellStyle name="Normal 4 3 7 2 2 2 4 2" xfId="16615" xr:uid="{00000000-0005-0000-0000-00001DA40000}"/>
    <cellStyle name="Normal 4 3 7 2 2 2 4 2 2" xfId="30183" xr:uid="{00000000-0005-0000-0000-00001EA40000}"/>
    <cellStyle name="Normal 4 3 7 2 2 2 4 2 2 2" xfId="57316" xr:uid="{00000000-0005-0000-0000-00001FA40000}"/>
    <cellStyle name="Normal 4 3 7 2 2 2 4 2 3" xfId="43754" xr:uid="{00000000-0005-0000-0000-000020A40000}"/>
    <cellStyle name="Normal 4 3 7 2 2 2 4 3" xfId="23402" xr:uid="{00000000-0005-0000-0000-000021A40000}"/>
    <cellStyle name="Normal 4 3 7 2 2 2 4 3 2" xfId="50535" xr:uid="{00000000-0005-0000-0000-000022A40000}"/>
    <cellStyle name="Normal 4 3 7 2 2 2 4 4" xfId="36973" xr:uid="{00000000-0005-0000-0000-000023A40000}"/>
    <cellStyle name="Normal 4 3 7 2 2 2 5" xfId="13226" xr:uid="{00000000-0005-0000-0000-000024A40000}"/>
    <cellStyle name="Normal 4 3 7 2 2 2 5 2" xfId="26794" xr:uid="{00000000-0005-0000-0000-000025A40000}"/>
    <cellStyle name="Normal 4 3 7 2 2 2 5 2 2" xfId="53927" xr:uid="{00000000-0005-0000-0000-000026A40000}"/>
    <cellStyle name="Normal 4 3 7 2 2 2 5 3" xfId="40365" xr:uid="{00000000-0005-0000-0000-000027A40000}"/>
    <cellStyle name="Normal 4 3 7 2 2 2 6" xfId="20013" xr:uid="{00000000-0005-0000-0000-000028A40000}"/>
    <cellStyle name="Normal 4 3 7 2 2 2 6 2" xfId="47146" xr:uid="{00000000-0005-0000-0000-000029A40000}"/>
    <cellStyle name="Normal 4 3 7 2 2 2 7" xfId="33584" xr:uid="{00000000-0005-0000-0000-00002AA40000}"/>
    <cellStyle name="Normal 4 3 7 2 2 3" xfId="6296" xr:uid="{00000000-0005-0000-0000-00002BA40000}"/>
    <cellStyle name="Normal 4 3 7 2 2 3 2" xfId="6297" xr:uid="{00000000-0005-0000-0000-00002CA40000}"/>
    <cellStyle name="Normal 4 3 7 2 2 3 2 2" xfId="9830" xr:uid="{00000000-0005-0000-0000-00002DA40000}"/>
    <cellStyle name="Normal 4 3 7 2 2 3 2 2 2" xfId="16619" xr:uid="{00000000-0005-0000-0000-00002EA40000}"/>
    <cellStyle name="Normal 4 3 7 2 2 3 2 2 2 2" xfId="30187" xr:uid="{00000000-0005-0000-0000-00002FA40000}"/>
    <cellStyle name="Normal 4 3 7 2 2 3 2 2 2 2 2" xfId="57320" xr:uid="{00000000-0005-0000-0000-000030A40000}"/>
    <cellStyle name="Normal 4 3 7 2 2 3 2 2 2 3" xfId="43758" xr:uid="{00000000-0005-0000-0000-000031A40000}"/>
    <cellStyle name="Normal 4 3 7 2 2 3 2 2 3" xfId="23406" xr:uid="{00000000-0005-0000-0000-000032A40000}"/>
    <cellStyle name="Normal 4 3 7 2 2 3 2 2 3 2" xfId="50539" xr:uid="{00000000-0005-0000-0000-000033A40000}"/>
    <cellStyle name="Normal 4 3 7 2 2 3 2 2 4" xfId="36977" xr:uid="{00000000-0005-0000-0000-000034A40000}"/>
    <cellStyle name="Normal 4 3 7 2 2 3 2 3" xfId="13230" xr:uid="{00000000-0005-0000-0000-000035A40000}"/>
    <cellStyle name="Normal 4 3 7 2 2 3 2 3 2" xfId="26798" xr:uid="{00000000-0005-0000-0000-000036A40000}"/>
    <cellStyle name="Normal 4 3 7 2 2 3 2 3 2 2" xfId="53931" xr:uid="{00000000-0005-0000-0000-000037A40000}"/>
    <cellStyle name="Normal 4 3 7 2 2 3 2 3 3" xfId="40369" xr:uid="{00000000-0005-0000-0000-000038A40000}"/>
    <cellStyle name="Normal 4 3 7 2 2 3 2 4" xfId="20017" xr:uid="{00000000-0005-0000-0000-000039A40000}"/>
    <cellStyle name="Normal 4 3 7 2 2 3 2 4 2" xfId="47150" xr:uid="{00000000-0005-0000-0000-00003AA40000}"/>
    <cellStyle name="Normal 4 3 7 2 2 3 2 5" xfId="33588" xr:uid="{00000000-0005-0000-0000-00003BA40000}"/>
    <cellStyle name="Normal 4 3 7 2 2 3 3" xfId="9829" xr:uid="{00000000-0005-0000-0000-00003CA40000}"/>
    <cellStyle name="Normal 4 3 7 2 2 3 3 2" xfId="16618" xr:uid="{00000000-0005-0000-0000-00003DA40000}"/>
    <cellStyle name="Normal 4 3 7 2 2 3 3 2 2" xfId="30186" xr:uid="{00000000-0005-0000-0000-00003EA40000}"/>
    <cellStyle name="Normal 4 3 7 2 2 3 3 2 2 2" xfId="57319" xr:uid="{00000000-0005-0000-0000-00003FA40000}"/>
    <cellStyle name="Normal 4 3 7 2 2 3 3 2 3" xfId="43757" xr:uid="{00000000-0005-0000-0000-000040A40000}"/>
    <cellStyle name="Normal 4 3 7 2 2 3 3 3" xfId="23405" xr:uid="{00000000-0005-0000-0000-000041A40000}"/>
    <cellStyle name="Normal 4 3 7 2 2 3 3 3 2" xfId="50538" xr:uid="{00000000-0005-0000-0000-000042A40000}"/>
    <cellStyle name="Normal 4 3 7 2 2 3 3 4" xfId="36976" xr:uid="{00000000-0005-0000-0000-000043A40000}"/>
    <cellStyle name="Normal 4 3 7 2 2 3 4" xfId="13229" xr:uid="{00000000-0005-0000-0000-000044A40000}"/>
    <cellStyle name="Normal 4 3 7 2 2 3 4 2" xfId="26797" xr:uid="{00000000-0005-0000-0000-000045A40000}"/>
    <cellStyle name="Normal 4 3 7 2 2 3 4 2 2" xfId="53930" xr:uid="{00000000-0005-0000-0000-000046A40000}"/>
    <cellStyle name="Normal 4 3 7 2 2 3 4 3" xfId="40368" xr:uid="{00000000-0005-0000-0000-000047A40000}"/>
    <cellStyle name="Normal 4 3 7 2 2 3 5" xfId="20016" xr:uid="{00000000-0005-0000-0000-000048A40000}"/>
    <cellStyle name="Normal 4 3 7 2 2 3 5 2" xfId="47149" xr:uid="{00000000-0005-0000-0000-000049A40000}"/>
    <cellStyle name="Normal 4 3 7 2 2 3 6" xfId="33587" xr:uid="{00000000-0005-0000-0000-00004AA40000}"/>
    <cellStyle name="Normal 4 3 7 2 2 4" xfId="6298" xr:uid="{00000000-0005-0000-0000-00004BA40000}"/>
    <cellStyle name="Normal 4 3 7 2 2 4 2" xfId="9831" xr:uid="{00000000-0005-0000-0000-00004CA40000}"/>
    <cellStyle name="Normal 4 3 7 2 2 4 2 2" xfId="16620" xr:uid="{00000000-0005-0000-0000-00004DA40000}"/>
    <cellStyle name="Normal 4 3 7 2 2 4 2 2 2" xfId="30188" xr:uid="{00000000-0005-0000-0000-00004EA40000}"/>
    <cellStyle name="Normal 4 3 7 2 2 4 2 2 2 2" xfId="57321" xr:uid="{00000000-0005-0000-0000-00004FA40000}"/>
    <cellStyle name="Normal 4 3 7 2 2 4 2 2 3" xfId="43759" xr:uid="{00000000-0005-0000-0000-000050A40000}"/>
    <cellStyle name="Normal 4 3 7 2 2 4 2 3" xfId="23407" xr:uid="{00000000-0005-0000-0000-000051A40000}"/>
    <cellStyle name="Normal 4 3 7 2 2 4 2 3 2" xfId="50540" xr:uid="{00000000-0005-0000-0000-000052A40000}"/>
    <cellStyle name="Normal 4 3 7 2 2 4 2 4" xfId="36978" xr:uid="{00000000-0005-0000-0000-000053A40000}"/>
    <cellStyle name="Normal 4 3 7 2 2 4 3" xfId="13231" xr:uid="{00000000-0005-0000-0000-000054A40000}"/>
    <cellStyle name="Normal 4 3 7 2 2 4 3 2" xfId="26799" xr:uid="{00000000-0005-0000-0000-000055A40000}"/>
    <cellStyle name="Normal 4 3 7 2 2 4 3 2 2" xfId="53932" xr:uid="{00000000-0005-0000-0000-000056A40000}"/>
    <cellStyle name="Normal 4 3 7 2 2 4 3 3" xfId="40370" xr:uid="{00000000-0005-0000-0000-000057A40000}"/>
    <cellStyle name="Normal 4 3 7 2 2 4 4" xfId="20018" xr:uid="{00000000-0005-0000-0000-000058A40000}"/>
    <cellStyle name="Normal 4 3 7 2 2 4 4 2" xfId="47151" xr:uid="{00000000-0005-0000-0000-000059A40000}"/>
    <cellStyle name="Normal 4 3 7 2 2 4 5" xfId="33589" xr:uid="{00000000-0005-0000-0000-00005AA40000}"/>
    <cellStyle name="Normal 4 3 7 2 2 5" xfId="6299" xr:uid="{00000000-0005-0000-0000-00005BA40000}"/>
    <cellStyle name="Normal 4 3 7 2 2 5 2" xfId="9832" xr:uid="{00000000-0005-0000-0000-00005CA40000}"/>
    <cellStyle name="Normal 4 3 7 2 2 5 2 2" xfId="16621" xr:uid="{00000000-0005-0000-0000-00005DA40000}"/>
    <cellStyle name="Normal 4 3 7 2 2 5 2 2 2" xfId="30189" xr:uid="{00000000-0005-0000-0000-00005EA40000}"/>
    <cellStyle name="Normal 4 3 7 2 2 5 2 2 2 2" xfId="57322" xr:uid="{00000000-0005-0000-0000-00005FA40000}"/>
    <cellStyle name="Normal 4 3 7 2 2 5 2 2 3" xfId="43760" xr:uid="{00000000-0005-0000-0000-000060A40000}"/>
    <cellStyle name="Normal 4 3 7 2 2 5 2 3" xfId="23408" xr:uid="{00000000-0005-0000-0000-000061A40000}"/>
    <cellStyle name="Normal 4 3 7 2 2 5 2 3 2" xfId="50541" xr:uid="{00000000-0005-0000-0000-000062A40000}"/>
    <cellStyle name="Normal 4 3 7 2 2 5 2 4" xfId="36979" xr:uid="{00000000-0005-0000-0000-000063A40000}"/>
    <cellStyle name="Normal 4 3 7 2 2 5 3" xfId="13232" xr:uid="{00000000-0005-0000-0000-000064A40000}"/>
    <cellStyle name="Normal 4 3 7 2 2 5 3 2" xfId="26800" xr:uid="{00000000-0005-0000-0000-000065A40000}"/>
    <cellStyle name="Normal 4 3 7 2 2 5 3 2 2" xfId="53933" xr:uid="{00000000-0005-0000-0000-000066A40000}"/>
    <cellStyle name="Normal 4 3 7 2 2 5 3 3" xfId="40371" xr:uid="{00000000-0005-0000-0000-000067A40000}"/>
    <cellStyle name="Normal 4 3 7 2 2 5 4" xfId="20019" xr:uid="{00000000-0005-0000-0000-000068A40000}"/>
    <cellStyle name="Normal 4 3 7 2 2 5 4 2" xfId="47152" xr:uid="{00000000-0005-0000-0000-000069A40000}"/>
    <cellStyle name="Normal 4 3 7 2 2 5 5" xfId="33590" xr:uid="{00000000-0005-0000-0000-00006AA40000}"/>
    <cellStyle name="Normal 4 3 7 2 2 6" xfId="9825" xr:uid="{00000000-0005-0000-0000-00006BA40000}"/>
    <cellStyle name="Normal 4 3 7 2 2 6 2" xfId="16614" xr:uid="{00000000-0005-0000-0000-00006CA40000}"/>
    <cellStyle name="Normal 4 3 7 2 2 6 2 2" xfId="30182" xr:uid="{00000000-0005-0000-0000-00006DA40000}"/>
    <cellStyle name="Normal 4 3 7 2 2 6 2 2 2" xfId="57315" xr:uid="{00000000-0005-0000-0000-00006EA40000}"/>
    <cellStyle name="Normal 4 3 7 2 2 6 2 3" xfId="43753" xr:uid="{00000000-0005-0000-0000-00006FA40000}"/>
    <cellStyle name="Normal 4 3 7 2 2 6 3" xfId="23401" xr:uid="{00000000-0005-0000-0000-000070A40000}"/>
    <cellStyle name="Normal 4 3 7 2 2 6 3 2" xfId="50534" xr:uid="{00000000-0005-0000-0000-000071A40000}"/>
    <cellStyle name="Normal 4 3 7 2 2 6 4" xfId="36972" xr:uid="{00000000-0005-0000-0000-000072A40000}"/>
    <cellStyle name="Normal 4 3 7 2 2 7" xfId="13225" xr:uid="{00000000-0005-0000-0000-000073A40000}"/>
    <cellStyle name="Normal 4 3 7 2 2 7 2" xfId="26793" xr:uid="{00000000-0005-0000-0000-000074A40000}"/>
    <cellStyle name="Normal 4 3 7 2 2 7 2 2" xfId="53926" xr:uid="{00000000-0005-0000-0000-000075A40000}"/>
    <cellStyle name="Normal 4 3 7 2 2 7 3" xfId="40364" xr:uid="{00000000-0005-0000-0000-000076A40000}"/>
    <cellStyle name="Normal 4 3 7 2 2 8" xfId="20012" xr:uid="{00000000-0005-0000-0000-000077A40000}"/>
    <cellStyle name="Normal 4 3 7 2 2 8 2" xfId="47145" xr:uid="{00000000-0005-0000-0000-000078A40000}"/>
    <cellStyle name="Normal 4 3 7 2 2 9" xfId="33583" xr:uid="{00000000-0005-0000-0000-000079A40000}"/>
    <cellStyle name="Normal 4 3 7 2 3" xfId="6300" xr:uid="{00000000-0005-0000-0000-00007AA40000}"/>
    <cellStyle name="Normal 4 3 7 2 3 2" xfId="6301" xr:uid="{00000000-0005-0000-0000-00007BA40000}"/>
    <cellStyle name="Normal 4 3 7 2 3 2 2" xfId="9834" xr:uid="{00000000-0005-0000-0000-00007CA40000}"/>
    <cellStyle name="Normal 4 3 7 2 3 2 2 2" xfId="16623" xr:uid="{00000000-0005-0000-0000-00007DA40000}"/>
    <cellStyle name="Normal 4 3 7 2 3 2 2 2 2" xfId="30191" xr:uid="{00000000-0005-0000-0000-00007EA40000}"/>
    <cellStyle name="Normal 4 3 7 2 3 2 2 2 2 2" xfId="57324" xr:uid="{00000000-0005-0000-0000-00007FA40000}"/>
    <cellStyle name="Normal 4 3 7 2 3 2 2 2 3" xfId="43762" xr:uid="{00000000-0005-0000-0000-000080A40000}"/>
    <cellStyle name="Normal 4 3 7 2 3 2 2 3" xfId="23410" xr:uid="{00000000-0005-0000-0000-000081A40000}"/>
    <cellStyle name="Normal 4 3 7 2 3 2 2 3 2" xfId="50543" xr:uid="{00000000-0005-0000-0000-000082A40000}"/>
    <cellStyle name="Normal 4 3 7 2 3 2 2 4" xfId="36981" xr:uid="{00000000-0005-0000-0000-000083A40000}"/>
    <cellStyle name="Normal 4 3 7 2 3 2 3" xfId="13234" xr:uid="{00000000-0005-0000-0000-000084A40000}"/>
    <cellStyle name="Normal 4 3 7 2 3 2 3 2" xfId="26802" xr:uid="{00000000-0005-0000-0000-000085A40000}"/>
    <cellStyle name="Normal 4 3 7 2 3 2 3 2 2" xfId="53935" xr:uid="{00000000-0005-0000-0000-000086A40000}"/>
    <cellStyle name="Normal 4 3 7 2 3 2 3 3" xfId="40373" xr:uid="{00000000-0005-0000-0000-000087A40000}"/>
    <cellStyle name="Normal 4 3 7 2 3 2 4" xfId="20021" xr:uid="{00000000-0005-0000-0000-000088A40000}"/>
    <cellStyle name="Normal 4 3 7 2 3 2 4 2" xfId="47154" xr:uid="{00000000-0005-0000-0000-000089A40000}"/>
    <cellStyle name="Normal 4 3 7 2 3 2 5" xfId="33592" xr:uid="{00000000-0005-0000-0000-00008AA40000}"/>
    <cellStyle name="Normal 4 3 7 2 3 3" xfId="6302" xr:uid="{00000000-0005-0000-0000-00008BA40000}"/>
    <cellStyle name="Normal 4 3 7 2 3 3 2" xfId="9835" xr:uid="{00000000-0005-0000-0000-00008CA40000}"/>
    <cellStyle name="Normal 4 3 7 2 3 3 2 2" xfId="16624" xr:uid="{00000000-0005-0000-0000-00008DA40000}"/>
    <cellStyle name="Normal 4 3 7 2 3 3 2 2 2" xfId="30192" xr:uid="{00000000-0005-0000-0000-00008EA40000}"/>
    <cellStyle name="Normal 4 3 7 2 3 3 2 2 2 2" xfId="57325" xr:uid="{00000000-0005-0000-0000-00008FA40000}"/>
    <cellStyle name="Normal 4 3 7 2 3 3 2 2 3" xfId="43763" xr:uid="{00000000-0005-0000-0000-000090A40000}"/>
    <cellStyle name="Normal 4 3 7 2 3 3 2 3" xfId="23411" xr:uid="{00000000-0005-0000-0000-000091A40000}"/>
    <cellStyle name="Normal 4 3 7 2 3 3 2 3 2" xfId="50544" xr:uid="{00000000-0005-0000-0000-000092A40000}"/>
    <cellStyle name="Normal 4 3 7 2 3 3 2 4" xfId="36982" xr:uid="{00000000-0005-0000-0000-000093A40000}"/>
    <cellStyle name="Normal 4 3 7 2 3 3 3" xfId="13235" xr:uid="{00000000-0005-0000-0000-000094A40000}"/>
    <cellStyle name="Normal 4 3 7 2 3 3 3 2" xfId="26803" xr:uid="{00000000-0005-0000-0000-000095A40000}"/>
    <cellStyle name="Normal 4 3 7 2 3 3 3 2 2" xfId="53936" xr:uid="{00000000-0005-0000-0000-000096A40000}"/>
    <cellStyle name="Normal 4 3 7 2 3 3 3 3" xfId="40374" xr:uid="{00000000-0005-0000-0000-000097A40000}"/>
    <cellStyle name="Normal 4 3 7 2 3 3 4" xfId="20022" xr:uid="{00000000-0005-0000-0000-000098A40000}"/>
    <cellStyle name="Normal 4 3 7 2 3 3 4 2" xfId="47155" xr:uid="{00000000-0005-0000-0000-000099A40000}"/>
    <cellStyle name="Normal 4 3 7 2 3 3 5" xfId="33593" xr:uid="{00000000-0005-0000-0000-00009AA40000}"/>
    <cellStyle name="Normal 4 3 7 2 3 4" xfId="9833" xr:uid="{00000000-0005-0000-0000-00009BA40000}"/>
    <cellStyle name="Normal 4 3 7 2 3 4 2" xfId="16622" xr:uid="{00000000-0005-0000-0000-00009CA40000}"/>
    <cellStyle name="Normal 4 3 7 2 3 4 2 2" xfId="30190" xr:uid="{00000000-0005-0000-0000-00009DA40000}"/>
    <cellStyle name="Normal 4 3 7 2 3 4 2 2 2" xfId="57323" xr:uid="{00000000-0005-0000-0000-00009EA40000}"/>
    <cellStyle name="Normal 4 3 7 2 3 4 2 3" xfId="43761" xr:uid="{00000000-0005-0000-0000-00009FA40000}"/>
    <cellStyle name="Normal 4 3 7 2 3 4 3" xfId="23409" xr:uid="{00000000-0005-0000-0000-0000A0A40000}"/>
    <cellStyle name="Normal 4 3 7 2 3 4 3 2" xfId="50542" xr:uid="{00000000-0005-0000-0000-0000A1A40000}"/>
    <cellStyle name="Normal 4 3 7 2 3 4 4" xfId="36980" xr:uid="{00000000-0005-0000-0000-0000A2A40000}"/>
    <cellStyle name="Normal 4 3 7 2 3 5" xfId="13233" xr:uid="{00000000-0005-0000-0000-0000A3A40000}"/>
    <cellStyle name="Normal 4 3 7 2 3 5 2" xfId="26801" xr:uid="{00000000-0005-0000-0000-0000A4A40000}"/>
    <cellStyle name="Normal 4 3 7 2 3 5 2 2" xfId="53934" xr:uid="{00000000-0005-0000-0000-0000A5A40000}"/>
    <cellStyle name="Normal 4 3 7 2 3 5 3" xfId="40372" xr:uid="{00000000-0005-0000-0000-0000A6A40000}"/>
    <cellStyle name="Normal 4 3 7 2 3 6" xfId="20020" xr:uid="{00000000-0005-0000-0000-0000A7A40000}"/>
    <cellStyle name="Normal 4 3 7 2 3 6 2" xfId="47153" xr:uid="{00000000-0005-0000-0000-0000A8A40000}"/>
    <cellStyle name="Normal 4 3 7 2 3 7" xfId="33591" xr:uid="{00000000-0005-0000-0000-0000A9A40000}"/>
    <cellStyle name="Normal 4 3 7 2 4" xfId="6303" xr:uid="{00000000-0005-0000-0000-0000AAA40000}"/>
    <cellStyle name="Normal 4 3 7 2 4 2" xfId="6304" xr:uid="{00000000-0005-0000-0000-0000ABA40000}"/>
    <cellStyle name="Normal 4 3 7 2 4 2 2" xfId="9837" xr:uid="{00000000-0005-0000-0000-0000ACA40000}"/>
    <cellStyle name="Normal 4 3 7 2 4 2 2 2" xfId="16626" xr:uid="{00000000-0005-0000-0000-0000ADA40000}"/>
    <cellStyle name="Normal 4 3 7 2 4 2 2 2 2" xfId="30194" xr:uid="{00000000-0005-0000-0000-0000AEA40000}"/>
    <cellStyle name="Normal 4 3 7 2 4 2 2 2 2 2" xfId="57327" xr:uid="{00000000-0005-0000-0000-0000AFA40000}"/>
    <cellStyle name="Normal 4 3 7 2 4 2 2 2 3" xfId="43765" xr:uid="{00000000-0005-0000-0000-0000B0A40000}"/>
    <cellStyle name="Normal 4 3 7 2 4 2 2 3" xfId="23413" xr:uid="{00000000-0005-0000-0000-0000B1A40000}"/>
    <cellStyle name="Normal 4 3 7 2 4 2 2 3 2" xfId="50546" xr:uid="{00000000-0005-0000-0000-0000B2A40000}"/>
    <cellStyle name="Normal 4 3 7 2 4 2 2 4" xfId="36984" xr:uid="{00000000-0005-0000-0000-0000B3A40000}"/>
    <cellStyle name="Normal 4 3 7 2 4 2 3" xfId="13237" xr:uid="{00000000-0005-0000-0000-0000B4A40000}"/>
    <cellStyle name="Normal 4 3 7 2 4 2 3 2" xfId="26805" xr:uid="{00000000-0005-0000-0000-0000B5A40000}"/>
    <cellStyle name="Normal 4 3 7 2 4 2 3 2 2" xfId="53938" xr:uid="{00000000-0005-0000-0000-0000B6A40000}"/>
    <cellStyle name="Normal 4 3 7 2 4 2 3 3" xfId="40376" xr:uid="{00000000-0005-0000-0000-0000B7A40000}"/>
    <cellStyle name="Normal 4 3 7 2 4 2 4" xfId="20024" xr:uid="{00000000-0005-0000-0000-0000B8A40000}"/>
    <cellStyle name="Normal 4 3 7 2 4 2 4 2" xfId="47157" xr:uid="{00000000-0005-0000-0000-0000B9A40000}"/>
    <cellStyle name="Normal 4 3 7 2 4 2 5" xfId="33595" xr:uid="{00000000-0005-0000-0000-0000BAA40000}"/>
    <cellStyle name="Normal 4 3 7 2 4 3" xfId="9836" xr:uid="{00000000-0005-0000-0000-0000BBA40000}"/>
    <cellStyle name="Normal 4 3 7 2 4 3 2" xfId="16625" xr:uid="{00000000-0005-0000-0000-0000BCA40000}"/>
    <cellStyle name="Normal 4 3 7 2 4 3 2 2" xfId="30193" xr:uid="{00000000-0005-0000-0000-0000BDA40000}"/>
    <cellStyle name="Normal 4 3 7 2 4 3 2 2 2" xfId="57326" xr:uid="{00000000-0005-0000-0000-0000BEA40000}"/>
    <cellStyle name="Normal 4 3 7 2 4 3 2 3" xfId="43764" xr:uid="{00000000-0005-0000-0000-0000BFA40000}"/>
    <cellStyle name="Normal 4 3 7 2 4 3 3" xfId="23412" xr:uid="{00000000-0005-0000-0000-0000C0A40000}"/>
    <cellStyle name="Normal 4 3 7 2 4 3 3 2" xfId="50545" xr:uid="{00000000-0005-0000-0000-0000C1A40000}"/>
    <cellStyle name="Normal 4 3 7 2 4 3 4" xfId="36983" xr:uid="{00000000-0005-0000-0000-0000C2A40000}"/>
    <cellStyle name="Normal 4 3 7 2 4 4" xfId="13236" xr:uid="{00000000-0005-0000-0000-0000C3A40000}"/>
    <cellStyle name="Normal 4 3 7 2 4 4 2" xfId="26804" xr:uid="{00000000-0005-0000-0000-0000C4A40000}"/>
    <cellStyle name="Normal 4 3 7 2 4 4 2 2" xfId="53937" xr:uid="{00000000-0005-0000-0000-0000C5A40000}"/>
    <cellStyle name="Normal 4 3 7 2 4 4 3" xfId="40375" xr:uid="{00000000-0005-0000-0000-0000C6A40000}"/>
    <cellStyle name="Normal 4 3 7 2 4 5" xfId="20023" xr:uid="{00000000-0005-0000-0000-0000C7A40000}"/>
    <cellStyle name="Normal 4 3 7 2 4 5 2" xfId="47156" xr:uid="{00000000-0005-0000-0000-0000C8A40000}"/>
    <cellStyle name="Normal 4 3 7 2 4 6" xfId="33594" xr:uid="{00000000-0005-0000-0000-0000C9A40000}"/>
    <cellStyle name="Normal 4 3 7 2 5" xfId="6305" xr:uid="{00000000-0005-0000-0000-0000CAA40000}"/>
    <cellStyle name="Normal 4 3 7 2 5 2" xfId="9838" xr:uid="{00000000-0005-0000-0000-0000CBA40000}"/>
    <cellStyle name="Normal 4 3 7 2 5 2 2" xfId="16627" xr:uid="{00000000-0005-0000-0000-0000CCA40000}"/>
    <cellStyle name="Normal 4 3 7 2 5 2 2 2" xfId="30195" xr:uid="{00000000-0005-0000-0000-0000CDA40000}"/>
    <cellStyle name="Normal 4 3 7 2 5 2 2 2 2" xfId="57328" xr:uid="{00000000-0005-0000-0000-0000CEA40000}"/>
    <cellStyle name="Normal 4 3 7 2 5 2 2 3" xfId="43766" xr:uid="{00000000-0005-0000-0000-0000CFA40000}"/>
    <cellStyle name="Normal 4 3 7 2 5 2 3" xfId="23414" xr:uid="{00000000-0005-0000-0000-0000D0A40000}"/>
    <cellStyle name="Normal 4 3 7 2 5 2 3 2" xfId="50547" xr:uid="{00000000-0005-0000-0000-0000D1A40000}"/>
    <cellStyle name="Normal 4 3 7 2 5 2 4" xfId="36985" xr:uid="{00000000-0005-0000-0000-0000D2A40000}"/>
    <cellStyle name="Normal 4 3 7 2 5 3" xfId="13238" xr:uid="{00000000-0005-0000-0000-0000D3A40000}"/>
    <cellStyle name="Normal 4 3 7 2 5 3 2" xfId="26806" xr:uid="{00000000-0005-0000-0000-0000D4A40000}"/>
    <cellStyle name="Normal 4 3 7 2 5 3 2 2" xfId="53939" xr:uid="{00000000-0005-0000-0000-0000D5A40000}"/>
    <cellStyle name="Normal 4 3 7 2 5 3 3" xfId="40377" xr:uid="{00000000-0005-0000-0000-0000D6A40000}"/>
    <cellStyle name="Normal 4 3 7 2 5 4" xfId="20025" xr:uid="{00000000-0005-0000-0000-0000D7A40000}"/>
    <cellStyle name="Normal 4 3 7 2 5 4 2" xfId="47158" xr:uid="{00000000-0005-0000-0000-0000D8A40000}"/>
    <cellStyle name="Normal 4 3 7 2 5 5" xfId="33596" xr:uid="{00000000-0005-0000-0000-0000D9A40000}"/>
    <cellStyle name="Normal 4 3 7 2 6" xfId="6306" xr:uid="{00000000-0005-0000-0000-0000DAA40000}"/>
    <cellStyle name="Normal 4 3 7 2 6 2" xfId="9839" xr:uid="{00000000-0005-0000-0000-0000DBA40000}"/>
    <cellStyle name="Normal 4 3 7 2 6 2 2" xfId="16628" xr:uid="{00000000-0005-0000-0000-0000DCA40000}"/>
    <cellStyle name="Normal 4 3 7 2 6 2 2 2" xfId="30196" xr:uid="{00000000-0005-0000-0000-0000DDA40000}"/>
    <cellStyle name="Normal 4 3 7 2 6 2 2 2 2" xfId="57329" xr:uid="{00000000-0005-0000-0000-0000DEA40000}"/>
    <cellStyle name="Normal 4 3 7 2 6 2 2 3" xfId="43767" xr:uid="{00000000-0005-0000-0000-0000DFA40000}"/>
    <cellStyle name="Normal 4 3 7 2 6 2 3" xfId="23415" xr:uid="{00000000-0005-0000-0000-0000E0A40000}"/>
    <cellStyle name="Normal 4 3 7 2 6 2 3 2" xfId="50548" xr:uid="{00000000-0005-0000-0000-0000E1A40000}"/>
    <cellStyle name="Normal 4 3 7 2 6 2 4" xfId="36986" xr:uid="{00000000-0005-0000-0000-0000E2A40000}"/>
    <cellStyle name="Normal 4 3 7 2 6 3" xfId="13239" xr:uid="{00000000-0005-0000-0000-0000E3A40000}"/>
    <cellStyle name="Normal 4 3 7 2 6 3 2" xfId="26807" xr:uid="{00000000-0005-0000-0000-0000E4A40000}"/>
    <cellStyle name="Normal 4 3 7 2 6 3 2 2" xfId="53940" xr:uid="{00000000-0005-0000-0000-0000E5A40000}"/>
    <cellStyle name="Normal 4 3 7 2 6 3 3" xfId="40378" xr:uid="{00000000-0005-0000-0000-0000E6A40000}"/>
    <cellStyle name="Normal 4 3 7 2 6 4" xfId="20026" xr:uid="{00000000-0005-0000-0000-0000E7A40000}"/>
    <cellStyle name="Normal 4 3 7 2 6 4 2" xfId="47159" xr:uid="{00000000-0005-0000-0000-0000E8A40000}"/>
    <cellStyle name="Normal 4 3 7 2 6 5" xfId="33597" xr:uid="{00000000-0005-0000-0000-0000E9A40000}"/>
    <cellStyle name="Normal 4 3 7 2 7" xfId="9824" xr:uid="{00000000-0005-0000-0000-0000EAA40000}"/>
    <cellStyle name="Normal 4 3 7 2 7 2" xfId="16613" xr:uid="{00000000-0005-0000-0000-0000EBA40000}"/>
    <cellStyle name="Normal 4 3 7 2 7 2 2" xfId="30181" xr:uid="{00000000-0005-0000-0000-0000ECA40000}"/>
    <cellStyle name="Normal 4 3 7 2 7 2 2 2" xfId="57314" xr:uid="{00000000-0005-0000-0000-0000EDA40000}"/>
    <cellStyle name="Normal 4 3 7 2 7 2 3" xfId="43752" xr:uid="{00000000-0005-0000-0000-0000EEA40000}"/>
    <cellStyle name="Normal 4 3 7 2 7 3" xfId="23400" xr:uid="{00000000-0005-0000-0000-0000EFA40000}"/>
    <cellStyle name="Normal 4 3 7 2 7 3 2" xfId="50533" xr:uid="{00000000-0005-0000-0000-0000F0A40000}"/>
    <cellStyle name="Normal 4 3 7 2 7 4" xfId="36971" xr:uid="{00000000-0005-0000-0000-0000F1A40000}"/>
    <cellStyle name="Normal 4 3 7 2 8" xfId="13224" xr:uid="{00000000-0005-0000-0000-0000F2A40000}"/>
    <cellStyle name="Normal 4 3 7 2 8 2" xfId="26792" xr:uid="{00000000-0005-0000-0000-0000F3A40000}"/>
    <cellStyle name="Normal 4 3 7 2 8 2 2" xfId="53925" xr:uid="{00000000-0005-0000-0000-0000F4A40000}"/>
    <cellStyle name="Normal 4 3 7 2 8 3" xfId="40363" xr:uid="{00000000-0005-0000-0000-0000F5A40000}"/>
    <cellStyle name="Normal 4 3 7 2 9" xfId="20011" xr:uid="{00000000-0005-0000-0000-0000F6A40000}"/>
    <cellStyle name="Normal 4 3 7 2 9 2" xfId="47144" xr:uid="{00000000-0005-0000-0000-0000F7A40000}"/>
    <cellStyle name="Normal 4 3 7 3" xfId="6307" xr:uid="{00000000-0005-0000-0000-0000F8A40000}"/>
    <cellStyle name="Normal 4 3 7 3 2" xfId="6308" xr:uid="{00000000-0005-0000-0000-0000F9A40000}"/>
    <cellStyle name="Normal 4 3 7 3 2 2" xfId="6309" xr:uid="{00000000-0005-0000-0000-0000FAA40000}"/>
    <cellStyle name="Normal 4 3 7 3 2 2 2" xfId="9842" xr:uid="{00000000-0005-0000-0000-0000FBA40000}"/>
    <cellStyle name="Normal 4 3 7 3 2 2 2 2" xfId="16631" xr:uid="{00000000-0005-0000-0000-0000FCA40000}"/>
    <cellStyle name="Normal 4 3 7 3 2 2 2 2 2" xfId="30199" xr:uid="{00000000-0005-0000-0000-0000FDA40000}"/>
    <cellStyle name="Normal 4 3 7 3 2 2 2 2 2 2" xfId="57332" xr:uid="{00000000-0005-0000-0000-0000FEA40000}"/>
    <cellStyle name="Normal 4 3 7 3 2 2 2 2 3" xfId="43770" xr:uid="{00000000-0005-0000-0000-0000FFA40000}"/>
    <cellStyle name="Normal 4 3 7 3 2 2 2 3" xfId="23418" xr:uid="{00000000-0005-0000-0000-000000A50000}"/>
    <cellStyle name="Normal 4 3 7 3 2 2 2 3 2" xfId="50551" xr:uid="{00000000-0005-0000-0000-000001A50000}"/>
    <cellStyle name="Normal 4 3 7 3 2 2 2 4" xfId="36989" xr:uid="{00000000-0005-0000-0000-000002A50000}"/>
    <cellStyle name="Normal 4 3 7 3 2 2 3" xfId="13242" xr:uid="{00000000-0005-0000-0000-000003A50000}"/>
    <cellStyle name="Normal 4 3 7 3 2 2 3 2" xfId="26810" xr:uid="{00000000-0005-0000-0000-000004A50000}"/>
    <cellStyle name="Normal 4 3 7 3 2 2 3 2 2" xfId="53943" xr:uid="{00000000-0005-0000-0000-000005A50000}"/>
    <cellStyle name="Normal 4 3 7 3 2 2 3 3" xfId="40381" xr:uid="{00000000-0005-0000-0000-000006A50000}"/>
    <cellStyle name="Normal 4 3 7 3 2 2 4" xfId="20029" xr:uid="{00000000-0005-0000-0000-000007A50000}"/>
    <cellStyle name="Normal 4 3 7 3 2 2 4 2" xfId="47162" xr:uid="{00000000-0005-0000-0000-000008A50000}"/>
    <cellStyle name="Normal 4 3 7 3 2 2 5" xfId="33600" xr:uid="{00000000-0005-0000-0000-000009A50000}"/>
    <cellStyle name="Normal 4 3 7 3 2 3" xfId="6310" xr:uid="{00000000-0005-0000-0000-00000AA50000}"/>
    <cellStyle name="Normal 4 3 7 3 2 3 2" xfId="9843" xr:uid="{00000000-0005-0000-0000-00000BA50000}"/>
    <cellStyle name="Normal 4 3 7 3 2 3 2 2" xfId="16632" xr:uid="{00000000-0005-0000-0000-00000CA50000}"/>
    <cellStyle name="Normal 4 3 7 3 2 3 2 2 2" xfId="30200" xr:uid="{00000000-0005-0000-0000-00000DA50000}"/>
    <cellStyle name="Normal 4 3 7 3 2 3 2 2 2 2" xfId="57333" xr:uid="{00000000-0005-0000-0000-00000EA50000}"/>
    <cellStyle name="Normal 4 3 7 3 2 3 2 2 3" xfId="43771" xr:uid="{00000000-0005-0000-0000-00000FA50000}"/>
    <cellStyle name="Normal 4 3 7 3 2 3 2 3" xfId="23419" xr:uid="{00000000-0005-0000-0000-000010A50000}"/>
    <cellStyle name="Normal 4 3 7 3 2 3 2 3 2" xfId="50552" xr:uid="{00000000-0005-0000-0000-000011A50000}"/>
    <cellStyle name="Normal 4 3 7 3 2 3 2 4" xfId="36990" xr:uid="{00000000-0005-0000-0000-000012A50000}"/>
    <cellStyle name="Normal 4 3 7 3 2 3 3" xfId="13243" xr:uid="{00000000-0005-0000-0000-000013A50000}"/>
    <cellStyle name="Normal 4 3 7 3 2 3 3 2" xfId="26811" xr:uid="{00000000-0005-0000-0000-000014A50000}"/>
    <cellStyle name="Normal 4 3 7 3 2 3 3 2 2" xfId="53944" xr:uid="{00000000-0005-0000-0000-000015A50000}"/>
    <cellStyle name="Normal 4 3 7 3 2 3 3 3" xfId="40382" xr:uid="{00000000-0005-0000-0000-000016A50000}"/>
    <cellStyle name="Normal 4 3 7 3 2 3 4" xfId="20030" xr:uid="{00000000-0005-0000-0000-000017A50000}"/>
    <cellStyle name="Normal 4 3 7 3 2 3 4 2" xfId="47163" xr:uid="{00000000-0005-0000-0000-000018A50000}"/>
    <cellStyle name="Normal 4 3 7 3 2 3 5" xfId="33601" xr:uid="{00000000-0005-0000-0000-000019A50000}"/>
    <cellStyle name="Normal 4 3 7 3 2 4" xfId="9841" xr:uid="{00000000-0005-0000-0000-00001AA50000}"/>
    <cellStyle name="Normal 4 3 7 3 2 4 2" xfId="16630" xr:uid="{00000000-0005-0000-0000-00001BA50000}"/>
    <cellStyle name="Normal 4 3 7 3 2 4 2 2" xfId="30198" xr:uid="{00000000-0005-0000-0000-00001CA50000}"/>
    <cellStyle name="Normal 4 3 7 3 2 4 2 2 2" xfId="57331" xr:uid="{00000000-0005-0000-0000-00001DA50000}"/>
    <cellStyle name="Normal 4 3 7 3 2 4 2 3" xfId="43769" xr:uid="{00000000-0005-0000-0000-00001EA50000}"/>
    <cellStyle name="Normal 4 3 7 3 2 4 3" xfId="23417" xr:uid="{00000000-0005-0000-0000-00001FA50000}"/>
    <cellStyle name="Normal 4 3 7 3 2 4 3 2" xfId="50550" xr:uid="{00000000-0005-0000-0000-000020A50000}"/>
    <cellStyle name="Normal 4 3 7 3 2 4 4" xfId="36988" xr:uid="{00000000-0005-0000-0000-000021A50000}"/>
    <cellStyle name="Normal 4 3 7 3 2 5" xfId="13241" xr:uid="{00000000-0005-0000-0000-000022A50000}"/>
    <cellStyle name="Normal 4 3 7 3 2 5 2" xfId="26809" xr:uid="{00000000-0005-0000-0000-000023A50000}"/>
    <cellStyle name="Normal 4 3 7 3 2 5 2 2" xfId="53942" xr:uid="{00000000-0005-0000-0000-000024A50000}"/>
    <cellStyle name="Normal 4 3 7 3 2 5 3" xfId="40380" xr:uid="{00000000-0005-0000-0000-000025A50000}"/>
    <cellStyle name="Normal 4 3 7 3 2 6" xfId="20028" xr:uid="{00000000-0005-0000-0000-000026A50000}"/>
    <cellStyle name="Normal 4 3 7 3 2 6 2" xfId="47161" xr:uid="{00000000-0005-0000-0000-000027A50000}"/>
    <cellStyle name="Normal 4 3 7 3 2 7" xfId="33599" xr:uid="{00000000-0005-0000-0000-000028A50000}"/>
    <cellStyle name="Normal 4 3 7 3 3" xfId="6311" xr:uid="{00000000-0005-0000-0000-000029A50000}"/>
    <cellStyle name="Normal 4 3 7 3 3 2" xfId="6312" xr:uid="{00000000-0005-0000-0000-00002AA50000}"/>
    <cellStyle name="Normal 4 3 7 3 3 2 2" xfId="9845" xr:uid="{00000000-0005-0000-0000-00002BA50000}"/>
    <cellStyle name="Normal 4 3 7 3 3 2 2 2" xfId="16634" xr:uid="{00000000-0005-0000-0000-00002CA50000}"/>
    <cellStyle name="Normal 4 3 7 3 3 2 2 2 2" xfId="30202" xr:uid="{00000000-0005-0000-0000-00002DA50000}"/>
    <cellStyle name="Normal 4 3 7 3 3 2 2 2 2 2" xfId="57335" xr:uid="{00000000-0005-0000-0000-00002EA50000}"/>
    <cellStyle name="Normal 4 3 7 3 3 2 2 2 3" xfId="43773" xr:uid="{00000000-0005-0000-0000-00002FA50000}"/>
    <cellStyle name="Normal 4 3 7 3 3 2 2 3" xfId="23421" xr:uid="{00000000-0005-0000-0000-000030A50000}"/>
    <cellStyle name="Normal 4 3 7 3 3 2 2 3 2" xfId="50554" xr:uid="{00000000-0005-0000-0000-000031A50000}"/>
    <cellStyle name="Normal 4 3 7 3 3 2 2 4" xfId="36992" xr:uid="{00000000-0005-0000-0000-000032A50000}"/>
    <cellStyle name="Normal 4 3 7 3 3 2 3" xfId="13245" xr:uid="{00000000-0005-0000-0000-000033A50000}"/>
    <cellStyle name="Normal 4 3 7 3 3 2 3 2" xfId="26813" xr:uid="{00000000-0005-0000-0000-000034A50000}"/>
    <cellStyle name="Normal 4 3 7 3 3 2 3 2 2" xfId="53946" xr:uid="{00000000-0005-0000-0000-000035A50000}"/>
    <cellStyle name="Normal 4 3 7 3 3 2 3 3" xfId="40384" xr:uid="{00000000-0005-0000-0000-000036A50000}"/>
    <cellStyle name="Normal 4 3 7 3 3 2 4" xfId="20032" xr:uid="{00000000-0005-0000-0000-000037A50000}"/>
    <cellStyle name="Normal 4 3 7 3 3 2 4 2" xfId="47165" xr:uid="{00000000-0005-0000-0000-000038A50000}"/>
    <cellStyle name="Normal 4 3 7 3 3 2 5" xfId="33603" xr:uid="{00000000-0005-0000-0000-000039A50000}"/>
    <cellStyle name="Normal 4 3 7 3 3 3" xfId="9844" xr:uid="{00000000-0005-0000-0000-00003AA50000}"/>
    <cellStyle name="Normal 4 3 7 3 3 3 2" xfId="16633" xr:uid="{00000000-0005-0000-0000-00003BA50000}"/>
    <cellStyle name="Normal 4 3 7 3 3 3 2 2" xfId="30201" xr:uid="{00000000-0005-0000-0000-00003CA50000}"/>
    <cellStyle name="Normal 4 3 7 3 3 3 2 2 2" xfId="57334" xr:uid="{00000000-0005-0000-0000-00003DA50000}"/>
    <cellStyle name="Normal 4 3 7 3 3 3 2 3" xfId="43772" xr:uid="{00000000-0005-0000-0000-00003EA50000}"/>
    <cellStyle name="Normal 4 3 7 3 3 3 3" xfId="23420" xr:uid="{00000000-0005-0000-0000-00003FA50000}"/>
    <cellStyle name="Normal 4 3 7 3 3 3 3 2" xfId="50553" xr:uid="{00000000-0005-0000-0000-000040A50000}"/>
    <cellStyle name="Normal 4 3 7 3 3 3 4" xfId="36991" xr:uid="{00000000-0005-0000-0000-000041A50000}"/>
    <cellStyle name="Normal 4 3 7 3 3 4" xfId="13244" xr:uid="{00000000-0005-0000-0000-000042A50000}"/>
    <cellStyle name="Normal 4 3 7 3 3 4 2" xfId="26812" xr:uid="{00000000-0005-0000-0000-000043A50000}"/>
    <cellStyle name="Normal 4 3 7 3 3 4 2 2" xfId="53945" xr:uid="{00000000-0005-0000-0000-000044A50000}"/>
    <cellStyle name="Normal 4 3 7 3 3 4 3" xfId="40383" xr:uid="{00000000-0005-0000-0000-000045A50000}"/>
    <cellStyle name="Normal 4 3 7 3 3 5" xfId="20031" xr:uid="{00000000-0005-0000-0000-000046A50000}"/>
    <cellStyle name="Normal 4 3 7 3 3 5 2" xfId="47164" xr:uid="{00000000-0005-0000-0000-000047A50000}"/>
    <cellStyle name="Normal 4 3 7 3 3 6" xfId="33602" xr:uid="{00000000-0005-0000-0000-000048A50000}"/>
    <cellStyle name="Normal 4 3 7 3 4" xfId="6313" xr:uid="{00000000-0005-0000-0000-000049A50000}"/>
    <cellStyle name="Normal 4 3 7 3 4 2" xfId="9846" xr:uid="{00000000-0005-0000-0000-00004AA50000}"/>
    <cellStyle name="Normal 4 3 7 3 4 2 2" xfId="16635" xr:uid="{00000000-0005-0000-0000-00004BA50000}"/>
    <cellStyle name="Normal 4 3 7 3 4 2 2 2" xfId="30203" xr:uid="{00000000-0005-0000-0000-00004CA50000}"/>
    <cellStyle name="Normal 4 3 7 3 4 2 2 2 2" xfId="57336" xr:uid="{00000000-0005-0000-0000-00004DA50000}"/>
    <cellStyle name="Normal 4 3 7 3 4 2 2 3" xfId="43774" xr:uid="{00000000-0005-0000-0000-00004EA50000}"/>
    <cellStyle name="Normal 4 3 7 3 4 2 3" xfId="23422" xr:uid="{00000000-0005-0000-0000-00004FA50000}"/>
    <cellStyle name="Normal 4 3 7 3 4 2 3 2" xfId="50555" xr:uid="{00000000-0005-0000-0000-000050A50000}"/>
    <cellStyle name="Normal 4 3 7 3 4 2 4" xfId="36993" xr:uid="{00000000-0005-0000-0000-000051A50000}"/>
    <cellStyle name="Normal 4 3 7 3 4 3" xfId="13246" xr:uid="{00000000-0005-0000-0000-000052A50000}"/>
    <cellStyle name="Normal 4 3 7 3 4 3 2" xfId="26814" xr:uid="{00000000-0005-0000-0000-000053A50000}"/>
    <cellStyle name="Normal 4 3 7 3 4 3 2 2" xfId="53947" xr:uid="{00000000-0005-0000-0000-000054A50000}"/>
    <cellStyle name="Normal 4 3 7 3 4 3 3" xfId="40385" xr:uid="{00000000-0005-0000-0000-000055A50000}"/>
    <cellStyle name="Normal 4 3 7 3 4 4" xfId="20033" xr:uid="{00000000-0005-0000-0000-000056A50000}"/>
    <cellStyle name="Normal 4 3 7 3 4 4 2" xfId="47166" xr:uid="{00000000-0005-0000-0000-000057A50000}"/>
    <cellStyle name="Normal 4 3 7 3 4 5" xfId="33604" xr:uid="{00000000-0005-0000-0000-000058A50000}"/>
    <cellStyle name="Normal 4 3 7 3 5" xfId="6314" xr:uid="{00000000-0005-0000-0000-000059A50000}"/>
    <cellStyle name="Normal 4 3 7 3 5 2" xfId="9847" xr:uid="{00000000-0005-0000-0000-00005AA50000}"/>
    <cellStyle name="Normal 4 3 7 3 5 2 2" xfId="16636" xr:uid="{00000000-0005-0000-0000-00005BA50000}"/>
    <cellStyle name="Normal 4 3 7 3 5 2 2 2" xfId="30204" xr:uid="{00000000-0005-0000-0000-00005CA50000}"/>
    <cellStyle name="Normal 4 3 7 3 5 2 2 2 2" xfId="57337" xr:uid="{00000000-0005-0000-0000-00005DA50000}"/>
    <cellStyle name="Normal 4 3 7 3 5 2 2 3" xfId="43775" xr:uid="{00000000-0005-0000-0000-00005EA50000}"/>
    <cellStyle name="Normal 4 3 7 3 5 2 3" xfId="23423" xr:uid="{00000000-0005-0000-0000-00005FA50000}"/>
    <cellStyle name="Normal 4 3 7 3 5 2 3 2" xfId="50556" xr:uid="{00000000-0005-0000-0000-000060A50000}"/>
    <cellStyle name="Normal 4 3 7 3 5 2 4" xfId="36994" xr:uid="{00000000-0005-0000-0000-000061A50000}"/>
    <cellStyle name="Normal 4 3 7 3 5 3" xfId="13247" xr:uid="{00000000-0005-0000-0000-000062A50000}"/>
    <cellStyle name="Normal 4 3 7 3 5 3 2" xfId="26815" xr:uid="{00000000-0005-0000-0000-000063A50000}"/>
    <cellStyle name="Normal 4 3 7 3 5 3 2 2" xfId="53948" xr:uid="{00000000-0005-0000-0000-000064A50000}"/>
    <cellStyle name="Normal 4 3 7 3 5 3 3" xfId="40386" xr:uid="{00000000-0005-0000-0000-000065A50000}"/>
    <cellStyle name="Normal 4 3 7 3 5 4" xfId="20034" xr:uid="{00000000-0005-0000-0000-000066A50000}"/>
    <cellStyle name="Normal 4 3 7 3 5 4 2" xfId="47167" xr:uid="{00000000-0005-0000-0000-000067A50000}"/>
    <cellStyle name="Normal 4 3 7 3 5 5" xfId="33605" xr:uid="{00000000-0005-0000-0000-000068A50000}"/>
    <cellStyle name="Normal 4 3 7 3 6" xfId="9840" xr:uid="{00000000-0005-0000-0000-000069A50000}"/>
    <cellStyle name="Normal 4 3 7 3 6 2" xfId="16629" xr:uid="{00000000-0005-0000-0000-00006AA50000}"/>
    <cellStyle name="Normal 4 3 7 3 6 2 2" xfId="30197" xr:uid="{00000000-0005-0000-0000-00006BA50000}"/>
    <cellStyle name="Normal 4 3 7 3 6 2 2 2" xfId="57330" xr:uid="{00000000-0005-0000-0000-00006CA50000}"/>
    <cellStyle name="Normal 4 3 7 3 6 2 3" xfId="43768" xr:uid="{00000000-0005-0000-0000-00006DA50000}"/>
    <cellStyle name="Normal 4 3 7 3 6 3" xfId="23416" xr:uid="{00000000-0005-0000-0000-00006EA50000}"/>
    <cellStyle name="Normal 4 3 7 3 6 3 2" xfId="50549" xr:uid="{00000000-0005-0000-0000-00006FA50000}"/>
    <cellStyle name="Normal 4 3 7 3 6 4" xfId="36987" xr:uid="{00000000-0005-0000-0000-000070A50000}"/>
    <cellStyle name="Normal 4 3 7 3 7" xfId="13240" xr:uid="{00000000-0005-0000-0000-000071A50000}"/>
    <cellStyle name="Normal 4 3 7 3 7 2" xfId="26808" xr:uid="{00000000-0005-0000-0000-000072A50000}"/>
    <cellStyle name="Normal 4 3 7 3 7 2 2" xfId="53941" xr:uid="{00000000-0005-0000-0000-000073A50000}"/>
    <cellStyle name="Normal 4 3 7 3 7 3" xfId="40379" xr:uid="{00000000-0005-0000-0000-000074A50000}"/>
    <cellStyle name="Normal 4 3 7 3 8" xfId="20027" xr:uid="{00000000-0005-0000-0000-000075A50000}"/>
    <cellStyle name="Normal 4 3 7 3 8 2" xfId="47160" xr:uid="{00000000-0005-0000-0000-000076A50000}"/>
    <cellStyle name="Normal 4 3 7 3 9" xfId="33598" xr:uid="{00000000-0005-0000-0000-000077A50000}"/>
    <cellStyle name="Normal 4 3 7 4" xfId="6315" xr:uid="{00000000-0005-0000-0000-000078A50000}"/>
    <cellStyle name="Normal 4 3 7 4 2" xfId="6316" xr:uid="{00000000-0005-0000-0000-000079A50000}"/>
    <cellStyle name="Normal 4 3 7 4 2 2" xfId="6317" xr:uid="{00000000-0005-0000-0000-00007AA50000}"/>
    <cellStyle name="Normal 4 3 7 4 2 2 2" xfId="9850" xr:uid="{00000000-0005-0000-0000-00007BA50000}"/>
    <cellStyle name="Normal 4 3 7 4 2 2 2 2" xfId="16639" xr:uid="{00000000-0005-0000-0000-00007CA50000}"/>
    <cellStyle name="Normal 4 3 7 4 2 2 2 2 2" xfId="30207" xr:uid="{00000000-0005-0000-0000-00007DA50000}"/>
    <cellStyle name="Normal 4 3 7 4 2 2 2 2 2 2" xfId="57340" xr:uid="{00000000-0005-0000-0000-00007EA50000}"/>
    <cellStyle name="Normal 4 3 7 4 2 2 2 2 3" xfId="43778" xr:uid="{00000000-0005-0000-0000-00007FA50000}"/>
    <cellStyle name="Normal 4 3 7 4 2 2 2 3" xfId="23426" xr:uid="{00000000-0005-0000-0000-000080A50000}"/>
    <cellStyle name="Normal 4 3 7 4 2 2 2 3 2" xfId="50559" xr:uid="{00000000-0005-0000-0000-000081A50000}"/>
    <cellStyle name="Normal 4 3 7 4 2 2 2 4" xfId="36997" xr:uid="{00000000-0005-0000-0000-000082A50000}"/>
    <cellStyle name="Normal 4 3 7 4 2 2 3" xfId="13250" xr:uid="{00000000-0005-0000-0000-000083A50000}"/>
    <cellStyle name="Normal 4 3 7 4 2 2 3 2" xfId="26818" xr:uid="{00000000-0005-0000-0000-000084A50000}"/>
    <cellStyle name="Normal 4 3 7 4 2 2 3 2 2" xfId="53951" xr:uid="{00000000-0005-0000-0000-000085A50000}"/>
    <cellStyle name="Normal 4 3 7 4 2 2 3 3" xfId="40389" xr:uid="{00000000-0005-0000-0000-000086A50000}"/>
    <cellStyle name="Normal 4 3 7 4 2 2 4" xfId="20037" xr:uid="{00000000-0005-0000-0000-000087A50000}"/>
    <cellStyle name="Normal 4 3 7 4 2 2 4 2" xfId="47170" xr:uid="{00000000-0005-0000-0000-000088A50000}"/>
    <cellStyle name="Normal 4 3 7 4 2 2 5" xfId="33608" xr:uid="{00000000-0005-0000-0000-000089A50000}"/>
    <cellStyle name="Normal 4 3 7 4 2 3" xfId="6318" xr:uid="{00000000-0005-0000-0000-00008AA50000}"/>
    <cellStyle name="Normal 4 3 7 4 2 3 2" xfId="9851" xr:uid="{00000000-0005-0000-0000-00008BA50000}"/>
    <cellStyle name="Normal 4 3 7 4 2 3 2 2" xfId="16640" xr:uid="{00000000-0005-0000-0000-00008CA50000}"/>
    <cellStyle name="Normal 4 3 7 4 2 3 2 2 2" xfId="30208" xr:uid="{00000000-0005-0000-0000-00008DA50000}"/>
    <cellStyle name="Normal 4 3 7 4 2 3 2 2 2 2" xfId="57341" xr:uid="{00000000-0005-0000-0000-00008EA50000}"/>
    <cellStyle name="Normal 4 3 7 4 2 3 2 2 3" xfId="43779" xr:uid="{00000000-0005-0000-0000-00008FA50000}"/>
    <cellStyle name="Normal 4 3 7 4 2 3 2 3" xfId="23427" xr:uid="{00000000-0005-0000-0000-000090A50000}"/>
    <cellStyle name="Normal 4 3 7 4 2 3 2 3 2" xfId="50560" xr:uid="{00000000-0005-0000-0000-000091A50000}"/>
    <cellStyle name="Normal 4 3 7 4 2 3 2 4" xfId="36998" xr:uid="{00000000-0005-0000-0000-000092A50000}"/>
    <cellStyle name="Normal 4 3 7 4 2 3 3" xfId="13251" xr:uid="{00000000-0005-0000-0000-000093A50000}"/>
    <cellStyle name="Normal 4 3 7 4 2 3 3 2" xfId="26819" xr:uid="{00000000-0005-0000-0000-000094A50000}"/>
    <cellStyle name="Normal 4 3 7 4 2 3 3 2 2" xfId="53952" xr:uid="{00000000-0005-0000-0000-000095A50000}"/>
    <cellStyle name="Normal 4 3 7 4 2 3 3 3" xfId="40390" xr:uid="{00000000-0005-0000-0000-000096A50000}"/>
    <cellStyle name="Normal 4 3 7 4 2 3 4" xfId="20038" xr:uid="{00000000-0005-0000-0000-000097A50000}"/>
    <cellStyle name="Normal 4 3 7 4 2 3 4 2" xfId="47171" xr:uid="{00000000-0005-0000-0000-000098A50000}"/>
    <cellStyle name="Normal 4 3 7 4 2 3 5" xfId="33609" xr:uid="{00000000-0005-0000-0000-000099A50000}"/>
    <cellStyle name="Normal 4 3 7 4 2 4" xfId="9849" xr:uid="{00000000-0005-0000-0000-00009AA50000}"/>
    <cellStyle name="Normal 4 3 7 4 2 4 2" xfId="16638" xr:uid="{00000000-0005-0000-0000-00009BA50000}"/>
    <cellStyle name="Normal 4 3 7 4 2 4 2 2" xfId="30206" xr:uid="{00000000-0005-0000-0000-00009CA50000}"/>
    <cellStyle name="Normal 4 3 7 4 2 4 2 2 2" xfId="57339" xr:uid="{00000000-0005-0000-0000-00009DA50000}"/>
    <cellStyle name="Normal 4 3 7 4 2 4 2 3" xfId="43777" xr:uid="{00000000-0005-0000-0000-00009EA50000}"/>
    <cellStyle name="Normal 4 3 7 4 2 4 3" xfId="23425" xr:uid="{00000000-0005-0000-0000-00009FA50000}"/>
    <cellStyle name="Normal 4 3 7 4 2 4 3 2" xfId="50558" xr:uid="{00000000-0005-0000-0000-0000A0A50000}"/>
    <cellStyle name="Normal 4 3 7 4 2 4 4" xfId="36996" xr:uid="{00000000-0005-0000-0000-0000A1A50000}"/>
    <cellStyle name="Normal 4 3 7 4 2 5" xfId="13249" xr:uid="{00000000-0005-0000-0000-0000A2A50000}"/>
    <cellStyle name="Normal 4 3 7 4 2 5 2" xfId="26817" xr:uid="{00000000-0005-0000-0000-0000A3A50000}"/>
    <cellStyle name="Normal 4 3 7 4 2 5 2 2" xfId="53950" xr:uid="{00000000-0005-0000-0000-0000A4A50000}"/>
    <cellStyle name="Normal 4 3 7 4 2 5 3" xfId="40388" xr:uid="{00000000-0005-0000-0000-0000A5A50000}"/>
    <cellStyle name="Normal 4 3 7 4 2 6" xfId="20036" xr:uid="{00000000-0005-0000-0000-0000A6A50000}"/>
    <cellStyle name="Normal 4 3 7 4 2 6 2" xfId="47169" xr:uid="{00000000-0005-0000-0000-0000A7A50000}"/>
    <cellStyle name="Normal 4 3 7 4 2 7" xfId="33607" xr:uid="{00000000-0005-0000-0000-0000A8A50000}"/>
    <cellStyle name="Normal 4 3 7 4 3" xfId="6319" xr:uid="{00000000-0005-0000-0000-0000A9A50000}"/>
    <cellStyle name="Normal 4 3 7 4 3 2" xfId="9852" xr:uid="{00000000-0005-0000-0000-0000AAA50000}"/>
    <cellStyle name="Normal 4 3 7 4 3 2 2" xfId="16641" xr:uid="{00000000-0005-0000-0000-0000ABA50000}"/>
    <cellStyle name="Normal 4 3 7 4 3 2 2 2" xfId="30209" xr:uid="{00000000-0005-0000-0000-0000ACA50000}"/>
    <cellStyle name="Normal 4 3 7 4 3 2 2 2 2" xfId="57342" xr:uid="{00000000-0005-0000-0000-0000ADA50000}"/>
    <cellStyle name="Normal 4 3 7 4 3 2 2 3" xfId="43780" xr:uid="{00000000-0005-0000-0000-0000AEA50000}"/>
    <cellStyle name="Normal 4 3 7 4 3 2 3" xfId="23428" xr:uid="{00000000-0005-0000-0000-0000AFA50000}"/>
    <cellStyle name="Normal 4 3 7 4 3 2 3 2" xfId="50561" xr:uid="{00000000-0005-0000-0000-0000B0A50000}"/>
    <cellStyle name="Normal 4 3 7 4 3 2 4" xfId="36999" xr:uid="{00000000-0005-0000-0000-0000B1A50000}"/>
    <cellStyle name="Normal 4 3 7 4 3 3" xfId="13252" xr:uid="{00000000-0005-0000-0000-0000B2A50000}"/>
    <cellStyle name="Normal 4 3 7 4 3 3 2" xfId="26820" xr:uid="{00000000-0005-0000-0000-0000B3A50000}"/>
    <cellStyle name="Normal 4 3 7 4 3 3 2 2" xfId="53953" xr:uid="{00000000-0005-0000-0000-0000B4A50000}"/>
    <cellStyle name="Normal 4 3 7 4 3 3 3" xfId="40391" xr:uid="{00000000-0005-0000-0000-0000B5A50000}"/>
    <cellStyle name="Normal 4 3 7 4 3 4" xfId="20039" xr:uid="{00000000-0005-0000-0000-0000B6A50000}"/>
    <cellStyle name="Normal 4 3 7 4 3 4 2" xfId="47172" xr:uid="{00000000-0005-0000-0000-0000B7A50000}"/>
    <cellStyle name="Normal 4 3 7 4 3 5" xfId="33610" xr:uid="{00000000-0005-0000-0000-0000B8A50000}"/>
    <cellStyle name="Normal 4 3 7 4 4" xfId="6320" xr:uid="{00000000-0005-0000-0000-0000B9A50000}"/>
    <cellStyle name="Normal 4 3 7 4 4 2" xfId="9853" xr:uid="{00000000-0005-0000-0000-0000BAA50000}"/>
    <cellStyle name="Normal 4 3 7 4 4 2 2" xfId="16642" xr:uid="{00000000-0005-0000-0000-0000BBA50000}"/>
    <cellStyle name="Normal 4 3 7 4 4 2 2 2" xfId="30210" xr:uid="{00000000-0005-0000-0000-0000BCA50000}"/>
    <cellStyle name="Normal 4 3 7 4 4 2 2 2 2" xfId="57343" xr:uid="{00000000-0005-0000-0000-0000BDA50000}"/>
    <cellStyle name="Normal 4 3 7 4 4 2 2 3" xfId="43781" xr:uid="{00000000-0005-0000-0000-0000BEA50000}"/>
    <cellStyle name="Normal 4 3 7 4 4 2 3" xfId="23429" xr:uid="{00000000-0005-0000-0000-0000BFA50000}"/>
    <cellStyle name="Normal 4 3 7 4 4 2 3 2" xfId="50562" xr:uid="{00000000-0005-0000-0000-0000C0A50000}"/>
    <cellStyle name="Normal 4 3 7 4 4 2 4" xfId="37000" xr:uid="{00000000-0005-0000-0000-0000C1A50000}"/>
    <cellStyle name="Normal 4 3 7 4 4 3" xfId="13253" xr:uid="{00000000-0005-0000-0000-0000C2A50000}"/>
    <cellStyle name="Normal 4 3 7 4 4 3 2" xfId="26821" xr:uid="{00000000-0005-0000-0000-0000C3A50000}"/>
    <cellStyle name="Normal 4 3 7 4 4 3 2 2" xfId="53954" xr:uid="{00000000-0005-0000-0000-0000C4A50000}"/>
    <cellStyle name="Normal 4 3 7 4 4 3 3" xfId="40392" xr:uid="{00000000-0005-0000-0000-0000C5A50000}"/>
    <cellStyle name="Normal 4 3 7 4 4 4" xfId="20040" xr:uid="{00000000-0005-0000-0000-0000C6A50000}"/>
    <cellStyle name="Normal 4 3 7 4 4 4 2" xfId="47173" xr:uid="{00000000-0005-0000-0000-0000C7A50000}"/>
    <cellStyle name="Normal 4 3 7 4 4 5" xfId="33611" xr:uid="{00000000-0005-0000-0000-0000C8A50000}"/>
    <cellStyle name="Normal 4 3 7 4 5" xfId="9848" xr:uid="{00000000-0005-0000-0000-0000C9A50000}"/>
    <cellStyle name="Normal 4 3 7 4 5 2" xfId="16637" xr:uid="{00000000-0005-0000-0000-0000CAA50000}"/>
    <cellStyle name="Normal 4 3 7 4 5 2 2" xfId="30205" xr:uid="{00000000-0005-0000-0000-0000CBA50000}"/>
    <cellStyle name="Normal 4 3 7 4 5 2 2 2" xfId="57338" xr:uid="{00000000-0005-0000-0000-0000CCA50000}"/>
    <cellStyle name="Normal 4 3 7 4 5 2 3" xfId="43776" xr:uid="{00000000-0005-0000-0000-0000CDA50000}"/>
    <cellStyle name="Normal 4 3 7 4 5 3" xfId="23424" xr:uid="{00000000-0005-0000-0000-0000CEA50000}"/>
    <cellStyle name="Normal 4 3 7 4 5 3 2" xfId="50557" xr:uid="{00000000-0005-0000-0000-0000CFA50000}"/>
    <cellStyle name="Normal 4 3 7 4 5 4" xfId="36995" xr:uid="{00000000-0005-0000-0000-0000D0A50000}"/>
    <cellStyle name="Normal 4 3 7 4 6" xfId="13248" xr:uid="{00000000-0005-0000-0000-0000D1A50000}"/>
    <cellStyle name="Normal 4 3 7 4 6 2" xfId="26816" xr:uid="{00000000-0005-0000-0000-0000D2A50000}"/>
    <cellStyle name="Normal 4 3 7 4 6 2 2" xfId="53949" xr:uid="{00000000-0005-0000-0000-0000D3A50000}"/>
    <cellStyle name="Normal 4 3 7 4 6 3" xfId="40387" xr:uid="{00000000-0005-0000-0000-0000D4A50000}"/>
    <cellStyle name="Normal 4 3 7 4 7" xfId="20035" xr:uid="{00000000-0005-0000-0000-0000D5A50000}"/>
    <cellStyle name="Normal 4 3 7 4 7 2" xfId="47168" xr:uid="{00000000-0005-0000-0000-0000D6A50000}"/>
    <cellStyle name="Normal 4 3 7 4 8" xfId="33606" xr:uid="{00000000-0005-0000-0000-0000D7A50000}"/>
    <cellStyle name="Normal 4 3 7 5" xfId="6321" xr:uid="{00000000-0005-0000-0000-0000D8A50000}"/>
    <cellStyle name="Normal 4 3 7 5 2" xfId="6322" xr:uid="{00000000-0005-0000-0000-0000D9A50000}"/>
    <cellStyle name="Normal 4 3 7 5 2 2" xfId="6323" xr:uid="{00000000-0005-0000-0000-0000DAA50000}"/>
    <cellStyle name="Normal 4 3 7 5 2 2 2" xfId="9856" xr:uid="{00000000-0005-0000-0000-0000DBA50000}"/>
    <cellStyle name="Normal 4 3 7 5 2 2 2 2" xfId="16645" xr:uid="{00000000-0005-0000-0000-0000DCA50000}"/>
    <cellStyle name="Normal 4 3 7 5 2 2 2 2 2" xfId="30213" xr:uid="{00000000-0005-0000-0000-0000DDA50000}"/>
    <cellStyle name="Normal 4 3 7 5 2 2 2 2 2 2" xfId="57346" xr:uid="{00000000-0005-0000-0000-0000DEA50000}"/>
    <cellStyle name="Normal 4 3 7 5 2 2 2 2 3" xfId="43784" xr:uid="{00000000-0005-0000-0000-0000DFA50000}"/>
    <cellStyle name="Normal 4 3 7 5 2 2 2 3" xfId="23432" xr:uid="{00000000-0005-0000-0000-0000E0A50000}"/>
    <cellStyle name="Normal 4 3 7 5 2 2 2 3 2" xfId="50565" xr:uid="{00000000-0005-0000-0000-0000E1A50000}"/>
    <cellStyle name="Normal 4 3 7 5 2 2 2 4" xfId="37003" xr:uid="{00000000-0005-0000-0000-0000E2A50000}"/>
    <cellStyle name="Normal 4 3 7 5 2 2 3" xfId="13256" xr:uid="{00000000-0005-0000-0000-0000E3A50000}"/>
    <cellStyle name="Normal 4 3 7 5 2 2 3 2" xfId="26824" xr:uid="{00000000-0005-0000-0000-0000E4A50000}"/>
    <cellStyle name="Normal 4 3 7 5 2 2 3 2 2" xfId="53957" xr:uid="{00000000-0005-0000-0000-0000E5A50000}"/>
    <cellStyle name="Normal 4 3 7 5 2 2 3 3" xfId="40395" xr:uid="{00000000-0005-0000-0000-0000E6A50000}"/>
    <cellStyle name="Normal 4 3 7 5 2 2 4" xfId="20043" xr:uid="{00000000-0005-0000-0000-0000E7A50000}"/>
    <cellStyle name="Normal 4 3 7 5 2 2 4 2" xfId="47176" xr:uid="{00000000-0005-0000-0000-0000E8A50000}"/>
    <cellStyle name="Normal 4 3 7 5 2 2 5" xfId="33614" xr:uid="{00000000-0005-0000-0000-0000E9A50000}"/>
    <cellStyle name="Normal 4 3 7 5 2 3" xfId="6324" xr:uid="{00000000-0005-0000-0000-0000EAA50000}"/>
    <cellStyle name="Normal 4 3 7 5 2 3 2" xfId="9857" xr:uid="{00000000-0005-0000-0000-0000EBA50000}"/>
    <cellStyle name="Normal 4 3 7 5 2 3 2 2" xfId="16646" xr:uid="{00000000-0005-0000-0000-0000ECA50000}"/>
    <cellStyle name="Normal 4 3 7 5 2 3 2 2 2" xfId="30214" xr:uid="{00000000-0005-0000-0000-0000EDA50000}"/>
    <cellStyle name="Normal 4 3 7 5 2 3 2 2 2 2" xfId="57347" xr:uid="{00000000-0005-0000-0000-0000EEA50000}"/>
    <cellStyle name="Normal 4 3 7 5 2 3 2 2 3" xfId="43785" xr:uid="{00000000-0005-0000-0000-0000EFA50000}"/>
    <cellStyle name="Normal 4 3 7 5 2 3 2 3" xfId="23433" xr:uid="{00000000-0005-0000-0000-0000F0A50000}"/>
    <cellStyle name="Normal 4 3 7 5 2 3 2 3 2" xfId="50566" xr:uid="{00000000-0005-0000-0000-0000F1A50000}"/>
    <cellStyle name="Normal 4 3 7 5 2 3 2 4" xfId="37004" xr:uid="{00000000-0005-0000-0000-0000F2A50000}"/>
    <cellStyle name="Normal 4 3 7 5 2 3 3" xfId="13257" xr:uid="{00000000-0005-0000-0000-0000F3A50000}"/>
    <cellStyle name="Normal 4 3 7 5 2 3 3 2" xfId="26825" xr:uid="{00000000-0005-0000-0000-0000F4A50000}"/>
    <cellStyle name="Normal 4 3 7 5 2 3 3 2 2" xfId="53958" xr:uid="{00000000-0005-0000-0000-0000F5A50000}"/>
    <cellStyle name="Normal 4 3 7 5 2 3 3 3" xfId="40396" xr:uid="{00000000-0005-0000-0000-0000F6A50000}"/>
    <cellStyle name="Normal 4 3 7 5 2 3 4" xfId="20044" xr:uid="{00000000-0005-0000-0000-0000F7A50000}"/>
    <cellStyle name="Normal 4 3 7 5 2 3 4 2" xfId="47177" xr:uid="{00000000-0005-0000-0000-0000F8A50000}"/>
    <cellStyle name="Normal 4 3 7 5 2 3 5" xfId="33615" xr:uid="{00000000-0005-0000-0000-0000F9A50000}"/>
    <cellStyle name="Normal 4 3 7 5 2 4" xfId="9855" xr:uid="{00000000-0005-0000-0000-0000FAA50000}"/>
    <cellStyle name="Normal 4 3 7 5 2 4 2" xfId="16644" xr:uid="{00000000-0005-0000-0000-0000FBA50000}"/>
    <cellStyle name="Normal 4 3 7 5 2 4 2 2" xfId="30212" xr:uid="{00000000-0005-0000-0000-0000FCA50000}"/>
    <cellStyle name="Normal 4 3 7 5 2 4 2 2 2" xfId="57345" xr:uid="{00000000-0005-0000-0000-0000FDA50000}"/>
    <cellStyle name="Normal 4 3 7 5 2 4 2 3" xfId="43783" xr:uid="{00000000-0005-0000-0000-0000FEA50000}"/>
    <cellStyle name="Normal 4 3 7 5 2 4 3" xfId="23431" xr:uid="{00000000-0005-0000-0000-0000FFA50000}"/>
    <cellStyle name="Normal 4 3 7 5 2 4 3 2" xfId="50564" xr:uid="{00000000-0005-0000-0000-000000A60000}"/>
    <cellStyle name="Normal 4 3 7 5 2 4 4" xfId="37002" xr:uid="{00000000-0005-0000-0000-000001A60000}"/>
    <cellStyle name="Normal 4 3 7 5 2 5" xfId="13255" xr:uid="{00000000-0005-0000-0000-000002A60000}"/>
    <cellStyle name="Normal 4 3 7 5 2 5 2" xfId="26823" xr:uid="{00000000-0005-0000-0000-000003A60000}"/>
    <cellStyle name="Normal 4 3 7 5 2 5 2 2" xfId="53956" xr:uid="{00000000-0005-0000-0000-000004A60000}"/>
    <cellStyle name="Normal 4 3 7 5 2 5 3" xfId="40394" xr:uid="{00000000-0005-0000-0000-000005A60000}"/>
    <cellStyle name="Normal 4 3 7 5 2 6" xfId="20042" xr:uid="{00000000-0005-0000-0000-000006A60000}"/>
    <cellStyle name="Normal 4 3 7 5 2 6 2" xfId="47175" xr:uid="{00000000-0005-0000-0000-000007A60000}"/>
    <cellStyle name="Normal 4 3 7 5 2 7" xfId="33613" xr:uid="{00000000-0005-0000-0000-000008A60000}"/>
    <cellStyle name="Normal 4 3 7 5 3" xfId="6325" xr:uid="{00000000-0005-0000-0000-000009A60000}"/>
    <cellStyle name="Normal 4 3 7 5 3 2" xfId="9858" xr:uid="{00000000-0005-0000-0000-00000AA60000}"/>
    <cellStyle name="Normal 4 3 7 5 3 2 2" xfId="16647" xr:uid="{00000000-0005-0000-0000-00000BA60000}"/>
    <cellStyle name="Normal 4 3 7 5 3 2 2 2" xfId="30215" xr:uid="{00000000-0005-0000-0000-00000CA60000}"/>
    <cellStyle name="Normal 4 3 7 5 3 2 2 2 2" xfId="57348" xr:uid="{00000000-0005-0000-0000-00000DA60000}"/>
    <cellStyle name="Normal 4 3 7 5 3 2 2 3" xfId="43786" xr:uid="{00000000-0005-0000-0000-00000EA60000}"/>
    <cellStyle name="Normal 4 3 7 5 3 2 3" xfId="23434" xr:uid="{00000000-0005-0000-0000-00000FA60000}"/>
    <cellStyle name="Normal 4 3 7 5 3 2 3 2" xfId="50567" xr:uid="{00000000-0005-0000-0000-000010A60000}"/>
    <cellStyle name="Normal 4 3 7 5 3 2 4" xfId="37005" xr:uid="{00000000-0005-0000-0000-000011A60000}"/>
    <cellStyle name="Normal 4 3 7 5 3 3" xfId="13258" xr:uid="{00000000-0005-0000-0000-000012A60000}"/>
    <cellStyle name="Normal 4 3 7 5 3 3 2" xfId="26826" xr:uid="{00000000-0005-0000-0000-000013A60000}"/>
    <cellStyle name="Normal 4 3 7 5 3 3 2 2" xfId="53959" xr:uid="{00000000-0005-0000-0000-000014A60000}"/>
    <cellStyle name="Normal 4 3 7 5 3 3 3" xfId="40397" xr:uid="{00000000-0005-0000-0000-000015A60000}"/>
    <cellStyle name="Normal 4 3 7 5 3 4" xfId="20045" xr:uid="{00000000-0005-0000-0000-000016A60000}"/>
    <cellStyle name="Normal 4 3 7 5 3 4 2" xfId="47178" xr:uid="{00000000-0005-0000-0000-000017A60000}"/>
    <cellStyle name="Normal 4 3 7 5 3 5" xfId="33616" xr:uid="{00000000-0005-0000-0000-000018A60000}"/>
    <cellStyle name="Normal 4 3 7 5 4" xfId="6326" xr:uid="{00000000-0005-0000-0000-000019A60000}"/>
    <cellStyle name="Normal 4 3 7 5 4 2" xfId="9859" xr:uid="{00000000-0005-0000-0000-00001AA60000}"/>
    <cellStyle name="Normal 4 3 7 5 4 2 2" xfId="16648" xr:uid="{00000000-0005-0000-0000-00001BA60000}"/>
    <cellStyle name="Normal 4 3 7 5 4 2 2 2" xfId="30216" xr:uid="{00000000-0005-0000-0000-00001CA60000}"/>
    <cellStyle name="Normal 4 3 7 5 4 2 2 2 2" xfId="57349" xr:uid="{00000000-0005-0000-0000-00001DA60000}"/>
    <cellStyle name="Normal 4 3 7 5 4 2 2 3" xfId="43787" xr:uid="{00000000-0005-0000-0000-00001EA60000}"/>
    <cellStyle name="Normal 4 3 7 5 4 2 3" xfId="23435" xr:uid="{00000000-0005-0000-0000-00001FA60000}"/>
    <cellStyle name="Normal 4 3 7 5 4 2 3 2" xfId="50568" xr:uid="{00000000-0005-0000-0000-000020A60000}"/>
    <cellStyle name="Normal 4 3 7 5 4 2 4" xfId="37006" xr:uid="{00000000-0005-0000-0000-000021A60000}"/>
    <cellStyle name="Normal 4 3 7 5 4 3" xfId="13259" xr:uid="{00000000-0005-0000-0000-000022A60000}"/>
    <cellStyle name="Normal 4 3 7 5 4 3 2" xfId="26827" xr:uid="{00000000-0005-0000-0000-000023A60000}"/>
    <cellStyle name="Normal 4 3 7 5 4 3 2 2" xfId="53960" xr:uid="{00000000-0005-0000-0000-000024A60000}"/>
    <cellStyle name="Normal 4 3 7 5 4 3 3" xfId="40398" xr:uid="{00000000-0005-0000-0000-000025A60000}"/>
    <cellStyle name="Normal 4 3 7 5 4 4" xfId="20046" xr:uid="{00000000-0005-0000-0000-000026A60000}"/>
    <cellStyle name="Normal 4 3 7 5 4 4 2" xfId="47179" xr:uid="{00000000-0005-0000-0000-000027A60000}"/>
    <cellStyle name="Normal 4 3 7 5 4 5" xfId="33617" xr:uid="{00000000-0005-0000-0000-000028A60000}"/>
    <cellStyle name="Normal 4 3 7 5 5" xfId="9854" xr:uid="{00000000-0005-0000-0000-000029A60000}"/>
    <cellStyle name="Normal 4 3 7 5 5 2" xfId="16643" xr:uid="{00000000-0005-0000-0000-00002AA60000}"/>
    <cellStyle name="Normal 4 3 7 5 5 2 2" xfId="30211" xr:uid="{00000000-0005-0000-0000-00002BA60000}"/>
    <cellStyle name="Normal 4 3 7 5 5 2 2 2" xfId="57344" xr:uid="{00000000-0005-0000-0000-00002CA60000}"/>
    <cellStyle name="Normal 4 3 7 5 5 2 3" xfId="43782" xr:uid="{00000000-0005-0000-0000-00002DA60000}"/>
    <cellStyle name="Normal 4 3 7 5 5 3" xfId="23430" xr:uid="{00000000-0005-0000-0000-00002EA60000}"/>
    <cellStyle name="Normal 4 3 7 5 5 3 2" xfId="50563" xr:uid="{00000000-0005-0000-0000-00002FA60000}"/>
    <cellStyle name="Normal 4 3 7 5 5 4" xfId="37001" xr:uid="{00000000-0005-0000-0000-000030A60000}"/>
    <cellStyle name="Normal 4 3 7 5 6" xfId="13254" xr:uid="{00000000-0005-0000-0000-000031A60000}"/>
    <cellStyle name="Normal 4 3 7 5 6 2" xfId="26822" xr:uid="{00000000-0005-0000-0000-000032A60000}"/>
    <cellStyle name="Normal 4 3 7 5 6 2 2" xfId="53955" xr:uid="{00000000-0005-0000-0000-000033A60000}"/>
    <cellStyle name="Normal 4 3 7 5 6 3" xfId="40393" xr:uid="{00000000-0005-0000-0000-000034A60000}"/>
    <cellStyle name="Normal 4 3 7 5 7" xfId="20041" xr:uid="{00000000-0005-0000-0000-000035A60000}"/>
    <cellStyle name="Normal 4 3 7 5 7 2" xfId="47174" xr:uid="{00000000-0005-0000-0000-000036A60000}"/>
    <cellStyle name="Normal 4 3 7 5 8" xfId="33612" xr:uid="{00000000-0005-0000-0000-000037A60000}"/>
    <cellStyle name="Normal 4 3 7 6" xfId="6327" xr:uid="{00000000-0005-0000-0000-000038A60000}"/>
    <cellStyle name="Normal 4 3 7 6 2" xfId="6328" xr:uid="{00000000-0005-0000-0000-000039A60000}"/>
    <cellStyle name="Normal 4 3 7 6 2 2" xfId="9861" xr:uid="{00000000-0005-0000-0000-00003AA60000}"/>
    <cellStyle name="Normal 4 3 7 6 2 2 2" xfId="16650" xr:uid="{00000000-0005-0000-0000-00003BA60000}"/>
    <cellStyle name="Normal 4 3 7 6 2 2 2 2" xfId="30218" xr:uid="{00000000-0005-0000-0000-00003CA60000}"/>
    <cellStyle name="Normal 4 3 7 6 2 2 2 2 2" xfId="57351" xr:uid="{00000000-0005-0000-0000-00003DA60000}"/>
    <cellStyle name="Normal 4 3 7 6 2 2 2 3" xfId="43789" xr:uid="{00000000-0005-0000-0000-00003EA60000}"/>
    <cellStyle name="Normal 4 3 7 6 2 2 3" xfId="23437" xr:uid="{00000000-0005-0000-0000-00003FA60000}"/>
    <cellStyle name="Normal 4 3 7 6 2 2 3 2" xfId="50570" xr:uid="{00000000-0005-0000-0000-000040A60000}"/>
    <cellStyle name="Normal 4 3 7 6 2 2 4" xfId="37008" xr:uid="{00000000-0005-0000-0000-000041A60000}"/>
    <cellStyle name="Normal 4 3 7 6 2 3" xfId="13261" xr:uid="{00000000-0005-0000-0000-000042A60000}"/>
    <cellStyle name="Normal 4 3 7 6 2 3 2" xfId="26829" xr:uid="{00000000-0005-0000-0000-000043A60000}"/>
    <cellStyle name="Normal 4 3 7 6 2 3 2 2" xfId="53962" xr:uid="{00000000-0005-0000-0000-000044A60000}"/>
    <cellStyle name="Normal 4 3 7 6 2 3 3" xfId="40400" xr:uid="{00000000-0005-0000-0000-000045A60000}"/>
    <cellStyle name="Normal 4 3 7 6 2 4" xfId="20048" xr:uid="{00000000-0005-0000-0000-000046A60000}"/>
    <cellStyle name="Normal 4 3 7 6 2 4 2" xfId="47181" xr:uid="{00000000-0005-0000-0000-000047A60000}"/>
    <cellStyle name="Normal 4 3 7 6 2 5" xfId="33619" xr:uid="{00000000-0005-0000-0000-000048A60000}"/>
    <cellStyle name="Normal 4 3 7 6 3" xfId="6329" xr:uid="{00000000-0005-0000-0000-000049A60000}"/>
    <cellStyle name="Normal 4 3 7 6 3 2" xfId="9862" xr:uid="{00000000-0005-0000-0000-00004AA60000}"/>
    <cellStyle name="Normal 4 3 7 6 3 2 2" xfId="16651" xr:uid="{00000000-0005-0000-0000-00004BA60000}"/>
    <cellStyle name="Normal 4 3 7 6 3 2 2 2" xfId="30219" xr:uid="{00000000-0005-0000-0000-00004CA60000}"/>
    <cellStyle name="Normal 4 3 7 6 3 2 2 2 2" xfId="57352" xr:uid="{00000000-0005-0000-0000-00004DA60000}"/>
    <cellStyle name="Normal 4 3 7 6 3 2 2 3" xfId="43790" xr:uid="{00000000-0005-0000-0000-00004EA60000}"/>
    <cellStyle name="Normal 4 3 7 6 3 2 3" xfId="23438" xr:uid="{00000000-0005-0000-0000-00004FA60000}"/>
    <cellStyle name="Normal 4 3 7 6 3 2 3 2" xfId="50571" xr:uid="{00000000-0005-0000-0000-000050A60000}"/>
    <cellStyle name="Normal 4 3 7 6 3 2 4" xfId="37009" xr:uid="{00000000-0005-0000-0000-000051A60000}"/>
    <cellStyle name="Normal 4 3 7 6 3 3" xfId="13262" xr:uid="{00000000-0005-0000-0000-000052A60000}"/>
    <cellStyle name="Normal 4 3 7 6 3 3 2" xfId="26830" xr:uid="{00000000-0005-0000-0000-000053A60000}"/>
    <cellStyle name="Normal 4 3 7 6 3 3 2 2" xfId="53963" xr:uid="{00000000-0005-0000-0000-000054A60000}"/>
    <cellStyle name="Normal 4 3 7 6 3 3 3" xfId="40401" xr:uid="{00000000-0005-0000-0000-000055A60000}"/>
    <cellStyle name="Normal 4 3 7 6 3 4" xfId="20049" xr:uid="{00000000-0005-0000-0000-000056A60000}"/>
    <cellStyle name="Normal 4 3 7 6 3 4 2" xfId="47182" xr:uid="{00000000-0005-0000-0000-000057A60000}"/>
    <cellStyle name="Normal 4 3 7 6 3 5" xfId="33620" xr:uid="{00000000-0005-0000-0000-000058A60000}"/>
    <cellStyle name="Normal 4 3 7 6 4" xfId="9860" xr:uid="{00000000-0005-0000-0000-000059A60000}"/>
    <cellStyle name="Normal 4 3 7 6 4 2" xfId="16649" xr:uid="{00000000-0005-0000-0000-00005AA60000}"/>
    <cellStyle name="Normal 4 3 7 6 4 2 2" xfId="30217" xr:uid="{00000000-0005-0000-0000-00005BA60000}"/>
    <cellStyle name="Normal 4 3 7 6 4 2 2 2" xfId="57350" xr:uid="{00000000-0005-0000-0000-00005CA60000}"/>
    <cellStyle name="Normal 4 3 7 6 4 2 3" xfId="43788" xr:uid="{00000000-0005-0000-0000-00005DA60000}"/>
    <cellStyle name="Normal 4 3 7 6 4 3" xfId="23436" xr:uid="{00000000-0005-0000-0000-00005EA60000}"/>
    <cellStyle name="Normal 4 3 7 6 4 3 2" xfId="50569" xr:uid="{00000000-0005-0000-0000-00005FA60000}"/>
    <cellStyle name="Normal 4 3 7 6 4 4" xfId="37007" xr:uid="{00000000-0005-0000-0000-000060A60000}"/>
    <cellStyle name="Normal 4 3 7 6 5" xfId="13260" xr:uid="{00000000-0005-0000-0000-000061A60000}"/>
    <cellStyle name="Normal 4 3 7 6 5 2" xfId="26828" xr:uid="{00000000-0005-0000-0000-000062A60000}"/>
    <cellStyle name="Normal 4 3 7 6 5 2 2" xfId="53961" xr:uid="{00000000-0005-0000-0000-000063A60000}"/>
    <cellStyle name="Normal 4 3 7 6 5 3" xfId="40399" xr:uid="{00000000-0005-0000-0000-000064A60000}"/>
    <cellStyle name="Normal 4 3 7 6 6" xfId="20047" xr:uid="{00000000-0005-0000-0000-000065A60000}"/>
    <cellStyle name="Normal 4 3 7 6 6 2" xfId="47180" xr:uid="{00000000-0005-0000-0000-000066A60000}"/>
    <cellStyle name="Normal 4 3 7 6 7" xfId="33618" xr:uid="{00000000-0005-0000-0000-000067A60000}"/>
    <cellStyle name="Normal 4 3 7 7" xfId="6330" xr:uid="{00000000-0005-0000-0000-000068A60000}"/>
    <cellStyle name="Normal 4 3 7 7 2" xfId="6331" xr:uid="{00000000-0005-0000-0000-000069A60000}"/>
    <cellStyle name="Normal 4 3 7 7 2 2" xfId="9864" xr:uid="{00000000-0005-0000-0000-00006AA60000}"/>
    <cellStyle name="Normal 4 3 7 7 2 2 2" xfId="16653" xr:uid="{00000000-0005-0000-0000-00006BA60000}"/>
    <cellStyle name="Normal 4 3 7 7 2 2 2 2" xfId="30221" xr:uid="{00000000-0005-0000-0000-00006CA60000}"/>
    <cellStyle name="Normal 4 3 7 7 2 2 2 2 2" xfId="57354" xr:uid="{00000000-0005-0000-0000-00006DA60000}"/>
    <cellStyle name="Normal 4 3 7 7 2 2 2 3" xfId="43792" xr:uid="{00000000-0005-0000-0000-00006EA60000}"/>
    <cellStyle name="Normal 4 3 7 7 2 2 3" xfId="23440" xr:uid="{00000000-0005-0000-0000-00006FA60000}"/>
    <cellStyle name="Normal 4 3 7 7 2 2 3 2" xfId="50573" xr:uid="{00000000-0005-0000-0000-000070A60000}"/>
    <cellStyle name="Normal 4 3 7 7 2 2 4" xfId="37011" xr:uid="{00000000-0005-0000-0000-000071A60000}"/>
    <cellStyle name="Normal 4 3 7 7 2 3" xfId="13264" xr:uid="{00000000-0005-0000-0000-000072A60000}"/>
    <cellStyle name="Normal 4 3 7 7 2 3 2" xfId="26832" xr:uid="{00000000-0005-0000-0000-000073A60000}"/>
    <cellStyle name="Normal 4 3 7 7 2 3 2 2" xfId="53965" xr:uid="{00000000-0005-0000-0000-000074A60000}"/>
    <cellStyle name="Normal 4 3 7 7 2 3 3" xfId="40403" xr:uid="{00000000-0005-0000-0000-000075A60000}"/>
    <cellStyle name="Normal 4 3 7 7 2 4" xfId="20051" xr:uid="{00000000-0005-0000-0000-000076A60000}"/>
    <cellStyle name="Normal 4 3 7 7 2 4 2" xfId="47184" xr:uid="{00000000-0005-0000-0000-000077A60000}"/>
    <cellStyle name="Normal 4 3 7 7 2 5" xfId="33622" xr:uid="{00000000-0005-0000-0000-000078A60000}"/>
    <cellStyle name="Normal 4 3 7 7 3" xfId="9863" xr:uid="{00000000-0005-0000-0000-000079A60000}"/>
    <cellStyle name="Normal 4 3 7 7 3 2" xfId="16652" xr:uid="{00000000-0005-0000-0000-00007AA60000}"/>
    <cellStyle name="Normal 4 3 7 7 3 2 2" xfId="30220" xr:uid="{00000000-0005-0000-0000-00007BA60000}"/>
    <cellStyle name="Normal 4 3 7 7 3 2 2 2" xfId="57353" xr:uid="{00000000-0005-0000-0000-00007CA60000}"/>
    <cellStyle name="Normal 4 3 7 7 3 2 3" xfId="43791" xr:uid="{00000000-0005-0000-0000-00007DA60000}"/>
    <cellStyle name="Normal 4 3 7 7 3 3" xfId="23439" xr:uid="{00000000-0005-0000-0000-00007EA60000}"/>
    <cellStyle name="Normal 4 3 7 7 3 3 2" xfId="50572" xr:uid="{00000000-0005-0000-0000-00007FA60000}"/>
    <cellStyle name="Normal 4 3 7 7 3 4" xfId="37010" xr:uid="{00000000-0005-0000-0000-000080A60000}"/>
    <cellStyle name="Normal 4 3 7 7 4" xfId="13263" xr:uid="{00000000-0005-0000-0000-000081A60000}"/>
    <cellStyle name="Normal 4 3 7 7 4 2" xfId="26831" xr:uid="{00000000-0005-0000-0000-000082A60000}"/>
    <cellStyle name="Normal 4 3 7 7 4 2 2" xfId="53964" xr:uid="{00000000-0005-0000-0000-000083A60000}"/>
    <cellStyle name="Normal 4 3 7 7 4 3" xfId="40402" xr:uid="{00000000-0005-0000-0000-000084A60000}"/>
    <cellStyle name="Normal 4 3 7 7 5" xfId="20050" xr:uid="{00000000-0005-0000-0000-000085A60000}"/>
    <cellStyle name="Normal 4 3 7 7 5 2" xfId="47183" xr:uid="{00000000-0005-0000-0000-000086A60000}"/>
    <cellStyle name="Normal 4 3 7 7 6" xfId="33621" xr:uid="{00000000-0005-0000-0000-000087A60000}"/>
    <cellStyle name="Normal 4 3 7 8" xfId="6332" xr:uid="{00000000-0005-0000-0000-000088A60000}"/>
    <cellStyle name="Normal 4 3 7 8 2" xfId="9865" xr:uid="{00000000-0005-0000-0000-000089A60000}"/>
    <cellStyle name="Normal 4 3 7 8 2 2" xfId="16654" xr:uid="{00000000-0005-0000-0000-00008AA60000}"/>
    <cellStyle name="Normal 4 3 7 8 2 2 2" xfId="30222" xr:uid="{00000000-0005-0000-0000-00008BA60000}"/>
    <cellStyle name="Normal 4 3 7 8 2 2 2 2" xfId="57355" xr:uid="{00000000-0005-0000-0000-00008CA60000}"/>
    <cellStyle name="Normal 4 3 7 8 2 2 3" xfId="43793" xr:uid="{00000000-0005-0000-0000-00008DA60000}"/>
    <cellStyle name="Normal 4 3 7 8 2 3" xfId="23441" xr:uid="{00000000-0005-0000-0000-00008EA60000}"/>
    <cellStyle name="Normal 4 3 7 8 2 3 2" xfId="50574" xr:uid="{00000000-0005-0000-0000-00008FA60000}"/>
    <cellStyle name="Normal 4 3 7 8 2 4" xfId="37012" xr:uid="{00000000-0005-0000-0000-000090A60000}"/>
    <cellStyle name="Normal 4 3 7 8 3" xfId="13265" xr:uid="{00000000-0005-0000-0000-000091A60000}"/>
    <cellStyle name="Normal 4 3 7 8 3 2" xfId="26833" xr:uid="{00000000-0005-0000-0000-000092A60000}"/>
    <cellStyle name="Normal 4 3 7 8 3 2 2" xfId="53966" xr:uid="{00000000-0005-0000-0000-000093A60000}"/>
    <cellStyle name="Normal 4 3 7 8 3 3" xfId="40404" xr:uid="{00000000-0005-0000-0000-000094A60000}"/>
    <cellStyle name="Normal 4 3 7 8 4" xfId="20052" xr:uid="{00000000-0005-0000-0000-000095A60000}"/>
    <cellStyle name="Normal 4 3 7 8 4 2" xfId="47185" xr:uid="{00000000-0005-0000-0000-000096A60000}"/>
    <cellStyle name="Normal 4 3 7 8 5" xfId="33623" xr:uid="{00000000-0005-0000-0000-000097A60000}"/>
    <cellStyle name="Normal 4 3 7 9" xfId="6333" xr:uid="{00000000-0005-0000-0000-000098A60000}"/>
    <cellStyle name="Normal 4 3 7 9 2" xfId="9866" xr:uid="{00000000-0005-0000-0000-000099A60000}"/>
    <cellStyle name="Normal 4 3 7 9 2 2" xfId="16655" xr:uid="{00000000-0005-0000-0000-00009AA60000}"/>
    <cellStyle name="Normal 4 3 7 9 2 2 2" xfId="30223" xr:uid="{00000000-0005-0000-0000-00009BA60000}"/>
    <cellStyle name="Normal 4 3 7 9 2 2 2 2" xfId="57356" xr:uid="{00000000-0005-0000-0000-00009CA60000}"/>
    <cellStyle name="Normal 4 3 7 9 2 2 3" xfId="43794" xr:uid="{00000000-0005-0000-0000-00009DA60000}"/>
    <cellStyle name="Normal 4 3 7 9 2 3" xfId="23442" xr:uid="{00000000-0005-0000-0000-00009EA60000}"/>
    <cellStyle name="Normal 4 3 7 9 2 3 2" xfId="50575" xr:uid="{00000000-0005-0000-0000-00009FA60000}"/>
    <cellStyle name="Normal 4 3 7 9 2 4" xfId="37013" xr:uid="{00000000-0005-0000-0000-0000A0A60000}"/>
    <cellStyle name="Normal 4 3 7 9 3" xfId="13266" xr:uid="{00000000-0005-0000-0000-0000A1A60000}"/>
    <cellStyle name="Normal 4 3 7 9 3 2" xfId="26834" xr:uid="{00000000-0005-0000-0000-0000A2A60000}"/>
    <cellStyle name="Normal 4 3 7 9 3 2 2" xfId="53967" xr:uid="{00000000-0005-0000-0000-0000A3A60000}"/>
    <cellStyle name="Normal 4 3 7 9 3 3" xfId="40405" xr:uid="{00000000-0005-0000-0000-0000A4A60000}"/>
    <cellStyle name="Normal 4 3 7 9 4" xfId="20053" xr:uid="{00000000-0005-0000-0000-0000A5A60000}"/>
    <cellStyle name="Normal 4 3 7 9 4 2" xfId="47186" xr:uid="{00000000-0005-0000-0000-0000A6A60000}"/>
    <cellStyle name="Normal 4 3 7 9 5" xfId="33624" xr:uid="{00000000-0005-0000-0000-0000A7A60000}"/>
    <cellStyle name="Normal 4 3 8" xfId="6334" xr:uid="{00000000-0005-0000-0000-0000A8A60000}"/>
    <cellStyle name="Normal 4 3 8 10" xfId="33625" xr:uid="{00000000-0005-0000-0000-0000A9A60000}"/>
    <cellStyle name="Normal 4 3 8 2" xfId="6335" xr:uid="{00000000-0005-0000-0000-0000AAA60000}"/>
    <cellStyle name="Normal 4 3 8 2 2" xfId="6336" xr:uid="{00000000-0005-0000-0000-0000ABA60000}"/>
    <cellStyle name="Normal 4 3 8 2 2 2" xfId="6337" xr:uid="{00000000-0005-0000-0000-0000ACA60000}"/>
    <cellStyle name="Normal 4 3 8 2 2 2 2" xfId="9870" xr:uid="{00000000-0005-0000-0000-0000ADA60000}"/>
    <cellStyle name="Normal 4 3 8 2 2 2 2 2" xfId="16659" xr:uid="{00000000-0005-0000-0000-0000AEA60000}"/>
    <cellStyle name="Normal 4 3 8 2 2 2 2 2 2" xfId="30227" xr:uid="{00000000-0005-0000-0000-0000AFA60000}"/>
    <cellStyle name="Normal 4 3 8 2 2 2 2 2 2 2" xfId="57360" xr:uid="{00000000-0005-0000-0000-0000B0A60000}"/>
    <cellStyle name="Normal 4 3 8 2 2 2 2 2 3" xfId="43798" xr:uid="{00000000-0005-0000-0000-0000B1A60000}"/>
    <cellStyle name="Normal 4 3 8 2 2 2 2 3" xfId="23446" xr:uid="{00000000-0005-0000-0000-0000B2A60000}"/>
    <cellStyle name="Normal 4 3 8 2 2 2 2 3 2" xfId="50579" xr:uid="{00000000-0005-0000-0000-0000B3A60000}"/>
    <cellStyle name="Normal 4 3 8 2 2 2 2 4" xfId="37017" xr:uid="{00000000-0005-0000-0000-0000B4A60000}"/>
    <cellStyle name="Normal 4 3 8 2 2 2 3" xfId="13270" xr:uid="{00000000-0005-0000-0000-0000B5A60000}"/>
    <cellStyle name="Normal 4 3 8 2 2 2 3 2" xfId="26838" xr:uid="{00000000-0005-0000-0000-0000B6A60000}"/>
    <cellStyle name="Normal 4 3 8 2 2 2 3 2 2" xfId="53971" xr:uid="{00000000-0005-0000-0000-0000B7A60000}"/>
    <cellStyle name="Normal 4 3 8 2 2 2 3 3" xfId="40409" xr:uid="{00000000-0005-0000-0000-0000B8A60000}"/>
    <cellStyle name="Normal 4 3 8 2 2 2 4" xfId="20057" xr:uid="{00000000-0005-0000-0000-0000B9A60000}"/>
    <cellStyle name="Normal 4 3 8 2 2 2 4 2" xfId="47190" xr:uid="{00000000-0005-0000-0000-0000BAA60000}"/>
    <cellStyle name="Normal 4 3 8 2 2 2 5" xfId="33628" xr:uid="{00000000-0005-0000-0000-0000BBA60000}"/>
    <cellStyle name="Normal 4 3 8 2 2 3" xfId="6338" xr:uid="{00000000-0005-0000-0000-0000BCA60000}"/>
    <cellStyle name="Normal 4 3 8 2 2 3 2" xfId="9871" xr:uid="{00000000-0005-0000-0000-0000BDA60000}"/>
    <cellStyle name="Normal 4 3 8 2 2 3 2 2" xfId="16660" xr:uid="{00000000-0005-0000-0000-0000BEA60000}"/>
    <cellStyle name="Normal 4 3 8 2 2 3 2 2 2" xfId="30228" xr:uid="{00000000-0005-0000-0000-0000BFA60000}"/>
    <cellStyle name="Normal 4 3 8 2 2 3 2 2 2 2" xfId="57361" xr:uid="{00000000-0005-0000-0000-0000C0A60000}"/>
    <cellStyle name="Normal 4 3 8 2 2 3 2 2 3" xfId="43799" xr:uid="{00000000-0005-0000-0000-0000C1A60000}"/>
    <cellStyle name="Normal 4 3 8 2 2 3 2 3" xfId="23447" xr:uid="{00000000-0005-0000-0000-0000C2A60000}"/>
    <cellStyle name="Normal 4 3 8 2 2 3 2 3 2" xfId="50580" xr:uid="{00000000-0005-0000-0000-0000C3A60000}"/>
    <cellStyle name="Normal 4 3 8 2 2 3 2 4" xfId="37018" xr:uid="{00000000-0005-0000-0000-0000C4A60000}"/>
    <cellStyle name="Normal 4 3 8 2 2 3 3" xfId="13271" xr:uid="{00000000-0005-0000-0000-0000C5A60000}"/>
    <cellStyle name="Normal 4 3 8 2 2 3 3 2" xfId="26839" xr:uid="{00000000-0005-0000-0000-0000C6A60000}"/>
    <cellStyle name="Normal 4 3 8 2 2 3 3 2 2" xfId="53972" xr:uid="{00000000-0005-0000-0000-0000C7A60000}"/>
    <cellStyle name="Normal 4 3 8 2 2 3 3 3" xfId="40410" xr:uid="{00000000-0005-0000-0000-0000C8A60000}"/>
    <cellStyle name="Normal 4 3 8 2 2 3 4" xfId="20058" xr:uid="{00000000-0005-0000-0000-0000C9A60000}"/>
    <cellStyle name="Normal 4 3 8 2 2 3 4 2" xfId="47191" xr:uid="{00000000-0005-0000-0000-0000CAA60000}"/>
    <cellStyle name="Normal 4 3 8 2 2 3 5" xfId="33629" xr:uid="{00000000-0005-0000-0000-0000CBA60000}"/>
    <cellStyle name="Normal 4 3 8 2 2 4" xfId="9869" xr:uid="{00000000-0005-0000-0000-0000CCA60000}"/>
    <cellStyle name="Normal 4 3 8 2 2 4 2" xfId="16658" xr:uid="{00000000-0005-0000-0000-0000CDA60000}"/>
    <cellStyle name="Normal 4 3 8 2 2 4 2 2" xfId="30226" xr:uid="{00000000-0005-0000-0000-0000CEA60000}"/>
    <cellStyle name="Normal 4 3 8 2 2 4 2 2 2" xfId="57359" xr:uid="{00000000-0005-0000-0000-0000CFA60000}"/>
    <cellStyle name="Normal 4 3 8 2 2 4 2 3" xfId="43797" xr:uid="{00000000-0005-0000-0000-0000D0A60000}"/>
    <cellStyle name="Normal 4 3 8 2 2 4 3" xfId="23445" xr:uid="{00000000-0005-0000-0000-0000D1A60000}"/>
    <cellStyle name="Normal 4 3 8 2 2 4 3 2" xfId="50578" xr:uid="{00000000-0005-0000-0000-0000D2A60000}"/>
    <cellStyle name="Normal 4 3 8 2 2 4 4" xfId="37016" xr:uid="{00000000-0005-0000-0000-0000D3A60000}"/>
    <cellStyle name="Normal 4 3 8 2 2 5" xfId="13269" xr:uid="{00000000-0005-0000-0000-0000D4A60000}"/>
    <cellStyle name="Normal 4 3 8 2 2 5 2" xfId="26837" xr:uid="{00000000-0005-0000-0000-0000D5A60000}"/>
    <cellStyle name="Normal 4 3 8 2 2 5 2 2" xfId="53970" xr:uid="{00000000-0005-0000-0000-0000D6A60000}"/>
    <cellStyle name="Normal 4 3 8 2 2 5 3" xfId="40408" xr:uid="{00000000-0005-0000-0000-0000D7A60000}"/>
    <cellStyle name="Normal 4 3 8 2 2 6" xfId="20056" xr:uid="{00000000-0005-0000-0000-0000D8A60000}"/>
    <cellStyle name="Normal 4 3 8 2 2 6 2" xfId="47189" xr:uid="{00000000-0005-0000-0000-0000D9A60000}"/>
    <cellStyle name="Normal 4 3 8 2 2 7" xfId="33627" xr:uid="{00000000-0005-0000-0000-0000DAA60000}"/>
    <cellStyle name="Normal 4 3 8 2 3" xfId="6339" xr:uid="{00000000-0005-0000-0000-0000DBA60000}"/>
    <cellStyle name="Normal 4 3 8 2 3 2" xfId="6340" xr:uid="{00000000-0005-0000-0000-0000DCA60000}"/>
    <cellStyle name="Normal 4 3 8 2 3 2 2" xfId="9873" xr:uid="{00000000-0005-0000-0000-0000DDA60000}"/>
    <cellStyle name="Normal 4 3 8 2 3 2 2 2" xfId="16662" xr:uid="{00000000-0005-0000-0000-0000DEA60000}"/>
    <cellStyle name="Normal 4 3 8 2 3 2 2 2 2" xfId="30230" xr:uid="{00000000-0005-0000-0000-0000DFA60000}"/>
    <cellStyle name="Normal 4 3 8 2 3 2 2 2 2 2" xfId="57363" xr:uid="{00000000-0005-0000-0000-0000E0A60000}"/>
    <cellStyle name="Normal 4 3 8 2 3 2 2 2 3" xfId="43801" xr:uid="{00000000-0005-0000-0000-0000E1A60000}"/>
    <cellStyle name="Normal 4 3 8 2 3 2 2 3" xfId="23449" xr:uid="{00000000-0005-0000-0000-0000E2A60000}"/>
    <cellStyle name="Normal 4 3 8 2 3 2 2 3 2" xfId="50582" xr:uid="{00000000-0005-0000-0000-0000E3A60000}"/>
    <cellStyle name="Normal 4 3 8 2 3 2 2 4" xfId="37020" xr:uid="{00000000-0005-0000-0000-0000E4A60000}"/>
    <cellStyle name="Normal 4 3 8 2 3 2 3" xfId="13273" xr:uid="{00000000-0005-0000-0000-0000E5A60000}"/>
    <cellStyle name="Normal 4 3 8 2 3 2 3 2" xfId="26841" xr:uid="{00000000-0005-0000-0000-0000E6A60000}"/>
    <cellStyle name="Normal 4 3 8 2 3 2 3 2 2" xfId="53974" xr:uid="{00000000-0005-0000-0000-0000E7A60000}"/>
    <cellStyle name="Normal 4 3 8 2 3 2 3 3" xfId="40412" xr:uid="{00000000-0005-0000-0000-0000E8A60000}"/>
    <cellStyle name="Normal 4 3 8 2 3 2 4" xfId="20060" xr:uid="{00000000-0005-0000-0000-0000E9A60000}"/>
    <cellStyle name="Normal 4 3 8 2 3 2 4 2" xfId="47193" xr:uid="{00000000-0005-0000-0000-0000EAA60000}"/>
    <cellStyle name="Normal 4 3 8 2 3 2 5" xfId="33631" xr:uid="{00000000-0005-0000-0000-0000EBA60000}"/>
    <cellStyle name="Normal 4 3 8 2 3 3" xfId="9872" xr:uid="{00000000-0005-0000-0000-0000ECA60000}"/>
    <cellStyle name="Normal 4 3 8 2 3 3 2" xfId="16661" xr:uid="{00000000-0005-0000-0000-0000EDA60000}"/>
    <cellStyle name="Normal 4 3 8 2 3 3 2 2" xfId="30229" xr:uid="{00000000-0005-0000-0000-0000EEA60000}"/>
    <cellStyle name="Normal 4 3 8 2 3 3 2 2 2" xfId="57362" xr:uid="{00000000-0005-0000-0000-0000EFA60000}"/>
    <cellStyle name="Normal 4 3 8 2 3 3 2 3" xfId="43800" xr:uid="{00000000-0005-0000-0000-0000F0A60000}"/>
    <cellStyle name="Normal 4 3 8 2 3 3 3" xfId="23448" xr:uid="{00000000-0005-0000-0000-0000F1A60000}"/>
    <cellStyle name="Normal 4 3 8 2 3 3 3 2" xfId="50581" xr:uid="{00000000-0005-0000-0000-0000F2A60000}"/>
    <cellStyle name="Normal 4 3 8 2 3 3 4" xfId="37019" xr:uid="{00000000-0005-0000-0000-0000F3A60000}"/>
    <cellStyle name="Normal 4 3 8 2 3 4" xfId="13272" xr:uid="{00000000-0005-0000-0000-0000F4A60000}"/>
    <cellStyle name="Normal 4 3 8 2 3 4 2" xfId="26840" xr:uid="{00000000-0005-0000-0000-0000F5A60000}"/>
    <cellStyle name="Normal 4 3 8 2 3 4 2 2" xfId="53973" xr:uid="{00000000-0005-0000-0000-0000F6A60000}"/>
    <cellStyle name="Normal 4 3 8 2 3 4 3" xfId="40411" xr:uid="{00000000-0005-0000-0000-0000F7A60000}"/>
    <cellStyle name="Normal 4 3 8 2 3 5" xfId="20059" xr:uid="{00000000-0005-0000-0000-0000F8A60000}"/>
    <cellStyle name="Normal 4 3 8 2 3 5 2" xfId="47192" xr:uid="{00000000-0005-0000-0000-0000F9A60000}"/>
    <cellStyle name="Normal 4 3 8 2 3 6" xfId="33630" xr:uid="{00000000-0005-0000-0000-0000FAA60000}"/>
    <cellStyle name="Normal 4 3 8 2 4" xfId="6341" xr:uid="{00000000-0005-0000-0000-0000FBA60000}"/>
    <cellStyle name="Normal 4 3 8 2 4 2" xfId="9874" xr:uid="{00000000-0005-0000-0000-0000FCA60000}"/>
    <cellStyle name="Normal 4 3 8 2 4 2 2" xfId="16663" xr:uid="{00000000-0005-0000-0000-0000FDA60000}"/>
    <cellStyle name="Normal 4 3 8 2 4 2 2 2" xfId="30231" xr:uid="{00000000-0005-0000-0000-0000FEA60000}"/>
    <cellStyle name="Normal 4 3 8 2 4 2 2 2 2" xfId="57364" xr:uid="{00000000-0005-0000-0000-0000FFA60000}"/>
    <cellStyle name="Normal 4 3 8 2 4 2 2 3" xfId="43802" xr:uid="{00000000-0005-0000-0000-000000A70000}"/>
    <cellStyle name="Normal 4 3 8 2 4 2 3" xfId="23450" xr:uid="{00000000-0005-0000-0000-000001A70000}"/>
    <cellStyle name="Normal 4 3 8 2 4 2 3 2" xfId="50583" xr:uid="{00000000-0005-0000-0000-000002A70000}"/>
    <cellStyle name="Normal 4 3 8 2 4 2 4" xfId="37021" xr:uid="{00000000-0005-0000-0000-000003A70000}"/>
    <cellStyle name="Normal 4 3 8 2 4 3" xfId="13274" xr:uid="{00000000-0005-0000-0000-000004A70000}"/>
    <cellStyle name="Normal 4 3 8 2 4 3 2" xfId="26842" xr:uid="{00000000-0005-0000-0000-000005A70000}"/>
    <cellStyle name="Normal 4 3 8 2 4 3 2 2" xfId="53975" xr:uid="{00000000-0005-0000-0000-000006A70000}"/>
    <cellStyle name="Normal 4 3 8 2 4 3 3" xfId="40413" xr:uid="{00000000-0005-0000-0000-000007A70000}"/>
    <cellStyle name="Normal 4 3 8 2 4 4" xfId="20061" xr:uid="{00000000-0005-0000-0000-000008A70000}"/>
    <cellStyle name="Normal 4 3 8 2 4 4 2" xfId="47194" xr:uid="{00000000-0005-0000-0000-000009A70000}"/>
    <cellStyle name="Normal 4 3 8 2 4 5" xfId="33632" xr:uid="{00000000-0005-0000-0000-00000AA70000}"/>
    <cellStyle name="Normal 4 3 8 2 5" xfId="6342" xr:uid="{00000000-0005-0000-0000-00000BA70000}"/>
    <cellStyle name="Normal 4 3 8 2 5 2" xfId="9875" xr:uid="{00000000-0005-0000-0000-00000CA70000}"/>
    <cellStyle name="Normal 4 3 8 2 5 2 2" xfId="16664" xr:uid="{00000000-0005-0000-0000-00000DA70000}"/>
    <cellStyle name="Normal 4 3 8 2 5 2 2 2" xfId="30232" xr:uid="{00000000-0005-0000-0000-00000EA70000}"/>
    <cellStyle name="Normal 4 3 8 2 5 2 2 2 2" xfId="57365" xr:uid="{00000000-0005-0000-0000-00000FA70000}"/>
    <cellStyle name="Normal 4 3 8 2 5 2 2 3" xfId="43803" xr:uid="{00000000-0005-0000-0000-000010A70000}"/>
    <cellStyle name="Normal 4 3 8 2 5 2 3" xfId="23451" xr:uid="{00000000-0005-0000-0000-000011A70000}"/>
    <cellStyle name="Normal 4 3 8 2 5 2 3 2" xfId="50584" xr:uid="{00000000-0005-0000-0000-000012A70000}"/>
    <cellStyle name="Normal 4 3 8 2 5 2 4" xfId="37022" xr:uid="{00000000-0005-0000-0000-000013A70000}"/>
    <cellStyle name="Normal 4 3 8 2 5 3" xfId="13275" xr:uid="{00000000-0005-0000-0000-000014A70000}"/>
    <cellStyle name="Normal 4 3 8 2 5 3 2" xfId="26843" xr:uid="{00000000-0005-0000-0000-000015A70000}"/>
    <cellStyle name="Normal 4 3 8 2 5 3 2 2" xfId="53976" xr:uid="{00000000-0005-0000-0000-000016A70000}"/>
    <cellStyle name="Normal 4 3 8 2 5 3 3" xfId="40414" xr:uid="{00000000-0005-0000-0000-000017A70000}"/>
    <cellStyle name="Normal 4 3 8 2 5 4" xfId="20062" xr:uid="{00000000-0005-0000-0000-000018A70000}"/>
    <cellStyle name="Normal 4 3 8 2 5 4 2" xfId="47195" xr:uid="{00000000-0005-0000-0000-000019A70000}"/>
    <cellStyle name="Normal 4 3 8 2 5 5" xfId="33633" xr:uid="{00000000-0005-0000-0000-00001AA70000}"/>
    <cellStyle name="Normal 4 3 8 2 6" xfId="9868" xr:uid="{00000000-0005-0000-0000-00001BA70000}"/>
    <cellStyle name="Normal 4 3 8 2 6 2" xfId="16657" xr:uid="{00000000-0005-0000-0000-00001CA70000}"/>
    <cellStyle name="Normal 4 3 8 2 6 2 2" xfId="30225" xr:uid="{00000000-0005-0000-0000-00001DA70000}"/>
    <cellStyle name="Normal 4 3 8 2 6 2 2 2" xfId="57358" xr:uid="{00000000-0005-0000-0000-00001EA70000}"/>
    <cellStyle name="Normal 4 3 8 2 6 2 3" xfId="43796" xr:uid="{00000000-0005-0000-0000-00001FA70000}"/>
    <cellStyle name="Normal 4 3 8 2 6 3" xfId="23444" xr:uid="{00000000-0005-0000-0000-000020A70000}"/>
    <cellStyle name="Normal 4 3 8 2 6 3 2" xfId="50577" xr:uid="{00000000-0005-0000-0000-000021A70000}"/>
    <cellStyle name="Normal 4 3 8 2 6 4" xfId="37015" xr:uid="{00000000-0005-0000-0000-000022A70000}"/>
    <cellStyle name="Normal 4 3 8 2 7" xfId="13268" xr:uid="{00000000-0005-0000-0000-000023A70000}"/>
    <cellStyle name="Normal 4 3 8 2 7 2" xfId="26836" xr:uid="{00000000-0005-0000-0000-000024A70000}"/>
    <cellStyle name="Normal 4 3 8 2 7 2 2" xfId="53969" xr:uid="{00000000-0005-0000-0000-000025A70000}"/>
    <cellStyle name="Normal 4 3 8 2 7 3" xfId="40407" xr:uid="{00000000-0005-0000-0000-000026A70000}"/>
    <cellStyle name="Normal 4 3 8 2 8" xfId="20055" xr:uid="{00000000-0005-0000-0000-000027A70000}"/>
    <cellStyle name="Normal 4 3 8 2 8 2" xfId="47188" xr:uid="{00000000-0005-0000-0000-000028A70000}"/>
    <cellStyle name="Normal 4 3 8 2 9" xfId="33626" xr:uid="{00000000-0005-0000-0000-000029A70000}"/>
    <cellStyle name="Normal 4 3 8 3" xfId="6343" xr:uid="{00000000-0005-0000-0000-00002AA70000}"/>
    <cellStyle name="Normal 4 3 8 3 2" xfId="6344" xr:uid="{00000000-0005-0000-0000-00002BA70000}"/>
    <cellStyle name="Normal 4 3 8 3 2 2" xfId="9877" xr:uid="{00000000-0005-0000-0000-00002CA70000}"/>
    <cellStyle name="Normal 4 3 8 3 2 2 2" xfId="16666" xr:uid="{00000000-0005-0000-0000-00002DA70000}"/>
    <cellStyle name="Normal 4 3 8 3 2 2 2 2" xfId="30234" xr:uid="{00000000-0005-0000-0000-00002EA70000}"/>
    <cellStyle name="Normal 4 3 8 3 2 2 2 2 2" xfId="57367" xr:uid="{00000000-0005-0000-0000-00002FA70000}"/>
    <cellStyle name="Normal 4 3 8 3 2 2 2 3" xfId="43805" xr:uid="{00000000-0005-0000-0000-000030A70000}"/>
    <cellStyle name="Normal 4 3 8 3 2 2 3" xfId="23453" xr:uid="{00000000-0005-0000-0000-000031A70000}"/>
    <cellStyle name="Normal 4 3 8 3 2 2 3 2" xfId="50586" xr:uid="{00000000-0005-0000-0000-000032A70000}"/>
    <cellStyle name="Normal 4 3 8 3 2 2 4" xfId="37024" xr:uid="{00000000-0005-0000-0000-000033A70000}"/>
    <cellStyle name="Normal 4 3 8 3 2 3" xfId="13277" xr:uid="{00000000-0005-0000-0000-000034A70000}"/>
    <cellStyle name="Normal 4 3 8 3 2 3 2" xfId="26845" xr:uid="{00000000-0005-0000-0000-000035A70000}"/>
    <cellStyle name="Normal 4 3 8 3 2 3 2 2" xfId="53978" xr:uid="{00000000-0005-0000-0000-000036A70000}"/>
    <cellStyle name="Normal 4 3 8 3 2 3 3" xfId="40416" xr:uid="{00000000-0005-0000-0000-000037A70000}"/>
    <cellStyle name="Normal 4 3 8 3 2 4" xfId="20064" xr:uid="{00000000-0005-0000-0000-000038A70000}"/>
    <cellStyle name="Normal 4 3 8 3 2 4 2" xfId="47197" xr:uid="{00000000-0005-0000-0000-000039A70000}"/>
    <cellStyle name="Normal 4 3 8 3 2 5" xfId="33635" xr:uid="{00000000-0005-0000-0000-00003AA70000}"/>
    <cellStyle name="Normal 4 3 8 3 3" xfId="6345" xr:uid="{00000000-0005-0000-0000-00003BA70000}"/>
    <cellStyle name="Normal 4 3 8 3 3 2" xfId="9878" xr:uid="{00000000-0005-0000-0000-00003CA70000}"/>
    <cellStyle name="Normal 4 3 8 3 3 2 2" xfId="16667" xr:uid="{00000000-0005-0000-0000-00003DA70000}"/>
    <cellStyle name="Normal 4 3 8 3 3 2 2 2" xfId="30235" xr:uid="{00000000-0005-0000-0000-00003EA70000}"/>
    <cellStyle name="Normal 4 3 8 3 3 2 2 2 2" xfId="57368" xr:uid="{00000000-0005-0000-0000-00003FA70000}"/>
    <cellStyle name="Normal 4 3 8 3 3 2 2 3" xfId="43806" xr:uid="{00000000-0005-0000-0000-000040A70000}"/>
    <cellStyle name="Normal 4 3 8 3 3 2 3" xfId="23454" xr:uid="{00000000-0005-0000-0000-000041A70000}"/>
    <cellStyle name="Normal 4 3 8 3 3 2 3 2" xfId="50587" xr:uid="{00000000-0005-0000-0000-000042A70000}"/>
    <cellStyle name="Normal 4 3 8 3 3 2 4" xfId="37025" xr:uid="{00000000-0005-0000-0000-000043A70000}"/>
    <cellStyle name="Normal 4 3 8 3 3 3" xfId="13278" xr:uid="{00000000-0005-0000-0000-000044A70000}"/>
    <cellStyle name="Normal 4 3 8 3 3 3 2" xfId="26846" xr:uid="{00000000-0005-0000-0000-000045A70000}"/>
    <cellStyle name="Normal 4 3 8 3 3 3 2 2" xfId="53979" xr:uid="{00000000-0005-0000-0000-000046A70000}"/>
    <cellStyle name="Normal 4 3 8 3 3 3 3" xfId="40417" xr:uid="{00000000-0005-0000-0000-000047A70000}"/>
    <cellStyle name="Normal 4 3 8 3 3 4" xfId="20065" xr:uid="{00000000-0005-0000-0000-000048A70000}"/>
    <cellStyle name="Normal 4 3 8 3 3 4 2" xfId="47198" xr:uid="{00000000-0005-0000-0000-000049A70000}"/>
    <cellStyle name="Normal 4 3 8 3 3 5" xfId="33636" xr:uid="{00000000-0005-0000-0000-00004AA70000}"/>
    <cellStyle name="Normal 4 3 8 3 4" xfId="9876" xr:uid="{00000000-0005-0000-0000-00004BA70000}"/>
    <cellStyle name="Normal 4 3 8 3 4 2" xfId="16665" xr:uid="{00000000-0005-0000-0000-00004CA70000}"/>
    <cellStyle name="Normal 4 3 8 3 4 2 2" xfId="30233" xr:uid="{00000000-0005-0000-0000-00004DA70000}"/>
    <cellStyle name="Normal 4 3 8 3 4 2 2 2" xfId="57366" xr:uid="{00000000-0005-0000-0000-00004EA70000}"/>
    <cellStyle name="Normal 4 3 8 3 4 2 3" xfId="43804" xr:uid="{00000000-0005-0000-0000-00004FA70000}"/>
    <cellStyle name="Normal 4 3 8 3 4 3" xfId="23452" xr:uid="{00000000-0005-0000-0000-000050A70000}"/>
    <cellStyle name="Normal 4 3 8 3 4 3 2" xfId="50585" xr:uid="{00000000-0005-0000-0000-000051A70000}"/>
    <cellStyle name="Normal 4 3 8 3 4 4" xfId="37023" xr:uid="{00000000-0005-0000-0000-000052A70000}"/>
    <cellStyle name="Normal 4 3 8 3 5" xfId="13276" xr:uid="{00000000-0005-0000-0000-000053A70000}"/>
    <cellStyle name="Normal 4 3 8 3 5 2" xfId="26844" xr:uid="{00000000-0005-0000-0000-000054A70000}"/>
    <cellStyle name="Normal 4 3 8 3 5 2 2" xfId="53977" xr:uid="{00000000-0005-0000-0000-000055A70000}"/>
    <cellStyle name="Normal 4 3 8 3 5 3" xfId="40415" xr:uid="{00000000-0005-0000-0000-000056A70000}"/>
    <cellStyle name="Normal 4 3 8 3 6" xfId="20063" xr:uid="{00000000-0005-0000-0000-000057A70000}"/>
    <cellStyle name="Normal 4 3 8 3 6 2" xfId="47196" xr:uid="{00000000-0005-0000-0000-000058A70000}"/>
    <cellStyle name="Normal 4 3 8 3 7" xfId="33634" xr:uid="{00000000-0005-0000-0000-000059A70000}"/>
    <cellStyle name="Normal 4 3 8 4" xfId="6346" xr:uid="{00000000-0005-0000-0000-00005AA70000}"/>
    <cellStyle name="Normal 4 3 8 4 2" xfId="6347" xr:uid="{00000000-0005-0000-0000-00005BA70000}"/>
    <cellStyle name="Normal 4 3 8 4 2 2" xfId="9880" xr:uid="{00000000-0005-0000-0000-00005CA70000}"/>
    <cellStyle name="Normal 4 3 8 4 2 2 2" xfId="16669" xr:uid="{00000000-0005-0000-0000-00005DA70000}"/>
    <cellStyle name="Normal 4 3 8 4 2 2 2 2" xfId="30237" xr:uid="{00000000-0005-0000-0000-00005EA70000}"/>
    <cellStyle name="Normal 4 3 8 4 2 2 2 2 2" xfId="57370" xr:uid="{00000000-0005-0000-0000-00005FA70000}"/>
    <cellStyle name="Normal 4 3 8 4 2 2 2 3" xfId="43808" xr:uid="{00000000-0005-0000-0000-000060A70000}"/>
    <cellStyle name="Normal 4 3 8 4 2 2 3" xfId="23456" xr:uid="{00000000-0005-0000-0000-000061A70000}"/>
    <cellStyle name="Normal 4 3 8 4 2 2 3 2" xfId="50589" xr:uid="{00000000-0005-0000-0000-000062A70000}"/>
    <cellStyle name="Normal 4 3 8 4 2 2 4" xfId="37027" xr:uid="{00000000-0005-0000-0000-000063A70000}"/>
    <cellStyle name="Normal 4 3 8 4 2 3" xfId="13280" xr:uid="{00000000-0005-0000-0000-000064A70000}"/>
    <cellStyle name="Normal 4 3 8 4 2 3 2" xfId="26848" xr:uid="{00000000-0005-0000-0000-000065A70000}"/>
    <cellStyle name="Normal 4 3 8 4 2 3 2 2" xfId="53981" xr:uid="{00000000-0005-0000-0000-000066A70000}"/>
    <cellStyle name="Normal 4 3 8 4 2 3 3" xfId="40419" xr:uid="{00000000-0005-0000-0000-000067A70000}"/>
    <cellStyle name="Normal 4 3 8 4 2 4" xfId="20067" xr:uid="{00000000-0005-0000-0000-000068A70000}"/>
    <cellStyle name="Normal 4 3 8 4 2 4 2" xfId="47200" xr:uid="{00000000-0005-0000-0000-000069A70000}"/>
    <cellStyle name="Normal 4 3 8 4 2 5" xfId="33638" xr:uid="{00000000-0005-0000-0000-00006AA70000}"/>
    <cellStyle name="Normal 4 3 8 4 3" xfId="9879" xr:uid="{00000000-0005-0000-0000-00006BA70000}"/>
    <cellStyle name="Normal 4 3 8 4 3 2" xfId="16668" xr:uid="{00000000-0005-0000-0000-00006CA70000}"/>
    <cellStyle name="Normal 4 3 8 4 3 2 2" xfId="30236" xr:uid="{00000000-0005-0000-0000-00006DA70000}"/>
    <cellStyle name="Normal 4 3 8 4 3 2 2 2" xfId="57369" xr:uid="{00000000-0005-0000-0000-00006EA70000}"/>
    <cellStyle name="Normal 4 3 8 4 3 2 3" xfId="43807" xr:uid="{00000000-0005-0000-0000-00006FA70000}"/>
    <cellStyle name="Normal 4 3 8 4 3 3" xfId="23455" xr:uid="{00000000-0005-0000-0000-000070A70000}"/>
    <cellStyle name="Normal 4 3 8 4 3 3 2" xfId="50588" xr:uid="{00000000-0005-0000-0000-000071A70000}"/>
    <cellStyle name="Normal 4 3 8 4 3 4" xfId="37026" xr:uid="{00000000-0005-0000-0000-000072A70000}"/>
    <cellStyle name="Normal 4 3 8 4 4" xfId="13279" xr:uid="{00000000-0005-0000-0000-000073A70000}"/>
    <cellStyle name="Normal 4 3 8 4 4 2" xfId="26847" xr:uid="{00000000-0005-0000-0000-000074A70000}"/>
    <cellStyle name="Normal 4 3 8 4 4 2 2" xfId="53980" xr:uid="{00000000-0005-0000-0000-000075A70000}"/>
    <cellStyle name="Normal 4 3 8 4 4 3" xfId="40418" xr:uid="{00000000-0005-0000-0000-000076A70000}"/>
    <cellStyle name="Normal 4 3 8 4 5" xfId="20066" xr:uid="{00000000-0005-0000-0000-000077A70000}"/>
    <cellStyle name="Normal 4 3 8 4 5 2" xfId="47199" xr:uid="{00000000-0005-0000-0000-000078A70000}"/>
    <cellStyle name="Normal 4 3 8 4 6" xfId="33637" xr:uid="{00000000-0005-0000-0000-000079A70000}"/>
    <cellStyle name="Normal 4 3 8 5" xfId="6348" xr:uid="{00000000-0005-0000-0000-00007AA70000}"/>
    <cellStyle name="Normal 4 3 8 5 2" xfId="9881" xr:uid="{00000000-0005-0000-0000-00007BA70000}"/>
    <cellStyle name="Normal 4 3 8 5 2 2" xfId="16670" xr:uid="{00000000-0005-0000-0000-00007CA70000}"/>
    <cellStyle name="Normal 4 3 8 5 2 2 2" xfId="30238" xr:uid="{00000000-0005-0000-0000-00007DA70000}"/>
    <cellStyle name="Normal 4 3 8 5 2 2 2 2" xfId="57371" xr:uid="{00000000-0005-0000-0000-00007EA70000}"/>
    <cellStyle name="Normal 4 3 8 5 2 2 3" xfId="43809" xr:uid="{00000000-0005-0000-0000-00007FA70000}"/>
    <cellStyle name="Normal 4 3 8 5 2 3" xfId="23457" xr:uid="{00000000-0005-0000-0000-000080A70000}"/>
    <cellStyle name="Normal 4 3 8 5 2 3 2" xfId="50590" xr:uid="{00000000-0005-0000-0000-000081A70000}"/>
    <cellStyle name="Normal 4 3 8 5 2 4" xfId="37028" xr:uid="{00000000-0005-0000-0000-000082A70000}"/>
    <cellStyle name="Normal 4 3 8 5 3" xfId="13281" xr:uid="{00000000-0005-0000-0000-000083A70000}"/>
    <cellStyle name="Normal 4 3 8 5 3 2" xfId="26849" xr:uid="{00000000-0005-0000-0000-000084A70000}"/>
    <cellStyle name="Normal 4 3 8 5 3 2 2" xfId="53982" xr:uid="{00000000-0005-0000-0000-000085A70000}"/>
    <cellStyle name="Normal 4 3 8 5 3 3" xfId="40420" xr:uid="{00000000-0005-0000-0000-000086A70000}"/>
    <cellStyle name="Normal 4 3 8 5 4" xfId="20068" xr:uid="{00000000-0005-0000-0000-000087A70000}"/>
    <cellStyle name="Normal 4 3 8 5 4 2" xfId="47201" xr:uid="{00000000-0005-0000-0000-000088A70000}"/>
    <cellStyle name="Normal 4 3 8 5 5" xfId="33639" xr:uid="{00000000-0005-0000-0000-000089A70000}"/>
    <cellStyle name="Normal 4 3 8 6" xfId="6349" xr:uid="{00000000-0005-0000-0000-00008AA70000}"/>
    <cellStyle name="Normal 4 3 8 6 2" xfId="9882" xr:uid="{00000000-0005-0000-0000-00008BA70000}"/>
    <cellStyle name="Normal 4 3 8 6 2 2" xfId="16671" xr:uid="{00000000-0005-0000-0000-00008CA70000}"/>
    <cellStyle name="Normal 4 3 8 6 2 2 2" xfId="30239" xr:uid="{00000000-0005-0000-0000-00008DA70000}"/>
    <cellStyle name="Normal 4 3 8 6 2 2 2 2" xfId="57372" xr:uid="{00000000-0005-0000-0000-00008EA70000}"/>
    <cellStyle name="Normal 4 3 8 6 2 2 3" xfId="43810" xr:uid="{00000000-0005-0000-0000-00008FA70000}"/>
    <cellStyle name="Normal 4 3 8 6 2 3" xfId="23458" xr:uid="{00000000-0005-0000-0000-000090A70000}"/>
    <cellStyle name="Normal 4 3 8 6 2 3 2" xfId="50591" xr:uid="{00000000-0005-0000-0000-000091A70000}"/>
    <cellStyle name="Normal 4 3 8 6 2 4" xfId="37029" xr:uid="{00000000-0005-0000-0000-000092A70000}"/>
    <cellStyle name="Normal 4 3 8 6 3" xfId="13282" xr:uid="{00000000-0005-0000-0000-000093A70000}"/>
    <cellStyle name="Normal 4 3 8 6 3 2" xfId="26850" xr:uid="{00000000-0005-0000-0000-000094A70000}"/>
    <cellStyle name="Normal 4 3 8 6 3 2 2" xfId="53983" xr:uid="{00000000-0005-0000-0000-000095A70000}"/>
    <cellStyle name="Normal 4 3 8 6 3 3" xfId="40421" xr:uid="{00000000-0005-0000-0000-000096A70000}"/>
    <cellStyle name="Normal 4 3 8 6 4" xfId="20069" xr:uid="{00000000-0005-0000-0000-000097A70000}"/>
    <cellStyle name="Normal 4 3 8 6 4 2" xfId="47202" xr:uid="{00000000-0005-0000-0000-000098A70000}"/>
    <cellStyle name="Normal 4 3 8 6 5" xfId="33640" xr:uid="{00000000-0005-0000-0000-000099A70000}"/>
    <cellStyle name="Normal 4 3 8 7" xfId="9867" xr:uid="{00000000-0005-0000-0000-00009AA70000}"/>
    <cellStyle name="Normal 4 3 8 7 2" xfId="16656" xr:uid="{00000000-0005-0000-0000-00009BA70000}"/>
    <cellStyle name="Normal 4 3 8 7 2 2" xfId="30224" xr:uid="{00000000-0005-0000-0000-00009CA70000}"/>
    <cellStyle name="Normal 4 3 8 7 2 2 2" xfId="57357" xr:uid="{00000000-0005-0000-0000-00009DA70000}"/>
    <cellStyle name="Normal 4 3 8 7 2 3" xfId="43795" xr:uid="{00000000-0005-0000-0000-00009EA70000}"/>
    <cellStyle name="Normal 4 3 8 7 3" xfId="23443" xr:uid="{00000000-0005-0000-0000-00009FA70000}"/>
    <cellStyle name="Normal 4 3 8 7 3 2" xfId="50576" xr:uid="{00000000-0005-0000-0000-0000A0A70000}"/>
    <cellStyle name="Normal 4 3 8 7 4" xfId="37014" xr:uid="{00000000-0005-0000-0000-0000A1A70000}"/>
    <cellStyle name="Normal 4 3 8 8" xfId="13267" xr:uid="{00000000-0005-0000-0000-0000A2A70000}"/>
    <cellStyle name="Normal 4 3 8 8 2" xfId="26835" xr:uid="{00000000-0005-0000-0000-0000A3A70000}"/>
    <cellStyle name="Normal 4 3 8 8 2 2" xfId="53968" xr:uid="{00000000-0005-0000-0000-0000A4A70000}"/>
    <cellStyle name="Normal 4 3 8 8 3" xfId="40406" xr:uid="{00000000-0005-0000-0000-0000A5A70000}"/>
    <cellStyle name="Normal 4 3 8 9" xfId="20054" xr:uid="{00000000-0005-0000-0000-0000A6A70000}"/>
    <cellStyle name="Normal 4 3 8 9 2" xfId="47187" xr:uid="{00000000-0005-0000-0000-0000A7A70000}"/>
    <cellStyle name="Normal 4 3 9" xfId="6350" xr:uid="{00000000-0005-0000-0000-0000A8A70000}"/>
    <cellStyle name="Normal 4 3 9 2" xfId="6351" xr:uid="{00000000-0005-0000-0000-0000A9A70000}"/>
    <cellStyle name="Normal 4 3 9 2 2" xfId="6352" xr:uid="{00000000-0005-0000-0000-0000AAA70000}"/>
    <cellStyle name="Normal 4 3 9 2 2 2" xfId="9885" xr:uid="{00000000-0005-0000-0000-0000ABA70000}"/>
    <cellStyle name="Normal 4 3 9 2 2 2 2" xfId="16674" xr:uid="{00000000-0005-0000-0000-0000ACA70000}"/>
    <cellStyle name="Normal 4 3 9 2 2 2 2 2" xfId="30242" xr:uid="{00000000-0005-0000-0000-0000ADA70000}"/>
    <cellStyle name="Normal 4 3 9 2 2 2 2 2 2" xfId="57375" xr:uid="{00000000-0005-0000-0000-0000AEA70000}"/>
    <cellStyle name="Normal 4 3 9 2 2 2 2 3" xfId="43813" xr:uid="{00000000-0005-0000-0000-0000AFA70000}"/>
    <cellStyle name="Normal 4 3 9 2 2 2 3" xfId="23461" xr:uid="{00000000-0005-0000-0000-0000B0A70000}"/>
    <cellStyle name="Normal 4 3 9 2 2 2 3 2" xfId="50594" xr:uid="{00000000-0005-0000-0000-0000B1A70000}"/>
    <cellStyle name="Normal 4 3 9 2 2 2 4" xfId="37032" xr:uid="{00000000-0005-0000-0000-0000B2A70000}"/>
    <cellStyle name="Normal 4 3 9 2 2 3" xfId="13285" xr:uid="{00000000-0005-0000-0000-0000B3A70000}"/>
    <cellStyle name="Normal 4 3 9 2 2 3 2" xfId="26853" xr:uid="{00000000-0005-0000-0000-0000B4A70000}"/>
    <cellStyle name="Normal 4 3 9 2 2 3 2 2" xfId="53986" xr:uid="{00000000-0005-0000-0000-0000B5A70000}"/>
    <cellStyle name="Normal 4 3 9 2 2 3 3" xfId="40424" xr:uid="{00000000-0005-0000-0000-0000B6A70000}"/>
    <cellStyle name="Normal 4 3 9 2 2 4" xfId="20072" xr:uid="{00000000-0005-0000-0000-0000B7A70000}"/>
    <cellStyle name="Normal 4 3 9 2 2 4 2" xfId="47205" xr:uid="{00000000-0005-0000-0000-0000B8A70000}"/>
    <cellStyle name="Normal 4 3 9 2 2 5" xfId="33643" xr:uid="{00000000-0005-0000-0000-0000B9A70000}"/>
    <cellStyle name="Normal 4 3 9 2 3" xfId="6353" xr:uid="{00000000-0005-0000-0000-0000BAA70000}"/>
    <cellStyle name="Normal 4 3 9 2 3 2" xfId="9886" xr:uid="{00000000-0005-0000-0000-0000BBA70000}"/>
    <cellStyle name="Normal 4 3 9 2 3 2 2" xfId="16675" xr:uid="{00000000-0005-0000-0000-0000BCA70000}"/>
    <cellStyle name="Normal 4 3 9 2 3 2 2 2" xfId="30243" xr:uid="{00000000-0005-0000-0000-0000BDA70000}"/>
    <cellStyle name="Normal 4 3 9 2 3 2 2 2 2" xfId="57376" xr:uid="{00000000-0005-0000-0000-0000BEA70000}"/>
    <cellStyle name="Normal 4 3 9 2 3 2 2 3" xfId="43814" xr:uid="{00000000-0005-0000-0000-0000BFA70000}"/>
    <cellStyle name="Normal 4 3 9 2 3 2 3" xfId="23462" xr:uid="{00000000-0005-0000-0000-0000C0A70000}"/>
    <cellStyle name="Normal 4 3 9 2 3 2 3 2" xfId="50595" xr:uid="{00000000-0005-0000-0000-0000C1A70000}"/>
    <cellStyle name="Normal 4 3 9 2 3 2 4" xfId="37033" xr:uid="{00000000-0005-0000-0000-0000C2A70000}"/>
    <cellStyle name="Normal 4 3 9 2 3 3" xfId="13286" xr:uid="{00000000-0005-0000-0000-0000C3A70000}"/>
    <cellStyle name="Normal 4 3 9 2 3 3 2" xfId="26854" xr:uid="{00000000-0005-0000-0000-0000C4A70000}"/>
    <cellStyle name="Normal 4 3 9 2 3 3 2 2" xfId="53987" xr:uid="{00000000-0005-0000-0000-0000C5A70000}"/>
    <cellStyle name="Normal 4 3 9 2 3 3 3" xfId="40425" xr:uid="{00000000-0005-0000-0000-0000C6A70000}"/>
    <cellStyle name="Normal 4 3 9 2 3 4" xfId="20073" xr:uid="{00000000-0005-0000-0000-0000C7A70000}"/>
    <cellStyle name="Normal 4 3 9 2 3 4 2" xfId="47206" xr:uid="{00000000-0005-0000-0000-0000C8A70000}"/>
    <cellStyle name="Normal 4 3 9 2 3 5" xfId="33644" xr:uid="{00000000-0005-0000-0000-0000C9A70000}"/>
    <cellStyle name="Normal 4 3 9 2 4" xfId="9884" xr:uid="{00000000-0005-0000-0000-0000CAA70000}"/>
    <cellStyle name="Normal 4 3 9 2 4 2" xfId="16673" xr:uid="{00000000-0005-0000-0000-0000CBA70000}"/>
    <cellStyle name="Normal 4 3 9 2 4 2 2" xfId="30241" xr:uid="{00000000-0005-0000-0000-0000CCA70000}"/>
    <cellStyle name="Normal 4 3 9 2 4 2 2 2" xfId="57374" xr:uid="{00000000-0005-0000-0000-0000CDA70000}"/>
    <cellStyle name="Normal 4 3 9 2 4 2 3" xfId="43812" xr:uid="{00000000-0005-0000-0000-0000CEA70000}"/>
    <cellStyle name="Normal 4 3 9 2 4 3" xfId="23460" xr:uid="{00000000-0005-0000-0000-0000CFA70000}"/>
    <cellStyle name="Normal 4 3 9 2 4 3 2" xfId="50593" xr:uid="{00000000-0005-0000-0000-0000D0A70000}"/>
    <cellStyle name="Normal 4 3 9 2 4 4" xfId="37031" xr:uid="{00000000-0005-0000-0000-0000D1A70000}"/>
    <cellStyle name="Normal 4 3 9 2 5" xfId="13284" xr:uid="{00000000-0005-0000-0000-0000D2A70000}"/>
    <cellStyle name="Normal 4 3 9 2 5 2" xfId="26852" xr:uid="{00000000-0005-0000-0000-0000D3A70000}"/>
    <cellStyle name="Normal 4 3 9 2 5 2 2" xfId="53985" xr:uid="{00000000-0005-0000-0000-0000D4A70000}"/>
    <cellStyle name="Normal 4 3 9 2 5 3" xfId="40423" xr:uid="{00000000-0005-0000-0000-0000D5A70000}"/>
    <cellStyle name="Normal 4 3 9 2 6" xfId="20071" xr:uid="{00000000-0005-0000-0000-0000D6A70000}"/>
    <cellStyle name="Normal 4 3 9 2 6 2" xfId="47204" xr:uid="{00000000-0005-0000-0000-0000D7A70000}"/>
    <cellStyle name="Normal 4 3 9 2 7" xfId="33642" xr:uid="{00000000-0005-0000-0000-0000D8A70000}"/>
    <cellStyle name="Normal 4 3 9 3" xfId="6354" xr:uid="{00000000-0005-0000-0000-0000D9A70000}"/>
    <cellStyle name="Normal 4 3 9 3 2" xfId="6355" xr:uid="{00000000-0005-0000-0000-0000DAA70000}"/>
    <cellStyle name="Normal 4 3 9 3 2 2" xfId="9888" xr:uid="{00000000-0005-0000-0000-0000DBA70000}"/>
    <cellStyle name="Normal 4 3 9 3 2 2 2" xfId="16677" xr:uid="{00000000-0005-0000-0000-0000DCA70000}"/>
    <cellStyle name="Normal 4 3 9 3 2 2 2 2" xfId="30245" xr:uid="{00000000-0005-0000-0000-0000DDA70000}"/>
    <cellStyle name="Normal 4 3 9 3 2 2 2 2 2" xfId="57378" xr:uid="{00000000-0005-0000-0000-0000DEA70000}"/>
    <cellStyle name="Normal 4 3 9 3 2 2 2 3" xfId="43816" xr:uid="{00000000-0005-0000-0000-0000DFA70000}"/>
    <cellStyle name="Normal 4 3 9 3 2 2 3" xfId="23464" xr:uid="{00000000-0005-0000-0000-0000E0A70000}"/>
    <cellStyle name="Normal 4 3 9 3 2 2 3 2" xfId="50597" xr:uid="{00000000-0005-0000-0000-0000E1A70000}"/>
    <cellStyle name="Normal 4 3 9 3 2 2 4" xfId="37035" xr:uid="{00000000-0005-0000-0000-0000E2A70000}"/>
    <cellStyle name="Normal 4 3 9 3 2 3" xfId="13288" xr:uid="{00000000-0005-0000-0000-0000E3A70000}"/>
    <cellStyle name="Normal 4 3 9 3 2 3 2" xfId="26856" xr:uid="{00000000-0005-0000-0000-0000E4A70000}"/>
    <cellStyle name="Normal 4 3 9 3 2 3 2 2" xfId="53989" xr:uid="{00000000-0005-0000-0000-0000E5A70000}"/>
    <cellStyle name="Normal 4 3 9 3 2 3 3" xfId="40427" xr:uid="{00000000-0005-0000-0000-0000E6A70000}"/>
    <cellStyle name="Normal 4 3 9 3 2 4" xfId="20075" xr:uid="{00000000-0005-0000-0000-0000E7A70000}"/>
    <cellStyle name="Normal 4 3 9 3 2 4 2" xfId="47208" xr:uid="{00000000-0005-0000-0000-0000E8A70000}"/>
    <cellStyle name="Normal 4 3 9 3 2 5" xfId="33646" xr:uid="{00000000-0005-0000-0000-0000E9A70000}"/>
    <cellStyle name="Normal 4 3 9 3 3" xfId="9887" xr:uid="{00000000-0005-0000-0000-0000EAA70000}"/>
    <cellStyle name="Normal 4 3 9 3 3 2" xfId="16676" xr:uid="{00000000-0005-0000-0000-0000EBA70000}"/>
    <cellStyle name="Normal 4 3 9 3 3 2 2" xfId="30244" xr:uid="{00000000-0005-0000-0000-0000ECA70000}"/>
    <cellStyle name="Normal 4 3 9 3 3 2 2 2" xfId="57377" xr:uid="{00000000-0005-0000-0000-0000EDA70000}"/>
    <cellStyle name="Normal 4 3 9 3 3 2 3" xfId="43815" xr:uid="{00000000-0005-0000-0000-0000EEA70000}"/>
    <cellStyle name="Normal 4 3 9 3 3 3" xfId="23463" xr:uid="{00000000-0005-0000-0000-0000EFA70000}"/>
    <cellStyle name="Normal 4 3 9 3 3 3 2" xfId="50596" xr:uid="{00000000-0005-0000-0000-0000F0A70000}"/>
    <cellStyle name="Normal 4 3 9 3 3 4" xfId="37034" xr:uid="{00000000-0005-0000-0000-0000F1A70000}"/>
    <cellStyle name="Normal 4 3 9 3 4" xfId="13287" xr:uid="{00000000-0005-0000-0000-0000F2A70000}"/>
    <cellStyle name="Normal 4 3 9 3 4 2" xfId="26855" xr:uid="{00000000-0005-0000-0000-0000F3A70000}"/>
    <cellStyle name="Normal 4 3 9 3 4 2 2" xfId="53988" xr:uid="{00000000-0005-0000-0000-0000F4A70000}"/>
    <cellStyle name="Normal 4 3 9 3 4 3" xfId="40426" xr:uid="{00000000-0005-0000-0000-0000F5A70000}"/>
    <cellStyle name="Normal 4 3 9 3 5" xfId="20074" xr:uid="{00000000-0005-0000-0000-0000F6A70000}"/>
    <cellStyle name="Normal 4 3 9 3 5 2" xfId="47207" xr:uid="{00000000-0005-0000-0000-0000F7A70000}"/>
    <cellStyle name="Normal 4 3 9 3 6" xfId="33645" xr:uid="{00000000-0005-0000-0000-0000F8A70000}"/>
    <cellStyle name="Normal 4 3 9 4" xfId="6356" xr:uid="{00000000-0005-0000-0000-0000F9A70000}"/>
    <cellStyle name="Normal 4 3 9 4 2" xfId="9889" xr:uid="{00000000-0005-0000-0000-0000FAA70000}"/>
    <cellStyle name="Normal 4 3 9 4 2 2" xfId="16678" xr:uid="{00000000-0005-0000-0000-0000FBA70000}"/>
    <cellStyle name="Normal 4 3 9 4 2 2 2" xfId="30246" xr:uid="{00000000-0005-0000-0000-0000FCA70000}"/>
    <cellStyle name="Normal 4 3 9 4 2 2 2 2" xfId="57379" xr:uid="{00000000-0005-0000-0000-0000FDA70000}"/>
    <cellStyle name="Normal 4 3 9 4 2 2 3" xfId="43817" xr:uid="{00000000-0005-0000-0000-0000FEA70000}"/>
    <cellStyle name="Normal 4 3 9 4 2 3" xfId="23465" xr:uid="{00000000-0005-0000-0000-0000FFA70000}"/>
    <cellStyle name="Normal 4 3 9 4 2 3 2" xfId="50598" xr:uid="{00000000-0005-0000-0000-000000A80000}"/>
    <cellStyle name="Normal 4 3 9 4 2 4" xfId="37036" xr:uid="{00000000-0005-0000-0000-000001A80000}"/>
    <cellStyle name="Normal 4 3 9 4 3" xfId="13289" xr:uid="{00000000-0005-0000-0000-000002A80000}"/>
    <cellStyle name="Normal 4 3 9 4 3 2" xfId="26857" xr:uid="{00000000-0005-0000-0000-000003A80000}"/>
    <cellStyle name="Normal 4 3 9 4 3 2 2" xfId="53990" xr:uid="{00000000-0005-0000-0000-000004A80000}"/>
    <cellStyle name="Normal 4 3 9 4 3 3" xfId="40428" xr:uid="{00000000-0005-0000-0000-000005A80000}"/>
    <cellStyle name="Normal 4 3 9 4 4" xfId="20076" xr:uid="{00000000-0005-0000-0000-000006A80000}"/>
    <cellStyle name="Normal 4 3 9 4 4 2" xfId="47209" xr:uid="{00000000-0005-0000-0000-000007A80000}"/>
    <cellStyle name="Normal 4 3 9 4 5" xfId="33647" xr:uid="{00000000-0005-0000-0000-000008A80000}"/>
    <cellStyle name="Normal 4 3 9 5" xfId="6357" xr:uid="{00000000-0005-0000-0000-000009A80000}"/>
    <cellStyle name="Normal 4 3 9 5 2" xfId="9890" xr:uid="{00000000-0005-0000-0000-00000AA80000}"/>
    <cellStyle name="Normal 4 3 9 5 2 2" xfId="16679" xr:uid="{00000000-0005-0000-0000-00000BA80000}"/>
    <cellStyle name="Normal 4 3 9 5 2 2 2" xfId="30247" xr:uid="{00000000-0005-0000-0000-00000CA80000}"/>
    <cellStyle name="Normal 4 3 9 5 2 2 2 2" xfId="57380" xr:uid="{00000000-0005-0000-0000-00000DA80000}"/>
    <cellStyle name="Normal 4 3 9 5 2 2 3" xfId="43818" xr:uid="{00000000-0005-0000-0000-00000EA80000}"/>
    <cellStyle name="Normal 4 3 9 5 2 3" xfId="23466" xr:uid="{00000000-0005-0000-0000-00000FA80000}"/>
    <cellStyle name="Normal 4 3 9 5 2 3 2" xfId="50599" xr:uid="{00000000-0005-0000-0000-000010A80000}"/>
    <cellStyle name="Normal 4 3 9 5 2 4" xfId="37037" xr:uid="{00000000-0005-0000-0000-000011A80000}"/>
    <cellStyle name="Normal 4 3 9 5 3" xfId="13290" xr:uid="{00000000-0005-0000-0000-000012A80000}"/>
    <cellStyle name="Normal 4 3 9 5 3 2" xfId="26858" xr:uid="{00000000-0005-0000-0000-000013A80000}"/>
    <cellStyle name="Normal 4 3 9 5 3 2 2" xfId="53991" xr:uid="{00000000-0005-0000-0000-000014A80000}"/>
    <cellStyle name="Normal 4 3 9 5 3 3" xfId="40429" xr:uid="{00000000-0005-0000-0000-000015A80000}"/>
    <cellStyle name="Normal 4 3 9 5 4" xfId="20077" xr:uid="{00000000-0005-0000-0000-000016A80000}"/>
    <cellStyle name="Normal 4 3 9 5 4 2" xfId="47210" xr:uid="{00000000-0005-0000-0000-000017A80000}"/>
    <cellStyle name="Normal 4 3 9 5 5" xfId="33648" xr:uid="{00000000-0005-0000-0000-000018A80000}"/>
    <cellStyle name="Normal 4 3 9 6" xfId="9883" xr:uid="{00000000-0005-0000-0000-000019A80000}"/>
    <cellStyle name="Normal 4 3 9 6 2" xfId="16672" xr:uid="{00000000-0005-0000-0000-00001AA80000}"/>
    <cellStyle name="Normal 4 3 9 6 2 2" xfId="30240" xr:uid="{00000000-0005-0000-0000-00001BA80000}"/>
    <cellStyle name="Normal 4 3 9 6 2 2 2" xfId="57373" xr:uid="{00000000-0005-0000-0000-00001CA80000}"/>
    <cellStyle name="Normal 4 3 9 6 2 3" xfId="43811" xr:uid="{00000000-0005-0000-0000-00001DA80000}"/>
    <cellStyle name="Normal 4 3 9 6 3" xfId="23459" xr:uid="{00000000-0005-0000-0000-00001EA80000}"/>
    <cellStyle name="Normal 4 3 9 6 3 2" xfId="50592" xr:uid="{00000000-0005-0000-0000-00001FA80000}"/>
    <cellStyle name="Normal 4 3 9 6 4" xfId="37030" xr:uid="{00000000-0005-0000-0000-000020A80000}"/>
    <cellStyle name="Normal 4 3 9 7" xfId="13283" xr:uid="{00000000-0005-0000-0000-000021A80000}"/>
    <cellStyle name="Normal 4 3 9 7 2" xfId="26851" xr:uid="{00000000-0005-0000-0000-000022A80000}"/>
    <cellStyle name="Normal 4 3 9 7 2 2" xfId="53984" xr:uid="{00000000-0005-0000-0000-000023A80000}"/>
    <cellStyle name="Normal 4 3 9 7 3" xfId="40422" xr:uid="{00000000-0005-0000-0000-000024A80000}"/>
    <cellStyle name="Normal 4 3 9 8" xfId="20070" xr:uid="{00000000-0005-0000-0000-000025A80000}"/>
    <cellStyle name="Normal 4 3 9 8 2" xfId="47203" xr:uid="{00000000-0005-0000-0000-000026A80000}"/>
    <cellStyle name="Normal 4 3 9 9" xfId="33641" xr:uid="{00000000-0005-0000-0000-000027A80000}"/>
    <cellStyle name="Normal 4 30" xfId="7431" xr:uid="{00000000-0005-0000-0000-000028A80000}"/>
    <cellStyle name="Normal 4 31" xfId="7432" xr:uid="{00000000-0005-0000-0000-000029A80000}"/>
    <cellStyle name="Normal 4 32" xfId="7433" xr:uid="{00000000-0005-0000-0000-00002AA80000}"/>
    <cellStyle name="Normal 4 33" xfId="7434" xr:uid="{00000000-0005-0000-0000-00002BA80000}"/>
    <cellStyle name="Normal 4 34" xfId="7435" xr:uid="{00000000-0005-0000-0000-00002CA80000}"/>
    <cellStyle name="Normal 4 35" xfId="7436" xr:uid="{00000000-0005-0000-0000-00002DA80000}"/>
    <cellStyle name="Normal 4 36" xfId="7437" xr:uid="{00000000-0005-0000-0000-00002EA80000}"/>
    <cellStyle name="Normal 4 37" xfId="7438" xr:uid="{00000000-0005-0000-0000-00002FA80000}"/>
    <cellStyle name="Normal 4 4" xfId="2765" xr:uid="{00000000-0005-0000-0000-000030A80000}"/>
    <cellStyle name="Normal 4 4 10" xfId="6358" xr:uid="{00000000-0005-0000-0000-000031A80000}"/>
    <cellStyle name="Normal 4 4 10 2" xfId="9891" xr:uid="{00000000-0005-0000-0000-000032A80000}"/>
    <cellStyle name="Normal 4 4 10 2 2" xfId="16680" xr:uid="{00000000-0005-0000-0000-000033A80000}"/>
    <cellStyle name="Normal 4 4 10 2 2 2" xfId="30248" xr:uid="{00000000-0005-0000-0000-000034A80000}"/>
    <cellStyle name="Normal 4 4 10 2 2 2 2" xfId="57381" xr:uid="{00000000-0005-0000-0000-000035A80000}"/>
    <cellStyle name="Normal 4 4 10 2 2 3" xfId="43819" xr:uid="{00000000-0005-0000-0000-000036A80000}"/>
    <cellStyle name="Normal 4 4 10 2 3" xfId="23467" xr:uid="{00000000-0005-0000-0000-000037A80000}"/>
    <cellStyle name="Normal 4 4 10 2 3 2" xfId="50600" xr:uid="{00000000-0005-0000-0000-000038A80000}"/>
    <cellStyle name="Normal 4 4 10 2 4" xfId="37038" xr:uid="{00000000-0005-0000-0000-000039A80000}"/>
    <cellStyle name="Normal 4 4 10 3" xfId="13291" xr:uid="{00000000-0005-0000-0000-00003AA80000}"/>
    <cellStyle name="Normal 4 4 10 3 2" xfId="26859" xr:uid="{00000000-0005-0000-0000-00003BA80000}"/>
    <cellStyle name="Normal 4 4 10 3 2 2" xfId="53992" xr:uid="{00000000-0005-0000-0000-00003CA80000}"/>
    <cellStyle name="Normal 4 4 10 3 3" xfId="40430" xr:uid="{00000000-0005-0000-0000-00003DA80000}"/>
    <cellStyle name="Normal 4 4 10 4" xfId="20078" xr:uid="{00000000-0005-0000-0000-00003EA80000}"/>
    <cellStyle name="Normal 4 4 10 4 2" xfId="47211" xr:uid="{00000000-0005-0000-0000-00003FA80000}"/>
    <cellStyle name="Normal 4 4 10 5" xfId="33649" xr:uid="{00000000-0005-0000-0000-000040A80000}"/>
    <cellStyle name="Normal 4 4 11" xfId="6359" xr:uid="{00000000-0005-0000-0000-000041A80000}"/>
    <cellStyle name="Normal 4 4 11 2" xfId="9892" xr:uid="{00000000-0005-0000-0000-000042A80000}"/>
    <cellStyle name="Normal 4 4 11 2 2" xfId="16681" xr:uid="{00000000-0005-0000-0000-000043A80000}"/>
    <cellStyle name="Normal 4 4 11 2 2 2" xfId="30249" xr:uid="{00000000-0005-0000-0000-000044A80000}"/>
    <cellStyle name="Normal 4 4 11 2 2 2 2" xfId="57382" xr:uid="{00000000-0005-0000-0000-000045A80000}"/>
    <cellStyle name="Normal 4 4 11 2 2 3" xfId="43820" xr:uid="{00000000-0005-0000-0000-000046A80000}"/>
    <cellStyle name="Normal 4 4 11 2 3" xfId="23468" xr:uid="{00000000-0005-0000-0000-000047A80000}"/>
    <cellStyle name="Normal 4 4 11 2 3 2" xfId="50601" xr:uid="{00000000-0005-0000-0000-000048A80000}"/>
    <cellStyle name="Normal 4 4 11 2 4" xfId="37039" xr:uid="{00000000-0005-0000-0000-000049A80000}"/>
    <cellStyle name="Normal 4 4 11 3" xfId="13292" xr:uid="{00000000-0005-0000-0000-00004AA80000}"/>
    <cellStyle name="Normal 4 4 11 3 2" xfId="26860" xr:uid="{00000000-0005-0000-0000-00004BA80000}"/>
    <cellStyle name="Normal 4 4 11 3 2 2" xfId="53993" xr:uid="{00000000-0005-0000-0000-00004CA80000}"/>
    <cellStyle name="Normal 4 4 11 3 3" xfId="40431" xr:uid="{00000000-0005-0000-0000-00004DA80000}"/>
    <cellStyle name="Normal 4 4 11 4" xfId="20079" xr:uid="{00000000-0005-0000-0000-00004EA80000}"/>
    <cellStyle name="Normal 4 4 11 4 2" xfId="47212" xr:uid="{00000000-0005-0000-0000-00004FA80000}"/>
    <cellStyle name="Normal 4 4 11 5" xfId="33650" xr:uid="{00000000-0005-0000-0000-000050A80000}"/>
    <cellStyle name="Normal 4 4 12" xfId="7570" xr:uid="{00000000-0005-0000-0000-000051A80000}"/>
    <cellStyle name="Normal 4 4 12 2" xfId="14359" xr:uid="{00000000-0005-0000-0000-000052A80000}"/>
    <cellStyle name="Normal 4 4 12 2 2" xfId="27927" xr:uid="{00000000-0005-0000-0000-000053A80000}"/>
    <cellStyle name="Normal 4 4 12 2 2 2" xfId="55060" xr:uid="{00000000-0005-0000-0000-000054A80000}"/>
    <cellStyle name="Normal 4 4 12 2 3" xfId="41498" xr:uid="{00000000-0005-0000-0000-000055A80000}"/>
    <cellStyle name="Normal 4 4 12 3" xfId="21146" xr:uid="{00000000-0005-0000-0000-000056A80000}"/>
    <cellStyle name="Normal 4 4 12 3 2" xfId="48279" xr:uid="{00000000-0005-0000-0000-000057A80000}"/>
    <cellStyle name="Normal 4 4 12 4" xfId="34717" xr:uid="{00000000-0005-0000-0000-000058A80000}"/>
    <cellStyle name="Normal 4 4 13" xfId="10970" xr:uid="{00000000-0005-0000-0000-000059A80000}"/>
    <cellStyle name="Normal 4 4 13 2" xfId="24538" xr:uid="{00000000-0005-0000-0000-00005AA80000}"/>
    <cellStyle name="Normal 4 4 13 2 2" xfId="51671" xr:uid="{00000000-0005-0000-0000-00005BA80000}"/>
    <cellStyle name="Normal 4 4 13 3" xfId="38109" xr:uid="{00000000-0005-0000-0000-00005CA80000}"/>
    <cellStyle name="Normal 4 4 14" xfId="17757" xr:uid="{00000000-0005-0000-0000-00005DA80000}"/>
    <cellStyle name="Normal 4 4 14 2" xfId="44890" xr:uid="{00000000-0005-0000-0000-00005EA80000}"/>
    <cellStyle name="Normal 4 4 15" xfId="31328" xr:uid="{00000000-0005-0000-0000-00005FA80000}"/>
    <cellStyle name="Normal 4 4 2" xfId="2766" xr:uid="{00000000-0005-0000-0000-000060A80000}"/>
    <cellStyle name="Normal 4 4 2 2" xfId="7571" xr:uid="{00000000-0005-0000-0000-000061A80000}"/>
    <cellStyle name="Normal 4 4 2 2 2" xfId="14360" xr:uid="{00000000-0005-0000-0000-000062A80000}"/>
    <cellStyle name="Normal 4 4 2 2 2 2" xfId="27928" xr:uid="{00000000-0005-0000-0000-000063A80000}"/>
    <cellStyle name="Normal 4 4 2 2 2 2 2" xfId="55061" xr:uid="{00000000-0005-0000-0000-000064A80000}"/>
    <cellStyle name="Normal 4 4 2 2 2 3" xfId="41499" xr:uid="{00000000-0005-0000-0000-000065A80000}"/>
    <cellStyle name="Normal 4 4 2 2 3" xfId="21147" xr:uid="{00000000-0005-0000-0000-000066A80000}"/>
    <cellStyle name="Normal 4 4 2 2 3 2" xfId="48280" xr:uid="{00000000-0005-0000-0000-000067A80000}"/>
    <cellStyle name="Normal 4 4 2 2 4" xfId="34718" xr:uid="{00000000-0005-0000-0000-000068A80000}"/>
    <cellStyle name="Normal 4 4 2 3" xfId="10971" xr:uid="{00000000-0005-0000-0000-000069A80000}"/>
    <cellStyle name="Normal 4 4 2 3 2" xfId="24539" xr:uid="{00000000-0005-0000-0000-00006AA80000}"/>
    <cellStyle name="Normal 4 4 2 3 2 2" xfId="51672" xr:uid="{00000000-0005-0000-0000-00006BA80000}"/>
    <cellStyle name="Normal 4 4 2 3 3" xfId="38110" xr:uid="{00000000-0005-0000-0000-00006CA80000}"/>
    <cellStyle name="Normal 4 4 2 4" xfId="17758" xr:uid="{00000000-0005-0000-0000-00006DA80000}"/>
    <cellStyle name="Normal 4 4 2 4 2" xfId="44891" xr:uid="{00000000-0005-0000-0000-00006EA80000}"/>
    <cellStyle name="Normal 4 4 2 5" xfId="31329" xr:uid="{00000000-0005-0000-0000-00006FA80000}"/>
    <cellStyle name="Normal 4 4 3" xfId="6360" xr:uid="{00000000-0005-0000-0000-000070A80000}"/>
    <cellStyle name="Normal 4 4 3 10" xfId="9893" xr:uid="{00000000-0005-0000-0000-000071A80000}"/>
    <cellStyle name="Normal 4 4 3 10 2" xfId="16682" xr:uid="{00000000-0005-0000-0000-000072A80000}"/>
    <cellStyle name="Normal 4 4 3 10 2 2" xfId="30250" xr:uid="{00000000-0005-0000-0000-000073A80000}"/>
    <cellStyle name="Normal 4 4 3 10 2 2 2" xfId="57383" xr:uid="{00000000-0005-0000-0000-000074A80000}"/>
    <cellStyle name="Normal 4 4 3 10 2 3" xfId="43821" xr:uid="{00000000-0005-0000-0000-000075A80000}"/>
    <cellStyle name="Normal 4 4 3 10 3" xfId="23469" xr:uid="{00000000-0005-0000-0000-000076A80000}"/>
    <cellStyle name="Normal 4 4 3 10 3 2" xfId="50602" xr:uid="{00000000-0005-0000-0000-000077A80000}"/>
    <cellStyle name="Normal 4 4 3 10 4" xfId="37040" xr:uid="{00000000-0005-0000-0000-000078A80000}"/>
    <cellStyle name="Normal 4 4 3 11" xfId="13293" xr:uid="{00000000-0005-0000-0000-000079A80000}"/>
    <cellStyle name="Normal 4 4 3 11 2" xfId="26861" xr:uid="{00000000-0005-0000-0000-00007AA80000}"/>
    <cellStyle name="Normal 4 4 3 11 2 2" xfId="53994" xr:uid="{00000000-0005-0000-0000-00007BA80000}"/>
    <cellStyle name="Normal 4 4 3 11 3" xfId="40432" xr:uid="{00000000-0005-0000-0000-00007CA80000}"/>
    <cellStyle name="Normal 4 4 3 12" xfId="20080" xr:uid="{00000000-0005-0000-0000-00007DA80000}"/>
    <cellStyle name="Normal 4 4 3 12 2" xfId="47213" xr:uid="{00000000-0005-0000-0000-00007EA80000}"/>
    <cellStyle name="Normal 4 4 3 13" xfId="33651" xr:uid="{00000000-0005-0000-0000-00007FA80000}"/>
    <cellStyle name="Normal 4 4 3 2" xfId="6361" xr:uid="{00000000-0005-0000-0000-000080A80000}"/>
    <cellStyle name="Normal 4 4 3 2 10" xfId="33652" xr:uid="{00000000-0005-0000-0000-000081A80000}"/>
    <cellStyle name="Normal 4 4 3 2 2" xfId="6362" xr:uid="{00000000-0005-0000-0000-000082A80000}"/>
    <cellStyle name="Normal 4 4 3 2 2 2" xfId="6363" xr:uid="{00000000-0005-0000-0000-000083A80000}"/>
    <cellStyle name="Normal 4 4 3 2 2 2 2" xfId="6364" xr:uid="{00000000-0005-0000-0000-000084A80000}"/>
    <cellStyle name="Normal 4 4 3 2 2 2 2 2" xfId="9897" xr:uid="{00000000-0005-0000-0000-000085A80000}"/>
    <cellStyle name="Normal 4 4 3 2 2 2 2 2 2" xfId="16686" xr:uid="{00000000-0005-0000-0000-000086A80000}"/>
    <cellStyle name="Normal 4 4 3 2 2 2 2 2 2 2" xfId="30254" xr:uid="{00000000-0005-0000-0000-000087A80000}"/>
    <cellStyle name="Normal 4 4 3 2 2 2 2 2 2 2 2" xfId="57387" xr:uid="{00000000-0005-0000-0000-000088A80000}"/>
    <cellStyle name="Normal 4 4 3 2 2 2 2 2 2 3" xfId="43825" xr:uid="{00000000-0005-0000-0000-000089A80000}"/>
    <cellStyle name="Normal 4 4 3 2 2 2 2 2 3" xfId="23473" xr:uid="{00000000-0005-0000-0000-00008AA80000}"/>
    <cellStyle name="Normal 4 4 3 2 2 2 2 2 3 2" xfId="50606" xr:uid="{00000000-0005-0000-0000-00008BA80000}"/>
    <cellStyle name="Normal 4 4 3 2 2 2 2 2 4" xfId="37044" xr:uid="{00000000-0005-0000-0000-00008CA80000}"/>
    <cellStyle name="Normal 4 4 3 2 2 2 2 3" xfId="13297" xr:uid="{00000000-0005-0000-0000-00008DA80000}"/>
    <cellStyle name="Normal 4 4 3 2 2 2 2 3 2" xfId="26865" xr:uid="{00000000-0005-0000-0000-00008EA80000}"/>
    <cellStyle name="Normal 4 4 3 2 2 2 2 3 2 2" xfId="53998" xr:uid="{00000000-0005-0000-0000-00008FA80000}"/>
    <cellStyle name="Normal 4 4 3 2 2 2 2 3 3" xfId="40436" xr:uid="{00000000-0005-0000-0000-000090A80000}"/>
    <cellStyle name="Normal 4 4 3 2 2 2 2 4" xfId="20084" xr:uid="{00000000-0005-0000-0000-000091A80000}"/>
    <cellStyle name="Normal 4 4 3 2 2 2 2 4 2" xfId="47217" xr:uid="{00000000-0005-0000-0000-000092A80000}"/>
    <cellStyle name="Normal 4 4 3 2 2 2 2 5" xfId="33655" xr:uid="{00000000-0005-0000-0000-000093A80000}"/>
    <cellStyle name="Normal 4 4 3 2 2 2 3" xfId="6365" xr:uid="{00000000-0005-0000-0000-000094A80000}"/>
    <cellStyle name="Normal 4 4 3 2 2 2 3 2" xfId="9898" xr:uid="{00000000-0005-0000-0000-000095A80000}"/>
    <cellStyle name="Normal 4 4 3 2 2 2 3 2 2" xfId="16687" xr:uid="{00000000-0005-0000-0000-000096A80000}"/>
    <cellStyle name="Normal 4 4 3 2 2 2 3 2 2 2" xfId="30255" xr:uid="{00000000-0005-0000-0000-000097A80000}"/>
    <cellStyle name="Normal 4 4 3 2 2 2 3 2 2 2 2" xfId="57388" xr:uid="{00000000-0005-0000-0000-000098A80000}"/>
    <cellStyle name="Normal 4 4 3 2 2 2 3 2 2 3" xfId="43826" xr:uid="{00000000-0005-0000-0000-000099A80000}"/>
    <cellStyle name="Normal 4 4 3 2 2 2 3 2 3" xfId="23474" xr:uid="{00000000-0005-0000-0000-00009AA80000}"/>
    <cellStyle name="Normal 4 4 3 2 2 2 3 2 3 2" xfId="50607" xr:uid="{00000000-0005-0000-0000-00009BA80000}"/>
    <cellStyle name="Normal 4 4 3 2 2 2 3 2 4" xfId="37045" xr:uid="{00000000-0005-0000-0000-00009CA80000}"/>
    <cellStyle name="Normal 4 4 3 2 2 2 3 3" xfId="13298" xr:uid="{00000000-0005-0000-0000-00009DA80000}"/>
    <cellStyle name="Normal 4 4 3 2 2 2 3 3 2" xfId="26866" xr:uid="{00000000-0005-0000-0000-00009EA80000}"/>
    <cellStyle name="Normal 4 4 3 2 2 2 3 3 2 2" xfId="53999" xr:uid="{00000000-0005-0000-0000-00009FA80000}"/>
    <cellStyle name="Normal 4 4 3 2 2 2 3 3 3" xfId="40437" xr:uid="{00000000-0005-0000-0000-0000A0A80000}"/>
    <cellStyle name="Normal 4 4 3 2 2 2 3 4" xfId="20085" xr:uid="{00000000-0005-0000-0000-0000A1A80000}"/>
    <cellStyle name="Normal 4 4 3 2 2 2 3 4 2" xfId="47218" xr:uid="{00000000-0005-0000-0000-0000A2A80000}"/>
    <cellStyle name="Normal 4 4 3 2 2 2 3 5" xfId="33656" xr:uid="{00000000-0005-0000-0000-0000A3A80000}"/>
    <cellStyle name="Normal 4 4 3 2 2 2 4" xfId="9896" xr:uid="{00000000-0005-0000-0000-0000A4A80000}"/>
    <cellStyle name="Normal 4 4 3 2 2 2 4 2" xfId="16685" xr:uid="{00000000-0005-0000-0000-0000A5A80000}"/>
    <cellStyle name="Normal 4 4 3 2 2 2 4 2 2" xfId="30253" xr:uid="{00000000-0005-0000-0000-0000A6A80000}"/>
    <cellStyle name="Normal 4 4 3 2 2 2 4 2 2 2" xfId="57386" xr:uid="{00000000-0005-0000-0000-0000A7A80000}"/>
    <cellStyle name="Normal 4 4 3 2 2 2 4 2 3" xfId="43824" xr:uid="{00000000-0005-0000-0000-0000A8A80000}"/>
    <cellStyle name="Normal 4 4 3 2 2 2 4 3" xfId="23472" xr:uid="{00000000-0005-0000-0000-0000A9A80000}"/>
    <cellStyle name="Normal 4 4 3 2 2 2 4 3 2" xfId="50605" xr:uid="{00000000-0005-0000-0000-0000AAA80000}"/>
    <cellStyle name="Normal 4 4 3 2 2 2 4 4" xfId="37043" xr:uid="{00000000-0005-0000-0000-0000ABA80000}"/>
    <cellStyle name="Normal 4 4 3 2 2 2 5" xfId="13296" xr:uid="{00000000-0005-0000-0000-0000ACA80000}"/>
    <cellStyle name="Normal 4 4 3 2 2 2 5 2" xfId="26864" xr:uid="{00000000-0005-0000-0000-0000ADA80000}"/>
    <cellStyle name="Normal 4 4 3 2 2 2 5 2 2" xfId="53997" xr:uid="{00000000-0005-0000-0000-0000AEA80000}"/>
    <cellStyle name="Normal 4 4 3 2 2 2 5 3" xfId="40435" xr:uid="{00000000-0005-0000-0000-0000AFA80000}"/>
    <cellStyle name="Normal 4 4 3 2 2 2 6" xfId="20083" xr:uid="{00000000-0005-0000-0000-0000B0A80000}"/>
    <cellStyle name="Normal 4 4 3 2 2 2 6 2" xfId="47216" xr:uid="{00000000-0005-0000-0000-0000B1A80000}"/>
    <cellStyle name="Normal 4 4 3 2 2 2 7" xfId="33654" xr:uid="{00000000-0005-0000-0000-0000B2A80000}"/>
    <cellStyle name="Normal 4 4 3 2 2 3" xfId="6366" xr:uid="{00000000-0005-0000-0000-0000B3A80000}"/>
    <cellStyle name="Normal 4 4 3 2 2 3 2" xfId="6367" xr:uid="{00000000-0005-0000-0000-0000B4A80000}"/>
    <cellStyle name="Normal 4 4 3 2 2 3 2 2" xfId="9900" xr:uid="{00000000-0005-0000-0000-0000B5A80000}"/>
    <cellStyle name="Normal 4 4 3 2 2 3 2 2 2" xfId="16689" xr:uid="{00000000-0005-0000-0000-0000B6A80000}"/>
    <cellStyle name="Normal 4 4 3 2 2 3 2 2 2 2" xfId="30257" xr:uid="{00000000-0005-0000-0000-0000B7A80000}"/>
    <cellStyle name="Normal 4 4 3 2 2 3 2 2 2 2 2" xfId="57390" xr:uid="{00000000-0005-0000-0000-0000B8A80000}"/>
    <cellStyle name="Normal 4 4 3 2 2 3 2 2 2 3" xfId="43828" xr:uid="{00000000-0005-0000-0000-0000B9A80000}"/>
    <cellStyle name="Normal 4 4 3 2 2 3 2 2 3" xfId="23476" xr:uid="{00000000-0005-0000-0000-0000BAA80000}"/>
    <cellStyle name="Normal 4 4 3 2 2 3 2 2 3 2" xfId="50609" xr:uid="{00000000-0005-0000-0000-0000BBA80000}"/>
    <cellStyle name="Normal 4 4 3 2 2 3 2 2 4" xfId="37047" xr:uid="{00000000-0005-0000-0000-0000BCA80000}"/>
    <cellStyle name="Normal 4 4 3 2 2 3 2 3" xfId="13300" xr:uid="{00000000-0005-0000-0000-0000BDA80000}"/>
    <cellStyle name="Normal 4 4 3 2 2 3 2 3 2" xfId="26868" xr:uid="{00000000-0005-0000-0000-0000BEA80000}"/>
    <cellStyle name="Normal 4 4 3 2 2 3 2 3 2 2" xfId="54001" xr:uid="{00000000-0005-0000-0000-0000BFA80000}"/>
    <cellStyle name="Normal 4 4 3 2 2 3 2 3 3" xfId="40439" xr:uid="{00000000-0005-0000-0000-0000C0A80000}"/>
    <cellStyle name="Normal 4 4 3 2 2 3 2 4" xfId="20087" xr:uid="{00000000-0005-0000-0000-0000C1A80000}"/>
    <cellStyle name="Normal 4 4 3 2 2 3 2 4 2" xfId="47220" xr:uid="{00000000-0005-0000-0000-0000C2A80000}"/>
    <cellStyle name="Normal 4 4 3 2 2 3 2 5" xfId="33658" xr:uid="{00000000-0005-0000-0000-0000C3A80000}"/>
    <cellStyle name="Normal 4 4 3 2 2 3 3" xfId="9899" xr:uid="{00000000-0005-0000-0000-0000C4A80000}"/>
    <cellStyle name="Normal 4 4 3 2 2 3 3 2" xfId="16688" xr:uid="{00000000-0005-0000-0000-0000C5A80000}"/>
    <cellStyle name="Normal 4 4 3 2 2 3 3 2 2" xfId="30256" xr:uid="{00000000-0005-0000-0000-0000C6A80000}"/>
    <cellStyle name="Normal 4 4 3 2 2 3 3 2 2 2" xfId="57389" xr:uid="{00000000-0005-0000-0000-0000C7A80000}"/>
    <cellStyle name="Normal 4 4 3 2 2 3 3 2 3" xfId="43827" xr:uid="{00000000-0005-0000-0000-0000C8A80000}"/>
    <cellStyle name="Normal 4 4 3 2 2 3 3 3" xfId="23475" xr:uid="{00000000-0005-0000-0000-0000C9A80000}"/>
    <cellStyle name="Normal 4 4 3 2 2 3 3 3 2" xfId="50608" xr:uid="{00000000-0005-0000-0000-0000CAA80000}"/>
    <cellStyle name="Normal 4 4 3 2 2 3 3 4" xfId="37046" xr:uid="{00000000-0005-0000-0000-0000CBA80000}"/>
    <cellStyle name="Normal 4 4 3 2 2 3 4" xfId="13299" xr:uid="{00000000-0005-0000-0000-0000CCA80000}"/>
    <cellStyle name="Normal 4 4 3 2 2 3 4 2" xfId="26867" xr:uid="{00000000-0005-0000-0000-0000CDA80000}"/>
    <cellStyle name="Normal 4 4 3 2 2 3 4 2 2" xfId="54000" xr:uid="{00000000-0005-0000-0000-0000CEA80000}"/>
    <cellStyle name="Normal 4 4 3 2 2 3 4 3" xfId="40438" xr:uid="{00000000-0005-0000-0000-0000CFA80000}"/>
    <cellStyle name="Normal 4 4 3 2 2 3 5" xfId="20086" xr:uid="{00000000-0005-0000-0000-0000D0A80000}"/>
    <cellStyle name="Normal 4 4 3 2 2 3 5 2" xfId="47219" xr:uid="{00000000-0005-0000-0000-0000D1A80000}"/>
    <cellStyle name="Normal 4 4 3 2 2 3 6" xfId="33657" xr:uid="{00000000-0005-0000-0000-0000D2A80000}"/>
    <cellStyle name="Normal 4 4 3 2 2 4" xfId="6368" xr:uid="{00000000-0005-0000-0000-0000D3A80000}"/>
    <cellStyle name="Normal 4 4 3 2 2 4 2" xfId="9901" xr:uid="{00000000-0005-0000-0000-0000D4A80000}"/>
    <cellStyle name="Normal 4 4 3 2 2 4 2 2" xfId="16690" xr:uid="{00000000-0005-0000-0000-0000D5A80000}"/>
    <cellStyle name="Normal 4 4 3 2 2 4 2 2 2" xfId="30258" xr:uid="{00000000-0005-0000-0000-0000D6A80000}"/>
    <cellStyle name="Normal 4 4 3 2 2 4 2 2 2 2" xfId="57391" xr:uid="{00000000-0005-0000-0000-0000D7A80000}"/>
    <cellStyle name="Normal 4 4 3 2 2 4 2 2 3" xfId="43829" xr:uid="{00000000-0005-0000-0000-0000D8A80000}"/>
    <cellStyle name="Normal 4 4 3 2 2 4 2 3" xfId="23477" xr:uid="{00000000-0005-0000-0000-0000D9A80000}"/>
    <cellStyle name="Normal 4 4 3 2 2 4 2 3 2" xfId="50610" xr:uid="{00000000-0005-0000-0000-0000DAA80000}"/>
    <cellStyle name="Normal 4 4 3 2 2 4 2 4" xfId="37048" xr:uid="{00000000-0005-0000-0000-0000DBA80000}"/>
    <cellStyle name="Normal 4 4 3 2 2 4 3" xfId="13301" xr:uid="{00000000-0005-0000-0000-0000DCA80000}"/>
    <cellStyle name="Normal 4 4 3 2 2 4 3 2" xfId="26869" xr:uid="{00000000-0005-0000-0000-0000DDA80000}"/>
    <cellStyle name="Normal 4 4 3 2 2 4 3 2 2" xfId="54002" xr:uid="{00000000-0005-0000-0000-0000DEA80000}"/>
    <cellStyle name="Normal 4 4 3 2 2 4 3 3" xfId="40440" xr:uid="{00000000-0005-0000-0000-0000DFA80000}"/>
    <cellStyle name="Normal 4 4 3 2 2 4 4" xfId="20088" xr:uid="{00000000-0005-0000-0000-0000E0A80000}"/>
    <cellStyle name="Normal 4 4 3 2 2 4 4 2" xfId="47221" xr:uid="{00000000-0005-0000-0000-0000E1A80000}"/>
    <cellStyle name="Normal 4 4 3 2 2 4 5" xfId="33659" xr:uid="{00000000-0005-0000-0000-0000E2A80000}"/>
    <cellStyle name="Normal 4 4 3 2 2 5" xfId="6369" xr:uid="{00000000-0005-0000-0000-0000E3A80000}"/>
    <cellStyle name="Normal 4 4 3 2 2 5 2" xfId="9902" xr:uid="{00000000-0005-0000-0000-0000E4A80000}"/>
    <cellStyle name="Normal 4 4 3 2 2 5 2 2" xfId="16691" xr:uid="{00000000-0005-0000-0000-0000E5A80000}"/>
    <cellStyle name="Normal 4 4 3 2 2 5 2 2 2" xfId="30259" xr:uid="{00000000-0005-0000-0000-0000E6A80000}"/>
    <cellStyle name="Normal 4 4 3 2 2 5 2 2 2 2" xfId="57392" xr:uid="{00000000-0005-0000-0000-0000E7A80000}"/>
    <cellStyle name="Normal 4 4 3 2 2 5 2 2 3" xfId="43830" xr:uid="{00000000-0005-0000-0000-0000E8A80000}"/>
    <cellStyle name="Normal 4 4 3 2 2 5 2 3" xfId="23478" xr:uid="{00000000-0005-0000-0000-0000E9A80000}"/>
    <cellStyle name="Normal 4 4 3 2 2 5 2 3 2" xfId="50611" xr:uid="{00000000-0005-0000-0000-0000EAA80000}"/>
    <cellStyle name="Normal 4 4 3 2 2 5 2 4" xfId="37049" xr:uid="{00000000-0005-0000-0000-0000EBA80000}"/>
    <cellStyle name="Normal 4 4 3 2 2 5 3" xfId="13302" xr:uid="{00000000-0005-0000-0000-0000ECA80000}"/>
    <cellStyle name="Normal 4 4 3 2 2 5 3 2" xfId="26870" xr:uid="{00000000-0005-0000-0000-0000EDA80000}"/>
    <cellStyle name="Normal 4 4 3 2 2 5 3 2 2" xfId="54003" xr:uid="{00000000-0005-0000-0000-0000EEA80000}"/>
    <cellStyle name="Normal 4 4 3 2 2 5 3 3" xfId="40441" xr:uid="{00000000-0005-0000-0000-0000EFA80000}"/>
    <cellStyle name="Normal 4 4 3 2 2 5 4" xfId="20089" xr:uid="{00000000-0005-0000-0000-0000F0A80000}"/>
    <cellStyle name="Normal 4 4 3 2 2 5 4 2" xfId="47222" xr:uid="{00000000-0005-0000-0000-0000F1A80000}"/>
    <cellStyle name="Normal 4 4 3 2 2 5 5" xfId="33660" xr:uid="{00000000-0005-0000-0000-0000F2A80000}"/>
    <cellStyle name="Normal 4 4 3 2 2 6" xfId="9895" xr:uid="{00000000-0005-0000-0000-0000F3A80000}"/>
    <cellStyle name="Normal 4 4 3 2 2 6 2" xfId="16684" xr:uid="{00000000-0005-0000-0000-0000F4A80000}"/>
    <cellStyle name="Normal 4 4 3 2 2 6 2 2" xfId="30252" xr:uid="{00000000-0005-0000-0000-0000F5A80000}"/>
    <cellStyle name="Normal 4 4 3 2 2 6 2 2 2" xfId="57385" xr:uid="{00000000-0005-0000-0000-0000F6A80000}"/>
    <cellStyle name="Normal 4 4 3 2 2 6 2 3" xfId="43823" xr:uid="{00000000-0005-0000-0000-0000F7A80000}"/>
    <cellStyle name="Normal 4 4 3 2 2 6 3" xfId="23471" xr:uid="{00000000-0005-0000-0000-0000F8A80000}"/>
    <cellStyle name="Normal 4 4 3 2 2 6 3 2" xfId="50604" xr:uid="{00000000-0005-0000-0000-0000F9A80000}"/>
    <cellStyle name="Normal 4 4 3 2 2 6 4" xfId="37042" xr:uid="{00000000-0005-0000-0000-0000FAA80000}"/>
    <cellStyle name="Normal 4 4 3 2 2 7" xfId="13295" xr:uid="{00000000-0005-0000-0000-0000FBA80000}"/>
    <cellStyle name="Normal 4 4 3 2 2 7 2" xfId="26863" xr:uid="{00000000-0005-0000-0000-0000FCA80000}"/>
    <cellStyle name="Normal 4 4 3 2 2 7 2 2" xfId="53996" xr:uid="{00000000-0005-0000-0000-0000FDA80000}"/>
    <cellStyle name="Normal 4 4 3 2 2 7 3" xfId="40434" xr:uid="{00000000-0005-0000-0000-0000FEA80000}"/>
    <cellStyle name="Normal 4 4 3 2 2 8" xfId="20082" xr:uid="{00000000-0005-0000-0000-0000FFA80000}"/>
    <cellStyle name="Normal 4 4 3 2 2 8 2" xfId="47215" xr:uid="{00000000-0005-0000-0000-000000A90000}"/>
    <cellStyle name="Normal 4 4 3 2 2 9" xfId="33653" xr:uid="{00000000-0005-0000-0000-000001A90000}"/>
    <cellStyle name="Normal 4 4 3 2 3" xfId="6370" xr:uid="{00000000-0005-0000-0000-000002A90000}"/>
    <cellStyle name="Normal 4 4 3 2 3 2" xfId="6371" xr:uid="{00000000-0005-0000-0000-000003A90000}"/>
    <cellStyle name="Normal 4 4 3 2 3 2 2" xfId="9904" xr:uid="{00000000-0005-0000-0000-000004A90000}"/>
    <cellStyle name="Normal 4 4 3 2 3 2 2 2" xfId="16693" xr:uid="{00000000-0005-0000-0000-000005A90000}"/>
    <cellStyle name="Normal 4 4 3 2 3 2 2 2 2" xfId="30261" xr:uid="{00000000-0005-0000-0000-000006A90000}"/>
    <cellStyle name="Normal 4 4 3 2 3 2 2 2 2 2" xfId="57394" xr:uid="{00000000-0005-0000-0000-000007A90000}"/>
    <cellStyle name="Normal 4 4 3 2 3 2 2 2 3" xfId="43832" xr:uid="{00000000-0005-0000-0000-000008A90000}"/>
    <cellStyle name="Normal 4 4 3 2 3 2 2 3" xfId="23480" xr:uid="{00000000-0005-0000-0000-000009A90000}"/>
    <cellStyle name="Normal 4 4 3 2 3 2 2 3 2" xfId="50613" xr:uid="{00000000-0005-0000-0000-00000AA90000}"/>
    <cellStyle name="Normal 4 4 3 2 3 2 2 4" xfId="37051" xr:uid="{00000000-0005-0000-0000-00000BA90000}"/>
    <cellStyle name="Normal 4 4 3 2 3 2 3" xfId="13304" xr:uid="{00000000-0005-0000-0000-00000CA90000}"/>
    <cellStyle name="Normal 4 4 3 2 3 2 3 2" xfId="26872" xr:uid="{00000000-0005-0000-0000-00000DA90000}"/>
    <cellStyle name="Normal 4 4 3 2 3 2 3 2 2" xfId="54005" xr:uid="{00000000-0005-0000-0000-00000EA90000}"/>
    <cellStyle name="Normal 4 4 3 2 3 2 3 3" xfId="40443" xr:uid="{00000000-0005-0000-0000-00000FA90000}"/>
    <cellStyle name="Normal 4 4 3 2 3 2 4" xfId="20091" xr:uid="{00000000-0005-0000-0000-000010A90000}"/>
    <cellStyle name="Normal 4 4 3 2 3 2 4 2" xfId="47224" xr:uid="{00000000-0005-0000-0000-000011A90000}"/>
    <cellStyle name="Normal 4 4 3 2 3 2 5" xfId="33662" xr:uid="{00000000-0005-0000-0000-000012A90000}"/>
    <cellStyle name="Normal 4 4 3 2 3 3" xfId="6372" xr:uid="{00000000-0005-0000-0000-000013A90000}"/>
    <cellStyle name="Normal 4 4 3 2 3 3 2" xfId="9905" xr:uid="{00000000-0005-0000-0000-000014A90000}"/>
    <cellStyle name="Normal 4 4 3 2 3 3 2 2" xfId="16694" xr:uid="{00000000-0005-0000-0000-000015A90000}"/>
    <cellStyle name="Normal 4 4 3 2 3 3 2 2 2" xfId="30262" xr:uid="{00000000-0005-0000-0000-000016A90000}"/>
    <cellStyle name="Normal 4 4 3 2 3 3 2 2 2 2" xfId="57395" xr:uid="{00000000-0005-0000-0000-000017A90000}"/>
    <cellStyle name="Normal 4 4 3 2 3 3 2 2 3" xfId="43833" xr:uid="{00000000-0005-0000-0000-000018A90000}"/>
    <cellStyle name="Normal 4 4 3 2 3 3 2 3" xfId="23481" xr:uid="{00000000-0005-0000-0000-000019A90000}"/>
    <cellStyle name="Normal 4 4 3 2 3 3 2 3 2" xfId="50614" xr:uid="{00000000-0005-0000-0000-00001AA90000}"/>
    <cellStyle name="Normal 4 4 3 2 3 3 2 4" xfId="37052" xr:uid="{00000000-0005-0000-0000-00001BA90000}"/>
    <cellStyle name="Normal 4 4 3 2 3 3 3" xfId="13305" xr:uid="{00000000-0005-0000-0000-00001CA90000}"/>
    <cellStyle name="Normal 4 4 3 2 3 3 3 2" xfId="26873" xr:uid="{00000000-0005-0000-0000-00001DA90000}"/>
    <cellStyle name="Normal 4 4 3 2 3 3 3 2 2" xfId="54006" xr:uid="{00000000-0005-0000-0000-00001EA90000}"/>
    <cellStyle name="Normal 4 4 3 2 3 3 3 3" xfId="40444" xr:uid="{00000000-0005-0000-0000-00001FA90000}"/>
    <cellStyle name="Normal 4 4 3 2 3 3 4" xfId="20092" xr:uid="{00000000-0005-0000-0000-000020A90000}"/>
    <cellStyle name="Normal 4 4 3 2 3 3 4 2" xfId="47225" xr:uid="{00000000-0005-0000-0000-000021A90000}"/>
    <cellStyle name="Normal 4 4 3 2 3 3 5" xfId="33663" xr:uid="{00000000-0005-0000-0000-000022A90000}"/>
    <cellStyle name="Normal 4 4 3 2 3 4" xfId="9903" xr:uid="{00000000-0005-0000-0000-000023A90000}"/>
    <cellStyle name="Normal 4 4 3 2 3 4 2" xfId="16692" xr:uid="{00000000-0005-0000-0000-000024A90000}"/>
    <cellStyle name="Normal 4 4 3 2 3 4 2 2" xfId="30260" xr:uid="{00000000-0005-0000-0000-000025A90000}"/>
    <cellStyle name="Normal 4 4 3 2 3 4 2 2 2" xfId="57393" xr:uid="{00000000-0005-0000-0000-000026A90000}"/>
    <cellStyle name="Normal 4 4 3 2 3 4 2 3" xfId="43831" xr:uid="{00000000-0005-0000-0000-000027A90000}"/>
    <cellStyle name="Normal 4 4 3 2 3 4 3" xfId="23479" xr:uid="{00000000-0005-0000-0000-000028A90000}"/>
    <cellStyle name="Normal 4 4 3 2 3 4 3 2" xfId="50612" xr:uid="{00000000-0005-0000-0000-000029A90000}"/>
    <cellStyle name="Normal 4 4 3 2 3 4 4" xfId="37050" xr:uid="{00000000-0005-0000-0000-00002AA90000}"/>
    <cellStyle name="Normal 4 4 3 2 3 5" xfId="13303" xr:uid="{00000000-0005-0000-0000-00002BA90000}"/>
    <cellStyle name="Normal 4 4 3 2 3 5 2" xfId="26871" xr:uid="{00000000-0005-0000-0000-00002CA90000}"/>
    <cellStyle name="Normal 4 4 3 2 3 5 2 2" xfId="54004" xr:uid="{00000000-0005-0000-0000-00002DA90000}"/>
    <cellStyle name="Normal 4 4 3 2 3 5 3" xfId="40442" xr:uid="{00000000-0005-0000-0000-00002EA90000}"/>
    <cellStyle name="Normal 4 4 3 2 3 6" xfId="20090" xr:uid="{00000000-0005-0000-0000-00002FA90000}"/>
    <cellStyle name="Normal 4 4 3 2 3 6 2" xfId="47223" xr:uid="{00000000-0005-0000-0000-000030A90000}"/>
    <cellStyle name="Normal 4 4 3 2 3 7" xfId="33661" xr:uid="{00000000-0005-0000-0000-000031A90000}"/>
    <cellStyle name="Normal 4 4 3 2 4" xfId="6373" xr:uid="{00000000-0005-0000-0000-000032A90000}"/>
    <cellStyle name="Normal 4 4 3 2 4 2" xfId="6374" xr:uid="{00000000-0005-0000-0000-000033A90000}"/>
    <cellStyle name="Normal 4 4 3 2 4 2 2" xfId="9907" xr:uid="{00000000-0005-0000-0000-000034A90000}"/>
    <cellStyle name="Normal 4 4 3 2 4 2 2 2" xfId="16696" xr:uid="{00000000-0005-0000-0000-000035A90000}"/>
    <cellStyle name="Normal 4 4 3 2 4 2 2 2 2" xfId="30264" xr:uid="{00000000-0005-0000-0000-000036A90000}"/>
    <cellStyle name="Normal 4 4 3 2 4 2 2 2 2 2" xfId="57397" xr:uid="{00000000-0005-0000-0000-000037A90000}"/>
    <cellStyle name="Normal 4 4 3 2 4 2 2 2 3" xfId="43835" xr:uid="{00000000-0005-0000-0000-000038A90000}"/>
    <cellStyle name="Normal 4 4 3 2 4 2 2 3" xfId="23483" xr:uid="{00000000-0005-0000-0000-000039A90000}"/>
    <cellStyle name="Normal 4 4 3 2 4 2 2 3 2" xfId="50616" xr:uid="{00000000-0005-0000-0000-00003AA90000}"/>
    <cellStyle name="Normal 4 4 3 2 4 2 2 4" xfId="37054" xr:uid="{00000000-0005-0000-0000-00003BA90000}"/>
    <cellStyle name="Normal 4 4 3 2 4 2 3" xfId="13307" xr:uid="{00000000-0005-0000-0000-00003CA90000}"/>
    <cellStyle name="Normal 4 4 3 2 4 2 3 2" xfId="26875" xr:uid="{00000000-0005-0000-0000-00003DA90000}"/>
    <cellStyle name="Normal 4 4 3 2 4 2 3 2 2" xfId="54008" xr:uid="{00000000-0005-0000-0000-00003EA90000}"/>
    <cellStyle name="Normal 4 4 3 2 4 2 3 3" xfId="40446" xr:uid="{00000000-0005-0000-0000-00003FA90000}"/>
    <cellStyle name="Normal 4 4 3 2 4 2 4" xfId="20094" xr:uid="{00000000-0005-0000-0000-000040A90000}"/>
    <cellStyle name="Normal 4 4 3 2 4 2 4 2" xfId="47227" xr:uid="{00000000-0005-0000-0000-000041A90000}"/>
    <cellStyle name="Normal 4 4 3 2 4 2 5" xfId="33665" xr:uid="{00000000-0005-0000-0000-000042A90000}"/>
    <cellStyle name="Normal 4 4 3 2 4 3" xfId="9906" xr:uid="{00000000-0005-0000-0000-000043A90000}"/>
    <cellStyle name="Normal 4 4 3 2 4 3 2" xfId="16695" xr:uid="{00000000-0005-0000-0000-000044A90000}"/>
    <cellStyle name="Normal 4 4 3 2 4 3 2 2" xfId="30263" xr:uid="{00000000-0005-0000-0000-000045A90000}"/>
    <cellStyle name="Normal 4 4 3 2 4 3 2 2 2" xfId="57396" xr:uid="{00000000-0005-0000-0000-000046A90000}"/>
    <cellStyle name="Normal 4 4 3 2 4 3 2 3" xfId="43834" xr:uid="{00000000-0005-0000-0000-000047A90000}"/>
    <cellStyle name="Normal 4 4 3 2 4 3 3" xfId="23482" xr:uid="{00000000-0005-0000-0000-000048A90000}"/>
    <cellStyle name="Normal 4 4 3 2 4 3 3 2" xfId="50615" xr:uid="{00000000-0005-0000-0000-000049A90000}"/>
    <cellStyle name="Normal 4 4 3 2 4 3 4" xfId="37053" xr:uid="{00000000-0005-0000-0000-00004AA90000}"/>
    <cellStyle name="Normal 4 4 3 2 4 4" xfId="13306" xr:uid="{00000000-0005-0000-0000-00004BA90000}"/>
    <cellStyle name="Normal 4 4 3 2 4 4 2" xfId="26874" xr:uid="{00000000-0005-0000-0000-00004CA90000}"/>
    <cellStyle name="Normal 4 4 3 2 4 4 2 2" xfId="54007" xr:uid="{00000000-0005-0000-0000-00004DA90000}"/>
    <cellStyle name="Normal 4 4 3 2 4 4 3" xfId="40445" xr:uid="{00000000-0005-0000-0000-00004EA90000}"/>
    <cellStyle name="Normal 4 4 3 2 4 5" xfId="20093" xr:uid="{00000000-0005-0000-0000-00004FA90000}"/>
    <cellStyle name="Normal 4 4 3 2 4 5 2" xfId="47226" xr:uid="{00000000-0005-0000-0000-000050A90000}"/>
    <cellStyle name="Normal 4 4 3 2 4 6" xfId="33664" xr:uid="{00000000-0005-0000-0000-000051A90000}"/>
    <cellStyle name="Normal 4 4 3 2 5" xfId="6375" xr:uid="{00000000-0005-0000-0000-000052A90000}"/>
    <cellStyle name="Normal 4 4 3 2 5 2" xfId="9908" xr:uid="{00000000-0005-0000-0000-000053A90000}"/>
    <cellStyle name="Normal 4 4 3 2 5 2 2" xfId="16697" xr:uid="{00000000-0005-0000-0000-000054A90000}"/>
    <cellStyle name="Normal 4 4 3 2 5 2 2 2" xfId="30265" xr:uid="{00000000-0005-0000-0000-000055A90000}"/>
    <cellStyle name="Normal 4 4 3 2 5 2 2 2 2" xfId="57398" xr:uid="{00000000-0005-0000-0000-000056A90000}"/>
    <cellStyle name="Normal 4 4 3 2 5 2 2 3" xfId="43836" xr:uid="{00000000-0005-0000-0000-000057A90000}"/>
    <cellStyle name="Normal 4 4 3 2 5 2 3" xfId="23484" xr:uid="{00000000-0005-0000-0000-000058A90000}"/>
    <cellStyle name="Normal 4 4 3 2 5 2 3 2" xfId="50617" xr:uid="{00000000-0005-0000-0000-000059A90000}"/>
    <cellStyle name="Normal 4 4 3 2 5 2 4" xfId="37055" xr:uid="{00000000-0005-0000-0000-00005AA90000}"/>
    <cellStyle name="Normal 4 4 3 2 5 3" xfId="13308" xr:uid="{00000000-0005-0000-0000-00005BA90000}"/>
    <cellStyle name="Normal 4 4 3 2 5 3 2" xfId="26876" xr:uid="{00000000-0005-0000-0000-00005CA90000}"/>
    <cellStyle name="Normal 4 4 3 2 5 3 2 2" xfId="54009" xr:uid="{00000000-0005-0000-0000-00005DA90000}"/>
    <cellStyle name="Normal 4 4 3 2 5 3 3" xfId="40447" xr:uid="{00000000-0005-0000-0000-00005EA90000}"/>
    <cellStyle name="Normal 4 4 3 2 5 4" xfId="20095" xr:uid="{00000000-0005-0000-0000-00005FA90000}"/>
    <cellStyle name="Normal 4 4 3 2 5 4 2" xfId="47228" xr:uid="{00000000-0005-0000-0000-000060A90000}"/>
    <cellStyle name="Normal 4 4 3 2 5 5" xfId="33666" xr:uid="{00000000-0005-0000-0000-000061A90000}"/>
    <cellStyle name="Normal 4 4 3 2 6" xfId="6376" xr:uid="{00000000-0005-0000-0000-000062A90000}"/>
    <cellStyle name="Normal 4 4 3 2 6 2" xfId="9909" xr:uid="{00000000-0005-0000-0000-000063A90000}"/>
    <cellStyle name="Normal 4 4 3 2 6 2 2" xfId="16698" xr:uid="{00000000-0005-0000-0000-000064A90000}"/>
    <cellStyle name="Normal 4 4 3 2 6 2 2 2" xfId="30266" xr:uid="{00000000-0005-0000-0000-000065A90000}"/>
    <cellStyle name="Normal 4 4 3 2 6 2 2 2 2" xfId="57399" xr:uid="{00000000-0005-0000-0000-000066A90000}"/>
    <cellStyle name="Normal 4 4 3 2 6 2 2 3" xfId="43837" xr:uid="{00000000-0005-0000-0000-000067A90000}"/>
    <cellStyle name="Normal 4 4 3 2 6 2 3" xfId="23485" xr:uid="{00000000-0005-0000-0000-000068A90000}"/>
    <cellStyle name="Normal 4 4 3 2 6 2 3 2" xfId="50618" xr:uid="{00000000-0005-0000-0000-000069A90000}"/>
    <cellStyle name="Normal 4 4 3 2 6 2 4" xfId="37056" xr:uid="{00000000-0005-0000-0000-00006AA90000}"/>
    <cellStyle name="Normal 4 4 3 2 6 3" xfId="13309" xr:uid="{00000000-0005-0000-0000-00006BA90000}"/>
    <cellStyle name="Normal 4 4 3 2 6 3 2" xfId="26877" xr:uid="{00000000-0005-0000-0000-00006CA90000}"/>
    <cellStyle name="Normal 4 4 3 2 6 3 2 2" xfId="54010" xr:uid="{00000000-0005-0000-0000-00006DA90000}"/>
    <cellStyle name="Normal 4 4 3 2 6 3 3" xfId="40448" xr:uid="{00000000-0005-0000-0000-00006EA90000}"/>
    <cellStyle name="Normal 4 4 3 2 6 4" xfId="20096" xr:uid="{00000000-0005-0000-0000-00006FA90000}"/>
    <cellStyle name="Normal 4 4 3 2 6 4 2" xfId="47229" xr:uid="{00000000-0005-0000-0000-000070A90000}"/>
    <cellStyle name="Normal 4 4 3 2 6 5" xfId="33667" xr:uid="{00000000-0005-0000-0000-000071A90000}"/>
    <cellStyle name="Normal 4 4 3 2 7" xfId="9894" xr:uid="{00000000-0005-0000-0000-000072A90000}"/>
    <cellStyle name="Normal 4 4 3 2 7 2" xfId="16683" xr:uid="{00000000-0005-0000-0000-000073A90000}"/>
    <cellStyle name="Normal 4 4 3 2 7 2 2" xfId="30251" xr:uid="{00000000-0005-0000-0000-000074A90000}"/>
    <cellStyle name="Normal 4 4 3 2 7 2 2 2" xfId="57384" xr:uid="{00000000-0005-0000-0000-000075A90000}"/>
    <cellStyle name="Normal 4 4 3 2 7 2 3" xfId="43822" xr:uid="{00000000-0005-0000-0000-000076A90000}"/>
    <cellStyle name="Normal 4 4 3 2 7 3" xfId="23470" xr:uid="{00000000-0005-0000-0000-000077A90000}"/>
    <cellStyle name="Normal 4 4 3 2 7 3 2" xfId="50603" xr:uid="{00000000-0005-0000-0000-000078A90000}"/>
    <cellStyle name="Normal 4 4 3 2 7 4" xfId="37041" xr:uid="{00000000-0005-0000-0000-000079A90000}"/>
    <cellStyle name="Normal 4 4 3 2 8" xfId="13294" xr:uid="{00000000-0005-0000-0000-00007AA90000}"/>
    <cellStyle name="Normal 4 4 3 2 8 2" xfId="26862" xr:uid="{00000000-0005-0000-0000-00007BA90000}"/>
    <cellStyle name="Normal 4 4 3 2 8 2 2" xfId="53995" xr:uid="{00000000-0005-0000-0000-00007CA90000}"/>
    <cellStyle name="Normal 4 4 3 2 8 3" xfId="40433" xr:uid="{00000000-0005-0000-0000-00007DA90000}"/>
    <cellStyle name="Normal 4 4 3 2 9" xfId="20081" xr:uid="{00000000-0005-0000-0000-00007EA90000}"/>
    <cellStyle name="Normal 4 4 3 2 9 2" xfId="47214" xr:uid="{00000000-0005-0000-0000-00007FA90000}"/>
    <cellStyle name="Normal 4 4 3 3" xfId="6377" xr:uid="{00000000-0005-0000-0000-000080A90000}"/>
    <cellStyle name="Normal 4 4 3 3 2" xfId="6378" xr:uid="{00000000-0005-0000-0000-000081A90000}"/>
    <cellStyle name="Normal 4 4 3 3 2 2" xfId="6379" xr:uid="{00000000-0005-0000-0000-000082A90000}"/>
    <cellStyle name="Normal 4 4 3 3 2 2 2" xfId="9912" xr:uid="{00000000-0005-0000-0000-000083A90000}"/>
    <cellStyle name="Normal 4 4 3 3 2 2 2 2" xfId="16701" xr:uid="{00000000-0005-0000-0000-000084A90000}"/>
    <cellStyle name="Normal 4 4 3 3 2 2 2 2 2" xfId="30269" xr:uid="{00000000-0005-0000-0000-000085A90000}"/>
    <cellStyle name="Normal 4 4 3 3 2 2 2 2 2 2" xfId="57402" xr:uid="{00000000-0005-0000-0000-000086A90000}"/>
    <cellStyle name="Normal 4 4 3 3 2 2 2 2 3" xfId="43840" xr:uid="{00000000-0005-0000-0000-000087A90000}"/>
    <cellStyle name="Normal 4 4 3 3 2 2 2 3" xfId="23488" xr:uid="{00000000-0005-0000-0000-000088A90000}"/>
    <cellStyle name="Normal 4 4 3 3 2 2 2 3 2" xfId="50621" xr:uid="{00000000-0005-0000-0000-000089A90000}"/>
    <cellStyle name="Normal 4 4 3 3 2 2 2 4" xfId="37059" xr:uid="{00000000-0005-0000-0000-00008AA90000}"/>
    <cellStyle name="Normal 4 4 3 3 2 2 3" xfId="13312" xr:uid="{00000000-0005-0000-0000-00008BA90000}"/>
    <cellStyle name="Normal 4 4 3 3 2 2 3 2" xfId="26880" xr:uid="{00000000-0005-0000-0000-00008CA90000}"/>
    <cellStyle name="Normal 4 4 3 3 2 2 3 2 2" xfId="54013" xr:uid="{00000000-0005-0000-0000-00008DA90000}"/>
    <cellStyle name="Normal 4 4 3 3 2 2 3 3" xfId="40451" xr:uid="{00000000-0005-0000-0000-00008EA90000}"/>
    <cellStyle name="Normal 4 4 3 3 2 2 4" xfId="20099" xr:uid="{00000000-0005-0000-0000-00008FA90000}"/>
    <cellStyle name="Normal 4 4 3 3 2 2 4 2" xfId="47232" xr:uid="{00000000-0005-0000-0000-000090A90000}"/>
    <cellStyle name="Normal 4 4 3 3 2 2 5" xfId="33670" xr:uid="{00000000-0005-0000-0000-000091A90000}"/>
    <cellStyle name="Normal 4 4 3 3 2 3" xfId="6380" xr:uid="{00000000-0005-0000-0000-000092A90000}"/>
    <cellStyle name="Normal 4 4 3 3 2 3 2" xfId="9913" xr:uid="{00000000-0005-0000-0000-000093A90000}"/>
    <cellStyle name="Normal 4 4 3 3 2 3 2 2" xfId="16702" xr:uid="{00000000-0005-0000-0000-000094A90000}"/>
    <cellStyle name="Normal 4 4 3 3 2 3 2 2 2" xfId="30270" xr:uid="{00000000-0005-0000-0000-000095A90000}"/>
    <cellStyle name="Normal 4 4 3 3 2 3 2 2 2 2" xfId="57403" xr:uid="{00000000-0005-0000-0000-000096A90000}"/>
    <cellStyle name="Normal 4 4 3 3 2 3 2 2 3" xfId="43841" xr:uid="{00000000-0005-0000-0000-000097A90000}"/>
    <cellStyle name="Normal 4 4 3 3 2 3 2 3" xfId="23489" xr:uid="{00000000-0005-0000-0000-000098A90000}"/>
    <cellStyle name="Normal 4 4 3 3 2 3 2 3 2" xfId="50622" xr:uid="{00000000-0005-0000-0000-000099A90000}"/>
    <cellStyle name="Normal 4 4 3 3 2 3 2 4" xfId="37060" xr:uid="{00000000-0005-0000-0000-00009AA90000}"/>
    <cellStyle name="Normal 4 4 3 3 2 3 3" xfId="13313" xr:uid="{00000000-0005-0000-0000-00009BA90000}"/>
    <cellStyle name="Normal 4 4 3 3 2 3 3 2" xfId="26881" xr:uid="{00000000-0005-0000-0000-00009CA90000}"/>
    <cellStyle name="Normal 4 4 3 3 2 3 3 2 2" xfId="54014" xr:uid="{00000000-0005-0000-0000-00009DA90000}"/>
    <cellStyle name="Normal 4 4 3 3 2 3 3 3" xfId="40452" xr:uid="{00000000-0005-0000-0000-00009EA90000}"/>
    <cellStyle name="Normal 4 4 3 3 2 3 4" xfId="20100" xr:uid="{00000000-0005-0000-0000-00009FA90000}"/>
    <cellStyle name="Normal 4 4 3 3 2 3 4 2" xfId="47233" xr:uid="{00000000-0005-0000-0000-0000A0A90000}"/>
    <cellStyle name="Normal 4 4 3 3 2 3 5" xfId="33671" xr:uid="{00000000-0005-0000-0000-0000A1A90000}"/>
    <cellStyle name="Normal 4 4 3 3 2 4" xfId="9911" xr:uid="{00000000-0005-0000-0000-0000A2A90000}"/>
    <cellStyle name="Normal 4 4 3 3 2 4 2" xfId="16700" xr:uid="{00000000-0005-0000-0000-0000A3A90000}"/>
    <cellStyle name="Normal 4 4 3 3 2 4 2 2" xfId="30268" xr:uid="{00000000-0005-0000-0000-0000A4A90000}"/>
    <cellStyle name="Normal 4 4 3 3 2 4 2 2 2" xfId="57401" xr:uid="{00000000-0005-0000-0000-0000A5A90000}"/>
    <cellStyle name="Normal 4 4 3 3 2 4 2 3" xfId="43839" xr:uid="{00000000-0005-0000-0000-0000A6A90000}"/>
    <cellStyle name="Normal 4 4 3 3 2 4 3" xfId="23487" xr:uid="{00000000-0005-0000-0000-0000A7A90000}"/>
    <cellStyle name="Normal 4 4 3 3 2 4 3 2" xfId="50620" xr:uid="{00000000-0005-0000-0000-0000A8A90000}"/>
    <cellStyle name="Normal 4 4 3 3 2 4 4" xfId="37058" xr:uid="{00000000-0005-0000-0000-0000A9A90000}"/>
    <cellStyle name="Normal 4 4 3 3 2 5" xfId="13311" xr:uid="{00000000-0005-0000-0000-0000AAA90000}"/>
    <cellStyle name="Normal 4 4 3 3 2 5 2" xfId="26879" xr:uid="{00000000-0005-0000-0000-0000ABA90000}"/>
    <cellStyle name="Normal 4 4 3 3 2 5 2 2" xfId="54012" xr:uid="{00000000-0005-0000-0000-0000ACA90000}"/>
    <cellStyle name="Normal 4 4 3 3 2 5 3" xfId="40450" xr:uid="{00000000-0005-0000-0000-0000ADA90000}"/>
    <cellStyle name="Normal 4 4 3 3 2 6" xfId="20098" xr:uid="{00000000-0005-0000-0000-0000AEA90000}"/>
    <cellStyle name="Normal 4 4 3 3 2 6 2" xfId="47231" xr:uid="{00000000-0005-0000-0000-0000AFA90000}"/>
    <cellStyle name="Normal 4 4 3 3 2 7" xfId="33669" xr:uid="{00000000-0005-0000-0000-0000B0A90000}"/>
    <cellStyle name="Normal 4 4 3 3 3" xfId="6381" xr:uid="{00000000-0005-0000-0000-0000B1A90000}"/>
    <cellStyle name="Normal 4 4 3 3 3 2" xfId="6382" xr:uid="{00000000-0005-0000-0000-0000B2A90000}"/>
    <cellStyle name="Normal 4 4 3 3 3 2 2" xfId="9915" xr:uid="{00000000-0005-0000-0000-0000B3A90000}"/>
    <cellStyle name="Normal 4 4 3 3 3 2 2 2" xfId="16704" xr:uid="{00000000-0005-0000-0000-0000B4A90000}"/>
    <cellStyle name="Normal 4 4 3 3 3 2 2 2 2" xfId="30272" xr:uid="{00000000-0005-0000-0000-0000B5A90000}"/>
    <cellStyle name="Normal 4 4 3 3 3 2 2 2 2 2" xfId="57405" xr:uid="{00000000-0005-0000-0000-0000B6A90000}"/>
    <cellStyle name="Normal 4 4 3 3 3 2 2 2 3" xfId="43843" xr:uid="{00000000-0005-0000-0000-0000B7A90000}"/>
    <cellStyle name="Normal 4 4 3 3 3 2 2 3" xfId="23491" xr:uid="{00000000-0005-0000-0000-0000B8A90000}"/>
    <cellStyle name="Normal 4 4 3 3 3 2 2 3 2" xfId="50624" xr:uid="{00000000-0005-0000-0000-0000B9A90000}"/>
    <cellStyle name="Normal 4 4 3 3 3 2 2 4" xfId="37062" xr:uid="{00000000-0005-0000-0000-0000BAA90000}"/>
    <cellStyle name="Normal 4 4 3 3 3 2 3" xfId="13315" xr:uid="{00000000-0005-0000-0000-0000BBA90000}"/>
    <cellStyle name="Normal 4 4 3 3 3 2 3 2" xfId="26883" xr:uid="{00000000-0005-0000-0000-0000BCA90000}"/>
    <cellStyle name="Normal 4 4 3 3 3 2 3 2 2" xfId="54016" xr:uid="{00000000-0005-0000-0000-0000BDA90000}"/>
    <cellStyle name="Normal 4 4 3 3 3 2 3 3" xfId="40454" xr:uid="{00000000-0005-0000-0000-0000BEA90000}"/>
    <cellStyle name="Normal 4 4 3 3 3 2 4" xfId="20102" xr:uid="{00000000-0005-0000-0000-0000BFA90000}"/>
    <cellStyle name="Normal 4 4 3 3 3 2 4 2" xfId="47235" xr:uid="{00000000-0005-0000-0000-0000C0A90000}"/>
    <cellStyle name="Normal 4 4 3 3 3 2 5" xfId="33673" xr:uid="{00000000-0005-0000-0000-0000C1A90000}"/>
    <cellStyle name="Normal 4 4 3 3 3 3" xfId="9914" xr:uid="{00000000-0005-0000-0000-0000C2A90000}"/>
    <cellStyle name="Normal 4 4 3 3 3 3 2" xfId="16703" xr:uid="{00000000-0005-0000-0000-0000C3A90000}"/>
    <cellStyle name="Normal 4 4 3 3 3 3 2 2" xfId="30271" xr:uid="{00000000-0005-0000-0000-0000C4A90000}"/>
    <cellStyle name="Normal 4 4 3 3 3 3 2 2 2" xfId="57404" xr:uid="{00000000-0005-0000-0000-0000C5A90000}"/>
    <cellStyle name="Normal 4 4 3 3 3 3 2 3" xfId="43842" xr:uid="{00000000-0005-0000-0000-0000C6A90000}"/>
    <cellStyle name="Normal 4 4 3 3 3 3 3" xfId="23490" xr:uid="{00000000-0005-0000-0000-0000C7A90000}"/>
    <cellStyle name="Normal 4 4 3 3 3 3 3 2" xfId="50623" xr:uid="{00000000-0005-0000-0000-0000C8A90000}"/>
    <cellStyle name="Normal 4 4 3 3 3 3 4" xfId="37061" xr:uid="{00000000-0005-0000-0000-0000C9A90000}"/>
    <cellStyle name="Normal 4 4 3 3 3 4" xfId="13314" xr:uid="{00000000-0005-0000-0000-0000CAA90000}"/>
    <cellStyle name="Normal 4 4 3 3 3 4 2" xfId="26882" xr:uid="{00000000-0005-0000-0000-0000CBA90000}"/>
    <cellStyle name="Normal 4 4 3 3 3 4 2 2" xfId="54015" xr:uid="{00000000-0005-0000-0000-0000CCA90000}"/>
    <cellStyle name="Normal 4 4 3 3 3 4 3" xfId="40453" xr:uid="{00000000-0005-0000-0000-0000CDA90000}"/>
    <cellStyle name="Normal 4 4 3 3 3 5" xfId="20101" xr:uid="{00000000-0005-0000-0000-0000CEA90000}"/>
    <cellStyle name="Normal 4 4 3 3 3 5 2" xfId="47234" xr:uid="{00000000-0005-0000-0000-0000CFA90000}"/>
    <cellStyle name="Normal 4 4 3 3 3 6" xfId="33672" xr:uid="{00000000-0005-0000-0000-0000D0A90000}"/>
    <cellStyle name="Normal 4 4 3 3 4" xfId="6383" xr:uid="{00000000-0005-0000-0000-0000D1A90000}"/>
    <cellStyle name="Normal 4 4 3 3 4 2" xfId="9916" xr:uid="{00000000-0005-0000-0000-0000D2A90000}"/>
    <cellStyle name="Normal 4 4 3 3 4 2 2" xfId="16705" xr:uid="{00000000-0005-0000-0000-0000D3A90000}"/>
    <cellStyle name="Normal 4 4 3 3 4 2 2 2" xfId="30273" xr:uid="{00000000-0005-0000-0000-0000D4A90000}"/>
    <cellStyle name="Normal 4 4 3 3 4 2 2 2 2" xfId="57406" xr:uid="{00000000-0005-0000-0000-0000D5A90000}"/>
    <cellStyle name="Normal 4 4 3 3 4 2 2 3" xfId="43844" xr:uid="{00000000-0005-0000-0000-0000D6A90000}"/>
    <cellStyle name="Normal 4 4 3 3 4 2 3" xfId="23492" xr:uid="{00000000-0005-0000-0000-0000D7A90000}"/>
    <cellStyle name="Normal 4 4 3 3 4 2 3 2" xfId="50625" xr:uid="{00000000-0005-0000-0000-0000D8A90000}"/>
    <cellStyle name="Normal 4 4 3 3 4 2 4" xfId="37063" xr:uid="{00000000-0005-0000-0000-0000D9A90000}"/>
    <cellStyle name="Normal 4 4 3 3 4 3" xfId="13316" xr:uid="{00000000-0005-0000-0000-0000DAA90000}"/>
    <cellStyle name="Normal 4 4 3 3 4 3 2" xfId="26884" xr:uid="{00000000-0005-0000-0000-0000DBA90000}"/>
    <cellStyle name="Normal 4 4 3 3 4 3 2 2" xfId="54017" xr:uid="{00000000-0005-0000-0000-0000DCA90000}"/>
    <cellStyle name="Normal 4 4 3 3 4 3 3" xfId="40455" xr:uid="{00000000-0005-0000-0000-0000DDA90000}"/>
    <cellStyle name="Normal 4 4 3 3 4 4" xfId="20103" xr:uid="{00000000-0005-0000-0000-0000DEA90000}"/>
    <cellStyle name="Normal 4 4 3 3 4 4 2" xfId="47236" xr:uid="{00000000-0005-0000-0000-0000DFA90000}"/>
    <cellStyle name="Normal 4 4 3 3 4 5" xfId="33674" xr:uid="{00000000-0005-0000-0000-0000E0A90000}"/>
    <cellStyle name="Normal 4 4 3 3 5" xfId="6384" xr:uid="{00000000-0005-0000-0000-0000E1A90000}"/>
    <cellStyle name="Normal 4 4 3 3 5 2" xfId="9917" xr:uid="{00000000-0005-0000-0000-0000E2A90000}"/>
    <cellStyle name="Normal 4 4 3 3 5 2 2" xfId="16706" xr:uid="{00000000-0005-0000-0000-0000E3A90000}"/>
    <cellStyle name="Normal 4 4 3 3 5 2 2 2" xfId="30274" xr:uid="{00000000-0005-0000-0000-0000E4A90000}"/>
    <cellStyle name="Normal 4 4 3 3 5 2 2 2 2" xfId="57407" xr:uid="{00000000-0005-0000-0000-0000E5A90000}"/>
    <cellStyle name="Normal 4 4 3 3 5 2 2 3" xfId="43845" xr:uid="{00000000-0005-0000-0000-0000E6A90000}"/>
    <cellStyle name="Normal 4 4 3 3 5 2 3" xfId="23493" xr:uid="{00000000-0005-0000-0000-0000E7A90000}"/>
    <cellStyle name="Normal 4 4 3 3 5 2 3 2" xfId="50626" xr:uid="{00000000-0005-0000-0000-0000E8A90000}"/>
    <cellStyle name="Normal 4 4 3 3 5 2 4" xfId="37064" xr:uid="{00000000-0005-0000-0000-0000E9A90000}"/>
    <cellStyle name="Normal 4 4 3 3 5 3" xfId="13317" xr:uid="{00000000-0005-0000-0000-0000EAA90000}"/>
    <cellStyle name="Normal 4 4 3 3 5 3 2" xfId="26885" xr:uid="{00000000-0005-0000-0000-0000EBA90000}"/>
    <cellStyle name="Normal 4 4 3 3 5 3 2 2" xfId="54018" xr:uid="{00000000-0005-0000-0000-0000ECA90000}"/>
    <cellStyle name="Normal 4 4 3 3 5 3 3" xfId="40456" xr:uid="{00000000-0005-0000-0000-0000EDA90000}"/>
    <cellStyle name="Normal 4 4 3 3 5 4" xfId="20104" xr:uid="{00000000-0005-0000-0000-0000EEA90000}"/>
    <cellStyle name="Normal 4 4 3 3 5 4 2" xfId="47237" xr:uid="{00000000-0005-0000-0000-0000EFA90000}"/>
    <cellStyle name="Normal 4 4 3 3 5 5" xfId="33675" xr:uid="{00000000-0005-0000-0000-0000F0A90000}"/>
    <cellStyle name="Normal 4 4 3 3 6" xfId="9910" xr:uid="{00000000-0005-0000-0000-0000F1A90000}"/>
    <cellStyle name="Normal 4 4 3 3 6 2" xfId="16699" xr:uid="{00000000-0005-0000-0000-0000F2A90000}"/>
    <cellStyle name="Normal 4 4 3 3 6 2 2" xfId="30267" xr:uid="{00000000-0005-0000-0000-0000F3A90000}"/>
    <cellStyle name="Normal 4 4 3 3 6 2 2 2" xfId="57400" xr:uid="{00000000-0005-0000-0000-0000F4A90000}"/>
    <cellStyle name="Normal 4 4 3 3 6 2 3" xfId="43838" xr:uid="{00000000-0005-0000-0000-0000F5A90000}"/>
    <cellStyle name="Normal 4 4 3 3 6 3" xfId="23486" xr:uid="{00000000-0005-0000-0000-0000F6A90000}"/>
    <cellStyle name="Normal 4 4 3 3 6 3 2" xfId="50619" xr:uid="{00000000-0005-0000-0000-0000F7A90000}"/>
    <cellStyle name="Normal 4 4 3 3 6 4" xfId="37057" xr:uid="{00000000-0005-0000-0000-0000F8A90000}"/>
    <cellStyle name="Normal 4 4 3 3 7" xfId="13310" xr:uid="{00000000-0005-0000-0000-0000F9A90000}"/>
    <cellStyle name="Normal 4 4 3 3 7 2" xfId="26878" xr:uid="{00000000-0005-0000-0000-0000FAA90000}"/>
    <cellStyle name="Normal 4 4 3 3 7 2 2" xfId="54011" xr:uid="{00000000-0005-0000-0000-0000FBA90000}"/>
    <cellStyle name="Normal 4 4 3 3 7 3" xfId="40449" xr:uid="{00000000-0005-0000-0000-0000FCA90000}"/>
    <cellStyle name="Normal 4 4 3 3 8" xfId="20097" xr:uid="{00000000-0005-0000-0000-0000FDA90000}"/>
    <cellStyle name="Normal 4 4 3 3 8 2" xfId="47230" xr:uid="{00000000-0005-0000-0000-0000FEA90000}"/>
    <cellStyle name="Normal 4 4 3 3 9" xfId="33668" xr:uid="{00000000-0005-0000-0000-0000FFA90000}"/>
    <cellStyle name="Normal 4 4 3 4" xfId="6385" xr:uid="{00000000-0005-0000-0000-000000AA0000}"/>
    <cellStyle name="Normal 4 4 3 4 2" xfId="6386" xr:uid="{00000000-0005-0000-0000-000001AA0000}"/>
    <cellStyle name="Normal 4 4 3 4 2 2" xfId="6387" xr:uid="{00000000-0005-0000-0000-000002AA0000}"/>
    <cellStyle name="Normal 4 4 3 4 2 2 2" xfId="9920" xr:uid="{00000000-0005-0000-0000-000003AA0000}"/>
    <cellStyle name="Normal 4 4 3 4 2 2 2 2" xfId="16709" xr:uid="{00000000-0005-0000-0000-000004AA0000}"/>
    <cellStyle name="Normal 4 4 3 4 2 2 2 2 2" xfId="30277" xr:uid="{00000000-0005-0000-0000-000005AA0000}"/>
    <cellStyle name="Normal 4 4 3 4 2 2 2 2 2 2" xfId="57410" xr:uid="{00000000-0005-0000-0000-000006AA0000}"/>
    <cellStyle name="Normal 4 4 3 4 2 2 2 2 3" xfId="43848" xr:uid="{00000000-0005-0000-0000-000007AA0000}"/>
    <cellStyle name="Normal 4 4 3 4 2 2 2 3" xfId="23496" xr:uid="{00000000-0005-0000-0000-000008AA0000}"/>
    <cellStyle name="Normal 4 4 3 4 2 2 2 3 2" xfId="50629" xr:uid="{00000000-0005-0000-0000-000009AA0000}"/>
    <cellStyle name="Normal 4 4 3 4 2 2 2 4" xfId="37067" xr:uid="{00000000-0005-0000-0000-00000AAA0000}"/>
    <cellStyle name="Normal 4 4 3 4 2 2 3" xfId="13320" xr:uid="{00000000-0005-0000-0000-00000BAA0000}"/>
    <cellStyle name="Normal 4 4 3 4 2 2 3 2" xfId="26888" xr:uid="{00000000-0005-0000-0000-00000CAA0000}"/>
    <cellStyle name="Normal 4 4 3 4 2 2 3 2 2" xfId="54021" xr:uid="{00000000-0005-0000-0000-00000DAA0000}"/>
    <cellStyle name="Normal 4 4 3 4 2 2 3 3" xfId="40459" xr:uid="{00000000-0005-0000-0000-00000EAA0000}"/>
    <cellStyle name="Normal 4 4 3 4 2 2 4" xfId="20107" xr:uid="{00000000-0005-0000-0000-00000FAA0000}"/>
    <cellStyle name="Normal 4 4 3 4 2 2 4 2" xfId="47240" xr:uid="{00000000-0005-0000-0000-000010AA0000}"/>
    <cellStyle name="Normal 4 4 3 4 2 2 5" xfId="33678" xr:uid="{00000000-0005-0000-0000-000011AA0000}"/>
    <cellStyle name="Normal 4 4 3 4 2 3" xfId="6388" xr:uid="{00000000-0005-0000-0000-000012AA0000}"/>
    <cellStyle name="Normal 4 4 3 4 2 3 2" xfId="9921" xr:uid="{00000000-0005-0000-0000-000013AA0000}"/>
    <cellStyle name="Normal 4 4 3 4 2 3 2 2" xfId="16710" xr:uid="{00000000-0005-0000-0000-000014AA0000}"/>
    <cellStyle name="Normal 4 4 3 4 2 3 2 2 2" xfId="30278" xr:uid="{00000000-0005-0000-0000-000015AA0000}"/>
    <cellStyle name="Normal 4 4 3 4 2 3 2 2 2 2" xfId="57411" xr:uid="{00000000-0005-0000-0000-000016AA0000}"/>
    <cellStyle name="Normal 4 4 3 4 2 3 2 2 3" xfId="43849" xr:uid="{00000000-0005-0000-0000-000017AA0000}"/>
    <cellStyle name="Normal 4 4 3 4 2 3 2 3" xfId="23497" xr:uid="{00000000-0005-0000-0000-000018AA0000}"/>
    <cellStyle name="Normal 4 4 3 4 2 3 2 3 2" xfId="50630" xr:uid="{00000000-0005-0000-0000-000019AA0000}"/>
    <cellStyle name="Normal 4 4 3 4 2 3 2 4" xfId="37068" xr:uid="{00000000-0005-0000-0000-00001AAA0000}"/>
    <cellStyle name="Normal 4 4 3 4 2 3 3" xfId="13321" xr:uid="{00000000-0005-0000-0000-00001BAA0000}"/>
    <cellStyle name="Normal 4 4 3 4 2 3 3 2" xfId="26889" xr:uid="{00000000-0005-0000-0000-00001CAA0000}"/>
    <cellStyle name="Normal 4 4 3 4 2 3 3 2 2" xfId="54022" xr:uid="{00000000-0005-0000-0000-00001DAA0000}"/>
    <cellStyle name="Normal 4 4 3 4 2 3 3 3" xfId="40460" xr:uid="{00000000-0005-0000-0000-00001EAA0000}"/>
    <cellStyle name="Normal 4 4 3 4 2 3 4" xfId="20108" xr:uid="{00000000-0005-0000-0000-00001FAA0000}"/>
    <cellStyle name="Normal 4 4 3 4 2 3 4 2" xfId="47241" xr:uid="{00000000-0005-0000-0000-000020AA0000}"/>
    <cellStyle name="Normal 4 4 3 4 2 3 5" xfId="33679" xr:uid="{00000000-0005-0000-0000-000021AA0000}"/>
    <cellStyle name="Normal 4 4 3 4 2 4" xfId="9919" xr:uid="{00000000-0005-0000-0000-000022AA0000}"/>
    <cellStyle name="Normal 4 4 3 4 2 4 2" xfId="16708" xr:uid="{00000000-0005-0000-0000-000023AA0000}"/>
    <cellStyle name="Normal 4 4 3 4 2 4 2 2" xfId="30276" xr:uid="{00000000-0005-0000-0000-000024AA0000}"/>
    <cellStyle name="Normal 4 4 3 4 2 4 2 2 2" xfId="57409" xr:uid="{00000000-0005-0000-0000-000025AA0000}"/>
    <cellStyle name="Normal 4 4 3 4 2 4 2 3" xfId="43847" xr:uid="{00000000-0005-0000-0000-000026AA0000}"/>
    <cellStyle name="Normal 4 4 3 4 2 4 3" xfId="23495" xr:uid="{00000000-0005-0000-0000-000027AA0000}"/>
    <cellStyle name="Normal 4 4 3 4 2 4 3 2" xfId="50628" xr:uid="{00000000-0005-0000-0000-000028AA0000}"/>
    <cellStyle name="Normal 4 4 3 4 2 4 4" xfId="37066" xr:uid="{00000000-0005-0000-0000-000029AA0000}"/>
    <cellStyle name="Normal 4 4 3 4 2 5" xfId="13319" xr:uid="{00000000-0005-0000-0000-00002AAA0000}"/>
    <cellStyle name="Normal 4 4 3 4 2 5 2" xfId="26887" xr:uid="{00000000-0005-0000-0000-00002BAA0000}"/>
    <cellStyle name="Normal 4 4 3 4 2 5 2 2" xfId="54020" xr:uid="{00000000-0005-0000-0000-00002CAA0000}"/>
    <cellStyle name="Normal 4 4 3 4 2 5 3" xfId="40458" xr:uid="{00000000-0005-0000-0000-00002DAA0000}"/>
    <cellStyle name="Normal 4 4 3 4 2 6" xfId="20106" xr:uid="{00000000-0005-0000-0000-00002EAA0000}"/>
    <cellStyle name="Normal 4 4 3 4 2 6 2" xfId="47239" xr:uid="{00000000-0005-0000-0000-00002FAA0000}"/>
    <cellStyle name="Normal 4 4 3 4 2 7" xfId="33677" xr:uid="{00000000-0005-0000-0000-000030AA0000}"/>
    <cellStyle name="Normal 4 4 3 4 3" xfId="6389" xr:uid="{00000000-0005-0000-0000-000031AA0000}"/>
    <cellStyle name="Normal 4 4 3 4 3 2" xfId="9922" xr:uid="{00000000-0005-0000-0000-000032AA0000}"/>
    <cellStyle name="Normal 4 4 3 4 3 2 2" xfId="16711" xr:uid="{00000000-0005-0000-0000-000033AA0000}"/>
    <cellStyle name="Normal 4 4 3 4 3 2 2 2" xfId="30279" xr:uid="{00000000-0005-0000-0000-000034AA0000}"/>
    <cellStyle name="Normal 4 4 3 4 3 2 2 2 2" xfId="57412" xr:uid="{00000000-0005-0000-0000-000035AA0000}"/>
    <cellStyle name="Normal 4 4 3 4 3 2 2 3" xfId="43850" xr:uid="{00000000-0005-0000-0000-000036AA0000}"/>
    <cellStyle name="Normal 4 4 3 4 3 2 3" xfId="23498" xr:uid="{00000000-0005-0000-0000-000037AA0000}"/>
    <cellStyle name="Normal 4 4 3 4 3 2 3 2" xfId="50631" xr:uid="{00000000-0005-0000-0000-000038AA0000}"/>
    <cellStyle name="Normal 4 4 3 4 3 2 4" xfId="37069" xr:uid="{00000000-0005-0000-0000-000039AA0000}"/>
    <cellStyle name="Normal 4 4 3 4 3 3" xfId="13322" xr:uid="{00000000-0005-0000-0000-00003AAA0000}"/>
    <cellStyle name="Normal 4 4 3 4 3 3 2" xfId="26890" xr:uid="{00000000-0005-0000-0000-00003BAA0000}"/>
    <cellStyle name="Normal 4 4 3 4 3 3 2 2" xfId="54023" xr:uid="{00000000-0005-0000-0000-00003CAA0000}"/>
    <cellStyle name="Normal 4 4 3 4 3 3 3" xfId="40461" xr:uid="{00000000-0005-0000-0000-00003DAA0000}"/>
    <cellStyle name="Normal 4 4 3 4 3 4" xfId="20109" xr:uid="{00000000-0005-0000-0000-00003EAA0000}"/>
    <cellStyle name="Normal 4 4 3 4 3 4 2" xfId="47242" xr:uid="{00000000-0005-0000-0000-00003FAA0000}"/>
    <cellStyle name="Normal 4 4 3 4 3 5" xfId="33680" xr:uid="{00000000-0005-0000-0000-000040AA0000}"/>
    <cellStyle name="Normal 4 4 3 4 4" xfId="6390" xr:uid="{00000000-0005-0000-0000-000041AA0000}"/>
    <cellStyle name="Normal 4 4 3 4 4 2" xfId="9923" xr:uid="{00000000-0005-0000-0000-000042AA0000}"/>
    <cellStyle name="Normal 4 4 3 4 4 2 2" xfId="16712" xr:uid="{00000000-0005-0000-0000-000043AA0000}"/>
    <cellStyle name="Normal 4 4 3 4 4 2 2 2" xfId="30280" xr:uid="{00000000-0005-0000-0000-000044AA0000}"/>
    <cellStyle name="Normal 4 4 3 4 4 2 2 2 2" xfId="57413" xr:uid="{00000000-0005-0000-0000-000045AA0000}"/>
    <cellStyle name="Normal 4 4 3 4 4 2 2 3" xfId="43851" xr:uid="{00000000-0005-0000-0000-000046AA0000}"/>
    <cellStyle name="Normal 4 4 3 4 4 2 3" xfId="23499" xr:uid="{00000000-0005-0000-0000-000047AA0000}"/>
    <cellStyle name="Normal 4 4 3 4 4 2 3 2" xfId="50632" xr:uid="{00000000-0005-0000-0000-000048AA0000}"/>
    <cellStyle name="Normal 4 4 3 4 4 2 4" xfId="37070" xr:uid="{00000000-0005-0000-0000-000049AA0000}"/>
    <cellStyle name="Normal 4 4 3 4 4 3" xfId="13323" xr:uid="{00000000-0005-0000-0000-00004AAA0000}"/>
    <cellStyle name="Normal 4 4 3 4 4 3 2" xfId="26891" xr:uid="{00000000-0005-0000-0000-00004BAA0000}"/>
    <cellStyle name="Normal 4 4 3 4 4 3 2 2" xfId="54024" xr:uid="{00000000-0005-0000-0000-00004CAA0000}"/>
    <cellStyle name="Normal 4 4 3 4 4 3 3" xfId="40462" xr:uid="{00000000-0005-0000-0000-00004DAA0000}"/>
    <cellStyle name="Normal 4 4 3 4 4 4" xfId="20110" xr:uid="{00000000-0005-0000-0000-00004EAA0000}"/>
    <cellStyle name="Normal 4 4 3 4 4 4 2" xfId="47243" xr:uid="{00000000-0005-0000-0000-00004FAA0000}"/>
    <cellStyle name="Normal 4 4 3 4 4 5" xfId="33681" xr:uid="{00000000-0005-0000-0000-000050AA0000}"/>
    <cellStyle name="Normal 4 4 3 4 5" xfId="9918" xr:uid="{00000000-0005-0000-0000-000051AA0000}"/>
    <cellStyle name="Normal 4 4 3 4 5 2" xfId="16707" xr:uid="{00000000-0005-0000-0000-000052AA0000}"/>
    <cellStyle name="Normal 4 4 3 4 5 2 2" xfId="30275" xr:uid="{00000000-0005-0000-0000-000053AA0000}"/>
    <cellStyle name="Normal 4 4 3 4 5 2 2 2" xfId="57408" xr:uid="{00000000-0005-0000-0000-000054AA0000}"/>
    <cellStyle name="Normal 4 4 3 4 5 2 3" xfId="43846" xr:uid="{00000000-0005-0000-0000-000055AA0000}"/>
    <cellStyle name="Normal 4 4 3 4 5 3" xfId="23494" xr:uid="{00000000-0005-0000-0000-000056AA0000}"/>
    <cellStyle name="Normal 4 4 3 4 5 3 2" xfId="50627" xr:uid="{00000000-0005-0000-0000-000057AA0000}"/>
    <cellStyle name="Normal 4 4 3 4 5 4" xfId="37065" xr:uid="{00000000-0005-0000-0000-000058AA0000}"/>
    <cellStyle name="Normal 4 4 3 4 6" xfId="13318" xr:uid="{00000000-0005-0000-0000-000059AA0000}"/>
    <cellStyle name="Normal 4 4 3 4 6 2" xfId="26886" xr:uid="{00000000-0005-0000-0000-00005AAA0000}"/>
    <cellStyle name="Normal 4 4 3 4 6 2 2" xfId="54019" xr:uid="{00000000-0005-0000-0000-00005BAA0000}"/>
    <cellStyle name="Normal 4 4 3 4 6 3" xfId="40457" xr:uid="{00000000-0005-0000-0000-00005CAA0000}"/>
    <cellStyle name="Normal 4 4 3 4 7" xfId="20105" xr:uid="{00000000-0005-0000-0000-00005DAA0000}"/>
    <cellStyle name="Normal 4 4 3 4 7 2" xfId="47238" xr:uid="{00000000-0005-0000-0000-00005EAA0000}"/>
    <cellStyle name="Normal 4 4 3 4 8" xfId="33676" xr:uid="{00000000-0005-0000-0000-00005FAA0000}"/>
    <cellStyle name="Normal 4 4 3 5" xfId="6391" xr:uid="{00000000-0005-0000-0000-000060AA0000}"/>
    <cellStyle name="Normal 4 4 3 5 2" xfId="6392" xr:uid="{00000000-0005-0000-0000-000061AA0000}"/>
    <cellStyle name="Normal 4 4 3 5 2 2" xfId="6393" xr:uid="{00000000-0005-0000-0000-000062AA0000}"/>
    <cellStyle name="Normal 4 4 3 5 2 2 2" xfId="9926" xr:uid="{00000000-0005-0000-0000-000063AA0000}"/>
    <cellStyle name="Normal 4 4 3 5 2 2 2 2" xfId="16715" xr:uid="{00000000-0005-0000-0000-000064AA0000}"/>
    <cellStyle name="Normal 4 4 3 5 2 2 2 2 2" xfId="30283" xr:uid="{00000000-0005-0000-0000-000065AA0000}"/>
    <cellStyle name="Normal 4 4 3 5 2 2 2 2 2 2" xfId="57416" xr:uid="{00000000-0005-0000-0000-000066AA0000}"/>
    <cellStyle name="Normal 4 4 3 5 2 2 2 2 3" xfId="43854" xr:uid="{00000000-0005-0000-0000-000067AA0000}"/>
    <cellStyle name="Normal 4 4 3 5 2 2 2 3" xfId="23502" xr:uid="{00000000-0005-0000-0000-000068AA0000}"/>
    <cellStyle name="Normal 4 4 3 5 2 2 2 3 2" xfId="50635" xr:uid="{00000000-0005-0000-0000-000069AA0000}"/>
    <cellStyle name="Normal 4 4 3 5 2 2 2 4" xfId="37073" xr:uid="{00000000-0005-0000-0000-00006AAA0000}"/>
    <cellStyle name="Normal 4 4 3 5 2 2 3" xfId="13326" xr:uid="{00000000-0005-0000-0000-00006BAA0000}"/>
    <cellStyle name="Normal 4 4 3 5 2 2 3 2" xfId="26894" xr:uid="{00000000-0005-0000-0000-00006CAA0000}"/>
    <cellStyle name="Normal 4 4 3 5 2 2 3 2 2" xfId="54027" xr:uid="{00000000-0005-0000-0000-00006DAA0000}"/>
    <cellStyle name="Normal 4 4 3 5 2 2 3 3" xfId="40465" xr:uid="{00000000-0005-0000-0000-00006EAA0000}"/>
    <cellStyle name="Normal 4 4 3 5 2 2 4" xfId="20113" xr:uid="{00000000-0005-0000-0000-00006FAA0000}"/>
    <cellStyle name="Normal 4 4 3 5 2 2 4 2" xfId="47246" xr:uid="{00000000-0005-0000-0000-000070AA0000}"/>
    <cellStyle name="Normal 4 4 3 5 2 2 5" xfId="33684" xr:uid="{00000000-0005-0000-0000-000071AA0000}"/>
    <cellStyle name="Normal 4 4 3 5 2 3" xfId="6394" xr:uid="{00000000-0005-0000-0000-000072AA0000}"/>
    <cellStyle name="Normal 4 4 3 5 2 3 2" xfId="9927" xr:uid="{00000000-0005-0000-0000-000073AA0000}"/>
    <cellStyle name="Normal 4 4 3 5 2 3 2 2" xfId="16716" xr:uid="{00000000-0005-0000-0000-000074AA0000}"/>
    <cellStyle name="Normal 4 4 3 5 2 3 2 2 2" xfId="30284" xr:uid="{00000000-0005-0000-0000-000075AA0000}"/>
    <cellStyle name="Normal 4 4 3 5 2 3 2 2 2 2" xfId="57417" xr:uid="{00000000-0005-0000-0000-000076AA0000}"/>
    <cellStyle name="Normal 4 4 3 5 2 3 2 2 3" xfId="43855" xr:uid="{00000000-0005-0000-0000-000077AA0000}"/>
    <cellStyle name="Normal 4 4 3 5 2 3 2 3" xfId="23503" xr:uid="{00000000-0005-0000-0000-000078AA0000}"/>
    <cellStyle name="Normal 4 4 3 5 2 3 2 3 2" xfId="50636" xr:uid="{00000000-0005-0000-0000-000079AA0000}"/>
    <cellStyle name="Normal 4 4 3 5 2 3 2 4" xfId="37074" xr:uid="{00000000-0005-0000-0000-00007AAA0000}"/>
    <cellStyle name="Normal 4 4 3 5 2 3 3" xfId="13327" xr:uid="{00000000-0005-0000-0000-00007BAA0000}"/>
    <cellStyle name="Normal 4 4 3 5 2 3 3 2" xfId="26895" xr:uid="{00000000-0005-0000-0000-00007CAA0000}"/>
    <cellStyle name="Normal 4 4 3 5 2 3 3 2 2" xfId="54028" xr:uid="{00000000-0005-0000-0000-00007DAA0000}"/>
    <cellStyle name="Normal 4 4 3 5 2 3 3 3" xfId="40466" xr:uid="{00000000-0005-0000-0000-00007EAA0000}"/>
    <cellStyle name="Normal 4 4 3 5 2 3 4" xfId="20114" xr:uid="{00000000-0005-0000-0000-00007FAA0000}"/>
    <cellStyle name="Normal 4 4 3 5 2 3 4 2" xfId="47247" xr:uid="{00000000-0005-0000-0000-000080AA0000}"/>
    <cellStyle name="Normal 4 4 3 5 2 3 5" xfId="33685" xr:uid="{00000000-0005-0000-0000-000081AA0000}"/>
    <cellStyle name="Normal 4 4 3 5 2 4" xfId="9925" xr:uid="{00000000-0005-0000-0000-000082AA0000}"/>
    <cellStyle name="Normal 4 4 3 5 2 4 2" xfId="16714" xr:uid="{00000000-0005-0000-0000-000083AA0000}"/>
    <cellStyle name="Normal 4 4 3 5 2 4 2 2" xfId="30282" xr:uid="{00000000-0005-0000-0000-000084AA0000}"/>
    <cellStyle name="Normal 4 4 3 5 2 4 2 2 2" xfId="57415" xr:uid="{00000000-0005-0000-0000-000085AA0000}"/>
    <cellStyle name="Normal 4 4 3 5 2 4 2 3" xfId="43853" xr:uid="{00000000-0005-0000-0000-000086AA0000}"/>
    <cellStyle name="Normal 4 4 3 5 2 4 3" xfId="23501" xr:uid="{00000000-0005-0000-0000-000087AA0000}"/>
    <cellStyle name="Normal 4 4 3 5 2 4 3 2" xfId="50634" xr:uid="{00000000-0005-0000-0000-000088AA0000}"/>
    <cellStyle name="Normal 4 4 3 5 2 4 4" xfId="37072" xr:uid="{00000000-0005-0000-0000-000089AA0000}"/>
    <cellStyle name="Normal 4 4 3 5 2 5" xfId="13325" xr:uid="{00000000-0005-0000-0000-00008AAA0000}"/>
    <cellStyle name="Normal 4 4 3 5 2 5 2" xfId="26893" xr:uid="{00000000-0005-0000-0000-00008BAA0000}"/>
    <cellStyle name="Normal 4 4 3 5 2 5 2 2" xfId="54026" xr:uid="{00000000-0005-0000-0000-00008CAA0000}"/>
    <cellStyle name="Normal 4 4 3 5 2 5 3" xfId="40464" xr:uid="{00000000-0005-0000-0000-00008DAA0000}"/>
    <cellStyle name="Normal 4 4 3 5 2 6" xfId="20112" xr:uid="{00000000-0005-0000-0000-00008EAA0000}"/>
    <cellStyle name="Normal 4 4 3 5 2 6 2" xfId="47245" xr:uid="{00000000-0005-0000-0000-00008FAA0000}"/>
    <cellStyle name="Normal 4 4 3 5 2 7" xfId="33683" xr:uid="{00000000-0005-0000-0000-000090AA0000}"/>
    <cellStyle name="Normal 4 4 3 5 3" xfId="6395" xr:uid="{00000000-0005-0000-0000-000091AA0000}"/>
    <cellStyle name="Normal 4 4 3 5 3 2" xfId="9928" xr:uid="{00000000-0005-0000-0000-000092AA0000}"/>
    <cellStyle name="Normal 4 4 3 5 3 2 2" xfId="16717" xr:uid="{00000000-0005-0000-0000-000093AA0000}"/>
    <cellStyle name="Normal 4 4 3 5 3 2 2 2" xfId="30285" xr:uid="{00000000-0005-0000-0000-000094AA0000}"/>
    <cellStyle name="Normal 4 4 3 5 3 2 2 2 2" xfId="57418" xr:uid="{00000000-0005-0000-0000-000095AA0000}"/>
    <cellStyle name="Normal 4 4 3 5 3 2 2 3" xfId="43856" xr:uid="{00000000-0005-0000-0000-000096AA0000}"/>
    <cellStyle name="Normal 4 4 3 5 3 2 3" xfId="23504" xr:uid="{00000000-0005-0000-0000-000097AA0000}"/>
    <cellStyle name="Normal 4 4 3 5 3 2 3 2" xfId="50637" xr:uid="{00000000-0005-0000-0000-000098AA0000}"/>
    <cellStyle name="Normal 4 4 3 5 3 2 4" xfId="37075" xr:uid="{00000000-0005-0000-0000-000099AA0000}"/>
    <cellStyle name="Normal 4 4 3 5 3 3" xfId="13328" xr:uid="{00000000-0005-0000-0000-00009AAA0000}"/>
    <cellStyle name="Normal 4 4 3 5 3 3 2" xfId="26896" xr:uid="{00000000-0005-0000-0000-00009BAA0000}"/>
    <cellStyle name="Normal 4 4 3 5 3 3 2 2" xfId="54029" xr:uid="{00000000-0005-0000-0000-00009CAA0000}"/>
    <cellStyle name="Normal 4 4 3 5 3 3 3" xfId="40467" xr:uid="{00000000-0005-0000-0000-00009DAA0000}"/>
    <cellStyle name="Normal 4 4 3 5 3 4" xfId="20115" xr:uid="{00000000-0005-0000-0000-00009EAA0000}"/>
    <cellStyle name="Normal 4 4 3 5 3 4 2" xfId="47248" xr:uid="{00000000-0005-0000-0000-00009FAA0000}"/>
    <cellStyle name="Normal 4 4 3 5 3 5" xfId="33686" xr:uid="{00000000-0005-0000-0000-0000A0AA0000}"/>
    <cellStyle name="Normal 4 4 3 5 4" xfId="6396" xr:uid="{00000000-0005-0000-0000-0000A1AA0000}"/>
    <cellStyle name="Normal 4 4 3 5 4 2" xfId="9929" xr:uid="{00000000-0005-0000-0000-0000A2AA0000}"/>
    <cellStyle name="Normal 4 4 3 5 4 2 2" xfId="16718" xr:uid="{00000000-0005-0000-0000-0000A3AA0000}"/>
    <cellStyle name="Normal 4 4 3 5 4 2 2 2" xfId="30286" xr:uid="{00000000-0005-0000-0000-0000A4AA0000}"/>
    <cellStyle name="Normal 4 4 3 5 4 2 2 2 2" xfId="57419" xr:uid="{00000000-0005-0000-0000-0000A5AA0000}"/>
    <cellStyle name="Normal 4 4 3 5 4 2 2 3" xfId="43857" xr:uid="{00000000-0005-0000-0000-0000A6AA0000}"/>
    <cellStyle name="Normal 4 4 3 5 4 2 3" xfId="23505" xr:uid="{00000000-0005-0000-0000-0000A7AA0000}"/>
    <cellStyle name="Normal 4 4 3 5 4 2 3 2" xfId="50638" xr:uid="{00000000-0005-0000-0000-0000A8AA0000}"/>
    <cellStyle name="Normal 4 4 3 5 4 2 4" xfId="37076" xr:uid="{00000000-0005-0000-0000-0000A9AA0000}"/>
    <cellStyle name="Normal 4 4 3 5 4 3" xfId="13329" xr:uid="{00000000-0005-0000-0000-0000AAAA0000}"/>
    <cellStyle name="Normal 4 4 3 5 4 3 2" xfId="26897" xr:uid="{00000000-0005-0000-0000-0000ABAA0000}"/>
    <cellStyle name="Normal 4 4 3 5 4 3 2 2" xfId="54030" xr:uid="{00000000-0005-0000-0000-0000ACAA0000}"/>
    <cellStyle name="Normal 4 4 3 5 4 3 3" xfId="40468" xr:uid="{00000000-0005-0000-0000-0000ADAA0000}"/>
    <cellStyle name="Normal 4 4 3 5 4 4" xfId="20116" xr:uid="{00000000-0005-0000-0000-0000AEAA0000}"/>
    <cellStyle name="Normal 4 4 3 5 4 4 2" xfId="47249" xr:uid="{00000000-0005-0000-0000-0000AFAA0000}"/>
    <cellStyle name="Normal 4 4 3 5 4 5" xfId="33687" xr:uid="{00000000-0005-0000-0000-0000B0AA0000}"/>
    <cellStyle name="Normal 4 4 3 5 5" xfId="9924" xr:uid="{00000000-0005-0000-0000-0000B1AA0000}"/>
    <cellStyle name="Normal 4 4 3 5 5 2" xfId="16713" xr:uid="{00000000-0005-0000-0000-0000B2AA0000}"/>
    <cellStyle name="Normal 4 4 3 5 5 2 2" xfId="30281" xr:uid="{00000000-0005-0000-0000-0000B3AA0000}"/>
    <cellStyle name="Normal 4 4 3 5 5 2 2 2" xfId="57414" xr:uid="{00000000-0005-0000-0000-0000B4AA0000}"/>
    <cellStyle name="Normal 4 4 3 5 5 2 3" xfId="43852" xr:uid="{00000000-0005-0000-0000-0000B5AA0000}"/>
    <cellStyle name="Normal 4 4 3 5 5 3" xfId="23500" xr:uid="{00000000-0005-0000-0000-0000B6AA0000}"/>
    <cellStyle name="Normal 4 4 3 5 5 3 2" xfId="50633" xr:uid="{00000000-0005-0000-0000-0000B7AA0000}"/>
    <cellStyle name="Normal 4 4 3 5 5 4" xfId="37071" xr:uid="{00000000-0005-0000-0000-0000B8AA0000}"/>
    <cellStyle name="Normal 4 4 3 5 6" xfId="13324" xr:uid="{00000000-0005-0000-0000-0000B9AA0000}"/>
    <cellStyle name="Normal 4 4 3 5 6 2" xfId="26892" xr:uid="{00000000-0005-0000-0000-0000BAAA0000}"/>
    <cellStyle name="Normal 4 4 3 5 6 2 2" xfId="54025" xr:uid="{00000000-0005-0000-0000-0000BBAA0000}"/>
    <cellStyle name="Normal 4 4 3 5 6 3" xfId="40463" xr:uid="{00000000-0005-0000-0000-0000BCAA0000}"/>
    <cellStyle name="Normal 4 4 3 5 7" xfId="20111" xr:uid="{00000000-0005-0000-0000-0000BDAA0000}"/>
    <cellStyle name="Normal 4 4 3 5 7 2" xfId="47244" xr:uid="{00000000-0005-0000-0000-0000BEAA0000}"/>
    <cellStyle name="Normal 4 4 3 5 8" xfId="33682" xr:uid="{00000000-0005-0000-0000-0000BFAA0000}"/>
    <cellStyle name="Normal 4 4 3 6" xfId="6397" xr:uid="{00000000-0005-0000-0000-0000C0AA0000}"/>
    <cellStyle name="Normal 4 4 3 6 2" xfId="6398" xr:uid="{00000000-0005-0000-0000-0000C1AA0000}"/>
    <cellStyle name="Normal 4 4 3 6 2 2" xfId="9931" xr:uid="{00000000-0005-0000-0000-0000C2AA0000}"/>
    <cellStyle name="Normal 4 4 3 6 2 2 2" xfId="16720" xr:uid="{00000000-0005-0000-0000-0000C3AA0000}"/>
    <cellStyle name="Normal 4 4 3 6 2 2 2 2" xfId="30288" xr:uid="{00000000-0005-0000-0000-0000C4AA0000}"/>
    <cellStyle name="Normal 4 4 3 6 2 2 2 2 2" xfId="57421" xr:uid="{00000000-0005-0000-0000-0000C5AA0000}"/>
    <cellStyle name="Normal 4 4 3 6 2 2 2 3" xfId="43859" xr:uid="{00000000-0005-0000-0000-0000C6AA0000}"/>
    <cellStyle name="Normal 4 4 3 6 2 2 3" xfId="23507" xr:uid="{00000000-0005-0000-0000-0000C7AA0000}"/>
    <cellStyle name="Normal 4 4 3 6 2 2 3 2" xfId="50640" xr:uid="{00000000-0005-0000-0000-0000C8AA0000}"/>
    <cellStyle name="Normal 4 4 3 6 2 2 4" xfId="37078" xr:uid="{00000000-0005-0000-0000-0000C9AA0000}"/>
    <cellStyle name="Normal 4 4 3 6 2 3" xfId="13331" xr:uid="{00000000-0005-0000-0000-0000CAAA0000}"/>
    <cellStyle name="Normal 4 4 3 6 2 3 2" xfId="26899" xr:uid="{00000000-0005-0000-0000-0000CBAA0000}"/>
    <cellStyle name="Normal 4 4 3 6 2 3 2 2" xfId="54032" xr:uid="{00000000-0005-0000-0000-0000CCAA0000}"/>
    <cellStyle name="Normal 4 4 3 6 2 3 3" xfId="40470" xr:uid="{00000000-0005-0000-0000-0000CDAA0000}"/>
    <cellStyle name="Normal 4 4 3 6 2 4" xfId="20118" xr:uid="{00000000-0005-0000-0000-0000CEAA0000}"/>
    <cellStyle name="Normal 4 4 3 6 2 4 2" xfId="47251" xr:uid="{00000000-0005-0000-0000-0000CFAA0000}"/>
    <cellStyle name="Normal 4 4 3 6 2 5" xfId="33689" xr:uid="{00000000-0005-0000-0000-0000D0AA0000}"/>
    <cellStyle name="Normal 4 4 3 6 3" xfId="6399" xr:uid="{00000000-0005-0000-0000-0000D1AA0000}"/>
    <cellStyle name="Normal 4 4 3 6 3 2" xfId="9932" xr:uid="{00000000-0005-0000-0000-0000D2AA0000}"/>
    <cellStyle name="Normal 4 4 3 6 3 2 2" xfId="16721" xr:uid="{00000000-0005-0000-0000-0000D3AA0000}"/>
    <cellStyle name="Normal 4 4 3 6 3 2 2 2" xfId="30289" xr:uid="{00000000-0005-0000-0000-0000D4AA0000}"/>
    <cellStyle name="Normal 4 4 3 6 3 2 2 2 2" xfId="57422" xr:uid="{00000000-0005-0000-0000-0000D5AA0000}"/>
    <cellStyle name="Normal 4 4 3 6 3 2 2 3" xfId="43860" xr:uid="{00000000-0005-0000-0000-0000D6AA0000}"/>
    <cellStyle name="Normal 4 4 3 6 3 2 3" xfId="23508" xr:uid="{00000000-0005-0000-0000-0000D7AA0000}"/>
    <cellStyle name="Normal 4 4 3 6 3 2 3 2" xfId="50641" xr:uid="{00000000-0005-0000-0000-0000D8AA0000}"/>
    <cellStyle name="Normal 4 4 3 6 3 2 4" xfId="37079" xr:uid="{00000000-0005-0000-0000-0000D9AA0000}"/>
    <cellStyle name="Normal 4 4 3 6 3 3" xfId="13332" xr:uid="{00000000-0005-0000-0000-0000DAAA0000}"/>
    <cellStyle name="Normal 4 4 3 6 3 3 2" xfId="26900" xr:uid="{00000000-0005-0000-0000-0000DBAA0000}"/>
    <cellStyle name="Normal 4 4 3 6 3 3 2 2" xfId="54033" xr:uid="{00000000-0005-0000-0000-0000DCAA0000}"/>
    <cellStyle name="Normal 4 4 3 6 3 3 3" xfId="40471" xr:uid="{00000000-0005-0000-0000-0000DDAA0000}"/>
    <cellStyle name="Normal 4 4 3 6 3 4" xfId="20119" xr:uid="{00000000-0005-0000-0000-0000DEAA0000}"/>
    <cellStyle name="Normal 4 4 3 6 3 4 2" xfId="47252" xr:uid="{00000000-0005-0000-0000-0000DFAA0000}"/>
    <cellStyle name="Normal 4 4 3 6 3 5" xfId="33690" xr:uid="{00000000-0005-0000-0000-0000E0AA0000}"/>
    <cellStyle name="Normal 4 4 3 6 4" xfId="9930" xr:uid="{00000000-0005-0000-0000-0000E1AA0000}"/>
    <cellStyle name="Normal 4 4 3 6 4 2" xfId="16719" xr:uid="{00000000-0005-0000-0000-0000E2AA0000}"/>
    <cellStyle name="Normal 4 4 3 6 4 2 2" xfId="30287" xr:uid="{00000000-0005-0000-0000-0000E3AA0000}"/>
    <cellStyle name="Normal 4 4 3 6 4 2 2 2" xfId="57420" xr:uid="{00000000-0005-0000-0000-0000E4AA0000}"/>
    <cellStyle name="Normal 4 4 3 6 4 2 3" xfId="43858" xr:uid="{00000000-0005-0000-0000-0000E5AA0000}"/>
    <cellStyle name="Normal 4 4 3 6 4 3" xfId="23506" xr:uid="{00000000-0005-0000-0000-0000E6AA0000}"/>
    <cellStyle name="Normal 4 4 3 6 4 3 2" xfId="50639" xr:uid="{00000000-0005-0000-0000-0000E7AA0000}"/>
    <cellStyle name="Normal 4 4 3 6 4 4" xfId="37077" xr:uid="{00000000-0005-0000-0000-0000E8AA0000}"/>
    <cellStyle name="Normal 4 4 3 6 5" xfId="13330" xr:uid="{00000000-0005-0000-0000-0000E9AA0000}"/>
    <cellStyle name="Normal 4 4 3 6 5 2" xfId="26898" xr:uid="{00000000-0005-0000-0000-0000EAAA0000}"/>
    <cellStyle name="Normal 4 4 3 6 5 2 2" xfId="54031" xr:uid="{00000000-0005-0000-0000-0000EBAA0000}"/>
    <cellStyle name="Normal 4 4 3 6 5 3" xfId="40469" xr:uid="{00000000-0005-0000-0000-0000ECAA0000}"/>
    <cellStyle name="Normal 4 4 3 6 6" xfId="20117" xr:uid="{00000000-0005-0000-0000-0000EDAA0000}"/>
    <cellStyle name="Normal 4 4 3 6 6 2" xfId="47250" xr:uid="{00000000-0005-0000-0000-0000EEAA0000}"/>
    <cellStyle name="Normal 4 4 3 6 7" xfId="33688" xr:uid="{00000000-0005-0000-0000-0000EFAA0000}"/>
    <cellStyle name="Normal 4 4 3 7" xfId="6400" xr:uid="{00000000-0005-0000-0000-0000F0AA0000}"/>
    <cellStyle name="Normal 4 4 3 7 2" xfId="6401" xr:uid="{00000000-0005-0000-0000-0000F1AA0000}"/>
    <cellStyle name="Normal 4 4 3 7 2 2" xfId="9934" xr:uid="{00000000-0005-0000-0000-0000F2AA0000}"/>
    <cellStyle name="Normal 4 4 3 7 2 2 2" xfId="16723" xr:uid="{00000000-0005-0000-0000-0000F3AA0000}"/>
    <cellStyle name="Normal 4 4 3 7 2 2 2 2" xfId="30291" xr:uid="{00000000-0005-0000-0000-0000F4AA0000}"/>
    <cellStyle name="Normal 4 4 3 7 2 2 2 2 2" xfId="57424" xr:uid="{00000000-0005-0000-0000-0000F5AA0000}"/>
    <cellStyle name="Normal 4 4 3 7 2 2 2 3" xfId="43862" xr:uid="{00000000-0005-0000-0000-0000F6AA0000}"/>
    <cellStyle name="Normal 4 4 3 7 2 2 3" xfId="23510" xr:uid="{00000000-0005-0000-0000-0000F7AA0000}"/>
    <cellStyle name="Normal 4 4 3 7 2 2 3 2" xfId="50643" xr:uid="{00000000-0005-0000-0000-0000F8AA0000}"/>
    <cellStyle name="Normal 4 4 3 7 2 2 4" xfId="37081" xr:uid="{00000000-0005-0000-0000-0000F9AA0000}"/>
    <cellStyle name="Normal 4 4 3 7 2 3" xfId="13334" xr:uid="{00000000-0005-0000-0000-0000FAAA0000}"/>
    <cellStyle name="Normal 4 4 3 7 2 3 2" xfId="26902" xr:uid="{00000000-0005-0000-0000-0000FBAA0000}"/>
    <cellStyle name="Normal 4 4 3 7 2 3 2 2" xfId="54035" xr:uid="{00000000-0005-0000-0000-0000FCAA0000}"/>
    <cellStyle name="Normal 4 4 3 7 2 3 3" xfId="40473" xr:uid="{00000000-0005-0000-0000-0000FDAA0000}"/>
    <cellStyle name="Normal 4 4 3 7 2 4" xfId="20121" xr:uid="{00000000-0005-0000-0000-0000FEAA0000}"/>
    <cellStyle name="Normal 4 4 3 7 2 4 2" xfId="47254" xr:uid="{00000000-0005-0000-0000-0000FFAA0000}"/>
    <cellStyle name="Normal 4 4 3 7 2 5" xfId="33692" xr:uid="{00000000-0005-0000-0000-000000AB0000}"/>
    <cellStyle name="Normal 4 4 3 7 3" xfId="6402" xr:uid="{00000000-0005-0000-0000-000001AB0000}"/>
    <cellStyle name="Normal 4 4 3 7 3 2" xfId="9935" xr:uid="{00000000-0005-0000-0000-000002AB0000}"/>
    <cellStyle name="Normal 4 4 3 7 3 2 2" xfId="16724" xr:uid="{00000000-0005-0000-0000-000003AB0000}"/>
    <cellStyle name="Normal 4 4 3 7 3 2 2 2" xfId="30292" xr:uid="{00000000-0005-0000-0000-000004AB0000}"/>
    <cellStyle name="Normal 4 4 3 7 3 2 2 2 2" xfId="57425" xr:uid="{00000000-0005-0000-0000-000005AB0000}"/>
    <cellStyle name="Normal 4 4 3 7 3 2 2 3" xfId="43863" xr:uid="{00000000-0005-0000-0000-000006AB0000}"/>
    <cellStyle name="Normal 4 4 3 7 3 2 3" xfId="23511" xr:uid="{00000000-0005-0000-0000-000007AB0000}"/>
    <cellStyle name="Normal 4 4 3 7 3 2 3 2" xfId="50644" xr:uid="{00000000-0005-0000-0000-000008AB0000}"/>
    <cellStyle name="Normal 4 4 3 7 3 2 4" xfId="37082" xr:uid="{00000000-0005-0000-0000-000009AB0000}"/>
    <cellStyle name="Normal 4 4 3 7 3 3" xfId="13335" xr:uid="{00000000-0005-0000-0000-00000AAB0000}"/>
    <cellStyle name="Normal 4 4 3 7 3 3 2" xfId="26903" xr:uid="{00000000-0005-0000-0000-00000BAB0000}"/>
    <cellStyle name="Normal 4 4 3 7 3 3 2 2" xfId="54036" xr:uid="{00000000-0005-0000-0000-00000CAB0000}"/>
    <cellStyle name="Normal 4 4 3 7 3 3 3" xfId="40474" xr:uid="{00000000-0005-0000-0000-00000DAB0000}"/>
    <cellStyle name="Normal 4 4 3 7 3 4" xfId="20122" xr:uid="{00000000-0005-0000-0000-00000EAB0000}"/>
    <cellStyle name="Normal 4 4 3 7 3 4 2" xfId="47255" xr:uid="{00000000-0005-0000-0000-00000FAB0000}"/>
    <cellStyle name="Normal 4 4 3 7 3 5" xfId="33693" xr:uid="{00000000-0005-0000-0000-000010AB0000}"/>
    <cellStyle name="Normal 4 4 3 7 4" xfId="9933" xr:uid="{00000000-0005-0000-0000-000011AB0000}"/>
    <cellStyle name="Normal 4 4 3 7 4 2" xfId="16722" xr:uid="{00000000-0005-0000-0000-000012AB0000}"/>
    <cellStyle name="Normal 4 4 3 7 4 2 2" xfId="30290" xr:uid="{00000000-0005-0000-0000-000013AB0000}"/>
    <cellStyle name="Normal 4 4 3 7 4 2 2 2" xfId="57423" xr:uid="{00000000-0005-0000-0000-000014AB0000}"/>
    <cellStyle name="Normal 4 4 3 7 4 2 3" xfId="43861" xr:uid="{00000000-0005-0000-0000-000015AB0000}"/>
    <cellStyle name="Normal 4 4 3 7 4 3" xfId="23509" xr:uid="{00000000-0005-0000-0000-000016AB0000}"/>
    <cellStyle name="Normal 4 4 3 7 4 3 2" xfId="50642" xr:uid="{00000000-0005-0000-0000-000017AB0000}"/>
    <cellStyle name="Normal 4 4 3 7 4 4" xfId="37080" xr:uid="{00000000-0005-0000-0000-000018AB0000}"/>
    <cellStyle name="Normal 4 4 3 7 5" xfId="13333" xr:uid="{00000000-0005-0000-0000-000019AB0000}"/>
    <cellStyle name="Normal 4 4 3 7 5 2" xfId="26901" xr:uid="{00000000-0005-0000-0000-00001AAB0000}"/>
    <cellStyle name="Normal 4 4 3 7 5 2 2" xfId="54034" xr:uid="{00000000-0005-0000-0000-00001BAB0000}"/>
    <cellStyle name="Normal 4 4 3 7 5 3" xfId="40472" xr:uid="{00000000-0005-0000-0000-00001CAB0000}"/>
    <cellStyle name="Normal 4 4 3 7 6" xfId="20120" xr:uid="{00000000-0005-0000-0000-00001DAB0000}"/>
    <cellStyle name="Normal 4 4 3 7 6 2" xfId="47253" xr:uid="{00000000-0005-0000-0000-00001EAB0000}"/>
    <cellStyle name="Normal 4 4 3 7 7" xfId="33691" xr:uid="{00000000-0005-0000-0000-00001FAB0000}"/>
    <cellStyle name="Normal 4 4 3 8" xfId="6403" xr:uid="{00000000-0005-0000-0000-000020AB0000}"/>
    <cellStyle name="Normal 4 4 3 8 2" xfId="9936" xr:uid="{00000000-0005-0000-0000-000021AB0000}"/>
    <cellStyle name="Normal 4 4 3 8 2 2" xfId="16725" xr:uid="{00000000-0005-0000-0000-000022AB0000}"/>
    <cellStyle name="Normal 4 4 3 8 2 2 2" xfId="30293" xr:uid="{00000000-0005-0000-0000-000023AB0000}"/>
    <cellStyle name="Normal 4 4 3 8 2 2 2 2" xfId="57426" xr:uid="{00000000-0005-0000-0000-000024AB0000}"/>
    <cellStyle name="Normal 4 4 3 8 2 2 3" xfId="43864" xr:uid="{00000000-0005-0000-0000-000025AB0000}"/>
    <cellStyle name="Normal 4 4 3 8 2 3" xfId="23512" xr:uid="{00000000-0005-0000-0000-000026AB0000}"/>
    <cellStyle name="Normal 4 4 3 8 2 3 2" xfId="50645" xr:uid="{00000000-0005-0000-0000-000027AB0000}"/>
    <cellStyle name="Normal 4 4 3 8 2 4" xfId="37083" xr:uid="{00000000-0005-0000-0000-000028AB0000}"/>
    <cellStyle name="Normal 4 4 3 8 3" xfId="13336" xr:uid="{00000000-0005-0000-0000-000029AB0000}"/>
    <cellStyle name="Normal 4 4 3 8 3 2" xfId="26904" xr:uid="{00000000-0005-0000-0000-00002AAB0000}"/>
    <cellStyle name="Normal 4 4 3 8 3 2 2" xfId="54037" xr:uid="{00000000-0005-0000-0000-00002BAB0000}"/>
    <cellStyle name="Normal 4 4 3 8 3 3" xfId="40475" xr:uid="{00000000-0005-0000-0000-00002CAB0000}"/>
    <cellStyle name="Normal 4 4 3 8 4" xfId="20123" xr:uid="{00000000-0005-0000-0000-00002DAB0000}"/>
    <cellStyle name="Normal 4 4 3 8 4 2" xfId="47256" xr:uid="{00000000-0005-0000-0000-00002EAB0000}"/>
    <cellStyle name="Normal 4 4 3 8 5" xfId="33694" xr:uid="{00000000-0005-0000-0000-00002FAB0000}"/>
    <cellStyle name="Normal 4 4 3 9" xfId="6404" xr:uid="{00000000-0005-0000-0000-000030AB0000}"/>
    <cellStyle name="Normal 4 4 3 9 2" xfId="9937" xr:uid="{00000000-0005-0000-0000-000031AB0000}"/>
    <cellStyle name="Normal 4 4 3 9 2 2" xfId="16726" xr:uid="{00000000-0005-0000-0000-000032AB0000}"/>
    <cellStyle name="Normal 4 4 3 9 2 2 2" xfId="30294" xr:uid="{00000000-0005-0000-0000-000033AB0000}"/>
    <cellStyle name="Normal 4 4 3 9 2 2 2 2" xfId="57427" xr:uid="{00000000-0005-0000-0000-000034AB0000}"/>
    <cellStyle name="Normal 4 4 3 9 2 2 3" xfId="43865" xr:uid="{00000000-0005-0000-0000-000035AB0000}"/>
    <cellStyle name="Normal 4 4 3 9 2 3" xfId="23513" xr:uid="{00000000-0005-0000-0000-000036AB0000}"/>
    <cellStyle name="Normal 4 4 3 9 2 3 2" xfId="50646" xr:uid="{00000000-0005-0000-0000-000037AB0000}"/>
    <cellStyle name="Normal 4 4 3 9 2 4" xfId="37084" xr:uid="{00000000-0005-0000-0000-000038AB0000}"/>
    <cellStyle name="Normal 4 4 3 9 3" xfId="13337" xr:uid="{00000000-0005-0000-0000-000039AB0000}"/>
    <cellStyle name="Normal 4 4 3 9 3 2" xfId="26905" xr:uid="{00000000-0005-0000-0000-00003AAB0000}"/>
    <cellStyle name="Normal 4 4 3 9 3 2 2" xfId="54038" xr:uid="{00000000-0005-0000-0000-00003BAB0000}"/>
    <cellStyle name="Normal 4 4 3 9 3 3" xfId="40476" xr:uid="{00000000-0005-0000-0000-00003CAB0000}"/>
    <cellStyle name="Normal 4 4 3 9 4" xfId="20124" xr:uid="{00000000-0005-0000-0000-00003DAB0000}"/>
    <cellStyle name="Normal 4 4 3 9 4 2" xfId="47257" xr:uid="{00000000-0005-0000-0000-00003EAB0000}"/>
    <cellStyle name="Normal 4 4 3 9 5" xfId="33695" xr:uid="{00000000-0005-0000-0000-00003FAB0000}"/>
    <cellStyle name="Normal 4 4 4" xfId="6405" xr:uid="{00000000-0005-0000-0000-000040AB0000}"/>
    <cellStyle name="Normal 4 4 4 10" xfId="13338" xr:uid="{00000000-0005-0000-0000-000041AB0000}"/>
    <cellStyle name="Normal 4 4 4 10 2" xfId="26906" xr:uid="{00000000-0005-0000-0000-000042AB0000}"/>
    <cellStyle name="Normal 4 4 4 10 2 2" xfId="54039" xr:uid="{00000000-0005-0000-0000-000043AB0000}"/>
    <cellStyle name="Normal 4 4 4 10 3" xfId="40477" xr:uid="{00000000-0005-0000-0000-000044AB0000}"/>
    <cellStyle name="Normal 4 4 4 11" xfId="20125" xr:uid="{00000000-0005-0000-0000-000045AB0000}"/>
    <cellStyle name="Normal 4 4 4 11 2" xfId="47258" xr:uid="{00000000-0005-0000-0000-000046AB0000}"/>
    <cellStyle name="Normal 4 4 4 12" xfId="33696" xr:uid="{00000000-0005-0000-0000-000047AB0000}"/>
    <cellStyle name="Normal 4 4 4 2" xfId="6406" xr:uid="{00000000-0005-0000-0000-000048AB0000}"/>
    <cellStyle name="Normal 4 4 4 2 10" xfId="33697" xr:uid="{00000000-0005-0000-0000-000049AB0000}"/>
    <cellStyle name="Normal 4 4 4 2 2" xfId="6407" xr:uid="{00000000-0005-0000-0000-00004AAB0000}"/>
    <cellStyle name="Normal 4 4 4 2 2 2" xfId="6408" xr:uid="{00000000-0005-0000-0000-00004BAB0000}"/>
    <cellStyle name="Normal 4 4 4 2 2 2 2" xfId="6409" xr:uid="{00000000-0005-0000-0000-00004CAB0000}"/>
    <cellStyle name="Normal 4 4 4 2 2 2 2 2" xfId="9942" xr:uid="{00000000-0005-0000-0000-00004DAB0000}"/>
    <cellStyle name="Normal 4 4 4 2 2 2 2 2 2" xfId="16731" xr:uid="{00000000-0005-0000-0000-00004EAB0000}"/>
    <cellStyle name="Normal 4 4 4 2 2 2 2 2 2 2" xfId="30299" xr:uid="{00000000-0005-0000-0000-00004FAB0000}"/>
    <cellStyle name="Normal 4 4 4 2 2 2 2 2 2 2 2" xfId="57432" xr:uid="{00000000-0005-0000-0000-000050AB0000}"/>
    <cellStyle name="Normal 4 4 4 2 2 2 2 2 2 3" xfId="43870" xr:uid="{00000000-0005-0000-0000-000051AB0000}"/>
    <cellStyle name="Normal 4 4 4 2 2 2 2 2 3" xfId="23518" xr:uid="{00000000-0005-0000-0000-000052AB0000}"/>
    <cellStyle name="Normal 4 4 4 2 2 2 2 2 3 2" xfId="50651" xr:uid="{00000000-0005-0000-0000-000053AB0000}"/>
    <cellStyle name="Normal 4 4 4 2 2 2 2 2 4" xfId="37089" xr:uid="{00000000-0005-0000-0000-000054AB0000}"/>
    <cellStyle name="Normal 4 4 4 2 2 2 2 3" xfId="13342" xr:uid="{00000000-0005-0000-0000-000055AB0000}"/>
    <cellStyle name="Normal 4 4 4 2 2 2 2 3 2" xfId="26910" xr:uid="{00000000-0005-0000-0000-000056AB0000}"/>
    <cellStyle name="Normal 4 4 4 2 2 2 2 3 2 2" xfId="54043" xr:uid="{00000000-0005-0000-0000-000057AB0000}"/>
    <cellStyle name="Normal 4 4 4 2 2 2 2 3 3" xfId="40481" xr:uid="{00000000-0005-0000-0000-000058AB0000}"/>
    <cellStyle name="Normal 4 4 4 2 2 2 2 4" xfId="20129" xr:uid="{00000000-0005-0000-0000-000059AB0000}"/>
    <cellStyle name="Normal 4 4 4 2 2 2 2 4 2" xfId="47262" xr:uid="{00000000-0005-0000-0000-00005AAB0000}"/>
    <cellStyle name="Normal 4 4 4 2 2 2 2 5" xfId="33700" xr:uid="{00000000-0005-0000-0000-00005BAB0000}"/>
    <cellStyle name="Normal 4 4 4 2 2 2 3" xfId="6410" xr:uid="{00000000-0005-0000-0000-00005CAB0000}"/>
    <cellStyle name="Normal 4 4 4 2 2 2 3 2" xfId="9943" xr:uid="{00000000-0005-0000-0000-00005DAB0000}"/>
    <cellStyle name="Normal 4 4 4 2 2 2 3 2 2" xfId="16732" xr:uid="{00000000-0005-0000-0000-00005EAB0000}"/>
    <cellStyle name="Normal 4 4 4 2 2 2 3 2 2 2" xfId="30300" xr:uid="{00000000-0005-0000-0000-00005FAB0000}"/>
    <cellStyle name="Normal 4 4 4 2 2 2 3 2 2 2 2" xfId="57433" xr:uid="{00000000-0005-0000-0000-000060AB0000}"/>
    <cellStyle name="Normal 4 4 4 2 2 2 3 2 2 3" xfId="43871" xr:uid="{00000000-0005-0000-0000-000061AB0000}"/>
    <cellStyle name="Normal 4 4 4 2 2 2 3 2 3" xfId="23519" xr:uid="{00000000-0005-0000-0000-000062AB0000}"/>
    <cellStyle name="Normal 4 4 4 2 2 2 3 2 3 2" xfId="50652" xr:uid="{00000000-0005-0000-0000-000063AB0000}"/>
    <cellStyle name="Normal 4 4 4 2 2 2 3 2 4" xfId="37090" xr:uid="{00000000-0005-0000-0000-000064AB0000}"/>
    <cellStyle name="Normal 4 4 4 2 2 2 3 3" xfId="13343" xr:uid="{00000000-0005-0000-0000-000065AB0000}"/>
    <cellStyle name="Normal 4 4 4 2 2 2 3 3 2" xfId="26911" xr:uid="{00000000-0005-0000-0000-000066AB0000}"/>
    <cellStyle name="Normal 4 4 4 2 2 2 3 3 2 2" xfId="54044" xr:uid="{00000000-0005-0000-0000-000067AB0000}"/>
    <cellStyle name="Normal 4 4 4 2 2 2 3 3 3" xfId="40482" xr:uid="{00000000-0005-0000-0000-000068AB0000}"/>
    <cellStyle name="Normal 4 4 4 2 2 2 3 4" xfId="20130" xr:uid="{00000000-0005-0000-0000-000069AB0000}"/>
    <cellStyle name="Normal 4 4 4 2 2 2 3 4 2" xfId="47263" xr:uid="{00000000-0005-0000-0000-00006AAB0000}"/>
    <cellStyle name="Normal 4 4 4 2 2 2 3 5" xfId="33701" xr:uid="{00000000-0005-0000-0000-00006BAB0000}"/>
    <cellStyle name="Normal 4 4 4 2 2 2 4" xfId="9941" xr:uid="{00000000-0005-0000-0000-00006CAB0000}"/>
    <cellStyle name="Normal 4 4 4 2 2 2 4 2" xfId="16730" xr:uid="{00000000-0005-0000-0000-00006DAB0000}"/>
    <cellStyle name="Normal 4 4 4 2 2 2 4 2 2" xfId="30298" xr:uid="{00000000-0005-0000-0000-00006EAB0000}"/>
    <cellStyle name="Normal 4 4 4 2 2 2 4 2 2 2" xfId="57431" xr:uid="{00000000-0005-0000-0000-00006FAB0000}"/>
    <cellStyle name="Normal 4 4 4 2 2 2 4 2 3" xfId="43869" xr:uid="{00000000-0005-0000-0000-000070AB0000}"/>
    <cellStyle name="Normal 4 4 4 2 2 2 4 3" xfId="23517" xr:uid="{00000000-0005-0000-0000-000071AB0000}"/>
    <cellStyle name="Normal 4 4 4 2 2 2 4 3 2" xfId="50650" xr:uid="{00000000-0005-0000-0000-000072AB0000}"/>
    <cellStyle name="Normal 4 4 4 2 2 2 4 4" xfId="37088" xr:uid="{00000000-0005-0000-0000-000073AB0000}"/>
    <cellStyle name="Normal 4 4 4 2 2 2 5" xfId="13341" xr:uid="{00000000-0005-0000-0000-000074AB0000}"/>
    <cellStyle name="Normal 4 4 4 2 2 2 5 2" xfId="26909" xr:uid="{00000000-0005-0000-0000-000075AB0000}"/>
    <cellStyle name="Normal 4 4 4 2 2 2 5 2 2" xfId="54042" xr:uid="{00000000-0005-0000-0000-000076AB0000}"/>
    <cellStyle name="Normal 4 4 4 2 2 2 5 3" xfId="40480" xr:uid="{00000000-0005-0000-0000-000077AB0000}"/>
    <cellStyle name="Normal 4 4 4 2 2 2 6" xfId="20128" xr:uid="{00000000-0005-0000-0000-000078AB0000}"/>
    <cellStyle name="Normal 4 4 4 2 2 2 6 2" xfId="47261" xr:uid="{00000000-0005-0000-0000-000079AB0000}"/>
    <cellStyle name="Normal 4 4 4 2 2 2 7" xfId="33699" xr:uid="{00000000-0005-0000-0000-00007AAB0000}"/>
    <cellStyle name="Normal 4 4 4 2 2 3" xfId="6411" xr:uid="{00000000-0005-0000-0000-00007BAB0000}"/>
    <cellStyle name="Normal 4 4 4 2 2 3 2" xfId="6412" xr:uid="{00000000-0005-0000-0000-00007CAB0000}"/>
    <cellStyle name="Normal 4 4 4 2 2 3 2 2" xfId="9945" xr:uid="{00000000-0005-0000-0000-00007DAB0000}"/>
    <cellStyle name="Normal 4 4 4 2 2 3 2 2 2" xfId="16734" xr:uid="{00000000-0005-0000-0000-00007EAB0000}"/>
    <cellStyle name="Normal 4 4 4 2 2 3 2 2 2 2" xfId="30302" xr:uid="{00000000-0005-0000-0000-00007FAB0000}"/>
    <cellStyle name="Normal 4 4 4 2 2 3 2 2 2 2 2" xfId="57435" xr:uid="{00000000-0005-0000-0000-000080AB0000}"/>
    <cellStyle name="Normal 4 4 4 2 2 3 2 2 2 3" xfId="43873" xr:uid="{00000000-0005-0000-0000-000081AB0000}"/>
    <cellStyle name="Normal 4 4 4 2 2 3 2 2 3" xfId="23521" xr:uid="{00000000-0005-0000-0000-000082AB0000}"/>
    <cellStyle name="Normal 4 4 4 2 2 3 2 2 3 2" xfId="50654" xr:uid="{00000000-0005-0000-0000-000083AB0000}"/>
    <cellStyle name="Normal 4 4 4 2 2 3 2 2 4" xfId="37092" xr:uid="{00000000-0005-0000-0000-000084AB0000}"/>
    <cellStyle name="Normal 4 4 4 2 2 3 2 3" xfId="13345" xr:uid="{00000000-0005-0000-0000-000085AB0000}"/>
    <cellStyle name="Normal 4 4 4 2 2 3 2 3 2" xfId="26913" xr:uid="{00000000-0005-0000-0000-000086AB0000}"/>
    <cellStyle name="Normal 4 4 4 2 2 3 2 3 2 2" xfId="54046" xr:uid="{00000000-0005-0000-0000-000087AB0000}"/>
    <cellStyle name="Normal 4 4 4 2 2 3 2 3 3" xfId="40484" xr:uid="{00000000-0005-0000-0000-000088AB0000}"/>
    <cellStyle name="Normal 4 4 4 2 2 3 2 4" xfId="20132" xr:uid="{00000000-0005-0000-0000-000089AB0000}"/>
    <cellStyle name="Normal 4 4 4 2 2 3 2 4 2" xfId="47265" xr:uid="{00000000-0005-0000-0000-00008AAB0000}"/>
    <cellStyle name="Normal 4 4 4 2 2 3 2 5" xfId="33703" xr:uid="{00000000-0005-0000-0000-00008BAB0000}"/>
    <cellStyle name="Normal 4 4 4 2 2 3 3" xfId="9944" xr:uid="{00000000-0005-0000-0000-00008CAB0000}"/>
    <cellStyle name="Normal 4 4 4 2 2 3 3 2" xfId="16733" xr:uid="{00000000-0005-0000-0000-00008DAB0000}"/>
    <cellStyle name="Normal 4 4 4 2 2 3 3 2 2" xfId="30301" xr:uid="{00000000-0005-0000-0000-00008EAB0000}"/>
    <cellStyle name="Normal 4 4 4 2 2 3 3 2 2 2" xfId="57434" xr:uid="{00000000-0005-0000-0000-00008FAB0000}"/>
    <cellStyle name="Normal 4 4 4 2 2 3 3 2 3" xfId="43872" xr:uid="{00000000-0005-0000-0000-000090AB0000}"/>
    <cellStyle name="Normal 4 4 4 2 2 3 3 3" xfId="23520" xr:uid="{00000000-0005-0000-0000-000091AB0000}"/>
    <cellStyle name="Normal 4 4 4 2 2 3 3 3 2" xfId="50653" xr:uid="{00000000-0005-0000-0000-000092AB0000}"/>
    <cellStyle name="Normal 4 4 4 2 2 3 3 4" xfId="37091" xr:uid="{00000000-0005-0000-0000-000093AB0000}"/>
    <cellStyle name="Normal 4 4 4 2 2 3 4" xfId="13344" xr:uid="{00000000-0005-0000-0000-000094AB0000}"/>
    <cellStyle name="Normal 4 4 4 2 2 3 4 2" xfId="26912" xr:uid="{00000000-0005-0000-0000-000095AB0000}"/>
    <cellStyle name="Normal 4 4 4 2 2 3 4 2 2" xfId="54045" xr:uid="{00000000-0005-0000-0000-000096AB0000}"/>
    <cellStyle name="Normal 4 4 4 2 2 3 4 3" xfId="40483" xr:uid="{00000000-0005-0000-0000-000097AB0000}"/>
    <cellStyle name="Normal 4 4 4 2 2 3 5" xfId="20131" xr:uid="{00000000-0005-0000-0000-000098AB0000}"/>
    <cellStyle name="Normal 4 4 4 2 2 3 5 2" xfId="47264" xr:uid="{00000000-0005-0000-0000-000099AB0000}"/>
    <cellStyle name="Normal 4 4 4 2 2 3 6" xfId="33702" xr:uid="{00000000-0005-0000-0000-00009AAB0000}"/>
    <cellStyle name="Normal 4 4 4 2 2 4" xfId="6413" xr:uid="{00000000-0005-0000-0000-00009BAB0000}"/>
    <cellStyle name="Normal 4 4 4 2 2 4 2" xfId="9946" xr:uid="{00000000-0005-0000-0000-00009CAB0000}"/>
    <cellStyle name="Normal 4 4 4 2 2 4 2 2" xfId="16735" xr:uid="{00000000-0005-0000-0000-00009DAB0000}"/>
    <cellStyle name="Normal 4 4 4 2 2 4 2 2 2" xfId="30303" xr:uid="{00000000-0005-0000-0000-00009EAB0000}"/>
    <cellStyle name="Normal 4 4 4 2 2 4 2 2 2 2" xfId="57436" xr:uid="{00000000-0005-0000-0000-00009FAB0000}"/>
    <cellStyle name="Normal 4 4 4 2 2 4 2 2 3" xfId="43874" xr:uid="{00000000-0005-0000-0000-0000A0AB0000}"/>
    <cellStyle name="Normal 4 4 4 2 2 4 2 3" xfId="23522" xr:uid="{00000000-0005-0000-0000-0000A1AB0000}"/>
    <cellStyle name="Normal 4 4 4 2 2 4 2 3 2" xfId="50655" xr:uid="{00000000-0005-0000-0000-0000A2AB0000}"/>
    <cellStyle name="Normal 4 4 4 2 2 4 2 4" xfId="37093" xr:uid="{00000000-0005-0000-0000-0000A3AB0000}"/>
    <cellStyle name="Normal 4 4 4 2 2 4 3" xfId="13346" xr:uid="{00000000-0005-0000-0000-0000A4AB0000}"/>
    <cellStyle name="Normal 4 4 4 2 2 4 3 2" xfId="26914" xr:uid="{00000000-0005-0000-0000-0000A5AB0000}"/>
    <cellStyle name="Normal 4 4 4 2 2 4 3 2 2" xfId="54047" xr:uid="{00000000-0005-0000-0000-0000A6AB0000}"/>
    <cellStyle name="Normal 4 4 4 2 2 4 3 3" xfId="40485" xr:uid="{00000000-0005-0000-0000-0000A7AB0000}"/>
    <cellStyle name="Normal 4 4 4 2 2 4 4" xfId="20133" xr:uid="{00000000-0005-0000-0000-0000A8AB0000}"/>
    <cellStyle name="Normal 4 4 4 2 2 4 4 2" xfId="47266" xr:uid="{00000000-0005-0000-0000-0000A9AB0000}"/>
    <cellStyle name="Normal 4 4 4 2 2 4 5" xfId="33704" xr:uid="{00000000-0005-0000-0000-0000AAAB0000}"/>
    <cellStyle name="Normal 4 4 4 2 2 5" xfId="6414" xr:uid="{00000000-0005-0000-0000-0000ABAB0000}"/>
    <cellStyle name="Normal 4 4 4 2 2 5 2" xfId="9947" xr:uid="{00000000-0005-0000-0000-0000ACAB0000}"/>
    <cellStyle name="Normal 4 4 4 2 2 5 2 2" xfId="16736" xr:uid="{00000000-0005-0000-0000-0000ADAB0000}"/>
    <cellStyle name="Normal 4 4 4 2 2 5 2 2 2" xfId="30304" xr:uid="{00000000-0005-0000-0000-0000AEAB0000}"/>
    <cellStyle name="Normal 4 4 4 2 2 5 2 2 2 2" xfId="57437" xr:uid="{00000000-0005-0000-0000-0000AFAB0000}"/>
    <cellStyle name="Normal 4 4 4 2 2 5 2 2 3" xfId="43875" xr:uid="{00000000-0005-0000-0000-0000B0AB0000}"/>
    <cellStyle name="Normal 4 4 4 2 2 5 2 3" xfId="23523" xr:uid="{00000000-0005-0000-0000-0000B1AB0000}"/>
    <cellStyle name="Normal 4 4 4 2 2 5 2 3 2" xfId="50656" xr:uid="{00000000-0005-0000-0000-0000B2AB0000}"/>
    <cellStyle name="Normal 4 4 4 2 2 5 2 4" xfId="37094" xr:uid="{00000000-0005-0000-0000-0000B3AB0000}"/>
    <cellStyle name="Normal 4 4 4 2 2 5 3" xfId="13347" xr:uid="{00000000-0005-0000-0000-0000B4AB0000}"/>
    <cellStyle name="Normal 4 4 4 2 2 5 3 2" xfId="26915" xr:uid="{00000000-0005-0000-0000-0000B5AB0000}"/>
    <cellStyle name="Normal 4 4 4 2 2 5 3 2 2" xfId="54048" xr:uid="{00000000-0005-0000-0000-0000B6AB0000}"/>
    <cellStyle name="Normal 4 4 4 2 2 5 3 3" xfId="40486" xr:uid="{00000000-0005-0000-0000-0000B7AB0000}"/>
    <cellStyle name="Normal 4 4 4 2 2 5 4" xfId="20134" xr:uid="{00000000-0005-0000-0000-0000B8AB0000}"/>
    <cellStyle name="Normal 4 4 4 2 2 5 4 2" xfId="47267" xr:uid="{00000000-0005-0000-0000-0000B9AB0000}"/>
    <cellStyle name="Normal 4 4 4 2 2 5 5" xfId="33705" xr:uid="{00000000-0005-0000-0000-0000BAAB0000}"/>
    <cellStyle name="Normal 4 4 4 2 2 6" xfId="9940" xr:uid="{00000000-0005-0000-0000-0000BBAB0000}"/>
    <cellStyle name="Normal 4 4 4 2 2 6 2" xfId="16729" xr:uid="{00000000-0005-0000-0000-0000BCAB0000}"/>
    <cellStyle name="Normal 4 4 4 2 2 6 2 2" xfId="30297" xr:uid="{00000000-0005-0000-0000-0000BDAB0000}"/>
    <cellStyle name="Normal 4 4 4 2 2 6 2 2 2" xfId="57430" xr:uid="{00000000-0005-0000-0000-0000BEAB0000}"/>
    <cellStyle name="Normal 4 4 4 2 2 6 2 3" xfId="43868" xr:uid="{00000000-0005-0000-0000-0000BFAB0000}"/>
    <cellStyle name="Normal 4 4 4 2 2 6 3" xfId="23516" xr:uid="{00000000-0005-0000-0000-0000C0AB0000}"/>
    <cellStyle name="Normal 4 4 4 2 2 6 3 2" xfId="50649" xr:uid="{00000000-0005-0000-0000-0000C1AB0000}"/>
    <cellStyle name="Normal 4 4 4 2 2 6 4" xfId="37087" xr:uid="{00000000-0005-0000-0000-0000C2AB0000}"/>
    <cellStyle name="Normal 4 4 4 2 2 7" xfId="13340" xr:uid="{00000000-0005-0000-0000-0000C3AB0000}"/>
    <cellStyle name="Normal 4 4 4 2 2 7 2" xfId="26908" xr:uid="{00000000-0005-0000-0000-0000C4AB0000}"/>
    <cellStyle name="Normal 4 4 4 2 2 7 2 2" xfId="54041" xr:uid="{00000000-0005-0000-0000-0000C5AB0000}"/>
    <cellStyle name="Normal 4 4 4 2 2 7 3" xfId="40479" xr:uid="{00000000-0005-0000-0000-0000C6AB0000}"/>
    <cellStyle name="Normal 4 4 4 2 2 8" xfId="20127" xr:uid="{00000000-0005-0000-0000-0000C7AB0000}"/>
    <cellStyle name="Normal 4 4 4 2 2 8 2" xfId="47260" xr:uid="{00000000-0005-0000-0000-0000C8AB0000}"/>
    <cellStyle name="Normal 4 4 4 2 2 9" xfId="33698" xr:uid="{00000000-0005-0000-0000-0000C9AB0000}"/>
    <cellStyle name="Normal 4 4 4 2 3" xfId="6415" xr:uid="{00000000-0005-0000-0000-0000CAAB0000}"/>
    <cellStyle name="Normal 4 4 4 2 3 2" xfId="6416" xr:uid="{00000000-0005-0000-0000-0000CBAB0000}"/>
    <cellStyle name="Normal 4 4 4 2 3 2 2" xfId="9949" xr:uid="{00000000-0005-0000-0000-0000CCAB0000}"/>
    <cellStyle name="Normal 4 4 4 2 3 2 2 2" xfId="16738" xr:uid="{00000000-0005-0000-0000-0000CDAB0000}"/>
    <cellStyle name="Normal 4 4 4 2 3 2 2 2 2" xfId="30306" xr:uid="{00000000-0005-0000-0000-0000CEAB0000}"/>
    <cellStyle name="Normal 4 4 4 2 3 2 2 2 2 2" xfId="57439" xr:uid="{00000000-0005-0000-0000-0000CFAB0000}"/>
    <cellStyle name="Normal 4 4 4 2 3 2 2 2 3" xfId="43877" xr:uid="{00000000-0005-0000-0000-0000D0AB0000}"/>
    <cellStyle name="Normal 4 4 4 2 3 2 2 3" xfId="23525" xr:uid="{00000000-0005-0000-0000-0000D1AB0000}"/>
    <cellStyle name="Normal 4 4 4 2 3 2 2 3 2" xfId="50658" xr:uid="{00000000-0005-0000-0000-0000D2AB0000}"/>
    <cellStyle name="Normal 4 4 4 2 3 2 2 4" xfId="37096" xr:uid="{00000000-0005-0000-0000-0000D3AB0000}"/>
    <cellStyle name="Normal 4 4 4 2 3 2 3" xfId="13349" xr:uid="{00000000-0005-0000-0000-0000D4AB0000}"/>
    <cellStyle name="Normal 4 4 4 2 3 2 3 2" xfId="26917" xr:uid="{00000000-0005-0000-0000-0000D5AB0000}"/>
    <cellStyle name="Normal 4 4 4 2 3 2 3 2 2" xfId="54050" xr:uid="{00000000-0005-0000-0000-0000D6AB0000}"/>
    <cellStyle name="Normal 4 4 4 2 3 2 3 3" xfId="40488" xr:uid="{00000000-0005-0000-0000-0000D7AB0000}"/>
    <cellStyle name="Normal 4 4 4 2 3 2 4" xfId="20136" xr:uid="{00000000-0005-0000-0000-0000D8AB0000}"/>
    <cellStyle name="Normal 4 4 4 2 3 2 4 2" xfId="47269" xr:uid="{00000000-0005-0000-0000-0000D9AB0000}"/>
    <cellStyle name="Normal 4 4 4 2 3 2 5" xfId="33707" xr:uid="{00000000-0005-0000-0000-0000DAAB0000}"/>
    <cellStyle name="Normal 4 4 4 2 3 3" xfId="6417" xr:uid="{00000000-0005-0000-0000-0000DBAB0000}"/>
    <cellStyle name="Normal 4 4 4 2 3 3 2" xfId="9950" xr:uid="{00000000-0005-0000-0000-0000DCAB0000}"/>
    <cellStyle name="Normal 4 4 4 2 3 3 2 2" xfId="16739" xr:uid="{00000000-0005-0000-0000-0000DDAB0000}"/>
    <cellStyle name="Normal 4 4 4 2 3 3 2 2 2" xfId="30307" xr:uid="{00000000-0005-0000-0000-0000DEAB0000}"/>
    <cellStyle name="Normal 4 4 4 2 3 3 2 2 2 2" xfId="57440" xr:uid="{00000000-0005-0000-0000-0000DFAB0000}"/>
    <cellStyle name="Normal 4 4 4 2 3 3 2 2 3" xfId="43878" xr:uid="{00000000-0005-0000-0000-0000E0AB0000}"/>
    <cellStyle name="Normal 4 4 4 2 3 3 2 3" xfId="23526" xr:uid="{00000000-0005-0000-0000-0000E1AB0000}"/>
    <cellStyle name="Normal 4 4 4 2 3 3 2 3 2" xfId="50659" xr:uid="{00000000-0005-0000-0000-0000E2AB0000}"/>
    <cellStyle name="Normal 4 4 4 2 3 3 2 4" xfId="37097" xr:uid="{00000000-0005-0000-0000-0000E3AB0000}"/>
    <cellStyle name="Normal 4 4 4 2 3 3 3" xfId="13350" xr:uid="{00000000-0005-0000-0000-0000E4AB0000}"/>
    <cellStyle name="Normal 4 4 4 2 3 3 3 2" xfId="26918" xr:uid="{00000000-0005-0000-0000-0000E5AB0000}"/>
    <cellStyle name="Normal 4 4 4 2 3 3 3 2 2" xfId="54051" xr:uid="{00000000-0005-0000-0000-0000E6AB0000}"/>
    <cellStyle name="Normal 4 4 4 2 3 3 3 3" xfId="40489" xr:uid="{00000000-0005-0000-0000-0000E7AB0000}"/>
    <cellStyle name="Normal 4 4 4 2 3 3 4" xfId="20137" xr:uid="{00000000-0005-0000-0000-0000E8AB0000}"/>
    <cellStyle name="Normal 4 4 4 2 3 3 4 2" xfId="47270" xr:uid="{00000000-0005-0000-0000-0000E9AB0000}"/>
    <cellStyle name="Normal 4 4 4 2 3 3 5" xfId="33708" xr:uid="{00000000-0005-0000-0000-0000EAAB0000}"/>
    <cellStyle name="Normal 4 4 4 2 3 4" xfId="9948" xr:uid="{00000000-0005-0000-0000-0000EBAB0000}"/>
    <cellStyle name="Normal 4 4 4 2 3 4 2" xfId="16737" xr:uid="{00000000-0005-0000-0000-0000ECAB0000}"/>
    <cellStyle name="Normal 4 4 4 2 3 4 2 2" xfId="30305" xr:uid="{00000000-0005-0000-0000-0000EDAB0000}"/>
    <cellStyle name="Normal 4 4 4 2 3 4 2 2 2" xfId="57438" xr:uid="{00000000-0005-0000-0000-0000EEAB0000}"/>
    <cellStyle name="Normal 4 4 4 2 3 4 2 3" xfId="43876" xr:uid="{00000000-0005-0000-0000-0000EFAB0000}"/>
    <cellStyle name="Normal 4 4 4 2 3 4 3" xfId="23524" xr:uid="{00000000-0005-0000-0000-0000F0AB0000}"/>
    <cellStyle name="Normal 4 4 4 2 3 4 3 2" xfId="50657" xr:uid="{00000000-0005-0000-0000-0000F1AB0000}"/>
    <cellStyle name="Normal 4 4 4 2 3 4 4" xfId="37095" xr:uid="{00000000-0005-0000-0000-0000F2AB0000}"/>
    <cellStyle name="Normal 4 4 4 2 3 5" xfId="13348" xr:uid="{00000000-0005-0000-0000-0000F3AB0000}"/>
    <cellStyle name="Normal 4 4 4 2 3 5 2" xfId="26916" xr:uid="{00000000-0005-0000-0000-0000F4AB0000}"/>
    <cellStyle name="Normal 4 4 4 2 3 5 2 2" xfId="54049" xr:uid="{00000000-0005-0000-0000-0000F5AB0000}"/>
    <cellStyle name="Normal 4 4 4 2 3 5 3" xfId="40487" xr:uid="{00000000-0005-0000-0000-0000F6AB0000}"/>
    <cellStyle name="Normal 4 4 4 2 3 6" xfId="20135" xr:uid="{00000000-0005-0000-0000-0000F7AB0000}"/>
    <cellStyle name="Normal 4 4 4 2 3 6 2" xfId="47268" xr:uid="{00000000-0005-0000-0000-0000F8AB0000}"/>
    <cellStyle name="Normal 4 4 4 2 3 7" xfId="33706" xr:uid="{00000000-0005-0000-0000-0000F9AB0000}"/>
    <cellStyle name="Normal 4 4 4 2 4" xfId="6418" xr:uid="{00000000-0005-0000-0000-0000FAAB0000}"/>
    <cellStyle name="Normal 4 4 4 2 4 2" xfId="6419" xr:uid="{00000000-0005-0000-0000-0000FBAB0000}"/>
    <cellStyle name="Normal 4 4 4 2 4 2 2" xfId="9952" xr:uid="{00000000-0005-0000-0000-0000FCAB0000}"/>
    <cellStyle name="Normal 4 4 4 2 4 2 2 2" xfId="16741" xr:uid="{00000000-0005-0000-0000-0000FDAB0000}"/>
    <cellStyle name="Normal 4 4 4 2 4 2 2 2 2" xfId="30309" xr:uid="{00000000-0005-0000-0000-0000FEAB0000}"/>
    <cellStyle name="Normal 4 4 4 2 4 2 2 2 2 2" xfId="57442" xr:uid="{00000000-0005-0000-0000-0000FFAB0000}"/>
    <cellStyle name="Normal 4 4 4 2 4 2 2 2 3" xfId="43880" xr:uid="{00000000-0005-0000-0000-000000AC0000}"/>
    <cellStyle name="Normal 4 4 4 2 4 2 2 3" xfId="23528" xr:uid="{00000000-0005-0000-0000-000001AC0000}"/>
    <cellStyle name="Normal 4 4 4 2 4 2 2 3 2" xfId="50661" xr:uid="{00000000-0005-0000-0000-000002AC0000}"/>
    <cellStyle name="Normal 4 4 4 2 4 2 2 4" xfId="37099" xr:uid="{00000000-0005-0000-0000-000003AC0000}"/>
    <cellStyle name="Normal 4 4 4 2 4 2 3" xfId="13352" xr:uid="{00000000-0005-0000-0000-000004AC0000}"/>
    <cellStyle name="Normal 4 4 4 2 4 2 3 2" xfId="26920" xr:uid="{00000000-0005-0000-0000-000005AC0000}"/>
    <cellStyle name="Normal 4 4 4 2 4 2 3 2 2" xfId="54053" xr:uid="{00000000-0005-0000-0000-000006AC0000}"/>
    <cellStyle name="Normal 4 4 4 2 4 2 3 3" xfId="40491" xr:uid="{00000000-0005-0000-0000-000007AC0000}"/>
    <cellStyle name="Normal 4 4 4 2 4 2 4" xfId="20139" xr:uid="{00000000-0005-0000-0000-000008AC0000}"/>
    <cellStyle name="Normal 4 4 4 2 4 2 4 2" xfId="47272" xr:uid="{00000000-0005-0000-0000-000009AC0000}"/>
    <cellStyle name="Normal 4 4 4 2 4 2 5" xfId="33710" xr:uid="{00000000-0005-0000-0000-00000AAC0000}"/>
    <cellStyle name="Normal 4 4 4 2 4 3" xfId="9951" xr:uid="{00000000-0005-0000-0000-00000BAC0000}"/>
    <cellStyle name="Normal 4 4 4 2 4 3 2" xfId="16740" xr:uid="{00000000-0005-0000-0000-00000CAC0000}"/>
    <cellStyle name="Normal 4 4 4 2 4 3 2 2" xfId="30308" xr:uid="{00000000-0005-0000-0000-00000DAC0000}"/>
    <cellStyle name="Normal 4 4 4 2 4 3 2 2 2" xfId="57441" xr:uid="{00000000-0005-0000-0000-00000EAC0000}"/>
    <cellStyle name="Normal 4 4 4 2 4 3 2 3" xfId="43879" xr:uid="{00000000-0005-0000-0000-00000FAC0000}"/>
    <cellStyle name="Normal 4 4 4 2 4 3 3" xfId="23527" xr:uid="{00000000-0005-0000-0000-000010AC0000}"/>
    <cellStyle name="Normal 4 4 4 2 4 3 3 2" xfId="50660" xr:uid="{00000000-0005-0000-0000-000011AC0000}"/>
    <cellStyle name="Normal 4 4 4 2 4 3 4" xfId="37098" xr:uid="{00000000-0005-0000-0000-000012AC0000}"/>
    <cellStyle name="Normal 4 4 4 2 4 4" xfId="13351" xr:uid="{00000000-0005-0000-0000-000013AC0000}"/>
    <cellStyle name="Normal 4 4 4 2 4 4 2" xfId="26919" xr:uid="{00000000-0005-0000-0000-000014AC0000}"/>
    <cellStyle name="Normal 4 4 4 2 4 4 2 2" xfId="54052" xr:uid="{00000000-0005-0000-0000-000015AC0000}"/>
    <cellStyle name="Normal 4 4 4 2 4 4 3" xfId="40490" xr:uid="{00000000-0005-0000-0000-000016AC0000}"/>
    <cellStyle name="Normal 4 4 4 2 4 5" xfId="20138" xr:uid="{00000000-0005-0000-0000-000017AC0000}"/>
    <cellStyle name="Normal 4 4 4 2 4 5 2" xfId="47271" xr:uid="{00000000-0005-0000-0000-000018AC0000}"/>
    <cellStyle name="Normal 4 4 4 2 4 6" xfId="33709" xr:uid="{00000000-0005-0000-0000-000019AC0000}"/>
    <cellStyle name="Normal 4 4 4 2 5" xfId="6420" xr:uid="{00000000-0005-0000-0000-00001AAC0000}"/>
    <cellStyle name="Normal 4 4 4 2 5 2" xfId="9953" xr:uid="{00000000-0005-0000-0000-00001BAC0000}"/>
    <cellStyle name="Normal 4 4 4 2 5 2 2" xfId="16742" xr:uid="{00000000-0005-0000-0000-00001CAC0000}"/>
    <cellStyle name="Normal 4 4 4 2 5 2 2 2" xfId="30310" xr:uid="{00000000-0005-0000-0000-00001DAC0000}"/>
    <cellStyle name="Normal 4 4 4 2 5 2 2 2 2" xfId="57443" xr:uid="{00000000-0005-0000-0000-00001EAC0000}"/>
    <cellStyle name="Normal 4 4 4 2 5 2 2 3" xfId="43881" xr:uid="{00000000-0005-0000-0000-00001FAC0000}"/>
    <cellStyle name="Normal 4 4 4 2 5 2 3" xfId="23529" xr:uid="{00000000-0005-0000-0000-000020AC0000}"/>
    <cellStyle name="Normal 4 4 4 2 5 2 3 2" xfId="50662" xr:uid="{00000000-0005-0000-0000-000021AC0000}"/>
    <cellStyle name="Normal 4 4 4 2 5 2 4" xfId="37100" xr:uid="{00000000-0005-0000-0000-000022AC0000}"/>
    <cellStyle name="Normal 4 4 4 2 5 3" xfId="13353" xr:uid="{00000000-0005-0000-0000-000023AC0000}"/>
    <cellStyle name="Normal 4 4 4 2 5 3 2" xfId="26921" xr:uid="{00000000-0005-0000-0000-000024AC0000}"/>
    <cellStyle name="Normal 4 4 4 2 5 3 2 2" xfId="54054" xr:uid="{00000000-0005-0000-0000-000025AC0000}"/>
    <cellStyle name="Normal 4 4 4 2 5 3 3" xfId="40492" xr:uid="{00000000-0005-0000-0000-000026AC0000}"/>
    <cellStyle name="Normal 4 4 4 2 5 4" xfId="20140" xr:uid="{00000000-0005-0000-0000-000027AC0000}"/>
    <cellStyle name="Normal 4 4 4 2 5 4 2" xfId="47273" xr:uid="{00000000-0005-0000-0000-000028AC0000}"/>
    <cellStyle name="Normal 4 4 4 2 5 5" xfId="33711" xr:uid="{00000000-0005-0000-0000-000029AC0000}"/>
    <cellStyle name="Normal 4 4 4 2 6" xfId="6421" xr:uid="{00000000-0005-0000-0000-00002AAC0000}"/>
    <cellStyle name="Normal 4 4 4 2 6 2" xfId="9954" xr:uid="{00000000-0005-0000-0000-00002BAC0000}"/>
    <cellStyle name="Normal 4 4 4 2 6 2 2" xfId="16743" xr:uid="{00000000-0005-0000-0000-00002CAC0000}"/>
    <cellStyle name="Normal 4 4 4 2 6 2 2 2" xfId="30311" xr:uid="{00000000-0005-0000-0000-00002DAC0000}"/>
    <cellStyle name="Normal 4 4 4 2 6 2 2 2 2" xfId="57444" xr:uid="{00000000-0005-0000-0000-00002EAC0000}"/>
    <cellStyle name="Normal 4 4 4 2 6 2 2 3" xfId="43882" xr:uid="{00000000-0005-0000-0000-00002FAC0000}"/>
    <cellStyle name="Normal 4 4 4 2 6 2 3" xfId="23530" xr:uid="{00000000-0005-0000-0000-000030AC0000}"/>
    <cellStyle name="Normal 4 4 4 2 6 2 3 2" xfId="50663" xr:uid="{00000000-0005-0000-0000-000031AC0000}"/>
    <cellStyle name="Normal 4 4 4 2 6 2 4" xfId="37101" xr:uid="{00000000-0005-0000-0000-000032AC0000}"/>
    <cellStyle name="Normal 4 4 4 2 6 3" xfId="13354" xr:uid="{00000000-0005-0000-0000-000033AC0000}"/>
    <cellStyle name="Normal 4 4 4 2 6 3 2" xfId="26922" xr:uid="{00000000-0005-0000-0000-000034AC0000}"/>
    <cellStyle name="Normal 4 4 4 2 6 3 2 2" xfId="54055" xr:uid="{00000000-0005-0000-0000-000035AC0000}"/>
    <cellStyle name="Normal 4 4 4 2 6 3 3" xfId="40493" xr:uid="{00000000-0005-0000-0000-000036AC0000}"/>
    <cellStyle name="Normal 4 4 4 2 6 4" xfId="20141" xr:uid="{00000000-0005-0000-0000-000037AC0000}"/>
    <cellStyle name="Normal 4 4 4 2 6 4 2" xfId="47274" xr:uid="{00000000-0005-0000-0000-000038AC0000}"/>
    <cellStyle name="Normal 4 4 4 2 6 5" xfId="33712" xr:uid="{00000000-0005-0000-0000-000039AC0000}"/>
    <cellStyle name="Normal 4 4 4 2 7" xfId="9939" xr:uid="{00000000-0005-0000-0000-00003AAC0000}"/>
    <cellStyle name="Normal 4 4 4 2 7 2" xfId="16728" xr:uid="{00000000-0005-0000-0000-00003BAC0000}"/>
    <cellStyle name="Normal 4 4 4 2 7 2 2" xfId="30296" xr:uid="{00000000-0005-0000-0000-00003CAC0000}"/>
    <cellStyle name="Normal 4 4 4 2 7 2 2 2" xfId="57429" xr:uid="{00000000-0005-0000-0000-00003DAC0000}"/>
    <cellStyle name="Normal 4 4 4 2 7 2 3" xfId="43867" xr:uid="{00000000-0005-0000-0000-00003EAC0000}"/>
    <cellStyle name="Normal 4 4 4 2 7 3" xfId="23515" xr:uid="{00000000-0005-0000-0000-00003FAC0000}"/>
    <cellStyle name="Normal 4 4 4 2 7 3 2" xfId="50648" xr:uid="{00000000-0005-0000-0000-000040AC0000}"/>
    <cellStyle name="Normal 4 4 4 2 7 4" xfId="37086" xr:uid="{00000000-0005-0000-0000-000041AC0000}"/>
    <cellStyle name="Normal 4 4 4 2 8" xfId="13339" xr:uid="{00000000-0005-0000-0000-000042AC0000}"/>
    <cellStyle name="Normal 4 4 4 2 8 2" xfId="26907" xr:uid="{00000000-0005-0000-0000-000043AC0000}"/>
    <cellStyle name="Normal 4 4 4 2 8 2 2" xfId="54040" xr:uid="{00000000-0005-0000-0000-000044AC0000}"/>
    <cellStyle name="Normal 4 4 4 2 8 3" xfId="40478" xr:uid="{00000000-0005-0000-0000-000045AC0000}"/>
    <cellStyle name="Normal 4 4 4 2 9" xfId="20126" xr:uid="{00000000-0005-0000-0000-000046AC0000}"/>
    <cellStyle name="Normal 4 4 4 2 9 2" xfId="47259" xr:uid="{00000000-0005-0000-0000-000047AC0000}"/>
    <cellStyle name="Normal 4 4 4 3" xfId="6422" xr:uid="{00000000-0005-0000-0000-000048AC0000}"/>
    <cellStyle name="Normal 4 4 4 3 2" xfId="6423" xr:uid="{00000000-0005-0000-0000-000049AC0000}"/>
    <cellStyle name="Normal 4 4 4 3 2 2" xfId="6424" xr:uid="{00000000-0005-0000-0000-00004AAC0000}"/>
    <cellStyle name="Normal 4 4 4 3 2 2 2" xfId="9957" xr:uid="{00000000-0005-0000-0000-00004BAC0000}"/>
    <cellStyle name="Normal 4 4 4 3 2 2 2 2" xfId="16746" xr:uid="{00000000-0005-0000-0000-00004CAC0000}"/>
    <cellStyle name="Normal 4 4 4 3 2 2 2 2 2" xfId="30314" xr:uid="{00000000-0005-0000-0000-00004DAC0000}"/>
    <cellStyle name="Normal 4 4 4 3 2 2 2 2 2 2" xfId="57447" xr:uid="{00000000-0005-0000-0000-00004EAC0000}"/>
    <cellStyle name="Normal 4 4 4 3 2 2 2 2 3" xfId="43885" xr:uid="{00000000-0005-0000-0000-00004FAC0000}"/>
    <cellStyle name="Normal 4 4 4 3 2 2 2 3" xfId="23533" xr:uid="{00000000-0005-0000-0000-000050AC0000}"/>
    <cellStyle name="Normal 4 4 4 3 2 2 2 3 2" xfId="50666" xr:uid="{00000000-0005-0000-0000-000051AC0000}"/>
    <cellStyle name="Normal 4 4 4 3 2 2 2 4" xfId="37104" xr:uid="{00000000-0005-0000-0000-000052AC0000}"/>
    <cellStyle name="Normal 4 4 4 3 2 2 3" xfId="13357" xr:uid="{00000000-0005-0000-0000-000053AC0000}"/>
    <cellStyle name="Normal 4 4 4 3 2 2 3 2" xfId="26925" xr:uid="{00000000-0005-0000-0000-000054AC0000}"/>
    <cellStyle name="Normal 4 4 4 3 2 2 3 2 2" xfId="54058" xr:uid="{00000000-0005-0000-0000-000055AC0000}"/>
    <cellStyle name="Normal 4 4 4 3 2 2 3 3" xfId="40496" xr:uid="{00000000-0005-0000-0000-000056AC0000}"/>
    <cellStyle name="Normal 4 4 4 3 2 2 4" xfId="20144" xr:uid="{00000000-0005-0000-0000-000057AC0000}"/>
    <cellStyle name="Normal 4 4 4 3 2 2 4 2" xfId="47277" xr:uid="{00000000-0005-0000-0000-000058AC0000}"/>
    <cellStyle name="Normal 4 4 4 3 2 2 5" xfId="33715" xr:uid="{00000000-0005-0000-0000-000059AC0000}"/>
    <cellStyle name="Normal 4 4 4 3 2 3" xfId="6425" xr:uid="{00000000-0005-0000-0000-00005AAC0000}"/>
    <cellStyle name="Normal 4 4 4 3 2 3 2" xfId="9958" xr:uid="{00000000-0005-0000-0000-00005BAC0000}"/>
    <cellStyle name="Normal 4 4 4 3 2 3 2 2" xfId="16747" xr:uid="{00000000-0005-0000-0000-00005CAC0000}"/>
    <cellStyle name="Normal 4 4 4 3 2 3 2 2 2" xfId="30315" xr:uid="{00000000-0005-0000-0000-00005DAC0000}"/>
    <cellStyle name="Normal 4 4 4 3 2 3 2 2 2 2" xfId="57448" xr:uid="{00000000-0005-0000-0000-00005EAC0000}"/>
    <cellStyle name="Normal 4 4 4 3 2 3 2 2 3" xfId="43886" xr:uid="{00000000-0005-0000-0000-00005FAC0000}"/>
    <cellStyle name="Normal 4 4 4 3 2 3 2 3" xfId="23534" xr:uid="{00000000-0005-0000-0000-000060AC0000}"/>
    <cellStyle name="Normal 4 4 4 3 2 3 2 3 2" xfId="50667" xr:uid="{00000000-0005-0000-0000-000061AC0000}"/>
    <cellStyle name="Normal 4 4 4 3 2 3 2 4" xfId="37105" xr:uid="{00000000-0005-0000-0000-000062AC0000}"/>
    <cellStyle name="Normal 4 4 4 3 2 3 3" xfId="13358" xr:uid="{00000000-0005-0000-0000-000063AC0000}"/>
    <cellStyle name="Normal 4 4 4 3 2 3 3 2" xfId="26926" xr:uid="{00000000-0005-0000-0000-000064AC0000}"/>
    <cellStyle name="Normal 4 4 4 3 2 3 3 2 2" xfId="54059" xr:uid="{00000000-0005-0000-0000-000065AC0000}"/>
    <cellStyle name="Normal 4 4 4 3 2 3 3 3" xfId="40497" xr:uid="{00000000-0005-0000-0000-000066AC0000}"/>
    <cellStyle name="Normal 4 4 4 3 2 3 4" xfId="20145" xr:uid="{00000000-0005-0000-0000-000067AC0000}"/>
    <cellStyle name="Normal 4 4 4 3 2 3 4 2" xfId="47278" xr:uid="{00000000-0005-0000-0000-000068AC0000}"/>
    <cellStyle name="Normal 4 4 4 3 2 3 5" xfId="33716" xr:uid="{00000000-0005-0000-0000-000069AC0000}"/>
    <cellStyle name="Normal 4 4 4 3 2 4" xfId="9956" xr:uid="{00000000-0005-0000-0000-00006AAC0000}"/>
    <cellStyle name="Normal 4 4 4 3 2 4 2" xfId="16745" xr:uid="{00000000-0005-0000-0000-00006BAC0000}"/>
    <cellStyle name="Normal 4 4 4 3 2 4 2 2" xfId="30313" xr:uid="{00000000-0005-0000-0000-00006CAC0000}"/>
    <cellStyle name="Normal 4 4 4 3 2 4 2 2 2" xfId="57446" xr:uid="{00000000-0005-0000-0000-00006DAC0000}"/>
    <cellStyle name="Normal 4 4 4 3 2 4 2 3" xfId="43884" xr:uid="{00000000-0005-0000-0000-00006EAC0000}"/>
    <cellStyle name="Normal 4 4 4 3 2 4 3" xfId="23532" xr:uid="{00000000-0005-0000-0000-00006FAC0000}"/>
    <cellStyle name="Normal 4 4 4 3 2 4 3 2" xfId="50665" xr:uid="{00000000-0005-0000-0000-000070AC0000}"/>
    <cellStyle name="Normal 4 4 4 3 2 4 4" xfId="37103" xr:uid="{00000000-0005-0000-0000-000071AC0000}"/>
    <cellStyle name="Normal 4 4 4 3 2 5" xfId="13356" xr:uid="{00000000-0005-0000-0000-000072AC0000}"/>
    <cellStyle name="Normal 4 4 4 3 2 5 2" xfId="26924" xr:uid="{00000000-0005-0000-0000-000073AC0000}"/>
    <cellStyle name="Normal 4 4 4 3 2 5 2 2" xfId="54057" xr:uid="{00000000-0005-0000-0000-000074AC0000}"/>
    <cellStyle name="Normal 4 4 4 3 2 5 3" xfId="40495" xr:uid="{00000000-0005-0000-0000-000075AC0000}"/>
    <cellStyle name="Normal 4 4 4 3 2 6" xfId="20143" xr:uid="{00000000-0005-0000-0000-000076AC0000}"/>
    <cellStyle name="Normal 4 4 4 3 2 6 2" xfId="47276" xr:uid="{00000000-0005-0000-0000-000077AC0000}"/>
    <cellStyle name="Normal 4 4 4 3 2 7" xfId="33714" xr:uid="{00000000-0005-0000-0000-000078AC0000}"/>
    <cellStyle name="Normal 4 4 4 3 3" xfId="6426" xr:uid="{00000000-0005-0000-0000-000079AC0000}"/>
    <cellStyle name="Normal 4 4 4 3 3 2" xfId="6427" xr:uid="{00000000-0005-0000-0000-00007AAC0000}"/>
    <cellStyle name="Normal 4 4 4 3 3 2 2" xfId="9960" xr:uid="{00000000-0005-0000-0000-00007BAC0000}"/>
    <cellStyle name="Normal 4 4 4 3 3 2 2 2" xfId="16749" xr:uid="{00000000-0005-0000-0000-00007CAC0000}"/>
    <cellStyle name="Normal 4 4 4 3 3 2 2 2 2" xfId="30317" xr:uid="{00000000-0005-0000-0000-00007DAC0000}"/>
    <cellStyle name="Normal 4 4 4 3 3 2 2 2 2 2" xfId="57450" xr:uid="{00000000-0005-0000-0000-00007EAC0000}"/>
    <cellStyle name="Normal 4 4 4 3 3 2 2 2 3" xfId="43888" xr:uid="{00000000-0005-0000-0000-00007FAC0000}"/>
    <cellStyle name="Normal 4 4 4 3 3 2 2 3" xfId="23536" xr:uid="{00000000-0005-0000-0000-000080AC0000}"/>
    <cellStyle name="Normal 4 4 4 3 3 2 2 3 2" xfId="50669" xr:uid="{00000000-0005-0000-0000-000081AC0000}"/>
    <cellStyle name="Normal 4 4 4 3 3 2 2 4" xfId="37107" xr:uid="{00000000-0005-0000-0000-000082AC0000}"/>
    <cellStyle name="Normal 4 4 4 3 3 2 3" xfId="13360" xr:uid="{00000000-0005-0000-0000-000083AC0000}"/>
    <cellStyle name="Normal 4 4 4 3 3 2 3 2" xfId="26928" xr:uid="{00000000-0005-0000-0000-000084AC0000}"/>
    <cellStyle name="Normal 4 4 4 3 3 2 3 2 2" xfId="54061" xr:uid="{00000000-0005-0000-0000-000085AC0000}"/>
    <cellStyle name="Normal 4 4 4 3 3 2 3 3" xfId="40499" xr:uid="{00000000-0005-0000-0000-000086AC0000}"/>
    <cellStyle name="Normal 4 4 4 3 3 2 4" xfId="20147" xr:uid="{00000000-0005-0000-0000-000087AC0000}"/>
    <cellStyle name="Normal 4 4 4 3 3 2 4 2" xfId="47280" xr:uid="{00000000-0005-0000-0000-000088AC0000}"/>
    <cellStyle name="Normal 4 4 4 3 3 2 5" xfId="33718" xr:uid="{00000000-0005-0000-0000-000089AC0000}"/>
    <cellStyle name="Normal 4 4 4 3 3 3" xfId="9959" xr:uid="{00000000-0005-0000-0000-00008AAC0000}"/>
    <cellStyle name="Normal 4 4 4 3 3 3 2" xfId="16748" xr:uid="{00000000-0005-0000-0000-00008BAC0000}"/>
    <cellStyle name="Normal 4 4 4 3 3 3 2 2" xfId="30316" xr:uid="{00000000-0005-0000-0000-00008CAC0000}"/>
    <cellStyle name="Normal 4 4 4 3 3 3 2 2 2" xfId="57449" xr:uid="{00000000-0005-0000-0000-00008DAC0000}"/>
    <cellStyle name="Normal 4 4 4 3 3 3 2 3" xfId="43887" xr:uid="{00000000-0005-0000-0000-00008EAC0000}"/>
    <cellStyle name="Normal 4 4 4 3 3 3 3" xfId="23535" xr:uid="{00000000-0005-0000-0000-00008FAC0000}"/>
    <cellStyle name="Normal 4 4 4 3 3 3 3 2" xfId="50668" xr:uid="{00000000-0005-0000-0000-000090AC0000}"/>
    <cellStyle name="Normal 4 4 4 3 3 3 4" xfId="37106" xr:uid="{00000000-0005-0000-0000-000091AC0000}"/>
    <cellStyle name="Normal 4 4 4 3 3 4" xfId="13359" xr:uid="{00000000-0005-0000-0000-000092AC0000}"/>
    <cellStyle name="Normal 4 4 4 3 3 4 2" xfId="26927" xr:uid="{00000000-0005-0000-0000-000093AC0000}"/>
    <cellStyle name="Normal 4 4 4 3 3 4 2 2" xfId="54060" xr:uid="{00000000-0005-0000-0000-000094AC0000}"/>
    <cellStyle name="Normal 4 4 4 3 3 4 3" xfId="40498" xr:uid="{00000000-0005-0000-0000-000095AC0000}"/>
    <cellStyle name="Normal 4 4 4 3 3 5" xfId="20146" xr:uid="{00000000-0005-0000-0000-000096AC0000}"/>
    <cellStyle name="Normal 4 4 4 3 3 5 2" xfId="47279" xr:uid="{00000000-0005-0000-0000-000097AC0000}"/>
    <cellStyle name="Normal 4 4 4 3 3 6" xfId="33717" xr:uid="{00000000-0005-0000-0000-000098AC0000}"/>
    <cellStyle name="Normal 4 4 4 3 4" xfId="6428" xr:uid="{00000000-0005-0000-0000-000099AC0000}"/>
    <cellStyle name="Normal 4 4 4 3 4 2" xfId="9961" xr:uid="{00000000-0005-0000-0000-00009AAC0000}"/>
    <cellStyle name="Normal 4 4 4 3 4 2 2" xfId="16750" xr:uid="{00000000-0005-0000-0000-00009BAC0000}"/>
    <cellStyle name="Normal 4 4 4 3 4 2 2 2" xfId="30318" xr:uid="{00000000-0005-0000-0000-00009CAC0000}"/>
    <cellStyle name="Normal 4 4 4 3 4 2 2 2 2" xfId="57451" xr:uid="{00000000-0005-0000-0000-00009DAC0000}"/>
    <cellStyle name="Normal 4 4 4 3 4 2 2 3" xfId="43889" xr:uid="{00000000-0005-0000-0000-00009EAC0000}"/>
    <cellStyle name="Normal 4 4 4 3 4 2 3" xfId="23537" xr:uid="{00000000-0005-0000-0000-00009FAC0000}"/>
    <cellStyle name="Normal 4 4 4 3 4 2 3 2" xfId="50670" xr:uid="{00000000-0005-0000-0000-0000A0AC0000}"/>
    <cellStyle name="Normal 4 4 4 3 4 2 4" xfId="37108" xr:uid="{00000000-0005-0000-0000-0000A1AC0000}"/>
    <cellStyle name="Normal 4 4 4 3 4 3" xfId="13361" xr:uid="{00000000-0005-0000-0000-0000A2AC0000}"/>
    <cellStyle name="Normal 4 4 4 3 4 3 2" xfId="26929" xr:uid="{00000000-0005-0000-0000-0000A3AC0000}"/>
    <cellStyle name="Normal 4 4 4 3 4 3 2 2" xfId="54062" xr:uid="{00000000-0005-0000-0000-0000A4AC0000}"/>
    <cellStyle name="Normal 4 4 4 3 4 3 3" xfId="40500" xr:uid="{00000000-0005-0000-0000-0000A5AC0000}"/>
    <cellStyle name="Normal 4 4 4 3 4 4" xfId="20148" xr:uid="{00000000-0005-0000-0000-0000A6AC0000}"/>
    <cellStyle name="Normal 4 4 4 3 4 4 2" xfId="47281" xr:uid="{00000000-0005-0000-0000-0000A7AC0000}"/>
    <cellStyle name="Normal 4 4 4 3 4 5" xfId="33719" xr:uid="{00000000-0005-0000-0000-0000A8AC0000}"/>
    <cellStyle name="Normal 4 4 4 3 5" xfId="6429" xr:uid="{00000000-0005-0000-0000-0000A9AC0000}"/>
    <cellStyle name="Normal 4 4 4 3 5 2" xfId="9962" xr:uid="{00000000-0005-0000-0000-0000AAAC0000}"/>
    <cellStyle name="Normal 4 4 4 3 5 2 2" xfId="16751" xr:uid="{00000000-0005-0000-0000-0000ABAC0000}"/>
    <cellStyle name="Normal 4 4 4 3 5 2 2 2" xfId="30319" xr:uid="{00000000-0005-0000-0000-0000ACAC0000}"/>
    <cellStyle name="Normal 4 4 4 3 5 2 2 2 2" xfId="57452" xr:uid="{00000000-0005-0000-0000-0000ADAC0000}"/>
    <cellStyle name="Normal 4 4 4 3 5 2 2 3" xfId="43890" xr:uid="{00000000-0005-0000-0000-0000AEAC0000}"/>
    <cellStyle name="Normal 4 4 4 3 5 2 3" xfId="23538" xr:uid="{00000000-0005-0000-0000-0000AFAC0000}"/>
    <cellStyle name="Normal 4 4 4 3 5 2 3 2" xfId="50671" xr:uid="{00000000-0005-0000-0000-0000B0AC0000}"/>
    <cellStyle name="Normal 4 4 4 3 5 2 4" xfId="37109" xr:uid="{00000000-0005-0000-0000-0000B1AC0000}"/>
    <cellStyle name="Normal 4 4 4 3 5 3" xfId="13362" xr:uid="{00000000-0005-0000-0000-0000B2AC0000}"/>
    <cellStyle name="Normal 4 4 4 3 5 3 2" xfId="26930" xr:uid="{00000000-0005-0000-0000-0000B3AC0000}"/>
    <cellStyle name="Normal 4 4 4 3 5 3 2 2" xfId="54063" xr:uid="{00000000-0005-0000-0000-0000B4AC0000}"/>
    <cellStyle name="Normal 4 4 4 3 5 3 3" xfId="40501" xr:uid="{00000000-0005-0000-0000-0000B5AC0000}"/>
    <cellStyle name="Normal 4 4 4 3 5 4" xfId="20149" xr:uid="{00000000-0005-0000-0000-0000B6AC0000}"/>
    <cellStyle name="Normal 4 4 4 3 5 4 2" xfId="47282" xr:uid="{00000000-0005-0000-0000-0000B7AC0000}"/>
    <cellStyle name="Normal 4 4 4 3 5 5" xfId="33720" xr:uid="{00000000-0005-0000-0000-0000B8AC0000}"/>
    <cellStyle name="Normal 4 4 4 3 6" xfId="9955" xr:uid="{00000000-0005-0000-0000-0000B9AC0000}"/>
    <cellStyle name="Normal 4 4 4 3 6 2" xfId="16744" xr:uid="{00000000-0005-0000-0000-0000BAAC0000}"/>
    <cellStyle name="Normal 4 4 4 3 6 2 2" xfId="30312" xr:uid="{00000000-0005-0000-0000-0000BBAC0000}"/>
    <cellStyle name="Normal 4 4 4 3 6 2 2 2" xfId="57445" xr:uid="{00000000-0005-0000-0000-0000BCAC0000}"/>
    <cellStyle name="Normal 4 4 4 3 6 2 3" xfId="43883" xr:uid="{00000000-0005-0000-0000-0000BDAC0000}"/>
    <cellStyle name="Normal 4 4 4 3 6 3" xfId="23531" xr:uid="{00000000-0005-0000-0000-0000BEAC0000}"/>
    <cellStyle name="Normal 4 4 4 3 6 3 2" xfId="50664" xr:uid="{00000000-0005-0000-0000-0000BFAC0000}"/>
    <cellStyle name="Normal 4 4 4 3 6 4" xfId="37102" xr:uid="{00000000-0005-0000-0000-0000C0AC0000}"/>
    <cellStyle name="Normal 4 4 4 3 7" xfId="13355" xr:uid="{00000000-0005-0000-0000-0000C1AC0000}"/>
    <cellStyle name="Normal 4 4 4 3 7 2" xfId="26923" xr:uid="{00000000-0005-0000-0000-0000C2AC0000}"/>
    <cellStyle name="Normal 4 4 4 3 7 2 2" xfId="54056" xr:uid="{00000000-0005-0000-0000-0000C3AC0000}"/>
    <cellStyle name="Normal 4 4 4 3 7 3" xfId="40494" xr:uid="{00000000-0005-0000-0000-0000C4AC0000}"/>
    <cellStyle name="Normal 4 4 4 3 8" xfId="20142" xr:uid="{00000000-0005-0000-0000-0000C5AC0000}"/>
    <cellStyle name="Normal 4 4 4 3 8 2" xfId="47275" xr:uid="{00000000-0005-0000-0000-0000C6AC0000}"/>
    <cellStyle name="Normal 4 4 4 3 9" xfId="33713" xr:uid="{00000000-0005-0000-0000-0000C7AC0000}"/>
    <cellStyle name="Normal 4 4 4 4" xfId="6430" xr:uid="{00000000-0005-0000-0000-0000C8AC0000}"/>
    <cellStyle name="Normal 4 4 4 4 2" xfId="6431" xr:uid="{00000000-0005-0000-0000-0000C9AC0000}"/>
    <cellStyle name="Normal 4 4 4 4 2 2" xfId="6432" xr:uid="{00000000-0005-0000-0000-0000CAAC0000}"/>
    <cellStyle name="Normal 4 4 4 4 2 2 2" xfId="9965" xr:uid="{00000000-0005-0000-0000-0000CBAC0000}"/>
    <cellStyle name="Normal 4 4 4 4 2 2 2 2" xfId="16754" xr:uid="{00000000-0005-0000-0000-0000CCAC0000}"/>
    <cellStyle name="Normal 4 4 4 4 2 2 2 2 2" xfId="30322" xr:uid="{00000000-0005-0000-0000-0000CDAC0000}"/>
    <cellStyle name="Normal 4 4 4 4 2 2 2 2 2 2" xfId="57455" xr:uid="{00000000-0005-0000-0000-0000CEAC0000}"/>
    <cellStyle name="Normal 4 4 4 4 2 2 2 2 3" xfId="43893" xr:uid="{00000000-0005-0000-0000-0000CFAC0000}"/>
    <cellStyle name="Normal 4 4 4 4 2 2 2 3" xfId="23541" xr:uid="{00000000-0005-0000-0000-0000D0AC0000}"/>
    <cellStyle name="Normal 4 4 4 4 2 2 2 3 2" xfId="50674" xr:uid="{00000000-0005-0000-0000-0000D1AC0000}"/>
    <cellStyle name="Normal 4 4 4 4 2 2 2 4" xfId="37112" xr:uid="{00000000-0005-0000-0000-0000D2AC0000}"/>
    <cellStyle name="Normal 4 4 4 4 2 2 3" xfId="13365" xr:uid="{00000000-0005-0000-0000-0000D3AC0000}"/>
    <cellStyle name="Normal 4 4 4 4 2 2 3 2" xfId="26933" xr:uid="{00000000-0005-0000-0000-0000D4AC0000}"/>
    <cellStyle name="Normal 4 4 4 4 2 2 3 2 2" xfId="54066" xr:uid="{00000000-0005-0000-0000-0000D5AC0000}"/>
    <cellStyle name="Normal 4 4 4 4 2 2 3 3" xfId="40504" xr:uid="{00000000-0005-0000-0000-0000D6AC0000}"/>
    <cellStyle name="Normal 4 4 4 4 2 2 4" xfId="20152" xr:uid="{00000000-0005-0000-0000-0000D7AC0000}"/>
    <cellStyle name="Normal 4 4 4 4 2 2 4 2" xfId="47285" xr:uid="{00000000-0005-0000-0000-0000D8AC0000}"/>
    <cellStyle name="Normal 4 4 4 4 2 2 5" xfId="33723" xr:uid="{00000000-0005-0000-0000-0000D9AC0000}"/>
    <cellStyle name="Normal 4 4 4 4 2 3" xfId="6433" xr:uid="{00000000-0005-0000-0000-0000DAAC0000}"/>
    <cellStyle name="Normal 4 4 4 4 2 3 2" xfId="9966" xr:uid="{00000000-0005-0000-0000-0000DBAC0000}"/>
    <cellStyle name="Normal 4 4 4 4 2 3 2 2" xfId="16755" xr:uid="{00000000-0005-0000-0000-0000DCAC0000}"/>
    <cellStyle name="Normal 4 4 4 4 2 3 2 2 2" xfId="30323" xr:uid="{00000000-0005-0000-0000-0000DDAC0000}"/>
    <cellStyle name="Normal 4 4 4 4 2 3 2 2 2 2" xfId="57456" xr:uid="{00000000-0005-0000-0000-0000DEAC0000}"/>
    <cellStyle name="Normal 4 4 4 4 2 3 2 2 3" xfId="43894" xr:uid="{00000000-0005-0000-0000-0000DFAC0000}"/>
    <cellStyle name="Normal 4 4 4 4 2 3 2 3" xfId="23542" xr:uid="{00000000-0005-0000-0000-0000E0AC0000}"/>
    <cellStyle name="Normal 4 4 4 4 2 3 2 3 2" xfId="50675" xr:uid="{00000000-0005-0000-0000-0000E1AC0000}"/>
    <cellStyle name="Normal 4 4 4 4 2 3 2 4" xfId="37113" xr:uid="{00000000-0005-0000-0000-0000E2AC0000}"/>
    <cellStyle name="Normal 4 4 4 4 2 3 3" xfId="13366" xr:uid="{00000000-0005-0000-0000-0000E3AC0000}"/>
    <cellStyle name="Normal 4 4 4 4 2 3 3 2" xfId="26934" xr:uid="{00000000-0005-0000-0000-0000E4AC0000}"/>
    <cellStyle name="Normal 4 4 4 4 2 3 3 2 2" xfId="54067" xr:uid="{00000000-0005-0000-0000-0000E5AC0000}"/>
    <cellStyle name="Normal 4 4 4 4 2 3 3 3" xfId="40505" xr:uid="{00000000-0005-0000-0000-0000E6AC0000}"/>
    <cellStyle name="Normal 4 4 4 4 2 3 4" xfId="20153" xr:uid="{00000000-0005-0000-0000-0000E7AC0000}"/>
    <cellStyle name="Normal 4 4 4 4 2 3 4 2" xfId="47286" xr:uid="{00000000-0005-0000-0000-0000E8AC0000}"/>
    <cellStyle name="Normal 4 4 4 4 2 3 5" xfId="33724" xr:uid="{00000000-0005-0000-0000-0000E9AC0000}"/>
    <cellStyle name="Normal 4 4 4 4 2 4" xfId="9964" xr:uid="{00000000-0005-0000-0000-0000EAAC0000}"/>
    <cellStyle name="Normal 4 4 4 4 2 4 2" xfId="16753" xr:uid="{00000000-0005-0000-0000-0000EBAC0000}"/>
    <cellStyle name="Normal 4 4 4 4 2 4 2 2" xfId="30321" xr:uid="{00000000-0005-0000-0000-0000ECAC0000}"/>
    <cellStyle name="Normal 4 4 4 4 2 4 2 2 2" xfId="57454" xr:uid="{00000000-0005-0000-0000-0000EDAC0000}"/>
    <cellStyle name="Normal 4 4 4 4 2 4 2 3" xfId="43892" xr:uid="{00000000-0005-0000-0000-0000EEAC0000}"/>
    <cellStyle name="Normal 4 4 4 4 2 4 3" xfId="23540" xr:uid="{00000000-0005-0000-0000-0000EFAC0000}"/>
    <cellStyle name="Normal 4 4 4 4 2 4 3 2" xfId="50673" xr:uid="{00000000-0005-0000-0000-0000F0AC0000}"/>
    <cellStyle name="Normal 4 4 4 4 2 4 4" xfId="37111" xr:uid="{00000000-0005-0000-0000-0000F1AC0000}"/>
    <cellStyle name="Normal 4 4 4 4 2 5" xfId="13364" xr:uid="{00000000-0005-0000-0000-0000F2AC0000}"/>
    <cellStyle name="Normal 4 4 4 4 2 5 2" xfId="26932" xr:uid="{00000000-0005-0000-0000-0000F3AC0000}"/>
    <cellStyle name="Normal 4 4 4 4 2 5 2 2" xfId="54065" xr:uid="{00000000-0005-0000-0000-0000F4AC0000}"/>
    <cellStyle name="Normal 4 4 4 4 2 5 3" xfId="40503" xr:uid="{00000000-0005-0000-0000-0000F5AC0000}"/>
    <cellStyle name="Normal 4 4 4 4 2 6" xfId="20151" xr:uid="{00000000-0005-0000-0000-0000F6AC0000}"/>
    <cellStyle name="Normal 4 4 4 4 2 6 2" xfId="47284" xr:uid="{00000000-0005-0000-0000-0000F7AC0000}"/>
    <cellStyle name="Normal 4 4 4 4 2 7" xfId="33722" xr:uid="{00000000-0005-0000-0000-0000F8AC0000}"/>
    <cellStyle name="Normal 4 4 4 4 3" xfId="6434" xr:uid="{00000000-0005-0000-0000-0000F9AC0000}"/>
    <cellStyle name="Normal 4 4 4 4 3 2" xfId="9967" xr:uid="{00000000-0005-0000-0000-0000FAAC0000}"/>
    <cellStyle name="Normal 4 4 4 4 3 2 2" xfId="16756" xr:uid="{00000000-0005-0000-0000-0000FBAC0000}"/>
    <cellStyle name="Normal 4 4 4 4 3 2 2 2" xfId="30324" xr:uid="{00000000-0005-0000-0000-0000FCAC0000}"/>
    <cellStyle name="Normal 4 4 4 4 3 2 2 2 2" xfId="57457" xr:uid="{00000000-0005-0000-0000-0000FDAC0000}"/>
    <cellStyle name="Normal 4 4 4 4 3 2 2 3" xfId="43895" xr:uid="{00000000-0005-0000-0000-0000FEAC0000}"/>
    <cellStyle name="Normal 4 4 4 4 3 2 3" xfId="23543" xr:uid="{00000000-0005-0000-0000-0000FFAC0000}"/>
    <cellStyle name="Normal 4 4 4 4 3 2 3 2" xfId="50676" xr:uid="{00000000-0005-0000-0000-000000AD0000}"/>
    <cellStyle name="Normal 4 4 4 4 3 2 4" xfId="37114" xr:uid="{00000000-0005-0000-0000-000001AD0000}"/>
    <cellStyle name="Normal 4 4 4 4 3 3" xfId="13367" xr:uid="{00000000-0005-0000-0000-000002AD0000}"/>
    <cellStyle name="Normal 4 4 4 4 3 3 2" xfId="26935" xr:uid="{00000000-0005-0000-0000-000003AD0000}"/>
    <cellStyle name="Normal 4 4 4 4 3 3 2 2" xfId="54068" xr:uid="{00000000-0005-0000-0000-000004AD0000}"/>
    <cellStyle name="Normal 4 4 4 4 3 3 3" xfId="40506" xr:uid="{00000000-0005-0000-0000-000005AD0000}"/>
    <cellStyle name="Normal 4 4 4 4 3 4" xfId="20154" xr:uid="{00000000-0005-0000-0000-000006AD0000}"/>
    <cellStyle name="Normal 4 4 4 4 3 4 2" xfId="47287" xr:uid="{00000000-0005-0000-0000-000007AD0000}"/>
    <cellStyle name="Normal 4 4 4 4 3 5" xfId="33725" xr:uid="{00000000-0005-0000-0000-000008AD0000}"/>
    <cellStyle name="Normal 4 4 4 4 4" xfId="6435" xr:uid="{00000000-0005-0000-0000-000009AD0000}"/>
    <cellStyle name="Normal 4 4 4 4 4 2" xfId="9968" xr:uid="{00000000-0005-0000-0000-00000AAD0000}"/>
    <cellStyle name="Normal 4 4 4 4 4 2 2" xfId="16757" xr:uid="{00000000-0005-0000-0000-00000BAD0000}"/>
    <cellStyle name="Normal 4 4 4 4 4 2 2 2" xfId="30325" xr:uid="{00000000-0005-0000-0000-00000CAD0000}"/>
    <cellStyle name="Normal 4 4 4 4 4 2 2 2 2" xfId="57458" xr:uid="{00000000-0005-0000-0000-00000DAD0000}"/>
    <cellStyle name="Normal 4 4 4 4 4 2 2 3" xfId="43896" xr:uid="{00000000-0005-0000-0000-00000EAD0000}"/>
    <cellStyle name="Normal 4 4 4 4 4 2 3" xfId="23544" xr:uid="{00000000-0005-0000-0000-00000FAD0000}"/>
    <cellStyle name="Normal 4 4 4 4 4 2 3 2" xfId="50677" xr:uid="{00000000-0005-0000-0000-000010AD0000}"/>
    <cellStyle name="Normal 4 4 4 4 4 2 4" xfId="37115" xr:uid="{00000000-0005-0000-0000-000011AD0000}"/>
    <cellStyle name="Normal 4 4 4 4 4 3" xfId="13368" xr:uid="{00000000-0005-0000-0000-000012AD0000}"/>
    <cellStyle name="Normal 4 4 4 4 4 3 2" xfId="26936" xr:uid="{00000000-0005-0000-0000-000013AD0000}"/>
    <cellStyle name="Normal 4 4 4 4 4 3 2 2" xfId="54069" xr:uid="{00000000-0005-0000-0000-000014AD0000}"/>
    <cellStyle name="Normal 4 4 4 4 4 3 3" xfId="40507" xr:uid="{00000000-0005-0000-0000-000015AD0000}"/>
    <cellStyle name="Normal 4 4 4 4 4 4" xfId="20155" xr:uid="{00000000-0005-0000-0000-000016AD0000}"/>
    <cellStyle name="Normal 4 4 4 4 4 4 2" xfId="47288" xr:uid="{00000000-0005-0000-0000-000017AD0000}"/>
    <cellStyle name="Normal 4 4 4 4 4 5" xfId="33726" xr:uid="{00000000-0005-0000-0000-000018AD0000}"/>
    <cellStyle name="Normal 4 4 4 4 5" xfId="9963" xr:uid="{00000000-0005-0000-0000-000019AD0000}"/>
    <cellStyle name="Normal 4 4 4 4 5 2" xfId="16752" xr:uid="{00000000-0005-0000-0000-00001AAD0000}"/>
    <cellStyle name="Normal 4 4 4 4 5 2 2" xfId="30320" xr:uid="{00000000-0005-0000-0000-00001BAD0000}"/>
    <cellStyle name="Normal 4 4 4 4 5 2 2 2" xfId="57453" xr:uid="{00000000-0005-0000-0000-00001CAD0000}"/>
    <cellStyle name="Normal 4 4 4 4 5 2 3" xfId="43891" xr:uid="{00000000-0005-0000-0000-00001DAD0000}"/>
    <cellStyle name="Normal 4 4 4 4 5 3" xfId="23539" xr:uid="{00000000-0005-0000-0000-00001EAD0000}"/>
    <cellStyle name="Normal 4 4 4 4 5 3 2" xfId="50672" xr:uid="{00000000-0005-0000-0000-00001FAD0000}"/>
    <cellStyle name="Normal 4 4 4 4 5 4" xfId="37110" xr:uid="{00000000-0005-0000-0000-000020AD0000}"/>
    <cellStyle name="Normal 4 4 4 4 6" xfId="13363" xr:uid="{00000000-0005-0000-0000-000021AD0000}"/>
    <cellStyle name="Normal 4 4 4 4 6 2" xfId="26931" xr:uid="{00000000-0005-0000-0000-000022AD0000}"/>
    <cellStyle name="Normal 4 4 4 4 6 2 2" xfId="54064" xr:uid="{00000000-0005-0000-0000-000023AD0000}"/>
    <cellStyle name="Normal 4 4 4 4 6 3" xfId="40502" xr:uid="{00000000-0005-0000-0000-000024AD0000}"/>
    <cellStyle name="Normal 4 4 4 4 7" xfId="20150" xr:uid="{00000000-0005-0000-0000-000025AD0000}"/>
    <cellStyle name="Normal 4 4 4 4 7 2" xfId="47283" xr:uid="{00000000-0005-0000-0000-000026AD0000}"/>
    <cellStyle name="Normal 4 4 4 4 8" xfId="33721" xr:uid="{00000000-0005-0000-0000-000027AD0000}"/>
    <cellStyle name="Normal 4 4 4 5" xfId="6436" xr:uid="{00000000-0005-0000-0000-000028AD0000}"/>
    <cellStyle name="Normal 4 4 4 5 2" xfId="6437" xr:uid="{00000000-0005-0000-0000-000029AD0000}"/>
    <cellStyle name="Normal 4 4 4 5 2 2" xfId="9970" xr:uid="{00000000-0005-0000-0000-00002AAD0000}"/>
    <cellStyle name="Normal 4 4 4 5 2 2 2" xfId="16759" xr:uid="{00000000-0005-0000-0000-00002BAD0000}"/>
    <cellStyle name="Normal 4 4 4 5 2 2 2 2" xfId="30327" xr:uid="{00000000-0005-0000-0000-00002CAD0000}"/>
    <cellStyle name="Normal 4 4 4 5 2 2 2 2 2" xfId="57460" xr:uid="{00000000-0005-0000-0000-00002DAD0000}"/>
    <cellStyle name="Normal 4 4 4 5 2 2 2 3" xfId="43898" xr:uid="{00000000-0005-0000-0000-00002EAD0000}"/>
    <cellStyle name="Normal 4 4 4 5 2 2 3" xfId="23546" xr:uid="{00000000-0005-0000-0000-00002FAD0000}"/>
    <cellStyle name="Normal 4 4 4 5 2 2 3 2" xfId="50679" xr:uid="{00000000-0005-0000-0000-000030AD0000}"/>
    <cellStyle name="Normal 4 4 4 5 2 2 4" xfId="37117" xr:uid="{00000000-0005-0000-0000-000031AD0000}"/>
    <cellStyle name="Normal 4 4 4 5 2 3" xfId="13370" xr:uid="{00000000-0005-0000-0000-000032AD0000}"/>
    <cellStyle name="Normal 4 4 4 5 2 3 2" xfId="26938" xr:uid="{00000000-0005-0000-0000-000033AD0000}"/>
    <cellStyle name="Normal 4 4 4 5 2 3 2 2" xfId="54071" xr:uid="{00000000-0005-0000-0000-000034AD0000}"/>
    <cellStyle name="Normal 4 4 4 5 2 3 3" xfId="40509" xr:uid="{00000000-0005-0000-0000-000035AD0000}"/>
    <cellStyle name="Normal 4 4 4 5 2 4" xfId="20157" xr:uid="{00000000-0005-0000-0000-000036AD0000}"/>
    <cellStyle name="Normal 4 4 4 5 2 4 2" xfId="47290" xr:uid="{00000000-0005-0000-0000-000037AD0000}"/>
    <cellStyle name="Normal 4 4 4 5 2 5" xfId="33728" xr:uid="{00000000-0005-0000-0000-000038AD0000}"/>
    <cellStyle name="Normal 4 4 4 5 3" xfId="6438" xr:uid="{00000000-0005-0000-0000-000039AD0000}"/>
    <cellStyle name="Normal 4 4 4 5 3 2" xfId="9971" xr:uid="{00000000-0005-0000-0000-00003AAD0000}"/>
    <cellStyle name="Normal 4 4 4 5 3 2 2" xfId="16760" xr:uid="{00000000-0005-0000-0000-00003BAD0000}"/>
    <cellStyle name="Normal 4 4 4 5 3 2 2 2" xfId="30328" xr:uid="{00000000-0005-0000-0000-00003CAD0000}"/>
    <cellStyle name="Normal 4 4 4 5 3 2 2 2 2" xfId="57461" xr:uid="{00000000-0005-0000-0000-00003DAD0000}"/>
    <cellStyle name="Normal 4 4 4 5 3 2 2 3" xfId="43899" xr:uid="{00000000-0005-0000-0000-00003EAD0000}"/>
    <cellStyle name="Normal 4 4 4 5 3 2 3" xfId="23547" xr:uid="{00000000-0005-0000-0000-00003FAD0000}"/>
    <cellStyle name="Normal 4 4 4 5 3 2 3 2" xfId="50680" xr:uid="{00000000-0005-0000-0000-000040AD0000}"/>
    <cellStyle name="Normal 4 4 4 5 3 2 4" xfId="37118" xr:uid="{00000000-0005-0000-0000-000041AD0000}"/>
    <cellStyle name="Normal 4 4 4 5 3 3" xfId="13371" xr:uid="{00000000-0005-0000-0000-000042AD0000}"/>
    <cellStyle name="Normal 4 4 4 5 3 3 2" xfId="26939" xr:uid="{00000000-0005-0000-0000-000043AD0000}"/>
    <cellStyle name="Normal 4 4 4 5 3 3 2 2" xfId="54072" xr:uid="{00000000-0005-0000-0000-000044AD0000}"/>
    <cellStyle name="Normal 4 4 4 5 3 3 3" xfId="40510" xr:uid="{00000000-0005-0000-0000-000045AD0000}"/>
    <cellStyle name="Normal 4 4 4 5 3 4" xfId="20158" xr:uid="{00000000-0005-0000-0000-000046AD0000}"/>
    <cellStyle name="Normal 4 4 4 5 3 4 2" xfId="47291" xr:uid="{00000000-0005-0000-0000-000047AD0000}"/>
    <cellStyle name="Normal 4 4 4 5 3 5" xfId="33729" xr:uid="{00000000-0005-0000-0000-000048AD0000}"/>
    <cellStyle name="Normal 4 4 4 5 4" xfId="9969" xr:uid="{00000000-0005-0000-0000-000049AD0000}"/>
    <cellStyle name="Normal 4 4 4 5 4 2" xfId="16758" xr:uid="{00000000-0005-0000-0000-00004AAD0000}"/>
    <cellStyle name="Normal 4 4 4 5 4 2 2" xfId="30326" xr:uid="{00000000-0005-0000-0000-00004BAD0000}"/>
    <cellStyle name="Normal 4 4 4 5 4 2 2 2" xfId="57459" xr:uid="{00000000-0005-0000-0000-00004CAD0000}"/>
    <cellStyle name="Normal 4 4 4 5 4 2 3" xfId="43897" xr:uid="{00000000-0005-0000-0000-00004DAD0000}"/>
    <cellStyle name="Normal 4 4 4 5 4 3" xfId="23545" xr:uid="{00000000-0005-0000-0000-00004EAD0000}"/>
    <cellStyle name="Normal 4 4 4 5 4 3 2" xfId="50678" xr:uid="{00000000-0005-0000-0000-00004FAD0000}"/>
    <cellStyle name="Normal 4 4 4 5 4 4" xfId="37116" xr:uid="{00000000-0005-0000-0000-000050AD0000}"/>
    <cellStyle name="Normal 4 4 4 5 5" xfId="13369" xr:uid="{00000000-0005-0000-0000-000051AD0000}"/>
    <cellStyle name="Normal 4 4 4 5 5 2" xfId="26937" xr:uid="{00000000-0005-0000-0000-000052AD0000}"/>
    <cellStyle name="Normal 4 4 4 5 5 2 2" xfId="54070" xr:uid="{00000000-0005-0000-0000-000053AD0000}"/>
    <cellStyle name="Normal 4 4 4 5 5 3" xfId="40508" xr:uid="{00000000-0005-0000-0000-000054AD0000}"/>
    <cellStyle name="Normal 4 4 4 5 6" xfId="20156" xr:uid="{00000000-0005-0000-0000-000055AD0000}"/>
    <cellStyle name="Normal 4 4 4 5 6 2" xfId="47289" xr:uid="{00000000-0005-0000-0000-000056AD0000}"/>
    <cellStyle name="Normal 4 4 4 5 7" xfId="33727" xr:uid="{00000000-0005-0000-0000-000057AD0000}"/>
    <cellStyle name="Normal 4 4 4 6" xfId="6439" xr:uid="{00000000-0005-0000-0000-000058AD0000}"/>
    <cellStyle name="Normal 4 4 4 6 2" xfId="6440" xr:uid="{00000000-0005-0000-0000-000059AD0000}"/>
    <cellStyle name="Normal 4 4 4 6 2 2" xfId="9973" xr:uid="{00000000-0005-0000-0000-00005AAD0000}"/>
    <cellStyle name="Normal 4 4 4 6 2 2 2" xfId="16762" xr:uid="{00000000-0005-0000-0000-00005BAD0000}"/>
    <cellStyle name="Normal 4 4 4 6 2 2 2 2" xfId="30330" xr:uid="{00000000-0005-0000-0000-00005CAD0000}"/>
    <cellStyle name="Normal 4 4 4 6 2 2 2 2 2" xfId="57463" xr:uid="{00000000-0005-0000-0000-00005DAD0000}"/>
    <cellStyle name="Normal 4 4 4 6 2 2 2 3" xfId="43901" xr:uid="{00000000-0005-0000-0000-00005EAD0000}"/>
    <cellStyle name="Normal 4 4 4 6 2 2 3" xfId="23549" xr:uid="{00000000-0005-0000-0000-00005FAD0000}"/>
    <cellStyle name="Normal 4 4 4 6 2 2 3 2" xfId="50682" xr:uid="{00000000-0005-0000-0000-000060AD0000}"/>
    <cellStyle name="Normal 4 4 4 6 2 2 4" xfId="37120" xr:uid="{00000000-0005-0000-0000-000061AD0000}"/>
    <cellStyle name="Normal 4 4 4 6 2 3" xfId="13373" xr:uid="{00000000-0005-0000-0000-000062AD0000}"/>
    <cellStyle name="Normal 4 4 4 6 2 3 2" xfId="26941" xr:uid="{00000000-0005-0000-0000-000063AD0000}"/>
    <cellStyle name="Normal 4 4 4 6 2 3 2 2" xfId="54074" xr:uid="{00000000-0005-0000-0000-000064AD0000}"/>
    <cellStyle name="Normal 4 4 4 6 2 3 3" xfId="40512" xr:uid="{00000000-0005-0000-0000-000065AD0000}"/>
    <cellStyle name="Normal 4 4 4 6 2 4" xfId="20160" xr:uid="{00000000-0005-0000-0000-000066AD0000}"/>
    <cellStyle name="Normal 4 4 4 6 2 4 2" xfId="47293" xr:uid="{00000000-0005-0000-0000-000067AD0000}"/>
    <cellStyle name="Normal 4 4 4 6 2 5" xfId="33731" xr:uid="{00000000-0005-0000-0000-000068AD0000}"/>
    <cellStyle name="Normal 4 4 4 6 3" xfId="9972" xr:uid="{00000000-0005-0000-0000-000069AD0000}"/>
    <cellStyle name="Normal 4 4 4 6 3 2" xfId="16761" xr:uid="{00000000-0005-0000-0000-00006AAD0000}"/>
    <cellStyle name="Normal 4 4 4 6 3 2 2" xfId="30329" xr:uid="{00000000-0005-0000-0000-00006BAD0000}"/>
    <cellStyle name="Normal 4 4 4 6 3 2 2 2" xfId="57462" xr:uid="{00000000-0005-0000-0000-00006CAD0000}"/>
    <cellStyle name="Normal 4 4 4 6 3 2 3" xfId="43900" xr:uid="{00000000-0005-0000-0000-00006DAD0000}"/>
    <cellStyle name="Normal 4 4 4 6 3 3" xfId="23548" xr:uid="{00000000-0005-0000-0000-00006EAD0000}"/>
    <cellStyle name="Normal 4 4 4 6 3 3 2" xfId="50681" xr:uid="{00000000-0005-0000-0000-00006FAD0000}"/>
    <cellStyle name="Normal 4 4 4 6 3 4" xfId="37119" xr:uid="{00000000-0005-0000-0000-000070AD0000}"/>
    <cellStyle name="Normal 4 4 4 6 4" xfId="13372" xr:uid="{00000000-0005-0000-0000-000071AD0000}"/>
    <cellStyle name="Normal 4 4 4 6 4 2" xfId="26940" xr:uid="{00000000-0005-0000-0000-000072AD0000}"/>
    <cellStyle name="Normal 4 4 4 6 4 2 2" xfId="54073" xr:uid="{00000000-0005-0000-0000-000073AD0000}"/>
    <cellStyle name="Normal 4 4 4 6 4 3" xfId="40511" xr:uid="{00000000-0005-0000-0000-000074AD0000}"/>
    <cellStyle name="Normal 4 4 4 6 5" xfId="20159" xr:uid="{00000000-0005-0000-0000-000075AD0000}"/>
    <cellStyle name="Normal 4 4 4 6 5 2" xfId="47292" xr:uid="{00000000-0005-0000-0000-000076AD0000}"/>
    <cellStyle name="Normal 4 4 4 6 6" xfId="33730" xr:uid="{00000000-0005-0000-0000-000077AD0000}"/>
    <cellStyle name="Normal 4 4 4 7" xfId="6441" xr:uid="{00000000-0005-0000-0000-000078AD0000}"/>
    <cellStyle name="Normal 4 4 4 7 2" xfId="9974" xr:uid="{00000000-0005-0000-0000-000079AD0000}"/>
    <cellStyle name="Normal 4 4 4 7 2 2" xfId="16763" xr:uid="{00000000-0005-0000-0000-00007AAD0000}"/>
    <cellStyle name="Normal 4 4 4 7 2 2 2" xfId="30331" xr:uid="{00000000-0005-0000-0000-00007BAD0000}"/>
    <cellStyle name="Normal 4 4 4 7 2 2 2 2" xfId="57464" xr:uid="{00000000-0005-0000-0000-00007CAD0000}"/>
    <cellStyle name="Normal 4 4 4 7 2 2 3" xfId="43902" xr:uid="{00000000-0005-0000-0000-00007DAD0000}"/>
    <cellStyle name="Normal 4 4 4 7 2 3" xfId="23550" xr:uid="{00000000-0005-0000-0000-00007EAD0000}"/>
    <cellStyle name="Normal 4 4 4 7 2 3 2" xfId="50683" xr:uid="{00000000-0005-0000-0000-00007FAD0000}"/>
    <cellStyle name="Normal 4 4 4 7 2 4" xfId="37121" xr:uid="{00000000-0005-0000-0000-000080AD0000}"/>
    <cellStyle name="Normal 4 4 4 7 3" xfId="13374" xr:uid="{00000000-0005-0000-0000-000081AD0000}"/>
    <cellStyle name="Normal 4 4 4 7 3 2" xfId="26942" xr:uid="{00000000-0005-0000-0000-000082AD0000}"/>
    <cellStyle name="Normal 4 4 4 7 3 2 2" xfId="54075" xr:uid="{00000000-0005-0000-0000-000083AD0000}"/>
    <cellStyle name="Normal 4 4 4 7 3 3" xfId="40513" xr:uid="{00000000-0005-0000-0000-000084AD0000}"/>
    <cellStyle name="Normal 4 4 4 7 4" xfId="20161" xr:uid="{00000000-0005-0000-0000-000085AD0000}"/>
    <cellStyle name="Normal 4 4 4 7 4 2" xfId="47294" xr:uid="{00000000-0005-0000-0000-000086AD0000}"/>
    <cellStyle name="Normal 4 4 4 7 5" xfId="33732" xr:uid="{00000000-0005-0000-0000-000087AD0000}"/>
    <cellStyle name="Normal 4 4 4 8" xfId="6442" xr:uid="{00000000-0005-0000-0000-000088AD0000}"/>
    <cellStyle name="Normal 4 4 4 8 2" xfId="9975" xr:uid="{00000000-0005-0000-0000-000089AD0000}"/>
    <cellStyle name="Normal 4 4 4 8 2 2" xfId="16764" xr:uid="{00000000-0005-0000-0000-00008AAD0000}"/>
    <cellStyle name="Normal 4 4 4 8 2 2 2" xfId="30332" xr:uid="{00000000-0005-0000-0000-00008BAD0000}"/>
    <cellStyle name="Normal 4 4 4 8 2 2 2 2" xfId="57465" xr:uid="{00000000-0005-0000-0000-00008CAD0000}"/>
    <cellStyle name="Normal 4 4 4 8 2 2 3" xfId="43903" xr:uid="{00000000-0005-0000-0000-00008DAD0000}"/>
    <cellStyle name="Normal 4 4 4 8 2 3" xfId="23551" xr:uid="{00000000-0005-0000-0000-00008EAD0000}"/>
    <cellStyle name="Normal 4 4 4 8 2 3 2" xfId="50684" xr:uid="{00000000-0005-0000-0000-00008FAD0000}"/>
    <cellStyle name="Normal 4 4 4 8 2 4" xfId="37122" xr:uid="{00000000-0005-0000-0000-000090AD0000}"/>
    <cellStyle name="Normal 4 4 4 8 3" xfId="13375" xr:uid="{00000000-0005-0000-0000-000091AD0000}"/>
    <cellStyle name="Normal 4 4 4 8 3 2" xfId="26943" xr:uid="{00000000-0005-0000-0000-000092AD0000}"/>
    <cellStyle name="Normal 4 4 4 8 3 2 2" xfId="54076" xr:uid="{00000000-0005-0000-0000-000093AD0000}"/>
    <cellStyle name="Normal 4 4 4 8 3 3" xfId="40514" xr:uid="{00000000-0005-0000-0000-000094AD0000}"/>
    <cellStyle name="Normal 4 4 4 8 4" xfId="20162" xr:uid="{00000000-0005-0000-0000-000095AD0000}"/>
    <cellStyle name="Normal 4 4 4 8 4 2" xfId="47295" xr:uid="{00000000-0005-0000-0000-000096AD0000}"/>
    <cellStyle name="Normal 4 4 4 8 5" xfId="33733" xr:uid="{00000000-0005-0000-0000-000097AD0000}"/>
    <cellStyle name="Normal 4 4 4 9" xfId="9938" xr:uid="{00000000-0005-0000-0000-000098AD0000}"/>
    <cellStyle name="Normal 4 4 4 9 2" xfId="16727" xr:uid="{00000000-0005-0000-0000-000099AD0000}"/>
    <cellStyle name="Normal 4 4 4 9 2 2" xfId="30295" xr:uid="{00000000-0005-0000-0000-00009AAD0000}"/>
    <cellStyle name="Normal 4 4 4 9 2 2 2" xfId="57428" xr:uid="{00000000-0005-0000-0000-00009BAD0000}"/>
    <cellStyle name="Normal 4 4 4 9 2 3" xfId="43866" xr:uid="{00000000-0005-0000-0000-00009CAD0000}"/>
    <cellStyle name="Normal 4 4 4 9 3" xfId="23514" xr:uid="{00000000-0005-0000-0000-00009DAD0000}"/>
    <cellStyle name="Normal 4 4 4 9 3 2" xfId="50647" xr:uid="{00000000-0005-0000-0000-00009EAD0000}"/>
    <cellStyle name="Normal 4 4 4 9 4" xfId="37085" xr:uid="{00000000-0005-0000-0000-00009FAD0000}"/>
    <cellStyle name="Normal 4 4 5" xfId="6443" xr:uid="{00000000-0005-0000-0000-0000A0AD0000}"/>
    <cellStyle name="Normal 4 4 5 10" xfId="33734" xr:uid="{00000000-0005-0000-0000-0000A1AD0000}"/>
    <cellStyle name="Normal 4 4 5 2" xfId="6444" xr:uid="{00000000-0005-0000-0000-0000A2AD0000}"/>
    <cellStyle name="Normal 4 4 5 2 2" xfId="6445" xr:uid="{00000000-0005-0000-0000-0000A3AD0000}"/>
    <cellStyle name="Normal 4 4 5 2 2 2" xfId="6446" xr:uid="{00000000-0005-0000-0000-0000A4AD0000}"/>
    <cellStyle name="Normal 4 4 5 2 2 2 2" xfId="9979" xr:uid="{00000000-0005-0000-0000-0000A5AD0000}"/>
    <cellStyle name="Normal 4 4 5 2 2 2 2 2" xfId="16768" xr:uid="{00000000-0005-0000-0000-0000A6AD0000}"/>
    <cellStyle name="Normal 4 4 5 2 2 2 2 2 2" xfId="30336" xr:uid="{00000000-0005-0000-0000-0000A7AD0000}"/>
    <cellStyle name="Normal 4 4 5 2 2 2 2 2 2 2" xfId="57469" xr:uid="{00000000-0005-0000-0000-0000A8AD0000}"/>
    <cellStyle name="Normal 4 4 5 2 2 2 2 2 3" xfId="43907" xr:uid="{00000000-0005-0000-0000-0000A9AD0000}"/>
    <cellStyle name="Normal 4 4 5 2 2 2 2 3" xfId="23555" xr:uid="{00000000-0005-0000-0000-0000AAAD0000}"/>
    <cellStyle name="Normal 4 4 5 2 2 2 2 3 2" xfId="50688" xr:uid="{00000000-0005-0000-0000-0000ABAD0000}"/>
    <cellStyle name="Normal 4 4 5 2 2 2 2 4" xfId="37126" xr:uid="{00000000-0005-0000-0000-0000ACAD0000}"/>
    <cellStyle name="Normal 4 4 5 2 2 2 3" xfId="13379" xr:uid="{00000000-0005-0000-0000-0000ADAD0000}"/>
    <cellStyle name="Normal 4 4 5 2 2 2 3 2" xfId="26947" xr:uid="{00000000-0005-0000-0000-0000AEAD0000}"/>
    <cellStyle name="Normal 4 4 5 2 2 2 3 2 2" xfId="54080" xr:uid="{00000000-0005-0000-0000-0000AFAD0000}"/>
    <cellStyle name="Normal 4 4 5 2 2 2 3 3" xfId="40518" xr:uid="{00000000-0005-0000-0000-0000B0AD0000}"/>
    <cellStyle name="Normal 4 4 5 2 2 2 4" xfId="20166" xr:uid="{00000000-0005-0000-0000-0000B1AD0000}"/>
    <cellStyle name="Normal 4 4 5 2 2 2 4 2" xfId="47299" xr:uid="{00000000-0005-0000-0000-0000B2AD0000}"/>
    <cellStyle name="Normal 4 4 5 2 2 2 5" xfId="33737" xr:uid="{00000000-0005-0000-0000-0000B3AD0000}"/>
    <cellStyle name="Normal 4 4 5 2 2 3" xfId="6447" xr:uid="{00000000-0005-0000-0000-0000B4AD0000}"/>
    <cellStyle name="Normal 4 4 5 2 2 3 2" xfId="9980" xr:uid="{00000000-0005-0000-0000-0000B5AD0000}"/>
    <cellStyle name="Normal 4 4 5 2 2 3 2 2" xfId="16769" xr:uid="{00000000-0005-0000-0000-0000B6AD0000}"/>
    <cellStyle name="Normal 4 4 5 2 2 3 2 2 2" xfId="30337" xr:uid="{00000000-0005-0000-0000-0000B7AD0000}"/>
    <cellStyle name="Normal 4 4 5 2 2 3 2 2 2 2" xfId="57470" xr:uid="{00000000-0005-0000-0000-0000B8AD0000}"/>
    <cellStyle name="Normal 4 4 5 2 2 3 2 2 3" xfId="43908" xr:uid="{00000000-0005-0000-0000-0000B9AD0000}"/>
    <cellStyle name="Normal 4 4 5 2 2 3 2 3" xfId="23556" xr:uid="{00000000-0005-0000-0000-0000BAAD0000}"/>
    <cellStyle name="Normal 4 4 5 2 2 3 2 3 2" xfId="50689" xr:uid="{00000000-0005-0000-0000-0000BBAD0000}"/>
    <cellStyle name="Normal 4 4 5 2 2 3 2 4" xfId="37127" xr:uid="{00000000-0005-0000-0000-0000BCAD0000}"/>
    <cellStyle name="Normal 4 4 5 2 2 3 3" xfId="13380" xr:uid="{00000000-0005-0000-0000-0000BDAD0000}"/>
    <cellStyle name="Normal 4 4 5 2 2 3 3 2" xfId="26948" xr:uid="{00000000-0005-0000-0000-0000BEAD0000}"/>
    <cellStyle name="Normal 4 4 5 2 2 3 3 2 2" xfId="54081" xr:uid="{00000000-0005-0000-0000-0000BFAD0000}"/>
    <cellStyle name="Normal 4 4 5 2 2 3 3 3" xfId="40519" xr:uid="{00000000-0005-0000-0000-0000C0AD0000}"/>
    <cellStyle name="Normal 4 4 5 2 2 3 4" xfId="20167" xr:uid="{00000000-0005-0000-0000-0000C1AD0000}"/>
    <cellStyle name="Normal 4 4 5 2 2 3 4 2" xfId="47300" xr:uid="{00000000-0005-0000-0000-0000C2AD0000}"/>
    <cellStyle name="Normal 4 4 5 2 2 3 5" xfId="33738" xr:uid="{00000000-0005-0000-0000-0000C3AD0000}"/>
    <cellStyle name="Normal 4 4 5 2 2 4" xfId="9978" xr:uid="{00000000-0005-0000-0000-0000C4AD0000}"/>
    <cellStyle name="Normal 4 4 5 2 2 4 2" xfId="16767" xr:uid="{00000000-0005-0000-0000-0000C5AD0000}"/>
    <cellStyle name="Normal 4 4 5 2 2 4 2 2" xfId="30335" xr:uid="{00000000-0005-0000-0000-0000C6AD0000}"/>
    <cellStyle name="Normal 4 4 5 2 2 4 2 2 2" xfId="57468" xr:uid="{00000000-0005-0000-0000-0000C7AD0000}"/>
    <cellStyle name="Normal 4 4 5 2 2 4 2 3" xfId="43906" xr:uid="{00000000-0005-0000-0000-0000C8AD0000}"/>
    <cellStyle name="Normal 4 4 5 2 2 4 3" xfId="23554" xr:uid="{00000000-0005-0000-0000-0000C9AD0000}"/>
    <cellStyle name="Normal 4 4 5 2 2 4 3 2" xfId="50687" xr:uid="{00000000-0005-0000-0000-0000CAAD0000}"/>
    <cellStyle name="Normal 4 4 5 2 2 4 4" xfId="37125" xr:uid="{00000000-0005-0000-0000-0000CBAD0000}"/>
    <cellStyle name="Normal 4 4 5 2 2 5" xfId="13378" xr:uid="{00000000-0005-0000-0000-0000CCAD0000}"/>
    <cellStyle name="Normal 4 4 5 2 2 5 2" xfId="26946" xr:uid="{00000000-0005-0000-0000-0000CDAD0000}"/>
    <cellStyle name="Normal 4 4 5 2 2 5 2 2" xfId="54079" xr:uid="{00000000-0005-0000-0000-0000CEAD0000}"/>
    <cellStyle name="Normal 4 4 5 2 2 5 3" xfId="40517" xr:uid="{00000000-0005-0000-0000-0000CFAD0000}"/>
    <cellStyle name="Normal 4 4 5 2 2 6" xfId="20165" xr:uid="{00000000-0005-0000-0000-0000D0AD0000}"/>
    <cellStyle name="Normal 4 4 5 2 2 6 2" xfId="47298" xr:uid="{00000000-0005-0000-0000-0000D1AD0000}"/>
    <cellStyle name="Normal 4 4 5 2 2 7" xfId="33736" xr:uid="{00000000-0005-0000-0000-0000D2AD0000}"/>
    <cellStyle name="Normal 4 4 5 2 3" xfId="6448" xr:uid="{00000000-0005-0000-0000-0000D3AD0000}"/>
    <cellStyle name="Normal 4 4 5 2 3 2" xfId="6449" xr:uid="{00000000-0005-0000-0000-0000D4AD0000}"/>
    <cellStyle name="Normal 4 4 5 2 3 2 2" xfId="9982" xr:uid="{00000000-0005-0000-0000-0000D5AD0000}"/>
    <cellStyle name="Normal 4 4 5 2 3 2 2 2" xfId="16771" xr:uid="{00000000-0005-0000-0000-0000D6AD0000}"/>
    <cellStyle name="Normal 4 4 5 2 3 2 2 2 2" xfId="30339" xr:uid="{00000000-0005-0000-0000-0000D7AD0000}"/>
    <cellStyle name="Normal 4 4 5 2 3 2 2 2 2 2" xfId="57472" xr:uid="{00000000-0005-0000-0000-0000D8AD0000}"/>
    <cellStyle name="Normal 4 4 5 2 3 2 2 2 3" xfId="43910" xr:uid="{00000000-0005-0000-0000-0000D9AD0000}"/>
    <cellStyle name="Normal 4 4 5 2 3 2 2 3" xfId="23558" xr:uid="{00000000-0005-0000-0000-0000DAAD0000}"/>
    <cellStyle name="Normal 4 4 5 2 3 2 2 3 2" xfId="50691" xr:uid="{00000000-0005-0000-0000-0000DBAD0000}"/>
    <cellStyle name="Normal 4 4 5 2 3 2 2 4" xfId="37129" xr:uid="{00000000-0005-0000-0000-0000DCAD0000}"/>
    <cellStyle name="Normal 4 4 5 2 3 2 3" xfId="13382" xr:uid="{00000000-0005-0000-0000-0000DDAD0000}"/>
    <cellStyle name="Normal 4 4 5 2 3 2 3 2" xfId="26950" xr:uid="{00000000-0005-0000-0000-0000DEAD0000}"/>
    <cellStyle name="Normal 4 4 5 2 3 2 3 2 2" xfId="54083" xr:uid="{00000000-0005-0000-0000-0000DFAD0000}"/>
    <cellStyle name="Normal 4 4 5 2 3 2 3 3" xfId="40521" xr:uid="{00000000-0005-0000-0000-0000E0AD0000}"/>
    <cellStyle name="Normal 4 4 5 2 3 2 4" xfId="20169" xr:uid="{00000000-0005-0000-0000-0000E1AD0000}"/>
    <cellStyle name="Normal 4 4 5 2 3 2 4 2" xfId="47302" xr:uid="{00000000-0005-0000-0000-0000E2AD0000}"/>
    <cellStyle name="Normal 4 4 5 2 3 2 5" xfId="33740" xr:uid="{00000000-0005-0000-0000-0000E3AD0000}"/>
    <cellStyle name="Normal 4 4 5 2 3 3" xfId="9981" xr:uid="{00000000-0005-0000-0000-0000E4AD0000}"/>
    <cellStyle name="Normal 4 4 5 2 3 3 2" xfId="16770" xr:uid="{00000000-0005-0000-0000-0000E5AD0000}"/>
    <cellStyle name="Normal 4 4 5 2 3 3 2 2" xfId="30338" xr:uid="{00000000-0005-0000-0000-0000E6AD0000}"/>
    <cellStyle name="Normal 4 4 5 2 3 3 2 2 2" xfId="57471" xr:uid="{00000000-0005-0000-0000-0000E7AD0000}"/>
    <cellStyle name="Normal 4 4 5 2 3 3 2 3" xfId="43909" xr:uid="{00000000-0005-0000-0000-0000E8AD0000}"/>
    <cellStyle name="Normal 4 4 5 2 3 3 3" xfId="23557" xr:uid="{00000000-0005-0000-0000-0000E9AD0000}"/>
    <cellStyle name="Normal 4 4 5 2 3 3 3 2" xfId="50690" xr:uid="{00000000-0005-0000-0000-0000EAAD0000}"/>
    <cellStyle name="Normal 4 4 5 2 3 3 4" xfId="37128" xr:uid="{00000000-0005-0000-0000-0000EBAD0000}"/>
    <cellStyle name="Normal 4 4 5 2 3 4" xfId="13381" xr:uid="{00000000-0005-0000-0000-0000ECAD0000}"/>
    <cellStyle name="Normal 4 4 5 2 3 4 2" xfId="26949" xr:uid="{00000000-0005-0000-0000-0000EDAD0000}"/>
    <cellStyle name="Normal 4 4 5 2 3 4 2 2" xfId="54082" xr:uid="{00000000-0005-0000-0000-0000EEAD0000}"/>
    <cellStyle name="Normal 4 4 5 2 3 4 3" xfId="40520" xr:uid="{00000000-0005-0000-0000-0000EFAD0000}"/>
    <cellStyle name="Normal 4 4 5 2 3 5" xfId="20168" xr:uid="{00000000-0005-0000-0000-0000F0AD0000}"/>
    <cellStyle name="Normal 4 4 5 2 3 5 2" xfId="47301" xr:uid="{00000000-0005-0000-0000-0000F1AD0000}"/>
    <cellStyle name="Normal 4 4 5 2 3 6" xfId="33739" xr:uid="{00000000-0005-0000-0000-0000F2AD0000}"/>
    <cellStyle name="Normal 4 4 5 2 4" xfId="6450" xr:uid="{00000000-0005-0000-0000-0000F3AD0000}"/>
    <cellStyle name="Normal 4 4 5 2 4 2" xfId="9983" xr:uid="{00000000-0005-0000-0000-0000F4AD0000}"/>
    <cellStyle name="Normal 4 4 5 2 4 2 2" xfId="16772" xr:uid="{00000000-0005-0000-0000-0000F5AD0000}"/>
    <cellStyle name="Normal 4 4 5 2 4 2 2 2" xfId="30340" xr:uid="{00000000-0005-0000-0000-0000F6AD0000}"/>
    <cellStyle name="Normal 4 4 5 2 4 2 2 2 2" xfId="57473" xr:uid="{00000000-0005-0000-0000-0000F7AD0000}"/>
    <cellStyle name="Normal 4 4 5 2 4 2 2 3" xfId="43911" xr:uid="{00000000-0005-0000-0000-0000F8AD0000}"/>
    <cellStyle name="Normal 4 4 5 2 4 2 3" xfId="23559" xr:uid="{00000000-0005-0000-0000-0000F9AD0000}"/>
    <cellStyle name="Normal 4 4 5 2 4 2 3 2" xfId="50692" xr:uid="{00000000-0005-0000-0000-0000FAAD0000}"/>
    <cellStyle name="Normal 4 4 5 2 4 2 4" xfId="37130" xr:uid="{00000000-0005-0000-0000-0000FBAD0000}"/>
    <cellStyle name="Normal 4 4 5 2 4 3" xfId="13383" xr:uid="{00000000-0005-0000-0000-0000FCAD0000}"/>
    <cellStyle name="Normal 4 4 5 2 4 3 2" xfId="26951" xr:uid="{00000000-0005-0000-0000-0000FDAD0000}"/>
    <cellStyle name="Normal 4 4 5 2 4 3 2 2" xfId="54084" xr:uid="{00000000-0005-0000-0000-0000FEAD0000}"/>
    <cellStyle name="Normal 4 4 5 2 4 3 3" xfId="40522" xr:uid="{00000000-0005-0000-0000-0000FFAD0000}"/>
    <cellStyle name="Normal 4 4 5 2 4 4" xfId="20170" xr:uid="{00000000-0005-0000-0000-000000AE0000}"/>
    <cellStyle name="Normal 4 4 5 2 4 4 2" xfId="47303" xr:uid="{00000000-0005-0000-0000-000001AE0000}"/>
    <cellStyle name="Normal 4 4 5 2 4 5" xfId="33741" xr:uid="{00000000-0005-0000-0000-000002AE0000}"/>
    <cellStyle name="Normal 4 4 5 2 5" xfId="6451" xr:uid="{00000000-0005-0000-0000-000003AE0000}"/>
    <cellStyle name="Normal 4 4 5 2 5 2" xfId="9984" xr:uid="{00000000-0005-0000-0000-000004AE0000}"/>
    <cellStyle name="Normal 4 4 5 2 5 2 2" xfId="16773" xr:uid="{00000000-0005-0000-0000-000005AE0000}"/>
    <cellStyle name="Normal 4 4 5 2 5 2 2 2" xfId="30341" xr:uid="{00000000-0005-0000-0000-000006AE0000}"/>
    <cellStyle name="Normal 4 4 5 2 5 2 2 2 2" xfId="57474" xr:uid="{00000000-0005-0000-0000-000007AE0000}"/>
    <cellStyle name="Normal 4 4 5 2 5 2 2 3" xfId="43912" xr:uid="{00000000-0005-0000-0000-000008AE0000}"/>
    <cellStyle name="Normal 4 4 5 2 5 2 3" xfId="23560" xr:uid="{00000000-0005-0000-0000-000009AE0000}"/>
    <cellStyle name="Normal 4 4 5 2 5 2 3 2" xfId="50693" xr:uid="{00000000-0005-0000-0000-00000AAE0000}"/>
    <cellStyle name="Normal 4 4 5 2 5 2 4" xfId="37131" xr:uid="{00000000-0005-0000-0000-00000BAE0000}"/>
    <cellStyle name="Normal 4 4 5 2 5 3" xfId="13384" xr:uid="{00000000-0005-0000-0000-00000CAE0000}"/>
    <cellStyle name="Normal 4 4 5 2 5 3 2" xfId="26952" xr:uid="{00000000-0005-0000-0000-00000DAE0000}"/>
    <cellStyle name="Normal 4 4 5 2 5 3 2 2" xfId="54085" xr:uid="{00000000-0005-0000-0000-00000EAE0000}"/>
    <cellStyle name="Normal 4 4 5 2 5 3 3" xfId="40523" xr:uid="{00000000-0005-0000-0000-00000FAE0000}"/>
    <cellStyle name="Normal 4 4 5 2 5 4" xfId="20171" xr:uid="{00000000-0005-0000-0000-000010AE0000}"/>
    <cellStyle name="Normal 4 4 5 2 5 4 2" xfId="47304" xr:uid="{00000000-0005-0000-0000-000011AE0000}"/>
    <cellStyle name="Normal 4 4 5 2 5 5" xfId="33742" xr:uid="{00000000-0005-0000-0000-000012AE0000}"/>
    <cellStyle name="Normal 4 4 5 2 6" xfId="9977" xr:uid="{00000000-0005-0000-0000-000013AE0000}"/>
    <cellStyle name="Normal 4 4 5 2 6 2" xfId="16766" xr:uid="{00000000-0005-0000-0000-000014AE0000}"/>
    <cellStyle name="Normal 4 4 5 2 6 2 2" xfId="30334" xr:uid="{00000000-0005-0000-0000-000015AE0000}"/>
    <cellStyle name="Normal 4 4 5 2 6 2 2 2" xfId="57467" xr:uid="{00000000-0005-0000-0000-000016AE0000}"/>
    <cellStyle name="Normal 4 4 5 2 6 2 3" xfId="43905" xr:uid="{00000000-0005-0000-0000-000017AE0000}"/>
    <cellStyle name="Normal 4 4 5 2 6 3" xfId="23553" xr:uid="{00000000-0005-0000-0000-000018AE0000}"/>
    <cellStyle name="Normal 4 4 5 2 6 3 2" xfId="50686" xr:uid="{00000000-0005-0000-0000-000019AE0000}"/>
    <cellStyle name="Normal 4 4 5 2 6 4" xfId="37124" xr:uid="{00000000-0005-0000-0000-00001AAE0000}"/>
    <cellStyle name="Normal 4 4 5 2 7" xfId="13377" xr:uid="{00000000-0005-0000-0000-00001BAE0000}"/>
    <cellStyle name="Normal 4 4 5 2 7 2" xfId="26945" xr:uid="{00000000-0005-0000-0000-00001CAE0000}"/>
    <cellStyle name="Normal 4 4 5 2 7 2 2" xfId="54078" xr:uid="{00000000-0005-0000-0000-00001DAE0000}"/>
    <cellStyle name="Normal 4 4 5 2 7 3" xfId="40516" xr:uid="{00000000-0005-0000-0000-00001EAE0000}"/>
    <cellStyle name="Normal 4 4 5 2 8" xfId="20164" xr:uid="{00000000-0005-0000-0000-00001FAE0000}"/>
    <cellStyle name="Normal 4 4 5 2 8 2" xfId="47297" xr:uid="{00000000-0005-0000-0000-000020AE0000}"/>
    <cellStyle name="Normal 4 4 5 2 9" xfId="33735" xr:uid="{00000000-0005-0000-0000-000021AE0000}"/>
    <cellStyle name="Normal 4 4 5 3" xfId="6452" xr:uid="{00000000-0005-0000-0000-000022AE0000}"/>
    <cellStyle name="Normal 4 4 5 3 2" xfId="6453" xr:uid="{00000000-0005-0000-0000-000023AE0000}"/>
    <cellStyle name="Normal 4 4 5 3 2 2" xfId="9986" xr:uid="{00000000-0005-0000-0000-000024AE0000}"/>
    <cellStyle name="Normal 4 4 5 3 2 2 2" xfId="16775" xr:uid="{00000000-0005-0000-0000-000025AE0000}"/>
    <cellStyle name="Normal 4 4 5 3 2 2 2 2" xfId="30343" xr:uid="{00000000-0005-0000-0000-000026AE0000}"/>
    <cellStyle name="Normal 4 4 5 3 2 2 2 2 2" xfId="57476" xr:uid="{00000000-0005-0000-0000-000027AE0000}"/>
    <cellStyle name="Normal 4 4 5 3 2 2 2 3" xfId="43914" xr:uid="{00000000-0005-0000-0000-000028AE0000}"/>
    <cellStyle name="Normal 4 4 5 3 2 2 3" xfId="23562" xr:uid="{00000000-0005-0000-0000-000029AE0000}"/>
    <cellStyle name="Normal 4 4 5 3 2 2 3 2" xfId="50695" xr:uid="{00000000-0005-0000-0000-00002AAE0000}"/>
    <cellStyle name="Normal 4 4 5 3 2 2 4" xfId="37133" xr:uid="{00000000-0005-0000-0000-00002BAE0000}"/>
    <cellStyle name="Normal 4 4 5 3 2 3" xfId="13386" xr:uid="{00000000-0005-0000-0000-00002CAE0000}"/>
    <cellStyle name="Normal 4 4 5 3 2 3 2" xfId="26954" xr:uid="{00000000-0005-0000-0000-00002DAE0000}"/>
    <cellStyle name="Normal 4 4 5 3 2 3 2 2" xfId="54087" xr:uid="{00000000-0005-0000-0000-00002EAE0000}"/>
    <cellStyle name="Normal 4 4 5 3 2 3 3" xfId="40525" xr:uid="{00000000-0005-0000-0000-00002FAE0000}"/>
    <cellStyle name="Normal 4 4 5 3 2 4" xfId="20173" xr:uid="{00000000-0005-0000-0000-000030AE0000}"/>
    <cellStyle name="Normal 4 4 5 3 2 4 2" xfId="47306" xr:uid="{00000000-0005-0000-0000-000031AE0000}"/>
    <cellStyle name="Normal 4 4 5 3 2 5" xfId="33744" xr:uid="{00000000-0005-0000-0000-000032AE0000}"/>
    <cellStyle name="Normal 4 4 5 3 3" xfId="6454" xr:uid="{00000000-0005-0000-0000-000033AE0000}"/>
    <cellStyle name="Normal 4 4 5 3 3 2" xfId="9987" xr:uid="{00000000-0005-0000-0000-000034AE0000}"/>
    <cellStyle name="Normal 4 4 5 3 3 2 2" xfId="16776" xr:uid="{00000000-0005-0000-0000-000035AE0000}"/>
    <cellStyle name="Normal 4 4 5 3 3 2 2 2" xfId="30344" xr:uid="{00000000-0005-0000-0000-000036AE0000}"/>
    <cellStyle name="Normal 4 4 5 3 3 2 2 2 2" xfId="57477" xr:uid="{00000000-0005-0000-0000-000037AE0000}"/>
    <cellStyle name="Normal 4 4 5 3 3 2 2 3" xfId="43915" xr:uid="{00000000-0005-0000-0000-000038AE0000}"/>
    <cellStyle name="Normal 4 4 5 3 3 2 3" xfId="23563" xr:uid="{00000000-0005-0000-0000-000039AE0000}"/>
    <cellStyle name="Normal 4 4 5 3 3 2 3 2" xfId="50696" xr:uid="{00000000-0005-0000-0000-00003AAE0000}"/>
    <cellStyle name="Normal 4 4 5 3 3 2 4" xfId="37134" xr:uid="{00000000-0005-0000-0000-00003BAE0000}"/>
    <cellStyle name="Normal 4 4 5 3 3 3" xfId="13387" xr:uid="{00000000-0005-0000-0000-00003CAE0000}"/>
    <cellStyle name="Normal 4 4 5 3 3 3 2" xfId="26955" xr:uid="{00000000-0005-0000-0000-00003DAE0000}"/>
    <cellStyle name="Normal 4 4 5 3 3 3 2 2" xfId="54088" xr:uid="{00000000-0005-0000-0000-00003EAE0000}"/>
    <cellStyle name="Normal 4 4 5 3 3 3 3" xfId="40526" xr:uid="{00000000-0005-0000-0000-00003FAE0000}"/>
    <cellStyle name="Normal 4 4 5 3 3 4" xfId="20174" xr:uid="{00000000-0005-0000-0000-000040AE0000}"/>
    <cellStyle name="Normal 4 4 5 3 3 4 2" xfId="47307" xr:uid="{00000000-0005-0000-0000-000041AE0000}"/>
    <cellStyle name="Normal 4 4 5 3 3 5" xfId="33745" xr:uid="{00000000-0005-0000-0000-000042AE0000}"/>
    <cellStyle name="Normal 4 4 5 3 4" xfId="9985" xr:uid="{00000000-0005-0000-0000-000043AE0000}"/>
    <cellStyle name="Normal 4 4 5 3 4 2" xfId="16774" xr:uid="{00000000-0005-0000-0000-000044AE0000}"/>
    <cellStyle name="Normal 4 4 5 3 4 2 2" xfId="30342" xr:uid="{00000000-0005-0000-0000-000045AE0000}"/>
    <cellStyle name="Normal 4 4 5 3 4 2 2 2" xfId="57475" xr:uid="{00000000-0005-0000-0000-000046AE0000}"/>
    <cellStyle name="Normal 4 4 5 3 4 2 3" xfId="43913" xr:uid="{00000000-0005-0000-0000-000047AE0000}"/>
    <cellStyle name="Normal 4 4 5 3 4 3" xfId="23561" xr:uid="{00000000-0005-0000-0000-000048AE0000}"/>
    <cellStyle name="Normal 4 4 5 3 4 3 2" xfId="50694" xr:uid="{00000000-0005-0000-0000-000049AE0000}"/>
    <cellStyle name="Normal 4 4 5 3 4 4" xfId="37132" xr:uid="{00000000-0005-0000-0000-00004AAE0000}"/>
    <cellStyle name="Normal 4 4 5 3 5" xfId="13385" xr:uid="{00000000-0005-0000-0000-00004BAE0000}"/>
    <cellStyle name="Normal 4 4 5 3 5 2" xfId="26953" xr:uid="{00000000-0005-0000-0000-00004CAE0000}"/>
    <cellStyle name="Normal 4 4 5 3 5 2 2" xfId="54086" xr:uid="{00000000-0005-0000-0000-00004DAE0000}"/>
    <cellStyle name="Normal 4 4 5 3 5 3" xfId="40524" xr:uid="{00000000-0005-0000-0000-00004EAE0000}"/>
    <cellStyle name="Normal 4 4 5 3 6" xfId="20172" xr:uid="{00000000-0005-0000-0000-00004FAE0000}"/>
    <cellStyle name="Normal 4 4 5 3 6 2" xfId="47305" xr:uid="{00000000-0005-0000-0000-000050AE0000}"/>
    <cellStyle name="Normal 4 4 5 3 7" xfId="33743" xr:uid="{00000000-0005-0000-0000-000051AE0000}"/>
    <cellStyle name="Normal 4 4 5 4" xfId="6455" xr:uid="{00000000-0005-0000-0000-000052AE0000}"/>
    <cellStyle name="Normal 4 4 5 4 2" xfId="6456" xr:uid="{00000000-0005-0000-0000-000053AE0000}"/>
    <cellStyle name="Normal 4 4 5 4 2 2" xfId="9989" xr:uid="{00000000-0005-0000-0000-000054AE0000}"/>
    <cellStyle name="Normal 4 4 5 4 2 2 2" xfId="16778" xr:uid="{00000000-0005-0000-0000-000055AE0000}"/>
    <cellStyle name="Normal 4 4 5 4 2 2 2 2" xfId="30346" xr:uid="{00000000-0005-0000-0000-000056AE0000}"/>
    <cellStyle name="Normal 4 4 5 4 2 2 2 2 2" xfId="57479" xr:uid="{00000000-0005-0000-0000-000057AE0000}"/>
    <cellStyle name="Normal 4 4 5 4 2 2 2 3" xfId="43917" xr:uid="{00000000-0005-0000-0000-000058AE0000}"/>
    <cellStyle name="Normal 4 4 5 4 2 2 3" xfId="23565" xr:uid="{00000000-0005-0000-0000-000059AE0000}"/>
    <cellStyle name="Normal 4 4 5 4 2 2 3 2" xfId="50698" xr:uid="{00000000-0005-0000-0000-00005AAE0000}"/>
    <cellStyle name="Normal 4 4 5 4 2 2 4" xfId="37136" xr:uid="{00000000-0005-0000-0000-00005BAE0000}"/>
    <cellStyle name="Normal 4 4 5 4 2 3" xfId="13389" xr:uid="{00000000-0005-0000-0000-00005CAE0000}"/>
    <cellStyle name="Normal 4 4 5 4 2 3 2" xfId="26957" xr:uid="{00000000-0005-0000-0000-00005DAE0000}"/>
    <cellStyle name="Normal 4 4 5 4 2 3 2 2" xfId="54090" xr:uid="{00000000-0005-0000-0000-00005EAE0000}"/>
    <cellStyle name="Normal 4 4 5 4 2 3 3" xfId="40528" xr:uid="{00000000-0005-0000-0000-00005FAE0000}"/>
    <cellStyle name="Normal 4 4 5 4 2 4" xfId="20176" xr:uid="{00000000-0005-0000-0000-000060AE0000}"/>
    <cellStyle name="Normal 4 4 5 4 2 4 2" xfId="47309" xr:uid="{00000000-0005-0000-0000-000061AE0000}"/>
    <cellStyle name="Normal 4 4 5 4 2 5" xfId="33747" xr:uid="{00000000-0005-0000-0000-000062AE0000}"/>
    <cellStyle name="Normal 4 4 5 4 3" xfId="9988" xr:uid="{00000000-0005-0000-0000-000063AE0000}"/>
    <cellStyle name="Normal 4 4 5 4 3 2" xfId="16777" xr:uid="{00000000-0005-0000-0000-000064AE0000}"/>
    <cellStyle name="Normal 4 4 5 4 3 2 2" xfId="30345" xr:uid="{00000000-0005-0000-0000-000065AE0000}"/>
    <cellStyle name="Normal 4 4 5 4 3 2 2 2" xfId="57478" xr:uid="{00000000-0005-0000-0000-000066AE0000}"/>
    <cellStyle name="Normal 4 4 5 4 3 2 3" xfId="43916" xr:uid="{00000000-0005-0000-0000-000067AE0000}"/>
    <cellStyle name="Normal 4 4 5 4 3 3" xfId="23564" xr:uid="{00000000-0005-0000-0000-000068AE0000}"/>
    <cellStyle name="Normal 4 4 5 4 3 3 2" xfId="50697" xr:uid="{00000000-0005-0000-0000-000069AE0000}"/>
    <cellStyle name="Normal 4 4 5 4 3 4" xfId="37135" xr:uid="{00000000-0005-0000-0000-00006AAE0000}"/>
    <cellStyle name="Normal 4 4 5 4 4" xfId="13388" xr:uid="{00000000-0005-0000-0000-00006BAE0000}"/>
    <cellStyle name="Normal 4 4 5 4 4 2" xfId="26956" xr:uid="{00000000-0005-0000-0000-00006CAE0000}"/>
    <cellStyle name="Normal 4 4 5 4 4 2 2" xfId="54089" xr:uid="{00000000-0005-0000-0000-00006DAE0000}"/>
    <cellStyle name="Normal 4 4 5 4 4 3" xfId="40527" xr:uid="{00000000-0005-0000-0000-00006EAE0000}"/>
    <cellStyle name="Normal 4 4 5 4 5" xfId="20175" xr:uid="{00000000-0005-0000-0000-00006FAE0000}"/>
    <cellStyle name="Normal 4 4 5 4 5 2" xfId="47308" xr:uid="{00000000-0005-0000-0000-000070AE0000}"/>
    <cellStyle name="Normal 4 4 5 4 6" xfId="33746" xr:uid="{00000000-0005-0000-0000-000071AE0000}"/>
    <cellStyle name="Normal 4 4 5 5" xfId="6457" xr:uid="{00000000-0005-0000-0000-000072AE0000}"/>
    <cellStyle name="Normal 4 4 5 5 2" xfId="9990" xr:uid="{00000000-0005-0000-0000-000073AE0000}"/>
    <cellStyle name="Normal 4 4 5 5 2 2" xfId="16779" xr:uid="{00000000-0005-0000-0000-000074AE0000}"/>
    <cellStyle name="Normal 4 4 5 5 2 2 2" xfId="30347" xr:uid="{00000000-0005-0000-0000-000075AE0000}"/>
    <cellStyle name="Normal 4 4 5 5 2 2 2 2" xfId="57480" xr:uid="{00000000-0005-0000-0000-000076AE0000}"/>
    <cellStyle name="Normal 4 4 5 5 2 2 3" xfId="43918" xr:uid="{00000000-0005-0000-0000-000077AE0000}"/>
    <cellStyle name="Normal 4 4 5 5 2 3" xfId="23566" xr:uid="{00000000-0005-0000-0000-000078AE0000}"/>
    <cellStyle name="Normal 4 4 5 5 2 3 2" xfId="50699" xr:uid="{00000000-0005-0000-0000-000079AE0000}"/>
    <cellStyle name="Normal 4 4 5 5 2 4" xfId="37137" xr:uid="{00000000-0005-0000-0000-00007AAE0000}"/>
    <cellStyle name="Normal 4 4 5 5 3" xfId="13390" xr:uid="{00000000-0005-0000-0000-00007BAE0000}"/>
    <cellStyle name="Normal 4 4 5 5 3 2" xfId="26958" xr:uid="{00000000-0005-0000-0000-00007CAE0000}"/>
    <cellStyle name="Normal 4 4 5 5 3 2 2" xfId="54091" xr:uid="{00000000-0005-0000-0000-00007DAE0000}"/>
    <cellStyle name="Normal 4 4 5 5 3 3" xfId="40529" xr:uid="{00000000-0005-0000-0000-00007EAE0000}"/>
    <cellStyle name="Normal 4 4 5 5 4" xfId="20177" xr:uid="{00000000-0005-0000-0000-00007FAE0000}"/>
    <cellStyle name="Normal 4 4 5 5 4 2" xfId="47310" xr:uid="{00000000-0005-0000-0000-000080AE0000}"/>
    <cellStyle name="Normal 4 4 5 5 5" xfId="33748" xr:uid="{00000000-0005-0000-0000-000081AE0000}"/>
    <cellStyle name="Normal 4 4 5 6" xfId="6458" xr:uid="{00000000-0005-0000-0000-000082AE0000}"/>
    <cellStyle name="Normal 4 4 5 6 2" xfId="9991" xr:uid="{00000000-0005-0000-0000-000083AE0000}"/>
    <cellStyle name="Normal 4 4 5 6 2 2" xfId="16780" xr:uid="{00000000-0005-0000-0000-000084AE0000}"/>
    <cellStyle name="Normal 4 4 5 6 2 2 2" xfId="30348" xr:uid="{00000000-0005-0000-0000-000085AE0000}"/>
    <cellStyle name="Normal 4 4 5 6 2 2 2 2" xfId="57481" xr:uid="{00000000-0005-0000-0000-000086AE0000}"/>
    <cellStyle name="Normal 4 4 5 6 2 2 3" xfId="43919" xr:uid="{00000000-0005-0000-0000-000087AE0000}"/>
    <cellStyle name="Normal 4 4 5 6 2 3" xfId="23567" xr:uid="{00000000-0005-0000-0000-000088AE0000}"/>
    <cellStyle name="Normal 4 4 5 6 2 3 2" xfId="50700" xr:uid="{00000000-0005-0000-0000-000089AE0000}"/>
    <cellStyle name="Normal 4 4 5 6 2 4" xfId="37138" xr:uid="{00000000-0005-0000-0000-00008AAE0000}"/>
    <cellStyle name="Normal 4 4 5 6 3" xfId="13391" xr:uid="{00000000-0005-0000-0000-00008BAE0000}"/>
    <cellStyle name="Normal 4 4 5 6 3 2" xfId="26959" xr:uid="{00000000-0005-0000-0000-00008CAE0000}"/>
    <cellStyle name="Normal 4 4 5 6 3 2 2" xfId="54092" xr:uid="{00000000-0005-0000-0000-00008DAE0000}"/>
    <cellStyle name="Normal 4 4 5 6 3 3" xfId="40530" xr:uid="{00000000-0005-0000-0000-00008EAE0000}"/>
    <cellStyle name="Normal 4 4 5 6 4" xfId="20178" xr:uid="{00000000-0005-0000-0000-00008FAE0000}"/>
    <cellStyle name="Normal 4 4 5 6 4 2" xfId="47311" xr:uid="{00000000-0005-0000-0000-000090AE0000}"/>
    <cellStyle name="Normal 4 4 5 6 5" xfId="33749" xr:uid="{00000000-0005-0000-0000-000091AE0000}"/>
    <cellStyle name="Normal 4 4 5 7" xfId="9976" xr:uid="{00000000-0005-0000-0000-000092AE0000}"/>
    <cellStyle name="Normal 4 4 5 7 2" xfId="16765" xr:uid="{00000000-0005-0000-0000-000093AE0000}"/>
    <cellStyle name="Normal 4 4 5 7 2 2" xfId="30333" xr:uid="{00000000-0005-0000-0000-000094AE0000}"/>
    <cellStyle name="Normal 4 4 5 7 2 2 2" xfId="57466" xr:uid="{00000000-0005-0000-0000-000095AE0000}"/>
    <cellStyle name="Normal 4 4 5 7 2 3" xfId="43904" xr:uid="{00000000-0005-0000-0000-000096AE0000}"/>
    <cellStyle name="Normal 4 4 5 7 3" xfId="23552" xr:uid="{00000000-0005-0000-0000-000097AE0000}"/>
    <cellStyle name="Normal 4 4 5 7 3 2" xfId="50685" xr:uid="{00000000-0005-0000-0000-000098AE0000}"/>
    <cellStyle name="Normal 4 4 5 7 4" xfId="37123" xr:uid="{00000000-0005-0000-0000-000099AE0000}"/>
    <cellStyle name="Normal 4 4 5 8" xfId="13376" xr:uid="{00000000-0005-0000-0000-00009AAE0000}"/>
    <cellStyle name="Normal 4 4 5 8 2" xfId="26944" xr:uid="{00000000-0005-0000-0000-00009BAE0000}"/>
    <cellStyle name="Normal 4 4 5 8 2 2" xfId="54077" xr:uid="{00000000-0005-0000-0000-00009CAE0000}"/>
    <cellStyle name="Normal 4 4 5 8 3" xfId="40515" xr:uid="{00000000-0005-0000-0000-00009DAE0000}"/>
    <cellStyle name="Normal 4 4 5 9" xfId="20163" xr:uid="{00000000-0005-0000-0000-00009EAE0000}"/>
    <cellStyle name="Normal 4 4 5 9 2" xfId="47296" xr:uid="{00000000-0005-0000-0000-00009FAE0000}"/>
    <cellStyle name="Normal 4 4 6" xfId="6459" xr:uid="{00000000-0005-0000-0000-0000A0AE0000}"/>
    <cellStyle name="Normal 4 4 6 2" xfId="6460" xr:uid="{00000000-0005-0000-0000-0000A1AE0000}"/>
    <cellStyle name="Normal 4 4 6 2 2" xfId="6461" xr:uid="{00000000-0005-0000-0000-0000A2AE0000}"/>
    <cellStyle name="Normal 4 4 6 2 2 2" xfId="9994" xr:uid="{00000000-0005-0000-0000-0000A3AE0000}"/>
    <cellStyle name="Normal 4 4 6 2 2 2 2" xfId="16783" xr:uid="{00000000-0005-0000-0000-0000A4AE0000}"/>
    <cellStyle name="Normal 4 4 6 2 2 2 2 2" xfId="30351" xr:uid="{00000000-0005-0000-0000-0000A5AE0000}"/>
    <cellStyle name="Normal 4 4 6 2 2 2 2 2 2" xfId="57484" xr:uid="{00000000-0005-0000-0000-0000A6AE0000}"/>
    <cellStyle name="Normal 4 4 6 2 2 2 2 3" xfId="43922" xr:uid="{00000000-0005-0000-0000-0000A7AE0000}"/>
    <cellStyle name="Normal 4 4 6 2 2 2 3" xfId="23570" xr:uid="{00000000-0005-0000-0000-0000A8AE0000}"/>
    <cellStyle name="Normal 4 4 6 2 2 2 3 2" xfId="50703" xr:uid="{00000000-0005-0000-0000-0000A9AE0000}"/>
    <cellStyle name="Normal 4 4 6 2 2 2 4" xfId="37141" xr:uid="{00000000-0005-0000-0000-0000AAAE0000}"/>
    <cellStyle name="Normal 4 4 6 2 2 3" xfId="13394" xr:uid="{00000000-0005-0000-0000-0000ABAE0000}"/>
    <cellStyle name="Normal 4 4 6 2 2 3 2" xfId="26962" xr:uid="{00000000-0005-0000-0000-0000ACAE0000}"/>
    <cellStyle name="Normal 4 4 6 2 2 3 2 2" xfId="54095" xr:uid="{00000000-0005-0000-0000-0000ADAE0000}"/>
    <cellStyle name="Normal 4 4 6 2 2 3 3" xfId="40533" xr:uid="{00000000-0005-0000-0000-0000AEAE0000}"/>
    <cellStyle name="Normal 4 4 6 2 2 4" xfId="20181" xr:uid="{00000000-0005-0000-0000-0000AFAE0000}"/>
    <cellStyle name="Normal 4 4 6 2 2 4 2" xfId="47314" xr:uid="{00000000-0005-0000-0000-0000B0AE0000}"/>
    <cellStyle name="Normal 4 4 6 2 2 5" xfId="33752" xr:uid="{00000000-0005-0000-0000-0000B1AE0000}"/>
    <cellStyle name="Normal 4 4 6 2 3" xfId="6462" xr:uid="{00000000-0005-0000-0000-0000B2AE0000}"/>
    <cellStyle name="Normal 4 4 6 2 3 2" xfId="9995" xr:uid="{00000000-0005-0000-0000-0000B3AE0000}"/>
    <cellStyle name="Normal 4 4 6 2 3 2 2" xfId="16784" xr:uid="{00000000-0005-0000-0000-0000B4AE0000}"/>
    <cellStyle name="Normal 4 4 6 2 3 2 2 2" xfId="30352" xr:uid="{00000000-0005-0000-0000-0000B5AE0000}"/>
    <cellStyle name="Normal 4 4 6 2 3 2 2 2 2" xfId="57485" xr:uid="{00000000-0005-0000-0000-0000B6AE0000}"/>
    <cellStyle name="Normal 4 4 6 2 3 2 2 3" xfId="43923" xr:uid="{00000000-0005-0000-0000-0000B7AE0000}"/>
    <cellStyle name="Normal 4 4 6 2 3 2 3" xfId="23571" xr:uid="{00000000-0005-0000-0000-0000B8AE0000}"/>
    <cellStyle name="Normal 4 4 6 2 3 2 3 2" xfId="50704" xr:uid="{00000000-0005-0000-0000-0000B9AE0000}"/>
    <cellStyle name="Normal 4 4 6 2 3 2 4" xfId="37142" xr:uid="{00000000-0005-0000-0000-0000BAAE0000}"/>
    <cellStyle name="Normal 4 4 6 2 3 3" xfId="13395" xr:uid="{00000000-0005-0000-0000-0000BBAE0000}"/>
    <cellStyle name="Normal 4 4 6 2 3 3 2" xfId="26963" xr:uid="{00000000-0005-0000-0000-0000BCAE0000}"/>
    <cellStyle name="Normal 4 4 6 2 3 3 2 2" xfId="54096" xr:uid="{00000000-0005-0000-0000-0000BDAE0000}"/>
    <cellStyle name="Normal 4 4 6 2 3 3 3" xfId="40534" xr:uid="{00000000-0005-0000-0000-0000BEAE0000}"/>
    <cellStyle name="Normal 4 4 6 2 3 4" xfId="20182" xr:uid="{00000000-0005-0000-0000-0000BFAE0000}"/>
    <cellStyle name="Normal 4 4 6 2 3 4 2" xfId="47315" xr:uid="{00000000-0005-0000-0000-0000C0AE0000}"/>
    <cellStyle name="Normal 4 4 6 2 3 5" xfId="33753" xr:uid="{00000000-0005-0000-0000-0000C1AE0000}"/>
    <cellStyle name="Normal 4 4 6 2 4" xfId="9993" xr:uid="{00000000-0005-0000-0000-0000C2AE0000}"/>
    <cellStyle name="Normal 4 4 6 2 4 2" xfId="16782" xr:uid="{00000000-0005-0000-0000-0000C3AE0000}"/>
    <cellStyle name="Normal 4 4 6 2 4 2 2" xfId="30350" xr:uid="{00000000-0005-0000-0000-0000C4AE0000}"/>
    <cellStyle name="Normal 4 4 6 2 4 2 2 2" xfId="57483" xr:uid="{00000000-0005-0000-0000-0000C5AE0000}"/>
    <cellStyle name="Normal 4 4 6 2 4 2 3" xfId="43921" xr:uid="{00000000-0005-0000-0000-0000C6AE0000}"/>
    <cellStyle name="Normal 4 4 6 2 4 3" xfId="23569" xr:uid="{00000000-0005-0000-0000-0000C7AE0000}"/>
    <cellStyle name="Normal 4 4 6 2 4 3 2" xfId="50702" xr:uid="{00000000-0005-0000-0000-0000C8AE0000}"/>
    <cellStyle name="Normal 4 4 6 2 4 4" xfId="37140" xr:uid="{00000000-0005-0000-0000-0000C9AE0000}"/>
    <cellStyle name="Normal 4 4 6 2 5" xfId="13393" xr:uid="{00000000-0005-0000-0000-0000CAAE0000}"/>
    <cellStyle name="Normal 4 4 6 2 5 2" xfId="26961" xr:uid="{00000000-0005-0000-0000-0000CBAE0000}"/>
    <cellStyle name="Normal 4 4 6 2 5 2 2" xfId="54094" xr:uid="{00000000-0005-0000-0000-0000CCAE0000}"/>
    <cellStyle name="Normal 4 4 6 2 5 3" xfId="40532" xr:uid="{00000000-0005-0000-0000-0000CDAE0000}"/>
    <cellStyle name="Normal 4 4 6 2 6" xfId="20180" xr:uid="{00000000-0005-0000-0000-0000CEAE0000}"/>
    <cellStyle name="Normal 4 4 6 2 6 2" xfId="47313" xr:uid="{00000000-0005-0000-0000-0000CFAE0000}"/>
    <cellStyle name="Normal 4 4 6 2 7" xfId="33751" xr:uid="{00000000-0005-0000-0000-0000D0AE0000}"/>
    <cellStyle name="Normal 4 4 6 3" xfId="6463" xr:uid="{00000000-0005-0000-0000-0000D1AE0000}"/>
    <cellStyle name="Normal 4 4 6 3 2" xfId="6464" xr:uid="{00000000-0005-0000-0000-0000D2AE0000}"/>
    <cellStyle name="Normal 4 4 6 3 2 2" xfId="9997" xr:uid="{00000000-0005-0000-0000-0000D3AE0000}"/>
    <cellStyle name="Normal 4 4 6 3 2 2 2" xfId="16786" xr:uid="{00000000-0005-0000-0000-0000D4AE0000}"/>
    <cellStyle name="Normal 4 4 6 3 2 2 2 2" xfId="30354" xr:uid="{00000000-0005-0000-0000-0000D5AE0000}"/>
    <cellStyle name="Normal 4 4 6 3 2 2 2 2 2" xfId="57487" xr:uid="{00000000-0005-0000-0000-0000D6AE0000}"/>
    <cellStyle name="Normal 4 4 6 3 2 2 2 3" xfId="43925" xr:uid="{00000000-0005-0000-0000-0000D7AE0000}"/>
    <cellStyle name="Normal 4 4 6 3 2 2 3" xfId="23573" xr:uid="{00000000-0005-0000-0000-0000D8AE0000}"/>
    <cellStyle name="Normal 4 4 6 3 2 2 3 2" xfId="50706" xr:uid="{00000000-0005-0000-0000-0000D9AE0000}"/>
    <cellStyle name="Normal 4 4 6 3 2 2 4" xfId="37144" xr:uid="{00000000-0005-0000-0000-0000DAAE0000}"/>
    <cellStyle name="Normal 4 4 6 3 2 3" xfId="13397" xr:uid="{00000000-0005-0000-0000-0000DBAE0000}"/>
    <cellStyle name="Normal 4 4 6 3 2 3 2" xfId="26965" xr:uid="{00000000-0005-0000-0000-0000DCAE0000}"/>
    <cellStyle name="Normal 4 4 6 3 2 3 2 2" xfId="54098" xr:uid="{00000000-0005-0000-0000-0000DDAE0000}"/>
    <cellStyle name="Normal 4 4 6 3 2 3 3" xfId="40536" xr:uid="{00000000-0005-0000-0000-0000DEAE0000}"/>
    <cellStyle name="Normal 4 4 6 3 2 4" xfId="20184" xr:uid="{00000000-0005-0000-0000-0000DFAE0000}"/>
    <cellStyle name="Normal 4 4 6 3 2 4 2" xfId="47317" xr:uid="{00000000-0005-0000-0000-0000E0AE0000}"/>
    <cellStyle name="Normal 4 4 6 3 2 5" xfId="33755" xr:uid="{00000000-0005-0000-0000-0000E1AE0000}"/>
    <cellStyle name="Normal 4 4 6 3 3" xfId="9996" xr:uid="{00000000-0005-0000-0000-0000E2AE0000}"/>
    <cellStyle name="Normal 4 4 6 3 3 2" xfId="16785" xr:uid="{00000000-0005-0000-0000-0000E3AE0000}"/>
    <cellStyle name="Normal 4 4 6 3 3 2 2" xfId="30353" xr:uid="{00000000-0005-0000-0000-0000E4AE0000}"/>
    <cellStyle name="Normal 4 4 6 3 3 2 2 2" xfId="57486" xr:uid="{00000000-0005-0000-0000-0000E5AE0000}"/>
    <cellStyle name="Normal 4 4 6 3 3 2 3" xfId="43924" xr:uid="{00000000-0005-0000-0000-0000E6AE0000}"/>
    <cellStyle name="Normal 4 4 6 3 3 3" xfId="23572" xr:uid="{00000000-0005-0000-0000-0000E7AE0000}"/>
    <cellStyle name="Normal 4 4 6 3 3 3 2" xfId="50705" xr:uid="{00000000-0005-0000-0000-0000E8AE0000}"/>
    <cellStyle name="Normal 4 4 6 3 3 4" xfId="37143" xr:uid="{00000000-0005-0000-0000-0000E9AE0000}"/>
    <cellStyle name="Normal 4 4 6 3 4" xfId="13396" xr:uid="{00000000-0005-0000-0000-0000EAAE0000}"/>
    <cellStyle name="Normal 4 4 6 3 4 2" xfId="26964" xr:uid="{00000000-0005-0000-0000-0000EBAE0000}"/>
    <cellStyle name="Normal 4 4 6 3 4 2 2" xfId="54097" xr:uid="{00000000-0005-0000-0000-0000ECAE0000}"/>
    <cellStyle name="Normal 4 4 6 3 4 3" xfId="40535" xr:uid="{00000000-0005-0000-0000-0000EDAE0000}"/>
    <cellStyle name="Normal 4 4 6 3 5" xfId="20183" xr:uid="{00000000-0005-0000-0000-0000EEAE0000}"/>
    <cellStyle name="Normal 4 4 6 3 5 2" xfId="47316" xr:uid="{00000000-0005-0000-0000-0000EFAE0000}"/>
    <cellStyle name="Normal 4 4 6 3 6" xfId="33754" xr:uid="{00000000-0005-0000-0000-0000F0AE0000}"/>
    <cellStyle name="Normal 4 4 6 4" xfId="6465" xr:uid="{00000000-0005-0000-0000-0000F1AE0000}"/>
    <cellStyle name="Normal 4 4 6 4 2" xfId="9998" xr:uid="{00000000-0005-0000-0000-0000F2AE0000}"/>
    <cellStyle name="Normal 4 4 6 4 2 2" xfId="16787" xr:uid="{00000000-0005-0000-0000-0000F3AE0000}"/>
    <cellStyle name="Normal 4 4 6 4 2 2 2" xfId="30355" xr:uid="{00000000-0005-0000-0000-0000F4AE0000}"/>
    <cellStyle name="Normal 4 4 6 4 2 2 2 2" xfId="57488" xr:uid="{00000000-0005-0000-0000-0000F5AE0000}"/>
    <cellStyle name="Normal 4 4 6 4 2 2 3" xfId="43926" xr:uid="{00000000-0005-0000-0000-0000F6AE0000}"/>
    <cellStyle name="Normal 4 4 6 4 2 3" xfId="23574" xr:uid="{00000000-0005-0000-0000-0000F7AE0000}"/>
    <cellStyle name="Normal 4 4 6 4 2 3 2" xfId="50707" xr:uid="{00000000-0005-0000-0000-0000F8AE0000}"/>
    <cellStyle name="Normal 4 4 6 4 2 4" xfId="37145" xr:uid="{00000000-0005-0000-0000-0000F9AE0000}"/>
    <cellStyle name="Normal 4 4 6 4 3" xfId="13398" xr:uid="{00000000-0005-0000-0000-0000FAAE0000}"/>
    <cellStyle name="Normal 4 4 6 4 3 2" xfId="26966" xr:uid="{00000000-0005-0000-0000-0000FBAE0000}"/>
    <cellStyle name="Normal 4 4 6 4 3 2 2" xfId="54099" xr:uid="{00000000-0005-0000-0000-0000FCAE0000}"/>
    <cellStyle name="Normal 4 4 6 4 3 3" xfId="40537" xr:uid="{00000000-0005-0000-0000-0000FDAE0000}"/>
    <cellStyle name="Normal 4 4 6 4 4" xfId="20185" xr:uid="{00000000-0005-0000-0000-0000FEAE0000}"/>
    <cellStyle name="Normal 4 4 6 4 4 2" xfId="47318" xr:uid="{00000000-0005-0000-0000-0000FFAE0000}"/>
    <cellStyle name="Normal 4 4 6 4 5" xfId="33756" xr:uid="{00000000-0005-0000-0000-000000AF0000}"/>
    <cellStyle name="Normal 4 4 6 5" xfId="6466" xr:uid="{00000000-0005-0000-0000-000001AF0000}"/>
    <cellStyle name="Normal 4 4 6 5 2" xfId="9999" xr:uid="{00000000-0005-0000-0000-000002AF0000}"/>
    <cellStyle name="Normal 4 4 6 5 2 2" xfId="16788" xr:uid="{00000000-0005-0000-0000-000003AF0000}"/>
    <cellStyle name="Normal 4 4 6 5 2 2 2" xfId="30356" xr:uid="{00000000-0005-0000-0000-000004AF0000}"/>
    <cellStyle name="Normal 4 4 6 5 2 2 2 2" xfId="57489" xr:uid="{00000000-0005-0000-0000-000005AF0000}"/>
    <cellStyle name="Normal 4 4 6 5 2 2 3" xfId="43927" xr:uid="{00000000-0005-0000-0000-000006AF0000}"/>
    <cellStyle name="Normal 4 4 6 5 2 3" xfId="23575" xr:uid="{00000000-0005-0000-0000-000007AF0000}"/>
    <cellStyle name="Normal 4 4 6 5 2 3 2" xfId="50708" xr:uid="{00000000-0005-0000-0000-000008AF0000}"/>
    <cellStyle name="Normal 4 4 6 5 2 4" xfId="37146" xr:uid="{00000000-0005-0000-0000-000009AF0000}"/>
    <cellStyle name="Normal 4 4 6 5 3" xfId="13399" xr:uid="{00000000-0005-0000-0000-00000AAF0000}"/>
    <cellStyle name="Normal 4 4 6 5 3 2" xfId="26967" xr:uid="{00000000-0005-0000-0000-00000BAF0000}"/>
    <cellStyle name="Normal 4 4 6 5 3 2 2" xfId="54100" xr:uid="{00000000-0005-0000-0000-00000CAF0000}"/>
    <cellStyle name="Normal 4 4 6 5 3 3" xfId="40538" xr:uid="{00000000-0005-0000-0000-00000DAF0000}"/>
    <cellStyle name="Normal 4 4 6 5 4" xfId="20186" xr:uid="{00000000-0005-0000-0000-00000EAF0000}"/>
    <cellStyle name="Normal 4 4 6 5 4 2" xfId="47319" xr:uid="{00000000-0005-0000-0000-00000FAF0000}"/>
    <cellStyle name="Normal 4 4 6 5 5" xfId="33757" xr:uid="{00000000-0005-0000-0000-000010AF0000}"/>
    <cellStyle name="Normal 4 4 6 6" xfId="9992" xr:uid="{00000000-0005-0000-0000-000011AF0000}"/>
    <cellStyle name="Normal 4 4 6 6 2" xfId="16781" xr:uid="{00000000-0005-0000-0000-000012AF0000}"/>
    <cellStyle name="Normal 4 4 6 6 2 2" xfId="30349" xr:uid="{00000000-0005-0000-0000-000013AF0000}"/>
    <cellStyle name="Normal 4 4 6 6 2 2 2" xfId="57482" xr:uid="{00000000-0005-0000-0000-000014AF0000}"/>
    <cellStyle name="Normal 4 4 6 6 2 3" xfId="43920" xr:uid="{00000000-0005-0000-0000-000015AF0000}"/>
    <cellStyle name="Normal 4 4 6 6 3" xfId="23568" xr:uid="{00000000-0005-0000-0000-000016AF0000}"/>
    <cellStyle name="Normal 4 4 6 6 3 2" xfId="50701" xr:uid="{00000000-0005-0000-0000-000017AF0000}"/>
    <cellStyle name="Normal 4 4 6 6 4" xfId="37139" xr:uid="{00000000-0005-0000-0000-000018AF0000}"/>
    <cellStyle name="Normal 4 4 6 7" xfId="13392" xr:uid="{00000000-0005-0000-0000-000019AF0000}"/>
    <cellStyle name="Normal 4 4 6 7 2" xfId="26960" xr:uid="{00000000-0005-0000-0000-00001AAF0000}"/>
    <cellStyle name="Normal 4 4 6 7 2 2" xfId="54093" xr:uid="{00000000-0005-0000-0000-00001BAF0000}"/>
    <cellStyle name="Normal 4 4 6 7 3" xfId="40531" xr:uid="{00000000-0005-0000-0000-00001CAF0000}"/>
    <cellStyle name="Normal 4 4 6 8" xfId="20179" xr:uid="{00000000-0005-0000-0000-00001DAF0000}"/>
    <cellStyle name="Normal 4 4 6 8 2" xfId="47312" xr:uid="{00000000-0005-0000-0000-00001EAF0000}"/>
    <cellStyle name="Normal 4 4 6 9" xfId="33750" xr:uid="{00000000-0005-0000-0000-00001FAF0000}"/>
    <cellStyle name="Normal 4 4 7" xfId="6467" xr:uid="{00000000-0005-0000-0000-000020AF0000}"/>
    <cellStyle name="Normal 4 4 7 2" xfId="6468" xr:uid="{00000000-0005-0000-0000-000021AF0000}"/>
    <cellStyle name="Normal 4 4 7 2 2" xfId="6469" xr:uid="{00000000-0005-0000-0000-000022AF0000}"/>
    <cellStyle name="Normal 4 4 7 2 2 2" xfId="10002" xr:uid="{00000000-0005-0000-0000-000023AF0000}"/>
    <cellStyle name="Normal 4 4 7 2 2 2 2" xfId="16791" xr:uid="{00000000-0005-0000-0000-000024AF0000}"/>
    <cellStyle name="Normal 4 4 7 2 2 2 2 2" xfId="30359" xr:uid="{00000000-0005-0000-0000-000025AF0000}"/>
    <cellStyle name="Normal 4 4 7 2 2 2 2 2 2" xfId="57492" xr:uid="{00000000-0005-0000-0000-000026AF0000}"/>
    <cellStyle name="Normal 4 4 7 2 2 2 2 3" xfId="43930" xr:uid="{00000000-0005-0000-0000-000027AF0000}"/>
    <cellStyle name="Normal 4 4 7 2 2 2 3" xfId="23578" xr:uid="{00000000-0005-0000-0000-000028AF0000}"/>
    <cellStyle name="Normal 4 4 7 2 2 2 3 2" xfId="50711" xr:uid="{00000000-0005-0000-0000-000029AF0000}"/>
    <cellStyle name="Normal 4 4 7 2 2 2 4" xfId="37149" xr:uid="{00000000-0005-0000-0000-00002AAF0000}"/>
    <cellStyle name="Normal 4 4 7 2 2 3" xfId="13402" xr:uid="{00000000-0005-0000-0000-00002BAF0000}"/>
    <cellStyle name="Normal 4 4 7 2 2 3 2" xfId="26970" xr:uid="{00000000-0005-0000-0000-00002CAF0000}"/>
    <cellStyle name="Normal 4 4 7 2 2 3 2 2" xfId="54103" xr:uid="{00000000-0005-0000-0000-00002DAF0000}"/>
    <cellStyle name="Normal 4 4 7 2 2 3 3" xfId="40541" xr:uid="{00000000-0005-0000-0000-00002EAF0000}"/>
    <cellStyle name="Normal 4 4 7 2 2 4" xfId="20189" xr:uid="{00000000-0005-0000-0000-00002FAF0000}"/>
    <cellStyle name="Normal 4 4 7 2 2 4 2" xfId="47322" xr:uid="{00000000-0005-0000-0000-000030AF0000}"/>
    <cellStyle name="Normal 4 4 7 2 2 5" xfId="33760" xr:uid="{00000000-0005-0000-0000-000031AF0000}"/>
    <cellStyle name="Normal 4 4 7 2 3" xfId="6470" xr:uid="{00000000-0005-0000-0000-000032AF0000}"/>
    <cellStyle name="Normal 4 4 7 2 3 2" xfId="10003" xr:uid="{00000000-0005-0000-0000-000033AF0000}"/>
    <cellStyle name="Normal 4 4 7 2 3 2 2" xfId="16792" xr:uid="{00000000-0005-0000-0000-000034AF0000}"/>
    <cellStyle name="Normal 4 4 7 2 3 2 2 2" xfId="30360" xr:uid="{00000000-0005-0000-0000-000035AF0000}"/>
    <cellStyle name="Normal 4 4 7 2 3 2 2 2 2" xfId="57493" xr:uid="{00000000-0005-0000-0000-000036AF0000}"/>
    <cellStyle name="Normal 4 4 7 2 3 2 2 3" xfId="43931" xr:uid="{00000000-0005-0000-0000-000037AF0000}"/>
    <cellStyle name="Normal 4 4 7 2 3 2 3" xfId="23579" xr:uid="{00000000-0005-0000-0000-000038AF0000}"/>
    <cellStyle name="Normal 4 4 7 2 3 2 3 2" xfId="50712" xr:uid="{00000000-0005-0000-0000-000039AF0000}"/>
    <cellStyle name="Normal 4 4 7 2 3 2 4" xfId="37150" xr:uid="{00000000-0005-0000-0000-00003AAF0000}"/>
    <cellStyle name="Normal 4 4 7 2 3 3" xfId="13403" xr:uid="{00000000-0005-0000-0000-00003BAF0000}"/>
    <cellStyle name="Normal 4 4 7 2 3 3 2" xfId="26971" xr:uid="{00000000-0005-0000-0000-00003CAF0000}"/>
    <cellStyle name="Normal 4 4 7 2 3 3 2 2" xfId="54104" xr:uid="{00000000-0005-0000-0000-00003DAF0000}"/>
    <cellStyle name="Normal 4 4 7 2 3 3 3" xfId="40542" xr:uid="{00000000-0005-0000-0000-00003EAF0000}"/>
    <cellStyle name="Normal 4 4 7 2 3 4" xfId="20190" xr:uid="{00000000-0005-0000-0000-00003FAF0000}"/>
    <cellStyle name="Normal 4 4 7 2 3 4 2" xfId="47323" xr:uid="{00000000-0005-0000-0000-000040AF0000}"/>
    <cellStyle name="Normal 4 4 7 2 3 5" xfId="33761" xr:uid="{00000000-0005-0000-0000-000041AF0000}"/>
    <cellStyle name="Normal 4 4 7 2 4" xfId="10001" xr:uid="{00000000-0005-0000-0000-000042AF0000}"/>
    <cellStyle name="Normal 4 4 7 2 4 2" xfId="16790" xr:uid="{00000000-0005-0000-0000-000043AF0000}"/>
    <cellStyle name="Normal 4 4 7 2 4 2 2" xfId="30358" xr:uid="{00000000-0005-0000-0000-000044AF0000}"/>
    <cellStyle name="Normal 4 4 7 2 4 2 2 2" xfId="57491" xr:uid="{00000000-0005-0000-0000-000045AF0000}"/>
    <cellStyle name="Normal 4 4 7 2 4 2 3" xfId="43929" xr:uid="{00000000-0005-0000-0000-000046AF0000}"/>
    <cellStyle name="Normal 4 4 7 2 4 3" xfId="23577" xr:uid="{00000000-0005-0000-0000-000047AF0000}"/>
    <cellStyle name="Normal 4 4 7 2 4 3 2" xfId="50710" xr:uid="{00000000-0005-0000-0000-000048AF0000}"/>
    <cellStyle name="Normal 4 4 7 2 4 4" xfId="37148" xr:uid="{00000000-0005-0000-0000-000049AF0000}"/>
    <cellStyle name="Normal 4 4 7 2 5" xfId="13401" xr:uid="{00000000-0005-0000-0000-00004AAF0000}"/>
    <cellStyle name="Normal 4 4 7 2 5 2" xfId="26969" xr:uid="{00000000-0005-0000-0000-00004BAF0000}"/>
    <cellStyle name="Normal 4 4 7 2 5 2 2" xfId="54102" xr:uid="{00000000-0005-0000-0000-00004CAF0000}"/>
    <cellStyle name="Normal 4 4 7 2 5 3" xfId="40540" xr:uid="{00000000-0005-0000-0000-00004DAF0000}"/>
    <cellStyle name="Normal 4 4 7 2 6" xfId="20188" xr:uid="{00000000-0005-0000-0000-00004EAF0000}"/>
    <cellStyle name="Normal 4 4 7 2 6 2" xfId="47321" xr:uid="{00000000-0005-0000-0000-00004FAF0000}"/>
    <cellStyle name="Normal 4 4 7 2 7" xfId="33759" xr:uid="{00000000-0005-0000-0000-000050AF0000}"/>
    <cellStyle name="Normal 4 4 7 3" xfId="6471" xr:uid="{00000000-0005-0000-0000-000051AF0000}"/>
    <cellStyle name="Normal 4 4 7 3 2" xfId="10004" xr:uid="{00000000-0005-0000-0000-000052AF0000}"/>
    <cellStyle name="Normal 4 4 7 3 2 2" xfId="16793" xr:uid="{00000000-0005-0000-0000-000053AF0000}"/>
    <cellStyle name="Normal 4 4 7 3 2 2 2" xfId="30361" xr:uid="{00000000-0005-0000-0000-000054AF0000}"/>
    <cellStyle name="Normal 4 4 7 3 2 2 2 2" xfId="57494" xr:uid="{00000000-0005-0000-0000-000055AF0000}"/>
    <cellStyle name="Normal 4 4 7 3 2 2 3" xfId="43932" xr:uid="{00000000-0005-0000-0000-000056AF0000}"/>
    <cellStyle name="Normal 4 4 7 3 2 3" xfId="23580" xr:uid="{00000000-0005-0000-0000-000057AF0000}"/>
    <cellStyle name="Normal 4 4 7 3 2 3 2" xfId="50713" xr:uid="{00000000-0005-0000-0000-000058AF0000}"/>
    <cellStyle name="Normal 4 4 7 3 2 4" xfId="37151" xr:uid="{00000000-0005-0000-0000-000059AF0000}"/>
    <cellStyle name="Normal 4 4 7 3 3" xfId="13404" xr:uid="{00000000-0005-0000-0000-00005AAF0000}"/>
    <cellStyle name="Normal 4 4 7 3 3 2" xfId="26972" xr:uid="{00000000-0005-0000-0000-00005BAF0000}"/>
    <cellStyle name="Normal 4 4 7 3 3 2 2" xfId="54105" xr:uid="{00000000-0005-0000-0000-00005CAF0000}"/>
    <cellStyle name="Normal 4 4 7 3 3 3" xfId="40543" xr:uid="{00000000-0005-0000-0000-00005DAF0000}"/>
    <cellStyle name="Normal 4 4 7 3 4" xfId="20191" xr:uid="{00000000-0005-0000-0000-00005EAF0000}"/>
    <cellStyle name="Normal 4 4 7 3 4 2" xfId="47324" xr:uid="{00000000-0005-0000-0000-00005FAF0000}"/>
    <cellStyle name="Normal 4 4 7 3 5" xfId="33762" xr:uid="{00000000-0005-0000-0000-000060AF0000}"/>
    <cellStyle name="Normal 4 4 7 4" xfId="6472" xr:uid="{00000000-0005-0000-0000-000061AF0000}"/>
    <cellStyle name="Normal 4 4 7 4 2" xfId="10005" xr:uid="{00000000-0005-0000-0000-000062AF0000}"/>
    <cellStyle name="Normal 4 4 7 4 2 2" xfId="16794" xr:uid="{00000000-0005-0000-0000-000063AF0000}"/>
    <cellStyle name="Normal 4 4 7 4 2 2 2" xfId="30362" xr:uid="{00000000-0005-0000-0000-000064AF0000}"/>
    <cellStyle name="Normal 4 4 7 4 2 2 2 2" xfId="57495" xr:uid="{00000000-0005-0000-0000-000065AF0000}"/>
    <cellStyle name="Normal 4 4 7 4 2 2 3" xfId="43933" xr:uid="{00000000-0005-0000-0000-000066AF0000}"/>
    <cellStyle name="Normal 4 4 7 4 2 3" xfId="23581" xr:uid="{00000000-0005-0000-0000-000067AF0000}"/>
    <cellStyle name="Normal 4 4 7 4 2 3 2" xfId="50714" xr:uid="{00000000-0005-0000-0000-000068AF0000}"/>
    <cellStyle name="Normal 4 4 7 4 2 4" xfId="37152" xr:uid="{00000000-0005-0000-0000-000069AF0000}"/>
    <cellStyle name="Normal 4 4 7 4 3" xfId="13405" xr:uid="{00000000-0005-0000-0000-00006AAF0000}"/>
    <cellStyle name="Normal 4 4 7 4 3 2" xfId="26973" xr:uid="{00000000-0005-0000-0000-00006BAF0000}"/>
    <cellStyle name="Normal 4 4 7 4 3 2 2" xfId="54106" xr:uid="{00000000-0005-0000-0000-00006CAF0000}"/>
    <cellStyle name="Normal 4 4 7 4 3 3" xfId="40544" xr:uid="{00000000-0005-0000-0000-00006DAF0000}"/>
    <cellStyle name="Normal 4 4 7 4 4" xfId="20192" xr:uid="{00000000-0005-0000-0000-00006EAF0000}"/>
    <cellStyle name="Normal 4 4 7 4 4 2" xfId="47325" xr:uid="{00000000-0005-0000-0000-00006FAF0000}"/>
    <cellStyle name="Normal 4 4 7 4 5" xfId="33763" xr:uid="{00000000-0005-0000-0000-000070AF0000}"/>
    <cellStyle name="Normal 4 4 7 5" xfId="10000" xr:uid="{00000000-0005-0000-0000-000071AF0000}"/>
    <cellStyle name="Normal 4 4 7 5 2" xfId="16789" xr:uid="{00000000-0005-0000-0000-000072AF0000}"/>
    <cellStyle name="Normal 4 4 7 5 2 2" xfId="30357" xr:uid="{00000000-0005-0000-0000-000073AF0000}"/>
    <cellStyle name="Normal 4 4 7 5 2 2 2" xfId="57490" xr:uid="{00000000-0005-0000-0000-000074AF0000}"/>
    <cellStyle name="Normal 4 4 7 5 2 3" xfId="43928" xr:uid="{00000000-0005-0000-0000-000075AF0000}"/>
    <cellStyle name="Normal 4 4 7 5 3" xfId="23576" xr:uid="{00000000-0005-0000-0000-000076AF0000}"/>
    <cellStyle name="Normal 4 4 7 5 3 2" xfId="50709" xr:uid="{00000000-0005-0000-0000-000077AF0000}"/>
    <cellStyle name="Normal 4 4 7 5 4" xfId="37147" xr:uid="{00000000-0005-0000-0000-000078AF0000}"/>
    <cellStyle name="Normal 4 4 7 6" xfId="13400" xr:uid="{00000000-0005-0000-0000-000079AF0000}"/>
    <cellStyle name="Normal 4 4 7 6 2" xfId="26968" xr:uid="{00000000-0005-0000-0000-00007AAF0000}"/>
    <cellStyle name="Normal 4 4 7 6 2 2" xfId="54101" xr:uid="{00000000-0005-0000-0000-00007BAF0000}"/>
    <cellStyle name="Normal 4 4 7 6 3" xfId="40539" xr:uid="{00000000-0005-0000-0000-00007CAF0000}"/>
    <cellStyle name="Normal 4 4 7 7" xfId="20187" xr:uid="{00000000-0005-0000-0000-00007DAF0000}"/>
    <cellStyle name="Normal 4 4 7 7 2" xfId="47320" xr:uid="{00000000-0005-0000-0000-00007EAF0000}"/>
    <cellStyle name="Normal 4 4 7 8" xfId="33758" xr:uid="{00000000-0005-0000-0000-00007FAF0000}"/>
    <cellStyle name="Normal 4 4 8" xfId="6473" xr:uid="{00000000-0005-0000-0000-000080AF0000}"/>
    <cellStyle name="Normal 4 4 8 2" xfId="6474" xr:uid="{00000000-0005-0000-0000-000081AF0000}"/>
    <cellStyle name="Normal 4 4 8 2 2" xfId="6475" xr:uid="{00000000-0005-0000-0000-000082AF0000}"/>
    <cellStyle name="Normal 4 4 8 2 2 2" xfId="10008" xr:uid="{00000000-0005-0000-0000-000083AF0000}"/>
    <cellStyle name="Normal 4 4 8 2 2 2 2" xfId="16797" xr:uid="{00000000-0005-0000-0000-000084AF0000}"/>
    <cellStyle name="Normal 4 4 8 2 2 2 2 2" xfId="30365" xr:uid="{00000000-0005-0000-0000-000085AF0000}"/>
    <cellStyle name="Normal 4 4 8 2 2 2 2 2 2" xfId="57498" xr:uid="{00000000-0005-0000-0000-000086AF0000}"/>
    <cellStyle name="Normal 4 4 8 2 2 2 2 3" xfId="43936" xr:uid="{00000000-0005-0000-0000-000087AF0000}"/>
    <cellStyle name="Normal 4 4 8 2 2 2 3" xfId="23584" xr:uid="{00000000-0005-0000-0000-000088AF0000}"/>
    <cellStyle name="Normal 4 4 8 2 2 2 3 2" xfId="50717" xr:uid="{00000000-0005-0000-0000-000089AF0000}"/>
    <cellStyle name="Normal 4 4 8 2 2 2 4" xfId="37155" xr:uid="{00000000-0005-0000-0000-00008AAF0000}"/>
    <cellStyle name="Normal 4 4 8 2 2 3" xfId="13408" xr:uid="{00000000-0005-0000-0000-00008BAF0000}"/>
    <cellStyle name="Normal 4 4 8 2 2 3 2" xfId="26976" xr:uid="{00000000-0005-0000-0000-00008CAF0000}"/>
    <cellStyle name="Normal 4 4 8 2 2 3 2 2" xfId="54109" xr:uid="{00000000-0005-0000-0000-00008DAF0000}"/>
    <cellStyle name="Normal 4 4 8 2 2 3 3" xfId="40547" xr:uid="{00000000-0005-0000-0000-00008EAF0000}"/>
    <cellStyle name="Normal 4 4 8 2 2 4" xfId="20195" xr:uid="{00000000-0005-0000-0000-00008FAF0000}"/>
    <cellStyle name="Normal 4 4 8 2 2 4 2" xfId="47328" xr:uid="{00000000-0005-0000-0000-000090AF0000}"/>
    <cellStyle name="Normal 4 4 8 2 2 5" xfId="33766" xr:uid="{00000000-0005-0000-0000-000091AF0000}"/>
    <cellStyle name="Normal 4 4 8 2 3" xfId="6476" xr:uid="{00000000-0005-0000-0000-000092AF0000}"/>
    <cellStyle name="Normal 4 4 8 2 3 2" xfId="10009" xr:uid="{00000000-0005-0000-0000-000093AF0000}"/>
    <cellStyle name="Normal 4 4 8 2 3 2 2" xfId="16798" xr:uid="{00000000-0005-0000-0000-000094AF0000}"/>
    <cellStyle name="Normal 4 4 8 2 3 2 2 2" xfId="30366" xr:uid="{00000000-0005-0000-0000-000095AF0000}"/>
    <cellStyle name="Normal 4 4 8 2 3 2 2 2 2" xfId="57499" xr:uid="{00000000-0005-0000-0000-000096AF0000}"/>
    <cellStyle name="Normal 4 4 8 2 3 2 2 3" xfId="43937" xr:uid="{00000000-0005-0000-0000-000097AF0000}"/>
    <cellStyle name="Normal 4 4 8 2 3 2 3" xfId="23585" xr:uid="{00000000-0005-0000-0000-000098AF0000}"/>
    <cellStyle name="Normal 4 4 8 2 3 2 3 2" xfId="50718" xr:uid="{00000000-0005-0000-0000-000099AF0000}"/>
    <cellStyle name="Normal 4 4 8 2 3 2 4" xfId="37156" xr:uid="{00000000-0005-0000-0000-00009AAF0000}"/>
    <cellStyle name="Normal 4 4 8 2 3 3" xfId="13409" xr:uid="{00000000-0005-0000-0000-00009BAF0000}"/>
    <cellStyle name="Normal 4 4 8 2 3 3 2" xfId="26977" xr:uid="{00000000-0005-0000-0000-00009CAF0000}"/>
    <cellStyle name="Normal 4 4 8 2 3 3 2 2" xfId="54110" xr:uid="{00000000-0005-0000-0000-00009DAF0000}"/>
    <cellStyle name="Normal 4 4 8 2 3 3 3" xfId="40548" xr:uid="{00000000-0005-0000-0000-00009EAF0000}"/>
    <cellStyle name="Normal 4 4 8 2 3 4" xfId="20196" xr:uid="{00000000-0005-0000-0000-00009FAF0000}"/>
    <cellStyle name="Normal 4 4 8 2 3 4 2" xfId="47329" xr:uid="{00000000-0005-0000-0000-0000A0AF0000}"/>
    <cellStyle name="Normal 4 4 8 2 3 5" xfId="33767" xr:uid="{00000000-0005-0000-0000-0000A1AF0000}"/>
    <cellStyle name="Normal 4 4 8 2 4" xfId="10007" xr:uid="{00000000-0005-0000-0000-0000A2AF0000}"/>
    <cellStyle name="Normal 4 4 8 2 4 2" xfId="16796" xr:uid="{00000000-0005-0000-0000-0000A3AF0000}"/>
    <cellStyle name="Normal 4 4 8 2 4 2 2" xfId="30364" xr:uid="{00000000-0005-0000-0000-0000A4AF0000}"/>
    <cellStyle name="Normal 4 4 8 2 4 2 2 2" xfId="57497" xr:uid="{00000000-0005-0000-0000-0000A5AF0000}"/>
    <cellStyle name="Normal 4 4 8 2 4 2 3" xfId="43935" xr:uid="{00000000-0005-0000-0000-0000A6AF0000}"/>
    <cellStyle name="Normal 4 4 8 2 4 3" xfId="23583" xr:uid="{00000000-0005-0000-0000-0000A7AF0000}"/>
    <cellStyle name="Normal 4 4 8 2 4 3 2" xfId="50716" xr:uid="{00000000-0005-0000-0000-0000A8AF0000}"/>
    <cellStyle name="Normal 4 4 8 2 4 4" xfId="37154" xr:uid="{00000000-0005-0000-0000-0000A9AF0000}"/>
    <cellStyle name="Normal 4 4 8 2 5" xfId="13407" xr:uid="{00000000-0005-0000-0000-0000AAAF0000}"/>
    <cellStyle name="Normal 4 4 8 2 5 2" xfId="26975" xr:uid="{00000000-0005-0000-0000-0000ABAF0000}"/>
    <cellStyle name="Normal 4 4 8 2 5 2 2" xfId="54108" xr:uid="{00000000-0005-0000-0000-0000ACAF0000}"/>
    <cellStyle name="Normal 4 4 8 2 5 3" xfId="40546" xr:uid="{00000000-0005-0000-0000-0000ADAF0000}"/>
    <cellStyle name="Normal 4 4 8 2 6" xfId="20194" xr:uid="{00000000-0005-0000-0000-0000AEAF0000}"/>
    <cellStyle name="Normal 4 4 8 2 6 2" xfId="47327" xr:uid="{00000000-0005-0000-0000-0000AFAF0000}"/>
    <cellStyle name="Normal 4 4 8 2 7" xfId="33765" xr:uid="{00000000-0005-0000-0000-0000B0AF0000}"/>
    <cellStyle name="Normal 4 4 8 3" xfId="6477" xr:uid="{00000000-0005-0000-0000-0000B1AF0000}"/>
    <cellStyle name="Normal 4 4 8 3 2" xfId="10010" xr:uid="{00000000-0005-0000-0000-0000B2AF0000}"/>
    <cellStyle name="Normal 4 4 8 3 2 2" xfId="16799" xr:uid="{00000000-0005-0000-0000-0000B3AF0000}"/>
    <cellStyle name="Normal 4 4 8 3 2 2 2" xfId="30367" xr:uid="{00000000-0005-0000-0000-0000B4AF0000}"/>
    <cellStyle name="Normal 4 4 8 3 2 2 2 2" xfId="57500" xr:uid="{00000000-0005-0000-0000-0000B5AF0000}"/>
    <cellStyle name="Normal 4 4 8 3 2 2 3" xfId="43938" xr:uid="{00000000-0005-0000-0000-0000B6AF0000}"/>
    <cellStyle name="Normal 4 4 8 3 2 3" xfId="23586" xr:uid="{00000000-0005-0000-0000-0000B7AF0000}"/>
    <cellStyle name="Normal 4 4 8 3 2 3 2" xfId="50719" xr:uid="{00000000-0005-0000-0000-0000B8AF0000}"/>
    <cellStyle name="Normal 4 4 8 3 2 4" xfId="37157" xr:uid="{00000000-0005-0000-0000-0000B9AF0000}"/>
    <cellStyle name="Normal 4 4 8 3 3" xfId="13410" xr:uid="{00000000-0005-0000-0000-0000BAAF0000}"/>
    <cellStyle name="Normal 4 4 8 3 3 2" xfId="26978" xr:uid="{00000000-0005-0000-0000-0000BBAF0000}"/>
    <cellStyle name="Normal 4 4 8 3 3 2 2" xfId="54111" xr:uid="{00000000-0005-0000-0000-0000BCAF0000}"/>
    <cellStyle name="Normal 4 4 8 3 3 3" xfId="40549" xr:uid="{00000000-0005-0000-0000-0000BDAF0000}"/>
    <cellStyle name="Normal 4 4 8 3 4" xfId="20197" xr:uid="{00000000-0005-0000-0000-0000BEAF0000}"/>
    <cellStyle name="Normal 4 4 8 3 4 2" xfId="47330" xr:uid="{00000000-0005-0000-0000-0000BFAF0000}"/>
    <cellStyle name="Normal 4 4 8 3 5" xfId="33768" xr:uid="{00000000-0005-0000-0000-0000C0AF0000}"/>
    <cellStyle name="Normal 4 4 8 4" xfId="6478" xr:uid="{00000000-0005-0000-0000-0000C1AF0000}"/>
    <cellStyle name="Normal 4 4 8 4 2" xfId="10011" xr:uid="{00000000-0005-0000-0000-0000C2AF0000}"/>
    <cellStyle name="Normal 4 4 8 4 2 2" xfId="16800" xr:uid="{00000000-0005-0000-0000-0000C3AF0000}"/>
    <cellStyle name="Normal 4 4 8 4 2 2 2" xfId="30368" xr:uid="{00000000-0005-0000-0000-0000C4AF0000}"/>
    <cellStyle name="Normal 4 4 8 4 2 2 2 2" xfId="57501" xr:uid="{00000000-0005-0000-0000-0000C5AF0000}"/>
    <cellStyle name="Normal 4 4 8 4 2 2 3" xfId="43939" xr:uid="{00000000-0005-0000-0000-0000C6AF0000}"/>
    <cellStyle name="Normal 4 4 8 4 2 3" xfId="23587" xr:uid="{00000000-0005-0000-0000-0000C7AF0000}"/>
    <cellStyle name="Normal 4 4 8 4 2 3 2" xfId="50720" xr:uid="{00000000-0005-0000-0000-0000C8AF0000}"/>
    <cellStyle name="Normal 4 4 8 4 2 4" xfId="37158" xr:uid="{00000000-0005-0000-0000-0000C9AF0000}"/>
    <cellStyle name="Normal 4 4 8 4 3" xfId="13411" xr:uid="{00000000-0005-0000-0000-0000CAAF0000}"/>
    <cellStyle name="Normal 4 4 8 4 3 2" xfId="26979" xr:uid="{00000000-0005-0000-0000-0000CBAF0000}"/>
    <cellStyle name="Normal 4 4 8 4 3 2 2" xfId="54112" xr:uid="{00000000-0005-0000-0000-0000CCAF0000}"/>
    <cellStyle name="Normal 4 4 8 4 3 3" xfId="40550" xr:uid="{00000000-0005-0000-0000-0000CDAF0000}"/>
    <cellStyle name="Normal 4 4 8 4 4" xfId="20198" xr:uid="{00000000-0005-0000-0000-0000CEAF0000}"/>
    <cellStyle name="Normal 4 4 8 4 4 2" xfId="47331" xr:uid="{00000000-0005-0000-0000-0000CFAF0000}"/>
    <cellStyle name="Normal 4 4 8 4 5" xfId="33769" xr:uid="{00000000-0005-0000-0000-0000D0AF0000}"/>
    <cellStyle name="Normal 4 4 8 5" xfId="10006" xr:uid="{00000000-0005-0000-0000-0000D1AF0000}"/>
    <cellStyle name="Normal 4 4 8 5 2" xfId="16795" xr:uid="{00000000-0005-0000-0000-0000D2AF0000}"/>
    <cellStyle name="Normal 4 4 8 5 2 2" xfId="30363" xr:uid="{00000000-0005-0000-0000-0000D3AF0000}"/>
    <cellStyle name="Normal 4 4 8 5 2 2 2" xfId="57496" xr:uid="{00000000-0005-0000-0000-0000D4AF0000}"/>
    <cellStyle name="Normal 4 4 8 5 2 3" xfId="43934" xr:uid="{00000000-0005-0000-0000-0000D5AF0000}"/>
    <cellStyle name="Normal 4 4 8 5 3" xfId="23582" xr:uid="{00000000-0005-0000-0000-0000D6AF0000}"/>
    <cellStyle name="Normal 4 4 8 5 3 2" xfId="50715" xr:uid="{00000000-0005-0000-0000-0000D7AF0000}"/>
    <cellStyle name="Normal 4 4 8 5 4" xfId="37153" xr:uid="{00000000-0005-0000-0000-0000D8AF0000}"/>
    <cellStyle name="Normal 4 4 8 6" xfId="13406" xr:uid="{00000000-0005-0000-0000-0000D9AF0000}"/>
    <cellStyle name="Normal 4 4 8 6 2" xfId="26974" xr:uid="{00000000-0005-0000-0000-0000DAAF0000}"/>
    <cellStyle name="Normal 4 4 8 6 2 2" xfId="54107" xr:uid="{00000000-0005-0000-0000-0000DBAF0000}"/>
    <cellStyle name="Normal 4 4 8 6 3" xfId="40545" xr:uid="{00000000-0005-0000-0000-0000DCAF0000}"/>
    <cellStyle name="Normal 4 4 8 7" xfId="20193" xr:uid="{00000000-0005-0000-0000-0000DDAF0000}"/>
    <cellStyle name="Normal 4 4 8 7 2" xfId="47326" xr:uid="{00000000-0005-0000-0000-0000DEAF0000}"/>
    <cellStyle name="Normal 4 4 8 8" xfId="33764" xr:uid="{00000000-0005-0000-0000-0000DFAF0000}"/>
    <cellStyle name="Normal 4 4 9" xfId="6479" xr:uid="{00000000-0005-0000-0000-0000E0AF0000}"/>
    <cellStyle name="Normal 4 4 9 2" xfId="6480" xr:uid="{00000000-0005-0000-0000-0000E1AF0000}"/>
    <cellStyle name="Normal 4 4 9 2 2" xfId="10013" xr:uid="{00000000-0005-0000-0000-0000E2AF0000}"/>
    <cellStyle name="Normal 4 4 9 2 2 2" xfId="16802" xr:uid="{00000000-0005-0000-0000-0000E3AF0000}"/>
    <cellStyle name="Normal 4 4 9 2 2 2 2" xfId="30370" xr:uid="{00000000-0005-0000-0000-0000E4AF0000}"/>
    <cellStyle name="Normal 4 4 9 2 2 2 2 2" xfId="57503" xr:uid="{00000000-0005-0000-0000-0000E5AF0000}"/>
    <cellStyle name="Normal 4 4 9 2 2 2 3" xfId="43941" xr:uid="{00000000-0005-0000-0000-0000E6AF0000}"/>
    <cellStyle name="Normal 4 4 9 2 2 3" xfId="23589" xr:uid="{00000000-0005-0000-0000-0000E7AF0000}"/>
    <cellStyle name="Normal 4 4 9 2 2 3 2" xfId="50722" xr:uid="{00000000-0005-0000-0000-0000E8AF0000}"/>
    <cellStyle name="Normal 4 4 9 2 2 4" xfId="37160" xr:uid="{00000000-0005-0000-0000-0000E9AF0000}"/>
    <cellStyle name="Normal 4 4 9 2 3" xfId="13413" xr:uid="{00000000-0005-0000-0000-0000EAAF0000}"/>
    <cellStyle name="Normal 4 4 9 2 3 2" xfId="26981" xr:uid="{00000000-0005-0000-0000-0000EBAF0000}"/>
    <cellStyle name="Normal 4 4 9 2 3 2 2" xfId="54114" xr:uid="{00000000-0005-0000-0000-0000ECAF0000}"/>
    <cellStyle name="Normal 4 4 9 2 3 3" xfId="40552" xr:uid="{00000000-0005-0000-0000-0000EDAF0000}"/>
    <cellStyle name="Normal 4 4 9 2 4" xfId="20200" xr:uid="{00000000-0005-0000-0000-0000EEAF0000}"/>
    <cellStyle name="Normal 4 4 9 2 4 2" xfId="47333" xr:uid="{00000000-0005-0000-0000-0000EFAF0000}"/>
    <cellStyle name="Normal 4 4 9 2 5" xfId="33771" xr:uid="{00000000-0005-0000-0000-0000F0AF0000}"/>
    <cellStyle name="Normal 4 4 9 3" xfId="10012" xr:uid="{00000000-0005-0000-0000-0000F1AF0000}"/>
    <cellStyle name="Normal 4 4 9 3 2" xfId="16801" xr:uid="{00000000-0005-0000-0000-0000F2AF0000}"/>
    <cellStyle name="Normal 4 4 9 3 2 2" xfId="30369" xr:uid="{00000000-0005-0000-0000-0000F3AF0000}"/>
    <cellStyle name="Normal 4 4 9 3 2 2 2" xfId="57502" xr:uid="{00000000-0005-0000-0000-0000F4AF0000}"/>
    <cellStyle name="Normal 4 4 9 3 2 3" xfId="43940" xr:uid="{00000000-0005-0000-0000-0000F5AF0000}"/>
    <cellStyle name="Normal 4 4 9 3 3" xfId="23588" xr:uid="{00000000-0005-0000-0000-0000F6AF0000}"/>
    <cellStyle name="Normal 4 4 9 3 3 2" xfId="50721" xr:uid="{00000000-0005-0000-0000-0000F7AF0000}"/>
    <cellStyle name="Normal 4 4 9 3 4" xfId="37159" xr:uid="{00000000-0005-0000-0000-0000F8AF0000}"/>
    <cellStyle name="Normal 4 4 9 4" xfId="13412" xr:uid="{00000000-0005-0000-0000-0000F9AF0000}"/>
    <cellStyle name="Normal 4 4 9 4 2" xfId="26980" xr:uid="{00000000-0005-0000-0000-0000FAAF0000}"/>
    <cellStyle name="Normal 4 4 9 4 2 2" xfId="54113" xr:uid="{00000000-0005-0000-0000-0000FBAF0000}"/>
    <cellStyle name="Normal 4 4 9 4 3" xfId="40551" xr:uid="{00000000-0005-0000-0000-0000FCAF0000}"/>
    <cellStyle name="Normal 4 4 9 5" xfId="20199" xr:uid="{00000000-0005-0000-0000-0000FDAF0000}"/>
    <cellStyle name="Normal 4 4 9 5 2" xfId="47332" xr:uid="{00000000-0005-0000-0000-0000FEAF0000}"/>
    <cellStyle name="Normal 4 4 9 6" xfId="33770" xr:uid="{00000000-0005-0000-0000-0000FFAF0000}"/>
    <cellStyle name="Normal 4 5" xfId="2767" xr:uid="{00000000-0005-0000-0000-000000B00000}"/>
    <cellStyle name="Normal 4 5 10" xfId="6481" xr:uid="{00000000-0005-0000-0000-000001B00000}"/>
    <cellStyle name="Normal 4 5 10 2" xfId="10014" xr:uid="{00000000-0005-0000-0000-000002B00000}"/>
    <cellStyle name="Normal 4 5 10 2 2" xfId="16803" xr:uid="{00000000-0005-0000-0000-000003B00000}"/>
    <cellStyle name="Normal 4 5 10 2 2 2" xfId="30371" xr:uid="{00000000-0005-0000-0000-000004B00000}"/>
    <cellStyle name="Normal 4 5 10 2 2 2 2" xfId="57504" xr:uid="{00000000-0005-0000-0000-000005B00000}"/>
    <cellStyle name="Normal 4 5 10 2 2 3" xfId="43942" xr:uid="{00000000-0005-0000-0000-000006B00000}"/>
    <cellStyle name="Normal 4 5 10 2 3" xfId="23590" xr:uid="{00000000-0005-0000-0000-000007B00000}"/>
    <cellStyle name="Normal 4 5 10 2 3 2" xfId="50723" xr:uid="{00000000-0005-0000-0000-000008B00000}"/>
    <cellStyle name="Normal 4 5 10 2 4" xfId="37161" xr:uid="{00000000-0005-0000-0000-000009B00000}"/>
    <cellStyle name="Normal 4 5 10 3" xfId="13414" xr:uid="{00000000-0005-0000-0000-00000AB00000}"/>
    <cellStyle name="Normal 4 5 10 3 2" xfId="26982" xr:uid="{00000000-0005-0000-0000-00000BB00000}"/>
    <cellStyle name="Normal 4 5 10 3 2 2" xfId="54115" xr:uid="{00000000-0005-0000-0000-00000CB00000}"/>
    <cellStyle name="Normal 4 5 10 3 3" xfId="40553" xr:uid="{00000000-0005-0000-0000-00000DB00000}"/>
    <cellStyle name="Normal 4 5 10 4" xfId="20201" xr:uid="{00000000-0005-0000-0000-00000EB00000}"/>
    <cellStyle name="Normal 4 5 10 4 2" xfId="47334" xr:uid="{00000000-0005-0000-0000-00000FB00000}"/>
    <cellStyle name="Normal 4 5 10 5" xfId="33772" xr:uid="{00000000-0005-0000-0000-000010B00000}"/>
    <cellStyle name="Normal 4 5 11" xfId="6482" xr:uid="{00000000-0005-0000-0000-000011B00000}"/>
    <cellStyle name="Normal 4 5 11 2" xfId="10015" xr:uid="{00000000-0005-0000-0000-000012B00000}"/>
    <cellStyle name="Normal 4 5 11 2 2" xfId="16804" xr:uid="{00000000-0005-0000-0000-000013B00000}"/>
    <cellStyle name="Normal 4 5 11 2 2 2" xfId="30372" xr:uid="{00000000-0005-0000-0000-000014B00000}"/>
    <cellStyle name="Normal 4 5 11 2 2 2 2" xfId="57505" xr:uid="{00000000-0005-0000-0000-000015B00000}"/>
    <cellStyle name="Normal 4 5 11 2 2 3" xfId="43943" xr:uid="{00000000-0005-0000-0000-000016B00000}"/>
    <cellStyle name="Normal 4 5 11 2 3" xfId="23591" xr:uid="{00000000-0005-0000-0000-000017B00000}"/>
    <cellStyle name="Normal 4 5 11 2 3 2" xfId="50724" xr:uid="{00000000-0005-0000-0000-000018B00000}"/>
    <cellStyle name="Normal 4 5 11 2 4" xfId="37162" xr:uid="{00000000-0005-0000-0000-000019B00000}"/>
    <cellStyle name="Normal 4 5 11 3" xfId="13415" xr:uid="{00000000-0005-0000-0000-00001AB00000}"/>
    <cellStyle name="Normal 4 5 11 3 2" xfId="26983" xr:uid="{00000000-0005-0000-0000-00001BB00000}"/>
    <cellStyle name="Normal 4 5 11 3 2 2" xfId="54116" xr:uid="{00000000-0005-0000-0000-00001CB00000}"/>
    <cellStyle name="Normal 4 5 11 3 3" xfId="40554" xr:uid="{00000000-0005-0000-0000-00001DB00000}"/>
    <cellStyle name="Normal 4 5 11 4" xfId="20202" xr:uid="{00000000-0005-0000-0000-00001EB00000}"/>
    <cellStyle name="Normal 4 5 11 4 2" xfId="47335" xr:uid="{00000000-0005-0000-0000-00001FB00000}"/>
    <cellStyle name="Normal 4 5 11 5" xfId="33773" xr:uid="{00000000-0005-0000-0000-000020B00000}"/>
    <cellStyle name="Normal 4 5 12" xfId="7572" xr:uid="{00000000-0005-0000-0000-000021B00000}"/>
    <cellStyle name="Normal 4 5 12 2" xfId="14361" xr:uid="{00000000-0005-0000-0000-000022B00000}"/>
    <cellStyle name="Normal 4 5 12 2 2" xfId="27929" xr:uid="{00000000-0005-0000-0000-000023B00000}"/>
    <cellStyle name="Normal 4 5 12 2 2 2" xfId="55062" xr:uid="{00000000-0005-0000-0000-000024B00000}"/>
    <cellStyle name="Normal 4 5 12 2 3" xfId="41500" xr:uid="{00000000-0005-0000-0000-000025B00000}"/>
    <cellStyle name="Normal 4 5 12 3" xfId="21148" xr:uid="{00000000-0005-0000-0000-000026B00000}"/>
    <cellStyle name="Normal 4 5 12 3 2" xfId="48281" xr:uid="{00000000-0005-0000-0000-000027B00000}"/>
    <cellStyle name="Normal 4 5 12 4" xfId="34719" xr:uid="{00000000-0005-0000-0000-000028B00000}"/>
    <cellStyle name="Normal 4 5 13" xfId="10972" xr:uid="{00000000-0005-0000-0000-000029B00000}"/>
    <cellStyle name="Normal 4 5 13 2" xfId="24540" xr:uid="{00000000-0005-0000-0000-00002AB00000}"/>
    <cellStyle name="Normal 4 5 13 2 2" xfId="51673" xr:uid="{00000000-0005-0000-0000-00002BB00000}"/>
    <cellStyle name="Normal 4 5 13 3" xfId="38111" xr:uid="{00000000-0005-0000-0000-00002CB00000}"/>
    <cellStyle name="Normal 4 5 14" xfId="17759" xr:uid="{00000000-0005-0000-0000-00002DB00000}"/>
    <cellStyle name="Normal 4 5 14 2" xfId="44892" xr:uid="{00000000-0005-0000-0000-00002EB00000}"/>
    <cellStyle name="Normal 4 5 15" xfId="31330" xr:uid="{00000000-0005-0000-0000-00002FB00000}"/>
    <cellStyle name="Normal 4 5 2" xfId="2768" xr:uid="{00000000-0005-0000-0000-000030B00000}"/>
    <cellStyle name="Normal 4 5 2 2" xfId="7573" xr:uid="{00000000-0005-0000-0000-000031B00000}"/>
    <cellStyle name="Normal 4 5 2 2 2" xfId="14362" xr:uid="{00000000-0005-0000-0000-000032B00000}"/>
    <cellStyle name="Normal 4 5 2 2 2 2" xfId="27930" xr:uid="{00000000-0005-0000-0000-000033B00000}"/>
    <cellStyle name="Normal 4 5 2 2 2 2 2" xfId="55063" xr:uid="{00000000-0005-0000-0000-000034B00000}"/>
    <cellStyle name="Normal 4 5 2 2 2 3" xfId="41501" xr:uid="{00000000-0005-0000-0000-000035B00000}"/>
    <cellStyle name="Normal 4 5 2 2 3" xfId="21149" xr:uid="{00000000-0005-0000-0000-000036B00000}"/>
    <cellStyle name="Normal 4 5 2 2 3 2" xfId="48282" xr:uid="{00000000-0005-0000-0000-000037B00000}"/>
    <cellStyle name="Normal 4 5 2 2 4" xfId="34720" xr:uid="{00000000-0005-0000-0000-000038B00000}"/>
    <cellStyle name="Normal 4 5 2 3" xfId="10973" xr:uid="{00000000-0005-0000-0000-000039B00000}"/>
    <cellStyle name="Normal 4 5 2 3 2" xfId="24541" xr:uid="{00000000-0005-0000-0000-00003AB00000}"/>
    <cellStyle name="Normal 4 5 2 3 2 2" xfId="51674" xr:uid="{00000000-0005-0000-0000-00003BB00000}"/>
    <cellStyle name="Normal 4 5 2 3 3" xfId="38112" xr:uid="{00000000-0005-0000-0000-00003CB00000}"/>
    <cellStyle name="Normal 4 5 2 4" xfId="17760" xr:uid="{00000000-0005-0000-0000-00003DB00000}"/>
    <cellStyle name="Normal 4 5 2 4 2" xfId="44893" xr:uid="{00000000-0005-0000-0000-00003EB00000}"/>
    <cellStyle name="Normal 4 5 2 5" xfId="31331" xr:uid="{00000000-0005-0000-0000-00003FB00000}"/>
    <cellStyle name="Normal 4 5 3" xfId="6483" xr:uid="{00000000-0005-0000-0000-000040B00000}"/>
    <cellStyle name="Normal 4 5 4" xfId="6484" xr:uid="{00000000-0005-0000-0000-000041B00000}"/>
    <cellStyle name="Normal 4 5 4 10" xfId="13416" xr:uid="{00000000-0005-0000-0000-000042B00000}"/>
    <cellStyle name="Normal 4 5 4 10 2" xfId="26984" xr:uid="{00000000-0005-0000-0000-000043B00000}"/>
    <cellStyle name="Normal 4 5 4 10 2 2" xfId="54117" xr:uid="{00000000-0005-0000-0000-000044B00000}"/>
    <cellStyle name="Normal 4 5 4 10 3" xfId="40555" xr:uid="{00000000-0005-0000-0000-000045B00000}"/>
    <cellStyle name="Normal 4 5 4 11" xfId="20203" xr:uid="{00000000-0005-0000-0000-000046B00000}"/>
    <cellStyle name="Normal 4 5 4 11 2" xfId="47336" xr:uid="{00000000-0005-0000-0000-000047B00000}"/>
    <cellStyle name="Normal 4 5 4 12" xfId="33774" xr:uid="{00000000-0005-0000-0000-000048B00000}"/>
    <cellStyle name="Normal 4 5 4 2" xfId="6485" xr:uid="{00000000-0005-0000-0000-000049B00000}"/>
    <cellStyle name="Normal 4 5 4 2 10" xfId="33775" xr:uid="{00000000-0005-0000-0000-00004AB00000}"/>
    <cellStyle name="Normal 4 5 4 2 2" xfId="6486" xr:uid="{00000000-0005-0000-0000-00004BB00000}"/>
    <cellStyle name="Normal 4 5 4 2 2 2" xfId="6487" xr:uid="{00000000-0005-0000-0000-00004CB00000}"/>
    <cellStyle name="Normal 4 5 4 2 2 2 2" xfId="6488" xr:uid="{00000000-0005-0000-0000-00004DB00000}"/>
    <cellStyle name="Normal 4 5 4 2 2 2 2 2" xfId="10020" xr:uid="{00000000-0005-0000-0000-00004EB00000}"/>
    <cellStyle name="Normal 4 5 4 2 2 2 2 2 2" xfId="16809" xr:uid="{00000000-0005-0000-0000-00004FB00000}"/>
    <cellStyle name="Normal 4 5 4 2 2 2 2 2 2 2" xfId="30377" xr:uid="{00000000-0005-0000-0000-000050B00000}"/>
    <cellStyle name="Normal 4 5 4 2 2 2 2 2 2 2 2" xfId="57510" xr:uid="{00000000-0005-0000-0000-000051B00000}"/>
    <cellStyle name="Normal 4 5 4 2 2 2 2 2 2 3" xfId="43948" xr:uid="{00000000-0005-0000-0000-000052B00000}"/>
    <cellStyle name="Normal 4 5 4 2 2 2 2 2 3" xfId="23596" xr:uid="{00000000-0005-0000-0000-000053B00000}"/>
    <cellStyle name="Normal 4 5 4 2 2 2 2 2 3 2" xfId="50729" xr:uid="{00000000-0005-0000-0000-000054B00000}"/>
    <cellStyle name="Normal 4 5 4 2 2 2 2 2 4" xfId="37167" xr:uid="{00000000-0005-0000-0000-000055B00000}"/>
    <cellStyle name="Normal 4 5 4 2 2 2 2 3" xfId="13420" xr:uid="{00000000-0005-0000-0000-000056B00000}"/>
    <cellStyle name="Normal 4 5 4 2 2 2 2 3 2" xfId="26988" xr:uid="{00000000-0005-0000-0000-000057B00000}"/>
    <cellStyle name="Normal 4 5 4 2 2 2 2 3 2 2" xfId="54121" xr:uid="{00000000-0005-0000-0000-000058B00000}"/>
    <cellStyle name="Normal 4 5 4 2 2 2 2 3 3" xfId="40559" xr:uid="{00000000-0005-0000-0000-000059B00000}"/>
    <cellStyle name="Normal 4 5 4 2 2 2 2 4" xfId="20207" xr:uid="{00000000-0005-0000-0000-00005AB00000}"/>
    <cellStyle name="Normal 4 5 4 2 2 2 2 4 2" xfId="47340" xr:uid="{00000000-0005-0000-0000-00005BB00000}"/>
    <cellStyle name="Normal 4 5 4 2 2 2 2 5" xfId="33778" xr:uid="{00000000-0005-0000-0000-00005CB00000}"/>
    <cellStyle name="Normal 4 5 4 2 2 2 3" xfId="6489" xr:uid="{00000000-0005-0000-0000-00005DB00000}"/>
    <cellStyle name="Normal 4 5 4 2 2 2 3 2" xfId="10021" xr:uid="{00000000-0005-0000-0000-00005EB00000}"/>
    <cellStyle name="Normal 4 5 4 2 2 2 3 2 2" xfId="16810" xr:uid="{00000000-0005-0000-0000-00005FB00000}"/>
    <cellStyle name="Normal 4 5 4 2 2 2 3 2 2 2" xfId="30378" xr:uid="{00000000-0005-0000-0000-000060B00000}"/>
    <cellStyle name="Normal 4 5 4 2 2 2 3 2 2 2 2" xfId="57511" xr:uid="{00000000-0005-0000-0000-000061B00000}"/>
    <cellStyle name="Normal 4 5 4 2 2 2 3 2 2 3" xfId="43949" xr:uid="{00000000-0005-0000-0000-000062B00000}"/>
    <cellStyle name="Normal 4 5 4 2 2 2 3 2 3" xfId="23597" xr:uid="{00000000-0005-0000-0000-000063B00000}"/>
    <cellStyle name="Normal 4 5 4 2 2 2 3 2 3 2" xfId="50730" xr:uid="{00000000-0005-0000-0000-000064B00000}"/>
    <cellStyle name="Normal 4 5 4 2 2 2 3 2 4" xfId="37168" xr:uid="{00000000-0005-0000-0000-000065B00000}"/>
    <cellStyle name="Normal 4 5 4 2 2 2 3 3" xfId="13421" xr:uid="{00000000-0005-0000-0000-000066B00000}"/>
    <cellStyle name="Normal 4 5 4 2 2 2 3 3 2" xfId="26989" xr:uid="{00000000-0005-0000-0000-000067B00000}"/>
    <cellStyle name="Normal 4 5 4 2 2 2 3 3 2 2" xfId="54122" xr:uid="{00000000-0005-0000-0000-000068B00000}"/>
    <cellStyle name="Normal 4 5 4 2 2 2 3 3 3" xfId="40560" xr:uid="{00000000-0005-0000-0000-000069B00000}"/>
    <cellStyle name="Normal 4 5 4 2 2 2 3 4" xfId="20208" xr:uid="{00000000-0005-0000-0000-00006AB00000}"/>
    <cellStyle name="Normal 4 5 4 2 2 2 3 4 2" xfId="47341" xr:uid="{00000000-0005-0000-0000-00006BB00000}"/>
    <cellStyle name="Normal 4 5 4 2 2 2 3 5" xfId="33779" xr:uid="{00000000-0005-0000-0000-00006CB00000}"/>
    <cellStyle name="Normal 4 5 4 2 2 2 4" xfId="10019" xr:uid="{00000000-0005-0000-0000-00006DB00000}"/>
    <cellStyle name="Normal 4 5 4 2 2 2 4 2" xfId="16808" xr:uid="{00000000-0005-0000-0000-00006EB00000}"/>
    <cellStyle name="Normal 4 5 4 2 2 2 4 2 2" xfId="30376" xr:uid="{00000000-0005-0000-0000-00006FB00000}"/>
    <cellStyle name="Normal 4 5 4 2 2 2 4 2 2 2" xfId="57509" xr:uid="{00000000-0005-0000-0000-000070B00000}"/>
    <cellStyle name="Normal 4 5 4 2 2 2 4 2 3" xfId="43947" xr:uid="{00000000-0005-0000-0000-000071B00000}"/>
    <cellStyle name="Normal 4 5 4 2 2 2 4 3" xfId="23595" xr:uid="{00000000-0005-0000-0000-000072B00000}"/>
    <cellStyle name="Normal 4 5 4 2 2 2 4 3 2" xfId="50728" xr:uid="{00000000-0005-0000-0000-000073B00000}"/>
    <cellStyle name="Normal 4 5 4 2 2 2 4 4" xfId="37166" xr:uid="{00000000-0005-0000-0000-000074B00000}"/>
    <cellStyle name="Normal 4 5 4 2 2 2 5" xfId="13419" xr:uid="{00000000-0005-0000-0000-000075B00000}"/>
    <cellStyle name="Normal 4 5 4 2 2 2 5 2" xfId="26987" xr:uid="{00000000-0005-0000-0000-000076B00000}"/>
    <cellStyle name="Normal 4 5 4 2 2 2 5 2 2" xfId="54120" xr:uid="{00000000-0005-0000-0000-000077B00000}"/>
    <cellStyle name="Normal 4 5 4 2 2 2 5 3" xfId="40558" xr:uid="{00000000-0005-0000-0000-000078B00000}"/>
    <cellStyle name="Normal 4 5 4 2 2 2 6" xfId="20206" xr:uid="{00000000-0005-0000-0000-000079B00000}"/>
    <cellStyle name="Normal 4 5 4 2 2 2 6 2" xfId="47339" xr:uid="{00000000-0005-0000-0000-00007AB00000}"/>
    <cellStyle name="Normal 4 5 4 2 2 2 7" xfId="33777" xr:uid="{00000000-0005-0000-0000-00007BB00000}"/>
    <cellStyle name="Normal 4 5 4 2 2 3" xfId="6490" xr:uid="{00000000-0005-0000-0000-00007CB00000}"/>
    <cellStyle name="Normal 4 5 4 2 2 3 2" xfId="6491" xr:uid="{00000000-0005-0000-0000-00007DB00000}"/>
    <cellStyle name="Normal 4 5 4 2 2 3 2 2" xfId="10023" xr:uid="{00000000-0005-0000-0000-00007EB00000}"/>
    <cellStyle name="Normal 4 5 4 2 2 3 2 2 2" xfId="16812" xr:uid="{00000000-0005-0000-0000-00007FB00000}"/>
    <cellStyle name="Normal 4 5 4 2 2 3 2 2 2 2" xfId="30380" xr:uid="{00000000-0005-0000-0000-000080B00000}"/>
    <cellStyle name="Normal 4 5 4 2 2 3 2 2 2 2 2" xfId="57513" xr:uid="{00000000-0005-0000-0000-000081B00000}"/>
    <cellStyle name="Normal 4 5 4 2 2 3 2 2 2 3" xfId="43951" xr:uid="{00000000-0005-0000-0000-000082B00000}"/>
    <cellStyle name="Normal 4 5 4 2 2 3 2 2 3" xfId="23599" xr:uid="{00000000-0005-0000-0000-000083B00000}"/>
    <cellStyle name="Normal 4 5 4 2 2 3 2 2 3 2" xfId="50732" xr:uid="{00000000-0005-0000-0000-000084B00000}"/>
    <cellStyle name="Normal 4 5 4 2 2 3 2 2 4" xfId="37170" xr:uid="{00000000-0005-0000-0000-000085B00000}"/>
    <cellStyle name="Normal 4 5 4 2 2 3 2 3" xfId="13423" xr:uid="{00000000-0005-0000-0000-000086B00000}"/>
    <cellStyle name="Normal 4 5 4 2 2 3 2 3 2" xfId="26991" xr:uid="{00000000-0005-0000-0000-000087B00000}"/>
    <cellStyle name="Normal 4 5 4 2 2 3 2 3 2 2" xfId="54124" xr:uid="{00000000-0005-0000-0000-000088B00000}"/>
    <cellStyle name="Normal 4 5 4 2 2 3 2 3 3" xfId="40562" xr:uid="{00000000-0005-0000-0000-000089B00000}"/>
    <cellStyle name="Normal 4 5 4 2 2 3 2 4" xfId="20210" xr:uid="{00000000-0005-0000-0000-00008AB00000}"/>
    <cellStyle name="Normal 4 5 4 2 2 3 2 4 2" xfId="47343" xr:uid="{00000000-0005-0000-0000-00008BB00000}"/>
    <cellStyle name="Normal 4 5 4 2 2 3 2 5" xfId="33781" xr:uid="{00000000-0005-0000-0000-00008CB00000}"/>
    <cellStyle name="Normal 4 5 4 2 2 3 3" xfId="10022" xr:uid="{00000000-0005-0000-0000-00008DB00000}"/>
    <cellStyle name="Normal 4 5 4 2 2 3 3 2" xfId="16811" xr:uid="{00000000-0005-0000-0000-00008EB00000}"/>
    <cellStyle name="Normal 4 5 4 2 2 3 3 2 2" xfId="30379" xr:uid="{00000000-0005-0000-0000-00008FB00000}"/>
    <cellStyle name="Normal 4 5 4 2 2 3 3 2 2 2" xfId="57512" xr:uid="{00000000-0005-0000-0000-000090B00000}"/>
    <cellStyle name="Normal 4 5 4 2 2 3 3 2 3" xfId="43950" xr:uid="{00000000-0005-0000-0000-000091B00000}"/>
    <cellStyle name="Normal 4 5 4 2 2 3 3 3" xfId="23598" xr:uid="{00000000-0005-0000-0000-000092B00000}"/>
    <cellStyle name="Normal 4 5 4 2 2 3 3 3 2" xfId="50731" xr:uid="{00000000-0005-0000-0000-000093B00000}"/>
    <cellStyle name="Normal 4 5 4 2 2 3 3 4" xfId="37169" xr:uid="{00000000-0005-0000-0000-000094B00000}"/>
    <cellStyle name="Normal 4 5 4 2 2 3 4" xfId="13422" xr:uid="{00000000-0005-0000-0000-000095B00000}"/>
    <cellStyle name="Normal 4 5 4 2 2 3 4 2" xfId="26990" xr:uid="{00000000-0005-0000-0000-000096B00000}"/>
    <cellStyle name="Normal 4 5 4 2 2 3 4 2 2" xfId="54123" xr:uid="{00000000-0005-0000-0000-000097B00000}"/>
    <cellStyle name="Normal 4 5 4 2 2 3 4 3" xfId="40561" xr:uid="{00000000-0005-0000-0000-000098B00000}"/>
    <cellStyle name="Normal 4 5 4 2 2 3 5" xfId="20209" xr:uid="{00000000-0005-0000-0000-000099B00000}"/>
    <cellStyle name="Normal 4 5 4 2 2 3 5 2" xfId="47342" xr:uid="{00000000-0005-0000-0000-00009AB00000}"/>
    <cellStyle name="Normal 4 5 4 2 2 3 6" xfId="33780" xr:uid="{00000000-0005-0000-0000-00009BB00000}"/>
    <cellStyle name="Normal 4 5 4 2 2 4" xfId="6492" xr:uid="{00000000-0005-0000-0000-00009CB00000}"/>
    <cellStyle name="Normal 4 5 4 2 2 4 2" xfId="10024" xr:uid="{00000000-0005-0000-0000-00009DB00000}"/>
    <cellStyle name="Normal 4 5 4 2 2 4 2 2" xfId="16813" xr:uid="{00000000-0005-0000-0000-00009EB00000}"/>
    <cellStyle name="Normal 4 5 4 2 2 4 2 2 2" xfId="30381" xr:uid="{00000000-0005-0000-0000-00009FB00000}"/>
    <cellStyle name="Normal 4 5 4 2 2 4 2 2 2 2" xfId="57514" xr:uid="{00000000-0005-0000-0000-0000A0B00000}"/>
    <cellStyle name="Normal 4 5 4 2 2 4 2 2 3" xfId="43952" xr:uid="{00000000-0005-0000-0000-0000A1B00000}"/>
    <cellStyle name="Normal 4 5 4 2 2 4 2 3" xfId="23600" xr:uid="{00000000-0005-0000-0000-0000A2B00000}"/>
    <cellStyle name="Normal 4 5 4 2 2 4 2 3 2" xfId="50733" xr:uid="{00000000-0005-0000-0000-0000A3B00000}"/>
    <cellStyle name="Normal 4 5 4 2 2 4 2 4" xfId="37171" xr:uid="{00000000-0005-0000-0000-0000A4B00000}"/>
    <cellStyle name="Normal 4 5 4 2 2 4 3" xfId="13424" xr:uid="{00000000-0005-0000-0000-0000A5B00000}"/>
    <cellStyle name="Normal 4 5 4 2 2 4 3 2" xfId="26992" xr:uid="{00000000-0005-0000-0000-0000A6B00000}"/>
    <cellStyle name="Normal 4 5 4 2 2 4 3 2 2" xfId="54125" xr:uid="{00000000-0005-0000-0000-0000A7B00000}"/>
    <cellStyle name="Normal 4 5 4 2 2 4 3 3" xfId="40563" xr:uid="{00000000-0005-0000-0000-0000A8B00000}"/>
    <cellStyle name="Normal 4 5 4 2 2 4 4" xfId="20211" xr:uid="{00000000-0005-0000-0000-0000A9B00000}"/>
    <cellStyle name="Normal 4 5 4 2 2 4 4 2" xfId="47344" xr:uid="{00000000-0005-0000-0000-0000AAB00000}"/>
    <cellStyle name="Normal 4 5 4 2 2 4 5" xfId="33782" xr:uid="{00000000-0005-0000-0000-0000ABB00000}"/>
    <cellStyle name="Normal 4 5 4 2 2 5" xfId="6493" xr:uid="{00000000-0005-0000-0000-0000ACB00000}"/>
    <cellStyle name="Normal 4 5 4 2 2 5 2" xfId="10025" xr:uid="{00000000-0005-0000-0000-0000ADB00000}"/>
    <cellStyle name="Normal 4 5 4 2 2 5 2 2" xfId="16814" xr:uid="{00000000-0005-0000-0000-0000AEB00000}"/>
    <cellStyle name="Normal 4 5 4 2 2 5 2 2 2" xfId="30382" xr:uid="{00000000-0005-0000-0000-0000AFB00000}"/>
    <cellStyle name="Normal 4 5 4 2 2 5 2 2 2 2" xfId="57515" xr:uid="{00000000-0005-0000-0000-0000B0B00000}"/>
    <cellStyle name="Normal 4 5 4 2 2 5 2 2 3" xfId="43953" xr:uid="{00000000-0005-0000-0000-0000B1B00000}"/>
    <cellStyle name="Normal 4 5 4 2 2 5 2 3" xfId="23601" xr:uid="{00000000-0005-0000-0000-0000B2B00000}"/>
    <cellStyle name="Normal 4 5 4 2 2 5 2 3 2" xfId="50734" xr:uid="{00000000-0005-0000-0000-0000B3B00000}"/>
    <cellStyle name="Normal 4 5 4 2 2 5 2 4" xfId="37172" xr:uid="{00000000-0005-0000-0000-0000B4B00000}"/>
    <cellStyle name="Normal 4 5 4 2 2 5 3" xfId="13425" xr:uid="{00000000-0005-0000-0000-0000B5B00000}"/>
    <cellStyle name="Normal 4 5 4 2 2 5 3 2" xfId="26993" xr:uid="{00000000-0005-0000-0000-0000B6B00000}"/>
    <cellStyle name="Normal 4 5 4 2 2 5 3 2 2" xfId="54126" xr:uid="{00000000-0005-0000-0000-0000B7B00000}"/>
    <cellStyle name="Normal 4 5 4 2 2 5 3 3" xfId="40564" xr:uid="{00000000-0005-0000-0000-0000B8B00000}"/>
    <cellStyle name="Normal 4 5 4 2 2 5 4" xfId="20212" xr:uid="{00000000-0005-0000-0000-0000B9B00000}"/>
    <cellStyle name="Normal 4 5 4 2 2 5 4 2" xfId="47345" xr:uid="{00000000-0005-0000-0000-0000BAB00000}"/>
    <cellStyle name="Normal 4 5 4 2 2 5 5" xfId="33783" xr:uid="{00000000-0005-0000-0000-0000BBB00000}"/>
    <cellStyle name="Normal 4 5 4 2 2 6" xfId="10018" xr:uid="{00000000-0005-0000-0000-0000BCB00000}"/>
    <cellStyle name="Normal 4 5 4 2 2 6 2" xfId="16807" xr:uid="{00000000-0005-0000-0000-0000BDB00000}"/>
    <cellStyle name="Normal 4 5 4 2 2 6 2 2" xfId="30375" xr:uid="{00000000-0005-0000-0000-0000BEB00000}"/>
    <cellStyle name="Normal 4 5 4 2 2 6 2 2 2" xfId="57508" xr:uid="{00000000-0005-0000-0000-0000BFB00000}"/>
    <cellStyle name="Normal 4 5 4 2 2 6 2 3" xfId="43946" xr:uid="{00000000-0005-0000-0000-0000C0B00000}"/>
    <cellStyle name="Normal 4 5 4 2 2 6 3" xfId="23594" xr:uid="{00000000-0005-0000-0000-0000C1B00000}"/>
    <cellStyle name="Normal 4 5 4 2 2 6 3 2" xfId="50727" xr:uid="{00000000-0005-0000-0000-0000C2B00000}"/>
    <cellStyle name="Normal 4 5 4 2 2 6 4" xfId="37165" xr:uid="{00000000-0005-0000-0000-0000C3B00000}"/>
    <cellStyle name="Normal 4 5 4 2 2 7" xfId="13418" xr:uid="{00000000-0005-0000-0000-0000C4B00000}"/>
    <cellStyle name="Normal 4 5 4 2 2 7 2" xfId="26986" xr:uid="{00000000-0005-0000-0000-0000C5B00000}"/>
    <cellStyle name="Normal 4 5 4 2 2 7 2 2" xfId="54119" xr:uid="{00000000-0005-0000-0000-0000C6B00000}"/>
    <cellStyle name="Normal 4 5 4 2 2 7 3" xfId="40557" xr:uid="{00000000-0005-0000-0000-0000C7B00000}"/>
    <cellStyle name="Normal 4 5 4 2 2 8" xfId="20205" xr:uid="{00000000-0005-0000-0000-0000C8B00000}"/>
    <cellStyle name="Normal 4 5 4 2 2 8 2" xfId="47338" xr:uid="{00000000-0005-0000-0000-0000C9B00000}"/>
    <cellStyle name="Normal 4 5 4 2 2 9" xfId="33776" xr:uid="{00000000-0005-0000-0000-0000CAB00000}"/>
    <cellStyle name="Normal 4 5 4 2 3" xfId="6494" xr:uid="{00000000-0005-0000-0000-0000CBB00000}"/>
    <cellStyle name="Normal 4 5 4 2 3 2" xfId="6495" xr:uid="{00000000-0005-0000-0000-0000CCB00000}"/>
    <cellStyle name="Normal 4 5 4 2 3 2 2" xfId="10027" xr:uid="{00000000-0005-0000-0000-0000CDB00000}"/>
    <cellStyle name="Normal 4 5 4 2 3 2 2 2" xfId="16816" xr:uid="{00000000-0005-0000-0000-0000CEB00000}"/>
    <cellStyle name="Normal 4 5 4 2 3 2 2 2 2" xfId="30384" xr:uid="{00000000-0005-0000-0000-0000CFB00000}"/>
    <cellStyle name="Normal 4 5 4 2 3 2 2 2 2 2" xfId="57517" xr:uid="{00000000-0005-0000-0000-0000D0B00000}"/>
    <cellStyle name="Normal 4 5 4 2 3 2 2 2 3" xfId="43955" xr:uid="{00000000-0005-0000-0000-0000D1B00000}"/>
    <cellStyle name="Normal 4 5 4 2 3 2 2 3" xfId="23603" xr:uid="{00000000-0005-0000-0000-0000D2B00000}"/>
    <cellStyle name="Normal 4 5 4 2 3 2 2 3 2" xfId="50736" xr:uid="{00000000-0005-0000-0000-0000D3B00000}"/>
    <cellStyle name="Normal 4 5 4 2 3 2 2 4" xfId="37174" xr:uid="{00000000-0005-0000-0000-0000D4B00000}"/>
    <cellStyle name="Normal 4 5 4 2 3 2 3" xfId="13427" xr:uid="{00000000-0005-0000-0000-0000D5B00000}"/>
    <cellStyle name="Normal 4 5 4 2 3 2 3 2" xfId="26995" xr:uid="{00000000-0005-0000-0000-0000D6B00000}"/>
    <cellStyle name="Normal 4 5 4 2 3 2 3 2 2" xfId="54128" xr:uid="{00000000-0005-0000-0000-0000D7B00000}"/>
    <cellStyle name="Normal 4 5 4 2 3 2 3 3" xfId="40566" xr:uid="{00000000-0005-0000-0000-0000D8B00000}"/>
    <cellStyle name="Normal 4 5 4 2 3 2 4" xfId="20214" xr:uid="{00000000-0005-0000-0000-0000D9B00000}"/>
    <cellStyle name="Normal 4 5 4 2 3 2 4 2" xfId="47347" xr:uid="{00000000-0005-0000-0000-0000DAB00000}"/>
    <cellStyle name="Normal 4 5 4 2 3 2 5" xfId="33785" xr:uid="{00000000-0005-0000-0000-0000DBB00000}"/>
    <cellStyle name="Normal 4 5 4 2 3 3" xfId="6496" xr:uid="{00000000-0005-0000-0000-0000DCB00000}"/>
    <cellStyle name="Normal 4 5 4 2 3 3 2" xfId="10028" xr:uid="{00000000-0005-0000-0000-0000DDB00000}"/>
    <cellStyle name="Normal 4 5 4 2 3 3 2 2" xfId="16817" xr:uid="{00000000-0005-0000-0000-0000DEB00000}"/>
    <cellStyle name="Normal 4 5 4 2 3 3 2 2 2" xfId="30385" xr:uid="{00000000-0005-0000-0000-0000DFB00000}"/>
    <cellStyle name="Normal 4 5 4 2 3 3 2 2 2 2" xfId="57518" xr:uid="{00000000-0005-0000-0000-0000E0B00000}"/>
    <cellStyle name="Normal 4 5 4 2 3 3 2 2 3" xfId="43956" xr:uid="{00000000-0005-0000-0000-0000E1B00000}"/>
    <cellStyle name="Normal 4 5 4 2 3 3 2 3" xfId="23604" xr:uid="{00000000-0005-0000-0000-0000E2B00000}"/>
    <cellStyle name="Normal 4 5 4 2 3 3 2 3 2" xfId="50737" xr:uid="{00000000-0005-0000-0000-0000E3B00000}"/>
    <cellStyle name="Normal 4 5 4 2 3 3 2 4" xfId="37175" xr:uid="{00000000-0005-0000-0000-0000E4B00000}"/>
    <cellStyle name="Normal 4 5 4 2 3 3 3" xfId="13428" xr:uid="{00000000-0005-0000-0000-0000E5B00000}"/>
    <cellStyle name="Normal 4 5 4 2 3 3 3 2" xfId="26996" xr:uid="{00000000-0005-0000-0000-0000E6B00000}"/>
    <cellStyle name="Normal 4 5 4 2 3 3 3 2 2" xfId="54129" xr:uid="{00000000-0005-0000-0000-0000E7B00000}"/>
    <cellStyle name="Normal 4 5 4 2 3 3 3 3" xfId="40567" xr:uid="{00000000-0005-0000-0000-0000E8B00000}"/>
    <cellStyle name="Normal 4 5 4 2 3 3 4" xfId="20215" xr:uid="{00000000-0005-0000-0000-0000E9B00000}"/>
    <cellStyle name="Normal 4 5 4 2 3 3 4 2" xfId="47348" xr:uid="{00000000-0005-0000-0000-0000EAB00000}"/>
    <cellStyle name="Normal 4 5 4 2 3 3 5" xfId="33786" xr:uid="{00000000-0005-0000-0000-0000EBB00000}"/>
    <cellStyle name="Normal 4 5 4 2 3 4" xfId="10026" xr:uid="{00000000-0005-0000-0000-0000ECB00000}"/>
    <cellStyle name="Normal 4 5 4 2 3 4 2" xfId="16815" xr:uid="{00000000-0005-0000-0000-0000EDB00000}"/>
    <cellStyle name="Normal 4 5 4 2 3 4 2 2" xfId="30383" xr:uid="{00000000-0005-0000-0000-0000EEB00000}"/>
    <cellStyle name="Normal 4 5 4 2 3 4 2 2 2" xfId="57516" xr:uid="{00000000-0005-0000-0000-0000EFB00000}"/>
    <cellStyle name="Normal 4 5 4 2 3 4 2 3" xfId="43954" xr:uid="{00000000-0005-0000-0000-0000F0B00000}"/>
    <cellStyle name="Normal 4 5 4 2 3 4 3" xfId="23602" xr:uid="{00000000-0005-0000-0000-0000F1B00000}"/>
    <cellStyle name="Normal 4 5 4 2 3 4 3 2" xfId="50735" xr:uid="{00000000-0005-0000-0000-0000F2B00000}"/>
    <cellStyle name="Normal 4 5 4 2 3 4 4" xfId="37173" xr:uid="{00000000-0005-0000-0000-0000F3B00000}"/>
    <cellStyle name="Normal 4 5 4 2 3 5" xfId="13426" xr:uid="{00000000-0005-0000-0000-0000F4B00000}"/>
    <cellStyle name="Normal 4 5 4 2 3 5 2" xfId="26994" xr:uid="{00000000-0005-0000-0000-0000F5B00000}"/>
    <cellStyle name="Normal 4 5 4 2 3 5 2 2" xfId="54127" xr:uid="{00000000-0005-0000-0000-0000F6B00000}"/>
    <cellStyle name="Normal 4 5 4 2 3 5 3" xfId="40565" xr:uid="{00000000-0005-0000-0000-0000F7B00000}"/>
    <cellStyle name="Normal 4 5 4 2 3 6" xfId="20213" xr:uid="{00000000-0005-0000-0000-0000F8B00000}"/>
    <cellStyle name="Normal 4 5 4 2 3 6 2" xfId="47346" xr:uid="{00000000-0005-0000-0000-0000F9B00000}"/>
    <cellStyle name="Normal 4 5 4 2 3 7" xfId="33784" xr:uid="{00000000-0005-0000-0000-0000FAB00000}"/>
    <cellStyle name="Normal 4 5 4 2 4" xfId="6497" xr:uid="{00000000-0005-0000-0000-0000FBB00000}"/>
    <cellStyle name="Normal 4 5 4 2 4 2" xfId="6498" xr:uid="{00000000-0005-0000-0000-0000FCB00000}"/>
    <cellStyle name="Normal 4 5 4 2 4 2 2" xfId="10030" xr:uid="{00000000-0005-0000-0000-0000FDB00000}"/>
    <cellStyle name="Normal 4 5 4 2 4 2 2 2" xfId="16819" xr:uid="{00000000-0005-0000-0000-0000FEB00000}"/>
    <cellStyle name="Normal 4 5 4 2 4 2 2 2 2" xfId="30387" xr:uid="{00000000-0005-0000-0000-0000FFB00000}"/>
    <cellStyle name="Normal 4 5 4 2 4 2 2 2 2 2" xfId="57520" xr:uid="{00000000-0005-0000-0000-000000B10000}"/>
    <cellStyle name="Normal 4 5 4 2 4 2 2 2 3" xfId="43958" xr:uid="{00000000-0005-0000-0000-000001B10000}"/>
    <cellStyle name="Normal 4 5 4 2 4 2 2 3" xfId="23606" xr:uid="{00000000-0005-0000-0000-000002B10000}"/>
    <cellStyle name="Normal 4 5 4 2 4 2 2 3 2" xfId="50739" xr:uid="{00000000-0005-0000-0000-000003B10000}"/>
    <cellStyle name="Normal 4 5 4 2 4 2 2 4" xfId="37177" xr:uid="{00000000-0005-0000-0000-000004B10000}"/>
    <cellStyle name="Normal 4 5 4 2 4 2 3" xfId="13430" xr:uid="{00000000-0005-0000-0000-000005B10000}"/>
    <cellStyle name="Normal 4 5 4 2 4 2 3 2" xfId="26998" xr:uid="{00000000-0005-0000-0000-000006B10000}"/>
    <cellStyle name="Normal 4 5 4 2 4 2 3 2 2" xfId="54131" xr:uid="{00000000-0005-0000-0000-000007B10000}"/>
    <cellStyle name="Normal 4 5 4 2 4 2 3 3" xfId="40569" xr:uid="{00000000-0005-0000-0000-000008B10000}"/>
    <cellStyle name="Normal 4 5 4 2 4 2 4" xfId="20217" xr:uid="{00000000-0005-0000-0000-000009B10000}"/>
    <cellStyle name="Normal 4 5 4 2 4 2 4 2" xfId="47350" xr:uid="{00000000-0005-0000-0000-00000AB10000}"/>
    <cellStyle name="Normal 4 5 4 2 4 2 5" xfId="33788" xr:uid="{00000000-0005-0000-0000-00000BB10000}"/>
    <cellStyle name="Normal 4 5 4 2 4 3" xfId="10029" xr:uid="{00000000-0005-0000-0000-00000CB10000}"/>
    <cellStyle name="Normal 4 5 4 2 4 3 2" xfId="16818" xr:uid="{00000000-0005-0000-0000-00000DB10000}"/>
    <cellStyle name="Normal 4 5 4 2 4 3 2 2" xfId="30386" xr:uid="{00000000-0005-0000-0000-00000EB10000}"/>
    <cellStyle name="Normal 4 5 4 2 4 3 2 2 2" xfId="57519" xr:uid="{00000000-0005-0000-0000-00000FB10000}"/>
    <cellStyle name="Normal 4 5 4 2 4 3 2 3" xfId="43957" xr:uid="{00000000-0005-0000-0000-000010B10000}"/>
    <cellStyle name="Normal 4 5 4 2 4 3 3" xfId="23605" xr:uid="{00000000-0005-0000-0000-000011B10000}"/>
    <cellStyle name="Normal 4 5 4 2 4 3 3 2" xfId="50738" xr:uid="{00000000-0005-0000-0000-000012B10000}"/>
    <cellStyle name="Normal 4 5 4 2 4 3 4" xfId="37176" xr:uid="{00000000-0005-0000-0000-000013B10000}"/>
    <cellStyle name="Normal 4 5 4 2 4 4" xfId="13429" xr:uid="{00000000-0005-0000-0000-000014B10000}"/>
    <cellStyle name="Normal 4 5 4 2 4 4 2" xfId="26997" xr:uid="{00000000-0005-0000-0000-000015B10000}"/>
    <cellStyle name="Normal 4 5 4 2 4 4 2 2" xfId="54130" xr:uid="{00000000-0005-0000-0000-000016B10000}"/>
    <cellStyle name="Normal 4 5 4 2 4 4 3" xfId="40568" xr:uid="{00000000-0005-0000-0000-000017B10000}"/>
    <cellStyle name="Normal 4 5 4 2 4 5" xfId="20216" xr:uid="{00000000-0005-0000-0000-000018B10000}"/>
    <cellStyle name="Normal 4 5 4 2 4 5 2" xfId="47349" xr:uid="{00000000-0005-0000-0000-000019B10000}"/>
    <cellStyle name="Normal 4 5 4 2 4 6" xfId="33787" xr:uid="{00000000-0005-0000-0000-00001AB10000}"/>
    <cellStyle name="Normal 4 5 4 2 5" xfId="6499" xr:uid="{00000000-0005-0000-0000-00001BB10000}"/>
    <cellStyle name="Normal 4 5 4 2 5 2" xfId="10031" xr:uid="{00000000-0005-0000-0000-00001CB10000}"/>
    <cellStyle name="Normal 4 5 4 2 5 2 2" xfId="16820" xr:uid="{00000000-0005-0000-0000-00001DB10000}"/>
    <cellStyle name="Normal 4 5 4 2 5 2 2 2" xfId="30388" xr:uid="{00000000-0005-0000-0000-00001EB10000}"/>
    <cellStyle name="Normal 4 5 4 2 5 2 2 2 2" xfId="57521" xr:uid="{00000000-0005-0000-0000-00001FB10000}"/>
    <cellStyle name="Normal 4 5 4 2 5 2 2 3" xfId="43959" xr:uid="{00000000-0005-0000-0000-000020B10000}"/>
    <cellStyle name="Normal 4 5 4 2 5 2 3" xfId="23607" xr:uid="{00000000-0005-0000-0000-000021B10000}"/>
    <cellStyle name="Normal 4 5 4 2 5 2 3 2" xfId="50740" xr:uid="{00000000-0005-0000-0000-000022B10000}"/>
    <cellStyle name="Normal 4 5 4 2 5 2 4" xfId="37178" xr:uid="{00000000-0005-0000-0000-000023B10000}"/>
    <cellStyle name="Normal 4 5 4 2 5 3" xfId="13431" xr:uid="{00000000-0005-0000-0000-000024B10000}"/>
    <cellStyle name="Normal 4 5 4 2 5 3 2" xfId="26999" xr:uid="{00000000-0005-0000-0000-000025B10000}"/>
    <cellStyle name="Normal 4 5 4 2 5 3 2 2" xfId="54132" xr:uid="{00000000-0005-0000-0000-000026B10000}"/>
    <cellStyle name="Normal 4 5 4 2 5 3 3" xfId="40570" xr:uid="{00000000-0005-0000-0000-000027B10000}"/>
    <cellStyle name="Normal 4 5 4 2 5 4" xfId="20218" xr:uid="{00000000-0005-0000-0000-000028B10000}"/>
    <cellStyle name="Normal 4 5 4 2 5 4 2" xfId="47351" xr:uid="{00000000-0005-0000-0000-000029B10000}"/>
    <cellStyle name="Normal 4 5 4 2 5 5" xfId="33789" xr:uid="{00000000-0005-0000-0000-00002AB10000}"/>
    <cellStyle name="Normal 4 5 4 2 6" xfId="6500" xr:uid="{00000000-0005-0000-0000-00002BB10000}"/>
    <cellStyle name="Normal 4 5 4 2 6 2" xfId="10032" xr:uid="{00000000-0005-0000-0000-00002CB10000}"/>
    <cellStyle name="Normal 4 5 4 2 6 2 2" xfId="16821" xr:uid="{00000000-0005-0000-0000-00002DB10000}"/>
    <cellStyle name="Normal 4 5 4 2 6 2 2 2" xfId="30389" xr:uid="{00000000-0005-0000-0000-00002EB10000}"/>
    <cellStyle name="Normal 4 5 4 2 6 2 2 2 2" xfId="57522" xr:uid="{00000000-0005-0000-0000-00002FB10000}"/>
    <cellStyle name="Normal 4 5 4 2 6 2 2 3" xfId="43960" xr:uid="{00000000-0005-0000-0000-000030B10000}"/>
    <cellStyle name="Normal 4 5 4 2 6 2 3" xfId="23608" xr:uid="{00000000-0005-0000-0000-000031B10000}"/>
    <cellStyle name="Normal 4 5 4 2 6 2 3 2" xfId="50741" xr:uid="{00000000-0005-0000-0000-000032B10000}"/>
    <cellStyle name="Normal 4 5 4 2 6 2 4" xfId="37179" xr:uid="{00000000-0005-0000-0000-000033B10000}"/>
    <cellStyle name="Normal 4 5 4 2 6 3" xfId="13432" xr:uid="{00000000-0005-0000-0000-000034B10000}"/>
    <cellStyle name="Normal 4 5 4 2 6 3 2" xfId="27000" xr:uid="{00000000-0005-0000-0000-000035B10000}"/>
    <cellStyle name="Normal 4 5 4 2 6 3 2 2" xfId="54133" xr:uid="{00000000-0005-0000-0000-000036B10000}"/>
    <cellStyle name="Normal 4 5 4 2 6 3 3" xfId="40571" xr:uid="{00000000-0005-0000-0000-000037B10000}"/>
    <cellStyle name="Normal 4 5 4 2 6 4" xfId="20219" xr:uid="{00000000-0005-0000-0000-000038B10000}"/>
    <cellStyle name="Normal 4 5 4 2 6 4 2" xfId="47352" xr:uid="{00000000-0005-0000-0000-000039B10000}"/>
    <cellStyle name="Normal 4 5 4 2 6 5" xfId="33790" xr:uid="{00000000-0005-0000-0000-00003AB10000}"/>
    <cellStyle name="Normal 4 5 4 2 7" xfId="10017" xr:uid="{00000000-0005-0000-0000-00003BB10000}"/>
    <cellStyle name="Normal 4 5 4 2 7 2" xfId="16806" xr:uid="{00000000-0005-0000-0000-00003CB10000}"/>
    <cellStyle name="Normal 4 5 4 2 7 2 2" xfId="30374" xr:uid="{00000000-0005-0000-0000-00003DB10000}"/>
    <cellStyle name="Normal 4 5 4 2 7 2 2 2" xfId="57507" xr:uid="{00000000-0005-0000-0000-00003EB10000}"/>
    <cellStyle name="Normal 4 5 4 2 7 2 3" xfId="43945" xr:uid="{00000000-0005-0000-0000-00003FB10000}"/>
    <cellStyle name="Normal 4 5 4 2 7 3" xfId="23593" xr:uid="{00000000-0005-0000-0000-000040B10000}"/>
    <cellStyle name="Normal 4 5 4 2 7 3 2" xfId="50726" xr:uid="{00000000-0005-0000-0000-000041B10000}"/>
    <cellStyle name="Normal 4 5 4 2 7 4" xfId="37164" xr:uid="{00000000-0005-0000-0000-000042B10000}"/>
    <cellStyle name="Normal 4 5 4 2 8" xfId="13417" xr:uid="{00000000-0005-0000-0000-000043B10000}"/>
    <cellStyle name="Normal 4 5 4 2 8 2" xfId="26985" xr:uid="{00000000-0005-0000-0000-000044B10000}"/>
    <cellStyle name="Normal 4 5 4 2 8 2 2" xfId="54118" xr:uid="{00000000-0005-0000-0000-000045B10000}"/>
    <cellStyle name="Normal 4 5 4 2 8 3" xfId="40556" xr:uid="{00000000-0005-0000-0000-000046B10000}"/>
    <cellStyle name="Normal 4 5 4 2 9" xfId="20204" xr:uid="{00000000-0005-0000-0000-000047B10000}"/>
    <cellStyle name="Normal 4 5 4 2 9 2" xfId="47337" xr:uid="{00000000-0005-0000-0000-000048B10000}"/>
    <cellStyle name="Normal 4 5 4 3" xfId="6501" xr:uid="{00000000-0005-0000-0000-000049B10000}"/>
    <cellStyle name="Normal 4 5 4 3 2" xfId="6502" xr:uid="{00000000-0005-0000-0000-00004AB10000}"/>
    <cellStyle name="Normal 4 5 4 3 2 2" xfId="6503" xr:uid="{00000000-0005-0000-0000-00004BB10000}"/>
    <cellStyle name="Normal 4 5 4 3 2 2 2" xfId="10035" xr:uid="{00000000-0005-0000-0000-00004CB10000}"/>
    <cellStyle name="Normal 4 5 4 3 2 2 2 2" xfId="16824" xr:uid="{00000000-0005-0000-0000-00004DB10000}"/>
    <cellStyle name="Normal 4 5 4 3 2 2 2 2 2" xfId="30392" xr:uid="{00000000-0005-0000-0000-00004EB10000}"/>
    <cellStyle name="Normal 4 5 4 3 2 2 2 2 2 2" xfId="57525" xr:uid="{00000000-0005-0000-0000-00004FB10000}"/>
    <cellStyle name="Normal 4 5 4 3 2 2 2 2 3" xfId="43963" xr:uid="{00000000-0005-0000-0000-000050B10000}"/>
    <cellStyle name="Normal 4 5 4 3 2 2 2 3" xfId="23611" xr:uid="{00000000-0005-0000-0000-000051B10000}"/>
    <cellStyle name="Normal 4 5 4 3 2 2 2 3 2" xfId="50744" xr:uid="{00000000-0005-0000-0000-000052B10000}"/>
    <cellStyle name="Normal 4 5 4 3 2 2 2 4" xfId="37182" xr:uid="{00000000-0005-0000-0000-000053B10000}"/>
    <cellStyle name="Normal 4 5 4 3 2 2 3" xfId="13435" xr:uid="{00000000-0005-0000-0000-000054B10000}"/>
    <cellStyle name="Normal 4 5 4 3 2 2 3 2" xfId="27003" xr:uid="{00000000-0005-0000-0000-000055B10000}"/>
    <cellStyle name="Normal 4 5 4 3 2 2 3 2 2" xfId="54136" xr:uid="{00000000-0005-0000-0000-000056B10000}"/>
    <cellStyle name="Normal 4 5 4 3 2 2 3 3" xfId="40574" xr:uid="{00000000-0005-0000-0000-000057B10000}"/>
    <cellStyle name="Normal 4 5 4 3 2 2 4" xfId="20222" xr:uid="{00000000-0005-0000-0000-000058B10000}"/>
    <cellStyle name="Normal 4 5 4 3 2 2 4 2" xfId="47355" xr:uid="{00000000-0005-0000-0000-000059B10000}"/>
    <cellStyle name="Normal 4 5 4 3 2 2 5" xfId="33793" xr:uid="{00000000-0005-0000-0000-00005AB10000}"/>
    <cellStyle name="Normal 4 5 4 3 2 3" xfId="6504" xr:uid="{00000000-0005-0000-0000-00005BB10000}"/>
    <cellStyle name="Normal 4 5 4 3 2 3 2" xfId="10036" xr:uid="{00000000-0005-0000-0000-00005CB10000}"/>
    <cellStyle name="Normal 4 5 4 3 2 3 2 2" xfId="16825" xr:uid="{00000000-0005-0000-0000-00005DB10000}"/>
    <cellStyle name="Normal 4 5 4 3 2 3 2 2 2" xfId="30393" xr:uid="{00000000-0005-0000-0000-00005EB10000}"/>
    <cellStyle name="Normal 4 5 4 3 2 3 2 2 2 2" xfId="57526" xr:uid="{00000000-0005-0000-0000-00005FB10000}"/>
    <cellStyle name="Normal 4 5 4 3 2 3 2 2 3" xfId="43964" xr:uid="{00000000-0005-0000-0000-000060B10000}"/>
    <cellStyle name="Normal 4 5 4 3 2 3 2 3" xfId="23612" xr:uid="{00000000-0005-0000-0000-000061B10000}"/>
    <cellStyle name="Normal 4 5 4 3 2 3 2 3 2" xfId="50745" xr:uid="{00000000-0005-0000-0000-000062B10000}"/>
    <cellStyle name="Normal 4 5 4 3 2 3 2 4" xfId="37183" xr:uid="{00000000-0005-0000-0000-000063B10000}"/>
    <cellStyle name="Normal 4 5 4 3 2 3 3" xfId="13436" xr:uid="{00000000-0005-0000-0000-000064B10000}"/>
    <cellStyle name="Normal 4 5 4 3 2 3 3 2" xfId="27004" xr:uid="{00000000-0005-0000-0000-000065B10000}"/>
    <cellStyle name="Normal 4 5 4 3 2 3 3 2 2" xfId="54137" xr:uid="{00000000-0005-0000-0000-000066B10000}"/>
    <cellStyle name="Normal 4 5 4 3 2 3 3 3" xfId="40575" xr:uid="{00000000-0005-0000-0000-000067B10000}"/>
    <cellStyle name="Normal 4 5 4 3 2 3 4" xfId="20223" xr:uid="{00000000-0005-0000-0000-000068B10000}"/>
    <cellStyle name="Normal 4 5 4 3 2 3 4 2" xfId="47356" xr:uid="{00000000-0005-0000-0000-000069B10000}"/>
    <cellStyle name="Normal 4 5 4 3 2 3 5" xfId="33794" xr:uid="{00000000-0005-0000-0000-00006AB10000}"/>
    <cellStyle name="Normal 4 5 4 3 2 4" xfId="10034" xr:uid="{00000000-0005-0000-0000-00006BB10000}"/>
    <cellStyle name="Normal 4 5 4 3 2 4 2" xfId="16823" xr:uid="{00000000-0005-0000-0000-00006CB10000}"/>
    <cellStyle name="Normal 4 5 4 3 2 4 2 2" xfId="30391" xr:uid="{00000000-0005-0000-0000-00006DB10000}"/>
    <cellStyle name="Normal 4 5 4 3 2 4 2 2 2" xfId="57524" xr:uid="{00000000-0005-0000-0000-00006EB10000}"/>
    <cellStyle name="Normal 4 5 4 3 2 4 2 3" xfId="43962" xr:uid="{00000000-0005-0000-0000-00006FB10000}"/>
    <cellStyle name="Normal 4 5 4 3 2 4 3" xfId="23610" xr:uid="{00000000-0005-0000-0000-000070B10000}"/>
    <cellStyle name="Normal 4 5 4 3 2 4 3 2" xfId="50743" xr:uid="{00000000-0005-0000-0000-000071B10000}"/>
    <cellStyle name="Normal 4 5 4 3 2 4 4" xfId="37181" xr:uid="{00000000-0005-0000-0000-000072B10000}"/>
    <cellStyle name="Normal 4 5 4 3 2 5" xfId="13434" xr:uid="{00000000-0005-0000-0000-000073B10000}"/>
    <cellStyle name="Normal 4 5 4 3 2 5 2" xfId="27002" xr:uid="{00000000-0005-0000-0000-000074B10000}"/>
    <cellStyle name="Normal 4 5 4 3 2 5 2 2" xfId="54135" xr:uid="{00000000-0005-0000-0000-000075B10000}"/>
    <cellStyle name="Normal 4 5 4 3 2 5 3" xfId="40573" xr:uid="{00000000-0005-0000-0000-000076B10000}"/>
    <cellStyle name="Normal 4 5 4 3 2 6" xfId="20221" xr:uid="{00000000-0005-0000-0000-000077B10000}"/>
    <cellStyle name="Normal 4 5 4 3 2 6 2" xfId="47354" xr:uid="{00000000-0005-0000-0000-000078B10000}"/>
    <cellStyle name="Normal 4 5 4 3 2 7" xfId="33792" xr:uid="{00000000-0005-0000-0000-000079B10000}"/>
    <cellStyle name="Normal 4 5 4 3 3" xfId="6505" xr:uid="{00000000-0005-0000-0000-00007AB10000}"/>
    <cellStyle name="Normal 4 5 4 3 3 2" xfId="6506" xr:uid="{00000000-0005-0000-0000-00007BB10000}"/>
    <cellStyle name="Normal 4 5 4 3 3 2 2" xfId="10038" xr:uid="{00000000-0005-0000-0000-00007CB10000}"/>
    <cellStyle name="Normal 4 5 4 3 3 2 2 2" xfId="16827" xr:uid="{00000000-0005-0000-0000-00007DB10000}"/>
    <cellStyle name="Normal 4 5 4 3 3 2 2 2 2" xfId="30395" xr:uid="{00000000-0005-0000-0000-00007EB10000}"/>
    <cellStyle name="Normal 4 5 4 3 3 2 2 2 2 2" xfId="57528" xr:uid="{00000000-0005-0000-0000-00007FB10000}"/>
    <cellStyle name="Normal 4 5 4 3 3 2 2 2 3" xfId="43966" xr:uid="{00000000-0005-0000-0000-000080B10000}"/>
    <cellStyle name="Normal 4 5 4 3 3 2 2 3" xfId="23614" xr:uid="{00000000-0005-0000-0000-000081B10000}"/>
    <cellStyle name="Normal 4 5 4 3 3 2 2 3 2" xfId="50747" xr:uid="{00000000-0005-0000-0000-000082B10000}"/>
    <cellStyle name="Normal 4 5 4 3 3 2 2 4" xfId="37185" xr:uid="{00000000-0005-0000-0000-000083B10000}"/>
    <cellStyle name="Normal 4 5 4 3 3 2 3" xfId="13438" xr:uid="{00000000-0005-0000-0000-000084B10000}"/>
    <cellStyle name="Normal 4 5 4 3 3 2 3 2" xfId="27006" xr:uid="{00000000-0005-0000-0000-000085B10000}"/>
    <cellStyle name="Normal 4 5 4 3 3 2 3 2 2" xfId="54139" xr:uid="{00000000-0005-0000-0000-000086B10000}"/>
    <cellStyle name="Normal 4 5 4 3 3 2 3 3" xfId="40577" xr:uid="{00000000-0005-0000-0000-000087B10000}"/>
    <cellStyle name="Normal 4 5 4 3 3 2 4" xfId="20225" xr:uid="{00000000-0005-0000-0000-000088B10000}"/>
    <cellStyle name="Normal 4 5 4 3 3 2 4 2" xfId="47358" xr:uid="{00000000-0005-0000-0000-000089B10000}"/>
    <cellStyle name="Normal 4 5 4 3 3 2 5" xfId="33796" xr:uid="{00000000-0005-0000-0000-00008AB10000}"/>
    <cellStyle name="Normal 4 5 4 3 3 3" xfId="10037" xr:uid="{00000000-0005-0000-0000-00008BB10000}"/>
    <cellStyle name="Normal 4 5 4 3 3 3 2" xfId="16826" xr:uid="{00000000-0005-0000-0000-00008CB10000}"/>
    <cellStyle name="Normal 4 5 4 3 3 3 2 2" xfId="30394" xr:uid="{00000000-0005-0000-0000-00008DB10000}"/>
    <cellStyle name="Normal 4 5 4 3 3 3 2 2 2" xfId="57527" xr:uid="{00000000-0005-0000-0000-00008EB10000}"/>
    <cellStyle name="Normal 4 5 4 3 3 3 2 3" xfId="43965" xr:uid="{00000000-0005-0000-0000-00008FB10000}"/>
    <cellStyle name="Normal 4 5 4 3 3 3 3" xfId="23613" xr:uid="{00000000-0005-0000-0000-000090B10000}"/>
    <cellStyle name="Normal 4 5 4 3 3 3 3 2" xfId="50746" xr:uid="{00000000-0005-0000-0000-000091B10000}"/>
    <cellStyle name="Normal 4 5 4 3 3 3 4" xfId="37184" xr:uid="{00000000-0005-0000-0000-000092B10000}"/>
    <cellStyle name="Normal 4 5 4 3 3 4" xfId="13437" xr:uid="{00000000-0005-0000-0000-000093B10000}"/>
    <cellStyle name="Normal 4 5 4 3 3 4 2" xfId="27005" xr:uid="{00000000-0005-0000-0000-000094B10000}"/>
    <cellStyle name="Normal 4 5 4 3 3 4 2 2" xfId="54138" xr:uid="{00000000-0005-0000-0000-000095B10000}"/>
    <cellStyle name="Normal 4 5 4 3 3 4 3" xfId="40576" xr:uid="{00000000-0005-0000-0000-000096B10000}"/>
    <cellStyle name="Normal 4 5 4 3 3 5" xfId="20224" xr:uid="{00000000-0005-0000-0000-000097B10000}"/>
    <cellStyle name="Normal 4 5 4 3 3 5 2" xfId="47357" xr:uid="{00000000-0005-0000-0000-000098B10000}"/>
    <cellStyle name="Normal 4 5 4 3 3 6" xfId="33795" xr:uid="{00000000-0005-0000-0000-000099B10000}"/>
    <cellStyle name="Normal 4 5 4 3 4" xfId="6507" xr:uid="{00000000-0005-0000-0000-00009AB10000}"/>
    <cellStyle name="Normal 4 5 4 3 4 2" xfId="10039" xr:uid="{00000000-0005-0000-0000-00009BB10000}"/>
    <cellStyle name="Normal 4 5 4 3 4 2 2" xfId="16828" xr:uid="{00000000-0005-0000-0000-00009CB10000}"/>
    <cellStyle name="Normal 4 5 4 3 4 2 2 2" xfId="30396" xr:uid="{00000000-0005-0000-0000-00009DB10000}"/>
    <cellStyle name="Normal 4 5 4 3 4 2 2 2 2" xfId="57529" xr:uid="{00000000-0005-0000-0000-00009EB10000}"/>
    <cellStyle name="Normal 4 5 4 3 4 2 2 3" xfId="43967" xr:uid="{00000000-0005-0000-0000-00009FB10000}"/>
    <cellStyle name="Normal 4 5 4 3 4 2 3" xfId="23615" xr:uid="{00000000-0005-0000-0000-0000A0B10000}"/>
    <cellStyle name="Normal 4 5 4 3 4 2 3 2" xfId="50748" xr:uid="{00000000-0005-0000-0000-0000A1B10000}"/>
    <cellStyle name="Normal 4 5 4 3 4 2 4" xfId="37186" xr:uid="{00000000-0005-0000-0000-0000A2B10000}"/>
    <cellStyle name="Normal 4 5 4 3 4 3" xfId="13439" xr:uid="{00000000-0005-0000-0000-0000A3B10000}"/>
    <cellStyle name="Normal 4 5 4 3 4 3 2" xfId="27007" xr:uid="{00000000-0005-0000-0000-0000A4B10000}"/>
    <cellStyle name="Normal 4 5 4 3 4 3 2 2" xfId="54140" xr:uid="{00000000-0005-0000-0000-0000A5B10000}"/>
    <cellStyle name="Normal 4 5 4 3 4 3 3" xfId="40578" xr:uid="{00000000-0005-0000-0000-0000A6B10000}"/>
    <cellStyle name="Normal 4 5 4 3 4 4" xfId="20226" xr:uid="{00000000-0005-0000-0000-0000A7B10000}"/>
    <cellStyle name="Normal 4 5 4 3 4 4 2" xfId="47359" xr:uid="{00000000-0005-0000-0000-0000A8B10000}"/>
    <cellStyle name="Normal 4 5 4 3 4 5" xfId="33797" xr:uid="{00000000-0005-0000-0000-0000A9B10000}"/>
    <cellStyle name="Normal 4 5 4 3 5" xfId="6508" xr:uid="{00000000-0005-0000-0000-0000AAB10000}"/>
    <cellStyle name="Normal 4 5 4 3 5 2" xfId="10040" xr:uid="{00000000-0005-0000-0000-0000ABB10000}"/>
    <cellStyle name="Normal 4 5 4 3 5 2 2" xfId="16829" xr:uid="{00000000-0005-0000-0000-0000ACB10000}"/>
    <cellStyle name="Normal 4 5 4 3 5 2 2 2" xfId="30397" xr:uid="{00000000-0005-0000-0000-0000ADB10000}"/>
    <cellStyle name="Normal 4 5 4 3 5 2 2 2 2" xfId="57530" xr:uid="{00000000-0005-0000-0000-0000AEB10000}"/>
    <cellStyle name="Normal 4 5 4 3 5 2 2 3" xfId="43968" xr:uid="{00000000-0005-0000-0000-0000AFB10000}"/>
    <cellStyle name="Normal 4 5 4 3 5 2 3" xfId="23616" xr:uid="{00000000-0005-0000-0000-0000B0B10000}"/>
    <cellStyle name="Normal 4 5 4 3 5 2 3 2" xfId="50749" xr:uid="{00000000-0005-0000-0000-0000B1B10000}"/>
    <cellStyle name="Normal 4 5 4 3 5 2 4" xfId="37187" xr:uid="{00000000-0005-0000-0000-0000B2B10000}"/>
    <cellStyle name="Normal 4 5 4 3 5 3" xfId="13440" xr:uid="{00000000-0005-0000-0000-0000B3B10000}"/>
    <cellStyle name="Normal 4 5 4 3 5 3 2" xfId="27008" xr:uid="{00000000-0005-0000-0000-0000B4B10000}"/>
    <cellStyle name="Normal 4 5 4 3 5 3 2 2" xfId="54141" xr:uid="{00000000-0005-0000-0000-0000B5B10000}"/>
    <cellStyle name="Normal 4 5 4 3 5 3 3" xfId="40579" xr:uid="{00000000-0005-0000-0000-0000B6B10000}"/>
    <cellStyle name="Normal 4 5 4 3 5 4" xfId="20227" xr:uid="{00000000-0005-0000-0000-0000B7B10000}"/>
    <cellStyle name="Normal 4 5 4 3 5 4 2" xfId="47360" xr:uid="{00000000-0005-0000-0000-0000B8B10000}"/>
    <cellStyle name="Normal 4 5 4 3 5 5" xfId="33798" xr:uid="{00000000-0005-0000-0000-0000B9B10000}"/>
    <cellStyle name="Normal 4 5 4 3 6" xfId="10033" xr:uid="{00000000-0005-0000-0000-0000BAB10000}"/>
    <cellStyle name="Normal 4 5 4 3 6 2" xfId="16822" xr:uid="{00000000-0005-0000-0000-0000BBB10000}"/>
    <cellStyle name="Normal 4 5 4 3 6 2 2" xfId="30390" xr:uid="{00000000-0005-0000-0000-0000BCB10000}"/>
    <cellStyle name="Normal 4 5 4 3 6 2 2 2" xfId="57523" xr:uid="{00000000-0005-0000-0000-0000BDB10000}"/>
    <cellStyle name="Normal 4 5 4 3 6 2 3" xfId="43961" xr:uid="{00000000-0005-0000-0000-0000BEB10000}"/>
    <cellStyle name="Normal 4 5 4 3 6 3" xfId="23609" xr:uid="{00000000-0005-0000-0000-0000BFB10000}"/>
    <cellStyle name="Normal 4 5 4 3 6 3 2" xfId="50742" xr:uid="{00000000-0005-0000-0000-0000C0B10000}"/>
    <cellStyle name="Normal 4 5 4 3 6 4" xfId="37180" xr:uid="{00000000-0005-0000-0000-0000C1B10000}"/>
    <cellStyle name="Normal 4 5 4 3 7" xfId="13433" xr:uid="{00000000-0005-0000-0000-0000C2B10000}"/>
    <cellStyle name="Normal 4 5 4 3 7 2" xfId="27001" xr:uid="{00000000-0005-0000-0000-0000C3B10000}"/>
    <cellStyle name="Normal 4 5 4 3 7 2 2" xfId="54134" xr:uid="{00000000-0005-0000-0000-0000C4B10000}"/>
    <cellStyle name="Normal 4 5 4 3 7 3" xfId="40572" xr:uid="{00000000-0005-0000-0000-0000C5B10000}"/>
    <cellStyle name="Normal 4 5 4 3 8" xfId="20220" xr:uid="{00000000-0005-0000-0000-0000C6B10000}"/>
    <cellStyle name="Normal 4 5 4 3 8 2" xfId="47353" xr:uid="{00000000-0005-0000-0000-0000C7B10000}"/>
    <cellStyle name="Normal 4 5 4 3 9" xfId="33791" xr:uid="{00000000-0005-0000-0000-0000C8B10000}"/>
    <cellStyle name="Normal 4 5 4 4" xfId="6509" xr:uid="{00000000-0005-0000-0000-0000C9B10000}"/>
    <cellStyle name="Normal 4 5 4 4 2" xfId="6510" xr:uid="{00000000-0005-0000-0000-0000CAB10000}"/>
    <cellStyle name="Normal 4 5 4 4 2 2" xfId="6511" xr:uid="{00000000-0005-0000-0000-0000CBB10000}"/>
    <cellStyle name="Normal 4 5 4 4 2 2 2" xfId="10043" xr:uid="{00000000-0005-0000-0000-0000CCB10000}"/>
    <cellStyle name="Normal 4 5 4 4 2 2 2 2" xfId="16832" xr:uid="{00000000-0005-0000-0000-0000CDB10000}"/>
    <cellStyle name="Normal 4 5 4 4 2 2 2 2 2" xfId="30400" xr:uid="{00000000-0005-0000-0000-0000CEB10000}"/>
    <cellStyle name="Normal 4 5 4 4 2 2 2 2 2 2" xfId="57533" xr:uid="{00000000-0005-0000-0000-0000CFB10000}"/>
    <cellStyle name="Normal 4 5 4 4 2 2 2 2 3" xfId="43971" xr:uid="{00000000-0005-0000-0000-0000D0B10000}"/>
    <cellStyle name="Normal 4 5 4 4 2 2 2 3" xfId="23619" xr:uid="{00000000-0005-0000-0000-0000D1B10000}"/>
    <cellStyle name="Normal 4 5 4 4 2 2 2 3 2" xfId="50752" xr:uid="{00000000-0005-0000-0000-0000D2B10000}"/>
    <cellStyle name="Normal 4 5 4 4 2 2 2 4" xfId="37190" xr:uid="{00000000-0005-0000-0000-0000D3B10000}"/>
    <cellStyle name="Normal 4 5 4 4 2 2 3" xfId="13443" xr:uid="{00000000-0005-0000-0000-0000D4B10000}"/>
    <cellStyle name="Normal 4 5 4 4 2 2 3 2" xfId="27011" xr:uid="{00000000-0005-0000-0000-0000D5B10000}"/>
    <cellStyle name="Normal 4 5 4 4 2 2 3 2 2" xfId="54144" xr:uid="{00000000-0005-0000-0000-0000D6B10000}"/>
    <cellStyle name="Normal 4 5 4 4 2 2 3 3" xfId="40582" xr:uid="{00000000-0005-0000-0000-0000D7B10000}"/>
    <cellStyle name="Normal 4 5 4 4 2 2 4" xfId="20230" xr:uid="{00000000-0005-0000-0000-0000D8B10000}"/>
    <cellStyle name="Normal 4 5 4 4 2 2 4 2" xfId="47363" xr:uid="{00000000-0005-0000-0000-0000D9B10000}"/>
    <cellStyle name="Normal 4 5 4 4 2 2 5" xfId="33801" xr:uid="{00000000-0005-0000-0000-0000DAB10000}"/>
    <cellStyle name="Normal 4 5 4 4 2 3" xfId="6512" xr:uid="{00000000-0005-0000-0000-0000DBB10000}"/>
    <cellStyle name="Normal 4 5 4 4 2 3 2" xfId="10044" xr:uid="{00000000-0005-0000-0000-0000DCB10000}"/>
    <cellStyle name="Normal 4 5 4 4 2 3 2 2" xfId="16833" xr:uid="{00000000-0005-0000-0000-0000DDB10000}"/>
    <cellStyle name="Normal 4 5 4 4 2 3 2 2 2" xfId="30401" xr:uid="{00000000-0005-0000-0000-0000DEB10000}"/>
    <cellStyle name="Normal 4 5 4 4 2 3 2 2 2 2" xfId="57534" xr:uid="{00000000-0005-0000-0000-0000DFB10000}"/>
    <cellStyle name="Normal 4 5 4 4 2 3 2 2 3" xfId="43972" xr:uid="{00000000-0005-0000-0000-0000E0B10000}"/>
    <cellStyle name="Normal 4 5 4 4 2 3 2 3" xfId="23620" xr:uid="{00000000-0005-0000-0000-0000E1B10000}"/>
    <cellStyle name="Normal 4 5 4 4 2 3 2 3 2" xfId="50753" xr:uid="{00000000-0005-0000-0000-0000E2B10000}"/>
    <cellStyle name="Normal 4 5 4 4 2 3 2 4" xfId="37191" xr:uid="{00000000-0005-0000-0000-0000E3B10000}"/>
    <cellStyle name="Normal 4 5 4 4 2 3 3" xfId="13444" xr:uid="{00000000-0005-0000-0000-0000E4B10000}"/>
    <cellStyle name="Normal 4 5 4 4 2 3 3 2" xfId="27012" xr:uid="{00000000-0005-0000-0000-0000E5B10000}"/>
    <cellStyle name="Normal 4 5 4 4 2 3 3 2 2" xfId="54145" xr:uid="{00000000-0005-0000-0000-0000E6B10000}"/>
    <cellStyle name="Normal 4 5 4 4 2 3 3 3" xfId="40583" xr:uid="{00000000-0005-0000-0000-0000E7B10000}"/>
    <cellStyle name="Normal 4 5 4 4 2 3 4" xfId="20231" xr:uid="{00000000-0005-0000-0000-0000E8B10000}"/>
    <cellStyle name="Normal 4 5 4 4 2 3 4 2" xfId="47364" xr:uid="{00000000-0005-0000-0000-0000E9B10000}"/>
    <cellStyle name="Normal 4 5 4 4 2 3 5" xfId="33802" xr:uid="{00000000-0005-0000-0000-0000EAB10000}"/>
    <cellStyle name="Normal 4 5 4 4 2 4" xfId="10042" xr:uid="{00000000-0005-0000-0000-0000EBB10000}"/>
    <cellStyle name="Normal 4 5 4 4 2 4 2" xfId="16831" xr:uid="{00000000-0005-0000-0000-0000ECB10000}"/>
    <cellStyle name="Normal 4 5 4 4 2 4 2 2" xfId="30399" xr:uid="{00000000-0005-0000-0000-0000EDB10000}"/>
    <cellStyle name="Normal 4 5 4 4 2 4 2 2 2" xfId="57532" xr:uid="{00000000-0005-0000-0000-0000EEB10000}"/>
    <cellStyle name="Normal 4 5 4 4 2 4 2 3" xfId="43970" xr:uid="{00000000-0005-0000-0000-0000EFB10000}"/>
    <cellStyle name="Normal 4 5 4 4 2 4 3" xfId="23618" xr:uid="{00000000-0005-0000-0000-0000F0B10000}"/>
    <cellStyle name="Normal 4 5 4 4 2 4 3 2" xfId="50751" xr:uid="{00000000-0005-0000-0000-0000F1B10000}"/>
    <cellStyle name="Normal 4 5 4 4 2 4 4" xfId="37189" xr:uid="{00000000-0005-0000-0000-0000F2B10000}"/>
    <cellStyle name="Normal 4 5 4 4 2 5" xfId="13442" xr:uid="{00000000-0005-0000-0000-0000F3B10000}"/>
    <cellStyle name="Normal 4 5 4 4 2 5 2" xfId="27010" xr:uid="{00000000-0005-0000-0000-0000F4B10000}"/>
    <cellStyle name="Normal 4 5 4 4 2 5 2 2" xfId="54143" xr:uid="{00000000-0005-0000-0000-0000F5B10000}"/>
    <cellStyle name="Normal 4 5 4 4 2 5 3" xfId="40581" xr:uid="{00000000-0005-0000-0000-0000F6B10000}"/>
    <cellStyle name="Normal 4 5 4 4 2 6" xfId="20229" xr:uid="{00000000-0005-0000-0000-0000F7B10000}"/>
    <cellStyle name="Normal 4 5 4 4 2 6 2" xfId="47362" xr:uid="{00000000-0005-0000-0000-0000F8B10000}"/>
    <cellStyle name="Normal 4 5 4 4 2 7" xfId="33800" xr:uid="{00000000-0005-0000-0000-0000F9B10000}"/>
    <cellStyle name="Normal 4 5 4 4 3" xfId="6513" xr:uid="{00000000-0005-0000-0000-0000FAB10000}"/>
    <cellStyle name="Normal 4 5 4 4 3 2" xfId="10045" xr:uid="{00000000-0005-0000-0000-0000FBB10000}"/>
    <cellStyle name="Normal 4 5 4 4 3 2 2" xfId="16834" xr:uid="{00000000-0005-0000-0000-0000FCB10000}"/>
    <cellStyle name="Normal 4 5 4 4 3 2 2 2" xfId="30402" xr:uid="{00000000-0005-0000-0000-0000FDB10000}"/>
    <cellStyle name="Normal 4 5 4 4 3 2 2 2 2" xfId="57535" xr:uid="{00000000-0005-0000-0000-0000FEB10000}"/>
    <cellStyle name="Normal 4 5 4 4 3 2 2 3" xfId="43973" xr:uid="{00000000-0005-0000-0000-0000FFB10000}"/>
    <cellStyle name="Normal 4 5 4 4 3 2 3" xfId="23621" xr:uid="{00000000-0005-0000-0000-000000B20000}"/>
    <cellStyle name="Normal 4 5 4 4 3 2 3 2" xfId="50754" xr:uid="{00000000-0005-0000-0000-000001B20000}"/>
    <cellStyle name="Normal 4 5 4 4 3 2 4" xfId="37192" xr:uid="{00000000-0005-0000-0000-000002B20000}"/>
    <cellStyle name="Normal 4 5 4 4 3 3" xfId="13445" xr:uid="{00000000-0005-0000-0000-000003B20000}"/>
    <cellStyle name="Normal 4 5 4 4 3 3 2" xfId="27013" xr:uid="{00000000-0005-0000-0000-000004B20000}"/>
    <cellStyle name="Normal 4 5 4 4 3 3 2 2" xfId="54146" xr:uid="{00000000-0005-0000-0000-000005B20000}"/>
    <cellStyle name="Normal 4 5 4 4 3 3 3" xfId="40584" xr:uid="{00000000-0005-0000-0000-000006B20000}"/>
    <cellStyle name="Normal 4 5 4 4 3 4" xfId="20232" xr:uid="{00000000-0005-0000-0000-000007B20000}"/>
    <cellStyle name="Normal 4 5 4 4 3 4 2" xfId="47365" xr:uid="{00000000-0005-0000-0000-000008B20000}"/>
    <cellStyle name="Normal 4 5 4 4 3 5" xfId="33803" xr:uid="{00000000-0005-0000-0000-000009B20000}"/>
    <cellStyle name="Normal 4 5 4 4 4" xfId="6514" xr:uid="{00000000-0005-0000-0000-00000AB20000}"/>
    <cellStyle name="Normal 4 5 4 4 4 2" xfId="10046" xr:uid="{00000000-0005-0000-0000-00000BB20000}"/>
    <cellStyle name="Normal 4 5 4 4 4 2 2" xfId="16835" xr:uid="{00000000-0005-0000-0000-00000CB20000}"/>
    <cellStyle name="Normal 4 5 4 4 4 2 2 2" xfId="30403" xr:uid="{00000000-0005-0000-0000-00000DB20000}"/>
    <cellStyle name="Normal 4 5 4 4 4 2 2 2 2" xfId="57536" xr:uid="{00000000-0005-0000-0000-00000EB20000}"/>
    <cellStyle name="Normal 4 5 4 4 4 2 2 3" xfId="43974" xr:uid="{00000000-0005-0000-0000-00000FB20000}"/>
    <cellStyle name="Normal 4 5 4 4 4 2 3" xfId="23622" xr:uid="{00000000-0005-0000-0000-000010B20000}"/>
    <cellStyle name="Normal 4 5 4 4 4 2 3 2" xfId="50755" xr:uid="{00000000-0005-0000-0000-000011B20000}"/>
    <cellStyle name="Normal 4 5 4 4 4 2 4" xfId="37193" xr:uid="{00000000-0005-0000-0000-000012B20000}"/>
    <cellStyle name="Normal 4 5 4 4 4 3" xfId="13446" xr:uid="{00000000-0005-0000-0000-000013B20000}"/>
    <cellStyle name="Normal 4 5 4 4 4 3 2" xfId="27014" xr:uid="{00000000-0005-0000-0000-000014B20000}"/>
    <cellStyle name="Normal 4 5 4 4 4 3 2 2" xfId="54147" xr:uid="{00000000-0005-0000-0000-000015B20000}"/>
    <cellStyle name="Normal 4 5 4 4 4 3 3" xfId="40585" xr:uid="{00000000-0005-0000-0000-000016B20000}"/>
    <cellStyle name="Normal 4 5 4 4 4 4" xfId="20233" xr:uid="{00000000-0005-0000-0000-000017B20000}"/>
    <cellStyle name="Normal 4 5 4 4 4 4 2" xfId="47366" xr:uid="{00000000-0005-0000-0000-000018B20000}"/>
    <cellStyle name="Normal 4 5 4 4 4 5" xfId="33804" xr:uid="{00000000-0005-0000-0000-000019B20000}"/>
    <cellStyle name="Normal 4 5 4 4 5" xfId="10041" xr:uid="{00000000-0005-0000-0000-00001AB20000}"/>
    <cellStyle name="Normal 4 5 4 4 5 2" xfId="16830" xr:uid="{00000000-0005-0000-0000-00001BB20000}"/>
    <cellStyle name="Normal 4 5 4 4 5 2 2" xfId="30398" xr:uid="{00000000-0005-0000-0000-00001CB20000}"/>
    <cellStyle name="Normal 4 5 4 4 5 2 2 2" xfId="57531" xr:uid="{00000000-0005-0000-0000-00001DB20000}"/>
    <cellStyle name="Normal 4 5 4 4 5 2 3" xfId="43969" xr:uid="{00000000-0005-0000-0000-00001EB20000}"/>
    <cellStyle name="Normal 4 5 4 4 5 3" xfId="23617" xr:uid="{00000000-0005-0000-0000-00001FB20000}"/>
    <cellStyle name="Normal 4 5 4 4 5 3 2" xfId="50750" xr:uid="{00000000-0005-0000-0000-000020B20000}"/>
    <cellStyle name="Normal 4 5 4 4 5 4" xfId="37188" xr:uid="{00000000-0005-0000-0000-000021B20000}"/>
    <cellStyle name="Normal 4 5 4 4 6" xfId="13441" xr:uid="{00000000-0005-0000-0000-000022B20000}"/>
    <cellStyle name="Normal 4 5 4 4 6 2" xfId="27009" xr:uid="{00000000-0005-0000-0000-000023B20000}"/>
    <cellStyle name="Normal 4 5 4 4 6 2 2" xfId="54142" xr:uid="{00000000-0005-0000-0000-000024B20000}"/>
    <cellStyle name="Normal 4 5 4 4 6 3" xfId="40580" xr:uid="{00000000-0005-0000-0000-000025B20000}"/>
    <cellStyle name="Normal 4 5 4 4 7" xfId="20228" xr:uid="{00000000-0005-0000-0000-000026B20000}"/>
    <cellStyle name="Normal 4 5 4 4 7 2" xfId="47361" xr:uid="{00000000-0005-0000-0000-000027B20000}"/>
    <cellStyle name="Normal 4 5 4 4 8" xfId="33799" xr:uid="{00000000-0005-0000-0000-000028B20000}"/>
    <cellStyle name="Normal 4 5 4 5" xfId="6515" xr:uid="{00000000-0005-0000-0000-000029B20000}"/>
    <cellStyle name="Normal 4 5 4 5 2" xfId="6516" xr:uid="{00000000-0005-0000-0000-00002AB20000}"/>
    <cellStyle name="Normal 4 5 4 5 2 2" xfId="10048" xr:uid="{00000000-0005-0000-0000-00002BB20000}"/>
    <cellStyle name="Normal 4 5 4 5 2 2 2" xfId="16837" xr:uid="{00000000-0005-0000-0000-00002CB20000}"/>
    <cellStyle name="Normal 4 5 4 5 2 2 2 2" xfId="30405" xr:uid="{00000000-0005-0000-0000-00002DB20000}"/>
    <cellStyle name="Normal 4 5 4 5 2 2 2 2 2" xfId="57538" xr:uid="{00000000-0005-0000-0000-00002EB20000}"/>
    <cellStyle name="Normal 4 5 4 5 2 2 2 3" xfId="43976" xr:uid="{00000000-0005-0000-0000-00002FB20000}"/>
    <cellStyle name="Normal 4 5 4 5 2 2 3" xfId="23624" xr:uid="{00000000-0005-0000-0000-000030B20000}"/>
    <cellStyle name="Normal 4 5 4 5 2 2 3 2" xfId="50757" xr:uid="{00000000-0005-0000-0000-000031B20000}"/>
    <cellStyle name="Normal 4 5 4 5 2 2 4" xfId="37195" xr:uid="{00000000-0005-0000-0000-000032B20000}"/>
    <cellStyle name="Normal 4 5 4 5 2 3" xfId="13448" xr:uid="{00000000-0005-0000-0000-000033B20000}"/>
    <cellStyle name="Normal 4 5 4 5 2 3 2" xfId="27016" xr:uid="{00000000-0005-0000-0000-000034B20000}"/>
    <cellStyle name="Normal 4 5 4 5 2 3 2 2" xfId="54149" xr:uid="{00000000-0005-0000-0000-000035B20000}"/>
    <cellStyle name="Normal 4 5 4 5 2 3 3" xfId="40587" xr:uid="{00000000-0005-0000-0000-000036B20000}"/>
    <cellStyle name="Normal 4 5 4 5 2 4" xfId="20235" xr:uid="{00000000-0005-0000-0000-000037B20000}"/>
    <cellStyle name="Normal 4 5 4 5 2 4 2" xfId="47368" xr:uid="{00000000-0005-0000-0000-000038B20000}"/>
    <cellStyle name="Normal 4 5 4 5 2 5" xfId="33806" xr:uid="{00000000-0005-0000-0000-000039B20000}"/>
    <cellStyle name="Normal 4 5 4 5 3" xfId="6517" xr:uid="{00000000-0005-0000-0000-00003AB20000}"/>
    <cellStyle name="Normal 4 5 4 5 3 2" xfId="10049" xr:uid="{00000000-0005-0000-0000-00003BB20000}"/>
    <cellStyle name="Normal 4 5 4 5 3 2 2" xfId="16838" xr:uid="{00000000-0005-0000-0000-00003CB20000}"/>
    <cellStyle name="Normal 4 5 4 5 3 2 2 2" xfId="30406" xr:uid="{00000000-0005-0000-0000-00003DB20000}"/>
    <cellStyle name="Normal 4 5 4 5 3 2 2 2 2" xfId="57539" xr:uid="{00000000-0005-0000-0000-00003EB20000}"/>
    <cellStyle name="Normal 4 5 4 5 3 2 2 3" xfId="43977" xr:uid="{00000000-0005-0000-0000-00003FB20000}"/>
    <cellStyle name="Normal 4 5 4 5 3 2 3" xfId="23625" xr:uid="{00000000-0005-0000-0000-000040B20000}"/>
    <cellStyle name="Normal 4 5 4 5 3 2 3 2" xfId="50758" xr:uid="{00000000-0005-0000-0000-000041B20000}"/>
    <cellStyle name="Normal 4 5 4 5 3 2 4" xfId="37196" xr:uid="{00000000-0005-0000-0000-000042B20000}"/>
    <cellStyle name="Normal 4 5 4 5 3 3" xfId="13449" xr:uid="{00000000-0005-0000-0000-000043B20000}"/>
    <cellStyle name="Normal 4 5 4 5 3 3 2" xfId="27017" xr:uid="{00000000-0005-0000-0000-000044B20000}"/>
    <cellStyle name="Normal 4 5 4 5 3 3 2 2" xfId="54150" xr:uid="{00000000-0005-0000-0000-000045B20000}"/>
    <cellStyle name="Normal 4 5 4 5 3 3 3" xfId="40588" xr:uid="{00000000-0005-0000-0000-000046B20000}"/>
    <cellStyle name="Normal 4 5 4 5 3 4" xfId="20236" xr:uid="{00000000-0005-0000-0000-000047B20000}"/>
    <cellStyle name="Normal 4 5 4 5 3 4 2" xfId="47369" xr:uid="{00000000-0005-0000-0000-000048B20000}"/>
    <cellStyle name="Normal 4 5 4 5 3 5" xfId="33807" xr:uid="{00000000-0005-0000-0000-000049B20000}"/>
    <cellStyle name="Normal 4 5 4 5 4" xfId="10047" xr:uid="{00000000-0005-0000-0000-00004AB20000}"/>
    <cellStyle name="Normal 4 5 4 5 4 2" xfId="16836" xr:uid="{00000000-0005-0000-0000-00004BB20000}"/>
    <cellStyle name="Normal 4 5 4 5 4 2 2" xfId="30404" xr:uid="{00000000-0005-0000-0000-00004CB20000}"/>
    <cellStyle name="Normal 4 5 4 5 4 2 2 2" xfId="57537" xr:uid="{00000000-0005-0000-0000-00004DB20000}"/>
    <cellStyle name="Normal 4 5 4 5 4 2 3" xfId="43975" xr:uid="{00000000-0005-0000-0000-00004EB20000}"/>
    <cellStyle name="Normal 4 5 4 5 4 3" xfId="23623" xr:uid="{00000000-0005-0000-0000-00004FB20000}"/>
    <cellStyle name="Normal 4 5 4 5 4 3 2" xfId="50756" xr:uid="{00000000-0005-0000-0000-000050B20000}"/>
    <cellStyle name="Normal 4 5 4 5 4 4" xfId="37194" xr:uid="{00000000-0005-0000-0000-000051B20000}"/>
    <cellStyle name="Normal 4 5 4 5 5" xfId="13447" xr:uid="{00000000-0005-0000-0000-000052B20000}"/>
    <cellStyle name="Normal 4 5 4 5 5 2" xfId="27015" xr:uid="{00000000-0005-0000-0000-000053B20000}"/>
    <cellStyle name="Normal 4 5 4 5 5 2 2" xfId="54148" xr:uid="{00000000-0005-0000-0000-000054B20000}"/>
    <cellStyle name="Normal 4 5 4 5 5 3" xfId="40586" xr:uid="{00000000-0005-0000-0000-000055B20000}"/>
    <cellStyle name="Normal 4 5 4 5 6" xfId="20234" xr:uid="{00000000-0005-0000-0000-000056B20000}"/>
    <cellStyle name="Normal 4 5 4 5 6 2" xfId="47367" xr:uid="{00000000-0005-0000-0000-000057B20000}"/>
    <cellStyle name="Normal 4 5 4 5 7" xfId="33805" xr:uid="{00000000-0005-0000-0000-000058B20000}"/>
    <cellStyle name="Normal 4 5 4 6" xfId="6518" xr:uid="{00000000-0005-0000-0000-000059B20000}"/>
    <cellStyle name="Normal 4 5 4 6 2" xfId="6519" xr:uid="{00000000-0005-0000-0000-00005AB20000}"/>
    <cellStyle name="Normal 4 5 4 6 2 2" xfId="10051" xr:uid="{00000000-0005-0000-0000-00005BB20000}"/>
    <cellStyle name="Normal 4 5 4 6 2 2 2" xfId="16840" xr:uid="{00000000-0005-0000-0000-00005CB20000}"/>
    <cellStyle name="Normal 4 5 4 6 2 2 2 2" xfId="30408" xr:uid="{00000000-0005-0000-0000-00005DB20000}"/>
    <cellStyle name="Normal 4 5 4 6 2 2 2 2 2" xfId="57541" xr:uid="{00000000-0005-0000-0000-00005EB20000}"/>
    <cellStyle name="Normal 4 5 4 6 2 2 2 3" xfId="43979" xr:uid="{00000000-0005-0000-0000-00005FB20000}"/>
    <cellStyle name="Normal 4 5 4 6 2 2 3" xfId="23627" xr:uid="{00000000-0005-0000-0000-000060B20000}"/>
    <cellStyle name="Normal 4 5 4 6 2 2 3 2" xfId="50760" xr:uid="{00000000-0005-0000-0000-000061B20000}"/>
    <cellStyle name="Normal 4 5 4 6 2 2 4" xfId="37198" xr:uid="{00000000-0005-0000-0000-000062B20000}"/>
    <cellStyle name="Normal 4 5 4 6 2 3" xfId="13451" xr:uid="{00000000-0005-0000-0000-000063B20000}"/>
    <cellStyle name="Normal 4 5 4 6 2 3 2" xfId="27019" xr:uid="{00000000-0005-0000-0000-000064B20000}"/>
    <cellStyle name="Normal 4 5 4 6 2 3 2 2" xfId="54152" xr:uid="{00000000-0005-0000-0000-000065B20000}"/>
    <cellStyle name="Normal 4 5 4 6 2 3 3" xfId="40590" xr:uid="{00000000-0005-0000-0000-000066B20000}"/>
    <cellStyle name="Normal 4 5 4 6 2 4" xfId="20238" xr:uid="{00000000-0005-0000-0000-000067B20000}"/>
    <cellStyle name="Normal 4 5 4 6 2 4 2" xfId="47371" xr:uid="{00000000-0005-0000-0000-000068B20000}"/>
    <cellStyle name="Normal 4 5 4 6 2 5" xfId="33809" xr:uid="{00000000-0005-0000-0000-000069B20000}"/>
    <cellStyle name="Normal 4 5 4 6 3" xfId="6520" xr:uid="{00000000-0005-0000-0000-00006AB20000}"/>
    <cellStyle name="Normal 4 5 4 6 3 2" xfId="10052" xr:uid="{00000000-0005-0000-0000-00006BB20000}"/>
    <cellStyle name="Normal 4 5 4 6 3 2 2" xfId="16841" xr:uid="{00000000-0005-0000-0000-00006CB20000}"/>
    <cellStyle name="Normal 4 5 4 6 3 2 2 2" xfId="30409" xr:uid="{00000000-0005-0000-0000-00006DB20000}"/>
    <cellStyle name="Normal 4 5 4 6 3 2 2 2 2" xfId="57542" xr:uid="{00000000-0005-0000-0000-00006EB20000}"/>
    <cellStyle name="Normal 4 5 4 6 3 2 2 3" xfId="43980" xr:uid="{00000000-0005-0000-0000-00006FB20000}"/>
    <cellStyle name="Normal 4 5 4 6 3 2 3" xfId="23628" xr:uid="{00000000-0005-0000-0000-000070B20000}"/>
    <cellStyle name="Normal 4 5 4 6 3 2 3 2" xfId="50761" xr:uid="{00000000-0005-0000-0000-000071B20000}"/>
    <cellStyle name="Normal 4 5 4 6 3 2 4" xfId="37199" xr:uid="{00000000-0005-0000-0000-000072B20000}"/>
    <cellStyle name="Normal 4 5 4 6 3 3" xfId="13452" xr:uid="{00000000-0005-0000-0000-000073B20000}"/>
    <cellStyle name="Normal 4 5 4 6 3 3 2" xfId="27020" xr:uid="{00000000-0005-0000-0000-000074B20000}"/>
    <cellStyle name="Normal 4 5 4 6 3 3 2 2" xfId="54153" xr:uid="{00000000-0005-0000-0000-000075B20000}"/>
    <cellStyle name="Normal 4 5 4 6 3 3 3" xfId="40591" xr:uid="{00000000-0005-0000-0000-000076B20000}"/>
    <cellStyle name="Normal 4 5 4 6 3 4" xfId="20239" xr:uid="{00000000-0005-0000-0000-000077B20000}"/>
    <cellStyle name="Normal 4 5 4 6 3 4 2" xfId="47372" xr:uid="{00000000-0005-0000-0000-000078B20000}"/>
    <cellStyle name="Normal 4 5 4 6 3 5" xfId="33810" xr:uid="{00000000-0005-0000-0000-000079B20000}"/>
    <cellStyle name="Normal 4 5 4 6 4" xfId="10050" xr:uid="{00000000-0005-0000-0000-00007AB20000}"/>
    <cellStyle name="Normal 4 5 4 6 4 2" xfId="16839" xr:uid="{00000000-0005-0000-0000-00007BB20000}"/>
    <cellStyle name="Normal 4 5 4 6 4 2 2" xfId="30407" xr:uid="{00000000-0005-0000-0000-00007CB20000}"/>
    <cellStyle name="Normal 4 5 4 6 4 2 2 2" xfId="57540" xr:uid="{00000000-0005-0000-0000-00007DB20000}"/>
    <cellStyle name="Normal 4 5 4 6 4 2 3" xfId="43978" xr:uid="{00000000-0005-0000-0000-00007EB20000}"/>
    <cellStyle name="Normal 4 5 4 6 4 3" xfId="23626" xr:uid="{00000000-0005-0000-0000-00007FB20000}"/>
    <cellStyle name="Normal 4 5 4 6 4 3 2" xfId="50759" xr:uid="{00000000-0005-0000-0000-000080B20000}"/>
    <cellStyle name="Normal 4 5 4 6 4 4" xfId="37197" xr:uid="{00000000-0005-0000-0000-000081B20000}"/>
    <cellStyle name="Normal 4 5 4 6 5" xfId="13450" xr:uid="{00000000-0005-0000-0000-000082B20000}"/>
    <cellStyle name="Normal 4 5 4 6 5 2" xfId="27018" xr:uid="{00000000-0005-0000-0000-000083B20000}"/>
    <cellStyle name="Normal 4 5 4 6 5 2 2" xfId="54151" xr:uid="{00000000-0005-0000-0000-000084B20000}"/>
    <cellStyle name="Normal 4 5 4 6 5 3" xfId="40589" xr:uid="{00000000-0005-0000-0000-000085B20000}"/>
    <cellStyle name="Normal 4 5 4 6 6" xfId="20237" xr:uid="{00000000-0005-0000-0000-000086B20000}"/>
    <cellStyle name="Normal 4 5 4 6 6 2" xfId="47370" xr:uid="{00000000-0005-0000-0000-000087B20000}"/>
    <cellStyle name="Normal 4 5 4 6 7" xfId="33808" xr:uid="{00000000-0005-0000-0000-000088B20000}"/>
    <cellStyle name="Normal 4 5 4 7" xfId="6521" xr:uid="{00000000-0005-0000-0000-000089B20000}"/>
    <cellStyle name="Normal 4 5 4 7 2" xfId="10053" xr:uid="{00000000-0005-0000-0000-00008AB20000}"/>
    <cellStyle name="Normal 4 5 4 7 2 2" xfId="16842" xr:uid="{00000000-0005-0000-0000-00008BB20000}"/>
    <cellStyle name="Normal 4 5 4 7 2 2 2" xfId="30410" xr:uid="{00000000-0005-0000-0000-00008CB20000}"/>
    <cellStyle name="Normal 4 5 4 7 2 2 2 2" xfId="57543" xr:uid="{00000000-0005-0000-0000-00008DB20000}"/>
    <cellStyle name="Normal 4 5 4 7 2 2 3" xfId="43981" xr:uid="{00000000-0005-0000-0000-00008EB20000}"/>
    <cellStyle name="Normal 4 5 4 7 2 3" xfId="23629" xr:uid="{00000000-0005-0000-0000-00008FB20000}"/>
    <cellStyle name="Normal 4 5 4 7 2 3 2" xfId="50762" xr:uid="{00000000-0005-0000-0000-000090B20000}"/>
    <cellStyle name="Normal 4 5 4 7 2 4" xfId="37200" xr:uid="{00000000-0005-0000-0000-000091B20000}"/>
    <cellStyle name="Normal 4 5 4 7 3" xfId="13453" xr:uid="{00000000-0005-0000-0000-000092B20000}"/>
    <cellStyle name="Normal 4 5 4 7 3 2" xfId="27021" xr:uid="{00000000-0005-0000-0000-000093B20000}"/>
    <cellStyle name="Normal 4 5 4 7 3 2 2" xfId="54154" xr:uid="{00000000-0005-0000-0000-000094B20000}"/>
    <cellStyle name="Normal 4 5 4 7 3 3" xfId="40592" xr:uid="{00000000-0005-0000-0000-000095B20000}"/>
    <cellStyle name="Normal 4 5 4 7 4" xfId="20240" xr:uid="{00000000-0005-0000-0000-000096B20000}"/>
    <cellStyle name="Normal 4 5 4 7 4 2" xfId="47373" xr:uid="{00000000-0005-0000-0000-000097B20000}"/>
    <cellStyle name="Normal 4 5 4 7 5" xfId="33811" xr:uid="{00000000-0005-0000-0000-000098B20000}"/>
    <cellStyle name="Normal 4 5 4 8" xfId="6522" xr:uid="{00000000-0005-0000-0000-000099B20000}"/>
    <cellStyle name="Normal 4 5 4 8 2" xfId="10054" xr:uid="{00000000-0005-0000-0000-00009AB20000}"/>
    <cellStyle name="Normal 4 5 4 8 2 2" xfId="16843" xr:uid="{00000000-0005-0000-0000-00009BB20000}"/>
    <cellStyle name="Normal 4 5 4 8 2 2 2" xfId="30411" xr:uid="{00000000-0005-0000-0000-00009CB20000}"/>
    <cellStyle name="Normal 4 5 4 8 2 2 2 2" xfId="57544" xr:uid="{00000000-0005-0000-0000-00009DB20000}"/>
    <cellStyle name="Normal 4 5 4 8 2 2 3" xfId="43982" xr:uid="{00000000-0005-0000-0000-00009EB20000}"/>
    <cellStyle name="Normal 4 5 4 8 2 3" xfId="23630" xr:uid="{00000000-0005-0000-0000-00009FB20000}"/>
    <cellStyle name="Normal 4 5 4 8 2 3 2" xfId="50763" xr:uid="{00000000-0005-0000-0000-0000A0B20000}"/>
    <cellStyle name="Normal 4 5 4 8 2 4" xfId="37201" xr:uid="{00000000-0005-0000-0000-0000A1B20000}"/>
    <cellStyle name="Normal 4 5 4 8 3" xfId="13454" xr:uid="{00000000-0005-0000-0000-0000A2B20000}"/>
    <cellStyle name="Normal 4 5 4 8 3 2" xfId="27022" xr:uid="{00000000-0005-0000-0000-0000A3B20000}"/>
    <cellStyle name="Normal 4 5 4 8 3 2 2" xfId="54155" xr:uid="{00000000-0005-0000-0000-0000A4B20000}"/>
    <cellStyle name="Normal 4 5 4 8 3 3" xfId="40593" xr:uid="{00000000-0005-0000-0000-0000A5B20000}"/>
    <cellStyle name="Normal 4 5 4 8 4" xfId="20241" xr:uid="{00000000-0005-0000-0000-0000A6B20000}"/>
    <cellStyle name="Normal 4 5 4 8 4 2" xfId="47374" xr:uid="{00000000-0005-0000-0000-0000A7B20000}"/>
    <cellStyle name="Normal 4 5 4 8 5" xfId="33812" xr:uid="{00000000-0005-0000-0000-0000A8B20000}"/>
    <cellStyle name="Normal 4 5 4 9" xfId="10016" xr:uid="{00000000-0005-0000-0000-0000A9B20000}"/>
    <cellStyle name="Normal 4 5 4 9 2" xfId="16805" xr:uid="{00000000-0005-0000-0000-0000AAB20000}"/>
    <cellStyle name="Normal 4 5 4 9 2 2" xfId="30373" xr:uid="{00000000-0005-0000-0000-0000ABB20000}"/>
    <cellStyle name="Normal 4 5 4 9 2 2 2" xfId="57506" xr:uid="{00000000-0005-0000-0000-0000ACB20000}"/>
    <cellStyle name="Normal 4 5 4 9 2 3" xfId="43944" xr:uid="{00000000-0005-0000-0000-0000ADB20000}"/>
    <cellStyle name="Normal 4 5 4 9 3" xfId="23592" xr:uid="{00000000-0005-0000-0000-0000AEB20000}"/>
    <cellStyle name="Normal 4 5 4 9 3 2" xfId="50725" xr:uid="{00000000-0005-0000-0000-0000AFB20000}"/>
    <cellStyle name="Normal 4 5 4 9 4" xfId="37163" xr:uid="{00000000-0005-0000-0000-0000B0B20000}"/>
    <cellStyle name="Normal 4 5 5" xfId="6523" xr:uid="{00000000-0005-0000-0000-0000B1B20000}"/>
    <cellStyle name="Normal 4 5 5 10" xfId="33813" xr:uid="{00000000-0005-0000-0000-0000B2B20000}"/>
    <cellStyle name="Normal 4 5 5 2" xfId="6524" xr:uid="{00000000-0005-0000-0000-0000B3B20000}"/>
    <cellStyle name="Normal 4 5 5 2 2" xfId="6525" xr:uid="{00000000-0005-0000-0000-0000B4B20000}"/>
    <cellStyle name="Normal 4 5 5 2 2 2" xfId="6526" xr:uid="{00000000-0005-0000-0000-0000B5B20000}"/>
    <cellStyle name="Normal 4 5 5 2 2 2 2" xfId="10058" xr:uid="{00000000-0005-0000-0000-0000B6B20000}"/>
    <cellStyle name="Normal 4 5 5 2 2 2 2 2" xfId="16847" xr:uid="{00000000-0005-0000-0000-0000B7B20000}"/>
    <cellStyle name="Normal 4 5 5 2 2 2 2 2 2" xfId="30415" xr:uid="{00000000-0005-0000-0000-0000B8B20000}"/>
    <cellStyle name="Normal 4 5 5 2 2 2 2 2 2 2" xfId="57548" xr:uid="{00000000-0005-0000-0000-0000B9B20000}"/>
    <cellStyle name="Normal 4 5 5 2 2 2 2 2 3" xfId="43986" xr:uid="{00000000-0005-0000-0000-0000BAB20000}"/>
    <cellStyle name="Normal 4 5 5 2 2 2 2 3" xfId="23634" xr:uid="{00000000-0005-0000-0000-0000BBB20000}"/>
    <cellStyle name="Normal 4 5 5 2 2 2 2 3 2" xfId="50767" xr:uid="{00000000-0005-0000-0000-0000BCB20000}"/>
    <cellStyle name="Normal 4 5 5 2 2 2 2 4" xfId="37205" xr:uid="{00000000-0005-0000-0000-0000BDB20000}"/>
    <cellStyle name="Normal 4 5 5 2 2 2 3" xfId="13458" xr:uid="{00000000-0005-0000-0000-0000BEB20000}"/>
    <cellStyle name="Normal 4 5 5 2 2 2 3 2" xfId="27026" xr:uid="{00000000-0005-0000-0000-0000BFB20000}"/>
    <cellStyle name="Normal 4 5 5 2 2 2 3 2 2" xfId="54159" xr:uid="{00000000-0005-0000-0000-0000C0B20000}"/>
    <cellStyle name="Normal 4 5 5 2 2 2 3 3" xfId="40597" xr:uid="{00000000-0005-0000-0000-0000C1B20000}"/>
    <cellStyle name="Normal 4 5 5 2 2 2 4" xfId="20245" xr:uid="{00000000-0005-0000-0000-0000C2B20000}"/>
    <cellStyle name="Normal 4 5 5 2 2 2 4 2" xfId="47378" xr:uid="{00000000-0005-0000-0000-0000C3B20000}"/>
    <cellStyle name="Normal 4 5 5 2 2 2 5" xfId="33816" xr:uid="{00000000-0005-0000-0000-0000C4B20000}"/>
    <cellStyle name="Normal 4 5 5 2 2 3" xfId="6527" xr:uid="{00000000-0005-0000-0000-0000C5B20000}"/>
    <cellStyle name="Normal 4 5 5 2 2 3 2" xfId="10059" xr:uid="{00000000-0005-0000-0000-0000C6B20000}"/>
    <cellStyle name="Normal 4 5 5 2 2 3 2 2" xfId="16848" xr:uid="{00000000-0005-0000-0000-0000C7B20000}"/>
    <cellStyle name="Normal 4 5 5 2 2 3 2 2 2" xfId="30416" xr:uid="{00000000-0005-0000-0000-0000C8B20000}"/>
    <cellStyle name="Normal 4 5 5 2 2 3 2 2 2 2" xfId="57549" xr:uid="{00000000-0005-0000-0000-0000C9B20000}"/>
    <cellStyle name="Normal 4 5 5 2 2 3 2 2 3" xfId="43987" xr:uid="{00000000-0005-0000-0000-0000CAB20000}"/>
    <cellStyle name="Normal 4 5 5 2 2 3 2 3" xfId="23635" xr:uid="{00000000-0005-0000-0000-0000CBB20000}"/>
    <cellStyle name="Normal 4 5 5 2 2 3 2 3 2" xfId="50768" xr:uid="{00000000-0005-0000-0000-0000CCB20000}"/>
    <cellStyle name="Normal 4 5 5 2 2 3 2 4" xfId="37206" xr:uid="{00000000-0005-0000-0000-0000CDB20000}"/>
    <cellStyle name="Normal 4 5 5 2 2 3 3" xfId="13459" xr:uid="{00000000-0005-0000-0000-0000CEB20000}"/>
    <cellStyle name="Normal 4 5 5 2 2 3 3 2" xfId="27027" xr:uid="{00000000-0005-0000-0000-0000CFB20000}"/>
    <cellStyle name="Normal 4 5 5 2 2 3 3 2 2" xfId="54160" xr:uid="{00000000-0005-0000-0000-0000D0B20000}"/>
    <cellStyle name="Normal 4 5 5 2 2 3 3 3" xfId="40598" xr:uid="{00000000-0005-0000-0000-0000D1B20000}"/>
    <cellStyle name="Normal 4 5 5 2 2 3 4" xfId="20246" xr:uid="{00000000-0005-0000-0000-0000D2B20000}"/>
    <cellStyle name="Normal 4 5 5 2 2 3 4 2" xfId="47379" xr:uid="{00000000-0005-0000-0000-0000D3B20000}"/>
    <cellStyle name="Normal 4 5 5 2 2 3 5" xfId="33817" xr:uid="{00000000-0005-0000-0000-0000D4B20000}"/>
    <cellStyle name="Normal 4 5 5 2 2 4" xfId="10057" xr:uid="{00000000-0005-0000-0000-0000D5B20000}"/>
    <cellStyle name="Normal 4 5 5 2 2 4 2" xfId="16846" xr:uid="{00000000-0005-0000-0000-0000D6B20000}"/>
    <cellStyle name="Normal 4 5 5 2 2 4 2 2" xfId="30414" xr:uid="{00000000-0005-0000-0000-0000D7B20000}"/>
    <cellStyle name="Normal 4 5 5 2 2 4 2 2 2" xfId="57547" xr:uid="{00000000-0005-0000-0000-0000D8B20000}"/>
    <cellStyle name="Normal 4 5 5 2 2 4 2 3" xfId="43985" xr:uid="{00000000-0005-0000-0000-0000D9B20000}"/>
    <cellStyle name="Normal 4 5 5 2 2 4 3" xfId="23633" xr:uid="{00000000-0005-0000-0000-0000DAB20000}"/>
    <cellStyle name="Normal 4 5 5 2 2 4 3 2" xfId="50766" xr:uid="{00000000-0005-0000-0000-0000DBB20000}"/>
    <cellStyle name="Normal 4 5 5 2 2 4 4" xfId="37204" xr:uid="{00000000-0005-0000-0000-0000DCB20000}"/>
    <cellStyle name="Normal 4 5 5 2 2 5" xfId="13457" xr:uid="{00000000-0005-0000-0000-0000DDB20000}"/>
    <cellStyle name="Normal 4 5 5 2 2 5 2" xfId="27025" xr:uid="{00000000-0005-0000-0000-0000DEB20000}"/>
    <cellStyle name="Normal 4 5 5 2 2 5 2 2" xfId="54158" xr:uid="{00000000-0005-0000-0000-0000DFB20000}"/>
    <cellStyle name="Normal 4 5 5 2 2 5 3" xfId="40596" xr:uid="{00000000-0005-0000-0000-0000E0B20000}"/>
    <cellStyle name="Normal 4 5 5 2 2 6" xfId="20244" xr:uid="{00000000-0005-0000-0000-0000E1B20000}"/>
    <cellStyle name="Normal 4 5 5 2 2 6 2" xfId="47377" xr:uid="{00000000-0005-0000-0000-0000E2B20000}"/>
    <cellStyle name="Normal 4 5 5 2 2 7" xfId="33815" xr:uid="{00000000-0005-0000-0000-0000E3B20000}"/>
    <cellStyle name="Normal 4 5 5 2 3" xfId="6528" xr:uid="{00000000-0005-0000-0000-0000E4B20000}"/>
    <cellStyle name="Normal 4 5 5 2 3 2" xfId="6529" xr:uid="{00000000-0005-0000-0000-0000E5B20000}"/>
    <cellStyle name="Normal 4 5 5 2 3 2 2" xfId="10061" xr:uid="{00000000-0005-0000-0000-0000E6B20000}"/>
    <cellStyle name="Normal 4 5 5 2 3 2 2 2" xfId="16850" xr:uid="{00000000-0005-0000-0000-0000E7B20000}"/>
    <cellStyle name="Normal 4 5 5 2 3 2 2 2 2" xfId="30418" xr:uid="{00000000-0005-0000-0000-0000E8B20000}"/>
    <cellStyle name="Normal 4 5 5 2 3 2 2 2 2 2" xfId="57551" xr:uid="{00000000-0005-0000-0000-0000E9B20000}"/>
    <cellStyle name="Normal 4 5 5 2 3 2 2 2 3" xfId="43989" xr:uid="{00000000-0005-0000-0000-0000EAB20000}"/>
    <cellStyle name="Normal 4 5 5 2 3 2 2 3" xfId="23637" xr:uid="{00000000-0005-0000-0000-0000EBB20000}"/>
    <cellStyle name="Normal 4 5 5 2 3 2 2 3 2" xfId="50770" xr:uid="{00000000-0005-0000-0000-0000ECB20000}"/>
    <cellStyle name="Normal 4 5 5 2 3 2 2 4" xfId="37208" xr:uid="{00000000-0005-0000-0000-0000EDB20000}"/>
    <cellStyle name="Normal 4 5 5 2 3 2 3" xfId="13461" xr:uid="{00000000-0005-0000-0000-0000EEB20000}"/>
    <cellStyle name="Normal 4 5 5 2 3 2 3 2" xfId="27029" xr:uid="{00000000-0005-0000-0000-0000EFB20000}"/>
    <cellStyle name="Normal 4 5 5 2 3 2 3 2 2" xfId="54162" xr:uid="{00000000-0005-0000-0000-0000F0B20000}"/>
    <cellStyle name="Normal 4 5 5 2 3 2 3 3" xfId="40600" xr:uid="{00000000-0005-0000-0000-0000F1B20000}"/>
    <cellStyle name="Normal 4 5 5 2 3 2 4" xfId="20248" xr:uid="{00000000-0005-0000-0000-0000F2B20000}"/>
    <cellStyle name="Normal 4 5 5 2 3 2 4 2" xfId="47381" xr:uid="{00000000-0005-0000-0000-0000F3B20000}"/>
    <cellStyle name="Normal 4 5 5 2 3 2 5" xfId="33819" xr:uid="{00000000-0005-0000-0000-0000F4B20000}"/>
    <cellStyle name="Normal 4 5 5 2 3 3" xfId="10060" xr:uid="{00000000-0005-0000-0000-0000F5B20000}"/>
    <cellStyle name="Normal 4 5 5 2 3 3 2" xfId="16849" xr:uid="{00000000-0005-0000-0000-0000F6B20000}"/>
    <cellStyle name="Normal 4 5 5 2 3 3 2 2" xfId="30417" xr:uid="{00000000-0005-0000-0000-0000F7B20000}"/>
    <cellStyle name="Normal 4 5 5 2 3 3 2 2 2" xfId="57550" xr:uid="{00000000-0005-0000-0000-0000F8B20000}"/>
    <cellStyle name="Normal 4 5 5 2 3 3 2 3" xfId="43988" xr:uid="{00000000-0005-0000-0000-0000F9B20000}"/>
    <cellStyle name="Normal 4 5 5 2 3 3 3" xfId="23636" xr:uid="{00000000-0005-0000-0000-0000FAB20000}"/>
    <cellStyle name="Normal 4 5 5 2 3 3 3 2" xfId="50769" xr:uid="{00000000-0005-0000-0000-0000FBB20000}"/>
    <cellStyle name="Normal 4 5 5 2 3 3 4" xfId="37207" xr:uid="{00000000-0005-0000-0000-0000FCB20000}"/>
    <cellStyle name="Normal 4 5 5 2 3 4" xfId="13460" xr:uid="{00000000-0005-0000-0000-0000FDB20000}"/>
    <cellStyle name="Normal 4 5 5 2 3 4 2" xfId="27028" xr:uid="{00000000-0005-0000-0000-0000FEB20000}"/>
    <cellStyle name="Normal 4 5 5 2 3 4 2 2" xfId="54161" xr:uid="{00000000-0005-0000-0000-0000FFB20000}"/>
    <cellStyle name="Normal 4 5 5 2 3 4 3" xfId="40599" xr:uid="{00000000-0005-0000-0000-000000B30000}"/>
    <cellStyle name="Normal 4 5 5 2 3 5" xfId="20247" xr:uid="{00000000-0005-0000-0000-000001B30000}"/>
    <cellStyle name="Normal 4 5 5 2 3 5 2" xfId="47380" xr:uid="{00000000-0005-0000-0000-000002B30000}"/>
    <cellStyle name="Normal 4 5 5 2 3 6" xfId="33818" xr:uid="{00000000-0005-0000-0000-000003B30000}"/>
    <cellStyle name="Normal 4 5 5 2 4" xfId="6530" xr:uid="{00000000-0005-0000-0000-000004B30000}"/>
    <cellStyle name="Normal 4 5 5 2 4 2" xfId="10062" xr:uid="{00000000-0005-0000-0000-000005B30000}"/>
    <cellStyle name="Normal 4 5 5 2 4 2 2" xfId="16851" xr:uid="{00000000-0005-0000-0000-000006B30000}"/>
    <cellStyle name="Normal 4 5 5 2 4 2 2 2" xfId="30419" xr:uid="{00000000-0005-0000-0000-000007B30000}"/>
    <cellStyle name="Normal 4 5 5 2 4 2 2 2 2" xfId="57552" xr:uid="{00000000-0005-0000-0000-000008B30000}"/>
    <cellStyle name="Normal 4 5 5 2 4 2 2 3" xfId="43990" xr:uid="{00000000-0005-0000-0000-000009B30000}"/>
    <cellStyle name="Normal 4 5 5 2 4 2 3" xfId="23638" xr:uid="{00000000-0005-0000-0000-00000AB30000}"/>
    <cellStyle name="Normal 4 5 5 2 4 2 3 2" xfId="50771" xr:uid="{00000000-0005-0000-0000-00000BB30000}"/>
    <cellStyle name="Normal 4 5 5 2 4 2 4" xfId="37209" xr:uid="{00000000-0005-0000-0000-00000CB30000}"/>
    <cellStyle name="Normal 4 5 5 2 4 3" xfId="13462" xr:uid="{00000000-0005-0000-0000-00000DB30000}"/>
    <cellStyle name="Normal 4 5 5 2 4 3 2" xfId="27030" xr:uid="{00000000-0005-0000-0000-00000EB30000}"/>
    <cellStyle name="Normal 4 5 5 2 4 3 2 2" xfId="54163" xr:uid="{00000000-0005-0000-0000-00000FB30000}"/>
    <cellStyle name="Normal 4 5 5 2 4 3 3" xfId="40601" xr:uid="{00000000-0005-0000-0000-000010B30000}"/>
    <cellStyle name="Normal 4 5 5 2 4 4" xfId="20249" xr:uid="{00000000-0005-0000-0000-000011B30000}"/>
    <cellStyle name="Normal 4 5 5 2 4 4 2" xfId="47382" xr:uid="{00000000-0005-0000-0000-000012B30000}"/>
    <cellStyle name="Normal 4 5 5 2 4 5" xfId="33820" xr:uid="{00000000-0005-0000-0000-000013B30000}"/>
    <cellStyle name="Normal 4 5 5 2 5" xfId="6531" xr:uid="{00000000-0005-0000-0000-000014B30000}"/>
    <cellStyle name="Normal 4 5 5 2 5 2" xfId="10063" xr:uid="{00000000-0005-0000-0000-000015B30000}"/>
    <cellStyle name="Normal 4 5 5 2 5 2 2" xfId="16852" xr:uid="{00000000-0005-0000-0000-000016B30000}"/>
    <cellStyle name="Normal 4 5 5 2 5 2 2 2" xfId="30420" xr:uid="{00000000-0005-0000-0000-000017B30000}"/>
    <cellStyle name="Normal 4 5 5 2 5 2 2 2 2" xfId="57553" xr:uid="{00000000-0005-0000-0000-000018B30000}"/>
    <cellStyle name="Normal 4 5 5 2 5 2 2 3" xfId="43991" xr:uid="{00000000-0005-0000-0000-000019B30000}"/>
    <cellStyle name="Normal 4 5 5 2 5 2 3" xfId="23639" xr:uid="{00000000-0005-0000-0000-00001AB30000}"/>
    <cellStyle name="Normal 4 5 5 2 5 2 3 2" xfId="50772" xr:uid="{00000000-0005-0000-0000-00001BB30000}"/>
    <cellStyle name="Normal 4 5 5 2 5 2 4" xfId="37210" xr:uid="{00000000-0005-0000-0000-00001CB30000}"/>
    <cellStyle name="Normal 4 5 5 2 5 3" xfId="13463" xr:uid="{00000000-0005-0000-0000-00001DB30000}"/>
    <cellStyle name="Normal 4 5 5 2 5 3 2" xfId="27031" xr:uid="{00000000-0005-0000-0000-00001EB30000}"/>
    <cellStyle name="Normal 4 5 5 2 5 3 2 2" xfId="54164" xr:uid="{00000000-0005-0000-0000-00001FB30000}"/>
    <cellStyle name="Normal 4 5 5 2 5 3 3" xfId="40602" xr:uid="{00000000-0005-0000-0000-000020B30000}"/>
    <cellStyle name="Normal 4 5 5 2 5 4" xfId="20250" xr:uid="{00000000-0005-0000-0000-000021B30000}"/>
    <cellStyle name="Normal 4 5 5 2 5 4 2" xfId="47383" xr:uid="{00000000-0005-0000-0000-000022B30000}"/>
    <cellStyle name="Normal 4 5 5 2 5 5" xfId="33821" xr:uid="{00000000-0005-0000-0000-000023B30000}"/>
    <cellStyle name="Normal 4 5 5 2 6" xfId="10056" xr:uid="{00000000-0005-0000-0000-000024B30000}"/>
    <cellStyle name="Normal 4 5 5 2 6 2" xfId="16845" xr:uid="{00000000-0005-0000-0000-000025B30000}"/>
    <cellStyle name="Normal 4 5 5 2 6 2 2" xfId="30413" xr:uid="{00000000-0005-0000-0000-000026B30000}"/>
    <cellStyle name="Normal 4 5 5 2 6 2 2 2" xfId="57546" xr:uid="{00000000-0005-0000-0000-000027B30000}"/>
    <cellStyle name="Normal 4 5 5 2 6 2 3" xfId="43984" xr:uid="{00000000-0005-0000-0000-000028B30000}"/>
    <cellStyle name="Normal 4 5 5 2 6 3" xfId="23632" xr:uid="{00000000-0005-0000-0000-000029B30000}"/>
    <cellStyle name="Normal 4 5 5 2 6 3 2" xfId="50765" xr:uid="{00000000-0005-0000-0000-00002AB30000}"/>
    <cellStyle name="Normal 4 5 5 2 6 4" xfId="37203" xr:uid="{00000000-0005-0000-0000-00002BB30000}"/>
    <cellStyle name="Normal 4 5 5 2 7" xfId="13456" xr:uid="{00000000-0005-0000-0000-00002CB30000}"/>
    <cellStyle name="Normal 4 5 5 2 7 2" xfId="27024" xr:uid="{00000000-0005-0000-0000-00002DB30000}"/>
    <cellStyle name="Normal 4 5 5 2 7 2 2" xfId="54157" xr:uid="{00000000-0005-0000-0000-00002EB30000}"/>
    <cellStyle name="Normal 4 5 5 2 7 3" xfId="40595" xr:uid="{00000000-0005-0000-0000-00002FB30000}"/>
    <cellStyle name="Normal 4 5 5 2 8" xfId="20243" xr:uid="{00000000-0005-0000-0000-000030B30000}"/>
    <cellStyle name="Normal 4 5 5 2 8 2" xfId="47376" xr:uid="{00000000-0005-0000-0000-000031B30000}"/>
    <cellStyle name="Normal 4 5 5 2 9" xfId="33814" xr:uid="{00000000-0005-0000-0000-000032B30000}"/>
    <cellStyle name="Normal 4 5 5 3" xfId="6532" xr:uid="{00000000-0005-0000-0000-000033B30000}"/>
    <cellStyle name="Normal 4 5 5 3 2" xfId="6533" xr:uid="{00000000-0005-0000-0000-000034B30000}"/>
    <cellStyle name="Normal 4 5 5 3 2 2" xfId="10065" xr:uid="{00000000-0005-0000-0000-000035B30000}"/>
    <cellStyle name="Normal 4 5 5 3 2 2 2" xfId="16854" xr:uid="{00000000-0005-0000-0000-000036B30000}"/>
    <cellStyle name="Normal 4 5 5 3 2 2 2 2" xfId="30422" xr:uid="{00000000-0005-0000-0000-000037B30000}"/>
    <cellStyle name="Normal 4 5 5 3 2 2 2 2 2" xfId="57555" xr:uid="{00000000-0005-0000-0000-000038B30000}"/>
    <cellStyle name="Normal 4 5 5 3 2 2 2 3" xfId="43993" xr:uid="{00000000-0005-0000-0000-000039B30000}"/>
    <cellStyle name="Normal 4 5 5 3 2 2 3" xfId="23641" xr:uid="{00000000-0005-0000-0000-00003AB30000}"/>
    <cellStyle name="Normal 4 5 5 3 2 2 3 2" xfId="50774" xr:uid="{00000000-0005-0000-0000-00003BB30000}"/>
    <cellStyle name="Normal 4 5 5 3 2 2 4" xfId="37212" xr:uid="{00000000-0005-0000-0000-00003CB30000}"/>
    <cellStyle name="Normal 4 5 5 3 2 3" xfId="13465" xr:uid="{00000000-0005-0000-0000-00003DB30000}"/>
    <cellStyle name="Normal 4 5 5 3 2 3 2" xfId="27033" xr:uid="{00000000-0005-0000-0000-00003EB30000}"/>
    <cellStyle name="Normal 4 5 5 3 2 3 2 2" xfId="54166" xr:uid="{00000000-0005-0000-0000-00003FB30000}"/>
    <cellStyle name="Normal 4 5 5 3 2 3 3" xfId="40604" xr:uid="{00000000-0005-0000-0000-000040B30000}"/>
    <cellStyle name="Normal 4 5 5 3 2 4" xfId="20252" xr:uid="{00000000-0005-0000-0000-000041B30000}"/>
    <cellStyle name="Normal 4 5 5 3 2 4 2" xfId="47385" xr:uid="{00000000-0005-0000-0000-000042B30000}"/>
    <cellStyle name="Normal 4 5 5 3 2 5" xfId="33823" xr:uid="{00000000-0005-0000-0000-000043B30000}"/>
    <cellStyle name="Normal 4 5 5 3 3" xfId="6534" xr:uid="{00000000-0005-0000-0000-000044B30000}"/>
    <cellStyle name="Normal 4 5 5 3 3 2" xfId="10066" xr:uid="{00000000-0005-0000-0000-000045B30000}"/>
    <cellStyle name="Normal 4 5 5 3 3 2 2" xfId="16855" xr:uid="{00000000-0005-0000-0000-000046B30000}"/>
    <cellStyle name="Normal 4 5 5 3 3 2 2 2" xfId="30423" xr:uid="{00000000-0005-0000-0000-000047B30000}"/>
    <cellStyle name="Normal 4 5 5 3 3 2 2 2 2" xfId="57556" xr:uid="{00000000-0005-0000-0000-000048B30000}"/>
    <cellStyle name="Normal 4 5 5 3 3 2 2 3" xfId="43994" xr:uid="{00000000-0005-0000-0000-000049B30000}"/>
    <cellStyle name="Normal 4 5 5 3 3 2 3" xfId="23642" xr:uid="{00000000-0005-0000-0000-00004AB30000}"/>
    <cellStyle name="Normal 4 5 5 3 3 2 3 2" xfId="50775" xr:uid="{00000000-0005-0000-0000-00004BB30000}"/>
    <cellStyle name="Normal 4 5 5 3 3 2 4" xfId="37213" xr:uid="{00000000-0005-0000-0000-00004CB30000}"/>
    <cellStyle name="Normal 4 5 5 3 3 3" xfId="13466" xr:uid="{00000000-0005-0000-0000-00004DB30000}"/>
    <cellStyle name="Normal 4 5 5 3 3 3 2" xfId="27034" xr:uid="{00000000-0005-0000-0000-00004EB30000}"/>
    <cellStyle name="Normal 4 5 5 3 3 3 2 2" xfId="54167" xr:uid="{00000000-0005-0000-0000-00004FB30000}"/>
    <cellStyle name="Normal 4 5 5 3 3 3 3" xfId="40605" xr:uid="{00000000-0005-0000-0000-000050B30000}"/>
    <cellStyle name="Normal 4 5 5 3 3 4" xfId="20253" xr:uid="{00000000-0005-0000-0000-000051B30000}"/>
    <cellStyle name="Normal 4 5 5 3 3 4 2" xfId="47386" xr:uid="{00000000-0005-0000-0000-000052B30000}"/>
    <cellStyle name="Normal 4 5 5 3 3 5" xfId="33824" xr:uid="{00000000-0005-0000-0000-000053B30000}"/>
    <cellStyle name="Normal 4 5 5 3 4" xfId="10064" xr:uid="{00000000-0005-0000-0000-000054B30000}"/>
    <cellStyle name="Normal 4 5 5 3 4 2" xfId="16853" xr:uid="{00000000-0005-0000-0000-000055B30000}"/>
    <cellStyle name="Normal 4 5 5 3 4 2 2" xfId="30421" xr:uid="{00000000-0005-0000-0000-000056B30000}"/>
    <cellStyle name="Normal 4 5 5 3 4 2 2 2" xfId="57554" xr:uid="{00000000-0005-0000-0000-000057B30000}"/>
    <cellStyle name="Normal 4 5 5 3 4 2 3" xfId="43992" xr:uid="{00000000-0005-0000-0000-000058B30000}"/>
    <cellStyle name="Normal 4 5 5 3 4 3" xfId="23640" xr:uid="{00000000-0005-0000-0000-000059B30000}"/>
    <cellStyle name="Normal 4 5 5 3 4 3 2" xfId="50773" xr:uid="{00000000-0005-0000-0000-00005AB30000}"/>
    <cellStyle name="Normal 4 5 5 3 4 4" xfId="37211" xr:uid="{00000000-0005-0000-0000-00005BB30000}"/>
    <cellStyle name="Normal 4 5 5 3 5" xfId="13464" xr:uid="{00000000-0005-0000-0000-00005CB30000}"/>
    <cellStyle name="Normal 4 5 5 3 5 2" xfId="27032" xr:uid="{00000000-0005-0000-0000-00005DB30000}"/>
    <cellStyle name="Normal 4 5 5 3 5 2 2" xfId="54165" xr:uid="{00000000-0005-0000-0000-00005EB30000}"/>
    <cellStyle name="Normal 4 5 5 3 5 3" xfId="40603" xr:uid="{00000000-0005-0000-0000-00005FB30000}"/>
    <cellStyle name="Normal 4 5 5 3 6" xfId="20251" xr:uid="{00000000-0005-0000-0000-000060B30000}"/>
    <cellStyle name="Normal 4 5 5 3 6 2" xfId="47384" xr:uid="{00000000-0005-0000-0000-000061B30000}"/>
    <cellStyle name="Normal 4 5 5 3 7" xfId="33822" xr:uid="{00000000-0005-0000-0000-000062B30000}"/>
    <cellStyle name="Normal 4 5 5 4" xfId="6535" xr:uid="{00000000-0005-0000-0000-000063B30000}"/>
    <cellStyle name="Normal 4 5 5 4 2" xfId="6536" xr:uid="{00000000-0005-0000-0000-000064B30000}"/>
    <cellStyle name="Normal 4 5 5 4 2 2" xfId="10068" xr:uid="{00000000-0005-0000-0000-000065B30000}"/>
    <cellStyle name="Normal 4 5 5 4 2 2 2" xfId="16857" xr:uid="{00000000-0005-0000-0000-000066B30000}"/>
    <cellStyle name="Normal 4 5 5 4 2 2 2 2" xfId="30425" xr:uid="{00000000-0005-0000-0000-000067B30000}"/>
    <cellStyle name="Normal 4 5 5 4 2 2 2 2 2" xfId="57558" xr:uid="{00000000-0005-0000-0000-000068B30000}"/>
    <cellStyle name="Normal 4 5 5 4 2 2 2 3" xfId="43996" xr:uid="{00000000-0005-0000-0000-000069B30000}"/>
    <cellStyle name="Normal 4 5 5 4 2 2 3" xfId="23644" xr:uid="{00000000-0005-0000-0000-00006AB30000}"/>
    <cellStyle name="Normal 4 5 5 4 2 2 3 2" xfId="50777" xr:uid="{00000000-0005-0000-0000-00006BB30000}"/>
    <cellStyle name="Normal 4 5 5 4 2 2 4" xfId="37215" xr:uid="{00000000-0005-0000-0000-00006CB30000}"/>
    <cellStyle name="Normal 4 5 5 4 2 3" xfId="13468" xr:uid="{00000000-0005-0000-0000-00006DB30000}"/>
    <cellStyle name="Normal 4 5 5 4 2 3 2" xfId="27036" xr:uid="{00000000-0005-0000-0000-00006EB30000}"/>
    <cellStyle name="Normal 4 5 5 4 2 3 2 2" xfId="54169" xr:uid="{00000000-0005-0000-0000-00006FB30000}"/>
    <cellStyle name="Normal 4 5 5 4 2 3 3" xfId="40607" xr:uid="{00000000-0005-0000-0000-000070B30000}"/>
    <cellStyle name="Normal 4 5 5 4 2 4" xfId="20255" xr:uid="{00000000-0005-0000-0000-000071B30000}"/>
    <cellStyle name="Normal 4 5 5 4 2 4 2" xfId="47388" xr:uid="{00000000-0005-0000-0000-000072B30000}"/>
    <cellStyle name="Normal 4 5 5 4 2 5" xfId="33826" xr:uid="{00000000-0005-0000-0000-000073B30000}"/>
    <cellStyle name="Normal 4 5 5 4 3" xfId="10067" xr:uid="{00000000-0005-0000-0000-000074B30000}"/>
    <cellStyle name="Normal 4 5 5 4 3 2" xfId="16856" xr:uid="{00000000-0005-0000-0000-000075B30000}"/>
    <cellStyle name="Normal 4 5 5 4 3 2 2" xfId="30424" xr:uid="{00000000-0005-0000-0000-000076B30000}"/>
    <cellStyle name="Normal 4 5 5 4 3 2 2 2" xfId="57557" xr:uid="{00000000-0005-0000-0000-000077B30000}"/>
    <cellStyle name="Normal 4 5 5 4 3 2 3" xfId="43995" xr:uid="{00000000-0005-0000-0000-000078B30000}"/>
    <cellStyle name="Normal 4 5 5 4 3 3" xfId="23643" xr:uid="{00000000-0005-0000-0000-000079B30000}"/>
    <cellStyle name="Normal 4 5 5 4 3 3 2" xfId="50776" xr:uid="{00000000-0005-0000-0000-00007AB30000}"/>
    <cellStyle name="Normal 4 5 5 4 3 4" xfId="37214" xr:uid="{00000000-0005-0000-0000-00007BB30000}"/>
    <cellStyle name="Normal 4 5 5 4 4" xfId="13467" xr:uid="{00000000-0005-0000-0000-00007CB30000}"/>
    <cellStyle name="Normal 4 5 5 4 4 2" xfId="27035" xr:uid="{00000000-0005-0000-0000-00007DB30000}"/>
    <cellStyle name="Normal 4 5 5 4 4 2 2" xfId="54168" xr:uid="{00000000-0005-0000-0000-00007EB30000}"/>
    <cellStyle name="Normal 4 5 5 4 4 3" xfId="40606" xr:uid="{00000000-0005-0000-0000-00007FB30000}"/>
    <cellStyle name="Normal 4 5 5 4 5" xfId="20254" xr:uid="{00000000-0005-0000-0000-000080B30000}"/>
    <cellStyle name="Normal 4 5 5 4 5 2" xfId="47387" xr:uid="{00000000-0005-0000-0000-000081B30000}"/>
    <cellStyle name="Normal 4 5 5 4 6" xfId="33825" xr:uid="{00000000-0005-0000-0000-000082B30000}"/>
    <cellStyle name="Normal 4 5 5 5" xfId="6537" xr:uid="{00000000-0005-0000-0000-000083B30000}"/>
    <cellStyle name="Normal 4 5 5 5 2" xfId="10069" xr:uid="{00000000-0005-0000-0000-000084B30000}"/>
    <cellStyle name="Normal 4 5 5 5 2 2" xfId="16858" xr:uid="{00000000-0005-0000-0000-000085B30000}"/>
    <cellStyle name="Normal 4 5 5 5 2 2 2" xfId="30426" xr:uid="{00000000-0005-0000-0000-000086B30000}"/>
    <cellStyle name="Normal 4 5 5 5 2 2 2 2" xfId="57559" xr:uid="{00000000-0005-0000-0000-000087B30000}"/>
    <cellStyle name="Normal 4 5 5 5 2 2 3" xfId="43997" xr:uid="{00000000-0005-0000-0000-000088B30000}"/>
    <cellStyle name="Normal 4 5 5 5 2 3" xfId="23645" xr:uid="{00000000-0005-0000-0000-000089B30000}"/>
    <cellStyle name="Normal 4 5 5 5 2 3 2" xfId="50778" xr:uid="{00000000-0005-0000-0000-00008AB30000}"/>
    <cellStyle name="Normal 4 5 5 5 2 4" xfId="37216" xr:uid="{00000000-0005-0000-0000-00008BB30000}"/>
    <cellStyle name="Normal 4 5 5 5 3" xfId="13469" xr:uid="{00000000-0005-0000-0000-00008CB30000}"/>
    <cellStyle name="Normal 4 5 5 5 3 2" xfId="27037" xr:uid="{00000000-0005-0000-0000-00008DB30000}"/>
    <cellStyle name="Normal 4 5 5 5 3 2 2" xfId="54170" xr:uid="{00000000-0005-0000-0000-00008EB30000}"/>
    <cellStyle name="Normal 4 5 5 5 3 3" xfId="40608" xr:uid="{00000000-0005-0000-0000-00008FB30000}"/>
    <cellStyle name="Normal 4 5 5 5 4" xfId="20256" xr:uid="{00000000-0005-0000-0000-000090B30000}"/>
    <cellStyle name="Normal 4 5 5 5 4 2" xfId="47389" xr:uid="{00000000-0005-0000-0000-000091B30000}"/>
    <cellStyle name="Normal 4 5 5 5 5" xfId="33827" xr:uid="{00000000-0005-0000-0000-000092B30000}"/>
    <cellStyle name="Normal 4 5 5 6" xfId="6538" xr:uid="{00000000-0005-0000-0000-000093B30000}"/>
    <cellStyle name="Normal 4 5 5 6 2" xfId="10070" xr:uid="{00000000-0005-0000-0000-000094B30000}"/>
    <cellStyle name="Normal 4 5 5 6 2 2" xfId="16859" xr:uid="{00000000-0005-0000-0000-000095B30000}"/>
    <cellStyle name="Normal 4 5 5 6 2 2 2" xfId="30427" xr:uid="{00000000-0005-0000-0000-000096B30000}"/>
    <cellStyle name="Normal 4 5 5 6 2 2 2 2" xfId="57560" xr:uid="{00000000-0005-0000-0000-000097B30000}"/>
    <cellStyle name="Normal 4 5 5 6 2 2 3" xfId="43998" xr:uid="{00000000-0005-0000-0000-000098B30000}"/>
    <cellStyle name="Normal 4 5 5 6 2 3" xfId="23646" xr:uid="{00000000-0005-0000-0000-000099B30000}"/>
    <cellStyle name="Normal 4 5 5 6 2 3 2" xfId="50779" xr:uid="{00000000-0005-0000-0000-00009AB30000}"/>
    <cellStyle name="Normal 4 5 5 6 2 4" xfId="37217" xr:uid="{00000000-0005-0000-0000-00009BB30000}"/>
    <cellStyle name="Normal 4 5 5 6 3" xfId="13470" xr:uid="{00000000-0005-0000-0000-00009CB30000}"/>
    <cellStyle name="Normal 4 5 5 6 3 2" xfId="27038" xr:uid="{00000000-0005-0000-0000-00009DB30000}"/>
    <cellStyle name="Normal 4 5 5 6 3 2 2" xfId="54171" xr:uid="{00000000-0005-0000-0000-00009EB30000}"/>
    <cellStyle name="Normal 4 5 5 6 3 3" xfId="40609" xr:uid="{00000000-0005-0000-0000-00009FB30000}"/>
    <cellStyle name="Normal 4 5 5 6 4" xfId="20257" xr:uid="{00000000-0005-0000-0000-0000A0B30000}"/>
    <cellStyle name="Normal 4 5 5 6 4 2" xfId="47390" xr:uid="{00000000-0005-0000-0000-0000A1B30000}"/>
    <cellStyle name="Normal 4 5 5 6 5" xfId="33828" xr:uid="{00000000-0005-0000-0000-0000A2B30000}"/>
    <cellStyle name="Normal 4 5 5 7" xfId="10055" xr:uid="{00000000-0005-0000-0000-0000A3B30000}"/>
    <cellStyle name="Normal 4 5 5 7 2" xfId="16844" xr:uid="{00000000-0005-0000-0000-0000A4B30000}"/>
    <cellStyle name="Normal 4 5 5 7 2 2" xfId="30412" xr:uid="{00000000-0005-0000-0000-0000A5B30000}"/>
    <cellStyle name="Normal 4 5 5 7 2 2 2" xfId="57545" xr:uid="{00000000-0005-0000-0000-0000A6B30000}"/>
    <cellStyle name="Normal 4 5 5 7 2 3" xfId="43983" xr:uid="{00000000-0005-0000-0000-0000A7B30000}"/>
    <cellStyle name="Normal 4 5 5 7 3" xfId="23631" xr:uid="{00000000-0005-0000-0000-0000A8B30000}"/>
    <cellStyle name="Normal 4 5 5 7 3 2" xfId="50764" xr:uid="{00000000-0005-0000-0000-0000A9B30000}"/>
    <cellStyle name="Normal 4 5 5 7 4" xfId="37202" xr:uid="{00000000-0005-0000-0000-0000AAB30000}"/>
    <cellStyle name="Normal 4 5 5 8" xfId="13455" xr:uid="{00000000-0005-0000-0000-0000ABB30000}"/>
    <cellStyle name="Normal 4 5 5 8 2" xfId="27023" xr:uid="{00000000-0005-0000-0000-0000ACB30000}"/>
    <cellStyle name="Normal 4 5 5 8 2 2" xfId="54156" xr:uid="{00000000-0005-0000-0000-0000ADB30000}"/>
    <cellStyle name="Normal 4 5 5 8 3" xfId="40594" xr:uid="{00000000-0005-0000-0000-0000AEB30000}"/>
    <cellStyle name="Normal 4 5 5 9" xfId="20242" xr:uid="{00000000-0005-0000-0000-0000AFB30000}"/>
    <cellStyle name="Normal 4 5 5 9 2" xfId="47375" xr:uid="{00000000-0005-0000-0000-0000B0B30000}"/>
    <cellStyle name="Normal 4 5 6" xfId="6539" xr:uid="{00000000-0005-0000-0000-0000B1B30000}"/>
    <cellStyle name="Normal 4 5 6 2" xfId="6540" xr:uid="{00000000-0005-0000-0000-0000B2B30000}"/>
    <cellStyle name="Normal 4 5 6 2 2" xfId="6541" xr:uid="{00000000-0005-0000-0000-0000B3B30000}"/>
    <cellStyle name="Normal 4 5 6 2 2 2" xfId="10073" xr:uid="{00000000-0005-0000-0000-0000B4B30000}"/>
    <cellStyle name="Normal 4 5 6 2 2 2 2" xfId="16862" xr:uid="{00000000-0005-0000-0000-0000B5B30000}"/>
    <cellStyle name="Normal 4 5 6 2 2 2 2 2" xfId="30430" xr:uid="{00000000-0005-0000-0000-0000B6B30000}"/>
    <cellStyle name="Normal 4 5 6 2 2 2 2 2 2" xfId="57563" xr:uid="{00000000-0005-0000-0000-0000B7B30000}"/>
    <cellStyle name="Normal 4 5 6 2 2 2 2 3" xfId="44001" xr:uid="{00000000-0005-0000-0000-0000B8B30000}"/>
    <cellStyle name="Normal 4 5 6 2 2 2 3" xfId="23649" xr:uid="{00000000-0005-0000-0000-0000B9B30000}"/>
    <cellStyle name="Normal 4 5 6 2 2 2 3 2" xfId="50782" xr:uid="{00000000-0005-0000-0000-0000BAB30000}"/>
    <cellStyle name="Normal 4 5 6 2 2 2 4" xfId="37220" xr:uid="{00000000-0005-0000-0000-0000BBB30000}"/>
    <cellStyle name="Normal 4 5 6 2 2 3" xfId="13473" xr:uid="{00000000-0005-0000-0000-0000BCB30000}"/>
    <cellStyle name="Normal 4 5 6 2 2 3 2" xfId="27041" xr:uid="{00000000-0005-0000-0000-0000BDB30000}"/>
    <cellStyle name="Normal 4 5 6 2 2 3 2 2" xfId="54174" xr:uid="{00000000-0005-0000-0000-0000BEB30000}"/>
    <cellStyle name="Normal 4 5 6 2 2 3 3" xfId="40612" xr:uid="{00000000-0005-0000-0000-0000BFB30000}"/>
    <cellStyle name="Normal 4 5 6 2 2 4" xfId="20260" xr:uid="{00000000-0005-0000-0000-0000C0B30000}"/>
    <cellStyle name="Normal 4 5 6 2 2 4 2" xfId="47393" xr:uid="{00000000-0005-0000-0000-0000C1B30000}"/>
    <cellStyle name="Normal 4 5 6 2 2 5" xfId="33831" xr:uid="{00000000-0005-0000-0000-0000C2B30000}"/>
    <cellStyle name="Normal 4 5 6 2 3" xfId="6542" xr:uid="{00000000-0005-0000-0000-0000C3B30000}"/>
    <cellStyle name="Normal 4 5 6 2 3 2" xfId="10074" xr:uid="{00000000-0005-0000-0000-0000C4B30000}"/>
    <cellStyle name="Normal 4 5 6 2 3 2 2" xfId="16863" xr:uid="{00000000-0005-0000-0000-0000C5B30000}"/>
    <cellStyle name="Normal 4 5 6 2 3 2 2 2" xfId="30431" xr:uid="{00000000-0005-0000-0000-0000C6B30000}"/>
    <cellStyle name="Normal 4 5 6 2 3 2 2 2 2" xfId="57564" xr:uid="{00000000-0005-0000-0000-0000C7B30000}"/>
    <cellStyle name="Normal 4 5 6 2 3 2 2 3" xfId="44002" xr:uid="{00000000-0005-0000-0000-0000C8B30000}"/>
    <cellStyle name="Normal 4 5 6 2 3 2 3" xfId="23650" xr:uid="{00000000-0005-0000-0000-0000C9B30000}"/>
    <cellStyle name="Normal 4 5 6 2 3 2 3 2" xfId="50783" xr:uid="{00000000-0005-0000-0000-0000CAB30000}"/>
    <cellStyle name="Normal 4 5 6 2 3 2 4" xfId="37221" xr:uid="{00000000-0005-0000-0000-0000CBB30000}"/>
    <cellStyle name="Normal 4 5 6 2 3 3" xfId="13474" xr:uid="{00000000-0005-0000-0000-0000CCB30000}"/>
    <cellStyle name="Normal 4 5 6 2 3 3 2" xfId="27042" xr:uid="{00000000-0005-0000-0000-0000CDB30000}"/>
    <cellStyle name="Normal 4 5 6 2 3 3 2 2" xfId="54175" xr:uid="{00000000-0005-0000-0000-0000CEB30000}"/>
    <cellStyle name="Normal 4 5 6 2 3 3 3" xfId="40613" xr:uid="{00000000-0005-0000-0000-0000CFB30000}"/>
    <cellStyle name="Normal 4 5 6 2 3 4" xfId="20261" xr:uid="{00000000-0005-0000-0000-0000D0B30000}"/>
    <cellStyle name="Normal 4 5 6 2 3 4 2" xfId="47394" xr:uid="{00000000-0005-0000-0000-0000D1B30000}"/>
    <cellStyle name="Normal 4 5 6 2 3 5" xfId="33832" xr:uid="{00000000-0005-0000-0000-0000D2B30000}"/>
    <cellStyle name="Normal 4 5 6 2 4" xfId="10072" xr:uid="{00000000-0005-0000-0000-0000D3B30000}"/>
    <cellStyle name="Normal 4 5 6 2 4 2" xfId="16861" xr:uid="{00000000-0005-0000-0000-0000D4B30000}"/>
    <cellStyle name="Normal 4 5 6 2 4 2 2" xfId="30429" xr:uid="{00000000-0005-0000-0000-0000D5B30000}"/>
    <cellStyle name="Normal 4 5 6 2 4 2 2 2" xfId="57562" xr:uid="{00000000-0005-0000-0000-0000D6B30000}"/>
    <cellStyle name="Normal 4 5 6 2 4 2 3" xfId="44000" xr:uid="{00000000-0005-0000-0000-0000D7B30000}"/>
    <cellStyle name="Normal 4 5 6 2 4 3" xfId="23648" xr:uid="{00000000-0005-0000-0000-0000D8B30000}"/>
    <cellStyle name="Normal 4 5 6 2 4 3 2" xfId="50781" xr:uid="{00000000-0005-0000-0000-0000D9B30000}"/>
    <cellStyle name="Normal 4 5 6 2 4 4" xfId="37219" xr:uid="{00000000-0005-0000-0000-0000DAB30000}"/>
    <cellStyle name="Normal 4 5 6 2 5" xfId="13472" xr:uid="{00000000-0005-0000-0000-0000DBB30000}"/>
    <cellStyle name="Normal 4 5 6 2 5 2" xfId="27040" xr:uid="{00000000-0005-0000-0000-0000DCB30000}"/>
    <cellStyle name="Normal 4 5 6 2 5 2 2" xfId="54173" xr:uid="{00000000-0005-0000-0000-0000DDB30000}"/>
    <cellStyle name="Normal 4 5 6 2 5 3" xfId="40611" xr:uid="{00000000-0005-0000-0000-0000DEB30000}"/>
    <cellStyle name="Normal 4 5 6 2 6" xfId="20259" xr:uid="{00000000-0005-0000-0000-0000DFB30000}"/>
    <cellStyle name="Normal 4 5 6 2 6 2" xfId="47392" xr:uid="{00000000-0005-0000-0000-0000E0B30000}"/>
    <cellStyle name="Normal 4 5 6 2 7" xfId="33830" xr:uid="{00000000-0005-0000-0000-0000E1B30000}"/>
    <cellStyle name="Normal 4 5 6 3" xfId="6543" xr:uid="{00000000-0005-0000-0000-0000E2B30000}"/>
    <cellStyle name="Normal 4 5 6 3 2" xfId="6544" xr:uid="{00000000-0005-0000-0000-0000E3B30000}"/>
    <cellStyle name="Normal 4 5 6 3 2 2" xfId="10076" xr:uid="{00000000-0005-0000-0000-0000E4B30000}"/>
    <cellStyle name="Normal 4 5 6 3 2 2 2" xfId="16865" xr:uid="{00000000-0005-0000-0000-0000E5B30000}"/>
    <cellStyle name="Normal 4 5 6 3 2 2 2 2" xfId="30433" xr:uid="{00000000-0005-0000-0000-0000E6B30000}"/>
    <cellStyle name="Normal 4 5 6 3 2 2 2 2 2" xfId="57566" xr:uid="{00000000-0005-0000-0000-0000E7B30000}"/>
    <cellStyle name="Normal 4 5 6 3 2 2 2 3" xfId="44004" xr:uid="{00000000-0005-0000-0000-0000E8B30000}"/>
    <cellStyle name="Normal 4 5 6 3 2 2 3" xfId="23652" xr:uid="{00000000-0005-0000-0000-0000E9B30000}"/>
    <cellStyle name="Normal 4 5 6 3 2 2 3 2" xfId="50785" xr:uid="{00000000-0005-0000-0000-0000EAB30000}"/>
    <cellStyle name="Normal 4 5 6 3 2 2 4" xfId="37223" xr:uid="{00000000-0005-0000-0000-0000EBB30000}"/>
    <cellStyle name="Normal 4 5 6 3 2 3" xfId="13476" xr:uid="{00000000-0005-0000-0000-0000ECB30000}"/>
    <cellStyle name="Normal 4 5 6 3 2 3 2" xfId="27044" xr:uid="{00000000-0005-0000-0000-0000EDB30000}"/>
    <cellStyle name="Normal 4 5 6 3 2 3 2 2" xfId="54177" xr:uid="{00000000-0005-0000-0000-0000EEB30000}"/>
    <cellStyle name="Normal 4 5 6 3 2 3 3" xfId="40615" xr:uid="{00000000-0005-0000-0000-0000EFB30000}"/>
    <cellStyle name="Normal 4 5 6 3 2 4" xfId="20263" xr:uid="{00000000-0005-0000-0000-0000F0B30000}"/>
    <cellStyle name="Normal 4 5 6 3 2 4 2" xfId="47396" xr:uid="{00000000-0005-0000-0000-0000F1B30000}"/>
    <cellStyle name="Normal 4 5 6 3 2 5" xfId="33834" xr:uid="{00000000-0005-0000-0000-0000F2B30000}"/>
    <cellStyle name="Normal 4 5 6 3 3" xfId="10075" xr:uid="{00000000-0005-0000-0000-0000F3B30000}"/>
    <cellStyle name="Normal 4 5 6 3 3 2" xfId="16864" xr:uid="{00000000-0005-0000-0000-0000F4B30000}"/>
    <cellStyle name="Normal 4 5 6 3 3 2 2" xfId="30432" xr:uid="{00000000-0005-0000-0000-0000F5B30000}"/>
    <cellStyle name="Normal 4 5 6 3 3 2 2 2" xfId="57565" xr:uid="{00000000-0005-0000-0000-0000F6B30000}"/>
    <cellStyle name="Normal 4 5 6 3 3 2 3" xfId="44003" xr:uid="{00000000-0005-0000-0000-0000F7B30000}"/>
    <cellStyle name="Normal 4 5 6 3 3 3" xfId="23651" xr:uid="{00000000-0005-0000-0000-0000F8B30000}"/>
    <cellStyle name="Normal 4 5 6 3 3 3 2" xfId="50784" xr:uid="{00000000-0005-0000-0000-0000F9B30000}"/>
    <cellStyle name="Normal 4 5 6 3 3 4" xfId="37222" xr:uid="{00000000-0005-0000-0000-0000FAB30000}"/>
    <cellStyle name="Normal 4 5 6 3 4" xfId="13475" xr:uid="{00000000-0005-0000-0000-0000FBB30000}"/>
    <cellStyle name="Normal 4 5 6 3 4 2" xfId="27043" xr:uid="{00000000-0005-0000-0000-0000FCB30000}"/>
    <cellStyle name="Normal 4 5 6 3 4 2 2" xfId="54176" xr:uid="{00000000-0005-0000-0000-0000FDB30000}"/>
    <cellStyle name="Normal 4 5 6 3 4 3" xfId="40614" xr:uid="{00000000-0005-0000-0000-0000FEB30000}"/>
    <cellStyle name="Normal 4 5 6 3 5" xfId="20262" xr:uid="{00000000-0005-0000-0000-0000FFB30000}"/>
    <cellStyle name="Normal 4 5 6 3 5 2" xfId="47395" xr:uid="{00000000-0005-0000-0000-000000B40000}"/>
    <cellStyle name="Normal 4 5 6 3 6" xfId="33833" xr:uid="{00000000-0005-0000-0000-000001B40000}"/>
    <cellStyle name="Normal 4 5 6 4" xfId="6545" xr:uid="{00000000-0005-0000-0000-000002B40000}"/>
    <cellStyle name="Normal 4 5 6 4 2" xfId="10077" xr:uid="{00000000-0005-0000-0000-000003B40000}"/>
    <cellStyle name="Normal 4 5 6 4 2 2" xfId="16866" xr:uid="{00000000-0005-0000-0000-000004B40000}"/>
    <cellStyle name="Normal 4 5 6 4 2 2 2" xfId="30434" xr:uid="{00000000-0005-0000-0000-000005B40000}"/>
    <cellStyle name="Normal 4 5 6 4 2 2 2 2" xfId="57567" xr:uid="{00000000-0005-0000-0000-000006B40000}"/>
    <cellStyle name="Normal 4 5 6 4 2 2 3" xfId="44005" xr:uid="{00000000-0005-0000-0000-000007B40000}"/>
    <cellStyle name="Normal 4 5 6 4 2 3" xfId="23653" xr:uid="{00000000-0005-0000-0000-000008B40000}"/>
    <cellStyle name="Normal 4 5 6 4 2 3 2" xfId="50786" xr:uid="{00000000-0005-0000-0000-000009B40000}"/>
    <cellStyle name="Normal 4 5 6 4 2 4" xfId="37224" xr:uid="{00000000-0005-0000-0000-00000AB40000}"/>
    <cellStyle name="Normal 4 5 6 4 3" xfId="13477" xr:uid="{00000000-0005-0000-0000-00000BB40000}"/>
    <cellStyle name="Normal 4 5 6 4 3 2" xfId="27045" xr:uid="{00000000-0005-0000-0000-00000CB40000}"/>
    <cellStyle name="Normal 4 5 6 4 3 2 2" xfId="54178" xr:uid="{00000000-0005-0000-0000-00000DB40000}"/>
    <cellStyle name="Normal 4 5 6 4 3 3" xfId="40616" xr:uid="{00000000-0005-0000-0000-00000EB40000}"/>
    <cellStyle name="Normal 4 5 6 4 4" xfId="20264" xr:uid="{00000000-0005-0000-0000-00000FB40000}"/>
    <cellStyle name="Normal 4 5 6 4 4 2" xfId="47397" xr:uid="{00000000-0005-0000-0000-000010B40000}"/>
    <cellStyle name="Normal 4 5 6 4 5" xfId="33835" xr:uid="{00000000-0005-0000-0000-000011B40000}"/>
    <cellStyle name="Normal 4 5 6 5" xfId="6546" xr:uid="{00000000-0005-0000-0000-000012B40000}"/>
    <cellStyle name="Normal 4 5 6 5 2" xfId="10078" xr:uid="{00000000-0005-0000-0000-000013B40000}"/>
    <cellStyle name="Normal 4 5 6 5 2 2" xfId="16867" xr:uid="{00000000-0005-0000-0000-000014B40000}"/>
    <cellStyle name="Normal 4 5 6 5 2 2 2" xfId="30435" xr:uid="{00000000-0005-0000-0000-000015B40000}"/>
    <cellStyle name="Normal 4 5 6 5 2 2 2 2" xfId="57568" xr:uid="{00000000-0005-0000-0000-000016B40000}"/>
    <cellStyle name="Normal 4 5 6 5 2 2 3" xfId="44006" xr:uid="{00000000-0005-0000-0000-000017B40000}"/>
    <cellStyle name="Normal 4 5 6 5 2 3" xfId="23654" xr:uid="{00000000-0005-0000-0000-000018B40000}"/>
    <cellStyle name="Normal 4 5 6 5 2 3 2" xfId="50787" xr:uid="{00000000-0005-0000-0000-000019B40000}"/>
    <cellStyle name="Normal 4 5 6 5 2 4" xfId="37225" xr:uid="{00000000-0005-0000-0000-00001AB40000}"/>
    <cellStyle name="Normal 4 5 6 5 3" xfId="13478" xr:uid="{00000000-0005-0000-0000-00001BB40000}"/>
    <cellStyle name="Normal 4 5 6 5 3 2" xfId="27046" xr:uid="{00000000-0005-0000-0000-00001CB40000}"/>
    <cellStyle name="Normal 4 5 6 5 3 2 2" xfId="54179" xr:uid="{00000000-0005-0000-0000-00001DB40000}"/>
    <cellStyle name="Normal 4 5 6 5 3 3" xfId="40617" xr:uid="{00000000-0005-0000-0000-00001EB40000}"/>
    <cellStyle name="Normal 4 5 6 5 4" xfId="20265" xr:uid="{00000000-0005-0000-0000-00001FB40000}"/>
    <cellStyle name="Normal 4 5 6 5 4 2" xfId="47398" xr:uid="{00000000-0005-0000-0000-000020B40000}"/>
    <cellStyle name="Normal 4 5 6 5 5" xfId="33836" xr:uid="{00000000-0005-0000-0000-000021B40000}"/>
    <cellStyle name="Normal 4 5 6 6" xfId="10071" xr:uid="{00000000-0005-0000-0000-000022B40000}"/>
    <cellStyle name="Normal 4 5 6 6 2" xfId="16860" xr:uid="{00000000-0005-0000-0000-000023B40000}"/>
    <cellStyle name="Normal 4 5 6 6 2 2" xfId="30428" xr:uid="{00000000-0005-0000-0000-000024B40000}"/>
    <cellStyle name="Normal 4 5 6 6 2 2 2" xfId="57561" xr:uid="{00000000-0005-0000-0000-000025B40000}"/>
    <cellStyle name="Normal 4 5 6 6 2 3" xfId="43999" xr:uid="{00000000-0005-0000-0000-000026B40000}"/>
    <cellStyle name="Normal 4 5 6 6 3" xfId="23647" xr:uid="{00000000-0005-0000-0000-000027B40000}"/>
    <cellStyle name="Normal 4 5 6 6 3 2" xfId="50780" xr:uid="{00000000-0005-0000-0000-000028B40000}"/>
    <cellStyle name="Normal 4 5 6 6 4" xfId="37218" xr:uid="{00000000-0005-0000-0000-000029B40000}"/>
    <cellStyle name="Normal 4 5 6 7" xfId="13471" xr:uid="{00000000-0005-0000-0000-00002AB40000}"/>
    <cellStyle name="Normal 4 5 6 7 2" xfId="27039" xr:uid="{00000000-0005-0000-0000-00002BB40000}"/>
    <cellStyle name="Normal 4 5 6 7 2 2" xfId="54172" xr:uid="{00000000-0005-0000-0000-00002CB40000}"/>
    <cellStyle name="Normal 4 5 6 7 3" xfId="40610" xr:uid="{00000000-0005-0000-0000-00002DB40000}"/>
    <cellStyle name="Normal 4 5 6 8" xfId="20258" xr:uid="{00000000-0005-0000-0000-00002EB40000}"/>
    <cellStyle name="Normal 4 5 6 8 2" xfId="47391" xr:uid="{00000000-0005-0000-0000-00002FB40000}"/>
    <cellStyle name="Normal 4 5 6 9" xfId="33829" xr:uid="{00000000-0005-0000-0000-000030B40000}"/>
    <cellStyle name="Normal 4 5 7" xfId="6547" xr:uid="{00000000-0005-0000-0000-000031B40000}"/>
    <cellStyle name="Normal 4 5 7 2" xfId="6548" xr:uid="{00000000-0005-0000-0000-000032B40000}"/>
    <cellStyle name="Normal 4 5 7 2 2" xfId="6549" xr:uid="{00000000-0005-0000-0000-000033B40000}"/>
    <cellStyle name="Normal 4 5 7 2 2 2" xfId="10081" xr:uid="{00000000-0005-0000-0000-000034B40000}"/>
    <cellStyle name="Normal 4 5 7 2 2 2 2" xfId="16870" xr:uid="{00000000-0005-0000-0000-000035B40000}"/>
    <cellStyle name="Normal 4 5 7 2 2 2 2 2" xfId="30438" xr:uid="{00000000-0005-0000-0000-000036B40000}"/>
    <cellStyle name="Normal 4 5 7 2 2 2 2 2 2" xfId="57571" xr:uid="{00000000-0005-0000-0000-000037B40000}"/>
    <cellStyle name="Normal 4 5 7 2 2 2 2 3" xfId="44009" xr:uid="{00000000-0005-0000-0000-000038B40000}"/>
    <cellStyle name="Normal 4 5 7 2 2 2 3" xfId="23657" xr:uid="{00000000-0005-0000-0000-000039B40000}"/>
    <cellStyle name="Normal 4 5 7 2 2 2 3 2" xfId="50790" xr:uid="{00000000-0005-0000-0000-00003AB40000}"/>
    <cellStyle name="Normal 4 5 7 2 2 2 4" xfId="37228" xr:uid="{00000000-0005-0000-0000-00003BB40000}"/>
    <cellStyle name="Normal 4 5 7 2 2 3" xfId="13481" xr:uid="{00000000-0005-0000-0000-00003CB40000}"/>
    <cellStyle name="Normal 4 5 7 2 2 3 2" xfId="27049" xr:uid="{00000000-0005-0000-0000-00003DB40000}"/>
    <cellStyle name="Normal 4 5 7 2 2 3 2 2" xfId="54182" xr:uid="{00000000-0005-0000-0000-00003EB40000}"/>
    <cellStyle name="Normal 4 5 7 2 2 3 3" xfId="40620" xr:uid="{00000000-0005-0000-0000-00003FB40000}"/>
    <cellStyle name="Normal 4 5 7 2 2 4" xfId="20268" xr:uid="{00000000-0005-0000-0000-000040B40000}"/>
    <cellStyle name="Normal 4 5 7 2 2 4 2" xfId="47401" xr:uid="{00000000-0005-0000-0000-000041B40000}"/>
    <cellStyle name="Normal 4 5 7 2 2 5" xfId="33839" xr:uid="{00000000-0005-0000-0000-000042B40000}"/>
    <cellStyle name="Normal 4 5 7 2 3" xfId="6550" xr:uid="{00000000-0005-0000-0000-000043B40000}"/>
    <cellStyle name="Normal 4 5 7 2 3 2" xfId="10082" xr:uid="{00000000-0005-0000-0000-000044B40000}"/>
    <cellStyle name="Normal 4 5 7 2 3 2 2" xfId="16871" xr:uid="{00000000-0005-0000-0000-000045B40000}"/>
    <cellStyle name="Normal 4 5 7 2 3 2 2 2" xfId="30439" xr:uid="{00000000-0005-0000-0000-000046B40000}"/>
    <cellStyle name="Normal 4 5 7 2 3 2 2 2 2" xfId="57572" xr:uid="{00000000-0005-0000-0000-000047B40000}"/>
    <cellStyle name="Normal 4 5 7 2 3 2 2 3" xfId="44010" xr:uid="{00000000-0005-0000-0000-000048B40000}"/>
    <cellStyle name="Normal 4 5 7 2 3 2 3" xfId="23658" xr:uid="{00000000-0005-0000-0000-000049B40000}"/>
    <cellStyle name="Normal 4 5 7 2 3 2 3 2" xfId="50791" xr:uid="{00000000-0005-0000-0000-00004AB40000}"/>
    <cellStyle name="Normal 4 5 7 2 3 2 4" xfId="37229" xr:uid="{00000000-0005-0000-0000-00004BB40000}"/>
    <cellStyle name="Normal 4 5 7 2 3 3" xfId="13482" xr:uid="{00000000-0005-0000-0000-00004CB40000}"/>
    <cellStyle name="Normal 4 5 7 2 3 3 2" xfId="27050" xr:uid="{00000000-0005-0000-0000-00004DB40000}"/>
    <cellStyle name="Normal 4 5 7 2 3 3 2 2" xfId="54183" xr:uid="{00000000-0005-0000-0000-00004EB40000}"/>
    <cellStyle name="Normal 4 5 7 2 3 3 3" xfId="40621" xr:uid="{00000000-0005-0000-0000-00004FB40000}"/>
    <cellStyle name="Normal 4 5 7 2 3 4" xfId="20269" xr:uid="{00000000-0005-0000-0000-000050B40000}"/>
    <cellStyle name="Normal 4 5 7 2 3 4 2" xfId="47402" xr:uid="{00000000-0005-0000-0000-000051B40000}"/>
    <cellStyle name="Normal 4 5 7 2 3 5" xfId="33840" xr:uid="{00000000-0005-0000-0000-000052B40000}"/>
    <cellStyle name="Normal 4 5 7 2 4" xfId="10080" xr:uid="{00000000-0005-0000-0000-000053B40000}"/>
    <cellStyle name="Normal 4 5 7 2 4 2" xfId="16869" xr:uid="{00000000-0005-0000-0000-000054B40000}"/>
    <cellStyle name="Normal 4 5 7 2 4 2 2" xfId="30437" xr:uid="{00000000-0005-0000-0000-000055B40000}"/>
    <cellStyle name="Normal 4 5 7 2 4 2 2 2" xfId="57570" xr:uid="{00000000-0005-0000-0000-000056B40000}"/>
    <cellStyle name="Normal 4 5 7 2 4 2 3" xfId="44008" xr:uid="{00000000-0005-0000-0000-000057B40000}"/>
    <cellStyle name="Normal 4 5 7 2 4 3" xfId="23656" xr:uid="{00000000-0005-0000-0000-000058B40000}"/>
    <cellStyle name="Normal 4 5 7 2 4 3 2" xfId="50789" xr:uid="{00000000-0005-0000-0000-000059B40000}"/>
    <cellStyle name="Normal 4 5 7 2 4 4" xfId="37227" xr:uid="{00000000-0005-0000-0000-00005AB40000}"/>
    <cellStyle name="Normal 4 5 7 2 5" xfId="13480" xr:uid="{00000000-0005-0000-0000-00005BB40000}"/>
    <cellStyle name="Normal 4 5 7 2 5 2" xfId="27048" xr:uid="{00000000-0005-0000-0000-00005CB40000}"/>
    <cellStyle name="Normal 4 5 7 2 5 2 2" xfId="54181" xr:uid="{00000000-0005-0000-0000-00005DB40000}"/>
    <cellStyle name="Normal 4 5 7 2 5 3" xfId="40619" xr:uid="{00000000-0005-0000-0000-00005EB40000}"/>
    <cellStyle name="Normal 4 5 7 2 6" xfId="20267" xr:uid="{00000000-0005-0000-0000-00005FB40000}"/>
    <cellStyle name="Normal 4 5 7 2 6 2" xfId="47400" xr:uid="{00000000-0005-0000-0000-000060B40000}"/>
    <cellStyle name="Normal 4 5 7 2 7" xfId="33838" xr:uid="{00000000-0005-0000-0000-000061B40000}"/>
    <cellStyle name="Normal 4 5 7 3" xfId="6551" xr:uid="{00000000-0005-0000-0000-000062B40000}"/>
    <cellStyle name="Normal 4 5 7 3 2" xfId="10083" xr:uid="{00000000-0005-0000-0000-000063B40000}"/>
    <cellStyle name="Normal 4 5 7 3 2 2" xfId="16872" xr:uid="{00000000-0005-0000-0000-000064B40000}"/>
    <cellStyle name="Normal 4 5 7 3 2 2 2" xfId="30440" xr:uid="{00000000-0005-0000-0000-000065B40000}"/>
    <cellStyle name="Normal 4 5 7 3 2 2 2 2" xfId="57573" xr:uid="{00000000-0005-0000-0000-000066B40000}"/>
    <cellStyle name="Normal 4 5 7 3 2 2 3" xfId="44011" xr:uid="{00000000-0005-0000-0000-000067B40000}"/>
    <cellStyle name="Normal 4 5 7 3 2 3" xfId="23659" xr:uid="{00000000-0005-0000-0000-000068B40000}"/>
    <cellStyle name="Normal 4 5 7 3 2 3 2" xfId="50792" xr:uid="{00000000-0005-0000-0000-000069B40000}"/>
    <cellStyle name="Normal 4 5 7 3 2 4" xfId="37230" xr:uid="{00000000-0005-0000-0000-00006AB40000}"/>
    <cellStyle name="Normal 4 5 7 3 3" xfId="13483" xr:uid="{00000000-0005-0000-0000-00006BB40000}"/>
    <cellStyle name="Normal 4 5 7 3 3 2" xfId="27051" xr:uid="{00000000-0005-0000-0000-00006CB40000}"/>
    <cellStyle name="Normal 4 5 7 3 3 2 2" xfId="54184" xr:uid="{00000000-0005-0000-0000-00006DB40000}"/>
    <cellStyle name="Normal 4 5 7 3 3 3" xfId="40622" xr:uid="{00000000-0005-0000-0000-00006EB40000}"/>
    <cellStyle name="Normal 4 5 7 3 4" xfId="20270" xr:uid="{00000000-0005-0000-0000-00006FB40000}"/>
    <cellStyle name="Normal 4 5 7 3 4 2" xfId="47403" xr:uid="{00000000-0005-0000-0000-000070B40000}"/>
    <cellStyle name="Normal 4 5 7 3 5" xfId="33841" xr:uid="{00000000-0005-0000-0000-000071B40000}"/>
    <cellStyle name="Normal 4 5 7 4" xfId="6552" xr:uid="{00000000-0005-0000-0000-000072B40000}"/>
    <cellStyle name="Normal 4 5 7 4 2" xfId="10084" xr:uid="{00000000-0005-0000-0000-000073B40000}"/>
    <cellStyle name="Normal 4 5 7 4 2 2" xfId="16873" xr:uid="{00000000-0005-0000-0000-000074B40000}"/>
    <cellStyle name="Normal 4 5 7 4 2 2 2" xfId="30441" xr:uid="{00000000-0005-0000-0000-000075B40000}"/>
    <cellStyle name="Normal 4 5 7 4 2 2 2 2" xfId="57574" xr:uid="{00000000-0005-0000-0000-000076B40000}"/>
    <cellStyle name="Normal 4 5 7 4 2 2 3" xfId="44012" xr:uid="{00000000-0005-0000-0000-000077B40000}"/>
    <cellStyle name="Normal 4 5 7 4 2 3" xfId="23660" xr:uid="{00000000-0005-0000-0000-000078B40000}"/>
    <cellStyle name="Normal 4 5 7 4 2 3 2" xfId="50793" xr:uid="{00000000-0005-0000-0000-000079B40000}"/>
    <cellStyle name="Normal 4 5 7 4 2 4" xfId="37231" xr:uid="{00000000-0005-0000-0000-00007AB40000}"/>
    <cellStyle name="Normal 4 5 7 4 3" xfId="13484" xr:uid="{00000000-0005-0000-0000-00007BB40000}"/>
    <cellStyle name="Normal 4 5 7 4 3 2" xfId="27052" xr:uid="{00000000-0005-0000-0000-00007CB40000}"/>
    <cellStyle name="Normal 4 5 7 4 3 2 2" xfId="54185" xr:uid="{00000000-0005-0000-0000-00007DB40000}"/>
    <cellStyle name="Normal 4 5 7 4 3 3" xfId="40623" xr:uid="{00000000-0005-0000-0000-00007EB40000}"/>
    <cellStyle name="Normal 4 5 7 4 4" xfId="20271" xr:uid="{00000000-0005-0000-0000-00007FB40000}"/>
    <cellStyle name="Normal 4 5 7 4 4 2" xfId="47404" xr:uid="{00000000-0005-0000-0000-000080B40000}"/>
    <cellStyle name="Normal 4 5 7 4 5" xfId="33842" xr:uid="{00000000-0005-0000-0000-000081B40000}"/>
    <cellStyle name="Normal 4 5 7 5" xfId="10079" xr:uid="{00000000-0005-0000-0000-000082B40000}"/>
    <cellStyle name="Normal 4 5 7 5 2" xfId="16868" xr:uid="{00000000-0005-0000-0000-000083B40000}"/>
    <cellStyle name="Normal 4 5 7 5 2 2" xfId="30436" xr:uid="{00000000-0005-0000-0000-000084B40000}"/>
    <cellStyle name="Normal 4 5 7 5 2 2 2" xfId="57569" xr:uid="{00000000-0005-0000-0000-000085B40000}"/>
    <cellStyle name="Normal 4 5 7 5 2 3" xfId="44007" xr:uid="{00000000-0005-0000-0000-000086B40000}"/>
    <cellStyle name="Normal 4 5 7 5 3" xfId="23655" xr:uid="{00000000-0005-0000-0000-000087B40000}"/>
    <cellStyle name="Normal 4 5 7 5 3 2" xfId="50788" xr:uid="{00000000-0005-0000-0000-000088B40000}"/>
    <cellStyle name="Normal 4 5 7 5 4" xfId="37226" xr:uid="{00000000-0005-0000-0000-000089B40000}"/>
    <cellStyle name="Normal 4 5 7 6" xfId="13479" xr:uid="{00000000-0005-0000-0000-00008AB40000}"/>
    <cellStyle name="Normal 4 5 7 6 2" xfId="27047" xr:uid="{00000000-0005-0000-0000-00008BB40000}"/>
    <cellStyle name="Normal 4 5 7 6 2 2" xfId="54180" xr:uid="{00000000-0005-0000-0000-00008CB40000}"/>
    <cellStyle name="Normal 4 5 7 6 3" xfId="40618" xr:uid="{00000000-0005-0000-0000-00008DB40000}"/>
    <cellStyle name="Normal 4 5 7 7" xfId="20266" xr:uid="{00000000-0005-0000-0000-00008EB40000}"/>
    <cellStyle name="Normal 4 5 7 7 2" xfId="47399" xr:uid="{00000000-0005-0000-0000-00008FB40000}"/>
    <cellStyle name="Normal 4 5 7 8" xfId="33837" xr:uid="{00000000-0005-0000-0000-000090B40000}"/>
    <cellStyle name="Normal 4 5 8" xfId="6553" xr:uid="{00000000-0005-0000-0000-000091B40000}"/>
    <cellStyle name="Normal 4 5 8 2" xfId="6554" xr:uid="{00000000-0005-0000-0000-000092B40000}"/>
    <cellStyle name="Normal 4 5 8 2 2" xfId="6555" xr:uid="{00000000-0005-0000-0000-000093B40000}"/>
    <cellStyle name="Normal 4 5 8 2 2 2" xfId="10087" xr:uid="{00000000-0005-0000-0000-000094B40000}"/>
    <cellStyle name="Normal 4 5 8 2 2 2 2" xfId="16876" xr:uid="{00000000-0005-0000-0000-000095B40000}"/>
    <cellStyle name="Normal 4 5 8 2 2 2 2 2" xfId="30444" xr:uid="{00000000-0005-0000-0000-000096B40000}"/>
    <cellStyle name="Normal 4 5 8 2 2 2 2 2 2" xfId="57577" xr:uid="{00000000-0005-0000-0000-000097B40000}"/>
    <cellStyle name="Normal 4 5 8 2 2 2 2 3" xfId="44015" xr:uid="{00000000-0005-0000-0000-000098B40000}"/>
    <cellStyle name="Normal 4 5 8 2 2 2 3" xfId="23663" xr:uid="{00000000-0005-0000-0000-000099B40000}"/>
    <cellStyle name="Normal 4 5 8 2 2 2 3 2" xfId="50796" xr:uid="{00000000-0005-0000-0000-00009AB40000}"/>
    <cellStyle name="Normal 4 5 8 2 2 2 4" xfId="37234" xr:uid="{00000000-0005-0000-0000-00009BB40000}"/>
    <cellStyle name="Normal 4 5 8 2 2 3" xfId="13487" xr:uid="{00000000-0005-0000-0000-00009CB40000}"/>
    <cellStyle name="Normal 4 5 8 2 2 3 2" xfId="27055" xr:uid="{00000000-0005-0000-0000-00009DB40000}"/>
    <cellStyle name="Normal 4 5 8 2 2 3 2 2" xfId="54188" xr:uid="{00000000-0005-0000-0000-00009EB40000}"/>
    <cellStyle name="Normal 4 5 8 2 2 3 3" xfId="40626" xr:uid="{00000000-0005-0000-0000-00009FB40000}"/>
    <cellStyle name="Normal 4 5 8 2 2 4" xfId="20274" xr:uid="{00000000-0005-0000-0000-0000A0B40000}"/>
    <cellStyle name="Normal 4 5 8 2 2 4 2" xfId="47407" xr:uid="{00000000-0005-0000-0000-0000A1B40000}"/>
    <cellStyle name="Normal 4 5 8 2 2 5" xfId="33845" xr:uid="{00000000-0005-0000-0000-0000A2B40000}"/>
    <cellStyle name="Normal 4 5 8 2 3" xfId="6556" xr:uid="{00000000-0005-0000-0000-0000A3B40000}"/>
    <cellStyle name="Normal 4 5 8 2 3 2" xfId="10088" xr:uid="{00000000-0005-0000-0000-0000A4B40000}"/>
    <cellStyle name="Normal 4 5 8 2 3 2 2" xfId="16877" xr:uid="{00000000-0005-0000-0000-0000A5B40000}"/>
    <cellStyle name="Normal 4 5 8 2 3 2 2 2" xfId="30445" xr:uid="{00000000-0005-0000-0000-0000A6B40000}"/>
    <cellStyle name="Normal 4 5 8 2 3 2 2 2 2" xfId="57578" xr:uid="{00000000-0005-0000-0000-0000A7B40000}"/>
    <cellStyle name="Normal 4 5 8 2 3 2 2 3" xfId="44016" xr:uid="{00000000-0005-0000-0000-0000A8B40000}"/>
    <cellStyle name="Normal 4 5 8 2 3 2 3" xfId="23664" xr:uid="{00000000-0005-0000-0000-0000A9B40000}"/>
    <cellStyle name="Normal 4 5 8 2 3 2 3 2" xfId="50797" xr:uid="{00000000-0005-0000-0000-0000AAB40000}"/>
    <cellStyle name="Normal 4 5 8 2 3 2 4" xfId="37235" xr:uid="{00000000-0005-0000-0000-0000ABB40000}"/>
    <cellStyle name="Normal 4 5 8 2 3 3" xfId="13488" xr:uid="{00000000-0005-0000-0000-0000ACB40000}"/>
    <cellStyle name="Normal 4 5 8 2 3 3 2" xfId="27056" xr:uid="{00000000-0005-0000-0000-0000ADB40000}"/>
    <cellStyle name="Normal 4 5 8 2 3 3 2 2" xfId="54189" xr:uid="{00000000-0005-0000-0000-0000AEB40000}"/>
    <cellStyle name="Normal 4 5 8 2 3 3 3" xfId="40627" xr:uid="{00000000-0005-0000-0000-0000AFB40000}"/>
    <cellStyle name="Normal 4 5 8 2 3 4" xfId="20275" xr:uid="{00000000-0005-0000-0000-0000B0B40000}"/>
    <cellStyle name="Normal 4 5 8 2 3 4 2" xfId="47408" xr:uid="{00000000-0005-0000-0000-0000B1B40000}"/>
    <cellStyle name="Normal 4 5 8 2 3 5" xfId="33846" xr:uid="{00000000-0005-0000-0000-0000B2B40000}"/>
    <cellStyle name="Normal 4 5 8 2 4" xfId="10086" xr:uid="{00000000-0005-0000-0000-0000B3B40000}"/>
    <cellStyle name="Normal 4 5 8 2 4 2" xfId="16875" xr:uid="{00000000-0005-0000-0000-0000B4B40000}"/>
    <cellStyle name="Normal 4 5 8 2 4 2 2" xfId="30443" xr:uid="{00000000-0005-0000-0000-0000B5B40000}"/>
    <cellStyle name="Normal 4 5 8 2 4 2 2 2" xfId="57576" xr:uid="{00000000-0005-0000-0000-0000B6B40000}"/>
    <cellStyle name="Normal 4 5 8 2 4 2 3" xfId="44014" xr:uid="{00000000-0005-0000-0000-0000B7B40000}"/>
    <cellStyle name="Normal 4 5 8 2 4 3" xfId="23662" xr:uid="{00000000-0005-0000-0000-0000B8B40000}"/>
    <cellStyle name="Normal 4 5 8 2 4 3 2" xfId="50795" xr:uid="{00000000-0005-0000-0000-0000B9B40000}"/>
    <cellStyle name="Normal 4 5 8 2 4 4" xfId="37233" xr:uid="{00000000-0005-0000-0000-0000BAB40000}"/>
    <cellStyle name="Normal 4 5 8 2 5" xfId="13486" xr:uid="{00000000-0005-0000-0000-0000BBB40000}"/>
    <cellStyle name="Normal 4 5 8 2 5 2" xfId="27054" xr:uid="{00000000-0005-0000-0000-0000BCB40000}"/>
    <cellStyle name="Normal 4 5 8 2 5 2 2" xfId="54187" xr:uid="{00000000-0005-0000-0000-0000BDB40000}"/>
    <cellStyle name="Normal 4 5 8 2 5 3" xfId="40625" xr:uid="{00000000-0005-0000-0000-0000BEB40000}"/>
    <cellStyle name="Normal 4 5 8 2 6" xfId="20273" xr:uid="{00000000-0005-0000-0000-0000BFB40000}"/>
    <cellStyle name="Normal 4 5 8 2 6 2" xfId="47406" xr:uid="{00000000-0005-0000-0000-0000C0B40000}"/>
    <cellStyle name="Normal 4 5 8 2 7" xfId="33844" xr:uid="{00000000-0005-0000-0000-0000C1B40000}"/>
    <cellStyle name="Normal 4 5 8 3" xfId="6557" xr:uid="{00000000-0005-0000-0000-0000C2B40000}"/>
    <cellStyle name="Normal 4 5 8 3 2" xfId="10089" xr:uid="{00000000-0005-0000-0000-0000C3B40000}"/>
    <cellStyle name="Normal 4 5 8 3 2 2" xfId="16878" xr:uid="{00000000-0005-0000-0000-0000C4B40000}"/>
    <cellStyle name="Normal 4 5 8 3 2 2 2" xfId="30446" xr:uid="{00000000-0005-0000-0000-0000C5B40000}"/>
    <cellStyle name="Normal 4 5 8 3 2 2 2 2" xfId="57579" xr:uid="{00000000-0005-0000-0000-0000C6B40000}"/>
    <cellStyle name="Normal 4 5 8 3 2 2 3" xfId="44017" xr:uid="{00000000-0005-0000-0000-0000C7B40000}"/>
    <cellStyle name="Normal 4 5 8 3 2 3" xfId="23665" xr:uid="{00000000-0005-0000-0000-0000C8B40000}"/>
    <cellStyle name="Normal 4 5 8 3 2 3 2" xfId="50798" xr:uid="{00000000-0005-0000-0000-0000C9B40000}"/>
    <cellStyle name="Normal 4 5 8 3 2 4" xfId="37236" xr:uid="{00000000-0005-0000-0000-0000CAB40000}"/>
    <cellStyle name="Normal 4 5 8 3 3" xfId="13489" xr:uid="{00000000-0005-0000-0000-0000CBB40000}"/>
    <cellStyle name="Normal 4 5 8 3 3 2" xfId="27057" xr:uid="{00000000-0005-0000-0000-0000CCB40000}"/>
    <cellStyle name="Normal 4 5 8 3 3 2 2" xfId="54190" xr:uid="{00000000-0005-0000-0000-0000CDB40000}"/>
    <cellStyle name="Normal 4 5 8 3 3 3" xfId="40628" xr:uid="{00000000-0005-0000-0000-0000CEB40000}"/>
    <cellStyle name="Normal 4 5 8 3 4" xfId="20276" xr:uid="{00000000-0005-0000-0000-0000CFB40000}"/>
    <cellStyle name="Normal 4 5 8 3 4 2" xfId="47409" xr:uid="{00000000-0005-0000-0000-0000D0B40000}"/>
    <cellStyle name="Normal 4 5 8 3 5" xfId="33847" xr:uid="{00000000-0005-0000-0000-0000D1B40000}"/>
    <cellStyle name="Normal 4 5 8 4" xfId="6558" xr:uid="{00000000-0005-0000-0000-0000D2B40000}"/>
    <cellStyle name="Normal 4 5 8 4 2" xfId="10090" xr:uid="{00000000-0005-0000-0000-0000D3B40000}"/>
    <cellStyle name="Normal 4 5 8 4 2 2" xfId="16879" xr:uid="{00000000-0005-0000-0000-0000D4B40000}"/>
    <cellStyle name="Normal 4 5 8 4 2 2 2" xfId="30447" xr:uid="{00000000-0005-0000-0000-0000D5B40000}"/>
    <cellStyle name="Normal 4 5 8 4 2 2 2 2" xfId="57580" xr:uid="{00000000-0005-0000-0000-0000D6B40000}"/>
    <cellStyle name="Normal 4 5 8 4 2 2 3" xfId="44018" xr:uid="{00000000-0005-0000-0000-0000D7B40000}"/>
    <cellStyle name="Normal 4 5 8 4 2 3" xfId="23666" xr:uid="{00000000-0005-0000-0000-0000D8B40000}"/>
    <cellStyle name="Normal 4 5 8 4 2 3 2" xfId="50799" xr:uid="{00000000-0005-0000-0000-0000D9B40000}"/>
    <cellStyle name="Normal 4 5 8 4 2 4" xfId="37237" xr:uid="{00000000-0005-0000-0000-0000DAB40000}"/>
    <cellStyle name="Normal 4 5 8 4 3" xfId="13490" xr:uid="{00000000-0005-0000-0000-0000DBB40000}"/>
    <cellStyle name="Normal 4 5 8 4 3 2" xfId="27058" xr:uid="{00000000-0005-0000-0000-0000DCB40000}"/>
    <cellStyle name="Normal 4 5 8 4 3 2 2" xfId="54191" xr:uid="{00000000-0005-0000-0000-0000DDB40000}"/>
    <cellStyle name="Normal 4 5 8 4 3 3" xfId="40629" xr:uid="{00000000-0005-0000-0000-0000DEB40000}"/>
    <cellStyle name="Normal 4 5 8 4 4" xfId="20277" xr:uid="{00000000-0005-0000-0000-0000DFB40000}"/>
    <cellStyle name="Normal 4 5 8 4 4 2" xfId="47410" xr:uid="{00000000-0005-0000-0000-0000E0B40000}"/>
    <cellStyle name="Normal 4 5 8 4 5" xfId="33848" xr:uid="{00000000-0005-0000-0000-0000E1B40000}"/>
    <cellStyle name="Normal 4 5 8 5" xfId="10085" xr:uid="{00000000-0005-0000-0000-0000E2B40000}"/>
    <cellStyle name="Normal 4 5 8 5 2" xfId="16874" xr:uid="{00000000-0005-0000-0000-0000E3B40000}"/>
    <cellStyle name="Normal 4 5 8 5 2 2" xfId="30442" xr:uid="{00000000-0005-0000-0000-0000E4B40000}"/>
    <cellStyle name="Normal 4 5 8 5 2 2 2" xfId="57575" xr:uid="{00000000-0005-0000-0000-0000E5B40000}"/>
    <cellStyle name="Normal 4 5 8 5 2 3" xfId="44013" xr:uid="{00000000-0005-0000-0000-0000E6B40000}"/>
    <cellStyle name="Normal 4 5 8 5 3" xfId="23661" xr:uid="{00000000-0005-0000-0000-0000E7B40000}"/>
    <cellStyle name="Normal 4 5 8 5 3 2" xfId="50794" xr:uid="{00000000-0005-0000-0000-0000E8B40000}"/>
    <cellStyle name="Normal 4 5 8 5 4" xfId="37232" xr:uid="{00000000-0005-0000-0000-0000E9B40000}"/>
    <cellStyle name="Normal 4 5 8 6" xfId="13485" xr:uid="{00000000-0005-0000-0000-0000EAB40000}"/>
    <cellStyle name="Normal 4 5 8 6 2" xfId="27053" xr:uid="{00000000-0005-0000-0000-0000EBB40000}"/>
    <cellStyle name="Normal 4 5 8 6 2 2" xfId="54186" xr:uid="{00000000-0005-0000-0000-0000ECB40000}"/>
    <cellStyle name="Normal 4 5 8 6 3" xfId="40624" xr:uid="{00000000-0005-0000-0000-0000EDB40000}"/>
    <cellStyle name="Normal 4 5 8 7" xfId="20272" xr:uid="{00000000-0005-0000-0000-0000EEB40000}"/>
    <cellStyle name="Normal 4 5 8 7 2" xfId="47405" xr:uid="{00000000-0005-0000-0000-0000EFB40000}"/>
    <cellStyle name="Normal 4 5 8 8" xfId="33843" xr:uid="{00000000-0005-0000-0000-0000F0B40000}"/>
    <cellStyle name="Normal 4 5 9" xfId="6559" xr:uid="{00000000-0005-0000-0000-0000F1B40000}"/>
    <cellStyle name="Normal 4 5 9 2" xfId="6560" xr:uid="{00000000-0005-0000-0000-0000F2B40000}"/>
    <cellStyle name="Normal 4 5 9 2 2" xfId="10092" xr:uid="{00000000-0005-0000-0000-0000F3B40000}"/>
    <cellStyle name="Normal 4 5 9 2 2 2" xfId="16881" xr:uid="{00000000-0005-0000-0000-0000F4B40000}"/>
    <cellStyle name="Normal 4 5 9 2 2 2 2" xfId="30449" xr:uid="{00000000-0005-0000-0000-0000F5B40000}"/>
    <cellStyle name="Normal 4 5 9 2 2 2 2 2" xfId="57582" xr:uid="{00000000-0005-0000-0000-0000F6B40000}"/>
    <cellStyle name="Normal 4 5 9 2 2 2 3" xfId="44020" xr:uid="{00000000-0005-0000-0000-0000F7B40000}"/>
    <cellStyle name="Normal 4 5 9 2 2 3" xfId="23668" xr:uid="{00000000-0005-0000-0000-0000F8B40000}"/>
    <cellStyle name="Normal 4 5 9 2 2 3 2" xfId="50801" xr:uid="{00000000-0005-0000-0000-0000F9B40000}"/>
    <cellStyle name="Normal 4 5 9 2 2 4" xfId="37239" xr:uid="{00000000-0005-0000-0000-0000FAB40000}"/>
    <cellStyle name="Normal 4 5 9 2 3" xfId="13492" xr:uid="{00000000-0005-0000-0000-0000FBB40000}"/>
    <cellStyle name="Normal 4 5 9 2 3 2" xfId="27060" xr:uid="{00000000-0005-0000-0000-0000FCB40000}"/>
    <cellStyle name="Normal 4 5 9 2 3 2 2" xfId="54193" xr:uid="{00000000-0005-0000-0000-0000FDB40000}"/>
    <cellStyle name="Normal 4 5 9 2 3 3" xfId="40631" xr:uid="{00000000-0005-0000-0000-0000FEB40000}"/>
    <cellStyle name="Normal 4 5 9 2 4" xfId="20279" xr:uid="{00000000-0005-0000-0000-0000FFB40000}"/>
    <cellStyle name="Normal 4 5 9 2 4 2" xfId="47412" xr:uid="{00000000-0005-0000-0000-000000B50000}"/>
    <cellStyle name="Normal 4 5 9 2 5" xfId="33850" xr:uid="{00000000-0005-0000-0000-000001B50000}"/>
    <cellStyle name="Normal 4 5 9 3" xfId="10091" xr:uid="{00000000-0005-0000-0000-000002B50000}"/>
    <cellStyle name="Normal 4 5 9 3 2" xfId="16880" xr:uid="{00000000-0005-0000-0000-000003B50000}"/>
    <cellStyle name="Normal 4 5 9 3 2 2" xfId="30448" xr:uid="{00000000-0005-0000-0000-000004B50000}"/>
    <cellStyle name="Normal 4 5 9 3 2 2 2" xfId="57581" xr:uid="{00000000-0005-0000-0000-000005B50000}"/>
    <cellStyle name="Normal 4 5 9 3 2 3" xfId="44019" xr:uid="{00000000-0005-0000-0000-000006B50000}"/>
    <cellStyle name="Normal 4 5 9 3 3" xfId="23667" xr:uid="{00000000-0005-0000-0000-000007B50000}"/>
    <cellStyle name="Normal 4 5 9 3 3 2" xfId="50800" xr:uid="{00000000-0005-0000-0000-000008B50000}"/>
    <cellStyle name="Normal 4 5 9 3 4" xfId="37238" xr:uid="{00000000-0005-0000-0000-000009B50000}"/>
    <cellStyle name="Normal 4 5 9 4" xfId="13491" xr:uid="{00000000-0005-0000-0000-00000AB50000}"/>
    <cellStyle name="Normal 4 5 9 4 2" xfId="27059" xr:uid="{00000000-0005-0000-0000-00000BB50000}"/>
    <cellStyle name="Normal 4 5 9 4 2 2" xfId="54192" xr:uid="{00000000-0005-0000-0000-00000CB50000}"/>
    <cellStyle name="Normal 4 5 9 4 3" xfId="40630" xr:uid="{00000000-0005-0000-0000-00000DB50000}"/>
    <cellStyle name="Normal 4 5 9 5" xfId="20278" xr:uid="{00000000-0005-0000-0000-00000EB50000}"/>
    <cellStyle name="Normal 4 5 9 5 2" xfId="47411" xr:uid="{00000000-0005-0000-0000-00000FB50000}"/>
    <cellStyle name="Normal 4 5 9 6" xfId="33849" xr:uid="{00000000-0005-0000-0000-000010B50000}"/>
    <cellStyle name="Normal 4 6" xfId="2769" xr:uid="{00000000-0005-0000-0000-000011B50000}"/>
    <cellStyle name="Normal 4 6 2" xfId="6561" xr:uid="{00000000-0005-0000-0000-000012B50000}"/>
    <cellStyle name="Normal 4 6 2 10" xfId="33851" xr:uid="{00000000-0005-0000-0000-000013B50000}"/>
    <cellStyle name="Normal 4 6 2 2" xfId="6562" xr:uid="{00000000-0005-0000-0000-000014B50000}"/>
    <cellStyle name="Normal 4 6 2 2 2" xfId="6563" xr:uid="{00000000-0005-0000-0000-000015B50000}"/>
    <cellStyle name="Normal 4 6 2 2 2 2" xfId="6564" xr:uid="{00000000-0005-0000-0000-000016B50000}"/>
    <cellStyle name="Normal 4 6 2 2 2 2 2" xfId="10096" xr:uid="{00000000-0005-0000-0000-000017B50000}"/>
    <cellStyle name="Normal 4 6 2 2 2 2 2 2" xfId="16885" xr:uid="{00000000-0005-0000-0000-000018B50000}"/>
    <cellStyle name="Normal 4 6 2 2 2 2 2 2 2" xfId="30453" xr:uid="{00000000-0005-0000-0000-000019B50000}"/>
    <cellStyle name="Normal 4 6 2 2 2 2 2 2 2 2" xfId="57586" xr:uid="{00000000-0005-0000-0000-00001AB50000}"/>
    <cellStyle name="Normal 4 6 2 2 2 2 2 2 3" xfId="44024" xr:uid="{00000000-0005-0000-0000-00001BB50000}"/>
    <cellStyle name="Normal 4 6 2 2 2 2 2 3" xfId="23672" xr:uid="{00000000-0005-0000-0000-00001CB50000}"/>
    <cellStyle name="Normal 4 6 2 2 2 2 2 3 2" xfId="50805" xr:uid="{00000000-0005-0000-0000-00001DB50000}"/>
    <cellStyle name="Normal 4 6 2 2 2 2 2 4" xfId="37243" xr:uid="{00000000-0005-0000-0000-00001EB50000}"/>
    <cellStyle name="Normal 4 6 2 2 2 2 3" xfId="13496" xr:uid="{00000000-0005-0000-0000-00001FB50000}"/>
    <cellStyle name="Normal 4 6 2 2 2 2 3 2" xfId="27064" xr:uid="{00000000-0005-0000-0000-000020B50000}"/>
    <cellStyle name="Normal 4 6 2 2 2 2 3 2 2" xfId="54197" xr:uid="{00000000-0005-0000-0000-000021B50000}"/>
    <cellStyle name="Normal 4 6 2 2 2 2 3 3" xfId="40635" xr:uid="{00000000-0005-0000-0000-000022B50000}"/>
    <cellStyle name="Normal 4 6 2 2 2 2 4" xfId="20283" xr:uid="{00000000-0005-0000-0000-000023B50000}"/>
    <cellStyle name="Normal 4 6 2 2 2 2 4 2" xfId="47416" xr:uid="{00000000-0005-0000-0000-000024B50000}"/>
    <cellStyle name="Normal 4 6 2 2 2 2 5" xfId="33854" xr:uid="{00000000-0005-0000-0000-000025B50000}"/>
    <cellStyle name="Normal 4 6 2 2 2 3" xfId="6565" xr:uid="{00000000-0005-0000-0000-000026B50000}"/>
    <cellStyle name="Normal 4 6 2 2 2 3 2" xfId="10097" xr:uid="{00000000-0005-0000-0000-000027B50000}"/>
    <cellStyle name="Normal 4 6 2 2 2 3 2 2" xfId="16886" xr:uid="{00000000-0005-0000-0000-000028B50000}"/>
    <cellStyle name="Normal 4 6 2 2 2 3 2 2 2" xfId="30454" xr:uid="{00000000-0005-0000-0000-000029B50000}"/>
    <cellStyle name="Normal 4 6 2 2 2 3 2 2 2 2" xfId="57587" xr:uid="{00000000-0005-0000-0000-00002AB50000}"/>
    <cellStyle name="Normal 4 6 2 2 2 3 2 2 3" xfId="44025" xr:uid="{00000000-0005-0000-0000-00002BB50000}"/>
    <cellStyle name="Normal 4 6 2 2 2 3 2 3" xfId="23673" xr:uid="{00000000-0005-0000-0000-00002CB50000}"/>
    <cellStyle name="Normal 4 6 2 2 2 3 2 3 2" xfId="50806" xr:uid="{00000000-0005-0000-0000-00002DB50000}"/>
    <cellStyle name="Normal 4 6 2 2 2 3 2 4" xfId="37244" xr:uid="{00000000-0005-0000-0000-00002EB50000}"/>
    <cellStyle name="Normal 4 6 2 2 2 3 3" xfId="13497" xr:uid="{00000000-0005-0000-0000-00002FB50000}"/>
    <cellStyle name="Normal 4 6 2 2 2 3 3 2" xfId="27065" xr:uid="{00000000-0005-0000-0000-000030B50000}"/>
    <cellStyle name="Normal 4 6 2 2 2 3 3 2 2" xfId="54198" xr:uid="{00000000-0005-0000-0000-000031B50000}"/>
    <cellStyle name="Normal 4 6 2 2 2 3 3 3" xfId="40636" xr:uid="{00000000-0005-0000-0000-000032B50000}"/>
    <cellStyle name="Normal 4 6 2 2 2 3 4" xfId="20284" xr:uid="{00000000-0005-0000-0000-000033B50000}"/>
    <cellStyle name="Normal 4 6 2 2 2 3 4 2" xfId="47417" xr:uid="{00000000-0005-0000-0000-000034B50000}"/>
    <cellStyle name="Normal 4 6 2 2 2 3 5" xfId="33855" xr:uid="{00000000-0005-0000-0000-000035B50000}"/>
    <cellStyle name="Normal 4 6 2 2 2 4" xfId="10095" xr:uid="{00000000-0005-0000-0000-000036B50000}"/>
    <cellStyle name="Normal 4 6 2 2 2 4 2" xfId="16884" xr:uid="{00000000-0005-0000-0000-000037B50000}"/>
    <cellStyle name="Normal 4 6 2 2 2 4 2 2" xfId="30452" xr:uid="{00000000-0005-0000-0000-000038B50000}"/>
    <cellStyle name="Normal 4 6 2 2 2 4 2 2 2" xfId="57585" xr:uid="{00000000-0005-0000-0000-000039B50000}"/>
    <cellStyle name="Normal 4 6 2 2 2 4 2 3" xfId="44023" xr:uid="{00000000-0005-0000-0000-00003AB50000}"/>
    <cellStyle name="Normal 4 6 2 2 2 4 3" xfId="23671" xr:uid="{00000000-0005-0000-0000-00003BB50000}"/>
    <cellStyle name="Normal 4 6 2 2 2 4 3 2" xfId="50804" xr:uid="{00000000-0005-0000-0000-00003CB50000}"/>
    <cellStyle name="Normal 4 6 2 2 2 4 4" xfId="37242" xr:uid="{00000000-0005-0000-0000-00003DB50000}"/>
    <cellStyle name="Normal 4 6 2 2 2 5" xfId="13495" xr:uid="{00000000-0005-0000-0000-00003EB50000}"/>
    <cellStyle name="Normal 4 6 2 2 2 5 2" xfId="27063" xr:uid="{00000000-0005-0000-0000-00003FB50000}"/>
    <cellStyle name="Normal 4 6 2 2 2 5 2 2" xfId="54196" xr:uid="{00000000-0005-0000-0000-000040B50000}"/>
    <cellStyle name="Normal 4 6 2 2 2 5 3" xfId="40634" xr:uid="{00000000-0005-0000-0000-000041B50000}"/>
    <cellStyle name="Normal 4 6 2 2 2 6" xfId="20282" xr:uid="{00000000-0005-0000-0000-000042B50000}"/>
    <cellStyle name="Normal 4 6 2 2 2 6 2" xfId="47415" xr:uid="{00000000-0005-0000-0000-000043B50000}"/>
    <cellStyle name="Normal 4 6 2 2 2 7" xfId="33853" xr:uid="{00000000-0005-0000-0000-000044B50000}"/>
    <cellStyle name="Normal 4 6 2 2 3" xfId="6566" xr:uid="{00000000-0005-0000-0000-000045B50000}"/>
    <cellStyle name="Normal 4 6 2 2 3 2" xfId="6567" xr:uid="{00000000-0005-0000-0000-000046B50000}"/>
    <cellStyle name="Normal 4 6 2 2 3 2 2" xfId="10099" xr:uid="{00000000-0005-0000-0000-000047B50000}"/>
    <cellStyle name="Normal 4 6 2 2 3 2 2 2" xfId="16888" xr:uid="{00000000-0005-0000-0000-000048B50000}"/>
    <cellStyle name="Normal 4 6 2 2 3 2 2 2 2" xfId="30456" xr:uid="{00000000-0005-0000-0000-000049B50000}"/>
    <cellStyle name="Normal 4 6 2 2 3 2 2 2 2 2" xfId="57589" xr:uid="{00000000-0005-0000-0000-00004AB50000}"/>
    <cellStyle name="Normal 4 6 2 2 3 2 2 2 3" xfId="44027" xr:uid="{00000000-0005-0000-0000-00004BB50000}"/>
    <cellStyle name="Normal 4 6 2 2 3 2 2 3" xfId="23675" xr:uid="{00000000-0005-0000-0000-00004CB50000}"/>
    <cellStyle name="Normal 4 6 2 2 3 2 2 3 2" xfId="50808" xr:uid="{00000000-0005-0000-0000-00004DB50000}"/>
    <cellStyle name="Normal 4 6 2 2 3 2 2 4" xfId="37246" xr:uid="{00000000-0005-0000-0000-00004EB50000}"/>
    <cellStyle name="Normal 4 6 2 2 3 2 3" xfId="13499" xr:uid="{00000000-0005-0000-0000-00004FB50000}"/>
    <cellStyle name="Normal 4 6 2 2 3 2 3 2" xfId="27067" xr:uid="{00000000-0005-0000-0000-000050B50000}"/>
    <cellStyle name="Normal 4 6 2 2 3 2 3 2 2" xfId="54200" xr:uid="{00000000-0005-0000-0000-000051B50000}"/>
    <cellStyle name="Normal 4 6 2 2 3 2 3 3" xfId="40638" xr:uid="{00000000-0005-0000-0000-000052B50000}"/>
    <cellStyle name="Normal 4 6 2 2 3 2 4" xfId="20286" xr:uid="{00000000-0005-0000-0000-000053B50000}"/>
    <cellStyle name="Normal 4 6 2 2 3 2 4 2" xfId="47419" xr:uid="{00000000-0005-0000-0000-000054B50000}"/>
    <cellStyle name="Normal 4 6 2 2 3 2 5" xfId="33857" xr:uid="{00000000-0005-0000-0000-000055B50000}"/>
    <cellStyle name="Normal 4 6 2 2 3 3" xfId="10098" xr:uid="{00000000-0005-0000-0000-000056B50000}"/>
    <cellStyle name="Normal 4 6 2 2 3 3 2" xfId="16887" xr:uid="{00000000-0005-0000-0000-000057B50000}"/>
    <cellStyle name="Normal 4 6 2 2 3 3 2 2" xfId="30455" xr:uid="{00000000-0005-0000-0000-000058B50000}"/>
    <cellStyle name="Normal 4 6 2 2 3 3 2 2 2" xfId="57588" xr:uid="{00000000-0005-0000-0000-000059B50000}"/>
    <cellStyle name="Normal 4 6 2 2 3 3 2 3" xfId="44026" xr:uid="{00000000-0005-0000-0000-00005AB50000}"/>
    <cellStyle name="Normal 4 6 2 2 3 3 3" xfId="23674" xr:uid="{00000000-0005-0000-0000-00005BB50000}"/>
    <cellStyle name="Normal 4 6 2 2 3 3 3 2" xfId="50807" xr:uid="{00000000-0005-0000-0000-00005CB50000}"/>
    <cellStyle name="Normal 4 6 2 2 3 3 4" xfId="37245" xr:uid="{00000000-0005-0000-0000-00005DB50000}"/>
    <cellStyle name="Normal 4 6 2 2 3 4" xfId="13498" xr:uid="{00000000-0005-0000-0000-00005EB50000}"/>
    <cellStyle name="Normal 4 6 2 2 3 4 2" xfId="27066" xr:uid="{00000000-0005-0000-0000-00005FB50000}"/>
    <cellStyle name="Normal 4 6 2 2 3 4 2 2" xfId="54199" xr:uid="{00000000-0005-0000-0000-000060B50000}"/>
    <cellStyle name="Normal 4 6 2 2 3 4 3" xfId="40637" xr:uid="{00000000-0005-0000-0000-000061B50000}"/>
    <cellStyle name="Normal 4 6 2 2 3 5" xfId="20285" xr:uid="{00000000-0005-0000-0000-000062B50000}"/>
    <cellStyle name="Normal 4 6 2 2 3 5 2" xfId="47418" xr:uid="{00000000-0005-0000-0000-000063B50000}"/>
    <cellStyle name="Normal 4 6 2 2 3 6" xfId="33856" xr:uid="{00000000-0005-0000-0000-000064B50000}"/>
    <cellStyle name="Normal 4 6 2 2 4" xfId="6568" xr:uid="{00000000-0005-0000-0000-000065B50000}"/>
    <cellStyle name="Normal 4 6 2 2 4 2" xfId="10100" xr:uid="{00000000-0005-0000-0000-000066B50000}"/>
    <cellStyle name="Normal 4 6 2 2 4 2 2" xfId="16889" xr:uid="{00000000-0005-0000-0000-000067B50000}"/>
    <cellStyle name="Normal 4 6 2 2 4 2 2 2" xfId="30457" xr:uid="{00000000-0005-0000-0000-000068B50000}"/>
    <cellStyle name="Normal 4 6 2 2 4 2 2 2 2" xfId="57590" xr:uid="{00000000-0005-0000-0000-000069B50000}"/>
    <cellStyle name="Normal 4 6 2 2 4 2 2 3" xfId="44028" xr:uid="{00000000-0005-0000-0000-00006AB50000}"/>
    <cellStyle name="Normal 4 6 2 2 4 2 3" xfId="23676" xr:uid="{00000000-0005-0000-0000-00006BB50000}"/>
    <cellStyle name="Normal 4 6 2 2 4 2 3 2" xfId="50809" xr:uid="{00000000-0005-0000-0000-00006CB50000}"/>
    <cellStyle name="Normal 4 6 2 2 4 2 4" xfId="37247" xr:uid="{00000000-0005-0000-0000-00006DB50000}"/>
    <cellStyle name="Normal 4 6 2 2 4 3" xfId="13500" xr:uid="{00000000-0005-0000-0000-00006EB50000}"/>
    <cellStyle name="Normal 4 6 2 2 4 3 2" xfId="27068" xr:uid="{00000000-0005-0000-0000-00006FB50000}"/>
    <cellStyle name="Normal 4 6 2 2 4 3 2 2" xfId="54201" xr:uid="{00000000-0005-0000-0000-000070B50000}"/>
    <cellStyle name="Normal 4 6 2 2 4 3 3" xfId="40639" xr:uid="{00000000-0005-0000-0000-000071B50000}"/>
    <cellStyle name="Normal 4 6 2 2 4 4" xfId="20287" xr:uid="{00000000-0005-0000-0000-000072B50000}"/>
    <cellStyle name="Normal 4 6 2 2 4 4 2" xfId="47420" xr:uid="{00000000-0005-0000-0000-000073B50000}"/>
    <cellStyle name="Normal 4 6 2 2 4 5" xfId="33858" xr:uid="{00000000-0005-0000-0000-000074B50000}"/>
    <cellStyle name="Normal 4 6 2 2 5" xfId="6569" xr:uid="{00000000-0005-0000-0000-000075B50000}"/>
    <cellStyle name="Normal 4 6 2 2 5 2" xfId="10101" xr:uid="{00000000-0005-0000-0000-000076B50000}"/>
    <cellStyle name="Normal 4 6 2 2 5 2 2" xfId="16890" xr:uid="{00000000-0005-0000-0000-000077B50000}"/>
    <cellStyle name="Normal 4 6 2 2 5 2 2 2" xfId="30458" xr:uid="{00000000-0005-0000-0000-000078B50000}"/>
    <cellStyle name="Normal 4 6 2 2 5 2 2 2 2" xfId="57591" xr:uid="{00000000-0005-0000-0000-000079B50000}"/>
    <cellStyle name="Normal 4 6 2 2 5 2 2 3" xfId="44029" xr:uid="{00000000-0005-0000-0000-00007AB50000}"/>
    <cellStyle name="Normal 4 6 2 2 5 2 3" xfId="23677" xr:uid="{00000000-0005-0000-0000-00007BB50000}"/>
    <cellStyle name="Normal 4 6 2 2 5 2 3 2" xfId="50810" xr:uid="{00000000-0005-0000-0000-00007CB50000}"/>
    <cellStyle name="Normal 4 6 2 2 5 2 4" xfId="37248" xr:uid="{00000000-0005-0000-0000-00007DB50000}"/>
    <cellStyle name="Normal 4 6 2 2 5 3" xfId="13501" xr:uid="{00000000-0005-0000-0000-00007EB50000}"/>
    <cellStyle name="Normal 4 6 2 2 5 3 2" xfId="27069" xr:uid="{00000000-0005-0000-0000-00007FB50000}"/>
    <cellStyle name="Normal 4 6 2 2 5 3 2 2" xfId="54202" xr:uid="{00000000-0005-0000-0000-000080B50000}"/>
    <cellStyle name="Normal 4 6 2 2 5 3 3" xfId="40640" xr:uid="{00000000-0005-0000-0000-000081B50000}"/>
    <cellStyle name="Normal 4 6 2 2 5 4" xfId="20288" xr:uid="{00000000-0005-0000-0000-000082B50000}"/>
    <cellStyle name="Normal 4 6 2 2 5 4 2" xfId="47421" xr:uid="{00000000-0005-0000-0000-000083B50000}"/>
    <cellStyle name="Normal 4 6 2 2 5 5" xfId="33859" xr:uid="{00000000-0005-0000-0000-000084B50000}"/>
    <cellStyle name="Normal 4 6 2 2 6" xfId="10094" xr:uid="{00000000-0005-0000-0000-000085B50000}"/>
    <cellStyle name="Normal 4 6 2 2 6 2" xfId="16883" xr:uid="{00000000-0005-0000-0000-000086B50000}"/>
    <cellStyle name="Normal 4 6 2 2 6 2 2" xfId="30451" xr:uid="{00000000-0005-0000-0000-000087B50000}"/>
    <cellStyle name="Normal 4 6 2 2 6 2 2 2" xfId="57584" xr:uid="{00000000-0005-0000-0000-000088B50000}"/>
    <cellStyle name="Normal 4 6 2 2 6 2 3" xfId="44022" xr:uid="{00000000-0005-0000-0000-000089B50000}"/>
    <cellStyle name="Normal 4 6 2 2 6 3" xfId="23670" xr:uid="{00000000-0005-0000-0000-00008AB50000}"/>
    <cellStyle name="Normal 4 6 2 2 6 3 2" xfId="50803" xr:uid="{00000000-0005-0000-0000-00008BB50000}"/>
    <cellStyle name="Normal 4 6 2 2 6 4" xfId="37241" xr:uid="{00000000-0005-0000-0000-00008CB50000}"/>
    <cellStyle name="Normal 4 6 2 2 7" xfId="13494" xr:uid="{00000000-0005-0000-0000-00008DB50000}"/>
    <cellStyle name="Normal 4 6 2 2 7 2" xfId="27062" xr:uid="{00000000-0005-0000-0000-00008EB50000}"/>
    <cellStyle name="Normal 4 6 2 2 7 2 2" xfId="54195" xr:uid="{00000000-0005-0000-0000-00008FB50000}"/>
    <cellStyle name="Normal 4 6 2 2 7 3" xfId="40633" xr:uid="{00000000-0005-0000-0000-000090B50000}"/>
    <cellStyle name="Normal 4 6 2 2 8" xfId="20281" xr:uid="{00000000-0005-0000-0000-000091B50000}"/>
    <cellStyle name="Normal 4 6 2 2 8 2" xfId="47414" xr:uid="{00000000-0005-0000-0000-000092B50000}"/>
    <cellStyle name="Normal 4 6 2 2 9" xfId="33852" xr:uid="{00000000-0005-0000-0000-000093B50000}"/>
    <cellStyle name="Normal 4 6 2 3" xfId="6570" xr:uid="{00000000-0005-0000-0000-000094B50000}"/>
    <cellStyle name="Normal 4 6 2 3 2" xfId="6571" xr:uid="{00000000-0005-0000-0000-000095B50000}"/>
    <cellStyle name="Normal 4 6 2 3 2 2" xfId="10103" xr:uid="{00000000-0005-0000-0000-000096B50000}"/>
    <cellStyle name="Normal 4 6 2 3 2 2 2" xfId="16892" xr:uid="{00000000-0005-0000-0000-000097B50000}"/>
    <cellStyle name="Normal 4 6 2 3 2 2 2 2" xfId="30460" xr:uid="{00000000-0005-0000-0000-000098B50000}"/>
    <cellStyle name="Normal 4 6 2 3 2 2 2 2 2" xfId="57593" xr:uid="{00000000-0005-0000-0000-000099B50000}"/>
    <cellStyle name="Normal 4 6 2 3 2 2 2 3" xfId="44031" xr:uid="{00000000-0005-0000-0000-00009AB50000}"/>
    <cellStyle name="Normal 4 6 2 3 2 2 3" xfId="23679" xr:uid="{00000000-0005-0000-0000-00009BB50000}"/>
    <cellStyle name="Normal 4 6 2 3 2 2 3 2" xfId="50812" xr:uid="{00000000-0005-0000-0000-00009CB50000}"/>
    <cellStyle name="Normal 4 6 2 3 2 2 4" xfId="37250" xr:uid="{00000000-0005-0000-0000-00009DB50000}"/>
    <cellStyle name="Normal 4 6 2 3 2 3" xfId="13503" xr:uid="{00000000-0005-0000-0000-00009EB50000}"/>
    <cellStyle name="Normal 4 6 2 3 2 3 2" xfId="27071" xr:uid="{00000000-0005-0000-0000-00009FB50000}"/>
    <cellStyle name="Normal 4 6 2 3 2 3 2 2" xfId="54204" xr:uid="{00000000-0005-0000-0000-0000A0B50000}"/>
    <cellStyle name="Normal 4 6 2 3 2 3 3" xfId="40642" xr:uid="{00000000-0005-0000-0000-0000A1B50000}"/>
    <cellStyle name="Normal 4 6 2 3 2 4" xfId="20290" xr:uid="{00000000-0005-0000-0000-0000A2B50000}"/>
    <cellStyle name="Normal 4 6 2 3 2 4 2" xfId="47423" xr:uid="{00000000-0005-0000-0000-0000A3B50000}"/>
    <cellStyle name="Normal 4 6 2 3 2 5" xfId="33861" xr:uid="{00000000-0005-0000-0000-0000A4B50000}"/>
    <cellStyle name="Normal 4 6 2 3 3" xfId="6572" xr:uid="{00000000-0005-0000-0000-0000A5B50000}"/>
    <cellStyle name="Normal 4 6 2 3 3 2" xfId="10104" xr:uid="{00000000-0005-0000-0000-0000A6B50000}"/>
    <cellStyle name="Normal 4 6 2 3 3 2 2" xfId="16893" xr:uid="{00000000-0005-0000-0000-0000A7B50000}"/>
    <cellStyle name="Normal 4 6 2 3 3 2 2 2" xfId="30461" xr:uid="{00000000-0005-0000-0000-0000A8B50000}"/>
    <cellStyle name="Normal 4 6 2 3 3 2 2 2 2" xfId="57594" xr:uid="{00000000-0005-0000-0000-0000A9B50000}"/>
    <cellStyle name="Normal 4 6 2 3 3 2 2 3" xfId="44032" xr:uid="{00000000-0005-0000-0000-0000AAB50000}"/>
    <cellStyle name="Normal 4 6 2 3 3 2 3" xfId="23680" xr:uid="{00000000-0005-0000-0000-0000ABB50000}"/>
    <cellStyle name="Normal 4 6 2 3 3 2 3 2" xfId="50813" xr:uid="{00000000-0005-0000-0000-0000ACB50000}"/>
    <cellStyle name="Normal 4 6 2 3 3 2 4" xfId="37251" xr:uid="{00000000-0005-0000-0000-0000ADB50000}"/>
    <cellStyle name="Normal 4 6 2 3 3 3" xfId="13504" xr:uid="{00000000-0005-0000-0000-0000AEB50000}"/>
    <cellStyle name="Normal 4 6 2 3 3 3 2" xfId="27072" xr:uid="{00000000-0005-0000-0000-0000AFB50000}"/>
    <cellStyle name="Normal 4 6 2 3 3 3 2 2" xfId="54205" xr:uid="{00000000-0005-0000-0000-0000B0B50000}"/>
    <cellStyle name="Normal 4 6 2 3 3 3 3" xfId="40643" xr:uid="{00000000-0005-0000-0000-0000B1B50000}"/>
    <cellStyle name="Normal 4 6 2 3 3 4" xfId="20291" xr:uid="{00000000-0005-0000-0000-0000B2B50000}"/>
    <cellStyle name="Normal 4 6 2 3 3 4 2" xfId="47424" xr:uid="{00000000-0005-0000-0000-0000B3B50000}"/>
    <cellStyle name="Normal 4 6 2 3 3 5" xfId="33862" xr:uid="{00000000-0005-0000-0000-0000B4B50000}"/>
    <cellStyle name="Normal 4 6 2 3 4" xfId="10102" xr:uid="{00000000-0005-0000-0000-0000B5B50000}"/>
    <cellStyle name="Normal 4 6 2 3 4 2" xfId="16891" xr:uid="{00000000-0005-0000-0000-0000B6B50000}"/>
    <cellStyle name="Normal 4 6 2 3 4 2 2" xfId="30459" xr:uid="{00000000-0005-0000-0000-0000B7B50000}"/>
    <cellStyle name="Normal 4 6 2 3 4 2 2 2" xfId="57592" xr:uid="{00000000-0005-0000-0000-0000B8B50000}"/>
    <cellStyle name="Normal 4 6 2 3 4 2 3" xfId="44030" xr:uid="{00000000-0005-0000-0000-0000B9B50000}"/>
    <cellStyle name="Normal 4 6 2 3 4 3" xfId="23678" xr:uid="{00000000-0005-0000-0000-0000BAB50000}"/>
    <cellStyle name="Normal 4 6 2 3 4 3 2" xfId="50811" xr:uid="{00000000-0005-0000-0000-0000BBB50000}"/>
    <cellStyle name="Normal 4 6 2 3 4 4" xfId="37249" xr:uid="{00000000-0005-0000-0000-0000BCB50000}"/>
    <cellStyle name="Normal 4 6 2 3 5" xfId="13502" xr:uid="{00000000-0005-0000-0000-0000BDB50000}"/>
    <cellStyle name="Normal 4 6 2 3 5 2" xfId="27070" xr:uid="{00000000-0005-0000-0000-0000BEB50000}"/>
    <cellStyle name="Normal 4 6 2 3 5 2 2" xfId="54203" xr:uid="{00000000-0005-0000-0000-0000BFB50000}"/>
    <cellStyle name="Normal 4 6 2 3 5 3" xfId="40641" xr:uid="{00000000-0005-0000-0000-0000C0B50000}"/>
    <cellStyle name="Normal 4 6 2 3 6" xfId="20289" xr:uid="{00000000-0005-0000-0000-0000C1B50000}"/>
    <cellStyle name="Normal 4 6 2 3 6 2" xfId="47422" xr:uid="{00000000-0005-0000-0000-0000C2B50000}"/>
    <cellStyle name="Normal 4 6 2 3 7" xfId="33860" xr:uid="{00000000-0005-0000-0000-0000C3B50000}"/>
    <cellStyle name="Normal 4 6 2 4" xfId="6573" xr:uid="{00000000-0005-0000-0000-0000C4B50000}"/>
    <cellStyle name="Normal 4 6 2 4 2" xfId="6574" xr:uid="{00000000-0005-0000-0000-0000C5B50000}"/>
    <cellStyle name="Normal 4 6 2 4 2 2" xfId="10106" xr:uid="{00000000-0005-0000-0000-0000C6B50000}"/>
    <cellStyle name="Normal 4 6 2 4 2 2 2" xfId="16895" xr:uid="{00000000-0005-0000-0000-0000C7B50000}"/>
    <cellStyle name="Normal 4 6 2 4 2 2 2 2" xfId="30463" xr:uid="{00000000-0005-0000-0000-0000C8B50000}"/>
    <cellStyle name="Normal 4 6 2 4 2 2 2 2 2" xfId="57596" xr:uid="{00000000-0005-0000-0000-0000C9B50000}"/>
    <cellStyle name="Normal 4 6 2 4 2 2 2 3" xfId="44034" xr:uid="{00000000-0005-0000-0000-0000CAB50000}"/>
    <cellStyle name="Normal 4 6 2 4 2 2 3" xfId="23682" xr:uid="{00000000-0005-0000-0000-0000CBB50000}"/>
    <cellStyle name="Normal 4 6 2 4 2 2 3 2" xfId="50815" xr:uid="{00000000-0005-0000-0000-0000CCB50000}"/>
    <cellStyle name="Normal 4 6 2 4 2 2 4" xfId="37253" xr:uid="{00000000-0005-0000-0000-0000CDB50000}"/>
    <cellStyle name="Normal 4 6 2 4 2 3" xfId="13506" xr:uid="{00000000-0005-0000-0000-0000CEB50000}"/>
    <cellStyle name="Normal 4 6 2 4 2 3 2" xfId="27074" xr:uid="{00000000-0005-0000-0000-0000CFB50000}"/>
    <cellStyle name="Normal 4 6 2 4 2 3 2 2" xfId="54207" xr:uid="{00000000-0005-0000-0000-0000D0B50000}"/>
    <cellStyle name="Normal 4 6 2 4 2 3 3" xfId="40645" xr:uid="{00000000-0005-0000-0000-0000D1B50000}"/>
    <cellStyle name="Normal 4 6 2 4 2 4" xfId="20293" xr:uid="{00000000-0005-0000-0000-0000D2B50000}"/>
    <cellStyle name="Normal 4 6 2 4 2 4 2" xfId="47426" xr:uid="{00000000-0005-0000-0000-0000D3B50000}"/>
    <cellStyle name="Normal 4 6 2 4 2 5" xfId="33864" xr:uid="{00000000-0005-0000-0000-0000D4B50000}"/>
    <cellStyle name="Normal 4 6 2 4 3" xfId="10105" xr:uid="{00000000-0005-0000-0000-0000D5B50000}"/>
    <cellStyle name="Normal 4 6 2 4 3 2" xfId="16894" xr:uid="{00000000-0005-0000-0000-0000D6B50000}"/>
    <cellStyle name="Normal 4 6 2 4 3 2 2" xfId="30462" xr:uid="{00000000-0005-0000-0000-0000D7B50000}"/>
    <cellStyle name="Normal 4 6 2 4 3 2 2 2" xfId="57595" xr:uid="{00000000-0005-0000-0000-0000D8B50000}"/>
    <cellStyle name="Normal 4 6 2 4 3 2 3" xfId="44033" xr:uid="{00000000-0005-0000-0000-0000D9B50000}"/>
    <cellStyle name="Normal 4 6 2 4 3 3" xfId="23681" xr:uid="{00000000-0005-0000-0000-0000DAB50000}"/>
    <cellStyle name="Normal 4 6 2 4 3 3 2" xfId="50814" xr:uid="{00000000-0005-0000-0000-0000DBB50000}"/>
    <cellStyle name="Normal 4 6 2 4 3 4" xfId="37252" xr:uid="{00000000-0005-0000-0000-0000DCB50000}"/>
    <cellStyle name="Normal 4 6 2 4 4" xfId="13505" xr:uid="{00000000-0005-0000-0000-0000DDB50000}"/>
    <cellStyle name="Normal 4 6 2 4 4 2" xfId="27073" xr:uid="{00000000-0005-0000-0000-0000DEB50000}"/>
    <cellStyle name="Normal 4 6 2 4 4 2 2" xfId="54206" xr:uid="{00000000-0005-0000-0000-0000DFB50000}"/>
    <cellStyle name="Normal 4 6 2 4 4 3" xfId="40644" xr:uid="{00000000-0005-0000-0000-0000E0B50000}"/>
    <cellStyle name="Normal 4 6 2 4 5" xfId="20292" xr:uid="{00000000-0005-0000-0000-0000E1B50000}"/>
    <cellStyle name="Normal 4 6 2 4 5 2" xfId="47425" xr:uid="{00000000-0005-0000-0000-0000E2B50000}"/>
    <cellStyle name="Normal 4 6 2 4 6" xfId="33863" xr:uid="{00000000-0005-0000-0000-0000E3B50000}"/>
    <cellStyle name="Normal 4 6 2 5" xfId="6575" xr:uid="{00000000-0005-0000-0000-0000E4B50000}"/>
    <cellStyle name="Normal 4 6 2 5 2" xfId="10107" xr:uid="{00000000-0005-0000-0000-0000E5B50000}"/>
    <cellStyle name="Normal 4 6 2 5 2 2" xfId="16896" xr:uid="{00000000-0005-0000-0000-0000E6B50000}"/>
    <cellStyle name="Normal 4 6 2 5 2 2 2" xfId="30464" xr:uid="{00000000-0005-0000-0000-0000E7B50000}"/>
    <cellStyle name="Normal 4 6 2 5 2 2 2 2" xfId="57597" xr:uid="{00000000-0005-0000-0000-0000E8B50000}"/>
    <cellStyle name="Normal 4 6 2 5 2 2 3" xfId="44035" xr:uid="{00000000-0005-0000-0000-0000E9B50000}"/>
    <cellStyle name="Normal 4 6 2 5 2 3" xfId="23683" xr:uid="{00000000-0005-0000-0000-0000EAB50000}"/>
    <cellStyle name="Normal 4 6 2 5 2 3 2" xfId="50816" xr:uid="{00000000-0005-0000-0000-0000EBB50000}"/>
    <cellStyle name="Normal 4 6 2 5 2 4" xfId="37254" xr:uid="{00000000-0005-0000-0000-0000ECB50000}"/>
    <cellStyle name="Normal 4 6 2 5 3" xfId="13507" xr:uid="{00000000-0005-0000-0000-0000EDB50000}"/>
    <cellStyle name="Normal 4 6 2 5 3 2" xfId="27075" xr:uid="{00000000-0005-0000-0000-0000EEB50000}"/>
    <cellStyle name="Normal 4 6 2 5 3 2 2" xfId="54208" xr:uid="{00000000-0005-0000-0000-0000EFB50000}"/>
    <cellStyle name="Normal 4 6 2 5 3 3" xfId="40646" xr:uid="{00000000-0005-0000-0000-0000F0B50000}"/>
    <cellStyle name="Normal 4 6 2 5 4" xfId="20294" xr:uid="{00000000-0005-0000-0000-0000F1B50000}"/>
    <cellStyle name="Normal 4 6 2 5 4 2" xfId="47427" xr:uid="{00000000-0005-0000-0000-0000F2B50000}"/>
    <cellStyle name="Normal 4 6 2 5 5" xfId="33865" xr:uid="{00000000-0005-0000-0000-0000F3B50000}"/>
    <cellStyle name="Normal 4 6 2 6" xfId="6576" xr:uid="{00000000-0005-0000-0000-0000F4B50000}"/>
    <cellStyle name="Normal 4 6 2 6 2" xfId="10108" xr:uid="{00000000-0005-0000-0000-0000F5B50000}"/>
    <cellStyle name="Normal 4 6 2 6 2 2" xfId="16897" xr:uid="{00000000-0005-0000-0000-0000F6B50000}"/>
    <cellStyle name="Normal 4 6 2 6 2 2 2" xfId="30465" xr:uid="{00000000-0005-0000-0000-0000F7B50000}"/>
    <cellStyle name="Normal 4 6 2 6 2 2 2 2" xfId="57598" xr:uid="{00000000-0005-0000-0000-0000F8B50000}"/>
    <cellStyle name="Normal 4 6 2 6 2 2 3" xfId="44036" xr:uid="{00000000-0005-0000-0000-0000F9B50000}"/>
    <cellStyle name="Normal 4 6 2 6 2 3" xfId="23684" xr:uid="{00000000-0005-0000-0000-0000FAB50000}"/>
    <cellStyle name="Normal 4 6 2 6 2 3 2" xfId="50817" xr:uid="{00000000-0005-0000-0000-0000FBB50000}"/>
    <cellStyle name="Normal 4 6 2 6 2 4" xfId="37255" xr:uid="{00000000-0005-0000-0000-0000FCB50000}"/>
    <cellStyle name="Normal 4 6 2 6 3" xfId="13508" xr:uid="{00000000-0005-0000-0000-0000FDB50000}"/>
    <cellStyle name="Normal 4 6 2 6 3 2" xfId="27076" xr:uid="{00000000-0005-0000-0000-0000FEB50000}"/>
    <cellStyle name="Normal 4 6 2 6 3 2 2" xfId="54209" xr:uid="{00000000-0005-0000-0000-0000FFB50000}"/>
    <cellStyle name="Normal 4 6 2 6 3 3" xfId="40647" xr:uid="{00000000-0005-0000-0000-000000B60000}"/>
    <cellStyle name="Normal 4 6 2 6 4" xfId="20295" xr:uid="{00000000-0005-0000-0000-000001B60000}"/>
    <cellStyle name="Normal 4 6 2 6 4 2" xfId="47428" xr:uid="{00000000-0005-0000-0000-000002B60000}"/>
    <cellStyle name="Normal 4 6 2 6 5" xfId="33866" xr:uid="{00000000-0005-0000-0000-000003B60000}"/>
    <cellStyle name="Normal 4 6 2 7" xfId="10093" xr:uid="{00000000-0005-0000-0000-000004B60000}"/>
    <cellStyle name="Normal 4 6 2 7 2" xfId="16882" xr:uid="{00000000-0005-0000-0000-000005B60000}"/>
    <cellStyle name="Normal 4 6 2 7 2 2" xfId="30450" xr:uid="{00000000-0005-0000-0000-000006B60000}"/>
    <cellStyle name="Normal 4 6 2 7 2 2 2" xfId="57583" xr:uid="{00000000-0005-0000-0000-000007B60000}"/>
    <cellStyle name="Normal 4 6 2 7 2 3" xfId="44021" xr:uid="{00000000-0005-0000-0000-000008B60000}"/>
    <cellStyle name="Normal 4 6 2 7 3" xfId="23669" xr:uid="{00000000-0005-0000-0000-000009B60000}"/>
    <cellStyle name="Normal 4 6 2 7 3 2" xfId="50802" xr:uid="{00000000-0005-0000-0000-00000AB60000}"/>
    <cellStyle name="Normal 4 6 2 7 4" xfId="37240" xr:uid="{00000000-0005-0000-0000-00000BB60000}"/>
    <cellStyle name="Normal 4 6 2 8" xfId="13493" xr:uid="{00000000-0005-0000-0000-00000CB60000}"/>
    <cellStyle name="Normal 4 6 2 8 2" xfId="27061" xr:uid="{00000000-0005-0000-0000-00000DB60000}"/>
    <cellStyle name="Normal 4 6 2 8 2 2" xfId="54194" xr:uid="{00000000-0005-0000-0000-00000EB60000}"/>
    <cellStyle name="Normal 4 6 2 8 3" xfId="40632" xr:uid="{00000000-0005-0000-0000-00000FB60000}"/>
    <cellStyle name="Normal 4 6 2 9" xfId="20280" xr:uid="{00000000-0005-0000-0000-000010B60000}"/>
    <cellStyle name="Normal 4 6 2 9 2" xfId="47413" xr:uid="{00000000-0005-0000-0000-000011B60000}"/>
    <cellStyle name="Normal 4 6 3" xfId="6577" xr:uid="{00000000-0005-0000-0000-000012B60000}"/>
    <cellStyle name="Normal 4 6 3 2" xfId="6578" xr:uid="{00000000-0005-0000-0000-000013B60000}"/>
    <cellStyle name="Normal 4 6 3 2 2" xfId="6579" xr:uid="{00000000-0005-0000-0000-000014B60000}"/>
    <cellStyle name="Normal 4 6 3 2 2 2" xfId="10111" xr:uid="{00000000-0005-0000-0000-000015B60000}"/>
    <cellStyle name="Normal 4 6 3 2 2 2 2" xfId="16900" xr:uid="{00000000-0005-0000-0000-000016B60000}"/>
    <cellStyle name="Normal 4 6 3 2 2 2 2 2" xfId="30468" xr:uid="{00000000-0005-0000-0000-000017B60000}"/>
    <cellStyle name="Normal 4 6 3 2 2 2 2 2 2" xfId="57601" xr:uid="{00000000-0005-0000-0000-000018B60000}"/>
    <cellStyle name="Normal 4 6 3 2 2 2 2 3" xfId="44039" xr:uid="{00000000-0005-0000-0000-000019B60000}"/>
    <cellStyle name="Normal 4 6 3 2 2 2 3" xfId="23687" xr:uid="{00000000-0005-0000-0000-00001AB60000}"/>
    <cellStyle name="Normal 4 6 3 2 2 2 3 2" xfId="50820" xr:uid="{00000000-0005-0000-0000-00001BB60000}"/>
    <cellStyle name="Normal 4 6 3 2 2 2 4" xfId="37258" xr:uid="{00000000-0005-0000-0000-00001CB60000}"/>
    <cellStyle name="Normal 4 6 3 2 2 3" xfId="13511" xr:uid="{00000000-0005-0000-0000-00001DB60000}"/>
    <cellStyle name="Normal 4 6 3 2 2 3 2" xfId="27079" xr:uid="{00000000-0005-0000-0000-00001EB60000}"/>
    <cellStyle name="Normal 4 6 3 2 2 3 2 2" xfId="54212" xr:uid="{00000000-0005-0000-0000-00001FB60000}"/>
    <cellStyle name="Normal 4 6 3 2 2 3 3" xfId="40650" xr:uid="{00000000-0005-0000-0000-000020B60000}"/>
    <cellStyle name="Normal 4 6 3 2 2 4" xfId="20298" xr:uid="{00000000-0005-0000-0000-000021B60000}"/>
    <cellStyle name="Normal 4 6 3 2 2 4 2" xfId="47431" xr:uid="{00000000-0005-0000-0000-000022B60000}"/>
    <cellStyle name="Normal 4 6 3 2 2 5" xfId="33869" xr:uid="{00000000-0005-0000-0000-000023B60000}"/>
    <cellStyle name="Normal 4 6 3 2 3" xfId="6580" xr:uid="{00000000-0005-0000-0000-000024B60000}"/>
    <cellStyle name="Normal 4 6 3 2 3 2" xfId="10112" xr:uid="{00000000-0005-0000-0000-000025B60000}"/>
    <cellStyle name="Normal 4 6 3 2 3 2 2" xfId="16901" xr:uid="{00000000-0005-0000-0000-000026B60000}"/>
    <cellStyle name="Normal 4 6 3 2 3 2 2 2" xfId="30469" xr:uid="{00000000-0005-0000-0000-000027B60000}"/>
    <cellStyle name="Normal 4 6 3 2 3 2 2 2 2" xfId="57602" xr:uid="{00000000-0005-0000-0000-000028B60000}"/>
    <cellStyle name="Normal 4 6 3 2 3 2 2 3" xfId="44040" xr:uid="{00000000-0005-0000-0000-000029B60000}"/>
    <cellStyle name="Normal 4 6 3 2 3 2 3" xfId="23688" xr:uid="{00000000-0005-0000-0000-00002AB60000}"/>
    <cellStyle name="Normal 4 6 3 2 3 2 3 2" xfId="50821" xr:uid="{00000000-0005-0000-0000-00002BB60000}"/>
    <cellStyle name="Normal 4 6 3 2 3 2 4" xfId="37259" xr:uid="{00000000-0005-0000-0000-00002CB60000}"/>
    <cellStyle name="Normal 4 6 3 2 3 3" xfId="13512" xr:uid="{00000000-0005-0000-0000-00002DB60000}"/>
    <cellStyle name="Normal 4 6 3 2 3 3 2" xfId="27080" xr:uid="{00000000-0005-0000-0000-00002EB60000}"/>
    <cellStyle name="Normal 4 6 3 2 3 3 2 2" xfId="54213" xr:uid="{00000000-0005-0000-0000-00002FB60000}"/>
    <cellStyle name="Normal 4 6 3 2 3 3 3" xfId="40651" xr:uid="{00000000-0005-0000-0000-000030B60000}"/>
    <cellStyle name="Normal 4 6 3 2 3 4" xfId="20299" xr:uid="{00000000-0005-0000-0000-000031B60000}"/>
    <cellStyle name="Normal 4 6 3 2 3 4 2" xfId="47432" xr:uid="{00000000-0005-0000-0000-000032B60000}"/>
    <cellStyle name="Normal 4 6 3 2 3 5" xfId="33870" xr:uid="{00000000-0005-0000-0000-000033B60000}"/>
    <cellStyle name="Normal 4 6 3 2 4" xfId="10110" xr:uid="{00000000-0005-0000-0000-000034B60000}"/>
    <cellStyle name="Normal 4 6 3 2 4 2" xfId="16899" xr:uid="{00000000-0005-0000-0000-000035B60000}"/>
    <cellStyle name="Normal 4 6 3 2 4 2 2" xfId="30467" xr:uid="{00000000-0005-0000-0000-000036B60000}"/>
    <cellStyle name="Normal 4 6 3 2 4 2 2 2" xfId="57600" xr:uid="{00000000-0005-0000-0000-000037B60000}"/>
    <cellStyle name="Normal 4 6 3 2 4 2 3" xfId="44038" xr:uid="{00000000-0005-0000-0000-000038B60000}"/>
    <cellStyle name="Normal 4 6 3 2 4 3" xfId="23686" xr:uid="{00000000-0005-0000-0000-000039B60000}"/>
    <cellStyle name="Normal 4 6 3 2 4 3 2" xfId="50819" xr:uid="{00000000-0005-0000-0000-00003AB60000}"/>
    <cellStyle name="Normal 4 6 3 2 4 4" xfId="37257" xr:uid="{00000000-0005-0000-0000-00003BB60000}"/>
    <cellStyle name="Normal 4 6 3 2 5" xfId="13510" xr:uid="{00000000-0005-0000-0000-00003CB60000}"/>
    <cellStyle name="Normal 4 6 3 2 5 2" xfId="27078" xr:uid="{00000000-0005-0000-0000-00003DB60000}"/>
    <cellStyle name="Normal 4 6 3 2 5 2 2" xfId="54211" xr:uid="{00000000-0005-0000-0000-00003EB60000}"/>
    <cellStyle name="Normal 4 6 3 2 5 3" xfId="40649" xr:uid="{00000000-0005-0000-0000-00003FB60000}"/>
    <cellStyle name="Normal 4 6 3 2 6" xfId="20297" xr:uid="{00000000-0005-0000-0000-000040B60000}"/>
    <cellStyle name="Normal 4 6 3 2 6 2" xfId="47430" xr:uid="{00000000-0005-0000-0000-000041B60000}"/>
    <cellStyle name="Normal 4 6 3 2 7" xfId="33868" xr:uid="{00000000-0005-0000-0000-000042B60000}"/>
    <cellStyle name="Normal 4 6 3 3" xfId="6581" xr:uid="{00000000-0005-0000-0000-000043B60000}"/>
    <cellStyle name="Normal 4 6 3 3 2" xfId="6582" xr:uid="{00000000-0005-0000-0000-000044B60000}"/>
    <cellStyle name="Normal 4 6 3 3 2 2" xfId="10114" xr:uid="{00000000-0005-0000-0000-000045B60000}"/>
    <cellStyle name="Normal 4 6 3 3 2 2 2" xfId="16903" xr:uid="{00000000-0005-0000-0000-000046B60000}"/>
    <cellStyle name="Normal 4 6 3 3 2 2 2 2" xfId="30471" xr:uid="{00000000-0005-0000-0000-000047B60000}"/>
    <cellStyle name="Normal 4 6 3 3 2 2 2 2 2" xfId="57604" xr:uid="{00000000-0005-0000-0000-000048B60000}"/>
    <cellStyle name="Normal 4 6 3 3 2 2 2 3" xfId="44042" xr:uid="{00000000-0005-0000-0000-000049B60000}"/>
    <cellStyle name="Normal 4 6 3 3 2 2 3" xfId="23690" xr:uid="{00000000-0005-0000-0000-00004AB60000}"/>
    <cellStyle name="Normal 4 6 3 3 2 2 3 2" xfId="50823" xr:uid="{00000000-0005-0000-0000-00004BB60000}"/>
    <cellStyle name="Normal 4 6 3 3 2 2 4" xfId="37261" xr:uid="{00000000-0005-0000-0000-00004CB60000}"/>
    <cellStyle name="Normal 4 6 3 3 2 3" xfId="13514" xr:uid="{00000000-0005-0000-0000-00004DB60000}"/>
    <cellStyle name="Normal 4 6 3 3 2 3 2" xfId="27082" xr:uid="{00000000-0005-0000-0000-00004EB60000}"/>
    <cellStyle name="Normal 4 6 3 3 2 3 2 2" xfId="54215" xr:uid="{00000000-0005-0000-0000-00004FB60000}"/>
    <cellStyle name="Normal 4 6 3 3 2 3 3" xfId="40653" xr:uid="{00000000-0005-0000-0000-000050B60000}"/>
    <cellStyle name="Normal 4 6 3 3 2 4" xfId="20301" xr:uid="{00000000-0005-0000-0000-000051B60000}"/>
    <cellStyle name="Normal 4 6 3 3 2 4 2" xfId="47434" xr:uid="{00000000-0005-0000-0000-000052B60000}"/>
    <cellStyle name="Normal 4 6 3 3 2 5" xfId="33872" xr:uid="{00000000-0005-0000-0000-000053B60000}"/>
    <cellStyle name="Normal 4 6 3 3 3" xfId="10113" xr:uid="{00000000-0005-0000-0000-000054B60000}"/>
    <cellStyle name="Normal 4 6 3 3 3 2" xfId="16902" xr:uid="{00000000-0005-0000-0000-000055B60000}"/>
    <cellStyle name="Normal 4 6 3 3 3 2 2" xfId="30470" xr:uid="{00000000-0005-0000-0000-000056B60000}"/>
    <cellStyle name="Normal 4 6 3 3 3 2 2 2" xfId="57603" xr:uid="{00000000-0005-0000-0000-000057B60000}"/>
    <cellStyle name="Normal 4 6 3 3 3 2 3" xfId="44041" xr:uid="{00000000-0005-0000-0000-000058B60000}"/>
    <cellStyle name="Normal 4 6 3 3 3 3" xfId="23689" xr:uid="{00000000-0005-0000-0000-000059B60000}"/>
    <cellStyle name="Normal 4 6 3 3 3 3 2" xfId="50822" xr:uid="{00000000-0005-0000-0000-00005AB60000}"/>
    <cellStyle name="Normal 4 6 3 3 3 4" xfId="37260" xr:uid="{00000000-0005-0000-0000-00005BB60000}"/>
    <cellStyle name="Normal 4 6 3 3 4" xfId="13513" xr:uid="{00000000-0005-0000-0000-00005CB60000}"/>
    <cellStyle name="Normal 4 6 3 3 4 2" xfId="27081" xr:uid="{00000000-0005-0000-0000-00005DB60000}"/>
    <cellStyle name="Normal 4 6 3 3 4 2 2" xfId="54214" xr:uid="{00000000-0005-0000-0000-00005EB60000}"/>
    <cellStyle name="Normal 4 6 3 3 4 3" xfId="40652" xr:uid="{00000000-0005-0000-0000-00005FB60000}"/>
    <cellStyle name="Normal 4 6 3 3 5" xfId="20300" xr:uid="{00000000-0005-0000-0000-000060B60000}"/>
    <cellStyle name="Normal 4 6 3 3 5 2" xfId="47433" xr:uid="{00000000-0005-0000-0000-000061B60000}"/>
    <cellStyle name="Normal 4 6 3 3 6" xfId="33871" xr:uid="{00000000-0005-0000-0000-000062B60000}"/>
    <cellStyle name="Normal 4 6 3 4" xfId="6583" xr:uid="{00000000-0005-0000-0000-000063B60000}"/>
    <cellStyle name="Normal 4 6 3 4 2" xfId="10115" xr:uid="{00000000-0005-0000-0000-000064B60000}"/>
    <cellStyle name="Normal 4 6 3 4 2 2" xfId="16904" xr:uid="{00000000-0005-0000-0000-000065B60000}"/>
    <cellStyle name="Normal 4 6 3 4 2 2 2" xfId="30472" xr:uid="{00000000-0005-0000-0000-000066B60000}"/>
    <cellStyle name="Normal 4 6 3 4 2 2 2 2" xfId="57605" xr:uid="{00000000-0005-0000-0000-000067B60000}"/>
    <cellStyle name="Normal 4 6 3 4 2 2 3" xfId="44043" xr:uid="{00000000-0005-0000-0000-000068B60000}"/>
    <cellStyle name="Normal 4 6 3 4 2 3" xfId="23691" xr:uid="{00000000-0005-0000-0000-000069B60000}"/>
    <cellStyle name="Normal 4 6 3 4 2 3 2" xfId="50824" xr:uid="{00000000-0005-0000-0000-00006AB60000}"/>
    <cellStyle name="Normal 4 6 3 4 2 4" xfId="37262" xr:uid="{00000000-0005-0000-0000-00006BB60000}"/>
    <cellStyle name="Normal 4 6 3 4 3" xfId="13515" xr:uid="{00000000-0005-0000-0000-00006CB60000}"/>
    <cellStyle name="Normal 4 6 3 4 3 2" xfId="27083" xr:uid="{00000000-0005-0000-0000-00006DB60000}"/>
    <cellStyle name="Normal 4 6 3 4 3 2 2" xfId="54216" xr:uid="{00000000-0005-0000-0000-00006EB60000}"/>
    <cellStyle name="Normal 4 6 3 4 3 3" xfId="40654" xr:uid="{00000000-0005-0000-0000-00006FB60000}"/>
    <cellStyle name="Normal 4 6 3 4 4" xfId="20302" xr:uid="{00000000-0005-0000-0000-000070B60000}"/>
    <cellStyle name="Normal 4 6 3 4 4 2" xfId="47435" xr:uid="{00000000-0005-0000-0000-000071B60000}"/>
    <cellStyle name="Normal 4 6 3 4 5" xfId="33873" xr:uid="{00000000-0005-0000-0000-000072B60000}"/>
    <cellStyle name="Normal 4 6 3 5" xfId="6584" xr:uid="{00000000-0005-0000-0000-000073B60000}"/>
    <cellStyle name="Normal 4 6 3 5 2" xfId="10116" xr:uid="{00000000-0005-0000-0000-000074B60000}"/>
    <cellStyle name="Normal 4 6 3 5 2 2" xfId="16905" xr:uid="{00000000-0005-0000-0000-000075B60000}"/>
    <cellStyle name="Normal 4 6 3 5 2 2 2" xfId="30473" xr:uid="{00000000-0005-0000-0000-000076B60000}"/>
    <cellStyle name="Normal 4 6 3 5 2 2 2 2" xfId="57606" xr:uid="{00000000-0005-0000-0000-000077B60000}"/>
    <cellStyle name="Normal 4 6 3 5 2 2 3" xfId="44044" xr:uid="{00000000-0005-0000-0000-000078B60000}"/>
    <cellStyle name="Normal 4 6 3 5 2 3" xfId="23692" xr:uid="{00000000-0005-0000-0000-000079B60000}"/>
    <cellStyle name="Normal 4 6 3 5 2 3 2" xfId="50825" xr:uid="{00000000-0005-0000-0000-00007AB60000}"/>
    <cellStyle name="Normal 4 6 3 5 2 4" xfId="37263" xr:uid="{00000000-0005-0000-0000-00007BB60000}"/>
    <cellStyle name="Normal 4 6 3 5 3" xfId="13516" xr:uid="{00000000-0005-0000-0000-00007CB60000}"/>
    <cellStyle name="Normal 4 6 3 5 3 2" xfId="27084" xr:uid="{00000000-0005-0000-0000-00007DB60000}"/>
    <cellStyle name="Normal 4 6 3 5 3 2 2" xfId="54217" xr:uid="{00000000-0005-0000-0000-00007EB60000}"/>
    <cellStyle name="Normal 4 6 3 5 3 3" xfId="40655" xr:uid="{00000000-0005-0000-0000-00007FB60000}"/>
    <cellStyle name="Normal 4 6 3 5 4" xfId="20303" xr:uid="{00000000-0005-0000-0000-000080B60000}"/>
    <cellStyle name="Normal 4 6 3 5 4 2" xfId="47436" xr:uid="{00000000-0005-0000-0000-000081B60000}"/>
    <cellStyle name="Normal 4 6 3 5 5" xfId="33874" xr:uid="{00000000-0005-0000-0000-000082B60000}"/>
    <cellStyle name="Normal 4 6 3 6" xfId="10109" xr:uid="{00000000-0005-0000-0000-000083B60000}"/>
    <cellStyle name="Normal 4 6 3 6 2" xfId="16898" xr:uid="{00000000-0005-0000-0000-000084B60000}"/>
    <cellStyle name="Normal 4 6 3 6 2 2" xfId="30466" xr:uid="{00000000-0005-0000-0000-000085B60000}"/>
    <cellStyle name="Normal 4 6 3 6 2 2 2" xfId="57599" xr:uid="{00000000-0005-0000-0000-000086B60000}"/>
    <cellStyle name="Normal 4 6 3 6 2 3" xfId="44037" xr:uid="{00000000-0005-0000-0000-000087B60000}"/>
    <cellStyle name="Normal 4 6 3 6 3" xfId="23685" xr:uid="{00000000-0005-0000-0000-000088B60000}"/>
    <cellStyle name="Normal 4 6 3 6 3 2" xfId="50818" xr:uid="{00000000-0005-0000-0000-000089B60000}"/>
    <cellStyle name="Normal 4 6 3 6 4" xfId="37256" xr:uid="{00000000-0005-0000-0000-00008AB60000}"/>
    <cellStyle name="Normal 4 6 3 7" xfId="13509" xr:uid="{00000000-0005-0000-0000-00008BB60000}"/>
    <cellStyle name="Normal 4 6 3 7 2" xfId="27077" xr:uid="{00000000-0005-0000-0000-00008CB60000}"/>
    <cellStyle name="Normal 4 6 3 7 2 2" xfId="54210" xr:uid="{00000000-0005-0000-0000-00008DB60000}"/>
    <cellStyle name="Normal 4 6 3 7 3" xfId="40648" xr:uid="{00000000-0005-0000-0000-00008EB60000}"/>
    <cellStyle name="Normal 4 6 3 8" xfId="20296" xr:uid="{00000000-0005-0000-0000-00008FB60000}"/>
    <cellStyle name="Normal 4 6 3 8 2" xfId="47429" xr:uid="{00000000-0005-0000-0000-000090B60000}"/>
    <cellStyle name="Normal 4 6 3 9" xfId="33867" xr:uid="{00000000-0005-0000-0000-000091B60000}"/>
    <cellStyle name="Normal 4 6 4" xfId="6585" xr:uid="{00000000-0005-0000-0000-000092B60000}"/>
    <cellStyle name="Normal 4 6 4 2" xfId="6586" xr:uid="{00000000-0005-0000-0000-000093B60000}"/>
    <cellStyle name="Normal 4 6 4 2 2" xfId="6587" xr:uid="{00000000-0005-0000-0000-000094B60000}"/>
    <cellStyle name="Normal 4 6 4 2 2 2" xfId="10119" xr:uid="{00000000-0005-0000-0000-000095B60000}"/>
    <cellStyle name="Normal 4 6 4 2 2 2 2" xfId="16908" xr:uid="{00000000-0005-0000-0000-000096B60000}"/>
    <cellStyle name="Normal 4 6 4 2 2 2 2 2" xfId="30476" xr:uid="{00000000-0005-0000-0000-000097B60000}"/>
    <cellStyle name="Normal 4 6 4 2 2 2 2 2 2" xfId="57609" xr:uid="{00000000-0005-0000-0000-000098B60000}"/>
    <cellStyle name="Normal 4 6 4 2 2 2 2 3" xfId="44047" xr:uid="{00000000-0005-0000-0000-000099B60000}"/>
    <cellStyle name="Normal 4 6 4 2 2 2 3" xfId="23695" xr:uid="{00000000-0005-0000-0000-00009AB60000}"/>
    <cellStyle name="Normal 4 6 4 2 2 2 3 2" xfId="50828" xr:uid="{00000000-0005-0000-0000-00009BB60000}"/>
    <cellStyle name="Normal 4 6 4 2 2 2 4" xfId="37266" xr:uid="{00000000-0005-0000-0000-00009CB60000}"/>
    <cellStyle name="Normal 4 6 4 2 2 3" xfId="13519" xr:uid="{00000000-0005-0000-0000-00009DB60000}"/>
    <cellStyle name="Normal 4 6 4 2 2 3 2" xfId="27087" xr:uid="{00000000-0005-0000-0000-00009EB60000}"/>
    <cellStyle name="Normal 4 6 4 2 2 3 2 2" xfId="54220" xr:uid="{00000000-0005-0000-0000-00009FB60000}"/>
    <cellStyle name="Normal 4 6 4 2 2 3 3" xfId="40658" xr:uid="{00000000-0005-0000-0000-0000A0B60000}"/>
    <cellStyle name="Normal 4 6 4 2 2 4" xfId="20306" xr:uid="{00000000-0005-0000-0000-0000A1B60000}"/>
    <cellStyle name="Normal 4 6 4 2 2 4 2" xfId="47439" xr:uid="{00000000-0005-0000-0000-0000A2B60000}"/>
    <cellStyle name="Normal 4 6 4 2 2 5" xfId="33877" xr:uid="{00000000-0005-0000-0000-0000A3B60000}"/>
    <cellStyle name="Normal 4 6 4 2 3" xfId="6588" xr:uid="{00000000-0005-0000-0000-0000A4B60000}"/>
    <cellStyle name="Normal 4 6 4 2 3 2" xfId="10120" xr:uid="{00000000-0005-0000-0000-0000A5B60000}"/>
    <cellStyle name="Normal 4 6 4 2 3 2 2" xfId="16909" xr:uid="{00000000-0005-0000-0000-0000A6B60000}"/>
    <cellStyle name="Normal 4 6 4 2 3 2 2 2" xfId="30477" xr:uid="{00000000-0005-0000-0000-0000A7B60000}"/>
    <cellStyle name="Normal 4 6 4 2 3 2 2 2 2" xfId="57610" xr:uid="{00000000-0005-0000-0000-0000A8B60000}"/>
    <cellStyle name="Normal 4 6 4 2 3 2 2 3" xfId="44048" xr:uid="{00000000-0005-0000-0000-0000A9B60000}"/>
    <cellStyle name="Normal 4 6 4 2 3 2 3" xfId="23696" xr:uid="{00000000-0005-0000-0000-0000AAB60000}"/>
    <cellStyle name="Normal 4 6 4 2 3 2 3 2" xfId="50829" xr:uid="{00000000-0005-0000-0000-0000ABB60000}"/>
    <cellStyle name="Normal 4 6 4 2 3 2 4" xfId="37267" xr:uid="{00000000-0005-0000-0000-0000ACB60000}"/>
    <cellStyle name="Normal 4 6 4 2 3 3" xfId="13520" xr:uid="{00000000-0005-0000-0000-0000ADB60000}"/>
    <cellStyle name="Normal 4 6 4 2 3 3 2" xfId="27088" xr:uid="{00000000-0005-0000-0000-0000AEB60000}"/>
    <cellStyle name="Normal 4 6 4 2 3 3 2 2" xfId="54221" xr:uid="{00000000-0005-0000-0000-0000AFB60000}"/>
    <cellStyle name="Normal 4 6 4 2 3 3 3" xfId="40659" xr:uid="{00000000-0005-0000-0000-0000B0B60000}"/>
    <cellStyle name="Normal 4 6 4 2 3 4" xfId="20307" xr:uid="{00000000-0005-0000-0000-0000B1B60000}"/>
    <cellStyle name="Normal 4 6 4 2 3 4 2" xfId="47440" xr:uid="{00000000-0005-0000-0000-0000B2B60000}"/>
    <cellStyle name="Normal 4 6 4 2 3 5" xfId="33878" xr:uid="{00000000-0005-0000-0000-0000B3B60000}"/>
    <cellStyle name="Normal 4 6 4 2 4" xfId="10118" xr:uid="{00000000-0005-0000-0000-0000B4B60000}"/>
    <cellStyle name="Normal 4 6 4 2 4 2" xfId="16907" xr:uid="{00000000-0005-0000-0000-0000B5B60000}"/>
    <cellStyle name="Normal 4 6 4 2 4 2 2" xfId="30475" xr:uid="{00000000-0005-0000-0000-0000B6B60000}"/>
    <cellStyle name="Normal 4 6 4 2 4 2 2 2" xfId="57608" xr:uid="{00000000-0005-0000-0000-0000B7B60000}"/>
    <cellStyle name="Normal 4 6 4 2 4 2 3" xfId="44046" xr:uid="{00000000-0005-0000-0000-0000B8B60000}"/>
    <cellStyle name="Normal 4 6 4 2 4 3" xfId="23694" xr:uid="{00000000-0005-0000-0000-0000B9B60000}"/>
    <cellStyle name="Normal 4 6 4 2 4 3 2" xfId="50827" xr:uid="{00000000-0005-0000-0000-0000BAB60000}"/>
    <cellStyle name="Normal 4 6 4 2 4 4" xfId="37265" xr:uid="{00000000-0005-0000-0000-0000BBB60000}"/>
    <cellStyle name="Normal 4 6 4 2 5" xfId="13518" xr:uid="{00000000-0005-0000-0000-0000BCB60000}"/>
    <cellStyle name="Normal 4 6 4 2 5 2" xfId="27086" xr:uid="{00000000-0005-0000-0000-0000BDB60000}"/>
    <cellStyle name="Normal 4 6 4 2 5 2 2" xfId="54219" xr:uid="{00000000-0005-0000-0000-0000BEB60000}"/>
    <cellStyle name="Normal 4 6 4 2 5 3" xfId="40657" xr:uid="{00000000-0005-0000-0000-0000BFB60000}"/>
    <cellStyle name="Normal 4 6 4 2 6" xfId="20305" xr:uid="{00000000-0005-0000-0000-0000C0B60000}"/>
    <cellStyle name="Normal 4 6 4 2 6 2" xfId="47438" xr:uid="{00000000-0005-0000-0000-0000C1B60000}"/>
    <cellStyle name="Normal 4 6 4 2 7" xfId="33876" xr:uid="{00000000-0005-0000-0000-0000C2B60000}"/>
    <cellStyle name="Normal 4 6 4 3" xfId="6589" xr:uid="{00000000-0005-0000-0000-0000C3B60000}"/>
    <cellStyle name="Normal 4 6 4 3 2" xfId="10121" xr:uid="{00000000-0005-0000-0000-0000C4B60000}"/>
    <cellStyle name="Normal 4 6 4 3 2 2" xfId="16910" xr:uid="{00000000-0005-0000-0000-0000C5B60000}"/>
    <cellStyle name="Normal 4 6 4 3 2 2 2" xfId="30478" xr:uid="{00000000-0005-0000-0000-0000C6B60000}"/>
    <cellStyle name="Normal 4 6 4 3 2 2 2 2" xfId="57611" xr:uid="{00000000-0005-0000-0000-0000C7B60000}"/>
    <cellStyle name="Normal 4 6 4 3 2 2 3" xfId="44049" xr:uid="{00000000-0005-0000-0000-0000C8B60000}"/>
    <cellStyle name="Normal 4 6 4 3 2 3" xfId="23697" xr:uid="{00000000-0005-0000-0000-0000C9B60000}"/>
    <cellStyle name="Normal 4 6 4 3 2 3 2" xfId="50830" xr:uid="{00000000-0005-0000-0000-0000CAB60000}"/>
    <cellStyle name="Normal 4 6 4 3 2 4" xfId="37268" xr:uid="{00000000-0005-0000-0000-0000CBB60000}"/>
    <cellStyle name="Normal 4 6 4 3 3" xfId="13521" xr:uid="{00000000-0005-0000-0000-0000CCB60000}"/>
    <cellStyle name="Normal 4 6 4 3 3 2" xfId="27089" xr:uid="{00000000-0005-0000-0000-0000CDB60000}"/>
    <cellStyle name="Normal 4 6 4 3 3 2 2" xfId="54222" xr:uid="{00000000-0005-0000-0000-0000CEB60000}"/>
    <cellStyle name="Normal 4 6 4 3 3 3" xfId="40660" xr:uid="{00000000-0005-0000-0000-0000CFB60000}"/>
    <cellStyle name="Normal 4 6 4 3 4" xfId="20308" xr:uid="{00000000-0005-0000-0000-0000D0B60000}"/>
    <cellStyle name="Normal 4 6 4 3 4 2" xfId="47441" xr:uid="{00000000-0005-0000-0000-0000D1B60000}"/>
    <cellStyle name="Normal 4 6 4 3 5" xfId="33879" xr:uid="{00000000-0005-0000-0000-0000D2B60000}"/>
    <cellStyle name="Normal 4 6 4 4" xfId="6590" xr:uid="{00000000-0005-0000-0000-0000D3B60000}"/>
    <cellStyle name="Normal 4 6 4 4 2" xfId="10122" xr:uid="{00000000-0005-0000-0000-0000D4B60000}"/>
    <cellStyle name="Normal 4 6 4 4 2 2" xfId="16911" xr:uid="{00000000-0005-0000-0000-0000D5B60000}"/>
    <cellStyle name="Normal 4 6 4 4 2 2 2" xfId="30479" xr:uid="{00000000-0005-0000-0000-0000D6B60000}"/>
    <cellStyle name="Normal 4 6 4 4 2 2 2 2" xfId="57612" xr:uid="{00000000-0005-0000-0000-0000D7B60000}"/>
    <cellStyle name="Normal 4 6 4 4 2 2 3" xfId="44050" xr:uid="{00000000-0005-0000-0000-0000D8B60000}"/>
    <cellStyle name="Normal 4 6 4 4 2 3" xfId="23698" xr:uid="{00000000-0005-0000-0000-0000D9B60000}"/>
    <cellStyle name="Normal 4 6 4 4 2 3 2" xfId="50831" xr:uid="{00000000-0005-0000-0000-0000DAB60000}"/>
    <cellStyle name="Normal 4 6 4 4 2 4" xfId="37269" xr:uid="{00000000-0005-0000-0000-0000DBB60000}"/>
    <cellStyle name="Normal 4 6 4 4 3" xfId="13522" xr:uid="{00000000-0005-0000-0000-0000DCB60000}"/>
    <cellStyle name="Normal 4 6 4 4 3 2" xfId="27090" xr:uid="{00000000-0005-0000-0000-0000DDB60000}"/>
    <cellStyle name="Normal 4 6 4 4 3 2 2" xfId="54223" xr:uid="{00000000-0005-0000-0000-0000DEB60000}"/>
    <cellStyle name="Normal 4 6 4 4 3 3" xfId="40661" xr:uid="{00000000-0005-0000-0000-0000DFB60000}"/>
    <cellStyle name="Normal 4 6 4 4 4" xfId="20309" xr:uid="{00000000-0005-0000-0000-0000E0B60000}"/>
    <cellStyle name="Normal 4 6 4 4 4 2" xfId="47442" xr:uid="{00000000-0005-0000-0000-0000E1B60000}"/>
    <cellStyle name="Normal 4 6 4 4 5" xfId="33880" xr:uid="{00000000-0005-0000-0000-0000E2B60000}"/>
    <cellStyle name="Normal 4 6 4 5" xfId="10117" xr:uid="{00000000-0005-0000-0000-0000E3B60000}"/>
    <cellStyle name="Normal 4 6 4 5 2" xfId="16906" xr:uid="{00000000-0005-0000-0000-0000E4B60000}"/>
    <cellStyle name="Normal 4 6 4 5 2 2" xfId="30474" xr:uid="{00000000-0005-0000-0000-0000E5B60000}"/>
    <cellStyle name="Normal 4 6 4 5 2 2 2" xfId="57607" xr:uid="{00000000-0005-0000-0000-0000E6B60000}"/>
    <cellStyle name="Normal 4 6 4 5 2 3" xfId="44045" xr:uid="{00000000-0005-0000-0000-0000E7B60000}"/>
    <cellStyle name="Normal 4 6 4 5 3" xfId="23693" xr:uid="{00000000-0005-0000-0000-0000E8B60000}"/>
    <cellStyle name="Normal 4 6 4 5 3 2" xfId="50826" xr:uid="{00000000-0005-0000-0000-0000E9B60000}"/>
    <cellStyle name="Normal 4 6 4 5 4" xfId="37264" xr:uid="{00000000-0005-0000-0000-0000EAB60000}"/>
    <cellStyle name="Normal 4 6 4 6" xfId="13517" xr:uid="{00000000-0005-0000-0000-0000EBB60000}"/>
    <cellStyle name="Normal 4 6 4 6 2" xfId="27085" xr:uid="{00000000-0005-0000-0000-0000ECB60000}"/>
    <cellStyle name="Normal 4 6 4 6 2 2" xfId="54218" xr:uid="{00000000-0005-0000-0000-0000EDB60000}"/>
    <cellStyle name="Normal 4 6 4 6 3" xfId="40656" xr:uid="{00000000-0005-0000-0000-0000EEB60000}"/>
    <cellStyle name="Normal 4 6 4 7" xfId="20304" xr:uid="{00000000-0005-0000-0000-0000EFB60000}"/>
    <cellStyle name="Normal 4 6 4 7 2" xfId="47437" xr:uid="{00000000-0005-0000-0000-0000F0B60000}"/>
    <cellStyle name="Normal 4 6 4 8" xfId="33875" xr:uid="{00000000-0005-0000-0000-0000F1B60000}"/>
    <cellStyle name="Normal 4 6 5" xfId="6591" xr:uid="{00000000-0005-0000-0000-0000F2B60000}"/>
    <cellStyle name="Normal 4 6 5 2" xfId="6592" xr:uid="{00000000-0005-0000-0000-0000F3B60000}"/>
    <cellStyle name="Normal 4 6 5 2 2" xfId="6593" xr:uid="{00000000-0005-0000-0000-0000F4B60000}"/>
    <cellStyle name="Normal 4 6 5 2 2 2" xfId="10125" xr:uid="{00000000-0005-0000-0000-0000F5B60000}"/>
    <cellStyle name="Normal 4 6 5 2 2 2 2" xfId="16914" xr:uid="{00000000-0005-0000-0000-0000F6B60000}"/>
    <cellStyle name="Normal 4 6 5 2 2 2 2 2" xfId="30482" xr:uid="{00000000-0005-0000-0000-0000F7B60000}"/>
    <cellStyle name="Normal 4 6 5 2 2 2 2 2 2" xfId="57615" xr:uid="{00000000-0005-0000-0000-0000F8B60000}"/>
    <cellStyle name="Normal 4 6 5 2 2 2 2 3" xfId="44053" xr:uid="{00000000-0005-0000-0000-0000F9B60000}"/>
    <cellStyle name="Normal 4 6 5 2 2 2 3" xfId="23701" xr:uid="{00000000-0005-0000-0000-0000FAB60000}"/>
    <cellStyle name="Normal 4 6 5 2 2 2 3 2" xfId="50834" xr:uid="{00000000-0005-0000-0000-0000FBB60000}"/>
    <cellStyle name="Normal 4 6 5 2 2 2 4" xfId="37272" xr:uid="{00000000-0005-0000-0000-0000FCB60000}"/>
    <cellStyle name="Normal 4 6 5 2 2 3" xfId="13525" xr:uid="{00000000-0005-0000-0000-0000FDB60000}"/>
    <cellStyle name="Normal 4 6 5 2 2 3 2" xfId="27093" xr:uid="{00000000-0005-0000-0000-0000FEB60000}"/>
    <cellStyle name="Normal 4 6 5 2 2 3 2 2" xfId="54226" xr:uid="{00000000-0005-0000-0000-0000FFB60000}"/>
    <cellStyle name="Normal 4 6 5 2 2 3 3" xfId="40664" xr:uid="{00000000-0005-0000-0000-000000B70000}"/>
    <cellStyle name="Normal 4 6 5 2 2 4" xfId="20312" xr:uid="{00000000-0005-0000-0000-000001B70000}"/>
    <cellStyle name="Normal 4 6 5 2 2 4 2" xfId="47445" xr:uid="{00000000-0005-0000-0000-000002B70000}"/>
    <cellStyle name="Normal 4 6 5 2 2 5" xfId="33883" xr:uid="{00000000-0005-0000-0000-000003B70000}"/>
    <cellStyle name="Normal 4 6 5 2 3" xfId="6594" xr:uid="{00000000-0005-0000-0000-000004B70000}"/>
    <cellStyle name="Normal 4 6 5 2 3 2" xfId="10126" xr:uid="{00000000-0005-0000-0000-000005B70000}"/>
    <cellStyle name="Normal 4 6 5 2 3 2 2" xfId="16915" xr:uid="{00000000-0005-0000-0000-000006B70000}"/>
    <cellStyle name="Normal 4 6 5 2 3 2 2 2" xfId="30483" xr:uid="{00000000-0005-0000-0000-000007B70000}"/>
    <cellStyle name="Normal 4 6 5 2 3 2 2 2 2" xfId="57616" xr:uid="{00000000-0005-0000-0000-000008B70000}"/>
    <cellStyle name="Normal 4 6 5 2 3 2 2 3" xfId="44054" xr:uid="{00000000-0005-0000-0000-000009B70000}"/>
    <cellStyle name="Normal 4 6 5 2 3 2 3" xfId="23702" xr:uid="{00000000-0005-0000-0000-00000AB70000}"/>
    <cellStyle name="Normal 4 6 5 2 3 2 3 2" xfId="50835" xr:uid="{00000000-0005-0000-0000-00000BB70000}"/>
    <cellStyle name="Normal 4 6 5 2 3 2 4" xfId="37273" xr:uid="{00000000-0005-0000-0000-00000CB70000}"/>
    <cellStyle name="Normal 4 6 5 2 3 3" xfId="13526" xr:uid="{00000000-0005-0000-0000-00000DB70000}"/>
    <cellStyle name="Normal 4 6 5 2 3 3 2" xfId="27094" xr:uid="{00000000-0005-0000-0000-00000EB70000}"/>
    <cellStyle name="Normal 4 6 5 2 3 3 2 2" xfId="54227" xr:uid="{00000000-0005-0000-0000-00000FB70000}"/>
    <cellStyle name="Normal 4 6 5 2 3 3 3" xfId="40665" xr:uid="{00000000-0005-0000-0000-000010B70000}"/>
    <cellStyle name="Normal 4 6 5 2 3 4" xfId="20313" xr:uid="{00000000-0005-0000-0000-000011B70000}"/>
    <cellStyle name="Normal 4 6 5 2 3 4 2" xfId="47446" xr:uid="{00000000-0005-0000-0000-000012B70000}"/>
    <cellStyle name="Normal 4 6 5 2 3 5" xfId="33884" xr:uid="{00000000-0005-0000-0000-000013B70000}"/>
    <cellStyle name="Normal 4 6 5 2 4" xfId="10124" xr:uid="{00000000-0005-0000-0000-000014B70000}"/>
    <cellStyle name="Normal 4 6 5 2 4 2" xfId="16913" xr:uid="{00000000-0005-0000-0000-000015B70000}"/>
    <cellStyle name="Normal 4 6 5 2 4 2 2" xfId="30481" xr:uid="{00000000-0005-0000-0000-000016B70000}"/>
    <cellStyle name="Normal 4 6 5 2 4 2 2 2" xfId="57614" xr:uid="{00000000-0005-0000-0000-000017B70000}"/>
    <cellStyle name="Normal 4 6 5 2 4 2 3" xfId="44052" xr:uid="{00000000-0005-0000-0000-000018B70000}"/>
    <cellStyle name="Normal 4 6 5 2 4 3" xfId="23700" xr:uid="{00000000-0005-0000-0000-000019B70000}"/>
    <cellStyle name="Normal 4 6 5 2 4 3 2" xfId="50833" xr:uid="{00000000-0005-0000-0000-00001AB70000}"/>
    <cellStyle name="Normal 4 6 5 2 4 4" xfId="37271" xr:uid="{00000000-0005-0000-0000-00001BB70000}"/>
    <cellStyle name="Normal 4 6 5 2 5" xfId="13524" xr:uid="{00000000-0005-0000-0000-00001CB70000}"/>
    <cellStyle name="Normal 4 6 5 2 5 2" xfId="27092" xr:uid="{00000000-0005-0000-0000-00001DB70000}"/>
    <cellStyle name="Normal 4 6 5 2 5 2 2" xfId="54225" xr:uid="{00000000-0005-0000-0000-00001EB70000}"/>
    <cellStyle name="Normal 4 6 5 2 5 3" xfId="40663" xr:uid="{00000000-0005-0000-0000-00001FB70000}"/>
    <cellStyle name="Normal 4 6 5 2 6" xfId="20311" xr:uid="{00000000-0005-0000-0000-000020B70000}"/>
    <cellStyle name="Normal 4 6 5 2 6 2" xfId="47444" xr:uid="{00000000-0005-0000-0000-000021B70000}"/>
    <cellStyle name="Normal 4 6 5 2 7" xfId="33882" xr:uid="{00000000-0005-0000-0000-000022B70000}"/>
    <cellStyle name="Normal 4 6 5 3" xfId="6595" xr:uid="{00000000-0005-0000-0000-000023B70000}"/>
    <cellStyle name="Normal 4 6 5 3 2" xfId="10127" xr:uid="{00000000-0005-0000-0000-000024B70000}"/>
    <cellStyle name="Normal 4 6 5 3 2 2" xfId="16916" xr:uid="{00000000-0005-0000-0000-000025B70000}"/>
    <cellStyle name="Normal 4 6 5 3 2 2 2" xfId="30484" xr:uid="{00000000-0005-0000-0000-000026B70000}"/>
    <cellStyle name="Normal 4 6 5 3 2 2 2 2" xfId="57617" xr:uid="{00000000-0005-0000-0000-000027B70000}"/>
    <cellStyle name="Normal 4 6 5 3 2 2 3" xfId="44055" xr:uid="{00000000-0005-0000-0000-000028B70000}"/>
    <cellStyle name="Normal 4 6 5 3 2 3" xfId="23703" xr:uid="{00000000-0005-0000-0000-000029B70000}"/>
    <cellStyle name="Normal 4 6 5 3 2 3 2" xfId="50836" xr:uid="{00000000-0005-0000-0000-00002AB70000}"/>
    <cellStyle name="Normal 4 6 5 3 2 4" xfId="37274" xr:uid="{00000000-0005-0000-0000-00002BB70000}"/>
    <cellStyle name="Normal 4 6 5 3 3" xfId="13527" xr:uid="{00000000-0005-0000-0000-00002CB70000}"/>
    <cellStyle name="Normal 4 6 5 3 3 2" xfId="27095" xr:uid="{00000000-0005-0000-0000-00002DB70000}"/>
    <cellStyle name="Normal 4 6 5 3 3 2 2" xfId="54228" xr:uid="{00000000-0005-0000-0000-00002EB70000}"/>
    <cellStyle name="Normal 4 6 5 3 3 3" xfId="40666" xr:uid="{00000000-0005-0000-0000-00002FB70000}"/>
    <cellStyle name="Normal 4 6 5 3 4" xfId="20314" xr:uid="{00000000-0005-0000-0000-000030B70000}"/>
    <cellStyle name="Normal 4 6 5 3 4 2" xfId="47447" xr:uid="{00000000-0005-0000-0000-000031B70000}"/>
    <cellStyle name="Normal 4 6 5 3 5" xfId="33885" xr:uid="{00000000-0005-0000-0000-000032B70000}"/>
    <cellStyle name="Normal 4 6 5 4" xfId="6596" xr:uid="{00000000-0005-0000-0000-000033B70000}"/>
    <cellStyle name="Normal 4 6 5 4 2" xfId="10128" xr:uid="{00000000-0005-0000-0000-000034B70000}"/>
    <cellStyle name="Normal 4 6 5 4 2 2" xfId="16917" xr:uid="{00000000-0005-0000-0000-000035B70000}"/>
    <cellStyle name="Normal 4 6 5 4 2 2 2" xfId="30485" xr:uid="{00000000-0005-0000-0000-000036B70000}"/>
    <cellStyle name="Normal 4 6 5 4 2 2 2 2" xfId="57618" xr:uid="{00000000-0005-0000-0000-000037B70000}"/>
    <cellStyle name="Normal 4 6 5 4 2 2 3" xfId="44056" xr:uid="{00000000-0005-0000-0000-000038B70000}"/>
    <cellStyle name="Normal 4 6 5 4 2 3" xfId="23704" xr:uid="{00000000-0005-0000-0000-000039B70000}"/>
    <cellStyle name="Normal 4 6 5 4 2 3 2" xfId="50837" xr:uid="{00000000-0005-0000-0000-00003AB70000}"/>
    <cellStyle name="Normal 4 6 5 4 2 4" xfId="37275" xr:uid="{00000000-0005-0000-0000-00003BB70000}"/>
    <cellStyle name="Normal 4 6 5 4 3" xfId="13528" xr:uid="{00000000-0005-0000-0000-00003CB70000}"/>
    <cellStyle name="Normal 4 6 5 4 3 2" xfId="27096" xr:uid="{00000000-0005-0000-0000-00003DB70000}"/>
    <cellStyle name="Normal 4 6 5 4 3 2 2" xfId="54229" xr:uid="{00000000-0005-0000-0000-00003EB70000}"/>
    <cellStyle name="Normal 4 6 5 4 3 3" xfId="40667" xr:uid="{00000000-0005-0000-0000-00003FB70000}"/>
    <cellStyle name="Normal 4 6 5 4 4" xfId="20315" xr:uid="{00000000-0005-0000-0000-000040B70000}"/>
    <cellStyle name="Normal 4 6 5 4 4 2" xfId="47448" xr:uid="{00000000-0005-0000-0000-000041B70000}"/>
    <cellStyle name="Normal 4 6 5 4 5" xfId="33886" xr:uid="{00000000-0005-0000-0000-000042B70000}"/>
    <cellStyle name="Normal 4 6 5 5" xfId="10123" xr:uid="{00000000-0005-0000-0000-000043B70000}"/>
    <cellStyle name="Normal 4 6 5 5 2" xfId="16912" xr:uid="{00000000-0005-0000-0000-000044B70000}"/>
    <cellStyle name="Normal 4 6 5 5 2 2" xfId="30480" xr:uid="{00000000-0005-0000-0000-000045B70000}"/>
    <cellStyle name="Normal 4 6 5 5 2 2 2" xfId="57613" xr:uid="{00000000-0005-0000-0000-000046B70000}"/>
    <cellStyle name="Normal 4 6 5 5 2 3" xfId="44051" xr:uid="{00000000-0005-0000-0000-000047B70000}"/>
    <cellStyle name="Normal 4 6 5 5 3" xfId="23699" xr:uid="{00000000-0005-0000-0000-000048B70000}"/>
    <cellStyle name="Normal 4 6 5 5 3 2" xfId="50832" xr:uid="{00000000-0005-0000-0000-000049B70000}"/>
    <cellStyle name="Normal 4 6 5 5 4" xfId="37270" xr:uid="{00000000-0005-0000-0000-00004AB70000}"/>
    <cellStyle name="Normal 4 6 5 6" xfId="13523" xr:uid="{00000000-0005-0000-0000-00004BB70000}"/>
    <cellStyle name="Normal 4 6 5 6 2" xfId="27091" xr:uid="{00000000-0005-0000-0000-00004CB70000}"/>
    <cellStyle name="Normal 4 6 5 6 2 2" xfId="54224" xr:uid="{00000000-0005-0000-0000-00004DB70000}"/>
    <cellStyle name="Normal 4 6 5 6 3" xfId="40662" xr:uid="{00000000-0005-0000-0000-00004EB70000}"/>
    <cellStyle name="Normal 4 6 5 7" xfId="20310" xr:uid="{00000000-0005-0000-0000-00004FB70000}"/>
    <cellStyle name="Normal 4 6 5 7 2" xfId="47443" xr:uid="{00000000-0005-0000-0000-000050B70000}"/>
    <cellStyle name="Normal 4 6 5 8" xfId="33881" xr:uid="{00000000-0005-0000-0000-000051B70000}"/>
    <cellStyle name="Normal 4 6 6" xfId="6597" xr:uid="{00000000-0005-0000-0000-000052B70000}"/>
    <cellStyle name="Normal 4 6 6 2" xfId="6598" xr:uid="{00000000-0005-0000-0000-000053B70000}"/>
    <cellStyle name="Normal 4 6 6 2 2" xfId="10130" xr:uid="{00000000-0005-0000-0000-000054B70000}"/>
    <cellStyle name="Normal 4 6 6 2 2 2" xfId="16919" xr:uid="{00000000-0005-0000-0000-000055B70000}"/>
    <cellStyle name="Normal 4 6 6 2 2 2 2" xfId="30487" xr:uid="{00000000-0005-0000-0000-000056B70000}"/>
    <cellStyle name="Normal 4 6 6 2 2 2 2 2" xfId="57620" xr:uid="{00000000-0005-0000-0000-000057B70000}"/>
    <cellStyle name="Normal 4 6 6 2 2 2 3" xfId="44058" xr:uid="{00000000-0005-0000-0000-000058B70000}"/>
    <cellStyle name="Normal 4 6 6 2 2 3" xfId="23706" xr:uid="{00000000-0005-0000-0000-000059B70000}"/>
    <cellStyle name="Normal 4 6 6 2 2 3 2" xfId="50839" xr:uid="{00000000-0005-0000-0000-00005AB70000}"/>
    <cellStyle name="Normal 4 6 6 2 2 4" xfId="37277" xr:uid="{00000000-0005-0000-0000-00005BB70000}"/>
    <cellStyle name="Normal 4 6 6 2 3" xfId="13530" xr:uid="{00000000-0005-0000-0000-00005CB70000}"/>
    <cellStyle name="Normal 4 6 6 2 3 2" xfId="27098" xr:uid="{00000000-0005-0000-0000-00005DB70000}"/>
    <cellStyle name="Normal 4 6 6 2 3 2 2" xfId="54231" xr:uid="{00000000-0005-0000-0000-00005EB70000}"/>
    <cellStyle name="Normal 4 6 6 2 3 3" xfId="40669" xr:uid="{00000000-0005-0000-0000-00005FB70000}"/>
    <cellStyle name="Normal 4 6 6 2 4" xfId="20317" xr:uid="{00000000-0005-0000-0000-000060B70000}"/>
    <cellStyle name="Normal 4 6 6 2 4 2" xfId="47450" xr:uid="{00000000-0005-0000-0000-000061B70000}"/>
    <cellStyle name="Normal 4 6 6 2 5" xfId="33888" xr:uid="{00000000-0005-0000-0000-000062B70000}"/>
    <cellStyle name="Normal 4 6 6 3" xfId="6599" xr:uid="{00000000-0005-0000-0000-000063B70000}"/>
    <cellStyle name="Normal 4 6 6 3 2" xfId="10131" xr:uid="{00000000-0005-0000-0000-000064B70000}"/>
    <cellStyle name="Normal 4 6 6 3 2 2" xfId="16920" xr:uid="{00000000-0005-0000-0000-000065B70000}"/>
    <cellStyle name="Normal 4 6 6 3 2 2 2" xfId="30488" xr:uid="{00000000-0005-0000-0000-000066B70000}"/>
    <cellStyle name="Normal 4 6 6 3 2 2 2 2" xfId="57621" xr:uid="{00000000-0005-0000-0000-000067B70000}"/>
    <cellStyle name="Normal 4 6 6 3 2 2 3" xfId="44059" xr:uid="{00000000-0005-0000-0000-000068B70000}"/>
    <cellStyle name="Normal 4 6 6 3 2 3" xfId="23707" xr:uid="{00000000-0005-0000-0000-000069B70000}"/>
    <cellStyle name="Normal 4 6 6 3 2 3 2" xfId="50840" xr:uid="{00000000-0005-0000-0000-00006AB70000}"/>
    <cellStyle name="Normal 4 6 6 3 2 4" xfId="37278" xr:uid="{00000000-0005-0000-0000-00006BB70000}"/>
    <cellStyle name="Normal 4 6 6 3 3" xfId="13531" xr:uid="{00000000-0005-0000-0000-00006CB70000}"/>
    <cellStyle name="Normal 4 6 6 3 3 2" xfId="27099" xr:uid="{00000000-0005-0000-0000-00006DB70000}"/>
    <cellStyle name="Normal 4 6 6 3 3 2 2" xfId="54232" xr:uid="{00000000-0005-0000-0000-00006EB70000}"/>
    <cellStyle name="Normal 4 6 6 3 3 3" xfId="40670" xr:uid="{00000000-0005-0000-0000-00006FB70000}"/>
    <cellStyle name="Normal 4 6 6 3 4" xfId="20318" xr:uid="{00000000-0005-0000-0000-000070B70000}"/>
    <cellStyle name="Normal 4 6 6 3 4 2" xfId="47451" xr:uid="{00000000-0005-0000-0000-000071B70000}"/>
    <cellStyle name="Normal 4 6 6 3 5" xfId="33889" xr:uid="{00000000-0005-0000-0000-000072B70000}"/>
    <cellStyle name="Normal 4 6 6 4" xfId="10129" xr:uid="{00000000-0005-0000-0000-000073B70000}"/>
    <cellStyle name="Normal 4 6 6 4 2" xfId="16918" xr:uid="{00000000-0005-0000-0000-000074B70000}"/>
    <cellStyle name="Normal 4 6 6 4 2 2" xfId="30486" xr:uid="{00000000-0005-0000-0000-000075B70000}"/>
    <cellStyle name="Normal 4 6 6 4 2 2 2" xfId="57619" xr:uid="{00000000-0005-0000-0000-000076B70000}"/>
    <cellStyle name="Normal 4 6 6 4 2 3" xfId="44057" xr:uid="{00000000-0005-0000-0000-000077B70000}"/>
    <cellStyle name="Normal 4 6 6 4 3" xfId="23705" xr:uid="{00000000-0005-0000-0000-000078B70000}"/>
    <cellStyle name="Normal 4 6 6 4 3 2" xfId="50838" xr:uid="{00000000-0005-0000-0000-000079B70000}"/>
    <cellStyle name="Normal 4 6 6 4 4" xfId="37276" xr:uid="{00000000-0005-0000-0000-00007AB70000}"/>
    <cellStyle name="Normal 4 6 6 5" xfId="13529" xr:uid="{00000000-0005-0000-0000-00007BB70000}"/>
    <cellStyle name="Normal 4 6 6 5 2" xfId="27097" xr:uid="{00000000-0005-0000-0000-00007CB70000}"/>
    <cellStyle name="Normal 4 6 6 5 2 2" xfId="54230" xr:uid="{00000000-0005-0000-0000-00007DB70000}"/>
    <cellStyle name="Normal 4 6 6 5 3" xfId="40668" xr:uid="{00000000-0005-0000-0000-00007EB70000}"/>
    <cellStyle name="Normal 4 6 6 6" xfId="20316" xr:uid="{00000000-0005-0000-0000-00007FB70000}"/>
    <cellStyle name="Normal 4 6 6 6 2" xfId="47449" xr:uid="{00000000-0005-0000-0000-000080B70000}"/>
    <cellStyle name="Normal 4 6 6 7" xfId="33887" xr:uid="{00000000-0005-0000-0000-000081B70000}"/>
    <cellStyle name="Normal 4 6 7" xfId="6600" xr:uid="{00000000-0005-0000-0000-000082B70000}"/>
    <cellStyle name="Normal 4 6 7 2" xfId="6601" xr:uid="{00000000-0005-0000-0000-000083B70000}"/>
    <cellStyle name="Normal 4 6 7 2 2" xfId="10133" xr:uid="{00000000-0005-0000-0000-000084B70000}"/>
    <cellStyle name="Normal 4 6 7 2 2 2" xfId="16922" xr:uid="{00000000-0005-0000-0000-000085B70000}"/>
    <cellStyle name="Normal 4 6 7 2 2 2 2" xfId="30490" xr:uid="{00000000-0005-0000-0000-000086B70000}"/>
    <cellStyle name="Normal 4 6 7 2 2 2 2 2" xfId="57623" xr:uid="{00000000-0005-0000-0000-000087B70000}"/>
    <cellStyle name="Normal 4 6 7 2 2 2 3" xfId="44061" xr:uid="{00000000-0005-0000-0000-000088B70000}"/>
    <cellStyle name="Normal 4 6 7 2 2 3" xfId="23709" xr:uid="{00000000-0005-0000-0000-000089B70000}"/>
    <cellStyle name="Normal 4 6 7 2 2 3 2" xfId="50842" xr:uid="{00000000-0005-0000-0000-00008AB70000}"/>
    <cellStyle name="Normal 4 6 7 2 2 4" xfId="37280" xr:uid="{00000000-0005-0000-0000-00008BB70000}"/>
    <cellStyle name="Normal 4 6 7 2 3" xfId="13533" xr:uid="{00000000-0005-0000-0000-00008CB70000}"/>
    <cellStyle name="Normal 4 6 7 2 3 2" xfId="27101" xr:uid="{00000000-0005-0000-0000-00008DB70000}"/>
    <cellStyle name="Normal 4 6 7 2 3 2 2" xfId="54234" xr:uid="{00000000-0005-0000-0000-00008EB70000}"/>
    <cellStyle name="Normal 4 6 7 2 3 3" xfId="40672" xr:uid="{00000000-0005-0000-0000-00008FB70000}"/>
    <cellStyle name="Normal 4 6 7 2 4" xfId="20320" xr:uid="{00000000-0005-0000-0000-000090B70000}"/>
    <cellStyle name="Normal 4 6 7 2 4 2" xfId="47453" xr:uid="{00000000-0005-0000-0000-000091B70000}"/>
    <cellStyle name="Normal 4 6 7 2 5" xfId="33891" xr:uid="{00000000-0005-0000-0000-000092B70000}"/>
    <cellStyle name="Normal 4 6 7 3" xfId="6602" xr:uid="{00000000-0005-0000-0000-000093B70000}"/>
    <cellStyle name="Normal 4 6 7 3 2" xfId="10134" xr:uid="{00000000-0005-0000-0000-000094B70000}"/>
    <cellStyle name="Normal 4 6 7 3 2 2" xfId="16923" xr:uid="{00000000-0005-0000-0000-000095B70000}"/>
    <cellStyle name="Normal 4 6 7 3 2 2 2" xfId="30491" xr:uid="{00000000-0005-0000-0000-000096B70000}"/>
    <cellStyle name="Normal 4 6 7 3 2 2 2 2" xfId="57624" xr:uid="{00000000-0005-0000-0000-000097B70000}"/>
    <cellStyle name="Normal 4 6 7 3 2 2 3" xfId="44062" xr:uid="{00000000-0005-0000-0000-000098B70000}"/>
    <cellStyle name="Normal 4 6 7 3 2 3" xfId="23710" xr:uid="{00000000-0005-0000-0000-000099B70000}"/>
    <cellStyle name="Normal 4 6 7 3 2 3 2" xfId="50843" xr:uid="{00000000-0005-0000-0000-00009AB70000}"/>
    <cellStyle name="Normal 4 6 7 3 2 4" xfId="37281" xr:uid="{00000000-0005-0000-0000-00009BB70000}"/>
    <cellStyle name="Normal 4 6 7 3 3" xfId="13534" xr:uid="{00000000-0005-0000-0000-00009CB70000}"/>
    <cellStyle name="Normal 4 6 7 3 3 2" xfId="27102" xr:uid="{00000000-0005-0000-0000-00009DB70000}"/>
    <cellStyle name="Normal 4 6 7 3 3 2 2" xfId="54235" xr:uid="{00000000-0005-0000-0000-00009EB70000}"/>
    <cellStyle name="Normal 4 6 7 3 3 3" xfId="40673" xr:uid="{00000000-0005-0000-0000-00009FB70000}"/>
    <cellStyle name="Normal 4 6 7 3 4" xfId="20321" xr:uid="{00000000-0005-0000-0000-0000A0B70000}"/>
    <cellStyle name="Normal 4 6 7 3 4 2" xfId="47454" xr:uid="{00000000-0005-0000-0000-0000A1B70000}"/>
    <cellStyle name="Normal 4 6 7 3 5" xfId="33892" xr:uid="{00000000-0005-0000-0000-0000A2B70000}"/>
    <cellStyle name="Normal 4 6 7 4" xfId="10132" xr:uid="{00000000-0005-0000-0000-0000A3B70000}"/>
    <cellStyle name="Normal 4 6 7 4 2" xfId="16921" xr:uid="{00000000-0005-0000-0000-0000A4B70000}"/>
    <cellStyle name="Normal 4 6 7 4 2 2" xfId="30489" xr:uid="{00000000-0005-0000-0000-0000A5B70000}"/>
    <cellStyle name="Normal 4 6 7 4 2 2 2" xfId="57622" xr:uid="{00000000-0005-0000-0000-0000A6B70000}"/>
    <cellStyle name="Normal 4 6 7 4 2 3" xfId="44060" xr:uid="{00000000-0005-0000-0000-0000A7B70000}"/>
    <cellStyle name="Normal 4 6 7 4 3" xfId="23708" xr:uid="{00000000-0005-0000-0000-0000A8B70000}"/>
    <cellStyle name="Normal 4 6 7 4 3 2" xfId="50841" xr:uid="{00000000-0005-0000-0000-0000A9B70000}"/>
    <cellStyle name="Normal 4 6 7 4 4" xfId="37279" xr:uid="{00000000-0005-0000-0000-0000AAB70000}"/>
    <cellStyle name="Normal 4 6 7 5" xfId="13532" xr:uid="{00000000-0005-0000-0000-0000ABB70000}"/>
    <cellStyle name="Normal 4 6 7 5 2" xfId="27100" xr:uid="{00000000-0005-0000-0000-0000ACB70000}"/>
    <cellStyle name="Normal 4 6 7 5 2 2" xfId="54233" xr:uid="{00000000-0005-0000-0000-0000ADB70000}"/>
    <cellStyle name="Normal 4 6 7 5 3" xfId="40671" xr:uid="{00000000-0005-0000-0000-0000AEB70000}"/>
    <cellStyle name="Normal 4 6 7 6" xfId="20319" xr:uid="{00000000-0005-0000-0000-0000AFB70000}"/>
    <cellStyle name="Normal 4 6 7 6 2" xfId="47452" xr:uid="{00000000-0005-0000-0000-0000B0B70000}"/>
    <cellStyle name="Normal 4 6 7 7" xfId="33890" xr:uid="{00000000-0005-0000-0000-0000B1B70000}"/>
    <cellStyle name="Normal 4 6 8" xfId="6603" xr:uid="{00000000-0005-0000-0000-0000B2B70000}"/>
    <cellStyle name="Normal 4 6 8 2" xfId="10135" xr:uid="{00000000-0005-0000-0000-0000B3B70000}"/>
    <cellStyle name="Normal 4 6 8 2 2" xfId="16924" xr:uid="{00000000-0005-0000-0000-0000B4B70000}"/>
    <cellStyle name="Normal 4 6 8 2 2 2" xfId="30492" xr:uid="{00000000-0005-0000-0000-0000B5B70000}"/>
    <cellStyle name="Normal 4 6 8 2 2 2 2" xfId="57625" xr:uid="{00000000-0005-0000-0000-0000B6B70000}"/>
    <cellStyle name="Normal 4 6 8 2 2 3" xfId="44063" xr:uid="{00000000-0005-0000-0000-0000B7B70000}"/>
    <cellStyle name="Normal 4 6 8 2 3" xfId="23711" xr:uid="{00000000-0005-0000-0000-0000B8B70000}"/>
    <cellStyle name="Normal 4 6 8 2 3 2" xfId="50844" xr:uid="{00000000-0005-0000-0000-0000B9B70000}"/>
    <cellStyle name="Normal 4 6 8 2 4" xfId="37282" xr:uid="{00000000-0005-0000-0000-0000BAB70000}"/>
    <cellStyle name="Normal 4 6 8 3" xfId="13535" xr:uid="{00000000-0005-0000-0000-0000BBB70000}"/>
    <cellStyle name="Normal 4 6 8 3 2" xfId="27103" xr:uid="{00000000-0005-0000-0000-0000BCB70000}"/>
    <cellStyle name="Normal 4 6 8 3 2 2" xfId="54236" xr:uid="{00000000-0005-0000-0000-0000BDB70000}"/>
    <cellStyle name="Normal 4 6 8 3 3" xfId="40674" xr:uid="{00000000-0005-0000-0000-0000BEB70000}"/>
    <cellStyle name="Normal 4 6 8 4" xfId="20322" xr:uid="{00000000-0005-0000-0000-0000BFB70000}"/>
    <cellStyle name="Normal 4 6 8 4 2" xfId="47455" xr:uid="{00000000-0005-0000-0000-0000C0B70000}"/>
    <cellStyle name="Normal 4 6 8 5" xfId="33893" xr:uid="{00000000-0005-0000-0000-0000C1B70000}"/>
    <cellStyle name="Normal 4 6 9" xfId="6604" xr:uid="{00000000-0005-0000-0000-0000C2B70000}"/>
    <cellStyle name="Normal 4 6 9 2" xfId="10136" xr:uid="{00000000-0005-0000-0000-0000C3B70000}"/>
    <cellStyle name="Normal 4 6 9 2 2" xfId="16925" xr:uid="{00000000-0005-0000-0000-0000C4B70000}"/>
    <cellStyle name="Normal 4 6 9 2 2 2" xfId="30493" xr:uid="{00000000-0005-0000-0000-0000C5B70000}"/>
    <cellStyle name="Normal 4 6 9 2 2 2 2" xfId="57626" xr:uid="{00000000-0005-0000-0000-0000C6B70000}"/>
    <cellStyle name="Normal 4 6 9 2 2 3" xfId="44064" xr:uid="{00000000-0005-0000-0000-0000C7B70000}"/>
    <cellStyle name="Normal 4 6 9 2 3" xfId="23712" xr:uid="{00000000-0005-0000-0000-0000C8B70000}"/>
    <cellStyle name="Normal 4 6 9 2 3 2" xfId="50845" xr:uid="{00000000-0005-0000-0000-0000C9B70000}"/>
    <cellStyle name="Normal 4 6 9 2 4" xfId="37283" xr:uid="{00000000-0005-0000-0000-0000CAB70000}"/>
    <cellStyle name="Normal 4 6 9 3" xfId="13536" xr:uid="{00000000-0005-0000-0000-0000CBB70000}"/>
    <cellStyle name="Normal 4 6 9 3 2" xfId="27104" xr:uid="{00000000-0005-0000-0000-0000CCB70000}"/>
    <cellStyle name="Normal 4 6 9 3 2 2" xfId="54237" xr:uid="{00000000-0005-0000-0000-0000CDB70000}"/>
    <cellStyle name="Normal 4 6 9 3 3" xfId="40675" xr:uid="{00000000-0005-0000-0000-0000CEB70000}"/>
    <cellStyle name="Normal 4 6 9 4" xfId="20323" xr:uid="{00000000-0005-0000-0000-0000CFB70000}"/>
    <cellStyle name="Normal 4 6 9 4 2" xfId="47456" xr:uid="{00000000-0005-0000-0000-0000D0B70000}"/>
    <cellStyle name="Normal 4 6 9 5" xfId="33894" xr:uid="{00000000-0005-0000-0000-0000D1B70000}"/>
    <cellStyle name="Normal 4 7" xfId="2770" xr:uid="{00000000-0005-0000-0000-0000D2B70000}"/>
    <cellStyle name="Normal 4 7 2" xfId="6605" xr:uid="{00000000-0005-0000-0000-0000D3B70000}"/>
    <cellStyle name="Normal 4 7 2 2" xfId="6606" xr:uid="{00000000-0005-0000-0000-0000D4B70000}"/>
    <cellStyle name="Normal 4 7 2 2 2" xfId="6607" xr:uid="{00000000-0005-0000-0000-0000D5B70000}"/>
    <cellStyle name="Normal 4 7 2 2 2 2" xfId="10139" xr:uid="{00000000-0005-0000-0000-0000D6B70000}"/>
    <cellStyle name="Normal 4 7 2 2 2 2 2" xfId="16928" xr:uid="{00000000-0005-0000-0000-0000D7B70000}"/>
    <cellStyle name="Normal 4 7 2 2 2 2 2 2" xfId="30496" xr:uid="{00000000-0005-0000-0000-0000D8B70000}"/>
    <cellStyle name="Normal 4 7 2 2 2 2 2 2 2" xfId="57629" xr:uid="{00000000-0005-0000-0000-0000D9B70000}"/>
    <cellStyle name="Normal 4 7 2 2 2 2 2 3" xfId="44067" xr:uid="{00000000-0005-0000-0000-0000DAB70000}"/>
    <cellStyle name="Normal 4 7 2 2 2 2 3" xfId="23715" xr:uid="{00000000-0005-0000-0000-0000DBB70000}"/>
    <cellStyle name="Normal 4 7 2 2 2 2 3 2" xfId="50848" xr:uid="{00000000-0005-0000-0000-0000DCB70000}"/>
    <cellStyle name="Normal 4 7 2 2 2 2 4" xfId="37286" xr:uid="{00000000-0005-0000-0000-0000DDB70000}"/>
    <cellStyle name="Normal 4 7 2 2 2 3" xfId="13539" xr:uid="{00000000-0005-0000-0000-0000DEB70000}"/>
    <cellStyle name="Normal 4 7 2 2 2 3 2" xfId="27107" xr:uid="{00000000-0005-0000-0000-0000DFB70000}"/>
    <cellStyle name="Normal 4 7 2 2 2 3 2 2" xfId="54240" xr:uid="{00000000-0005-0000-0000-0000E0B70000}"/>
    <cellStyle name="Normal 4 7 2 2 2 3 3" xfId="40678" xr:uid="{00000000-0005-0000-0000-0000E1B70000}"/>
    <cellStyle name="Normal 4 7 2 2 2 4" xfId="20326" xr:uid="{00000000-0005-0000-0000-0000E2B70000}"/>
    <cellStyle name="Normal 4 7 2 2 2 4 2" xfId="47459" xr:uid="{00000000-0005-0000-0000-0000E3B70000}"/>
    <cellStyle name="Normal 4 7 2 2 2 5" xfId="33897" xr:uid="{00000000-0005-0000-0000-0000E4B70000}"/>
    <cellStyle name="Normal 4 7 2 2 3" xfId="6608" xr:uid="{00000000-0005-0000-0000-0000E5B70000}"/>
    <cellStyle name="Normal 4 7 2 2 3 2" xfId="10140" xr:uid="{00000000-0005-0000-0000-0000E6B70000}"/>
    <cellStyle name="Normal 4 7 2 2 3 2 2" xfId="16929" xr:uid="{00000000-0005-0000-0000-0000E7B70000}"/>
    <cellStyle name="Normal 4 7 2 2 3 2 2 2" xfId="30497" xr:uid="{00000000-0005-0000-0000-0000E8B70000}"/>
    <cellStyle name="Normal 4 7 2 2 3 2 2 2 2" xfId="57630" xr:uid="{00000000-0005-0000-0000-0000E9B70000}"/>
    <cellStyle name="Normal 4 7 2 2 3 2 2 3" xfId="44068" xr:uid="{00000000-0005-0000-0000-0000EAB70000}"/>
    <cellStyle name="Normal 4 7 2 2 3 2 3" xfId="23716" xr:uid="{00000000-0005-0000-0000-0000EBB70000}"/>
    <cellStyle name="Normal 4 7 2 2 3 2 3 2" xfId="50849" xr:uid="{00000000-0005-0000-0000-0000ECB70000}"/>
    <cellStyle name="Normal 4 7 2 2 3 2 4" xfId="37287" xr:uid="{00000000-0005-0000-0000-0000EDB70000}"/>
    <cellStyle name="Normal 4 7 2 2 3 3" xfId="13540" xr:uid="{00000000-0005-0000-0000-0000EEB70000}"/>
    <cellStyle name="Normal 4 7 2 2 3 3 2" xfId="27108" xr:uid="{00000000-0005-0000-0000-0000EFB70000}"/>
    <cellStyle name="Normal 4 7 2 2 3 3 2 2" xfId="54241" xr:uid="{00000000-0005-0000-0000-0000F0B70000}"/>
    <cellStyle name="Normal 4 7 2 2 3 3 3" xfId="40679" xr:uid="{00000000-0005-0000-0000-0000F1B70000}"/>
    <cellStyle name="Normal 4 7 2 2 3 4" xfId="20327" xr:uid="{00000000-0005-0000-0000-0000F2B70000}"/>
    <cellStyle name="Normal 4 7 2 2 3 4 2" xfId="47460" xr:uid="{00000000-0005-0000-0000-0000F3B70000}"/>
    <cellStyle name="Normal 4 7 2 2 3 5" xfId="33898" xr:uid="{00000000-0005-0000-0000-0000F4B70000}"/>
    <cellStyle name="Normal 4 7 2 2 4" xfId="10138" xr:uid="{00000000-0005-0000-0000-0000F5B70000}"/>
    <cellStyle name="Normal 4 7 2 2 4 2" xfId="16927" xr:uid="{00000000-0005-0000-0000-0000F6B70000}"/>
    <cellStyle name="Normal 4 7 2 2 4 2 2" xfId="30495" xr:uid="{00000000-0005-0000-0000-0000F7B70000}"/>
    <cellStyle name="Normal 4 7 2 2 4 2 2 2" xfId="57628" xr:uid="{00000000-0005-0000-0000-0000F8B70000}"/>
    <cellStyle name="Normal 4 7 2 2 4 2 3" xfId="44066" xr:uid="{00000000-0005-0000-0000-0000F9B70000}"/>
    <cellStyle name="Normal 4 7 2 2 4 3" xfId="23714" xr:uid="{00000000-0005-0000-0000-0000FAB70000}"/>
    <cellStyle name="Normal 4 7 2 2 4 3 2" xfId="50847" xr:uid="{00000000-0005-0000-0000-0000FBB70000}"/>
    <cellStyle name="Normal 4 7 2 2 4 4" xfId="37285" xr:uid="{00000000-0005-0000-0000-0000FCB70000}"/>
    <cellStyle name="Normal 4 7 2 2 5" xfId="13538" xr:uid="{00000000-0005-0000-0000-0000FDB70000}"/>
    <cellStyle name="Normal 4 7 2 2 5 2" xfId="27106" xr:uid="{00000000-0005-0000-0000-0000FEB70000}"/>
    <cellStyle name="Normal 4 7 2 2 5 2 2" xfId="54239" xr:uid="{00000000-0005-0000-0000-0000FFB70000}"/>
    <cellStyle name="Normal 4 7 2 2 5 3" xfId="40677" xr:uid="{00000000-0005-0000-0000-000000B80000}"/>
    <cellStyle name="Normal 4 7 2 2 6" xfId="20325" xr:uid="{00000000-0005-0000-0000-000001B80000}"/>
    <cellStyle name="Normal 4 7 2 2 6 2" xfId="47458" xr:uid="{00000000-0005-0000-0000-000002B80000}"/>
    <cellStyle name="Normal 4 7 2 2 7" xfId="33896" xr:uid="{00000000-0005-0000-0000-000003B80000}"/>
    <cellStyle name="Normal 4 7 2 3" xfId="6609" xr:uid="{00000000-0005-0000-0000-000004B80000}"/>
    <cellStyle name="Normal 4 7 2 3 2" xfId="6610" xr:uid="{00000000-0005-0000-0000-000005B80000}"/>
    <cellStyle name="Normal 4 7 2 3 2 2" xfId="10142" xr:uid="{00000000-0005-0000-0000-000006B80000}"/>
    <cellStyle name="Normal 4 7 2 3 2 2 2" xfId="16931" xr:uid="{00000000-0005-0000-0000-000007B80000}"/>
    <cellStyle name="Normal 4 7 2 3 2 2 2 2" xfId="30499" xr:uid="{00000000-0005-0000-0000-000008B80000}"/>
    <cellStyle name="Normal 4 7 2 3 2 2 2 2 2" xfId="57632" xr:uid="{00000000-0005-0000-0000-000009B80000}"/>
    <cellStyle name="Normal 4 7 2 3 2 2 2 3" xfId="44070" xr:uid="{00000000-0005-0000-0000-00000AB80000}"/>
    <cellStyle name="Normal 4 7 2 3 2 2 3" xfId="23718" xr:uid="{00000000-0005-0000-0000-00000BB80000}"/>
    <cellStyle name="Normal 4 7 2 3 2 2 3 2" xfId="50851" xr:uid="{00000000-0005-0000-0000-00000CB80000}"/>
    <cellStyle name="Normal 4 7 2 3 2 2 4" xfId="37289" xr:uid="{00000000-0005-0000-0000-00000DB80000}"/>
    <cellStyle name="Normal 4 7 2 3 2 3" xfId="13542" xr:uid="{00000000-0005-0000-0000-00000EB80000}"/>
    <cellStyle name="Normal 4 7 2 3 2 3 2" xfId="27110" xr:uid="{00000000-0005-0000-0000-00000FB80000}"/>
    <cellStyle name="Normal 4 7 2 3 2 3 2 2" xfId="54243" xr:uid="{00000000-0005-0000-0000-000010B80000}"/>
    <cellStyle name="Normal 4 7 2 3 2 3 3" xfId="40681" xr:uid="{00000000-0005-0000-0000-000011B80000}"/>
    <cellStyle name="Normal 4 7 2 3 2 4" xfId="20329" xr:uid="{00000000-0005-0000-0000-000012B80000}"/>
    <cellStyle name="Normal 4 7 2 3 2 4 2" xfId="47462" xr:uid="{00000000-0005-0000-0000-000013B80000}"/>
    <cellStyle name="Normal 4 7 2 3 2 5" xfId="33900" xr:uid="{00000000-0005-0000-0000-000014B80000}"/>
    <cellStyle name="Normal 4 7 2 3 3" xfId="10141" xr:uid="{00000000-0005-0000-0000-000015B80000}"/>
    <cellStyle name="Normal 4 7 2 3 3 2" xfId="16930" xr:uid="{00000000-0005-0000-0000-000016B80000}"/>
    <cellStyle name="Normal 4 7 2 3 3 2 2" xfId="30498" xr:uid="{00000000-0005-0000-0000-000017B80000}"/>
    <cellStyle name="Normal 4 7 2 3 3 2 2 2" xfId="57631" xr:uid="{00000000-0005-0000-0000-000018B80000}"/>
    <cellStyle name="Normal 4 7 2 3 3 2 3" xfId="44069" xr:uid="{00000000-0005-0000-0000-000019B80000}"/>
    <cellStyle name="Normal 4 7 2 3 3 3" xfId="23717" xr:uid="{00000000-0005-0000-0000-00001AB80000}"/>
    <cellStyle name="Normal 4 7 2 3 3 3 2" xfId="50850" xr:uid="{00000000-0005-0000-0000-00001BB80000}"/>
    <cellStyle name="Normal 4 7 2 3 3 4" xfId="37288" xr:uid="{00000000-0005-0000-0000-00001CB80000}"/>
    <cellStyle name="Normal 4 7 2 3 4" xfId="13541" xr:uid="{00000000-0005-0000-0000-00001DB80000}"/>
    <cellStyle name="Normal 4 7 2 3 4 2" xfId="27109" xr:uid="{00000000-0005-0000-0000-00001EB80000}"/>
    <cellStyle name="Normal 4 7 2 3 4 2 2" xfId="54242" xr:uid="{00000000-0005-0000-0000-00001FB80000}"/>
    <cellStyle name="Normal 4 7 2 3 4 3" xfId="40680" xr:uid="{00000000-0005-0000-0000-000020B80000}"/>
    <cellStyle name="Normal 4 7 2 3 5" xfId="20328" xr:uid="{00000000-0005-0000-0000-000021B80000}"/>
    <cellStyle name="Normal 4 7 2 3 5 2" xfId="47461" xr:uid="{00000000-0005-0000-0000-000022B80000}"/>
    <cellStyle name="Normal 4 7 2 3 6" xfId="33899" xr:uid="{00000000-0005-0000-0000-000023B80000}"/>
    <cellStyle name="Normal 4 7 2 4" xfId="6611" xr:uid="{00000000-0005-0000-0000-000024B80000}"/>
    <cellStyle name="Normal 4 7 2 4 2" xfId="10143" xr:uid="{00000000-0005-0000-0000-000025B80000}"/>
    <cellStyle name="Normal 4 7 2 4 2 2" xfId="16932" xr:uid="{00000000-0005-0000-0000-000026B80000}"/>
    <cellStyle name="Normal 4 7 2 4 2 2 2" xfId="30500" xr:uid="{00000000-0005-0000-0000-000027B80000}"/>
    <cellStyle name="Normal 4 7 2 4 2 2 2 2" xfId="57633" xr:uid="{00000000-0005-0000-0000-000028B80000}"/>
    <cellStyle name="Normal 4 7 2 4 2 2 3" xfId="44071" xr:uid="{00000000-0005-0000-0000-000029B80000}"/>
    <cellStyle name="Normal 4 7 2 4 2 3" xfId="23719" xr:uid="{00000000-0005-0000-0000-00002AB80000}"/>
    <cellStyle name="Normal 4 7 2 4 2 3 2" xfId="50852" xr:uid="{00000000-0005-0000-0000-00002BB80000}"/>
    <cellStyle name="Normal 4 7 2 4 2 4" xfId="37290" xr:uid="{00000000-0005-0000-0000-00002CB80000}"/>
    <cellStyle name="Normal 4 7 2 4 3" xfId="13543" xr:uid="{00000000-0005-0000-0000-00002DB80000}"/>
    <cellStyle name="Normal 4 7 2 4 3 2" xfId="27111" xr:uid="{00000000-0005-0000-0000-00002EB80000}"/>
    <cellStyle name="Normal 4 7 2 4 3 2 2" xfId="54244" xr:uid="{00000000-0005-0000-0000-00002FB80000}"/>
    <cellStyle name="Normal 4 7 2 4 3 3" xfId="40682" xr:uid="{00000000-0005-0000-0000-000030B80000}"/>
    <cellStyle name="Normal 4 7 2 4 4" xfId="20330" xr:uid="{00000000-0005-0000-0000-000031B80000}"/>
    <cellStyle name="Normal 4 7 2 4 4 2" xfId="47463" xr:uid="{00000000-0005-0000-0000-000032B80000}"/>
    <cellStyle name="Normal 4 7 2 4 5" xfId="33901" xr:uid="{00000000-0005-0000-0000-000033B80000}"/>
    <cellStyle name="Normal 4 7 2 5" xfId="6612" xr:uid="{00000000-0005-0000-0000-000034B80000}"/>
    <cellStyle name="Normal 4 7 2 5 2" xfId="10144" xr:uid="{00000000-0005-0000-0000-000035B80000}"/>
    <cellStyle name="Normal 4 7 2 5 2 2" xfId="16933" xr:uid="{00000000-0005-0000-0000-000036B80000}"/>
    <cellStyle name="Normal 4 7 2 5 2 2 2" xfId="30501" xr:uid="{00000000-0005-0000-0000-000037B80000}"/>
    <cellStyle name="Normal 4 7 2 5 2 2 2 2" xfId="57634" xr:uid="{00000000-0005-0000-0000-000038B80000}"/>
    <cellStyle name="Normal 4 7 2 5 2 2 3" xfId="44072" xr:uid="{00000000-0005-0000-0000-000039B80000}"/>
    <cellStyle name="Normal 4 7 2 5 2 3" xfId="23720" xr:uid="{00000000-0005-0000-0000-00003AB80000}"/>
    <cellStyle name="Normal 4 7 2 5 2 3 2" xfId="50853" xr:uid="{00000000-0005-0000-0000-00003BB80000}"/>
    <cellStyle name="Normal 4 7 2 5 2 4" xfId="37291" xr:uid="{00000000-0005-0000-0000-00003CB80000}"/>
    <cellStyle name="Normal 4 7 2 5 3" xfId="13544" xr:uid="{00000000-0005-0000-0000-00003DB80000}"/>
    <cellStyle name="Normal 4 7 2 5 3 2" xfId="27112" xr:uid="{00000000-0005-0000-0000-00003EB80000}"/>
    <cellStyle name="Normal 4 7 2 5 3 2 2" xfId="54245" xr:uid="{00000000-0005-0000-0000-00003FB80000}"/>
    <cellStyle name="Normal 4 7 2 5 3 3" xfId="40683" xr:uid="{00000000-0005-0000-0000-000040B80000}"/>
    <cellStyle name="Normal 4 7 2 5 4" xfId="20331" xr:uid="{00000000-0005-0000-0000-000041B80000}"/>
    <cellStyle name="Normal 4 7 2 5 4 2" xfId="47464" xr:uid="{00000000-0005-0000-0000-000042B80000}"/>
    <cellStyle name="Normal 4 7 2 5 5" xfId="33902" xr:uid="{00000000-0005-0000-0000-000043B80000}"/>
    <cellStyle name="Normal 4 7 2 6" xfId="10137" xr:uid="{00000000-0005-0000-0000-000044B80000}"/>
    <cellStyle name="Normal 4 7 2 6 2" xfId="16926" xr:uid="{00000000-0005-0000-0000-000045B80000}"/>
    <cellStyle name="Normal 4 7 2 6 2 2" xfId="30494" xr:uid="{00000000-0005-0000-0000-000046B80000}"/>
    <cellStyle name="Normal 4 7 2 6 2 2 2" xfId="57627" xr:uid="{00000000-0005-0000-0000-000047B80000}"/>
    <cellStyle name="Normal 4 7 2 6 2 3" xfId="44065" xr:uid="{00000000-0005-0000-0000-000048B80000}"/>
    <cellStyle name="Normal 4 7 2 6 3" xfId="23713" xr:uid="{00000000-0005-0000-0000-000049B80000}"/>
    <cellStyle name="Normal 4 7 2 6 3 2" xfId="50846" xr:uid="{00000000-0005-0000-0000-00004AB80000}"/>
    <cellStyle name="Normal 4 7 2 6 4" xfId="37284" xr:uid="{00000000-0005-0000-0000-00004BB80000}"/>
    <cellStyle name="Normal 4 7 2 7" xfId="13537" xr:uid="{00000000-0005-0000-0000-00004CB80000}"/>
    <cellStyle name="Normal 4 7 2 7 2" xfId="27105" xr:uid="{00000000-0005-0000-0000-00004DB80000}"/>
    <cellStyle name="Normal 4 7 2 7 2 2" xfId="54238" xr:uid="{00000000-0005-0000-0000-00004EB80000}"/>
    <cellStyle name="Normal 4 7 2 7 3" xfId="40676" xr:uid="{00000000-0005-0000-0000-00004FB80000}"/>
    <cellStyle name="Normal 4 7 2 8" xfId="20324" xr:uid="{00000000-0005-0000-0000-000050B80000}"/>
    <cellStyle name="Normal 4 7 2 8 2" xfId="47457" xr:uid="{00000000-0005-0000-0000-000051B80000}"/>
    <cellStyle name="Normal 4 7 2 9" xfId="33895" xr:uid="{00000000-0005-0000-0000-000052B80000}"/>
    <cellStyle name="Normal 4 7 3" xfId="6613" xr:uid="{00000000-0005-0000-0000-000053B80000}"/>
    <cellStyle name="Normal 4 7 3 2" xfId="6614" xr:uid="{00000000-0005-0000-0000-000054B80000}"/>
    <cellStyle name="Normal 4 7 3 2 2" xfId="6615" xr:uid="{00000000-0005-0000-0000-000055B80000}"/>
    <cellStyle name="Normal 4 7 3 2 2 2" xfId="10147" xr:uid="{00000000-0005-0000-0000-000056B80000}"/>
    <cellStyle name="Normal 4 7 3 2 2 2 2" xfId="16936" xr:uid="{00000000-0005-0000-0000-000057B80000}"/>
    <cellStyle name="Normal 4 7 3 2 2 2 2 2" xfId="30504" xr:uid="{00000000-0005-0000-0000-000058B80000}"/>
    <cellStyle name="Normal 4 7 3 2 2 2 2 2 2" xfId="57637" xr:uid="{00000000-0005-0000-0000-000059B80000}"/>
    <cellStyle name="Normal 4 7 3 2 2 2 2 3" xfId="44075" xr:uid="{00000000-0005-0000-0000-00005AB80000}"/>
    <cellStyle name="Normal 4 7 3 2 2 2 3" xfId="23723" xr:uid="{00000000-0005-0000-0000-00005BB80000}"/>
    <cellStyle name="Normal 4 7 3 2 2 2 3 2" xfId="50856" xr:uid="{00000000-0005-0000-0000-00005CB80000}"/>
    <cellStyle name="Normal 4 7 3 2 2 2 4" xfId="37294" xr:uid="{00000000-0005-0000-0000-00005DB80000}"/>
    <cellStyle name="Normal 4 7 3 2 2 3" xfId="13547" xr:uid="{00000000-0005-0000-0000-00005EB80000}"/>
    <cellStyle name="Normal 4 7 3 2 2 3 2" xfId="27115" xr:uid="{00000000-0005-0000-0000-00005FB80000}"/>
    <cellStyle name="Normal 4 7 3 2 2 3 2 2" xfId="54248" xr:uid="{00000000-0005-0000-0000-000060B80000}"/>
    <cellStyle name="Normal 4 7 3 2 2 3 3" xfId="40686" xr:uid="{00000000-0005-0000-0000-000061B80000}"/>
    <cellStyle name="Normal 4 7 3 2 2 4" xfId="20334" xr:uid="{00000000-0005-0000-0000-000062B80000}"/>
    <cellStyle name="Normal 4 7 3 2 2 4 2" xfId="47467" xr:uid="{00000000-0005-0000-0000-000063B80000}"/>
    <cellStyle name="Normal 4 7 3 2 2 5" xfId="33905" xr:uid="{00000000-0005-0000-0000-000064B80000}"/>
    <cellStyle name="Normal 4 7 3 2 3" xfId="6616" xr:uid="{00000000-0005-0000-0000-000065B80000}"/>
    <cellStyle name="Normal 4 7 3 2 3 2" xfId="10148" xr:uid="{00000000-0005-0000-0000-000066B80000}"/>
    <cellStyle name="Normal 4 7 3 2 3 2 2" xfId="16937" xr:uid="{00000000-0005-0000-0000-000067B80000}"/>
    <cellStyle name="Normal 4 7 3 2 3 2 2 2" xfId="30505" xr:uid="{00000000-0005-0000-0000-000068B80000}"/>
    <cellStyle name="Normal 4 7 3 2 3 2 2 2 2" xfId="57638" xr:uid="{00000000-0005-0000-0000-000069B80000}"/>
    <cellStyle name="Normal 4 7 3 2 3 2 2 3" xfId="44076" xr:uid="{00000000-0005-0000-0000-00006AB80000}"/>
    <cellStyle name="Normal 4 7 3 2 3 2 3" xfId="23724" xr:uid="{00000000-0005-0000-0000-00006BB80000}"/>
    <cellStyle name="Normal 4 7 3 2 3 2 3 2" xfId="50857" xr:uid="{00000000-0005-0000-0000-00006CB80000}"/>
    <cellStyle name="Normal 4 7 3 2 3 2 4" xfId="37295" xr:uid="{00000000-0005-0000-0000-00006DB80000}"/>
    <cellStyle name="Normal 4 7 3 2 3 3" xfId="13548" xr:uid="{00000000-0005-0000-0000-00006EB80000}"/>
    <cellStyle name="Normal 4 7 3 2 3 3 2" xfId="27116" xr:uid="{00000000-0005-0000-0000-00006FB80000}"/>
    <cellStyle name="Normal 4 7 3 2 3 3 2 2" xfId="54249" xr:uid="{00000000-0005-0000-0000-000070B80000}"/>
    <cellStyle name="Normal 4 7 3 2 3 3 3" xfId="40687" xr:uid="{00000000-0005-0000-0000-000071B80000}"/>
    <cellStyle name="Normal 4 7 3 2 3 4" xfId="20335" xr:uid="{00000000-0005-0000-0000-000072B80000}"/>
    <cellStyle name="Normal 4 7 3 2 3 4 2" xfId="47468" xr:uid="{00000000-0005-0000-0000-000073B80000}"/>
    <cellStyle name="Normal 4 7 3 2 3 5" xfId="33906" xr:uid="{00000000-0005-0000-0000-000074B80000}"/>
    <cellStyle name="Normal 4 7 3 2 4" xfId="10146" xr:uid="{00000000-0005-0000-0000-000075B80000}"/>
    <cellStyle name="Normal 4 7 3 2 4 2" xfId="16935" xr:uid="{00000000-0005-0000-0000-000076B80000}"/>
    <cellStyle name="Normal 4 7 3 2 4 2 2" xfId="30503" xr:uid="{00000000-0005-0000-0000-000077B80000}"/>
    <cellStyle name="Normal 4 7 3 2 4 2 2 2" xfId="57636" xr:uid="{00000000-0005-0000-0000-000078B80000}"/>
    <cellStyle name="Normal 4 7 3 2 4 2 3" xfId="44074" xr:uid="{00000000-0005-0000-0000-000079B80000}"/>
    <cellStyle name="Normal 4 7 3 2 4 3" xfId="23722" xr:uid="{00000000-0005-0000-0000-00007AB80000}"/>
    <cellStyle name="Normal 4 7 3 2 4 3 2" xfId="50855" xr:uid="{00000000-0005-0000-0000-00007BB80000}"/>
    <cellStyle name="Normal 4 7 3 2 4 4" xfId="37293" xr:uid="{00000000-0005-0000-0000-00007CB80000}"/>
    <cellStyle name="Normal 4 7 3 2 5" xfId="13546" xr:uid="{00000000-0005-0000-0000-00007DB80000}"/>
    <cellStyle name="Normal 4 7 3 2 5 2" xfId="27114" xr:uid="{00000000-0005-0000-0000-00007EB80000}"/>
    <cellStyle name="Normal 4 7 3 2 5 2 2" xfId="54247" xr:uid="{00000000-0005-0000-0000-00007FB80000}"/>
    <cellStyle name="Normal 4 7 3 2 5 3" xfId="40685" xr:uid="{00000000-0005-0000-0000-000080B80000}"/>
    <cellStyle name="Normal 4 7 3 2 6" xfId="20333" xr:uid="{00000000-0005-0000-0000-000081B80000}"/>
    <cellStyle name="Normal 4 7 3 2 6 2" xfId="47466" xr:uid="{00000000-0005-0000-0000-000082B80000}"/>
    <cellStyle name="Normal 4 7 3 2 7" xfId="33904" xr:uid="{00000000-0005-0000-0000-000083B80000}"/>
    <cellStyle name="Normal 4 7 3 3" xfId="6617" xr:uid="{00000000-0005-0000-0000-000084B80000}"/>
    <cellStyle name="Normal 4 7 3 3 2" xfId="10149" xr:uid="{00000000-0005-0000-0000-000085B80000}"/>
    <cellStyle name="Normal 4 7 3 3 2 2" xfId="16938" xr:uid="{00000000-0005-0000-0000-000086B80000}"/>
    <cellStyle name="Normal 4 7 3 3 2 2 2" xfId="30506" xr:uid="{00000000-0005-0000-0000-000087B80000}"/>
    <cellStyle name="Normal 4 7 3 3 2 2 2 2" xfId="57639" xr:uid="{00000000-0005-0000-0000-000088B80000}"/>
    <cellStyle name="Normal 4 7 3 3 2 2 3" xfId="44077" xr:uid="{00000000-0005-0000-0000-000089B80000}"/>
    <cellStyle name="Normal 4 7 3 3 2 3" xfId="23725" xr:uid="{00000000-0005-0000-0000-00008AB80000}"/>
    <cellStyle name="Normal 4 7 3 3 2 3 2" xfId="50858" xr:uid="{00000000-0005-0000-0000-00008BB80000}"/>
    <cellStyle name="Normal 4 7 3 3 2 4" xfId="37296" xr:uid="{00000000-0005-0000-0000-00008CB80000}"/>
    <cellStyle name="Normal 4 7 3 3 3" xfId="13549" xr:uid="{00000000-0005-0000-0000-00008DB80000}"/>
    <cellStyle name="Normal 4 7 3 3 3 2" xfId="27117" xr:uid="{00000000-0005-0000-0000-00008EB80000}"/>
    <cellStyle name="Normal 4 7 3 3 3 2 2" xfId="54250" xr:uid="{00000000-0005-0000-0000-00008FB80000}"/>
    <cellStyle name="Normal 4 7 3 3 3 3" xfId="40688" xr:uid="{00000000-0005-0000-0000-000090B80000}"/>
    <cellStyle name="Normal 4 7 3 3 4" xfId="20336" xr:uid="{00000000-0005-0000-0000-000091B80000}"/>
    <cellStyle name="Normal 4 7 3 3 4 2" xfId="47469" xr:uid="{00000000-0005-0000-0000-000092B80000}"/>
    <cellStyle name="Normal 4 7 3 3 5" xfId="33907" xr:uid="{00000000-0005-0000-0000-000093B80000}"/>
    <cellStyle name="Normal 4 7 3 4" xfId="6618" xr:uid="{00000000-0005-0000-0000-000094B80000}"/>
    <cellStyle name="Normal 4 7 3 4 2" xfId="10150" xr:uid="{00000000-0005-0000-0000-000095B80000}"/>
    <cellStyle name="Normal 4 7 3 4 2 2" xfId="16939" xr:uid="{00000000-0005-0000-0000-000096B80000}"/>
    <cellStyle name="Normal 4 7 3 4 2 2 2" xfId="30507" xr:uid="{00000000-0005-0000-0000-000097B80000}"/>
    <cellStyle name="Normal 4 7 3 4 2 2 2 2" xfId="57640" xr:uid="{00000000-0005-0000-0000-000098B80000}"/>
    <cellStyle name="Normal 4 7 3 4 2 2 3" xfId="44078" xr:uid="{00000000-0005-0000-0000-000099B80000}"/>
    <cellStyle name="Normal 4 7 3 4 2 3" xfId="23726" xr:uid="{00000000-0005-0000-0000-00009AB80000}"/>
    <cellStyle name="Normal 4 7 3 4 2 3 2" xfId="50859" xr:uid="{00000000-0005-0000-0000-00009BB80000}"/>
    <cellStyle name="Normal 4 7 3 4 2 4" xfId="37297" xr:uid="{00000000-0005-0000-0000-00009CB80000}"/>
    <cellStyle name="Normal 4 7 3 4 3" xfId="13550" xr:uid="{00000000-0005-0000-0000-00009DB80000}"/>
    <cellStyle name="Normal 4 7 3 4 3 2" xfId="27118" xr:uid="{00000000-0005-0000-0000-00009EB80000}"/>
    <cellStyle name="Normal 4 7 3 4 3 2 2" xfId="54251" xr:uid="{00000000-0005-0000-0000-00009FB80000}"/>
    <cellStyle name="Normal 4 7 3 4 3 3" xfId="40689" xr:uid="{00000000-0005-0000-0000-0000A0B80000}"/>
    <cellStyle name="Normal 4 7 3 4 4" xfId="20337" xr:uid="{00000000-0005-0000-0000-0000A1B80000}"/>
    <cellStyle name="Normal 4 7 3 4 4 2" xfId="47470" xr:uid="{00000000-0005-0000-0000-0000A2B80000}"/>
    <cellStyle name="Normal 4 7 3 4 5" xfId="33908" xr:uid="{00000000-0005-0000-0000-0000A3B80000}"/>
    <cellStyle name="Normal 4 7 3 5" xfId="10145" xr:uid="{00000000-0005-0000-0000-0000A4B80000}"/>
    <cellStyle name="Normal 4 7 3 5 2" xfId="16934" xr:uid="{00000000-0005-0000-0000-0000A5B80000}"/>
    <cellStyle name="Normal 4 7 3 5 2 2" xfId="30502" xr:uid="{00000000-0005-0000-0000-0000A6B80000}"/>
    <cellStyle name="Normal 4 7 3 5 2 2 2" xfId="57635" xr:uid="{00000000-0005-0000-0000-0000A7B80000}"/>
    <cellStyle name="Normal 4 7 3 5 2 3" xfId="44073" xr:uid="{00000000-0005-0000-0000-0000A8B80000}"/>
    <cellStyle name="Normal 4 7 3 5 3" xfId="23721" xr:uid="{00000000-0005-0000-0000-0000A9B80000}"/>
    <cellStyle name="Normal 4 7 3 5 3 2" xfId="50854" xr:uid="{00000000-0005-0000-0000-0000AAB80000}"/>
    <cellStyle name="Normal 4 7 3 5 4" xfId="37292" xr:uid="{00000000-0005-0000-0000-0000ABB80000}"/>
    <cellStyle name="Normal 4 7 3 6" xfId="13545" xr:uid="{00000000-0005-0000-0000-0000ACB80000}"/>
    <cellStyle name="Normal 4 7 3 6 2" xfId="27113" xr:uid="{00000000-0005-0000-0000-0000ADB80000}"/>
    <cellStyle name="Normal 4 7 3 6 2 2" xfId="54246" xr:uid="{00000000-0005-0000-0000-0000AEB80000}"/>
    <cellStyle name="Normal 4 7 3 6 3" xfId="40684" xr:uid="{00000000-0005-0000-0000-0000AFB80000}"/>
    <cellStyle name="Normal 4 7 3 7" xfId="20332" xr:uid="{00000000-0005-0000-0000-0000B0B80000}"/>
    <cellStyle name="Normal 4 7 3 7 2" xfId="47465" xr:uid="{00000000-0005-0000-0000-0000B1B80000}"/>
    <cellStyle name="Normal 4 7 3 8" xfId="33903" xr:uid="{00000000-0005-0000-0000-0000B2B80000}"/>
    <cellStyle name="Normal 4 7 4" xfId="6619" xr:uid="{00000000-0005-0000-0000-0000B3B80000}"/>
    <cellStyle name="Normal 4 7 4 2" xfId="6620" xr:uid="{00000000-0005-0000-0000-0000B4B80000}"/>
    <cellStyle name="Normal 4 7 4 2 2" xfId="10152" xr:uid="{00000000-0005-0000-0000-0000B5B80000}"/>
    <cellStyle name="Normal 4 7 4 2 2 2" xfId="16941" xr:uid="{00000000-0005-0000-0000-0000B6B80000}"/>
    <cellStyle name="Normal 4 7 4 2 2 2 2" xfId="30509" xr:uid="{00000000-0005-0000-0000-0000B7B80000}"/>
    <cellStyle name="Normal 4 7 4 2 2 2 2 2" xfId="57642" xr:uid="{00000000-0005-0000-0000-0000B8B80000}"/>
    <cellStyle name="Normal 4 7 4 2 2 2 3" xfId="44080" xr:uid="{00000000-0005-0000-0000-0000B9B80000}"/>
    <cellStyle name="Normal 4 7 4 2 2 3" xfId="23728" xr:uid="{00000000-0005-0000-0000-0000BAB80000}"/>
    <cellStyle name="Normal 4 7 4 2 2 3 2" xfId="50861" xr:uid="{00000000-0005-0000-0000-0000BBB80000}"/>
    <cellStyle name="Normal 4 7 4 2 2 4" xfId="37299" xr:uid="{00000000-0005-0000-0000-0000BCB80000}"/>
    <cellStyle name="Normal 4 7 4 2 3" xfId="13552" xr:uid="{00000000-0005-0000-0000-0000BDB80000}"/>
    <cellStyle name="Normal 4 7 4 2 3 2" xfId="27120" xr:uid="{00000000-0005-0000-0000-0000BEB80000}"/>
    <cellStyle name="Normal 4 7 4 2 3 2 2" xfId="54253" xr:uid="{00000000-0005-0000-0000-0000BFB80000}"/>
    <cellStyle name="Normal 4 7 4 2 3 3" xfId="40691" xr:uid="{00000000-0005-0000-0000-0000C0B80000}"/>
    <cellStyle name="Normal 4 7 4 2 4" xfId="20339" xr:uid="{00000000-0005-0000-0000-0000C1B80000}"/>
    <cellStyle name="Normal 4 7 4 2 4 2" xfId="47472" xr:uid="{00000000-0005-0000-0000-0000C2B80000}"/>
    <cellStyle name="Normal 4 7 4 2 5" xfId="33910" xr:uid="{00000000-0005-0000-0000-0000C3B80000}"/>
    <cellStyle name="Normal 4 7 4 3" xfId="6621" xr:uid="{00000000-0005-0000-0000-0000C4B80000}"/>
    <cellStyle name="Normal 4 7 4 3 2" xfId="10153" xr:uid="{00000000-0005-0000-0000-0000C5B80000}"/>
    <cellStyle name="Normal 4 7 4 3 2 2" xfId="16942" xr:uid="{00000000-0005-0000-0000-0000C6B80000}"/>
    <cellStyle name="Normal 4 7 4 3 2 2 2" xfId="30510" xr:uid="{00000000-0005-0000-0000-0000C7B80000}"/>
    <cellStyle name="Normal 4 7 4 3 2 2 2 2" xfId="57643" xr:uid="{00000000-0005-0000-0000-0000C8B80000}"/>
    <cellStyle name="Normal 4 7 4 3 2 2 3" xfId="44081" xr:uid="{00000000-0005-0000-0000-0000C9B80000}"/>
    <cellStyle name="Normal 4 7 4 3 2 3" xfId="23729" xr:uid="{00000000-0005-0000-0000-0000CAB80000}"/>
    <cellStyle name="Normal 4 7 4 3 2 3 2" xfId="50862" xr:uid="{00000000-0005-0000-0000-0000CBB80000}"/>
    <cellStyle name="Normal 4 7 4 3 2 4" xfId="37300" xr:uid="{00000000-0005-0000-0000-0000CCB80000}"/>
    <cellStyle name="Normal 4 7 4 3 3" xfId="13553" xr:uid="{00000000-0005-0000-0000-0000CDB80000}"/>
    <cellStyle name="Normal 4 7 4 3 3 2" xfId="27121" xr:uid="{00000000-0005-0000-0000-0000CEB80000}"/>
    <cellStyle name="Normal 4 7 4 3 3 2 2" xfId="54254" xr:uid="{00000000-0005-0000-0000-0000CFB80000}"/>
    <cellStyle name="Normal 4 7 4 3 3 3" xfId="40692" xr:uid="{00000000-0005-0000-0000-0000D0B80000}"/>
    <cellStyle name="Normal 4 7 4 3 4" xfId="20340" xr:uid="{00000000-0005-0000-0000-0000D1B80000}"/>
    <cellStyle name="Normal 4 7 4 3 4 2" xfId="47473" xr:uid="{00000000-0005-0000-0000-0000D2B80000}"/>
    <cellStyle name="Normal 4 7 4 3 5" xfId="33911" xr:uid="{00000000-0005-0000-0000-0000D3B80000}"/>
    <cellStyle name="Normal 4 7 4 4" xfId="10151" xr:uid="{00000000-0005-0000-0000-0000D4B80000}"/>
    <cellStyle name="Normal 4 7 4 4 2" xfId="16940" xr:uid="{00000000-0005-0000-0000-0000D5B80000}"/>
    <cellStyle name="Normal 4 7 4 4 2 2" xfId="30508" xr:uid="{00000000-0005-0000-0000-0000D6B80000}"/>
    <cellStyle name="Normal 4 7 4 4 2 2 2" xfId="57641" xr:uid="{00000000-0005-0000-0000-0000D7B80000}"/>
    <cellStyle name="Normal 4 7 4 4 2 3" xfId="44079" xr:uid="{00000000-0005-0000-0000-0000D8B80000}"/>
    <cellStyle name="Normal 4 7 4 4 3" xfId="23727" xr:uid="{00000000-0005-0000-0000-0000D9B80000}"/>
    <cellStyle name="Normal 4 7 4 4 3 2" xfId="50860" xr:uid="{00000000-0005-0000-0000-0000DAB80000}"/>
    <cellStyle name="Normal 4 7 4 4 4" xfId="37298" xr:uid="{00000000-0005-0000-0000-0000DBB80000}"/>
    <cellStyle name="Normal 4 7 4 5" xfId="13551" xr:uid="{00000000-0005-0000-0000-0000DCB80000}"/>
    <cellStyle name="Normal 4 7 4 5 2" xfId="27119" xr:uid="{00000000-0005-0000-0000-0000DDB80000}"/>
    <cellStyle name="Normal 4 7 4 5 2 2" xfId="54252" xr:uid="{00000000-0005-0000-0000-0000DEB80000}"/>
    <cellStyle name="Normal 4 7 4 5 3" xfId="40690" xr:uid="{00000000-0005-0000-0000-0000DFB80000}"/>
    <cellStyle name="Normal 4 7 4 6" xfId="20338" xr:uid="{00000000-0005-0000-0000-0000E0B80000}"/>
    <cellStyle name="Normal 4 7 4 6 2" xfId="47471" xr:uid="{00000000-0005-0000-0000-0000E1B80000}"/>
    <cellStyle name="Normal 4 7 4 7" xfId="33909" xr:uid="{00000000-0005-0000-0000-0000E2B80000}"/>
    <cellStyle name="Normal 4 7 5" xfId="6622" xr:uid="{00000000-0005-0000-0000-0000E3B80000}"/>
    <cellStyle name="Normal 4 7 5 2" xfId="6623" xr:uid="{00000000-0005-0000-0000-0000E4B80000}"/>
    <cellStyle name="Normal 4 7 5 2 2" xfId="10155" xr:uid="{00000000-0005-0000-0000-0000E5B80000}"/>
    <cellStyle name="Normal 4 7 5 2 2 2" xfId="16944" xr:uid="{00000000-0005-0000-0000-0000E6B80000}"/>
    <cellStyle name="Normal 4 7 5 2 2 2 2" xfId="30512" xr:uid="{00000000-0005-0000-0000-0000E7B80000}"/>
    <cellStyle name="Normal 4 7 5 2 2 2 2 2" xfId="57645" xr:uid="{00000000-0005-0000-0000-0000E8B80000}"/>
    <cellStyle name="Normal 4 7 5 2 2 2 3" xfId="44083" xr:uid="{00000000-0005-0000-0000-0000E9B80000}"/>
    <cellStyle name="Normal 4 7 5 2 2 3" xfId="23731" xr:uid="{00000000-0005-0000-0000-0000EAB80000}"/>
    <cellStyle name="Normal 4 7 5 2 2 3 2" xfId="50864" xr:uid="{00000000-0005-0000-0000-0000EBB80000}"/>
    <cellStyle name="Normal 4 7 5 2 2 4" xfId="37302" xr:uid="{00000000-0005-0000-0000-0000ECB80000}"/>
    <cellStyle name="Normal 4 7 5 2 3" xfId="13555" xr:uid="{00000000-0005-0000-0000-0000EDB80000}"/>
    <cellStyle name="Normal 4 7 5 2 3 2" xfId="27123" xr:uid="{00000000-0005-0000-0000-0000EEB80000}"/>
    <cellStyle name="Normal 4 7 5 2 3 2 2" xfId="54256" xr:uid="{00000000-0005-0000-0000-0000EFB80000}"/>
    <cellStyle name="Normal 4 7 5 2 3 3" xfId="40694" xr:uid="{00000000-0005-0000-0000-0000F0B80000}"/>
    <cellStyle name="Normal 4 7 5 2 4" xfId="20342" xr:uid="{00000000-0005-0000-0000-0000F1B80000}"/>
    <cellStyle name="Normal 4 7 5 2 4 2" xfId="47475" xr:uid="{00000000-0005-0000-0000-0000F2B80000}"/>
    <cellStyle name="Normal 4 7 5 2 5" xfId="33913" xr:uid="{00000000-0005-0000-0000-0000F3B80000}"/>
    <cellStyle name="Normal 4 7 5 3" xfId="10154" xr:uid="{00000000-0005-0000-0000-0000F4B80000}"/>
    <cellStyle name="Normal 4 7 5 3 2" xfId="16943" xr:uid="{00000000-0005-0000-0000-0000F5B80000}"/>
    <cellStyle name="Normal 4 7 5 3 2 2" xfId="30511" xr:uid="{00000000-0005-0000-0000-0000F6B80000}"/>
    <cellStyle name="Normal 4 7 5 3 2 2 2" xfId="57644" xr:uid="{00000000-0005-0000-0000-0000F7B80000}"/>
    <cellStyle name="Normal 4 7 5 3 2 3" xfId="44082" xr:uid="{00000000-0005-0000-0000-0000F8B80000}"/>
    <cellStyle name="Normal 4 7 5 3 3" xfId="23730" xr:uid="{00000000-0005-0000-0000-0000F9B80000}"/>
    <cellStyle name="Normal 4 7 5 3 3 2" xfId="50863" xr:uid="{00000000-0005-0000-0000-0000FAB80000}"/>
    <cellStyle name="Normal 4 7 5 3 4" xfId="37301" xr:uid="{00000000-0005-0000-0000-0000FBB80000}"/>
    <cellStyle name="Normal 4 7 5 4" xfId="13554" xr:uid="{00000000-0005-0000-0000-0000FCB80000}"/>
    <cellStyle name="Normal 4 7 5 4 2" xfId="27122" xr:uid="{00000000-0005-0000-0000-0000FDB80000}"/>
    <cellStyle name="Normal 4 7 5 4 2 2" xfId="54255" xr:uid="{00000000-0005-0000-0000-0000FEB80000}"/>
    <cellStyle name="Normal 4 7 5 4 3" xfId="40693" xr:uid="{00000000-0005-0000-0000-0000FFB80000}"/>
    <cellStyle name="Normal 4 7 5 5" xfId="20341" xr:uid="{00000000-0005-0000-0000-000000B90000}"/>
    <cellStyle name="Normal 4 7 5 5 2" xfId="47474" xr:uid="{00000000-0005-0000-0000-000001B90000}"/>
    <cellStyle name="Normal 4 7 5 6" xfId="33912" xr:uid="{00000000-0005-0000-0000-000002B90000}"/>
    <cellStyle name="Normal 4 7 6" xfId="6624" xr:uid="{00000000-0005-0000-0000-000003B90000}"/>
    <cellStyle name="Normal 4 7 6 2" xfId="10156" xr:uid="{00000000-0005-0000-0000-000004B90000}"/>
    <cellStyle name="Normal 4 7 6 2 2" xfId="16945" xr:uid="{00000000-0005-0000-0000-000005B90000}"/>
    <cellStyle name="Normal 4 7 6 2 2 2" xfId="30513" xr:uid="{00000000-0005-0000-0000-000006B90000}"/>
    <cellStyle name="Normal 4 7 6 2 2 2 2" xfId="57646" xr:uid="{00000000-0005-0000-0000-000007B90000}"/>
    <cellStyle name="Normal 4 7 6 2 2 3" xfId="44084" xr:uid="{00000000-0005-0000-0000-000008B90000}"/>
    <cellStyle name="Normal 4 7 6 2 3" xfId="23732" xr:uid="{00000000-0005-0000-0000-000009B90000}"/>
    <cellStyle name="Normal 4 7 6 2 3 2" xfId="50865" xr:uid="{00000000-0005-0000-0000-00000AB90000}"/>
    <cellStyle name="Normal 4 7 6 2 4" xfId="37303" xr:uid="{00000000-0005-0000-0000-00000BB90000}"/>
    <cellStyle name="Normal 4 7 6 3" xfId="13556" xr:uid="{00000000-0005-0000-0000-00000CB90000}"/>
    <cellStyle name="Normal 4 7 6 3 2" xfId="27124" xr:uid="{00000000-0005-0000-0000-00000DB90000}"/>
    <cellStyle name="Normal 4 7 6 3 2 2" xfId="54257" xr:uid="{00000000-0005-0000-0000-00000EB90000}"/>
    <cellStyle name="Normal 4 7 6 3 3" xfId="40695" xr:uid="{00000000-0005-0000-0000-00000FB90000}"/>
    <cellStyle name="Normal 4 7 6 4" xfId="20343" xr:uid="{00000000-0005-0000-0000-000010B90000}"/>
    <cellStyle name="Normal 4 7 6 4 2" xfId="47476" xr:uid="{00000000-0005-0000-0000-000011B90000}"/>
    <cellStyle name="Normal 4 7 6 5" xfId="33914" xr:uid="{00000000-0005-0000-0000-000012B90000}"/>
    <cellStyle name="Normal 4 7 7" xfId="6625" xr:uid="{00000000-0005-0000-0000-000013B90000}"/>
    <cellStyle name="Normal 4 7 7 2" xfId="10157" xr:uid="{00000000-0005-0000-0000-000014B90000}"/>
    <cellStyle name="Normal 4 7 7 2 2" xfId="16946" xr:uid="{00000000-0005-0000-0000-000015B90000}"/>
    <cellStyle name="Normal 4 7 7 2 2 2" xfId="30514" xr:uid="{00000000-0005-0000-0000-000016B90000}"/>
    <cellStyle name="Normal 4 7 7 2 2 2 2" xfId="57647" xr:uid="{00000000-0005-0000-0000-000017B90000}"/>
    <cellStyle name="Normal 4 7 7 2 2 3" xfId="44085" xr:uid="{00000000-0005-0000-0000-000018B90000}"/>
    <cellStyle name="Normal 4 7 7 2 3" xfId="23733" xr:uid="{00000000-0005-0000-0000-000019B90000}"/>
    <cellStyle name="Normal 4 7 7 2 3 2" xfId="50866" xr:uid="{00000000-0005-0000-0000-00001AB90000}"/>
    <cellStyle name="Normal 4 7 7 2 4" xfId="37304" xr:uid="{00000000-0005-0000-0000-00001BB90000}"/>
    <cellStyle name="Normal 4 7 7 3" xfId="13557" xr:uid="{00000000-0005-0000-0000-00001CB90000}"/>
    <cellStyle name="Normal 4 7 7 3 2" xfId="27125" xr:uid="{00000000-0005-0000-0000-00001DB90000}"/>
    <cellStyle name="Normal 4 7 7 3 2 2" xfId="54258" xr:uid="{00000000-0005-0000-0000-00001EB90000}"/>
    <cellStyle name="Normal 4 7 7 3 3" xfId="40696" xr:uid="{00000000-0005-0000-0000-00001FB90000}"/>
    <cellStyle name="Normal 4 7 7 4" xfId="20344" xr:uid="{00000000-0005-0000-0000-000020B90000}"/>
    <cellStyle name="Normal 4 7 7 4 2" xfId="47477" xr:uid="{00000000-0005-0000-0000-000021B90000}"/>
    <cellStyle name="Normal 4 7 7 5" xfId="33915" xr:uid="{00000000-0005-0000-0000-000022B90000}"/>
    <cellStyle name="Normal 4 8" xfId="2771" xr:uid="{00000000-0005-0000-0000-000023B90000}"/>
    <cellStyle name="Normal 4 8 2" xfId="6626" xr:uid="{00000000-0005-0000-0000-000024B90000}"/>
    <cellStyle name="Normal 4 8 2 2" xfId="6627" xr:uid="{00000000-0005-0000-0000-000025B90000}"/>
    <cellStyle name="Normal 4 8 2 2 2" xfId="10159" xr:uid="{00000000-0005-0000-0000-000026B90000}"/>
    <cellStyle name="Normal 4 8 2 2 2 2" xfId="16948" xr:uid="{00000000-0005-0000-0000-000027B90000}"/>
    <cellStyle name="Normal 4 8 2 2 2 2 2" xfId="30516" xr:uid="{00000000-0005-0000-0000-000028B90000}"/>
    <cellStyle name="Normal 4 8 2 2 2 2 2 2" xfId="57649" xr:uid="{00000000-0005-0000-0000-000029B90000}"/>
    <cellStyle name="Normal 4 8 2 2 2 2 3" xfId="44087" xr:uid="{00000000-0005-0000-0000-00002AB90000}"/>
    <cellStyle name="Normal 4 8 2 2 2 3" xfId="23735" xr:uid="{00000000-0005-0000-0000-00002BB90000}"/>
    <cellStyle name="Normal 4 8 2 2 2 3 2" xfId="50868" xr:uid="{00000000-0005-0000-0000-00002CB90000}"/>
    <cellStyle name="Normal 4 8 2 2 2 4" xfId="37306" xr:uid="{00000000-0005-0000-0000-00002DB90000}"/>
    <cellStyle name="Normal 4 8 2 2 3" xfId="13559" xr:uid="{00000000-0005-0000-0000-00002EB90000}"/>
    <cellStyle name="Normal 4 8 2 2 3 2" xfId="27127" xr:uid="{00000000-0005-0000-0000-00002FB90000}"/>
    <cellStyle name="Normal 4 8 2 2 3 2 2" xfId="54260" xr:uid="{00000000-0005-0000-0000-000030B90000}"/>
    <cellStyle name="Normal 4 8 2 2 3 3" xfId="40698" xr:uid="{00000000-0005-0000-0000-000031B90000}"/>
    <cellStyle name="Normal 4 8 2 2 4" xfId="20346" xr:uid="{00000000-0005-0000-0000-000032B90000}"/>
    <cellStyle name="Normal 4 8 2 2 4 2" xfId="47479" xr:uid="{00000000-0005-0000-0000-000033B90000}"/>
    <cellStyle name="Normal 4 8 2 2 5" xfId="33917" xr:uid="{00000000-0005-0000-0000-000034B90000}"/>
    <cellStyle name="Normal 4 8 2 3" xfId="6628" xr:uid="{00000000-0005-0000-0000-000035B90000}"/>
    <cellStyle name="Normal 4 8 2 3 2" xfId="10160" xr:uid="{00000000-0005-0000-0000-000036B90000}"/>
    <cellStyle name="Normal 4 8 2 3 2 2" xfId="16949" xr:uid="{00000000-0005-0000-0000-000037B90000}"/>
    <cellStyle name="Normal 4 8 2 3 2 2 2" xfId="30517" xr:uid="{00000000-0005-0000-0000-000038B90000}"/>
    <cellStyle name="Normal 4 8 2 3 2 2 2 2" xfId="57650" xr:uid="{00000000-0005-0000-0000-000039B90000}"/>
    <cellStyle name="Normal 4 8 2 3 2 2 3" xfId="44088" xr:uid="{00000000-0005-0000-0000-00003AB90000}"/>
    <cellStyle name="Normal 4 8 2 3 2 3" xfId="23736" xr:uid="{00000000-0005-0000-0000-00003BB90000}"/>
    <cellStyle name="Normal 4 8 2 3 2 3 2" xfId="50869" xr:uid="{00000000-0005-0000-0000-00003CB90000}"/>
    <cellStyle name="Normal 4 8 2 3 2 4" xfId="37307" xr:uid="{00000000-0005-0000-0000-00003DB90000}"/>
    <cellStyle name="Normal 4 8 2 3 3" xfId="13560" xr:uid="{00000000-0005-0000-0000-00003EB90000}"/>
    <cellStyle name="Normal 4 8 2 3 3 2" xfId="27128" xr:uid="{00000000-0005-0000-0000-00003FB90000}"/>
    <cellStyle name="Normal 4 8 2 3 3 2 2" xfId="54261" xr:uid="{00000000-0005-0000-0000-000040B90000}"/>
    <cellStyle name="Normal 4 8 2 3 3 3" xfId="40699" xr:uid="{00000000-0005-0000-0000-000041B90000}"/>
    <cellStyle name="Normal 4 8 2 3 4" xfId="20347" xr:uid="{00000000-0005-0000-0000-000042B90000}"/>
    <cellStyle name="Normal 4 8 2 3 4 2" xfId="47480" xr:uid="{00000000-0005-0000-0000-000043B90000}"/>
    <cellStyle name="Normal 4 8 2 3 5" xfId="33918" xr:uid="{00000000-0005-0000-0000-000044B90000}"/>
    <cellStyle name="Normal 4 8 2 4" xfId="10158" xr:uid="{00000000-0005-0000-0000-000045B90000}"/>
    <cellStyle name="Normal 4 8 2 4 2" xfId="16947" xr:uid="{00000000-0005-0000-0000-000046B90000}"/>
    <cellStyle name="Normal 4 8 2 4 2 2" xfId="30515" xr:uid="{00000000-0005-0000-0000-000047B90000}"/>
    <cellStyle name="Normal 4 8 2 4 2 2 2" xfId="57648" xr:uid="{00000000-0005-0000-0000-000048B90000}"/>
    <cellStyle name="Normal 4 8 2 4 2 3" xfId="44086" xr:uid="{00000000-0005-0000-0000-000049B90000}"/>
    <cellStyle name="Normal 4 8 2 4 3" xfId="23734" xr:uid="{00000000-0005-0000-0000-00004AB90000}"/>
    <cellStyle name="Normal 4 8 2 4 3 2" xfId="50867" xr:uid="{00000000-0005-0000-0000-00004BB90000}"/>
    <cellStyle name="Normal 4 8 2 4 4" xfId="37305" xr:uid="{00000000-0005-0000-0000-00004CB90000}"/>
    <cellStyle name="Normal 4 8 2 5" xfId="13558" xr:uid="{00000000-0005-0000-0000-00004DB90000}"/>
    <cellStyle name="Normal 4 8 2 5 2" xfId="27126" xr:uid="{00000000-0005-0000-0000-00004EB90000}"/>
    <cellStyle name="Normal 4 8 2 5 2 2" xfId="54259" xr:uid="{00000000-0005-0000-0000-00004FB90000}"/>
    <cellStyle name="Normal 4 8 2 5 3" xfId="40697" xr:uid="{00000000-0005-0000-0000-000050B90000}"/>
    <cellStyle name="Normal 4 8 2 6" xfId="20345" xr:uid="{00000000-0005-0000-0000-000051B90000}"/>
    <cellStyle name="Normal 4 8 2 6 2" xfId="47478" xr:uid="{00000000-0005-0000-0000-000052B90000}"/>
    <cellStyle name="Normal 4 8 2 7" xfId="33916" xr:uid="{00000000-0005-0000-0000-000053B90000}"/>
    <cellStyle name="Normal 4 8 3" xfId="6629" xr:uid="{00000000-0005-0000-0000-000054B90000}"/>
    <cellStyle name="Normal 4 8 3 2" xfId="6630" xr:uid="{00000000-0005-0000-0000-000055B90000}"/>
    <cellStyle name="Normal 4 8 3 2 2" xfId="10162" xr:uid="{00000000-0005-0000-0000-000056B90000}"/>
    <cellStyle name="Normal 4 8 3 2 2 2" xfId="16951" xr:uid="{00000000-0005-0000-0000-000057B90000}"/>
    <cellStyle name="Normal 4 8 3 2 2 2 2" xfId="30519" xr:uid="{00000000-0005-0000-0000-000058B90000}"/>
    <cellStyle name="Normal 4 8 3 2 2 2 2 2" xfId="57652" xr:uid="{00000000-0005-0000-0000-000059B90000}"/>
    <cellStyle name="Normal 4 8 3 2 2 2 3" xfId="44090" xr:uid="{00000000-0005-0000-0000-00005AB90000}"/>
    <cellStyle name="Normal 4 8 3 2 2 3" xfId="23738" xr:uid="{00000000-0005-0000-0000-00005BB90000}"/>
    <cellStyle name="Normal 4 8 3 2 2 3 2" xfId="50871" xr:uid="{00000000-0005-0000-0000-00005CB90000}"/>
    <cellStyle name="Normal 4 8 3 2 2 4" xfId="37309" xr:uid="{00000000-0005-0000-0000-00005DB90000}"/>
    <cellStyle name="Normal 4 8 3 2 3" xfId="13562" xr:uid="{00000000-0005-0000-0000-00005EB90000}"/>
    <cellStyle name="Normal 4 8 3 2 3 2" xfId="27130" xr:uid="{00000000-0005-0000-0000-00005FB90000}"/>
    <cellStyle name="Normal 4 8 3 2 3 2 2" xfId="54263" xr:uid="{00000000-0005-0000-0000-000060B90000}"/>
    <cellStyle name="Normal 4 8 3 2 3 3" xfId="40701" xr:uid="{00000000-0005-0000-0000-000061B90000}"/>
    <cellStyle name="Normal 4 8 3 2 4" xfId="20349" xr:uid="{00000000-0005-0000-0000-000062B90000}"/>
    <cellStyle name="Normal 4 8 3 2 4 2" xfId="47482" xr:uid="{00000000-0005-0000-0000-000063B90000}"/>
    <cellStyle name="Normal 4 8 3 2 5" xfId="33920" xr:uid="{00000000-0005-0000-0000-000064B90000}"/>
    <cellStyle name="Normal 4 8 3 3" xfId="10161" xr:uid="{00000000-0005-0000-0000-000065B90000}"/>
    <cellStyle name="Normal 4 8 3 3 2" xfId="16950" xr:uid="{00000000-0005-0000-0000-000066B90000}"/>
    <cellStyle name="Normal 4 8 3 3 2 2" xfId="30518" xr:uid="{00000000-0005-0000-0000-000067B90000}"/>
    <cellStyle name="Normal 4 8 3 3 2 2 2" xfId="57651" xr:uid="{00000000-0005-0000-0000-000068B90000}"/>
    <cellStyle name="Normal 4 8 3 3 2 3" xfId="44089" xr:uid="{00000000-0005-0000-0000-000069B90000}"/>
    <cellStyle name="Normal 4 8 3 3 3" xfId="23737" xr:uid="{00000000-0005-0000-0000-00006AB90000}"/>
    <cellStyle name="Normal 4 8 3 3 3 2" xfId="50870" xr:uid="{00000000-0005-0000-0000-00006BB90000}"/>
    <cellStyle name="Normal 4 8 3 3 4" xfId="37308" xr:uid="{00000000-0005-0000-0000-00006CB90000}"/>
    <cellStyle name="Normal 4 8 3 4" xfId="13561" xr:uid="{00000000-0005-0000-0000-00006DB90000}"/>
    <cellStyle name="Normal 4 8 3 4 2" xfId="27129" xr:uid="{00000000-0005-0000-0000-00006EB90000}"/>
    <cellStyle name="Normal 4 8 3 4 2 2" xfId="54262" xr:uid="{00000000-0005-0000-0000-00006FB90000}"/>
    <cellStyle name="Normal 4 8 3 4 3" xfId="40700" xr:uid="{00000000-0005-0000-0000-000070B90000}"/>
    <cellStyle name="Normal 4 8 3 5" xfId="20348" xr:uid="{00000000-0005-0000-0000-000071B90000}"/>
    <cellStyle name="Normal 4 8 3 5 2" xfId="47481" xr:uid="{00000000-0005-0000-0000-000072B90000}"/>
    <cellStyle name="Normal 4 8 3 6" xfId="33919" xr:uid="{00000000-0005-0000-0000-000073B90000}"/>
    <cellStyle name="Normal 4 8 4" xfId="6631" xr:uid="{00000000-0005-0000-0000-000074B90000}"/>
    <cellStyle name="Normal 4 8 4 2" xfId="10163" xr:uid="{00000000-0005-0000-0000-000075B90000}"/>
    <cellStyle name="Normal 4 8 4 2 2" xfId="16952" xr:uid="{00000000-0005-0000-0000-000076B90000}"/>
    <cellStyle name="Normal 4 8 4 2 2 2" xfId="30520" xr:uid="{00000000-0005-0000-0000-000077B90000}"/>
    <cellStyle name="Normal 4 8 4 2 2 2 2" xfId="57653" xr:uid="{00000000-0005-0000-0000-000078B90000}"/>
    <cellStyle name="Normal 4 8 4 2 2 3" xfId="44091" xr:uid="{00000000-0005-0000-0000-000079B90000}"/>
    <cellStyle name="Normal 4 8 4 2 3" xfId="23739" xr:uid="{00000000-0005-0000-0000-00007AB90000}"/>
    <cellStyle name="Normal 4 8 4 2 3 2" xfId="50872" xr:uid="{00000000-0005-0000-0000-00007BB90000}"/>
    <cellStyle name="Normal 4 8 4 2 4" xfId="37310" xr:uid="{00000000-0005-0000-0000-00007CB90000}"/>
    <cellStyle name="Normal 4 8 4 3" xfId="13563" xr:uid="{00000000-0005-0000-0000-00007DB90000}"/>
    <cellStyle name="Normal 4 8 4 3 2" xfId="27131" xr:uid="{00000000-0005-0000-0000-00007EB90000}"/>
    <cellStyle name="Normal 4 8 4 3 2 2" xfId="54264" xr:uid="{00000000-0005-0000-0000-00007FB90000}"/>
    <cellStyle name="Normal 4 8 4 3 3" xfId="40702" xr:uid="{00000000-0005-0000-0000-000080B90000}"/>
    <cellStyle name="Normal 4 8 4 4" xfId="20350" xr:uid="{00000000-0005-0000-0000-000081B90000}"/>
    <cellStyle name="Normal 4 8 4 4 2" xfId="47483" xr:uid="{00000000-0005-0000-0000-000082B90000}"/>
    <cellStyle name="Normal 4 8 4 5" xfId="33921" xr:uid="{00000000-0005-0000-0000-000083B90000}"/>
    <cellStyle name="Normal 4 8 5" xfId="6632" xr:uid="{00000000-0005-0000-0000-000084B90000}"/>
    <cellStyle name="Normal 4 8 5 2" xfId="10164" xr:uid="{00000000-0005-0000-0000-000085B90000}"/>
    <cellStyle name="Normal 4 8 5 2 2" xfId="16953" xr:uid="{00000000-0005-0000-0000-000086B90000}"/>
    <cellStyle name="Normal 4 8 5 2 2 2" xfId="30521" xr:uid="{00000000-0005-0000-0000-000087B90000}"/>
    <cellStyle name="Normal 4 8 5 2 2 2 2" xfId="57654" xr:uid="{00000000-0005-0000-0000-000088B90000}"/>
    <cellStyle name="Normal 4 8 5 2 2 3" xfId="44092" xr:uid="{00000000-0005-0000-0000-000089B90000}"/>
    <cellStyle name="Normal 4 8 5 2 3" xfId="23740" xr:uid="{00000000-0005-0000-0000-00008AB90000}"/>
    <cellStyle name="Normal 4 8 5 2 3 2" xfId="50873" xr:uid="{00000000-0005-0000-0000-00008BB90000}"/>
    <cellStyle name="Normal 4 8 5 2 4" xfId="37311" xr:uid="{00000000-0005-0000-0000-00008CB90000}"/>
    <cellStyle name="Normal 4 8 5 3" xfId="13564" xr:uid="{00000000-0005-0000-0000-00008DB90000}"/>
    <cellStyle name="Normal 4 8 5 3 2" xfId="27132" xr:uid="{00000000-0005-0000-0000-00008EB90000}"/>
    <cellStyle name="Normal 4 8 5 3 2 2" xfId="54265" xr:uid="{00000000-0005-0000-0000-00008FB90000}"/>
    <cellStyle name="Normal 4 8 5 3 3" xfId="40703" xr:uid="{00000000-0005-0000-0000-000090B90000}"/>
    <cellStyle name="Normal 4 8 5 4" xfId="20351" xr:uid="{00000000-0005-0000-0000-000091B90000}"/>
    <cellStyle name="Normal 4 8 5 4 2" xfId="47484" xr:uid="{00000000-0005-0000-0000-000092B90000}"/>
    <cellStyle name="Normal 4 8 5 5" xfId="33922" xr:uid="{00000000-0005-0000-0000-000093B90000}"/>
    <cellStyle name="Normal 4 9" xfId="2772" xr:uid="{00000000-0005-0000-0000-000094B90000}"/>
    <cellStyle name="Normal 4 9 2" xfId="6633" xr:uid="{00000000-0005-0000-0000-000095B90000}"/>
    <cellStyle name="Normal 4 9 2 2" xfId="6634" xr:uid="{00000000-0005-0000-0000-000096B90000}"/>
    <cellStyle name="Normal 4 9 2 2 2" xfId="10166" xr:uid="{00000000-0005-0000-0000-000097B90000}"/>
    <cellStyle name="Normal 4 9 2 2 2 2" xfId="16955" xr:uid="{00000000-0005-0000-0000-000098B90000}"/>
    <cellStyle name="Normal 4 9 2 2 2 2 2" xfId="30523" xr:uid="{00000000-0005-0000-0000-000099B90000}"/>
    <cellStyle name="Normal 4 9 2 2 2 2 2 2" xfId="57656" xr:uid="{00000000-0005-0000-0000-00009AB90000}"/>
    <cellStyle name="Normal 4 9 2 2 2 2 3" xfId="44094" xr:uid="{00000000-0005-0000-0000-00009BB90000}"/>
    <cellStyle name="Normal 4 9 2 2 2 3" xfId="23742" xr:uid="{00000000-0005-0000-0000-00009CB90000}"/>
    <cellStyle name="Normal 4 9 2 2 2 3 2" xfId="50875" xr:uid="{00000000-0005-0000-0000-00009DB90000}"/>
    <cellStyle name="Normal 4 9 2 2 2 4" xfId="37313" xr:uid="{00000000-0005-0000-0000-00009EB90000}"/>
    <cellStyle name="Normal 4 9 2 2 3" xfId="13566" xr:uid="{00000000-0005-0000-0000-00009FB90000}"/>
    <cellStyle name="Normal 4 9 2 2 3 2" xfId="27134" xr:uid="{00000000-0005-0000-0000-0000A0B90000}"/>
    <cellStyle name="Normal 4 9 2 2 3 2 2" xfId="54267" xr:uid="{00000000-0005-0000-0000-0000A1B90000}"/>
    <cellStyle name="Normal 4 9 2 2 3 3" xfId="40705" xr:uid="{00000000-0005-0000-0000-0000A2B90000}"/>
    <cellStyle name="Normal 4 9 2 2 4" xfId="20353" xr:uid="{00000000-0005-0000-0000-0000A3B90000}"/>
    <cellStyle name="Normal 4 9 2 2 4 2" xfId="47486" xr:uid="{00000000-0005-0000-0000-0000A4B90000}"/>
    <cellStyle name="Normal 4 9 2 2 5" xfId="33924" xr:uid="{00000000-0005-0000-0000-0000A5B90000}"/>
    <cellStyle name="Normal 4 9 2 3" xfId="6635" xr:uid="{00000000-0005-0000-0000-0000A6B90000}"/>
    <cellStyle name="Normal 4 9 2 3 2" xfId="10167" xr:uid="{00000000-0005-0000-0000-0000A7B90000}"/>
    <cellStyle name="Normal 4 9 2 3 2 2" xfId="16956" xr:uid="{00000000-0005-0000-0000-0000A8B90000}"/>
    <cellStyle name="Normal 4 9 2 3 2 2 2" xfId="30524" xr:uid="{00000000-0005-0000-0000-0000A9B90000}"/>
    <cellStyle name="Normal 4 9 2 3 2 2 2 2" xfId="57657" xr:uid="{00000000-0005-0000-0000-0000AAB90000}"/>
    <cellStyle name="Normal 4 9 2 3 2 2 3" xfId="44095" xr:uid="{00000000-0005-0000-0000-0000ABB90000}"/>
    <cellStyle name="Normal 4 9 2 3 2 3" xfId="23743" xr:uid="{00000000-0005-0000-0000-0000ACB90000}"/>
    <cellStyle name="Normal 4 9 2 3 2 3 2" xfId="50876" xr:uid="{00000000-0005-0000-0000-0000ADB90000}"/>
    <cellStyle name="Normal 4 9 2 3 2 4" xfId="37314" xr:uid="{00000000-0005-0000-0000-0000AEB90000}"/>
    <cellStyle name="Normal 4 9 2 3 3" xfId="13567" xr:uid="{00000000-0005-0000-0000-0000AFB90000}"/>
    <cellStyle name="Normal 4 9 2 3 3 2" xfId="27135" xr:uid="{00000000-0005-0000-0000-0000B0B90000}"/>
    <cellStyle name="Normal 4 9 2 3 3 2 2" xfId="54268" xr:uid="{00000000-0005-0000-0000-0000B1B90000}"/>
    <cellStyle name="Normal 4 9 2 3 3 3" xfId="40706" xr:uid="{00000000-0005-0000-0000-0000B2B90000}"/>
    <cellStyle name="Normal 4 9 2 3 4" xfId="20354" xr:uid="{00000000-0005-0000-0000-0000B3B90000}"/>
    <cellStyle name="Normal 4 9 2 3 4 2" xfId="47487" xr:uid="{00000000-0005-0000-0000-0000B4B90000}"/>
    <cellStyle name="Normal 4 9 2 3 5" xfId="33925" xr:uid="{00000000-0005-0000-0000-0000B5B90000}"/>
    <cellStyle name="Normal 4 9 2 4" xfId="10165" xr:uid="{00000000-0005-0000-0000-0000B6B90000}"/>
    <cellStyle name="Normal 4 9 2 4 2" xfId="16954" xr:uid="{00000000-0005-0000-0000-0000B7B90000}"/>
    <cellStyle name="Normal 4 9 2 4 2 2" xfId="30522" xr:uid="{00000000-0005-0000-0000-0000B8B90000}"/>
    <cellStyle name="Normal 4 9 2 4 2 2 2" xfId="57655" xr:uid="{00000000-0005-0000-0000-0000B9B90000}"/>
    <cellStyle name="Normal 4 9 2 4 2 3" xfId="44093" xr:uid="{00000000-0005-0000-0000-0000BAB90000}"/>
    <cellStyle name="Normal 4 9 2 4 3" xfId="23741" xr:uid="{00000000-0005-0000-0000-0000BBB90000}"/>
    <cellStyle name="Normal 4 9 2 4 3 2" xfId="50874" xr:uid="{00000000-0005-0000-0000-0000BCB90000}"/>
    <cellStyle name="Normal 4 9 2 4 4" xfId="37312" xr:uid="{00000000-0005-0000-0000-0000BDB90000}"/>
    <cellStyle name="Normal 4 9 2 5" xfId="13565" xr:uid="{00000000-0005-0000-0000-0000BEB90000}"/>
    <cellStyle name="Normal 4 9 2 5 2" xfId="27133" xr:uid="{00000000-0005-0000-0000-0000BFB90000}"/>
    <cellStyle name="Normal 4 9 2 5 2 2" xfId="54266" xr:uid="{00000000-0005-0000-0000-0000C0B90000}"/>
    <cellStyle name="Normal 4 9 2 5 3" xfId="40704" xr:uid="{00000000-0005-0000-0000-0000C1B90000}"/>
    <cellStyle name="Normal 4 9 2 6" xfId="20352" xr:uid="{00000000-0005-0000-0000-0000C2B90000}"/>
    <cellStyle name="Normal 4 9 2 6 2" xfId="47485" xr:uid="{00000000-0005-0000-0000-0000C3B90000}"/>
    <cellStyle name="Normal 4 9 2 7" xfId="33923" xr:uid="{00000000-0005-0000-0000-0000C4B90000}"/>
    <cellStyle name="Normal 4 9 3" xfId="6636" xr:uid="{00000000-0005-0000-0000-0000C5B90000}"/>
    <cellStyle name="Normal 4 9 3 2" xfId="10168" xr:uid="{00000000-0005-0000-0000-0000C6B90000}"/>
    <cellStyle name="Normal 4 9 3 2 2" xfId="16957" xr:uid="{00000000-0005-0000-0000-0000C7B90000}"/>
    <cellStyle name="Normal 4 9 3 2 2 2" xfId="30525" xr:uid="{00000000-0005-0000-0000-0000C8B90000}"/>
    <cellStyle name="Normal 4 9 3 2 2 2 2" xfId="57658" xr:uid="{00000000-0005-0000-0000-0000C9B90000}"/>
    <cellStyle name="Normal 4 9 3 2 2 3" xfId="44096" xr:uid="{00000000-0005-0000-0000-0000CAB90000}"/>
    <cellStyle name="Normal 4 9 3 2 3" xfId="23744" xr:uid="{00000000-0005-0000-0000-0000CBB90000}"/>
    <cellStyle name="Normal 4 9 3 2 3 2" xfId="50877" xr:uid="{00000000-0005-0000-0000-0000CCB90000}"/>
    <cellStyle name="Normal 4 9 3 2 4" xfId="37315" xr:uid="{00000000-0005-0000-0000-0000CDB90000}"/>
    <cellStyle name="Normal 4 9 3 3" xfId="13568" xr:uid="{00000000-0005-0000-0000-0000CEB90000}"/>
    <cellStyle name="Normal 4 9 3 3 2" xfId="27136" xr:uid="{00000000-0005-0000-0000-0000CFB90000}"/>
    <cellStyle name="Normal 4 9 3 3 2 2" xfId="54269" xr:uid="{00000000-0005-0000-0000-0000D0B90000}"/>
    <cellStyle name="Normal 4 9 3 3 3" xfId="40707" xr:uid="{00000000-0005-0000-0000-0000D1B90000}"/>
    <cellStyle name="Normal 4 9 3 4" xfId="20355" xr:uid="{00000000-0005-0000-0000-0000D2B90000}"/>
    <cellStyle name="Normal 4 9 3 4 2" xfId="47488" xr:uid="{00000000-0005-0000-0000-0000D3B90000}"/>
    <cellStyle name="Normal 4 9 3 5" xfId="33926" xr:uid="{00000000-0005-0000-0000-0000D4B90000}"/>
    <cellStyle name="Normal 4 9 4" xfId="6637" xr:uid="{00000000-0005-0000-0000-0000D5B90000}"/>
    <cellStyle name="Normal 4 9 4 2" xfId="10169" xr:uid="{00000000-0005-0000-0000-0000D6B90000}"/>
    <cellStyle name="Normal 4 9 4 2 2" xfId="16958" xr:uid="{00000000-0005-0000-0000-0000D7B90000}"/>
    <cellStyle name="Normal 4 9 4 2 2 2" xfId="30526" xr:uid="{00000000-0005-0000-0000-0000D8B90000}"/>
    <cellStyle name="Normal 4 9 4 2 2 2 2" xfId="57659" xr:uid="{00000000-0005-0000-0000-0000D9B90000}"/>
    <cellStyle name="Normal 4 9 4 2 2 3" xfId="44097" xr:uid="{00000000-0005-0000-0000-0000DAB90000}"/>
    <cellStyle name="Normal 4 9 4 2 3" xfId="23745" xr:uid="{00000000-0005-0000-0000-0000DBB90000}"/>
    <cellStyle name="Normal 4 9 4 2 3 2" xfId="50878" xr:uid="{00000000-0005-0000-0000-0000DCB90000}"/>
    <cellStyle name="Normal 4 9 4 2 4" xfId="37316" xr:uid="{00000000-0005-0000-0000-0000DDB90000}"/>
    <cellStyle name="Normal 4 9 4 3" xfId="13569" xr:uid="{00000000-0005-0000-0000-0000DEB90000}"/>
    <cellStyle name="Normal 4 9 4 3 2" xfId="27137" xr:uid="{00000000-0005-0000-0000-0000DFB90000}"/>
    <cellStyle name="Normal 4 9 4 3 2 2" xfId="54270" xr:uid="{00000000-0005-0000-0000-0000E0B90000}"/>
    <cellStyle name="Normal 4 9 4 3 3" xfId="40708" xr:uid="{00000000-0005-0000-0000-0000E1B90000}"/>
    <cellStyle name="Normal 4 9 4 4" xfId="20356" xr:uid="{00000000-0005-0000-0000-0000E2B90000}"/>
    <cellStyle name="Normal 4 9 4 4 2" xfId="47489" xr:uid="{00000000-0005-0000-0000-0000E3B90000}"/>
    <cellStyle name="Normal 4 9 4 5" xfId="33927" xr:uid="{00000000-0005-0000-0000-0000E4B90000}"/>
    <cellStyle name="Normal 40" xfId="7311" xr:uid="{00000000-0005-0000-0000-0000E5B90000}"/>
    <cellStyle name="Normal 40 2" xfId="10801" xr:uid="{00000000-0005-0000-0000-0000E6B90000}"/>
    <cellStyle name="Normal 40 2 2" xfId="17590" xr:uid="{00000000-0005-0000-0000-0000E7B90000}"/>
    <cellStyle name="Normal 40 2 2 2" xfId="31158" xr:uid="{00000000-0005-0000-0000-0000E8B90000}"/>
    <cellStyle name="Normal 40 2 2 2 2" xfId="58291" xr:uid="{00000000-0005-0000-0000-0000E9B90000}"/>
    <cellStyle name="Normal 40 2 2 3" xfId="44729" xr:uid="{00000000-0005-0000-0000-0000EAB90000}"/>
    <cellStyle name="Normal 40 2 3" xfId="24377" xr:uid="{00000000-0005-0000-0000-0000EBB90000}"/>
    <cellStyle name="Normal 40 2 3 2" xfId="51510" xr:uid="{00000000-0005-0000-0000-0000ECB90000}"/>
    <cellStyle name="Normal 40 2 4" xfId="37948" xr:uid="{00000000-0005-0000-0000-0000EDB90000}"/>
    <cellStyle name="Normal 40 3" xfId="14201" xr:uid="{00000000-0005-0000-0000-0000EEB90000}"/>
    <cellStyle name="Normal 40 3 2" xfId="27769" xr:uid="{00000000-0005-0000-0000-0000EFB90000}"/>
    <cellStyle name="Normal 40 3 2 2" xfId="54902" xr:uid="{00000000-0005-0000-0000-0000F0B90000}"/>
    <cellStyle name="Normal 40 3 3" xfId="41340" xr:uid="{00000000-0005-0000-0000-0000F1B90000}"/>
    <cellStyle name="Normal 40 4" xfId="20988" xr:uid="{00000000-0005-0000-0000-0000F2B90000}"/>
    <cellStyle name="Normal 40 4 2" xfId="48121" xr:uid="{00000000-0005-0000-0000-0000F3B90000}"/>
    <cellStyle name="Normal 40 5" xfId="34559" xr:uid="{00000000-0005-0000-0000-0000F4B90000}"/>
    <cellStyle name="Normal 41" xfId="7314" xr:uid="{00000000-0005-0000-0000-0000F5B90000}"/>
    <cellStyle name="Normal 41 2" xfId="10804" xr:uid="{00000000-0005-0000-0000-0000F6B90000}"/>
    <cellStyle name="Normal 41 2 2" xfId="17593" xr:uid="{00000000-0005-0000-0000-0000F7B90000}"/>
    <cellStyle name="Normal 41 2 2 2" xfId="31161" xr:uid="{00000000-0005-0000-0000-0000F8B90000}"/>
    <cellStyle name="Normal 41 2 2 2 2" xfId="58294" xr:uid="{00000000-0005-0000-0000-0000F9B90000}"/>
    <cellStyle name="Normal 41 2 2 3" xfId="44732" xr:uid="{00000000-0005-0000-0000-0000FAB90000}"/>
    <cellStyle name="Normal 41 2 3" xfId="24380" xr:uid="{00000000-0005-0000-0000-0000FBB90000}"/>
    <cellStyle name="Normal 41 2 3 2" xfId="51513" xr:uid="{00000000-0005-0000-0000-0000FCB90000}"/>
    <cellStyle name="Normal 41 2 4" xfId="37951" xr:uid="{00000000-0005-0000-0000-0000FDB90000}"/>
    <cellStyle name="Normal 41 3" xfId="14204" xr:uid="{00000000-0005-0000-0000-0000FEB90000}"/>
    <cellStyle name="Normal 41 3 2" xfId="27772" xr:uid="{00000000-0005-0000-0000-0000FFB90000}"/>
    <cellStyle name="Normal 41 3 2 2" xfId="54905" xr:uid="{00000000-0005-0000-0000-000000BA0000}"/>
    <cellStyle name="Normal 41 3 3" xfId="41343" xr:uid="{00000000-0005-0000-0000-000001BA0000}"/>
    <cellStyle name="Normal 41 4" xfId="20991" xr:uid="{00000000-0005-0000-0000-000002BA0000}"/>
    <cellStyle name="Normal 41 4 2" xfId="48124" xr:uid="{00000000-0005-0000-0000-000003BA0000}"/>
    <cellStyle name="Normal 41 5" xfId="34562" xr:uid="{00000000-0005-0000-0000-000004BA0000}"/>
    <cellStyle name="Normal 42" xfId="7447" xr:uid="{00000000-0005-0000-0000-000005BA0000}"/>
    <cellStyle name="Normal 43" xfId="7446" xr:uid="{00000000-0005-0000-0000-000006BA0000}"/>
    <cellStyle name="Normal 43 2" xfId="14238" xr:uid="{00000000-0005-0000-0000-000007BA0000}"/>
    <cellStyle name="Normal 43 2 2" xfId="27806" xr:uid="{00000000-0005-0000-0000-000008BA0000}"/>
    <cellStyle name="Normal 43 2 2 2" xfId="54939" xr:uid="{00000000-0005-0000-0000-000009BA0000}"/>
    <cellStyle name="Normal 43 2 3" xfId="41377" xr:uid="{00000000-0005-0000-0000-00000ABA0000}"/>
    <cellStyle name="Normal 43 3" xfId="21025" xr:uid="{00000000-0005-0000-0000-00000BBA0000}"/>
    <cellStyle name="Normal 43 3 2" xfId="48158" xr:uid="{00000000-0005-0000-0000-00000CBA0000}"/>
    <cellStyle name="Normal 43 4" xfId="34596" xr:uid="{00000000-0005-0000-0000-00000DBA0000}"/>
    <cellStyle name="Normal 44" xfId="10839" xr:uid="{00000000-0005-0000-0000-00000EBA0000}"/>
    <cellStyle name="Normal 44 2" xfId="17627" xr:uid="{00000000-0005-0000-0000-00000FBA0000}"/>
    <cellStyle name="Normal 44 2 2" xfId="31195" xr:uid="{00000000-0005-0000-0000-000010BA0000}"/>
    <cellStyle name="Normal 44 2 2 2" xfId="58328" xr:uid="{00000000-0005-0000-0000-000011BA0000}"/>
    <cellStyle name="Normal 44 2 3" xfId="44766" xr:uid="{00000000-0005-0000-0000-000012BA0000}"/>
    <cellStyle name="Normal 44 3" xfId="24414" xr:uid="{00000000-0005-0000-0000-000013BA0000}"/>
    <cellStyle name="Normal 44 3 2" xfId="51547" xr:uid="{00000000-0005-0000-0000-000014BA0000}"/>
    <cellStyle name="Normal 44 4" xfId="37985" xr:uid="{00000000-0005-0000-0000-000015BA0000}"/>
    <cellStyle name="Normal 45" xfId="10846" xr:uid="{00000000-0005-0000-0000-000016BA0000}"/>
    <cellStyle name="Normal 45 2" xfId="17629" xr:uid="{00000000-0005-0000-0000-000017BA0000}"/>
    <cellStyle name="Normal 45 2 2" xfId="31197" xr:uid="{00000000-0005-0000-0000-000018BA0000}"/>
    <cellStyle name="Normal 45 2 2 2" xfId="58330" xr:uid="{00000000-0005-0000-0000-000019BA0000}"/>
    <cellStyle name="Normal 45 2 3" xfId="44768" xr:uid="{00000000-0005-0000-0000-00001ABA0000}"/>
    <cellStyle name="Normal 45 3" xfId="24416" xr:uid="{00000000-0005-0000-0000-00001BBA0000}"/>
    <cellStyle name="Normal 45 3 2" xfId="51549" xr:uid="{00000000-0005-0000-0000-00001CBA0000}"/>
    <cellStyle name="Normal 45 4" xfId="37987" xr:uid="{00000000-0005-0000-0000-00001DBA0000}"/>
    <cellStyle name="Normal 46" xfId="10847" xr:uid="{00000000-0005-0000-0000-00001EBA0000}"/>
    <cellStyle name="Normal 47 2" xfId="24417" xr:uid="{00000000-0005-0000-0000-000020BA0000}"/>
    <cellStyle name="Normal 47 2 2" xfId="51550" xr:uid="{00000000-0005-0000-0000-000021BA0000}"/>
    <cellStyle name="Normal 47 3" xfId="37988" xr:uid="{00000000-0005-0000-0000-000022BA0000}"/>
    <cellStyle name="Normal 48" xfId="17631" xr:uid="{00000000-0005-0000-0000-000023BA0000}"/>
    <cellStyle name="Normal 49" xfId="17630" xr:uid="{00000000-0005-0000-0000-000024BA0000}"/>
    <cellStyle name="Normal 49 2" xfId="44769" xr:uid="{00000000-0005-0000-0000-000025BA0000}"/>
    <cellStyle name="Normal 5 2" xfId="144" xr:uid="{00000000-0005-0000-0000-000027BA0000}"/>
    <cellStyle name="Normal 5 2 2" xfId="6638" xr:uid="{00000000-0005-0000-0000-000028BA0000}"/>
    <cellStyle name="Normal 5 2 2 10" xfId="6639" xr:uid="{00000000-0005-0000-0000-000029BA0000}"/>
    <cellStyle name="Normal 5 2 2 10 2" xfId="10171" xr:uid="{00000000-0005-0000-0000-00002ABA0000}"/>
    <cellStyle name="Normal 5 2 2 10 2 2" xfId="16960" xr:uid="{00000000-0005-0000-0000-00002BBA0000}"/>
    <cellStyle name="Normal 5 2 2 10 2 2 2" xfId="30528" xr:uid="{00000000-0005-0000-0000-00002CBA0000}"/>
    <cellStyle name="Normal 5 2 2 10 2 2 2 2" xfId="57661" xr:uid="{00000000-0005-0000-0000-00002DBA0000}"/>
    <cellStyle name="Normal 5 2 2 10 2 2 3" xfId="44099" xr:uid="{00000000-0005-0000-0000-00002EBA0000}"/>
    <cellStyle name="Normal 5 2 2 10 2 3" xfId="23747" xr:uid="{00000000-0005-0000-0000-00002FBA0000}"/>
    <cellStyle name="Normal 5 2 2 10 2 3 2" xfId="50880" xr:uid="{00000000-0005-0000-0000-000030BA0000}"/>
    <cellStyle name="Normal 5 2 2 10 2 4" xfId="37318" xr:uid="{00000000-0005-0000-0000-000031BA0000}"/>
    <cellStyle name="Normal 5 2 2 10 3" xfId="13571" xr:uid="{00000000-0005-0000-0000-000032BA0000}"/>
    <cellStyle name="Normal 5 2 2 10 3 2" xfId="27139" xr:uid="{00000000-0005-0000-0000-000033BA0000}"/>
    <cellStyle name="Normal 5 2 2 10 3 2 2" xfId="54272" xr:uid="{00000000-0005-0000-0000-000034BA0000}"/>
    <cellStyle name="Normal 5 2 2 10 3 3" xfId="40710" xr:uid="{00000000-0005-0000-0000-000035BA0000}"/>
    <cellStyle name="Normal 5 2 2 10 4" xfId="20358" xr:uid="{00000000-0005-0000-0000-000036BA0000}"/>
    <cellStyle name="Normal 5 2 2 10 4 2" xfId="47491" xr:uid="{00000000-0005-0000-0000-000037BA0000}"/>
    <cellStyle name="Normal 5 2 2 10 5" xfId="33929" xr:uid="{00000000-0005-0000-0000-000038BA0000}"/>
    <cellStyle name="Normal 5 2 2 11" xfId="10170" xr:uid="{00000000-0005-0000-0000-000039BA0000}"/>
    <cellStyle name="Normal 5 2 2 11 2" xfId="16959" xr:uid="{00000000-0005-0000-0000-00003ABA0000}"/>
    <cellStyle name="Normal 5 2 2 11 2 2" xfId="30527" xr:uid="{00000000-0005-0000-0000-00003BBA0000}"/>
    <cellStyle name="Normal 5 2 2 11 2 2 2" xfId="57660" xr:uid="{00000000-0005-0000-0000-00003CBA0000}"/>
    <cellStyle name="Normal 5 2 2 11 2 3" xfId="44098" xr:uid="{00000000-0005-0000-0000-00003DBA0000}"/>
    <cellStyle name="Normal 5 2 2 11 3" xfId="23746" xr:uid="{00000000-0005-0000-0000-00003EBA0000}"/>
    <cellStyle name="Normal 5 2 2 11 3 2" xfId="50879" xr:uid="{00000000-0005-0000-0000-00003FBA0000}"/>
    <cellStyle name="Normal 5 2 2 11 4" xfId="37317" xr:uid="{00000000-0005-0000-0000-000040BA0000}"/>
    <cellStyle name="Normal 5 2 2 12" xfId="13570" xr:uid="{00000000-0005-0000-0000-000041BA0000}"/>
    <cellStyle name="Normal 5 2 2 12 2" xfId="27138" xr:uid="{00000000-0005-0000-0000-000042BA0000}"/>
    <cellStyle name="Normal 5 2 2 12 2 2" xfId="54271" xr:uid="{00000000-0005-0000-0000-000043BA0000}"/>
    <cellStyle name="Normal 5 2 2 12 3" xfId="40709" xr:uid="{00000000-0005-0000-0000-000044BA0000}"/>
    <cellStyle name="Normal 5 2 2 13" xfId="20357" xr:uid="{00000000-0005-0000-0000-000045BA0000}"/>
    <cellStyle name="Normal 5 2 2 13 2" xfId="47490" xr:uid="{00000000-0005-0000-0000-000046BA0000}"/>
    <cellStyle name="Normal 5 2 2 14" xfId="33928" xr:uid="{00000000-0005-0000-0000-000047BA0000}"/>
    <cellStyle name="Normal 5 2 2 2" xfId="6640" xr:uid="{00000000-0005-0000-0000-000048BA0000}"/>
    <cellStyle name="Normal 5 2 2 2 10" xfId="13572" xr:uid="{00000000-0005-0000-0000-000049BA0000}"/>
    <cellStyle name="Normal 5 2 2 2 10 2" xfId="27140" xr:uid="{00000000-0005-0000-0000-00004ABA0000}"/>
    <cellStyle name="Normal 5 2 2 2 10 2 2" xfId="54273" xr:uid="{00000000-0005-0000-0000-00004BBA0000}"/>
    <cellStyle name="Normal 5 2 2 2 10 3" xfId="40711" xr:uid="{00000000-0005-0000-0000-00004CBA0000}"/>
    <cellStyle name="Normal 5 2 2 2 11" xfId="20359" xr:uid="{00000000-0005-0000-0000-00004DBA0000}"/>
    <cellStyle name="Normal 5 2 2 2 11 2" xfId="47492" xr:uid="{00000000-0005-0000-0000-00004EBA0000}"/>
    <cellStyle name="Normal 5 2 2 2 12" xfId="33930" xr:uid="{00000000-0005-0000-0000-00004FBA0000}"/>
    <cellStyle name="Normal 5 2 2 2 2" xfId="6641" xr:uid="{00000000-0005-0000-0000-000050BA0000}"/>
    <cellStyle name="Normal 5 2 2 2 2 10" xfId="33931" xr:uid="{00000000-0005-0000-0000-000051BA0000}"/>
    <cellStyle name="Normal 5 2 2 2 2 2" xfId="6642" xr:uid="{00000000-0005-0000-0000-000052BA0000}"/>
    <cellStyle name="Normal 5 2 2 2 2 2 2" xfId="6643" xr:uid="{00000000-0005-0000-0000-000053BA0000}"/>
    <cellStyle name="Normal 5 2 2 2 2 2 2 2" xfId="6644" xr:uid="{00000000-0005-0000-0000-000054BA0000}"/>
    <cellStyle name="Normal 5 2 2 2 2 2 2 2 2" xfId="10176" xr:uid="{00000000-0005-0000-0000-000055BA0000}"/>
    <cellStyle name="Normal 5 2 2 2 2 2 2 2 2 2" xfId="16965" xr:uid="{00000000-0005-0000-0000-000056BA0000}"/>
    <cellStyle name="Normal 5 2 2 2 2 2 2 2 2 2 2" xfId="30533" xr:uid="{00000000-0005-0000-0000-000057BA0000}"/>
    <cellStyle name="Normal 5 2 2 2 2 2 2 2 2 2 2 2" xfId="57666" xr:uid="{00000000-0005-0000-0000-000058BA0000}"/>
    <cellStyle name="Normal 5 2 2 2 2 2 2 2 2 2 3" xfId="44104" xr:uid="{00000000-0005-0000-0000-000059BA0000}"/>
    <cellStyle name="Normal 5 2 2 2 2 2 2 2 2 3" xfId="23752" xr:uid="{00000000-0005-0000-0000-00005ABA0000}"/>
    <cellStyle name="Normal 5 2 2 2 2 2 2 2 2 3 2" xfId="50885" xr:uid="{00000000-0005-0000-0000-00005BBA0000}"/>
    <cellStyle name="Normal 5 2 2 2 2 2 2 2 2 4" xfId="37323" xr:uid="{00000000-0005-0000-0000-00005CBA0000}"/>
    <cellStyle name="Normal 5 2 2 2 2 2 2 2 3" xfId="13576" xr:uid="{00000000-0005-0000-0000-00005DBA0000}"/>
    <cellStyle name="Normal 5 2 2 2 2 2 2 2 3 2" xfId="27144" xr:uid="{00000000-0005-0000-0000-00005EBA0000}"/>
    <cellStyle name="Normal 5 2 2 2 2 2 2 2 3 2 2" xfId="54277" xr:uid="{00000000-0005-0000-0000-00005FBA0000}"/>
    <cellStyle name="Normal 5 2 2 2 2 2 2 2 3 3" xfId="40715" xr:uid="{00000000-0005-0000-0000-000060BA0000}"/>
    <cellStyle name="Normal 5 2 2 2 2 2 2 2 4" xfId="20363" xr:uid="{00000000-0005-0000-0000-000061BA0000}"/>
    <cellStyle name="Normal 5 2 2 2 2 2 2 2 4 2" xfId="47496" xr:uid="{00000000-0005-0000-0000-000062BA0000}"/>
    <cellStyle name="Normal 5 2 2 2 2 2 2 2 5" xfId="33934" xr:uid="{00000000-0005-0000-0000-000063BA0000}"/>
    <cellStyle name="Normal 5 2 2 2 2 2 2 3" xfId="6645" xr:uid="{00000000-0005-0000-0000-000064BA0000}"/>
    <cellStyle name="Normal 5 2 2 2 2 2 2 3 2" xfId="10177" xr:uid="{00000000-0005-0000-0000-000065BA0000}"/>
    <cellStyle name="Normal 5 2 2 2 2 2 2 3 2 2" xfId="16966" xr:uid="{00000000-0005-0000-0000-000066BA0000}"/>
    <cellStyle name="Normal 5 2 2 2 2 2 2 3 2 2 2" xfId="30534" xr:uid="{00000000-0005-0000-0000-000067BA0000}"/>
    <cellStyle name="Normal 5 2 2 2 2 2 2 3 2 2 2 2" xfId="57667" xr:uid="{00000000-0005-0000-0000-000068BA0000}"/>
    <cellStyle name="Normal 5 2 2 2 2 2 2 3 2 2 3" xfId="44105" xr:uid="{00000000-0005-0000-0000-000069BA0000}"/>
    <cellStyle name="Normal 5 2 2 2 2 2 2 3 2 3" xfId="23753" xr:uid="{00000000-0005-0000-0000-00006ABA0000}"/>
    <cellStyle name="Normal 5 2 2 2 2 2 2 3 2 3 2" xfId="50886" xr:uid="{00000000-0005-0000-0000-00006BBA0000}"/>
    <cellStyle name="Normal 5 2 2 2 2 2 2 3 2 4" xfId="37324" xr:uid="{00000000-0005-0000-0000-00006CBA0000}"/>
    <cellStyle name="Normal 5 2 2 2 2 2 2 3 3" xfId="13577" xr:uid="{00000000-0005-0000-0000-00006DBA0000}"/>
    <cellStyle name="Normal 5 2 2 2 2 2 2 3 3 2" xfId="27145" xr:uid="{00000000-0005-0000-0000-00006EBA0000}"/>
    <cellStyle name="Normal 5 2 2 2 2 2 2 3 3 2 2" xfId="54278" xr:uid="{00000000-0005-0000-0000-00006FBA0000}"/>
    <cellStyle name="Normal 5 2 2 2 2 2 2 3 3 3" xfId="40716" xr:uid="{00000000-0005-0000-0000-000070BA0000}"/>
    <cellStyle name="Normal 5 2 2 2 2 2 2 3 4" xfId="20364" xr:uid="{00000000-0005-0000-0000-000071BA0000}"/>
    <cellStyle name="Normal 5 2 2 2 2 2 2 3 4 2" xfId="47497" xr:uid="{00000000-0005-0000-0000-000072BA0000}"/>
    <cellStyle name="Normal 5 2 2 2 2 2 2 3 5" xfId="33935" xr:uid="{00000000-0005-0000-0000-000073BA0000}"/>
    <cellStyle name="Normal 5 2 2 2 2 2 2 4" xfId="10175" xr:uid="{00000000-0005-0000-0000-000074BA0000}"/>
    <cellStyle name="Normal 5 2 2 2 2 2 2 4 2" xfId="16964" xr:uid="{00000000-0005-0000-0000-000075BA0000}"/>
    <cellStyle name="Normal 5 2 2 2 2 2 2 4 2 2" xfId="30532" xr:uid="{00000000-0005-0000-0000-000076BA0000}"/>
    <cellStyle name="Normal 5 2 2 2 2 2 2 4 2 2 2" xfId="57665" xr:uid="{00000000-0005-0000-0000-000077BA0000}"/>
    <cellStyle name="Normal 5 2 2 2 2 2 2 4 2 3" xfId="44103" xr:uid="{00000000-0005-0000-0000-000078BA0000}"/>
    <cellStyle name="Normal 5 2 2 2 2 2 2 4 3" xfId="23751" xr:uid="{00000000-0005-0000-0000-000079BA0000}"/>
    <cellStyle name="Normal 5 2 2 2 2 2 2 4 3 2" xfId="50884" xr:uid="{00000000-0005-0000-0000-00007ABA0000}"/>
    <cellStyle name="Normal 5 2 2 2 2 2 2 4 4" xfId="37322" xr:uid="{00000000-0005-0000-0000-00007BBA0000}"/>
    <cellStyle name="Normal 5 2 2 2 2 2 2 5" xfId="13575" xr:uid="{00000000-0005-0000-0000-00007CBA0000}"/>
    <cellStyle name="Normal 5 2 2 2 2 2 2 5 2" xfId="27143" xr:uid="{00000000-0005-0000-0000-00007DBA0000}"/>
    <cellStyle name="Normal 5 2 2 2 2 2 2 5 2 2" xfId="54276" xr:uid="{00000000-0005-0000-0000-00007EBA0000}"/>
    <cellStyle name="Normal 5 2 2 2 2 2 2 5 3" xfId="40714" xr:uid="{00000000-0005-0000-0000-00007FBA0000}"/>
    <cellStyle name="Normal 5 2 2 2 2 2 2 6" xfId="20362" xr:uid="{00000000-0005-0000-0000-000080BA0000}"/>
    <cellStyle name="Normal 5 2 2 2 2 2 2 6 2" xfId="47495" xr:uid="{00000000-0005-0000-0000-000081BA0000}"/>
    <cellStyle name="Normal 5 2 2 2 2 2 2 7" xfId="33933" xr:uid="{00000000-0005-0000-0000-000082BA0000}"/>
    <cellStyle name="Normal 5 2 2 2 2 2 3" xfId="6646" xr:uid="{00000000-0005-0000-0000-000083BA0000}"/>
    <cellStyle name="Normal 5 2 2 2 2 2 3 2" xfId="6647" xr:uid="{00000000-0005-0000-0000-000084BA0000}"/>
    <cellStyle name="Normal 5 2 2 2 2 2 3 2 2" xfId="10179" xr:uid="{00000000-0005-0000-0000-000085BA0000}"/>
    <cellStyle name="Normal 5 2 2 2 2 2 3 2 2 2" xfId="16968" xr:uid="{00000000-0005-0000-0000-000086BA0000}"/>
    <cellStyle name="Normal 5 2 2 2 2 2 3 2 2 2 2" xfId="30536" xr:uid="{00000000-0005-0000-0000-000087BA0000}"/>
    <cellStyle name="Normal 5 2 2 2 2 2 3 2 2 2 2 2" xfId="57669" xr:uid="{00000000-0005-0000-0000-000088BA0000}"/>
    <cellStyle name="Normal 5 2 2 2 2 2 3 2 2 2 3" xfId="44107" xr:uid="{00000000-0005-0000-0000-000089BA0000}"/>
    <cellStyle name="Normal 5 2 2 2 2 2 3 2 2 3" xfId="23755" xr:uid="{00000000-0005-0000-0000-00008ABA0000}"/>
    <cellStyle name="Normal 5 2 2 2 2 2 3 2 2 3 2" xfId="50888" xr:uid="{00000000-0005-0000-0000-00008BBA0000}"/>
    <cellStyle name="Normal 5 2 2 2 2 2 3 2 2 4" xfId="37326" xr:uid="{00000000-0005-0000-0000-00008CBA0000}"/>
    <cellStyle name="Normal 5 2 2 2 2 2 3 2 3" xfId="13579" xr:uid="{00000000-0005-0000-0000-00008DBA0000}"/>
    <cellStyle name="Normal 5 2 2 2 2 2 3 2 3 2" xfId="27147" xr:uid="{00000000-0005-0000-0000-00008EBA0000}"/>
    <cellStyle name="Normal 5 2 2 2 2 2 3 2 3 2 2" xfId="54280" xr:uid="{00000000-0005-0000-0000-00008FBA0000}"/>
    <cellStyle name="Normal 5 2 2 2 2 2 3 2 3 3" xfId="40718" xr:uid="{00000000-0005-0000-0000-000090BA0000}"/>
    <cellStyle name="Normal 5 2 2 2 2 2 3 2 4" xfId="20366" xr:uid="{00000000-0005-0000-0000-000091BA0000}"/>
    <cellStyle name="Normal 5 2 2 2 2 2 3 2 4 2" xfId="47499" xr:uid="{00000000-0005-0000-0000-000092BA0000}"/>
    <cellStyle name="Normal 5 2 2 2 2 2 3 2 5" xfId="33937" xr:uid="{00000000-0005-0000-0000-000093BA0000}"/>
    <cellStyle name="Normal 5 2 2 2 2 2 3 3" xfId="10178" xr:uid="{00000000-0005-0000-0000-000094BA0000}"/>
    <cellStyle name="Normal 5 2 2 2 2 2 3 3 2" xfId="16967" xr:uid="{00000000-0005-0000-0000-000095BA0000}"/>
    <cellStyle name="Normal 5 2 2 2 2 2 3 3 2 2" xfId="30535" xr:uid="{00000000-0005-0000-0000-000096BA0000}"/>
    <cellStyle name="Normal 5 2 2 2 2 2 3 3 2 2 2" xfId="57668" xr:uid="{00000000-0005-0000-0000-000097BA0000}"/>
    <cellStyle name="Normal 5 2 2 2 2 2 3 3 2 3" xfId="44106" xr:uid="{00000000-0005-0000-0000-000098BA0000}"/>
    <cellStyle name="Normal 5 2 2 2 2 2 3 3 3" xfId="23754" xr:uid="{00000000-0005-0000-0000-000099BA0000}"/>
    <cellStyle name="Normal 5 2 2 2 2 2 3 3 3 2" xfId="50887" xr:uid="{00000000-0005-0000-0000-00009ABA0000}"/>
    <cellStyle name="Normal 5 2 2 2 2 2 3 3 4" xfId="37325" xr:uid="{00000000-0005-0000-0000-00009BBA0000}"/>
    <cellStyle name="Normal 5 2 2 2 2 2 3 4" xfId="13578" xr:uid="{00000000-0005-0000-0000-00009CBA0000}"/>
    <cellStyle name="Normal 5 2 2 2 2 2 3 4 2" xfId="27146" xr:uid="{00000000-0005-0000-0000-00009DBA0000}"/>
    <cellStyle name="Normal 5 2 2 2 2 2 3 4 2 2" xfId="54279" xr:uid="{00000000-0005-0000-0000-00009EBA0000}"/>
    <cellStyle name="Normal 5 2 2 2 2 2 3 4 3" xfId="40717" xr:uid="{00000000-0005-0000-0000-00009FBA0000}"/>
    <cellStyle name="Normal 5 2 2 2 2 2 3 5" xfId="20365" xr:uid="{00000000-0005-0000-0000-0000A0BA0000}"/>
    <cellStyle name="Normal 5 2 2 2 2 2 3 5 2" xfId="47498" xr:uid="{00000000-0005-0000-0000-0000A1BA0000}"/>
    <cellStyle name="Normal 5 2 2 2 2 2 3 6" xfId="33936" xr:uid="{00000000-0005-0000-0000-0000A2BA0000}"/>
    <cellStyle name="Normal 5 2 2 2 2 2 4" xfId="6648" xr:uid="{00000000-0005-0000-0000-0000A3BA0000}"/>
    <cellStyle name="Normal 5 2 2 2 2 2 4 2" xfId="10180" xr:uid="{00000000-0005-0000-0000-0000A4BA0000}"/>
    <cellStyle name="Normal 5 2 2 2 2 2 4 2 2" xfId="16969" xr:uid="{00000000-0005-0000-0000-0000A5BA0000}"/>
    <cellStyle name="Normal 5 2 2 2 2 2 4 2 2 2" xfId="30537" xr:uid="{00000000-0005-0000-0000-0000A6BA0000}"/>
    <cellStyle name="Normal 5 2 2 2 2 2 4 2 2 2 2" xfId="57670" xr:uid="{00000000-0005-0000-0000-0000A7BA0000}"/>
    <cellStyle name="Normal 5 2 2 2 2 2 4 2 2 3" xfId="44108" xr:uid="{00000000-0005-0000-0000-0000A8BA0000}"/>
    <cellStyle name="Normal 5 2 2 2 2 2 4 2 3" xfId="23756" xr:uid="{00000000-0005-0000-0000-0000A9BA0000}"/>
    <cellStyle name="Normal 5 2 2 2 2 2 4 2 3 2" xfId="50889" xr:uid="{00000000-0005-0000-0000-0000AABA0000}"/>
    <cellStyle name="Normal 5 2 2 2 2 2 4 2 4" xfId="37327" xr:uid="{00000000-0005-0000-0000-0000ABBA0000}"/>
    <cellStyle name="Normal 5 2 2 2 2 2 4 3" xfId="13580" xr:uid="{00000000-0005-0000-0000-0000ACBA0000}"/>
    <cellStyle name="Normal 5 2 2 2 2 2 4 3 2" xfId="27148" xr:uid="{00000000-0005-0000-0000-0000ADBA0000}"/>
    <cellStyle name="Normal 5 2 2 2 2 2 4 3 2 2" xfId="54281" xr:uid="{00000000-0005-0000-0000-0000AEBA0000}"/>
    <cellStyle name="Normal 5 2 2 2 2 2 4 3 3" xfId="40719" xr:uid="{00000000-0005-0000-0000-0000AFBA0000}"/>
    <cellStyle name="Normal 5 2 2 2 2 2 4 4" xfId="20367" xr:uid="{00000000-0005-0000-0000-0000B0BA0000}"/>
    <cellStyle name="Normal 5 2 2 2 2 2 4 4 2" xfId="47500" xr:uid="{00000000-0005-0000-0000-0000B1BA0000}"/>
    <cellStyle name="Normal 5 2 2 2 2 2 4 5" xfId="33938" xr:uid="{00000000-0005-0000-0000-0000B2BA0000}"/>
    <cellStyle name="Normal 5 2 2 2 2 2 5" xfId="6649" xr:uid="{00000000-0005-0000-0000-0000B3BA0000}"/>
    <cellStyle name="Normal 5 2 2 2 2 2 5 2" xfId="10181" xr:uid="{00000000-0005-0000-0000-0000B4BA0000}"/>
    <cellStyle name="Normal 5 2 2 2 2 2 5 2 2" xfId="16970" xr:uid="{00000000-0005-0000-0000-0000B5BA0000}"/>
    <cellStyle name="Normal 5 2 2 2 2 2 5 2 2 2" xfId="30538" xr:uid="{00000000-0005-0000-0000-0000B6BA0000}"/>
    <cellStyle name="Normal 5 2 2 2 2 2 5 2 2 2 2" xfId="57671" xr:uid="{00000000-0005-0000-0000-0000B7BA0000}"/>
    <cellStyle name="Normal 5 2 2 2 2 2 5 2 2 3" xfId="44109" xr:uid="{00000000-0005-0000-0000-0000B8BA0000}"/>
    <cellStyle name="Normal 5 2 2 2 2 2 5 2 3" xfId="23757" xr:uid="{00000000-0005-0000-0000-0000B9BA0000}"/>
    <cellStyle name="Normal 5 2 2 2 2 2 5 2 3 2" xfId="50890" xr:uid="{00000000-0005-0000-0000-0000BABA0000}"/>
    <cellStyle name="Normal 5 2 2 2 2 2 5 2 4" xfId="37328" xr:uid="{00000000-0005-0000-0000-0000BBBA0000}"/>
    <cellStyle name="Normal 5 2 2 2 2 2 5 3" xfId="13581" xr:uid="{00000000-0005-0000-0000-0000BCBA0000}"/>
    <cellStyle name="Normal 5 2 2 2 2 2 5 3 2" xfId="27149" xr:uid="{00000000-0005-0000-0000-0000BDBA0000}"/>
    <cellStyle name="Normal 5 2 2 2 2 2 5 3 2 2" xfId="54282" xr:uid="{00000000-0005-0000-0000-0000BEBA0000}"/>
    <cellStyle name="Normal 5 2 2 2 2 2 5 3 3" xfId="40720" xr:uid="{00000000-0005-0000-0000-0000BFBA0000}"/>
    <cellStyle name="Normal 5 2 2 2 2 2 5 4" xfId="20368" xr:uid="{00000000-0005-0000-0000-0000C0BA0000}"/>
    <cellStyle name="Normal 5 2 2 2 2 2 5 4 2" xfId="47501" xr:uid="{00000000-0005-0000-0000-0000C1BA0000}"/>
    <cellStyle name="Normal 5 2 2 2 2 2 5 5" xfId="33939" xr:uid="{00000000-0005-0000-0000-0000C2BA0000}"/>
    <cellStyle name="Normal 5 2 2 2 2 2 6" xfId="10174" xr:uid="{00000000-0005-0000-0000-0000C3BA0000}"/>
    <cellStyle name="Normal 5 2 2 2 2 2 6 2" xfId="16963" xr:uid="{00000000-0005-0000-0000-0000C4BA0000}"/>
    <cellStyle name="Normal 5 2 2 2 2 2 6 2 2" xfId="30531" xr:uid="{00000000-0005-0000-0000-0000C5BA0000}"/>
    <cellStyle name="Normal 5 2 2 2 2 2 6 2 2 2" xfId="57664" xr:uid="{00000000-0005-0000-0000-0000C6BA0000}"/>
    <cellStyle name="Normal 5 2 2 2 2 2 6 2 3" xfId="44102" xr:uid="{00000000-0005-0000-0000-0000C7BA0000}"/>
    <cellStyle name="Normal 5 2 2 2 2 2 6 3" xfId="23750" xr:uid="{00000000-0005-0000-0000-0000C8BA0000}"/>
    <cellStyle name="Normal 5 2 2 2 2 2 6 3 2" xfId="50883" xr:uid="{00000000-0005-0000-0000-0000C9BA0000}"/>
    <cellStyle name="Normal 5 2 2 2 2 2 6 4" xfId="37321" xr:uid="{00000000-0005-0000-0000-0000CABA0000}"/>
    <cellStyle name="Normal 5 2 2 2 2 2 7" xfId="13574" xr:uid="{00000000-0005-0000-0000-0000CBBA0000}"/>
    <cellStyle name="Normal 5 2 2 2 2 2 7 2" xfId="27142" xr:uid="{00000000-0005-0000-0000-0000CCBA0000}"/>
    <cellStyle name="Normal 5 2 2 2 2 2 7 2 2" xfId="54275" xr:uid="{00000000-0005-0000-0000-0000CDBA0000}"/>
    <cellStyle name="Normal 5 2 2 2 2 2 7 3" xfId="40713" xr:uid="{00000000-0005-0000-0000-0000CEBA0000}"/>
    <cellStyle name="Normal 5 2 2 2 2 2 8" xfId="20361" xr:uid="{00000000-0005-0000-0000-0000CFBA0000}"/>
    <cellStyle name="Normal 5 2 2 2 2 2 8 2" xfId="47494" xr:uid="{00000000-0005-0000-0000-0000D0BA0000}"/>
    <cellStyle name="Normal 5 2 2 2 2 2 9" xfId="33932" xr:uid="{00000000-0005-0000-0000-0000D1BA0000}"/>
    <cellStyle name="Normal 5 2 2 2 2 3" xfId="6650" xr:uid="{00000000-0005-0000-0000-0000D2BA0000}"/>
    <cellStyle name="Normal 5 2 2 2 2 3 2" xfId="6651" xr:uid="{00000000-0005-0000-0000-0000D3BA0000}"/>
    <cellStyle name="Normal 5 2 2 2 2 3 2 2" xfId="10183" xr:uid="{00000000-0005-0000-0000-0000D4BA0000}"/>
    <cellStyle name="Normal 5 2 2 2 2 3 2 2 2" xfId="16972" xr:uid="{00000000-0005-0000-0000-0000D5BA0000}"/>
    <cellStyle name="Normal 5 2 2 2 2 3 2 2 2 2" xfId="30540" xr:uid="{00000000-0005-0000-0000-0000D6BA0000}"/>
    <cellStyle name="Normal 5 2 2 2 2 3 2 2 2 2 2" xfId="57673" xr:uid="{00000000-0005-0000-0000-0000D7BA0000}"/>
    <cellStyle name="Normal 5 2 2 2 2 3 2 2 2 3" xfId="44111" xr:uid="{00000000-0005-0000-0000-0000D8BA0000}"/>
    <cellStyle name="Normal 5 2 2 2 2 3 2 2 3" xfId="23759" xr:uid="{00000000-0005-0000-0000-0000D9BA0000}"/>
    <cellStyle name="Normal 5 2 2 2 2 3 2 2 3 2" xfId="50892" xr:uid="{00000000-0005-0000-0000-0000DABA0000}"/>
    <cellStyle name="Normal 5 2 2 2 2 3 2 2 4" xfId="37330" xr:uid="{00000000-0005-0000-0000-0000DBBA0000}"/>
    <cellStyle name="Normal 5 2 2 2 2 3 2 3" xfId="13583" xr:uid="{00000000-0005-0000-0000-0000DCBA0000}"/>
    <cellStyle name="Normal 5 2 2 2 2 3 2 3 2" xfId="27151" xr:uid="{00000000-0005-0000-0000-0000DDBA0000}"/>
    <cellStyle name="Normal 5 2 2 2 2 3 2 3 2 2" xfId="54284" xr:uid="{00000000-0005-0000-0000-0000DEBA0000}"/>
    <cellStyle name="Normal 5 2 2 2 2 3 2 3 3" xfId="40722" xr:uid="{00000000-0005-0000-0000-0000DFBA0000}"/>
    <cellStyle name="Normal 5 2 2 2 2 3 2 4" xfId="20370" xr:uid="{00000000-0005-0000-0000-0000E0BA0000}"/>
    <cellStyle name="Normal 5 2 2 2 2 3 2 4 2" xfId="47503" xr:uid="{00000000-0005-0000-0000-0000E1BA0000}"/>
    <cellStyle name="Normal 5 2 2 2 2 3 2 5" xfId="33941" xr:uid="{00000000-0005-0000-0000-0000E2BA0000}"/>
    <cellStyle name="Normal 5 2 2 2 2 3 3" xfId="6652" xr:uid="{00000000-0005-0000-0000-0000E3BA0000}"/>
    <cellStyle name="Normal 5 2 2 2 2 3 3 2" xfId="10184" xr:uid="{00000000-0005-0000-0000-0000E4BA0000}"/>
    <cellStyle name="Normal 5 2 2 2 2 3 3 2 2" xfId="16973" xr:uid="{00000000-0005-0000-0000-0000E5BA0000}"/>
    <cellStyle name="Normal 5 2 2 2 2 3 3 2 2 2" xfId="30541" xr:uid="{00000000-0005-0000-0000-0000E6BA0000}"/>
    <cellStyle name="Normal 5 2 2 2 2 3 3 2 2 2 2" xfId="57674" xr:uid="{00000000-0005-0000-0000-0000E7BA0000}"/>
    <cellStyle name="Normal 5 2 2 2 2 3 3 2 2 3" xfId="44112" xr:uid="{00000000-0005-0000-0000-0000E8BA0000}"/>
    <cellStyle name="Normal 5 2 2 2 2 3 3 2 3" xfId="23760" xr:uid="{00000000-0005-0000-0000-0000E9BA0000}"/>
    <cellStyle name="Normal 5 2 2 2 2 3 3 2 3 2" xfId="50893" xr:uid="{00000000-0005-0000-0000-0000EABA0000}"/>
    <cellStyle name="Normal 5 2 2 2 2 3 3 2 4" xfId="37331" xr:uid="{00000000-0005-0000-0000-0000EBBA0000}"/>
    <cellStyle name="Normal 5 2 2 2 2 3 3 3" xfId="13584" xr:uid="{00000000-0005-0000-0000-0000ECBA0000}"/>
    <cellStyle name="Normal 5 2 2 2 2 3 3 3 2" xfId="27152" xr:uid="{00000000-0005-0000-0000-0000EDBA0000}"/>
    <cellStyle name="Normal 5 2 2 2 2 3 3 3 2 2" xfId="54285" xr:uid="{00000000-0005-0000-0000-0000EEBA0000}"/>
    <cellStyle name="Normal 5 2 2 2 2 3 3 3 3" xfId="40723" xr:uid="{00000000-0005-0000-0000-0000EFBA0000}"/>
    <cellStyle name="Normal 5 2 2 2 2 3 3 4" xfId="20371" xr:uid="{00000000-0005-0000-0000-0000F0BA0000}"/>
    <cellStyle name="Normal 5 2 2 2 2 3 3 4 2" xfId="47504" xr:uid="{00000000-0005-0000-0000-0000F1BA0000}"/>
    <cellStyle name="Normal 5 2 2 2 2 3 3 5" xfId="33942" xr:uid="{00000000-0005-0000-0000-0000F2BA0000}"/>
    <cellStyle name="Normal 5 2 2 2 2 3 4" xfId="10182" xr:uid="{00000000-0005-0000-0000-0000F3BA0000}"/>
    <cellStyle name="Normal 5 2 2 2 2 3 4 2" xfId="16971" xr:uid="{00000000-0005-0000-0000-0000F4BA0000}"/>
    <cellStyle name="Normal 5 2 2 2 2 3 4 2 2" xfId="30539" xr:uid="{00000000-0005-0000-0000-0000F5BA0000}"/>
    <cellStyle name="Normal 5 2 2 2 2 3 4 2 2 2" xfId="57672" xr:uid="{00000000-0005-0000-0000-0000F6BA0000}"/>
    <cellStyle name="Normal 5 2 2 2 2 3 4 2 3" xfId="44110" xr:uid="{00000000-0005-0000-0000-0000F7BA0000}"/>
    <cellStyle name="Normal 5 2 2 2 2 3 4 3" xfId="23758" xr:uid="{00000000-0005-0000-0000-0000F8BA0000}"/>
    <cellStyle name="Normal 5 2 2 2 2 3 4 3 2" xfId="50891" xr:uid="{00000000-0005-0000-0000-0000F9BA0000}"/>
    <cellStyle name="Normal 5 2 2 2 2 3 4 4" xfId="37329" xr:uid="{00000000-0005-0000-0000-0000FABA0000}"/>
    <cellStyle name="Normal 5 2 2 2 2 3 5" xfId="13582" xr:uid="{00000000-0005-0000-0000-0000FBBA0000}"/>
    <cellStyle name="Normal 5 2 2 2 2 3 5 2" xfId="27150" xr:uid="{00000000-0005-0000-0000-0000FCBA0000}"/>
    <cellStyle name="Normal 5 2 2 2 2 3 5 2 2" xfId="54283" xr:uid="{00000000-0005-0000-0000-0000FDBA0000}"/>
    <cellStyle name="Normal 5 2 2 2 2 3 5 3" xfId="40721" xr:uid="{00000000-0005-0000-0000-0000FEBA0000}"/>
    <cellStyle name="Normal 5 2 2 2 2 3 6" xfId="20369" xr:uid="{00000000-0005-0000-0000-0000FFBA0000}"/>
    <cellStyle name="Normal 5 2 2 2 2 3 6 2" xfId="47502" xr:uid="{00000000-0005-0000-0000-000000BB0000}"/>
    <cellStyle name="Normal 5 2 2 2 2 3 7" xfId="33940" xr:uid="{00000000-0005-0000-0000-000001BB0000}"/>
    <cellStyle name="Normal 5 2 2 2 2 4" xfId="6653" xr:uid="{00000000-0005-0000-0000-000002BB0000}"/>
    <cellStyle name="Normal 5 2 2 2 2 4 2" xfId="6654" xr:uid="{00000000-0005-0000-0000-000003BB0000}"/>
    <cellStyle name="Normal 5 2 2 2 2 4 2 2" xfId="10186" xr:uid="{00000000-0005-0000-0000-000004BB0000}"/>
    <cellStyle name="Normal 5 2 2 2 2 4 2 2 2" xfId="16975" xr:uid="{00000000-0005-0000-0000-000005BB0000}"/>
    <cellStyle name="Normal 5 2 2 2 2 4 2 2 2 2" xfId="30543" xr:uid="{00000000-0005-0000-0000-000006BB0000}"/>
    <cellStyle name="Normal 5 2 2 2 2 4 2 2 2 2 2" xfId="57676" xr:uid="{00000000-0005-0000-0000-000007BB0000}"/>
    <cellStyle name="Normal 5 2 2 2 2 4 2 2 2 3" xfId="44114" xr:uid="{00000000-0005-0000-0000-000008BB0000}"/>
    <cellStyle name="Normal 5 2 2 2 2 4 2 2 3" xfId="23762" xr:uid="{00000000-0005-0000-0000-000009BB0000}"/>
    <cellStyle name="Normal 5 2 2 2 2 4 2 2 3 2" xfId="50895" xr:uid="{00000000-0005-0000-0000-00000ABB0000}"/>
    <cellStyle name="Normal 5 2 2 2 2 4 2 2 4" xfId="37333" xr:uid="{00000000-0005-0000-0000-00000BBB0000}"/>
    <cellStyle name="Normal 5 2 2 2 2 4 2 3" xfId="13586" xr:uid="{00000000-0005-0000-0000-00000CBB0000}"/>
    <cellStyle name="Normal 5 2 2 2 2 4 2 3 2" xfId="27154" xr:uid="{00000000-0005-0000-0000-00000DBB0000}"/>
    <cellStyle name="Normal 5 2 2 2 2 4 2 3 2 2" xfId="54287" xr:uid="{00000000-0005-0000-0000-00000EBB0000}"/>
    <cellStyle name="Normal 5 2 2 2 2 4 2 3 3" xfId="40725" xr:uid="{00000000-0005-0000-0000-00000FBB0000}"/>
    <cellStyle name="Normal 5 2 2 2 2 4 2 4" xfId="20373" xr:uid="{00000000-0005-0000-0000-000010BB0000}"/>
    <cellStyle name="Normal 5 2 2 2 2 4 2 4 2" xfId="47506" xr:uid="{00000000-0005-0000-0000-000011BB0000}"/>
    <cellStyle name="Normal 5 2 2 2 2 4 2 5" xfId="33944" xr:uid="{00000000-0005-0000-0000-000012BB0000}"/>
    <cellStyle name="Normal 5 2 2 2 2 4 3" xfId="10185" xr:uid="{00000000-0005-0000-0000-000013BB0000}"/>
    <cellStyle name="Normal 5 2 2 2 2 4 3 2" xfId="16974" xr:uid="{00000000-0005-0000-0000-000014BB0000}"/>
    <cellStyle name="Normal 5 2 2 2 2 4 3 2 2" xfId="30542" xr:uid="{00000000-0005-0000-0000-000015BB0000}"/>
    <cellStyle name="Normal 5 2 2 2 2 4 3 2 2 2" xfId="57675" xr:uid="{00000000-0005-0000-0000-000016BB0000}"/>
    <cellStyle name="Normal 5 2 2 2 2 4 3 2 3" xfId="44113" xr:uid="{00000000-0005-0000-0000-000017BB0000}"/>
    <cellStyle name="Normal 5 2 2 2 2 4 3 3" xfId="23761" xr:uid="{00000000-0005-0000-0000-000018BB0000}"/>
    <cellStyle name="Normal 5 2 2 2 2 4 3 3 2" xfId="50894" xr:uid="{00000000-0005-0000-0000-000019BB0000}"/>
    <cellStyle name="Normal 5 2 2 2 2 4 3 4" xfId="37332" xr:uid="{00000000-0005-0000-0000-00001ABB0000}"/>
    <cellStyle name="Normal 5 2 2 2 2 4 4" xfId="13585" xr:uid="{00000000-0005-0000-0000-00001BBB0000}"/>
    <cellStyle name="Normal 5 2 2 2 2 4 4 2" xfId="27153" xr:uid="{00000000-0005-0000-0000-00001CBB0000}"/>
    <cellStyle name="Normal 5 2 2 2 2 4 4 2 2" xfId="54286" xr:uid="{00000000-0005-0000-0000-00001DBB0000}"/>
    <cellStyle name="Normal 5 2 2 2 2 4 4 3" xfId="40724" xr:uid="{00000000-0005-0000-0000-00001EBB0000}"/>
    <cellStyle name="Normal 5 2 2 2 2 4 5" xfId="20372" xr:uid="{00000000-0005-0000-0000-00001FBB0000}"/>
    <cellStyle name="Normal 5 2 2 2 2 4 5 2" xfId="47505" xr:uid="{00000000-0005-0000-0000-000020BB0000}"/>
    <cellStyle name="Normal 5 2 2 2 2 4 6" xfId="33943" xr:uid="{00000000-0005-0000-0000-000021BB0000}"/>
    <cellStyle name="Normal 5 2 2 2 2 5" xfId="6655" xr:uid="{00000000-0005-0000-0000-000022BB0000}"/>
    <cellStyle name="Normal 5 2 2 2 2 5 2" xfId="10187" xr:uid="{00000000-0005-0000-0000-000023BB0000}"/>
    <cellStyle name="Normal 5 2 2 2 2 5 2 2" xfId="16976" xr:uid="{00000000-0005-0000-0000-000024BB0000}"/>
    <cellStyle name="Normal 5 2 2 2 2 5 2 2 2" xfId="30544" xr:uid="{00000000-0005-0000-0000-000025BB0000}"/>
    <cellStyle name="Normal 5 2 2 2 2 5 2 2 2 2" xfId="57677" xr:uid="{00000000-0005-0000-0000-000026BB0000}"/>
    <cellStyle name="Normal 5 2 2 2 2 5 2 2 3" xfId="44115" xr:uid="{00000000-0005-0000-0000-000027BB0000}"/>
    <cellStyle name="Normal 5 2 2 2 2 5 2 3" xfId="23763" xr:uid="{00000000-0005-0000-0000-000028BB0000}"/>
    <cellStyle name="Normal 5 2 2 2 2 5 2 3 2" xfId="50896" xr:uid="{00000000-0005-0000-0000-000029BB0000}"/>
    <cellStyle name="Normal 5 2 2 2 2 5 2 4" xfId="37334" xr:uid="{00000000-0005-0000-0000-00002ABB0000}"/>
    <cellStyle name="Normal 5 2 2 2 2 5 3" xfId="13587" xr:uid="{00000000-0005-0000-0000-00002BBB0000}"/>
    <cellStyle name="Normal 5 2 2 2 2 5 3 2" xfId="27155" xr:uid="{00000000-0005-0000-0000-00002CBB0000}"/>
    <cellStyle name="Normal 5 2 2 2 2 5 3 2 2" xfId="54288" xr:uid="{00000000-0005-0000-0000-00002DBB0000}"/>
    <cellStyle name="Normal 5 2 2 2 2 5 3 3" xfId="40726" xr:uid="{00000000-0005-0000-0000-00002EBB0000}"/>
    <cellStyle name="Normal 5 2 2 2 2 5 4" xfId="20374" xr:uid="{00000000-0005-0000-0000-00002FBB0000}"/>
    <cellStyle name="Normal 5 2 2 2 2 5 4 2" xfId="47507" xr:uid="{00000000-0005-0000-0000-000030BB0000}"/>
    <cellStyle name="Normal 5 2 2 2 2 5 5" xfId="33945" xr:uid="{00000000-0005-0000-0000-000031BB0000}"/>
    <cellStyle name="Normal 5 2 2 2 2 6" xfId="6656" xr:uid="{00000000-0005-0000-0000-000032BB0000}"/>
    <cellStyle name="Normal 5 2 2 2 2 6 2" xfId="10188" xr:uid="{00000000-0005-0000-0000-000033BB0000}"/>
    <cellStyle name="Normal 5 2 2 2 2 6 2 2" xfId="16977" xr:uid="{00000000-0005-0000-0000-000034BB0000}"/>
    <cellStyle name="Normal 5 2 2 2 2 6 2 2 2" xfId="30545" xr:uid="{00000000-0005-0000-0000-000035BB0000}"/>
    <cellStyle name="Normal 5 2 2 2 2 6 2 2 2 2" xfId="57678" xr:uid="{00000000-0005-0000-0000-000036BB0000}"/>
    <cellStyle name="Normal 5 2 2 2 2 6 2 2 3" xfId="44116" xr:uid="{00000000-0005-0000-0000-000037BB0000}"/>
    <cellStyle name="Normal 5 2 2 2 2 6 2 3" xfId="23764" xr:uid="{00000000-0005-0000-0000-000038BB0000}"/>
    <cellStyle name="Normal 5 2 2 2 2 6 2 3 2" xfId="50897" xr:uid="{00000000-0005-0000-0000-000039BB0000}"/>
    <cellStyle name="Normal 5 2 2 2 2 6 2 4" xfId="37335" xr:uid="{00000000-0005-0000-0000-00003ABB0000}"/>
    <cellStyle name="Normal 5 2 2 2 2 6 3" xfId="13588" xr:uid="{00000000-0005-0000-0000-00003BBB0000}"/>
    <cellStyle name="Normal 5 2 2 2 2 6 3 2" xfId="27156" xr:uid="{00000000-0005-0000-0000-00003CBB0000}"/>
    <cellStyle name="Normal 5 2 2 2 2 6 3 2 2" xfId="54289" xr:uid="{00000000-0005-0000-0000-00003DBB0000}"/>
    <cellStyle name="Normal 5 2 2 2 2 6 3 3" xfId="40727" xr:uid="{00000000-0005-0000-0000-00003EBB0000}"/>
    <cellStyle name="Normal 5 2 2 2 2 6 4" xfId="20375" xr:uid="{00000000-0005-0000-0000-00003FBB0000}"/>
    <cellStyle name="Normal 5 2 2 2 2 6 4 2" xfId="47508" xr:uid="{00000000-0005-0000-0000-000040BB0000}"/>
    <cellStyle name="Normal 5 2 2 2 2 6 5" xfId="33946" xr:uid="{00000000-0005-0000-0000-000041BB0000}"/>
    <cellStyle name="Normal 5 2 2 2 2 7" xfId="10173" xr:uid="{00000000-0005-0000-0000-000042BB0000}"/>
    <cellStyle name="Normal 5 2 2 2 2 7 2" xfId="16962" xr:uid="{00000000-0005-0000-0000-000043BB0000}"/>
    <cellStyle name="Normal 5 2 2 2 2 7 2 2" xfId="30530" xr:uid="{00000000-0005-0000-0000-000044BB0000}"/>
    <cellStyle name="Normal 5 2 2 2 2 7 2 2 2" xfId="57663" xr:uid="{00000000-0005-0000-0000-000045BB0000}"/>
    <cellStyle name="Normal 5 2 2 2 2 7 2 3" xfId="44101" xr:uid="{00000000-0005-0000-0000-000046BB0000}"/>
    <cellStyle name="Normal 5 2 2 2 2 7 3" xfId="23749" xr:uid="{00000000-0005-0000-0000-000047BB0000}"/>
    <cellStyle name="Normal 5 2 2 2 2 7 3 2" xfId="50882" xr:uid="{00000000-0005-0000-0000-000048BB0000}"/>
    <cellStyle name="Normal 5 2 2 2 2 7 4" xfId="37320" xr:uid="{00000000-0005-0000-0000-000049BB0000}"/>
    <cellStyle name="Normal 5 2 2 2 2 8" xfId="13573" xr:uid="{00000000-0005-0000-0000-00004ABB0000}"/>
    <cellStyle name="Normal 5 2 2 2 2 8 2" xfId="27141" xr:uid="{00000000-0005-0000-0000-00004BBB0000}"/>
    <cellStyle name="Normal 5 2 2 2 2 8 2 2" xfId="54274" xr:uid="{00000000-0005-0000-0000-00004CBB0000}"/>
    <cellStyle name="Normal 5 2 2 2 2 8 3" xfId="40712" xr:uid="{00000000-0005-0000-0000-00004DBB0000}"/>
    <cellStyle name="Normal 5 2 2 2 2 9" xfId="20360" xr:uid="{00000000-0005-0000-0000-00004EBB0000}"/>
    <cellStyle name="Normal 5 2 2 2 2 9 2" xfId="47493" xr:uid="{00000000-0005-0000-0000-00004FBB0000}"/>
    <cellStyle name="Normal 5 2 2 2 3" xfId="6657" xr:uid="{00000000-0005-0000-0000-000050BB0000}"/>
    <cellStyle name="Normal 5 2 2 2 3 2" xfId="6658" xr:uid="{00000000-0005-0000-0000-000051BB0000}"/>
    <cellStyle name="Normal 5 2 2 2 3 2 2" xfId="6659" xr:uid="{00000000-0005-0000-0000-000052BB0000}"/>
    <cellStyle name="Normal 5 2 2 2 3 2 2 2" xfId="10191" xr:uid="{00000000-0005-0000-0000-000053BB0000}"/>
    <cellStyle name="Normal 5 2 2 2 3 2 2 2 2" xfId="16980" xr:uid="{00000000-0005-0000-0000-000054BB0000}"/>
    <cellStyle name="Normal 5 2 2 2 3 2 2 2 2 2" xfId="30548" xr:uid="{00000000-0005-0000-0000-000055BB0000}"/>
    <cellStyle name="Normal 5 2 2 2 3 2 2 2 2 2 2" xfId="57681" xr:uid="{00000000-0005-0000-0000-000056BB0000}"/>
    <cellStyle name="Normal 5 2 2 2 3 2 2 2 2 3" xfId="44119" xr:uid="{00000000-0005-0000-0000-000057BB0000}"/>
    <cellStyle name="Normal 5 2 2 2 3 2 2 2 3" xfId="23767" xr:uid="{00000000-0005-0000-0000-000058BB0000}"/>
    <cellStyle name="Normal 5 2 2 2 3 2 2 2 3 2" xfId="50900" xr:uid="{00000000-0005-0000-0000-000059BB0000}"/>
    <cellStyle name="Normal 5 2 2 2 3 2 2 2 4" xfId="37338" xr:uid="{00000000-0005-0000-0000-00005ABB0000}"/>
    <cellStyle name="Normal 5 2 2 2 3 2 2 3" xfId="13591" xr:uid="{00000000-0005-0000-0000-00005BBB0000}"/>
    <cellStyle name="Normal 5 2 2 2 3 2 2 3 2" xfId="27159" xr:uid="{00000000-0005-0000-0000-00005CBB0000}"/>
    <cellStyle name="Normal 5 2 2 2 3 2 2 3 2 2" xfId="54292" xr:uid="{00000000-0005-0000-0000-00005DBB0000}"/>
    <cellStyle name="Normal 5 2 2 2 3 2 2 3 3" xfId="40730" xr:uid="{00000000-0005-0000-0000-00005EBB0000}"/>
    <cellStyle name="Normal 5 2 2 2 3 2 2 4" xfId="20378" xr:uid="{00000000-0005-0000-0000-00005FBB0000}"/>
    <cellStyle name="Normal 5 2 2 2 3 2 2 4 2" xfId="47511" xr:uid="{00000000-0005-0000-0000-000060BB0000}"/>
    <cellStyle name="Normal 5 2 2 2 3 2 2 5" xfId="33949" xr:uid="{00000000-0005-0000-0000-000061BB0000}"/>
    <cellStyle name="Normal 5 2 2 2 3 2 3" xfId="6660" xr:uid="{00000000-0005-0000-0000-000062BB0000}"/>
    <cellStyle name="Normal 5 2 2 2 3 2 3 2" xfId="10192" xr:uid="{00000000-0005-0000-0000-000063BB0000}"/>
    <cellStyle name="Normal 5 2 2 2 3 2 3 2 2" xfId="16981" xr:uid="{00000000-0005-0000-0000-000064BB0000}"/>
    <cellStyle name="Normal 5 2 2 2 3 2 3 2 2 2" xfId="30549" xr:uid="{00000000-0005-0000-0000-000065BB0000}"/>
    <cellStyle name="Normal 5 2 2 2 3 2 3 2 2 2 2" xfId="57682" xr:uid="{00000000-0005-0000-0000-000066BB0000}"/>
    <cellStyle name="Normal 5 2 2 2 3 2 3 2 2 3" xfId="44120" xr:uid="{00000000-0005-0000-0000-000067BB0000}"/>
    <cellStyle name="Normal 5 2 2 2 3 2 3 2 3" xfId="23768" xr:uid="{00000000-0005-0000-0000-000068BB0000}"/>
    <cellStyle name="Normal 5 2 2 2 3 2 3 2 3 2" xfId="50901" xr:uid="{00000000-0005-0000-0000-000069BB0000}"/>
    <cellStyle name="Normal 5 2 2 2 3 2 3 2 4" xfId="37339" xr:uid="{00000000-0005-0000-0000-00006ABB0000}"/>
    <cellStyle name="Normal 5 2 2 2 3 2 3 3" xfId="13592" xr:uid="{00000000-0005-0000-0000-00006BBB0000}"/>
    <cellStyle name="Normal 5 2 2 2 3 2 3 3 2" xfId="27160" xr:uid="{00000000-0005-0000-0000-00006CBB0000}"/>
    <cellStyle name="Normal 5 2 2 2 3 2 3 3 2 2" xfId="54293" xr:uid="{00000000-0005-0000-0000-00006DBB0000}"/>
    <cellStyle name="Normal 5 2 2 2 3 2 3 3 3" xfId="40731" xr:uid="{00000000-0005-0000-0000-00006EBB0000}"/>
    <cellStyle name="Normal 5 2 2 2 3 2 3 4" xfId="20379" xr:uid="{00000000-0005-0000-0000-00006FBB0000}"/>
    <cellStyle name="Normal 5 2 2 2 3 2 3 4 2" xfId="47512" xr:uid="{00000000-0005-0000-0000-000070BB0000}"/>
    <cellStyle name="Normal 5 2 2 2 3 2 3 5" xfId="33950" xr:uid="{00000000-0005-0000-0000-000071BB0000}"/>
    <cellStyle name="Normal 5 2 2 2 3 2 4" xfId="10190" xr:uid="{00000000-0005-0000-0000-000072BB0000}"/>
    <cellStyle name="Normal 5 2 2 2 3 2 4 2" xfId="16979" xr:uid="{00000000-0005-0000-0000-000073BB0000}"/>
    <cellStyle name="Normal 5 2 2 2 3 2 4 2 2" xfId="30547" xr:uid="{00000000-0005-0000-0000-000074BB0000}"/>
    <cellStyle name="Normal 5 2 2 2 3 2 4 2 2 2" xfId="57680" xr:uid="{00000000-0005-0000-0000-000075BB0000}"/>
    <cellStyle name="Normal 5 2 2 2 3 2 4 2 3" xfId="44118" xr:uid="{00000000-0005-0000-0000-000076BB0000}"/>
    <cellStyle name="Normal 5 2 2 2 3 2 4 3" xfId="23766" xr:uid="{00000000-0005-0000-0000-000077BB0000}"/>
    <cellStyle name="Normal 5 2 2 2 3 2 4 3 2" xfId="50899" xr:uid="{00000000-0005-0000-0000-000078BB0000}"/>
    <cellStyle name="Normal 5 2 2 2 3 2 4 4" xfId="37337" xr:uid="{00000000-0005-0000-0000-000079BB0000}"/>
    <cellStyle name="Normal 5 2 2 2 3 2 5" xfId="13590" xr:uid="{00000000-0005-0000-0000-00007ABB0000}"/>
    <cellStyle name="Normal 5 2 2 2 3 2 5 2" xfId="27158" xr:uid="{00000000-0005-0000-0000-00007BBB0000}"/>
    <cellStyle name="Normal 5 2 2 2 3 2 5 2 2" xfId="54291" xr:uid="{00000000-0005-0000-0000-00007CBB0000}"/>
    <cellStyle name="Normal 5 2 2 2 3 2 5 3" xfId="40729" xr:uid="{00000000-0005-0000-0000-00007DBB0000}"/>
    <cellStyle name="Normal 5 2 2 2 3 2 6" xfId="20377" xr:uid="{00000000-0005-0000-0000-00007EBB0000}"/>
    <cellStyle name="Normal 5 2 2 2 3 2 6 2" xfId="47510" xr:uid="{00000000-0005-0000-0000-00007FBB0000}"/>
    <cellStyle name="Normal 5 2 2 2 3 2 7" xfId="33948" xr:uid="{00000000-0005-0000-0000-000080BB0000}"/>
    <cellStyle name="Normal 5 2 2 2 3 3" xfId="6661" xr:uid="{00000000-0005-0000-0000-000081BB0000}"/>
    <cellStyle name="Normal 5 2 2 2 3 3 2" xfId="6662" xr:uid="{00000000-0005-0000-0000-000082BB0000}"/>
    <cellStyle name="Normal 5 2 2 2 3 3 2 2" xfId="10194" xr:uid="{00000000-0005-0000-0000-000083BB0000}"/>
    <cellStyle name="Normal 5 2 2 2 3 3 2 2 2" xfId="16983" xr:uid="{00000000-0005-0000-0000-000084BB0000}"/>
    <cellStyle name="Normal 5 2 2 2 3 3 2 2 2 2" xfId="30551" xr:uid="{00000000-0005-0000-0000-000085BB0000}"/>
    <cellStyle name="Normal 5 2 2 2 3 3 2 2 2 2 2" xfId="57684" xr:uid="{00000000-0005-0000-0000-000086BB0000}"/>
    <cellStyle name="Normal 5 2 2 2 3 3 2 2 2 3" xfId="44122" xr:uid="{00000000-0005-0000-0000-000087BB0000}"/>
    <cellStyle name="Normal 5 2 2 2 3 3 2 2 3" xfId="23770" xr:uid="{00000000-0005-0000-0000-000088BB0000}"/>
    <cellStyle name="Normal 5 2 2 2 3 3 2 2 3 2" xfId="50903" xr:uid="{00000000-0005-0000-0000-000089BB0000}"/>
    <cellStyle name="Normal 5 2 2 2 3 3 2 2 4" xfId="37341" xr:uid="{00000000-0005-0000-0000-00008ABB0000}"/>
    <cellStyle name="Normal 5 2 2 2 3 3 2 3" xfId="13594" xr:uid="{00000000-0005-0000-0000-00008BBB0000}"/>
    <cellStyle name="Normal 5 2 2 2 3 3 2 3 2" xfId="27162" xr:uid="{00000000-0005-0000-0000-00008CBB0000}"/>
    <cellStyle name="Normal 5 2 2 2 3 3 2 3 2 2" xfId="54295" xr:uid="{00000000-0005-0000-0000-00008DBB0000}"/>
    <cellStyle name="Normal 5 2 2 2 3 3 2 3 3" xfId="40733" xr:uid="{00000000-0005-0000-0000-00008EBB0000}"/>
    <cellStyle name="Normal 5 2 2 2 3 3 2 4" xfId="20381" xr:uid="{00000000-0005-0000-0000-00008FBB0000}"/>
    <cellStyle name="Normal 5 2 2 2 3 3 2 4 2" xfId="47514" xr:uid="{00000000-0005-0000-0000-000090BB0000}"/>
    <cellStyle name="Normal 5 2 2 2 3 3 2 5" xfId="33952" xr:uid="{00000000-0005-0000-0000-000091BB0000}"/>
    <cellStyle name="Normal 5 2 2 2 3 3 3" xfId="10193" xr:uid="{00000000-0005-0000-0000-000092BB0000}"/>
    <cellStyle name="Normal 5 2 2 2 3 3 3 2" xfId="16982" xr:uid="{00000000-0005-0000-0000-000093BB0000}"/>
    <cellStyle name="Normal 5 2 2 2 3 3 3 2 2" xfId="30550" xr:uid="{00000000-0005-0000-0000-000094BB0000}"/>
    <cellStyle name="Normal 5 2 2 2 3 3 3 2 2 2" xfId="57683" xr:uid="{00000000-0005-0000-0000-000095BB0000}"/>
    <cellStyle name="Normal 5 2 2 2 3 3 3 2 3" xfId="44121" xr:uid="{00000000-0005-0000-0000-000096BB0000}"/>
    <cellStyle name="Normal 5 2 2 2 3 3 3 3" xfId="23769" xr:uid="{00000000-0005-0000-0000-000097BB0000}"/>
    <cellStyle name="Normal 5 2 2 2 3 3 3 3 2" xfId="50902" xr:uid="{00000000-0005-0000-0000-000098BB0000}"/>
    <cellStyle name="Normal 5 2 2 2 3 3 3 4" xfId="37340" xr:uid="{00000000-0005-0000-0000-000099BB0000}"/>
    <cellStyle name="Normal 5 2 2 2 3 3 4" xfId="13593" xr:uid="{00000000-0005-0000-0000-00009ABB0000}"/>
    <cellStyle name="Normal 5 2 2 2 3 3 4 2" xfId="27161" xr:uid="{00000000-0005-0000-0000-00009BBB0000}"/>
    <cellStyle name="Normal 5 2 2 2 3 3 4 2 2" xfId="54294" xr:uid="{00000000-0005-0000-0000-00009CBB0000}"/>
    <cellStyle name="Normal 5 2 2 2 3 3 4 3" xfId="40732" xr:uid="{00000000-0005-0000-0000-00009DBB0000}"/>
    <cellStyle name="Normal 5 2 2 2 3 3 5" xfId="20380" xr:uid="{00000000-0005-0000-0000-00009EBB0000}"/>
    <cellStyle name="Normal 5 2 2 2 3 3 5 2" xfId="47513" xr:uid="{00000000-0005-0000-0000-00009FBB0000}"/>
    <cellStyle name="Normal 5 2 2 2 3 3 6" xfId="33951" xr:uid="{00000000-0005-0000-0000-0000A0BB0000}"/>
    <cellStyle name="Normal 5 2 2 2 3 4" xfId="6663" xr:uid="{00000000-0005-0000-0000-0000A1BB0000}"/>
    <cellStyle name="Normal 5 2 2 2 3 4 2" xfId="10195" xr:uid="{00000000-0005-0000-0000-0000A2BB0000}"/>
    <cellStyle name="Normal 5 2 2 2 3 4 2 2" xfId="16984" xr:uid="{00000000-0005-0000-0000-0000A3BB0000}"/>
    <cellStyle name="Normal 5 2 2 2 3 4 2 2 2" xfId="30552" xr:uid="{00000000-0005-0000-0000-0000A4BB0000}"/>
    <cellStyle name="Normal 5 2 2 2 3 4 2 2 2 2" xfId="57685" xr:uid="{00000000-0005-0000-0000-0000A5BB0000}"/>
    <cellStyle name="Normal 5 2 2 2 3 4 2 2 3" xfId="44123" xr:uid="{00000000-0005-0000-0000-0000A6BB0000}"/>
    <cellStyle name="Normal 5 2 2 2 3 4 2 3" xfId="23771" xr:uid="{00000000-0005-0000-0000-0000A7BB0000}"/>
    <cellStyle name="Normal 5 2 2 2 3 4 2 3 2" xfId="50904" xr:uid="{00000000-0005-0000-0000-0000A8BB0000}"/>
    <cellStyle name="Normal 5 2 2 2 3 4 2 4" xfId="37342" xr:uid="{00000000-0005-0000-0000-0000A9BB0000}"/>
    <cellStyle name="Normal 5 2 2 2 3 4 3" xfId="13595" xr:uid="{00000000-0005-0000-0000-0000AABB0000}"/>
    <cellStyle name="Normal 5 2 2 2 3 4 3 2" xfId="27163" xr:uid="{00000000-0005-0000-0000-0000ABBB0000}"/>
    <cellStyle name="Normal 5 2 2 2 3 4 3 2 2" xfId="54296" xr:uid="{00000000-0005-0000-0000-0000ACBB0000}"/>
    <cellStyle name="Normal 5 2 2 2 3 4 3 3" xfId="40734" xr:uid="{00000000-0005-0000-0000-0000ADBB0000}"/>
    <cellStyle name="Normal 5 2 2 2 3 4 4" xfId="20382" xr:uid="{00000000-0005-0000-0000-0000AEBB0000}"/>
    <cellStyle name="Normal 5 2 2 2 3 4 4 2" xfId="47515" xr:uid="{00000000-0005-0000-0000-0000AFBB0000}"/>
    <cellStyle name="Normal 5 2 2 2 3 4 5" xfId="33953" xr:uid="{00000000-0005-0000-0000-0000B0BB0000}"/>
    <cellStyle name="Normal 5 2 2 2 3 5" xfId="6664" xr:uid="{00000000-0005-0000-0000-0000B1BB0000}"/>
    <cellStyle name="Normal 5 2 2 2 3 5 2" xfId="10196" xr:uid="{00000000-0005-0000-0000-0000B2BB0000}"/>
    <cellStyle name="Normal 5 2 2 2 3 5 2 2" xfId="16985" xr:uid="{00000000-0005-0000-0000-0000B3BB0000}"/>
    <cellStyle name="Normal 5 2 2 2 3 5 2 2 2" xfId="30553" xr:uid="{00000000-0005-0000-0000-0000B4BB0000}"/>
    <cellStyle name="Normal 5 2 2 2 3 5 2 2 2 2" xfId="57686" xr:uid="{00000000-0005-0000-0000-0000B5BB0000}"/>
    <cellStyle name="Normal 5 2 2 2 3 5 2 2 3" xfId="44124" xr:uid="{00000000-0005-0000-0000-0000B6BB0000}"/>
    <cellStyle name="Normal 5 2 2 2 3 5 2 3" xfId="23772" xr:uid="{00000000-0005-0000-0000-0000B7BB0000}"/>
    <cellStyle name="Normal 5 2 2 2 3 5 2 3 2" xfId="50905" xr:uid="{00000000-0005-0000-0000-0000B8BB0000}"/>
    <cellStyle name="Normal 5 2 2 2 3 5 2 4" xfId="37343" xr:uid="{00000000-0005-0000-0000-0000B9BB0000}"/>
    <cellStyle name="Normal 5 2 2 2 3 5 3" xfId="13596" xr:uid="{00000000-0005-0000-0000-0000BABB0000}"/>
    <cellStyle name="Normal 5 2 2 2 3 5 3 2" xfId="27164" xr:uid="{00000000-0005-0000-0000-0000BBBB0000}"/>
    <cellStyle name="Normal 5 2 2 2 3 5 3 2 2" xfId="54297" xr:uid="{00000000-0005-0000-0000-0000BCBB0000}"/>
    <cellStyle name="Normal 5 2 2 2 3 5 3 3" xfId="40735" xr:uid="{00000000-0005-0000-0000-0000BDBB0000}"/>
    <cellStyle name="Normal 5 2 2 2 3 5 4" xfId="20383" xr:uid="{00000000-0005-0000-0000-0000BEBB0000}"/>
    <cellStyle name="Normal 5 2 2 2 3 5 4 2" xfId="47516" xr:uid="{00000000-0005-0000-0000-0000BFBB0000}"/>
    <cellStyle name="Normal 5 2 2 2 3 5 5" xfId="33954" xr:uid="{00000000-0005-0000-0000-0000C0BB0000}"/>
    <cellStyle name="Normal 5 2 2 2 3 6" xfId="10189" xr:uid="{00000000-0005-0000-0000-0000C1BB0000}"/>
    <cellStyle name="Normal 5 2 2 2 3 6 2" xfId="16978" xr:uid="{00000000-0005-0000-0000-0000C2BB0000}"/>
    <cellStyle name="Normal 5 2 2 2 3 6 2 2" xfId="30546" xr:uid="{00000000-0005-0000-0000-0000C3BB0000}"/>
    <cellStyle name="Normal 5 2 2 2 3 6 2 2 2" xfId="57679" xr:uid="{00000000-0005-0000-0000-0000C4BB0000}"/>
    <cellStyle name="Normal 5 2 2 2 3 6 2 3" xfId="44117" xr:uid="{00000000-0005-0000-0000-0000C5BB0000}"/>
    <cellStyle name="Normal 5 2 2 2 3 6 3" xfId="23765" xr:uid="{00000000-0005-0000-0000-0000C6BB0000}"/>
    <cellStyle name="Normal 5 2 2 2 3 6 3 2" xfId="50898" xr:uid="{00000000-0005-0000-0000-0000C7BB0000}"/>
    <cellStyle name="Normal 5 2 2 2 3 6 4" xfId="37336" xr:uid="{00000000-0005-0000-0000-0000C8BB0000}"/>
    <cellStyle name="Normal 5 2 2 2 3 7" xfId="13589" xr:uid="{00000000-0005-0000-0000-0000C9BB0000}"/>
    <cellStyle name="Normal 5 2 2 2 3 7 2" xfId="27157" xr:uid="{00000000-0005-0000-0000-0000CABB0000}"/>
    <cellStyle name="Normal 5 2 2 2 3 7 2 2" xfId="54290" xr:uid="{00000000-0005-0000-0000-0000CBBB0000}"/>
    <cellStyle name="Normal 5 2 2 2 3 7 3" xfId="40728" xr:uid="{00000000-0005-0000-0000-0000CCBB0000}"/>
    <cellStyle name="Normal 5 2 2 2 3 8" xfId="20376" xr:uid="{00000000-0005-0000-0000-0000CDBB0000}"/>
    <cellStyle name="Normal 5 2 2 2 3 8 2" xfId="47509" xr:uid="{00000000-0005-0000-0000-0000CEBB0000}"/>
    <cellStyle name="Normal 5 2 2 2 3 9" xfId="33947" xr:uid="{00000000-0005-0000-0000-0000CFBB0000}"/>
    <cellStyle name="Normal 5 2 2 2 4" xfId="6665" xr:uid="{00000000-0005-0000-0000-0000D0BB0000}"/>
    <cellStyle name="Normal 5 2 2 2 4 2" xfId="6666" xr:uid="{00000000-0005-0000-0000-0000D1BB0000}"/>
    <cellStyle name="Normal 5 2 2 2 4 2 2" xfId="6667" xr:uid="{00000000-0005-0000-0000-0000D2BB0000}"/>
    <cellStyle name="Normal 5 2 2 2 4 2 2 2" xfId="10199" xr:uid="{00000000-0005-0000-0000-0000D3BB0000}"/>
    <cellStyle name="Normal 5 2 2 2 4 2 2 2 2" xfId="16988" xr:uid="{00000000-0005-0000-0000-0000D4BB0000}"/>
    <cellStyle name="Normal 5 2 2 2 4 2 2 2 2 2" xfId="30556" xr:uid="{00000000-0005-0000-0000-0000D5BB0000}"/>
    <cellStyle name="Normal 5 2 2 2 4 2 2 2 2 2 2" xfId="57689" xr:uid="{00000000-0005-0000-0000-0000D6BB0000}"/>
    <cellStyle name="Normal 5 2 2 2 4 2 2 2 2 3" xfId="44127" xr:uid="{00000000-0005-0000-0000-0000D7BB0000}"/>
    <cellStyle name="Normal 5 2 2 2 4 2 2 2 3" xfId="23775" xr:uid="{00000000-0005-0000-0000-0000D8BB0000}"/>
    <cellStyle name="Normal 5 2 2 2 4 2 2 2 3 2" xfId="50908" xr:uid="{00000000-0005-0000-0000-0000D9BB0000}"/>
    <cellStyle name="Normal 5 2 2 2 4 2 2 2 4" xfId="37346" xr:uid="{00000000-0005-0000-0000-0000DABB0000}"/>
    <cellStyle name="Normal 5 2 2 2 4 2 2 3" xfId="13599" xr:uid="{00000000-0005-0000-0000-0000DBBB0000}"/>
    <cellStyle name="Normal 5 2 2 2 4 2 2 3 2" xfId="27167" xr:uid="{00000000-0005-0000-0000-0000DCBB0000}"/>
    <cellStyle name="Normal 5 2 2 2 4 2 2 3 2 2" xfId="54300" xr:uid="{00000000-0005-0000-0000-0000DDBB0000}"/>
    <cellStyle name="Normal 5 2 2 2 4 2 2 3 3" xfId="40738" xr:uid="{00000000-0005-0000-0000-0000DEBB0000}"/>
    <cellStyle name="Normal 5 2 2 2 4 2 2 4" xfId="20386" xr:uid="{00000000-0005-0000-0000-0000DFBB0000}"/>
    <cellStyle name="Normal 5 2 2 2 4 2 2 4 2" xfId="47519" xr:uid="{00000000-0005-0000-0000-0000E0BB0000}"/>
    <cellStyle name="Normal 5 2 2 2 4 2 2 5" xfId="33957" xr:uid="{00000000-0005-0000-0000-0000E1BB0000}"/>
    <cellStyle name="Normal 5 2 2 2 4 2 3" xfId="6668" xr:uid="{00000000-0005-0000-0000-0000E2BB0000}"/>
    <cellStyle name="Normal 5 2 2 2 4 2 3 2" xfId="10200" xr:uid="{00000000-0005-0000-0000-0000E3BB0000}"/>
    <cellStyle name="Normal 5 2 2 2 4 2 3 2 2" xfId="16989" xr:uid="{00000000-0005-0000-0000-0000E4BB0000}"/>
    <cellStyle name="Normal 5 2 2 2 4 2 3 2 2 2" xfId="30557" xr:uid="{00000000-0005-0000-0000-0000E5BB0000}"/>
    <cellStyle name="Normal 5 2 2 2 4 2 3 2 2 2 2" xfId="57690" xr:uid="{00000000-0005-0000-0000-0000E6BB0000}"/>
    <cellStyle name="Normal 5 2 2 2 4 2 3 2 2 3" xfId="44128" xr:uid="{00000000-0005-0000-0000-0000E7BB0000}"/>
    <cellStyle name="Normal 5 2 2 2 4 2 3 2 3" xfId="23776" xr:uid="{00000000-0005-0000-0000-0000E8BB0000}"/>
    <cellStyle name="Normal 5 2 2 2 4 2 3 2 3 2" xfId="50909" xr:uid="{00000000-0005-0000-0000-0000E9BB0000}"/>
    <cellStyle name="Normal 5 2 2 2 4 2 3 2 4" xfId="37347" xr:uid="{00000000-0005-0000-0000-0000EABB0000}"/>
    <cellStyle name="Normal 5 2 2 2 4 2 3 3" xfId="13600" xr:uid="{00000000-0005-0000-0000-0000EBBB0000}"/>
    <cellStyle name="Normal 5 2 2 2 4 2 3 3 2" xfId="27168" xr:uid="{00000000-0005-0000-0000-0000ECBB0000}"/>
    <cellStyle name="Normal 5 2 2 2 4 2 3 3 2 2" xfId="54301" xr:uid="{00000000-0005-0000-0000-0000EDBB0000}"/>
    <cellStyle name="Normal 5 2 2 2 4 2 3 3 3" xfId="40739" xr:uid="{00000000-0005-0000-0000-0000EEBB0000}"/>
    <cellStyle name="Normal 5 2 2 2 4 2 3 4" xfId="20387" xr:uid="{00000000-0005-0000-0000-0000EFBB0000}"/>
    <cellStyle name="Normal 5 2 2 2 4 2 3 4 2" xfId="47520" xr:uid="{00000000-0005-0000-0000-0000F0BB0000}"/>
    <cellStyle name="Normal 5 2 2 2 4 2 3 5" xfId="33958" xr:uid="{00000000-0005-0000-0000-0000F1BB0000}"/>
    <cellStyle name="Normal 5 2 2 2 4 2 4" xfId="10198" xr:uid="{00000000-0005-0000-0000-0000F2BB0000}"/>
    <cellStyle name="Normal 5 2 2 2 4 2 4 2" xfId="16987" xr:uid="{00000000-0005-0000-0000-0000F3BB0000}"/>
    <cellStyle name="Normal 5 2 2 2 4 2 4 2 2" xfId="30555" xr:uid="{00000000-0005-0000-0000-0000F4BB0000}"/>
    <cellStyle name="Normal 5 2 2 2 4 2 4 2 2 2" xfId="57688" xr:uid="{00000000-0005-0000-0000-0000F5BB0000}"/>
    <cellStyle name="Normal 5 2 2 2 4 2 4 2 3" xfId="44126" xr:uid="{00000000-0005-0000-0000-0000F6BB0000}"/>
    <cellStyle name="Normal 5 2 2 2 4 2 4 3" xfId="23774" xr:uid="{00000000-0005-0000-0000-0000F7BB0000}"/>
    <cellStyle name="Normal 5 2 2 2 4 2 4 3 2" xfId="50907" xr:uid="{00000000-0005-0000-0000-0000F8BB0000}"/>
    <cellStyle name="Normal 5 2 2 2 4 2 4 4" xfId="37345" xr:uid="{00000000-0005-0000-0000-0000F9BB0000}"/>
    <cellStyle name="Normal 5 2 2 2 4 2 5" xfId="13598" xr:uid="{00000000-0005-0000-0000-0000FABB0000}"/>
    <cellStyle name="Normal 5 2 2 2 4 2 5 2" xfId="27166" xr:uid="{00000000-0005-0000-0000-0000FBBB0000}"/>
    <cellStyle name="Normal 5 2 2 2 4 2 5 2 2" xfId="54299" xr:uid="{00000000-0005-0000-0000-0000FCBB0000}"/>
    <cellStyle name="Normal 5 2 2 2 4 2 5 3" xfId="40737" xr:uid="{00000000-0005-0000-0000-0000FDBB0000}"/>
    <cellStyle name="Normal 5 2 2 2 4 2 6" xfId="20385" xr:uid="{00000000-0005-0000-0000-0000FEBB0000}"/>
    <cellStyle name="Normal 5 2 2 2 4 2 6 2" xfId="47518" xr:uid="{00000000-0005-0000-0000-0000FFBB0000}"/>
    <cellStyle name="Normal 5 2 2 2 4 2 7" xfId="33956" xr:uid="{00000000-0005-0000-0000-000000BC0000}"/>
    <cellStyle name="Normal 5 2 2 2 4 3" xfId="6669" xr:uid="{00000000-0005-0000-0000-000001BC0000}"/>
    <cellStyle name="Normal 5 2 2 2 4 3 2" xfId="10201" xr:uid="{00000000-0005-0000-0000-000002BC0000}"/>
    <cellStyle name="Normal 5 2 2 2 4 3 2 2" xfId="16990" xr:uid="{00000000-0005-0000-0000-000003BC0000}"/>
    <cellStyle name="Normal 5 2 2 2 4 3 2 2 2" xfId="30558" xr:uid="{00000000-0005-0000-0000-000004BC0000}"/>
    <cellStyle name="Normal 5 2 2 2 4 3 2 2 2 2" xfId="57691" xr:uid="{00000000-0005-0000-0000-000005BC0000}"/>
    <cellStyle name="Normal 5 2 2 2 4 3 2 2 3" xfId="44129" xr:uid="{00000000-0005-0000-0000-000006BC0000}"/>
    <cellStyle name="Normal 5 2 2 2 4 3 2 3" xfId="23777" xr:uid="{00000000-0005-0000-0000-000007BC0000}"/>
    <cellStyle name="Normal 5 2 2 2 4 3 2 3 2" xfId="50910" xr:uid="{00000000-0005-0000-0000-000008BC0000}"/>
    <cellStyle name="Normal 5 2 2 2 4 3 2 4" xfId="37348" xr:uid="{00000000-0005-0000-0000-000009BC0000}"/>
    <cellStyle name="Normal 5 2 2 2 4 3 3" xfId="13601" xr:uid="{00000000-0005-0000-0000-00000ABC0000}"/>
    <cellStyle name="Normal 5 2 2 2 4 3 3 2" xfId="27169" xr:uid="{00000000-0005-0000-0000-00000BBC0000}"/>
    <cellStyle name="Normal 5 2 2 2 4 3 3 2 2" xfId="54302" xr:uid="{00000000-0005-0000-0000-00000CBC0000}"/>
    <cellStyle name="Normal 5 2 2 2 4 3 3 3" xfId="40740" xr:uid="{00000000-0005-0000-0000-00000DBC0000}"/>
    <cellStyle name="Normal 5 2 2 2 4 3 4" xfId="20388" xr:uid="{00000000-0005-0000-0000-00000EBC0000}"/>
    <cellStyle name="Normal 5 2 2 2 4 3 4 2" xfId="47521" xr:uid="{00000000-0005-0000-0000-00000FBC0000}"/>
    <cellStyle name="Normal 5 2 2 2 4 3 5" xfId="33959" xr:uid="{00000000-0005-0000-0000-000010BC0000}"/>
    <cellStyle name="Normal 5 2 2 2 4 4" xfId="6670" xr:uid="{00000000-0005-0000-0000-000011BC0000}"/>
    <cellStyle name="Normal 5 2 2 2 4 4 2" xfId="10202" xr:uid="{00000000-0005-0000-0000-000012BC0000}"/>
    <cellStyle name="Normal 5 2 2 2 4 4 2 2" xfId="16991" xr:uid="{00000000-0005-0000-0000-000013BC0000}"/>
    <cellStyle name="Normal 5 2 2 2 4 4 2 2 2" xfId="30559" xr:uid="{00000000-0005-0000-0000-000014BC0000}"/>
    <cellStyle name="Normal 5 2 2 2 4 4 2 2 2 2" xfId="57692" xr:uid="{00000000-0005-0000-0000-000015BC0000}"/>
    <cellStyle name="Normal 5 2 2 2 4 4 2 2 3" xfId="44130" xr:uid="{00000000-0005-0000-0000-000016BC0000}"/>
    <cellStyle name="Normal 5 2 2 2 4 4 2 3" xfId="23778" xr:uid="{00000000-0005-0000-0000-000017BC0000}"/>
    <cellStyle name="Normal 5 2 2 2 4 4 2 3 2" xfId="50911" xr:uid="{00000000-0005-0000-0000-000018BC0000}"/>
    <cellStyle name="Normal 5 2 2 2 4 4 2 4" xfId="37349" xr:uid="{00000000-0005-0000-0000-000019BC0000}"/>
    <cellStyle name="Normal 5 2 2 2 4 4 3" xfId="13602" xr:uid="{00000000-0005-0000-0000-00001ABC0000}"/>
    <cellStyle name="Normal 5 2 2 2 4 4 3 2" xfId="27170" xr:uid="{00000000-0005-0000-0000-00001BBC0000}"/>
    <cellStyle name="Normal 5 2 2 2 4 4 3 2 2" xfId="54303" xr:uid="{00000000-0005-0000-0000-00001CBC0000}"/>
    <cellStyle name="Normal 5 2 2 2 4 4 3 3" xfId="40741" xr:uid="{00000000-0005-0000-0000-00001DBC0000}"/>
    <cellStyle name="Normal 5 2 2 2 4 4 4" xfId="20389" xr:uid="{00000000-0005-0000-0000-00001EBC0000}"/>
    <cellStyle name="Normal 5 2 2 2 4 4 4 2" xfId="47522" xr:uid="{00000000-0005-0000-0000-00001FBC0000}"/>
    <cellStyle name="Normal 5 2 2 2 4 4 5" xfId="33960" xr:uid="{00000000-0005-0000-0000-000020BC0000}"/>
    <cellStyle name="Normal 5 2 2 2 4 5" xfId="10197" xr:uid="{00000000-0005-0000-0000-000021BC0000}"/>
    <cellStyle name="Normal 5 2 2 2 4 5 2" xfId="16986" xr:uid="{00000000-0005-0000-0000-000022BC0000}"/>
    <cellStyle name="Normal 5 2 2 2 4 5 2 2" xfId="30554" xr:uid="{00000000-0005-0000-0000-000023BC0000}"/>
    <cellStyle name="Normal 5 2 2 2 4 5 2 2 2" xfId="57687" xr:uid="{00000000-0005-0000-0000-000024BC0000}"/>
    <cellStyle name="Normal 5 2 2 2 4 5 2 3" xfId="44125" xr:uid="{00000000-0005-0000-0000-000025BC0000}"/>
    <cellStyle name="Normal 5 2 2 2 4 5 3" xfId="23773" xr:uid="{00000000-0005-0000-0000-000026BC0000}"/>
    <cellStyle name="Normal 5 2 2 2 4 5 3 2" xfId="50906" xr:uid="{00000000-0005-0000-0000-000027BC0000}"/>
    <cellStyle name="Normal 5 2 2 2 4 5 4" xfId="37344" xr:uid="{00000000-0005-0000-0000-000028BC0000}"/>
    <cellStyle name="Normal 5 2 2 2 4 6" xfId="13597" xr:uid="{00000000-0005-0000-0000-000029BC0000}"/>
    <cellStyle name="Normal 5 2 2 2 4 6 2" xfId="27165" xr:uid="{00000000-0005-0000-0000-00002ABC0000}"/>
    <cellStyle name="Normal 5 2 2 2 4 6 2 2" xfId="54298" xr:uid="{00000000-0005-0000-0000-00002BBC0000}"/>
    <cellStyle name="Normal 5 2 2 2 4 6 3" xfId="40736" xr:uid="{00000000-0005-0000-0000-00002CBC0000}"/>
    <cellStyle name="Normal 5 2 2 2 4 7" xfId="20384" xr:uid="{00000000-0005-0000-0000-00002DBC0000}"/>
    <cellStyle name="Normal 5 2 2 2 4 7 2" xfId="47517" xr:uid="{00000000-0005-0000-0000-00002EBC0000}"/>
    <cellStyle name="Normal 5 2 2 2 4 8" xfId="33955" xr:uid="{00000000-0005-0000-0000-00002FBC0000}"/>
    <cellStyle name="Normal 5 2 2 2 5" xfId="6671" xr:uid="{00000000-0005-0000-0000-000030BC0000}"/>
    <cellStyle name="Normal 5 2 2 2 5 2" xfId="6672" xr:uid="{00000000-0005-0000-0000-000031BC0000}"/>
    <cellStyle name="Normal 5 2 2 2 5 2 2" xfId="10204" xr:uid="{00000000-0005-0000-0000-000032BC0000}"/>
    <cellStyle name="Normal 5 2 2 2 5 2 2 2" xfId="16993" xr:uid="{00000000-0005-0000-0000-000033BC0000}"/>
    <cellStyle name="Normal 5 2 2 2 5 2 2 2 2" xfId="30561" xr:uid="{00000000-0005-0000-0000-000034BC0000}"/>
    <cellStyle name="Normal 5 2 2 2 5 2 2 2 2 2" xfId="57694" xr:uid="{00000000-0005-0000-0000-000035BC0000}"/>
    <cellStyle name="Normal 5 2 2 2 5 2 2 2 3" xfId="44132" xr:uid="{00000000-0005-0000-0000-000036BC0000}"/>
    <cellStyle name="Normal 5 2 2 2 5 2 2 3" xfId="23780" xr:uid="{00000000-0005-0000-0000-000037BC0000}"/>
    <cellStyle name="Normal 5 2 2 2 5 2 2 3 2" xfId="50913" xr:uid="{00000000-0005-0000-0000-000038BC0000}"/>
    <cellStyle name="Normal 5 2 2 2 5 2 2 4" xfId="37351" xr:uid="{00000000-0005-0000-0000-000039BC0000}"/>
    <cellStyle name="Normal 5 2 2 2 5 2 3" xfId="13604" xr:uid="{00000000-0005-0000-0000-00003ABC0000}"/>
    <cellStyle name="Normal 5 2 2 2 5 2 3 2" xfId="27172" xr:uid="{00000000-0005-0000-0000-00003BBC0000}"/>
    <cellStyle name="Normal 5 2 2 2 5 2 3 2 2" xfId="54305" xr:uid="{00000000-0005-0000-0000-00003CBC0000}"/>
    <cellStyle name="Normal 5 2 2 2 5 2 3 3" xfId="40743" xr:uid="{00000000-0005-0000-0000-00003DBC0000}"/>
    <cellStyle name="Normal 5 2 2 2 5 2 4" xfId="20391" xr:uid="{00000000-0005-0000-0000-00003EBC0000}"/>
    <cellStyle name="Normal 5 2 2 2 5 2 4 2" xfId="47524" xr:uid="{00000000-0005-0000-0000-00003FBC0000}"/>
    <cellStyle name="Normal 5 2 2 2 5 2 5" xfId="33962" xr:uid="{00000000-0005-0000-0000-000040BC0000}"/>
    <cellStyle name="Normal 5 2 2 2 5 3" xfId="6673" xr:uid="{00000000-0005-0000-0000-000041BC0000}"/>
    <cellStyle name="Normal 5 2 2 2 5 3 2" xfId="10205" xr:uid="{00000000-0005-0000-0000-000042BC0000}"/>
    <cellStyle name="Normal 5 2 2 2 5 3 2 2" xfId="16994" xr:uid="{00000000-0005-0000-0000-000043BC0000}"/>
    <cellStyle name="Normal 5 2 2 2 5 3 2 2 2" xfId="30562" xr:uid="{00000000-0005-0000-0000-000044BC0000}"/>
    <cellStyle name="Normal 5 2 2 2 5 3 2 2 2 2" xfId="57695" xr:uid="{00000000-0005-0000-0000-000045BC0000}"/>
    <cellStyle name="Normal 5 2 2 2 5 3 2 2 3" xfId="44133" xr:uid="{00000000-0005-0000-0000-000046BC0000}"/>
    <cellStyle name="Normal 5 2 2 2 5 3 2 3" xfId="23781" xr:uid="{00000000-0005-0000-0000-000047BC0000}"/>
    <cellStyle name="Normal 5 2 2 2 5 3 2 3 2" xfId="50914" xr:uid="{00000000-0005-0000-0000-000048BC0000}"/>
    <cellStyle name="Normal 5 2 2 2 5 3 2 4" xfId="37352" xr:uid="{00000000-0005-0000-0000-000049BC0000}"/>
    <cellStyle name="Normal 5 2 2 2 5 3 3" xfId="13605" xr:uid="{00000000-0005-0000-0000-00004ABC0000}"/>
    <cellStyle name="Normal 5 2 2 2 5 3 3 2" xfId="27173" xr:uid="{00000000-0005-0000-0000-00004BBC0000}"/>
    <cellStyle name="Normal 5 2 2 2 5 3 3 2 2" xfId="54306" xr:uid="{00000000-0005-0000-0000-00004CBC0000}"/>
    <cellStyle name="Normal 5 2 2 2 5 3 3 3" xfId="40744" xr:uid="{00000000-0005-0000-0000-00004DBC0000}"/>
    <cellStyle name="Normal 5 2 2 2 5 3 4" xfId="20392" xr:uid="{00000000-0005-0000-0000-00004EBC0000}"/>
    <cellStyle name="Normal 5 2 2 2 5 3 4 2" xfId="47525" xr:uid="{00000000-0005-0000-0000-00004FBC0000}"/>
    <cellStyle name="Normal 5 2 2 2 5 3 5" xfId="33963" xr:uid="{00000000-0005-0000-0000-000050BC0000}"/>
    <cellStyle name="Normal 5 2 2 2 5 4" xfId="10203" xr:uid="{00000000-0005-0000-0000-000051BC0000}"/>
    <cellStyle name="Normal 5 2 2 2 5 4 2" xfId="16992" xr:uid="{00000000-0005-0000-0000-000052BC0000}"/>
    <cellStyle name="Normal 5 2 2 2 5 4 2 2" xfId="30560" xr:uid="{00000000-0005-0000-0000-000053BC0000}"/>
    <cellStyle name="Normal 5 2 2 2 5 4 2 2 2" xfId="57693" xr:uid="{00000000-0005-0000-0000-000054BC0000}"/>
    <cellStyle name="Normal 5 2 2 2 5 4 2 3" xfId="44131" xr:uid="{00000000-0005-0000-0000-000055BC0000}"/>
    <cellStyle name="Normal 5 2 2 2 5 4 3" xfId="23779" xr:uid="{00000000-0005-0000-0000-000056BC0000}"/>
    <cellStyle name="Normal 5 2 2 2 5 4 3 2" xfId="50912" xr:uid="{00000000-0005-0000-0000-000057BC0000}"/>
    <cellStyle name="Normal 5 2 2 2 5 4 4" xfId="37350" xr:uid="{00000000-0005-0000-0000-000058BC0000}"/>
    <cellStyle name="Normal 5 2 2 2 5 5" xfId="13603" xr:uid="{00000000-0005-0000-0000-000059BC0000}"/>
    <cellStyle name="Normal 5 2 2 2 5 5 2" xfId="27171" xr:uid="{00000000-0005-0000-0000-00005ABC0000}"/>
    <cellStyle name="Normal 5 2 2 2 5 5 2 2" xfId="54304" xr:uid="{00000000-0005-0000-0000-00005BBC0000}"/>
    <cellStyle name="Normal 5 2 2 2 5 5 3" xfId="40742" xr:uid="{00000000-0005-0000-0000-00005CBC0000}"/>
    <cellStyle name="Normal 5 2 2 2 5 6" xfId="20390" xr:uid="{00000000-0005-0000-0000-00005DBC0000}"/>
    <cellStyle name="Normal 5 2 2 2 5 6 2" xfId="47523" xr:uid="{00000000-0005-0000-0000-00005EBC0000}"/>
    <cellStyle name="Normal 5 2 2 2 5 7" xfId="33961" xr:uid="{00000000-0005-0000-0000-00005FBC0000}"/>
    <cellStyle name="Normal 5 2 2 2 6" xfId="6674" xr:uid="{00000000-0005-0000-0000-000060BC0000}"/>
    <cellStyle name="Normal 5 2 2 2 6 2" xfId="6675" xr:uid="{00000000-0005-0000-0000-000061BC0000}"/>
    <cellStyle name="Normal 5 2 2 2 6 2 2" xfId="10207" xr:uid="{00000000-0005-0000-0000-000062BC0000}"/>
    <cellStyle name="Normal 5 2 2 2 6 2 2 2" xfId="16996" xr:uid="{00000000-0005-0000-0000-000063BC0000}"/>
    <cellStyle name="Normal 5 2 2 2 6 2 2 2 2" xfId="30564" xr:uid="{00000000-0005-0000-0000-000064BC0000}"/>
    <cellStyle name="Normal 5 2 2 2 6 2 2 2 2 2" xfId="57697" xr:uid="{00000000-0005-0000-0000-000065BC0000}"/>
    <cellStyle name="Normal 5 2 2 2 6 2 2 2 3" xfId="44135" xr:uid="{00000000-0005-0000-0000-000066BC0000}"/>
    <cellStyle name="Normal 5 2 2 2 6 2 2 3" xfId="23783" xr:uid="{00000000-0005-0000-0000-000067BC0000}"/>
    <cellStyle name="Normal 5 2 2 2 6 2 2 3 2" xfId="50916" xr:uid="{00000000-0005-0000-0000-000068BC0000}"/>
    <cellStyle name="Normal 5 2 2 2 6 2 2 4" xfId="37354" xr:uid="{00000000-0005-0000-0000-000069BC0000}"/>
    <cellStyle name="Normal 5 2 2 2 6 2 3" xfId="13607" xr:uid="{00000000-0005-0000-0000-00006ABC0000}"/>
    <cellStyle name="Normal 5 2 2 2 6 2 3 2" xfId="27175" xr:uid="{00000000-0005-0000-0000-00006BBC0000}"/>
    <cellStyle name="Normal 5 2 2 2 6 2 3 2 2" xfId="54308" xr:uid="{00000000-0005-0000-0000-00006CBC0000}"/>
    <cellStyle name="Normal 5 2 2 2 6 2 3 3" xfId="40746" xr:uid="{00000000-0005-0000-0000-00006DBC0000}"/>
    <cellStyle name="Normal 5 2 2 2 6 2 4" xfId="20394" xr:uid="{00000000-0005-0000-0000-00006EBC0000}"/>
    <cellStyle name="Normal 5 2 2 2 6 2 4 2" xfId="47527" xr:uid="{00000000-0005-0000-0000-00006FBC0000}"/>
    <cellStyle name="Normal 5 2 2 2 6 2 5" xfId="33965" xr:uid="{00000000-0005-0000-0000-000070BC0000}"/>
    <cellStyle name="Normal 5 2 2 2 6 3" xfId="10206" xr:uid="{00000000-0005-0000-0000-000071BC0000}"/>
    <cellStyle name="Normal 5 2 2 2 6 3 2" xfId="16995" xr:uid="{00000000-0005-0000-0000-000072BC0000}"/>
    <cellStyle name="Normal 5 2 2 2 6 3 2 2" xfId="30563" xr:uid="{00000000-0005-0000-0000-000073BC0000}"/>
    <cellStyle name="Normal 5 2 2 2 6 3 2 2 2" xfId="57696" xr:uid="{00000000-0005-0000-0000-000074BC0000}"/>
    <cellStyle name="Normal 5 2 2 2 6 3 2 3" xfId="44134" xr:uid="{00000000-0005-0000-0000-000075BC0000}"/>
    <cellStyle name="Normal 5 2 2 2 6 3 3" xfId="23782" xr:uid="{00000000-0005-0000-0000-000076BC0000}"/>
    <cellStyle name="Normal 5 2 2 2 6 3 3 2" xfId="50915" xr:uid="{00000000-0005-0000-0000-000077BC0000}"/>
    <cellStyle name="Normal 5 2 2 2 6 3 4" xfId="37353" xr:uid="{00000000-0005-0000-0000-000078BC0000}"/>
    <cellStyle name="Normal 5 2 2 2 6 4" xfId="13606" xr:uid="{00000000-0005-0000-0000-000079BC0000}"/>
    <cellStyle name="Normal 5 2 2 2 6 4 2" xfId="27174" xr:uid="{00000000-0005-0000-0000-00007ABC0000}"/>
    <cellStyle name="Normal 5 2 2 2 6 4 2 2" xfId="54307" xr:uid="{00000000-0005-0000-0000-00007BBC0000}"/>
    <cellStyle name="Normal 5 2 2 2 6 4 3" xfId="40745" xr:uid="{00000000-0005-0000-0000-00007CBC0000}"/>
    <cellStyle name="Normal 5 2 2 2 6 5" xfId="20393" xr:uid="{00000000-0005-0000-0000-00007DBC0000}"/>
    <cellStyle name="Normal 5 2 2 2 6 5 2" xfId="47526" xr:uid="{00000000-0005-0000-0000-00007EBC0000}"/>
    <cellStyle name="Normal 5 2 2 2 6 6" xfId="33964" xr:uid="{00000000-0005-0000-0000-00007FBC0000}"/>
    <cellStyle name="Normal 5 2 2 2 7" xfId="6676" xr:uid="{00000000-0005-0000-0000-000080BC0000}"/>
    <cellStyle name="Normal 5 2 2 2 7 2" xfId="10208" xr:uid="{00000000-0005-0000-0000-000081BC0000}"/>
    <cellStyle name="Normal 5 2 2 2 7 2 2" xfId="16997" xr:uid="{00000000-0005-0000-0000-000082BC0000}"/>
    <cellStyle name="Normal 5 2 2 2 7 2 2 2" xfId="30565" xr:uid="{00000000-0005-0000-0000-000083BC0000}"/>
    <cellStyle name="Normal 5 2 2 2 7 2 2 2 2" xfId="57698" xr:uid="{00000000-0005-0000-0000-000084BC0000}"/>
    <cellStyle name="Normal 5 2 2 2 7 2 2 3" xfId="44136" xr:uid="{00000000-0005-0000-0000-000085BC0000}"/>
    <cellStyle name="Normal 5 2 2 2 7 2 3" xfId="23784" xr:uid="{00000000-0005-0000-0000-000086BC0000}"/>
    <cellStyle name="Normal 5 2 2 2 7 2 3 2" xfId="50917" xr:uid="{00000000-0005-0000-0000-000087BC0000}"/>
    <cellStyle name="Normal 5 2 2 2 7 2 4" xfId="37355" xr:uid="{00000000-0005-0000-0000-000088BC0000}"/>
    <cellStyle name="Normal 5 2 2 2 7 3" xfId="13608" xr:uid="{00000000-0005-0000-0000-000089BC0000}"/>
    <cellStyle name="Normal 5 2 2 2 7 3 2" xfId="27176" xr:uid="{00000000-0005-0000-0000-00008ABC0000}"/>
    <cellStyle name="Normal 5 2 2 2 7 3 2 2" xfId="54309" xr:uid="{00000000-0005-0000-0000-00008BBC0000}"/>
    <cellStyle name="Normal 5 2 2 2 7 3 3" xfId="40747" xr:uid="{00000000-0005-0000-0000-00008CBC0000}"/>
    <cellStyle name="Normal 5 2 2 2 7 4" xfId="20395" xr:uid="{00000000-0005-0000-0000-00008DBC0000}"/>
    <cellStyle name="Normal 5 2 2 2 7 4 2" xfId="47528" xr:uid="{00000000-0005-0000-0000-00008EBC0000}"/>
    <cellStyle name="Normal 5 2 2 2 7 5" xfId="33966" xr:uid="{00000000-0005-0000-0000-00008FBC0000}"/>
    <cellStyle name="Normal 5 2 2 2 8" xfId="6677" xr:uid="{00000000-0005-0000-0000-000090BC0000}"/>
    <cellStyle name="Normal 5 2 2 2 8 2" xfId="10209" xr:uid="{00000000-0005-0000-0000-000091BC0000}"/>
    <cellStyle name="Normal 5 2 2 2 8 2 2" xfId="16998" xr:uid="{00000000-0005-0000-0000-000092BC0000}"/>
    <cellStyle name="Normal 5 2 2 2 8 2 2 2" xfId="30566" xr:uid="{00000000-0005-0000-0000-000093BC0000}"/>
    <cellStyle name="Normal 5 2 2 2 8 2 2 2 2" xfId="57699" xr:uid="{00000000-0005-0000-0000-000094BC0000}"/>
    <cellStyle name="Normal 5 2 2 2 8 2 2 3" xfId="44137" xr:uid="{00000000-0005-0000-0000-000095BC0000}"/>
    <cellStyle name="Normal 5 2 2 2 8 2 3" xfId="23785" xr:uid="{00000000-0005-0000-0000-000096BC0000}"/>
    <cellStyle name="Normal 5 2 2 2 8 2 3 2" xfId="50918" xr:uid="{00000000-0005-0000-0000-000097BC0000}"/>
    <cellStyle name="Normal 5 2 2 2 8 2 4" xfId="37356" xr:uid="{00000000-0005-0000-0000-000098BC0000}"/>
    <cellStyle name="Normal 5 2 2 2 8 3" xfId="13609" xr:uid="{00000000-0005-0000-0000-000099BC0000}"/>
    <cellStyle name="Normal 5 2 2 2 8 3 2" xfId="27177" xr:uid="{00000000-0005-0000-0000-00009ABC0000}"/>
    <cellStyle name="Normal 5 2 2 2 8 3 2 2" xfId="54310" xr:uid="{00000000-0005-0000-0000-00009BBC0000}"/>
    <cellStyle name="Normal 5 2 2 2 8 3 3" xfId="40748" xr:uid="{00000000-0005-0000-0000-00009CBC0000}"/>
    <cellStyle name="Normal 5 2 2 2 8 4" xfId="20396" xr:uid="{00000000-0005-0000-0000-00009DBC0000}"/>
    <cellStyle name="Normal 5 2 2 2 8 4 2" xfId="47529" xr:uid="{00000000-0005-0000-0000-00009EBC0000}"/>
    <cellStyle name="Normal 5 2 2 2 8 5" xfId="33967" xr:uid="{00000000-0005-0000-0000-00009FBC0000}"/>
    <cellStyle name="Normal 5 2 2 2 9" xfId="10172" xr:uid="{00000000-0005-0000-0000-0000A0BC0000}"/>
    <cellStyle name="Normal 5 2 2 2 9 2" xfId="16961" xr:uid="{00000000-0005-0000-0000-0000A1BC0000}"/>
    <cellStyle name="Normal 5 2 2 2 9 2 2" xfId="30529" xr:uid="{00000000-0005-0000-0000-0000A2BC0000}"/>
    <cellStyle name="Normal 5 2 2 2 9 2 2 2" xfId="57662" xr:uid="{00000000-0005-0000-0000-0000A3BC0000}"/>
    <cellStyle name="Normal 5 2 2 2 9 2 3" xfId="44100" xr:uid="{00000000-0005-0000-0000-0000A4BC0000}"/>
    <cellStyle name="Normal 5 2 2 2 9 3" xfId="23748" xr:uid="{00000000-0005-0000-0000-0000A5BC0000}"/>
    <cellStyle name="Normal 5 2 2 2 9 3 2" xfId="50881" xr:uid="{00000000-0005-0000-0000-0000A6BC0000}"/>
    <cellStyle name="Normal 5 2 2 2 9 4" xfId="37319" xr:uid="{00000000-0005-0000-0000-0000A7BC0000}"/>
    <cellStyle name="Normal 5 2 2 3" xfId="6678" xr:uid="{00000000-0005-0000-0000-0000A8BC0000}"/>
    <cellStyle name="Normal 5 2 2 3 10" xfId="33968" xr:uid="{00000000-0005-0000-0000-0000A9BC0000}"/>
    <cellStyle name="Normal 5 2 2 3 2" xfId="6679" xr:uid="{00000000-0005-0000-0000-0000AABC0000}"/>
    <cellStyle name="Normal 5 2 2 3 2 2" xfId="6680" xr:uid="{00000000-0005-0000-0000-0000ABBC0000}"/>
    <cellStyle name="Normal 5 2 2 3 2 2 2" xfId="6681" xr:uid="{00000000-0005-0000-0000-0000ACBC0000}"/>
    <cellStyle name="Normal 5 2 2 3 2 2 2 2" xfId="10213" xr:uid="{00000000-0005-0000-0000-0000ADBC0000}"/>
    <cellStyle name="Normal 5 2 2 3 2 2 2 2 2" xfId="17002" xr:uid="{00000000-0005-0000-0000-0000AEBC0000}"/>
    <cellStyle name="Normal 5 2 2 3 2 2 2 2 2 2" xfId="30570" xr:uid="{00000000-0005-0000-0000-0000AFBC0000}"/>
    <cellStyle name="Normal 5 2 2 3 2 2 2 2 2 2 2" xfId="57703" xr:uid="{00000000-0005-0000-0000-0000B0BC0000}"/>
    <cellStyle name="Normal 5 2 2 3 2 2 2 2 2 3" xfId="44141" xr:uid="{00000000-0005-0000-0000-0000B1BC0000}"/>
    <cellStyle name="Normal 5 2 2 3 2 2 2 2 3" xfId="23789" xr:uid="{00000000-0005-0000-0000-0000B2BC0000}"/>
    <cellStyle name="Normal 5 2 2 3 2 2 2 2 3 2" xfId="50922" xr:uid="{00000000-0005-0000-0000-0000B3BC0000}"/>
    <cellStyle name="Normal 5 2 2 3 2 2 2 2 4" xfId="37360" xr:uid="{00000000-0005-0000-0000-0000B4BC0000}"/>
    <cellStyle name="Normal 5 2 2 3 2 2 2 3" xfId="13613" xr:uid="{00000000-0005-0000-0000-0000B5BC0000}"/>
    <cellStyle name="Normal 5 2 2 3 2 2 2 3 2" xfId="27181" xr:uid="{00000000-0005-0000-0000-0000B6BC0000}"/>
    <cellStyle name="Normal 5 2 2 3 2 2 2 3 2 2" xfId="54314" xr:uid="{00000000-0005-0000-0000-0000B7BC0000}"/>
    <cellStyle name="Normal 5 2 2 3 2 2 2 3 3" xfId="40752" xr:uid="{00000000-0005-0000-0000-0000B8BC0000}"/>
    <cellStyle name="Normal 5 2 2 3 2 2 2 4" xfId="20400" xr:uid="{00000000-0005-0000-0000-0000B9BC0000}"/>
    <cellStyle name="Normal 5 2 2 3 2 2 2 4 2" xfId="47533" xr:uid="{00000000-0005-0000-0000-0000BABC0000}"/>
    <cellStyle name="Normal 5 2 2 3 2 2 2 5" xfId="33971" xr:uid="{00000000-0005-0000-0000-0000BBBC0000}"/>
    <cellStyle name="Normal 5 2 2 3 2 2 3" xfId="6682" xr:uid="{00000000-0005-0000-0000-0000BCBC0000}"/>
    <cellStyle name="Normal 5 2 2 3 2 2 3 2" xfId="10214" xr:uid="{00000000-0005-0000-0000-0000BDBC0000}"/>
    <cellStyle name="Normal 5 2 2 3 2 2 3 2 2" xfId="17003" xr:uid="{00000000-0005-0000-0000-0000BEBC0000}"/>
    <cellStyle name="Normal 5 2 2 3 2 2 3 2 2 2" xfId="30571" xr:uid="{00000000-0005-0000-0000-0000BFBC0000}"/>
    <cellStyle name="Normal 5 2 2 3 2 2 3 2 2 2 2" xfId="57704" xr:uid="{00000000-0005-0000-0000-0000C0BC0000}"/>
    <cellStyle name="Normal 5 2 2 3 2 2 3 2 2 3" xfId="44142" xr:uid="{00000000-0005-0000-0000-0000C1BC0000}"/>
    <cellStyle name="Normal 5 2 2 3 2 2 3 2 3" xfId="23790" xr:uid="{00000000-0005-0000-0000-0000C2BC0000}"/>
    <cellStyle name="Normal 5 2 2 3 2 2 3 2 3 2" xfId="50923" xr:uid="{00000000-0005-0000-0000-0000C3BC0000}"/>
    <cellStyle name="Normal 5 2 2 3 2 2 3 2 4" xfId="37361" xr:uid="{00000000-0005-0000-0000-0000C4BC0000}"/>
    <cellStyle name="Normal 5 2 2 3 2 2 3 3" xfId="13614" xr:uid="{00000000-0005-0000-0000-0000C5BC0000}"/>
    <cellStyle name="Normal 5 2 2 3 2 2 3 3 2" xfId="27182" xr:uid="{00000000-0005-0000-0000-0000C6BC0000}"/>
    <cellStyle name="Normal 5 2 2 3 2 2 3 3 2 2" xfId="54315" xr:uid="{00000000-0005-0000-0000-0000C7BC0000}"/>
    <cellStyle name="Normal 5 2 2 3 2 2 3 3 3" xfId="40753" xr:uid="{00000000-0005-0000-0000-0000C8BC0000}"/>
    <cellStyle name="Normal 5 2 2 3 2 2 3 4" xfId="20401" xr:uid="{00000000-0005-0000-0000-0000C9BC0000}"/>
    <cellStyle name="Normal 5 2 2 3 2 2 3 4 2" xfId="47534" xr:uid="{00000000-0005-0000-0000-0000CABC0000}"/>
    <cellStyle name="Normal 5 2 2 3 2 2 3 5" xfId="33972" xr:uid="{00000000-0005-0000-0000-0000CBBC0000}"/>
    <cellStyle name="Normal 5 2 2 3 2 2 4" xfId="10212" xr:uid="{00000000-0005-0000-0000-0000CCBC0000}"/>
    <cellStyle name="Normal 5 2 2 3 2 2 4 2" xfId="17001" xr:uid="{00000000-0005-0000-0000-0000CDBC0000}"/>
    <cellStyle name="Normal 5 2 2 3 2 2 4 2 2" xfId="30569" xr:uid="{00000000-0005-0000-0000-0000CEBC0000}"/>
    <cellStyle name="Normal 5 2 2 3 2 2 4 2 2 2" xfId="57702" xr:uid="{00000000-0005-0000-0000-0000CFBC0000}"/>
    <cellStyle name="Normal 5 2 2 3 2 2 4 2 3" xfId="44140" xr:uid="{00000000-0005-0000-0000-0000D0BC0000}"/>
    <cellStyle name="Normal 5 2 2 3 2 2 4 3" xfId="23788" xr:uid="{00000000-0005-0000-0000-0000D1BC0000}"/>
    <cellStyle name="Normal 5 2 2 3 2 2 4 3 2" xfId="50921" xr:uid="{00000000-0005-0000-0000-0000D2BC0000}"/>
    <cellStyle name="Normal 5 2 2 3 2 2 4 4" xfId="37359" xr:uid="{00000000-0005-0000-0000-0000D3BC0000}"/>
    <cellStyle name="Normal 5 2 2 3 2 2 5" xfId="13612" xr:uid="{00000000-0005-0000-0000-0000D4BC0000}"/>
    <cellStyle name="Normal 5 2 2 3 2 2 5 2" xfId="27180" xr:uid="{00000000-0005-0000-0000-0000D5BC0000}"/>
    <cellStyle name="Normal 5 2 2 3 2 2 5 2 2" xfId="54313" xr:uid="{00000000-0005-0000-0000-0000D6BC0000}"/>
    <cellStyle name="Normal 5 2 2 3 2 2 5 3" xfId="40751" xr:uid="{00000000-0005-0000-0000-0000D7BC0000}"/>
    <cellStyle name="Normal 5 2 2 3 2 2 6" xfId="20399" xr:uid="{00000000-0005-0000-0000-0000D8BC0000}"/>
    <cellStyle name="Normal 5 2 2 3 2 2 6 2" xfId="47532" xr:uid="{00000000-0005-0000-0000-0000D9BC0000}"/>
    <cellStyle name="Normal 5 2 2 3 2 2 7" xfId="33970" xr:uid="{00000000-0005-0000-0000-0000DABC0000}"/>
    <cellStyle name="Normal 5 2 2 3 2 3" xfId="6683" xr:uid="{00000000-0005-0000-0000-0000DBBC0000}"/>
    <cellStyle name="Normal 5 2 2 3 2 3 2" xfId="6684" xr:uid="{00000000-0005-0000-0000-0000DCBC0000}"/>
    <cellStyle name="Normal 5 2 2 3 2 3 2 2" xfId="10216" xr:uid="{00000000-0005-0000-0000-0000DDBC0000}"/>
    <cellStyle name="Normal 5 2 2 3 2 3 2 2 2" xfId="17005" xr:uid="{00000000-0005-0000-0000-0000DEBC0000}"/>
    <cellStyle name="Normal 5 2 2 3 2 3 2 2 2 2" xfId="30573" xr:uid="{00000000-0005-0000-0000-0000DFBC0000}"/>
    <cellStyle name="Normal 5 2 2 3 2 3 2 2 2 2 2" xfId="57706" xr:uid="{00000000-0005-0000-0000-0000E0BC0000}"/>
    <cellStyle name="Normal 5 2 2 3 2 3 2 2 2 3" xfId="44144" xr:uid="{00000000-0005-0000-0000-0000E1BC0000}"/>
    <cellStyle name="Normal 5 2 2 3 2 3 2 2 3" xfId="23792" xr:uid="{00000000-0005-0000-0000-0000E2BC0000}"/>
    <cellStyle name="Normal 5 2 2 3 2 3 2 2 3 2" xfId="50925" xr:uid="{00000000-0005-0000-0000-0000E3BC0000}"/>
    <cellStyle name="Normal 5 2 2 3 2 3 2 2 4" xfId="37363" xr:uid="{00000000-0005-0000-0000-0000E4BC0000}"/>
    <cellStyle name="Normal 5 2 2 3 2 3 2 3" xfId="13616" xr:uid="{00000000-0005-0000-0000-0000E5BC0000}"/>
    <cellStyle name="Normal 5 2 2 3 2 3 2 3 2" xfId="27184" xr:uid="{00000000-0005-0000-0000-0000E6BC0000}"/>
    <cellStyle name="Normal 5 2 2 3 2 3 2 3 2 2" xfId="54317" xr:uid="{00000000-0005-0000-0000-0000E7BC0000}"/>
    <cellStyle name="Normal 5 2 2 3 2 3 2 3 3" xfId="40755" xr:uid="{00000000-0005-0000-0000-0000E8BC0000}"/>
    <cellStyle name="Normal 5 2 2 3 2 3 2 4" xfId="20403" xr:uid="{00000000-0005-0000-0000-0000E9BC0000}"/>
    <cellStyle name="Normal 5 2 2 3 2 3 2 4 2" xfId="47536" xr:uid="{00000000-0005-0000-0000-0000EABC0000}"/>
    <cellStyle name="Normal 5 2 2 3 2 3 2 5" xfId="33974" xr:uid="{00000000-0005-0000-0000-0000EBBC0000}"/>
    <cellStyle name="Normal 5 2 2 3 2 3 3" xfId="10215" xr:uid="{00000000-0005-0000-0000-0000ECBC0000}"/>
    <cellStyle name="Normal 5 2 2 3 2 3 3 2" xfId="17004" xr:uid="{00000000-0005-0000-0000-0000EDBC0000}"/>
    <cellStyle name="Normal 5 2 2 3 2 3 3 2 2" xfId="30572" xr:uid="{00000000-0005-0000-0000-0000EEBC0000}"/>
    <cellStyle name="Normal 5 2 2 3 2 3 3 2 2 2" xfId="57705" xr:uid="{00000000-0005-0000-0000-0000EFBC0000}"/>
    <cellStyle name="Normal 5 2 2 3 2 3 3 2 3" xfId="44143" xr:uid="{00000000-0005-0000-0000-0000F0BC0000}"/>
    <cellStyle name="Normal 5 2 2 3 2 3 3 3" xfId="23791" xr:uid="{00000000-0005-0000-0000-0000F1BC0000}"/>
    <cellStyle name="Normal 5 2 2 3 2 3 3 3 2" xfId="50924" xr:uid="{00000000-0005-0000-0000-0000F2BC0000}"/>
    <cellStyle name="Normal 5 2 2 3 2 3 3 4" xfId="37362" xr:uid="{00000000-0005-0000-0000-0000F3BC0000}"/>
    <cellStyle name="Normal 5 2 2 3 2 3 4" xfId="13615" xr:uid="{00000000-0005-0000-0000-0000F4BC0000}"/>
    <cellStyle name="Normal 5 2 2 3 2 3 4 2" xfId="27183" xr:uid="{00000000-0005-0000-0000-0000F5BC0000}"/>
    <cellStyle name="Normal 5 2 2 3 2 3 4 2 2" xfId="54316" xr:uid="{00000000-0005-0000-0000-0000F6BC0000}"/>
    <cellStyle name="Normal 5 2 2 3 2 3 4 3" xfId="40754" xr:uid="{00000000-0005-0000-0000-0000F7BC0000}"/>
    <cellStyle name="Normal 5 2 2 3 2 3 5" xfId="20402" xr:uid="{00000000-0005-0000-0000-0000F8BC0000}"/>
    <cellStyle name="Normal 5 2 2 3 2 3 5 2" xfId="47535" xr:uid="{00000000-0005-0000-0000-0000F9BC0000}"/>
    <cellStyle name="Normal 5 2 2 3 2 3 6" xfId="33973" xr:uid="{00000000-0005-0000-0000-0000FABC0000}"/>
    <cellStyle name="Normal 5 2 2 3 2 4" xfId="6685" xr:uid="{00000000-0005-0000-0000-0000FBBC0000}"/>
    <cellStyle name="Normal 5 2 2 3 2 4 2" xfId="10217" xr:uid="{00000000-0005-0000-0000-0000FCBC0000}"/>
    <cellStyle name="Normal 5 2 2 3 2 4 2 2" xfId="17006" xr:uid="{00000000-0005-0000-0000-0000FDBC0000}"/>
    <cellStyle name="Normal 5 2 2 3 2 4 2 2 2" xfId="30574" xr:uid="{00000000-0005-0000-0000-0000FEBC0000}"/>
    <cellStyle name="Normal 5 2 2 3 2 4 2 2 2 2" xfId="57707" xr:uid="{00000000-0005-0000-0000-0000FFBC0000}"/>
    <cellStyle name="Normal 5 2 2 3 2 4 2 2 3" xfId="44145" xr:uid="{00000000-0005-0000-0000-000000BD0000}"/>
    <cellStyle name="Normal 5 2 2 3 2 4 2 3" xfId="23793" xr:uid="{00000000-0005-0000-0000-000001BD0000}"/>
    <cellStyle name="Normal 5 2 2 3 2 4 2 3 2" xfId="50926" xr:uid="{00000000-0005-0000-0000-000002BD0000}"/>
    <cellStyle name="Normal 5 2 2 3 2 4 2 4" xfId="37364" xr:uid="{00000000-0005-0000-0000-000003BD0000}"/>
    <cellStyle name="Normal 5 2 2 3 2 4 3" xfId="13617" xr:uid="{00000000-0005-0000-0000-000004BD0000}"/>
    <cellStyle name="Normal 5 2 2 3 2 4 3 2" xfId="27185" xr:uid="{00000000-0005-0000-0000-000005BD0000}"/>
    <cellStyle name="Normal 5 2 2 3 2 4 3 2 2" xfId="54318" xr:uid="{00000000-0005-0000-0000-000006BD0000}"/>
    <cellStyle name="Normal 5 2 2 3 2 4 3 3" xfId="40756" xr:uid="{00000000-0005-0000-0000-000007BD0000}"/>
    <cellStyle name="Normal 5 2 2 3 2 4 4" xfId="20404" xr:uid="{00000000-0005-0000-0000-000008BD0000}"/>
    <cellStyle name="Normal 5 2 2 3 2 4 4 2" xfId="47537" xr:uid="{00000000-0005-0000-0000-000009BD0000}"/>
    <cellStyle name="Normal 5 2 2 3 2 4 5" xfId="33975" xr:uid="{00000000-0005-0000-0000-00000ABD0000}"/>
    <cellStyle name="Normal 5 2 2 3 2 5" xfId="6686" xr:uid="{00000000-0005-0000-0000-00000BBD0000}"/>
    <cellStyle name="Normal 5 2 2 3 2 5 2" xfId="10218" xr:uid="{00000000-0005-0000-0000-00000CBD0000}"/>
    <cellStyle name="Normal 5 2 2 3 2 5 2 2" xfId="17007" xr:uid="{00000000-0005-0000-0000-00000DBD0000}"/>
    <cellStyle name="Normal 5 2 2 3 2 5 2 2 2" xfId="30575" xr:uid="{00000000-0005-0000-0000-00000EBD0000}"/>
    <cellStyle name="Normal 5 2 2 3 2 5 2 2 2 2" xfId="57708" xr:uid="{00000000-0005-0000-0000-00000FBD0000}"/>
    <cellStyle name="Normal 5 2 2 3 2 5 2 2 3" xfId="44146" xr:uid="{00000000-0005-0000-0000-000010BD0000}"/>
    <cellStyle name="Normal 5 2 2 3 2 5 2 3" xfId="23794" xr:uid="{00000000-0005-0000-0000-000011BD0000}"/>
    <cellStyle name="Normal 5 2 2 3 2 5 2 3 2" xfId="50927" xr:uid="{00000000-0005-0000-0000-000012BD0000}"/>
    <cellStyle name="Normal 5 2 2 3 2 5 2 4" xfId="37365" xr:uid="{00000000-0005-0000-0000-000013BD0000}"/>
    <cellStyle name="Normal 5 2 2 3 2 5 3" xfId="13618" xr:uid="{00000000-0005-0000-0000-000014BD0000}"/>
    <cellStyle name="Normal 5 2 2 3 2 5 3 2" xfId="27186" xr:uid="{00000000-0005-0000-0000-000015BD0000}"/>
    <cellStyle name="Normal 5 2 2 3 2 5 3 2 2" xfId="54319" xr:uid="{00000000-0005-0000-0000-000016BD0000}"/>
    <cellStyle name="Normal 5 2 2 3 2 5 3 3" xfId="40757" xr:uid="{00000000-0005-0000-0000-000017BD0000}"/>
    <cellStyle name="Normal 5 2 2 3 2 5 4" xfId="20405" xr:uid="{00000000-0005-0000-0000-000018BD0000}"/>
    <cellStyle name="Normal 5 2 2 3 2 5 4 2" xfId="47538" xr:uid="{00000000-0005-0000-0000-000019BD0000}"/>
    <cellStyle name="Normal 5 2 2 3 2 5 5" xfId="33976" xr:uid="{00000000-0005-0000-0000-00001ABD0000}"/>
    <cellStyle name="Normal 5 2 2 3 2 6" xfId="10211" xr:uid="{00000000-0005-0000-0000-00001BBD0000}"/>
    <cellStyle name="Normal 5 2 2 3 2 6 2" xfId="17000" xr:uid="{00000000-0005-0000-0000-00001CBD0000}"/>
    <cellStyle name="Normal 5 2 2 3 2 6 2 2" xfId="30568" xr:uid="{00000000-0005-0000-0000-00001DBD0000}"/>
    <cellStyle name="Normal 5 2 2 3 2 6 2 2 2" xfId="57701" xr:uid="{00000000-0005-0000-0000-00001EBD0000}"/>
    <cellStyle name="Normal 5 2 2 3 2 6 2 3" xfId="44139" xr:uid="{00000000-0005-0000-0000-00001FBD0000}"/>
    <cellStyle name="Normal 5 2 2 3 2 6 3" xfId="23787" xr:uid="{00000000-0005-0000-0000-000020BD0000}"/>
    <cellStyle name="Normal 5 2 2 3 2 6 3 2" xfId="50920" xr:uid="{00000000-0005-0000-0000-000021BD0000}"/>
    <cellStyle name="Normal 5 2 2 3 2 6 4" xfId="37358" xr:uid="{00000000-0005-0000-0000-000022BD0000}"/>
    <cellStyle name="Normal 5 2 2 3 2 7" xfId="13611" xr:uid="{00000000-0005-0000-0000-000023BD0000}"/>
    <cellStyle name="Normal 5 2 2 3 2 7 2" xfId="27179" xr:uid="{00000000-0005-0000-0000-000024BD0000}"/>
    <cellStyle name="Normal 5 2 2 3 2 7 2 2" xfId="54312" xr:uid="{00000000-0005-0000-0000-000025BD0000}"/>
    <cellStyle name="Normal 5 2 2 3 2 7 3" xfId="40750" xr:uid="{00000000-0005-0000-0000-000026BD0000}"/>
    <cellStyle name="Normal 5 2 2 3 2 8" xfId="20398" xr:uid="{00000000-0005-0000-0000-000027BD0000}"/>
    <cellStyle name="Normal 5 2 2 3 2 8 2" xfId="47531" xr:uid="{00000000-0005-0000-0000-000028BD0000}"/>
    <cellStyle name="Normal 5 2 2 3 2 9" xfId="33969" xr:uid="{00000000-0005-0000-0000-000029BD0000}"/>
    <cellStyle name="Normal 5 2 2 3 3" xfId="6687" xr:uid="{00000000-0005-0000-0000-00002ABD0000}"/>
    <cellStyle name="Normal 5 2 2 3 3 2" xfId="6688" xr:uid="{00000000-0005-0000-0000-00002BBD0000}"/>
    <cellStyle name="Normal 5 2 2 3 3 2 2" xfId="10220" xr:uid="{00000000-0005-0000-0000-00002CBD0000}"/>
    <cellStyle name="Normal 5 2 2 3 3 2 2 2" xfId="17009" xr:uid="{00000000-0005-0000-0000-00002DBD0000}"/>
    <cellStyle name="Normal 5 2 2 3 3 2 2 2 2" xfId="30577" xr:uid="{00000000-0005-0000-0000-00002EBD0000}"/>
    <cellStyle name="Normal 5 2 2 3 3 2 2 2 2 2" xfId="57710" xr:uid="{00000000-0005-0000-0000-00002FBD0000}"/>
    <cellStyle name="Normal 5 2 2 3 3 2 2 2 3" xfId="44148" xr:uid="{00000000-0005-0000-0000-000030BD0000}"/>
    <cellStyle name="Normal 5 2 2 3 3 2 2 3" xfId="23796" xr:uid="{00000000-0005-0000-0000-000031BD0000}"/>
    <cellStyle name="Normal 5 2 2 3 3 2 2 3 2" xfId="50929" xr:uid="{00000000-0005-0000-0000-000032BD0000}"/>
    <cellStyle name="Normal 5 2 2 3 3 2 2 4" xfId="37367" xr:uid="{00000000-0005-0000-0000-000033BD0000}"/>
    <cellStyle name="Normal 5 2 2 3 3 2 3" xfId="13620" xr:uid="{00000000-0005-0000-0000-000034BD0000}"/>
    <cellStyle name="Normal 5 2 2 3 3 2 3 2" xfId="27188" xr:uid="{00000000-0005-0000-0000-000035BD0000}"/>
    <cellStyle name="Normal 5 2 2 3 3 2 3 2 2" xfId="54321" xr:uid="{00000000-0005-0000-0000-000036BD0000}"/>
    <cellStyle name="Normal 5 2 2 3 3 2 3 3" xfId="40759" xr:uid="{00000000-0005-0000-0000-000037BD0000}"/>
    <cellStyle name="Normal 5 2 2 3 3 2 4" xfId="20407" xr:uid="{00000000-0005-0000-0000-000038BD0000}"/>
    <cellStyle name="Normal 5 2 2 3 3 2 4 2" xfId="47540" xr:uid="{00000000-0005-0000-0000-000039BD0000}"/>
    <cellStyle name="Normal 5 2 2 3 3 2 5" xfId="33978" xr:uid="{00000000-0005-0000-0000-00003ABD0000}"/>
    <cellStyle name="Normal 5 2 2 3 3 3" xfId="6689" xr:uid="{00000000-0005-0000-0000-00003BBD0000}"/>
    <cellStyle name="Normal 5 2 2 3 3 3 2" xfId="10221" xr:uid="{00000000-0005-0000-0000-00003CBD0000}"/>
    <cellStyle name="Normal 5 2 2 3 3 3 2 2" xfId="17010" xr:uid="{00000000-0005-0000-0000-00003DBD0000}"/>
    <cellStyle name="Normal 5 2 2 3 3 3 2 2 2" xfId="30578" xr:uid="{00000000-0005-0000-0000-00003EBD0000}"/>
    <cellStyle name="Normal 5 2 2 3 3 3 2 2 2 2" xfId="57711" xr:uid="{00000000-0005-0000-0000-00003FBD0000}"/>
    <cellStyle name="Normal 5 2 2 3 3 3 2 2 3" xfId="44149" xr:uid="{00000000-0005-0000-0000-000040BD0000}"/>
    <cellStyle name="Normal 5 2 2 3 3 3 2 3" xfId="23797" xr:uid="{00000000-0005-0000-0000-000041BD0000}"/>
    <cellStyle name="Normal 5 2 2 3 3 3 2 3 2" xfId="50930" xr:uid="{00000000-0005-0000-0000-000042BD0000}"/>
    <cellStyle name="Normal 5 2 2 3 3 3 2 4" xfId="37368" xr:uid="{00000000-0005-0000-0000-000043BD0000}"/>
    <cellStyle name="Normal 5 2 2 3 3 3 3" xfId="13621" xr:uid="{00000000-0005-0000-0000-000044BD0000}"/>
    <cellStyle name="Normal 5 2 2 3 3 3 3 2" xfId="27189" xr:uid="{00000000-0005-0000-0000-000045BD0000}"/>
    <cellStyle name="Normal 5 2 2 3 3 3 3 2 2" xfId="54322" xr:uid="{00000000-0005-0000-0000-000046BD0000}"/>
    <cellStyle name="Normal 5 2 2 3 3 3 3 3" xfId="40760" xr:uid="{00000000-0005-0000-0000-000047BD0000}"/>
    <cellStyle name="Normal 5 2 2 3 3 3 4" xfId="20408" xr:uid="{00000000-0005-0000-0000-000048BD0000}"/>
    <cellStyle name="Normal 5 2 2 3 3 3 4 2" xfId="47541" xr:uid="{00000000-0005-0000-0000-000049BD0000}"/>
    <cellStyle name="Normal 5 2 2 3 3 3 5" xfId="33979" xr:uid="{00000000-0005-0000-0000-00004ABD0000}"/>
    <cellStyle name="Normal 5 2 2 3 3 4" xfId="10219" xr:uid="{00000000-0005-0000-0000-00004BBD0000}"/>
    <cellStyle name="Normal 5 2 2 3 3 4 2" xfId="17008" xr:uid="{00000000-0005-0000-0000-00004CBD0000}"/>
    <cellStyle name="Normal 5 2 2 3 3 4 2 2" xfId="30576" xr:uid="{00000000-0005-0000-0000-00004DBD0000}"/>
    <cellStyle name="Normal 5 2 2 3 3 4 2 2 2" xfId="57709" xr:uid="{00000000-0005-0000-0000-00004EBD0000}"/>
    <cellStyle name="Normal 5 2 2 3 3 4 2 3" xfId="44147" xr:uid="{00000000-0005-0000-0000-00004FBD0000}"/>
    <cellStyle name="Normal 5 2 2 3 3 4 3" xfId="23795" xr:uid="{00000000-0005-0000-0000-000050BD0000}"/>
    <cellStyle name="Normal 5 2 2 3 3 4 3 2" xfId="50928" xr:uid="{00000000-0005-0000-0000-000051BD0000}"/>
    <cellStyle name="Normal 5 2 2 3 3 4 4" xfId="37366" xr:uid="{00000000-0005-0000-0000-000052BD0000}"/>
    <cellStyle name="Normal 5 2 2 3 3 5" xfId="13619" xr:uid="{00000000-0005-0000-0000-000053BD0000}"/>
    <cellStyle name="Normal 5 2 2 3 3 5 2" xfId="27187" xr:uid="{00000000-0005-0000-0000-000054BD0000}"/>
    <cellStyle name="Normal 5 2 2 3 3 5 2 2" xfId="54320" xr:uid="{00000000-0005-0000-0000-000055BD0000}"/>
    <cellStyle name="Normal 5 2 2 3 3 5 3" xfId="40758" xr:uid="{00000000-0005-0000-0000-000056BD0000}"/>
    <cellStyle name="Normal 5 2 2 3 3 6" xfId="20406" xr:uid="{00000000-0005-0000-0000-000057BD0000}"/>
    <cellStyle name="Normal 5 2 2 3 3 6 2" xfId="47539" xr:uid="{00000000-0005-0000-0000-000058BD0000}"/>
    <cellStyle name="Normal 5 2 2 3 3 7" xfId="33977" xr:uid="{00000000-0005-0000-0000-000059BD0000}"/>
    <cellStyle name="Normal 5 2 2 3 4" xfId="6690" xr:uid="{00000000-0005-0000-0000-00005ABD0000}"/>
    <cellStyle name="Normal 5 2 2 3 4 2" xfId="6691" xr:uid="{00000000-0005-0000-0000-00005BBD0000}"/>
    <cellStyle name="Normal 5 2 2 3 4 2 2" xfId="10223" xr:uid="{00000000-0005-0000-0000-00005CBD0000}"/>
    <cellStyle name="Normal 5 2 2 3 4 2 2 2" xfId="17012" xr:uid="{00000000-0005-0000-0000-00005DBD0000}"/>
    <cellStyle name="Normal 5 2 2 3 4 2 2 2 2" xfId="30580" xr:uid="{00000000-0005-0000-0000-00005EBD0000}"/>
    <cellStyle name="Normal 5 2 2 3 4 2 2 2 2 2" xfId="57713" xr:uid="{00000000-0005-0000-0000-00005FBD0000}"/>
    <cellStyle name="Normal 5 2 2 3 4 2 2 2 3" xfId="44151" xr:uid="{00000000-0005-0000-0000-000060BD0000}"/>
    <cellStyle name="Normal 5 2 2 3 4 2 2 3" xfId="23799" xr:uid="{00000000-0005-0000-0000-000061BD0000}"/>
    <cellStyle name="Normal 5 2 2 3 4 2 2 3 2" xfId="50932" xr:uid="{00000000-0005-0000-0000-000062BD0000}"/>
    <cellStyle name="Normal 5 2 2 3 4 2 2 4" xfId="37370" xr:uid="{00000000-0005-0000-0000-000063BD0000}"/>
    <cellStyle name="Normal 5 2 2 3 4 2 3" xfId="13623" xr:uid="{00000000-0005-0000-0000-000064BD0000}"/>
    <cellStyle name="Normal 5 2 2 3 4 2 3 2" xfId="27191" xr:uid="{00000000-0005-0000-0000-000065BD0000}"/>
    <cellStyle name="Normal 5 2 2 3 4 2 3 2 2" xfId="54324" xr:uid="{00000000-0005-0000-0000-000066BD0000}"/>
    <cellStyle name="Normal 5 2 2 3 4 2 3 3" xfId="40762" xr:uid="{00000000-0005-0000-0000-000067BD0000}"/>
    <cellStyle name="Normal 5 2 2 3 4 2 4" xfId="20410" xr:uid="{00000000-0005-0000-0000-000068BD0000}"/>
    <cellStyle name="Normal 5 2 2 3 4 2 4 2" xfId="47543" xr:uid="{00000000-0005-0000-0000-000069BD0000}"/>
    <cellStyle name="Normal 5 2 2 3 4 2 5" xfId="33981" xr:uid="{00000000-0005-0000-0000-00006ABD0000}"/>
    <cellStyle name="Normal 5 2 2 3 4 3" xfId="10222" xr:uid="{00000000-0005-0000-0000-00006BBD0000}"/>
    <cellStyle name="Normal 5 2 2 3 4 3 2" xfId="17011" xr:uid="{00000000-0005-0000-0000-00006CBD0000}"/>
    <cellStyle name="Normal 5 2 2 3 4 3 2 2" xfId="30579" xr:uid="{00000000-0005-0000-0000-00006DBD0000}"/>
    <cellStyle name="Normal 5 2 2 3 4 3 2 2 2" xfId="57712" xr:uid="{00000000-0005-0000-0000-00006EBD0000}"/>
    <cellStyle name="Normal 5 2 2 3 4 3 2 3" xfId="44150" xr:uid="{00000000-0005-0000-0000-00006FBD0000}"/>
    <cellStyle name="Normal 5 2 2 3 4 3 3" xfId="23798" xr:uid="{00000000-0005-0000-0000-000070BD0000}"/>
    <cellStyle name="Normal 5 2 2 3 4 3 3 2" xfId="50931" xr:uid="{00000000-0005-0000-0000-000071BD0000}"/>
    <cellStyle name="Normal 5 2 2 3 4 3 4" xfId="37369" xr:uid="{00000000-0005-0000-0000-000072BD0000}"/>
    <cellStyle name="Normal 5 2 2 3 4 4" xfId="13622" xr:uid="{00000000-0005-0000-0000-000073BD0000}"/>
    <cellStyle name="Normal 5 2 2 3 4 4 2" xfId="27190" xr:uid="{00000000-0005-0000-0000-000074BD0000}"/>
    <cellStyle name="Normal 5 2 2 3 4 4 2 2" xfId="54323" xr:uid="{00000000-0005-0000-0000-000075BD0000}"/>
    <cellStyle name="Normal 5 2 2 3 4 4 3" xfId="40761" xr:uid="{00000000-0005-0000-0000-000076BD0000}"/>
    <cellStyle name="Normal 5 2 2 3 4 5" xfId="20409" xr:uid="{00000000-0005-0000-0000-000077BD0000}"/>
    <cellStyle name="Normal 5 2 2 3 4 5 2" xfId="47542" xr:uid="{00000000-0005-0000-0000-000078BD0000}"/>
    <cellStyle name="Normal 5 2 2 3 4 6" xfId="33980" xr:uid="{00000000-0005-0000-0000-000079BD0000}"/>
    <cellStyle name="Normal 5 2 2 3 5" xfId="6692" xr:uid="{00000000-0005-0000-0000-00007ABD0000}"/>
    <cellStyle name="Normal 5 2 2 3 5 2" xfId="10224" xr:uid="{00000000-0005-0000-0000-00007BBD0000}"/>
    <cellStyle name="Normal 5 2 2 3 5 2 2" xfId="17013" xr:uid="{00000000-0005-0000-0000-00007CBD0000}"/>
    <cellStyle name="Normal 5 2 2 3 5 2 2 2" xfId="30581" xr:uid="{00000000-0005-0000-0000-00007DBD0000}"/>
    <cellStyle name="Normal 5 2 2 3 5 2 2 2 2" xfId="57714" xr:uid="{00000000-0005-0000-0000-00007EBD0000}"/>
    <cellStyle name="Normal 5 2 2 3 5 2 2 3" xfId="44152" xr:uid="{00000000-0005-0000-0000-00007FBD0000}"/>
    <cellStyle name="Normal 5 2 2 3 5 2 3" xfId="23800" xr:uid="{00000000-0005-0000-0000-000080BD0000}"/>
    <cellStyle name="Normal 5 2 2 3 5 2 3 2" xfId="50933" xr:uid="{00000000-0005-0000-0000-000081BD0000}"/>
    <cellStyle name="Normal 5 2 2 3 5 2 4" xfId="37371" xr:uid="{00000000-0005-0000-0000-000082BD0000}"/>
    <cellStyle name="Normal 5 2 2 3 5 3" xfId="13624" xr:uid="{00000000-0005-0000-0000-000083BD0000}"/>
    <cellStyle name="Normal 5 2 2 3 5 3 2" xfId="27192" xr:uid="{00000000-0005-0000-0000-000084BD0000}"/>
    <cellStyle name="Normal 5 2 2 3 5 3 2 2" xfId="54325" xr:uid="{00000000-0005-0000-0000-000085BD0000}"/>
    <cellStyle name="Normal 5 2 2 3 5 3 3" xfId="40763" xr:uid="{00000000-0005-0000-0000-000086BD0000}"/>
    <cellStyle name="Normal 5 2 2 3 5 4" xfId="20411" xr:uid="{00000000-0005-0000-0000-000087BD0000}"/>
    <cellStyle name="Normal 5 2 2 3 5 4 2" xfId="47544" xr:uid="{00000000-0005-0000-0000-000088BD0000}"/>
    <cellStyle name="Normal 5 2 2 3 5 5" xfId="33982" xr:uid="{00000000-0005-0000-0000-000089BD0000}"/>
    <cellStyle name="Normal 5 2 2 3 6" xfId="6693" xr:uid="{00000000-0005-0000-0000-00008ABD0000}"/>
    <cellStyle name="Normal 5 2 2 3 6 2" xfId="10225" xr:uid="{00000000-0005-0000-0000-00008BBD0000}"/>
    <cellStyle name="Normal 5 2 2 3 6 2 2" xfId="17014" xr:uid="{00000000-0005-0000-0000-00008CBD0000}"/>
    <cellStyle name="Normal 5 2 2 3 6 2 2 2" xfId="30582" xr:uid="{00000000-0005-0000-0000-00008DBD0000}"/>
    <cellStyle name="Normal 5 2 2 3 6 2 2 2 2" xfId="57715" xr:uid="{00000000-0005-0000-0000-00008EBD0000}"/>
    <cellStyle name="Normal 5 2 2 3 6 2 2 3" xfId="44153" xr:uid="{00000000-0005-0000-0000-00008FBD0000}"/>
    <cellStyle name="Normal 5 2 2 3 6 2 3" xfId="23801" xr:uid="{00000000-0005-0000-0000-000090BD0000}"/>
    <cellStyle name="Normal 5 2 2 3 6 2 3 2" xfId="50934" xr:uid="{00000000-0005-0000-0000-000091BD0000}"/>
    <cellStyle name="Normal 5 2 2 3 6 2 4" xfId="37372" xr:uid="{00000000-0005-0000-0000-000092BD0000}"/>
    <cellStyle name="Normal 5 2 2 3 6 3" xfId="13625" xr:uid="{00000000-0005-0000-0000-000093BD0000}"/>
    <cellStyle name="Normal 5 2 2 3 6 3 2" xfId="27193" xr:uid="{00000000-0005-0000-0000-000094BD0000}"/>
    <cellStyle name="Normal 5 2 2 3 6 3 2 2" xfId="54326" xr:uid="{00000000-0005-0000-0000-000095BD0000}"/>
    <cellStyle name="Normal 5 2 2 3 6 3 3" xfId="40764" xr:uid="{00000000-0005-0000-0000-000096BD0000}"/>
    <cellStyle name="Normal 5 2 2 3 6 4" xfId="20412" xr:uid="{00000000-0005-0000-0000-000097BD0000}"/>
    <cellStyle name="Normal 5 2 2 3 6 4 2" xfId="47545" xr:uid="{00000000-0005-0000-0000-000098BD0000}"/>
    <cellStyle name="Normal 5 2 2 3 6 5" xfId="33983" xr:uid="{00000000-0005-0000-0000-000099BD0000}"/>
    <cellStyle name="Normal 5 2 2 3 7" xfId="10210" xr:uid="{00000000-0005-0000-0000-00009ABD0000}"/>
    <cellStyle name="Normal 5 2 2 3 7 2" xfId="16999" xr:uid="{00000000-0005-0000-0000-00009BBD0000}"/>
    <cellStyle name="Normal 5 2 2 3 7 2 2" xfId="30567" xr:uid="{00000000-0005-0000-0000-00009CBD0000}"/>
    <cellStyle name="Normal 5 2 2 3 7 2 2 2" xfId="57700" xr:uid="{00000000-0005-0000-0000-00009DBD0000}"/>
    <cellStyle name="Normal 5 2 2 3 7 2 3" xfId="44138" xr:uid="{00000000-0005-0000-0000-00009EBD0000}"/>
    <cellStyle name="Normal 5 2 2 3 7 3" xfId="23786" xr:uid="{00000000-0005-0000-0000-00009FBD0000}"/>
    <cellStyle name="Normal 5 2 2 3 7 3 2" xfId="50919" xr:uid="{00000000-0005-0000-0000-0000A0BD0000}"/>
    <cellStyle name="Normal 5 2 2 3 7 4" xfId="37357" xr:uid="{00000000-0005-0000-0000-0000A1BD0000}"/>
    <cellStyle name="Normal 5 2 2 3 8" xfId="13610" xr:uid="{00000000-0005-0000-0000-0000A2BD0000}"/>
    <cellStyle name="Normal 5 2 2 3 8 2" xfId="27178" xr:uid="{00000000-0005-0000-0000-0000A3BD0000}"/>
    <cellStyle name="Normal 5 2 2 3 8 2 2" xfId="54311" xr:uid="{00000000-0005-0000-0000-0000A4BD0000}"/>
    <cellStyle name="Normal 5 2 2 3 8 3" xfId="40749" xr:uid="{00000000-0005-0000-0000-0000A5BD0000}"/>
    <cellStyle name="Normal 5 2 2 3 9" xfId="20397" xr:uid="{00000000-0005-0000-0000-0000A6BD0000}"/>
    <cellStyle name="Normal 5 2 2 3 9 2" xfId="47530" xr:uid="{00000000-0005-0000-0000-0000A7BD0000}"/>
    <cellStyle name="Normal 5 2 2 4" xfId="6694" xr:uid="{00000000-0005-0000-0000-0000A8BD0000}"/>
    <cellStyle name="Normal 5 2 2 4 2" xfId="6695" xr:uid="{00000000-0005-0000-0000-0000A9BD0000}"/>
    <cellStyle name="Normal 5 2 2 4 2 2" xfId="6696" xr:uid="{00000000-0005-0000-0000-0000AABD0000}"/>
    <cellStyle name="Normal 5 2 2 4 2 2 2" xfId="10228" xr:uid="{00000000-0005-0000-0000-0000ABBD0000}"/>
    <cellStyle name="Normal 5 2 2 4 2 2 2 2" xfId="17017" xr:uid="{00000000-0005-0000-0000-0000ACBD0000}"/>
    <cellStyle name="Normal 5 2 2 4 2 2 2 2 2" xfId="30585" xr:uid="{00000000-0005-0000-0000-0000ADBD0000}"/>
    <cellStyle name="Normal 5 2 2 4 2 2 2 2 2 2" xfId="57718" xr:uid="{00000000-0005-0000-0000-0000AEBD0000}"/>
    <cellStyle name="Normal 5 2 2 4 2 2 2 2 3" xfId="44156" xr:uid="{00000000-0005-0000-0000-0000AFBD0000}"/>
    <cellStyle name="Normal 5 2 2 4 2 2 2 3" xfId="23804" xr:uid="{00000000-0005-0000-0000-0000B0BD0000}"/>
    <cellStyle name="Normal 5 2 2 4 2 2 2 3 2" xfId="50937" xr:uid="{00000000-0005-0000-0000-0000B1BD0000}"/>
    <cellStyle name="Normal 5 2 2 4 2 2 2 4" xfId="37375" xr:uid="{00000000-0005-0000-0000-0000B2BD0000}"/>
    <cellStyle name="Normal 5 2 2 4 2 2 3" xfId="13628" xr:uid="{00000000-0005-0000-0000-0000B3BD0000}"/>
    <cellStyle name="Normal 5 2 2 4 2 2 3 2" xfId="27196" xr:uid="{00000000-0005-0000-0000-0000B4BD0000}"/>
    <cellStyle name="Normal 5 2 2 4 2 2 3 2 2" xfId="54329" xr:uid="{00000000-0005-0000-0000-0000B5BD0000}"/>
    <cellStyle name="Normal 5 2 2 4 2 2 3 3" xfId="40767" xr:uid="{00000000-0005-0000-0000-0000B6BD0000}"/>
    <cellStyle name="Normal 5 2 2 4 2 2 4" xfId="20415" xr:uid="{00000000-0005-0000-0000-0000B7BD0000}"/>
    <cellStyle name="Normal 5 2 2 4 2 2 4 2" xfId="47548" xr:uid="{00000000-0005-0000-0000-0000B8BD0000}"/>
    <cellStyle name="Normal 5 2 2 4 2 2 5" xfId="33986" xr:uid="{00000000-0005-0000-0000-0000B9BD0000}"/>
    <cellStyle name="Normal 5 2 2 4 2 3" xfId="6697" xr:uid="{00000000-0005-0000-0000-0000BABD0000}"/>
    <cellStyle name="Normal 5 2 2 4 2 3 2" xfId="10229" xr:uid="{00000000-0005-0000-0000-0000BBBD0000}"/>
    <cellStyle name="Normal 5 2 2 4 2 3 2 2" xfId="17018" xr:uid="{00000000-0005-0000-0000-0000BCBD0000}"/>
    <cellStyle name="Normal 5 2 2 4 2 3 2 2 2" xfId="30586" xr:uid="{00000000-0005-0000-0000-0000BDBD0000}"/>
    <cellStyle name="Normal 5 2 2 4 2 3 2 2 2 2" xfId="57719" xr:uid="{00000000-0005-0000-0000-0000BEBD0000}"/>
    <cellStyle name="Normal 5 2 2 4 2 3 2 2 3" xfId="44157" xr:uid="{00000000-0005-0000-0000-0000BFBD0000}"/>
    <cellStyle name="Normal 5 2 2 4 2 3 2 3" xfId="23805" xr:uid="{00000000-0005-0000-0000-0000C0BD0000}"/>
    <cellStyle name="Normal 5 2 2 4 2 3 2 3 2" xfId="50938" xr:uid="{00000000-0005-0000-0000-0000C1BD0000}"/>
    <cellStyle name="Normal 5 2 2 4 2 3 2 4" xfId="37376" xr:uid="{00000000-0005-0000-0000-0000C2BD0000}"/>
    <cellStyle name="Normal 5 2 2 4 2 3 3" xfId="13629" xr:uid="{00000000-0005-0000-0000-0000C3BD0000}"/>
    <cellStyle name="Normal 5 2 2 4 2 3 3 2" xfId="27197" xr:uid="{00000000-0005-0000-0000-0000C4BD0000}"/>
    <cellStyle name="Normal 5 2 2 4 2 3 3 2 2" xfId="54330" xr:uid="{00000000-0005-0000-0000-0000C5BD0000}"/>
    <cellStyle name="Normal 5 2 2 4 2 3 3 3" xfId="40768" xr:uid="{00000000-0005-0000-0000-0000C6BD0000}"/>
    <cellStyle name="Normal 5 2 2 4 2 3 4" xfId="20416" xr:uid="{00000000-0005-0000-0000-0000C7BD0000}"/>
    <cellStyle name="Normal 5 2 2 4 2 3 4 2" xfId="47549" xr:uid="{00000000-0005-0000-0000-0000C8BD0000}"/>
    <cellStyle name="Normal 5 2 2 4 2 3 5" xfId="33987" xr:uid="{00000000-0005-0000-0000-0000C9BD0000}"/>
    <cellStyle name="Normal 5 2 2 4 2 4" xfId="10227" xr:uid="{00000000-0005-0000-0000-0000CABD0000}"/>
    <cellStyle name="Normal 5 2 2 4 2 4 2" xfId="17016" xr:uid="{00000000-0005-0000-0000-0000CBBD0000}"/>
    <cellStyle name="Normal 5 2 2 4 2 4 2 2" xfId="30584" xr:uid="{00000000-0005-0000-0000-0000CCBD0000}"/>
    <cellStyle name="Normal 5 2 2 4 2 4 2 2 2" xfId="57717" xr:uid="{00000000-0005-0000-0000-0000CDBD0000}"/>
    <cellStyle name="Normal 5 2 2 4 2 4 2 3" xfId="44155" xr:uid="{00000000-0005-0000-0000-0000CEBD0000}"/>
    <cellStyle name="Normal 5 2 2 4 2 4 3" xfId="23803" xr:uid="{00000000-0005-0000-0000-0000CFBD0000}"/>
    <cellStyle name="Normal 5 2 2 4 2 4 3 2" xfId="50936" xr:uid="{00000000-0005-0000-0000-0000D0BD0000}"/>
    <cellStyle name="Normal 5 2 2 4 2 4 4" xfId="37374" xr:uid="{00000000-0005-0000-0000-0000D1BD0000}"/>
    <cellStyle name="Normal 5 2 2 4 2 5" xfId="13627" xr:uid="{00000000-0005-0000-0000-0000D2BD0000}"/>
    <cellStyle name="Normal 5 2 2 4 2 5 2" xfId="27195" xr:uid="{00000000-0005-0000-0000-0000D3BD0000}"/>
    <cellStyle name="Normal 5 2 2 4 2 5 2 2" xfId="54328" xr:uid="{00000000-0005-0000-0000-0000D4BD0000}"/>
    <cellStyle name="Normal 5 2 2 4 2 5 3" xfId="40766" xr:uid="{00000000-0005-0000-0000-0000D5BD0000}"/>
    <cellStyle name="Normal 5 2 2 4 2 6" xfId="20414" xr:uid="{00000000-0005-0000-0000-0000D6BD0000}"/>
    <cellStyle name="Normal 5 2 2 4 2 6 2" xfId="47547" xr:uid="{00000000-0005-0000-0000-0000D7BD0000}"/>
    <cellStyle name="Normal 5 2 2 4 2 7" xfId="33985" xr:uid="{00000000-0005-0000-0000-0000D8BD0000}"/>
    <cellStyle name="Normal 5 2 2 4 3" xfId="6698" xr:uid="{00000000-0005-0000-0000-0000D9BD0000}"/>
    <cellStyle name="Normal 5 2 2 4 3 2" xfId="6699" xr:uid="{00000000-0005-0000-0000-0000DABD0000}"/>
    <cellStyle name="Normal 5 2 2 4 3 2 2" xfId="10231" xr:uid="{00000000-0005-0000-0000-0000DBBD0000}"/>
    <cellStyle name="Normal 5 2 2 4 3 2 2 2" xfId="17020" xr:uid="{00000000-0005-0000-0000-0000DCBD0000}"/>
    <cellStyle name="Normal 5 2 2 4 3 2 2 2 2" xfId="30588" xr:uid="{00000000-0005-0000-0000-0000DDBD0000}"/>
    <cellStyle name="Normal 5 2 2 4 3 2 2 2 2 2" xfId="57721" xr:uid="{00000000-0005-0000-0000-0000DEBD0000}"/>
    <cellStyle name="Normal 5 2 2 4 3 2 2 2 3" xfId="44159" xr:uid="{00000000-0005-0000-0000-0000DFBD0000}"/>
    <cellStyle name="Normal 5 2 2 4 3 2 2 3" xfId="23807" xr:uid="{00000000-0005-0000-0000-0000E0BD0000}"/>
    <cellStyle name="Normal 5 2 2 4 3 2 2 3 2" xfId="50940" xr:uid="{00000000-0005-0000-0000-0000E1BD0000}"/>
    <cellStyle name="Normal 5 2 2 4 3 2 2 4" xfId="37378" xr:uid="{00000000-0005-0000-0000-0000E2BD0000}"/>
    <cellStyle name="Normal 5 2 2 4 3 2 3" xfId="13631" xr:uid="{00000000-0005-0000-0000-0000E3BD0000}"/>
    <cellStyle name="Normal 5 2 2 4 3 2 3 2" xfId="27199" xr:uid="{00000000-0005-0000-0000-0000E4BD0000}"/>
    <cellStyle name="Normal 5 2 2 4 3 2 3 2 2" xfId="54332" xr:uid="{00000000-0005-0000-0000-0000E5BD0000}"/>
    <cellStyle name="Normal 5 2 2 4 3 2 3 3" xfId="40770" xr:uid="{00000000-0005-0000-0000-0000E6BD0000}"/>
    <cellStyle name="Normal 5 2 2 4 3 2 4" xfId="20418" xr:uid="{00000000-0005-0000-0000-0000E7BD0000}"/>
    <cellStyle name="Normal 5 2 2 4 3 2 4 2" xfId="47551" xr:uid="{00000000-0005-0000-0000-0000E8BD0000}"/>
    <cellStyle name="Normal 5 2 2 4 3 2 5" xfId="33989" xr:uid="{00000000-0005-0000-0000-0000E9BD0000}"/>
    <cellStyle name="Normal 5 2 2 4 3 3" xfId="10230" xr:uid="{00000000-0005-0000-0000-0000EABD0000}"/>
    <cellStyle name="Normal 5 2 2 4 3 3 2" xfId="17019" xr:uid="{00000000-0005-0000-0000-0000EBBD0000}"/>
    <cellStyle name="Normal 5 2 2 4 3 3 2 2" xfId="30587" xr:uid="{00000000-0005-0000-0000-0000ECBD0000}"/>
    <cellStyle name="Normal 5 2 2 4 3 3 2 2 2" xfId="57720" xr:uid="{00000000-0005-0000-0000-0000EDBD0000}"/>
    <cellStyle name="Normal 5 2 2 4 3 3 2 3" xfId="44158" xr:uid="{00000000-0005-0000-0000-0000EEBD0000}"/>
    <cellStyle name="Normal 5 2 2 4 3 3 3" xfId="23806" xr:uid="{00000000-0005-0000-0000-0000EFBD0000}"/>
    <cellStyle name="Normal 5 2 2 4 3 3 3 2" xfId="50939" xr:uid="{00000000-0005-0000-0000-0000F0BD0000}"/>
    <cellStyle name="Normal 5 2 2 4 3 3 4" xfId="37377" xr:uid="{00000000-0005-0000-0000-0000F1BD0000}"/>
    <cellStyle name="Normal 5 2 2 4 3 4" xfId="13630" xr:uid="{00000000-0005-0000-0000-0000F2BD0000}"/>
    <cellStyle name="Normal 5 2 2 4 3 4 2" xfId="27198" xr:uid="{00000000-0005-0000-0000-0000F3BD0000}"/>
    <cellStyle name="Normal 5 2 2 4 3 4 2 2" xfId="54331" xr:uid="{00000000-0005-0000-0000-0000F4BD0000}"/>
    <cellStyle name="Normal 5 2 2 4 3 4 3" xfId="40769" xr:uid="{00000000-0005-0000-0000-0000F5BD0000}"/>
    <cellStyle name="Normal 5 2 2 4 3 5" xfId="20417" xr:uid="{00000000-0005-0000-0000-0000F6BD0000}"/>
    <cellStyle name="Normal 5 2 2 4 3 5 2" xfId="47550" xr:uid="{00000000-0005-0000-0000-0000F7BD0000}"/>
    <cellStyle name="Normal 5 2 2 4 3 6" xfId="33988" xr:uid="{00000000-0005-0000-0000-0000F8BD0000}"/>
    <cellStyle name="Normal 5 2 2 4 4" xfId="6700" xr:uid="{00000000-0005-0000-0000-0000F9BD0000}"/>
    <cellStyle name="Normal 5 2 2 4 4 2" xfId="10232" xr:uid="{00000000-0005-0000-0000-0000FABD0000}"/>
    <cellStyle name="Normal 5 2 2 4 4 2 2" xfId="17021" xr:uid="{00000000-0005-0000-0000-0000FBBD0000}"/>
    <cellStyle name="Normal 5 2 2 4 4 2 2 2" xfId="30589" xr:uid="{00000000-0005-0000-0000-0000FCBD0000}"/>
    <cellStyle name="Normal 5 2 2 4 4 2 2 2 2" xfId="57722" xr:uid="{00000000-0005-0000-0000-0000FDBD0000}"/>
    <cellStyle name="Normal 5 2 2 4 4 2 2 3" xfId="44160" xr:uid="{00000000-0005-0000-0000-0000FEBD0000}"/>
    <cellStyle name="Normal 5 2 2 4 4 2 3" xfId="23808" xr:uid="{00000000-0005-0000-0000-0000FFBD0000}"/>
    <cellStyle name="Normal 5 2 2 4 4 2 3 2" xfId="50941" xr:uid="{00000000-0005-0000-0000-000000BE0000}"/>
    <cellStyle name="Normal 5 2 2 4 4 2 4" xfId="37379" xr:uid="{00000000-0005-0000-0000-000001BE0000}"/>
    <cellStyle name="Normal 5 2 2 4 4 3" xfId="13632" xr:uid="{00000000-0005-0000-0000-000002BE0000}"/>
    <cellStyle name="Normal 5 2 2 4 4 3 2" xfId="27200" xr:uid="{00000000-0005-0000-0000-000003BE0000}"/>
    <cellStyle name="Normal 5 2 2 4 4 3 2 2" xfId="54333" xr:uid="{00000000-0005-0000-0000-000004BE0000}"/>
    <cellStyle name="Normal 5 2 2 4 4 3 3" xfId="40771" xr:uid="{00000000-0005-0000-0000-000005BE0000}"/>
    <cellStyle name="Normal 5 2 2 4 4 4" xfId="20419" xr:uid="{00000000-0005-0000-0000-000006BE0000}"/>
    <cellStyle name="Normal 5 2 2 4 4 4 2" xfId="47552" xr:uid="{00000000-0005-0000-0000-000007BE0000}"/>
    <cellStyle name="Normal 5 2 2 4 4 5" xfId="33990" xr:uid="{00000000-0005-0000-0000-000008BE0000}"/>
    <cellStyle name="Normal 5 2 2 4 5" xfId="6701" xr:uid="{00000000-0005-0000-0000-000009BE0000}"/>
    <cellStyle name="Normal 5 2 2 4 5 2" xfId="10233" xr:uid="{00000000-0005-0000-0000-00000ABE0000}"/>
    <cellStyle name="Normal 5 2 2 4 5 2 2" xfId="17022" xr:uid="{00000000-0005-0000-0000-00000BBE0000}"/>
    <cellStyle name="Normal 5 2 2 4 5 2 2 2" xfId="30590" xr:uid="{00000000-0005-0000-0000-00000CBE0000}"/>
    <cellStyle name="Normal 5 2 2 4 5 2 2 2 2" xfId="57723" xr:uid="{00000000-0005-0000-0000-00000DBE0000}"/>
    <cellStyle name="Normal 5 2 2 4 5 2 2 3" xfId="44161" xr:uid="{00000000-0005-0000-0000-00000EBE0000}"/>
    <cellStyle name="Normal 5 2 2 4 5 2 3" xfId="23809" xr:uid="{00000000-0005-0000-0000-00000FBE0000}"/>
    <cellStyle name="Normal 5 2 2 4 5 2 3 2" xfId="50942" xr:uid="{00000000-0005-0000-0000-000010BE0000}"/>
    <cellStyle name="Normal 5 2 2 4 5 2 4" xfId="37380" xr:uid="{00000000-0005-0000-0000-000011BE0000}"/>
    <cellStyle name="Normal 5 2 2 4 5 3" xfId="13633" xr:uid="{00000000-0005-0000-0000-000012BE0000}"/>
    <cellStyle name="Normal 5 2 2 4 5 3 2" xfId="27201" xr:uid="{00000000-0005-0000-0000-000013BE0000}"/>
    <cellStyle name="Normal 5 2 2 4 5 3 2 2" xfId="54334" xr:uid="{00000000-0005-0000-0000-000014BE0000}"/>
    <cellStyle name="Normal 5 2 2 4 5 3 3" xfId="40772" xr:uid="{00000000-0005-0000-0000-000015BE0000}"/>
    <cellStyle name="Normal 5 2 2 4 5 4" xfId="20420" xr:uid="{00000000-0005-0000-0000-000016BE0000}"/>
    <cellStyle name="Normal 5 2 2 4 5 4 2" xfId="47553" xr:uid="{00000000-0005-0000-0000-000017BE0000}"/>
    <cellStyle name="Normal 5 2 2 4 5 5" xfId="33991" xr:uid="{00000000-0005-0000-0000-000018BE0000}"/>
    <cellStyle name="Normal 5 2 2 4 6" xfId="10226" xr:uid="{00000000-0005-0000-0000-000019BE0000}"/>
    <cellStyle name="Normal 5 2 2 4 6 2" xfId="17015" xr:uid="{00000000-0005-0000-0000-00001ABE0000}"/>
    <cellStyle name="Normal 5 2 2 4 6 2 2" xfId="30583" xr:uid="{00000000-0005-0000-0000-00001BBE0000}"/>
    <cellStyle name="Normal 5 2 2 4 6 2 2 2" xfId="57716" xr:uid="{00000000-0005-0000-0000-00001CBE0000}"/>
    <cellStyle name="Normal 5 2 2 4 6 2 3" xfId="44154" xr:uid="{00000000-0005-0000-0000-00001DBE0000}"/>
    <cellStyle name="Normal 5 2 2 4 6 3" xfId="23802" xr:uid="{00000000-0005-0000-0000-00001EBE0000}"/>
    <cellStyle name="Normal 5 2 2 4 6 3 2" xfId="50935" xr:uid="{00000000-0005-0000-0000-00001FBE0000}"/>
    <cellStyle name="Normal 5 2 2 4 6 4" xfId="37373" xr:uid="{00000000-0005-0000-0000-000020BE0000}"/>
    <cellStyle name="Normal 5 2 2 4 7" xfId="13626" xr:uid="{00000000-0005-0000-0000-000021BE0000}"/>
    <cellStyle name="Normal 5 2 2 4 7 2" xfId="27194" xr:uid="{00000000-0005-0000-0000-000022BE0000}"/>
    <cellStyle name="Normal 5 2 2 4 7 2 2" xfId="54327" xr:uid="{00000000-0005-0000-0000-000023BE0000}"/>
    <cellStyle name="Normal 5 2 2 4 7 3" xfId="40765" xr:uid="{00000000-0005-0000-0000-000024BE0000}"/>
    <cellStyle name="Normal 5 2 2 4 8" xfId="20413" xr:uid="{00000000-0005-0000-0000-000025BE0000}"/>
    <cellStyle name="Normal 5 2 2 4 8 2" xfId="47546" xr:uid="{00000000-0005-0000-0000-000026BE0000}"/>
    <cellStyle name="Normal 5 2 2 4 9" xfId="33984" xr:uid="{00000000-0005-0000-0000-000027BE0000}"/>
    <cellStyle name="Normal 5 2 2 5" xfId="6702" xr:uid="{00000000-0005-0000-0000-000028BE0000}"/>
    <cellStyle name="Normal 5 2 2 5 2" xfId="6703" xr:uid="{00000000-0005-0000-0000-000029BE0000}"/>
    <cellStyle name="Normal 5 2 2 5 2 2" xfId="6704" xr:uid="{00000000-0005-0000-0000-00002ABE0000}"/>
    <cellStyle name="Normal 5 2 2 5 2 2 2" xfId="10236" xr:uid="{00000000-0005-0000-0000-00002BBE0000}"/>
    <cellStyle name="Normal 5 2 2 5 2 2 2 2" xfId="17025" xr:uid="{00000000-0005-0000-0000-00002CBE0000}"/>
    <cellStyle name="Normal 5 2 2 5 2 2 2 2 2" xfId="30593" xr:uid="{00000000-0005-0000-0000-00002DBE0000}"/>
    <cellStyle name="Normal 5 2 2 5 2 2 2 2 2 2" xfId="57726" xr:uid="{00000000-0005-0000-0000-00002EBE0000}"/>
    <cellStyle name="Normal 5 2 2 5 2 2 2 2 3" xfId="44164" xr:uid="{00000000-0005-0000-0000-00002FBE0000}"/>
    <cellStyle name="Normal 5 2 2 5 2 2 2 3" xfId="23812" xr:uid="{00000000-0005-0000-0000-000030BE0000}"/>
    <cellStyle name="Normal 5 2 2 5 2 2 2 3 2" xfId="50945" xr:uid="{00000000-0005-0000-0000-000031BE0000}"/>
    <cellStyle name="Normal 5 2 2 5 2 2 2 4" xfId="37383" xr:uid="{00000000-0005-0000-0000-000032BE0000}"/>
    <cellStyle name="Normal 5 2 2 5 2 2 3" xfId="13636" xr:uid="{00000000-0005-0000-0000-000033BE0000}"/>
    <cellStyle name="Normal 5 2 2 5 2 2 3 2" xfId="27204" xr:uid="{00000000-0005-0000-0000-000034BE0000}"/>
    <cellStyle name="Normal 5 2 2 5 2 2 3 2 2" xfId="54337" xr:uid="{00000000-0005-0000-0000-000035BE0000}"/>
    <cellStyle name="Normal 5 2 2 5 2 2 3 3" xfId="40775" xr:uid="{00000000-0005-0000-0000-000036BE0000}"/>
    <cellStyle name="Normal 5 2 2 5 2 2 4" xfId="20423" xr:uid="{00000000-0005-0000-0000-000037BE0000}"/>
    <cellStyle name="Normal 5 2 2 5 2 2 4 2" xfId="47556" xr:uid="{00000000-0005-0000-0000-000038BE0000}"/>
    <cellStyle name="Normal 5 2 2 5 2 2 5" xfId="33994" xr:uid="{00000000-0005-0000-0000-000039BE0000}"/>
    <cellStyle name="Normal 5 2 2 5 2 3" xfId="6705" xr:uid="{00000000-0005-0000-0000-00003ABE0000}"/>
    <cellStyle name="Normal 5 2 2 5 2 3 2" xfId="10237" xr:uid="{00000000-0005-0000-0000-00003BBE0000}"/>
    <cellStyle name="Normal 5 2 2 5 2 3 2 2" xfId="17026" xr:uid="{00000000-0005-0000-0000-00003CBE0000}"/>
    <cellStyle name="Normal 5 2 2 5 2 3 2 2 2" xfId="30594" xr:uid="{00000000-0005-0000-0000-00003DBE0000}"/>
    <cellStyle name="Normal 5 2 2 5 2 3 2 2 2 2" xfId="57727" xr:uid="{00000000-0005-0000-0000-00003EBE0000}"/>
    <cellStyle name="Normal 5 2 2 5 2 3 2 2 3" xfId="44165" xr:uid="{00000000-0005-0000-0000-00003FBE0000}"/>
    <cellStyle name="Normal 5 2 2 5 2 3 2 3" xfId="23813" xr:uid="{00000000-0005-0000-0000-000040BE0000}"/>
    <cellStyle name="Normal 5 2 2 5 2 3 2 3 2" xfId="50946" xr:uid="{00000000-0005-0000-0000-000041BE0000}"/>
    <cellStyle name="Normal 5 2 2 5 2 3 2 4" xfId="37384" xr:uid="{00000000-0005-0000-0000-000042BE0000}"/>
    <cellStyle name="Normal 5 2 2 5 2 3 3" xfId="13637" xr:uid="{00000000-0005-0000-0000-000043BE0000}"/>
    <cellStyle name="Normal 5 2 2 5 2 3 3 2" xfId="27205" xr:uid="{00000000-0005-0000-0000-000044BE0000}"/>
    <cellStyle name="Normal 5 2 2 5 2 3 3 2 2" xfId="54338" xr:uid="{00000000-0005-0000-0000-000045BE0000}"/>
    <cellStyle name="Normal 5 2 2 5 2 3 3 3" xfId="40776" xr:uid="{00000000-0005-0000-0000-000046BE0000}"/>
    <cellStyle name="Normal 5 2 2 5 2 3 4" xfId="20424" xr:uid="{00000000-0005-0000-0000-000047BE0000}"/>
    <cellStyle name="Normal 5 2 2 5 2 3 4 2" xfId="47557" xr:uid="{00000000-0005-0000-0000-000048BE0000}"/>
    <cellStyle name="Normal 5 2 2 5 2 3 5" xfId="33995" xr:uid="{00000000-0005-0000-0000-000049BE0000}"/>
    <cellStyle name="Normal 5 2 2 5 2 4" xfId="10235" xr:uid="{00000000-0005-0000-0000-00004ABE0000}"/>
    <cellStyle name="Normal 5 2 2 5 2 4 2" xfId="17024" xr:uid="{00000000-0005-0000-0000-00004BBE0000}"/>
    <cellStyle name="Normal 5 2 2 5 2 4 2 2" xfId="30592" xr:uid="{00000000-0005-0000-0000-00004CBE0000}"/>
    <cellStyle name="Normal 5 2 2 5 2 4 2 2 2" xfId="57725" xr:uid="{00000000-0005-0000-0000-00004DBE0000}"/>
    <cellStyle name="Normal 5 2 2 5 2 4 2 3" xfId="44163" xr:uid="{00000000-0005-0000-0000-00004EBE0000}"/>
    <cellStyle name="Normal 5 2 2 5 2 4 3" xfId="23811" xr:uid="{00000000-0005-0000-0000-00004FBE0000}"/>
    <cellStyle name="Normal 5 2 2 5 2 4 3 2" xfId="50944" xr:uid="{00000000-0005-0000-0000-000050BE0000}"/>
    <cellStyle name="Normal 5 2 2 5 2 4 4" xfId="37382" xr:uid="{00000000-0005-0000-0000-000051BE0000}"/>
    <cellStyle name="Normal 5 2 2 5 2 5" xfId="13635" xr:uid="{00000000-0005-0000-0000-000052BE0000}"/>
    <cellStyle name="Normal 5 2 2 5 2 5 2" xfId="27203" xr:uid="{00000000-0005-0000-0000-000053BE0000}"/>
    <cellStyle name="Normal 5 2 2 5 2 5 2 2" xfId="54336" xr:uid="{00000000-0005-0000-0000-000054BE0000}"/>
    <cellStyle name="Normal 5 2 2 5 2 5 3" xfId="40774" xr:uid="{00000000-0005-0000-0000-000055BE0000}"/>
    <cellStyle name="Normal 5 2 2 5 2 6" xfId="20422" xr:uid="{00000000-0005-0000-0000-000056BE0000}"/>
    <cellStyle name="Normal 5 2 2 5 2 6 2" xfId="47555" xr:uid="{00000000-0005-0000-0000-000057BE0000}"/>
    <cellStyle name="Normal 5 2 2 5 2 7" xfId="33993" xr:uid="{00000000-0005-0000-0000-000058BE0000}"/>
    <cellStyle name="Normal 5 2 2 5 3" xfId="6706" xr:uid="{00000000-0005-0000-0000-000059BE0000}"/>
    <cellStyle name="Normal 5 2 2 5 3 2" xfId="10238" xr:uid="{00000000-0005-0000-0000-00005ABE0000}"/>
    <cellStyle name="Normal 5 2 2 5 3 2 2" xfId="17027" xr:uid="{00000000-0005-0000-0000-00005BBE0000}"/>
    <cellStyle name="Normal 5 2 2 5 3 2 2 2" xfId="30595" xr:uid="{00000000-0005-0000-0000-00005CBE0000}"/>
    <cellStyle name="Normal 5 2 2 5 3 2 2 2 2" xfId="57728" xr:uid="{00000000-0005-0000-0000-00005DBE0000}"/>
    <cellStyle name="Normal 5 2 2 5 3 2 2 3" xfId="44166" xr:uid="{00000000-0005-0000-0000-00005EBE0000}"/>
    <cellStyle name="Normal 5 2 2 5 3 2 3" xfId="23814" xr:uid="{00000000-0005-0000-0000-00005FBE0000}"/>
    <cellStyle name="Normal 5 2 2 5 3 2 3 2" xfId="50947" xr:uid="{00000000-0005-0000-0000-000060BE0000}"/>
    <cellStyle name="Normal 5 2 2 5 3 2 4" xfId="37385" xr:uid="{00000000-0005-0000-0000-000061BE0000}"/>
    <cellStyle name="Normal 5 2 2 5 3 3" xfId="13638" xr:uid="{00000000-0005-0000-0000-000062BE0000}"/>
    <cellStyle name="Normal 5 2 2 5 3 3 2" xfId="27206" xr:uid="{00000000-0005-0000-0000-000063BE0000}"/>
    <cellStyle name="Normal 5 2 2 5 3 3 2 2" xfId="54339" xr:uid="{00000000-0005-0000-0000-000064BE0000}"/>
    <cellStyle name="Normal 5 2 2 5 3 3 3" xfId="40777" xr:uid="{00000000-0005-0000-0000-000065BE0000}"/>
    <cellStyle name="Normal 5 2 2 5 3 4" xfId="20425" xr:uid="{00000000-0005-0000-0000-000066BE0000}"/>
    <cellStyle name="Normal 5 2 2 5 3 4 2" xfId="47558" xr:uid="{00000000-0005-0000-0000-000067BE0000}"/>
    <cellStyle name="Normal 5 2 2 5 3 5" xfId="33996" xr:uid="{00000000-0005-0000-0000-000068BE0000}"/>
    <cellStyle name="Normal 5 2 2 5 4" xfId="6707" xr:uid="{00000000-0005-0000-0000-000069BE0000}"/>
    <cellStyle name="Normal 5 2 2 5 4 2" xfId="10239" xr:uid="{00000000-0005-0000-0000-00006ABE0000}"/>
    <cellStyle name="Normal 5 2 2 5 4 2 2" xfId="17028" xr:uid="{00000000-0005-0000-0000-00006BBE0000}"/>
    <cellStyle name="Normal 5 2 2 5 4 2 2 2" xfId="30596" xr:uid="{00000000-0005-0000-0000-00006CBE0000}"/>
    <cellStyle name="Normal 5 2 2 5 4 2 2 2 2" xfId="57729" xr:uid="{00000000-0005-0000-0000-00006DBE0000}"/>
    <cellStyle name="Normal 5 2 2 5 4 2 2 3" xfId="44167" xr:uid="{00000000-0005-0000-0000-00006EBE0000}"/>
    <cellStyle name="Normal 5 2 2 5 4 2 3" xfId="23815" xr:uid="{00000000-0005-0000-0000-00006FBE0000}"/>
    <cellStyle name="Normal 5 2 2 5 4 2 3 2" xfId="50948" xr:uid="{00000000-0005-0000-0000-000070BE0000}"/>
    <cellStyle name="Normal 5 2 2 5 4 2 4" xfId="37386" xr:uid="{00000000-0005-0000-0000-000071BE0000}"/>
    <cellStyle name="Normal 5 2 2 5 4 3" xfId="13639" xr:uid="{00000000-0005-0000-0000-000072BE0000}"/>
    <cellStyle name="Normal 5 2 2 5 4 3 2" xfId="27207" xr:uid="{00000000-0005-0000-0000-000073BE0000}"/>
    <cellStyle name="Normal 5 2 2 5 4 3 2 2" xfId="54340" xr:uid="{00000000-0005-0000-0000-000074BE0000}"/>
    <cellStyle name="Normal 5 2 2 5 4 3 3" xfId="40778" xr:uid="{00000000-0005-0000-0000-000075BE0000}"/>
    <cellStyle name="Normal 5 2 2 5 4 4" xfId="20426" xr:uid="{00000000-0005-0000-0000-000076BE0000}"/>
    <cellStyle name="Normal 5 2 2 5 4 4 2" xfId="47559" xr:uid="{00000000-0005-0000-0000-000077BE0000}"/>
    <cellStyle name="Normal 5 2 2 5 4 5" xfId="33997" xr:uid="{00000000-0005-0000-0000-000078BE0000}"/>
    <cellStyle name="Normal 5 2 2 5 5" xfId="10234" xr:uid="{00000000-0005-0000-0000-000079BE0000}"/>
    <cellStyle name="Normal 5 2 2 5 5 2" xfId="17023" xr:uid="{00000000-0005-0000-0000-00007ABE0000}"/>
    <cellStyle name="Normal 5 2 2 5 5 2 2" xfId="30591" xr:uid="{00000000-0005-0000-0000-00007BBE0000}"/>
    <cellStyle name="Normal 5 2 2 5 5 2 2 2" xfId="57724" xr:uid="{00000000-0005-0000-0000-00007CBE0000}"/>
    <cellStyle name="Normal 5 2 2 5 5 2 3" xfId="44162" xr:uid="{00000000-0005-0000-0000-00007DBE0000}"/>
    <cellStyle name="Normal 5 2 2 5 5 3" xfId="23810" xr:uid="{00000000-0005-0000-0000-00007EBE0000}"/>
    <cellStyle name="Normal 5 2 2 5 5 3 2" xfId="50943" xr:uid="{00000000-0005-0000-0000-00007FBE0000}"/>
    <cellStyle name="Normal 5 2 2 5 5 4" xfId="37381" xr:uid="{00000000-0005-0000-0000-000080BE0000}"/>
    <cellStyle name="Normal 5 2 2 5 6" xfId="13634" xr:uid="{00000000-0005-0000-0000-000081BE0000}"/>
    <cellStyle name="Normal 5 2 2 5 6 2" xfId="27202" xr:uid="{00000000-0005-0000-0000-000082BE0000}"/>
    <cellStyle name="Normal 5 2 2 5 6 2 2" xfId="54335" xr:uid="{00000000-0005-0000-0000-000083BE0000}"/>
    <cellStyle name="Normal 5 2 2 5 6 3" xfId="40773" xr:uid="{00000000-0005-0000-0000-000084BE0000}"/>
    <cellStyle name="Normal 5 2 2 5 7" xfId="20421" xr:uid="{00000000-0005-0000-0000-000085BE0000}"/>
    <cellStyle name="Normal 5 2 2 5 7 2" xfId="47554" xr:uid="{00000000-0005-0000-0000-000086BE0000}"/>
    <cellStyle name="Normal 5 2 2 5 8" xfId="33992" xr:uid="{00000000-0005-0000-0000-000087BE0000}"/>
    <cellStyle name="Normal 5 2 2 6" xfId="6708" xr:uid="{00000000-0005-0000-0000-000088BE0000}"/>
    <cellStyle name="Normal 5 2 2 6 2" xfId="6709" xr:uid="{00000000-0005-0000-0000-000089BE0000}"/>
    <cellStyle name="Normal 5 2 2 6 2 2" xfId="6710" xr:uid="{00000000-0005-0000-0000-00008ABE0000}"/>
    <cellStyle name="Normal 5 2 2 6 2 2 2" xfId="10242" xr:uid="{00000000-0005-0000-0000-00008BBE0000}"/>
    <cellStyle name="Normal 5 2 2 6 2 2 2 2" xfId="17031" xr:uid="{00000000-0005-0000-0000-00008CBE0000}"/>
    <cellStyle name="Normal 5 2 2 6 2 2 2 2 2" xfId="30599" xr:uid="{00000000-0005-0000-0000-00008DBE0000}"/>
    <cellStyle name="Normal 5 2 2 6 2 2 2 2 2 2" xfId="57732" xr:uid="{00000000-0005-0000-0000-00008EBE0000}"/>
    <cellStyle name="Normal 5 2 2 6 2 2 2 2 3" xfId="44170" xr:uid="{00000000-0005-0000-0000-00008FBE0000}"/>
    <cellStyle name="Normal 5 2 2 6 2 2 2 3" xfId="23818" xr:uid="{00000000-0005-0000-0000-000090BE0000}"/>
    <cellStyle name="Normal 5 2 2 6 2 2 2 3 2" xfId="50951" xr:uid="{00000000-0005-0000-0000-000091BE0000}"/>
    <cellStyle name="Normal 5 2 2 6 2 2 2 4" xfId="37389" xr:uid="{00000000-0005-0000-0000-000092BE0000}"/>
    <cellStyle name="Normal 5 2 2 6 2 2 3" xfId="13642" xr:uid="{00000000-0005-0000-0000-000093BE0000}"/>
    <cellStyle name="Normal 5 2 2 6 2 2 3 2" xfId="27210" xr:uid="{00000000-0005-0000-0000-000094BE0000}"/>
    <cellStyle name="Normal 5 2 2 6 2 2 3 2 2" xfId="54343" xr:uid="{00000000-0005-0000-0000-000095BE0000}"/>
    <cellStyle name="Normal 5 2 2 6 2 2 3 3" xfId="40781" xr:uid="{00000000-0005-0000-0000-000096BE0000}"/>
    <cellStyle name="Normal 5 2 2 6 2 2 4" xfId="20429" xr:uid="{00000000-0005-0000-0000-000097BE0000}"/>
    <cellStyle name="Normal 5 2 2 6 2 2 4 2" xfId="47562" xr:uid="{00000000-0005-0000-0000-000098BE0000}"/>
    <cellStyle name="Normal 5 2 2 6 2 2 5" xfId="34000" xr:uid="{00000000-0005-0000-0000-000099BE0000}"/>
    <cellStyle name="Normal 5 2 2 6 2 3" xfId="6711" xr:uid="{00000000-0005-0000-0000-00009ABE0000}"/>
    <cellStyle name="Normal 5 2 2 6 2 3 2" xfId="10243" xr:uid="{00000000-0005-0000-0000-00009BBE0000}"/>
    <cellStyle name="Normal 5 2 2 6 2 3 2 2" xfId="17032" xr:uid="{00000000-0005-0000-0000-00009CBE0000}"/>
    <cellStyle name="Normal 5 2 2 6 2 3 2 2 2" xfId="30600" xr:uid="{00000000-0005-0000-0000-00009DBE0000}"/>
    <cellStyle name="Normal 5 2 2 6 2 3 2 2 2 2" xfId="57733" xr:uid="{00000000-0005-0000-0000-00009EBE0000}"/>
    <cellStyle name="Normal 5 2 2 6 2 3 2 2 3" xfId="44171" xr:uid="{00000000-0005-0000-0000-00009FBE0000}"/>
    <cellStyle name="Normal 5 2 2 6 2 3 2 3" xfId="23819" xr:uid="{00000000-0005-0000-0000-0000A0BE0000}"/>
    <cellStyle name="Normal 5 2 2 6 2 3 2 3 2" xfId="50952" xr:uid="{00000000-0005-0000-0000-0000A1BE0000}"/>
    <cellStyle name="Normal 5 2 2 6 2 3 2 4" xfId="37390" xr:uid="{00000000-0005-0000-0000-0000A2BE0000}"/>
    <cellStyle name="Normal 5 2 2 6 2 3 3" xfId="13643" xr:uid="{00000000-0005-0000-0000-0000A3BE0000}"/>
    <cellStyle name="Normal 5 2 2 6 2 3 3 2" xfId="27211" xr:uid="{00000000-0005-0000-0000-0000A4BE0000}"/>
    <cellStyle name="Normal 5 2 2 6 2 3 3 2 2" xfId="54344" xr:uid="{00000000-0005-0000-0000-0000A5BE0000}"/>
    <cellStyle name="Normal 5 2 2 6 2 3 3 3" xfId="40782" xr:uid="{00000000-0005-0000-0000-0000A6BE0000}"/>
    <cellStyle name="Normal 5 2 2 6 2 3 4" xfId="20430" xr:uid="{00000000-0005-0000-0000-0000A7BE0000}"/>
    <cellStyle name="Normal 5 2 2 6 2 3 4 2" xfId="47563" xr:uid="{00000000-0005-0000-0000-0000A8BE0000}"/>
    <cellStyle name="Normal 5 2 2 6 2 3 5" xfId="34001" xr:uid="{00000000-0005-0000-0000-0000A9BE0000}"/>
    <cellStyle name="Normal 5 2 2 6 2 4" xfId="10241" xr:uid="{00000000-0005-0000-0000-0000AABE0000}"/>
    <cellStyle name="Normal 5 2 2 6 2 4 2" xfId="17030" xr:uid="{00000000-0005-0000-0000-0000ABBE0000}"/>
    <cellStyle name="Normal 5 2 2 6 2 4 2 2" xfId="30598" xr:uid="{00000000-0005-0000-0000-0000ACBE0000}"/>
    <cellStyle name="Normal 5 2 2 6 2 4 2 2 2" xfId="57731" xr:uid="{00000000-0005-0000-0000-0000ADBE0000}"/>
    <cellStyle name="Normal 5 2 2 6 2 4 2 3" xfId="44169" xr:uid="{00000000-0005-0000-0000-0000AEBE0000}"/>
    <cellStyle name="Normal 5 2 2 6 2 4 3" xfId="23817" xr:uid="{00000000-0005-0000-0000-0000AFBE0000}"/>
    <cellStyle name="Normal 5 2 2 6 2 4 3 2" xfId="50950" xr:uid="{00000000-0005-0000-0000-0000B0BE0000}"/>
    <cellStyle name="Normal 5 2 2 6 2 4 4" xfId="37388" xr:uid="{00000000-0005-0000-0000-0000B1BE0000}"/>
    <cellStyle name="Normal 5 2 2 6 2 5" xfId="13641" xr:uid="{00000000-0005-0000-0000-0000B2BE0000}"/>
    <cellStyle name="Normal 5 2 2 6 2 5 2" xfId="27209" xr:uid="{00000000-0005-0000-0000-0000B3BE0000}"/>
    <cellStyle name="Normal 5 2 2 6 2 5 2 2" xfId="54342" xr:uid="{00000000-0005-0000-0000-0000B4BE0000}"/>
    <cellStyle name="Normal 5 2 2 6 2 5 3" xfId="40780" xr:uid="{00000000-0005-0000-0000-0000B5BE0000}"/>
    <cellStyle name="Normal 5 2 2 6 2 6" xfId="20428" xr:uid="{00000000-0005-0000-0000-0000B6BE0000}"/>
    <cellStyle name="Normal 5 2 2 6 2 6 2" xfId="47561" xr:uid="{00000000-0005-0000-0000-0000B7BE0000}"/>
    <cellStyle name="Normal 5 2 2 6 2 7" xfId="33999" xr:uid="{00000000-0005-0000-0000-0000B8BE0000}"/>
    <cellStyle name="Normal 5 2 2 6 3" xfId="6712" xr:uid="{00000000-0005-0000-0000-0000B9BE0000}"/>
    <cellStyle name="Normal 5 2 2 6 3 2" xfId="10244" xr:uid="{00000000-0005-0000-0000-0000BABE0000}"/>
    <cellStyle name="Normal 5 2 2 6 3 2 2" xfId="17033" xr:uid="{00000000-0005-0000-0000-0000BBBE0000}"/>
    <cellStyle name="Normal 5 2 2 6 3 2 2 2" xfId="30601" xr:uid="{00000000-0005-0000-0000-0000BCBE0000}"/>
    <cellStyle name="Normal 5 2 2 6 3 2 2 2 2" xfId="57734" xr:uid="{00000000-0005-0000-0000-0000BDBE0000}"/>
    <cellStyle name="Normal 5 2 2 6 3 2 2 3" xfId="44172" xr:uid="{00000000-0005-0000-0000-0000BEBE0000}"/>
    <cellStyle name="Normal 5 2 2 6 3 2 3" xfId="23820" xr:uid="{00000000-0005-0000-0000-0000BFBE0000}"/>
    <cellStyle name="Normal 5 2 2 6 3 2 3 2" xfId="50953" xr:uid="{00000000-0005-0000-0000-0000C0BE0000}"/>
    <cellStyle name="Normal 5 2 2 6 3 2 4" xfId="37391" xr:uid="{00000000-0005-0000-0000-0000C1BE0000}"/>
    <cellStyle name="Normal 5 2 2 6 3 3" xfId="13644" xr:uid="{00000000-0005-0000-0000-0000C2BE0000}"/>
    <cellStyle name="Normal 5 2 2 6 3 3 2" xfId="27212" xr:uid="{00000000-0005-0000-0000-0000C3BE0000}"/>
    <cellStyle name="Normal 5 2 2 6 3 3 2 2" xfId="54345" xr:uid="{00000000-0005-0000-0000-0000C4BE0000}"/>
    <cellStyle name="Normal 5 2 2 6 3 3 3" xfId="40783" xr:uid="{00000000-0005-0000-0000-0000C5BE0000}"/>
    <cellStyle name="Normal 5 2 2 6 3 4" xfId="20431" xr:uid="{00000000-0005-0000-0000-0000C6BE0000}"/>
    <cellStyle name="Normal 5 2 2 6 3 4 2" xfId="47564" xr:uid="{00000000-0005-0000-0000-0000C7BE0000}"/>
    <cellStyle name="Normal 5 2 2 6 3 5" xfId="34002" xr:uid="{00000000-0005-0000-0000-0000C8BE0000}"/>
    <cellStyle name="Normal 5 2 2 6 4" xfId="6713" xr:uid="{00000000-0005-0000-0000-0000C9BE0000}"/>
    <cellStyle name="Normal 5 2 2 6 4 2" xfId="10245" xr:uid="{00000000-0005-0000-0000-0000CABE0000}"/>
    <cellStyle name="Normal 5 2 2 6 4 2 2" xfId="17034" xr:uid="{00000000-0005-0000-0000-0000CBBE0000}"/>
    <cellStyle name="Normal 5 2 2 6 4 2 2 2" xfId="30602" xr:uid="{00000000-0005-0000-0000-0000CCBE0000}"/>
    <cellStyle name="Normal 5 2 2 6 4 2 2 2 2" xfId="57735" xr:uid="{00000000-0005-0000-0000-0000CDBE0000}"/>
    <cellStyle name="Normal 5 2 2 6 4 2 2 3" xfId="44173" xr:uid="{00000000-0005-0000-0000-0000CEBE0000}"/>
    <cellStyle name="Normal 5 2 2 6 4 2 3" xfId="23821" xr:uid="{00000000-0005-0000-0000-0000CFBE0000}"/>
    <cellStyle name="Normal 5 2 2 6 4 2 3 2" xfId="50954" xr:uid="{00000000-0005-0000-0000-0000D0BE0000}"/>
    <cellStyle name="Normal 5 2 2 6 4 2 4" xfId="37392" xr:uid="{00000000-0005-0000-0000-0000D1BE0000}"/>
    <cellStyle name="Normal 5 2 2 6 4 3" xfId="13645" xr:uid="{00000000-0005-0000-0000-0000D2BE0000}"/>
    <cellStyle name="Normal 5 2 2 6 4 3 2" xfId="27213" xr:uid="{00000000-0005-0000-0000-0000D3BE0000}"/>
    <cellStyle name="Normal 5 2 2 6 4 3 2 2" xfId="54346" xr:uid="{00000000-0005-0000-0000-0000D4BE0000}"/>
    <cellStyle name="Normal 5 2 2 6 4 3 3" xfId="40784" xr:uid="{00000000-0005-0000-0000-0000D5BE0000}"/>
    <cellStyle name="Normal 5 2 2 6 4 4" xfId="20432" xr:uid="{00000000-0005-0000-0000-0000D6BE0000}"/>
    <cellStyle name="Normal 5 2 2 6 4 4 2" xfId="47565" xr:uid="{00000000-0005-0000-0000-0000D7BE0000}"/>
    <cellStyle name="Normal 5 2 2 6 4 5" xfId="34003" xr:uid="{00000000-0005-0000-0000-0000D8BE0000}"/>
    <cellStyle name="Normal 5 2 2 6 5" xfId="10240" xr:uid="{00000000-0005-0000-0000-0000D9BE0000}"/>
    <cellStyle name="Normal 5 2 2 6 5 2" xfId="17029" xr:uid="{00000000-0005-0000-0000-0000DABE0000}"/>
    <cellStyle name="Normal 5 2 2 6 5 2 2" xfId="30597" xr:uid="{00000000-0005-0000-0000-0000DBBE0000}"/>
    <cellStyle name="Normal 5 2 2 6 5 2 2 2" xfId="57730" xr:uid="{00000000-0005-0000-0000-0000DCBE0000}"/>
    <cellStyle name="Normal 5 2 2 6 5 2 3" xfId="44168" xr:uid="{00000000-0005-0000-0000-0000DDBE0000}"/>
    <cellStyle name="Normal 5 2 2 6 5 3" xfId="23816" xr:uid="{00000000-0005-0000-0000-0000DEBE0000}"/>
    <cellStyle name="Normal 5 2 2 6 5 3 2" xfId="50949" xr:uid="{00000000-0005-0000-0000-0000DFBE0000}"/>
    <cellStyle name="Normal 5 2 2 6 5 4" xfId="37387" xr:uid="{00000000-0005-0000-0000-0000E0BE0000}"/>
    <cellStyle name="Normal 5 2 2 6 6" xfId="13640" xr:uid="{00000000-0005-0000-0000-0000E1BE0000}"/>
    <cellStyle name="Normal 5 2 2 6 6 2" xfId="27208" xr:uid="{00000000-0005-0000-0000-0000E2BE0000}"/>
    <cellStyle name="Normal 5 2 2 6 6 2 2" xfId="54341" xr:uid="{00000000-0005-0000-0000-0000E3BE0000}"/>
    <cellStyle name="Normal 5 2 2 6 6 3" xfId="40779" xr:uid="{00000000-0005-0000-0000-0000E4BE0000}"/>
    <cellStyle name="Normal 5 2 2 6 7" xfId="20427" xr:uid="{00000000-0005-0000-0000-0000E5BE0000}"/>
    <cellStyle name="Normal 5 2 2 6 7 2" xfId="47560" xr:uid="{00000000-0005-0000-0000-0000E6BE0000}"/>
    <cellStyle name="Normal 5 2 2 6 8" xfId="33998" xr:uid="{00000000-0005-0000-0000-0000E7BE0000}"/>
    <cellStyle name="Normal 5 2 2 7" xfId="6714" xr:uid="{00000000-0005-0000-0000-0000E8BE0000}"/>
    <cellStyle name="Normal 5 2 2 7 2" xfId="6715" xr:uid="{00000000-0005-0000-0000-0000E9BE0000}"/>
    <cellStyle name="Normal 5 2 2 7 2 2" xfId="10247" xr:uid="{00000000-0005-0000-0000-0000EABE0000}"/>
    <cellStyle name="Normal 5 2 2 7 2 2 2" xfId="17036" xr:uid="{00000000-0005-0000-0000-0000EBBE0000}"/>
    <cellStyle name="Normal 5 2 2 7 2 2 2 2" xfId="30604" xr:uid="{00000000-0005-0000-0000-0000ECBE0000}"/>
    <cellStyle name="Normal 5 2 2 7 2 2 2 2 2" xfId="57737" xr:uid="{00000000-0005-0000-0000-0000EDBE0000}"/>
    <cellStyle name="Normal 5 2 2 7 2 2 2 3" xfId="44175" xr:uid="{00000000-0005-0000-0000-0000EEBE0000}"/>
    <cellStyle name="Normal 5 2 2 7 2 2 3" xfId="23823" xr:uid="{00000000-0005-0000-0000-0000EFBE0000}"/>
    <cellStyle name="Normal 5 2 2 7 2 2 3 2" xfId="50956" xr:uid="{00000000-0005-0000-0000-0000F0BE0000}"/>
    <cellStyle name="Normal 5 2 2 7 2 2 4" xfId="37394" xr:uid="{00000000-0005-0000-0000-0000F1BE0000}"/>
    <cellStyle name="Normal 5 2 2 7 2 3" xfId="13647" xr:uid="{00000000-0005-0000-0000-0000F2BE0000}"/>
    <cellStyle name="Normal 5 2 2 7 2 3 2" xfId="27215" xr:uid="{00000000-0005-0000-0000-0000F3BE0000}"/>
    <cellStyle name="Normal 5 2 2 7 2 3 2 2" xfId="54348" xr:uid="{00000000-0005-0000-0000-0000F4BE0000}"/>
    <cellStyle name="Normal 5 2 2 7 2 3 3" xfId="40786" xr:uid="{00000000-0005-0000-0000-0000F5BE0000}"/>
    <cellStyle name="Normal 5 2 2 7 2 4" xfId="20434" xr:uid="{00000000-0005-0000-0000-0000F6BE0000}"/>
    <cellStyle name="Normal 5 2 2 7 2 4 2" xfId="47567" xr:uid="{00000000-0005-0000-0000-0000F7BE0000}"/>
    <cellStyle name="Normal 5 2 2 7 2 5" xfId="34005" xr:uid="{00000000-0005-0000-0000-0000F8BE0000}"/>
    <cellStyle name="Normal 5 2 2 7 3" xfId="6716" xr:uid="{00000000-0005-0000-0000-0000F9BE0000}"/>
    <cellStyle name="Normal 5 2 2 7 3 2" xfId="10248" xr:uid="{00000000-0005-0000-0000-0000FABE0000}"/>
    <cellStyle name="Normal 5 2 2 7 3 2 2" xfId="17037" xr:uid="{00000000-0005-0000-0000-0000FBBE0000}"/>
    <cellStyle name="Normal 5 2 2 7 3 2 2 2" xfId="30605" xr:uid="{00000000-0005-0000-0000-0000FCBE0000}"/>
    <cellStyle name="Normal 5 2 2 7 3 2 2 2 2" xfId="57738" xr:uid="{00000000-0005-0000-0000-0000FDBE0000}"/>
    <cellStyle name="Normal 5 2 2 7 3 2 2 3" xfId="44176" xr:uid="{00000000-0005-0000-0000-0000FEBE0000}"/>
    <cellStyle name="Normal 5 2 2 7 3 2 3" xfId="23824" xr:uid="{00000000-0005-0000-0000-0000FFBE0000}"/>
    <cellStyle name="Normal 5 2 2 7 3 2 3 2" xfId="50957" xr:uid="{00000000-0005-0000-0000-000000BF0000}"/>
    <cellStyle name="Normal 5 2 2 7 3 2 4" xfId="37395" xr:uid="{00000000-0005-0000-0000-000001BF0000}"/>
    <cellStyle name="Normal 5 2 2 7 3 3" xfId="13648" xr:uid="{00000000-0005-0000-0000-000002BF0000}"/>
    <cellStyle name="Normal 5 2 2 7 3 3 2" xfId="27216" xr:uid="{00000000-0005-0000-0000-000003BF0000}"/>
    <cellStyle name="Normal 5 2 2 7 3 3 2 2" xfId="54349" xr:uid="{00000000-0005-0000-0000-000004BF0000}"/>
    <cellStyle name="Normal 5 2 2 7 3 3 3" xfId="40787" xr:uid="{00000000-0005-0000-0000-000005BF0000}"/>
    <cellStyle name="Normal 5 2 2 7 3 4" xfId="20435" xr:uid="{00000000-0005-0000-0000-000006BF0000}"/>
    <cellStyle name="Normal 5 2 2 7 3 4 2" xfId="47568" xr:uid="{00000000-0005-0000-0000-000007BF0000}"/>
    <cellStyle name="Normal 5 2 2 7 3 5" xfId="34006" xr:uid="{00000000-0005-0000-0000-000008BF0000}"/>
    <cellStyle name="Normal 5 2 2 7 4" xfId="10246" xr:uid="{00000000-0005-0000-0000-000009BF0000}"/>
    <cellStyle name="Normal 5 2 2 7 4 2" xfId="17035" xr:uid="{00000000-0005-0000-0000-00000ABF0000}"/>
    <cellStyle name="Normal 5 2 2 7 4 2 2" xfId="30603" xr:uid="{00000000-0005-0000-0000-00000BBF0000}"/>
    <cellStyle name="Normal 5 2 2 7 4 2 2 2" xfId="57736" xr:uid="{00000000-0005-0000-0000-00000CBF0000}"/>
    <cellStyle name="Normal 5 2 2 7 4 2 3" xfId="44174" xr:uid="{00000000-0005-0000-0000-00000DBF0000}"/>
    <cellStyle name="Normal 5 2 2 7 4 3" xfId="23822" xr:uid="{00000000-0005-0000-0000-00000EBF0000}"/>
    <cellStyle name="Normal 5 2 2 7 4 3 2" xfId="50955" xr:uid="{00000000-0005-0000-0000-00000FBF0000}"/>
    <cellStyle name="Normal 5 2 2 7 4 4" xfId="37393" xr:uid="{00000000-0005-0000-0000-000010BF0000}"/>
    <cellStyle name="Normal 5 2 2 7 5" xfId="13646" xr:uid="{00000000-0005-0000-0000-000011BF0000}"/>
    <cellStyle name="Normal 5 2 2 7 5 2" xfId="27214" xr:uid="{00000000-0005-0000-0000-000012BF0000}"/>
    <cellStyle name="Normal 5 2 2 7 5 2 2" xfId="54347" xr:uid="{00000000-0005-0000-0000-000013BF0000}"/>
    <cellStyle name="Normal 5 2 2 7 5 3" xfId="40785" xr:uid="{00000000-0005-0000-0000-000014BF0000}"/>
    <cellStyle name="Normal 5 2 2 7 6" xfId="20433" xr:uid="{00000000-0005-0000-0000-000015BF0000}"/>
    <cellStyle name="Normal 5 2 2 7 6 2" xfId="47566" xr:uid="{00000000-0005-0000-0000-000016BF0000}"/>
    <cellStyle name="Normal 5 2 2 7 7" xfId="34004" xr:uid="{00000000-0005-0000-0000-000017BF0000}"/>
    <cellStyle name="Normal 5 2 2 8" xfId="6717" xr:uid="{00000000-0005-0000-0000-000018BF0000}"/>
    <cellStyle name="Normal 5 2 2 8 2" xfId="6718" xr:uid="{00000000-0005-0000-0000-000019BF0000}"/>
    <cellStyle name="Normal 5 2 2 8 2 2" xfId="10250" xr:uid="{00000000-0005-0000-0000-00001ABF0000}"/>
    <cellStyle name="Normal 5 2 2 8 2 2 2" xfId="17039" xr:uid="{00000000-0005-0000-0000-00001BBF0000}"/>
    <cellStyle name="Normal 5 2 2 8 2 2 2 2" xfId="30607" xr:uid="{00000000-0005-0000-0000-00001CBF0000}"/>
    <cellStyle name="Normal 5 2 2 8 2 2 2 2 2" xfId="57740" xr:uid="{00000000-0005-0000-0000-00001DBF0000}"/>
    <cellStyle name="Normal 5 2 2 8 2 2 2 3" xfId="44178" xr:uid="{00000000-0005-0000-0000-00001EBF0000}"/>
    <cellStyle name="Normal 5 2 2 8 2 2 3" xfId="23826" xr:uid="{00000000-0005-0000-0000-00001FBF0000}"/>
    <cellStyle name="Normal 5 2 2 8 2 2 3 2" xfId="50959" xr:uid="{00000000-0005-0000-0000-000020BF0000}"/>
    <cellStyle name="Normal 5 2 2 8 2 2 4" xfId="37397" xr:uid="{00000000-0005-0000-0000-000021BF0000}"/>
    <cellStyle name="Normal 5 2 2 8 2 3" xfId="13650" xr:uid="{00000000-0005-0000-0000-000022BF0000}"/>
    <cellStyle name="Normal 5 2 2 8 2 3 2" xfId="27218" xr:uid="{00000000-0005-0000-0000-000023BF0000}"/>
    <cellStyle name="Normal 5 2 2 8 2 3 2 2" xfId="54351" xr:uid="{00000000-0005-0000-0000-000024BF0000}"/>
    <cellStyle name="Normal 5 2 2 8 2 3 3" xfId="40789" xr:uid="{00000000-0005-0000-0000-000025BF0000}"/>
    <cellStyle name="Normal 5 2 2 8 2 4" xfId="20437" xr:uid="{00000000-0005-0000-0000-000026BF0000}"/>
    <cellStyle name="Normal 5 2 2 8 2 4 2" xfId="47570" xr:uid="{00000000-0005-0000-0000-000027BF0000}"/>
    <cellStyle name="Normal 5 2 2 8 2 5" xfId="34008" xr:uid="{00000000-0005-0000-0000-000028BF0000}"/>
    <cellStyle name="Normal 5 2 2 8 3" xfId="6719" xr:uid="{00000000-0005-0000-0000-000029BF0000}"/>
    <cellStyle name="Normal 5 2 2 8 3 2" xfId="10251" xr:uid="{00000000-0005-0000-0000-00002ABF0000}"/>
    <cellStyle name="Normal 5 2 2 8 3 2 2" xfId="17040" xr:uid="{00000000-0005-0000-0000-00002BBF0000}"/>
    <cellStyle name="Normal 5 2 2 8 3 2 2 2" xfId="30608" xr:uid="{00000000-0005-0000-0000-00002CBF0000}"/>
    <cellStyle name="Normal 5 2 2 8 3 2 2 2 2" xfId="57741" xr:uid="{00000000-0005-0000-0000-00002DBF0000}"/>
    <cellStyle name="Normal 5 2 2 8 3 2 2 3" xfId="44179" xr:uid="{00000000-0005-0000-0000-00002EBF0000}"/>
    <cellStyle name="Normal 5 2 2 8 3 2 3" xfId="23827" xr:uid="{00000000-0005-0000-0000-00002FBF0000}"/>
    <cellStyle name="Normal 5 2 2 8 3 2 3 2" xfId="50960" xr:uid="{00000000-0005-0000-0000-000030BF0000}"/>
    <cellStyle name="Normal 5 2 2 8 3 2 4" xfId="37398" xr:uid="{00000000-0005-0000-0000-000031BF0000}"/>
    <cellStyle name="Normal 5 2 2 8 3 3" xfId="13651" xr:uid="{00000000-0005-0000-0000-000032BF0000}"/>
    <cellStyle name="Normal 5 2 2 8 3 3 2" xfId="27219" xr:uid="{00000000-0005-0000-0000-000033BF0000}"/>
    <cellStyle name="Normal 5 2 2 8 3 3 2 2" xfId="54352" xr:uid="{00000000-0005-0000-0000-000034BF0000}"/>
    <cellStyle name="Normal 5 2 2 8 3 3 3" xfId="40790" xr:uid="{00000000-0005-0000-0000-000035BF0000}"/>
    <cellStyle name="Normal 5 2 2 8 3 4" xfId="20438" xr:uid="{00000000-0005-0000-0000-000036BF0000}"/>
    <cellStyle name="Normal 5 2 2 8 3 4 2" xfId="47571" xr:uid="{00000000-0005-0000-0000-000037BF0000}"/>
    <cellStyle name="Normal 5 2 2 8 3 5" xfId="34009" xr:uid="{00000000-0005-0000-0000-000038BF0000}"/>
    <cellStyle name="Normal 5 2 2 8 4" xfId="10249" xr:uid="{00000000-0005-0000-0000-000039BF0000}"/>
    <cellStyle name="Normal 5 2 2 8 4 2" xfId="17038" xr:uid="{00000000-0005-0000-0000-00003ABF0000}"/>
    <cellStyle name="Normal 5 2 2 8 4 2 2" xfId="30606" xr:uid="{00000000-0005-0000-0000-00003BBF0000}"/>
    <cellStyle name="Normal 5 2 2 8 4 2 2 2" xfId="57739" xr:uid="{00000000-0005-0000-0000-00003CBF0000}"/>
    <cellStyle name="Normal 5 2 2 8 4 2 3" xfId="44177" xr:uid="{00000000-0005-0000-0000-00003DBF0000}"/>
    <cellStyle name="Normal 5 2 2 8 4 3" xfId="23825" xr:uid="{00000000-0005-0000-0000-00003EBF0000}"/>
    <cellStyle name="Normal 5 2 2 8 4 3 2" xfId="50958" xr:uid="{00000000-0005-0000-0000-00003FBF0000}"/>
    <cellStyle name="Normal 5 2 2 8 4 4" xfId="37396" xr:uid="{00000000-0005-0000-0000-000040BF0000}"/>
    <cellStyle name="Normal 5 2 2 8 5" xfId="13649" xr:uid="{00000000-0005-0000-0000-000041BF0000}"/>
    <cellStyle name="Normal 5 2 2 8 5 2" xfId="27217" xr:uid="{00000000-0005-0000-0000-000042BF0000}"/>
    <cellStyle name="Normal 5 2 2 8 5 2 2" xfId="54350" xr:uid="{00000000-0005-0000-0000-000043BF0000}"/>
    <cellStyle name="Normal 5 2 2 8 5 3" xfId="40788" xr:uid="{00000000-0005-0000-0000-000044BF0000}"/>
    <cellStyle name="Normal 5 2 2 8 6" xfId="20436" xr:uid="{00000000-0005-0000-0000-000045BF0000}"/>
    <cellStyle name="Normal 5 2 2 8 6 2" xfId="47569" xr:uid="{00000000-0005-0000-0000-000046BF0000}"/>
    <cellStyle name="Normal 5 2 2 8 7" xfId="34007" xr:uid="{00000000-0005-0000-0000-000047BF0000}"/>
    <cellStyle name="Normal 5 2 2 9" xfId="6720" xr:uid="{00000000-0005-0000-0000-000048BF0000}"/>
    <cellStyle name="Normal 5 2 2 9 2" xfId="10252" xr:uid="{00000000-0005-0000-0000-000049BF0000}"/>
    <cellStyle name="Normal 5 2 2 9 2 2" xfId="17041" xr:uid="{00000000-0005-0000-0000-00004ABF0000}"/>
    <cellStyle name="Normal 5 2 2 9 2 2 2" xfId="30609" xr:uid="{00000000-0005-0000-0000-00004BBF0000}"/>
    <cellStyle name="Normal 5 2 2 9 2 2 2 2" xfId="57742" xr:uid="{00000000-0005-0000-0000-00004CBF0000}"/>
    <cellStyle name="Normal 5 2 2 9 2 2 3" xfId="44180" xr:uid="{00000000-0005-0000-0000-00004DBF0000}"/>
    <cellStyle name="Normal 5 2 2 9 2 3" xfId="23828" xr:uid="{00000000-0005-0000-0000-00004EBF0000}"/>
    <cellStyle name="Normal 5 2 2 9 2 3 2" xfId="50961" xr:uid="{00000000-0005-0000-0000-00004FBF0000}"/>
    <cellStyle name="Normal 5 2 2 9 2 4" xfId="37399" xr:uid="{00000000-0005-0000-0000-000050BF0000}"/>
    <cellStyle name="Normal 5 2 2 9 3" xfId="13652" xr:uid="{00000000-0005-0000-0000-000051BF0000}"/>
    <cellStyle name="Normal 5 2 2 9 3 2" xfId="27220" xr:uid="{00000000-0005-0000-0000-000052BF0000}"/>
    <cellStyle name="Normal 5 2 2 9 3 2 2" xfId="54353" xr:uid="{00000000-0005-0000-0000-000053BF0000}"/>
    <cellStyle name="Normal 5 2 2 9 3 3" xfId="40791" xr:uid="{00000000-0005-0000-0000-000054BF0000}"/>
    <cellStyle name="Normal 5 2 2 9 4" xfId="20439" xr:uid="{00000000-0005-0000-0000-000055BF0000}"/>
    <cellStyle name="Normal 5 2 2 9 4 2" xfId="47572" xr:uid="{00000000-0005-0000-0000-000056BF0000}"/>
    <cellStyle name="Normal 5 2 2 9 5" xfId="34010" xr:uid="{00000000-0005-0000-0000-000057BF0000}"/>
    <cellStyle name="Normal 5 2 3" xfId="6721" xr:uid="{00000000-0005-0000-0000-000058BF0000}"/>
    <cellStyle name="Normal 5 2 3 2" xfId="6722" xr:uid="{00000000-0005-0000-0000-000059BF0000}"/>
    <cellStyle name="Normal 5 2 3 2 2" xfId="6723" xr:uid="{00000000-0005-0000-0000-00005ABF0000}"/>
    <cellStyle name="Normal 5 2 3 2 2 2" xfId="10255" xr:uid="{00000000-0005-0000-0000-00005BBF0000}"/>
    <cellStyle name="Normal 5 2 3 2 2 2 2" xfId="17044" xr:uid="{00000000-0005-0000-0000-00005CBF0000}"/>
    <cellStyle name="Normal 5 2 3 2 2 2 2 2" xfId="30612" xr:uid="{00000000-0005-0000-0000-00005DBF0000}"/>
    <cellStyle name="Normal 5 2 3 2 2 2 2 2 2" xfId="57745" xr:uid="{00000000-0005-0000-0000-00005EBF0000}"/>
    <cellStyle name="Normal 5 2 3 2 2 2 2 3" xfId="44183" xr:uid="{00000000-0005-0000-0000-00005FBF0000}"/>
    <cellStyle name="Normal 5 2 3 2 2 2 3" xfId="23831" xr:uid="{00000000-0005-0000-0000-000060BF0000}"/>
    <cellStyle name="Normal 5 2 3 2 2 2 3 2" xfId="50964" xr:uid="{00000000-0005-0000-0000-000061BF0000}"/>
    <cellStyle name="Normal 5 2 3 2 2 2 4" xfId="37402" xr:uid="{00000000-0005-0000-0000-000062BF0000}"/>
    <cellStyle name="Normal 5 2 3 2 2 3" xfId="13655" xr:uid="{00000000-0005-0000-0000-000063BF0000}"/>
    <cellStyle name="Normal 5 2 3 2 2 3 2" xfId="27223" xr:uid="{00000000-0005-0000-0000-000064BF0000}"/>
    <cellStyle name="Normal 5 2 3 2 2 3 2 2" xfId="54356" xr:uid="{00000000-0005-0000-0000-000065BF0000}"/>
    <cellStyle name="Normal 5 2 3 2 2 3 3" xfId="40794" xr:uid="{00000000-0005-0000-0000-000066BF0000}"/>
    <cellStyle name="Normal 5 2 3 2 2 4" xfId="20442" xr:uid="{00000000-0005-0000-0000-000067BF0000}"/>
    <cellStyle name="Normal 5 2 3 2 2 4 2" xfId="47575" xr:uid="{00000000-0005-0000-0000-000068BF0000}"/>
    <cellStyle name="Normal 5 2 3 2 2 5" xfId="34013" xr:uid="{00000000-0005-0000-0000-000069BF0000}"/>
    <cellStyle name="Normal 5 2 3 2 3" xfId="6724" xr:uid="{00000000-0005-0000-0000-00006ABF0000}"/>
    <cellStyle name="Normal 5 2 3 2 3 2" xfId="10256" xr:uid="{00000000-0005-0000-0000-00006BBF0000}"/>
    <cellStyle name="Normal 5 2 3 2 3 2 2" xfId="17045" xr:uid="{00000000-0005-0000-0000-00006CBF0000}"/>
    <cellStyle name="Normal 5 2 3 2 3 2 2 2" xfId="30613" xr:uid="{00000000-0005-0000-0000-00006DBF0000}"/>
    <cellStyle name="Normal 5 2 3 2 3 2 2 2 2" xfId="57746" xr:uid="{00000000-0005-0000-0000-00006EBF0000}"/>
    <cellStyle name="Normal 5 2 3 2 3 2 2 3" xfId="44184" xr:uid="{00000000-0005-0000-0000-00006FBF0000}"/>
    <cellStyle name="Normal 5 2 3 2 3 2 3" xfId="23832" xr:uid="{00000000-0005-0000-0000-000070BF0000}"/>
    <cellStyle name="Normal 5 2 3 2 3 2 3 2" xfId="50965" xr:uid="{00000000-0005-0000-0000-000071BF0000}"/>
    <cellStyle name="Normal 5 2 3 2 3 2 4" xfId="37403" xr:uid="{00000000-0005-0000-0000-000072BF0000}"/>
    <cellStyle name="Normal 5 2 3 2 3 3" xfId="13656" xr:uid="{00000000-0005-0000-0000-000073BF0000}"/>
    <cellStyle name="Normal 5 2 3 2 3 3 2" xfId="27224" xr:uid="{00000000-0005-0000-0000-000074BF0000}"/>
    <cellStyle name="Normal 5 2 3 2 3 3 2 2" xfId="54357" xr:uid="{00000000-0005-0000-0000-000075BF0000}"/>
    <cellStyle name="Normal 5 2 3 2 3 3 3" xfId="40795" xr:uid="{00000000-0005-0000-0000-000076BF0000}"/>
    <cellStyle name="Normal 5 2 3 2 3 4" xfId="20443" xr:uid="{00000000-0005-0000-0000-000077BF0000}"/>
    <cellStyle name="Normal 5 2 3 2 3 4 2" xfId="47576" xr:uid="{00000000-0005-0000-0000-000078BF0000}"/>
    <cellStyle name="Normal 5 2 3 2 3 5" xfId="34014" xr:uid="{00000000-0005-0000-0000-000079BF0000}"/>
    <cellStyle name="Normal 5 2 3 2 4" xfId="10254" xr:uid="{00000000-0005-0000-0000-00007ABF0000}"/>
    <cellStyle name="Normal 5 2 3 2 4 2" xfId="17043" xr:uid="{00000000-0005-0000-0000-00007BBF0000}"/>
    <cellStyle name="Normal 5 2 3 2 4 2 2" xfId="30611" xr:uid="{00000000-0005-0000-0000-00007CBF0000}"/>
    <cellStyle name="Normal 5 2 3 2 4 2 2 2" xfId="57744" xr:uid="{00000000-0005-0000-0000-00007DBF0000}"/>
    <cellStyle name="Normal 5 2 3 2 4 2 3" xfId="44182" xr:uid="{00000000-0005-0000-0000-00007EBF0000}"/>
    <cellStyle name="Normal 5 2 3 2 4 3" xfId="23830" xr:uid="{00000000-0005-0000-0000-00007FBF0000}"/>
    <cellStyle name="Normal 5 2 3 2 4 3 2" xfId="50963" xr:uid="{00000000-0005-0000-0000-000080BF0000}"/>
    <cellStyle name="Normal 5 2 3 2 4 4" xfId="37401" xr:uid="{00000000-0005-0000-0000-000081BF0000}"/>
    <cellStyle name="Normal 5 2 3 2 5" xfId="13654" xr:uid="{00000000-0005-0000-0000-000082BF0000}"/>
    <cellStyle name="Normal 5 2 3 2 5 2" xfId="27222" xr:uid="{00000000-0005-0000-0000-000083BF0000}"/>
    <cellStyle name="Normal 5 2 3 2 5 2 2" xfId="54355" xr:uid="{00000000-0005-0000-0000-000084BF0000}"/>
    <cellStyle name="Normal 5 2 3 2 5 3" xfId="40793" xr:uid="{00000000-0005-0000-0000-000085BF0000}"/>
    <cellStyle name="Normal 5 2 3 2 6" xfId="20441" xr:uid="{00000000-0005-0000-0000-000086BF0000}"/>
    <cellStyle name="Normal 5 2 3 2 6 2" xfId="47574" xr:uid="{00000000-0005-0000-0000-000087BF0000}"/>
    <cellStyle name="Normal 5 2 3 2 7" xfId="34012" xr:uid="{00000000-0005-0000-0000-000088BF0000}"/>
    <cellStyle name="Normal 5 2 3 3" xfId="6725" xr:uid="{00000000-0005-0000-0000-000089BF0000}"/>
    <cellStyle name="Normal 5 2 3 3 2" xfId="6726" xr:uid="{00000000-0005-0000-0000-00008ABF0000}"/>
    <cellStyle name="Normal 5 2 3 3 2 2" xfId="10258" xr:uid="{00000000-0005-0000-0000-00008BBF0000}"/>
    <cellStyle name="Normal 5 2 3 3 2 2 2" xfId="17047" xr:uid="{00000000-0005-0000-0000-00008CBF0000}"/>
    <cellStyle name="Normal 5 2 3 3 2 2 2 2" xfId="30615" xr:uid="{00000000-0005-0000-0000-00008DBF0000}"/>
    <cellStyle name="Normal 5 2 3 3 2 2 2 2 2" xfId="57748" xr:uid="{00000000-0005-0000-0000-00008EBF0000}"/>
    <cellStyle name="Normal 5 2 3 3 2 2 2 3" xfId="44186" xr:uid="{00000000-0005-0000-0000-00008FBF0000}"/>
    <cellStyle name="Normal 5 2 3 3 2 2 3" xfId="23834" xr:uid="{00000000-0005-0000-0000-000090BF0000}"/>
    <cellStyle name="Normal 5 2 3 3 2 2 3 2" xfId="50967" xr:uid="{00000000-0005-0000-0000-000091BF0000}"/>
    <cellStyle name="Normal 5 2 3 3 2 2 4" xfId="37405" xr:uid="{00000000-0005-0000-0000-000092BF0000}"/>
    <cellStyle name="Normal 5 2 3 3 2 3" xfId="13658" xr:uid="{00000000-0005-0000-0000-000093BF0000}"/>
    <cellStyle name="Normal 5 2 3 3 2 3 2" xfId="27226" xr:uid="{00000000-0005-0000-0000-000094BF0000}"/>
    <cellStyle name="Normal 5 2 3 3 2 3 2 2" xfId="54359" xr:uid="{00000000-0005-0000-0000-000095BF0000}"/>
    <cellStyle name="Normal 5 2 3 3 2 3 3" xfId="40797" xr:uid="{00000000-0005-0000-0000-000096BF0000}"/>
    <cellStyle name="Normal 5 2 3 3 2 4" xfId="20445" xr:uid="{00000000-0005-0000-0000-000097BF0000}"/>
    <cellStyle name="Normal 5 2 3 3 2 4 2" xfId="47578" xr:uid="{00000000-0005-0000-0000-000098BF0000}"/>
    <cellStyle name="Normal 5 2 3 3 2 5" xfId="34016" xr:uid="{00000000-0005-0000-0000-000099BF0000}"/>
    <cellStyle name="Normal 5 2 3 3 3" xfId="10257" xr:uid="{00000000-0005-0000-0000-00009ABF0000}"/>
    <cellStyle name="Normal 5 2 3 3 3 2" xfId="17046" xr:uid="{00000000-0005-0000-0000-00009BBF0000}"/>
    <cellStyle name="Normal 5 2 3 3 3 2 2" xfId="30614" xr:uid="{00000000-0005-0000-0000-00009CBF0000}"/>
    <cellStyle name="Normal 5 2 3 3 3 2 2 2" xfId="57747" xr:uid="{00000000-0005-0000-0000-00009DBF0000}"/>
    <cellStyle name="Normal 5 2 3 3 3 2 3" xfId="44185" xr:uid="{00000000-0005-0000-0000-00009EBF0000}"/>
    <cellStyle name="Normal 5 2 3 3 3 3" xfId="23833" xr:uid="{00000000-0005-0000-0000-00009FBF0000}"/>
    <cellStyle name="Normal 5 2 3 3 3 3 2" xfId="50966" xr:uid="{00000000-0005-0000-0000-0000A0BF0000}"/>
    <cellStyle name="Normal 5 2 3 3 3 4" xfId="37404" xr:uid="{00000000-0005-0000-0000-0000A1BF0000}"/>
    <cellStyle name="Normal 5 2 3 3 4" xfId="13657" xr:uid="{00000000-0005-0000-0000-0000A2BF0000}"/>
    <cellStyle name="Normal 5 2 3 3 4 2" xfId="27225" xr:uid="{00000000-0005-0000-0000-0000A3BF0000}"/>
    <cellStyle name="Normal 5 2 3 3 4 2 2" xfId="54358" xr:uid="{00000000-0005-0000-0000-0000A4BF0000}"/>
    <cellStyle name="Normal 5 2 3 3 4 3" xfId="40796" xr:uid="{00000000-0005-0000-0000-0000A5BF0000}"/>
    <cellStyle name="Normal 5 2 3 3 5" xfId="20444" xr:uid="{00000000-0005-0000-0000-0000A6BF0000}"/>
    <cellStyle name="Normal 5 2 3 3 5 2" xfId="47577" xr:uid="{00000000-0005-0000-0000-0000A7BF0000}"/>
    <cellStyle name="Normal 5 2 3 3 6" xfId="34015" xr:uid="{00000000-0005-0000-0000-0000A8BF0000}"/>
    <cellStyle name="Normal 5 2 3 4" xfId="6727" xr:uid="{00000000-0005-0000-0000-0000A9BF0000}"/>
    <cellStyle name="Normal 5 2 3 4 2" xfId="10259" xr:uid="{00000000-0005-0000-0000-0000AABF0000}"/>
    <cellStyle name="Normal 5 2 3 4 2 2" xfId="17048" xr:uid="{00000000-0005-0000-0000-0000ABBF0000}"/>
    <cellStyle name="Normal 5 2 3 4 2 2 2" xfId="30616" xr:uid="{00000000-0005-0000-0000-0000ACBF0000}"/>
    <cellStyle name="Normal 5 2 3 4 2 2 2 2" xfId="57749" xr:uid="{00000000-0005-0000-0000-0000ADBF0000}"/>
    <cellStyle name="Normal 5 2 3 4 2 2 3" xfId="44187" xr:uid="{00000000-0005-0000-0000-0000AEBF0000}"/>
    <cellStyle name="Normal 5 2 3 4 2 3" xfId="23835" xr:uid="{00000000-0005-0000-0000-0000AFBF0000}"/>
    <cellStyle name="Normal 5 2 3 4 2 3 2" xfId="50968" xr:uid="{00000000-0005-0000-0000-0000B0BF0000}"/>
    <cellStyle name="Normal 5 2 3 4 2 4" xfId="37406" xr:uid="{00000000-0005-0000-0000-0000B1BF0000}"/>
    <cellStyle name="Normal 5 2 3 4 3" xfId="13659" xr:uid="{00000000-0005-0000-0000-0000B2BF0000}"/>
    <cellStyle name="Normal 5 2 3 4 3 2" xfId="27227" xr:uid="{00000000-0005-0000-0000-0000B3BF0000}"/>
    <cellStyle name="Normal 5 2 3 4 3 2 2" xfId="54360" xr:uid="{00000000-0005-0000-0000-0000B4BF0000}"/>
    <cellStyle name="Normal 5 2 3 4 3 3" xfId="40798" xr:uid="{00000000-0005-0000-0000-0000B5BF0000}"/>
    <cellStyle name="Normal 5 2 3 4 4" xfId="20446" xr:uid="{00000000-0005-0000-0000-0000B6BF0000}"/>
    <cellStyle name="Normal 5 2 3 4 4 2" xfId="47579" xr:uid="{00000000-0005-0000-0000-0000B7BF0000}"/>
    <cellStyle name="Normal 5 2 3 4 5" xfId="34017" xr:uid="{00000000-0005-0000-0000-0000B8BF0000}"/>
    <cellStyle name="Normal 5 2 3 5" xfId="6728" xr:uid="{00000000-0005-0000-0000-0000B9BF0000}"/>
    <cellStyle name="Normal 5 2 3 5 2" xfId="10260" xr:uid="{00000000-0005-0000-0000-0000BABF0000}"/>
    <cellStyle name="Normal 5 2 3 5 2 2" xfId="17049" xr:uid="{00000000-0005-0000-0000-0000BBBF0000}"/>
    <cellStyle name="Normal 5 2 3 5 2 2 2" xfId="30617" xr:uid="{00000000-0005-0000-0000-0000BCBF0000}"/>
    <cellStyle name="Normal 5 2 3 5 2 2 2 2" xfId="57750" xr:uid="{00000000-0005-0000-0000-0000BDBF0000}"/>
    <cellStyle name="Normal 5 2 3 5 2 2 3" xfId="44188" xr:uid="{00000000-0005-0000-0000-0000BEBF0000}"/>
    <cellStyle name="Normal 5 2 3 5 2 3" xfId="23836" xr:uid="{00000000-0005-0000-0000-0000BFBF0000}"/>
    <cellStyle name="Normal 5 2 3 5 2 3 2" xfId="50969" xr:uid="{00000000-0005-0000-0000-0000C0BF0000}"/>
    <cellStyle name="Normal 5 2 3 5 2 4" xfId="37407" xr:uid="{00000000-0005-0000-0000-0000C1BF0000}"/>
    <cellStyle name="Normal 5 2 3 5 3" xfId="13660" xr:uid="{00000000-0005-0000-0000-0000C2BF0000}"/>
    <cellStyle name="Normal 5 2 3 5 3 2" xfId="27228" xr:uid="{00000000-0005-0000-0000-0000C3BF0000}"/>
    <cellStyle name="Normal 5 2 3 5 3 2 2" xfId="54361" xr:uid="{00000000-0005-0000-0000-0000C4BF0000}"/>
    <cellStyle name="Normal 5 2 3 5 3 3" xfId="40799" xr:uid="{00000000-0005-0000-0000-0000C5BF0000}"/>
    <cellStyle name="Normal 5 2 3 5 4" xfId="20447" xr:uid="{00000000-0005-0000-0000-0000C6BF0000}"/>
    <cellStyle name="Normal 5 2 3 5 4 2" xfId="47580" xr:uid="{00000000-0005-0000-0000-0000C7BF0000}"/>
    <cellStyle name="Normal 5 2 3 5 5" xfId="34018" xr:uid="{00000000-0005-0000-0000-0000C8BF0000}"/>
    <cellStyle name="Normal 5 2 3 6" xfId="10253" xr:uid="{00000000-0005-0000-0000-0000C9BF0000}"/>
    <cellStyle name="Normal 5 2 3 6 2" xfId="17042" xr:uid="{00000000-0005-0000-0000-0000CABF0000}"/>
    <cellStyle name="Normal 5 2 3 6 2 2" xfId="30610" xr:uid="{00000000-0005-0000-0000-0000CBBF0000}"/>
    <cellStyle name="Normal 5 2 3 6 2 2 2" xfId="57743" xr:uid="{00000000-0005-0000-0000-0000CCBF0000}"/>
    <cellStyle name="Normal 5 2 3 6 2 3" xfId="44181" xr:uid="{00000000-0005-0000-0000-0000CDBF0000}"/>
    <cellStyle name="Normal 5 2 3 6 3" xfId="23829" xr:uid="{00000000-0005-0000-0000-0000CEBF0000}"/>
    <cellStyle name="Normal 5 2 3 6 3 2" xfId="50962" xr:uid="{00000000-0005-0000-0000-0000CFBF0000}"/>
    <cellStyle name="Normal 5 2 3 6 4" xfId="37400" xr:uid="{00000000-0005-0000-0000-0000D0BF0000}"/>
    <cellStyle name="Normal 5 2 3 7" xfId="13653" xr:uid="{00000000-0005-0000-0000-0000D1BF0000}"/>
    <cellStyle name="Normal 5 2 3 7 2" xfId="27221" xr:uid="{00000000-0005-0000-0000-0000D2BF0000}"/>
    <cellStyle name="Normal 5 2 3 7 2 2" xfId="54354" xr:uid="{00000000-0005-0000-0000-0000D3BF0000}"/>
    <cellStyle name="Normal 5 2 3 7 3" xfId="40792" xr:uid="{00000000-0005-0000-0000-0000D4BF0000}"/>
    <cellStyle name="Normal 5 2 3 8" xfId="20440" xr:uid="{00000000-0005-0000-0000-0000D5BF0000}"/>
    <cellStyle name="Normal 5 2 3 8 2" xfId="47573" xr:uid="{00000000-0005-0000-0000-0000D6BF0000}"/>
    <cellStyle name="Normal 5 2 3 9" xfId="34011" xr:uid="{00000000-0005-0000-0000-0000D7BF0000}"/>
    <cellStyle name="Normal 5 2 4" xfId="6729" xr:uid="{00000000-0005-0000-0000-0000D8BF0000}"/>
    <cellStyle name="Normal 5 2 5" xfId="6730" xr:uid="{00000000-0005-0000-0000-0000D9BF0000}"/>
    <cellStyle name="Normal 5 2 5 2" xfId="6731" xr:uid="{00000000-0005-0000-0000-0000DABF0000}"/>
    <cellStyle name="Normal 5 2 5 2 2" xfId="10262" xr:uid="{00000000-0005-0000-0000-0000DBBF0000}"/>
    <cellStyle name="Normal 5 2 5 2 2 2" xfId="17051" xr:uid="{00000000-0005-0000-0000-0000DCBF0000}"/>
    <cellStyle name="Normal 5 2 5 2 2 2 2" xfId="30619" xr:uid="{00000000-0005-0000-0000-0000DDBF0000}"/>
    <cellStyle name="Normal 5 2 5 2 2 2 2 2" xfId="57752" xr:uid="{00000000-0005-0000-0000-0000DEBF0000}"/>
    <cellStyle name="Normal 5 2 5 2 2 2 3" xfId="44190" xr:uid="{00000000-0005-0000-0000-0000DFBF0000}"/>
    <cellStyle name="Normal 5 2 5 2 2 3" xfId="23838" xr:uid="{00000000-0005-0000-0000-0000E0BF0000}"/>
    <cellStyle name="Normal 5 2 5 2 2 3 2" xfId="50971" xr:uid="{00000000-0005-0000-0000-0000E1BF0000}"/>
    <cellStyle name="Normal 5 2 5 2 2 4" xfId="37409" xr:uid="{00000000-0005-0000-0000-0000E2BF0000}"/>
    <cellStyle name="Normal 5 2 5 2 3" xfId="13662" xr:uid="{00000000-0005-0000-0000-0000E3BF0000}"/>
    <cellStyle name="Normal 5 2 5 2 3 2" xfId="27230" xr:uid="{00000000-0005-0000-0000-0000E4BF0000}"/>
    <cellStyle name="Normal 5 2 5 2 3 2 2" xfId="54363" xr:uid="{00000000-0005-0000-0000-0000E5BF0000}"/>
    <cellStyle name="Normal 5 2 5 2 3 3" xfId="40801" xr:uid="{00000000-0005-0000-0000-0000E6BF0000}"/>
    <cellStyle name="Normal 5 2 5 2 4" xfId="20449" xr:uid="{00000000-0005-0000-0000-0000E7BF0000}"/>
    <cellStyle name="Normal 5 2 5 2 4 2" xfId="47582" xr:uid="{00000000-0005-0000-0000-0000E8BF0000}"/>
    <cellStyle name="Normal 5 2 5 2 5" xfId="34020" xr:uid="{00000000-0005-0000-0000-0000E9BF0000}"/>
    <cellStyle name="Normal 5 2 5 3" xfId="6732" xr:uid="{00000000-0005-0000-0000-0000EABF0000}"/>
    <cellStyle name="Normal 5 2 5 3 2" xfId="10263" xr:uid="{00000000-0005-0000-0000-0000EBBF0000}"/>
    <cellStyle name="Normal 5 2 5 3 2 2" xfId="17052" xr:uid="{00000000-0005-0000-0000-0000ECBF0000}"/>
    <cellStyle name="Normal 5 2 5 3 2 2 2" xfId="30620" xr:uid="{00000000-0005-0000-0000-0000EDBF0000}"/>
    <cellStyle name="Normal 5 2 5 3 2 2 2 2" xfId="57753" xr:uid="{00000000-0005-0000-0000-0000EEBF0000}"/>
    <cellStyle name="Normal 5 2 5 3 2 2 3" xfId="44191" xr:uid="{00000000-0005-0000-0000-0000EFBF0000}"/>
    <cellStyle name="Normal 5 2 5 3 2 3" xfId="23839" xr:uid="{00000000-0005-0000-0000-0000F0BF0000}"/>
    <cellStyle name="Normal 5 2 5 3 2 3 2" xfId="50972" xr:uid="{00000000-0005-0000-0000-0000F1BF0000}"/>
    <cellStyle name="Normal 5 2 5 3 2 4" xfId="37410" xr:uid="{00000000-0005-0000-0000-0000F2BF0000}"/>
    <cellStyle name="Normal 5 2 5 3 3" xfId="13663" xr:uid="{00000000-0005-0000-0000-0000F3BF0000}"/>
    <cellStyle name="Normal 5 2 5 3 3 2" xfId="27231" xr:uid="{00000000-0005-0000-0000-0000F4BF0000}"/>
    <cellStyle name="Normal 5 2 5 3 3 2 2" xfId="54364" xr:uid="{00000000-0005-0000-0000-0000F5BF0000}"/>
    <cellStyle name="Normal 5 2 5 3 3 3" xfId="40802" xr:uid="{00000000-0005-0000-0000-0000F6BF0000}"/>
    <cellStyle name="Normal 5 2 5 3 4" xfId="20450" xr:uid="{00000000-0005-0000-0000-0000F7BF0000}"/>
    <cellStyle name="Normal 5 2 5 3 4 2" xfId="47583" xr:uid="{00000000-0005-0000-0000-0000F8BF0000}"/>
    <cellStyle name="Normal 5 2 5 3 5" xfId="34021" xr:uid="{00000000-0005-0000-0000-0000F9BF0000}"/>
    <cellStyle name="Normal 5 2 5 4" xfId="10261" xr:uid="{00000000-0005-0000-0000-0000FABF0000}"/>
    <cellStyle name="Normal 5 2 5 4 2" xfId="17050" xr:uid="{00000000-0005-0000-0000-0000FBBF0000}"/>
    <cellStyle name="Normal 5 2 5 4 2 2" xfId="30618" xr:uid="{00000000-0005-0000-0000-0000FCBF0000}"/>
    <cellStyle name="Normal 5 2 5 4 2 2 2" xfId="57751" xr:uid="{00000000-0005-0000-0000-0000FDBF0000}"/>
    <cellStyle name="Normal 5 2 5 4 2 3" xfId="44189" xr:uid="{00000000-0005-0000-0000-0000FEBF0000}"/>
    <cellStyle name="Normal 5 2 5 4 3" xfId="23837" xr:uid="{00000000-0005-0000-0000-0000FFBF0000}"/>
    <cellStyle name="Normal 5 2 5 4 3 2" xfId="50970" xr:uid="{00000000-0005-0000-0000-000000C00000}"/>
    <cellStyle name="Normal 5 2 5 4 4" xfId="37408" xr:uid="{00000000-0005-0000-0000-000001C00000}"/>
    <cellStyle name="Normal 5 2 5 5" xfId="13661" xr:uid="{00000000-0005-0000-0000-000002C00000}"/>
    <cellStyle name="Normal 5 2 5 5 2" xfId="27229" xr:uid="{00000000-0005-0000-0000-000003C00000}"/>
    <cellStyle name="Normal 5 2 5 5 2 2" xfId="54362" xr:uid="{00000000-0005-0000-0000-000004C00000}"/>
    <cellStyle name="Normal 5 2 5 5 3" xfId="40800" xr:uid="{00000000-0005-0000-0000-000005C00000}"/>
    <cellStyle name="Normal 5 2 5 6" xfId="20448" xr:uid="{00000000-0005-0000-0000-000006C00000}"/>
    <cellStyle name="Normal 5 2 5 6 2" xfId="47581" xr:uid="{00000000-0005-0000-0000-000007C00000}"/>
    <cellStyle name="Normal 5 2 5 7" xfId="34019" xr:uid="{00000000-0005-0000-0000-000008C00000}"/>
    <cellStyle name="Normal 5 2 6" xfId="6733" xr:uid="{00000000-0005-0000-0000-000009C00000}"/>
    <cellStyle name="Normal 5 2 6 2" xfId="10264" xr:uid="{00000000-0005-0000-0000-00000AC00000}"/>
    <cellStyle name="Normal 5 2 6 2 2" xfId="17053" xr:uid="{00000000-0005-0000-0000-00000BC00000}"/>
    <cellStyle name="Normal 5 2 6 2 2 2" xfId="30621" xr:uid="{00000000-0005-0000-0000-00000CC00000}"/>
    <cellStyle name="Normal 5 2 6 2 2 2 2" xfId="57754" xr:uid="{00000000-0005-0000-0000-00000DC00000}"/>
    <cellStyle name="Normal 5 2 6 2 2 3" xfId="44192" xr:uid="{00000000-0005-0000-0000-00000EC00000}"/>
    <cellStyle name="Normal 5 2 6 2 3" xfId="23840" xr:uid="{00000000-0005-0000-0000-00000FC00000}"/>
    <cellStyle name="Normal 5 2 6 2 3 2" xfId="50973" xr:uid="{00000000-0005-0000-0000-000010C00000}"/>
    <cellStyle name="Normal 5 2 6 2 4" xfId="37411" xr:uid="{00000000-0005-0000-0000-000011C00000}"/>
    <cellStyle name="Normal 5 2 6 3" xfId="13664" xr:uid="{00000000-0005-0000-0000-000012C00000}"/>
    <cellStyle name="Normal 5 2 6 3 2" xfId="27232" xr:uid="{00000000-0005-0000-0000-000013C00000}"/>
    <cellStyle name="Normal 5 2 6 3 2 2" xfId="54365" xr:uid="{00000000-0005-0000-0000-000014C00000}"/>
    <cellStyle name="Normal 5 2 6 3 3" xfId="40803" xr:uid="{00000000-0005-0000-0000-000015C00000}"/>
    <cellStyle name="Normal 5 2 6 4" xfId="20451" xr:uid="{00000000-0005-0000-0000-000016C00000}"/>
    <cellStyle name="Normal 5 2 6 4 2" xfId="47584" xr:uid="{00000000-0005-0000-0000-000017C00000}"/>
    <cellStyle name="Normal 5 2 6 5" xfId="34022" xr:uid="{00000000-0005-0000-0000-000018C00000}"/>
    <cellStyle name="Normal 5 2 7" xfId="6734" xr:uid="{00000000-0005-0000-0000-000019C00000}"/>
    <cellStyle name="Normal 5 2 7 2" xfId="10265" xr:uid="{00000000-0005-0000-0000-00001AC00000}"/>
    <cellStyle name="Normal 5 2 7 2 2" xfId="17054" xr:uid="{00000000-0005-0000-0000-00001BC00000}"/>
    <cellStyle name="Normal 5 2 7 2 2 2" xfId="30622" xr:uid="{00000000-0005-0000-0000-00001CC00000}"/>
    <cellStyle name="Normal 5 2 7 2 2 2 2" xfId="57755" xr:uid="{00000000-0005-0000-0000-00001DC00000}"/>
    <cellStyle name="Normal 5 2 7 2 2 3" xfId="44193" xr:uid="{00000000-0005-0000-0000-00001EC00000}"/>
    <cellStyle name="Normal 5 2 7 2 3" xfId="23841" xr:uid="{00000000-0005-0000-0000-00001FC00000}"/>
    <cellStyle name="Normal 5 2 7 2 3 2" xfId="50974" xr:uid="{00000000-0005-0000-0000-000020C00000}"/>
    <cellStyle name="Normal 5 2 7 2 4" xfId="37412" xr:uid="{00000000-0005-0000-0000-000021C00000}"/>
    <cellStyle name="Normal 5 2 7 3" xfId="13665" xr:uid="{00000000-0005-0000-0000-000022C00000}"/>
    <cellStyle name="Normal 5 2 7 3 2" xfId="27233" xr:uid="{00000000-0005-0000-0000-000023C00000}"/>
    <cellStyle name="Normal 5 2 7 3 2 2" xfId="54366" xr:uid="{00000000-0005-0000-0000-000024C00000}"/>
    <cellStyle name="Normal 5 2 7 3 3" xfId="40804" xr:uid="{00000000-0005-0000-0000-000025C00000}"/>
    <cellStyle name="Normal 5 2 7 4" xfId="20452" xr:uid="{00000000-0005-0000-0000-000026C00000}"/>
    <cellStyle name="Normal 5 2 7 4 2" xfId="47585" xr:uid="{00000000-0005-0000-0000-000027C00000}"/>
    <cellStyle name="Normal 5 2 7 5" xfId="34023" xr:uid="{00000000-0005-0000-0000-000028C00000}"/>
    <cellStyle name="Normal 5 20" xfId="7439" xr:uid="{00000000-0005-0000-0000-000029C00000}"/>
    <cellStyle name="Normal 5 20 2" xfId="10834" xr:uid="{00000000-0005-0000-0000-00002AC00000}"/>
    <cellStyle name="Normal 5 20 2 2" xfId="17623" xr:uid="{00000000-0005-0000-0000-00002BC00000}"/>
    <cellStyle name="Normal 5 20 2 2 2" xfId="31191" xr:uid="{00000000-0005-0000-0000-00002CC00000}"/>
    <cellStyle name="Normal 5 20 2 2 2 2" xfId="58324" xr:uid="{00000000-0005-0000-0000-00002DC00000}"/>
    <cellStyle name="Normal 5 20 2 2 3" xfId="44762" xr:uid="{00000000-0005-0000-0000-00002EC00000}"/>
    <cellStyle name="Normal 5 20 2 3" xfId="24410" xr:uid="{00000000-0005-0000-0000-00002FC00000}"/>
    <cellStyle name="Normal 5 20 2 3 2" xfId="51543" xr:uid="{00000000-0005-0000-0000-000030C00000}"/>
    <cellStyle name="Normal 5 20 2 4" xfId="37981" xr:uid="{00000000-0005-0000-0000-000031C00000}"/>
    <cellStyle name="Normal 5 20 3" xfId="14234" xr:uid="{00000000-0005-0000-0000-000032C00000}"/>
    <cellStyle name="Normal 5 20 3 2" xfId="27802" xr:uid="{00000000-0005-0000-0000-000033C00000}"/>
    <cellStyle name="Normal 5 20 3 2 2" xfId="54935" xr:uid="{00000000-0005-0000-0000-000034C00000}"/>
    <cellStyle name="Normal 5 20 3 3" xfId="41373" xr:uid="{00000000-0005-0000-0000-000035C00000}"/>
    <cellStyle name="Normal 5 20 4" xfId="21021" xr:uid="{00000000-0005-0000-0000-000036C00000}"/>
    <cellStyle name="Normal 5 20 4 2" xfId="48154" xr:uid="{00000000-0005-0000-0000-000037C00000}"/>
    <cellStyle name="Normal 5 20 5" xfId="34592" xr:uid="{00000000-0005-0000-0000-000038C00000}"/>
    <cellStyle name="Normal 5 3" xfId="16" xr:uid="{00000000-0005-0000-0000-000039C00000}"/>
    <cellStyle name="Normal 5 3 10" xfId="6735" xr:uid="{00000000-0005-0000-0000-00003AC00000}"/>
    <cellStyle name="Normal 5 3 10 2" xfId="10266" xr:uid="{00000000-0005-0000-0000-00003BC00000}"/>
    <cellStyle name="Normal 5 3 10 2 2" xfId="17055" xr:uid="{00000000-0005-0000-0000-00003CC00000}"/>
    <cellStyle name="Normal 5 3 10 2 2 2" xfId="30623" xr:uid="{00000000-0005-0000-0000-00003DC00000}"/>
    <cellStyle name="Normal 5 3 10 2 2 2 2" xfId="57756" xr:uid="{00000000-0005-0000-0000-00003EC00000}"/>
    <cellStyle name="Normal 5 3 10 2 2 3" xfId="44194" xr:uid="{00000000-0005-0000-0000-00003FC00000}"/>
    <cellStyle name="Normal 5 3 10 2 3" xfId="23842" xr:uid="{00000000-0005-0000-0000-000040C00000}"/>
    <cellStyle name="Normal 5 3 10 2 3 2" xfId="50975" xr:uid="{00000000-0005-0000-0000-000041C00000}"/>
    <cellStyle name="Normal 5 3 10 2 4" xfId="37413" xr:uid="{00000000-0005-0000-0000-000042C00000}"/>
    <cellStyle name="Normal 5 3 10 3" xfId="13666" xr:uid="{00000000-0005-0000-0000-000043C00000}"/>
    <cellStyle name="Normal 5 3 10 3 2" xfId="27234" xr:uid="{00000000-0005-0000-0000-000044C00000}"/>
    <cellStyle name="Normal 5 3 10 3 2 2" xfId="54367" xr:uid="{00000000-0005-0000-0000-000045C00000}"/>
    <cellStyle name="Normal 5 3 10 3 3" xfId="40805" xr:uid="{00000000-0005-0000-0000-000046C00000}"/>
    <cellStyle name="Normal 5 3 10 4" xfId="20453" xr:uid="{00000000-0005-0000-0000-000047C00000}"/>
    <cellStyle name="Normal 5 3 10 4 2" xfId="47586" xr:uid="{00000000-0005-0000-0000-000048C00000}"/>
    <cellStyle name="Normal 5 3 10 5" xfId="34024" xr:uid="{00000000-0005-0000-0000-000049C00000}"/>
    <cellStyle name="Normal 5 3 11" xfId="194" xr:uid="{00000000-0005-0000-0000-00004AC00000}"/>
    <cellStyle name="Normal 5 3 12" xfId="58373" xr:uid="{B58788FE-7708-4112-8B83-D35506CE6B5B}"/>
    <cellStyle name="Normal 5 3 2" xfId="6736" xr:uid="{00000000-0005-0000-0000-00004BC00000}"/>
    <cellStyle name="Normal 5 3 2 10" xfId="13667" xr:uid="{00000000-0005-0000-0000-00004CC00000}"/>
    <cellStyle name="Normal 5 3 2 10 2" xfId="27235" xr:uid="{00000000-0005-0000-0000-00004DC00000}"/>
    <cellStyle name="Normal 5 3 2 10 2 2" xfId="54368" xr:uid="{00000000-0005-0000-0000-00004EC00000}"/>
    <cellStyle name="Normal 5 3 2 10 3" xfId="40806" xr:uid="{00000000-0005-0000-0000-00004FC00000}"/>
    <cellStyle name="Normal 5 3 2 11" xfId="20454" xr:uid="{00000000-0005-0000-0000-000050C00000}"/>
    <cellStyle name="Normal 5 3 2 11 2" xfId="47587" xr:uid="{00000000-0005-0000-0000-000051C00000}"/>
    <cellStyle name="Normal 5 3 2 12" xfId="34025" xr:uid="{00000000-0005-0000-0000-000052C00000}"/>
    <cellStyle name="Normal 5 3 2 2" xfId="6737" xr:uid="{00000000-0005-0000-0000-000053C00000}"/>
    <cellStyle name="Normal 5 3 2 2 10" xfId="34026" xr:uid="{00000000-0005-0000-0000-000054C00000}"/>
    <cellStyle name="Normal 5 3 2 2 2" xfId="6738" xr:uid="{00000000-0005-0000-0000-000055C00000}"/>
    <cellStyle name="Normal 5 3 2 2 2 2" xfId="6739" xr:uid="{00000000-0005-0000-0000-000056C00000}"/>
    <cellStyle name="Normal 5 3 2 2 2 2 2" xfId="6740" xr:uid="{00000000-0005-0000-0000-000057C00000}"/>
    <cellStyle name="Normal 5 3 2 2 2 2 2 2" xfId="10271" xr:uid="{00000000-0005-0000-0000-000058C00000}"/>
    <cellStyle name="Normal 5 3 2 2 2 2 2 2 2" xfId="17060" xr:uid="{00000000-0005-0000-0000-000059C00000}"/>
    <cellStyle name="Normal 5 3 2 2 2 2 2 2 2 2" xfId="30628" xr:uid="{00000000-0005-0000-0000-00005AC00000}"/>
    <cellStyle name="Normal 5 3 2 2 2 2 2 2 2 2 2" xfId="57761" xr:uid="{00000000-0005-0000-0000-00005BC00000}"/>
    <cellStyle name="Normal 5 3 2 2 2 2 2 2 2 3" xfId="44199" xr:uid="{00000000-0005-0000-0000-00005CC00000}"/>
    <cellStyle name="Normal 5 3 2 2 2 2 2 2 3" xfId="23847" xr:uid="{00000000-0005-0000-0000-00005DC00000}"/>
    <cellStyle name="Normal 5 3 2 2 2 2 2 2 3 2" xfId="50980" xr:uid="{00000000-0005-0000-0000-00005EC00000}"/>
    <cellStyle name="Normal 5 3 2 2 2 2 2 2 4" xfId="37418" xr:uid="{00000000-0005-0000-0000-00005FC00000}"/>
    <cellStyle name="Normal 5 3 2 2 2 2 2 3" xfId="13671" xr:uid="{00000000-0005-0000-0000-000060C00000}"/>
    <cellStyle name="Normal 5 3 2 2 2 2 2 3 2" xfId="27239" xr:uid="{00000000-0005-0000-0000-000061C00000}"/>
    <cellStyle name="Normal 5 3 2 2 2 2 2 3 2 2" xfId="54372" xr:uid="{00000000-0005-0000-0000-000062C00000}"/>
    <cellStyle name="Normal 5 3 2 2 2 2 2 3 3" xfId="40810" xr:uid="{00000000-0005-0000-0000-000063C00000}"/>
    <cellStyle name="Normal 5 3 2 2 2 2 2 4" xfId="20458" xr:uid="{00000000-0005-0000-0000-000064C00000}"/>
    <cellStyle name="Normal 5 3 2 2 2 2 2 4 2" xfId="47591" xr:uid="{00000000-0005-0000-0000-000065C00000}"/>
    <cellStyle name="Normal 5 3 2 2 2 2 2 5" xfId="34029" xr:uid="{00000000-0005-0000-0000-000066C00000}"/>
    <cellStyle name="Normal 5 3 2 2 2 2 3" xfId="6741" xr:uid="{00000000-0005-0000-0000-000067C00000}"/>
    <cellStyle name="Normal 5 3 2 2 2 2 3 2" xfId="10272" xr:uid="{00000000-0005-0000-0000-000068C00000}"/>
    <cellStyle name="Normal 5 3 2 2 2 2 3 2 2" xfId="17061" xr:uid="{00000000-0005-0000-0000-000069C00000}"/>
    <cellStyle name="Normal 5 3 2 2 2 2 3 2 2 2" xfId="30629" xr:uid="{00000000-0005-0000-0000-00006AC00000}"/>
    <cellStyle name="Normal 5 3 2 2 2 2 3 2 2 2 2" xfId="57762" xr:uid="{00000000-0005-0000-0000-00006BC00000}"/>
    <cellStyle name="Normal 5 3 2 2 2 2 3 2 2 3" xfId="44200" xr:uid="{00000000-0005-0000-0000-00006CC00000}"/>
    <cellStyle name="Normal 5 3 2 2 2 2 3 2 3" xfId="23848" xr:uid="{00000000-0005-0000-0000-00006DC00000}"/>
    <cellStyle name="Normal 5 3 2 2 2 2 3 2 3 2" xfId="50981" xr:uid="{00000000-0005-0000-0000-00006EC00000}"/>
    <cellStyle name="Normal 5 3 2 2 2 2 3 2 4" xfId="37419" xr:uid="{00000000-0005-0000-0000-00006FC00000}"/>
    <cellStyle name="Normal 5 3 2 2 2 2 3 3" xfId="13672" xr:uid="{00000000-0005-0000-0000-000070C00000}"/>
    <cellStyle name="Normal 5 3 2 2 2 2 3 3 2" xfId="27240" xr:uid="{00000000-0005-0000-0000-000071C00000}"/>
    <cellStyle name="Normal 5 3 2 2 2 2 3 3 2 2" xfId="54373" xr:uid="{00000000-0005-0000-0000-000072C00000}"/>
    <cellStyle name="Normal 5 3 2 2 2 2 3 3 3" xfId="40811" xr:uid="{00000000-0005-0000-0000-000073C00000}"/>
    <cellStyle name="Normal 5 3 2 2 2 2 3 4" xfId="20459" xr:uid="{00000000-0005-0000-0000-000074C00000}"/>
    <cellStyle name="Normal 5 3 2 2 2 2 3 4 2" xfId="47592" xr:uid="{00000000-0005-0000-0000-000075C00000}"/>
    <cellStyle name="Normal 5 3 2 2 2 2 3 5" xfId="34030" xr:uid="{00000000-0005-0000-0000-000076C00000}"/>
    <cellStyle name="Normal 5 3 2 2 2 2 4" xfId="10270" xr:uid="{00000000-0005-0000-0000-000077C00000}"/>
    <cellStyle name="Normal 5 3 2 2 2 2 4 2" xfId="17059" xr:uid="{00000000-0005-0000-0000-000078C00000}"/>
    <cellStyle name="Normal 5 3 2 2 2 2 4 2 2" xfId="30627" xr:uid="{00000000-0005-0000-0000-000079C00000}"/>
    <cellStyle name="Normal 5 3 2 2 2 2 4 2 2 2" xfId="57760" xr:uid="{00000000-0005-0000-0000-00007AC00000}"/>
    <cellStyle name="Normal 5 3 2 2 2 2 4 2 3" xfId="44198" xr:uid="{00000000-0005-0000-0000-00007BC00000}"/>
    <cellStyle name="Normal 5 3 2 2 2 2 4 3" xfId="23846" xr:uid="{00000000-0005-0000-0000-00007CC00000}"/>
    <cellStyle name="Normal 5 3 2 2 2 2 4 3 2" xfId="50979" xr:uid="{00000000-0005-0000-0000-00007DC00000}"/>
    <cellStyle name="Normal 5 3 2 2 2 2 4 4" xfId="37417" xr:uid="{00000000-0005-0000-0000-00007EC00000}"/>
    <cellStyle name="Normal 5 3 2 2 2 2 5" xfId="13670" xr:uid="{00000000-0005-0000-0000-00007FC00000}"/>
    <cellStyle name="Normal 5 3 2 2 2 2 5 2" xfId="27238" xr:uid="{00000000-0005-0000-0000-000080C00000}"/>
    <cellStyle name="Normal 5 3 2 2 2 2 5 2 2" xfId="54371" xr:uid="{00000000-0005-0000-0000-000081C00000}"/>
    <cellStyle name="Normal 5 3 2 2 2 2 5 3" xfId="40809" xr:uid="{00000000-0005-0000-0000-000082C00000}"/>
    <cellStyle name="Normal 5 3 2 2 2 2 6" xfId="20457" xr:uid="{00000000-0005-0000-0000-000083C00000}"/>
    <cellStyle name="Normal 5 3 2 2 2 2 6 2" xfId="47590" xr:uid="{00000000-0005-0000-0000-000084C00000}"/>
    <cellStyle name="Normal 5 3 2 2 2 2 7" xfId="34028" xr:uid="{00000000-0005-0000-0000-000085C00000}"/>
    <cellStyle name="Normal 5 3 2 2 2 3" xfId="6742" xr:uid="{00000000-0005-0000-0000-000086C00000}"/>
    <cellStyle name="Normal 5 3 2 2 2 3 2" xfId="6743" xr:uid="{00000000-0005-0000-0000-000087C00000}"/>
    <cellStyle name="Normal 5 3 2 2 2 3 2 2" xfId="10274" xr:uid="{00000000-0005-0000-0000-000088C00000}"/>
    <cellStyle name="Normal 5 3 2 2 2 3 2 2 2" xfId="17063" xr:uid="{00000000-0005-0000-0000-000089C00000}"/>
    <cellStyle name="Normal 5 3 2 2 2 3 2 2 2 2" xfId="30631" xr:uid="{00000000-0005-0000-0000-00008AC00000}"/>
    <cellStyle name="Normal 5 3 2 2 2 3 2 2 2 2 2" xfId="57764" xr:uid="{00000000-0005-0000-0000-00008BC00000}"/>
    <cellStyle name="Normal 5 3 2 2 2 3 2 2 2 3" xfId="44202" xr:uid="{00000000-0005-0000-0000-00008CC00000}"/>
    <cellStyle name="Normal 5 3 2 2 2 3 2 2 3" xfId="23850" xr:uid="{00000000-0005-0000-0000-00008DC00000}"/>
    <cellStyle name="Normal 5 3 2 2 2 3 2 2 3 2" xfId="50983" xr:uid="{00000000-0005-0000-0000-00008EC00000}"/>
    <cellStyle name="Normal 5 3 2 2 2 3 2 2 4" xfId="37421" xr:uid="{00000000-0005-0000-0000-00008FC00000}"/>
    <cellStyle name="Normal 5 3 2 2 2 3 2 3" xfId="13674" xr:uid="{00000000-0005-0000-0000-000090C00000}"/>
    <cellStyle name="Normal 5 3 2 2 2 3 2 3 2" xfId="27242" xr:uid="{00000000-0005-0000-0000-000091C00000}"/>
    <cellStyle name="Normal 5 3 2 2 2 3 2 3 2 2" xfId="54375" xr:uid="{00000000-0005-0000-0000-000092C00000}"/>
    <cellStyle name="Normal 5 3 2 2 2 3 2 3 3" xfId="40813" xr:uid="{00000000-0005-0000-0000-000093C00000}"/>
    <cellStyle name="Normal 5 3 2 2 2 3 2 4" xfId="20461" xr:uid="{00000000-0005-0000-0000-000094C00000}"/>
    <cellStyle name="Normal 5 3 2 2 2 3 2 4 2" xfId="47594" xr:uid="{00000000-0005-0000-0000-000095C00000}"/>
    <cellStyle name="Normal 5 3 2 2 2 3 2 5" xfId="34032" xr:uid="{00000000-0005-0000-0000-000096C00000}"/>
    <cellStyle name="Normal 5 3 2 2 2 3 3" xfId="10273" xr:uid="{00000000-0005-0000-0000-000097C00000}"/>
    <cellStyle name="Normal 5 3 2 2 2 3 3 2" xfId="17062" xr:uid="{00000000-0005-0000-0000-000098C00000}"/>
    <cellStyle name="Normal 5 3 2 2 2 3 3 2 2" xfId="30630" xr:uid="{00000000-0005-0000-0000-000099C00000}"/>
    <cellStyle name="Normal 5 3 2 2 2 3 3 2 2 2" xfId="57763" xr:uid="{00000000-0005-0000-0000-00009AC00000}"/>
    <cellStyle name="Normal 5 3 2 2 2 3 3 2 3" xfId="44201" xr:uid="{00000000-0005-0000-0000-00009BC00000}"/>
    <cellStyle name="Normal 5 3 2 2 2 3 3 3" xfId="23849" xr:uid="{00000000-0005-0000-0000-00009CC00000}"/>
    <cellStyle name="Normal 5 3 2 2 2 3 3 3 2" xfId="50982" xr:uid="{00000000-0005-0000-0000-00009DC00000}"/>
    <cellStyle name="Normal 5 3 2 2 2 3 3 4" xfId="37420" xr:uid="{00000000-0005-0000-0000-00009EC00000}"/>
    <cellStyle name="Normal 5 3 2 2 2 3 4" xfId="13673" xr:uid="{00000000-0005-0000-0000-00009FC00000}"/>
    <cellStyle name="Normal 5 3 2 2 2 3 4 2" xfId="27241" xr:uid="{00000000-0005-0000-0000-0000A0C00000}"/>
    <cellStyle name="Normal 5 3 2 2 2 3 4 2 2" xfId="54374" xr:uid="{00000000-0005-0000-0000-0000A1C00000}"/>
    <cellStyle name="Normal 5 3 2 2 2 3 4 3" xfId="40812" xr:uid="{00000000-0005-0000-0000-0000A2C00000}"/>
    <cellStyle name="Normal 5 3 2 2 2 3 5" xfId="20460" xr:uid="{00000000-0005-0000-0000-0000A3C00000}"/>
    <cellStyle name="Normal 5 3 2 2 2 3 5 2" xfId="47593" xr:uid="{00000000-0005-0000-0000-0000A4C00000}"/>
    <cellStyle name="Normal 5 3 2 2 2 3 6" xfId="34031" xr:uid="{00000000-0005-0000-0000-0000A5C00000}"/>
    <cellStyle name="Normal 5 3 2 2 2 4" xfId="6744" xr:uid="{00000000-0005-0000-0000-0000A6C00000}"/>
    <cellStyle name="Normal 5 3 2 2 2 4 2" xfId="10275" xr:uid="{00000000-0005-0000-0000-0000A7C00000}"/>
    <cellStyle name="Normal 5 3 2 2 2 4 2 2" xfId="17064" xr:uid="{00000000-0005-0000-0000-0000A8C00000}"/>
    <cellStyle name="Normal 5 3 2 2 2 4 2 2 2" xfId="30632" xr:uid="{00000000-0005-0000-0000-0000A9C00000}"/>
    <cellStyle name="Normal 5 3 2 2 2 4 2 2 2 2" xfId="57765" xr:uid="{00000000-0005-0000-0000-0000AAC00000}"/>
    <cellStyle name="Normal 5 3 2 2 2 4 2 2 3" xfId="44203" xr:uid="{00000000-0005-0000-0000-0000ABC00000}"/>
    <cellStyle name="Normal 5 3 2 2 2 4 2 3" xfId="23851" xr:uid="{00000000-0005-0000-0000-0000ACC00000}"/>
    <cellStyle name="Normal 5 3 2 2 2 4 2 3 2" xfId="50984" xr:uid="{00000000-0005-0000-0000-0000ADC00000}"/>
    <cellStyle name="Normal 5 3 2 2 2 4 2 4" xfId="37422" xr:uid="{00000000-0005-0000-0000-0000AEC00000}"/>
    <cellStyle name="Normal 5 3 2 2 2 4 3" xfId="13675" xr:uid="{00000000-0005-0000-0000-0000AFC00000}"/>
    <cellStyle name="Normal 5 3 2 2 2 4 3 2" xfId="27243" xr:uid="{00000000-0005-0000-0000-0000B0C00000}"/>
    <cellStyle name="Normal 5 3 2 2 2 4 3 2 2" xfId="54376" xr:uid="{00000000-0005-0000-0000-0000B1C00000}"/>
    <cellStyle name="Normal 5 3 2 2 2 4 3 3" xfId="40814" xr:uid="{00000000-0005-0000-0000-0000B2C00000}"/>
    <cellStyle name="Normal 5 3 2 2 2 4 4" xfId="20462" xr:uid="{00000000-0005-0000-0000-0000B3C00000}"/>
    <cellStyle name="Normal 5 3 2 2 2 4 4 2" xfId="47595" xr:uid="{00000000-0005-0000-0000-0000B4C00000}"/>
    <cellStyle name="Normal 5 3 2 2 2 4 5" xfId="34033" xr:uid="{00000000-0005-0000-0000-0000B5C00000}"/>
    <cellStyle name="Normal 5 3 2 2 2 5" xfId="6745" xr:uid="{00000000-0005-0000-0000-0000B6C00000}"/>
    <cellStyle name="Normal 5 3 2 2 2 5 2" xfId="10276" xr:uid="{00000000-0005-0000-0000-0000B7C00000}"/>
    <cellStyle name="Normal 5 3 2 2 2 5 2 2" xfId="17065" xr:uid="{00000000-0005-0000-0000-0000B8C00000}"/>
    <cellStyle name="Normal 5 3 2 2 2 5 2 2 2" xfId="30633" xr:uid="{00000000-0005-0000-0000-0000B9C00000}"/>
    <cellStyle name="Normal 5 3 2 2 2 5 2 2 2 2" xfId="57766" xr:uid="{00000000-0005-0000-0000-0000BAC00000}"/>
    <cellStyle name="Normal 5 3 2 2 2 5 2 2 3" xfId="44204" xr:uid="{00000000-0005-0000-0000-0000BBC00000}"/>
    <cellStyle name="Normal 5 3 2 2 2 5 2 3" xfId="23852" xr:uid="{00000000-0005-0000-0000-0000BCC00000}"/>
    <cellStyle name="Normal 5 3 2 2 2 5 2 3 2" xfId="50985" xr:uid="{00000000-0005-0000-0000-0000BDC00000}"/>
    <cellStyle name="Normal 5 3 2 2 2 5 2 4" xfId="37423" xr:uid="{00000000-0005-0000-0000-0000BEC00000}"/>
    <cellStyle name="Normal 5 3 2 2 2 5 3" xfId="13676" xr:uid="{00000000-0005-0000-0000-0000BFC00000}"/>
    <cellStyle name="Normal 5 3 2 2 2 5 3 2" xfId="27244" xr:uid="{00000000-0005-0000-0000-0000C0C00000}"/>
    <cellStyle name="Normal 5 3 2 2 2 5 3 2 2" xfId="54377" xr:uid="{00000000-0005-0000-0000-0000C1C00000}"/>
    <cellStyle name="Normal 5 3 2 2 2 5 3 3" xfId="40815" xr:uid="{00000000-0005-0000-0000-0000C2C00000}"/>
    <cellStyle name="Normal 5 3 2 2 2 5 4" xfId="20463" xr:uid="{00000000-0005-0000-0000-0000C3C00000}"/>
    <cellStyle name="Normal 5 3 2 2 2 5 4 2" xfId="47596" xr:uid="{00000000-0005-0000-0000-0000C4C00000}"/>
    <cellStyle name="Normal 5 3 2 2 2 5 5" xfId="34034" xr:uid="{00000000-0005-0000-0000-0000C5C00000}"/>
    <cellStyle name="Normal 5 3 2 2 2 6" xfId="10269" xr:uid="{00000000-0005-0000-0000-0000C6C00000}"/>
    <cellStyle name="Normal 5 3 2 2 2 6 2" xfId="17058" xr:uid="{00000000-0005-0000-0000-0000C7C00000}"/>
    <cellStyle name="Normal 5 3 2 2 2 6 2 2" xfId="30626" xr:uid="{00000000-0005-0000-0000-0000C8C00000}"/>
    <cellStyle name="Normal 5 3 2 2 2 6 2 2 2" xfId="57759" xr:uid="{00000000-0005-0000-0000-0000C9C00000}"/>
    <cellStyle name="Normal 5 3 2 2 2 6 2 3" xfId="44197" xr:uid="{00000000-0005-0000-0000-0000CAC00000}"/>
    <cellStyle name="Normal 5 3 2 2 2 6 3" xfId="23845" xr:uid="{00000000-0005-0000-0000-0000CBC00000}"/>
    <cellStyle name="Normal 5 3 2 2 2 6 3 2" xfId="50978" xr:uid="{00000000-0005-0000-0000-0000CCC00000}"/>
    <cellStyle name="Normal 5 3 2 2 2 6 4" xfId="37416" xr:uid="{00000000-0005-0000-0000-0000CDC00000}"/>
    <cellStyle name="Normal 5 3 2 2 2 7" xfId="13669" xr:uid="{00000000-0005-0000-0000-0000CEC00000}"/>
    <cellStyle name="Normal 5 3 2 2 2 7 2" xfId="27237" xr:uid="{00000000-0005-0000-0000-0000CFC00000}"/>
    <cellStyle name="Normal 5 3 2 2 2 7 2 2" xfId="54370" xr:uid="{00000000-0005-0000-0000-0000D0C00000}"/>
    <cellStyle name="Normal 5 3 2 2 2 7 3" xfId="40808" xr:uid="{00000000-0005-0000-0000-0000D1C00000}"/>
    <cellStyle name="Normal 5 3 2 2 2 8" xfId="20456" xr:uid="{00000000-0005-0000-0000-0000D2C00000}"/>
    <cellStyle name="Normal 5 3 2 2 2 8 2" xfId="47589" xr:uid="{00000000-0005-0000-0000-0000D3C00000}"/>
    <cellStyle name="Normal 5 3 2 2 2 9" xfId="34027" xr:uid="{00000000-0005-0000-0000-0000D4C00000}"/>
    <cellStyle name="Normal 5 3 2 2 3" xfId="6746" xr:uid="{00000000-0005-0000-0000-0000D5C00000}"/>
    <cellStyle name="Normal 5 3 2 2 3 2" xfId="6747" xr:uid="{00000000-0005-0000-0000-0000D6C00000}"/>
    <cellStyle name="Normal 5 3 2 2 3 2 2" xfId="10278" xr:uid="{00000000-0005-0000-0000-0000D7C00000}"/>
    <cellStyle name="Normal 5 3 2 2 3 2 2 2" xfId="17067" xr:uid="{00000000-0005-0000-0000-0000D8C00000}"/>
    <cellStyle name="Normal 5 3 2 2 3 2 2 2 2" xfId="30635" xr:uid="{00000000-0005-0000-0000-0000D9C00000}"/>
    <cellStyle name="Normal 5 3 2 2 3 2 2 2 2 2" xfId="57768" xr:uid="{00000000-0005-0000-0000-0000DAC00000}"/>
    <cellStyle name="Normal 5 3 2 2 3 2 2 2 3" xfId="44206" xr:uid="{00000000-0005-0000-0000-0000DBC00000}"/>
    <cellStyle name="Normal 5 3 2 2 3 2 2 3" xfId="23854" xr:uid="{00000000-0005-0000-0000-0000DCC00000}"/>
    <cellStyle name="Normal 5 3 2 2 3 2 2 3 2" xfId="50987" xr:uid="{00000000-0005-0000-0000-0000DDC00000}"/>
    <cellStyle name="Normal 5 3 2 2 3 2 2 4" xfId="37425" xr:uid="{00000000-0005-0000-0000-0000DEC00000}"/>
    <cellStyle name="Normal 5 3 2 2 3 2 3" xfId="13678" xr:uid="{00000000-0005-0000-0000-0000DFC00000}"/>
    <cellStyle name="Normal 5 3 2 2 3 2 3 2" xfId="27246" xr:uid="{00000000-0005-0000-0000-0000E0C00000}"/>
    <cellStyle name="Normal 5 3 2 2 3 2 3 2 2" xfId="54379" xr:uid="{00000000-0005-0000-0000-0000E1C00000}"/>
    <cellStyle name="Normal 5 3 2 2 3 2 3 3" xfId="40817" xr:uid="{00000000-0005-0000-0000-0000E2C00000}"/>
    <cellStyle name="Normal 5 3 2 2 3 2 4" xfId="20465" xr:uid="{00000000-0005-0000-0000-0000E3C00000}"/>
    <cellStyle name="Normal 5 3 2 2 3 2 4 2" xfId="47598" xr:uid="{00000000-0005-0000-0000-0000E4C00000}"/>
    <cellStyle name="Normal 5 3 2 2 3 2 5" xfId="34036" xr:uid="{00000000-0005-0000-0000-0000E5C00000}"/>
    <cellStyle name="Normal 5 3 2 2 3 3" xfId="6748" xr:uid="{00000000-0005-0000-0000-0000E6C00000}"/>
    <cellStyle name="Normal 5 3 2 2 3 3 2" xfId="10279" xr:uid="{00000000-0005-0000-0000-0000E7C00000}"/>
    <cellStyle name="Normal 5 3 2 2 3 3 2 2" xfId="17068" xr:uid="{00000000-0005-0000-0000-0000E8C00000}"/>
    <cellStyle name="Normal 5 3 2 2 3 3 2 2 2" xfId="30636" xr:uid="{00000000-0005-0000-0000-0000E9C00000}"/>
    <cellStyle name="Normal 5 3 2 2 3 3 2 2 2 2" xfId="57769" xr:uid="{00000000-0005-0000-0000-0000EAC00000}"/>
    <cellStyle name="Normal 5 3 2 2 3 3 2 2 3" xfId="44207" xr:uid="{00000000-0005-0000-0000-0000EBC00000}"/>
    <cellStyle name="Normal 5 3 2 2 3 3 2 3" xfId="23855" xr:uid="{00000000-0005-0000-0000-0000ECC00000}"/>
    <cellStyle name="Normal 5 3 2 2 3 3 2 3 2" xfId="50988" xr:uid="{00000000-0005-0000-0000-0000EDC00000}"/>
    <cellStyle name="Normal 5 3 2 2 3 3 2 4" xfId="37426" xr:uid="{00000000-0005-0000-0000-0000EEC00000}"/>
    <cellStyle name="Normal 5 3 2 2 3 3 3" xfId="13679" xr:uid="{00000000-0005-0000-0000-0000EFC00000}"/>
    <cellStyle name="Normal 5 3 2 2 3 3 3 2" xfId="27247" xr:uid="{00000000-0005-0000-0000-0000F0C00000}"/>
    <cellStyle name="Normal 5 3 2 2 3 3 3 2 2" xfId="54380" xr:uid="{00000000-0005-0000-0000-0000F1C00000}"/>
    <cellStyle name="Normal 5 3 2 2 3 3 3 3" xfId="40818" xr:uid="{00000000-0005-0000-0000-0000F2C00000}"/>
    <cellStyle name="Normal 5 3 2 2 3 3 4" xfId="20466" xr:uid="{00000000-0005-0000-0000-0000F3C00000}"/>
    <cellStyle name="Normal 5 3 2 2 3 3 4 2" xfId="47599" xr:uid="{00000000-0005-0000-0000-0000F4C00000}"/>
    <cellStyle name="Normal 5 3 2 2 3 3 5" xfId="34037" xr:uid="{00000000-0005-0000-0000-0000F5C00000}"/>
    <cellStyle name="Normal 5 3 2 2 3 4" xfId="10277" xr:uid="{00000000-0005-0000-0000-0000F6C00000}"/>
    <cellStyle name="Normal 5 3 2 2 3 4 2" xfId="17066" xr:uid="{00000000-0005-0000-0000-0000F7C00000}"/>
    <cellStyle name="Normal 5 3 2 2 3 4 2 2" xfId="30634" xr:uid="{00000000-0005-0000-0000-0000F8C00000}"/>
    <cellStyle name="Normal 5 3 2 2 3 4 2 2 2" xfId="57767" xr:uid="{00000000-0005-0000-0000-0000F9C00000}"/>
    <cellStyle name="Normal 5 3 2 2 3 4 2 3" xfId="44205" xr:uid="{00000000-0005-0000-0000-0000FAC00000}"/>
    <cellStyle name="Normal 5 3 2 2 3 4 3" xfId="23853" xr:uid="{00000000-0005-0000-0000-0000FBC00000}"/>
    <cellStyle name="Normal 5 3 2 2 3 4 3 2" xfId="50986" xr:uid="{00000000-0005-0000-0000-0000FCC00000}"/>
    <cellStyle name="Normal 5 3 2 2 3 4 4" xfId="37424" xr:uid="{00000000-0005-0000-0000-0000FDC00000}"/>
    <cellStyle name="Normal 5 3 2 2 3 5" xfId="13677" xr:uid="{00000000-0005-0000-0000-0000FEC00000}"/>
    <cellStyle name="Normal 5 3 2 2 3 5 2" xfId="27245" xr:uid="{00000000-0005-0000-0000-0000FFC00000}"/>
    <cellStyle name="Normal 5 3 2 2 3 5 2 2" xfId="54378" xr:uid="{00000000-0005-0000-0000-000000C10000}"/>
    <cellStyle name="Normal 5 3 2 2 3 5 3" xfId="40816" xr:uid="{00000000-0005-0000-0000-000001C10000}"/>
    <cellStyle name="Normal 5 3 2 2 3 6" xfId="20464" xr:uid="{00000000-0005-0000-0000-000002C10000}"/>
    <cellStyle name="Normal 5 3 2 2 3 6 2" xfId="47597" xr:uid="{00000000-0005-0000-0000-000003C10000}"/>
    <cellStyle name="Normal 5 3 2 2 3 7" xfId="34035" xr:uid="{00000000-0005-0000-0000-000004C10000}"/>
    <cellStyle name="Normal 5 3 2 2 4" xfId="6749" xr:uid="{00000000-0005-0000-0000-000005C10000}"/>
    <cellStyle name="Normal 5 3 2 2 4 2" xfId="6750" xr:uid="{00000000-0005-0000-0000-000006C10000}"/>
    <cellStyle name="Normal 5 3 2 2 4 2 2" xfId="10281" xr:uid="{00000000-0005-0000-0000-000007C10000}"/>
    <cellStyle name="Normal 5 3 2 2 4 2 2 2" xfId="17070" xr:uid="{00000000-0005-0000-0000-000008C10000}"/>
    <cellStyle name="Normal 5 3 2 2 4 2 2 2 2" xfId="30638" xr:uid="{00000000-0005-0000-0000-000009C10000}"/>
    <cellStyle name="Normal 5 3 2 2 4 2 2 2 2 2" xfId="57771" xr:uid="{00000000-0005-0000-0000-00000AC10000}"/>
    <cellStyle name="Normal 5 3 2 2 4 2 2 2 3" xfId="44209" xr:uid="{00000000-0005-0000-0000-00000BC10000}"/>
    <cellStyle name="Normal 5 3 2 2 4 2 2 3" xfId="23857" xr:uid="{00000000-0005-0000-0000-00000CC10000}"/>
    <cellStyle name="Normal 5 3 2 2 4 2 2 3 2" xfId="50990" xr:uid="{00000000-0005-0000-0000-00000DC10000}"/>
    <cellStyle name="Normal 5 3 2 2 4 2 2 4" xfId="37428" xr:uid="{00000000-0005-0000-0000-00000EC10000}"/>
    <cellStyle name="Normal 5 3 2 2 4 2 3" xfId="13681" xr:uid="{00000000-0005-0000-0000-00000FC10000}"/>
    <cellStyle name="Normal 5 3 2 2 4 2 3 2" xfId="27249" xr:uid="{00000000-0005-0000-0000-000010C10000}"/>
    <cellStyle name="Normal 5 3 2 2 4 2 3 2 2" xfId="54382" xr:uid="{00000000-0005-0000-0000-000011C10000}"/>
    <cellStyle name="Normal 5 3 2 2 4 2 3 3" xfId="40820" xr:uid="{00000000-0005-0000-0000-000012C10000}"/>
    <cellStyle name="Normal 5 3 2 2 4 2 4" xfId="20468" xr:uid="{00000000-0005-0000-0000-000013C10000}"/>
    <cellStyle name="Normal 5 3 2 2 4 2 4 2" xfId="47601" xr:uid="{00000000-0005-0000-0000-000014C10000}"/>
    <cellStyle name="Normal 5 3 2 2 4 2 5" xfId="34039" xr:uid="{00000000-0005-0000-0000-000015C10000}"/>
    <cellStyle name="Normal 5 3 2 2 4 3" xfId="10280" xr:uid="{00000000-0005-0000-0000-000016C10000}"/>
    <cellStyle name="Normal 5 3 2 2 4 3 2" xfId="17069" xr:uid="{00000000-0005-0000-0000-000017C10000}"/>
    <cellStyle name="Normal 5 3 2 2 4 3 2 2" xfId="30637" xr:uid="{00000000-0005-0000-0000-000018C10000}"/>
    <cellStyle name="Normal 5 3 2 2 4 3 2 2 2" xfId="57770" xr:uid="{00000000-0005-0000-0000-000019C10000}"/>
    <cellStyle name="Normal 5 3 2 2 4 3 2 3" xfId="44208" xr:uid="{00000000-0005-0000-0000-00001AC10000}"/>
    <cellStyle name="Normal 5 3 2 2 4 3 3" xfId="23856" xr:uid="{00000000-0005-0000-0000-00001BC10000}"/>
    <cellStyle name="Normal 5 3 2 2 4 3 3 2" xfId="50989" xr:uid="{00000000-0005-0000-0000-00001CC10000}"/>
    <cellStyle name="Normal 5 3 2 2 4 3 4" xfId="37427" xr:uid="{00000000-0005-0000-0000-00001DC10000}"/>
    <cellStyle name="Normal 5 3 2 2 4 4" xfId="13680" xr:uid="{00000000-0005-0000-0000-00001EC10000}"/>
    <cellStyle name="Normal 5 3 2 2 4 4 2" xfId="27248" xr:uid="{00000000-0005-0000-0000-00001FC10000}"/>
    <cellStyle name="Normal 5 3 2 2 4 4 2 2" xfId="54381" xr:uid="{00000000-0005-0000-0000-000020C10000}"/>
    <cellStyle name="Normal 5 3 2 2 4 4 3" xfId="40819" xr:uid="{00000000-0005-0000-0000-000021C10000}"/>
    <cellStyle name="Normal 5 3 2 2 4 5" xfId="20467" xr:uid="{00000000-0005-0000-0000-000022C10000}"/>
    <cellStyle name="Normal 5 3 2 2 4 5 2" xfId="47600" xr:uid="{00000000-0005-0000-0000-000023C10000}"/>
    <cellStyle name="Normal 5 3 2 2 4 6" xfId="34038" xr:uid="{00000000-0005-0000-0000-000024C10000}"/>
    <cellStyle name="Normal 5 3 2 2 5" xfId="6751" xr:uid="{00000000-0005-0000-0000-000025C10000}"/>
    <cellStyle name="Normal 5 3 2 2 5 2" xfId="10282" xr:uid="{00000000-0005-0000-0000-000026C10000}"/>
    <cellStyle name="Normal 5 3 2 2 5 2 2" xfId="17071" xr:uid="{00000000-0005-0000-0000-000027C10000}"/>
    <cellStyle name="Normal 5 3 2 2 5 2 2 2" xfId="30639" xr:uid="{00000000-0005-0000-0000-000028C10000}"/>
    <cellStyle name="Normal 5 3 2 2 5 2 2 2 2" xfId="57772" xr:uid="{00000000-0005-0000-0000-000029C10000}"/>
    <cellStyle name="Normal 5 3 2 2 5 2 2 3" xfId="44210" xr:uid="{00000000-0005-0000-0000-00002AC10000}"/>
    <cellStyle name="Normal 5 3 2 2 5 2 3" xfId="23858" xr:uid="{00000000-0005-0000-0000-00002BC10000}"/>
    <cellStyle name="Normal 5 3 2 2 5 2 3 2" xfId="50991" xr:uid="{00000000-0005-0000-0000-00002CC10000}"/>
    <cellStyle name="Normal 5 3 2 2 5 2 4" xfId="37429" xr:uid="{00000000-0005-0000-0000-00002DC10000}"/>
    <cellStyle name="Normal 5 3 2 2 5 3" xfId="13682" xr:uid="{00000000-0005-0000-0000-00002EC10000}"/>
    <cellStyle name="Normal 5 3 2 2 5 3 2" xfId="27250" xr:uid="{00000000-0005-0000-0000-00002FC10000}"/>
    <cellStyle name="Normal 5 3 2 2 5 3 2 2" xfId="54383" xr:uid="{00000000-0005-0000-0000-000030C10000}"/>
    <cellStyle name="Normal 5 3 2 2 5 3 3" xfId="40821" xr:uid="{00000000-0005-0000-0000-000031C10000}"/>
    <cellStyle name="Normal 5 3 2 2 5 4" xfId="20469" xr:uid="{00000000-0005-0000-0000-000032C10000}"/>
    <cellStyle name="Normal 5 3 2 2 5 4 2" xfId="47602" xr:uid="{00000000-0005-0000-0000-000033C10000}"/>
    <cellStyle name="Normal 5 3 2 2 5 5" xfId="34040" xr:uid="{00000000-0005-0000-0000-000034C10000}"/>
    <cellStyle name="Normal 5 3 2 2 6" xfId="6752" xr:uid="{00000000-0005-0000-0000-000035C10000}"/>
    <cellStyle name="Normal 5 3 2 2 6 2" xfId="10283" xr:uid="{00000000-0005-0000-0000-000036C10000}"/>
    <cellStyle name="Normal 5 3 2 2 6 2 2" xfId="17072" xr:uid="{00000000-0005-0000-0000-000037C10000}"/>
    <cellStyle name="Normal 5 3 2 2 6 2 2 2" xfId="30640" xr:uid="{00000000-0005-0000-0000-000038C10000}"/>
    <cellStyle name="Normal 5 3 2 2 6 2 2 2 2" xfId="57773" xr:uid="{00000000-0005-0000-0000-000039C10000}"/>
    <cellStyle name="Normal 5 3 2 2 6 2 2 3" xfId="44211" xr:uid="{00000000-0005-0000-0000-00003AC10000}"/>
    <cellStyle name="Normal 5 3 2 2 6 2 3" xfId="23859" xr:uid="{00000000-0005-0000-0000-00003BC10000}"/>
    <cellStyle name="Normal 5 3 2 2 6 2 3 2" xfId="50992" xr:uid="{00000000-0005-0000-0000-00003CC10000}"/>
    <cellStyle name="Normal 5 3 2 2 6 2 4" xfId="37430" xr:uid="{00000000-0005-0000-0000-00003DC10000}"/>
    <cellStyle name="Normal 5 3 2 2 6 3" xfId="13683" xr:uid="{00000000-0005-0000-0000-00003EC10000}"/>
    <cellStyle name="Normal 5 3 2 2 6 3 2" xfId="27251" xr:uid="{00000000-0005-0000-0000-00003FC10000}"/>
    <cellStyle name="Normal 5 3 2 2 6 3 2 2" xfId="54384" xr:uid="{00000000-0005-0000-0000-000040C10000}"/>
    <cellStyle name="Normal 5 3 2 2 6 3 3" xfId="40822" xr:uid="{00000000-0005-0000-0000-000041C10000}"/>
    <cellStyle name="Normal 5 3 2 2 6 4" xfId="20470" xr:uid="{00000000-0005-0000-0000-000042C10000}"/>
    <cellStyle name="Normal 5 3 2 2 6 4 2" xfId="47603" xr:uid="{00000000-0005-0000-0000-000043C10000}"/>
    <cellStyle name="Normal 5 3 2 2 6 5" xfId="34041" xr:uid="{00000000-0005-0000-0000-000044C10000}"/>
    <cellStyle name="Normal 5 3 2 2 7" xfId="10268" xr:uid="{00000000-0005-0000-0000-000045C10000}"/>
    <cellStyle name="Normal 5 3 2 2 7 2" xfId="17057" xr:uid="{00000000-0005-0000-0000-000046C10000}"/>
    <cellStyle name="Normal 5 3 2 2 7 2 2" xfId="30625" xr:uid="{00000000-0005-0000-0000-000047C10000}"/>
    <cellStyle name="Normal 5 3 2 2 7 2 2 2" xfId="57758" xr:uid="{00000000-0005-0000-0000-000048C10000}"/>
    <cellStyle name="Normal 5 3 2 2 7 2 3" xfId="44196" xr:uid="{00000000-0005-0000-0000-000049C10000}"/>
    <cellStyle name="Normal 5 3 2 2 7 3" xfId="23844" xr:uid="{00000000-0005-0000-0000-00004AC10000}"/>
    <cellStyle name="Normal 5 3 2 2 7 3 2" xfId="50977" xr:uid="{00000000-0005-0000-0000-00004BC10000}"/>
    <cellStyle name="Normal 5 3 2 2 7 4" xfId="37415" xr:uid="{00000000-0005-0000-0000-00004CC10000}"/>
    <cellStyle name="Normal 5 3 2 2 8" xfId="13668" xr:uid="{00000000-0005-0000-0000-00004DC10000}"/>
    <cellStyle name="Normal 5 3 2 2 8 2" xfId="27236" xr:uid="{00000000-0005-0000-0000-00004EC10000}"/>
    <cellStyle name="Normal 5 3 2 2 8 2 2" xfId="54369" xr:uid="{00000000-0005-0000-0000-00004FC10000}"/>
    <cellStyle name="Normal 5 3 2 2 8 3" xfId="40807" xr:uid="{00000000-0005-0000-0000-000050C10000}"/>
    <cellStyle name="Normal 5 3 2 2 9" xfId="20455" xr:uid="{00000000-0005-0000-0000-000051C10000}"/>
    <cellStyle name="Normal 5 3 2 2 9 2" xfId="47588" xr:uid="{00000000-0005-0000-0000-000052C10000}"/>
    <cellStyle name="Normal 5 3 2 3" xfId="6753" xr:uid="{00000000-0005-0000-0000-000053C10000}"/>
    <cellStyle name="Normal 5 3 2 3 2" xfId="6754" xr:uid="{00000000-0005-0000-0000-000054C10000}"/>
    <cellStyle name="Normal 5 3 2 3 2 2" xfId="6755" xr:uid="{00000000-0005-0000-0000-000055C10000}"/>
    <cellStyle name="Normal 5 3 2 3 2 2 2" xfId="10286" xr:uid="{00000000-0005-0000-0000-000056C10000}"/>
    <cellStyle name="Normal 5 3 2 3 2 2 2 2" xfId="17075" xr:uid="{00000000-0005-0000-0000-000057C10000}"/>
    <cellStyle name="Normal 5 3 2 3 2 2 2 2 2" xfId="30643" xr:uid="{00000000-0005-0000-0000-000058C10000}"/>
    <cellStyle name="Normal 5 3 2 3 2 2 2 2 2 2" xfId="57776" xr:uid="{00000000-0005-0000-0000-000059C10000}"/>
    <cellStyle name="Normal 5 3 2 3 2 2 2 2 3" xfId="44214" xr:uid="{00000000-0005-0000-0000-00005AC10000}"/>
    <cellStyle name="Normal 5 3 2 3 2 2 2 3" xfId="23862" xr:uid="{00000000-0005-0000-0000-00005BC10000}"/>
    <cellStyle name="Normal 5 3 2 3 2 2 2 3 2" xfId="50995" xr:uid="{00000000-0005-0000-0000-00005CC10000}"/>
    <cellStyle name="Normal 5 3 2 3 2 2 2 4" xfId="37433" xr:uid="{00000000-0005-0000-0000-00005DC10000}"/>
    <cellStyle name="Normal 5 3 2 3 2 2 3" xfId="13686" xr:uid="{00000000-0005-0000-0000-00005EC10000}"/>
    <cellStyle name="Normal 5 3 2 3 2 2 3 2" xfId="27254" xr:uid="{00000000-0005-0000-0000-00005FC10000}"/>
    <cellStyle name="Normal 5 3 2 3 2 2 3 2 2" xfId="54387" xr:uid="{00000000-0005-0000-0000-000060C10000}"/>
    <cellStyle name="Normal 5 3 2 3 2 2 3 3" xfId="40825" xr:uid="{00000000-0005-0000-0000-000061C10000}"/>
    <cellStyle name="Normal 5 3 2 3 2 2 4" xfId="20473" xr:uid="{00000000-0005-0000-0000-000062C10000}"/>
    <cellStyle name="Normal 5 3 2 3 2 2 4 2" xfId="47606" xr:uid="{00000000-0005-0000-0000-000063C10000}"/>
    <cellStyle name="Normal 5 3 2 3 2 2 5" xfId="34044" xr:uid="{00000000-0005-0000-0000-000064C10000}"/>
    <cellStyle name="Normal 5 3 2 3 2 3" xfId="6756" xr:uid="{00000000-0005-0000-0000-000065C10000}"/>
    <cellStyle name="Normal 5 3 2 3 2 3 2" xfId="10287" xr:uid="{00000000-0005-0000-0000-000066C10000}"/>
    <cellStyle name="Normal 5 3 2 3 2 3 2 2" xfId="17076" xr:uid="{00000000-0005-0000-0000-000067C10000}"/>
    <cellStyle name="Normal 5 3 2 3 2 3 2 2 2" xfId="30644" xr:uid="{00000000-0005-0000-0000-000068C10000}"/>
    <cellStyle name="Normal 5 3 2 3 2 3 2 2 2 2" xfId="57777" xr:uid="{00000000-0005-0000-0000-000069C10000}"/>
    <cellStyle name="Normal 5 3 2 3 2 3 2 2 3" xfId="44215" xr:uid="{00000000-0005-0000-0000-00006AC10000}"/>
    <cellStyle name="Normal 5 3 2 3 2 3 2 3" xfId="23863" xr:uid="{00000000-0005-0000-0000-00006BC10000}"/>
    <cellStyle name="Normal 5 3 2 3 2 3 2 3 2" xfId="50996" xr:uid="{00000000-0005-0000-0000-00006CC10000}"/>
    <cellStyle name="Normal 5 3 2 3 2 3 2 4" xfId="37434" xr:uid="{00000000-0005-0000-0000-00006DC10000}"/>
    <cellStyle name="Normal 5 3 2 3 2 3 3" xfId="13687" xr:uid="{00000000-0005-0000-0000-00006EC10000}"/>
    <cellStyle name="Normal 5 3 2 3 2 3 3 2" xfId="27255" xr:uid="{00000000-0005-0000-0000-00006FC10000}"/>
    <cellStyle name="Normal 5 3 2 3 2 3 3 2 2" xfId="54388" xr:uid="{00000000-0005-0000-0000-000070C10000}"/>
    <cellStyle name="Normal 5 3 2 3 2 3 3 3" xfId="40826" xr:uid="{00000000-0005-0000-0000-000071C10000}"/>
    <cellStyle name="Normal 5 3 2 3 2 3 4" xfId="20474" xr:uid="{00000000-0005-0000-0000-000072C10000}"/>
    <cellStyle name="Normal 5 3 2 3 2 3 4 2" xfId="47607" xr:uid="{00000000-0005-0000-0000-000073C10000}"/>
    <cellStyle name="Normal 5 3 2 3 2 3 5" xfId="34045" xr:uid="{00000000-0005-0000-0000-000074C10000}"/>
    <cellStyle name="Normal 5 3 2 3 2 4" xfId="10285" xr:uid="{00000000-0005-0000-0000-000075C10000}"/>
    <cellStyle name="Normal 5 3 2 3 2 4 2" xfId="17074" xr:uid="{00000000-0005-0000-0000-000076C10000}"/>
    <cellStyle name="Normal 5 3 2 3 2 4 2 2" xfId="30642" xr:uid="{00000000-0005-0000-0000-000077C10000}"/>
    <cellStyle name="Normal 5 3 2 3 2 4 2 2 2" xfId="57775" xr:uid="{00000000-0005-0000-0000-000078C10000}"/>
    <cellStyle name="Normal 5 3 2 3 2 4 2 3" xfId="44213" xr:uid="{00000000-0005-0000-0000-000079C10000}"/>
    <cellStyle name="Normal 5 3 2 3 2 4 3" xfId="23861" xr:uid="{00000000-0005-0000-0000-00007AC10000}"/>
    <cellStyle name="Normal 5 3 2 3 2 4 3 2" xfId="50994" xr:uid="{00000000-0005-0000-0000-00007BC10000}"/>
    <cellStyle name="Normal 5 3 2 3 2 4 4" xfId="37432" xr:uid="{00000000-0005-0000-0000-00007CC10000}"/>
    <cellStyle name="Normal 5 3 2 3 2 5" xfId="13685" xr:uid="{00000000-0005-0000-0000-00007DC10000}"/>
    <cellStyle name="Normal 5 3 2 3 2 5 2" xfId="27253" xr:uid="{00000000-0005-0000-0000-00007EC10000}"/>
    <cellStyle name="Normal 5 3 2 3 2 5 2 2" xfId="54386" xr:uid="{00000000-0005-0000-0000-00007FC10000}"/>
    <cellStyle name="Normal 5 3 2 3 2 5 3" xfId="40824" xr:uid="{00000000-0005-0000-0000-000080C10000}"/>
    <cellStyle name="Normal 5 3 2 3 2 6" xfId="20472" xr:uid="{00000000-0005-0000-0000-000081C10000}"/>
    <cellStyle name="Normal 5 3 2 3 2 6 2" xfId="47605" xr:uid="{00000000-0005-0000-0000-000082C10000}"/>
    <cellStyle name="Normal 5 3 2 3 2 7" xfId="34043" xr:uid="{00000000-0005-0000-0000-000083C10000}"/>
    <cellStyle name="Normal 5 3 2 3 3" xfId="6757" xr:uid="{00000000-0005-0000-0000-000084C10000}"/>
    <cellStyle name="Normal 5 3 2 3 3 2" xfId="6758" xr:uid="{00000000-0005-0000-0000-000085C10000}"/>
    <cellStyle name="Normal 5 3 2 3 3 2 2" xfId="10289" xr:uid="{00000000-0005-0000-0000-000086C10000}"/>
    <cellStyle name="Normal 5 3 2 3 3 2 2 2" xfId="17078" xr:uid="{00000000-0005-0000-0000-000087C10000}"/>
    <cellStyle name="Normal 5 3 2 3 3 2 2 2 2" xfId="30646" xr:uid="{00000000-0005-0000-0000-000088C10000}"/>
    <cellStyle name="Normal 5 3 2 3 3 2 2 2 2 2" xfId="57779" xr:uid="{00000000-0005-0000-0000-000089C10000}"/>
    <cellStyle name="Normal 5 3 2 3 3 2 2 2 3" xfId="44217" xr:uid="{00000000-0005-0000-0000-00008AC10000}"/>
    <cellStyle name="Normal 5 3 2 3 3 2 2 3" xfId="23865" xr:uid="{00000000-0005-0000-0000-00008BC10000}"/>
    <cellStyle name="Normal 5 3 2 3 3 2 2 3 2" xfId="50998" xr:uid="{00000000-0005-0000-0000-00008CC10000}"/>
    <cellStyle name="Normal 5 3 2 3 3 2 2 4" xfId="37436" xr:uid="{00000000-0005-0000-0000-00008DC10000}"/>
    <cellStyle name="Normal 5 3 2 3 3 2 3" xfId="13689" xr:uid="{00000000-0005-0000-0000-00008EC10000}"/>
    <cellStyle name="Normal 5 3 2 3 3 2 3 2" xfId="27257" xr:uid="{00000000-0005-0000-0000-00008FC10000}"/>
    <cellStyle name="Normal 5 3 2 3 3 2 3 2 2" xfId="54390" xr:uid="{00000000-0005-0000-0000-000090C10000}"/>
    <cellStyle name="Normal 5 3 2 3 3 2 3 3" xfId="40828" xr:uid="{00000000-0005-0000-0000-000091C10000}"/>
    <cellStyle name="Normal 5 3 2 3 3 2 4" xfId="20476" xr:uid="{00000000-0005-0000-0000-000092C10000}"/>
    <cellStyle name="Normal 5 3 2 3 3 2 4 2" xfId="47609" xr:uid="{00000000-0005-0000-0000-000093C10000}"/>
    <cellStyle name="Normal 5 3 2 3 3 2 5" xfId="34047" xr:uid="{00000000-0005-0000-0000-000094C10000}"/>
    <cellStyle name="Normal 5 3 2 3 3 3" xfId="10288" xr:uid="{00000000-0005-0000-0000-000095C10000}"/>
    <cellStyle name="Normal 5 3 2 3 3 3 2" xfId="17077" xr:uid="{00000000-0005-0000-0000-000096C10000}"/>
    <cellStyle name="Normal 5 3 2 3 3 3 2 2" xfId="30645" xr:uid="{00000000-0005-0000-0000-000097C10000}"/>
    <cellStyle name="Normal 5 3 2 3 3 3 2 2 2" xfId="57778" xr:uid="{00000000-0005-0000-0000-000098C10000}"/>
    <cellStyle name="Normal 5 3 2 3 3 3 2 3" xfId="44216" xr:uid="{00000000-0005-0000-0000-000099C10000}"/>
    <cellStyle name="Normal 5 3 2 3 3 3 3" xfId="23864" xr:uid="{00000000-0005-0000-0000-00009AC10000}"/>
    <cellStyle name="Normal 5 3 2 3 3 3 3 2" xfId="50997" xr:uid="{00000000-0005-0000-0000-00009BC10000}"/>
    <cellStyle name="Normal 5 3 2 3 3 3 4" xfId="37435" xr:uid="{00000000-0005-0000-0000-00009CC10000}"/>
    <cellStyle name="Normal 5 3 2 3 3 4" xfId="13688" xr:uid="{00000000-0005-0000-0000-00009DC10000}"/>
    <cellStyle name="Normal 5 3 2 3 3 4 2" xfId="27256" xr:uid="{00000000-0005-0000-0000-00009EC10000}"/>
    <cellStyle name="Normal 5 3 2 3 3 4 2 2" xfId="54389" xr:uid="{00000000-0005-0000-0000-00009FC10000}"/>
    <cellStyle name="Normal 5 3 2 3 3 4 3" xfId="40827" xr:uid="{00000000-0005-0000-0000-0000A0C10000}"/>
    <cellStyle name="Normal 5 3 2 3 3 5" xfId="20475" xr:uid="{00000000-0005-0000-0000-0000A1C10000}"/>
    <cellStyle name="Normal 5 3 2 3 3 5 2" xfId="47608" xr:uid="{00000000-0005-0000-0000-0000A2C10000}"/>
    <cellStyle name="Normal 5 3 2 3 3 6" xfId="34046" xr:uid="{00000000-0005-0000-0000-0000A3C10000}"/>
    <cellStyle name="Normal 5 3 2 3 4" xfId="6759" xr:uid="{00000000-0005-0000-0000-0000A4C10000}"/>
    <cellStyle name="Normal 5 3 2 3 4 2" xfId="10290" xr:uid="{00000000-0005-0000-0000-0000A5C10000}"/>
    <cellStyle name="Normal 5 3 2 3 4 2 2" xfId="17079" xr:uid="{00000000-0005-0000-0000-0000A6C10000}"/>
    <cellStyle name="Normal 5 3 2 3 4 2 2 2" xfId="30647" xr:uid="{00000000-0005-0000-0000-0000A7C10000}"/>
    <cellStyle name="Normal 5 3 2 3 4 2 2 2 2" xfId="57780" xr:uid="{00000000-0005-0000-0000-0000A8C10000}"/>
    <cellStyle name="Normal 5 3 2 3 4 2 2 3" xfId="44218" xr:uid="{00000000-0005-0000-0000-0000A9C10000}"/>
    <cellStyle name="Normal 5 3 2 3 4 2 3" xfId="23866" xr:uid="{00000000-0005-0000-0000-0000AAC10000}"/>
    <cellStyle name="Normal 5 3 2 3 4 2 3 2" xfId="50999" xr:uid="{00000000-0005-0000-0000-0000ABC10000}"/>
    <cellStyle name="Normal 5 3 2 3 4 2 4" xfId="37437" xr:uid="{00000000-0005-0000-0000-0000ACC10000}"/>
    <cellStyle name="Normal 5 3 2 3 4 3" xfId="13690" xr:uid="{00000000-0005-0000-0000-0000ADC10000}"/>
    <cellStyle name="Normal 5 3 2 3 4 3 2" xfId="27258" xr:uid="{00000000-0005-0000-0000-0000AEC10000}"/>
    <cellStyle name="Normal 5 3 2 3 4 3 2 2" xfId="54391" xr:uid="{00000000-0005-0000-0000-0000AFC10000}"/>
    <cellStyle name="Normal 5 3 2 3 4 3 3" xfId="40829" xr:uid="{00000000-0005-0000-0000-0000B0C10000}"/>
    <cellStyle name="Normal 5 3 2 3 4 4" xfId="20477" xr:uid="{00000000-0005-0000-0000-0000B1C10000}"/>
    <cellStyle name="Normal 5 3 2 3 4 4 2" xfId="47610" xr:uid="{00000000-0005-0000-0000-0000B2C10000}"/>
    <cellStyle name="Normal 5 3 2 3 4 5" xfId="34048" xr:uid="{00000000-0005-0000-0000-0000B3C10000}"/>
    <cellStyle name="Normal 5 3 2 3 5" xfId="6760" xr:uid="{00000000-0005-0000-0000-0000B4C10000}"/>
    <cellStyle name="Normal 5 3 2 3 5 2" xfId="10291" xr:uid="{00000000-0005-0000-0000-0000B5C10000}"/>
    <cellStyle name="Normal 5 3 2 3 5 2 2" xfId="17080" xr:uid="{00000000-0005-0000-0000-0000B6C10000}"/>
    <cellStyle name="Normal 5 3 2 3 5 2 2 2" xfId="30648" xr:uid="{00000000-0005-0000-0000-0000B7C10000}"/>
    <cellStyle name="Normal 5 3 2 3 5 2 2 2 2" xfId="57781" xr:uid="{00000000-0005-0000-0000-0000B8C10000}"/>
    <cellStyle name="Normal 5 3 2 3 5 2 2 3" xfId="44219" xr:uid="{00000000-0005-0000-0000-0000B9C10000}"/>
    <cellStyle name="Normal 5 3 2 3 5 2 3" xfId="23867" xr:uid="{00000000-0005-0000-0000-0000BAC10000}"/>
    <cellStyle name="Normal 5 3 2 3 5 2 3 2" xfId="51000" xr:uid="{00000000-0005-0000-0000-0000BBC10000}"/>
    <cellStyle name="Normal 5 3 2 3 5 2 4" xfId="37438" xr:uid="{00000000-0005-0000-0000-0000BCC10000}"/>
    <cellStyle name="Normal 5 3 2 3 5 3" xfId="13691" xr:uid="{00000000-0005-0000-0000-0000BDC10000}"/>
    <cellStyle name="Normal 5 3 2 3 5 3 2" xfId="27259" xr:uid="{00000000-0005-0000-0000-0000BEC10000}"/>
    <cellStyle name="Normal 5 3 2 3 5 3 2 2" xfId="54392" xr:uid="{00000000-0005-0000-0000-0000BFC10000}"/>
    <cellStyle name="Normal 5 3 2 3 5 3 3" xfId="40830" xr:uid="{00000000-0005-0000-0000-0000C0C10000}"/>
    <cellStyle name="Normal 5 3 2 3 5 4" xfId="20478" xr:uid="{00000000-0005-0000-0000-0000C1C10000}"/>
    <cellStyle name="Normal 5 3 2 3 5 4 2" xfId="47611" xr:uid="{00000000-0005-0000-0000-0000C2C10000}"/>
    <cellStyle name="Normal 5 3 2 3 5 5" xfId="34049" xr:uid="{00000000-0005-0000-0000-0000C3C10000}"/>
    <cellStyle name="Normal 5 3 2 3 6" xfId="10284" xr:uid="{00000000-0005-0000-0000-0000C4C10000}"/>
    <cellStyle name="Normal 5 3 2 3 6 2" xfId="17073" xr:uid="{00000000-0005-0000-0000-0000C5C10000}"/>
    <cellStyle name="Normal 5 3 2 3 6 2 2" xfId="30641" xr:uid="{00000000-0005-0000-0000-0000C6C10000}"/>
    <cellStyle name="Normal 5 3 2 3 6 2 2 2" xfId="57774" xr:uid="{00000000-0005-0000-0000-0000C7C10000}"/>
    <cellStyle name="Normal 5 3 2 3 6 2 3" xfId="44212" xr:uid="{00000000-0005-0000-0000-0000C8C10000}"/>
    <cellStyle name="Normal 5 3 2 3 6 3" xfId="23860" xr:uid="{00000000-0005-0000-0000-0000C9C10000}"/>
    <cellStyle name="Normal 5 3 2 3 6 3 2" xfId="50993" xr:uid="{00000000-0005-0000-0000-0000CAC10000}"/>
    <cellStyle name="Normal 5 3 2 3 6 4" xfId="37431" xr:uid="{00000000-0005-0000-0000-0000CBC10000}"/>
    <cellStyle name="Normal 5 3 2 3 7" xfId="13684" xr:uid="{00000000-0005-0000-0000-0000CCC10000}"/>
    <cellStyle name="Normal 5 3 2 3 7 2" xfId="27252" xr:uid="{00000000-0005-0000-0000-0000CDC10000}"/>
    <cellStyle name="Normal 5 3 2 3 7 2 2" xfId="54385" xr:uid="{00000000-0005-0000-0000-0000CEC10000}"/>
    <cellStyle name="Normal 5 3 2 3 7 3" xfId="40823" xr:uid="{00000000-0005-0000-0000-0000CFC10000}"/>
    <cellStyle name="Normal 5 3 2 3 8" xfId="20471" xr:uid="{00000000-0005-0000-0000-0000D0C10000}"/>
    <cellStyle name="Normal 5 3 2 3 8 2" xfId="47604" xr:uid="{00000000-0005-0000-0000-0000D1C10000}"/>
    <cellStyle name="Normal 5 3 2 3 9" xfId="34042" xr:uid="{00000000-0005-0000-0000-0000D2C10000}"/>
    <cellStyle name="Normal 5 3 2 4" xfId="6761" xr:uid="{00000000-0005-0000-0000-0000D3C10000}"/>
    <cellStyle name="Normal 5 3 2 4 2" xfId="6762" xr:uid="{00000000-0005-0000-0000-0000D4C10000}"/>
    <cellStyle name="Normal 5 3 2 4 2 2" xfId="6763" xr:uid="{00000000-0005-0000-0000-0000D5C10000}"/>
    <cellStyle name="Normal 5 3 2 4 2 2 2" xfId="10294" xr:uid="{00000000-0005-0000-0000-0000D6C10000}"/>
    <cellStyle name="Normal 5 3 2 4 2 2 2 2" xfId="17083" xr:uid="{00000000-0005-0000-0000-0000D7C10000}"/>
    <cellStyle name="Normal 5 3 2 4 2 2 2 2 2" xfId="30651" xr:uid="{00000000-0005-0000-0000-0000D8C10000}"/>
    <cellStyle name="Normal 5 3 2 4 2 2 2 2 2 2" xfId="57784" xr:uid="{00000000-0005-0000-0000-0000D9C10000}"/>
    <cellStyle name="Normal 5 3 2 4 2 2 2 2 3" xfId="44222" xr:uid="{00000000-0005-0000-0000-0000DAC10000}"/>
    <cellStyle name="Normal 5 3 2 4 2 2 2 3" xfId="23870" xr:uid="{00000000-0005-0000-0000-0000DBC10000}"/>
    <cellStyle name="Normal 5 3 2 4 2 2 2 3 2" xfId="51003" xr:uid="{00000000-0005-0000-0000-0000DCC10000}"/>
    <cellStyle name="Normal 5 3 2 4 2 2 2 4" xfId="37441" xr:uid="{00000000-0005-0000-0000-0000DDC10000}"/>
    <cellStyle name="Normal 5 3 2 4 2 2 3" xfId="13694" xr:uid="{00000000-0005-0000-0000-0000DEC10000}"/>
    <cellStyle name="Normal 5 3 2 4 2 2 3 2" xfId="27262" xr:uid="{00000000-0005-0000-0000-0000DFC10000}"/>
    <cellStyle name="Normal 5 3 2 4 2 2 3 2 2" xfId="54395" xr:uid="{00000000-0005-0000-0000-0000E0C10000}"/>
    <cellStyle name="Normal 5 3 2 4 2 2 3 3" xfId="40833" xr:uid="{00000000-0005-0000-0000-0000E1C10000}"/>
    <cellStyle name="Normal 5 3 2 4 2 2 4" xfId="20481" xr:uid="{00000000-0005-0000-0000-0000E2C10000}"/>
    <cellStyle name="Normal 5 3 2 4 2 2 4 2" xfId="47614" xr:uid="{00000000-0005-0000-0000-0000E3C10000}"/>
    <cellStyle name="Normal 5 3 2 4 2 2 5" xfId="34052" xr:uid="{00000000-0005-0000-0000-0000E4C10000}"/>
    <cellStyle name="Normal 5 3 2 4 2 3" xfId="6764" xr:uid="{00000000-0005-0000-0000-0000E5C10000}"/>
    <cellStyle name="Normal 5 3 2 4 2 3 2" xfId="10295" xr:uid="{00000000-0005-0000-0000-0000E6C10000}"/>
    <cellStyle name="Normal 5 3 2 4 2 3 2 2" xfId="17084" xr:uid="{00000000-0005-0000-0000-0000E7C10000}"/>
    <cellStyle name="Normal 5 3 2 4 2 3 2 2 2" xfId="30652" xr:uid="{00000000-0005-0000-0000-0000E8C10000}"/>
    <cellStyle name="Normal 5 3 2 4 2 3 2 2 2 2" xfId="57785" xr:uid="{00000000-0005-0000-0000-0000E9C10000}"/>
    <cellStyle name="Normal 5 3 2 4 2 3 2 2 3" xfId="44223" xr:uid="{00000000-0005-0000-0000-0000EAC10000}"/>
    <cellStyle name="Normal 5 3 2 4 2 3 2 3" xfId="23871" xr:uid="{00000000-0005-0000-0000-0000EBC10000}"/>
    <cellStyle name="Normal 5 3 2 4 2 3 2 3 2" xfId="51004" xr:uid="{00000000-0005-0000-0000-0000ECC10000}"/>
    <cellStyle name="Normal 5 3 2 4 2 3 2 4" xfId="37442" xr:uid="{00000000-0005-0000-0000-0000EDC10000}"/>
    <cellStyle name="Normal 5 3 2 4 2 3 3" xfId="13695" xr:uid="{00000000-0005-0000-0000-0000EEC10000}"/>
    <cellStyle name="Normal 5 3 2 4 2 3 3 2" xfId="27263" xr:uid="{00000000-0005-0000-0000-0000EFC10000}"/>
    <cellStyle name="Normal 5 3 2 4 2 3 3 2 2" xfId="54396" xr:uid="{00000000-0005-0000-0000-0000F0C10000}"/>
    <cellStyle name="Normal 5 3 2 4 2 3 3 3" xfId="40834" xr:uid="{00000000-0005-0000-0000-0000F1C10000}"/>
    <cellStyle name="Normal 5 3 2 4 2 3 4" xfId="20482" xr:uid="{00000000-0005-0000-0000-0000F2C10000}"/>
    <cellStyle name="Normal 5 3 2 4 2 3 4 2" xfId="47615" xr:uid="{00000000-0005-0000-0000-0000F3C10000}"/>
    <cellStyle name="Normal 5 3 2 4 2 3 5" xfId="34053" xr:uid="{00000000-0005-0000-0000-0000F4C10000}"/>
    <cellStyle name="Normal 5 3 2 4 2 4" xfId="10293" xr:uid="{00000000-0005-0000-0000-0000F5C10000}"/>
    <cellStyle name="Normal 5 3 2 4 2 4 2" xfId="17082" xr:uid="{00000000-0005-0000-0000-0000F6C10000}"/>
    <cellStyle name="Normal 5 3 2 4 2 4 2 2" xfId="30650" xr:uid="{00000000-0005-0000-0000-0000F7C10000}"/>
    <cellStyle name="Normal 5 3 2 4 2 4 2 2 2" xfId="57783" xr:uid="{00000000-0005-0000-0000-0000F8C10000}"/>
    <cellStyle name="Normal 5 3 2 4 2 4 2 3" xfId="44221" xr:uid="{00000000-0005-0000-0000-0000F9C10000}"/>
    <cellStyle name="Normal 5 3 2 4 2 4 3" xfId="23869" xr:uid="{00000000-0005-0000-0000-0000FAC10000}"/>
    <cellStyle name="Normal 5 3 2 4 2 4 3 2" xfId="51002" xr:uid="{00000000-0005-0000-0000-0000FBC10000}"/>
    <cellStyle name="Normal 5 3 2 4 2 4 4" xfId="37440" xr:uid="{00000000-0005-0000-0000-0000FCC10000}"/>
    <cellStyle name="Normal 5 3 2 4 2 5" xfId="13693" xr:uid="{00000000-0005-0000-0000-0000FDC10000}"/>
    <cellStyle name="Normal 5 3 2 4 2 5 2" xfId="27261" xr:uid="{00000000-0005-0000-0000-0000FEC10000}"/>
    <cellStyle name="Normal 5 3 2 4 2 5 2 2" xfId="54394" xr:uid="{00000000-0005-0000-0000-0000FFC10000}"/>
    <cellStyle name="Normal 5 3 2 4 2 5 3" xfId="40832" xr:uid="{00000000-0005-0000-0000-000000C20000}"/>
    <cellStyle name="Normal 5 3 2 4 2 6" xfId="20480" xr:uid="{00000000-0005-0000-0000-000001C20000}"/>
    <cellStyle name="Normal 5 3 2 4 2 6 2" xfId="47613" xr:uid="{00000000-0005-0000-0000-000002C20000}"/>
    <cellStyle name="Normal 5 3 2 4 2 7" xfId="34051" xr:uid="{00000000-0005-0000-0000-000003C20000}"/>
    <cellStyle name="Normal 5 3 2 4 3" xfId="6765" xr:uid="{00000000-0005-0000-0000-000004C20000}"/>
    <cellStyle name="Normal 5 3 2 4 3 2" xfId="10296" xr:uid="{00000000-0005-0000-0000-000005C20000}"/>
    <cellStyle name="Normal 5 3 2 4 3 2 2" xfId="17085" xr:uid="{00000000-0005-0000-0000-000006C20000}"/>
    <cellStyle name="Normal 5 3 2 4 3 2 2 2" xfId="30653" xr:uid="{00000000-0005-0000-0000-000007C20000}"/>
    <cellStyle name="Normal 5 3 2 4 3 2 2 2 2" xfId="57786" xr:uid="{00000000-0005-0000-0000-000008C20000}"/>
    <cellStyle name="Normal 5 3 2 4 3 2 2 3" xfId="44224" xr:uid="{00000000-0005-0000-0000-000009C20000}"/>
    <cellStyle name="Normal 5 3 2 4 3 2 3" xfId="23872" xr:uid="{00000000-0005-0000-0000-00000AC20000}"/>
    <cellStyle name="Normal 5 3 2 4 3 2 3 2" xfId="51005" xr:uid="{00000000-0005-0000-0000-00000BC20000}"/>
    <cellStyle name="Normal 5 3 2 4 3 2 4" xfId="37443" xr:uid="{00000000-0005-0000-0000-00000CC20000}"/>
    <cellStyle name="Normal 5 3 2 4 3 3" xfId="13696" xr:uid="{00000000-0005-0000-0000-00000DC20000}"/>
    <cellStyle name="Normal 5 3 2 4 3 3 2" xfId="27264" xr:uid="{00000000-0005-0000-0000-00000EC20000}"/>
    <cellStyle name="Normal 5 3 2 4 3 3 2 2" xfId="54397" xr:uid="{00000000-0005-0000-0000-00000FC20000}"/>
    <cellStyle name="Normal 5 3 2 4 3 3 3" xfId="40835" xr:uid="{00000000-0005-0000-0000-000010C20000}"/>
    <cellStyle name="Normal 5 3 2 4 3 4" xfId="20483" xr:uid="{00000000-0005-0000-0000-000011C20000}"/>
    <cellStyle name="Normal 5 3 2 4 3 4 2" xfId="47616" xr:uid="{00000000-0005-0000-0000-000012C20000}"/>
    <cellStyle name="Normal 5 3 2 4 3 5" xfId="34054" xr:uid="{00000000-0005-0000-0000-000013C20000}"/>
    <cellStyle name="Normal 5 3 2 4 4" xfId="6766" xr:uid="{00000000-0005-0000-0000-000014C20000}"/>
    <cellStyle name="Normal 5 3 2 4 4 2" xfId="10297" xr:uid="{00000000-0005-0000-0000-000015C20000}"/>
    <cellStyle name="Normal 5 3 2 4 4 2 2" xfId="17086" xr:uid="{00000000-0005-0000-0000-000016C20000}"/>
    <cellStyle name="Normal 5 3 2 4 4 2 2 2" xfId="30654" xr:uid="{00000000-0005-0000-0000-000017C20000}"/>
    <cellStyle name="Normal 5 3 2 4 4 2 2 2 2" xfId="57787" xr:uid="{00000000-0005-0000-0000-000018C20000}"/>
    <cellStyle name="Normal 5 3 2 4 4 2 2 3" xfId="44225" xr:uid="{00000000-0005-0000-0000-000019C20000}"/>
    <cellStyle name="Normal 5 3 2 4 4 2 3" xfId="23873" xr:uid="{00000000-0005-0000-0000-00001AC20000}"/>
    <cellStyle name="Normal 5 3 2 4 4 2 3 2" xfId="51006" xr:uid="{00000000-0005-0000-0000-00001BC20000}"/>
    <cellStyle name="Normal 5 3 2 4 4 2 4" xfId="37444" xr:uid="{00000000-0005-0000-0000-00001CC20000}"/>
    <cellStyle name="Normal 5 3 2 4 4 3" xfId="13697" xr:uid="{00000000-0005-0000-0000-00001DC20000}"/>
    <cellStyle name="Normal 5 3 2 4 4 3 2" xfId="27265" xr:uid="{00000000-0005-0000-0000-00001EC20000}"/>
    <cellStyle name="Normal 5 3 2 4 4 3 2 2" xfId="54398" xr:uid="{00000000-0005-0000-0000-00001FC20000}"/>
    <cellStyle name="Normal 5 3 2 4 4 3 3" xfId="40836" xr:uid="{00000000-0005-0000-0000-000020C20000}"/>
    <cellStyle name="Normal 5 3 2 4 4 4" xfId="20484" xr:uid="{00000000-0005-0000-0000-000021C20000}"/>
    <cellStyle name="Normal 5 3 2 4 4 4 2" xfId="47617" xr:uid="{00000000-0005-0000-0000-000022C20000}"/>
    <cellStyle name="Normal 5 3 2 4 4 5" xfId="34055" xr:uid="{00000000-0005-0000-0000-000023C20000}"/>
    <cellStyle name="Normal 5 3 2 4 5" xfId="10292" xr:uid="{00000000-0005-0000-0000-000024C20000}"/>
    <cellStyle name="Normal 5 3 2 4 5 2" xfId="17081" xr:uid="{00000000-0005-0000-0000-000025C20000}"/>
    <cellStyle name="Normal 5 3 2 4 5 2 2" xfId="30649" xr:uid="{00000000-0005-0000-0000-000026C20000}"/>
    <cellStyle name="Normal 5 3 2 4 5 2 2 2" xfId="57782" xr:uid="{00000000-0005-0000-0000-000027C20000}"/>
    <cellStyle name="Normal 5 3 2 4 5 2 3" xfId="44220" xr:uid="{00000000-0005-0000-0000-000028C20000}"/>
    <cellStyle name="Normal 5 3 2 4 5 3" xfId="23868" xr:uid="{00000000-0005-0000-0000-000029C20000}"/>
    <cellStyle name="Normal 5 3 2 4 5 3 2" xfId="51001" xr:uid="{00000000-0005-0000-0000-00002AC20000}"/>
    <cellStyle name="Normal 5 3 2 4 5 4" xfId="37439" xr:uid="{00000000-0005-0000-0000-00002BC20000}"/>
    <cellStyle name="Normal 5 3 2 4 6" xfId="13692" xr:uid="{00000000-0005-0000-0000-00002CC20000}"/>
    <cellStyle name="Normal 5 3 2 4 6 2" xfId="27260" xr:uid="{00000000-0005-0000-0000-00002DC20000}"/>
    <cellStyle name="Normal 5 3 2 4 6 2 2" xfId="54393" xr:uid="{00000000-0005-0000-0000-00002EC20000}"/>
    <cellStyle name="Normal 5 3 2 4 6 3" xfId="40831" xr:uid="{00000000-0005-0000-0000-00002FC20000}"/>
    <cellStyle name="Normal 5 3 2 4 7" xfId="20479" xr:uid="{00000000-0005-0000-0000-000030C20000}"/>
    <cellStyle name="Normal 5 3 2 4 7 2" xfId="47612" xr:uid="{00000000-0005-0000-0000-000031C20000}"/>
    <cellStyle name="Normal 5 3 2 4 8" xfId="34050" xr:uid="{00000000-0005-0000-0000-000032C20000}"/>
    <cellStyle name="Normal 5 3 2 5" xfId="6767" xr:uid="{00000000-0005-0000-0000-000033C20000}"/>
    <cellStyle name="Normal 5 3 2 5 2" xfId="6768" xr:uid="{00000000-0005-0000-0000-000034C20000}"/>
    <cellStyle name="Normal 5 3 2 5 2 2" xfId="10299" xr:uid="{00000000-0005-0000-0000-000035C20000}"/>
    <cellStyle name="Normal 5 3 2 5 2 2 2" xfId="17088" xr:uid="{00000000-0005-0000-0000-000036C20000}"/>
    <cellStyle name="Normal 5 3 2 5 2 2 2 2" xfId="30656" xr:uid="{00000000-0005-0000-0000-000037C20000}"/>
    <cellStyle name="Normal 5 3 2 5 2 2 2 2 2" xfId="57789" xr:uid="{00000000-0005-0000-0000-000038C20000}"/>
    <cellStyle name="Normal 5 3 2 5 2 2 2 3" xfId="44227" xr:uid="{00000000-0005-0000-0000-000039C20000}"/>
    <cellStyle name="Normal 5 3 2 5 2 2 3" xfId="23875" xr:uid="{00000000-0005-0000-0000-00003AC20000}"/>
    <cellStyle name="Normal 5 3 2 5 2 2 3 2" xfId="51008" xr:uid="{00000000-0005-0000-0000-00003BC20000}"/>
    <cellStyle name="Normal 5 3 2 5 2 2 4" xfId="37446" xr:uid="{00000000-0005-0000-0000-00003CC20000}"/>
    <cellStyle name="Normal 5 3 2 5 2 3" xfId="13699" xr:uid="{00000000-0005-0000-0000-00003DC20000}"/>
    <cellStyle name="Normal 5 3 2 5 2 3 2" xfId="27267" xr:uid="{00000000-0005-0000-0000-00003EC20000}"/>
    <cellStyle name="Normal 5 3 2 5 2 3 2 2" xfId="54400" xr:uid="{00000000-0005-0000-0000-00003FC20000}"/>
    <cellStyle name="Normal 5 3 2 5 2 3 3" xfId="40838" xr:uid="{00000000-0005-0000-0000-000040C20000}"/>
    <cellStyle name="Normal 5 3 2 5 2 4" xfId="20486" xr:uid="{00000000-0005-0000-0000-000041C20000}"/>
    <cellStyle name="Normal 5 3 2 5 2 4 2" xfId="47619" xr:uid="{00000000-0005-0000-0000-000042C20000}"/>
    <cellStyle name="Normal 5 3 2 5 2 5" xfId="34057" xr:uid="{00000000-0005-0000-0000-000043C20000}"/>
    <cellStyle name="Normal 5 3 2 5 3" xfId="6769" xr:uid="{00000000-0005-0000-0000-000044C20000}"/>
    <cellStyle name="Normal 5 3 2 5 3 2" xfId="10300" xr:uid="{00000000-0005-0000-0000-000045C20000}"/>
    <cellStyle name="Normal 5 3 2 5 3 2 2" xfId="17089" xr:uid="{00000000-0005-0000-0000-000046C20000}"/>
    <cellStyle name="Normal 5 3 2 5 3 2 2 2" xfId="30657" xr:uid="{00000000-0005-0000-0000-000047C20000}"/>
    <cellStyle name="Normal 5 3 2 5 3 2 2 2 2" xfId="57790" xr:uid="{00000000-0005-0000-0000-000048C20000}"/>
    <cellStyle name="Normal 5 3 2 5 3 2 2 3" xfId="44228" xr:uid="{00000000-0005-0000-0000-000049C20000}"/>
    <cellStyle name="Normal 5 3 2 5 3 2 3" xfId="23876" xr:uid="{00000000-0005-0000-0000-00004AC20000}"/>
    <cellStyle name="Normal 5 3 2 5 3 2 3 2" xfId="51009" xr:uid="{00000000-0005-0000-0000-00004BC20000}"/>
    <cellStyle name="Normal 5 3 2 5 3 2 4" xfId="37447" xr:uid="{00000000-0005-0000-0000-00004CC20000}"/>
    <cellStyle name="Normal 5 3 2 5 3 3" xfId="13700" xr:uid="{00000000-0005-0000-0000-00004DC20000}"/>
    <cellStyle name="Normal 5 3 2 5 3 3 2" xfId="27268" xr:uid="{00000000-0005-0000-0000-00004EC20000}"/>
    <cellStyle name="Normal 5 3 2 5 3 3 2 2" xfId="54401" xr:uid="{00000000-0005-0000-0000-00004FC20000}"/>
    <cellStyle name="Normal 5 3 2 5 3 3 3" xfId="40839" xr:uid="{00000000-0005-0000-0000-000050C20000}"/>
    <cellStyle name="Normal 5 3 2 5 3 4" xfId="20487" xr:uid="{00000000-0005-0000-0000-000051C20000}"/>
    <cellStyle name="Normal 5 3 2 5 3 4 2" xfId="47620" xr:uid="{00000000-0005-0000-0000-000052C20000}"/>
    <cellStyle name="Normal 5 3 2 5 3 5" xfId="34058" xr:uid="{00000000-0005-0000-0000-000053C20000}"/>
    <cellStyle name="Normal 5 3 2 5 4" xfId="10298" xr:uid="{00000000-0005-0000-0000-000054C20000}"/>
    <cellStyle name="Normal 5 3 2 5 4 2" xfId="17087" xr:uid="{00000000-0005-0000-0000-000055C20000}"/>
    <cellStyle name="Normal 5 3 2 5 4 2 2" xfId="30655" xr:uid="{00000000-0005-0000-0000-000056C20000}"/>
    <cellStyle name="Normal 5 3 2 5 4 2 2 2" xfId="57788" xr:uid="{00000000-0005-0000-0000-000057C20000}"/>
    <cellStyle name="Normal 5 3 2 5 4 2 3" xfId="44226" xr:uid="{00000000-0005-0000-0000-000058C20000}"/>
    <cellStyle name="Normal 5 3 2 5 4 3" xfId="23874" xr:uid="{00000000-0005-0000-0000-000059C20000}"/>
    <cellStyle name="Normal 5 3 2 5 4 3 2" xfId="51007" xr:uid="{00000000-0005-0000-0000-00005AC20000}"/>
    <cellStyle name="Normal 5 3 2 5 4 4" xfId="37445" xr:uid="{00000000-0005-0000-0000-00005BC20000}"/>
    <cellStyle name="Normal 5 3 2 5 5" xfId="13698" xr:uid="{00000000-0005-0000-0000-00005CC20000}"/>
    <cellStyle name="Normal 5 3 2 5 5 2" xfId="27266" xr:uid="{00000000-0005-0000-0000-00005DC20000}"/>
    <cellStyle name="Normal 5 3 2 5 5 2 2" xfId="54399" xr:uid="{00000000-0005-0000-0000-00005EC20000}"/>
    <cellStyle name="Normal 5 3 2 5 5 3" xfId="40837" xr:uid="{00000000-0005-0000-0000-00005FC20000}"/>
    <cellStyle name="Normal 5 3 2 5 6" xfId="20485" xr:uid="{00000000-0005-0000-0000-000060C20000}"/>
    <cellStyle name="Normal 5 3 2 5 6 2" xfId="47618" xr:uid="{00000000-0005-0000-0000-000061C20000}"/>
    <cellStyle name="Normal 5 3 2 5 7" xfId="34056" xr:uid="{00000000-0005-0000-0000-000062C20000}"/>
    <cellStyle name="Normal 5 3 2 6" xfId="6770" xr:uid="{00000000-0005-0000-0000-000063C20000}"/>
    <cellStyle name="Normal 5 3 2 6 2" xfId="6771" xr:uid="{00000000-0005-0000-0000-000064C20000}"/>
    <cellStyle name="Normal 5 3 2 6 2 2" xfId="10302" xr:uid="{00000000-0005-0000-0000-000065C20000}"/>
    <cellStyle name="Normal 5 3 2 6 2 2 2" xfId="17091" xr:uid="{00000000-0005-0000-0000-000066C20000}"/>
    <cellStyle name="Normal 5 3 2 6 2 2 2 2" xfId="30659" xr:uid="{00000000-0005-0000-0000-000067C20000}"/>
    <cellStyle name="Normal 5 3 2 6 2 2 2 2 2" xfId="57792" xr:uid="{00000000-0005-0000-0000-000068C20000}"/>
    <cellStyle name="Normal 5 3 2 6 2 2 2 3" xfId="44230" xr:uid="{00000000-0005-0000-0000-000069C20000}"/>
    <cellStyle name="Normal 5 3 2 6 2 2 3" xfId="23878" xr:uid="{00000000-0005-0000-0000-00006AC20000}"/>
    <cellStyle name="Normal 5 3 2 6 2 2 3 2" xfId="51011" xr:uid="{00000000-0005-0000-0000-00006BC20000}"/>
    <cellStyle name="Normal 5 3 2 6 2 2 4" xfId="37449" xr:uid="{00000000-0005-0000-0000-00006CC20000}"/>
    <cellStyle name="Normal 5 3 2 6 2 3" xfId="13702" xr:uid="{00000000-0005-0000-0000-00006DC20000}"/>
    <cellStyle name="Normal 5 3 2 6 2 3 2" xfId="27270" xr:uid="{00000000-0005-0000-0000-00006EC20000}"/>
    <cellStyle name="Normal 5 3 2 6 2 3 2 2" xfId="54403" xr:uid="{00000000-0005-0000-0000-00006FC20000}"/>
    <cellStyle name="Normal 5 3 2 6 2 3 3" xfId="40841" xr:uid="{00000000-0005-0000-0000-000070C20000}"/>
    <cellStyle name="Normal 5 3 2 6 2 4" xfId="20489" xr:uid="{00000000-0005-0000-0000-000071C20000}"/>
    <cellStyle name="Normal 5 3 2 6 2 4 2" xfId="47622" xr:uid="{00000000-0005-0000-0000-000072C20000}"/>
    <cellStyle name="Normal 5 3 2 6 2 5" xfId="34060" xr:uid="{00000000-0005-0000-0000-000073C20000}"/>
    <cellStyle name="Normal 5 3 2 6 3" xfId="6772" xr:uid="{00000000-0005-0000-0000-000074C20000}"/>
    <cellStyle name="Normal 5 3 2 6 3 2" xfId="10303" xr:uid="{00000000-0005-0000-0000-000075C20000}"/>
    <cellStyle name="Normal 5 3 2 6 3 2 2" xfId="17092" xr:uid="{00000000-0005-0000-0000-000076C20000}"/>
    <cellStyle name="Normal 5 3 2 6 3 2 2 2" xfId="30660" xr:uid="{00000000-0005-0000-0000-000077C20000}"/>
    <cellStyle name="Normal 5 3 2 6 3 2 2 2 2" xfId="57793" xr:uid="{00000000-0005-0000-0000-000078C20000}"/>
    <cellStyle name="Normal 5 3 2 6 3 2 2 3" xfId="44231" xr:uid="{00000000-0005-0000-0000-000079C20000}"/>
    <cellStyle name="Normal 5 3 2 6 3 2 3" xfId="23879" xr:uid="{00000000-0005-0000-0000-00007AC20000}"/>
    <cellStyle name="Normal 5 3 2 6 3 2 3 2" xfId="51012" xr:uid="{00000000-0005-0000-0000-00007BC20000}"/>
    <cellStyle name="Normal 5 3 2 6 3 2 4" xfId="37450" xr:uid="{00000000-0005-0000-0000-00007CC20000}"/>
    <cellStyle name="Normal 5 3 2 6 3 3" xfId="13703" xr:uid="{00000000-0005-0000-0000-00007DC20000}"/>
    <cellStyle name="Normal 5 3 2 6 3 3 2" xfId="27271" xr:uid="{00000000-0005-0000-0000-00007EC20000}"/>
    <cellStyle name="Normal 5 3 2 6 3 3 2 2" xfId="54404" xr:uid="{00000000-0005-0000-0000-00007FC20000}"/>
    <cellStyle name="Normal 5 3 2 6 3 3 3" xfId="40842" xr:uid="{00000000-0005-0000-0000-000080C20000}"/>
    <cellStyle name="Normal 5 3 2 6 3 4" xfId="20490" xr:uid="{00000000-0005-0000-0000-000081C20000}"/>
    <cellStyle name="Normal 5 3 2 6 3 4 2" xfId="47623" xr:uid="{00000000-0005-0000-0000-000082C20000}"/>
    <cellStyle name="Normal 5 3 2 6 3 5" xfId="34061" xr:uid="{00000000-0005-0000-0000-000083C20000}"/>
    <cellStyle name="Normal 5 3 2 6 4" xfId="10301" xr:uid="{00000000-0005-0000-0000-000084C20000}"/>
    <cellStyle name="Normal 5 3 2 6 4 2" xfId="17090" xr:uid="{00000000-0005-0000-0000-000085C20000}"/>
    <cellStyle name="Normal 5 3 2 6 4 2 2" xfId="30658" xr:uid="{00000000-0005-0000-0000-000086C20000}"/>
    <cellStyle name="Normal 5 3 2 6 4 2 2 2" xfId="57791" xr:uid="{00000000-0005-0000-0000-000087C20000}"/>
    <cellStyle name="Normal 5 3 2 6 4 2 3" xfId="44229" xr:uid="{00000000-0005-0000-0000-000088C20000}"/>
    <cellStyle name="Normal 5 3 2 6 4 3" xfId="23877" xr:uid="{00000000-0005-0000-0000-000089C20000}"/>
    <cellStyle name="Normal 5 3 2 6 4 3 2" xfId="51010" xr:uid="{00000000-0005-0000-0000-00008AC20000}"/>
    <cellStyle name="Normal 5 3 2 6 4 4" xfId="37448" xr:uid="{00000000-0005-0000-0000-00008BC20000}"/>
    <cellStyle name="Normal 5 3 2 6 5" xfId="13701" xr:uid="{00000000-0005-0000-0000-00008CC20000}"/>
    <cellStyle name="Normal 5 3 2 6 5 2" xfId="27269" xr:uid="{00000000-0005-0000-0000-00008DC20000}"/>
    <cellStyle name="Normal 5 3 2 6 5 2 2" xfId="54402" xr:uid="{00000000-0005-0000-0000-00008EC20000}"/>
    <cellStyle name="Normal 5 3 2 6 5 3" xfId="40840" xr:uid="{00000000-0005-0000-0000-00008FC20000}"/>
    <cellStyle name="Normal 5 3 2 6 6" xfId="20488" xr:uid="{00000000-0005-0000-0000-000090C20000}"/>
    <cellStyle name="Normal 5 3 2 6 6 2" xfId="47621" xr:uid="{00000000-0005-0000-0000-000091C20000}"/>
    <cellStyle name="Normal 5 3 2 6 7" xfId="34059" xr:uid="{00000000-0005-0000-0000-000092C20000}"/>
    <cellStyle name="Normal 5 3 2 7" xfId="6773" xr:uid="{00000000-0005-0000-0000-000093C20000}"/>
    <cellStyle name="Normal 5 3 2 7 2" xfId="10304" xr:uid="{00000000-0005-0000-0000-000094C20000}"/>
    <cellStyle name="Normal 5 3 2 7 2 2" xfId="17093" xr:uid="{00000000-0005-0000-0000-000095C20000}"/>
    <cellStyle name="Normal 5 3 2 7 2 2 2" xfId="30661" xr:uid="{00000000-0005-0000-0000-000096C20000}"/>
    <cellStyle name="Normal 5 3 2 7 2 2 2 2" xfId="57794" xr:uid="{00000000-0005-0000-0000-000097C20000}"/>
    <cellStyle name="Normal 5 3 2 7 2 2 3" xfId="44232" xr:uid="{00000000-0005-0000-0000-000098C20000}"/>
    <cellStyle name="Normal 5 3 2 7 2 3" xfId="23880" xr:uid="{00000000-0005-0000-0000-000099C20000}"/>
    <cellStyle name="Normal 5 3 2 7 2 3 2" xfId="51013" xr:uid="{00000000-0005-0000-0000-00009AC20000}"/>
    <cellStyle name="Normal 5 3 2 7 2 4" xfId="37451" xr:uid="{00000000-0005-0000-0000-00009BC20000}"/>
    <cellStyle name="Normal 5 3 2 7 3" xfId="13704" xr:uid="{00000000-0005-0000-0000-00009CC20000}"/>
    <cellStyle name="Normal 5 3 2 7 3 2" xfId="27272" xr:uid="{00000000-0005-0000-0000-00009DC20000}"/>
    <cellStyle name="Normal 5 3 2 7 3 2 2" xfId="54405" xr:uid="{00000000-0005-0000-0000-00009EC20000}"/>
    <cellStyle name="Normal 5 3 2 7 3 3" xfId="40843" xr:uid="{00000000-0005-0000-0000-00009FC20000}"/>
    <cellStyle name="Normal 5 3 2 7 4" xfId="20491" xr:uid="{00000000-0005-0000-0000-0000A0C20000}"/>
    <cellStyle name="Normal 5 3 2 7 4 2" xfId="47624" xr:uid="{00000000-0005-0000-0000-0000A1C20000}"/>
    <cellStyle name="Normal 5 3 2 7 5" xfId="34062" xr:uid="{00000000-0005-0000-0000-0000A2C20000}"/>
    <cellStyle name="Normal 5 3 2 8" xfId="6774" xr:uid="{00000000-0005-0000-0000-0000A3C20000}"/>
    <cellStyle name="Normal 5 3 2 8 2" xfId="10305" xr:uid="{00000000-0005-0000-0000-0000A4C20000}"/>
    <cellStyle name="Normal 5 3 2 8 2 2" xfId="17094" xr:uid="{00000000-0005-0000-0000-0000A5C20000}"/>
    <cellStyle name="Normal 5 3 2 8 2 2 2" xfId="30662" xr:uid="{00000000-0005-0000-0000-0000A6C20000}"/>
    <cellStyle name="Normal 5 3 2 8 2 2 2 2" xfId="57795" xr:uid="{00000000-0005-0000-0000-0000A7C20000}"/>
    <cellStyle name="Normal 5 3 2 8 2 2 3" xfId="44233" xr:uid="{00000000-0005-0000-0000-0000A8C20000}"/>
    <cellStyle name="Normal 5 3 2 8 2 3" xfId="23881" xr:uid="{00000000-0005-0000-0000-0000A9C20000}"/>
    <cellStyle name="Normal 5 3 2 8 2 3 2" xfId="51014" xr:uid="{00000000-0005-0000-0000-0000AAC20000}"/>
    <cellStyle name="Normal 5 3 2 8 2 4" xfId="37452" xr:uid="{00000000-0005-0000-0000-0000ABC20000}"/>
    <cellStyle name="Normal 5 3 2 8 3" xfId="13705" xr:uid="{00000000-0005-0000-0000-0000ACC20000}"/>
    <cellStyle name="Normal 5 3 2 8 3 2" xfId="27273" xr:uid="{00000000-0005-0000-0000-0000ADC20000}"/>
    <cellStyle name="Normal 5 3 2 8 3 2 2" xfId="54406" xr:uid="{00000000-0005-0000-0000-0000AEC20000}"/>
    <cellStyle name="Normal 5 3 2 8 3 3" xfId="40844" xr:uid="{00000000-0005-0000-0000-0000AFC20000}"/>
    <cellStyle name="Normal 5 3 2 8 4" xfId="20492" xr:uid="{00000000-0005-0000-0000-0000B0C20000}"/>
    <cellStyle name="Normal 5 3 2 8 4 2" xfId="47625" xr:uid="{00000000-0005-0000-0000-0000B1C20000}"/>
    <cellStyle name="Normal 5 3 2 8 5" xfId="34063" xr:uid="{00000000-0005-0000-0000-0000B2C20000}"/>
    <cellStyle name="Normal 5 3 2 9" xfId="10267" xr:uid="{00000000-0005-0000-0000-0000B3C20000}"/>
    <cellStyle name="Normal 5 3 2 9 2" xfId="17056" xr:uid="{00000000-0005-0000-0000-0000B4C20000}"/>
    <cellStyle name="Normal 5 3 2 9 2 2" xfId="30624" xr:uid="{00000000-0005-0000-0000-0000B5C20000}"/>
    <cellStyle name="Normal 5 3 2 9 2 2 2" xfId="57757" xr:uid="{00000000-0005-0000-0000-0000B6C20000}"/>
    <cellStyle name="Normal 5 3 2 9 2 3" xfId="44195" xr:uid="{00000000-0005-0000-0000-0000B7C20000}"/>
    <cellStyle name="Normal 5 3 2 9 3" xfId="23843" xr:uid="{00000000-0005-0000-0000-0000B8C20000}"/>
    <cellStyle name="Normal 5 3 2 9 3 2" xfId="50976" xr:uid="{00000000-0005-0000-0000-0000B9C20000}"/>
    <cellStyle name="Normal 5 3 2 9 4" xfId="37414" xr:uid="{00000000-0005-0000-0000-0000BAC20000}"/>
    <cellStyle name="Normal 5 3 3" xfId="6775" xr:uid="{00000000-0005-0000-0000-0000BBC20000}"/>
    <cellStyle name="Normal 5 3 3 10" xfId="34064" xr:uid="{00000000-0005-0000-0000-0000BCC20000}"/>
    <cellStyle name="Normal 5 3 3 2" xfId="6776" xr:uid="{00000000-0005-0000-0000-0000BDC20000}"/>
    <cellStyle name="Normal 5 3 3 2 2" xfId="6777" xr:uid="{00000000-0005-0000-0000-0000BEC20000}"/>
    <cellStyle name="Normal 5 3 3 2 2 2" xfId="6778" xr:uid="{00000000-0005-0000-0000-0000BFC20000}"/>
    <cellStyle name="Normal 5 3 3 2 2 2 2" xfId="10309" xr:uid="{00000000-0005-0000-0000-0000C0C20000}"/>
    <cellStyle name="Normal 5 3 3 2 2 2 2 2" xfId="17098" xr:uid="{00000000-0005-0000-0000-0000C1C20000}"/>
    <cellStyle name="Normal 5 3 3 2 2 2 2 2 2" xfId="30666" xr:uid="{00000000-0005-0000-0000-0000C2C20000}"/>
    <cellStyle name="Normal 5 3 3 2 2 2 2 2 2 2" xfId="57799" xr:uid="{00000000-0005-0000-0000-0000C3C20000}"/>
    <cellStyle name="Normal 5 3 3 2 2 2 2 2 3" xfId="44237" xr:uid="{00000000-0005-0000-0000-0000C4C20000}"/>
    <cellStyle name="Normal 5 3 3 2 2 2 2 3" xfId="23885" xr:uid="{00000000-0005-0000-0000-0000C5C20000}"/>
    <cellStyle name="Normal 5 3 3 2 2 2 2 3 2" xfId="51018" xr:uid="{00000000-0005-0000-0000-0000C6C20000}"/>
    <cellStyle name="Normal 5 3 3 2 2 2 2 4" xfId="37456" xr:uid="{00000000-0005-0000-0000-0000C7C20000}"/>
    <cellStyle name="Normal 5 3 3 2 2 2 3" xfId="13709" xr:uid="{00000000-0005-0000-0000-0000C8C20000}"/>
    <cellStyle name="Normal 5 3 3 2 2 2 3 2" xfId="27277" xr:uid="{00000000-0005-0000-0000-0000C9C20000}"/>
    <cellStyle name="Normal 5 3 3 2 2 2 3 2 2" xfId="54410" xr:uid="{00000000-0005-0000-0000-0000CAC20000}"/>
    <cellStyle name="Normal 5 3 3 2 2 2 3 3" xfId="40848" xr:uid="{00000000-0005-0000-0000-0000CBC20000}"/>
    <cellStyle name="Normal 5 3 3 2 2 2 4" xfId="20496" xr:uid="{00000000-0005-0000-0000-0000CCC20000}"/>
    <cellStyle name="Normal 5 3 3 2 2 2 4 2" xfId="47629" xr:uid="{00000000-0005-0000-0000-0000CDC20000}"/>
    <cellStyle name="Normal 5 3 3 2 2 2 5" xfId="34067" xr:uid="{00000000-0005-0000-0000-0000CEC20000}"/>
    <cellStyle name="Normal 5 3 3 2 2 3" xfId="6779" xr:uid="{00000000-0005-0000-0000-0000CFC20000}"/>
    <cellStyle name="Normal 5 3 3 2 2 3 2" xfId="10310" xr:uid="{00000000-0005-0000-0000-0000D0C20000}"/>
    <cellStyle name="Normal 5 3 3 2 2 3 2 2" xfId="17099" xr:uid="{00000000-0005-0000-0000-0000D1C20000}"/>
    <cellStyle name="Normal 5 3 3 2 2 3 2 2 2" xfId="30667" xr:uid="{00000000-0005-0000-0000-0000D2C20000}"/>
    <cellStyle name="Normal 5 3 3 2 2 3 2 2 2 2" xfId="57800" xr:uid="{00000000-0005-0000-0000-0000D3C20000}"/>
    <cellStyle name="Normal 5 3 3 2 2 3 2 2 3" xfId="44238" xr:uid="{00000000-0005-0000-0000-0000D4C20000}"/>
    <cellStyle name="Normal 5 3 3 2 2 3 2 3" xfId="23886" xr:uid="{00000000-0005-0000-0000-0000D5C20000}"/>
    <cellStyle name="Normal 5 3 3 2 2 3 2 3 2" xfId="51019" xr:uid="{00000000-0005-0000-0000-0000D6C20000}"/>
    <cellStyle name="Normal 5 3 3 2 2 3 2 4" xfId="37457" xr:uid="{00000000-0005-0000-0000-0000D7C20000}"/>
    <cellStyle name="Normal 5 3 3 2 2 3 3" xfId="13710" xr:uid="{00000000-0005-0000-0000-0000D8C20000}"/>
    <cellStyle name="Normal 5 3 3 2 2 3 3 2" xfId="27278" xr:uid="{00000000-0005-0000-0000-0000D9C20000}"/>
    <cellStyle name="Normal 5 3 3 2 2 3 3 2 2" xfId="54411" xr:uid="{00000000-0005-0000-0000-0000DAC20000}"/>
    <cellStyle name="Normal 5 3 3 2 2 3 3 3" xfId="40849" xr:uid="{00000000-0005-0000-0000-0000DBC20000}"/>
    <cellStyle name="Normal 5 3 3 2 2 3 4" xfId="20497" xr:uid="{00000000-0005-0000-0000-0000DCC20000}"/>
    <cellStyle name="Normal 5 3 3 2 2 3 4 2" xfId="47630" xr:uid="{00000000-0005-0000-0000-0000DDC20000}"/>
    <cellStyle name="Normal 5 3 3 2 2 3 5" xfId="34068" xr:uid="{00000000-0005-0000-0000-0000DEC20000}"/>
    <cellStyle name="Normal 5 3 3 2 2 4" xfId="10308" xr:uid="{00000000-0005-0000-0000-0000DFC20000}"/>
    <cellStyle name="Normal 5 3 3 2 2 4 2" xfId="17097" xr:uid="{00000000-0005-0000-0000-0000E0C20000}"/>
    <cellStyle name="Normal 5 3 3 2 2 4 2 2" xfId="30665" xr:uid="{00000000-0005-0000-0000-0000E1C20000}"/>
    <cellStyle name="Normal 5 3 3 2 2 4 2 2 2" xfId="57798" xr:uid="{00000000-0005-0000-0000-0000E2C20000}"/>
    <cellStyle name="Normal 5 3 3 2 2 4 2 3" xfId="44236" xr:uid="{00000000-0005-0000-0000-0000E3C20000}"/>
    <cellStyle name="Normal 5 3 3 2 2 4 3" xfId="23884" xr:uid="{00000000-0005-0000-0000-0000E4C20000}"/>
    <cellStyle name="Normal 5 3 3 2 2 4 3 2" xfId="51017" xr:uid="{00000000-0005-0000-0000-0000E5C20000}"/>
    <cellStyle name="Normal 5 3 3 2 2 4 4" xfId="37455" xr:uid="{00000000-0005-0000-0000-0000E6C20000}"/>
    <cellStyle name="Normal 5 3 3 2 2 5" xfId="13708" xr:uid="{00000000-0005-0000-0000-0000E7C20000}"/>
    <cellStyle name="Normal 5 3 3 2 2 5 2" xfId="27276" xr:uid="{00000000-0005-0000-0000-0000E8C20000}"/>
    <cellStyle name="Normal 5 3 3 2 2 5 2 2" xfId="54409" xr:uid="{00000000-0005-0000-0000-0000E9C20000}"/>
    <cellStyle name="Normal 5 3 3 2 2 5 3" xfId="40847" xr:uid="{00000000-0005-0000-0000-0000EAC20000}"/>
    <cellStyle name="Normal 5 3 3 2 2 6" xfId="20495" xr:uid="{00000000-0005-0000-0000-0000EBC20000}"/>
    <cellStyle name="Normal 5 3 3 2 2 6 2" xfId="47628" xr:uid="{00000000-0005-0000-0000-0000ECC20000}"/>
    <cellStyle name="Normal 5 3 3 2 2 7" xfId="34066" xr:uid="{00000000-0005-0000-0000-0000EDC20000}"/>
    <cellStyle name="Normal 5 3 3 2 3" xfId="6780" xr:uid="{00000000-0005-0000-0000-0000EEC20000}"/>
    <cellStyle name="Normal 5 3 3 2 3 2" xfId="6781" xr:uid="{00000000-0005-0000-0000-0000EFC20000}"/>
    <cellStyle name="Normal 5 3 3 2 3 2 2" xfId="10312" xr:uid="{00000000-0005-0000-0000-0000F0C20000}"/>
    <cellStyle name="Normal 5 3 3 2 3 2 2 2" xfId="17101" xr:uid="{00000000-0005-0000-0000-0000F1C20000}"/>
    <cellStyle name="Normal 5 3 3 2 3 2 2 2 2" xfId="30669" xr:uid="{00000000-0005-0000-0000-0000F2C20000}"/>
    <cellStyle name="Normal 5 3 3 2 3 2 2 2 2 2" xfId="57802" xr:uid="{00000000-0005-0000-0000-0000F3C20000}"/>
    <cellStyle name="Normal 5 3 3 2 3 2 2 2 3" xfId="44240" xr:uid="{00000000-0005-0000-0000-0000F4C20000}"/>
    <cellStyle name="Normal 5 3 3 2 3 2 2 3" xfId="23888" xr:uid="{00000000-0005-0000-0000-0000F5C20000}"/>
    <cellStyle name="Normal 5 3 3 2 3 2 2 3 2" xfId="51021" xr:uid="{00000000-0005-0000-0000-0000F6C20000}"/>
    <cellStyle name="Normal 5 3 3 2 3 2 2 4" xfId="37459" xr:uid="{00000000-0005-0000-0000-0000F7C20000}"/>
    <cellStyle name="Normal 5 3 3 2 3 2 3" xfId="13712" xr:uid="{00000000-0005-0000-0000-0000F8C20000}"/>
    <cellStyle name="Normal 5 3 3 2 3 2 3 2" xfId="27280" xr:uid="{00000000-0005-0000-0000-0000F9C20000}"/>
    <cellStyle name="Normal 5 3 3 2 3 2 3 2 2" xfId="54413" xr:uid="{00000000-0005-0000-0000-0000FAC20000}"/>
    <cellStyle name="Normal 5 3 3 2 3 2 3 3" xfId="40851" xr:uid="{00000000-0005-0000-0000-0000FBC20000}"/>
    <cellStyle name="Normal 5 3 3 2 3 2 4" xfId="20499" xr:uid="{00000000-0005-0000-0000-0000FCC20000}"/>
    <cellStyle name="Normal 5 3 3 2 3 2 4 2" xfId="47632" xr:uid="{00000000-0005-0000-0000-0000FDC20000}"/>
    <cellStyle name="Normal 5 3 3 2 3 2 5" xfId="34070" xr:uid="{00000000-0005-0000-0000-0000FEC20000}"/>
    <cellStyle name="Normal 5 3 3 2 3 3" xfId="10311" xr:uid="{00000000-0005-0000-0000-0000FFC20000}"/>
    <cellStyle name="Normal 5 3 3 2 3 3 2" xfId="17100" xr:uid="{00000000-0005-0000-0000-000000C30000}"/>
    <cellStyle name="Normal 5 3 3 2 3 3 2 2" xfId="30668" xr:uid="{00000000-0005-0000-0000-000001C30000}"/>
    <cellStyle name="Normal 5 3 3 2 3 3 2 2 2" xfId="57801" xr:uid="{00000000-0005-0000-0000-000002C30000}"/>
    <cellStyle name="Normal 5 3 3 2 3 3 2 3" xfId="44239" xr:uid="{00000000-0005-0000-0000-000003C30000}"/>
    <cellStyle name="Normal 5 3 3 2 3 3 3" xfId="23887" xr:uid="{00000000-0005-0000-0000-000004C30000}"/>
    <cellStyle name="Normal 5 3 3 2 3 3 3 2" xfId="51020" xr:uid="{00000000-0005-0000-0000-000005C30000}"/>
    <cellStyle name="Normal 5 3 3 2 3 3 4" xfId="37458" xr:uid="{00000000-0005-0000-0000-000006C30000}"/>
    <cellStyle name="Normal 5 3 3 2 3 4" xfId="13711" xr:uid="{00000000-0005-0000-0000-000007C30000}"/>
    <cellStyle name="Normal 5 3 3 2 3 4 2" xfId="27279" xr:uid="{00000000-0005-0000-0000-000008C30000}"/>
    <cellStyle name="Normal 5 3 3 2 3 4 2 2" xfId="54412" xr:uid="{00000000-0005-0000-0000-000009C30000}"/>
    <cellStyle name="Normal 5 3 3 2 3 4 3" xfId="40850" xr:uid="{00000000-0005-0000-0000-00000AC30000}"/>
    <cellStyle name="Normal 5 3 3 2 3 5" xfId="20498" xr:uid="{00000000-0005-0000-0000-00000BC30000}"/>
    <cellStyle name="Normal 5 3 3 2 3 5 2" xfId="47631" xr:uid="{00000000-0005-0000-0000-00000CC30000}"/>
    <cellStyle name="Normal 5 3 3 2 3 6" xfId="34069" xr:uid="{00000000-0005-0000-0000-00000DC30000}"/>
    <cellStyle name="Normal 5 3 3 2 4" xfId="6782" xr:uid="{00000000-0005-0000-0000-00000EC30000}"/>
    <cellStyle name="Normal 5 3 3 2 4 2" xfId="10313" xr:uid="{00000000-0005-0000-0000-00000FC30000}"/>
    <cellStyle name="Normal 5 3 3 2 4 2 2" xfId="17102" xr:uid="{00000000-0005-0000-0000-000010C30000}"/>
    <cellStyle name="Normal 5 3 3 2 4 2 2 2" xfId="30670" xr:uid="{00000000-0005-0000-0000-000011C30000}"/>
    <cellStyle name="Normal 5 3 3 2 4 2 2 2 2" xfId="57803" xr:uid="{00000000-0005-0000-0000-000012C30000}"/>
    <cellStyle name="Normal 5 3 3 2 4 2 2 3" xfId="44241" xr:uid="{00000000-0005-0000-0000-000013C30000}"/>
    <cellStyle name="Normal 5 3 3 2 4 2 3" xfId="23889" xr:uid="{00000000-0005-0000-0000-000014C30000}"/>
    <cellStyle name="Normal 5 3 3 2 4 2 3 2" xfId="51022" xr:uid="{00000000-0005-0000-0000-000015C30000}"/>
    <cellStyle name="Normal 5 3 3 2 4 2 4" xfId="37460" xr:uid="{00000000-0005-0000-0000-000016C30000}"/>
    <cellStyle name="Normal 5 3 3 2 4 3" xfId="13713" xr:uid="{00000000-0005-0000-0000-000017C30000}"/>
    <cellStyle name="Normal 5 3 3 2 4 3 2" xfId="27281" xr:uid="{00000000-0005-0000-0000-000018C30000}"/>
    <cellStyle name="Normal 5 3 3 2 4 3 2 2" xfId="54414" xr:uid="{00000000-0005-0000-0000-000019C30000}"/>
    <cellStyle name="Normal 5 3 3 2 4 3 3" xfId="40852" xr:uid="{00000000-0005-0000-0000-00001AC30000}"/>
    <cellStyle name="Normal 5 3 3 2 4 4" xfId="20500" xr:uid="{00000000-0005-0000-0000-00001BC30000}"/>
    <cellStyle name="Normal 5 3 3 2 4 4 2" xfId="47633" xr:uid="{00000000-0005-0000-0000-00001CC30000}"/>
    <cellStyle name="Normal 5 3 3 2 4 5" xfId="34071" xr:uid="{00000000-0005-0000-0000-00001DC30000}"/>
    <cellStyle name="Normal 5 3 3 2 5" xfId="6783" xr:uid="{00000000-0005-0000-0000-00001EC30000}"/>
    <cellStyle name="Normal 5 3 3 2 5 2" xfId="10314" xr:uid="{00000000-0005-0000-0000-00001FC30000}"/>
    <cellStyle name="Normal 5 3 3 2 5 2 2" xfId="17103" xr:uid="{00000000-0005-0000-0000-000020C30000}"/>
    <cellStyle name="Normal 5 3 3 2 5 2 2 2" xfId="30671" xr:uid="{00000000-0005-0000-0000-000021C30000}"/>
    <cellStyle name="Normal 5 3 3 2 5 2 2 2 2" xfId="57804" xr:uid="{00000000-0005-0000-0000-000022C30000}"/>
    <cellStyle name="Normal 5 3 3 2 5 2 2 3" xfId="44242" xr:uid="{00000000-0005-0000-0000-000023C30000}"/>
    <cellStyle name="Normal 5 3 3 2 5 2 3" xfId="23890" xr:uid="{00000000-0005-0000-0000-000024C30000}"/>
    <cellStyle name="Normal 5 3 3 2 5 2 3 2" xfId="51023" xr:uid="{00000000-0005-0000-0000-000025C30000}"/>
    <cellStyle name="Normal 5 3 3 2 5 2 4" xfId="37461" xr:uid="{00000000-0005-0000-0000-000026C30000}"/>
    <cellStyle name="Normal 5 3 3 2 5 3" xfId="13714" xr:uid="{00000000-0005-0000-0000-000027C30000}"/>
    <cellStyle name="Normal 5 3 3 2 5 3 2" xfId="27282" xr:uid="{00000000-0005-0000-0000-000028C30000}"/>
    <cellStyle name="Normal 5 3 3 2 5 3 2 2" xfId="54415" xr:uid="{00000000-0005-0000-0000-000029C30000}"/>
    <cellStyle name="Normal 5 3 3 2 5 3 3" xfId="40853" xr:uid="{00000000-0005-0000-0000-00002AC30000}"/>
    <cellStyle name="Normal 5 3 3 2 5 4" xfId="20501" xr:uid="{00000000-0005-0000-0000-00002BC30000}"/>
    <cellStyle name="Normal 5 3 3 2 5 4 2" xfId="47634" xr:uid="{00000000-0005-0000-0000-00002CC30000}"/>
    <cellStyle name="Normal 5 3 3 2 5 5" xfId="34072" xr:uid="{00000000-0005-0000-0000-00002DC30000}"/>
    <cellStyle name="Normal 5 3 3 2 6" xfId="10307" xr:uid="{00000000-0005-0000-0000-00002EC30000}"/>
    <cellStyle name="Normal 5 3 3 2 6 2" xfId="17096" xr:uid="{00000000-0005-0000-0000-00002FC30000}"/>
    <cellStyle name="Normal 5 3 3 2 6 2 2" xfId="30664" xr:uid="{00000000-0005-0000-0000-000030C30000}"/>
    <cellStyle name="Normal 5 3 3 2 6 2 2 2" xfId="57797" xr:uid="{00000000-0005-0000-0000-000031C30000}"/>
    <cellStyle name="Normal 5 3 3 2 6 2 3" xfId="44235" xr:uid="{00000000-0005-0000-0000-000032C30000}"/>
    <cellStyle name="Normal 5 3 3 2 6 3" xfId="23883" xr:uid="{00000000-0005-0000-0000-000033C30000}"/>
    <cellStyle name="Normal 5 3 3 2 6 3 2" xfId="51016" xr:uid="{00000000-0005-0000-0000-000034C30000}"/>
    <cellStyle name="Normal 5 3 3 2 6 4" xfId="37454" xr:uid="{00000000-0005-0000-0000-000035C30000}"/>
    <cellStyle name="Normal 5 3 3 2 7" xfId="13707" xr:uid="{00000000-0005-0000-0000-000036C30000}"/>
    <cellStyle name="Normal 5 3 3 2 7 2" xfId="27275" xr:uid="{00000000-0005-0000-0000-000037C30000}"/>
    <cellStyle name="Normal 5 3 3 2 7 2 2" xfId="54408" xr:uid="{00000000-0005-0000-0000-000038C30000}"/>
    <cellStyle name="Normal 5 3 3 2 7 3" xfId="40846" xr:uid="{00000000-0005-0000-0000-000039C30000}"/>
    <cellStyle name="Normal 5 3 3 2 8" xfId="20494" xr:uid="{00000000-0005-0000-0000-00003AC30000}"/>
    <cellStyle name="Normal 5 3 3 2 8 2" xfId="47627" xr:uid="{00000000-0005-0000-0000-00003BC30000}"/>
    <cellStyle name="Normal 5 3 3 2 9" xfId="34065" xr:uid="{00000000-0005-0000-0000-00003CC30000}"/>
    <cellStyle name="Normal 5 3 3 3" xfId="6784" xr:uid="{00000000-0005-0000-0000-00003DC30000}"/>
    <cellStyle name="Normal 5 3 3 3 2" xfId="6785" xr:uid="{00000000-0005-0000-0000-00003EC30000}"/>
    <cellStyle name="Normal 5 3 3 3 2 2" xfId="10316" xr:uid="{00000000-0005-0000-0000-00003FC30000}"/>
    <cellStyle name="Normal 5 3 3 3 2 2 2" xfId="17105" xr:uid="{00000000-0005-0000-0000-000040C30000}"/>
    <cellStyle name="Normal 5 3 3 3 2 2 2 2" xfId="30673" xr:uid="{00000000-0005-0000-0000-000041C30000}"/>
    <cellStyle name="Normal 5 3 3 3 2 2 2 2 2" xfId="57806" xr:uid="{00000000-0005-0000-0000-000042C30000}"/>
    <cellStyle name="Normal 5 3 3 3 2 2 2 3" xfId="44244" xr:uid="{00000000-0005-0000-0000-000043C30000}"/>
    <cellStyle name="Normal 5 3 3 3 2 2 3" xfId="23892" xr:uid="{00000000-0005-0000-0000-000044C30000}"/>
    <cellStyle name="Normal 5 3 3 3 2 2 3 2" xfId="51025" xr:uid="{00000000-0005-0000-0000-000045C30000}"/>
    <cellStyle name="Normal 5 3 3 3 2 2 4" xfId="37463" xr:uid="{00000000-0005-0000-0000-000046C30000}"/>
    <cellStyle name="Normal 5 3 3 3 2 3" xfId="13716" xr:uid="{00000000-0005-0000-0000-000047C30000}"/>
    <cellStyle name="Normal 5 3 3 3 2 3 2" xfId="27284" xr:uid="{00000000-0005-0000-0000-000048C30000}"/>
    <cellStyle name="Normal 5 3 3 3 2 3 2 2" xfId="54417" xr:uid="{00000000-0005-0000-0000-000049C30000}"/>
    <cellStyle name="Normal 5 3 3 3 2 3 3" xfId="40855" xr:uid="{00000000-0005-0000-0000-00004AC30000}"/>
    <cellStyle name="Normal 5 3 3 3 2 4" xfId="20503" xr:uid="{00000000-0005-0000-0000-00004BC30000}"/>
    <cellStyle name="Normal 5 3 3 3 2 4 2" xfId="47636" xr:uid="{00000000-0005-0000-0000-00004CC30000}"/>
    <cellStyle name="Normal 5 3 3 3 2 5" xfId="34074" xr:uid="{00000000-0005-0000-0000-00004DC30000}"/>
    <cellStyle name="Normal 5 3 3 3 3" xfId="6786" xr:uid="{00000000-0005-0000-0000-00004EC30000}"/>
    <cellStyle name="Normal 5 3 3 3 3 2" xfId="10317" xr:uid="{00000000-0005-0000-0000-00004FC30000}"/>
    <cellStyle name="Normal 5 3 3 3 3 2 2" xfId="17106" xr:uid="{00000000-0005-0000-0000-000050C30000}"/>
    <cellStyle name="Normal 5 3 3 3 3 2 2 2" xfId="30674" xr:uid="{00000000-0005-0000-0000-000051C30000}"/>
    <cellStyle name="Normal 5 3 3 3 3 2 2 2 2" xfId="57807" xr:uid="{00000000-0005-0000-0000-000052C30000}"/>
    <cellStyle name="Normal 5 3 3 3 3 2 2 3" xfId="44245" xr:uid="{00000000-0005-0000-0000-000053C30000}"/>
    <cellStyle name="Normal 5 3 3 3 3 2 3" xfId="23893" xr:uid="{00000000-0005-0000-0000-000054C30000}"/>
    <cellStyle name="Normal 5 3 3 3 3 2 3 2" xfId="51026" xr:uid="{00000000-0005-0000-0000-000055C30000}"/>
    <cellStyle name="Normal 5 3 3 3 3 2 4" xfId="37464" xr:uid="{00000000-0005-0000-0000-000056C30000}"/>
    <cellStyle name="Normal 5 3 3 3 3 3" xfId="13717" xr:uid="{00000000-0005-0000-0000-000057C30000}"/>
    <cellStyle name="Normal 5 3 3 3 3 3 2" xfId="27285" xr:uid="{00000000-0005-0000-0000-000058C30000}"/>
    <cellStyle name="Normal 5 3 3 3 3 3 2 2" xfId="54418" xr:uid="{00000000-0005-0000-0000-000059C30000}"/>
    <cellStyle name="Normal 5 3 3 3 3 3 3" xfId="40856" xr:uid="{00000000-0005-0000-0000-00005AC30000}"/>
    <cellStyle name="Normal 5 3 3 3 3 4" xfId="20504" xr:uid="{00000000-0005-0000-0000-00005BC30000}"/>
    <cellStyle name="Normal 5 3 3 3 3 4 2" xfId="47637" xr:uid="{00000000-0005-0000-0000-00005CC30000}"/>
    <cellStyle name="Normal 5 3 3 3 3 5" xfId="34075" xr:uid="{00000000-0005-0000-0000-00005DC30000}"/>
    <cellStyle name="Normal 5 3 3 3 4" xfId="10315" xr:uid="{00000000-0005-0000-0000-00005EC30000}"/>
    <cellStyle name="Normal 5 3 3 3 4 2" xfId="17104" xr:uid="{00000000-0005-0000-0000-00005FC30000}"/>
    <cellStyle name="Normal 5 3 3 3 4 2 2" xfId="30672" xr:uid="{00000000-0005-0000-0000-000060C30000}"/>
    <cellStyle name="Normal 5 3 3 3 4 2 2 2" xfId="57805" xr:uid="{00000000-0005-0000-0000-000061C30000}"/>
    <cellStyle name="Normal 5 3 3 3 4 2 3" xfId="44243" xr:uid="{00000000-0005-0000-0000-000062C30000}"/>
    <cellStyle name="Normal 5 3 3 3 4 3" xfId="23891" xr:uid="{00000000-0005-0000-0000-000063C30000}"/>
    <cellStyle name="Normal 5 3 3 3 4 3 2" xfId="51024" xr:uid="{00000000-0005-0000-0000-000064C30000}"/>
    <cellStyle name="Normal 5 3 3 3 4 4" xfId="37462" xr:uid="{00000000-0005-0000-0000-000065C30000}"/>
    <cellStyle name="Normal 5 3 3 3 5" xfId="13715" xr:uid="{00000000-0005-0000-0000-000066C30000}"/>
    <cellStyle name="Normal 5 3 3 3 5 2" xfId="27283" xr:uid="{00000000-0005-0000-0000-000067C30000}"/>
    <cellStyle name="Normal 5 3 3 3 5 2 2" xfId="54416" xr:uid="{00000000-0005-0000-0000-000068C30000}"/>
    <cellStyle name="Normal 5 3 3 3 5 3" xfId="40854" xr:uid="{00000000-0005-0000-0000-000069C30000}"/>
    <cellStyle name="Normal 5 3 3 3 6" xfId="20502" xr:uid="{00000000-0005-0000-0000-00006AC30000}"/>
    <cellStyle name="Normal 5 3 3 3 6 2" xfId="47635" xr:uid="{00000000-0005-0000-0000-00006BC30000}"/>
    <cellStyle name="Normal 5 3 3 3 7" xfId="34073" xr:uid="{00000000-0005-0000-0000-00006CC30000}"/>
    <cellStyle name="Normal 5 3 3 4" xfId="6787" xr:uid="{00000000-0005-0000-0000-00006DC30000}"/>
    <cellStyle name="Normal 5 3 3 4 2" xfId="6788" xr:uid="{00000000-0005-0000-0000-00006EC30000}"/>
    <cellStyle name="Normal 5 3 3 4 2 2" xfId="10319" xr:uid="{00000000-0005-0000-0000-00006FC30000}"/>
    <cellStyle name="Normal 5 3 3 4 2 2 2" xfId="17108" xr:uid="{00000000-0005-0000-0000-000070C30000}"/>
    <cellStyle name="Normal 5 3 3 4 2 2 2 2" xfId="30676" xr:uid="{00000000-0005-0000-0000-000071C30000}"/>
    <cellStyle name="Normal 5 3 3 4 2 2 2 2 2" xfId="57809" xr:uid="{00000000-0005-0000-0000-000072C30000}"/>
    <cellStyle name="Normal 5 3 3 4 2 2 2 3" xfId="44247" xr:uid="{00000000-0005-0000-0000-000073C30000}"/>
    <cellStyle name="Normal 5 3 3 4 2 2 3" xfId="23895" xr:uid="{00000000-0005-0000-0000-000074C30000}"/>
    <cellStyle name="Normal 5 3 3 4 2 2 3 2" xfId="51028" xr:uid="{00000000-0005-0000-0000-000075C30000}"/>
    <cellStyle name="Normal 5 3 3 4 2 2 4" xfId="37466" xr:uid="{00000000-0005-0000-0000-000076C30000}"/>
    <cellStyle name="Normal 5 3 3 4 2 3" xfId="13719" xr:uid="{00000000-0005-0000-0000-000077C30000}"/>
    <cellStyle name="Normal 5 3 3 4 2 3 2" xfId="27287" xr:uid="{00000000-0005-0000-0000-000078C30000}"/>
    <cellStyle name="Normal 5 3 3 4 2 3 2 2" xfId="54420" xr:uid="{00000000-0005-0000-0000-000079C30000}"/>
    <cellStyle name="Normal 5 3 3 4 2 3 3" xfId="40858" xr:uid="{00000000-0005-0000-0000-00007AC30000}"/>
    <cellStyle name="Normal 5 3 3 4 2 4" xfId="20506" xr:uid="{00000000-0005-0000-0000-00007BC30000}"/>
    <cellStyle name="Normal 5 3 3 4 2 4 2" xfId="47639" xr:uid="{00000000-0005-0000-0000-00007CC30000}"/>
    <cellStyle name="Normal 5 3 3 4 2 5" xfId="34077" xr:uid="{00000000-0005-0000-0000-00007DC30000}"/>
    <cellStyle name="Normal 5 3 3 4 3" xfId="10318" xr:uid="{00000000-0005-0000-0000-00007EC30000}"/>
    <cellStyle name="Normal 5 3 3 4 3 2" xfId="17107" xr:uid="{00000000-0005-0000-0000-00007FC30000}"/>
    <cellStyle name="Normal 5 3 3 4 3 2 2" xfId="30675" xr:uid="{00000000-0005-0000-0000-000080C30000}"/>
    <cellStyle name="Normal 5 3 3 4 3 2 2 2" xfId="57808" xr:uid="{00000000-0005-0000-0000-000081C30000}"/>
    <cellStyle name="Normal 5 3 3 4 3 2 3" xfId="44246" xr:uid="{00000000-0005-0000-0000-000082C30000}"/>
    <cellStyle name="Normal 5 3 3 4 3 3" xfId="23894" xr:uid="{00000000-0005-0000-0000-000083C30000}"/>
    <cellStyle name="Normal 5 3 3 4 3 3 2" xfId="51027" xr:uid="{00000000-0005-0000-0000-000084C30000}"/>
    <cellStyle name="Normal 5 3 3 4 3 4" xfId="37465" xr:uid="{00000000-0005-0000-0000-000085C30000}"/>
    <cellStyle name="Normal 5 3 3 4 4" xfId="13718" xr:uid="{00000000-0005-0000-0000-000086C30000}"/>
    <cellStyle name="Normal 5 3 3 4 4 2" xfId="27286" xr:uid="{00000000-0005-0000-0000-000087C30000}"/>
    <cellStyle name="Normal 5 3 3 4 4 2 2" xfId="54419" xr:uid="{00000000-0005-0000-0000-000088C30000}"/>
    <cellStyle name="Normal 5 3 3 4 4 3" xfId="40857" xr:uid="{00000000-0005-0000-0000-000089C30000}"/>
    <cellStyle name="Normal 5 3 3 4 5" xfId="20505" xr:uid="{00000000-0005-0000-0000-00008AC30000}"/>
    <cellStyle name="Normal 5 3 3 4 5 2" xfId="47638" xr:uid="{00000000-0005-0000-0000-00008BC30000}"/>
    <cellStyle name="Normal 5 3 3 4 6" xfId="34076" xr:uid="{00000000-0005-0000-0000-00008CC30000}"/>
    <cellStyle name="Normal 5 3 3 5" xfId="6789" xr:uid="{00000000-0005-0000-0000-00008DC30000}"/>
    <cellStyle name="Normal 5 3 3 5 2" xfId="10320" xr:uid="{00000000-0005-0000-0000-00008EC30000}"/>
    <cellStyle name="Normal 5 3 3 5 2 2" xfId="17109" xr:uid="{00000000-0005-0000-0000-00008FC30000}"/>
    <cellStyle name="Normal 5 3 3 5 2 2 2" xfId="30677" xr:uid="{00000000-0005-0000-0000-000090C30000}"/>
    <cellStyle name="Normal 5 3 3 5 2 2 2 2" xfId="57810" xr:uid="{00000000-0005-0000-0000-000091C30000}"/>
    <cellStyle name="Normal 5 3 3 5 2 2 3" xfId="44248" xr:uid="{00000000-0005-0000-0000-000092C30000}"/>
    <cellStyle name="Normal 5 3 3 5 2 3" xfId="23896" xr:uid="{00000000-0005-0000-0000-000093C30000}"/>
    <cellStyle name="Normal 5 3 3 5 2 3 2" xfId="51029" xr:uid="{00000000-0005-0000-0000-000094C30000}"/>
    <cellStyle name="Normal 5 3 3 5 2 4" xfId="37467" xr:uid="{00000000-0005-0000-0000-000095C30000}"/>
    <cellStyle name="Normal 5 3 3 5 3" xfId="13720" xr:uid="{00000000-0005-0000-0000-000096C30000}"/>
    <cellStyle name="Normal 5 3 3 5 3 2" xfId="27288" xr:uid="{00000000-0005-0000-0000-000097C30000}"/>
    <cellStyle name="Normal 5 3 3 5 3 2 2" xfId="54421" xr:uid="{00000000-0005-0000-0000-000098C30000}"/>
    <cellStyle name="Normal 5 3 3 5 3 3" xfId="40859" xr:uid="{00000000-0005-0000-0000-000099C30000}"/>
    <cellStyle name="Normal 5 3 3 5 4" xfId="20507" xr:uid="{00000000-0005-0000-0000-00009AC30000}"/>
    <cellStyle name="Normal 5 3 3 5 4 2" xfId="47640" xr:uid="{00000000-0005-0000-0000-00009BC30000}"/>
    <cellStyle name="Normal 5 3 3 5 5" xfId="34078" xr:uid="{00000000-0005-0000-0000-00009CC30000}"/>
    <cellStyle name="Normal 5 3 3 6" xfId="6790" xr:uid="{00000000-0005-0000-0000-00009DC30000}"/>
    <cellStyle name="Normal 5 3 3 6 2" xfId="10321" xr:uid="{00000000-0005-0000-0000-00009EC30000}"/>
    <cellStyle name="Normal 5 3 3 6 2 2" xfId="17110" xr:uid="{00000000-0005-0000-0000-00009FC30000}"/>
    <cellStyle name="Normal 5 3 3 6 2 2 2" xfId="30678" xr:uid="{00000000-0005-0000-0000-0000A0C30000}"/>
    <cellStyle name="Normal 5 3 3 6 2 2 2 2" xfId="57811" xr:uid="{00000000-0005-0000-0000-0000A1C30000}"/>
    <cellStyle name="Normal 5 3 3 6 2 2 3" xfId="44249" xr:uid="{00000000-0005-0000-0000-0000A2C30000}"/>
    <cellStyle name="Normal 5 3 3 6 2 3" xfId="23897" xr:uid="{00000000-0005-0000-0000-0000A3C30000}"/>
    <cellStyle name="Normal 5 3 3 6 2 3 2" xfId="51030" xr:uid="{00000000-0005-0000-0000-0000A4C30000}"/>
    <cellStyle name="Normal 5 3 3 6 2 4" xfId="37468" xr:uid="{00000000-0005-0000-0000-0000A5C30000}"/>
    <cellStyle name="Normal 5 3 3 6 3" xfId="13721" xr:uid="{00000000-0005-0000-0000-0000A6C30000}"/>
    <cellStyle name="Normal 5 3 3 6 3 2" xfId="27289" xr:uid="{00000000-0005-0000-0000-0000A7C30000}"/>
    <cellStyle name="Normal 5 3 3 6 3 2 2" xfId="54422" xr:uid="{00000000-0005-0000-0000-0000A8C30000}"/>
    <cellStyle name="Normal 5 3 3 6 3 3" xfId="40860" xr:uid="{00000000-0005-0000-0000-0000A9C30000}"/>
    <cellStyle name="Normal 5 3 3 6 4" xfId="20508" xr:uid="{00000000-0005-0000-0000-0000AAC30000}"/>
    <cellStyle name="Normal 5 3 3 6 4 2" xfId="47641" xr:uid="{00000000-0005-0000-0000-0000ABC30000}"/>
    <cellStyle name="Normal 5 3 3 6 5" xfId="34079" xr:uid="{00000000-0005-0000-0000-0000ACC30000}"/>
    <cellStyle name="Normal 5 3 3 7" xfId="10306" xr:uid="{00000000-0005-0000-0000-0000ADC30000}"/>
    <cellStyle name="Normal 5 3 3 7 2" xfId="17095" xr:uid="{00000000-0005-0000-0000-0000AEC30000}"/>
    <cellStyle name="Normal 5 3 3 7 2 2" xfId="30663" xr:uid="{00000000-0005-0000-0000-0000AFC30000}"/>
    <cellStyle name="Normal 5 3 3 7 2 2 2" xfId="57796" xr:uid="{00000000-0005-0000-0000-0000B0C30000}"/>
    <cellStyle name="Normal 5 3 3 7 2 3" xfId="44234" xr:uid="{00000000-0005-0000-0000-0000B1C30000}"/>
    <cellStyle name="Normal 5 3 3 7 3" xfId="23882" xr:uid="{00000000-0005-0000-0000-0000B2C30000}"/>
    <cellStyle name="Normal 5 3 3 7 3 2" xfId="51015" xr:uid="{00000000-0005-0000-0000-0000B3C30000}"/>
    <cellStyle name="Normal 5 3 3 7 4" xfId="37453" xr:uid="{00000000-0005-0000-0000-0000B4C30000}"/>
    <cellStyle name="Normal 5 3 3 8" xfId="13706" xr:uid="{00000000-0005-0000-0000-0000B5C30000}"/>
    <cellStyle name="Normal 5 3 3 8 2" xfId="27274" xr:uid="{00000000-0005-0000-0000-0000B6C30000}"/>
    <cellStyle name="Normal 5 3 3 8 2 2" xfId="54407" xr:uid="{00000000-0005-0000-0000-0000B7C30000}"/>
    <cellStyle name="Normal 5 3 3 8 3" xfId="40845" xr:uid="{00000000-0005-0000-0000-0000B8C30000}"/>
    <cellStyle name="Normal 5 3 3 9" xfId="20493" xr:uid="{00000000-0005-0000-0000-0000B9C30000}"/>
    <cellStyle name="Normal 5 3 3 9 2" xfId="47626" xr:uid="{00000000-0005-0000-0000-0000BAC30000}"/>
    <cellStyle name="Normal 5 3 4" xfId="6791" xr:uid="{00000000-0005-0000-0000-0000BBC30000}"/>
    <cellStyle name="Normal 5 3 4 2" xfId="6792" xr:uid="{00000000-0005-0000-0000-0000BCC30000}"/>
    <cellStyle name="Normal 5 3 4 2 2" xfId="6793" xr:uid="{00000000-0005-0000-0000-0000BDC30000}"/>
    <cellStyle name="Normal 5 3 4 2 2 2" xfId="10324" xr:uid="{00000000-0005-0000-0000-0000BEC30000}"/>
    <cellStyle name="Normal 5 3 4 2 2 2 2" xfId="17113" xr:uid="{00000000-0005-0000-0000-0000BFC30000}"/>
    <cellStyle name="Normal 5 3 4 2 2 2 2 2" xfId="30681" xr:uid="{00000000-0005-0000-0000-0000C0C30000}"/>
    <cellStyle name="Normal 5 3 4 2 2 2 2 2 2" xfId="57814" xr:uid="{00000000-0005-0000-0000-0000C1C30000}"/>
    <cellStyle name="Normal 5 3 4 2 2 2 2 3" xfId="44252" xr:uid="{00000000-0005-0000-0000-0000C2C30000}"/>
    <cellStyle name="Normal 5 3 4 2 2 2 3" xfId="23900" xr:uid="{00000000-0005-0000-0000-0000C3C30000}"/>
    <cellStyle name="Normal 5 3 4 2 2 2 3 2" xfId="51033" xr:uid="{00000000-0005-0000-0000-0000C4C30000}"/>
    <cellStyle name="Normal 5 3 4 2 2 2 4" xfId="37471" xr:uid="{00000000-0005-0000-0000-0000C5C30000}"/>
    <cellStyle name="Normal 5 3 4 2 2 3" xfId="13724" xr:uid="{00000000-0005-0000-0000-0000C6C30000}"/>
    <cellStyle name="Normal 5 3 4 2 2 3 2" xfId="27292" xr:uid="{00000000-0005-0000-0000-0000C7C30000}"/>
    <cellStyle name="Normal 5 3 4 2 2 3 2 2" xfId="54425" xr:uid="{00000000-0005-0000-0000-0000C8C30000}"/>
    <cellStyle name="Normal 5 3 4 2 2 3 3" xfId="40863" xr:uid="{00000000-0005-0000-0000-0000C9C30000}"/>
    <cellStyle name="Normal 5 3 4 2 2 4" xfId="20511" xr:uid="{00000000-0005-0000-0000-0000CAC30000}"/>
    <cellStyle name="Normal 5 3 4 2 2 4 2" xfId="47644" xr:uid="{00000000-0005-0000-0000-0000CBC30000}"/>
    <cellStyle name="Normal 5 3 4 2 2 5" xfId="34082" xr:uid="{00000000-0005-0000-0000-0000CCC30000}"/>
    <cellStyle name="Normal 5 3 4 2 3" xfId="6794" xr:uid="{00000000-0005-0000-0000-0000CDC30000}"/>
    <cellStyle name="Normal 5 3 4 2 3 2" xfId="10325" xr:uid="{00000000-0005-0000-0000-0000CEC30000}"/>
    <cellStyle name="Normal 5 3 4 2 3 2 2" xfId="17114" xr:uid="{00000000-0005-0000-0000-0000CFC30000}"/>
    <cellStyle name="Normal 5 3 4 2 3 2 2 2" xfId="30682" xr:uid="{00000000-0005-0000-0000-0000D0C30000}"/>
    <cellStyle name="Normal 5 3 4 2 3 2 2 2 2" xfId="57815" xr:uid="{00000000-0005-0000-0000-0000D1C30000}"/>
    <cellStyle name="Normal 5 3 4 2 3 2 2 3" xfId="44253" xr:uid="{00000000-0005-0000-0000-0000D2C30000}"/>
    <cellStyle name="Normal 5 3 4 2 3 2 3" xfId="23901" xr:uid="{00000000-0005-0000-0000-0000D3C30000}"/>
    <cellStyle name="Normal 5 3 4 2 3 2 3 2" xfId="51034" xr:uid="{00000000-0005-0000-0000-0000D4C30000}"/>
    <cellStyle name="Normal 5 3 4 2 3 2 4" xfId="37472" xr:uid="{00000000-0005-0000-0000-0000D5C30000}"/>
    <cellStyle name="Normal 5 3 4 2 3 3" xfId="13725" xr:uid="{00000000-0005-0000-0000-0000D6C30000}"/>
    <cellStyle name="Normal 5 3 4 2 3 3 2" xfId="27293" xr:uid="{00000000-0005-0000-0000-0000D7C30000}"/>
    <cellStyle name="Normal 5 3 4 2 3 3 2 2" xfId="54426" xr:uid="{00000000-0005-0000-0000-0000D8C30000}"/>
    <cellStyle name="Normal 5 3 4 2 3 3 3" xfId="40864" xr:uid="{00000000-0005-0000-0000-0000D9C30000}"/>
    <cellStyle name="Normal 5 3 4 2 3 4" xfId="20512" xr:uid="{00000000-0005-0000-0000-0000DAC30000}"/>
    <cellStyle name="Normal 5 3 4 2 3 4 2" xfId="47645" xr:uid="{00000000-0005-0000-0000-0000DBC30000}"/>
    <cellStyle name="Normal 5 3 4 2 3 5" xfId="34083" xr:uid="{00000000-0005-0000-0000-0000DCC30000}"/>
    <cellStyle name="Normal 5 3 4 2 4" xfId="10323" xr:uid="{00000000-0005-0000-0000-0000DDC30000}"/>
    <cellStyle name="Normal 5 3 4 2 4 2" xfId="17112" xr:uid="{00000000-0005-0000-0000-0000DEC30000}"/>
    <cellStyle name="Normal 5 3 4 2 4 2 2" xfId="30680" xr:uid="{00000000-0005-0000-0000-0000DFC30000}"/>
    <cellStyle name="Normal 5 3 4 2 4 2 2 2" xfId="57813" xr:uid="{00000000-0005-0000-0000-0000E0C30000}"/>
    <cellStyle name="Normal 5 3 4 2 4 2 3" xfId="44251" xr:uid="{00000000-0005-0000-0000-0000E1C30000}"/>
    <cellStyle name="Normal 5 3 4 2 4 3" xfId="23899" xr:uid="{00000000-0005-0000-0000-0000E2C30000}"/>
    <cellStyle name="Normal 5 3 4 2 4 3 2" xfId="51032" xr:uid="{00000000-0005-0000-0000-0000E3C30000}"/>
    <cellStyle name="Normal 5 3 4 2 4 4" xfId="37470" xr:uid="{00000000-0005-0000-0000-0000E4C30000}"/>
    <cellStyle name="Normal 5 3 4 2 5" xfId="13723" xr:uid="{00000000-0005-0000-0000-0000E5C30000}"/>
    <cellStyle name="Normal 5 3 4 2 5 2" xfId="27291" xr:uid="{00000000-0005-0000-0000-0000E6C30000}"/>
    <cellStyle name="Normal 5 3 4 2 5 2 2" xfId="54424" xr:uid="{00000000-0005-0000-0000-0000E7C30000}"/>
    <cellStyle name="Normal 5 3 4 2 5 3" xfId="40862" xr:uid="{00000000-0005-0000-0000-0000E8C30000}"/>
    <cellStyle name="Normal 5 3 4 2 6" xfId="20510" xr:uid="{00000000-0005-0000-0000-0000E9C30000}"/>
    <cellStyle name="Normal 5 3 4 2 6 2" xfId="47643" xr:uid="{00000000-0005-0000-0000-0000EAC30000}"/>
    <cellStyle name="Normal 5 3 4 2 7" xfId="34081" xr:uid="{00000000-0005-0000-0000-0000EBC30000}"/>
    <cellStyle name="Normal 5 3 4 3" xfId="6795" xr:uid="{00000000-0005-0000-0000-0000ECC30000}"/>
    <cellStyle name="Normal 5 3 4 3 2" xfId="6796" xr:uid="{00000000-0005-0000-0000-0000EDC30000}"/>
    <cellStyle name="Normal 5 3 4 3 2 2" xfId="10327" xr:uid="{00000000-0005-0000-0000-0000EEC30000}"/>
    <cellStyle name="Normal 5 3 4 3 2 2 2" xfId="17116" xr:uid="{00000000-0005-0000-0000-0000EFC30000}"/>
    <cellStyle name="Normal 5 3 4 3 2 2 2 2" xfId="30684" xr:uid="{00000000-0005-0000-0000-0000F0C30000}"/>
    <cellStyle name="Normal 5 3 4 3 2 2 2 2 2" xfId="57817" xr:uid="{00000000-0005-0000-0000-0000F1C30000}"/>
    <cellStyle name="Normal 5 3 4 3 2 2 2 3" xfId="44255" xr:uid="{00000000-0005-0000-0000-0000F2C30000}"/>
    <cellStyle name="Normal 5 3 4 3 2 2 3" xfId="23903" xr:uid="{00000000-0005-0000-0000-0000F3C30000}"/>
    <cellStyle name="Normal 5 3 4 3 2 2 3 2" xfId="51036" xr:uid="{00000000-0005-0000-0000-0000F4C30000}"/>
    <cellStyle name="Normal 5 3 4 3 2 2 4" xfId="37474" xr:uid="{00000000-0005-0000-0000-0000F5C30000}"/>
    <cellStyle name="Normal 5 3 4 3 2 3" xfId="13727" xr:uid="{00000000-0005-0000-0000-0000F6C30000}"/>
    <cellStyle name="Normal 5 3 4 3 2 3 2" xfId="27295" xr:uid="{00000000-0005-0000-0000-0000F7C30000}"/>
    <cellStyle name="Normal 5 3 4 3 2 3 2 2" xfId="54428" xr:uid="{00000000-0005-0000-0000-0000F8C30000}"/>
    <cellStyle name="Normal 5 3 4 3 2 3 3" xfId="40866" xr:uid="{00000000-0005-0000-0000-0000F9C30000}"/>
    <cellStyle name="Normal 5 3 4 3 2 4" xfId="20514" xr:uid="{00000000-0005-0000-0000-0000FAC30000}"/>
    <cellStyle name="Normal 5 3 4 3 2 4 2" xfId="47647" xr:uid="{00000000-0005-0000-0000-0000FBC30000}"/>
    <cellStyle name="Normal 5 3 4 3 2 5" xfId="34085" xr:uid="{00000000-0005-0000-0000-0000FCC30000}"/>
    <cellStyle name="Normal 5 3 4 3 3" xfId="10326" xr:uid="{00000000-0005-0000-0000-0000FDC30000}"/>
    <cellStyle name="Normal 5 3 4 3 3 2" xfId="17115" xr:uid="{00000000-0005-0000-0000-0000FEC30000}"/>
    <cellStyle name="Normal 5 3 4 3 3 2 2" xfId="30683" xr:uid="{00000000-0005-0000-0000-0000FFC30000}"/>
    <cellStyle name="Normal 5 3 4 3 3 2 2 2" xfId="57816" xr:uid="{00000000-0005-0000-0000-000000C40000}"/>
    <cellStyle name="Normal 5 3 4 3 3 2 3" xfId="44254" xr:uid="{00000000-0005-0000-0000-000001C40000}"/>
    <cellStyle name="Normal 5 3 4 3 3 3" xfId="23902" xr:uid="{00000000-0005-0000-0000-000002C40000}"/>
    <cellStyle name="Normal 5 3 4 3 3 3 2" xfId="51035" xr:uid="{00000000-0005-0000-0000-000003C40000}"/>
    <cellStyle name="Normal 5 3 4 3 3 4" xfId="37473" xr:uid="{00000000-0005-0000-0000-000004C40000}"/>
    <cellStyle name="Normal 5 3 4 3 4" xfId="13726" xr:uid="{00000000-0005-0000-0000-000005C40000}"/>
    <cellStyle name="Normal 5 3 4 3 4 2" xfId="27294" xr:uid="{00000000-0005-0000-0000-000006C40000}"/>
    <cellStyle name="Normal 5 3 4 3 4 2 2" xfId="54427" xr:uid="{00000000-0005-0000-0000-000007C40000}"/>
    <cellStyle name="Normal 5 3 4 3 4 3" xfId="40865" xr:uid="{00000000-0005-0000-0000-000008C40000}"/>
    <cellStyle name="Normal 5 3 4 3 5" xfId="20513" xr:uid="{00000000-0005-0000-0000-000009C40000}"/>
    <cellStyle name="Normal 5 3 4 3 5 2" xfId="47646" xr:uid="{00000000-0005-0000-0000-00000AC40000}"/>
    <cellStyle name="Normal 5 3 4 3 6" xfId="34084" xr:uid="{00000000-0005-0000-0000-00000BC40000}"/>
    <cellStyle name="Normal 5 3 4 4" xfId="6797" xr:uid="{00000000-0005-0000-0000-00000CC40000}"/>
    <cellStyle name="Normal 5 3 4 4 2" xfId="10328" xr:uid="{00000000-0005-0000-0000-00000DC40000}"/>
    <cellStyle name="Normal 5 3 4 4 2 2" xfId="17117" xr:uid="{00000000-0005-0000-0000-00000EC40000}"/>
    <cellStyle name="Normal 5 3 4 4 2 2 2" xfId="30685" xr:uid="{00000000-0005-0000-0000-00000FC40000}"/>
    <cellStyle name="Normal 5 3 4 4 2 2 2 2" xfId="57818" xr:uid="{00000000-0005-0000-0000-000010C40000}"/>
    <cellStyle name="Normal 5 3 4 4 2 2 3" xfId="44256" xr:uid="{00000000-0005-0000-0000-000011C40000}"/>
    <cellStyle name="Normal 5 3 4 4 2 3" xfId="23904" xr:uid="{00000000-0005-0000-0000-000012C40000}"/>
    <cellStyle name="Normal 5 3 4 4 2 3 2" xfId="51037" xr:uid="{00000000-0005-0000-0000-000013C40000}"/>
    <cellStyle name="Normal 5 3 4 4 2 4" xfId="37475" xr:uid="{00000000-0005-0000-0000-000014C40000}"/>
    <cellStyle name="Normal 5 3 4 4 3" xfId="13728" xr:uid="{00000000-0005-0000-0000-000015C40000}"/>
    <cellStyle name="Normal 5 3 4 4 3 2" xfId="27296" xr:uid="{00000000-0005-0000-0000-000016C40000}"/>
    <cellStyle name="Normal 5 3 4 4 3 2 2" xfId="54429" xr:uid="{00000000-0005-0000-0000-000017C40000}"/>
    <cellStyle name="Normal 5 3 4 4 3 3" xfId="40867" xr:uid="{00000000-0005-0000-0000-000018C40000}"/>
    <cellStyle name="Normal 5 3 4 4 4" xfId="20515" xr:uid="{00000000-0005-0000-0000-000019C40000}"/>
    <cellStyle name="Normal 5 3 4 4 4 2" xfId="47648" xr:uid="{00000000-0005-0000-0000-00001AC40000}"/>
    <cellStyle name="Normal 5 3 4 4 5" xfId="34086" xr:uid="{00000000-0005-0000-0000-00001BC40000}"/>
    <cellStyle name="Normal 5 3 4 5" xfId="6798" xr:uid="{00000000-0005-0000-0000-00001CC40000}"/>
    <cellStyle name="Normal 5 3 4 5 2" xfId="10329" xr:uid="{00000000-0005-0000-0000-00001DC40000}"/>
    <cellStyle name="Normal 5 3 4 5 2 2" xfId="17118" xr:uid="{00000000-0005-0000-0000-00001EC40000}"/>
    <cellStyle name="Normal 5 3 4 5 2 2 2" xfId="30686" xr:uid="{00000000-0005-0000-0000-00001FC40000}"/>
    <cellStyle name="Normal 5 3 4 5 2 2 2 2" xfId="57819" xr:uid="{00000000-0005-0000-0000-000020C40000}"/>
    <cellStyle name="Normal 5 3 4 5 2 2 3" xfId="44257" xr:uid="{00000000-0005-0000-0000-000021C40000}"/>
    <cellStyle name="Normal 5 3 4 5 2 3" xfId="23905" xr:uid="{00000000-0005-0000-0000-000022C40000}"/>
    <cellStyle name="Normal 5 3 4 5 2 3 2" xfId="51038" xr:uid="{00000000-0005-0000-0000-000023C40000}"/>
    <cellStyle name="Normal 5 3 4 5 2 4" xfId="37476" xr:uid="{00000000-0005-0000-0000-000024C40000}"/>
    <cellStyle name="Normal 5 3 4 5 3" xfId="13729" xr:uid="{00000000-0005-0000-0000-000025C40000}"/>
    <cellStyle name="Normal 5 3 4 5 3 2" xfId="27297" xr:uid="{00000000-0005-0000-0000-000026C40000}"/>
    <cellStyle name="Normal 5 3 4 5 3 2 2" xfId="54430" xr:uid="{00000000-0005-0000-0000-000027C40000}"/>
    <cellStyle name="Normal 5 3 4 5 3 3" xfId="40868" xr:uid="{00000000-0005-0000-0000-000028C40000}"/>
    <cellStyle name="Normal 5 3 4 5 4" xfId="20516" xr:uid="{00000000-0005-0000-0000-000029C40000}"/>
    <cellStyle name="Normal 5 3 4 5 4 2" xfId="47649" xr:uid="{00000000-0005-0000-0000-00002AC40000}"/>
    <cellStyle name="Normal 5 3 4 5 5" xfId="34087" xr:uid="{00000000-0005-0000-0000-00002BC40000}"/>
    <cellStyle name="Normal 5 3 4 6" xfId="10322" xr:uid="{00000000-0005-0000-0000-00002CC40000}"/>
    <cellStyle name="Normal 5 3 4 6 2" xfId="17111" xr:uid="{00000000-0005-0000-0000-00002DC40000}"/>
    <cellStyle name="Normal 5 3 4 6 2 2" xfId="30679" xr:uid="{00000000-0005-0000-0000-00002EC40000}"/>
    <cellStyle name="Normal 5 3 4 6 2 2 2" xfId="57812" xr:uid="{00000000-0005-0000-0000-00002FC40000}"/>
    <cellStyle name="Normal 5 3 4 6 2 3" xfId="44250" xr:uid="{00000000-0005-0000-0000-000030C40000}"/>
    <cellStyle name="Normal 5 3 4 6 3" xfId="23898" xr:uid="{00000000-0005-0000-0000-000031C40000}"/>
    <cellStyle name="Normal 5 3 4 6 3 2" xfId="51031" xr:uid="{00000000-0005-0000-0000-000032C40000}"/>
    <cellStyle name="Normal 5 3 4 6 4" xfId="37469" xr:uid="{00000000-0005-0000-0000-000033C40000}"/>
    <cellStyle name="Normal 5 3 4 7" xfId="13722" xr:uid="{00000000-0005-0000-0000-000034C40000}"/>
    <cellStyle name="Normal 5 3 4 7 2" xfId="27290" xr:uid="{00000000-0005-0000-0000-000035C40000}"/>
    <cellStyle name="Normal 5 3 4 7 2 2" xfId="54423" xr:uid="{00000000-0005-0000-0000-000036C40000}"/>
    <cellStyle name="Normal 5 3 4 7 3" xfId="40861" xr:uid="{00000000-0005-0000-0000-000037C40000}"/>
    <cellStyle name="Normal 5 3 4 8" xfId="20509" xr:uid="{00000000-0005-0000-0000-000038C40000}"/>
    <cellStyle name="Normal 5 3 4 8 2" xfId="47642" xr:uid="{00000000-0005-0000-0000-000039C40000}"/>
    <cellStyle name="Normal 5 3 4 9" xfId="34080" xr:uid="{00000000-0005-0000-0000-00003AC40000}"/>
    <cellStyle name="Normal 5 3 5" xfId="6799" xr:uid="{00000000-0005-0000-0000-00003BC40000}"/>
    <cellStyle name="Normal 5 3 5 2" xfId="6800" xr:uid="{00000000-0005-0000-0000-00003CC40000}"/>
    <cellStyle name="Normal 5 3 5 2 2" xfId="6801" xr:uid="{00000000-0005-0000-0000-00003DC40000}"/>
    <cellStyle name="Normal 5 3 5 2 2 2" xfId="10332" xr:uid="{00000000-0005-0000-0000-00003EC40000}"/>
    <cellStyle name="Normal 5 3 5 2 2 2 2" xfId="17121" xr:uid="{00000000-0005-0000-0000-00003FC40000}"/>
    <cellStyle name="Normal 5 3 5 2 2 2 2 2" xfId="30689" xr:uid="{00000000-0005-0000-0000-000040C40000}"/>
    <cellStyle name="Normal 5 3 5 2 2 2 2 2 2" xfId="57822" xr:uid="{00000000-0005-0000-0000-000041C40000}"/>
    <cellStyle name="Normal 5 3 5 2 2 2 2 3" xfId="44260" xr:uid="{00000000-0005-0000-0000-000042C40000}"/>
    <cellStyle name="Normal 5 3 5 2 2 2 3" xfId="23908" xr:uid="{00000000-0005-0000-0000-000043C40000}"/>
    <cellStyle name="Normal 5 3 5 2 2 2 3 2" xfId="51041" xr:uid="{00000000-0005-0000-0000-000044C40000}"/>
    <cellStyle name="Normal 5 3 5 2 2 2 4" xfId="37479" xr:uid="{00000000-0005-0000-0000-000045C40000}"/>
    <cellStyle name="Normal 5 3 5 2 2 3" xfId="13732" xr:uid="{00000000-0005-0000-0000-000046C40000}"/>
    <cellStyle name="Normal 5 3 5 2 2 3 2" xfId="27300" xr:uid="{00000000-0005-0000-0000-000047C40000}"/>
    <cellStyle name="Normal 5 3 5 2 2 3 2 2" xfId="54433" xr:uid="{00000000-0005-0000-0000-000048C40000}"/>
    <cellStyle name="Normal 5 3 5 2 2 3 3" xfId="40871" xr:uid="{00000000-0005-0000-0000-000049C40000}"/>
    <cellStyle name="Normal 5 3 5 2 2 4" xfId="20519" xr:uid="{00000000-0005-0000-0000-00004AC40000}"/>
    <cellStyle name="Normal 5 3 5 2 2 4 2" xfId="47652" xr:uid="{00000000-0005-0000-0000-00004BC40000}"/>
    <cellStyle name="Normal 5 3 5 2 2 5" xfId="34090" xr:uid="{00000000-0005-0000-0000-00004CC40000}"/>
    <cellStyle name="Normal 5 3 5 2 3" xfId="6802" xr:uid="{00000000-0005-0000-0000-00004DC40000}"/>
    <cellStyle name="Normal 5 3 5 2 3 2" xfId="10333" xr:uid="{00000000-0005-0000-0000-00004EC40000}"/>
    <cellStyle name="Normal 5 3 5 2 3 2 2" xfId="17122" xr:uid="{00000000-0005-0000-0000-00004FC40000}"/>
    <cellStyle name="Normal 5 3 5 2 3 2 2 2" xfId="30690" xr:uid="{00000000-0005-0000-0000-000050C40000}"/>
    <cellStyle name="Normal 5 3 5 2 3 2 2 2 2" xfId="57823" xr:uid="{00000000-0005-0000-0000-000051C40000}"/>
    <cellStyle name="Normal 5 3 5 2 3 2 2 3" xfId="44261" xr:uid="{00000000-0005-0000-0000-000052C40000}"/>
    <cellStyle name="Normal 5 3 5 2 3 2 3" xfId="23909" xr:uid="{00000000-0005-0000-0000-000053C40000}"/>
    <cellStyle name="Normal 5 3 5 2 3 2 3 2" xfId="51042" xr:uid="{00000000-0005-0000-0000-000054C40000}"/>
    <cellStyle name="Normal 5 3 5 2 3 2 4" xfId="37480" xr:uid="{00000000-0005-0000-0000-000055C40000}"/>
    <cellStyle name="Normal 5 3 5 2 3 3" xfId="13733" xr:uid="{00000000-0005-0000-0000-000056C40000}"/>
    <cellStyle name="Normal 5 3 5 2 3 3 2" xfId="27301" xr:uid="{00000000-0005-0000-0000-000057C40000}"/>
    <cellStyle name="Normal 5 3 5 2 3 3 2 2" xfId="54434" xr:uid="{00000000-0005-0000-0000-000058C40000}"/>
    <cellStyle name="Normal 5 3 5 2 3 3 3" xfId="40872" xr:uid="{00000000-0005-0000-0000-000059C40000}"/>
    <cellStyle name="Normal 5 3 5 2 3 4" xfId="20520" xr:uid="{00000000-0005-0000-0000-00005AC40000}"/>
    <cellStyle name="Normal 5 3 5 2 3 4 2" xfId="47653" xr:uid="{00000000-0005-0000-0000-00005BC40000}"/>
    <cellStyle name="Normal 5 3 5 2 3 5" xfId="34091" xr:uid="{00000000-0005-0000-0000-00005CC40000}"/>
    <cellStyle name="Normal 5 3 5 2 4" xfId="10331" xr:uid="{00000000-0005-0000-0000-00005DC40000}"/>
    <cellStyle name="Normal 5 3 5 2 4 2" xfId="17120" xr:uid="{00000000-0005-0000-0000-00005EC40000}"/>
    <cellStyle name="Normal 5 3 5 2 4 2 2" xfId="30688" xr:uid="{00000000-0005-0000-0000-00005FC40000}"/>
    <cellStyle name="Normal 5 3 5 2 4 2 2 2" xfId="57821" xr:uid="{00000000-0005-0000-0000-000060C40000}"/>
    <cellStyle name="Normal 5 3 5 2 4 2 3" xfId="44259" xr:uid="{00000000-0005-0000-0000-000061C40000}"/>
    <cellStyle name="Normal 5 3 5 2 4 3" xfId="23907" xr:uid="{00000000-0005-0000-0000-000062C40000}"/>
    <cellStyle name="Normal 5 3 5 2 4 3 2" xfId="51040" xr:uid="{00000000-0005-0000-0000-000063C40000}"/>
    <cellStyle name="Normal 5 3 5 2 4 4" xfId="37478" xr:uid="{00000000-0005-0000-0000-000064C40000}"/>
    <cellStyle name="Normal 5 3 5 2 5" xfId="13731" xr:uid="{00000000-0005-0000-0000-000065C40000}"/>
    <cellStyle name="Normal 5 3 5 2 5 2" xfId="27299" xr:uid="{00000000-0005-0000-0000-000066C40000}"/>
    <cellStyle name="Normal 5 3 5 2 5 2 2" xfId="54432" xr:uid="{00000000-0005-0000-0000-000067C40000}"/>
    <cellStyle name="Normal 5 3 5 2 5 3" xfId="40870" xr:uid="{00000000-0005-0000-0000-000068C40000}"/>
    <cellStyle name="Normal 5 3 5 2 6" xfId="20518" xr:uid="{00000000-0005-0000-0000-000069C40000}"/>
    <cellStyle name="Normal 5 3 5 2 6 2" xfId="47651" xr:uid="{00000000-0005-0000-0000-00006AC40000}"/>
    <cellStyle name="Normal 5 3 5 2 7" xfId="34089" xr:uid="{00000000-0005-0000-0000-00006BC40000}"/>
    <cellStyle name="Normal 5 3 5 3" xfId="6803" xr:uid="{00000000-0005-0000-0000-00006CC40000}"/>
    <cellStyle name="Normal 5 3 5 3 2" xfId="10334" xr:uid="{00000000-0005-0000-0000-00006DC40000}"/>
    <cellStyle name="Normal 5 3 5 3 2 2" xfId="17123" xr:uid="{00000000-0005-0000-0000-00006EC40000}"/>
    <cellStyle name="Normal 5 3 5 3 2 2 2" xfId="30691" xr:uid="{00000000-0005-0000-0000-00006FC40000}"/>
    <cellStyle name="Normal 5 3 5 3 2 2 2 2" xfId="57824" xr:uid="{00000000-0005-0000-0000-000070C40000}"/>
    <cellStyle name="Normal 5 3 5 3 2 2 3" xfId="44262" xr:uid="{00000000-0005-0000-0000-000071C40000}"/>
    <cellStyle name="Normal 5 3 5 3 2 3" xfId="23910" xr:uid="{00000000-0005-0000-0000-000072C40000}"/>
    <cellStyle name="Normal 5 3 5 3 2 3 2" xfId="51043" xr:uid="{00000000-0005-0000-0000-000073C40000}"/>
    <cellStyle name="Normal 5 3 5 3 2 4" xfId="37481" xr:uid="{00000000-0005-0000-0000-000074C40000}"/>
    <cellStyle name="Normal 5 3 5 3 3" xfId="13734" xr:uid="{00000000-0005-0000-0000-000075C40000}"/>
    <cellStyle name="Normal 5 3 5 3 3 2" xfId="27302" xr:uid="{00000000-0005-0000-0000-000076C40000}"/>
    <cellStyle name="Normal 5 3 5 3 3 2 2" xfId="54435" xr:uid="{00000000-0005-0000-0000-000077C40000}"/>
    <cellStyle name="Normal 5 3 5 3 3 3" xfId="40873" xr:uid="{00000000-0005-0000-0000-000078C40000}"/>
    <cellStyle name="Normal 5 3 5 3 4" xfId="20521" xr:uid="{00000000-0005-0000-0000-000079C40000}"/>
    <cellStyle name="Normal 5 3 5 3 4 2" xfId="47654" xr:uid="{00000000-0005-0000-0000-00007AC40000}"/>
    <cellStyle name="Normal 5 3 5 3 5" xfId="34092" xr:uid="{00000000-0005-0000-0000-00007BC40000}"/>
    <cellStyle name="Normal 5 3 5 4" xfId="6804" xr:uid="{00000000-0005-0000-0000-00007CC40000}"/>
    <cellStyle name="Normal 5 3 5 4 2" xfId="10335" xr:uid="{00000000-0005-0000-0000-00007DC40000}"/>
    <cellStyle name="Normal 5 3 5 4 2 2" xfId="17124" xr:uid="{00000000-0005-0000-0000-00007EC40000}"/>
    <cellStyle name="Normal 5 3 5 4 2 2 2" xfId="30692" xr:uid="{00000000-0005-0000-0000-00007FC40000}"/>
    <cellStyle name="Normal 5 3 5 4 2 2 2 2" xfId="57825" xr:uid="{00000000-0005-0000-0000-000080C40000}"/>
    <cellStyle name="Normal 5 3 5 4 2 2 3" xfId="44263" xr:uid="{00000000-0005-0000-0000-000081C40000}"/>
    <cellStyle name="Normal 5 3 5 4 2 3" xfId="23911" xr:uid="{00000000-0005-0000-0000-000082C40000}"/>
    <cellStyle name="Normal 5 3 5 4 2 3 2" xfId="51044" xr:uid="{00000000-0005-0000-0000-000083C40000}"/>
    <cellStyle name="Normal 5 3 5 4 2 4" xfId="37482" xr:uid="{00000000-0005-0000-0000-000084C40000}"/>
    <cellStyle name="Normal 5 3 5 4 3" xfId="13735" xr:uid="{00000000-0005-0000-0000-000085C40000}"/>
    <cellStyle name="Normal 5 3 5 4 3 2" xfId="27303" xr:uid="{00000000-0005-0000-0000-000086C40000}"/>
    <cellStyle name="Normal 5 3 5 4 3 2 2" xfId="54436" xr:uid="{00000000-0005-0000-0000-000087C40000}"/>
    <cellStyle name="Normal 5 3 5 4 3 3" xfId="40874" xr:uid="{00000000-0005-0000-0000-000088C40000}"/>
    <cellStyle name="Normal 5 3 5 4 4" xfId="20522" xr:uid="{00000000-0005-0000-0000-000089C40000}"/>
    <cellStyle name="Normal 5 3 5 4 4 2" xfId="47655" xr:uid="{00000000-0005-0000-0000-00008AC40000}"/>
    <cellStyle name="Normal 5 3 5 4 5" xfId="34093" xr:uid="{00000000-0005-0000-0000-00008BC40000}"/>
    <cellStyle name="Normal 5 3 5 5" xfId="10330" xr:uid="{00000000-0005-0000-0000-00008CC40000}"/>
    <cellStyle name="Normal 5 3 5 5 2" xfId="17119" xr:uid="{00000000-0005-0000-0000-00008DC40000}"/>
    <cellStyle name="Normal 5 3 5 5 2 2" xfId="30687" xr:uid="{00000000-0005-0000-0000-00008EC40000}"/>
    <cellStyle name="Normal 5 3 5 5 2 2 2" xfId="57820" xr:uid="{00000000-0005-0000-0000-00008FC40000}"/>
    <cellStyle name="Normal 5 3 5 5 2 3" xfId="44258" xr:uid="{00000000-0005-0000-0000-000090C40000}"/>
    <cellStyle name="Normal 5 3 5 5 3" xfId="23906" xr:uid="{00000000-0005-0000-0000-000091C40000}"/>
    <cellStyle name="Normal 5 3 5 5 3 2" xfId="51039" xr:uid="{00000000-0005-0000-0000-000092C40000}"/>
    <cellStyle name="Normal 5 3 5 5 4" xfId="37477" xr:uid="{00000000-0005-0000-0000-000093C40000}"/>
    <cellStyle name="Normal 5 3 5 6" xfId="13730" xr:uid="{00000000-0005-0000-0000-000094C40000}"/>
    <cellStyle name="Normal 5 3 5 6 2" xfId="27298" xr:uid="{00000000-0005-0000-0000-000095C40000}"/>
    <cellStyle name="Normal 5 3 5 6 2 2" xfId="54431" xr:uid="{00000000-0005-0000-0000-000096C40000}"/>
    <cellStyle name="Normal 5 3 5 6 3" xfId="40869" xr:uid="{00000000-0005-0000-0000-000097C40000}"/>
    <cellStyle name="Normal 5 3 5 7" xfId="20517" xr:uid="{00000000-0005-0000-0000-000098C40000}"/>
    <cellStyle name="Normal 5 3 5 7 2" xfId="47650" xr:uid="{00000000-0005-0000-0000-000099C40000}"/>
    <cellStyle name="Normal 5 3 5 8" xfId="34088" xr:uid="{00000000-0005-0000-0000-00009AC40000}"/>
    <cellStyle name="Normal 5 3 6" xfId="6805" xr:uid="{00000000-0005-0000-0000-00009BC40000}"/>
    <cellStyle name="Normal 5 3 6 2" xfId="6806" xr:uid="{00000000-0005-0000-0000-00009CC40000}"/>
    <cellStyle name="Normal 5 3 6 2 2" xfId="6807" xr:uid="{00000000-0005-0000-0000-00009DC40000}"/>
    <cellStyle name="Normal 5 3 6 2 2 2" xfId="10338" xr:uid="{00000000-0005-0000-0000-00009EC40000}"/>
    <cellStyle name="Normal 5 3 6 2 2 2 2" xfId="17127" xr:uid="{00000000-0005-0000-0000-00009FC40000}"/>
    <cellStyle name="Normal 5 3 6 2 2 2 2 2" xfId="30695" xr:uid="{00000000-0005-0000-0000-0000A0C40000}"/>
    <cellStyle name="Normal 5 3 6 2 2 2 2 2 2" xfId="57828" xr:uid="{00000000-0005-0000-0000-0000A1C40000}"/>
    <cellStyle name="Normal 5 3 6 2 2 2 2 3" xfId="44266" xr:uid="{00000000-0005-0000-0000-0000A2C40000}"/>
    <cellStyle name="Normal 5 3 6 2 2 2 3" xfId="23914" xr:uid="{00000000-0005-0000-0000-0000A3C40000}"/>
    <cellStyle name="Normal 5 3 6 2 2 2 3 2" xfId="51047" xr:uid="{00000000-0005-0000-0000-0000A4C40000}"/>
    <cellStyle name="Normal 5 3 6 2 2 2 4" xfId="37485" xr:uid="{00000000-0005-0000-0000-0000A5C40000}"/>
    <cellStyle name="Normal 5 3 6 2 2 3" xfId="13738" xr:uid="{00000000-0005-0000-0000-0000A6C40000}"/>
    <cellStyle name="Normal 5 3 6 2 2 3 2" xfId="27306" xr:uid="{00000000-0005-0000-0000-0000A7C40000}"/>
    <cellStyle name="Normal 5 3 6 2 2 3 2 2" xfId="54439" xr:uid="{00000000-0005-0000-0000-0000A8C40000}"/>
    <cellStyle name="Normal 5 3 6 2 2 3 3" xfId="40877" xr:uid="{00000000-0005-0000-0000-0000A9C40000}"/>
    <cellStyle name="Normal 5 3 6 2 2 4" xfId="20525" xr:uid="{00000000-0005-0000-0000-0000AAC40000}"/>
    <cellStyle name="Normal 5 3 6 2 2 4 2" xfId="47658" xr:uid="{00000000-0005-0000-0000-0000ABC40000}"/>
    <cellStyle name="Normal 5 3 6 2 2 5" xfId="34096" xr:uid="{00000000-0005-0000-0000-0000ACC40000}"/>
    <cellStyle name="Normal 5 3 6 2 3" xfId="6808" xr:uid="{00000000-0005-0000-0000-0000ADC40000}"/>
    <cellStyle name="Normal 5 3 6 2 3 2" xfId="10339" xr:uid="{00000000-0005-0000-0000-0000AEC40000}"/>
    <cellStyle name="Normal 5 3 6 2 3 2 2" xfId="17128" xr:uid="{00000000-0005-0000-0000-0000AFC40000}"/>
    <cellStyle name="Normal 5 3 6 2 3 2 2 2" xfId="30696" xr:uid="{00000000-0005-0000-0000-0000B0C40000}"/>
    <cellStyle name="Normal 5 3 6 2 3 2 2 2 2" xfId="57829" xr:uid="{00000000-0005-0000-0000-0000B1C40000}"/>
    <cellStyle name="Normal 5 3 6 2 3 2 2 3" xfId="44267" xr:uid="{00000000-0005-0000-0000-0000B2C40000}"/>
    <cellStyle name="Normal 5 3 6 2 3 2 3" xfId="23915" xr:uid="{00000000-0005-0000-0000-0000B3C40000}"/>
    <cellStyle name="Normal 5 3 6 2 3 2 3 2" xfId="51048" xr:uid="{00000000-0005-0000-0000-0000B4C40000}"/>
    <cellStyle name="Normal 5 3 6 2 3 2 4" xfId="37486" xr:uid="{00000000-0005-0000-0000-0000B5C40000}"/>
    <cellStyle name="Normal 5 3 6 2 3 3" xfId="13739" xr:uid="{00000000-0005-0000-0000-0000B6C40000}"/>
    <cellStyle name="Normal 5 3 6 2 3 3 2" xfId="27307" xr:uid="{00000000-0005-0000-0000-0000B7C40000}"/>
    <cellStyle name="Normal 5 3 6 2 3 3 2 2" xfId="54440" xr:uid="{00000000-0005-0000-0000-0000B8C40000}"/>
    <cellStyle name="Normal 5 3 6 2 3 3 3" xfId="40878" xr:uid="{00000000-0005-0000-0000-0000B9C40000}"/>
    <cellStyle name="Normal 5 3 6 2 3 4" xfId="20526" xr:uid="{00000000-0005-0000-0000-0000BAC40000}"/>
    <cellStyle name="Normal 5 3 6 2 3 4 2" xfId="47659" xr:uid="{00000000-0005-0000-0000-0000BBC40000}"/>
    <cellStyle name="Normal 5 3 6 2 3 5" xfId="34097" xr:uid="{00000000-0005-0000-0000-0000BCC40000}"/>
    <cellStyle name="Normal 5 3 6 2 4" xfId="10337" xr:uid="{00000000-0005-0000-0000-0000BDC40000}"/>
    <cellStyle name="Normal 5 3 6 2 4 2" xfId="17126" xr:uid="{00000000-0005-0000-0000-0000BEC40000}"/>
    <cellStyle name="Normal 5 3 6 2 4 2 2" xfId="30694" xr:uid="{00000000-0005-0000-0000-0000BFC40000}"/>
    <cellStyle name="Normal 5 3 6 2 4 2 2 2" xfId="57827" xr:uid="{00000000-0005-0000-0000-0000C0C40000}"/>
    <cellStyle name="Normal 5 3 6 2 4 2 3" xfId="44265" xr:uid="{00000000-0005-0000-0000-0000C1C40000}"/>
    <cellStyle name="Normal 5 3 6 2 4 3" xfId="23913" xr:uid="{00000000-0005-0000-0000-0000C2C40000}"/>
    <cellStyle name="Normal 5 3 6 2 4 3 2" xfId="51046" xr:uid="{00000000-0005-0000-0000-0000C3C40000}"/>
    <cellStyle name="Normal 5 3 6 2 4 4" xfId="37484" xr:uid="{00000000-0005-0000-0000-0000C4C40000}"/>
    <cellStyle name="Normal 5 3 6 2 5" xfId="13737" xr:uid="{00000000-0005-0000-0000-0000C5C40000}"/>
    <cellStyle name="Normal 5 3 6 2 5 2" xfId="27305" xr:uid="{00000000-0005-0000-0000-0000C6C40000}"/>
    <cellStyle name="Normal 5 3 6 2 5 2 2" xfId="54438" xr:uid="{00000000-0005-0000-0000-0000C7C40000}"/>
    <cellStyle name="Normal 5 3 6 2 5 3" xfId="40876" xr:uid="{00000000-0005-0000-0000-0000C8C40000}"/>
    <cellStyle name="Normal 5 3 6 2 6" xfId="20524" xr:uid="{00000000-0005-0000-0000-0000C9C40000}"/>
    <cellStyle name="Normal 5 3 6 2 6 2" xfId="47657" xr:uid="{00000000-0005-0000-0000-0000CAC40000}"/>
    <cellStyle name="Normal 5 3 6 2 7" xfId="34095" xr:uid="{00000000-0005-0000-0000-0000CBC40000}"/>
    <cellStyle name="Normal 5 3 6 3" xfId="6809" xr:uid="{00000000-0005-0000-0000-0000CCC40000}"/>
    <cellStyle name="Normal 5 3 6 3 2" xfId="10340" xr:uid="{00000000-0005-0000-0000-0000CDC40000}"/>
    <cellStyle name="Normal 5 3 6 3 2 2" xfId="17129" xr:uid="{00000000-0005-0000-0000-0000CEC40000}"/>
    <cellStyle name="Normal 5 3 6 3 2 2 2" xfId="30697" xr:uid="{00000000-0005-0000-0000-0000CFC40000}"/>
    <cellStyle name="Normal 5 3 6 3 2 2 2 2" xfId="57830" xr:uid="{00000000-0005-0000-0000-0000D0C40000}"/>
    <cellStyle name="Normal 5 3 6 3 2 2 3" xfId="44268" xr:uid="{00000000-0005-0000-0000-0000D1C40000}"/>
    <cellStyle name="Normal 5 3 6 3 2 3" xfId="23916" xr:uid="{00000000-0005-0000-0000-0000D2C40000}"/>
    <cellStyle name="Normal 5 3 6 3 2 3 2" xfId="51049" xr:uid="{00000000-0005-0000-0000-0000D3C40000}"/>
    <cellStyle name="Normal 5 3 6 3 2 4" xfId="37487" xr:uid="{00000000-0005-0000-0000-0000D4C40000}"/>
    <cellStyle name="Normal 5 3 6 3 3" xfId="13740" xr:uid="{00000000-0005-0000-0000-0000D5C40000}"/>
    <cellStyle name="Normal 5 3 6 3 3 2" xfId="27308" xr:uid="{00000000-0005-0000-0000-0000D6C40000}"/>
    <cellStyle name="Normal 5 3 6 3 3 2 2" xfId="54441" xr:uid="{00000000-0005-0000-0000-0000D7C40000}"/>
    <cellStyle name="Normal 5 3 6 3 3 3" xfId="40879" xr:uid="{00000000-0005-0000-0000-0000D8C40000}"/>
    <cellStyle name="Normal 5 3 6 3 4" xfId="20527" xr:uid="{00000000-0005-0000-0000-0000D9C40000}"/>
    <cellStyle name="Normal 5 3 6 3 4 2" xfId="47660" xr:uid="{00000000-0005-0000-0000-0000DAC40000}"/>
    <cellStyle name="Normal 5 3 6 3 5" xfId="34098" xr:uid="{00000000-0005-0000-0000-0000DBC40000}"/>
    <cellStyle name="Normal 5 3 6 4" xfId="6810" xr:uid="{00000000-0005-0000-0000-0000DCC40000}"/>
    <cellStyle name="Normal 5 3 6 4 2" xfId="10341" xr:uid="{00000000-0005-0000-0000-0000DDC40000}"/>
    <cellStyle name="Normal 5 3 6 4 2 2" xfId="17130" xr:uid="{00000000-0005-0000-0000-0000DEC40000}"/>
    <cellStyle name="Normal 5 3 6 4 2 2 2" xfId="30698" xr:uid="{00000000-0005-0000-0000-0000DFC40000}"/>
    <cellStyle name="Normal 5 3 6 4 2 2 2 2" xfId="57831" xr:uid="{00000000-0005-0000-0000-0000E0C40000}"/>
    <cellStyle name="Normal 5 3 6 4 2 2 3" xfId="44269" xr:uid="{00000000-0005-0000-0000-0000E1C40000}"/>
    <cellStyle name="Normal 5 3 6 4 2 3" xfId="23917" xr:uid="{00000000-0005-0000-0000-0000E2C40000}"/>
    <cellStyle name="Normal 5 3 6 4 2 3 2" xfId="51050" xr:uid="{00000000-0005-0000-0000-0000E3C40000}"/>
    <cellStyle name="Normal 5 3 6 4 2 4" xfId="37488" xr:uid="{00000000-0005-0000-0000-0000E4C40000}"/>
    <cellStyle name="Normal 5 3 6 4 3" xfId="13741" xr:uid="{00000000-0005-0000-0000-0000E5C40000}"/>
    <cellStyle name="Normal 5 3 6 4 3 2" xfId="27309" xr:uid="{00000000-0005-0000-0000-0000E6C40000}"/>
    <cellStyle name="Normal 5 3 6 4 3 2 2" xfId="54442" xr:uid="{00000000-0005-0000-0000-0000E7C40000}"/>
    <cellStyle name="Normal 5 3 6 4 3 3" xfId="40880" xr:uid="{00000000-0005-0000-0000-0000E8C40000}"/>
    <cellStyle name="Normal 5 3 6 4 4" xfId="20528" xr:uid="{00000000-0005-0000-0000-0000E9C40000}"/>
    <cellStyle name="Normal 5 3 6 4 4 2" xfId="47661" xr:uid="{00000000-0005-0000-0000-0000EAC40000}"/>
    <cellStyle name="Normal 5 3 6 4 5" xfId="34099" xr:uid="{00000000-0005-0000-0000-0000EBC40000}"/>
    <cellStyle name="Normal 5 3 6 5" xfId="10336" xr:uid="{00000000-0005-0000-0000-0000ECC40000}"/>
    <cellStyle name="Normal 5 3 6 5 2" xfId="17125" xr:uid="{00000000-0005-0000-0000-0000EDC40000}"/>
    <cellStyle name="Normal 5 3 6 5 2 2" xfId="30693" xr:uid="{00000000-0005-0000-0000-0000EEC40000}"/>
    <cellStyle name="Normal 5 3 6 5 2 2 2" xfId="57826" xr:uid="{00000000-0005-0000-0000-0000EFC40000}"/>
    <cellStyle name="Normal 5 3 6 5 2 3" xfId="44264" xr:uid="{00000000-0005-0000-0000-0000F0C40000}"/>
    <cellStyle name="Normal 5 3 6 5 3" xfId="23912" xr:uid="{00000000-0005-0000-0000-0000F1C40000}"/>
    <cellStyle name="Normal 5 3 6 5 3 2" xfId="51045" xr:uid="{00000000-0005-0000-0000-0000F2C40000}"/>
    <cellStyle name="Normal 5 3 6 5 4" xfId="37483" xr:uid="{00000000-0005-0000-0000-0000F3C40000}"/>
    <cellStyle name="Normal 5 3 6 6" xfId="13736" xr:uid="{00000000-0005-0000-0000-0000F4C40000}"/>
    <cellStyle name="Normal 5 3 6 6 2" xfId="27304" xr:uid="{00000000-0005-0000-0000-0000F5C40000}"/>
    <cellStyle name="Normal 5 3 6 6 2 2" xfId="54437" xr:uid="{00000000-0005-0000-0000-0000F6C40000}"/>
    <cellStyle name="Normal 5 3 6 6 3" xfId="40875" xr:uid="{00000000-0005-0000-0000-0000F7C40000}"/>
    <cellStyle name="Normal 5 3 6 7" xfId="20523" xr:uid="{00000000-0005-0000-0000-0000F8C40000}"/>
    <cellStyle name="Normal 5 3 6 7 2" xfId="47656" xr:uid="{00000000-0005-0000-0000-0000F9C40000}"/>
    <cellStyle name="Normal 5 3 6 8" xfId="34094" xr:uid="{00000000-0005-0000-0000-0000FAC40000}"/>
    <cellStyle name="Normal 5 3 7" xfId="6811" xr:uid="{00000000-0005-0000-0000-0000FBC40000}"/>
    <cellStyle name="Normal 5 3 7 2" xfId="6812" xr:uid="{00000000-0005-0000-0000-0000FCC40000}"/>
    <cellStyle name="Normal 5 3 7 2 2" xfId="10343" xr:uid="{00000000-0005-0000-0000-0000FDC40000}"/>
    <cellStyle name="Normal 5 3 7 2 2 2" xfId="17132" xr:uid="{00000000-0005-0000-0000-0000FEC40000}"/>
    <cellStyle name="Normal 5 3 7 2 2 2 2" xfId="30700" xr:uid="{00000000-0005-0000-0000-0000FFC40000}"/>
    <cellStyle name="Normal 5 3 7 2 2 2 2 2" xfId="57833" xr:uid="{00000000-0005-0000-0000-000000C50000}"/>
    <cellStyle name="Normal 5 3 7 2 2 2 3" xfId="44271" xr:uid="{00000000-0005-0000-0000-000001C50000}"/>
    <cellStyle name="Normal 5 3 7 2 2 3" xfId="23919" xr:uid="{00000000-0005-0000-0000-000002C50000}"/>
    <cellStyle name="Normal 5 3 7 2 2 3 2" xfId="51052" xr:uid="{00000000-0005-0000-0000-000003C50000}"/>
    <cellStyle name="Normal 5 3 7 2 2 4" xfId="37490" xr:uid="{00000000-0005-0000-0000-000004C50000}"/>
    <cellStyle name="Normal 5 3 7 2 3" xfId="13743" xr:uid="{00000000-0005-0000-0000-000005C50000}"/>
    <cellStyle name="Normal 5 3 7 2 3 2" xfId="27311" xr:uid="{00000000-0005-0000-0000-000006C50000}"/>
    <cellStyle name="Normal 5 3 7 2 3 2 2" xfId="54444" xr:uid="{00000000-0005-0000-0000-000007C50000}"/>
    <cellStyle name="Normal 5 3 7 2 3 3" xfId="40882" xr:uid="{00000000-0005-0000-0000-000008C50000}"/>
    <cellStyle name="Normal 5 3 7 2 4" xfId="20530" xr:uid="{00000000-0005-0000-0000-000009C50000}"/>
    <cellStyle name="Normal 5 3 7 2 4 2" xfId="47663" xr:uid="{00000000-0005-0000-0000-00000AC50000}"/>
    <cellStyle name="Normal 5 3 7 2 5" xfId="34101" xr:uid="{00000000-0005-0000-0000-00000BC50000}"/>
    <cellStyle name="Normal 5 3 7 3" xfId="6813" xr:uid="{00000000-0005-0000-0000-00000CC50000}"/>
    <cellStyle name="Normal 5 3 7 3 2" xfId="10344" xr:uid="{00000000-0005-0000-0000-00000DC50000}"/>
    <cellStyle name="Normal 5 3 7 3 2 2" xfId="17133" xr:uid="{00000000-0005-0000-0000-00000EC50000}"/>
    <cellStyle name="Normal 5 3 7 3 2 2 2" xfId="30701" xr:uid="{00000000-0005-0000-0000-00000FC50000}"/>
    <cellStyle name="Normal 5 3 7 3 2 2 2 2" xfId="57834" xr:uid="{00000000-0005-0000-0000-000010C50000}"/>
    <cellStyle name="Normal 5 3 7 3 2 2 3" xfId="44272" xr:uid="{00000000-0005-0000-0000-000011C50000}"/>
    <cellStyle name="Normal 5 3 7 3 2 3" xfId="23920" xr:uid="{00000000-0005-0000-0000-000012C50000}"/>
    <cellStyle name="Normal 5 3 7 3 2 3 2" xfId="51053" xr:uid="{00000000-0005-0000-0000-000013C50000}"/>
    <cellStyle name="Normal 5 3 7 3 2 4" xfId="37491" xr:uid="{00000000-0005-0000-0000-000014C50000}"/>
    <cellStyle name="Normal 5 3 7 3 3" xfId="13744" xr:uid="{00000000-0005-0000-0000-000015C50000}"/>
    <cellStyle name="Normal 5 3 7 3 3 2" xfId="27312" xr:uid="{00000000-0005-0000-0000-000016C50000}"/>
    <cellStyle name="Normal 5 3 7 3 3 2 2" xfId="54445" xr:uid="{00000000-0005-0000-0000-000017C50000}"/>
    <cellStyle name="Normal 5 3 7 3 3 3" xfId="40883" xr:uid="{00000000-0005-0000-0000-000018C50000}"/>
    <cellStyle name="Normal 5 3 7 3 4" xfId="20531" xr:uid="{00000000-0005-0000-0000-000019C50000}"/>
    <cellStyle name="Normal 5 3 7 3 4 2" xfId="47664" xr:uid="{00000000-0005-0000-0000-00001AC50000}"/>
    <cellStyle name="Normal 5 3 7 3 5" xfId="34102" xr:uid="{00000000-0005-0000-0000-00001BC50000}"/>
    <cellStyle name="Normal 5 3 7 4" xfId="10342" xr:uid="{00000000-0005-0000-0000-00001CC50000}"/>
    <cellStyle name="Normal 5 3 7 4 2" xfId="17131" xr:uid="{00000000-0005-0000-0000-00001DC50000}"/>
    <cellStyle name="Normal 5 3 7 4 2 2" xfId="30699" xr:uid="{00000000-0005-0000-0000-00001EC50000}"/>
    <cellStyle name="Normal 5 3 7 4 2 2 2" xfId="57832" xr:uid="{00000000-0005-0000-0000-00001FC50000}"/>
    <cellStyle name="Normal 5 3 7 4 2 3" xfId="44270" xr:uid="{00000000-0005-0000-0000-000020C50000}"/>
    <cellStyle name="Normal 5 3 7 4 3" xfId="23918" xr:uid="{00000000-0005-0000-0000-000021C50000}"/>
    <cellStyle name="Normal 5 3 7 4 3 2" xfId="51051" xr:uid="{00000000-0005-0000-0000-000022C50000}"/>
    <cellStyle name="Normal 5 3 7 4 4" xfId="37489" xr:uid="{00000000-0005-0000-0000-000023C50000}"/>
    <cellStyle name="Normal 5 3 7 5" xfId="13742" xr:uid="{00000000-0005-0000-0000-000024C50000}"/>
    <cellStyle name="Normal 5 3 7 5 2" xfId="27310" xr:uid="{00000000-0005-0000-0000-000025C50000}"/>
    <cellStyle name="Normal 5 3 7 5 2 2" xfId="54443" xr:uid="{00000000-0005-0000-0000-000026C50000}"/>
    <cellStyle name="Normal 5 3 7 5 3" xfId="40881" xr:uid="{00000000-0005-0000-0000-000027C50000}"/>
    <cellStyle name="Normal 5 3 7 6" xfId="20529" xr:uid="{00000000-0005-0000-0000-000028C50000}"/>
    <cellStyle name="Normal 5 3 7 6 2" xfId="47662" xr:uid="{00000000-0005-0000-0000-000029C50000}"/>
    <cellStyle name="Normal 5 3 7 7" xfId="34100" xr:uid="{00000000-0005-0000-0000-00002AC50000}"/>
    <cellStyle name="Normal 5 3 8" xfId="6814" xr:uid="{00000000-0005-0000-0000-00002BC50000}"/>
    <cellStyle name="Normal 5 3 8 2" xfId="6815" xr:uid="{00000000-0005-0000-0000-00002CC50000}"/>
    <cellStyle name="Normal 5 3 8 2 2" xfId="10346" xr:uid="{00000000-0005-0000-0000-00002DC50000}"/>
    <cellStyle name="Normal 5 3 8 2 2 2" xfId="17135" xr:uid="{00000000-0005-0000-0000-00002EC50000}"/>
    <cellStyle name="Normal 5 3 8 2 2 2 2" xfId="30703" xr:uid="{00000000-0005-0000-0000-00002FC50000}"/>
    <cellStyle name="Normal 5 3 8 2 2 2 2 2" xfId="57836" xr:uid="{00000000-0005-0000-0000-000030C50000}"/>
    <cellStyle name="Normal 5 3 8 2 2 2 3" xfId="44274" xr:uid="{00000000-0005-0000-0000-000031C50000}"/>
    <cellStyle name="Normal 5 3 8 2 2 3" xfId="23922" xr:uid="{00000000-0005-0000-0000-000032C50000}"/>
    <cellStyle name="Normal 5 3 8 2 2 3 2" xfId="51055" xr:uid="{00000000-0005-0000-0000-000033C50000}"/>
    <cellStyle name="Normal 5 3 8 2 2 4" xfId="37493" xr:uid="{00000000-0005-0000-0000-000034C50000}"/>
    <cellStyle name="Normal 5 3 8 2 3" xfId="13746" xr:uid="{00000000-0005-0000-0000-000035C50000}"/>
    <cellStyle name="Normal 5 3 8 2 3 2" xfId="27314" xr:uid="{00000000-0005-0000-0000-000036C50000}"/>
    <cellStyle name="Normal 5 3 8 2 3 2 2" xfId="54447" xr:uid="{00000000-0005-0000-0000-000037C50000}"/>
    <cellStyle name="Normal 5 3 8 2 3 3" xfId="40885" xr:uid="{00000000-0005-0000-0000-000038C50000}"/>
    <cellStyle name="Normal 5 3 8 2 4" xfId="20533" xr:uid="{00000000-0005-0000-0000-000039C50000}"/>
    <cellStyle name="Normal 5 3 8 2 4 2" xfId="47666" xr:uid="{00000000-0005-0000-0000-00003AC50000}"/>
    <cellStyle name="Normal 5 3 8 2 5" xfId="34104" xr:uid="{00000000-0005-0000-0000-00003BC50000}"/>
    <cellStyle name="Normal 5 3 8 3" xfId="6816" xr:uid="{00000000-0005-0000-0000-00003CC50000}"/>
    <cellStyle name="Normal 5 3 8 3 2" xfId="10347" xr:uid="{00000000-0005-0000-0000-00003DC50000}"/>
    <cellStyle name="Normal 5 3 8 3 2 2" xfId="17136" xr:uid="{00000000-0005-0000-0000-00003EC50000}"/>
    <cellStyle name="Normal 5 3 8 3 2 2 2" xfId="30704" xr:uid="{00000000-0005-0000-0000-00003FC50000}"/>
    <cellStyle name="Normal 5 3 8 3 2 2 2 2" xfId="57837" xr:uid="{00000000-0005-0000-0000-000040C50000}"/>
    <cellStyle name="Normal 5 3 8 3 2 2 3" xfId="44275" xr:uid="{00000000-0005-0000-0000-000041C50000}"/>
    <cellStyle name="Normal 5 3 8 3 2 3" xfId="23923" xr:uid="{00000000-0005-0000-0000-000042C50000}"/>
    <cellStyle name="Normal 5 3 8 3 2 3 2" xfId="51056" xr:uid="{00000000-0005-0000-0000-000043C50000}"/>
    <cellStyle name="Normal 5 3 8 3 2 4" xfId="37494" xr:uid="{00000000-0005-0000-0000-000044C50000}"/>
    <cellStyle name="Normal 5 3 8 3 3" xfId="13747" xr:uid="{00000000-0005-0000-0000-000045C50000}"/>
    <cellStyle name="Normal 5 3 8 3 3 2" xfId="27315" xr:uid="{00000000-0005-0000-0000-000046C50000}"/>
    <cellStyle name="Normal 5 3 8 3 3 2 2" xfId="54448" xr:uid="{00000000-0005-0000-0000-000047C50000}"/>
    <cellStyle name="Normal 5 3 8 3 3 3" xfId="40886" xr:uid="{00000000-0005-0000-0000-000048C50000}"/>
    <cellStyle name="Normal 5 3 8 3 4" xfId="20534" xr:uid="{00000000-0005-0000-0000-000049C50000}"/>
    <cellStyle name="Normal 5 3 8 3 4 2" xfId="47667" xr:uid="{00000000-0005-0000-0000-00004AC50000}"/>
    <cellStyle name="Normal 5 3 8 3 5" xfId="34105" xr:uid="{00000000-0005-0000-0000-00004BC50000}"/>
    <cellStyle name="Normal 5 3 8 4" xfId="10345" xr:uid="{00000000-0005-0000-0000-00004CC50000}"/>
    <cellStyle name="Normal 5 3 8 4 2" xfId="17134" xr:uid="{00000000-0005-0000-0000-00004DC50000}"/>
    <cellStyle name="Normal 5 3 8 4 2 2" xfId="30702" xr:uid="{00000000-0005-0000-0000-00004EC50000}"/>
    <cellStyle name="Normal 5 3 8 4 2 2 2" xfId="57835" xr:uid="{00000000-0005-0000-0000-00004FC50000}"/>
    <cellStyle name="Normal 5 3 8 4 2 3" xfId="44273" xr:uid="{00000000-0005-0000-0000-000050C50000}"/>
    <cellStyle name="Normal 5 3 8 4 3" xfId="23921" xr:uid="{00000000-0005-0000-0000-000051C50000}"/>
    <cellStyle name="Normal 5 3 8 4 3 2" xfId="51054" xr:uid="{00000000-0005-0000-0000-000052C50000}"/>
    <cellStyle name="Normal 5 3 8 4 4" xfId="37492" xr:uid="{00000000-0005-0000-0000-000053C50000}"/>
    <cellStyle name="Normal 5 3 8 5" xfId="13745" xr:uid="{00000000-0005-0000-0000-000054C50000}"/>
    <cellStyle name="Normal 5 3 8 5 2" xfId="27313" xr:uid="{00000000-0005-0000-0000-000055C50000}"/>
    <cellStyle name="Normal 5 3 8 5 2 2" xfId="54446" xr:uid="{00000000-0005-0000-0000-000056C50000}"/>
    <cellStyle name="Normal 5 3 8 5 3" xfId="40884" xr:uid="{00000000-0005-0000-0000-000057C50000}"/>
    <cellStyle name="Normal 5 3 8 6" xfId="20532" xr:uid="{00000000-0005-0000-0000-000058C50000}"/>
    <cellStyle name="Normal 5 3 8 6 2" xfId="47665" xr:uid="{00000000-0005-0000-0000-000059C50000}"/>
    <cellStyle name="Normal 5 3 8 7" xfId="34103" xr:uid="{00000000-0005-0000-0000-00005AC50000}"/>
    <cellStyle name="Normal 5 3 9" xfId="6817" xr:uid="{00000000-0005-0000-0000-00005BC50000}"/>
    <cellStyle name="Normal 5 3 9 2" xfId="10348" xr:uid="{00000000-0005-0000-0000-00005CC50000}"/>
    <cellStyle name="Normal 5 3 9 2 2" xfId="17137" xr:uid="{00000000-0005-0000-0000-00005DC50000}"/>
    <cellStyle name="Normal 5 3 9 2 2 2" xfId="30705" xr:uid="{00000000-0005-0000-0000-00005EC50000}"/>
    <cellStyle name="Normal 5 3 9 2 2 2 2" xfId="57838" xr:uid="{00000000-0005-0000-0000-00005FC50000}"/>
    <cellStyle name="Normal 5 3 9 2 2 3" xfId="44276" xr:uid="{00000000-0005-0000-0000-000060C50000}"/>
    <cellStyle name="Normal 5 3 9 2 3" xfId="23924" xr:uid="{00000000-0005-0000-0000-000061C50000}"/>
    <cellStyle name="Normal 5 3 9 2 3 2" xfId="51057" xr:uid="{00000000-0005-0000-0000-000062C50000}"/>
    <cellStyle name="Normal 5 3 9 2 4" xfId="37495" xr:uid="{00000000-0005-0000-0000-000063C50000}"/>
    <cellStyle name="Normal 5 3 9 3" xfId="13748" xr:uid="{00000000-0005-0000-0000-000064C50000}"/>
    <cellStyle name="Normal 5 3 9 3 2" xfId="27316" xr:uid="{00000000-0005-0000-0000-000065C50000}"/>
    <cellStyle name="Normal 5 3 9 3 2 2" xfId="54449" xr:uid="{00000000-0005-0000-0000-000066C50000}"/>
    <cellStyle name="Normal 5 3 9 3 3" xfId="40887" xr:uid="{00000000-0005-0000-0000-000067C50000}"/>
    <cellStyle name="Normal 5 3 9 4" xfId="20535" xr:uid="{00000000-0005-0000-0000-000068C50000}"/>
    <cellStyle name="Normal 5 3 9 4 2" xfId="47668" xr:uid="{00000000-0005-0000-0000-000069C50000}"/>
    <cellStyle name="Normal 5 3 9 5" xfId="34106" xr:uid="{00000000-0005-0000-0000-00006AC50000}"/>
    <cellStyle name="Normal 5 4" xfId="6818" xr:uid="{00000000-0005-0000-0000-00006BC50000}"/>
    <cellStyle name="Normal 5 49" xfId="20" xr:uid="{00000000-0005-0000-0000-00006CC50000}"/>
    <cellStyle name="Normal 5 5" xfId="6819" xr:uid="{00000000-0005-0000-0000-00006DC50000}"/>
    <cellStyle name="Normal 5 5 2" xfId="6820" xr:uid="{00000000-0005-0000-0000-00006EC50000}"/>
    <cellStyle name="Normal 5 5 2 2" xfId="10350" xr:uid="{00000000-0005-0000-0000-00006FC50000}"/>
    <cellStyle name="Normal 5 5 2 2 2" xfId="17139" xr:uid="{00000000-0005-0000-0000-000070C50000}"/>
    <cellStyle name="Normal 5 5 2 2 2 2" xfId="30707" xr:uid="{00000000-0005-0000-0000-000071C50000}"/>
    <cellStyle name="Normal 5 5 2 2 2 2 2" xfId="57840" xr:uid="{00000000-0005-0000-0000-000072C50000}"/>
    <cellStyle name="Normal 5 5 2 2 2 3" xfId="44278" xr:uid="{00000000-0005-0000-0000-000073C50000}"/>
    <cellStyle name="Normal 5 5 2 2 3" xfId="23926" xr:uid="{00000000-0005-0000-0000-000074C50000}"/>
    <cellStyle name="Normal 5 5 2 2 3 2" xfId="51059" xr:uid="{00000000-0005-0000-0000-000075C50000}"/>
    <cellStyle name="Normal 5 5 2 2 4" xfId="37497" xr:uid="{00000000-0005-0000-0000-000076C50000}"/>
    <cellStyle name="Normal 5 5 2 3" xfId="13750" xr:uid="{00000000-0005-0000-0000-000077C50000}"/>
    <cellStyle name="Normal 5 5 2 3 2" xfId="27318" xr:uid="{00000000-0005-0000-0000-000078C50000}"/>
    <cellStyle name="Normal 5 5 2 3 2 2" xfId="54451" xr:uid="{00000000-0005-0000-0000-000079C50000}"/>
    <cellStyle name="Normal 5 5 2 3 3" xfId="40889" xr:uid="{00000000-0005-0000-0000-00007AC50000}"/>
    <cellStyle name="Normal 5 5 2 4" xfId="20537" xr:uid="{00000000-0005-0000-0000-00007BC50000}"/>
    <cellStyle name="Normal 5 5 2 4 2" xfId="47670" xr:uid="{00000000-0005-0000-0000-00007CC50000}"/>
    <cellStyle name="Normal 5 5 2 5" xfId="34108" xr:uid="{00000000-0005-0000-0000-00007DC50000}"/>
    <cellStyle name="Normal 5 5 3" xfId="6821" xr:uid="{00000000-0005-0000-0000-00007EC50000}"/>
    <cellStyle name="Normal 5 5 3 2" xfId="10351" xr:uid="{00000000-0005-0000-0000-00007FC50000}"/>
    <cellStyle name="Normal 5 5 3 2 2" xfId="17140" xr:uid="{00000000-0005-0000-0000-000080C50000}"/>
    <cellStyle name="Normal 5 5 3 2 2 2" xfId="30708" xr:uid="{00000000-0005-0000-0000-000081C50000}"/>
    <cellStyle name="Normal 5 5 3 2 2 2 2" xfId="57841" xr:uid="{00000000-0005-0000-0000-000082C50000}"/>
    <cellStyle name="Normal 5 5 3 2 2 3" xfId="44279" xr:uid="{00000000-0005-0000-0000-000083C50000}"/>
    <cellStyle name="Normal 5 5 3 2 3" xfId="23927" xr:uid="{00000000-0005-0000-0000-000084C50000}"/>
    <cellStyle name="Normal 5 5 3 2 3 2" xfId="51060" xr:uid="{00000000-0005-0000-0000-000085C50000}"/>
    <cellStyle name="Normal 5 5 3 2 4" xfId="37498" xr:uid="{00000000-0005-0000-0000-000086C50000}"/>
    <cellStyle name="Normal 5 5 3 3" xfId="13751" xr:uid="{00000000-0005-0000-0000-000087C50000}"/>
    <cellStyle name="Normal 5 5 3 3 2" xfId="27319" xr:uid="{00000000-0005-0000-0000-000088C50000}"/>
    <cellStyle name="Normal 5 5 3 3 2 2" xfId="54452" xr:uid="{00000000-0005-0000-0000-000089C50000}"/>
    <cellStyle name="Normal 5 5 3 3 3" xfId="40890" xr:uid="{00000000-0005-0000-0000-00008AC50000}"/>
    <cellStyle name="Normal 5 5 3 4" xfId="20538" xr:uid="{00000000-0005-0000-0000-00008BC50000}"/>
    <cellStyle name="Normal 5 5 3 4 2" xfId="47671" xr:uid="{00000000-0005-0000-0000-00008CC50000}"/>
    <cellStyle name="Normal 5 5 3 5" xfId="34109" xr:uid="{00000000-0005-0000-0000-00008DC50000}"/>
    <cellStyle name="Normal 5 5 4" xfId="10349" xr:uid="{00000000-0005-0000-0000-00008EC50000}"/>
    <cellStyle name="Normal 5 5 4 2" xfId="17138" xr:uid="{00000000-0005-0000-0000-00008FC50000}"/>
    <cellStyle name="Normal 5 5 4 2 2" xfId="30706" xr:uid="{00000000-0005-0000-0000-000090C50000}"/>
    <cellStyle name="Normal 5 5 4 2 2 2" xfId="57839" xr:uid="{00000000-0005-0000-0000-000091C50000}"/>
    <cellStyle name="Normal 5 5 4 2 3" xfId="44277" xr:uid="{00000000-0005-0000-0000-000092C50000}"/>
    <cellStyle name="Normal 5 5 4 3" xfId="23925" xr:uid="{00000000-0005-0000-0000-000093C50000}"/>
    <cellStyle name="Normal 5 5 4 3 2" xfId="51058" xr:uid="{00000000-0005-0000-0000-000094C50000}"/>
    <cellStyle name="Normal 5 5 4 4" xfId="37496" xr:uid="{00000000-0005-0000-0000-000095C50000}"/>
    <cellStyle name="Normal 5 5 5" xfId="13749" xr:uid="{00000000-0005-0000-0000-000096C50000}"/>
    <cellStyle name="Normal 5 5 5 2" xfId="27317" xr:uid="{00000000-0005-0000-0000-000097C50000}"/>
    <cellStyle name="Normal 5 5 5 2 2" xfId="54450" xr:uid="{00000000-0005-0000-0000-000098C50000}"/>
    <cellStyle name="Normal 5 5 5 3" xfId="40888" xr:uid="{00000000-0005-0000-0000-000099C50000}"/>
    <cellStyle name="Normal 5 5 6" xfId="20536" xr:uid="{00000000-0005-0000-0000-00009AC50000}"/>
    <cellStyle name="Normal 5 5 6 2" xfId="47669" xr:uid="{00000000-0005-0000-0000-00009BC50000}"/>
    <cellStyle name="Normal 5 5 7" xfId="34107" xr:uid="{00000000-0005-0000-0000-00009CC50000}"/>
    <cellStyle name="Normal 5 6" xfId="6822" xr:uid="{00000000-0005-0000-0000-00009DC50000}"/>
    <cellStyle name="Normal 5 6 2" xfId="10352" xr:uid="{00000000-0005-0000-0000-00009EC50000}"/>
    <cellStyle name="Normal 5 6 2 2" xfId="17141" xr:uid="{00000000-0005-0000-0000-00009FC50000}"/>
    <cellStyle name="Normal 5 6 2 2 2" xfId="30709" xr:uid="{00000000-0005-0000-0000-0000A0C50000}"/>
    <cellStyle name="Normal 5 6 2 2 2 2" xfId="57842" xr:uid="{00000000-0005-0000-0000-0000A1C50000}"/>
    <cellStyle name="Normal 5 6 2 2 3" xfId="44280" xr:uid="{00000000-0005-0000-0000-0000A2C50000}"/>
    <cellStyle name="Normal 5 6 2 3" xfId="23928" xr:uid="{00000000-0005-0000-0000-0000A3C50000}"/>
    <cellStyle name="Normal 5 6 2 3 2" xfId="51061" xr:uid="{00000000-0005-0000-0000-0000A4C50000}"/>
    <cellStyle name="Normal 5 6 2 4" xfId="37499" xr:uid="{00000000-0005-0000-0000-0000A5C50000}"/>
    <cellStyle name="Normal 5 6 3" xfId="13752" xr:uid="{00000000-0005-0000-0000-0000A6C50000}"/>
    <cellStyle name="Normal 5 6 3 2" xfId="27320" xr:uid="{00000000-0005-0000-0000-0000A7C50000}"/>
    <cellStyle name="Normal 5 6 3 2 2" xfId="54453" xr:uid="{00000000-0005-0000-0000-0000A8C50000}"/>
    <cellStyle name="Normal 5 6 3 3" xfId="40891" xr:uid="{00000000-0005-0000-0000-0000A9C50000}"/>
    <cellStyle name="Normal 5 6 4" xfId="20539" xr:uid="{00000000-0005-0000-0000-0000AAC50000}"/>
    <cellStyle name="Normal 5 6 4 2" xfId="47672" xr:uid="{00000000-0005-0000-0000-0000ABC50000}"/>
    <cellStyle name="Normal 5 6 5" xfId="34110" xr:uid="{00000000-0005-0000-0000-0000ACC50000}"/>
    <cellStyle name="Normal 5 7" xfId="72" xr:uid="{00000000-0005-0000-0000-0000ADC50000}"/>
    <cellStyle name="Normal 50" xfId="17637" xr:uid="{00000000-0005-0000-0000-0000AEC50000}"/>
    <cellStyle name="Normal 51" xfId="31198" xr:uid="{00000000-0005-0000-0000-0000AFC50000}"/>
    <cellStyle name="Normal 52" xfId="31199" xr:uid="{00000000-0005-0000-0000-0000B0C50000}"/>
    <cellStyle name="Normal 53" xfId="31200" xr:uid="{00000000-0005-0000-0000-0000B1C50000}"/>
    <cellStyle name="Normal 53 2" xfId="58331" xr:uid="{00000000-0005-0000-0000-0000B2C50000}"/>
    <cellStyle name="Normal 54" xfId="31201" xr:uid="{00000000-0005-0000-0000-0000B3C50000}"/>
    <cellStyle name="Normal 54 2" xfId="58332" xr:uid="{00000000-0005-0000-0000-0000B4C50000}"/>
    <cellStyle name="Normal 55" xfId="31202" xr:uid="{00000000-0005-0000-0000-0000B5C50000}"/>
    <cellStyle name="Normal 55 2" xfId="58333" xr:uid="{00000000-0005-0000-0000-0000B6C50000}"/>
    <cellStyle name="Normal 56" xfId="31203" xr:uid="{00000000-0005-0000-0000-0000B7C50000}"/>
    <cellStyle name="Normal 56 2" xfId="58334" xr:uid="{00000000-0005-0000-0000-0000B8C50000}"/>
    <cellStyle name="Normal 57" xfId="31205" xr:uid="{00000000-0005-0000-0000-0000B9C50000}"/>
    <cellStyle name="Normal 58" xfId="58335" xr:uid="{00000000-0005-0000-0000-0000BAC50000}"/>
    <cellStyle name="Normal 59" xfId="31204" xr:uid="{00000000-0005-0000-0000-0000BBC50000}"/>
    <cellStyle name="Normal 6" xfId="73" xr:uid="{00000000-0005-0000-0000-0000BCC50000}"/>
    <cellStyle name="Normal 6 2" xfId="145" xr:uid="{00000000-0005-0000-0000-0000BDC50000}"/>
    <cellStyle name="Normal 6 2 10" xfId="6823" xr:uid="{00000000-0005-0000-0000-0000BEC50000}"/>
    <cellStyle name="Normal 6 2 10 2" xfId="10353" xr:uid="{00000000-0005-0000-0000-0000BFC50000}"/>
    <cellStyle name="Normal 6 2 10 2 2" xfId="17142" xr:uid="{00000000-0005-0000-0000-0000C0C50000}"/>
    <cellStyle name="Normal 6 2 10 2 2 2" xfId="30710" xr:uid="{00000000-0005-0000-0000-0000C1C50000}"/>
    <cellStyle name="Normal 6 2 10 2 2 2 2" xfId="57843" xr:uid="{00000000-0005-0000-0000-0000C2C50000}"/>
    <cellStyle name="Normal 6 2 10 2 2 3" xfId="44281" xr:uid="{00000000-0005-0000-0000-0000C3C50000}"/>
    <cellStyle name="Normal 6 2 10 2 3" xfId="23929" xr:uid="{00000000-0005-0000-0000-0000C4C50000}"/>
    <cellStyle name="Normal 6 2 10 2 3 2" xfId="51062" xr:uid="{00000000-0005-0000-0000-0000C5C50000}"/>
    <cellStyle name="Normal 6 2 10 2 4" xfId="37500" xr:uid="{00000000-0005-0000-0000-0000C6C50000}"/>
    <cellStyle name="Normal 6 2 10 3" xfId="13753" xr:uid="{00000000-0005-0000-0000-0000C7C50000}"/>
    <cellStyle name="Normal 6 2 10 3 2" xfId="27321" xr:uid="{00000000-0005-0000-0000-0000C8C50000}"/>
    <cellStyle name="Normal 6 2 10 3 2 2" xfId="54454" xr:uid="{00000000-0005-0000-0000-0000C9C50000}"/>
    <cellStyle name="Normal 6 2 10 3 3" xfId="40892" xr:uid="{00000000-0005-0000-0000-0000CAC50000}"/>
    <cellStyle name="Normal 6 2 10 4" xfId="20540" xr:uid="{00000000-0005-0000-0000-0000CBC50000}"/>
    <cellStyle name="Normal 6 2 10 4 2" xfId="47673" xr:uid="{00000000-0005-0000-0000-0000CCC50000}"/>
    <cellStyle name="Normal 6 2 10 5" xfId="34111" xr:uid="{00000000-0005-0000-0000-0000CDC50000}"/>
    <cellStyle name="Normal 6 2 2" xfId="6824" xr:uid="{00000000-0005-0000-0000-0000CEC50000}"/>
    <cellStyle name="Normal 6 2 2 10" xfId="13754" xr:uid="{00000000-0005-0000-0000-0000CFC50000}"/>
    <cellStyle name="Normal 6 2 2 10 2" xfId="27322" xr:uid="{00000000-0005-0000-0000-0000D0C50000}"/>
    <cellStyle name="Normal 6 2 2 10 2 2" xfId="54455" xr:uid="{00000000-0005-0000-0000-0000D1C50000}"/>
    <cellStyle name="Normal 6 2 2 10 3" xfId="40893" xr:uid="{00000000-0005-0000-0000-0000D2C50000}"/>
    <cellStyle name="Normal 6 2 2 11" xfId="20541" xr:uid="{00000000-0005-0000-0000-0000D3C50000}"/>
    <cellStyle name="Normal 6 2 2 11 2" xfId="47674" xr:uid="{00000000-0005-0000-0000-0000D4C50000}"/>
    <cellStyle name="Normal 6 2 2 12" xfId="34112" xr:uid="{00000000-0005-0000-0000-0000D5C50000}"/>
    <cellStyle name="Normal 6 2 2 2" xfId="6825" xr:uid="{00000000-0005-0000-0000-0000D6C50000}"/>
    <cellStyle name="Normal 6 2 2 2 10" xfId="34113" xr:uid="{00000000-0005-0000-0000-0000D7C50000}"/>
    <cellStyle name="Normal 6 2 2 2 2" xfId="6826" xr:uid="{00000000-0005-0000-0000-0000D8C50000}"/>
    <cellStyle name="Normal 6 2 2 2 2 2" xfId="6827" xr:uid="{00000000-0005-0000-0000-0000D9C50000}"/>
    <cellStyle name="Normal 6 2 2 2 2 2 2" xfId="6828" xr:uid="{00000000-0005-0000-0000-0000DAC50000}"/>
    <cellStyle name="Normal 6 2 2 2 2 2 2 2" xfId="10358" xr:uid="{00000000-0005-0000-0000-0000DBC50000}"/>
    <cellStyle name="Normal 6 2 2 2 2 2 2 2 2" xfId="17147" xr:uid="{00000000-0005-0000-0000-0000DCC50000}"/>
    <cellStyle name="Normal 6 2 2 2 2 2 2 2 2 2" xfId="30715" xr:uid="{00000000-0005-0000-0000-0000DDC50000}"/>
    <cellStyle name="Normal 6 2 2 2 2 2 2 2 2 2 2" xfId="57848" xr:uid="{00000000-0005-0000-0000-0000DEC50000}"/>
    <cellStyle name="Normal 6 2 2 2 2 2 2 2 2 3" xfId="44286" xr:uid="{00000000-0005-0000-0000-0000DFC50000}"/>
    <cellStyle name="Normal 6 2 2 2 2 2 2 2 3" xfId="23934" xr:uid="{00000000-0005-0000-0000-0000E0C50000}"/>
    <cellStyle name="Normal 6 2 2 2 2 2 2 2 3 2" xfId="51067" xr:uid="{00000000-0005-0000-0000-0000E1C50000}"/>
    <cellStyle name="Normal 6 2 2 2 2 2 2 2 4" xfId="37505" xr:uid="{00000000-0005-0000-0000-0000E2C50000}"/>
    <cellStyle name="Normal 6 2 2 2 2 2 2 3" xfId="13758" xr:uid="{00000000-0005-0000-0000-0000E3C50000}"/>
    <cellStyle name="Normal 6 2 2 2 2 2 2 3 2" xfId="27326" xr:uid="{00000000-0005-0000-0000-0000E4C50000}"/>
    <cellStyle name="Normal 6 2 2 2 2 2 2 3 2 2" xfId="54459" xr:uid="{00000000-0005-0000-0000-0000E5C50000}"/>
    <cellStyle name="Normal 6 2 2 2 2 2 2 3 3" xfId="40897" xr:uid="{00000000-0005-0000-0000-0000E6C50000}"/>
    <cellStyle name="Normal 6 2 2 2 2 2 2 4" xfId="20545" xr:uid="{00000000-0005-0000-0000-0000E7C50000}"/>
    <cellStyle name="Normal 6 2 2 2 2 2 2 4 2" xfId="47678" xr:uid="{00000000-0005-0000-0000-0000E8C50000}"/>
    <cellStyle name="Normal 6 2 2 2 2 2 2 5" xfId="34116" xr:uid="{00000000-0005-0000-0000-0000E9C50000}"/>
    <cellStyle name="Normal 6 2 2 2 2 2 3" xfId="6829" xr:uid="{00000000-0005-0000-0000-0000EAC50000}"/>
    <cellStyle name="Normal 6 2 2 2 2 2 3 2" xfId="10359" xr:uid="{00000000-0005-0000-0000-0000EBC50000}"/>
    <cellStyle name="Normal 6 2 2 2 2 2 3 2 2" xfId="17148" xr:uid="{00000000-0005-0000-0000-0000ECC50000}"/>
    <cellStyle name="Normal 6 2 2 2 2 2 3 2 2 2" xfId="30716" xr:uid="{00000000-0005-0000-0000-0000EDC50000}"/>
    <cellStyle name="Normal 6 2 2 2 2 2 3 2 2 2 2" xfId="57849" xr:uid="{00000000-0005-0000-0000-0000EEC50000}"/>
    <cellStyle name="Normal 6 2 2 2 2 2 3 2 2 3" xfId="44287" xr:uid="{00000000-0005-0000-0000-0000EFC50000}"/>
    <cellStyle name="Normal 6 2 2 2 2 2 3 2 3" xfId="23935" xr:uid="{00000000-0005-0000-0000-0000F0C50000}"/>
    <cellStyle name="Normal 6 2 2 2 2 2 3 2 3 2" xfId="51068" xr:uid="{00000000-0005-0000-0000-0000F1C50000}"/>
    <cellStyle name="Normal 6 2 2 2 2 2 3 2 4" xfId="37506" xr:uid="{00000000-0005-0000-0000-0000F2C50000}"/>
    <cellStyle name="Normal 6 2 2 2 2 2 3 3" xfId="13759" xr:uid="{00000000-0005-0000-0000-0000F3C50000}"/>
    <cellStyle name="Normal 6 2 2 2 2 2 3 3 2" xfId="27327" xr:uid="{00000000-0005-0000-0000-0000F4C50000}"/>
    <cellStyle name="Normal 6 2 2 2 2 2 3 3 2 2" xfId="54460" xr:uid="{00000000-0005-0000-0000-0000F5C50000}"/>
    <cellStyle name="Normal 6 2 2 2 2 2 3 3 3" xfId="40898" xr:uid="{00000000-0005-0000-0000-0000F6C50000}"/>
    <cellStyle name="Normal 6 2 2 2 2 2 3 4" xfId="20546" xr:uid="{00000000-0005-0000-0000-0000F7C50000}"/>
    <cellStyle name="Normal 6 2 2 2 2 2 3 4 2" xfId="47679" xr:uid="{00000000-0005-0000-0000-0000F8C50000}"/>
    <cellStyle name="Normal 6 2 2 2 2 2 3 5" xfId="34117" xr:uid="{00000000-0005-0000-0000-0000F9C50000}"/>
    <cellStyle name="Normal 6 2 2 2 2 2 4" xfId="10357" xr:uid="{00000000-0005-0000-0000-0000FAC50000}"/>
    <cellStyle name="Normal 6 2 2 2 2 2 4 2" xfId="17146" xr:uid="{00000000-0005-0000-0000-0000FBC50000}"/>
    <cellStyle name="Normal 6 2 2 2 2 2 4 2 2" xfId="30714" xr:uid="{00000000-0005-0000-0000-0000FCC50000}"/>
    <cellStyle name="Normal 6 2 2 2 2 2 4 2 2 2" xfId="57847" xr:uid="{00000000-0005-0000-0000-0000FDC50000}"/>
    <cellStyle name="Normal 6 2 2 2 2 2 4 2 3" xfId="44285" xr:uid="{00000000-0005-0000-0000-0000FEC50000}"/>
    <cellStyle name="Normal 6 2 2 2 2 2 4 3" xfId="23933" xr:uid="{00000000-0005-0000-0000-0000FFC50000}"/>
    <cellStyle name="Normal 6 2 2 2 2 2 4 3 2" xfId="51066" xr:uid="{00000000-0005-0000-0000-000000C60000}"/>
    <cellStyle name="Normal 6 2 2 2 2 2 4 4" xfId="37504" xr:uid="{00000000-0005-0000-0000-000001C60000}"/>
    <cellStyle name="Normal 6 2 2 2 2 2 5" xfId="13757" xr:uid="{00000000-0005-0000-0000-000002C60000}"/>
    <cellStyle name="Normal 6 2 2 2 2 2 5 2" xfId="27325" xr:uid="{00000000-0005-0000-0000-000003C60000}"/>
    <cellStyle name="Normal 6 2 2 2 2 2 5 2 2" xfId="54458" xr:uid="{00000000-0005-0000-0000-000004C60000}"/>
    <cellStyle name="Normal 6 2 2 2 2 2 5 3" xfId="40896" xr:uid="{00000000-0005-0000-0000-000005C60000}"/>
    <cellStyle name="Normal 6 2 2 2 2 2 6" xfId="20544" xr:uid="{00000000-0005-0000-0000-000006C60000}"/>
    <cellStyle name="Normal 6 2 2 2 2 2 6 2" xfId="47677" xr:uid="{00000000-0005-0000-0000-000007C60000}"/>
    <cellStyle name="Normal 6 2 2 2 2 2 7" xfId="34115" xr:uid="{00000000-0005-0000-0000-000008C60000}"/>
    <cellStyle name="Normal 6 2 2 2 2 3" xfId="6830" xr:uid="{00000000-0005-0000-0000-000009C60000}"/>
    <cellStyle name="Normal 6 2 2 2 2 3 2" xfId="6831" xr:uid="{00000000-0005-0000-0000-00000AC60000}"/>
    <cellStyle name="Normal 6 2 2 2 2 3 2 2" xfId="10361" xr:uid="{00000000-0005-0000-0000-00000BC60000}"/>
    <cellStyle name="Normal 6 2 2 2 2 3 2 2 2" xfId="17150" xr:uid="{00000000-0005-0000-0000-00000CC60000}"/>
    <cellStyle name="Normal 6 2 2 2 2 3 2 2 2 2" xfId="30718" xr:uid="{00000000-0005-0000-0000-00000DC60000}"/>
    <cellStyle name="Normal 6 2 2 2 2 3 2 2 2 2 2" xfId="57851" xr:uid="{00000000-0005-0000-0000-00000EC60000}"/>
    <cellStyle name="Normal 6 2 2 2 2 3 2 2 2 3" xfId="44289" xr:uid="{00000000-0005-0000-0000-00000FC60000}"/>
    <cellStyle name="Normal 6 2 2 2 2 3 2 2 3" xfId="23937" xr:uid="{00000000-0005-0000-0000-000010C60000}"/>
    <cellStyle name="Normal 6 2 2 2 2 3 2 2 3 2" xfId="51070" xr:uid="{00000000-0005-0000-0000-000011C60000}"/>
    <cellStyle name="Normal 6 2 2 2 2 3 2 2 4" xfId="37508" xr:uid="{00000000-0005-0000-0000-000012C60000}"/>
    <cellStyle name="Normal 6 2 2 2 2 3 2 3" xfId="13761" xr:uid="{00000000-0005-0000-0000-000013C60000}"/>
    <cellStyle name="Normal 6 2 2 2 2 3 2 3 2" xfId="27329" xr:uid="{00000000-0005-0000-0000-000014C60000}"/>
    <cellStyle name="Normal 6 2 2 2 2 3 2 3 2 2" xfId="54462" xr:uid="{00000000-0005-0000-0000-000015C60000}"/>
    <cellStyle name="Normal 6 2 2 2 2 3 2 3 3" xfId="40900" xr:uid="{00000000-0005-0000-0000-000016C60000}"/>
    <cellStyle name="Normal 6 2 2 2 2 3 2 4" xfId="20548" xr:uid="{00000000-0005-0000-0000-000017C60000}"/>
    <cellStyle name="Normal 6 2 2 2 2 3 2 4 2" xfId="47681" xr:uid="{00000000-0005-0000-0000-000018C60000}"/>
    <cellStyle name="Normal 6 2 2 2 2 3 2 5" xfId="34119" xr:uid="{00000000-0005-0000-0000-000019C60000}"/>
    <cellStyle name="Normal 6 2 2 2 2 3 3" xfId="10360" xr:uid="{00000000-0005-0000-0000-00001AC60000}"/>
    <cellStyle name="Normal 6 2 2 2 2 3 3 2" xfId="17149" xr:uid="{00000000-0005-0000-0000-00001BC60000}"/>
    <cellStyle name="Normal 6 2 2 2 2 3 3 2 2" xfId="30717" xr:uid="{00000000-0005-0000-0000-00001CC60000}"/>
    <cellStyle name="Normal 6 2 2 2 2 3 3 2 2 2" xfId="57850" xr:uid="{00000000-0005-0000-0000-00001DC60000}"/>
    <cellStyle name="Normal 6 2 2 2 2 3 3 2 3" xfId="44288" xr:uid="{00000000-0005-0000-0000-00001EC60000}"/>
    <cellStyle name="Normal 6 2 2 2 2 3 3 3" xfId="23936" xr:uid="{00000000-0005-0000-0000-00001FC60000}"/>
    <cellStyle name="Normal 6 2 2 2 2 3 3 3 2" xfId="51069" xr:uid="{00000000-0005-0000-0000-000020C60000}"/>
    <cellStyle name="Normal 6 2 2 2 2 3 3 4" xfId="37507" xr:uid="{00000000-0005-0000-0000-000021C60000}"/>
    <cellStyle name="Normal 6 2 2 2 2 3 4" xfId="13760" xr:uid="{00000000-0005-0000-0000-000022C60000}"/>
    <cellStyle name="Normal 6 2 2 2 2 3 4 2" xfId="27328" xr:uid="{00000000-0005-0000-0000-000023C60000}"/>
    <cellStyle name="Normal 6 2 2 2 2 3 4 2 2" xfId="54461" xr:uid="{00000000-0005-0000-0000-000024C60000}"/>
    <cellStyle name="Normal 6 2 2 2 2 3 4 3" xfId="40899" xr:uid="{00000000-0005-0000-0000-000025C60000}"/>
    <cellStyle name="Normal 6 2 2 2 2 3 5" xfId="20547" xr:uid="{00000000-0005-0000-0000-000026C60000}"/>
    <cellStyle name="Normal 6 2 2 2 2 3 5 2" xfId="47680" xr:uid="{00000000-0005-0000-0000-000027C60000}"/>
    <cellStyle name="Normal 6 2 2 2 2 3 6" xfId="34118" xr:uid="{00000000-0005-0000-0000-000028C60000}"/>
    <cellStyle name="Normal 6 2 2 2 2 4" xfId="6832" xr:uid="{00000000-0005-0000-0000-000029C60000}"/>
    <cellStyle name="Normal 6 2 2 2 2 4 2" xfId="10362" xr:uid="{00000000-0005-0000-0000-00002AC60000}"/>
    <cellStyle name="Normal 6 2 2 2 2 4 2 2" xfId="17151" xr:uid="{00000000-0005-0000-0000-00002BC60000}"/>
    <cellStyle name="Normal 6 2 2 2 2 4 2 2 2" xfId="30719" xr:uid="{00000000-0005-0000-0000-00002CC60000}"/>
    <cellStyle name="Normal 6 2 2 2 2 4 2 2 2 2" xfId="57852" xr:uid="{00000000-0005-0000-0000-00002DC60000}"/>
    <cellStyle name="Normal 6 2 2 2 2 4 2 2 3" xfId="44290" xr:uid="{00000000-0005-0000-0000-00002EC60000}"/>
    <cellStyle name="Normal 6 2 2 2 2 4 2 3" xfId="23938" xr:uid="{00000000-0005-0000-0000-00002FC60000}"/>
    <cellStyle name="Normal 6 2 2 2 2 4 2 3 2" xfId="51071" xr:uid="{00000000-0005-0000-0000-000030C60000}"/>
    <cellStyle name="Normal 6 2 2 2 2 4 2 4" xfId="37509" xr:uid="{00000000-0005-0000-0000-000031C60000}"/>
    <cellStyle name="Normal 6 2 2 2 2 4 3" xfId="13762" xr:uid="{00000000-0005-0000-0000-000032C60000}"/>
    <cellStyle name="Normal 6 2 2 2 2 4 3 2" xfId="27330" xr:uid="{00000000-0005-0000-0000-000033C60000}"/>
    <cellStyle name="Normal 6 2 2 2 2 4 3 2 2" xfId="54463" xr:uid="{00000000-0005-0000-0000-000034C60000}"/>
    <cellStyle name="Normal 6 2 2 2 2 4 3 3" xfId="40901" xr:uid="{00000000-0005-0000-0000-000035C60000}"/>
    <cellStyle name="Normal 6 2 2 2 2 4 4" xfId="20549" xr:uid="{00000000-0005-0000-0000-000036C60000}"/>
    <cellStyle name="Normal 6 2 2 2 2 4 4 2" xfId="47682" xr:uid="{00000000-0005-0000-0000-000037C60000}"/>
    <cellStyle name="Normal 6 2 2 2 2 4 5" xfId="34120" xr:uid="{00000000-0005-0000-0000-000038C60000}"/>
    <cellStyle name="Normal 6 2 2 2 2 5" xfId="6833" xr:uid="{00000000-0005-0000-0000-000039C60000}"/>
    <cellStyle name="Normal 6 2 2 2 2 5 2" xfId="10363" xr:uid="{00000000-0005-0000-0000-00003AC60000}"/>
    <cellStyle name="Normal 6 2 2 2 2 5 2 2" xfId="17152" xr:uid="{00000000-0005-0000-0000-00003BC60000}"/>
    <cellStyle name="Normal 6 2 2 2 2 5 2 2 2" xfId="30720" xr:uid="{00000000-0005-0000-0000-00003CC60000}"/>
    <cellStyle name="Normal 6 2 2 2 2 5 2 2 2 2" xfId="57853" xr:uid="{00000000-0005-0000-0000-00003DC60000}"/>
    <cellStyle name="Normal 6 2 2 2 2 5 2 2 3" xfId="44291" xr:uid="{00000000-0005-0000-0000-00003EC60000}"/>
    <cellStyle name="Normal 6 2 2 2 2 5 2 3" xfId="23939" xr:uid="{00000000-0005-0000-0000-00003FC60000}"/>
    <cellStyle name="Normal 6 2 2 2 2 5 2 3 2" xfId="51072" xr:uid="{00000000-0005-0000-0000-000040C60000}"/>
    <cellStyle name="Normal 6 2 2 2 2 5 2 4" xfId="37510" xr:uid="{00000000-0005-0000-0000-000041C60000}"/>
    <cellStyle name="Normal 6 2 2 2 2 5 3" xfId="13763" xr:uid="{00000000-0005-0000-0000-000042C60000}"/>
    <cellStyle name="Normal 6 2 2 2 2 5 3 2" xfId="27331" xr:uid="{00000000-0005-0000-0000-000043C60000}"/>
    <cellStyle name="Normal 6 2 2 2 2 5 3 2 2" xfId="54464" xr:uid="{00000000-0005-0000-0000-000044C60000}"/>
    <cellStyle name="Normal 6 2 2 2 2 5 3 3" xfId="40902" xr:uid="{00000000-0005-0000-0000-000045C60000}"/>
    <cellStyle name="Normal 6 2 2 2 2 5 4" xfId="20550" xr:uid="{00000000-0005-0000-0000-000046C60000}"/>
    <cellStyle name="Normal 6 2 2 2 2 5 4 2" xfId="47683" xr:uid="{00000000-0005-0000-0000-000047C60000}"/>
    <cellStyle name="Normal 6 2 2 2 2 5 5" xfId="34121" xr:uid="{00000000-0005-0000-0000-000048C60000}"/>
    <cellStyle name="Normal 6 2 2 2 2 6" xfId="10356" xr:uid="{00000000-0005-0000-0000-000049C60000}"/>
    <cellStyle name="Normal 6 2 2 2 2 6 2" xfId="17145" xr:uid="{00000000-0005-0000-0000-00004AC60000}"/>
    <cellStyle name="Normal 6 2 2 2 2 6 2 2" xfId="30713" xr:uid="{00000000-0005-0000-0000-00004BC60000}"/>
    <cellStyle name="Normal 6 2 2 2 2 6 2 2 2" xfId="57846" xr:uid="{00000000-0005-0000-0000-00004CC60000}"/>
    <cellStyle name="Normal 6 2 2 2 2 6 2 3" xfId="44284" xr:uid="{00000000-0005-0000-0000-00004DC60000}"/>
    <cellStyle name="Normal 6 2 2 2 2 6 3" xfId="23932" xr:uid="{00000000-0005-0000-0000-00004EC60000}"/>
    <cellStyle name="Normal 6 2 2 2 2 6 3 2" xfId="51065" xr:uid="{00000000-0005-0000-0000-00004FC60000}"/>
    <cellStyle name="Normal 6 2 2 2 2 6 4" xfId="37503" xr:uid="{00000000-0005-0000-0000-000050C60000}"/>
    <cellStyle name="Normal 6 2 2 2 2 7" xfId="13756" xr:uid="{00000000-0005-0000-0000-000051C60000}"/>
    <cellStyle name="Normal 6 2 2 2 2 7 2" xfId="27324" xr:uid="{00000000-0005-0000-0000-000052C60000}"/>
    <cellStyle name="Normal 6 2 2 2 2 7 2 2" xfId="54457" xr:uid="{00000000-0005-0000-0000-000053C60000}"/>
    <cellStyle name="Normal 6 2 2 2 2 7 3" xfId="40895" xr:uid="{00000000-0005-0000-0000-000054C60000}"/>
    <cellStyle name="Normal 6 2 2 2 2 8" xfId="20543" xr:uid="{00000000-0005-0000-0000-000055C60000}"/>
    <cellStyle name="Normal 6 2 2 2 2 8 2" xfId="47676" xr:uid="{00000000-0005-0000-0000-000056C60000}"/>
    <cellStyle name="Normal 6 2 2 2 2 9" xfId="34114" xr:uid="{00000000-0005-0000-0000-000057C60000}"/>
    <cellStyle name="Normal 6 2 2 2 3" xfId="6834" xr:uid="{00000000-0005-0000-0000-000058C60000}"/>
    <cellStyle name="Normal 6 2 2 2 3 2" xfId="6835" xr:uid="{00000000-0005-0000-0000-000059C60000}"/>
    <cellStyle name="Normal 6 2 2 2 3 2 2" xfId="10365" xr:uid="{00000000-0005-0000-0000-00005AC60000}"/>
    <cellStyle name="Normal 6 2 2 2 3 2 2 2" xfId="17154" xr:uid="{00000000-0005-0000-0000-00005BC60000}"/>
    <cellStyle name="Normal 6 2 2 2 3 2 2 2 2" xfId="30722" xr:uid="{00000000-0005-0000-0000-00005CC60000}"/>
    <cellStyle name="Normal 6 2 2 2 3 2 2 2 2 2" xfId="57855" xr:uid="{00000000-0005-0000-0000-00005DC60000}"/>
    <cellStyle name="Normal 6 2 2 2 3 2 2 2 3" xfId="44293" xr:uid="{00000000-0005-0000-0000-00005EC60000}"/>
    <cellStyle name="Normal 6 2 2 2 3 2 2 3" xfId="23941" xr:uid="{00000000-0005-0000-0000-00005FC60000}"/>
    <cellStyle name="Normal 6 2 2 2 3 2 2 3 2" xfId="51074" xr:uid="{00000000-0005-0000-0000-000060C60000}"/>
    <cellStyle name="Normal 6 2 2 2 3 2 2 4" xfId="37512" xr:uid="{00000000-0005-0000-0000-000061C60000}"/>
    <cellStyle name="Normal 6 2 2 2 3 2 3" xfId="13765" xr:uid="{00000000-0005-0000-0000-000062C60000}"/>
    <cellStyle name="Normal 6 2 2 2 3 2 3 2" xfId="27333" xr:uid="{00000000-0005-0000-0000-000063C60000}"/>
    <cellStyle name="Normal 6 2 2 2 3 2 3 2 2" xfId="54466" xr:uid="{00000000-0005-0000-0000-000064C60000}"/>
    <cellStyle name="Normal 6 2 2 2 3 2 3 3" xfId="40904" xr:uid="{00000000-0005-0000-0000-000065C60000}"/>
    <cellStyle name="Normal 6 2 2 2 3 2 4" xfId="20552" xr:uid="{00000000-0005-0000-0000-000066C60000}"/>
    <cellStyle name="Normal 6 2 2 2 3 2 4 2" xfId="47685" xr:uid="{00000000-0005-0000-0000-000067C60000}"/>
    <cellStyle name="Normal 6 2 2 2 3 2 5" xfId="34123" xr:uid="{00000000-0005-0000-0000-000068C60000}"/>
    <cellStyle name="Normal 6 2 2 2 3 3" xfId="6836" xr:uid="{00000000-0005-0000-0000-000069C60000}"/>
    <cellStyle name="Normal 6 2 2 2 3 3 2" xfId="10366" xr:uid="{00000000-0005-0000-0000-00006AC60000}"/>
    <cellStyle name="Normal 6 2 2 2 3 3 2 2" xfId="17155" xr:uid="{00000000-0005-0000-0000-00006BC60000}"/>
    <cellStyle name="Normal 6 2 2 2 3 3 2 2 2" xfId="30723" xr:uid="{00000000-0005-0000-0000-00006CC60000}"/>
    <cellStyle name="Normal 6 2 2 2 3 3 2 2 2 2" xfId="57856" xr:uid="{00000000-0005-0000-0000-00006DC60000}"/>
    <cellStyle name="Normal 6 2 2 2 3 3 2 2 3" xfId="44294" xr:uid="{00000000-0005-0000-0000-00006EC60000}"/>
    <cellStyle name="Normal 6 2 2 2 3 3 2 3" xfId="23942" xr:uid="{00000000-0005-0000-0000-00006FC60000}"/>
    <cellStyle name="Normal 6 2 2 2 3 3 2 3 2" xfId="51075" xr:uid="{00000000-0005-0000-0000-000070C60000}"/>
    <cellStyle name="Normal 6 2 2 2 3 3 2 4" xfId="37513" xr:uid="{00000000-0005-0000-0000-000071C60000}"/>
    <cellStyle name="Normal 6 2 2 2 3 3 3" xfId="13766" xr:uid="{00000000-0005-0000-0000-000072C60000}"/>
    <cellStyle name="Normal 6 2 2 2 3 3 3 2" xfId="27334" xr:uid="{00000000-0005-0000-0000-000073C60000}"/>
    <cellStyle name="Normal 6 2 2 2 3 3 3 2 2" xfId="54467" xr:uid="{00000000-0005-0000-0000-000074C60000}"/>
    <cellStyle name="Normal 6 2 2 2 3 3 3 3" xfId="40905" xr:uid="{00000000-0005-0000-0000-000075C60000}"/>
    <cellStyle name="Normal 6 2 2 2 3 3 4" xfId="20553" xr:uid="{00000000-0005-0000-0000-000076C60000}"/>
    <cellStyle name="Normal 6 2 2 2 3 3 4 2" xfId="47686" xr:uid="{00000000-0005-0000-0000-000077C60000}"/>
    <cellStyle name="Normal 6 2 2 2 3 3 5" xfId="34124" xr:uid="{00000000-0005-0000-0000-000078C60000}"/>
    <cellStyle name="Normal 6 2 2 2 3 4" xfId="10364" xr:uid="{00000000-0005-0000-0000-000079C60000}"/>
    <cellStyle name="Normal 6 2 2 2 3 4 2" xfId="17153" xr:uid="{00000000-0005-0000-0000-00007AC60000}"/>
    <cellStyle name="Normal 6 2 2 2 3 4 2 2" xfId="30721" xr:uid="{00000000-0005-0000-0000-00007BC60000}"/>
    <cellStyle name="Normal 6 2 2 2 3 4 2 2 2" xfId="57854" xr:uid="{00000000-0005-0000-0000-00007CC60000}"/>
    <cellStyle name="Normal 6 2 2 2 3 4 2 3" xfId="44292" xr:uid="{00000000-0005-0000-0000-00007DC60000}"/>
    <cellStyle name="Normal 6 2 2 2 3 4 3" xfId="23940" xr:uid="{00000000-0005-0000-0000-00007EC60000}"/>
    <cellStyle name="Normal 6 2 2 2 3 4 3 2" xfId="51073" xr:uid="{00000000-0005-0000-0000-00007FC60000}"/>
    <cellStyle name="Normal 6 2 2 2 3 4 4" xfId="37511" xr:uid="{00000000-0005-0000-0000-000080C60000}"/>
    <cellStyle name="Normal 6 2 2 2 3 5" xfId="13764" xr:uid="{00000000-0005-0000-0000-000081C60000}"/>
    <cellStyle name="Normal 6 2 2 2 3 5 2" xfId="27332" xr:uid="{00000000-0005-0000-0000-000082C60000}"/>
    <cellStyle name="Normal 6 2 2 2 3 5 2 2" xfId="54465" xr:uid="{00000000-0005-0000-0000-000083C60000}"/>
    <cellStyle name="Normal 6 2 2 2 3 5 3" xfId="40903" xr:uid="{00000000-0005-0000-0000-000084C60000}"/>
    <cellStyle name="Normal 6 2 2 2 3 6" xfId="20551" xr:uid="{00000000-0005-0000-0000-000085C60000}"/>
    <cellStyle name="Normal 6 2 2 2 3 6 2" xfId="47684" xr:uid="{00000000-0005-0000-0000-000086C60000}"/>
    <cellStyle name="Normal 6 2 2 2 3 7" xfId="34122" xr:uid="{00000000-0005-0000-0000-000087C60000}"/>
    <cellStyle name="Normal 6 2 2 2 4" xfId="6837" xr:uid="{00000000-0005-0000-0000-000088C60000}"/>
    <cellStyle name="Normal 6 2 2 2 4 2" xfId="6838" xr:uid="{00000000-0005-0000-0000-000089C60000}"/>
    <cellStyle name="Normal 6 2 2 2 4 2 2" xfId="10368" xr:uid="{00000000-0005-0000-0000-00008AC60000}"/>
    <cellStyle name="Normal 6 2 2 2 4 2 2 2" xfId="17157" xr:uid="{00000000-0005-0000-0000-00008BC60000}"/>
    <cellStyle name="Normal 6 2 2 2 4 2 2 2 2" xfId="30725" xr:uid="{00000000-0005-0000-0000-00008CC60000}"/>
    <cellStyle name="Normal 6 2 2 2 4 2 2 2 2 2" xfId="57858" xr:uid="{00000000-0005-0000-0000-00008DC60000}"/>
    <cellStyle name="Normal 6 2 2 2 4 2 2 2 3" xfId="44296" xr:uid="{00000000-0005-0000-0000-00008EC60000}"/>
    <cellStyle name="Normal 6 2 2 2 4 2 2 3" xfId="23944" xr:uid="{00000000-0005-0000-0000-00008FC60000}"/>
    <cellStyle name="Normal 6 2 2 2 4 2 2 3 2" xfId="51077" xr:uid="{00000000-0005-0000-0000-000090C60000}"/>
    <cellStyle name="Normal 6 2 2 2 4 2 2 4" xfId="37515" xr:uid="{00000000-0005-0000-0000-000091C60000}"/>
    <cellStyle name="Normal 6 2 2 2 4 2 3" xfId="13768" xr:uid="{00000000-0005-0000-0000-000092C60000}"/>
    <cellStyle name="Normal 6 2 2 2 4 2 3 2" xfId="27336" xr:uid="{00000000-0005-0000-0000-000093C60000}"/>
    <cellStyle name="Normal 6 2 2 2 4 2 3 2 2" xfId="54469" xr:uid="{00000000-0005-0000-0000-000094C60000}"/>
    <cellStyle name="Normal 6 2 2 2 4 2 3 3" xfId="40907" xr:uid="{00000000-0005-0000-0000-000095C60000}"/>
    <cellStyle name="Normal 6 2 2 2 4 2 4" xfId="20555" xr:uid="{00000000-0005-0000-0000-000096C60000}"/>
    <cellStyle name="Normal 6 2 2 2 4 2 4 2" xfId="47688" xr:uid="{00000000-0005-0000-0000-000097C60000}"/>
    <cellStyle name="Normal 6 2 2 2 4 2 5" xfId="34126" xr:uid="{00000000-0005-0000-0000-000098C60000}"/>
    <cellStyle name="Normal 6 2 2 2 4 3" xfId="10367" xr:uid="{00000000-0005-0000-0000-000099C60000}"/>
    <cellStyle name="Normal 6 2 2 2 4 3 2" xfId="17156" xr:uid="{00000000-0005-0000-0000-00009AC60000}"/>
    <cellStyle name="Normal 6 2 2 2 4 3 2 2" xfId="30724" xr:uid="{00000000-0005-0000-0000-00009BC60000}"/>
    <cellStyle name="Normal 6 2 2 2 4 3 2 2 2" xfId="57857" xr:uid="{00000000-0005-0000-0000-00009CC60000}"/>
    <cellStyle name="Normal 6 2 2 2 4 3 2 3" xfId="44295" xr:uid="{00000000-0005-0000-0000-00009DC60000}"/>
    <cellStyle name="Normal 6 2 2 2 4 3 3" xfId="23943" xr:uid="{00000000-0005-0000-0000-00009EC60000}"/>
    <cellStyle name="Normal 6 2 2 2 4 3 3 2" xfId="51076" xr:uid="{00000000-0005-0000-0000-00009FC60000}"/>
    <cellStyle name="Normal 6 2 2 2 4 3 4" xfId="37514" xr:uid="{00000000-0005-0000-0000-0000A0C60000}"/>
    <cellStyle name="Normal 6 2 2 2 4 4" xfId="13767" xr:uid="{00000000-0005-0000-0000-0000A1C60000}"/>
    <cellStyle name="Normal 6 2 2 2 4 4 2" xfId="27335" xr:uid="{00000000-0005-0000-0000-0000A2C60000}"/>
    <cellStyle name="Normal 6 2 2 2 4 4 2 2" xfId="54468" xr:uid="{00000000-0005-0000-0000-0000A3C60000}"/>
    <cellStyle name="Normal 6 2 2 2 4 4 3" xfId="40906" xr:uid="{00000000-0005-0000-0000-0000A4C60000}"/>
    <cellStyle name="Normal 6 2 2 2 4 5" xfId="20554" xr:uid="{00000000-0005-0000-0000-0000A5C60000}"/>
    <cellStyle name="Normal 6 2 2 2 4 5 2" xfId="47687" xr:uid="{00000000-0005-0000-0000-0000A6C60000}"/>
    <cellStyle name="Normal 6 2 2 2 4 6" xfId="34125" xr:uid="{00000000-0005-0000-0000-0000A7C60000}"/>
    <cellStyle name="Normal 6 2 2 2 5" xfId="6839" xr:uid="{00000000-0005-0000-0000-0000A8C60000}"/>
    <cellStyle name="Normal 6 2 2 2 5 2" xfId="10369" xr:uid="{00000000-0005-0000-0000-0000A9C60000}"/>
    <cellStyle name="Normal 6 2 2 2 5 2 2" xfId="17158" xr:uid="{00000000-0005-0000-0000-0000AAC60000}"/>
    <cellStyle name="Normal 6 2 2 2 5 2 2 2" xfId="30726" xr:uid="{00000000-0005-0000-0000-0000ABC60000}"/>
    <cellStyle name="Normal 6 2 2 2 5 2 2 2 2" xfId="57859" xr:uid="{00000000-0005-0000-0000-0000ACC60000}"/>
    <cellStyle name="Normal 6 2 2 2 5 2 2 3" xfId="44297" xr:uid="{00000000-0005-0000-0000-0000ADC60000}"/>
    <cellStyle name="Normal 6 2 2 2 5 2 3" xfId="23945" xr:uid="{00000000-0005-0000-0000-0000AEC60000}"/>
    <cellStyle name="Normal 6 2 2 2 5 2 3 2" xfId="51078" xr:uid="{00000000-0005-0000-0000-0000AFC60000}"/>
    <cellStyle name="Normal 6 2 2 2 5 2 4" xfId="37516" xr:uid="{00000000-0005-0000-0000-0000B0C60000}"/>
    <cellStyle name="Normal 6 2 2 2 5 3" xfId="13769" xr:uid="{00000000-0005-0000-0000-0000B1C60000}"/>
    <cellStyle name="Normal 6 2 2 2 5 3 2" xfId="27337" xr:uid="{00000000-0005-0000-0000-0000B2C60000}"/>
    <cellStyle name="Normal 6 2 2 2 5 3 2 2" xfId="54470" xr:uid="{00000000-0005-0000-0000-0000B3C60000}"/>
    <cellStyle name="Normal 6 2 2 2 5 3 3" xfId="40908" xr:uid="{00000000-0005-0000-0000-0000B4C60000}"/>
    <cellStyle name="Normal 6 2 2 2 5 4" xfId="20556" xr:uid="{00000000-0005-0000-0000-0000B5C60000}"/>
    <cellStyle name="Normal 6 2 2 2 5 4 2" xfId="47689" xr:uid="{00000000-0005-0000-0000-0000B6C60000}"/>
    <cellStyle name="Normal 6 2 2 2 5 5" xfId="34127" xr:uid="{00000000-0005-0000-0000-0000B7C60000}"/>
    <cellStyle name="Normal 6 2 2 2 6" xfId="6840" xr:uid="{00000000-0005-0000-0000-0000B8C60000}"/>
    <cellStyle name="Normal 6 2 2 2 6 2" xfId="10370" xr:uid="{00000000-0005-0000-0000-0000B9C60000}"/>
    <cellStyle name="Normal 6 2 2 2 6 2 2" xfId="17159" xr:uid="{00000000-0005-0000-0000-0000BAC60000}"/>
    <cellStyle name="Normal 6 2 2 2 6 2 2 2" xfId="30727" xr:uid="{00000000-0005-0000-0000-0000BBC60000}"/>
    <cellStyle name="Normal 6 2 2 2 6 2 2 2 2" xfId="57860" xr:uid="{00000000-0005-0000-0000-0000BCC60000}"/>
    <cellStyle name="Normal 6 2 2 2 6 2 2 3" xfId="44298" xr:uid="{00000000-0005-0000-0000-0000BDC60000}"/>
    <cellStyle name="Normal 6 2 2 2 6 2 3" xfId="23946" xr:uid="{00000000-0005-0000-0000-0000BEC60000}"/>
    <cellStyle name="Normal 6 2 2 2 6 2 3 2" xfId="51079" xr:uid="{00000000-0005-0000-0000-0000BFC60000}"/>
    <cellStyle name="Normal 6 2 2 2 6 2 4" xfId="37517" xr:uid="{00000000-0005-0000-0000-0000C0C60000}"/>
    <cellStyle name="Normal 6 2 2 2 6 3" xfId="13770" xr:uid="{00000000-0005-0000-0000-0000C1C60000}"/>
    <cellStyle name="Normal 6 2 2 2 6 3 2" xfId="27338" xr:uid="{00000000-0005-0000-0000-0000C2C60000}"/>
    <cellStyle name="Normal 6 2 2 2 6 3 2 2" xfId="54471" xr:uid="{00000000-0005-0000-0000-0000C3C60000}"/>
    <cellStyle name="Normal 6 2 2 2 6 3 3" xfId="40909" xr:uid="{00000000-0005-0000-0000-0000C4C60000}"/>
    <cellStyle name="Normal 6 2 2 2 6 4" xfId="20557" xr:uid="{00000000-0005-0000-0000-0000C5C60000}"/>
    <cellStyle name="Normal 6 2 2 2 6 4 2" xfId="47690" xr:uid="{00000000-0005-0000-0000-0000C6C60000}"/>
    <cellStyle name="Normal 6 2 2 2 6 5" xfId="34128" xr:uid="{00000000-0005-0000-0000-0000C7C60000}"/>
    <cellStyle name="Normal 6 2 2 2 7" xfId="10355" xr:uid="{00000000-0005-0000-0000-0000C8C60000}"/>
    <cellStyle name="Normal 6 2 2 2 7 2" xfId="17144" xr:uid="{00000000-0005-0000-0000-0000C9C60000}"/>
    <cellStyle name="Normal 6 2 2 2 7 2 2" xfId="30712" xr:uid="{00000000-0005-0000-0000-0000CAC60000}"/>
    <cellStyle name="Normal 6 2 2 2 7 2 2 2" xfId="57845" xr:uid="{00000000-0005-0000-0000-0000CBC60000}"/>
    <cellStyle name="Normal 6 2 2 2 7 2 3" xfId="44283" xr:uid="{00000000-0005-0000-0000-0000CCC60000}"/>
    <cellStyle name="Normal 6 2 2 2 7 3" xfId="23931" xr:uid="{00000000-0005-0000-0000-0000CDC60000}"/>
    <cellStyle name="Normal 6 2 2 2 7 3 2" xfId="51064" xr:uid="{00000000-0005-0000-0000-0000CEC60000}"/>
    <cellStyle name="Normal 6 2 2 2 7 4" xfId="37502" xr:uid="{00000000-0005-0000-0000-0000CFC60000}"/>
    <cellStyle name="Normal 6 2 2 2 8" xfId="13755" xr:uid="{00000000-0005-0000-0000-0000D0C60000}"/>
    <cellStyle name="Normal 6 2 2 2 8 2" xfId="27323" xr:uid="{00000000-0005-0000-0000-0000D1C60000}"/>
    <cellStyle name="Normal 6 2 2 2 8 2 2" xfId="54456" xr:uid="{00000000-0005-0000-0000-0000D2C60000}"/>
    <cellStyle name="Normal 6 2 2 2 8 3" xfId="40894" xr:uid="{00000000-0005-0000-0000-0000D3C60000}"/>
    <cellStyle name="Normal 6 2 2 2 9" xfId="20542" xr:uid="{00000000-0005-0000-0000-0000D4C60000}"/>
    <cellStyle name="Normal 6 2 2 2 9 2" xfId="47675" xr:uid="{00000000-0005-0000-0000-0000D5C60000}"/>
    <cellStyle name="Normal 6 2 2 3" xfId="6841" xr:uid="{00000000-0005-0000-0000-0000D6C60000}"/>
    <cellStyle name="Normal 6 2 2 3 2" xfId="6842" xr:uid="{00000000-0005-0000-0000-0000D7C60000}"/>
    <cellStyle name="Normal 6 2 2 3 2 2" xfId="6843" xr:uid="{00000000-0005-0000-0000-0000D8C60000}"/>
    <cellStyle name="Normal 6 2 2 3 2 2 2" xfId="10373" xr:uid="{00000000-0005-0000-0000-0000D9C60000}"/>
    <cellStyle name="Normal 6 2 2 3 2 2 2 2" xfId="17162" xr:uid="{00000000-0005-0000-0000-0000DAC60000}"/>
    <cellStyle name="Normal 6 2 2 3 2 2 2 2 2" xfId="30730" xr:uid="{00000000-0005-0000-0000-0000DBC60000}"/>
    <cellStyle name="Normal 6 2 2 3 2 2 2 2 2 2" xfId="57863" xr:uid="{00000000-0005-0000-0000-0000DCC60000}"/>
    <cellStyle name="Normal 6 2 2 3 2 2 2 2 3" xfId="44301" xr:uid="{00000000-0005-0000-0000-0000DDC60000}"/>
    <cellStyle name="Normal 6 2 2 3 2 2 2 3" xfId="23949" xr:uid="{00000000-0005-0000-0000-0000DEC60000}"/>
    <cellStyle name="Normal 6 2 2 3 2 2 2 3 2" xfId="51082" xr:uid="{00000000-0005-0000-0000-0000DFC60000}"/>
    <cellStyle name="Normal 6 2 2 3 2 2 2 4" xfId="37520" xr:uid="{00000000-0005-0000-0000-0000E0C60000}"/>
    <cellStyle name="Normal 6 2 2 3 2 2 3" xfId="13773" xr:uid="{00000000-0005-0000-0000-0000E1C60000}"/>
    <cellStyle name="Normal 6 2 2 3 2 2 3 2" xfId="27341" xr:uid="{00000000-0005-0000-0000-0000E2C60000}"/>
    <cellStyle name="Normal 6 2 2 3 2 2 3 2 2" xfId="54474" xr:uid="{00000000-0005-0000-0000-0000E3C60000}"/>
    <cellStyle name="Normal 6 2 2 3 2 2 3 3" xfId="40912" xr:uid="{00000000-0005-0000-0000-0000E4C60000}"/>
    <cellStyle name="Normal 6 2 2 3 2 2 4" xfId="20560" xr:uid="{00000000-0005-0000-0000-0000E5C60000}"/>
    <cellStyle name="Normal 6 2 2 3 2 2 4 2" xfId="47693" xr:uid="{00000000-0005-0000-0000-0000E6C60000}"/>
    <cellStyle name="Normal 6 2 2 3 2 2 5" xfId="34131" xr:uid="{00000000-0005-0000-0000-0000E7C60000}"/>
    <cellStyle name="Normal 6 2 2 3 2 3" xfId="6844" xr:uid="{00000000-0005-0000-0000-0000E8C60000}"/>
    <cellStyle name="Normal 6 2 2 3 2 3 2" xfId="10374" xr:uid="{00000000-0005-0000-0000-0000E9C60000}"/>
    <cellStyle name="Normal 6 2 2 3 2 3 2 2" xfId="17163" xr:uid="{00000000-0005-0000-0000-0000EAC60000}"/>
    <cellStyle name="Normal 6 2 2 3 2 3 2 2 2" xfId="30731" xr:uid="{00000000-0005-0000-0000-0000EBC60000}"/>
    <cellStyle name="Normal 6 2 2 3 2 3 2 2 2 2" xfId="57864" xr:uid="{00000000-0005-0000-0000-0000ECC60000}"/>
    <cellStyle name="Normal 6 2 2 3 2 3 2 2 3" xfId="44302" xr:uid="{00000000-0005-0000-0000-0000EDC60000}"/>
    <cellStyle name="Normal 6 2 2 3 2 3 2 3" xfId="23950" xr:uid="{00000000-0005-0000-0000-0000EEC60000}"/>
    <cellStyle name="Normal 6 2 2 3 2 3 2 3 2" xfId="51083" xr:uid="{00000000-0005-0000-0000-0000EFC60000}"/>
    <cellStyle name="Normal 6 2 2 3 2 3 2 4" xfId="37521" xr:uid="{00000000-0005-0000-0000-0000F0C60000}"/>
    <cellStyle name="Normal 6 2 2 3 2 3 3" xfId="13774" xr:uid="{00000000-0005-0000-0000-0000F1C60000}"/>
    <cellStyle name="Normal 6 2 2 3 2 3 3 2" xfId="27342" xr:uid="{00000000-0005-0000-0000-0000F2C60000}"/>
    <cellStyle name="Normal 6 2 2 3 2 3 3 2 2" xfId="54475" xr:uid="{00000000-0005-0000-0000-0000F3C60000}"/>
    <cellStyle name="Normal 6 2 2 3 2 3 3 3" xfId="40913" xr:uid="{00000000-0005-0000-0000-0000F4C60000}"/>
    <cellStyle name="Normal 6 2 2 3 2 3 4" xfId="20561" xr:uid="{00000000-0005-0000-0000-0000F5C60000}"/>
    <cellStyle name="Normal 6 2 2 3 2 3 4 2" xfId="47694" xr:uid="{00000000-0005-0000-0000-0000F6C60000}"/>
    <cellStyle name="Normal 6 2 2 3 2 3 5" xfId="34132" xr:uid="{00000000-0005-0000-0000-0000F7C60000}"/>
    <cellStyle name="Normal 6 2 2 3 2 4" xfId="10372" xr:uid="{00000000-0005-0000-0000-0000F8C60000}"/>
    <cellStyle name="Normal 6 2 2 3 2 4 2" xfId="17161" xr:uid="{00000000-0005-0000-0000-0000F9C60000}"/>
    <cellStyle name="Normal 6 2 2 3 2 4 2 2" xfId="30729" xr:uid="{00000000-0005-0000-0000-0000FAC60000}"/>
    <cellStyle name="Normal 6 2 2 3 2 4 2 2 2" xfId="57862" xr:uid="{00000000-0005-0000-0000-0000FBC60000}"/>
    <cellStyle name="Normal 6 2 2 3 2 4 2 3" xfId="44300" xr:uid="{00000000-0005-0000-0000-0000FCC60000}"/>
    <cellStyle name="Normal 6 2 2 3 2 4 3" xfId="23948" xr:uid="{00000000-0005-0000-0000-0000FDC60000}"/>
    <cellStyle name="Normal 6 2 2 3 2 4 3 2" xfId="51081" xr:uid="{00000000-0005-0000-0000-0000FEC60000}"/>
    <cellStyle name="Normal 6 2 2 3 2 4 4" xfId="37519" xr:uid="{00000000-0005-0000-0000-0000FFC60000}"/>
    <cellStyle name="Normal 6 2 2 3 2 5" xfId="13772" xr:uid="{00000000-0005-0000-0000-000000C70000}"/>
    <cellStyle name="Normal 6 2 2 3 2 5 2" xfId="27340" xr:uid="{00000000-0005-0000-0000-000001C70000}"/>
    <cellStyle name="Normal 6 2 2 3 2 5 2 2" xfId="54473" xr:uid="{00000000-0005-0000-0000-000002C70000}"/>
    <cellStyle name="Normal 6 2 2 3 2 5 3" xfId="40911" xr:uid="{00000000-0005-0000-0000-000003C70000}"/>
    <cellStyle name="Normal 6 2 2 3 2 6" xfId="20559" xr:uid="{00000000-0005-0000-0000-000004C70000}"/>
    <cellStyle name="Normal 6 2 2 3 2 6 2" xfId="47692" xr:uid="{00000000-0005-0000-0000-000005C70000}"/>
    <cellStyle name="Normal 6 2 2 3 2 7" xfId="34130" xr:uid="{00000000-0005-0000-0000-000006C70000}"/>
    <cellStyle name="Normal 6 2 2 3 3" xfId="6845" xr:uid="{00000000-0005-0000-0000-000007C70000}"/>
    <cellStyle name="Normal 6 2 2 3 3 2" xfId="6846" xr:uid="{00000000-0005-0000-0000-000008C70000}"/>
    <cellStyle name="Normal 6 2 2 3 3 2 2" xfId="10376" xr:uid="{00000000-0005-0000-0000-000009C70000}"/>
    <cellStyle name="Normal 6 2 2 3 3 2 2 2" xfId="17165" xr:uid="{00000000-0005-0000-0000-00000AC70000}"/>
    <cellStyle name="Normal 6 2 2 3 3 2 2 2 2" xfId="30733" xr:uid="{00000000-0005-0000-0000-00000BC70000}"/>
    <cellStyle name="Normal 6 2 2 3 3 2 2 2 2 2" xfId="57866" xr:uid="{00000000-0005-0000-0000-00000CC70000}"/>
    <cellStyle name="Normal 6 2 2 3 3 2 2 2 3" xfId="44304" xr:uid="{00000000-0005-0000-0000-00000DC70000}"/>
    <cellStyle name="Normal 6 2 2 3 3 2 2 3" xfId="23952" xr:uid="{00000000-0005-0000-0000-00000EC70000}"/>
    <cellStyle name="Normal 6 2 2 3 3 2 2 3 2" xfId="51085" xr:uid="{00000000-0005-0000-0000-00000FC70000}"/>
    <cellStyle name="Normal 6 2 2 3 3 2 2 4" xfId="37523" xr:uid="{00000000-0005-0000-0000-000010C70000}"/>
    <cellStyle name="Normal 6 2 2 3 3 2 3" xfId="13776" xr:uid="{00000000-0005-0000-0000-000011C70000}"/>
    <cellStyle name="Normal 6 2 2 3 3 2 3 2" xfId="27344" xr:uid="{00000000-0005-0000-0000-000012C70000}"/>
    <cellStyle name="Normal 6 2 2 3 3 2 3 2 2" xfId="54477" xr:uid="{00000000-0005-0000-0000-000013C70000}"/>
    <cellStyle name="Normal 6 2 2 3 3 2 3 3" xfId="40915" xr:uid="{00000000-0005-0000-0000-000014C70000}"/>
    <cellStyle name="Normal 6 2 2 3 3 2 4" xfId="20563" xr:uid="{00000000-0005-0000-0000-000015C70000}"/>
    <cellStyle name="Normal 6 2 2 3 3 2 4 2" xfId="47696" xr:uid="{00000000-0005-0000-0000-000016C70000}"/>
    <cellStyle name="Normal 6 2 2 3 3 2 5" xfId="34134" xr:uid="{00000000-0005-0000-0000-000017C70000}"/>
    <cellStyle name="Normal 6 2 2 3 3 3" xfId="10375" xr:uid="{00000000-0005-0000-0000-000018C70000}"/>
    <cellStyle name="Normal 6 2 2 3 3 3 2" xfId="17164" xr:uid="{00000000-0005-0000-0000-000019C70000}"/>
    <cellStyle name="Normal 6 2 2 3 3 3 2 2" xfId="30732" xr:uid="{00000000-0005-0000-0000-00001AC70000}"/>
    <cellStyle name="Normal 6 2 2 3 3 3 2 2 2" xfId="57865" xr:uid="{00000000-0005-0000-0000-00001BC70000}"/>
    <cellStyle name="Normal 6 2 2 3 3 3 2 3" xfId="44303" xr:uid="{00000000-0005-0000-0000-00001CC70000}"/>
    <cellStyle name="Normal 6 2 2 3 3 3 3" xfId="23951" xr:uid="{00000000-0005-0000-0000-00001DC70000}"/>
    <cellStyle name="Normal 6 2 2 3 3 3 3 2" xfId="51084" xr:uid="{00000000-0005-0000-0000-00001EC70000}"/>
    <cellStyle name="Normal 6 2 2 3 3 3 4" xfId="37522" xr:uid="{00000000-0005-0000-0000-00001FC70000}"/>
    <cellStyle name="Normal 6 2 2 3 3 4" xfId="13775" xr:uid="{00000000-0005-0000-0000-000020C70000}"/>
    <cellStyle name="Normal 6 2 2 3 3 4 2" xfId="27343" xr:uid="{00000000-0005-0000-0000-000021C70000}"/>
    <cellStyle name="Normal 6 2 2 3 3 4 2 2" xfId="54476" xr:uid="{00000000-0005-0000-0000-000022C70000}"/>
    <cellStyle name="Normal 6 2 2 3 3 4 3" xfId="40914" xr:uid="{00000000-0005-0000-0000-000023C70000}"/>
    <cellStyle name="Normal 6 2 2 3 3 5" xfId="20562" xr:uid="{00000000-0005-0000-0000-000024C70000}"/>
    <cellStyle name="Normal 6 2 2 3 3 5 2" xfId="47695" xr:uid="{00000000-0005-0000-0000-000025C70000}"/>
    <cellStyle name="Normal 6 2 2 3 3 6" xfId="34133" xr:uid="{00000000-0005-0000-0000-000026C70000}"/>
    <cellStyle name="Normal 6 2 2 3 4" xfId="6847" xr:uid="{00000000-0005-0000-0000-000027C70000}"/>
    <cellStyle name="Normal 6 2 2 3 4 2" xfId="10377" xr:uid="{00000000-0005-0000-0000-000028C70000}"/>
    <cellStyle name="Normal 6 2 2 3 4 2 2" xfId="17166" xr:uid="{00000000-0005-0000-0000-000029C70000}"/>
    <cellStyle name="Normal 6 2 2 3 4 2 2 2" xfId="30734" xr:uid="{00000000-0005-0000-0000-00002AC70000}"/>
    <cellStyle name="Normal 6 2 2 3 4 2 2 2 2" xfId="57867" xr:uid="{00000000-0005-0000-0000-00002BC70000}"/>
    <cellStyle name="Normal 6 2 2 3 4 2 2 3" xfId="44305" xr:uid="{00000000-0005-0000-0000-00002CC70000}"/>
    <cellStyle name="Normal 6 2 2 3 4 2 3" xfId="23953" xr:uid="{00000000-0005-0000-0000-00002DC70000}"/>
    <cellStyle name="Normal 6 2 2 3 4 2 3 2" xfId="51086" xr:uid="{00000000-0005-0000-0000-00002EC70000}"/>
    <cellStyle name="Normal 6 2 2 3 4 2 4" xfId="37524" xr:uid="{00000000-0005-0000-0000-00002FC70000}"/>
    <cellStyle name="Normal 6 2 2 3 4 3" xfId="13777" xr:uid="{00000000-0005-0000-0000-000030C70000}"/>
    <cellStyle name="Normal 6 2 2 3 4 3 2" xfId="27345" xr:uid="{00000000-0005-0000-0000-000031C70000}"/>
    <cellStyle name="Normal 6 2 2 3 4 3 2 2" xfId="54478" xr:uid="{00000000-0005-0000-0000-000032C70000}"/>
    <cellStyle name="Normal 6 2 2 3 4 3 3" xfId="40916" xr:uid="{00000000-0005-0000-0000-000033C70000}"/>
    <cellStyle name="Normal 6 2 2 3 4 4" xfId="20564" xr:uid="{00000000-0005-0000-0000-000034C70000}"/>
    <cellStyle name="Normal 6 2 2 3 4 4 2" xfId="47697" xr:uid="{00000000-0005-0000-0000-000035C70000}"/>
    <cellStyle name="Normal 6 2 2 3 4 5" xfId="34135" xr:uid="{00000000-0005-0000-0000-000036C70000}"/>
    <cellStyle name="Normal 6 2 2 3 5" xfId="6848" xr:uid="{00000000-0005-0000-0000-000037C70000}"/>
    <cellStyle name="Normal 6 2 2 3 5 2" xfId="10378" xr:uid="{00000000-0005-0000-0000-000038C70000}"/>
    <cellStyle name="Normal 6 2 2 3 5 2 2" xfId="17167" xr:uid="{00000000-0005-0000-0000-000039C70000}"/>
    <cellStyle name="Normal 6 2 2 3 5 2 2 2" xfId="30735" xr:uid="{00000000-0005-0000-0000-00003AC70000}"/>
    <cellStyle name="Normal 6 2 2 3 5 2 2 2 2" xfId="57868" xr:uid="{00000000-0005-0000-0000-00003BC70000}"/>
    <cellStyle name="Normal 6 2 2 3 5 2 2 3" xfId="44306" xr:uid="{00000000-0005-0000-0000-00003CC70000}"/>
    <cellStyle name="Normal 6 2 2 3 5 2 3" xfId="23954" xr:uid="{00000000-0005-0000-0000-00003DC70000}"/>
    <cellStyle name="Normal 6 2 2 3 5 2 3 2" xfId="51087" xr:uid="{00000000-0005-0000-0000-00003EC70000}"/>
    <cellStyle name="Normal 6 2 2 3 5 2 4" xfId="37525" xr:uid="{00000000-0005-0000-0000-00003FC70000}"/>
    <cellStyle name="Normal 6 2 2 3 5 3" xfId="13778" xr:uid="{00000000-0005-0000-0000-000040C70000}"/>
    <cellStyle name="Normal 6 2 2 3 5 3 2" xfId="27346" xr:uid="{00000000-0005-0000-0000-000041C70000}"/>
    <cellStyle name="Normal 6 2 2 3 5 3 2 2" xfId="54479" xr:uid="{00000000-0005-0000-0000-000042C70000}"/>
    <cellStyle name="Normal 6 2 2 3 5 3 3" xfId="40917" xr:uid="{00000000-0005-0000-0000-000043C70000}"/>
    <cellStyle name="Normal 6 2 2 3 5 4" xfId="20565" xr:uid="{00000000-0005-0000-0000-000044C70000}"/>
    <cellStyle name="Normal 6 2 2 3 5 4 2" xfId="47698" xr:uid="{00000000-0005-0000-0000-000045C70000}"/>
    <cellStyle name="Normal 6 2 2 3 5 5" xfId="34136" xr:uid="{00000000-0005-0000-0000-000046C70000}"/>
    <cellStyle name="Normal 6 2 2 3 6" xfId="10371" xr:uid="{00000000-0005-0000-0000-000047C70000}"/>
    <cellStyle name="Normal 6 2 2 3 6 2" xfId="17160" xr:uid="{00000000-0005-0000-0000-000048C70000}"/>
    <cellStyle name="Normal 6 2 2 3 6 2 2" xfId="30728" xr:uid="{00000000-0005-0000-0000-000049C70000}"/>
    <cellStyle name="Normal 6 2 2 3 6 2 2 2" xfId="57861" xr:uid="{00000000-0005-0000-0000-00004AC70000}"/>
    <cellStyle name="Normal 6 2 2 3 6 2 3" xfId="44299" xr:uid="{00000000-0005-0000-0000-00004BC70000}"/>
    <cellStyle name="Normal 6 2 2 3 6 3" xfId="23947" xr:uid="{00000000-0005-0000-0000-00004CC70000}"/>
    <cellStyle name="Normal 6 2 2 3 6 3 2" xfId="51080" xr:uid="{00000000-0005-0000-0000-00004DC70000}"/>
    <cellStyle name="Normal 6 2 2 3 6 4" xfId="37518" xr:uid="{00000000-0005-0000-0000-00004EC70000}"/>
    <cellStyle name="Normal 6 2 2 3 7" xfId="13771" xr:uid="{00000000-0005-0000-0000-00004FC70000}"/>
    <cellStyle name="Normal 6 2 2 3 7 2" xfId="27339" xr:uid="{00000000-0005-0000-0000-000050C70000}"/>
    <cellStyle name="Normal 6 2 2 3 7 2 2" xfId="54472" xr:uid="{00000000-0005-0000-0000-000051C70000}"/>
    <cellStyle name="Normal 6 2 2 3 7 3" xfId="40910" xr:uid="{00000000-0005-0000-0000-000052C70000}"/>
    <cellStyle name="Normal 6 2 2 3 8" xfId="20558" xr:uid="{00000000-0005-0000-0000-000053C70000}"/>
    <cellStyle name="Normal 6 2 2 3 8 2" xfId="47691" xr:uid="{00000000-0005-0000-0000-000054C70000}"/>
    <cellStyle name="Normal 6 2 2 3 9" xfId="34129" xr:uid="{00000000-0005-0000-0000-000055C70000}"/>
    <cellStyle name="Normal 6 2 2 4" xfId="6849" xr:uid="{00000000-0005-0000-0000-000056C70000}"/>
    <cellStyle name="Normal 6 2 2 4 2" xfId="6850" xr:uid="{00000000-0005-0000-0000-000057C70000}"/>
    <cellStyle name="Normal 6 2 2 4 2 2" xfId="6851" xr:uid="{00000000-0005-0000-0000-000058C70000}"/>
    <cellStyle name="Normal 6 2 2 4 2 2 2" xfId="10381" xr:uid="{00000000-0005-0000-0000-000059C70000}"/>
    <cellStyle name="Normal 6 2 2 4 2 2 2 2" xfId="17170" xr:uid="{00000000-0005-0000-0000-00005AC70000}"/>
    <cellStyle name="Normal 6 2 2 4 2 2 2 2 2" xfId="30738" xr:uid="{00000000-0005-0000-0000-00005BC70000}"/>
    <cellStyle name="Normal 6 2 2 4 2 2 2 2 2 2" xfId="57871" xr:uid="{00000000-0005-0000-0000-00005CC70000}"/>
    <cellStyle name="Normal 6 2 2 4 2 2 2 2 3" xfId="44309" xr:uid="{00000000-0005-0000-0000-00005DC70000}"/>
    <cellStyle name="Normal 6 2 2 4 2 2 2 3" xfId="23957" xr:uid="{00000000-0005-0000-0000-00005EC70000}"/>
    <cellStyle name="Normal 6 2 2 4 2 2 2 3 2" xfId="51090" xr:uid="{00000000-0005-0000-0000-00005FC70000}"/>
    <cellStyle name="Normal 6 2 2 4 2 2 2 4" xfId="37528" xr:uid="{00000000-0005-0000-0000-000060C70000}"/>
    <cellStyle name="Normal 6 2 2 4 2 2 3" xfId="13781" xr:uid="{00000000-0005-0000-0000-000061C70000}"/>
    <cellStyle name="Normal 6 2 2 4 2 2 3 2" xfId="27349" xr:uid="{00000000-0005-0000-0000-000062C70000}"/>
    <cellStyle name="Normal 6 2 2 4 2 2 3 2 2" xfId="54482" xr:uid="{00000000-0005-0000-0000-000063C70000}"/>
    <cellStyle name="Normal 6 2 2 4 2 2 3 3" xfId="40920" xr:uid="{00000000-0005-0000-0000-000064C70000}"/>
    <cellStyle name="Normal 6 2 2 4 2 2 4" xfId="20568" xr:uid="{00000000-0005-0000-0000-000065C70000}"/>
    <cellStyle name="Normal 6 2 2 4 2 2 4 2" xfId="47701" xr:uid="{00000000-0005-0000-0000-000066C70000}"/>
    <cellStyle name="Normal 6 2 2 4 2 2 5" xfId="34139" xr:uid="{00000000-0005-0000-0000-000067C70000}"/>
    <cellStyle name="Normal 6 2 2 4 2 3" xfId="6852" xr:uid="{00000000-0005-0000-0000-000068C70000}"/>
    <cellStyle name="Normal 6 2 2 4 2 3 2" xfId="10382" xr:uid="{00000000-0005-0000-0000-000069C70000}"/>
    <cellStyle name="Normal 6 2 2 4 2 3 2 2" xfId="17171" xr:uid="{00000000-0005-0000-0000-00006AC70000}"/>
    <cellStyle name="Normal 6 2 2 4 2 3 2 2 2" xfId="30739" xr:uid="{00000000-0005-0000-0000-00006BC70000}"/>
    <cellStyle name="Normal 6 2 2 4 2 3 2 2 2 2" xfId="57872" xr:uid="{00000000-0005-0000-0000-00006CC70000}"/>
    <cellStyle name="Normal 6 2 2 4 2 3 2 2 3" xfId="44310" xr:uid="{00000000-0005-0000-0000-00006DC70000}"/>
    <cellStyle name="Normal 6 2 2 4 2 3 2 3" xfId="23958" xr:uid="{00000000-0005-0000-0000-00006EC70000}"/>
    <cellStyle name="Normal 6 2 2 4 2 3 2 3 2" xfId="51091" xr:uid="{00000000-0005-0000-0000-00006FC70000}"/>
    <cellStyle name="Normal 6 2 2 4 2 3 2 4" xfId="37529" xr:uid="{00000000-0005-0000-0000-000070C70000}"/>
    <cellStyle name="Normal 6 2 2 4 2 3 3" xfId="13782" xr:uid="{00000000-0005-0000-0000-000071C70000}"/>
    <cellStyle name="Normal 6 2 2 4 2 3 3 2" xfId="27350" xr:uid="{00000000-0005-0000-0000-000072C70000}"/>
    <cellStyle name="Normal 6 2 2 4 2 3 3 2 2" xfId="54483" xr:uid="{00000000-0005-0000-0000-000073C70000}"/>
    <cellStyle name="Normal 6 2 2 4 2 3 3 3" xfId="40921" xr:uid="{00000000-0005-0000-0000-000074C70000}"/>
    <cellStyle name="Normal 6 2 2 4 2 3 4" xfId="20569" xr:uid="{00000000-0005-0000-0000-000075C70000}"/>
    <cellStyle name="Normal 6 2 2 4 2 3 4 2" xfId="47702" xr:uid="{00000000-0005-0000-0000-000076C70000}"/>
    <cellStyle name="Normal 6 2 2 4 2 3 5" xfId="34140" xr:uid="{00000000-0005-0000-0000-000077C70000}"/>
    <cellStyle name="Normal 6 2 2 4 2 4" xfId="10380" xr:uid="{00000000-0005-0000-0000-000078C70000}"/>
    <cellStyle name="Normal 6 2 2 4 2 4 2" xfId="17169" xr:uid="{00000000-0005-0000-0000-000079C70000}"/>
    <cellStyle name="Normal 6 2 2 4 2 4 2 2" xfId="30737" xr:uid="{00000000-0005-0000-0000-00007AC70000}"/>
    <cellStyle name="Normal 6 2 2 4 2 4 2 2 2" xfId="57870" xr:uid="{00000000-0005-0000-0000-00007BC70000}"/>
    <cellStyle name="Normal 6 2 2 4 2 4 2 3" xfId="44308" xr:uid="{00000000-0005-0000-0000-00007CC70000}"/>
    <cellStyle name="Normal 6 2 2 4 2 4 3" xfId="23956" xr:uid="{00000000-0005-0000-0000-00007DC70000}"/>
    <cellStyle name="Normal 6 2 2 4 2 4 3 2" xfId="51089" xr:uid="{00000000-0005-0000-0000-00007EC70000}"/>
    <cellStyle name="Normal 6 2 2 4 2 4 4" xfId="37527" xr:uid="{00000000-0005-0000-0000-00007FC70000}"/>
    <cellStyle name="Normal 6 2 2 4 2 5" xfId="13780" xr:uid="{00000000-0005-0000-0000-000080C70000}"/>
    <cellStyle name="Normal 6 2 2 4 2 5 2" xfId="27348" xr:uid="{00000000-0005-0000-0000-000081C70000}"/>
    <cellStyle name="Normal 6 2 2 4 2 5 2 2" xfId="54481" xr:uid="{00000000-0005-0000-0000-000082C70000}"/>
    <cellStyle name="Normal 6 2 2 4 2 5 3" xfId="40919" xr:uid="{00000000-0005-0000-0000-000083C70000}"/>
    <cellStyle name="Normal 6 2 2 4 2 6" xfId="20567" xr:uid="{00000000-0005-0000-0000-000084C70000}"/>
    <cellStyle name="Normal 6 2 2 4 2 6 2" xfId="47700" xr:uid="{00000000-0005-0000-0000-000085C70000}"/>
    <cellStyle name="Normal 6 2 2 4 2 7" xfId="34138" xr:uid="{00000000-0005-0000-0000-000086C70000}"/>
    <cellStyle name="Normal 6 2 2 4 3" xfId="6853" xr:uid="{00000000-0005-0000-0000-000087C70000}"/>
    <cellStyle name="Normal 6 2 2 4 3 2" xfId="10383" xr:uid="{00000000-0005-0000-0000-000088C70000}"/>
    <cellStyle name="Normal 6 2 2 4 3 2 2" xfId="17172" xr:uid="{00000000-0005-0000-0000-000089C70000}"/>
    <cellStyle name="Normal 6 2 2 4 3 2 2 2" xfId="30740" xr:uid="{00000000-0005-0000-0000-00008AC70000}"/>
    <cellStyle name="Normal 6 2 2 4 3 2 2 2 2" xfId="57873" xr:uid="{00000000-0005-0000-0000-00008BC70000}"/>
    <cellStyle name="Normal 6 2 2 4 3 2 2 3" xfId="44311" xr:uid="{00000000-0005-0000-0000-00008CC70000}"/>
    <cellStyle name="Normal 6 2 2 4 3 2 3" xfId="23959" xr:uid="{00000000-0005-0000-0000-00008DC70000}"/>
    <cellStyle name="Normal 6 2 2 4 3 2 3 2" xfId="51092" xr:uid="{00000000-0005-0000-0000-00008EC70000}"/>
    <cellStyle name="Normal 6 2 2 4 3 2 4" xfId="37530" xr:uid="{00000000-0005-0000-0000-00008FC70000}"/>
    <cellStyle name="Normal 6 2 2 4 3 3" xfId="13783" xr:uid="{00000000-0005-0000-0000-000090C70000}"/>
    <cellStyle name="Normal 6 2 2 4 3 3 2" xfId="27351" xr:uid="{00000000-0005-0000-0000-000091C70000}"/>
    <cellStyle name="Normal 6 2 2 4 3 3 2 2" xfId="54484" xr:uid="{00000000-0005-0000-0000-000092C70000}"/>
    <cellStyle name="Normal 6 2 2 4 3 3 3" xfId="40922" xr:uid="{00000000-0005-0000-0000-000093C70000}"/>
    <cellStyle name="Normal 6 2 2 4 3 4" xfId="20570" xr:uid="{00000000-0005-0000-0000-000094C70000}"/>
    <cellStyle name="Normal 6 2 2 4 3 4 2" xfId="47703" xr:uid="{00000000-0005-0000-0000-000095C70000}"/>
    <cellStyle name="Normal 6 2 2 4 3 5" xfId="34141" xr:uid="{00000000-0005-0000-0000-000096C70000}"/>
    <cellStyle name="Normal 6 2 2 4 4" xfId="6854" xr:uid="{00000000-0005-0000-0000-000097C70000}"/>
    <cellStyle name="Normal 6 2 2 4 4 2" xfId="10384" xr:uid="{00000000-0005-0000-0000-000098C70000}"/>
    <cellStyle name="Normal 6 2 2 4 4 2 2" xfId="17173" xr:uid="{00000000-0005-0000-0000-000099C70000}"/>
    <cellStyle name="Normal 6 2 2 4 4 2 2 2" xfId="30741" xr:uid="{00000000-0005-0000-0000-00009AC70000}"/>
    <cellStyle name="Normal 6 2 2 4 4 2 2 2 2" xfId="57874" xr:uid="{00000000-0005-0000-0000-00009BC70000}"/>
    <cellStyle name="Normal 6 2 2 4 4 2 2 3" xfId="44312" xr:uid="{00000000-0005-0000-0000-00009CC70000}"/>
    <cellStyle name="Normal 6 2 2 4 4 2 3" xfId="23960" xr:uid="{00000000-0005-0000-0000-00009DC70000}"/>
    <cellStyle name="Normal 6 2 2 4 4 2 3 2" xfId="51093" xr:uid="{00000000-0005-0000-0000-00009EC70000}"/>
    <cellStyle name="Normal 6 2 2 4 4 2 4" xfId="37531" xr:uid="{00000000-0005-0000-0000-00009FC70000}"/>
    <cellStyle name="Normal 6 2 2 4 4 3" xfId="13784" xr:uid="{00000000-0005-0000-0000-0000A0C70000}"/>
    <cellStyle name="Normal 6 2 2 4 4 3 2" xfId="27352" xr:uid="{00000000-0005-0000-0000-0000A1C70000}"/>
    <cellStyle name="Normal 6 2 2 4 4 3 2 2" xfId="54485" xr:uid="{00000000-0005-0000-0000-0000A2C70000}"/>
    <cellStyle name="Normal 6 2 2 4 4 3 3" xfId="40923" xr:uid="{00000000-0005-0000-0000-0000A3C70000}"/>
    <cellStyle name="Normal 6 2 2 4 4 4" xfId="20571" xr:uid="{00000000-0005-0000-0000-0000A4C70000}"/>
    <cellStyle name="Normal 6 2 2 4 4 4 2" xfId="47704" xr:uid="{00000000-0005-0000-0000-0000A5C70000}"/>
    <cellStyle name="Normal 6 2 2 4 4 5" xfId="34142" xr:uid="{00000000-0005-0000-0000-0000A6C70000}"/>
    <cellStyle name="Normal 6 2 2 4 5" xfId="10379" xr:uid="{00000000-0005-0000-0000-0000A7C70000}"/>
    <cellStyle name="Normal 6 2 2 4 5 2" xfId="17168" xr:uid="{00000000-0005-0000-0000-0000A8C70000}"/>
    <cellStyle name="Normal 6 2 2 4 5 2 2" xfId="30736" xr:uid="{00000000-0005-0000-0000-0000A9C70000}"/>
    <cellStyle name="Normal 6 2 2 4 5 2 2 2" xfId="57869" xr:uid="{00000000-0005-0000-0000-0000AAC70000}"/>
    <cellStyle name="Normal 6 2 2 4 5 2 3" xfId="44307" xr:uid="{00000000-0005-0000-0000-0000ABC70000}"/>
    <cellStyle name="Normal 6 2 2 4 5 3" xfId="23955" xr:uid="{00000000-0005-0000-0000-0000ACC70000}"/>
    <cellStyle name="Normal 6 2 2 4 5 3 2" xfId="51088" xr:uid="{00000000-0005-0000-0000-0000ADC70000}"/>
    <cellStyle name="Normal 6 2 2 4 5 4" xfId="37526" xr:uid="{00000000-0005-0000-0000-0000AEC70000}"/>
    <cellStyle name="Normal 6 2 2 4 6" xfId="13779" xr:uid="{00000000-0005-0000-0000-0000AFC70000}"/>
    <cellStyle name="Normal 6 2 2 4 6 2" xfId="27347" xr:uid="{00000000-0005-0000-0000-0000B0C70000}"/>
    <cellStyle name="Normal 6 2 2 4 6 2 2" xfId="54480" xr:uid="{00000000-0005-0000-0000-0000B1C70000}"/>
    <cellStyle name="Normal 6 2 2 4 6 3" xfId="40918" xr:uid="{00000000-0005-0000-0000-0000B2C70000}"/>
    <cellStyle name="Normal 6 2 2 4 7" xfId="20566" xr:uid="{00000000-0005-0000-0000-0000B3C70000}"/>
    <cellStyle name="Normal 6 2 2 4 7 2" xfId="47699" xr:uid="{00000000-0005-0000-0000-0000B4C70000}"/>
    <cellStyle name="Normal 6 2 2 4 8" xfId="34137" xr:uid="{00000000-0005-0000-0000-0000B5C70000}"/>
    <cellStyle name="Normal 6 2 2 5" xfId="6855" xr:uid="{00000000-0005-0000-0000-0000B6C70000}"/>
    <cellStyle name="Normal 6 2 2 5 2" xfId="6856" xr:uid="{00000000-0005-0000-0000-0000B7C70000}"/>
    <cellStyle name="Normal 6 2 2 5 2 2" xfId="10386" xr:uid="{00000000-0005-0000-0000-0000B8C70000}"/>
    <cellStyle name="Normal 6 2 2 5 2 2 2" xfId="17175" xr:uid="{00000000-0005-0000-0000-0000B9C70000}"/>
    <cellStyle name="Normal 6 2 2 5 2 2 2 2" xfId="30743" xr:uid="{00000000-0005-0000-0000-0000BAC70000}"/>
    <cellStyle name="Normal 6 2 2 5 2 2 2 2 2" xfId="57876" xr:uid="{00000000-0005-0000-0000-0000BBC70000}"/>
    <cellStyle name="Normal 6 2 2 5 2 2 2 3" xfId="44314" xr:uid="{00000000-0005-0000-0000-0000BCC70000}"/>
    <cellStyle name="Normal 6 2 2 5 2 2 3" xfId="23962" xr:uid="{00000000-0005-0000-0000-0000BDC70000}"/>
    <cellStyle name="Normal 6 2 2 5 2 2 3 2" xfId="51095" xr:uid="{00000000-0005-0000-0000-0000BEC70000}"/>
    <cellStyle name="Normal 6 2 2 5 2 2 4" xfId="37533" xr:uid="{00000000-0005-0000-0000-0000BFC70000}"/>
    <cellStyle name="Normal 6 2 2 5 2 3" xfId="13786" xr:uid="{00000000-0005-0000-0000-0000C0C70000}"/>
    <cellStyle name="Normal 6 2 2 5 2 3 2" xfId="27354" xr:uid="{00000000-0005-0000-0000-0000C1C70000}"/>
    <cellStyle name="Normal 6 2 2 5 2 3 2 2" xfId="54487" xr:uid="{00000000-0005-0000-0000-0000C2C70000}"/>
    <cellStyle name="Normal 6 2 2 5 2 3 3" xfId="40925" xr:uid="{00000000-0005-0000-0000-0000C3C70000}"/>
    <cellStyle name="Normal 6 2 2 5 2 4" xfId="20573" xr:uid="{00000000-0005-0000-0000-0000C4C70000}"/>
    <cellStyle name="Normal 6 2 2 5 2 4 2" xfId="47706" xr:uid="{00000000-0005-0000-0000-0000C5C70000}"/>
    <cellStyle name="Normal 6 2 2 5 2 5" xfId="34144" xr:uid="{00000000-0005-0000-0000-0000C6C70000}"/>
    <cellStyle name="Normal 6 2 2 5 3" xfId="6857" xr:uid="{00000000-0005-0000-0000-0000C7C70000}"/>
    <cellStyle name="Normal 6 2 2 5 3 2" xfId="10387" xr:uid="{00000000-0005-0000-0000-0000C8C70000}"/>
    <cellStyle name="Normal 6 2 2 5 3 2 2" xfId="17176" xr:uid="{00000000-0005-0000-0000-0000C9C70000}"/>
    <cellStyle name="Normal 6 2 2 5 3 2 2 2" xfId="30744" xr:uid="{00000000-0005-0000-0000-0000CAC70000}"/>
    <cellStyle name="Normal 6 2 2 5 3 2 2 2 2" xfId="57877" xr:uid="{00000000-0005-0000-0000-0000CBC70000}"/>
    <cellStyle name="Normal 6 2 2 5 3 2 2 3" xfId="44315" xr:uid="{00000000-0005-0000-0000-0000CCC70000}"/>
    <cellStyle name="Normal 6 2 2 5 3 2 3" xfId="23963" xr:uid="{00000000-0005-0000-0000-0000CDC70000}"/>
    <cellStyle name="Normal 6 2 2 5 3 2 3 2" xfId="51096" xr:uid="{00000000-0005-0000-0000-0000CEC70000}"/>
    <cellStyle name="Normal 6 2 2 5 3 2 4" xfId="37534" xr:uid="{00000000-0005-0000-0000-0000CFC70000}"/>
    <cellStyle name="Normal 6 2 2 5 3 3" xfId="13787" xr:uid="{00000000-0005-0000-0000-0000D0C70000}"/>
    <cellStyle name="Normal 6 2 2 5 3 3 2" xfId="27355" xr:uid="{00000000-0005-0000-0000-0000D1C70000}"/>
    <cellStyle name="Normal 6 2 2 5 3 3 2 2" xfId="54488" xr:uid="{00000000-0005-0000-0000-0000D2C70000}"/>
    <cellStyle name="Normal 6 2 2 5 3 3 3" xfId="40926" xr:uid="{00000000-0005-0000-0000-0000D3C70000}"/>
    <cellStyle name="Normal 6 2 2 5 3 4" xfId="20574" xr:uid="{00000000-0005-0000-0000-0000D4C70000}"/>
    <cellStyle name="Normal 6 2 2 5 3 4 2" xfId="47707" xr:uid="{00000000-0005-0000-0000-0000D5C70000}"/>
    <cellStyle name="Normal 6 2 2 5 3 5" xfId="34145" xr:uid="{00000000-0005-0000-0000-0000D6C70000}"/>
    <cellStyle name="Normal 6 2 2 5 4" xfId="10385" xr:uid="{00000000-0005-0000-0000-0000D7C70000}"/>
    <cellStyle name="Normal 6 2 2 5 4 2" xfId="17174" xr:uid="{00000000-0005-0000-0000-0000D8C70000}"/>
    <cellStyle name="Normal 6 2 2 5 4 2 2" xfId="30742" xr:uid="{00000000-0005-0000-0000-0000D9C70000}"/>
    <cellStyle name="Normal 6 2 2 5 4 2 2 2" xfId="57875" xr:uid="{00000000-0005-0000-0000-0000DAC70000}"/>
    <cellStyle name="Normal 6 2 2 5 4 2 3" xfId="44313" xr:uid="{00000000-0005-0000-0000-0000DBC70000}"/>
    <cellStyle name="Normal 6 2 2 5 4 3" xfId="23961" xr:uid="{00000000-0005-0000-0000-0000DCC70000}"/>
    <cellStyle name="Normal 6 2 2 5 4 3 2" xfId="51094" xr:uid="{00000000-0005-0000-0000-0000DDC70000}"/>
    <cellStyle name="Normal 6 2 2 5 4 4" xfId="37532" xr:uid="{00000000-0005-0000-0000-0000DEC70000}"/>
    <cellStyle name="Normal 6 2 2 5 5" xfId="13785" xr:uid="{00000000-0005-0000-0000-0000DFC70000}"/>
    <cellStyle name="Normal 6 2 2 5 5 2" xfId="27353" xr:uid="{00000000-0005-0000-0000-0000E0C70000}"/>
    <cellStyle name="Normal 6 2 2 5 5 2 2" xfId="54486" xr:uid="{00000000-0005-0000-0000-0000E1C70000}"/>
    <cellStyle name="Normal 6 2 2 5 5 3" xfId="40924" xr:uid="{00000000-0005-0000-0000-0000E2C70000}"/>
    <cellStyle name="Normal 6 2 2 5 6" xfId="20572" xr:uid="{00000000-0005-0000-0000-0000E3C70000}"/>
    <cellStyle name="Normal 6 2 2 5 6 2" xfId="47705" xr:uid="{00000000-0005-0000-0000-0000E4C70000}"/>
    <cellStyle name="Normal 6 2 2 5 7" xfId="34143" xr:uid="{00000000-0005-0000-0000-0000E5C70000}"/>
    <cellStyle name="Normal 6 2 2 6" xfId="6858" xr:uid="{00000000-0005-0000-0000-0000E6C70000}"/>
    <cellStyle name="Normal 6 2 2 6 2" xfId="6859" xr:uid="{00000000-0005-0000-0000-0000E7C70000}"/>
    <cellStyle name="Normal 6 2 2 6 2 2" xfId="10389" xr:uid="{00000000-0005-0000-0000-0000E8C70000}"/>
    <cellStyle name="Normal 6 2 2 6 2 2 2" xfId="17178" xr:uid="{00000000-0005-0000-0000-0000E9C70000}"/>
    <cellStyle name="Normal 6 2 2 6 2 2 2 2" xfId="30746" xr:uid="{00000000-0005-0000-0000-0000EAC70000}"/>
    <cellStyle name="Normal 6 2 2 6 2 2 2 2 2" xfId="57879" xr:uid="{00000000-0005-0000-0000-0000EBC70000}"/>
    <cellStyle name="Normal 6 2 2 6 2 2 2 3" xfId="44317" xr:uid="{00000000-0005-0000-0000-0000ECC70000}"/>
    <cellStyle name="Normal 6 2 2 6 2 2 3" xfId="23965" xr:uid="{00000000-0005-0000-0000-0000EDC70000}"/>
    <cellStyle name="Normal 6 2 2 6 2 2 3 2" xfId="51098" xr:uid="{00000000-0005-0000-0000-0000EEC70000}"/>
    <cellStyle name="Normal 6 2 2 6 2 2 4" xfId="37536" xr:uid="{00000000-0005-0000-0000-0000EFC70000}"/>
    <cellStyle name="Normal 6 2 2 6 2 3" xfId="13789" xr:uid="{00000000-0005-0000-0000-0000F0C70000}"/>
    <cellStyle name="Normal 6 2 2 6 2 3 2" xfId="27357" xr:uid="{00000000-0005-0000-0000-0000F1C70000}"/>
    <cellStyle name="Normal 6 2 2 6 2 3 2 2" xfId="54490" xr:uid="{00000000-0005-0000-0000-0000F2C70000}"/>
    <cellStyle name="Normal 6 2 2 6 2 3 3" xfId="40928" xr:uid="{00000000-0005-0000-0000-0000F3C70000}"/>
    <cellStyle name="Normal 6 2 2 6 2 4" xfId="20576" xr:uid="{00000000-0005-0000-0000-0000F4C70000}"/>
    <cellStyle name="Normal 6 2 2 6 2 4 2" xfId="47709" xr:uid="{00000000-0005-0000-0000-0000F5C70000}"/>
    <cellStyle name="Normal 6 2 2 6 2 5" xfId="34147" xr:uid="{00000000-0005-0000-0000-0000F6C70000}"/>
    <cellStyle name="Normal 6 2 2 6 3" xfId="6860" xr:uid="{00000000-0005-0000-0000-0000F7C70000}"/>
    <cellStyle name="Normal 6 2 2 6 3 2" xfId="10390" xr:uid="{00000000-0005-0000-0000-0000F8C70000}"/>
    <cellStyle name="Normal 6 2 2 6 3 2 2" xfId="17179" xr:uid="{00000000-0005-0000-0000-0000F9C70000}"/>
    <cellStyle name="Normal 6 2 2 6 3 2 2 2" xfId="30747" xr:uid="{00000000-0005-0000-0000-0000FAC70000}"/>
    <cellStyle name="Normal 6 2 2 6 3 2 2 2 2" xfId="57880" xr:uid="{00000000-0005-0000-0000-0000FBC70000}"/>
    <cellStyle name="Normal 6 2 2 6 3 2 2 3" xfId="44318" xr:uid="{00000000-0005-0000-0000-0000FCC70000}"/>
    <cellStyle name="Normal 6 2 2 6 3 2 3" xfId="23966" xr:uid="{00000000-0005-0000-0000-0000FDC70000}"/>
    <cellStyle name="Normal 6 2 2 6 3 2 3 2" xfId="51099" xr:uid="{00000000-0005-0000-0000-0000FEC70000}"/>
    <cellStyle name="Normal 6 2 2 6 3 2 4" xfId="37537" xr:uid="{00000000-0005-0000-0000-0000FFC70000}"/>
    <cellStyle name="Normal 6 2 2 6 3 3" xfId="13790" xr:uid="{00000000-0005-0000-0000-000000C80000}"/>
    <cellStyle name="Normal 6 2 2 6 3 3 2" xfId="27358" xr:uid="{00000000-0005-0000-0000-000001C80000}"/>
    <cellStyle name="Normal 6 2 2 6 3 3 2 2" xfId="54491" xr:uid="{00000000-0005-0000-0000-000002C80000}"/>
    <cellStyle name="Normal 6 2 2 6 3 3 3" xfId="40929" xr:uid="{00000000-0005-0000-0000-000003C80000}"/>
    <cellStyle name="Normal 6 2 2 6 3 4" xfId="20577" xr:uid="{00000000-0005-0000-0000-000004C80000}"/>
    <cellStyle name="Normal 6 2 2 6 3 4 2" xfId="47710" xr:uid="{00000000-0005-0000-0000-000005C80000}"/>
    <cellStyle name="Normal 6 2 2 6 3 5" xfId="34148" xr:uid="{00000000-0005-0000-0000-000006C80000}"/>
    <cellStyle name="Normal 6 2 2 6 4" xfId="10388" xr:uid="{00000000-0005-0000-0000-000007C80000}"/>
    <cellStyle name="Normal 6 2 2 6 4 2" xfId="17177" xr:uid="{00000000-0005-0000-0000-000008C80000}"/>
    <cellStyle name="Normal 6 2 2 6 4 2 2" xfId="30745" xr:uid="{00000000-0005-0000-0000-000009C80000}"/>
    <cellStyle name="Normal 6 2 2 6 4 2 2 2" xfId="57878" xr:uid="{00000000-0005-0000-0000-00000AC80000}"/>
    <cellStyle name="Normal 6 2 2 6 4 2 3" xfId="44316" xr:uid="{00000000-0005-0000-0000-00000BC80000}"/>
    <cellStyle name="Normal 6 2 2 6 4 3" xfId="23964" xr:uid="{00000000-0005-0000-0000-00000CC80000}"/>
    <cellStyle name="Normal 6 2 2 6 4 3 2" xfId="51097" xr:uid="{00000000-0005-0000-0000-00000DC80000}"/>
    <cellStyle name="Normal 6 2 2 6 4 4" xfId="37535" xr:uid="{00000000-0005-0000-0000-00000EC80000}"/>
    <cellStyle name="Normal 6 2 2 6 5" xfId="13788" xr:uid="{00000000-0005-0000-0000-00000FC80000}"/>
    <cellStyle name="Normal 6 2 2 6 5 2" xfId="27356" xr:uid="{00000000-0005-0000-0000-000010C80000}"/>
    <cellStyle name="Normal 6 2 2 6 5 2 2" xfId="54489" xr:uid="{00000000-0005-0000-0000-000011C80000}"/>
    <cellStyle name="Normal 6 2 2 6 5 3" xfId="40927" xr:uid="{00000000-0005-0000-0000-000012C80000}"/>
    <cellStyle name="Normal 6 2 2 6 6" xfId="20575" xr:uid="{00000000-0005-0000-0000-000013C80000}"/>
    <cellStyle name="Normal 6 2 2 6 6 2" xfId="47708" xr:uid="{00000000-0005-0000-0000-000014C80000}"/>
    <cellStyle name="Normal 6 2 2 6 7" xfId="34146" xr:uid="{00000000-0005-0000-0000-000015C80000}"/>
    <cellStyle name="Normal 6 2 2 7" xfId="6861" xr:uid="{00000000-0005-0000-0000-000016C80000}"/>
    <cellStyle name="Normal 6 2 2 7 2" xfId="10391" xr:uid="{00000000-0005-0000-0000-000017C80000}"/>
    <cellStyle name="Normal 6 2 2 7 2 2" xfId="17180" xr:uid="{00000000-0005-0000-0000-000018C80000}"/>
    <cellStyle name="Normal 6 2 2 7 2 2 2" xfId="30748" xr:uid="{00000000-0005-0000-0000-000019C80000}"/>
    <cellStyle name="Normal 6 2 2 7 2 2 2 2" xfId="57881" xr:uid="{00000000-0005-0000-0000-00001AC80000}"/>
    <cellStyle name="Normal 6 2 2 7 2 2 3" xfId="44319" xr:uid="{00000000-0005-0000-0000-00001BC80000}"/>
    <cellStyle name="Normal 6 2 2 7 2 3" xfId="23967" xr:uid="{00000000-0005-0000-0000-00001CC80000}"/>
    <cellStyle name="Normal 6 2 2 7 2 3 2" xfId="51100" xr:uid="{00000000-0005-0000-0000-00001DC80000}"/>
    <cellStyle name="Normal 6 2 2 7 2 4" xfId="37538" xr:uid="{00000000-0005-0000-0000-00001EC80000}"/>
    <cellStyle name="Normal 6 2 2 7 3" xfId="13791" xr:uid="{00000000-0005-0000-0000-00001FC80000}"/>
    <cellStyle name="Normal 6 2 2 7 3 2" xfId="27359" xr:uid="{00000000-0005-0000-0000-000020C80000}"/>
    <cellStyle name="Normal 6 2 2 7 3 2 2" xfId="54492" xr:uid="{00000000-0005-0000-0000-000021C80000}"/>
    <cellStyle name="Normal 6 2 2 7 3 3" xfId="40930" xr:uid="{00000000-0005-0000-0000-000022C80000}"/>
    <cellStyle name="Normal 6 2 2 7 4" xfId="20578" xr:uid="{00000000-0005-0000-0000-000023C80000}"/>
    <cellStyle name="Normal 6 2 2 7 4 2" xfId="47711" xr:uid="{00000000-0005-0000-0000-000024C80000}"/>
    <cellStyle name="Normal 6 2 2 7 5" xfId="34149" xr:uid="{00000000-0005-0000-0000-000025C80000}"/>
    <cellStyle name="Normal 6 2 2 8" xfId="6862" xr:uid="{00000000-0005-0000-0000-000026C80000}"/>
    <cellStyle name="Normal 6 2 2 8 2" xfId="10392" xr:uid="{00000000-0005-0000-0000-000027C80000}"/>
    <cellStyle name="Normal 6 2 2 8 2 2" xfId="17181" xr:uid="{00000000-0005-0000-0000-000028C80000}"/>
    <cellStyle name="Normal 6 2 2 8 2 2 2" xfId="30749" xr:uid="{00000000-0005-0000-0000-000029C80000}"/>
    <cellStyle name="Normal 6 2 2 8 2 2 2 2" xfId="57882" xr:uid="{00000000-0005-0000-0000-00002AC80000}"/>
    <cellStyle name="Normal 6 2 2 8 2 2 3" xfId="44320" xr:uid="{00000000-0005-0000-0000-00002BC80000}"/>
    <cellStyle name="Normal 6 2 2 8 2 3" xfId="23968" xr:uid="{00000000-0005-0000-0000-00002CC80000}"/>
    <cellStyle name="Normal 6 2 2 8 2 3 2" xfId="51101" xr:uid="{00000000-0005-0000-0000-00002DC80000}"/>
    <cellStyle name="Normal 6 2 2 8 2 4" xfId="37539" xr:uid="{00000000-0005-0000-0000-00002EC80000}"/>
    <cellStyle name="Normal 6 2 2 8 3" xfId="13792" xr:uid="{00000000-0005-0000-0000-00002FC80000}"/>
    <cellStyle name="Normal 6 2 2 8 3 2" xfId="27360" xr:uid="{00000000-0005-0000-0000-000030C80000}"/>
    <cellStyle name="Normal 6 2 2 8 3 2 2" xfId="54493" xr:uid="{00000000-0005-0000-0000-000031C80000}"/>
    <cellStyle name="Normal 6 2 2 8 3 3" xfId="40931" xr:uid="{00000000-0005-0000-0000-000032C80000}"/>
    <cellStyle name="Normal 6 2 2 8 4" xfId="20579" xr:uid="{00000000-0005-0000-0000-000033C80000}"/>
    <cellStyle name="Normal 6 2 2 8 4 2" xfId="47712" xr:uid="{00000000-0005-0000-0000-000034C80000}"/>
    <cellStyle name="Normal 6 2 2 8 5" xfId="34150" xr:uid="{00000000-0005-0000-0000-000035C80000}"/>
    <cellStyle name="Normal 6 2 2 9" xfId="10354" xr:uid="{00000000-0005-0000-0000-000036C80000}"/>
    <cellStyle name="Normal 6 2 2 9 2" xfId="17143" xr:uid="{00000000-0005-0000-0000-000037C80000}"/>
    <cellStyle name="Normal 6 2 2 9 2 2" xfId="30711" xr:uid="{00000000-0005-0000-0000-000038C80000}"/>
    <cellStyle name="Normal 6 2 2 9 2 2 2" xfId="57844" xr:uid="{00000000-0005-0000-0000-000039C80000}"/>
    <cellStyle name="Normal 6 2 2 9 2 3" xfId="44282" xr:uid="{00000000-0005-0000-0000-00003AC80000}"/>
    <cellStyle name="Normal 6 2 2 9 3" xfId="23930" xr:uid="{00000000-0005-0000-0000-00003BC80000}"/>
    <cellStyle name="Normal 6 2 2 9 3 2" xfId="51063" xr:uid="{00000000-0005-0000-0000-00003CC80000}"/>
    <cellStyle name="Normal 6 2 2 9 4" xfId="37501" xr:uid="{00000000-0005-0000-0000-00003DC80000}"/>
    <cellStyle name="Normal 6 2 3" xfId="6863" xr:uid="{00000000-0005-0000-0000-00003EC80000}"/>
    <cellStyle name="Normal 6 2 3 10" xfId="34151" xr:uid="{00000000-0005-0000-0000-00003FC80000}"/>
    <cellStyle name="Normal 6 2 3 2" xfId="6864" xr:uid="{00000000-0005-0000-0000-000040C80000}"/>
    <cellStyle name="Normal 6 2 3 2 2" xfId="6865" xr:uid="{00000000-0005-0000-0000-000041C80000}"/>
    <cellStyle name="Normal 6 2 3 2 2 2" xfId="6866" xr:uid="{00000000-0005-0000-0000-000042C80000}"/>
    <cellStyle name="Normal 6 2 3 2 2 2 2" xfId="10396" xr:uid="{00000000-0005-0000-0000-000043C80000}"/>
    <cellStyle name="Normal 6 2 3 2 2 2 2 2" xfId="17185" xr:uid="{00000000-0005-0000-0000-000044C80000}"/>
    <cellStyle name="Normal 6 2 3 2 2 2 2 2 2" xfId="30753" xr:uid="{00000000-0005-0000-0000-000045C80000}"/>
    <cellStyle name="Normal 6 2 3 2 2 2 2 2 2 2" xfId="57886" xr:uid="{00000000-0005-0000-0000-000046C80000}"/>
    <cellStyle name="Normal 6 2 3 2 2 2 2 2 3" xfId="44324" xr:uid="{00000000-0005-0000-0000-000047C80000}"/>
    <cellStyle name="Normal 6 2 3 2 2 2 2 3" xfId="23972" xr:uid="{00000000-0005-0000-0000-000048C80000}"/>
    <cellStyle name="Normal 6 2 3 2 2 2 2 3 2" xfId="51105" xr:uid="{00000000-0005-0000-0000-000049C80000}"/>
    <cellStyle name="Normal 6 2 3 2 2 2 2 4" xfId="37543" xr:uid="{00000000-0005-0000-0000-00004AC80000}"/>
    <cellStyle name="Normal 6 2 3 2 2 2 3" xfId="13796" xr:uid="{00000000-0005-0000-0000-00004BC80000}"/>
    <cellStyle name="Normal 6 2 3 2 2 2 3 2" xfId="27364" xr:uid="{00000000-0005-0000-0000-00004CC80000}"/>
    <cellStyle name="Normal 6 2 3 2 2 2 3 2 2" xfId="54497" xr:uid="{00000000-0005-0000-0000-00004DC80000}"/>
    <cellStyle name="Normal 6 2 3 2 2 2 3 3" xfId="40935" xr:uid="{00000000-0005-0000-0000-00004EC80000}"/>
    <cellStyle name="Normal 6 2 3 2 2 2 4" xfId="20583" xr:uid="{00000000-0005-0000-0000-00004FC80000}"/>
    <cellStyle name="Normal 6 2 3 2 2 2 4 2" xfId="47716" xr:uid="{00000000-0005-0000-0000-000050C80000}"/>
    <cellStyle name="Normal 6 2 3 2 2 2 5" xfId="34154" xr:uid="{00000000-0005-0000-0000-000051C80000}"/>
    <cellStyle name="Normal 6 2 3 2 2 3" xfId="6867" xr:uid="{00000000-0005-0000-0000-000052C80000}"/>
    <cellStyle name="Normal 6 2 3 2 2 3 2" xfId="10397" xr:uid="{00000000-0005-0000-0000-000053C80000}"/>
    <cellStyle name="Normal 6 2 3 2 2 3 2 2" xfId="17186" xr:uid="{00000000-0005-0000-0000-000054C80000}"/>
    <cellStyle name="Normal 6 2 3 2 2 3 2 2 2" xfId="30754" xr:uid="{00000000-0005-0000-0000-000055C80000}"/>
    <cellStyle name="Normal 6 2 3 2 2 3 2 2 2 2" xfId="57887" xr:uid="{00000000-0005-0000-0000-000056C80000}"/>
    <cellStyle name="Normal 6 2 3 2 2 3 2 2 3" xfId="44325" xr:uid="{00000000-0005-0000-0000-000057C80000}"/>
    <cellStyle name="Normal 6 2 3 2 2 3 2 3" xfId="23973" xr:uid="{00000000-0005-0000-0000-000058C80000}"/>
    <cellStyle name="Normal 6 2 3 2 2 3 2 3 2" xfId="51106" xr:uid="{00000000-0005-0000-0000-000059C80000}"/>
    <cellStyle name="Normal 6 2 3 2 2 3 2 4" xfId="37544" xr:uid="{00000000-0005-0000-0000-00005AC80000}"/>
    <cellStyle name="Normal 6 2 3 2 2 3 3" xfId="13797" xr:uid="{00000000-0005-0000-0000-00005BC80000}"/>
    <cellStyle name="Normal 6 2 3 2 2 3 3 2" xfId="27365" xr:uid="{00000000-0005-0000-0000-00005CC80000}"/>
    <cellStyle name="Normal 6 2 3 2 2 3 3 2 2" xfId="54498" xr:uid="{00000000-0005-0000-0000-00005DC80000}"/>
    <cellStyle name="Normal 6 2 3 2 2 3 3 3" xfId="40936" xr:uid="{00000000-0005-0000-0000-00005EC80000}"/>
    <cellStyle name="Normal 6 2 3 2 2 3 4" xfId="20584" xr:uid="{00000000-0005-0000-0000-00005FC80000}"/>
    <cellStyle name="Normal 6 2 3 2 2 3 4 2" xfId="47717" xr:uid="{00000000-0005-0000-0000-000060C80000}"/>
    <cellStyle name="Normal 6 2 3 2 2 3 5" xfId="34155" xr:uid="{00000000-0005-0000-0000-000061C80000}"/>
    <cellStyle name="Normal 6 2 3 2 2 4" xfId="10395" xr:uid="{00000000-0005-0000-0000-000062C80000}"/>
    <cellStyle name="Normal 6 2 3 2 2 4 2" xfId="17184" xr:uid="{00000000-0005-0000-0000-000063C80000}"/>
    <cellStyle name="Normal 6 2 3 2 2 4 2 2" xfId="30752" xr:uid="{00000000-0005-0000-0000-000064C80000}"/>
    <cellStyle name="Normal 6 2 3 2 2 4 2 2 2" xfId="57885" xr:uid="{00000000-0005-0000-0000-000065C80000}"/>
    <cellStyle name="Normal 6 2 3 2 2 4 2 3" xfId="44323" xr:uid="{00000000-0005-0000-0000-000066C80000}"/>
    <cellStyle name="Normal 6 2 3 2 2 4 3" xfId="23971" xr:uid="{00000000-0005-0000-0000-000067C80000}"/>
    <cellStyle name="Normal 6 2 3 2 2 4 3 2" xfId="51104" xr:uid="{00000000-0005-0000-0000-000068C80000}"/>
    <cellStyle name="Normal 6 2 3 2 2 4 4" xfId="37542" xr:uid="{00000000-0005-0000-0000-000069C80000}"/>
    <cellStyle name="Normal 6 2 3 2 2 5" xfId="13795" xr:uid="{00000000-0005-0000-0000-00006AC80000}"/>
    <cellStyle name="Normal 6 2 3 2 2 5 2" xfId="27363" xr:uid="{00000000-0005-0000-0000-00006BC80000}"/>
    <cellStyle name="Normal 6 2 3 2 2 5 2 2" xfId="54496" xr:uid="{00000000-0005-0000-0000-00006CC80000}"/>
    <cellStyle name="Normal 6 2 3 2 2 5 3" xfId="40934" xr:uid="{00000000-0005-0000-0000-00006DC80000}"/>
    <cellStyle name="Normal 6 2 3 2 2 6" xfId="20582" xr:uid="{00000000-0005-0000-0000-00006EC80000}"/>
    <cellStyle name="Normal 6 2 3 2 2 6 2" xfId="47715" xr:uid="{00000000-0005-0000-0000-00006FC80000}"/>
    <cellStyle name="Normal 6 2 3 2 2 7" xfId="34153" xr:uid="{00000000-0005-0000-0000-000070C80000}"/>
    <cellStyle name="Normal 6 2 3 2 3" xfId="6868" xr:uid="{00000000-0005-0000-0000-000071C80000}"/>
    <cellStyle name="Normal 6 2 3 2 3 2" xfId="6869" xr:uid="{00000000-0005-0000-0000-000072C80000}"/>
    <cellStyle name="Normal 6 2 3 2 3 2 2" xfId="10399" xr:uid="{00000000-0005-0000-0000-000073C80000}"/>
    <cellStyle name="Normal 6 2 3 2 3 2 2 2" xfId="17188" xr:uid="{00000000-0005-0000-0000-000074C80000}"/>
    <cellStyle name="Normal 6 2 3 2 3 2 2 2 2" xfId="30756" xr:uid="{00000000-0005-0000-0000-000075C80000}"/>
    <cellStyle name="Normal 6 2 3 2 3 2 2 2 2 2" xfId="57889" xr:uid="{00000000-0005-0000-0000-000076C80000}"/>
    <cellStyle name="Normal 6 2 3 2 3 2 2 2 3" xfId="44327" xr:uid="{00000000-0005-0000-0000-000077C80000}"/>
    <cellStyle name="Normal 6 2 3 2 3 2 2 3" xfId="23975" xr:uid="{00000000-0005-0000-0000-000078C80000}"/>
    <cellStyle name="Normal 6 2 3 2 3 2 2 3 2" xfId="51108" xr:uid="{00000000-0005-0000-0000-000079C80000}"/>
    <cellStyle name="Normal 6 2 3 2 3 2 2 4" xfId="37546" xr:uid="{00000000-0005-0000-0000-00007AC80000}"/>
    <cellStyle name="Normal 6 2 3 2 3 2 3" xfId="13799" xr:uid="{00000000-0005-0000-0000-00007BC80000}"/>
    <cellStyle name="Normal 6 2 3 2 3 2 3 2" xfId="27367" xr:uid="{00000000-0005-0000-0000-00007CC80000}"/>
    <cellStyle name="Normal 6 2 3 2 3 2 3 2 2" xfId="54500" xr:uid="{00000000-0005-0000-0000-00007DC80000}"/>
    <cellStyle name="Normal 6 2 3 2 3 2 3 3" xfId="40938" xr:uid="{00000000-0005-0000-0000-00007EC80000}"/>
    <cellStyle name="Normal 6 2 3 2 3 2 4" xfId="20586" xr:uid="{00000000-0005-0000-0000-00007FC80000}"/>
    <cellStyle name="Normal 6 2 3 2 3 2 4 2" xfId="47719" xr:uid="{00000000-0005-0000-0000-000080C80000}"/>
    <cellStyle name="Normal 6 2 3 2 3 2 5" xfId="34157" xr:uid="{00000000-0005-0000-0000-000081C80000}"/>
    <cellStyle name="Normal 6 2 3 2 3 3" xfId="10398" xr:uid="{00000000-0005-0000-0000-000082C80000}"/>
    <cellStyle name="Normal 6 2 3 2 3 3 2" xfId="17187" xr:uid="{00000000-0005-0000-0000-000083C80000}"/>
    <cellStyle name="Normal 6 2 3 2 3 3 2 2" xfId="30755" xr:uid="{00000000-0005-0000-0000-000084C80000}"/>
    <cellStyle name="Normal 6 2 3 2 3 3 2 2 2" xfId="57888" xr:uid="{00000000-0005-0000-0000-000085C80000}"/>
    <cellStyle name="Normal 6 2 3 2 3 3 2 3" xfId="44326" xr:uid="{00000000-0005-0000-0000-000086C80000}"/>
    <cellStyle name="Normal 6 2 3 2 3 3 3" xfId="23974" xr:uid="{00000000-0005-0000-0000-000087C80000}"/>
    <cellStyle name="Normal 6 2 3 2 3 3 3 2" xfId="51107" xr:uid="{00000000-0005-0000-0000-000088C80000}"/>
    <cellStyle name="Normal 6 2 3 2 3 3 4" xfId="37545" xr:uid="{00000000-0005-0000-0000-000089C80000}"/>
    <cellStyle name="Normal 6 2 3 2 3 4" xfId="13798" xr:uid="{00000000-0005-0000-0000-00008AC80000}"/>
    <cellStyle name="Normal 6 2 3 2 3 4 2" xfId="27366" xr:uid="{00000000-0005-0000-0000-00008BC80000}"/>
    <cellStyle name="Normal 6 2 3 2 3 4 2 2" xfId="54499" xr:uid="{00000000-0005-0000-0000-00008CC80000}"/>
    <cellStyle name="Normal 6 2 3 2 3 4 3" xfId="40937" xr:uid="{00000000-0005-0000-0000-00008DC80000}"/>
    <cellStyle name="Normal 6 2 3 2 3 5" xfId="20585" xr:uid="{00000000-0005-0000-0000-00008EC80000}"/>
    <cellStyle name="Normal 6 2 3 2 3 5 2" xfId="47718" xr:uid="{00000000-0005-0000-0000-00008FC80000}"/>
    <cellStyle name="Normal 6 2 3 2 3 6" xfId="34156" xr:uid="{00000000-0005-0000-0000-000090C80000}"/>
    <cellStyle name="Normal 6 2 3 2 4" xfId="6870" xr:uid="{00000000-0005-0000-0000-000091C80000}"/>
    <cellStyle name="Normal 6 2 3 2 4 2" xfId="10400" xr:uid="{00000000-0005-0000-0000-000092C80000}"/>
    <cellStyle name="Normal 6 2 3 2 4 2 2" xfId="17189" xr:uid="{00000000-0005-0000-0000-000093C80000}"/>
    <cellStyle name="Normal 6 2 3 2 4 2 2 2" xfId="30757" xr:uid="{00000000-0005-0000-0000-000094C80000}"/>
    <cellStyle name="Normal 6 2 3 2 4 2 2 2 2" xfId="57890" xr:uid="{00000000-0005-0000-0000-000095C80000}"/>
    <cellStyle name="Normal 6 2 3 2 4 2 2 3" xfId="44328" xr:uid="{00000000-0005-0000-0000-000096C80000}"/>
    <cellStyle name="Normal 6 2 3 2 4 2 3" xfId="23976" xr:uid="{00000000-0005-0000-0000-000097C80000}"/>
    <cellStyle name="Normal 6 2 3 2 4 2 3 2" xfId="51109" xr:uid="{00000000-0005-0000-0000-000098C80000}"/>
    <cellStyle name="Normal 6 2 3 2 4 2 4" xfId="37547" xr:uid="{00000000-0005-0000-0000-000099C80000}"/>
    <cellStyle name="Normal 6 2 3 2 4 3" xfId="13800" xr:uid="{00000000-0005-0000-0000-00009AC80000}"/>
    <cellStyle name="Normal 6 2 3 2 4 3 2" xfId="27368" xr:uid="{00000000-0005-0000-0000-00009BC80000}"/>
    <cellStyle name="Normal 6 2 3 2 4 3 2 2" xfId="54501" xr:uid="{00000000-0005-0000-0000-00009CC80000}"/>
    <cellStyle name="Normal 6 2 3 2 4 3 3" xfId="40939" xr:uid="{00000000-0005-0000-0000-00009DC80000}"/>
    <cellStyle name="Normal 6 2 3 2 4 4" xfId="20587" xr:uid="{00000000-0005-0000-0000-00009EC80000}"/>
    <cellStyle name="Normal 6 2 3 2 4 4 2" xfId="47720" xr:uid="{00000000-0005-0000-0000-00009FC80000}"/>
    <cellStyle name="Normal 6 2 3 2 4 5" xfId="34158" xr:uid="{00000000-0005-0000-0000-0000A0C80000}"/>
    <cellStyle name="Normal 6 2 3 2 5" xfId="6871" xr:uid="{00000000-0005-0000-0000-0000A1C80000}"/>
    <cellStyle name="Normal 6 2 3 2 5 2" xfId="10401" xr:uid="{00000000-0005-0000-0000-0000A2C80000}"/>
    <cellStyle name="Normal 6 2 3 2 5 2 2" xfId="17190" xr:uid="{00000000-0005-0000-0000-0000A3C80000}"/>
    <cellStyle name="Normal 6 2 3 2 5 2 2 2" xfId="30758" xr:uid="{00000000-0005-0000-0000-0000A4C80000}"/>
    <cellStyle name="Normal 6 2 3 2 5 2 2 2 2" xfId="57891" xr:uid="{00000000-0005-0000-0000-0000A5C80000}"/>
    <cellStyle name="Normal 6 2 3 2 5 2 2 3" xfId="44329" xr:uid="{00000000-0005-0000-0000-0000A6C80000}"/>
    <cellStyle name="Normal 6 2 3 2 5 2 3" xfId="23977" xr:uid="{00000000-0005-0000-0000-0000A7C80000}"/>
    <cellStyle name="Normal 6 2 3 2 5 2 3 2" xfId="51110" xr:uid="{00000000-0005-0000-0000-0000A8C80000}"/>
    <cellStyle name="Normal 6 2 3 2 5 2 4" xfId="37548" xr:uid="{00000000-0005-0000-0000-0000A9C80000}"/>
    <cellStyle name="Normal 6 2 3 2 5 3" xfId="13801" xr:uid="{00000000-0005-0000-0000-0000AAC80000}"/>
    <cellStyle name="Normal 6 2 3 2 5 3 2" xfId="27369" xr:uid="{00000000-0005-0000-0000-0000ABC80000}"/>
    <cellStyle name="Normal 6 2 3 2 5 3 2 2" xfId="54502" xr:uid="{00000000-0005-0000-0000-0000ACC80000}"/>
    <cellStyle name="Normal 6 2 3 2 5 3 3" xfId="40940" xr:uid="{00000000-0005-0000-0000-0000ADC80000}"/>
    <cellStyle name="Normal 6 2 3 2 5 4" xfId="20588" xr:uid="{00000000-0005-0000-0000-0000AEC80000}"/>
    <cellStyle name="Normal 6 2 3 2 5 4 2" xfId="47721" xr:uid="{00000000-0005-0000-0000-0000AFC80000}"/>
    <cellStyle name="Normal 6 2 3 2 5 5" xfId="34159" xr:uid="{00000000-0005-0000-0000-0000B0C80000}"/>
    <cellStyle name="Normal 6 2 3 2 6" xfId="10394" xr:uid="{00000000-0005-0000-0000-0000B1C80000}"/>
    <cellStyle name="Normal 6 2 3 2 6 2" xfId="17183" xr:uid="{00000000-0005-0000-0000-0000B2C80000}"/>
    <cellStyle name="Normal 6 2 3 2 6 2 2" xfId="30751" xr:uid="{00000000-0005-0000-0000-0000B3C80000}"/>
    <cellStyle name="Normal 6 2 3 2 6 2 2 2" xfId="57884" xr:uid="{00000000-0005-0000-0000-0000B4C80000}"/>
    <cellStyle name="Normal 6 2 3 2 6 2 3" xfId="44322" xr:uid="{00000000-0005-0000-0000-0000B5C80000}"/>
    <cellStyle name="Normal 6 2 3 2 6 3" xfId="23970" xr:uid="{00000000-0005-0000-0000-0000B6C80000}"/>
    <cellStyle name="Normal 6 2 3 2 6 3 2" xfId="51103" xr:uid="{00000000-0005-0000-0000-0000B7C80000}"/>
    <cellStyle name="Normal 6 2 3 2 6 4" xfId="37541" xr:uid="{00000000-0005-0000-0000-0000B8C80000}"/>
    <cellStyle name="Normal 6 2 3 2 7" xfId="13794" xr:uid="{00000000-0005-0000-0000-0000B9C80000}"/>
    <cellStyle name="Normal 6 2 3 2 7 2" xfId="27362" xr:uid="{00000000-0005-0000-0000-0000BAC80000}"/>
    <cellStyle name="Normal 6 2 3 2 7 2 2" xfId="54495" xr:uid="{00000000-0005-0000-0000-0000BBC80000}"/>
    <cellStyle name="Normal 6 2 3 2 7 3" xfId="40933" xr:uid="{00000000-0005-0000-0000-0000BCC80000}"/>
    <cellStyle name="Normal 6 2 3 2 8" xfId="20581" xr:uid="{00000000-0005-0000-0000-0000BDC80000}"/>
    <cellStyle name="Normal 6 2 3 2 8 2" xfId="47714" xr:uid="{00000000-0005-0000-0000-0000BEC80000}"/>
    <cellStyle name="Normal 6 2 3 2 9" xfId="34152" xr:uid="{00000000-0005-0000-0000-0000BFC80000}"/>
    <cellStyle name="Normal 6 2 3 3" xfId="6872" xr:uid="{00000000-0005-0000-0000-0000C0C80000}"/>
    <cellStyle name="Normal 6 2 3 3 2" xfId="6873" xr:uid="{00000000-0005-0000-0000-0000C1C80000}"/>
    <cellStyle name="Normal 6 2 3 3 2 2" xfId="10403" xr:uid="{00000000-0005-0000-0000-0000C2C80000}"/>
    <cellStyle name="Normal 6 2 3 3 2 2 2" xfId="17192" xr:uid="{00000000-0005-0000-0000-0000C3C80000}"/>
    <cellStyle name="Normal 6 2 3 3 2 2 2 2" xfId="30760" xr:uid="{00000000-0005-0000-0000-0000C4C80000}"/>
    <cellStyle name="Normal 6 2 3 3 2 2 2 2 2" xfId="57893" xr:uid="{00000000-0005-0000-0000-0000C5C80000}"/>
    <cellStyle name="Normal 6 2 3 3 2 2 2 3" xfId="44331" xr:uid="{00000000-0005-0000-0000-0000C6C80000}"/>
    <cellStyle name="Normal 6 2 3 3 2 2 3" xfId="23979" xr:uid="{00000000-0005-0000-0000-0000C7C80000}"/>
    <cellStyle name="Normal 6 2 3 3 2 2 3 2" xfId="51112" xr:uid="{00000000-0005-0000-0000-0000C8C80000}"/>
    <cellStyle name="Normal 6 2 3 3 2 2 4" xfId="37550" xr:uid="{00000000-0005-0000-0000-0000C9C80000}"/>
    <cellStyle name="Normal 6 2 3 3 2 3" xfId="13803" xr:uid="{00000000-0005-0000-0000-0000CAC80000}"/>
    <cellStyle name="Normal 6 2 3 3 2 3 2" xfId="27371" xr:uid="{00000000-0005-0000-0000-0000CBC80000}"/>
    <cellStyle name="Normal 6 2 3 3 2 3 2 2" xfId="54504" xr:uid="{00000000-0005-0000-0000-0000CCC80000}"/>
    <cellStyle name="Normal 6 2 3 3 2 3 3" xfId="40942" xr:uid="{00000000-0005-0000-0000-0000CDC80000}"/>
    <cellStyle name="Normal 6 2 3 3 2 4" xfId="20590" xr:uid="{00000000-0005-0000-0000-0000CEC80000}"/>
    <cellStyle name="Normal 6 2 3 3 2 4 2" xfId="47723" xr:uid="{00000000-0005-0000-0000-0000CFC80000}"/>
    <cellStyle name="Normal 6 2 3 3 2 5" xfId="34161" xr:uid="{00000000-0005-0000-0000-0000D0C80000}"/>
    <cellStyle name="Normal 6 2 3 3 3" xfId="6874" xr:uid="{00000000-0005-0000-0000-0000D1C80000}"/>
    <cellStyle name="Normal 6 2 3 3 3 2" xfId="10404" xr:uid="{00000000-0005-0000-0000-0000D2C80000}"/>
    <cellStyle name="Normal 6 2 3 3 3 2 2" xfId="17193" xr:uid="{00000000-0005-0000-0000-0000D3C80000}"/>
    <cellStyle name="Normal 6 2 3 3 3 2 2 2" xfId="30761" xr:uid="{00000000-0005-0000-0000-0000D4C80000}"/>
    <cellStyle name="Normal 6 2 3 3 3 2 2 2 2" xfId="57894" xr:uid="{00000000-0005-0000-0000-0000D5C80000}"/>
    <cellStyle name="Normal 6 2 3 3 3 2 2 3" xfId="44332" xr:uid="{00000000-0005-0000-0000-0000D6C80000}"/>
    <cellStyle name="Normal 6 2 3 3 3 2 3" xfId="23980" xr:uid="{00000000-0005-0000-0000-0000D7C80000}"/>
    <cellStyle name="Normal 6 2 3 3 3 2 3 2" xfId="51113" xr:uid="{00000000-0005-0000-0000-0000D8C80000}"/>
    <cellStyle name="Normal 6 2 3 3 3 2 4" xfId="37551" xr:uid="{00000000-0005-0000-0000-0000D9C80000}"/>
    <cellStyle name="Normal 6 2 3 3 3 3" xfId="13804" xr:uid="{00000000-0005-0000-0000-0000DAC80000}"/>
    <cellStyle name="Normal 6 2 3 3 3 3 2" xfId="27372" xr:uid="{00000000-0005-0000-0000-0000DBC80000}"/>
    <cellStyle name="Normal 6 2 3 3 3 3 2 2" xfId="54505" xr:uid="{00000000-0005-0000-0000-0000DCC80000}"/>
    <cellStyle name="Normal 6 2 3 3 3 3 3" xfId="40943" xr:uid="{00000000-0005-0000-0000-0000DDC80000}"/>
    <cellStyle name="Normal 6 2 3 3 3 4" xfId="20591" xr:uid="{00000000-0005-0000-0000-0000DEC80000}"/>
    <cellStyle name="Normal 6 2 3 3 3 4 2" xfId="47724" xr:uid="{00000000-0005-0000-0000-0000DFC80000}"/>
    <cellStyle name="Normal 6 2 3 3 3 5" xfId="34162" xr:uid="{00000000-0005-0000-0000-0000E0C80000}"/>
    <cellStyle name="Normal 6 2 3 3 4" xfId="10402" xr:uid="{00000000-0005-0000-0000-0000E1C80000}"/>
    <cellStyle name="Normal 6 2 3 3 4 2" xfId="17191" xr:uid="{00000000-0005-0000-0000-0000E2C80000}"/>
    <cellStyle name="Normal 6 2 3 3 4 2 2" xfId="30759" xr:uid="{00000000-0005-0000-0000-0000E3C80000}"/>
    <cellStyle name="Normal 6 2 3 3 4 2 2 2" xfId="57892" xr:uid="{00000000-0005-0000-0000-0000E4C80000}"/>
    <cellStyle name="Normal 6 2 3 3 4 2 3" xfId="44330" xr:uid="{00000000-0005-0000-0000-0000E5C80000}"/>
    <cellStyle name="Normal 6 2 3 3 4 3" xfId="23978" xr:uid="{00000000-0005-0000-0000-0000E6C80000}"/>
    <cellStyle name="Normal 6 2 3 3 4 3 2" xfId="51111" xr:uid="{00000000-0005-0000-0000-0000E7C80000}"/>
    <cellStyle name="Normal 6 2 3 3 4 4" xfId="37549" xr:uid="{00000000-0005-0000-0000-0000E8C80000}"/>
    <cellStyle name="Normal 6 2 3 3 5" xfId="13802" xr:uid="{00000000-0005-0000-0000-0000E9C80000}"/>
    <cellStyle name="Normal 6 2 3 3 5 2" xfId="27370" xr:uid="{00000000-0005-0000-0000-0000EAC80000}"/>
    <cellStyle name="Normal 6 2 3 3 5 2 2" xfId="54503" xr:uid="{00000000-0005-0000-0000-0000EBC80000}"/>
    <cellStyle name="Normal 6 2 3 3 5 3" xfId="40941" xr:uid="{00000000-0005-0000-0000-0000ECC80000}"/>
    <cellStyle name="Normal 6 2 3 3 6" xfId="20589" xr:uid="{00000000-0005-0000-0000-0000EDC80000}"/>
    <cellStyle name="Normal 6 2 3 3 6 2" xfId="47722" xr:uid="{00000000-0005-0000-0000-0000EEC80000}"/>
    <cellStyle name="Normal 6 2 3 3 7" xfId="34160" xr:uid="{00000000-0005-0000-0000-0000EFC80000}"/>
    <cellStyle name="Normal 6 2 3 4" xfId="6875" xr:uid="{00000000-0005-0000-0000-0000F0C80000}"/>
    <cellStyle name="Normal 6 2 3 4 2" xfId="6876" xr:uid="{00000000-0005-0000-0000-0000F1C80000}"/>
    <cellStyle name="Normal 6 2 3 4 2 2" xfId="10406" xr:uid="{00000000-0005-0000-0000-0000F2C80000}"/>
    <cellStyle name="Normal 6 2 3 4 2 2 2" xfId="17195" xr:uid="{00000000-0005-0000-0000-0000F3C80000}"/>
    <cellStyle name="Normal 6 2 3 4 2 2 2 2" xfId="30763" xr:uid="{00000000-0005-0000-0000-0000F4C80000}"/>
    <cellStyle name="Normal 6 2 3 4 2 2 2 2 2" xfId="57896" xr:uid="{00000000-0005-0000-0000-0000F5C80000}"/>
    <cellStyle name="Normal 6 2 3 4 2 2 2 3" xfId="44334" xr:uid="{00000000-0005-0000-0000-0000F6C80000}"/>
    <cellStyle name="Normal 6 2 3 4 2 2 3" xfId="23982" xr:uid="{00000000-0005-0000-0000-0000F7C80000}"/>
    <cellStyle name="Normal 6 2 3 4 2 2 3 2" xfId="51115" xr:uid="{00000000-0005-0000-0000-0000F8C80000}"/>
    <cellStyle name="Normal 6 2 3 4 2 2 4" xfId="37553" xr:uid="{00000000-0005-0000-0000-0000F9C80000}"/>
    <cellStyle name="Normal 6 2 3 4 2 3" xfId="13806" xr:uid="{00000000-0005-0000-0000-0000FAC80000}"/>
    <cellStyle name="Normal 6 2 3 4 2 3 2" xfId="27374" xr:uid="{00000000-0005-0000-0000-0000FBC80000}"/>
    <cellStyle name="Normal 6 2 3 4 2 3 2 2" xfId="54507" xr:uid="{00000000-0005-0000-0000-0000FCC80000}"/>
    <cellStyle name="Normal 6 2 3 4 2 3 3" xfId="40945" xr:uid="{00000000-0005-0000-0000-0000FDC80000}"/>
    <cellStyle name="Normal 6 2 3 4 2 4" xfId="20593" xr:uid="{00000000-0005-0000-0000-0000FEC80000}"/>
    <cellStyle name="Normal 6 2 3 4 2 4 2" xfId="47726" xr:uid="{00000000-0005-0000-0000-0000FFC80000}"/>
    <cellStyle name="Normal 6 2 3 4 2 5" xfId="34164" xr:uid="{00000000-0005-0000-0000-000000C90000}"/>
    <cellStyle name="Normal 6 2 3 4 3" xfId="10405" xr:uid="{00000000-0005-0000-0000-000001C90000}"/>
    <cellStyle name="Normal 6 2 3 4 3 2" xfId="17194" xr:uid="{00000000-0005-0000-0000-000002C90000}"/>
    <cellStyle name="Normal 6 2 3 4 3 2 2" xfId="30762" xr:uid="{00000000-0005-0000-0000-000003C90000}"/>
    <cellStyle name="Normal 6 2 3 4 3 2 2 2" xfId="57895" xr:uid="{00000000-0005-0000-0000-000004C90000}"/>
    <cellStyle name="Normal 6 2 3 4 3 2 3" xfId="44333" xr:uid="{00000000-0005-0000-0000-000005C90000}"/>
    <cellStyle name="Normal 6 2 3 4 3 3" xfId="23981" xr:uid="{00000000-0005-0000-0000-000006C90000}"/>
    <cellStyle name="Normal 6 2 3 4 3 3 2" xfId="51114" xr:uid="{00000000-0005-0000-0000-000007C90000}"/>
    <cellStyle name="Normal 6 2 3 4 3 4" xfId="37552" xr:uid="{00000000-0005-0000-0000-000008C90000}"/>
    <cellStyle name="Normal 6 2 3 4 4" xfId="13805" xr:uid="{00000000-0005-0000-0000-000009C90000}"/>
    <cellStyle name="Normal 6 2 3 4 4 2" xfId="27373" xr:uid="{00000000-0005-0000-0000-00000AC90000}"/>
    <cellStyle name="Normal 6 2 3 4 4 2 2" xfId="54506" xr:uid="{00000000-0005-0000-0000-00000BC90000}"/>
    <cellStyle name="Normal 6 2 3 4 4 3" xfId="40944" xr:uid="{00000000-0005-0000-0000-00000CC90000}"/>
    <cellStyle name="Normal 6 2 3 4 5" xfId="20592" xr:uid="{00000000-0005-0000-0000-00000DC90000}"/>
    <cellStyle name="Normal 6 2 3 4 5 2" xfId="47725" xr:uid="{00000000-0005-0000-0000-00000EC90000}"/>
    <cellStyle name="Normal 6 2 3 4 6" xfId="34163" xr:uid="{00000000-0005-0000-0000-00000FC90000}"/>
    <cellStyle name="Normal 6 2 3 5" xfId="6877" xr:uid="{00000000-0005-0000-0000-000010C90000}"/>
    <cellStyle name="Normal 6 2 3 5 2" xfId="10407" xr:uid="{00000000-0005-0000-0000-000011C90000}"/>
    <cellStyle name="Normal 6 2 3 5 2 2" xfId="17196" xr:uid="{00000000-0005-0000-0000-000012C90000}"/>
    <cellStyle name="Normal 6 2 3 5 2 2 2" xfId="30764" xr:uid="{00000000-0005-0000-0000-000013C90000}"/>
    <cellStyle name="Normal 6 2 3 5 2 2 2 2" xfId="57897" xr:uid="{00000000-0005-0000-0000-000014C90000}"/>
    <cellStyle name="Normal 6 2 3 5 2 2 3" xfId="44335" xr:uid="{00000000-0005-0000-0000-000015C90000}"/>
    <cellStyle name="Normal 6 2 3 5 2 3" xfId="23983" xr:uid="{00000000-0005-0000-0000-000016C90000}"/>
    <cellStyle name="Normal 6 2 3 5 2 3 2" xfId="51116" xr:uid="{00000000-0005-0000-0000-000017C90000}"/>
    <cellStyle name="Normal 6 2 3 5 2 4" xfId="37554" xr:uid="{00000000-0005-0000-0000-000018C90000}"/>
    <cellStyle name="Normal 6 2 3 5 3" xfId="13807" xr:uid="{00000000-0005-0000-0000-000019C90000}"/>
    <cellStyle name="Normal 6 2 3 5 3 2" xfId="27375" xr:uid="{00000000-0005-0000-0000-00001AC90000}"/>
    <cellStyle name="Normal 6 2 3 5 3 2 2" xfId="54508" xr:uid="{00000000-0005-0000-0000-00001BC90000}"/>
    <cellStyle name="Normal 6 2 3 5 3 3" xfId="40946" xr:uid="{00000000-0005-0000-0000-00001CC90000}"/>
    <cellStyle name="Normal 6 2 3 5 4" xfId="20594" xr:uid="{00000000-0005-0000-0000-00001DC90000}"/>
    <cellStyle name="Normal 6 2 3 5 4 2" xfId="47727" xr:uid="{00000000-0005-0000-0000-00001EC90000}"/>
    <cellStyle name="Normal 6 2 3 5 5" xfId="34165" xr:uid="{00000000-0005-0000-0000-00001FC90000}"/>
    <cellStyle name="Normal 6 2 3 6" xfId="6878" xr:uid="{00000000-0005-0000-0000-000020C90000}"/>
    <cellStyle name="Normal 6 2 3 6 2" xfId="10408" xr:uid="{00000000-0005-0000-0000-000021C90000}"/>
    <cellStyle name="Normal 6 2 3 6 2 2" xfId="17197" xr:uid="{00000000-0005-0000-0000-000022C90000}"/>
    <cellStyle name="Normal 6 2 3 6 2 2 2" xfId="30765" xr:uid="{00000000-0005-0000-0000-000023C90000}"/>
    <cellStyle name="Normal 6 2 3 6 2 2 2 2" xfId="57898" xr:uid="{00000000-0005-0000-0000-000024C90000}"/>
    <cellStyle name="Normal 6 2 3 6 2 2 3" xfId="44336" xr:uid="{00000000-0005-0000-0000-000025C90000}"/>
    <cellStyle name="Normal 6 2 3 6 2 3" xfId="23984" xr:uid="{00000000-0005-0000-0000-000026C90000}"/>
    <cellStyle name="Normal 6 2 3 6 2 3 2" xfId="51117" xr:uid="{00000000-0005-0000-0000-000027C90000}"/>
    <cellStyle name="Normal 6 2 3 6 2 4" xfId="37555" xr:uid="{00000000-0005-0000-0000-000028C90000}"/>
    <cellStyle name="Normal 6 2 3 6 3" xfId="13808" xr:uid="{00000000-0005-0000-0000-000029C90000}"/>
    <cellStyle name="Normal 6 2 3 6 3 2" xfId="27376" xr:uid="{00000000-0005-0000-0000-00002AC90000}"/>
    <cellStyle name="Normal 6 2 3 6 3 2 2" xfId="54509" xr:uid="{00000000-0005-0000-0000-00002BC90000}"/>
    <cellStyle name="Normal 6 2 3 6 3 3" xfId="40947" xr:uid="{00000000-0005-0000-0000-00002CC90000}"/>
    <cellStyle name="Normal 6 2 3 6 4" xfId="20595" xr:uid="{00000000-0005-0000-0000-00002DC90000}"/>
    <cellStyle name="Normal 6 2 3 6 4 2" xfId="47728" xr:uid="{00000000-0005-0000-0000-00002EC90000}"/>
    <cellStyle name="Normal 6 2 3 6 5" xfId="34166" xr:uid="{00000000-0005-0000-0000-00002FC90000}"/>
    <cellStyle name="Normal 6 2 3 7" xfId="10393" xr:uid="{00000000-0005-0000-0000-000030C90000}"/>
    <cellStyle name="Normal 6 2 3 7 2" xfId="17182" xr:uid="{00000000-0005-0000-0000-000031C90000}"/>
    <cellStyle name="Normal 6 2 3 7 2 2" xfId="30750" xr:uid="{00000000-0005-0000-0000-000032C90000}"/>
    <cellStyle name="Normal 6 2 3 7 2 2 2" xfId="57883" xr:uid="{00000000-0005-0000-0000-000033C90000}"/>
    <cellStyle name="Normal 6 2 3 7 2 3" xfId="44321" xr:uid="{00000000-0005-0000-0000-000034C90000}"/>
    <cellStyle name="Normal 6 2 3 7 3" xfId="23969" xr:uid="{00000000-0005-0000-0000-000035C90000}"/>
    <cellStyle name="Normal 6 2 3 7 3 2" xfId="51102" xr:uid="{00000000-0005-0000-0000-000036C90000}"/>
    <cellStyle name="Normal 6 2 3 7 4" xfId="37540" xr:uid="{00000000-0005-0000-0000-000037C90000}"/>
    <cellStyle name="Normal 6 2 3 8" xfId="13793" xr:uid="{00000000-0005-0000-0000-000038C90000}"/>
    <cellStyle name="Normal 6 2 3 8 2" xfId="27361" xr:uid="{00000000-0005-0000-0000-000039C90000}"/>
    <cellStyle name="Normal 6 2 3 8 2 2" xfId="54494" xr:uid="{00000000-0005-0000-0000-00003AC90000}"/>
    <cellStyle name="Normal 6 2 3 8 3" xfId="40932" xr:uid="{00000000-0005-0000-0000-00003BC90000}"/>
    <cellStyle name="Normal 6 2 3 9" xfId="20580" xr:uid="{00000000-0005-0000-0000-00003CC90000}"/>
    <cellStyle name="Normal 6 2 3 9 2" xfId="47713" xr:uid="{00000000-0005-0000-0000-00003DC90000}"/>
    <cellStyle name="Normal 6 2 4" xfId="6879" xr:uid="{00000000-0005-0000-0000-00003EC90000}"/>
    <cellStyle name="Normal 6 2 4 2" xfId="6880" xr:uid="{00000000-0005-0000-0000-00003FC90000}"/>
    <cellStyle name="Normal 6 2 4 2 2" xfId="6881" xr:uid="{00000000-0005-0000-0000-000040C90000}"/>
    <cellStyle name="Normal 6 2 4 2 2 2" xfId="10411" xr:uid="{00000000-0005-0000-0000-000041C90000}"/>
    <cellStyle name="Normal 6 2 4 2 2 2 2" xfId="17200" xr:uid="{00000000-0005-0000-0000-000042C90000}"/>
    <cellStyle name="Normal 6 2 4 2 2 2 2 2" xfId="30768" xr:uid="{00000000-0005-0000-0000-000043C90000}"/>
    <cellStyle name="Normal 6 2 4 2 2 2 2 2 2" xfId="57901" xr:uid="{00000000-0005-0000-0000-000044C90000}"/>
    <cellStyle name="Normal 6 2 4 2 2 2 2 3" xfId="44339" xr:uid="{00000000-0005-0000-0000-000045C90000}"/>
    <cellStyle name="Normal 6 2 4 2 2 2 3" xfId="23987" xr:uid="{00000000-0005-0000-0000-000046C90000}"/>
    <cellStyle name="Normal 6 2 4 2 2 2 3 2" xfId="51120" xr:uid="{00000000-0005-0000-0000-000047C90000}"/>
    <cellStyle name="Normal 6 2 4 2 2 2 4" xfId="37558" xr:uid="{00000000-0005-0000-0000-000048C90000}"/>
    <cellStyle name="Normal 6 2 4 2 2 3" xfId="13811" xr:uid="{00000000-0005-0000-0000-000049C90000}"/>
    <cellStyle name="Normal 6 2 4 2 2 3 2" xfId="27379" xr:uid="{00000000-0005-0000-0000-00004AC90000}"/>
    <cellStyle name="Normal 6 2 4 2 2 3 2 2" xfId="54512" xr:uid="{00000000-0005-0000-0000-00004BC90000}"/>
    <cellStyle name="Normal 6 2 4 2 2 3 3" xfId="40950" xr:uid="{00000000-0005-0000-0000-00004CC90000}"/>
    <cellStyle name="Normal 6 2 4 2 2 4" xfId="20598" xr:uid="{00000000-0005-0000-0000-00004DC90000}"/>
    <cellStyle name="Normal 6 2 4 2 2 4 2" xfId="47731" xr:uid="{00000000-0005-0000-0000-00004EC90000}"/>
    <cellStyle name="Normal 6 2 4 2 2 5" xfId="34169" xr:uid="{00000000-0005-0000-0000-00004FC90000}"/>
    <cellStyle name="Normal 6 2 4 2 3" xfId="6882" xr:uid="{00000000-0005-0000-0000-000050C90000}"/>
    <cellStyle name="Normal 6 2 4 2 3 2" xfId="10412" xr:uid="{00000000-0005-0000-0000-000051C90000}"/>
    <cellStyle name="Normal 6 2 4 2 3 2 2" xfId="17201" xr:uid="{00000000-0005-0000-0000-000052C90000}"/>
    <cellStyle name="Normal 6 2 4 2 3 2 2 2" xfId="30769" xr:uid="{00000000-0005-0000-0000-000053C90000}"/>
    <cellStyle name="Normal 6 2 4 2 3 2 2 2 2" xfId="57902" xr:uid="{00000000-0005-0000-0000-000054C90000}"/>
    <cellStyle name="Normal 6 2 4 2 3 2 2 3" xfId="44340" xr:uid="{00000000-0005-0000-0000-000055C90000}"/>
    <cellStyle name="Normal 6 2 4 2 3 2 3" xfId="23988" xr:uid="{00000000-0005-0000-0000-000056C90000}"/>
    <cellStyle name="Normal 6 2 4 2 3 2 3 2" xfId="51121" xr:uid="{00000000-0005-0000-0000-000057C90000}"/>
    <cellStyle name="Normal 6 2 4 2 3 2 4" xfId="37559" xr:uid="{00000000-0005-0000-0000-000058C90000}"/>
    <cellStyle name="Normal 6 2 4 2 3 3" xfId="13812" xr:uid="{00000000-0005-0000-0000-000059C90000}"/>
    <cellStyle name="Normal 6 2 4 2 3 3 2" xfId="27380" xr:uid="{00000000-0005-0000-0000-00005AC90000}"/>
    <cellStyle name="Normal 6 2 4 2 3 3 2 2" xfId="54513" xr:uid="{00000000-0005-0000-0000-00005BC90000}"/>
    <cellStyle name="Normal 6 2 4 2 3 3 3" xfId="40951" xr:uid="{00000000-0005-0000-0000-00005CC90000}"/>
    <cellStyle name="Normal 6 2 4 2 3 4" xfId="20599" xr:uid="{00000000-0005-0000-0000-00005DC90000}"/>
    <cellStyle name="Normal 6 2 4 2 3 4 2" xfId="47732" xr:uid="{00000000-0005-0000-0000-00005EC90000}"/>
    <cellStyle name="Normal 6 2 4 2 3 5" xfId="34170" xr:uid="{00000000-0005-0000-0000-00005FC90000}"/>
    <cellStyle name="Normal 6 2 4 2 4" xfId="10410" xr:uid="{00000000-0005-0000-0000-000060C90000}"/>
    <cellStyle name="Normal 6 2 4 2 4 2" xfId="17199" xr:uid="{00000000-0005-0000-0000-000061C90000}"/>
    <cellStyle name="Normal 6 2 4 2 4 2 2" xfId="30767" xr:uid="{00000000-0005-0000-0000-000062C90000}"/>
    <cellStyle name="Normal 6 2 4 2 4 2 2 2" xfId="57900" xr:uid="{00000000-0005-0000-0000-000063C90000}"/>
    <cellStyle name="Normal 6 2 4 2 4 2 3" xfId="44338" xr:uid="{00000000-0005-0000-0000-000064C90000}"/>
    <cellStyle name="Normal 6 2 4 2 4 3" xfId="23986" xr:uid="{00000000-0005-0000-0000-000065C90000}"/>
    <cellStyle name="Normal 6 2 4 2 4 3 2" xfId="51119" xr:uid="{00000000-0005-0000-0000-000066C90000}"/>
    <cellStyle name="Normal 6 2 4 2 4 4" xfId="37557" xr:uid="{00000000-0005-0000-0000-000067C90000}"/>
    <cellStyle name="Normal 6 2 4 2 5" xfId="13810" xr:uid="{00000000-0005-0000-0000-000068C90000}"/>
    <cellStyle name="Normal 6 2 4 2 5 2" xfId="27378" xr:uid="{00000000-0005-0000-0000-000069C90000}"/>
    <cellStyle name="Normal 6 2 4 2 5 2 2" xfId="54511" xr:uid="{00000000-0005-0000-0000-00006AC90000}"/>
    <cellStyle name="Normal 6 2 4 2 5 3" xfId="40949" xr:uid="{00000000-0005-0000-0000-00006BC90000}"/>
    <cellStyle name="Normal 6 2 4 2 6" xfId="20597" xr:uid="{00000000-0005-0000-0000-00006CC90000}"/>
    <cellStyle name="Normal 6 2 4 2 6 2" xfId="47730" xr:uid="{00000000-0005-0000-0000-00006DC90000}"/>
    <cellStyle name="Normal 6 2 4 2 7" xfId="34168" xr:uid="{00000000-0005-0000-0000-00006EC90000}"/>
    <cellStyle name="Normal 6 2 4 3" xfId="6883" xr:uid="{00000000-0005-0000-0000-00006FC90000}"/>
    <cellStyle name="Normal 6 2 4 3 2" xfId="6884" xr:uid="{00000000-0005-0000-0000-000070C90000}"/>
    <cellStyle name="Normal 6 2 4 3 2 2" xfId="10414" xr:uid="{00000000-0005-0000-0000-000071C90000}"/>
    <cellStyle name="Normal 6 2 4 3 2 2 2" xfId="17203" xr:uid="{00000000-0005-0000-0000-000072C90000}"/>
    <cellStyle name="Normal 6 2 4 3 2 2 2 2" xfId="30771" xr:uid="{00000000-0005-0000-0000-000073C90000}"/>
    <cellStyle name="Normal 6 2 4 3 2 2 2 2 2" xfId="57904" xr:uid="{00000000-0005-0000-0000-000074C90000}"/>
    <cellStyle name="Normal 6 2 4 3 2 2 2 3" xfId="44342" xr:uid="{00000000-0005-0000-0000-000075C90000}"/>
    <cellStyle name="Normal 6 2 4 3 2 2 3" xfId="23990" xr:uid="{00000000-0005-0000-0000-000076C90000}"/>
    <cellStyle name="Normal 6 2 4 3 2 2 3 2" xfId="51123" xr:uid="{00000000-0005-0000-0000-000077C90000}"/>
    <cellStyle name="Normal 6 2 4 3 2 2 4" xfId="37561" xr:uid="{00000000-0005-0000-0000-000078C90000}"/>
    <cellStyle name="Normal 6 2 4 3 2 3" xfId="13814" xr:uid="{00000000-0005-0000-0000-000079C90000}"/>
    <cellStyle name="Normal 6 2 4 3 2 3 2" xfId="27382" xr:uid="{00000000-0005-0000-0000-00007AC90000}"/>
    <cellStyle name="Normal 6 2 4 3 2 3 2 2" xfId="54515" xr:uid="{00000000-0005-0000-0000-00007BC90000}"/>
    <cellStyle name="Normal 6 2 4 3 2 3 3" xfId="40953" xr:uid="{00000000-0005-0000-0000-00007CC90000}"/>
    <cellStyle name="Normal 6 2 4 3 2 4" xfId="20601" xr:uid="{00000000-0005-0000-0000-00007DC90000}"/>
    <cellStyle name="Normal 6 2 4 3 2 4 2" xfId="47734" xr:uid="{00000000-0005-0000-0000-00007EC90000}"/>
    <cellStyle name="Normal 6 2 4 3 2 5" xfId="34172" xr:uid="{00000000-0005-0000-0000-00007FC90000}"/>
    <cellStyle name="Normal 6 2 4 3 3" xfId="10413" xr:uid="{00000000-0005-0000-0000-000080C90000}"/>
    <cellStyle name="Normal 6 2 4 3 3 2" xfId="17202" xr:uid="{00000000-0005-0000-0000-000081C90000}"/>
    <cellStyle name="Normal 6 2 4 3 3 2 2" xfId="30770" xr:uid="{00000000-0005-0000-0000-000082C90000}"/>
    <cellStyle name="Normal 6 2 4 3 3 2 2 2" xfId="57903" xr:uid="{00000000-0005-0000-0000-000083C90000}"/>
    <cellStyle name="Normal 6 2 4 3 3 2 3" xfId="44341" xr:uid="{00000000-0005-0000-0000-000084C90000}"/>
    <cellStyle name="Normal 6 2 4 3 3 3" xfId="23989" xr:uid="{00000000-0005-0000-0000-000085C90000}"/>
    <cellStyle name="Normal 6 2 4 3 3 3 2" xfId="51122" xr:uid="{00000000-0005-0000-0000-000086C90000}"/>
    <cellStyle name="Normal 6 2 4 3 3 4" xfId="37560" xr:uid="{00000000-0005-0000-0000-000087C90000}"/>
    <cellStyle name="Normal 6 2 4 3 4" xfId="13813" xr:uid="{00000000-0005-0000-0000-000088C90000}"/>
    <cellStyle name="Normal 6 2 4 3 4 2" xfId="27381" xr:uid="{00000000-0005-0000-0000-000089C90000}"/>
    <cellStyle name="Normal 6 2 4 3 4 2 2" xfId="54514" xr:uid="{00000000-0005-0000-0000-00008AC90000}"/>
    <cellStyle name="Normal 6 2 4 3 4 3" xfId="40952" xr:uid="{00000000-0005-0000-0000-00008BC90000}"/>
    <cellStyle name="Normal 6 2 4 3 5" xfId="20600" xr:uid="{00000000-0005-0000-0000-00008CC90000}"/>
    <cellStyle name="Normal 6 2 4 3 5 2" xfId="47733" xr:uid="{00000000-0005-0000-0000-00008DC90000}"/>
    <cellStyle name="Normal 6 2 4 3 6" xfId="34171" xr:uid="{00000000-0005-0000-0000-00008EC90000}"/>
    <cellStyle name="Normal 6 2 4 4" xfId="6885" xr:uid="{00000000-0005-0000-0000-00008FC90000}"/>
    <cellStyle name="Normal 6 2 4 4 2" xfId="10415" xr:uid="{00000000-0005-0000-0000-000090C90000}"/>
    <cellStyle name="Normal 6 2 4 4 2 2" xfId="17204" xr:uid="{00000000-0005-0000-0000-000091C90000}"/>
    <cellStyle name="Normal 6 2 4 4 2 2 2" xfId="30772" xr:uid="{00000000-0005-0000-0000-000092C90000}"/>
    <cellStyle name="Normal 6 2 4 4 2 2 2 2" xfId="57905" xr:uid="{00000000-0005-0000-0000-000093C90000}"/>
    <cellStyle name="Normal 6 2 4 4 2 2 3" xfId="44343" xr:uid="{00000000-0005-0000-0000-000094C90000}"/>
    <cellStyle name="Normal 6 2 4 4 2 3" xfId="23991" xr:uid="{00000000-0005-0000-0000-000095C90000}"/>
    <cellStyle name="Normal 6 2 4 4 2 3 2" xfId="51124" xr:uid="{00000000-0005-0000-0000-000096C90000}"/>
    <cellStyle name="Normal 6 2 4 4 2 4" xfId="37562" xr:uid="{00000000-0005-0000-0000-000097C90000}"/>
    <cellStyle name="Normal 6 2 4 4 3" xfId="13815" xr:uid="{00000000-0005-0000-0000-000098C90000}"/>
    <cellStyle name="Normal 6 2 4 4 3 2" xfId="27383" xr:uid="{00000000-0005-0000-0000-000099C90000}"/>
    <cellStyle name="Normal 6 2 4 4 3 2 2" xfId="54516" xr:uid="{00000000-0005-0000-0000-00009AC90000}"/>
    <cellStyle name="Normal 6 2 4 4 3 3" xfId="40954" xr:uid="{00000000-0005-0000-0000-00009BC90000}"/>
    <cellStyle name="Normal 6 2 4 4 4" xfId="20602" xr:uid="{00000000-0005-0000-0000-00009CC90000}"/>
    <cellStyle name="Normal 6 2 4 4 4 2" xfId="47735" xr:uid="{00000000-0005-0000-0000-00009DC90000}"/>
    <cellStyle name="Normal 6 2 4 4 5" xfId="34173" xr:uid="{00000000-0005-0000-0000-00009EC90000}"/>
    <cellStyle name="Normal 6 2 4 5" xfId="6886" xr:uid="{00000000-0005-0000-0000-00009FC90000}"/>
    <cellStyle name="Normal 6 2 4 5 2" xfId="10416" xr:uid="{00000000-0005-0000-0000-0000A0C90000}"/>
    <cellStyle name="Normal 6 2 4 5 2 2" xfId="17205" xr:uid="{00000000-0005-0000-0000-0000A1C90000}"/>
    <cellStyle name="Normal 6 2 4 5 2 2 2" xfId="30773" xr:uid="{00000000-0005-0000-0000-0000A2C90000}"/>
    <cellStyle name="Normal 6 2 4 5 2 2 2 2" xfId="57906" xr:uid="{00000000-0005-0000-0000-0000A3C90000}"/>
    <cellStyle name="Normal 6 2 4 5 2 2 3" xfId="44344" xr:uid="{00000000-0005-0000-0000-0000A4C90000}"/>
    <cellStyle name="Normal 6 2 4 5 2 3" xfId="23992" xr:uid="{00000000-0005-0000-0000-0000A5C90000}"/>
    <cellStyle name="Normal 6 2 4 5 2 3 2" xfId="51125" xr:uid="{00000000-0005-0000-0000-0000A6C90000}"/>
    <cellStyle name="Normal 6 2 4 5 2 4" xfId="37563" xr:uid="{00000000-0005-0000-0000-0000A7C90000}"/>
    <cellStyle name="Normal 6 2 4 5 3" xfId="13816" xr:uid="{00000000-0005-0000-0000-0000A8C90000}"/>
    <cellStyle name="Normal 6 2 4 5 3 2" xfId="27384" xr:uid="{00000000-0005-0000-0000-0000A9C90000}"/>
    <cellStyle name="Normal 6 2 4 5 3 2 2" xfId="54517" xr:uid="{00000000-0005-0000-0000-0000AAC90000}"/>
    <cellStyle name="Normal 6 2 4 5 3 3" xfId="40955" xr:uid="{00000000-0005-0000-0000-0000ABC90000}"/>
    <cellStyle name="Normal 6 2 4 5 4" xfId="20603" xr:uid="{00000000-0005-0000-0000-0000ACC90000}"/>
    <cellStyle name="Normal 6 2 4 5 4 2" xfId="47736" xr:uid="{00000000-0005-0000-0000-0000ADC90000}"/>
    <cellStyle name="Normal 6 2 4 5 5" xfId="34174" xr:uid="{00000000-0005-0000-0000-0000AEC90000}"/>
    <cellStyle name="Normal 6 2 4 6" xfId="10409" xr:uid="{00000000-0005-0000-0000-0000AFC90000}"/>
    <cellStyle name="Normal 6 2 4 6 2" xfId="17198" xr:uid="{00000000-0005-0000-0000-0000B0C90000}"/>
    <cellStyle name="Normal 6 2 4 6 2 2" xfId="30766" xr:uid="{00000000-0005-0000-0000-0000B1C90000}"/>
    <cellStyle name="Normal 6 2 4 6 2 2 2" xfId="57899" xr:uid="{00000000-0005-0000-0000-0000B2C90000}"/>
    <cellStyle name="Normal 6 2 4 6 2 3" xfId="44337" xr:uid="{00000000-0005-0000-0000-0000B3C90000}"/>
    <cellStyle name="Normal 6 2 4 6 3" xfId="23985" xr:uid="{00000000-0005-0000-0000-0000B4C90000}"/>
    <cellStyle name="Normal 6 2 4 6 3 2" xfId="51118" xr:uid="{00000000-0005-0000-0000-0000B5C90000}"/>
    <cellStyle name="Normal 6 2 4 6 4" xfId="37556" xr:uid="{00000000-0005-0000-0000-0000B6C90000}"/>
    <cellStyle name="Normal 6 2 4 7" xfId="13809" xr:uid="{00000000-0005-0000-0000-0000B7C90000}"/>
    <cellStyle name="Normal 6 2 4 7 2" xfId="27377" xr:uid="{00000000-0005-0000-0000-0000B8C90000}"/>
    <cellStyle name="Normal 6 2 4 7 2 2" xfId="54510" xr:uid="{00000000-0005-0000-0000-0000B9C90000}"/>
    <cellStyle name="Normal 6 2 4 7 3" xfId="40948" xr:uid="{00000000-0005-0000-0000-0000BAC90000}"/>
    <cellStyle name="Normal 6 2 4 8" xfId="20596" xr:uid="{00000000-0005-0000-0000-0000BBC90000}"/>
    <cellStyle name="Normal 6 2 4 8 2" xfId="47729" xr:uid="{00000000-0005-0000-0000-0000BCC90000}"/>
    <cellStyle name="Normal 6 2 4 9" xfId="34167" xr:uid="{00000000-0005-0000-0000-0000BDC90000}"/>
    <cellStyle name="Normal 6 2 5" xfId="6887" xr:uid="{00000000-0005-0000-0000-0000BEC90000}"/>
    <cellStyle name="Normal 6 2 5 2" xfId="6888" xr:uid="{00000000-0005-0000-0000-0000BFC90000}"/>
    <cellStyle name="Normal 6 2 5 2 2" xfId="6889" xr:uid="{00000000-0005-0000-0000-0000C0C90000}"/>
    <cellStyle name="Normal 6 2 5 2 2 2" xfId="10419" xr:uid="{00000000-0005-0000-0000-0000C1C90000}"/>
    <cellStyle name="Normal 6 2 5 2 2 2 2" xfId="17208" xr:uid="{00000000-0005-0000-0000-0000C2C90000}"/>
    <cellStyle name="Normal 6 2 5 2 2 2 2 2" xfId="30776" xr:uid="{00000000-0005-0000-0000-0000C3C90000}"/>
    <cellStyle name="Normal 6 2 5 2 2 2 2 2 2" xfId="57909" xr:uid="{00000000-0005-0000-0000-0000C4C90000}"/>
    <cellStyle name="Normal 6 2 5 2 2 2 2 3" xfId="44347" xr:uid="{00000000-0005-0000-0000-0000C5C90000}"/>
    <cellStyle name="Normal 6 2 5 2 2 2 3" xfId="23995" xr:uid="{00000000-0005-0000-0000-0000C6C90000}"/>
    <cellStyle name="Normal 6 2 5 2 2 2 3 2" xfId="51128" xr:uid="{00000000-0005-0000-0000-0000C7C90000}"/>
    <cellStyle name="Normal 6 2 5 2 2 2 4" xfId="37566" xr:uid="{00000000-0005-0000-0000-0000C8C90000}"/>
    <cellStyle name="Normal 6 2 5 2 2 3" xfId="13819" xr:uid="{00000000-0005-0000-0000-0000C9C90000}"/>
    <cellStyle name="Normal 6 2 5 2 2 3 2" xfId="27387" xr:uid="{00000000-0005-0000-0000-0000CAC90000}"/>
    <cellStyle name="Normal 6 2 5 2 2 3 2 2" xfId="54520" xr:uid="{00000000-0005-0000-0000-0000CBC90000}"/>
    <cellStyle name="Normal 6 2 5 2 2 3 3" xfId="40958" xr:uid="{00000000-0005-0000-0000-0000CCC90000}"/>
    <cellStyle name="Normal 6 2 5 2 2 4" xfId="20606" xr:uid="{00000000-0005-0000-0000-0000CDC90000}"/>
    <cellStyle name="Normal 6 2 5 2 2 4 2" xfId="47739" xr:uid="{00000000-0005-0000-0000-0000CEC90000}"/>
    <cellStyle name="Normal 6 2 5 2 2 5" xfId="34177" xr:uid="{00000000-0005-0000-0000-0000CFC90000}"/>
    <cellStyle name="Normal 6 2 5 2 3" xfId="6890" xr:uid="{00000000-0005-0000-0000-0000D0C90000}"/>
    <cellStyle name="Normal 6 2 5 2 3 2" xfId="10420" xr:uid="{00000000-0005-0000-0000-0000D1C90000}"/>
    <cellStyle name="Normal 6 2 5 2 3 2 2" xfId="17209" xr:uid="{00000000-0005-0000-0000-0000D2C90000}"/>
    <cellStyle name="Normal 6 2 5 2 3 2 2 2" xfId="30777" xr:uid="{00000000-0005-0000-0000-0000D3C90000}"/>
    <cellStyle name="Normal 6 2 5 2 3 2 2 2 2" xfId="57910" xr:uid="{00000000-0005-0000-0000-0000D4C90000}"/>
    <cellStyle name="Normal 6 2 5 2 3 2 2 3" xfId="44348" xr:uid="{00000000-0005-0000-0000-0000D5C90000}"/>
    <cellStyle name="Normal 6 2 5 2 3 2 3" xfId="23996" xr:uid="{00000000-0005-0000-0000-0000D6C90000}"/>
    <cellStyle name="Normal 6 2 5 2 3 2 3 2" xfId="51129" xr:uid="{00000000-0005-0000-0000-0000D7C90000}"/>
    <cellStyle name="Normal 6 2 5 2 3 2 4" xfId="37567" xr:uid="{00000000-0005-0000-0000-0000D8C90000}"/>
    <cellStyle name="Normal 6 2 5 2 3 3" xfId="13820" xr:uid="{00000000-0005-0000-0000-0000D9C90000}"/>
    <cellStyle name="Normal 6 2 5 2 3 3 2" xfId="27388" xr:uid="{00000000-0005-0000-0000-0000DAC90000}"/>
    <cellStyle name="Normal 6 2 5 2 3 3 2 2" xfId="54521" xr:uid="{00000000-0005-0000-0000-0000DBC90000}"/>
    <cellStyle name="Normal 6 2 5 2 3 3 3" xfId="40959" xr:uid="{00000000-0005-0000-0000-0000DCC90000}"/>
    <cellStyle name="Normal 6 2 5 2 3 4" xfId="20607" xr:uid="{00000000-0005-0000-0000-0000DDC90000}"/>
    <cellStyle name="Normal 6 2 5 2 3 4 2" xfId="47740" xr:uid="{00000000-0005-0000-0000-0000DEC90000}"/>
    <cellStyle name="Normal 6 2 5 2 3 5" xfId="34178" xr:uid="{00000000-0005-0000-0000-0000DFC90000}"/>
    <cellStyle name="Normal 6 2 5 2 4" xfId="10418" xr:uid="{00000000-0005-0000-0000-0000E0C90000}"/>
    <cellStyle name="Normal 6 2 5 2 4 2" xfId="17207" xr:uid="{00000000-0005-0000-0000-0000E1C90000}"/>
    <cellStyle name="Normal 6 2 5 2 4 2 2" xfId="30775" xr:uid="{00000000-0005-0000-0000-0000E2C90000}"/>
    <cellStyle name="Normal 6 2 5 2 4 2 2 2" xfId="57908" xr:uid="{00000000-0005-0000-0000-0000E3C90000}"/>
    <cellStyle name="Normal 6 2 5 2 4 2 3" xfId="44346" xr:uid="{00000000-0005-0000-0000-0000E4C90000}"/>
    <cellStyle name="Normal 6 2 5 2 4 3" xfId="23994" xr:uid="{00000000-0005-0000-0000-0000E5C90000}"/>
    <cellStyle name="Normal 6 2 5 2 4 3 2" xfId="51127" xr:uid="{00000000-0005-0000-0000-0000E6C90000}"/>
    <cellStyle name="Normal 6 2 5 2 4 4" xfId="37565" xr:uid="{00000000-0005-0000-0000-0000E7C90000}"/>
    <cellStyle name="Normal 6 2 5 2 5" xfId="13818" xr:uid="{00000000-0005-0000-0000-0000E8C90000}"/>
    <cellStyle name="Normal 6 2 5 2 5 2" xfId="27386" xr:uid="{00000000-0005-0000-0000-0000E9C90000}"/>
    <cellStyle name="Normal 6 2 5 2 5 2 2" xfId="54519" xr:uid="{00000000-0005-0000-0000-0000EAC90000}"/>
    <cellStyle name="Normal 6 2 5 2 5 3" xfId="40957" xr:uid="{00000000-0005-0000-0000-0000EBC90000}"/>
    <cellStyle name="Normal 6 2 5 2 6" xfId="20605" xr:uid="{00000000-0005-0000-0000-0000ECC90000}"/>
    <cellStyle name="Normal 6 2 5 2 6 2" xfId="47738" xr:uid="{00000000-0005-0000-0000-0000EDC90000}"/>
    <cellStyle name="Normal 6 2 5 2 7" xfId="34176" xr:uid="{00000000-0005-0000-0000-0000EEC90000}"/>
    <cellStyle name="Normal 6 2 5 3" xfId="6891" xr:uid="{00000000-0005-0000-0000-0000EFC90000}"/>
    <cellStyle name="Normal 6 2 5 3 2" xfId="10421" xr:uid="{00000000-0005-0000-0000-0000F0C90000}"/>
    <cellStyle name="Normal 6 2 5 3 2 2" xfId="17210" xr:uid="{00000000-0005-0000-0000-0000F1C90000}"/>
    <cellStyle name="Normal 6 2 5 3 2 2 2" xfId="30778" xr:uid="{00000000-0005-0000-0000-0000F2C90000}"/>
    <cellStyle name="Normal 6 2 5 3 2 2 2 2" xfId="57911" xr:uid="{00000000-0005-0000-0000-0000F3C90000}"/>
    <cellStyle name="Normal 6 2 5 3 2 2 3" xfId="44349" xr:uid="{00000000-0005-0000-0000-0000F4C90000}"/>
    <cellStyle name="Normal 6 2 5 3 2 3" xfId="23997" xr:uid="{00000000-0005-0000-0000-0000F5C90000}"/>
    <cellStyle name="Normal 6 2 5 3 2 3 2" xfId="51130" xr:uid="{00000000-0005-0000-0000-0000F6C90000}"/>
    <cellStyle name="Normal 6 2 5 3 2 4" xfId="37568" xr:uid="{00000000-0005-0000-0000-0000F7C90000}"/>
    <cellStyle name="Normal 6 2 5 3 3" xfId="13821" xr:uid="{00000000-0005-0000-0000-0000F8C90000}"/>
    <cellStyle name="Normal 6 2 5 3 3 2" xfId="27389" xr:uid="{00000000-0005-0000-0000-0000F9C90000}"/>
    <cellStyle name="Normal 6 2 5 3 3 2 2" xfId="54522" xr:uid="{00000000-0005-0000-0000-0000FAC90000}"/>
    <cellStyle name="Normal 6 2 5 3 3 3" xfId="40960" xr:uid="{00000000-0005-0000-0000-0000FBC90000}"/>
    <cellStyle name="Normal 6 2 5 3 4" xfId="20608" xr:uid="{00000000-0005-0000-0000-0000FCC90000}"/>
    <cellStyle name="Normal 6 2 5 3 4 2" xfId="47741" xr:uid="{00000000-0005-0000-0000-0000FDC90000}"/>
    <cellStyle name="Normal 6 2 5 3 5" xfId="34179" xr:uid="{00000000-0005-0000-0000-0000FEC90000}"/>
    <cellStyle name="Normal 6 2 5 4" xfId="6892" xr:uid="{00000000-0005-0000-0000-0000FFC90000}"/>
    <cellStyle name="Normal 6 2 5 4 2" xfId="10422" xr:uid="{00000000-0005-0000-0000-000000CA0000}"/>
    <cellStyle name="Normal 6 2 5 4 2 2" xfId="17211" xr:uid="{00000000-0005-0000-0000-000001CA0000}"/>
    <cellStyle name="Normal 6 2 5 4 2 2 2" xfId="30779" xr:uid="{00000000-0005-0000-0000-000002CA0000}"/>
    <cellStyle name="Normal 6 2 5 4 2 2 2 2" xfId="57912" xr:uid="{00000000-0005-0000-0000-000003CA0000}"/>
    <cellStyle name="Normal 6 2 5 4 2 2 3" xfId="44350" xr:uid="{00000000-0005-0000-0000-000004CA0000}"/>
    <cellStyle name="Normal 6 2 5 4 2 3" xfId="23998" xr:uid="{00000000-0005-0000-0000-000005CA0000}"/>
    <cellStyle name="Normal 6 2 5 4 2 3 2" xfId="51131" xr:uid="{00000000-0005-0000-0000-000006CA0000}"/>
    <cellStyle name="Normal 6 2 5 4 2 4" xfId="37569" xr:uid="{00000000-0005-0000-0000-000007CA0000}"/>
    <cellStyle name="Normal 6 2 5 4 3" xfId="13822" xr:uid="{00000000-0005-0000-0000-000008CA0000}"/>
    <cellStyle name="Normal 6 2 5 4 3 2" xfId="27390" xr:uid="{00000000-0005-0000-0000-000009CA0000}"/>
    <cellStyle name="Normal 6 2 5 4 3 2 2" xfId="54523" xr:uid="{00000000-0005-0000-0000-00000ACA0000}"/>
    <cellStyle name="Normal 6 2 5 4 3 3" xfId="40961" xr:uid="{00000000-0005-0000-0000-00000BCA0000}"/>
    <cellStyle name="Normal 6 2 5 4 4" xfId="20609" xr:uid="{00000000-0005-0000-0000-00000CCA0000}"/>
    <cellStyle name="Normal 6 2 5 4 4 2" xfId="47742" xr:uid="{00000000-0005-0000-0000-00000DCA0000}"/>
    <cellStyle name="Normal 6 2 5 4 5" xfId="34180" xr:uid="{00000000-0005-0000-0000-00000ECA0000}"/>
    <cellStyle name="Normal 6 2 5 5" xfId="10417" xr:uid="{00000000-0005-0000-0000-00000FCA0000}"/>
    <cellStyle name="Normal 6 2 5 5 2" xfId="17206" xr:uid="{00000000-0005-0000-0000-000010CA0000}"/>
    <cellStyle name="Normal 6 2 5 5 2 2" xfId="30774" xr:uid="{00000000-0005-0000-0000-000011CA0000}"/>
    <cellStyle name="Normal 6 2 5 5 2 2 2" xfId="57907" xr:uid="{00000000-0005-0000-0000-000012CA0000}"/>
    <cellStyle name="Normal 6 2 5 5 2 3" xfId="44345" xr:uid="{00000000-0005-0000-0000-000013CA0000}"/>
    <cellStyle name="Normal 6 2 5 5 3" xfId="23993" xr:uid="{00000000-0005-0000-0000-000014CA0000}"/>
    <cellStyle name="Normal 6 2 5 5 3 2" xfId="51126" xr:uid="{00000000-0005-0000-0000-000015CA0000}"/>
    <cellStyle name="Normal 6 2 5 5 4" xfId="37564" xr:uid="{00000000-0005-0000-0000-000016CA0000}"/>
    <cellStyle name="Normal 6 2 5 6" xfId="13817" xr:uid="{00000000-0005-0000-0000-000017CA0000}"/>
    <cellStyle name="Normal 6 2 5 6 2" xfId="27385" xr:uid="{00000000-0005-0000-0000-000018CA0000}"/>
    <cellStyle name="Normal 6 2 5 6 2 2" xfId="54518" xr:uid="{00000000-0005-0000-0000-000019CA0000}"/>
    <cellStyle name="Normal 6 2 5 6 3" xfId="40956" xr:uid="{00000000-0005-0000-0000-00001ACA0000}"/>
    <cellStyle name="Normal 6 2 5 7" xfId="20604" xr:uid="{00000000-0005-0000-0000-00001BCA0000}"/>
    <cellStyle name="Normal 6 2 5 7 2" xfId="47737" xr:uid="{00000000-0005-0000-0000-00001CCA0000}"/>
    <cellStyle name="Normal 6 2 5 8" xfId="34175" xr:uid="{00000000-0005-0000-0000-00001DCA0000}"/>
    <cellStyle name="Normal 6 2 6" xfId="6893" xr:uid="{00000000-0005-0000-0000-00001ECA0000}"/>
    <cellStyle name="Normal 6 2 6 2" xfId="6894" xr:uid="{00000000-0005-0000-0000-00001FCA0000}"/>
    <cellStyle name="Normal 6 2 6 2 2" xfId="6895" xr:uid="{00000000-0005-0000-0000-000020CA0000}"/>
    <cellStyle name="Normal 6 2 6 2 2 2" xfId="10425" xr:uid="{00000000-0005-0000-0000-000021CA0000}"/>
    <cellStyle name="Normal 6 2 6 2 2 2 2" xfId="17214" xr:uid="{00000000-0005-0000-0000-000022CA0000}"/>
    <cellStyle name="Normal 6 2 6 2 2 2 2 2" xfId="30782" xr:uid="{00000000-0005-0000-0000-000023CA0000}"/>
    <cellStyle name="Normal 6 2 6 2 2 2 2 2 2" xfId="57915" xr:uid="{00000000-0005-0000-0000-000024CA0000}"/>
    <cellStyle name="Normal 6 2 6 2 2 2 2 3" xfId="44353" xr:uid="{00000000-0005-0000-0000-000025CA0000}"/>
    <cellStyle name="Normal 6 2 6 2 2 2 3" xfId="24001" xr:uid="{00000000-0005-0000-0000-000026CA0000}"/>
    <cellStyle name="Normal 6 2 6 2 2 2 3 2" xfId="51134" xr:uid="{00000000-0005-0000-0000-000027CA0000}"/>
    <cellStyle name="Normal 6 2 6 2 2 2 4" xfId="37572" xr:uid="{00000000-0005-0000-0000-000028CA0000}"/>
    <cellStyle name="Normal 6 2 6 2 2 3" xfId="13825" xr:uid="{00000000-0005-0000-0000-000029CA0000}"/>
    <cellStyle name="Normal 6 2 6 2 2 3 2" xfId="27393" xr:uid="{00000000-0005-0000-0000-00002ACA0000}"/>
    <cellStyle name="Normal 6 2 6 2 2 3 2 2" xfId="54526" xr:uid="{00000000-0005-0000-0000-00002BCA0000}"/>
    <cellStyle name="Normal 6 2 6 2 2 3 3" xfId="40964" xr:uid="{00000000-0005-0000-0000-00002CCA0000}"/>
    <cellStyle name="Normal 6 2 6 2 2 4" xfId="20612" xr:uid="{00000000-0005-0000-0000-00002DCA0000}"/>
    <cellStyle name="Normal 6 2 6 2 2 4 2" xfId="47745" xr:uid="{00000000-0005-0000-0000-00002ECA0000}"/>
    <cellStyle name="Normal 6 2 6 2 2 5" xfId="34183" xr:uid="{00000000-0005-0000-0000-00002FCA0000}"/>
    <cellStyle name="Normal 6 2 6 2 3" xfId="6896" xr:uid="{00000000-0005-0000-0000-000030CA0000}"/>
    <cellStyle name="Normal 6 2 6 2 3 2" xfId="10426" xr:uid="{00000000-0005-0000-0000-000031CA0000}"/>
    <cellStyle name="Normal 6 2 6 2 3 2 2" xfId="17215" xr:uid="{00000000-0005-0000-0000-000032CA0000}"/>
    <cellStyle name="Normal 6 2 6 2 3 2 2 2" xfId="30783" xr:uid="{00000000-0005-0000-0000-000033CA0000}"/>
    <cellStyle name="Normal 6 2 6 2 3 2 2 2 2" xfId="57916" xr:uid="{00000000-0005-0000-0000-000034CA0000}"/>
    <cellStyle name="Normal 6 2 6 2 3 2 2 3" xfId="44354" xr:uid="{00000000-0005-0000-0000-000035CA0000}"/>
    <cellStyle name="Normal 6 2 6 2 3 2 3" xfId="24002" xr:uid="{00000000-0005-0000-0000-000036CA0000}"/>
    <cellStyle name="Normal 6 2 6 2 3 2 3 2" xfId="51135" xr:uid="{00000000-0005-0000-0000-000037CA0000}"/>
    <cellStyle name="Normal 6 2 6 2 3 2 4" xfId="37573" xr:uid="{00000000-0005-0000-0000-000038CA0000}"/>
    <cellStyle name="Normal 6 2 6 2 3 3" xfId="13826" xr:uid="{00000000-0005-0000-0000-000039CA0000}"/>
    <cellStyle name="Normal 6 2 6 2 3 3 2" xfId="27394" xr:uid="{00000000-0005-0000-0000-00003ACA0000}"/>
    <cellStyle name="Normal 6 2 6 2 3 3 2 2" xfId="54527" xr:uid="{00000000-0005-0000-0000-00003BCA0000}"/>
    <cellStyle name="Normal 6 2 6 2 3 3 3" xfId="40965" xr:uid="{00000000-0005-0000-0000-00003CCA0000}"/>
    <cellStyle name="Normal 6 2 6 2 3 4" xfId="20613" xr:uid="{00000000-0005-0000-0000-00003DCA0000}"/>
    <cellStyle name="Normal 6 2 6 2 3 4 2" xfId="47746" xr:uid="{00000000-0005-0000-0000-00003ECA0000}"/>
    <cellStyle name="Normal 6 2 6 2 3 5" xfId="34184" xr:uid="{00000000-0005-0000-0000-00003FCA0000}"/>
    <cellStyle name="Normal 6 2 6 2 4" xfId="10424" xr:uid="{00000000-0005-0000-0000-000040CA0000}"/>
    <cellStyle name="Normal 6 2 6 2 4 2" xfId="17213" xr:uid="{00000000-0005-0000-0000-000041CA0000}"/>
    <cellStyle name="Normal 6 2 6 2 4 2 2" xfId="30781" xr:uid="{00000000-0005-0000-0000-000042CA0000}"/>
    <cellStyle name="Normal 6 2 6 2 4 2 2 2" xfId="57914" xr:uid="{00000000-0005-0000-0000-000043CA0000}"/>
    <cellStyle name="Normal 6 2 6 2 4 2 3" xfId="44352" xr:uid="{00000000-0005-0000-0000-000044CA0000}"/>
    <cellStyle name="Normal 6 2 6 2 4 3" xfId="24000" xr:uid="{00000000-0005-0000-0000-000045CA0000}"/>
    <cellStyle name="Normal 6 2 6 2 4 3 2" xfId="51133" xr:uid="{00000000-0005-0000-0000-000046CA0000}"/>
    <cellStyle name="Normal 6 2 6 2 4 4" xfId="37571" xr:uid="{00000000-0005-0000-0000-000047CA0000}"/>
    <cellStyle name="Normal 6 2 6 2 5" xfId="13824" xr:uid="{00000000-0005-0000-0000-000048CA0000}"/>
    <cellStyle name="Normal 6 2 6 2 5 2" xfId="27392" xr:uid="{00000000-0005-0000-0000-000049CA0000}"/>
    <cellStyle name="Normal 6 2 6 2 5 2 2" xfId="54525" xr:uid="{00000000-0005-0000-0000-00004ACA0000}"/>
    <cellStyle name="Normal 6 2 6 2 5 3" xfId="40963" xr:uid="{00000000-0005-0000-0000-00004BCA0000}"/>
    <cellStyle name="Normal 6 2 6 2 6" xfId="20611" xr:uid="{00000000-0005-0000-0000-00004CCA0000}"/>
    <cellStyle name="Normal 6 2 6 2 6 2" xfId="47744" xr:uid="{00000000-0005-0000-0000-00004DCA0000}"/>
    <cellStyle name="Normal 6 2 6 2 7" xfId="34182" xr:uid="{00000000-0005-0000-0000-00004ECA0000}"/>
    <cellStyle name="Normal 6 2 6 3" xfId="6897" xr:uid="{00000000-0005-0000-0000-00004FCA0000}"/>
    <cellStyle name="Normal 6 2 6 3 2" xfId="10427" xr:uid="{00000000-0005-0000-0000-000050CA0000}"/>
    <cellStyle name="Normal 6 2 6 3 2 2" xfId="17216" xr:uid="{00000000-0005-0000-0000-000051CA0000}"/>
    <cellStyle name="Normal 6 2 6 3 2 2 2" xfId="30784" xr:uid="{00000000-0005-0000-0000-000052CA0000}"/>
    <cellStyle name="Normal 6 2 6 3 2 2 2 2" xfId="57917" xr:uid="{00000000-0005-0000-0000-000053CA0000}"/>
    <cellStyle name="Normal 6 2 6 3 2 2 3" xfId="44355" xr:uid="{00000000-0005-0000-0000-000054CA0000}"/>
    <cellStyle name="Normal 6 2 6 3 2 3" xfId="24003" xr:uid="{00000000-0005-0000-0000-000055CA0000}"/>
    <cellStyle name="Normal 6 2 6 3 2 3 2" xfId="51136" xr:uid="{00000000-0005-0000-0000-000056CA0000}"/>
    <cellStyle name="Normal 6 2 6 3 2 4" xfId="37574" xr:uid="{00000000-0005-0000-0000-000057CA0000}"/>
    <cellStyle name="Normal 6 2 6 3 3" xfId="13827" xr:uid="{00000000-0005-0000-0000-000058CA0000}"/>
    <cellStyle name="Normal 6 2 6 3 3 2" xfId="27395" xr:uid="{00000000-0005-0000-0000-000059CA0000}"/>
    <cellStyle name="Normal 6 2 6 3 3 2 2" xfId="54528" xr:uid="{00000000-0005-0000-0000-00005ACA0000}"/>
    <cellStyle name="Normal 6 2 6 3 3 3" xfId="40966" xr:uid="{00000000-0005-0000-0000-00005BCA0000}"/>
    <cellStyle name="Normal 6 2 6 3 4" xfId="20614" xr:uid="{00000000-0005-0000-0000-00005CCA0000}"/>
    <cellStyle name="Normal 6 2 6 3 4 2" xfId="47747" xr:uid="{00000000-0005-0000-0000-00005DCA0000}"/>
    <cellStyle name="Normal 6 2 6 3 5" xfId="34185" xr:uid="{00000000-0005-0000-0000-00005ECA0000}"/>
    <cellStyle name="Normal 6 2 6 4" xfId="6898" xr:uid="{00000000-0005-0000-0000-00005FCA0000}"/>
    <cellStyle name="Normal 6 2 6 4 2" xfId="10428" xr:uid="{00000000-0005-0000-0000-000060CA0000}"/>
    <cellStyle name="Normal 6 2 6 4 2 2" xfId="17217" xr:uid="{00000000-0005-0000-0000-000061CA0000}"/>
    <cellStyle name="Normal 6 2 6 4 2 2 2" xfId="30785" xr:uid="{00000000-0005-0000-0000-000062CA0000}"/>
    <cellStyle name="Normal 6 2 6 4 2 2 2 2" xfId="57918" xr:uid="{00000000-0005-0000-0000-000063CA0000}"/>
    <cellStyle name="Normal 6 2 6 4 2 2 3" xfId="44356" xr:uid="{00000000-0005-0000-0000-000064CA0000}"/>
    <cellStyle name="Normal 6 2 6 4 2 3" xfId="24004" xr:uid="{00000000-0005-0000-0000-000065CA0000}"/>
    <cellStyle name="Normal 6 2 6 4 2 3 2" xfId="51137" xr:uid="{00000000-0005-0000-0000-000066CA0000}"/>
    <cellStyle name="Normal 6 2 6 4 2 4" xfId="37575" xr:uid="{00000000-0005-0000-0000-000067CA0000}"/>
    <cellStyle name="Normal 6 2 6 4 3" xfId="13828" xr:uid="{00000000-0005-0000-0000-000068CA0000}"/>
    <cellStyle name="Normal 6 2 6 4 3 2" xfId="27396" xr:uid="{00000000-0005-0000-0000-000069CA0000}"/>
    <cellStyle name="Normal 6 2 6 4 3 2 2" xfId="54529" xr:uid="{00000000-0005-0000-0000-00006ACA0000}"/>
    <cellStyle name="Normal 6 2 6 4 3 3" xfId="40967" xr:uid="{00000000-0005-0000-0000-00006BCA0000}"/>
    <cellStyle name="Normal 6 2 6 4 4" xfId="20615" xr:uid="{00000000-0005-0000-0000-00006CCA0000}"/>
    <cellStyle name="Normal 6 2 6 4 4 2" xfId="47748" xr:uid="{00000000-0005-0000-0000-00006DCA0000}"/>
    <cellStyle name="Normal 6 2 6 4 5" xfId="34186" xr:uid="{00000000-0005-0000-0000-00006ECA0000}"/>
    <cellStyle name="Normal 6 2 6 5" xfId="10423" xr:uid="{00000000-0005-0000-0000-00006FCA0000}"/>
    <cellStyle name="Normal 6 2 6 5 2" xfId="17212" xr:uid="{00000000-0005-0000-0000-000070CA0000}"/>
    <cellStyle name="Normal 6 2 6 5 2 2" xfId="30780" xr:uid="{00000000-0005-0000-0000-000071CA0000}"/>
    <cellStyle name="Normal 6 2 6 5 2 2 2" xfId="57913" xr:uid="{00000000-0005-0000-0000-000072CA0000}"/>
    <cellStyle name="Normal 6 2 6 5 2 3" xfId="44351" xr:uid="{00000000-0005-0000-0000-000073CA0000}"/>
    <cellStyle name="Normal 6 2 6 5 3" xfId="23999" xr:uid="{00000000-0005-0000-0000-000074CA0000}"/>
    <cellStyle name="Normal 6 2 6 5 3 2" xfId="51132" xr:uid="{00000000-0005-0000-0000-000075CA0000}"/>
    <cellStyle name="Normal 6 2 6 5 4" xfId="37570" xr:uid="{00000000-0005-0000-0000-000076CA0000}"/>
    <cellStyle name="Normal 6 2 6 6" xfId="13823" xr:uid="{00000000-0005-0000-0000-000077CA0000}"/>
    <cellStyle name="Normal 6 2 6 6 2" xfId="27391" xr:uid="{00000000-0005-0000-0000-000078CA0000}"/>
    <cellStyle name="Normal 6 2 6 6 2 2" xfId="54524" xr:uid="{00000000-0005-0000-0000-000079CA0000}"/>
    <cellStyle name="Normal 6 2 6 6 3" xfId="40962" xr:uid="{00000000-0005-0000-0000-00007ACA0000}"/>
    <cellStyle name="Normal 6 2 6 7" xfId="20610" xr:uid="{00000000-0005-0000-0000-00007BCA0000}"/>
    <cellStyle name="Normal 6 2 6 7 2" xfId="47743" xr:uid="{00000000-0005-0000-0000-00007CCA0000}"/>
    <cellStyle name="Normal 6 2 6 8" xfId="34181" xr:uid="{00000000-0005-0000-0000-00007DCA0000}"/>
    <cellStyle name="Normal 6 2 7" xfId="6899" xr:uid="{00000000-0005-0000-0000-00007ECA0000}"/>
    <cellStyle name="Normal 6 2 7 2" xfId="6900" xr:uid="{00000000-0005-0000-0000-00007FCA0000}"/>
    <cellStyle name="Normal 6 2 7 2 2" xfId="10430" xr:uid="{00000000-0005-0000-0000-000080CA0000}"/>
    <cellStyle name="Normal 6 2 7 2 2 2" xfId="17219" xr:uid="{00000000-0005-0000-0000-000081CA0000}"/>
    <cellStyle name="Normal 6 2 7 2 2 2 2" xfId="30787" xr:uid="{00000000-0005-0000-0000-000082CA0000}"/>
    <cellStyle name="Normal 6 2 7 2 2 2 2 2" xfId="57920" xr:uid="{00000000-0005-0000-0000-000083CA0000}"/>
    <cellStyle name="Normal 6 2 7 2 2 2 3" xfId="44358" xr:uid="{00000000-0005-0000-0000-000084CA0000}"/>
    <cellStyle name="Normal 6 2 7 2 2 3" xfId="24006" xr:uid="{00000000-0005-0000-0000-000085CA0000}"/>
    <cellStyle name="Normal 6 2 7 2 2 3 2" xfId="51139" xr:uid="{00000000-0005-0000-0000-000086CA0000}"/>
    <cellStyle name="Normal 6 2 7 2 2 4" xfId="37577" xr:uid="{00000000-0005-0000-0000-000087CA0000}"/>
    <cellStyle name="Normal 6 2 7 2 3" xfId="13830" xr:uid="{00000000-0005-0000-0000-000088CA0000}"/>
    <cellStyle name="Normal 6 2 7 2 3 2" xfId="27398" xr:uid="{00000000-0005-0000-0000-000089CA0000}"/>
    <cellStyle name="Normal 6 2 7 2 3 2 2" xfId="54531" xr:uid="{00000000-0005-0000-0000-00008ACA0000}"/>
    <cellStyle name="Normal 6 2 7 2 3 3" xfId="40969" xr:uid="{00000000-0005-0000-0000-00008BCA0000}"/>
    <cellStyle name="Normal 6 2 7 2 4" xfId="20617" xr:uid="{00000000-0005-0000-0000-00008CCA0000}"/>
    <cellStyle name="Normal 6 2 7 2 4 2" xfId="47750" xr:uid="{00000000-0005-0000-0000-00008DCA0000}"/>
    <cellStyle name="Normal 6 2 7 2 5" xfId="34188" xr:uid="{00000000-0005-0000-0000-00008ECA0000}"/>
    <cellStyle name="Normal 6 2 7 3" xfId="6901" xr:uid="{00000000-0005-0000-0000-00008FCA0000}"/>
    <cellStyle name="Normal 6 2 7 3 2" xfId="10431" xr:uid="{00000000-0005-0000-0000-000090CA0000}"/>
    <cellStyle name="Normal 6 2 7 3 2 2" xfId="17220" xr:uid="{00000000-0005-0000-0000-000091CA0000}"/>
    <cellStyle name="Normal 6 2 7 3 2 2 2" xfId="30788" xr:uid="{00000000-0005-0000-0000-000092CA0000}"/>
    <cellStyle name="Normal 6 2 7 3 2 2 2 2" xfId="57921" xr:uid="{00000000-0005-0000-0000-000093CA0000}"/>
    <cellStyle name="Normal 6 2 7 3 2 2 3" xfId="44359" xr:uid="{00000000-0005-0000-0000-000094CA0000}"/>
    <cellStyle name="Normal 6 2 7 3 2 3" xfId="24007" xr:uid="{00000000-0005-0000-0000-000095CA0000}"/>
    <cellStyle name="Normal 6 2 7 3 2 3 2" xfId="51140" xr:uid="{00000000-0005-0000-0000-000096CA0000}"/>
    <cellStyle name="Normal 6 2 7 3 2 4" xfId="37578" xr:uid="{00000000-0005-0000-0000-000097CA0000}"/>
    <cellStyle name="Normal 6 2 7 3 3" xfId="13831" xr:uid="{00000000-0005-0000-0000-000098CA0000}"/>
    <cellStyle name="Normal 6 2 7 3 3 2" xfId="27399" xr:uid="{00000000-0005-0000-0000-000099CA0000}"/>
    <cellStyle name="Normal 6 2 7 3 3 2 2" xfId="54532" xr:uid="{00000000-0005-0000-0000-00009ACA0000}"/>
    <cellStyle name="Normal 6 2 7 3 3 3" xfId="40970" xr:uid="{00000000-0005-0000-0000-00009BCA0000}"/>
    <cellStyle name="Normal 6 2 7 3 4" xfId="20618" xr:uid="{00000000-0005-0000-0000-00009CCA0000}"/>
    <cellStyle name="Normal 6 2 7 3 4 2" xfId="47751" xr:uid="{00000000-0005-0000-0000-00009DCA0000}"/>
    <cellStyle name="Normal 6 2 7 3 5" xfId="34189" xr:uid="{00000000-0005-0000-0000-00009ECA0000}"/>
    <cellStyle name="Normal 6 2 7 4" xfId="10429" xr:uid="{00000000-0005-0000-0000-00009FCA0000}"/>
    <cellStyle name="Normal 6 2 7 4 2" xfId="17218" xr:uid="{00000000-0005-0000-0000-0000A0CA0000}"/>
    <cellStyle name="Normal 6 2 7 4 2 2" xfId="30786" xr:uid="{00000000-0005-0000-0000-0000A1CA0000}"/>
    <cellStyle name="Normal 6 2 7 4 2 2 2" xfId="57919" xr:uid="{00000000-0005-0000-0000-0000A2CA0000}"/>
    <cellStyle name="Normal 6 2 7 4 2 3" xfId="44357" xr:uid="{00000000-0005-0000-0000-0000A3CA0000}"/>
    <cellStyle name="Normal 6 2 7 4 3" xfId="24005" xr:uid="{00000000-0005-0000-0000-0000A4CA0000}"/>
    <cellStyle name="Normal 6 2 7 4 3 2" xfId="51138" xr:uid="{00000000-0005-0000-0000-0000A5CA0000}"/>
    <cellStyle name="Normal 6 2 7 4 4" xfId="37576" xr:uid="{00000000-0005-0000-0000-0000A6CA0000}"/>
    <cellStyle name="Normal 6 2 7 5" xfId="13829" xr:uid="{00000000-0005-0000-0000-0000A7CA0000}"/>
    <cellStyle name="Normal 6 2 7 5 2" xfId="27397" xr:uid="{00000000-0005-0000-0000-0000A8CA0000}"/>
    <cellStyle name="Normal 6 2 7 5 2 2" xfId="54530" xr:uid="{00000000-0005-0000-0000-0000A9CA0000}"/>
    <cellStyle name="Normal 6 2 7 5 3" xfId="40968" xr:uid="{00000000-0005-0000-0000-0000AACA0000}"/>
    <cellStyle name="Normal 6 2 7 6" xfId="20616" xr:uid="{00000000-0005-0000-0000-0000ABCA0000}"/>
    <cellStyle name="Normal 6 2 7 6 2" xfId="47749" xr:uid="{00000000-0005-0000-0000-0000ACCA0000}"/>
    <cellStyle name="Normal 6 2 7 7" xfId="34187" xr:uid="{00000000-0005-0000-0000-0000ADCA0000}"/>
    <cellStyle name="Normal 6 2 8" xfId="6902" xr:uid="{00000000-0005-0000-0000-0000AECA0000}"/>
    <cellStyle name="Normal 6 2 8 2" xfId="6903" xr:uid="{00000000-0005-0000-0000-0000AFCA0000}"/>
    <cellStyle name="Normal 6 2 8 2 2" xfId="10433" xr:uid="{00000000-0005-0000-0000-0000B0CA0000}"/>
    <cellStyle name="Normal 6 2 8 2 2 2" xfId="17222" xr:uid="{00000000-0005-0000-0000-0000B1CA0000}"/>
    <cellStyle name="Normal 6 2 8 2 2 2 2" xfId="30790" xr:uid="{00000000-0005-0000-0000-0000B2CA0000}"/>
    <cellStyle name="Normal 6 2 8 2 2 2 2 2" xfId="57923" xr:uid="{00000000-0005-0000-0000-0000B3CA0000}"/>
    <cellStyle name="Normal 6 2 8 2 2 2 3" xfId="44361" xr:uid="{00000000-0005-0000-0000-0000B4CA0000}"/>
    <cellStyle name="Normal 6 2 8 2 2 3" xfId="24009" xr:uid="{00000000-0005-0000-0000-0000B5CA0000}"/>
    <cellStyle name="Normal 6 2 8 2 2 3 2" xfId="51142" xr:uid="{00000000-0005-0000-0000-0000B6CA0000}"/>
    <cellStyle name="Normal 6 2 8 2 2 4" xfId="37580" xr:uid="{00000000-0005-0000-0000-0000B7CA0000}"/>
    <cellStyle name="Normal 6 2 8 2 3" xfId="13833" xr:uid="{00000000-0005-0000-0000-0000B8CA0000}"/>
    <cellStyle name="Normal 6 2 8 2 3 2" xfId="27401" xr:uid="{00000000-0005-0000-0000-0000B9CA0000}"/>
    <cellStyle name="Normal 6 2 8 2 3 2 2" xfId="54534" xr:uid="{00000000-0005-0000-0000-0000BACA0000}"/>
    <cellStyle name="Normal 6 2 8 2 3 3" xfId="40972" xr:uid="{00000000-0005-0000-0000-0000BBCA0000}"/>
    <cellStyle name="Normal 6 2 8 2 4" xfId="20620" xr:uid="{00000000-0005-0000-0000-0000BCCA0000}"/>
    <cellStyle name="Normal 6 2 8 2 4 2" xfId="47753" xr:uid="{00000000-0005-0000-0000-0000BDCA0000}"/>
    <cellStyle name="Normal 6 2 8 2 5" xfId="34191" xr:uid="{00000000-0005-0000-0000-0000BECA0000}"/>
    <cellStyle name="Normal 6 2 8 3" xfId="6904" xr:uid="{00000000-0005-0000-0000-0000BFCA0000}"/>
    <cellStyle name="Normal 6 2 8 3 2" xfId="10434" xr:uid="{00000000-0005-0000-0000-0000C0CA0000}"/>
    <cellStyle name="Normal 6 2 8 3 2 2" xfId="17223" xr:uid="{00000000-0005-0000-0000-0000C1CA0000}"/>
    <cellStyle name="Normal 6 2 8 3 2 2 2" xfId="30791" xr:uid="{00000000-0005-0000-0000-0000C2CA0000}"/>
    <cellStyle name="Normal 6 2 8 3 2 2 2 2" xfId="57924" xr:uid="{00000000-0005-0000-0000-0000C3CA0000}"/>
    <cellStyle name="Normal 6 2 8 3 2 2 3" xfId="44362" xr:uid="{00000000-0005-0000-0000-0000C4CA0000}"/>
    <cellStyle name="Normal 6 2 8 3 2 3" xfId="24010" xr:uid="{00000000-0005-0000-0000-0000C5CA0000}"/>
    <cellStyle name="Normal 6 2 8 3 2 3 2" xfId="51143" xr:uid="{00000000-0005-0000-0000-0000C6CA0000}"/>
    <cellStyle name="Normal 6 2 8 3 2 4" xfId="37581" xr:uid="{00000000-0005-0000-0000-0000C7CA0000}"/>
    <cellStyle name="Normal 6 2 8 3 3" xfId="13834" xr:uid="{00000000-0005-0000-0000-0000C8CA0000}"/>
    <cellStyle name="Normal 6 2 8 3 3 2" xfId="27402" xr:uid="{00000000-0005-0000-0000-0000C9CA0000}"/>
    <cellStyle name="Normal 6 2 8 3 3 2 2" xfId="54535" xr:uid="{00000000-0005-0000-0000-0000CACA0000}"/>
    <cellStyle name="Normal 6 2 8 3 3 3" xfId="40973" xr:uid="{00000000-0005-0000-0000-0000CBCA0000}"/>
    <cellStyle name="Normal 6 2 8 3 4" xfId="20621" xr:uid="{00000000-0005-0000-0000-0000CCCA0000}"/>
    <cellStyle name="Normal 6 2 8 3 4 2" xfId="47754" xr:uid="{00000000-0005-0000-0000-0000CDCA0000}"/>
    <cellStyle name="Normal 6 2 8 3 5" xfId="34192" xr:uid="{00000000-0005-0000-0000-0000CECA0000}"/>
    <cellStyle name="Normal 6 2 8 4" xfId="10432" xr:uid="{00000000-0005-0000-0000-0000CFCA0000}"/>
    <cellStyle name="Normal 6 2 8 4 2" xfId="17221" xr:uid="{00000000-0005-0000-0000-0000D0CA0000}"/>
    <cellStyle name="Normal 6 2 8 4 2 2" xfId="30789" xr:uid="{00000000-0005-0000-0000-0000D1CA0000}"/>
    <cellStyle name="Normal 6 2 8 4 2 2 2" xfId="57922" xr:uid="{00000000-0005-0000-0000-0000D2CA0000}"/>
    <cellStyle name="Normal 6 2 8 4 2 3" xfId="44360" xr:uid="{00000000-0005-0000-0000-0000D3CA0000}"/>
    <cellStyle name="Normal 6 2 8 4 3" xfId="24008" xr:uid="{00000000-0005-0000-0000-0000D4CA0000}"/>
    <cellStyle name="Normal 6 2 8 4 3 2" xfId="51141" xr:uid="{00000000-0005-0000-0000-0000D5CA0000}"/>
    <cellStyle name="Normal 6 2 8 4 4" xfId="37579" xr:uid="{00000000-0005-0000-0000-0000D6CA0000}"/>
    <cellStyle name="Normal 6 2 8 5" xfId="13832" xr:uid="{00000000-0005-0000-0000-0000D7CA0000}"/>
    <cellStyle name="Normal 6 2 8 5 2" xfId="27400" xr:uid="{00000000-0005-0000-0000-0000D8CA0000}"/>
    <cellStyle name="Normal 6 2 8 5 2 2" xfId="54533" xr:uid="{00000000-0005-0000-0000-0000D9CA0000}"/>
    <cellStyle name="Normal 6 2 8 5 3" xfId="40971" xr:uid="{00000000-0005-0000-0000-0000DACA0000}"/>
    <cellStyle name="Normal 6 2 8 6" xfId="20619" xr:uid="{00000000-0005-0000-0000-0000DBCA0000}"/>
    <cellStyle name="Normal 6 2 8 6 2" xfId="47752" xr:uid="{00000000-0005-0000-0000-0000DCCA0000}"/>
    <cellStyle name="Normal 6 2 8 7" xfId="34190" xr:uid="{00000000-0005-0000-0000-0000DDCA0000}"/>
    <cellStyle name="Normal 6 2 9" xfId="6905" xr:uid="{00000000-0005-0000-0000-0000DECA0000}"/>
    <cellStyle name="Normal 6 2 9 2" xfId="10435" xr:uid="{00000000-0005-0000-0000-0000DFCA0000}"/>
    <cellStyle name="Normal 6 2 9 2 2" xfId="17224" xr:uid="{00000000-0005-0000-0000-0000E0CA0000}"/>
    <cellStyle name="Normal 6 2 9 2 2 2" xfId="30792" xr:uid="{00000000-0005-0000-0000-0000E1CA0000}"/>
    <cellStyle name="Normal 6 2 9 2 2 2 2" xfId="57925" xr:uid="{00000000-0005-0000-0000-0000E2CA0000}"/>
    <cellStyle name="Normal 6 2 9 2 2 3" xfId="44363" xr:uid="{00000000-0005-0000-0000-0000E3CA0000}"/>
    <cellStyle name="Normal 6 2 9 2 3" xfId="24011" xr:uid="{00000000-0005-0000-0000-0000E4CA0000}"/>
    <cellStyle name="Normal 6 2 9 2 3 2" xfId="51144" xr:uid="{00000000-0005-0000-0000-0000E5CA0000}"/>
    <cellStyle name="Normal 6 2 9 2 4" xfId="37582" xr:uid="{00000000-0005-0000-0000-0000E6CA0000}"/>
    <cellStyle name="Normal 6 2 9 3" xfId="13835" xr:uid="{00000000-0005-0000-0000-0000E7CA0000}"/>
    <cellStyle name="Normal 6 2 9 3 2" xfId="27403" xr:uid="{00000000-0005-0000-0000-0000E8CA0000}"/>
    <cellStyle name="Normal 6 2 9 3 2 2" xfId="54536" xr:uid="{00000000-0005-0000-0000-0000E9CA0000}"/>
    <cellStyle name="Normal 6 2 9 3 3" xfId="40974" xr:uid="{00000000-0005-0000-0000-0000EACA0000}"/>
    <cellStyle name="Normal 6 2 9 4" xfId="20622" xr:uid="{00000000-0005-0000-0000-0000EBCA0000}"/>
    <cellStyle name="Normal 6 2 9 4 2" xfId="47755" xr:uid="{00000000-0005-0000-0000-0000ECCA0000}"/>
    <cellStyle name="Normal 6 2 9 5" xfId="34193" xr:uid="{00000000-0005-0000-0000-0000EDCA0000}"/>
    <cellStyle name="Normal 6 3" xfId="6906" xr:uid="{00000000-0005-0000-0000-0000EECA0000}"/>
    <cellStyle name="Normal 6 3 10" xfId="6907" xr:uid="{00000000-0005-0000-0000-0000EFCA0000}"/>
    <cellStyle name="Normal 6 3 10 2" xfId="10437" xr:uid="{00000000-0005-0000-0000-0000F0CA0000}"/>
    <cellStyle name="Normal 6 3 10 2 2" xfId="17226" xr:uid="{00000000-0005-0000-0000-0000F1CA0000}"/>
    <cellStyle name="Normal 6 3 10 2 2 2" xfId="30794" xr:uid="{00000000-0005-0000-0000-0000F2CA0000}"/>
    <cellStyle name="Normal 6 3 10 2 2 2 2" xfId="57927" xr:uid="{00000000-0005-0000-0000-0000F3CA0000}"/>
    <cellStyle name="Normal 6 3 10 2 2 3" xfId="44365" xr:uid="{00000000-0005-0000-0000-0000F4CA0000}"/>
    <cellStyle name="Normal 6 3 10 2 3" xfId="24013" xr:uid="{00000000-0005-0000-0000-0000F5CA0000}"/>
    <cellStyle name="Normal 6 3 10 2 3 2" xfId="51146" xr:uid="{00000000-0005-0000-0000-0000F6CA0000}"/>
    <cellStyle name="Normal 6 3 10 2 4" xfId="37584" xr:uid="{00000000-0005-0000-0000-0000F7CA0000}"/>
    <cellStyle name="Normal 6 3 10 3" xfId="13837" xr:uid="{00000000-0005-0000-0000-0000F8CA0000}"/>
    <cellStyle name="Normal 6 3 10 3 2" xfId="27405" xr:uid="{00000000-0005-0000-0000-0000F9CA0000}"/>
    <cellStyle name="Normal 6 3 10 3 2 2" xfId="54538" xr:uid="{00000000-0005-0000-0000-0000FACA0000}"/>
    <cellStyle name="Normal 6 3 10 3 3" xfId="40976" xr:uid="{00000000-0005-0000-0000-0000FBCA0000}"/>
    <cellStyle name="Normal 6 3 10 4" xfId="20624" xr:uid="{00000000-0005-0000-0000-0000FCCA0000}"/>
    <cellStyle name="Normal 6 3 10 4 2" xfId="47757" xr:uid="{00000000-0005-0000-0000-0000FDCA0000}"/>
    <cellStyle name="Normal 6 3 10 5" xfId="34195" xr:uid="{00000000-0005-0000-0000-0000FECA0000}"/>
    <cellStyle name="Normal 6 3 11" xfId="10436" xr:uid="{00000000-0005-0000-0000-0000FFCA0000}"/>
    <cellStyle name="Normal 6 3 11 2" xfId="17225" xr:uid="{00000000-0005-0000-0000-000000CB0000}"/>
    <cellStyle name="Normal 6 3 11 2 2" xfId="30793" xr:uid="{00000000-0005-0000-0000-000001CB0000}"/>
    <cellStyle name="Normal 6 3 11 2 2 2" xfId="57926" xr:uid="{00000000-0005-0000-0000-000002CB0000}"/>
    <cellStyle name="Normal 6 3 11 2 3" xfId="44364" xr:uid="{00000000-0005-0000-0000-000003CB0000}"/>
    <cellStyle name="Normal 6 3 11 3" xfId="24012" xr:uid="{00000000-0005-0000-0000-000004CB0000}"/>
    <cellStyle name="Normal 6 3 11 3 2" xfId="51145" xr:uid="{00000000-0005-0000-0000-000005CB0000}"/>
    <cellStyle name="Normal 6 3 11 4" xfId="37583" xr:uid="{00000000-0005-0000-0000-000006CB0000}"/>
    <cellStyle name="Normal 6 3 12" xfId="13836" xr:uid="{00000000-0005-0000-0000-000007CB0000}"/>
    <cellStyle name="Normal 6 3 12 2" xfId="27404" xr:uid="{00000000-0005-0000-0000-000008CB0000}"/>
    <cellStyle name="Normal 6 3 12 2 2" xfId="54537" xr:uid="{00000000-0005-0000-0000-000009CB0000}"/>
    <cellStyle name="Normal 6 3 12 3" xfId="40975" xr:uid="{00000000-0005-0000-0000-00000ACB0000}"/>
    <cellStyle name="Normal 6 3 13" xfId="20623" xr:uid="{00000000-0005-0000-0000-00000BCB0000}"/>
    <cellStyle name="Normal 6 3 13 2" xfId="47756" xr:uid="{00000000-0005-0000-0000-00000CCB0000}"/>
    <cellStyle name="Normal 6 3 14" xfId="34194" xr:uid="{00000000-0005-0000-0000-00000DCB0000}"/>
    <cellStyle name="Normal 6 3 2" xfId="6908" xr:uid="{00000000-0005-0000-0000-00000ECB0000}"/>
    <cellStyle name="Normal 6 3 2 10" xfId="13838" xr:uid="{00000000-0005-0000-0000-00000FCB0000}"/>
    <cellStyle name="Normal 6 3 2 10 2" xfId="27406" xr:uid="{00000000-0005-0000-0000-000010CB0000}"/>
    <cellStyle name="Normal 6 3 2 10 2 2" xfId="54539" xr:uid="{00000000-0005-0000-0000-000011CB0000}"/>
    <cellStyle name="Normal 6 3 2 10 3" xfId="40977" xr:uid="{00000000-0005-0000-0000-000012CB0000}"/>
    <cellStyle name="Normal 6 3 2 11" xfId="20625" xr:uid="{00000000-0005-0000-0000-000013CB0000}"/>
    <cellStyle name="Normal 6 3 2 11 2" xfId="47758" xr:uid="{00000000-0005-0000-0000-000014CB0000}"/>
    <cellStyle name="Normal 6 3 2 12" xfId="34196" xr:uid="{00000000-0005-0000-0000-000015CB0000}"/>
    <cellStyle name="Normal 6 3 2 2" xfId="6909" xr:uid="{00000000-0005-0000-0000-000016CB0000}"/>
    <cellStyle name="Normal 6 3 2 2 10" xfId="34197" xr:uid="{00000000-0005-0000-0000-000017CB0000}"/>
    <cellStyle name="Normal 6 3 2 2 2" xfId="6910" xr:uid="{00000000-0005-0000-0000-000018CB0000}"/>
    <cellStyle name="Normal 6 3 2 2 2 2" xfId="6911" xr:uid="{00000000-0005-0000-0000-000019CB0000}"/>
    <cellStyle name="Normal 6 3 2 2 2 2 2" xfId="6912" xr:uid="{00000000-0005-0000-0000-00001ACB0000}"/>
    <cellStyle name="Normal 6 3 2 2 2 2 2 2" xfId="10442" xr:uid="{00000000-0005-0000-0000-00001BCB0000}"/>
    <cellStyle name="Normal 6 3 2 2 2 2 2 2 2" xfId="17231" xr:uid="{00000000-0005-0000-0000-00001CCB0000}"/>
    <cellStyle name="Normal 6 3 2 2 2 2 2 2 2 2" xfId="30799" xr:uid="{00000000-0005-0000-0000-00001DCB0000}"/>
    <cellStyle name="Normal 6 3 2 2 2 2 2 2 2 2 2" xfId="57932" xr:uid="{00000000-0005-0000-0000-00001ECB0000}"/>
    <cellStyle name="Normal 6 3 2 2 2 2 2 2 2 3" xfId="44370" xr:uid="{00000000-0005-0000-0000-00001FCB0000}"/>
    <cellStyle name="Normal 6 3 2 2 2 2 2 2 3" xfId="24018" xr:uid="{00000000-0005-0000-0000-000020CB0000}"/>
    <cellStyle name="Normal 6 3 2 2 2 2 2 2 3 2" xfId="51151" xr:uid="{00000000-0005-0000-0000-000021CB0000}"/>
    <cellStyle name="Normal 6 3 2 2 2 2 2 2 4" xfId="37589" xr:uid="{00000000-0005-0000-0000-000022CB0000}"/>
    <cellStyle name="Normal 6 3 2 2 2 2 2 3" xfId="13842" xr:uid="{00000000-0005-0000-0000-000023CB0000}"/>
    <cellStyle name="Normal 6 3 2 2 2 2 2 3 2" xfId="27410" xr:uid="{00000000-0005-0000-0000-000024CB0000}"/>
    <cellStyle name="Normal 6 3 2 2 2 2 2 3 2 2" xfId="54543" xr:uid="{00000000-0005-0000-0000-000025CB0000}"/>
    <cellStyle name="Normal 6 3 2 2 2 2 2 3 3" xfId="40981" xr:uid="{00000000-0005-0000-0000-000026CB0000}"/>
    <cellStyle name="Normal 6 3 2 2 2 2 2 4" xfId="20629" xr:uid="{00000000-0005-0000-0000-000027CB0000}"/>
    <cellStyle name="Normal 6 3 2 2 2 2 2 4 2" xfId="47762" xr:uid="{00000000-0005-0000-0000-000028CB0000}"/>
    <cellStyle name="Normal 6 3 2 2 2 2 2 5" xfId="34200" xr:uid="{00000000-0005-0000-0000-000029CB0000}"/>
    <cellStyle name="Normal 6 3 2 2 2 2 3" xfId="6913" xr:uid="{00000000-0005-0000-0000-00002ACB0000}"/>
    <cellStyle name="Normal 6 3 2 2 2 2 3 2" xfId="10443" xr:uid="{00000000-0005-0000-0000-00002BCB0000}"/>
    <cellStyle name="Normal 6 3 2 2 2 2 3 2 2" xfId="17232" xr:uid="{00000000-0005-0000-0000-00002CCB0000}"/>
    <cellStyle name="Normal 6 3 2 2 2 2 3 2 2 2" xfId="30800" xr:uid="{00000000-0005-0000-0000-00002DCB0000}"/>
    <cellStyle name="Normal 6 3 2 2 2 2 3 2 2 2 2" xfId="57933" xr:uid="{00000000-0005-0000-0000-00002ECB0000}"/>
    <cellStyle name="Normal 6 3 2 2 2 2 3 2 2 3" xfId="44371" xr:uid="{00000000-0005-0000-0000-00002FCB0000}"/>
    <cellStyle name="Normal 6 3 2 2 2 2 3 2 3" xfId="24019" xr:uid="{00000000-0005-0000-0000-000030CB0000}"/>
    <cellStyle name="Normal 6 3 2 2 2 2 3 2 3 2" xfId="51152" xr:uid="{00000000-0005-0000-0000-000031CB0000}"/>
    <cellStyle name="Normal 6 3 2 2 2 2 3 2 4" xfId="37590" xr:uid="{00000000-0005-0000-0000-000032CB0000}"/>
    <cellStyle name="Normal 6 3 2 2 2 2 3 3" xfId="13843" xr:uid="{00000000-0005-0000-0000-000033CB0000}"/>
    <cellStyle name="Normal 6 3 2 2 2 2 3 3 2" xfId="27411" xr:uid="{00000000-0005-0000-0000-000034CB0000}"/>
    <cellStyle name="Normal 6 3 2 2 2 2 3 3 2 2" xfId="54544" xr:uid="{00000000-0005-0000-0000-000035CB0000}"/>
    <cellStyle name="Normal 6 3 2 2 2 2 3 3 3" xfId="40982" xr:uid="{00000000-0005-0000-0000-000036CB0000}"/>
    <cellStyle name="Normal 6 3 2 2 2 2 3 4" xfId="20630" xr:uid="{00000000-0005-0000-0000-000037CB0000}"/>
    <cellStyle name="Normal 6 3 2 2 2 2 3 4 2" xfId="47763" xr:uid="{00000000-0005-0000-0000-000038CB0000}"/>
    <cellStyle name="Normal 6 3 2 2 2 2 3 5" xfId="34201" xr:uid="{00000000-0005-0000-0000-000039CB0000}"/>
    <cellStyle name="Normal 6 3 2 2 2 2 4" xfId="10441" xr:uid="{00000000-0005-0000-0000-00003ACB0000}"/>
    <cellStyle name="Normal 6 3 2 2 2 2 4 2" xfId="17230" xr:uid="{00000000-0005-0000-0000-00003BCB0000}"/>
    <cellStyle name="Normal 6 3 2 2 2 2 4 2 2" xfId="30798" xr:uid="{00000000-0005-0000-0000-00003CCB0000}"/>
    <cellStyle name="Normal 6 3 2 2 2 2 4 2 2 2" xfId="57931" xr:uid="{00000000-0005-0000-0000-00003DCB0000}"/>
    <cellStyle name="Normal 6 3 2 2 2 2 4 2 3" xfId="44369" xr:uid="{00000000-0005-0000-0000-00003ECB0000}"/>
    <cellStyle name="Normal 6 3 2 2 2 2 4 3" xfId="24017" xr:uid="{00000000-0005-0000-0000-00003FCB0000}"/>
    <cellStyle name="Normal 6 3 2 2 2 2 4 3 2" xfId="51150" xr:uid="{00000000-0005-0000-0000-000040CB0000}"/>
    <cellStyle name="Normal 6 3 2 2 2 2 4 4" xfId="37588" xr:uid="{00000000-0005-0000-0000-000041CB0000}"/>
    <cellStyle name="Normal 6 3 2 2 2 2 5" xfId="13841" xr:uid="{00000000-0005-0000-0000-000042CB0000}"/>
    <cellStyle name="Normal 6 3 2 2 2 2 5 2" xfId="27409" xr:uid="{00000000-0005-0000-0000-000043CB0000}"/>
    <cellStyle name="Normal 6 3 2 2 2 2 5 2 2" xfId="54542" xr:uid="{00000000-0005-0000-0000-000044CB0000}"/>
    <cellStyle name="Normal 6 3 2 2 2 2 5 3" xfId="40980" xr:uid="{00000000-0005-0000-0000-000045CB0000}"/>
    <cellStyle name="Normal 6 3 2 2 2 2 6" xfId="20628" xr:uid="{00000000-0005-0000-0000-000046CB0000}"/>
    <cellStyle name="Normal 6 3 2 2 2 2 6 2" xfId="47761" xr:uid="{00000000-0005-0000-0000-000047CB0000}"/>
    <cellStyle name="Normal 6 3 2 2 2 2 7" xfId="34199" xr:uid="{00000000-0005-0000-0000-000048CB0000}"/>
    <cellStyle name="Normal 6 3 2 2 2 3" xfId="6914" xr:uid="{00000000-0005-0000-0000-000049CB0000}"/>
    <cellStyle name="Normal 6 3 2 2 2 3 2" xfId="6915" xr:uid="{00000000-0005-0000-0000-00004ACB0000}"/>
    <cellStyle name="Normal 6 3 2 2 2 3 2 2" xfId="10445" xr:uid="{00000000-0005-0000-0000-00004BCB0000}"/>
    <cellStyle name="Normal 6 3 2 2 2 3 2 2 2" xfId="17234" xr:uid="{00000000-0005-0000-0000-00004CCB0000}"/>
    <cellStyle name="Normal 6 3 2 2 2 3 2 2 2 2" xfId="30802" xr:uid="{00000000-0005-0000-0000-00004DCB0000}"/>
    <cellStyle name="Normal 6 3 2 2 2 3 2 2 2 2 2" xfId="57935" xr:uid="{00000000-0005-0000-0000-00004ECB0000}"/>
    <cellStyle name="Normal 6 3 2 2 2 3 2 2 2 3" xfId="44373" xr:uid="{00000000-0005-0000-0000-00004FCB0000}"/>
    <cellStyle name="Normal 6 3 2 2 2 3 2 2 3" xfId="24021" xr:uid="{00000000-0005-0000-0000-000050CB0000}"/>
    <cellStyle name="Normal 6 3 2 2 2 3 2 2 3 2" xfId="51154" xr:uid="{00000000-0005-0000-0000-000051CB0000}"/>
    <cellStyle name="Normal 6 3 2 2 2 3 2 2 4" xfId="37592" xr:uid="{00000000-0005-0000-0000-000052CB0000}"/>
    <cellStyle name="Normal 6 3 2 2 2 3 2 3" xfId="13845" xr:uid="{00000000-0005-0000-0000-000053CB0000}"/>
    <cellStyle name="Normal 6 3 2 2 2 3 2 3 2" xfId="27413" xr:uid="{00000000-0005-0000-0000-000054CB0000}"/>
    <cellStyle name="Normal 6 3 2 2 2 3 2 3 2 2" xfId="54546" xr:uid="{00000000-0005-0000-0000-000055CB0000}"/>
    <cellStyle name="Normal 6 3 2 2 2 3 2 3 3" xfId="40984" xr:uid="{00000000-0005-0000-0000-000056CB0000}"/>
    <cellStyle name="Normal 6 3 2 2 2 3 2 4" xfId="20632" xr:uid="{00000000-0005-0000-0000-000057CB0000}"/>
    <cellStyle name="Normal 6 3 2 2 2 3 2 4 2" xfId="47765" xr:uid="{00000000-0005-0000-0000-000058CB0000}"/>
    <cellStyle name="Normal 6 3 2 2 2 3 2 5" xfId="34203" xr:uid="{00000000-0005-0000-0000-000059CB0000}"/>
    <cellStyle name="Normal 6 3 2 2 2 3 3" xfId="10444" xr:uid="{00000000-0005-0000-0000-00005ACB0000}"/>
    <cellStyle name="Normal 6 3 2 2 2 3 3 2" xfId="17233" xr:uid="{00000000-0005-0000-0000-00005BCB0000}"/>
    <cellStyle name="Normal 6 3 2 2 2 3 3 2 2" xfId="30801" xr:uid="{00000000-0005-0000-0000-00005CCB0000}"/>
    <cellStyle name="Normal 6 3 2 2 2 3 3 2 2 2" xfId="57934" xr:uid="{00000000-0005-0000-0000-00005DCB0000}"/>
    <cellStyle name="Normal 6 3 2 2 2 3 3 2 3" xfId="44372" xr:uid="{00000000-0005-0000-0000-00005ECB0000}"/>
    <cellStyle name="Normal 6 3 2 2 2 3 3 3" xfId="24020" xr:uid="{00000000-0005-0000-0000-00005FCB0000}"/>
    <cellStyle name="Normal 6 3 2 2 2 3 3 3 2" xfId="51153" xr:uid="{00000000-0005-0000-0000-000060CB0000}"/>
    <cellStyle name="Normal 6 3 2 2 2 3 3 4" xfId="37591" xr:uid="{00000000-0005-0000-0000-000061CB0000}"/>
    <cellStyle name="Normal 6 3 2 2 2 3 4" xfId="13844" xr:uid="{00000000-0005-0000-0000-000062CB0000}"/>
    <cellStyle name="Normal 6 3 2 2 2 3 4 2" xfId="27412" xr:uid="{00000000-0005-0000-0000-000063CB0000}"/>
    <cellStyle name="Normal 6 3 2 2 2 3 4 2 2" xfId="54545" xr:uid="{00000000-0005-0000-0000-000064CB0000}"/>
    <cellStyle name="Normal 6 3 2 2 2 3 4 3" xfId="40983" xr:uid="{00000000-0005-0000-0000-000065CB0000}"/>
    <cellStyle name="Normal 6 3 2 2 2 3 5" xfId="20631" xr:uid="{00000000-0005-0000-0000-000066CB0000}"/>
    <cellStyle name="Normal 6 3 2 2 2 3 5 2" xfId="47764" xr:uid="{00000000-0005-0000-0000-000067CB0000}"/>
    <cellStyle name="Normal 6 3 2 2 2 3 6" xfId="34202" xr:uid="{00000000-0005-0000-0000-000068CB0000}"/>
    <cellStyle name="Normal 6 3 2 2 2 4" xfId="6916" xr:uid="{00000000-0005-0000-0000-000069CB0000}"/>
    <cellStyle name="Normal 6 3 2 2 2 4 2" xfId="10446" xr:uid="{00000000-0005-0000-0000-00006ACB0000}"/>
    <cellStyle name="Normal 6 3 2 2 2 4 2 2" xfId="17235" xr:uid="{00000000-0005-0000-0000-00006BCB0000}"/>
    <cellStyle name="Normal 6 3 2 2 2 4 2 2 2" xfId="30803" xr:uid="{00000000-0005-0000-0000-00006CCB0000}"/>
    <cellStyle name="Normal 6 3 2 2 2 4 2 2 2 2" xfId="57936" xr:uid="{00000000-0005-0000-0000-00006DCB0000}"/>
    <cellStyle name="Normal 6 3 2 2 2 4 2 2 3" xfId="44374" xr:uid="{00000000-0005-0000-0000-00006ECB0000}"/>
    <cellStyle name="Normal 6 3 2 2 2 4 2 3" xfId="24022" xr:uid="{00000000-0005-0000-0000-00006FCB0000}"/>
    <cellStyle name="Normal 6 3 2 2 2 4 2 3 2" xfId="51155" xr:uid="{00000000-0005-0000-0000-000070CB0000}"/>
    <cellStyle name="Normal 6 3 2 2 2 4 2 4" xfId="37593" xr:uid="{00000000-0005-0000-0000-000071CB0000}"/>
    <cellStyle name="Normal 6 3 2 2 2 4 3" xfId="13846" xr:uid="{00000000-0005-0000-0000-000072CB0000}"/>
    <cellStyle name="Normal 6 3 2 2 2 4 3 2" xfId="27414" xr:uid="{00000000-0005-0000-0000-000073CB0000}"/>
    <cellStyle name="Normal 6 3 2 2 2 4 3 2 2" xfId="54547" xr:uid="{00000000-0005-0000-0000-000074CB0000}"/>
    <cellStyle name="Normal 6 3 2 2 2 4 3 3" xfId="40985" xr:uid="{00000000-0005-0000-0000-000075CB0000}"/>
    <cellStyle name="Normal 6 3 2 2 2 4 4" xfId="20633" xr:uid="{00000000-0005-0000-0000-000076CB0000}"/>
    <cellStyle name="Normal 6 3 2 2 2 4 4 2" xfId="47766" xr:uid="{00000000-0005-0000-0000-000077CB0000}"/>
    <cellStyle name="Normal 6 3 2 2 2 4 5" xfId="34204" xr:uid="{00000000-0005-0000-0000-000078CB0000}"/>
    <cellStyle name="Normal 6 3 2 2 2 5" xfId="6917" xr:uid="{00000000-0005-0000-0000-000079CB0000}"/>
    <cellStyle name="Normal 6 3 2 2 2 5 2" xfId="10447" xr:uid="{00000000-0005-0000-0000-00007ACB0000}"/>
    <cellStyle name="Normal 6 3 2 2 2 5 2 2" xfId="17236" xr:uid="{00000000-0005-0000-0000-00007BCB0000}"/>
    <cellStyle name="Normal 6 3 2 2 2 5 2 2 2" xfId="30804" xr:uid="{00000000-0005-0000-0000-00007CCB0000}"/>
    <cellStyle name="Normal 6 3 2 2 2 5 2 2 2 2" xfId="57937" xr:uid="{00000000-0005-0000-0000-00007DCB0000}"/>
    <cellStyle name="Normal 6 3 2 2 2 5 2 2 3" xfId="44375" xr:uid="{00000000-0005-0000-0000-00007ECB0000}"/>
    <cellStyle name="Normal 6 3 2 2 2 5 2 3" xfId="24023" xr:uid="{00000000-0005-0000-0000-00007FCB0000}"/>
    <cellStyle name="Normal 6 3 2 2 2 5 2 3 2" xfId="51156" xr:uid="{00000000-0005-0000-0000-000080CB0000}"/>
    <cellStyle name="Normal 6 3 2 2 2 5 2 4" xfId="37594" xr:uid="{00000000-0005-0000-0000-000081CB0000}"/>
    <cellStyle name="Normal 6 3 2 2 2 5 3" xfId="13847" xr:uid="{00000000-0005-0000-0000-000082CB0000}"/>
    <cellStyle name="Normal 6 3 2 2 2 5 3 2" xfId="27415" xr:uid="{00000000-0005-0000-0000-000083CB0000}"/>
    <cellStyle name="Normal 6 3 2 2 2 5 3 2 2" xfId="54548" xr:uid="{00000000-0005-0000-0000-000084CB0000}"/>
    <cellStyle name="Normal 6 3 2 2 2 5 3 3" xfId="40986" xr:uid="{00000000-0005-0000-0000-000085CB0000}"/>
    <cellStyle name="Normal 6 3 2 2 2 5 4" xfId="20634" xr:uid="{00000000-0005-0000-0000-000086CB0000}"/>
    <cellStyle name="Normal 6 3 2 2 2 5 4 2" xfId="47767" xr:uid="{00000000-0005-0000-0000-000087CB0000}"/>
    <cellStyle name="Normal 6 3 2 2 2 5 5" xfId="34205" xr:uid="{00000000-0005-0000-0000-000088CB0000}"/>
    <cellStyle name="Normal 6 3 2 2 2 6" xfId="10440" xr:uid="{00000000-0005-0000-0000-000089CB0000}"/>
    <cellStyle name="Normal 6 3 2 2 2 6 2" xfId="17229" xr:uid="{00000000-0005-0000-0000-00008ACB0000}"/>
    <cellStyle name="Normal 6 3 2 2 2 6 2 2" xfId="30797" xr:uid="{00000000-0005-0000-0000-00008BCB0000}"/>
    <cellStyle name="Normal 6 3 2 2 2 6 2 2 2" xfId="57930" xr:uid="{00000000-0005-0000-0000-00008CCB0000}"/>
    <cellStyle name="Normal 6 3 2 2 2 6 2 3" xfId="44368" xr:uid="{00000000-0005-0000-0000-00008DCB0000}"/>
    <cellStyle name="Normal 6 3 2 2 2 6 3" xfId="24016" xr:uid="{00000000-0005-0000-0000-00008ECB0000}"/>
    <cellStyle name="Normal 6 3 2 2 2 6 3 2" xfId="51149" xr:uid="{00000000-0005-0000-0000-00008FCB0000}"/>
    <cellStyle name="Normal 6 3 2 2 2 6 4" xfId="37587" xr:uid="{00000000-0005-0000-0000-000090CB0000}"/>
    <cellStyle name="Normal 6 3 2 2 2 7" xfId="13840" xr:uid="{00000000-0005-0000-0000-000091CB0000}"/>
    <cellStyle name="Normal 6 3 2 2 2 7 2" xfId="27408" xr:uid="{00000000-0005-0000-0000-000092CB0000}"/>
    <cellStyle name="Normal 6 3 2 2 2 7 2 2" xfId="54541" xr:uid="{00000000-0005-0000-0000-000093CB0000}"/>
    <cellStyle name="Normal 6 3 2 2 2 7 3" xfId="40979" xr:uid="{00000000-0005-0000-0000-000094CB0000}"/>
    <cellStyle name="Normal 6 3 2 2 2 8" xfId="20627" xr:uid="{00000000-0005-0000-0000-000095CB0000}"/>
    <cellStyle name="Normal 6 3 2 2 2 8 2" xfId="47760" xr:uid="{00000000-0005-0000-0000-000096CB0000}"/>
    <cellStyle name="Normal 6 3 2 2 2 9" xfId="34198" xr:uid="{00000000-0005-0000-0000-000097CB0000}"/>
    <cellStyle name="Normal 6 3 2 2 3" xfId="6918" xr:uid="{00000000-0005-0000-0000-000098CB0000}"/>
    <cellStyle name="Normal 6 3 2 2 3 2" xfId="6919" xr:uid="{00000000-0005-0000-0000-000099CB0000}"/>
    <cellStyle name="Normal 6 3 2 2 3 2 2" xfId="10449" xr:uid="{00000000-0005-0000-0000-00009ACB0000}"/>
    <cellStyle name="Normal 6 3 2 2 3 2 2 2" xfId="17238" xr:uid="{00000000-0005-0000-0000-00009BCB0000}"/>
    <cellStyle name="Normal 6 3 2 2 3 2 2 2 2" xfId="30806" xr:uid="{00000000-0005-0000-0000-00009CCB0000}"/>
    <cellStyle name="Normal 6 3 2 2 3 2 2 2 2 2" xfId="57939" xr:uid="{00000000-0005-0000-0000-00009DCB0000}"/>
    <cellStyle name="Normal 6 3 2 2 3 2 2 2 3" xfId="44377" xr:uid="{00000000-0005-0000-0000-00009ECB0000}"/>
    <cellStyle name="Normal 6 3 2 2 3 2 2 3" xfId="24025" xr:uid="{00000000-0005-0000-0000-00009FCB0000}"/>
    <cellStyle name="Normal 6 3 2 2 3 2 2 3 2" xfId="51158" xr:uid="{00000000-0005-0000-0000-0000A0CB0000}"/>
    <cellStyle name="Normal 6 3 2 2 3 2 2 4" xfId="37596" xr:uid="{00000000-0005-0000-0000-0000A1CB0000}"/>
    <cellStyle name="Normal 6 3 2 2 3 2 3" xfId="13849" xr:uid="{00000000-0005-0000-0000-0000A2CB0000}"/>
    <cellStyle name="Normal 6 3 2 2 3 2 3 2" xfId="27417" xr:uid="{00000000-0005-0000-0000-0000A3CB0000}"/>
    <cellStyle name="Normal 6 3 2 2 3 2 3 2 2" xfId="54550" xr:uid="{00000000-0005-0000-0000-0000A4CB0000}"/>
    <cellStyle name="Normal 6 3 2 2 3 2 3 3" xfId="40988" xr:uid="{00000000-0005-0000-0000-0000A5CB0000}"/>
    <cellStyle name="Normal 6 3 2 2 3 2 4" xfId="20636" xr:uid="{00000000-0005-0000-0000-0000A6CB0000}"/>
    <cellStyle name="Normal 6 3 2 2 3 2 4 2" xfId="47769" xr:uid="{00000000-0005-0000-0000-0000A7CB0000}"/>
    <cellStyle name="Normal 6 3 2 2 3 2 5" xfId="34207" xr:uid="{00000000-0005-0000-0000-0000A8CB0000}"/>
    <cellStyle name="Normal 6 3 2 2 3 3" xfId="6920" xr:uid="{00000000-0005-0000-0000-0000A9CB0000}"/>
    <cellStyle name="Normal 6 3 2 2 3 3 2" xfId="10450" xr:uid="{00000000-0005-0000-0000-0000AACB0000}"/>
    <cellStyle name="Normal 6 3 2 2 3 3 2 2" xfId="17239" xr:uid="{00000000-0005-0000-0000-0000ABCB0000}"/>
    <cellStyle name="Normal 6 3 2 2 3 3 2 2 2" xfId="30807" xr:uid="{00000000-0005-0000-0000-0000ACCB0000}"/>
    <cellStyle name="Normal 6 3 2 2 3 3 2 2 2 2" xfId="57940" xr:uid="{00000000-0005-0000-0000-0000ADCB0000}"/>
    <cellStyle name="Normal 6 3 2 2 3 3 2 2 3" xfId="44378" xr:uid="{00000000-0005-0000-0000-0000AECB0000}"/>
    <cellStyle name="Normal 6 3 2 2 3 3 2 3" xfId="24026" xr:uid="{00000000-0005-0000-0000-0000AFCB0000}"/>
    <cellStyle name="Normal 6 3 2 2 3 3 2 3 2" xfId="51159" xr:uid="{00000000-0005-0000-0000-0000B0CB0000}"/>
    <cellStyle name="Normal 6 3 2 2 3 3 2 4" xfId="37597" xr:uid="{00000000-0005-0000-0000-0000B1CB0000}"/>
    <cellStyle name="Normal 6 3 2 2 3 3 3" xfId="13850" xr:uid="{00000000-0005-0000-0000-0000B2CB0000}"/>
    <cellStyle name="Normal 6 3 2 2 3 3 3 2" xfId="27418" xr:uid="{00000000-0005-0000-0000-0000B3CB0000}"/>
    <cellStyle name="Normal 6 3 2 2 3 3 3 2 2" xfId="54551" xr:uid="{00000000-0005-0000-0000-0000B4CB0000}"/>
    <cellStyle name="Normal 6 3 2 2 3 3 3 3" xfId="40989" xr:uid="{00000000-0005-0000-0000-0000B5CB0000}"/>
    <cellStyle name="Normal 6 3 2 2 3 3 4" xfId="20637" xr:uid="{00000000-0005-0000-0000-0000B6CB0000}"/>
    <cellStyle name="Normal 6 3 2 2 3 3 4 2" xfId="47770" xr:uid="{00000000-0005-0000-0000-0000B7CB0000}"/>
    <cellStyle name="Normal 6 3 2 2 3 3 5" xfId="34208" xr:uid="{00000000-0005-0000-0000-0000B8CB0000}"/>
    <cellStyle name="Normal 6 3 2 2 3 4" xfId="10448" xr:uid="{00000000-0005-0000-0000-0000B9CB0000}"/>
    <cellStyle name="Normal 6 3 2 2 3 4 2" xfId="17237" xr:uid="{00000000-0005-0000-0000-0000BACB0000}"/>
    <cellStyle name="Normal 6 3 2 2 3 4 2 2" xfId="30805" xr:uid="{00000000-0005-0000-0000-0000BBCB0000}"/>
    <cellStyle name="Normal 6 3 2 2 3 4 2 2 2" xfId="57938" xr:uid="{00000000-0005-0000-0000-0000BCCB0000}"/>
    <cellStyle name="Normal 6 3 2 2 3 4 2 3" xfId="44376" xr:uid="{00000000-0005-0000-0000-0000BDCB0000}"/>
    <cellStyle name="Normal 6 3 2 2 3 4 3" xfId="24024" xr:uid="{00000000-0005-0000-0000-0000BECB0000}"/>
    <cellStyle name="Normal 6 3 2 2 3 4 3 2" xfId="51157" xr:uid="{00000000-0005-0000-0000-0000BFCB0000}"/>
    <cellStyle name="Normal 6 3 2 2 3 4 4" xfId="37595" xr:uid="{00000000-0005-0000-0000-0000C0CB0000}"/>
    <cellStyle name="Normal 6 3 2 2 3 5" xfId="13848" xr:uid="{00000000-0005-0000-0000-0000C1CB0000}"/>
    <cellStyle name="Normal 6 3 2 2 3 5 2" xfId="27416" xr:uid="{00000000-0005-0000-0000-0000C2CB0000}"/>
    <cellStyle name="Normal 6 3 2 2 3 5 2 2" xfId="54549" xr:uid="{00000000-0005-0000-0000-0000C3CB0000}"/>
    <cellStyle name="Normal 6 3 2 2 3 5 3" xfId="40987" xr:uid="{00000000-0005-0000-0000-0000C4CB0000}"/>
    <cellStyle name="Normal 6 3 2 2 3 6" xfId="20635" xr:uid="{00000000-0005-0000-0000-0000C5CB0000}"/>
    <cellStyle name="Normal 6 3 2 2 3 6 2" xfId="47768" xr:uid="{00000000-0005-0000-0000-0000C6CB0000}"/>
    <cellStyle name="Normal 6 3 2 2 3 7" xfId="34206" xr:uid="{00000000-0005-0000-0000-0000C7CB0000}"/>
    <cellStyle name="Normal 6 3 2 2 4" xfId="6921" xr:uid="{00000000-0005-0000-0000-0000C8CB0000}"/>
    <cellStyle name="Normal 6 3 2 2 4 2" xfId="6922" xr:uid="{00000000-0005-0000-0000-0000C9CB0000}"/>
    <cellStyle name="Normal 6 3 2 2 4 2 2" xfId="10452" xr:uid="{00000000-0005-0000-0000-0000CACB0000}"/>
    <cellStyle name="Normal 6 3 2 2 4 2 2 2" xfId="17241" xr:uid="{00000000-0005-0000-0000-0000CBCB0000}"/>
    <cellStyle name="Normal 6 3 2 2 4 2 2 2 2" xfId="30809" xr:uid="{00000000-0005-0000-0000-0000CCCB0000}"/>
    <cellStyle name="Normal 6 3 2 2 4 2 2 2 2 2" xfId="57942" xr:uid="{00000000-0005-0000-0000-0000CDCB0000}"/>
    <cellStyle name="Normal 6 3 2 2 4 2 2 2 3" xfId="44380" xr:uid="{00000000-0005-0000-0000-0000CECB0000}"/>
    <cellStyle name="Normal 6 3 2 2 4 2 2 3" xfId="24028" xr:uid="{00000000-0005-0000-0000-0000CFCB0000}"/>
    <cellStyle name="Normal 6 3 2 2 4 2 2 3 2" xfId="51161" xr:uid="{00000000-0005-0000-0000-0000D0CB0000}"/>
    <cellStyle name="Normal 6 3 2 2 4 2 2 4" xfId="37599" xr:uid="{00000000-0005-0000-0000-0000D1CB0000}"/>
    <cellStyle name="Normal 6 3 2 2 4 2 3" xfId="13852" xr:uid="{00000000-0005-0000-0000-0000D2CB0000}"/>
    <cellStyle name="Normal 6 3 2 2 4 2 3 2" xfId="27420" xr:uid="{00000000-0005-0000-0000-0000D3CB0000}"/>
    <cellStyle name="Normal 6 3 2 2 4 2 3 2 2" xfId="54553" xr:uid="{00000000-0005-0000-0000-0000D4CB0000}"/>
    <cellStyle name="Normal 6 3 2 2 4 2 3 3" xfId="40991" xr:uid="{00000000-0005-0000-0000-0000D5CB0000}"/>
    <cellStyle name="Normal 6 3 2 2 4 2 4" xfId="20639" xr:uid="{00000000-0005-0000-0000-0000D6CB0000}"/>
    <cellStyle name="Normal 6 3 2 2 4 2 4 2" xfId="47772" xr:uid="{00000000-0005-0000-0000-0000D7CB0000}"/>
    <cellStyle name="Normal 6 3 2 2 4 2 5" xfId="34210" xr:uid="{00000000-0005-0000-0000-0000D8CB0000}"/>
    <cellStyle name="Normal 6 3 2 2 4 3" xfId="10451" xr:uid="{00000000-0005-0000-0000-0000D9CB0000}"/>
    <cellStyle name="Normal 6 3 2 2 4 3 2" xfId="17240" xr:uid="{00000000-0005-0000-0000-0000DACB0000}"/>
    <cellStyle name="Normal 6 3 2 2 4 3 2 2" xfId="30808" xr:uid="{00000000-0005-0000-0000-0000DBCB0000}"/>
    <cellStyle name="Normal 6 3 2 2 4 3 2 2 2" xfId="57941" xr:uid="{00000000-0005-0000-0000-0000DCCB0000}"/>
    <cellStyle name="Normal 6 3 2 2 4 3 2 3" xfId="44379" xr:uid="{00000000-0005-0000-0000-0000DDCB0000}"/>
    <cellStyle name="Normal 6 3 2 2 4 3 3" xfId="24027" xr:uid="{00000000-0005-0000-0000-0000DECB0000}"/>
    <cellStyle name="Normal 6 3 2 2 4 3 3 2" xfId="51160" xr:uid="{00000000-0005-0000-0000-0000DFCB0000}"/>
    <cellStyle name="Normal 6 3 2 2 4 3 4" xfId="37598" xr:uid="{00000000-0005-0000-0000-0000E0CB0000}"/>
    <cellStyle name="Normal 6 3 2 2 4 4" xfId="13851" xr:uid="{00000000-0005-0000-0000-0000E1CB0000}"/>
    <cellStyle name="Normal 6 3 2 2 4 4 2" xfId="27419" xr:uid="{00000000-0005-0000-0000-0000E2CB0000}"/>
    <cellStyle name="Normal 6 3 2 2 4 4 2 2" xfId="54552" xr:uid="{00000000-0005-0000-0000-0000E3CB0000}"/>
    <cellStyle name="Normal 6 3 2 2 4 4 3" xfId="40990" xr:uid="{00000000-0005-0000-0000-0000E4CB0000}"/>
    <cellStyle name="Normal 6 3 2 2 4 5" xfId="20638" xr:uid="{00000000-0005-0000-0000-0000E5CB0000}"/>
    <cellStyle name="Normal 6 3 2 2 4 5 2" xfId="47771" xr:uid="{00000000-0005-0000-0000-0000E6CB0000}"/>
    <cellStyle name="Normal 6 3 2 2 4 6" xfId="34209" xr:uid="{00000000-0005-0000-0000-0000E7CB0000}"/>
    <cellStyle name="Normal 6 3 2 2 5" xfId="6923" xr:uid="{00000000-0005-0000-0000-0000E8CB0000}"/>
    <cellStyle name="Normal 6 3 2 2 5 2" xfId="10453" xr:uid="{00000000-0005-0000-0000-0000E9CB0000}"/>
    <cellStyle name="Normal 6 3 2 2 5 2 2" xfId="17242" xr:uid="{00000000-0005-0000-0000-0000EACB0000}"/>
    <cellStyle name="Normal 6 3 2 2 5 2 2 2" xfId="30810" xr:uid="{00000000-0005-0000-0000-0000EBCB0000}"/>
    <cellStyle name="Normal 6 3 2 2 5 2 2 2 2" xfId="57943" xr:uid="{00000000-0005-0000-0000-0000ECCB0000}"/>
    <cellStyle name="Normal 6 3 2 2 5 2 2 3" xfId="44381" xr:uid="{00000000-0005-0000-0000-0000EDCB0000}"/>
    <cellStyle name="Normal 6 3 2 2 5 2 3" xfId="24029" xr:uid="{00000000-0005-0000-0000-0000EECB0000}"/>
    <cellStyle name="Normal 6 3 2 2 5 2 3 2" xfId="51162" xr:uid="{00000000-0005-0000-0000-0000EFCB0000}"/>
    <cellStyle name="Normal 6 3 2 2 5 2 4" xfId="37600" xr:uid="{00000000-0005-0000-0000-0000F0CB0000}"/>
    <cellStyle name="Normal 6 3 2 2 5 3" xfId="13853" xr:uid="{00000000-0005-0000-0000-0000F1CB0000}"/>
    <cellStyle name="Normal 6 3 2 2 5 3 2" xfId="27421" xr:uid="{00000000-0005-0000-0000-0000F2CB0000}"/>
    <cellStyle name="Normal 6 3 2 2 5 3 2 2" xfId="54554" xr:uid="{00000000-0005-0000-0000-0000F3CB0000}"/>
    <cellStyle name="Normal 6 3 2 2 5 3 3" xfId="40992" xr:uid="{00000000-0005-0000-0000-0000F4CB0000}"/>
    <cellStyle name="Normal 6 3 2 2 5 4" xfId="20640" xr:uid="{00000000-0005-0000-0000-0000F5CB0000}"/>
    <cellStyle name="Normal 6 3 2 2 5 4 2" xfId="47773" xr:uid="{00000000-0005-0000-0000-0000F6CB0000}"/>
    <cellStyle name="Normal 6 3 2 2 5 5" xfId="34211" xr:uid="{00000000-0005-0000-0000-0000F7CB0000}"/>
    <cellStyle name="Normal 6 3 2 2 6" xfId="6924" xr:uid="{00000000-0005-0000-0000-0000F8CB0000}"/>
    <cellStyle name="Normal 6 3 2 2 6 2" xfId="10454" xr:uid="{00000000-0005-0000-0000-0000F9CB0000}"/>
    <cellStyle name="Normal 6 3 2 2 6 2 2" xfId="17243" xr:uid="{00000000-0005-0000-0000-0000FACB0000}"/>
    <cellStyle name="Normal 6 3 2 2 6 2 2 2" xfId="30811" xr:uid="{00000000-0005-0000-0000-0000FBCB0000}"/>
    <cellStyle name="Normal 6 3 2 2 6 2 2 2 2" xfId="57944" xr:uid="{00000000-0005-0000-0000-0000FCCB0000}"/>
    <cellStyle name="Normal 6 3 2 2 6 2 2 3" xfId="44382" xr:uid="{00000000-0005-0000-0000-0000FDCB0000}"/>
    <cellStyle name="Normal 6 3 2 2 6 2 3" xfId="24030" xr:uid="{00000000-0005-0000-0000-0000FECB0000}"/>
    <cellStyle name="Normal 6 3 2 2 6 2 3 2" xfId="51163" xr:uid="{00000000-0005-0000-0000-0000FFCB0000}"/>
    <cellStyle name="Normal 6 3 2 2 6 2 4" xfId="37601" xr:uid="{00000000-0005-0000-0000-000000CC0000}"/>
    <cellStyle name="Normal 6 3 2 2 6 3" xfId="13854" xr:uid="{00000000-0005-0000-0000-000001CC0000}"/>
    <cellStyle name="Normal 6 3 2 2 6 3 2" xfId="27422" xr:uid="{00000000-0005-0000-0000-000002CC0000}"/>
    <cellStyle name="Normal 6 3 2 2 6 3 2 2" xfId="54555" xr:uid="{00000000-0005-0000-0000-000003CC0000}"/>
    <cellStyle name="Normal 6 3 2 2 6 3 3" xfId="40993" xr:uid="{00000000-0005-0000-0000-000004CC0000}"/>
    <cellStyle name="Normal 6 3 2 2 6 4" xfId="20641" xr:uid="{00000000-0005-0000-0000-000005CC0000}"/>
    <cellStyle name="Normal 6 3 2 2 6 4 2" xfId="47774" xr:uid="{00000000-0005-0000-0000-000006CC0000}"/>
    <cellStyle name="Normal 6 3 2 2 6 5" xfId="34212" xr:uid="{00000000-0005-0000-0000-000007CC0000}"/>
    <cellStyle name="Normal 6 3 2 2 7" xfId="10439" xr:uid="{00000000-0005-0000-0000-000008CC0000}"/>
    <cellStyle name="Normal 6 3 2 2 7 2" xfId="17228" xr:uid="{00000000-0005-0000-0000-000009CC0000}"/>
    <cellStyle name="Normal 6 3 2 2 7 2 2" xfId="30796" xr:uid="{00000000-0005-0000-0000-00000ACC0000}"/>
    <cellStyle name="Normal 6 3 2 2 7 2 2 2" xfId="57929" xr:uid="{00000000-0005-0000-0000-00000BCC0000}"/>
    <cellStyle name="Normal 6 3 2 2 7 2 3" xfId="44367" xr:uid="{00000000-0005-0000-0000-00000CCC0000}"/>
    <cellStyle name="Normal 6 3 2 2 7 3" xfId="24015" xr:uid="{00000000-0005-0000-0000-00000DCC0000}"/>
    <cellStyle name="Normal 6 3 2 2 7 3 2" xfId="51148" xr:uid="{00000000-0005-0000-0000-00000ECC0000}"/>
    <cellStyle name="Normal 6 3 2 2 7 4" xfId="37586" xr:uid="{00000000-0005-0000-0000-00000FCC0000}"/>
    <cellStyle name="Normal 6 3 2 2 8" xfId="13839" xr:uid="{00000000-0005-0000-0000-000010CC0000}"/>
    <cellStyle name="Normal 6 3 2 2 8 2" xfId="27407" xr:uid="{00000000-0005-0000-0000-000011CC0000}"/>
    <cellStyle name="Normal 6 3 2 2 8 2 2" xfId="54540" xr:uid="{00000000-0005-0000-0000-000012CC0000}"/>
    <cellStyle name="Normal 6 3 2 2 8 3" xfId="40978" xr:uid="{00000000-0005-0000-0000-000013CC0000}"/>
    <cellStyle name="Normal 6 3 2 2 9" xfId="20626" xr:uid="{00000000-0005-0000-0000-000014CC0000}"/>
    <cellStyle name="Normal 6 3 2 2 9 2" xfId="47759" xr:uid="{00000000-0005-0000-0000-000015CC0000}"/>
    <cellStyle name="Normal 6 3 2 3" xfId="6925" xr:uid="{00000000-0005-0000-0000-000016CC0000}"/>
    <cellStyle name="Normal 6 3 2 3 2" xfId="6926" xr:uid="{00000000-0005-0000-0000-000017CC0000}"/>
    <cellStyle name="Normal 6 3 2 3 2 2" xfId="6927" xr:uid="{00000000-0005-0000-0000-000018CC0000}"/>
    <cellStyle name="Normal 6 3 2 3 2 2 2" xfId="10457" xr:uid="{00000000-0005-0000-0000-000019CC0000}"/>
    <cellStyle name="Normal 6 3 2 3 2 2 2 2" xfId="17246" xr:uid="{00000000-0005-0000-0000-00001ACC0000}"/>
    <cellStyle name="Normal 6 3 2 3 2 2 2 2 2" xfId="30814" xr:uid="{00000000-0005-0000-0000-00001BCC0000}"/>
    <cellStyle name="Normal 6 3 2 3 2 2 2 2 2 2" xfId="57947" xr:uid="{00000000-0005-0000-0000-00001CCC0000}"/>
    <cellStyle name="Normal 6 3 2 3 2 2 2 2 3" xfId="44385" xr:uid="{00000000-0005-0000-0000-00001DCC0000}"/>
    <cellStyle name="Normal 6 3 2 3 2 2 2 3" xfId="24033" xr:uid="{00000000-0005-0000-0000-00001ECC0000}"/>
    <cellStyle name="Normal 6 3 2 3 2 2 2 3 2" xfId="51166" xr:uid="{00000000-0005-0000-0000-00001FCC0000}"/>
    <cellStyle name="Normal 6 3 2 3 2 2 2 4" xfId="37604" xr:uid="{00000000-0005-0000-0000-000020CC0000}"/>
    <cellStyle name="Normal 6 3 2 3 2 2 3" xfId="13857" xr:uid="{00000000-0005-0000-0000-000021CC0000}"/>
    <cellStyle name="Normal 6 3 2 3 2 2 3 2" xfId="27425" xr:uid="{00000000-0005-0000-0000-000022CC0000}"/>
    <cellStyle name="Normal 6 3 2 3 2 2 3 2 2" xfId="54558" xr:uid="{00000000-0005-0000-0000-000023CC0000}"/>
    <cellStyle name="Normal 6 3 2 3 2 2 3 3" xfId="40996" xr:uid="{00000000-0005-0000-0000-000024CC0000}"/>
    <cellStyle name="Normal 6 3 2 3 2 2 4" xfId="20644" xr:uid="{00000000-0005-0000-0000-000025CC0000}"/>
    <cellStyle name="Normal 6 3 2 3 2 2 4 2" xfId="47777" xr:uid="{00000000-0005-0000-0000-000026CC0000}"/>
    <cellStyle name="Normal 6 3 2 3 2 2 5" xfId="34215" xr:uid="{00000000-0005-0000-0000-000027CC0000}"/>
    <cellStyle name="Normal 6 3 2 3 2 3" xfId="6928" xr:uid="{00000000-0005-0000-0000-000028CC0000}"/>
    <cellStyle name="Normal 6 3 2 3 2 3 2" xfId="10458" xr:uid="{00000000-0005-0000-0000-000029CC0000}"/>
    <cellStyle name="Normal 6 3 2 3 2 3 2 2" xfId="17247" xr:uid="{00000000-0005-0000-0000-00002ACC0000}"/>
    <cellStyle name="Normal 6 3 2 3 2 3 2 2 2" xfId="30815" xr:uid="{00000000-0005-0000-0000-00002BCC0000}"/>
    <cellStyle name="Normal 6 3 2 3 2 3 2 2 2 2" xfId="57948" xr:uid="{00000000-0005-0000-0000-00002CCC0000}"/>
    <cellStyle name="Normal 6 3 2 3 2 3 2 2 3" xfId="44386" xr:uid="{00000000-0005-0000-0000-00002DCC0000}"/>
    <cellStyle name="Normal 6 3 2 3 2 3 2 3" xfId="24034" xr:uid="{00000000-0005-0000-0000-00002ECC0000}"/>
    <cellStyle name="Normal 6 3 2 3 2 3 2 3 2" xfId="51167" xr:uid="{00000000-0005-0000-0000-00002FCC0000}"/>
    <cellStyle name="Normal 6 3 2 3 2 3 2 4" xfId="37605" xr:uid="{00000000-0005-0000-0000-000030CC0000}"/>
    <cellStyle name="Normal 6 3 2 3 2 3 3" xfId="13858" xr:uid="{00000000-0005-0000-0000-000031CC0000}"/>
    <cellStyle name="Normal 6 3 2 3 2 3 3 2" xfId="27426" xr:uid="{00000000-0005-0000-0000-000032CC0000}"/>
    <cellStyle name="Normal 6 3 2 3 2 3 3 2 2" xfId="54559" xr:uid="{00000000-0005-0000-0000-000033CC0000}"/>
    <cellStyle name="Normal 6 3 2 3 2 3 3 3" xfId="40997" xr:uid="{00000000-0005-0000-0000-000034CC0000}"/>
    <cellStyle name="Normal 6 3 2 3 2 3 4" xfId="20645" xr:uid="{00000000-0005-0000-0000-000035CC0000}"/>
    <cellStyle name="Normal 6 3 2 3 2 3 4 2" xfId="47778" xr:uid="{00000000-0005-0000-0000-000036CC0000}"/>
    <cellStyle name="Normal 6 3 2 3 2 3 5" xfId="34216" xr:uid="{00000000-0005-0000-0000-000037CC0000}"/>
    <cellStyle name="Normal 6 3 2 3 2 4" xfId="10456" xr:uid="{00000000-0005-0000-0000-000038CC0000}"/>
    <cellStyle name="Normal 6 3 2 3 2 4 2" xfId="17245" xr:uid="{00000000-0005-0000-0000-000039CC0000}"/>
    <cellStyle name="Normal 6 3 2 3 2 4 2 2" xfId="30813" xr:uid="{00000000-0005-0000-0000-00003ACC0000}"/>
    <cellStyle name="Normal 6 3 2 3 2 4 2 2 2" xfId="57946" xr:uid="{00000000-0005-0000-0000-00003BCC0000}"/>
    <cellStyle name="Normal 6 3 2 3 2 4 2 3" xfId="44384" xr:uid="{00000000-0005-0000-0000-00003CCC0000}"/>
    <cellStyle name="Normal 6 3 2 3 2 4 3" xfId="24032" xr:uid="{00000000-0005-0000-0000-00003DCC0000}"/>
    <cellStyle name="Normal 6 3 2 3 2 4 3 2" xfId="51165" xr:uid="{00000000-0005-0000-0000-00003ECC0000}"/>
    <cellStyle name="Normal 6 3 2 3 2 4 4" xfId="37603" xr:uid="{00000000-0005-0000-0000-00003FCC0000}"/>
    <cellStyle name="Normal 6 3 2 3 2 5" xfId="13856" xr:uid="{00000000-0005-0000-0000-000040CC0000}"/>
    <cellStyle name="Normal 6 3 2 3 2 5 2" xfId="27424" xr:uid="{00000000-0005-0000-0000-000041CC0000}"/>
    <cellStyle name="Normal 6 3 2 3 2 5 2 2" xfId="54557" xr:uid="{00000000-0005-0000-0000-000042CC0000}"/>
    <cellStyle name="Normal 6 3 2 3 2 5 3" xfId="40995" xr:uid="{00000000-0005-0000-0000-000043CC0000}"/>
    <cellStyle name="Normal 6 3 2 3 2 6" xfId="20643" xr:uid="{00000000-0005-0000-0000-000044CC0000}"/>
    <cellStyle name="Normal 6 3 2 3 2 6 2" xfId="47776" xr:uid="{00000000-0005-0000-0000-000045CC0000}"/>
    <cellStyle name="Normal 6 3 2 3 2 7" xfId="34214" xr:uid="{00000000-0005-0000-0000-000046CC0000}"/>
    <cellStyle name="Normal 6 3 2 3 3" xfId="6929" xr:uid="{00000000-0005-0000-0000-000047CC0000}"/>
    <cellStyle name="Normal 6 3 2 3 3 2" xfId="6930" xr:uid="{00000000-0005-0000-0000-000048CC0000}"/>
    <cellStyle name="Normal 6 3 2 3 3 2 2" xfId="10460" xr:uid="{00000000-0005-0000-0000-000049CC0000}"/>
    <cellStyle name="Normal 6 3 2 3 3 2 2 2" xfId="17249" xr:uid="{00000000-0005-0000-0000-00004ACC0000}"/>
    <cellStyle name="Normal 6 3 2 3 3 2 2 2 2" xfId="30817" xr:uid="{00000000-0005-0000-0000-00004BCC0000}"/>
    <cellStyle name="Normal 6 3 2 3 3 2 2 2 2 2" xfId="57950" xr:uid="{00000000-0005-0000-0000-00004CCC0000}"/>
    <cellStyle name="Normal 6 3 2 3 3 2 2 2 3" xfId="44388" xr:uid="{00000000-0005-0000-0000-00004DCC0000}"/>
    <cellStyle name="Normal 6 3 2 3 3 2 2 3" xfId="24036" xr:uid="{00000000-0005-0000-0000-00004ECC0000}"/>
    <cellStyle name="Normal 6 3 2 3 3 2 2 3 2" xfId="51169" xr:uid="{00000000-0005-0000-0000-00004FCC0000}"/>
    <cellStyle name="Normal 6 3 2 3 3 2 2 4" xfId="37607" xr:uid="{00000000-0005-0000-0000-000050CC0000}"/>
    <cellStyle name="Normal 6 3 2 3 3 2 3" xfId="13860" xr:uid="{00000000-0005-0000-0000-000051CC0000}"/>
    <cellStyle name="Normal 6 3 2 3 3 2 3 2" xfId="27428" xr:uid="{00000000-0005-0000-0000-000052CC0000}"/>
    <cellStyle name="Normal 6 3 2 3 3 2 3 2 2" xfId="54561" xr:uid="{00000000-0005-0000-0000-000053CC0000}"/>
    <cellStyle name="Normal 6 3 2 3 3 2 3 3" xfId="40999" xr:uid="{00000000-0005-0000-0000-000054CC0000}"/>
    <cellStyle name="Normal 6 3 2 3 3 2 4" xfId="20647" xr:uid="{00000000-0005-0000-0000-000055CC0000}"/>
    <cellStyle name="Normal 6 3 2 3 3 2 4 2" xfId="47780" xr:uid="{00000000-0005-0000-0000-000056CC0000}"/>
    <cellStyle name="Normal 6 3 2 3 3 2 5" xfId="34218" xr:uid="{00000000-0005-0000-0000-000057CC0000}"/>
    <cellStyle name="Normal 6 3 2 3 3 3" xfId="10459" xr:uid="{00000000-0005-0000-0000-000058CC0000}"/>
    <cellStyle name="Normal 6 3 2 3 3 3 2" xfId="17248" xr:uid="{00000000-0005-0000-0000-000059CC0000}"/>
    <cellStyle name="Normal 6 3 2 3 3 3 2 2" xfId="30816" xr:uid="{00000000-0005-0000-0000-00005ACC0000}"/>
    <cellStyle name="Normal 6 3 2 3 3 3 2 2 2" xfId="57949" xr:uid="{00000000-0005-0000-0000-00005BCC0000}"/>
    <cellStyle name="Normal 6 3 2 3 3 3 2 3" xfId="44387" xr:uid="{00000000-0005-0000-0000-00005CCC0000}"/>
    <cellStyle name="Normal 6 3 2 3 3 3 3" xfId="24035" xr:uid="{00000000-0005-0000-0000-00005DCC0000}"/>
    <cellStyle name="Normal 6 3 2 3 3 3 3 2" xfId="51168" xr:uid="{00000000-0005-0000-0000-00005ECC0000}"/>
    <cellStyle name="Normal 6 3 2 3 3 3 4" xfId="37606" xr:uid="{00000000-0005-0000-0000-00005FCC0000}"/>
    <cellStyle name="Normal 6 3 2 3 3 4" xfId="13859" xr:uid="{00000000-0005-0000-0000-000060CC0000}"/>
    <cellStyle name="Normal 6 3 2 3 3 4 2" xfId="27427" xr:uid="{00000000-0005-0000-0000-000061CC0000}"/>
    <cellStyle name="Normal 6 3 2 3 3 4 2 2" xfId="54560" xr:uid="{00000000-0005-0000-0000-000062CC0000}"/>
    <cellStyle name="Normal 6 3 2 3 3 4 3" xfId="40998" xr:uid="{00000000-0005-0000-0000-000063CC0000}"/>
    <cellStyle name="Normal 6 3 2 3 3 5" xfId="20646" xr:uid="{00000000-0005-0000-0000-000064CC0000}"/>
    <cellStyle name="Normal 6 3 2 3 3 5 2" xfId="47779" xr:uid="{00000000-0005-0000-0000-000065CC0000}"/>
    <cellStyle name="Normal 6 3 2 3 3 6" xfId="34217" xr:uid="{00000000-0005-0000-0000-000066CC0000}"/>
    <cellStyle name="Normal 6 3 2 3 4" xfId="6931" xr:uid="{00000000-0005-0000-0000-000067CC0000}"/>
    <cellStyle name="Normal 6 3 2 3 4 2" xfId="10461" xr:uid="{00000000-0005-0000-0000-000068CC0000}"/>
    <cellStyle name="Normal 6 3 2 3 4 2 2" xfId="17250" xr:uid="{00000000-0005-0000-0000-000069CC0000}"/>
    <cellStyle name="Normal 6 3 2 3 4 2 2 2" xfId="30818" xr:uid="{00000000-0005-0000-0000-00006ACC0000}"/>
    <cellStyle name="Normal 6 3 2 3 4 2 2 2 2" xfId="57951" xr:uid="{00000000-0005-0000-0000-00006BCC0000}"/>
    <cellStyle name="Normal 6 3 2 3 4 2 2 3" xfId="44389" xr:uid="{00000000-0005-0000-0000-00006CCC0000}"/>
    <cellStyle name="Normal 6 3 2 3 4 2 3" xfId="24037" xr:uid="{00000000-0005-0000-0000-00006DCC0000}"/>
    <cellStyle name="Normal 6 3 2 3 4 2 3 2" xfId="51170" xr:uid="{00000000-0005-0000-0000-00006ECC0000}"/>
    <cellStyle name="Normal 6 3 2 3 4 2 4" xfId="37608" xr:uid="{00000000-0005-0000-0000-00006FCC0000}"/>
    <cellStyle name="Normal 6 3 2 3 4 3" xfId="13861" xr:uid="{00000000-0005-0000-0000-000070CC0000}"/>
    <cellStyle name="Normal 6 3 2 3 4 3 2" xfId="27429" xr:uid="{00000000-0005-0000-0000-000071CC0000}"/>
    <cellStyle name="Normal 6 3 2 3 4 3 2 2" xfId="54562" xr:uid="{00000000-0005-0000-0000-000072CC0000}"/>
    <cellStyle name="Normal 6 3 2 3 4 3 3" xfId="41000" xr:uid="{00000000-0005-0000-0000-000073CC0000}"/>
    <cellStyle name="Normal 6 3 2 3 4 4" xfId="20648" xr:uid="{00000000-0005-0000-0000-000074CC0000}"/>
    <cellStyle name="Normal 6 3 2 3 4 4 2" xfId="47781" xr:uid="{00000000-0005-0000-0000-000075CC0000}"/>
    <cellStyle name="Normal 6 3 2 3 4 5" xfId="34219" xr:uid="{00000000-0005-0000-0000-000076CC0000}"/>
    <cellStyle name="Normal 6 3 2 3 5" xfId="6932" xr:uid="{00000000-0005-0000-0000-000077CC0000}"/>
    <cellStyle name="Normal 6 3 2 3 5 2" xfId="10462" xr:uid="{00000000-0005-0000-0000-000078CC0000}"/>
    <cellStyle name="Normal 6 3 2 3 5 2 2" xfId="17251" xr:uid="{00000000-0005-0000-0000-000079CC0000}"/>
    <cellStyle name="Normal 6 3 2 3 5 2 2 2" xfId="30819" xr:uid="{00000000-0005-0000-0000-00007ACC0000}"/>
    <cellStyle name="Normal 6 3 2 3 5 2 2 2 2" xfId="57952" xr:uid="{00000000-0005-0000-0000-00007BCC0000}"/>
    <cellStyle name="Normal 6 3 2 3 5 2 2 3" xfId="44390" xr:uid="{00000000-0005-0000-0000-00007CCC0000}"/>
    <cellStyle name="Normal 6 3 2 3 5 2 3" xfId="24038" xr:uid="{00000000-0005-0000-0000-00007DCC0000}"/>
    <cellStyle name="Normal 6 3 2 3 5 2 3 2" xfId="51171" xr:uid="{00000000-0005-0000-0000-00007ECC0000}"/>
    <cellStyle name="Normal 6 3 2 3 5 2 4" xfId="37609" xr:uid="{00000000-0005-0000-0000-00007FCC0000}"/>
    <cellStyle name="Normal 6 3 2 3 5 3" xfId="13862" xr:uid="{00000000-0005-0000-0000-000080CC0000}"/>
    <cellStyle name="Normal 6 3 2 3 5 3 2" xfId="27430" xr:uid="{00000000-0005-0000-0000-000081CC0000}"/>
    <cellStyle name="Normal 6 3 2 3 5 3 2 2" xfId="54563" xr:uid="{00000000-0005-0000-0000-000082CC0000}"/>
    <cellStyle name="Normal 6 3 2 3 5 3 3" xfId="41001" xr:uid="{00000000-0005-0000-0000-000083CC0000}"/>
    <cellStyle name="Normal 6 3 2 3 5 4" xfId="20649" xr:uid="{00000000-0005-0000-0000-000084CC0000}"/>
    <cellStyle name="Normal 6 3 2 3 5 4 2" xfId="47782" xr:uid="{00000000-0005-0000-0000-000085CC0000}"/>
    <cellStyle name="Normal 6 3 2 3 5 5" xfId="34220" xr:uid="{00000000-0005-0000-0000-000086CC0000}"/>
    <cellStyle name="Normal 6 3 2 3 6" xfId="10455" xr:uid="{00000000-0005-0000-0000-000087CC0000}"/>
    <cellStyle name="Normal 6 3 2 3 6 2" xfId="17244" xr:uid="{00000000-0005-0000-0000-000088CC0000}"/>
    <cellStyle name="Normal 6 3 2 3 6 2 2" xfId="30812" xr:uid="{00000000-0005-0000-0000-000089CC0000}"/>
    <cellStyle name="Normal 6 3 2 3 6 2 2 2" xfId="57945" xr:uid="{00000000-0005-0000-0000-00008ACC0000}"/>
    <cellStyle name="Normal 6 3 2 3 6 2 3" xfId="44383" xr:uid="{00000000-0005-0000-0000-00008BCC0000}"/>
    <cellStyle name="Normal 6 3 2 3 6 3" xfId="24031" xr:uid="{00000000-0005-0000-0000-00008CCC0000}"/>
    <cellStyle name="Normal 6 3 2 3 6 3 2" xfId="51164" xr:uid="{00000000-0005-0000-0000-00008DCC0000}"/>
    <cellStyle name="Normal 6 3 2 3 6 4" xfId="37602" xr:uid="{00000000-0005-0000-0000-00008ECC0000}"/>
    <cellStyle name="Normal 6 3 2 3 7" xfId="13855" xr:uid="{00000000-0005-0000-0000-00008FCC0000}"/>
    <cellStyle name="Normal 6 3 2 3 7 2" xfId="27423" xr:uid="{00000000-0005-0000-0000-000090CC0000}"/>
    <cellStyle name="Normal 6 3 2 3 7 2 2" xfId="54556" xr:uid="{00000000-0005-0000-0000-000091CC0000}"/>
    <cellStyle name="Normal 6 3 2 3 7 3" xfId="40994" xr:uid="{00000000-0005-0000-0000-000092CC0000}"/>
    <cellStyle name="Normal 6 3 2 3 8" xfId="20642" xr:uid="{00000000-0005-0000-0000-000093CC0000}"/>
    <cellStyle name="Normal 6 3 2 3 8 2" xfId="47775" xr:uid="{00000000-0005-0000-0000-000094CC0000}"/>
    <cellStyle name="Normal 6 3 2 3 9" xfId="34213" xr:uid="{00000000-0005-0000-0000-000095CC0000}"/>
    <cellStyle name="Normal 6 3 2 4" xfId="6933" xr:uid="{00000000-0005-0000-0000-000096CC0000}"/>
    <cellStyle name="Normal 6 3 2 4 2" xfId="6934" xr:uid="{00000000-0005-0000-0000-000097CC0000}"/>
    <cellStyle name="Normal 6 3 2 4 2 2" xfId="6935" xr:uid="{00000000-0005-0000-0000-000098CC0000}"/>
    <cellStyle name="Normal 6 3 2 4 2 2 2" xfId="10465" xr:uid="{00000000-0005-0000-0000-000099CC0000}"/>
    <cellStyle name="Normal 6 3 2 4 2 2 2 2" xfId="17254" xr:uid="{00000000-0005-0000-0000-00009ACC0000}"/>
    <cellStyle name="Normal 6 3 2 4 2 2 2 2 2" xfId="30822" xr:uid="{00000000-0005-0000-0000-00009BCC0000}"/>
    <cellStyle name="Normal 6 3 2 4 2 2 2 2 2 2" xfId="57955" xr:uid="{00000000-0005-0000-0000-00009CCC0000}"/>
    <cellStyle name="Normal 6 3 2 4 2 2 2 2 3" xfId="44393" xr:uid="{00000000-0005-0000-0000-00009DCC0000}"/>
    <cellStyle name="Normal 6 3 2 4 2 2 2 3" xfId="24041" xr:uid="{00000000-0005-0000-0000-00009ECC0000}"/>
    <cellStyle name="Normal 6 3 2 4 2 2 2 3 2" xfId="51174" xr:uid="{00000000-0005-0000-0000-00009FCC0000}"/>
    <cellStyle name="Normal 6 3 2 4 2 2 2 4" xfId="37612" xr:uid="{00000000-0005-0000-0000-0000A0CC0000}"/>
    <cellStyle name="Normal 6 3 2 4 2 2 3" xfId="13865" xr:uid="{00000000-0005-0000-0000-0000A1CC0000}"/>
    <cellStyle name="Normal 6 3 2 4 2 2 3 2" xfId="27433" xr:uid="{00000000-0005-0000-0000-0000A2CC0000}"/>
    <cellStyle name="Normal 6 3 2 4 2 2 3 2 2" xfId="54566" xr:uid="{00000000-0005-0000-0000-0000A3CC0000}"/>
    <cellStyle name="Normal 6 3 2 4 2 2 3 3" xfId="41004" xr:uid="{00000000-0005-0000-0000-0000A4CC0000}"/>
    <cellStyle name="Normal 6 3 2 4 2 2 4" xfId="20652" xr:uid="{00000000-0005-0000-0000-0000A5CC0000}"/>
    <cellStyle name="Normal 6 3 2 4 2 2 4 2" xfId="47785" xr:uid="{00000000-0005-0000-0000-0000A6CC0000}"/>
    <cellStyle name="Normal 6 3 2 4 2 2 5" xfId="34223" xr:uid="{00000000-0005-0000-0000-0000A7CC0000}"/>
    <cellStyle name="Normal 6 3 2 4 2 3" xfId="6936" xr:uid="{00000000-0005-0000-0000-0000A8CC0000}"/>
    <cellStyle name="Normal 6 3 2 4 2 3 2" xfId="10466" xr:uid="{00000000-0005-0000-0000-0000A9CC0000}"/>
    <cellStyle name="Normal 6 3 2 4 2 3 2 2" xfId="17255" xr:uid="{00000000-0005-0000-0000-0000AACC0000}"/>
    <cellStyle name="Normal 6 3 2 4 2 3 2 2 2" xfId="30823" xr:uid="{00000000-0005-0000-0000-0000ABCC0000}"/>
    <cellStyle name="Normal 6 3 2 4 2 3 2 2 2 2" xfId="57956" xr:uid="{00000000-0005-0000-0000-0000ACCC0000}"/>
    <cellStyle name="Normal 6 3 2 4 2 3 2 2 3" xfId="44394" xr:uid="{00000000-0005-0000-0000-0000ADCC0000}"/>
    <cellStyle name="Normal 6 3 2 4 2 3 2 3" xfId="24042" xr:uid="{00000000-0005-0000-0000-0000AECC0000}"/>
    <cellStyle name="Normal 6 3 2 4 2 3 2 3 2" xfId="51175" xr:uid="{00000000-0005-0000-0000-0000AFCC0000}"/>
    <cellStyle name="Normal 6 3 2 4 2 3 2 4" xfId="37613" xr:uid="{00000000-0005-0000-0000-0000B0CC0000}"/>
    <cellStyle name="Normal 6 3 2 4 2 3 3" xfId="13866" xr:uid="{00000000-0005-0000-0000-0000B1CC0000}"/>
    <cellStyle name="Normal 6 3 2 4 2 3 3 2" xfId="27434" xr:uid="{00000000-0005-0000-0000-0000B2CC0000}"/>
    <cellStyle name="Normal 6 3 2 4 2 3 3 2 2" xfId="54567" xr:uid="{00000000-0005-0000-0000-0000B3CC0000}"/>
    <cellStyle name="Normal 6 3 2 4 2 3 3 3" xfId="41005" xr:uid="{00000000-0005-0000-0000-0000B4CC0000}"/>
    <cellStyle name="Normal 6 3 2 4 2 3 4" xfId="20653" xr:uid="{00000000-0005-0000-0000-0000B5CC0000}"/>
    <cellStyle name="Normal 6 3 2 4 2 3 4 2" xfId="47786" xr:uid="{00000000-0005-0000-0000-0000B6CC0000}"/>
    <cellStyle name="Normal 6 3 2 4 2 3 5" xfId="34224" xr:uid="{00000000-0005-0000-0000-0000B7CC0000}"/>
    <cellStyle name="Normal 6 3 2 4 2 4" xfId="10464" xr:uid="{00000000-0005-0000-0000-0000B8CC0000}"/>
    <cellStyle name="Normal 6 3 2 4 2 4 2" xfId="17253" xr:uid="{00000000-0005-0000-0000-0000B9CC0000}"/>
    <cellStyle name="Normal 6 3 2 4 2 4 2 2" xfId="30821" xr:uid="{00000000-0005-0000-0000-0000BACC0000}"/>
    <cellStyle name="Normal 6 3 2 4 2 4 2 2 2" xfId="57954" xr:uid="{00000000-0005-0000-0000-0000BBCC0000}"/>
    <cellStyle name="Normal 6 3 2 4 2 4 2 3" xfId="44392" xr:uid="{00000000-0005-0000-0000-0000BCCC0000}"/>
    <cellStyle name="Normal 6 3 2 4 2 4 3" xfId="24040" xr:uid="{00000000-0005-0000-0000-0000BDCC0000}"/>
    <cellStyle name="Normal 6 3 2 4 2 4 3 2" xfId="51173" xr:uid="{00000000-0005-0000-0000-0000BECC0000}"/>
    <cellStyle name="Normal 6 3 2 4 2 4 4" xfId="37611" xr:uid="{00000000-0005-0000-0000-0000BFCC0000}"/>
    <cellStyle name="Normal 6 3 2 4 2 5" xfId="13864" xr:uid="{00000000-0005-0000-0000-0000C0CC0000}"/>
    <cellStyle name="Normal 6 3 2 4 2 5 2" xfId="27432" xr:uid="{00000000-0005-0000-0000-0000C1CC0000}"/>
    <cellStyle name="Normal 6 3 2 4 2 5 2 2" xfId="54565" xr:uid="{00000000-0005-0000-0000-0000C2CC0000}"/>
    <cellStyle name="Normal 6 3 2 4 2 5 3" xfId="41003" xr:uid="{00000000-0005-0000-0000-0000C3CC0000}"/>
    <cellStyle name="Normal 6 3 2 4 2 6" xfId="20651" xr:uid="{00000000-0005-0000-0000-0000C4CC0000}"/>
    <cellStyle name="Normal 6 3 2 4 2 6 2" xfId="47784" xr:uid="{00000000-0005-0000-0000-0000C5CC0000}"/>
    <cellStyle name="Normal 6 3 2 4 2 7" xfId="34222" xr:uid="{00000000-0005-0000-0000-0000C6CC0000}"/>
    <cellStyle name="Normal 6 3 2 4 3" xfId="6937" xr:uid="{00000000-0005-0000-0000-0000C7CC0000}"/>
    <cellStyle name="Normal 6 3 2 4 3 2" xfId="10467" xr:uid="{00000000-0005-0000-0000-0000C8CC0000}"/>
    <cellStyle name="Normal 6 3 2 4 3 2 2" xfId="17256" xr:uid="{00000000-0005-0000-0000-0000C9CC0000}"/>
    <cellStyle name="Normal 6 3 2 4 3 2 2 2" xfId="30824" xr:uid="{00000000-0005-0000-0000-0000CACC0000}"/>
    <cellStyle name="Normal 6 3 2 4 3 2 2 2 2" xfId="57957" xr:uid="{00000000-0005-0000-0000-0000CBCC0000}"/>
    <cellStyle name="Normal 6 3 2 4 3 2 2 3" xfId="44395" xr:uid="{00000000-0005-0000-0000-0000CCCC0000}"/>
    <cellStyle name="Normal 6 3 2 4 3 2 3" xfId="24043" xr:uid="{00000000-0005-0000-0000-0000CDCC0000}"/>
    <cellStyle name="Normal 6 3 2 4 3 2 3 2" xfId="51176" xr:uid="{00000000-0005-0000-0000-0000CECC0000}"/>
    <cellStyle name="Normal 6 3 2 4 3 2 4" xfId="37614" xr:uid="{00000000-0005-0000-0000-0000CFCC0000}"/>
    <cellStyle name="Normal 6 3 2 4 3 3" xfId="13867" xr:uid="{00000000-0005-0000-0000-0000D0CC0000}"/>
    <cellStyle name="Normal 6 3 2 4 3 3 2" xfId="27435" xr:uid="{00000000-0005-0000-0000-0000D1CC0000}"/>
    <cellStyle name="Normal 6 3 2 4 3 3 2 2" xfId="54568" xr:uid="{00000000-0005-0000-0000-0000D2CC0000}"/>
    <cellStyle name="Normal 6 3 2 4 3 3 3" xfId="41006" xr:uid="{00000000-0005-0000-0000-0000D3CC0000}"/>
    <cellStyle name="Normal 6 3 2 4 3 4" xfId="20654" xr:uid="{00000000-0005-0000-0000-0000D4CC0000}"/>
    <cellStyle name="Normal 6 3 2 4 3 4 2" xfId="47787" xr:uid="{00000000-0005-0000-0000-0000D5CC0000}"/>
    <cellStyle name="Normal 6 3 2 4 3 5" xfId="34225" xr:uid="{00000000-0005-0000-0000-0000D6CC0000}"/>
    <cellStyle name="Normal 6 3 2 4 4" xfId="6938" xr:uid="{00000000-0005-0000-0000-0000D7CC0000}"/>
    <cellStyle name="Normal 6 3 2 4 4 2" xfId="10468" xr:uid="{00000000-0005-0000-0000-0000D8CC0000}"/>
    <cellStyle name="Normal 6 3 2 4 4 2 2" xfId="17257" xr:uid="{00000000-0005-0000-0000-0000D9CC0000}"/>
    <cellStyle name="Normal 6 3 2 4 4 2 2 2" xfId="30825" xr:uid="{00000000-0005-0000-0000-0000DACC0000}"/>
    <cellStyle name="Normal 6 3 2 4 4 2 2 2 2" xfId="57958" xr:uid="{00000000-0005-0000-0000-0000DBCC0000}"/>
    <cellStyle name="Normal 6 3 2 4 4 2 2 3" xfId="44396" xr:uid="{00000000-0005-0000-0000-0000DCCC0000}"/>
    <cellStyle name="Normal 6 3 2 4 4 2 3" xfId="24044" xr:uid="{00000000-0005-0000-0000-0000DDCC0000}"/>
    <cellStyle name="Normal 6 3 2 4 4 2 3 2" xfId="51177" xr:uid="{00000000-0005-0000-0000-0000DECC0000}"/>
    <cellStyle name="Normal 6 3 2 4 4 2 4" xfId="37615" xr:uid="{00000000-0005-0000-0000-0000DFCC0000}"/>
    <cellStyle name="Normal 6 3 2 4 4 3" xfId="13868" xr:uid="{00000000-0005-0000-0000-0000E0CC0000}"/>
    <cellStyle name="Normal 6 3 2 4 4 3 2" xfId="27436" xr:uid="{00000000-0005-0000-0000-0000E1CC0000}"/>
    <cellStyle name="Normal 6 3 2 4 4 3 2 2" xfId="54569" xr:uid="{00000000-0005-0000-0000-0000E2CC0000}"/>
    <cellStyle name="Normal 6 3 2 4 4 3 3" xfId="41007" xr:uid="{00000000-0005-0000-0000-0000E3CC0000}"/>
    <cellStyle name="Normal 6 3 2 4 4 4" xfId="20655" xr:uid="{00000000-0005-0000-0000-0000E4CC0000}"/>
    <cellStyle name="Normal 6 3 2 4 4 4 2" xfId="47788" xr:uid="{00000000-0005-0000-0000-0000E5CC0000}"/>
    <cellStyle name="Normal 6 3 2 4 4 5" xfId="34226" xr:uid="{00000000-0005-0000-0000-0000E6CC0000}"/>
    <cellStyle name="Normal 6 3 2 4 5" xfId="10463" xr:uid="{00000000-0005-0000-0000-0000E7CC0000}"/>
    <cellStyle name="Normal 6 3 2 4 5 2" xfId="17252" xr:uid="{00000000-0005-0000-0000-0000E8CC0000}"/>
    <cellStyle name="Normal 6 3 2 4 5 2 2" xfId="30820" xr:uid="{00000000-0005-0000-0000-0000E9CC0000}"/>
    <cellStyle name="Normal 6 3 2 4 5 2 2 2" xfId="57953" xr:uid="{00000000-0005-0000-0000-0000EACC0000}"/>
    <cellStyle name="Normal 6 3 2 4 5 2 3" xfId="44391" xr:uid="{00000000-0005-0000-0000-0000EBCC0000}"/>
    <cellStyle name="Normal 6 3 2 4 5 3" xfId="24039" xr:uid="{00000000-0005-0000-0000-0000ECCC0000}"/>
    <cellStyle name="Normal 6 3 2 4 5 3 2" xfId="51172" xr:uid="{00000000-0005-0000-0000-0000EDCC0000}"/>
    <cellStyle name="Normal 6 3 2 4 5 4" xfId="37610" xr:uid="{00000000-0005-0000-0000-0000EECC0000}"/>
    <cellStyle name="Normal 6 3 2 4 6" xfId="13863" xr:uid="{00000000-0005-0000-0000-0000EFCC0000}"/>
    <cellStyle name="Normal 6 3 2 4 6 2" xfId="27431" xr:uid="{00000000-0005-0000-0000-0000F0CC0000}"/>
    <cellStyle name="Normal 6 3 2 4 6 2 2" xfId="54564" xr:uid="{00000000-0005-0000-0000-0000F1CC0000}"/>
    <cellStyle name="Normal 6 3 2 4 6 3" xfId="41002" xr:uid="{00000000-0005-0000-0000-0000F2CC0000}"/>
    <cellStyle name="Normal 6 3 2 4 7" xfId="20650" xr:uid="{00000000-0005-0000-0000-0000F3CC0000}"/>
    <cellStyle name="Normal 6 3 2 4 7 2" xfId="47783" xr:uid="{00000000-0005-0000-0000-0000F4CC0000}"/>
    <cellStyle name="Normal 6 3 2 4 8" xfId="34221" xr:uid="{00000000-0005-0000-0000-0000F5CC0000}"/>
    <cellStyle name="Normal 6 3 2 5" xfId="6939" xr:uid="{00000000-0005-0000-0000-0000F6CC0000}"/>
    <cellStyle name="Normal 6 3 2 5 2" xfId="6940" xr:uid="{00000000-0005-0000-0000-0000F7CC0000}"/>
    <cellStyle name="Normal 6 3 2 5 2 2" xfId="10470" xr:uid="{00000000-0005-0000-0000-0000F8CC0000}"/>
    <cellStyle name="Normal 6 3 2 5 2 2 2" xfId="17259" xr:uid="{00000000-0005-0000-0000-0000F9CC0000}"/>
    <cellStyle name="Normal 6 3 2 5 2 2 2 2" xfId="30827" xr:uid="{00000000-0005-0000-0000-0000FACC0000}"/>
    <cellStyle name="Normal 6 3 2 5 2 2 2 2 2" xfId="57960" xr:uid="{00000000-0005-0000-0000-0000FBCC0000}"/>
    <cellStyle name="Normal 6 3 2 5 2 2 2 3" xfId="44398" xr:uid="{00000000-0005-0000-0000-0000FCCC0000}"/>
    <cellStyle name="Normal 6 3 2 5 2 2 3" xfId="24046" xr:uid="{00000000-0005-0000-0000-0000FDCC0000}"/>
    <cellStyle name="Normal 6 3 2 5 2 2 3 2" xfId="51179" xr:uid="{00000000-0005-0000-0000-0000FECC0000}"/>
    <cellStyle name="Normal 6 3 2 5 2 2 4" xfId="37617" xr:uid="{00000000-0005-0000-0000-0000FFCC0000}"/>
    <cellStyle name="Normal 6 3 2 5 2 3" xfId="13870" xr:uid="{00000000-0005-0000-0000-000000CD0000}"/>
    <cellStyle name="Normal 6 3 2 5 2 3 2" xfId="27438" xr:uid="{00000000-0005-0000-0000-000001CD0000}"/>
    <cellStyle name="Normal 6 3 2 5 2 3 2 2" xfId="54571" xr:uid="{00000000-0005-0000-0000-000002CD0000}"/>
    <cellStyle name="Normal 6 3 2 5 2 3 3" xfId="41009" xr:uid="{00000000-0005-0000-0000-000003CD0000}"/>
    <cellStyle name="Normal 6 3 2 5 2 4" xfId="20657" xr:uid="{00000000-0005-0000-0000-000004CD0000}"/>
    <cellStyle name="Normal 6 3 2 5 2 4 2" xfId="47790" xr:uid="{00000000-0005-0000-0000-000005CD0000}"/>
    <cellStyle name="Normal 6 3 2 5 2 5" xfId="34228" xr:uid="{00000000-0005-0000-0000-000006CD0000}"/>
    <cellStyle name="Normal 6 3 2 5 3" xfId="6941" xr:uid="{00000000-0005-0000-0000-000007CD0000}"/>
    <cellStyle name="Normal 6 3 2 5 3 2" xfId="10471" xr:uid="{00000000-0005-0000-0000-000008CD0000}"/>
    <cellStyle name="Normal 6 3 2 5 3 2 2" xfId="17260" xr:uid="{00000000-0005-0000-0000-000009CD0000}"/>
    <cellStyle name="Normal 6 3 2 5 3 2 2 2" xfId="30828" xr:uid="{00000000-0005-0000-0000-00000ACD0000}"/>
    <cellStyle name="Normal 6 3 2 5 3 2 2 2 2" xfId="57961" xr:uid="{00000000-0005-0000-0000-00000BCD0000}"/>
    <cellStyle name="Normal 6 3 2 5 3 2 2 3" xfId="44399" xr:uid="{00000000-0005-0000-0000-00000CCD0000}"/>
    <cellStyle name="Normal 6 3 2 5 3 2 3" xfId="24047" xr:uid="{00000000-0005-0000-0000-00000DCD0000}"/>
    <cellStyle name="Normal 6 3 2 5 3 2 3 2" xfId="51180" xr:uid="{00000000-0005-0000-0000-00000ECD0000}"/>
    <cellStyle name="Normal 6 3 2 5 3 2 4" xfId="37618" xr:uid="{00000000-0005-0000-0000-00000FCD0000}"/>
    <cellStyle name="Normal 6 3 2 5 3 3" xfId="13871" xr:uid="{00000000-0005-0000-0000-000010CD0000}"/>
    <cellStyle name="Normal 6 3 2 5 3 3 2" xfId="27439" xr:uid="{00000000-0005-0000-0000-000011CD0000}"/>
    <cellStyle name="Normal 6 3 2 5 3 3 2 2" xfId="54572" xr:uid="{00000000-0005-0000-0000-000012CD0000}"/>
    <cellStyle name="Normal 6 3 2 5 3 3 3" xfId="41010" xr:uid="{00000000-0005-0000-0000-000013CD0000}"/>
    <cellStyle name="Normal 6 3 2 5 3 4" xfId="20658" xr:uid="{00000000-0005-0000-0000-000014CD0000}"/>
    <cellStyle name="Normal 6 3 2 5 3 4 2" xfId="47791" xr:uid="{00000000-0005-0000-0000-000015CD0000}"/>
    <cellStyle name="Normal 6 3 2 5 3 5" xfId="34229" xr:uid="{00000000-0005-0000-0000-000016CD0000}"/>
    <cellStyle name="Normal 6 3 2 5 4" xfId="10469" xr:uid="{00000000-0005-0000-0000-000017CD0000}"/>
    <cellStyle name="Normal 6 3 2 5 4 2" xfId="17258" xr:uid="{00000000-0005-0000-0000-000018CD0000}"/>
    <cellStyle name="Normal 6 3 2 5 4 2 2" xfId="30826" xr:uid="{00000000-0005-0000-0000-000019CD0000}"/>
    <cellStyle name="Normal 6 3 2 5 4 2 2 2" xfId="57959" xr:uid="{00000000-0005-0000-0000-00001ACD0000}"/>
    <cellStyle name="Normal 6 3 2 5 4 2 3" xfId="44397" xr:uid="{00000000-0005-0000-0000-00001BCD0000}"/>
    <cellStyle name="Normal 6 3 2 5 4 3" xfId="24045" xr:uid="{00000000-0005-0000-0000-00001CCD0000}"/>
    <cellStyle name="Normal 6 3 2 5 4 3 2" xfId="51178" xr:uid="{00000000-0005-0000-0000-00001DCD0000}"/>
    <cellStyle name="Normal 6 3 2 5 4 4" xfId="37616" xr:uid="{00000000-0005-0000-0000-00001ECD0000}"/>
    <cellStyle name="Normal 6 3 2 5 5" xfId="13869" xr:uid="{00000000-0005-0000-0000-00001FCD0000}"/>
    <cellStyle name="Normal 6 3 2 5 5 2" xfId="27437" xr:uid="{00000000-0005-0000-0000-000020CD0000}"/>
    <cellStyle name="Normal 6 3 2 5 5 2 2" xfId="54570" xr:uid="{00000000-0005-0000-0000-000021CD0000}"/>
    <cellStyle name="Normal 6 3 2 5 5 3" xfId="41008" xr:uid="{00000000-0005-0000-0000-000022CD0000}"/>
    <cellStyle name="Normal 6 3 2 5 6" xfId="20656" xr:uid="{00000000-0005-0000-0000-000023CD0000}"/>
    <cellStyle name="Normal 6 3 2 5 6 2" xfId="47789" xr:uid="{00000000-0005-0000-0000-000024CD0000}"/>
    <cellStyle name="Normal 6 3 2 5 7" xfId="34227" xr:uid="{00000000-0005-0000-0000-000025CD0000}"/>
    <cellStyle name="Normal 6 3 2 6" xfId="6942" xr:uid="{00000000-0005-0000-0000-000026CD0000}"/>
    <cellStyle name="Normal 6 3 2 6 2" xfId="6943" xr:uid="{00000000-0005-0000-0000-000027CD0000}"/>
    <cellStyle name="Normal 6 3 2 6 2 2" xfId="10473" xr:uid="{00000000-0005-0000-0000-000028CD0000}"/>
    <cellStyle name="Normal 6 3 2 6 2 2 2" xfId="17262" xr:uid="{00000000-0005-0000-0000-000029CD0000}"/>
    <cellStyle name="Normal 6 3 2 6 2 2 2 2" xfId="30830" xr:uid="{00000000-0005-0000-0000-00002ACD0000}"/>
    <cellStyle name="Normal 6 3 2 6 2 2 2 2 2" xfId="57963" xr:uid="{00000000-0005-0000-0000-00002BCD0000}"/>
    <cellStyle name="Normal 6 3 2 6 2 2 2 3" xfId="44401" xr:uid="{00000000-0005-0000-0000-00002CCD0000}"/>
    <cellStyle name="Normal 6 3 2 6 2 2 3" xfId="24049" xr:uid="{00000000-0005-0000-0000-00002DCD0000}"/>
    <cellStyle name="Normal 6 3 2 6 2 2 3 2" xfId="51182" xr:uid="{00000000-0005-0000-0000-00002ECD0000}"/>
    <cellStyle name="Normal 6 3 2 6 2 2 4" xfId="37620" xr:uid="{00000000-0005-0000-0000-00002FCD0000}"/>
    <cellStyle name="Normal 6 3 2 6 2 3" xfId="13873" xr:uid="{00000000-0005-0000-0000-000030CD0000}"/>
    <cellStyle name="Normal 6 3 2 6 2 3 2" xfId="27441" xr:uid="{00000000-0005-0000-0000-000031CD0000}"/>
    <cellStyle name="Normal 6 3 2 6 2 3 2 2" xfId="54574" xr:uid="{00000000-0005-0000-0000-000032CD0000}"/>
    <cellStyle name="Normal 6 3 2 6 2 3 3" xfId="41012" xr:uid="{00000000-0005-0000-0000-000033CD0000}"/>
    <cellStyle name="Normal 6 3 2 6 2 4" xfId="20660" xr:uid="{00000000-0005-0000-0000-000034CD0000}"/>
    <cellStyle name="Normal 6 3 2 6 2 4 2" xfId="47793" xr:uid="{00000000-0005-0000-0000-000035CD0000}"/>
    <cellStyle name="Normal 6 3 2 6 2 5" xfId="34231" xr:uid="{00000000-0005-0000-0000-000036CD0000}"/>
    <cellStyle name="Normal 6 3 2 6 3" xfId="6944" xr:uid="{00000000-0005-0000-0000-000037CD0000}"/>
    <cellStyle name="Normal 6 3 2 6 3 2" xfId="10474" xr:uid="{00000000-0005-0000-0000-000038CD0000}"/>
    <cellStyle name="Normal 6 3 2 6 3 2 2" xfId="17263" xr:uid="{00000000-0005-0000-0000-000039CD0000}"/>
    <cellStyle name="Normal 6 3 2 6 3 2 2 2" xfId="30831" xr:uid="{00000000-0005-0000-0000-00003ACD0000}"/>
    <cellStyle name="Normal 6 3 2 6 3 2 2 2 2" xfId="57964" xr:uid="{00000000-0005-0000-0000-00003BCD0000}"/>
    <cellStyle name="Normal 6 3 2 6 3 2 2 3" xfId="44402" xr:uid="{00000000-0005-0000-0000-00003CCD0000}"/>
    <cellStyle name="Normal 6 3 2 6 3 2 3" xfId="24050" xr:uid="{00000000-0005-0000-0000-00003DCD0000}"/>
    <cellStyle name="Normal 6 3 2 6 3 2 3 2" xfId="51183" xr:uid="{00000000-0005-0000-0000-00003ECD0000}"/>
    <cellStyle name="Normal 6 3 2 6 3 2 4" xfId="37621" xr:uid="{00000000-0005-0000-0000-00003FCD0000}"/>
    <cellStyle name="Normal 6 3 2 6 3 3" xfId="13874" xr:uid="{00000000-0005-0000-0000-000040CD0000}"/>
    <cellStyle name="Normal 6 3 2 6 3 3 2" xfId="27442" xr:uid="{00000000-0005-0000-0000-000041CD0000}"/>
    <cellStyle name="Normal 6 3 2 6 3 3 2 2" xfId="54575" xr:uid="{00000000-0005-0000-0000-000042CD0000}"/>
    <cellStyle name="Normal 6 3 2 6 3 3 3" xfId="41013" xr:uid="{00000000-0005-0000-0000-000043CD0000}"/>
    <cellStyle name="Normal 6 3 2 6 3 4" xfId="20661" xr:uid="{00000000-0005-0000-0000-000044CD0000}"/>
    <cellStyle name="Normal 6 3 2 6 3 4 2" xfId="47794" xr:uid="{00000000-0005-0000-0000-000045CD0000}"/>
    <cellStyle name="Normal 6 3 2 6 3 5" xfId="34232" xr:uid="{00000000-0005-0000-0000-000046CD0000}"/>
    <cellStyle name="Normal 6 3 2 6 4" xfId="10472" xr:uid="{00000000-0005-0000-0000-000047CD0000}"/>
    <cellStyle name="Normal 6 3 2 6 4 2" xfId="17261" xr:uid="{00000000-0005-0000-0000-000048CD0000}"/>
    <cellStyle name="Normal 6 3 2 6 4 2 2" xfId="30829" xr:uid="{00000000-0005-0000-0000-000049CD0000}"/>
    <cellStyle name="Normal 6 3 2 6 4 2 2 2" xfId="57962" xr:uid="{00000000-0005-0000-0000-00004ACD0000}"/>
    <cellStyle name="Normal 6 3 2 6 4 2 3" xfId="44400" xr:uid="{00000000-0005-0000-0000-00004BCD0000}"/>
    <cellStyle name="Normal 6 3 2 6 4 3" xfId="24048" xr:uid="{00000000-0005-0000-0000-00004CCD0000}"/>
    <cellStyle name="Normal 6 3 2 6 4 3 2" xfId="51181" xr:uid="{00000000-0005-0000-0000-00004DCD0000}"/>
    <cellStyle name="Normal 6 3 2 6 4 4" xfId="37619" xr:uid="{00000000-0005-0000-0000-00004ECD0000}"/>
    <cellStyle name="Normal 6 3 2 6 5" xfId="13872" xr:uid="{00000000-0005-0000-0000-00004FCD0000}"/>
    <cellStyle name="Normal 6 3 2 6 5 2" xfId="27440" xr:uid="{00000000-0005-0000-0000-000050CD0000}"/>
    <cellStyle name="Normal 6 3 2 6 5 2 2" xfId="54573" xr:uid="{00000000-0005-0000-0000-000051CD0000}"/>
    <cellStyle name="Normal 6 3 2 6 5 3" xfId="41011" xr:uid="{00000000-0005-0000-0000-000052CD0000}"/>
    <cellStyle name="Normal 6 3 2 6 6" xfId="20659" xr:uid="{00000000-0005-0000-0000-000053CD0000}"/>
    <cellStyle name="Normal 6 3 2 6 6 2" xfId="47792" xr:uid="{00000000-0005-0000-0000-000054CD0000}"/>
    <cellStyle name="Normal 6 3 2 6 7" xfId="34230" xr:uid="{00000000-0005-0000-0000-000055CD0000}"/>
    <cellStyle name="Normal 6 3 2 7" xfId="6945" xr:uid="{00000000-0005-0000-0000-000056CD0000}"/>
    <cellStyle name="Normal 6 3 2 7 2" xfId="10475" xr:uid="{00000000-0005-0000-0000-000057CD0000}"/>
    <cellStyle name="Normal 6 3 2 7 2 2" xfId="17264" xr:uid="{00000000-0005-0000-0000-000058CD0000}"/>
    <cellStyle name="Normal 6 3 2 7 2 2 2" xfId="30832" xr:uid="{00000000-0005-0000-0000-000059CD0000}"/>
    <cellStyle name="Normal 6 3 2 7 2 2 2 2" xfId="57965" xr:uid="{00000000-0005-0000-0000-00005ACD0000}"/>
    <cellStyle name="Normal 6 3 2 7 2 2 3" xfId="44403" xr:uid="{00000000-0005-0000-0000-00005BCD0000}"/>
    <cellStyle name="Normal 6 3 2 7 2 3" xfId="24051" xr:uid="{00000000-0005-0000-0000-00005CCD0000}"/>
    <cellStyle name="Normal 6 3 2 7 2 3 2" xfId="51184" xr:uid="{00000000-0005-0000-0000-00005DCD0000}"/>
    <cellStyle name="Normal 6 3 2 7 2 4" xfId="37622" xr:uid="{00000000-0005-0000-0000-00005ECD0000}"/>
    <cellStyle name="Normal 6 3 2 7 3" xfId="13875" xr:uid="{00000000-0005-0000-0000-00005FCD0000}"/>
    <cellStyle name="Normal 6 3 2 7 3 2" xfId="27443" xr:uid="{00000000-0005-0000-0000-000060CD0000}"/>
    <cellStyle name="Normal 6 3 2 7 3 2 2" xfId="54576" xr:uid="{00000000-0005-0000-0000-000061CD0000}"/>
    <cellStyle name="Normal 6 3 2 7 3 3" xfId="41014" xr:uid="{00000000-0005-0000-0000-000062CD0000}"/>
    <cellStyle name="Normal 6 3 2 7 4" xfId="20662" xr:uid="{00000000-0005-0000-0000-000063CD0000}"/>
    <cellStyle name="Normal 6 3 2 7 4 2" xfId="47795" xr:uid="{00000000-0005-0000-0000-000064CD0000}"/>
    <cellStyle name="Normal 6 3 2 7 5" xfId="34233" xr:uid="{00000000-0005-0000-0000-000065CD0000}"/>
    <cellStyle name="Normal 6 3 2 8" xfId="6946" xr:uid="{00000000-0005-0000-0000-000066CD0000}"/>
    <cellStyle name="Normal 6 3 2 8 2" xfId="10476" xr:uid="{00000000-0005-0000-0000-000067CD0000}"/>
    <cellStyle name="Normal 6 3 2 8 2 2" xfId="17265" xr:uid="{00000000-0005-0000-0000-000068CD0000}"/>
    <cellStyle name="Normal 6 3 2 8 2 2 2" xfId="30833" xr:uid="{00000000-0005-0000-0000-000069CD0000}"/>
    <cellStyle name="Normal 6 3 2 8 2 2 2 2" xfId="57966" xr:uid="{00000000-0005-0000-0000-00006ACD0000}"/>
    <cellStyle name="Normal 6 3 2 8 2 2 3" xfId="44404" xr:uid="{00000000-0005-0000-0000-00006BCD0000}"/>
    <cellStyle name="Normal 6 3 2 8 2 3" xfId="24052" xr:uid="{00000000-0005-0000-0000-00006CCD0000}"/>
    <cellStyle name="Normal 6 3 2 8 2 3 2" xfId="51185" xr:uid="{00000000-0005-0000-0000-00006DCD0000}"/>
    <cellStyle name="Normal 6 3 2 8 2 4" xfId="37623" xr:uid="{00000000-0005-0000-0000-00006ECD0000}"/>
    <cellStyle name="Normal 6 3 2 8 3" xfId="13876" xr:uid="{00000000-0005-0000-0000-00006FCD0000}"/>
    <cellStyle name="Normal 6 3 2 8 3 2" xfId="27444" xr:uid="{00000000-0005-0000-0000-000070CD0000}"/>
    <cellStyle name="Normal 6 3 2 8 3 2 2" xfId="54577" xr:uid="{00000000-0005-0000-0000-000071CD0000}"/>
    <cellStyle name="Normal 6 3 2 8 3 3" xfId="41015" xr:uid="{00000000-0005-0000-0000-000072CD0000}"/>
    <cellStyle name="Normal 6 3 2 8 4" xfId="20663" xr:uid="{00000000-0005-0000-0000-000073CD0000}"/>
    <cellStyle name="Normal 6 3 2 8 4 2" xfId="47796" xr:uid="{00000000-0005-0000-0000-000074CD0000}"/>
    <cellStyle name="Normal 6 3 2 8 5" xfId="34234" xr:uid="{00000000-0005-0000-0000-000075CD0000}"/>
    <cellStyle name="Normal 6 3 2 9" xfId="10438" xr:uid="{00000000-0005-0000-0000-000076CD0000}"/>
    <cellStyle name="Normal 6 3 2 9 2" xfId="17227" xr:uid="{00000000-0005-0000-0000-000077CD0000}"/>
    <cellStyle name="Normal 6 3 2 9 2 2" xfId="30795" xr:uid="{00000000-0005-0000-0000-000078CD0000}"/>
    <cellStyle name="Normal 6 3 2 9 2 2 2" xfId="57928" xr:uid="{00000000-0005-0000-0000-000079CD0000}"/>
    <cellStyle name="Normal 6 3 2 9 2 3" xfId="44366" xr:uid="{00000000-0005-0000-0000-00007ACD0000}"/>
    <cellStyle name="Normal 6 3 2 9 3" xfId="24014" xr:uid="{00000000-0005-0000-0000-00007BCD0000}"/>
    <cellStyle name="Normal 6 3 2 9 3 2" xfId="51147" xr:uid="{00000000-0005-0000-0000-00007CCD0000}"/>
    <cellStyle name="Normal 6 3 2 9 4" xfId="37585" xr:uid="{00000000-0005-0000-0000-00007DCD0000}"/>
    <cellStyle name="Normal 6 3 3" xfId="6947" xr:uid="{00000000-0005-0000-0000-00007ECD0000}"/>
    <cellStyle name="Normal 6 3 3 10" xfId="34235" xr:uid="{00000000-0005-0000-0000-00007FCD0000}"/>
    <cellStyle name="Normal 6 3 3 2" xfId="6948" xr:uid="{00000000-0005-0000-0000-000080CD0000}"/>
    <cellStyle name="Normal 6 3 3 2 2" xfId="6949" xr:uid="{00000000-0005-0000-0000-000081CD0000}"/>
    <cellStyle name="Normal 6 3 3 2 2 2" xfId="6950" xr:uid="{00000000-0005-0000-0000-000082CD0000}"/>
    <cellStyle name="Normal 6 3 3 2 2 2 2" xfId="10480" xr:uid="{00000000-0005-0000-0000-000083CD0000}"/>
    <cellStyle name="Normal 6 3 3 2 2 2 2 2" xfId="17269" xr:uid="{00000000-0005-0000-0000-000084CD0000}"/>
    <cellStyle name="Normal 6 3 3 2 2 2 2 2 2" xfId="30837" xr:uid="{00000000-0005-0000-0000-000085CD0000}"/>
    <cellStyle name="Normal 6 3 3 2 2 2 2 2 2 2" xfId="57970" xr:uid="{00000000-0005-0000-0000-000086CD0000}"/>
    <cellStyle name="Normal 6 3 3 2 2 2 2 2 3" xfId="44408" xr:uid="{00000000-0005-0000-0000-000087CD0000}"/>
    <cellStyle name="Normal 6 3 3 2 2 2 2 3" xfId="24056" xr:uid="{00000000-0005-0000-0000-000088CD0000}"/>
    <cellStyle name="Normal 6 3 3 2 2 2 2 3 2" xfId="51189" xr:uid="{00000000-0005-0000-0000-000089CD0000}"/>
    <cellStyle name="Normal 6 3 3 2 2 2 2 4" xfId="37627" xr:uid="{00000000-0005-0000-0000-00008ACD0000}"/>
    <cellStyle name="Normal 6 3 3 2 2 2 3" xfId="13880" xr:uid="{00000000-0005-0000-0000-00008BCD0000}"/>
    <cellStyle name="Normal 6 3 3 2 2 2 3 2" xfId="27448" xr:uid="{00000000-0005-0000-0000-00008CCD0000}"/>
    <cellStyle name="Normal 6 3 3 2 2 2 3 2 2" xfId="54581" xr:uid="{00000000-0005-0000-0000-00008DCD0000}"/>
    <cellStyle name="Normal 6 3 3 2 2 2 3 3" xfId="41019" xr:uid="{00000000-0005-0000-0000-00008ECD0000}"/>
    <cellStyle name="Normal 6 3 3 2 2 2 4" xfId="20667" xr:uid="{00000000-0005-0000-0000-00008FCD0000}"/>
    <cellStyle name="Normal 6 3 3 2 2 2 4 2" xfId="47800" xr:uid="{00000000-0005-0000-0000-000090CD0000}"/>
    <cellStyle name="Normal 6 3 3 2 2 2 5" xfId="34238" xr:uid="{00000000-0005-0000-0000-000091CD0000}"/>
    <cellStyle name="Normal 6 3 3 2 2 3" xfId="6951" xr:uid="{00000000-0005-0000-0000-000092CD0000}"/>
    <cellStyle name="Normal 6 3 3 2 2 3 2" xfId="10481" xr:uid="{00000000-0005-0000-0000-000093CD0000}"/>
    <cellStyle name="Normal 6 3 3 2 2 3 2 2" xfId="17270" xr:uid="{00000000-0005-0000-0000-000094CD0000}"/>
    <cellStyle name="Normal 6 3 3 2 2 3 2 2 2" xfId="30838" xr:uid="{00000000-0005-0000-0000-000095CD0000}"/>
    <cellStyle name="Normal 6 3 3 2 2 3 2 2 2 2" xfId="57971" xr:uid="{00000000-0005-0000-0000-000096CD0000}"/>
    <cellStyle name="Normal 6 3 3 2 2 3 2 2 3" xfId="44409" xr:uid="{00000000-0005-0000-0000-000097CD0000}"/>
    <cellStyle name="Normal 6 3 3 2 2 3 2 3" xfId="24057" xr:uid="{00000000-0005-0000-0000-000098CD0000}"/>
    <cellStyle name="Normal 6 3 3 2 2 3 2 3 2" xfId="51190" xr:uid="{00000000-0005-0000-0000-000099CD0000}"/>
    <cellStyle name="Normal 6 3 3 2 2 3 2 4" xfId="37628" xr:uid="{00000000-0005-0000-0000-00009ACD0000}"/>
    <cellStyle name="Normal 6 3 3 2 2 3 3" xfId="13881" xr:uid="{00000000-0005-0000-0000-00009BCD0000}"/>
    <cellStyle name="Normal 6 3 3 2 2 3 3 2" xfId="27449" xr:uid="{00000000-0005-0000-0000-00009CCD0000}"/>
    <cellStyle name="Normal 6 3 3 2 2 3 3 2 2" xfId="54582" xr:uid="{00000000-0005-0000-0000-00009DCD0000}"/>
    <cellStyle name="Normal 6 3 3 2 2 3 3 3" xfId="41020" xr:uid="{00000000-0005-0000-0000-00009ECD0000}"/>
    <cellStyle name="Normal 6 3 3 2 2 3 4" xfId="20668" xr:uid="{00000000-0005-0000-0000-00009FCD0000}"/>
    <cellStyle name="Normal 6 3 3 2 2 3 4 2" xfId="47801" xr:uid="{00000000-0005-0000-0000-0000A0CD0000}"/>
    <cellStyle name="Normal 6 3 3 2 2 3 5" xfId="34239" xr:uid="{00000000-0005-0000-0000-0000A1CD0000}"/>
    <cellStyle name="Normal 6 3 3 2 2 4" xfId="10479" xr:uid="{00000000-0005-0000-0000-0000A2CD0000}"/>
    <cellStyle name="Normal 6 3 3 2 2 4 2" xfId="17268" xr:uid="{00000000-0005-0000-0000-0000A3CD0000}"/>
    <cellStyle name="Normal 6 3 3 2 2 4 2 2" xfId="30836" xr:uid="{00000000-0005-0000-0000-0000A4CD0000}"/>
    <cellStyle name="Normal 6 3 3 2 2 4 2 2 2" xfId="57969" xr:uid="{00000000-0005-0000-0000-0000A5CD0000}"/>
    <cellStyle name="Normal 6 3 3 2 2 4 2 3" xfId="44407" xr:uid="{00000000-0005-0000-0000-0000A6CD0000}"/>
    <cellStyle name="Normal 6 3 3 2 2 4 3" xfId="24055" xr:uid="{00000000-0005-0000-0000-0000A7CD0000}"/>
    <cellStyle name="Normal 6 3 3 2 2 4 3 2" xfId="51188" xr:uid="{00000000-0005-0000-0000-0000A8CD0000}"/>
    <cellStyle name="Normal 6 3 3 2 2 4 4" xfId="37626" xr:uid="{00000000-0005-0000-0000-0000A9CD0000}"/>
    <cellStyle name="Normal 6 3 3 2 2 5" xfId="13879" xr:uid="{00000000-0005-0000-0000-0000AACD0000}"/>
    <cellStyle name="Normal 6 3 3 2 2 5 2" xfId="27447" xr:uid="{00000000-0005-0000-0000-0000ABCD0000}"/>
    <cellStyle name="Normal 6 3 3 2 2 5 2 2" xfId="54580" xr:uid="{00000000-0005-0000-0000-0000ACCD0000}"/>
    <cellStyle name="Normal 6 3 3 2 2 5 3" xfId="41018" xr:uid="{00000000-0005-0000-0000-0000ADCD0000}"/>
    <cellStyle name="Normal 6 3 3 2 2 6" xfId="20666" xr:uid="{00000000-0005-0000-0000-0000AECD0000}"/>
    <cellStyle name="Normal 6 3 3 2 2 6 2" xfId="47799" xr:uid="{00000000-0005-0000-0000-0000AFCD0000}"/>
    <cellStyle name="Normal 6 3 3 2 2 7" xfId="34237" xr:uid="{00000000-0005-0000-0000-0000B0CD0000}"/>
    <cellStyle name="Normal 6 3 3 2 3" xfId="6952" xr:uid="{00000000-0005-0000-0000-0000B1CD0000}"/>
    <cellStyle name="Normal 6 3 3 2 3 2" xfId="6953" xr:uid="{00000000-0005-0000-0000-0000B2CD0000}"/>
    <cellStyle name="Normal 6 3 3 2 3 2 2" xfId="10483" xr:uid="{00000000-0005-0000-0000-0000B3CD0000}"/>
    <cellStyle name="Normal 6 3 3 2 3 2 2 2" xfId="17272" xr:uid="{00000000-0005-0000-0000-0000B4CD0000}"/>
    <cellStyle name="Normal 6 3 3 2 3 2 2 2 2" xfId="30840" xr:uid="{00000000-0005-0000-0000-0000B5CD0000}"/>
    <cellStyle name="Normal 6 3 3 2 3 2 2 2 2 2" xfId="57973" xr:uid="{00000000-0005-0000-0000-0000B6CD0000}"/>
    <cellStyle name="Normal 6 3 3 2 3 2 2 2 3" xfId="44411" xr:uid="{00000000-0005-0000-0000-0000B7CD0000}"/>
    <cellStyle name="Normal 6 3 3 2 3 2 2 3" xfId="24059" xr:uid="{00000000-0005-0000-0000-0000B8CD0000}"/>
    <cellStyle name="Normal 6 3 3 2 3 2 2 3 2" xfId="51192" xr:uid="{00000000-0005-0000-0000-0000B9CD0000}"/>
    <cellStyle name="Normal 6 3 3 2 3 2 2 4" xfId="37630" xr:uid="{00000000-0005-0000-0000-0000BACD0000}"/>
    <cellStyle name="Normal 6 3 3 2 3 2 3" xfId="13883" xr:uid="{00000000-0005-0000-0000-0000BBCD0000}"/>
    <cellStyle name="Normal 6 3 3 2 3 2 3 2" xfId="27451" xr:uid="{00000000-0005-0000-0000-0000BCCD0000}"/>
    <cellStyle name="Normal 6 3 3 2 3 2 3 2 2" xfId="54584" xr:uid="{00000000-0005-0000-0000-0000BDCD0000}"/>
    <cellStyle name="Normal 6 3 3 2 3 2 3 3" xfId="41022" xr:uid="{00000000-0005-0000-0000-0000BECD0000}"/>
    <cellStyle name="Normal 6 3 3 2 3 2 4" xfId="20670" xr:uid="{00000000-0005-0000-0000-0000BFCD0000}"/>
    <cellStyle name="Normal 6 3 3 2 3 2 4 2" xfId="47803" xr:uid="{00000000-0005-0000-0000-0000C0CD0000}"/>
    <cellStyle name="Normal 6 3 3 2 3 2 5" xfId="34241" xr:uid="{00000000-0005-0000-0000-0000C1CD0000}"/>
    <cellStyle name="Normal 6 3 3 2 3 3" xfId="10482" xr:uid="{00000000-0005-0000-0000-0000C2CD0000}"/>
    <cellStyle name="Normal 6 3 3 2 3 3 2" xfId="17271" xr:uid="{00000000-0005-0000-0000-0000C3CD0000}"/>
    <cellStyle name="Normal 6 3 3 2 3 3 2 2" xfId="30839" xr:uid="{00000000-0005-0000-0000-0000C4CD0000}"/>
    <cellStyle name="Normal 6 3 3 2 3 3 2 2 2" xfId="57972" xr:uid="{00000000-0005-0000-0000-0000C5CD0000}"/>
    <cellStyle name="Normal 6 3 3 2 3 3 2 3" xfId="44410" xr:uid="{00000000-0005-0000-0000-0000C6CD0000}"/>
    <cellStyle name="Normal 6 3 3 2 3 3 3" xfId="24058" xr:uid="{00000000-0005-0000-0000-0000C7CD0000}"/>
    <cellStyle name="Normal 6 3 3 2 3 3 3 2" xfId="51191" xr:uid="{00000000-0005-0000-0000-0000C8CD0000}"/>
    <cellStyle name="Normal 6 3 3 2 3 3 4" xfId="37629" xr:uid="{00000000-0005-0000-0000-0000C9CD0000}"/>
    <cellStyle name="Normal 6 3 3 2 3 4" xfId="13882" xr:uid="{00000000-0005-0000-0000-0000CACD0000}"/>
    <cellStyle name="Normal 6 3 3 2 3 4 2" xfId="27450" xr:uid="{00000000-0005-0000-0000-0000CBCD0000}"/>
    <cellStyle name="Normal 6 3 3 2 3 4 2 2" xfId="54583" xr:uid="{00000000-0005-0000-0000-0000CCCD0000}"/>
    <cellStyle name="Normal 6 3 3 2 3 4 3" xfId="41021" xr:uid="{00000000-0005-0000-0000-0000CDCD0000}"/>
    <cellStyle name="Normal 6 3 3 2 3 5" xfId="20669" xr:uid="{00000000-0005-0000-0000-0000CECD0000}"/>
    <cellStyle name="Normal 6 3 3 2 3 5 2" xfId="47802" xr:uid="{00000000-0005-0000-0000-0000CFCD0000}"/>
    <cellStyle name="Normal 6 3 3 2 3 6" xfId="34240" xr:uid="{00000000-0005-0000-0000-0000D0CD0000}"/>
    <cellStyle name="Normal 6 3 3 2 4" xfId="6954" xr:uid="{00000000-0005-0000-0000-0000D1CD0000}"/>
    <cellStyle name="Normal 6 3 3 2 4 2" xfId="10484" xr:uid="{00000000-0005-0000-0000-0000D2CD0000}"/>
    <cellStyle name="Normal 6 3 3 2 4 2 2" xfId="17273" xr:uid="{00000000-0005-0000-0000-0000D3CD0000}"/>
    <cellStyle name="Normal 6 3 3 2 4 2 2 2" xfId="30841" xr:uid="{00000000-0005-0000-0000-0000D4CD0000}"/>
    <cellStyle name="Normal 6 3 3 2 4 2 2 2 2" xfId="57974" xr:uid="{00000000-0005-0000-0000-0000D5CD0000}"/>
    <cellStyle name="Normal 6 3 3 2 4 2 2 3" xfId="44412" xr:uid="{00000000-0005-0000-0000-0000D6CD0000}"/>
    <cellStyle name="Normal 6 3 3 2 4 2 3" xfId="24060" xr:uid="{00000000-0005-0000-0000-0000D7CD0000}"/>
    <cellStyle name="Normal 6 3 3 2 4 2 3 2" xfId="51193" xr:uid="{00000000-0005-0000-0000-0000D8CD0000}"/>
    <cellStyle name="Normal 6 3 3 2 4 2 4" xfId="37631" xr:uid="{00000000-0005-0000-0000-0000D9CD0000}"/>
    <cellStyle name="Normal 6 3 3 2 4 3" xfId="13884" xr:uid="{00000000-0005-0000-0000-0000DACD0000}"/>
    <cellStyle name="Normal 6 3 3 2 4 3 2" xfId="27452" xr:uid="{00000000-0005-0000-0000-0000DBCD0000}"/>
    <cellStyle name="Normal 6 3 3 2 4 3 2 2" xfId="54585" xr:uid="{00000000-0005-0000-0000-0000DCCD0000}"/>
    <cellStyle name="Normal 6 3 3 2 4 3 3" xfId="41023" xr:uid="{00000000-0005-0000-0000-0000DDCD0000}"/>
    <cellStyle name="Normal 6 3 3 2 4 4" xfId="20671" xr:uid="{00000000-0005-0000-0000-0000DECD0000}"/>
    <cellStyle name="Normal 6 3 3 2 4 4 2" xfId="47804" xr:uid="{00000000-0005-0000-0000-0000DFCD0000}"/>
    <cellStyle name="Normal 6 3 3 2 4 5" xfId="34242" xr:uid="{00000000-0005-0000-0000-0000E0CD0000}"/>
    <cellStyle name="Normal 6 3 3 2 5" xfId="6955" xr:uid="{00000000-0005-0000-0000-0000E1CD0000}"/>
    <cellStyle name="Normal 6 3 3 2 5 2" xfId="10485" xr:uid="{00000000-0005-0000-0000-0000E2CD0000}"/>
    <cellStyle name="Normal 6 3 3 2 5 2 2" xfId="17274" xr:uid="{00000000-0005-0000-0000-0000E3CD0000}"/>
    <cellStyle name="Normal 6 3 3 2 5 2 2 2" xfId="30842" xr:uid="{00000000-0005-0000-0000-0000E4CD0000}"/>
    <cellStyle name="Normal 6 3 3 2 5 2 2 2 2" xfId="57975" xr:uid="{00000000-0005-0000-0000-0000E5CD0000}"/>
    <cellStyle name="Normal 6 3 3 2 5 2 2 3" xfId="44413" xr:uid="{00000000-0005-0000-0000-0000E6CD0000}"/>
    <cellStyle name="Normal 6 3 3 2 5 2 3" xfId="24061" xr:uid="{00000000-0005-0000-0000-0000E7CD0000}"/>
    <cellStyle name="Normal 6 3 3 2 5 2 3 2" xfId="51194" xr:uid="{00000000-0005-0000-0000-0000E8CD0000}"/>
    <cellStyle name="Normal 6 3 3 2 5 2 4" xfId="37632" xr:uid="{00000000-0005-0000-0000-0000E9CD0000}"/>
    <cellStyle name="Normal 6 3 3 2 5 3" xfId="13885" xr:uid="{00000000-0005-0000-0000-0000EACD0000}"/>
    <cellStyle name="Normal 6 3 3 2 5 3 2" xfId="27453" xr:uid="{00000000-0005-0000-0000-0000EBCD0000}"/>
    <cellStyle name="Normal 6 3 3 2 5 3 2 2" xfId="54586" xr:uid="{00000000-0005-0000-0000-0000ECCD0000}"/>
    <cellStyle name="Normal 6 3 3 2 5 3 3" xfId="41024" xr:uid="{00000000-0005-0000-0000-0000EDCD0000}"/>
    <cellStyle name="Normal 6 3 3 2 5 4" xfId="20672" xr:uid="{00000000-0005-0000-0000-0000EECD0000}"/>
    <cellStyle name="Normal 6 3 3 2 5 4 2" xfId="47805" xr:uid="{00000000-0005-0000-0000-0000EFCD0000}"/>
    <cellStyle name="Normal 6 3 3 2 5 5" xfId="34243" xr:uid="{00000000-0005-0000-0000-0000F0CD0000}"/>
    <cellStyle name="Normal 6 3 3 2 6" xfId="10478" xr:uid="{00000000-0005-0000-0000-0000F1CD0000}"/>
    <cellStyle name="Normal 6 3 3 2 6 2" xfId="17267" xr:uid="{00000000-0005-0000-0000-0000F2CD0000}"/>
    <cellStyle name="Normal 6 3 3 2 6 2 2" xfId="30835" xr:uid="{00000000-0005-0000-0000-0000F3CD0000}"/>
    <cellStyle name="Normal 6 3 3 2 6 2 2 2" xfId="57968" xr:uid="{00000000-0005-0000-0000-0000F4CD0000}"/>
    <cellStyle name="Normal 6 3 3 2 6 2 3" xfId="44406" xr:uid="{00000000-0005-0000-0000-0000F5CD0000}"/>
    <cellStyle name="Normal 6 3 3 2 6 3" xfId="24054" xr:uid="{00000000-0005-0000-0000-0000F6CD0000}"/>
    <cellStyle name="Normal 6 3 3 2 6 3 2" xfId="51187" xr:uid="{00000000-0005-0000-0000-0000F7CD0000}"/>
    <cellStyle name="Normal 6 3 3 2 6 4" xfId="37625" xr:uid="{00000000-0005-0000-0000-0000F8CD0000}"/>
    <cellStyle name="Normal 6 3 3 2 7" xfId="13878" xr:uid="{00000000-0005-0000-0000-0000F9CD0000}"/>
    <cellStyle name="Normal 6 3 3 2 7 2" xfId="27446" xr:uid="{00000000-0005-0000-0000-0000FACD0000}"/>
    <cellStyle name="Normal 6 3 3 2 7 2 2" xfId="54579" xr:uid="{00000000-0005-0000-0000-0000FBCD0000}"/>
    <cellStyle name="Normal 6 3 3 2 7 3" xfId="41017" xr:uid="{00000000-0005-0000-0000-0000FCCD0000}"/>
    <cellStyle name="Normal 6 3 3 2 8" xfId="20665" xr:uid="{00000000-0005-0000-0000-0000FDCD0000}"/>
    <cellStyle name="Normal 6 3 3 2 8 2" xfId="47798" xr:uid="{00000000-0005-0000-0000-0000FECD0000}"/>
    <cellStyle name="Normal 6 3 3 2 9" xfId="34236" xr:uid="{00000000-0005-0000-0000-0000FFCD0000}"/>
    <cellStyle name="Normal 6 3 3 3" xfId="6956" xr:uid="{00000000-0005-0000-0000-000000CE0000}"/>
    <cellStyle name="Normal 6 3 3 3 2" xfId="6957" xr:uid="{00000000-0005-0000-0000-000001CE0000}"/>
    <cellStyle name="Normal 6 3 3 3 2 2" xfId="10487" xr:uid="{00000000-0005-0000-0000-000002CE0000}"/>
    <cellStyle name="Normal 6 3 3 3 2 2 2" xfId="17276" xr:uid="{00000000-0005-0000-0000-000003CE0000}"/>
    <cellStyle name="Normal 6 3 3 3 2 2 2 2" xfId="30844" xr:uid="{00000000-0005-0000-0000-000004CE0000}"/>
    <cellStyle name="Normal 6 3 3 3 2 2 2 2 2" xfId="57977" xr:uid="{00000000-0005-0000-0000-000005CE0000}"/>
    <cellStyle name="Normal 6 3 3 3 2 2 2 3" xfId="44415" xr:uid="{00000000-0005-0000-0000-000006CE0000}"/>
    <cellStyle name="Normal 6 3 3 3 2 2 3" xfId="24063" xr:uid="{00000000-0005-0000-0000-000007CE0000}"/>
    <cellStyle name="Normal 6 3 3 3 2 2 3 2" xfId="51196" xr:uid="{00000000-0005-0000-0000-000008CE0000}"/>
    <cellStyle name="Normal 6 3 3 3 2 2 4" xfId="37634" xr:uid="{00000000-0005-0000-0000-000009CE0000}"/>
    <cellStyle name="Normal 6 3 3 3 2 3" xfId="13887" xr:uid="{00000000-0005-0000-0000-00000ACE0000}"/>
    <cellStyle name="Normal 6 3 3 3 2 3 2" xfId="27455" xr:uid="{00000000-0005-0000-0000-00000BCE0000}"/>
    <cellStyle name="Normal 6 3 3 3 2 3 2 2" xfId="54588" xr:uid="{00000000-0005-0000-0000-00000CCE0000}"/>
    <cellStyle name="Normal 6 3 3 3 2 3 3" xfId="41026" xr:uid="{00000000-0005-0000-0000-00000DCE0000}"/>
    <cellStyle name="Normal 6 3 3 3 2 4" xfId="20674" xr:uid="{00000000-0005-0000-0000-00000ECE0000}"/>
    <cellStyle name="Normal 6 3 3 3 2 4 2" xfId="47807" xr:uid="{00000000-0005-0000-0000-00000FCE0000}"/>
    <cellStyle name="Normal 6 3 3 3 2 5" xfId="34245" xr:uid="{00000000-0005-0000-0000-000010CE0000}"/>
    <cellStyle name="Normal 6 3 3 3 3" xfId="6958" xr:uid="{00000000-0005-0000-0000-000011CE0000}"/>
    <cellStyle name="Normal 6 3 3 3 3 2" xfId="10488" xr:uid="{00000000-0005-0000-0000-000012CE0000}"/>
    <cellStyle name="Normal 6 3 3 3 3 2 2" xfId="17277" xr:uid="{00000000-0005-0000-0000-000013CE0000}"/>
    <cellStyle name="Normal 6 3 3 3 3 2 2 2" xfId="30845" xr:uid="{00000000-0005-0000-0000-000014CE0000}"/>
    <cellStyle name="Normal 6 3 3 3 3 2 2 2 2" xfId="57978" xr:uid="{00000000-0005-0000-0000-000015CE0000}"/>
    <cellStyle name="Normal 6 3 3 3 3 2 2 3" xfId="44416" xr:uid="{00000000-0005-0000-0000-000016CE0000}"/>
    <cellStyle name="Normal 6 3 3 3 3 2 3" xfId="24064" xr:uid="{00000000-0005-0000-0000-000017CE0000}"/>
    <cellStyle name="Normal 6 3 3 3 3 2 3 2" xfId="51197" xr:uid="{00000000-0005-0000-0000-000018CE0000}"/>
    <cellStyle name="Normal 6 3 3 3 3 2 4" xfId="37635" xr:uid="{00000000-0005-0000-0000-000019CE0000}"/>
    <cellStyle name="Normal 6 3 3 3 3 3" xfId="13888" xr:uid="{00000000-0005-0000-0000-00001ACE0000}"/>
    <cellStyle name="Normal 6 3 3 3 3 3 2" xfId="27456" xr:uid="{00000000-0005-0000-0000-00001BCE0000}"/>
    <cellStyle name="Normal 6 3 3 3 3 3 2 2" xfId="54589" xr:uid="{00000000-0005-0000-0000-00001CCE0000}"/>
    <cellStyle name="Normal 6 3 3 3 3 3 3" xfId="41027" xr:uid="{00000000-0005-0000-0000-00001DCE0000}"/>
    <cellStyle name="Normal 6 3 3 3 3 4" xfId="20675" xr:uid="{00000000-0005-0000-0000-00001ECE0000}"/>
    <cellStyle name="Normal 6 3 3 3 3 4 2" xfId="47808" xr:uid="{00000000-0005-0000-0000-00001FCE0000}"/>
    <cellStyle name="Normal 6 3 3 3 3 5" xfId="34246" xr:uid="{00000000-0005-0000-0000-000020CE0000}"/>
    <cellStyle name="Normal 6 3 3 3 4" xfId="10486" xr:uid="{00000000-0005-0000-0000-000021CE0000}"/>
    <cellStyle name="Normal 6 3 3 3 4 2" xfId="17275" xr:uid="{00000000-0005-0000-0000-000022CE0000}"/>
    <cellStyle name="Normal 6 3 3 3 4 2 2" xfId="30843" xr:uid="{00000000-0005-0000-0000-000023CE0000}"/>
    <cellStyle name="Normal 6 3 3 3 4 2 2 2" xfId="57976" xr:uid="{00000000-0005-0000-0000-000024CE0000}"/>
    <cellStyle name="Normal 6 3 3 3 4 2 3" xfId="44414" xr:uid="{00000000-0005-0000-0000-000025CE0000}"/>
    <cellStyle name="Normal 6 3 3 3 4 3" xfId="24062" xr:uid="{00000000-0005-0000-0000-000026CE0000}"/>
    <cellStyle name="Normal 6 3 3 3 4 3 2" xfId="51195" xr:uid="{00000000-0005-0000-0000-000027CE0000}"/>
    <cellStyle name="Normal 6 3 3 3 4 4" xfId="37633" xr:uid="{00000000-0005-0000-0000-000028CE0000}"/>
    <cellStyle name="Normal 6 3 3 3 5" xfId="13886" xr:uid="{00000000-0005-0000-0000-000029CE0000}"/>
    <cellStyle name="Normal 6 3 3 3 5 2" xfId="27454" xr:uid="{00000000-0005-0000-0000-00002ACE0000}"/>
    <cellStyle name="Normal 6 3 3 3 5 2 2" xfId="54587" xr:uid="{00000000-0005-0000-0000-00002BCE0000}"/>
    <cellStyle name="Normal 6 3 3 3 5 3" xfId="41025" xr:uid="{00000000-0005-0000-0000-00002CCE0000}"/>
    <cellStyle name="Normal 6 3 3 3 6" xfId="20673" xr:uid="{00000000-0005-0000-0000-00002DCE0000}"/>
    <cellStyle name="Normal 6 3 3 3 6 2" xfId="47806" xr:uid="{00000000-0005-0000-0000-00002ECE0000}"/>
    <cellStyle name="Normal 6 3 3 3 7" xfId="34244" xr:uid="{00000000-0005-0000-0000-00002FCE0000}"/>
    <cellStyle name="Normal 6 3 3 4" xfId="6959" xr:uid="{00000000-0005-0000-0000-000030CE0000}"/>
    <cellStyle name="Normal 6 3 3 4 2" xfId="6960" xr:uid="{00000000-0005-0000-0000-000031CE0000}"/>
    <cellStyle name="Normal 6 3 3 4 2 2" xfId="10490" xr:uid="{00000000-0005-0000-0000-000032CE0000}"/>
    <cellStyle name="Normal 6 3 3 4 2 2 2" xfId="17279" xr:uid="{00000000-0005-0000-0000-000033CE0000}"/>
    <cellStyle name="Normal 6 3 3 4 2 2 2 2" xfId="30847" xr:uid="{00000000-0005-0000-0000-000034CE0000}"/>
    <cellStyle name="Normal 6 3 3 4 2 2 2 2 2" xfId="57980" xr:uid="{00000000-0005-0000-0000-000035CE0000}"/>
    <cellStyle name="Normal 6 3 3 4 2 2 2 3" xfId="44418" xr:uid="{00000000-0005-0000-0000-000036CE0000}"/>
    <cellStyle name="Normal 6 3 3 4 2 2 3" xfId="24066" xr:uid="{00000000-0005-0000-0000-000037CE0000}"/>
    <cellStyle name="Normal 6 3 3 4 2 2 3 2" xfId="51199" xr:uid="{00000000-0005-0000-0000-000038CE0000}"/>
    <cellStyle name="Normal 6 3 3 4 2 2 4" xfId="37637" xr:uid="{00000000-0005-0000-0000-000039CE0000}"/>
    <cellStyle name="Normal 6 3 3 4 2 3" xfId="13890" xr:uid="{00000000-0005-0000-0000-00003ACE0000}"/>
    <cellStyle name="Normal 6 3 3 4 2 3 2" xfId="27458" xr:uid="{00000000-0005-0000-0000-00003BCE0000}"/>
    <cellStyle name="Normal 6 3 3 4 2 3 2 2" xfId="54591" xr:uid="{00000000-0005-0000-0000-00003CCE0000}"/>
    <cellStyle name="Normal 6 3 3 4 2 3 3" xfId="41029" xr:uid="{00000000-0005-0000-0000-00003DCE0000}"/>
    <cellStyle name="Normal 6 3 3 4 2 4" xfId="20677" xr:uid="{00000000-0005-0000-0000-00003ECE0000}"/>
    <cellStyle name="Normal 6 3 3 4 2 4 2" xfId="47810" xr:uid="{00000000-0005-0000-0000-00003FCE0000}"/>
    <cellStyle name="Normal 6 3 3 4 2 5" xfId="34248" xr:uid="{00000000-0005-0000-0000-000040CE0000}"/>
    <cellStyle name="Normal 6 3 3 4 3" xfId="10489" xr:uid="{00000000-0005-0000-0000-000041CE0000}"/>
    <cellStyle name="Normal 6 3 3 4 3 2" xfId="17278" xr:uid="{00000000-0005-0000-0000-000042CE0000}"/>
    <cellStyle name="Normal 6 3 3 4 3 2 2" xfId="30846" xr:uid="{00000000-0005-0000-0000-000043CE0000}"/>
    <cellStyle name="Normal 6 3 3 4 3 2 2 2" xfId="57979" xr:uid="{00000000-0005-0000-0000-000044CE0000}"/>
    <cellStyle name="Normal 6 3 3 4 3 2 3" xfId="44417" xr:uid="{00000000-0005-0000-0000-000045CE0000}"/>
    <cellStyle name="Normal 6 3 3 4 3 3" xfId="24065" xr:uid="{00000000-0005-0000-0000-000046CE0000}"/>
    <cellStyle name="Normal 6 3 3 4 3 3 2" xfId="51198" xr:uid="{00000000-0005-0000-0000-000047CE0000}"/>
    <cellStyle name="Normal 6 3 3 4 3 4" xfId="37636" xr:uid="{00000000-0005-0000-0000-000048CE0000}"/>
    <cellStyle name="Normal 6 3 3 4 4" xfId="13889" xr:uid="{00000000-0005-0000-0000-000049CE0000}"/>
    <cellStyle name="Normal 6 3 3 4 4 2" xfId="27457" xr:uid="{00000000-0005-0000-0000-00004ACE0000}"/>
    <cellStyle name="Normal 6 3 3 4 4 2 2" xfId="54590" xr:uid="{00000000-0005-0000-0000-00004BCE0000}"/>
    <cellStyle name="Normal 6 3 3 4 4 3" xfId="41028" xr:uid="{00000000-0005-0000-0000-00004CCE0000}"/>
    <cellStyle name="Normal 6 3 3 4 5" xfId="20676" xr:uid="{00000000-0005-0000-0000-00004DCE0000}"/>
    <cellStyle name="Normal 6 3 3 4 5 2" xfId="47809" xr:uid="{00000000-0005-0000-0000-00004ECE0000}"/>
    <cellStyle name="Normal 6 3 3 4 6" xfId="34247" xr:uid="{00000000-0005-0000-0000-00004FCE0000}"/>
    <cellStyle name="Normal 6 3 3 5" xfId="6961" xr:uid="{00000000-0005-0000-0000-000050CE0000}"/>
    <cellStyle name="Normal 6 3 3 5 2" xfId="10491" xr:uid="{00000000-0005-0000-0000-000051CE0000}"/>
    <cellStyle name="Normal 6 3 3 5 2 2" xfId="17280" xr:uid="{00000000-0005-0000-0000-000052CE0000}"/>
    <cellStyle name="Normal 6 3 3 5 2 2 2" xfId="30848" xr:uid="{00000000-0005-0000-0000-000053CE0000}"/>
    <cellStyle name="Normal 6 3 3 5 2 2 2 2" xfId="57981" xr:uid="{00000000-0005-0000-0000-000054CE0000}"/>
    <cellStyle name="Normal 6 3 3 5 2 2 3" xfId="44419" xr:uid="{00000000-0005-0000-0000-000055CE0000}"/>
    <cellStyle name="Normal 6 3 3 5 2 3" xfId="24067" xr:uid="{00000000-0005-0000-0000-000056CE0000}"/>
    <cellStyle name="Normal 6 3 3 5 2 3 2" xfId="51200" xr:uid="{00000000-0005-0000-0000-000057CE0000}"/>
    <cellStyle name="Normal 6 3 3 5 2 4" xfId="37638" xr:uid="{00000000-0005-0000-0000-000058CE0000}"/>
    <cellStyle name="Normal 6 3 3 5 3" xfId="13891" xr:uid="{00000000-0005-0000-0000-000059CE0000}"/>
    <cellStyle name="Normal 6 3 3 5 3 2" xfId="27459" xr:uid="{00000000-0005-0000-0000-00005ACE0000}"/>
    <cellStyle name="Normal 6 3 3 5 3 2 2" xfId="54592" xr:uid="{00000000-0005-0000-0000-00005BCE0000}"/>
    <cellStyle name="Normal 6 3 3 5 3 3" xfId="41030" xr:uid="{00000000-0005-0000-0000-00005CCE0000}"/>
    <cellStyle name="Normal 6 3 3 5 4" xfId="20678" xr:uid="{00000000-0005-0000-0000-00005DCE0000}"/>
    <cellStyle name="Normal 6 3 3 5 4 2" xfId="47811" xr:uid="{00000000-0005-0000-0000-00005ECE0000}"/>
    <cellStyle name="Normal 6 3 3 5 5" xfId="34249" xr:uid="{00000000-0005-0000-0000-00005FCE0000}"/>
    <cellStyle name="Normal 6 3 3 6" xfId="6962" xr:uid="{00000000-0005-0000-0000-000060CE0000}"/>
    <cellStyle name="Normal 6 3 3 6 2" xfId="10492" xr:uid="{00000000-0005-0000-0000-000061CE0000}"/>
    <cellStyle name="Normal 6 3 3 6 2 2" xfId="17281" xr:uid="{00000000-0005-0000-0000-000062CE0000}"/>
    <cellStyle name="Normal 6 3 3 6 2 2 2" xfId="30849" xr:uid="{00000000-0005-0000-0000-000063CE0000}"/>
    <cellStyle name="Normal 6 3 3 6 2 2 2 2" xfId="57982" xr:uid="{00000000-0005-0000-0000-000064CE0000}"/>
    <cellStyle name="Normal 6 3 3 6 2 2 3" xfId="44420" xr:uid="{00000000-0005-0000-0000-000065CE0000}"/>
    <cellStyle name="Normal 6 3 3 6 2 3" xfId="24068" xr:uid="{00000000-0005-0000-0000-000066CE0000}"/>
    <cellStyle name="Normal 6 3 3 6 2 3 2" xfId="51201" xr:uid="{00000000-0005-0000-0000-000067CE0000}"/>
    <cellStyle name="Normal 6 3 3 6 2 4" xfId="37639" xr:uid="{00000000-0005-0000-0000-000068CE0000}"/>
    <cellStyle name="Normal 6 3 3 6 3" xfId="13892" xr:uid="{00000000-0005-0000-0000-000069CE0000}"/>
    <cellStyle name="Normal 6 3 3 6 3 2" xfId="27460" xr:uid="{00000000-0005-0000-0000-00006ACE0000}"/>
    <cellStyle name="Normal 6 3 3 6 3 2 2" xfId="54593" xr:uid="{00000000-0005-0000-0000-00006BCE0000}"/>
    <cellStyle name="Normal 6 3 3 6 3 3" xfId="41031" xr:uid="{00000000-0005-0000-0000-00006CCE0000}"/>
    <cellStyle name="Normal 6 3 3 6 4" xfId="20679" xr:uid="{00000000-0005-0000-0000-00006DCE0000}"/>
    <cellStyle name="Normal 6 3 3 6 4 2" xfId="47812" xr:uid="{00000000-0005-0000-0000-00006ECE0000}"/>
    <cellStyle name="Normal 6 3 3 6 5" xfId="34250" xr:uid="{00000000-0005-0000-0000-00006FCE0000}"/>
    <cellStyle name="Normal 6 3 3 7" xfId="10477" xr:uid="{00000000-0005-0000-0000-000070CE0000}"/>
    <cellStyle name="Normal 6 3 3 7 2" xfId="17266" xr:uid="{00000000-0005-0000-0000-000071CE0000}"/>
    <cellStyle name="Normal 6 3 3 7 2 2" xfId="30834" xr:uid="{00000000-0005-0000-0000-000072CE0000}"/>
    <cellStyle name="Normal 6 3 3 7 2 2 2" xfId="57967" xr:uid="{00000000-0005-0000-0000-000073CE0000}"/>
    <cellStyle name="Normal 6 3 3 7 2 3" xfId="44405" xr:uid="{00000000-0005-0000-0000-000074CE0000}"/>
    <cellStyle name="Normal 6 3 3 7 3" xfId="24053" xr:uid="{00000000-0005-0000-0000-000075CE0000}"/>
    <cellStyle name="Normal 6 3 3 7 3 2" xfId="51186" xr:uid="{00000000-0005-0000-0000-000076CE0000}"/>
    <cellStyle name="Normal 6 3 3 7 4" xfId="37624" xr:uid="{00000000-0005-0000-0000-000077CE0000}"/>
    <cellStyle name="Normal 6 3 3 8" xfId="13877" xr:uid="{00000000-0005-0000-0000-000078CE0000}"/>
    <cellStyle name="Normal 6 3 3 8 2" xfId="27445" xr:uid="{00000000-0005-0000-0000-000079CE0000}"/>
    <cellStyle name="Normal 6 3 3 8 2 2" xfId="54578" xr:uid="{00000000-0005-0000-0000-00007ACE0000}"/>
    <cellStyle name="Normal 6 3 3 8 3" xfId="41016" xr:uid="{00000000-0005-0000-0000-00007BCE0000}"/>
    <cellStyle name="Normal 6 3 3 9" xfId="20664" xr:uid="{00000000-0005-0000-0000-00007CCE0000}"/>
    <cellStyle name="Normal 6 3 3 9 2" xfId="47797" xr:uid="{00000000-0005-0000-0000-00007DCE0000}"/>
    <cellStyle name="Normal 6 3 4" xfId="6963" xr:uid="{00000000-0005-0000-0000-00007ECE0000}"/>
    <cellStyle name="Normal 6 3 4 2" xfId="6964" xr:uid="{00000000-0005-0000-0000-00007FCE0000}"/>
    <cellStyle name="Normal 6 3 4 2 2" xfId="6965" xr:uid="{00000000-0005-0000-0000-000080CE0000}"/>
    <cellStyle name="Normal 6 3 4 2 2 2" xfId="10495" xr:uid="{00000000-0005-0000-0000-000081CE0000}"/>
    <cellStyle name="Normal 6 3 4 2 2 2 2" xfId="17284" xr:uid="{00000000-0005-0000-0000-000082CE0000}"/>
    <cellStyle name="Normal 6 3 4 2 2 2 2 2" xfId="30852" xr:uid="{00000000-0005-0000-0000-000083CE0000}"/>
    <cellStyle name="Normal 6 3 4 2 2 2 2 2 2" xfId="57985" xr:uid="{00000000-0005-0000-0000-000084CE0000}"/>
    <cellStyle name="Normal 6 3 4 2 2 2 2 3" xfId="44423" xr:uid="{00000000-0005-0000-0000-000085CE0000}"/>
    <cellStyle name="Normal 6 3 4 2 2 2 3" xfId="24071" xr:uid="{00000000-0005-0000-0000-000086CE0000}"/>
    <cellStyle name="Normal 6 3 4 2 2 2 3 2" xfId="51204" xr:uid="{00000000-0005-0000-0000-000087CE0000}"/>
    <cellStyle name="Normal 6 3 4 2 2 2 4" xfId="37642" xr:uid="{00000000-0005-0000-0000-000088CE0000}"/>
    <cellStyle name="Normal 6 3 4 2 2 3" xfId="13895" xr:uid="{00000000-0005-0000-0000-000089CE0000}"/>
    <cellStyle name="Normal 6 3 4 2 2 3 2" xfId="27463" xr:uid="{00000000-0005-0000-0000-00008ACE0000}"/>
    <cellStyle name="Normal 6 3 4 2 2 3 2 2" xfId="54596" xr:uid="{00000000-0005-0000-0000-00008BCE0000}"/>
    <cellStyle name="Normal 6 3 4 2 2 3 3" xfId="41034" xr:uid="{00000000-0005-0000-0000-00008CCE0000}"/>
    <cellStyle name="Normal 6 3 4 2 2 4" xfId="20682" xr:uid="{00000000-0005-0000-0000-00008DCE0000}"/>
    <cellStyle name="Normal 6 3 4 2 2 4 2" xfId="47815" xr:uid="{00000000-0005-0000-0000-00008ECE0000}"/>
    <cellStyle name="Normal 6 3 4 2 2 5" xfId="34253" xr:uid="{00000000-0005-0000-0000-00008FCE0000}"/>
    <cellStyle name="Normal 6 3 4 2 3" xfId="6966" xr:uid="{00000000-0005-0000-0000-000090CE0000}"/>
    <cellStyle name="Normal 6 3 4 2 3 2" xfId="10496" xr:uid="{00000000-0005-0000-0000-000091CE0000}"/>
    <cellStyle name="Normal 6 3 4 2 3 2 2" xfId="17285" xr:uid="{00000000-0005-0000-0000-000092CE0000}"/>
    <cellStyle name="Normal 6 3 4 2 3 2 2 2" xfId="30853" xr:uid="{00000000-0005-0000-0000-000093CE0000}"/>
    <cellStyle name="Normal 6 3 4 2 3 2 2 2 2" xfId="57986" xr:uid="{00000000-0005-0000-0000-000094CE0000}"/>
    <cellStyle name="Normal 6 3 4 2 3 2 2 3" xfId="44424" xr:uid="{00000000-0005-0000-0000-000095CE0000}"/>
    <cellStyle name="Normal 6 3 4 2 3 2 3" xfId="24072" xr:uid="{00000000-0005-0000-0000-000096CE0000}"/>
    <cellStyle name="Normal 6 3 4 2 3 2 3 2" xfId="51205" xr:uid="{00000000-0005-0000-0000-000097CE0000}"/>
    <cellStyle name="Normal 6 3 4 2 3 2 4" xfId="37643" xr:uid="{00000000-0005-0000-0000-000098CE0000}"/>
    <cellStyle name="Normal 6 3 4 2 3 3" xfId="13896" xr:uid="{00000000-0005-0000-0000-000099CE0000}"/>
    <cellStyle name="Normal 6 3 4 2 3 3 2" xfId="27464" xr:uid="{00000000-0005-0000-0000-00009ACE0000}"/>
    <cellStyle name="Normal 6 3 4 2 3 3 2 2" xfId="54597" xr:uid="{00000000-0005-0000-0000-00009BCE0000}"/>
    <cellStyle name="Normal 6 3 4 2 3 3 3" xfId="41035" xr:uid="{00000000-0005-0000-0000-00009CCE0000}"/>
    <cellStyle name="Normal 6 3 4 2 3 4" xfId="20683" xr:uid="{00000000-0005-0000-0000-00009DCE0000}"/>
    <cellStyle name="Normal 6 3 4 2 3 4 2" xfId="47816" xr:uid="{00000000-0005-0000-0000-00009ECE0000}"/>
    <cellStyle name="Normal 6 3 4 2 3 5" xfId="34254" xr:uid="{00000000-0005-0000-0000-00009FCE0000}"/>
    <cellStyle name="Normal 6 3 4 2 4" xfId="10494" xr:uid="{00000000-0005-0000-0000-0000A0CE0000}"/>
    <cellStyle name="Normal 6 3 4 2 4 2" xfId="17283" xr:uid="{00000000-0005-0000-0000-0000A1CE0000}"/>
    <cellStyle name="Normal 6 3 4 2 4 2 2" xfId="30851" xr:uid="{00000000-0005-0000-0000-0000A2CE0000}"/>
    <cellStyle name="Normal 6 3 4 2 4 2 2 2" xfId="57984" xr:uid="{00000000-0005-0000-0000-0000A3CE0000}"/>
    <cellStyle name="Normal 6 3 4 2 4 2 3" xfId="44422" xr:uid="{00000000-0005-0000-0000-0000A4CE0000}"/>
    <cellStyle name="Normal 6 3 4 2 4 3" xfId="24070" xr:uid="{00000000-0005-0000-0000-0000A5CE0000}"/>
    <cellStyle name="Normal 6 3 4 2 4 3 2" xfId="51203" xr:uid="{00000000-0005-0000-0000-0000A6CE0000}"/>
    <cellStyle name="Normal 6 3 4 2 4 4" xfId="37641" xr:uid="{00000000-0005-0000-0000-0000A7CE0000}"/>
    <cellStyle name="Normal 6 3 4 2 5" xfId="13894" xr:uid="{00000000-0005-0000-0000-0000A8CE0000}"/>
    <cellStyle name="Normal 6 3 4 2 5 2" xfId="27462" xr:uid="{00000000-0005-0000-0000-0000A9CE0000}"/>
    <cellStyle name="Normal 6 3 4 2 5 2 2" xfId="54595" xr:uid="{00000000-0005-0000-0000-0000AACE0000}"/>
    <cellStyle name="Normal 6 3 4 2 5 3" xfId="41033" xr:uid="{00000000-0005-0000-0000-0000ABCE0000}"/>
    <cellStyle name="Normal 6 3 4 2 6" xfId="20681" xr:uid="{00000000-0005-0000-0000-0000ACCE0000}"/>
    <cellStyle name="Normal 6 3 4 2 6 2" xfId="47814" xr:uid="{00000000-0005-0000-0000-0000ADCE0000}"/>
    <cellStyle name="Normal 6 3 4 2 7" xfId="34252" xr:uid="{00000000-0005-0000-0000-0000AECE0000}"/>
    <cellStyle name="Normal 6 3 4 3" xfId="6967" xr:uid="{00000000-0005-0000-0000-0000AFCE0000}"/>
    <cellStyle name="Normal 6 3 4 3 2" xfId="6968" xr:uid="{00000000-0005-0000-0000-0000B0CE0000}"/>
    <cellStyle name="Normal 6 3 4 3 2 2" xfId="10498" xr:uid="{00000000-0005-0000-0000-0000B1CE0000}"/>
    <cellStyle name="Normal 6 3 4 3 2 2 2" xfId="17287" xr:uid="{00000000-0005-0000-0000-0000B2CE0000}"/>
    <cellStyle name="Normal 6 3 4 3 2 2 2 2" xfId="30855" xr:uid="{00000000-0005-0000-0000-0000B3CE0000}"/>
    <cellStyle name="Normal 6 3 4 3 2 2 2 2 2" xfId="57988" xr:uid="{00000000-0005-0000-0000-0000B4CE0000}"/>
    <cellStyle name="Normal 6 3 4 3 2 2 2 3" xfId="44426" xr:uid="{00000000-0005-0000-0000-0000B5CE0000}"/>
    <cellStyle name="Normal 6 3 4 3 2 2 3" xfId="24074" xr:uid="{00000000-0005-0000-0000-0000B6CE0000}"/>
    <cellStyle name="Normal 6 3 4 3 2 2 3 2" xfId="51207" xr:uid="{00000000-0005-0000-0000-0000B7CE0000}"/>
    <cellStyle name="Normal 6 3 4 3 2 2 4" xfId="37645" xr:uid="{00000000-0005-0000-0000-0000B8CE0000}"/>
    <cellStyle name="Normal 6 3 4 3 2 3" xfId="13898" xr:uid="{00000000-0005-0000-0000-0000B9CE0000}"/>
    <cellStyle name="Normal 6 3 4 3 2 3 2" xfId="27466" xr:uid="{00000000-0005-0000-0000-0000BACE0000}"/>
    <cellStyle name="Normal 6 3 4 3 2 3 2 2" xfId="54599" xr:uid="{00000000-0005-0000-0000-0000BBCE0000}"/>
    <cellStyle name="Normal 6 3 4 3 2 3 3" xfId="41037" xr:uid="{00000000-0005-0000-0000-0000BCCE0000}"/>
    <cellStyle name="Normal 6 3 4 3 2 4" xfId="20685" xr:uid="{00000000-0005-0000-0000-0000BDCE0000}"/>
    <cellStyle name="Normal 6 3 4 3 2 4 2" xfId="47818" xr:uid="{00000000-0005-0000-0000-0000BECE0000}"/>
    <cellStyle name="Normal 6 3 4 3 2 5" xfId="34256" xr:uid="{00000000-0005-0000-0000-0000BFCE0000}"/>
    <cellStyle name="Normal 6 3 4 3 3" xfId="10497" xr:uid="{00000000-0005-0000-0000-0000C0CE0000}"/>
    <cellStyle name="Normal 6 3 4 3 3 2" xfId="17286" xr:uid="{00000000-0005-0000-0000-0000C1CE0000}"/>
    <cellStyle name="Normal 6 3 4 3 3 2 2" xfId="30854" xr:uid="{00000000-0005-0000-0000-0000C2CE0000}"/>
    <cellStyle name="Normal 6 3 4 3 3 2 2 2" xfId="57987" xr:uid="{00000000-0005-0000-0000-0000C3CE0000}"/>
    <cellStyle name="Normal 6 3 4 3 3 2 3" xfId="44425" xr:uid="{00000000-0005-0000-0000-0000C4CE0000}"/>
    <cellStyle name="Normal 6 3 4 3 3 3" xfId="24073" xr:uid="{00000000-0005-0000-0000-0000C5CE0000}"/>
    <cellStyle name="Normal 6 3 4 3 3 3 2" xfId="51206" xr:uid="{00000000-0005-0000-0000-0000C6CE0000}"/>
    <cellStyle name="Normal 6 3 4 3 3 4" xfId="37644" xr:uid="{00000000-0005-0000-0000-0000C7CE0000}"/>
    <cellStyle name="Normal 6 3 4 3 4" xfId="13897" xr:uid="{00000000-0005-0000-0000-0000C8CE0000}"/>
    <cellStyle name="Normal 6 3 4 3 4 2" xfId="27465" xr:uid="{00000000-0005-0000-0000-0000C9CE0000}"/>
    <cellStyle name="Normal 6 3 4 3 4 2 2" xfId="54598" xr:uid="{00000000-0005-0000-0000-0000CACE0000}"/>
    <cellStyle name="Normal 6 3 4 3 4 3" xfId="41036" xr:uid="{00000000-0005-0000-0000-0000CBCE0000}"/>
    <cellStyle name="Normal 6 3 4 3 5" xfId="20684" xr:uid="{00000000-0005-0000-0000-0000CCCE0000}"/>
    <cellStyle name="Normal 6 3 4 3 5 2" xfId="47817" xr:uid="{00000000-0005-0000-0000-0000CDCE0000}"/>
    <cellStyle name="Normal 6 3 4 3 6" xfId="34255" xr:uid="{00000000-0005-0000-0000-0000CECE0000}"/>
    <cellStyle name="Normal 6 3 4 4" xfId="6969" xr:uid="{00000000-0005-0000-0000-0000CFCE0000}"/>
    <cellStyle name="Normal 6 3 4 4 2" xfId="10499" xr:uid="{00000000-0005-0000-0000-0000D0CE0000}"/>
    <cellStyle name="Normal 6 3 4 4 2 2" xfId="17288" xr:uid="{00000000-0005-0000-0000-0000D1CE0000}"/>
    <cellStyle name="Normal 6 3 4 4 2 2 2" xfId="30856" xr:uid="{00000000-0005-0000-0000-0000D2CE0000}"/>
    <cellStyle name="Normal 6 3 4 4 2 2 2 2" xfId="57989" xr:uid="{00000000-0005-0000-0000-0000D3CE0000}"/>
    <cellStyle name="Normal 6 3 4 4 2 2 3" xfId="44427" xr:uid="{00000000-0005-0000-0000-0000D4CE0000}"/>
    <cellStyle name="Normal 6 3 4 4 2 3" xfId="24075" xr:uid="{00000000-0005-0000-0000-0000D5CE0000}"/>
    <cellStyle name="Normal 6 3 4 4 2 3 2" xfId="51208" xr:uid="{00000000-0005-0000-0000-0000D6CE0000}"/>
    <cellStyle name="Normal 6 3 4 4 2 4" xfId="37646" xr:uid="{00000000-0005-0000-0000-0000D7CE0000}"/>
    <cellStyle name="Normal 6 3 4 4 3" xfId="13899" xr:uid="{00000000-0005-0000-0000-0000D8CE0000}"/>
    <cellStyle name="Normal 6 3 4 4 3 2" xfId="27467" xr:uid="{00000000-0005-0000-0000-0000D9CE0000}"/>
    <cellStyle name="Normal 6 3 4 4 3 2 2" xfId="54600" xr:uid="{00000000-0005-0000-0000-0000DACE0000}"/>
    <cellStyle name="Normal 6 3 4 4 3 3" xfId="41038" xr:uid="{00000000-0005-0000-0000-0000DBCE0000}"/>
    <cellStyle name="Normal 6 3 4 4 4" xfId="20686" xr:uid="{00000000-0005-0000-0000-0000DCCE0000}"/>
    <cellStyle name="Normal 6 3 4 4 4 2" xfId="47819" xr:uid="{00000000-0005-0000-0000-0000DDCE0000}"/>
    <cellStyle name="Normal 6 3 4 4 5" xfId="34257" xr:uid="{00000000-0005-0000-0000-0000DECE0000}"/>
    <cellStyle name="Normal 6 3 4 5" xfId="6970" xr:uid="{00000000-0005-0000-0000-0000DFCE0000}"/>
    <cellStyle name="Normal 6 3 4 5 2" xfId="10500" xr:uid="{00000000-0005-0000-0000-0000E0CE0000}"/>
    <cellStyle name="Normal 6 3 4 5 2 2" xfId="17289" xr:uid="{00000000-0005-0000-0000-0000E1CE0000}"/>
    <cellStyle name="Normal 6 3 4 5 2 2 2" xfId="30857" xr:uid="{00000000-0005-0000-0000-0000E2CE0000}"/>
    <cellStyle name="Normal 6 3 4 5 2 2 2 2" xfId="57990" xr:uid="{00000000-0005-0000-0000-0000E3CE0000}"/>
    <cellStyle name="Normal 6 3 4 5 2 2 3" xfId="44428" xr:uid="{00000000-0005-0000-0000-0000E4CE0000}"/>
    <cellStyle name="Normal 6 3 4 5 2 3" xfId="24076" xr:uid="{00000000-0005-0000-0000-0000E5CE0000}"/>
    <cellStyle name="Normal 6 3 4 5 2 3 2" xfId="51209" xr:uid="{00000000-0005-0000-0000-0000E6CE0000}"/>
    <cellStyle name="Normal 6 3 4 5 2 4" xfId="37647" xr:uid="{00000000-0005-0000-0000-0000E7CE0000}"/>
    <cellStyle name="Normal 6 3 4 5 3" xfId="13900" xr:uid="{00000000-0005-0000-0000-0000E8CE0000}"/>
    <cellStyle name="Normal 6 3 4 5 3 2" xfId="27468" xr:uid="{00000000-0005-0000-0000-0000E9CE0000}"/>
    <cellStyle name="Normal 6 3 4 5 3 2 2" xfId="54601" xr:uid="{00000000-0005-0000-0000-0000EACE0000}"/>
    <cellStyle name="Normal 6 3 4 5 3 3" xfId="41039" xr:uid="{00000000-0005-0000-0000-0000EBCE0000}"/>
    <cellStyle name="Normal 6 3 4 5 4" xfId="20687" xr:uid="{00000000-0005-0000-0000-0000ECCE0000}"/>
    <cellStyle name="Normal 6 3 4 5 4 2" xfId="47820" xr:uid="{00000000-0005-0000-0000-0000EDCE0000}"/>
    <cellStyle name="Normal 6 3 4 5 5" xfId="34258" xr:uid="{00000000-0005-0000-0000-0000EECE0000}"/>
    <cellStyle name="Normal 6 3 4 6" xfId="10493" xr:uid="{00000000-0005-0000-0000-0000EFCE0000}"/>
    <cellStyle name="Normal 6 3 4 6 2" xfId="17282" xr:uid="{00000000-0005-0000-0000-0000F0CE0000}"/>
    <cellStyle name="Normal 6 3 4 6 2 2" xfId="30850" xr:uid="{00000000-0005-0000-0000-0000F1CE0000}"/>
    <cellStyle name="Normal 6 3 4 6 2 2 2" xfId="57983" xr:uid="{00000000-0005-0000-0000-0000F2CE0000}"/>
    <cellStyle name="Normal 6 3 4 6 2 3" xfId="44421" xr:uid="{00000000-0005-0000-0000-0000F3CE0000}"/>
    <cellStyle name="Normal 6 3 4 6 3" xfId="24069" xr:uid="{00000000-0005-0000-0000-0000F4CE0000}"/>
    <cellStyle name="Normal 6 3 4 6 3 2" xfId="51202" xr:uid="{00000000-0005-0000-0000-0000F5CE0000}"/>
    <cellStyle name="Normal 6 3 4 6 4" xfId="37640" xr:uid="{00000000-0005-0000-0000-0000F6CE0000}"/>
    <cellStyle name="Normal 6 3 4 7" xfId="13893" xr:uid="{00000000-0005-0000-0000-0000F7CE0000}"/>
    <cellStyle name="Normal 6 3 4 7 2" xfId="27461" xr:uid="{00000000-0005-0000-0000-0000F8CE0000}"/>
    <cellStyle name="Normal 6 3 4 7 2 2" xfId="54594" xr:uid="{00000000-0005-0000-0000-0000F9CE0000}"/>
    <cellStyle name="Normal 6 3 4 7 3" xfId="41032" xr:uid="{00000000-0005-0000-0000-0000FACE0000}"/>
    <cellStyle name="Normal 6 3 4 8" xfId="20680" xr:uid="{00000000-0005-0000-0000-0000FBCE0000}"/>
    <cellStyle name="Normal 6 3 4 8 2" xfId="47813" xr:uid="{00000000-0005-0000-0000-0000FCCE0000}"/>
    <cellStyle name="Normal 6 3 4 9" xfId="34251" xr:uid="{00000000-0005-0000-0000-0000FDCE0000}"/>
    <cellStyle name="Normal 6 3 5" xfId="6971" xr:uid="{00000000-0005-0000-0000-0000FECE0000}"/>
    <cellStyle name="Normal 6 3 5 2" xfId="6972" xr:uid="{00000000-0005-0000-0000-0000FFCE0000}"/>
    <cellStyle name="Normal 6 3 5 2 2" xfId="6973" xr:uid="{00000000-0005-0000-0000-000000CF0000}"/>
    <cellStyle name="Normal 6 3 5 2 2 2" xfId="10503" xr:uid="{00000000-0005-0000-0000-000001CF0000}"/>
    <cellStyle name="Normal 6 3 5 2 2 2 2" xfId="17292" xr:uid="{00000000-0005-0000-0000-000002CF0000}"/>
    <cellStyle name="Normal 6 3 5 2 2 2 2 2" xfId="30860" xr:uid="{00000000-0005-0000-0000-000003CF0000}"/>
    <cellStyle name="Normal 6 3 5 2 2 2 2 2 2" xfId="57993" xr:uid="{00000000-0005-0000-0000-000004CF0000}"/>
    <cellStyle name="Normal 6 3 5 2 2 2 2 3" xfId="44431" xr:uid="{00000000-0005-0000-0000-000005CF0000}"/>
    <cellStyle name="Normal 6 3 5 2 2 2 3" xfId="24079" xr:uid="{00000000-0005-0000-0000-000006CF0000}"/>
    <cellStyle name="Normal 6 3 5 2 2 2 3 2" xfId="51212" xr:uid="{00000000-0005-0000-0000-000007CF0000}"/>
    <cellStyle name="Normal 6 3 5 2 2 2 4" xfId="37650" xr:uid="{00000000-0005-0000-0000-000008CF0000}"/>
    <cellStyle name="Normal 6 3 5 2 2 3" xfId="13903" xr:uid="{00000000-0005-0000-0000-000009CF0000}"/>
    <cellStyle name="Normal 6 3 5 2 2 3 2" xfId="27471" xr:uid="{00000000-0005-0000-0000-00000ACF0000}"/>
    <cellStyle name="Normal 6 3 5 2 2 3 2 2" xfId="54604" xr:uid="{00000000-0005-0000-0000-00000BCF0000}"/>
    <cellStyle name="Normal 6 3 5 2 2 3 3" xfId="41042" xr:uid="{00000000-0005-0000-0000-00000CCF0000}"/>
    <cellStyle name="Normal 6 3 5 2 2 4" xfId="20690" xr:uid="{00000000-0005-0000-0000-00000DCF0000}"/>
    <cellStyle name="Normal 6 3 5 2 2 4 2" xfId="47823" xr:uid="{00000000-0005-0000-0000-00000ECF0000}"/>
    <cellStyle name="Normal 6 3 5 2 2 5" xfId="34261" xr:uid="{00000000-0005-0000-0000-00000FCF0000}"/>
    <cellStyle name="Normal 6 3 5 2 3" xfId="6974" xr:uid="{00000000-0005-0000-0000-000010CF0000}"/>
    <cellStyle name="Normal 6 3 5 2 3 2" xfId="10504" xr:uid="{00000000-0005-0000-0000-000011CF0000}"/>
    <cellStyle name="Normal 6 3 5 2 3 2 2" xfId="17293" xr:uid="{00000000-0005-0000-0000-000012CF0000}"/>
    <cellStyle name="Normal 6 3 5 2 3 2 2 2" xfId="30861" xr:uid="{00000000-0005-0000-0000-000013CF0000}"/>
    <cellStyle name="Normal 6 3 5 2 3 2 2 2 2" xfId="57994" xr:uid="{00000000-0005-0000-0000-000014CF0000}"/>
    <cellStyle name="Normal 6 3 5 2 3 2 2 3" xfId="44432" xr:uid="{00000000-0005-0000-0000-000015CF0000}"/>
    <cellStyle name="Normal 6 3 5 2 3 2 3" xfId="24080" xr:uid="{00000000-0005-0000-0000-000016CF0000}"/>
    <cellStyle name="Normal 6 3 5 2 3 2 3 2" xfId="51213" xr:uid="{00000000-0005-0000-0000-000017CF0000}"/>
    <cellStyle name="Normal 6 3 5 2 3 2 4" xfId="37651" xr:uid="{00000000-0005-0000-0000-000018CF0000}"/>
    <cellStyle name="Normal 6 3 5 2 3 3" xfId="13904" xr:uid="{00000000-0005-0000-0000-000019CF0000}"/>
    <cellStyle name="Normal 6 3 5 2 3 3 2" xfId="27472" xr:uid="{00000000-0005-0000-0000-00001ACF0000}"/>
    <cellStyle name="Normal 6 3 5 2 3 3 2 2" xfId="54605" xr:uid="{00000000-0005-0000-0000-00001BCF0000}"/>
    <cellStyle name="Normal 6 3 5 2 3 3 3" xfId="41043" xr:uid="{00000000-0005-0000-0000-00001CCF0000}"/>
    <cellStyle name="Normal 6 3 5 2 3 4" xfId="20691" xr:uid="{00000000-0005-0000-0000-00001DCF0000}"/>
    <cellStyle name="Normal 6 3 5 2 3 4 2" xfId="47824" xr:uid="{00000000-0005-0000-0000-00001ECF0000}"/>
    <cellStyle name="Normal 6 3 5 2 3 5" xfId="34262" xr:uid="{00000000-0005-0000-0000-00001FCF0000}"/>
    <cellStyle name="Normal 6 3 5 2 4" xfId="10502" xr:uid="{00000000-0005-0000-0000-000020CF0000}"/>
    <cellStyle name="Normal 6 3 5 2 4 2" xfId="17291" xr:uid="{00000000-0005-0000-0000-000021CF0000}"/>
    <cellStyle name="Normal 6 3 5 2 4 2 2" xfId="30859" xr:uid="{00000000-0005-0000-0000-000022CF0000}"/>
    <cellStyle name="Normal 6 3 5 2 4 2 2 2" xfId="57992" xr:uid="{00000000-0005-0000-0000-000023CF0000}"/>
    <cellStyle name="Normal 6 3 5 2 4 2 3" xfId="44430" xr:uid="{00000000-0005-0000-0000-000024CF0000}"/>
    <cellStyle name="Normal 6 3 5 2 4 3" xfId="24078" xr:uid="{00000000-0005-0000-0000-000025CF0000}"/>
    <cellStyle name="Normal 6 3 5 2 4 3 2" xfId="51211" xr:uid="{00000000-0005-0000-0000-000026CF0000}"/>
    <cellStyle name="Normal 6 3 5 2 4 4" xfId="37649" xr:uid="{00000000-0005-0000-0000-000027CF0000}"/>
    <cellStyle name="Normal 6 3 5 2 5" xfId="13902" xr:uid="{00000000-0005-0000-0000-000028CF0000}"/>
    <cellStyle name="Normal 6 3 5 2 5 2" xfId="27470" xr:uid="{00000000-0005-0000-0000-000029CF0000}"/>
    <cellStyle name="Normal 6 3 5 2 5 2 2" xfId="54603" xr:uid="{00000000-0005-0000-0000-00002ACF0000}"/>
    <cellStyle name="Normal 6 3 5 2 5 3" xfId="41041" xr:uid="{00000000-0005-0000-0000-00002BCF0000}"/>
    <cellStyle name="Normal 6 3 5 2 6" xfId="20689" xr:uid="{00000000-0005-0000-0000-00002CCF0000}"/>
    <cellStyle name="Normal 6 3 5 2 6 2" xfId="47822" xr:uid="{00000000-0005-0000-0000-00002DCF0000}"/>
    <cellStyle name="Normal 6 3 5 2 7" xfId="34260" xr:uid="{00000000-0005-0000-0000-00002ECF0000}"/>
    <cellStyle name="Normal 6 3 5 3" xfId="6975" xr:uid="{00000000-0005-0000-0000-00002FCF0000}"/>
    <cellStyle name="Normal 6 3 5 3 2" xfId="10505" xr:uid="{00000000-0005-0000-0000-000030CF0000}"/>
    <cellStyle name="Normal 6 3 5 3 2 2" xfId="17294" xr:uid="{00000000-0005-0000-0000-000031CF0000}"/>
    <cellStyle name="Normal 6 3 5 3 2 2 2" xfId="30862" xr:uid="{00000000-0005-0000-0000-000032CF0000}"/>
    <cellStyle name="Normal 6 3 5 3 2 2 2 2" xfId="57995" xr:uid="{00000000-0005-0000-0000-000033CF0000}"/>
    <cellStyle name="Normal 6 3 5 3 2 2 3" xfId="44433" xr:uid="{00000000-0005-0000-0000-000034CF0000}"/>
    <cellStyle name="Normal 6 3 5 3 2 3" xfId="24081" xr:uid="{00000000-0005-0000-0000-000035CF0000}"/>
    <cellStyle name="Normal 6 3 5 3 2 3 2" xfId="51214" xr:uid="{00000000-0005-0000-0000-000036CF0000}"/>
    <cellStyle name="Normal 6 3 5 3 2 4" xfId="37652" xr:uid="{00000000-0005-0000-0000-000037CF0000}"/>
    <cellStyle name="Normal 6 3 5 3 3" xfId="13905" xr:uid="{00000000-0005-0000-0000-000038CF0000}"/>
    <cellStyle name="Normal 6 3 5 3 3 2" xfId="27473" xr:uid="{00000000-0005-0000-0000-000039CF0000}"/>
    <cellStyle name="Normal 6 3 5 3 3 2 2" xfId="54606" xr:uid="{00000000-0005-0000-0000-00003ACF0000}"/>
    <cellStyle name="Normal 6 3 5 3 3 3" xfId="41044" xr:uid="{00000000-0005-0000-0000-00003BCF0000}"/>
    <cellStyle name="Normal 6 3 5 3 4" xfId="20692" xr:uid="{00000000-0005-0000-0000-00003CCF0000}"/>
    <cellStyle name="Normal 6 3 5 3 4 2" xfId="47825" xr:uid="{00000000-0005-0000-0000-00003DCF0000}"/>
    <cellStyle name="Normal 6 3 5 3 5" xfId="34263" xr:uid="{00000000-0005-0000-0000-00003ECF0000}"/>
    <cellStyle name="Normal 6 3 5 4" xfId="6976" xr:uid="{00000000-0005-0000-0000-00003FCF0000}"/>
    <cellStyle name="Normal 6 3 5 4 2" xfId="10506" xr:uid="{00000000-0005-0000-0000-000040CF0000}"/>
    <cellStyle name="Normal 6 3 5 4 2 2" xfId="17295" xr:uid="{00000000-0005-0000-0000-000041CF0000}"/>
    <cellStyle name="Normal 6 3 5 4 2 2 2" xfId="30863" xr:uid="{00000000-0005-0000-0000-000042CF0000}"/>
    <cellStyle name="Normal 6 3 5 4 2 2 2 2" xfId="57996" xr:uid="{00000000-0005-0000-0000-000043CF0000}"/>
    <cellStyle name="Normal 6 3 5 4 2 2 3" xfId="44434" xr:uid="{00000000-0005-0000-0000-000044CF0000}"/>
    <cellStyle name="Normal 6 3 5 4 2 3" xfId="24082" xr:uid="{00000000-0005-0000-0000-000045CF0000}"/>
    <cellStyle name="Normal 6 3 5 4 2 3 2" xfId="51215" xr:uid="{00000000-0005-0000-0000-000046CF0000}"/>
    <cellStyle name="Normal 6 3 5 4 2 4" xfId="37653" xr:uid="{00000000-0005-0000-0000-000047CF0000}"/>
    <cellStyle name="Normal 6 3 5 4 3" xfId="13906" xr:uid="{00000000-0005-0000-0000-000048CF0000}"/>
    <cellStyle name="Normal 6 3 5 4 3 2" xfId="27474" xr:uid="{00000000-0005-0000-0000-000049CF0000}"/>
    <cellStyle name="Normal 6 3 5 4 3 2 2" xfId="54607" xr:uid="{00000000-0005-0000-0000-00004ACF0000}"/>
    <cellStyle name="Normal 6 3 5 4 3 3" xfId="41045" xr:uid="{00000000-0005-0000-0000-00004BCF0000}"/>
    <cellStyle name="Normal 6 3 5 4 4" xfId="20693" xr:uid="{00000000-0005-0000-0000-00004CCF0000}"/>
    <cellStyle name="Normal 6 3 5 4 4 2" xfId="47826" xr:uid="{00000000-0005-0000-0000-00004DCF0000}"/>
    <cellStyle name="Normal 6 3 5 4 5" xfId="34264" xr:uid="{00000000-0005-0000-0000-00004ECF0000}"/>
    <cellStyle name="Normal 6 3 5 5" xfId="10501" xr:uid="{00000000-0005-0000-0000-00004FCF0000}"/>
    <cellStyle name="Normal 6 3 5 5 2" xfId="17290" xr:uid="{00000000-0005-0000-0000-000050CF0000}"/>
    <cellStyle name="Normal 6 3 5 5 2 2" xfId="30858" xr:uid="{00000000-0005-0000-0000-000051CF0000}"/>
    <cellStyle name="Normal 6 3 5 5 2 2 2" xfId="57991" xr:uid="{00000000-0005-0000-0000-000052CF0000}"/>
    <cellStyle name="Normal 6 3 5 5 2 3" xfId="44429" xr:uid="{00000000-0005-0000-0000-000053CF0000}"/>
    <cellStyle name="Normal 6 3 5 5 3" xfId="24077" xr:uid="{00000000-0005-0000-0000-000054CF0000}"/>
    <cellStyle name="Normal 6 3 5 5 3 2" xfId="51210" xr:uid="{00000000-0005-0000-0000-000055CF0000}"/>
    <cellStyle name="Normal 6 3 5 5 4" xfId="37648" xr:uid="{00000000-0005-0000-0000-000056CF0000}"/>
    <cellStyle name="Normal 6 3 5 6" xfId="13901" xr:uid="{00000000-0005-0000-0000-000057CF0000}"/>
    <cellStyle name="Normal 6 3 5 6 2" xfId="27469" xr:uid="{00000000-0005-0000-0000-000058CF0000}"/>
    <cellStyle name="Normal 6 3 5 6 2 2" xfId="54602" xr:uid="{00000000-0005-0000-0000-000059CF0000}"/>
    <cellStyle name="Normal 6 3 5 6 3" xfId="41040" xr:uid="{00000000-0005-0000-0000-00005ACF0000}"/>
    <cellStyle name="Normal 6 3 5 7" xfId="20688" xr:uid="{00000000-0005-0000-0000-00005BCF0000}"/>
    <cellStyle name="Normal 6 3 5 7 2" xfId="47821" xr:uid="{00000000-0005-0000-0000-00005CCF0000}"/>
    <cellStyle name="Normal 6 3 5 8" xfId="34259" xr:uid="{00000000-0005-0000-0000-00005DCF0000}"/>
    <cellStyle name="Normal 6 3 6" xfId="6977" xr:uid="{00000000-0005-0000-0000-00005ECF0000}"/>
    <cellStyle name="Normal 6 3 6 2" xfId="6978" xr:uid="{00000000-0005-0000-0000-00005FCF0000}"/>
    <cellStyle name="Normal 6 3 6 2 2" xfId="6979" xr:uid="{00000000-0005-0000-0000-000060CF0000}"/>
    <cellStyle name="Normal 6 3 6 2 2 2" xfId="10509" xr:uid="{00000000-0005-0000-0000-000061CF0000}"/>
    <cellStyle name="Normal 6 3 6 2 2 2 2" xfId="17298" xr:uid="{00000000-0005-0000-0000-000062CF0000}"/>
    <cellStyle name="Normal 6 3 6 2 2 2 2 2" xfId="30866" xr:uid="{00000000-0005-0000-0000-000063CF0000}"/>
    <cellStyle name="Normal 6 3 6 2 2 2 2 2 2" xfId="57999" xr:uid="{00000000-0005-0000-0000-000064CF0000}"/>
    <cellStyle name="Normal 6 3 6 2 2 2 2 3" xfId="44437" xr:uid="{00000000-0005-0000-0000-000065CF0000}"/>
    <cellStyle name="Normal 6 3 6 2 2 2 3" xfId="24085" xr:uid="{00000000-0005-0000-0000-000066CF0000}"/>
    <cellStyle name="Normal 6 3 6 2 2 2 3 2" xfId="51218" xr:uid="{00000000-0005-0000-0000-000067CF0000}"/>
    <cellStyle name="Normal 6 3 6 2 2 2 4" xfId="37656" xr:uid="{00000000-0005-0000-0000-000068CF0000}"/>
    <cellStyle name="Normal 6 3 6 2 2 3" xfId="13909" xr:uid="{00000000-0005-0000-0000-000069CF0000}"/>
    <cellStyle name="Normal 6 3 6 2 2 3 2" xfId="27477" xr:uid="{00000000-0005-0000-0000-00006ACF0000}"/>
    <cellStyle name="Normal 6 3 6 2 2 3 2 2" xfId="54610" xr:uid="{00000000-0005-0000-0000-00006BCF0000}"/>
    <cellStyle name="Normal 6 3 6 2 2 3 3" xfId="41048" xr:uid="{00000000-0005-0000-0000-00006CCF0000}"/>
    <cellStyle name="Normal 6 3 6 2 2 4" xfId="20696" xr:uid="{00000000-0005-0000-0000-00006DCF0000}"/>
    <cellStyle name="Normal 6 3 6 2 2 4 2" xfId="47829" xr:uid="{00000000-0005-0000-0000-00006ECF0000}"/>
    <cellStyle name="Normal 6 3 6 2 2 5" xfId="34267" xr:uid="{00000000-0005-0000-0000-00006FCF0000}"/>
    <cellStyle name="Normal 6 3 6 2 3" xfId="6980" xr:uid="{00000000-0005-0000-0000-000070CF0000}"/>
    <cellStyle name="Normal 6 3 6 2 3 2" xfId="10510" xr:uid="{00000000-0005-0000-0000-000071CF0000}"/>
    <cellStyle name="Normal 6 3 6 2 3 2 2" xfId="17299" xr:uid="{00000000-0005-0000-0000-000072CF0000}"/>
    <cellStyle name="Normal 6 3 6 2 3 2 2 2" xfId="30867" xr:uid="{00000000-0005-0000-0000-000073CF0000}"/>
    <cellStyle name="Normal 6 3 6 2 3 2 2 2 2" xfId="58000" xr:uid="{00000000-0005-0000-0000-000074CF0000}"/>
    <cellStyle name="Normal 6 3 6 2 3 2 2 3" xfId="44438" xr:uid="{00000000-0005-0000-0000-000075CF0000}"/>
    <cellStyle name="Normal 6 3 6 2 3 2 3" xfId="24086" xr:uid="{00000000-0005-0000-0000-000076CF0000}"/>
    <cellStyle name="Normal 6 3 6 2 3 2 3 2" xfId="51219" xr:uid="{00000000-0005-0000-0000-000077CF0000}"/>
    <cellStyle name="Normal 6 3 6 2 3 2 4" xfId="37657" xr:uid="{00000000-0005-0000-0000-000078CF0000}"/>
    <cellStyle name="Normal 6 3 6 2 3 3" xfId="13910" xr:uid="{00000000-0005-0000-0000-000079CF0000}"/>
    <cellStyle name="Normal 6 3 6 2 3 3 2" xfId="27478" xr:uid="{00000000-0005-0000-0000-00007ACF0000}"/>
    <cellStyle name="Normal 6 3 6 2 3 3 2 2" xfId="54611" xr:uid="{00000000-0005-0000-0000-00007BCF0000}"/>
    <cellStyle name="Normal 6 3 6 2 3 3 3" xfId="41049" xr:uid="{00000000-0005-0000-0000-00007CCF0000}"/>
    <cellStyle name="Normal 6 3 6 2 3 4" xfId="20697" xr:uid="{00000000-0005-0000-0000-00007DCF0000}"/>
    <cellStyle name="Normal 6 3 6 2 3 4 2" xfId="47830" xr:uid="{00000000-0005-0000-0000-00007ECF0000}"/>
    <cellStyle name="Normal 6 3 6 2 3 5" xfId="34268" xr:uid="{00000000-0005-0000-0000-00007FCF0000}"/>
    <cellStyle name="Normal 6 3 6 2 4" xfId="10508" xr:uid="{00000000-0005-0000-0000-000080CF0000}"/>
    <cellStyle name="Normal 6 3 6 2 4 2" xfId="17297" xr:uid="{00000000-0005-0000-0000-000081CF0000}"/>
    <cellStyle name="Normal 6 3 6 2 4 2 2" xfId="30865" xr:uid="{00000000-0005-0000-0000-000082CF0000}"/>
    <cellStyle name="Normal 6 3 6 2 4 2 2 2" xfId="57998" xr:uid="{00000000-0005-0000-0000-000083CF0000}"/>
    <cellStyle name="Normal 6 3 6 2 4 2 3" xfId="44436" xr:uid="{00000000-0005-0000-0000-000084CF0000}"/>
    <cellStyle name="Normal 6 3 6 2 4 3" xfId="24084" xr:uid="{00000000-0005-0000-0000-000085CF0000}"/>
    <cellStyle name="Normal 6 3 6 2 4 3 2" xfId="51217" xr:uid="{00000000-0005-0000-0000-000086CF0000}"/>
    <cellStyle name="Normal 6 3 6 2 4 4" xfId="37655" xr:uid="{00000000-0005-0000-0000-000087CF0000}"/>
    <cellStyle name="Normal 6 3 6 2 5" xfId="13908" xr:uid="{00000000-0005-0000-0000-000088CF0000}"/>
    <cellStyle name="Normal 6 3 6 2 5 2" xfId="27476" xr:uid="{00000000-0005-0000-0000-000089CF0000}"/>
    <cellStyle name="Normal 6 3 6 2 5 2 2" xfId="54609" xr:uid="{00000000-0005-0000-0000-00008ACF0000}"/>
    <cellStyle name="Normal 6 3 6 2 5 3" xfId="41047" xr:uid="{00000000-0005-0000-0000-00008BCF0000}"/>
    <cellStyle name="Normal 6 3 6 2 6" xfId="20695" xr:uid="{00000000-0005-0000-0000-00008CCF0000}"/>
    <cellStyle name="Normal 6 3 6 2 6 2" xfId="47828" xr:uid="{00000000-0005-0000-0000-00008DCF0000}"/>
    <cellStyle name="Normal 6 3 6 2 7" xfId="34266" xr:uid="{00000000-0005-0000-0000-00008ECF0000}"/>
    <cellStyle name="Normal 6 3 6 3" xfId="6981" xr:uid="{00000000-0005-0000-0000-00008FCF0000}"/>
    <cellStyle name="Normal 6 3 6 3 2" xfId="10511" xr:uid="{00000000-0005-0000-0000-000090CF0000}"/>
    <cellStyle name="Normal 6 3 6 3 2 2" xfId="17300" xr:uid="{00000000-0005-0000-0000-000091CF0000}"/>
    <cellStyle name="Normal 6 3 6 3 2 2 2" xfId="30868" xr:uid="{00000000-0005-0000-0000-000092CF0000}"/>
    <cellStyle name="Normal 6 3 6 3 2 2 2 2" xfId="58001" xr:uid="{00000000-0005-0000-0000-000093CF0000}"/>
    <cellStyle name="Normal 6 3 6 3 2 2 3" xfId="44439" xr:uid="{00000000-0005-0000-0000-000094CF0000}"/>
    <cellStyle name="Normal 6 3 6 3 2 3" xfId="24087" xr:uid="{00000000-0005-0000-0000-000095CF0000}"/>
    <cellStyle name="Normal 6 3 6 3 2 3 2" xfId="51220" xr:uid="{00000000-0005-0000-0000-000096CF0000}"/>
    <cellStyle name="Normal 6 3 6 3 2 4" xfId="37658" xr:uid="{00000000-0005-0000-0000-000097CF0000}"/>
    <cellStyle name="Normal 6 3 6 3 3" xfId="13911" xr:uid="{00000000-0005-0000-0000-000098CF0000}"/>
    <cellStyle name="Normal 6 3 6 3 3 2" xfId="27479" xr:uid="{00000000-0005-0000-0000-000099CF0000}"/>
    <cellStyle name="Normal 6 3 6 3 3 2 2" xfId="54612" xr:uid="{00000000-0005-0000-0000-00009ACF0000}"/>
    <cellStyle name="Normal 6 3 6 3 3 3" xfId="41050" xr:uid="{00000000-0005-0000-0000-00009BCF0000}"/>
    <cellStyle name="Normal 6 3 6 3 4" xfId="20698" xr:uid="{00000000-0005-0000-0000-00009CCF0000}"/>
    <cellStyle name="Normal 6 3 6 3 4 2" xfId="47831" xr:uid="{00000000-0005-0000-0000-00009DCF0000}"/>
    <cellStyle name="Normal 6 3 6 3 5" xfId="34269" xr:uid="{00000000-0005-0000-0000-00009ECF0000}"/>
    <cellStyle name="Normal 6 3 6 4" xfId="6982" xr:uid="{00000000-0005-0000-0000-00009FCF0000}"/>
    <cellStyle name="Normal 6 3 6 4 2" xfId="10512" xr:uid="{00000000-0005-0000-0000-0000A0CF0000}"/>
    <cellStyle name="Normal 6 3 6 4 2 2" xfId="17301" xr:uid="{00000000-0005-0000-0000-0000A1CF0000}"/>
    <cellStyle name="Normal 6 3 6 4 2 2 2" xfId="30869" xr:uid="{00000000-0005-0000-0000-0000A2CF0000}"/>
    <cellStyle name="Normal 6 3 6 4 2 2 2 2" xfId="58002" xr:uid="{00000000-0005-0000-0000-0000A3CF0000}"/>
    <cellStyle name="Normal 6 3 6 4 2 2 3" xfId="44440" xr:uid="{00000000-0005-0000-0000-0000A4CF0000}"/>
    <cellStyle name="Normal 6 3 6 4 2 3" xfId="24088" xr:uid="{00000000-0005-0000-0000-0000A5CF0000}"/>
    <cellStyle name="Normal 6 3 6 4 2 3 2" xfId="51221" xr:uid="{00000000-0005-0000-0000-0000A6CF0000}"/>
    <cellStyle name="Normal 6 3 6 4 2 4" xfId="37659" xr:uid="{00000000-0005-0000-0000-0000A7CF0000}"/>
    <cellStyle name="Normal 6 3 6 4 3" xfId="13912" xr:uid="{00000000-0005-0000-0000-0000A8CF0000}"/>
    <cellStyle name="Normal 6 3 6 4 3 2" xfId="27480" xr:uid="{00000000-0005-0000-0000-0000A9CF0000}"/>
    <cellStyle name="Normal 6 3 6 4 3 2 2" xfId="54613" xr:uid="{00000000-0005-0000-0000-0000AACF0000}"/>
    <cellStyle name="Normal 6 3 6 4 3 3" xfId="41051" xr:uid="{00000000-0005-0000-0000-0000ABCF0000}"/>
    <cellStyle name="Normal 6 3 6 4 4" xfId="20699" xr:uid="{00000000-0005-0000-0000-0000ACCF0000}"/>
    <cellStyle name="Normal 6 3 6 4 4 2" xfId="47832" xr:uid="{00000000-0005-0000-0000-0000ADCF0000}"/>
    <cellStyle name="Normal 6 3 6 4 5" xfId="34270" xr:uid="{00000000-0005-0000-0000-0000AECF0000}"/>
    <cellStyle name="Normal 6 3 6 5" xfId="10507" xr:uid="{00000000-0005-0000-0000-0000AFCF0000}"/>
    <cellStyle name="Normal 6 3 6 5 2" xfId="17296" xr:uid="{00000000-0005-0000-0000-0000B0CF0000}"/>
    <cellStyle name="Normal 6 3 6 5 2 2" xfId="30864" xr:uid="{00000000-0005-0000-0000-0000B1CF0000}"/>
    <cellStyle name="Normal 6 3 6 5 2 2 2" xfId="57997" xr:uid="{00000000-0005-0000-0000-0000B2CF0000}"/>
    <cellStyle name="Normal 6 3 6 5 2 3" xfId="44435" xr:uid="{00000000-0005-0000-0000-0000B3CF0000}"/>
    <cellStyle name="Normal 6 3 6 5 3" xfId="24083" xr:uid="{00000000-0005-0000-0000-0000B4CF0000}"/>
    <cellStyle name="Normal 6 3 6 5 3 2" xfId="51216" xr:uid="{00000000-0005-0000-0000-0000B5CF0000}"/>
    <cellStyle name="Normal 6 3 6 5 4" xfId="37654" xr:uid="{00000000-0005-0000-0000-0000B6CF0000}"/>
    <cellStyle name="Normal 6 3 6 6" xfId="13907" xr:uid="{00000000-0005-0000-0000-0000B7CF0000}"/>
    <cellStyle name="Normal 6 3 6 6 2" xfId="27475" xr:uid="{00000000-0005-0000-0000-0000B8CF0000}"/>
    <cellStyle name="Normal 6 3 6 6 2 2" xfId="54608" xr:uid="{00000000-0005-0000-0000-0000B9CF0000}"/>
    <cellStyle name="Normal 6 3 6 6 3" xfId="41046" xr:uid="{00000000-0005-0000-0000-0000BACF0000}"/>
    <cellStyle name="Normal 6 3 6 7" xfId="20694" xr:uid="{00000000-0005-0000-0000-0000BBCF0000}"/>
    <cellStyle name="Normal 6 3 6 7 2" xfId="47827" xr:uid="{00000000-0005-0000-0000-0000BCCF0000}"/>
    <cellStyle name="Normal 6 3 6 8" xfId="34265" xr:uid="{00000000-0005-0000-0000-0000BDCF0000}"/>
    <cellStyle name="Normal 6 3 7" xfId="6983" xr:uid="{00000000-0005-0000-0000-0000BECF0000}"/>
    <cellStyle name="Normal 6 3 7 2" xfId="6984" xr:uid="{00000000-0005-0000-0000-0000BFCF0000}"/>
    <cellStyle name="Normal 6 3 7 2 2" xfId="10514" xr:uid="{00000000-0005-0000-0000-0000C0CF0000}"/>
    <cellStyle name="Normal 6 3 7 2 2 2" xfId="17303" xr:uid="{00000000-0005-0000-0000-0000C1CF0000}"/>
    <cellStyle name="Normal 6 3 7 2 2 2 2" xfId="30871" xr:uid="{00000000-0005-0000-0000-0000C2CF0000}"/>
    <cellStyle name="Normal 6 3 7 2 2 2 2 2" xfId="58004" xr:uid="{00000000-0005-0000-0000-0000C3CF0000}"/>
    <cellStyle name="Normal 6 3 7 2 2 2 3" xfId="44442" xr:uid="{00000000-0005-0000-0000-0000C4CF0000}"/>
    <cellStyle name="Normal 6 3 7 2 2 3" xfId="24090" xr:uid="{00000000-0005-0000-0000-0000C5CF0000}"/>
    <cellStyle name="Normal 6 3 7 2 2 3 2" xfId="51223" xr:uid="{00000000-0005-0000-0000-0000C6CF0000}"/>
    <cellStyle name="Normal 6 3 7 2 2 4" xfId="37661" xr:uid="{00000000-0005-0000-0000-0000C7CF0000}"/>
    <cellStyle name="Normal 6 3 7 2 3" xfId="13914" xr:uid="{00000000-0005-0000-0000-0000C8CF0000}"/>
    <cellStyle name="Normal 6 3 7 2 3 2" xfId="27482" xr:uid="{00000000-0005-0000-0000-0000C9CF0000}"/>
    <cellStyle name="Normal 6 3 7 2 3 2 2" xfId="54615" xr:uid="{00000000-0005-0000-0000-0000CACF0000}"/>
    <cellStyle name="Normal 6 3 7 2 3 3" xfId="41053" xr:uid="{00000000-0005-0000-0000-0000CBCF0000}"/>
    <cellStyle name="Normal 6 3 7 2 4" xfId="20701" xr:uid="{00000000-0005-0000-0000-0000CCCF0000}"/>
    <cellStyle name="Normal 6 3 7 2 4 2" xfId="47834" xr:uid="{00000000-0005-0000-0000-0000CDCF0000}"/>
    <cellStyle name="Normal 6 3 7 2 5" xfId="34272" xr:uid="{00000000-0005-0000-0000-0000CECF0000}"/>
    <cellStyle name="Normal 6 3 7 3" xfId="6985" xr:uid="{00000000-0005-0000-0000-0000CFCF0000}"/>
    <cellStyle name="Normal 6 3 7 3 2" xfId="10515" xr:uid="{00000000-0005-0000-0000-0000D0CF0000}"/>
    <cellStyle name="Normal 6 3 7 3 2 2" xfId="17304" xr:uid="{00000000-0005-0000-0000-0000D1CF0000}"/>
    <cellStyle name="Normal 6 3 7 3 2 2 2" xfId="30872" xr:uid="{00000000-0005-0000-0000-0000D2CF0000}"/>
    <cellStyle name="Normal 6 3 7 3 2 2 2 2" xfId="58005" xr:uid="{00000000-0005-0000-0000-0000D3CF0000}"/>
    <cellStyle name="Normal 6 3 7 3 2 2 3" xfId="44443" xr:uid="{00000000-0005-0000-0000-0000D4CF0000}"/>
    <cellStyle name="Normal 6 3 7 3 2 3" xfId="24091" xr:uid="{00000000-0005-0000-0000-0000D5CF0000}"/>
    <cellStyle name="Normal 6 3 7 3 2 3 2" xfId="51224" xr:uid="{00000000-0005-0000-0000-0000D6CF0000}"/>
    <cellStyle name="Normal 6 3 7 3 2 4" xfId="37662" xr:uid="{00000000-0005-0000-0000-0000D7CF0000}"/>
    <cellStyle name="Normal 6 3 7 3 3" xfId="13915" xr:uid="{00000000-0005-0000-0000-0000D8CF0000}"/>
    <cellStyle name="Normal 6 3 7 3 3 2" xfId="27483" xr:uid="{00000000-0005-0000-0000-0000D9CF0000}"/>
    <cellStyle name="Normal 6 3 7 3 3 2 2" xfId="54616" xr:uid="{00000000-0005-0000-0000-0000DACF0000}"/>
    <cellStyle name="Normal 6 3 7 3 3 3" xfId="41054" xr:uid="{00000000-0005-0000-0000-0000DBCF0000}"/>
    <cellStyle name="Normal 6 3 7 3 4" xfId="20702" xr:uid="{00000000-0005-0000-0000-0000DCCF0000}"/>
    <cellStyle name="Normal 6 3 7 3 4 2" xfId="47835" xr:uid="{00000000-0005-0000-0000-0000DDCF0000}"/>
    <cellStyle name="Normal 6 3 7 3 5" xfId="34273" xr:uid="{00000000-0005-0000-0000-0000DECF0000}"/>
    <cellStyle name="Normal 6 3 7 4" xfId="10513" xr:uid="{00000000-0005-0000-0000-0000DFCF0000}"/>
    <cellStyle name="Normal 6 3 7 4 2" xfId="17302" xr:uid="{00000000-0005-0000-0000-0000E0CF0000}"/>
    <cellStyle name="Normal 6 3 7 4 2 2" xfId="30870" xr:uid="{00000000-0005-0000-0000-0000E1CF0000}"/>
    <cellStyle name="Normal 6 3 7 4 2 2 2" xfId="58003" xr:uid="{00000000-0005-0000-0000-0000E2CF0000}"/>
    <cellStyle name="Normal 6 3 7 4 2 3" xfId="44441" xr:uid="{00000000-0005-0000-0000-0000E3CF0000}"/>
    <cellStyle name="Normal 6 3 7 4 3" xfId="24089" xr:uid="{00000000-0005-0000-0000-0000E4CF0000}"/>
    <cellStyle name="Normal 6 3 7 4 3 2" xfId="51222" xr:uid="{00000000-0005-0000-0000-0000E5CF0000}"/>
    <cellStyle name="Normal 6 3 7 4 4" xfId="37660" xr:uid="{00000000-0005-0000-0000-0000E6CF0000}"/>
    <cellStyle name="Normal 6 3 7 5" xfId="13913" xr:uid="{00000000-0005-0000-0000-0000E7CF0000}"/>
    <cellStyle name="Normal 6 3 7 5 2" xfId="27481" xr:uid="{00000000-0005-0000-0000-0000E8CF0000}"/>
    <cellStyle name="Normal 6 3 7 5 2 2" xfId="54614" xr:uid="{00000000-0005-0000-0000-0000E9CF0000}"/>
    <cellStyle name="Normal 6 3 7 5 3" xfId="41052" xr:uid="{00000000-0005-0000-0000-0000EACF0000}"/>
    <cellStyle name="Normal 6 3 7 6" xfId="20700" xr:uid="{00000000-0005-0000-0000-0000EBCF0000}"/>
    <cellStyle name="Normal 6 3 7 6 2" xfId="47833" xr:uid="{00000000-0005-0000-0000-0000ECCF0000}"/>
    <cellStyle name="Normal 6 3 7 7" xfId="34271" xr:uid="{00000000-0005-0000-0000-0000EDCF0000}"/>
    <cellStyle name="Normal 6 3 8" xfId="6986" xr:uid="{00000000-0005-0000-0000-0000EECF0000}"/>
    <cellStyle name="Normal 6 3 8 2" xfId="6987" xr:uid="{00000000-0005-0000-0000-0000EFCF0000}"/>
    <cellStyle name="Normal 6 3 8 2 2" xfId="10517" xr:uid="{00000000-0005-0000-0000-0000F0CF0000}"/>
    <cellStyle name="Normal 6 3 8 2 2 2" xfId="17306" xr:uid="{00000000-0005-0000-0000-0000F1CF0000}"/>
    <cellStyle name="Normal 6 3 8 2 2 2 2" xfId="30874" xr:uid="{00000000-0005-0000-0000-0000F2CF0000}"/>
    <cellStyle name="Normal 6 3 8 2 2 2 2 2" xfId="58007" xr:uid="{00000000-0005-0000-0000-0000F3CF0000}"/>
    <cellStyle name="Normal 6 3 8 2 2 2 3" xfId="44445" xr:uid="{00000000-0005-0000-0000-0000F4CF0000}"/>
    <cellStyle name="Normal 6 3 8 2 2 3" xfId="24093" xr:uid="{00000000-0005-0000-0000-0000F5CF0000}"/>
    <cellStyle name="Normal 6 3 8 2 2 3 2" xfId="51226" xr:uid="{00000000-0005-0000-0000-0000F6CF0000}"/>
    <cellStyle name="Normal 6 3 8 2 2 4" xfId="37664" xr:uid="{00000000-0005-0000-0000-0000F7CF0000}"/>
    <cellStyle name="Normal 6 3 8 2 3" xfId="13917" xr:uid="{00000000-0005-0000-0000-0000F8CF0000}"/>
    <cellStyle name="Normal 6 3 8 2 3 2" xfId="27485" xr:uid="{00000000-0005-0000-0000-0000F9CF0000}"/>
    <cellStyle name="Normal 6 3 8 2 3 2 2" xfId="54618" xr:uid="{00000000-0005-0000-0000-0000FACF0000}"/>
    <cellStyle name="Normal 6 3 8 2 3 3" xfId="41056" xr:uid="{00000000-0005-0000-0000-0000FBCF0000}"/>
    <cellStyle name="Normal 6 3 8 2 4" xfId="20704" xr:uid="{00000000-0005-0000-0000-0000FCCF0000}"/>
    <cellStyle name="Normal 6 3 8 2 4 2" xfId="47837" xr:uid="{00000000-0005-0000-0000-0000FDCF0000}"/>
    <cellStyle name="Normal 6 3 8 2 5" xfId="34275" xr:uid="{00000000-0005-0000-0000-0000FECF0000}"/>
    <cellStyle name="Normal 6 3 8 3" xfId="6988" xr:uid="{00000000-0005-0000-0000-0000FFCF0000}"/>
    <cellStyle name="Normal 6 3 8 3 2" xfId="10518" xr:uid="{00000000-0005-0000-0000-000000D00000}"/>
    <cellStyle name="Normal 6 3 8 3 2 2" xfId="17307" xr:uid="{00000000-0005-0000-0000-000001D00000}"/>
    <cellStyle name="Normal 6 3 8 3 2 2 2" xfId="30875" xr:uid="{00000000-0005-0000-0000-000002D00000}"/>
    <cellStyle name="Normal 6 3 8 3 2 2 2 2" xfId="58008" xr:uid="{00000000-0005-0000-0000-000003D00000}"/>
    <cellStyle name="Normal 6 3 8 3 2 2 3" xfId="44446" xr:uid="{00000000-0005-0000-0000-000004D00000}"/>
    <cellStyle name="Normal 6 3 8 3 2 3" xfId="24094" xr:uid="{00000000-0005-0000-0000-000005D00000}"/>
    <cellStyle name="Normal 6 3 8 3 2 3 2" xfId="51227" xr:uid="{00000000-0005-0000-0000-000006D00000}"/>
    <cellStyle name="Normal 6 3 8 3 2 4" xfId="37665" xr:uid="{00000000-0005-0000-0000-000007D00000}"/>
    <cellStyle name="Normal 6 3 8 3 3" xfId="13918" xr:uid="{00000000-0005-0000-0000-000008D00000}"/>
    <cellStyle name="Normal 6 3 8 3 3 2" xfId="27486" xr:uid="{00000000-0005-0000-0000-000009D00000}"/>
    <cellStyle name="Normal 6 3 8 3 3 2 2" xfId="54619" xr:uid="{00000000-0005-0000-0000-00000AD00000}"/>
    <cellStyle name="Normal 6 3 8 3 3 3" xfId="41057" xr:uid="{00000000-0005-0000-0000-00000BD00000}"/>
    <cellStyle name="Normal 6 3 8 3 4" xfId="20705" xr:uid="{00000000-0005-0000-0000-00000CD00000}"/>
    <cellStyle name="Normal 6 3 8 3 4 2" xfId="47838" xr:uid="{00000000-0005-0000-0000-00000DD00000}"/>
    <cellStyle name="Normal 6 3 8 3 5" xfId="34276" xr:uid="{00000000-0005-0000-0000-00000ED00000}"/>
    <cellStyle name="Normal 6 3 8 4" xfId="10516" xr:uid="{00000000-0005-0000-0000-00000FD00000}"/>
    <cellStyle name="Normal 6 3 8 4 2" xfId="17305" xr:uid="{00000000-0005-0000-0000-000010D00000}"/>
    <cellStyle name="Normal 6 3 8 4 2 2" xfId="30873" xr:uid="{00000000-0005-0000-0000-000011D00000}"/>
    <cellStyle name="Normal 6 3 8 4 2 2 2" xfId="58006" xr:uid="{00000000-0005-0000-0000-000012D00000}"/>
    <cellStyle name="Normal 6 3 8 4 2 3" xfId="44444" xr:uid="{00000000-0005-0000-0000-000013D00000}"/>
    <cellStyle name="Normal 6 3 8 4 3" xfId="24092" xr:uid="{00000000-0005-0000-0000-000014D00000}"/>
    <cellStyle name="Normal 6 3 8 4 3 2" xfId="51225" xr:uid="{00000000-0005-0000-0000-000015D00000}"/>
    <cellStyle name="Normal 6 3 8 4 4" xfId="37663" xr:uid="{00000000-0005-0000-0000-000016D00000}"/>
    <cellStyle name="Normal 6 3 8 5" xfId="13916" xr:uid="{00000000-0005-0000-0000-000017D00000}"/>
    <cellStyle name="Normal 6 3 8 5 2" xfId="27484" xr:uid="{00000000-0005-0000-0000-000018D00000}"/>
    <cellStyle name="Normal 6 3 8 5 2 2" xfId="54617" xr:uid="{00000000-0005-0000-0000-000019D00000}"/>
    <cellStyle name="Normal 6 3 8 5 3" xfId="41055" xr:uid="{00000000-0005-0000-0000-00001AD00000}"/>
    <cellStyle name="Normal 6 3 8 6" xfId="20703" xr:uid="{00000000-0005-0000-0000-00001BD00000}"/>
    <cellStyle name="Normal 6 3 8 6 2" xfId="47836" xr:uid="{00000000-0005-0000-0000-00001CD00000}"/>
    <cellStyle name="Normal 6 3 8 7" xfId="34274" xr:uid="{00000000-0005-0000-0000-00001DD00000}"/>
    <cellStyle name="Normal 6 3 9" xfId="6989" xr:uid="{00000000-0005-0000-0000-00001ED00000}"/>
    <cellStyle name="Normal 6 3 9 2" xfId="10519" xr:uid="{00000000-0005-0000-0000-00001FD00000}"/>
    <cellStyle name="Normal 6 3 9 2 2" xfId="17308" xr:uid="{00000000-0005-0000-0000-000020D00000}"/>
    <cellStyle name="Normal 6 3 9 2 2 2" xfId="30876" xr:uid="{00000000-0005-0000-0000-000021D00000}"/>
    <cellStyle name="Normal 6 3 9 2 2 2 2" xfId="58009" xr:uid="{00000000-0005-0000-0000-000022D00000}"/>
    <cellStyle name="Normal 6 3 9 2 2 3" xfId="44447" xr:uid="{00000000-0005-0000-0000-000023D00000}"/>
    <cellStyle name="Normal 6 3 9 2 3" xfId="24095" xr:uid="{00000000-0005-0000-0000-000024D00000}"/>
    <cellStyle name="Normal 6 3 9 2 3 2" xfId="51228" xr:uid="{00000000-0005-0000-0000-000025D00000}"/>
    <cellStyle name="Normal 6 3 9 2 4" xfId="37666" xr:uid="{00000000-0005-0000-0000-000026D00000}"/>
    <cellStyle name="Normal 6 3 9 3" xfId="13919" xr:uid="{00000000-0005-0000-0000-000027D00000}"/>
    <cellStyle name="Normal 6 3 9 3 2" xfId="27487" xr:uid="{00000000-0005-0000-0000-000028D00000}"/>
    <cellStyle name="Normal 6 3 9 3 2 2" xfId="54620" xr:uid="{00000000-0005-0000-0000-000029D00000}"/>
    <cellStyle name="Normal 6 3 9 3 3" xfId="41058" xr:uid="{00000000-0005-0000-0000-00002AD00000}"/>
    <cellStyle name="Normal 6 3 9 4" xfId="20706" xr:uid="{00000000-0005-0000-0000-00002BD00000}"/>
    <cellStyle name="Normal 6 3 9 4 2" xfId="47839" xr:uid="{00000000-0005-0000-0000-00002CD00000}"/>
    <cellStyle name="Normal 6 3 9 5" xfId="34277" xr:uid="{00000000-0005-0000-0000-00002DD00000}"/>
    <cellStyle name="Normal 6 4" xfId="6990" xr:uid="{00000000-0005-0000-0000-00002ED00000}"/>
    <cellStyle name="Normal 6 5" xfId="6991" xr:uid="{00000000-0005-0000-0000-00002FD00000}"/>
    <cellStyle name="Normal 6 5 2" xfId="6992" xr:uid="{00000000-0005-0000-0000-000030D00000}"/>
    <cellStyle name="Normal 6 5 2 2" xfId="10521" xr:uid="{00000000-0005-0000-0000-000031D00000}"/>
    <cellStyle name="Normal 6 5 2 2 2" xfId="17310" xr:uid="{00000000-0005-0000-0000-000032D00000}"/>
    <cellStyle name="Normal 6 5 2 2 2 2" xfId="30878" xr:uid="{00000000-0005-0000-0000-000033D00000}"/>
    <cellStyle name="Normal 6 5 2 2 2 2 2" xfId="58011" xr:uid="{00000000-0005-0000-0000-000034D00000}"/>
    <cellStyle name="Normal 6 5 2 2 2 3" xfId="44449" xr:uid="{00000000-0005-0000-0000-000035D00000}"/>
    <cellStyle name="Normal 6 5 2 2 3" xfId="24097" xr:uid="{00000000-0005-0000-0000-000036D00000}"/>
    <cellStyle name="Normal 6 5 2 2 3 2" xfId="51230" xr:uid="{00000000-0005-0000-0000-000037D00000}"/>
    <cellStyle name="Normal 6 5 2 2 4" xfId="37668" xr:uid="{00000000-0005-0000-0000-000038D00000}"/>
    <cellStyle name="Normal 6 5 2 3" xfId="13921" xr:uid="{00000000-0005-0000-0000-000039D00000}"/>
    <cellStyle name="Normal 6 5 2 3 2" xfId="27489" xr:uid="{00000000-0005-0000-0000-00003AD00000}"/>
    <cellStyle name="Normal 6 5 2 3 2 2" xfId="54622" xr:uid="{00000000-0005-0000-0000-00003BD00000}"/>
    <cellStyle name="Normal 6 5 2 3 3" xfId="41060" xr:uid="{00000000-0005-0000-0000-00003CD00000}"/>
    <cellStyle name="Normal 6 5 2 4" xfId="20708" xr:uid="{00000000-0005-0000-0000-00003DD00000}"/>
    <cellStyle name="Normal 6 5 2 4 2" xfId="47841" xr:uid="{00000000-0005-0000-0000-00003ED00000}"/>
    <cellStyle name="Normal 6 5 2 5" xfId="34279" xr:uid="{00000000-0005-0000-0000-00003FD00000}"/>
    <cellStyle name="Normal 6 5 3" xfId="6993" xr:uid="{00000000-0005-0000-0000-000040D00000}"/>
    <cellStyle name="Normal 6 5 3 2" xfId="10522" xr:uid="{00000000-0005-0000-0000-000041D00000}"/>
    <cellStyle name="Normal 6 5 3 2 2" xfId="17311" xr:uid="{00000000-0005-0000-0000-000042D00000}"/>
    <cellStyle name="Normal 6 5 3 2 2 2" xfId="30879" xr:uid="{00000000-0005-0000-0000-000043D00000}"/>
    <cellStyle name="Normal 6 5 3 2 2 2 2" xfId="58012" xr:uid="{00000000-0005-0000-0000-000044D00000}"/>
    <cellStyle name="Normal 6 5 3 2 2 3" xfId="44450" xr:uid="{00000000-0005-0000-0000-000045D00000}"/>
    <cellStyle name="Normal 6 5 3 2 3" xfId="24098" xr:uid="{00000000-0005-0000-0000-000046D00000}"/>
    <cellStyle name="Normal 6 5 3 2 3 2" xfId="51231" xr:uid="{00000000-0005-0000-0000-000047D00000}"/>
    <cellStyle name="Normal 6 5 3 2 4" xfId="37669" xr:uid="{00000000-0005-0000-0000-000048D00000}"/>
    <cellStyle name="Normal 6 5 3 3" xfId="13922" xr:uid="{00000000-0005-0000-0000-000049D00000}"/>
    <cellStyle name="Normal 6 5 3 3 2" xfId="27490" xr:uid="{00000000-0005-0000-0000-00004AD00000}"/>
    <cellStyle name="Normal 6 5 3 3 2 2" xfId="54623" xr:uid="{00000000-0005-0000-0000-00004BD00000}"/>
    <cellStyle name="Normal 6 5 3 3 3" xfId="41061" xr:uid="{00000000-0005-0000-0000-00004CD00000}"/>
    <cellStyle name="Normal 6 5 3 4" xfId="20709" xr:uid="{00000000-0005-0000-0000-00004DD00000}"/>
    <cellStyle name="Normal 6 5 3 4 2" xfId="47842" xr:uid="{00000000-0005-0000-0000-00004ED00000}"/>
    <cellStyle name="Normal 6 5 3 5" xfId="34280" xr:uid="{00000000-0005-0000-0000-00004FD00000}"/>
    <cellStyle name="Normal 6 5 4" xfId="10520" xr:uid="{00000000-0005-0000-0000-000050D00000}"/>
    <cellStyle name="Normal 6 5 4 2" xfId="17309" xr:uid="{00000000-0005-0000-0000-000051D00000}"/>
    <cellStyle name="Normal 6 5 4 2 2" xfId="30877" xr:uid="{00000000-0005-0000-0000-000052D00000}"/>
    <cellStyle name="Normal 6 5 4 2 2 2" xfId="58010" xr:uid="{00000000-0005-0000-0000-000053D00000}"/>
    <cellStyle name="Normal 6 5 4 2 3" xfId="44448" xr:uid="{00000000-0005-0000-0000-000054D00000}"/>
    <cellStyle name="Normal 6 5 4 3" xfId="24096" xr:uid="{00000000-0005-0000-0000-000055D00000}"/>
    <cellStyle name="Normal 6 5 4 3 2" xfId="51229" xr:uid="{00000000-0005-0000-0000-000056D00000}"/>
    <cellStyle name="Normal 6 5 4 4" xfId="37667" xr:uid="{00000000-0005-0000-0000-000057D00000}"/>
    <cellStyle name="Normal 6 5 5" xfId="13920" xr:uid="{00000000-0005-0000-0000-000058D00000}"/>
    <cellStyle name="Normal 6 5 5 2" xfId="27488" xr:uid="{00000000-0005-0000-0000-000059D00000}"/>
    <cellStyle name="Normal 6 5 5 2 2" xfId="54621" xr:uid="{00000000-0005-0000-0000-00005AD00000}"/>
    <cellStyle name="Normal 6 5 5 3" xfId="41059" xr:uid="{00000000-0005-0000-0000-00005BD00000}"/>
    <cellStyle name="Normal 6 5 6" xfId="20707" xr:uid="{00000000-0005-0000-0000-00005CD00000}"/>
    <cellStyle name="Normal 6 5 6 2" xfId="47840" xr:uid="{00000000-0005-0000-0000-00005DD00000}"/>
    <cellStyle name="Normal 6 5 7" xfId="34278" xr:uid="{00000000-0005-0000-0000-00005ED00000}"/>
    <cellStyle name="Normal 6 6" xfId="6994" xr:uid="{00000000-0005-0000-0000-00005FD00000}"/>
    <cellStyle name="Normal 6 6 2" xfId="10523" xr:uid="{00000000-0005-0000-0000-000060D00000}"/>
    <cellStyle name="Normal 6 6 2 2" xfId="17312" xr:uid="{00000000-0005-0000-0000-000061D00000}"/>
    <cellStyle name="Normal 6 6 2 2 2" xfId="30880" xr:uid="{00000000-0005-0000-0000-000062D00000}"/>
    <cellStyle name="Normal 6 6 2 2 2 2" xfId="58013" xr:uid="{00000000-0005-0000-0000-000063D00000}"/>
    <cellStyle name="Normal 6 6 2 2 3" xfId="44451" xr:uid="{00000000-0005-0000-0000-000064D00000}"/>
    <cellStyle name="Normal 6 6 2 3" xfId="24099" xr:uid="{00000000-0005-0000-0000-000065D00000}"/>
    <cellStyle name="Normal 6 6 2 3 2" xfId="51232" xr:uid="{00000000-0005-0000-0000-000066D00000}"/>
    <cellStyle name="Normal 6 6 2 4" xfId="37670" xr:uid="{00000000-0005-0000-0000-000067D00000}"/>
    <cellStyle name="Normal 6 6 3" xfId="13923" xr:uid="{00000000-0005-0000-0000-000068D00000}"/>
    <cellStyle name="Normal 6 6 3 2" xfId="27491" xr:uid="{00000000-0005-0000-0000-000069D00000}"/>
    <cellStyle name="Normal 6 6 3 2 2" xfId="54624" xr:uid="{00000000-0005-0000-0000-00006AD00000}"/>
    <cellStyle name="Normal 6 6 3 3" xfId="41062" xr:uid="{00000000-0005-0000-0000-00006BD00000}"/>
    <cellStyle name="Normal 6 6 4" xfId="20710" xr:uid="{00000000-0005-0000-0000-00006CD00000}"/>
    <cellStyle name="Normal 6 6 4 2" xfId="47843" xr:uid="{00000000-0005-0000-0000-00006DD00000}"/>
    <cellStyle name="Normal 6 6 5" xfId="34281" xr:uid="{00000000-0005-0000-0000-00006ED00000}"/>
    <cellStyle name="Normal 60" xfId="58359" xr:uid="{00000000-0005-0000-0000-00006FD00000}"/>
    <cellStyle name="Normal 61" xfId="58364" xr:uid="{00000000-0005-0000-0000-000070D00000}"/>
    <cellStyle name="Normal 62" xfId="2773" xr:uid="{00000000-0005-0000-0000-000071D00000}"/>
    <cellStyle name="Normal 63" xfId="58365" xr:uid="{00000000-0005-0000-0000-000072D00000}"/>
    <cellStyle name="Normal 64" xfId="58366" xr:uid="{00000000-0005-0000-0000-000073D00000}"/>
    <cellStyle name="Normal 65" xfId="32" xr:uid="{00000000-0005-0000-0000-000074D00000}"/>
    <cellStyle name="Normal 7" xfId="146" xr:uid="{00000000-0005-0000-0000-000075D00000}"/>
    <cellStyle name="Normal 7 2" xfId="6995" xr:uid="{00000000-0005-0000-0000-000076D00000}"/>
    <cellStyle name="Normal 7 3" xfId="6996" xr:uid="{00000000-0005-0000-0000-000077D00000}"/>
    <cellStyle name="Normal 73" xfId="58379" xr:uid="{49AA829F-3F85-4E00-96E7-A54257A07E7B}"/>
    <cellStyle name="Normal 74" xfId="58355" xr:uid="{00000000-0005-0000-0000-000078D00000}"/>
    <cellStyle name="Normal 8" xfId="147" xr:uid="{00000000-0005-0000-0000-000079D00000}"/>
    <cellStyle name="Normal 8 2" xfId="13" xr:uid="{00000000-0005-0000-0000-00007AD00000}"/>
    <cellStyle name="Normal 8 2 2" xfId="2775" xr:uid="{00000000-0005-0000-0000-00007BD00000}"/>
    <cellStyle name="Normal 8 2 3" xfId="2776" xr:uid="{00000000-0005-0000-0000-00007CD00000}"/>
    <cellStyle name="Normal 8 2 4" xfId="2777" xr:uid="{00000000-0005-0000-0000-00007DD00000}"/>
    <cellStyle name="Normal 8 2 4 2" xfId="27" xr:uid="{00000000-0005-0000-0000-00007ED00000}"/>
    <cellStyle name="Normal 8 2 4 3" xfId="17" xr:uid="{00000000-0005-0000-0000-00007FD00000}"/>
    <cellStyle name="Normal 8 2 5" xfId="2774" xr:uid="{00000000-0005-0000-0000-000080D00000}"/>
    <cellStyle name="Normal 8 2 6" xfId="15" xr:uid="{00000000-0005-0000-0000-000081D00000}"/>
    <cellStyle name="Normal 8 3" xfId="18" xr:uid="{00000000-0005-0000-0000-000082D00000}"/>
    <cellStyle name="Normal 8 4" xfId="58360" xr:uid="{00000000-0005-0000-0000-000083D00000}"/>
    <cellStyle name="Normal 8 4 3" xfId="19" xr:uid="{00000000-0005-0000-0000-000084D00000}"/>
    <cellStyle name="Normal 9" xfId="8" xr:uid="{00000000-0005-0000-0000-000085D00000}"/>
    <cellStyle name="Normal 9 2" xfId="6997" xr:uid="{00000000-0005-0000-0000-000086D00000}"/>
    <cellStyle name="Normal 9 2 10" xfId="6998" xr:uid="{00000000-0005-0000-0000-000087D00000}"/>
    <cellStyle name="Normal 9 2 10 2" xfId="10524" xr:uid="{00000000-0005-0000-0000-000088D00000}"/>
    <cellStyle name="Normal 9 2 10 2 2" xfId="17313" xr:uid="{00000000-0005-0000-0000-000089D00000}"/>
    <cellStyle name="Normal 9 2 10 2 2 2" xfId="30881" xr:uid="{00000000-0005-0000-0000-00008AD00000}"/>
    <cellStyle name="Normal 9 2 10 2 2 2 2" xfId="58014" xr:uid="{00000000-0005-0000-0000-00008BD00000}"/>
    <cellStyle name="Normal 9 2 10 2 2 3" xfId="44452" xr:uid="{00000000-0005-0000-0000-00008CD00000}"/>
    <cellStyle name="Normal 9 2 10 2 3" xfId="24100" xr:uid="{00000000-0005-0000-0000-00008DD00000}"/>
    <cellStyle name="Normal 9 2 10 2 3 2" xfId="51233" xr:uid="{00000000-0005-0000-0000-00008ED00000}"/>
    <cellStyle name="Normal 9 2 10 2 4" xfId="37671" xr:uid="{00000000-0005-0000-0000-00008FD00000}"/>
    <cellStyle name="Normal 9 2 10 3" xfId="13924" xr:uid="{00000000-0005-0000-0000-000090D00000}"/>
    <cellStyle name="Normal 9 2 10 3 2" xfId="27492" xr:uid="{00000000-0005-0000-0000-000091D00000}"/>
    <cellStyle name="Normal 9 2 10 3 2 2" xfId="54625" xr:uid="{00000000-0005-0000-0000-000092D00000}"/>
    <cellStyle name="Normal 9 2 10 3 3" xfId="41063" xr:uid="{00000000-0005-0000-0000-000093D00000}"/>
    <cellStyle name="Normal 9 2 10 4" xfId="20711" xr:uid="{00000000-0005-0000-0000-000094D00000}"/>
    <cellStyle name="Normal 9 2 10 4 2" xfId="47844" xr:uid="{00000000-0005-0000-0000-000095D00000}"/>
    <cellStyle name="Normal 9 2 10 5" xfId="34282" xr:uid="{00000000-0005-0000-0000-000096D00000}"/>
    <cellStyle name="Normal 9 2 11" xfId="6999" xr:uid="{00000000-0005-0000-0000-000097D00000}"/>
    <cellStyle name="Normal 9 2 11 2" xfId="10525" xr:uid="{00000000-0005-0000-0000-000098D00000}"/>
    <cellStyle name="Normal 9 2 11 2 2" xfId="17314" xr:uid="{00000000-0005-0000-0000-000099D00000}"/>
    <cellStyle name="Normal 9 2 11 2 2 2" xfId="30882" xr:uid="{00000000-0005-0000-0000-00009AD00000}"/>
    <cellStyle name="Normal 9 2 11 2 2 2 2" xfId="58015" xr:uid="{00000000-0005-0000-0000-00009BD00000}"/>
    <cellStyle name="Normal 9 2 11 2 2 3" xfId="44453" xr:uid="{00000000-0005-0000-0000-00009CD00000}"/>
    <cellStyle name="Normal 9 2 11 2 3" xfId="24101" xr:uid="{00000000-0005-0000-0000-00009DD00000}"/>
    <cellStyle name="Normal 9 2 11 2 3 2" xfId="51234" xr:uid="{00000000-0005-0000-0000-00009ED00000}"/>
    <cellStyle name="Normal 9 2 11 2 4" xfId="37672" xr:uid="{00000000-0005-0000-0000-00009FD00000}"/>
    <cellStyle name="Normal 9 2 11 3" xfId="13925" xr:uid="{00000000-0005-0000-0000-0000A0D00000}"/>
    <cellStyle name="Normal 9 2 11 3 2" xfId="27493" xr:uid="{00000000-0005-0000-0000-0000A1D00000}"/>
    <cellStyle name="Normal 9 2 11 3 2 2" xfId="54626" xr:uid="{00000000-0005-0000-0000-0000A2D00000}"/>
    <cellStyle name="Normal 9 2 11 3 3" xfId="41064" xr:uid="{00000000-0005-0000-0000-0000A3D00000}"/>
    <cellStyle name="Normal 9 2 11 4" xfId="20712" xr:uid="{00000000-0005-0000-0000-0000A4D00000}"/>
    <cellStyle name="Normal 9 2 11 4 2" xfId="47845" xr:uid="{00000000-0005-0000-0000-0000A5D00000}"/>
    <cellStyle name="Normal 9 2 11 5" xfId="34283" xr:uid="{00000000-0005-0000-0000-0000A6D00000}"/>
    <cellStyle name="Normal 9 2 12" xfId="10844" xr:uid="{00000000-0005-0000-0000-0000A7D00000}"/>
    <cellStyle name="Normal 9 2 12 2" xfId="17628" xr:uid="{00000000-0005-0000-0000-0000A8D00000}"/>
    <cellStyle name="Normal 9 2 12 2 2" xfId="31196" xr:uid="{00000000-0005-0000-0000-0000A9D00000}"/>
    <cellStyle name="Normal 9 2 12 2 2 2" xfId="58329" xr:uid="{00000000-0005-0000-0000-0000AAD00000}"/>
    <cellStyle name="Normal 9 2 12 2 3" xfId="44767" xr:uid="{00000000-0005-0000-0000-0000ABD00000}"/>
    <cellStyle name="Normal 9 2 12 3" xfId="24415" xr:uid="{00000000-0005-0000-0000-0000ACD00000}"/>
    <cellStyle name="Normal 9 2 12 3 2" xfId="51548" xr:uid="{00000000-0005-0000-0000-0000ADD00000}"/>
    <cellStyle name="Normal 9 2 12 4" xfId="37986" xr:uid="{00000000-0005-0000-0000-0000AED00000}"/>
    <cellStyle name="Normal 9 2 13" xfId="58337" xr:uid="{00000000-0005-0000-0000-0000AFD00000}"/>
    <cellStyle name="Normal 9 2 2" xfId="7000" xr:uid="{00000000-0005-0000-0000-0000B0D00000}"/>
    <cellStyle name="Normal 9 2 2 10" xfId="7001" xr:uid="{00000000-0005-0000-0000-0000B1D00000}"/>
    <cellStyle name="Normal 9 2 2 10 2" xfId="10527" xr:uid="{00000000-0005-0000-0000-0000B2D00000}"/>
    <cellStyle name="Normal 9 2 2 10 2 2" xfId="17316" xr:uid="{00000000-0005-0000-0000-0000B3D00000}"/>
    <cellStyle name="Normal 9 2 2 10 2 2 2" xfId="30884" xr:uid="{00000000-0005-0000-0000-0000B4D00000}"/>
    <cellStyle name="Normal 9 2 2 10 2 2 2 2" xfId="58017" xr:uid="{00000000-0005-0000-0000-0000B5D00000}"/>
    <cellStyle name="Normal 9 2 2 10 2 2 3" xfId="44455" xr:uid="{00000000-0005-0000-0000-0000B6D00000}"/>
    <cellStyle name="Normal 9 2 2 10 2 3" xfId="24103" xr:uid="{00000000-0005-0000-0000-0000B7D00000}"/>
    <cellStyle name="Normal 9 2 2 10 2 3 2" xfId="51236" xr:uid="{00000000-0005-0000-0000-0000B8D00000}"/>
    <cellStyle name="Normal 9 2 2 10 2 4" xfId="37674" xr:uid="{00000000-0005-0000-0000-0000B9D00000}"/>
    <cellStyle name="Normal 9 2 2 10 3" xfId="13927" xr:uid="{00000000-0005-0000-0000-0000BAD00000}"/>
    <cellStyle name="Normal 9 2 2 10 3 2" xfId="27495" xr:uid="{00000000-0005-0000-0000-0000BBD00000}"/>
    <cellStyle name="Normal 9 2 2 10 3 2 2" xfId="54628" xr:uid="{00000000-0005-0000-0000-0000BCD00000}"/>
    <cellStyle name="Normal 9 2 2 10 3 3" xfId="41066" xr:uid="{00000000-0005-0000-0000-0000BDD00000}"/>
    <cellStyle name="Normal 9 2 2 10 4" xfId="20714" xr:uid="{00000000-0005-0000-0000-0000BED00000}"/>
    <cellStyle name="Normal 9 2 2 10 4 2" xfId="47847" xr:uid="{00000000-0005-0000-0000-0000BFD00000}"/>
    <cellStyle name="Normal 9 2 2 10 5" xfId="34285" xr:uid="{00000000-0005-0000-0000-0000C0D00000}"/>
    <cellStyle name="Normal 9 2 2 11" xfId="10526" xr:uid="{00000000-0005-0000-0000-0000C1D00000}"/>
    <cellStyle name="Normal 9 2 2 11 2" xfId="17315" xr:uid="{00000000-0005-0000-0000-0000C2D00000}"/>
    <cellStyle name="Normal 9 2 2 11 2 2" xfId="30883" xr:uid="{00000000-0005-0000-0000-0000C3D00000}"/>
    <cellStyle name="Normal 9 2 2 11 2 2 2" xfId="58016" xr:uid="{00000000-0005-0000-0000-0000C4D00000}"/>
    <cellStyle name="Normal 9 2 2 11 2 3" xfId="44454" xr:uid="{00000000-0005-0000-0000-0000C5D00000}"/>
    <cellStyle name="Normal 9 2 2 11 3" xfId="24102" xr:uid="{00000000-0005-0000-0000-0000C6D00000}"/>
    <cellStyle name="Normal 9 2 2 11 3 2" xfId="51235" xr:uid="{00000000-0005-0000-0000-0000C7D00000}"/>
    <cellStyle name="Normal 9 2 2 11 4" xfId="37673" xr:uid="{00000000-0005-0000-0000-0000C8D00000}"/>
    <cellStyle name="Normal 9 2 2 12" xfId="13926" xr:uid="{00000000-0005-0000-0000-0000C9D00000}"/>
    <cellStyle name="Normal 9 2 2 12 2" xfId="27494" xr:uid="{00000000-0005-0000-0000-0000CAD00000}"/>
    <cellStyle name="Normal 9 2 2 12 2 2" xfId="54627" xr:uid="{00000000-0005-0000-0000-0000CBD00000}"/>
    <cellStyle name="Normal 9 2 2 12 3" xfId="41065" xr:uid="{00000000-0005-0000-0000-0000CCD00000}"/>
    <cellStyle name="Normal 9 2 2 13" xfId="20713" xr:uid="{00000000-0005-0000-0000-0000CDD00000}"/>
    <cellStyle name="Normal 9 2 2 13 2" xfId="47846" xr:uid="{00000000-0005-0000-0000-0000CED00000}"/>
    <cellStyle name="Normal 9 2 2 14" xfId="34284" xr:uid="{00000000-0005-0000-0000-0000CFD00000}"/>
    <cellStyle name="Normal 9 2 2 2" xfId="7002" xr:uid="{00000000-0005-0000-0000-0000D0D00000}"/>
    <cellStyle name="Normal 9 2 2 2 10" xfId="13928" xr:uid="{00000000-0005-0000-0000-0000D1D00000}"/>
    <cellStyle name="Normal 9 2 2 2 10 2" xfId="27496" xr:uid="{00000000-0005-0000-0000-0000D2D00000}"/>
    <cellStyle name="Normal 9 2 2 2 10 2 2" xfId="54629" xr:uid="{00000000-0005-0000-0000-0000D3D00000}"/>
    <cellStyle name="Normal 9 2 2 2 10 3" xfId="41067" xr:uid="{00000000-0005-0000-0000-0000D4D00000}"/>
    <cellStyle name="Normal 9 2 2 2 11" xfId="20715" xr:uid="{00000000-0005-0000-0000-0000D5D00000}"/>
    <cellStyle name="Normal 9 2 2 2 11 2" xfId="47848" xr:uid="{00000000-0005-0000-0000-0000D6D00000}"/>
    <cellStyle name="Normal 9 2 2 2 12" xfId="34286" xr:uid="{00000000-0005-0000-0000-0000D7D00000}"/>
    <cellStyle name="Normal 9 2 2 2 2" xfId="7003" xr:uid="{00000000-0005-0000-0000-0000D8D00000}"/>
    <cellStyle name="Normal 9 2 2 2 2 10" xfId="34287" xr:uid="{00000000-0005-0000-0000-0000D9D00000}"/>
    <cellStyle name="Normal 9 2 2 2 2 2" xfId="7004" xr:uid="{00000000-0005-0000-0000-0000DAD00000}"/>
    <cellStyle name="Normal 9 2 2 2 2 2 2" xfId="7005" xr:uid="{00000000-0005-0000-0000-0000DBD00000}"/>
    <cellStyle name="Normal 9 2 2 2 2 2 2 2" xfId="7006" xr:uid="{00000000-0005-0000-0000-0000DCD00000}"/>
    <cellStyle name="Normal 9 2 2 2 2 2 2 2 2" xfId="10532" xr:uid="{00000000-0005-0000-0000-0000DDD00000}"/>
    <cellStyle name="Normal 9 2 2 2 2 2 2 2 2 2" xfId="17321" xr:uid="{00000000-0005-0000-0000-0000DED00000}"/>
    <cellStyle name="Normal 9 2 2 2 2 2 2 2 2 2 2" xfId="30889" xr:uid="{00000000-0005-0000-0000-0000DFD00000}"/>
    <cellStyle name="Normal 9 2 2 2 2 2 2 2 2 2 2 2" xfId="58022" xr:uid="{00000000-0005-0000-0000-0000E0D00000}"/>
    <cellStyle name="Normal 9 2 2 2 2 2 2 2 2 2 3" xfId="44460" xr:uid="{00000000-0005-0000-0000-0000E1D00000}"/>
    <cellStyle name="Normal 9 2 2 2 2 2 2 2 2 3" xfId="24108" xr:uid="{00000000-0005-0000-0000-0000E2D00000}"/>
    <cellStyle name="Normal 9 2 2 2 2 2 2 2 2 3 2" xfId="51241" xr:uid="{00000000-0005-0000-0000-0000E3D00000}"/>
    <cellStyle name="Normal 9 2 2 2 2 2 2 2 2 4" xfId="37679" xr:uid="{00000000-0005-0000-0000-0000E4D00000}"/>
    <cellStyle name="Normal 9 2 2 2 2 2 2 2 3" xfId="13932" xr:uid="{00000000-0005-0000-0000-0000E5D00000}"/>
    <cellStyle name="Normal 9 2 2 2 2 2 2 2 3 2" xfId="27500" xr:uid="{00000000-0005-0000-0000-0000E6D00000}"/>
    <cellStyle name="Normal 9 2 2 2 2 2 2 2 3 2 2" xfId="54633" xr:uid="{00000000-0005-0000-0000-0000E7D00000}"/>
    <cellStyle name="Normal 9 2 2 2 2 2 2 2 3 3" xfId="41071" xr:uid="{00000000-0005-0000-0000-0000E8D00000}"/>
    <cellStyle name="Normal 9 2 2 2 2 2 2 2 4" xfId="20719" xr:uid="{00000000-0005-0000-0000-0000E9D00000}"/>
    <cellStyle name="Normal 9 2 2 2 2 2 2 2 4 2" xfId="47852" xr:uid="{00000000-0005-0000-0000-0000EAD00000}"/>
    <cellStyle name="Normal 9 2 2 2 2 2 2 2 5" xfId="34290" xr:uid="{00000000-0005-0000-0000-0000EBD00000}"/>
    <cellStyle name="Normal 9 2 2 2 2 2 2 3" xfId="7007" xr:uid="{00000000-0005-0000-0000-0000ECD00000}"/>
    <cellStyle name="Normal 9 2 2 2 2 2 2 3 2" xfId="10533" xr:uid="{00000000-0005-0000-0000-0000EDD00000}"/>
    <cellStyle name="Normal 9 2 2 2 2 2 2 3 2 2" xfId="17322" xr:uid="{00000000-0005-0000-0000-0000EED00000}"/>
    <cellStyle name="Normal 9 2 2 2 2 2 2 3 2 2 2" xfId="30890" xr:uid="{00000000-0005-0000-0000-0000EFD00000}"/>
    <cellStyle name="Normal 9 2 2 2 2 2 2 3 2 2 2 2" xfId="58023" xr:uid="{00000000-0005-0000-0000-0000F0D00000}"/>
    <cellStyle name="Normal 9 2 2 2 2 2 2 3 2 2 3" xfId="44461" xr:uid="{00000000-0005-0000-0000-0000F1D00000}"/>
    <cellStyle name="Normal 9 2 2 2 2 2 2 3 2 3" xfId="24109" xr:uid="{00000000-0005-0000-0000-0000F2D00000}"/>
    <cellStyle name="Normal 9 2 2 2 2 2 2 3 2 3 2" xfId="51242" xr:uid="{00000000-0005-0000-0000-0000F3D00000}"/>
    <cellStyle name="Normal 9 2 2 2 2 2 2 3 2 4" xfId="37680" xr:uid="{00000000-0005-0000-0000-0000F4D00000}"/>
    <cellStyle name="Normal 9 2 2 2 2 2 2 3 3" xfId="13933" xr:uid="{00000000-0005-0000-0000-0000F5D00000}"/>
    <cellStyle name="Normal 9 2 2 2 2 2 2 3 3 2" xfId="27501" xr:uid="{00000000-0005-0000-0000-0000F6D00000}"/>
    <cellStyle name="Normal 9 2 2 2 2 2 2 3 3 2 2" xfId="54634" xr:uid="{00000000-0005-0000-0000-0000F7D00000}"/>
    <cellStyle name="Normal 9 2 2 2 2 2 2 3 3 3" xfId="41072" xr:uid="{00000000-0005-0000-0000-0000F8D00000}"/>
    <cellStyle name="Normal 9 2 2 2 2 2 2 3 4" xfId="20720" xr:uid="{00000000-0005-0000-0000-0000F9D00000}"/>
    <cellStyle name="Normal 9 2 2 2 2 2 2 3 4 2" xfId="47853" xr:uid="{00000000-0005-0000-0000-0000FAD00000}"/>
    <cellStyle name="Normal 9 2 2 2 2 2 2 3 5" xfId="34291" xr:uid="{00000000-0005-0000-0000-0000FBD00000}"/>
    <cellStyle name="Normal 9 2 2 2 2 2 2 4" xfId="10531" xr:uid="{00000000-0005-0000-0000-0000FCD00000}"/>
    <cellStyle name="Normal 9 2 2 2 2 2 2 4 2" xfId="17320" xr:uid="{00000000-0005-0000-0000-0000FDD00000}"/>
    <cellStyle name="Normal 9 2 2 2 2 2 2 4 2 2" xfId="30888" xr:uid="{00000000-0005-0000-0000-0000FED00000}"/>
    <cellStyle name="Normal 9 2 2 2 2 2 2 4 2 2 2" xfId="58021" xr:uid="{00000000-0005-0000-0000-0000FFD00000}"/>
    <cellStyle name="Normal 9 2 2 2 2 2 2 4 2 3" xfId="44459" xr:uid="{00000000-0005-0000-0000-000000D10000}"/>
    <cellStyle name="Normal 9 2 2 2 2 2 2 4 3" xfId="24107" xr:uid="{00000000-0005-0000-0000-000001D10000}"/>
    <cellStyle name="Normal 9 2 2 2 2 2 2 4 3 2" xfId="51240" xr:uid="{00000000-0005-0000-0000-000002D10000}"/>
    <cellStyle name="Normal 9 2 2 2 2 2 2 4 4" xfId="37678" xr:uid="{00000000-0005-0000-0000-000003D10000}"/>
    <cellStyle name="Normal 9 2 2 2 2 2 2 5" xfId="13931" xr:uid="{00000000-0005-0000-0000-000004D10000}"/>
    <cellStyle name="Normal 9 2 2 2 2 2 2 5 2" xfId="27499" xr:uid="{00000000-0005-0000-0000-000005D10000}"/>
    <cellStyle name="Normal 9 2 2 2 2 2 2 5 2 2" xfId="54632" xr:uid="{00000000-0005-0000-0000-000006D10000}"/>
    <cellStyle name="Normal 9 2 2 2 2 2 2 5 3" xfId="41070" xr:uid="{00000000-0005-0000-0000-000007D10000}"/>
    <cellStyle name="Normal 9 2 2 2 2 2 2 6" xfId="20718" xr:uid="{00000000-0005-0000-0000-000008D10000}"/>
    <cellStyle name="Normal 9 2 2 2 2 2 2 6 2" xfId="47851" xr:uid="{00000000-0005-0000-0000-000009D10000}"/>
    <cellStyle name="Normal 9 2 2 2 2 2 2 7" xfId="34289" xr:uid="{00000000-0005-0000-0000-00000AD10000}"/>
    <cellStyle name="Normal 9 2 2 2 2 2 3" xfId="7008" xr:uid="{00000000-0005-0000-0000-00000BD10000}"/>
    <cellStyle name="Normal 9 2 2 2 2 2 3 2" xfId="7009" xr:uid="{00000000-0005-0000-0000-00000CD10000}"/>
    <cellStyle name="Normal 9 2 2 2 2 2 3 2 2" xfId="10535" xr:uid="{00000000-0005-0000-0000-00000DD10000}"/>
    <cellStyle name="Normal 9 2 2 2 2 2 3 2 2 2" xfId="17324" xr:uid="{00000000-0005-0000-0000-00000ED10000}"/>
    <cellStyle name="Normal 9 2 2 2 2 2 3 2 2 2 2" xfId="30892" xr:uid="{00000000-0005-0000-0000-00000FD10000}"/>
    <cellStyle name="Normal 9 2 2 2 2 2 3 2 2 2 2 2" xfId="58025" xr:uid="{00000000-0005-0000-0000-000010D10000}"/>
    <cellStyle name="Normal 9 2 2 2 2 2 3 2 2 2 3" xfId="44463" xr:uid="{00000000-0005-0000-0000-000011D10000}"/>
    <cellStyle name="Normal 9 2 2 2 2 2 3 2 2 3" xfId="24111" xr:uid="{00000000-0005-0000-0000-000012D10000}"/>
    <cellStyle name="Normal 9 2 2 2 2 2 3 2 2 3 2" xfId="51244" xr:uid="{00000000-0005-0000-0000-000013D10000}"/>
    <cellStyle name="Normal 9 2 2 2 2 2 3 2 2 4" xfId="37682" xr:uid="{00000000-0005-0000-0000-000014D10000}"/>
    <cellStyle name="Normal 9 2 2 2 2 2 3 2 3" xfId="13935" xr:uid="{00000000-0005-0000-0000-000015D10000}"/>
    <cellStyle name="Normal 9 2 2 2 2 2 3 2 3 2" xfId="27503" xr:uid="{00000000-0005-0000-0000-000016D10000}"/>
    <cellStyle name="Normal 9 2 2 2 2 2 3 2 3 2 2" xfId="54636" xr:uid="{00000000-0005-0000-0000-000017D10000}"/>
    <cellStyle name="Normal 9 2 2 2 2 2 3 2 3 3" xfId="41074" xr:uid="{00000000-0005-0000-0000-000018D10000}"/>
    <cellStyle name="Normal 9 2 2 2 2 2 3 2 4" xfId="20722" xr:uid="{00000000-0005-0000-0000-000019D10000}"/>
    <cellStyle name="Normal 9 2 2 2 2 2 3 2 4 2" xfId="47855" xr:uid="{00000000-0005-0000-0000-00001AD10000}"/>
    <cellStyle name="Normal 9 2 2 2 2 2 3 2 5" xfId="34293" xr:uid="{00000000-0005-0000-0000-00001BD10000}"/>
    <cellStyle name="Normal 9 2 2 2 2 2 3 3" xfId="10534" xr:uid="{00000000-0005-0000-0000-00001CD10000}"/>
    <cellStyle name="Normal 9 2 2 2 2 2 3 3 2" xfId="17323" xr:uid="{00000000-0005-0000-0000-00001DD10000}"/>
    <cellStyle name="Normal 9 2 2 2 2 2 3 3 2 2" xfId="30891" xr:uid="{00000000-0005-0000-0000-00001ED10000}"/>
    <cellStyle name="Normal 9 2 2 2 2 2 3 3 2 2 2" xfId="58024" xr:uid="{00000000-0005-0000-0000-00001FD10000}"/>
    <cellStyle name="Normal 9 2 2 2 2 2 3 3 2 3" xfId="44462" xr:uid="{00000000-0005-0000-0000-000020D10000}"/>
    <cellStyle name="Normal 9 2 2 2 2 2 3 3 3" xfId="24110" xr:uid="{00000000-0005-0000-0000-000021D10000}"/>
    <cellStyle name="Normal 9 2 2 2 2 2 3 3 3 2" xfId="51243" xr:uid="{00000000-0005-0000-0000-000022D10000}"/>
    <cellStyle name="Normal 9 2 2 2 2 2 3 3 4" xfId="37681" xr:uid="{00000000-0005-0000-0000-000023D10000}"/>
    <cellStyle name="Normal 9 2 2 2 2 2 3 4" xfId="13934" xr:uid="{00000000-0005-0000-0000-000024D10000}"/>
    <cellStyle name="Normal 9 2 2 2 2 2 3 4 2" xfId="27502" xr:uid="{00000000-0005-0000-0000-000025D10000}"/>
    <cellStyle name="Normal 9 2 2 2 2 2 3 4 2 2" xfId="54635" xr:uid="{00000000-0005-0000-0000-000026D10000}"/>
    <cellStyle name="Normal 9 2 2 2 2 2 3 4 3" xfId="41073" xr:uid="{00000000-0005-0000-0000-000027D10000}"/>
    <cellStyle name="Normal 9 2 2 2 2 2 3 5" xfId="20721" xr:uid="{00000000-0005-0000-0000-000028D10000}"/>
    <cellStyle name="Normal 9 2 2 2 2 2 3 5 2" xfId="47854" xr:uid="{00000000-0005-0000-0000-000029D10000}"/>
    <cellStyle name="Normal 9 2 2 2 2 2 3 6" xfId="34292" xr:uid="{00000000-0005-0000-0000-00002AD10000}"/>
    <cellStyle name="Normal 9 2 2 2 2 2 4" xfId="7010" xr:uid="{00000000-0005-0000-0000-00002BD10000}"/>
    <cellStyle name="Normal 9 2 2 2 2 2 4 2" xfId="10536" xr:uid="{00000000-0005-0000-0000-00002CD10000}"/>
    <cellStyle name="Normal 9 2 2 2 2 2 4 2 2" xfId="17325" xr:uid="{00000000-0005-0000-0000-00002DD10000}"/>
    <cellStyle name="Normal 9 2 2 2 2 2 4 2 2 2" xfId="30893" xr:uid="{00000000-0005-0000-0000-00002ED10000}"/>
    <cellStyle name="Normal 9 2 2 2 2 2 4 2 2 2 2" xfId="58026" xr:uid="{00000000-0005-0000-0000-00002FD10000}"/>
    <cellStyle name="Normal 9 2 2 2 2 2 4 2 2 3" xfId="44464" xr:uid="{00000000-0005-0000-0000-000030D10000}"/>
    <cellStyle name="Normal 9 2 2 2 2 2 4 2 3" xfId="24112" xr:uid="{00000000-0005-0000-0000-000031D10000}"/>
    <cellStyle name="Normal 9 2 2 2 2 2 4 2 3 2" xfId="51245" xr:uid="{00000000-0005-0000-0000-000032D10000}"/>
    <cellStyle name="Normal 9 2 2 2 2 2 4 2 4" xfId="37683" xr:uid="{00000000-0005-0000-0000-000033D10000}"/>
    <cellStyle name="Normal 9 2 2 2 2 2 4 3" xfId="13936" xr:uid="{00000000-0005-0000-0000-000034D10000}"/>
    <cellStyle name="Normal 9 2 2 2 2 2 4 3 2" xfId="27504" xr:uid="{00000000-0005-0000-0000-000035D10000}"/>
    <cellStyle name="Normal 9 2 2 2 2 2 4 3 2 2" xfId="54637" xr:uid="{00000000-0005-0000-0000-000036D10000}"/>
    <cellStyle name="Normal 9 2 2 2 2 2 4 3 3" xfId="41075" xr:uid="{00000000-0005-0000-0000-000037D10000}"/>
    <cellStyle name="Normal 9 2 2 2 2 2 4 4" xfId="20723" xr:uid="{00000000-0005-0000-0000-000038D10000}"/>
    <cellStyle name="Normal 9 2 2 2 2 2 4 4 2" xfId="47856" xr:uid="{00000000-0005-0000-0000-000039D10000}"/>
    <cellStyle name="Normal 9 2 2 2 2 2 4 5" xfId="34294" xr:uid="{00000000-0005-0000-0000-00003AD10000}"/>
    <cellStyle name="Normal 9 2 2 2 2 2 5" xfId="7011" xr:uid="{00000000-0005-0000-0000-00003BD10000}"/>
    <cellStyle name="Normal 9 2 2 2 2 2 5 2" xfId="10537" xr:uid="{00000000-0005-0000-0000-00003CD10000}"/>
    <cellStyle name="Normal 9 2 2 2 2 2 5 2 2" xfId="17326" xr:uid="{00000000-0005-0000-0000-00003DD10000}"/>
    <cellStyle name="Normal 9 2 2 2 2 2 5 2 2 2" xfId="30894" xr:uid="{00000000-0005-0000-0000-00003ED10000}"/>
    <cellStyle name="Normal 9 2 2 2 2 2 5 2 2 2 2" xfId="58027" xr:uid="{00000000-0005-0000-0000-00003FD10000}"/>
    <cellStyle name="Normal 9 2 2 2 2 2 5 2 2 3" xfId="44465" xr:uid="{00000000-0005-0000-0000-000040D10000}"/>
    <cellStyle name="Normal 9 2 2 2 2 2 5 2 3" xfId="24113" xr:uid="{00000000-0005-0000-0000-000041D10000}"/>
    <cellStyle name="Normal 9 2 2 2 2 2 5 2 3 2" xfId="51246" xr:uid="{00000000-0005-0000-0000-000042D10000}"/>
    <cellStyle name="Normal 9 2 2 2 2 2 5 2 4" xfId="37684" xr:uid="{00000000-0005-0000-0000-000043D10000}"/>
    <cellStyle name="Normal 9 2 2 2 2 2 5 3" xfId="13937" xr:uid="{00000000-0005-0000-0000-000044D10000}"/>
    <cellStyle name="Normal 9 2 2 2 2 2 5 3 2" xfId="27505" xr:uid="{00000000-0005-0000-0000-000045D10000}"/>
    <cellStyle name="Normal 9 2 2 2 2 2 5 3 2 2" xfId="54638" xr:uid="{00000000-0005-0000-0000-000046D10000}"/>
    <cellStyle name="Normal 9 2 2 2 2 2 5 3 3" xfId="41076" xr:uid="{00000000-0005-0000-0000-000047D10000}"/>
    <cellStyle name="Normal 9 2 2 2 2 2 5 4" xfId="20724" xr:uid="{00000000-0005-0000-0000-000048D10000}"/>
    <cellStyle name="Normal 9 2 2 2 2 2 5 4 2" xfId="47857" xr:uid="{00000000-0005-0000-0000-000049D10000}"/>
    <cellStyle name="Normal 9 2 2 2 2 2 5 5" xfId="34295" xr:uid="{00000000-0005-0000-0000-00004AD10000}"/>
    <cellStyle name="Normal 9 2 2 2 2 2 6" xfId="10530" xr:uid="{00000000-0005-0000-0000-00004BD10000}"/>
    <cellStyle name="Normal 9 2 2 2 2 2 6 2" xfId="17319" xr:uid="{00000000-0005-0000-0000-00004CD10000}"/>
    <cellStyle name="Normal 9 2 2 2 2 2 6 2 2" xfId="30887" xr:uid="{00000000-0005-0000-0000-00004DD10000}"/>
    <cellStyle name="Normal 9 2 2 2 2 2 6 2 2 2" xfId="58020" xr:uid="{00000000-0005-0000-0000-00004ED10000}"/>
    <cellStyle name="Normal 9 2 2 2 2 2 6 2 3" xfId="44458" xr:uid="{00000000-0005-0000-0000-00004FD10000}"/>
    <cellStyle name="Normal 9 2 2 2 2 2 6 3" xfId="24106" xr:uid="{00000000-0005-0000-0000-000050D10000}"/>
    <cellStyle name="Normal 9 2 2 2 2 2 6 3 2" xfId="51239" xr:uid="{00000000-0005-0000-0000-000051D10000}"/>
    <cellStyle name="Normal 9 2 2 2 2 2 6 4" xfId="37677" xr:uid="{00000000-0005-0000-0000-000052D10000}"/>
    <cellStyle name="Normal 9 2 2 2 2 2 7" xfId="13930" xr:uid="{00000000-0005-0000-0000-000053D10000}"/>
    <cellStyle name="Normal 9 2 2 2 2 2 7 2" xfId="27498" xr:uid="{00000000-0005-0000-0000-000054D10000}"/>
    <cellStyle name="Normal 9 2 2 2 2 2 7 2 2" xfId="54631" xr:uid="{00000000-0005-0000-0000-000055D10000}"/>
    <cellStyle name="Normal 9 2 2 2 2 2 7 3" xfId="41069" xr:uid="{00000000-0005-0000-0000-000056D10000}"/>
    <cellStyle name="Normal 9 2 2 2 2 2 8" xfId="20717" xr:uid="{00000000-0005-0000-0000-000057D10000}"/>
    <cellStyle name="Normal 9 2 2 2 2 2 8 2" xfId="47850" xr:uid="{00000000-0005-0000-0000-000058D10000}"/>
    <cellStyle name="Normal 9 2 2 2 2 2 9" xfId="34288" xr:uid="{00000000-0005-0000-0000-000059D10000}"/>
    <cellStyle name="Normal 9 2 2 2 2 3" xfId="7012" xr:uid="{00000000-0005-0000-0000-00005AD10000}"/>
    <cellStyle name="Normal 9 2 2 2 2 3 2" xfId="7013" xr:uid="{00000000-0005-0000-0000-00005BD10000}"/>
    <cellStyle name="Normal 9 2 2 2 2 3 2 2" xfId="10539" xr:uid="{00000000-0005-0000-0000-00005CD10000}"/>
    <cellStyle name="Normal 9 2 2 2 2 3 2 2 2" xfId="17328" xr:uid="{00000000-0005-0000-0000-00005DD10000}"/>
    <cellStyle name="Normal 9 2 2 2 2 3 2 2 2 2" xfId="30896" xr:uid="{00000000-0005-0000-0000-00005ED10000}"/>
    <cellStyle name="Normal 9 2 2 2 2 3 2 2 2 2 2" xfId="58029" xr:uid="{00000000-0005-0000-0000-00005FD10000}"/>
    <cellStyle name="Normal 9 2 2 2 2 3 2 2 2 3" xfId="44467" xr:uid="{00000000-0005-0000-0000-000060D10000}"/>
    <cellStyle name="Normal 9 2 2 2 2 3 2 2 3" xfId="24115" xr:uid="{00000000-0005-0000-0000-000061D10000}"/>
    <cellStyle name="Normal 9 2 2 2 2 3 2 2 3 2" xfId="51248" xr:uid="{00000000-0005-0000-0000-000062D10000}"/>
    <cellStyle name="Normal 9 2 2 2 2 3 2 2 4" xfId="37686" xr:uid="{00000000-0005-0000-0000-000063D10000}"/>
    <cellStyle name="Normal 9 2 2 2 2 3 2 3" xfId="13939" xr:uid="{00000000-0005-0000-0000-000064D10000}"/>
    <cellStyle name="Normal 9 2 2 2 2 3 2 3 2" xfId="27507" xr:uid="{00000000-0005-0000-0000-000065D10000}"/>
    <cellStyle name="Normal 9 2 2 2 2 3 2 3 2 2" xfId="54640" xr:uid="{00000000-0005-0000-0000-000066D10000}"/>
    <cellStyle name="Normal 9 2 2 2 2 3 2 3 3" xfId="41078" xr:uid="{00000000-0005-0000-0000-000067D10000}"/>
    <cellStyle name="Normal 9 2 2 2 2 3 2 4" xfId="20726" xr:uid="{00000000-0005-0000-0000-000068D10000}"/>
    <cellStyle name="Normal 9 2 2 2 2 3 2 4 2" xfId="47859" xr:uid="{00000000-0005-0000-0000-000069D10000}"/>
    <cellStyle name="Normal 9 2 2 2 2 3 2 5" xfId="34297" xr:uid="{00000000-0005-0000-0000-00006AD10000}"/>
    <cellStyle name="Normal 9 2 2 2 2 3 3" xfId="7014" xr:uid="{00000000-0005-0000-0000-00006BD10000}"/>
    <cellStyle name="Normal 9 2 2 2 2 3 3 2" xfId="10540" xr:uid="{00000000-0005-0000-0000-00006CD10000}"/>
    <cellStyle name="Normal 9 2 2 2 2 3 3 2 2" xfId="17329" xr:uid="{00000000-0005-0000-0000-00006DD10000}"/>
    <cellStyle name="Normal 9 2 2 2 2 3 3 2 2 2" xfId="30897" xr:uid="{00000000-0005-0000-0000-00006ED10000}"/>
    <cellStyle name="Normal 9 2 2 2 2 3 3 2 2 2 2" xfId="58030" xr:uid="{00000000-0005-0000-0000-00006FD10000}"/>
    <cellStyle name="Normal 9 2 2 2 2 3 3 2 2 3" xfId="44468" xr:uid="{00000000-0005-0000-0000-000070D10000}"/>
    <cellStyle name="Normal 9 2 2 2 2 3 3 2 3" xfId="24116" xr:uid="{00000000-0005-0000-0000-000071D10000}"/>
    <cellStyle name="Normal 9 2 2 2 2 3 3 2 3 2" xfId="51249" xr:uid="{00000000-0005-0000-0000-000072D10000}"/>
    <cellStyle name="Normal 9 2 2 2 2 3 3 2 4" xfId="37687" xr:uid="{00000000-0005-0000-0000-000073D10000}"/>
    <cellStyle name="Normal 9 2 2 2 2 3 3 3" xfId="13940" xr:uid="{00000000-0005-0000-0000-000074D10000}"/>
    <cellStyle name="Normal 9 2 2 2 2 3 3 3 2" xfId="27508" xr:uid="{00000000-0005-0000-0000-000075D10000}"/>
    <cellStyle name="Normal 9 2 2 2 2 3 3 3 2 2" xfId="54641" xr:uid="{00000000-0005-0000-0000-000076D10000}"/>
    <cellStyle name="Normal 9 2 2 2 2 3 3 3 3" xfId="41079" xr:uid="{00000000-0005-0000-0000-000077D10000}"/>
    <cellStyle name="Normal 9 2 2 2 2 3 3 4" xfId="20727" xr:uid="{00000000-0005-0000-0000-000078D10000}"/>
    <cellStyle name="Normal 9 2 2 2 2 3 3 4 2" xfId="47860" xr:uid="{00000000-0005-0000-0000-000079D10000}"/>
    <cellStyle name="Normal 9 2 2 2 2 3 3 5" xfId="34298" xr:uid="{00000000-0005-0000-0000-00007AD10000}"/>
    <cellStyle name="Normal 9 2 2 2 2 3 4" xfId="10538" xr:uid="{00000000-0005-0000-0000-00007BD10000}"/>
    <cellStyle name="Normal 9 2 2 2 2 3 4 2" xfId="17327" xr:uid="{00000000-0005-0000-0000-00007CD10000}"/>
    <cellStyle name="Normal 9 2 2 2 2 3 4 2 2" xfId="30895" xr:uid="{00000000-0005-0000-0000-00007DD10000}"/>
    <cellStyle name="Normal 9 2 2 2 2 3 4 2 2 2" xfId="58028" xr:uid="{00000000-0005-0000-0000-00007ED10000}"/>
    <cellStyle name="Normal 9 2 2 2 2 3 4 2 3" xfId="44466" xr:uid="{00000000-0005-0000-0000-00007FD10000}"/>
    <cellStyle name="Normal 9 2 2 2 2 3 4 3" xfId="24114" xr:uid="{00000000-0005-0000-0000-000080D10000}"/>
    <cellStyle name="Normal 9 2 2 2 2 3 4 3 2" xfId="51247" xr:uid="{00000000-0005-0000-0000-000081D10000}"/>
    <cellStyle name="Normal 9 2 2 2 2 3 4 4" xfId="37685" xr:uid="{00000000-0005-0000-0000-000082D10000}"/>
    <cellStyle name="Normal 9 2 2 2 2 3 5" xfId="13938" xr:uid="{00000000-0005-0000-0000-000083D10000}"/>
    <cellStyle name="Normal 9 2 2 2 2 3 5 2" xfId="27506" xr:uid="{00000000-0005-0000-0000-000084D10000}"/>
    <cellStyle name="Normal 9 2 2 2 2 3 5 2 2" xfId="54639" xr:uid="{00000000-0005-0000-0000-000085D10000}"/>
    <cellStyle name="Normal 9 2 2 2 2 3 5 3" xfId="41077" xr:uid="{00000000-0005-0000-0000-000086D10000}"/>
    <cellStyle name="Normal 9 2 2 2 2 3 6" xfId="20725" xr:uid="{00000000-0005-0000-0000-000087D10000}"/>
    <cellStyle name="Normal 9 2 2 2 2 3 6 2" xfId="47858" xr:uid="{00000000-0005-0000-0000-000088D10000}"/>
    <cellStyle name="Normal 9 2 2 2 2 3 7" xfId="34296" xr:uid="{00000000-0005-0000-0000-000089D10000}"/>
    <cellStyle name="Normal 9 2 2 2 2 4" xfId="7015" xr:uid="{00000000-0005-0000-0000-00008AD10000}"/>
    <cellStyle name="Normal 9 2 2 2 2 4 2" xfId="7016" xr:uid="{00000000-0005-0000-0000-00008BD10000}"/>
    <cellStyle name="Normal 9 2 2 2 2 4 2 2" xfId="10542" xr:uid="{00000000-0005-0000-0000-00008CD10000}"/>
    <cellStyle name="Normal 9 2 2 2 2 4 2 2 2" xfId="17331" xr:uid="{00000000-0005-0000-0000-00008DD10000}"/>
    <cellStyle name="Normal 9 2 2 2 2 4 2 2 2 2" xfId="30899" xr:uid="{00000000-0005-0000-0000-00008ED10000}"/>
    <cellStyle name="Normal 9 2 2 2 2 4 2 2 2 2 2" xfId="58032" xr:uid="{00000000-0005-0000-0000-00008FD10000}"/>
    <cellStyle name="Normal 9 2 2 2 2 4 2 2 2 3" xfId="44470" xr:uid="{00000000-0005-0000-0000-000090D10000}"/>
    <cellStyle name="Normal 9 2 2 2 2 4 2 2 3" xfId="24118" xr:uid="{00000000-0005-0000-0000-000091D10000}"/>
    <cellStyle name="Normal 9 2 2 2 2 4 2 2 3 2" xfId="51251" xr:uid="{00000000-0005-0000-0000-000092D10000}"/>
    <cellStyle name="Normal 9 2 2 2 2 4 2 2 4" xfId="37689" xr:uid="{00000000-0005-0000-0000-000093D10000}"/>
    <cellStyle name="Normal 9 2 2 2 2 4 2 3" xfId="13942" xr:uid="{00000000-0005-0000-0000-000094D10000}"/>
    <cellStyle name="Normal 9 2 2 2 2 4 2 3 2" xfId="27510" xr:uid="{00000000-0005-0000-0000-000095D10000}"/>
    <cellStyle name="Normal 9 2 2 2 2 4 2 3 2 2" xfId="54643" xr:uid="{00000000-0005-0000-0000-000096D10000}"/>
    <cellStyle name="Normal 9 2 2 2 2 4 2 3 3" xfId="41081" xr:uid="{00000000-0005-0000-0000-000097D10000}"/>
    <cellStyle name="Normal 9 2 2 2 2 4 2 4" xfId="20729" xr:uid="{00000000-0005-0000-0000-000098D10000}"/>
    <cellStyle name="Normal 9 2 2 2 2 4 2 4 2" xfId="47862" xr:uid="{00000000-0005-0000-0000-000099D10000}"/>
    <cellStyle name="Normal 9 2 2 2 2 4 2 5" xfId="34300" xr:uid="{00000000-0005-0000-0000-00009AD10000}"/>
    <cellStyle name="Normal 9 2 2 2 2 4 3" xfId="10541" xr:uid="{00000000-0005-0000-0000-00009BD10000}"/>
    <cellStyle name="Normal 9 2 2 2 2 4 3 2" xfId="17330" xr:uid="{00000000-0005-0000-0000-00009CD10000}"/>
    <cellStyle name="Normal 9 2 2 2 2 4 3 2 2" xfId="30898" xr:uid="{00000000-0005-0000-0000-00009DD10000}"/>
    <cellStyle name="Normal 9 2 2 2 2 4 3 2 2 2" xfId="58031" xr:uid="{00000000-0005-0000-0000-00009ED10000}"/>
    <cellStyle name="Normal 9 2 2 2 2 4 3 2 3" xfId="44469" xr:uid="{00000000-0005-0000-0000-00009FD10000}"/>
    <cellStyle name="Normal 9 2 2 2 2 4 3 3" xfId="24117" xr:uid="{00000000-0005-0000-0000-0000A0D10000}"/>
    <cellStyle name="Normal 9 2 2 2 2 4 3 3 2" xfId="51250" xr:uid="{00000000-0005-0000-0000-0000A1D10000}"/>
    <cellStyle name="Normal 9 2 2 2 2 4 3 4" xfId="37688" xr:uid="{00000000-0005-0000-0000-0000A2D10000}"/>
    <cellStyle name="Normal 9 2 2 2 2 4 4" xfId="13941" xr:uid="{00000000-0005-0000-0000-0000A3D10000}"/>
    <cellStyle name="Normal 9 2 2 2 2 4 4 2" xfId="27509" xr:uid="{00000000-0005-0000-0000-0000A4D10000}"/>
    <cellStyle name="Normal 9 2 2 2 2 4 4 2 2" xfId="54642" xr:uid="{00000000-0005-0000-0000-0000A5D10000}"/>
    <cellStyle name="Normal 9 2 2 2 2 4 4 3" xfId="41080" xr:uid="{00000000-0005-0000-0000-0000A6D10000}"/>
    <cellStyle name="Normal 9 2 2 2 2 4 5" xfId="20728" xr:uid="{00000000-0005-0000-0000-0000A7D10000}"/>
    <cellStyle name="Normal 9 2 2 2 2 4 5 2" xfId="47861" xr:uid="{00000000-0005-0000-0000-0000A8D10000}"/>
    <cellStyle name="Normal 9 2 2 2 2 4 6" xfId="34299" xr:uid="{00000000-0005-0000-0000-0000A9D10000}"/>
    <cellStyle name="Normal 9 2 2 2 2 5" xfId="7017" xr:uid="{00000000-0005-0000-0000-0000AAD10000}"/>
    <cellStyle name="Normal 9 2 2 2 2 5 2" xfId="10543" xr:uid="{00000000-0005-0000-0000-0000ABD10000}"/>
    <cellStyle name="Normal 9 2 2 2 2 5 2 2" xfId="17332" xr:uid="{00000000-0005-0000-0000-0000ACD10000}"/>
    <cellStyle name="Normal 9 2 2 2 2 5 2 2 2" xfId="30900" xr:uid="{00000000-0005-0000-0000-0000ADD10000}"/>
    <cellStyle name="Normal 9 2 2 2 2 5 2 2 2 2" xfId="58033" xr:uid="{00000000-0005-0000-0000-0000AED10000}"/>
    <cellStyle name="Normal 9 2 2 2 2 5 2 2 3" xfId="44471" xr:uid="{00000000-0005-0000-0000-0000AFD10000}"/>
    <cellStyle name="Normal 9 2 2 2 2 5 2 3" xfId="24119" xr:uid="{00000000-0005-0000-0000-0000B0D10000}"/>
    <cellStyle name="Normal 9 2 2 2 2 5 2 3 2" xfId="51252" xr:uid="{00000000-0005-0000-0000-0000B1D10000}"/>
    <cellStyle name="Normal 9 2 2 2 2 5 2 4" xfId="37690" xr:uid="{00000000-0005-0000-0000-0000B2D10000}"/>
    <cellStyle name="Normal 9 2 2 2 2 5 3" xfId="13943" xr:uid="{00000000-0005-0000-0000-0000B3D10000}"/>
    <cellStyle name="Normal 9 2 2 2 2 5 3 2" xfId="27511" xr:uid="{00000000-0005-0000-0000-0000B4D10000}"/>
    <cellStyle name="Normal 9 2 2 2 2 5 3 2 2" xfId="54644" xr:uid="{00000000-0005-0000-0000-0000B5D10000}"/>
    <cellStyle name="Normal 9 2 2 2 2 5 3 3" xfId="41082" xr:uid="{00000000-0005-0000-0000-0000B6D10000}"/>
    <cellStyle name="Normal 9 2 2 2 2 5 4" xfId="20730" xr:uid="{00000000-0005-0000-0000-0000B7D10000}"/>
    <cellStyle name="Normal 9 2 2 2 2 5 4 2" xfId="47863" xr:uid="{00000000-0005-0000-0000-0000B8D10000}"/>
    <cellStyle name="Normal 9 2 2 2 2 5 5" xfId="34301" xr:uid="{00000000-0005-0000-0000-0000B9D10000}"/>
    <cellStyle name="Normal 9 2 2 2 2 6" xfId="7018" xr:uid="{00000000-0005-0000-0000-0000BAD10000}"/>
    <cellStyle name="Normal 9 2 2 2 2 6 2" xfId="10544" xr:uid="{00000000-0005-0000-0000-0000BBD10000}"/>
    <cellStyle name="Normal 9 2 2 2 2 6 2 2" xfId="17333" xr:uid="{00000000-0005-0000-0000-0000BCD10000}"/>
    <cellStyle name="Normal 9 2 2 2 2 6 2 2 2" xfId="30901" xr:uid="{00000000-0005-0000-0000-0000BDD10000}"/>
    <cellStyle name="Normal 9 2 2 2 2 6 2 2 2 2" xfId="58034" xr:uid="{00000000-0005-0000-0000-0000BED10000}"/>
    <cellStyle name="Normal 9 2 2 2 2 6 2 2 3" xfId="44472" xr:uid="{00000000-0005-0000-0000-0000BFD10000}"/>
    <cellStyle name="Normal 9 2 2 2 2 6 2 3" xfId="24120" xr:uid="{00000000-0005-0000-0000-0000C0D10000}"/>
    <cellStyle name="Normal 9 2 2 2 2 6 2 3 2" xfId="51253" xr:uid="{00000000-0005-0000-0000-0000C1D10000}"/>
    <cellStyle name="Normal 9 2 2 2 2 6 2 4" xfId="37691" xr:uid="{00000000-0005-0000-0000-0000C2D10000}"/>
    <cellStyle name="Normal 9 2 2 2 2 6 3" xfId="13944" xr:uid="{00000000-0005-0000-0000-0000C3D10000}"/>
    <cellStyle name="Normal 9 2 2 2 2 6 3 2" xfId="27512" xr:uid="{00000000-0005-0000-0000-0000C4D10000}"/>
    <cellStyle name="Normal 9 2 2 2 2 6 3 2 2" xfId="54645" xr:uid="{00000000-0005-0000-0000-0000C5D10000}"/>
    <cellStyle name="Normal 9 2 2 2 2 6 3 3" xfId="41083" xr:uid="{00000000-0005-0000-0000-0000C6D10000}"/>
    <cellStyle name="Normal 9 2 2 2 2 6 4" xfId="20731" xr:uid="{00000000-0005-0000-0000-0000C7D10000}"/>
    <cellStyle name="Normal 9 2 2 2 2 6 4 2" xfId="47864" xr:uid="{00000000-0005-0000-0000-0000C8D10000}"/>
    <cellStyle name="Normal 9 2 2 2 2 6 5" xfId="34302" xr:uid="{00000000-0005-0000-0000-0000C9D10000}"/>
    <cellStyle name="Normal 9 2 2 2 2 7" xfId="10529" xr:uid="{00000000-0005-0000-0000-0000CAD10000}"/>
    <cellStyle name="Normal 9 2 2 2 2 7 2" xfId="17318" xr:uid="{00000000-0005-0000-0000-0000CBD10000}"/>
    <cellStyle name="Normal 9 2 2 2 2 7 2 2" xfId="30886" xr:uid="{00000000-0005-0000-0000-0000CCD10000}"/>
    <cellStyle name="Normal 9 2 2 2 2 7 2 2 2" xfId="58019" xr:uid="{00000000-0005-0000-0000-0000CDD10000}"/>
    <cellStyle name="Normal 9 2 2 2 2 7 2 3" xfId="44457" xr:uid="{00000000-0005-0000-0000-0000CED10000}"/>
    <cellStyle name="Normal 9 2 2 2 2 7 3" xfId="24105" xr:uid="{00000000-0005-0000-0000-0000CFD10000}"/>
    <cellStyle name="Normal 9 2 2 2 2 7 3 2" xfId="51238" xr:uid="{00000000-0005-0000-0000-0000D0D10000}"/>
    <cellStyle name="Normal 9 2 2 2 2 7 4" xfId="37676" xr:uid="{00000000-0005-0000-0000-0000D1D10000}"/>
    <cellStyle name="Normal 9 2 2 2 2 8" xfId="13929" xr:uid="{00000000-0005-0000-0000-0000D2D10000}"/>
    <cellStyle name="Normal 9 2 2 2 2 8 2" xfId="27497" xr:uid="{00000000-0005-0000-0000-0000D3D10000}"/>
    <cellStyle name="Normal 9 2 2 2 2 8 2 2" xfId="54630" xr:uid="{00000000-0005-0000-0000-0000D4D10000}"/>
    <cellStyle name="Normal 9 2 2 2 2 8 3" xfId="41068" xr:uid="{00000000-0005-0000-0000-0000D5D10000}"/>
    <cellStyle name="Normal 9 2 2 2 2 9" xfId="20716" xr:uid="{00000000-0005-0000-0000-0000D6D10000}"/>
    <cellStyle name="Normal 9 2 2 2 2 9 2" xfId="47849" xr:uid="{00000000-0005-0000-0000-0000D7D10000}"/>
    <cellStyle name="Normal 9 2 2 2 3" xfId="7019" xr:uid="{00000000-0005-0000-0000-0000D8D10000}"/>
    <cellStyle name="Normal 9 2 2 2 3 2" xfId="7020" xr:uid="{00000000-0005-0000-0000-0000D9D10000}"/>
    <cellStyle name="Normal 9 2 2 2 3 2 2" xfId="7021" xr:uid="{00000000-0005-0000-0000-0000DAD10000}"/>
    <cellStyle name="Normal 9 2 2 2 3 2 2 2" xfId="10547" xr:uid="{00000000-0005-0000-0000-0000DBD10000}"/>
    <cellStyle name="Normal 9 2 2 2 3 2 2 2 2" xfId="17336" xr:uid="{00000000-0005-0000-0000-0000DCD10000}"/>
    <cellStyle name="Normal 9 2 2 2 3 2 2 2 2 2" xfId="30904" xr:uid="{00000000-0005-0000-0000-0000DDD10000}"/>
    <cellStyle name="Normal 9 2 2 2 3 2 2 2 2 2 2" xfId="58037" xr:uid="{00000000-0005-0000-0000-0000DED10000}"/>
    <cellStyle name="Normal 9 2 2 2 3 2 2 2 2 3" xfId="44475" xr:uid="{00000000-0005-0000-0000-0000DFD10000}"/>
    <cellStyle name="Normal 9 2 2 2 3 2 2 2 3" xfId="24123" xr:uid="{00000000-0005-0000-0000-0000E0D10000}"/>
    <cellStyle name="Normal 9 2 2 2 3 2 2 2 3 2" xfId="51256" xr:uid="{00000000-0005-0000-0000-0000E1D10000}"/>
    <cellStyle name="Normal 9 2 2 2 3 2 2 2 4" xfId="37694" xr:uid="{00000000-0005-0000-0000-0000E2D10000}"/>
    <cellStyle name="Normal 9 2 2 2 3 2 2 3" xfId="13947" xr:uid="{00000000-0005-0000-0000-0000E3D10000}"/>
    <cellStyle name="Normal 9 2 2 2 3 2 2 3 2" xfId="27515" xr:uid="{00000000-0005-0000-0000-0000E4D10000}"/>
    <cellStyle name="Normal 9 2 2 2 3 2 2 3 2 2" xfId="54648" xr:uid="{00000000-0005-0000-0000-0000E5D10000}"/>
    <cellStyle name="Normal 9 2 2 2 3 2 2 3 3" xfId="41086" xr:uid="{00000000-0005-0000-0000-0000E6D10000}"/>
    <cellStyle name="Normal 9 2 2 2 3 2 2 4" xfId="20734" xr:uid="{00000000-0005-0000-0000-0000E7D10000}"/>
    <cellStyle name="Normal 9 2 2 2 3 2 2 4 2" xfId="47867" xr:uid="{00000000-0005-0000-0000-0000E8D10000}"/>
    <cellStyle name="Normal 9 2 2 2 3 2 2 5" xfId="34305" xr:uid="{00000000-0005-0000-0000-0000E9D10000}"/>
    <cellStyle name="Normal 9 2 2 2 3 2 3" xfId="7022" xr:uid="{00000000-0005-0000-0000-0000EAD10000}"/>
    <cellStyle name="Normal 9 2 2 2 3 2 3 2" xfId="10548" xr:uid="{00000000-0005-0000-0000-0000EBD10000}"/>
    <cellStyle name="Normal 9 2 2 2 3 2 3 2 2" xfId="17337" xr:uid="{00000000-0005-0000-0000-0000ECD10000}"/>
    <cellStyle name="Normal 9 2 2 2 3 2 3 2 2 2" xfId="30905" xr:uid="{00000000-0005-0000-0000-0000EDD10000}"/>
    <cellStyle name="Normal 9 2 2 2 3 2 3 2 2 2 2" xfId="58038" xr:uid="{00000000-0005-0000-0000-0000EED10000}"/>
    <cellStyle name="Normal 9 2 2 2 3 2 3 2 2 3" xfId="44476" xr:uid="{00000000-0005-0000-0000-0000EFD10000}"/>
    <cellStyle name="Normal 9 2 2 2 3 2 3 2 3" xfId="24124" xr:uid="{00000000-0005-0000-0000-0000F0D10000}"/>
    <cellStyle name="Normal 9 2 2 2 3 2 3 2 3 2" xfId="51257" xr:uid="{00000000-0005-0000-0000-0000F1D10000}"/>
    <cellStyle name="Normal 9 2 2 2 3 2 3 2 4" xfId="37695" xr:uid="{00000000-0005-0000-0000-0000F2D10000}"/>
    <cellStyle name="Normal 9 2 2 2 3 2 3 3" xfId="13948" xr:uid="{00000000-0005-0000-0000-0000F3D10000}"/>
    <cellStyle name="Normal 9 2 2 2 3 2 3 3 2" xfId="27516" xr:uid="{00000000-0005-0000-0000-0000F4D10000}"/>
    <cellStyle name="Normal 9 2 2 2 3 2 3 3 2 2" xfId="54649" xr:uid="{00000000-0005-0000-0000-0000F5D10000}"/>
    <cellStyle name="Normal 9 2 2 2 3 2 3 3 3" xfId="41087" xr:uid="{00000000-0005-0000-0000-0000F6D10000}"/>
    <cellStyle name="Normal 9 2 2 2 3 2 3 4" xfId="20735" xr:uid="{00000000-0005-0000-0000-0000F7D10000}"/>
    <cellStyle name="Normal 9 2 2 2 3 2 3 4 2" xfId="47868" xr:uid="{00000000-0005-0000-0000-0000F8D10000}"/>
    <cellStyle name="Normal 9 2 2 2 3 2 3 5" xfId="34306" xr:uid="{00000000-0005-0000-0000-0000F9D10000}"/>
    <cellStyle name="Normal 9 2 2 2 3 2 4" xfId="10546" xr:uid="{00000000-0005-0000-0000-0000FAD10000}"/>
    <cellStyle name="Normal 9 2 2 2 3 2 4 2" xfId="17335" xr:uid="{00000000-0005-0000-0000-0000FBD10000}"/>
    <cellStyle name="Normal 9 2 2 2 3 2 4 2 2" xfId="30903" xr:uid="{00000000-0005-0000-0000-0000FCD10000}"/>
    <cellStyle name="Normal 9 2 2 2 3 2 4 2 2 2" xfId="58036" xr:uid="{00000000-0005-0000-0000-0000FDD10000}"/>
    <cellStyle name="Normal 9 2 2 2 3 2 4 2 3" xfId="44474" xr:uid="{00000000-0005-0000-0000-0000FED10000}"/>
    <cellStyle name="Normal 9 2 2 2 3 2 4 3" xfId="24122" xr:uid="{00000000-0005-0000-0000-0000FFD10000}"/>
    <cellStyle name="Normal 9 2 2 2 3 2 4 3 2" xfId="51255" xr:uid="{00000000-0005-0000-0000-000000D20000}"/>
    <cellStyle name="Normal 9 2 2 2 3 2 4 4" xfId="37693" xr:uid="{00000000-0005-0000-0000-000001D20000}"/>
    <cellStyle name="Normal 9 2 2 2 3 2 5" xfId="13946" xr:uid="{00000000-0005-0000-0000-000002D20000}"/>
    <cellStyle name="Normal 9 2 2 2 3 2 5 2" xfId="27514" xr:uid="{00000000-0005-0000-0000-000003D20000}"/>
    <cellStyle name="Normal 9 2 2 2 3 2 5 2 2" xfId="54647" xr:uid="{00000000-0005-0000-0000-000004D20000}"/>
    <cellStyle name="Normal 9 2 2 2 3 2 5 3" xfId="41085" xr:uid="{00000000-0005-0000-0000-000005D20000}"/>
    <cellStyle name="Normal 9 2 2 2 3 2 6" xfId="20733" xr:uid="{00000000-0005-0000-0000-000006D20000}"/>
    <cellStyle name="Normal 9 2 2 2 3 2 6 2" xfId="47866" xr:uid="{00000000-0005-0000-0000-000007D20000}"/>
    <cellStyle name="Normal 9 2 2 2 3 2 7" xfId="34304" xr:uid="{00000000-0005-0000-0000-000008D20000}"/>
    <cellStyle name="Normal 9 2 2 2 3 3" xfId="7023" xr:uid="{00000000-0005-0000-0000-000009D20000}"/>
    <cellStyle name="Normal 9 2 2 2 3 3 2" xfId="7024" xr:uid="{00000000-0005-0000-0000-00000AD20000}"/>
    <cellStyle name="Normal 9 2 2 2 3 3 2 2" xfId="10550" xr:uid="{00000000-0005-0000-0000-00000BD20000}"/>
    <cellStyle name="Normal 9 2 2 2 3 3 2 2 2" xfId="17339" xr:uid="{00000000-0005-0000-0000-00000CD20000}"/>
    <cellStyle name="Normal 9 2 2 2 3 3 2 2 2 2" xfId="30907" xr:uid="{00000000-0005-0000-0000-00000DD20000}"/>
    <cellStyle name="Normal 9 2 2 2 3 3 2 2 2 2 2" xfId="58040" xr:uid="{00000000-0005-0000-0000-00000ED20000}"/>
    <cellStyle name="Normal 9 2 2 2 3 3 2 2 2 3" xfId="44478" xr:uid="{00000000-0005-0000-0000-00000FD20000}"/>
    <cellStyle name="Normal 9 2 2 2 3 3 2 2 3" xfId="24126" xr:uid="{00000000-0005-0000-0000-000010D20000}"/>
    <cellStyle name="Normal 9 2 2 2 3 3 2 2 3 2" xfId="51259" xr:uid="{00000000-0005-0000-0000-000011D20000}"/>
    <cellStyle name="Normal 9 2 2 2 3 3 2 2 4" xfId="37697" xr:uid="{00000000-0005-0000-0000-000012D20000}"/>
    <cellStyle name="Normal 9 2 2 2 3 3 2 3" xfId="13950" xr:uid="{00000000-0005-0000-0000-000013D20000}"/>
    <cellStyle name="Normal 9 2 2 2 3 3 2 3 2" xfId="27518" xr:uid="{00000000-0005-0000-0000-000014D20000}"/>
    <cellStyle name="Normal 9 2 2 2 3 3 2 3 2 2" xfId="54651" xr:uid="{00000000-0005-0000-0000-000015D20000}"/>
    <cellStyle name="Normal 9 2 2 2 3 3 2 3 3" xfId="41089" xr:uid="{00000000-0005-0000-0000-000016D20000}"/>
    <cellStyle name="Normal 9 2 2 2 3 3 2 4" xfId="20737" xr:uid="{00000000-0005-0000-0000-000017D20000}"/>
    <cellStyle name="Normal 9 2 2 2 3 3 2 4 2" xfId="47870" xr:uid="{00000000-0005-0000-0000-000018D20000}"/>
    <cellStyle name="Normal 9 2 2 2 3 3 2 5" xfId="34308" xr:uid="{00000000-0005-0000-0000-000019D20000}"/>
    <cellStyle name="Normal 9 2 2 2 3 3 3" xfId="10549" xr:uid="{00000000-0005-0000-0000-00001AD20000}"/>
    <cellStyle name="Normal 9 2 2 2 3 3 3 2" xfId="17338" xr:uid="{00000000-0005-0000-0000-00001BD20000}"/>
    <cellStyle name="Normal 9 2 2 2 3 3 3 2 2" xfId="30906" xr:uid="{00000000-0005-0000-0000-00001CD20000}"/>
    <cellStyle name="Normal 9 2 2 2 3 3 3 2 2 2" xfId="58039" xr:uid="{00000000-0005-0000-0000-00001DD20000}"/>
    <cellStyle name="Normal 9 2 2 2 3 3 3 2 3" xfId="44477" xr:uid="{00000000-0005-0000-0000-00001ED20000}"/>
    <cellStyle name="Normal 9 2 2 2 3 3 3 3" xfId="24125" xr:uid="{00000000-0005-0000-0000-00001FD20000}"/>
    <cellStyle name="Normal 9 2 2 2 3 3 3 3 2" xfId="51258" xr:uid="{00000000-0005-0000-0000-000020D20000}"/>
    <cellStyle name="Normal 9 2 2 2 3 3 3 4" xfId="37696" xr:uid="{00000000-0005-0000-0000-000021D20000}"/>
    <cellStyle name="Normal 9 2 2 2 3 3 4" xfId="13949" xr:uid="{00000000-0005-0000-0000-000022D20000}"/>
    <cellStyle name="Normal 9 2 2 2 3 3 4 2" xfId="27517" xr:uid="{00000000-0005-0000-0000-000023D20000}"/>
    <cellStyle name="Normal 9 2 2 2 3 3 4 2 2" xfId="54650" xr:uid="{00000000-0005-0000-0000-000024D20000}"/>
    <cellStyle name="Normal 9 2 2 2 3 3 4 3" xfId="41088" xr:uid="{00000000-0005-0000-0000-000025D20000}"/>
    <cellStyle name="Normal 9 2 2 2 3 3 5" xfId="20736" xr:uid="{00000000-0005-0000-0000-000026D20000}"/>
    <cellStyle name="Normal 9 2 2 2 3 3 5 2" xfId="47869" xr:uid="{00000000-0005-0000-0000-000027D20000}"/>
    <cellStyle name="Normal 9 2 2 2 3 3 6" xfId="34307" xr:uid="{00000000-0005-0000-0000-000028D20000}"/>
    <cellStyle name="Normal 9 2 2 2 3 4" xfId="7025" xr:uid="{00000000-0005-0000-0000-000029D20000}"/>
    <cellStyle name="Normal 9 2 2 2 3 4 2" xfId="10551" xr:uid="{00000000-0005-0000-0000-00002AD20000}"/>
    <cellStyle name="Normal 9 2 2 2 3 4 2 2" xfId="17340" xr:uid="{00000000-0005-0000-0000-00002BD20000}"/>
    <cellStyle name="Normal 9 2 2 2 3 4 2 2 2" xfId="30908" xr:uid="{00000000-0005-0000-0000-00002CD20000}"/>
    <cellStyle name="Normal 9 2 2 2 3 4 2 2 2 2" xfId="58041" xr:uid="{00000000-0005-0000-0000-00002DD20000}"/>
    <cellStyle name="Normal 9 2 2 2 3 4 2 2 3" xfId="44479" xr:uid="{00000000-0005-0000-0000-00002ED20000}"/>
    <cellStyle name="Normal 9 2 2 2 3 4 2 3" xfId="24127" xr:uid="{00000000-0005-0000-0000-00002FD20000}"/>
    <cellStyle name="Normal 9 2 2 2 3 4 2 3 2" xfId="51260" xr:uid="{00000000-0005-0000-0000-000030D20000}"/>
    <cellStyle name="Normal 9 2 2 2 3 4 2 4" xfId="37698" xr:uid="{00000000-0005-0000-0000-000031D20000}"/>
    <cellStyle name="Normal 9 2 2 2 3 4 3" xfId="13951" xr:uid="{00000000-0005-0000-0000-000032D20000}"/>
    <cellStyle name="Normal 9 2 2 2 3 4 3 2" xfId="27519" xr:uid="{00000000-0005-0000-0000-000033D20000}"/>
    <cellStyle name="Normal 9 2 2 2 3 4 3 2 2" xfId="54652" xr:uid="{00000000-0005-0000-0000-000034D20000}"/>
    <cellStyle name="Normal 9 2 2 2 3 4 3 3" xfId="41090" xr:uid="{00000000-0005-0000-0000-000035D20000}"/>
    <cellStyle name="Normal 9 2 2 2 3 4 4" xfId="20738" xr:uid="{00000000-0005-0000-0000-000036D20000}"/>
    <cellStyle name="Normal 9 2 2 2 3 4 4 2" xfId="47871" xr:uid="{00000000-0005-0000-0000-000037D20000}"/>
    <cellStyle name="Normal 9 2 2 2 3 4 5" xfId="34309" xr:uid="{00000000-0005-0000-0000-000038D20000}"/>
    <cellStyle name="Normal 9 2 2 2 3 5" xfId="7026" xr:uid="{00000000-0005-0000-0000-000039D20000}"/>
    <cellStyle name="Normal 9 2 2 2 3 5 2" xfId="10552" xr:uid="{00000000-0005-0000-0000-00003AD20000}"/>
    <cellStyle name="Normal 9 2 2 2 3 5 2 2" xfId="17341" xr:uid="{00000000-0005-0000-0000-00003BD20000}"/>
    <cellStyle name="Normal 9 2 2 2 3 5 2 2 2" xfId="30909" xr:uid="{00000000-0005-0000-0000-00003CD20000}"/>
    <cellStyle name="Normal 9 2 2 2 3 5 2 2 2 2" xfId="58042" xr:uid="{00000000-0005-0000-0000-00003DD20000}"/>
    <cellStyle name="Normal 9 2 2 2 3 5 2 2 3" xfId="44480" xr:uid="{00000000-0005-0000-0000-00003ED20000}"/>
    <cellStyle name="Normal 9 2 2 2 3 5 2 3" xfId="24128" xr:uid="{00000000-0005-0000-0000-00003FD20000}"/>
    <cellStyle name="Normal 9 2 2 2 3 5 2 3 2" xfId="51261" xr:uid="{00000000-0005-0000-0000-000040D20000}"/>
    <cellStyle name="Normal 9 2 2 2 3 5 2 4" xfId="37699" xr:uid="{00000000-0005-0000-0000-000041D20000}"/>
    <cellStyle name="Normal 9 2 2 2 3 5 3" xfId="13952" xr:uid="{00000000-0005-0000-0000-000042D20000}"/>
    <cellStyle name="Normal 9 2 2 2 3 5 3 2" xfId="27520" xr:uid="{00000000-0005-0000-0000-000043D20000}"/>
    <cellStyle name="Normal 9 2 2 2 3 5 3 2 2" xfId="54653" xr:uid="{00000000-0005-0000-0000-000044D20000}"/>
    <cellStyle name="Normal 9 2 2 2 3 5 3 3" xfId="41091" xr:uid="{00000000-0005-0000-0000-000045D20000}"/>
    <cellStyle name="Normal 9 2 2 2 3 5 4" xfId="20739" xr:uid="{00000000-0005-0000-0000-000046D20000}"/>
    <cellStyle name="Normal 9 2 2 2 3 5 4 2" xfId="47872" xr:uid="{00000000-0005-0000-0000-000047D20000}"/>
    <cellStyle name="Normal 9 2 2 2 3 5 5" xfId="34310" xr:uid="{00000000-0005-0000-0000-000048D20000}"/>
    <cellStyle name="Normal 9 2 2 2 3 6" xfId="10545" xr:uid="{00000000-0005-0000-0000-000049D20000}"/>
    <cellStyle name="Normal 9 2 2 2 3 6 2" xfId="17334" xr:uid="{00000000-0005-0000-0000-00004AD20000}"/>
    <cellStyle name="Normal 9 2 2 2 3 6 2 2" xfId="30902" xr:uid="{00000000-0005-0000-0000-00004BD20000}"/>
    <cellStyle name="Normal 9 2 2 2 3 6 2 2 2" xfId="58035" xr:uid="{00000000-0005-0000-0000-00004CD20000}"/>
    <cellStyle name="Normal 9 2 2 2 3 6 2 3" xfId="44473" xr:uid="{00000000-0005-0000-0000-00004DD20000}"/>
    <cellStyle name="Normal 9 2 2 2 3 6 3" xfId="24121" xr:uid="{00000000-0005-0000-0000-00004ED20000}"/>
    <cellStyle name="Normal 9 2 2 2 3 6 3 2" xfId="51254" xr:uid="{00000000-0005-0000-0000-00004FD20000}"/>
    <cellStyle name="Normal 9 2 2 2 3 6 4" xfId="37692" xr:uid="{00000000-0005-0000-0000-000050D20000}"/>
    <cellStyle name="Normal 9 2 2 2 3 7" xfId="13945" xr:uid="{00000000-0005-0000-0000-000051D20000}"/>
    <cellStyle name="Normal 9 2 2 2 3 7 2" xfId="27513" xr:uid="{00000000-0005-0000-0000-000052D20000}"/>
    <cellStyle name="Normal 9 2 2 2 3 7 2 2" xfId="54646" xr:uid="{00000000-0005-0000-0000-000053D20000}"/>
    <cellStyle name="Normal 9 2 2 2 3 7 3" xfId="41084" xr:uid="{00000000-0005-0000-0000-000054D20000}"/>
    <cellStyle name="Normal 9 2 2 2 3 8" xfId="20732" xr:uid="{00000000-0005-0000-0000-000055D20000}"/>
    <cellStyle name="Normal 9 2 2 2 3 8 2" xfId="47865" xr:uid="{00000000-0005-0000-0000-000056D20000}"/>
    <cellStyle name="Normal 9 2 2 2 3 9" xfId="34303" xr:uid="{00000000-0005-0000-0000-000057D20000}"/>
    <cellStyle name="Normal 9 2 2 2 4" xfId="7027" xr:uid="{00000000-0005-0000-0000-000058D20000}"/>
    <cellStyle name="Normal 9 2 2 2 4 2" xfId="7028" xr:uid="{00000000-0005-0000-0000-000059D20000}"/>
    <cellStyle name="Normal 9 2 2 2 4 2 2" xfId="7029" xr:uid="{00000000-0005-0000-0000-00005AD20000}"/>
    <cellStyle name="Normal 9 2 2 2 4 2 2 2" xfId="10555" xr:uid="{00000000-0005-0000-0000-00005BD20000}"/>
    <cellStyle name="Normal 9 2 2 2 4 2 2 2 2" xfId="17344" xr:uid="{00000000-0005-0000-0000-00005CD20000}"/>
    <cellStyle name="Normal 9 2 2 2 4 2 2 2 2 2" xfId="30912" xr:uid="{00000000-0005-0000-0000-00005DD20000}"/>
    <cellStyle name="Normal 9 2 2 2 4 2 2 2 2 2 2" xfId="58045" xr:uid="{00000000-0005-0000-0000-00005ED20000}"/>
    <cellStyle name="Normal 9 2 2 2 4 2 2 2 2 3" xfId="44483" xr:uid="{00000000-0005-0000-0000-00005FD20000}"/>
    <cellStyle name="Normal 9 2 2 2 4 2 2 2 3" xfId="24131" xr:uid="{00000000-0005-0000-0000-000060D20000}"/>
    <cellStyle name="Normal 9 2 2 2 4 2 2 2 3 2" xfId="51264" xr:uid="{00000000-0005-0000-0000-000061D20000}"/>
    <cellStyle name="Normal 9 2 2 2 4 2 2 2 4" xfId="37702" xr:uid="{00000000-0005-0000-0000-000062D20000}"/>
    <cellStyle name="Normal 9 2 2 2 4 2 2 3" xfId="13955" xr:uid="{00000000-0005-0000-0000-000063D20000}"/>
    <cellStyle name="Normal 9 2 2 2 4 2 2 3 2" xfId="27523" xr:uid="{00000000-0005-0000-0000-000064D20000}"/>
    <cellStyle name="Normal 9 2 2 2 4 2 2 3 2 2" xfId="54656" xr:uid="{00000000-0005-0000-0000-000065D20000}"/>
    <cellStyle name="Normal 9 2 2 2 4 2 2 3 3" xfId="41094" xr:uid="{00000000-0005-0000-0000-000066D20000}"/>
    <cellStyle name="Normal 9 2 2 2 4 2 2 4" xfId="20742" xr:uid="{00000000-0005-0000-0000-000067D20000}"/>
    <cellStyle name="Normal 9 2 2 2 4 2 2 4 2" xfId="47875" xr:uid="{00000000-0005-0000-0000-000068D20000}"/>
    <cellStyle name="Normal 9 2 2 2 4 2 2 5" xfId="34313" xr:uid="{00000000-0005-0000-0000-000069D20000}"/>
    <cellStyle name="Normal 9 2 2 2 4 2 3" xfId="7030" xr:uid="{00000000-0005-0000-0000-00006AD20000}"/>
    <cellStyle name="Normal 9 2 2 2 4 2 3 2" xfId="10556" xr:uid="{00000000-0005-0000-0000-00006BD20000}"/>
    <cellStyle name="Normal 9 2 2 2 4 2 3 2 2" xfId="17345" xr:uid="{00000000-0005-0000-0000-00006CD20000}"/>
    <cellStyle name="Normal 9 2 2 2 4 2 3 2 2 2" xfId="30913" xr:uid="{00000000-0005-0000-0000-00006DD20000}"/>
    <cellStyle name="Normal 9 2 2 2 4 2 3 2 2 2 2" xfId="58046" xr:uid="{00000000-0005-0000-0000-00006ED20000}"/>
    <cellStyle name="Normal 9 2 2 2 4 2 3 2 2 3" xfId="44484" xr:uid="{00000000-0005-0000-0000-00006FD20000}"/>
    <cellStyle name="Normal 9 2 2 2 4 2 3 2 3" xfId="24132" xr:uid="{00000000-0005-0000-0000-000070D20000}"/>
    <cellStyle name="Normal 9 2 2 2 4 2 3 2 3 2" xfId="51265" xr:uid="{00000000-0005-0000-0000-000071D20000}"/>
    <cellStyle name="Normal 9 2 2 2 4 2 3 2 4" xfId="37703" xr:uid="{00000000-0005-0000-0000-000072D20000}"/>
    <cellStyle name="Normal 9 2 2 2 4 2 3 3" xfId="13956" xr:uid="{00000000-0005-0000-0000-000073D20000}"/>
    <cellStyle name="Normal 9 2 2 2 4 2 3 3 2" xfId="27524" xr:uid="{00000000-0005-0000-0000-000074D20000}"/>
    <cellStyle name="Normal 9 2 2 2 4 2 3 3 2 2" xfId="54657" xr:uid="{00000000-0005-0000-0000-000075D20000}"/>
    <cellStyle name="Normal 9 2 2 2 4 2 3 3 3" xfId="41095" xr:uid="{00000000-0005-0000-0000-000076D20000}"/>
    <cellStyle name="Normal 9 2 2 2 4 2 3 4" xfId="20743" xr:uid="{00000000-0005-0000-0000-000077D20000}"/>
    <cellStyle name="Normal 9 2 2 2 4 2 3 4 2" xfId="47876" xr:uid="{00000000-0005-0000-0000-000078D20000}"/>
    <cellStyle name="Normal 9 2 2 2 4 2 3 5" xfId="34314" xr:uid="{00000000-0005-0000-0000-000079D20000}"/>
    <cellStyle name="Normal 9 2 2 2 4 2 4" xfId="10554" xr:uid="{00000000-0005-0000-0000-00007AD20000}"/>
    <cellStyle name="Normal 9 2 2 2 4 2 4 2" xfId="17343" xr:uid="{00000000-0005-0000-0000-00007BD20000}"/>
    <cellStyle name="Normal 9 2 2 2 4 2 4 2 2" xfId="30911" xr:uid="{00000000-0005-0000-0000-00007CD20000}"/>
    <cellStyle name="Normal 9 2 2 2 4 2 4 2 2 2" xfId="58044" xr:uid="{00000000-0005-0000-0000-00007DD20000}"/>
    <cellStyle name="Normal 9 2 2 2 4 2 4 2 3" xfId="44482" xr:uid="{00000000-0005-0000-0000-00007ED20000}"/>
    <cellStyle name="Normal 9 2 2 2 4 2 4 3" xfId="24130" xr:uid="{00000000-0005-0000-0000-00007FD20000}"/>
    <cellStyle name="Normal 9 2 2 2 4 2 4 3 2" xfId="51263" xr:uid="{00000000-0005-0000-0000-000080D20000}"/>
    <cellStyle name="Normal 9 2 2 2 4 2 4 4" xfId="37701" xr:uid="{00000000-0005-0000-0000-000081D20000}"/>
    <cellStyle name="Normal 9 2 2 2 4 2 5" xfId="13954" xr:uid="{00000000-0005-0000-0000-000082D20000}"/>
    <cellStyle name="Normal 9 2 2 2 4 2 5 2" xfId="27522" xr:uid="{00000000-0005-0000-0000-000083D20000}"/>
    <cellStyle name="Normal 9 2 2 2 4 2 5 2 2" xfId="54655" xr:uid="{00000000-0005-0000-0000-000084D20000}"/>
    <cellStyle name="Normal 9 2 2 2 4 2 5 3" xfId="41093" xr:uid="{00000000-0005-0000-0000-000085D20000}"/>
    <cellStyle name="Normal 9 2 2 2 4 2 6" xfId="20741" xr:uid="{00000000-0005-0000-0000-000086D20000}"/>
    <cellStyle name="Normal 9 2 2 2 4 2 6 2" xfId="47874" xr:uid="{00000000-0005-0000-0000-000087D20000}"/>
    <cellStyle name="Normal 9 2 2 2 4 2 7" xfId="34312" xr:uid="{00000000-0005-0000-0000-000088D20000}"/>
    <cellStyle name="Normal 9 2 2 2 4 3" xfId="7031" xr:uid="{00000000-0005-0000-0000-000089D20000}"/>
    <cellStyle name="Normal 9 2 2 2 4 3 2" xfId="10557" xr:uid="{00000000-0005-0000-0000-00008AD20000}"/>
    <cellStyle name="Normal 9 2 2 2 4 3 2 2" xfId="17346" xr:uid="{00000000-0005-0000-0000-00008BD20000}"/>
    <cellStyle name="Normal 9 2 2 2 4 3 2 2 2" xfId="30914" xr:uid="{00000000-0005-0000-0000-00008CD20000}"/>
    <cellStyle name="Normal 9 2 2 2 4 3 2 2 2 2" xfId="58047" xr:uid="{00000000-0005-0000-0000-00008DD20000}"/>
    <cellStyle name="Normal 9 2 2 2 4 3 2 2 3" xfId="44485" xr:uid="{00000000-0005-0000-0000-00008ED20000}"/>
    <cellStyle name="Normal 9 2 2 2 4 3 2 3" xfId="24133" xr:uid="{00000000-0005-0000-0000-00008FD20000}"/>
    <cellStyle name="Normal 9 2 2 2 4 3 2 3 2" xfId="51266" xr:uid="{00000000-0005-0000-0000-000090D20000}"/>
    <cellStyle name="Normal 9 2 2 2 4 3 2 4" xfId="37704" xr:uid="{00000000-0005-0000-0000-000091D20000}"/>
    <cellStyle name="Normal 9 2 2 2 4 3 3" xfId="13957" xr:uid="{00000000-0005-0000-0000-000092D20000}"/>
    <cellStyle name="Normal 9 2 2 2 4 3 3 2" xfId="27525" xr:uid="{00000000-0005-0000-0000-000093D20000}"/>
    <cellStyle name="Normal 9 2 2 2 4 3 3 2 2" xfId="54658" xr:uid="{00000000-0005-0000-0000-000094D20000}"/>
    <cellStyle name="Normal 9 2 2 2 4 3 3 3" xfId="41096" xr:uid="{00000000-0005-0000-0000-000095D20000}"/>
    <cellStyle name="Normal 9 2 2 2 4 3 4" xfId="20744" xr:uid="{00000000-0005-0000-0000-000096D20000}"/>
    <cellStyle name="Normal 9 2 2 2 4 3 4 2" xfId="47877" xr:uid="{00000000-0005-0000-0000-000097D20000}"/>
    <cellStyle name="Normal 9 2 2 2 4 3 5" xfId="34315" xr:uid="{00000000-0005-0000-0000-000098D20000}"/>
    <cellStyle name="Normal 9 2 2 2 4 4" xfId="7032" xr:uid="{00000000-0005-0000-0000-000099D20000}"/>
    <cellStyle name="Normal 9 2 2 2 4 4 2" xfId="10558" xr:uid="{00000000-0005-0000-0000-00009AD20000}"/>
    <cellStyle name="Normal 9 2 2 2 4 4 2 2" xfId="17347" xr:uid="{00000000-0005-0000-0000-00009BD20000}"/>
    <cellStyle name="Normal 9 2 2 2 4 4 2 2 2" xfId="30915" xr:uid="{00000000-0005-0000-0000-00009CD20000}"/>
    <cellStyle name="Normal 9 2 2 2 4 4 2 2 2 2" xfId="58048" xr:uid="{00000000-0005-0000-0000-00009DD20000}"/>
    <cellStyle name="Normal 9 2 2 2 4 4 2 2 3" xfId="44486" xr:uid="{00000000-0005-0000-0000-00009ED20000}"/>
    <cellStyle name="Normal 9 2 2 2 4 4 2 3" xfId="24134" xr:uid="{00000000-0005-0000-0000-00009FD20000}"/>
    <cellStyle name="Normal 9 2 2 2 4 4 2 3 2" xfId="51267" xr:uid="{00000000-0005-0000-0000-0000A0D20000}"/>
    <cellStyle name="Normal 9 2 2 2 4 4 2 4" xfId="37705" xr:uid="{00000000-0005-0000-0000-0000A1D20000}"/>
    <cellStyle name="Normal 9 2 2 2 4 4 3" xfId="13958" xr:uid="{00000000-0005-0000-0000-0000A2D20000}"/>
    <cellStyle name="Normal 9 2 2 2 4 4 3 2" xfId="27526" xr:uid="{00000000-0005-0000-0000-0000A3D20000}"/>
    <cellStyle name="Normal 9 2 2 2 4 4 3 2 2" xfId="54659" xr:uid="{00000000-0005-0000-0000-0000A4D20000}"/>
    <cellStyle name="Normal 9 2 2 2 4 4 3 3" xfId="41097" xr:uid="{00000000-0005-0000-0000-0000A5D20000}"/>
    <cellStyle name="Normal 9 2 2 2 4 4 4" xfId="20745" xr:uid="{00000000-0005-0000-0000-0000A6D20000}"/>
    <cellStyle name="Normal 9 2 2 2 4 4 4 2" xfId="47878" xr:uid="{00000000-0005-0000-0000-0000A7D20000}"/>
    <cellStyle name="Normal 9 2 2 2 4 4 5" xfId="34316" xr:uid="{00000000-0005-0000-0000-0000A8D20000}"/>
    <cellStyle name="Normal 9 2 2 2 4 5" xfId="10553" xr:uid="{00000000-0005-0000-0000-0000A9D20000}"/>
    <cellStyle name="Normal 9 2 2 2 4 5 2" xfId="17342" xr:uid="{00000000-0005-0000-0000-0000AAD20000}"/>
    <cellStyle name="Normal 9 2 2 2 4 5 2 2" xfId="30910" xr:uid="{00000000-0005-0000-0000-0000ABD20000}"/>
    <cellStyle name="Normal 9 2 2 2 4 5 2 2 2" xfId="58043" xr:uid="{00000000-0005-0000-0000-0000ACD20000}"/>
    <cellStyle name="Normal 9 2 2 2 4 5 2 3" xfId="44481" xr:uid="{00000000-0005-0000-0000-0000ADD20000}"/>
    <cellStyle name="Normal 9 2 2 2 4 5 3" xfId="24129" xr:uid="{00000000-0005-0000-0000-0000AED20000}"/>
    <cellStyle name="Normal 9 2 2 2 4 5 3 2" xfId="51262" xr:uid="{00000000-0005-0000-0000-0000AFD20000}"/>
    <cellStyle name="Normal 9 2 2 2 4 5 4" xfId="37700" xr:uid="{00000000-0005-0000-0000-0000B0D20000}"/>
    <cellStyle name="Normal 9 2 2 2 4 6" xfId="13953" xr:uid="{00000000-0005-0000-0000-0000B1D20000}"/>
    <cellStyle name="Normal 9 2 2 2 4 6 2" xfId="27521" xr:uid="{00000000-0005-0000-0000-0000B2D20000}"/>
    <cellStyle name="Normal 9 2 2 2 4 6 2 2" xfId="54654" xr:uid="{00000000-0005-0000-0000-0000B3D20000}"/>
    <cellStyle name="Normal 9 2 2 2 4 6 3" xfId="41092" xr:uid="{00000000-0005-0000-0000-0000B4D20000}"/>
    <cellStyle name="Normal 9 2 2 2 4 7" xfId="20740" xr:uid="{00000000-0005-0000-0000-0000B5D20000}"/>
    <cellStyle name="Normal 9 2 2 2 4 7 2" xfId="47873" xr:uid="{00000000-0005-0000-0000-0000B6D20000}"/>
    <cellStyle name="Normal 9 2 2 2 4 8" xfId="34311" xr:uid="{00000000-0005-0000-0000-0000B7D20000}"/>
    <cellStyle name="Normal 9 2 2 2 5" xfId="7033" xr:uid="{00000000-0005-0000-0000-0000B8D20000}"/>
    <cellStyle name="Normal 9 2 2 2 5 2" xfId="7034" xr:uid="{00000000-0005-0000-0000-0000B9D20000}"/>
    <cellStyle name="Normal 9 2 2 2 5 2 2" xfId="10560" xr:uid="{00000000-0005-0000-0000-0000BAD20000}"/>
    <cellStyle name="Normal 9 2 2 2 5 2 2 2" xfId="17349" xr:uid="{00000000-0005-0000-0000-0000BBD20000}"/>
    <cellStyle name="Normal 9 2 2 2 5 2 2 2 2" xfId="30917" xr:uid="{00000000-0005-0000-0000-0000BCD20000}"/>
    <cellStyle name="Normal 9 2 2 2 5 2 2 2 2 2" xfId="58050" xr:uid="{00000000-0005-0000-0000-0000BDD20000}"/>
    <cellStyle name="Normal 9 2 2 2 5 2 2 2 3" xfId="44488" xr:uid="{00000000-0005-0000-0000-0000BED20000}"/>
    <cellStyle name="Normal 9 2 2 2 5 2 2 3" xfId="24136" xr:uid="{00000000-0005-0000-0000-0000BFD20000}"/>
    <cellStyle name="Normal 9 2 2 2 5 2 2 3 2" xfId="51269" xr:uid="{00000000-0005-0000-0000-0000C0D20000}"/>
    <cellStyle name="Normal 9 2 2 2 5 2 2 4" xfId="37707" xr:uid="{00000000-0005-0000-0000-0000C1D20000}"/>
    <cellStyle name="Normal 9 2 2 2 5 2 3" xfId="13960" xr:uid="{00000000-0005-0000-0000-0000C2D20000}"/>
    <cellStyle name="Normal 9 2 2 2 5 2 3 2" xfId="27528" xr:uid="{00000000-0005-0000-0000-0000C3D20000}"/>
    <cellStyle name="Normal 9 2 2 2 5 2 3 2 2" xfId="54661" xr:uid="{00000000-0005-0000-0000-0000C4D20000}"/>
    <cellStyle name="Normal 9 2 2 2 5 2 3 3" xfId="41099" xr:uid="{00000000-0005-0000-0000-0000C5D20000}"/>
    <cellStyle name="Normal 9 2 2 2 5 2 4" xfId="20747" xr:uid="{00000000-0005-0000-0000-0000C6D20000}"/>
    <cellStyle name="Normal 9 2 2 2 5 2 4 2" xfId="47880" xr:uid="{00000000-0005-0000-0000-0000C7D20000}"/>
    <cellStyle name="Normal 9 2 2 2 5 2 5" xfId="34318" xr:uid="{00000000-0005-0000-0000-0000C8D20000}"/>
    <cellStyle name="Normal 9 2 2 2 5 3" xfId="7035" xr:uid="{00000000-0005-0000-0000-0000C9D20000}"/>
    <cellStyle name="Normal 9 2 2 2 5 3 2" xfId="10561" xr:uid="{00000000-0005-0000-0000-0000CAD20000}"/>
    <cellStyle name="Normal 9 2 2 2 5 3 2 2" xfId="17350" xr:uid="{00000000-0005-0000-0000-0000CBD20000}"/>
    <cellStyle name="Normal 9 2 2 2 5 3 2 2 2" xfId="30918" xr:uid="{00000000-0005-0000-0000-0000CCD20000}"/>
    <cellStyle name="Normal 9 2 2 2 5 3 2 2 2 2" xfId="58051" xr:uid="{00000000-0005-0000-0000-0000CDD20000}"/>
    <cellStyle name="Normal 9 2 2 2 5 3 2 2 3" xfId="44489" xr:uid="{00000000-0005-0000-0000-0000CED20000}"/>
    <cellStyle name="Normal 9 2 2 2 5 3 2 3" xfId="24137" xr:uid="{00000000-0005-0000-0000-0000CFD20000}"/>
    <cellStyle name="Normal 9 2 2 2 5 3 2 3 2" xfId="51270" xr:uid="{00000000-0005-0000-0000-0000D0D20000}"/>
    <cellStyle name="Normal 9 2 2 2 5 3 2 4" xfId="37708" xr:uid="{00000000-0005-0000-0000-0000D1D20000}"/>
    <cellStyle name="Normal 9 2 2 2 5 3 3" xfId="13961" xr:uid="{00000000-0005-0000-0000-0000D2D20000}"/>
    <cellStyle name="Normal 9 2 2 2 5 3 3 2" xfId="27529" xr:uid="{00000000-0005-0000-0000-0000D3D20000}"/>
    <cellStyle name="Normal 9 2 2 2 5 3 3 2 2" xfId="54662" xr:uid="{00000000-0005-0000-0000-0000D4D20000}"/>
    <cellStyle name="Normal 9 2 2 2 5 3 3 3" xfId="41100" xr:uid="{00000000-0005-0000-0000-0000D5D20000}"/>
    <cellStyle name="Normal 9 2 2 2 5 3 4" xfId="20748" xr:uid="{00000000-0005-0000-0000-0000D6D20000}"/>
    <cellStyle name="Normal 9 2 2 2 5 3 4 2" xfId="47881" xr:uid="{00000000-0005-0000-0000-0000D7D20000}"/>
    <cellStyle name="Normal 9 2 2 2 5 3 5" xfId="34319" xr:uid="{00000000-0005-0000-0000-0000D8D20000}"/>
    <cellStyle name="Normal 9 2 2 2 5 4" xfId="10559" xr:uid="{00000000-0005-0000-0000-0000D9D20000}"/>
    <cellStyle name="Normal 9 2 2 2 5 4 2" xfId="17348" xr:uid="{00000000-0005-0000-0000-0000DAD20000}"/>
    <cellStyle name="Normal 9 2 2 2 5 4 2 2" xfId="30916" xr:uid="{00000000-0005-0000-0000-0000DBD20000}"/>
    <cellStyle name="Normal 9 2 2 2 5 4 2 2 2" xfId="58049" xr:uid="{00000000-0005-0000-0000-0000DCD20000}"/>
    <cellStyle name="Normal 9 2 2 2 5 4 2 3" xfId="44487" xr:uid="{00000000-0005-0000-0000-0000DDD20000}"/>
    <cellStyle name="Normal 9 2 2 2 5 4 3" xfId="24135" xr:uid="{00000000-0005-0000-0000-0000DED20000}"/>
    <cellStyle name="Normal 9 2 2 2 5 4 3 2" xfId="51268" xr:uid="{00000000-0005-0000-0000-0000DFD20000}"/>
    <cellStyle name="Normal 9 2 2 2 5 4 4" xfId="37706" xr:uid="{00000000-0005-0000-0000-0000E0D20000}"/>
    <cellStyle name="Normal 9 2 2 2 5 5" xfId="13959" xr:uid="{00000000-0005-0000-0000-0000E1D20000}"/>
    <cellStyle name="Normal 9 2 2 2 5 5 2" xfId="27527" xr:uid="{00000000-0005-0000-0000-0000E2D20000}"/>
    <cellStyle name="Normal 9 2 2 2 5 5 2 2" xfId="54660" xr:uid="{00000000-0005-0000-0000-0000E3D20000}"/>
    <cellStyle name="Normal 9 2 2 2 5 5 3" xfId="41098" xr:uid="{00000000-0005-0000-0000-0000E4D20000}"/>
    <cellStyle name="Normal 9 2 2 2 5 6" xfId="20746" xr:uid="{00000000-0005-0000-0000-0000E5D20000}"/>
    <cellStyle name="Normal 9 2 2 2 5 6 2" xfId="47879" xr:uid="{00000000-0005-0000-0000-0000E6D20000}"/>
    <cellStyle name="Normal 9 2 2 2 5 7" xfId="34317" xr:uid="{00000000-0005-0000-0000-0000E7D20000}"/>
    <cellStyle name="Normal 9 2 2 2 6" xfId="7036" xr:uid="{00000000-0005-0000-0000-0000E8D20000}"/>
    <cellStyle name="Normal 9 2 2 2 6 2" xfId="7037" xr:uid="{00000000-0005-0000-0000-0000E9D20000}"/>
    <cellStyle name="Normal 9 2 2 2 6 2 2" xfId="10563" xr:uid="{00000000-0005-0000-0000-0000EAD20000}"/>
    <cellStyle name="Normal 9 2 2 2 6 2 2 2" xfId="17352" xr:uid="{00000000-0005-0000-0000-0000EBD20000}"/>
    <cellStyle name="Normal 9 2 2 2 6 2 2 2 2" xfId="30920" xr:uid="{00000000-0005-0000-0000-0000ECD20000}"/>
    <cellStyle name="Normal 9 2 2 2 6 2 2 2 2 2" xfId="58053" xr:uid="{00000000-0005-0000-0000-0000EDD20000}"/>
    <cellStyle name="Normal 9 2 2 2 6 2 2 2 3" xfId="44491" xr:uid="{00000000-0005-0000-0000-0000EED20000}"/>
    <cellStyle name="Normal 9 2 2 2 6 2 2 3" xfId="24139" xr:uid="{00000000-0005-0000-0000-0000EFD20000}"/>
    <cellStyle name="Normal 9 2 2 2 6 2 2 3 2" xfId="51272" xr:uid="{00000000-0005-0000-0000-0000F0D20000}"/>
    <cellStyle name="Normal 9 2 2 2 6 2 2 4" xfId="37710" xr:uid="{00000000-0005-0000-0000-0000F1D20000}"/>
    <cellStyle name="Normal 9 2 2 2 6 2 3" xfId="13963" xr:uid="{00000000-0005-0000-0000-0000F2D20000}"/>
    <cellStyle name="Normal 9 2 2 2 6 2 3 2" xfId="27531" xr:uid="{00000000-0005-0000-0000-0000F3D20000}"/>
    <cellStyle name="Normal 9 2 2 2 6 2 3 2 2" xfId="54664" xr:uid="{00000000-0005-0000-0000-0000F4D20000}"/>
    <cellStyle name="Normal 9 2 2 2 6 2 3 3" xfId="41102" xr:uid="{00000000-0005-0000-0000-0000F5D20000}"/>
    <cellStyle name="Normal 9 2 2 2 6 2 4" xfId="20750" xr:uid="{00000000-0005-0000-0000-0000F6D20000}"/>
    <cellStyle name="Normal 9 2 2 2 6 2 4 2" xfId="47883" xr:uid="{00000000-0005-0000-0000-0000F7D20000}"/>
    <cellStyle name="Normal 9 2 2 2 6 2 5" xfId="34321" xr:uid="{00000000-0005-0000-0000-0000F8D20000}"/>
    <cellStyle name="Normal 9 2 2 2 6 3" xfId="7038" xr:uid="{00000000-0005-0000-0000-0000F9D20000}"/>
    <cellStyle name="Normal 9 2 2 2 6 3 2" xfId="10564" xr:uid="{00000000-0005-0000-0000-0000FAD20000}"/>
    <cellStyle name="Normal 9 2 2 2 6 3 2 2" xfId="17353" xr:uid="{00000000-0005-0000-0000-0000FBD20000}"/>
    <cellStyle name="Normal 9 2 2 2 6 3 2 2 2" xfId="30921" xr:uid="{00000000-0005-0000-0000-0000FCD20000}"/>
    <cellStyle name="Normal 9 2 2 2 6 3 2 2 2 2" xfId="58054" xr:uid="{00000000-0005-0000-0000-0000FDD20000}"/>
    <cellStyle name="Normal 9 2 2 2 6 3 2 2 3" xfId="44492" xr:uid="{00000000-0005-0000-0000-0000FED20000}"/>
    <cellStyle name="Normal 9 2 2 2 6 3 2 3" xfId="24140" xr:uid="{00000000-0005-0000-0000-0000FFD20000}"/>
    <cellStyle name="Normal 9 2 2 2 6 3 2 3 2" xfId="51273" xr:uid="{00000000-0005-0000-0000-000000D30000}"/>
    <cellStyle name="Normal 9 2 2 2 6 3 2 4" xfId="37711" xr:uid="{00000000-0005-0000-0000-000001D30000}"/>
    <cellStyle name="Normal 9 2 2 2 6 3 3" xfId="13964" xr:uid="{00000000-0005-0000-0000-000002D30000}"/>
    <cellStyle name="Normal 9 2 2 2 6 3 3 2" xfId="27532" xr:uid="{00000000-0005-0000-0000-000003D30000}"/>
    <cellStyle name="Normal 9 2 2 2 6 3 3 2 2" xfId="54665" xr:uid="{00000000-0005-0000-0000-000004D30000}"/>
    <cellStyle name="Normal 9 2 2 2 6 3 3 3" xfId="41103" xr:uid="{00000000-0005-0000-0000-000005D30000}"/>
    <cellStyle name="Normal 9 2 2 2 6 3 4" xfId="20751" xr:uid="{00000000-0005-0000-0000-000006D30000}"/>
    <cellStyle name="Normal 9 2 2 2 6 3 4 2" xfId="47884" xr:uid="{00000000-0005-0000-0000-000007D30000}"/>
    <cellStyle name="Normal 9 2 2 2 6 3 5" xfId="34322" xr:uid="{00000000-0005-0000-0000-000008D30000}"/>
    <cellStyle name="Normal 9 2 2 2 6 4" xfId="10562" xr:uid="{00000000-0005-0000-0000-000009D30000}"/>
    <cellStyle name="Normal 9 2 2 2 6 4 2" xfId="17351" xr:uid="{00000000-0005-0000-0000-00000AD30000}"/>
    <cellStyle name="Normal 9 2 2 2 6 4 2 2" xfId="30919" xr:uid="{00000000-0005-0000-0000-00000BD30000}"/>
    <cellStyle name="Normal 9 2 2 2 6 4 2 2 2" xfId="58052" xr:uid="{00000000-0005-0000-0000-00000CD30000}"/>
    <cellStyle name="Normal 9 2 2 2 6 4 2 3" xfId="44490" xr:uid="{00000000-0005-0000-0000-00000DD30000}"/>
    <cellStyle name="Normal 9 2 2 2 6 4 3" xfId="24138" xr:uid="{00000000-0005-0000-0000-00000ED30000}"/>
    <cellStyle name="Normal 9 2 2 2 6 4 3 2" xfId="51271" xr:uid="{00000000-0005-0000-0000-00000FD30000}"/>
    <cellStyle name="Normal 9 2 2 2 6 4 4" xfId="37709" xr:uid="{00000000-0005-0000-0000-000010D30000}"/>
    <cellStyle name="Normal 9 2 2 2 6 5" xfId="13962" xr:uid="{00000000-0005-0000-0000-000011D30000}"/>
    <cellStyle name="Normal 9 2 2 2 6 5 2" xfId="27530" xr:uid="{00000000-0005-0000-0000-000012D30000}"/>
    <cellStyle name="Normal 9 2 2 2 6 5 2 2" xfId="54663" xr:uid="{00000000-0005-0000-0000-000013D30000}"/>
    <cellStyle name="Normal 9 2 2 2 6 5 3" xfId="41101" xr:uid="{00000000-0005-0000-0000-000014D30000}"/>
    <cellStyle name="Normal 9 2 2 2 6 6" xfId="20749" xr:uid="{00000000-0005-0000-0000-000015D30000}"/>
    <cellStyle name="Normal 9 2 2 2 6 6 2" xfId="47882" xr:uid="{00000000-0005-0000-0000-000016D30000}"/>
    <cellStyle name="Normal 9 2 2 2 6 7" xfId="34320" xr:uid="{00000000-0005-0000-0000-000017D30000}"/>
    <cellStyle name="Normal 9 2 2 2 7" xfId="7039" xr:uid="{00000000-0005-0000-0000-000018D30000}"/>
    <cellStyle name="Normal 9 2 2 2 7 2" xfId="10565" xr:uid="{00000000-0005-0000-0000-000019D30000}"/>
    <cellStyle name="Normal 9 2 2 2 7 2 2" xfId="17354" xr:uid="{00000000-0005-0000-0000-00001AD30000}"/>
    <cellStyle name="Normal 9 2 2 2 7 2 2 2" xfId="30922" xr:uid="{00000000-0005-0000-0000-00001BD30000}"/>
    <cellStyle name="Normal 9 2 2 2 7 2 2 2 2" xfId="58055" xr:uid="{00000000-0005-0000-0000-00001CD30000}"/>
    <cellStyle name="Normal 9 2 2 2 7 2 2 3" xfId="44493" xr:uid="{00000000-0005-0000-0000-00001DD30000}"/>
    <cellStyle name="Normal 9 2 2 2 7 2 3" xfId="24141" xr:uid="{00000000-0005-0000-0000-00001ED30000}"/>
    <cellStyle name="Normal 9 2 2 2 7 2 3 2" xfId="51274" xr:uid="{00000000-0005-0000-0000-00001FD30000}"/>
    <cellStyle name="Normal 9 2 2 2 7 2 4" xfId="37712" xr:uid="{00000000-0005-0000-0000-000020D30000}"/>
    <cellStyle name="Normal 9 2 2 2 7 3" xfId="13965" xr:uid="{00000000-0005-0000-0000-000021D30000}"/>
    <cellStyle name="Normal 9 2 2 2 7 3 2" xfId="27533" xr:uid="{00000000-0005-0000-0000-000022D30000}"/>
    <cellStyle name="Normal 9 2 2 2 7 3 2 2" xfId="54666" xr:uid="{00000000-0005-0000-0000-000023D30000}"/>
    <cellStyle name="Normal 9 2 2 2 7 3 3" xfId="41104" xr:uid="{00000000-0005-0000-0000-000024D30000}"/>
    <cellStyle name="Normal 9 2 2 2 7 4" xfId="20752" xr:uid="{00000000-0005-0000-0000-000025D30000}"/>
    <cellStyle name="Normal 9 2 2 2 7 4 2" xfId="47885" xr:uid="{00000000-0005-0000-0000-000026D30000}"/>
    <cellStyle name="Normal 9 2 2 2 7 5" xfId="34323" xr:uid="{00000000-0005-0000-0000-000027D30000}"/>
    <cellStyle name="Normal 9 2 2 2 8" xfId="7040" xr:uid="{00000000-0005-0000-0000-000028D30000}"/>
    <cellStyle name="Normal 9 2 2 2 8 2" xfId="10566" xr:uid="{00000000-0005-0000-0000-000029D30000}"/>
    <cellStyle name="Normal 9 2 2 2 8 2 2" xfId="17355" xr:uid="{00000000-0005-0000-0000-00002AD30000}"/>
    <cellStyle name="Normal 9 2 2 2 8 2 2 2" xfId="30923" xr:uid="{00000000-0005-0000-0000-00002BD30000}"/>
    <cellStyle name="Normal 9 2 2 2 8 2 2 2 2" xfId="58056" xr:uid="{00000000-0005-0000-0000-00002CD30000}"/>
    <cellStyle name="Normal 9 2 2 2 8 2 2 3" xfId="44494" xr:uid="{00000000-0005-0000-0000-00002DD30000}"/>
    <cellStyle name="Normal 9 2 2 2 8 2 3" xfId="24142" xr:uid="{00000000-0005-0000-0000-00002ED30000}"/>
    <cellStyle name="Normal 9 2 2 2 8 2 3 2" xfId="51275" xr:uid="{00000000-0005-0000-0000-00002FD30000}"/>
    <cellStyle name="Normal 9 2 2 2 8 2 4" xfId="37713" xr:uid="{00000000-0005-0000-0000-000030D30000}"/>
    <cellStyle name="Normal 9 2 2 2 8 3" xfId="13966" xr:uid="{00000000-0005-0000-0000-000031D30000}"/>
    <cellStyle name="Normal 9 2 2 2 8 3 2" xfId="27534" xr:uid="{00000000-0005-0000-0000-000032D30000}"/>
    <cellStyle name="Normal 9 2 2 2 8 3 2 2" xfId="54667" xr:uid="{00000000-0005-0000-0000-000033D30000}"/>
    <cellStyle name="Normal 9 2 2 2 8 3 3" xfId="41105" xr:uid="{00000000-0005-0000-0000-000034D30000}"/>
    <cellStyle name="Normal 9 2 2 2 8 4" xfId="20753" xr:uid="{00000000-0005-0000-0000-000035D30000}"/>
    <cellStyle name="Normal 9 2 2 2 8 4 2" xfId="47886" xr:uid="{00000000-0005-0000-0000-000036D30000}"/>
    <cellStyle name="Normal 9 2 2 2 8 5" xfId="34324" xr:uid="{00000000-0005-0000-0000-000037D30000}"/>
    <cellStyle name="Normal 9 2 2 2 9" xfId="10528" xr:uid="{00000000-0005-0000-0000-000038D30000}"/>
    <cellStyle name="Normal 9 2 2 2 9 2" xfId="17317" xr:uid="{00000000-0005-0000-0000-000039D30000}"/>
    <cellStyle name="Normal 9 2 2 2 9 2 2" xfId="30885" xr:uid="{00000000-0005-0000-0000-00003AD30000}"/>
    <cellStyle name="Normal 9 2 2 2 9 2 2 2" xfId="58018" xr:uid="{00000000-0005-0000-0000-00003BD30000}"/>
    <cellStyle name="Normal 9 2 2 2 9 2 3" xfId="44456" xr:uid="{00000000-0005-0000-0000-00003CD30000}"/>
    <cellStyle name="Normal 9 2 2 2 9 3" xfId="24104" xr:uid="{00000000-0005-0000-0000-00003DD30000}"/>
    <cellStyle name="Normal 9 2 2 2 9 3 2" xfId="51237" xr:uid="{00000000-0005-0000-0000-00003ED30000}"/>
    <cellStyle name="Normal 9 2 2 2 9 4" xfId="37675" xr:uid="{00000000-0005-0000-0000-00003FD30000}"/>
    <cellStyle name="Normal 9 2 2 3" xfId="7041" xr:uid="{00000000-0005-0000-0000-000040D30000}"/>
    <cellStyle name="Normal 9 2 2 3 10" xfId="34325" xr:uid="{00000000-0005-0000-0000-000041D30000}"/>
    <cellStyle name="Normal 9 2 2 3 2" xfId="7042" xr:uid="{00000000-0005-0000-0000-000042D30000}"/>
    <cellStyle name="Normal 9 2 2 3 2 2" xfId="7043" xr:uid="{00000000-0005-0000-0000-000043D30000}"/>
    <cellStyle name="Normal 9 2 2 3 2 2 2" xfId="7044" xr:uid="{00000000-0005-0000-0000-000044D30000}"/>
    <cellStyle name="Normal 9 2 2 3 2 2 2 2" xfId="10570" xr:uid="{00000000-0005-0000-0000-000045D30000}"/>
    <cellStyle name="Normal 9 2 2 3 2 2 2 2 2" xfId="17359" xr:uid="{00000000-0005-0000-0000-000046D30000}"/>
    <cellStyle name="Normal 9 2 2 3 2 2 2 2 2 2" xfId="30927" xr:uid="{00000000-0005-0000-0000-000047D30000}"/>
    <cellStyle name="Normal 9 2 2 3 2 2 2 2 2 2 2" xfId="58060" xr:uid="{00000000-0005-0000-0000-000048D30000}"/>
    <cellStyle name="Normal 9 2 2 3 2 2 2 2 2 3" xfId="44498" xr:uid="{00000000-0005-0000-0000-000049D30000}"/>
    <cellStyle name="Normal 9 2 2 3 2 2 2 2 3" xfId="24146" xr:uid="{00000000-0005-0000-0000-00004AD30000}"/>
    <cellStyle name="Normal 9 2 2 3 2 2 2 2 3 2" xfId="51279" xr:uid="{00000000-0005-0000-0000-00004BD30000}"/>
    <cellStyle name="Normal 9 2 2 3 2 2 2 2 4" xfId="37717" xr:uid="{00000000-0005-0000-0000-00004CD30000}"/>
    <cellStyle name="Normal 9 2 2 3 2 2 2 3" xfId="13970" xr:uid="{00000000-0005-0000-0000-00004DD30000}"/>
    <cellStyle name="Normal 9 2 2 3 2 2 2 3 2" xfId="27538" xr:uid="{00000000-0005-0000-0000-00004ED30000}"/>
    <cellStyle name="Normal 9 2 2 3 2 2 2 3 2 2" xfId="54671" xr:uid="{00000000-0005-0000-0000-00004FD30000}"/>
    <cellStyle name="Normal 9 2 2 3 2 2 2 3 3" xfId="41109" xr:uid="{00000000-0005-0000-0000-000050D30000}"/>
    <cellStyle name="Normal 9 2 2 3 2 2 2 4" xfId="20757" xr:uid="{00000000-0005-0000-0000-000051D30000}"/>
    <cellStyle name="Normal 9 2 2 3 2 2 2 4 2" xfId="47890" xr:uid="{00000000-0005-0000-0000-000052D30000}"/>
    <cellStyle name="Normal 9 2 2 3 2 2 2 5" xfId="34328" xr:uid="{00000000-0005-0000-0000-000053D30000}"/>
    <cellStyle name="Normal 9 2 2 3 2 2 3" xfId="7045" xr:uid="{00000000-0005-0000-0000-000054D30000}"/>
    <cellStyle name="Normal 9 2 2 3 2 2 3 2" xfId="10571" xr:uid="{00000000-0005-0000-0000-000055D30000}"/>
    <cellStyle name="Normal 9 2 2 3 2 2 3 2 2" xfId="17360" xr:uid="{00000000-0005-0000-0000-000056D30000}"/>
    <cellStyle name="Normal 9 2 2 3 2 2 3 2 2 2" xfId="30928" xr:uid="{00000000-0005-0000-0000-000057D30000}"/>
    <cellStyle name="Normal 9 2 2 3 2 2 3 2 2 2 2" xfId="58061" xr:uid="{00000000-0005-0000-0000-000058D30000}"/>
    <cellStyle name="Normal 9 2 2 3 2 2 3 2 2 3" xfId="44499" xr:uid="{00000000-0005-0000-0000-000059D30000}"/>
    <cellStyle name="Normal 9 2 2 3 2 2 3 2 3" xfId="24147" xr:uid="{00000000-0005-0000-0000-00005AD30000}"/>
    <cellStyle name="Normal 9 2 2 3 2 2 3 2 3 2" xfId="51280" xr:uid="{00000000-0005-0000-0000-00005BD30000}"/>
    <cellStyle name="Normal 9 2 2 3 2 2 3 2 4" xfId="37718" xr:uid="{00000000-0005-0000-0000-00005CD30000}"/>
    <cellStyle name="Normal 9 2 2 3 2 2 3 3" xfId="13971" xr:uid="{00000000-0005-0000-0000-00005DD30000}"/>
    <cellStyle name="Normal 9 2 2 3 2 2 3 3 2" xfId="27539" xr:uid="{00000000-0005-0000-0000-00005ED30000}"/>
    <cellStyle name="Normal 9 2 2 3 2 2 3 3 2 2" xfId="54672" xr:uid="{00000000-0005-0000-0000-00005FD30000}"/>
    <cellStyle name="Normal 9 2 2 3 2 2 3 3 3" xfId="41110" xr:uid="{00000000-0005-0000-0000-000060D30000}"/>
    <cellStyle name="Normal 9 2 2 3 2 2 3 4" xfId="20758" xr:uid="{00000000-0005-0000-0000-000061D30000}"/>
    <cellStyle name="Normal 9 2 2 3 2 2 3 4 2" xfId="47891" xr:uid="{00000000-0005-0000-0000-000062D30000}"/>
    <cellStyle name="Normal 9 2 2 3 2 2 3 5" xfId="34329" xr:uid="{00000000-0005-0000-0000-000063D30000}"/>
    <cellStyle name="Normal 9 2 2 3 2 2 4" xfId="10569" xr:uid="{00000000-0005-0000-0000-000064D30000}"/>
    <cellStyle name="Normal 9 2 2 3 2 2 4 2" xfId="17358" xr:uid="{00000000-0005-0000-0000-000065D30000}"/>
    <cellStyle name="Normal 9 2 2 3 2 2 4 2 2" xfId="30926" xr:uid="{00000000-0005-0000-0000-000066D30000}"/>
    <cellStyle name="Normal 9 2 2 3 2 2 4 2 2 2" xfId="58059" xr:uid="{00000000-0005-0000-0000-000067D30000}"/>
    <cellStyle name="Normal 9 2 2 3 2 2 4 2 3" xfId="44497" xr:uid="{00000000-0005-0000-0000-000068D30000}"/>
    <cellStyle name="Normal 9 2 2 3 2 2 4 3" xfId="24145" xr:uid="{00000000-0005-0000-0000-000069D30000}"/>
    <cellStyle name="Normal 9 2 2 3 2 2 4 3 2" xfId="51278" xr:uid="{00000000-0005-0000-0000-00006AD30000}"/>
    <cellStyle name="Normal 9 2 2 3 2 2 4 4" xfId="37716" xr:uid="{00000000-0005-0000-0000-00006BD30000}"/>
    <cellStyle name="Normal 9 2 2 3 2 2 5" xfId="13969" xr:uid="{00000000-0005-0000-0000-00006CD30000}"/>
    <cellStyle name="Normal 9 2 2 3 2 2 5 2" xfId="27537" xr:uid="{00000000-0005-0000-0000-00006DD30000}"/>
    <cellStyle name="Normal 9 2 2 3 2 2 5 2 2" xfId="54670" xr:uid="{00000000-0005-0000-0000-00006ED30000}"/>
    <cellStyle name="Normal 9 2 2 3 2 2 5 3" xfId="41108" xr:uid="{00000000-0005-0000-0000-00006FD30000}"/>
    <cellStyle name="Normal 9 2 2 3 2 2 6" xfId="20756" xr:uid="{00000000-0005-0000-0000-000070D30000}"/>
    <cellStyle name="Normal 9 2 2 3 2 2 6 2" xfId="47889" xr:uid="{00000000-0005-0000-0000-000071D30000}"/>
    <cellStyle name="Normal 9 2 2 3 2 2 7" xfId="34327" xr:uid="{00000000-0005-0000-0000-000072D30000}"/>
    <cellStyle name="Normal 9 2 2 3 2 3" xfId="7046" xr:uid="{00000000-0005-0000-0000-000073D30000}"/>
    <cellStyle name="Normal 9 2 2 3 2 3 2" xfId="7047" xr:uid="{00000000-0005-0000-0000-000074D30000}"/>
    <cellStyle name="Normal 9 2 2 3 2 3 2 2" xfId="10573" xr:uid="{00000000-0005-0000-0000-000075D30000}"/>
    <cellStyle name="Normal 9 2 2 3 2 3 2 2 2" xfId="17362" xr:uid="{00000000-0005-0000-0000-000076D30000}"/>
    <cellStyle name="Normal 9 2 2 3 2 3 2 2 2 2" xfId="30930" xr:uid="{00000000-0005-0000-0000-000077D30000}"/>
    <cellStyle name="Normal 9 2 2 3 2 3 2 2 2 2 2" xfId="58063" xr:uid="{00000000-0005-0000-0000-000078D30000}"/>
    <cellStyle name="Normal 9 2 2 3 2 3 2 2 2 3" xfId="44501" xr:uid="{00000000-0005-0000-0000-000079D30000}"/>
    <cellStyle name="Normal 9 2 2 3 2 3 2 2 3" xfId="24149" xr:uid="{00000000-0005-0000-0000-00007AD30000}"/>
    <cellStyle name="Normal 9 2 2 3 2 3 2 2 3 2" xfId="51282" xr:uid="{00000000-0005-0000-0000-00007BD30000}"/>
    <cellStyle name="Normal 9 2 2 3 2 3 2 2 4" xfId="37720" xr:uid="{00000000-0005-0000-0000-00007CD30000}"/>
    <cellStyle name="Normal 9 2 2 3 2 3 2 3" xfId="13973" xr:uid="{00000000-0005-0000-0000-00007DD30000}"/>
    <cellStyle name="Normal 9 2 2 3 2 3 2 3 2" xfId="27541" xr:uid="{00000000-0005-0000-0000-00007ED30000}"/>
    <cellStyle name="Normal 9 2 2 3 2 3 2 3 2 2" xfId="54674" xr:uid="{00000000-0005-0000-0000-00007FD30000}"/>
    <cellStyle name="Normal 9 2 2 3 2 3 2 3 3" xfId="41112" xr:uid="{00000000-0005-0000-0000-000080D30000}"/>
    <cellStyle name="Normal 9 2 2 3 2 3 2 4" xfId="20760" xr:uid="{00000000-0005-0000-0000-000081D30000}"/>
    <cellStyle name="Normal 9 2 2 3 2 3 2 4 2" xfId="47893" xr:uid="{00000000-0005-0000-0000-000082D30000}"/>
    <cellStyle name="Normal 9 2 2 3 2 3 2 5" xfId="34331" xr:uid="{00000000-0005-0000-0000-000083D30000}"/>
    <cellStyle name="Normal 9 2 2 3 2 3 3" xfId="10572" xr:uid="{00000000-0005-0000-0000-000084D30000}"/>
    <cellStyle name="Normal 9 2 2 3 2 3 3 2" xfId="17361" xr:uid="{00000000-0005-0000-0000-000085D30000}"/>
    <cellStyle name="Normal 9 2 2 3 2 3 3 2 2" xfId="30929" xr:uid="{00000000-0005-0000-0000-000086D30000}"/>
    <cellStyle name="Normal 9 2 2 3 2 3 3 2 2 2" xfId="58062" xr:uid="{00000000-0005-0000-0000-000087D30000}"/>
    <cellStyle name="Normal 9 2 2 3 2 3 3 2 3" xfId="44500" xr:uid="{00000000-0005-0000-0000-000088D30000}"/>
    <cellStyle name="Normal 9 2 2 3 2 3 3 3" xfId="24148" xr:uid="{00000000-0005-0000-0000-000089D30000}"/>
    <cellStyle name="Normal 9 2 2 3 2 3 3 3 2" xfId="51281" xr:uid="{00000000-0005-0000-0000-00008AD30000}"/>
    <cellStyle name="Normal 9 2 2 3 2 3 3 4" xfId="37719" xr:uid="{00000000-0005-0000-0000-00008BD30000}"/>
    <cellStyle name="Normal 9 2 2 3 2 3 4" xfId="13972" xr:uid="{00000000-0005-0000-0000-00008CD30000}"/>
    <cellStyle name="Normal 9 2 2 3 2 3 4 2" xfId="27540" xr:uid="{00000000-0005-0000-0000-00008DD30000}"/>
    <cellStyle name="Normal 9 2 2 3 2 3 4 2 2" xfId="54673" xr:uid="{00000000-0005-0000-0000-00008ED30000}"/>
    <cellStyle name="Normal 9 2 2 3 2 3 4 3" xfId="41111" xr:uid="{00000000-0005-0000-0000-00008FD30000}"/>
    <cellStyle name="Normal 9 2 2 3 2 3 5" xfId="20759" xr:uid="{00000000-0005-0000-0000-000090D30000}"/>
    <cellStyle name="Normal 9 2 2 3 2 3 5 2" xfId="47892" xr:uid="{00000000-0005-0000-0000-000091D30000}"/>
    <cellStyle name="Normal 9 2 2 3 2 3 6" xfId="34330" xr:uid="{00000000-0005-0000-0000-000092D30000}"/>
    <cellStyle name="Normal 9 2 2 3 2 4" xfId="7048" xr:uid="{00000000-0005-0000-0000-000093D30000}"/>
    <cellStyle name="Normal 9 2 2 3 2 4 2" xfId="10574" xr:uid="{00000000-0005-0000-0000-000094D30000}"/>
    <cellStyle name="Normal 9 2 2 3 2 4 2 2" xfId="17363" xr:uid="{00000000-0005-0000-0000-000095D30000}"/>
    <cellStyle name="Normal 9 2 2 3 2 4 2 2 2" xfId="30931" xr:uid="{00000000-0005-0000-0000-000096D30000}"/>
    <cellStyle name="Normal 9 2 2 3 2 4 2 2 2 2" xfId="58064" xr:uid="{00000000-0005-0000-0000-000097D30000}"/>
    <cellStyle name="Normal 9 2 2 3 2 4 2 2 3" xfId="44502" xr:uid="{00000000-0005-0000-0000-000098D30000}"/>
    <cellStyle name="Normal 9 2 2 3 2 4 2 3" xfId="24150" xr:uid="{00000000-0005-0000-0000-000099D30000}"/>
    <cellStyle name="Normal 9 2 2 3 2 4 2 3 2" xfId="51283" xr:uid="{00000000-0005-0000-0000-00009AD30000}"/>
    <cellStyle name="Normal 9 2 2 3 2 4 2 4" xfId="37721" xr:uid="{00000000-0005-0000-0000-00009BD30000}"/>
    <cellStyle name="Normal 9 2 2 3 2 4 3" xfId="13974" xr:uid="{00000000-0005-0000-0000-00009CD30000}"/>
    <cellStyle name="Normal 9 2 2 3 2 4 3 2" xfId="27542" xr:uid="{00000000-0005-0000-0000-00009DD30000}"/>
    <cellStyle name="Normal 9 2 2 3 2 4 3 2 2" xfId="54675" xr:uid="{00000000-0005-0000-0000-00009ED30000}"/>
    <cellStyle name="Normal 9 2 2 3 2 4 3 3" xfId="41113" xr:uid="{00000000-0005-0000-0000-00009FD30000}"/>
    <cellStyle name="Normal 9 2 2 3 2 4 4" xfId="20761" xr:uid="{00000000-0005-0000-0000-0000A0D30000}"/>
    <cellStyle name="Normal 9 2 2 3 2 4 4 2" xfId="47894" xr:uid="{00000000-0005-0000-0000-0000A1D30000}"/>
    <cellStyle name="Normal 9 2 2 3 2 4 5" xfId="34332" xr:uid="{00000000-0005-0000-0000-0000A2D30000}"/>
    <cellStyle name="Normal 9 2 2 3 2 5" xfId="7049" xr:uid="{00000000-0005-0000-0000-0000A3D30000}"/>
    <cellStyle name="Normal 9 2 2 3 2 5 2" xfId="10575" xr:uid="{00000000-0005-0000-0000-0000A4D30000}"/>
    <cellStyle name="Normal 9 2 2 3 2 5 2 2" xfId="17364" xr:uid="{00000000-0005-0000-0000-0000A5D30000}"/>
    <cellStyle name="Normal 9 2 2 3 2 5 2 2 2" xfId="30932" xr:uid="{00000000-0005-0000-0000-0000A6D30000}"/>
    <cellStyle name="Normal 9 2 2 3 2 5 2 2 2 2" xfId="58065" xr:uid="{00000000-0005-0000-0000-0000A7D30000}"/>
    <cellStyle name="Normal 9 2 2 3 2 5 2 2 3" xfId="44503" xr:uid="{00000000-0005-0000-0000-0000A8D30000}"/>
    <cellStyle name="Normal 9 2 2 3 2 5 2 3" xfId="24151" xr:uid="{00000000-0005-0000-0000-0000A9D30000}"/>
    <cellStyle name="Normal 9 2 2 3 2 5 2 3 2" xfId="51284" xr:uid="{00000000-0005-0000-0000-0000AAD30000}"/>
    <cellStyle name="Normal 9 2 2 3 2 5 2 4" xfId="37722" xr:uid="{00000000-0005-0000-0000-0000ABD30000}"/>
    <cellStyle name="Normal 9 2 2 3 2 5 3" xfId="13975" xr:uid="{00000000-0005-0000-0000-0000ACD30000}"/>
    <cellStyle name="Normal 9 2 2 3 2 5 3 2" xfId="27543" xr:uid="{00000000-0005-0000-0000-0000ADD30000}"/>
    <cellStyle name="Normal 9 2 2 3 2 5 3 2 2" xfId="54676" xr:uid="{00000000-0005-0000-0000-0000AED30000}"/>
    <cellStyle name="Normal 9 2 2 3 2 5 3 3" xfId="41114" xr:uid="{00000000-0005-0000-0000-0000AFD30000}"/>
    <cellStyle name="Normal 9 2 2 3 2 5 4" xfId="20762" xr:uid="{00000000-0005-0000-0000-0000B0D30000}"/>
    <cellStyle name="Normal 9 2 2 3 2 5 4 2" xfId="47895" xr:uid="{00000000-0005-0000-0000-0000B1D30000}"/>
    <cellStyle name="Normal 9 2 2 3 2 5 5" xfId="34333" xr:uid="{00000000-0005-0000-0000-0000B2D30000}"/>
    <cellStyle name="Normal 9 2 2 3 2 6" xfId="10568" xr:uid="{00000000-0005-0000-0000-0000B3D30000}"/>
    <cellStyle name="Normal 9 2 2 3 2 6 2" xfId="17357" xr:uid="{00000000-0005-0000-0000-0000B4D30000}"/>
    <cellStyle name="Normal 9 2 2 3 2 6 2 2" xfId="30925" xr:uid="{00000000-0005-0000-0000-0000B5D30000}"/>
    <cellStyle name="Normal 9 2 2 3 2 6 2 2 2" xfId="58058" xr:uid="{00000000-0005-0000-0000-0000B6D30000}"/>
    <cellStyle name="Normal 9 2 2 3 2 6 2 3" xfId="44496" xr:uid="{00000000-0005-0000-0000-0000B7D30000}"/>
    <cellStyle name="Normal 9 2 2 3 2 6 3" xfId="24144" xr:uid="{00000000-0005-0000-0000-0000B8D30000}"/>
    <cellStyle name="Normal 9 2 2 3 2 6 3 2" xfId="51277" xr:uid="{00000000-0005-0000-0000-0000B9D30000}"/>
    <cellStyle name="Normal 9 2 2 3 2 6 4" xfId="37715" xr:uid="{00000000-0005-0000-0000-0000BAD30000}"/>
    <cellStyle name="Normal 9 2 2 3 2 7" xfId="13968" xr:uid="{00000000-0005-0000-0000-0000BBD30000}"/>
    <cellStyle name="Normal 9 2 2 3 2 7 2" xfId="27536" xr:uid="{00000000-0005-0000-0000-0000BCD30000}"/>
    <cellStyle name="Normal 9 2 2 3 2 7 2 2" xfId="54669" xr:uid="{00000000-0005-0000-0000-0000BDD30000}"/>
    <cellStyle name="Normal 9 2 2 3 2 7 3" xfId="41107" xr:uid="{00000000-0005-0000-0000-0000BED30000}"/>
    <cellStyle name="Normal 9 2 2 3 2 8" xfId="20755" xr:uid="{00000000-0005-0000-0000-0000BFD30000}"/>
    <cellStyle name="Normal 9 2 2 3 2 8 2" xfId="47888" xr:uid="{00000000-0005-0000-0000-0000C0D30000}"/>
    <cellStyle name="Normal 9 2 2 3 2 9" xfId="34326" xr:uid="{00000000-0005-0000-0000-0000C1D30000}"/>
    <cellStyle name="Normal 9 2 2 3 3" xfId="7050" xr:uid="{00000000-0005-0000-0000-0000C2D30000}"/>
    <cellStyle name="Normal 9 2 2 3 3 2" xfId="7051" xr:uid="{00000000-0005-0000-0000-0000C3D30000}"/>
    <cellStyle name="Normal 9 2 2 3 3 2 2" xfId="10577" xr:uid="{00000000-0005-0000-0000-0000C4D30000}"/>
    <cellStyle name="Normal 9 2 2 3 3 2 2 2" xfId="17366" xr:uid="{00000000-0005-0000-0000-0000C5D30000}"/>
    <cellStyle name="Normal 9 2 2 3 3 2 2 2 2" xfId="30934" xr:uid="{00000000-0005-0000-0000-0000C6D30000}"/>
    <cellStyle name="Normal 9 2 2 3 3 2 2 2 2 2" xfId="58067" xr:uid="{00000000-0005-0000-0000-0000C7D30000}"/>
    <cellStyle name="Normal 9 2 2 3 3 2 2 2 3" xfId="44505" xr:uid="{00000000-0005-0000-0000-0000C8D30000}"/>
    <cellStyle name="Normal 9 2 2 3 3 2 2 3" xfId="24153" xr:uid="{00000000-0005-0000-0000-0000C9D30000}"/>
    <cellStyle name="Normal 9 2 2 3 3 2 2 3 2" xfId="51286" xr:uid="{00000000-0005-0000-0000-0000CAD30000}"/>
    <cellStyle name="Normal 9 2 2 3 3 2 2 4" xfId="37724" xr:uid="{00000000-0005-0000-0000-0000CBD30000}"/>
    <cellStyle name="Normal 9 2 2 3 3 2 3" xfId="13977" xr:uid="{00000000-0005-0000-0000-0000CCD30000}"/>
    <cellStyle name="Normal 9 2 2 3 3 2 3 2" xfId="27545" xr:uid="{00000000-0005-0000-0000-0000CDD30000}"/>
    <cellStyle name="Normal 9 2 2 3 3 2 3 2 2" xfId="54678" xr:uid="{00000000-0005-0000-0000-0000CED30000}"/>
    <cellStyle name="Normal 9 2 2 3 3 2 3 3" xfId="41116" xr:uid="{00000000-0005-0000-0000-0000CFD30000}"/>
    <cellStyle name="Normal 9 2 2 3 3 2 4" xfId="20764" xr:uid="{00000000-0005-0000-0000-0000D0D30000}"/>
    <cellStyle name="Normal 9 2 2 3 3 2 4 2" xfId="47897" xr:uid="{00000000-0005-0000-0000-0000D1D30000}"/>
    <cellStyle name="Normal 9 2 2 3 3 2 5" xfId="34335" xr:uid="{00000000-0005-0000-0000-0000D2D30000}"/>
    <cellStyle name="Normal 9 2 2 3 3 3" xfId="7052" xr:uid="{00000000-0005-0000-0000-0000D3D30000}"/>
    <cellStyle name="Normal 9 2 2 3 3 3 2" xfId="10578" xr:uid="{00000000-0005-0000-0000-0000D4D30000}"/>
    <cellStyle name="Normal 9 2 2 3 3 3 2 2" xfId="17367" xr:uid="{00000000-0005-0000-0000-0000D5D30000}"/>
    <cellStyle name="Normal 9 2 2 3 3 3 2 2 2" xfId="30935" xr:uid="{00000000-0005-0000-0000-0000D6D30000}"/>
    <cellStyle name="Normal 9 2 2 3 3 3 2 2 2 2" xfId="58068" xr:uid="{00000000-0005-0000-0000-0000D7D30000}"/>
    <cellStyle name="Normal 9 2 2 3 3 3 2 2 3" xfId="44506" xr:uid="{00000000-0005-0000-0000-0000D8D30000}"/>
    <cellStyle name="Normal 9 2 2 3 3 3 2 3" xfId="24154" xr:uid="{00000000-0005-0000-0000-0000D9D30000}"/>
    <cellStyle name="Normal 9 2 2 3 3 3 2 3 2" xfId="51287" xr:uid="{00000000-0005-0000-0000-0000DAD30000}"/>
    <cellStyle name="Normal 9 2 2 3 3 3 2 4" xfId="37725" xr:uid="{00000000-0005-0000-0000-0000DBD30000}"/>
    <cellStyle name="Normal 9 2 2 3 3 3 3" xfId="13978" xr:uid="{00000000-0005-0000-0000-0000DCD30000}"/>
    <cellStyle name="Normal 9 2 2 3 3 3 3 2" xfId="27546" xr:uid="{00000000-0005-0000-0000-0000DDD30000}"/>
    <cellStyle name="Normal 9 2 2 3 3 3 3 2 2" xfId="54679" xr:uid="{00000000-0005-0000-0000-0000DED30000}"/>
    <cellStyle name="Normal 9 2 2 3 3 3 3 3" xfId="41117" xr:uid="{00000000-0005-0000-0000-0000DFD30000}"/>
    <cellStyle name="Normal 9 2 2 3 3 3 4" xfId="20765" xr:uid="{00000000-0005-0000-0000-0000E0D30000}"/>
    <cellStyle name="Normal 9 2 2 3 3 3 4 2" xfId="47898" xr:uid="{00000000-0005-0000-0000-0000E1D30000}"/>
    <cellStyle name="Normal 9 2 2 3 3 3 5" xfId="34336" xr:uid="{00000000-0005-0000-0000-0000E2D30000}"/>
    <cellStyle name="Normal 9 2 2 3 3 4" xfId="10576" xr:uid="{00000000-0005-0000-0000-0000E3D30000}"/>
    <cellStyle name="Normal 9 2 2 3 3 4 2" xfId="17365" xr:uid="{00000000-0005-0000-0000-0000E4D30000}"/>
    <cellStyle name="Normal 9 2 2 3 3 4 2 2" xfId="30933" xr:uid="{00000000-0005-0000-0000-0000E5D30000}"/>
    <cellStyle name="Normal 9 2 2 3 3 4 2 2 2" xfId="58066" xr:uid="{00000000-0005-0000-0000-0000E6D30000}"/>
    <cellStyle name="Normal 9 2 2 3 3 4 2 3" xfId="44504" xr:uid="{00000000-0005-0000-0000-0000E7D30000}"/>
    <cellStyle name="Normal 9 2 2 3 3 4 3" xfId="24152" xr:uid="{00000000-0005-0000-0000-0000E8D30000}"/>
    <cellStyle name="Normal 9 2 2 3 3 4 3 2" xfId="51285" xr:uid="{00000000-0005-0000-0000-0000E9D30000}"/>
    <cellStyle name="Normal 9 2 2 3 3 4 4" xfId="37723" xr:uid="{00000000-0005-0000-0000-0000EAD30000}"/>
    <cellStyle name="Normal 9 2 2 3 3 5" xfId="13976" xr:uid="{00000000-0005-0000-0000-0000EBD30000}"/>
    <cellStyle name="Normal 9 2 2 3 3 5 2" xfId="27544" xr:uid="{00000000-0005-0000-0000-0000ECD30000}"/>
    <cellStyle name="Normal 9 2 2 3 3 5 2 2" xfId="54677" xr:uid="{00000000-0005-0000-0000-0000EDD30000}"/>
    <cellStyle name="Normal 9 2 2 3 3 5 3" xfId="41115" xr:uid="{00000000-0005-0000-0000-0000EED30000}"/>
    <cellStyle name="Normal 9 2 2 3 3 6" xfId="20763" xr:uid="{00000000-0005-0000-0000-0000EFD30000}"/>
    <cellStyle name="Normal 9 2 2 3 3 6 2" xfId="47896" xr:uid="{00000000-0005-0000-0000-0000F0D30000}"/>
    <cellStyle name="Normal 9 2 2 3 3 7" xfId="34334" xr:uid="{00000000-0005-0000-0000-0000F1D30000}"/>
    <cellStyle name="Normal 9 2 2 3 4" xfId="7053" xr:uid="{00000000-0005-0000-0000-0000F2D30000}"/>
    <cellStyle name="Normal 9 2 2 3 4 2" xfId="7054" xr:uid="{00000000-0005-0000-0000-0000F3D30000}"/>
    <cellStyle name="Normal 9 2 2 3 4 2 2" xfId="10580" xr:uid="{00000000-0005-0000-0000-0000F4D30000}"/>
    <cellStyle name="Normal 9 2 2 3 4 2 2 2" xfId="17369" xr:uid="{00000000-0005-0000-0000-0000F5D30000}"/>
    <cellStyle name="Normal 9 2 2 3 4 2 2 2 2" xfId="30937" xr:uid="{00000000-0005-0000-0000-0000F6D30000}"/>
    <cellStyle name="Normal 9 2 2 3 4 2 2 2 2 2" xfId="58070" xr:uid="{00000000-0005-0000-0000-0000F7D30000}"/>
    <cellStyle name="Normal 9 2 2 3 4 2 2 2 3" xfId="44508" xr:uid="{00000000-0005-0000-0000-0000F8D30000}"/>
    <cellStyle name="Normal 9 2 2 3 4 2 2 3" xfId="24156" xr:uid="{00000000-0005-0000-0000-0000F9D30000}"/>
    <cellStyle name="Normal 9 2 2 3 4 2 2 3 2" xfId="51289" xr:uid="{00000000-0005-0000-0000-0000FAD30000}"/>
    <cellStyle name="Normal 9 2 2 3 4 2 2 4" xfId="37727" xr:uid="{00000000-0005-0000-0000-0000FBD30000}"/>
    <cellStyle name="Normal 9 2 2 3 4 2 3" xfId="13980" xr:uid="{00000000-0005-0000-0000-0000FCD30000}"/>
    <cellStyle name="Normal 9 2 2 3 4 2 3 2" xfId="27548" xr:uid="{00000000-0005-0000-0000-0000FDD30000}"/>
    <cellStyle name="Normal 9 2 2 3 4 2 3 2 2" xfId="54681" xr:uid="{00000000-0005-0000-0000-0000FED30000}"/>
    <cellStyle name="Normal 9 2 2 3 4 2 3 3" xfId="41119" xr:uid="{00000000-0005-0000-0000-0000FFD30000}"/>
    <cellStyle name="Normal 9 2 2 3 4 2 4" xfId="20767" xr:uid="{00000000-0005-0000-0000-000000D40000}"/>
    <cellStyle name="Normal 9 2 2 3 4 2 4 2" xfId="47900" xr:uid="{00000000-0005-0000-0000-000001D40000}"/>
    <cellStyle name="Normal 9 2 2 3 4 2 5" xfId="34338" xr:uid="{00000000-0005-0000-0000-000002D40000}"/>
    <cellStyle name="Normal 9 2 2 3 4 3" xfId="10579" xr:uid="{00000000-0005-0000-0000-000003D40000}"/>
    <cellStyle name="Normal 9 2 2 3 4 3 2" xfId="17368" xr:uid="{00000000-0005-0000-0000-000004D40000}"/>
    <cellStyle name="Normal 9 2 2 3 4 3 2 2" xfId="30936" xr:uid="{00000000-0005-0000-0000-000005D40000}"/>
    <cellStyle name="Normal 9 2 2 3 4 3 2 2 2" xfId="58069" xr:uid="{00000000-0005-0000-0000-000006D40000}"/>
    <cellStyle name="Normal 9 2 2 3 4 3 2 3" xfId="44507" xr:uid="{00000000-0005-0000-0000-000007D40000}"/>
    <cellStyle name="Normal 9 2 2 3 4 3 3" xfId="24155" xr:uid="{00000000-0005-0000-0000-000008D40000}"/>
    <cellStyle name="Normal 9 2 2 3 4 3 3 2" xfId="51288" xr:uid="{00000000-0005-0000-0000-000009D40000}"/>
    <cellStyle name="Normal 9 2 2 3 4 3 4" xfId="37726" xr:uid="{00000000-0005-0000-0000-00000AD40000}"/>
    <cellStyle name="Normal 9 2 2 3 4 4" xfId="13979" xr:uid="{00000000-0005-0000-0000-00000BD40000}"/>
    <cellStyle name="Normal 9 2 2 3 4 4 2" xfId="27547" xr:uid="{00000000-0005-0000-0000-00000CD40000}"/>
    <cellStyle name="Normal 9 2 2 3 4 4 2 2" xfId="54680" xr:uid="{00000000-0005-0000-0000-00000DD40000}"/>
    <cellStyle name="Normal 9 2 2 3 4 4 3" xfId="41118" xr:uid="{00000000-0005-0000-0000-00000ED40000}"/>
    <cellStyle name="Normal 9 2 2 3 4 5" xfId="20766" xr:uid="{00000000-0005-0000-0000-00000FD40000}"/>
    <cellStyle name="Normal 9 2 2 3 4 5 2" xfId="47899" xr:uid="{00000000-0005-0000-0000-000010D40000}"/>
    <cellStyle name="Normal 9 2 2 3 4 6" xfId="34337" xr:uid="{00000000-0005-0000-0000-000011D40000}"/>
    <cellStyle name="Normal 9 2 2 3 5" xfId="7055" xr:uid="{00000000-0005-0000-0000-000012D40000}"/>
    <cellStyle name="Normal 9 2 2 3 5 2" xfId="10581" xr:uid="{00000000-0005-0000-0000-000013D40000}"/>
    <cellStyle name="Normal 9 2 2 3 5 2 2" xfId="17370" xr:uid="{00000000-0005-0000-0000-000014D40000}"/>
    <cellStyle name="Normal 9 2 2 3 5 2 2 2" xfId="30938" xr:uid="{00000000-0005-0000-0000-000015D40000}"/>
    <cellStyle name="Normal 9 2 2 3 5 2 2 2 2" xfId="58071" xr:uid="{00000000-0005-0000-0000-000016D40000}"/>
    <cellStyle name="Normal 9 2 2 3 5 2 2 3" xfId="44509" xr:uid="{00000000-0005-0000-0000-000017D40000}"/>
    <cellStyle name="Normal 9 2 2 3 5 2 3" xfId="24157" xr:uid="{00000000-0005-0000-0000-000018D40000}"/>
    <cellStyle name="Normal 9 2 2 3 5 2 3 2" xfId="51290" xr:uid="{00000000-0005-0000-0000-000019D40000}"/>
    <cellStyle name="Normal 9 2 2 3 5 2 4" xfId="37728" xr:uid="{00000000-0005-0000-0000-00001AD40000}"/>
    <cellStyle name="Normal 9 2 2 3 5 3" xfId="13981" xr:uid="{00000000-0005-0000-0000-00001BD40000}"/>
    <cellStyle name="Normal 9 2 2 3 5 3 2" xfId="27549" xr:uid="{00000000-0005-0000-0000-00001CD40000}"/>
    <cellStyle name="Normal 9 2 2 3 5 3 2 2" xfId="54682" xr:uid="{00000000-0005-0000-0000-00001DD40000}"/>
    <cellStyle name="Normal 9 2 2 3 5 3 3" xfId="41120" xr:uid="{00000000-0005-0000-0000-00001ED40000}"/>
    <cellStyle name="Normal 9 2 2 3 5 4" xfId="20768" xr:uid="{00000000-0005-0000-0000-00001FD40000}"/>
    <cellStyle name="Normal 9 2 2 3 5 4 2" xfId="47901" xr:uid="{00000000-0005-0000-0000-000020D40000}"/>
    <cellStyle name="Normal 9 2 2 3 5 5" xfId="34339" xr:uid="{00000000-0005-0000-0000-000021D40000}"/>
    <cellStyle name="Normal 9 2 2 3 6" xfId="7056" xr:uid="{00000000-0005-0000-0000-000022D40000}"/>
    <cellStyle name="Normal 9 2 2 3 6 2" xfId="10582" xr:uid="{00000000-0005-0000-0000-000023D40000}"/>
    <cellStyle name="Normal 9 2 2 3 6 2 2" xfId="17371" xr:uid="{00000000-0005-0000-0000-000024D40000}"/>
    <cellStyle name="Normal 9 2 2 3 6 2 2 2" xfId="30939" xr:uid="{00000000-0005-0000-0000-000025D40000}"/>
    <cellStyle name="Normal 9 2 2 3 6 2 2 2 2" xfId="58072" xr:uid="{00000000-0005-0000-0000-000026D40000}"/>
    <cellStyle name="Normal 9 2 2 3 6 2 2 3" xfId="44510" xr:uid="{00000000-0005-0000-0000-000027D40000}"/>
    <cellStyle name="Normal 9 2 2 3 6 2 3" xfId="24158" xr:uid="{00000000-0005-0000-0000-000028D40000}"/>
    <cellStyle name="Normal 9 2 2 3 6 2 3 2" xfId="51291" xr:uid="{00000000-0005-0000-0000-000029D40000}"/>
    <cellStyle name="Normal 9 2 2 3 6 2 4" xfId="37729" xr:uid="{00000000-0005-0000-0000-00002AD40000}"/>
    <cellStyle name="Normal 9 2 2 3 6 3" xfId="13982" xr:uid="{00000000-0005-0000-0000-00002BD40000}"/>
    <cellStyle name="Normal 9 2 2 3 6 3 2" xfId="27550" xr:uid="{00000000-0005-0000-0000-00002CD40000}"/>
    <cellStyle name="Normal 9 2 2 3 6 3 2 2" xfId="54683" xr:uid="{00000000-0005-0000-0000-00002DD40000}"/>
    <cellStyle name="Normal 9 2 2 3 6 3 3" xfId="41121" xr:uid="{00000000-0005-0000-0000-00002ED40000}"/>
    <cellStyle name="Normal 9 2 2 3 6 4" xfId="20769" xr:uid="{00000000-0005-0000-0000-00002FD40000}"/>
    <cellStyle name="Normal 9 2 2 3 6 4 2" xfId="47902" xr:uid="{00000000-0005-0000-0000-000030D40000}"/>
    <cellStyle name="Normal 9 2 2 3 6 5" xfId="34340" xr:uid="{00000000-0005-0000-0000-000031D40000}"/>
    <cellStyle name="Normal 9 2 2 3 7" xfId="10567" xr:uid="{00000000-0005-0000-0000-000032D40000}"/>
    <cellStyle name="Normal 9 2 2 3 7 2" xfId="17356" xr:uid="{00000000-0005-0000-0000-000033D40000}"/>
    <cellStyle name="Normal 9 2 2 3 7 2 2" xfId="30924" xr:uid="{00000000-0005-0000-0000-000034D40000}"/>
    <cellStyle name="Normal 9 2 2 3 7 2 2 2" xfId="58057" xr:uid="{00000000-0005-0000-0000-000035D40000}"/>
    <cellStyle name="Normal 9 2 2 3 7 2 3" xfId="44495" xr:uid="{00000000-0005-0000-0000-000036D40000}"/>
    <cellStyle name="Normal 9 2 2 3 7 3" xfId="24143" xr:uid="{00000000-0005-0000-0000-000037D40000}"/>
    <cellStyle name="Normal 9 2 2 3 7 3 2" xfId="51276" xr:uid="{00000000-0005-0000-0000-000038D40000}"/>
    <cellStyle name="Normal 9 2 2 3 7 4" xfId="37714" xr:uid="{00000000-0005-0000-0000-000039D40000}"/>
    <cellStyle name="Normal 9 2 2 3 8" xfId="13967" xr:uid="{00000000-0005-0000-0000-00003AD40000}"/>
    <cellStyle name="Normal 9 2 2 3 8 2" xfId="27535" xr:uid="{00000000-0005-0000-0000-00003BD40000}"/>
    <cellStyle name="Normal 9 2 2 3 8 2 2" xfId="54668" xr:uid="{00000000-0005-0000-0000-00003CD40000}"/>
    <cellStyle name="Normal 9 2 2 3 8 3" xfId="41106" xr:uid="{00000000-0005-0000-0000-00003DD40000}"/>
    <cellStyle name="Normal 9 2 2 3 9" xfId="20754" xr:uid="{00000000-0005-0000-0000-00003ED40000}"/>
    <cellStyle name="Normal 9 2 2 3 9 2" xfId="47887" xr:uid="{00000000-0005-0000-0000-00003FD40000}"/>
    <cellStyle name="Normal 9 2 2 4" xfId="7057" xr:uid="{00000000-0005-0000-0000-000040D40000}"/>
    <cellStyle name="Normal 9 2 2 4 2" xfId="7058" xr:uid="{00000000-0005-0000-0000-000041D40000}"/>
    <cellStyle name="Normal 9 2 2 4 2 2" xfId="7059" xr:uid="{00000000-0005-0000-0000-000042D40000}"/>
    <cellStyle name="Normal 9 2 2 4 2 2 2" xfId="10585" xr:uid="{00000000-0005-0000-0000-000043D40000}"/>
    <cellStyle name="Normal 9 2 2 4 2 2 2 2" xfId="17374" xr:uid="{00000000-0005-0000-0000-000044D40000}"/>
    <cellStyle name="Normal 9 2 2 4 2 2 2 2 2" xfId="30942" xr:uid="{00000000-0005-0000-0000-000045D40000}"/>
    <cellStyle name="Normal 9 2 2 4 2 2 2 2 2 2" xfId="58075" xr:uid="{00000000-0005-0000-0000-000046D40000}"/>
    <cellStyle name="Normal 9 2 2 4 2 2 2 2 3" xfId="44513" xr:uid="{00000000-0005-0000-0000-000047D40000}"/>
    <cellStyle name="Normal 9 2 2 4 2 2 2 3" xfId="24161" xr:uid="{00000000-0005-0000-0000-000048D40000}"/>
    <cellStyle name="Normal 9 2 2 4 2 2 2 3 2" xfId="51294" xr:uid="{00000000-0005-0000-0000-000049D40000}"/>
    <cellStyle name="Normal 9 2 2 4 2 2 2 4" xfId="37732" xr:uid="{00000000-0005-0000-0000-00004AD40000}"/>
    <cellStyle name="Normal 9 2 2 4 2 2 3" xfId="13985" xr:uid="{00000000-0005-0000-0000-00004BD40000}"/>
    <cellStyle name="Normal 9 2 2 4 2 2 3 2" xfId="27553" xr:uid="{00000000-0005-0000-0000-00004CD40000}"/>
    <cellStyle name="Normal 9 2 2 4 2 2 3 2 2" xfId="54686" xr:uid="{00000000-0005-0000-0000-00004DD40000}"/>
    <cellStyle name="Normal 9 2 2 4 2 2 3 3" xfId="41124" xr:uid="{00000000-0005-0000-0000-00004ED40000}"/>
    <cellStyle name="Normal 9 2 2 4 2 2 4" xfId="20772" xr:uid="{00000000-0005-0000-0000-00004FD40000}"/>
    <cellStyle name="Normal 9 2 2 4 2 2 4 2" xfId="47905" xr:uid="{00000000-0005-0000-0000-000050D40000}"/>
    <cellStyle name="Normal 9 2 2 4 2 2 5" xfId="34343" xr:uid="{00000000-0005-0000-0000-000051D40000}"/>
    <cellStyle name="Normal 9 2 2 4 2 3" xfId="7060" xr:uid="{00000000-0005-0000-0000-000052D40000}"/>
    <cellStyle name="Normal 9 2 2 4 2 3 2" xfId="10586" xr:uid="{00000000-0005-0000-0000-000053D40000}"/>
    <cellStyle name="Normal 9 2 2 4 2 3 2 2" xfId="17375" xr:uid="{00000000-0005-0000-0000-000054D40000}"/>
    <cellStyle name="Normal 9 2 2 4 2 3 2 2 2" xfId="30943" xr:uid="{00000000-0005-0000-0000-000055D40000}"/>
    <cellStyle name="Normal 9 2 2 4 2 3 2 2 2 2" xfId="58076" xr:uid="{00000000-0005-0000-0000-000056D40000}"/>
    <cellStyle name="Normal 9 2 2 4 2 3 2 2 3" xfId="44514" xr:uid="{00000000-0005-0000-0000-000057D40000}"/>
    <cellStyle name="Normal 9 2 2 4 2 3 2 3" xfId="24162" xr:uid="{00000000-0005-0000-0000-000058D40000}"/>
    <cellStyle name="Normal 9 2 2 4 2 3 2 3 2" xfId="51295" xr:uid="{00000000-0005-0000-0000-000059D40000}"/>
    <cellStyle name="Normal 9 2 2 4 2 3 2 4" xfId="37733" xr:uid="{00000000-0005-0000-0000-00005AD40000}"/>
    <cellStyle name="Normal 9 2 2 4 2 3 3" xfId="13986" xr:uid="{00000000-0005-0000-0000-00005BD40000}"/>
    <cellStyle name="Normal 9 2 2 4 2 3 3 2" xfId="27554" xr:uid="{00000000-0005-0000-0000-00005CD40000}"/>
    <cellStyle name="Normal 9 2 2 4 2 3 3 2 2" xfId="54687" xr:uid="{00000000-0005-0000-0000-00005DD40000}"/>
    <cellStyle name="Normal 9 2 2 4 2 3 3 3" xfId="41125" xr:uid="{00000000-0005-0000-0000-00005ED40000}"/>
    <cellStyle name="Normal 9 2 2 4 2 3 4" xfId="20773" xr:uid="{00000000-0005-0000-0000-00005FD40000}"/>
    <cellStyle name="Normal 9 2 2 4 2 3 4 2" xfId="47906" xr:uid="{00000000-0005-0000-0000-000060D40000}"/>
    <cellStyle name="Normal 9 2 2 4 2 3 5" xfId="34344" xr:uid="{00000000-0005-0000-0000-000061D40000}"/>
    <cellStyle name="Normal 9 2 2 4 2 4" xfId="10584" xr:uid="{00000000-0005-0000-0000-000062D40000}"/>
    <cellStyle name="Normal 9 2 2 4 2 4 2" xfId="17373" xr:uid="{00000000-0005-0000-0000-000063D40000}"/>
    <cellStyle name="Normal 9 2 2 4 2 4 2 2" xfId="30941" xr:uid="{00000000-0005-0000-0000-000064D40000}"/>
    <cellStyle name="Normal 9 2 2 4 2 4 2 2 2" xfId="58074" xr:uid="{00000000-0005-0000-0000-000065D40000}"/>
    <cellStyle name="Normal 9 2 2 4 2 4 2 3" xfId="44512" xr:uid="{00000000-0005-0000-0000-000066D40000}"/>
    <cellStyle name="Normal 9 2 2 4 2 4 3" xfId="24160" xr:uid="{00000000-0005-0000-0000-000067D40000}"/>
    <cellStyle name="Normal 9 2 2 4 2 4 3 2" xfId="51293" xr:uid="{00000000-0005-0000-0000-000068D40000}"/>
    <cellStyle name="Normal 9 2 2 4 2 4 4" xfId="37731" xr:uid="{00000000-0005-0000-0000-000069D40000}"/>
    <cellStyle name="Normal 9 2 2 4 2 5" xfId="13984" xr:uid="{00000000-0005-0000-0000-00006AD40000}"/>
    <cellStyle name="Normal 9 2 2 4 2 5 2" xfId="27552" xr:uid="{00000000-0005-0000-0000-00006BD40000}"/>
    <cellStyle name="Normal 9 2 2 4 2 5 2 2" xfId="54685" xr:uid="{00000000-0005-0000-0000-00006CD40000}"/>
    <cellStyle name="Normal 9 2 2 4 2 5 3" xfId="41123" xr:uid="{00000000-0005-0000-0000-00006DD40000}"/>
    <cellStyle name="Normal 9 2 2 4 2 6" xfId="20771" xr:uid="{00000000-0005-0000-0000-00006ED40000}"/>
    <cellStyle name="Normal 9 2 2 4 2 6 2" xfId="47904" xr:uid="{00000000-0005-0000-0000-00006FD40000}"/>
    <cellStyle name="Normal 9 2 2 4 2 7" xfId="34342" xr:uid="{00000000-0005-0000-0000-000070D40000}"/>
    <cellStyle name="Normal 9 2 2 4 3" xfId="7061" xr:uid="{00000000-0005-0000-0000-000071D40000}"/>
    <cellStyle name="Normal 9 2 2 4 3 2" xfId="7062" xr:uid="{00000000-0005-0000-0000-000072D40000}"/>
    <cellStyle name="Normal 9 2 2 4 3 2 2" xfId="10588" xr:uid="{00000000-0005-0000-0000-000073D40000}"/>
    <cellStyle name="Normal 9 2 2 4 3 2 2 2" xfId="17377" xr:uid="{00000000-0005-0000-0000-000074D40000}"/>
    <cellStyle name="Normal 9 2 2 4 3 2 2 2 2" xfId="30945" xr:uid="{00000000-0005-0000-0000-000075D40000}"/>
    <cellStyle name="Normal 9 2 2 4 3 2 2 2 2 2" xfId="58078" xr:uid="{00000000-0005-0000-0000-000076D40000}"/>
    <cellStyle name="Normal 9 2 2 4 3 2 2 2 3" xfId="44516" xr:uid="{00000000-0005-0000-0000-000077D40000}"/>
    <cellStyle name="Normal 9 2 2 4 3 2 2 3" xfId="24164" xr:uid="{00000000-0005-0000-0000-000078D40000}"/>
    <cellStyle name="Normal 9 2 2 4 3 2 2 3 2" xfId="51297" xr:uid="{00000000-0005-0000-0000-000079D40000}"/>
    <cellStyle name="Normal 9 2 2 4 3 2 2 4" xfId="37735" xr:uid="{00000000-0005-0000-0000-00007AD40000}"/>
    <cellStyle name="Normal 9 2 2 4 3 2 3" xfId="13988" xr:uid="{00000000-0005-0000-0000-00007BD40000}"/>
    <cellStyle name="Normal 9 2 2 4 3 2 3 2" xfId="27556" xr:uid="{00000000-0005-0000-0000-00007CD40000}"/>
    <cellStyle name="Normal 9 2 2 4 3 2 3 2 2" xfId="54689" xr:uid="{00000000-0005-0000-0000-00007DD40000}"/>
    <cellStyle name="Normal 9 2 2 4 3 2 3 3" xfId="41127" xr:uid="{00000000-0005-0000-0000-00007ED40000}"/>
    <cellStyle name="Normal 9 2 2 4 3 2 4" xfId="20775" xr:uid="{00000000-0005-0000-0000-00007FD40000}"/>
    <cellStyle name="Normal 9 2 2 4 3 2 4 2" xfId="47908" xr:uid="{00000000-0005-0000-0000-000080D40000}"/>
    <cellStyle name="Normal 9 2 2 4 3 2 5" xfId="34346" xr:uid="{00000000-0005-0000-0000-000081D40000}"/>
    <cellStyle name="Normal 9 2 2 4 3 3" xfId="10587" xr:uid="{00000000-0005-0000-0000-000082D40000}"/>
    <cellStyle name="Normal 9 2 2 4 3 3 2" xfId="17376" xr:uid="{00000000-0005-0000-0000-000083D40000}"/>
    <cellStyle name="Normal 9 2 2 4 3 3 2 2" xfId="30944" xr:uid="{00000000-0005-0000-0000-000084D40000}"/>
    <cellStyle name="Normal 9 2 2 4 3 3 2 2 2" xfId="58077" xr:uid="{00000000-0005-0000-0000-000085D40000}"/>
    <cellStyle name="Normal 9 2 2 4 3 3 2 3" xfId="44515" xr:uid="{00000000-0005-0000-0000-000086D40000}"/>
    <cellStyle name="Normal 9 2 2 4 3 3 3" xfId="24163" xr:uid="{00000000-0005-0000-0000-000087D40000}"/>
    <cellStyle name="Normal 9 2 2 4 3 3 3 2" xfId="51296" xr:uid="{00000000-0005-0000-0000-000088D40000}"/>
    <cellStyle name="Normal 9 2 2 4 3 3 4" xfId="37734" xr:uid="{00000000-0005-0000-0000-000089D40000}"/>
    <cellStyle name="Normal 9 2 2 4 3 4" xfId="13987" xr:uid="{00000000-0005-0000-0000-00008AD40000}"/>
    <cellStyle name="Normal 9 2 2 4 3 4 2" xfId="27555" xr:uid="{00000000-0005-0000-0000-00008BD40000}"/>
    <cellStyle name="Normal 9 2 2 4 3 4 2 2" xfId="54688" xr:uid="{00000000-0005-0000-0000-00008CD40000}"/>
    <cellStyle name="Normal 9 2 2 4 3 4 3" xfId="41126" xr:uid="{00000000-0005-0000-0000-00008DD40000}"/>
    <cellStyle name="Normal 9 2 2 4 3 5" xfId="20774" xr:uid="{00000000-0005-0000-0000-00008ED40000}"/>
    <cellStyle name="Normal 9 2 2 4 3 5 2" xfId="47907" xr:uid="{00000000-0005-0000-0000-00008FD40000}"/>
    <cellStyle name="Normal 9 2 2 4 3 6" xfId="34345" xr:uid="{00000000-0005-0000-0000-000090D40000}"/>
    <cellStyle name="Normal 9 2 2 4 4" xfId="7063" xr:uid="{00000000-0005-0000-0000-000091D40000}"/>
    <cellStyle name="Normal 9 2 2 4 4 2" xfId="10589" xr:uid="{00000000-0005-0000-0000-000092D40000}"/>
    <cellStyle name="Normal 9 2 2 4 4 2 2" xfId="17378" xr:uid="{00000000-0005-0000-0000-000093D40000}"/>
    <cellStyle name="Normal 9 2 2 4 4 2 2 2" xfId="30946" xr:uid="{00000000-0005-0000-0000-000094D40000}"/>
    <cellStyle name="Normal 9 2 2 4 4 2 2 2 2" xfId="58079" xr:uid="{00000000-0005-0000-0000-000095D40000}"/>
    <cellStyle name="Normal 9 2 2 4 4 2 2 3" xfId="44517" xr:uid="{00000000-0005-0000-0000-000096D40000}"/>
    <cellStyle name="Normal 9 2 2 4 4 2 3" xfId="24165" xr:uid="{00000000-0005-0000-0000-000097D40000}"/>
    <cellStyle name="Normal 9 2 2 4 4 2 3 2" xfId="51298" xr:uid="{00000000-0005-0000-0000-000098D40000}"/>
    <cellStyle name="Normal 9 2 2 4 4 2 4" xfId="37736" xr:uid="{00000000-0005-0000-0000-000099D40000}"/>
    <cellStyle name="Normal 9 2 2 4 4 3" xfId="13989" xr:uid="{00000000-0005-0000-0000-00009AD40000}"/>
    <cellStyle name="Normal 9 2 2 4 4 3 2" xfId="27557" xr:uid="{00000000-0005-0000-0000-00009BD40000}"/>
    <cellStyle name="Normal 9 2 2 4 4 3 2 2" xfId="54690" xr:uid="{00000000-0005-0000-0000-00009CD40000}"/>
    <cellStyle name="Normal 9 2 2 4 4 3 3" xfId="41128" xr:uid="{00000000-0005-0000-0000-00009DD40000}"/>
    <cellStyle name="Normal 9 2 2 4 4 4" xfId="20776" xr:uid="{00000000-0005-0000-0000-00009ED40000}"/>
    <cellStyle name="Normal 9 2 2 4 4 4 2" xfId="47909" xr:uid="{00000000-0005-0000-0000-00009FD40000}"/>
    <cellStyle name="Normal 9 2 2 4 4 5" xfId="34347" xr:uid="{00000000-0005-0000-0000-0000A0D40000}"/>
    <cellStyle name="Normal 9 2 2 4 5" xfId="7064" xr:uid="{00000000-0005-0000-0000-0000A1D40000}"/>
    <cellStyle name="Normal 9 2 2 4 5 2" xfId="10590" xr:uid="{00000000-0005-0000-0000-0000A2D40000}"/>
    <cellStyle name="Normal 9 2 2 4 5 2 2" xfId="17379" xr:uid="{00000000-0005-0000-0000-0000A3D40000}"/>
    <cellStyle name="Normal 9 2 2 4 5 2 2 2" xfId="30947" xr:uid="{00000000-0005-0000-0000-0000A4D40000}"/>
    <cellStyle name="Normal 9 2 2 4 5 2 2 2 2" xfId="58080" xr:uid="{00000000-0005-0000-0000-0000A5D40000}"/>
    <cellStyle name="Normal 9 2 2 4 5 2 2 3" xfId="44518" xr:uid="{00000000-0005-0000-0000-0000A6D40000}"/>
    <cellStyle name="Normal 9 2 2 4 5 2 3" xfId="24166" xr:uid="{00000000-0005-0000-0000-0000A7D40000}"/>
    <cellStyle name="Normal 9 2 2 4 5 2 3 2" xfId="51299" xr:uid="{00000000-0005-0000-0000-0000A8D40000}"/>
    <cellStyle name="Normal 9 2 2 4 5 2 4" xfId="37737" xr:uid="{00000000-0005-0000-0000-0000A9D40000}"/>
    <cellStyle name="Normal 9 2 2 4 5 3" xfId="13990" xr:uid="{00000000-0005-0000-0000-0000AAD40000}"/>
    <cellStyle name="Normal 9 2 2 4 5 3 2" xfId="27558" xr:uid="{00000000-0005-0000-0000-0000ABD40000}"/>
    <cellStyle name="Normal 9 2 2 4 5 3 2 2" xfId="54691" xr:uid="{00000000-0005-0000-0000-0000ACD40000}"/>
    <cellStyle name="Normal 9 2 2 4 5 3 3" xfId="41129" xr:uid="{00000000-0005-0000-0000-0000ADD40000}"/>
    <cellStyle name="Normal 9 2 2 4 5 4" xfId="20777" xr:uid="{00000000-0005-0000-0000-0000AED40000}"/>
    <cellStyle name="Normal 9 2 2 4 5 4 2" xfId="47910" xr:uid="{00000000-0005-0000-0000-0000AFD40000}"/>
    <cellStyle name="Normal 9 2 2 4 5 5" xfId="34348" xr:uid="{00000000-0005-0000-0000-0000B0D40000}"/>
    <cellStyle name="Normal 9 2 2 4 6" xfId="10583" xr:uid="{00000000-0005-0000-0000-0000B1D40000}"/>
    <cellStyle name="Normal 9 2 2 4 6 2" xfId="17372" xr:uid="{00000000-0005-0000-0000-0000B2D40000}"/>
    <cellStyle name="Normal 9 2 2 4 6 2 2" xfId="30940" xr:uid="{00000000-0005-0000-0000-0000B3D40000}"/>
    <cellStyle name="Normal 9 2 2 4 6 2 2 2" xfId="58073" xr:uid="{00000000-0005-0000-0000-0000B4D40000}"/>
    <cellStyle name="Normal 9 2 2 4 6 2 3" xfId="44511" xr:uid="{00000000-0005-0000-0000-0000B5D40000}"/>
    <cellStyle name="Normal 9 2 2 4 6 3" xfId="24159" xr:uid="{00000000-0005-0000-0000-0000B6D40000}"/>
    <cellStyle name="Normal 9 2 2 4 6 3 2" xfId="51292" xr:uid="{00000000-0005-0000-0000-0000B7D40000}"/>
    <cellStyle name="Normal 9 2 2 4 6 4" xfId="37730" xr:uid="{00000000-0005-0000-0000-0000B8D40000}"/>
    <cellStyle name="Normal 9 2 2 4 7" xfId="13983" xr:uid="{00000000-0005-0000-0000-0000B9D40000}"/>
    <cellStyle name="Normal 9 2 2 4 7 2" xfId="27551" xr:uid="{00000000-0005-0000-0000-0000BAD40000}"/>
    <cellStyle name="Normal 9 2 2 4 7 2 2" xfId="54684" xr:uid="{00000000-0005-0000-0000-0000BBD40000}"/>
    <cellStyle name="Normal 9 2 2 4 7 3" xfId="41122" xr:uid="{00000000-0005-0000-0000-0000BCD40000}"/>
    <cellStyle name="Normal 9 2 2 4 8" xfId="20770" xr:uid="{00000000-0005-0000-0000-0000BDD40000}"/>
    <cellStyle name="Normal 9 2 2 4 8 2" xfId="47903" xr:uid="{00000000-0005-0000-0000-0000BED40000}"/>
    <cellStyle name="Normal 9 2 2 4 9" xfId="34341" xr:uid="{00000000-0005-0000-0000-0000BFD40000}"/>
    <cellStyle name="Normal 9 2 2 5" xfId="7065" xr:uid="{00000000-0005-0000-0000-0000C0D40000}"/>
    <cellStyle name="Normal 9 2 2 5 2" xfId="7066" xr:uid="{00000000-0005-0000-0000-0000C1D40000}"/>
    <cellStyle name="Normal 9 2 2 5 2 2" xfId="7067" xr:uid="{00000000-0005-0000-0000-0000C2D40000}"/>
    <cellStyle name="Normal 9 2 2 5 2 2 2" xfId="10593" xr:uid="{00000000-0005-0000-0000-0000C3D40000}"/>
    <cellStyle name="Normal 9 2 2 5 2 2 2 2" xfId="17382" xr:uid="{00000000-0005-0000-0000-0000C4D40000}"/>
    <cellStyle name="Normal 9 2 2 5 2 2 2 2 2" xfId="30950" xr:uid="{00000000-0005-0000-0000-0000C5D40000}"/>
    <cellStyle name="Normal 9 2 2 5 2 2 2 2 2 2" xfId="58083" xr:uid="{00000000-0005-0000-0000-0000C6D40000}"/>
    <cellStyle name="Normal 9 2 2 5 2 2 2 2 3" xfId="44521" xr:uid="{00000000-0005-0000-0000-0000C7D40000}"/>
    <cellStyle name="Normal 9 2 2 5 2 2 2 3" xfId="24169" xr:uid="{00000000-0005-0000-0000-0000C8D40000}"/>
    <cellStyle name="Normal 9 2 2 5 2 2 2 3 2" xfId="51302" xr:uid="{00000000-0005-0000-0000-0000C9D40000}"/>
    <cellStyle name="Normal 9 2 2 5 2 2 2 4" xfId="37740" xr:uid="{00000000-0005-0000-0000-0000CAD40000}"/>
    <cellStyle name="Normal 9 2 2 5 2 2 3" xfId="13993" xr:uid="{00000000-0005-0000-0000-0000CBD40000}"/>
    <cellStyle name="Normal 9 2 2 5 2 2 3 2" xfId="27561" xr:uid="{00000000-0005-0000-0000-0000CCD40000}"/>
    <cellStyle name="Normal 9 2 2 5 2 2 3 2 2" xfId="54694" xr:uid="{00000000-0005-0000-0000-0000CDD40000}"/>
    <cellStyle name="Normal 9 2 2 5 2 2 3 3" xfId="41132" xr:uid="{00000000-0005-0000-0000-0000CED40000}"/>
    <cellStyle name="Normal 9 2 2 5 2 2 4" xfId="20780" xr:uid="{00000000-0005-0000-0000-0000CFD40000}"/>
    <cellStyle name="Normal 9 2 2 5 2 2 4 2" xfId="47913" xr:uid="{00000000-0005-0000-0000-0000D0D40000}"/>
    <cellStyle name="Normal 9 2 2 5 2 2 5" xfId="34351" xr:uid="{00000000-0005-0000-0000-0000D1D40000}"/>
    <cellStyle name="Normal 9 2 2 5 2 3" xfId="7068" xr:uid="{00000000-0005-0000-0000-0000D2D40000}"/>
    <cellStyle name="Normal 9 2 2 5 2 3 2" xfId="10594" xr:uid="{00000000-0005-0000-0000-0000D3D40000}"/>
    <cellStyle name="Normal 9 2 2 5 2 3 2 2" xfId="17383" xr:uid="{00000000-0005-0000-0000-0000D4D40000}"/>
    <cellStyle name="Normal 9 2 2 5 2 3 2 2 2" xfId="30951" xr:uid="{00000000-0005-0000-0000-0000D5D40000}"/>
    <cellStyle name="Normal 9 2 2 5 2 3 2 2 2 2" xfId="58084" xr:uid="{00000000-0005-0000-0000-0000D6D40000}"/>
    <cellStyle name="Normal 9 2 2 5 2 3 2 2 3" xfId="44522" xr:uid="{00000000-0005-0000-0000-0000D7D40000}"/>
    <cellStyle name="Normal 9 2 2 5 2 3 2 3" xfId="24170" xr:uid="{00000000-0005-0000-0000-0000D8D40000}"/>
    <cellStyle name="Normal 9 2 2 5 2 3 2 3 2" xfId="51303" xr:uid="{00000000-0005-0000-0000-0000D9D40000}"/>
    <cellStyle name="Normal 9 2 2 5 2 3 2 4" xfId="37741" xr:uid="{00000000-0005-0000-0000-0000DAD40000}"/>
    <cellStyle name="Normal 9 2 2 5 2 3 3" xfId="13994" xr:uid="{00000000-0005-0000-0000-0000DBD40000}"/>
    <cellStyle name="Normal 9 2 2 5 2 3 3 2" xfId="27562" xr:uid="{00000000-0005-0000-0000-0000DCD40000}"/>
    <cellStyle name="Normal 9 2 2 5 2 3 3 2 2" xfId="54695" xr:uid="{00000000-0005-0000-0000-0000DDD40000}"/>
    <cellStyle name="Normal 9 2 2 5 2 3 3 3" xfId="41133" xr:uid="{00000000-0005-0000-0000-0000DED40000}"/>
    <cellStyle name="Normal 9 2 2 5 2 3 4" xfId="20781" xr:uid="{00000000-0005-0000-0000-0000DFD40000}"/>
    <cellStyle name="Normal 9 2 2 5 2 3 4 2" xfId="47914" xr:uid="{00000000-0005-0000-0000-0000E0D40000}"/>
    <cellStyle name="Normal 9 2 2 5 2 3 5" xfId="34352" xr:uid="{00000000-0005-0000-0000-0000E1D40000}"/>
    <cellStyle name="Normal 9 2 2 5 2 4" xfId="10592" xr:uid="{00000000-0005-0000-0000-0000E2D40000}"/>
    <cellStyle name="Normal 9 2 2 5 2 4 2" xfId="17381" xr:uid="{00000000-0005-0000-0000-0000E3D40000}"/>
    <cellStyle name="Normal 9 2 2 5 2 4 2 2" xfId="30949" xr:uid="{00000000-0005-0000-0000-0000E4D40000}"/>
    <cellStyle name="Normal 9 2 2 5 2 4 2 2 2" xfId="58082" xr:uid="{00000000-0005-0000-0000-0000E5D40000}"/>
    <cellStyle name="Normal 9 2 2 5 2 4 2 3" xfId="44520" xr:uid="{00000000-0005-0000-0000-0000E6D40000}"/>
    <cellStyle name="Normal 9 2 2 5 2 4 3" xfId="24168" xr:uid="{00000000-0005-0000-0000-0000E7D40000}"/>
    <cellStyle name="Normal 9 2 2 5 2 4 3 2" xfId="51301" xr:uid="{00000000-0005-0000-0000-0000E8D40000}"/>
    <cellStyle name="Normal 9 2 2 5 2 4 4" xfId="37739" xr:uid="{00000000-0005-0000-0000-0000E9D40000}"/>
    <cellStyle name="Normal 9 2 2 5 2 5" xfId="13992" xr:uid="{00000000-0005-0000-0000-0000EAD40000}"/>
    <cellStyle name="Normal 9 2 2 5 2 5 2" xfId="27560" xr:uid="{00000000-0005-0000-0000-0000EBD40000}"/>
    <cellStyle name="Normal 9 2 2 5 2 5 2 2" xfId="54693" xr:uid="{00000000-0005-0000-0000-0000ECD40000}"/>
    <cellStyle name="Normal 9 2 2 5 2 5 3" xfId="41131" xr:uid="{00000000-0005-0000-0000-0000EDD40000}"/>
    <cellStyle name="Normal 9 2 2 5 2 6" xfId="20779" xr:uid="{00000000-0005-0000-0000-0000EED40000}"/>
    <cellStyle name="Normal 9 2 2 5 2 6 2" xfId="47912" xr:uid="{00000000-0005-0000-0000-0000EFD40000}"/>
    <cellStyle name="Normal 9 2 2 5 2 7" xfId="34350" xr:uid="{00000000-0005-0000-0000-0000F0D40000}"/>
    <cellStyle name="Normal 9 2 2 5 3" xfId="7069" xr:uid="{00000000-0005-0000-0000-0000F1D40000}"/>
    <cellStyle name="Normal 9 2 2 5 3 2" xfId="10595" xr:uid="{00000000-0005-0000-0000-0000F2D40000}"/>
    <cellStyle name="Normal 9 2 2 5 3 2 2" xfId="17384" xr:uid="{00000000-0005-0000-0000-0000F3D40000}"/>
    <cellStyle name="Normal 9 2 2 5 3 2 2 2" xfId="30952" xr:uid="{00000000-0005-0000-0000-0000F4D40000}"/>
    <cellStyle name="Normal 9 2 2 5 3 2 2 2 2" xfId="58085" xr:uid="{00000000-0005-0000-0000-0000F5D40000}"/>
    <cellStyle name="Normal 9 2 2 5 3 2 2 3" xfId="44523" xr:uid="{00000000-0005-0000-0000-0000F6D40000}"/>
    <cellStyle name="Normal 9 2 2 5 3 2 3" xfId="24171" xr:uid="{00000000-0005-0000-0000-0000F7D40000}"/>
    <cellStyle name="Normal 9 2 2 5 3 2 3 2" xfId="51304" xr:uid="{00000000-0005-0000-0000-0000F8D40000}"/>
    <cellStyle name="Normal 9 2 2 5 3 2 4" xfId="37742" xr:uid="{00000000-0005-0000-0000-0000F9D40000}"/>
    <cellStyle name="Normal 9 2 2 5 3 3" xfId="13995" xr:uid="{00000000-0005-0000-0000-0000FAD40000}"/>
    <cellStyle name="Normal 9 2 2 5 3 3 2" xfId="27563" xr:uid="{00000000-0005-0000-0000-0000FBD40000}"/>
    <cellStyle name="Normal 9 2 2 5 3 3 2 2" xfId="54696" xr:uid="{00000000-0005-0000-0000-0000FCD40000}"/>
    <cellStyle name="Normal 9 2 2 5 3 3 3" xfId="41134" xr:uid="{00000000-0005-0000-0000-0000FDD40000}"/>
    <cellStyle name="Normal 9 2 2 5 3 4" xfId="20782" xr:uid="{00000000-0005-0000-0000-0000FED40000}"/>
    <cellStyle name="Normal 9 2 2 5 3 4 2" xfId="47915" xr:uid="{00000000-0005-0000-0000-0000FFD40000}"/>
    <cellStyle name="Normal 9 2 2 5 3 5" xfId="34353" xr:uid="{00000000-0005-0000-0000-000000D50000}"/>
    <cellStyle name="Normal 9 2 2 5 4" xfId="7070" xr:uid="{00000000-0005-0000-0000-000001D50000}"/>
    <cellStyle name="Normal 9 2 2 5 4 2" xfId="10596" xr:uid="{00000000-0005-0000-0000-000002D50000}"/>
    <cellStyle name="Normal 9 2 2 5 4 2 2" xfId="17385" xr:uid="{00000000-0005-0000-0000-000003D50000}"/>
    <cellStyle name="Normal 9 2 2 5 4 2 2 2" xfId="30953" xr:uid="{00000000-0005-0000-0000-000004D50000}"/>
    <cellStyle name="Normal 9 2 2 5 4 2 2 2 2" xfId="58086" xr:uid="{00000000-0005-0000-0000-000005D50000}"/>
    <cellStyle name="Normal 9 2 2 5 4 2 2 3" xfId="44524" xr:uid="{00000000-0005-0000-0000-000006D50000}"/>
    <cellStyle name="Normal 9 2 2 5 4 2 3" xfId="24172" xr:uid="{00000000-0005-0000-0000-000007D50000}"/>
    <cellStyle name="Normal 9 2 2 5 4 2 3 2" xfId="51305" xr:uid="{00000000-0005-0000-0000-000008D50000}"/>
    <cellStyle name="Normal 9 2 2 5 4 2 4" xfId="37743" xr:uid="{00000000-0005-0000-0000-000009D50000}"/>
    <cellStyle name="Normal 9 2 2 5 4 3" xfId="13996" xr:uid="{00000000-0005-0000-0000-00000AD50000}"/>
    <cellStyle name="Normal 9 2 2 5 4 3 2" xfId="27564" xr:uid="{00000000-0005-0000-0000-00000BD50000}"/>
    <cellStyle name="Normal 9 2 2 5 4 3 2 2" xfId="54697" xr:uid="{00000000-0005-0000-0000-00000CD50000}"/>
    <cellStyle name="Normal 9 2 2 5 4 3 3" xfId="41135" xr:uid="{00000000-0005-0000-0000-00000DD50000}"/>
    <cellStyle name="Normal 9 2 2 5 4 4" xfId="20783" xr:uid="{00000000-0005-0000-0000-00000ED50000}"/>
    <cellStyle name="Normal 9 2 2 5 4 4 2" xfId="47916" xr:uid="{00000000-0005-0000-0000-00000FD50000}"/>
    <cellStyle name="Normal 9 2 2 5 4 5" xfId="34354" xr:uid="{00000000-0005-0000-0000-000010D50000}"/>
    <cellStyle name="Normal 9 2 2 5 5" xfId="10591" xr:uid="{00000000-0005-0000-0000-000011D50000}"/>
    <cellStyle name="Normal 9 2 2 5 5 2" xfId="17380" xr:uid="{00000000-0005-0000-0000-000012D50000}"/>
    <cellStyle name="Normal 9 2 2 5 5 2 2" xfId="30948" xr:uid="{00000000-0005-0000-0000-000013D50000}"/>
    <cellStyle name="Normal 9 2 2 5 5 2 2 2" xfId="58081" xr:uid="{00000000-0005-0000-0000-000014D50000}"/>
    <cellStyle name="Normal 9 2 2 5 5 2 3" xfId="44519" xr:uid="{00000000-0005-0000-0000-000015D50000}"/>
    <cellStyle name="Normal 9 2 2 5 5 3" xfId="24167" xr:uid="{00000000-0005-0000-0000-000016D50000}"/>
    <cellStyle name="Normal 9 2 2 5 5 3 2" xfId="51300" xr:uid="{00000000-0005-0000-0000-000017D50000}"/>
    <cellStyle name="Normal 9 2 2 5 5 4" xfId="37738" xr:uid="{00000000-0005-0000-0000-000018D50000}"/>
    <cellStyle name="Normal 9 2 2 5 6" xfId="13991" xr:uid="{00000000-0005-0000-0000-000019D50000}"/>
    <cellStyle name="Normal 9 2 2 5 6 2" xfId="27559" xr:uid="{00000000-0005-0000-0000-00001AD50000}"/>
    <cellStyle name="Normal 9 2 2 5 6 2 2" xfId="54692" xr:uid="{00000000-0005-0000-0000-00001BD50000}"/>
    <cellStyle name="Normal 9 2 2 5 6 3" xfId="41130" xr:uid="{00000000-0005-0000-0000-00001CD50000}"/>
    <cellStyle name="Normal 9 2 2 5 7" xfId="20778" xr:uid="{00000000-0005-0000-0000-00001DD50000}"/>
    <cellStyle name="Normal 9 2 2 5 7 2" xfId="47911" xr:uid="{00000000-0005-0000-0000-00001ED50000}"/>
    <cellStyle name="Normal 9 2 2 5 8" xfId="34349" xr:uid="{00000000-0005-0000-0000-00001FD50000}"/>
    <cellStyle name="Normal 9 2 2 6" xfId="7071" xr:uid="{00000000-0005-0000-0000-000020D50000}"/>
    <cellStyle name="Normal 9 2 2 6 2" xfId="7072" xr:uid="{00000000-0005-0000-0000-000021D50000}"/>
    <cellStyle name="Normal 9 2 2 6 2 2" xfId="7073" xr:uid="{00000000-0005-0000-0000-000022D50000}"/>
    <cellStyle name="Normal 9 2 2 6 2 2 2" xfId="10599" xr:uid="{00000000-0005-0000-0000-000023D50000}"/>
    <cellStyle name="Normal 9 2 2 6 2 2 2 2" xfId="17388" xr:uid="{00000000-0005-0000-0000-000024D50000}"/>
    <cellStyle name="Normal 9 2 2 6 2 2 2 2 2" xfId="30956" xr:uid="{00000000-0005-0000-0000-000025D50000}"/>
    <cellStyle name="Normal 9 2 2 6 2 2 2 2 2 2" xfId="58089" xr:uid="{00000000-0005-0000-0000-000026D50000}"/>
    <cellStyle name="Normal 9 2 2 6 2 2 2 2 3" xfId="44527" xr:uid="{00000000-0005-0000-0000-000027D50000}"/>
    <cellStyle name="Normal 9 2 2 6 2 2 2 3" xfId="24175" xr:uid="{00000000-0005-0000-0000-000028D50000}"/>
    <cellStyle name="Normal 9 2 2 6 2 2 2 3 2" xfId="51308" xr:uid="{00000000-0005-0000-0000-000029D50000}"/>
    <cellStyle name="Normal 9 2 2 6 2 2 2 4" xfId="37746" xr:uid="{00000000-0005-0000-0000-00002AD50000}"/>
    <cellStyle name="Normal 9 2 2 6 2 2 3" xfId="13999" xr:uid="{00000000-0005-0000-0000-00002BD50000}"/>
    <cellStyle name="Normal 9 2 2 6 2 2 3 2" xfId="27567" xr:uid="{00000000-0005-0000-0000-00002CD50000}"/>
    <cellStyle name="Normal 9 2 2 6 2 2 3 2 2" xfId="54700" xr:uid="{00000000-0005-0000-0000-00002DD50000}"/>
    <cellStyle name="Normal 9 2 2 6 2 2 3 3" xfId="41138" xr:uid="{00000000-0005-0000-0000-00002ED50000}"/>
    <cellStyle name="Normal 9 2 2 6 2 2 4" xfId="20786" xr:uid="{00000000-0005-0000-0000-00002FD50000}"/>
    <cellStyle name="Normal 9 2 2 6 2 2 4 2" xfId="47919" xr:uid="{00000000-0005-0000-0000-000030D50000}"/>
    <cellStyle name="Normal 9 2 2 6 2 2 5" xfId="34357" xr:uid="{00000000-0005-0000-0000-000031D50000}"/>
    <cellStyle name="Normal 9 2 2 6 2 3" xfId="7074" xr:uid="{00000000-0005-0000-0000-000032D50000}"/>
    <cellStyle name="Normal 9 2 2 6 2 3 2" xfId="10600" xr:uid="{00000000-0005-0000-0000-000033D50000}"/>
    <cellStyle name="Normal 9 2 2 6 2 3 2 2" xfId="17389" xr:uid="{00000000-0005-0000-0000-000034D50000}"/>
    <cellStyle name="Normal 9 2 2 6 2 3 2 2 2" xfId="30957" xr:uid="{00000000-0005-0000-0000-000035D50000}"/>
    <cellStyle name="Normal 9 2 2 6 2 3 2 2 2 2" xfId="58090" xr:uid="{00000000-0005-0000-0000-000036D50000}"/>
    <cellStyle name="Normal 9 2 2 6 2 3 2 2 3" xfId="44528" xr:uid="{00000000-0005-0000-0000-000037D50000}"/>
    <cellStyle name="Normal 9 2 2 6 2 3 2 3" xfId="24176" xr:uid="{00000000-0005-0000-0000-000038D50000}"/>
    <cellStyle name="Normal 9 2 2 6 2 3 2 3 2" xfId="51309" xr:uid="{00000000-0005-0000-0000-000039D50000}"/>
    <cellStyle name="Normal 9 2 2 6 2 3 2 4" xfId="37747" xr:uid="{00000000-0005-0000-0000-00003AD50000}"/>
    <cellStyle name="Normal 9 2 2 6 2 3 3" xfId="14000" xr:uid="{00000000-0005-0000-0000-00003BD50000}"/>
    <cellStyle name="Normal 9 2 2 6 2 3 3 2" xfId="27568" xr:uid="{00000000-0005-0000-0000-00003CD50000}"/>
    <cellStyle name="Normal 9 2 2 6 2 3 3 2 2" xfId="54701" xr:uid="{00000000-0005-0000-0000-00003DD50000}"/>
    <cellStyle name="Normal 9 2 2 6 2 3 3 3" xfId="41139" xr:uid="{00000000-0005-0000-0000-00003ED50000}"/>
    <cellStyle name="Normal 9 2 2 6 2 3 4" xfId="20787" xr:uid="{00000000-0005-0000-0000-00003FD50000}"/>
    <cellStyle name="Normal 9 2 2 6 2 3 4 2" xfId="47920" xr:uid="{00000000-0005-0000-0000-000040D50000}"/>
    <cellStyle name="Normal 9 2 2 6 2 3 5" xfId="34358" xr:uid="{00000000-0005-0000-0000-000041D50000}"/>
    <cellStyle name="Normal 9 2 2 6 2 4" xfId="10598" xr:uid="{00000000-0005-0000-0000-000042D50000}"/>
    <cellStyle name="Normal 9 2 2 6 2 4 2" xfId="17387" xr:uid="{00000000-0005-0000-0000-000043D50000}"/>
    <cellStyle name="Normal 9 2 2 6 2 4 2 2" xfId="30955" xr:uid="{00000000-0005-0000-0000-000044D50000}"/>
    <cellStyle name="Normal 9 2 2 6 2 4 2 2 2" xfId="58088" xr:uid="{00000000-0005-0000-0000-000045D50000}"/>
    <cellStyle name="Normal 9 2 2 6 2 4 2 3" xfId="44526" xr:uid="{00000000-0005-0000-0000-000046D50000}"/>
    <cellStyle name="Normal 9 2 2 6 2 4 3" xfId="24174" xr:uid="{00000000-0005-0000-0000-000047D50000}"/>
    <cellStyle name="Normal 9 2 2 6 2 4 3 2" xfId="51307" xr:uid="{00000000-0005-0000-0000-000048D50000}"/>
    <cellStyle name="Normal 9 2 2 6 2 4 4" xfId="37745" xr:uid="{00000000-0005-0000-0000-000049D50000}"/>
    <cellStyle name="Normal 9 2 2 6 2 5" xfId="13998" xr:uid="{00000000-0005-0000-0000-00004AD50000}"/>
    <cellStyle name="Normal 9 2 2 6 2 5 2" xfId="27566" xr:uid="{00000000-0005-0000-0000-00004BD50000}"/>
    <cellStyle name="Normal 9 2 2 6 2 5 2 2" xfId="54699" xr:uid="{00000000-0005-0000-0000-00004CD50000}"/>
    <cellStyle name="Normal 9 2 2 6 2 5 3" xfId="41137" xr:uid="{00000000-0005-0000-0000-00004DD50000}"/>
    <cellStyle name="Normal 9 2 2 6 2 6" xfId="20785" xr:uid="{00000000-0005-0000-0000-00004ED50000}"/>
    <cellStyle name="Normal 9 2 2 6 2 6 2" xfId="47918" xr:uid="{00000000-0005-0000-0000-00004FD50000}"/>
    <cellStyle name="Normal 9 2 2 6 2 7" xfId="34356" xr:uid="{00000000-0005-0000-0000-000050D50000}"/>
    <cellStyle name="Normal 9 2 2 6 3" xfId="7075" xr:uid="{00000000-0005-0000-0000-000051D50000}"/>
    <cellStyle name="Normal 9 2 2 6 3 2" xfId="10601" xr:uid="{00000000-0005-0000-0000-000052D50000}"/>
    <cellStyle name="Normal 9 2 2 6 3 2 2" xfId="17390" xr:uid="{00000000-0005-0000-0000-000053D50000}"/>
    <cellStyle name="Normal 9 2 2 6 3 2 2 2" xfId="30958" xr:uid="{00000000-0005-0000-0000-000054D50000}"/>
    <cellStyle name="Normal 9 2 2 6 3 2 2 2 2" xfId="58091" xr:uid="{00000000-0005-0000-0000-000055D50000}"/>
    <cellStyle name="Normal 9 2 2 6 3 2 2 3" xfId="44529" xr:uid="{00000000-0005-0000-0000-000056D50000}"/>
    <cellStyle name="Normal 9 2 2 6 3 2 3" xfId="24177" xr:uid="{00000000-0005-0000-0000-000057D50000}"/>
    <cellStyle name="Normal 9 2 2 6 3 2 3 2" xfId="51310" xr:uid="{00000000-0005-0000-0000-000058D50000}"/>
    <cellStyle name="Normal 9 2 2 6 3 2 4" xfId="37748" xr:uid="{00000000-0005-0000-0000-000059D50000}"/>
    <cellStyle name="Normal 9 2 2 6 3 3" xfId="14001" xr:uid="{00000000-0005-0000-0000-00005AD50000}"/>
    <cellStyle name="Normal 9 2 2 6 3 3 2" xfId="27569" xr:uid="{00000000-0005-0000-0000-00005BD50000}"/>
    <cellStyle name="Normal 9 2 2 6 3 3 2 2" xfId="54702" xr:uid="{00000000-0005-0000-0000-00005CD50000}"/>
    <cellStyle name="Normal 9 2 2 6 3 3 3" xfId="41140" xr:uid="{00000000-0005-0000-0000-00005DD50000}"/>
    <cellStyle name="Normal 9 2 2 6 3 4" xfId="20788" xr:uid="{00000000-0005-0000-0000-00005ED50000}"/>
    <cellStyle name="Normal 9 2 2 6 3 4 2" xfId="47921" xr:uid="{00000000-0005-0000-0000-00005FD50000}"/>
    <cellStyle name="Normal 9 2 2 6 3 5" xfId="34359" xr:uid="{00000000-0005-0000-0000-000060D50000}"/>
    <cellStyle name="Normal 9 2 2 6 4" xfId="7076" xr:uid="{00000000-0005-0000-0000-000061D50000}"/>
    <cellStyle name="Normal 9 2 2 6 4 2" xfId="10602" xr:uid="{00000000-0005-0000-0000-000062D50000}"/>
    <cellStyle name="Normal 9 2 2 6 4 2 2" xfId="17391" xr:uid="{00000000-0005-0000-0000-000063D50000}"/>
    <cellStyle name="Normal 9 2 2 6 4 2 2 2" xfId="30959" xr:uid="{00000000-0005-0000-0000-000064D50000}"/>
    <cellStyle name="Normal 9 2 2 6 4 2 2 2 2" xfId="58092" xr:uid="{00000000-0005-0000-0000-000065D50000}"/>
    <cellStyle name="Normal 9 2 2 6 4 2 2 3" xfId="44530" xr:uid="{00000000-0005-0000-0000-000066D50000}"/>
    <cellStyle name="Normal 9 2 2 6 4 2 3" xfId="24178" xr:uid="{00000000-0005-0000-0000-000067D50000}"/>
    <cellStyle name="Normal 9 2 2 6 4 2 3 2" xfId="51311" xr:uid="{00000000-0005-0000-0000-000068D50000}"/>
    <cellStyle name="Normal 9 2 2 6 4 2 4" xfId="37749" xr:uid="{00000000-0005-0000-0000-000069D50000}"/>
    <cellStyle name="Normal 9 2 2 6 4 3" xfId="14002" xr:uid="{00000000-0005-0000-0000-00006AD50000}"/>
    <cellStyle name="Normal 9 2 2 6 4 3 2" xfId="27570" xr:uid="{00000000-0005-0000-0000-00006BD50000}"/>
    <cellStyle name="Normal 9 2 2 6 4 3 2 2" xfId="54703" xr:uid="{00000000-0005-0000-0000-00006CD50000}"/>
    <cellStyle name="Normal 9 2 2 6 4 3 3" xfId="41141" xr:uid="{00000000-0005-0000-0000-00006DD50000}"/>
    <cellStyle name="Normal 9 2 2 6 4 4" xfId="20789" xr:uid="{00000000-0005-0000-0000-00006ED50000}"/>
    <cellStyle name="Normal 9 2 2 6 4 4 2" xfId="47922" xr:uid="{00000000-0005-0000-0000-00006FD50000}"/>
    <cellStyle name="Normal 9 2 2 6 4 5" xfId="34360" xr:uid="{00000000-0005-0000-0000-000070D50000}"/>
    <cellStyle name="Normal 9 2 2 6 5" xfId="10597" xr:uid="{00000000-0005-0000-0000-000071D50000}"/>
    <cellStyle name="Normal 9 2 2 6 5 2" xfId="17386" xr:uid="{00000000-0005-0000-0000-000072D50000}"/>
    <cellStyle name="Normal 9 2 2 6 5 2 2" xfId="30954" xr:uid="{00000000-0005-0000-0000-000073D50000}"/>
    <cellStyle name="Normal 9 2 2 6 5 2 2 2" xfId="58087" xr:uid="{00000000-0005-0000-0000-000074D50000}"/>
    <cellStyle name="Normal 9 2 2 6 5 2 3" xfId="44525" xr:uid="{00000000-0005-0000-0000-000075D50000}"/>
    <cellStyle name="Normal 9 2 2 6 5 3" xfId="24173" xr:uid="{00000000-0005-0000-0000-000076D50000}"/>
    <cellStyle name="Normal 9 2 2 6 5 3 2" xfId="51306" xr:uid="{00000000-0005-0000-0000-000077D50000}"/>
    <cellStyle name="Normal 9 2 2 6 5 4" xfId="37744" xr:uid="{00000000-0005-0000-0000-000078D50000}"/>
    <cellStyle name="Normal 9 2 2 6 6" xfId="13997" xr:uid="{00000000-0005-0000-0000-000079D50000}"/>
    <cellStyle name="Normal 9 2 2 6 6 2" xfId="27565" xr:uid="{00000000-0005-0000-0000-00007AD50000}"/>
    <cellStyle name="Normal 9 2 2 6 6 2 2" xfId="54698" xr:uid="{00000000-0005-0000-0000-00007BD50000}"/>
    <cellStyle name="Normal 9 2 2 6 6 3" xfId="41136" xr:uid="{00000000-0005-0000-0000-00007CD50000}"/>
    <cellStyle name="Normal 9 2 2 6 7" xfId="20784" xr:uid="{00000000-0005-0000-0000-00007DD50000}"/>
    <cellStyle name="Normal 9 2 2 6 7 2" xfId="47917" xr:uid="{00000000-0005-0000-0000-00007ED50000}"/>
    <cellStyle name="Normal 9 2 2 6 8" xfId="34355" xr:uid="{00000000-0005-0000-0000-00007FD50000}"/>
    <cellStyle name="Normal 9 2 2 7" xfId="7077" xr:uid="{00000000-0005-0000-0000-000080D50000}"/>
    <cellStyle name="Normal 9 2 2 7 2" xfId="7078" xr:uid="{00000000-0005-0000-0000-000081D50000}"/>
    <cellStyle name="Normal 9 2 2 7 2 2" xfId="10604" xr:uid="{00000000-0005-0000-0000-000082D50000}"/>
    <cellStyle name="Normal 9 2 2 7 2 2 2" xfId="17393" xr:uid="{00000000-0005-0000-0000-000083D50000}"/>
    <cellStyle name="Normal 9 2 2 7 2 2 2 2" xfId="30961" xr:uid="{00000000-0005-0000-0000-000084D50000}"/>
    <cellStyle name="Normal 9 2 2 7 2 2 2 2 2" xfId="58094" xr:uid="{00000000-0005-0000-0000-000085D50000}"/>
    <cellStyle name="Normal 9 2 2 7 2 2 2 3" xfId="44532" xr:uid="{00000000-0005-0000-0000-000086D50000}"/>
    <cellStyle name="Normal 9 2 2 7 2 2 3" xfId="24180" xr:uid="{00000000-0005-0000-0000-000087D50000}"/>
    <cellStyle name="Normal 9 2 2 7 2 2 3 2" xfId="51313" xr:uid="{00000000-0005-0000-0000-000088D50000}"/>
    <cellStyle name="Normal 9 2 2 7 2 2 4" xfId="37751" xr:uid="{00000000-0005-0000-0000-000089D50000}"/>
    <cellStyle name="Normal 9 2 2 7 2 3" xfId="14004" xr:uid="{00000000-0005-0000-0000-00008AD50000}"/>
    <cellStyle name="Normal 9 2 2 7 2 3 2" xfId="27572" xr:uid="{00000000-0005-0000-0000-00008BD50000}"/>
    <cellStyle name="Normal 9 2 2 7 2 3 2 2" xfId="54705" xr:uid="{00000000-0005-0000-0000-00008CD50000}"/>
    <cellStyle name="Normal 9 2 2 7 2 3 3" xfId="41143" xr:uid="{00000000-0005-0000-0000-00008DD50000}"/>
    <cellStyle name="Normal 9 2 2 7 2 4" xfId="20791" xr:uid="{00000000-0005-0000-0000-00008ED50000}"/>
    <cellStyle name="Normal 9 2 2 7 2 4 2" xfId="47924" xr:uid="{00000000-0005-0000-0000-00008FD50000}"/>
    <cellStyle name="Normal 9 2 2 7 2 5" xfId="34362" xr:uid="{00000000-0005-0000-0000-000090D50000}"/>
    <cellStyle name="Normal 9 2 2 7 3" xfId="7079" xr:uid="{00000000-0005-0000-0000-000091D50000}"/>
    <cellStyle name="Normal 9 2 2 7 3 2" xfId="10605" xr:uid="{00000000-0005-0000-0000-000092D50000}"/>
    <cellStyle name="Normal 9 2 2 7 3 2 2" xfId="17394" xr:uid="{00000000-0005-0000-0000-000093D50000}"/>
    <cellStyle name="Normal 9 2 2 7 3 2 2 2" xfId="30962" xr:uid="{00000000-0005-0000-0000-000094D50000}"/>
    <cellStyle name="Normal 9 2 2 7 3 2 2 2 2" xfId="58095" xr:uid="{00000000-0005-0000-0000-000095D50000}"/>
    <cellStyle name="Normal 9 2 2 7 3 2 2 3" xfId="44533" xr:uid="{00000000-0005-0000-0000-000096D50000}"/>
    <cellStyle name="Normal 9 2 2 7 3 2 3" xfId="24181" xr:uid="{00000000-0005-0000-0000-000097D50000}"/>
    <cellStyle name="Normal 9 2 2 7 3 2 3 2" xfId="51314" xr:uid="{00000000-0005-0000-0000-000098D50000}"/>
    <cellStyle name="Normal 9 2 2 7 3 2 4" xfId="37752" xr:uid="{00000000-0005-0000-0000-000099D50000}"/>
    <cellStyle name="Normal 9 2 2 7 3 3" xfId="14005" xr:uid="{00000000-0005-0000-0000-00009AD50000}"/>
    <cellStyle name="Normal 9 2 2 7 3 3 2" xfId="27573" xr:uid="{00000000-0005-0000-0000-00009BD50000}"/>
    <cellStyle name="Normal 9 2 2 7 3 3 2 2" xfId="54706" xr:uid="{00000000-0005-0000-0000-00009CD50000}"/>
    <cellStyle name="Normal 9 2 2 7 3 3 3" xfId="41144" xr:uid="{00000000-0005-0000-0000-00009DD50000}"/>
    <cellStyle name="Normal 9 2 2 7 3 4" xfId="20792" xr:uid="{00000000-0005-0000-0000-00009ED50000}"/>
    <cellStyle name="Normal 9 2 2 7 3 4 2" xfId="47925" xr:uid="{00000000-0005-0000-0000-00009FD50000}"/>
    <cellStyle name="Normal 9 2 2 7 3 5" xfId="34363" xr:uid="{00000000-0005-0000-0000-0000A0D50000}"/>
    <cellStyle name="Normal 9 2 2 7 4" xfId="10603" xr:uid="{00000000-0005-0000-0000-0000A1D50000}"/>
    <cellStyle name="Normal 9 2 2 7 4 2" xfId="17392" xr:uid="{00000000-0005-0000-0000-0000A2D50000}"/>
    <cellStyle name="Normal 9 2 2 7 4 2 2" xfId="30960" xr:uid="{00000000-0005-0000-0000-0000A3D50000}"/>
    <cellStyle name="Normal 9 2 2 7 4 2 2 2" xfId="58093" xr:uid="{00000000-0005-0000-0000-0000A4D50000}"/>
    <cellStyle name="Normal 9 2 2 7 4 2 3" xfId="44531" xr:uid="{00000000-0005-0000-0000-0000A5D50000}"/>
    <cellStyle name="Normal 9 2 2 7 4 3" xfId="24179" xr:uid="{00000000-0005-0000-0000-0000A6D50000}"/>
    <cellStyle name="Normal 9 2 2 7 4 3 2" xfId="51312" xr:uid="{00000000-0005-0000-0000-0000A7D50000}"/>
    <cellStyle name="Normal 9 2 2 7 4 4" xfId="37750" xr:uid="{00000000-0005-0000-0000-0000A8D50000}"/>
    <cellStyle name="Normal 9 2 2 7 5" xfId="14003" xr:uid="{00000000-0005-0000-0000-0000A9D50000}"/>
    <cellStyle name="Normal 9 2 2 7 5 2" xfId="27571" xr:uid="{00000000-0005-0000-0000-0000AAD50000}"/>
    <cellStyle name="Normal 9 2 2 7 5 2 2" xfId="54704" xr:uid="{00000000-0005-0000-0000-0000ABD50000}"/>
    <cellStyle name="Normal 9 2 2 7 5 3" xfId="41142" xr:uid="{00000000-0005-0000-0000-0000ACD50000}"/>
    <cellStyle name="Normal 9 2 2 7 6" xfId="20790" xr:uid="{00000000-0005-0000-0000-0000ADD50000}"/>
    <cellStyle name="Normal 9 2 2 7 6 2" xfId="47923" xr:uid="{00000000-0005-0000-0000-0000AED50000}"/>
    <cellStyle name="Normal 9 2 2 7 7" xfId="34361" xr:uid="{00000000-0005-0000-0000-0000AFD50000}"/>
    <cellStyle name="Normal 9 2 2 8" xfId="7080" xr:uid="{00000000-0005-0000-0000-0000B0D50000}"/>
    <cellStyle name="Normal 9 2 2 8 2" xfId="7081" xr:uid="{00000000-0005-0000-0000-0000B1D50000}"/>
    <cellStyle name="Normal 9 2 2 8 2 2" xfId="10607" xr:uid="{00000000-0005-0000-0000-0000B2D50000}"/>
    <cellStyle name="Normal 9 2 2 8 2 2 2" xfId="17396" xr:uid="{00000000-0005-0000-0000-0000B3D50000}"/>
    <cellStyle name="Normal 9 2 2 8 2 2 2 2" xfId="30964" xr:uid="{00000000-0005-0000-0000-0000B4D50000}"/>
    <cellStyle name="Normal 9 2 2 8 2 2 2 2 2" xfId="58097" xr:uid="{00000000-0005-0000-0000-0000B5D50000}"/>
    <cellStyle name="Normal 9 2 2 8 2 2 2 3" xfId="44535" xr:uid="{00000000-0005-0000-0000-0000B6D50000}"/>
    <cellStyle name="Normal 9 2 2 8 2 2 3" xfId="24183" xr:uid="{00000000-0005-0000-0000-0000B7D50000}"/>
    <cellStyle name="Normal 9 2 2 8 2 2 3 2" xfId="51316" xr:uid="{00000000-0005-0000-0000-0000B8D50000}"/>
    <cellStyle name="Normal 9 2 2 8 2 2 4" xfId="37754" xr:uid="{00000000-0005-0000-0000-0000B9D50000}"/>
    <cellStyle name="Normal 9 2 2 8 2 3" xfId="14007" xr:uid="{00000000-0005-0000-0000-0000BAD50000}"/>
    <cellStyle name="Normal 9 2 2 8 2 3 2" xfId="27575" xr:uid="{00000000-0005-0000-0000-0000BBD50000}"/>
    <cellStyle name="Normal 9 2 2 8 2 3 2 2" xfId="54708" xr:uid="{00000000-0005-0000-0000-0000BCD50000}"/>
    <cellStyle name="Normal 9 2 2 8 2 3 3" xfId="41146" xr:uid="{00000000-0005-0000-0000-0000BDD50000}"/>
    <cellStyle name="Normal 9 2 2 8 2 4" xfId="20794" xr:uid="{00000000-0005-0000-0000-0000BED50000}"/>
    <cellStyle name="Normal 9 2 2 8 2 4 2" xfId="47927" xr:uid="{00000000-0005-0000-0000-0000BFD50000}"/>
    <cellStyle name="Normal 9 2 2 8 2 5" xfId="34365" xr:uid="{00000000-0005-0000-0000-0000C0D50000}"/>
    <cellStyle name="Normal 9 2 2 8 3" xfId="7082" xr:uid="{00000000-0005-0000-0000-0000C1D50000}"/>
    <cellStyle name="Normal 9 2 2 8 3 2" xfId="10608" xr:uid="{00000000-0005-0000-0000-0000C2D50000}"/>
    <cellStyle name="Normal 9 2 2 8 3 2 2" xfId="17397" xr:uid="{00000000-0005-0000-0000-0000C3D50000}"/>
    <cellStyle name="Normal 9 2 2 8 3 2 2 2" xfId="30965" xr:uid="{00000000-0005-0000-0000-0000C4D50000}"/>
    <cellStyle name="Normal 9 2 2 8 3 2 2 2 2" xfId="58098" xr:uid="{00000000-0005-0000-0000-0000C5D50000}"/>
    <cellStyle name="Normal 9 2 2 8 3 2 2 3" xfId="44536" xr:uid="{00000000-0005-0000-0000-0000C6D50000}"/>
    <cellStyle name="Normal 9 2 2 8 3 2 3" xfId="24184" xr:uid="{00000000-0005-0000-0000-0000C7D50000}"/>
    <cellStyle name="Normal 9 2 2 8 3 2 3 2" xfId="51317" xr:uid="{00000000-0005-0000-0000-0000C8D50000}"/>
    <cellStyle name="Normal 9 2 2 8 3 2 4" xfId="37755" xr:uid="{00000000-0005-0000-0000-0000C9D50000}"/>
    <cellStyle name="Normal 9 2 2 8 3 3" xfId="14008" xr:uid="{00000000-0005-0000-0000-0000CAD50000}"/>
    <cellStyle name="Normal 9 2 2 8 3 3 2" xfId="27576" xr:uid="{00000000-0005-0000-0000-0000CBD50000}"/>
    <cellStyle name="Normal 9 2 2 8 3 3 2 2" xfId="54709" xr:uid="{00000000-0005-0000-0000-0000CCD50000}"/>
    <cellStyle name="Normal 9 2 2 8 3 3 3" xfId="41147" xr:uid="{00000000-0005-0000-0000-0000CDD50000}"/>
    <cellStyle name="Normal 9 2 2 8 3 4" xfId="20795" xr:uid="{00000000-0005-0000-0000-0000CED50000}"/>
    <cellStyle name="Normal 9 2 2 8 3 4 2" xfId="47928" xr:uid="{00000000-0005-0000-0000-0000CFD50000}"/>
    <cellStyle name="Normal 9 2 2 8 3 5" xfId="34366" xr:uid="{00000000-0005-0000-0000-0000D0D50000}"/>
    <cellStyle name="Normal 9 2 2 8 4" xfId="10606" xr:uid="{00000000-0005-0000-0000-0000D1D50000}"/>
    <cellStyle name="Normal 9 2 2 8 4 2" xfId="17395" xr:uid="{00000000-0005-0000-0000-0000D2D50000}"/>
    <cellStyle name="Normal 9 2 2 8 4 2 2" xfId="30963" xr:uid="{00000000-0005-0000-0000-0000D3D50000}"/>
    <cellStyle name="Normal 9 2 2 8 4 2 2 2" xfId="58096" xr:uid="{00000000-0005-0000-0000-0000D4D50000}"/>
    <cellStyle name="Normal 9 2 2 8 4 2 3" xfId="44534" xr:uid="{00000000-0005-0000-0000-0000D5D50000}"/>
    <cellStyle name="Normal 9 2 2 8 4 3" xfId="24182" xr:uid="{00000000-0005-0000-0000-0000D6D50000}"/>
    <cellStyle name="Normal 9 2 2 8 4 3 2" xfId="51315" xr:uid="{00000000-0005-0000-0000-0000D7D50000}"/>
    <cellStyle name="Normal 9 2 2 8 4 4" xfId="37753" xr:uid="{00000000-0005-0000-0000-0000D8D50000}"/>
    <cellStyle name="Normal 9 2 2 8 5" xfId="14006" xr:uid="{00000000-0005-0000-0000-0000D9D50000}"/>
    <cellStyle name="Normal 9 2 2 8 5 2" xfId="27574" xr:uid="{00000000-0005-0000-0000-0000DAD50000}"/>
    <cellStyle name="Normal 9 2 2 8 5 2 2" xfId="54707" xr:uid="{00000000-0005-0000-0000-0000DBD50000}"/>
    <cellStyle name="Normal 9 2 2 8 5 3" xfId="41145" xr:uid="{00000000-0005-0000-0000-0000DCD50000}"/>
    <cellStyle name="Normal 9 2 2 8 6" xfId="20793" xr:uid="{00000000-0005-0000-0000-0000DDD50000}"/>
    <cellStyle name="Normal 9 2 2 8 6 2" xfId="47926" xr:uid="{00000000-0005-0000-0000-0000DED50000}"/>
    <cellStyle name="Normal 9 2 2 8 7" xfId="34364" xr:uid="{00000000-0005-0000-0000-0000DFD50000}"/>
    <cellStyle name="Normal 9 2 2 9" xfId="7083" xr:uid="{00000000-0005-0000-0000-0000E0D50000}"/>
    <cellStyle name="Normal 9 2 2 9 2" xfId="10609" xr:uid="{00000000-0005-0000-0000-0000E1D50000}"/>
    <cellStyle name="Normal 9 2 2 9 2 2" xfId="17398" xr:uid="{00000000-0005-0000-0000-0000E2D50000}"/>
    <cellStyle name="Normal 9 2 2 9 2 2 2" xfId="30966" xr:uid="{00000000-0005-0000-0000-0000E3D50000}"/>
    <cellStyle name="Normal 9 2 2 9 2 2 2 2" xfId="58099" xr:uid="{00000000-0005-0000-0000-0000E4D50000}"/>
    <cellStyle name="Normal 9 2 2 9 2 2 3" xfId="44537" xr:uid="{00000000-0005-0000-0000-0000E5D50000}"/>
    <cellStyle name="Normal 9 2 2 9 2 3" xfId="24185" xr:uid="{00000000-0005-0000-0000-0000E6D50000}"/>
    <cellStyle name="Normal 9 2 2 9 2 3 2" xfId="51318" xr:uid="{00000000-0005-0000-0000-0000E7D50000}"/>
    <cellStyle name="Normal 9 2 2 9 2 4" xfId="37756" xr:uid="{00000000-0005-0000-0000-0000E8D50000}"/>
    <cellStyle name="Normal 9 2 2 9 3" xfId="14009" xr:uid="{00000000-0005-0000-0000-0000E9D50000}"/>
    <cellStyle name="Normal 9 2 2 9 3 2" xfId="27577" xr:uid="{00000000-0005-0000-0000-0000EAD50000}"/>
    <cellStyle name="Normal 9 2 2 9 3 2 2" xfId="54710" xr:uid="{00000000-0005-0000-0000-0000EBD50000}"/>
    <cellStyle name="Normal 9 2 2 9 3 3" xfId="41148" xr:uid="{00000000-0005-0000-0000-0000ECD50000}"/>
    <cellStyle name="Normal 9 2 2 9 4" xfId="20796" xr:uid="{00000000-0005-0000-0000-0000EDD50000}"/>
    <cellStyle name="Normal 9 2 2 9 4 2" xfId="47929" xr:uid="{00000000-0005-0000-0000-0000EED50000}"/>
    <cellStyle name="Normal 9 2 2 9 5" xfId="34367" xr:uid="{00000000-0005-0000-0000-0000EFD50000}"/>
    <cellStyle name="Normal 9 2 28" xfId="7084" xr:uid="{00000000-0005-0000-0000-0000F0D50000}"/>
    <cellStyle name="Normal 9 2 3" xfId="7085" xr:uid="{00000000-0005-0000-0000-0000F1D50000}"/>
    <cellStyle name="Normal 9 2 3 10" xfId="10610" xr:uid="{00000000-0005-0000-0000-0000F2D50000}"/>
    <cellStyle name="Normal 9 2 3 10 2" xfId="17399" xr:uid="{00000000-0005-0000-0000-0000F3D50000}"/>
    <cellStyle name="Normal 9 2 3 10 2 2" xfId="30967" xr:uid="{00000000-0005-0000-0000-0000F4D50000}"/>
    <cellStyle name="Normal 9 2 3 10 2 2 2" xfId="58100" xr:uid="{00000000-0005-0000-0000-0000F5D50000}"/>
    <cellStyle name="Normal 9 2 3 10 2 3" xfId="44538" xr:uid="{00000000-0005-0000-0000-0000F6D50000}"/>
    <cellStyle name="Normal 9 2 3 10 3" xfId="24186" xr:uid="{00000000-0005-0000-0000-0000F7D50000}"/>
    <cellStyle name="Normal 9 2 3 10 3 2" xfId="51319" xr:uid="{00000000-0005-0000-0000-0000F8D50000}"/>
    <cellStyle name="Normal 9 2 3 10 4" xfId="37757" xr:uid="{00000000-0005-0000-0000-0000F9D50000}"/>
    <cellStyle name="Normal 9 2 3 11" xfId="14010" xr:uid="{00000000-0005-0000-0000-0000FAD50000}"/>
    <cellStyle name="Normal 9 2 3 11 2" xfId="27578" xr:uid="{00000000-0005-0000-0000-0000FBD50000}"/>
    <cellStyle name="Normal 9 2 3 11 2 2" xfId="54711" xr:uid="{00000000-0005-0000-0000-0000FCD50000}"/>
    <cellStyle name="Normal 9 2 3 11 3" xfId="41149" xr:uid="{00000000-0005-0000-0000-0000FDD50000}"/>
    <cellStyle name="Normal 9 2 3 12" xfId="20797" xr:uid="{00000000-0005-0000-0000-0000FED50000}"/>
    <cellStyle name="Normal 9 2 3 12 2" xfId="47930" xr:uid="{00000000-0005-0000-0000-0000FFD50000}"/>
    <cellStyle name="Normal 9 2 3 13" xfId="34368" xr:uid="{00000000-0005-0000-0000-000000D60000}"/>
    <cellStyle name="Normal 9 2 3 2" xfId="7086" xr:uid="{00000000-0005-0000-0000-000001D60000}"/>
    <cellStyle name="Normal 9 2 3 2 10" xfId="34369" xr:uid="{00000000-0005-0000-0000-000002D60000}"/>
    <cellStyle name="Normal 9 2 3 2 2" xfId="7087" xr:uid="{00000000-0005-0000-0000-000003D60000}"/>
    <cellStyle name="Normal 9 2 3 2 2 2" xfId="7088" xr:uid="{00000000-0005-0000-0000-000004D60000}"/>
    <cellStyle name="Normal 9 2 3 2 2 2 2" xfId="7089" xr:uid="{00000000-0005-0000-0000-000005D60000}"/>
    <cellStyle name="Normal 9 2 3 2 2 2 2 2" xfId="10614" xr:uid="{00000000-0005-0000-0000-000006D60000}"/>
    <cellStyle name="Normal 9 2 3 2 2 2 2 2 2" xfId="17403" xr:uid="{00000000-0005-0000-0000-000007D60000}"/>
    <cellStyle name="Normal 9 2 3 2 2 2 2 2 2 2" xfId="30971" xr:uid="{00000000-0005-0000-0000-000008D60000}"/>
    <cellStyle name="Normal 9 2 3 2 2 2 2 2 2 2 2" xfId="58104" xr:uid="{00000000-0005-0000-0000-000009D60000}"/>
    <cellStyle name="Normal 9 2 3 2 2 2 2 2 2 3" xfId="44542" xr:uid="{00000000-0005-0000-0000-00000AD60000}"/>
    <cellStyle name="Normal 9 2 3 2 2 2 2 2 3" xfId="24190" xr:uid="{00000000-0005-0000-0000-00000BD60000}"/>
    <cellStyle name="Normal 9 2 3 2 2 2 2 2 3 2" xfId="51323" xr:uid="{00000000-0005-0000-0000-00000CD60000}"/>
    <cellStyle name="Normal 9 2 3 2 2 2 2 2 4" xfId="37761" xr:uid="{00000000-0005-0000-0000-00000DD60000}"/>
    <cellStyle name="Normal 9 2 3 2 2 2 2 3" xfId="14014" xr:uid="{00000000-0005-0000-0000-00000ED60000}"/>
    <cellStyle name="Normal 9 2 3 2 2 2 2 3 2" xfId="27582" xr:uid="{00000000-0005-0000-0000-00000FD60000}"/>
    <cellStyle name="Normal 9 2 3 2 2 2 2 3 2 2" xfId="54715" xr:uid="{00000000-0005-0000-0000-000010D60000}"/>
    <cellStyle name="Normal 9 2 3 2 2 2 2 3 3" xfId="41153" xr:uid="{00000000-0005-0000-0000-000011D60000}"/>
    <cellStyle name="Normal 9 2 3 2 2 2 2 4" xfId="20801" xr:uid="{00000000-0005-0000-0000-000012D60000}"/>
    <cellStyle name="Normal 9 2 3 2 2 2 2 4 2" xfId="47934" xr:uid="{00000000-0005-0000-0000-000013D60000}"/>
    <cellStyle name="Normal 9 2 3 2 2 2 2 5" xfId="34372" xr:uid="{00000000-0005-0000-0000-000014D60000}"/>
    <cellStyle name="Normal 9 2 3 2 2 2 3" xfId="7090" xr:uid="{00000000-0005-0000-0000-000015D60000}"/>
    <cellStyle name="Normal 9 2 3 2 2 2 3 2" xfId="10615" xr:uid="{00000000-0005-0000-0000-000016D60000}"/>
    <cellStyle name="Normal 9 2 3 2 2 2 3 2 2" xfId="17404" xr:uid="{00000000-0005-0000-0000-000017D60000}"/>
    <cellStyle name="Normal 9 2 3 2 2 2 3 2 2 2" xfId="30972" xr:uid="{00000000-0005-0000-0000-000018D60000}"/>
    <cellStyle name="Normal 9 2 3 2 2 2 3 2 2 2 2" xfId="58105" xr:uid="{00000000-0005-0000-0000-000019D60000}"/>
    <cellStyle name="Normal 9 2 3 2 2 2 3 2 2 3" xfId="44543" xr:uid="{00000000-0005-0000-0000-00001AD60000}"/>
    <cellStyle name="Normal 9 2 3 2 2 2 3 2 3" xfId="24191" xr:uid="{00000000-0005-0000-0000-00001BD60000}"/>
    <cellStyle name="Normal 9 2 3 2 2 2 3 2 3 2" xfId="51324" xr:uid="{00000000-0005-0000-0000-00001CD60000}"/>
    <cellStyle name="Normal 9 2 3 2 2 2 3 2 4" xfId="37762" xr:uid="{00000000-0005-0000-0000-00001DD60000}"/>
    <cellStyle name="Normal 9 2 3 2 2 2 3 3" xfId="14015" xr:uid="{00000000-0005-0000-0000-00001ED60000}"/>
    <cellStyle name="Normal 9 2 3 2 2 2 3 3 2" xfId="27583" xr:uid="{00000000-0005-0000-0000-00001FD60000}"/>
    <cellStyle name="Normal 9 2 3 2 2 2 3 3 2 2" xfId="54716" xr:uid="{00000000-0005-0000-0000-000020D60000}"/>
    <cellStyle name="Normal 9 2 3 2 2 2 3 3 3" xfId="41154" xr:uid="{00000000-0005-0000-0000-000021D60000}"/>
    <cellStyle name="Normal 9 2 3 2 2 2 3 4" xfId="20802" xr:uid="{00000000-0005-0000-0000-000022D60000}"/>
    <cellStyle name="Normal 9 2 3 2 2 2 3 4 2" xfId="47935" xr:uid="{00000000-0005-0000-0000-000023D60000}"/>
    <cellStyle name="Normal 9 2 3 2 2 2 3 5" xfId="34373" xr:uid="{00000000-0005-0000-0000-000024D60000}"/>
    <cellStyle name="Normal 9 2 3 2 2 2 4" xfId="10613" xr:uid="{00000000-0005-0000-0000-000025D60000}"/>
    <cellStyle name="Normal 9 2 3 2 2 2 4 2" xfId="17402" xr:uid="{00000000-0005-0000-0000-000026D60000}"/>
    <cellStyle name="Normal 9 2 3 2 2 2 4 2 2" xfId="30970" xr:uid="{00000000-0005-0000-0000-000027D60000}"/>
    <cellStyle name="Normal 9 2 3 2 2 2 4 2 2 2" xfId="58103" xr:uid="{00000000-0005-0000-0000-000028D60000}"/>
    <cellStyle name="Normal 9 2 3 2 2 2 4 2 3" xfId="44541" xr:uid="{00000000-0005-0000-0000-000029D60000}"/>
    <cellStyle name="Normal 9 2 3 2 2 2 4 3" xfId="24189" xr:uid="{00000000-0005-0000-0000-00002AD60000}"/>
    <cellStyle name="Normal 9 2 3 2 2 2 4 3 2" xfId="51322" xr:uid="{00000000-0005-0000-0000-00002BD60000}"/>
    <cellStyle name="Normal 9 2 3 2 2 2 4 4" xfId="37760" xr:uid="{00000000-0005-0000-0000-00002CD60000}"/>
    <cellStyle name="Normal 9 2 3 2 2 2 5" xfId="14013" xr:uid="{00000000-0005-0000-0000-00002DD60000}"/>
    <cellStyle name="Normal 9 2 3 2 2 2 5 2" xfId="27581" xr:uid="{00000000-0005-0000-0000-00002ED60000}"/>
    <cellStyle name="Normal 9 2 3 2 2 2 5 2 2" xfId="54714" xr:uid="{00000000-0005-0000-0000-00002FD60000}"/>
    <cellStyle name="Normal 9 2 3 2 2 2 5 3" xfId="41152" xr:uid="{00000000-0005-0000-0000-000030D60000}"/>
    <cellStyle name="Normal 9 2 3 2 2 2 6" xfId="20800" xr:uid="{00000000-0005-0000-0000-000031D60000}"/>
    <cellStyle name="Normal 9 2 3 2 2 2 6 2" xfId="47933" xr:uid="{00000000-0005-0000-0000-000032D60000}"/>
    <cellStyle name="Normal 9 2 3 2 2 2 7" xfId="34371" xr:uid="{00000000-0005-0000-0000-000033D60000}"/>
    <cellStyle name="Normal 9 2 3 2 2 3" xfId="7091" xr:uid="{00000000-0005-0000-0000-000034D60000}"/>
    <cellStyle name="Normal 9 2 3 2 2 3 2" xfId="7092" xr:uid="{00000000-0005-0000-0000-000035D60000}"/>
    <cellStyle name="Normal 9 2 3 2 2 3 2 2" xfId="10617" xr:uid="{00000000-0005-0000-0000-000036D60000}"/>
    <cellStyle name="Normal 9 2 3 2 2 3 2 2 2" xfId="17406" xr:uid="{00000000-0005-0000-0000-000037D60000}"/>
    <cellStyle name="Normal 9 2 3 2 2 3 2 2 2 2" xfId="30974" xr:uid="{00000000-0005-0000-0000-000038D60000}"/>
    <cellStyle name="Normal 9 2 3 2 2 3 2 2 2 2 2" xfId="58107" xr:uid="{00000000-0005-0000-0000-000039D60000}"/>
    <cellStyle name="Normal 9 2 3 2 2 3 2 2 2 3" xfId="44545" xr:uid="{00000000-0005-0000-0000-00003AD60000}"/>
    <cellStyle name="Normal 9 2 3 2 2 3 2 2 3" xfId="24193" xr:uid="{00000000-0005-0000-0000-00003BD60000}"/>
    <cellStyle name="Normal 9 2 3 2 2 3 2 2 3 2" xfId="51326" xr:uid="{00000000-0005-0000-0000-00003CD60000}"/>
    <cellStyle name="Normal 9 2 3 2 2 3 2 2 4" xfId="37764" xr:uid="{00000000-0005-0000-0000-00003DD60000}"/>
    <cellStyle name="Normal 9 2 3 2 2 3 2 3" xfId="14017" xr:uid="{00000000-0005-0000-0000-00003ED60000}"/>
    <cellStyle name="Normal 9 2 3 2 2 3 2 3 2" xfId="27585" xr:uid="{00000000-0005-0000-0000-00003FD60000}"/>
    <cellStyle name="Normal 9 2 3 2 2 3 2 3 2 2" xfId="54718" xr:uid="{00000000-0005-0000-0000-000040D60000}"/>
    <cellStyle name="Normal 9 2 3 2 2 3 2 3 3" xfId="41156" xr:uid="{00000000-0005-0000-0000-000041D60000}"/>
    <cellStyle name="Normal 9 2 3 2 2 3 2 4" xfId="20804" xr:uid="{00000000-0005-0000-0000-000042D60000}"/>
    <cellStyle name="Normal 9 2 3 2 2 3 2 4 2" xfId="47937" xr:uid="{00000000-0005-0000-0000-000043D60000}"/>
    <cellStyle name="Normal 9 2 3 2 2 3 2 5" xfId="34375" xr:uid="{00000000-0005-0000-0000-000044D60000}"/>
    <cellStyle name="Normal 9 2 3 2 2 3 3" xfId="10616" xr:uid="{00000000-0005-0000-0000-000045D60000}"/>
    <cellStyle name="Normal 9 2 3 2 2 3 3 2" xfId="17405" xr:uid="{00000000-0005-0000-0000-000046D60000}"/>
    <cellStyle name="Normal 9 2 3 2 2 3 3 2 2" xfId="30973" xr:uid="{00000000-0005-0000-0000-000047D60000}"/>
    <cellStyle name="Normal 9 2 3 2 2 3 3 2 2 2" xfId="58106" xr:uid="{00000000-0005-0000-0000-000048D60000}"/>
    <cellStyle name="Normal 9 2 3 2 2 3 3 2 3" xfId="44544" xr:uid="{00000000-0005-0000-0000-000049D60000}"/>
    <cellStyle name="Normal 9 2 3 2 2 3 3 3" xfId="24192" xr:uid="{00000000-0005-0000-0000-00004AD60000}"/>
    <cellStyle name="Normal 9 2 3 2 2 3 3 3 2" xfId="51325" xr:uid="{00000000-0005-0000-0000-00004BD60000}"/>
    <cellStyle name="Normal 9 2 3 2 2 3 3 4" xfId="37763" xr:uid="{00000000-0005-0000-0000-00004CD60000}"/>
    <cellStyle name="Normal 9 2 3 2 2 3 4" xfId="14016" xr:uid="{00000000-0005-0000-0000-00004DD60000}"/>
    <cellStyle name="Normal 9 2 3 2 2 3 4 2" xfId="27584" xr:uid="{00000000-0005-0000-0000-00004ED60000}"/>
    <cellStyle name="Normal 9 2 3 2 2 3 4 2 2" xfId="54717" xr:uid="{00000000-0005-0000-0000-00004FD60000}"/>
    <cellStyle name="Normal 9 2 3 2 2 3 4 3" xfId="41155" xr:uid="{00000000-0005-0000-0000-000050D60000}"/>
    <cellStyle name="Normal 9 2 3 2 2 3 5" xfId="20803" xr:uid="{00000000-0005-0000-0000-000051D60000}"/>
    <cellStyle name="Normal 9 2 3 2 2 3 5 2" xfId="47936" xr:uid="{00000000-0005-0000-0000-000052D60000}"/>
    <cellStyle name="Normal 9 2 3 2 2 3 6" xfId="34374" xr:uid="{00000000-0005-0000-0000-000053D60000}"/>
    <cellStyle name="Normal 9 2 3 2 2 4" xfId="7093" xr:uid="{00000000-0005-0000-0000-000054D60000}"/>
    <cellStyle name="Normal 9 2 3 2 2 4 2" xfId="10618" xr:uid="{00000000-0005-0000-0000-000055D60000}"/>
    <cellStyle name="Normal 9 2 3 2 2 4 2 2" xfId="17407" xr:uid="{00000000-0005-0000-0000-000056D60000}"/>
    <cellStyle name="Normal 9 2 3 2 2 4 2 2 2" xfId="30975" xr:uid="{00000000-0005-0000-0000-000057D60000}"/>
    <cellStyle name="Normal 9 2 3 2 2 4 2 2 2 2" xfId="58108" xr:uid="{00000000-0005-0000-0000-000058D60000}"/>
    <cellStyle name="Normal 9 2 3 2 2 4 2 2 3" xfId="44546" xr:uid="{00000000-0005-0000-0000-000059D60000}"/>
    <cellStyle name="Normal 9 2 3 2 2 4 2 3" xfId="24194" xr:uid="{00000000-0005-0000-0000-00005AD60000}"/>
    <cellStyle name="Normal 9 2 3 2 2 4 2 3 2" xfId="51327" xr:uid="{00000000-0005-0000-0000-00005BD60000}"/>
    <cellStyle name="Normal 9 2 3 2 2 4 2 4" xfId="37765" xr:uid="{00000000-0005-0000-0000-00005CD60000}"/>
    <cellStyle name="Normal 9 2 3 2 2 4 3" xfId="14018" xr:uid="{00000000-0005-0000-0000-00005DD60000}"/>
    <cellStyle name="Normal 9 2 3 2 2 4 3 2" xfId="27586" xr:uid="{00000000-0005-0000-0000-00005ED60000}"/>
    <cellStyle name="Normal 9 2 3 2 2 4 3 2 2" xfId="54719" xr:uid="{00000000-0005-0000-0000-00005FD60000}"/>
    <cellStyle name="Normal 9 2 3 2 2 4 3 3" xfId="41157" xr:uid="{00000000-0005-0000-0000-000060D60000}"/>
    <cellStyle name="Normal 9 2 3 2 2 4 4" xfId="20805" xr:uid="{00000000-0005-0000-0000-000061D60000}"/>
    <cellStyle name="Normal 9 2 3 2 2 4 4 2" xfId="47938" xr:uid="{00000000-0005-0000-0000-000062D60000}"/>
    <cellStyle name="Normal 9 2 3 2 2 4 5" xfId="34376" xr:uid="{00000000-0005-0000-0000-000063D60000}"/>
    <cellStyle name="Normal 9 2 3 2 2 5" xfId="7094" xr:uid="{00000000-0005-0000-0000-000064D60000}"/>
    <cellStyle name="Normal 9 2 3 2 2 5 2" xfId="10619" xr:uid="{00000000-0005-0000-0000-000065D60000}"/>
    <cellStyle name="Normal 9 2 3 2 2 5 2 2" xfId="17408" xr:uid="{00000000-0005-0000-0000-000066D60000}"/>
    <cellStyle name="Normal 9 2 3 2 2 5 2 2 2" xfId="30976" xr:uid="{00000000-0005-0000-0000-000067D60000}"/>
    <cellStyle name="Normal 9 2 3 2 2 5 2 2 2 2" xfId="58109" xr:uid="{00000000-0005-0000-0000-000068D60000}"/>
    <cellStyle name="Normal 9 2 3 2 2 5 2 2 3" xfId="44547" xr:uid="{00000000-0005-0000-0000-000069D60000}"/>
    <cellStyle name="Normal 9 2 3 2 2 5 2 3" xfId="24195" xr:uid="{00000000-0005-0000-0000-00006AD60000}"/>
    <cellStyle name="Normal 9 2 3 2 2 5 2 3 2" xfId="51328" xr:uid="{00000000-0005-0000-0000-00006BD60000}"/>
    <cellStyle name="Normal 9 2 3 2 2 5 2 4" xfId="37766" xr:uid="{00000000-0005-0000-0000-00006CD60000}"/>
    <cellStyle name="Normal 9 2 3 2 2 5 3" xfId="14019" xr:uid="{00000000-0005-0000-0000-00006DD60000}"/>
    <cellStyle name="Normal 9 2 3 2 2 5 3 2" xfId="27587" xr:uid="{00000000-0005-0000-0000-00006ED60000}"/>
    <cellStyle name="Normal 9 2 3 2 2 5 3 2 2" xfId="54720" xr:uid="{00000000-0005-0000-0000-00006FD60000}"/>
    <cellStyle name="Normal 9 2 3 2 2 5 3 3" xfId="41158" xr:uid="{00000000-0005-0000-0000-000070D60000}"/>
    <cellStyle name="Normal 9 2 3 2 2 5 4" xfId="20806" xr:uid="{00000000-0005-0000-0000-000071D60000}"/>
    <cellStyle name="Normal 9 2 3 2 2 5 4 2" xfId="47939" xr:uid="{00000000-0005-0000-0000-000072D60000}"/>
    <cellStyle name="Normal 9 2 3 2 2 5 5" xfId="34377" xr:uid="{00000000-0005-0000-0000-000073D60000}"/>
    <cellStyle name="Normal 9 2 3 2 2 6" xfId="10612" xr:uid="{00000000-0005-0000-0000-000074D60000}"/>
    <cellStyle name="Normal 9 2 3 2 2 6 2" xfId="17401" xr:uid="{00000000-0005-0000-0000-000075D60000}"/>
    <cellStyle name="Normal 9 2 3 2 2 6 2 2" xfId="30969" xr:uid="{00000000-0005-0000-0000-000076D60000}"/>
    <cellStyle name="Normal 9 2 3 2 2 6 2 2 2" xfId="58102" xr:uid="{00000000-0005-0000-0000-000077D60000}"/>
    <cellStyle name="Normal 9 2 3 2 2 6 2 3" xfId="44540" xr:uid="{00000000-0005-0000-0000-000078D60000}"/>
    <cellStyle name="Normal 9 2 3 2 2 6 3" xfId="24188" xr:uid="{00000000-0005-0000-0000-000079D60000}"/>
    <cellStyle name="Normal 9 2 3 2 2 6 3 2" xfId="51321" xr:uid="{00000000-0005-0000-0000-00007AD60000}"/>
    <cellStyle name="Normal 9 2 3 2 2 6 4" xfId="37759" xr:uid="{00000000-0005-0000-0000-00007BD60000}"/>
    <cellStyle name="Normal 9 2 3 2 2 7" xfId="14012" xr:uid="{00000000-0005-0000-0000-00007CD60000}"/>
    <cellStyle name="Normal 9 2 3 2 2 7 2" xfId="27580" xr:uid="{00000000-0005-0000-0000-00007DD60000}"/>
    <cellStyle name="Normal 9 2 3 2 2 7 2 2" xfId="54713" xr:uid="{00000000-0005-0000-0000-00007ED60000}"/>
    <cellStyle name="Normal 9 2 3 2 2 7 3" xfId="41151" xr:uid="{00000000-0005-0000-0000-00007FD60000}"/>
    <cellStyle name="Normal 9 2 3 2 2 8" xfId="20799" xr:uid="{00000000-0005-0000-0000-000080D60000}"/>
    <cellStyle name="Normal 9 2 3 2 2 8 2" xfId="47932" xr:uid="{00000000-0005-0000-0000-000081D60000}"/>
    <cellStyle name="Normal 9 2 3 2 2 9" xfId="34370" xr:uid="{00000000-0005-0000-0000-000082D60000}"/>
    <cellStyle name="Normal 9 2 3 2 3" xfId="7095" xr:uid="{00000000-0005-0000-0000-000083D60000}"/>
    <cellStyle name="Normal 9 2 3 2 3 2" xfId="7096" xr:uid="{00000000-0005-0000-0000-000084D60000}"/>
    <cellStyle name="Normal 9 2 3 2 3 2 2" xfId="10621" xr:uid="{00000000-0005-0000-0000-000085D60000}"/>
    <cellStyle name="Normal 9 2 3 2 3 2 2 2" xfId="17410" xr:uid="{00000000-0005-0000-0000-000086D60000}"/>
    <cellStyle name="Normal 9 2 3 2 3 2 2 2 2" xfId="30978" xr:uid="{00000000-0005-0000-0000-000087D60000}"/>
    <cellStyle name="Normal 9 2 3 2 3 2 2 2 2 2" xfId="58111" xr:uid="{00000000-0005-0000-0000-000088D60000}"/>
    <cellStyle name="Normal 9 2 3 2 3 2 2 2 3" xfId="44549" xr:uid="{00000000-0005-0000-0000-000089D60000}"/>
    <cellStyle name="Normal 9 2 3 2 3 2 2 3" xfId="24197" xr:uid="{00000000-0005-0000-0000-00008AD60000}"/>
    <cellStyle name="Normal 9 2 3 2 3 2 2 3 2" xfId="51330" xr:uid="{00000000-0005-0000-0000-00008BD60000}"/>
    <cellStyle name="Normal 9 2 3 2 3 2 2 4" xfId="37768" xr:uid="{00000000-0005-0000-0000-00008CD60000}"/>
    <cellStyle name="Normal 9 2 3 2 3 2 3" xfId="14021" xr:uid="{00000000-0005-0000-0000-00008DD60000}"/>
    <cellStyle name="Normal 9 2 3 2 3 2 3 2" xfId="27589" xr:uid="{00000000-0005-0000-0000-00008ED60000}"/>
    <cellStyle name="Normal 9 2 3 2 3 2 3 2 2" xfId="54722" xr:uid="{00000000-0005-0000-0000-00008FD60000}"/>
    <cellStyle name="Normal 9 2 3 2 3 2 3 3" xfId="41160" xr:uid="{00000000-0005-0000-0000-000090D60000}"/>
    <cellStyle name="Normal 9 2 3 2 3 2 4" xfId="20808" xr:uid="{00000000-0005-0000-0000-000091D60000}"/>
    <cellStyle name="Normal 9 2 3 2 3 2 4 2" xfId="47941" xr:uid="{00000000-0005-0000-0000-000092D60000}"/>
    <cellStyle name="Normal 9 2 3 2 3 2 5" xfId="34379" xr:uid="{00000000-0005-0000-0000-000093D60000}"/>
    <cellStyle name="Normal 9 2 3 2 3 3" xfId="7097" xr:uid="{00000000-0005-0000-0000-000094D60000}"/>
    <cellStyle name="Normal 9 2 3 2 3 3 2" xfId="10622" xr:uid="{00000000-0005-0000-0000-000095D60000}"/>
    <cellStyle name="Normal 9 2 3 2 3 3 2 2" xfId="17411" xr:uid="{00000000-0005-0000-0000-000096D60000}"/>
    <cellStyle name="Normal 9 2 3 2 3 3 2 2 2" xfId="30979" xr:uid="{00000000-0005-0000-0000-000097D60000}"/>
    <cellStyle name="Normal 9 2 3 2 3 3 2 2 2 2" xfId="58112" xr:uid="{00000000-0005-0000-0000-000098D60000}"/>
    <cellStyle name="Normal 9 2 3 2 3 3 2 2 3" xfId="44550" xr:uid="{00000000-0005-0000-0000-000099D60000}"/>
    <cellStyle name="Normal 9 2 3 2 3 3 2 3" xfId="24198" xr:uid="{00000000-0005-0000-0000-00009AD60000}"/>
    <cellStyle name="Normal 9 2 3 2 3 3 2 3 2" xfId="51331" xr:uid="{00000000-0005-0000-0000-00009BD60000}"/>
    <cellStyle name="Normal 9 2 3 2 3 3 2 4" xfId="37769" xr:uid="{00000000-0005-0000-0000-00009CD60000}"/>
    <cellStyle name="Normal 9 2 3 2 3 3 3" xfId="14022" xr:uid="{00000000-0005-0000-0000-00009DD60000}"/>
    <cellStyle name="Normal 9 2 3 2 3 3 3 2" xfId="27590" xr:uid="{00000000-0005-0000-0000-00009ED60000}"/>
    <cellStyle name="Normal 9 2 3 2 3 3 3 2 2" xfId="54723" xr:uid="{00000000-0005-0000-0000-00009FD60000}"/>
    <cellStyle name="Normal 9 2 3 2 3 3 3 3" xfId="41161" xr:uid="{00000000-0005-0000-0000-0000A0D60000}"/>
    <cellStyle name="Normal 9 2 3 2 3 3 4" xfId="20809" xr:uid="{00000000-0005-0000-0000-0000A1D60000}"/>
    <cellStyle name="Normal 9 2 3 2 3 3 4 2" xfId="47942" xr:uid="{00000000-0005-0000-0000-0000A2D60000}"/>
    <cellStyle name="Normal 9 2 3 2 3 3 5" xfId="34380" xr:uid="{00000000-0005-0000-0000-0000A3D60000}"/>
    <cellStyle name="Normal 9 2 3 2 3 4" xfId="10620" xr:uid="{00000000-0005-0000-0000-0000A4D60000}"/>
    <cellStyle name="Normal 9 2 3 2 3 4 2" xfId="17409" xr:uid="{00000000-0005-0000-0000-0000A5D60000}"/>
    <cellStyle name="Normal 9 2 3 2 3 4 2 2" xfId="30977" xr:uid="{00000000-0005-0000-0000-0000A6D60000}"/>
    <cellStyle name="Normal 9 2 3 2 3 4 2 2 2" xfId="58110" xr:uid="{00000000-0005-0000-0000-0000A7D60000}"/>
    <cellStyle name="Normal 9 2 3 2 3 4 2 3" xfId="44548" xr:uid="{00000000-0005-0000-0000-0000A8D60000}"/>
    <cellStyle name="Normal 9 2 3 2 3 4 3" xfId="24196" xr:uid="{00000000-0005-0000-0000-0000A9D60000}"/>
    <cellStyle name="Normal 9 2 3 2 3 4 3 2" xfId="51329" xr:uid="{00000000-0005-0000-0000-0000AAD60000}"/>
    <cellStyle name="Normal 9 2 3 2 3 4 4" xfId="37767" xr:uid="{00000000-0005-0000-0000-0000ABD60000}"/>
    <cellStyle name="Normal 9 2 3 2 3 5" xfId="14020" xr:uid="{00000000-0005-0000-0000-0000ACD60000}"/>
    <cellStyle name="Normal 9 2 3 2 3 5 2" xfId="27588" xr:uid="{00000000-0005-0000-0000-0000ADD60000}"/>
    <cellStyle name="Normal 9 2 3 2 3 5 2 2" xfId="54721" xr:uid="{00000000-0005-0000-0000-0000AED60000}"/>
    <cellStyle name="Normal 9 2 3 2 3 5 3" xfId="41159" xr:uid="{00000000-0005-0000-0000-0000AFD60000}"/>
    <cellStyle name="Normal 9 2 3 2 3 6" xfId="20807" xr:uid="{00000000-0005-0000-0000-0000B0D60000}"/>
    <cellStyle name="Normal 9 2 3 2 3 6 2" xfId="47940" xr:uid="{00000000-0005-0000-0000-0000B1D60000}"/>
    <cellStyle name="Normal 9 2 3 2 3 7" xfId="34378" xr:uid="{00000000-0005-0000-0000-0000B2D60000}"/>
    <cellStyle name="Normal 9 2 3 2 4" xfId="7098" xr:uid="{00000000-0005-0000-0000-0000B3D60000}"/>
    <cellStyle name="Normal 9 2 3 2 4 2" xfId="7099" xr:uid="{00000000-0005-0000-0000-0000B4D60000}"/>
    <cellStyle name="Normal 9 2 3 2 4 2 2" xfId="10624" xr:uid="{00000000-0005-0000-0000-0000B5D60000}"/>
    <cellStyle name="Normal 9 2 3 2 4 2 2 2" xfId="17413" xr:uid="{00000000-0005-0000-0000-0000B6D60000}"/>
    <cellStyle name="Normal 9 2 3 2 4 2 2 2 2" xfId="30981" xr:uid="{00000000-0005-0000-0000-0000B7D60000}"/>
    <cellStyle name="Normal 9 2 3 2 4 2 2 2 2 2" xfId="58114" xr:uid="{00000000-0005-0000-0000-0000B8D60000}"/>
    <cellStyle name="Normal 9 2 3 2 4 2 2 2 3" xfId="44552" xr:uid="{00000000-0005-0000-0000-0000B9D60000}"/>
    <cellStyle name="Normal 9 2 3 2 4 2 2 3" xfId="24200" xr:uid="{00000000-0005-0000-0000-0000BAD60000}"/>
    <cellStyle name="Normal 9 2 3 2 4 2 2 3 2" xfId="51333" xr:uid="{00000000-0005-0000-0000-0000BBD60000}"/>
    <cellStyle name="Normal 9 2 3 2 4 2 2 4" xfId="37771" xr:uid="{00000000-0005-0000-0000-0000BCD60000}"/>
    <cellStyle name="Normal 9 2 3 2 4 2 3" xfId="14024" xr:uid="{00000000-0005-0000-0000-0000BDD60000}"/>
    <cellStyle name="Normal 9 2 3 2 4 2 3 2" xfId="27592" xr:uid="{00000000-0005-0000-0000-0000BED60000}"/>
    <cellStyle name="Normal 9 2 3 2 4 2 3 2 2" xfId="54725" xr:uid="{00000000-0005-0000-0000-0000BFD60000}"/>
    <cellStyle name="Normal 9 2 3 2 4 2 3 3" xfId="41163" xr:uid="{00000000-0005-0000-0000-0000C0D60000}"/>
    <cellStyle name="Normal 9 2 3 2 4 2 4" xfId="20811" xr:uid="{00000000-0005-0000-0000-0000C1D60000}"/>
    <cellStyle name="Normal 9 2 3 2 4 2 4 2" xfId="47944" xr:uid="{00000000-0005-0000-0000-0000C2D60000}"/>
    <cellStyle name="Normal 9 2 3 2 4 2 5" xfId="34382" xr:uid="{00000000-0005-0000-0000-0000C3D60000}"/>
    <cellStyle name="Normal 9 2 3 2 4 3" xfId="10623" xr:uid="{00000000-0005-0000-0000-0000C4D60000}"/>
    <cellStyle name="Normal 9 2 3 2 4 3 2" xfId="17412" xr:uid="{00000000-0005-0000-0000-0000C5D60000}"/>
    <cellStyle name="Normal 9 2 3 2 4 3 2 2" xfId="30980" xr:uid="{00000000-0005-0000-0000-0000C6D60000}"/>
    <cellStyle name="Normal 9 2 3 2 4 3 2 2 2" xfId="58113" xr:uid="{00000000-0005-0000-0000-0000C7D60000}"/>
    <cellStyle name="Normal 9 2 3 2 4 3 2 3" xfId="44551" xr:uid="{00000000-0005-0000-0000-0000C8D60000}"/>
    <cellStyle name="Normal 9 2 3 2 4 3 3" xfId="24199" xr:uid="{00000000-0005-0000-0000-0000C9D60000}"/>
    <cellStyle name="Normal 9 2 3 2 4 3 3 2" xfId="51332" xr:uid="{00000000-0005-0000-0000-0000CAD60000}"/>
    <cellStyle name="Normal 9 2 3 2 4 3 4" xfId="37770" xr:uid="{00000000-0005-0000-0000-0000CBD60000}"/>
    <cellStyle name="Normal 9 2 3 2 4 4" xfId="14023" xr:uid="{00000000-0005-0000-0000-0000CCD60000}"/>
    <cellStyle name="Normal 9 2 3 2 4 4 2" xfId="27591" xr:uid="{00000000-0005-0000-0000-0000CDD60000}"/>
    <cellStyle name="Normal 9 2 3 2 4 4 2 2" xfId="54724" xr:uid="{00000000-0005-0000-0000-0000CED60000}"/>
    <cellStyle name="Normal 9 2 3 2 4 4 3" xfId="41162" xr:uid="{00000000-0005-0000-0000-0000CFD60000}"/>
    <cellStyle name="Normal 9 2 3 2 4 5" xfId="20810" xr:uid="{00000000-0005-0000-0000-0000D0D60000}"/>
    <cellStyle name="Normal 9 2 3 2 4 5 2" xfId="47943" xr:uid="{00000000-0005-0000-0000-0000D1D60000}"/>
    <cellStyle name="Normal 9 2 3 2 4 6" xfId="34381" xr:uid="{00000000-0005-0000-0000-0000D2D60000}"/>
    <cellStyle name="Normal 9 2 3 2 5" xfId="7100" xr:uid="{00000000-0005-0000-0000-0000D3D60000}"/>
    <cellStyle name="Normal 9 2 3 2 5 2" xfId="10625" xr:uid="{00000000-0005-0000-0000-0000D4D60000}"/>
    <cellStyle name="Normal 9 2 3 2 5 2 2" xfId="17414" xr:uid="{00000000-0005-0000-0000-0000D5D60000}"/>
    <cellStyle name="Normal 9 2 3 2 5 2 2 2" xfId="30982" xr:uid="{00000000-0005-0000-0000-0000D6D60000}"/>
    <cellStyle name="Normal 9 2 3 2 5 2 2 2 2" xfId="58115" xr:uid="{00000000-0005-0000-0000-0000D7D60000}"/>
    <cellStyle name="Normal 9 2 3 2 5 2 2 3" xfId="44553" xr:uid="{00000000-0005-0000-0000-0000D8D60000}"/>
    <cellStyle name="Normal 9 2 3 2 5 2 3" xfId="24201" xr:uid="{00000000-0005-0000-0000-0000D9D60000}"/>
    <cellStyle name="Normal 9 2 3 2 5 2 3 2" xfId="51334" xr:uid="{00000000-0005-0000-0000-0000DAD60000}"/>
    <cellStyle name="Normal 9 2 3 2 5 2 4" xfId="37772" xr:uid="{00000000-0005-0000-0000-0000DBD60000}"/>
    <cellStyle name="Normal 9 2 3 2 5 3" xfId="14025" xr:uid="{00000000-0005-0000-0000-0000DCD60000}"/>
    <cellStyle name="Normal 9 2 3 2 5 3 2" xfId="27593" xr:uid="{00000000-0005-0000-0000-0000DDD60000}"/>
    <cellStyle name="Normal 9 2 3 2 5 3 2 2" xfId="54726" xr:uid="{00000000-0005-0000-0000-0000DED60000}"/>
    <cellStyle name="Normal 9 2 3 2 5 3 3" xfId="41164" xr:uid="{00000000-0005-0000-0000-0000DFD60000}"/>
    <cellStyle name="Normal 9 2 3 2 5 4" xfId="20812" xr:uid="{00000000-0005-0000-0000-0000E0D60000}"/>
    <cellStyle name="Normal 9 2 3 2 5 4 2" xfId="47945" xr:uid="{00000000-0005-0000-0000-0000E1D60000}"/>
    <cellStyle name="Normal 9 2 3 2 5 5" xfId="34383" xr:uid="{00000000-0005-0000-0000-0000E2D60000}"/>
    <cellStyle name="Normal 9 2 3 2 6" xfId="7101" xr:uid="{00000000-0005-0000-0000-0000E3D60000}"/>
    <cellStyle name="Normal 9 2 3 2 6 2" xfId="10626" xr:uid="{00000000-0005-0000-0000-0000E4D60000}"/>
    <cellStyle name="Normal 9 2 3 2 6 2 2" xfId="17415" xr:uid="{00000000-0005-0000-0000-0000E5D60000}"/>
    <cellStyle name="Normal 9 2 3 2 6 2 2 2" xfId="30983" xr:uid="{00000000-0005-0000-0000-0000E6D60000}"/>
    <cellStyle name="Normal 9 2 3 2 6 2 2 2 2" xfId="58116" xr:uid="{00000000-0005-0000-0000-0000E7D60000}"/>
    <cellStyle name="Normal 9 2 3 2 6 2 2 3" xfId="44554" xr:uid="{00000000-0005-0000-0000-0000E8D60000}"/>
    <cellStyle name="Normal 9 2 3 2 6 2 3" xfId="24202" xr:uid="{00000000-0005-0000-0000-0000E9D60000}"/>
    <cellStyle name="Normal 9 2 3 2 6 2 3 2" xfId="51335" xr:uid="{00000000-0005-0000-0000-0000EAD60000}"/>
    <cellStyle name="Normal 9 2 3 2 6 2 4" xfId="37773" xr:uid="{00000000-0005-0000-0000-0000EBD60000}"/>
    <cellStyle name="Normal 9 2 3 2 6 3" xfId="14026" xr:uid="{00000000-0005-0000-0000-0000ECD60000}"/>
    <cellStyle name="Normal 9 2 3 2 6 3 2" xfId="27594" xr:uid="{00000000-0005-0000-0000-0000EDD60000}"/>
    <cellStyle name="Normal 9 2 3 2 6 3 2 2" xfId="54727" xr:uid="{00000000-0005-0000-0000-0000EED60000}"/>
    <cellStyle name="Normal 9 2 3 2 6 3 3" xfId="41165" xr:uid="{00000000-0005-0000-0000-0000EFD60000}"/>
    <cellStyle name="Normal 9 2 3 2 6 4" xfId="20813" xr:uid="{00000000-0005-0000-0000-0000F0D60000}"/>
    <cellStyle name="Normal 9 2 3 2 6 4 2" xfId="47946" xr:uid="{00000000-0005-0000-0000-0000F1D60000}"/>
    <cellStyle name="Normal 9 2 3 2 6 5" xfId="34384" xr:uid="{00000000-0005-0000-0000-0000F2D60000}"/>
    <cellStyle name="Normal 9 2 3 2 7" xfId="10611" xr:uid="{00000000-0005-0000-0000-0000F3D60000}"/>
    <cellStyle name="Normal 9 2 3 2 7 2" xfId="17400" xr:uid="{00000000-0005-0000-0000-0000F4D60000}"/>
    <cellStyle name="Normal 9 2 3 2 7 2 2" xfId="30968" xr:uid="{00000000-0005-0000-0000-0000F5D60000}"/>
    <cellStyle name="Normal 9 2 3 2 7 2 2 2" xfId="58101" xr:uid="{00000000-0005-0000-0000-0000F6D60000}"/>
    <cellStyle name="Normal 9 2 3 2 7 2 3" xfId="44539" xr:uid="{00000000-0005-0000-0000-0000F7D60000}"/>
    <cellStyle name="Normal 9 2 3 2 7 3" xfId="24187" xr:uid="{00000000-0005-0000-0000-0000F8D60000}"/>
    <cellStyle name="Normal 9 2 3 2 7 3 2" xfId="51320" xr:uid="{00000000-0005-0000-0000-0000F9D60000}"/>
    <cellStyle name="Normal 9 2 3 2 7 4" xfId="37758" xr:uid="{00000000-0005-0000-0000-0000FAD60000}"/>
    <cellStyle name="Normal 9 2 3 2 8" xfId="14011" xr:uid="{00000000-0005-0000-0000-0000FBD60000}"/>
    <cellStyle name="Normal 9 2 3 2 8 2" xfId="27579" xr:uid="{00000000-0005-0000-0000-0000FCD60000}"/>
    <cellStyle name="Normal 9 2 3 2 8 2 2" xfId="54712" xr:uid="{00000000-0005-0000-0000-0000FDD60000}"/>
    <cellStyle name="Normal 9 2 3 2 8 3" xfId="41150" xr:uid="{00000000-0005-0000-0000-0000FED60000}"/>
    <cellStyle name="Normal 9 2 3 2 9" xfId="20798" xr:uid="{00000000-0005-0000-0000-0000FFD60000}"/>
    <cellStyle name="Normal 9 2 3 2 9 2" xfId="47931" xr:uid="{00000000-0005-0000-0000-000000D70000}"/>
    <cellStyle name="Normal 9 2 3 3" xfId="7102" xr:uid="{00000000-0005-0000-0000-000001D70000}"/>
    <cellStyle name="Normal 9 2 3 3 2" xfId="7103" xr:uid="{00000000-0005-0000-0000-000002D70000}"/>
    <cellStyle name="Normal 9 2 3 3 2 2" xfId="7104" xr:uid="{00000000-0005-0000-0000-000003D70000}"/>
    <cellStyle name="Normal 9 2 3 3 2 2 2" xfId="10629" xr:uid="{00000000-0005-0000-0000-000004D70000}"/>
    <cellStyle name="Normal 9 2 3 3 2 2 2 2" xfId="17418" xr:uid="{00000000-0005-0000-0000-000005D70000}"/>
    <cellStyle name="Normal 9 2 3 3 2 2 2 2 2" xfId="30986" xr:uid="{00000000-0005-0000-0000-000006D70000}"/>
    <cellStyle name="Normal 9 2 3 3 2 2 2 2 2 2" xfId="58119" xr:uid="{00000000-0005-0000-0000-000007D70000}"/>
    <cellStyle name="Normal 9 2 3 3 2 2 2 2 3" xfId="44557" xr:uid="{00000000-0005-0000-0000-000008D70000}"/>
    <cellStyle name="Normal 9 2 3 3 2 2 2 3" xfId="24205" xr:uid="{00000000-0005-0000-0000-000009D70000}"/>
    <cellStyle name="Normal 9 2 3 3 2 2 2 3 2" xfId="51338" xr:uid="{00000000-0005-0000-0000-00000AD70000}"/>
    <cellStyle name="Normal 9 2 3 3 2 2 2 4" xfId="37776" xr:uid="{00000000-0005-0000-0000-00000BD70000}"/>
    <cellStyle name="Normal 9 2 3 3 2 2 3" xfId="14029" xr:uid="{00000000-0005-0000-0000-00000CD70000}"/>
    <cellStyle name="Normal 9 2 3 3 2 2 3 2" xfId="27597" xr:uid="{00000000-0005-0000-0000-00000DD70000}"/>
    <cellStyle name="Normal 9 2 3 3 2 2 3 2 2" xfId="54730" xr:uid="{00000000-0005-0000-0000-00000ED70000}"/>
    <cellStyle name="Normal 9 2 3 3 2 2 3 3" xfId="41168" xr:uid="{00000000-0005-0000-0000-00000FD70000}"/>
    <cellStyle name="Normal 9 2 3 3 2 2 4" xfId="20816" xr:uid="{00000000-0005-0000-0000-000010D70000}"/>
    <cellStyle name="Normal 9 2 3 3 2 2 4 2" xfId="47949" xr:uid="{00000000-0005-0000-0000-000011D70000}"/>
    <cellStyle name="Normal 9 2 3 3 2 2 5" xfId="34387" xr:uid="{00000000-0005-0000-0000-000012D70000}"/>
    <cellStyle name="Normal 9 2 3 3 2 3" xfId="7105" xr:uid="{00000000-0005-0000-0000-000013D70000}"/>
    <cellStyle name="Normal 9 2 3 3 2 3 2" xfId="10630" xr:uid="{00000000-0005-0000-0000-000014D70000}"/>
    <cellStyle name="Normal 9 2 3 3 2 3 2 2" xfId="17419" xr:uid="{00000000-0005-0000-0000-000015D70000}"/>
    <cellStyle name="Normal 9 2 3 3 2 3 2 2 2" xfId="30987" xr:uid="{00000000-0005-0000-0000-000016D70000}"/>
    <cellStyle name="Normal 9 2 3 3 2 3 2 2 2 2" xfId="58120" xr:uid="{00000000-0005-0000-0000-000017D70000}"/>
    <cellStyle name="Normal 9 2 3 3 2 3 2 2 3" xfId="44558" xr:uid="{00000000-0005-0000-0000-000018D70000}"/>
    <cellStyle name="Normal 9 2 3 3 2 3 2 3" xfId="24206" xr:uid="{00000000-0005-0000-0000-000019D70000}"/>
    <cellStyle name="Normal 9 2 3 3 2 3 2 3 2" xfId="51339" xr:uid="{00000000-0005-0000-0000-00001AD70000}"/>
    <cellStyle name="Normal 9 2 3 3 2 3 2 4" xfId="37777" xr:uid="{00000000-0005-0000-0000-00001BD70000}"/>
    <cellStyle name="Normal 9 2 3 3 2 3 3" xfId="14030" xr:uid="{00000000-0005-0000-0000-00001CD70000}"/>
    <cellStyle name="Normal 9 2 3 3 2 3 3 2" xfId="27598" xr:uid="{00000000-0005-0000-0000-00001DD70000}"/>
    <cellStyle name="Normal 9 2 3 3 2 3 3 2 2" xfId="54731" xr:uid="{00000000-0005-0000-0000-00001ED70000}"/>
    <cellStyle name="Normal 9 2 3 3 2 3 3 3" xfId="41169" xr:uid="{00000000-0005-0000-0000-00001FD70000}"/>
    <cellStyle name="Normal 9 2 3 3 2 3 4" xfId="20817" xr:uid="{00000000-0005-0000-0000-000020D70000}"/>
    <cellStyle name="Normal 9 2 3 3 2 3 4 2" xfId="47950" xr:uid="{00000000-0005-0000-0000-000021D70000}"/>
    <cellStyle name="Normal 9 2 3 3 2 3 5" xfId="34388" xr:uid="{00000000-0005-0000-0000-000022D70000}"/>
    <cellStyle name="Normal 9 2 3 3 2 4" xfId="10628" xr:uid="{00000000-0005-0000-0000-000023D70000}"/>
    <cellStyle name="Normal 9 2 3 3 2 4 2" xfId="17417" xr:uid="{00000000-0005-0000-0000-000024D70000}"/>
    <cellStyle name="Normal 9 2 3 3 2 4 2 2" xfId="30985" xr:uid="{00000000-0005-0000-0000-000025D70000}"/>
    <cellStyle name="Normal 9 2 3 3 2 4 2 2 2" xfId="58118" xr:uid="{00000000-0005-0000-0000-000026D70000}"/>
    <cellStyle name="Normal 9 2 3 3 2 4 2 3" xfId="44556" xr:uid="{00000000-0005-0000-0000-000027D70000}"/>
    <cellStyle name="Normal 9 2 3 3 2 4 3" xfId="24204" xr:uid="{00000000-0005-0000-0000-000028D70000}"/>
    <cellStyle name="Normal 9 2 3 3 2 4 3 2" xfId="51337" xr:uid="{00000000-0005-0000-0000-000029D70000}"/>
    <cellStyle name="Normal 9 2 3 3 2 4 4" xfId="37775" xr:uid="{00000000-0005-0000-0000-00002AD70000}"/>
    <cellStyle name="Normal 9 2 3 3 2 5" xfId="14028" xr:uid="{00000000-0005-0000-0000-00002BD70000}"/>
    <cellStyle name="Normal 9 2 3 3 2 5 2" xfId="27596" xr:uid="{00000000-0005-0000-0000-00002CD70000}"/>
    <cellStyle name="Normal 9 2 3 3 2 5 2 2" xfId="54729" xr:uid="{00000000-0005-0000-0000-00002DD70000}"/>
    <cellStyle name="Normal 9 2 3 3 2 5 3" xfId="41167" xr:uid="{00000000-0005-0000-0000-00002ED70000}"/>
    <cellStyle name="Normal 9 2 3 3 2 6" xfId="20815" xr:uid="{00000000-0005-0000-0000-00002FD70000}"/>
    <cellStyle name="Normal 9 2 3 3 2 6 2" xfId="47948" xr:uid="{00000000-0005-0000-0000-000030D70000}"/>
    <cellStyle name="Normal 9 2 3 3 2 7" xfId="34386" xr:uid="{00000000-0005-0000-0000-000031D70000}"/>
    <cellStyle name="Normal 9 2 3 3 3" xfId="7106" xr:uid="{00000000-0005-0000-0000-000032D70000}"/>
    <cellStyle name="Normal 9 2 3 3 3 2" xfId="7107" xr:uid="{00000000-0005-0000-0000-000033D70000}"/>
    <cellStyle name="Normal 9 2 3 3 3 2 2" xfId="10632" xr:uid="{00000000-0005-0000-0000-000034D70000}"/>
    <cellStyle name="Normal 9 2 3 3 3 2 2 2" xfId="17421" xr:uid="{00000000-0005-0000-0000-000035D70000}"/>
    <cellStyle name="Normal 9 2 3 3 3 2 2 2 2" xfId="30989" xr:uid="{00000000-0005-0000-0000-000036D70000}"/>
    <cellStyle name="Normal 9 2 3 3 3 2 2 2 2 2" xfId="58122" xr:uid="{00000000-0005-0000-0000-000037D70000}"/>
    <cellStyle name="Normal 9 2 3 3 3 2 2 2 3" xfId="44560" xr:uid="{00000000-0005-0000-0000-000038D70000}"/>
    <cellStyle name="Normal 9 2 3 3 3 2 2 3" xfId="24208" xr:uid="{00000000-0005-0000-0000-000039D70000}"/>
    <cellStyle name="Normal 9 2 3 3 3 2 2 3 2" xfId="51341" xr:uid="{00000000-0005-0000-0000-00003AD70000}"/>
    <cellStyle name="Normal 9 2 3 3 3 2 2 4" xfId="37779" xr:uid="{00000000-0005-0000-0000-00003BD70000}"/>
    <cellStyle name="Normal 9 2 3 3 3 2 3" xfId="14032" xr:uid="{00000000-0005-0000-0000-00003CD70000}"/>
    <cellStyle name="Normal 9 2 3 3 3 2 3 2" xfId="27600" xr:uid="{00000000-0005-0000-0000-00003DD70000}"/>
    <cellStyle name="Normal 9 2 3 3 3 2 3 2 2" xfId="54733" xr:uid="{00000000-0005-0000-0000-00003ED70000}"/>
    <cellStyle name="Normal 9 2 3 3 3 2 3 3" xfId="41171" xr:uid="{00000000-0005-0000-0000-00003FD70000}"/>
    <cellStyle name="Normal 9 2 3 3 3 2 4" xfId="20819" xr:uid="{00000000-0005-0000-0000-000040D70000}"/>
    <cellStyle name="Normal 9 2 3 3 3 2 4 2" xfId="47952" xr:uid="{00000000-0005-0000-0000-000041D70000}"/>
    <cellStyle name="Normal 9 2 3 3 3 2 5" xfId="34390" xr:uid="{00000000-0005-0000-0000-000042D70000}"/>
    <cellStyle name="Normal 9 2 3 3 3 3" xfId="10631" xr:uid="{00000000-0005-0000-0000-000043D70000}"/>
    <cellStyle name="Normal 9 2 3 3 3 3 2" xfId="17420" xr:uid="{00000000-0005-0000-0000-000044D70000}"/>
    <cellStyle name="Normal 9 2 3 3 3 3 2 2" xfId="30988" xr:uid="{00000000-0005-0000-0000-000045D70000}"/>
    <cellStyle name="Normal 9 2 3 3 3 3 2 2 2" xfId="58121" xr:uid="{00000000-0005-0000-0000-000046D70000}"/>
    <cellStyle name="Normal 9 2 3 3 3 3 2 3" xfId="44559" xr:uid="{00000000-0005-0000-0000-000047D70000}"/>
    <cellStyle name="Normal 9 2 3 3 3 3 3" xfId="24207" xr:uid="{00000000-0005-0000-0000-000048D70000}"/>
    <cellStyle name="Normal 9 2 3 3 3 3 3 2" xfId="51340" xr:uid="{00000000-0005-0000-0000-000049D70000}"/>
    <cellStyle name="Normal 9 2 3 3 3 3 4" xfId="37778" xr:uid="{00000000-0005-0000-0000-00004AD70000}"/>
    <cellStyle name="Normal 9 2 3 3 3 4" xfId="14031" xr:uid="{00000000-0005-0000-0000-00004BD70000}"/>
    <cellStyle name="Normal 9 2 3 3 3 4 2" xfId="27599" xr:uid="{00000000-0005-0000-0000-00004CD70000}"/>
    <cellStyle name="Normal 9 2 3 3 3 4 2 2" xfId="54732" xr:uid="{00000000-0005-0000-0000-00004DD70000}"/>
    <cellStyle name="Normal 9 2 3 3 3 4 3" xfId="41170" xr:uid="{00000000-0005-0000-0000-00004ED70000}"/>
    <cellStyle name="Normal 9 2 3 3 3 5" xfId="20818" xr:uid="{00000000-0005-0000-0000-00004FD70000}"/>
    <cellStyle name="Normal 9 2 3 3 3 5 2" xfId="47951" xr:uid="{00000000-0005-0000-0000-000050D70000}"/>
    <cellStyle name="Normal 9 2 3 3 3 6" xfId="34389" xr:uid="{00000000-0005-0000-0000-000051D70000}"/>
    <cellStyle name="Normal 9 2 3 3 4" xfId="7108" xr:uid="{00000000-0005-0000-0000-000052D70000}"/>
    <cellStyle name="Normal 9 2 3 3 4 2" xfId="10633" xr:uid="{00000000-0005-0000-0000-000053D70000}"/>
    <cellStyle name="Normal 9 2 3 3 4 2 2" xfId="17422" xr:uid="{00000000-0005-0000-0000-000054D70000}"/>
    <cellStyle name="Normal 9 2 3 3 4 2 2 2" xfId="30990" xr:uid="{00000000-0005-0000-0000-000055D70000}"/>
    <cellStyle name="Normal 9 2 3 3 4 2 2 2 2" xfId="58123" xr:uid="{00000000-0005-0000-0000-000056D70000}"/>
    <cellStyle name="Normal 9 2 3 3 4 2 2 3" xfId="44561" xr:uid="{00000000-0005-0000-0000-000057D70000}"/>
    <cellStyle name="Normal 9 2 3 3 4 2 3" xfId="24209" xr:uid="{00000000-0005-0000-0000-000058D70000}"/>
    <cellStyle name="Normal 9 2 3 3 4 2 3 2" xfId="51342" xr:uid="{00000000-0005-0000-0000-000059D70000}"/>
    <cellStyle name="Normal 9 2 3 3 4 2 4" xfId="37780" xr:uid="{00000000-0005-0000-0000-00005AD70000}"/>
    <cellStyle name="Normal 9 2 3 3 4 3" xfId="14033" xr:uid="{00000000-0005-0000-0000-00005BD70000}"/>
    <cellStyle name="Normal 9 2 3 3 4 3 2" xfId="27601" xr:uid="{00000000-0005-0000-0000-00005CD70000}"/>
    <cellStyle name="Normal 9 2 3 3 4 3 2 2" xfId="54734" xr:uid="{00000000-0005-0000-0000-00005DD70000}"/>
    <cellStyle name="Normal 9 2 3 3 4 3 3" xfId="41172" xr:uid="{00000000-0005-0000-0000-00005ED70000}"/>
    <cellStyle name="Normal 9 2 3 3 4 4" xfId="20820" xr:uid="{00000000-0005-0000-0000-00005FD70000}"/>
    <cellStyle name="Normal 9 2 3 3 4 4 2" xfId="47953" xr:uid="{00000000-0005-0000-0000-000060D70000}"/>
    <cellStyle name="Normal 9 2 3 3 4 5" xfId="34391" xr:uid="{00000000-0005-0000-0000-000061D70000}"/>
    <cellStyle name="Normal 9 2 3 3 5" xfId="7109" xr:uid="{00000000-0005-0000-0000-000062D70000}"/>
    <cellStyle name="Normal 9 2 3 3 5 2" xfId="10634" xr:uid="{00000000-0005-0000-0000-000063D70000}"/>
    <cellStyle name="Normal 9 2 3 3 5 2 2" xfId="17423" xr:uid="{00000000-0005-0000-0000-000064D70000}"/>
    <cellStyle name="Normal 9 2 3 3 5 2 2 2" xfId="30991" xr:uid="{00000000-0005-0000-0000-000065D70000}"/>
    <cellStyle name="Normal 9 2 3 3 5 2 2 2 2" xfId="58124" xr:uid="{00000000-0005-0000-0000-000066D70000}"/>
    <cellStyle name="Normal 9 2 3 3 5 2 2 3" xfId="44562" xr:uid="{00000000-0005-0000-0000-000067D70000}"/>
    <cellStyle name="Normal 9 2 3 3 5 2 3" xfId="24210" xr:uid="{00000000-0005-0000-0000-000068D70000}"/>
    <cellStyle name="Normal 9 2 3 3 5 2 3 2" xfId="51343" xr:uid="{00000000-0005-0000-0000-000069D70000}"/>
    <cellStyle name="Normal 9 2 3 3 5 2 4" xfId="37781" xr:uid="{00000000-0005-0000-0000-00006AD70000}"/>
    <cellStyle name="Normal 9 2 3 3 5 3" xfId="14034" xr:uid="{00000000-0005-0000-0000-00006BD70000}"/>
    <cellStyle name="Normal 9 2 3 3 5 3 2" xfId="27602" xr:uid="{00000000-0005-0000-0000-00006CD70000}"/>
    <cellStyle name="Normal 9 2 3 3 5 3 2 2" xfId="54735" xr:uid="{00000000-0005-0000-0000-00006DD70000}"/>
    <cellStyle name="Normal 9 2 3 3 5 3 3" xfId="41173" xr:uid="{00000000-0005-0000-0000-00006ED70000}"/>
    <cellStyle name="Normal 9 2 3 3 5 4" xfId="20821" xr:uid="{00000000-0005-0000-0000-00006FD70000}"/>
    <cellStyle name="Normal 9 2 3 3 5 4 2" xfId="47954" xr:uid="{00000000-0005-0000-0000-000070D70000}"/>
    <cellStyle name="Normal 9 2 3 3 5 5" xfId="34392" xr:uid="{00000000-0005-0000-0000-000071D70000}"/>
    <cellStyle name="Normal 9 2 3 3 6" xfId="10627" xr:uid="{00000000-0005-0000-0000-000072D70000}"/>
    <cellStyle name="Normal 9 2 3 3 6 2" xfId="17416" xr:uid="{00000000-0005-0000-0000-000073D70000}"/>
    <cellStyle name="Normal 9 2 3 3 6 2 2" xfId="30984" xr:uid="{00000000-0005-0000-0000-000074D70000}"/>
    <cellStyle name="Normal 9 2 3 3 6 2 2 2" xfId="58117" xr:uid="{00000000-0005-0000-0000-000075D70000}"/>
    <cellStyle name="Normal 9 2 3 3 6 2 3" xfId="44555" xr:uid="{00000000-0005-0000-0000-000076D70000}"/>
    <cellStyle name="Normal 9 2 3 3 6 3" xfId="24203" xr:uid="{00000000-0005-0000-0000-000077D70000}"/>
    <cellStyle name="Normal 9 2 3 3 6 3 2" xfId="51336" xr:uid="{00000000-0005-0000-0000-000078D70000}"/>
    <cellStyle name="Normal 9 2 3 3 6 4" xfId="37774" xr:uid="{00000000-0005-0000-0000-000079D70000}"/>
    <cellStyle name="Normal 9 2 3 3 7" xfId="14027" xr:uid="{00000000-0005-0000-0000-00007AD70000}"/>
    <cellStyle name="Normal 9 2 3 3 7 2" xfId="27595" xr:uid="{00000000-0005-0000-0000-00007BD70000}"/>
    <cellStyle name="Normal 9 2 3 3 7 2 2" xfId="54728" xr:uid="{00000000-0005-0000-0000-00007CD70000}"/>
    <cellStyle name="Normal 9 2 3 3 7 3" xfId="41166" xr:uid="{00000000-0005-0000-0000-00007DD70000}"/>
    <cellStyle name="Normal 9 2 3 3 8" xfId="20814" xr:uid="{00000000-0005-0000-0000-00007ED70000}"/>
    <cellStyle name="Normal 9 2 3 3 8 2" xfId="47947" xr:uid="{00000000-0005-0000-0000-00007FD70000}"/>
    <cellStyle name="Normal 9 2 3 3 9" xfId="34385" xr:uid="{00000000-0005-0000-0000-000080D70000}"/>
    <cellStyle name="Normal 9 2 3 4" xfId="7110" xr:uid="{00000000-0005-0000-0000-000081D70000}"/>
    <cellStyle name="Normal 9 2 3 4 2" xfId="7111" xr:uid="{00000000-0005-0000-0000-000082D70000}"/>
    <cellStyle name="Normal 9 2 3 4 2 2" xfId="7112" xr:uid="{00000000-0005-0000-0000-000083D70000}"/>
    <cellStyle name="Normal 9 2 3 4 2 2 2" xfId="10637" xr:uid="{00000000-0005-0000-0000-000084D70000}"/>
    <cellStyle name="Normal 9 2 3 4 2 2 2 2" xfId="17426" xr:uid="{00000000-0005-0000-0000-000085D70000}"/>
    <cellStyle name="Normal 9 2 3 4 2 2 2 2 2" xfId="30994" xr:uid="{00000000-0005-0000-0000-000086D70000}"/>
    <cellStyle name="Normal 9 2 3 4 2 2 2 2 2 2" xfId="58127" xr:uid="{00000000-0005-0000-0000-000087D70000}"/>
    <cellStyle name="Normal 9 2 3 4 2 2 2 2 3" xfId="44565" xr:uid="{00000000-0005-0000-0000-000088D70000}"/>
    <cellStyle name="Normal 9 2 3 4 2 2 2 3" xfId="24213" xr:uid="{00000000-0005-0000-0000-000089D70000}"/>
    <cellStyle name="Normal 9 2 3 4 2 2 2 3 2" xfId="51346" xr:uid="{00000000-0005-0000-0000-00008AD70000}"/>
    <cellStyle name="Normal 9 2 3 4 2 2 2 4" xfId="37784" xr:uid="{00000000-0005-0000-0000-00008BD70000}"/>
    <cellStyle name="Normal 9 2 3 4 2 2 3" xfId="14037" xr:uid="{00000000-0005-0000-0000-00008CD70000}"/>
    <cellStyle name="Normal 9 2 3 4 2 2 3 2" xfId="27605" xr:uid="{00000000-0005-0000-0000-00008DD70000}"/>
    <cellStyle name="Normal 9 2 3 4 2 2 3 2 2" xfId="54738" xr:uid="{00000000-0005-0000-0000-00008ED70000}"/>
    <cellStyle name="Normal 9 2 3 4 2 2 3 3" xfId="41176" xr:uid="{00000000-0005-0000-0000-00008FD70000}"/>
    <cellStyle name="Normal 9 2 3 4 2 2 4" xfId="20824" xr:uid="{00000000-0005-0000-0000-000090D70000}"/>
    <cellStyle name="Normal 9 2 3 4 2 2 4 2" xfId="47957" xr:uid="{00000000-0005-0000-0000-000091D70000}"/>
    <cellStyle name="Normal 9 2 3 4 2 2 5" xfId="34395" xr:uid="{00000000-0005-0000-0000-000092D70000}"/>
    <cellStyle name="Normal 9 2 3 4 2 3" xfId="7113" xr:uid="{00000000-0005-0000-0000-000093D70000}"/>
    <cellStyle name="Normal 9 2 3 4 2 3 2" xfId="10638" xr:uid="{00000000-0005-0000-0000-000094D70000}"/>
    <cellStyle name="Normal 9 2 3 4 2 3 2 2" xfId="17427" xr:uid="{00000000-0005-0000-0000-000095D70000}"/>
    <cellStyle name="Normal 9 2 3 4 2 3 2 2 2" xfId="30995" xr:uid="{00000000-0005-0000-0000-000096D70000}"/>
    <cellStyle name="Normal 9 2 3 4 2 3 2 2 2 2" xfId="58128" xr:uid="{00000000-0005-0000-0000-000097D70000}"/>
    <cellStyle name="Normal 9 2 3 4 2 3 2 2 3" xfId="44566" xr:uid="{00000000-0005-0000-0000-000098D70000}"/>
    <cellStyle name="Normal 9 2 3 4 2 3 2 3" xfId="24214" xr:uid="{00000000-0005-0000-0000-000099D70000}"/>
    <cellStyle name="Normal 9 2 3 4 2 3 2 3 2" xfId="51347" xr:uid="{00000000-0005-0000-0000-00009AD70000}"/>
    <cellStyle name="Normal 9 2 3 4 2 3 2 4" xfId="37785" xr:uid="{00000000-0005-0000-0000-00009BD70000}"/>
    <cellStyle name="Normal 9 2 3 4 2 3 3" xfId="14038" xr:uid="{00000000-0005-0000-0000-00009CD70000}"/>
    <cellStyle name="Normal 9 2 3 4 2 3 3 2" xfId="27606" xr:uid="{00000000-0005-0000-0000-00009DD70000}"/>
    <cellStyle name="Normal 9 2 3 4 2 3 3 2 2" xfId="54739" xr:uid="{00000000-0005-0000-0000-00009ED70000}"/>
    <cellStyle name="Normal 9 2 3 4 2 3 3 3" xfId="41177" xr:uid="{00000000-0005-0000-0000-00009FD70000}"/>
    <cellStyle name="Normal 9 2 3 4 2 3 4" xfId="20825" xr:uid="{00000000-0005-0000-0000-0000A0D70000}"/>
    <cellStyle name="Normal 9 2 3 4 2 3 4 2" xfId="47958" xr:uid="{00000000-0005-0000-0000-0000A1D70000}"/>
    <cellStyle name="Normal 9 2 3 4 2 3 5" xfId="34396" xr:uid="{00000000-0005-0000-0000-0000A2D70000}"/>
    <cellStyle name="Normal 9 2 3 4 2 4" xfId="10636" xr:uid="{00000000-0005-0000-0000-0000A3D70000}"/>
    <cellStyle name="Normal 9 2 3 4 2 4 2" xfId="17425" xr:uid="{00000000-0005-0000-0000-0000A4D70000}"/>
    <cellStyle name="Normal 9 2 3 4 2 4 2 2" xfId="30993" xr:uid="{00000000-0005-0000-0000-0000A5D70000}"/>
    <cellStyle name="Normal 9 2 3 4 2 4 2 2 2" xfId="58126" xr:uid="{00000000-0005-0000-0000-0000A6D70000}"/>
    <cellStyle name="Normal 9 2 3 4 2 4 2 3" xfId="44564" xr:uid="{00000000-0005-0000-0000-0000A7D70000}"/>
    <cellStyle name="Normal 9 2 3 4 2 4 3" xfId="24212" xr:uid="{00000000-0005-0000-0000-0000A8D70000}"/>
    <cellStyle name="Normal 9 2 3 4 2 4 3 2" xfId="51345" xr:uid="{00000000-0005-0000-0000-0000A9D70000}"/>
    <cellStyle name="Normal 9 2 3 4 2 4 4" xfId="37783" xr:uid="{00000000-0005-0000-0000-0000AAD70000}"/>
    <cellStyle name="Normal 9 2 3 4 2 5" xfId="14036" xr:uid="{00000000-0005-0000-0000-0000ABD70000}"/>
    <cellStyle name="Normal 9 2 3 4 2 5 2" xfId="27604" xr:uid="{00000000-0005-0000-0000-0000ACD70000}"/>
    <cellStyle name="Normal 9 2 3 4 2 5 2 2" xfId="54737" xr:uid="{00000000-0005-0000-0000-0000ADD70000}"/>
    <cellStyle name="Normal 9 2 3 4 2 5 3" xfId="41175" xr:uid="{00000000-0005-0000-0000-0000AED70000}"/>
    <cellStyle name="Normal 9 2 3 4 2 6" xfId="20823" xr:uid="{00000000-0005-0000-0000-0000AFD70000}"/>
    <cellStyle name="Normal 9 2 3 4 2 6 2" xfId="47956" xr:uid="{00000000-0005-0000-0000-0000B0D70000}"/>
    <cellStyle name="Normal 9 2 3 4 2 7" xfId="34394" xr:uid="{00000000-0005-0000-0000-0000B1D70000}"/>
    <cellStyle name="Normal 9 2 3 4 3" xfId="7114" xr:uid="{00000000-0005-0000-0000-0000B2D70000}"/>
    <cellStyle name="Normal 9 2 3 4 3 2" xfId="10639" xr:uid="{00000000-0005-0000-0000-0000B3D70000}"/>
    <cellStyle name="Normal 9 2 3 4 3 2 2" xfId="17428" xr:uid="{00000000-0005-0000-0000-0000B4D70000}"/>
    <cellStyle name="Normal 9 2 3 4 3 2 2 2" xfId="30996" xr:uid="{00000000-0005-0000-0000-0000B5D70000}"/>
    <cellStyle name="Normal 9 2 3 4 3 2 2 2 2" xfId="58129" xr:uid="{00000000-0005-0000-0000-0000B6D70000}"/>
    <cellStyle name="Normal 9 2 3 4 3 2 2 3" xfId="44567" xr:uid="{00000000-0005-0000-0000-0000B7D70000}"/>
    <cellStyle name="Normal 9 2 3 4 3 2 3" xfId="24215" xr:uid="{00000000-0005-0000-0000-0000B8D70000}"/>
    <cellStyle name="Normal 9 2 3 4 3 2 3 2" xfId="51348" xr:uid="{00000000-0005-0000-0000-0000B9D70000}"/>
    <cellStyle name="Normal 9 2 3 4 3 2 4" xfId="37786" xr:uid="{00000000-0005-0000-0000-0000BAD70000}"/>
    <cellStyle name="Normal 9 2 3 4 3 3" xfId="14039" xr:uid="{00000000-0005-0000-0000-0000BBD70000}"/>
    <cellStyle name="Normal 9 2 3 4 3 3 2" xfId="27607" xr:uid="{00000000-0005-0000-0000-0000BCD70000}"/>
    <cellStyle name="Normal 9 2 3 4 3 3 2 2" xfId="54740" xr:uid="{00000000-0005-0000-0000-0000BDD70000}"/>
    <cellStyle name="Normal 9 2 3 4 3 3 3" xfId="41178" xr:uid="{00000000-0005-0000-0000-0000BED70000}"/>
    <cellStyle name="Normal 9 2 3 4 3 4" xfId="20826" xr:uid="{00000000-0005-0000-0000-0000BFD70000}"/>
    <cellStyle name="Normal 9 2 3 4 3 4 2" xfId="47959" xr:uid="{00000000-0005-0000-0000-0000C0D70000}"/>
    <cellStyle name="Normal 9 2 3 4 3 5" xfId="34397" xr:uid="{00000000-0005-0000-0000-0000C1D70000}"/>
    <cellStyle name="Normal 9 2 3 4 4" xfId="7115" xr:uid="{00000000-0005-0000-0000-0000C2D70000}"/>
    <cellStyle name="Normal 9 2 3 4 4 2" xfId="10640" xr:uid="{00000000-0005-0000-0000-0000C3D70000}"/>
    <cellStyle name="Normal 9 2 3 4 4 2 2" xfId="17429" xr:uid="{00000000-0005-0000-0000-0000C4D70000}"/>
    <cellStyle name="Normal 9 2 3 4 4 2 2 2" xfId="30997" xr:uid="{00000000-0005-0000-0000-0000C5D70000}"/>
    <cellStyle name="Normal 9 2 3 4 4 2 2 2 2" xfId="58130" xr:uid="{00000000-0005-0000-0000-0000C6D70000}"/>
    <cellStyle name="Normal 9 2 3 4 4 2 2 3" xfId="44568" xr:uid="{00000000-0005-0000-0000-0000C7D70000}"/>
    <cellStyle name="Normal 9 2 3 4 4 2 3" xfId="24216" xr:uid="{00000000-0005-0000-0000-0000C8D70000}"/>
    <cellStyle name="Normal 9 2 3 4 4 2 3 2" xfId="51349" xr:uid="{00000000-0005-0000-0000-0000C9D70000}"/>
    <cellStyle name="Normal 9 2 3 4 4 2 4" xfId="37787" xr:uid="{00000000-0005-0000-0000-0000CAD70000}"/>
    <cellStyle name="Normal 9 2 3 4 4 3" xfId="14040" xr:uid="{00000000-0005-0000-0000-0000CBD70000}"/>
    <cellStyle name="Normal 9 2 3 4 4 3 2" xfId="27608" xr:uid="{00000000-0005-0000-0000-0000CCD70000}"/>
    <cellStyle name="Normal 9 2 3 4 4 3 2 2" xfId="54741" xr:uid="{00000000-0005-0000-0000-0000CDD70000}"/>
    <cellStyle name="Normal 9 2 3 4 4 3 3" xfId="41179" xr:uid="{00000000-0005-0000-0000-0000CED70000}"/>
    <cellStyle name="Normal 9 2 3 4 4 4" xfId="20827" xr:uid="{00000000-0005-0000-0000-0000CFD70000}"/>
    <cellStyle name="Normal 9 2 3 4 4 4 2" xfId="47960" xr:uid="{00000000-0005-0000-0000-0000D0D70000}"/>
    <cellStyle name="Normal 9 2 3 4 4 5" xfId="34398" xr:uid="{00000000-0005-0000-0000-0000D1D70000}"/>
    <cellStyle name="Normal 9 2 3 4 5" xfId="10635" xr:uid="{00000000-0005-0000-0000-0000D2D70000}"/>
    <cellStyle name="Normal 9 2 3 4 5 2" xfId="17424" xr:uid="{00000000-0005-0000-0000-0000D3D70000}"/>
    <cellStyle name="Normal 9 2 3 4 5 2 2" xfId="30992" xr:uid="{00000000-0005-0000-0000-0000D4D70000}"/>
    <cellStyle name="Normal 9 2 3 4 5 2 2 2" xfId="58125" xr:uid="{00000000-0005-0000-0000-0000D5D70000}"/>
    <cellStyle name="Normal 9 2 3 4 5 2 3" xfId="44563" xr:uid="{00000000-0005-0000-0000-0000D6D70000}"/>
    <cellStyle name="Normal 9 2 3 4 5 3" xfId="24211" xr:uid="{00000000-0005-0000-0000-0000D7D70000}"/>
    <cellStyle name="Normal 9 2 3 4 5 3 2" xfId="51344" xr:uid="{00000000-0005-0000-0000-0000D8D70000}"/>
    <cellStyle name="Normal 9 2 3 4 5 4" xfId="37782" xr:uid="{00000000-0005-0000-0000-0000D9D70000}"/>
    <cellStyle name="Normal 9 2 3 4 6" xfId="14035" xr:uid="{00000000-0005-0000-0000-0000DAD70000}"/>
    <cellStyle name="Normal 9 2 3 4 6 2" xfId="27603" xr:uid="{00000000-0005-0000-0000-0000DBD70000}"/>
    <cellStyle name="Normal 9 2 3 4 6 2 2" xfId="54736" xr:uid="{00000000-0005-0000-0000-0000DCD70000}"/>
    <cellStyle name="Normal 9 2 3 4 6 3" xfId="41174" xr:uid="{00000000-0005-0000-0000-0000DDD70000}"/>
    <cellStyle name="Normal 9 2 3 4 7" xfId="20822" xr:uid="{00000000-0005-0000-0000-0000DED70000}"/>
    <cellStyle name="Normal 9 2 3 4 7 2" xfId="47955" xr:uid="{00000000-0005-0000-0000-0000DFD70000}"/>
    <cellStyle name="Normal 9 2 3 4 8" xfId="34393" xr:uid="{00000000-0005-0000-0000-0000E0D70000}"/>
    <cellStyle name="Normal 9 2 3 5" xfId="7116" xr:uid="{00000000-0005-0000-0000-0000E1D70000}"/>
    <cellStyle name="Normal 9 2 3 5 2" xfId="7117" xr:uid="{00000000-0005-0000-0000-0000E2D70000}"/>
    <cellStyle name="Normal 9 2 3 5 2 2" xfId="7118" xr:uid="{00000000-0005-0000-0000-0000E3D70000}"/>
    <cellStyle name="Normal 9 2 3 5 2 2 2" xfId="10643" xr:uid="{00000000-0005-0000-0000-0000E4D70000}"/>
    <cellStyle name="Normal 9 2 3 5 2 2 2 2" xfId="17432" xr:uid="{00000000-0005-0000-0000-0000E5D70000}"/>
    <cellStyle name="Normal 9 2 3 5 2 2 2 2 2" xfId="31000" xr:uid="{00000000-0005-0000-0000-0000E6D70000}"/>
    <cellStyle name="Normal 9 2 3 5 2 2 2 2 2 2" xfId="58133" xr:uid="{00000000-0005-0000-0000-0000E7D70000}"/>
    <cellStyle name="Normal 9 2 3 5 2 2 2 2 3" xfId="44571" xr:uid="{00000000-0005-0000-0000-0000E8D70000}"/>
    <cellStyle name="Normal 9 2 3 5 2 2 2 3" xfId="24219" xr:uid="{00000000-0005-0000-0000-0000E9D70000}"/>
    <cellStyle name="Normal 9 2 3 5 2 2 2 3 2" xfId="51352" xr:uid="{00000000-0005-0000-0000-0000EAD70000}"/>
    <cellStyle name="Normal 9 2 3 5 2 2 2 4" xfId="37790" xr:uid="{00000000-0005-0000-0000-0000EBD70000}"/>
    <cellStyle name="Normal 9 2 3 5 2 2 3" xfId="14043" xr:uid="{00000000-0005-0000-0000-0000ECD70000}"/>
    <cellStyle name="Normal 9 2 3 5 2 2 3 2" xfId="27611" xr:uid="{00000000-0005-0000-0000-0000EDD70000}"/>
    <cellStyle name="Normal 9 2 3 5 2 2 3 2 2" xfId="54744" xr:uid="{00000000-0005-0000-0000-0000EED70000}"/>
    <cellStyle name="Normal 9 2 3 5 2 2 3 3" xfId="41182" xr:uid="{00000000-0005-0000-0000-0000EFD70000}"/>
    <cellStyle name="Normal 9 2 3 5 2 2 4" xfId="20830" xr:uid="{00000000-0005-0000-0000-0000F0D70000}"/>
    <cellStyle name="Normal 9 2 3 5 2 2 4 2" xfId="47963" xr:uid="{00000000-0005-0000-0000-0000F1D70000}"/>
    <cellStyle name="Normal 9 2 3 5 2 2 5" xfId="34401" xr:uid="{00000000-0005-0000-0000-0000F2D70000}"/>
    <cellStyle name="Normal 9 2 3 5 2 3" xfId="7119" xr:uid="{00000000-0005-0000-0000-0000F3D70000}"/>
    <cellStyle name="Normal 9 2 3 5 2 3 2" xfId="10644" xr:uid="{00000000-0005-0000-0000-0000F4D70000}"/>
    <cellStyle name="Normal 9 2 3 5 2 3 2 2" xfId="17433" xr:uid="{00000000-0005-0000-0000-0000F5D70000}"/>
    <cellStyle name="Normal 9 2 3 5 2 3 2 2 2" xfId="31001" xr:uid="{00000000-0005-0000-0000-0000F6D70000}"/>
    <cellStyle name="Normal 9 2 3 5 2 3 2 2 2 2" xfId="58134" xr:uid="{00000000-0005-0000-0000-0000F7D70000}"/>
    <cellStyle name="Normal 9 2 3 5 2 3 2 2 3" xfId="44572" xr:uid="{00000000-0005-0000-0000-0000F8D70000}"/>
    <cellStyle name="Normal 9 2 3 5 2 3 2 3" xfId="24220" xr:uid="{00000000-0005-0000-0000-0000F9D70000}"/>
    <cellStyle name="Normal 9 2 3 5 2 3 2 3 2" xfId="51353" xr:uid="{00000000-0005-0000-0000-0000FAD70000}"/>
    <cellStyle name="Normal 9 2 3 5 2 3 2 4" xfId="37791" xr:uid="{00000000-0005-0000-0000-0000FBD70000}"/>
    <cellStyle name="Normal 9 2 3 5 2 3 3" xfId="14044" xr:uid="{00000000-0005-0000-0000-0000FCD70000}"/>
    <cellStyle name="Normal 9 2 3 5 2 3 3 2" xfId="27612" xr:uid="{00000000-0005-0000-0000-0000FDD70000}"/>
    <cellStyle name="Normal 9 2 3 5 2 3 3 2 2" xfId="54745" xr:uid="{00000000-0005-0000-0000-0000FED70000}"/>
    <cellStyle name="Normal 9 2 3 5 2 3 3 3" xfId="41183" xr:uid="{00000000-0005-0000-0000-0000FFD70000}"/>
    <cellStyle name="Normal 9 2 3 5 2 3 4" xfId="20831" xr:uid="{00000000-0005-0000-0000-000000D80000}"/>
    <cellStyle name="Normal 9 2 3 5 2 3 4 2" xfId="47964" xr:uid="{00000000-0005-0000-0000-000001D80000}"/>
    <cellStyle name="Normal 9 2 3 5 2 3 5" xfId="34402" xr:uid="{00000000-0005-0000-0000-000002D80000}"/>
    <cellStyle name="Normal 9 2 3 5 2 4" xfId="10642" xr:uid="{00000000-0005-0000-0000-000003D80000}"/>
    <cellStyle name="Normal 9 2 3 5 2 4 2" xfId="17431" xr:uid="{00000000-0005-0000-0000-000004D80000}"/>
    <cellStyle name="Normal 9 2 3 5 2 4 2 2" xfId="30999" xr:uid="{00000000-0005-0000-0000-000005D80000}"/>
    <cellStyle name="Normal 9 2 3 5 2 4 2 2 2" xfId="58132" xr:uid="{00000000-0005-0000-0000-000006D80000}"/>
    <cellStyle name="Normal 9 2 3 5 2 4 2 3" xfId="44570" xr:uid="{00000000-0005-0000-0000-000007D80000}"/>
    <cellStyle name="Normal 9 2 3 5 2 4 3" xfId="24218" xr:uid="{00000000-0005-0000-0000-000008D80000}"/>
    <cellStyle name="Normal 9 2 3 5 2 4 3 2" xfId="51351" xr:uid="{00000000-0005-0000-0000-000009D80000}"/>
    <cellStyle name="Normal 9 2 3 5 2 4 4" xfId="37789" xr:uid="{00000000-0005-0000-0000-00000AD80000}"/>
    <cellStyle name="Normal 9 2 3 5 2 5" xfId="14042" xr:uid="{00000000-0005-0000-0000-00000BD80000}"/>
    <cellStyle name="Normal 9 2 3 5 2 5 2" xfId="27610" xr:uid="{00000000-0005-0000-0000-00000CD80000}"/>
    <cellStyle name="Normal 9 2 3 5 2 5 2 2" xfId="54743" xr:uid="{00000000-0005-0000-0000-00000DD80000}"/>
    <cellStyle name="Normal 9 2 3 5 2 5 3" xfId="41181" xr:uid="{00000000-0005-0000-0000-00000ED80000}"/>
    <cellStyle name="Normal 9 2 3 5 2 6" xfId="20829" xr:uid="{00000000-0005-0000-0000-00000FD80000}"/>
    <cellStyle name="Normal 9 2 3 5 2 6 2" xfId="47962" xr:uid="{00000000-0005-0000-0000-000010D80000}"/>
    <cellStyle name="Normal 9 2 3 5 2 7" xfId="34400" xr:uid="{00000000-0005-0000-0000-000011D80000}"/>
    <cellStyle name="Normal 9 2 3 5 3" xfId="7120" xr:uid="{00000000-0005-0000-0000-000012D80000}"/>
    <cellStyle name="Normal 9 2 3 5 3 2" xfId="10645" xr:uid="{00000000-0005-0000-0000-000013D80000}"/>
    <cellStyle name="Normal 9 2 3 5 3 2 2" xfId="17434" xr:uid="{00000000-0005-0000-0000-000014D80000}"/>
    <cellStyle name="Normal 9 2 3 5 3 2 2 2" xfId="31002" xr:uid="{00000000-0005-0000-0000-000015D80000}"/>
    <cellStyle name="Normal 9 2 3 5 3 2 2 2 2" xfId="58135" xr:uid="{00000000-0005-0000-0000-000016D80000}"/>
    <cellStyle name="Normal 9 2 3 5 3 2 2 3" xfId="44573" xr:uid="{00000000-0005-0000-0000-000017D80000}"/>
    <cellStyle name="Normal 9 2 3 5 3 2 3" xfId="24221" xr:uid="{00000000-0005-0000-0000-000018D80000}"/>
    <cellStyle name="Normal 9 2 3 5 3 2 3 2" xfId="51354" xr:uid="{00000000-0005-0000-0000-000019D80000}"/>
    <cellStyle name="Normal 9 2 3 5 3 2 4" xfId="37792" xr:uid="{00000000-0005-0000-0000-00001AD80000}"/>
    <cellStyle name="Normal 9 2 3 5 3 3" xfId="14045" xr:uid="{00000000-0005-0000-0000-00001BD80000}"/>
    <cellStyle name="Normal 9 2 3 5 3 3 2" xfId="27613" xr:uid="{00000000-0005-0000-0000-00001CD80000}"/>
    <cellStyle name="Normal 9 2 3 5 3 3 2 2" xfId="54746" xr:uid="{00000000-0005-0000-0000-00001DD80000}"/>
    <cellStyle name="Normal 9 2 3 5 3 3 3" xfId="41184" xr:uid="{00000000-0005-0000-0000-00001ED80000}"/>
    <cellStyle name="Normal 9 2 3 5 3 4" xfId="20832" xr:uid="{00000000-0005-0000-0000-00001FD80000}"/>
    <cellStyle name="Normal 9 2 3 5 3 4 2" xfId="47965" xr:uid="{00000000-0005-0000-0000-000020D80000}"/>
    <cellStyle name="Normal 9 2 3 5 3 5" xfId="34403" xr:uid="{00000000-0005-0000-0000-000021D80000}"/>
    <cellStyle name="Normal 9 2 3 5 4" xfId="7121" xr:uid="{00000000-0005-0000-0000-000022D80000}"/>
    <cellStyle name="Normal 9 2 3 5 4 2" xfId="10646" xr:uid="{00000000-0005-0000-0000-000023D80000}"/>
    <cellStyle name="Normal 9 2 3 5 4 2 2" xfId="17435" xr:uid="{00000000-0005-0000-0000-000024D80000}"/>
    <cellStyle name="Normal 9 2 3 5 4 2 2 2" xfId="31003" xr:uid="{00000000-0005-0000-0000-000025D80000}"/>
    <cellStyle name="Normal 9 2 3 5 4 2 2 2 2" xfId="58136" xr:uid="{00000000-0005-0000-0000-000026D80000}"/>
    <cellStyle name="Normal 9 2 3 5 4 2 2 3" xfId="44574" xr:uid="{00000000-0005-0000-0000-000027D80000}"/>
    <cellStyle name="Normal 9 2 3 5 4 2 3" xfId="24222" xr:uid="{00000000-0005-0000-0000-000028D80000}"/>
    <cellStyle name="Normal 9 2 3 5 4 2 3 2" xfId="51355" xr:uid="{00000000-0005-0000-0000-000029D80000}"/>
    <cellStyle name="Normal 9 2 3 5 4 2 4" xfId="37793" xr:uid="{00000000-0005-0000-0000-00002AD80000}"/>
    <cellStyle name="Normal 9 2 3 5 4 3" xfId="14046" xr:uid="{00000000-0005-0000-0000-00002BD80000}"/>
    <cellStyle name="Normal 9 2 3 5 4 3 2" xfId="27614" xr:uid="{00000000-0005-0000-0000-00002CD80000}"/>
    <cellStyle name="Normal 9 2 3 5 4 3 2 2" xfId="54747" xr:uid="{00000000-0005-0000-0000-00002DD80000}"/>
    <cellStyle name="Normal 9 2 3 5 4 3 3" xfId="41185" xr:uid="{00000000-0005-0000-0000-00002ED80000}"/>
    <cellStyle name="Normal 9 2 3 5 4 4" xfId="20833" xr:uid="{00000000-0005-0000-0000-00002FD80000}"/>
    <cellStyle name="Normal 9 2 3 5 4 4 2" xfId="47966" xr:uid="{00000000-0005-0000-0000-000030D80000}"/>
    <cellStyle name="Normal 9 2 3 5 4 5" xfId="34404" xr:uid="{00000000-0005-0000-0000-000031D80000}"/>
    <cellStyle name="Normal 9 2 3 5 5" xfId="10641" xr:uid="{00000000-0005-0000-0000-000032D80000}"/>
    <cellStyle name="Normal 9 2 3 5 5 2" xfId="17430" xr:uid="{00000000-0005-0000-0000-000033D80000}"/>
    <cellStyle name="Normal 9 2 3 5 5 2 2" xfId="30998" xr:uid="{00000000-0005-0000-0000-000034D80000}"/>
    <cellStyle name="Normal 9 2 3 5 5 2 2 2" xfId="58131" xr:uid="{00000000-0005-0000-0000-000035D80000}"/>
    <cellStyle name="Normal 9 2 3 5 5 2 3" xfId="44569" xr:uid="{00000000-0005-0000-0000-000036D80000}"/>
    <cellStyle name="Normal 9 2 3 5 5 3" xfId="24217" xr:uid="{00000000-0005-0000-0000-000037D80000}"/>
    <cellStyle name="Normal 9 2 3 5 5 3 2" xfId="51350" xr:uid="{00000000-0005-0000-0000-000038D80000}"/>
    <cellStyle name="Normal 9 2 3 5 5 4" xfId="37788" xr:uid="{00000000-0005-0000-0000-000039D80000}"/>
    <cellStyle name="Normal 9 2 3 5 6" xfId="14041" xr:uid="{00000000-0005-0000-0000-00003AD80000}"/>
    <cellStyle name="Normal 9 2 3 5 6 2" xfId="27609" xr:uid="{00000000-0005-0000-0000-00003BD80000}"/>
    <cellStyle name="Normal 9 2 3 5 6 2 2" xfId="54742" xr:uid="{00000000-0005-0000-0000-00003CD80000}"/>
    <cellStyle name="Normal 9 2 3 5 6 3" xfId="41180" xr:uid="{00000000-0005-0000-0000-00003DD80000}"/>
    <cellStyle name="Normal 9 2 3 5 7" xfId="20828" xr:uid="{00000000-0005-0000-0000-00003ED80000}"/>
    <cellStyle name="Normal 9 2 3 5 7 2" xfId="47961" xr:uid="{00000000-0005-0000-0000-00003FD80000}"/>
    <cellStyle name="Normal 9 2 3 5 8" xfId="34399" xr:uid="{00000000-0005-0000-0000-000040D80000}"/>
    <cellStyle name="Normal 9 2 3 6" xfId="7122" xr:uid="{00000000-0005-0000-0000-000041D80000}"/>
    <cellStyle name="Normal 9 2 3 6 2" xfId="7123" xr:uid="{00000000-0005-0000-0000-000042D80000}"/>
    <cellStyle name="Normal 9 2 3 6 2 2" xfId="10648" xr:uid="{00000000-0005-0000-0000-000043D80000}"/>
    <cellStyle name="Normal 9 2 3 6 2 2 2" xfId="17437" xr:uid="{00000000-0005-0000-0000-000044D80000}"/>
    <cellStyle name="Normal 9 2 3 6 2 2 2 2" xfId="31005" xr:uid="{00000000-0005-0000-0000-000045D80000}"/>
    <cellStyle name="Normal 9 2 3 6 2 2 2 2 2" xfId="58138" xr:uid="{00000000-0005-0000-0000-000046D80000}"/>
    <cellStyle name="Normal 9 2 3 6 2 2 2 3" xfId="44576" xr:uid="{00000000-0005-0000-0000-000047D80000}"/>
    <cellStyle name="Normal 9 2 3 6 2 2 3" xfId="24224" xr:uid="{00000000-0005-0000-0000-000048D80000}"/>
    <cellStyle name="Normal 9 2 3 6 2 2 3 2" xfId="51357" xr:uid="{00000000-0005-0000-0000-000049D80000}"/>
    <cellStyle name="Normal 9 2 3 6 2 2 4" xfId="37795" xr:uid="{00000000-0005-0000-0000-00004AD80000}"/>
    <cellStyle name="Normal 9 2 3 6 2 3" xfId="14048" xr:uid="{00000000-0005-0000-0000-00004BD80000}"/>
    <cellStyle name="Normal 9 2 3 6 2 3 2" xfId="27616" xr:uid="{00000000-0005-0000-0000-00004CD80000}"/>
    <cellStyle name="Normal 9 2 3 6 2 3 2 2" xfId="54749" xr:uid="{00000000-0005-0000-0000-00004DD80000}"/>
    <cellStyle name="Normal 9 2 3 6 2 3 3" xfId="41187" xr:uid="{00000000-0005-0000-0000-00004ED80000}"/>
    <cellStyle name="Normal 9 2 3 6 2 4" xfId="20835" xr:uid="{00000000-0005-0000-0000-00004FD80000}"/>
    <cellStyle name="Normal 9 2 3 6 2 4 2" xfId="47968" xr:uid="{00000000-0005-0000-0000-000050D80000}"/>
    <cellStyle name="Normal 9 2 3 6 2 5" xfId="34406" xr:uid="{00000000-0005-0000-0000-000051D80000}"/>
    <cellStyle name="Normal 9 2 3 6 3" xfId="7124" xr:uid="{00000000-0005-0000-0000-000052D80000}"/>
    <cellStyle name="Normal 9 2 3 6 3 2" xfId="10649" xr:uid="{00000000-0005-0000-0000-000053D80000}"/>
    <cellStyle name="Normal 9 2 3 6 3 2 2" xfId="17438" xr:uid="{00000000-0005-0000-0000-000054D80000}"/>
    <cellStyle name="Normal 9 2 3 6 3 2 2 2" xfId="31006" xr:uid="{00000000-0005-0000-0000-000055D80000}"/>
    <cellStyle name="Normal 9 2 3 6 3 2 2 2 2" xfId="58139" xr:uid="{00000000-0005-0000-0000-000056D80000}"/>
    <cellStyle name="Normal 9 2 3 6 3 2 2 3" xfId="44577" xr:uid="{00000000-0005-0000-0000-000057D80000}"/>
    <cellStyle name="Normal 9 2 3 6 3 2 3" xfId="24225" xr:uid="{00000000-0005-0000-0000-000058D80000}"/>
    <cellStyle name="Normal 9 2 3 6 3 2 3 2" xfId="51358" xr:uid="{00000000-0005-0000-0000-000059D80000}"/>
    <cellStyle name="Normal 9 2 3 6 3 2 4" xfId="37796" xr:uid="{00000000-0005-0000-0000-00005AD80000}"/>
    <cellStyle name="Normal 9 2 3 6 3 3" xfId="14049" xr:uid="{00000000-0005-0000-0000-00005BD80000}"/>
    <cellStyle name="Normal 9 2 3 6 3 3 2" xfId="27617" xr:uid="{00000000-0005-0000-0000-00005CD80000}"/>
    <cellStyle name="Normal 9 2 3 6 3 3 2 2" xfId="54750" xr:uid="{00000000-0005-0000-0000-00005DD80000}"/>
    <cellStyle name="Normal 9 2 3 6 3 3 3" xfId="41188" xr:uid="{00000000-0005-0000-0000-00005ED80000}"/>
    <cellStyle name="Normal 9 2 3 6 3 4" xfId="20836" xr:uid="{00000000-0005-0000-0000-00005FD80000}"/>
    <cellStyle name="Normal 9 2 3 6 3 4 2" xfId="47969" xr:uid="{00000000-0005-0000-0000-000060D80000}"/>
    <cellStyle name="Normal 9 2 3 6 3 5" xfId="34407" xr:uid="{00000000-0005-0000-0000-000061D80000}"/>
    <cellStyle name="Normal 9 2 3 6 4" xfId="10647" xr:uid="{00000000-0005-0000-0000-000062D80000}"/>
    <cellStyle name="Normal 9 2 3 6 4 2" xfId="17436" xr:uid="{00000000-0005-0000-0000-000063D80000}"/>
    <cellStyle name="Normal 9 2 3 6 4 2 2" xfId="31004" xr:uid="{00000000-0005-0000-0000-000064D80000}"/>
    <cellStyle name="Normal 9 2 3 6 4 2 2 2" xfId="58137" xr:uid="{00000000-0005-0000-0000-000065D80000}"/>
    <cellStyle name="Normal 9 2 3 6 4 2 3" xfId="44575" xr:uid="{00000000-0005-0000-0000-000066D80000}"/>
    <cellStyle name="Normal 9 2 3 6 4 3" xfId="24223" xr:uid="{00000000-0005-0000-0000-000067D80000}"/>
    <cellStyle name="Normal 9 2 3 6 4 3 2" xfId="51356" xr:uid="{00000000-0005-0000-0000-000068D80000}"/>
    <cellStyle name="Normal 9 2 3 6 4 4" xfId="37794" xr:uid="{00000000-0005-0000-0000-000069D80000}"/>
    <cellStyle name="Normal 9 2 3 6 5" xfId="14047" xr:uid="{00000000-0005-0000-0000-00006AD80000}"/>
    <cellStyle name="Normal 9 2 3 6 5 2" xfId="27615" xr:uid="{00000000-0005-0000-0000-00006BD80000}"/>
    <cellStyle name="Normal 9 2 3 6 5 2 2" xfId="54748" xr:uid="{00000000-0005-0000-0000-00006CD80000}"/>
    <cellStyle name="Normal 9 2 3 6 5 3" xfId="41186" xr:uid="{00000000-0005-0000-0000-00006DD80000}"/>
    <cellStyle name="Normal 9 2 3 6 6" xfId="20834" xr:uid="{00000000-0005-0000-0000-00006ED80000}"/>
    <cellStyle name="Normal 9 2 3 6 6 2" xfId="47967" xr:uid="{00000000-0005-0000-0000-00006FD80000}"/>
    <cellStyle name="Normal 9 2 3 6 7" xfId="34405" xr:uid="{00000000-0005-0000-0000-000070D80000}"/>
    <cellStyle name="Normal 9 2 3 7" xfId="7125" xr:uid="{00000000-0005-0000-0000-000071D80000}"/>
    <cellStyle name="Normal 9 2 3 7 2" xfId="7126" xr:uid="{00000000-0005-0000-0000-000072D80000}"/>
    <cellStyle name="Normal 9 2 3 7 2 2" xfId="10651" xr:uid="{00000000-0005-0000-0000-000073D80000}"/>
    <cellStyle name="Normal 9 2 3 7 2 2 2" xfId="17440" xr:uid="{00000000-0005-0000-0000-000074D80000}"/>
    <cellStyle name="Normal 9 2 3 7 2 2 2 2" xfId="31008" xr:uid="{00000000-0005-0000-0000-000075D80000}"/>
    <cellStyle name="Normal 9 2 3 7 2 2 2 2 2" xfId="58141" xr:uid="{00000000-0005-0000-0000-000076D80000}"/>
    <cellStyle name="Normal 9 2 3 7 2 2 2 3" xfId="44579" xr:uid="{00000000-0005-0000-0000-000077D80000}"/>
    <cellStyle name="Normal 9 2 3 7 2 2 3" xfId="24227" xr:uid="{00000000-0005-0000-0000-000078D80000}"/>
    <cellStyle name="Normal 9 2 3 7 2 2 3 2" xfId="51360" xr:uid="{00000000-0005-0000-0000-000079D80000}"/>
    <cellStyle name="Normal 9 2 3 7 2 2 4" xfId="37798" xr:uid="{00000000-0005-0000-0000-00007AD80000}"/>
    <cellStyle name="Normal 9 2 3 7 2 3" xfId="14051" xr:uid="{00000000-0005-0000-0000-00007BD80000}"/>
    <cellStyle name="Normal 9 2 3 7 2 3 2" xfId="27619" xr:uid="{00000000-0005-0000-0000-00007CD80000}"/>
    <cellStyle name="Normal 9 2 3 7 2 3 2 2" xfId="54752" xr:uid="{00000000-0005-0000-0000-00007DD80000}"/>
    <cellStyle name="Normal 9 2 3 7 2 3 3" xfId="41190" xr:uid="{00000000-0005-0000-0000-00007ED80000}"/>
    <cellStyle name="Normal 9 2 3 7 2 4" xfId="20838" xr:uid="{00000000-0005-0000-0000-00007FD80000}"/>
    <cellStyle name="Normal 9 2 3 7 2 4 2" xfId="47971" xr:uid="{00000000-0005-0000-0000-000080D80000}"/>
    <cellStyle name="Normal 9 2 3 7 2 5" xfId="34409" xr:uid="{00000000-0005-0000-0000-000081D80000}"/>
    <cellStyle name="Normal 9 2 3 7 3" xfId="7127" xr:uid="{00000000-0005-0000-0000-000082D80000}"/>
    <cellStyle name="Normal 9 2 3 7 3 2" xfId="10652" xr:uid="{00000000-0005-0000-0000-000083D80000}"/>
    <cellStyle name="Normal 9 2 3 7 3 2 2" xfId="17441" xr:uid="{00000000-0005-0000-0000-000084D80000}"/>
    <cellStyle name="Normal 9 2 3 7 3 2 2 2" xfId="31009" xr:uid="{00000000-0005-0000-0000-000085D80000}"/>
    <cellStyle name="Normal 9 2 3 7 3 2 2 2 2" xfId="58142" xr:uid="{00000000-0005-0000-0000-000086D80000}"/>
    <cellStyle name="Normal 9 2 3 7 3 2 2 3" xfId="44580" xr:uid="{00000000-0005-0000-0000-000087D80000}"/>
    <cellStyle name="Normal 9 2 3 7 3 2 3" xfId="24228" xr:uid="{00000000-0005-0000-0000-000088D80000}"/>
    <cellStyle name="Normal 9 2 3 7 3 2 3 2" xfId="51361" xr:uid="{00000000-0005-0000-0000-000089D80000}"/>
    <cellStyle name="Normal 9 2 3 7 3 2 4" xfId="37799" xr:uid="{00000000-0005-0000-0000-00008AD80000}"/>
    <cellStyle name="Normal 9 2 3 7 3 3" xfId="14052" xr:uid="{00000000-0005-0000-0000-00008BD80000}"/>
    <cellStyle name="Normal 9 2 3 7 3 3 2" xfId="27620" xr:uid="{00000000-0005-0000-0000-00008CD80000}"/>
    <cellStyle name="Normal 9 2 3 7 3 3 2 2" xfId="54753" xr:uid="{00000000-0005-0000-0000-00008DD80000}"/>
    <cellStyle name="Normal 9 2 3 7 3 3 3" xfId="41191" xr:uid="{00000000-0005-0000-0000-00008ED80000}"/>
    <cellStyle name="Normal 9 2 3 7 3 4" xfId="20839" xr:uid="{00000000-0005-0000-0000-00008FD80000}"/>
    <cellStyle name="Normal 9 2 3 7 3 4 2" xfId="47972" xr:uid="{00000000-0005-0000-0000-000090D80000}"/>
    <cellStyle name="Normal 9 2 3 7 3 5" xfId="34410" xr:uid="{00000000-0005-0000-0000-000091D80000}"/>
    <cellStyle name="Normal 9 2 3 7 4" xfId="10650" xr:uid="{00000000-0005-0000-0000-000092D80000}"/>
    <cellStyle name="Normal 9 2 3 7 4 2" xfId="17439" xr:uid="{00000000-0005-0000-0000-000093D80000}"/>
    <cellStyle name="Normal 9 2 3 7 4 2 2" xfId="31007" xr:uid="{00000000-0005-0000-0000-000094D80000}"/>
    <cellStyle name="Normal 9 2 3 7 4 2 2 2" xfId="58140" xr:uid="{00000000-0005-0000-0000-000095D80000}"/>
    <cellStyle name="Normal 9 2 3 7 4 2 3" xfId="44578" xr:uid="{00000000-0005-0000-0000-000096D80000}"/>
    <cellStyle name="Normal 9 2 3 7 4 3" xfId="24226" xr:uid="{00000000-0005-0000-0000-000097D80000}"/>
    <cellStyle name="Normal 9 2 3 7 4 3 2" xfId="51359" xr:uid="{00000000-0005-0000-0000-000098D80000}"/>
    <cellStyle name="Normal 9 2 3 7 4 4" xfId="37797" xr:uid="{00000000-0005-0000-0000-000099D80000}"/>
    <cellStyle name="Normal 9 2 3 7 5" xfId="14050" xr:uid="{00000000-0005-0000-0000-00009AD80000}"/>
    <cellStyle name="Normal 9 2 3 7 5 2" xfId="27618" xr:uid="{00000000-0005-0000-0000-00009BD80000}"/>
    <cellStyle name="Normal 9 2 3 7 5 2 2" xfId="54751" xr:uid="{00000000-0005-0000-0000-00009CD80000}"/>
    <cellStyle name="Normal 9 2 3 7 5 3" xfId="41189" xr:uid="{00000000-0005-0000-0000-00009DD80000}"/>
    <cellStyle name="Normal 9 2 3 7 6" xfId="20837" xr:uid="{00000000-0005-0000-0000-00009ED80000}"/>
    <cellStyle name="Normal 9 2 3 7 6 2" xfId="47970" xr:uid="{00000000-0005-0000-0000-00009FD80000}"/>
    <cellStyle name="Normal 9 2 3 7 7" xfId="34408" xr:uid="{00000000-0005-0000-0000-0000A0D80000}"/>
    <cellStyle name="Normal 9 2 3 8" xfId="7128" xr:uid="{00000000-0005-0000-0000-0000A1D80000}"/>
    <cellStyle name="Normal 9 2 3 8 2" xfId="10653" xr:uid="{00000000-0005-0000-0000-0000A2D80000}"/>
    <cellStyle name="Normal 9 2 3 8 2 2" xfId="17442" xr:uid="{00000000-0005-0000-0000-0000A3D80000}"/>
    <cellStyle name="Normal 9 2 3 8 2 2 2" xfId="31010" xr:uid="{00000000-0005-0000-0000-0000A4D80000}"/>
    <cellStyle name="Normal 9 2 3 8 2 2 2 2" xfId="58143" xr:uid="{00000000-0005-0000-0000-0000A5D80000}"/>
    <cellStyle name="Normal 9 2 3 8 2 2 3" xfId="44581" xr:uid="{00000000-0005-0000-0000-0000A6D80000}"/>
    <cellStyle name="Normal 9 2 3 8 2 3" xfId="24229" xr:uid="{00000000-0005-0000-0000-0000A7D80000}"/>
    <cellStyle name="Normal 9 2 3 8 2 3 2" xfId="51362" xr:uid="{00000000-0005-0000-0000-0000A8D80000}"/>
    <cellStyle name="Normal 9 2 3 8 2 4" xfId="37800" xr:uid="{00000000-0005-0000-0000-0000A9D80000}"/>
    <cellStyle name="Normal 9 2 3 8 3" xfId="14053" xr:uid="{00000000-0005-0000-0000-0000AAD80000}"/>
    <cellStyle name="Normal 9 2 3 8 3 2" xfId="27621" xr:uid="{00000000-0005-0000-0000-0000ABD80000}"/>
    <cellStyle name="Normal 9 2 3 8 3 2 2" xfId="54754" xr:uid="{00000000-0005-0000-0000-0000ACD80000}"/>
    <cellStyle name="Normal 9 2 3 8 3 3" xfId="41192" xr:uid="{00000000-0005-0000-0000-0000ADD80000}"/>
    <cellStyle name="Normal 9 2 3 8 4" xfId="20840" xr:uid="{00000000-0005-0000-0000-0000AED80000}"/>
    <cellStyle name="Normal 9 2 3 8 4 2" xfId="47973" xr:uid="{00000000-0005-0000-0000-0000AFD80000}"/>
    <cellStyle name="Normal 9 2 3 8 5" xfId="34411" xr:uid="{00000000-0005-0000-0000-0000B0D80000}"/>
    <cellStyle name="Normal 9 2 3 9" xfId="7129" xr:uid="{00000000-0005-0000-0000-0000B1D80000}"/>
    <cellStyle name="Normal 9 2 3 9 2" xfId="10654" xr:uid="{00000000-0005-0000-0000-0000B2D80000}"/>
    <cellStyle name="Normal 9 2 3 9 2 2" xfId="17443" xr:uid="{00000000-0005-0000-0000-0000B3D80000}"/>
    <cellStyle name="Normal 9 2 3 9 2 2 2" xfId="31011" xr:uid="{00000000-0005-0000-0000-0000B4D80000}"/>
    <cellStyle name="Normal 9 2 3 9 2 2 2 2" xfId="58144" xr:uid="{00000000-0005-0000-0000-0000B5D80000}"/>
    <cellStyle name="Normal 9 2 3 9 2 2 3" xfId="44582" xr:uid="{00000000-0005-0000-0000-0000B6D80000}"/>
    <cellStyle name="Normal 9 2 3 9 2 3" xfId="24230" xr:uid="{00000000-0005-0000-0000-0000B7D80000}"/>
    <cellStyle name="Normal 9 2 3 9 2 3 2" xfId="51363" xr:uid="{00000000-0005-0000-0000-0000B8D80000}"/>
    <cellStyle name="Normal 9 2 3 9 2 4" xfId="37801" xr:uid="{00000000-0005-0000-0000-0000B9D80000}"/>
    <cellStyle name="Normal 9 2 3 9 3" xfId="14054" xr:uid="{00000000-0005-0000-0000-0000BAD80000}"/>
    <cellStyle name="Normal 9 2 3 9 3 2" xfId="27622" xr:uid="{00000000-0005-0000-0000-0000BBD80000}"/>
    <cellStyle name="Normal 9 2 3 9 3 2 2" xfId="54755" xr:uid="{00000000-0005-0000-0000-0000BCD80000}"/>
    <cellStyle name="Normal 9 2 3 9 3 3" xfId="41193" xr:uid="{00000000-0005-0000-0000-0000BDD80000}"/>
    <cellStyle name="Normal 9 2 3 9 4" xfId="20841" xr:uid="{00000000-0005-0000-0000-0000BED80000}"/>
    <cellStyle name="Normal 9 2 3 9 4 2" xfId="47974" xr:uid="{00000000-0005-0000-0000-0000BFD80000}"/>
    <cellStyle name="Normal 9 2 3 9 5" xfId="34412" xr:uid="{00000000-0005-0000-0000-0000C0D80000}"/>
    <cellStyle name="Normal 9 2 4" xfId="7130" xr:uid="{00000000-0005-0000-0000-0000C1D80000}"/>
    <cellStyle name="Normal 9 2 4 10" xfId="34413" xr:uid="{00000000-0005-0000-0000-0000C2D80000}"/>
    <cellStyle name="Normal 9 2 4 2" xfId="7131" xr:uid="{00000000-0005-0000-0000-0000C3D80000}"/>
    <cellStyle name="Normal 9 2 4 2 2" xfId="7132" xr:uid="{00000000-0005-0000-0000-0000C4D80000}"/>
    <cellStyle name="Normal 9 2 4 2 2 2" xfId="7133" xr:uid="{00000000-0005-0000-0000-0000C5D80000}"/>
    <cellStyle name="Normal 9 2 4 2 2 2 2" xfId="10658" xr:uid="{00000000-0005-0000-0000-0000C6D80000}"/>
    <cellStyle name="Normal 9 2 4 2 2 2 2 2" xfId="17447" xr:uid="{00000000-0005-0000-0000-0000C7D80000}"/>
    <cellStyle name="Normal 9 2 4 2 2 2 2 2 2" xfId="31015" xr:uid="{00000000-0005-0000-0000-0000C8D80000}"/>
    <cellStyle name="Normal 9 2 4 2 2 2 2 2 2 2" xfId="58148" xr:uid="{00000000-0005-0000-0000-0000C9D80000}"/>
    <cellStyle name="Normal 9 2 4 2 2 2 2 2 3" xfId="44586" xr:uid="{00000000-0005-0000-0000-0000CAD80000}"/>
    <cellStyle name="Normal 9 2 4 2 2 2 2 3" xfId="24234" xr:uid="{00000000-0005-0000-0000-0000CBD80000}"/>
    <cellStyle name="Normal 9 2 4 2 2 2 2 3 2" xfId="51367" xr:uid="{00000000-0005-0000-0000-0000CCD80000}"/>
    <cellStyle name="Normal 9 2 4 2 2 2 2 4" xfId="37805" xr:uid="{00000000-0005-0000-0000-0000CDD80000}"/>
    <cellStyle name="Normal 9 2 4 2 2 2 3" xfId="14058" xr:uid="{00000000-0005-0000-0000-0000CED80000}"/>
    <cellStyle name="Normal 9 2 4 2 2 2 3 2" xfId="27626" xr:uid="{00000000-0005-0000-0000-0000CFD80000}"/>
    <cellStyle name="Normal 9 2 4 2 2 2 3 2 2" xfId="54759" xr:uid="{00000000-0005-0000-0000-0000D0D80000}"/>
    <cellStyle name="Normal 9 2 4 2 2 2 3 3" xfId="41197" xr:uid="{00000000-0005-0000-0000-0000D1D80000}"/>
    <cellStyle name="Normal 9 2 4 2 2 2 4" xfId="20845" xr:uid="{00000000-0005-0000-0000-0000D2D80000}"/>
    <cellStyle name="Normal 9 2 4 2 2 2 4 2" xfId="47978" xr:uid="{00000000-0005-0000-0000-0000D3D80000}"/>
    <cellStyle name="Normal 9 2 4 2 2 2 5" xfId="34416" xr:uid="{00000000-0005-0000-0000-0000D4D80000}"/>
    <cellStyle name="Normal 9 2 4 2 2 3" xfId="7134" xr:uid="{00000000-0005-0000-0000-0000D5D80000}"/>
    <cellStyle name="Normal 9 2 4 2 2 3 2" xfId="10659" xr:uid="{00000000-0005-0000-0000-0000D6D80000}"/>
    <cellStyle name="Normal 9 2 4 2 2 3 2 2" xfId="17448" xr:uid="{00000000-0005-0000-0000-0000D7D80000}"/>
    <cellStyle name="Normal 9 2 4 2 2 3 2 2 2" xfId="31016" xr:uid="{00000000-0005-0000-0000-0000D8D80000}"/>
    <cellStyle name="Normal 9 2 4 2 2 3 2 2 2 2" xfId="58149" xr:uid="{00000000-0005-0000-0000-0000D9D80000}"/>
    <cellStyle name="Normal 9 2 4 2 2 3 2 2 3" xfId="44587" xr:uid="{00000000-0005-0000-0000-0000DAD80000}"/>
    <cellStyle name="Normal 9 2 4 2 2 3 2 3" xfId="24235" xr:uid="{00000000-0005-0000-0000-0000DBD80000}"/>
    <cellStyle name="Normal 9 2 4 2 2 3 2 3 2" xfId="51368" xr:uid="{00000000-0005-0000-0000-0000DCD80000}"/>
    <cellStyle name="Normal 9 2 4 2 2 3 2 4" xfId="37806" xr:uid="{00000000-0005-0000-0000-0000DDD80000}"/>
    <cellStyle name="Normal 9 2 4 2 2 3 3" xfId="14059" xr:uid="{00000000-0005-0000-0000-0000DED80000}"/>
    <cellStyle name="Normal 9 2 4 2 2 3 3 2" xfId="27627" xr:uid="{00000000-0005-0000-0000-0000DFD80000}"/>
    <cellStyle name="Normal 9 2 4 2 2 3 3 2 2" xfId="54760" xr:uid="{00000000-0005-0000-0000-0000E0D80000}"/>
    <cellStyle name="Normal 9 2 4 2 2 3 3 3" xfId="41198" xr:uid="{00000000-0005-0000-0000-0000E1D80000}"/>
    <cellStyle name="Normal 9 2 4 2 2 3 4" xfId="20846" xr:uid="{00000000-0005-0000-0000-0000E2D80000}"/>
    <cellStyle name="Normal 9 2 4 2 2 3 4 2" xfId="47979" xr:uid="{00000000-0005-0000-0000-0000E3D80000}"/>
    <cellStyle name="Normal 9 2 4 2 2 3 5" xfId="34417" xr:uid="{00000000-0005-0000-0000-0000E4D80000}"/>
    <cellStyle name="Normal 9 2 4 2 2 4" xfId="10657" xr:uid="{00000000-0005-0000-0000-0000E5D80000}"/>
    <cellStyle name="Normal 9 2 4 2 2 4 2" xfId="17446" xr:uid="{00000000-0005-0000-0000-0000E6D80000}"/>
    <cellStyle name="Normal 9 2 4 2 2 4 2 2" xfId="31014" xr:uid="{00000000-0005-0000-0000-0000E7D80000}"/>
    <cellStyle name="Normal 9 2 4 2 2 4 2 2 2" xfId="58147" xr:uid="{00000000-0005-0000-0000-0000E8D80000}"/>
    <cellStyle name="Normal 9 2 4 2 2 4 2 3" xfId="44585" xr:uid="{00000000-0005-0000-0000-0000E9D80000}"/>
    <cellStyle name="Normal 9 2 4 2 2 4 3" xfId="24233" xr:uid="{00000000-0005-0000-0000-0000EAD80000}"/>
    <cellStyle name="Normal 9 2 4 2 2 4 3 2" xfId="51366" xr:uid="{00000000-0005-0000-0000-0000EBD80000}"/>
    <cellStyle name="Normal 9 2 4 2 2 4 4" xfId="37804" xr:uid="{00000000-0005-0000-0000-0000ECD80000}"/>
    <cellStyle name="Normal 9 2 4 2 2 5" xfId="14057" xr:uid="{00000000-0005-0000-0000-0000EDD80000}"/>
    <cellStyle name="Normal 9 2 4 2 2 5 2" xfId="27625" xr:uid="{00000000-0005-0000-0000-0000EED80000}"/>
    <cellStyle name="Normal 9 2 4 2 2 5 2 2" xfId="54758" xr:uid="{00000000-0005-0000-0000-0000EFD80000}"/>
    <cellStyle name="Normal 9 2 4 2 2 5 3" xfId="41196" xr:uid="{00000000-0005-0000-0000-0000F0D80000}"/>
    <cellStyle name="Normal 9 2 4 2 2 6" xfId="20844" xr:uid="{00000000-0005-0000-0000-0000F1D80000}"/>
    <cellStyle name="Normal 9 2 4 2 2 6 2" xfId="47977" xr:uid="{00000000-0005-0000-0000-0000F2D80000}"/>
    <cellStyle name="Normal 9 2 4 2 2 7" xfId="34415" xr:uid="{00000000-0005-0000-0000-0000F3D80000}"/>
    <cellStyle name="Normal 9 2 4 2 3" xfId="7135" xr:uid="{00000000-0005-0000-0000-0000F4D80000}"/>
    <cellStyle name="Normal 9 2 4 2 3 2" xfId="7136" xr:uid="{00000000-0005-0000-0000-0000F5D80000}"/>
    <cellStyle name="Normal 9 2 4 2 3 2 2" xfId="10661" xr:uid="{00000000-0005-0000-0000-0000F6D80000}"/>
    <cellStyle name="Normal 9 2 4 2 3 2 2 2" xfId="17450" xr:uid="{00000000-0005-0000-0000-0000F7D80000}"/>
    <cellStyle name="Normal 9 2 4 2 3 2 2 2 2" xfId="31018" xr:uid="{00000000-0005-0000-0000-0000F8D80000}"/>
    <cellStyle name="Normal 9 2 4 2 3 2 2 2 2 2" xfId="58151" xr:uid="{00000000-0005-0000-0000-0000F9D80000}"/>
    <cellStyle name="Normal 9 2 4 2 3 2 2 2 3" xfId="44589" xr:uid="{00000000-0005-0000-0000-0000FAD80000}"/>
    <cellStyle name="Normal 9 2 4 2 3 2 2 3" xfId="24237" xr:uid="{00000000-0005-0000-0000-0000FBD80000}"/>
    <cellStyle name="Normal 9 2 4 2 3 2 2 3 2" xfId="51370" xr:uid="{00000000-0005-0000-0000-0000FCD80000}"/>
    <cellStyle name="Normal 9 2 4 2 3 2 2 4" xfId="37808" xr:uid="{00000000-0005-0000-0000-0000FDD80000}"/>
    <cellStyle name="Normal 9 2 4 2 3 2 3" xfId="14061" xr:uid="{00000000-0005-0000-0000-0000FED80000}"/>
    <cellStyle name="Normal 9 2 4 2 3 2 3 2" xfId="27629" xr:uid="{00000000-0005-0000-0000-0000FFD80000}"/>
    <cellStyle name="Normal 9 2 4 2 3 2 3 2 2" xfId="54762" xr:uid="{00000000-0005-0000-0000-000000D90000}"/>
    <cellStyle name="Normal 9 2 4 2 3 2 3 3" xfId="41200" xr:uid="{00000000-0005-0000-0000-000001D90000}"/>
    <cellStyle name="Normal 9 2 4 2 3 2 4" xfId="20848" xr:uid="{00000000-0005-0000-0000-000002D90000}"/>
    <cellStyle name="Normal 9 2 4 2 3 2 4 2" xfId="47981" xr:uid="{00000000-0005-0000-0000-000003D90000}"/>
    <cellStyle name="Normal 9 2 4 2 3 2 5" xfId="34419" xr:uid="{00000000-0005-0000-0000-000004D90000}"/>
    <cellStyle name="Normal 9 2 4 2 3 3" xfId="10660" xr:uid="{00000000-0005-0000-0000-000005D90000}"/>
    <cellStyle name="Normal 9 2 4 2 3 3 2" xfId="17449" xr:uid="{00000000-0005-0000-0000-000006D90000}"/>
    <cellStyle name="Normal 9 2 4 2 3 3 2 2" xfId="31017" xr:uid="{00000000-0005-0000-0000-000007D90000}"/>
    <cellStyle name="Normal 9 2 4 2 3 3 2 2 2" xfId="58150" xr:uid="{00000000-0005-0000-0000-000008D90000}"/>
    <cellStyle name="Normal 9 2 4 2 3 3 2 3" xfId="44588" xr:uid="{00000000-0005-0000-0000-000009D90000}"/>
    <cellStyle name="Normal 9 2 4 2 3 3 3" xfId="24236" xr:uid="{00000000-0005-0000-0000-00000AD90000}"/>
    <cellStyle name="Normal 9 2 4 2 3 3 3 2" xfId="51369" xr:uid="{00000000-0005-0000-0000-00000BD90000}"/>
    <cellStyle name="Normal 9 2 4 2 3 3 4" xfId="37807" xr:uid="{00000000-0005-0000-0000-00000CD90000}"/>
    <cellStyle name="Normal 9 2 4 2 3 4" xfId="14060" xr:uid="{00000000-0005-0000-0000-00000DD90000}"/>
    <cellStyle name="Normal 9 2 4 2 3 4 2" xfId="27628" xr:uid="{00000000-0005-0000-0000-00000ED90000}"/>
    <cellStyle name="Normal 9 2 4 2 3 4 2 2" xfId="54761" xr:uid="{00000000-0005-0000-0000-00000FD90000}"/>
    <cellStyle name="Normal 9 2 4 2 3 4 3" xfId="41199" xr:uid="{00000000-0005-0000-0000-000010D90000}"/>
    <cellStyle name="Normal 9 2 4 2 3 5" xfId="20847" xr:uid="{00000000-0005-0000-0000-000011D90000}"/>
    <cellStyle name="Normal 9 2 4 2 3 5 2" xfId="47980" xr:uid="{00000000-0005-0000-0000-000012D90000}"/>
    <cellStyle name="Normal 9 2 4 2 3 6" xfId="34418" xr:uid="{00000000-0005-0000-0000-000013D90000}"/>
    <cellStyle name="Normal 9 2 4 2 4" xfId="7137" xr:uid="{00000000-0005-0000-0000-000014D90000}"/>
    <cellStyle name="Normal 9 2 4 2 4 2" xfId="10662" xr:uid="{00000000-0005-0000-0000-000015D90000}"/>
    <cellStyle name="Normal 9 2 4 2 4 2 2" xfId="17451" xr:uid="{00000000-0005-0000-0000-000016D90000}"/>
    <cellStyle name="Normal 9 2 4 2 4 2 2 2" xfId="31019" xr:uid="{00000000-0005-0000-0000-000017D90000}"/>
    <cellStyle name="Normal 9 2 4 2 4 2 2 2 2" xfId="58152" xr:uid="{00000000-0005-0000-0000-000018D90000}"/>
    <cellStyle name="Normal 9 2 4 2 4 2 2 3" xfId="44590" xr:uid="{00000000-0005-0000-0000-000019D90000}"/>
    <cellStyle name="Normal 9 2 4 2 4 2 3" xfId="24238" xr:uid="{00000000-0005-0000-0000-00001AD90000}"/>
    <cellStyle name="Normal 9 2 4 2 4 2 3 2" xfId="51371" xr:uid="{00000000-0005-0000-0000-00001BD90000}"/>
    <cellStyle name="Normal 9 2 4 2 4 2 4" xfId="37809" xr:uid="{00000000-0005-0000-0000-00001CD90000}"/>
    <cellStyle name="Normal 9 2 4 2 4 3" xfId="14062" xr:uid="{00000000-0005-0000-0000-00001DD90000}"/>
    <cellStyle name="Normal 9 2 4 2 4 3 2" xfId="27630" xr:uid="{00000000-0005-0000-0000-00001ED90000}"/>
    <cellStyle name="Normal 9 2 4 2 4 3 2 2" xfId="54763" xr:uid="{00000000-0005-0000-0000-00001FD90000}"/>
    <cellStyle name="Normal 9 2 4 2 4 3 3" xfId="41201" xr:uid="{00000000-0005-0000-0000-000020D90000}"/>
    <cellStyle name="Normal 9 2 4 2 4 4" xfId="20849" xr:uid="{00000000-0005-0000-0000-000021D90000}"/>
    <cellStyle name="Normal 9 2 4 2 4 4 2" xfId="47982" xr:uid="{00000000-0005-0000-0000-000022D90000}"/>
    <cellStyle name="Normal 9 2 4 2 4 5" xfId="34420" xr:uid="{00000000-0005-0000-0000-000023D90000}"/>
    <cellStyle name="Normal 9 2 4 2 5" xfId="7138" xr:uid="{00000000-0005-0000-0000-000024D90000}"/>
    <cellStyle name="Normal 9 2 4 2 5 2" xfId="10663" xr:uid="{00000000-0005-0000-0000-000025D90000}"/>
    <cellStyle name="Normal 9 2 4 2 5 2 2" xfId="17452" xr:uid="{00000000-0005-0000-0000-000026D90000}"/>
    <cellStyle name="Normal 9 2 4 2 5 2 2 2" xfId="31020" xr:uid="{00000000-0005-0000-0000-000027D90000}"/>
    <cellStyle name="Normal 9 2 4 2 5 2 2 2 2" xfId="58153" xr:uid="{00000000-0005-0000-0000-000028D90000}"/>
    <cellStyle name="Normal 9 2 4 2 5 2 2 3" xfId="44591" xr:uid="{00000000-0005-0000-0000-000029D90000}"/>
    <cellStyle name="Normal 9 2 4 2 5 2 3" xfId="24239" xr:uid="{00000000-0005-0000-0000-00002AD90000}"/>
    <cellStyle name="Normal 9 2 4 2 5 2 3 2" xfId="51372" xr:uid="{00000000-0005-0000-0000-00002BD90000}"/>
    <cellStyle name="Normal 9 2 4 2 5 2 4" xfId="37810" xr:uid="{00000000-0005-0000-0000-00002CD90000}"/>
    <cellStyle name="Normal 9 2 4 2 5 3" xfId="14063" xr:uid="{00000000-0005-0000-0000-00002DD90000}"/>
    <cellStyle name="Normal 9 2 4 2 5 3 2" xfId="27631" xr:uid="{00000000-0005-0000-0000-00002ED90000}"/>
    <cellStyle name="Normal 9 2 4 2 5 3 2 2" xfId="54764" xr:uid="{00000000-0005-0000-0000-00002FD90000}"/>
    <cellStyle name="Normal 9 2 4 2 5 3 3" xfId="41202" xr:uid="{00000000-0005-0000-0000-000030D90000}"/>
    <cellStyle name="Normal 9 2 4 2 5 4" xfId="20850" xr:uid="{00000000-0005-0000-0000-000031D90000}"/>
    <cellStyle name="Normal 9 2 4 2 5 4 2" xfId="47983" xr:uid="{00000000-0005-0000-0000-000032D90000}"/>
    <cellStyle name="Normal 9 2 4 2 5 5" xfId="34421" xr:uid="{00000000-0005-0000-0000-000033D90000}"/>
    <cellStyle name="Normal 9 2 4 2 6" xfId="10656" xr:uid="{00000000-0005-0000-0000-000034D90000}"/>
    <cellStyle name="Normal 9 2 4 2 6 2" xfId="17445" xr:uid="{00000000-0005-0000-0000-000035D90000}"/>
    <cellStyle name="Normal 9 2 4 2 6 2 2" xfId="31013" xr:uid="{00000000-0005-0000-0000-000036D90000}"/>
    <cellStyle name="Normal 9 2 4 2 6 2 2 2" xfId="58146" xr:uid="{00000000-0005-0000-0000-000037D90000}"/>
    <cellStyle name="Normal 9 2 4 2 6 2 3" xfId="44584" xr:uid="{00000000-0005-0000-0000-000038D90000}"/>
    <cellStyle name="Normal 9 2 4 2 6 3" xfId="24232" xr:uid="{00000000-0005-0000-0000-000039D90000}"/>
    <cellStyle name="Normal 9 2 4 2 6 3 2" xfId="51365" xr:uid="{00000000-0005-0000-0000-00003AD90000}"/>
    <cellStyle name="Normal 9 2 4 2 6 4" xfId="37803" xr:uid="{00000000-0005-0000-0000-00003BD90000}"/>
    <cellStyle name="Normal 9 2 4 2 7" xfId="14056" xr:uid="{00000000-0005-0000-0000-00003CD90000}"/>
    <cellStyle name="Normal 9 2 4 2 7 2" xfId="27624" xr:uid="{00000000-0005-0000-0000-00003DD90000}"/>
    <cellStyle name="Normal 9 2 4 2 7 2 2" xfId="54757" xr:uid="{00000000-0005-0000-0000-00003ED90000}"/>
    <cellStyle name="Normal 9 2 4 2 7 3" xfId="41195" xr:uid="{00000000-0005-0000-0000-00003FD90000}"/>
    <cellStyle name="Normal 9 2 4 2 8" xfId="20843" xr:uid="{00000000-0005-0000-0000-000040D90000}"/>
    <cellStyle name="Normal 9 2 4 2 8 2" xfId="47976" xr:uid="{00000000-0005-0000-0000-000041D90000}"/>
    <cellStyle name="Normal 9 2 4 2 9" xfId="34414" xr:uid="{00000000-0005-0000-0000-000042D90000}"/>
    <cellStyle name="Normal 9 2 4 3" xfId="7139" xr:uid="{00000000-0005-0000-0000-000043D90000}"/>
    <cellStyle name="Normal 9 2 4 3 2" xfId="7140" xr:uid="{00000000-0005-0000-0000-000044D90000}"/>
    <cellStyle name="Normal 9 2 4 3 2 2" xfId="10665" xr:uid="{00000000-0005-0000-0000-000045D90000}"/>
    <cellStyle name="Normal 9 2 4 3 2 2 2" xfId="17454" xr:uid="{00000000-0005-0000-0000-000046D90000}"/>
    <cellStyle name="Normal 9 2 4 3 2 2 2 2" xfId="31022" xr:uid="{00000000-0005-0000-0000-000047D90000}"/>
    <cellStyle name="Normal 9 2 4 3 2 2 2 2 2" xfId="58155" xr:uid="{00000000-0005-0000-0000-000048D90000}"/>
    <cellStyle name="Normal 9 2 4 3 2 2 2 3" xfId="44593" xr:uid="{00000000-0005-0000-0000-000049D90000}"/>
    <cellStyle name="Normal 9 2 4 3 2 2 3" xfId="24241" xr:uid="{00000000-0005-0000-0000-00004AD90000}"/>
    <cellStyle name="Normal 9 2 4 3 2 2 3 2" xfId="51374" xr:uid="{00000000-0005-0000-0000-00004BD90000}"/>
    <cellStyle name="Normal 9 2 4 3 2 2 4" xfId="37812" xr:uid="{00000000-0005-0000-0000-00004CD90000}"/>
    <cellStyle name="Normal 9 2 4 3 2 3" xfId="14065" xr:uid="{00000000-0005-0000-0000-00004DD90000}"/>
    <cellStyle name="Normal 9 2 4 3 2 3 2" xfId="27633" xr:uid="{00000000-0005-0000-0000-00004ED90000}"/>
    <cellStyle name="Normal 9 2 4 3 2 3 2 2" xfId="54766" xr:uid="{00000000-0005-0000-0000-00004FD90000}"/>
    <cellStyle name="Normal 9 2 4 3 2 3 3" xfId="41204" xr:uid="{00000000-0005-0000-0000-000050D90000}"/>
    <cellStyle name="Normal 9 2 4 3 2 4" xfId="20852" xr:uid="{00000000-0005-0000-0000-000051D90000}"/>
    <cellStyle name="Normal 9 2 4 3 2 4 2" xfId="47985" xr:uid="{00000000-0005-0000-0000-000052D90000}"/>
    <cellStyle name="Normal 9 2 4 3 2 5" xfId="34423" xr:uid="{00000000-0005-0000-0000-000053D90000}"/>
    <cellStyle name="Normal 9 2 4 3 3" xfId="7141" xr:uid="{00000000-0005-0000-0000-000054D90000}"/>
    <cellStyle name="Normal 9 2 4 3 3 2" xfId="10666" xr:uid="{00000000-0005-0000-0000-000055D90000}"/>
    <cellStyle name="Normal 9 2 4 3 3 2 2" xfId="17455" xr:uid="{00000000-0005-0000-0000-000056D90000}"/>
    <cellStyle name="Normal 9 2 4 3 3 2 2 2" xfId="31023" xr:uid="{00000000-0005-0000-0000-000057D90000}"/>
    <cellStyle name="Normal 9 2 4 3 3 2 2 2 2" xfId="58156" xr:uid="{00000000-0005-0000-0000-000058D90000}"/>
    <cellStyle name="Normal 9 2 4 3 3 2 2 3" xfId="44594" xr:uid="{00000000-0005-0000-0000-000059D90000}"/>
    <cellStyle name="Normal 9 2 4 3 3 2 3" xfId="24242" xr:uid="{00000000-0005-0000-0000-00005AD90000}"/>
    <cellStyle name="Normal 9 2 4 3 3 2 3 2" xfId="51375" xr:uid="{00000000-0005-0000-0000-00005BD90000}"/>
    <cellStyle name="Normal 9 2 4 3 3 2 4" xfId="37813" xr:uid="{00000000-0005-0000-0000-00005CD90000}"/>
    <cellStyle name="Normal 9 2 4 3 3 3" xfId="14066" xr:uid="{00000000-0005-0000-0000-00005DD90000}"/>
    <cellStyle name="Normal 9 2 4 3 3 3 2" xfId="27634" xr:uid="{00000000-0005-0000-0000-00005ED90000}"/>
    <cellStyle name="Normal 9 2 4 3 3 3 2 2" xfId="54767" xr:uid="{00000000-0005-0000-0000-00005FD90000}"/>
    <cellStyle name="Normal 9 2 4 3 3 3 3" xfId="41205" xr:uid="{00000000-0005-0000-0000-000060D90000}"/>
    <cellStyle name="Normal 9 2 4 3 3 4" xfId="20853" xr:uid="{00000000-0005-0000-0000-000061D90000}"/>
    <cellStyle name="Normal 9 2 4 3 3 4 2" xfId="47986" xr:uid="{00000000-0005-0000-0000-000062D90000}"/>
    <cellStyle name="Normal 9 2 4 3 3 5" xfId="34424" xr:uid="{00000000-0005-0000-0000-000063D90000}"/>
    <cellStyle name="Normal 9 2 4 3 4" xfId="10664" xr:uid="{00000000-0005-0000-0000-000064D90000}"/>
    <cellStyle name="Normal 9 2 4 3 4 2" xfId="17453" xr:uid="{00000000-0005-0000-0000-000065D90000}"/>
    <cellStyle name="Normal 9 2 4 3 4 2 2" xfId="31021" xr:uid="{00000000-0005-0000-0000-000066D90000}"/>
    <cellStyle name="Normal 9 2 4 3 4 2 2 2" xfId="58154" xr:uid="{00000000-0005-0000-0000-000067D90000}"/>
    <cellStyle name="Normal 9 2 4 3 4 2 3" xfId="44592" xr:uid="{00000000-0005-0000-0000-000068D90000}"/>
    <cellStyle name="Normal 9 2 4 3 4 3" xfId="24240" xr:uid="{00000000-0005-0000-0000-000069D90000}"/>
    <cellStyle name="Normal 9 2 4 3 4 3 2" xfId="51373" xr:uid="{00000000-0005-0000-0000-00006AD90000}"/>
    <cellStyle name="Normal 9 2 4 3 4 4" xfId="37811" xr:uid="{00000000-0005-0000-0000-00006BD90000}"/>
    <cellStyle name="Normal 9 2 4 3 5" xfId="14064" xr:uid="{00000000-0005-0000-0000-00006CD90000}"/>
    <cellStyle name="Normal 9 2 4 3 5 2" xfId="27632" xr:uid="{00000000-0005-0000-0000-00006DD90000}"/>
    <cellStyle name="Normal 9 2 4 3 5 2 2" xfId="54765" xr:uid="{00000000-0005-0000-0000-00006ED90000}"/>
    <cellStyle name="Normal 9 2 4 3 5 3" xfId="41203" xr:uid="{00000000-0005-0000-0000-00006FD90000}"/>
    <cellStyle name="Normal 9 2 4 3 6" xfId="20851" xr:uid="{00000000-0005-0000-0000-000070D90000}"/>
    <cellStyle name="Normal 9 2 4 3 6 2" xfId="47984" xr:uid="{00000000-0005-0000-0000-000071D90000}"/>
    <cellStyle name="Normal 9 2 4 3 7" xfId="34422" xr:uid="{00000000-0005-0000-0000-000072D90000}"/>
    <cellStyle name="Normal 9 2 4 4" xfId="7142" xr:uid="{00000000-0005-0000-0000-000073D90000}"/>
    <cellStyle name="Normal 9 2 4 4 2" xfId="7143" xr:uid="{00000000-0005-0000-0000-000074D90000}"/>
    <cellStyle name="Normal 9 2 4 4 2 2" xfId="10668" xr:uid="{00000000-0005-0000-0000-000075D90000}"/>
    <cellStyle name="Normal 9 2 4 4 2 2 2" xfId="17457" xr:uid="{00000000-0005-0000-0000-000076D90000}"/>
    <cellStyle name="Normal 9 2 4 4 2 2 2 2" xfId="31025" xr:uid="{00000000-0005-0000-0000-000077D90000}"/>
    <cellStyle name="Normal 9 2 4 4 2 2 2 2 2" xfId="58158" xr:uid="{00000000-0005-0000-0000-000078D90000}"/>
    <cellStyle name="Normal 9 2 4 4 2 2 2 3" xfId="44596" xr:uid="{00000000-0005-0000-0000-000079D90000}"/>
    <cellStyle name="Normal 9 2 4 4 2 2 3" xfId="24244" xr:uid="{00000000-0005-0000-0000-00007AD90000}"/>
    <cellStyle name="Normal 9 2 4 4 2 2 3 2" xfId="51377" xr:uid="{00000000-0005-0000-0000-00007BD90000}"/>
    <cellStyle name="Normal 9 2 4 4 2 2 4" xfId="37815" xr:uid="{00000000-0005-0000-0000-00007CD90000}"/>
    <cellStyle name="Normal 9 2 4 4 2 3" xfId="14068" xr:uid="{00000000-0005-0000-0000-00007DD90000}"/>
    <cellStyle name="Normal 9 2 4 4 2 3 2" xfId="27636" xr:uid="{00000000-0005-0000-0000-00007ED90000}"/>
    <cellStyle name="Normal 9 2 4 4 2 3 2 2" xfId="54769" xr:uid="{00000000-0005-0000-0000-00007FD90000}"/>
    <cellStyle name="Normal 9 2 4 4 2 3 3" xfId="41207" xr:uid="{00000000-0005-0000-0000-000080D90000}"/>
    <cellStyle name="Normal 9 2 4 4 2 4" xfId="20855" xr:uid="{00000000-0005-0000-0000-000081D90000}"/>
    <cellStyle name="Normal 9 2 4 4 2 4 2" xfId="47988" xr:uid="{00000000-0005-0000-0000-000082D90000}"/>
    <cellStyle name="Normal 9 2 4 4 2 5" xfId="34426" xr:uid="{00000000-0005-0000-0000-000083D90000}"/>
    <cellStyle name="Normal 9 2 4 4 3" xfId="10667" xr:uid="{00000000-0005-0000-0000-000084D90000}"/>
    <cellStyle name="Normal 9 2 4 4 3 2" xfId="17456" xr:uid="{00000000-0005-0000-0000-000085D90000}"/>
    <cellStyle name="Normal 9 2 4 4 3 2 2" xfId="31024" xr:uid="{00000000-0005-0000-0000-000086D90000}"/>
    <cellStyle name="Normal 9 2 4 4 3 2 2 2" xfId="58157" xr:uid="{00000000-0005-0000-0000-000087D90000}"/>
    <cellStyle name="Normal 9 2 4 4 3 2 3" xfId="44595" xr:uid="{00000000-0005-0000-0000-000088D90000}"/>
    <cellStyle name="Normal 9 2 4 4 3 3" xfId="24243" xr:uid="{00000000-0005-0000-0000-000089D90000}"/>
    <cellStyle name="Normal 9 2 4 4 3 3 2" xfId="51376" xr:uid="{00000000-0005-0000-0000-00008AD90000}"/>
    <cellStyle name="Normal 9 2 4 4 3 4" xfId="37814" xr:uid="{00000000-0005-0000-0000-00008BD90000}"/>
    <cellStyle name="Normal 9 2 4 4 4" xfId="14067" xr:uid="{00000000-0005-0000-0000-00008CD90000}"/>
    <cellStyle name="Normal 9 2 4 4 4 2" xfId="27635" xr:uid="{00000000-0005-0000-0000-00008DD90000}"/>
    <cellStyle name="Normal 9 2 4 4 4 2 2" xfId="54768" xr:uid="{00000000-0005-0000-0000-00008ED90000}"/>
    <cellStyle name="Normal 9 2 4 4 4 3" xfId="41206" xr:uid="{00000000-0005-0000-0000-00008FD90000}"/>
    <cellStyle name="Normal 9 2 4 4 5" xfId="20854" xr:uid="{00000000-0005-0000-0000-000090D90000}"/>
    <cellStyle name="Normal 9 2 4 4 5 2" xfId="47987" xr:uid="{00000000-0005-0000-0000-000091D90000}"/>
    <cellStyle name="Normal 9 2 4 4 6" xfId="34425" xr:uid="{00000000-0005-0000-0000-000092D90000}"/>
    <cellStyle name="Normal 9 2 4 5" xfId="7144" xr:uid="{00000000-0005-0000-0000-000093D90000}"/>
    <cellStyle name="Normal 9 2 4 5 2" xfId="10669" xr:uid="{00000000-0005-0000-0000-000094D90000}"/>
    <cellStyle name="Normal 9 2 4 5 2 2" xfId="17458" xr:uid="{00000000-0005-0000-0000-000095D90000}"/>
    <cellStyle name="Normal 9 2 4 5 2 2 2" xfId="31026" xr:uid="{00000000-0005-0000-0000-000096D90000}"/>
    <cellStyle name="Normal 9 2 4 5 2 2 2 2" xfId="58159" xr:uid="{00000000-0005-0000-0000-000097D90000}"/>
    <cellStyle name="Normal 9 2 4 5 2 2 3" xfId="44597" xr:uid="{00000000-0005-0000-0000-000098D90000}"/>
    <cellStyle name="Normal 9 2 4 5 2 3" xfId="24245" xr:uid="{00000000-0005-0000-0000-000099D90000}"/>
    <cellStyle name="Normal 9 2 4 5 2 3 2" xfId="51378" xr:uid="{00000000-0005-0000-0000-00009AD90000}"/>
    <cellStyle name="Normal 9 2 4 5 2 4" xfId="37816" xr:uid="{00000000-0005-0000-0000-00009BD90000}"/>
    <cellStyle name="Normal 9 2 4 5 3" xfId="14069" xr:uid="{00000000-0005-0000-0000-00009CD90000}"/>
    <cellStyle name="Normal 9 2 4 5 3 2" xfId="27637" xr:uid="{00000000-0005-0000-0000-00009DD90000}"/>
    <cellStyle name="Normal 9 2 4 5 3 2 2" xfId="54770" xr:uid="{00000000-0005-0000-0000-00009ED90000}"/>
    <cellStyle name="Normal 9 2 4 5 3 3" xfId="41208" xr:uid="{00000000-0005-0000-0000-00009FD90000}"/>
    <cellStyle name="Normal 9 2 4 5 4" xfId="20856" xr:uid="{00000000-0005-0000-0000-0000A0D90000}"/>
    <cellStyle name="Normal 9 2 4 5 4 2" xfId="47989" xr:uid="{00000000-0005-0000-0000-0000A1D90000}"/>
    <cellStyle name="Normal 9 2 4 5 5" xfId="34427" xr:uid="{00000000-0005-0000-0000-0000A2D90000}"/>
    <cellStyle name="Normal 9 2 4 6" xfId="7145" xr:uid="{00000000-0005-0000-0000-0000A3D90000}"/>
    <cellStyle name="Normal 9 2 4 6 2" xfId="10670" xr:uid="{00000000-0005-0000-0000-0000A4D90000}"/>
    <cellStyle name="Normal 9 2 4 6 2 2" xfId="17459" xr:uid="{00000000-0005-0000-0000-0000A5D90000}"/>
    <cellStyle name="Normal 9 2 4 6 2 2 2" xfId="31027" xr:uid="{00000000-0005-0000-0000-0000A6D90000}"/>
    <cellStyle name="Normal 9 2 4 6 2 2 2 2" xfId="58160" xr:uid="{00000000-0005-0000-0000-0000A7D90000}"/>
    <cellStyle name="Normal 9 2 4 6 2 2 3" xfId="44598" xr:uid="{00000000-0005-0000-0000-0000A8D90000}"/>
    <cellStyle name="Normal 9 2 4 6 2 3" xfId="24246" xr:uid="{00000000-0005-0000-0000-0000A9D90000}"/>
    <cellStyle name="Normal 9 2 4 6 2 3 2" xfId="51379" xr:uid="{00000000-0005-0000-0000-0000AAD90000}"/>
    <cellStyle name="Normal 9 2 4 6 2 4" xfId="37817" xr:uid="{00000000-0005-0000-0000-0000ABD90000}"/>
    <cellStyle name="Normal 9 2 4 6 3" xfId="14070" xr:uid="{00000000-0005-0000-0000-0000ACD90000}"/>
    <cellStyle name="Normal 9 2 4 6 3 2" xfId="27638" xr:uid="{00000000-0005-0000-0000-0000ADD90000}"/>
    <cellStyle name="Normal 9 2 4 6 3 2 2" xfId="54771" xr:uid="{00000000-0005-0000-0000-0000AED90000}"/>
    <cellStyle name="Normal 9 2 4 6 3 3" xfId="41209" xr:uid="{00000000-0005-0000-0000-0000AFD90000}"/>
    <cellStyle name="Normal 9 2 4 6 4" xfId="20857" xr:uid="{00000000-0005-0000-0000-0000B0D90000}"/>
    <cellStyle name="Normal 9 2 4 6 4 2" xfId="47990" xr:uid="{00000000-0005-0000-0000-0000B1D90000}"/>
    <cellStyle name="Normal 9 2 4 6 5" xfId="34428" xr:uid="{00000000-0005-0000-0000-0000B2D90000}"/>
    <cellStyle name="Normal 9 2 4 7" xfId="10655" xr:uid="{00000000-0005-0000-0000-0000B3D90000}"/>
    <cellStyle name="Normal 9 2 4 7 2" xfId="17444" xr:uid="{00000000-0005-0000-0000-0000B4D90000}"/>
    <cellStyle name="Normal 9 2 4 7 2 2" xfId="31012" xr:uid="{00000000-0005-0000-0000-0000B5D90000}"/>
    <cellStyle name="Normal 9 2 4 7 2 2 2" xfId="58145" xr:uid="{00000000-0005-0000-0000-0000B6D90000}"/>
    <cellStyle name="Normal 9 2 4 7 2 3" xfId="44583" xr:uid="{00000000-0005-0000-0000-0000B7D90000}"/>
    <cellStyle name="Normal 9 2 4 7 3" xfId="24231" xr:uid="{00000000-0005-0000-0000-0000B8D90000}"/>
    <cellStyle name="Normal 9 2 4 7 3 2" xfId="51364" xr:uid="{00000000-0005-0000-0000-0000B9D90000}"/>
    <cellStyle name="Normal 9 2 4 7 4" xfId="37802" xr:uid="{00000000-0005-0000-0000-0000BAD90000}"/>
    <cellStyle name="Normal 9 2 4 8" xfId="14055" xr:uid="{00000000-0005-0000-0000-0000BBD90000}"/>
    <cellStyle name="Normal 9 2 4 8 2" xfId="27623" xr:uid="{00000000-0005-0000-0000-0000BCD90000}"/>
    <cellStyle name="Normal 9 2 4 8 2 2" xfId="54756" xr:uid="{00000000-0005-0000-0000-0000BDD90000}"/>
    <cellStyle name="Normal 9 2 4 8 3" xfId="41194" xr:uid="{00000000-0005-0000-0000-0000BED90000}"/>
    <cellStyle name="Normal 9 2 4 9" xfId="20842" xr:uid="{00000000-0005-0000-0000-0000BFD90000}"/>
    <cellStyle name="Normal 9 2 4 9 2" xfId="47975" xr:uid="{00000000-0005-0000-0000-0000C0D90000}"/>
    <cellStyle name="Normal 9 2 5" xfId="7146" xr:uid="{00000000-0005-0000-0000-0000C1D90000}"/>
    <cellStyle name="Normal 9 2 5 2" xfId="7147" xr:uid="{00000000-0005-0000-0000-0000C2D90000}"/>
    <cellStyle name="Normal 9 2 5 2 2" xfId="7148" xr:uid="{00000000-0005-0000-0000-0000C3D90000}"/>
    <cellStyle name="Normal 9 2 5 2 2 2" xfId="10673" xr:uid="{00000000-0005-0000-0000-0000C4D90000}"/>
    <cellStyle name="Normal 9 2 5 2 2 2 2" xfId="17462" xr:uid="{00000000-0005-0000-0000-0000C5D90000}"/>
    <cellStyle name="Normal 9 2 5 2 2 2 2 2" xfId="31030" xr:uid="{00000000-0005-0000-0000-0000C6D90000}"/>
    <cellStyle name="Normal 9 2 5 2 2 2 2 2 2" xfId="58163" xr:uid="{00000000-0005-0000-0000-0000C7D90000}"/>
    <cellStyle name="Normal 9 2 5 2 2 2 2 3" xfId="44601" xr:uid="{00000000-0005-0000-0000-0000C8D90000}"/>
    <cellStyle name="Normal 9 2 5 2 2 2 3" xfId="24249" xr:uid="{00000000-0005-0000-0000-0000C9D90000}"/>
    <cellStyle name="Normal 9 2 5 2 2 2 3 2" xfId="51382" xr:uid="{00000000-0005-0000-0000-0000CAD90000}"/>
    <cellStyle name="Normal 9 2 5 2 2 2 4" xfId="37820" xr:uid="{00000000-0005-0000-0000-0000CBD90000}"/>
    <cellStyle name="Normal 9 2 5 2 2 3" xfId="14073" xr:uid="{00000000-0005-0000-0000-0000CCD90000}"/>
    <cellStyle name="Normal 9 2 5 2 2 3 2" xfId="27641" xr:uid="{00000000-0005-0000-0000-0000CDD90000}"/>
    <cellStyle name="Normal 9 2 5 2 2 3 2 2" xfId="54774" xr:uid="{00000000-0005-0000-0000-0000CED90000}"/>
    <cellStyle name="Normal 9 2 5 2 2 3 3" xfId="41212" xr:uid="{00000000-0005-0000-0000-0000CFD90000}"/>
    <cellStyle name="Normal 9 2 5 2 2 4" xfId="20860" xr:uid="{00000000-0005-0000-0000-0000D0D90000}"/>
    <cellStyle name="Normal 9 2 5 2 2 4 2" xfId="47993" xr:uid="{00000000-0005-0000-0000-0000D1D90000}"/>
    <cellStyle name="Normal 9 2 5 2 2 5" xfId="34431" xr:uid="{00000000-0005-0000-0000-0000D2D90000}"/>
    <cellStyle name="Normal 9 2 5 2 3" xfId="7149" xr:uid="{00000000-0005-0000-0000-0000D3D90000}"/>
    <cellStyle name="Normal 9 2 5 2 3 2" xfId="10674" xr:uid="{00000000-0005-0000-0000-0000D4D90000}"/>
    <cellStyle name="Normal 9 2 5 2 3 2 2" xfId="17463" xr:uid="{00000000-0005-0000-0000-0000D5D90000}"/>
    <cellStyle name="Normal 9 2 5 2 3 2 2 2" xfId="31031" xr:uid="{00000000-0005-0000-0000-0000D6D90000}"/>
    <cellStyle name="Normal 9 2 5 2 3 2 2 2 2" xfId="58164" xr:uid="{00000000-0005-0000-0000-0000D7D90000}"/>
    <cellStyle name="Normal 9 2 5 2 3 2 2 3" xfId="44602" xr:uid="{00000000-0005-0000-0000-0000D8D90000}"/>
    <cellStyle name="Normal 9 2 5 2 3 2 3" xfId="24250" xr:uid="{00000000-0005-0000-0000-0000D9D90000}"/>
    <cellStyle name="Normal 9 2 5 2 3 2 3 2" xfId="51383" xr:uid="{00000000-0005-0000-0000-0000DAD90000}"/>
    <cellStyle name="Normal 9 2 5 2 3 2 4" xfId="37821" xr:uid="{00000000-0005-0000-0000-0000DBD90000}"/>
    <cellStyle name="Normal 9 2 5 2 3 3" xfId="14074" xr:uid="{00000000-0005-0000-0000-0000DCD90000}"/>
    <cellStyle name="Normal 9 2 5 2 3 3 2" xfId="27642" xr:uid="{00000000-0005-0000-0000-0000DDD90000}"/>
    <cellStyle name="Normal 9 2 5 2 3 3 2 2" xfId="54775" xr:uid="{00000000-0005-0000-0000-0000DED90000}"/>
    <cellStyle name="Normal 9 2 5 2 3 3 3" xfId="41213" xr:uid="{00000000-0005-0000-0000-0000DFD90000}"/>
    <cellStyle name="Normal 9 2 5 2 3 4" xfId="20861" xr:uid="{00000000-0005-0000-0000-0000E0D90000}"/>
    <cellStyle name="Normal 9 2 5 2 3 4 2" xfId="47994" xr:uid="{00000000-0005-0000-0000-0000E1D90000}"/>
    <cellStyle name="Normal 9 2 5 2 3 5" xfId="34432" xr:uid="{00000000-0005-0000-0000-0000E2D90000}"/>
    <cellStyle name="Normal 9 2 5 2 4" xfId="10672" xr:uid="{00000000-0005-0000-0000-0000E3D90000}"/>
    <cellStyle name="Normal 9 2 5 2 4 2" xfId="17461" xr:uid="{00000000-0005-0000-0000-0000E4D90000}"/>
    <cellStyle name="Normal 9 2 5 2 4 2 2" xfId="31029" xr:uid="{00000000-0005-0000-0000-0000E5D90000}"/>
    <cellStyle name="Normal 9 2 5 2 4 2 2 2" xfId="58162" xr:uid="{00000000-0005-0000-0000-0000E6D90000}"/>
    <cellStyle name="Normal 9 2 5 2 4 2 3" xfId="44600" xr:uid="{00000000-0005-0000-0000-0000E7D90000}"/>
    <cellStyle name="Normal 9 2 5 2 4 3" xfId="24248" xr:uid="{00000000-0005-0000-0000-0000E8D90000}"/>
    <cellStyle name="Normal 9 2 5 2 4 3 2" xfId="51381" xr:uid="{00000000-0005-0000-0000-0000E9D90000}"/>
    <cellStyle name="Normal 9 2 5 2 4 4" xfId="37819" xr:uid="{00000000-0005-0000-0000-0000EAD90000}"/>
    <cellStyle name="Normal 9 2 5 2 5" xfId="14072" xr:uid="{00000000-0005-0000-0000-0000EBD90000}"/>
    <cellStyle name="Normal 9 2 5 2 5 2" xfId="27640" xr:uid="{00000000-0005-0000-0000-0000ECD90000}"/>
    <cellStyle name="Normal 9 2 5 2 5 2 2" xfId="54773" xr:uid="{00000000-0005-0000-0000-0000EDD90000}"/>
    <cellStyle name="Normal 9 2 5 2 5 3" xfId="41211" xr:uid="{00000000-0005-0000-0000-0000EED90000}"/>
    <cellStyle name="Normal 9 2 5 2 6" xfId="20859" xr:uid="{00000000-0005-0000-0000-0000EFD90000}"/>
    <cellStyle name="Normal 9 2 5 2 6 2" xfId="47992" xr:uid="{00000000-0005-0000-0000-0000F0D90000}"/>
    <cellStyle name="Normal 9 2 5 2 7" xfId="34430" xr:uid="{00000000-0005-0000-0000-0000F1D90000}"/>
    <cellStyle name="Normal 9 2 5 3" xfId="7150" xr:uid="{00000000-0005-0000-0000-0000F2D90000}"/>
    <cellStyle name="Normal 9 2 5 3 2" xfId="7151" xr:uid="{00000000-0005-0000-0000-0000F3D90000}"/>
    <cellStyle name="Normal 9 2 5 3 2 2" xfId="10676" xr:uid="{00000000-0005-0000-0000-0000F4D90000}"/>
    <cellStyle name="Normal 9 2 5 3 2 2 2" xfId="17465" xr:uid="{00000000-0005-0000-0000-0000F5D90000}"/>
    <cellStyle name="Normal 9 2 5 3 2 2 2 2" xfId="31033" xr:uid="{00000000-0005-0000-0000-0000F6D90000}"/>
    <cellStyle name="Normal 9 2 5 3 2 2 2 2 2" xfId="58166" xr:uid="{00000000-0005-0000-0000-0000F7D90000}"/>
    <cellStyle name="Normal 9 2 5 3 2 2 2 3" xfId="44604" xr:uid="{00000000-0005-0000-0000-0000F8D90000}"/>
    <cellStyle name="Normal 9 2 5 3 2 2 3" xfId="24252" xr:uid="{00000000-0005-0000-0000-0000F9D90000}"/>
    <cellStyle name="Normal 9 2 5 3 2 2 3 2" xfId="51385" xr:uid="{00000000-0005-0000-0000-0000FAD90000}"/>
    <cellStyle name="Normal 9 2 5 3 2 2 4" xfId="37823" xr:uid="{00000000-0005-0000-0000-0000FBD90000}"/>
    <cellStyle name="Normal 9 2 5 3 2 3" xfId="14076" xr:uid="{00000000-0005-0000-0000-0000FCD90000}"/>
    <cellStyle name="Normal 9 2 5 3 2 3 2" xfId="27644" xr:uid="{00000000-0005-0000-0000-0000FDD90000}"/>
    <cellStyle name="Normal 9 2 5 3 2 3 2 2" xfId="54777" xr:uid="{00000000-0005-0000-0000-0000FED90000}"/>
    <cellStyle name="Normal 9 2 5 3 2 3 3" xfId="41215" xr:uid="{00000000-0005-0000-0000-0000FFD90000}"/>
    <cellStyle name="Normal 9 2 5 3 2 4" xfId="20863" xr:uid="{00000000-0005-0000-0000-000000DA0000}"/>
    <cellStyle name="Normal 9 2 5 3 2 4 2" xfId="47996" xr:uid="{00000000-0005-0000-0000-000001DA0000}"/>
    <cellStyle name="Normal 9 2 5 3 2 5" xfId="34434" xr:uid="{00000000-0005-0000-0000-000002DA0000}"/>
    <cellStyle name="Normal 9 2 5 3 3" xfId="10675" xr:uid="{00000000-0005-0000-0000-000003DA0000}"/>
    <cellStyle name="Normal 9 2 5 3 3 2" xfId="17464" xr:uid="{00000000-0005-0000-0000-000004DA0000}"/>
    <cellStyle name="Normal 9 2 5 3 3 2 2" xfId="31032" xr:uid="{00000000-0005-0000-0000-000005DA0000}"/>
    <cellStyle name="Normal 9 2 5 3 3 2 2 2" xfId="58165" xr:uid="{00000000-0005-0000-0000-000006DA0000}"/>
    <cellStyle name="Normal 9 2 5 3 3 2 3" xfId="44603" xr:uid="{00000000-0005-0000-0000-000007DA0000}"/>
    <cellStyle name="Normal 9 2 5 3 3 3" xfId="24251" xr:uid="{00000000-0005-0000-0000-000008DA0000}"/>
    <cellStyle name="Normal 9 2 5 3 3 3 2" xfId="51384" xr:uid="{00000000-0005-0000-0000-000009DA0000}"/>
    <cellStyle name="Normal 9 2 5 3 3 4" xfId="37822" xr:uid="{00000000-0005-0000-0000-00000ADA0000}"/>
    <cellStyle name="Normal 9 2 5 3 4" xfId="14075" xr:uid="{00000000-0005-0000-0000-00000BDA0000}"/>
    <cellStyle name="Normal 9 2 5 3 4 2" xfId="27643" xr:uid="{00000000-0005-0000-0000-00000CDA0000}"/>
    <cellStyle name="Normal 9 2 5 3 4 2 2" xfId="54776" xr:uid="{00000000-0005-0000-0000-00000DDA0000}"/>
    <cellStyle name="Normal 9 2 5 3 4 3" xfId="41214" xr:uid="{00000000-0005-0000-0000-00000EDA0000}"/>
    <cellStyle name="Normal 9 2 5 3 5" xfId="20862" xr:uid="{00000000-0005-0000-0000-00000FDA0000}"/>
    <cellStyle name="Normal 9 2 5 3 5 2" xfId="47995" xr:uid="{00000000-0005-0000-0000-000010DA0000}"/>
    <cellStyle name="Normal 9 2 5 3 6" xfId="34433" xr:uid="{00000000-0005-0000-0000-000011DA0000}"/>
    <cellStyle name="Normal 9 2 5 4" xfId="7152" xr:uid="{00000000-0005-0000-0000-000012DA0000}"/>
    <cellStyle name="Normal 9 2 5 4 2" xfId="10677" xr:uid="{00000000-0005-0000-0000-000013DA0000}"/>
    <cellStyle name="Normal 9 2 5 4 2 2" xfId="17466" xr:uid="{00000000-0005-0000-0000-000014DA0000}"/>
    <cellStyle name="Normal 9 2 5 4 2 2 2" xfId="31034" xr:uid="{00000000-0005-0000-0000-000015DA0000}"/>
    <cellStyle name="Normal 9 2 5 4 2 2 2 2" xfId="58167" xr:uid="{00000000-0005-0000-0000-000016DA0000}"/>
    <cellStyle name="Normal 9 2 5 4 2 2 3" xfId="44605" xr:uid="{00000000-0005-0000-0000-000017DA0000}"/>
    <cellStyle name="Normal 9 2 5 4 2 3" xfId="24253" xr:uid="{00000000-0005-0000-0000-000018DA0000}"/>
    <cellStyle name="Normal 9 2 5 4 2 3 2" xfId="51386" xr:uid="{00000000-0005-0000-0000-000019DA0000}"/>
    <cellStyle name="Normal 9 2 5 4 2 4" xfId="37824" xr:uid="{00000000-0005-0000-0000-00001ADA0000}"/>
    <cellStyle name="Normal 9 2 5 4 3" xfId="14077" xr:uid="{00000000-0005-0000-0000-00001BDA0000}"/>
    <cellStyle name="Normal 9 2 5 4 3 2" xfId="27645" xr:uid="{00000000-0005-0000-0000-00001CDA0000}"/>
    <cellStyle name="Normal 9 2 5 4 3 2 2" xfId="54778" xr:uid="{00000000-0005-0000-0000-00001DDA0000}"/>
    <cellStyle name="Normal 9 2 5 4 3 3" xfId="41216" xr:uid="{00000000-0005-0000-0000-00001EDA0000}"/>
    <cellStyle name="Normal 9 2 5 4 4" xfId="20864" xr:uid="{00000000-0005-0000-0000-00001FDA0000}"/>
    <cellStyle name="Normal 9 2 5 4 4 2" xfId="47997" xr:uid="{00000000-0005-0000-0000-000020DA0000}"/>
    <cellStyle name="Normal 9 2 5 4 5" xfId="34435" xr:uid="{00000000-0005-0000-0000-000021DA0000}"/>
    <cellStyle name="Normal 9 2 5 5" xfId="7153" xr:uid="{00000000-0005-0000-0000-000022DA0000}"/>
    <cellStyle name="Normal 9 2 5 5 2" xfId="10678" xr:uid="{00000000-0005-0000-0000-000023DA0000}"/>
    <cellStyle name="Normal 9 2 5 5 2 2" xfId="17467" xr:uid="{00000000-0005-0000-0000-000024DA0000}"/>
    <cellStyle name="Normal 9 2 5 5 2 2 2" xfId="31035" xr:uid="{00000000-0005-0000-0000-000025DA0000}"/>
    <cellStyle name="Normal 9 2 5 5 2 2 2 2" xfId="58168" xr:uid="{00000000-0005-0000-0000-000026DA0000}"/>
    <cellStyle name="Normal 9 2 5 5 2 2 3" xfId="44606" xr:uid="{00000000-0005-0000-0000-000027DA0000}"/>
    <cellStyle name="Normal 9 2 5 5 2 3" xfId="24254" xr:uid="{00000000-0005-0000-0000-000028DA0000}"/>
    <cellStyle name="Normal 9 2 5 5 2 3 2" xfId="51387" xr:uid="{00000000-0005-0000-0000-000029DA0000}"/>
    <cellStyle name="Normal 9 2 5 5 2 4" xfId="37825" xr:uid="{00000000-0005-0000-0000-00002ADA0000}"/>
    <cellStyle name="Normal 9 2 5 5 3" xfId="14078" xr:uid="{00000000-0005-0000-0000-00002BDA0000}"/>
    <cellStyle name="Normal 9 2 5 5 3 2" xfId="27646" xr:uid="{00000000-0005-0000-0000-00002CDA0000}"/>
    <cellStyle name="Normal 9 2 5 5 3 2 2" xfId="54779" xr:uid="{00000000-0005-0000-0000-00002DDA0000}"/>
    <cellStyle name="Normal 9 2 5 5 3 3" xfId="41217" xr:uid="{00000000-0005-0000-0000-00002EDA0000}"/>
    <cellStyle name="Normal 9 2 5 5 4" xfId="20865" xr:uid="{00000000-0005-0000-0000-00002FDA0000}"/>
    <cellStyle name="Normal 9 2 5 5 4 2" xfId="47998" xr:uid="{00000000-0005-0000-0000-000030DA0000}"/>
    <cellStyle name="Normal 9 2 5 5 5" xfId="34436" xr:uid="{00000000-0005-0000-0000-000031DA0000}"/>
    <cellStyle name="Normal 9 2 5 6" xfId="10671" xr:uid="{00000000-0005-0000-0000-000032DA0000}"/>
    <cellStyle name="Normal 9 2 5 6 2" xfId="17460" xr:uid="{00000000-0005-0000-0000-000033DA0000}"/>
    <cellStyle name="Normal 9 2 5 6 2 2" xfId="31028" xr:uid="{00000000-0005-0000-0000-000034DA0000}"/>
    <cellStyle name="Normal 9 2 5 6 2 2 2" xfId="58161" xr:uid="{00000000-0005-0000-0000-000035DA0000}"/>
    <cellStyle name="Normal 9 2 5 6 2 3" xfId="44599" xr:uid="{00000000-0005-0000-0000-000036DA0000}"/>
    <cellStyle name="Normal 9 2 5 6 3" xfId="24247" xr:uid="{00000000-0005-0000-0000-000037DA0000}"/>
    <cellStyle name="Normal 9 2 5 6 3 2" xfId="51380" xr:uid="{00000000-0005-0000-0000-000038DA0000}"/>
    <cellStyle name="Normal 9 2 5 6 4" xfId="37818" xr:uid="{00000000-0005-0000-0000-000039DA0000}"/>
    <cellStyle name="Normal 9 2 5 7" xfId="14071" xr:uid="{00000000-0005-0000-0000-00003ADA0000}"/>
    <cellStyle name="Normal 9 2 5 7 2" xfId="27639" xr:uid="{00000000-0005-0000-0000-00003BDA0000}"/>
    <cellStyle name="Normal 9 2 5 7 2 2" xfId="54772" xr:uid="{00000000-0005-0000-0000-00003CDA0000}"/>
    <cellStyle name="Normal 9 2 5 7 3" xfId="41210" xr:uid="{00000000-0005-0000-0000-00003DDA0000}"/>
    <cellStyle name="Normal 9 2 5 8" xfId="20858" xr:uid="{00000000-0005-0000-0000-00003EDA0000}"/>
    <cellStyle name="Normal 9 2 5 8 2" xfId="47991" xr:uid="{00000000-0005-0000-0000-00003FDA0000}"/>
    <cellStyle name="Normal 9 2 5 9" xfId="34429" xr:uid="{00000000-0005-0000-0000-000040DA0000}"/>
    <cellStyle name="Normal 9 2 6" xfId="7154" xr:uid="{00000000-0005-0000-0000-000041DA0000}"/>
    <cellStyle name="Normal 9 2 6 2" xfId="7155" xr:uid="{00000000-0005-0000-0000-000042DA0000}"/>
    <cellStyle name="Normal 9 2 6 2 2" xfId="7156" xr:uid="{00000000-0005-0000-0000-000043DA0000}"/>
    <cellStyle name="Normal 9 2 6 2 2 2" xfId="10681" xr:uid="{00000000-0005-0000-0000-000044DA0000}"/>
    <cellStyle name="Normal 9 2 6 2 2 2 2" xfId="17470" xr:uid="{00000000-0005-0000-0000-000045DA0000}"/>
    <cellStyle name="Normal 9 2 6 2 2 2 2 2" xfId="31038" xr:uid="{00000000-0005-0000-0000-000046DA0000}"/>
    <cellStyle name="Normal 9 2 6 2 2 2 2 2 2" xfId="58171" xr:uid="{00000000-0005-0000-0000-000047DA0000}"/>
    <cellStyle name="Normal 9 2 6 2 2 2 2 3" xfId="44609" xr:uid="{00000000-0005-0000-0000-000048DA0000}"/>
    <cellStyle name="Normal 9 2 6 2 2 2 3" xfId="24257" xr:uid="{00000000-0005-0000-0000-000049DA0000}"/>
    <cellStyle name="Normal 9 2 6 2 2 2 3 2" xfId="51390" xr:uid="{00000000-0005-0000-0000-00004ADA0000}"/>
    <cellStyle name="Normal 9 2 6 2 2 2 4" xfId="37828" xr:uid="{00000000-0005-0000-0000-00004BDA0000}"/>
    <cellStyle name="Normal 9 2 6 2 2 3" xfId="14081" xr:uid="{00000000-0005-0000-0000-00004CDA0000}"/>
    <cellStyle name="Normal 9 2 6 2 2 3 2" xfId="27649" xr:uid="{00000000-0005-0000-0000-00004DDA0000}"/>
    <cellStyle name="Normal 9 2 6 2 2 3 2 2" xfId="54782" xr:uid="{00000000-0005-0000-0000-00004EDA0000}"/>
    <cellStyle name="Normal 9 2 6 2 2 3 3" xfId="41220" xr:uid="{00000000-0005-0000-0000-00004FDA0000}"/>
    <cellStyle name="Normal 9 2 6 2 2 4" xfId="20868" xr:uid="{00000000-0005-0000-0000-000050DA0000}"/>
    <cellStyle name="Normal 9 2 6 2 2 4 2" xfId="48001" xr:uid="{00000000-0005-0000-0000-000051DA0000}"/>
    <cellStyle name="Normal 9 2 6 2 2 5" xfId="34439" xr:uid="{00000000-0005-0000-0000-000052DA0000}"/>
    <cellStyle name="Normal 9 2 6 2 3" xfId="7157" xr:uid="{00000000-0005-0000-0000-000053DA0000}"/>
    <cellStyle name="Normal 9 2 6 2 3 2" xfId="10682" xr:uid="{00000000-0005-0000-0000-000054DA0000}"/>
    <cellStyle name="Normal 9 2 6 2 3 2 2" xfId="17471" xr:uid="{00000000-0005-0000-0000-000055DA0000}"/>
    <cellStyle name="Normal 9 2 6 2 3 2 2 2" xfId="31039" xr:uid="{00000000-0005-0000-0000-000056DA0000}"/>
    <cellStyle name="Normal 9 2 6 2 3 2 2 2 2" xfId="58172" xr:uid="{00000000-0005-0000-0000-000057DA0000}"/>
    <cellStyle name="Normal 9 2 6 2 3 2 2 3" xfId="44610" xr:uid="{00000000-0005-0000-0000-000058DA0000}"/>
    <cellStyle name="Normal 9 2 6 2 3 2 3" xfId="24258" xr:uid="{00000000-0005-0000-0000-000059DA0000}"/>
    <cellStyle name="Normal 9 2 6 2 3 2 3 2" xfId="51391" xr:uid="{00000000-0005-0000-0000-00005ADA0000}"/>
    <cellStyle name="Normal 9 2 6 2 3 2 4" xfId="37829" xr:uid="{00000000-0005-0000-0000-00005BDA0000}"/>
    <cellStyle name="Normal 9 2 6 2 3 3" xfId="14082" xr:uid="{00000000-0005-0000-0000-00005CDA0000}"/>
    <cellStyle name="Normal 9 2 6 2 3 3 2" xfId="27650" xr:uid="{00000000-0005-0000-0000-00005DDA0000}"/>
    <cellStyle name="Normal 9 2 6 2 3 3 2 2" xfId="54783" xr:uid="{00000000-0005-0000-0000-00005EDA0000}"/>
    <cellStyle name="Normal 9 2 6 2 3 3 3" xfId="41221" xr:uid="{00000000-0005-0000-0000-00005FDA0000}"/>
    <cellStyle name="Normal 9 2 6 2 3 4" xfId="20869" xr:uid="{00000000-0005-0000-0000-000060DA0000}"/>
    <cellStyle name="Normal 9 2 6 2 3 4 2" xfId="48002" xr:uid="{00000000-0005-0000-0000-000061DA0000}"/>
    <cellStyle name="Normal 9 2 6 2 3 5" xfId="34440" xr:uid="{00000000-0005-0000-0000-000062DA0000}"/>
    <cellStyle name="Normal 9 2 6 2 4" xfId="10680" xr:uid="{00000000-0005-0000-0000-000063DA0000}"/>
    <cellStyle name="Normal 9 2 6 2 4 2" xfId="17469" xr:uid="{00000000-0005-0000-0000-000064DA0000}"/>
    <cellStyle name="Normal 9 2 6 2 4 2 2" xfId="31037" xr:uid="{00000000-0005-0000-0000-000065DA0000}"/>
    <cellStyle name="Normal 9 2 6 2 4 2 2 2" xfId="58170" xr:uid="{00000000-0005-0000-0000-000066DA0000}"/>
    <cellStyle name="Normal 9 2 6 2 4 2 3" xfId="44608" xr:uid="{00000000-0005-0000-0000-000067DA0000}"/>
    <cellStyle name="Normal 9 2 6 2 4 3" xfId="24256" xr:uid="{00000000-0005-0000-0000-000068DA0000}"/>
    <cellStyle name="Normal 9 2 6 2 4 3 2" xfId="51389" xr:uid="{00000000-0005-0000-0000-000069DA0000}"/>
    <cellStyle name="Normal 9 2 6 2 4 4" xfId="37827" xr:uid="{00000000-0005-0000-0000-00006ADA0000}"/>
    <cellStyle name="Normal 9 2 6 2 5" xfId="14080" xr:uid="{00000000-0005-0000-0000-00006BDA0000}"/>
    <cellStyle name="Normal 9 2 6 2 5 2" xfId="27648" xr:uid="{00000000-0005-0000-0000-00006CDA0000}"/>
    <cellStyle name="Normal 9 2 6 2 5 2 2" xfId="54781" xr:uid="{00000000-0005-0000-0000-00006DDA0000}"/>
    <cellStyle name="Normal 9 2 6 2 5 3" xfId="41219" xr:uid="{00000000-0005-0000-0000-00006EDA0000}"/>
    <cellStyle name="Normal 9 2 6 2 6" xfId="20867" xr:uid="{00000000-0005-0000-0000-00006FDA0000}"/>
    <cellStyle name="Normal 9 2 6 2 6 2" xfId="48000" xr:uid="{00000000-0005-0000-0000-000070DA0000}"/>
    <cellStyle name="Normal 9 2 6 2 7" xfId="34438" xr:uid="{00000000-0005-0000-0000-000071DA0000}"/>
    <cellStyle name="Normal 9 2 6 3" xfId="7158" xr:uid="{00000000-0005-0000-0000-000072DA0000}"/>
    <cellStyle name="Normal 9 2 6 3 2" xfId="10683" xr:uid="{00000000-0005-0000-0000-000073DA0000}"/>
    <cellStyle name="Normal 9 2 6 3 2 2" xfId="17472" xr:uid="{00000000-0005-0000-0000-000074DA0000}"/>
    <cellStyle name="Normal 9 2 6 3 2 2 2" xfId="31040" xr:uid="{00000000-0005-0000-0000-000075DA0000}"/>
    <cellStyle name="Normal 9 2 6 3 2 2 2 2" xfId="58173" xr:uid="{00000000-0005-0000-0000-000076DA0000}"/>
    <cellStyle name="Normal 9 2 6 3 2 2 3" xfId="44611" xr:uid="{00000000-0005-0000-0000-000077DA0000}"/>
    <cellStyle name="Normal 9 2 6 3 2 3" xfId="24259" xr:uid="{00000000-0005-0000-0000-000078DA0000}"/>
    <cellStyle name="Normal 9 2 6 3 2 3 2" xfId="51392" xr:uid="{00000000-0005-0000-0000-000079DA0000}"/>
    <cellStyle name="Normal 9 2 6 3 2 4" xfId="37830" xr:uid="{00000000-0005-0000-0000-00007ADA0000}"/>
    <cellStyle name="Normal 9 2 6 3 3" xfId="14083" xr:uid="{00000000-0005-0000-0000-00007BDA0000}"/>
    <cellStyle name="Normal 9 2 6 3 3 2" xfId="27651" xr:uid="{00000000-0005-0000-0000-00007CDA0000}"/>
    <cellStyle name="Normal 9 2 6 3 3 2 2" xfId="54784" xr:uid="{00000000-0005-0000-0000-00007DDA0000}"/>
    <cellStyle name="Normal 9 2 6 3 3 3" xfId="41222" xr:uid="{00000000-0005-0000-0000-00007EDA0000}"/>
    <cellStyle name="Normal 9 2 6 3 4" xfId="20870" xr:uid="{00000000-0005-0000-0000-00007FDA0000}"/>
    <cellStyle name="Normal 9 2 6 3 4 2" xfId="48003" xr:uid="{00000000-0005-0000-0000-000080DA0000}"/>
    <cellStyle name="Normal 9 2 6 3 5" xfId="34441" xr:uid="{00000000-0005-0000-0000-000081DA0000}"/>
    <cellStyle name="Normal 9 2 6 4" xfId="7159" xr:uid="{00000000-0005-0000-0000-000082DA0000}"/>
    <cellStyle name="Normal 9 2 6 4 2" xfId="10684" xr:uid="{00000000-0005-0000-0000-000083DA0000}"/>
    <cellStyle name="Normal 9 2 6 4 2 2" xfId="17473" xr:uid="{00000000-0005-0000-0000-000084DA0000}"/>
    <cellStyle name="Normal 9 2 6 4 2 2 2" xfId="31041" xr:uid="{00000000-0005-0000-0000-000085DA0000}"/>
    <cellStyle name="Normal 9 2 6 4 2 2 2 2" xfId="58174" xr:uid="{00000000-0005-0000-0000-000086DA0000}"/>
    <cellStyle name="Normal 9 2 6 4 2 2 3" xfId="44612" xr:uid="{00000000-0005-0000-0000-000087DA0000}"/>
    <cellStyle name="Normal 9 2 6 4 2 3" xfId="24260" xr:uid="{00000000-0005-0000-0000-000088DA0000}"/>
    <cellStyle name="Normal 9 2 6 4 2 3 2" xfId="51393" xr:uid="{00000000-0005-0000-0000-000089DA0000}"/>
    <cellStyle name="Normal 9 2 6 4 2 4" xfId="37831" xr:uid="{00000000-0005-0000-0000-00008ADA0000}"/>
    <cellStyle name="Normal 9 2 6 4 3" xfId="14084" xr:uid="{00000000-0005-0000-0000-00008BDA0000}"/>
    <cellStyle name="Normal 9 2 6 4 3 2" xfId="27652" xr:uid="{00000000-0005-0000-0000-00008CDA0000}"/>
    <cellStyle name="Normal 9 2 6 4 3 2 2" xfId="54785" xr:uid="{00000000-0005-0000-0000-00008DDA0000}"/>
    <cellStyle name="Normal 9 2 6 4 3 3" xfId="41223" xr:uid="{00000000-0005-0000-0000-00008EDA0000}"/>
    <cellStyle name="Normal 9 2 6 4 4" xfId="20871" xr:uid="{00000000-0005-0000-0000-00008FDA0000}"/>
    <cellStyle name="Normal 9 2 6 4 4 2" xfId="48004" xr:uid="{00000000-0005-0000-0000-000090DA0000}"/>
    <cellStyle name="Normal 9 2 6 4 5" xfId="34442" xr:uid="{00000000-0005-0000-0000-000091DA0000}"/>
    <cellStyle name="Normal 9 2 6 5" xfId="10679" xr:uid="{00000000-0005-0000-0000-000092DA0000}"/>
    <cellStyle name="Normal 9 2 6 5 2" xfId="17468" xr:uid="{00000000-0005-0000-0000-000093DA0000}"/>
    <cellStyle name="Normal 9 2 6 5 2 2" xfId="31036" xr:uid="{00000000-0005-0000-0000-000094DA0000}"/>
    <cellStyle name="Normal 9 2 6 5 2 2 2" xfId="58169" xr:uid="{00000000-0005-0000-0000-000095DA0000}"/>
    <cellStyle name="Normal 9 2 6 5 2 3" xfId="44607" xr:uid="{00000000-0005-0000-0000-000096DA0000}"/>
    <cellStyle name="Normal 9 2 6 5 3" xfId="24255" xr:uid="{00000000-0005-0000-0000-000097DA0000}"/>
    <cellStyle name="Normal 9 2 6 5 3 2" xfId="51388" xr:uid="{00000000-0005-0000-0000-000098DA0000}"/>
    <cellStyle name="Normal 9 2 6 5 4" xfId="37826" xr:uid="{00000000-0005-0000-0000-000099DA0000}"/>
    <cellStyle name="Normal 9 2 6 6" xfId="14079" xr:uid="{00000000-0005-0000-0000-00009ADA0000}"/>
    <cellStyle name="Normal 9 2 6 6 2" xfId="27647" xr:uid="{00000000-0005-0000-0000-00009BDA0000}"/>
    <cellStyle name="Normal 9 2 6 6 2 2" xfId="54780" xr:uid="{00000000-0005-0000-0000-00009CDA0000}"/>
    <cellStyle name="Normal 9 2 6 6 3" xfId="41218" xr:uid="{00000000-0005-0000-0000-00009DDA0000}"/>
    <cellStyle name="Normal 9 2 6 7" xfId="20866" xr:uid="{00000000-0005-0000-0000-00009EDA0000}"/>
    <cellStyle name="Normal 9 2 6 7 2" xfId="47999" xr:uid="{00000000-0005-0000-0000-00009FDA0000}"/>
    <cellStyle name="Normal 9 2 6 8" xfId="34437" xr:uid="{00000000-0005-0000-0000-0000A0DA0000}"/>
    <cellStyle name="Normal 9 2 7" xfId="7160" xr:uid="{00000000-0005-0000-0000-0000A1DA0000}"/>
    <cellStyle name="Normal 9 2 7 2" xfId="7161" xr:uid="{00000000-0005-0000-0000-0000A2DA0000}"/>
    <cellStyle name="Normal 9 2 7 2 2" xfId="7162" xr:uid="{00000000-0005-0000-0000-0000A3DA0000}"/>
    <cellStyle name="Normal 9 2 7 2 2 2" xfId="10687" xr:uid="{00000000-0005-0000-0000-0000A4DA0000}"/>
    <cellStyle name="Normal 9 2 7 2 2 2 2" xfId="17476" xr:uid="{00000000-0005-0000-0000-0000A5DA0000}"/>
    <cellStyle name="Normal 9 2 7 2 2 2 2 2" xfId="31044" xr:uid="{00000000-0005-0000-0000-0000A6DA0000}"/>
    <cellStyle name="Normal 9 2 7 2 2 2 2 2 2" xfId="58177" xr:uid="{00000000-0005-0000-0000-0000A7DA0000}"/>
    <cellStyle name="Normal 9 2 7 2 2 2 2 3" xfId="44615" xr:uid="{00000000-0005-0000-0000-0000A8DA0000}"/>
    <cellStyle name="Normal 9 2 7 2 2 2 3" xfId="24263" xr:uid="{00000000-0005-0000-0000-0000A9DA0000}"/>
    <cellStyle name="Normal 9 2 7 2 2 2 3 2" xfId="51396" xr:uid="{00000000-0005-0000-0000-0000AADA0000}"/>
    <cellStyle name="Normal 9 2 7 2 2 2 4" xfId="37834" xr:uid="{00000000-0005-0000-0000-0000ABDA0000}"/>
    <cellStyle name="Normal 9 2 7 2 2 3" xfId="14087" xr:uid="{00000000-0005-0000-0000-0000ACDA0000}"/>
    <cellStyle name="Normal 9 2 7 2 2 3 2" xfId="27655" xr:uid="{00000000-0005-0000-0000-0000ADDA0000}"/>
    <cellStyle name="Normal 9 2 7 2 2 3 2 2" xfId="54788" xr:uid="{00000000-0005-0000-0000-0000AEDA0000}"/>
    <cellStyle name="Normal 9 2 7 2 2 3 3" xfId="41226" xr:uid="{00000000-0005-0000-0000-0000AFDA0000}"/>
    <cellStyle name="Normal 9 2 7 2 2 4" xfId="20874" xr:uid="{00000000-0005-0000-0000-0000B0DA0000}"/>
    <cellStyle name="Normal 9 2 7 2 2 4 2" xfId="48007" xr:uid="{00000000-0005-0000-0000-0000B1DA0000}"/>
    <cellStyle name="Normal 9 2 7 2 2 5" xfId="34445" xr:uid="{00000000-0005-0000-0000-0000B2DA0000}"/>
    <cellStyle name="Normal 9 2 7 2 3" xfId="7163" xr:uid="{00000000-0005-0000-0000-0000B3DA0000}"/>
    <cellStyle name="Normal 9 2 7 2 3 2" xfId="10688" xr:uid="{00000000-0005-0000-0000-0000B4DA0000}"/>
    <cellStyle name="Normal 9 2 7 2 3 2 2" xfId="17477" xr:uid="{00000000-0005-0000-0000-0000B5DA0000}"/>
    <cellStyle name="Normal 9 2 7 2 3 2 2 2" xfId="31045" xr:uid="{00000000-0005-0000-0000-0000B6DA0000}"/>
    <cellStyle name="Normal 9 2 7 2 3 2 2 2 2" xfId="58178" xr:uid="{00000000-0005-0000-0000-0000B7DA0000}"/>
    <cellStyle name="Normal 9 2 7 2 3 2 2 3" xfId="44616" xr:uid="{00000000-0005-0000-0000-0000B8DA0000}"/>
    <cellStyle name="Normal 9 2 7 2 3 2 3" xfId="24264" xr:uid="{00000000-0005-0000-0000-0000B9DA0000}"/>
    <cellStyle name="Normal 9 2 7 2 3 2 3 2" xfId="51397" xr:uid="{00000000-0005-0000-0000-0000BADA0000}"/>
    <cellStyle name="Normal 9 2 7 2 3 2 4" xfId="37835" xr:uid="{00000000-0005-0000-0000-0000BBDA0000}"/>
    <cellStyle name="Normal 9 2 7 2 3 3" xfId="14088" xr:uid="{00000000-0005-0000-0000-0000BCDA0000}"/>
    <cellStyle name="Normal 9 2 7 2 3 3 2" xfId="27656" xr:uid="{00000000-0005-0000-0000-0000BDDA0000}"/>
    <cellStyle name="Normal 9 2 7 2 3 3 2 2" xfId="54789" xr:uid="{00000000-0005-0000-0000-0000BEDA0000}"/>
    <cellStyle name="Normal 9 2 7 2 3 3 3" xfId="41227" xr:uid="{00000000-0005-0000-0000-0000BFDA0000}"/>
    <cellStyle name="Normal 9 2 7 2 3 4" xfId="20875" xr:uid="{00000000-0005-0000-0000-0000C0DA0000}"/>
    <cellStyle name="Normal 9 2 7 2 3 4 2" xfId="48008" xr:uid="{00000000-0005-0000-0000-0000C1DA0000}"/>
    <cellStyle name="Normal 9 2 7 2 3 5" xfId="34446" xr:uid="{00000000-0005-0000-0000-0000C2DA0000}"/>
    <cellStyle name="Normal 9 2 7 2 4" xfId="10686" xr:uid="{00000000-0005-0000-0000-0000C3DA0000}"/>
    <cellStyle name="Normal 9 2 7 2 4 2" xfId="17475" xr:uid="{00000000-0005-0000-0000-0000C4DA0000}"/>
    <cellStyle name="Normal 9 2 7 2 4 2 2" xfId="31043" xr:uid="{00000000-0005-0000-0000-0000C5DA0000}"/>
    <cellStyle name="Normal 9 2 7 2 4 2 2 2" xfId="58176" xr:uid="{00000000-0005-0000-0000-0000C6DA0000}"/>
    <cellStyle name="Normal 9 2 7 2 4 2 3" xfId="44614" xr:uid="{00000000-0005-0000-0000-0000C7DA0000}"/>
    <cellStyle name="Normal 9 2 7 2 4 3" xfId="24262" xr:uid="{00000000-0005-0000-0000-0000C8DA0000}"/>
    <cellStyle name="Normal 9 2 7 2 4 3 2" xfId="51395" xr:uid="{00000000-0005-0000-0000-0000C9DA0000}"/>
    <cellStyle name="Normal 9 2 7 2 4 4" xfId="37833" xr:uid="{00000000-0005-0000-0000-0000CADA0000}"/>
    <cellStyle name="Normal 9 2 7 2 5" xfId="14086" xr:uid="{00000000-0005-0000-0000-0000CBDA0000}"/>
    <cellStyle name="Normal 9 2 7 2 5 2" xfId="27654" xr:uid="{00000000-0005-0000-0000-0000CCDA0000}"/>
    <cellStyle name="Normal 9 2 7 2 5 2 2" xfId="54787" xr:uid="{00000000-0005-0000-0000-0000CDDA0000}"/>
    <cellStyle name="Normal 9 2 7 2 5 3" xfId="41225" xr:uid="{00000000-0005-0000-0000-0000CEDA0000}"/>
    <cellStyle name="Normal 9 2 7 2 6" xfId="20873" xr:uid="{00000000-0005-0000-0000-0000CFDA0000}"/>
    <cellStyle name="Normal 9 2 7 2 6 2" xfId="48006" xr:uid="{00000000-0005-0000-0000-0000D0DA0000}"/>
    <cellStyle name="Normal 9 2 7 2 7" xfId="34444" xr:uid="{00000000-0005-0000-0000-0000D1DA0000}"/>
    <cellStyle name="Normal 9 2 7 3" xfId="7164" xr:uid="{00000000-0005-0000-0000-0000D2DA0000}"/>
    <cellStyle name="Normal 9 2 7 3 2" xfId="10689" xr:uid="{00000000-0005-0000-0000-0000D3DA0000}"/>
    <cellStyle name="Normal 9 2 7 3 2 2" xfId="17478" xr:uid="{00000000-0005-0000-0000-0000D4DA0000}"/>
    <cellStyle name="Normal 9 2 7 3 2 2 2" xfId="31046" xr:uid="{00000000-0005-0000-0000-0000D5DA0000}"/>
    <cellStyle name="Normal 9 2 7 3 2 2 2 2" xfId="58179" xr:uid="{00000000-0005-0000-0000-0000D6DA0000}"/>
    <cellStyle name="Normal 9 2 7 3 2 2 3" xfId="44617" xr:uid="{00000000-0005-0000-0000-0000D7DA0000}"/>
    <cellStyle name="Normal 9 2 7 3 2 3" xfId="24265" xr:uid="{00000000-0005-0000-0000-0000D8DA0000}"/>
    <cellStyle name="Normal 9 2 7 3 2 3 2" xfId="51398" xr:uid="{00000000-0005-0000-0000-0000D9DA0000}"/>
    <cellStyle name="Normal 9 2 7 3 2 4" xfId="37836" xr:uid="{00000000-0005-0000-0000-0000DADA0000}"/>
    <cellStyle name="Normal 9 2 7 3 3" xfId="14089" xr:uid="{00000000-0005-0000-0000-0000DBDA0000}"/>
    <cellStyle name="Normal 9 2 7 3 3 2" xfId="27657" xr:uid="{00000000-0005-0000-0000-0000DCDA0000}"/>
    <cellStyle name="Normal 9 2 7 3 3 2 2" xfId="54790" xr:uid="{00000000-0005-0000-0000-0000DDDA0000}"/>
    <cellStyle name="Normal 9 2 7 3 3 3" xfId="41228" xr:uid="{00000000-0005-0000-0000-0000DEDA0000}"/>
    <cellStyle name="Normal 9 2 7 3 4" xfId="20876" xr:uid="{00000000-0005-0000-0000-0000DFDA0000}"/>
    <cellStyle name="Normal 9 2 7 3 4 2" xfId="48009" xr:uid="{00000000-0005-0000-0000-0000E0DA0000}"/>
    <cellStyle name="Normal 9 2 7 3 5" xfId="34447" xr:uid="{00000000-0005-0000-0000-0000E1DA0000}"/>
    <cellStyle name="Normal 9 2 7 4" xfId="7165" xr:uid="{00000000-0005-0000-0000-0000E2DA0000}"/>
    <cellStyle name="Normal 9 2 7 4 2" xfId="10690" xr:uid="{00000000-0005-0000-0000-0000E3DA0000}"/>
    <cellStyle name="Normal 9 2 7 4 2 2" xfId="17479" xr:uid="{00000000-0005-0000-0000-0000E4DA0000}"/>
    <cellStyle name="Normal 9 2 7 4 2 2 2" xfId="31047" xr:uid="{00000000-0005-0000-0000-0000E5DA0000}"/>
    <cellStyle name="Normal 9 2 7 4 2 2 2 2" xfId="58180" xr:uid="{00000000-0005-0000-0000-0000E6DA0000}"/>
    <cellStyle name="Normal 9 2 7 4 2 2 3" xfId="44618" xr:uid="{00000000-0005-0000-0000-0000E7DA0000}"/>
    <cellStyle name="Normal 9 2 7 4 2 3" xfId="24266" xr:uid="{00000000-0005-0000-0000-0000E8DA0000}"/>
    <cellStyle name="Normal 9 2 7 4 2 3 2" xfId="51399" xr:uid="{00000000-0005-0000-0000-0000E9DA0000}"/>
    <cellStyle name="Normal 9 2 7 4 2 4" xfId="37837" xr:uid="{00000000-0005-0000-0000-0000EADA0000}"/>
    <cellStyle name="Normal 9 2 7 4 3" xfId="14090" xr:uid="{00000000-0005-0000-0000-0000EBDA0000}"/>
    <cellStyle name="Normal 9 2 7 4 3 2" xfId="27658" xr:uid="{00000000-0005-0000-0000-0000ECDA0000}"/>
    <cellStyle name="Normal 9 2 7 4 3 2 2" xfId="54791" xr:uid="{00000000-0005-0000-0000-0000EDDA0000}"/>
    <cellStyle name="Normal 9 2 7 4 3 3" xfId="41229" xr:uid="{00000000-0005-0000-0000-0000EEDA0000}"/>
    <cellStyle name="Normal 9 2 7 4 4" xfId="20877" xr:uid="{00000000-0005-0000-0000-0000EFDA0000}"/>
    <cellStyle name="Normal 9 2 7 4 4 2" xfId="48010" xr:uid="{00000000-0005-0000-0000-0000F0DA0000}"/>
    <cellStyle name="Normal 9 2 7 4 5" xfId="34448" xr:uid="{00000000-0005-0000-0000-0000F1DA0000}"/>
    <cellStyle name="Normal 9 2 7 5" xfId="10685" xr:uid="{00000000-0005-0000-0000-0000F2DA0000}"/>
    <cellStyle name="Normal 9 2 7 5 2" xfId="17474" xr:uid="{00000000-0005-0000-0000-0000F3DA0000}"/>
    <cellStyle name="Normal 9 2 7 5 2 2" xfId="31042" xr:uid="{00000000-0005-0000-0000-0000F4DA0000}"/>
    <cellStyle name="Normal 9 2 7 5 2 2 2" xfId="58175" xr:uid="{00000000-0005-0000-0000-0000F5DA0000}"/>
    <cellStyle name="Normal 9 2 7 5 2 3" xfId="44613" xr:uid="{00000000-0005-0000-0000-0000F6DA0000}"/>
    <cellStyle name="Normal 9 2 7 5 3" xfId="24261" xr:uid="{00000000-0005-0000-0000-0000F7DA0000}"/>
    <cellStyle name="Normal 9 2 7 5 3 2" xfId="51394" xr:uid="{00000000-0005-0000-0000-0000F8DA0000}"/>
    <cellStyle name="Normal 9 2 7 5 4" xfId="37832" xr:uid="{00000000-0005-0000-0000-0000F9DA0000}"/>
    <cellStyle name="Normal 9 2 7 6" xfId="14085" xr:uid="{00000000-0005-0000-0000-0000FADA0000}"/>
    <cellStyle name="Normal 9 2 7 6 2" xfId="27653" xr:uid="{00000000-0005-0000-0000-0000FBDA0000}"/>
    <cellStyle name="Normal 9 2 7 6 2 2" xfId="54786" xr:uid="{00000000-0005-0000-0000-0000FCDA0000}"/>
    <cellStyle name="Normal 9 2 7 6 3" xfId="41224" xr:uid="{00000000-0005-0000-0000-0000FDDA0000}"/>
    <cellStyle name="Normal 9 2 7 7" xfId="20872" xr:uid="{00000000-0005-0000-0000-0000FEDA0000}"/>
    <cellStyle name="Normal 9 2 7 7 2" xfId="48005" xr:uid="{00000000-0005-0000-0000-0000FFDA0000}"/>
    <cellStyle name="Normal 9 2 7 8" xfId="34443" xr:uid="{00000000-0005-0000-0000-000000DB0000}"/>
    <cellStyle name="Normal 9 2 8" xfId="7166" xr:uid="{00000000-0005-0000-0000-000001DB0000}"/>
    <cellStyle name="Normal 9 2 8 2" xfId="7167" xr:uid="{00000000-0005-0000-0000-000002DB0000}"/>
    <cellStyle name="Normal 9 2 8 2 2" xfId="10692" xr:uid="{00000000-0005-0000-0000-000003DB0000}"/>
    <cellStyle name="Normal 9 2 8 2 2 2" xfId="17481" xr:uid="{00000000-0005-0000-0000-000004DB0000}"/>
    <cellStyle name="Normal 9 2 8 2 2 2 2" xfId="31049" xr:uid="{00000000-0005-0000-0000-000005DB0000}"/>
    <cellStyle name="Normal 9 2 8 2 2 2 2 2" xfId="58182" xr:uid="{00000000-0005-0000-0000-000006DB0000}"/>
    <cellStyle name="Normal 9 2 8 2 2 2 3" xfId="44620" xr:uid="{00000000-0005-0000-0000-000007DB0000}"/>
    <cellStyle name="Normal 9 2 8 2 2 3" xfId="24268" xr:uid="{00000000-0005-0000-0000-000008DB0000}"/>
    <cellStyle name="Normal 9 2 8 2 2 3 2" xfId="51401" xr:uid="{00000000-0005-0000-0000-000009DB0000}"/>
    <cellStyle name="Normal 9 2 8 2 2 4" xfId="37839" xr:uid="{00000000-0005-0000-0000-00000ADB0000}"/>
    <cellStyle name="Normal 9 2 8 2 3" xfId="14092" xr:uid="{00000000-0005-0000-0000-00000BDB0000}"/>
    <cellStyle name="Normal 9 2 8 2 3 2" xfId="27660" xr:uid="{00000000-0005-0000-0000-00000CDB0000}"/>
    <cellStyle name="Normal 9 2 8 2 3 2 2" xfId="54793" xr:uid="{00000000-0005-0000-0000-00000DDB0000}"/>
    <cellStyle name="Normal 9 2 8 2 3 3" xfId="41231" xr:uid="{00000000-0005-0000-0000-00000EDB0000}"/>
    <cellStyle name="Normal 9 2 8 2 4" xfId="20879" xr:uid="{00000000-0005-0000-0000-00000FDB0000}"/>
    <cellStyle name="Normal 9 2 8 2 4 2" xfId="48012" xr:uid="{00000000-0005-0000-0000-000010DB0000}"/>
    <cellStyle name="Normal 9 2 8 2 5" xfId="34450" xr:uid="{00000000-0005-0000-0000-000011DB0000}"/>
    <cellStyle name="Normal 9 2 8 3" xfId="7168" xr:uid="{00000000-0005-0000-0000-000012DB0000}"/>
    <cellStyle name="Normal 9 2 8 3 2" xfId="10693" xr:uid="{00000000-0005-0000-0000-000013DB0000}"/>
    <cellStyle name="Normal 9 2 8 3 2 2" xfId="17482" xr:uid="{00000000-0005-0000-0000-000014DB0000}"/>
    <cellStyle name="Normal 9 2 8 3 2 2 2" xfId="31050" xr:uid="{00000000-0005-0000-0000-000015DB0000}"/>
    <cellStyle name="Normal 9 2 8 3 2 2 2 2" xfId="58183" xr:uid="{00000000-0005-0000-0000-000016DB0000}"/>
    <cellStyle name="Normal 9 2 8 3 2 2 3" xfId="44621" xr:uid="{00000000-0005-0000-0000-000017DB0000}"/>
    <cellStyle name="Normal 9 2 8 3 2 3" xfId="24269" xr:uid="{00000000-0005-0000-0000-000018DB0000}"/>
    <cellStyle name="Normal 9 2 8 3 2 3 2" xfId="51402" xr:uid="{00000000-0005-0000-0000-000019DB0000}"/>
    <cellStyle name="Normal 9 2 8 3 2 4" xfId="37840" xr:uid="{00000000-0005-0000-0000-00001ADB0000}"/>
    <cellStyle name="Normal 9 2 8 3 3" xfId="14093" xr:uid="{00000000-0005-0000-0000-00001BDB0000}"/>
    <cellStyle name="Normal 9 2 8 3 3 2" xfId="27661" xr:uid="{00000000-0005-0000-0000-00001CDB0000}"/>
    <cellStyle name="Normal 9 2 8 3 3 2 2" xfId="54794" xr:uid="{00000000-0005-0000-0000-00001DDB0000}"/>
    <cellStyle name="Normal 9 2 8 3 3 3" xfId="41232" xr:uid="{00000000-0005-0000-0000-00001EDB0000}"/>
    <cellStyle name="Normal 9 2 8 3 4" xfId="20880" xr:uid="{00000000-0005-0000-0000-00001FDB0000}"/>
    <cellStyle name="Normal 9 2 8 3 4 2" xfId="48013" xr:uid="{00000000-0005-0000-0000-000020DB0000}"/>
    <cellStyle name="Normal 9 2 8 3 5" xfId="34451" xr:uid="{00000000-0005-0000-0000-000021DB0000}"/>
    <cellStyle name="Normal 9 2 8 4" xfId="10691" xr:uid="{00000000-0005-0000-0000-000022DB0000}"/>
    <cellStyle name="Normal 9 2 8 4 2" xfId="17480" xr:uid="{00000000-0005-0000-0000-000023DB0000}"/>
    <cellStyle name="Normal 9 2 8 4 2 2" xfId="31048" xr:uid="{00000000-0005-0000-0000-000024DB0000}"/>
    <cellStyle name="Normal 9 2 8 4 2 2 2" xfId="58181" xr:uid="{00000000-0005-0000-0000-000025DB0000}"/>
    <cellStyle name="Normal 9 2 8 4 2 3" xfId="44619" xr:uid="{00000000-0005-0000-0000-000026DB0000}"/>
    <cellStyle name="Normal 9 2 8 4 3" xfId="24267" xr:uid="{00000000-0005-0000-0000-000027DB0000}"/>
    <cellStyle name="Normal 9 2 8 4 3 2" xfId="51400" xr:uid="{00000000-0005-0000-0000-000028DB0000}"/>
    <cellStyle name="Normal 9 2 8 4 4" xfId="37838" xr:uid="{00000000-0005-0000-0000-000029DB0000}"/>
    <cellStyle name="Normal 9 2 8 5" xfId="14091" xr:uid="{00000000-0005-0000-0000-00002ADB0000}"/>
    <cellStyle name="Normal 9 2 8 5 2" xfId="27659" xr:uid="{00000000-0005-0000-0000-00002BDB0000}"/>
    <cellStyle name="Normal 9 2 8 5 2 2" xfId="54792" xr:uid="{00000000-0005-0000-0000-00002CDB0000}"/>
    <cellStyle name="Normal 9 2 8 5 3" xfId="41230" xr:uid="{00000000-0005-0000-0000-00002DDB0000}"/>
    <cellStyle name="Normal 9 2 8 6" xfId="20878" xr:uid="{00000000-0005-0000-0000-00002EDB0000}"/>
    <cellStyle name="Normal 9 2 8 6 2" xfId="48011" xr:uid="{00000000-0005-0000-0000-00002FDB0000}"/>
    <cellStyle name="Normal 9 2 8 7" xfId="34449" xr:uid="{00000000-0005-0000-0000-000030DB0000}"/>
    <cellStyle name="Normal 9 2 9" xfId="7169" xr:uid="{00000000-0005-0000-0000-000031DB0000}"/>
    <cellStyle name="Normal 9 2 9 2" xfId="7170" xr:uid="{00000000-0005-0000-0000-000032DB0000}"/>
    <cellStyle name="Normal 9 2 9 2 2" xfId="10695" xr:uid="{00000000-0005-0000-0000-000033DB0000}"/>
    <cellStyle name="Normal 9 2 9 2 2 2" xfId="17484" xr:uid="{00000000-0005-0000-0000-000034DB0000}"/>
    <cellStyle name="Normal 9 2 9 2 2 2 2" xfId="31052" xr:uid="{00000000-0005-0000-0000-000035DB0000}"/>
    <cellStyle name="Normal 9 2 9 2 2 2 2 2" xfId="58185" xr:uid="{00000000-0005-0000-0000-000036DB0000}"/>
    <cellStyle name="Normal 9 2 9 2 2 2 3" xfId="44623" xr:uid="{00000000-0005-0000-0000-000037DB0000}"/>
    <cellStyle name="Normal 9 2 9 2 2 3" xfId="24271" xr:uid="{00000000-0005-0000-0000-000038DB0000}"/>
    <cellStyle name="Normal 9 2 9 2 2 3 2" xfId="51404" xr:uid="{00000000-0005-0000-0000-000039DB0000}"/>
    <cellStyle name="Normal 9 2 9 2 2 4" xfId="37842" xr:uid="{00000000-0005-0000-0000-00003ADB0000}"/>
    <cellStyle name="Normal 9 2 9 2 3" xfId="14095" xr:uid="{00000000-0005-0000-0000-00003BDB0000}"/>
    <cellStyle name="Normal 9 2 9 2 3 2" xfId="27663" xr:uid="{00000000-0005-0000-0000-00003CDB0000}"/>
    <cellStyle name="Normal 9 2 9 2 3 2 2" xfId="54796" xr:uid="{00000000-0005-0000-0000-00003DDB0000}"/>
    <cellStyle name="Normal 9 2 9 2 3 3" xfId="41234" xr:uid="{00000000-0005-0000-0000-00003EDB0000}"/>
    <cellStyle name="Normal 9 2 9 2 4" xfId="20882" xr:uid="{00000000-0005-0000-0000-00003FDB0000}"/>
    <cellStyle name="Normal 9 2 9 2 4 2" xfId="48015" xr:uid="{00000000-0005-0000-0000-000040DB0000}"/>
    <cellStyle name="Normal 9 2 9 2 5" xfId="34453" xr:uid="{00000000-0005-0000-0000-000041DB0000}"/>
    <cellStyle name="Normal 9 2 9 3" xfId="7171" xr:uid="{00000000-0005-0000-0000-000042DB0000}"/>
    <cellStyle name="Normal 9 2 9 3 2" xfId="10696" xr:uid="{00000000-0005-0000-0000-000043DB0000}"/>
    <cellStyle name="Normal 9 2 9 3 2 2" xfId="17485" xr:uid="{00000000-0005-0000-0000-000044DB0000}"/>
    <cellStyle name="Normal 9 2 9 3 2 2 2" xfId="31053" xr:uid="{00000000-0005-0000-0000-000045DB0000}"/>
    <cellStyle name="Normal 9 2 9 3 2 2 2 2" xfId="58186" xr:uid="{00000000-0005-0000-0000-000046DB0000}"/>
    <cellStyle name="Normal 9 2 9 3 2 2 3" xfId="44624" xr:uid="{00000000-0005-0000-0000-000047DB0000}"/>
    <cellStyle name="Normal 9 2 9 3 2 3" xfId="24272" xr:uid="{00000000-0005-0000-0000-000048DB0000}"/>
    <cellStyle name="Normal 9 2 9 3 2 3 2" xfId="51405" xr:uid="{00000000-0005-0000-0000-000049DB0000}"/>
    <cellStyle name="Normal 9 2 9 3 2 4" xfId="37843" xr:uid="{00000000-0005-0000-0000-00004ADB0000}"/>
    <cellStyle name="Normal 9 2 9 3 3" xfId="14096" xr:uid="{00000000-0005-0000-0000-00004BDB0000}"/>
    <cellStyle name="Normal 9 2 9 3 3 2" xfId="27664" xr:uid="{00000000-0005-0000-0000-00004CDB0000}"/>
    <cellStyle name="Normal 9 2 9 3 3 2 2" xfId="54797" xr:uid="{00000000-0005-0000-0000-00004DDB0000}"/>
    <cellStyle name="Normal 9 2 9 3 3 3" xfId="41235" xr:uid="{00000000-0005-0000-0000-00004EDB0000}"/>
    <cellStyle name="Normal 9 2 9 3 4" xfId="20883" xr:uid="{00000000-0005-0000-0000-00004FDB0000}"/>
    <cellStyle name="Normal 9 2 9 3 4 2" xfId="48016" xr:uid="{00000000-0005-0000-0000-000050DB0000}"/>
    <cellStyle name="Normal 9 2 9 3 5" xfId="34454" xr:uid="{00000000-0005-0000-0000-000051DB0000}"/>
    <cellStyle name="Normal 9 2 9 4" xfId="10694" xr:uid="{00000000-0005-0000-0000-000052DB0000}"/>
    <cellStyle name="Normal 9 2 9 4 2" xfId="17483" xr:uid="{00000000-0005-0000-0000-000053DB0000}"/>
    <cellStyle name="Normal 9 2 9 4 2 2" xfId="31051" xr:uid="{00000000-0005-0000-0000-000054DB0000}"/>
    <cellStyle name="Normal 9 2 9 4 2 2 2" xfId="58184" xr:uid="{00000000-0005-0000-0000-000055DB0000}"/>
    <cellStyle name="Normal 9 2 9 4 2 3" xfId="44622" xr:uid="{00000000-0005-0000-0000-000056DB0000}"/>
    <cellStyle name="Normal 9 2 9 4 3" xfId="24270" xr:uid="{00000000-0005-0000-0000-000057DB0000}"/>
    <cellStyle name="Normal 9 2 9 4 3 2" xfId="51403" xr:uid="{00000000-0005-0000-0000-000058DB0000}"/>
    <cellStyle name="Normal 9 2 9 4 4" xfId="37841" xr:uid="{00000000-0005-0000-0000-000059DB0000}"/>
    <cellStyle name="Normal 9 2 9 5" xfId="14094" xr:uid="{00000000-0005-0000-0000-00005ADB0000}"/>
    <cellStyle name="Normal 9 2 9 5 2" xfId="27662" xr:uid="{00000000-0005-0000-0000-00005BDB0000}"/>
    <cellStyle name="Normal 9 2 9 5 2 2" xfId="54795" xr:uid="{00000000-0005-0000-0000-00005CDB0000}"/>
    <cellStyle name="Normal 9 2 9 5 3" xfId="41233" xr:uid="{00000000-0005-0000-0000-00005DDB0000}"/>
    <cellStyle name="Normal 9 2 9 6" xfId="20881" xr:uid="{00000000-0005-0000-0000-00005EDB0000}"/>
    <cellStyle name="Normal 9 2 9 6 2" xfId="48014" xr:uid="{00000000-0005-0000-0000-00005FDB0000}"/>
    <cellStyle name="Normal 9 2 9 7" xfId="34452" xr:uid="{00000000-0005-0000-0000-000060DB0000}"/>
    <cellStyle name="Normal 9 3" xfId="7172" xr:uid="{00000000-0005-0000-0000-000061DB0000}"/>
    <cellStyle name="Normal 9 3 2" xfId="7173" xr:uid="{00000000-0005-0000-0000-000062DB0000}"/>
    <cellStyle name="Normal 9 3 2 2" xfId="7174" xr:uid="{00000000-0005-0000-0000-000063DB0000}"/>
    <cellStyle name="Normal 9 4" xfId="7175" xr:uid="{00000000-0005-0000-0000-000064DB0000}"/>
    <cellStyle name="Normal 9 5" xfId="7176" xr:uid="{00000000-0005-0000-0000-000065DB0000}"/>
    <cellStyle name="Normal 9 5 2" xfId="7177" xr:uid="{00000000-0005-0000-0000-000066DB0000}"/>
    <cellStyle name="Normal 9 5 2 2" xfId="10698" xr:uid="{00000000-0005-0000-0000-000067DB0000}"/>
    <cellStyle name="Normal 9 5 2 2 2" xfId="17487" xr:uid="{00000000-0005-0000-0000-000068DB0000}"/>
    <cellStyle name="Normal 9 5 2 2 2 2" xfId="31055" xr:uid="{00000000-0005-0000-0000-000069DB0000}"/>
    <cellStyle name="Normal 9 5 2 2 2 2 2" xfId="58188" xr:uid="{00000000-0005-0000-0000-00006ADB0000}"/>
    <cellStyle name="Normal 9 5 2 2 2 3" xfId="44626" xr:uid="{00000000-0005-0000-0000-00006BDB0000}"/>
    <cellStyle name="Normal 9 5 2 2 3" xfId="24274" xr:uid="{00000000-0005-0000-0000-00006CDB0000}"/>
    <cellStyle name="Normal 9 5 2 2 3 2" xfId="51407" xr:uid="{00000000-0005-0000-0000-00006DDB0000}"/>
    <cellStyle name="Normal 9 5 2 2 4" xfId="37845" xr:uid="{00000000-0005-0000-0000-00006EDB0000}"/>
    <cellStyle name="Normal 9 5 2 3" xfId="14098" xr:uid="{00000000-0005-0000-0000-00006FDB0000}"/>
    <cellStyle name="Normal 9 5 2 3 2" xfId="27666" xr:uid="{00000000-0005-0000-0000-000070DB0000}"/>
    <cellStyle name="Normal 9 5 2 3 2 2" xfId="54799" xr:uid="{00000000-0005-0000-0000-000071DB0000}"/>
    <cellStyle name="Normal 9 5 2 3 3" xfId="41237" xr:uid="{00000000-0005-0000-0000-000072DB0000}"/>
    <cellStyle name="Normal 9 5 2 4" xfId="20885" xr:uid="{00000000-0005-0000-0000-000073DB0000}"/>
    <cellStyle name="Normal 9 5 2 4 2" xfId="48018" xr:uid="{00000000-0005-0000-0000-000074DB0000}"/>
    <cellStyle name="Normal 9 5 2 5" xfId="34456" xr:uid="{00000000-0005-0000-0000-000075DB0000}"/>
    <cellStyle name="Normal 9 5 3" xfId="7178" xr:uid="{00000000-0005-0000-0000-000076DB0000}"/>
    <cellStyle name="Normal 9 5 3 2" xfId="10699" xr:uid="{00000000-0005-0000-0000-000077DB0000}"/>
    <cellStyle name="Normal 9 5 3 2 2" xfId="17488" xr:uid="{00000000-0005-0000-0000-000078DB0000}"/>
    <cellStyle name="Normal 9 5 3 2 2 2" xfId="31056" xr:uid="{00000000-0005-0000-0000-000079DB0000}"/>
    <cellStyle name="Normal 9 5 3 2 2 2 2" xfId="58189" xr:uid="{00000000-0005-0000-0000-00007ADB0000}"/>
    <cellStyle name="Normal 9 5 3 2 2 3" xfId="44627" xr:uid="{00000000-0005-0000-0000-00007BDB0000}"/>
    <cellStyle name="Normal 9 5 3 2 3" xfId="24275" xr:uid="{00000000-0005-0000-0000-00007CDB0000}"/>
    <cellStyle name="Normal 9 5 3 2 3 2" xfId="51408" xr:uid="{00000000-0005-0000-0000-00007DDB0000}"/>
    <cellStyle name="Normal 9 5 3 2 4" xfId="37846" xr:uid="{00000000-0005-0000-0000-00007EDB0000}"/>
    <cellStyle name="Normal 9 5 3 3" xfId="14099" xr:uid="{00000000-0005-0000-0000-00007FDB0000}"/>
    <cellStyle name="Normal 9 5 3 3 2" xfId="27667" xr:uid="{00000000-0005-0000-0000-000080DB0000}"/>
    <cellStyle name="Normal 9 5 3 3 2 2" xfId="54800" xr:uid="{00000000-0005-0000-0000-000081DB0000}"/>
    <cellStyle name="Normal 9 5 3 3 3" xfId="41238" xr:uid="{00000000-0005-0000-0000-000082DB0000}"/>
    <cellStyle name="Normal 9 5 3 4" xfId="20886" xr:uid="{00000000-0005-0000-0000-000083DB0000}"/>
    <cellStyle name="Normal 9 5 3 4 2" xfId="48019" xr:uid="{00000000-0005-0000-0000-000084DB0000}"/>
    <cellStyle name="Normal 9 5 3 5" xfId="34457" xr:uid="{00000000-0005-0000-0000-000085DB0000}"/>
    <cellStyle name="Normal 9 5 4" xfId="10697" xr:uid="{00000000-0005-0000-0000-000086DB0000}"/>
    <cellStyle name="Normal 9 5 4 2" xfId="17486" xr:uid="{00000000-0005-0000-0000-000087DB0000}"/>
    <cellStyle name="Normal 9 5 4 2 2" xfId="31054" xr:uid="{00000000-0005-0000-0000-000088DB0000}"/>
    <cellStyle name="Normal 9 5 4 2 2 2" xfId="58187" xr:uid="{00000000-0005-0000-0000-000089DB0000}"/>
    <cellStyle name="Normal 9 5 4 2 3" xfId="44625" xr:uid="{00000000-0005-0000-0000-00008ADB0000}"/>
    <cellStyle name="Normal 9 5 4 3" xfId="24273" xr:uid="{00000000-0005-0000-0000-00008BDB0000}"/>
    <cellStyle name="Normal 9 5 4 3 2" xfId="51406" xr:uid="{00000000-0005-0000-0000-00008CDB0000}"/>
    <cellStyle name="Normal 9 5 4 4" xfId="37844" xr:uid="{00000000-0005-0000-0000-00008DDB0000}"/>
    <cellStyle name="Normal 9 5 5" xfId="14097" xr:uid="{00000000-0005-0000-0000-00008EDB0000}"/>
    <cellStyle name="Normal 9 5 5 2" xfId="27665" xr:uid="{00000000-0005-0000-0000-00008FDB0000}"/>
    <cellStyle name="Normal 9 5 5 2 2" xfId="54798" xr:uid="{00000000-0005-0000-0000-000090DB0000}"/>
    <cellStyle name="Normal 9 5 5 3" xfId="41236" xr:uid="{00000000-0005-0000-0000-000091DB0000}"/>
    <cellStyle name="Normal 9 5 6" xfId="20884" xr:uid="{00000000-0005-0000-0000-000092DB0000}"/>
    <cellStyle name="Normal 9 5 6 2" xfId="48017" xr:uid="{00000000-0005-0000-0000-000093DB0000}"/>
    <cellStyle name="Normal 9 5 7" xfId="34455" xr:uid="{00000000-0005-0000-0000-000094DB0000}"/>
    <cellStyle name="Normal 9 6" xfId="7179" xr:uid="{00000000-0005-0000-0000-000095DB0000}"/>
    <cellStyle name="Normal 9 6 2" xfId="10700" xr:uid="{00000000-0005-0000-0000-000096DB0000}"/>
    <cellStyle name="Normal 9 6 2 2" xfId="17489" xr:uid="{00000000-0005-0000-0000-000097DB0000}"/>
    <cellStyle name="Normal 9 6 2 2 2" xfId="31057" xr:uid="{00000000-0005-0000-0000-000098DB0000}"/>
    <cellStyle name="Normal 9 6 2 2 2 2" xfId="58190" xr:uid="{00000000-0005-0000-0000-000099DB0000}"/>
    <cellStyle name="Normal 9 6 2 2 3" xfId="44628" xr:uid="{00000000-0005-0000-0000-00009ADB0000}"/>
    <cellStyle name="Normal 9 6 2 3" xfId="24276" xr:uid="{00000000-0005-0000-0000-00009BDB0000}"/>
    <cellStyle name="Normal 9 6 2 3 2" xfId="51409" xr:uid="{00000000-0005-0000-0000-00009CDB0000}"/>
    <cellStyle name="Normal 9 6 2 4" xfId="37847" xr:uid="{00000000-0005-0000-0000-00009DDB0000}"/>
    <cellStyle name="Normal 9 6 3" xfId="14100" xr:uid="{00000000-0005-0000-0000-00009EDB0000}"/>
    <cellStyle name="Normal 9 6 3 2" xfId="27668" xr:uid="{00000000-0005-0000-0000-00009FDB0000}"/>
    <cellStyle name="Normal 9 6 3 2 2" xfId="54801" xr:uid="{00000000-0005-0000-0000-0000A0DB0000}"/>
    <cellStyle name="Normal 9 6 3 3" xfId="41239" xr:uid="{00000000-0005-0000-0000-0000A1DB0000}"/>
    <cellStyle name="Normal 9 6 4" xfId="20887" xr:uid="{00000000-0005-0000-0000-0000A2DB0000}"/>
    <cellStyle name="Normal 9 6 4 2" xfId="48020" xr:uid="{00000000-0005-0000-0000-0000A3DB0000}"/>
    <cellStyle name="Normal 9 6 5" xfId="34458" xr:uid="{00000000-0005-0000-0000-0000A4DB0000}"/>
    <cellStyle name="Normal 9 7" xfId="7180" xr:uid="{00000000-0005-0000-0000-0000A5DB0000}"/>
    <cellStyle name="Normal 9 8" xfId="2778" xr:uid="{00000000-0005-0000-0000-0000A6DB0000}"/>
    <cellStyle name="Normal_Presupuesto  La Estancia  17.03.2008" xfId="25" xr:uid="{00000000-0005-0000-0000-0000A7DB0000}"/>
    <cellStyle name="Notas 10" xfId="2779" xr:uid="{00000000-0005-0000-0000-0000A8DB0000}"/>
    <cellStyle name="Notas 11" xfId="2780" xr:uid="{00000000-0005-0000-0000-0000A9DB0000}"/>
    <cellStyle name="Notas 12" xfId="2781" xr:uid="{00000000-0005-0000-0000-0000AADB0000}"/>
    <cellStyle name="Notas 13" xfId="2782" xr:uid="{00000000-0005-0000-0000-0000ABDB0000}"/>
    <cellStyle name="Notas 14" xfId="2783" xr:uid="{00000000-0005-0000-0000-0000ACDB0000}"/>
    <cellStyle name="Notas 15" xfId="2784" xr:uid="{00000000-0005-0000-0000-0000ADDB0000}"/>
    <cellStyle name="Notas 16" xfId="2785" xr:uid="{00000000-0005-0000-0000-0000AEDB0000}"/>
    <cellStyle name="Notas 17" xfId="2786" xr:uid="{00000000-0005-0000-0000-0000AFDB0000}"/>
    <cellStyle name="Notas 18" xfId="2787" xr:uid="{00000000-0005-0000-0000-0000B0DB0000}"/>
    <cellStyle name="Notas 19" xfId="2788" xr:uid="{00000000-0005-0000-0000-0000B1DB0000}"/>
    <cellStyle name="Notas 2" xfId="62" xr:uid="{00000000-0005-0000-0000-0000B2DB0000}"/>
    <cellStyle name="Notas 2 2" xfId="188" xr:uid="{00000000-0005-0000-0000-0000B3DB0000}"/>
    <cellStyle name="Notas 2 3" xfId="181" xr:uid="{00000000-0005-0000-0000-0000B4DB0000}"/>
    <cellStyle name="Notas 2 4" xfId="2789" xr:uid="{00000000-0005-0000-0000-0000B5DB0000}"/>
    <cellStyle name="Notas 2 5" xfId="2790" xr:uid="{00000000-0005-0000-0000-0000B6DB0000}"/>
    <cellStyle name="Notas 20" xfId="2791" xr:uid="{00000000-0005-0000-0000-0000B7DB0000}"/>
    <cellStyle name="Notas 21" xfId="2792" xr:uid="{00000000-0005-0000-0000-0000B8DB0000}"/>
    <cellStyle name="Notas 22" xfId="2793" xr:uid="{00000000-0005-0000-0000-0000B9DB0000}"/>
    <cellStyle name="Notas 23" xfId="2794" xr:uid="{00000000-0005-0000-0000-0000BADB0000}"/>
    <cellStyle name="Notas 24" xfId="2795" xr:uid="{00000000-0005-0000-0000-0000BBDB0000}"/>
    <cellStyle name="Notas 25" xfId="2796" xr:uid="{00000000-0005-0000-0000-0000BCDB0000}"/>
    <cellStyle name="Notas 26" xfId="2797" xr:uid="{00000000-0005-0000-0000-0000BDDB0000}"/>
    <cellStyle name="Notas 27" xfId="2798" xr:uid="{00000000-0005-0000-0000-0000BEDB0000}"/>
    <cellStyle name="Notas 28" xfId="2799" xr:uid="{00000000-0005-0000-0000-0000BFDB0000}"/>
    <cellStyle name="Notas 29" xfId="2800" xr:uid="{00000000-0005-0000-0000-0000C0DB0000}"/>
    <cellStyle name="Notas 3" xfId="63" xr:uid="{00000000-0005-0000-0000-0000C1DB0000}"/>
    <cellStyle name="Notas 30" xfId="2801" xr:uid="{00000000-0005-0000-0000-0000C2DB0000}"/>
    <cellStyle name="Notas 31" xfId="2802" xr:uid="{00000000-0005-0000-0000-0000C3DB0000}"/>
    <cellStyle name="Notas 32" xfId="2803" xr:uid="{00000000-0005-0000-0000-0000C4DB0000}"/>
    <cellStyle name="Notas 33" xfId="2804" xr:uid="{00000000-0005-0000-0000-0000C5DB0000}"/>
    <cellStyle name="Notas 34" xfId="2805" xr:uid="{00000000-0005-0000-0000-0000C6DB0000}"/>
    <cellStyle name="Notas 35" xfId="2806" xr:uid="{00000000-0005-0000-0000-0000C7DB0000}"/>
    <cellStyle name="Notas 36" xfId="2807" xr:uid="{00000000-0005-0000-0000-0000C8DB0000}"/>
    <cellStyle name="Notas 37" xfId="2808" xr:uid="{00000000-0005-0000-0000-0000C9DB0000}"/>
    <cellStyle name="Notas 38" xfId="2809" xr:uid="{00000000-0005-0000-0000-0000CADB0000}"/>
    <cellStyle name="Notas 39" xfId="2810" xr:uid="{00000000-0005-0000-0000-0000CBDB0000}"/>
    <cellStyle name="Notas 4" xfId="2811" xr:uid="{00000000-0005-0000-0000-0000CCDB0000}"/>
    <cellStyle name="Notas 40" xfId="2812" xr:uid="{00000000-0005-0000-0000-0000CDDB0000}"/>
    <cellStyle name="Notas 41" xfId="2813" xr:uid="{00000000-0005-0000-0000-0000CEDB0000}"/>
    <cellStyle name="Notas 42" xfId="2814" xr:uid="{00000000-0005-0000-0000-0000CFDB0000}"/>
    <cellStyle name="Notas 43" xfId="2815" xr:uid="{00000000-0005-0000-0000-0000D0DB0000}"/>
    <cellStyle name="Notas 44" xfId="2816" xr:uid="{00000000-0005-0000-0000-0000D1DB0000}"/>
    <cellStyle name="Notas 45" xfId="2817" xr:uid="{00000000-0005-0000-0000-0000D2DB0000}"/>
    <cellStyle name="Notas 46" xfId="2818" xr:uid="{00000000-0005-0000-0000-0000D3DB0000}"/>
    <cellStyle name="Notas 47" xfId="2819" xr:uid="{00000000-0005-0000-0000-0000D4DB0000}"/>
    <cellStyle name="Notas 48" xfId="2820" xr:uid="{00000000-0005-0000-0000-0000D5DB0000}"/>
    <cellStyle name="Notas 49" xfId="2821" xr:uid="{00000000-0005-0000-0000-0000D6DB0000}"/>
    <cellStyle name="Notas 5" xfId="2822" xr:uid="{00000000-0005-0000-0000-0000D7DB0000}"/>
    <cellStyle name="Notas 50" xfId="2823" xr:uid="{00000000-0005-0000-0000-0000D8DB0000}"/>
    <cellStyle name="Notas 51" xfId="2824" xr:uid="{00000000-0005-0000-0000-0000D9DB0000}"/>
    <cellStyle name="Notas 52" xfId="2825" xr:uid="{00000000-0005-0000-0000-0000DADB0000}"/>
    <cellStyle name="Notas 53" xfId="2826" xr:uid="{00000000-0005-0000-0000-0000DBDB0000}"/>
    <cellStyle name="Notas 54" xfId="2827" xr:uid="{00000000-0005-0000-0000-0000DCDB0000}"/>
    <cellStyle name="Notas 55" xfId="2828" xr:uid="{00000000-0005-0000-0000-0000DDDB0000}"/>
    <cellStyle name="Notas 56" xfId="2829" xr:uid="{00000000-0005-0000-0000-0000DEDB0000}"/>
    <cellStyle name="Notas 57" xfId="2830" xr:uid="{00000000-0005-0000-0000-0000DFDB0000}"/>
    <cellStyle name="Notas 58" xfId="2831" xr:uid="{00000000-0005-0000-0000-0000E0DB0000}"/>
    <cellStyle name="Notas 59" xfId="2832" xr:uid="{00000000-0005-0000-0000-0000E1DB0000}"/>
    <cellStyle name="Notas 6" xfId="2833" xr:uid="{00000000-0005-0000-0000-0000E2DB0000}"/>
    <cellStyle name="Notas 60" xfId="2834" xr:uid="{00000000-0005-0000-0000-0000E3DB0000}"/>
    <cellStyle name="Notas 61" xfId="2835" xr:uid="{00000000-0005-0000-0000-0000E4DB0000}"/>
    <cellStyle name="Notas 62" xfId="2836" xr:uid="{00000000-0005-0000-0000-0000E5DB0000}"/>
    <cellStyle name="Notas 63" xfId="2837" xr:uid="{00000000-0005-0000-0000-0000E6DB0000}"/>
    <cellStyle name="Notas 64" xfId="2838" xr:uid="{00000000-0005-0000-0000-0000E7DB0000}"/>
    <cellStyle name="Notas 65" xfId="2839" xr:uid="{00000000-0005-0000-0000-0000E8DB0000}"/>
    <cellStyle name="Notas 66" xfId="2840" xr:uid="{00000000-0005-0000-0000-0000E9DB0000}"/>
    <cellStyle name="Notas 67" xfId="2841" xr:uid="{00000000-0005-0000-0000-0000EADB0000}"/>
    <cellStyle name="Notas 68" xfId="2842" xr:uid="{00000000-0005-0000-0000-0000EBDB0000}"/>
    <cellStyle name="Notas 69" xfId="2843" xr:uid="{00000000-0005-0000-0000-0000ECDB0000}"/>
    <cellStyle name="Notas 7" xfId="2844" xr:uid="{00000000-0005-0000-0000-0000EDDB0000}"/>
    <cellStyle name="Notas 70" xfId="2845" xr:uid="{00000000-0005-0000-0000-0000EEDB0000}"/>
    <cellStyle name="Notas 71" xfId="2846" xr:uid="{00000000-0005-0000-0000-0000EFDB0000}"/>
    <cellStyle name="Notas 72" xfId="2847" xr:uid="{00000000-0005-0000-0000-0000F0DB0000}"/>
    <cellStyle name="Notas 73" xfId="2848" xr:uid="{00000000-0005-0000-0000-0000F1DB0000}"/>
    <cellStyle name="Notas 74" xfId="2849" xr:uid="{00000000-0005-0000-0000-0000F2DB0000}"/>
    <cellStyle name="Notas 75" xfId="2850" xr:uid="{00000000-0005-0000-0000-0000F3DB0000}"/>
    <cellStyle name="Notas 76" xfId="2851" xr:uid="{00000000-0005-0000-0000-0000F4DB0000}"/>
    <cellStyle name="Notas 76 2" xfId="2852" xr:uid="{00000000-0005-0000-0000-0000F5DB0000}"/>
    <cellStyle name="Notas 77" xfId="2853" xr:uid="{00000000-0005-0000-0000-0000F6DB0000}"/>
    <cellStyle name="Notas 78" xfId="2854" xr:uid="{00000000-0005-0000-0000-0000F7DB0000}"/>
    <cellStyle name="Notas 8" xfId="2855" xr:uid="{00000000-0005-0000-0000-0000F8DB0000}"/>
    <cellStyle name="Notas 9" xfId="2856" xr:uid="{00000000-0005-0000-0000-0000F9DB0000}"/>
    <cellStyle name="Note" xfId="7440" xr:uid="{00000000-0005-0000-0000-0000FADB0000}"/>
    <cellStyle name="Output" xfId="7441" xr:uid="{00000000-0005-0000-0000-0000FBDB0000}"/>
    <cellStyle name="Percent" xfId="58367" xr:uid="{00000000-0005-0000-0000-0000FCDB0000}"/>
    <cellStyle name="Percent 2" xfId="148" xr:uid="{00000000-0005-0000-0000-0000FDDB0000}"/>
    <cellStyle name="Percent 2 2" xfId="149" xr:uid="{00000000-0005-0000-0000-0000FEDB0000}"/>
    <cellStyle name="Percent 3" xfId="150" xr:uid="{00000000-0005-0000-0000-0000FFDB0000}"/>
    <cellStyle name="Percent_3.- Metrado SAN ANDRES (Ricardo Villavicencio)_ Rev.02" xfId="151" xr:uid="{00000000-0005-0000-0000-000000DC0000}"/>
    <cellStyle name="Porcentaje 2" xfId="23" xr:uid="{00000000-0005-0000-0000-000002DC0000}"/>
    <cellStyle name="Porcentaje 2 10" xfId="7181" xr:uid="{00000000-0005-0000-0000-000003DC0000}"/>
    <cellStyle name="Porcentaje 2 10 2" xfId="7182" xr:uid="{00000000-0005-0000-0000-000004DC0000}"/>
    <cellStyle name="Porcentaje 2 10 2 2" xfId="10702" xr:uid="{00000000-0005-0000-0000-000005DC0000}"/>
    <cellStyle name="Porcentaje 2 10 2 2 2" xfId="17491" xr:uid="{00000000-0005-0000-0000-000006DC0000}"/>
    <cellStyle name="Porcentaje 2 10 2 2 2 2" xfId="31059" xr:uid="{00000000-0005-0000-0000-000007DC0000}"/>
    <cellStyle name="Porcentaje 2 10 2 2 2 2 2" xfId="58192" xr:uid="{00000000-0005-0000-0000-000008DC0000}"/>
    <cellStyle name="Porcentaje 2 10 2 2 2 3" xfId="44630" xr:uid="{00000000-0005-0000-0000-000009DC0000}"/>
    <cellStyle name="Porcentaje 2 10 2 2 3" xfId="24278" xr:uid="{00000000-0005-0000-0000-00000ADC0000}"/>
    <cellStyle name="Porcentaje 2 10 2 2 3 2" xfId="51411" xr:uid="{00000000-0005-0000-0000-00000BDC0000}"/>
    <cellStyle name="Porcentaje 2 10 2 2 4" xfId="37849" xr:uid="{00000000-0005-0000-0000-00000CDC0000}"/>
    <cellStyle name="Porcentaje 2 10 2 3" xfId="14102" xr:uid="{00000000-0005-0000-0000-00000DDC0000}"/>
    <cellStyle name="Porcentaje 2 10 2 3 2" xfId="27670" xr:uid="{00000000-0005-0000-0000-00000EDC0000}"/>
    <cellStyle name="Porcentaje 2 10 2 3 2 2" xfId="54803" xr:uid="{00000000-0005-0000-0000-00000FDC0000}"/>
    <cellStyle name="Porcentaje 2 10 2 3 3" xfId="41241" xr:uid="{00000000-0005-0000-0000-000010DC0000}"/>
    <cellStyle name="Porcentaje 2 10 2 4" xfId="20889" xr:uid="{00000000-0005-0000-0000-000011DC0000}"/>
    <cellStyle name="Porcentaje 2 10 2 4 2" xfId="48022" xr:uid="{00000000-0005-0000-0000-000012DC0000}"/>
    <cellStyle name="Porcentaje 2 10 2 5" xfId="34460" xr:uid="{00000000-0005-0000-0000-000013DC0000}"/>
    <cellStyle name="Porcentaje 2 10 3" xfId="7183" xr:uid="{00000000-0005-0000-0000-000014DC0000}"/>
    <cellStyle name="Porcentaje 2 10 3 2" xfId="10703" xr:uid="{00000000-0005-0000-0000-000015DC0000}"/>
    <cellStyle name="Porcentaje 2 10 3 2 2" xfId="17492" xr:uid="{00000000-0005-0000-0000-000016DC0000}"/>
    <cellStyle name="Porcentaje 2 10 3 2 2 2" xfId="31060" xr:uid="{00000000-0005-0000-0000-000017DC0000}"/>
    <cellStyle name="Porcentaje 2 10 3 2 2 2 2" xfId="58193" xr:uid="{00000000-0005-0000-0000-000018DC0000}"/>
    <cellStyle name="Porcentaje 2 10 3 2 2 3" xfId="44631" xr:uid="{00000000-0005-0000-0000-000019DC0000}"/>
    <cellStyle name="Porcentaje 2 10 3 2 3" xfId="24279" xr:uid="{00000000-0005-0000-0000-00001ADC0000}"/>
    <cellStyle name="Porcentaje 2 10 3 2 3 2" xfId="51412" xr:uid="{00000000-0005-0000-0000-00001BDC0000}"/>
    <cellStyle name="Porcentaje 2 10 3 2 4" xfId="37850" xr:uid="{00000000-0005-0000-0000-00001CDC0000}"/>
    <cellStyle name="Porcentaje 2 10 3 3" xfId="14103" xr:uid="{00000000-0005-0000-0000-00001DDC0000}"/>
    <cellStyle name="Porcentaje 2 10 3 3 2" xfId="27671" xr:uid="{00000000-0005-0000-0000-00001EDC0000}"/>
    <cellStyle name="Porcentaje 2 10 3 3 2 2" xfId="54804" xr:uid="{00000000-0005-0000-0000-00001FDC0000}"/>
    <cellStyle name="Porcentaje 2 10 3 3 3" xfId="41242" xr:uid="{00000000-0005-0000-0000-000020DC0000}"/>
    <cellStyle name="Porcentaje 2 10 3 4" xfId="20890" xr:uid="{00000000-0005-0000-0000-000021DC0000}"/>
    <cellStyle name="Porcentaje 2 10 3 4 2" xfId="48023" xr:uid="{00000000-0005-0000-0000-000022DC0000}"/>
    <cellStyle name="Porcentaje 2 10 3 5" xfId="34461" xr:uid="{00000000-0005-0000-0000-000023DC0000}"/>
    <cellStyle name="Porcentaje 2 10 4" xfId="10701" xr:uid="{00000000-0005-0000-0000-000024DC0000}"/>
    <cellStyle name="Porcentaje 2 10 4 2" xfId="17490" xr:uid="{00000000-0005-0000-0000-000025DC0000}"/>
    <cellStyle name="Porcentaje 2 10 4 2 2" xfId="31058" xr:uid="{00000000-0005-0000-0000-000026DC0000}"/>
    <cellStyle name="Porcentaje 2 10 4 2 2 2" xfId="58191" xr:uid="{00000000-0005-0000-0000-000027DC0000}"/>
    <cellStyle name="Porcentaje 2 10 4 2 3" xfId="44629" xr:uid="{00000000-0005-0000-0000-000028DC0000}"/>
    <cellStyle name="Porcentaje 2 10 4 3" xfId="24277" xr:uid="{00000000-0005-0000-0000-000029DC0000}"/>
    <cellStyle name="Porcentaje 2 10 4 3 2" xfId="51410" xr:uid="{00000000-0005-0000-0000-00002ADC0000}"/>
    <cellStyle name="Porcentaje 2 10 4 4" xfId="37848" xr:uid="{00000000-0005-0000-0000-00002BDC0000}"/>
    <cellStyle name="Porcentaje 2 10 5" xfId="14101" xr:uid="{00000000-0005-0000-0000-00002CDC0000}"/>
    <cellStyle name="Porcentaje 2 10 5 2" xfId="27669" xr:uid="{00000000-0005-0000-0000-00002DDC0000}"/>
    <cellStyle name="Porcentaje 2 10 5 2 2" xfId="54802" xr:uid="{00000000-0005-0000-0000-00002EDC0000}"/>
    <cellStyle name="Porcentaje 2 10 5 3" xfId="41240" xr:uid="{00000000-0005-0000-0000-00002FDC0000}"/>
    <cellStyle name="Porcentaje 2 10 6" xfId="20888" xr:uid="{00000000-0005-0000-0000-000030DC0000}"/>
    <cellStyle name="Porcentaje 2 10 6 2" xfId="48021" xr:uid="{00000000-0005-0000-0000-000031DC0000}"/>
    <cellStyle name="Porcentaje 2 10 7" xfId="34459" xr:uid="{00000000-0005-0000-0000-000032DC0000}"/>
    <cellStyle name="Porcentaje 2 11" xfId="7184" xr:uid="{00000000-0005-0000-0000-000033DC0000}"/>
    <cellStyle name="Porcentaje 2 11 2" xfId="10704" xr:uid="{00000000-0005-0000-0000-000034DC0000}"/>
    <cellStyle name="Porcentaje 2 11 2 2" xfId="17493" xr:uid="{00000000-0005-0000-0000-000035DC0000}"/>
    <cellStyle name="Porcentaje 2 11 2 2 2" xfId="31061" xr:uid="{00000000-0005-0000-0000-000036DC0000}"/>
    <cellStyle name="Porcentaje 2 11 2 2 2 2" xfId="58194" xr:uid="{00000000-0005-0000-0000-000037DC0000}"/>
    <cellStyle name="Porcentaje 2 11 2 2 3" xfId="44632" xr:uid="{00000000-0005-0000-0000-000038DC0000}"/>
    <cellStyle name="Porcentaje 2 11 2 3" xfId="24280" xr:uid="{00000000-0005-0000-0000-000039DC0000}"/>
    <cellStyle name="Porcentaje 2 11 2 3 2" xfId="51413" xr:uid="{00000000-0005-0000-0000-00003ADC0000}"/>
    <cellStyle name="Porcentaje 2 11 2 4" xfId="37851" xr:uid="{00000000-0005-0000-0000-00003BDC0000}"/>
    <cellStyle name="Porcentaje 2 11 3" xfId="14104" xr:uid="{00000000-0005-0000-0000-00003CDC0000}"/>
    <cellStyle name="Porcentaje 2 11 3 2" xfId="27672" xr:uid="{00000000-0005-0000-0000-00003DDC0000}"/>
    <cellStyle name="Porcentaje 2 11 3 2 2" xfId="54805" xr:uid="{00000000-0005-0000-0000-00003EDC0000}"/>
    <cellStyle name="Porcentaje 2 11 3 3" xfId="41243" xr:uid="{00000000-0005-0000-0000-00003FDC0000}"/>
    <cellStyle name="Porcentaje 2 11 4" xfId="20891" xr:uid="{00000000-0005-0000-0000-000040DC0000}"/>
    <cellStyle name="Porcentaje 2 11 4 2" xfId="48024" xr:uid="{00000000-0005-0000-0000-000041DC0000}"/>
    <cellStyle name="Porcentaje 2 11 5" xfId="34462" xr:uid="{00000000-0005-0000-0000-000042DC0000}"/>
    <cellStyle name="Porcentaje 2 2" xfId="152" xr:uid="{00000000-0005-0000-0000-000043DC0000}"/>
    <cellStyle name="Porcentaje 2 2 2" xfId="7185" xr:uid="{00000000-0005-0000-0000-000044DC0000}"/>
    <cellStyle name="Porcentaje 2 2 3" xfId="7186" xr:uid="{00000000-0005-0000-0000-000045DC0000}"/>
    <cellStyle name="Porcentaje 2 2 3 2" xfId="7187" xr:uid="{00000000-0005-0000-0000-000046DC0000}"/>
    <cellStyle name="Porcentaje 2 2 3 3" xfId="7188" xr:uid="{00000000-0005-0000-0000-000047DC0000}"/>
    <cellStyle name="Porcentaje 2 2 4" xfId="58342" xr:uid="{00000000-0005-0000-0000-000048DC0000}"/>
    <cellStyle name="Porcentaje 2 3" xfId="7189" xr:uid="{00000000-0005-0000-0000-000049DC0000}"/>
    <cellStyle name="Porcentaje 2 3 2" xfId="7190" xr:uid="{00000000-0005-0000-0000-00004ADC0000}"/>
    <cellStyle name="Porcentaje 2 3 3" xfId="7191" xr:uid="{00000000-0005-0000-0000-00004BDC0000}"/>
    <cellStyle name="Porcentaje 2 3 4" xfId="7192" xr:uid="{00000000-0005-0000-0000-00004CDC0000}"/>
    <cellStyle name="Porcentaje 2 3 4 2" xfId="7193" xr:uid="{00000000-0005-0000-0000-00004DDC0000}"/>
    <cellStyle name="Porcentaje 2 4" xfId="7194" xr:uid="{00000000-0005-0000-0000-00004EDC0000}"/>
    <cellStyle name="Porcentaje 2 5" xfId="7195" xr:uid="{00000000-0005-0000-0000-00004FDC0000}"/>
    <cellStyle name="Porcentaje 2 5 2" xfId="7196" xr:uid="{00000000-0005-0000-0000-000050DC0000}"/>
    <cellStyle name="Porcentaje 2 6" xfId="7197" xr:uid="{00000000-0005-0000-0000-000051DC0000}"/>
    <cellStyle name="Porcentaje 2 7" xfId="7198" xr:uid="{00000000-0005-0000-0000-000052DC0000}"/>
    <cellStyle name="Porcentaje 2 7 10" xfId="7199" xr:uid="{00000000-0005-0000-0000-000053DC0000}"/>
    <cellStyle name="Porcentaje 2 7 10 2" xfId="10706" xr:uid="{00000000-0005-0000-0000-000054DC0000}"/>
    <cellStyle name="Porcentaje 2 7 10 2 2" xfId="17495" xr:uid="{00000000-0005-0000-0000-000055DC0000}"/>
    <cellStyle name="Porcentaje 2 7 10 2 2 2" xfId="31063" xr:uid="{00000000-0005-0000-0000-000056DC0000}"/>
    <cellStyle name="Porcentaje 2 7 10 2 2 2 2" xfId="58196" xr:uid="{00000000-0005-0000-0000-000057DC0000}"/>
    <cellStyle name="Porcentaje 2 7 10 2 2 3" xfId="44634" xr:uid="{00000000-0005-0000-0000-000058DC0000}"/>
    <cellStyle name="Porcentaje 2 7 10 2 3" xfId="24282" xr:uid="{00000000-0005-0000-0000-000059DC0000}"/>
    <cellStyle name="Porcentaje 2 7 10 2 3 2" xfId="51415" xr:uid="{00000000-0005-0000-0000-00005ADC0000}"/>
    <cellStyle name="Porcentaje 2 7 10 2 4" xfId="37853" xr:uid="{00000000-0005-0000-0000-00005BDC0000}"/>
    <cellStyle name="Porcentaje 2 7 10 3" xfId="14106" xr:uid="{00000000-0005-0000-0000-00005CDC0000}"/>
    <cellStyle name="Porcentaje 2 7 10 3 2" xfId="27674" xr:uid="{00000000-0005-0000-0000-00005DDC0000}"/>
    <cellStyle name="Porcentaje 2 7 10 3 2 2" xfId="54807" xr:uid="{00000000-0005-0000-0000-00005EDC0000}"/>
    <cellStyle name="Porcentaje 2 7 10 3 3" xfId="41245" xr:uid="{00000000-0005-0000-0000-00005FDC0000}"/>
    <cellStyle name="Porcentaje 2 7 10 4" xfId="20893" xr:uid="{00000000-0005-0000-0000-000060DC0000}"/>
    <cellStyle name="Porcentaje 2 7 10 4 2" xfId="48026" xr:uid="{00000000-0005-0000-0000-000061DC0000}"/>
    <cellStyle name="Porcentaje 2 7 10 5" xfId="34464" xr:uid="{00000000-0005-0000-0000-000062DC0000}"/>
    <cellStyle name="Porcentaje 2 7 11" xfId="10705" xr:uid="{00000000-0005-0000-0000-000063DC0000}"/>
    <cellStyle name="Porcentaje 2 7 11 2" xfId="17494" xr:uid="{00000000-0005-0000-0000-000064DC0000}"/>
    <cellStyle name="Porcentaje 2 7 11 2 2" xfId="31062" xr:uid="{00000000-0005-0000-0000-000065DC0000}"/>
    <cellStyle name="Porcentaje 2 7 11 2 2 2" xfId="58195" xr:uid="{00000000-0005-0000-0000-000066DC0000}"/>
    <cellStyle name="Porcentaje 2 7 11 2 3" xfId="44633" xr:uid="{00000000-0005-0000-0000-000067DC0000}"/>
    <cellStyle name="Porcentaje 2 7 11 3" xfId="24281" xr:uid="{00000000-0005-0000-0000-000068DC0000}"/>
    <cellStyle name="Porcentaje 2 7 11 3 2" xfId="51414" xr:uid="{00000000-0005-0000-0000-000069DC0000}"/>
    <cellStyle name="Porcentaje 2 7 11 4" xfId="37852" xr:uid="{00000000-0005-0000-0000-00006ADC0000}"/>
    <cellStyle name="Porcentaje 2 7 12" xfId="14105" xr:uid="{00000000-0005-0000-0000-00006BDC0000}"/>
    <cellStyle name="Porcentaje 2 7 12 2" xfId="27673" xr:uid="{00000000-0005-0000-0000-00006CDC0000}"/>
    <cellStyle name="Porcentaje 2 7 12 2 2" xfId="54806" xr:uid="{00000000-0005-0000-0000-00006DDC0000}"/>
    <cellStyle name="Porcentaje 2 7 12 3" xfId="41244" xr:uid="{00000000-0005-0000-0000-00006EDC0000}"/>
    <cellStyle name="Porcentaje 2 7 13" xfId="20892" xr:uid="{00000000-0005-0000-0000-00006FDC0000}"/>
    <cellStyle name="Porcentaje 2 7 13 2" xfId="48025" xr:uid="{00000000-0005-0000-0000-000070DC0000}"/>
    <cellStyle name="Porcentaje 2 7 14" xfId="34463" xr:uid="{00000000-0005-0000-0000-000071DC0000}"/>
    <cellStyle name="Porcentaje 2 7 2" xfId="7200" xr:uid="{00000000-0005-0000-0000-000072DC0000}"/>
    <cellStyle name="Porcentaje 2 7 2 10" xfId="14107" xr:uid="{00000000-0005-0000-0000-000073DC0000}"/>
    <cellStyle name="Porcentaje 2 7 2 10 2" xfId="27675" xr:uid="{00000000-0005-0000-0000-000074DC0000}"/>
    <cellStyle name="Porcentaje 2 7 2 10 2 2" xfId="54808" xr:uid="{00000000-0005-0000-0000-000075DC0000}"/>
    <cellStyle name="Porcentaje 2 7 2 10 3" xfId="41246" xr:uid="{00000000-0005-0000-0000-000076DC0000}"/>
    <cellStyle name="Porcentaje 2 7 2 11" xfId="20894" xr:uid="{00000000-0005-0000-0000-000077DC0000}"/>
    <cellStyle name="Porcentaje 2 7 2 11 2" xfId="48027" xr:uid="{00000000-0005-0000-0000-000078DC0000}"/>
    <cellStyle name="Porcentaje 2 7 2 12" xfId="34465" xr:uid="{00000000-0005-0000-0000-000079DC0000}"/>
    <cellStyle name="Porcentaje 2 7 2 2" xfId="7201" xr:uid="{00000000-0005-0000-0000-00007ADC0000}"/>
    <cellStyle name="Porcentaje 2 7 2 2 10" xfId="34466" xr:uid="{00000000-0005-0000-0000-00007BDC0000}"/>
    <cellStyle name="Porcentaje 2 7 2 2 2" xfId="7202" xr:uid="{00000000-0005-0000-0000-00007CDC0000}"/>
    <cellStyle name="Porcentaje 2 7 2 2 2 2" xfId="7203" xr:uid="{00000000-0005-0000-0000-00007DDC0000}"/>
    <cellStyle name="Porcentaje 2 7 2 2 2 2 2" xfId="7204" xr:uid="{00000000-0005-0000-0000-00007EDC0000}"/>
    <cellStyle name="Porcentaje 2 7 2 2 2 2 2 2" xfId="10711" xr:uid="{00000000-0005-0000-0000-00007FDC0000}"/>
    <cellStyle name="Porcentaje 2 7 2 2 2 2 2 2 2" xfId="17500" xr:uid="{00000000-0005-0000-0000-000080DC0000}"/>
    <cellStyle name="Porcentaje 2 7 2 2 2 2 2 2 2 2" xfId="31068" xr:uid="{00000000-0005-0000-0000-000081DC0000}"/>
    <cellStyle name="Porcentaje 2 7 2 2 2 2 2 2 2 2 2" xfId="58201" xr:uid="{00000000-0005-0000-0000-000082DC0000}"/>
    <cellStyle name="Porcentaje 2 7 2 2 2 2 2 2 2 3" xfId="44639" xr:uid="{00000000-0005-0000-0000-000083DC0000}"/>
    <cellStyle name="Porcentaje 2 7 2 2 2 2 2 2 3" xfId="24287" xr:uid="{00000000-0005-0000-0000-000084DC0000}"/>
    <cellStyle name="Porcentaje 2 7 2 2 2 2 2 2 3 2" xfId="51420" xr:uid="{00000000-0005-0000-0000-000085DC0000}"/>
    <cellStyle name="Porcentaje 2 7 2 2 2 2 2 2 4" xfId="37858" xr:uid="{00000000-0005-0000-0000-000086DC0000}"/>
    <cellStyle name="Porcentaje 2 7 2 2 2 2 2 3" xfId="14111" xr:uid="{00000000-0005-0000-0000-000087DC0000}"/>
    <cellStyle name="Porcentaje 2 7 2 2 2 2 2 3 2" xfId="27679" xr:uid="{00000000-0005-0000-0000-000088DC0000}"/>
    <cellStyle name="Porcentaje 2 7 2 2 2 2 2 3 2 2" xfId="54812" xr:uid="{00000000-0005-0000-0000-000089DC0000}"/>
    <cellStyle name="Porcentaje 2 7 2 2 2 2 2 3 3" xfId="41250" xr:uid="{00000000-0005-0000-0000-00008ADC0000}"/>
    <cellStyle name="Porcentaje 2 7 2 2 2 2 2 4" xfId="20898" xr:uid="{00000000-0005-0000-0000-00008BDC0000}"/>
    <cellStyle name="Porcentaje 2 7 2 2 2 2 2 4 2" xfId="48031" xr:uid="{00000000-0005-0000-0000-00008CDC0000}"/>
    <cellStyle name="Porcentaje 2 7 2 2 2 2 2 5" xfId="34469" xr:uid="{00000000-0005-0000-0000-00008DDC0000}"/>
    <cellStyle name="Porcentaje 2 7 2 2 2 2 3" xfId="7205" xr:uid="{00000000-0005-0000-0000-00008EDC0000}"/>
    <cellStyle name="Porcentaje 2 7 2 2 2 2 3 2" xfId="10712" xr:uid="{00000000-0005-0000-0000-00008FDC0000}"/>
    <cellStyle name="Porcentaje 2 7 2 2 2 2 3 2 2" xfId="17501" xr:uid="{00000000-0005-0000-0000-000090DC0000}"/>
    <cellStyle name="Porcentaje 2 7 2 2 2 2 3 2 2 2" xfId="31069" xr:uid="{00000000-0005-0000-0000-000091DC0000}"/>
    <cellStyle name="Porcentaje 2 7 2 2 2 2 3 2 2 2 2" xfId="58202" xr:uid="{00000000-0005-0000-0000-000092DC0000}"/>
    <cellStyle name="Porcentaje 2 7 2 2 2 2 3 2 2 3" xfId="44640" xr:uid="{00000000-0005-0000-0000-000093DC0000}"/>
    <cellStyle name="Porcentaje 2 7 2 2 2 2 3 2 3" xfId="24288" xr:uid="{00000000-0005-0000-0000-000094DC0000}"/>
    <cellStyle name="Porcentaje 2 7 2 2 2 2 3 2 3 2" xfId="51421" xr:uid="{00000000-0005-0000-0000-000095DC0000}"/>
    <cellStyle name="Porcentaje 2 7 2 2 2 2 3 2 4" xfId="37859" xr:uid="{00000000-0005-0000-0000-000096DC0000}"/>
    <cellStyle name="Porcentaje 2 7 2 2 2 2 3 3" xfId="14112" xr:uid="{00000000-0005-0000-0000-000097DC0000}"/>
    <cellStyle name="Porcentaje 2 7 2 2 2 2 3 3 2" xfId="27680" xr:uid="{00000000-0005-0000-0000-000098DC0000}"/>
    <cellStyle name="Porcentaje 2 7 2 2 2 2 3 3 2 2" xfId="54813" xr:uid="{00000000-0005-0000-0000-000099DC0000}"/>
    <cellStyle name="Porcentaje 2 7 2 2 2 2 3 3 3" xfId="41251" xr:uid="{00000000-0005-0000-0000-00009ADC0000}"/>
    <cellStyle name="Porcentaje 2 7 2 2 2 2 3 4" xfId="20899" xr:uid="{00000000-0005-0000-0000-00009BDC0000}"/>
    <cellStyle name="Porcentaje 2 7 2 2 2 2 3 4 2" xfId="48032" xr:uid="{00000000-0005-0000-0000-00009CDC0000}"/>
    <cellStyle name="Porcentaje 2 7 2 2 2 2 3 5" xfId="34470" xr:uid="{00000000-0005-0000-0000-00009DDC0000}"/>
    <cellStyle name="Porcentaje 2 7 2 2 2 2 4" xfId="10710" xr:uid="{00000000-0005-0000-0000-00009EDC0000}"/>
    <cellStyle name="Porcentaje 2 7 2 2 2 2 4 2" xfId="17499" xr:uid="{00000000-0005-0000-0000-00009FDC0000}"/>
    <cellStyle name="Porcentaje 2 7 2 2 2 2 4 2 2" xfId="31067" xr:uid="{00000000-0005-0000-0000-0000A0DC0000}"/>
    <cellStyle name="Porcentaje 2 7 2 2 2 2 4 2 2 2" xfId="58200" xr:uid="{00000000-0005-0000-0000-0000A1DC0000}"/>
    <cellStyle name="Porcentaje 2 7 2 2 2 2 4 2 3" xfId="44638" xr:uid="{00000000-0005-0000-0000-0000A2DC0000}"/>
    <cellStyle name="Porcentaje 2 7 2 2 2 2 4 3" xfId="24286" xr:uid="{00000000-0005-0000-0000-0000A3DC0000}"/>
    <cellStyle name="Porcentaje 2 7 2 2 2 2 4 3 2" xfId="51419" xr:uid="{00000000-0005-0000-0000-0000A4DC0000}"/>
    <cellStyle name="Porcentaje 2 7 2 2 2 2 4 4" xfId="37857" xr:uid="{00000000-0005-0000-0000-0000A5DC0000}"/>
    <cellStyle name="Porcentaje 2 7 2 2 2 2 5" xfId="14110" xr:uid="{00000000-0005-0000-0000-0000A6DC0000}"/>
    <cellStyle name="Porcentaje 2 7 2 2 2 2 5 2" xfId="27678" xr:uid="{00000000-0005-0000-0000-0000A7DC0000}"/>
    <cellStyle name="Porcentaje 2 7 2 2 2 2 5 2 2" xfId="54811" xr:uid="{00000000-0005-0000-0000-0000A8DC0000}"/>
    <cellStyle name="Porcentaje 2 7 2 2 2 2 5 3" xfId="41249" xr:uid="{00000000-0005-0000-0000-0000A9DC0000}"/>
    <cellStyle name="Porcentaje 2 7 2 2 2 2 6" xfId="20897" xr:uid="{00000000-0005-0000-0000-0000AADC0000}"/>
    <cellStyle name="Porcentaje 2 7 2 2 2 2 6 2" xfId="48030" xr:uid="{00000000-0005-0000-0000-0000ABDC0000}"/>
    <cellStyle name="Porcentaje 2 7 2 2 2 2 7" xfId="34468" xr:uid="{00000000-0005-0000-0000-0000ACDC0000}"/>
    <cellStyle name="Porcentaje 2 7 2 2 2 3" xfId="7206" xr:uid="{00000000-0005-0000-0000-0000ADDC0000}"/>
    <cellStyle name="Porcentaje 2 7 2 2 2 3 2" xfId="7207" xr:uid="{00000000-0005-0000-0000-0000AEDC0000}"/>
    <cellStyle name="Porcentaje 2 7 2 2 2 3 2 2" xfId="10714" xr:uid="{00000000-0005-0000-0000-0000AFDC0000}"/>
    <cellStyle name="Porcentaje 2 7 2 2 2 3 2 2 2" xfId="17503" xr:uid="{00000000-0005-0000-0000-0000B0DC0000}"/>
    <cellStyle name="Porcentaje 2 7 2 2 2 3 2 2 2 2" xfId="31071" xr:uid="{00000000-0005-0000-0000-0000B1DC0000}"/>
    <cellStyle name="Porcentaje 2 7 2 2 2 3 2 2 2 2 2" xfId="58204" xr:uid="{00000000-0005-0000-0000-0000B2DC0000}"/>
    <cellStyle name="Porcentaje 2 7 2 2 2 3 2 2 2 3" xfId="44642" xr:uid="{00000000-0005-0000-0000-0000B3DC0000}"/>
    <cellStyle name="Porcentaje 2 7 2 2 2 3 2 2 3" xfId="24290" xr:uid="{00000000-0005-0000-0000-0000B4DC0000}"/>
    <cellStyle name="Porcentaje 2 7 2 2 2 3 2 2 3 2" xfId="51423" xr:uid="{00000000-0005-0000-0000-0000B5DC0000}"/>
    <cellStyle name="Porcentaje 2 7 2 2 2 3 2 2 4" xfId="37861" xr:uid="{00000000-0005-0000-0000-0000B6DC0000}"/>
    <cellStyle name="Porcentaje 2 7 2 2 2 3 2 3" xfId="14114" xr:uid="{00000000-0005-0000-0000-0000B7DC0000}"/>
    <cellStyle name="Porcentaje 2 7 2 2 2 3 2 3 2" xfId="27682" xr:uid="{00000000-0005-0000-0000-0000B8DC0000}"/>
    <cellStyle name="Porcentaje 2 7 2 2 2 3 2 3 2 2" xfId="54815" xr:uid="{00000000-0005-0000-0000-0000B9DC0000}"/>
    <cellStyle name="Porcentaje 2 7 2 2 2 3 2 3 3" xfId="41253" xr:uid="{00000000-0005-0000-0000-0000BADC0000}"/>
    <cellStyle name="Porcentaje 2 7 2 2 2 3 2 4" xfId="20901" xr:uid="{00000000-0005-0000-0000-0000BBDC0000}"/>
    <cellStyle name="Porcentaje 2 7 2 2 2 3 2 4 2" xfId="48034" xr:uid="{00000000-0005-0000-0000-0000BCDC0000}"/>
    <cellStyle name="Porcentaje 2 7 2 2 2 3 2 5" xfId="34472" xr:uid="{00000000-0005-0000-0000-0000BDDC0000}"/>
    <cellStyle name="Porcentaje 2 7 2 2 2 3 3" xfId="10713" xr:uid="{00000000-0005-0000-0000-0000BEDC0000}"/>
    <cellStyle name="Porcentaje 2 7 2 2 2 3 3 2" xfId="17502" xr:uid="{00000000-0005-0000-0000-0000BFDC0000}"/>
    <cellStyle name="Porcentaje 2 7 2 2 2 3 3 2 2" xfId="31070" xr:uid="{00000000-0005-0000-0000-0000C0DC0000}"/>
    <cellStyle name="Porcentaje 2 7 2 2 2 3 3 2 2 2" xfId="58203" xr:uid="{00000000-0005-0000-0000-0000C1DC0000}"/>
    <cellStyle name="Porcentaje 2 7 2 2 2 3 3 2 3" xfId="44641" xr:uid="{00000000-0005-0000-0000-0000C2DC0000}"/>
    <cellStyle name="Porcentaje 2 7 2 2 2 3 3 3" xfId="24289" xr:uid="{00000000-0005-0000-0000-0000C3DC0000}"/>
    <cellStyle name="Porcentaje 2 7 2 2 2 3 3 3 2" xfId="51422" xr:uid="{00000000-0005-0000-0000-0000C4DC0000}"/>
    <cellStyle name="Porcentaje 2 7 2 2 2 3 3 4" xfId="37860" xr:uid="{00000000-0005-0000-0000-0000C5DC0000}"/>
    <cellStyle name="Porcentaje 2 7 2 2 2 3 4" xfId="14113" xr:uid="{00000000-0005-0000-0000-0000C6DC0000}"/>
    <cellStyle name="Porcentaje 2 7 2 2 2 3 4 2" xfId="27681" xr:uid="{00000000-0005-0000-0000-0000C7DC0000}"/>
    <cellStyle name="Porcentaje 2 7 2 2 2 3 4 2 2" xfId="54814" xr:uid="{00000000-0005-0000-0000-0000C8DC0000}"/>
    <cellStyle name="Porcentaje 2 7 2 2 2 3 4 3" xfId="41252" xr:uid="{00000000-0005-0000-0000-0000C9DC0000}"/>
    <cellStyle name="Porcentaje 2 7 2 2 2 3 5" xfId="20900" xr:uid="{00000000-0005-0000-0000-0000CADC0000}"/>
    <cellStyle name="Porcentaje 2 7 2 2 2 3 5 2" xfId="48033" xr:uid="{00000000-0005-0000-0000-0000CBDC0000}"/>
    <cellStyle name="Porcentaje 2 7 2 2 2 3 6" xfId="34471" xr:uid="{00000000-0005-0000-0000-0000CCDC0000}"/>
    <cellStyle name="Porcentaje 2 7 2 2 2 4" xfId="7208" xr:uid="{00000000-0005-0000-0000-0000CDDC0000}"/>
    <cellStyle name="Porcentaje 2 7 2 2 2 4 2" xfId="10715" xr:uid="{00000000-0005-0000-0000-0000CEDC0000}"/>
    <cellStyle name="Porcentaje 2 7 2 2 2 4 2 2" xfId="17504" xr:uid="{00000000-0005-0000-0000-0000CFDC0000}"/>
    <cellStyle name="Porcentaje 2 7 2 2 2 4 2 2 2" xfId="31072" xr:uid="{00000000-0005-0000-0000-0000D0DC0000}"/>
    <cellStyle name="Porcentaje 2 7 2 2 2 4 2 2 2 2" xfId="58205" xr:uid="{00000000-0005-0000-0000-0000D1DC0000}"/>
    <cellStyle name="Porcentaje 2 7 2 2 2 4 2 2 3" xfId="44643" xr:uid="{00000000-0005-0000-0000-0000D2DC0000}"/>
    <cellStyle name="Porcentaje 2 7 2 2 2 4 2 3" xfId="24291" xr:uid="{00000000-0005-0000-0000-0000D3DC0000}"/>
    <cellStyle name="Porcentaje 2 7 2 2 2 4 2 3 2" xfId="51424" xr:uid="{00000000-0005-0000-0000-0000D4DC0000}"/>
    <cellStyle name="Porcentaje 2 7 2 2 2 4 2 4" xfId="37862" xr:uid="{00000000-0005-0000-0000-0000D5DC0000}"/>
    <cellStyle name="Porcentaje 2 7 2 2 2 4 3" xfId="14115" xr:uid="{00000000-0005-0000-0000-0000D6DC0000}"/>
    <cellStyle name="Porcentaje 2 7 2 2 2 4 3 2" xfId="27683" xr:uid="{00000000-0005-0000-0000-0000D7DC0000}"/>
    <cellStyle name="Porcentaje 2 7 2 2 2 4 3 2 2" xfId="54816" xr:uid="{00000000-0005-0000-0000-0000D8DC0000}"/>
    <cellStyle name="Porcentaje 2 7 2 2 2 4 3 3" xfId="41254" xr:uid="{00000000-0005-0000-0000-0000D9DC0000}"/>
    <cellStyle name="Porcentaje 2 7 2 2 2 4 4" xfId="20902" xr:uid="{00000000-0005-0000-0000-0000DADC0000}"/>
    <cellStyle name="Porcentaje 2 7 2 2 2 4 4 2" xfId="48035" xr:uid="{00000000-0005-0000-0000-0000DBDC0000}"/>
    <cellStyle name="Porcentaje 2 7 2 2 2 4 5" xfId="34473" xr:uid="{00000000-0005-0000-0000-0000DCDC0000}"/>
    <cellStyle name="Porcentaje 2 7 2 2 2 5" xfId="7209" xr:uid="{00000000-0005-0000-0000-0000DDDC0000}"/>
    <cellStyle name="Porcentaje 2 7 2 2 2 5 2" xfId="10716" xr:uid="{00000000-0005-0000-0000-0000DEDC0000}"/>
    <cellStyle name="Porcentaje 2 7 2 2 2 5 2 2" xfId="17505" xr:uid="{00000000-0005-0000-0000-0000DFDC0000}"/>
    <cellStyle name="Porcentaje 2 7 2 2 2 5 2 2 2" xfId="31073" xr:uid="{00000000-0005-0000-0000-0000E0DC0000}"/>
    <cellStyle name="Porcentaje 2 7 2 2 2 5 2 2 2 2" xfId="58206" xr:uid="{00000000-0005-0000-0000-0000E1DC0000}"/>
    <cellStyle name="Porcentaje 2 7 2 2 2 5 2 2 3" xfId="44644" xr:uid="{00000000-0005-0000-0000-0000E2DC0000}"/>
    <cellStyle name="Porcentaje 2 7 2 2 2 5 2 3" xfId="24292" xr:uid="{00000000-0005-0000-0000-0000E3DC0000}"/>
    <cellStyle name="Porcentaje 2 7 2 2 2 5 2 3 2" xfId="51425" xr:uid="{00000000-0005-0000-0000-0000E4DC0000}"/>
    <cellStyle name="Porcentaje 2 7 2 2 2 5 2 4" xfId="37863" xr:uid="{00000000-0005-0000-0000-0000E5DC0000}"/>
    <cellStyle name="Porcentaje 2 7 2 2 2 5 3" xfId="14116" xr:uid="{00000000-0005-0000-0000-0000E6DC0000}"/>
    <cellStyle name="Porcentaje 2 7 2 2 2 5 3 2" xfId="27684" xr:uid="{00000000-0005-0000-0000-0000E7DC0000}"/>
    <cellStyle name="Porcentaje 2 7 2 2 2 5 3 2 2" xfId="54817" xr:uid="{00000000-0005-0000-0000-0000E8DC0000}"/>
    <cellStyle name="Porcentaje 2 7 2 2 2 5 3 3" xfId="41255" xr:uid="{00000000-0005-0000-0000-0000E9DC0000}"/>
    <cellStyle name="Porcentaje 2 7 2 2 2 5 4" xfId="20903" xr:uid="{00000000-0005-0000-0000-0000EADC0000}"/>
    <cellStyle name="Porcentaje 2 7 2 2 2 5 4 2" xfId="48036" xr:uid="{00000000-0005-0000-0000-0000EBDC0000}"/>
    <cellStyle name="Porcentaje 2 7 2 2 2 5 5" xfId="34474" xr:uid="{00000000-0005-0000-0000-0000ECDC0000}"/>
    <cellStyle name="Porcentaje 2 7 2 2 2 6" xfId="10709" xr:uid="{00000000-0005-0000-0000-0000EDDC0000}"/>
    <cellStyle name="Porcentaje 2 7 2 2 2 6 2" xfId="17498" xr:uid="{00000000-0005-0000-0000-0000EEDC0000}"/>
    <cellStyle name="Porcentaje 2 7 2 2 2 6 2 2" xfId="31066" xr:uid="{00000000-0005-0000-0000-0000EFDC0000}"/>
    <cellStyle name="Porcentaje 2 7 2 2 2 6 2 2 2" xfId="58199" xr:uid="{00000000-0005-0000-0000-0000F0DC0000}"/>
    <cellStyle name="Porcentaje 2 7 2 2 2 6 2 3" xfId="44637" xr:uid="{00000000-0005-0000-0000-0000F1DC0000}"/>
    <cellStyle name="Porcentaje 2 7 2 2 2 6 3" xfId="24285" xr:uid="{00000000-0005-0000-0000-0000F2DC0000}"/>
    <cellStyle name="Porcentaje 2 7 2 2 2 6 3 2" xfId="51418" xr:uid="{00000000-0005-0000-0000-0000F3DC0000}"/>
    <cellStyle name="Porcentaje 2 7 2 2 2 6 4" xfId="37856" xr:uid="{00000000-0005-0000-0000-0000F4DC0000}"/>
    <cellStyle name="Porcentaje 2 7 2 2 2 7" xfId="14109" xr:uid="{00000000-0005-0000-0000-0000F5DC0000}"/>
    <cellStyle name="Porcentaje 2 7 2 2 2 7 2" xfId="27677" xr:uid="{00000000-0005-0000-0000-0000F6DC0000}"/>
    <cellStyle name="Porcentaje 2 7 2 2 2 7 2 2" xfId="54810" xr:uid="{00000000-0005-0000-0000-0000F7DC0000}"/>
    <cellStyle name="Porcentaje 2 7 2 2 2 7 3" xfId="41248" xr:uid="{00000000-0005-0000-0000-0000F8DC0000}"/>
    <cellStyle name="Porcentaje 2 7 2 2 2 8" xfId="20896" xr:uid="{00000000-0005-0000-0000-0000F9DC0000}"/>
    <cellStyle name="Porcentaje 2 7 2 2 2 8 2" xfId="48029" xr:uid="{00000000-0005-0000-0000-0000FADC0000}"/>
    <cellStyle name="Porcentaje 2 7 2 2 2 9" xfId="34467" xr:uid="{00000000-0005-0000-0000-0000FBDC0000}"/>
    <cellStyle name="Porcentaje 2 7 2 2 3" xfId="7210" xr:uid="{00000000-0005-0000-0000-0000FCDC0000}"/>
    <cellStyle name="Porcentaje 2 7 2 2 3 2" xfId="7211" xr:uid="{00000000-0005-0000-0000-0000FDDC0000}"/>
    <cellStyle name="Porcentaje 2 7 2 2 3 2 2" xfId="10718" xr:uid="{00000000-0005-0000-0000-0000FEDC0000}"/>
    <cellStyle name="Porcentaje 2 7 2 2 3 2 2 2" xfId="17507" xr:uid="{00000000-0005-0000-0000-0000FFDC0000}"/>
    <cellStyle name="Porcentaje 2 7 2 2 3 2 2 2 2" xfId="31075" xr:uid="{00000000-0005-0000-0000-000000DD0000}"/>
    <cellStyle name="Porcentaje 2 7 2 2 3 2 2 2 2 2" xfId="58208" xr:uid="{00000000-0005-0000-0000-000001DD0000}"/>
    <cellStyle name="Porcentaje 2 7 2 2 3 2 2 2 3" xfId="44646" xr:uid="{00000000-0005-0000-0000-000002DD0000}"/>
    <cellStyle name="Porcentaje 2 7 2 2 3 2 2 3" xfId="24294" xr:uid="{00000000-0005-0000-0000-000003DD0000}"/>
    <cellStyle name="Porcentaje 2 7 2 2 3 2 2 3 2" xfId="51427" xr:uid="{00000000-0005-0000-0000-000004DD0000}"/>
    <cellStyle name="Porcentaje 2 7 2 2 3 2 2 4" xfId="37865" xr:uid="{00000000-0005-0000-0000-000005DD0000}"/>
    <cellStyle name="Porcentaje 2 7 2 2 3 2 3" xfId="14118" xr:uid="{00000000-0005-0000-0000-000006DD0000}"/>
    <cellStyle name="Porcentaje 2 7 2 2 3 2 3 2" xfId="27686" xr:uid="{00000000-0005-0000-0000-000007DD0000}"/>
    <cellStyle name="Porcentaje 2 7 2 2 3 2 3 2 2" xfId="54819" xr:uid="{00000000-0005-0000-0000-000008DD0000}"/>
    <cellStyle name="Porcentaje 2 7 2 2 3 2 3 3" xfId="41257" xr:uid="{00000000-0005-0000-0000-000009DD0000}"/>
    <cellStyle name="Porcentaje 2 7 2 2 3 2 4" xfId="20905" xr:uid="{00000000-0005-0000-0000-00000ADD0000}"/>
    <cellStyle name="Porcentaje 2 7 2 2 3 2 4 2" xfId="48038" xr:uid="{00000000-0005-0000-0000-00000BDD0000}"/>
    <cellStyle name="Porcentaje 2 7 2 2 3 2 5" xfId="34476" xr:uid="{00000000-0005-0000-0000-00000CDD0000}"/>
    <cellStyle name="Porcentaje 2 7 2 2 3 3" xfId="7212" xr:uid="{00000000-0005-0000-0000-00000DDD0000}"/>
    <cellStyle name="Porcentaje 2 7 2 2 3 3 2" xfId="10719" xr:uid="{00000000-0005-0000-0000-00000EDD0000}"/>
    <cellStyle name="Porcentaje 2 7 2 2 3 3 2 2" xfId="17508" xr:uid="{00000000-0005-0000-0000-00000FDD0000}"/>
    <cellStyle name="Porcentaje 2 7 2 2 3 3 2 2 2" xfId="31076" xr:uid="{00000000-0005-0000-0000-000010DD0000}"/>
    <cellStyle name="Porcentaje 2 7 2 2 3 3 2 2 2 2" xfId="58209" xr:uid="{00000000-0005-0000-0000-000011DD0000}"/>
    <cellStyle name="Porcentaje 2 7 2 2 3 3 2 2 3" xfId="44647" xr:uid="{00000000-0005-0000-0000-000012DD0000}"/>
    <cellStyle name="Porcentaje 2 7 2 2 3 3 2 3" xfId="24295" xr:uid="{00000000-0005-0000-0000-000013DD0000}"/>
    <cellStyle name="Porcentaje 2 7 2 2 3 3 2 3 2" xfId="51428" xr:uid="{00000000-0005-0000-0000-000014DD0000}"/>
    <cellStyle name="Porcentaje 2 7 2 2 3 3 2 4" xfId="37866" xr:uid="{00000000-0005-0000-0000-000015DD0000}"/>
    <cellStyle name="Porcentaje 2 7 2 2 3 3 3" xfId="14119" xr:uid="{00000000-0005-0000-0000-000016DD0000}"/>
    <cellStyle name="Porcentaje 2 7 2 2 3 3 3 2" xfId="27687" xr:uid="{00000000-0005-0000-0000-000017DD0000}"/>
    <cellStyle name="Porcentaje 2 7 2 2 3 3 3 2 2" xfId="54820" xr:uid="{00000000-0005-0000-0000-000018DD0000}"/>
    <cellStyle name="Porcentaje 2 7 2 2 3 3 3 3" xfId="41258" xr:uid="{00000000-0005-0000-0000-000019DD0000}"/>
    <cellStyle name="Porcentaje 2 7 2 2 3 3 4" xfId="20906" xr:uid="{00000000-0005-0000-0000-00001ADD0000}"/>
    <cellStyle name="Porcentaje 2 7 2 2 3 3 4 2" xfId="48039" xr:uid="{00000000-0005-0000-0000-00001BDD0000}"/>
    <cellStyle name="Porcentaje 2 7 2 2 3 3 5" xfId="34477" xr:uid="{00000000-0005-0000-0000-00001CDD0000}"/>
    <cellStyle name="Porcentaje 2 7 2 2 3 4" xfId="10717" xr:uid="{00000000-0005-0000-0000-00001DDD0000}"/>
    <cellStyle name="Porcentaje 2 7 2 2 3 4 2" xfId="17506" xr:uid="{00000000-0005-0000-0000-00001EDD0000}"/>
    <cellStyle name="Porcentaje 2 7 2 2 3 4 2 2" xfId="31074" xr:uid="{00000000-0005-0000-0000-00001FDD0000}"/>
    <cellStyle name="Porcentaje 2 7 2 2 3 4 2 2 2" xfId="58207" xr:uid="{00000000-0005-0000-0000-000020DD0000}"/>
    <cellStyle name="Porcentaje 2 7 2 2 3 4 2 3" xfId="44645" xr:uid="{00000000-0005-0000-0000-000021DD0000}"/>
    <cellStyle name="Porcentaje 2 7 2 2 3 4 3" xfId="24293" xr:uid="{00000000-0005-0000-0000-000022DD0000}"/>
    <cellStyle name="Porcentaje 2 7 2 2 3 4 3 2" xfId="51426" xr:uid="{00000000-0005-0000-0000-000023DD0000}"/>
    <cellStyle name="Porcentaje 2 7 2 2 3 4 4" xfId="37864" xr:uid="{00000000-0005-0000-0000-000024DD0000}"/>
    <cellStyle name="Porcentaje 2 7 2 2 3 5" xfId="14117" xr:uid="{00000000-0005-0000-0000-000025DD0000}"/>
    <cellStyle name="Porcentaje 2 7 2 2 3 5 2" xfId="27685" xr:uid="{00000000-0005-0000-0000-000026DD0000}"/>
    <cellStyle name="Porcentaje 2 7 2 2 3 5 2 2" xfId="54818" xr:uid="{00000000-0005-0000-0000-000027DD0000}"/>
    <cellStyle name="Porcentaje 2 7 2 2 3 5 3" xfId="41256" xr:uid="{00000000-0005-0000-0000-000028DD0000}"/>
    <cellStyle name="Porcentaje 2 7 2 2 3 6" xfId="20904" xr:uid="{00000000-0005-0000-0000-000029DD0000}"/>
    <cellStyle name="Porcentaje 2 7 2 2 3 6 2" xfId="48037" xr:uid="{00000000-0005-0000-0000-00002ADD0000}"/>
    <cellStyle name="Porcentaje 2 7 2 2 3 7" xfId="34475" xr:uid="{00000000-0005-0000-0000-00002BDD0000}"/>
    <cellStyle name="Porcentaje 2 7 2 2 4" xfId="7213" xr:uid="{00000000-0005-0000-0000-00002CDD0000}"/>
    <cellStyle name="Porcentaje 2 7 2 2 4 2" xfId="7214" xr:uid="{00000000-0005-0000-0000-00002DDD0000}"/>
    <cellStyle name="Porcentaje 2 7 2 2 4 2 2" xfId="10721" xr:uid="{00000000-0005-0000-0000-00002EDD0000}"/>
    <cellStyle name="Porcentaje 2 7 2 2 4 2 2 2" xfId="17510" xr:uid="{00000000-0005-0000-0000-00002FDD0000}"/>
    <cellStyle name="Porcentaje 2 7 2 2 4 2 2 2 2" xfId="31078" xr:uid="{00000000-0005-0000-0000-000030DD0000}"/>
    <cellStyle name="Porcentaje 2 7 2 2 4 2 2 2 2 2" xfId="58211" xr:uid="{00000000-0005-0000-0000-000031DD0000}"/>
    <cellStyle name="Porcentaje 2 7 2 2 4 2 2 2 3" xfId="44649" xr:uid="{00000000-0005-0000-0000-000032DD0000}"/>
    <cellStyle name="Porcentaje 2 7 2 2 4 2 2 3" xfId="24297" xr:uid="{00000000-0005-0000-0000-000033DD0000}"/>
    <cellStyle name="Porcentaje 2 7 2 2 4 2 2 3 2" xfId="51430" xr:uid="{00000000-0005-0000-0000-000034DD0000}"/>
    <cellStyle name="Porcentaje 2 7 2 2 4 2 2 4" xfId="37868" xr:uid="{00000000-0005-0000-0000-000035DD0000}"/>
    <cellStyle name="Porcentaje 2 7 2 2 4 2 3" xfId="14121" xr:uid="{00000000-0005-0000-0000-000036DD0000}"/>
    <cellStyle name="Porcentaje 2 7 2 2 4 2 3 2" xfId="27689" xr:uid="{00000000-0005-0000-0000-000037DD0000}"/>
    <cellStyle name="Porcentaje 2 7 2 2 4 2 3 2 2" xfId="54822" xr:uid="{00000000-0005-0000-0000-000038DD0000}"/>
    <cellStyle name="Porcentaje 2 7 2 2 4 2 3 3" xfId="41260" xr:uid="{00000000-0005-0000-0000-000039DD0000}"/>
    <cellStyle name="Porcentaje 2 7 2 2 4 2 4" xfId="20908" xr:uid="{00000000-0005-0000-0000-00003ADD0000}"/>
    <cellStyle name="Porcentaje 2 7 2 2 4 2 4 2" xfId="48041" xr:uid="{00000000-0005-0000-0000-00003BDD0000}"/>
    <cellStyle name="Porcentaje 2 7 2 2 4 2 5" xfId="34479" xr:uid="{00000000-0005-0000-0000-00003CDD0000}"/>
    <cellStyle name="Porcentaje 2 7 2 2 4 3" xfId="10720" xr:uid="{00000000-0005-0000-0000-00003DDD0000}"/>
    <cellStyle name="Porcentaje 2 7 2 2 4 3 2" xfId="17509" xr:uid="{00000000-0005-0000-0000-00003EDD0000}"/>
    <cellStyle name="Porcentaje 2 7 2 2 4 3 2 2" xfId="31077" xr:uid="{00000000-0005-0000-0000-00003FDD0000}"/>
    <cellStyle name="Porcentaje 2 7 2 2 4 3 2 2 2" xfId="58210" xr:uid="{00000000-0005-0000-0000-000040DD0000}"/>
    <cellStyle name="Porcentaje 2 7 2 2 4 3 2 3" xfId="44648" xr:uid="{00000000-0005-0000-0000-000041DD0000}"/>
    <cellStyle name="Porcentaje 2 7 2 2 4 3 3" xfId="24296" xr:uid="{00000000-0005-0000-0000-000042DD0000}"/>
    <cellStyle name="Porcentaje 2 7 2 2 4 3 3 2" xfId="51429" xr:uid="{00000000-0005-0000-0000-000043DD0000}"/>
    <cellStyle name="Porcentaje 2 7 2 2 4 3 4" xfId="37867" xr:uid="{00000000-0005-0000-0000-000044DD0000}"/>
    <cellStyle name="Porcentaje 2 7 2 2 4 4" xfId="14120" xr:uid="{00000000-0005-0000-0000-000045DD0000}"/>
    <cellStyle name="Porcentaje 2 7 2 2 4 4 2" xfId="27688" xr:uid="{00000000-0005-0000-0000-000046DD0000}"/>
    <cellStyle name="Porcentaje 2 7 2 2 4 4 2 2" xfId="54821" xr:uid="{00000000-0005-0000-0000-000047DD0000}"/>
    <cellStyle name="Porcentaje 2 7 2 2 4 4 3" xfId="41259" xr:uid="{00000000-0005-0000-0000-000048DD0000}"/>
    <cellStyle name="Porcentaje 2 7 2 2 4 5" xfId="20907" xr:uid="{00000000-0005-0000-0000-000049DD0000}"/>
    <cellStyle name="Porcentaje 2 7 2 2 4 5 2" xfId="48040" xr:uid="{00000000-0005-0000-0000-00004ADD0000}"/>
    <cellStyle name="Porcentaje 2 7 2 2 4 6" xfId="34478" xr:uid="{00000000-0005-0000-0000-00004BDD0000}"/>
    <cellStyle name="Porcentaje 2 7 2 2 5" xfId="7215" xr:uid="{00000000-0005-0000-0000-00004CDD0000}"/>
    <cellStyle name="Porcentaje 2 7 2 2 5 2" xfId="10722" xr:uid="{00000000-0005-0000-0000-00004DDD0000}"/>
    <cellStyle name="Porcentaje 2 7 2 2 5 2 2" xfId="17511" xr:uid="{00000000-0005-0000-0000-00004EDD0000}"/>
    <cellStyle name="Porcentaje 2 7 2 2 5 2 2 2" xfId="31079" xr:uid="{00000000-0005-0000-0000-00004FDD0000}"/>
    <cellStyle name="Porcentaje 2 7 2 2 5 2 2 2 2" xfId="58212" xr:uid="{00000000-0005-0000-0000-000050DD0000}"/>
    <cellStyle name="Porcentaje 2 7 2 2 5 2 2 3" xfId="44650" xr:uid="{00000000-0005-0000-0000-000051DD0000}"/>
    <cellStyle name="Porcentaje 2 7 2 2 5 2 3" xfId="24298" xr:uid="{00000000-0005-0000-0000-000052DD0000}"/>
    <cellStyle name="Porcentaje 2 7 2 2 5 2 3 2" xfId="51431" xr:uid="{00000000-0005-0000-0000-000053DD0000}"/>
    <cellStyle name="Porcentaje 2 7 2 2 5 2 4" xfId="37869" xr:uid="{00000000-0005-0000-0000-000054DD0000}"/>
    <cellStyle name="Porcentaje 2 7 2 2 5 3" xfId="14122" xr:uid="{00000000-0005-0000-0000-000055DD0000}"/>
    <cellStyle name="Porcentaje 2 7 2 2 5 3 2" xfId="27690" xr:uid="{00000000-0005-0000-0000-000056DD0000}"/>
    <cellStyle name="Porcentaje 2 7 2 2 5 3 2 2" xfId="54823" xr:uid="{00000000-0005-0000-0000-000057DD0000}"/>
    <cellStyle name="Porcentaje 2 7 2 2 5 3 3" xfId="41261" xr:uid="{00000000-0005-0000-0000-000058DD0000}"/>
    <cellStyle name="Porcentaje 2 7 2 2 5 4" xfId="20909" xr:uid="{00000000-0005-0000-0000-000059DD0000}"/>
    <cellStyle name="Porcentaje 2 7 2 2 5 4 2" xfId="48042" xr:uid="{00000000-0005-0000-0000-00005ADD0000}"/>
    <cellStyle name="Porcentaje 2 7 2 2 5 5" xfId="34480" xr:uid="{00000000-0005-0000-0000-00005BDD0000}"/>
    <cellStyle name="Porcentaje 2 7 2 2 6" xfId="7216" xr:uid="{00000000-0005-0000-0000-00005CDD0000}"/>
    <cellStyle name="Porcentaje 2 7 2 2 6 2" xfId="10723" xr:uid="{00000000-0005-0000-0000-00005DDD0000}"/>
    <cellStyle name="Porcentaje 2 7 2 2 6 2 2" xfId="17512" xr:uid="{00000000-0005-0000-0000-00005EDD0000}"/>
    <cellStyle name="Porcentaje 2 7 2 2 6 2 2 2" xfId="31080" xr:uid="{00000000-0005-0000-0000-00005FDD0000}"/>
    <cellStyle name="Porcentaje 2 7 2 2 6 2 2 2 2" xfId="58213" xr:uid="{00000000-0005-0000-0000-000060DD0000}"/>
    <cellStyle name="Porcentaje 2 7 2 2 6 2 2 3" xfId="44651" xr:uid="{00000000-0005-0000-0000-000061DD0000}"/>
    <cellStyle name="Porcentaje 2 7 2 2 6 2 3" xfId="24299" xr:uid="{00000000-0005-0000-0000-000062DD0000}"/>
    <cellStyle name="Porcentaje 2 7 2 2 6 2 3 2" xfId="51432" xr:uid="{00000000-0005-0000-0000-000063DD0000}"/>
    <cellStyle name="Porcentaje 2 7 2 2 6 2 4" xfId="37870" xr:uid="{00000000-0005-0000-0000-000064DD0000}"/>
    <cellStyle name="Porcentaje 2 7 2 2 6 3" xfId="14123" xr:uid="{00000000-0005-0000-0000-000065DD0000}"/>
    <cellStyle name="Porcentaje 2 7 2 2 6 3 2" xfId="27691" xr:uid="{00000000-0005-0000-0000-000066DD0000}"/>
    <cellStyle name="Porcentaje 2 7 2 2 6 3 2 2" xfId="54824" xr:uid="{00000000-0005-0000-0000-000067DD0000}"/>
    <cellStyle name="Porcentaje 2 7 2 2 6 3 3" xfId="41262" xr:uid="{00000000-0005-0000-0000-000068DD0000}"/>
    <cellStyle name="Porcentaje 2 7 2 2 6 4" xfId="20910" xr:uid="{00000000-0005-0000-0000-000069DD0000}"/>
    <cellStyle name="Porcentaje 2 7 2 2 6 4 2" xfId="48043" xr:uid="{00000000-0005-0000-0000-00006ADD0000}"/>
    <cellStyle name="Porcentaje 2 7 2 2 6 5" xfId="34481" xr:uid="{00000000-0005-0000-0000-00006BDD0000}"/>
    <cellStyle name="Porcentaje 2 7 2 2 7" xfId="10708" xr:uid="{00000000-0005-0000-0000-00006CDD0000}"/>
    <cellStyle name="Porcentaje 2 7 2 2 7 2" xfId="17497" xr:uid="{00000000-0005-0000-0000-00006DDD0000}"/>
    <cellStyle name="Porcentaje 2 7 2 2 7 2 2" xfId="31065" xr:uid="{00000000-0005-0000-0000-00006EDD0000}"/>
    <cellStyle name="Porcentaje 2 7 2 2 7 2 2 2" xfId="58198" xr:uid="{00000000-0005-0000-0000-00006FDD0000}"/>
    <cellStyle name="Porcentaje 2 7 2 2 7 2 3" xfId="44636" xr:uid="{00000000-0005-0000-0000-000070DD0000}"/>
    <cellStyle name="Porcentaje 2 7 2 2 7 3" xfId="24284" xr:uid="{00000000-0005-0000-0000-000071DD0000}"/>
    <cellStyle name="Porcentaje 2 7 2 2 7 3 2" xfId="51417" xr:uid="{00000000-0005-0000-0000-000072DD0000}"/>
    <cellStyle name="Porcentaje 2 7 2 2 7 4" xfId="37855" xr:uid="{00000000-0005-0000-0000-000073DD0000}"/>
    <cellStyle name="Porcentaje 2 7 2 2 8" xfId="14108" xr:uid="{00000000-0005-0000-0000-000074DD0000}"/>
    <cellStyle name="Porcentaje 2 7 2 2 8 2" xfId="27676" xr:uid="{00000000-0005-0000-0000-000075DD0000}"/>
    <cellStyle name="Porcentaje 2 7 2 2 8 2 2" xfId="54809" xr:uid="{00000000-0005-0000-0000-000076DD0000}"/>
    <cellStyle name="Porcentaje 2 7 2 2 8 3" xfId="41247" xr:uid="{00000000-0005-0000-0000-000077DD0000}"/>
    <cellStyle name="Porcentaje 2 7 2 2 9" xfId="20895" xr:uid="{00000000-0005-0000-0000-000078DD0000}"/>
    <cellStyle name="Porcentaje 2 7 2 2 9 2" xfId="48028" xr:uid="{00000000-0005-0000-0000-000079DD0000}"/>
    <cellStyle name="Porcentaje 2 7 2 3" xfId="7217" xr:uid="{00000000-0005-0000-0000-00007ADD0000}"/>
    <cellStyle name="Porcentaje 2 7 2 3 2" xfId="7218" xr:uid="{00000000-0005-0000-0000-00007BDD0000}"/>
    <cellStyle name="Porcentaje 2 7 2 3 2 2" xfId="7219" xr:uid="{00000000-0005-0000-0000-00007CDD0000}"/>
    <cellStyle name="Porcentaje 2 7 2 3 2 2 2" xfId="10726" xr:uid="{00000000-0005-0000-0000-00007DDD0000}"/>
    <cellStyle name="Porcentaje 2 7 2 3 2 2 2 2" xfId="17515" xr:uid="{00000000-0005-0000-0000-00007EDD0000}"/>
    <cellStyle name="Porcentaje 2 7 2 3 2 2 2 2 2" xfId="31083" xr:uid="{00000000-0005-0000-0000-00007FDD0000}"/>
    <cellStyle name="Porcentaje 2 7 2 3 2 2 2 2 2 2" xfId="58216" xr:uid="{00000000-0005-0000-0000-000080DD0000}"/>
    <cellStyle name="Porcentaje 2 7 2 3 2 2 2 2 3" xfId="44654" xr:uid="{00000000-0005-0000-0000-000081DD0000}"/>
    <cellStyle name="Porcentaje 2 7 2 3 2 2 2 3" xfId="24302" xr:uid="{00000000-0005-0000-0000-000082DD0000}"/>
    <cellStyle name="Porcentaje 2 7 2 3 2 2 2 3 2" xfId="51435" xr:uid="{00000000-0005-0000-0000-000083DD0000}"/>
    <cellStyle name="Porcentaje 2 7 2 3 2 2 2 4" xfId="37873" xr:uid="{00000000-0005-0000-0000-000084DD0000}"/>
    <cellStyle name="Porcentaje 2 7 2 3 2 2 3" xfId="14126" xr:uid="{00000000-0005-0000-0000-000085DD0000}"/>
    <cellStyle name="Porcentaje 2 7 2 3 2 2 3 2" xfId="27694" xr:uid="{00000000-0005-0000-0000-000086DD0000}"/>
    <cellStyle name="Porcentaje 2 7 2 3 2 2 3 2 2" xfId="54827" xr:uid="{00000000-0005-0000-0000-000087DD0000}"/>
    <cellStyle name="Porcentaje 2 7 2 3 2 2 3 3" xfId="41265" xr:uid="{00000000-0005-0000-0000-000088DD0000}"/>
    <cellStyle name="Porcentaje 2 7 2 3 2 2 4" xfId="20913" xr:uid="{00000000-0005-0000-0000-000089DD0000}"/>
    <cellStyle name="Porcentaje 2 7 2 3 2 2 4 2" xfId="48046" xr:uid="{00000000-0005-0000-0000-00008ADD0000}"/>
    <cellStyle name="Porcentaje 2 7 2 3 2 2 5" xfId="34484" xr:uid="{00000000-0005-0000-0000-00008BDD0000}"/>
    <cellStyle name="Porcentaje 2 7 2 3 2 3" xfId="7220" xr:uid="{00000000-0005-0000-0000-00008CDD0000}"/>
    <cellStyle name="Porcentaje 2 7 2 3 2 3 2" xfId="10727" xr:uid="{00000000-0005-0000-0000-00008DDD0000}"/>
    <cellStyle name="Porcentaje 2 7 2 3 2 3 2 2" xfId="17516" xr:uid="{00000000-0005-0000-0000-00008EDD0000}"/>
    <cellStyle name="Porcentaje 2 7 2 3 2 3 2 2 2" xfId="31084" xr:uid="{00000000-0005-0000-0000-00008FDD0000}"/>
    <cellStyle name="Porcentaje 2 7 2 3 2 3 2 2 2 2" xfId="58217" xr:uid="{00000000-0005-0000-0000-000090DD0000}"/>
    <cellStyle name="Porcentaje 2 7 2 3 2 3 2 2 3" xfId="44655" xr:uid="{00000000-0005-0000-0000-000091DD0000}"/>
    <cellStyle name="Porcentaje 2 7 2 3 2 3 2 3" xfId="24303" xr:uid="{00000000-0005-0000-0000-000092DD0000}"/>
    <cellStyle name="Porcentaje 2 7 2 3 2 3 2 3 2" xfId="51436" xr:uid="{00000000-0005-0000-0000-000093DD0000}"/>
    <cellStyle name="Porcentaje 2 7 2 3 2 3 2 4" xfId="37874" xr:uid="{00000000-0005-0000-0000-000094DD0000}"/>
    <cellStyle name="Porcentaje 2 7 2 3 2 3 3" xfId="14127" xr:uid="{00000000-0005-0000-0000-000095DD0000}"/>
    <cellStyle name="Porcentaje 2 7 2 3 2 3 3 2" xfId="27695" xr:uid="{00000000-0005-0000-0000-000096DD0000}"/>
    <cellStyle name="Porcentaje 2 7 2 3 2 3 3 2 2" xfId="54828" xr:uid="{00000000-0005-0000-0000-000097DD0000}"/>
    <cellStyle name="Porcentaje 2 7 2 3 2 3 3 3" xfId="41266" xr:uid="{00000000-0005-0000-0000-000098DD0000}"/>
    <cellStyle name="Porcentaje 2 7 2 3 2 3 4" xfId="20914" xr:uid="{00000000-0005-0000-0000-000099DD0000}"/>
    <cellStyle name="Porcentaje 2 7 2 3 2 3 4 2" xfId="48047" xr:uid="{00000000-0005-0000-0000-00009ADD0000}"/>
    <cellStyle name="Porcentaje 2 7 2 3 2 3 5" xfId="34485" xr:uid="{00000000-0005-0000-0000-00009BDD0000}"/>
    <cellStyle name="Porcentaje 2 7 2 3 2 4" xfId="10725" xr:uid="{00000000-0005-0000-0000-00009CDD0000}"/>
    <cellStyle name="Porcentaje 2 7 2 3 2 4 2" xfId="17514" xr:uid="{00000000-0005-0000-0000-00009DDD0000}"/>
    <cellStyle name="Porcentaje 2 7 2 3 2 4 2 2" xfId="31082" xr:uid="{00000000-0005-0000-0000-00009EDD0000}"/>
    <cellStyle name="Porcentaje 2 7 2 3 2 4 2 2 2" xfId="58215" xr:uid="{00000000-0005-0000-0000-00009FDD0000}"/>
    <cellStyle name="Porcentaje 2 7 2 3 2 4 2 3" xfId="44653" xr:uid="{00000000-0005-0000-0000-0000A0DD0000}"/>
    <cellStyle name="Porcentaje 2 7 2 3 2 4 3" xfId="24301" xr:uid="{00000000-0005-0000-0000-0000A1DD0000}"/>
    <cellStyle name="Porcentaje 2 7 2 3 2 4 3 2" xfId="51434" xr:uid="{00000000-0005-0000-0000-0000A2DD0000}"/>
    <cellStyle name="Porcentaje 2 7 2 3 2 4 4" xfId="37872" xr:uid="{00000000-0005-0000-0000-0000A3DD0000}"/>
    <cellStyle name="Porcentaje 2 7 2 3 2 5" xfId="14125" xr:uid="{00000000-0005-0000-0000-0000A4DD0000}"/>
    <cellStyle name="Porcentaje 2 7 2 3 2 5 2" xfId="27693" xr:uid="{00000000-0005-0000-0000-0000A5DD0000}"/>
    <cellStyle name="Porcentaje 2 7 2 3 2 5 2 2" xfId="54826" xr:uid="{00000000-0005-0000-0000-0000A6DD0000}"/>
    <cellStyle name="Porcentaje 2 7 2 3 2 5 3" xfId="41264" xr:uid="{00000000-0005-0000-0000-0000A7DD0000}"/>
    <cellStyle name="Porcentaje 2 7 2 3 2 6" xfId="20912" xr:uid="{00000000-0005-0000-0000-0000A8DD0000}"/>
    <cellStyle name="Porcentaje 2 7 2 3 2 6 2" xfId="48045" xr:uid="{00000000-0005-0000-0000-0000A9DD0000}"/>
    <cellStyle name="Porcentaje 2 7 2 3 2 7" xfId="34483" xr:uid="{00000000-0005-0000-0000-0000AADD0000}"/>
    <cellStyle name="Porcentaje 2 7 2 3 3" xfId="7221" xr:uid="{00000000-0005-0000-0000-0000ABDD0000}"/>
    <cellStyle name="Porcentaje 2 7 2 3 3 2" xfId="7222" xr:uid="{00000000-0005-0000-0000-0000ACDD0000}"/>
    <cellStyle name="Porcentaje 2 7 2 3 3 2 2" xfId="10729" xr:uid="{00000000-0005-0000-0000-0000ADDD0000}"/>
    <cellStyle name="Porcentaje 2 7 2 3 3 2 2 2" xfId="17518" xr:uid="{00000000-0005-0000-0000-0000AEDD0000}"/>
    <cellStyle name="Porcentaje 2 7 2 3 3 2 2 2 2" xfId="31086" xr:uid="{00000000-0005-0000-0000-0000AFDD0000}"/>
    <cellStyle name="Porcentaje 2 7 2 3 3 2 2 2 2 2" xfId="58219" xr:uid="{00000000-0005-0000-0000-0000B0DD0000}"/>
    <cellStyle name="Porcentaje 2 7 2 3 3 2 2 2 3" xfId="44657" xr:uid="{00000000-0005-0000-0000-0000B1DD0000}"/>
    <cellStyle name="Porcentaje 2 7 2 3 3 2 2 3" xfId="24305" xr:uid="{00000000-0005-0000-0000-0000B2DD0000}"/>
    <cellStyle name="Porcentaje 2 7 2 3 3 2 2 3 2" xfId="51438" xr:uid="{00000000-0005-0000-0000-0000B3DD0000}"/>
    <cellStyle name="Porcentaje 2 7 2 3 3 2 2 4" xfId="37876" xr:uid="{00000000-0005-0000-0000-0000B4DD0000}"/>
    <cellStyle name="Porcentaje 2 7 2 3 3 2 3" xfId="14129" xr:uid="{00000000-0005-0000-0000-0000B5DD0000}"/>
    <cellStyle name="Porcentaje 2 7 2 3 3 2 3 2" xfId="27697" xr:uid="{00000000-0005-0000-0000-0000B6DD0000}"/>
    <cellStyle name="Porcentaje 2 7 2 3 3 2 3 2 2" xfId="54830" xr:uid="{00000000-0005-0000-0000-0000B7DD0000}"/>
    <cellStyle name="Porcentaje 2 7 2 3 3 2 3 3" xfId="41268" xr:uid="{00000000-0005-0000-0000-0000B8DD0000}"/>
    <cellStyle name="Porcentaje 2 7 2 3 3 2 4" xfId="20916" xr:uid="{00000000-0005-0000-0000-0000B9DD0000}"/>
    <cellStyle name="Porcentaje 2 7 2 3 3 2 4 2" xfId="48049" xr:uid="{00000000-0005-0000-0000-0000BADD0000}"/>
    <cellStyle name="Porcentaje 2 7 2 3 3 2 5" xfId="34487" xr:uid="{00000000-0005-0000-0000-0000BBDD0000}"/>
    <cellStyle name="Porcentaje 2 7 2 3 3 3" xfId="10728" xr:uid="{00000000-0005-0000-0000-0000BCDD0000}"/>
    <cellStyle name="Porcentaje 2 7 2 3 3 3 2" xfId="17517" xr:uid="{00000000-0005-0000-0000-0000BDDD0000}"/>
    <cellStyle name="Porcentaje 2 7 2 3 3 3 2 2" xfId="31085" xr:uid="{00000000-0005-0000-0000-0000BEDD0000}"/>
    <cellStyle name="Porcentaje 2 7 2 3 3 3 2 2 2" xfId="58218" xr:uid="{00000000-0005-0000-0000-0000BFDD0000}"/>
    <cellStyle name="Porcentaje 2 7 2 3 3 3 2 3" xfId="44656" xr:uid="{00000000-0005-0000-0000-0000C0DD0000}"/>
    <cellStyle name="Porcentaje 2 7 2 3 3 3 3" xfId="24304" xr:uid="{00000000-0005-0000-0000-0000C1DD0000}"/>
    <cellStyle name="Porcentaje 2 7 2 3 3 3 3 2" xfId="51437" xr:uid="{00000000-0005-0000-0000-0000C2DD0000}"/>
    <cellStyle name="Porcentaje 2 7 2 3 3 3 4" xfId="37875" xr:uid="{00000000-0005-0000-0000-0000C3DD0000}"/>
    <cellStyle name="Porcentaje 2 7 2 3 3 4" xfId="14128" xr:uid="{00000000-0005-0000-0000-0000C4DD0000}"/>
    <cellStyle name="Porcentaje 2 7 2 3 3 4 2" xfId="27696" xr:uid="{00000000-0005-0000-0000-0000C5DD0000}"/>
    <cellStyle name="Porcentaje 2 7 2 3 3 4 2 2" xfId="54829" xr:uid="{00000000-0005-0000-0000-0000C6DD0000}"/>
    <cellStyle name="Porcentaje 2 7 2 3 3 4 3" xfId="41267" xr:uid="{00000000-0005-0000-0000-0000C7DD0000}"/>
    <cellStyle name="Porcentaje 2 7 2 3 3 5" xfId="20915" xr:uid="{00000000-0005-0000-0000-0000C8DD0000}"/>
    <cellStyle name="Porcentaje 2 7 2 3 3 5 2" xfId="48048" xr:uid="{00000000-0005-0000-0000-0000C9DD0000}"/>
    <cellStyle name="Porcentaje 2 7 2 3 3 6" xfId="34486" xr:uid="{00000000-0005-0000-0000-0000CADD0000}"/>
    <cellStyle name="Porcentaje 2 7 2 3 4" xfId="7223" xr:uid="{00000000-0005-0000-0000-0000CBDD0000}"/>
    <cellStyle name="Porcentaje 2 7 2 3 4 2" xfId="10730" xr:uid="{00000000-0005-0000-0000-0000CCDD0000}"/>
    <cellStyle name="Porcentaje 2 7 2 3 4 2 2" xfId="17519" xr:uid="{00000000-0005-0000-0000-0000CDDD0000}"/>
    <cellStyle name="Porcentaje 2 7 2 3 4 2 2 2" xfId="31087" xr:uid="{00000000-0005-0000-0000-0000CEDD0000}"/>
    <cellStyle name="Porcentaje 2 7 2 3 4 2 2 2 2" xfId="58220" xr:uid="{00000000-0005-0000-0000-0000CFDD0000}"/>
    <cellStyle name="Porcentaje 2 7 2 3 4 2 2 3" xfId="44658" xr:uid="{00000000-0005-0000-0000-0000D0DD0000}"/>
    <cellStyle name="Porcentaje 2 7 2 3 4 2 3" xfId="24306" xr:uid="{00000000-0005-0000-0000-0000D1DD0000}"/>
    <cellStyle name="Porcentaje 2 7 2 3 4 2 3 2" xfId="51439" xr:uid="{00000000-0005-0000-0000-0000D2DD0000}"/>
    <cellStyle name="Porcentaje 2 7 2 3 4 2 4" xfId="37877" xr:uid="{00000000-0005-0000-0000-0000D3DD0000}"/>
    <cellStyle name="Porcentaje 2 7 2 3 4 3" xfId="14130" xr:uid="{00000000-0005-0000-0000-0000D4DD0000}"/>
    <cellStyle name="Porcentaje 2 7 2 3 4 3 2" xfId="27698" xr:uid="{00000000-0005-0000-0000-0000D5DD0000}"/>
    <cellStyle name="Porcentaje 2 7 2 3 4 3 2 2" xfId="54831" xr:uid="{00000000-0005-0000-0000-0000D6DD0000}"/>
    <cellStyle name="Porcentaje 2 7 2 3 4 3 3" xfId="41269" xr:uid="{00000000-0005-0000-0000-0000D7DD0000}"/>
    <cellStyle name="Porcentaje 2 7 2 3 4 4" xfId="20917" xr:uid="{00000000-0005-0000-0000-0000D8DD0000}"/>
    <cellStyle name="Porcentaje 2 7 2 3 4 4 2" xfId="48050" xr:uid="{00000000-0005-0000-0000-0000D9DD0000}"/>
    <cellStyle name="Porcentaje 2 7 2 3 4 5" xfId="34488" xr:uid="{00000000-0005-0000-0000-0000DADD0000}"/>
    <cellStyle name="Porcentaje 2 7 2 3 5" xfId="7224" xr:uid="{00000000-0005-0000-0000-0000DBDD0000}"/>
    <cellStyle name="Porcentaje 2 7 2 3 5 2" xfId="10731" xr:uid="{00000000-0005-0000-0000-0000DCDD0000}"/>
    <cellStyle name="Porcentaje 2 7 2 3 5 2 2" xfId="17520" xr:uid="{00000000-0005-0000-0000-0000DDDD0000}"/>
    <cellStyle name="Porcentaje 2 7 2 3 5 2 2 2" xfId="31088" xr:uid="{00000000-0005-0000-0000-0000DEDD0000}"/>
    <cellStyle name="Porcentaje 2 7 2 3 5 2 2 2 2" xfId="58221" xr:uid="{00000000-0005-0000-0000-0000DFDD0000}"/>
    <cellStyle name="Porcentaje 2 7 2 3 5 2 2 3" xfId="44659" xr:uid="{00000000-0005-0000-0000-0000E0DD0000}"/>
    <cellStyle name="Porcentaje 2 7 2 3 5 2 3" xfId="24307" xr:uid="{00000000-0005-0000-0000-0000E1DD0000}"/>
    <cellStyle name="Porcentaje 2 7 2 3 5 2 3 2" xfId="51440" xr:uid="{00000000-0005-0000-0000-0000E2DD0000}"/>
    <cellStyle name="Porcentaje 2 7 2 3 5 2 4" xfId="37878" xr:uid="{00000000-0005-0000-0000-0000E3DD0000}"/>
    <cellStyle name="Porcentaje 2 7 2 3 5 3" xfId="14131" xr:uid="{00000000-0005-0000-0000-0000E4DD0000}"/>
    <cellStyle name="Porcentaje 2 7 2 3 5 3 2" xfId="27699" xr:uid="{00000000-0005-0000-0000-0000E5DD0000}"/>
    <cellStyle name="Porcentaje 2 7 2 3 5 3 2 2" xfId="54832" xr:uid="{00000000-0005-0000-0000-0000E6DD0000}"/>
    <cellStyle name="Porcentaje 2 7 2 3 5 3 3" xfId="41270" xr:uid="{00000000-0005-0000-0000-0000E7DD0000}"/>
    <cellStyle name="Porcentaje 2 7 2 3 5 4" xfId="20918" xr:uid="{00000000-0005-0000-0000-0000E8DD0000}"/>
    <cellStyle name="Porcentaje 2 7 2 3 5 4 2" xfId="48051" xr:uid="{00000000-0005-0000-0000-0000E9DD0000}"/>
    <cellStyle name="Porcentaje 2 7 2 3 5 5" xfId="34489" xr:uid="{00000000-0005-0000-0000-0000EADD0000}"/>
    <cellStyle name="Porcentaje 2 7 2 3 6" xfId="10724" xr:uid="{00000000-0005-0000-0000-0000EBDD0000}"/>
    <cellStyle name="Porcentaje 2 7 2 3 6 2" xfId="17513" xr:uid="{00000000-0005-0000-0000-0000ECDD0000}"/>
    <cellStyle name="Porcentaje 2 7 2 3 6 2 2" xfId="31081" xr:uid="{00000000-0005-0000-0000-0000EDDD0000}"/>
    <cellStyle name="Porcentaje 2 7 2 3 6 2 2 2" xfId="58214" xr:uid="{00000000-0005-0000-0000-0000EEDD0000}"/>
    <cellStyle name="Porcentaje 2 7 2 3 6 2 3" xfId="44652" xr:uid="{00000000-0005-0000-0000-0000EFDD0000}"/>
    <cellStyle name="Porcentaje 2 7 2 3 6 3" xfId="24300" xr:uid="{00000000-0005-0000-0000-0000F0DD0000}"/>
    <cellStyle name="Porcentaje 2 7 2 3 6 3 2" xfId="51433" xr:uid="{00000000-0005-0000-0000-0000F1DD0000}"/>
    <cellStyle name="Porcentaje 2 7 2 3 6 4" xfId="37871" xr:uid="{00000000-0005-0000-0000-0000F2DD0000}"/>
    <cellStyle name="Porcentaje 2 7 2 3 7" xfId="14124" xr:uid="{00000000-0005-0000-0000-0000F3DD0000}"/>
    <cellStyle name="Porcentaje 2 7 2 3 7 2" xfId="27692" xr:uid="{00000000-0005-0000-0000-0000F4DD0000}"/>
    <cellStyle name="Porcentaje 2 7 2 3 7 2 2" xfId="54825" xr:uid="{00000000-0005-0000-0000-0000F5DD0000}"/>
    <cellStyle name="Porcentaje 2 7 2 3 7 3" xfId="41263" xr:uid="{00000000-0005-0000-0000-0000F6DD0000}"/>
    <cellStyle name="Porcentaje 2 7 2 3 8" xfId="20911" xr:uid="{00000000-0005-0000-0000-0000F7DD0000}"/>
    <cellStyle name="Porcentaje 2 7 2 3 8 2" xfId="48044" xr:uid="{00000000-0005-0000-0000-0000F8DD0000}"/>
    <cellStyle name="Porcentaje 2 7 2 3 9" xfId="34482" xr:uid="{00000000-0005-0000-0000-0000F9DD0000}"/>
    <cellStyle name="Porcentaje 2 7 2 4" xfId="7225" xr:uid="{00000000-0005-0000-0000-0000FADD0000}"/>
    <cellStyle name="Porcentaje 2 7 2 4 2" xfId="7226" xr:uid="{00000000-0005-0000-0000-0000FBDD0000}"/>
    <cellStyle name="Porcentaje 2 7 2 4 2 2" xfId="7227" xr:uid="{00000000-0005-0000-0000-0000FCDD0000}"/>
    <cellStyle name="Porcentaje 2 7 2 4 2 2 2" xfId="10734" xr:uid="{00000000-0005-0000-0000-0000FDDD0000}"/>
    <cellStyle name="Porcentaje 2 7 2 4 2 2 2 2" xfId="17523" xr:uid="{00000000-0005-0000-0000-0000FEDD0000}"/>
    <cellStyle name="Porcentaje 2 7 2 4 2 2 2 2 2" xfId="31091" xr:uid="{00000000-0005-0000-0000-0000FFDD0000}"/>
    <cellStyle name="Porcentaje 2 7 2 4 2 2 2 2 2 2" xfId="58224" xr:uid="{00000000-0005-0000-0000-000000DE0000}"/>
    <cellStyle name="Porcentaje 2 7 2 4 2 2 2 2 3" xfId="44662" xr:uid="{00000000-0005-0000-0000-000001DE0000}"/>
    <cellStyle name="Porcentaje 2 7 2 4 2 2 2 3" xfId="24310" xr:uid="{00000000-0005-0000-0000-000002DE0000}"/>
    <cellStyle name="Porcentaje 2 7 2 4 2 2 2 3 2" xfId="51443" xr:uid="{00000000-0005-0000-0000-000003DE0000}"/>
    <cellStyle name="Porcentaje 2 7 2 4 2 2 2 4" xfId="37881" xr:uid="{00000000-0005-0000-0000-000004DE0000}"/>
    <cellStyle name="Porcentaje 2 7 2 4 2 2 3" xfId="14134" xr:uid="{00000000-0005-0000-0000-000005DE0000}"/>
    <cellStyle name="Porcentaje 2 7 2 4 2 2 3 2" xfId="27702" xr:uid="{00000000-0005-0000-0000-000006DE0000}"/>
    <cellStyle name="Porcentaje 2 7 2 4 2 2 3 2 2" xfId="54835" xr:uid="{00000000-0005-0000-0000-000007DE0000}"/>
    <cellStyle name="Porcentaje 2 7 2 4 2 2 3 3" xfId="41273" xr:uid="{00000000-0005-0000-0000-000008DE0000}"/>
    <cellStyle name="Porcentaje 2 7 2 4 2 2 4" xfId="20921" xr:uid="{00000000-0005-0000-0000-000009DE0000}"/>
    <cellStyle name="Porcentaje 2 7 2 4 2 2 4 2" xfId="48054" xr:uid="{00000000-0005-0000-0000-00000ADE0000}"/>
    <cellStyle name="Porcentaje 2 7 2 4 2 2 5" xfId="34492" xr:uid="{00000000-0005-0000-0000-00000BDE0000}"/>
    <cellStyle name="Porcentaje 2 7 2 4 2 3" xfId="7228" xr:uid="{00000000-0005-0000-0000-00000CDE0000}"/>
    <cellStyle name="Porcentaje 2 7 2 4 2 3 2" xfId="10735" xr:uid="{00000000-0005-0000-0000-00000DDE0000}"/>
    <cellStyle name="Porcentaje 2 7 2 4 2 3 2 2" xfId="17524" xr:uid="{00000000-0005-0000-0000-00000EDE0000}"/>
    <cellStyle name="Porcentaje 2 7 2 4 2 3 2 2 2" xfId="31092" xr:uid="{00000000-0005-0000-0000-00000FDE0000}"/>
    <cellStyle name="Porcentaje 2 7 2 4 2 3 2 2 2 2" xfId="58225" xr:uid="{00000000-0005-0000-0000-000010DE0000}"/>
    <cellStyle name="Porcentaje 2 7 2 4 2 3 2 2 3" xfId="44663" xr:uid="{00000000-0005-0000-0000-000011DE0000}"/>
    <cellStyle name="Porcentaje 2 7 2 4 2 3 2 3" xfId="24311" xr:uid="{00000000-0005-0000-0000-000012DE0000}"/>
    <cellStyle name="Porcentaje 2 7 2 4 2 3 2 3 2" xfId="51444" xr:uid="{00000000-0005-0000-0000-000013DE0000}"/>
    <cellStyle name="Porcentaje 2 7 2 4 2 3 2 4" xfId="37882" xr:uid="{00000000-0005-0000-0000-000014DE0000}"/>
    <cellStyle name="Porcentaje 2 7 2 4 2 3 3" xfId="14135" xr:uid="{00000000-0005-0000-0000-000015DE0000}"/>
    <cellStyle name="Porcentaje 2 7 2 4 2 3 3 2" xfId="27703" xr:uid="{00000000-0005-0000-0000-000016DE0000}"/>
    <cellStyle name="Porcentaje 2 7 2 4 2 3 3 2 2" xfId="54836" xr:uid="{00000000-0005-0000-0000-000017DE0000}"/>
    <cellStyle name="Porcentaje 2 7 2 4 2 3 3 3" xfId="41274" xr:uid="{00000000-0005-0000-0000-000018DE0000}"/>
    <cellStyle name="Porcentaje 2 7 2 4 2 3 4" xfId="20922" xr:uid="{00000000-0005-0000-0000-000019DE0000}"/>
    <cellStyle name="Porcentaje 2 7 2 4 2 3 4 2" xfId="48055" xr:uid="{00000000-0005-0000-0000-00001ADE0000}"/>
    <cellStyle name="Porcentaje 2 7 2 4 2 3 5" xfId="34493" xr:uid="{00000000-0005-0000-0000-00001BDE0000}"/>
    <cellStyle name="Porcentaje 2 7 2 4 2 4" xfId="10733" xr:uid="{00000000-0005-0000-0000-00001CDE0000}"/>
    <cellStyle name="Porcentaje 2 7 2 4 2 4 2" xfId="17522" xr:uid="{00000000-0005-0000-0000-00001DDE0000}"/>
    <cellStyle name="Porcentaje 2 7 2 4 2 4 2 2" xfId="31090" xr:uid="{00000000-0005-0000-0000-00001EDE0000}"/>
    <cellStyle name="Porcentaje 2 7 2 4 2 4 2 2 2" xfId="58223" xr:uid="{00000000-0005-0000-0000-00001FDE0000}"/>
    <cellStyle name="Porcentaje 2 7 2 4 2 4 2 3" xfId="44661" xr:uid="{00000000-0005-0000-0000-000020DE0000}"/>
    <cellStyle name="Porcentaje 2 7 2 4 2 4 3" xfId="24309" xr:uid="{00000000-0005-0000-0000-000021DE0000}"/>
    <cellStyle name="Porcentaje 2 7 2 4 2 4 3 2" xfId="51442" xr:uid="{00000000-0005-0000-0000-000022DE0000}"/>
    <cellStyle name="Porcentaje 2 7 2 4 2 4 4" xfId="37880" xr:uid="{00000000-0005-0000-0000-000023DE0000}"/>
    <cellStyle name="Porcentaje 2 7 2 4 2 5" xfId="14133" xr:uid="{00000000-0005-0000-0000-000024DE0000}"/>
    <cellStyle name="Porcentaje 2 7 2 4 2 5 2" xfId="27701" xr:uid="{00000000-0005-0000-0000-000025DE0000}"/>
    <cellStyle name="Porcentaje 2 7 2 4 2 5 2 2" xfId="54834" xr:uid="{00000000-0005-0000-0000-000026DE0000}"/>
    <cellStyle name="Porcentaje 2 7 2 4 2 5 3" xfId="41272" xr:uid="{00000000-0005-0000-0000-000027DE0000}"/>
    <cellStyle name="Porcentaje 2 7 2 4 2 6" xfId="20920" xr:uid="{00000000-0005-0000-0000-000028DE0000}"/>
    <cellStyle name="Porcentaje 2 7 2 4 2 6 2" xfId="48053" xr:uid="{00000000-0005-0000-0000-000029DE0000}"/>
    <cellStyle name="Porcentaje 2 7 2 4 2 7" xfId="34491" xr:uid="{00000000-0005-0000-0000-00002ADE0000}"/>
    <cellStyle name="Porcentaje 2 7 2 4 3" xfId="7229" xr:uid="{00000000-0005-0000-0000-00002BDE0000}"/>
    <cellStyle name="Porcentaje 2 7 2 4 3 2" xfId="10736" xr:uid="{00000000-0005-0000-0000-00002CDE0000}"/>
    <cellStyle name="Porcentaje 2 7 2 4 3 2 2" xfId="17525" xr:uid="{00000000-0005-0000-0000-00002DDE0000}"/>
    <cellStyle name="Porcentaje 2 7 2 4 3 2 2 2" xfId="31093" xr:uid="{00000000-0005-0000-0000-00002EDE0000}"/>
    <cellStyle name="Porcentaje 2 7 2 4 3 2 2 2 2" xfId="58226" xr:uid="{00000000-0005-0000-0000-00002FDE0000}"/>
    <cellStyle name="Porcentaje 2 7 2 4 3 2 2 3" xfId="44664" xr:uid="{00000000-0005-0000-0000-000030DE0000}"/>
    <cellStyle name="Porcentaje 2 7 2 4 3 2 3" xfId="24312" xr:uid="{00000000-0005-0000-0000-000031DE0000}"/>
    <cellStyle name="Porcentaje 2 7 2 4 3 2 3 2" xfId="51445" xr:uid="{00000000-0005-0000-0000-000032DE0000}"/>
    <cellStyle name="Porcentaje 2 7 2 4 3 2 4" xfId="37883" xr:uid="{00000000-0005-0000-0000-000033DE0000}"/>
    <cellStyle name="Porcentaje 2 7 2 4 3 3" xfId="14136" xr:uid="{00000000-0005-0000-0000-000034DE0000}"/>
    <cellStyle name="Porcentaje 2 7 2 4 3 3 2" xfId="27704" xr:uid="{00000000-0005-0000-0000-000035DE0000}"/>
    <cellStyle name="Porcentaje 2 7 2 4 3 3 2 2" xfId="54837" xr:uid="{00000000-0005-0000-0000-000036DE0000}"/>
    <cellStyle name="Porcentaje 2 7 2 4 3 3 3" xfId="41275" xr:uid="{00000000-0005-0000-0000-000037DE0000}"/>
    <cellStyle name="Porcentaje 2 7 2 4 3 4" xfId="20923" xr:uid="{00000000-0005-0000-0000-000038DE0000}"/>
    <cellStyle name="Porcentaje 2 7 2 4 3 4 2" xfId="48056" xr:uid="{00000000-0005-0000-0000-000039DE0000}"/>
    <cellStyle name="Porcentaje 2 7 2 4 3 5" xfId="34494" xr:uid="{00000000-0005-0000-0000-00003ADE0000}"/>
    <cellStyle name="Porcentaje 2 7 2 4 4" xfId="7230" xr:uid="{00000000-0005-0000-0000-00003BDE0000}"/>
    <cellStyle name="Porcentaje 2 7 2 4 4 2" xfId="10737" xr:uid="{00000000-0005-0000-0000-00003CDE0000}"/>
    <cellStyle name="Porcentaje 2 7 2 4 4 2 2" xfId="17526" xr:uid="{00000000-0005-0000-0000-00003DDE0000}"/>
    <cellStyle name="Porcentaje 2 7 2 4 4 2 2 2" xfId="31094" xr:uid="{00000000-0005-0000-0000-00003EDE0000}"/>
    <cellStyle name="Porcentaje 2 7 2 4 4 2 2 2 2" xfId="58227" xr:uid="{00000000-0005-0000-0000-00003FDE0000}"/>
    <cellStyle name="Porcentaje 2 7 2 4 4 2 2 3" xfId="44665" xr:uid="{00000000-0005-0000-0000-000040DE0000}"/>
    <cellStyle name="Porcentaje 2 7 2 4 4 2 3" xfId="24313" xr:uid="{00000000-0005-0000-0000-000041DE0000}"/>
    <cellStyle name="Porcentaje 2 7 2 4 4 2 3 2" xfId="51446" xr:uid="{00000000-0005-0000-0000-000042DE0000}"/>
    <cellStyle name="Porcentaje 2 7 2 4 4 2 4" xfId="37884" xr:uid="{00000000-0005-0000-0000-000043DE0000}"/>
    <cellStyle name="Porcentaje 2 7 2 4 4 3" xfId="14137" xr:uid="{00000000-0005-0000-0000-000044DE0000}"/>
    <cellStyle name="Porcentaje 2 7 2 4 4 3 2" xfId="27705" xr:uid="{00000000-0005-0000-0000-000045DE0000}"/>
    <cellStyle name="Porcentaje 2 7 2 4 4 3 2 2" xfId="54838" xr:uid="{00000000-0005-0000-0000-000046DE0000}"/>
    <cellStyle name="Porcentaje 2 7 2 4 4 3 3" xfId="41276" xr:uid="{00000000-0005-0000-0000-000047DE0000}"/>
    <cellStyle name="Porcentaje 2 7 2 4 4 4" xfId="20924" xr:uid="{00000000-0005-0000-0000-000048DE0000}"/>
    <cellStyle name="Porcentaje 2 7 2 4 4 4 2" xfId="48057" xr:uid="{00000000-0005-0000-0000-000049DE0000}"/>
    <cellStyle name="Porcentaje 2 7 2 4 4 5" xfId="34495" xr:uid="{00000000-0005-0000-0000-00004ADE0000}"/>
    <cellStyle name="Porcentaje 2 7 2 4 5" xfId="10732" xr:uid="{00000000-0005-0000-0000-00004BDE0000}"/>
    <cellStyle name="Porcentaje 2 7 2 4 5 2" xfId="17521" xr:uid="{00000000-0005-0000-0000-00004CDE0000}"/>
    <cellStyle name="Porcentaje 2 7 2 4 5 2 2" xfId="31089" xr:uid="{00000000-0005-0000-0000-00004DDE0000}"/>
    <cellStyle name="Porcentaje 2 7 2 4 5 2 2 2" xfId="58222" xr:uid="{00000000-0005-0000-0000-00004EDE0000}"/>
    <cellStyle name="Porcentaje 2 7 2 4 5 2 3" xfId="44660" xr:uid="{00000000-0005-0000-0000-00004FDE0000}"/>
    <cellStyle name="Porcentaje 2 7 2 4 5 3" xfId="24308" xr:uid="{00000000-0005-0000-0000-000050DE0000}"/>
    <cellStyle name="Porcentaje 2 7 2 4 5 3 2" xfId="51441" xr:uid="{00000000-0005-0000-0000-000051DE0000}"/>
    <cellStyle name="Porcentaje 2 7 2 4 5 4" xfId="37879" xr:uid="{00000000-0005-0000-0000-000052DE0000}"/>
    <cellStyle name="Porcentaje 2 7 2 4 6" xfId="14132" xr:uid="{00000000-0005-0000-0000-000053DE0000}"/>
    <cellStyle name="Porcentaje 2 7 2 4 6 2" xfId="27700" xr:uid="{00000000-0005-0000-0000-000054DE0000}"/>
    <cellStyle name="Porcentaje 2 7 2 4 6 2 2" xfId="54833" xr:uid="{00000000-0005-0000-0000-000055DE0000}"/>
    <cellStyle name="Porcentaje 2 7 2 4 6 3" xfId="41271" xr:uid="{00000000-0005-0000-0000-000056DE0000}"/>
    <cellStyle name="Porcentaje 2 7 2 4 7" xfId="20919" xr:uid="{00000000-0005-0000-0000-000057DE0000}"/>
    <cellStyle name="Porcentaje 2 7 2 4 7 2" xfId="48052" xr:uid="{00000000-0005-0000-0000-000058DE0000}"/>
    <cellStyle name="Porcentaje 2 7 2 4 8" xfId="34490" xr:uid="{00000000-0005-0000-0000-000059DE0000}"/>
    <cellStyle name="Porcentaje 2 7 2 5" xfId="7231" xr:uid="{00000000-0005-0000-0000-00005ADE0000}"/>
    <cellStyle name="Porcentaje 2 7 2 5 2" xfId="7232" xr:uid="{00000000-0005-0000-0000-00005BDE0000}"/>
    <cellStyle name="Porcentaje 2 7 2 5 2 2" xfId="10739" xr:uid="{00000000-0005-0000-0000-00005CDE0000}"/>
    <cellStyle name="Porcentaje 2 7 2 5 2 2 2" xfId="17528" xr:uid="{00000000-0005-0000-0000-00005DDE0000}"/>
    <cellStyle name="Porcentaje 2 7 2 5 2 2 2 2" xfId="31096" xr:uid="{00000000-0005-0000-0000-00005EDE0000}"/>
    <cellStyle name="Porcentaje 2 7 2 5 2 2 2 2 2" xfId="58229" xr:uid="{00000000-0005-0000-0000-00005FDE0000}"/>
    <cellStyle name="Porcentaje 2 7 2 5 2 2 2 3" xfId="44667" xr:uid="{00000000-0005-0000-0000-000060DE0000}"/>
    <cellStyle name="Porcentaje 2 7 2 5 2 2 3" xfId="24315" xr:uid="{00000000-0005-0000-0000-000061DE0000}"/>
    <cellStyle name="Porcentaje 2 7 2 5 2 2 3 2" xfId="51448" xr:uid="{00000000-0005-0000-0000-000062DE0000}"/>
    <cellStyle name="Porcentaje 2 7 2 5 2 2 4" xfId="37886" xr:uid="{00000000-0005-0000-0000-000063DE0000}"/>
    <cellStyle name="Porcentaje 2 7 2 5 2 3" xfId="14139" xr:uid="{00000000-0005-0000-0000-000064DE0000}"/>
    <cellStyle name="Porcentaje 2 7 2 5 2 3 2" xfId="27707" xr:uid="{00000000-0005-0000-0000-000065DE0000}"/>
    <cellStyle name="Porcentaje 2 7 2 5 2 3 2 2" xfId="54840" xr:uid="{00000000-0005-0000-0000-000066DE0000}"/>
    <cellStyle name="Porcentaje 2 7 2 5 2 3 3" xfId="41278" xr:uid="{00000000-0005-0000-0000-000067DE0000}"/>
    <cellStyle name="Porcentaje 2 7 2 5 2 4" xfId="20926" xr:uid="{00000000-0005-0000-0000-000068DE0000}"/>
    <cellStyle name="Porcentaje 2 7 2 5 2 4 2" xfId="48059" xr:uid="{00000000-0005-0000-0000-000069DE0000}"/>
    <cellStyle name="Porcentaje 2 7 2 5 2 5" xfId="34497" xr:uid="{00000000-0005-0000-0000-00006ADE0000}"/>
    <cellStyle name="Porcentaje 2 7 2 5 3" xfId="7233" xr:uid="{00000000-0005-0000-0000-00006BDE0000}"/>
    <cellStyle name="Porcentaje 2 7 2 5 3 2" xfId="10740" xr:uid="{00000000-0005-0000-0000-00006CDE0000}"/>
    <cellStyle name="Porcentaje 2 7 2 5 3 2 2" xfId="17529" xr:uid="{00000000-0005-0000-0000-00006DDE0000}"/>
    <cellStyle name="Porcentaje 2 7 2 5 3 2 2 2" xfId="31097" xr:uid="{00000000-0005-0000-0000-00006EDE0000}"/>
    <cellStyle name="Porcentaje 2 7 2 5 3 2 2 2 2" xfId="58230" xr:uid="{00000000-0005-0000-0000-00006FDE0000}"/>
    <cellStyle name="Porcentaje 2 7 2 5 3 2 2 3" xfId="44668" xr:uid="{00000000-0005-0000-0000-000070DE0000}"/>
    <cellStyle name="Porcentaje 2 7 2 5 3 2 3" xfId="24316" xr:uid="{00000000-0005-0000-0000-000071DE0000}"/>
    <cellStyle name="Porcentaje 2 7 2 5 3 2 3 2" xfId="51449" xr:uid="{00000000-0005-0000-0000-000072DE0000}"/>
    <cellStyle name="Porcentaje 2 7 2 5 3 2 4" xfId="37887" xr:uid="{00000000-0005-0000-0000-000073DE0000}"/>
    <cellStyle name="Porcentaje 2 7 2 5 3 3" xfId="14140" xr:uid="{00000000-0005-0000-0000-000074DE0000}"/>
    <cellStyle name="Porcentaje 2 7 2 5 3 3 2" xfId="27708" xr:uid="{00000000-0005-0000-0000-000075DE0000}"/>
    <cellStyle name="Porcentaje 2 7 2 5 3 3 2 2" xfId="54841" xr:uid="{00000000-0005-0000-0000-000076DE0000}"/>
    <cellStyle name="Porcentaje 2 7 2 5 3 3 3" xfId="41279" xr:uid="{00000000-0005-0000-0000-000077DE0000}"/>
    <cellStyle name="Porcentaje 2 7 2 5 3 4" xfId="20927" xr:uid="{00000000-0005-0000-0000-000078DE0000}"/>
    <cellStyle name="Porcentaje 2 7 2 5 3 4 2" xfId="48060" xr:uid="{00000000-0005-0000-0000-000079DE0000}"/>
    <cellStyle name="Porcentaje 2 7 2 5 3 5" xfId="34498" xr:uid="{00000000-0005-0000-0000-00007ADE0000}"/>
    <cellStyle name="Porcentaje 2 7 2 5 4" xfId="10738" xr:uid="{00000000-0005-0000-0000-00007BDE0000}"/>
    <cellStyle name="Porcentaje 2 7 2 5 4 2" xfId="17527" xr:uid="{00000000-0005-0000-0000-00007CDE0000}"/>
    <cellStyle name="Porcentaje 2 7 2 5 4 2 2" xfId="31095" xr:uid="{00000000-0005-0000-0000-00007DDE0000}"/>
    <cellStyle name="Porcentaje 2 7 2 5 4 2 2 2" xfId="58228" xr:uid="{00000000-0005-0000-0000-00007EDE0000}"/>
    <cellStyle name="Porcentaje 2 7 2 5 4 2 3" xfId="44666" xr:uid="{00000000-0005-0000-0000-00007FDE0000}"/>
    <cellStyle name="Porcentaje 2 7 2 5 4 3" xfId="24314" xr:uid="{00000000-0005-0000-0000-000080DE0000}"/>
    <cellStyle name="Porcentaje 2 7 2 5 4 3 2" xfId="51447" xr:uid="{00000000-0005-0000-0000-000081DE0000}"/>
    <cellStyle name="Porcentaje 2 7 2 5 4 4" xfId="37885" xr:uid="{00000000-0005-0000-0000-000082DE0000}"/>
    <cellStyle name="Porcentaje 2 7 2 5 5" xfId="14138" xr:uid="{00000000-0005-0000-0000-000083DE0000}"/>
    <cellStyle name="Porcentaje 2 7 2 5 5 2" xfId="27706" xr:uid="{00000000-0005-0000-0000-000084DE0000}"/>
    <cellStyle name="Porcentaje 2 7 2 5 5 2 2" xfId="54839" xr:uid="{00000000-0005-0000-0000-000085DE0000}"/>
    <cellStyle name="Porcentaje 2 7 2 5 5 3" xfId="41277" xr:uid="{00000000-0005-0000-0000-000086DE0000}"/>
    <cellStyle name="Porcentaje 2 7 2 5 6" xfId="20925" xr:uid="{00000000-0005-0000-0000-000087DE0000}"/>
    <cellStyle name="Porcentaje 2 7 2 5 6 2" xfId="48058" xr:uid="{00000000-0005-0000-0000-000088DE0000}"/>
    <cellStyle name="Porcentaje 2 7 2 5 7" xfId="34496" xr:uid="{00000000-0005-0000-0000-000089DE0000}"/>
    <cellStyle name="Porcentaje 2 7 2 6" xfId="7234" xr:uid="{00000000-0005-0000-0000-00008ADE0000}"/>
    <cellStyle name="Porcentaje 2 7 2 6 2" xfId="7235" xr:uid="{00000000-0005-0000-0000-00008BDE0000}"/>
    <cellStyle name="Porcentaje 2 7 2 6 2 2" xfId="10742" xr:uid="{00000000-0005-0000-0000-00008CDE0000}"/>
    <cellStyle name="Porcentaje 2 7 2 6 2 2 2" xfId="17531" xr:uid="{00000000-0005-0000-0000-00008DDE0000}"/>
    <cellStyle name="Porcentaje 2 7 2 6 2 2 2 2" xfId="31099" xr:uid="{00000000-0005-0000-0000-00008EDE0000}"/>
    <cellStyle name="Porcentaje 2 7 2 6 2 2 2 2 2" xfId="58232" xr:uid="{00000000-0005-0000-0000-00008FDE0000}"/>
    <cellStyle name="Porcentaje 2 7 2 6 2 2 2 3" xfId="44670" xr:uid="{00000000-0005-0000-0000-000090DE0000}"/>
    <cellStyle name="Porcentaje 2 7 2 6 2 2 3" xfId="24318" xr:uid="{00000000-0005-0000-0000-000091DE0000}"/>
    <cellStyle name="Porcentaje 2 7 2 6 2 2 3 2" xfId="51451" xr:uid="{00000000-0005-0000-0000-000092DE0000}"/>
    <cellStyle name="Porcentaje 2 7 2 6 2 2 4" xfId="37889" xr:uid="{00000000-0005-0000-0000-000093DE0000}"/>
    <cellStyle name="Porcentaje 2 7 2 6 2 3" xfId="14142" xr:uid="{00000000-0005-0000-0000-000094DE0000}"/>
    <cellStyle name="Porcentaje 2 7 2 6 2 3 2" xfId="27710" xr:uid="{00000000-0005-0000-0000-000095DE0000}"/>
    <cellStyle name="Porcentaje 2 7 2 6 2 3 2 2" xfId="54843" xr:uid="{00000000-0005-0000-0000-000096DE0000}"/>
    <cellStyle name="Porcentaje 2 7 2 6 2 3 3" xfId="41281" xr:uid="{00000000-0005-0000-0000-000097DE0000}"/>
    <cellStyle name="Porcentaje 2 7 2 6 2 4" xfId="20929" xr:uid="{00000000-0005-0000-0000-000098DE0000}"/>
    <cellStyle name="Porcentaje 2 7 2 6 2 4 2" xfId="48062" xr:uid="{00000000-0005-0000-0000-000099DE0000}"/>
    <cellStyle name="Porcentaje 2 7 2 6 2 5" xfId="34500" xr:uid="{00000000-0005-0000-0000-00009ADE0000}"/>
    <cellStyle name="Porcentaje 2 7 2 6 3" xfId="7236" xr:uid="{00000000-0005-0000-0000-00009BDE0000}"/>
    <cellStyle name="Porcentaje 2 7 2 6 3 2" xfId="10743" xr:uid="{00000000-0005-0000-0000-00009CDE0000}"/>
    <cellStyle name="Porcentaje 2 7 2 6 3 2 2" xfId="17532" xr:uid="{00000000-0005-0000-0000-00009DDE0000}"/>
    <cellStyle name="Porcentaje 2 7 2 6 3 2 2 2" xfId="31100" xr:uid="{00000000-0005-0000-0000-00009EDE0000}"/>
    <cellStyle name="Porcentaje 2 7 2 6 3 2 2 2 2" xfId="58233" xr:uid="{00000000-0005-0000-0000-00009FDE0000}"/>
    <cellStyle name="Porcentaje 2 7 2 6 3 2 2 3" xfId="44671" xr:uid="{00000000-0005-0000-0000-0000A0DE0000}"/>
    <cellStyle name="Porcentaje 2 7 2 6 3 2 3" xfId="24319" xr:uid="{00000000-0005-0000-0000-0000A1DE0000}"/>
    <cellStyle name="Porcentaje 2 7 2 6 3 2 3 2" xfId="51452" xr:uid="{00000000-0005-0000-0000-0000A2DE0000}"/>
    <cellStyle name="Porcentaje 2 7 2 6 3 2 4" xfId="37890" xr:uid="{00000000-0005-0000-0000-0000A3DE0000}"/>
    <cellStyle name="Porcentaje 2 7 2 6 3 3" xfId="14143" xr:uid="{00000000-0005-0000-0000-0000A4DE0000}"/>
    <cellStyle name="Porcentaje 2 7 2 6 3 3 2" xfId="27711" xr:uid="{00000000-0005-0000-0000-0000A5DE0000}"/>
    <cellStyle name="Porcentaje 2 7 2 6 3 3 2 2" xfId="54844" xr:uid="{00000000-0005-0000-0000-0000A6DE0000}"/>
    <cellStyle name="Porcentaje 2 7 2 6 3 3 3" xfId="41282" xr:uid="{00000000-0005-0000-0000-0000A7DE0000}"/>
    <cellStyle name="Porcentaje 2 7 2 6 3 4" xfId="20930" xr:uid="{00000000-0005-0000-0000-0000A8DE0000}"/>
    <cellStyle name="Porcentaje 2 7 2 6 3 4 2" xfId="48063" xr:uid="{00000000-0005-0000-0000-0000A9DE0000}"/>
    <cellStyle name="Porcentaje 2 7 2 6 3 5" xfId="34501" xr:uid="{00000000-0005-0000-0000-0000AADE0000}"/>
    <cellStyle name="Porcentaje 2 7 2 6 4" xfId="10741" xr:uid="{00000000-0005-0000-0000-0000ABDE0000}"/>
    <cellStyle name="Porcentaje 2 7 2 6 4 2" xfId="17530" xr:uid="{00000000-0005-0000-0000-0000ACDE0000}"/>
    <cellStyle name="Porcentaje 2 7 2 6 4 2 2" xfId="31098" xr:uid="{00000000-0005-0000-0000-0000ADDE0000}"/>
    <cellStyle name="Porcentaje 2 7 2 6 4 2 2 2" xfId="58231" xr:uid="{00000000-0005-0000-0000-0000AEDE0000}"/>
    <cellStyle name="Porcentaje 2 7 2 6 4 2 3" xfId="44669" xr:uid="{00000000-0005-0000-0000-0000AFDE0000}"/>
    <cellStyle name="Porcentaje 2 7 2 6 4 3" xfId="24317" xr:uid="{00000000-0005-0000-0000-0000B0DE0000}"/>
    <cellStyle name="Porcentaje 2 7 2 6 4 3 2" xfId="51450" xr:uid="{00000000-0005-0000-0000-0000B1DE0000}"/>
    <cellStyle name="Porcentaje 2 7 2 6 4 4" xfId="37888" xr:uid="{00000000-0005-0000-0000-0000B2DE0000}"/>
    <cellStyle name="Porcentaje 2 7 2 6 5" xfId="14141" xr:uid="{00000000-0005-0000-0000-0000B3DE0000}"/>
    <cellStyle name="Porcentaje 2 7 2 6 5 2" xfId="27709" xr:uid="{00000000-0005-0000-0000-0000B4DE0000}"/>
    <cellStyle name="Porcentaje 2 7 2 6 5 2 2" xfId="54842" xr:uid="{00000000-0005-0000-0000-0000B5DE0000}"/>
    <cellStyle name="Porcentaje 2 7 2 6 5 3" xfId="41280" xr:uid="{00000000-0005-0000-0000-0000B6DE0000}"/>
    <cellStyle name="Porcentaje 2 7 2 6 6" xfId="20928" xr:uid="{00000000-0005-0000-0000-0000B7DE0000}"/>
    <cellStyle name="Porcentaje 2 7 2 6 6 2" xfId="48061" xr:uid="{00000000-0005-0000-0000-0000B8DE0000}"/>
    <cellStyle name="Porcentaje 2 7 2 6 7" xfId="34499" xr:uid="{00000000-0005-0000-0000-0000B9DE0000}"/>
    <cellStyle name="Porcentaje 2 7 2 7" xfId="7237" xr:uid="{00000000-0005-0000-0000-0000BADE0000}"/>
    <cellStyle name="Porcentaje 2 7 2 7 2" xfId="10744" xr:uid="{00000000-0005-0000-0000-0000BBDE0000}"/>
    <cellStyle name="Porcentaje 2 7 2 7 2 2" xfId="17533" xr:uid="{00000000-0005-0000-0000-0000BCDE0000}"/>
    <cellStyle name="Porcentaje 2 7 2 7 2 2 2" xfId="31101" xr:uid="{00000000-0005-0000-0000-0000BDDE0000}"/>
    <cellStyle name="Porcentaje 2 7 2 7 2 2 2 2" xfId="58234" xr:uid="{00000000-0005-0000-0000-0000BEDE0000}"/>
    <cellStyle name="Porcentaje 2 7 2 7 2 2 3" xfId="44672" xr:uid="{00000000-0005-0000-0000-0000BFDE0000}"/>
    <cellStyle name="Porcentaje 2 7 2 7 2 3" xfId="24320" xr:uid="{00000000-0005-0000-0000-0000C0DE0000}"/>
    <cellStyle name="Porcentaje 2 7 2 7 2 3 2" xfId="51453" xr:uid="{00000000-0005-0000-0000-0000C1DE0000}"/>
    <cellStyle name="Porcentaje 2 7 2 7 2 4" xfId="37891" xr:uid="{00000000-0005-0000-0000-0000C2DE0000}"/>
    <cellStyle name="Porcentaje 2 7 2 7 3" xfId="14144" xr:uid="{00000000-0005-0000-0000-0000C3DE0000}"/>
    <cellStyle name="Porcentaje 2 7 2 7 3 2" xfId="27712" xr:uid="{00000000-0005-0000-0000-0000C4DE0000}"/>
    <cellStyle name="Porcentaje 2 7 2 7 3 2 2" xfId="54845" xr:uid="{00000000-0005-0000-0000-0000C5DE0000}"/>
    <cellStyle name="Porcentaje 2 7 2 7 3 3" xfId="41283" xr:uid="{00000000-0005-0000-0000-0000C6DE0000}"/>
    <cellStyle name="Porcentaje 2 7 2 7 4" xfId="20931" xr:uid="{00000000-0005-0000-0000-0000C7DE0000}"/>
    <cellStyle name="Porcentaje 2 7 2 7 4 2" xfId="48064" xr:uid="{00000000-0005-0000-0000-0000C8DE0000}"/>
    <cellStyle name="Porcentaje 2 7 2 7 5" xfId="34502" xr:uid="{00000000-0005-0000-0000-0000C9DE0000}"/>
    <cellStyle name="Porcentaje 2 7 2 8" xfId="7238" xr:uid="{00000000-0005-0000-0000-0000CADE0000}"/>
    <cellStyle name="Porcentaje 2 7 2 8 2" xfId="10745" xr:uid="{00000000-0005-0000-0000-0000CBDE0000}"/>
    <cellStyle name="Porcentaje 2 7 2 8 2 2" xfId="17534" xr:uid="{00000000-0005-0000-0000-0000CCDE0000}"/>
    <cellStyle name="Porcentaje 2 7 2 8 2 2 2" xfId="31102" xr:uid="{00000000-0005-0000-0000-0000CDDE0000}"/>
    <cellStyle name="Porcentaje 2 7 2 8 2 2 2 2" xfId="58235" xr:uid="{00000000-0005-0000-0000-0000CEDE0000}"/>
    <cellStyle name="Porcentaje 2 7 2 8 2 2 3" xfId="44673" xr:uid="{00000000-0005-0000-0000-0000CFDE0000}"/>
    <cellStyle name="Porcentaje 2 7 2 8 2 3" xfId="24321" xr:uid="{00000000-0005-0000-0000-0000D0DE0000}"/>
    <cellStyle name="Porcentaje 2 7 2 8 2 3 2" xfId="51454" xr:uid="{00000000-0005-0000-0000-0000D1DE0000}"/>
    <cellStyle name="Porcentaje 2 7 2 8 2 4" xfId="37892" xr:uid="{00000000-0005-0000-0000-0000D2DE0000}"/>
    <cellStyle name="Porcentaje 2 7 2 8 3" xfId="14145" xr:uid="{00000000-0005-0000-0000-0000D3DE0000}"/>
    <cellStyle name="Porcentaje 2 7 2 8 3 2" xfId="27713" xr:uid="{00000000-0005-0000-0000-0000D4DE0000}"/>
    <cellStyle name="Porcentaje 2 7 2 8 3 2 2" xfId="54846" xr:uid="{00000000-0005-0000-0000-0000D5DE0000}"/>
    <cellStyle name="Porcentaje 2 7 2 8 3 3" xfId="41284" xr:uid="{00000000-0005-0000-0000-0000D6DE0000}"/>
    <cellStyle name="Porcentaje 2 7 2 8 4" xfId="20932" xr:uid="{00000000-0005-0000-0000-0000D7DE0000}"/>
    <cellStyle name="Porcentaje 2 7 2 8 4 2" xfId="48065" xr:uid="{00000000-0005-0000-0000-0000D8DE0000}"/>
    <cellStyle name="Porcentaje 2 7 2 8 5" xfId="34503" xr:uid="{00000000-0005-0000-0000-0000D9DE0000}"/>
    <cellStyle name="Porcentaje 2 7 2 9" xfId="10707" xr:uid="{00000000-0005-0000-0000-0000DADE0000}"/>
    <cellStyle name="Porcentaje 2 7 2 9 2" xfId="17496" xr:uid="{00000000-0005-0000-0000-0000DBDE0000}"/>
    <cellStyle name="Porcentaje 2 7 2 9 2 2" xfId="31064" xr:uid="{00000000-0005-0000-0000-0000DCDE0000}"/>
    <cellStyle name="Porcentaje 2 7 2 9 2 2 2" xfId="58197" xr:uid="{00000000-0005-0000-0000-0000DDDE0000}"/>
    <cellStyle name="Porcentaje 2 7 2 9 2 3" xfId="44635" xr:uid="{00000000-0005-0000-0000-0000DEDE0000}"/>
    <cellStyle name="Porcentaje 2 7 2 9 3" xfId="24283" xr:uid="{00000000-0005-0000-0000-0000DFDE0000}"/>
    <cellStyle name="Porcentaje 2 7 2 9 3 2" xfId="51416" xr:uid="{00000000-0005-0000-0000-0000E0DE0000}"/>
    <cellStyle name="Porcentaje 2 7 2 9 4" xfId="37854" xr:uid="{00000000-0005-0000-0000-0000E1DE0000}"/>
    <cellStyle name="Porcentaje 2 7 3" xfId="7239" xr:uid="{00000000-0005-0000-0000-0000E2DE0000}"/>
    <cellStyle name="Porcentaje 2 7 3 10" xfId="34504" xr:uid="{00000000-0005-0000-0000-0000E3DE0000}"/>
    <cellStyle name="Porcentaje 2 7 3 2" xfId="7240" xr:uid="{00000000-0005-0000-0000-0000E4DE0000}"/>
    <cellStyle name="Porcentaje 2 7 3 2 2" xfId="7241" xr:uid="{00000000-0005-0000-0000-0000E5DE0000}"/>
    <cellStyle name="Porcentaje 2 7 3 2 2 2" xfId="7242" xr:uid="{00000000-0005-0000-0000-0000E6DE0000}"/>
    <cellStyle name="Porcentaje 2 7 3 2 2 2 2" xfId="10749" xr:uid="{00000000-0005-0000-0000-0000E7DE0000}"/>
    <cellStyle name="Porcentaje 2 7 3 2 2 2 2 2" xfId="17538" xr:uid="{00000000-0005-0000-0000-0000E8DE0000}"/>
    <cellStyle name="Porcentaje 2 7 3 2 2 2 2 2 2" xfId="31106" xr:uid="{00000000-0005-0000-0000-0000E9DE0000}"/>
    <cellStyle name="Porcentaje 2 7 3 2 2 2 2 2 2 2" xfId="58239" xr:uid="{00000000-0005-0000-0000-0000EADE0000}"/>
    <cellStyle name="Porcentaje 2 7 3 2 2 2 2 2 3" xfId="44677" xr:uid="{00000000-0005-0000-0000-0000EBDE0000}"/>
    <cellStyle name="Porcentaje 2 7 3 2 2 2 2 3" xfId="24325" xr:uid="{00000000-0005-0000-0000-0000ECDE0000}"/>
    <cellStyle name="Porcentaje 2 7 3 2 2 2 2 3 2" xfId="51458" xr:uid="{00000000-0005-0000-0000-0000EDDE0000}"/>
    <cellStyle name="Porcentaje 2 7 3 2 2 2 2 4" xfId="37896" xr:uid="{00000000-0005-0000-0000-0000EEDE0000}"/>
    <cellStyle name="Porcentaje 2 7 3 2 2 2 3" xfId="14149" xr:uid="{00000000-0005-0000-0000-0000EFDE0000}"/>
    <cellStyle name="Porcentaje 2 7 3 2 2 2 3 2" xfId="27717" xr:uid="{00000000-0005-0000-0000-0000F0DE0000}"/>
    <cellStyle name="Porcentaje 2 7 3 2 2 2 3 2 2" xfId="54850" xr:uid="{00000000-0005-0000-0000-0000F1DE0000}"/>
    <cellStyle name="Porcentaje 2 7 3 2 2 2 3 3" xfId="41288" xr:uid="{00000000-0005-0000-0000-0000F2DE0000}"/>
    <cellStyle name="Porcentaje 2 7 3 2 2 2 4" xfId="20936" xr:uid="{00000000-0005-0000-0000-0000F3DE0000}"/>
    <cellStyle name="Porcentaje 2 7 3 2 2 2 4 2" xfId="48069" xr:uid="{00000000-0005-0000-0000-0000F4DE0000}"/>
    <cellStyle name="Porcentaje 2 7 3 2 2 2 5" xfId="34507" xr:uid="{00000000-0005-0000-0000-0000F5DE0000}"/>
    <cellStyle name="Porcentaje 2 7 3 2 2 3" xfId="7243" xr:uid="{00000000-0005-0000-0000-0000F6DE0000}"/>
    <cellStyle name="Porcentaje 2 7 3 2 2 3 2" xfId="10750" xr:uid="{00000000-0005-0000-0000-0000F7DE0000}"/>
    <cellStyle name="Porcentaje 2 7 3 2 2 3 2 2" xfId="17539" xr:uid="{00000000-0005-0000-0000-0000F8DE0000}"/>
    <cellStyle name="Porcentaje 2 7 3 2 2 3 2 2 2" xfId="31107" xr:uid="{00000000-0005-0000-0000-0000F9DE0000}"/>
    <cellStyle name="Porcentaje 2 7 3 2 2 3 2 2 2 2" xfId="58240" xr:uid="{00000000-0005-0000-0000-0000FADE0000}"/>
    <cellStyle name="Porcentaje 2 7 3 2 2 3 2 2 3" xfId="44678" xr:uid="{00000000-0005-0000-0000-0000FBDE0000}"/>
    <cellStyle name="Porcentaje 2 7 3 2 2 3 2 3" xfId="24326" xr:uid="{00000000-0005-0000-0000-0000FCDE0000}"/>
    <cellStyle name="Porcentaje 2 7 3 2 2 3 2 3 2" xfId="51459" xr:uid="{00000000-0005-0000-0000-0000FDDE0000}"/>
    <cellStyle name="Porcentaje 2 7 3 2 2 3 2 4" xfId="37897" xr:uid="{00000000-0005-0000-0000-0000FEDE0000}"/>
    <cellStyle name="Porcentaje 2 7 3 2 2 3 3" xfId="14150" xr:uid="{00000000-0005-0000-0000-0000FFDE0000}"/>
    <cellStyle name="Porcentaje 2 7 3 2 2 3 3 2" xfId="27718" xr:uid="{00000000-0005-0000-0000-000000DF0000}"/>
    <cellStyle name="Porcentaje 2 7 3 2 2 3 3 2 2" xfId="54851" xr:uid="{00000000-0005-0000-0000-000001DF0000}"/>
    <cellStyle name="Porcentaje 2 7 3 2 2 3 3 3" xfId="41289" xr:uid="{00000000-0005-0000-0000-000002DF0000}"/>
    <cellStyle name="Porcentaje 2 7 3 2 2 3 4" xfId="20937" xr:uid="{00000000-0005-0000-0000-000003DF0000}"/>
    <cellStyle name="Porcentaje 2 7 3 2 2 3 4 2" xfId="48070" xr:uid="{00000000-0005-0000-0000-000004DF0000}"/>
    <cellStyle name="Porcentaje 2 7 3 2 2 3 5" xfId="34508" xr:uid="{00000000-0005-0000-0000-000005DF0000}"/>
    <cellStyle name="Porcentaje 2 7 3 2 2 4" xfId="10748" xr:uid="{00000000-0005-0000-0000-000006DF0000}"/>
    <cellStyle name="Porcentaje 2 7 3 2 2 4 2" xfId="17537" xr:uid="{00000000-0005-0000-0000-000007DF0000}"/>
    <cellStyle name="Porcentaje 2 7 3 2 2 4 2 2" xfId="31105" xr:uid="{00000000-0005-0000-0000-000008DF0000}"/>
    <cellStyle name="Porcentaje 2 7 3 2 2 4 2 2 2" xfId="58238" xr:uid="{00000000-0005-0000-0000-000009DF0000}"/>
    <cellStyle name="Porcentaje 2 7 3 2 2 4 2 3" xfId="44676" xr:uid="{00000000-0005-0000-0000-00000ADF0000}"/>
    <cellStyle name="Porcentaje 2 7 3 2 2 4 3" xfId="24324" xr:uid="{00000000-0005-0000-0000-00000BDF0000}"/>
    <cellStyle name="Porcentaje 2 7 3 2 2 4 3 2" xfId="51457" xr:uid="{00000000-0005-0000-0000-00000CDF0000}"/>
    <cellStyle name="Porcentaje 2 7 3 2 2 4 4" xfId="37895" xr:uid="{00000000-0005-0000-0000-00000DDF0000}"/>
    <cellStyle name="Porcentaje 2 7 3 2 2 5" xfId="14148" xr:uid="{00000000-0005-0000-0000-00000EDF0000}"/>
    <cellStyle name="Porcentaje 2 7 3 2 2 5 2" xfId="27716" xr:uid="{00000000-0005-0000-0000-00000FDF0000}"/>
    <cellStyle name="Porcentaje 2 7 3 2 2 5 2 2" xfId="54849" xr:uid="{00000000-0005-0000-0000-000010DF0000}"/>
    <cellStyle name="Porcentaje 2 7 3 2 2 5 3" xfId="41287" xr:uid="{00000000-0005-0000-0000-000011DF0000}"/>
    <cellStyle name="Porcentaje 2 7 3 2 2 6" xfId="20935" xr:uid="{00000000-0005-0000-0000-000012DF0000}"/>
    <cellStyle name="Porcentaje 2 7 3 2 2 6 2" xfId="48068" xr:uid="{00000000-0005-0000-0000-000013DF0000}"/>
    <cellStyle name="Porcentaje 2 7 3 2 2 7" xfId="34506" xr:uid="{00000000-0005-0000-0000-000014DF0000}"/>
    <cellStyle name="Porcentaje 2 7 3 2 3" xfId="7244" xr:uid="{00000000-0005-0000-0000-000015DF0000}"/>
    <cellStyle name="Porcentaje 2 7 3 2 3 2" xfId="7245" xr:uid="{00000000-0005-0000-0000-000016DF0000}"/>
    <cellStyle name="Porcentaje 2 7 3 2 3 2 2" xfId="10752" xr:uid="{00000000-0005-0000-0000-000017DF0000}"/>
    <cellStyle name="Porcentaje 2 7 3 2 3 2 2 2" xfId="17541" xr:uid="{00000000-0005-0000-0000-000018DF0000}"/>
    <cellStyle name="Porcentaje 2 7 3 2 3 2 2 2 2" xfId="31109" xr:uid="{00000000-0005-0000-0000-000019DF0000}"/>
    <cellStyle name="Porcentaje 2 7 3 2 3 2 2 2 2 2" xfId="58242" xr:uid="{00000000-0005-0000-0000-00001ADF0000}"/>
    <cellStyle name="Porcentaje 2 7 3 2 3 2 2 2 3" xfId="44680" xr:uid="{00000000-0005-0000-0000-00001BDF0000}"/>
    <cellStyle name="Porcentaje 2 7 3 2 3 2 2 3" xfId="24328" xr:uid="{00000000-0005-0000-0000-00001CDF0000}"/>
    <cellStyle name="Porcentaje 2 7 3 2 3 2 2 3 2" xfId="51461" xr:uid="{00000000-0005-0000-0000-00001DDF0000}"/>
    <cellStyle name="Porcentaje 2 7 3 2 3 2 2 4" xfId="37899" xr:uid="{00000000-0005-0000-0000-00001EDF0000}"/>
    <cellStyle name="Porcentaje 2 7 3 2 3 2 3" xfId="14152" xr:uid="{00000000-0005-0000-0000-00001FDF0000}"/>
    <cellStyle name="Porcentaje 2 7 3 2 3 2 3 2" xfId="27720" xr:uid="{00000000-0005-0000-0000-000020DF0000}"/>
    <cellStyle name="Porcentaje 2 7 3 2 3 2 3 2 2" xfId="54853" xr:uid="{00000000-0005-0000-0000-000021DF0000}"/>
    <cellStyle name="Porcentaje 2 7 3 2 3 2 3 3" xfId="41291" xr:uid="{00000000-0005-0000-0000-000022DF0000}"/>
    <cellStyle name="Porcentaje 2 7 3 2 3 2 4" xfId="20939" xr:uid="{00000000-0005-0000-0000-000023DF0000}"/>
    <cellStyle name="Porcentaje 2 7 3 2 3 2 4 2" xfId="48072" xr:uid="{00000000-0005-0000-0000-000024DF0000}"/>
    <cellStyle name="Porcentaje 2 7 3 2 3 2 5" xfId="34510" xr:uid="{00000000-0005-0000-0000-000025DF0000}"/>
    <cellStyle name="Porcentaje 2 7 3 2 3 3" xfId="10751" xr:uid="{00000000-0005-0000-0000-000026DF0000}"/>
    <cellStyle name="Porcentaje 2 7 3 2 3 3 2" xfId="17540" xr:uid="{00000000-0005-0000-0000-000027DF0000}"/>
    <cellStyle name="Porcentaje 2 7 3 2 3 3 2 2" xfId="31108" xr:uid="{00000000-0005-0000-0000-000028DF0000}"/>
    <cellStyle name="Porcentaje 2 7 3 2 3 3 2 2 2" xfId="58241" xr:uid="{00000000-0005-0000-0000-000029DF0000}"/>
    <cellStyle name="Porcentaje 2 7 3 2 3 3 2 3" xfId="44679" xr:uid="{00000000-0005-0000-0000-00002ADF0000}"/>
    <cellStyle name="Porcentaje 2 7 3 2 3 3 3" xfId="24327" xr:uid="{00000000-0005-0000-0000-00002BDF0000}"/>
    <cellStyle name="Porcentaje 2 7 3 2 3 3 3 2" xfId="51460" xr:uid="{00000000-0005-0000-0000-00002CDF0000}"/>
    <cellStyle name="Porcentaje 2 7 3 2 3 3 4" xfId="37898" xr:uid="{00000000-0005-0000-0000-00002DDF0000}"/>
    <cellStyle name="Porcentaje 2 7 3 2 3 4" xfId="14151" xr:uid="{00000000-0005-0000-0000-00002EDF0000}"/>
    <cellStyle name="Porcentaje 2 7 3 2 3 4 2" xfId="27719" xr:uid="{00000000-0005-0000-0000-00002FDF0000}"/>
    <cellStyle name="Porcentaje 2 7 3 2 3 4 2 2" xfId="54852" xr:uid="{00000000-0005-0000-0000-000030DF0000}"/>
    <cellStyle name="Porcentaje 2 7 3 2 3 4 3" xfId="41290" xr:uid="{00000000-0005-0000-0000-000031DF0000}"/>
    <cellStyle name="Porcentaje 2 7 3 2 3 5" xfId="20938" xr:uid="{00000000-0005-0000-0000-000032DF0000}"/>
    <cellStyle name="Porcentaje 2 7 3 2 3 5 2" xfId="48071" xr:uid="{00000000-0005-0000-0000-000033DF0000}"/>
    <cellStyle name="Porcentaje 2 7 3 2 3 6" xfId="34509" xr:uid="{00000000-0005-0000-0000-000034DF0000}"/>
    <cellStyle name="Porcentaje 2 7 3 2 4" xfId="7246" xr:uid="{00000000-0005-0000-0000-000035DF0000}"/>
    <cellStyle name="Porcentaje 2 7 3 2 4 2" xfId="10753" xr:uid="{00000000-0005-0000-0000-000036DF0000}"/>
    <cellStyle name="Porcentaje 2 7 3 2 4 2 2" xfId="17542" xr:uid="{00000000-0005-0000-0000-000037DF0000}"/>
    <cellStyle name="Porcentaje 2 7 3 2 4 2 2 2" xfId="31110" xr:uid="{00000000-0005-0000-0000-000038DF0000}"/>
    <cellStyle name="Porcentaje 2 7 3 2 4 2 2 2 2" xfId="58243" xr:uid="{00000000-0005-0000-0000-000039DF0000}"/>
    <cellStyle name="Porcentaje 2 7 3 2 4 2 2 3" xfId="44681" xr:uid="{00000000-0005-0000-0000-00003ADF0000}"/>
    <cellStyle name="Porcentaje 2 7 3 2 4 2 3" xfId="24329" xr:uid="{00000000-0005-0000-0000-00003BDF0000}"/>
    <cellStyle name="Porcentaje 2 7 3 2 4 2 3 2" xfId="51462" xr:uid="{00000000-0005-0000-0000-00003CDF0000}"/>
    <cellStyle name="Porcentaje 2 7 3 2 4 2 4" xfId="37900" xr:uid="{00000000-0005-0000-0000-00003DDF0000}"/>
    <cellStyle name="Porcentaje 2 7 3 2 4 3" xfId="14153" xr:uid="{00000000-0005-0000-0000-00003EDF0000}"/>
    <cellStyle name="Porcentaje 2 7 3 2 4 3 2" xfId="27721" xr:uid="{00000000-0005-0000-0000-00003FDF0000}"/>
    <cellStyle name="Porcentaje 2 7 3 2 4 3 2 2" xfId="54854" xr:uid="{00000000-0005-0000-0000-000040DF0000}"/>
    <cellStyle name="Porcentaje 2 7 3 2 4 3 3" xfId="41292" xr:uid="{00000000-0005-0000-0000-000041DF0000}"/>
    <cellStyle name="Porcentaje 2 7 3 2 4 4" xfId="20940" xr:uid="{00000000-0005-0000-0000-000042DF0000}"/>
    <cellStyle name="Porcentaje 2 7 3 2 4 4 2" xfId="48073" xr:uid="{00000000-0005-0000-0000-000043DF0000}"/>
    <cellStyle name="Porcentaje 2 7 3 2 4 5" xfId="34511" xr:uid="{00000000-0005-0000-0000-000044DF0000}"/>
    <cellStyle name="Porcentaje 2 7 3 2 5" xfId="7247" xr:uid="{00000000-0005-0000-0000-000045DF0000}"/>
    <cellStyle name="Porcentaje 2 7 3 2 5 2" xfId="10754" xr:uid="{00000000-0005-0000-0000-000046DF0000}"/>
    <cellStyle name="Porcentaje 2 7 3 2 5 2 2" xfId="17543" xr:uid="{00000000-0005-0000-0000-000047DF0000}"/>
    <cellStyle name="Porcentaje 2 7 3 2 5 2 2 2" xfId="31111" xr:uid="{00000000-0005-0000-0000-000048DF0000}"/>
    <cellStyle name="Porcentaje 2 7 3 2 5 2 2 2 2" xfId="58244" xr:uid="{00000000-0005-0000-0000-000049DF0000}"/>
    <cellStyle name="Porcentaje 2 7 3 2 5 2 2 3" xfId="44682" xr:uid="{00000000-0005-0000-0000-00004ADF0000}"/>
    <cellStyle name="Porcentaje 2 7 3 2 5 2 3" xfId="24330" xr:uid="{00000000-0005-0000-0000-00004BDF0000}"/>
    <cellStyle name="Porcentaje 2 7 3 2 5 2 3 2" xfId="51463" xr:uid="{00000000-0005-0000-0000-00004CDF0000}"/>
    <cellStyle name="Porcentaje 2 7 3 2 5 2 4" xfId="37901" xr:uid="{00000000-0005-0000-0000-00004DDF0000}"/>
    <cellStyle name="Porcentaje 2 7 3 2 5 3" xfId="14154" xr:uid="{00000000-0005-0000-0000-00004EDF0000}"/>
    <cellStyle name="Porcentaje 2 7 3 2 5 3 2" xfId="27722" xr:uid="{00000000-0005-0000-0000-00004FDF0000}"/>
    <cellStyle name="Porcentaje 2 7 3 2 5 3 2 2" xfId="54855" xr:uid="{00000000-0005-0000-0000-000050DF0000}"/>
    <cellStyle name="Porcentaje 2 7 3 2 5 3 3" xfId="41293" xr:uid="{00000000-0005-0000-0000-000051DF0000}"/>
    <cellStyle name="Porcentaje 2 7 3 2 5 4" xfId="20941" xr:uid="{00000000-0005-0000-0000-000052DF0000}"/>
    <cellStyle name="Porcentaje 2 7 3 2 5 4 2" xfId="48074" xr:uid="{00000000-0005-0000-0000-000053DF0000}"/>
    <cellStyle name="Porcentaje 2 7 3 2 5 5" xfId="34512" xr:uid="{00000000-0005-0000-0000-000054DF0000}"/>
    <cellStyle name="Porcentaje 2 7 3 2 6" xfId="10747" xr:uid="{00000000-0005-0000-0000-000055DF0000}"/>
    <cellStyle name="Porcentaje 2 7 3 2 6 2" xfId="17536" xr:uid="{00000000-0005-0000-0000-000056DF0000}"/>
    <cellStyle name="Porcentaje 2 7 3 2 6 2 2" xfId="31104" xr:uid="{00000000-0005-0000-0000-000057DF0000}"/>
    <cellStyle name="Porcentaje 2 7 3 2 6 2 2 2" xfId="58237" xr:uid="{00000000-0005-0000-0000-000058DF0000}"/>
    <cellStyle name="Porcentaje 2 7 3 2 6 2 3" xfId="44675" xr:uid="{00000000-0005-0000-0000-000059DF0000}"/>
    <cellStyle name="Porcentaje 2 7 3 2 6 3" xfId="24323" xr:uid="{00000000-0005-0000-0000-00005ADF0000}"/>
    <cellStyle name="Porcentaje 2 7 3 2 6 3 2" xfId="51456" xr:uid="{00000000-0005-0000-0000-00005BDF0000}"/>
    <cellStyle name="Porcentaje 2 7 3 2 6 4" xfId="37894" xr:uid="{00000000-0005-0000-0000-00005CDF0000}"/>
    <cellStyle name="Porcentaje 2 7 3 2 7" xfId="14147" xr:uid="{00000000-0005-0000-0000-00005DDF0000}"/>
    <cellStyle name="Porcentaje 2 7 3 2 7 2" xfId="27715" xr:uid="{00000000-0005-0000-0000-00005EDF0000}"/>
    <cellStyle name="Porcentaje 2 7 3 2 7 2 2" xfId="54848" xr:uid="{00000000-0005-0000-0000-00005FDF0000}"/>
    <cellStyle name="Porcentaje 2 7 3 2 7 3" xfId="41286" xr:uid="{00000000-0005-0000-0000-000060DF0000}"/>
    <cellStyle name="Porcentaje 2 7 3 2 8" xfId="20934" xr:uid="{00000000-0005-0000-0000-000061DF0000}"/>
    <cellStyle name="Porcentaje 2 7 3 2 8 2" xfId="48067" xr:uid="{00000000-0005-0000-0000-000062DF0000}"/>
    <cellStyle name="Porcentaje 2 7 3 2 9" xfId="34505" xr:uid="{00000000-0005-0000-0000-000063DF0000}"/>
    <cellStyle name="Porcentaje 2 7 3 3" xfId="7248" xr:uid="{00000000-0005-0000-0000-000064DF0000}"/>
    <cellStyle name="Porcentaje 2 7 3 3 2" xfId="7249" xr:uid="{00000000-0005-0000-0000-000065DF0000}"/>
    <cellStyle name="Porcentaje 2 7 3 3 2 2" xfId="10756" xr:uid="{00000000-0005-0000-0000-000066DF0000}"/>
    <cellStyle name="Porcentaje 2 7 3 3 2 2 2" xfId="17545" xr:uid="{00000000-0005-0000-0000-000067DF0000}"/>
    <cellStyle name="Porcentaje 2 7 3 3 2 2 2 2" xfId="31113" xr:uid="{00000000-0005-0000-0000-000068DF0000}"/>
    <cellStyle name="Porcentaje 2 7 3 3 2 2 2 2 2" xfId="58246" xr:uid="{00000000-0005-0000-0000-000069DF0000}"/>
    <cellStyle name="Porcentaje 2 7 3 3 2 2 2 3" xfId="44684" xr:uid="{00000000-0005-0000-0000-00006ADF0000}"/>
    <cellStyle name="Porcentaje 2 7 3 3 2 2 3" xfId="24332" xr:uid="{00000000-0005-0000-0000-00006BDF0000}"/>
    <cellStyle name="Porcentaje 2 7 3 3 2 2 3 2" xfId="51465" xr:uid="{00000000-0005-0000-0000-00006CDF0000}"/>
    <cellStyle name="Porcentaje 2 7 3 3 2 2 4" xfId="37903" xr:uid="{00000000-0005-0000-0000-00006DDF0000}"/>
    <cellStyle name="Porcentaje 2 7 3 3 2 3" xfId="14156" xr:uid="{00000000-0005-0000-0000-00006EDF0000}"/>
    <cellStyle name="Porcentaje 2 7 3 3 2 3 2" xfId="27724" xr:uid="{00000000-0005-0000-0000-00006FDF0000}"/>
    <cellStyle name="Porcentaje 2 7 3 3 2 3 2 2" xfId="54857" xr:uid="{00000000-0005-0000-0000-000070DF0000}"/>
    <cellStyle name="Porcentaje 2 7 3 3 2 3 3" xfId="41295" xr:uid="{00000000-0005-0000-0000-000071DF0000}"/>
    <cellStyle name="Porcentaje 2 7 3 3 2 4" xfId="20943" xr:uid="{00000000-0005-0000-0000-000072DF0000}"/>
    <cellStyle name="Porcentaje 2 7 3 3 2 4 2" xfId="48076" xr:uid="{00000000-0005-0000-0000-000073DF0000}"/>
    <cellStyle name="Porcentaje 2 7 3 3 2 5" xfId="34514" xr:uid="{00000000-0005-0000-0000-000074DF0000}"/>
    <cellStyle name="Porcentaje 2 7 3 3 3" xfId="7250" xr:uid="{00000000-0005-0000-0000-000075DF0000}"/>
    <cellStyle name="Porcentaje 2 7 3 3 3 2" xfId="10757" xr:uid="{00000000-0005-0000-0000-000076DF0000}"/>
    <cellStyle name="Porcentaje 2 7 3 3 3 2 2" xfId="17546" xr:uid="{00000000-0005-0000-0000-000077DF0000}"/>
    <cellStyle name="Porcentaje 2 7 3 3 3 2 2 2" xfId="31114" xr:uid="{00000000-0005-0000-0000-000078DF0000}"/>
    <cellStyle name="Porcentaje 2 7 3 3 3 2 2 2 2" xfId="58247" xr:uid="{00000000-0005-0000-0000-000079DF0000}"/>
    <cellStyle name="Porcentaje 2 7 3 3 3 2 2 3" xfId="44685" xr:uid="{00000000-0005-0000-0000-00007ADF0000}"/>
    <cellStyle name="Porcentaje 2 7 3 3 3 2 3" xfId="24333" xr:uid="{00000000-0005-0000-0000-00007BDF0000}"/>
    <cellStyle name="Porcentaje 2 7 3 3 3 2 3 2" xfId="51466" xr:uid="{00000000-0005-0000-0000-00007CDF0000}"/>
    <cellStyle name="Porcentaje 2 7 3 3 3 2 4" xfId="37904" xr:uid="{00000000-0005-0000-0000-00007DDF0000}"/>
    <cellStyle name="Porcentaje 2 7 3 3 3 3" xfId="14157" xr:uid="{00000000-0005-0000-0000-00007EDF0000}"/>
    <cellStyle name="Porcentaje 2 7 3 3 3 3 2" xfId="27725" xr:uid="{00000000-0005-0000-0000-00007FDF0000}"/>
    <cellStyle name="Porcentaje 2 7 3 3 3 3 2 2" xfId="54858" xr:uid="{00000000-0005-0000-0000-000080DF0000}"/>
    <cellStyle name="Porcentaje 2 7 3 3 3 3 3" xfId="41296" xr:uid="{00000000-0005-0000-0000-000081DF0000}"/>
    <cellStyle name="Porcentaje 2 7 3 3 3 4" xfId="20944" xr:uid="{00000000-0005-0000-0000-000082DF0000}"/>
    <cellStyle name="Porcentaje 2 7 3 3 3 4 2" xfId="48077" xr:uid="{00000000-0005-0000-0000-000083DF0000}"/>
    <cellStyle name="Porcentaje 2 7 3 3 3 5" xfId="34515" xr:uid="{00000000-0005-0000-0000-000084DF0000}"/>
    <cellStyle name="Porcentaje 2 7 3 3 4" xfId="10755" xr:uid="{00000000-0005-0000-0000-000085DF0000}"/>
    <cellStyle name="Porcentaje 2 7 3 3 4 2" xfId="17544" xr:uid="{00000000-0005-0000-0000-000086DF0000}"/>
    <cellStyle name="Porcentaje 2 7 3 3 4 2 2" xfId="31112" xr:uid="{00000000-0005-0000-0000-000087DF0000}"/>
    <cellStyle name="Porcentaje 2 7 3 3 4 2 2 2" xfId="58245" xr:uid="{00000000-0005-0000-0000-000088DF0000}"/>
    <cellStyle name="Porcentaje 2 7 3 3 4 2 3" xfId="44683" xr:uid="{00000000-0005-0000-0000-000089DF0000}"/>
    <cellStyle name="Porcentaje 2 7 3 3 4 3" xfId="24331" xr:uid="{00000000-0005-0000-0000-00008ADF0000}"/>
    <cellStyle name="Porcentaje 2 7 3 3 4 3 2" xfId="51464" xr:uid="{00000000-0005-0000-0000-00008BDF0000}"/>
    <cellStyle name="Porcentaje 2 7 3 3 4 4" xfId="37902" xr:uid="{00000000-0005-0000-0000-00008CDF0000}"/>
    <cellStyle name="Porcentaje 2 7 3 3 5" xfId="14155" xr:uid="{00000000-0005-0000-0000-00008DDF0000}"/>
    <cellStyle name="Porcentaje 2 7 3 3 5 2" xfId="27723" xr:uid="{00000000-0005-0000-0000-00008EDF0000}"/>
    <cellStyle name="Porcentaje 2 7 3 3 5 2 2" xfId="54856" xr:uid="{00000000-0005-0000-0000-00008FDF0000}"/>
    <cellStyle name="Porcentaje 2 7 3 3 5 3" xfId="41294" xr:uid="{00000000-0005-0000-0000-000090DF0000}"/>
    <cellStyle name="Porcentaje 2 7 3 3 6" xfId="20942" xr:uid="{00000000-0005-0000-0000-000091DF0000}"/>
    <cellStyle name="Porcentaje 2 7 3 3 6 2" xfId="48075" xr:uid="{00000000-0005-0000-0000-000092DF0000}"/>
    <cellStyle name="Porcentaje 2 7 3 3 7" xfId="34513" xr:uid="{00000000-0005-0000-0000-000093DF0000}"/>
    <cellStyle name="Porcentaje 2 7 3 4" xfId="7251" xr:uid="{00000000-0005-0000-0000-000094DF0000}"/>
    <cellStyle name="Porcentaje 2 7 3 4 2" xfId="7252" xr:uid="{00000000-0005-0000-0000-000095DF0000}"/>
    <cellStyle name="Porcentaje 2 7 3 4 2 2" xfId="10759" xr:uid="{00000000-0005-0000-0000-000096DF0000}"/>
    <cellStyle name="Porcentaje 2 7 3 4 2 2 2" xfId="17548" xr:uid="{00000000-0005-0000-0000-000097DF0000}"/>
    <cellStyle name="Porcentaje 2 7 3 4 2 2 2 2" xfId="31116" xr:uid="{00000000-0005-0000-0000-000098DF0000}"/>
    <cellStyle name="Porcentaje 2 7 3 4 2 2 2 2 2" xfId="58249" xr:uid="{00000000-0005-0000-0000-000099DF0000}"/>
    <cellStyle name="Porcentaje 2 7 3 4 2 2 2 3" xfId="44687" xr:uid="{00000000-0005-0000-0000-00009ADF0000}"/>
    <cellStyle name="Porcentaje 2 7 3 4 2 2 3" xfId="24335" xr:uid="{00000000-0005-0000-0000-00009BDF0000}"/>
    <cellStyle name="Porcentaje 2 7 3 4 2 2 3 2" xfId="51468" xr:uid="{00000000-0005-0000-0000-00009CDF0000}"/>
    <cellStyle name="Porcentaje 2 7 3 4 2 2 4" xfId="37906" xr:uid="{00000000-0005-0000-0000-00009DDF0000}"/>
    <cellStyle name="Porcentaje 2 7 3 4 2 3" xfId="14159" xr:uid="{00000000-0005-0000-0000-00009EDF0000}"/>
    <cellStyle name="Porcentaje 2 7 3 4 2 3 2" xfId="27727" xr:uid="{00000000-0005-0000-0000-00009FDF0000}"/>
    <cellStyle name="Porcentaje 2 7 3 4 2 3 2 2" xfId="54860" xr:uid="{00000000-0005-0000-0000-0000A0DF0000}"/>
    <cellStyle name="Porcentaje 2 7 3 4 2 3 3" xfId="41298" xr:uid="{00000000-0005-0000-0000-0000A1DF0000}"/>
    <cellStyle name="Porcentaje 2 7 3 4 2 4" xfId="20946" xr:uid="{00000000-0005-0000-0000-0000A2DF0000}"/>
    <cellStyle name="Porcentaje 2 7 3 4 2 4 2" xfId="48079" xr:uid="{00000000-0005-0000-0000-0000A3DF0000}"/>
    <cellStyle name="Porcentaje 2 7 3 4 2 5" xfId="34517" xr:uid="{00000000-0005-0000-0000-0000A4DF0000}"/>
    <cellStyle name="Porcentaje 2 7 3 4 3" xfId="10758" xr:uid="{00000000-0005-0000-0000-0000A5DF0000}"/>
    <cellStyle name="Porcentaje 2 7 3 4 3 2" xfId="17547" xr:uid="{00000000-0005-0000-0000-0000A6DF0000}"/>
    <cellStyle name="Porcentaje 2 7 3 4 3 2 2" xfId="31115" xr:uid="{00000000-0005-0000-0000-0000A7DF0000}"/>
    <cellStyle name="Porcentaje 2 7 3 4 3 2 2 2" xfId="58248" xr:uid="{00000000-0005-0000-0000-0000A8DF0000}"/>
    <cellStyle name="Porcentaje 2 7 3 4 3 2 3" xfId="44686" xr:uid="{00000000-0005-0000-0000-0000A9DF0000}"/>
    <cellStyle name="Porcentaje 2 7 3 4 3 3" xfId="24334" xr:uid="{00000000-0005-0000-0000-0000AADF0000}"/>
    <cellStyle name="Porcentaje 2 7 3 4 3 3 2" xfId="51467" xr:uid="{00000000-0005-0000-0000-0000ABDF0000}"/>
    <cellStyle name="Porcentaje 2 7 3 4 3 4" xfId="37905" xr:uid="{00000000-0005-0000-0000-0000ACDF0000}"/>
    <cellStyle name="Porcentaje 2 7 3 4 4" xfId="14158" xr:uid="{00000000-0005-0000-0000-0000ADDF0000}"/>
    <cellStyle name="Porcentaje 2 7 3 4 4 2" xfId="27726" xr:uid="{00000000-0005-0000-0000-0000AEDF0000}"/>
    <cellStyle name="Porcentaje 2 7 3 4 4 2 2" xfId="54859" xr:uid="{00000000-0005-0000-0000-0000AFDF0000}"/>
    <cellStyle name="Porcentaje 2 7 3 4 4 3" xfId="41297" xr:uid="{00000000-0005-0000-0000-0000B0DF0000}"/>
    <cellStyle name="Porcentaje 2 7 3 4 5" xfId="20945" xr:uid="{00000000-0005-0000-0000-0000B1DF0000}"/>
    <cellStyle name="Porcentaje 2 7 3 4 5 2" xfId="48078" xr:uid="{00000000-0005-0000-0000-0000B2DF0000}"/>
    <cellStyle name="Porcentaje 2 7 3 4 6" xfId="34516" xr:uid="{00000000-0005-0000-0000-0000B3DF0000}"/>
    <cellStyle name="Porcentaje 2 7 3 5" xfId="7253" xr:uid="{00000000-0005-0000-0000-0000B4DF0000}"/>
    <cellStyle name="Porcentaje 2 7 3 5 2" xfId="10760" xr:uid="{00000000-0005-0000-0000-0000B5DF0000}"/>
    <cellStyle name="Porcentaje 2 7 3 5 2 2" xfId="17549" xr:uid="{00000000-0005-0000-0000-0000B6DF0000}"/>
    <cellStyle name="Porcentaje 2 7 3 5 2 2 2" xfId="31117" xr:uid="{00000000-0005-0000-0000-0000B7DF0000}"/>
    <cellStyle name="Porcentaje 2 7 3 5 2 2 2 2" xfId="58250" xr:uid="{00000000-0005-0000-0000-0000B8DF0000}"/>
    <cellStyle name="Porcentaje 2 7 3 5 2 2 3" xfId="44688" xr:uid="{00000000-0005-0000-0000-0000B9DF0000}"/>
    <cellStyle name="Porcentaje 2 7 3 5 2 3" xfId="24336" xr:uid="{00000000-0005-0000-0000-0000BADF0000}"/>
    <cellStyle name="Porcentaje 2 7 3 5 2 3 2" xfId="51469" xr:uid="{00000000-0005-0000-0000-0000BBDF0000}"/>
    <cellStyle name="Porcentaje 2 7 3 5 2 4" xfId="37907" xr:uid="{00000000-0005-0000-0000-0000BCDF0000}"/>
    <cellStyle name="Porcentaje 2 7 3 5 3" xfId="14160" xr:uid="{00000000-0005-0000-0000-0000BDDF0000}"/>
    <cellStyle name="Porcentaje 2 7 3 5 3 2" xfId="27728" xr:uid="{00000000-0005-0000-0000-0000BEDF0000}"/>
    <cellStyle name="Porcentaje 2 7 3 5 3 2 2" xfId="54861" xr:uid="{00000000-0005-0000-0000-0000BFDF0000}"/>
    <cellStyle name="Porcentaje 2 7 3 5 3 3" xfId="41299" xr:uid="{00000000-0005-0000-0000-0000C0DF0000}"/>
    <cellStyle name="Porcentaje 2 7 3 5 4" xfId="20947" xr:uid="{00000000-0005-0000-0000-0000C1DF0000}"/>
    <cellStyle name="Porcentaje 2 7 3 5 4 2" xfId="48080" xr:uid="{00000000-0005-0000-0000-0000C2DF0000}"/>
    <cellStyle name="Porcentaje 2 7 3 5 5" xfId="34518" xr:uid="{00000000-0005-0000-0000-0000C3DF0000}"/>
    <cellStyle name="Porcentaje 2 7 3 6" xfId="7254" xr:uid="{00000000-0005-0000-0000-0000C4DF0000}"/>
    <cellStyle name="Porcentaje 2 7 3 6 2" xfId="10761" xr:uid="{00000000-0005-0000-0000-0000C5DF0000}"/>
    <cellStyle name="Porcentaje 2 7 3 6 2 2" xfId="17550" xr:uid="{00000000-0005-0000-0000-0000C6DF0000}"/>
    <cellStyle name="Porcentaje 2 7 3 6 2 2 2" xfId="31118" xr:uid="{00000000-0005-0000-0000-0000C7DF0000}"/>
    <cellStyle name="Porcentaje 2 7 3 6 2 2 2 2" xfId="58251" xr:uid="{00000000-0005-0000-0000-0000C8DF0000}"/>
    <cellStyle name="Porcentaje 2 7 3 6 2 2 3" xfId="44689" xr:uid="{00000000-0005-0000-0000-0000C9DF0000}"/>
    <cellStyle name="Porcentaje 2 7 3 6 2 3" xfId="24337" xr:uid="{00000000-0005-0000-0000-0000CADF0000}"/>
    <cellStyle name="Porcentaje 2 7 3 6 2 3 2" xfId="51470" xr:uid="{00000000-0005-0000-0000-0000CBDF0000}"/>
    <cellStyle name="Porcentaje 2 7 3 6 2 4" xfId="37908" xr:uid="{00000000-0005-0000-0000-0000CCDF0000}"/>
    <cellStyle name="Porcentaje 2 7 3 6 3" xfId="14161" xr:uid="{00000000-0005-0000-0000-0000CDDF0000}"/>
    <cellStyle name="Porcentaje 2 7 3 6 3 2" xfId="27729" xr:uid="{00000000-0005-0000-0000-0000CEDF0000}"/>
    <cellStyle name="Porcentaje 2 7 3 6 3 2 2" xfId="54862" xr:uid="{00000000-0005-0000-0000-0000CFDF0000}"/>
    <cellStyle name="Porcentaje 2 7 3 6 3 3" xfId="41300" xr:uid="{00000000-0005-0000-0000-0000D0DF0000}"/>
    <cellStyle name="Porcentaje 2 7 3 6 4" xfId="20948" xr:uid="{00000000-0005-0000-0000-0000D1DF0000}"/>
    <cellStyle name="Porcentaje 2 7 3 6 4 2" xfId="48081" xr:uid="{00000000-0005-0000-0000-0000D2DF0000}"/>
    <cellStyle name="Porcentaje 2 7 3 6 5" xfId="34519" xr:uid="{00000000-0005-0000-0000-0000D3DF0000}"/>
    <cellStyle name="Porcentaje 2 7 3 7" xfId="10746" xr:uid="{00000000-0005-0000-0000-0000D4DF0000}"/>
    <cellStyle name="Porcentaje 2 7 3 7 2" xfId="17535" xr:uid="{00000000-0005-0000-0000-0000D5DF0000}"/>
    <cellStyle name="Porcentaje 2 7 3 7 2 2" xfId="31103" xr:uid="{00000000-0005-0000-0000-0000D6DF0000}"/>
    <cellStyle name="Porcentaje 2 7 3 7 2 2 2" xfId="58236" xr:uid="{00000000-0005-0000-0000-0000D7DF0000}"/>
    <cellStyle name="Porcentaje 2 7 3 7 2 3" xfId="44674" xr:uid="{00000000-0005-0000-0000-0000D8DF0000}"/>
    <cellStyle name="Porcentaje 2 7 3 7 3" xfId="24322" xr:uid="{00000000-0005-0000-0000-0000D9DF0000}"/>
    <cellStyle name="Porcentaje 2 7 3 7 3 2" xfId="51455" xr:uid="{00000000-0005-0000-0000-0000DADF0000}"/>
    <cellStyle name="Porcentaje 2 7 3 7 4" xfId="37893" xr:uid="{00000000-0005-0000-0000-0000DBDF0000}"/>
    <cellStyle name="Porcentaje 2 7 3 8" xfId="14146" xr:uid="{00000000-0005-0000-0000-0000DCDF0000}"/>
    <cellStyle name="Porcentaje 2 7 3 8 2" xfId="27714" xr:uid="{00000000-0005-0000-0000-0000DDDF0000}"/>
    <cellStyle name="Porcentaje 2 7 3 8 2 2" xfId="54847" xr:uid="{00000000-0005-0000-0000-0000DEDF0000}"/>
    <cellStyle name="Porcentaje 2 7 3 8 3" xfId="41285" xr:uid="{00000000-0005-0000-0000-0000DFDF0000}"/>
    <cellStyle name="Porcentaje 2 7 3 9" xfId="20933" xr:uid="{00000000-0005-0000-0000-0000E0DF0000}"/>
    <cellStyle name="Porcentaje 2 7 3 9 2" xfId="48066" xr:uid="{00000000-0005-0000-0000-0000E1DF0000}"/>
    <cellStyle name="Porcentaje 2 7 4" xfId="7255" xr:uid="{00000000-0005-0000-0000-0000E2DF0000}"/>
    <cellStyle name="Porcentaje 2 7 4 2" xfId="7256" xr:uid="{00000000-0005-0000-0000-0000E3DF0000}"/>
    <cellStyle name="Porcentaje 2 7 4 2 2" xfId="7257" xr:uid="{00000000-0005-0000-0000-0000E4DF0000}"/>
    <cellStyle name="Porcentaje 2 7 4 2 2 2" xfId="10764" xr:uid="{00000000-0005-0000-0000-0000E5DF0000}"/>
    <cellStyle name="Porcentaje 2 7 4 2 2 2 2" xfId="17553" xr:uid="{00000000-0005-0000-0000-0000E6DF0000}"/>
    <cellStyle name="Porcentaje 2 7 4 2 2 2 2 2" xfId="31121" xr:uid="{00000000-0005-0000-0000-0000E7DF0000}"/>
    <cellStyle name="Porcentaje 2 7 4 2 2 2 2 2 2" xfId="58254" xr:uid="{00000000-0005-0000-0000-0000E8DF0000}"/>
    <cellStyle name="Porcentaje 2 7 4 2 2 2 2 3" xfId="44692" xr:uid="{00000000-0005-0000-0000-0000E9DF0000}"/>
    <cellStyle name="Porcentaje 2 7 4 2 2 2 3" xfId="24340" xr:uid="{00000000-0005-0000-0000-0000EADF0000}"/>
    <cellStyle name="Porcentaje 2 7 4 2 2 2 3 2" xfId="51473" xr:uid="{00000000-0005-0000-0000-0000EBDF0000}"/>
    <cellStyle name="Porcentaje 2 7 4 2 2 2 4" xfId="37911" xr:uid="{00000000-0005-0000-0000-0000ECDF0000}"/>
    <cellStyle name="Porcentaje 2 7 4 2 2 3" xfId="14164" xr:uid="{00000000-0005-0000-0000-0000EDDF0000}"/>
    <cellStyle name="Porcentaje 2 7 4 2 2 3 2" xfId="27732" xr:uid="{00000000-0005-0000-0000-0000EEDF0000}"/>
    <cellStyle name="Porcentaje 2 7 4 2 2 3 2 2" xfId="54865" xr:uid="{00000000-0005-0000-0000-0000EFDF0000}"/>
    <cellStyle name="Porcentaje 2 7 4 2 2 3 3" xfId="41303" xr:uid="{00000000-0005-0000-0000-0000F0DF0000}"/>
    <cellStyle name="Porcentaje 2 7 4 2 2 4" xfId="20951" xr:uid="{00000000-0005-0000-0000-0000F1DF0000}"/>
    <cellStyle name="Porcentaje 2 7 4 2 2 4 2" xfId="48084" xr:uid="{00000000-0005-0000-0000-0000F2DF0000}"/>
    <cellStyle name="Porcentaje 2 7 4 2 2 5" xfId="34522" xr:uid="{00000000-0005-0000-0000-0000F3DF0000}"/>
    <cellStyle name="Porcentaje 2 7 4 2 3" xfId="7258" xr:uid="{00000000-0005-0000-0000-0000F4DF0000}"/>
    <cellStyle name="Porcentaje 2 7 4 2 3 2" xfId="10765" xr:uid="{00000000-0005-0000-0000-0000F5DF0000}"/>
    <cellStyle name="Porcentaje 2 7 4 2 3 2 2" xfId="17554" xr:uid="{00000000-0005-0000-0000-0000F6DF0000}"/>
    <cellStyle name="Porcentaje 2 7 4 2 3 2 2 2" xfId="31122" xr:uid="{00000000-0005-0000-0000-0000F7DF0000}"/>
    <cellStyle name="Porcentaje 2 7 4 2 3 2 2 2 2" xfId="58255" xr:uid="{00000000-0005-0000-0000-0000F8DF0000}"/>
    <cellStyle name="Porcentaje 2 7 4 2 3 2 2 3" xfId="44693" xr:uid="{00000000-0005-0000-0000-0000F9DF0000}"/>
    <cellStyle name="Porcentaje 2 7 4 2 3 2 3" xfId="24341" xr:uid="{00000000-0005-0000-0000-0000FADF0000}"/>
    <cellStyle name="Porcentaje 2 7 4 2 3 2 3 2" xfId="51474" xr:uid="{00000000-0005-0000-0000-0000FBDF0000}"/>
    <cellStyle name="Porcentaje 2 7 4 2 3 2 4" xfId="37912" xr:uid="{00000000-0005-0000-0000-0000FCDF0000}"/>
    <cellStyle name="Porcentaje 2 7 4 2 3 3" xfId="14165" xr:uid="{00000000-0005-0000-0000-0000FDDF0000}"/>
    <cellStyle name="Porcentaje 2 7 4 2 3 3 2" xfId="27733" xr:uid="{00000000-0005-0000-0000-0000FEDF0000}"/>
    <cellStyle name="Porcentaje 2 7 4 2 3 3 2 2" xfId="54866" xr:uid="{00000000-0005-0000-0000-0000FFDF0000}"/>
    <cellStyle name="Porcentaje 2 7 4 2 3 3 3" xfId="41304" xr:uid="{00000000-0005-0000-0000-000000E00000}"/>
    <cellStyle name="Porcentaje 2 7 4 2 3 4" xfId="20952" xr:uid="{00000000-0005-0000-0000-000001E00000}"/>
    <cellStyle name="Porcentaje 2 7 4 2 3 4 2" xfId="48085" xr:uid="{00000000-0005-0000-0000-000002E00000}"/>
    <cellStyle name="Porcentaje 2 7 4 2 3 5" xfId="34523" xr:uid="{00000000-0005-0000-0000-000003E00000}"/>
    <cellStyle name="Porcentaje 2 7 4 2 4" xfId="10763" xr:uid="{00000000-0005-0000-0000-000004E00000}"/>
    <cellStyle name="Porcentaje 2 7 4 2 4 2" xfId="17552" xr:uid="{00000000-0005-0000-0000-000005E00000}"/>
    <cellStyle name="Porcentaje 2 7 4 2 4 2 2" xfId="31120" xr:uid="{00000000-0005-0000-0000-000006E00000}"/>
    <cellStyle name="Porcentaje 2 7 4 2 4 2 2 2" xfId="58253" xr:uid="{00000000-0005-0000-0000-000007E00000}"/>
    <cellStyle name="Porcentaje 2 7 4 2 4 2 3" xfId="44691" xr:uid="{00000000-0005-0000-0000-000008E00000}"/>
    <cellStyle name="Porcentaje 2 7 4 2 4 3" xfId="24339" xr:uid="{00000000-0005-0000-0000-000009E00000}"/>
    <cellStyle name="Porcentaje 2 7 4 2 4 3 2" xfId="51472" xr:uid="{00000000-0005-0000-0000-00000AE00000}"/>
    <cellStyle name="Porcentaje 2 7 4 2 4 4" xfId="37910" xr:uid="{00000000-0005-0000-0000-00000BE00000}"/>
    <cellStyle name="Porcentaje 2 7 4 2 5" xfId="14163" xr:uid="{00000000-0005-0000-0000-00000CE00000}"/>
    <cellStyle name="Porcentaje 2 7 4 2 5 2" xfId="27731" xr:uid="{00000000-0005-0000-0000-00000DE00000}"/>
    <cellStyle name="Porcentaje 2 7 4 2 5 2 2" xfId="54864" xr:uid="{00000000-0005-0000-0000-00000EE00000}"/>
    <cellStyle name="Porcentaje 2 7 4 2 5 3" xfId="41302" xr:uid="{00000000-0005-0000-0000-00000FE00000}"/>
    <cellStyle name="Porcentaje 2 7 4 2 6" xfId="20950" xr:uid="{00000000-0005-0000-0000-000010E00000}"/>
    <cellStyle name="Porcentaje 2 7 4 2 6 2" xfId="48083" xr:uid="{00000000-0005-0000-0000-000011E00000}"/>
    <cellStyle name="Porcentaje 2 7 4 2 7" xfId="34521" xr:uid="{00000000-0005-0000-0000-000012E00000}"/>
    <cellStyle name="Porcentaje 2 7 4 3" xfId="7259" xr:uid="{00000000-0005-0000-0000-000013E00000}"/>
    <cellStyle name="Porcentaje 2 7 4 3 2" xfId="7260" xr:uid="{00000000-0005-0000-0000-000014E00000}"/>
    <cellStyle name="Porcentaje 2 7 4 3 2 2" xfId="10767" xr:uid="{00000000-0005-0000-0000-000015E00000}"/>
    <cellStyle name="Porcentaje 2 7 4 3 2 2 2" xfId="17556" xr:uid="{00000000-0005-0000-0000-000016E00000}"/>
    <cellStyle name="Porcentaje 2 7 4 3 2 2 2 2" xfId="31124" xr:uid="{00000000-0005-0000-0000-000017E00000}"/>
    <cellStyle name="Porcentaje 2 7 4 3 2 2 2 2 2" xfId="58257" xr:uid="{00000000-0005-0000-0000-000018E00000}"/>
    <cellStyle name="Porcentaje 2 7 4 3 2 2 2 3" xfId="44695" xr:uid="{00000000-0005-0000-0000-000019E00000}"/>
    <cellStyle name="Porcentaje 2 7 4 3 2 2 3" xfId="24343" xr:uid="{00000000-0005-0000-0000-00001AE00000}"/>
    <cellStyle name="Porcentaje 2 7 4 3 2 2 3 2" xfId="51476" xr:uid="{00000000-0005-0000-0000-00001BE00000}"/>
    <cellStyle name="Porcentaje 2 7 4 3 2 2 4" xfId="37914" xr:uid="{00000000-0005-0000-0000-00001CE00000}"/>
    <cellStyle name="Porcentaje 2 7 4 3 2 3" xfId="14167" xr:uid="{00000000-0005-0000-0000-00001DE00000}"/>
    <cellStyle name="Porcentaje 2 7 4 3 2 3 2" xfId="27735" xr:uid="{00000000-0005-0000-0000-00001EE00000}"/>
    <cellStyle name="Porcentaje 2 7 4 3 2 3 2 2" xfId="54868" xr:uid="{00000000-0005-0000-0000-00001FE00000}"/>
    <cellStyle name="Porcentaje 2 7 4 3 2 3 3" xfId="41306" xr:uid="{00000000-0005-0000-0000-000020E00000}"/>
    <cellStyle name="Porcentaje 2 7 4 3 2 4" xfId="20954" xr:uid="{00000000-0005-0000-0000-000021E00000}"/>
    <cellStyle name="Porcentaje 2 7 4 3 2 4 2" xfId="48087" xr:uid="{00000000-0005-0000-0000-000022E00000}"/>
    <cellStyle name="Porcentaje 2 7 4 3 2 5" xfId="34525" xr:uid="{00000000-0005-0000-0000-000023E00000}"/>
    <cellStyle name="Porcentaje 2 7 4 3 3" xfId="10766" xr:uid="{00000000-0005-0000-0000-000024E00000}"/>
    <cellStyle name="Porcentaje 2 7 4 3 3 2" xfId="17555" xr:uid="{00000000-0005-0000-0000-000025E00000}"/>
    <cellStyle name="Porcentaje 2 7 4 3 3 2 2" xfId="31123" xr:uid="{00000000-0005-0000-0000-000026E00000}"/>
    <cellStyle name="Porcentaje 2 7 4 3 3 2 2 2" xfId="58256" xr:uid="{00000000-0005-0000-0000-000027E00000}"/>
    <cellStyle name="Porcentaje 2 7 4 3 3 2 3" xfId="44694" xr:uid="{00000000-0005-0000-0000-000028E00000}"/>
    <cellStyle name="Porcentaje 2 7 4 3 3 3" xfId="24342" xr:uid="{00000000-0005-0000-0000-000029E00000}"/>
    <cellStyle name="Porcentaje 2 7 4 3 3 3 2" xfId="51475" xr:uid="{00000000-0005-0000-0000-00002AE00000}"/>
    <cellStyle name="Porcentaje 2 7 4 3 3 4" xfId="37913" xr:uid="{00000000-0005-0000-0000-00002BE00000}"/>
    <cellStyle name="Porcentaje 2 7 4 3 4" xfId="14166" xr:uid="{00000000-0005-0000-0000-00002CE00000}"/>
    <cellStyle name="Porcentaje 2 7 4 3 4 2" xfId="27734" xr:uid="{00000000-0005-0000-0000-00002DE00000}"/>
    <cellStyle name="Porcentaje 2 7 4 3 4 2 2" xfId="54867" xr:uid="{00000000-0005-0000-0000-00002EE00000}"/>
    <cellStyle name="Porcentaje 2 7 4 3 4 3" xfId="41305" xr:uid="{00000000-0005-0000-0000-00002FE00000}"/>
    <cellStyle name="Porcentaje 2 7 4 3 5" xfId="20953" xr:uid="{00000000-0005-0000-0000-000030E00000}"/>
    <cellStyle name="Porcentaje 2 7 4 3 5 2" xfId="48086" xr:uid="{00000000-0005-0000-0000-000031E00000}"/>
    <cellStyle name="Porcentaje 2 7 4 3 6" xfId="34524" xr:uid="{00000000-0005-0000-0000-000032E00000}"/>
    <cellStyle name="Porcentaje 2 7 4 4" xfId="7261" xr:uid="{00000000-0005-0000-0000-000033E00000}"/>
    <cellStyle name="Porcentaje 2 7 4 4 2" xfId="10768" xr:uid="{00000000-0005-0000-0000-000034E00000}"/>
    <cellStyle name="Porcentaje 2 7 4 4 2 2" xfId="17557" xr:uid="{00000000-0005-0000-0000-000035E00000}"/>
    <cellStyle name="Porcentaje 2 7 4 4 2 2 2" xfId="31125" xr:uid="{00000000-0005-0000-0000-000036E00000}"/>
    <cellStyle name="Porcentaje 2 7 4 4 2 2 2 2" xfId="58258" xr:uid="{00000000-0005-0000-0000-000037E00000}"/>
    <cellStyle name="Porcentaje 2 7 4 4 2 2 3" xfId="44696" xr:uid="{00000000-0005-0000-0000-000038E00000}"/>
    <cellStyle name="Porcentaje 2 7 4 4 2 3" xfId="24344" xr:uid="{00000000-0005-0000-0000-000039E00000}"/>
    <cellStyle name="Porcentaje 2 7 4 4 2 3 2" xfId="51477" xr:uid="{00000000-0005-0000-0000-00003AE00000}"/>
    <cellStyle name="Porcentaje 2 7 4 4 2 4" xfId="37915" xr:uid="{00000000-0005-0000-0000-00003BE00000}"/>
    <cellStyle name="Porcentaje 2 7 4 4 3" xfId="14168" xr:uid="{00000000-0005-0000-0000-00003CE00000}"/>
    <cellStyle name="Porcentaje 2 7 4 4 3 2" xfId="27736" xr:uid="{00000000-0005-0000-0000-00003DE00000}"/>
    <cellStyle name="Porcentaje 2 7 4 4 3 2 2" xfId="54869" xr:uid="{00000000-0005-0000-0000-00003EE00000}"/>
    <cellStyle name="Porcentaje 2 7 4 4 3 3" xfId="41307" xr:uid="{00000000-0005-0000-0000-00003FE00000}"/>
    <cellStyle name="Porcentaje 2 7 4 4 4" xfId="20955" xr:uid="{00000000-0005-0000-0000-000040E00000}"/>
    <cellStyle name="Porcentaje 2 7 4 4 4 2" xfId="48088" xr:uid="{00000000-0005-0000-0000-000041E00000}"/>
    <cellStyle name="Porcentaje 2 7 4 4 5" xfId="34526" xr:uid="{00000000-0005-0000-0000-000042E00000}"/>
    <cellStyle name="Porcentaje 2 7 4 5" xfId="7262" xr:uid="{00000000-0005-0000-0000-000043E00000}"/>
    <cellStyle name="Porcentaje 2 7 4 5 2" xfId="10769" xr:uid="{00000000-0005-0000-0000-000044E00000}"/>
    <cellStyle name="Porcentaje 2 7 4 5 2 2" xfId="17558" xr:uid="{00000000-0005-0000-0000-000045E00000}"/>
    <cellStyle name="Porcentaje 2 7 4 5 2 2 2" xfId="31126" xr:uid="{00000000-0005-0000-0000-000046E00000}"/>
    <cellStyle name="Porcentaje 2 7 4 5 2 2 2 2" xfId="58259" xr:uid="{00000000-0005-0000-0000-000047E00000}"/>
    <cellStyle name="Porcentaje 2 7 4 5 2 2 3" xfId="44697" xr:uid="{00000000-0005-0000-0000-000048E00000}"/>
    <cellStyle name="Porcentaje 2 7 4 5 2 3" xfId="24345" xr:uid="{00000000-0005-0000-0000-000049E00000}"/>
    <cellStyle name="Porcentaje 2 7 4 5 2 3 2" xfId="51478" xr:uid="{00000000-0005-0000-0000-00004AE00000}"/>
    <cellStyle name="Porcentaje 2 7 4 5 2 4" xfId="37916" xr:uid="{00000000-0005-0000-0000-00004BE00000}"/>
    <cellStyle name="Porcentaje 2 7 4 5 3" xfId="14169" xr:uid="{00000000-0005-0000-0000-00004CE00000}"/>
    <cellStyle name="Porcentaje 2 7 4 5 3 2" xfId="27737" xr:uid="{00000000-0005-0000-0000-00004DE00000}"/>
    <cellStyle name="Porcentaje 2 7 4 5 3 2 2" xfId="54870" xr:uid="{00000000-0005-0000-0000-00004EE00000}"/>
    <cellStyle name="Porcentaje 2 7 4 5 3 3" xfId="41308" xr:uid="{00000000-0005-0000-0000-00004FE00000}"/>
    <cellStyle name="Porcentaje 2 7 4 5 4" xfId="20956" xr:uid="{00000000-0005-0000-0000-000050E00000}"/>
    <cellStyle name="Porcentaje 2 7 4 5 4 2" xfId="48089" xr:uid="{00000000-0005-0000-0000-000051E00000}"/>
    <cellStyle name="Porcentaje 2 7 4 5 5" xfId="34527" xr:uid="{00000000-0005-0000-0000-000052E00000}"/>
    <cellStyle name="Porcentaje 2 7 4 6" xfId="10762" xr:uid="{00000000-0005-0000-0000-000053E00000}"/>
    <cellStyle name="Porcentaje 2 7 4 6 2" xfId="17551" xr:uid="{00000000-0005-0000-0000-000054E00000}"/>
    <cellStyle name="Porcentaje 2 7 4 6 2 2" xfId="31119" xr:uid="{00000000-0005-0000-0000-000055E00000}"/>
    <cellStyle name="Porcentaje 2 7 4 6 2 2 2" xfId="58252" xr:uid="{00000000-0005-0000-0000-000056E00000}"/>
    <cellStyle name="Porcentaje 2 7 4 6 2 3" xfId="44690" xr:uid="{00000000-0005-0000-0000-000057E00000}"/>
    <cellStyle name="Porcentaje 2 7 4 6 3" xfId="24338" xr:uid="{00000000-0005-0000-0000-000058E00000}"/>
    <cellStyle name="Porcentaje 2 7 4 6 3 2" xfId="51471" xr:uid="{00000000-0005-0000-0000-000059E00000}"/>
    <cellStyle name="Porcentaje 2 7 4 6 4" xfId="37909" xr:uid="{00000000-0005-0000-0000-00005AE00000}"/>
    <cellStyle name="Porcentaje 2 7 4 7" xfId="14162" xr:uid="{00000000-0005-0000-0000-00005BE00000}"/>
    <cellStyle name="Porcentaje 2 7 4 7 2" xfId="27730" xr:uid="{00000000-0005-0000-0000-00005CE00000}"/>
    <cellStyle name="Porcentaje 2 7 4 7 2 2" xfId="54863" xr:uid="{00000000-0005-0000-0000-00005DE00000}"/>
    <cellStyle name="Porcentaje 2 7 4 7 3" xfId="41301" xr:uid="{00000000-0005-0000-0000-00005EE00000}"/>
    <cellStyle name="Porcentaje 2 7 4 8" xfId="20949" xr:uid="{00000000-0005-0000-0000-00005FE00000}"/>
    <cellStyle name="Porcentaje 2 7 4 8 2" xfId="48082" xr:uid="{00000000-0005-0000-0000-000060E00000}"/>
    <cellStyle name="Porcentaje 2 7 4 9" xfId="34520" xr:uid="{00000000-0005-0000-0000-000061E00000}"/>
    <cellStyle name="Porcentaje 2 7 5" xfId="7263" xr:uid="{00000000-0005-0000-0000-000062E00000}"/>
    <cellStyle name="Porcentaje 2 7 5 2" xfId="7264" xr:uid="{00000000-0005-0000-0000-000063E00000}"/>
    <cellStyle name="Porcentaje 2 7 5 2 2" xfId="7265" xr:uid="{00000000-0005-0000-0000-000064E00000}"/>
    <cellStyle name="Porcentaje 2 7 5 2 2 2" xfId="10772" xr:uid="{00000000-0005-0000-0000-000065E00000}"/>
    <cellStyle name="Porcentaje 2 7 5 2 2 2 2" xfId="17561" xr:uid="{00000000-0005-0000-0000-000066E00000}"/>
    <cellStyle name="Porcentaje 2 7 5 2 2 2 2 2" xfId="31129" xr:uid="{00000000-0005-0000-0000-000067E00000}"/>
    <cellStyle name="Porcentaje 2 7 5 2 2 2 2 2 2" xfId="58262" xr:uid="{00000000-0005-0000-0000-000068E00000}"/>
    <cellStyle name="Porcentaje 2 7 5 2 2 2 2 3" xfId="44700" xr:uid="{00000000-0005-0000-0000-000069E00000}"/>
    <cellStyle name="Porcentaje 2 7 5 2 2 2 3" xfId="24348" xr:uid="{00000000-0005-0000-0000-00006AE00000}"/>
    <cellStyle name="Porcentaje 2 7 5 2 2 2 3 2" xfId="51481" xr:uid="{00000000-0005-0000-0000-00006BE00000}"/>
    <cellStyle name="Porcentaje 2 7 5 2 2 2 4" xfId="37919" xr:uid="{00000000-0005-0000-0000-00006CE00000}"/>
    <cellStyle name="Porcentaje 2 7 5 2 2 3" xfId="14172" xr:uid="{00000000-0005-0000-0000-00006DE00000}"/>
    <cellStyle name="Porcentaje 2 7 5 2 2 3 2" xfId="27740" xr:uid="{00000000-0005-0000-0000-00006EE00000}"/>
    <cellStyle name="Porcentaje 2 7 5 2 2 3 2 2" xfId="54873" xr:uid="{00000000-0005-0000-0000-00006FE00000}"/>
    <cellStyle name="Porcentaje 2 7 5 2 2 3 3" xfId="41311" xr:uid="{00000000-0005-0000-0000-000070E00000}"/>
    <cellStyle name="Porcentaje 2 7 5 2 2 4" xfId="20959" xr:uid="{00000000-0005-0000-0000-000071E00000}"/>
    <cellStyle name="Porcentaje 2 7 5 2 2 4 2" xfId="48092" xr:uid="{00000000-0005-0000-0000-000072E00000}"/>
    <cellStyle name="Porcentaje 2 7 5 2 2 5" xfId="34530" xr:uid="{00000000-0005-0000-0000-000073E00000}"/>
    <cellStyle name="Porcentaje 2 7 5 2 3" xfId="7266" xr:uid="{00000000-0005-0000-0000-000074E00000}"/>
    <cellStyle name="Porcentaje 2 7 5 2 3 2" xfId="10773" xr:uid="{00000000-0005-0000-0000-000075E00000}"/>
    <cellStyle name="Porcentaje 2 7 5 2 3 2 2" xfId="17562" xr:uid="{00000000-0005-0000-0000-000076E00000}"/>
    <cellStyle name="Porcentaje 2 7 5 2 3 2 2 2" xfId="31130" xr:uid="{00000000-0005-0000-0000-000077E00000}"/>
    <cellStyle name="Porcentaje 2 7 5 2 3 2 2 2 2" xfId="58263" xr:uid="{00000000-0005-0000-0000-000078E00000}"/>
    <cellStyle name="Porcentaje 2 7 5 2 3 2 2 3" xfId="44701" xr:uid="{00000000-0005-0000-0000-000079E00000}"/>
    <cellStyle name="Porcentaje 2 7 5 2 3 2 3" xfId="24349" xr:uid="{00000000-0005-0000-0000-00007AE00000}"/>
    <cellStyle name="Porcentaje 2 7 5 2 3 2 3 2" xfId="51482" xr:uid="{00000000-0005-0000-0000-00007BE00000}"/>
    <cellStyle name="Porcentaje 2 7 5 2 3 2 4" xfId="37920" xr:uid="{00000000-0005-0000-0000-00007CE00000}"/>
    <cellStyle name="Porcentaje 2 7 5 2 3 3" xfId="14173" xr:uid="{00000000-0005-0000-0000-00007DE00000}"/>
    <cellStyle name="Porcentaje 2 7 5 2 3 3 2" xfId="27741" xr:uid="{00000000-0005-0000-0000-00007EE00000}"/>
    <cellStyle name="Porcentaje 2 7 5 2 3 3 2 2" xfId="54874" xr:uid="{00000000-0005-0000-0000-00007FE00000}"/>
    <cellStyle name="Porcentaje 2 7 5 2 3 3 3" xfId="41312" xr:uid="{00000000-0005-0000-0000-000080E00000}"/>
    <cellStyle name="Porcentaje 2 7 5 2 3 4" xfId="20960" xr:uid="{00000000-0005-0000-0000-000081E00000}"/>
    <cellStyle name="Porcentaje 2 7 5 2 3 4 2" xfId="48093" xr:uid="{00000000-0005-0000-0000-000082E00000}"/>
    <cellStyle name="Porcentaje 2 7 5 2 3 5" xfId="34531" xr:uid="{00000000-0005-0000-0000-000083E00000}"/>
    <cellStyle name="Porcentaje 2 7 5 2 4" xfId="10771" xr:uid="{00000000-0005-0000-0000-000084E00000}"/>
    <cellStyle name="Porcentaje 2 7 5 2 4 2" xfId="17560" xr:uid="{00000000-0005-0000-0000-000085E00000}"/>
    <cellStyle name="Porcentaje 2 7 5 2 4 2 2" xfId="31128" xr:uid="{00000000-0005-0000-0000-000086E00000}"/>
    <cellStyle name="Porcentaje 2 7 5 2 4 2 2 2" xfId="58261" xr:uid="{00000000-0005-0000-0000-000087E00000}"/>
    <cellStyle name="Porcentaje 2 7 5 2 4 2 3" xfId="44699" xr:uid="{00000000-0005-0000-0000-000088E00000}"/>
    <cellStyle name="Porcentaje 2 7 5 2 4 3" xfId="24347" xr:uid="{00000000-0005-0000-0000-000089E00000}"/>
    <cellStyle name="Porcentaje 2 7 5 2 4 3 2" xfId="51480" xr:uid="{00000000-0005-0000-0000-00008AE00000}"/>
    <cellStyle name="Porcentaje 2 7 5 2 4 4" xfId="37918" xr:uid="{00000000-0005-0000-0000-00008BE00000}"/>
    <cellStyle name="Porcentaje 2 7 5 2 5" xfId="14171" xr:uid="{00000000-0005-0000-0000-00008CE00000}"/>
    <cellStyle name="Porcentaje 2 7 5 2 5 2" xfId="27739" xr:uid="{00000000-0005-0000-0000-00008DE00000}"/>
    <cellStyle name="Porcentaje 2 7 5 2 5 2 2" xfId="54872" xr:uid="{00000000-0005-0000-0000-00008EE00000}"/>
    <cellStyle name="Porcentaje 2 7 5 2 5 3" xfId="41310" xr:uid="{00000000-0005-0000-0000-00008FE00000}"/>
    <cellStyle name="Porcentaje 2 7 5 2 6" xfId="20958" xr:uid="{00000000-0005-0000-0000-000090E00000}"/>
    <cellStyle name="Porcentaje 2 7 5 2 6 2" xfId="48091" xr:uid="{00000000-0005-0000-0000-000091E00000}"/>
    <cellStyle name="Porcentaje 2 7 5 2 7" xfId="34529" xr:uid="{00000000-0005-0000-0000-000092E00000}"/>
    <cellStyle name="Porcentaje 2 7 5 3" xfId="7267" xr:uid="{00000000-0005-0000-0000-000093E00000}"/>
    <cellStyle name="Porcentaje 2 7 5 3 2" xfId="10774" xr:uid="{00000000-0005-0000-0000-000094E00000}"/>
    <cellStyle name="Porcentaje 2 7 5 3 2 2" xfId="17563" xr:uid="{00000000-0005-0000-0000-000095E00000}"/>
    <cellStyle name="Porcentaje 2 7 5 3 2 2 2" xfId="31131" xr:uid="{00000000-0005-0000-0000-000096E00000}"/>
    <cellStyle name="Porcentaje 2 7 5 3 2 2 2 2" xfId="58264" xr:uid="{00000000-0005-0000-0000-000097E00000}"/>
    <cellStyle name="Porcentaje 2 7 5 3 2 2 3" xfId="44702" xr:uid="{00000000-0005-0000-0000-000098E00000}"/>
    <cellStyle name="Porcentaje 2 7 5 3 2 3" xfId="24350" xr:uid="{00000000-0005-0000-0000-000099E00000}"/>
    <cellStyle name="Porcentaje 2 7 5 3 2 3 2" xfId="51483" xr:uid="{00000000-0005-0000-0000-00009AE00000}"/>
    <cellStyle name="Porcentaje 2 7 5 3 2 4" xfId="37921" xr:uid="{00000000-0005-0000-0000-00009BE00000}"/>
    <cellStyle name="Porcentaje 2 7 5 3 3" xfId="14174" xr:uid="{00000000-0005-0000-0000-00009CE00000}"/>
    <cellStyle name="Porcentaje 2 7 5 3 3 2" xfId="27742" xr:uid="{00000000-0005-0000-0000-00009DE00000}"/>
    <cellStyle name="Porcentaje 2 7 5 3 3 2 2" xfId="54875" xr:uid="{00000000-0005-0000-0000-00009EE00000}"/>
    <cellStyle name="Porcentaje 2 7 5 3 3 3" xfId="41313" xr:uid="{00000000-0005-0000-0000-00009FE00000}"/>
    <cellStyle name="Porcentaje 2 7 5 3 4" xfId="20961" xr:uid="{00000000-0005-0000-0000-0000A0E00000}"/>
    <cellStyle name="Porcentaje 2 7 5 3 4 2" xfId="48094" xr:uid="{00000000-0005-0000-0000-0000A1E00000}"/>
    <cellStyle name="Porcentaje 2 7 5 3 5" xfId="34532" xr:uid="{00000000-0005-0000-0000-0000A2E00000}"/>
    <cellStyle name="Porcentaje 2 7 5 4" xfId="7268" xr:uid="{00000000-0005-0000-0000-0000A3E00000}"/>
    <cellStyle name="Porcentaje 2 7 5 4 2" xfId="10775" xr:uid="{00000000-0005-0000-0000-0000A4E00000}"/>
    <cellStyle name="Porcentaje 2 7 5 4 2 2" xfId="17564" xr:uid="{00000000-0005-0000-0000-0000A5E00000}"/>
    <cellStyle name="Porcentaje 2 7 5 4 2 2 2" xfId="31132" xr:uid="{00000000-0005-0000-0000-0000A6E00000}"/>
    <cellStyle name="Porcentaje 2 7 5 4 2 2 2 2" xfId="58265" xr:uid="{00000000-0005-0000-0000-0000A7E00000}"/>
    <cellStyle name="Porcentaje 2 7 5 4 2 2 3" xfId="44703" xr:uid="{00000000-0005-0000-0000-0000A8E00000}"/>
    <cellStyle name="Porcentaje 2 7 5 4 2 3" xfId="24351" xr:uid="{00000000-0005-0000-0000-0000A9E00000}"/>
    <cellStyle name="Porcentaje 2 7 5 4 2 3 2" xfId="51484" xr:uid="{00000000-0005-0000-0000-0000AAE00000}"/>
    <cellStyle name="Porcentaje 2 7 5 4 2 4" xfId="37922" xr:uid="{00000000-0005-0000-0000-0000ABE00000}"/>
    <cellStyle name="Porcentaje 2 7 5 4 3" xfId="14175" xr:uid="{00000000-0005-0000-0000-0000ACE00000}"/>
    <cellStyle name="Porcentaje 2 7 5 4 3 2" xfId="27743" xr:uid="{00000000-0005-0000-0000-0000ADE00000}"/>
    <cellStyle name="Porcentaje 2 7 5 4 3 2 2" xfId="54876" xr:uid="{00000000-0005-0000-0000-0000AEE00000}"/>
    <cellStyle name="Porcentaje 2 7 5 4 3 3" xfId="41314" xr:uid="{00000000-0005-0000-0000-0000AFE00000}"/>
    <cellStyle name="Porcentaje 2 7 5 4 4" xfId="20962" xr:uid="{00000000-0005-0000-0000-0000B0E00000}"/>
    <cellStyle name="Porcentaje 2 7 5 4 4 2" xfId="48095" xr:uid="{00000000-0005-0000-0000-0000B1E00000}"/>
    <cellStyle name="Porcentaje 2 7 5 4 5" xfId="34533" xr:uid="{00000000-0005-0000-0000-0000B2E00000}"/>
    <cellStyle name="Porcentaje 2 7 5 5" xfId="10770" xr:uid="{00000000-0005-0000-0000-0000B3E00000}"/>
    <cellStyle name="Porcentaje 2 7 5 5 2" xfId="17559" xr:uid="{00000000-0005-0000-0000-0000B4E00000}"/>
    <cellStyle name="Porcentaje 2 7 5 5 2 2" xfId="31127" xr:uid="{00000000-0005-0000-0000-0000B5E00000}"/>
    <cellStyle name="Porcentaje 2 7 5 5 2 2 2" xfId="58260" xr:uid="{00000000-0005-0000-0000-0000B6E00000}"/>
    <cellStyle name="Porcentaje 2 7 5 5 2 3" xfId="44698" xr:uid="{00000000-0005-0000-0000-0000B7E00000}"/>
    <cellStyle name="Porcentaje 2 7 5 5 3" xfId="24346" xr:uid="{00000000-0005-0000-0000-0000B8E00000}"/>
    <cellStyle name="Porcentaje 2 7 5 5 3 2" xfId="51479" xr:uid="{00000000-0005-0000-0000-0000B9E00000}"/>
    <cellStyle name="Porcentaje 2 7 5 5 4" xfId="37917" xr:uid="{00000000-0005-0000-0000-0000BAE00000}"/>
    <cellStyle name="Porcentaje 2 7 5 6" xfId="14170" xr:uid="{00000000-0005-0000-0000-0000BBE00000}"/>
    <cellStyle name="Porcentaje 2 7 5 6 2" xfId="27738" xr:uid="{00000000-0005-0000-0000-0000BCE00000}"/>
    <cellStyle name="Porcentaje 2 7 5 6 2 2" xfId="54871" xr:uid="{00000000-0005-0000-0000-0000BDE00000}"/>
    <cellStyle name="Porcentaje 2 7 5 6 3" xfId="41309" xr:uid="{00000000-0005-0000-0000-0000BEE00000}"/>
    <cellStyle name="Porcentaje 2 7 5 7" xfId="20957" xr:uid="{00000000-0005-0000-0000-0000BFE00000}"/>
    <cellStyle name="Porcentaje 2 7 5 7 2" xfId="48090" xr:uid="{00000000-0005-0000-0000-0000C0E00000}"/>
    <cellStyle name="Porcentaje 2 7 5 8" xfId="34528" xr:uid="{00000000-0005-0000-0000-0000C1E00000}"/>
    <cellStyle name="Porcentaje 2 7 6" xfId="7269" xr:uid="{00000000-0005-0000-0000-0000C2E00000}"/>
    <cellStyle name="Porcentaje 2 7 6 2" xfId="7270" xr:uid="{00000000-0005-0000-0000-0000C3E00000}"/>
    <cellStyle name="Porcentaje 2 7 6 2 2" xfId="7271" xr:uid="{00000000-0005-0000-0000-0000C4E00000}"/>
    <cellStyle name="Porcentaje 2 7 6 2 2 2" xfId="10778" xr:uid="{00000000-0005-0000-0000-0000C5E00000}"/>
    <cellStyle name="Porcentaje 2 7 6 2 2 2 2" xfId="17567" xr:uid="{00000000-0005-0000-0000-0000C6E00000}"/>
    <cellStyle name="Porcentaje 2 7 6 2 2 2 2 2" xfId="31135" xr:uid="{00000000-0005-0000-0000-0000C7E00000}"/>
    <cellStyle name="Porcentaje 2 7 6 2 2 2 2 2 2" xfId="58268" xr:uid="{00000000-0005-0000-0000-0000C8E00000}"/>
    <cellStyle name="Porcentaje 2 7 6 2 2 2 2 3" xfId="44706" xr:uid="{00000000-0005-0000-0000-0000C9E00000}"/>
    <cellStyle name="Porcentaje 2 7 6 2 2 2 3" xfId="24354" xr:uid="{00000000-0005-0000-0000-0000CAE00000}"/>
    <cellStyle name="Porcentaje 2 7 6 2 2 2 3 2" xfId="51487" xr:uid="{00000000-0005-0000-0000-0000CBE00000}"/>
    <cellStyle name="Porcentaje 2 7 6 2 2 2 4" xfId="37925" xr:uid="{00000000-0005-0000-0000-0000CCE00000}"/>
    <cellStyle name="Porcentaje 2 7 6 2 2 3" xfId="14178" xr:uid="{00000000-0005-0000-0000-0000CDE00000}"/>
    <cellStyle name="Porcentaje 2 7 6 2 2 3 2" xfId="27746" xr:uid="{00000000-0005-0000-0000-0000CEE00000}"/>
    <cellStyle name="Porcentaje 2 7 6 2 2 3 2 2" xfId="54879" xr:uid="{00000000-0005-0000-0000-0000CFE00000}"/>
    <cellStyle name="Porcentaje 2 7 6 2 2 3 3" xfId="41317" xr:uid="{00000000-0005-0000-0000-0000D0E00000}"/>
    <cellStyle name="Porcentaje 2 7 6 2 2 4" xfId="20965" xr:uid="{00000000-0005-0000-0000-0000D1E00000}"/>
    <cellStyle name="Porcentaje 2 7 6 2 2 4 2" xfId="48098" xr:uid="{00000000-0005-0000-0000-0000D2E00000}"/>
    <cellStyle name="Porcentaje 2 7 6 2 2 5" xfId="34536" xr:uid="{00000000-0005-0000-0000-0000D3E00000}"/>
    <cellStyle name="Porcentaje 2 7 6 2 3" xfId="7272" xr:uid="{00000000-0005-0000-0000-0000D4E00000}"/>
    <cellStyle name="Porcentaje 2 7 6 2 3 2" xfId="10779" xr:uid="{00000000-0005-0000-0000-0000D5E00000}"/>
    <cellStyle name="Porcentaje 2 7 6 2 3 2 2" xfId="17568" xr:uid="{00000000-0005-0000-0000-0000D6E00000}"/>
    <cellStyle name="Porcentaje 2 7 6 2 3 2 2 2" xfId="31136" xr:uid="{00000000-0005-0000-0000-0000D7E00000}"/>
    <cellStyle name="Porcentaje 2 7 6 2 3 2 2 2 2" xfId="58269" xr:uid="{00000000-0005-0000-0000-0000D8E00000}"/>
    <cellStyle name="Porcentaje 2 7 6 2 3 2 2 3" xfId="44707" xr:uid="{00000000-0005-0000-0000-0000D9E00000}"/>
    <cellStyle name="Porcentaje 2 7 6 2 3 2 3" xfId="24355" xr:uid="{00000000-0005-0000-0000-0000DAE00000}"/>
    <cellStyle name="Porcentaje 2 7 6 2 3 2 3 2" xfId="51488" xr:uid="{00000000-0005-0000-0000-0000DBE00000}"/>
    <cellStyle name="Porcentaje 2 7 6 2 3 2 4" xfId="37926" xr:uid="{00000000-0005-0000-0000-0000DCE00000}"/>
    <cellStyle name="Porcentaje 2 7 6 2 3 3" xfId="14179" xr:uid="{00000000-0005-0000-0000-0000DDE00000}"/>
    <cellStyle name="Porcentaje 2 7 6 2 3 3 2" xfId="27747" xr:uid="{00000000-0005-0000-0000-0000DEE00000}"/>
    <cellStyle name="Porcentaje 2 7 6 2 3 3 2 2" xfId="54880" xr:uid="{00000000-0005-0000-0000-0000DFE00000}"/>
    <cellStyle name="Porcentaje 2 7 6 2 3 3 3" xfId="41318" xr:uid="{00000000-0005-0000-0000-0000E0E00000}"/>
    <cellStyle name="Porcentaje 2 7 6 2 3 4" xfId="20966" xr:uid="{00000000-0005-0000-0000-0000E1E00000}"/>
    <cellStyle name="Porcentaje 2 7 6 2 3 4 2" xfId="48099" xr:uid="{00000000-0005-0000-0000-0000E2E00000}"/>
    <cellStyle name="Porcentaje 2 7 6 2 3 5" xfId="34537" xr:uid="{00000000-0005-0000-0000-0000E3E00000}"/>
    <cellStyle name="Porcentaje 2 7 6 2 4" xfId="10777" xr:uid="{00000000-0005-0000-0000-0000E4E00000}"/>
    <cellStyle name="Porcentaje 2 7 6 2 4 2" xfId="17566" xr:uid="{00000000-0005-0000-0000-0000E5E00000}"/>
    <cellStyle name="Porcentaje 2 7 6 2 4 2 2" xfId="31134" xr:uid="{00000000-0005-0000-0000-0000E6E00000}"/>
    <cellStyle name="Porcentaje 2 7 6 2 4 2 2 2" xfId="58267" xr:uid="{00000000-0005-0000-0000-0000E7E00000}"/>
    <cellStyle name="Porcentaje 2 7 6 2 4 2 3" xfId="44705" xr:uid="{00000000-0005-0000-0000-0000E8E00000}"/>
    <cellStyle name="Porcentaje 2 7 6 2 4 3" xfId="24353" xr:uid="{00000000-0005-0000-0000-0000E9E00000}"/>
    <cellStyle name="Porcentaje 2 7 6 2 4 3 2" xfId="51486" xr:uid="{00000000-0005-0000-0000-0000EAE00000}"/>
    <cellStyle name="Porcentaje 2 7 6 2 4 4" xfId="37924" xr:uid="{00000000-0005-0000-0000-0000EBE00000}"/>
    <cellStyle name="Porcentaje 2 7 6 2 5" xfId="14177" xr:uid="{00000000-0005-0000-0000-0000ECE00000}"/>
    <cellStyle name="Porcentaje 2 7 6 2 5 2" xfId="27745" xr:uid="{00000000-0005-0000-0000-0000EDE00000}"/>
    <cellStyle name="Porcentaje 2 7 6 2 5 2 2" xfId="54878" xr:uid="{00000000-0005-0000-0000-0000EEE00000}"/>
    <cellStyle name="Porcentaje 2 7 6 2 5 3" xfId="41316" xr:uid="{00000000-0005-0000-0000-0000EFE00000}"/>
    <cellStyle name="Porcentaje 2 7 6 2 6" xfId="20964" xr:uid="{00000000-0005-0000-0000-0000F0E00000}"/>
    <cellStyle name="Porcentaje 2 7 6 2 6 2" xfId="48097" xr:uid="{00000000-0005-0000-0000-0000F1E00000}"/>
    <cellStyle name="Porcentaje 2 7 6 2 7" xfId="34535" xr:uid="{00000000-0005-0000-0000-0000F2E00000}"/>
    <cellStyle name="Porcentaje 2 7 6 3" xfId="7273" xr:uid="{00000000-0005-0000-0000-0000F3E00000}"/>
    <cellStyle name="Porcentaje 2 7 6 3 2" xfId="10780" xr:uid="{00000000-0005-0000-0000-0000F4E00000}"/>
    <cellStyle name="Porcentaje 2 7 6 3 2 2" xfId="17569" xr:uid="{00000000-0005-0000-0000-0000F5E00000}"/>
    <cellStyle name="Porcentaje 2 7 6 3 2 2 2" xfId="31137" xr:uid="{00000000-0005-0000-0000-0000F6E00000}"/>
    <cellStyle name="Porcentaje 2 7 6 3 2 2 2 2" xfId="58270" xr:uid="{00000000-0005-0000-0000-0000F7E00000}"/>
    <cellStyle name="Porcentaje 2 7 6 3 2 2 3" xfId="44708" xr:uid="{00000000-0005-0000-0000-0000F8E00000}"/>
    <cellStyle name="Porcentaje 2 7 6 3 2 3" xfId="24356" xr:uid="{00000000-0005-0000-0000-0000F9E00000}"/>
    <cellStyle name="Porcentaje 2 7 6 3 2 3 2" xfId="51489" xr:uid="{00000000-0005-0000-0000-0000FAE00000}"/>
    <cellStyle name="Porcentaje 2 7 6 3 2 4" xfId="37927" xr:uid="{00000000-0005-0000-0000-0000FBE00000}"/>
    <cellStyle name="Porcentaje 2 7 6 3 3" xfId="14180" xr:uid="{00000000-0005-0000-0000-0000FCE00000}"/>
    <cellStyle name="Porcentaje 2 7 6 3 3 2" xfId="27748" xr:uid="{00000000-0005-0000-0000-0000FDE00000}"/>
    <cellStyle name="Porcentaje 2 7 6 3 3 2 2" xfId="54881" xr:uid="{00000000-0005-0000-0000-0000FEE00000}"/>
    <cellStyle name="Porcentaje 2 7 6 3 3 3" xfId="41319" xr:uid="{00000000-0005-0000-0000-0000FFE00000}"/>
    <cellStyle name="Porcentaje 2 7 6 3 4" xfId="20967" xr:uid="{00000000-0005-0000-0000-000000E10000}"/>
    <cellStyle name="Porcentaje 2 7 6 3 4 2" xfId="48100" xr:uid="{00000000-0005-0000-0000-000001E10000}"/>
    <cellStyle name="Porcentaje 2 7 6 3 5" xfId="34538" xr:uid="{00000000-0005-0000-0000-000002E10000}"/>
    <cellStyle name="Porcentaje 2 7 6 4" xfId="7274" xr:uid="{00000000-0005-0000-0000-000003E10000}"/>
    <cellStyle name="Porcentaje 2 7 6 4 2" xfId="10781" xr:uid="{00000000-0005-0000-0000-000004E10000}"/>
    <cellStyle name="Porcentaje 2 7 6 4 2 2" xfId="17570" xr:uid="{00000000-0005-0000-0000-000005E10000}"/>
    <cellStyle name="Porcentaje 2 7 6 4 2 2 2" xfId="31138" xr:uid="{00000000-0005-0000-0000-000006E10000}"/>
    <cellStyle name="Porcentaje 2 7 6 4 2 2 2 2" xfId="58271" xr:uid="{00000000-0005-0000-0000-000007E10000}"/>
    <cellStyle name="Porcentaje 2 7 6 4 2 2 3" xfId="44709" xr:uid="{00000000-0005-0000-0000-000008E10000}"/>
    <cellStyle name="Porcentaje 2 7 6 4 2 3" xfId="24357" xr:uid="{00000000-0005-0000-0000-000009E10000}"/>
    <cellStyle name="Porcentaje 2 7 6 4 2 3 2" xfId="51490" xr:uid="{00000000-0005-0000-0000-00000AE10000}"/>
    <cellStyle name="Porcentaje 2 7 6 4 2 4" xfId="37928" xr:uid="{00000000-0005-0000-0000-00000BE10000}"/>
    <cellStyle name="Porcentaje 2 7 6 4 3" xfId="14181" xr:uid="{00000000-0005-0000-0000-00000CE10000}"/>
    <cellStyle name="Porcentaje 2 7 6 4 3 2" xfId="27749" xr:uid="{00000000-0005-0000-0000-00000DE10000}"/>
    <cellStyle name="Porcentaje 2 7 6 4 3 2 2" xfId="54882" xr:uid="{00000000-0005-0000-0000-00000EE10000}"/>
    <cellStyle name="Porcentaje 2 7 6 4 3 3" xfId="41320" xr:uid="{00000000-0005-0000-0000-00000FE10000}"/>
    <cellStyle name="Porcentaje 2 7 6 4 4" xfId="20968" xr:uid="{00000000-0005-0000-0000-000010E10000}"/>
    <cellStyle name="Porcentaje 2 7 6 4 4 2" xfId="48101" xr:uid="{00000000-0005-0000-0000-000011E10000}"/>
    <cellStyle name="Porcentaje 2 7 6 4 5" xfId="34539" xr:uid="{00000000-0005-0000-0000-000012E10000}"/>
    <cellStyle name="Porcentaje 2 7 6 5" xfId="10776" xr:uid="{00000000-0005-0000-0000-000013E10000}"/>
    <cellStyle name="Porcentaje 2 7 6 5 2" xfId="17565" xr:uid="{00000000-0005-0000-0000-000014E10000}"/>
    <cellStyle name="Porcentaje 2 7 6 5 2 2" xfId="31133" xr:uid="{00000000-0005-0000-0000-000015E10000}"/>
    <cellStyle name="Porcentaje 2 7 6 5 2 2 2" xfId="58266" xr:uid="{00000000-0005-0000-0000-000016E10000}"/>
    <cellStyle name="Porcentaje 2 7 6 5 2 3" xfId="44704" xr:uid="{00000000-0005-0000-0000-000017E10000}"/>
    <cellStyle name="Porcentaje 2 7 6 5 3" xfId="24352" xr:uid="{00000000-0005-0000-0000-000018E10000}"/>
    <cellStyle name="Porcentaje 2 7 6 5 3 2" xfId="51485" xr:uid="{00000000-0005-0000-0000-000019E10000}"/>
    <cellStyle name="Porcentaje 2 7 6 5 4" xfId="37923" xr:uid="{00000000-0005-0000-0000-00001AE10000}"/>
    <cellStyle name="Porcentaje 2 7 6 6" xfId="14176" xr:uid="{00000000-0005-0000-0000-00001BE10000}"/>
    <cellStyle name="Porcentaje 2 7 6 6 2" xfId="27744" xr:uid="{00000000-0005-0000-0000-00001CE10000}"/>
    <cellStyle name="Porcentaje 2 7 6 6 2 2" xfId="54877" xr:uid="{00000000-0005-0000-0000-00001DE10000}"/>
    <cellStyle name="Porcentaje 2 7 6 6 3" xfId="41315" xr:uid="{00000000-0005-0000-0000-00001EE10000}"/>
    <cellStyle name="Porcentaje 2 7 6 7" xfId="20963" xr:uid="{00000000-0005-0000-0000-00001FE10000}"/>
    <cellStyle name="Porcentaje 2 7 6 7 2" xfId="48096" xr:uid="{00000000-0005-0000-0000-000020E10000}"/>
    <cellStyle name="Porcentaje 2 7 6 8" xfId="34534" xr:uid="{00000000-0005-0000-0000-000021E10000}"/>
    <cellStyle name="Porcentaje 2 7 7" xfId="7275" xr:uid="{00000000-0005-0000-0000-000022E10000}"/>
    <cellStyle name="Porcentaje 2 7 7 2" xfId="7276" xr:uid="{00000000-0005-0000-0000-000023E10000}"/>
    <cellStyle name="Porcentaje 2 7 7 2 2" xfId="10783" xr:uid="{00000000-0005-0000-0000-000024E10000}"/>
    <cellStyle name="Porcentaje 2 7 7 2 2 2" xfId="17572" xr:uid="{00000000-0005-0000-0000-000025E10000}"/>
    <cellStyle name="Porcentaje 2 7 7 2 2 2 2" xfId="31140" xr:uid="{00000000-0005-0000-0000-000026E10000}"/>
    <cellStyle name="Porcentaje 2 7 7 2 2 2 2 2" xfId="58273" xr:uid="{00000000-0005-0000-0000-000027E10000}"/>
    <cellStyle name="Porcentaje 2 7 7 2 2 2 3" xfId="44711" xr:uid="{00000000-0005-0000-0000-000028E10000}"/>
    <cellStyle name="Porcentaje 2 7 7 2 2 3" xfId="24359" xr:uid="{00000000-0005-0000-0000-000029E10000}"/>
    <cellStyle name="Porcentaje 2 7 7 2 2 3 2" xfId="51492" xr:uid="{00000000-0005-0000-0000-00002AE10000}"/>
    <cellStyle name="Porcentaje 2 7 7 2 2 4" xfId="37930" xr:uid="{00000000-0005-0000-0000-00002BE10000}"/>
    <cellStyle name="Porcentaje 2 7 7 2 3" xfId="14183" xr:uid="{00000000-0005-0000-0000-00002CE10000}"/>
    <cellStyle name="Porcentaje 2 7 7 2 3 2" xfId="27751" xr:uid="{00000000-0005-0000-0000-00002DE10000}"/>
    <cellStyle name="Porcentaje 2 7 7 2 3 2 2" xfId="54884" xr:uid="{00000000-0005-0000-0000-00002EE10000}"/>
    <cellStyle name="Porcentaje 2 7 7 2 3 3" xfId="41322" xr:uid="{00000000-0005-0000-0000-00002FE10000}"/>
    <cellStyle name="Porcentaje 2 7 7 2 4" xfId="20970" xr:uid="{00000000-0005-0000-0000-000030E10000}"/>
    <cellStyle name="Porcentaje 2 7 7 2 4 2" xfId="48103" xr:uid="{00000000-0005-0000-0000-000031E10000}"/>
    <cellStyle name="Porcentaje 2 7 7 2 5" xfId="34541" xr:uid="{00000000-0005-0000-0000-000032E10000}"/>
    <cellStyle name="Porcentaje 2 7 7 3" xfId="7277" xr:uid="{00000000-0005-0000-0000-000033E10000}"/>
    <cellStyle name="Porcentaje 2 7 7 3 2" xfId="10784" xr:uid="{00000000-0005-0000-0000-000034E10000}"/>
    <cellStyle name="Porcentaje 2 7 7 3 2 2" xfId="17573" xr:uid="{00000000-0005-0000-0000-000035E10000}"/>
    <cellStyle name="Porcentaje 2 7 7 3 2 2 2" xfId="31141" xr:uid="{00000000-0005-0000-0000-000036E10000}"/>
    <cellStyle name="Porcentaje 2 7 7 3 2 2 2 2" xfId="58274" xr:uid="{00000000-0005-0000-0000-000037E10000}"/>
    <cellStyle name="Porcentaje 2 7 7 3 2 2 3" xfId="44712" xr:uid="{00000000-0005-0000-0000-000038E10000}"/>
    <cellStyle name="Porcentaje 2 7 7 3 2 3" xfId="24360" xr:uid="{00000000-0005-0000-0000-000039E10000}"/>
    <cellStyle name="Porcentaje 2 7 7 3 2 3 2" xfId="51493" xr:uid="{00000000-0005-0000-0000-00003AE10000}"/>
    <cellStyle name="Porcentaje 2 7 7 3 2 4" xfId="37931" xr:uid="{00000000-0005-0000-0000-00003BE10000}"/>
    <cellStyle name="Porcentaje 2 7 7 3 3" xfId="14184" xr:uid="{00000000-0005-0000-0000-00003CE10000}"/>
    <cellStyle name="Porcentaje 2 7 7 3 3 2" xfId="27752" xr:uid="{00000000-0005-0000-0000-00003DE10000}"/>
    <cellStyle name="Porcentaje 2 7 7 3 3 2 2" xfId="54885" xr:uid="{00000000-0005-0000-0000-00003EE10000}"/>
    <cellStyle name="Porcentaje 2 7 7 3 3 3" xfId="41323" xr:uid="{00000000-0005-0000-0000-00003FE10000}"/>
    <cellStyle name="Porcentaje 2 7 7 3 4" xfId="20971" xr:uid="{00000000-0005-0000-0000-000040E10000}"/>
    <cellStyle name="Porcentaje 2 7 7 3 4 2" xfId="48104" xr:uid="{00000000-0005-0000-0000-000041E10000}"/>
    <cellStyle name="Porcentaje 2 7 7 3 5" xfId="34542" xr:uid="{00000000-0005-0000-0000-000042E10000}"/>
    <cellStyle name="Porcentaje 2 7 7 4" xfId="10782" xr:uid="{00000000-0005-0000-0000-000043E10000}"/>
    <cellStyle name="Porcentaje 2 7 7 4 2" xfId="17571" xr:uid="{00000000-0005-0000-0000-000044E10000}"/>
    <cellStyle name="Porcentaje 2 7 7 4 2 2" xfId="31139" xr:uid="{00000000-0005-0000-0000-000045E10000}"/>
    <cellStyle name="Porcentaje 2 7 7 4 2 2 2" xfId="58272" xr:uid="{00000000-0005-0000-0000-000046E10000}"/>
    <cellStyle name="Porcentaje 2 7 7 4 2 3" xfId="44710" xr:uid="{00000000-0005-0000-0000-000047E10000}"/>
    <cellStyle name="Porcentaje 2 7 7 4 3" xfId="24358" xr:uid="{00000000-0005-0000-0000-000048E10000}"/>
    <cellStyle name="Porcentaje 2 7 7 4 3 2" xfId="51491" xr:uid="{00000000-0005-0000-0000-000049E10000}"/>
    <cellStyle name="Porcentaje 2 7 7 4 4" xfId="37929" xr:uid="{00000000-0005-0000-0000-00004AE10000}"/>
    <cellStyle name="Porcentaje 2 7 7 5" xfId="14182" xr:uid="{00000000-0005-0000-0000-00004BE10000}"/>
    <cellStyle name="Porcentaje 2 7 7 5 2" xfId="27750" xr:uid="{00000000-0005-0000-0000-00004CE10000}"/>
    <cellStyle name="Porcentaje 2 7 7 5 2 2" xfId="54883" xr:uid="{00000000-0005-0000-0000-00004DE10000}"/>
    <cellStyle name="Porcentaje 2 7 7 5 3" xfId="41321" xr:uid="{00000000-0005-0000-0000-00004EE10000}"/>
    <cellStyle name="Porcentaje 2 7 7 6" xfId="20969" xr:uid="{00000000-0005-0000-0000-00004FE10000}"/>
    <cellStyle name="Porcentaje 2 7 7 6 2" xfId="48102" xr:uid="{00000000-0005-0000-0000-000050E10000}"/>
    <cellStyle name="Porcentaje 2 7 7 7" xfId="34540" xr:uid="{00000000-0005-0000-0000-000051E10000}"/>
    <cellStyle name="Porcentaje 2 7 8" xfId="7278" xr:uid="{00000000-0005-0000-0000-000052E10000}"/>
    <cellStyle name="Porcentaje 2 7 8 2" xfId="7279" xr:uid="{00000000-0005-0000-0000-000053E10000}"/>
    <cellStyle name="Porcentaje 2 7 8 2 2" xfId="10786" xr:uid="{00000000-0005-0000-0000-000054E10000}"/>
    <cellStyle name="Porcentaje 2 7 8 2 2 2" xfId="17575" xr:uid="{00000000-0005-0000-0000-000055E10000}"/>
    <cellStyle name="Porcentaje 2 7 8 2 2 2 2" xfId="31143" xr:uid="{00000000-0005-0000-0000-000056E10000}"/>
    <cellStyle name="Porcentaje 2 7 8 2 2 2 2 2" xfId="58276" xr:uid="{00000000-0005-0000-0000-000057E10000}"/>
    <cellStyle name="Porcentaje 2 7 8 2 2 2 3" xfId="44714" xr:uid="{00000000-0005-0000-0000-000058E10000}"/>
    <cellStyle name="Porcentaje 2 7 8 2 2 3" xfId="24362" xr:uid="{00000000-0005-0000-0000-000059E10000}"/>
    <cellStyle name="Porcentaje 2 7 8 2 2 3 2" xfId="51495" xr:uid="{00000000-0005-0000-0000-00005AE10000}"/>
    <cellStyle name="Porcentaje 2 7 8 2 2 4" xfId="37933" xr:uid="{00000000-0005-0000-0000-00005BE10000}"/>
    <cellStyle name="Porcentaje 2 7 8 2 3" xfId="14186" xr:uid="{00000000-0005-0000-0000-00005CE10000}"/>
    <cellStyle name="Porcentaje 2 7 8 2 3 2" xfId="27754" xr:uid="{00000000-0005-0000-0000-00005DE10000}"/>
    <cellStyle name="Porcentaje 2 7 8 2 3 2 2" xfId="54887" xr:uid="{00000000-0005-0000-0000-00005EE10000}"/>
    <cellStyle name="Porcentaje 2 7 8 2 3 3" xfId="41325" xr:uid="{00000000-0005-0000-0000-00005FE10000}"/>
    <cellStyle name="Porcentaje 2 7 8 2 4" xfId="20973" xr:uid="{00000000-0005-0000-0000-000060E10000}"/>
    <cellStyle name="Porcentaje 2 7 8 2 4 2" xfId="48106" xr:uid="{00000000-0005-0000-0000-000061E10000}"/>
    <cellStyle name="Porcentaje 2 7 8 2 5" xfId="34544" xr:uid="{00000000-0005-0000-0000-000062E10000}"/>
    <cellStyle name="Porcentaje 2 7 8 3" xfId="7280" xr:uid="{00000000-0005-0000-0000-000063E10000}"/>
    <cellStyle name="Porcentaje 2 7 8 3 2" xfId="10787" xr:uid="{00000000-0005-0000-0000-000064E10000}"/>
    <cellStyle name="Porcentaje 2 7 8 3 2 2" xfId="17576" xr:uid="{00000000-0005-0000-0000-000065E10000}"/>
    <cellStyle name="Porcentaje 2 7 8 3 2 2 2" xfId="31144" xr:uid="{00000000-0005-0000-0000-000066E10000}"/>
    <cellStyle name="Porcentaje 2 7 8 3 2 2 2 2" xfId="58277" xr:uid="{00000000-0005-0000-0000-000067E10000}"/>
    <cellStyle name="Porcentaje 2 7 8 3 2 2 3" xfId="44715" xr:uid="{00000000-0005-0000-0000-000068E10000}"/>
    <cellStyle name="Porcentaje 2 7 8 3 2 3" xfId="24363" xr:uid="{00000000-0005-0000-0000-000069E10000}"/>
    <cellStyle name="Porcentaje 2 7 8 3 2 3 2" xfId="51496" xr:uid="{00000000-0005-0000-0000-00006AE10000}"/>
    <cellStyle name="Porcentaje 2 7 8 3 2 4" xfId="37934" xr:uid="{00000000-0005-0000-0000-00006BE10000}"/>
    <cellStyle name="Porcentaje 2 7 8 3 3" xfId="14187" xr:uid="{00000000-0005-0000-0000-00006CE10000}"/>
    <cellStyle name="Porcentaje 2 7 8 3 3 2" xfId="27755" xr:uid="{00000000-0005-0000-0000-00006DE10000}"/>
    <cellStyle name="Porcentaje 2 7 8 3 3 2 2" xfId="54888" xr:uid="{00000000-0005-0000-0000-00006EE10000}"/>
    <cellStyle name="Porcentaje 2 7 8 3 3 3" xfId="41326" xr:uid="{00000000-0005-0000-0000-00006FE10000}"/>
    <cellStyle name="Porcentaje 2 7 8 3 4" xfId="20974" xr:uid="{00000000-0005-0000-0000-000070E10000}"/>
    <cellStyle name="Porcentaje 2 7 8 3 4 2" xfId="48107" xr:uid="{00000000-0005-0000-0000-000071E10000}"/>
    <cellStyle name="Porcentaje 2 7 8 3 5" xfId="34545" xr:uid="{00000000-0005-0000-0000-000072E10000}"/>
    <cellStyle name="Porcentaje 2 7 8 4" xfId="10785" xr:uid="{00000000-0005-0000-0000-000073E10000}"/>
    <cellStyle name="Porcentaje 2 7 8 4 2" xfId="17574" xr:uid="{00000000-0005-0000-0000-000074E10000}"/>
    <cellStyle name="Porcentaje 2 7 8 4 2 2" xfId="31142" xr:uid="{00000000-0005-0000-0000-000075E10000}"/>
    <cellStyle name="Porcentaje 2 7 8 4 2 2 2" xfId="58275" xr:uid="{00000000-0005-0000-0000-000076E10000}"/>
    <cellStyle name="Porcentaje 2 7 8 4 2 3" xfId="44713" xr:uid="{00000000-0005-0000-0000-000077E10000}"/>
    <cellStyle name="Porcentaje 2 7 8 4 3" xfId="24361" xr:uid="{00000000-0005-0000-0000-000078E10000}"/>
    <cellStyle name="Porcentaje 2 7 8 4 3 2" xfId="51494" xr:uid="{00000000-0005-0000-0000-000079E10000}"/>
    <cellStyle name="Porcentaje 2 7 8 4 4" xfId="37932" xr:uid="{00000000-0005-0000-0000-00007AE10000}"/>
    <cellStyle name="Porcentaje 2 7 8 5" xfId="14185" xr:uid="{00000000-0005-0000-0000-00007BE10000}"/>
    <cellStyle name="Porcentaje 2 7 8 5 2" xfId="27753" xr:uid="{00000000-0005-0000-0000-00007CE10000}"/>
    <cellStyle name="Porcentaje 2 7 8 5 2 2" xfId="54886" xr:uid="{00000000-0005-0000-0000-00007DE10000}"/>
    <cellStyle name="Porcentaje 2 7 8 5 3" xfId="41324" xr:uid="{00000000-0005-0000-0000-00007EE10000}"/>
    <cellStyle name="Porcentaje 2 7 8 6" xfId="20972" xr:uid="{00000000-0005-0000-0000-00007FE10000}"/>
    <cellStyle name="Porcentaje 2 7 8 6 2" xfId="48105" xr:uid="{00000000-0005-0000-0000-000080E10000}"/>
    <cellStyle name="Porcentaje 2 7 8 7" xfId="34543" xr:uid="{00000000-0005-0000-0000-000081E10000}"/>
    <cellStyle name="Porcentaje 2 7 9" xfId="7281" xr:uid="{00000000-0005-0000-0000-000082E10000}"/>
    <cellStyle name="Porcentaje 2 7 9 2" xfId="10788" xr:uid="{00000000-0005-0000-0000-000083E10000}"/>
    <cellStyle name="Porcentaje 2 7 9 2 2" xfId="17577" xr:uid="{00000000-0005-0000-0000-000084E10000}"/>
    <cellStyle name="Porcentaje 2 7 9 2 2 2" xfId="31145" xr:uid="{00000000-0005-0000-0000-000085E10000}"/>
    <cellStyle name="Porcentaje 2 7 9 2 2 2 2" xfId="58278" xr:uid="{00000000-0005-0000-0000-000086E10000}"/>
    <cellStyle name="Porcentaje 2 7 9 2 2 3" xfId="44716" xr:uid="{00000000-0005-0000-0000-000087E10000}"/>
    <cellStyle name="Porcentaje 2 7 9 2 3" xfId="24364" xr:uid="{00000000-0005-0000-0000-000088E10000}"/>
    <cellStyle name="Porcentaje 2 7 9 2 3 2" xfId="51497" xr:uid="{00000000-0005-0000-0000-000089E10000}"/>
    <cellStyle name="Porcentaje 2 7 9 2 4" xfId="37935" xr:uid="{00000000-0005-0000-0000-00008AE10000}"/>
    <cellStyle name="Porcentaje 2 7 9 3" xfId="14188" xr:uid="{00000000-0005-0000-0000-00008BE10000}"/>
    <cellStyle name="Porcentaje 2 7 9 3 2" xfId="27756" xr:uid="{00000000-0005-0000-0000-00008CE10000}"/>
    <cellStyle name="Porcentaje 2 7 9 3 2 2" xfId="54889" xr:uid="{00000000-0005-0000-0000-00008DE10000}"/>
    <cellStyle name="Porcentaje 2 7 9 3 3" xfId="41327" xr:uid="{00000000-0005-0000-0000-00008EE10000}"/>
    <cellStyle name="Porcentaje 2 7 9 4" xfId="20975" xr:uid="{00000000-0005-0000-0000-00008FE10000}"/>
    <cellStyle name="Porcentaje 2 7 9 4 2" xfId="48108" xr:uid="{00000000-0005-0000-0000-000090E10000}"/>
    <cellStyle name="Porcentaje 2 7 9 5" xfId="34546" xr:uid="{00000000-0005-0000-0000-000091E10000}"/>
    <cellStyle name="Porcentaje 2 8" xfId="7282" xr:uid="{00000000-0005-0000-0000-000092E10000}"/>
    <cellStyle name="Porcentaje 2 9" xfId="7283" xr:uid="{00000000-0005-0000-0000-000093E10000}"/>
    <cellStyle name="Porcentaje 3" xfId="6" xr:uid="{00000000-0005-0000-0000-000094E10000}"/>
    <cellStyle name="Porcentaje 3 2" xfId="7305" xr:uid="{00000000-0005-0000-0000-000095E10000}"/>
    <cellStyle name="Porcentaje 3 2 2" xfId="58353" xr:uid="{00000000-0005-0000-0000-000096E10000}"/>
    <cellStyle name="Porcentaje 3 3" xfId="7306" xr:uid="{00000000-0005-0000-0000-000097E10000}"/>
    <cellStyle name="Porcentaje 3 4" xfId="10791" xr:uid="{00000000-0005-0000-0000-000098E10000}"/>
    <cellStyle name="Porcentaje 3 4 2" xfId="17580" xr:uid="{00000000-0005-0000-0000-000099E10000}"/>
    <cellStyle name="Porcentaje 3 4 2 2" xfId="31148" xr:uid="{00000000-0005-0000-0000-00009AE10000}"/>
    <cellStyle name="Porcentaje 3 4 2 2 2" xfId="58281" xr:uid="{00000000-0005-0000-0000-00009BE10000}"/>
    <cellStyle name="Porcentaje 3 4 2 3" xfId="44719" xr:uid="{00000000-0005-0000-0000-00009CE10000}"/>
    <cellStyle name="Porcentaje 3 4 3" xfId="24367" xr:uid="{00000000-0005-0000-0000-00009DE10000}"/>
    <cellStyle name="Porcentaje 3 4 3 2" xfId="51500" xr:uid="{00000000-0005-0000-0000-00009EE10000}"/>
    <cellStyle name="Porcentaje 3 4 4" xfId="37938" xr:uid="{00000000-0005-0000-0000-00009FE10000}"/>
    <cellStyle name="Porcentaje 3 5" xfId="14191" xr:uid="{00000000-0005-0000-0000-0000A0E10000}"/>
    <cellStyle name="Porcentaje 3 5 2" xfId="27759" xr:uid="{00000000-0005-0000-0000-0000A1E10000}"/>
    <cellStyle name="Porcentaje 3 5 2 2" xfId="54892" xr:uid="{00000000-0005-0000-0000-0000A2E10000}"/>
    <cellStyle name="Porcentaje 3 5 3" xfId="41330" xr:uid="{00000000-0005-0000-0000-0000A3E10000}"/>
    <cellStyle name="Porcentaje 3 6" xfId="20978" xr:uid="{00000000-0005-0000-0000-0000A4E10000}"/>
    <cellStyle name="Porcentaje 3 6 2" xfId="48111" xr:uid="{00000000-0005-0000-0000-0000A5E10000}"/>
    <cellStyle name="Porcentaje 3 7" xfId="34549" xr:uid="{00000000-0005-0000-0000-0000A6E10000}"/>
    <cellStyle name="Porcentaje 4" xfId="7294" xr:uid="{00000000-0005-0000-0000-0000A7E10000}"/>
    <cellStyle name="Porcentaje 4 2" xfId="58354" xr:uid="{00000000-0005-0000-0000-0000A8E10000}"/>
    <cellStyle name="Porcentaje 5" xfId="10838" xr:uid="{00000000-0005-0000-0000-0000A9E10000}"/>
    <cellStyle name="Porcentaje 5 2" xfId="7307" xr:uid="{00000000-0005-0000-0000-0000AAE10000}"/>
    <cellStyle name="Porcentual 2" xfId="64" xr:uid="{00000000-0005-0000-0000-0000ABE10000}"/>
    <cellStyle name="Porcentual 2 2" xfId="153" xr:uid="{00000000-0005-0000-0000-0000ACE10000}"/>
    <cellStyle name="Porcentual 2 2 2" xfId="7284" xr:uid="{00000000-0005-0000-0000-0000ADE10000}"/>
    <cellStyle name="Porcentual 2 3" xfId="189" xr:uid="{00000000-0005-0000-0000-0000AEE10000}"/>
    <cellStyle name="Porcentual 3" xfId="65" xr:uid="{00000000-0005-0000-0000-0000AFE10000}"/>
    <cellStyle name="Porcentual 4" xfId="2857" xr:uid="{00000000-0005-0000-0000-0000B0E10000}"/>
    <cellStyle name="Porcentual 4 2" xfId="2858" xr:uid="{00000000-0005-0000-0000-0000B1E10000}"/>
    <cellStyle name="Porcentual 5" xfId="2859" xr:uid="{00000000-0005-0000-0000-0000B2E10000}"/>
    <cellStyle name="Porcentual 6" xfId="7442" xr:uid="{00000000-0005-0000-0000-0000B3E10000}"/>
    <cellStyle name="Porcentual 6 2" xfId="7443" xr:uid="{00000000-0005-0000-0000-0000B4E10000}"/>
    <cellStyle name="Porcentual 6 2 2" xfId="10836" xr:uid="{00000000-0005-0000-0000-0000B5E10000}"/>
    <cellStyle name="Porcentual 6 2 2 2" xfId="17625" xr:uid="{00000000-0005-0000-0000-0000B6E10000}"/>
    <cellStyle name="Porcentual 6 2 2 2 2" xfId="31193" xr:uid="{00000000-0005-0000-0000-0000B7E10000}"/>
    <cellStyle name="Porcentual 6 2 2 2 2 2" xfId="58326" xr:uid="{00000000-0005-0000-0000-0000B8E10000}"/>
    <cellStyle name="Porcentual 6 2 2 2 3" xfId="44764" xr:uid="{00000000-0005-0000-0000-0000B9E10000}"/>
    <cellStyle name="Porcentual 6 2 2 3" xfId="24412" xr:uid="{00000000-0005-0000-0000-0000BAE10000}"/>
    <cellStyle name="Porcentual 6 2 2 3 2" xfId="51545" xr:uid="{00000000-0005-0000-0000-0000BBE10000}"/>
    <cellStyle name="Porcentual 6 2 2 4" xfId="37983" xr:uid="{00000000-0005-0000-0000-0000BCE10000}"/>
    <cellStyle name="Porcentual 6 2 3" xfId="14236" xr:uid="{00000000-0005-0000-0000-0000BDE10000}"/>
    <cellStyle name="Porcentual 6 2 3 2" xfId="27804" xr:uid="{00000000-0005-0000-0000-0000BEE10000}"/>
    <cellStyle name="Porcentual 6 2 3 2 2" xfId="54937" xr:uid="{00000000-0005-0000-0000-0000BFE10000}"/>
    <cellStyle name="Porcentual 6 2 3 3" xfId="41375" xr:uid="{00000000-0005-0000-0000-0000C0E10000}"/>
    <cellStyle name="Porcentual 6 2 4" xfId="21023" xr:uid="{00000000-0005-0000-0000-0000C1E10000}"/>
    <cellStyle name="Porcentual 6 2 4 2" xfId="48156" xr:uid="{00000000-0005-0000-0000-0000C2E10000}"/>
    <cellStyle name="Porcentual 6 2 5" xfId="34594" xr:uid="{00000000-0005-0000-0000-0000C3E10000}"/>
    <cellStyle name="Porcentual 6 3" xfId="10835" xr:uid="{00000000-0005-0000-0000-0000C4E10000}"/>
    <cellStyle name="Porcentual 6 3 2" xfId="17624" xr:uid="{00000000-0005-0000-0000-0000C5E10000}"/>
    <cellStyle name="Porcentual 6 3 2 2" xfId="31192" xr:uid="{00000000-0005-0000-0000-0000C6E10000}"/>
    <cellStyle name="Porcentual 6 3 2 2 2" xfId="58325" xr:uid="{00000000-0005-0000-0000-0000C7E10000}"/>
    <cellStyle name="Porcentual 6 3 2 3" xfId="44763" xr:uid="{00000000-0005-0000-0000-0000C8E10000}"/>
    <cellStyle name="Porcentual 6 3 3" xfId="24411" xr:uid="{00000000-0005-0000-0000-0000C9E10000}"/>
    <cellStyle name="Porcentual 6 3 3 2" xfId="51544" xr:uid="{00000000-0005-0000-0000-0000CAE10000}"/>
    <cellStyle name="Porcentual 6 3 4" xfId="37982" xr:uid="{00000000-0005-0000-0000-0000CBE10000}"/>
    <cellStyle name="Porcentual 6 4" xfId="14235" xr:uid="{00000000-0005-0000-0000-0000CCE10000}"/>
    <cellStyle name="Porcentual 6 4 2" xfId="27803" xr:uid="{00000000-0005-0000-0000-0000CDE10000}"/>
    <cellStyle name="Porcentual 6 4 2 2" xfId="54936" xr:uid="{00000000-0005-0000-0000-0000CEE10000}"/>
    <cellStyle name="Porcentual 6 4 3" xfId="41374" xr:uid="{00000000-0005-0000-0000-0000CFE10000}"/>
    <cellStyle name="Porcentual 6 5" xfId="21022" xr:uid="{00000000-0005-0000-0000-0000D0E10000}"/>
    <cellStyle name="Porcentual 6 5 2" xfId="48155" xr:uid="{00000000-0005-0000-0000-0000D1E10000}"/>
    <cellStyle name="Porcentual 6 6" xfId="34593" xr:uid="{00000000-0005-0000-0000-0000D2E10000}"/>
    <cellStyle name="Punto0" xfId="66" xr:uid="{00000000-0005-0000-0000-0000D3E10000}"/>
    <cellStyle name="Punto0 2" xfId="154" xr:uid="{00000000-0005-0000-0000-0000D4E10000}"/>
    <cellStyle name="Punto0 2 2" xfId="155" xr:uid="{00000000-0005-0000-0000-0000D5E10000}"/>
    <cellStyle name="Punto0 3" xfId="156" xr:uid="{00000000-0005-0000-0000-0000D6E10000}"/>
    <cellStyle name="RM" xfId="7285" xr:uid="{00000000-0005-0000-0000-0000D7E10000}"/>
    <cellStyle name="Salida 10" xfId="2860" xr:uid="{00000000-0005-0000-0000-0000D8E10000}"/>
    <cellStyle name="Salida 11" xfId="2861" xr:uid="{00000000-0005-0000-0000-0000D9E10000}"/>
    <cellStyle name="Salida 12" xfId="2862" xr:uid="{00000000-0005-0000-0000-0000DAE10000}"/>
    <cellStyle name="Salida 13" xfId="2863" xr:uid="{00000000-0005-0000-0000-0000DBE10000}"/>
    <cellStyle name="Salida 14" xfId="2864" xr:uid="{00000000-0005-0000-0000-0000DCE10000}"/>
    <cellStyle name="Salida 15" xfId="2865" xr:uid="{00000000-0005-0000-0000-0000DDE10000}"/>
    <cellStyle name="Salida 16" xfId="2866" xr:uid="{00000000-0005-0000-0000-0000DEE10000}"/>
    <cellStyle name="Salida 17" xfId="2867" xr:uid="{00000000-0005-0000-0000-0000DFE10000}"/>
    <cellStyle name="Salida 18" xfId="2868" xr:uid="{00000000-0005-0000-0000-0000E0E10000}"/>
    <cellStyle name="Salida 19" xfId="2869" xr:uid="{00000000-0005-0000-0000-0000E1E10000}"/>
    <cellStyle name="Salida 2" xfId="157" xr:uid="{00000000-0005-0000-0000-0000E2E10000}"/>
    <cellStyle name="Salida 2 2" xfId="2870" xr:uid="{00000000-0005-0000-0000-0000E3E10000}"/>
    <cellStyle name="Salida 2 3" xfId="2871" xr:uid="{00000000-0005-0000-0000-0000E4E10000}"/>
    <cellStyle name="Salida 2 4" xfId="2872" xr:uid="{00000000-0005-0000-0000-0000E5E10000}"/>
    <cellStyle name="Salida 2 5" xfId="2873" xr:uid="{00000000-0005-0000-0000-0000E6E10000}"/>
    <cellStyle name="Salida 20" xfId="2874" xr:uid="{00000000-0005-0000-0000-0000E7E10000}"/>
    <cellStyle name="Salida 21" xfId="2875" xr:uid="{00000000-0005-0000-0000-0000E8E10000}"/>
    <cellStyle name="Salida 22" xfId="2876" xr:uid="{00000000-0005-0000-0000-0000E9E10000}"/>
    <cellStyle name="Salida 23" xfId="2877" xr:uid="{00000000-0005-0000-0000-0000EAE10000}"/>
    <cellStyle name="Salida 24" xfId="2878" xr:uid="{00000000-0005-0000-0000-0000EBE10000}"/>
    <cellStyle name="Salida 25" xfId="2879" xr:uid="{00000000-0005-0000-0000-0000ECE10000}"/>
    <cellStyle name="Salida 26" xfId="2880" xr:uid="{00000000-0005-0000-0000-0000EDE10000}"/>
    <cellStyle name="Salida 27" xfId="2881" xr:uid="{00000000-0005-0000-0000-0000EEE10000}"/>
    <cellStyle name="Salida 28" xfId="2882" xr:uid="{00000000-0005-0000-0000-0000EFE10000}"/>
    <cellStyle name="Salida 29" xfId="2883" xr:uid="{00000000-0005-0000-0000-0000F0E10000}"/>
    <cellStyle name="Salida 3" xfId="2884" xr:uid="{00000000-0005-0000-0000-0000F1E10000}"/>
    <cellStyle name="Salida 30" xfId="2885" xr:uid="{00000000-0005-0000-0000-0000F2E10000}"/>
    <cellStyle name="Salida 31" xfId="2886" xr:uid="{00000000-0005-0000-0000-0000F3E10000}"/>
    <cellStyle name="Salida 32" xfId="2887" xr:uid="{00000000-0005-0000-0000-0000F4E10000}"/>
    <cellStyle name="Salida 33" xfId="2888" xr:uid="{00000000-0005-0000-0000-0000F5E10000}"/>
    <cellStyle name="Salida 34" xfId="2889" xr:uid="{00000000-0005-0000-0000-0000F6E10000}"/>
    <cellStyle name="Salida 35" xfId="2890" xr:uid="{00000000-0005-0000-0000-0000F7E10000}"/>
    <cellStyle name="Salida 36" xfId="2891" xr:uid="{00000000-0005-0000-0000-0000F8E10000}"/>
    <cellStyle name="Salida 37" xfId="2892" xr:uid="{00000000-0005-0000-0000-0000F9E10000}"/>
    <cellStyle name="Salida 38" xfId="2893" xr:uid="{00000000-0005-0000-0000-0000FAE10000}"/>
    <cellStyle name="Salida 39" xfId="2894" xr:uid="{00000000-0005-0000-0000-0000FBE10000}"/>
    <cellStyle name="Salida 4" xfId="2895" xr:uid="{00000000-0005-0000-0000-0000FCE10000}"/>
    <cellStyle name="Salida 40" xfId="2896" xr:uid="{00000000-0005-0000-0000-0000FDE10000}"/>
    <cellStyle name="Salida 41" xfId="2897" xr:uid="{00000000-0005-0000-0000-0000FEE10000}"/>
    <cellStyle name="Salida 42" xfId="2898" xr:uid="{00000000-0005-0000-0000-0000FFE10000}"/>
    <cellStyle name="Salida 43" xfId="2899" xr:uid="{00000000-0005-0000-0000-000000E20000}"/>
    <cellStyle name="Salida 44" xfId="2900" xr:uid="{00000000-0005-0000-0000-000001E20000}"/>
    <cellStyle name="Salida 45" xfId="2901" xr:uid="{00000000-0005-0000-0000-000002E20000}"/>
    <cellStyle name="Salida 46" xfId="2902" xr:uid="{00000000-0005-0000-0000-000003E20000}"/>
    <cellStyle name="Salida 47" xfId="2903" xr:uid="{00000000-0005-0000-0000-000004E20000}"/>
    <cellStyle name="Salida 48" xfId="2904" xr:uid="{00000000-0005-0000-0000-000005E20000}"/>
    <cellStyle name="Salida 49" xfId="2905" xr:uid="{00000000-0005-0000-0000-000006E20000}"/>
    <cellStyle name="Salida 5" xfId="2906" xr:uid="{00000000-0005-0000-0000-000007E20000}"/>
    <cellStyle name="Salida 50" xfId="2907" xr:uid="{00000000-0005-0000-0000-000008E20000}"/>
    <cellStyle name="Salida 51" xfId="2908" xr:uid="{00000000-0005-0000-0000-000009E20000}"/>
    <cellStyle name="Salida 52" xfId="2909" xr:uid="{00000000-0005-0000-0000-00000AE20000}"/>
    <cellStyle name="Salida 53" xfId="2910" xr:uid="{00000000-0005-0000-0000-00000BE20000}"/>
    <cellStyle name="Salida 54" xfId="2911" xr:uid="{00000000-0005-0000-0000-00000CE20000}"/>
    <cellStyle name="Salida 55" xfId="2912" xr:uid="{00000000-0005-0000-0000-00000DE20000}"/>
    <cellStyle name="Salida 56" xfId="2913" xr:uid="{00000000-0005-0000-0000-00000EE20000}"/>
    <cellStyle name="Salida 57" xfId="2914" xr:uid="{00000000-0005-0000-0000-00000FE20000}"/>
    <cellStyle name="Salida 58" xfId="2915" xr:uid="{00000000-0005-0000-0000-000010E20000}"/>
    <cellStyle name="Salida 59" xfId="2916" xr:uid="{00000000-0005-0000-0000-000011E20000}"/>
    <cellStyle name="Salida 6" xfId="2917" xr:uid="{00000000-0005-0000-0000-000012E20000}"/>
    <cellStyle name="Salida 60" xfId="2918" xr:uid="{00000000-0005-0000-0000-000013E20000}"/>
    <cellStyle name="Salida 61" xfId="2919" xr:uid="{00000000-0005-0000-0000-000014E20000}"/>
    <cellStyle name="Salida 62" xfId="2920" xr:uid="{00000000-0005-0000-0000-000015E20000}"/>
    <cellStyle name="Salida 63" xfId="2921" xr:uid="{00000000-0005-0000-0000-000016E20000}"/>
    <cellStyle name="Salida 64" xfId="2922" xr:uid="{00000000-0005-0000-0000-000017E20000}"/>
    <cellStyle name="Salida 65" xfId="2923" xr:uid="{00000000-0005-0000-0000-000018E20000}"/>
    <cellStyle name="Salida 66" xfId="2924" xr:uid="{00000000-0005-0000-0000-000019E20000}"/>
    <cellStyle name="Salida 67" xfId="2925" xr:uid="{00000000-0005-0000-0000-00001AE20000}"/>
    <cellStyle name="Salida 7" xfId="2926" xr:uid="{00000000-0005-0000-0000-00001BE20000}"/>
    <cellStyle name="Salida 8" xfId="2927" xr:uid="{00000000-0005-0000-0000-00001CE20000}"/>
    <cellStyle name="Salida 9" xfId="2928" xr:uid="{00000000-0005-0000-0000-00001DE20000}"/>
    <cellStyle name="Style 1" xfId="175" xr:uid="{00000000-0005-0000-0000-00001EE20000}"/>
    <cellStyle name="Texto de advertencia 10" xfId="2929" xr:uid="{00000000-0005-0000-0000-00001FE20000}"/>
    <cellStyle name="Texto de advertencia 11" xfId="2930" xr:uid="{00000000-0005-0000-0000-000020E20000}"/>
    <cellStyle name="Texto de advertencia 12" xfId="2931" xr:uid="{00000000-0005-0000-0000-000021E20000}"/>
    <cellStyle name="Texto de advertencia 13" xfId="2932" xr:uid="{00000000-0005-0000-0000-000022E20000}"/>
    <cellStyle name="Texto de advertencia 14" xfId="2933" xr:uid="{00000000-0005-0000-0000-000023E20000}"/>
    <cellStyle name="Texto de advertencia 15" xfId="2934" xr:uid="{00000000-0005-0000-0000-000024E20000}"/>
    <cellStyle name="Texto de advertencia 16" xfId="2935" xr:uid="{00000000-0005-0000-0000-000025E20000}"/>
    <cellStyle name="Texto de advertencia 17" xfId="2936" xr:uid="{00000000-0005-0000-0000-000026E20000}"/>
    <cellStyle name="Texto de advertencia 18" xfId="2937" xr:uid="{00000000-0005-0000-0000-000027E20000}"/>
    <cellStyle name="Texto de advertencia 19" xfId="2938" xr:uid="{00000000-0005-0000-0000-000028E20000}"/>
    <cellStyle name="Texto de advertencia 2" xfId="158" xr:uid="{00000000-0005-0000-0000-000029E20000}"/>
    <cellStyle name="Texto de advertencia 2 2" xfId="2939" xr:uid="{00000000-0005-0000-0000-00002AE20000}"/>
    <cellStyle name="Texto de advertencia 2 3" xfId="2940" xr:uid="{00000000-0005-0000-0000-00002BE20000}"/>
    <cellStyle name="Texto de advertencia 2 4" xfId="2941" xr:uid="{00000000-0005-0000-0000-00002CE20000}"/>
    <cellStyle name="Texto de advertencia 2 5" xfId="2942" xr:uid="{00000000-0005-0000-0000-00002DE20000}"/>
    <cellStyle name="Texto de advertencia 20" xfId="2943" xr:uid="{00000000-0005-0000-0000-00002EE20000}"/>
    <cellStyle name="Texto de advertencia 21" xfId="2944" xr:uid="{00000000-0005-0000-0000-00002FE20000}"/>
    <cellStyle name="Texto de advertencia 22" xfId="2945" xr:uid="{00000000-0005-0000-0000-000030E20000}"/>
    <cellStyle name="Texto de advertencia 23" xfId="2946" xr:uid="{00000000-0005-0000-0000-000031E20000}"/>
    <cellStyle name="Texto de advertencia 24" xfId="2947" xr:uid="{00000000-0005-0000-0000-000032E20000}"/>
    <cellStyle name="Texto de advertencia 25" xfId="2948" xr:uid="{00000000-0005-0000-0000-000033E20000}"/>
    <cellStyle name="Texto de advertencia 26" xfId="2949" xr:uid="{00000000-0005-0000-0000-000034E20000}"/>
    <cellStyle name="Texto de advertencia 27" xfId="2950" xr:uid="{00000000-0005-0000-0000-000035E20000}"/>
    <cellStyle name="Texto de advertencia 28" xfId="2951" xr:uid="{00000000-0005-0000-0000-000036E20000}"/>
    <cellStyle name="Texto de advertencia 29" xfId="2952" xr:uid="{00000000-0005-0000-0000-000037E20000}"/>
    <cellStyle name="Texto de advertencia 3" xfId="2953" xr:uid="{00000000-0005-0000-0000-000038E20000}"/>
    <cellStyle name="Texto de advertencia 30" xfId="2954" xr:uid="{00000000-0005-0000-0000-000039E20000}"/>
    <cellStyle name="Texto de advertencia 31" xfId="2955" xr:uid="{00000000-0005-0000-0000-00003AE20000}"/>
    <cellStyle name="Texto de advertencia 32" xfId="2956" xr:uid="{00000000-0005-0000-0000-00003BE20000}"/>
    <cellStyle name="Texto de advertencia 33" xfId="2957" xr:uid="{00000000-0005-0000-0000-00003CE20000}"/>
    <cellStyle name="Texto de advertencia 34" xfId="2958" xr:uid="{00000000-0005-0000-0000-00003DE20000}"/>
    <cellStyle name="Texto de advertencia 35" xfId="2959" xr:uid="{00000000-0005-0000-0000-00003EE20000}"/>
    <cellStyle name="Texto de advertencia 36" xfId="2960" xr:uid="{00000000-0005-0000-0000-00003FE20000}"/>
    <cellStyle name="Texto de advertencia 37" xfId="2961" xr:uid="{00000000-0005-0000-0000-000040E20000}"/>
    <cellStyle name="Texto de advertencia 38" xfId="2962" xr:uid="{00000000-0005-0000-0000-000041E20000}"/>
    <cellStyle name="Texto de advertencia 39" xfId="2963" xr:uid="{00000000-0005-0000-0000-000042E20000}"/>
    <cellStyle name="Texto de advertencia 4" xfId="2964" xr:uid="{00000000-0005-0000-0000-000043E20000}"/>
    <cellStyle name="Texto de advertencia 40" xfId="2965" xr:uid="{00000000-0005-0000-0000-000044E20000}"/>
    <cellStyle name="Texto de advertencia 41" xfId="2966" xr:uid="{00000000-0005-0000-0000-000045E20000}"/>
    <cellStyle name="Texto de advertencia 42" xfId="2967" xr:uid="{00000000-0005-0000-0000-000046E20000}"/>
    <cellStyle name="Texto de advertencia 43" xfId="2968" xr:uid="{00000000-0005-0000-0000-000047E20000}"/>
    <cellStyle name="Texto de advertencia 44" xfId="2969" xr:uid="{00000000-0005-0000-0000-000048E20000}"/>
    <cellStyle name="Texto de advertencia 45" xfId="2970" xr:uid="{00000000-0005-0000-0000-000049E20000}"/>
    <cellStyle name="Texto de advertencia 46" xfId="2971" xr:uid="{00000000-0005-0000-0000-00004AE20000}"/>
    <cellStyle name="Texto de advertencia 47" xfId="2972" xr:uid="{00000000-0005-0000-0000-00004BE20000}"/>
    <cellStyle name="Texto de advertencia 48" xfId="2973" xr:uid="{00000000-0005-0000-0000-00004CE20000}"/>
    <cellStyle name="Texto de advertencia 49" xfId="2974" xr:uid="{00000000-0005-0000-0000-00004DE20000}"/>
    <cellStyle name="Texto de advertencia 5" xfId="2975" xr:uid="{00000000-0005-0000-0000-00004EE20000}"/>
    <cellStyle name="Texto de advertencia 50" xfId="2976" xr:uid="{00000000-0005-0000-0000-00004FE20000}"/>
    <cellStyle name="Texto de advertencia 51" xfId="2977" xr:uid="{00000000-0005-0000-0000-000050E20000}"/>
    <cellStyle name="Texto de advertencia 52" xfId="2978" xr:uid="{00000000-0005-0000-0000-000051E20000}"/>
    <cellStyle name="Texto de advertencia 53" xfId="2979" xr:uid="{00000000-0005-0000-0000-000052E20000}"/>
    <cellStyle name="Texto de advertencia 54" xfId="2980" xr:uid="{00000000-0005-0000-0000-000053E20000}"/>
    <cellStyle name="Texto de advertencia 55" xfId="2981" xr:uid="{00000000-0005-0000-0000-000054E20000}"/>
    <cellStyle name="Texto de advertencia 56" xfId="2982" xr:uid="{00000000-0005-0000-0000-000055E20000}"/>
    <cellStyle name="Texto de advertencia 57" xfId="2983" xr:uid="{00000000-0005-0000-0000-000056E20000}"/>
    <cellStyle name="Texto de advertencia 58" xfId="2984" xr:uid="{00000000-0005-0000-0000-000057E20000}"/>
    <cellStyle name="Texto de advertencia 59" xfId="2985" xr:uid="{00000000-0005-0000-0000-000058E20000}"/>
    <cellStyle name="Texto de advertencia 6" xfId="2986" xr:uid="{00000000-0005-0000-0000-000059E20000}"/>
    <cellStyle name="Texto de advertencia 60" xfId="2987" xr:uid="{00000000-0005-0000-0000-00005AE20000}"/>
    <cellStyle name="Texto de advertencia 61" xfId="2988" xr:uid="{00000000-0005-0000-0000-00005BE20000}"/>
    <cellStyle name="Texto de advertencia 62" xfId="2989" xr:uid="{00000000-0005-0000-0000-00005CE20000}"/>
    <cellStyle name="Texto de advertencia 63" xfId="2990" xr:uid="{00000000-0005-0000-0000-00005DE20000}"/>
    <cellStyle name="Texto de advertencia 64" xfId="2991" xr:uid="{00000000-0005-0000-0000-00005EE20000}"/>
    <cellStyle name="Texto de advertencia 65" xfId="2992" xr:uid="{00000000-0005-0000-0000-00005FE20000}"/>
    <cellStyle name="Texto de advertencia 66" xfId="2993" xr:uid="{00000000-0005-0000-0000-000060E20000}"/>
    <cellStyle name="Texto de advertencia 67" xfId="2994" xr:uid="{00000000-0005-0000-0000-000061E20000}"/>
    <cellStyle name="Texto de advertencia 7" xfId="2995" xr:uid="{00000000-0005-0000-0000-000062E20000}"/>
    <cellStyle name="Texto de advertencia 8" xfId="2996" xr:uid="{00000000-0005-0000-0000-000063E20000}"/>
    <cellStyle name="Texto de advertencia 9" xfId="2997" xr:uid="{00000000-0005-0000-0000-000064E20000}"/>
    <cellStyle name="Texto explicativo 10" xfId="2998" xr:uid="{00000000-0005-0000-0000-000065E20000}"/>
    <cellStyle name="Texto explicativo 11" xfId="2999" xr:uid="{00000000-0005-0000-0000-000066E20000}"/>
    <cellStyle name="Texto explicativo 12" xfId="3000" xr:uid="{00000000-0005-0000-0000-000067E20000}"/>
    <cellStyle name="Texto explicativo 13" xfId="3001" xr:uid="{00000000-0005-0000-0000-000068E20000}"/>
    <cellStyle name="Texto explicativo 14" xfId="3002" xr:uid="{00000000-0005-0000-0000-000069E20000}"/>
    <cellStyle name="Texto explicativo 15" xfId="3003" xr:uid="{00000000-0005-0000-0000-00006AE20000}"/>
    <cellStyle name="Texto explicativo 16" xfId="3004" xr:uid="{00000000-0005-0000-0000-00006BE20000}"/>
    <cellStyle name="Texto explicativo 17" xfId="3005" xr:uid="{00000000-0005-0000-0000-00006CE20000}"/>
    <cellStyle name="Texto explicativo 18" xfId="3006" xr:uid="{00000000-0005-0000-0000-00006DE20000}"/>
    <cellStyle name="Texto explicativo 19" xfId="3007" xr:uid="{00000000-0005-0000-0000-00006EE20000}"/>
    <cellStyle name="Texto explicativo 2" xfId="159" xr:uid="{00000000-0005-0000-0000-00006FE20000}"/>
    <cellStyle name="Texto explicativo 2 2" xfId="3008" xr:uid="{00000000-0005-0000-0000-000070E20000}"/>
    <cellStyle name="Texto explicativo 2 3" xfId="3009" xr:uid="{00000000-0005-0000-0000-000071E20000}"/>
    <cellStyle name="Texto explicativo 2 4" xfId="3010" xr:uid="{00000000-0005-0000-0000-000072E20000}"/>
    <cellStyle name="Texto explicativo 2 5" xfId="3011" xr:uid="{00000000-0005-0000-0000-000073E20000}"/>
    <cellStyle name="Texto explicativo 20" xfId="3012" xr:uid="{00000000-0005-0000-0000-000074E20000}"/>
    <cellStyle name="Texto explicativo 21" xfId="3013" xr:uid="{00000000-0005-0000-0000-000075E20000}"/>
    <cellStyle name="Texto explicativo 22" xfId="3014" xr:uid="{00000000-0005-0000-0000-000076E20000}"/>
    <cellStyle name="Texto explicativo 23" xfId="3015" xr:uid="{00000000-0005-0000-0000-000077E20000}"/>
    <cellStyle name="Texto explicativo 24" xfId="3016" xr:uid="{00000000-0005-0000-0000-000078E20000}"/>
    <cellStyle name="Texto explicativo 25" xfId="3017" xr:uid="{00000000-0005-0000-0000-000079E20000}"/>
    <cellStyle name="Texto explicativo 26" xfId="3018" xr:uid="{00000000-0005-0000-0000-00007AE20000}"/>
    <cellStyle name="Texto explicativo 27" xfId="3019" xr:uid="{00000000-0005-0000-0000-00007BE20000}"/>
    <cellStyle name="Texto explicativo 28" xfId="3020" xr:uid="{00000000-0005-0000-0000-00007CE20000}"/>
    <cellStyle name="Texto explicativo 29" xfId="3021" xr:uid="{00000000-0005-0000-0000-00007DE20000}"/>
    <cellStyle name="Texto explicativo 3" xfId="3022" xr:uid="{00000000-0005-0000-0000-00007EE20000}"/>
    <cellStyle name="Texto explicativo 30" xfId="3023" xr:uid="{00000000-0005-0000-0000-00007FE20000}"/>
    <cellStyle name="Texto explicativo 31" xfId="3024" xr:uid="{00000000-0005-0000-0000-000080E20000}"/>
    <cellStyle name="Texto explicativo 32" xfId="3025" xr:uid="{00000000-0005-0000-0000-000081E20000}"/>
    <cellStyle name="Texto explicativo 33" xfId="3026" xr:uid="{00000000-0005-0000-0000-000082E20000}"/>
    <cellStyle name="Texto explicativo 34" xfId="3027" xr:uid="{00000000-0005-0000-0000-000083E20000}"/>
    <cellStyle name="Texto explicativo 35" xfId="3028" xr:uid="{00000000-0005-0000-0000-000084E20000}"/>
    <cellStyle name="Texto explicativo 36" xfId="3029" xr:uid="{00000000-0005-0000-0000-000085E20000}"/>
    <cellStyle name="Texto explicativo 37" xfId="3030" xr:uid="{00000000-0005-0000-0000-000086E20000}"/>
    <cellStyle name="Texto explicativo 38" xfId="3031" xr:uid="{00000000-0005-0000-0000-000087E20000}"/>
    <cellStyle name="Texto explicativo 39" xfId="3032" xr:uid="{00000000-0005-0000-0000-000088E20000}"/>
    <cellStyle name="Texto explicativo 4" xfId="3033" xr:uid="{00000000-0005-0000-0000-000089E20000}"/>
    <cellStyle name="Texto explicativo 40" xfId="3034" xr:uid="{00000000-0005-0000-0000-00008AE20000}"/>
    <cellStyle name="Texto explicativo 41" xfId="3035" xr:uid="{00000000-0005-0000-0000-00008BE20000}"/>
    <cellStyle name="Texto explicativo 42" xfId="3036" xr:uid="{00000000-0005-0000-0000-00008CE20000}"/>
    <cellStyle name="Texto explicativo 43" xfId="3037" xr:uid="{00000000-0005-0000-0000-00008DE20000}"/>
    <cellStyle name="Texto explicativo 44" xfId="3038" xr:uid="{00000000-0005-0000-0000-00008EE20000}"/>
    <cellStyle name="Texto explicativo 45" xfId="3039" xr:uid="{00000000-0005-0000-0000-00008FE20000}"/>
    <cellStyle name="Texto explicativo 46" xfId="3040" xr:uid="{00000000-0005-0000-0000-000090E20000}"/>
    <cellStyle name="Texto explicativo 47" xfId="3041" xr:uid="{00000000-0005-0000-0000-000091E20000}"/>
    <cellStyle name="Texto explicativo 48" xfId="3042" xr:uid="{00000000-0005-0000-0000-000092E20000}"/>
    <cellStyle name="Texto explicativo 49" xfId="3043" xr:uid="{00000000-0005-0000-0000-000093E20000}"/>
    <cellStyle name="Texto explicativo 5" xfId="3044" xr:uid="{00000000-0005-0000-0000-000094E20000}"/>
    <cellStyle name="Texto explicativo 50" xfId="3045" xr:uid="{00000000-0005-0000-0000-000095E20000}"/>
    <cellStyle name="Texto explicativo 51" xfId="3046" xr:uid="{00000000-0005-0000-0000-000096E20000}"/>
    <cellStyle name="Texto explicativo 52" xfId="3047" xr:uid="{00000000-0005-0000-0000-000097E20000}"/>
    <cellStyle name="Texto explicativo 53" xfId="3048" xr:uid="{00000000-0005-0000-0000-000098E20000}"/>
    <cellStyle name="Texto explicativo 54" xfId="3049" xr:uid="{00000000-0005-0000-0000-000099E20000}"/>
    <cellStyle name="Texto explicativo 55" xfId="3050" xr:uid="{00000000-0005-0000-0000-00009AE20000}"/>
    <cellStyle name="Texto explicativo 56" xfId="3051" xr:uid="{00000000-0005-0000-0000-00009BE20000}"/>
    <cellStyle name="Texto explicativo 57" xfId="3052" xr:uid="{00000000-0005-0000-0000-00009CE20000}"/>
    <cellStyle name="Texto explicativo 58" xfId="3053" xr:uid="{00000000-0005-0000-0000-00009DE20000}"/>
    <cellStyle name="Texto explicativo 59" xfId="3054" xr:uid="{00000000-0005-0000-0000-00009EE20000}"/>
    <cellStyle name="Texto explicativo 6" xfId="3055" xr:uid="{00000000-0005-0000-0000-00009FE20000}"/>
    <cellStyle name="Texto explicativo 60" xfId="3056" xr:uid="{00000000-0005-0000-0000-0000A0E20000}"/>
    <cellStyle name="Texto explicativo 61" xfId="3057" xr:uid="{00000000-0005-0000-0000-0000A1E20000}"/>
    <cellStyle name="Texto explicativo 62" xfId="3058" xr:uid="{00000000-0005-0000-0000-0000A2E20000}"/>
    <cellStyle name="Texto explicativo 63" xfId="3059" xr:uid="{00000000-0005-0000-0000-0000A3E20000}"/>
    <cellStyle name="Texto explicativo 64" xfId="3060" xr:uid="{00000000-0005-0000-0000-0000A4E20000}"/>
    <cellStyle name="Texto explicativo 65" xfId="3061" xr:uid="{00000000-0005-0000-0000-0000A5E20000}"/>
    <cellStyle name="Texto explicativo 66" xfId="3062" xr:uid="{00000000-0005-0000-0000-0000A6E20000}"/>
    <cellStyle name="Texto explicativo 67" xfId="3063" xr:uid="{00000000-0005-0000-0000-0000A7E20000}"/>
    <cellStyle name="Texto explicativo 7" xfId="3064" xr:uid="{00000000-0005-0000-0000-0000A8E20000}"/>
    <cellStyle name="Texto explicativo 8" xfId="3065" xr:uid="{00000000-0005-0000-0000-0000A9E20000}"/>
    <cellStyle name="Texto explicativo 9" xfId="3066" xr:uid="{00000000-0005-0000-0000-0000AAE20000}"/>
    <cellStyle name="Title" xfId="7286" xr:uid="{00000000-0005-0000-0000-0000ABE20000}"/>
    <cellStyle name="Título 1 10" xfId="3067" xr:uid="{00000000-0005-0000-0000-0000ACE20000}"/>
    <cellStyle name="Título 1 11" xfId="3068" xr:uid="{00000000-0005-0000-0000-0000ADE20000}"/>
    <cellStyle name="Título 1 12" xfId="3069" xr:uid="{00000000-0005-0000-0000-0000AEE20000}"/>
    <cellStyle name="Título 1 13" xfId="3070" xr:uid="{00000000-0005-0000-0000-0000AFE20000}"/>
    <cellStyle name="Título 1 14" xfId="3071" xr:uid="{00000000-0005-0000-0000-0000B0E20000}"/>
    <cellStyle name="Título 1 15" xfId="3072" xr:uid="{00000000-0005-0000-0000-0000B1E20000}"/>
    <cellStyle name="Título 1 16" xfId="3073" xr:uid="{00000000-0005-0000-0000-0000B2E20000}"/>
    <cellStyle name="Título 1 17" xfId="3074" xr:uid="{00000000-0005-0000-0000-0000B3E20000}"/>
    <cellStyle name="Título 1 18" xfId="3075" xr:uid="{00000000-0005-0000-0000-0000B4E20000}"/>
    <cellStyle name="Título 1 19" xfId="3076" xr:uid="{00000000-0005-0000-0000-0000B5E20000}"/>
    <cellStyle name="Título 1 2" xfId="160" xr:uid="{00000000-0005-0000-0000-0000B6E20000}"/>
    <cellStyle name="Título 1 2 2" xfId="3077" xr:uid="{00000000-0005-0000-0000-0000B7E20000}"/>
    <cellStyle name="Título 1 2 3" xfId="3078" xr:uid="{00000000-0005-0000-0000-0000B8E20000}"/>
    <cellStyle name="Título 1 2 4" xfId="3079" xr:uid="{00000000-0005-0000-0000-0000B9E20000}"/>
    <cellStyle name="Título 1 2 5" xfId="3080" xr:uid="{00000000-0005-0000-0000-0000BAE20000}"/>
    <cellStyle name="Título 1 20" xfId="3081" xr:uid="{00000000-0005-0000-0000-0000BBE20000}"/>
    <cellStyle name="Título 1 21" xfId="3082" xr:uid="{00000000-0005-0000-0000-0000BCE20000}"/>
    <cellStyle name="Título 1 22" xfId="3083" xr:uid="{00000000-0005-0000-0000-0000BDE20000}"/>
    <cellStyle name="Título 1 23" xfId="3084" xr:uid="{00000000-0005-0000-0000-0000BEE20000}"/>
    <cellStyle name="Título 1 24" xfId="3085" xr:uid="{00000000-0005-0000-0000-0000BFE20000}"/>
    <cellStyle name="Título 1 25" xfId="3086" xr:uid="{00000000-0005-0000-0000-0000C0E20000}"/>
    <cellStyle name="Título 1 26" xfId="3087" xr:uid="{00000000-0005-0000-0000-0000C1E20000}"/>
    <cellStyle name="Título 1 27" xfId="3088" xr:uid="{00000000-0005-0000-0000-0000C2E20000}"/>
    <cellStyle name="Título 1 28" xfId="3089" xr:uid="{00000000-0005-0000-0000-0000C3E20000}"/>
    <cellStyle name="Título 1 29" xfId="3090" xr:uid="{00000000-0005-0000-0000-0000C4E20000}"/>
    <cellStyle name="Título 1 3" xfId="3091" xr:uid="{00000000-0005-0000-0000-0000C5E20000}"/>
    <cellStyle name="Título 1 30" xfId="3092" xr:uid="{00000000-0005-0000-0000-0000C6E20000}"/>
    <cellStyle name="Título 1 31" xfId="3093" xr:uid="{00000000-0005-0000-0000-0000C7E20000}"/>
    <cellStyle name="Título 1 32" xfId="3094" xr:uid="{00000000-0005-0000-0000-0000C8E20000}"/>
    <cellStyle name="Título 1 33" xfId="3095" xr:uid="{00000000-0005-0000-0000-0000C9E20000}"/>
    <cellStyle name="Título 1 34" xfId="3096" xr:uid="{00000000-0005-0000-0000-0000CAE20000}"/>
    <cellStyle name="Título 1 35" xfId="3097" xr:uid="{00000000-0005-0000-0000-0000CBE20000}"/>
    <cellStyle name="Título 1 36" xfId="3098" xr:uid="{00000000-0005-0000-0000-0000CCE20000}"/>
    <cellStyle name="Título 1 37" xfId="3099" xr:uid="{00000000-0005-0000-0000-0000CDE20000}"/>
    <cellStyle name="Título 1 38" xfId="3100" xr:uid="{00000000-0005-0000-0000-0000CEE20000}"/>
    <cellStyle name="Título 1 39" xfId="3101" xr:uid="{00000000-0005-0000-0000-0000CFE20000}"/>
    <cellStyle name="Título 1 4" xfId="3102" xr:uid="{00000000-0005-0000-0000-0000D0E20000}"/>
    <cellStyle name="Título 1 40" xfId="3103" xr:uid="{00000000-0005-0000-0000-0000D1E20000}"/>
    <cellStyle name="Título 1 41" xfId="3104" xr:uid="{00000000-0005-0000-0000-0000D2E20000}"/>
    <cellStyle name="Título 1 42" xfId="3105" xr:uid="{00000000-0005-0000-0000-0000D3E20000}"/>
    <cellStyle name="Título 1 43" xfId="3106" xr:uid="{00000000-0005-0000-0000-0000D4E20000}"/>
    <cellStyle name="Título 1 44" xfId="3107" xr:uid="{00000000-0005-0000-0000-0000D5E20000}"/>
    <cellStyle name="Título 1 45" xfId="3108" xr:uid="{00000000-0005-0000-0000-0000D6E20000}"/>
    <cellStyle name="Título 1 46" xfId="3109" xr:uid="{00000000-0005-0000-0000-0000D7E20000}"/>
    <cellStyle name="Título 1 47" xfId="3110" xr:uid="{00000000-0005-0000-0000-0000D8E20000}"/>
    <cellStyle name="Título 1 48" xfId="3111" xr:uid="{00000000-0005-0000-0000-0000D9E20000}"/>
    <cellStyle name="Título 1 49" xfId="3112" xr:uid="{00000000-0005-0000-0000-0000DAE20000}"/>
    <cellStyle name="Título 1 5" xfId="3113" xr:uid="{00000000-0005-0000-0000-0000DBE20000}"/>
    <cellStyle name="Título 1 50" xfId="3114" xr:uid="{00000000-0005-0000-0000-0000DCE20000}"/>
    <cellStyle name="Título 1 51" xfId="3115" xr:uid="{00000000-0005-0000-0000-0000DDE20000}"/>
    <cellStyle name="Título 1 52" xfId="3116" xr:uid="{00000000-0005-0000-0000-0000DEE20000}"/>
    <cellStyle name="Título 1 53" xfId="3117" xr:uid="{00000000-0005-0000-0000-0000DFE20000}"/>
    <cellStyle name="Título 1 54" xfId="3118" xr:uid="{00000000-0005-0000-0000-0000E0E20000}"/>
    <cellStyle name="Título 1 55" xfId="3119" xr:uid="{00000000-0005-0000-0000-0000E1E20000}"/>
    <cellStyle name="Título 1 56" xfId="3120" xr:uid="{00000000-0005-0000-0000-0000E2E20000}"/>
    <cellStyle name="Título 1 57" xfId="3121" xr:uid="{00000000-0005-0000-0000-0000E3E20000}"/>
    <cellStyle name="Título 1 58" xfId="3122" xr:uid="{00000000-0005-0000-0000-0000E4E20000}"/>
    <cellStyle name="Título 1 59" xfId="3123" xr:uid="{00000000-0005-0000-0000-0000E5E20000}"/>
    <cellStyle name="Título 1 6" xfId="3124" xr:uid="{00000000-0005-0000-0000-0000E6E20000}"/>
    <cellStyle name="Título 1 60" xfId="3125" xr:uid="{00000000-0005-0000-0000-0000E7E20000}"/>
    <cellStyle name="Título 1 61" xfId="3126" xr:uid="{00000000-0005-0000-0000-0000E8E20000}"/>
    <cellStyle name="Título 1 62" xfId="3127" xr:uid="{00000000-0005-0000-0000-0000E9E20000}"/>
    <cellStyle name="Título 1 63" xfId="3128" xr:uid="{00000000-0005-0000-0000-0000EAE20000}"/>
    <cellStyle name="Título 1 64" xfId="3129" xr:uid="{00000000-0005-0000-0000-0000EBE20000}"/>
    <cellStyle name="Título 1 65" xfId="3130" xr:uid="{00000000-0005-0000-0000-0000ECE20000}"/>
    <cellStyle name="Título 1 66" xfId="3131" xr:uid="{00000000-0005-0000-0000-0000EDE20000}"/>
    <cellStyle name="Título 1 67" xfId="3132" xr:uid="{00000000-0005-0000-0000-0000EEE20000}"/>
    <cellStyle name="Título 1 7" xfId="3133" xr:uid="{00000000-0005-0000-0000-0000EFE20000}"/>
    <cellStyle name="Título 1 8" xfId="3134" xr:uid="{00000000-0005-0000-0000-0000F0E20000}"/>
    <cellStyle name="Título 1 9" xfId="3135" xr:uid="{00000000-0005-0000-0000-0000F1E20000}"/>
    <cellStyle name="Título 10" xfId="3136" xr:uid="{00000000-0005-0000-0000-0000F2E20000}"/>
    <cellStyle name="Título 11" xfId="3137" xr:uid="{00000000-0005-0000-0000-0000F3E20000}"/>
    <cellStyle name="Título 12" xfId="3138" xr:uid="{00000000-0005-0000-0000-0000F4E20000}"/>
    <cellStyle name="Título 13" xfId="3139" xr:uid="{00000000-0005-0000-0000-0000F5E20000}"/>
    <cellStyle name="Título 14" xfId="3140" xr:uid="{00000000-0005-0000-0000-0000F6E20000}"/>
    <cellStyle name="Título 15" xfId="3141" xr:uid="{00000000-0005-0000-0000-0000F7E20000}"/>
    <cellStyle name="Título 16" xfId="3142" xr:uid="{00000000-0005-0000-0000-0000F8E20000}"/>
    <cellStyle name="Título 17" xfId="3143" xr:uid="{00000000-0005-0000-0000-0000F9E20000}"/>
    <cellStyle name="Título 18" xfId="3144" xr:uid="{00000000-0005-0000-0000-0000FAE20000}"/>
    <cellStyle name="Título 19" xfId="3145" xr:uid="{00000000-0005-0000-0000-0000FBE20000}"/>
    <cellStyle name="Título 2 10" xfId="3146" xr:uid="{00000000-0005-0000-0000-0000FCE20000}"/>
    <cellStyle name="Título 2 11" xfId="3147" xr:uid="{00000000-0005-0000-0000-0000FDE20000}"/>
    <cellStyle name="Título 2 12" xfId="3148" xr:uid="{00000000-0005-0000-0000-0000FEE20000}"/>
    <cellStyle name="Título 2 13" xfId="3149" xr:uid="{00000000-0005-0000-0000-0000FFE20000}"/>
    <cellStyle name="Título 2 14" xfId="3150" xr:uid="{00000000-0005-0000-0000-000000E30000}"/>
    <cellStyle name="Título 2 15" xfId="3151" xr:uid="{00000000-0005-0000-0000-000001E30000}"/>
    <cellStyle name="Título 2 16" xfId="3152" xr:uid="{00000000-0005-0000-0000-000002E30000}"/>
    <cellStyle name="Título 2 17" xfId="3153" xr:uid="{00000000-0005-0000-0000-000003E30000}"/>
    <cellStyle name="Título 2 18" xfId="3154" xr:uid="{00000000-0005-0000-0000-000004E30000}"/>
    <cellStyle name="Título 2 19" xfId="3155" xr:uid="{00000000-0005-0000-0000-000005E30000}"/>
    <cellStyle name="Título 2 2" xfId="161" xr:uid="{00000000-0005-0000-0000-000006E30000}"/>
    <cellStyle name="Título 2 2 2" xfId="3156" xr:uid="{00000000-0005-0000-0000-000007E30000}"/>
    <cellStyle name="Título 2 2 3" xfId="3157" xr:uid="{00000000-0005-0000-0000-000008E30000}"/>
    <cellStyle name="Título 2 2 4" xfId="3158" xr:uid="{00000000-0005-0000-0000-000009E30000}"/>
    <cellStyle name="Título 2 2 5" xfId="3159" xr:uid="{00000000-0005-0000-0000-00000AE30000}"/>
    <cellStyle name="Título 2 20" xfId="3160" xr:uid="{00000000-0005-0000-0000-00000BE30000}"/>
    <cellStyle name="Título 2 21" xfId="3161" xr:uid="{00000000-0005-0000-0000-00000CE30000}"/>
    <cellStyle name="Título 2 22" xfId="3162" xr:uid="{00000000-0005-0000-0000-00000DE30000}"/>
    <cellStyle name="Título 2 23" xfId="3163" xr:uid="{00000000-0005-0000-0000-00000EE30000}"/>
    <cellStyle name="Título 2 24" xfId="3164" xr:uid="{00000000-0005-0000-0000-00000FE30000}"/>
    <cellStyle name="Título 2 25" xfId="3165" xr:uid="{00000000-0005-0000-0000-000010E30000}"/>
    <cellStyle name="Título 2 26" xfId="3166" xr:uid="{00000000-0005-0000-0000-000011E30000}"/>
    <cellStyle name="Título 2 27" xfId="3167" xr:uid="{00000000-0005-0000-0000-000012E30000}"/>
    <cellStyle name="Título 2 28" xfId="3168" xr:uid="{00000000-0005-0000-0000-000013E30000}"/>
    <cellStyle name="Título 2 29" xfId="3169" xr:uid="{00000000-0005-0000-0000-000014E30000}"/>
    <cellStyle name="Título 2 3" xfId="3170" xr:uid="{00000000-0005-0000-0000-000015E30000}"/>
    <cellStyle name="Título 2 30" xfId="3171" xr:uid="{00000000-0005-0000-0000-000016E30000}"/>
    <cellStyle name="Título 2 31" xfId="3172" xr:uid="{00000000-0005-0000-0000-000017E30000}"/>
    <cellStyle name="Título 2 32" xfId="3173" xr:uid="{00000000-0005-0000-0000-000018E30000}"/>
    <cellStyle name="Título 2 33" xfId="3174" xr:uid="{00000000-0005-0000-0000-000019E30000}"/>
    <cellStyle name="Título 2 34" xfId="3175" xr:uid="{00000000-0005-0000-0000-00001AE30000}"/>
    <cellStyle name="Título 2 35" xfId="3176" xr:uid="{00000000-0005-0000-0000-00001BE30000}"/>
    <cellStyle name="Título 2 36" xfId="3177" xr:uid="{00000000-0005-0000-0000-00001CE30000}"/>
    <cellStyle name="Título 2 37" xfId="3178" xr:uid="{00000000-0005-0000-0000-00001DE30000}"/>
    <cellStyle name="Título 2 38" xfId="3179" xr:uid="{00000000-0005-0000-0000-00001EE30000}"/>
    <cellStyle name="Título 2 39" xfId="3180" xr:uid="{00000000-0005-0000-0000-00001FE30000}"/>
    <cellStyle name="Título 2 4" xfId="3181" xr:uid="{00000000-0005-0000-0000-000020E30000}"/>
    <cellStyle name="Título 2 40" xfId="3182" xr:uid="{00000000-0005-0000-0000-000021E30000}"/>
    <cellStyle name="Título 2 41" xfId="3183" xr:uid="{00000000-0005-0000-0000-000022E30000}"/>
    <cellStyle name="Título 2 42" xfId="3184" xr:uid="{00000000-0005-0000-0000-000023E30000}"/>
    <cellStyle name="Título 2 43" xfId="3185" xr:uid="{00000000-0005-0000-0000-000024E30000}"/>
    <cellStyle name="Título 2 44" xfId="3186" xr:uid="{00000000-0005-0000-0000-000025E30000}"/>
    <cellStyle name="Título 2 45" xfId="3187" xr:uid="{00000000-0005-0000-0000-000026E30000}"/>
    <cellStyle name="Título 2 46" xfId="3188" xr:uid="{00000000-0005-0000-0000-000027E30000}"/>
    <cellStyle name="Título 2 47" xfId="3189" xr:uid="{00000000-0005-0000-0000-000028E30000}"/>
    <cellStyle name="Título 2 48" xfId="3190" xr:uid="{00000000-0005-0000-0000-000029E30000}"/>
    <cellStyle name="Título 2 49" xfId="3191" xr:uid="{00000000-0005-0000-0000-00002AE30000}"/>
    <cellStyle name="Título 2 5" xfId="3192" xr:uid="{00000000-0005-0000-0000-00002BE30000}"/>
    <cellStyle name="Título 2 50" xfId="3193" xr:uid="{00000000-0005-0000-0000-00002CE30000}"/>
    <cellStyle name="Título 2 51" xfId="3194" xr:uid="{00000000-0005-0000-0000-00002DE30000}"/>
    <cellStyle name="Título 2 52" xfId="3195" xr:uid="{00000000-0005-0000-0000-00002EE30000}"/>
    <cellStyle name="Título 2 53" xfId="3196" xr:uid="{00000000-0005-0000-0000-00002FE30000}"/>
    <cellStyle name="Título 2 54" xfId="3197" xr:uid="{00000000-0005-0000-0000-000030E30000}"/>
    <cellStyle name="Título 2 55" xfId="3198" xr:uid="{00000000-0005-0000-0000-000031E30000}"/>
    <cellStyle name="Título 2 56" xfId="3199" xr:uid="{00000000-0005-0000-0000-000032E30000}"/>
    <cellStyle name="Título 2 57" xfId="3200" xr:uid="{00000000-0005-0000-0000-000033E30000}"/>
    <cellStyle name="Título 2 58" xfId="3201" xr:uid="{00000000-0005-0000-0000-000034E30000}"/>
    <cellStyle name="Título 2 59" xfId="3202" xr:uid="{00000000-0005-0000-0000-000035E30000}"/>
    <cellStyle name="Título 2 6" xfId="3203" xr:uid="{00000000-0005-0000-0000-000036E30000}"/>
    <cellStyle name="Título 2 60" xfId="3204" xr:uid="{00000000-0005-0000-0000-000037E30000}"/>
    <cellStyle name="Título 2 61" xfId="3205" xr:uid="{00000000-0005-0000-0000-000038E30000}"/>
    <cellStyle name="Título 2 62" xfId="3206" xr:uid="{00000000-0005-0000-0000-000039E30000}"/>
    <cellStyle name="Título 2 63" xfId="3207" xr:uid="{00000000-0005-0000-0000-00003AE30000}"/>
    <cellStyle name="Título 2 64" xfId="3208" xr:uid="{00000000-0005-0000-0000-00003BE30000}"/>
    <cellStyle name="Título 2 65" xfId="3209" xr:uid="{00000000-0005-0000-0000-00003CE30000}"/>
    <cellStyle name="Título 2 66" xfId="3210" xr:uid="{00000000-0005-0000-0000-00003DE30000}"/>
    <cellStyle name="Título 2 67" xfId="3211" xr:uid="{00000000-0005-0000-0000-00003EE30000}"/>
    <cellStyle name="Título 2 7" xfId="3212" xr:uid="{00000000-0005-0000-0000-00003FE30000}"/>
    <cellStyle name="Título 2 8" xfId="3213" xr:uid="{00000000-0005-0000-0000-000040E30000}"/>
    <cellStyle name="Título 2 9" xfId="3214" xr:uid="{00000000-0005-0000-0000-000041E30000}"/>
    <cellStyle name="Título 20" xfId="3215" xr:uid="{00000000-0005-0000-0000-000042E30000}"/>
    <cellStyle name="Título 21" xfId="3216" xr:uid="{00000000-0005-0000-0000-000043E30000}"/>
    <cellStyle name="Título 22" xfId="3217" xr:uid="{00000000-0005-0000-0000-000044E30000}"/>
    <cellStyle name="Título 23" xfId="3218" xr:uid="{00000000-0005-0000-0000-000045E30000}"/>
    <cellStyle name="Título 24" xfId="3219" xr:uid="{00000000-0005-0000-0000-000046E30000}"/>
    <cellStyle name="Título 25" xfId="3220" xr:uid="{00000000-0005-0000-0000-000047E30000}"/>
    <cellStyle name="Título 26" xfId="3221" xr:uid="{00000000-0005-0000-0000-000048E30000}"/>
    <cellStyle name="Título 27" xfId="3222" xr:uid="{00000000-0005-0000-0000-000049E30000}"/>
    <cellStyle name="Título 28" xfId="3223" xr:uid="{00000000-0005-0000-0000-00004AE30000}"/>
    <cellStyle name="Título 29" xfId="3224" xr:uid="{00000000-0005-0000-0000-00004BE30000}"/>
    <cellStyle name="Título 3 10" xfId="3225" xr:uid="{00000000-0005-0000-0000-00004CE30000}"/>
    <cellStyle name="Título 3 11" xfId="3226" xr:uid="{00000000-0005-0000-0000-00004DE30000}"/>
    <cellStyle name="Título 3 12" xfId="3227" xr:uid="{00000000-0005-0000-0000-00004EE30000}"/>
    <cellStyle name="Título 3 13" xfId="3228" xr:uid="{00000000-0005-0000-0000-00004FE30000}"/>
    <cellStyle name="Título 3 14" xfId="3229" xr:uid="{00000000-0005-0000-0000-000050E30000}"/>
    <cellStyle name="Título 3 15" xfId="3230" xr:uid="{00000000-0005-0000-0000-000051E30000}"/>
    <cellStyle name="Título 3 16" xfId="3231" xr:uid="{00000000-0005-0000-0000-000052E30000}"/>
    <cellStyle name="Título 3 17" xfId="3232" xr:uid="{00000000-0005-0000-0000-000053E30000}"/>
    <cellStyle name="Título 3 18" xfId="3233" xr:uid="{00000000-0005-0000-0000-000054E30000}"/>
    <cellStyle name="Título 3 19" xfId="3234" xr:uid="{00000000-0005-0000-0000-000055E30000}"/>
    <cellStyle name="Título 3 2" xfId="162" xr:uid="{00000000-0005-0000-0000-000056E30000}"/>
    <cellStyle name="Título 3 2 2" xfId="3235" xr:uid="{00000000-0005-0000-0000-000057E30000}"/>
    <cellStyle name="Título 3 2 3" xfId="3236" xr:uid="{00000000-0005-0000-0000-000058E30000}"/>
    <cellStyle name="Título 3 2 4" xfId="3237" xr:uid="{00000000-0005-0000-0000-000059E30000}"/>
    <cellStyle name="Título 3 2 5" xfId="3238" xr:uid="{00000000-0005-0000-0000-00005AE30000}"/>
    <cellStyle name="Título 3 20" xfId="3239" xr:uid="{00000000-0005-0000-0000-00005BE30000}"/>
    <cellStyle name="Título 3 21" xfId="3240" xr:uid="{00000000-0005-0000-0000-00005CE30000}"/>
    <cellStyle name="Título 3 22" xfId="3241" xr:uid="{00000000-0005-0000-0000-00005DE30000}"/>
    <cellStyle name="Título 3 23" xfId="3242" xr:uid="{00000000-0005-0000-0000-00005EE30000}"/>
    <cellStyle name="Título 3 24" xfId="3243" xr:uid="{00000000-0005-0000-0000-00005FE30000}"/>
    <cellStyle name="Título 3 25" xfId="3244" xr:uid="{00000000-0005-0000-0000-000060E30000}"/>
    <cellStyle name="Título 3 26" xfId="3245" xr:uid="{00000000-0005-0000-0000-000061E30000}"/>
    <cellStyle name="Título 3 27" xfId="3246" xr:uid="{00000000-0005-0000-0000-000062E30000}"/>
    <cellStyle name="Título 3 28" xfId="3247" xr:uid="{00000000-0005-0000-0000-000063E30000}"/>
    <cellStyle name="Título 3 29" xfId="3248" xr:uid="{00000000-0005-0000-0000-000064E30000}"/>
    <cellStyle name="Título 3 3" xfId="3249" xr:uid="{00000000-0005-0000-0000-000065E30000}"/>
    <cellStyle name="Título 3 30" xfId="3250" xr:uid="{00000000-0005-0000-0000-000066E30000}"/>
    <cellStyle name="Título 3 31" xfId="3251" xr:uid="{00000000-0005-0000-0000-000067E30000}"/>
    <cellStyle name="Título 3 32" xfId="3252" xr:uid="{00000000-0005-0000-0000-000068E30000}"/>
    <cellStyle name="Título 3 33" xfId="3253" xr:uid="{00000000-0005-0000-0000-000069E30000}"/>
    <cellStyle name="Título 3 34" xfId="3254" xr:uid="{00000000-0005-0000-0000-00006AE30000}"/>
    <cellStyle name="Título 3 35" xfId="3255" xr:uid="{00000000-0005-0000-0000-00006BE30000}"/>
    <cellStyle name="Título 3 36" xfId="3256" xr:uid="{00000000-0005-0000-0000-00006CE30000}"/>
    <cellStyle name="Título 3 37" xfId="3257" xr:uid="{00000000-0005-0000-0000-00006DE30000}"/>
    <cellStyle name="Título 3 38" xfId="3258" xr:uid="{00000000-0005-0000-0000-00006EE30000}"/>
    <cellStyle name="Título 3 39" xfId="3259" xr:uid="{00000000-0005-0000-0000-00006FE30000}"/>
    <cellStyle name="Título 3 4" xfId="3260" xr:uid="{00000000-0005-0000-0000-000070E30000}"/>
    <cellStyle name="Título 3 40" xfId="3261" xr:uid="{00000000-0005-0000-0000-000071E30000}"/>
    <cellStyle name="Título 3 41" xfId="3262" xr:uid="{00000000-0005-0000-0000-000072E30000}"/>
    <cellStyle name="Título 3 42" xfId="3263" xr:uid="{00000000-0005-0000-0000-000073E30000}"/>
    <cellStyle name="Título 3 43" xfId="3264" xr:uid="{00000000-0005-0000-0000-000074E30000}"/>
    <cellStyle name="Título 3 44" xfId="3265" xr:uid="{00000000-0005-0000-0000-000075E30000}"/>
    <cellStyle name="Título 3 45" xfId="3266" xr:uid="{00000000-0005-0000-0000-000076E30000}"/>
    <cellStyle name="Título 3 46" xfId="3267" xr:uid="{00000000-0005-0000-0000-000077E30000}"/>
    <cellStyle name="Título 3 47" xfId="3268" xr:uid="{00000000-0005-0000-0000-000078E30000}"/>
    <cellStyle name="Título 3 48" xfId="3269" xr:uid="{00000000-0005-0000-0000-000079E30000}"/>
    <cellStyle name="Título 3 49" xfId="3270" xr:uid="{00000000-0005-0000-0000-00007AE30000}"/>
    <cellStyle name="Título 3 5" xfId="3271" xr:uid="{00000000-0005-0000-0000-00007BE30000}"/>
    <cellStyle name="Título 3 50" xfId="3272" xr:uid="{00000000-0005-0000-0000-00007CE30000}"/>
    <cellStyle name="Título 3 51" xfId="3273" xr:uid="{00000000-0005-0000-0000-00007DE30000}"/>
    <cellStyle name="Título 3 52" xfId="3274" xr:uid="{00000000-0005-0000-0000-00007EE30000}"/>
    <cellStyle name="Título 3 53" xfId="3275" xr:uid="{00000000-0005-0000-0000-00007FE30000}"/>
    <cellStyle name="Título 3 54" xfId="3276" xr:uid="{00000000-0005-0000-0000-000080E30000}"/>
    <cellStyle name="Título 3 55" xfId="3277" xr:uid="{00000000-0005-0000-0000-000081E30000}"/>
    <cellStyle name="Título 3 56" xfId="3278" xr:uid="{00000000-0005-0000-0000-000082E30000}"/>
    <cellStyle name="Título 3 57" xfId="3279" xr:uid="{00000000-0005-0000-0000-000083E30000}"/>
    <cellStyle name="Título 3 58" xfId="3280" xr:uid="{00000000-0005-0000-0000-000084E30000}"/>
    <cellStyle name="Título 3 59" xfId="3281" xr:uid="{00000000-0005-0000-0000-000085E30000}"/>
    <cellStyle name="Título 3 6" xfId="3282" xr:uid="{00000000-0005-0000-0000-000086E30000}"/>
    <cellStyle name="Título 3 60" xfId="3283" xr:uid="{00000000-0005-0000-0000-000087E30000}"/>
    <cellStyle name="Título 3 61" xfId="3284" xr:uid="{00000000-0005-0000-0000-000088E30000}"/>
    <cellStyle name="Título 3 62" xfId="3285" xr:uid="{00000000-0005-0000-0000-000089E30000}"/>
    <cellStyle name="Título 3 63" xfId="3286" xr:uid="{00000000-0005-0000-0000-00008AE30000}"/>
    <cellStyle name="Título 3 64" xfId="3287" xr:uid="{00000000-0005-0000-0000-00008BE30000}"/>
    <cellStyle name="Título 3 65" xfId="3288" xr:uid="{00000000-0005-0000-0000-00008CE30000}"/>
    <cellStyle name="Título 3 66" xfId="3289" xr:uid="{00000000-0005-0000-0000-00008DE30000}"/>
    <cellStyle name="Título 3 67" xfId="3290" xr:uid="{00000000-0005-0000-0000-00008EE30000}"/>
    <cellStyle name="Título 3 7" xfId="3291" xr:uid="{00000000-0005-0000-0000-00008FE30000}"/>
    <cellStyle name="Título 3 8" xfId="3292" xr:uid="{00000000-0005-0000-0000-000090E30000}"/>
    <cellStyle name="Título 3 9" xfId="3293" xr:uid="{00000000-0005-0000-0000-000091E30000}"/>
    <cellStyle name="Título 30" xfId="3294" xr:uid="{00000000-0005-0000-0000-000092E30000}"/>
    <cellStyle name="Título 31" xfId="3295" xr:uid="{00000000-0005-0000-0000-000093E30000}"/>
    <cellStyle name="Título 32" xfId="3296" xr:uid="{00000000-0005-0000-0000-000094E30000}"/>
    <cellStyle name="Título 33" xfId="3297" xr:uid="{00000000-0005-0000-0000-000095E30000}"/>
    <cellStyle name="Título 34" xfId="3298" xr:uid="{00000000-0005-0000-0000-000096E30000}"/>
    <cellStyle name="Título 35" xfId="3299" xr:uid="{00000000-0005-0000-0000-000097E30000}"/>
    <cellStyle name="Título 36" xfId="3300" xr:uid="{00000000-0005-0000-0000-000098E30000}"/>
    <cellStyle name="Título 37" xfId="3301" xr:uid="{00000000-0005-0000-0000-000099E30000}"/>
    <cellStyle name="Título 38" xfId="3302" xr:uid="{00000000-0005-0000-0000-00009AE30000}"/>
    <cellStyle name="Título 39" xfId="3303" xr:uid="{00000000-0005-0000-0000-00009BE30000}"/>
    <cellStyle name="Título 4" xfId="163" xr:uid="{00000000-0005-0000-0000-00009CE30000}"/>
    <cellStyle name="Título 4 2" xfId="3304" xr:uid="{00000000-0005-0000-0000-00009DE30000}"/>
    <cellStyle name="Título 4 3" xfId="3305" xr:uid="{00000000-0005-0000-0000-00009EE30000}"/>
    <cellStyle name="Título 4 4" xfId="3306" xr:uid="{00000000-0005-0000-0000-00009FE30000}"/>
    <cellStyle name="Título 4 5" xfId="3307" xr:uid="{00000000-0005-0000-0000-0000A0E30000}"/>
    <cellStyle name="Título 40" xfId="3308" xr:uid="{00000000-0005-0000-0000-0000A1E30000}"/>
    <cellStyle name="Título 41" xfId="3309" xr:uid="{00000000-0005-0000-0000-0000A2E30000}"/>
    <cellStyle name="Título 42" xfId="3310" xr:uid="{00000000-0005-0000-0000-0000A3E30000}"/>
    <cellStyle name="Título 43" xfId="3311" xr:uid="{00000000-0005-0000-0000-0000A4E30000}"/>
    <cellStyle name="Título 44" xfId="3312" xr:uid="{00000000-0005-0000-0000-0000A5E30000}"/>
    <cellStyle name="Título 45" xfId="3313" xr:uid="{00000000-0005-0000-0000-0000A6E30000}"/>
    <cellStyle name="Título 46" xfId="3314" xr:uid="{00000000-0005-0000-0000-0000A7E30000}"/>
    <cellStyle name="Título 47" xfId="3315" xr:uid="{00000000-0005-0000-0000-0000A8E30000}"/>
    <cellStyle name="Título 48" xfId="3316" xr:uid="{00000000-0005-0000-0000-0000A9E30000}"/>
    <cellStyle name="Título 49" xfId="3317" xr:uid="{00000000-0005-0000-0000-0000AAE30000}"/>
    <cellStyle name="Título 5" xfId="3318" xr:uid="{00000000-0005-0000-0000-0000ABE30000}"/>
    <cellStyle name="Título 50" xfId="3319" xr:uid="{00000000-0005-0000-0000-0000ACE30000}"/>
    <cellStyle name="Título 51" xfId="3320" xr:uid="{00000000-0005-0000-0000-0000ADE30000}"/>
    <cellStyle name="Título 52" xfId="3321" xr:uid="{00000000-0005-0000-0000-0000AEE30000}"/>
    <cellStyle name="Título 53" xfId="3322" xr:uid="{00000000-0005-0000-0000-0000AFE30000}"/>
    <cellStyle name="Título 54" xfId="3323" xr:uid="{00000000-0005-0000-0000-0000B0E30000}"/>
    <cellStyle name="Título 55" xfId="3324" xr:uid="{00000000-0005-0000-0000-0000B1E30000}"/>
    <cellStyle name="Título 56" xfId="3325" xr:uid="{00000000-0005-0000-0000-0000B2E30000}"/>
    <cellStyle name="Título 57" xfId="3326" xr:uid="{00000000-0005-0000-0000-0000B3E30000}"/>
    <cellStyle name="Título 58" xfId="3327" xr:uid="{00000000-0005-0000-0000-0000B4E30000}"/>
    <cellStyle name="Título 59" xfId="3328" xr:uid="{00000000-0005-0000-0000-0000B5E30000}"/>
    <cellStyle name="Título 6" xfId="3329" xr:uid="{00000000-0005-0000-0000-0000B6E30000}"/>
    <cellStyle name="Título 60" xfId="3330" xr:uid="{00000000-0005-0000-0000-0000B7E30000}"/>
    <cellStyle name="Título 61" xfId="3331" xr:uid="{00000000-0005-0000-0000-0000B8E30000}"/>
    <cellStyle name="Título 62" xfId="3332" xr:uid="{00000000-0005-0000-0000-0000B9E30000}"/>
    <cellStyle name="Título 63" xfId="3333" xr:uid="{00000000-0005-0000-0000-0000BAE30000}"/>
    <cellStyle name="Título 64" xfId="3334" xr:uid="{00000000-0005-0000-0000-0000BBE30000}"/>
    <cellStyle name="Título 65" xfId="3335" xr:uid="{00000000-0005-0000-0000-0000BCE30000}"/>
    <cellStyle name="Título 66" xfId="3336" xr:uid="{00000000-0005-0000-0000-0000BDE30000}"/>
    <cellStyle name="Título 67" xfId="3337" xr:uid="{00000000-0005-0000-0000-0000BEE30000}"/>
    <cellStyle name="Título 68" xfId="3338" xr:uid="{00000000-0005-0000-0000-0000BFE30000}"/>
    <cellStyle name="Título 69" xfId="3339" xr:uid="{00000000-0005-0000-0000-0000C0E30000}"/>
    <cellStyle name="Título 7" xfId="3340" xr:uid="{00000000-0005-0000-0000-0000C1E30000}"/>
    <cellStyle name="Título 8" xfId="3341" xr:uid="{00000000-0005-0000-0000-0000C2E30000}"/>
    <cellStyle name="Título 9" xfId="3342" xr:uid="{00000000-0005-0000-0000-0000C3E30000}"/>
    <cellStyle name="Total 10" xfId="3343" xr:uid="{00000000-0005-0000-0000-0000C4E30000}"/>
    <cellStyle name="Total 11" xfId="3344" xr:uid="{00000000-0005-0000-0000-0000C5E30000}"/>
    <cellStyle name="Total 12" xfId="3345" xr:uid="{00000000-0005-0000-0000-0000C6E30000}"/>
    <cellStyle name="Total 13" xfId="3346" xr:uid="{00000000-0005-0000-0000-0000C7E30000}"/>
    <cellStyle name="Total 14" xfId="3347" xr:uid="{00000000-0005-0000-0000-0000C8E30000}"/>
    <cellStyle name="Total 15" xfId="3348" xr:uid="{00000000-0005-0000-0000-0000C9E30000}"/>
    <cellStyle name="Total 16" xfId="3349" xr:uid="{00000000-0005-0000-0000-0000CAE30000}"/>
    <cellStyle name="Total 17" xfId="3350" xr:uid="{00000000-0005-0000-0000-0000CBE30000}"/>
    <cellStyle name="Total 18" xfId="3351" xr:uid="{00000000-0005-0000-0000-0000CCE30000}"/>
    <cellStyle name="Total 19" xfId="3352" xr:uid="{00000000-0005-0000-0000-0000CDE30000}"/>
    <cellStyle name="Total 2" xfId="164" xr:uid="{00000000-0005-0000-0000-0000CEE30000}"/>
    <cellStyle name="Total 2 2" xfId="3353" xr:uid="{00000000-0005-0000-0000-0000CFE30000}"/>
    <cellStyle name="Total 2 2 2" xfId="7299" xr:uid="{00000000-0005-0000-0000-0000D0E30000}"/>
    <cellStyle name="Total 2 3" xfId="3354" xr:uid="{00000000-0005-0000-0000-0000D1E30000}"/>
    <cellStyle name="Total 2 4" xfId="3355" xr:uid="{00000000-0005-0000-0000-0000D2E30000}"/>
    <cellStyle name="Total 2 5" xfId="3356" xr:uid="{00000000-0005-0000-0000-0000D3E30000}"/>
    <cellStyle name="Total 20" xfId="3357" xr:uid="{00000000-0005-0000-0000-0000D4E30000}"/>
    <cellStyle name="Total 21" xfId="3358" xr:uid="{00000000-0005-0000-0000-0000D5E30000}"/>
    <cellStyle name="Total 22" xfId="3359" xr:uid="{00000000-0005-0000-0000-0000D6E30000}"/>
    <cellStyle name="Total 23" xfId="3360" xr:uid="{00000000-0005-0000-0000-0000D7E30000}"/>
    <cellStyle name="Total 24" xfId="3361" xr:uid="{00000000-0005-0000-0000-0000D8E30000}"/>
    <cellStyle name="Total 25" xfId="3362" xr:uid="{00000000-0005-0000-0000-0000D9E30000}"/>
    <cellStyle name="Total 26" xfId="3363" xr:uid="{00000000-0005-0000-0000-0000DAE30000}"/>
    <cellStyle name="Total 27" xfId="3364" xr:uid="{00000000-0005-0000-0000-0000DBE30000}"/>
    <cellStyle name="Total 28" xfId="3365" xr:uid="{00000000-0005-0000-0000-0000DCE30000}"/>
    <cellStyle name="Total 29" xfId="3366" xr:uid="{00000000-0005-0000-0000-0000DDE30000}"/>
    <cellStyle name="Total 3" xfId="165" xr:uid="{00000000-0005-0000-0000-0000DEE30000}"/>
    <cellStyle name="Total 30" xfId="3367" xr:uid="{00000000-0005-0000-0000-0000DFE30000}"/>
    <cellStyle name="Total 31" xfId="3368" xr:uid="{00000000-0005-0000-0000-0000E0E30000}"/>
    <cellStyle name="Total 32" xfId="3369" xr:uid="{00000000-0005-0000-0000-0000E1E30000}"/>
    <cellStyle name="Total 33" xfId="3370" xr:uid="{00000000-0005-0000-0000-0000E2E30000}"/>
    <cellStyle name="Total 34" xfId="3371" xr:uid="{00000000-0005-0000-0000-0000E3E30000}"/>
    <cellStyle name="Total 35" xfId="3372" xr:uid="{00000000-0005-0000-0000-0000E4E30000}"/>
    <cellStyle name="Total 36" xfId="3373" xr:uid="{00000000-0005-0000-0000-0000E5E30000}"/>
    <cellStyle name="Total 37" xfId="3374" xr:uid="{00000000-0005-0000-0000-0000E6E30000}"/>
    <cellStyle name="Total 38" xfId="3375" xr:uid="{00000000-0005-0000-0000-0000E7E30000}"/>
    <cellStyle name="Total 39" xfId="3376" xr:uid="{00000000-0005-0000-0000-0000E8E30000}"/>
    <cellStyle name="Total 4" xfId="3377" xr:uid="{00000000-0005-0000-0000-0000E9E30000}"/>
    <cellStyle name="Total 40" xfId="3378" xr:uid="{00000000-0005-0000-0000-0000EAE30000}"/>
    <cellStyle name="Total 41" xfId="3379" xr:uid="{00000000-0005-0000-0000-0000EBE30000}"/>
    <cellStyle name="Total 42" xfId="3380" xr:uid="{00000000-0005-0000-0000-0000ECE30000}"/>
    <cellStyle name="Total 43" xfId="3381" xr:uid="{00000000-0005-0000-0000-0000EDE30000}"/>
    <cellStyle name="Total 44" xfId="3382" xr:uid="{00000000-0005-0000-0000-0000EEE30000}"/>
    <cellStyle name="Total 45" xfId="3383" xr:uid="{00000000-0005-0000-0000-0000EFE30000}"/>
    <cellStyle name="Total 46" xfId="3384" xr:uid="{00000000-0005-0000-0000-0000F0E30000}"/>
    <cellStyle name="Total 47" xfId="3385" xr:uid="{00000000-0005-0000-0000-0000F1E30000}"/>
    <cellStyle name="Total 48" xfId="3386" xr:uid="{00000000-0005-0000-0000-0000F2E30000}"/>
    <cellStyle name="Total 49" xfId="3387" xr:uid="{00000000-0005-0000-0000-0000F3E30000}"/>
    <cellStyle name="Total 5" xfId="3388" xr:uid="{00000000-0005-0000-0000-0000F4E30000}"/>
    <cellStyle name="Total 50" xfId="3389" xr:uid="{00000000-0005-0000-0000-0000F5E30000}"/>
    <cellStyle name="Total 51" xfId="3390" xr:uid="{00000000-0005-0000-0000-0000F6E30000}"/>
    <cellStyle name="Total 52" xfId="3391" xr:uid="{00000000-0005-0000-0000-0000F7E30000}"/>
    <cellStyle name="Total 53" xfId="3392" xr:uid="{00000000-0005-0000-0000-0000F8E30000}"/>
    <cellStyle name="Total 54" xfId="3393" xr:uid="{00000000-0005-0000-0000-0000F9E30000}"/>
    <cellStyle name="Total 55" xfId="3394" xr:uid="{00000000-0005-0000-0000-0000FAE30000}"/>
    <cellStyle name="Total 56" xfId="3395" xr:uid="{00000000-0005-0000-0000-0000FBE30000}"/>
    <cellStyle name="Total 57" xfId="3396" xr:uid="{00000000-0005-0000-0000-0000FCE30000}"/>
    <cellStyle name="Total 58" xfId="3397" xr:uid="{00000000-0005-0000-0000-0000FDE30000}"/>
    <cellStyle name="Total 59" xfId="3398" xr:uid="{00000000-0005-0000-0000-0000FEE30000}"/>
    <cellStyle name="Total 6" xfId="3399" xr:uid="{00000000-0005-0000-0000-0000FFE30000}"/>
    <cellStyle name="Total 60" xfId="3400" xr:uid="{00000000-0005-0000-0000-000000E40000}"/>
    <cellStyle name="Total 61" xfId="3401" xr:uid="{00000000-0005-0000-0000-000001E40000}"/>
    <cellStyle name="Total 62" xfId="3402" xr:uid="{00000000-0005-0000-0000-000002E40000}"/>
    <cellStyle name="Total 63" xfId="3403" xr:uid="{00000000-0005-0000-0000-000003E40000}"/>
    <cellStyle name="Total 64" xfId="3404" xr:uid="{00000000-0005-0000-0000-000004E40000}"/>
    <cellStyle name="Total 65" xfId="3405" xr:uid="{00000000-0005-0000-0000-000005E40000}"/>
    <cellStyle name="Total 66" xfId="3406" xr:uid="{00000000-0005-0000-0000-000006E40000}"/>
    <cellStyle name="Total 67" xfId="3407" xr:uid="{00000000-0005-0000-0000-000007E40000}"/>
    <cellStyle name="Total 68" xfId="7450" xr:uid="{00000000-0005-0000-0000-000008E40000}"/>
    <cellStyle name="Total 69" xfId="10850" xr:uid="{00000000-0005-0000-0000-000009E40000}"/>
    <cellStyle name="Total 7" xfId="3408" xr:uid="{00000000-0005-0000-0000-00000AE40000}"/>
    <cellStyle name="Total 70" xfId="17634" xr:uid="{00000000-0005-0000-0000-00000BE40000}"/>
    <cellStyle name="Total 71" xfId="17639" xr:uid="{00000000-0005-0000-0000-00000CE40000}"/>
    <cellStyle name="Total 72" xfId="31208" xr:uid="{00000000-0005-0000-0000-00000DE40000}"/>
    <cellStyle name="Total 73" xfId="67" xr:uid="{00000000-0005-0000-0000-00000EE40000}"/>
    <cellStyle name="Total 8" xfId="3409" xr:uid="{00000000-0005-0000-0000-00000FE40000}"/>
    <cellStyle name="Total 9" xfId="3410" xr:uid="{00000000-0005-0000-0000-000010E40000}"/>
    <cellStyle name="Warning Text" xfId="7444" xr:uid="{00000000-0005-0000-0000-000011E40000}"/>
    <cellStyle name="常规_BQ" xfId="7287" xr:uid="{00000000-0005-0000-0000-000012E40000}"/>
  </cellStyles>
  <dxfs count="65">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ndense val="0"/>
        <extend val="0"/>
        <color indexed="9"/>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1" defaultTableStyle="TableStyleMedium2" defaultPivotStyle="PivotStyleLight16">
    <tableStyle name="Invisible" pivot="0" table="0" count="0" xr9:uid="{6B940044-A155-4F7B-8F51-726BF23188BB}"/>
  </tableStyles>
  <colors>
    <mruColors>
      <color rgb="FF0000CC"/>
      <color rgb="FF0066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104775</xdr:colOff>
      <xdr:row>2</xdr:row>
      <xdr:rowOff>171450</xdr:rowOff>
    </xdr:from>
    <xdr:to>
      <xdr:col>14</xdr:col>
      <xdr:colOff>55956</xdr:colOff>
      <xdr:row>7</xdr:row>
      <xdr:rowOff>115699</xdr:rowOff>
    </xdr:to>
    <xdr:pic>
      <xdr:nvPicPr>
        <xdr:cNvPr id="2" name="Imagen 1">
          <a:extLst>
            <a:ext uri="{FF2B5EF4-FFF2-40B4-BE49-F238E27FC236}">
              <a16:creationId xmlns:a16="http://schemas.microsoft.com/office/drawing/2014/main" id="{A1187DE6-017A-4174-AC0B-67683A672CEE}"/>
            </a:ext>
          </a:extLst>
        </xdr:cNvPr>
        <xdr:cNvPicPr>
          <a:picLocks noChangeAspect="1"/>
        </xdr:cNvPicPr>
      </xdr:nvPicPr>
      <xdr:blipFill rotWithShape="1">
        <a:blip xmlns:r="http://schemas.openxmlformats.org/officeDocument/2006/relationships" r:embed="rId1"/>
        <a:srcRect t="13957" b="26055"/>
        <a:stretch/>
      </xdr:blipFill>
      <xdr:spPr>
        <a:xfrm>
          <a:off x="13239750" y="533400"/>
          <a:ext cx="2494356" cy="8491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352839</xdr:colOff>
      <xdr:row>0</xdr:row>
      <xdr:rowOff>0</xdr:rowOff>
    </xdr:from>
    <xdr:to>
      <xdr:col>6</xdr:col>
      <xdr:colOff>19050</xdr:colOff>
      <xdr:row>4</xdr:row>
      <xdr:rowOff>15240</xdr:rowOff>
    </xdr:to>
    <xdr:pic>
      <xdr:nvPicPr>
        <xdr:cNvPr id="2" name="Imagen 1">
          <a:extLst>
            <a:ext uri="{FF2B5EF4-FFF2-40B4-BE49-F238E27FC236}">
              <a16:creationId xmlns:a16="http://schemas.microsoft.com/office/drawing/2014/main" id="{F2546496-6860-4370-9B40-E22497394881}"/>
            </a:ext>
          </a:extLst>
        </xdr:cNvPr>
        <xdr:cNvPicPr>
          <a:picLocks noChangeAspect="1"/>
        </xdr:cNvPicPr>
      </xdr:nvPicPr>
      <xdr:blipFill>
        <a:blip xmlns:r="http://schemas.openxmlformats.org/officeDocument/2006/relationships" r:embed="rId1"/>
        <a:stretch>
          <a:fillRect/>
        </a:stretch>
      </xdr:blipFill>
      <xdr:spPr>
        <a:xfrm>
          <a:off x="7515639" y="0"/>
          <a:ext cx="1254981" cy="5257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419515</xdr:colOff>
      <xdr:row>0</xdr:row>
      <xdr:rowOff>1</xdr:rowOff>
    </xdr:from>
    <xdr:to>
      <xdr:col>5</xdr:col>
      <xdr:colOff>687706</xdr:colOff>
      <xdr:row>3</xdr:row>
      <xdr:rowOff>152401</xdr:rowOff>
    </xdr:to>
    <xdr:pic>
      <xdr:nvPicPr>
        <xdr:cNvPr id="2" name="Imagen 1">
          <a:extLst>
            <a:ext uri="{FF2B5EF4-FFF2-40B4-BE49-F238E27FC236}">
              <a16:creationId xmlns:a16="http://schemas.microsoft.com/office/drawing/2014/main" id="{5E25C449-0106-42F5-8BF0-6FC73C11B60A}"/>
            </a:ext>
          </a:extLst>
        </xdr:cNvPr>
        <xdr:cNvPicPr>
          <a:picLocks noChangeAspect="1"/>
        </xdr:cNvPicPr>
      </xdr:nvPicPr>
      <xdr:blipFill>
        <a:blip xmlns:r="http://schemas.openxmlformats.org/officeDocument/2006/relationships" r:embed="rId1"/>
        <a:stretch>
          <a:fillRect/>
        </a:stretch>
      </xdr:blipFill>
      <xdr:spPr>
        <a:xfrm>
          <a:off x="6020215" y="1"/>
          <a:ext cx="1121631" cy="7010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68580</xdr:colOff>
      <xdr:row>0</xdr:row>
      <xdr:rowOff>45720</xdr:rowOff>
    </xdr:from>
    <xdr:to>
      <xdr:col>6</xdr:col>
      <xdr:colOff>523461</xdr:colOff>
      <xdr:row>4</xdr:row>
      <xdr:rowOff>99060</xdr:rowOff>
    </xdr:to>
    <xdr:pic>
      <xdr:nvPicPr>
        <xdr:cNvPr id="2" name="Imagen 1">
          <a:extLst>
            <a:ext uri="{FF2B5EF4-FFF2-40B4-BE49-F238E27FC236}">
              <a16:creationId xmlns:a16="http://schemas.microsoft.com/office/drawing/2014/main" id="{9875EBDD-C1A3-413D-882E-19D84C843352}"/>
            </a:ext>
          </a:extLst>
        </xdr:cNvPr>
        <xdr:cNvPicPr>
          <a:picLocks noChangeAspect="1"/>
        </xdr:cNvPicPr>
      </xdr:nvPicPr>
      <xdr:blipFill>
        <a:blip xmlns:r="http://schemas.openxmlformats.org/officeDocument/2006/relationships" r:embed="rId1"/>
        <a:stretch>
          <a:fillRect/>
        </a:stretch>
      </xdr:blipFill>
      <xdr:spPr>
        <a:xfrm>
          <a:off x="9182100" y="45720"/>
          <a:ext cx="1247361" cy="571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314739</xdr:colOff>
      <xdr:row>0</xdr:row>
      <xdr:rowOff>160021</xdr:rowOff>
    </xdr:from>
    <xdr:to>
      <xdr:col>5</xdr:col>
      <xdr:colOff>773430</xdr:colOff>
      <xdr:row>4</xdr:row>
      <xdr:rowOff>129541</xdr:rowOff>
    </xdr:to>
    <xdr:pic>
      <xdr:nvPicPr>
        <xdr:cNvPr id="2" name="Imagen 1">
          <a:extLst>
            <a:ext uri="{FF2B5EF4-FFF2-40B4-BE49-F238E27FC236}">
              <a16:creationId xmlns:a16="http://schemas.microsoft.com/office/drawing/2014/main" id="{8C1EBFF8-4D54-47A8-94A3-20DD70C671F1}"/>
            </a:ext>
          </a:extLst>
        </xdr:cNvPr>
        <xdr:cNvPicPr>
          <a:picLocks noChangeAspect="1"/>
        </xdr:cNvPicPr>
      </xdr:nvPicPr>
      <xdr:blipFill>
        <a:blip xmlns:r="http://schemas.openxmlformats.org/officeDocument/2006/relationships" r:embed="rId1"/>
        <a:stretch>
          <a:fillRect/>
        </a:stretch>
      </xdr:blipFill>
      <xdr:spPr>
        <a:xfrm>
          <a:off x="7370859" y="160021"/>
          <a:ext cx="1251171" cy="7010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558579</xdr:colOff>
      <xdr:row>1</xdr:row>
      <xdr:rowOff>7621</xdr:rowOff>
    </xdr:from>
    <xdr:to>
      <xdr:col>6</xdr:col>
      <xdr:colOff>196215</xdr:colOff>
      <xdr:row>4</xdr:row>
      <xdr:rowOff>72391</xdr:rowOff>
    </xdr:to>
    <xdr:pic>
      <xdr:nvPicPr>
        <xdr:cNvPr id="2" name="Imagen 1">
          <a:extLst>
            <a:ext uri="{FF2B5EF4-FFF2-40B4-BE49-F238E27FC236}">
              <a16:creationId xmlns:a16="http://schemas.microsoft.com/office/drawing/2014/main" id="{209A475D-FE38-4115-9F0C-0627593F3D63}"/>
            </a:ext>
          </a:extLst>
        </xdr:cNvPr>
        <xdr:cNvPicPr>
          <a:picLocks noChangeAspect="1"/>
        </xdr:cNvPicPr>
      </xdr:nvPicPr>
      <xdr:blipFill>
        <a:blip xmlns:r="http://schemas.openxmlformats.org/officeDocument/2006/relationships" r:embed="rId1"/>
        <a:stretch>
          <a:fillRect/>
        </a:stretch>
      </xdr:blipFill>
      <xdr:spPr>
        <a:xfrm>
          <a:off x="6464079" y="190501"/>
          <a:ext cx="1222596" cy="61341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249977111117893"/>
    <pageSetUpPr fitToPage="1"/>
  </sheetPr>
  <dimension ref="A1:K73"/>
  <sheetViews>
    <sheetView tabSelected="1" topLeftCell="A3" zoomScale="85" zoomScaleNormal="85" workbookViewId="0">
      <pane xSplit="4" ySplit="7" topLeftCell="E43" activePane="bottomRight" state="frozen"/>
      <selection pane="topRight" activeCell="E3" sqref="E3"/>
      <selection pane="bottomLeft" activeCell="A10" sqref="A10"/>
      <selection pane="bottomRight" activeCell="I70" sqref="I70"/>
    </sheetView>
  </sheetViews>
  <sheetFormatPr defaultColWidth="11.42578125" defaultRowHeight="15"/>
  <cols>
    <col min="1" max="1" width="2" style="69" customWidth="1"/>
    <col min="2" max="2" width="9.7109375" style="69" customWidth="1"/>
    <col min="3" max="3" width="38.42578125" style="69" customWidth="1"/>
    <col min="4" max="4" width="37.7109375" style="69" customWidth="1"/>
    <col min="5" max="5" width="20.7109375" style="69" customWidth="1"/>
    <col min="6" max="6" width="17.42578125" style="69" customWidth="1"/>
    <col min="7" max="7" width="20.140625" style="69" customWidth="1"/>
    <col min="8" max="8" width="1.140625" style="69" customWidth="1"/>
    <col min="9" max="9" width="19.42578125" customWidth="1"/>
    <col min="10" max="10" width="18.5703125" customWidth="1"/>
    <col min="11" max="11" width="3.28515625" customWidth="1"/>
  </cols>
  <sheetData>
    <row r="1" spans="1:11" hidden="1"/>
    <row r="2" spans="1:11" ht="15.75" hidden="1">
      <c r="B2" s="572"/>
      <c r="C2" s="144"/>
      <c r="D2" s="144"/>
      <c r="E2" s="144"/>
      <c r="F2" s="144"/>
      <c r="G2" s="573"/>
      <c r="K2" s="739"/>
    </row>
    <row r="3" spans="1:11" ht="15.75">
      <c r="B3" s="766" t="str">
        <f>"PRESUPUESTO  |  "&amp;$C$5&amp;"  |  REV 0"&amp;$F$7</f>
        <v>PRESUPUESTO  |  GERMANIA  |  REV 09</v>
      </c>
      <c r="C3" s="767"/>
      <c r="D3" s="767"/>
      <c r="E3" s="767"/>
      <c r="F3" s="767"/>
      <c r="G3" s="768"/>
      <c r="H3" s="76"/>
    </row>
    <row r="4" spans="1:11">
      <c r="B4" s="107" t="s">
        <v>2</v>
      </c>
      <c r="C4" s="118" t="s">
        <v>3</v>
      </c>
      <c r="E4" s="106"/>
      <c r="F4" s="105"/>
      <c r="G4" s="71"/>
      <c r="J4" s="141"/>
      <c r="K4" s="141"/>
    </row>
    <row r="5" spans="1:11">
      <c r="B5" s="107" t="s">
        <v>4</v>
      </c>
      <c r="C5" s="118" t="s">
        <v>5</v>
      </c>
      <c r="E5" s="106" t="s">
        <v>0</v>
      </c>
      <c r="F5" s="105">
        <v>780</v>
      </c>
      <c r="G5" s="71"/>
      <c r="I5" s="553"/>
      <c r="J5" s="153"/>
    </row>
    <row r="6" spans="1:11">
      <c r="B6" s="107" t="s">
        <v>7</v>
      </c>
      <c r="C6" s="108" t="str">
        <f>$B$3</f>
        <v>PRESUPUESTO  |  GERMANIA  |  REV 09</v>
      </c>
      <c r="E6" s="106" t="s">
        <v>1</v>
      </c>
      <c r="F6" s="59">
        <v>3.35</v>
      </c>
      <c r="G6" s="71"/>
      <c r="J6" s="153"/>
    </row>
    <row r="7" spans="1:11">
      <c r="B7" s="107" t="s">
        <v>10</v>
      </c>
      <c r="C7" s="108" t="s">
        <v>11</v>
      </c>
      <c r="E7" s="106" t="s">
        <v>6</v>
      </c>
      <c r="F7" s="59">
        <v>9</v>
      </c>
      <c r="G7" s="71"/>
      <c r="J7" s="153"/>
      <c r="K7" s="141"/>
    </row>
    <row r="8" spans="1:11">
      <c r="B8" s="107" t="s">
        <v>12</v>
      </c>
      <c r="C8" s="108" t="s">
        <v>13</v>
      </c>
      <c r="D8" s="31"/>
      <c r="E8" s="70" t="s">
        <v>8</v>
      </c>
      <c r="F8" s="59">
        <v>30873.089999999993</v>
      </c>
      <c r="G8" s="104" t="s">
        <v>9</v>
      </c>
      <c r="J8" s="153"/>
    </row>
    <row r="9" spans="1:11" ht="15.75" thickBot="1">
      <c r="B9" s="107" t="s">
        <v>15</v>
      </c>
      <c r="C9" s="109">
        <v>46090</v>
      </c>
      <c r="E9" s="70" t="s">
        <v>14</v>
      </c>
      <c r="F9" s="59">
        <v>23</v>
      </c>
      <c r="G9" s="104" t="s">
        <v>16</v>
      </c>
      <c r="H9" s="77"/>
      <c r="J9" s="153"/>
    </row>
    <row r="10" spans="1:11" ht="20.45" customHeight="1" thickBot="1">
      <c r="B10" s="72"/>
      <c r="C10" s="73"/>
      <c r="D10" s="73"/>
      <c r="E10" s="73"/>
      <c r="F10" s="74"/>
      <c r="G10" s="75"/>
      <c r="I10" s="769" t="str">
        <f>C5</f>
        <v>GERMANIA</v>
      </c>
      <c r="J10" s="770"/>
      <c r="K10" s="737"/>
    </row>
    <row r="11" spans="1:11" ht="26.25" thickBot="1">
      <c r="A11" s="60"/>
      <c r="B11" s="61" t="s">
        <v>20</v>
      </c>
      <c r="C11" s="771" t="s">
        <v>21</v>
      </c>
      <c r="D11" s="772"/>
      <c r="E11" s="360" t="s">
        <v>22</v>
      </c>
      <c r="F11" s="360" t="s">
        <v>23</v>
      </c>
      <c r="G11" s="574" t="s">
        <v>17</v>
      </c>
      <c r="H11" s="78"/>
      <c r="I11" s="246" t="s">
        <v>18</v>
      </c>
      <c r="J11" s="247" t="s">
        <v>19</v>
      </c>
      <c r="K11" s="740"/>
    </row>
    <row r="12" spans="1:11">
      <c r="A12" s="58"/>
      <c r="B12" s="575"/>
      <c r="C12" s="575"/>
      <c r="D12" s="576"/>
      <c r="E12" s="62"/>
      <c r="F12" s="63"/>
      <c r="G12" s="577"/>
      <c r="H12" s="79"/>
      <c r="I12" s="239"/>
      <c r="J12" s="551"/>
      <c r="K12" s="738"/>
    </row>
    <row r="13" spans="1:11">
      <c r="B13" s="503">
        <v>1</v>
      </c>
      <c r="C13" s="80" t="s">
        <v>24</v>
      </c>
      <c r="D13" s="71"/>
      <c r="E13" s="504">
        <f>+OP!H13*1</f>
        <v>3140623.8000000003</v>
      </c>
      <c r="F13" s="505">
        <f>+OP!I13*1</f>
        <v>11303.6</v>
      </c>
      <c r="G13" s="506">
        <f>+E13+F13*TC</f>
        <v>3178490.8600000003</v>
      </c>
      <c r="I13" s="243">
        <f t="shared" ref="I13:I25" si="0">+G13/$D$71</f>
        <v>102.95344133029772</v>
      </c>
      <c r="J13" s="244">
        <f t="shared" ref="J13:J24" si="1">I13/$F$6</f>
        <v>30.732370546357529</v>
      </c>
      <c r="K13" s="735"/>
    </row>
    <row r="14" spans="1:11">
      <c r="B14" s="503">
        <v>2</v>
      </c>
      <c r="C14" s="80" t="s">
        <v>25</v>
      </c>
      <c r="D14" s="71"/>
      <c r="E14" s="504">
        <f>+OP!H117</f>
        <v>1028225.63</v>
      </c>
      <c r="F14" s="505"/>
      <c r="G14" s="506">
        <f>+E14+F14*TC</f>
        <v>1028225.63</v>
      </c>
      <c r="I14" s="243">
        <f t="shared" si="0"/>
        <v>33.304914733186742</v>
      </c>
      <c r="J14" s="244">
        <f t="shared" si="1"/>
        <v>9.9417655919960417</v>
      </c>
      <c r="K14" s="735"/>
    </row>
    <row r="15" spans="1:11" ht="21.6" customHeight="1">
      <c r="B15" s="622"/>
      <c r="C15" s="623" t="s">
        <v>62</v>
      </c>
      <c r="D15" s="623"/>
      <c r="E15" s="624">
        <f>+OP!K133-OP!J125-OP!J30</f>
        <v>240929.59999999998</v>
      </c>
      <c r="F15" s="625"/>
      <c r="G15" s="626">
        <f t="shared" ref="G15" si="2">+E15+F15*TC</f>
        <v>240929.59999999998</v>
      </c>
      <c r="I15" s="326">
        <f t="shared" si="0"/>
        <v>7.8038706200124457</v>
      </c>
      <c r="J15" s="245">
        <f t="shared" si="1"/>
        <v>2.3295136179141629</v>
      </c>
    </row>
    <row r="16" spans="1:11" ht="16.149999999999999" customHeight="1">
      <c r="B16" s="503">
        <v>3</v>
      </c>
      <c r="C16" s="80" t="s">
        <v>26</v>
      </c>
      <c r="D16" s="71" t="s">
        <v>27</v>
      </c>
      <c r="E16" s="504">
        <f>+'Est Sotano '!K303</f>
        <v>5904035.9441072466</v>
      </c>
      <c r="F16" s="505">
        <f>+'Est Sotano '!L303</f>
        <v>555591.9110000002</v>
      </c>
      <c r="G16" s="506">
        <f t="shared" ref="G16:G37" si="3">+E16+F16*TC</f>
        <v>7765268.8459572475</v>
      </c>
      <c r="I16" s="243">
        <f t="shared" si="0"/>
        <v>251.52224302644308</v>
      </c>
      <c r="J16" s="244">
        <f t="shared" si="1"/>
        <v>75.08126657505764</v>
      </c>
      <c r="K16" s="735"/>
    </row>
    <row r="17" spans="2:11" ht="22.9" customHeight="1">
      <c r="B17" s="503">
        <v>4</v>
      </c>
      <c r="C17" s="80" t="s">
        <v>28</v>
      </c>
      <c r="D17" s="71"/>
      <c r="E17" s="504">
        <f>+'EST TORRE'!J157</f>
        <v>6713422.3699000031</v>
      </c>
      <c r="F17" s="505">
        <f>+'EST TORRE'!K157</f>
        <v>841442.11619999993</v>
      </c>
      <c r="G17" s="506">
        <f t="shared" si="3"/>
        <v>9532253.4591700025</v>
      </c>
      <c r="H17" s="83"/>
      <c r="I17" s="326">
        <f t="shared" si="0"/>
        <v>308.75605451770474</v>
      </c>
      <c r="J17" s="245">
        <f t="shared" si="1"/>
        <v>92.165986423195449</v>
      </c>
      <c r="K17" s="735"/>
    </row>
    <row r="18" spans="2:11">
      <c r="B18" s="503"/>
      <c r="C18" s="80" t="s">
        <v>29</v>
      </c>
      <c r="D18" s="71"/>
      <c r="E18" s="504">
        <f>200*(430.59+150)*1</f>
        <v>116117.99999999999</v>
      </c>
      <c r="F18" s="505"/>
      <c r="G18" s="506">
        <f t="shared" si="3"/>
        <v>116117.99999999999</v>
      </c>
      <c r="H18" s="83"/>
      <c r="I18" s="326">
        <f t="shared" si="0"/>
        <v>3.7611395555158236</v>
      </c>
      <c r="J18" s="245">
        <f t="shared" ref="J18:J19" si="4">I18/$F$6</f>
        <v>1.1227282255271114</v>
      </c>
      <c r="K18" s="735"/>
    </row>
    <row r="19" spans="2:11">
      <c r="B19" s="622"/>
      <c r="C19" s="623" t="s">
        <v>61</v>
      </c>
      <c r="D19" s="623"/>
      <c r="E19" s="624">
        <f>+'EST TORRE'!J171-E18</f>
        <v>151385.38399999996</v>
      </c>
      <c r="F19" s="625">
        <f>+'EST TORRE'!K171</f>
        <v>20323.612800000003</v>
      </c>
      <c r="G19" s="626">
        <f t="shared" si="3"/>
        <v>219469.48687999998</v>
      </c>
      <c r="I19" s="326">
        <f t="shared" si="0"/>
        <v>7.1087632264862384</v>
      </c>
      <c r="J19" s="245">
        <f t="shared" si="4"/>
        <v>2.1220188735779817</v>
      </c>
    </row>
    <row r="20" spans="2:11">
      <c r="B20" s="503">
        <v>5</v>
      </c>
      <c r="C20" s="80" t="s">
        <v>30</v>
      </c>
      <c r="D20" s="71"/>
      <c r="E20" s="504">
        <f>+'ARQ SOT'!I273</f>
        <v>1221097.8299999998</v>
      </c>
      <c r="F20" s="505">
        <f>+'ARQ SOT'!J273</f>
        <v>25709.83</v>
      </c>
      <c r="G20" s="506">
        <f t="shared" si="3"/>
        <v>1307225.7604999999</v>
      </c>
      <c r="I20" s="326">
        <f t="shared" si="0"/>
        <v>42.341915256943835</v>
      </c>
      <c r="J20" s="245">
        <f t="shared" si="1"/>
        <v>12.63937768863995</v>
      </c>
      <c r="K20" s="735"/>
    </row>
    <row r="21" spans="2:11" ht="16.149999999999999" customHeight="1">
      <c r="B21" s="503">
        <v>6</v>
      </c>
      <c r="C21" s="80" t="s">
        <v>31</v>
      </c>
      <c r="D21" s="71"/>
      <c r="E21" s="504">
        <f>+'ARQ TORRE'!H1158</f>
        <v>16503223.209999979</v>
      </c>
      <c r="F21" s="505">
        <f>+'ARQ TORRE'!I1158</f>
        <v>896699.08000000007</v>
      </c>
      <c r="G21" s="506">
        <f t="shared" si="3"/>
        <v>19507165.12799998</v>
      </c>
      <c r="H21" s="65"/>
      <c r="I21" s="326">
        <f t="shared" si="0"/>
        <v>631.8501040226289</v>
      </c>
      <c r="J21" s="245">
        <f t="shared" si="1"/>
        <v>188.61197135003846</v>
      </c>
      <c r="K21" s="735"/>
    </row>
    <row r="22" spans="2:11">
      <c r="B22" s="503">
        <f t="shared" ref="B22:B38" si="5">B21+1</f>
        <v>7</v>
      </c>
      <c r="C22" s="80" t="s">
        <v>32</v>
      </c>
      <c r="D22" s="71"/>
      <c r="E22" s="504">
        <f>+IIEE!G9</f>
        <v>2904701.3681999962</v>
      </c>
      <c r="F22" s="505">
        <f>+IIEE!H9</f>
        <v>492473.21149999998</v>
      </c>
      <c r="G22" s="506">
        <f t="shared" si="3"/>
        <v>4554486.6267249957</v>
      </c>
      <c r="H22" s="65"/>
      <c r="I22" s="326">
        <f t="shared" si="0"/>
        <v>147.52286300869127</v>
      </c>
      <c r="J22" s="245">
        <f t="shared" si="1"/>
        <v>44.036675524982471</v>
      </c>
      <c r="K22" s="735"/>
    </row>
    <row r="23" spans="2:11">
      <c r="B23" s="503">
        <f t="shared" si="5"/>
        <v>8</v>
      </c>
      <c r="C23" s="80" t="s">
        <v>33</v>
      </c>
      <c r="D23" s="71"/>
      <c r="E23" s="504">
        <f>+IISS!G9</f>
        <v>2015202.7975999995</v>
      </c>
      <c r="F23" s="505">
        <f>+IISS!H9</f>
        <v>54479.171499999989</v>
      </c>
      <c r="G23" s="506">
        <f t="shared" si="3"/>
        <v>2197708.0221249992</v>
      </c>
      <c r="H23" s="81"/>
      <c r="I23" s="326">
        <f t="shared" si="0"/>
        <v>71.185230313033117</v>
      </c>
      <c r="J23" s="245">
        <f t="shared" si="1"/>
        <v>21.249322481502421</v>
      </c>
      <c r="K23" s="735"/>
    </row>
    <row r="24" spans="2:11">
      <c r="B24" s="503">
        <f t="shared" si="5"/>
        <v>9</v>
      </c>
      <c r="C24" s="80" t="s">
        <v>34</v>
      </c>
      <c r="D24" s="71"/>
      <c r="E24" s="504"/>
      <c r="F24" s="505">
        <f>+'CTO BOMBAS - ACIySPC ACT'!I9</f>
        <v>50453.279999999999</v>
      </c>
      <c r="G24" s="506">
        <f t="shared" si="3"/>
        <v>169018.48800000001</v>
      </c>
      <c r="H24" s="65"/>
      <c r="I24" s="326">
        <f t="shared" si="0"/>
        <v>5.4746216850985778</v>
      </c>
      <c r="J24" s="245">
        <f t="shared" si="1"/>
        <v>1.6342154283876351</v>
      </c>
      <c r="K24" s="735"/>
    </row>
    <row r="25" spans="2:11">
      <c r="B25" s="503">
        <v>10</v>
      </c>
      <c r="C25" s="80" t="s">
        <v>35</v>
      </c>
      <c r="D25" s="71"/>
      <c r="E25" s="504">
        <f>+INSTALACIONES!I71</f>
        <v>72039.77</v>
      </c>
      <c r="F25" s="505"/>
      <c r="G25" s="506">
        <f t="shared" si="3"/>
        <v>72039.77</v>
      </c>
      <c r="H25" s="65"/>
      <c r="I25" s="326">
        <f t="shared" si="0"/>
        <v>2.3334162534427239</v>
      </c>
      <c r="J25" s="245">
        <f t="shared" ref="J25:J38" si="6">I25/$F$6</f>
        <v>0.69654216520678325</v>
      </c>
      <c r="K25" s="735"/>
    </row>
    <row r="26" spans="2:11">
      <c r="B26" s="503"/>
      <c r="C26" s="80"/>
      <c r="D26" s="71"/>
      <c r="E26" s="504"/>
      <c r="F26" s="505"/>
      <c r="G26" s="506"/>
      <c r="H26" s="65"/>
      <c r="I26" s="326"/>
      <c r="J26" s="245"/>
      <c r="K26" s="735"/>
    </row>
    <row r="27" spans="2:11">
      <c r="B27" s="503">
        <v>11</v>
      </c>
      <c r="C27" s="80" t="s">
        <v>37</v>
      </c>
      <c r="D27" s="71"/>
      <c r="E27" s="504"/>
      <c r="F27" s="505">
        <f>+'CTO BOMBAS - ACIySPC ACT'!H22</f>
        <v>481507.87</v>
      </c>
      <c r="G27" s="506">
        <f t="shared" si="3"/>
        <v>1613051.3645000001</v>
      </c>
      <c r="H27" s="65"/>
      <c r="I27" s="326">
        <f t="shared" ref="I27:I38" si="7">+G27/$D$71</f>
        <v>52.247810779549454</v>
      </c>
      <c r="J27" s="245">
        <f t="shared" si="6"/>
        <v>15.59636142673118</v>
      </c>
      <c r="K27" s="735"/>
    </row>
    <row r="28" spans="2:11">
      <c r="B28" s="503">
        <f t="shared" si="5"/>
        <v>12</v>
      </c>
      <c r="C28" s="80" t="s">
        <v>38</v>
      </c>
      <c r="D28" s="71"/>
      <c r="E28" s="504"/>
      <c r="F28" s="505">
        <f>+'CTO BOMBAS - ACIySPC ACT'!H18</f>
        <v>66343.8</v>
      </c>
      <c r="G28" s="506">
        <f t="shared" si="3"/>
        <v>222251.73</v>
      </c>
      <c r="H28" s="65"/>
      <c r="I28" s="326">
        <f t="shared" si="7"/>
        <v>7.1988819389312848</v>
      </c>
      <c r="J28" s="245">
        <f t="shared" si="6"/>
        <v>2.1489199817705327</v>
      </c>
      <c r="K28" s="735"/>
    </row>
    <row r="29" spans="2:11">
      <c r="B29" s="503">
        <f t="shared" si="5"/>
        <v>13</v>
      </c>
      <c r="C29" s="80" t="s">
        <v>39</v>
      </c>
      <c r="D29" s="71"/>
      <c r="E29" s="504"/>
      <c r="F29" s="505">
        <f>+IIMM!I9</f>
        <v>162567.42500000008</v>
      </c>
      <c r="G29" s="506">
        <f t="shared" si="3"/>
        <v>544600.87375000026</v>
      </c>
      <c r="H29" s="65"/>
      <c r="I29" s="326">
        <f t="shared" si="7"/>
        <v>17.639985947308819</v>
      </c>
      <c r="J29" s="245">
        <f t="shared" si="6"/>
        <v>5.2656674469578562</v>
      </c>
      <c r="K29" s="735"/>
    </row>
    <row r="30" spans="2:11">
      <c r="B30" s="503">
        <f t="shared" si="5"/>
        <v>14</v>
      </c>
      <c r="C30" s="80" t="s">
        <v>40</v>
      </c>
      <c r="D30" s="71"/>
      <c r="E30" s="504">
        <f>+INSTALACIONES!I69</f>
        <v>426957.93</v>
      </c>
      <c r="F30" s="505"/>
      <c r="G30" s="506">
        <f t="shared" si="3"/>
        <v>426957.93</v>
      </c>
      <c r="H30" s="65"/>
      <c r="I30" s="326">
        <f t="shared" si="7"/>
        <v>13.829452445479221</v>
      </c>
      <c r="J30" s="245">
        <f t="shared" si="6"/>
        <v>4.1281947598445434</v>
      </c>
      <c r="K30" s="735"/>
    </row>
    <row r="31" spans="2:11">
      <c r="B31" s="503">
        <f t="shared" si="5"/>
        <v>15</v>
      </c>
      <c r="C31" s="80" t="s">
        <v>41</v>
      </c>
      <c r="D31" s="71"/>
      <c r="E31" s="504"/>
      <c r="F31" s="505">
        <f>+INSTALACIONES!I43</f>
        <v>84553.579999999987</v>
      </c>
      <c r="G31" s="506">
        <f t="shared" si="3"/>
        <v>283254.49299999996</v>
      </c>
      <c r="H31" s="65"/>
      <c r="I31" s="326">
        <f t="shared" si="7"/>
        <v>9.1748021658991714</v>
      </c>
      <c r="J31" s="245">
        <f t="shared" si="6"/>
        <v>2.7387469151937824</v>
      </c>
      <c r="K31" s="735"/>
    </row>
    <row r="32" spans="2:11">
      <c r="B32" s="503">
        <f t="shared" si="5"/>
        <v>16</v>
      </c>
      <c r="C32" s="80" t="s">
        <v>42</v>
      </c>
      <c r="D32" s="71"/>
      <c r="E32" s="504"/>
      <c r="F32" s="505">
        <f>+INSTALACIONES!I75</f>
        <v>8827</v>
      </c>
      <c r="G32" s="506">
        <f t="shared" si="3"/>
        <v>29570.45</v>
      </c>
      <c r="H32" s="65"/>
      <c r="I32" s="326">
        <f t="shared" si="7"/>
        <v>0.95780662058770305</v>
      </c>
      <c r="J32" s="245">
        <f t="shared" si="6"/>
        <v>0.28591242405603073</v>
      </c>
      <c r="K32" s="735"/>
    </row>
    <row r="33" spans="2:11">
      <c r="B33" s="503">
        <f t="shared" si="5"/>
        <v>17</v>
      </c>
      <c r="C33" s="80" t="s">
        <v>43</v>
      </c>
      <c r="D33" s="71"/>
      <c r="E33" s="504">
        <f>+INSTALACIONES!I9</f>
        <v>90543.89</v>
      </c>
      <c r="F33" s="505"/>
      <c r="G33" s="506">
        <f t="shared" si="3"/>
        <v>90543.89</v>
      </c>
      <c r="H33" s="65"/>
      <c r="I33" s="326">
        <f t="shared" si="7"/>
        <v>2.9327770560057327</v>
      </c>
      <c r="J33" s="245">
        <f t="shared" si="6"/>
        <v>0.87545583761365153</v>
      </c>
      <c r="K33" s="735"/>
    </row>
    <row r="34" spans="2:11">
      <c r="B34" s="503">
        <f t="shared" si="5"/>
        <v>18</v>
      </c>
      <c r="C34" s="80" t="s">
        <v>44</v>
      </c>
      <c r="D34" s="71"/>
      <c r="E34" s="504"/>
      <c r="F34" s="505">
        <f>+IIMM!I131</f>
        <v>21663.56</v>
      </c>
      <c r="G34" s="506">
        <f t="shared" si="3"/>
        <v>72572.926000000007</v>
      </c>
      <c r="H34" s="65"/>
      <c r="I34" s="326">
        <f t="shared" si="7"/>
        <v>2.3506855322871805</v>
      </c>
      <c r="J34" s="245">
        <f t="shared" si="6"/>
        <v>0.70169717381706875</v>
      </c>
      <c r="K34" s="735"/>
    </row>
    <row r="35" spans="2:11">
      <c r="B35" s="503">
        <f t="shared" si="5"/>
        <v>19</v>
      </c>
      <c r="C35" s="80" t="s">
        <v>45</v>
      </c>
      <c r="D35" s="71"/>
      <c r="E35" s="504">
        <f>+'OBRA CIVIL ASCENSOR'!G3</f>
        <v>96048.425000000003</v>
      </c>
      <c r="F35" s="505">
        <f>+IIMM!I135</f>
        <v>300590.70999999996</v>
      </c>
      <c r="G35" s="506">
        <f t="shared" si="3"/>
        <v>1103027.3034999999</v>
      </c>
      <c r="H35" s="65"/>
      <c r="I35" s="326">
        <f t="shared" si="7"/>
        <v>35.727790885201323</v>
      </c>
      <c r="J35" s="245">
        <f t="shared" si="6"/>
        <v>10.665012204537708</v>
      </c>
      <c r="K35" s="735"/>
    </row>
    <row r="36" spans="2:11">
      <c r="B36" s="503">
        <f t="shared" si="5"/>
        <v>20</v>
      </c>
      <c r="C36" s="80" t="s">
        <v>46</v>
      </c>
      <c r="D36" s="71"/>
      <c r="E36" s="504">
        <v>18500</v>
      </c>
      <c r="F36" s="505"/>
      <c r="G36" s="506">
        <f t="shared" si="3"/>
        <v>18500</v>
      </c>
      <c r="H36" s="65"/>
      <c r="I36" s="326">
        <f t="shared" si="7"/>
        <v>0.59922735301195973</v>
      </c>
      <c r="J36" s="245">
        <f t="shared" si="6"/>
        <v>0.17887383671998797</v>
      </c>
      <c r="K36" s="735"/>
    </row>
    <row r="37" spans="2:11">
      <c r="B37" s="503">
        <f t="shared" si="5"/>
        <v>21</v>
      </c>
      <c r="C37" s="80" t="s">
        <v>47</v>
      </c>
      <c r="D37" s="71"/>
      <c r="E37" s="504"/>
      <c r="F37" s="505"/>
      <c r="G37" s="506">
        <f t="shared" si="3"/>
        <v>0</v>
      </c>
      <c r="H37" s="65"/>
      <c r="I37" s="326">
        <f t="shared" si="7"/>
        <v>0</v>
      </c>
      <c r="J37" s="245">
        <f t="shared" si="6"/>
        <v>0</v>
      </c>
      <c r="K37" s="735"/>
    </row>
    <row r="38" spans="2:11" ht="15.75" thickBot="1">
      <c r="B38" s="503">
        <f t="shared" si="5"/>
        <v>22</v>
      </c>
      <c r="C38" s="80" t="s">
        <v>48</v>
      </c>
      <c r="D38" s="71"/>
      <c r="E38" s="504"/>
      <c r="F38" s="505">
        <f>+INSTALACIONES!I73</f>
        <v>10563.38</v>
      </c>
      <c r="G38" s="506">
        <f t="shared" ref="G38" si="8">+E38+F38*TC</f>
        <v>35387.322999999997</v>
      </c>
      <c r="H38" s="65"/>
      <c r="I38" s="627">
        <f t="shared" si="7"/>
        <v>1.1462190211604995</v>
      </c>
      <c r="J38" s="327">
        <f t="shared" si="6"/>
        <v>0.34215493168970135</v>
      </c>
      <c r="K38" s="735"/>
    </row>
    <row r="39" spans="2:11" ht="15.75" thickBot="1">
      <c r="B39" s="578"/>
      <c r="C39" s="579" t="s">
        <v>49</v>
      </c>
      <c r="D39" s="580"/>
      <c r="E39" s="581">
        <f>SUM(E13:E38)</f>
        <v>40643055.948807225</v>
      </c>
      <c r="F39" s="582">
        <f>SUM(F12:F38)</f>
        <v>4085093.1380000007</v>
      </c>
      <c r="G39" s="514">
        <f>SUM(G13:G38)</f>
        <v>54328117.961107224</v>
      </c>
      <c r="H39" s="66"/>
      <c r="I39" s="241">
        <f>SUM(I13:I38)</f>
        <v>1759.7240172949071</v>
      </c>
      <c r="J39" s="242">
        <f>SUM(J13:J38)</f>
        <v>525.29075143131558</v>
      </c>
    </row>
    <row r="40" spans="2:11" ht="15.75" hidden="1" thickBot="1">
      <c r="B40" s="82"/>
      <c r="C40" s="80"/>
      <c r="D40" s="71"/>
      <c r="E40" s="64"/>
      <c r="F40" s="84"/>
      <c r="G40" s="85"/>
      <c r="H40" s="81"/>
      <c r="K40" s="200"/>
    </row>
    <row r="41" spans="2:11">
      <c r="B41" s="82"/>
      <c r="C41" s="80" t="s">
        <v>50</v>
      </c>
      <c r="D41" s="86">
        <f>+G41/G39</f>
        <v>7.3670319174239871E-2</v>
      </c>
      <c r="E41" s="64">
        <f>+GG!G86</f>
        <v>4002369.7903305227</v>
      </c>
      <c r="F41" s="84"/>
      <c r="G41" s="85">
        <f>+E41</f>
        <v>4002369.7903305227</v>
      </c>
      <c r="H41" s="81"/>
      <c r="I41" s="324">
        <f>+G41/D71</f>
        <v>129.63943001269143</v>
      </c>
      <c r="J41" s="325">
        <f>+I41/TC</f>
        <v>38.698337317221323</v>
      </c>
      <c r="K41" s="736"/>
    </row>
    <row r="42" spans="2:11" ht="21.6" customHeight="1">
      <c r="B42" s="622"/>
      <c r="C42" s="623" t="s">
        <v>2789</v>
      </c>
      <c r="D42" s="623"/>
      <c r="E42" s="624">
        <f>+GG!G89-GG!G72</f>
        <v>120954.24000000001</v>
      </c>
      <c r="F42" s="624"/>
      <c r="G42" s="626">
        <f>+E42+F42*TC</f>
        <v>120954.24000000001</v>
      </c>
      <c r="I42" s="326">
        <f>+G42/$D$71</f>
        <v>3.9177885984201786</v>
      </c>
      <c r="J42" s="245">
        <f>I42/$F$6</f>
        <v>1.1694891338567697</v>
      </c>
    </row>
    <row r="43" spans="2:11" ht="15.75" thickBot="1">
      <c r="B43" s="82"/>
      <c r="C43" s="80" t="s">
        <v>51</v>
      </c>
      <c r="D43" s="86">
        <v>5.3999999999999999E-2</v>
      </c>
      <c r="E43" s="64">
        <f>+E39*D43</f>
        <v>2194725.0212355903</v>
      </c>
      <c r="F43" s="84">
        <f>+F39*D43</f>
        <v>220595.02945200005</v>
      </c>
      <c r="G43" s="85">
        <f>+G39*D43</f>
        <v>2933718.3698997903</v>
      </c>
      <c r="H43" s="81"/>
      <c r="I43" s="114">
        <f>+G43/$D$71</f>
        <v>95.025096933925013</v>
      </c>
      <c r="J43" s="361">
        <f>+I43/TC</f>
        <v>28.365700577291047</v>
      </c>
      <c r="K43" s="736"/>
    </row>
    <row r="44" spans="2:11" ht="15.75" thickBot="1">
      <c r="B44" s="82"/>
      <c r="C44" s="80"/>
      <c r="D44" s="87"/>
      <c r="E44" s="64"/>
      <c r="F44" s="84"/>
      <c r="G44" s="85"/>
      <c r="H44" s="81"/>
      <c r="K44" s="200"/>
    </row>
    <row r="45" spans="2:11">
      <c r="B45" s="82"/>
      <c r="C45" s="88" t="s">
        <v>52</v>
      </c>
      <c r="D45" s="89"/>
      <c r="E45" s="90">
        <f t="shared" ref="E45:G45" si="9">SUM(E39:E43)</f>
        <v>46961105.000373341</v>
      </c>
      <c r="F45" s="91">
        <f t="shared" si="9"/>
        <v>4305688.167452001</v>
      </c>
      <c r="G45" s="140">
        <f t="shared" si="9"/>
        <v>61385160.361337535</v>
      </c>
      <c r="H45" s="66"/>
      <c r="I45" s="115">
        <f>SUM(I39:I43)</f>
        <v>1988.3063328399437</v>
      </c>
      <c r="J45" s="116">
        <f>SUM(J39:J43)</f>
        <v>593.52427845968475</v>
      </c>
      <c r="K45" s="741"/>
    </row>
    <row r="46" spans="2:11" ht="15.75" thickBot="1">
      <c r="B46" s="82"/>
      <c r="C46" s="80" t="s">
        <v>53</v>
      </c>
      <c r="D46" s="86">
        <v>0.18</v>
      </c>
      <c r="E46" s="64">
        <f>+E45*$D$46</f>
        <v>8452998.9000672009</v>
      </c>
      <c r="F46" s="84">
        <f>+F45*$D$46</f>
        <v>775023.87014136021</v>
      </c>
      <c r="G46" s="85">
        <f>+D46*G45</f>
        <v>11049328.865040757</v>
      </c>
      <c r="H46" s="67"/>
      <c r="I46" s="114">
        <f>+G46/$D$71</f>
        <v>357.89513991118997</v>
      </c>
      <c r="J46" s="361">
        <f>+I46/TC</f>
        <v>106.83437012274327</v>
      </c>
      <c r="K46" s="200"/>
    </row>
    <row r="47" spans="2:11" ht="15.75" hidden="1" thickBot="1">
      <c r="B47" s="82"/>
      <c r="C47" s="80"/>
      <c r="D47" s="71"/>
      <c r="E47" s="64"/>
      <c r="F47" s="84"/>
      <c r="G47" s="85"/>
      <c r="H47" s="81"/>
      <c r="K47" s="200"/>
    </row>
    <row r="48" spans="2:11" ht="15.75" thickBot="1">
      <c r="B48" s="82"/>
      <c r="C48" s="88" t="s">
        <v>54</v>
      </c>
      <c r="D48" s="92"/>
      <c r="E48" s="90">
        <f>SUM(E45:E46)</f>
        <v>55414103.900440544</v>
      </c>
      <c r="F48" s="91">
        <f>SUM(F45:F46)</f>
        <v>5080712.037593361</v>
      </c>
      <c r="G48" s="140">
        <f>SUM(G45:G46)</f>
        <v>72434489.226378292</v>
      </c>
      <c r="H48" s="66"/>
      <c r="I48" s="112">
        <f>SUM(I45:I46)</f>
        <v>2346.2014727511337</v>
      </c>
      <c r="J48" s="113">
        <f>+I48/TC</f>
        <v>700.35864858242792</v>
      </c>
    </row>
    <row r="49" spans="2:11">
      <c r="B49" s="93"/>
      <c r="C49" s="94"/>
      <c r="D49" s="75"/>
      <c r="E49" s="95"/>
      <c r="F49" s="96"/>
      <c r="G49" s="95"/>
      <c r="K49" s="742"/>
    </row>
    <row r="50" spans="2:11">
      <c r="B50" s="97"/>
      <c r="C50" s="97"/>
      <c r="D50" s="97"/>
      <c r="E50" s="97"/>
      <c r="F50" s="98"/>
      <c r="G50" s="415"/>
      <c r="H50" s="100"/>
      <c r="J50" s="141"/>
    </row>
    <row r="51" spans="2:11" ht="15.75" thickBot="1">
      <c r="B51" s="97"/>
      <c r="C51" s="97"/>
      <c r="D51" s="97"/>
      <c r="E51" s="97"/>
      <c r="F51" s="98"/>
      <c r="G51" s="99"/>
      <c r="H51" s="100"/>
    </row>
    <row r="52" spans="2:11" ht="15.75" thickBot="1">
      <c r="B52" s="773" t="s">
        <v>56</v>
      </c>
      <c r="C52" s="774"/>
      <c r="D52" s="774"/>
      <c r="E52" s="774"/>
      <c r="F52" s="774"/>
      <c r="G52" s="775"/>
      <c r="J52" s="141"/>
    </row>
    <row r="53" spans="2:11" ht="26.25" thickBot="1">
      <c r="B53" s="559" t="s">
        <v>20</v>
      </c>
      <c r="C53" s="2" t="s">
        <v>21</v>
      </c>
      <c r="D53" s="1"/>
      <c r="E53" s="560" t="s">
        <v>22</v>
      </c>
      <c r="F53" s="560" t="s">
        <v>23</v>
      </c>
      <c r="G53" s="561" t="s">
        <v>17</v>
      </c>
    </row>
    <row r="54" spans="2:11">
      <c r="B54" s="562"/>
      <c r="C54" s="563" t="s">
        <v>59</v>
      </c>
      <c r="D54" s="563"/>
      <c r="E54" s="564">
        <f>+OFICINAS!J75</f>
        <v>404495.62</v>
      </c>
      <c r="F54" s="565"/>
      <c r="G54" s="566">
        <f t="shared" ref="G54" si="10">+E54+F54*TC</f>
        <v>404495.62</v>
      </c>
      <c r="I54" s="548">
        <f>+G54/$D$71</f>
        <v>13.101883225812514</v>
      </c>
      <c r="J54" s="549">
        <f t="shared" ref="J54" si="11">I54/$F$6</f>
        <v>3.9110099181529892</v>
      </c>
    </row>
    <row r="55" spans="2:11" ht="15.75" thickBot="1">
      <c r="B55" s="567"/>
      <c r="C55" s="568" t="s">
        <v>63</v>
      </c>
      <c r="D55" s="568"/>
      <c r="E55" s="569">
        <f>+PAISAJISMO!F39*0+PAISAJISMO!F4*0</f>
        <v>0</v>
      </c>
      <c r="F55" s="570"/>
      <c r="G55" s="571">
        <f t="shared" ref="G55" si="12">+E55+F55*TC</f>
        <v>0</v>
      </c>
      <c r="H55" s="65"/>
      <c r="I55" s="326">
        <f>+G55/$D$71</f>
        <v>0</v>
      </c>
      <c r="J55" s="245">
        <f t="shared" ref="J55" si="13">I55/$F$6</f>
        <v>0</v>
      </c>
      <c r="K55" s="735"/>
    </row>
    <row r="56" spans="2:11" ht="15.75" thickBot="1">
      <c r="B56" s="562"/>
      <c r="C56" s="617" t="s">
        <v>49</v>
      </c>
      <c r="D56" s="618"/>
      <c r="E56" s="619">
        <f>SUM(E54)+E39</f>
        <v>41047551.568807222</v>
      </c>
      <c r="F56" s="620">
        <f>SUM(F55:F55)+F39</f>
        <v>4085093.1380000007</v>
      </c>
      <c r="G56" s="621">
        <f>SUM(G54)+G39</f>
        <v>54732613.581107222</v>
      </c>
      <c r="I56" s="241">
        <f>SUM(I54:I55)+I39</f>
        <v>1772.8259005207196</v>
      </c>
      <c r="J56" s="242">
        <f>SUM(J54:J55)+J39</f>
        <v>529.2017613494686</v>
      </c>
    </row>
    <row r="57" spans="2:11" ht="15.75" thickBot="1">
      <c r="B57" s="491"/>
      <c r="C57" s="88"/>
      <c r="D57" s="92"/>
      <c r="E57" s="90"/>
      <c r="F57" s="91"/>
      <c r="G57" s="492"/>
    </row>
    <row r="58" spans="2:11">
      <c r="B58" s="491"/>
      <c r="C58" s="80" t="s">
        <v>50</v>
      </c>
      <c r="D58" s="86">
        <f>+G58/G56</f>
        <v>7.5335778077183307E-2</v>
      </c>
      <c r="E58" s="64">
        <f>+E41+E42</f>
        <v>4123324.0303305229</v>
      </c>
      <c r="F58" s="91"/>
      <c r="G58" s="494">
        <f>+G41+G42</f>
        <v>4123324.0303305229</v>
      </c>
      <c r="I58" s="324">
        <f>+G58/D71</f>
        <v>133.55721861111161</v>
      </c>
      <c r="J58" s="325">
        <f>+I58/TC</f>
        <v>39.867826451078088</v>
      </c>
    </row>
    <row r="59" spans="2:11" ht="15.75" thickBot="1">
      <c r="B59" s="493"/>
      <c r="C59" s="80" t="s">
        <v>51</v>
      </c>
      <c r="D59" s="86">
        <v>5.3999999999999999E-2</v>
      </c>
      <c r="E59" s="64">
        <f>+E56*D59</f>
        <v>2216567.7847155901</v>
      </c>
      <c r="F59" s="84">
        <f>+F56*D59</f>
        <v>220595.02945200005</v>
      </c>
      <c r="G59" s="494">
        <f>+G56*D59</f>
        <v>2955561.13337979</v>
      </c>
      <c r="I59" s="114">
        <f>+G59/$D$71</f>
        <v>95.732598628118879</v>
      </c>
      <c r="J59" s="361">
        <f>+I59/TC</f>
        <v>28.576895112871306</v>
      </c>
    </row>
    <row r="60" spans="2:11" ht="15.75" thickBot="1">
      <c r="B60" s="493"/>
      <c r="C60" s="80"/>
      <c r="D60" s="87"/>
      <c r="E60" s="495"/>
      <c r="G60" s="496"/>
    </row>
    <row r="61" spans="2:11">
      <c r="B61" s="493"/>
      <c r="C61" s="88" t="s">
        <v>52</v>
      </c>
      <c r="D61" s="89"/>
      <c r="E61" s="90">
        <f>SUM(E56:E60)</f>
        <v>47387443.383853339</v>
      </c>
      <c r="F61" s="91">
        <f>SUM(F56:F59)</f>
        <v>4305688.167452001</v>
      </c>
      <c r="G61" s="492">
        <f>SUM(G56:G60)</f>
        <v>61811498.744817533</v>
      </c>
      <c r="I61" s="115">
        <f>SUM(I56:I59)</f>
        <v>2002.1157177599503</v>
      </c>
      <c r="J61" s="116">
        <f>SUM(J56:J59)</f>
        <v>597.64648291341803</v>
      </c>
    </row>
    <row r="62" spans="2:11" ht="15.75" thickBot="1">
      <c r="B62" s="493"/>
      <c r="C62" s="80" t="s">
        <v>53</v>
      </c>
      <c r="D62" s="86">
        <f>+D46</f>
        <v>0.18</v>
      </c>
      <c r="E62" s="64">
        <f>+E61*D62</f>
        <v>8529739.8090936001</v>
      </c>
      <c r="F62" s="84">
        <f>+F61*D62</f>
        <v>775023.87014136021</v>
      </c>
      <c r="G62" s="494">
        <f>+G61*D62</f>
        <v>11126069.774067156</v>
      </c>
      <c r="I62" s="114">
        <f>+G62/$D$71</f>
        <v>360.38082919679107</v>
      </c>
      <c r="J62" s="361">
        <f>+I62/TC</f>
        <v>107.57636692441524</v>
      </c>
    </row>
    <row r="63" spans="2:11" ht="15.75" thickBot="1">
      <c r="B63" s="493"/>
      <c r="C63" s="80"/>
      <c r="D63" s="71"/>
      <c r="G63" s="496"/>
    </row>
    <row r="64" spans="2:11" ht="15.75" thickBot="1">
      <c r="B64" s="497"/>
      <c r="C64" s="498" t="s">
        <v>54</v>
      </c>
      <c r="D64" s="499"/>
      <c r="E64" s="500">
        <f>SUM(E61:E63)</f>
        <v>55917183.192946941</v>
      </c>
      <c r="F64" s="501">
        <f>SUM(F61:F63)</f>
        <v>5080712.037593361</v>
      </c>
      <c r="G64" s="502">
        <f>SUM(G61:G63)</f>
        <v>72937568.518884689</v>
      </c>
      <c r="I64" s="112">
        <f>SUM(I61:I62)</f>
        <v>2362.4965469567414</v>
      </c>
      <c r="J64" s="113">
        <f>+I64/TC</f>
        <v>705.22284983783322</v>
      </c>
    </row>
    <row r="65" spans="3:10">
      <c r="E65" s="415"/>
    </row>
    <row r="66" spans="3:10">
      <c r="E66" s="415"/>
      <c r="G66" s="83"/>
      <c r="I66" s="744"/>
      <c r="J66" s="745"/>
    </row>
    <row r="67" spans="3:10">
      <c r="E67" s="415"/>
      <c r="G67" s="83"/>
      <c r="I67" s="746"/>
    </row>
    <row r="68" spans="3:10">
      <c r="E68" s="415"/>
      <c r="I68" s="747"/>
    </row>
    <row r="69" spans="3:10">
      <c r="C69" s="101" t="s">
        <v>55</v>
      </c>
      <c r="D69" s="102">
        <v>8383.7999999999993</v>
      </c>
      <c r="E69" s="111" t="s">
        <v>65</v>
      </c>
      <c r="F69" s="552"/>
      <c r="H69" s="743"/>
      <c r="I69" s="748"/>
    </row>
    <row r="70" spans="3:10">
      <c r="C70" s="101" t="s">
        <v>57</v>
      </c>
      <c r="D70" s="102">
        <v>22489.289999999994</v>
      </c>
      <c r="E70" s="111" t="s">
        <v>66</v>
      </c>
      <c r="F70" s="552"/>
      <c r="G70" s="83"/>
      <c r="H70" s="83"/>
      <c r="I70" s="141"/>
    </row>
    <row r="71" spans="3:10">
      <c r="C71" s="103" t="s">
        <v>58</v>
      </c>
      <c r="D71" s="550">
        <f>SUM(D69:D70)</f>
        <v>30873.089999999993</v>
      </c>
      <c r="E71" s="68"/>
      <c r="F71" s="83"/>
      <c r="G71" s="749"/>
      <c r="I71" s="750"/>
    </row>
    <row r="72" spans="3:10">
      <c r="C72" s="101" t="s">
        <v>60</v>
      </c>
      <c r="D72" s="102">
        <v>1317</v>
      </c>
      <c r="E72" s="102"/>
      <c r="G72" s="751"/>
      <c r="H72" s="83"/>
    </row>
    <row r="73" spans="3:10">
      <c r="C73" s="101" t="s">
        <v>64</v>
      </c>
      <c r="D73" s="102">
        <v>334</v>
      </c>
      <c r="E73" s="102"/>
      <c r="G73" s="751"/>
      <c r="H73" s="99"/>
    </row>
  </sheetData>
  <mergeCells count="5">
    <mergeCell ref="B3:G3"/>
    <mergeCell ref="C53:D53"/>
    <mergeCell ref="B52:G52"/>
    <mergeCell ref="C11:D11"/>
    <mergeCell ref="I10:J10"/>
  </mergeCells>
  <printOptions horizontalCentered="1"/>
  <pageMargins left="1.1023622047244095" right="0.19685039370078741" top="0.94488188976377963" bottom="0.74803149606299213" header="0.31496062992125984" footer="0.31496062992125984"/>
  <pageSetup paperSize="9" scale="3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35"/>
  <sheetViews>
    <sheetView topLeftCell="A126" zoomScale="89" zoomScaleNormal="89" workbookViewId="0">
      <selection activeCell="H151" sqref="H151"/>
    </sheetView>
  </sheetViews>
  <sheetFormatPr defaultColWidth="11.42578125" defaultRowHeight="15" outlineLevelRow="2"/>
  <cols>
    <col min="1" max="1" width="12.42578125" style="33" bestFit="1" customWidth="1"/>
    <col min="2" max="2" width="49.7109375" style="169" customWidth="1"/>
    <col min="3" max="3" width="7.5703125" style="38" customWidth="1"/>
    <col min="4" max="4" width="13.7109375" style="184" customWidth="1"/>
    <col min="5" max="5" width="16.28515625" style="34" customWidth="1"/>
    <col min="6" max="7" width="15.140625" style="34" customWidth="1"/>
    <col min="8" max="9" width="16.42578125" style="34" customWidth="1"/>
    <col min="10" max="10" width="18.140625" style="34" customWidth="1"/>
    <col min="11" max="11" width="21.140625" style="34" customWidth="1"/>
  </cols>
  <sheetData>
    <row r="1" spans="1:11" s="14" customFormat="1" ht="11.25">
      <c r="B1" s="46"/>
      <c r="C1" s="15"/>
      <c r="D1" s="179"/>
    </row>
    <row r="2" spans="1:11" s="14" customFormat="1" ht="15" customHeight="1">
      <c r="A2" s="776" t="s">
        <v>884</v>
      </c>
      <c r="B2" s="776"/>
      <c r="C2" s="776"/>
      <c r="D2" s="776"/>
      <c r="E2" s="776"/>
      <c r="F2" s="776"/>
      <c r="G2" s="776"/>
      <c r="H2" s="776"/>
      <c r="I2" s="776"/>
      <c r="J2" s="776"/>
      <c r="K2" s="776"/>
    </row>
    <row r="3" spans="1:11" s="14" customFormat="1" ht="11.25">
      <c r="B3" s="46"/>
      <c r="C3" s="15"/>
      <c r="D3" s="179"/>
      <c r="F3" s="681"/>
      <c r="G3" s="681"/>
      <c r="K3" s="682"/>
    </row>
    <row r="4" spans="1:11" s="14" customFormat="1" ht="12.75">
      <c r="A4" s="110" t="s">
        <v>7</v>
      </c>
      <c r="B4" s="163" t="str">
        <f>'RESUMEN ESCENARIO'!$C$5</f>
        <v>GERMANIA</v>
      </c>
      <c r="C4" s="15"/>
      <c r="D4" s="179"/>
      <c r="F4" s="681"/>
      <c r="G4" s="681"/>
      <c r="H4" s="681"/>
      <c r="K4" s="682"/>
    </row>
    <row r="5" spans="1:11" s="14" customFormat="1" ht="12.75">
      <c r="A5" s="110" t="s">
        <v>67</v>
      </c>
      <c r="B5" s="163" t="str">
        <f>$A$2</f>
        <v>OBRAS PROVISIONALES</v>
      </c>
      <c r="D5" s="179"/>
      <c r="F5" s="681"/>
      <c r="G5" s="681"/>
      <c r="H5" s="681"/>
      <c r="K5" s="30"/>
    </row>
    <row r="6" spans="1:11" s="14" customFormat="1" ht="12.75">
      <c r="A6" s="110" t="s">
        <v>10</v>
      </c>
      <c r="B6" s="164" t="str">
        <f>'RESUMEN ESCENARIO'!$C$7</f>
        <v>VYV INMOBILIARIA</v>
      </c>
      <c r="D6" s="179"/>
      <c r="F6" s="681"/>
      <c r="G6" s="681"/>
      <c r="H6" s="681"/>
      <c r="K6" s="30"/>
    </row>
    <row r="7" spans="1:11" s="14" customFormat="1" ht="12.75">
      <c r="A7" s="110" t="s">
        <v>12</v>
      </c>
      <c r="B7" s="164" t="str">
        <f>'RESUMEN ESCENARIO'!$C$8</f>
        <v>SURQUILLO</v>
      </c>
      <c r="D7" s="179"/>
      <c r="F7" s="681"/>
      <c r="G7" s="681"/>
      <c r="H7" s="681"/>
      <c r="K7" s="30"/>
    </row>
    <row r="8" spans="1:11" s="14" customFormat="1" ht="12.75">
      <c r="A8" s="47" t="s">
        <v>68</v>
      </c>
      <c r="B8" s="165">
        <f>'RESUMEN ESCENARIO'!$C$9</f>
        <v>46090</v>
      </c>
      <c r="D8" s="179"/>
      <c r="F8" s="681"/>
      <c r="G8" s="681"/>
      <c r="H8" s="681"/>
      <c r="K8" s="30"/>
    </row>
    <row r="9" spans="1:11" s="14" customFormat="1" ht="12.75">
      <c r="A9" s="47"/>
      <c r="B9" s="165"/>
      <c r="D9" s="179"/>
      <c r="F9" s="681"/>
      <c r="G9" s="681"/>
      <c r="H9" s="417"/>
      <c r="I9" s="683"/>
    </row>
    <row r="10" spans="1:11" s="14" customFormat="1" ht="12.75">
      <c r="B10" s="165"/>
      <c r="C10" s="15"/>
      <c r="D10" s="179"/>
      <c r="F10" s="681"/>
      <c r="H10" s="684"/>
    </row>
    <row r="11" spans="1:11" s="14" customFormat="1" ht="16.5" customHeight="1" thickBot="1">
      <c r="B11" s="46"/>
      <c r="C11" s="15"/>
      <c r="D11" s="179"/>
      <c r="E11" s="30"/>
    </row>
    <row r="12" spans="1:11" s="14" customFormat="1" ht="31.5" customHeight="1" thickTop="1" thickBot="1">
      <c r="A12" s="22" t="s">
        <v>20</v>
      </c>
      <c r="B12" s="49" t="s">
        <v>69</v>
      </c>
      <c r="C12" s="23" t="s">
        <v>70</v>
      </c>
      <c r="D12" s="677" t="s">
        <v>885</v>
      </c>
      <c r="E12" s="678" t="s">
        <v>72</v>
      </c>
      <c r="F12" s="678" t="s">
        <v>73</v>
      </c>
      <c r="G12" s="678" t="s">
        <v>886</v>
      </c>
      <c r="H12" s="679" t="s">
        <v>75</v>
      </c>
      <c r="I12" s="679" t="s">
        <v>76</v>
      </c>
      <c r="J12" s="679" t="s">
        <v>887</v>
      </c>
      <c r="K12" s="680" t="s">
        <v>54</v>
      </c>
    </row>
    <row r="13" spans="1:11" s="14" customFormat="1" ht="14.1" customHeight="1" thickTop="1" thickBot="1">
      <c r="A13" s="50" t="s">
        <v>888</v>
      </c>
      <c r="B13" s="166" t="s">
        <v>889</v>
      </c>
      <c r="C13" s="27"/>
      <c r="D13" s="180"/>
      <c r="E13" s="28"/>
      <c r="F13" s="28"/>
      <c r="G13" s="28"/>
      <c r="H13" s="158">
        <f>SUM(H15:H116)</f>
        <v>3140623.8000000003</v>
      </c>
      <c r="I13" s="160">
        <f>SUM(I15:I116)</f>
        <v>11303.6</v>
      </c>
      <c r="J13" s="28"/>
      <c r="K13" s="159">
        <f>SUM(K14:K116)</f>
        <v>3178490.8700000006</v>
      </c>
    </row>
    <row r="14" spans="1:11" ht="15.75" thickTop="1">
      <c r="A14" s="133">
        <f>A13+0.01</f>
        <v>1.01</v>
      </c>
      <c r="B14" s="134" t="s">
        <v>890</v>
      </c>
      <c r="C14" s="120"/>
      <c r="D14" s="181"/>
      <c r="E14" s="135"/>
      <c r="F14" s="126"/>
      <c r="G14" s="131" t="str">
        <f t="shared" ref="G14:G35" si="0">IFERROR(IF(D14=0,"",(E14+F14*TC)),"")</f>
        <v/>
      </c>
      <c r="H14" s="130" t="str">
        <f>IFERROR(IF(D14=0,"",$D14*E14),"")</f>
        <v/>
      </c>
      <c r="I14" s="123" t="str">
        <f>IFERROR(IF(D14=0,"",$D14*F14),"")</f>
        <v/>
      </c>
      <c r="J14" s="7" t="str">
        <f>IFERROR(IF(D14&lt;&gt;0,(D14*G14)," "),0)</f>
        <v xml:space="preserve"> </v>
      </c>
      <c r="K14" s="127">
        <f>SUM(J15:J35)</f>
        <v>298874.19</v>
      </c>
    </row>
    <row r="15" spans="1:11" outlineLevel="1">
      <c r="A15" s="3">
        <f>A14+0.0001</f>
        <v>1.0101</v>
      </c>
      <c r="B15" s="8" t="s">
        <v>891</v>
      </c>
      <c r="C15" s="13" t="s">
        <v>130</v>
      </c>
      <c r="D15" s="10">
        <v>1</v>
      </c>
      <c r="E15" s="12">
        <v>8767.3700000000008</v>
      </c>
      <c r="F15" s="11"/>
      <c r="G15" s="145">
        <f t="shared" si="0"/>
        <v>8767.3700000000008</v>
      </c>
      <c r="H15" s="145">
        <f>+ROUND(D15*E15,2)</f>
        <v>8767.3700000000008</v>
      </c>
      <c r="I15" s="146">
        <f>+ROUND(D15*F15,2)</f>
        <v>0</v>
      </c>
      <c r="J15" s="7">
        <f t="shared" ref="J15:J35" si="1">+ROUND(H15+I15*TC,2)</f>
        <v>8767.3700000000008</v>
      </c>
      <c r="K15" s="9"/>
    </row>
    <row r="16" spans="1:11" outlineLevel="1">
      <c r="A16" s="240">
        <f t="shared" ref="A16:A27" si="2">A15+0.0001</f>
        <v>1.0102</v>
      </c>
      <c r="B16" s="206" t="s">
        <v>892</v>
      </c>
      <c r="C16" s="201" t="s">
        <v>130</v>
      </c>
      <c r="D16" s="202">
        <v>0</v>
      </c>
      <c r="E16" s="203">
        <v>8767.3700000000008</v>
      </c>
      <c r="F16" s="204"/>
      <c r="G16" s="161" t="str">
        <f t="shared" si="0"/>
        <v/>
      </c>
      <c r="H16" s="161">
        <f t="shared" ref="H16:H56" si="3">+ROUND(D16*E16,2)</f>
        <v>0</v>
      </c>
      <c r="I16" s="162">
        <f t="shared" ref="I16:I56" si="4">+ROUND(D16*F16,2)</f>
        <v>0</v>
      </c>
      <c r="J16" s="142">
        <f t="shared" si="1"/>
        <v>0</v>
      </c>
      <c r="K16" s="205"/>
    </row>
    <row r="17" spans="1:11" outlineLevel="1">
      <c r="A17" s="3">
        <f t="shared" si="2"/>
        <v>1.0103</v>
      </c>
      <c r="B17" s="8" t="s">
        <v>893</v>
      </c>
      <c r="C17" s="13" t="s">
        <v>130</v>
      </c>
      <c r="D17" s="10">
        <v>1</v>
      </c>
      <c r="E17" s="12">
        <v>3397.24</v>
      </c>
      <c r="F17" s="11"/>
      <c r="G17" s="145">
        <f t="shared" si="0"/>
        <v>3397.24</v>
      </c>
      <c r="H17" s="145">
        <f t="shared" si="3"/>
        <v>3397.24</v>
      </c>
      <c r="I17" s="146">
        <f t="shared" si="4"/>
        <v>0</v>
      </c>
      <c r="J17" s="7">
        <f t="shared" si="1"/>
        <v>3397.24</v>
      </c>
      <c r="K17" s="9"/>
    </row>
    <row r="18" spans="1:11" outlineLevel="1">
      <c r="A18" s="3">
        <f t="shared" si="2"/>
        <v>1.0104</v>
      </c>
      <c r="B18" s="8" t="s">
        <v>894</v>
      </c>
      <c r="C18" s="13" t="s">
        <v>130</v>
      </c>
      <c r="D18" s="10">
        <v>1</v>
      </c>
      <c r="E18" s="136">
        <v>10851.51</v>
      </c>
      <c r="F18" s="11"/>
      <c r="G18" s="145">
        <f t="shared" si="0"/>
        <v>10851.51</v>
      </c>
      <c r="H18" s="145">
        <f t="shared" si="3"/>
        <v>10851.51</v>
      </c>
      <c r="I18" s="146">
        <f t="shared" si="4"/>
        <v>0</v>
      </c>
      <c r="J18" s="7">
        <f t="shared" si="1"/>
        <v>10851.51</v>
      </c>
      <c r="K18" s="9"/>
    </row>
    <row r="19" spans="1:11" outlineLevel="1">
      <c r="A19" s="3">
        <f t="shared" si="2"/>
        <v>1.0105</v>
      </c>
      <c r="B19" s="8" t="s">
        <v>895</v>
      </c>
      <c r="C19" s="13" t="s">
        <v>130</v>
      </c>
      <c r="D19" s="10">
        <v>1</v>
      </c>
      <c r="E19" s="12">
        <v>6304.45</v>
      </c>
      <c r="F19" s="11"/>
      <c r="G19" s="145">
        <f t="shared" si="0"/>
        <v>6304.45</v>
      </c>
      <c r="H19" s="145">
        <f t="shared" si="3"/>
        <v>6304.45</v>
      </c>
      <c r="I19" s="146">
        <f t="shared" si="4"/>
        <v>0</v>
      </c>
      <c r="J19" s="7">
        <f t="shared" si="1"/>
        <v>6304.45</v>
      </c>
      <c r="K19" s="9"/>
    </row>
    <row r="20" spans="1:11" outlineLevel="1">
      <c r="A20" s="3">
        <f t="shared" si="2"/>
        <v>1.0105999999999999</v>
      </c>
      <c r="B20" s="8" t="s">
        <v>896</v>
      </c>
      <c r="C20" s="13" t="s">
        <v>130</v>
      </c>
      <c r="D20" s="10">
        <v>1</v>
      </c>
      <c r="E20" s="12">
        <v>7019.17</v>
      </c>
      <c r="F20" s="11"/>
      <c r="G20" s="145">
        <f t="shared" si="0"/>
        <v>7019.17</v>
      </c>
      <c r="H20" s="145">
        <f t="shared" si="3"/>
        <v>7019.17</v>
      </c>
      <c r="I20" s="146">
        <f t="shared" si="4"/>
        <v>0</v>
      </c>
      <c r="J20" s="7">
        <f t="shared" si="1"/>
        <v>7019.17</v>
      </c>
      <c r="K20" s="9"/>
    </row>
    <row r="21" spans="1:11" outlineLevel="1">
      <c r="A21" s="3">
        <f t="shared" si="2"/>
        <v>1.0106999999999999</v>
      </c>
      <c r="B21" s="8" t="s">
        <v>897</v>
      </c>
      <c r="C21" s="13" t="s">
        <v>121</v>
      </c>
      <c r="D21" s="10">
        <v>1</v>
      </c>
      <c r="E21" s="12">
        <v>5847.24</v>
      </c>
      <c r="F21" s="11"/>
      <c r="G21" s="145">
        <f t="shared" si="0"/>
        <v>5847.24</v>
      </c>
      <c r="H21" s="145">
        <f t="shared" si="3"/>
        <v>5847.24</v>
      </c>
      <c r="I21" s="146">
        <f t="shared" si="4"/>
        <v>0</v>
      </c>
      <c r="J21" s="7">
        <f t="shared" si="1"/>
        <v>5847.24</v>
      </c>
      <c r="K21" s="9"/>
    </row>
    <row r="22" spans="1:11" outlineLevel="1">
      <c r="A22" s="3">
        <f t="shared" si="2"/>
        <v>1.0107999999999999</v>
      </c>
      <c r="B22" s="8" t="s">
        <v>898</v>
      </c>
      <c r="C22" s="13" t="s">
        <v>130</v>
      </c>
      <c r="D22" s="10">
        <v>1</v>
      </c>
      <c r="E22" s="12">
        <v>850</v>
      </c>
      <c r="F22" s="11"/>
      <c r="G22" s="145">
        <f t="shared" si="0"/>
        <v>850</v>
      </c>
      <c r="H22" s="145">
        <f t="shared" si="3"/>
        <v>850</v>
      </c>
      <c r="I22" s="146">
        <f t="shared" si="4"/>
        <v>0</v>
      </c>
      <c r="J22" s="7">
        <f t="shared" si="1"/>
        <v>850</v>
      </c>
      <c r="K22" s="9"/>
    </row>
    <row r="23" spans="1:11" ht="24.6" customHeight="1" outlineLevel="1">
      <c r="A23" s="3">
        <f t="shared" si="2"/>
        <v>1.0108999999999999</v>
      </c>
      <c r="B23" s="8" t="s">
        <v>899</v>
      </c>
      <c r="C23" s="13" t="s">
        <v>132</v>
      </c>
      <c r="D23" s="10">
        <v>10.5</v>
      </c>
      <c r="E23" s="12">
        <v>780</v>
      </c>
      <c r="F23" s="11"/>
      <c r="G23" s="145">
        <f t="shared" si="0"/>
        <v>780</v>
      </c>
      <c r="H23" s="145">
        <f t="shared" si="3"/>
        <v>8190</v>
      </c>
      <c r="I23" s="146">
        <f t="shared" si="4"/>
        <v>0</v>
      </c>
      <c r="J23" s="7">
        <f t="shared" si="1"/>
        <v>8190</v>
      </c>
      <c r="K23" s="9"/>
    </row>
    <row r="24" spans="1:11" outlineLevel="1">
      <c r="A24" s="3">
        <f t="shared" si="2"/>
        <v>1.0109999999999999</v>
      </c>
      <c r="B24" s="8" t="s">
        <v>900</v>
      </c>
      <c r="C24" s="13" t="s">
        <v>130</v>
      </c>
      <c r="D24" s="10">
        <v>1</v>
      </c>
      <c r="E24" s="12">
        <v>10162.1</v>
      </c>
      <c r="F24" s="11"/>
      <c r="G24" s="145">
        <f t="shared" si="0"/>
        <v>10162.1</v>
      </c>
      <c r="H24" s="145">
        <f t="shared" si="3"/>
        <v>10162.1</v>
      </c>
      <c r="I24" s="146">
        <f t="shared" si="4"/>
        <v>0</v>
      </c>
      <c r="J24" s="7">
        <f t="shared" si="1"/>
        <v>10162.1</v>
      </c>
      <c r="K24" s="9"/>
    </row>
    <row r="25" spans="1:11" outlineLevel="1">
      <c r="A25" s="3">
        <f t="shared" si="2"/>
        <v>1.0110999999999999</v>
      </c>
      <c r="B25" s="8" t="s">
        <v>901</v>
      </c>
      <c r="C25" s="13" t="s">
        <v>130</v>
      </c>
      <c r="D25" s="10">
        <v>1</v>
      </c>
      <c r="E25" s="12">
        <v>8745</v>
      </c>
      <c r="F25" s="11"/>
      <c r="G25" s="145">
        <f t="shared" si="0"/>
        <v>8745</v>
      </c>
      <c r="H25" s="145">
        <f t="shared" si="3"/>
        <v>8745</v>
      </c>
      <c r="I25" s="146">
        <f t="shared" si="4"/>
        <v>0</v>
      </c>
      <c r="J25" s="7">
        <f t="shared" si="1"/>
        <v>8745</v>
      </c>
      <c r="K25" s="9"/>
    </row>
    <row r="26" spans="1:11" outlineLevel="1">
      <c r="A26" s="3">
        <f t="shared" si="2"/>
        <v>1.0111999999999999</v>
      </c>
      <c r="B26" s="8" t="s">
        <v>902</v>
      </c>
      <c r="C26" s="13" t="s">
        <v>132</v>
      </c>
      <c r="D26" s="10">
        <v>10.5</v>
      </c>
      <c r="E26" s="12">
        <v>560</v>
      </c>
      <c r="F26" s="11"/>
      <c r="G26" s="145">
        <f t="shared" si="0"/>
        <v>560</v>
      </c>
      <c r="H26" s="145">
        <f t="shared" si="3"/>
        <v>5880</v>
      </c>
      <c r="I26" s="146">
        <f t="shared" si="4"/>
        <v>0</v>
      </c>
      <c r="J26" s="7">
        <f t="shared" si="1"/>
        <v>5880</v>
      </c>
      <c r="K26" s="9"/>
    </row>
    <row r="27" spans="1:11" outlineLevel="1">
      <c r="A27" s="3">
        <f t="shared" si="2"/>
        <v>1.0112999999999999</v>
      </c>
      <c r="B27" s="8" t="s">
        <v>903</v>
      </c>
      <c r="C27" s="13" t="s">
        <v>132</v>
      </c>
      <c r="D27" s="10">
        <v>10.5</v>
      </c>
      <c r="E27" s="12">
        <v>660</v>
      </c>
      <c r="F27" s="11"/>
      <c r="G27" s="145">
        <f>IFERROR(IF(D27=0,"",(E27+F27*TC)),"")</f>
        <v>660</v>
      </c>
      <c r="H27" s="145">
        <f t="shared" si="3"/>
        <v>6930</v>
      </c>
      <c r="I27" s="146">
        <f t="shared" si="4"/>
        <v>0</v>
      </c>
      <c r="J27" s="7">
        <f t="shared" si="1"/>
        <v>6930</v>
      </c>
      <c r="K27" s="9"/>
    </row>
    <row r="28" spans="1:11" outlineLevel="1">
      <c r="A28" s="3">
        <f>A27+0.0001</f>
        <v>1.0113999999999999</v>
      </c>
      <c r="B28" s="8" t="s">
        <v>904</v>
      </c>
      <c r="C28" s="13" t="s">
        <v>141</v>
      </c>
      <c r="D28" s="10">
        <v>65.240000000000009</v>
      </c>
      <c r="E28" s="12">
        <v>984.39</v>
      </c>
      <c r="F28" s="11">
        <v>69.599999999999994</v>
      </c>
      <c r="G28" s="145">
        <f t="shared" si="0"/>
        <v>1217.55</v>
      </c>
      <c r="H28" s="145">
        <f t="shared" si="3"/>
        <v>64221.599999999999</v>
      </c>
      <c r="I28" s="146">
        <f t="shared" si="4"/>
        <v>4540.7</v>
      </c>
      <c r="J28" s="7">
        <f t="shared" si="1"/>
        <v>79432.95</v>
      </c>
      <c r="K28" s="9"/>
    </row>
    <row r="29" spans="1:11" outlineLevel="1">
      <c r="A29" s="3">
        <f>A28+0.0001</f>
        <v>1.0114999999999998</v>
      </c>
      <c r="B29" s="8" t="s">
        <v>905</v>
      </c>
      <c r="C29" s="13" t="s">
        <v>130</v>
      </c>
      <c r="D29" s="10">
        <v>1</v>
      </c>
      <c r="E29" s="12">
        <v>7350</v>
      </c>
      <c r="F29" s="11"/>
      <c r="G29" s="145">
        <f t="shared" si="0"/>
        <v>7350</v>
      </c>
      <c r="H29" s="145">
        <f t="shared" si="3"/>
        <v>7350</v>
      </c>
      <c r="I29" s="146">
        <f t="shared" si="4"/>
        <v>0</v>
      </c>
      <c r="J29" s="7">
        <f t="shared" si="1"/>
        <v>7350</v>
      </c>
      <c r="K29" s="9"/>
    </row>
    <row r="30" spans="1:11" outlineLevel="1">
      <c r="A30" s="3">
        <f t="shared" ref="A30:A35" si="5">A29+0.0001</f>
        <v>1.0115999999999998</v>
      </c>
      <c r="B30" s="8" t="s">
        <v>906</v>
      </c>
      <c r="C30" s="13" t="s">
        <v>130</v>
      </c>
      <c r="D30" s="10">
        <v>1</v>
      </c>
      <c r="E30" s="12">
        <v>82538</v>
      </c>
      <c r="F30" s="11"/>
      <c r="G30" s="145">
        <f t="shared" si="0"/>
        <v>82538</v>
      </c>
      <c r="H30" s="145">
        <f t="shared" si="3"/>
        <v>82538</v>
      </c>
      <c r="I30" s="146">
        <f t="shared" si="4"/>
        <v>0</v>
      </c>
      <c r="J30" s="7">
        <f t="shared" si="1"/>
        <v>82538</v>
      </c>
      <c r="K30" s="9"/>
    </row>
    <row r="31" spans="1:11" outlineLevel="1">
      <c r="A31" s="3">
        <f t="shared" si="5"/>
        <v>1.0116999999999998</v>
      </c>
      <c r="B31" s="8" t="s">
        <v>907</v>
      </c>
      <c r="C31" s="13" t="s">
        <v>130</v>
      </c>
      <c r="D31" s="10">
        <v>1</v>
      </c>
      <c r="E31" s="12">
        <v>13635.52</v>
      </c>
      <c r="F31" s="11"/>
      <c r="G31" s="145">
        <f t="shared" si="0"/>
        <v>13635.52</v>
      </c>
      <c r="H31" s="145">
        <f t="shared" si="3"/>
        <v>13635.52</v>
      </c>
      <c r="I31" s="146">
        <f t="shared" si="4"/>
        <v>0</v>
      </c>
      <c r="J31" s="7">
        <f t="shared" si="1"/>
        <v>13635.52</v>
      </c>
      <c r="K31" s="9"/>
    </row>
    <row r="32" spans="1:11" s="190" customFormat="1" ht="15" customHeight="1" outlineLevel="1">
      <c r="A32" s="240">
        <f t="shared" si="5"/>
        <v>1.0117999999999998</v>
      </c>
      <c r="B32" s="329" t="s">
        <v>908</v>
      </c>
      <c r="C32" s="330" t="s">
        <v>141</v>
      </c>
      <c r="D32" s="331">
        <v>0</v>
      </c>
      <c r="E32" s="203">
        <v>475</v>
      </c>
      <c r="F32" s="332"/>
      <c r="G32" s="161" t="str">
        <f t="shared" si="0"/>
        <v/>
      </c>
      <c r="H32" s="161">
        <f t="shared" si="3"/>
        <v>0</v>
      </c>
      <c r="I32" s="162">
        <f t="shared" si="4"/>
        <v>0</v>
      </c>
      <c r="J32" s="142">
        <f t="shared" si="1"/>
        <v>0</v>
      </c>
      <c r="K32" s="333"/>
    </row>
    <row r="33" spans="1:11" s="190" customFormat="1" ht="22.5" outlineLevel="1">
      <c r="A33" s="3">
        <f t="shared" si="5"/>
        <v>1.0118999999999998</v>
      </c>
      <c r="B33" s="5" t="s">
        <v>909</v>
      </c>
      <c r="C33" s="186" t="s">
        <v>141</v>
      </c>
      <c r="D33" s="187">
        <v>76.3</v>
      </c>
      <c r="E33" s="12">
        <v>341.07</v>
      </c>
      <c r="F33" s="188"/>
      <c r="G33" s="145">
        <f t="shared" si="0"/>
        <v>341.07</v>
      </c>
      <c r="H33" s="145">
        <f t="shared" si="3"/>
        <v>26023.64</v>
      </c>
      <c r="I33" s="146">
        <f t="shared" si="4"/>
        <v>0</v>
      </c>
      <c r="J33" s="7">
        <f t="shared" si="1"/>
        <v>26023.64</v>
      </c>
      <c r="K33" s="189"/>
    </row>
    <row r="34" spans="1:11" outlineLevel="1">
      <c r="A34" s="3">
        <f t="shared" si="5"/>
        <v>1.0119999999999998</v>
      </c>
      <c r="B34" s="8" t="s">
        <v>910</v>
      </c>
      <c r="C34" s="13" t="s">
        <v>130</v>
      </c>
      <c r="D34" s="10">
        <v>1</v>
      </c>
      <c r="E34" s="12">
        <v>6250</v>
      </c>
      <c r="F34" s="11"/>
      <c r="G34" s="145">
        <f t="shared" si="0"/>
        <v>6250</v>
      </c>
      <c r="H34" s="145">
        <f t="shared" si="3"/>
        <v>6250</v>
      </c>
      <c r="I34" s="146">
        <f t="shared" si="4"/>
        <v>0</v>
      </c>
      <c r="J34" s="7">
        <f t="shared" si="1"/>
        <v>6250</v>
      </c>
      <c r="K34" s="9"/>
    </row>
    <row r="35" spans="1:11" outlineLevel="1">
      <c r="A35" s="3">
        <f t="shared" si="5"/>
        <v>1.0120999999999998</v>
      </c>
      <c r="B35" s="191" t="s">
        <v>911</v>
      </c>
      <c r="C35" s="13" t="s">
        <v>130</v>
      </c>
      <c r="D35" s="10">
        <v>1</v>
      </c>
      <c r="E35" s="12">
        <v>700</v>
      </c>
      <c r="F35" s="11"/>
      <c r="G35" s="145">
        <f t="shared" si="0"/>
        <v>700</v>
      </c>
      <c r="H35" s="145">
        <f t="shared" si="3"/>
        <v>700</v>
      </c>
      <c r="I35" s="146">
        <f t="shared" si="4"/>
        <v>0</v>
      </c>
      <c r="J35" s="7">
        <f t="shared" si="1"/>
        <v>700</v>
      </c>
      <c r="K35" s="192"/>
    </row>
    <row r="36" spans="1:11" ht="22.5">
      <c r="A36" s="133">
        <f>A14+0.01</f>
        <v>1.02</v>
      </c>
      <c r="B36" s="167" t="s">
        <v>912</v>
      </c>
      <c r="C36" s="122"/>
      <c r="D36" s="182"/>
      <c r="E36" s="137"/>
      <c r="F36" s="11">
        <v>0</v>
      </c>
      <c r="G36" s="145"/>
      <c r="H36" s="145"/>
      <c r="I36" s="146"/>
      <c r="J36" s="7"/>
      <c r="K36" s="128">
        <f>SUM(J37:J40)</f>
        <v>0</v>
      </c>
    </row>
    <row r="37" spans="1:11" outlineLevel="1">
      <c r="A37" s="3">
        <f t="shared" ref="A37:A52" si="6">A36+0.0001</f>
        <v>1.0201</v>
      </c>
      <c r="B37" s="8" t="s">
        <v>913</v>
      </c>
      <c r="C37" s="13" t="s">
        <v>141</v>
      </c>
      <c r="D37" s="10">
        <v>0</v>
      </c>
      <c r="E37" s="12">
        <v>984.39</v>
      </c>
      <c r="F37" s="11">
        <v>69.599999999999994</v>
      </c>
      <c r="G37" s="145" t="str">
        <f t="shared" ref="G37:G56" si="7">IFERROR(IF(D37=0,"",(E37+F37*TC)),"")</f>
        <v/>
      </c>
      <c r="H37" s="145">
        <f t="shared" si="3"/>
        <v>0</v>
      </c>
      <c r="I37" s="146">
        <f t="shared" si="4"/>
        <v>0</v>
      </c>
      <c r="J37" s="7">
        <f>+ROUND(H37+I37*TC,2)</f>
        <v>0</v>
      </c>
      <c r="K37" s="9"/>
    </row>
    <row r="38" spans="1:11" ht="22.5" outlineLevel="1">
      <c r="A38" s="3">
        <f t="shared" si="6"/>
        <v>1.0202</v>
      </c>
      <c r="B38" s="8" t="s">
        <v>914</v>
      </c>
      <c r="C38" s="13" t="s">
        <v>121</v>
      </c>
      <c r="D38" s="10">
        <v>0</v>
      </c>
      <c r="E38" s="12">
        <v>1683.26</v>
      </c>
      <c r="F38" s="11">
        <v>0</v>
      </c>
      <c r="G38" s="145" t="str">
        <f t="shared" si="7"/>
        <v/>
      </c>
      <c r="H38" s="145">
        <f t="shared" si="3"/>
        <v>0</v>
      </c>
      <c r="I38" s="146">
        <f t="shared" si="4"/>
        <v>0</v>
      </c>
      <c r="J38" s="7">
        <f>+ROUND(H38+I38*TC,2)</f>
        <v>0</v>
      </c>
      <c r="K38" s="9"/>
    </row>
    <row r="39" spans="1:11" ht="22.5" outlineLevel="1">
      <c r="A39" s="3">
        <f t="shared" si="6"/>
        <v>1.0203</v>
      </c>
      <c r="B39" s="8" t="s">
        <v>915</v>
      </c>
      <c r="C39" s="13" t="s">
        <v>130</v>
      </c>
      <c r="D39" s="10">
        <v>0</v>
      </c>
      <c r="E39" s="12">
        <v>2400</v>
      </c>
      <c r="F39" s="11">
        <v>0</v>
      </c>
      <c r="G39" s="145" t="str">
        <f t="shared" si="7"/>
        <v/>
      </c>
      <c r="H39" s="145">
        <f t="shared" si="3"/>
        <v>0</v>
      </c>
      <c r="I39" s="146">
        <f t="shared" si="4"/>
        <v>0</v>
      </c>
      <c r="J39" s="7">
        <f>+ROUND(H39+I39*TC,2)</f>
        <v>0</v>
      </c>
      <c r="K39" s="9"/>
    </row>
    <row r="40" spans="1:11" outlineLevel="1">
      <c r="A40" s="3">
        <f t="shared" si="6"/>
        <v>1.0204</v>
      </c>
      <c r="B40" s="8" t="s">
        <v>916</v>
      </c>
      <c r="C40" s="13" t="s">
        <v>130</v>
      </c>
      <c r="D40" s="10">
        <v>0</v>
      </c>
      <c r="E40" s="12">
        <v>1500</v>
      </c>
      <c r="F40" s="11">
        <v>0</v>
      </c>
      <c r="G40" s="145" t="str">
        <f t="shared" si="7"/>
        <v/>
      </c>
      <c r="H40" s="145">
        <f t="shared" si="3"/>
        <v>0</v>
      </c>
      <c r="I40" s="146">
        <f t="shared" si="4"/>
        <v>0</v>
      </c>
      <c r="J40" s="7">
        <f>+ROUND(H40+I40*TC,2)</f>
        <v>0</v>
      </c>
      <c r="K40" s="9"/>
    </row>
    <row r="41" spans="1:11" ht="22.5">
      <c r="A41" s="133">
        <f>A36+0.01</f>
        <v>1.03</v>
      </c>
      <c r="B41" s="167" t="s">
        <v>917</v>
      </c>
      <c r="C41" s="122"/>
      <c r="D41" s="182"/>
      <c r="E41" s="137"/>
      <c r="F41" s="11"/>
      <c r="G41" s="145"/>
      <c r="H41" s="145"/>
      <c r="I41" s="146"/>
      <c r="J41" s="7"/>
      <c r="K41" s="128">
        <f>SUM(J42:J42)</f>
        <v>48782</v>
      </c>
    </row>
    <row r="42" spans="1:11" outlineLevel="1">
      <c r="A42" s="3">
        <f t="shared" si="6"/>
        <v>1.0301</v>
      </c>
      <c r="B42" s="5" t="s">
        <v>918</v>
      </c>
      <c r="C42" s="13" t="s">
        <v>130</v>
      </c>
      <c r="D42" s="10">
        <v>1</v>
      </c>
      <c r="E42" s="12">
        <v>42350</v>
      </c>
      <c r="F42" s="4">
        <v>1920</v>
      </c>
      <c r="G42" s="145">
        <f t="shared" si="7"/>
        <v>48782</v>
      </c>
      <c r="H42" s="145">
        <f>+ROUND(D42*E42,2)</f>
        <v>42350</v>
      </c>
      <c r="I42" s="146">
        <f t="shared" si="4"/>
        <v>1920</v>
      </c>
      <c r="J42" s="7">
        <f t="shared" ref="J42:J52" si="8">+ROUND(H42+I42*TC,2)</f>
        <v>48782</v>
      </c>
      <c r="K42" s="9"/>
    </row>
    <row r="43" spans="1:11">
      <c r="A43" s="133">
        <f>A41+0.01</f>
        <v>1.04</v>
      </c>
      <c r="B43" s="167" t="s">
        <v>919</v>
      </c>
      <c r="C43" s="122"/>
      <c r="D43" s="182"/>
      <c r="E43" s="137"/>
      <c r="F43" s="11"/>
      <c r="G43" s="145"/>
      <c r="H43" s="145"/>
      <c r="I43" s="146"/>
      <c r="J43" s="7"/>
      <c r="K43" s="128">
        <f>SUM(J44:J52)</f>
        <v>33250</v>
      </c>
    </row>
    <row r="44" spans="1:11" s="190" customFormat="1" ht="15" customHeight="1" outlineLevel="1">
      <c r="A44" s="193">
        <f t="shared" si="6"/>
        <v>1.0401</v>
      </c>
      <c r="B44" s="185" t="s">
        <v>920</v>
      </c>
      <c r="C44" s="186" t="s">
        <v>130</v>
      </c>
      <c r="D44" s="187">
        <v>0</v>
      </c>
      <c r="E44" s="136"/>
      <c r="F44" s="188"/>
      <c r="G44" s="145" t="str">
        <f t="shared" si="7"/>
        <v/>
      </c>
      <c r="H44" s="145">
        <f t="shared" si="3"/>
        <v>0</v>
      </c>
      <c r="I44" s="146">
        <f t="shared" si="4"/>
        <v>0</v>
      </c>
      <c r="J44" s="7">
        <f t="shared" si="8"/>
        <v>0</v>
      </c>
      <c r="K44" s="189"/>
    </row>
    <row r="45" spans="1:11" s="190" customFormat="1" ht="15.75" customHeight="1" outlineLevel="1">
      <c r="A45" s="193">
        <f t="shared" si="6"/>
        <v>1.0402</v>
      </c>
      <c r="B45" s="194" t="s">
        <v>921</v>
      </c>
      <c r="C45" s="186" t="s">
        <v>130</v>
      </c>
      <c r="D45" s="187">
        <v>0</v>
      </c>
      <c r="E45" s="136"/>
      <c r="F45" s="188"/>
      <c r="G45" s="145" t="str">
        <f t="shared" si="7"/>
        <v/>
      </c>
      <c r="H45" s="145">
        <f t="shared" si="3"/>
        <v>0</v>
      </c>
      <c r="I45" s="146">
        <f t="shared" si="4"/>
        <v>0</v>
      </c>
      <c r="J45" s="7">
        <f t="shared" si="8"/>
        <v>0</v>
      </c>
      <c r="K45" s="189"/>
    </row>
    <row r="46" spans="1:11" outlineLevel="1">
      <c r="A46" s="3">
        <f t="shared" si="6"/>
        <v>1.0403</v>
      </c>
      <c r="B46" s="8" t="s">
        <v>922</v>
      </c>
      <c r="C46" s="13" t="s">
        <v>130</v>
      </c>
      <c r="D46" s="10">
        <v>0</v>
      </c>
      <c r="E46" s="136"/>
      <c r="F46" s="11"/>
      <c r="G46" s="145" t="str">
        <f t="shared" si="7"/>
        <v/>
      </c>
      <c r="H46" s="145">
        <f t="shared" si="3"/>
        <v>0</v>
      </c>
      <c r="I46" s="146">
        <f t="shared" si="4"/>
        <v>0</v>
      </c>
      <c r="J46" s="7">
        <f t="shared" si="8"/>
        <v>0</v>
      </c>
      <c r="K46" s="9"/>
    </row>
    <row r="47" spans="1:11" outlineLevel="1">
      <c r="A47" s="3">
        <f t="shared" si="6"/>
        <v>1.0404</v>
      </c>
      <c r="B47" s="8" t="s">
        <v>923</v>
      </c>
      <c r="C47" s="13" t="s">
        <v>130</v>
      </c>
      <c r="D47" s="10">
        <v>0</v>
      </c>
      <c r="E47" s="136"/>
      <c r="F47" s="11"/>
      <c r="G47" s="145" t="str">
        <f t="shared" si="7"/>
        <v/>
      </c>
      <c r="H47" s="145">
        <f t="shared" si="3"/>
        <v>0</v>
      </c>
      <c r="I47" s="146">
        <f t="shared" si="4"/>
        <v>0</v>
      </c>
      <c r="J47" s="7">
        <f t="shared" si="8"/>
        <v>0</v>
      </c>
      <c r="K47" s="9"/>
    </row>
    <row r="48" spans="1:11" outlineLevel="1">
      <c r="A48" s="3">
        <f t="shared" si="6"/>
        <v>1.0405</v>
      </c>
      <c r="B48" s="8" t="s">
        <v>924</v>
      </c>
      <c r="C48" s="13" t="s">
        <v>130</v>
      </c>
      <c r="D48" s="10">
        <v>0</v>
      </c>
      <c r="E48" s="136"/>
      <c r="F48" s="11"/>
      <c r="G48" s="145" t="str">
        <f>IFERROR(IF(D48=0,"",(E48+F48*TC)),"")</f>
        <v/>
      </c>
      <c r="H48" s="145">
        <f t="shared" si="3"/>
        <v>0</v>
      </c>
      <c r="I48" s="146">
        <f t="shared" si="4"/>
        <v>0</v>
      </c>
      <c r="J48" s="7">
        <f t="shared" si="8"/>
        <v>0</v>
      </c>
      <c r="K48" s="9"/>
    </row>
    <row r="49" spans="1:11" outlineLevel="1">
      <c r="A49" s="3">
        <f>A47+0.0001</f>
        <v>1.0405</v>
      </c>
      <c r="B49" s="8" t="s">
        <v>925</v>
      </c>
      <c r="C49" s="13" t="s">
        <v>130</v>
      </c>
      <c r="D49" s="10">
        <v>4</v>
      </c>
      <c r="E49" s="12">
        <v>4600</v>
      </c>
      <c r="F49" s="11"/>
      <c r="G49" s="145">
        <f t="shared" si="7"/>
        <v>4600</v>
      </c>
      <c r="H49" s="145">
        <f t="shared" si="3"/>
        <v>18400</v>
      </c>
      <c r="I49" s="146">
        <f t="shared" si="4"/>
        <v>0</v>
      </c>
      <c r="J49" s="7">
        <f t="shared" si="8"/>
        <v>18400</v>
      </c>
      <c r="K49" s="9"/>
    </row>
    <row r="50" spans="1:11" outlineLevel="1">
      <c r="A50" s="3">
        <f t="shared" si="6"/>
        <v>1.0406</v>
      </c>
      <c r="B50" s="8" t="s">
        <v>926</v>
      </c>
      <c r="C50" s="13" t="s">
        <v>130</v>
      </c>
      <c r="D50" s="10">
        <v>10</v>
      </c>
      <c r="E50" s="12">
        <v>675</v>
      </c>
      <c r="F50" s="11"/>
      <c r="G50" s="145">
        <f t="shared" si="7"/>
        <v>675</v>
      </c>
      <c r="H50" s="145">
        <f t="shared" si="3"/>
        <v>6750</v>
      </c>
      <c r="I50" s="146">
        <f t="shared" si="4"/>
        <v>0</v>
      </c>
      <c r="J50" s="7">
        <f t="shared" si="8"/>
        <v>6750</v>
      </c>
      <c r="K50" s="9"/>
    </row>
    <row r="51" spans="1:11" outlineLevel="1">
      <c r="A51" s="3">
        <f t="shared" si="6"/>
        <v>1.0407</v>
      </c>
      <c r="B51" s="8" t="s">
        <v>927</v>
      </c>
      <c r="C51" s="13" t="s">
        <v>130</v>
      </c>
      <c r="D51" s="10">
        <v>3</v>
      </c>
      <c r="E51" s="12">
        <v>2250</v>
      </c>
      <c r="F51" s="11"/>
      <c r="G51" s="145">
        <f t="shared" si="7"/>
        <v>2250</v>
      </c>
      <c r="H51" s="145">
        <f t="shared" si="3"/>
        <v>6750</v>
      </c>
      <c r="I51" s="146">
        <f t="shared" si="4"/>
        <v>0</v>
      </c>
      <c r="J51" s="7">
        <f t="shared" si="8"/>
        <v>6750</v>
      </c>
      <c r="K51" s="9"/>
    </row>
    <row r="52" spans="1:11" outlineLevel="1">
      <c r="A52" s="3">
        <f t="shared" si="6"/>
        <v>1.0407999999999999</v>
      </c>
      <c r="B52" s="8" t="s">
        <v>928</v>
      </c>
      <c r="C52" s="13" t="s">
        <v>130</v>
      </c>
      <c r="D52" s="10">
        <v>1</v>
      </c>
      <c r="E52" s="12">
        <v>1350</v>
      </c>
      <c r="F52" s="11"/>
      <c r="G52" s="145">
        <f t="shared" si="7"/>
        <v>1350</v>
      </c>
      <c r="H52" s="145">
        <f t="shared" si="3"/>
        <v>1350</v>
      </c>
      <c r="I52" s="146">
        <f t="shared" si="4"/>
        <v>0</v>
      </c>
      <c r="J52" s="7">
        <f t="shared" si="8"/>
        <v>1350</v>
      </c>
      <c r="K52" s="9"/>
    </row>
    <row r="53" spans="1:11">
      <c r="A53" s="133">
        <f>A43+0.01</f>
        <v>1.05</v>
      </c>
      <c r="B53" s="167" t="s">
        <v>929</v>
      </c>
      <c r="C53" s="122"/>
      <c r="D53" s="182"/>
      <c r="E53" s="137"/>
      <c r="F53" s="11">
        <v>0</v>
      </c>
      <c r="G53" s="145" t="str">
        <f t="shared" si="7"/>
        <v/>
      </c>
      <c r="H53" s="145"/>
      <c r="I53" s="146"/>
      <c r="J53" s="7"/>
      <c r="K53" s="128">
        <f>SUM(J54:J71)</f>
        <v>1142907.82</v>
      </c>
    </row>
    <row r="54" spans="1:11" outlineLevel="1">
      <c r="A54" s="195">
        <f>A53+0.0001</f>
        <v>1.0501</v>
      </c>
      <c r="B54" s="196" t="s">
        <v>930</v>
      </c>
      <c r="C54" s="13"/>
      <c r="D54" s="10"/>
      <c r="E54" s="12"/>
      <c r="F54" s="4"/>
      <c r="G54" s="145"/>
      <c r="H54" s="145"/>
      <c r="I54" s="146"/>
      <c r="J54" s="7"/>
      <c r="K54" s="9"/>
    </row>
    <row r="55" spans="1:11" outlineLevel="2">
      <c r="A55" s="6">
        <f t="shared" ref="A55:A63" si="9">A54+0.000001</f>
        <v>1.050101</v>
      </c>
      <c r="B55" s="5" t="s">
        <v>931</v>
      </c>
      <c r="C55" s="186" t="s">
        <v>132</v>
      </c>
      <c r="D55" s="10">
        <v>10</v>
      </c>
      <c r="E55" s="12">
        <v>47273.279999999999</v>
      </c>
      <c r="F55" s="4">
        <v>0</v>
      </c>
      <c r="G55" s="145">
        <f>IFERROR(IF(D55=0,"",(E55+F55*TC)),"")</f>
        <v>47273.279999999999</v>
      </c>
      <c r="H55" s="145">
        <f>+ROUND(D55*E55,2)</f>
        <v>472732.8</v>
      </c>
      <c r="I55" s="146">
        <f t="shared" si="4"/>
        <v>0</v>
      </c>
      <c r="J55" s="7">
        <f t="shared" ref="J55:J71" si="10">+ROUND(H55+I55*TC,2)</f>
        <v>472732.8</v>
      </c>
      <c r="K55" s="9"/>
    </row>
    <row r="56" spans="1:11" outlineLevel="2">
      <c r="A56" s="6">
        <f t="shared" si="9"/>
        <v>1.0501019999999999</v>
      </c>
      <c r="B56" s="5" t="s">
        <v>932</v>
      </c>
      <c r="C56" s="13" t="s">
        <v>130</v>
      </c>
      <c r="D56" s="10">
        <v>1</v>
      </c>
      <c r="E56" s="12">
        <v>85550</v>
      </c>
      <c r="F56" s="4">
        <v>0</v>
      </c>
      <c r="G56" s="145">
        <f t="shared" si="7"/>
        <v>85550</v>
      </c>
      <c r="H56" s="145">
        <f t="shared" si="3"/>
        <v>85550</v>
      </c>
      <c r="I56" s="146">
        <f t="shared" si="4"/>
        <v>0</v>
      </c>
      <c r="J56" s="7">
        <f t="shared" si="10"/>
        <v>85550</v>
      </c>
      <c r="K56" s="9"/>
    </row>
    <row r="57" spans="1:11" outlineLevel="2">
      <c r="A57" s="6">
        <f t="shared" si="9"/>
        <v>1.0501029999999998</v>
      </c>
      <c r="B57" s="5" t="s">
        <v>933</v>
      </c>
      <c r="C57" s="13" t="s">
        <v>130</v>
      </c>
      <c r="D57" s="10">
        <v>1</v>
      </c>
      <c r="E57" s="12">
        <v>60460</v>
      </c>
      <c r="F57" s="4">
        <v>0</v>
      </c>
      <c r="G57" s="145">
        <f t="shared" ref="G57" si="11">IFERROR(IF(D57=0,"",(E57+F57*TC)),"")</f>
        <v>60460</v>
      </c>
      <c r="H57" s="145">
        <f t="shared" ref="H57" si="12">+ROUND(D57*E57,2)</f>
        <v>60460</v>
      </c>
      <c r="I57" s="146">
        <f t="shared" ref="I57" si="13">+ROUND(D57*F57,2)</f>
        <v>0</v>
      </c>
      <c r="J57" s="7">
        <f t="shared" ref="J57" si="14">+ROUND(H57+I57*TC,2)</f>
        <v>60460</v>
      </c>
      <c r="K57" s="9"/>
    </row>
    <row r="58" spans="1:11" outlineLevel="1">
      <c r="A58" s="195">
        <f>A54+0.0001</f>
        <v>1.0502</v>
      </c>
      <c r="B58" s="196" t="s">
        <v>934</v>
      </c>
      <c r="C58" s="13"/>
      <c r="D58" s="10"/>
      <c r="E58" s="12"/>
      <c r="F58" s="11"/>
      <c r="G58" s="145"/>
      <c r="H58" s="145"/>
      <c r="I58" s="146"/>
      <c r="J58" s="7"/>
      <c r="K58" s="9"/>
    </row>
    <row r="59" spans="1:11" outlineLevel="2">
      <c r="A59" s="6">
        <f t="shared" si="9"/>
        <v>1.0502009999999999</v>
      </c>
      <c r="B59" s="45" t="s">
        <v>935</v>
      </c>
      <c r="C59" s="13" t="s">
        <v>130</v>
      </c>
      <c r="D59" s="10">
        <v>1</v>
      </c>
      <c r="E59" s="12">
        <v>45714.32</v>
      </c>
      <c r="F59" s="4">
        <v>3924.9</v>
      </c>
      <c r="G59" s="145">
        <f t="shared" ref="G59:G70" si="15">IFERROR(IF(D59=0,"",(E59+F59*TC)),"")</f>
        <v>58862.735000000001</v>
      </c>
      <c r="H59" s="145">
        <f t="shared" ref="H59:H94" si="16">+ROUND(D59*E59,2)</f>
        <v>45714.32</v>
      </c>
      <c r="I59" s="146">
        <f t="shared" ref="I59:I94" si="17">+ROUND(D59*F59,2)</f>
        <v>3924.9</v>
      </c>
      <c r="J59" s="7">
        <f t="shared" si="10"/>
        <v>58862.74</v>
      </c>
      <c r="K59" s="9"/>
    </row>
    <row r="60" spans="1:11" outlineLevel="1">
      <c r="A60" s="195">
        <f>A58+0.0001</f>
        <v>1.0503</v>
      </c>
      <c r="B60" s="196" t="s">
        <v>936</v>
      </c>
      <c r="C60" s="13"/>
      <c r="D60" s="10"/>
      <c r="E60" s="136"/>
      <c r="F60" s="11"/>
      <c r="G60" s="145"/>
      <c r="H60" s="145"/>
      <c r="I60" s="146"/>
      <c r="J60" s="7"/>
      <c r="K60" s="9"/>
    </row>
    <row r="61" spans="1:11" outlineLevel="2">
      <c r="A61" s="6">
        <f t="shared" si="9"/>
        <v>1.0503009999999999</v>
      </c>
      <c r="B61" s="5" t="s">
        <v>937</v>
      </c>
      <c r="C61" s="13" t="s">
        <v>132</v>
      </c>
      <c r="D61" s="10">
        <v>10</v>
      </c>
      <c r="E61" s="12">
        <v>13031</v>
      </c>
      <c r="F61" s="4">
        <v>0</v>
      </c>
      <c r="G61" s="145">
        <f t="shared" si="15"/>
        <v>13031</v>
      </c>
      <c r="H61" s="145">
        <f t="shared" si="16"/>
        <v>130310</v>
      </c>
      <c r="I61" s="146">
        <f t="shared" si="17"/>
        <v>0</v>
      </c>
      <c r="J61" s="7">
        <f t="shared" si="10"/>
        <v>130310</v>
      </c>
      <c r="K61" s="9"/>
    </row>
    <row r="62" spans="1:11" outlineLevel="2">
      <c r="A62" s="6">
        <f t="shared" si="9"/>
        <v>1.0503019999999998</v>
      </c>
      <c r="B62" s="5" t="s">
        <v>938</v>
      </c>
      <c r="C62" s="13" t="s">
        <v>130</v>
      </c>
      <c r="D62" s="10">
        <v>1</v>
      </c>
      <c r="E62" s="12">
        <v>32475</v>
      </c>
      <c r="F62" s="4">
        <v>0</v>
      </c>
      <c r="G62" s="145">
        <f t="shared" si="15"/>
        <v>32475</v>
      </c>
      <c r="H62" s="145">
        <f t="shared" si="16"/>
        <v>32475</v>
      </c>
      <c r="I62" s="146">
        <f t="shared" si="17"/>
        <v>0</v>
      </c>
      <c r="J62" s="7">
        <f t="shared" si="10"/>
        <v>32475</v>
      </c>
      <c r="K62" s="9"/>
    </row>
    <row r="63" spans="1:11" outlineLevel="2">
      <c r="A63" s="6">
        <f t="shared" si="9"/>
        <v>1.0503029999999998</v>
      </c>
      <c r="B63" s="5" t="s">
        <v>939</v>
      </c>
      <c r="C63" s="13" t="s">
        <v>130</v>
      </c>
      <c r="D63" s="10">
        <v>1</v>
      </c>
      <c r="E63" s="12">
        <v>16332</v>
      </c>
      <c r="F63" s="4">
        <v>0</v>
      </c>
      <c r="G63" s="145">
        <f t="shared" ref="G63" si="18">IFERROR(IF(D63=0,"",(E63+F63*TC)),"")</f>
        <v>16332</v>
      </c>
      <c r="H63" s="145">
        <f t="shared" ref="H63" si="19">+ROUND(D63*E63,2)</f>
        <v>16332</v>
      </c>
      <c r="I63" s="146">
        <f t="shared" ref="I63" si="20">+ROUND(D63*F63,2)</f>
        <v>0</v>
      </c>
      <c r="J63" s="7">
        <f t="shared" ref="J63" si="21">+ROUND(H63+I63*TC,2)</f>
        <v>16332</v>
      </c>
      <c r="K63" s="9"/>
    </row>
    <row r="64" spans="1:11" outlineLevel="1">
      <c r="A64" s="195">
        <f>A60+0.0001</f>
        <v>1.0504</v>
      </c>
      <c r="B64" s="196" t="s">
        <v>940</v>
      </c>
      <c r="C64" s="13"/>
      <c r="D64" s="10"/>
      <c r="E64" s="12"/>
      <c r="F64" s="11"/>
      <c r="G64" s="145"/>
      <c r="H64" s="145"/>
      <c r="I64" s="146"/>
      <c r="J64" s="7"/>
      <c r="K64" s="9"/>
    </row>
    <row r="65" spans="1:11" outlineLevel="2">
      <c r="A65" s="6">
        <f>A64+0.000001</f>
        <v>1.0504009999999999</v>
      </c>
      <c r="B65" s="8" t="s">
        <v>941</v>
      </c>
      <c r="C65" s="13" t="s">
        <v>130</v>
      </c>
      <c r="D65" s="10">
        <v>1</v>
      </c>
      <c r="E65" s="136">
        <v>3967.6</v>
      </c>
      <c r="F65" s="11"/>
      <c r="G65" s="145">
        <f t="shared" si="15"/>
        <v>3967.6</v>
      </c>
      <c r="H65" s="145">
        <f t="shared" si="16"/>
        <v>3967.6</v>
      </c>
      <c r="I65" s="146">
        <f t="shared" si="17"/>
        <v>0</v>
      </c>
      <c r="J65" s="7">
        <f t="shared" si="10"/>
        <v>3967.6</v>
      </c>
      <c r="K65" s="9"/>
    </row>
    <row r="66" spans="1:11" ht="22.5" outlineLevel="2">
      <c r="A66" s="6">
        <f t="shared" ref="A66:A68" si="22">A65+0.000001</f>
        <v>1.0504019999999998</v>
      </c>
      <c r="B66" s="8" t="s">
        <v>942</v>
      </c>
      <c r="C66" s="13" t="s">
        <v>121</v>
      </c>
      <c r="D66" s="10">
        <v>2</v>
      </c>
      <c r="E66" s="12">
        <v>4940</v>
      </c>
      <c r="F66" s="11">
        <v>459</v>
      </c>
      <c r="G66" s="145">
        <f t="shared" si="15"/>
        <v>6477.65</v>
      </c>
      <c r="H66" s="145">
        <f t="shared" si="16"/>
        <v>9880</v>
      </c>
      <c r="I66" s="146">
        <f t="shared" si="17"/>
        <v>918</v>
      </c>
      <c r="J66" s="7">
        <f t="shared" si="10"/>
        <v>12955.3</v>
      </c>
      <c r="K66" s="9"/>
    </row>
    <row r="67" spans="1:11" ht="22.5" outlineLevel="2">
      <c r="A67" s="6">
        <f t="shared" si="22"/>
        <v>1.0504029999999998</v>
      </c>
      <c r="B67" s="8" t="s">
        <v>943</v>
      </c>
      <c r="C67" s="13" t="s">
        <v>121</v>
      </c>
      <c r="D67" s="10">
        <v>28</v>
      </c>
      <c r="E67" s="136">
        <v>222.75</v>
      </c>
      <c r="F67" s="11"/>
      <c r="G67" s="145">
        <f t="shared" si="15"/>
        <v>222.75</v>
      </c>
      <c r="H67" s="145">
        <f t="shared" si="16"/>
        <v>6237</v>
      </c>
      <c r="I67" s="146">
        <f t="shared" si="17"/>
        <v>0</v>
      </c>
      <c r="J67" s="7">
        <f t="shared" si="10"/>
        <v>6237</v>
      </c>
      <c r="K67" s="9"/>
    </row>
    <row r="68" spans="1:11" outlineLevel="2">
      <c r="A68" s="3">
        <f t="shared" si="22"/>
        <v>1.0504039999999997</v>
      </c>
      <c r="B68" s="8" t="s">
        <v>944</v>
      </c>
      <c r="C68" s="13" t="s">
        <v>945</v>
      </c>
      <c r="D68" s="10">
        <v>0</v>
      </c>
      <c r="E68" s="12"/>
      <c r="F68" s="11">
        <v>960</v>
      </c>
      <c r="G68" s="145" t="str">
        <f t="shared" si="15"/>
        <v/>
      </c>
      <c r="H68" s="145">
        <f t="shared" si="16"/>
        <v>0</v>
      </c>
      <c r="I68" s="146">
        <f t="shared" si="17"/>
        <v>0</v>
      </c>
      <c r="J68" s="7">
        <f t="shared" si="10"/>
        <v>0</v>
      </c>
      <c r="K68" s="9"/>
    </row>
    <row r="69" spans="1:11" outlineLevel="1">
      <c r="A69" s="195">
        <f>A64+0.0001</f>
        <v>1.0505</v>
      </c>
      <c r="B69" s="196" t="s">
        <v>946</v>
      </c>
      <c r="C69" s="13"/>
      <c r="D69" s="10"/>
      <c r="E69" s="12"/>
      <c r="F69" s="11"/>
      <c r="G69" s="145"/>
      <c r="H69" s="145"/>
      <c r="I69" s="146"/>
      <c r="J69" s="7"/>
      <c r="K69" s="9"/>
    </row>
    <row r="70" spans="1:11" outlineLevel="2">
      <c r="A70" s="6">
        <f>A69+0.000001</f>
        <v>1.0505009999999999</v>
      </c>
      <c r="B70" s="8" t="s">
        <v>947</v>
      </c>
      <c r="C70" s="13" t="s">
        <v>132</v>
      </c>
      <c r="D70" s="10">
        <v>23</v>
      </c>
      <c r="E70" s="12">
        <v>7468.06</v>
      </c>
      <c r="F70" s="11"/>
      <c r="G70" s="145">
        <f t="shared" si="15"/>
        <v>7468.06</v>
      </c>
      <c r="H70" s="145">
        <f t="shared" si="16"/>
        <v>171765.38</v>
      </c>
      <c r="I70" s="146">
        <f t="shared" si="17"/>
        <v>0</v>
      </c>
      <c r="J70" s="7">
        <f t="shared" si="10"/>
        <v>171765.38</v>
      </c>
      <c r="K70" s="9"/>
    </row>
    <row r="71" spans="1:11" outlineLevel="2">
      <c r="A71" s="6">
        <f>A70+0.000001</f>
        <v>1.0505019999999998</v>
      </c>
      <c r="B71" s="8" t="s">
        <v>948</v>
      </c>
      <c r="C71" s="13" t="s">
        <v>132</v>
      </c>
      <c r="D71" s="10">
        <v>10</v>
      </c>
      <c r="E71" s="12">
        <v>9126</v>
      </c>
      <c r="F71" s="11"/>
      <c r="G71" s="145">
        <f t="shared" ref="G71:G88" si="23">IFERROR(IF(D71=0,"",(E71+F71*TC)),"")</f>
        <v>9126</v>
      </c>
      <c r="H71" s="145">
        <f t="shared" si="16"/>
        <v>91260</v>
      </c>
      <c r="I71" s="146">
        <f t="shared" si="17"/>
        <v>0</v>
      </c>
      <c r="J71" s="7">
        <f t="shared" si="10"/>
        <v>91260</v>
      </c>
      <c r="K71" s="9"/>
    </row>
    <row r="72" spans="1:11">
      <c r="A72" s="133">
        <f>A53+0.01</f>
        <v>1.06</v>
      </c>
      <c r="B72" s="167" t="s">
        <v>949</v>
      </c>
      <c r="C72" s="122"/>
      <c r="D72" s="182"/>
      <c r="E72" s="137"/>
      <c r="F72" s="11">
        <v>0</v>
      </c>
      <c r="G72" s="145" t="str">
        <f t="shared" si="23"/>
        <v/>
      </c>
      <c r="H72" s="145"/>
      <c r="I72" s="146"/>
      <c r="J72" s="7"/>
      <c r="K72" s="128">
        <f>SUM(J74:J90)</f>
        <v>363309.84</v>
      </c>
    </row>
    <row r="73" spans="1:11" outlineLevel="1">
      <c r="A73" s="197">
        <f>A72+0.0001</f>
        <v>1.0601</v>
      </c>
      <c r="B73" s="198" t="s">
        <v>950</v>
      </c>
      <c r="C73" s="122"/>
      <c r="D73" s="182"/>
      <c r="E73" s="137"/>
      <c r="F73" s="11"/>
      <c r="G73" s="145" t="str">
        <f t="shared" si="23"/>
        <v/>
      </c>
      <c r="H73" s="145"/>
      <c r="I73" s="146"/>
      <c r="J73" s="7"/>
      <c r="K73" s="128"/>
    </row>
    <row r="74" spans="1:11" ht="22.5" outlineLevel="2">
      <c r="A74" s="6">
        <f>A73+0.000001</f>
        <v>1.060101</v>
      </c>
      <c r="B74" s="8" t="s">
        <v>951</v>
      </c>
      <c r="C74" s="13" t="s">
        <v>130</v>
      </c>
      <c r="D74" s="10">
        <v>1</v>
      </c>
      <c r="E74" s="12">
        <v>17325.13</v>
      </c>
      <c r="F74" s="11"/>
      <c r="G74" s="145">
        <f t="shared" si="23"/>
        <v>17325.13</v>
      </c>
      <c r="H74" s="145">
        <f t="shared" si="16"/>
        <v>17325.13</v>
      </c>
      <c r="I74" s="146">
        <f t="shared" si="17"/>
        <v>0</v>
      </c>
      <c r="J74" s="7">
        <f t="shared" ref="J74:J90" si="24">+ROUND(H74+I74*TC,2)</f>
        <v>17325.13</v>
      </c>
      <c r="K74" s="9"/>
    </row>
    <row r="75" spans="1:11" ht="22.5" outlineLevel="2">
      <c r="A75" s="6">
        <f t="shared" ref="A75:A81" si="25">A74+0.000001</f>
        <v>1.0601019999999999</v>
      </c>
      <c r="B75" s="8" t="s">
        <v>952</v>
      </c>
      <c r="C75" s="13" t="s">
        <v>130</v>
      </c>
      <c r="D75" s="10">
        <v>1</v>
      </c>
      <c r="E75" s="12">
        <v>93982.5</v>
      </c>
      <c r="F75" s="11"/>
      <c r="G75" s="145">
        <f t="shared" si="23"/>
        <v>93982.5</v>
      </c>
      <c r="H75" s="145">
        <f t="shared" si="16"/>
        <v>93982.5</v>
      </c>
      <c r="I75" s="146">
        <f t="shared" si="17"/>
        <v>0</v>
      </c>
      <c r="J75" s="7">
        <f t="shared" si="24"/>
        <v>93982.5</v>
      </c>
      <c r="K75" s="9"/>
    </row>
    <row r="76" spans="1:11" ht="22.5" outlineLevel="2">
      <c r="A76" s="6">
        <f t="shared" si="25"/>
        <v>1.0601029999999998</v>
      </c>
      <c r="B76" s="8" t="s">
        <v>2805</v>
      </c>
      <c r="C76" s="13" t="s">
        <v>132</v>
      </c>
      <c r="D76" s="10">
        <v>18</v>
      </c>
      <c r="E76" s="12">
        <v>4686.24</v>
      </c>
      <c r="F76" s="11"/>
      <c r="G76" s="145">
        <f t="shared" si="23"/>
        <v>4686.24</v>
      </c>
      <c r="H76" s="145">
        <f t="shared" si="16"/>
        <v>84352.320000000007</v>
      </c>
      <c r="I76" s="146">
        <f t="shared" si="17"/>
        <v>0</v>
      </c>
      <c r="J76" s="7">
        <f t="shared" si="24"/>
        <v>84352.320000000007</v>
      </c>
      <c r="K76" s="9"/>
    </row>
    <row r="77" spans="1:11" outlineLevel="2">
      <c r="A77" s="6">
        <f t="shared" si="25"/>
        <v>1.0601039999999997</v>
      </c>
      <c r="B77" s="8" t="s">
        <v>953</v>
      </c>
      <c r="C77" s="13" t="s">
        <v>130</v>
      </c>
      <c r="D77" s="10">
        <v>1</v>
      </c>
      <c r="E77" s="12">
        <v>1300</v>
      </c>
      <c r="F77" s="11"/>
      <c r="G77" s="145">
        <f t="shared" si="23"/>
        <v>1300</v>
      </c>
      <c r="H77" s="145">
        <f t="shared" si="16"/>
        <v>1300</v>
      </c>
      <c r="I77" s="146">
        <f t="shared" si="17"/>
        <v>0</v>
      </c>
      <c r="J77" s="7">
        <f t="shared" si="24"/>
        <v>1300</v>
      </c>
      <c r="K77" s="9"/>
    </row>
    <row r="78" spans="1:11" outlineLevel="2">
      <c r="A78" s="6">
        <f t="shared" si="25"/>
        <v>1.0601049999999996</v>
      </c>
      <c r="B78" s="8" t="s">
        <v>954</v>
      </c>
      <c r="C78" s="13" t="s">
        <v>130</v>
      </c>
      <c r="D78" s="10">
        <v>0</v>
      </c>
      <c r="E78" s="12">
        <v>13000</v>
      </c>
      <c r="F78" s="11"/>
      <c r="G78" s="145" t="str">
        <f t="shared" si="23"/>
        <v/>
      </c>
      <c r="H78" s="145">
        <f t="shared" si="16"/>
        <v>0</v>
      </c>
      <c r="I78" s="146">
        <f t="shared" si="17"/>
        <v>0</v>
      </c>
      <c r="J78" s="7">
        <f t="shared" si="24"/>
        <v>0</v>
      </c>
      <c r="K78" s="9"/>
    </row>
    <row r="79" spans="1:11" outlineLevel="2">
      <c r="A79" s="6">
        <f t="shared" si="25"/>
        <v>1.0601059999999995</v>
      </c>
      <c r="B79" s="8" t="s">
        <v>955</v>
      </c>
      <c r="C79" s="13" t="s">
        <v>132</v>
      </c>
      <c r="D79" s="10">
        <v>23</v>
      </c>
      <c r="E79" s="12">
        <v>1500</v>
      </c>
      <c r="F79" s="11"/>
      <c r="G79" s="145">
        <f t="shared" si="23"/>
        <v>1500</v>
      </c>
      <c r="H79" s="145">
        <f t="shared" si="16"/>
        <v>34500</v>
      </c>
      <c r="I79" s="146">
        <f t="shared" si="17"/>
        <v>0</v>
      </c>
      <c r="J79" s="7">
        <f t="shared" si="24"/>
        <v>34500</v>
      </c>
      <c r="K79" s="9"/>
    </row>
    <row r="80" spans="1:11" outlineLevel="2">
      <c r="A80" s="6">
        <f t="shared" si="25"/>
        <v>1.0601069999999995</v>
      </c>
      <c r="B80" s="8" t="s">
        <v>956</v>
      </c>
      <c r="C80" s="13" t="s">
        <v>957</v>
      </c>
      <c r="D80" s="10">
        <v>13</v>
      </c>
      <c r="E80" s="12">
        <v>340</v>
      </c>
      <c r="F80" s="11"/>
      <c r="G80" s="145">
        <f t="shared" si="23"/>
        <v>340</v>
      </c>
      <c r="H80" s="145">
        <f t="shared" si="16"/>
        <v>4420</v>
      </c>
      <c r="I80" s="146">
        <f t="shared" si="17"/>
        <v>0</v>
      </c>
      <c r="J80" s="7">
        <f t="shared" si="24"/>
        <v>4420</v>
      </c>
      <c r="K80" s="9"/>
    </row>
    <row r="81" spans="1:11" outlineLevel="2">
      <c r="A81" s="6">
        <f t="shared" si="25"/>
        <v>1.0601079999999994</v>
      </c>
      <c r="B81" s="191" t="s">
        <v>958</v>
      </c>
      <c r="C81" s="13" t="s">
        <v>132</v>
      </c>
      <c r="D81" s="10">
        <v>23</v>
      </c>
      <c r="E81" s="12">
        <v>5540.43</v>
      </c>
      <c r="F81" s="11"/>
      <c r="G81" s="145">
        <f t="shared" si="23"/>
        <v>5540.43</v>
      </c>
      <c r="H81" s="145">
        <f t="shared" si="16"/>
        <v>127429.89</v>
      </c>
      <c r="I81" s="146">
        <f t="shared" si="17"/>
        <v>0</v>
      </c>
      <c r="J81" s="7">
        <f t="shared" si="24"/>
        <v>127429.89</v>
      </c>
      <c r="K81" s="9"/>
    </row>
    <row r="82" spans="1:11" ht="22.5" outlineLevel="1">
      <c r="A82" s="195">
        <f>A73+0.0001</f>
        <v>1.0602</v>
      </c>
      <c r="B82" s="198" t="s">
        <v>2827</v>
      </c>
      <c r="C82" s="13"/>
      <c r="D82" s="10"/>
      <c r="E82" s="12"/>
      <c r="F82" s="11"/>
      <c r="G82" s="145" t="str">
        <f t="shared" si="23"/>
        <v/>
      </c>
      <c r="H82" s="145"/>
      <c r="I82" s="146"/>
      <c r="J82" s="7"/>
      <c r="K82" s="9"/>
    </row>
    <row r="83" spans="1:11" outlineLevel="2">
      <c r="A83" s="6">
        <f>A82+0.000001</f>
        <v>1.0602009999999999</v>
      </c>
      <c r="B83" s="8" t="s">
        <v>959</v>
      </c>
      <c r="C83" s="13" t="s">
        <v>960</v>
      </c>
      <c r="D83" s="10">
        <v>0</v>
      </c>
      <c r="E83" s="136"/>
      <c r="F83" s="11">
        <v>300</v>
      </c>
      <c r="G83" s="145" t="str">
        <f>IFERROR(IF(D83=0,"",(E83+F83*TC)),"")</f>
        <v/>
      </c>
      <c r="H83" s="145">
        <f t="shared" ref="H83:H84" si="26">+ROUND(D83*E83,2)</f>
        <v>0</v>
      </c>
      <c r="I83" s="146">
        <f t="shared" ref="I83:I84" si="27">+ROUND(D83*F83,2)</f>
        <v>0</v>
      </c>
      <c r="J83" s="7">
        <f t="shared" ref="J83:J84" si="28">+ROUND(H83+I83*TC,2)</f>
        <v>0</v>
      </c>
      <c r="K83" s="9"/>
    </row>
    <row r="84" spans="1:11" ht="22.5" outlineLevel="2">
      <c r="A84" s="6">
        <f>A83+0.000001</f>
        <v>1.0602019999999999</v>
      </c>
      <c r="B84" s="8" t="s">
        <v>961</v>
      </c>
      <c r="C84" s="13" t="s">
        <v>132</v>
      </c>
      <c r="D84" s="10">
        <v>0</v>
      </c>
      <c r="E84" s="136"/>
      <c r="F84" s="11">
        <v>6261.04</v>
      </c>
      <c r="G84" s="145" t="str">
        <f t="shared" si="23"/>
        <v/>
      </c>
      <c r="H84" s="145">
        <f t="shared" si="26"/>
        <v>0</v>
      </c>
      <c r="I84" s="146">
        <f t="shared" si="27"/>
        <v>0</v>
      </c>
      <c r="J84" s="7">
        <f t="shared" si="28"/>
        <v>0</v>
      </c>
      <c r="K84" s="9"/>
    </row>
    <row r="85" spans="1:11" ht="22.5" outlineLevel="1">
      <c r="A85" s="195">
        <f>A82+0.0001</f>
        <v>1.0603</v>
      </c>
      <c r="B85" s="196" t="s">
        <v>962</v>
      </c>
      <c r="C85" s="13"/>
      <c r="D85" s="10"/>
      <c r="E85" s="12"/>
      <c r="F85" s="11"/>
      <c r="G85" s="145" t="str">
        <f>IFERROR(IF(D85=0,"",(E85+F85*TC)),"")</f>
        <v/>
      </c>
      <c r="H85" s="145">
        <f>+ROUND(D85*E85,2)</f>
        <v>0</v>
      </c>
      <c r="I85" s="146">
        <f>+ROUND(D85*F85,2)</f>
        <v>0</v>
      </c>
      <c r="J85" s="7">
        <f t="shared" si="24"/>
        <v>0</v>
      </c>
      <c r="K85" s="9"/>
    </row>
    <row r="86" spans="1:11" outlineLevel="2">
      <c r="A86" s="6">
        <f>A85+0.000001</f>
        <v>1.0603009999999999</v>
      </c>
      <c r="B86" s="8" t="s">
        <v>963</v>
      </c>
      <c r="C86" s="13" t="s">
        <v>960</v>
      </c>
      <c r="D86" s="10">
        <v>0</v>
      </c>
      <c r="E86" s="136"/>
      <c r="F86" s="11">
        <v>220</v>
      </c>
      <c r="G86" s="145" t="str">
        <f>IFERROR(IF(D86=0,"",(E86+F86*TC)),"")</f>
        <v/>
      </c>
      <c r="H86" s="145">
        <f>+ROUND(D86*E86,2)</f>
        <v>0</v>
      </c>
      <c r="I86" s="146">
        <f>+ROUND(D86*F86,2)</f>
        <v>0</v>
      </c>
      <c r="J86" s="7">
        <f t="shared" si="24"/>
        <v>0</v>
      </c>
      <c r="K86" s="9"/>
    </row>
    <row r="87" spans="1:11" ht="22.5" outlineLevel="2">
      <c r="A87" s="6">
        <f>A86+0.000001</f>
        <v>1.0603019999999999</v>
      </c>
      <c r="B87" s="8" t="s">
        <v>964</v>
      </c>
      <c r="C87" s="13" t="s">
        <v>132</v>
      </c>
      <c r="D87" s="10">
        <v>0</v>
      </c>
      <c r="E87" s="136"/>
      <c r="F87" s="11">
        <v>2353.6800000000003</v>
      </c>
      <c r="G87" s="145" t="str">
        <f t="shared" si="23"/>
        <v/>
      </c>
      <c r="H87" s="145">
        <f t="shared" si="16"/>
        <v>0</v>
      </c>
      <c r="I87" s="146">
        <f t="shared" si="17"/>
        <v>0</v>
      </c>
      <c r="J87" s="7">
        <f t="shared" si="24"/>
        <v>0</v>
      </c>
      <c r="K87" s="9"/>
    </row>
    <row r="88" spans="1:11" ht="22.5" outlineLevel="1">
      <c r="A88" s="195">
        <f>A85+0.0001</f>
        <v>1.0604</v>
      </c>
      <c r="B88" s="198" t="s">
        <v>965</v>
      </c>
      <c r="C88" s="13"/>
      <c r="D88" s="10"/>
      <c r="E88" s="12"/>
      <c r="F88" s="11"/>
      <c r="G88" s="145" t="str">
        <f t="shared" si="23"/>
        <v/>
      </c>
      <c r="H88" s="145">
        <f t="shared" si="16"/>
        <v>0</v>
      </c>
      <c r="I88" s="146">
        <f t="shared" si="17"/>
        <v>0</v>
      </c>
      <c r="J88" s="7">
        <f t="shared" si="24"/>
        <v>0</v>
      </c>
      <c r="K88" s="9"/>
    </row>
    <row r="89" spans="1:11" ht="22.5" outlineLevel="2">
      <c r="A89" s="6">
        <f>A88+0.000001</f>
        <v>1.0604009999999999</v>
      </c>
      <c r="B89" s="8" t="s">
        <v>966</v>
      </c>
      <c r="C89" s="13" t="s">
        <v>960</v>
      </c>
      <c r="D89" s="10">
        <v>0</v>
      </c>
      <c r="E89" s="136"/>
      <c r="F89" s="11">
        <v>220</v>
      </c>
      <c r="G89" s="145" t="str">
        <f t="shared" ref="G89:G90" si="29">IFERROR(IF(D89=0,"",(E89+F89*TC)),"")</f>
        <v/>
      </c>
      <c r="H89" s="145">
        <f t="shared" si="16"/>
        <v>0</v>
      </c>
      <c r="I89" s="146">
        <f t="shared" si="17"/>
        <v>0</v>
      </c>
      <c r="J89" s="7">
        <f t="shared" si="24"/>
        <v>0</v>
      </c>
      <c r="K89" s="9"/>
    </row>
    <row r="90" spans="1:11" ht="22.5" outlineLevel="2">
      <c r="A90" s="6">
        <f>A89+0.000001</f>
        <v>1.0604019999999998</v>
      </c>
      <c r="B90" s="8" t="s">
        <v>967</v>
      </c>
      <c r="C90" s="13" t="s">
        <v>132</v>
      </c>
      <c r="D90" s="10">
        <v>0</v>
      </c>
      <c r="E90" s="136"/>
      <c r="F90" s="11">
        <v>1150.92</v>
      </c>
      <c r="G90" s="145" t="str">
        <f t="shared" si="29"/>
        <v/>
      </c>
      <c r="H90" s="145">
        <f t="shared" si="16"/>
        <v>0</v>
      </c>
      <c r="I90" s="146">
        <f t="shared" si="17"/>
        <v>0</v>
      </c>
      <c r="J90" s="7">
        <f t="shared" si="24"/>
        <v>0</v>
      </c>
      <c r="K90" s="9"/>
    </row>
    <row r="91" spans="1:11">
      <c r="A91" s="133">
        <f>A72+0.01</f>
        <v>1.07</v>
      </c>
      <c r="B91" s="167" t="s">
        <v>968</v>
      </c>
      <c r="C91" s="122"/>
      <c r="D91" s="182"/>
      <c r="E91" s="137"/>
      <c r="F91" s="11"/>
      <c r="G91" s="145"/>
      <c r="H91" s="145"/>
      <c r="I91" s="146"/>
      <c r="J91" s="7"/>
      <c r="K91" s="128">
        <f>SUM(J92)</f>
        <v>447411.64</v>
      </c>
    </row>
    <row r="92" spans="1:11" outlineLevel="1">
      <c r="A92" s="3">
        <f t="shared" ref="A92:A99" si="30">A91+0.0001</f>
        <v>1.0701000000000001</v>
      </c>
      <c r="B92" s="8" t="s">
        <v>969</v>
      </c>
      <c r="C92" s="13" t="s">
        <v>132</v>
      </c>
      <c r="D92" s="10">
        <v>23</v>
      </c>
      <c r="E92" s="136">
        <v>19452.68</v>
      </c>
      <c r="F92" s="11"/>
      <c r="G92" s="145">
        <f t="shared" ref="G92:G105" si="31">IFERROR(IF(D92=0,"",(E92+F92*TC)),"")</f>
        <v>19452.68</v>
      </c>
      <c r="H92" s="145">
        <f t="shared" si="16"/>
        <v>447411.64</v>
      </c>
      <c r="I92" s="146">
        <f t="shared" si="17"/>
        <v>0</v>
      </c>
      <c r="J92" s="7">
        <f>+ROUND(H92+I92*TC,2)</f>
        <v>447411.64</v>
      </c>
      <c r="K92" s="9"/>
    </row>
    <row r="93" spans="1:11">
      <c r="A93" s="133">
        <f>A91+0.01</f>
        <v>1.08</v>
      </c>
      <c r="B93" s="167" t="s">
        <v>970</v>
      </c>
      <c r="C93" s="122"/>
      <c r="D93" s="182"/>
      <c r="E93" s="137"/>
      <c r="F93" s="11">
        <v>0</v>
      </c>
      <c r="G93" s="145"/>
      <c r="H93" s="145"/>
      <c r="I93" s="146"/>
      <c r="J93" s="7"/>
      <c r="K93" s="128">
        <f>SUM(J94:J99)</f>
        <v>464265.64</v>
      </c>
    </row>
    <row r="94" spans="1:11" outlineLevel="1">
      <c r="A94" s="3">
        <f>A93+0.0001</f>
        <v>1.0801000000000001</v>
      </c>
      <c r="B94" s="8" t="s">
        <v>971</v>
      </c>
      <c r="C94" s="13" t="s">
        <v>132</v>
      </c>
      <c r="D94" s="10">
        <v>17</v>
      </c>
      <c r="E94" s="12">
        <v>5485.8</v>
      </c>
      <c r="F94" s="11"/>
      <c r="G94" s="145">
        <f t="shared" si="31"/>
        <v>5485.8</v>
      </c>
      <c r="H94" s="145">
        <f t="shared" si="16"/>
        <v>93258.6</v>
      </c>
      <c r="I94" s="146">
        <f t="shared" si="17"/>
        <v>0</v>
      </c>
      <c r="J94" s="7">
        <f t="shared" ref="J94:J99" si="32">+ROUND(H94+I94*TC,2)</f>
        <v>93258.6</v>
      </c>
      <c r="K94" s="9"/>
    </row>
    <row r="95" spans="1:11" ht="22.5" outlineLevel="1">
      <c r="A95" s="3">
        <f t="shared" si="30"/>
        <v>1.0802</v>
      </c>
      <c r="B95" s="8" t="s">
        <v>972</v>
      </c>
      <c r="C95" s="13" t="s">
        <v>973</v>
      </c>
      <c r="D95" s="10">
        <v>2868</v>
      </c>
      <c r="E95" s="12">
        <v>39</v>
      </c>
      <c r="F95" s="11"/>
      <c r="G95" s="145">
        <f t="shared" si="31"/>
        <v>39</v>
      </c>
      <c r="H95" s="145">
        <f t="shared" ref="H95:H105" si="33">+ROUND(D95*E95,2)</f>
        <v>111852</v>
      </c>
      <c r="I95" s="146">
        <f t="shared" ref="I95:I105" si="34">+ROUND(D95*F95,2)</f>
        <v>0</v>
      </c>
      <c r="J95" s="7">
        <f t="shared" si="32"/>
        <v>111852</v>
      </c>
      <c r="K95" s="9"/>
    </row>
    <row r="96" spans="1:11" ht="22.5" outlineLevel="1">
      <c r="A96" s="3">
        <f t="shared" si="30"/>
        <v>1.0803</v>
      </c>
      <c r="B96" s="8" t="s">
        <v>974</v>
      </c>
      <c r="C96" s="13" t="s">
        <v>957</v>
      </c>
      <c r="D96" s="10">
        <v>88</v>
      </c>
      <c r="E96" s="12">
        <v>550</v>
      </c>
      <c r="F96" s="11"/>
      <c r="G96" s="145">
        <f>IFERROR(IF(D96=0,"",(E96+F96*TC)),"")</f>
        <v>550</v>
      </c>
      <c r="H96" s="145">
        <f t="shared" si="33"/>
        <v>48400</v>
      </c>
      <c r="I96" s="146">
        <f t="shared" si="34"/>
        <v>0</v>
      </c>
      <c r="J96" s="7">
        <f t="shared" si="32"/>
        <v>48400</v>
      </c>
      <c r="K96" s="9"/>
    </row>
    <row r="97" spans="1:11" outlineLevel="1">
      <c r="A97" s="3">
        <f t="shared" si="30"/>
        <v>1.0804</v>
      </c>
      <c r="B97" s="8" t="s">
        <v>975</v>
      </c>
      <c r="C97" s="13" t="s">
        <v>130</v>
      </c>
      <c r="D97" s="10">
        <v>1</v>
      </c>
      <c r="E97" s="12">
        <v>38029.480000000003</v>
      </c>
      <c r="F97" s="11"/>
      <c r="G97" s="145">
        <f t="shared" si="31"/>
        <v>38029.480000000003</v>
      </c>
      <c r="H97" s="145">
        <f t="shared" si="33"/>
        <v>38029.480000000003</v>
      </c>
      <c r="I97" s="146">
        <f t="shared" si="34"/>
        <v>0</v>
      </c>
      <c r="J97" s="7">
        <f t="shared" si="32"/>
        <v>38029.480000000003</v>
      </c>
      <c r="K97" s="9"/>
    </row>
    <row r="98" spans="1:11" outlineLevel="1">
      <c r="A98" s="3">
        <f t="shared" si="30"/>
        <v>1.0805</v>
      </c>
      <c r="B98" s="8" t="s">
        <v>976</v>
      </c>
      <c r="C98" s="13" t="s">
        <v>130</v>
      </c>
      <c r="D98" s="10">
        <v>1</v>
      </c>
      <c r="E98" s="12">
        <v>172725.56</v>
      </c>
      <c r="F98" s="11"/>
      <c r="G98" s="145">
        <f t="shared" si="31"/>
        <v>172725.56</v>
      </c>
      <c r="H98" s="145">
        <f t="shared" si="33"/>
        <v>172725.56</v>
      </c>
      <c r="I98" s="146">
        <f t="shared" si="34"/>
        <v>0</v>
      </c>
      <c r="J98" s="7">
        <f t="shared" si="32"/>
        <v>172725.56</v>
      </c>
      <c r="K98" s="9"/>
    </row>
    <row r="99" spans="1:11" outlineLevel="1">
      <c r="A99" s="3">
        <f t="shared" si="30"/>
        <v>1.0806</v>
      </c>
      <c r="B99" s="8" t="s">
        <v>977</v>
      </c>
      <c r="C99" s="13" t="s">
        <v>82</v>
      </c>
      <c r="D99" s="199"/>
      <c r="E99" s="12"/>
      <c r="F99" s="11"/>
      <c r="G99" s="145" t="str">
        <f t="shared" si="31"/>
        <v/>
      </c>
      <c r="H99" s="145">
        <f t="shared" si="33"/>
        <v>0</v>
      </c>
      <c r="I99" s="146">
        <f t="shared" si="34"/>
        <v>0</v>
      </c>
      <c r="J99" s="7">
        <f t="shared" si="32"/>
        <v>0</v>
      </c>
      <c r="K99" s="9"/>
    </row>
    <row r="100" spans="1:11">
      <c r="A100" s="133">
        <f>A93+0.01</f>
        <v>1.0900000000000001</v>
      </c>
      <c r="B100" s="167" t="s">
        <v>978</v>
      </c>
      <c r="C100" s="122"/>
      <c r="D100" s="182"/>
      <c r="E100" s="137"/>
      <c r="F100" s="11">
        <v>0</v>
      </c>
      <c r="G100" s="145" t="str">
        <f t="shared" si="31"/>
        <v/>
      </c>
      <c r="H100" s="145"/>
      <c r="I100" s="146"/>
      <c r="J100" s="7"/>
      <c r="K100" s="128">
        <f>SUM(J102:J116)</f>
        <v>379689.74000000005</v>
      </c>
    </row>
    <row r="101" spans="1:11" outlineLevel="1">
      <c r="A101" s="197">
        <f>A100+0.0001</f>
        <v>1.0901000000000001</v>
      </c>
      <c r="B101" s="198" t="s">
        <v>979</v>
      </c>
      <c r="C101" s="122"/>
      <c r="D101" s="182"/>
      <c r="E101" s="137"/>
      <c r="F101" s="11"/>
      <c r="G101" s="145" t="str">
        <f t="shared" si="31"/>
        <v/>
      </c>
      <c r="H101" s="145"/>
      <c r="I101" s="146"/>
      <c r="J101" s="7"/>
      <c r="K101" s="128"/>
    </row>
    <row r="102" spans="1:11" outlineLevel="2">
      <c r="A102" s="6">
        <f>A101+0.000001</f>
        <v>1.090101</v>
      </c>
      <c r="B102" s="8" t="s">
        <v>980</v>
      </c>
      <c r="C102" s="13" t="s">
        <v>82</v>
      </c>
      <c r="D102" s="10">
        <v>20240.360999999994</v>
      </c>
      <c r="E102" s="12">
        <v>6.28</v>
      </c>
      <c r="F102" s="11"/>
      <c r="G102" s="145">
        <f t="shared" si="31"/>
        <v>6.28</v>
      </c>
      <c r="H102" s="145">
        <f t="shared" si="33"/>
        <v>127109.47</v>
      </c>
      <c r="I102" s="146">
        <f t="shared" si="34"/>
        <v>0</v>
      </c>
      <c r="J102" s="7">
        <f>+ROUND(H102+I102*TC,2)</f>
        <v>127109.47</v>
      </c>
      <c r="K102" s="9"/>
    </row>
    <row r="103" spans="1:11" ht="22.5" outlineLevel="2">
      <c r="A103" s="3"/>
      <c r="B103" s="191" t="s">
        <v>981</v>
      </c>
      <c r="C103" s="13" t="s">
        <v>82</v>
      </c>
      <c r="D103" s="10">
        <v>0</v>
      </c>
      <c r="E103" s="12"/>
      <c r="F103" s="11"/>
      <c r="G103" s="145" t="str">
        <f t="shared" si="31"/>
        <v/>
      </c>
      <c r="H103" s="145">
        <f t="shared" si="33"/>
        <v>0</v>
      </c>
      <c r="I103" s="146">
        <f t="shared" si="34"/>
        <v>0</v>
      </c>
      <c r="J103" s="7">
        <f>+ROUND(H103+I103*TC,2)</f>
        <v>0</v>
      </c>
      <c r="K103" s="9"/>
    </row>
    <row r="104" spans="1:11" ht="33.75" outlineLevel="2">
      <c r="A104" s="3"/>
      <c r="B104" s="191" t="s">
        <v>982</v>
      </c>
      <c r="C104" s="13" t="s">
        <v>82</v>
      </c>
      <c r="D104" s="10">
        <v>0</v>
      </c>
      <c r="E104" s="12"/>
      <c r="F104" s="11"/>
      <c r="G104" s="145" t="str">
        <f t="shared" si="31"/>
        <v/>
      </c>
      <c r="H104" s="145">
        <f t="shared" si="33"/>
        <v>0</v>
      </c>
      <c r="I104" s="146">
        <f t="shared" si="34"/>
        <v>0</v>
      </c>
      <c r="J104" s="7">
        <f>+ROUND(H104+I104*TC,2)</f>
        <v>0</v>
      </c>
      <c r="K104" s="9"/>
    </row>
    <row r="105" spans="1:11" ht="22.5" outlineLevel="2">
      <c r="A105" s="6">
        <f>A107+0.000001</f>
        <v>1.0902019999999999</v>
      </c>
      <c r="B105" s="45" t="s">
        <v>983</v>
      </c>
      <c r="C105" s="13" t="s">
        <v>141</v>
      </c>
      <c r="D105" s="10"/>
      <c r="E105" s="12">
        <v>6.75</v>
      </c>
      <c r="F105" s="11"/>
      <c r="G105" s="145" t="str">
        <f t="shared" si="31"/>
        <v/>
      </c>
      <c r="H105" s="145">
        <f t="shared" si="33"/>
        <v>0</v>
      </c>
      <c r="I105" s="146">
        <f t="shared" si="34"/>
        <v>0</v>
      </c>
      <c r="J105" s="7">
        <f>+ROUND(H105+I105*TC,2)</f>
        <v>0</v>
      </c>
      <c r="K105" s="9"/>
    </row>
    <row r="106" spans="1:11" outlineLevel="1">
      <c r="A106" s="197">
        <f>A101+0.0001</f>
        <v>1.0902000000000001</v>
      </c>
      <c r="B106" s="198" t="s">
        <v>984</v>
      </c>
      <c r="C106" s="122"/>
      <c r="D106" s="182"/>
      <c r="E106" s="137"/>
      <c r="F106" s="11"/>
      <c r="G106" s="145" t="str">
        <f t="shared" ref="G106" si="35">IFERROR(IF(D106=0,"",(E106+F106*TC)),"")</f>
        <v/>
      </c>
      <c r="H106" s="145"/>
      <c r="I106" s="146"/>
      <c r="J106" s="7"/>
      <c r="K106" s="128"/>
    </row>
    <row r="107" spans="1:11" outlineLevel="2">
      <c r="A107" s="6">
        <f>A106+0.000001</f>
        <v>1.090201</v>
      </c>
      <c r="B107" s="191" t="s">
        <v>985</v>
      </c>
      <c r="C107" s="13" t="s">
        <v>132</v>
      </c>
      <c r="D107" s="10">
        <v>10</v>
      </c>
      <c r="E107" s="12">
        <v>3066.8</v>
      </c>
      <c r="F107" s="11"/>
      <c r="G107" s="145">
        <f>IFERROR(IF(D107=0,"",(E107+F107*TC)),"")</f>
        <v>3066.8</v>
      </c>
      <c r="H107" s="145">
        <f>+ROUND(D107*E107,2)</f>
        <v>30668</v>
      </c>
      <c r="I107" s="146">
        <f>+ROUND(D107*F107,2)</f>
        <v>0</v>
      </c>
      <c r="J107" s="7">
        <f>+ROUND(H107+I107*TC,2)</f>
        <v>30668</v>
      </c>
      <c r="K107" s="9"/>
    </row>
    <row r="108" spans="1:11" outlineLevel="2">
      <c r="A108" s="6">
        <f t="shared" ref="A108" si="36">A107+0.000001</f>
        <v>1.0902019999999999</v>
      </c>
      <c r="B108" s="8" t="s">
        <v>986</v>
      </c>
      <c r="C108" s="13" t="s">
        <v>132</v>
      </c>
      <c r="D108" s="10">
        <v>23</v>
      </c>
      <c r="E108" s="12">
        <v>2939.13</v>
      </c>
      <c r="F108" s="11"/>
      <c r="G108" s="145">
        <f>IFERROR(IF(D108=0,"",(E108+F108*TC)),"")</f>
        <v>2939.13</v>
      </c>
      <c r="H108" s="145">
        <f>+ROUND(D108*E108,2)</f>
        <v>67599.990000000005</v>
      </c>
      <c r="I108" s="146">
        <f>+ROUND(D108*F108,2)</f>
        <v>0</v>
      </c>
      <c r="J108" s="7">
        <f>+ROUND(H108+I108*TC,2)</f>
        <v>67599.990000000005</v>
      </c>
      <c r="K108" s="9"/>
    </row>
    <row r="109" spans="1:11" ht="22.5" outlineLevel="2">
      <c r="A109" s="6">
        <f>A108+0.000001</f>
        <v>1.0902029999999998</v>
      </c>
      <c r="B109" s="191" t="s">
        <v>987</v>
      </c>
      <c r="C109" s="13" t="s">
        <v>132</v>
      </c>
      <c r="D109" s="10"/>
      <c r="E109" s="12">
        <v>0</v>
      </c>
      <c r="F109" s="11"/>
      <c r="G109" s="145" t="str">
        <f>IFERROR(IF(D109=0,"",(E109+F109*TC)),"")</f>
        <v/>
      </c>
      <c r="H109" s="145">
        <f>+ROUND(D109*E109,2)</f>
        <v>0</v>
      </c>
      <c r="I109" s="146">
        <f>+ROUND(D109*F109,2)</f>
        <v>0</v>
      </c>
      <c r="J109" s="7">
        <f>+ROUND(H109+I109*TC,2)</f>
        <v>0</v>
      </c>
      <c r="K109" s="9"/>
    </row>
    <row r="110" spans="1:11" outlineLevel="1">
      <c r="A110" s="197">
        <f>A106+0.0001</f>
        <v>1.0903</v>
      </c>
      <c r="B110" s="198" t="s">
        <v>988</v>
      </c>
      <c r="C110" s="122"/>
      <c r="D110" s="182"/>
      <c r="E110" s="137"/>
      <c r="F110" s="11"/>
      <c r="G110" s="145" t="str">
        <f t="shared" ref="G110" si="37">IFERROR(IF(D110=0,"",(E110+F110*TC)),"")</f>
        <v/>
      </c>
      <c r="H110" s="145"/>
      <c r="I110" s="146"/>
      <c r="J110" s="7"/>
      <c r="K110" s="128"/>
    </row>
    <row r="111" spans="1:11" outlineLevel="2">
      <c r="A111" s="6">
        <f>A110+0.000001</f>
        <v>1.090301</v>
      </c>
      <c r="B111" s="8" t="s">
        <v>989</v>
      </c>
      <c r="C111" s="13" t="s">
        <v>990</v>
      </c>
      <c r="D111" s="10">
        <v>554</v>
      </c>
      <c r="E111" s="12">
        <v>98</v>
      </c>
      <c r="F111" s="11"/>
      <c r="G111" s="145">
        <f>IFERROR(IF(D111=0,"",(E111+F111*TC)),"")</f>
        <v>98</v>
      </c>
      <c r="H111" s="145">
        <f>+ROUND(D111*E111,2)</f>
        <v>54292</v>
      </c>
      <c r="I111" s="146">
        <f>+ROUND(D111*F111,2)</f>
        <v>0</v>
      </c>
      <c r="J111" s="7">
        <f t="shared" ref="J111:J113" si="38">+ROUND(H111+I111*TC,2)</f>
        <v>54292</v>
      </c>
      <c r="K111" s="9"/>
    </row>
    <row r="112" spans="1:11" outlineLevel="2">
      <c r="A112" s="6">
        <f t="shared" ref="A112" si="39">A111+0.000001</f>
        <v>1.0903019999999999</v>
      </c>
      <c r="B112" s="8" t="s">
        <v>991</v>
      </c>
      <c r="C112" s="13" t="s">
        <v>130</v>
      </c>
      <c r="D112" s="10">
        <v>1</v>
      </c>
      <c r="E112" s="12">
        <v>4784</v>
      </c>
      <c r="F112" s="11"/>
      <c r="G112" s="145">
        <f>IFERROR(IF(D112=0,"",(E112+F112*TC)),"")</f>
        <v>4784</v>
      </c>
      <c r="H112" s="145">
        <f>+ROUND(D112*E112,2)</f>
        <v>4784</v>
      </c>
      <c r="I112" s="146">
        <f>+ROUND(D112*F112,2)</f>
        <v>0</v>
      </c>
      <c r="J112" s="7">
        <f t="shared" si="38"/>
        <v>4784</v>
      </c>
      <c r="K112" s="9"/>
    </row>
    <row r="113" spans="1:11" outlineLevel="2">
      <c r="A113" s="6">
        <f>A112+0.000001</f>
        <v>1.0903029999999998</v>
      </c>
      <c r="B113" s="8" t="s">
        <v>992</v>
      </c>
      <c r="C113" s="13" t="s">
        <v>990</v>
      </c>
      <c r="D113" s="10">
        <v>7</v>
      </c>
      <c r="E113" s="12">
        <v>85</v>
      </c>
      <c r="F113" s="11"/>
      <c r="G113" s="145">
        <f>IFERROR(IF(D113=0,"",(E113+F113*TC)),"")</f>
        <v>85</v>
      </c>
      <c r="H113" s="145">
        <f>+ROUND(D113*E113,2)</f>
        <v>595</v>
      </c>
      <c r="I113" s="146">
        <f>+ROUND(D113*F113,2)</f>
        <v>0</v>
      </c>
      <c r="J113" s="7">
        <f t="shared" si="38"/>
        <v>595</v>
      </c>
      <c r="K113" s="9"/>
    </row>
    <row r="114" spans="1:11" outlineLevel="1">
      <c r="A114" s="197">
        <f>A110+0.0001</f>
        <v>1.0904</v>
      </c>
      <c r="B114" s="198" t="s">
        <v>309</v>
      </c>
      <c r="C114" s="122"/>
      <c r="D114" s="182"/>
      <c r="E114" s="137"/>
      <c r="F114" s="11"/>
      <c r="G114" s="145" t="str">
        <f t="shared" ref="G114" si="40">IFERROR(IF(D114=0,"",(E114+F114*TC)),"")</f>
        <v/>
      </c>
      <c r="H114" s="145"/>
      <c r="I114" s="146"/>
      <c r="J114" s="7"/>
      <c r="K114" s="128"/>
    </row>
    <row r="115" spans="1:11" outlineLevel="2">
      <c r="A115" s="6">
        <f>A114+0.000001</f>
        <v>1.090401</v>
      </c>
      <c r="B115" s="8" t="s">
        <v>993</v>
      </c>
      <c r="C115" s="13" t="s">
        <v>82</v>
      </c>
      <c r="D115" s="10">
        <v>190.208</v>
      </c>
      <c r="E115" s="12">
        <v>230</v>
      </c>
      <c r="F115" s="39"/>
      <c r="G115" s="145">
        <f t="shared" ref="G115" si="41">IFERROR(IF(D115=0,"",(E115+F115*TC)),"")</f>
        <v>230</v>
      </c>
      <c r="H115" s="145">
        <f>+ROUND(D115*E115,2)</f>
        <v>43747.839999999997</v>
      </c>
      <c r="I115" s="146">
        <f>+ROUND(D115*F115,2)</f>
        <v>0</v>
      </c>
      <c r="J115" s="7">
        <f>+ROUND(H115+I115*TC,2)</f>
        <v>43747.839999999997</v>
      </c>
      <c r="K115" s="9"/>
    </row>
    <row r="116" spans="1:11" ht="15.75" outlineLevel="2" thickBot="1">
      <c r="A116" s="6" t="e">
        <f>#REF!+0.000001</f>
        <v>#REF!</v>
      </c>
      <c r="B116" s="8" t="s">
        <v>994</v>
      </c>
      <c r="C116" s="13" t="s">
        <v>132</v>
      </c>
      <c r="D116" s="10">
        <v>4</v>
      </c>
      <c r="E116" s="12">
        <v>12723.36</v>
      </c>
      <c r="F116" s="39"/>
      <c r="G116" s="145">
        <f>IFERROR(IF(D116=0,"",(E116+F116*TC)),"")</f>
        <v>12723.36</v>
      </c>
      <c r="H116" s="145">
        <f>+ROUND(D116*E116,2)</f>
        <v>50893.440000000002</v>
      </c>
      <c r="I116" s="146">
        <f>+ROUND(D116*F116,2)</f>
        <v>0</v>
      </c>
      <c r="J116" s="7">
        <f>+ROUND(H116+I116*TC,2)</f>
        <v>50893.440000000002</v>
      </c>
      <c r="K116" s="9"/>
    </row>
    <row r="117" spans="1:11" s="14" customFormat="1" ht="14.1" customHeight="1" thickTop="1" thickBot="1">
      <c r="A117" s="50" t="s">
        <v>995</v>
      </c>
      <c r="B117" s="166" t="s">
        <v>996</v>
      </c>
      <c r="C117" s="27"/>
      <c r="D117" s="180"/>
      <c r="E117" s="28"/>
      <c r="F117" s="28"/>
      <c r="G117" s="28"/>
      <c r="H117" s="158">
        <f>SUM(H118:H129)</f>
        <v>1028225.63</v>
      </c>
      <c r="I117" s="160">
        <f>SUM(I118:I129)</f>
        <v>0</v>
      </c>
      <c r="J117" s="28"/>
      <c r="K117" s="159">
        <f>SUM(K118:K129)</f>
        <v>1028225.63</v>
      </c>
    </row>
    <row r="118" spans="1:11" ht="23.25" thickTop="1">
      <c r="A118" s="133">
        <f>A117+0.01</f>
        <v>2.0099999999999998</v>
      </c>
      <c r="B118" s="167" t="s">
        <v>997</v>
      </c>
      <c r="C118" s="122"/>
      <c r="D118" s="182"/>
      <c r="E118" s="137"/>
      <c r="F118" s="57">
        <v>0</v>
      </c>
      <c r="G118" s="131"/>
      <c r="H118" s="131"/>
      <c r="I118" s="124"/>
      <c r="J118" s="7"/>
      <c r="K118" s="128">
        <f>SUM(J119:J125)</f>
        <v>830485.65</v>
      </c>
    </row>
    <row r="119" spans="1:11" outlineLevel="1">
      <c r="A119" s="3">
        <f>A118+0.0001</f>
        <v>2.0101</v>
      </c>
      <c r="B119" s="8" t="s">
        <v>998</v>
      </c>
      <c r="C119" s="13" t="s">
        <v>130</v>
      </c>
      <c r="D119" s="10">
        <v>1</v>
      </c>
      <c r="E119" s="12">
        <v>185220.70077443612</v>
      </c>
      <c r="F119" s="39"/>
      <c r="G119" s="145">
        <f t="shared" ref="G119:G120" si="42">IFERROR(IF(D119=0,"",(E119+F119*TC)),"")</f>
        <v>185220.70077443612</v>
      </c>
      <c r="H119" s="145">
        <f t="shared" ref="H119:H120" si="43">+ROUND(D119*E119,2)</f>
        <v>185220.7</v>
      </c>
      <c r="I119" s="146">
        <f t="shared" ref="I119:I120" si="44">+ROUND(D119*F119,2)</f>
        <v>0</v>
      </c>
      <c r="J119" s="7">
        <f t="shared" ref="J119:J124" si="45">+ROUND(H119+I119*TC,2)</f>
        <v>185220.7</v>
      </c>
      <c r="K119" s="9"/>
    </row>
    <row r="120" spans="1:11" outlineLevel="1">
      <c r="A120" s="3">
        <f t="shared" ref="A120:A125" si="46">A119+0.0001</f>
        <v>2.0102000000000002</v>
      </c>
      <c r="B120" s="5" t="s">
        <v>999</v>
      </c>
      <c r="C120" s="13" t="s">
        <v>130</v>
      </c>
      <c r="D120" s="10">
        <v>1</v>
      </c>
      <c r="E120" s="12">
        <v>220227.67</v>
      </c>
      <c r="F120" s="39"/>
      <c r="G120" s="145">
        <f t="shared" si="42"/>
        <v>220227.67</v>
      </c>
      <c r="H120" s="145">
        <f t="shared" si="43"/>
        <v>220227.67</v>
      </c>
      <c r="I120" s="146">
        <f t="shared" si="44"/>
        <v>0</v>
      </c>
      <c r="J120" s="7">
        <f t="shared" si="45"/>
        <v>220227.67</v>
      </c>
      <c r="K120" s="9"/>
    </row>
    <row r="121" spans="1:11" outlineLevel="1">
      <c r="A121" s="3">
        <f t="shared" si="46"/>
        <v>2.0103000000000004</v>
      </c>
      <c r="B121" s="5" t="s">
        <v>1000</v>
      </c>
      <c r="C121" s="13" t="s">
        <v>121</v>
      </c>
      <c r="D121" s="10">
        <v>208</v>
      </c>
      <c r="E121" s="12">
        <v>125</v>
      </c>
      <c r="F121" s="39"/>
      <c r="G121" s="145">
        <f t="shared" ref="G121" si="47">IFERROR(IF(D121=0,"",(E121+F121*TC)),"")</f>
        <v>125</v>
      </c>
      <c r="H121" s="145">
        <f t="shared" ref="H121" si="48">+ROUND(D121*E121,2)</f>
        <v>26000</v>
      </c>
      <c r="I121" s="146">
        <f t="shared" ref="I121" si="49">+ROUND(D121*F121,2)</f>
        <v>0</v>
      </c>
      <c r="J121" s="7">
        <f t="shared" si="45"/>
        <v>26000</v>
      </c>
      <c r="K121" s="9"/>
    </row>
    <row r="122" spans="1:11" outlineLevel="1">
      <c r="A122" s="3">
        <f t="shared" si="46"/>
        <v>2.0104000000000006</v>
      </c>
      <c r="B122" s="121" t="s">
        <v>1001</v>
      </c>
      <c r="C122" s="13" t="s">
        <v>132</v>
      </c>
      <c r="D122" s="10">
        <v>23</v>
      </c>
      <c r="E122" s="12">
        <v>12723.36</v>
      </c>
      <c r="F122" s="39"/>
      <c r="G122" s="145">
        <f t="shared" ref="G122" si="50">IFERROR(IF(D122=0,"",(E122+F122*TC)),"")</f>
        <v>12723.36</v>
      </c>
      <c r="H122" s="145">
        <f t="shared" ref="H122" si="51">+ROUND(D122*E122,2)</f>
        <v>292637.28000000003</v>
      </c>
      <c r="I122" s="146">
        <f t="shared" ref="I122" si="52">+ROUND(D122*F122,2)</f>
        <v>0</v>
      </c>
      <c r="J122" s="7">
        <f t="shared" si="45"/>
        <v>292637.28000000003</v>
      </c>
      <c r="K122" s="9"/>
    </row>
    <row r="123" spans="1:11" outlineLevel="1">
      <c r="A123" s="3">
        <f t="shared" si="46"/>
        <v>2.0105000000000008</v>
      </c>
      <c r="B123" s="52" t="s">
        <v>1002</v>
      </c>
      <c r="C123" s="44" t="s">
        <v>132</v>
      </c>
      <c r="D123" s="10">
        <v>23</v>
      </c>
      <c r="E123" s="12">
        <v>500</v>
      </c>
      <c r="F123" s="39"/>
      <c r="G123" s="145">
        <f t="shared" ref="G123" si="53">IFERROR(IF(D123=0,"",(E123+F123*TC)),"")</f>
        <v>500</v>
      </c>
      <c r="H123" s="145">
        <f t="shared" ref="H123" si="54">+ROUND(D123*E123,2)</f>
        <v>11500</v>
      </c>
      <c r="I123" s="146">
        <f t="shared" ref="I123" si="55">+ROUND(D123*F123,2)</f>
        <v>0</v>
      </c>
      <c r="J123" s="7">
        <f t="shared" si="45"/>
        <v>11500</v>
      </c>
      <c r="K123" s="9"/>
    </row>
    <row r="124" spans="1:11" outlineLevel="1">
      <c r="A124" s="3">
        <f t="shared" si="46"/>
        <v>2.0106000000000011</v>
      </c>
      <c r="B124" s="5" t="s">
        <v>1003</v>
      </c>
      <c r="C124" s="13" t="s">
        <v>130</v>
      </c>
      <c r="D124" s="10">
        <v>6</v>
      </c>
      <c r="E124" s="12">
        <v>1400</v>
      </c>
      <c r="F124" s="39"/>
      <c r="G124" s="145">
        <f t="shared" ref="G124" si="56">IFERROR(IF(D124=0,"",(E124+F124*TC)),"")</f>
        <v>1400</v>
      </c>
      <c r="H124" s="145">
        <f t="shared" ref="H124" si="57">+ROUND(D124*E124,2)</f>
        <v>8400</v>
      </c>
      <c r="I124" s="146">
        <f t="shared" ref="I124" si="58">+ROUND(D124*F124,2)</f>
        <v>0</v>
      </c>
      <c r="J124" s="7">
        <f t="shared" si="45"/>
        <v>8400</v>
      </c>
      <c r="K124" s="9"/>
    </row>
    <row r="125" spans="1:11" outlineLevel="1">
      <c r="A125" s="3">
        <f t="shared" si="46"/>
        <v>2.0107000000000013</v>
      </c>
      <c r="B125" s="5" t="s">
        <v>1004</v>
      </c>
      <c r="C125" s="13" t="s">
        <v>130</v>
      </c>
      <c r="D125" s="10">
        <v>1</v>
      </c>
      <c r="E125" s="12">
        <v>86500</v>
      </c>
      <c r="F125" s="39"/>
      <c r="G125" s="145">
        <f t="shared" ref="G125" si="59">IFERROR(IF(D125=0,"",(E125+F125*TC)),"")</f>
        <v>86500</v>
      </c>
      <c r="H125" s="145">
        <f t="shared" ref="H125" si="60">+ROUND(D125*E125,2)</f>
        <v>86500</v>
      </c>
      <c r="I125" s="146">
        <f t="shared" ref="I125" si="61">+ROUND(D125*F125,2)</f>
        <v>0</v>
      </c>
      <c r="J125" s="7">
        <f t="shared" ref="J125" si="62">+ROUND(H125+I125*TC,2)</f>
        <v>86500</v>
      </c>
      <c r="K125" s="9"/>
    </row>
    <row r="126" spans="1:11">
      <c r="A126" s="133">
        <f>A118+0.01</f>
        <v>2.0199999999999996</v>
      </c>
      <c r="B126" s="167" t="s">
        <v>1005</v>
      </c>
      <c r="C126" s="122"/>
      <c r="D126" s="182"/>
      <c r="E126" s="137"/>
      <c r="F126" s="11"/>
      <c r="G126" s="145"/>
      <c r="H126" s="145"/>
      <c r="I126" s="146"/>
      <c r="J126" s="7"/>
      <c r="K126" s="128">
        <f>SUM(J127:J127)</f>
        <v>189594.98</v>
      </c>
    </row>
    <row r="127" spans="1:11" outlineLevel="1">
      <c r="A127" s="3">
        <f t="shared" ref="A127:A129" si="63">A126+0.0001</f>
        <v>2.0200999999999998</v>
      </c>
      <c r="B127" s="5" t="s">
        <v>1006</v>
      </c>
      <c r="C127" s="13" t="s">
        <v>132</v>
      </c>
      <c r="D127" s="10">
        <v>23</v>
      </c>
      <c r="E127" s="12">
        <v>8243.26</v>
      </c>
      <c r="F127" s="4"/>
      <c r="G127" s="145">
        <f t="shared" ref="G127" si="64">IFERROR(IF(D127=0,"",(E127+F127*TC)),"")</f>
        <v>8243.26</v>
      </c>
      <c r="H127" s="145">
        <f t="shared" ref="H127" si="65">+ROUND(D127*E127,2)</f>
        <v>189594.98</v>
      </c>
      <c r="I127" s="146">
        <f t="shared" ref="I127" si="66">+ROUND(D127*F127,2)</f>
        <v>0</v>
      </c>
      <c r="J127" s="7">
        <f t="shared" ref="J127" si="67">+ROUND(H127+I127*TC,2)</f>
        <v>189594.98</v>
      </c>
      <c r="K127" s="9"/>
    </row>
    <row r="128" spans="1:11">
      <c r="A128" s="133">
        <f>A126+0.01</f>
        <v>2.0299999999999994</v>
      </c>
      <c r="B128" s="167" t="s">
        <v>1007</v>
      </c>
      <c r="C128" s="122"/>
      <c r="D128" s="182"/>
      <c r="E128" s="137"/>
      <c r="F128" s="11"/>
      <c r="G128" s="145"/>
      <c r="H128" s="145"/>
      <c r="I128" s="146"/>
      <c r="J128" s="7"/>
      <c r="K128" s="128">
        <f>SUM(J129:J129)</f>
        <v>8145</v>
      </c>
    </row>
    <row r="129" spans="1:11" ht="15.75" outlineLevel="1" thickBot="1">
      <c r="A129" s="3">
        <f t="shared" si="63"/>
        <v>2.0300999999999996</v>
      </c>
      <c r="B129" s="8" t="s">
        <v>1008</v>
      </c>
      <c r="C129" s="13" t="s">
        <v>130</v>
      </c>
      <c r="D129" s="10">
        <v>1</v>
      </c>
      <c r="E129" s="12">
        <v>8145</v>
      </c>
      <c r="F129" s="39"/>
      <c r="G129" s="145">
        <f t="shared" ref="G129" si="68">IFERROR(IF(D129=0,"",(E129+F129*TC)),"")</f>
        <v>8145</v>
      </c>
      <c r="H129" s="145">
        <f t="shared" ref="H129" si="69">+ROUND(D129*E129,2)</f>
        <v>8145</v>
      </c>
      <c r="I129" s="146">
        <f t="shared" ref="I129" si="70">+ROUND(D129*F129,2)</f>
        <v>0</v>
      </c>
      <c r="J129" s="7">
        <f t="shared" ref="J129" si="71">+ROUND(H129+I129*TC,2)</f>
        <v>8145</v>
      </c>
      <c r="K129" s="9"/>
    </row>
    <row r="130" spans="1:11" ht="16.5" thickTop="1" thickBot="1">
      <c r="A130" s="35"/>
      <c r="B130" s="168"/>
      <c r="C130" s="36"/>
      <c r="D130" s="183" t="s">
        <v>49</v>
      </c>
      <c r="E130" s="37"/>
      <c r="F130" s="119"/>
      <c r="G130" s="119"/>
      <c r="H130" s="132">
        <f>+H13+H117</f>
        <v>4168849.43</v>
      </c>
      <c r="I130" s="125">
        <f>+I117+I13</f>
        <v>11303.6</v>
      </c>
      <c r="J130" s="132">
        <f>SUM(J14:J129)</f>
        <v>4206716.5000000009</v>
      </c>
      <c r="K130" s="129">
        <f>+K117+K13</f>
        <v>4206716.5000000009</v>
      </c>
    </row>
    <row r="131" spans="1:11" ht="15.75" thickTop="1"/>
    <row r="132" spans="1:11" ht="15.75" thickBot="1"/>
    <row r="133" spans="1:11" s="14" customFormat="1" ht="14.1" customHeight="1" thickTop="1" thickBot="1">
      <c r="A133" s="50" t="s">
        <v>995</v>
      </c>
      <c r="B133" s="166" t="s">
        <v>996</v>
      </c>
      <c r="C133" s="27"/>
      <c r="D133" s="180"/>
      <c r="E133" s="28"/>
      <c r="F133" s="28"/>
      <c r="G133" s="28"/>
      <c r="H133" s="158">
        <f>SUM(H134:H135)</f>
        <v>409967.6</v>
      </c>
      <c r="I133" s="160">
        <f>SUM(I135:I135)</f>
        <v>0</v>
      </c>
      <c r="J133" s="28"/>
      <c r="K133" s="159">
        <f>SUM(J134:J135)</f>
        <v>409967.6</v>
      </c>
    </row>
    <row r="134" spans="1:11" ht="15.75" outlineLevel="1" thickTop="1">
      <c r="A134" s="3">
        <f t="shared" ref="A134:A135" si="72">A133+0.0001</f>
        <v>2.0001000000000002</v>
      </c>
      <c r="B134" s="8" t="s">
        <v>906</v>
      </c>
      <c r="C134" s="13" t="s">
        <v>130</v>
      </c>
      <c r="D134" s="10">
        <v>1</v>
      </c>
      <c r="E134" s="12">
        <v>157291.6</v>
      </c>
      <c r="F134" s="11"/>
      <c r="G134" s="145">
        <f t="shared" ref="G134" si="73">IFERROR(IF(D134=0,"",(E134+F134*TC)),"")</f>
        <v>157291.6</v>
      </c>
      <c r="H134" s="145">
        <f t="shared" ref="H134" si="74">+ROUND(D134*E134,2)</f>
        <v>157291.6</v>
      </c>
      <c r="I134" s="146">
        <f t="shared" ref="I134" si="75">+ROUND(D134*F134,2)</f>
        <v>0</v>
      </c>
      <c r="J134" s="7">
        <f t="shared" ref="J134" si="76">+ROUND(H134+I134*TC,2)</f>
        <v>157291.6</v>
      </c>
      <c r="K134" s="9"/>
    </row>
    <row r="135" spans="1:11" outlineLevel="1">
      <c r="A135" s="3">
        <f t="shared" si="72"/>
        <v>2.0002000000000004</v>
      </c>
      <c r="B135" s="5" t="s">
        <v>1004</v>
      </c>
      <c r="C135" s="13" t="s">
        <v>130</v>
      </c>
      <c r="D135" s="10">
        <v>1</v>
      </c>
      <c r="E135" s="12">
        <v>252676</v>
      </c>
      <c r="F135" s="39"/>
      <c r="G135" s="145">
        <f t="shared" ref="G135" si="77">IFERROR(IF(D135=0,"",(E135+F135*TC)),"")</f>
        <v>252676</v>
      </c>
      <c r="H135" s="145">
        <f t="shared" ref="H135" si="78">+ROUND(D135*E135,2)</f>
        <v>252676</v>
      </c>
      <c r="I135" s="146">
        <f t="shared" ref="I135" si="79">+ROUND(D135*F135,2)</f>
        <v>0</v>
      </c>
      <c r="J135" s="7">
        <f t="shared" ref="J135" si="80">+ROUND(H135+I135*TC,2)</f>
        <v>252676</v>
      </c>
      <c r="K135" s="9"/>
    </row>
  </sheetData>
  <mergeCells count="1">
    <mergeCell ref="A2:K2"/>
  </mergeCells>
  <phoneticPr fontId="13" type="noConversion"/>
  <conditionalFormatting sqref="F64:F116 K115:K116 F118:F126">
    <cfRule type="cellIs" dxfId="64" priority="10" stopIfTrue="1" operator="equal">
      <formula>0</formula>
    </cfRule>
  </conditionalFormatting>
  <conditionalFormatting sqref="F128:F129">
    <cfRule type="cellIs" dxfId="63" priority="8" stopIfTrue="1" operator="equal">
      <formula>0</formula>
    </cfRule>
  </conditionalFormatting>
  <conditionalFormatting sqref="F134:F135 K134:K135">
    <cfRule type="cellIs" dxfId="62" priority="1" stopIfTrue="1" operator="equal">
      <formula>0</formula>
    </cfRule>
  </conditionalFormatting>
  <conditionalFormatting sqref="K15:K30 F15:F41 K74:K90 K94:K97">
    <cfRule type="cellIs" dxfId="61" priority="21" stopIfTrue="1" operator="equal">
      <formula>0</formula>
    </cfRule>
  </conditionalFormatting>
  <conditionalFormatting sqref="K34:K35 F43:F53 F58 F60 K92">
    <cfRule type="cellIs" dxfId="60" priority="67" stopIfTrue="1" operator="equal">
      <formula>0</formula>
    </cfRule>
  </conditionalFormatting>
  <conditionalFormatting sqref="K37:K40">
    <cfRule type="cellIs" dxfId="59" priority="57" stopIfTrue="1" operator="equal">
      <formula>0</formula>
    </cfRule>
  </conditionalFormatting>
  <conditionalFormatting sqref="K42">
    <cfRule type="cellIs" dxfId="58" priority="50" stopIfTrue="1" operator="equal">
      <formula>0</formula>
    </cfRule>
  </conditionalFormatting>
  <conditionalFormatting sqref="K54:K71">
    <cfRule type="cellIs" dxfId="57" priority="12" stopIfTrue="1" operator="equal">
      <formula>0</formula>
    </cfRule>
  </conditionalFormatting>
  <conditionalFormatting sqref="K119:K125">
    <cfRule type="cellIs" dxfId="56" priority="11" stopIfTrue="1" operator="equal">
      <formula>0</formula>
    </cfRule>
  </conditionalFormatting>
  <conditionalFormatting sqref="K127">
    <cfRule type="cellIs" dxfId="55" priority="14" stopIfTrue="1" operator="equal">
      <formula>0</formula>
    </cfRule>
  </conditionalFormatting>
  <conditionalFormatting sqref="K129">
    <cfRule type="cellIs" dxfId="54" priority="9" stopIfTrue="1" operator="equal">
      <formula>0</formula>
    </cfRule>
  </conditionalFormatting>
  <pageMargins left="0.7" right="0.7" top="0.75" bottom="0.75" header="0.3" footer="0.3"/>
  <pageSetup orientation="portrait" r:id="rId1"/>
  <ignoredErrors>
    <ignoredError sqref="A58 K71 K60:K61 A54 A60 A73:A74 C82 A87 A83:A84 A14 G14:J14 C83:C84 G59 K89:K90 G15:G26 K15:K26 K49:K52 K37:K40 G42 G37:G40 K42 K44:K47 K54:K56 G92 K102:K105 G28:G35 K28:K35 G44:G47 G61:G62 G65:G68 G70:G81 K74:K84 G85:G88 G94:G95 K94:K95 K97:K99 G102:G105 G97:G100 A16:A17 G56 G49:G53" unlockedFormula="1"/>
    <ignoredError sqref="A49:A53 A85:A86 A82 A69:A70 A55:A56 A64:A65 K87 A36:A47 A72 A88:A94 A100" formula="1" unlockedFormula="1"/>
    <ignoredError sqref="C85 C86:C87 K85:K86 L85:TUU87" formula="1"/>
    <ignoredError sqref="A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9B8CA-C269-4FFB-A2C8-FE5D0482AFE3}">
  <dimension ref="A2:G90"/>
  <sheetViews>
    <sheetView showGridLines="0" zoomScaleNormal="100" zoomScaleSheetLayoutView="107" workbookViewId="0">
      <selection activeCell="G4" sqref="G4"/>
    </sheetView>
  </sheetViews>
  <sheetFormatPr defaultColWidth="11.42578125" defaultRowHeight="15" outlineLevelRow="1"/>
  <cols>
    <col min="2" max="2" width="48.28515625" customWidth="1"/>
    <col min="3" max="3" width="9.7109375" customWidth="1"/>
    <col min="7" max="7" width="16.42578125" customWidth="1"/>
  </cols>
  <sheetData>
    <row r="2" spans="1:7">
      <c r="A2" s="18" t="s">
        <v>1686</v>
      </c>
      <c r="B2" s="157" t="str">
        <f>+'RESUMEN ESCENARIO'!C6</f>
        <v>PRESUPUESTO  |  GERMANIA  |  REV 09</v>
      </c>
      <c r="C2" s="157"/>
      <c r="D2" s="157"/>
      <c r="E2" s="157"/>
      <c r="F2" s="18" t="s">
        <v>12</v>
      </c>
      <c r="G2" s="311" t="str">
        <f>+'RESUMEN ESCENARIO'!C8</f>
        <v>SURQUILLO</v>
      </c>
    </row>
    <row r="3" spans="1:7">
      <c r="A3" s="18" t="s">
        <v>67</v>
      </c>
      <c r="B3" s="157" t="s">
        <v>1687</v>
      </c>
      <c r="C3" s="157"/>
      <c r="D3" s="157"/>
      <c r="E3" s="157"/>
      <c r="F3" s="171" t="s">
        <v>68</v>
      </c>
      <c r="G3" s="312">
        <f>+'RESUMEN ESCENARIO'!C9</f>
        <v>46090</v>
      </c>
    </row>
    <row r="4" spans="1:7">
      <c r="A4" s="18" t="s">
        <v>10</v>
      </c>
      <c r="B4" s="157" t="str">
        <f>+'RESUMEN ESCENARIO'!C7</f>
        <v>VYV INMOBILIARIA</v>
      </c>
      <c r="C4" s="157"/>
      <c r="D4" s="157"/>
      <c r="E4" s="157"/>
      <c r="F4" s="157"/>
      <c r="G4" s="157"/>
    </row>
    <row r="6" spans="1:7" ht="14.45" customHeight="1">
      <c r="A6" s="776" t="s">
        <v>1035</v>
      </c>
      <c r="B6" s="776"/>
      <c r="C6" s="776"/>
      <c r="D6" s="776"/>
      <c r="E6" s="776"/>
      <c r="F6" s="776"/>
      <c r="G6" s="776"/>
    </row>
    <row r="7" spans="1:7">
      <c r="A7" s="156"/>
      <c r="B7" s="156"/>
    </row>
    <row r="8" spans="1:7" ht="15.75" thickBot="1">
      <c r="B8" s="313"/>
    </row>
    <row r="9" spans="1:7" ht="16.5" thickTop="1" thickBot="1">
      <c r="A9" s="22" t="s">
        <v>20</v>
      </c>
      <c r="B9" s="23" t="s">
        <v>69</v>
      </c>
      <c r="C9" s="23" t="s">
        <v>70</v>
      </c>
      <c r="D9" s="314" t="s">
        <v>885</v>
      </c>
      <c r="E9" s="24" t="s">
        <v>1688</v>
      </c>
      <c r="F9" s="25" t="s">
        <v>1689</v>
      </c>
      <c r="G9" s="25" t="s">
        <v>36</v>
      </c>
    </row>
    <row r="10" spans="1:7" ht="16.5" thickTop="1" thickBot="1">
      <c r="A10" s="315" t="s">
        <v>1690</v>
      </c>
      <c r="B10" s="26" t="s">
        <v>1035</v>
      </c>
      <c r="C10" s="27"/>
      <c r="D10" s="316"/>
      <c r="E10" s="28"/>
      <c r="F10" s="29"/>
      <c r="G10" s="29"/>
    </row>
    <row r="11" spans="1:7" ht="15.75" thickTop="1">
      <c r="A11" s="651" t="s">
        <v>1691</v>
      </c>
      <c r="B11" s="652" t="s">
        <v>1692</v>
      </c>
      <c r="C11" s="653"/>
      <c r="D11" s="654"/>
      <c r="E11" s="655"/>
      <c r="F11" s="655"/>
      <c r="G11" s="656">
        <f>SUM(F12:F29)</f>
        <v>2716500</v>
      </c>
    </row>
    <row r="12" spans="1:7" outlineLevel="1">
      <c r="A12" s="657" t="s">
        <v>1693</v>
      </c>
      <c r="B12" s="658" t="s">
        <v>1694</v>
      </c>
      <c r="C12" s="659" t="s">
        <v>132</v>
      </c>
      <c r="D12" s="317">
        <v>6.8999999999999977</v>
      </c>
      <c r="E12" s="660">
        <v>22500</v>
      </c>
      <c r="F12" s="661">
        <f>+D12*E12</f>
        <v>155249.99999999994</v>
      </c>
      <c r="G12" s="661"/>
    </row>
    <row r="13" spans="1:7" outlineLevel="1">
      <c r="A13" s="657" t="s">
        <v>1695</v>
      </c>
      <c r="B13" s="658" t="s">
        <v>1696</v>
      </c>
      <c r="C13" s="659" t="s">
        <v>132</v>
      </c>
      <c r="D13" s="317">
        <v>24</v>
      </c>
      <c r="E13" s="660">
        <v>18750</v>
      </c>
      <c r="F13" s="661">
        <f t="shared" ref="F13:F27" si="0">+D13*E13</f>
        <v>450000</v>
      </c>
      <c r="G13" s="661"/>
    </row>
    <row r="14" spans="1:7" outlineLevel="1">
      <c r="A14" s="657" t="s">
        <v>1697</v>
      </c>
      <c r="B14" s="658" t="s">
        <v>1698</v>
      </c>
      <c r="C14" s="659" t="s">
        <v>132</v>
      </c>
      <c r="D14" s="317">
        <v>24</v>
      </c>
      <c r="E14" s="660">
        <v>12000</v>
      </c>
      <c r="F14" s="661">
        <f t="shared" si="0"/>
        <v>288000</v>
      </c>
      <c r="G14" s="661"/>
    </row>
    <row r="15" spans="1:7" outlineLevel="1">
      <c r="A15" s="657" t="s">
        <v>1699</v>
      </c>
      <c r="B15" s="658" t="s">
        <v>1700</v>
      </c>
      <c r="C15" s="659" t="s">
        <v>132</v>
      </c>
      <c r="D15" s="317">
        <v>17</v>
      </c>
      <c r="E15" s="660">
        <v>6750</v>
      </c>
      <c r="F15" s="661">
        <f t="shared" si="0"/>
        <v>114750</v>
      </c>
      <c r="G15" s="661"/>
    </row>
    <row r="16" spans="1:7" outlineLevel="1">
      <c r="A16" s="657" t="s">
        <v>1701</v>
      </c>
      <c r="B16" s="658" t="s">
        <v>1702</v>
      </c>
      <c r="C16" s="659" t="s">
        <v>132</v>
      </c>
      <c r="D16" s="317">
        <v>17</v>
      </c>
      <c r="E16" s="660">
        <v>12000</v>
      </c>
      <c r="F16" s="661">
        <f t="shared" si="0"/>
        <v>204000</v>
      </c>
      <c r="G16" s="661"/>
    </row>
    <row r="17" spans="1:7" outlineLevel="1">
      <c r="A17" s="657" t="s">
        <v>1703</v>
      </c>
      <c r="B17" s="658" t="s">
        <v>1704</v>
      </c>
      <c r="C17" s="659" t="s">
        <v>132</v>
      </c>
      <c r="D17" s="317">
        <v>12</v>
      </c>
      <c r="E17" s="660">
        <v>6750</v>
      </c>
      <c r="F17" s="661">
        <f t="shared" si="0"/>
        <v>81000</v>
      </c>
      <c r="G17" s="661"/>
    </row>
    <row r="18" spans="1:7" outlineLevel="1">
      <c r="A18" s="657" t="s">
        <v>1705</v>
      </c>
      <c r="B18" s="658" t="s">
        <v>1706</v>
      </c>
      <c r="C18" s="659" t="s">
        <v>132</v>
      </c>
      <c r="D18" s="317">
        <v>19</v>
      </c>
      <c r="E18" s="660">
        <v>9000</v>
      </c>
      <c r="F18" s="661">
        <f t="shared" si="0"/>
        <v>171000</v>
      </c>
      <c r="G18" s="661"/>
    </row>
    <row r="19" spans="1:7" outlineLevel="1">
      <c r="A19" s="657" t="s">
        <v>1707</v>
      </c>
      <c r="B19" s="658" t="s">
        <v>1708</v>
      </c>
      <c r="C19" s="659" t="s">
        <v>132</v>
      </c>
      <c r="D19" s="317">
        <v>12</v>
      </c>
      <c r="E19" s="660">
        <v>6750</v>
      </c>
      <c r="F19" s="661">
        <f t="shared" si="0"/>
        <v>81000</v>
      </c>
      <c r="G19" s="661"/>
    </row>
    <row r="20" spans="1:7" outlineLevel="1">
      <c r="A20" s="657" t="s">
        <v>1709</v>
      </c>
      <c r="B20" s="658" t="s">
        <v>1710</v>
      </c>
      <c r="C20" s="659" t="s">
        <v>132</v>
      </c>
      <c r="D20" s="317">
        <v>19</v>
      </c>
      <c r="E20" s="660">
        <v>12000</v>
      </c>
      <c r="F20" s="661">
        <f t="shared" si="0"/>
        <v>228000</v>
      </c>
      <c r="G20" s="661"/>
    </row>
    <row r="21" spans="1:7" outlineLevel="1">
      <c r="A21" s="657" t="s">
        <v>1711</v>
      </c>
      <c r="B21" s="658" t="s">
        <v>1712</v>
      </c>
      <c r="C21" s="659" t="s">
        <v>132</v>
      </c>
      <c r="D21" s="317">
        <v>15</v>
      </c>
      <c r="E21" s="660">
        <v>12000</v>
      </c>
      <c r="F21" s="661">
        <f t="shared" si="0"/>
        <v>180000</v>
      </c>
      <c r="G21" s="661"/>
    </row>
    <row r="22" spans="1:7" outlineLevel="1">
      <c r="A22" s="657" t="s">
        <v>1713</v>
      </c>
      <c r="B22" s="658" t="s">
        <v>1714</v>
      </c>
      <c r="C22" s="659" t="s">
        <v>132</v>
      </c>
      <c r="D22" s="317">
        <v>12</v>
      </c>
      <c r="E22" s="660">
        <v>6750</v>
      </c>
      <c r="F22" s="661">
        <f t="shared" si="0"/>
        <v>81000</v>
      </c>
      <c r="G22" s="661"/>
    </row>
    <row r="23" spans="1:7" outlineLevel="1">
      <c r="A23" s="657" t="s">
        <v>1715</v>
      </c>
      <c r="B23" s="658" t="s">
        <v>1716</v>
      </c>
      <c r="C23" s="662" t="s">
        <v>132</v>
      </c>
      <c r="D23" s="317">
        <v>23</v>
      </c>
      <c r="E23" s="660">
        <v>6750</v>
      </c>
      <c r="F23" s="661">
        <f t="shared" si="0"/>
        <v>155250</v>
      </c>
      <c r="G23" s="661"/>
    </row>
    <row r="24" spans="1:7" outlineLevel="1">
      <c r="A24" s="657" t="s">
        <v>1717</v>
      </c>
      <c r="B24" s="658" t="s">
        <v>1718</v>
      </c>
      <c r="C24" s="659" t="s">
        <v>132</v>
      </c>
      <c r="D24" s="317">
        <v>24</v>
      </c>
      <c r="E24" s="660">
        <v>6750</v>
      </c>
      <c r="F24" s="661">
        <f t="shared" si="0"/>
        <v>162000</v>
      </c>
      <c r="G24" s="661"/>
    </row>
    <row r="25" spans="1:7" outlineLevel="1">
      <c r="A25" s="657" t="s">
        <v>1719</v>
      </c>
      <c r="B25" s="658" t="s">
        <v>1720</v>
      </c>
      <c r="C25" s="659" t="s">
        <v>132</v>
      </c>
      <c r="D25" s="317">
        <v>21</v>
      </c>
      <c r="E25" s="660">
        <v>7500</v>
      </c>
      <c r="F25" s="661">
        <f t="shared" si="0"/>
        <v>157500</v>
      </c>
      <c r="G25" s="661"/>
    </row>
    <row r="26" spans="1:7" outlineLevel="1">
      <c r="A26" s="657" t="s">
        <v>1721</v>
      </c>
      <c r="B26" s="658" t="s">
        <v>1722</v>
      </c>
      <c r="C26" s="659" t="s">
        <v>132</v>
      </c>
      <c r="D26" s="317">
        <v>23</v>
      </c>
      <c r="E26" s="660">
        <v>6750</v>
      </c>
      <c r="F26" s="661">
        <f t="shared" si="0"/>
        <v>155250</v>
      </c>
      <c r="G26" s="661"/>
    </row>
    <row r="27" spans="1:7" outlineLevel="1">
      <c r="A27" s="657" t="s">
        <v>1723</v>
      </c>
      <c r="B27" s="658" t="s">
        <v>1724</v>
      </c>
      <c r="C27" s="659" t="s">
        <v>132</v>
      </c>
      <c r="D27" s="317">
        <v>10</v>
      </c>
      <c r="E27" s="660">
        <v>5250</v>
      </c>
      <c r="F27" s="661">
        <f t="shared" si="0"/>
        <v>52500</v>
      </c>
      <c r="G27" s="661"/>
    </row>
    <row r="28" spans="1:7" outlineLevel="1">
      <c r="A28" s="657"/>
      <c r="B28" s="658"/>
      <c r="C28" s="659"/>
      <c r="D28" s="317"/>
      <c r="E28" s="660"/>
      <c r="F28" s="661"/>
      <c r="G28" s="661"/>
    </row>
    <row r="29" spans="1:7" outlineLevel="1">
      <c r="A29" s="657"/>
      <c r="B29" s="658"/>
      <c r="C29" s="659"/>
      <c r="D29" s="317"/>
      <c r="E29" s="660"/>
      <c r="F29" s="661"/>
      <c r="G29" s="661"/>
    </row>
    <row r="30" spans="1:7">
      <c r="A30" s="663" t="s">
        <v>1725</v>
      </c>
      <c r="B30" s="664" t="s">
        <v>1726</v>
      </c>
      <c r="C30" s="665"/>
      <c r="D30" s="318"/>
      <c r="E30" s="666"/>
      <c r="F30" s="661"/>
      <c r="G30" s="667">
        <f>SUM(F31:F32)</f>
        <v>287793.59999999998</v>
      </c>
    </row>
    <row r="31" spans="1:7" outlineLevel="1">
      <c r="A31" s="657" t="s">
        <v>1727</v>
      </c>
      <c r="B31" s="658" t="s">
        <v>1728</v>
      </c>
      <c r="C31" s="659" t="s">
        <v>132</v>
      </c>
      <c r="D31" s="318">
        <v>16</v>
      </c>
      <c r="E31" s="660">
        <v>8097.1</v>
      </c>
      <c r="F31" s="661">
        <f t="shared" ref="F31:F32" si="1">+D31*E31</f>
        <v>129553.60000000001</v>
      </c>
      <c r="G31" s="661"/>
    </row>
    <row r="32" spans="1:7" outlineLevel="1">
      <c r="A32" s="657" t="s">
        <v>1729</v>
      </c>
      <c r="B32" s="658" t="s">
        <v>1730</v>
      </c>
      <c r="C32" s="659" t="s">
        <v>132</v>
      </c>
      <c r="D32" s="318">
        <v>23</v>
      </c>
      <c r="E32" s="660">
        <v>6880</v>
      </c>
      <c r="F32" s="661">
        <f t="shared" si="1"/>
        <v>158240</v>
      </c>
      <c r="G32" s="661"/>
    </row>
    <row r="33" spans="1:7" outlineLevel="1">
      <c r="A33" s="657"/>
      <c r="B33" s="658"/>
      <c r="C33" s="659"/>
      <c r="D33" s="318"/>
      <c r="E33" s="660"/>
      <c r="F33" s="661"/>
      <c r="G33" s="661"/>
    </row>
    <row r="34" spans="1:7">
      <c r="A34" s="663" t="s">
        <v>1731</v>
      </c>
      <c r="B34" s="664" t="s">
        <v>1732</v>
      </c>
      <c r="C34" s="665"/>
      <c r="D34" s="319"/>
      <c r="E34" s="666"/>
      <c r="F34" s="661"/>
      <c r="G34" s="667">
        <f>SUM(F35:F46)</f>
        <v>145543.33750000002</v>
      </c>
    </row>
    <row r="35" spans="1:7" outlineLevel="1">
      <c r="A35" s="657" t="s">
        <v>1733</v>
      </c>
      <c r="B35" s="658" t="s">
        <v>1734</v>
      </c>
      <c r="C35" s="659" t="s">
        <v>132</v>
      </c>
      <c r="D35" s="318">
        <v>23</v>
      </c>
      <c r="E35" s="318">
        <v>1078.434782608696</v>
      </c>
      <c r="F35" s="661">
        <f t="shared" ref="F35:F42" si="2">+D35*E35</f>
        <v>24804.000000000007</v>
      </c>
      <c r="G35" s="661"/>
    </row>
    <row r="36" spans="1:7" outlineLevel="1">
      <c r="A36" s="657" t="s">
        <v>1735</v>
      </c>
      <c r="B36" s="658" t="s">
        <v>1736</v>
      </c>
      <c r="C36" s="659" t="s">
        <v>121</v>
      </c>
      <c r="D36" s="318">
        <v>23</v>
      </c>
      <c r="E36" s="318">
        <v>744.78260869565247</v>
      </c>
      <c r="F36" s="661">
        <f t="shared" si="2"/>
        <v>17130.000000000007</v>
      </c>
      <c r="G36" s="661"/>
    </row>
    <row r="37" spans="1:7" outlineLevel="1">
      <c r="A37" s="657" t="s">
        <v>1737</v>
      </c>
      <c r="B37" s="658" t="s">
        <v>1738</v>
      </c>
      <c r="C37" s="659" t="s">
        <v>121</v>
      </c>
      <c r="D37" s="318">
        <v>23</v>
      </c>
      <c r="E37" s="318">
        <v>685.32608695652175</v>
      </c>
      <c r="F37" s="661">
        <f t="shared" si="2"/>
        <v>15762.5</v>
      </c>
      <c r="G37" s="661"/>
    </row>
    <row r="38" spans="1:7" outlineLevel="1">
      <c r="A38" s="657" t="s">
        <v>1739</v>
      </c>
      <c r="B38" s="658" t="s">
        <v>1740</v>
      </c>
      <c r="C38" s="659" t="s">
        <v>121</v>
      </c>
      <c r="D38" s="318">
        <v>1</v>
      </c>
      <c r="E38" s="318">
        <v>2757</v>
      </c>
      <c r="F38" s="661">
        <f>+D38*E38</f>
        <v>2757</v>
      </c>
      <c r="G38" s="661"/>
    </row>
    <row r="39" spans="1:7" outlineLevel="1">
      <c r="A39" s="657" t="s">
        <v>1741</v>
      </c>
      <c r="B39" s="658" t="s">
        <v>1742</v>
      </c>
      <c r="C39" s="659" t="s">
        <v>121</v>
      </c>
      <c r="D39" s="318">
        <v>24</v>
      </c>
      <c r="E39" s="318">
        <v>240</v>
      </c>
      <c r="F39" s="661">
        <f t="shared" si="2"/>
        <v>5760</v>
      </c>
      <c r="G39" s="661"/>
    </row>
    <row r="40" spans="1:7" outlineLevel="1">
      <c r="A40" s="657" t="s">
        <v>1743</v>
      </c>
      <c r="B40" s="658" t="s">
        <v>1744</v>
      </c>
      <c r="C40" s="659" t="s">
        <v>121</v>
      </c>
      <c r="D40" s="318">
        <v>15</v>
      </c>
      <c r="E40" s="318">
        <v>250</v>
      </c>
      <c r="F40" s="661">
        <f t="shared" si="2"/>
        <v>3750</v>
      </c>
      <c r="G40" s="661"/>
    </row>
    <row r="41" spans="1:7" outlineLevel="1">
      <c r="A41" s="657" t="s">
        <v>1745</v>
      </c>
      <c r="B41" s="658" t="s">
        <v>1746</v>
      </c>
      <c r="C41" s="659" t="s">
        <v>121</v>
      </c>
      <c r="D41" s="318">
        <v>1</v>
      </c>
      <c r="E41" s="318">
        <v>1000</v>
      </c>
      <c r="F41" s="661">
        <f t="shared" si="2"/>
        <v>1000</v>
      </c>
      <c r="G41" s="661"/>
    </row>
    <row r="42" spans="1:7" outlineLevel="1">
      <c r="A42" s="657" t="s">
        <v>1747</v>
      </c>
      <c r="B42" s="658" t="s">
        <v>1748</v>
      </c>
      <c r="C42" s="659" t="s">
        <v>130</v>
      </c>
      <c r="D42" s="318">
        <v>1</v>
      </c>
      <c r="E42" s="318">
        <v>7175</v>
      </c>
      <c r="F42" s="661">
        <f t="shared" si="2"/>
        <v>7175</v>
      </c>
      <c r="G42" s="661"/>
    </row>
    <row r="43" spans="1:7" outlineLevel="1">
      <c r="A43" s="657" t="s">
        <v>1749</v>
      </c>
      <c r="B43" s="658" t="s">
        <v>1750</v>
      </c>
      <c r="C43" s="659" t="s">
        <v>130</v>
      </c>
      <c r="D43" s="318">
        <v>1</v>
      </c>
      <c r="E43" s="318">
        <v>17690.75</v>
      </c>
      <c r="F43" s="660">
        <f>+D43*E43</f>
        <v>17690.75</v>
      </c>
      <c r="G43" s="668"/>
    </row>
    <row r="44" spans="1:7" outlineLevel="1">
      <c r="A44" s="657" t="s">
        <v>1751</v>
      </c>
      <c r="B44" s="658" t="s">
        <v>1752</v>
      </c>
      <c r="C44" s="659" t="s">
        <v>130</v>
      </c>
      <c r="D44" s="318">
        <v>1</v>
      </c>
      <c r="E44" s="318">
        <v>9794.4</v>
      </c>
      <c r="F44" s="660">
        <f>+D44*E44</f>
        <v>9794.4</v>
      </c>
      <c r="G44" s="668"/>
    </row>
    <row r="45" spans="1:7" outlineLevel="1">
      <c r="A45" s="657" t="s">
        <v>1753</v>
      </c>
      <c r="B45" s="658" t="s">
        <v>1754</v>
      </c>
      <c r="C45" s="659" t="s">
        <v>130</v>
      </c>
      <c r="D45" s="318">
        <v>1</v>
      </c>
      <c r="E45" s="318">
        <v>22772.749999999996</v>
      </c>
      <c r="F45" s="660">
        <f t="shared" ref="F45:F46" si="3">+D45*E45</f>
        <v>22772.749999999996</v>
      </c>
      <c r="G45" s="668"/>
    </row>
    <row r="46" spans="1:7" outlineLevel="1">
      <c r="A46" s="657" t="s">
        <v>1755</v>
      </c>
      <c r="B46" s="658" t="s">
        <v>1756</v>
      </c>
      <c r="C46" s="659" t="s">
        <v>130</v>
      </c>
      <c r="D46" s="318">
        <v>1</v>
      </c>
      <c r="E46" s="318">
        <v>17146.937500000004</v>
      </c>
      <c r="F46" s="660">
        <f t="shared" si="3"/>
        <v>17146.937500000004</v>
      </c>
      <c r="G46" s="668"/>
    </row>
    <row r="47" spans="1:7" outlineLevel="1">
      <c r="A47" s="657"/>
      <c r="B47" s="658"/>
      <c r="C47" s="659"/>
      <c r="D47" s="318"/>
      <c r="E47" s="660"/>
      <c r="F47" s="661"/>
      <c r="G47" s="661"/>
    </row>
    <row r="48" spans="1:7">
      <c r="A48" s="663" t="s">
        <v>1757</v>
      </c>
      <c r="B48" s="664" t="s">
        <v>878</v>
      </c>
      <c r="C48" s="665"/>
      <c r="D48" s="319"/>
      <c r="E48" s="666"/>
      <c r="F48" s="661"/>
      <c r="G48" s="667">
        <f>SUM(F49:F70)</f>
        <v>610284.78903048369</v>
      </c>
    </row>
    <row r="49" spans="1:7" outlineLevel="1">
      <c r="A49" s="657" t="s">
        <v>1758</v>
      </c>
      <c r="B49" s="658" t="s">
        <v>1759</v>
      </c>
      <c r="C49" s="659" t="s">
        <v>132</v>
      </c>
      <c r="D49" s="318">
        <v>23</v>
      </c>
      <c r="E49" s="660">
        <v>250</v>
      </c>
      <c r="F49" s="661">
        <f t="shared" ref="F49:F66" si="4">+D49*E49</f>
        <v>5750</v>
      </c>
      <c r="G49" s="661"/>
    </row>
    <row r="50" spans="1:7" outlineLevel="1">
      <c r="A50" s="657" t="s">
        <v>1760</v>
      </c>
      <c r="B50" s="658" t="s">
        <v>1761</v>
      </c>
      <c r="C50" s="659" t="s">
        <v>132</v>
      </c>
      <c r="D50" s="318">
        <v>23</v>
      </c>
      <c r="E50" s="660">
        <v>967.5</v>
      </c>
      <c r="F50" s="661">
        <f t="shared" si="4"/>
        <v>22252.5</v>
      </c>
      <c r="G50" s="661"/>
    </row>
    <row r="51" spans="1:7" outlineLevel="1">
      <c r="A51" s="657" t="s">
        <v>1762</v>
      </c>
      <c r="B51" s="658" t="s">
        <v>1763</v>
      </c>
      <c r="C51" s="659" t="s">
        <v>132</v>
      </c>
      <c r="D51" s="318">
        <v>23</v>
      </c>
      <c r="E51" s="660">
        <v>300</v>
      </c>
      <c r="F51" s="661">
        <f t="shared" si="4"/>
        <v>6900</v>
      </c>
      <c r="G51" s="661"/>
    </row>
    <row r="52" spans="1:7" outlineLevel="1">
      <c r="A52" s="657" t="s">
        <v>1764</v>
      </c>
      <c r="B52" s="658" t="s">
        <v>1765</v>
      </c>
      <c r="C52" s="659" t="s">
        <v>132</v>
      </c>
      <c r="D52" s="318">
        <v>23</v>
      </c>
      <c r="E52" s="660">
        <v>450</v>
      </c>
      <c r="F52" s="661">
        <f t="shared" si="4"/>
        <v>10350</v>
      </c>
      <c r="G52" s="661"/>
    </row>
    <row r="53" spans="1:7" outlineLevel="1">
      <c r="A53" s="657" t="s">
        <v>1766</v>
      </c>
      <c r="B53" s="658" t="s">
        <v>1767</v>
      </c>
      <c r="C53" s="659" t="s">
        <v>132</v>
      </c>
      <c r="D53" s="318">
        <v>1</v>
      </c>
      <c r="E53" s="660">
        <v>3600</v>
      </c>
      <c r="F53" s="661">
        <f t="shared" si="4"/>
        <v>3600</v>
      </c>
      <c r="G53" s="661"/>
    </row>
    <row r="54" spans="1:7" outlineLevel="1">
      <c r="A54" s="657" t="s">
        <v>1768</v>
      </c>
      <c r="B54" s="658" t="s">
        <v>1769</v>
      </c>
      <c r="C54" s="659" t="s">
        <v>130</v>
      </c>
      <c r="D54" s="318">
        <v>1</v>
      </c>
      <c r="E54" s="660">
        <v>5500</v>
      </c>
      <c r="F54" s="661">
        <f t="shared" si="4"/>
        <v>5500</v>
      </c>
      <c r="G54" s="661"/>
    </row>
    <row r="55" spans="1:7" outlineLevel="1">
      <c r="A55" s="657" t="s">
        <v>1770</v>
      </c>
      <c r="B55" s="658" t="s">
        <v>1771</v>
      </c>
      <c r="C55" s="659" t="s">
        <v>132</v>
      </c>
      <c r="D55" s="318">
        <v>23</v>
      </c>
      <c r="E55" s="660">
        <v>500</v>
      </c>
      <c r="F55" s="661">
        <f t="shared" si="4"/>
        <v>11500</v>
      </c>
      <c r="G55" s="661"/>
    </row>
    <row r="56" spans="1:7" outlineLevel="1">
      <c r="A56" s="657" t="s">
        <v>1772</v>
      </c>
      <c r="B56" s="658" t="s">
        <v>1773</v>
      </c>
      <c r="C56" s="659" t="s">
        <v>132</v>
      </c>
      <c r="D56" s="318">
        <v>23</v>
      </c>
      <c r="E56" s="660">
        <v>588</v>
      </c>
      <c r="F56" s="661">
        <f t="shared" si="4"/>
        <v>13524</v>
      </c>
      <c r="G56" s="661"/>
    </row>
    <row r="57" spans="1:7" outlineLevel="1">
      <c r="A57" s="657" t="s">
        <v>1774</v>
      </c>
      <c r="B57" s="658" t="s">
        <v>1775</v>
      </c>
      <c r="C57" s="659" t="s">
        <v>132</v>
      </c>
      <c r="D57" s="318">
        <v>1</v>
      </c>
      <c r="E57" s="660">
        <v>600</v>
      </c>
      <c r="F57" s="661">
        <f t="shared" si="4"/>
        <v>600</v>
      </c>
      <c r="G57" s="661"/>
    </row>
    <row r="58" spans="1:7" outlineLevel="1">
      <c r="A58" s="657" t="s">
        <v>1776</v>
      </c>
      <c r="B58" s="658" t="s">
        <v>1777</v>
      </c>
      <c r="C58" s="659" t="s">
        <v>130</v>
      </c>
      <c r="D58" s="318">
        <v>1</v>
      </c>
      <c r="E58" s="660">
        <v>3000</v>
      </c>
      <c r="F58" s="661">
        <f t="shared" si="4"/>
        <v>3000</v>
      </c>
      <c r="G58" s="661"/>
    </row>
    <row r="59" spans="1:7" outlineLevel="1">
      <c r="A59" s="657" t="s">
        <v>1778</v>
      </c>
      <c r="B59" s="658" t="s">
        <v>1779</v>
      </c>
      <c r="C59" s="659" t="s">
        <v>132</v>
      </c>
      <c r="D59" s="318">
        <v>23</v>
      </c>
      <c r="E59" s="660">
        <v>500</v>
      </c>
      <c r="F59" s="661">
        <f t="shared" si="4"/>
        <v>11500</v>
      </c>
      <c r="G59" s="661"/>
    </row>
    <row r="60" spans="1:7" outlineLevel="1">
      <c r="A60" s="657" t="s">
        <v>1780</v>
      </c>
      <c r="B60" s="658" t="s">
        <v>1781</v>
      </c>
      <c r="C60" s="659" t="s">
        <v>132</v>
      </c>
      <c r="D60" s="318">
        <v>23</v>
      </c>
      <c r="E60" s="660">
        <v>20000</v>
      </c>
      <c r="F60" s="661">
        <f t="shared" si="4"/>
        <v>460000</v>
      </c>
      <c r="G60" s="661"/>
    </row>
    <row r="61" spans="1:7" outlineLevel="1">
      <c r="A61" s="657" t="s">
        <v>1782</v>
      </c>
      <c r="B61" s="658" t="s">
        <v>1783</v>
      </c>
      <c r="C61" s="659" t="s">
        <v>132</v>
      </c>
      <c r="D61" s="669">
        <v>0</v>
      </c>
      <c r="E61" s="660">
        <v>54232272.491610914</v>
      </c>
      <c r="F61" s="661">
        <f t="shared" si="4"/>
        <v>0</v>
      </c>
      <c r="G61" s="661"/>
    </row>
    <row r="62" spans="1:7" outlineLevel="1">
      <c r="A62" s="657" t="s">
        <v>1784</v>
      </c>
      <c r="B62" s="658" t="s">
        <v>1785</v>
      </c>
      <c r="C62" s="659" t="s">
        <v>130</v>
      </c>
      <c r="D62" s="318">
        <v>1</v>
      </c>
      <c r="E62" s="660">
        <v>7000</v>
      </c>
      <c r="F62" s="661">
        <f t="shared" si="4"/>
        <v>7000</v>
      </c>
      <c r="G62" s="661"/>
    </row>
    <row r="63" spans="1:7" outlineLevel="1">
      <c r="A63" s="657" t="s">
        <v>1786</v>
      </c>
      <c r="B63" s="658" t="s">
        <v>1787</v>
      </c>
      <c r="C63" s="659" t="s">
        <v>130</v>
      </c>
      <c r="D63" s="318">
        <v>0</v>
      </c>
      <c r="E63" s="660">
        <v>0</v>
      </c>
      <c r="F63" s="661">
        <f t="shared" si="4"/>
        <v>0</v>
      </c>
      <c r="G63" s="661"/>
    </row>
    <row r="64" spans="1:7" ht="22.5" outlineLevel="1">
      <c r="A64" s="657" t="s">
        <v>1788</v>
      </c>
      <c r="B64" s="670" t="s">
        <v>1789</v>
      </c>
      <c r="C64" s="659" t="s">
        <v>130</v>
      </c>
      <c r="D64" s="318">
        <v>1</v>
      </c>
      <c r="E64" s="660">
        <v>4600</v>
      </c>
      <c r="F64" s="661">
        <f t="shared" si="4"/>
        <v>4600</v>
      </c>
      <c r="G64" s="661"/>
    </row>
    <row r="65" spans="1:7" outlineLevel="1">
      <c r="A65" s="657" t="s">
        <v>1790</v>
      </c>
      <c r="B65" s="658" t="s">
        <v>1791</v>
      </c>
      <c r="C65" s="659" t="s">
        <v>130</v>
      </c>
      <c r="D65" s="318">
        <v>0</v>
      </c>
      <c r="E65" s="660">
        <v>0</v>
      </c>
      <c r="F65" s="661">
        <f t="shared" si="4"/>
        <v>0</v>
      </c>
      <c r="G65" s="661"/>
    </row>
    <row r="66" spans="1:7" outlineLevel="1">
      <c r="A66" s="657" t="s">
        <v>1792</v>
      </c>
      <c r="B66" s="658" t="s">
        <v>1793</v>
      </c>
      <c r="C66" s="659" t="s">
        <v>130</v>
      </c>
      <c r="D66" s="318">
        <v>0</v>
      </c>
      <c r="E66" s="660">
        <v>0</v>
      </c>
      <c r="F66" s="661">
        <f t="shared" si="4"/>
        <v>0</v>
      </c>
      <c r="G66" s="661"/>
    </row>
    <row r="67" spans="1:7" outlineLevel="1">
      <c r="A67" s="657" t="s">
        <v>1794</v>
      </c>
      <c r="B67" s="658" t="s">
        <v>1795</v>
      </c>
      <c r="C67" s="659" t="s">
        <v>132</v>
      </c>
      <c r="D67" s="318">
        <v>254.40000000000009</v>
      </c>
      <c r="E67" s="660">
        <v>116.69934640522872</v>
      </c>
      <c r="F67" s="661">
        <f>+D67*E67</f>
        <v>29688.313725490199</v>
      </c>
      <c r="G67" s="661"/>
    </row>
    <row r="68" spans="1:7" outlineLevel="1">
      <c r="A68" s="657" t="s">
        <v>1796</v>
      </c>
      <c r="B68" s="658" t="s">
        <v>1797</v>
      </c>
      <c r="C68" s="659" t="s">
        <v>132</v>
      </c>
      <c r="D68" s="318">
        <v>254.40000000000009</v>
      </c>
      <c r="E68" s="660">
        <v>28.202342047930273</v>
      </c>
      <c r="F68" s="661">
        <f>+D68*E68</f>
        <v>7174.6758169934637</v>
      </c>
      <c r="G68" s="661"/>
    </row>
    <row r="69" spans="1:7" outlineLevel="1">
      <c r="A69" s="657" t="s">
        <v>1798</v>
      </c>
      <c r="B69" s="658" t="s">
        <v>1799</v>
      </c>
      <c r="C69" s="659" t="s">
        <v>132</v>
      </c>
      <c r="D69" s="318">
        <v>67</v>
      </c>
      <c r="E69" s="660">
        <v>88.293693134328407</v>
      </c>
      <c r="F69" s="661">
        <f>+D69*E69</f>
        <v>5915.6774400000031</v>
      </c>
      <c r="G69" s="661"/>
    </row>
    <row r="70" spans="1:7" outlineLevel="1">
      <c r="A70" s="657" t="s">
        <v>1800</v>
      </c>
      <c r="B70" s="658" t="s">
        <v>1801</v>
      </c>
      <c r="C70" s="659" t="s">
        <v>132</v>
      </c>
      <c r="D70" s="318">
        <v>67</v>
      </c>
      <c r="E70" s="660">
        <v>21.337642507462697</v>
      </c>
      <c r="F70" s="661">
        <f>+D70*E70</f>
        <v>1429.6220480000006</v>
      </c>
      <c r="G70" s="661"/>
    </row>
    <row r="71" spans="1:7" outlineLevel="1">
      <c r="A71" s="657"/>
      <c r="B71" s="658"/>
      <c r="C71" s="659"/>
      <c r="D71" s="318"/>
      <c r="E71" s="660"/>
      <c r="F71" s="661"/>
      <c r="G71" s="671"/>
    </row>
    <row r="72" spans="1:7">
      <c r="A72" s="663" t="s">
        <v>1802</v>
      </c>
      <c r="B72" s="664" t="s">
        <v>1803</v>
      </c>
      <c r="C72" s="665"/>
      <c r="D72" s="319"/>
      <c r="E72" s="666"/>
      <c r="F72" s="661"/>
      <c r="G72" s="667">
        <f>SUM(F73)</f>
        <v>97545.76</v>
      </c>
    </row>
    <row r="73" spans="1:7" outlineLevel="1">
      <c r="A73" s="657" t="s">
        <v>1804</v>
      </c>
      <c r="B73" s="658" t="s">
        <v>1805</v>
      </c>
      <c r="C73" s="659" t="s">
        <v>132</v>
      </c>
      <c r="D73" s="318">
        <v>23</v>
      </c>
      <c r="E73" s="660">
        <v>4241.12</v>
      </c>
      <c r="F73" s="661">
        <f t="shared" ref="F73" si="5">+D73*E73</f>
        <v>97545.76</v>
      </c>
      <c r="G73" s="661"/>
    </row>
    <row r="74" spans="1:7" outlineLevel="1">
      <c r="A74" s="657"/>
      <c r="B74" s="658"/>
      <c r="C74" s="659"/>
      <c r="D74" s="318"/>
      <c r="E74" s="660"/>
      <c r="F74" s="661"/>
      <c r="G74" s="661"/>
    </row>
    <row r="75" spans="1:7">
      <c r="A75" s="663" t="s">
        <v>1806</v>
      </c>
      <c r="B75" s="664" t="s">
        <v>1807</v>
      </c>
      <c r="C75" s="665"/>
      <c r="D75" s="319"/>
      <c r="E75" s="666"/>
      <c r="F75" s="661"/>
      <c r="G75" s="667">
        <f>SUM(F76:F84)</f>
        <v>144702.30380003899</v>
      </c>
    </row>
    <row r="76" spans="1:7" outlineLevel="1">
      <c r="A76" s="657" t="s">
        <v>1808</v>
      </c>
      <c r="B76" s="658" t="s">
        <v>1809</v>
      </c>
      <c r="C76" s="318" t="s">
        <v>130</v>
      </c>
      <c r="D76" s="318">
        <v>0</v>
      </c>
      <c r="E76" s="318">
        <v>92374.447424877886</v>
      </c>
      <c r="F76" s="661">
        <f t="shared" ref="F76:F84" si="6">+D76*E76</f>
        <v>0</v>
      </c>
      <c r="G76" s="661"/>
    </row>
    <row r="77" spans="1:7" outlineLevel="1">
      <c r="A77" s="657" t="s">
        <v>1810</v>
      </c>
      <c r="B77" s="658" t="s">
        <v>1811</v>
      </c>
      <c r="C77" s="318" t="s">
        <v>130</v>
      </c>
      <c r="D77" s="318">
        <v>1</v>
      </c>
      <c r="E77" s="318">
        <v>2000</v>
      </c>
      <c r="F77" s="661">
        <f t="shared" si="6"/>
        <v>2000</v>
      </c>
      <c r="G77" s="661"/>
    </row>
    <row r="78" spans="1:7" outlineLevel="1">
      <c r="A78" s="657" t="s">
        <v>1812</v>
      </c>
      <c r="B78" s="672" t="s">
        <v>1813</v>
      </c>
      <c r="C78" s="318" t="s">
        <v>132</v>
      </c>
      <c r="D78" s="318">
        <v>0</v>
      </c>
      <c r="E78" s="318">
        <v>27122.156110498909</v>
      </c>
      <c r="F78" s="661">
        <f t="shared" si="6"/>
        <v>0</v>
      </c>
      <c r="G78" s="661"/>
    </row>
    <row r="79" spans="1:7" outlineLevel="1">
      <c r="A79" s="657" t="s">
        <v>1814</v>
      </c>
      <c r="B79" s="672" t="s">
        <v>1815</v>
      </c>
      <c r="C79" s="318" t="s">
        <v>132</v>
      </c>
      <c r="D79" s="318">
        <v>0</v>
      </c>
      <c r="E79" s="318">
        <v>18081.437406999274</v>
      </c>
      <c r="F79" s="661">
        <f t="shared" si="6"/>
        <v>0</v>
      </c>
      <c r="G79" s="661"/>
    </row>
    <row r="80" spans="1:7" outlineLevel="1">
      <c r="A80" s="657" t="s">
        <v>1816</v>
      </c>
      <c r="B80" s="658" t="s">
        <v>1817</v>
      </c>
      <c r="C80" s="318" t="s">
        <v>132</v>
      </c>
      <c r="D80" s="318">
        <v>0</v>
      </c>
      <c r="E80" s="318">
        <v>9040.7187034996368</v>
      </c>
      <c r="F80" s="661">
        <f t="shared" si="6"/>
        <v>0</v>
      </c>
      <c r="G80" s="661"/>
    </row>
    <row r="81" spans="1:7" outlineLevel="1">
      <c r="A81" s="657" t="s">
        <v>1818</v>
      </c>
      <c r="B81" s="658" t="s">
        <v>1819</v>
      </c>
      <c r="C81" s="318" t="s">
        <v>132</v>
      </c>
      <c r="D81" s="318">
        <v>0</v>
      </c>
      <c r="E81" s="318">
        <v>9040.7187034996368</v>
      </c>
      <c r="F81" s="661">
        <f t="shared" si="6"/>
        <v>0</v>
      </c>
      <c r="G81" s="661"/>
    </row>
    <row r="82" spans="1:7" outlineLevel="1">
      <c r="A82" s="657" t="s">
        <v>1820</v>
      </c>
      <c r="B82" s="658" t="s">
        <v>1821</v>
      </c>
      <c r="C82" s="318" t="s">
        <v>130</v>
      </c>
      <c r="D82" s="318">
        <v>1</v>
      </c>
      <c r="E82" s="318">
        <v>16500</v>
      </c>
      <c r="F82" s="661">
        <f t="shared" si="6"/>
        <v>16500</v>
      </c>
      <c r="G82" s="661"/>
    </row>
    <row r="83" spans="1:7" outlineLevel="1">
      <c r="A83" s="657" t="s">
        <v>1822</v>
      </c>
      <c r="B83" s="658" t="s">
        <v>1823</v>
      </c>
      <c r="C83" s="318" t="s">
        <v>130</v>
      </c>
      <c r="D83" s="318">
        <v>1</v>
      </c>
      <c r="E83" s="318">
        <v>3616.2874813998546</v>
      </c>
      <c r="F83" s="661">
        <f t="shared" si="6"/>
        <v>3616.2874813998546</v>
      </c>
      <c r="G83" s="661"/>
    </row>
    <row r="84" spans="1:7" outlineLevel="1">
      <c r="A84" s="657" t="s">
        <v>1824</v>
      </c>
      <c r="B84" s="658" t="s">
        <v>1825</v>
      </c>
      <c r="C84" s="318" t="s">
        <v>130</v>
      </c>
      <c r="D84" s="318">
        <v>1</v>
      </c>
      <c r="E84" s="318">
        <v>122586.01631863914</v>
      </c>
      <c r="F84" s="661">
        <f t="shared" si="6"/>
        <v>122586.01631863914</v>
      </c>
      <c r="G84" s="661"/>
    </row>
    <row r="85" spans="1:7" ht="15.75" thickBot="1">
      <c r="A85" s="673"/>
      <c r="B85" s="674"/>
      <c r="C85" s="675"/>
      <c r="D85" s="320"/>
      <c r="E85" s="320"/>
      <c r="F85" s="321"/>
      <c r="G85" s="676"/>
    </row>
    <row r="86" spans="1:7" ht="16.5" thickTop="1" thickBot="1">
      <c r="A86" s="322"/>
      <c r="B86" s="119"/>
      <c r="C86" s="119"/>
      <c r="D86" s="119"/>
      <c r="E86" s="119"/>
      <c r="F86" s="323"/>
      <c r="G86" s="323">
        <f>SUM(G11:G85)</f>
        <v>4002369.7903305227</v>
      </c>
    </row>
    <row r="87" spans="1:7" ht="15.75" thickTop="1"/>
    <row r="88" spans="1:7" ht="15.75" thickBot="1"/>
    <row r="89" spans="1:7">
      <c r="A89" s="752" t="s">
        <v>1802</v>
      </c>
      <c r="B89" s="753" t="s">
        <v>1803</v>
      </c>
      <c r="C89" s="754"/>
      <c r="D89" s="755"/>
      <c r="E89" s="756"/>
      <c r="F89" s="757"/>
      <c r="G89" s="758">
        <f>SUM(F90)</f>
        <v>218500</v>
      </c>
    </row>
    <row r="90" spans="1:7" ht="15.75" outlineLevel="1" thickBot="1">
      <c r="A90" s="759" t="s">
        <v>1804</v>
      </c>
      <c r="B90" s="760" t="s">
        <v>1805</v>
      </c>
      <c r="C90" s="761" t="s">
        <v>132</v>
      </c>
      <c r="D90" s="762">
        <v>23</v>
      </c>
      <c r="E90" s="763">
        <v>9500</v>
      </c>
      <c r="F90" s="764">
        <f t="shared" ref="F90" si="7">+D90*E90</f>
        <v>218500</v>
      </c>
      <c r="G90" s="765"/>
    </row>
  </sheetData>
  <mergeCells count="1">
    <mergeCell ref="A6:G6"/>
  </mergeCells>
  <pageMargins left="0.7" right="0.7" top="0.75" bottom="0.75" header="0.3" footer="0.3"/>
  <pageSetup paperSize="9" scale="68" orientation="portrait" horizontalDpi="4294967292"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A9E9-04FF-4797-8CFD-27D7BCE2D88F}">
  <dimension ref="C2:N303"/>
  <sheetViews>
    <sheetView zoomScale="81" zoomScaleNormal="81" workbookViewId="0">
      <pane xSplit="4" ySplit="9" topLeftCell="J10" activePane="bottomRight" state="frozen"/>
      <selection pane="topRight" activeCell="E1" sqref="E1"/>
      <selection pane="bottomLeft" activeCell="A10" sqref="A10"/>
      <selection pane="bottomRight" activeCell="O1" sqref="O1:BE1048576"/>
    </sheetView>
  </sheetViews>
  <sheetFormatPr defaultColWidth="11.42578125" defaultRowHeight="15" outlineLevelRow="1"/>
  <cols>
    <col min="1" max="2" width="1.7109375" customWidth="1"/>
    <col min="3" max="3" width="11.7109375" customWidth="1"/>
    <col min="4" max="4" width="54.28515625" customWidth="1"/>
    <col min="5" max="5" width="8.28515625" bestFit="1" customWidth="1"/>
    <col min="6" max="7" width="12.5703125" bestFit="1" customWidth="1"/>
    <col min="8" max="9" width="20.5703125" customWidth="1"/>
    <col min="10" max="10" width="12.28515625" customWidth="1"/>
    <col min="11" max="11" width="16.28515625" customWidth="1"/>
    <col min="12" max="12" width="13.85546875" customWidth="1"/>
    <col min="13" max="14" width="18.5703125" customWidth="1"/>
  </cols>
  <sheetData>
    <row r="2" spans="3:14">
      <c r="C2" s="32"/>
      <c r="D2" s="14"/>
      <c r="E2" s="15"/>
      <c r="F2" s="14"/>
      <c r="G2" s="14"/>
      <c r="H2" s="14"/>
      <c r="I2" s="14"/>
      <c r="J2" s="14"/>
      <c r="K2" s="14"/>
      <c r="L2" s="14"/>
      <c r="M2" s="14"/>
      <c r="N2" s="14"/>
    </row>
    <row r="3" spans="3:14">
      <c r="C3" s="777" t="s">
        <v>1009</v>
      </c>
      <c r="D3" s="777"/>
      <c r="E3" s="777"/>
      <c r="F3" s="777"/>
      <c r="G3" s="777"/>
      <c r="H3" s="777"/>
      <c r="I3" s="777"/>
      <c r="J3" s="777"/>
      <c r="K3" s="777"/>
      <c r="L3" s="777"/>
      <c r="M3" s="777"/>
      <c r="N3" s="777"/>
    </row>
    <row r="4" spans="3:14">
      <c r="C4" s="32"/>
      <c r="D4" s="14"/>
      <c r="E4" s="15"/>
      <c r="F4" s="14"/>
      <c r="G4" s="14"/>
      <c r="H4" s="14"/>
      <c r="I4" s="14"/>
      <c r="J4" s="16"/>
      <c r="K4" s="14"/>
      <c r="L4" s="14"/>
      <c r="M4" s="14"/>
      <c r="N4" s="14"/>
    </row>
    <row r="5" spans="3:14">
      <c r="C5" s="110" t="s">
        <v>1010</v>
      </c>
      <c r="D5" s="163" t="str">
        <f>+'RESUMEN ESCENARIO'!C6</f>
        <v>PRESUPUESTO  |  GERMANIA  |  REV 09</v>
      </c>
      <c r="E5" s="15"/>
      <c r="F5" s="14"/>
      <c r="G5" s="14"/>
      <c r="H5" s="14"/>
      <c r="I5" s="14"/>
      <c r="J5" s="16"/>
      <c r="K5" s="209"/>
      <c r="L5" s="14"/>
      <c r="M5" s="14"/>
      <c r="N5" s="14"/>
    </row>
    <row r="6" spans="3:14">
      <c r="C6" s="110" t="s">
        <v>1011</v>
      </c>
      <c r="D6" s="163" t="str">
        <f>+C3</f>
        <v>ESTRUCTURAS SOTANOS</v>
      </c>
      <c r="E6" s="15"/>
      <c r="F6" s="208"/>
      <c r="G6" s="208"/>
      <c r="H6" s="328"/>
      <c r="I6" s="14"/>
      <c r="J6" s="16"/>
      <c r="K6" s="172"/>
      <c r="L6" s="14"/>
      <c r="M6" s="14"/>
      <c r="N6" s="14"/>
    </row>
    <row r="7" spans="3:14">
      <c r="C7" s="110" t="s">
        <v>1012</v>
      </c>
      <c r="D7" s="163" t="str">
        <f>+'RESUMEN ESCENARIO'!C7</f>
        <v>VYV INMOBILIARIA</v>
      </c>
      <c r="E7" s="15"/>
      <c r="F7" s="14"/>
      <c r="G7" s="14"/>
      <c r="H7" s="173"/>
      <c r="I7" s="174"/>
      <c r="J7" s="175"/>
      <c r="K7" s="176"/>
      <c r="L7" s="174"/>
      <c r="M7" s="174"/>
      <c r="N7" s="19"/>
    </row>
    <row r="8" spans="3:14">
      <c r="C8" s="110" t="s">
        <v>1013</v>
      </c>
      <c r="D8" s="163" t="str">
        <f>+'RESUMEN ESCENARIO'!C8</f>
        <v>SURQUILLO</v>
      </c>
      <c r="E8" s="15"/>
      <c r="F8" s="14"/>
      <c r="G8" s="14"/>
      <c r="H8" s="17"/>
      <c r="I8" s="14"/>
      <c r="J8" s="14"/>
      <c r="K8" s="14"/>
      <c r="L8" s="14"/>
      <c r="M8" s="14"/>
      <c r="N8" s="14"/>
    </row>
    <row r="9" spans="3:14" ht="15.75" thickBot="1">
      <c r="C9" s="47"/>
      <c r="D9" s="16"/>
      <c r="E9" s="21"/>
      <c r="F9" s="16"/>
      <c r="G9" s="16"/>
      <c r="H9" s="155"/>
      <c r="I9" s="16"/>
      <c r="J9" s="155"/>
      <c r="K9" s="16"/>
      <c r="L9" s="16"/>
      <c r="M9" s="16"/>
      <c r="N9" s="16"/>
    </row>
    <row r="10" spans="3:14" ht="24" thickTop="1" thickBot="1">
      <c r="C10" s="334" t="s">
        <v>20</v>
      </c>
      <c r="D10" s="334" t="s">
        <v>69</v>
      </c>
      <c r="E10" s="334" t="s">
        <v>70</v>
      </c>
      <c r="F10" s="334" t="s">
        <v>1014</v>
      </c>
      <c r="G10" s="334" t="s">
        <v>1014</v>
      </c>
      <c r="H10" s="24" t="s">
        <v>72</v>
      </c>
      <c r="I10" s="24" t="s">
        <v>73</v>
      </c>
      <c r="J10" s="53" t="s">
        <v>74</v>
      </c>
      <c r="K10" s="53" t="s">
        <v>75</v>
      </c>
      <c r="L10" s="53" t="s">
        <v>76</v>
      </c>
      <c r="M10" s="53" t="s">
        <v>77</v>
      </c>
      <c r="N10" s="362" t="s">
        <v>54</v>
      </c>
    </row>
    <row r="11" spans="3:14" ht="16.5" thickTop="1" thickBot="1">
      <c r="C11" s="363" t="s">
        <v>995</v>
      </c>
      <c r="D11" s="364" t="s">
        <v>1015</v>
      </c>
      <c r="E11" s="365"/>
      <c r="F11" s="365"/>
      <c r="G11" s="365"/>
      <c r="H11" s="365"/>
      <c r="I11" s="366"/>
      <c r="J11" s="365"/>
      <c r="K11" s="365"/>
      <c r="L11" s="365"/>
      <c r="M11" s="365"/>
      <c r="N11" s="365"/>
    </row>
    <row r="12" spans="3:14">
      <c r="C12" s="210" t="s">
        <v>1016</v>
      </c>
      <c r="D12" s="211" t="s">
        <v>1017</v>
      </c>
      <c r="E12" s="212"/>
      <c r="F12" s="213"/>
      <c r="G12" s="213"/>
      <c r="H12" s="213"/>
      <c r="I12" s="214"/>
      <c r="J12" s="215"/>
      <c r="K12" s="214"/>
      <c r="L12" s="214"/>
      <c r="M12" s="216"/>
      <c r="N12" s="227">
        <f>SUM(K12:K20)+SUM(L12:L20)*TC</f>
        <v>134326.52430724399</v>
      </c>
    </row>
    <row r="13" spans="3:14" ht="21" customHeight="1" outlineLevel="1">
      <c r="C13" s="217" t="s">
        <v>1018</v>
      </c>
      <c r="D13" s="629" t="s">
        <v>1019</v>
      </c>
      <c r="E13" s="218" t="s">
        <v>130</v>
      </c>
      <c r="F13" s="219">
        <v>1</v>
      </c>
      <c r="G13" s="219">
        <v>1</v>
      </c>
      <c r="H13" s="219">
        <v>21000</v>
      </c>
      <c r="I13" s="220">
        <v>0</v>
      </c>
      <c r="J13" s="145">
        <f t="shared" ref="J13:J17" si="0">+ROUND(H13+I13*TC,2)</f>
        <v>21000</v>
      </c>
      <c r="K13" s="221">
        <f>H13*G13</f>
        <v>21000</v>
      </c>
      <c r="L13" s="248">
        <f>I13*G13</f>
        <v>0</v>
      </c>
      <c r="M13" s="7">
        <f t="shared" ref="M13" si="1">+ROUND(K13+L13*TC,2)</f>
        <v>21000</v>
      </c>
      <c r="N13" s="228"/>
    </row>
    <row r="14" spans="3:14" ht="21" customHeight="1" outlineLevel="1">
      <c r="C14" s="217" t="s">
        <v>1020</v>
      </c>
      <c r="D14" s="629" t="s">
        <v>1021</v>
      </c>
      <c r="E14" s="218" t="s">
        <v>130</v>
      </c>
      <c r="F14" s="219">
        <v>1</v>
      </c>
      <c r="G14" s="219">
        <v>1</v>
      </c>
      <c r="H14" s="219">
        <v>26000</v>
      </c>
      <c r="I14" s="220">
        <v>0</v>
      </c>
      <c r="J14" s="145">
        <f t="shared" si="0"/>
        <v>26000</v>
      </c>
      <c r="K14" s="221">
        <f t="shared" ref="K14:K74" si="2">H14*G14</f>
        <v>26000</v>
      </c>
      <c r="L14" s="248">
        <f t="shared" ref="L14:L74" si="3">I14*G14</f>
        <v>0</v>
      </c>
      <c r="M14" s="7">
        <f t="shared" ref="M14:M74" si="4">+ROUND(K14+L14*TC,2)</f>
        <v>26000</v>
      </c>
      <c r="N14" s="228"/>
    </row>
    <row r="15" spans="3:14" ht="21" customHeight="1" outlineLevel="1">
      <c r="C15" s="217" t="s">
        <v>1022</v>
      </c>
      <c r="D15" s="629" t="s">
        <v>1023</v>
      </c>
      <c r="E15" s="218" t="s">
        <v>130</v>
      </c>
      <c r="F15" s="219">
        <v>1</v>
      </c>
      <c r="G15" s="219">
        <v>1</v>
      </c>
      <c r="H15" s="219">
        <v>25000</v>
      </c>
      <c r="I15" s="220">
        <v>0</v>
      </c>
      <c r="J15" s="145">
        <f t="shared" si="0"/>
        <v>25000</v>
      </c>
      <c r="K15" s="221">
        <f t="shared" si="2"/>
        <v>25000</v>
      </c>
      <c r="L15" s="248">
        <f t="shared" si="3"/>
        <v>0</v>
      </c>
      <c r="M15" s="7">
        <f t="shared" si="4"/>
        <v>25000</v>
      </c>
      <c r="N15" s="228"/>
    </row>
    <row r="16" spans="3:14" ht="21" customHeight="1" outlineLevel="1">
      <c r="C16" s="217" t="s">
        <v>1024</v>
      </c>
      <c r="D16" s="629" t="s">
        <v>1025</v>
      </c>
      <c r="E16" s="218" t="s">
        <v>130</v>
      </c>
      <c r="F16" s="219">
        <v>4</v>
      </c>
      <c r="G16" s="219">
        <v>4</v>
      </c>
      <c r="H16" s="219"/>
      <c r="I16" s="220">
        <v>720</v>
      </c>
      <c r="J16" s="145">
        <f t="shared" si="0"/>
        <v>2412</v>
      </c>
      <c r="K16" s="221">
        <f t="shared" si="2"/>
        <v>0</v>
      </c>
      <c r="L16" s="248">
        <f t="shared" si="3"/>
        <v>2880</v>
      </c>
      <c r="M16" s="7">
        <f t="shared" si="4"/>
        <v>9648</v>
      </c>
      <c r="N16" s="228"/>
    </row>
    <row r="17" spans="3:14" ht="21" customHeight="1" outlineLevel="1">
      <c r="C17" s="217" t="s">
        <v>1026</v>
      </c>
      <c r="D17" s="629" t="s">
        <v>1027</v>
      </c>
      <c r="E17" s="218" t="s">
        <v>121</v>
      </c>
      <c r="F17" s="219">
        <v>8</v>
      </c>
      <c r="G17" s="219">
        <v>8</v>
      </c>
      <c r="H17" s="219">
        <v>584.81553840549952</v>
      </c>
      <c r="I17" s="220">
        <v>0</v>
      </c>
      <c r="J17" s="145">
        <f t="shared" si="0"/>
        <v>584.82000000000005</v>
      </c>
      <c r="K17" s="221">
        <f t="shared" si="2"/>
        <v>4678.5243072439962</v>
      </c>
      <c r="L17" s="248">
        <f t="shared" si="3"/>
        <v>0</v>
      </c>
      <c r="M17" s="7">
        <f t="shared" si="4"/>
        <v>4678.5200000000004</v>
      </c>
      <c r="N17" s="228"/>
    </row>
    <row r="18" spans="3:14" ht="21" customHeight="1" outlineLevel="1">
      <c r="C18" s="217"/>
      <c r="D18" s="629" t="s">
        <v>1028</v>
      </c>
      <c r="E18" s="218" t="s">
        <v>130</v>
      </c>
      <c r="F18" s="219">
        <v>1</v>
      </c>
      <c r="G18" s="219">
        <v>1</v>
      </c>
      <c r="H18" s="219">
        <v>4000</v>
      </c>
      <c r="I18" s="220">
        <v>0</v>
      </c>
      <c r="J18" s="145">
        <f t="shared" ref="J18" si="5">+ROUND(H18+I18*TC,2)</f>
        <v>4000</v>
      </c>
      <c r="K18" s="221">
        <f t="shared" ref="K18" si="6">H18*G18</f>
        <v>4000</v>
      </c>
      <c r="L18" s="248">
        <f t="shared" ref="L18" si="7">I18*G18</f>
        <v>0</v>
      </c>
      <c r="M18" s="7">
        <f t="shared" ref="M18" si="8">+ROUND(K18+L18*TC,2)</f>
        <v>4000</v>
      </c>
      <c r="N18" s="228"/>
    </row>
    <row r="19" spans="3:14" ht="21" customHeight="1" outlineLevel="1">
      <c r="C19" s="217"/>
      <c r="D19" s="629" t="s">
        <v>1029</v>
      </c>
      <c r="E19" s="218" t="s">
        <v>130</v>
      </c>
      <c r="F19" s="219">
        <v>1</v>
      </c>
      <c r="G19" s="219">
        <v>1</v>
      </c>
      <c r="H19" s="219">
        <v>20000</v>
      </c>
      <c r="I19" s="220">
        <v>0</v>
      </c>
      <c r="J19" s="145">
        <f t="shared" ref="J19" si="9">+ROUND(H19+I19*TC,2)</f>
        <v>20000</v>
      </c>
      <c r="K19" s="221">
        <f t="shared" ref="K19" si="10">H19*G19</f>
        <v>20000</v>
      </c>
      <c r="L19" s="248">
        <f t="shared" ref="L19" si="11">I19*G19</f>
        <v>0</v>
      </c>
      <c r="M19" s="7">
        <f t="shared" ref="M19" si="12">+ROUND(K19+L19*TC,2)</f>
        <v>20000</v>
      </c>
      <c r="N19" s="228"/>
    </row>
    <row r="20" spans="3:14" ht="21" customHeight="1" outlineLevel="1">
      <c r="C20" s="217"/>
      <c r="D20" s="629" t="s">
        <v>1030</v>
      </c>
      <c r="E20" s="218" t="s">
        <v>130</v>
      </c>
      <c r="F20" s="219">
        <v>2</v>
      </c>
      <c r="G20" s="219">
        <v>2</v>
      </c>
      <c r="H20" s="219">
        <v>12000</v>
      </c>
      <c r="I20" s="220">
        <v>0</v>
      </c>
      <c r="J20" s="145">
        <f t="shared" ref="J20" si="13">+ROUND(H20+I20*TC,2)</f>
        <v>12000</v>
      </c>
      <c r="K20" s="221">
        <f t="shared" ref="K20" si="14">H20*G20</f>
        <v>24000</v>
      </c>
      <c r="L20" s="248">
        <f t="shared" ref="L20" si="15">I20*G20</f>
        <v>0</v>
      </c>
      <c r="M20" s="7">
        <f t="shared" ref="M20" si="16">+ROUND(K20+L20*TC,2)</f>
        <v>24000</v>
      </c>
      <c r="N20" s="228"/>
    </row>
    <row r="21" spans="3:14">
      <c r="C21" s="630" t="s">
        <v>1031</v>
      </c>
      <c r="D21" s="631" t="s">
        <v>1032</v>
      </c>
      <c r="E21" s="632"/>
      <c r="F21" s="219"/>
      <c r="G21" s="219">
        <v>0</v>
      </c>
      <c r="H21" s="219"/>
      <c r="I21" s="220" t="s">
        <v>27</v>
      </c>
      <c r="J21" s="145"/>
      <c r="K21" s="221"/>
      <c r="L21" s="248"/>
      <c r="M21" s="7"/>
      <c r="N21" s="229">
        <f>SUM(K21:K31)+SUM(L21:L31)*TC</f>
        <v>1021803.9896</v>
      </c>
    </row>
    <row r="22" spans="3:14" outlineLevel="1">
      <c r="C22" s="222" t="s">
        <v>1033</v>
      </c>
      <c r="D22" s="223" t="s">
        <v>1034</v>
      </c>
      <c r="E22" s="224"/>
      <c r="F22" s="219"/>
      <c r="G22" s="219">
        <v>0</v>
      </c>
      <c r="H22" s="219"/>
      <c r="I22" s="220" t="s">
        <v>27</v>
      </c>
      <c r="J22" s="145"/>
      <c r="K22" s="221"/>
      <c r="L22" s="248"/>
      <c r="M22" s="7"/>
      <c r="N22" s="633"/>
    </row>
    <row r="23" spans="3:14" outlineLevel="1">
      <c r="C23" s="217" t="s">
        <v>1036</v>
      </c>
      <c r="D23" s="634" t="s">
        <v>1037</v>
      </c>
      <c r="E23" s="218" t="s">
        <v>973</v>
      </c>
      <c r="F23" s="219">
        <v>2000</v>
      </c>
      <c r="G23" s="219">
        <v>2000</v>
      </c>
      <c r="H23" s="219">
        <v>37.68</v>
      </c>
      <c r="I23" s="220">
        <v>0</v>
      </c>
      <c r="J23" s="145">
        <f t="shared" ref="J23:J30" si="17">+ROUND(H23+I23*TC,2)</f>
        <v>37.68</v>
      </c>
      <c r="K23" s="221">
        <f t="shared" si="2"/>
        <v>75360</v>
      </c>
      <c r="L23" s="248">
        <f t="shared" si="3"/>
        <v>0</v>
      </c>
      <c r="M23" s="7">
        <f t="shared" si="4"/>
        <v>75360</v>
      </c>
      <c r="N23" s="228"/>
    </row>
    <row r="24" spans="3:14" outlineLevel="1">
      <c r="C24" s="217"/>
      <c r="D24" s="634" t="s">
        <v>1038</v>
      </c>
      <c r="E24" s="218"/>
      <c r="F24" s="219">
        <v>2329.44</v>
      </c>
      <c r="G24" s="219">
        <v>2329.44</v>
      </c>
      <c r="H24" s="219">
        <v>27.68</v>
      </c>
      <c r="I24" s="220"/>
      <c r="J24" s="145">
        <f t="shared" si="17"/>
        <v>27.68</v>
      </c>
      <c r="K24" s="221">
        <f t="shared" ref="K24" si="18">H24*G24</f>
        <v>64478.8992</v>
      </c>
      <c r="L24" s="248">
        <f t="shared" ref="L24" si="19">I24*G24</f>
        <v>0</v>
      </c>
      <c r="M24" s="7">
        <f t="shared" ref="M24" si="20">+ROUND(K24+L24*TC,2)</f>
        <v>64478.9</v>
      </c>
      <c r="N24" s="228"/>
    </row>
    <row r="25" spans="3:14" outlineLevel="1">
      <c r="C25" s="217" t="s">
        <v>1039</v>
      </c>
      <c r="D25" s="634" t="s">
        <v>1040</v>
      </c>
      <c r="E25" s="218" t="s">
        <v>973</v>
      </c>
      <c r="F25" s="219">
        <v>3576.47</v>
      </c>
      <c r="G25" s="219">
        <v>3576.47</v>
      </c>
      <c r="H25" s="219">
        <v>27.68</v>
      </c>
      <c r="I25" s="220">
        <v>0</v>
      </c>
      <c r="J25" s="145">
        <f t="shared" si="17"/>
        <v>27.68</v>
      </c>
      <c r="K25" s="221">
        <f t="shared" si="2"/>
        <v>98996.689599999998</v>
      </c>
      <c r="L25" s="248">
        <f t="shared" si="3"/>
        <v>0</v>
      </c>
      <c r="M25" s="7">
        <f t="shared" si="4"/>
        <v>98996.69</v>
      </c>
      <c r="N25" s="228"/>
    </row>
    <row r="26" spans="3:14" outlineLevel="1">
      <c r="C26" s="217" t="s">
        <v>1041</v>
      </c>
      <c r="D26" s="634" t="s">
        <v>1042</v>
      </c>
      <c r="E26" s="218" t="s">
        <v>973</v>
      </c>
      <c r="F26" s="219">
        <v>3576.47</v>
      </c>
      <c r="G26" s="219">
        <v>3576.47</v>
      </c>
      <c r="H26" s="219">
        <v>27.68</v>
      </c>
      <c r="I26" s="220">
        <v>0</v>
      </c>
      <c r="J26" s="145">
        <f t="shared" si="17"/>
        <v>27.68</v>
      </c>
      <c r="K26" s="221">
        <f t="shared" si="2"/>
        <v>98996.689599999998</v>
      </c>
      <c r="L26" s="248">
        <f t="shared" si="3"/>
        <v>0</v>
      </c>
      <c r="M26" s="7">
        <f t="shared" si="4"/>
        <v>98996.69</v>
      </c>
      <c r="N26" s="228"/>
    </row>
    <row r="27" spans="3:14" outlineLevel="1">
      <c r="C27" s="217" t="s">
        <v>1043</v>
      </c>
      <c r="D27" s="634" t="s">
        <v>1044</v>
      </c>
      <c r="E27" s="218" t="s">
        <v>973</v>
      </c>
      <c r="F27" s="219">
        <v>3576.47</v>
      </c>
      <c r="G27" s="219">
        <v>3576.47</v>
      </c>
      <c r="H27" s="219">
        <v>32.68</v>
      </c>
      <c r="I27" s="220">
        <v>0</v>
      </c>
      <c r="J27" s="145">
        <f t="shared" si="17"/>
        <v>32.68</v>
      </c>
      <c r="K27" s="221">
        <f t="shared" si="2"/>
        <v>116879.03959999999</v>
      </c>
      <c r="L27" s="248">
        <f t="shared" si="3"/>
        <v>0</v>
      </c>
      <c r="M27" s="7">
        <f t="shared" si="4"/>
        <v>116879.03999999999</v>
      </c>
      <c r="N27" s="228"/>
    </row>
    <row r="28" spans="3:14" outlineLevel="1">
      <c r="C28" s="217" t="s">
        <v>1045</v>
      </c>
      <c r="D28" s="634" t="s">
        <v>1046</v>
      </c>
      <c r="E28" s="218" t="s">
        <v>973</v>
      </c>
      <c r="F28" s="219">
        <v>3576.47</v>
      </c>
      <c r="G28" s="219">
        <v>3576.47</v>
      </c>
      <c r="H28" s="219">
        <v>32.68</v>
      </c>
      <c r="I28" s="220">
        <v>0</v>
      </c>
      <c r="J28" s="145">
        <f t="shared" si="17"/>
        <v>32.68</v>
      </c>
      <c r="K28" s="221">
        <f t="shared" si="2"/>
        <v>116879.03959999999</v>
      </c>
      <c r="L28" s="248">
        <f t="shared" si="3"/>
        <v>0</v>
      </c>
      <c r="M28" s="7">
        <f t="shared" si="4"/>
        <v>116879.03999999999</v>
      </c>
      <c r="N28" s="228"/>
    </row>
    <row r="29" spans="3:14" outlineLevel="1">
      <c r="C29" s="217" t="s">
        <v>1047</v>
      </c>
      <c r="D29" s="634" t="s">
        <v>1048</v>
      </c>
      <c r="E29" s="218" t="s">
        <v>973</v>
      </c>
      <c r="F29" s="219">
        <v>3952.95</v>
      </c>
      <c r="G29" s="219">
        <v>3952.95</v>
      </c>
      <c r="H29" s="219">
        <v>47.68</v>
      </c>
      <c r="I29" s="220">
        <v>0</v>
      </c>
      <c r="J29" s="145">
        <f t="shared" si="17"/>
        <v>47.68</v>
      </c>
      <c r="K29" s="221">
        <f t="shared" si="2"/>
        <v>188476.65599999999</v>
      </c>
      <c r="L29" s="248">
        <f t="shared" si="3"/>
        <v>0</v>
      </c>
      <c r="M29" s="7">
        <f t="shared" si="4"/>
        <v>188476.66</v>
      </c>
      <c r="N29" s="228"/>
    </row>
    <row r="30" spans="3:14" outlineLevel="1">
      <c r="C30" s="217" t="s">
        <v>1049</v>
      </c>
      <c r="D30" s="634" t="s">
        <v>1050</v>
      </c>
      <c r="E30" s="218" t="s">
        <v>973</v>
      </c>
      <c r="F30" s="219">
        <v>5489.45</v>
      </c>
      <c r="G30" s="219">
        <v>5489.45</v>
      </c>
      <c r="H30" s="219">
        <v>47.68</v>
      </c>
      <c r="I30" s="220">
        <v>0</v>
      </c>
      <c r="J30" s="145">
        <f t="shared" si="17"/>
        <v>47.68</v>
      </c>
      <c r="K30" s="221">
        <f t="shared" si="2"/>
        <v>261736.976</v>
      </c>
      <c r="L30" s="248">
        <f t="shared" si="3"/>
        <v>0</v>
      </c>
      <c r="M30" s="7">
        <f t="shared" si="4"/>
        <v>261736.98</v>
      </c>
      <c r="N30" s="228"/>
    </row>
    <row r="31" spans="3:14" outlineLevel="1">
      <c r="C31" s="217" t="s">
        <v>1049</v>
      </c>
      <c r="D31" s="635" t="s">
        <v>1051</v>
      </c>
      <c r="E31" s="218" t="s">
        <v>973</v>
      </c>
      <c r="F31" s="219">
        <v>0</v>
      </c>
      <c r="G31" s="219">
        <v>0</v>
      </c>
      <c r="H31" s="219">
        <v>0</v>
      </c>
      <c r="I31" s="220">
        <v>0</v>
      </c>
      <c r="J31" s="145">
        <f t="shared" ref="J31" si="21">+ROUND(H31+I31*TC,2)</f>
        <v>0</v>
      </c>
      <c r="K31" s="221">
        <f t="shared" ref="K31" si="22">H31*G31</f>
        <v>0</v>
      </c>
      <c r="L31" s="248">
        <f t="shared" ref="L31" si="23">I31*G31</f>
        <v>0</v>
      </c>
      <c r="M31" s="7">
        <f t="shared" ref="M31" si="24">+ROUND(K31+L31*TC,2)</f>
        <v>0</v>
      </c>
      <c r="N31" s="228"/>
    </row>
    <row r="32" spans="3:14" outlineLevel="1">
      <c r="C32" s="222" t="s">
        <v>1052</v>
      </c>
      <c r="D32" s="223" t="s">
        <v>1053</v>
      </c>
      <c r="E32" s="224"/>
      <c r="F32" s="219"/>
      <c r="G32" s="219">
        <v>0</v>
      </c>
      <c r="H32" s="219">
        <v>0</v>
      </c>
      <c r="I32" s="220" t="s">
        <v>27</v>
      </c>
      <c r="J32" s="145"/>
      <c r="K32" s="221"/>
      <c r="L32" s="248"/>
      <c r="M32" s="7"/>
      <c r="N32" s="229">
        <f>SUM(K32:K37)+SUM(L32:L37)*TC</f>
        <v>58723.9764</v>
      </c>
    </row>
    <row r="33" spans="3:14" outlineLevel="1">
      <c r="C33" s="217" t="s">
        <v>1054</v>
      </c>
      <c r="D33" s="629" t="s">
        <v>1055</v>
      </c>
      <c r="E33" s="218" t="s">
        <v>973</v>
      </c>
      <c r="F33" s="219">
        <v>1114.73</v>
      </c>
      <c r="G33" s="219">
        <v>1114.73</v>
      </c>
      <c r="H33" s="219">
        <v>52.68</v>
      </c>
      <c r="I33" s="220">
        <v>0</v>
      </c>
      <c r="J33" s="145">
        <f>+ROUND(H33+I33*TC,2)</f>
        <v>52.68</v>
      </c>
      <c r="K33" s="221">
        <f t="shared" si="2"/>
        <v>58723.9764</v>
      </c>
      <c r="L33" s="248">
        <f t="shared" si="3"/>
        <v>0</v>
      </c>
      <c r="M33" s="7">
        <f t="shared" si="4"/>
        <v>58723.98</v>
      </c>
      <c r="N33" s="228"/>
    </row>
    <row r="34" spans="3:14" outlineLevel="1">
      <c r="C34" s="217" t="s">
        <v>1056</v>
      </c>
      <c r="D34" s="230" t="s">
        <v>1057</v>
      </c>
      <c r="E34" s="218" t="s">
        <v>973</v>
      </c>
      <c r="F34" s="219"/>
      <c r="G34" s="219">
        <v>0</v>
      </c>
      <c r="H34" s="219">
        <v>41.73</v>
      </c>
      <c r="I34" s="220">
        <v>0</v>
      </c>
      <c r="J34" s="145"/>
      <c r="K34" s="221"/>
      <c r="L34" s="248"/>
      <c r="M34" s="7"/>
      <c r="N34" s="228"/>
    </row>
    <row r="35" spans="3:14" outlineLevel="1">
      <c r="C35" s="217" t="s">
        <v>1054</v>
      </c>
      <c r="D35" s="629" t="s">
        <v>1058</v>
      </c>
      <c r="E35" s="218" t="s">
        <v>973</v>
      </c>
      <c r="F35" s="219"/>
      <c r="G35" s="219">
        <v>0</v>
      </c>
      <c r="H35" s="219">
        <v>35</v>
      </c>
      <c r="I35" s="220">
        <v>0</v>
      </c>
      <c r="J35" s="145">
        <f>+ROUND(H35+I35*TC,2)</f>
        <v>35</v>
      </c>
      <c r="K35" s="221">
        <f t="shared" si="2"/>
        <v>0</v>
      </c>
      <c r="L35" s="248">
        <f t="shared" si="3"/>
        <v>0</v>
      </c>
      <c r="M35" s="7">
        <f t="shared" si="4"/>
        <v>0</v>
      </c>
      <c r="N35" s="228"/>
    </row>
    <row r="36" spans="3:14" outlineLevel="1">
      <c r="C36" s="217" t="s">
        <v>1059</v>
      </c>
      <c r="D36" s="629" t="s">
        <v>1060</v>
      </c>
      <c r="E36" s="218" t="s">
        <v>973</v>
      </c>
      <c r="F36" s="219"/>
      <c r="G36" s="219">
        <v>0</v>
      </c>
      <c r="H36" s="219">
        <v>41.73</v>
      </c>
      <c r="I36" s="220">
        <v>0</v>
      </c>
      <c r="J36" s="145">
        <f>+ROUND(H36+I36*TC,2)</f>
        <v>41.73</v>
      </c>
      <c r="K36" s="221">
        <f t="shared" si="2"/>
        <v>0</v>
      </c>
      <c r="L36" s="248">
        <f t="shared" si="3"/>
        <v>0</v>
      </c>
      <c r="M36" s="7">
        <f t="shared" si="4"/>
        <v>0</v>
      </c>
      <c r="N36" s="228"/>
    </row>
    <row r="37" spans="3:14" outlineLevel="1">
      <c r="C37" s="217" t="s">
        <v>1059</v>
      </c>
      <c r="D37" s="629" t="s">
        <v>1061</v>
      </c>
      <c r="E37" s="218" t="s">
        <v>973</v>
      </c>
      <c r="F37" s="219"/>
      <c r="G37" s="219">
        <v>0</v>
      </c>
      <c r="H37" s="219">
        <v>62.59</v>
      </c>
      <c r="I37" s="220">
        <v>0</v>
      </c>
      <c r="J37" s="145">
        <f>+ROUND(H37+I37*TC,2)</f>
        <v>62.59</v>
      </c>
      <c r="K37" s="221">
        <f t="shared" si="2"/>
        <v>0</v>
      </c>
      <c r="L37" s="248">
        <f t="shared" si="3"/>
        <v>0</v>
      </c>
      <c r="M37" s="7">
        <f t="shared" si="4"/>
        <v>0</v>
      </c>
      <c r="N37" s="228"/>
    </row>
    <row r="38" spans="3:14" outlineLevel="1">
      <c r="C38" s="222" t="s">
        <v>1062</v>
      </c>
      <c r="D38" s="223" t="s">
        <v>1063</v>
      </c>
      <c r="E38" s="224"/>
      <c r="F38" s="219"/>
      <c r="G38" s="219">
        <v>0</v>
      </c>
      <c r="H38" s="219"/>
      <c r="I38" s="220" t="s">
        <v>27</v>
      </c>
      <c r="J38" s="145"/>
      <c r="K38" s="221"/>
      <c r="L38" s="248"/>
      <c r="M38" s="7"/>
      <c r="N38" s="229">
        <f>SUM(K38:K40)+SUM(L38:L40)*TC</f>
        <v>78165.475999999995</v>
      </c>
    </row>
    <row r="39" spans="3:14" outlineLevel="1">
      <c r="C39" s="217" t="s">
        <v>1064</v>
      </c>
      <c r="D39" s="230" t="s">
        <v>1065</v>
      </c>
      <c r="E39" s="218" t="s">
        <v>973</v>
      </c>
      <c r="F39" s="219">
        <v>1605.7</v>
      </c>
      <c r="G39" s="219">
        <v>1605.7</v>
      </c>
      <c r="H39" s="7">
        <v>48.68</v>
      </c>
      <c r="I39" s="220">
        <v>0</v>
      </c>
      <c r="J39" s="145">
        <f>+ROUND(H39+I39*TC,2)</f>
        <v>48.68</v>
      </c>
      <c r="K39" s="221">
        <f t="shared" si="2"/>
        <v>78165.475999999995</v>
      </c>
      <c r="L39" s="248">
        <f t="shared" si="3"/>
        <v>0</v>
      </c>
      <c r="M39" s="7">
        <f t="shared" si="4"/>
        <v>78165.48</v>
      </c>
      <c r="N39" s="633"/>
    </row>
    <row r="40" spans="3:14" outlineLevel="1">
      <c r="C40" s="217" t="s">
        <v>1054</v>
      </c>
      <c r="D40" s="230" t="s">
        <v>1065</v>
      </c>
      <c r="E40" s="218" t="s">
        <v>973</v>
      </c>
      <c r="F40" s="219"/>
      <c r="G40" s="219">
        <v>0</v>
      </c>
      <c r="H40" s="7">
        <v>43.91</v>
      </c>
      <c r="I40" s="220">
        <v>0</v>
      </c>
      <c r="J40" s="145">
        <f>+ROUND(H40+I40*TC,2)</f>
        <v>43.91</v>
      </c>
      <c r="K40" s="221">
        <f t="shared" si="2"/>
        <v>0</v>
      </c>
      <c r="L40" s="248">
        <f t="shared" si="3"/>
        <v>0</v>
      </c>
      <c r="M40" s="7">
        <f t="shared" si="4"/>
        <v>0</v>
      </c>
      <c r="N40" s="228"/>
    </row>
    <row r="41" spans="3:14" outlineLevel="1">
      <c r="C41" s="222" t="s">
        <v>1066</v>
      </c>
      <c r="D41" s="223" t="s">
        <v>1067</v>
      </c>
      <c r="E41" s="224"/>
      <c r="F41" s="219"/>
      <c r="G41" s="219">
        <v>0</v>
      </c>
      <c r="H41" s="7" t="s">
        <v>27</v>
      </c>
      <c r="I41" s="220" t="s">
        <v>27</v>
      </c>
      <c r="J41" s="145"/>
      <c r="K41" s="221"/>
      <c r="L41" s="248"/>
      <c r="M41" s="7"/>
      <c r="N41" s="229">
        <f>SUM(K41:K44)+SUM(L41:L44)*TC</f>
        <v>83028.398000000001</v>
      </c>
    </row>
    <row r="42" spans="3:14" outlineLevel="1">
      <c r="C42" s="217" t="s">
        <v>1068</v>
      </c>
      <c r="D42" s="230" t="s">
        <v>1069</v>
      </c>
      <c r="E42" s="218" t="s">
        <v>82</v>
      </c>
      <c r="F42" s="219">
        <v>1235.05</v>
      </c>
      <c r="G42" s="219">
        <v>1235.05</v>
      </c>
      <c r="H42" s="7">
        <v>10.68</v>
      </c>
      <c r="I42" s="220">
        <v>0</v>
      </c>
      <c r="J42" s="145">
        <f>+ROUND(H42+I42*TC,2)</f>
        <v>10.68</v>
      </c>
      <c r="K42" s="221">
        <f t="shared" si="2"/>
        <v>13190.333999999999</v>
      </c>
      <c r="L42" s="248">
        <f t="shared" si="3"/>
        <v>0</v>
      </c>
      <c r="M42" s="7">
        <f t="shared" si="4"/>
        <v>13190.33</v>
      </c>
      <c r="N42" s="633"/>
    </row>
    <row r="43" spans="3:14" outlineLevel="1">
      <c r="C43" s="217" t="s">
        <v>1070</v>
      </c>
      <c r="D43" s="629" t="s">
        <v>1071</v>
      </c>
      <c r="E43" s="218" t="s">
        <v>82</v>
      </c>
      <c r="F43" s="219">
        <v>1235.05</v>
      </c>
      <c r="G43" s="219">
        <v>1235.05</v>
      </c>
      <c r="H43" s="7">
        <v>33.68</v>
      </c>
      <c r="I43" s="220">
        <v>0</v>
      </c>
      <c r="J43" s="145">
        <f>+ROUND(H43+I43*TC,2)</f>
        <v>33.68</v>
      </c>
      <c r="K43" s="221">
        <f t="shared" si="2"/>
        <v>41596.483999999997</v>
      </c>
      <c r="L43" s="248">
        <f t="shared" si="3"/>
        <v>0</v>
      </c>
      <c r="M43" s="7">
        <f t="shared" si="4"/>
        <v>41596.480000000003</v>
      </c>
      <c r="N43" s="633"/>
    </row>
    <row r="44" spans="3:14" outlineLevel="1">
      <c r="C44" s="217" t="s">
        <v>1072</v>
      </c>
      <c r="D44" s="230" t="s">
        <v>1073</v>
      </c>
      <c r="E44" s="218" t="s">
        <v>82</v>
      </c>
      <c r="F44" s="219">
        <v>1099.75</v>
      </c>
      <c r="G44" s="219">
        <v>1099.75</v>
      </c>
      <c r="H44" s="7">
        <v>25.68</v>
      </c>
      <c r="I44" s="220">
        <v>0</v>
      </c>
      <c r="J44" s="145">
        <f>+ROUND(H44+I44*TC,2)</f>
        <v>25.68</v>
      </c>
      <c r="K44" s="221">
        <f t="shared" si="2"/>
        <v>28241.579999999998</v>
      </c>
      <c r="L44" s="248">
        <f t="shared" si="3"/>
        <v>0</v>
      </c>
      <c r="M44" s="7">
        <f t="shared" si="4"/>
        <v>28241.58</v>
      </c>
      <c r="N44" s="633"/>
    </row>
    <row r="45" spans="3:14" outlineLevel="1">
      <c r="C45" s="222" t="s">
        <v>1074</v>
      </c>
      <c r="D45" s="223" t="s">
        <v>1075</v>
      </c>
      <c r="E45" s="224"/>
      <c r="F45" s="219"/>
      <c r="G45" s="219">
        <v>0</v>
      </c>
      <c r="H45" s="7" t="s">
        <v>27</v>
      </c>
      <c r="I45" s="220" t="s">
        <v>27</v>
      </c>
      <c r="J45" s="145"/>
      <c r="K45" s="221"/>
      <c r="L45" s="248"/>
      <c r="M45" s="7"/>
      <c r="N45" s="633"/>
    </row>
    <row r="46" spans="3:14" outlineLevel="1">
      <c r="C46" s="217" t="s">
        <v>1076</v>
      </c>
      <c r="D46" s="629" t="s">
        <v>1077</v>
      </c>
      <c r="E46" s="218" t="s">
        <v>973</v>
      </c>
      <c r="F46" s="219"/>
      <c r="G46" s="219">
        <v>0</v>
      </c>
      <c r="H46" s="7">
        <v>0</v>
      </c>
      <c r="I46" s="220">
        <v>0</v>
      </c>
      <c r="J46" s="145">
        <f>+ROUND(H46+I46*TC,2)</f>
        <v>0</v>
      </c>
      <c r="K46" s="221">
        <f t="shared" si="2"/>
        <v>0</v>
      </c>
      <c r="L46" s="248">
        <f t="shared" si="3"/>
        <v>0</v>
      </c>
      <c r="M46" s="7">
        <f t="shared" si="4"/>
        <v>0</v>
      </c>
      <c r="N46" s="228"/>
    </row>
    <row r="47" spans="3:14" outlineLevel="1">
      <c r="C47" s="217" t="s">
        <v>1078</v>
      </c>
      <c r="D47" s="231" t="s">
        <v>1079</v>
      </c>
      <c r="E47" s="218" t="s">
        <v>973</v>
      </c>
      <c r="F47" s="219"/>
      <c r="G47" s="219">
        <v>0</v>
      </c>
      <c r="H47" s="7">
        <v>38.979999999999997</v>
      </c>
      <c r="I47" s="220">
        <v>0</v>
      </c>
      <c r="J47" s="145">
        <f>+ROUND(H47+I47*TC,2)</f>
        <v>38.979999999999997</v>
      </c>
      <c r="K47" s="221">
        <f t="shared" si="2"/>
        <v>0</v>
      </c>
      <c r="L47" s="248">
        <f t="shared" si="3"/>
        <v>0</v>
      </c>
      <c r="M47" s="7">
        <f t="shared" si="4"/>
        <v>0</v>
      </c>
      <c r="N47" s="228"/>
    </row>
    <row r="48" spans="3:14" outlineLevel="1">
      <c r="C48" s="222" t="s">
        <v>1080</v>
      </c>
      <c r="D48" s="223" t="s">
        <v>1081</v>
      </c>
      <c r="E48" s="218"/>
      <c r="F48" s="219"/>
      <c r="G48" s="219">
        <v>0</v>
      </c>
      <c r="H48" s="7"/>
      <c r="I48" s="220" t="s">
        <v>27</v>
      </c>
      <c r="J48" s="145"/>
      <c r="K48" s="221"/>
      <c r="L48" s="248"/>
      <c r="M48" s="7"/>
      <c r="N48" s="229">
        <f>SUM(K48:K50)+SUM(L48:L50)*TC</f>
        <v>26000</v>
      </c>
    </row>
    <row r="49" spans="3:14" ht="22.5" outlineLevel="1">
      <c r="C49" s="217" t="s">
        <v>1082</v>
      </c>
      <c r="D49" s="231" t="s">
        <v>1083</v>
      </c>
      <c r="E49" s="218" t="s">
        <v>141</v>
      </c>
      <c r="F49" s="219">
        <v>147.80000000000001</v>
      </c>
      <c r="G49" s="219">
        <v>147.80000000000001</v>
      </c>
      <c r="H49" s="219">
        <v>175.91339648173206</v>
      </c>
      <c r="I49" s="220">
        <v>0</v>
      </c>
      <c r="J49" s="145">
        <f>+ROUND(H49+I49*TC,2)</f>
        <v>175.91</v>
      </c>
      <c r="K49" s="221">
        <f t="shared" ref="K49:K50" si="25">H49*G49</f>
        <v>26000</v>
      </c>
      <c r="L49" s="248">
        <f t="shared" ref="L49:L50" si="26">I49*G49</f>
        <v>0</v>
      </c>
      <c r="M49" s="7">
        <f t="shared" ref="M49:M50" si="27">+ROUND(K49+L49*TC,2)</f>
        <v>26000</v>
      </c>
      <c r="N49" s="228"/>
    </row>
    <row r="50" spans="3:14" outlineLevel="1">
      <c r="C50" s="217" t="s">
        <v>1084</v>
      </c>
      <c r="D50" s="231" t="s">
        <v>1085</v>
      </c>
      <c r="E50" s="218" t="s">
        <v>973</v>
      </c>
      <c r="F50" s="219">
        <v>0</v>
      </c>
      <c r="G50" s="219">
        <v>0</v>
      </c>
      <c r="H50" s="219">
        <v>49.654149487259396</v>
      </c>
      <c r="I50" s="220">
        <v>0</v>
      </c>
      <c r="J50" s="145">
        <f>+ROUND(H50+I50*TC,2)</f>
        <v>49.65</v>
      </c>
      <c r="K50" s="221">
        <f t="shared" si="25"/>
        <v>0</v>
      </c>
      <c r="L50" s="248">
        <f t="shared" si="26"/>
        <v>0</v>
      </c>
      <c r="M50" s="7">
        <f t="shared" si="27"/>
        <v>0</v>
      </c>
      <c r="N50" s="228"/>
    </row>
    <row r="51" spans="3:14" outlineLevel="1">
      <c r="C51" s="222" t="s">
        <v>1086</v>
      </c>
      <c r="D51" s="223" t="s">
        <v>1087</v>
      </c>
      <c r="E51" s="224"/>
      <c r="F51" s="219"/>
      <c r="G51" s="219">
        <v>0</v>
      </c>
      <c r="H51" s="7" t="s">
        <v>27</v>
      </c>
      <c r="I51" s="220" t="s">
        <v>27</v>
      </c>
      <c r="J51" s="145"/>
      <c r="K51" s="221"/>
      <c r="L51" s="248"/>
      <c r="M51" s="7"/>
      <c r="N51" s="633"/>
    </row>
    <row r="52" spans="3:14" outlineLevel="1">
      <c r="C52" s="217" t="s">
        <v>1088</v>
      </c>
      <c r="D52" s="629" t="s">
        <v>1089</v>
      </c>
      <c r="E52" s="218" t="s">
        <v>82</v>
      </c>
      <c r="F52" s="219"/>
      <c r="G52" s="219">
        <v>0</v>
      </c>
      <c r="H52" s="7">
        <v>0</v>
      </c>
      <c r="I52" s="220">
        <v>0</v>
      </c>
      <c r="J52" s="145">
        <f>+ROUND(H52+I52*TC,2)</f>
        <v>0</v>
      </c>
      <c r="K52" s="221">
        <f t="shared" si="2"/>
        <v>0</v>
      </c>
      <c r="L52" s="248">
        <f t="shared" si="3"/>
        <v>0</v>
      </c>
      <c r="M52" s="7">
        <f t="shared" si="4"/>
        <v>0</v>
      </c>
      <c r="N52" s="228"/>
    </row>
    <row r="53" spans="3:14" outlineLevel="1">
      <c r="C53" s="222" t="s">
        <v>1090</v>
      </c>
      <c r="D53" s="223" t="s">
        <v>1091</v>
      </c>
      <c r="E53" s="224"/>
      <c r="F53" s="219"/>
      <c r="G53" s="219">
        <v>0</v>
      </c>
      <c r="H53" s="7" t="s">
        <v>27</v>
      </c>
      <c r="I53" s="220" t="s">
        <v>27</v>
      </c>
      <c r="J53" s="145"/>
      <c r="K53" s="221"/>
      <c r="L53" s="248"/>
      <c r="M53" s="7"/>
      <c r="N53" s="229">
        <f>SUM(K53:K56)+SUM(L53:L56)*TC</f>
        <v>185500</v>
      </c>
    </row>
    <row r="54" spans="3:14" outlineLevel="1">
      <c r="C54" s="217" t="s">
        <v>1092</v>
      </c>
      <c r="D54" s="629" t="s">
        <v>1093</v>
      </c>
      <c r="E54" s="218" t="s">
        <v>1094</v>
      </c>
      <c r="F54" s="219">
        <v>700</v>
      </c>
      <c r="G54" s="219">
        <v>700</v>
      </c>
      <c r="H54" s="219">
        <v>175</v>
      </c>
      <c r="I54" s="220">
        <v>0</v>
      </c>
      <c r="J54" s="145">
        <f>+ROUND(H54+I54*TC,2)</f>
        <v>175</v>
      </c>
      <c r="K54" s="221">
        <f t="shared" si="2"/>
        <v>122500</v>
      </c>
      <c r="L54" s="248">
        <f t="shared" si="3"/>
        <v>0</v>
      </c>
      <c r="M54" s="7">
        <f t="shared" si="4"/>
        <v>122500</v>
      </c>
      <c r="N54" s="228"/>
    </row>
    <row r="55" spans="3:14" outlineLevel="1">
      <c r="C55" s="217" t="s">
        <v>1095</v>
      </c>
      <c r="D55" s="629" t="s">
        <v>1096</v>
      </c>
      <c r="E55" s="218" t="s">
        <v>132</v>
      </c>
      <c r="F55" s="219">
        <v>7</v>
      </c>
      <c r="G55" s="219">
        <v>7</v>
      </c>
      <c r="H55" s="219">
        <v>4000</v>
      </c>
      <c r="I55" s="220">
        <v>0</v>
      </c>
      <c r="J55" s="145">
        <f>+ROUND(H55+I55*TC,2)</f>
        <v>4000</v>
      </c>
      <c r="K55" s="221">
        <f t="shared" si="2"/>
        <v>28000</v>
      </c>
      <c r="L55" s="248">
        <f t="shared" si="3"/>
        <v>0</v>
      </c>
      <c r="M55" s="7">
        <f t="shared" si="4"/>
        <v>28000</v>
      </c>
      <c r="N55" s="228"/>
    </row>
    <row r="56" spans="3:14" outlineLevel="1">
      <c r="C56" s="217" t="s">
        <v>1097</v>
      </c>
      <c r="D56" s="629" t="s">
        <v>1098</v>
      </c>
      <c r="E56" s="218" t="s">
        <v>132</v>
      </c>
      <c r="F56" s="219">
        <v>7</v>
      </c>
      <c r="G56" s="219">
        <v>7</v>
      </c>
      <c r="H56" s="219">
        <v>5000</v>
      </c>
      <c r="I56" s="220">
        <v>0</v>
      </c>
      <c r="J56" s="145">
        <f>+ROUND(H56+I56*TC,2)</f>
        <v>5000</v>
      </c>
      <c r="K56" s="221">
        <f t="shared" ref="K56" si="28">H56*G56</f>
        <v>35000</v>
      </c>
      <c r="L56" s="248">
        <f t="shared" ref="L56" si="29">I56*G56</f>
        <v>0</v>
      </c>
      <c r="M56" s="7">
        <f t="shared" ref="M56" si="30">+ROUND(K56+L56*TC,2)</f>
        <v>35000</v>
      </c>
      <c r="N56" s="228"/>
    </row>
    <row r="57" spans="3:14">
      <c r="C57" s="630" t="s">
        <v>1099</v>
      </c>
      <c r="D57" s="631" t="s">
        <v>1100</v>
      </c>
      <c r="E57" s="632"/>
      <c r="F57" s="219"/>
      <c r="G57" s="219">
        <v>0</v>
      </c>
      <c r="H57" s="7" t="s">
        <v>27</v>
      </c>
      <c r="I57" s="220" t="s">
        <v>27</v>
      </c>
      <c r="J57" s="145"/>
      <c r="K57" s="221"/>
      <c r="L57" s="248"/>
      <c r="M57" s="7"/>
      <c r="N57" s="229">
        <f>SUM(K57:K62)+SUM(L57:L62)*TC</f>
        <v>88824.772800000006</v>
      </c>
    </row>
    <row r="58" spans="3:14" outlineLevel="1">
      <c r="C58" s="636" t="s">
        <v>1101</v>
      </c>
      <c r="D58" s="223" t="s">
        <v>1102</v>
      </c>
      <c r="E58" s="224"/>
      <c r="F58" s="219"/>
      <c r="G58" s="219">
        <v>0</v>
      </c>
      <c r="H58" s="7" t="s">
        <v>27</v>
      </c>
      <c r="I58" s="220" t="s">
        <v>27</v>
      </c>
      <c r="J58" s="145"/>
      <c r="K58" s="221"/>
      <c r="L58" s="248"/>
      <c r="M58" s="7"/>
      <c r="N58" s="633"/>
    </row>
    <row r="59" spans="3:14" outlineLevel="1">
      <c r="C59" s="217" t="s">
        <v>1103</v>
      </c>
      <c r="D59" s="45" t="s">
        <v>1104</v>
      </c>
      <c r="E59" s="218" t="s">
        <v>82</v>
      </c>
      <c r="F59" s="219">
        <v>664.697</v>
      </c>
      <c r="G59" s="219">
        <v>664.7</v>
      </c>
      <c r="H59" s="7">
        <v>29.93</v>
      </c>
      <c r="I59" s="220">
        <v>0</v>
      </c>
      <c r="J59" s="145">
        <f>+ROUND(H59+I59*TC,2)</f>
        <v>29.93</v>
      </c>
      <c r="K59" s="221">
        <f t="shared" si="2"/>
        <v>19894.471000000001</v>
      </c>
      <c r="L59" s="248">
        <f t="shared" si="3"/>
        <v>0</v>
      </c>
      <c r="M59" s="7">
        <f t="shared" si="4"/>
        <v>19894.47</v>
      </c>
      <c r="N59" s="228"/>
    </row>
    <row r="60" spans="3:14" outlineLevel="1">
      <c r="C60" s="636" t="s">
        <v>1105</v>
      </c>
      <c r="D60" s="223" t="s">
        <v>1106</v>
      </c>
      <c r="E60" s="224"/>
      <c r="F60" s="219"/>
      <c r="G60" s="219">
        <v>0</v>
      </c>
      <c r="H60" s="7" t="s">
        <v>27</v>
      </c>
      <c r="I60" s="220" t="s">
        <v>27</v>
      </c>
      <c r="J60" s="145"/>
      <c r="K60" s="221"/>
      <c r="L60" s="248"/>
      <c r="M60" s="7"/>
      <c r="N60" s="633"/>
    </row>
    <row r="61" spans="3:14" ht="22.5" outlineLevel="1">
      <c r="C61" s="217" t="s">
        <v>1107</v>
      </c>
      <c r="D61" s="45" t="s">
        <v>1108</v>
      </c>
      <c r="E61" s="218" t="s">
        <v>973</v>
      </c>
      <c r="F61" s="219">
        <v>184.37717500000005</v>
      </c>
      <c r="G61" s="219">
        <v>184.38</v>
      </c>
      <c r="H61" s="7">
        <v>283.36</v>
      </c>
      <c r="I61" s="220">
        <v>0</v>
      </c>
      <c r="J61" s="145">
        <f>+ROUND(H61+I61*TC,2)</f>
        <v>283.36</v>
      </c>
      <c r="K61" s="221">
        <f t="shared" si="2"/>
        <v>52245.916799999999</v>
      </c>
      <c r="L61" s="248">
        <f t="shared" si="3"/>
        <v>0</v>
      </c>
      <c r="M61" s="7">
        <f t="shared" si="4"/>
        <v>52245.919999999998</v>
      </c>
      <c r="N61" s="228"/>
    </row>
    <row r="62" spans="3:14" outlineLevel="1">
      <c r="C62" s="217" t="s">
        <v>1109</v>
      </c>
      <c r="D62" s="629" t="s">
        <v>1110</v>
      </c>
      <c r="E62" s="218" t="s">
        <v>82</v>
      </c>
      <c r="F62" s="219">
        <v>374.93370000000016</v>
      </c>
      <c r="G62" s="219">
        <v>374.93</v>
      </c>
      <c r="H62" s="7">
        <v>44.5</v>
      </c>
      <c r="I62" s="220">
        <v>0</v>
      </c>
      <c r="J62" s="145">
        <f>+ROUND(H62+I62*TC,2)</f>
        <v>44.5</v>
      </c>
      <c r="K62" s="221">
        <f t="shared" si="2"/>
        <v>16684.385000000002</v>
      </c>
      <c r="L62" s="248">
        <f t="shared" si="3"/>
        <v>0</v>
      </c>
      <c r="M62" s="7">
        <f t="shared" si="4"/>
        <v>16684.39</v>
      </c>
      <c r="N62" s="228"/>
    </row>
    <row r="63" spans="3:14">
      <c r="C63" s="630" t="s">
        <v>1111</v>
      </c>
      <c r="D63" s="631" t="s">
        <v>1112</v>
      </c>
      <c r="E63" s="632"/>
      <c r="F63" s="219"/>
      <c r="G63" s="219">
        <v>0</v>
      </c>
      <c r="H63" s="7" t="s">
        <v>27</v>
      </c>
      <c r="I63" s="220" t="s">
        <v>27</v>
      </c>
      <c r="J63" s="145"/>
      <c r="K63" s="221"/>
      <c r="L63" s="248"/>
      <c r="M63" s="7"/>
      <c r="N63" s="229">
        <f>SUM(K63:K95)+SUM(L63:L95)*TC</f>
        <v>1593769.3473799997</v>
      </c>
    </row>
    <row r="64" spans="3:14" outlineLevel="1">
      <c r="C64" s="222" t="s">
        <v>1113</v>
      </c>
      <c r="D64" s="223" t="s">
        <v>1114</v>
      </c>
      <c r="E64" s="224"/>
      <c r="F64" s="219"/>
      <c r="G64" s="219">
        <v>0</v>
      </c>
      <c r="H64" s="7" t="s">
        <v>27</v>
      </c>
      <c r="I64" s="220" t="s">
        <v>27</v>
      </c>
      <c r="J64" s="145"/>
      <c r="K64" s="221"/>
      <c r="L64" s="248"/>
      <c r="M64" s="7"/>
      <c r="N64" s="633"/>
    </row>
    <row r="65" spans="3:14" ht="22.5" outlineLevel="1">
      <c r="C65" s="217" t="s">
        <v>1115</v>
      </c>
      <c r="D65" s="230" t="s">
        <v>1116</v>
      </c>
      <c r="E65" s="218" t="s">
        <v>973</v>
      </c>
      <c r="F65" s="219">
        <v>170.34432499999997</v>
      </c>
      <c r="G65" s="219">
        <v>170.34</v>
      </c>
      <c r="H65" s="7">
        <v>520.67999999999995</v>
      </c>
      <c r="I65" s="220">
        <v>0</v>
      </c>
      <c r="J65" s="145">
        <f>+ROUND(H65+I65*TC,2)</f>
        <v>520.67999999999995</v>
      </c>
      <c r="K65" s="221">
        <f t="shared" si="2"/>
        <v>88692.631199999989</v>
      </c>
      <c r="L65" s="248">
        <f t="shared" si="3"/>
        <v>0</v>
      </c>
      <c r="M65" s="7">
        <f t="shared" si="4"/>
        <v>88692.63</v>
      </c>
      <c r="N65" s="228"/>
    </row>
    <row r="66" spans="3:14" outlineLevel="1">
      <c r="C66" s="217" t="s">
        <v>1117</v>
      </c>
      <c r="D66" s="230" t="s">
        <v>1118</v>
      </c>
      <c r="E66" s="218" t="s">
        <v>82</v>
      </c>
      <c r="F66" s="219">
        <v>149.149</v>
      </c>
      <c r="G66" s="219">
        <v>149.15</v>
      </c>
      <c r="H66" s="7">
        <v>46.5</v>
      </c>
      <c r="I66" s="220">
        <v>0</v>
      </c>
      <c r="J66" s="145">
        <f>+ROUND(H66+I66*TC,2)</f>
        <v>46.5</v>
      </c>
      <c r="K66" s="221">
        <f t="shared" si="2"/>
        <v>6935.4750000000004</v>
      </c>
      <c r="L66" s="248">
        <f t="shared" si="3"/>
        <v>0</v>
      </c>
      <c r="M66" s="7">
        <f t="shared" si="4"/>
        <v>6935.48</v>
      </c>
      <c r="N66" s="228"/>
    </row>
    <row r="67" spans="3:14" outlineLevel="1">
      <c r="C67" s="217" t="s">
        <v>1119</v>
      </c>
      <c r="D67" s="230" t="s">
        <v>1120</v>
      </c>
      <c r="E67" s="218" t="s">
        <v>118</v>
      </c>
      <c r="F67" s="219">
        <v>10207.834300000002</v>
      </c>
      <c r="G67" s="219">
        <v>10207.83</v>
      </c>
      <c r="H67" s="7">
        <v>1.28</v>
      </c>
      <c r="I67" s="220">
        <v>0.89</v>
      </c>
      <c r="J67" s="145">
        <f>+ROUND(H67+I67*TC,2)</f>
        <v>4.26</v>
      </c>
      <c r="K67" s="221">
        <f t="shared" si="2"/>
        <v>13066.0224</v>
      </c>
      <c r="L67" s="248">
        <f t="shared" si="3"/>
        <v>9084.9686999999994</v>
      </c>
      <c r="M67" s="7">
        <f t="shared" si="4"/>
        <v>43500.67</v>
      </c>
      <c r="N67" s="228"/>
    </row>
    <row r="68" spans="3:14" outlineLevel="1">
      <c r="C68" s="217" t="s">
        <v>1121</v>
      </c>
      <c r="D68" s="230" t="s">
        <v>1122</v>
      </c>
      <c r="E68" s="218" t="s">
        <v>82</v>
      </c>
      <c r="F68" s="219">
        <v>336.30400000000003</v>
      </c>
      <c r="G68" s="219">
        <v>336.3</v>
      </c>
      <c r="H68" s="7">
        <v>1.48</v>
      </c>
      <c r="I68" s="220">
        <v>0</v>
      </c>
      <c r="J68" s="145">
        <f>+ROUND(H68+I68*TC,2)</f>
        <v>1.48</v>
      </c>
      <c r="K68" s="221">
        <f t="shared" si="2"/>
        <v>497.72399999999999</v>
      </c>
      <c r="L68" s="248">
        <f t="shared" si="3"/>
        <v>0</v>
      </c>
      <c r="M68" s="7">
        <f t="shared" si="4"/>
        <v>497.72</v>
      </c>
      <c r="N68" s="228"/>
    </row>
    <row r="69" spans="3:14" outlineLevel="1">
      <c r="C69" s="217" t="s">
        <v>1123</v>
      </c>
      <c r="D69" s="230" t="s">
        <v>1124</v>
      </c>
      <c r="E69" s="218" t="s">
        <v>82</v>
      </c>
      <c r="F69" s="219">
        <v>156.60645</v>
      </c>
      <c r="G69" s="219">
        <v>156.61000000000001</v>
      </c>
      <c r="H69" s="7">
        <v>20.45</v>
      </c>
      <c r="I69" s="220">
        <v>0</v>
      </c>
      <c r="J69" s="145">
        <f>+ROUND(H69+I69*TC,2)</f>
        <v>20.45</v>
      </c>
      <c r="K69" s="221">
        <f t="shared" si="2"/>
        <v>3202.6745000000001</v>
      </c>
      <c r="L69" s="248">
        <f t="shared" si="3"/>
        <v>0</v>
      </c>
      <c r="M69" s="7">
        <f t="shared" si="4"/>
        <v>3202.67</v>
      </c>
      <c r="N69" s="228"/>
    </row>
    <row r="70" spans="3:14" outlineLevel="1">
      <c r="C70" s="222" t="s">
        <v>1125</v>
      </c>
      <c r="D70" s="637" t="s">
        <v>1126</v>
      </c>
      <c r="E70" s="224"/>
      <c r="F70" s="219"/>
      <c r="G70" s="219">
        <v>0</v>
      </c>
      <c r="H70" s="7" t="s">
        <v>27</v>
      </c>
      <c r="I70" s="220" t="s">
        <v>27</v>
      </c>
      <c r="J70" s="145"/>
      <c r="K70" s="221"/>
      <c r="L70" s="248"/>
      <c r="M70" s="7"/>
      <c r="N70" s="229"/>
    </row>
    <row r="71" spans="3:14" ht="22.15" customHeight="1" outlineLevel="1">
      <c r="C71" s="217" t="s">
        <v>1127</v>
      </c>
      <c r="D71" s="230" t="s">
        <v>1128</v>
      </c>
      <c r="E71" s="218" t="s">
        <v>973</v>
      </c>
      <c r="F71" s="219">
        <v>999.52311999999972</v>
      </c>
      <c r="G71" s="219">
        <v>999.52</v>
      </c>
      <c r="H71" s="7">
        <v>609.91</v>
      </c>
      <c r="I71" s="220">
        <v>0</v>
      </c>
      <c r="J71" s="145">
        <f t="shared" ref="J71:J95" si="31">+ROUND(H71+I71*TC,2)</f>
        <v>609.91</v>
      </c>
      <c r="K71" s="221">
        <f t="shared" si="2"/>
        <v>609617.24319999991</v>
      </c>
      <c r="L71" s="248">
        <f t="shared" si="3"/>
        <v>0</v>
      </c>
      <c r="M71" s="7">
        <f t="shared" si="4"/>
        <v>609617.24</v>
      </c>
      <c r="N71" s="228"/>
    </row>
    <row r="72" spans="3:14" ht="22.15" customHeight="1" outlineLevel="1">
      <c r="C72" s="217" t="s">
        <v>1129</v>
      </c>
      <c r="D72" s="230" t="s">
        <v>1130</v>
      </c>
      <c r="E72" s="218" t="s">
        <v>973</v>
      </c>
      <c r="F72" s="219"/>
      <c r="G72" s="219">
        <v>0</v>
      </c>
      <c r="H72" s="7">
        <v>658.88</v>
      </c>
      <c r="I72" s="220">
        <v>0</v>
      </c>
      <c r="J72" s="145">
        <f t="shared" si="31"/>
        <v>658.88</v>
      </c>
      <c r="K72" s="221">
        <f t="shared" si="2"/>
        <v>0</v>
      </c>
      <c r="L72" s="248">
        <f t="shared" si="3"/>
        <v>0</v>
      </c>
      <c r="M72" s="7">
        <f t="shared" si="4"/>
        <v>0</v>
      </c>
      <c r="N72" s="228"/>
    </row>
    <row r="73" spans="3:14" ht="22.15" customHeight="1" outlineLevel="1">
      <c r="C73" s="217" t="s">
        <v>1131</v>
      </c>
      <c r="D73" s="230" t="s">
        <v>1128</v>
      </c>
      <c r="E73" s="218" t="s">
        <v>973</v>
      </c>
      <c r="F73" s="219"/>
      <c r="G73" s="219">
        <v>0</v>
      </c>
      <c r="H73" s="7">
        <v>609.91</v>
      </c>
      <c r="I73" s="220">
        <v>0</v>
      </c>
      <c r="J73" s="145">
        <f t="shared" si="31"/>
        <v>609.91</v>
      </c>
      <c r="K73" s="221">
        <f t="shared" si="2"/>
        <v>0</v>
      </c>
      <c r="L73" s="248">
        <f t="shared" si="3"/>
        <v>0</v>
      </c>
      <c r="M73" s="7">
        <f t="shared" si="4"/>
        <v>0</v>
      </c>
      <c r="N73" s="228"/>
    </row>
    <row r="74" spans="3:14" outlineLevel="1">
      <c r="C74" s="217" t="s">
        <v>1132</v>
      </c>
      <c r="D74" s="230" t="s">
        <v>1133</v>
      </c>
      <c r="E74" s="218" t="s">
        <v>82</v>
      </c>
      <c r="F74" s="219">
        <v>2952.9257499999999</v>
      </c>
      <c r="G74" s="219">
        <v>2952.93</v>
      </c>
      <c r="H74" s="7">
        <v>61.95</v>
      </c>
      <c r="I74" s="220">
        <v>0</v>
      </c>
      <c r="J74" s="145">
        <f t="shared" si="31"/>
        <v>61.95</v>
      </c>
      <c r="K74" s="221">
        <f t="shared" si="2"/>
        <v>182934.0135</v>
      </c>
      <c r="L74" s="248">
        <f t="shared" si="3"/>
        <v>0</v>
      </c>
      <c r="M74" s="7">
        <f t="shared" si="4"/>
        <v>182934.01</v>
      </c>
      <c r="N74" s="228"/>
    </row>
    <row r="75" spans="3:14" outlineLevel="1">
      <c r="C75" s="217" t="s">
        <v>1134</v>
      </c>
      <c r="D75" s="230" t="s">
        <v>1133</v>
      </c>
      <c r="E75" s="218" t="s">
        <v>82</v>
      </c>
      <c r="F75" s="219">
        <v>389.79200000000003</v>
      </c>
      <c r="G75" s="219">
        <v>389.79</v>
      </c>
      <c r="H75" s="7">
        <v>60</v>
      </c>
      <c r="I75" s="220">
        <v>0</v>
      </c>
      <c r="J75" s="145">
        <f t="shared" si="31"/>
        <v>60</v>
      </c>
      <c r="K75" s="221">
        <f t="shared" ref="K75:K97" si="32">H75*G75</f>
        <v>23387.4</v>
      </c>
      <c r="L75" s="248">
        <f t="shared" ref="L75:L97" si="33">I75*G75</f>
        <v>0</v>
      </c>
      <c r="M75" s="7">
        <f t="shared" ref="M75:M97" si="34">+ROUND(K75+L75*TC,2)</f>
        <v>23387.4</v>
      </c>
      <c r="N75" s="228"/>
    </row>
    <row r="76" spans="3:14" outlineLevel="1">
      <c r="C76" s="217" t="s">
        <v>1135</v>
      </c>
      <c r="D76" s="45" t="s">
        <v>1136</v>
      </c>
      <c r="E76" s="218" t="s">
        <v>118</v>
      </c>
      <c r="F76" s="219">
        <v>76173.291384200013</v>
      </c>
      <c r="G76" s="219">
        <v>76173.289999999994</v>
      </c>
      <c r="H76" s="7">
        <v>1.28</v>
      </c>
      <c r="I76" s="220">
        <v>0.89</v>
      </c>
      <c r="J76" s="145">
        <f t="shared" si="31"/>
        <v>4.26</v>
      </c>
      <c r="K76" s="221">
        <f t="shared" si="32"/>
        <v>97501.811199999996</v>
      </c>
      <c r="L76" s="248">
        <f t="shared" si="33"/>
        <v>67794.228099999993</v>
      </c>
      <c r="M76" s="7">
        <f t="shared" si="34"/>
        <v>324612.47999999998</v>
      </c>
      <c r="N76" s="228"/>
    </row>
    <row r="77" spans="3:14" outlineLevel="1">
      <c r="C77" s="217" t="s">
        <v>1135</v>
      </c>
      <c r="D77" s="230" t="s">
        <v>1120</v>
      </c>
      <c r="E77" s="218" t="s">
        <v>118</v>
      </c>
      <c r="F77" s="219"/>
      <c r="G77" s="219">
        <v>0</v>
      </c>
      <c r="H77" s="7">
        <v>1.24</v>
      </c>
      <c r="I77" s="220">
        <v>0.89</v>
      </c>
      <c r="J77" s="145">
        <f t="shared" si="31"/>
        <v>4.22</v>
      </c>
      <c r="K77" s="221">
        <f t="shared" si="32"/>
        <v>0</v>
      </c>
      <c r="L77" s="248">
        <f t="shared" si="33"/>
        <v>0</v>
      </c>
      <c r="M77" s="7">
        <f t="shared" si="34"/>
        <v>0</v>
      </c>
      <c r="N77" s="228"/>
    </row>
    <row r="78" spans="3:14" outlineLevel="1">
      <c r="C78" s="217" t="s">
        <v>1137</v>
      </c>
      <c r="D78" s="638" t="s">
        <v>1138</v>
      </c>
      <c r="E78" s="218" t="s">
        <v>973</v>
      </c>
      <c r="F78" s="219">
        <v>745</v>
      </c>
      <c r="G78" s="219">
        <v>745</v>
      </c>
      <c r="H78" s="7">
        <v>41</v>
      </c>
      <c r="I78" s="220">
        <v>0</v>
      </c>
      <c r="J78" s="145">
        <f t="shared" si="31"/>
        <v>41</v>
      </c>
      <c r="K78" s="221">
        <f t="shared" si="32"/>
        <v>30545</v>
      </c>
      <c r="L78" s="248">
        <f t="shared" si="33"/>
        <v>0</v>
      </c>
      <c r="M78" s="7">
        <f t="shared" si="34"/>
        <v>30545</v>
      </c>
      <c r="N78" s="228"/>
    </row>
    <row r="79" spans="3:14" ht="22.5" outlineLevel="1">
      <c r="C79" s="217" t="s">
        <v>1139</v>
      </c>
      <c r="D79" s="45" t="s">
        <v>1140</v>
      </c>
      <c r="E79" s="218" t="s">
        <v>973</v>
      </c>
      <c r="F79" s="219">
        <v>23.363199999999999</v>
      </c>
      <c r="G79" s="219">
        <v>23.36</v>
      </c>
      <c r="H79" s="7">
        <v>501.31</v>
      </c>
      <c r="I79" s="220">
        <v>0</v>
      </c>
      <c r="J79" s="145">
        <f t="shared" si="31"/>
        <v>501.31</v>
      </c>
      <c r="K79" s="221">
        <f t="shared" si="32"/>
        <v>11710.6016</v>
      </c>
      <c r="L79" s="248">
        <f t="shared" si="33"/>
        <v>0</v>
      </c>
      <c r="M79" s="7">
        <f t="shared" si="34"/>
        <v>11710.6</v>
      </c>
      <c r="N79" s="228"/>
    </row>
    <row r="80" spans="3:14" outlineLevel="1">
      <c r="C80" s="217" t="s">
        <v>1141</v>
      </c>
      <c r="D80" s="230" t="s">
        <v>1142</v>
      </c>
      <c r="E80" s="218" t="s">
        <v>82</v>
      </c>
      <c r="F80" s="219">
        <v>292.04000000000002</v>
      </c>
      <c r="G80" s="219">
        <v>292.04000000000002</v>
      </c>
      <c r="H80" s="7">
        <v>51.48</v>
      </c>
      <c r="I80" s="220">
        <v>0</v>
      </c>
      <c r="J80" s="145">
        <f t="shared" si="31"/>
        <v>51.48</v>
      </c>
      <c r="K80" s="221">
        <f t="shared" si="32"/>
        <v>15034.2192</v>
      </c>
      <c r="L80" s="248">
        <f t="shared" si="33"/>
        <v>0</v>
      </c>
      <c r="M80" s="7">
        <f t="shared" si="34"/>
        <v>15034.22</v>
      </c>
      <c r="N80" s="228"/>
    </row>
    <row r="81" spans="3:14" outlineLevel="1">
      <c r="C81" s="217" t="s">
        <v>1143</v>
      </c>
      <c r="D81" s="230" t="s">
        <v>1144</v>
      </c>
      <c r="E81" s="218" t="s">
        <v>973</v>
      </c>
      <c r="F81" s="219">
        <v>0</v>
      </c>
      <c r="G81" s="219">
        <v>0</v>
      </c>
      <c r="H81" s="7">
        <v>110.18</v>
      </c>
      <c r="I81" s="220">
        <v>0</v>
      </c>
      <c r="J81" s="145">
        <f t="shared" ref="J81" si="35">+ROUND(H81+I81*TC,2)</f>
        <v>110.18</v>
      </c>
      <c r="K81" s="221">
        <f t="shared" ref="K81" si="36">H81*G81</f>
        <v>0</v>
      </c>
      <c r="L81" s="248">
        <f t="shared" ref="L81" si="37">I81*G81</f>
        <v>0</v>
      </c>
      <c r="M81" s="7">
        <f t="shared" ref="M81" si="38">+ROUND(K81+L81*TC,2)</f>
        <v>0</v>
      </c>
      <c r="N81" s="228"/>
    </row>
    <row r="82" spans="3:14" outlineLevel="1">
      <c r="C82" s="217" t="s">
        <v>1143</v>
      </c>
      <c r="D82" s="230" t="s">
        <v>1145</v>
      </c>
      <c r="E82" s="218" t="s">
        <v>121</v>
      </c>
      <c r="F82" s="219">
        <v>172</v>
      </c>
      <c r="G82" s="219">
        <v>172</v>
      </c>
      <c r="H82" s="7">
        <v>36.44</v>
      </c>
      <c r="I82" s="220">
        <v>0</v>
      </c>
      <c r="J82" s="145">
        <f t="shared" si="31"/>
        <v>36.44</v>
      </c>
      <c r="K82" s="221">
        <f t="shared" si="32"/>
        <v>6267.6799999999994</v>
      </c>
      <c r="L82" s="248">
        <f t="shared" si="33"/>
        <v>0</v>
      </c>
      <c r="M82" s="7">
        <f t="shared" si="34"/>
        <v>6267.68</v>
      </c>
      <c r="N82" s="228"/>
    </row>
    <row r="83" spans="3:14" outlineLevel="1">
      <c r="C83" s="217" t="s">
        <v>1146</v>
      </c>
      <c r="D83" s="230" t="s">
        <v>1147</v>
      </c>
      <c r="E83" s="218" t="s">
        <v>141</v>
      </c>
      <c r="F83" s="219">
        <v>550.82999999999993</v>
      </c>
      <c r="G83" s="219">
        <v>550.83000000000004</v>
      </c>
      <c r="H83" s="7">
        <v>11.02</v>
      </c>
      <c r="I83" s="220">
        <v>0</v>
      </c>
      <c r="J83" s="145">
        <f t="shared" si="31"/>
        <v>11.02</v>
      </c>
      <c r="K83" s="221">
        <f t="shared" si="32"/>
        <v>6070.1466</v>
      </c>
      <c r="L83" s="248">
        <f t="shared" si="33"/>
        <v>0</v>
      </c>
      <c r="M83" s="7">
        <f t="shared" si="34"/>
        <v>6070.15</v>
      </c>
      <c r="N83" s="228"/>
    </row>
    <row r="84" spans="3:14" ht="22.5" outlineLevel="1">
      <c r="C84" s="217" t="s">
        <v>1148</v>
      </c>
      <c r="D84" s="230" t="s">
        <v>1149</v>
      </c>
      <c r="E84" s="218" t="s">
        <v>141</v>
      </c>
      <c r="F84" s="219">
        <v>550.82999999999993</v>
      </c>
      <c r="G84" s="219">
        <v>550.83000000000004</v>
      </c>
      <c r="H84" s="7">
        <v>8.16</v>
      </c>
      <c r="I84" s="220">
        <v>0</v>
      </c>
      <c r="J84" s="145">
        <f t="shared" si="31"/>
        <v>8.16</v>
      </c>
      <c r="K84" s="221">
        <f t="shared" si="32"/>
        <v>4494.7728000000006</v>
      </c>
      <c r="L84" s="248">
        <f t="shared" si="33"/>
        <v>0</v>
      </c>
      <c r="M84" s="7">
        <f t="shared" si="34"/>
        <v>4494.7700000000004</v>
      </c>
      <c r="N84" s="228"/>
    </row>
    <row r="85" spans="3:14" ht="22.5" outlineLevel="1">
      <c r="C85" s="217" t="s">
        <v>1150</v>
      </c>
      <c r="D85" s="230" t="s">
        <v>1151</v>
      </c>
      <c r="E85" s="218" t="s">
        <v>141</v>
      </c>
      <c r="F85" s="219">
        <v>550.82999999999993</v>
      </c>
      <c r="G85" s="219">
        <v>550.83000000000004</v>
      </c>
      <c r="H85" s="7">
        <v>45.94</v>
      </c>
      <c r="I85" s="220">
        <v>0</v>
      </c>
      <c r="J85" s="145">
        <f t="shared" si="31"/>
        <v>45.94</v>
      </c>
      <c r="K85" s="221">
        <f t="shared" si="32"/>
        <v>25305.1302</v>
      </c>
      <c r="L85" s="248">
        <f t="shared" si="33"/>
        <v>0</v>
      </c>
      <c r="M85" s="7">
        <f t="shared" si="34"/>
        <v>25305.13</v>
      </c>
      <c r="N85" s="228"/>
    </row>
    <row r="86" spans="3:14" outlineLevel="1">
      <c r="C86" s="217" t="s">
        <v>1152</v>
      </c>
      <c r="D86" s="230" t="s">
        <v>1153</v>
      </c>
      <c r="E86" s="218" t="s">
        <v>141</v>
      </c>
      <c r="F86" s="219">
        <v>86</v>
      </c>
      <c r="G86" s="219">
        <v>86</v>
      </c>
      <c r="H86" s="7">
        <v>11.02</v>
      </c>
      <c r="I86" s="220">
        <v>0</v>
      </c>
      <c r="J86" s="145">
        <f t="shared" si="31"/>
        <v>11.02</v>
      </c>
      <c r="K86" s="221">
        <f t="shared" si="32"/>
        <v>947.71999999999991</v>
      </c>
      <c r="L86" s="248">
        <f t="shared" si="33"/>
        <v>0</v>
      </c>
      <c r="M86" s="7">
        <f t="shared" si="34"/>
        <v>947.72</v>
      </c>
      <c r="N86" s="228"/>
    </row>
    <row r="87" spans="3:14" ht="22.5" outlineLevel="1">
      <c r="C87" s="217" t="s">
        <v>1154</v>
      </c>
      <c r="D87" s="230" t="s">
        <v>1155</v>
      </c>
      <c r="E87" s="218" t="s">
        <v>141</v>
      </c>
      <c r="F87" s="219">
        <v>86</v>
      </c>
      <c r="G87" s="219">
        <v>86</v>
      </c>
      <c r="H87" s="7">
        <v>8.16</v>
      </c>
      <c r="I87" s="220">
        <v>0</v>
      </c>
      <c r="J87" s="145">
        <f t="shared" si="31"/>
        <v>8.16</v>
      </c>
      <c r="K87" s="221">
        <f t="shared" si="32"/>
        <v>701.76</v>
      </c>
      <c r="L87" s="248">
        <f t="shared" si="33"/>
        <v>0</v>
      </c>
      <c r="M87" s="7">
        <f t="shared" si="34"/>
        <v>701.76</v>
      </c>
      <c r="N87" s="228"/>
    </row>
    <row r="88" spans="3:14" outlineLevel="1">
      <c r="C88" s="217" t="s">
        <v>1156</v>
      </c>
      <c r="D88" s="230" t="s">
        <v>1157</v>
      </c>
      <c r="E88" s="218" t="s">
        <v>141</v>
      </c>
      <c r="F88" s="219">
        <v>86</v>
      </c>
      <c r="G88" s="219">
        <v>86</v>
      </c>
      <c r="H88" s="7">
        <v>45.94</v>
      </c>
      <c r="I88" s="220">
        <v>0</v>
      </c>
      <c r="J88" s="145">
        <f t="shared" si="31"/>
        <v>45.94</v>
      </c>
      <c r="K88" s="221">
        <f t="shared" si="32"/>
        <v>3950.8399999999997</v>
      </c>
      <c r="L88" s="248">
        <f t="shared" si="33"/>
        <v>0</v>
      </c>
      <c r="M88" s="7">
        <f t="shared" si="34"/>
        <v>3950.84</v>
      </c>
      <c r="N88" s="228"/>
    </row>
    <row r="89" spans="3:14" outlineLevel="1">
      <c r="C89" s="217" t="s">
        <v>1158</v>
      </c>
      <c r="D89" s="639" t="s">
        <v>1159</v>
      </c>
      <c r="E89" s="218" t="s">
        <v>82</v>
      </c>
      <c r="F89" s="219">
        <v>2952.9257499999999</v>
      </c>
      <c r="G89" s="219">
        <v>2952.93</v>
      </c>
      <c r="H89" s="7">
        <v>7.5</v>
      </c>
      <c r="I89" s="220">
        <v>0</v>
      </c>
      <c r="J89" s="145">
        <f t="shared" si="31"/>
        <v>7.5</v>
      </c>
      <c r="K89" s="221">
        <f t="shared" si="32"/>
        <v>22146.974999999999</v>
      </c>
      <c r="L89" s="248">
        <f t="shared" si="33"/>
        <v>0</v>
      </c>
      <c r="M89" s="7">
        <f t="shared" si="34"/>
        <v>22146.98</v>
      </c>
      <c r="N89" s="228"/>
    </row>
    <row r="90" spans="3:14" outlineLevel="1">
      <c r="C90" s="217" t="s">
        <v>1160</v>
      </c>
      <c r="D90" s="230" t="s">
        <v>1161</v>
      </c>
      <c r="E90" s="218" t="s">
        <v>82</v>
      </c>
      <c r="F90" s="219">
        <v>2952.9257499999999</v>
      </c>
      <c r="G90" s="219">
        <v>2952.93</v>
      </c>
      <c r="H90" s="7">
        <v>17.22</v>
      </c>
      <c r="I90" s="220">
        <v>0</v>
      </c>
      <c r="J90" s="145">
        <f t="shared" si="31"/>
        <v>17.22</v>
      </c>
      <c r="K90" s="221">
        <f t="shared" si="32"/>
        <v>50849.454599999997</v>
      </c>
      <c r="L90" s="248">
        <f t="shared" si="33"/>
        <v>0</v>
      </c>
      <c r="M90" s="7">
        <f t="shared" si="34"/>
        <v>50849.45</v>
      </c>
      <c r="N90" s="228"/>
    </row>
    <row r="91" spans="3:14" outlineLevel="1">
      <c r="C91" s="217" t="s">
        <v>1162</v>
      </c>
      <c r="D91" s="230" t="s">
        <v>1163</v>
      </c>
      <c r="E91" s="218" t="s">
        <v>82</v>
      </c>
      <c r="F91" s="219">
        <v>2952.9257499999999</v>
      </c>
      <c r="G91" s="219">
        <v>2952.93</v>
      </c>
      <c r="H91" s="7">
        <v>2.59</v>
      </c>
      <c r="I91" s="220">
        <v>0</v>
      </c>
      <c r="J91" s="145">
        <f t="shared" si="31"/>
        <v>2.59</v>
      </c>
      <c r="K91" s="221">
        <f t="shared" si="32"/>
        <v>7648.0886999999993</v>
      </c>
      <c r="L91" s="248">
        <f t="shared" si="33"/>
        <v>0</v>
      </c>
      <c r="M91" s="7">
        <f t="shared" si="34"/>
        <v>7648.09</v>
      </c>
      <c r="N91" s="228"/>
    </row>
    <row r="92" spans="3:14" outlineLevel="1">
      <c r="C92" s="217" t="s">
        <v>1164</v>
      </c>
      <c r="D92" s="230" t="s">
        <v>1165</v>
      </c>
      <c r="E92" s="218" t="s">
        <v>121</v>
      </c>
      <c r="F92" s="219">
        <v>2465</v>
      </c>
      <c r="G92" s="219">
        <v>2465</v>
      </c>
      <c r="H92" s="7">
        <v>34.880000000000003</v>
      </c>
      <c r="I92" s="220">
        <v>0.74</v>
      </c>
      <c r="J92" s="145">
        <f t="shared" si="31"/>
        <v>37.36</v>
      </c>
      <c r="K92" s="221">
        <f t="shared" si="32"/>
        <v>85979.200000000012</v>
      </c>
      <c r="L92" s="248">
        <f t="shared" si="33"/>
        <v>1824.1</v>
      </c>
      <c r="M92" s="7">
        <f t="shared" si="34"/>
        <v>92089.94</v>
      </c>
      <c r="N92" s="228"/>
    </row>
    <row r="93" spans="3:14" outlineLevel="1">
      <c r="C93" s="217" t="s">
        <v>1166</v>
      </c>
      <c r="D93" s="230" t="s">
        <v>1167</v>
      </c>
      <c r="E93" s="218" t="s">
        <v>121</v>
      </c>
      <c r="F93" s="219">
        <v>172</v>
      </c>
      <c r="G93" s="219">
        <v>172</v>
      </c>
      <c r="H93" s="7">
        <v>53.79</v>
      </c>
      <c r="I93" s="220">
        <v>0</v>
      </c>
      <c r="J93" s="145">
        <f t="shared" si="31"/>
        <v>53.79</v>
      </c>
      <c r="K93" s="221">
        <f t="shared" si="32"/>
        <v>9251.8799999999992</v>
      </c>
      <c r="L93" s="248">
        <f t="shared" si="33"/>
        <v>0</v>
      </c>
      <c r="M93" s="7">
        <f t="shared" si="34"/>
        <v>9251.8799999999992</v>
      </c>
      <c r="N93" s="228"/>
    </row>
    <row r="94" spans="3:14" outlineLevel="1">
      <c r="C94" s="217" t="s">
        <v>1168</v>
      </c>
      <c r="D94" s="230" t="s">
        <v>1169</v>
      </c>
      <c r="E94" s="218" t="s">
        <v>141</v>
      </c>
      <c r="F94" s="219">
        <v>730.09999999999991</v>
      </c>
      <c r="G94" s="219">
        <v>730.1</v>
      </c>
      <c r="H94" s="7">
        <v>26.03</v>
      </c>
      <c r="I94" s="220">
        <v>0</v>
      </c>
      <c r="J94" s="145">
        <f t="shared" si="31"/>
        <v>26.03</v>
      </c>
      <c r="K94" s="221">
        <f t="shared" si="32"/>
        <v>19004.503000000001</v>
      </c>
      <c r="L94" s="248">
        <f t="shared" si="33"/>
        <v>0</v>
      </c>
      <c r="M94" s="7">
        <f t="shared" si="34"/>
        <v>19004.5</v>
      </c>
      <c r="N94" s="228"/>
    </row>
    <row r="95" spans="3:14" outlineLevel="1">
      <c r="C95" s="217" t="s">
        <v>1170</v>
      </c>
      <c r="D95" s="230" t="s">
        <v>1122</v>
      </c>
      <c r="E95" s="218" t="s">
        <v>82</v>
      </c>
      <c r="F95" s="219">
        <v>2952.9257499999999</v>
      </c>
      <c r="G95" s="219">
        <v>2952.93</v>
      </c>
      <c r="H95" s="7">
        <v>1.48</v>
      </c>
      <c r="I95" s="220">
        <v>0</v>
      </c>
      <c r="J95" s="145">
        <f t="shared" si="31"/>
        <v>1.48</v>
      </c>
      <c r="K95" s="221">
        <f t="shared" si="32"/>
        <v>4370.3364000000001</v>
      </c>
      <c r="L95" s="248">
        <f t="shared" si="33"/>
        <v>0</v>
      </c>
      <c r="M95" s="7">
        <f t="shared" si="34"/>
        <v>4370.34</v>
      </c>
      <c r="N95" s="228"/>
    </row>
    <row r="96" spans="3:14" outlineLevel="1">
      <c r="C96" s="222" t="s">
        <v>1171</v>
      </c>
      <c r="D96" s="637" t="s">
        <v>1172</v>
      </c>
      <c r="E96" s="224"/>
      <c r="F96" s="219"/>
      <c r="G96" s="219">
        <v>0</v>
      </c>
      <c r="H96" s="7" t="s">
        <v>27</v>
      </c>
      <c r="I96" s="220" t="s">
        <v>27</v>
      </c>
      <c r="J96" s="145"/>
      <c r="K96" s="221"/>
      <c r="L96" s="248"/>
      <c r="M96" s="7"/>
      <c r="N96" s="229">
        <f>SUM(K96:K100)+SUM(L96:L100)*TC</f>
        <v>654526.21600000013</v>
      </c>
    </row>
    <row r="97" spans="3:14" outlineLevel="1">
      <c r="C97" s="217" t="s">
        <v>1173</v>
      </c>
      <c r="D97" s="629" t="s">
        <v>1174</v>
      </c>
      <c r="E97" s="218" t="s">
        <v>130</v>
      </c>
      <c r="F97" s="219">
        <v>1</v>
      </c>
      <c r="G97" s="219">
        <v>1</v>
      </c>
      <c r="H97" s="7"/>
      <c r="I97" s="220">
        <v>4000</v>
      </c>
      <c r="J97" s="145">
        <f t="shared" ref="J97:J108" si="39">+ROUND(H97+I97*TC,2)</f>
        <v>13400</v>
      </c>
      <c r="K97" s="221">
        <f t="shared" si="32"/>
        <v>0</v>
      </c>
      <c r="L97" s="248">
        <f t="shared" si="33"/>
        <v>4000</v>
      </c>
      <c r="M97" s="7">
        <f t="shared" si="34"/>
        <v>13400</v>
      </c>
      <c r="N97" s="228"/>
    </row>
    <row r="98" spans="3:14" outlineLevel="1">
      <c r="C98" s="217" t="s">
        <v>1175</v>
      </c>
      <c r="D98" s="629" t="s">
        <v>1176</v>
      </c>
      <c r="E98" s="218" t="s">
        <v>121</v>
      </c>
      <c r="F98" s="219">
        <v>172</v>
      </c>
      <c r="G98" s="219">
        <v>172</v>
      </c>
      <c r="H98" s="7"/>
      <c r="I98" s="220">
        <v>1112.68</v>
      </c>
      <c r="J98" s="145">
        <f t="shared" si="39"/>
        <v>3727.48</v>
      </c>
      <c r="K98" s="221">
        <f t="shared" ref="K98:K167" si="40">H98*G98</f>
        <v>0</v>
      </c>
      <c r="L98" s="248">
        <f t="shared" ref="L98:L167" si="41">I98*G98</f>
        <v>191380.96000000002</v>
      </c>
      <c r="M98" s="7">
        <f t="shared" ref="M98:M167" si="42">+ROUND(K98+L98*TC,2)</f>
        <v>641126.22</v>
      </c>
      <c r="N98" s="228"/>
    </row>
    <row r="99" spans="3:14" outlineLevel="1">
      <c r="C99" s="217" t="s">
        <v>1175</v>
      </c>
      <c r="D99" s="629" t="s">
        <v>1177</v>
      </c>
      <c r="E99" s="218" t="s">
        <v>121</v>
      </c>
      <c r="F99" s="219">
        <v>0</v>
      </c>
      <c r="G99" s="219">
        <v>0</v>
      </c>
      <c r="H99" s="7">
        <v>0</v>
      </c>
      <c r="I99" s="220">
        <v>0</v>
      </c>
      <c r="J99" s="145">
        <f t="shared" si="39"/>
        <v>0</v>
      </c>
      <c r="K99" s="221">
        <f t="shared" si="40"/>
        <v>0</v>
      </c>
      <c r="L99" s="248">
        <f t="shared" si="41"/>
        <v>0</v>
      </c>
      <c r="M99" s="7">
        <f t="shared" si="42"/>
        <v>0</v>
      </c>
      <c r="N99" s="228"/>
    </row>
    <row r="100" spans="3:14" outlineLevel="1">
      <c r="C100" s="217" t="s">
        <v>1175</v>
      </c>
      <c r="D100" s="640" t="s">
        <v>1178</v>
      </c>
      <c r="E100" s="218" t="s">
        <v>130</v>
      </c>
      <c r="F100" s="219">
        <v>0</v>
      </c>
      <c r="G100" s="219">
        <v>0</v>
      </c>
      <c r="H100" s="7">
        <v>5500</v>
      </c>
      <c r="I100" s="220">
        <v>0</v>
      </c>
      <c r="J100" s="145">
        <f t="shared" si="39"/>
        <v>5500</v>
      </c>
      <c r="K100" s="221">
        <f t="shared" si="40"/>
        <v>0</v>
      </c>
      <c r="L100" s="248">
        <f t="shared" si="41"/>
        <v>0</v>
      </c>
      <c r="M100" s="7">
        <f t="shared" si="42"/>
        <v>0</v>
      </c>
      <c r="N100" s="228"/>
    </row>
    <row r="101" spans="3:14" outlineLevel="1">
      <c r="C101" s="222" t="s">
        <v>1179</v>
      </c>
      <c r="D101" s="641" t="s">
        <v>1180</v>
      </c>
      <c r="E101" s="224"/>
      <c r="F101" s="219"/>
      <c r="G101" s="219">
        <v>0</v>
      </c>
      <c r="H101" s="7"/>
      <c r="I101" s="220"/>
      <c r="J101" s="145">
        <f t="shared" si="39"/>
        <v>0</v>
      </c>
      <c r="K101" s="221">
        <f t="shared" si="40"/>
        <v>0</v>
      </c>
      <c r="L101" s="248">
        <f t="shared" si="41"/>
        <v>0</v>
      </c>
      <c r="M101" s="7">
        <f t="shared" si="42"/>
        <v>0</v>
      </c>
      <c r="N101" s="229">
        <f>SUM(K101:K108)+SUM(L101:L108)*TC</f>
        <v>0</v>
      </c>
    </row>
    <row r="102" spans="3:14" ht="22.5" outlineLevel="1">
      <c r="C102" s="217" t="s">
        <v>1181</v>
      </c>
      <c r="D102" s="642" t="s">
        <v>1182</v>
      </c>
      <c r="E102" s="218" t="s">
        <v>973</v>
      </c>
      <c r="F102" s="219"/>
      <c r="G102" s="219">
        <v>0</v>
      </c>
      <c r="H102" s="7">
        <v>495.48</v>
      </c>
      <c r="I102" s="220"/>
      <c r="J102" s="145">
        <f t="shared" si="39"/>
        <v>495.48</v>
      </c>
      <c r="K102" s="221">
        <f t="shared" si="40"/>
        <v>0</v>
      </c>
      <c r="L102" s="248">
        <f t="shared" si="41"/>
        <v>0</v>
      </c>
      <c r="M102" s="7">
        <f t="shared" si="42"/>
        <v>0</v>
      </c>
      <c r="N102" s="228"/>
    </row>
    <row r="103" spans="3:14" ht="22.5" outlineLevel="1">
      <c r="C103" s="217" t="s">
        <v>1181</v>
      </c>
      <c r="D103" s="642" t="s">
        <v>1183</v>
      </c>
      <c r="E103" s="218" t="s">
        <v>973</v>
      </c>
      <c r="F103" s="219"/>
      <c r="G103" s="219">
        <v>0</v>
      </c>
      <c r="H103" s="7">
        <v>555.87</v>
      </c>
      <c r="I103" s="220"/>
      <c r="J103" s="145">
        <f t="shared" ref="J103" si="43">+ROUND(H103+I103*TC,2)</f>
        <v>555.87</v>
      </c>
      <c r="K103" s="221">
        <f t="shared" ref="K103" si="44">H103*G103</f>
        <v>0</v>
      </c>
      <c r="L103" s="248">
        <f t="shared" ref="L103" si="45">I103*G103</f>
        <v>0</v>
      </c>
      <c r="M103" s="7">
        <f t="shared" ref="M103" si="46">+ROUND(K103+L103*TC,2)</f>
        <v>0</v>
      </c>
      <c r="N103" s="228"/>
    </row>
    <row r="104" spans="3:14" outlineLevel="1">
      <c r="C104" s="217" t="s">
        <v>1184</v>
      </c>
      <c r="D104" s="45" t="s">
        <v>1185</v>
      </c>
      <c r="E104" s="218" t="s">
        <v>82</v>
      </c>
      <c r="F104" s="219"/>
      <c r="G104" s="219">
        <v>0</v>
      </c>
      <c r="H104" s="7">
        <v>55.75</v>
      </c>
      <c r="I104" s="220"/>
      <c r="J104" s="145">
        <f t="shared" si="39"/>
        <v>55.75</v>
      </c>
      <c r="K104" s="221">
        <f t="shared" si="40"/>
        <v>0</v>
      </c>
      <c r="L104" s="248">
        <f t="shared" si="41"/>
        <v>0</v>
      </c>
      <c r="M104" s="7">
        <f t="shared" si="42"/>
        <v>0</v>
      </c>
      <c r="N104" s="228"/>
    </row>
    <row r="105" spans="3:14" ht="22.5" outlineLevel="1">
      <c r="C105" s="217" t="s">
        <v>1186</v>
      </c>
      <c r="D105" s="643" t="s">
        <v>1187</v>
      </c>
      <c r="E105" s="218" t="s">
        <v>82</v>
      </c>
      <c r="F105" s="219"/>
      <c r="G105" s="219">
        <v>0</v>
      </c>
      <c r="H105" s="7">
        <v>0</v>
      </c>
      <c r="I105" s="220"/>
      <c r="J105" s="145">
        <f t="shared" si="39"/>
        <v>0</v>
      </c>
      <c r="K105" s="221">
        <f t="shared" si="40"/>
        <v>0</v>
      </c>
      <c r="L105" s="248">
        <f t="shared" si="41"/>
        <v>0</v>
      </c>
      <c r="M105" s="7">
        <f t="shared" si="42"/>
        <v>0</v>
      </c>
      <c r="N105" s="228"/>
    </row>
    <row r="106" spans="3:14" outlineLevel="1">
      <c r="C106" s="217" t="s">
        <v>1188</v>
      </c>
      <c r="D106" s="642" t="s">
        <v>1189</v>
      </c>
      <c r="E106" s="218" t="s">
        <v>82</v>
      </c>
      <c r="F106" s="219"/>
      <c r="G106" s="219">
        <v>0</v>
      </c>
      <c r="H106" s="7">
        <v>5.52</v>
      </c>
      <c r="I106" s="220"/>
      <c r="J106" s="145">
        <f t="shared" si="39"/>
        <v>5.52</v>
      </c>
      <c r="K106" s="221">
        <f t="shared" si="40"/>
        <v>0</v>
      </c>
      <c r="L106" s="248">
        <f t="shared" si="41"/>
        <v>0</v>
      </c>
      <c r="M106" s="7">
        <f t="shared" si="42"/>
        <v>0</v>
      </c>
      <c r="N106" s="228"/>
    </row>
    <row r="107" spans="3:14" outlineLevel="1">
      <c r="C107" s="217" t="s">
        <v>1190</v>
      </c>
      <c r="D107" s="45" t="s">
        <v>1136</v>
      </c>
      <c r="E107" s="218" t="s">
        <v>118</v>
      </c>
      <c r="F107" s="219"/>
      <c r="G107" s="219">
        <v>0</v>
      </c>
      <c r="H107" s="7">
        <v>1.28</v>
      </c>
      <c r="I107" s="220">
        <v>0.89</v>
      </c>
      <c r="J107" s="145">
        <f t="shared" si="39"/>
        <v>4.26</v>
      </c>
      <c r="K107" s="221">
        <f t="shared" si="40"/>
        <v>0</v>
      </c>
      <c r="L107" s="248">
        <f t="shared" si="41"/>
        <v>0</v>
      </c>
      <c r="M107" s="7">
        <f t="shared" si="42"/>
        <v>0</v>
      </c>
      <c r="N107" s="228"/>
    </row>
    <row r="108" spans="3:14" outlineLevel="1">
      <c r="C108" s="217" t="s">
        <v>1191</v>
      </c>
      <c r="D108" s="230" t="s">
        <v>1122</v>
      </c>
      <c r="E108" s="218" t="s">
        <v>82</v>
      </c>
      <c r="F108" s="219"/>
      <c r="G108" s="219">
        <v>0</v>
      </c>
      <c r="H108" s="7">
        <v>1.48</v>
      </c>
      <c r="I108" s="220"/>
      <c r="J108" s="145">
        <f t="shared" si="39"/>
        <v>1.48</v>
      </c>
      <c r="K108" s="221">
        <f t="shared" si="40"/>
        <v>0</v>
      </c>
      <c r="L108" s="248">
        <f t="shared" si="41"/>
        <v>0</v>
      </c>
      <c r="M108" s="7">
        <f t="shared" si="42"/>
        <v>0</v>
      </c>
      <c r="N108" s="228"/>
    </row>
    <row r="109" spans="3:14" outlineLevel="1">
      <c r="C109" s="644" t="s">
        <v>1179</v>
      </c>
      <c r="D109" s="645" t="s">
        <v>1192</v>
      </c>
      <c r="E109" s="224"/>
      <c r="F109" s="219"/>
      <c r="G109" s="219">
        <v>0</v>
      </c>
      <c r="H109" s="7" t="s">
        <v>27</v>
      </c>
      <c r="I109" s="220" t="s">
        <v>27</v>
      </c>
      <c r="J109" s="145"/>
      <c r="K109" s="221"/>
      <c r="L109" s="248"/>
      <c r="M109" s="7"/>
      <c r="N109" s="229">
        <f>SUM(K109:K116)+SUM(L109:L116)*TC</f>
        <v>490243.60880000005</v>
      </c>
    </row>
    <row r="110" spans="3:14" ht="22.5" outlineLevel="1">
      <c r="C110" s="646" t="s">
        <v>1181</v>
      </c>
      <c r="D110" s="647" t="s">
        <v>1193</v>
      </c>
      <c r="E110" s="218" t="s">
        <v>973</v>
      </c>
      <c r="F110" s="219"/>
      <c r="G110" s="219">
        <v>0</v>
      </c>
      <c r="H110" s="7"/>
      <c r="I110" s="220"/>
      <c r="J110" s="145">
        <f t="shared" ref="J110:J116" si="47">+ROUND(H110+I110*TC,2)</f>
        <v>0</v>
      </c>
      <c r="K110" s="221">
        <f t="shared" si="40"/>
        <v>0</v>
      </c>
      <c r="L110" s="248">
        <f t="shared" si="41"/>
        <v>0</v>
      </c>
      <c r="M110" s="7">
        <f t="shared" si="42"/>
        <v>0</v>
      </c>
      <c r="N110" s="228"/>
    </row>
    <row r="111" spans="3:14" outlineLevel="1">
      <c r="C111" s="646" t="s">
        <v>1181</v>
      </c>
      <c r="D111" s="45" t="s">
        <v>1194</v>
      </c>
      <c r="E111" s="218" t="s">
        <v>973</v>
      </c>
      <c r="F111" s="219">
        <v>660.11072000000001</v>
      </c>
      <c r="G111" s="219">
        <v>660.11</v>
      </c>
      <c r="H111" s="7">
        <v>397.96</v>
      </c>
      <c r="I111" s="220">
        <v>0</v>
      </c>
      <c r="J111" s="145">
        <f t="shared" ref="J111" si="48">+ROUND(H111+I111*TC,2)</f>
        <v>397.96</v>
      </c>
      <c r="K111" s="221">
        <f t="shared" ref="K111" si="49">H111*G111</f>
        <v>262697.37559999997</v>
      </c>
      <c r="L111" s="248">
        <f t="shared" ref="L111" si="50">I111*G111</f>
        <v>0</v>
      </c>
      <c r="M111" s="7">
        <f t="shared" ref="M111" si="51">+ROUND(K111+L111*TC,2)</f>
        <v>262697.38</v>
      </c>
      <c r="N111" s="228"/>
    </row>
    <row r="112" spans="3:14" outlineLevel="1">
      <c r="C112" s="646" t="s">
        <v>1181</v>
      </c>
      <c r="D112" s="45" t="s">
        <v>1195</v>
      </c>
      <c r="E112" s="218" t="s">
        <v>973</v>
      </c>
      <c r="F112" s="219"/>
      <c r="G112" s="219">
        <v>0</v>
      </c>
      <c r="H112" s="7">
        <v>442.08</v>
      </c>
      <c r="I112" s="220">
        <v>0</v>
      </c>
      <c r="J112" s="145">
        <f t="shared" si="47"/>
        <v>442.08</v>
      </c>
      <c r="K112" s="221">
        <f t="shared" si="40"/>
        <v>0</v>
      </c>
      <c r="L112" s="248">
        <f t="shared" si="41"/>
        <v>0</v>
      </c>
      <c r="M112" s="7">
        <f t="shared" si="42"/>
        <v>0</v>
      </c>
      <c r="N112" s="228"/>
    </row>
    <row r="113" spans="3:14" outlineLevel="1">
      <c r="C113" s="646" t="s">
        <v>1184</v>
      </c>
      <c r="D113" s="45" t="s">
        <v>1196</v>
      </c>
      <c r="E113" s="218" t="s">
        <v>82</v>
      </c>
      <c r="F113" s="219">
        <v>545.43600000000004</v>
      </c>
      <c r="G113" s="219">
        <v>545.44000000000005</v>
      </c>
      <c r="H113" s="7">
        <v>49.6</v>
      </c>
      <c r="I113" s="220">
        <v>0</v>
      </c>
      <c r="J113" s="145">
        <f t="shared" si="47"/>
        <v>49.6</v>
      </c>
      <c r="K113" s="221">
        <f t="shared" si="40"/>
        <v>27053.824000000004</v>
      </c>
      <c r="L113" s="248">
        <f t="shared" si="41"/>
        <v>0</v>
      </c>
      <c r="M113" s="7">
        <f t="shared" si="42"/>
        <v>27053.82</v>
      </c>
      <c r="N113" s="228"/>
    </row>
    <row r="114" spans="3:14" outlineLevel="1">
      <c r="C114" s="646" t="s">
        <v>1186</v>
      </c>
      <c r="D114" s="45" t="s">
        <v>1120</v>
      </c>
      <c r="E114" s="218" t="s">
        <v>118</v>
      </c>
      <c r="F114" s="219">
        <v>42350.803369999994</v>
      </c>
      <c r="G114" s="219">
        <v>42350.8</v>
      </c>
      <c r="H114" s="7">
        <v>1.24</v>
      </c>
      <c r="I114" s="220">
        <v>0.89</v>
      </c>
      <c r="J114" s="145">
        <f t="shared" si="47"/>
        <v>4.22</v>
      </c>
      <c r="K114" s="221">
        <f t="shared" si="40"/>
        <v>52514.992000000006</v>
      </c>
      <c r="L114" s="248">
        <f t="shared" si="41"/>
        <v>37692.212</v>
      </c>
      <c r="M114" s="7">
        <f t="shared" si="42"/>
        <v>178783.9</v>
      </c>
      <c r="N114" s="228"/>
    </row>
    <row r="115" spans="3:14" outlineLevel="1">
      <c r="C115" s="646" t="s">
        <v>1188</v>
      </c>
      <c r="D115" s="230" t="s">
        <v>1122</v>
      </c>
      <c r="E115" s="218" t="s">
        <v>82</v>
      </c>
      <c r="F115" s="219">
        <v>989.90000000000009</v>
      </c>
      <c r="G115" s="219">
        <v>989.9</v>
      </c>
      <c r="H115" s="7">
        <v>1.48</v>
      </c>
      <c r="I115" s="220">
        <v>0</v>
      </c>
      <c r="J115" s="145">
        <f t="shared" si="47"/>
        <v>1.48</v>
      </c>
      <c r="K115" s="221">
        <f t="shared" si="40"/>
        <v>1465.0519999999999</v>
      </c>
      <c r="L115" s="248">
        <f t="shared" si="41"/>
        <v>0</v>
      </c>
      <c r="M115" s="7">
        <f t="shared" si="42"/>
        <v>1465.05</v>
      </c>
      <c r="N115" s="228"/>
    </row>
    <row r="116" spans="3:14" outlineLevel="1">
      <c r="C116" s="646" t="s">
        <v>1190</v>
      </c>
      <c r="D116" s="45" t="s">
        <v>1124</v>
      </c>
      <c r="E116" s="218" t="s">
        <v>82</v>
      </c>
      <c r="F116" s="219">
        <v>989.90000000000009</v>
      </c>
      <c r="G116" s="219">
        <v>989.9</v>
      </c>
      <c r="H116" s="7">
        <v>20.45</v>
      </c>
      <c r="I116" s="220">
        <v>0</v>
      </c>
      <c r="J116" s="145">
        <f t="shared" si="47"/>
        <v>20.45</v>
      </c>
      <c r="K116" s="221">
        <f t="shared" si="40"/>
        <v>20243.454999999998</v>
      </c>
      <c r="L116" s="248">
        <f t="shared" si="41"/>
        <v>0</v>
      </c>
      <c r="M116" s="7">
        <f t="shared" si="42"/>
        <v>20243.46</v>
      </c>
      <c r="N116" s="228"/>
    </row>
    <row r="117" spans="3:14" outlineLevel="1">
      <c r="C117" s="644" t="s">
        <v>1197</v>
      </c>
      <c r="D117" s="645" t="s">
        <v>1198</v>
      </c>
      <c r="E117" s="224"/>
      <c r="F117" s="219"/>
      <c r="G117" s="219">
        <v>0</v>
      </c>
      <c r="H117" s="7" t="s">
        <v>27</v>
      </c>
      <c r="I117" s="220" t="s">
        <v>27</v>
      </c>
      <c r="J117" s="145"/>
      <c r="K117" s="221"/>
      <c r="L117" s="248"/>
      <c r="M117" s="7"/>
      <c r="N117" s="229">
        <f>SUM(K117:K125)+SUM(L117:L125)*TC</f>
        <v>1585.8611949999997</v>
      </c>
    </row>
    <row r="118" spans="3:14" ht="22.5" outlineLevel="1">
      <c r="C118" s="646" t="s">
        <v>1199</v>
      </c>
      <c r="D118" s="648" t="s">
        <v>1200</v>
      </c>
      <c r="E118" s="218" t="s">
        <v>973</v>
      </c>
      <c r="F118" s="219"/>
      <c r="G118" s="219">
        <v>0</v>
      </c>
      <c r="H118" s="7">
        <v>0</v>
      </c>
      <c r="I118" s="220">
        <v>0</v>
      </c>
      <c r="J118" s="145">
        <f t="shared" ref="J118:J124" si="52">+ROUND(H118+I118*TC,2)</f>
        <v>0</v>
      </c>
      <c r="K118" s="221">
        <f t="shared" si="40"/>
        <v>0</v>
      </c>
      <c r="L118" s="248">
        <f t="shared" si="41"/>
        <v>0</v>
      </c>
      <c r="M118" s="7">
        <f t="shared" si="42"/>
        <v>0</v>
      </c>
      <c r="N118" s="228"/>
    </row>
    <row r="119" spans="3:14" outlineLevel="1">
      <c r="C119" s="646" t="s">
        <v>1199</v>
      </c>
      <c r="D119" s="45" t="s">
        <v>1194</v>
      </c>
      <c r="E119" s="218" t="s">
        <v>973</v>
      </c>
      <c r="F119" s="219">
        <v>2.052</v>
      </c>
      <c r="G119" s="219">
        <v>2.0499999999999998</v>
      </c>
      <c r="H119" s="7">
        <v>397.96</v>
      </c>
      <c r="I119" s="220">
        <v>0</v>
      </c>
      <c r="J119" s="145">
        <f t="shared" si="52"/>
        <v>397.96</v>
      </c>
      <c r="K119" s="221">
        <f t="shared" si="40"/>
        <v>815.81799999999987</v>
      </c>
      <c r="L119" s="248">
        <f t="shared" si="41"/>
        <v>0</v>
      </c>
      <c r="M119" s="7">
        <f t="shared" si="42"/>
        <v>815.82</v>
      </c>
      <c r="N119" s="228"/>
    </row>
    <row r="120" spans="3:14" outlineLevel="1">
      <c r="C120" s="646" t="s">
        <v>1199</v>
      </c>
      <c r="D120" s="45" t="s">
        <v>1195</v>
      </c>
      <c r="E120" s="218" t="s">
        <v>973</v>
      </c>
      <c r="F120" s="219"/>
      <c r="G120" s="219">
        <v>0</v>
      </c>
      <c r="H120" s="7">
        <v>442.08</v>
      </c>
      <c r="I120" s="220">
        <v>0</v>
      </c>
      <c r="J120" s="145">
        <f t="shared" si="52"/>
        <v>442.08</v>
      </c>
      <c r="K120" s="221">
        <f t="shared" si="40"/>
        <v>0</v>
      </c>
      <c r="L120" s="248">
        <f t="shared" si="41"/>
        <v>0</v>
      </c>
      <c r="M120" s="7">
        <f t="shared" si="42"/>
        <v>0</v>
      </c>
      <c r="N120" s="228"/>
    </row>
    <row r="121" spans="3:14" outlineLevel="1">
      <c r="C121" s="646" t="s">
        <v>1201</v>
      </c>
      <c r="D121" s="45" t="s">
        <v>1118</v>
      </c>
      <c r="E121" s="218" t="s">
        <v>82</v>
      </c>
      <c r="F121" s="219">
        <v>9</v>
      </c>
      <c r="G121" s="219">
        <v>9</v>
      </c>
      <c r="H121" s="7">
        <v>47.6</v>
      </c>
      <c r="I121" s="220">
        <v>0</v>
      </c>
      <c r="J121" s="145">
        <f t="shared" si="52"/>
        <v>47.6</v>
      </c>
      <c r="K121" s="221">
        <f t="shared" si="40"/>
        <v>428.40000000000003</v>
      </c>
      <c r="L121" s="248">
        <f t="shared" si="41"/>
        <v>0</v>
      </c>
      <c r="M121" s="7">
        <f t="shared" si="42"/>
        <v>428.4</v>
      </c>
      <c r="N121" s="228"/>
    </row>
    <row r="122" spans="3:14" outlineLevel="1">
      <c r="C122" s="646" t="s">
        <v>1202</v>
      </c>
      <c r="D122" s="45" t="s">
        <v>1120</v>
      </c>
      <c r="E122" s="218" t="s">
        <v>118</v>
      </c>
      <c r="F122" s="219">
        <v>3.3264000000000005</v>
      </c>
      <c r="G122" s="219">
        <v>3.33</v>
      </c>
      <c r="H122" s="7">
        <v>1.24</v>
      </c>
      <c r="I122" s="220">
        <v>0.89</v>
      </c>
      <c r="J122" s="145">
        <f t="shared" si="52"/>
        <v>4.22</v>
      </c>
      <c r="K122" s="221">
        <f t="shared" si="40"/>
        <v>4.1292</v>
      </c>
      <c r="L122" s="248">
        <f t="shared" si="41"/>
        <v>2.9637000000000002</v>
      </c>
      <c r="M122" s="7">
        <f t="shared" si="42"/>
        <v>14.06</v>
      </c>
      <c r="N122" s="228"/>
    </row>
    <row r="123" spans="3:14" outlineLevel="1">
      <c r="C123" s="646" t="s">
        <v>1203</v>
      </c>
      <c r="D123" s="230" t="s">
        <v>1122</v>
      </c>
      <c r="E123" s="218" t="s">
        <v>82</v>
      </c>
      <c r="F123" s="219">
        <v>12.420000000000002</v>
      </c>
      <c r="G123" s="219">
        <v>12.42</v>
      </c>
      <c r="H123" s="7">
        <v>1.48</v>
      </c>
      <c r="I123" s="220">
        <v>0</v>
      </c>
      <c r="J123" s="145">
        <f t="shared" si="52"/>
        <v>1.48</v>
      </c>
      <c r="K123" s="221">
        <f t="shared" si="40"/>
        <v>18.381599999999999</v>
      </c>
      <c r="L123" s="248">
        <f t="shared" si="41"/>
        <v>0</v>
      </c>
      <c r="M123" s="7">
        <f t="shared" si="42"/>
        <v>18.38</v>
      </c>
      <c r="N123" s="228"/>
    </row>
    <row r="124" spans="3:14" outlineLevel="1">
      <c r="C124" s="646" t="s">
        <v>1204</v>
      </c>
      <c r="D124" s="45" t="s">
        <v>1124</v>
      </c>
      <c r="E124" s="218" t="s">
        <v>82</v>
      </c>
      <c r="F124" s="219">
        <v>15.120000000000001</v>
      </c>
      <c r="G124" s="219">
        <v>15.12</v>
      </c>
      <c r="H124" s="7">
        <v>20.45</v>
      </c>
      <c r="I124" s="220">
        <v>0</v>
      </c>
      <c r="J124" s="145">
        <f t="shared" si="52"/>
        <v>20.45</v>
      </c>
      <c r="K124" s="221">
        <f t="shared" si="40"/>
        <v>309.20399999999995</v>
      </c>
      <c r="L124" s="248">
        <f t="shared" si="41"/>
        <v>0</v>
      </c>
      <c r="M124" s="7">
        <f t="shared" si="42"/>
        <v>309.2</v>
      </c>
      <c r="N124" s="228"/>
    </row>
    <row r="125" spans="3:14" outlineLevel="1">
      <c r="C125" s="644" t="s">
        <v>1205</v>
      </c>
      <c r="D125" s="645" t="s">
        <v>1206</v>
      </c>
      <c r="E125" s="224"/>
      <c r="F125" s="219"/>
      <c r="G125" s="219">
        <v>0</v>
      </c>
      <c r="H125" s="7" t="s">
        <v>27</v>
      </c>
      <c r="I125" s="220" t="s">
        <v>27</v>
      </c>
      <c r="J125" s="145"/>
      <c r="K125" s="221"/>
      <c r="L125" s="248"/>
      <c r="M125" s="7"/>
      <c r="N125" s="229">
        <f>SUM(K125:K131)+SUM(L125:L131)*TC</f>
        <v>63837.238304999999</v>
      </c>
    </row>
    <row r="126" spans="3:14" ht="22.5" outlineLevel="1">
      <c r="C126" s="646" t="s">
        <v>1207</v>
      </c>
      <c r="D126" s="45" t="s">
        <v>1208</v>
      </c>
      <c r="E126" s="218" t="s">
        <v>973</v>
      </c>
      <c r="F126" s="219">
        <v>31.727799999999998</v>
      </c>
      <c r="G126" s="219">
        <v>31.73</v>
      </c>
      <c r="H126" s="7">
        <v>420.28</v>
      </c>
      <c r="I126" s="220">
        <v>0</v>
      </c>
      <c r="J126" s="145">
        <f t="shared" ref="J126:J131" si="53">+ROUND(H126+I126*TC,2)</f>
        <v>420.28</v>
      </c>
      <c r="K126" s="221">
        <f t="shared" si="40"/>
        <v>13335.484399999999</v>
      </c>
      <c r="L126" s="248">
        <f t="shared" si="41"/>
        <v>0</v>
      </c>
      <c r="M126" s="7">
        <f t="shared" si="42"/>
        <v>13335.48</v>
      </c>
      <c r="N126" s="228"/>
    </row>
    <row r="127" spans="3:14" outlineLevel="1">
      <c r="C127" s="646" t="s">
        <v>1209</v>
      </c>
      <c r="D127" s="647" t="s">
        <v>1210</v>
      </c>
      <c r="E127" s="218" t="s">
        <v>82</v>
      </c>
      <c r="F127" s="219">
        <v>148.72200000000004</v>
      </c>
      <c r="G127" s="219">
        <v>148.72</v>
      </c>
      <c r="H127" s="7">
        <v>47.6</v>
      </c>
      <c r="I127" s="220">
        <v>0</v>
      </c>
      <c r="J127" s="145">
        <f t="shared" si="53"/>
        <v>47.6</v>
      </c>
      <c r="K127" s="221">
        <f t="shared" si="40"/>
        <v>7079.0720000000001</v>
      </c>
      <c r="L127" s="248">
        <f t="shared" si="41"/>
        <v>0</v>
      </c>
      <c r="M127" s="7">
        <f t="shared" si="42"/>
        <v>7079.07</v>
      </c>
      <c r="N127" s="228"/>
    </row>
    <row r="128" spans="3:14" outlineLevel="1">
      <c r="C128" s="646" t="s">
        <v>1211</v>
      </c>
      <c r="D128" s="45" t="s">
        <v>1120</v>
      </c>
      <c r="E128" s="218" t="s">
        <v>118</v>
      </c>
      <c r="F128" s="219">
        <v>9968.0702799999963</v>
      </c>
      <c r="G128" s="219">
        <v>9968.07</v>
      </c>
      <c r="H128" s="7">
        <v>1.24</v>
      </c>
      <c r="I128" s="220">
        <v>0.89</v>
      </c>
      <c r="J128" s="145">
        <f t="shared" si="53"/>
        <v>4.22</v>
      </c>
      <c r="K128" s="221">
        <f t="shared" si="40"/>
        <v>12360.406799999999</v>
      </c>
      <c r="L128" s="248">
        <f t="shared" si="41"/>
        <v>8871.5823</v>
      </c>
      <c r="M128" s="7">
        <f t="shared" si="42"/>
        <v>42080.21</v>
      </c>
      <c r="N128" s="228"/>
    </row>
    <row r="129" spans="3:14" outlineLevel="1">
      <c r="C129" s="646" t="s">
        <v>1212</v>
      </c>
      <c r="D129" s="230" t="s">
        <v>1122</v>
      </c>
      <c r="E129" s="218" t="s">
        <v>82</v>
      </c>
      <c r="F129" s="219">
        <v>172.27600000000004</v>
      </c>
      <c r="G129" s="219">
        <v>172.28</v>
      </c>
      <c r="H129" s="7">
        <v>1.48</v>
      </c>
      <c r="I129" s="220">
        <v>0</v>
      </c>
      <c r="J129" s="145">
        <f t="shared" si="53"/>
        <v>1.48</v>
      </c>
      <c r="K129" s="221">
        <f t="shared" si="40"/>
        <v>254.9744</v>
      </c>
      <c r="L129" s="248">
        <f t="shared" si="41"/>
        <v>0</v>
      </c>
      <c r="M129" s="7">
        <f t="shared" si="42"/>
        <v>254.97</v>
      </c>
      <c r="N129" s="228"/>
    </row>
    <row r="130" spans="3:14" outlineLevel="1">
      <c r="C130" s="646" t="s">
        <v>1213</v>
      </c>
      <c r="D130" s="647" t="s">
        <v>1214</v>
      </c>
      <c r="E130" s="218" t="s">
        <v>82</v>
      </c>
      <c r="F130" s="219">
        <v>8.6980000000000004</v>
      </c>
      <c r="G130" s="219">
        <v>8.6999999999999993</v>
      </c>
      <c r="H130" s="7">
        <v>125</v>
      </c>
      <c r="I130" s="220">
        <v>0</v>
      </c>
      <c r="J130" s="145">
        <f t="shared" si="53"/>
        <v>125</v>
      </c>
      <c r="K130" s="221">
        <f t="shared" si="40"/>
        <v>1087.5</v>
      </c>
      <c r="L130" s="248">
        <f t="shared" si="41"/>
        <v>0</v>
      </c>
      <c r="M130" s="7">
        <f t="shared" si="42"/>
        <v>1087.5</v>
      </c>
      <c r="N130" s="228"/>
    </row>
    <row r="131" spans="3:14" outlineLevel="1">
      <c r="C131" s="646" t="s">
        <v>1215</v>
      </c>
      <c r="D131" s="647" t="s">
        <v>1216</v>
      </c>
      <c r="E131" s="218" t="s">
        <v>82</v>
      </c>
      <c r="F131" s="219"/>
      <c r="G131" s="219">
        <v>0</v>
      </c>
      <c r="H131" s="7">
        <v>0</v>
      </c>
      <c r="I131" s="220">
        <v>0</v>
      </c>
      <c r="J131" s="145">
        <f t="shared" si="53"/>
        <v>0</v>
      </c>
      <c r="K131" s="221">
        <f t="shared" si="40"/>
        <v>0</v>
      </c>
      <c r="L131" s="248">
        <f t="shared" si="41"/>
        <v>0</v>
      </c>
      <c r="M131" s="7">
        <f t="shared" si="42"/>
        <v>0</v>
      </c>
      <c r="N131" s="228"/>
    </row>
    <row r="132" spans="3:14" outlineLevel="1">
      <c r="C132" s="644" t="s">
        <v>1217</v>
      </c>
      <c r="D132" s="645" t="s">
        <v>1218</v>
      </c>
      <c r="E132" s="224"/>
      <c r="F132" s="219"/>
      <c r="G132" s="219">
        <v>0</v>
      </c>
      <c r="H132" s="7" t="s">
        <v>27</v>
      </c>
      <c r="I132" s="220" t="s">
        <v>27</v>
      </c>
      <c r="J132" s="145"/>
      <c r="K132" s="221"/>
      <c r="L132" s="248"/>
      <c r="M132" s="7"/>
      <c r="N132" s="229">
        <f>SUM(K132:K136)+SUM(L132:L136)*TC</f>
        <v>70339.852900000013</v>
      </c>
    </row>
    <row r="133" spans="3:14" ht="22.5" outlineLevel="1">
      <c r="C133" s="646" t="s">
        <v>1219</v>
      </c>
      <c r="D133" s="45" t="s">
        <v>1220</v>
      </c>
      <c r="E133" s="218" t="s">
        <v>973</v>
      </c>
      <c r="F133" s="219">
        <v>134.43449999999999</v>
      </c>
      <c r="G133" s="219">
        <v>134.43</v>
      </c>
      <c r="H133" s="7">
        <v>483</v>
      </c>
      <c r="I133" s="220">
        <v>0</v>
      </c>
      <c r="J133" s="145">
        <f>+ROUND(H133+I133*TC,2)</f>
        <v>483</v>
      </c>
      <c r="K133" s="221">
        <f t="shared" si="40"/>
        <v>64929.69</v>
      </c>
      <c r="L133" s="248">
        <f t="shared" si="41"/>
        <v>0</v>
      </c>
      <c r="M133" s="7">
        <f t="shared" si="42"/>
        <v>64929.69</v>
      </c>
      <c r="N133" s="228"/>
    </row>
    <row r="134" spans="3:14" outlineLevel="1">
      <c r="C134" s="646" t="s">
        <v>1221</v>
      </c>
      <c r="D134" s="45" t="s">
        <v>1222</v>
      </c>
      <c r="E134" s="218" t="s">
        <v>141</v>
      </c>
      <c r="F134" s="219">
        <v>4.7370000000000001</v>
      </c>
      <c r="G134" s="219">
        <v>4.74</v>
      </c>
      <c r="H134" s="7">
        <v>20.61</v>
      </c>
      <c r="I134" s="220">
        <v>0</v>
      </c>
      <c r="J134" s="145">
        <f>+ROUND(H134+I134*TC,2)</f>
        <v>20.61</v>
      </c>
      <c r="K134" s="221">
        <f t="shared" si="40"/>
        <v>97.691400000000002</v>
      </c>
      <c r="L134" s="248">
        <f t="shared" si="41"/>
        <v>0</v>
      </c>
      <c r="M134" s="7">
        <f t="shared" si="42"/>
        <v>97.69</v>
      </c>
      <c r="N134" s="228"/>
    </row>
    <row r="135" spans="3:14" outlineLevel="1">
      <c r="C135" s="646" t="s">
        <v>1223</v>
      </c>
      <c r="D135" s="45" t="s">
        <v>1224</v>
      </c>
      <c r="E135" s="218" t="s">
        <v>118</v>
      </c>
      <c r="F135" s="219">
        <v>122.61</v>
      </c>
      <c r="G135" s="219">
        <v>122.61</v>
      </c>
      <c r="H135" s="7">
        <v>32.51</v>
      </c>
      <c r="I135" s="220">
        <v>0</v>
      </c>
      <c r="J135" s="145">
        <f>+ROUND(H135+I135*TC,2)</f>
        <v>32.51</v>
      </c>
      <c r="K135" s="221">
        <f t="shared" si="40"/>
        <v>3986.0510999999997</v>
      </c>
      <c r="L135" s="248">
        <f t="shared" si="41"/>
        <v>0</v>
      </c>
      <c r="M135" s="7">
        <f t="shared" si="42"/>
        <v>3986.05</v>
      </c>
      <c r="N135" s="228"/>
    </row>
    <row r="136" spans="3:14" outlineLevel="1">
      <c r="C136" s="646" t="s">
        <v>1225</v>
      </c>
      <c r="D136" s="230" t="s">
        <v>1122</v>
      </c>
      <c r="E136" s="218" t="s">
        <v>82</v>
      </c>
      <c r="F136" s="219">
        <v>896.23</v>
      </c>
      <c r="G136" s="219">
        <v>896.23</v>
      </c>
      <c r="H136" s="7">
        <v>1.48</v>
      </c>
      <c r="I136" s="220">
        <v>0</v>
      </c>
      <c r="J136" s="145">
        <f>+ROUND(H136+I136*TC,2)</f>
        <v>1.48</v>
      </c>
      <c r="K136" s="221">
        <f t="shared" si="40"/>
        <v>1326.4204</v>
      </c>
      <c r="L136" s="248">
        <f t="shared" si="41"/>
        <v>0</v>
      </c>
      <c r="M136" s="7">
        <f t="shared" si="42"/>
        <v>1326.42</v>
      </c>
      <c r="N136" s="228"/>
    </row>
    <row r="137" spans="3:14" outlineLevel="1">
      <c r="C137" s="644" t="s">
        <v>1226</v>
      </c>
      <c r="D137" s="645" t="s">
        <v>1227</v>
      </c>
      <c r="E137" s="224"/>
      <c r="F137" s="219"/>
      <c r="G137" s="219">
        <v>0</v>
      </c>
      <c r="H137" s="7" t="s">
        <v>27</v>
      </c>
      <c r="I137" s="220" t="s">
        <v>27</v>
      </c>
      <c r="J137" s="145"/>
      <c r="K137" s="221"/>
      <c r="L137" s="248"/>
      <c r="M137" s="7"/>
      <c r="N137" s="229">
        <f>SUM(K137:K141)+SUM(L137:L141)*TC</f>
        <v>29935.464675000003</v>
      </c>
    </row>
    <row r="138" spans="3:14" outlineLevel="1">
      <c r="C138" s="646" t="s">
        <v>1228</v>
      </c>
      <c r="D138" s="45" t="s">
        <v>1229</v>
      </c>
      <c r="E138" s="218" t="s">
        <v>141</v>
      </c>
      <c r="F138" s="219">
        <v>99.05</v>
      </c>
      <c r="G138" s="219">
        <v>99.05</v>
      </c>
      <c r="H138" s="7">
        <v>48.15</v>
      </c>
      <c r="I138" s="220">
        <v>0.89</v>
      </c>
      <c r="J138" s="145">
        <f>+ROUND(H138+I138*TC,2)</f>
        <v>51.13</v>
      </c>
      <c r="K138" s="221">
        <f t="shared" si="40"/>
        <v>4769.2574999999997</v>
      </c>
      <c r="L138" s="248">
        <f t="shared" si="41"/>
        <v>88.154499999999999</v>
      </c>
      <c r="M138" s="7">
        <f t="shared" si="42"/>
        <v>5064.58</v>
      </c>
      <c r="N138" s="228"/>
    </row>
    <row r="139" spans="3:14" outlineLevel="1">
      <c r="C139" s="646" t="s">
        <v>1230</v>
      </c>
      <c r="D139" s="45" t="s">
        <v>1231</v>
      </c>
      <c r="E139" s="218" t="s">
        <v>141</v>
      </c>
      <c r="F139" s="219">
        <v>412.02</v>
      </c>
      <c r="G139" s="219">
        <v>412.02</v>
      </c>
      <c r="H139" s="7">
        <v>34.99</v>
      </c>
      <c r="I139" s="220">
        <v>0</v>
      </c>
      <c r="J139" s="145">
        <f>+ROUND(H139+I139*TC,2)</f>
        <v>34.99</v>
      </c>
      <c r="K139" s="221">
        <f t="shared" si="40"/>
        <v>14416.5798</v>
      </c>
      <c r="L139" s="248">
        <f t="shared" si="41"/>
        <v>0</v>
      </c>
      <c r="M139" s="7">
        <f t="shared" si="42"/>
        <v>14416.58</v>
      </c>
      <c r="N139" s="228"/>
    </row>
    <row r="140" spans="3:14" outlineLevel="1">
      <c r="C140" s="646" t="s">
        <v>1232</v>
      </c>
      <c r="D140" s="45" t="s">
        <v>1233</v>
      </c>
      <c r="E140" s="218" t="s">
        <v>141</v>
      </c>
      <c r="F140" s="219">
        <v>484.22</v>
      </c>
      <c r="G140" s="219">
        <v>484.22</v>
      </c>
      <c r="H140" s="7">
        <v>21.59</v>
      </c>
      <c r="I140" s="220">
        <v>0</v>
      </c>
      <c r="J140" s="145">
        <f>+ROUND(H140+I140*TC,2)</f>
        <v>21.59</v>
      </c>
      <c r="K140" s="221">
        <f t="shared" si="40"/>
        <v>10454.309800000001</v>
      </c>
      <c r="L140" s="248">
        <f t="shared" si="41"/>
        <v>0</v>
      </c>
      <c r="M140" s="7">
        <f t="shared" si="42"/>
        <v>10454.31</v>
      </c>
      <c r="N140" s="228"/>
    </row>
    <row r="141" spans="3:14" outlineLevel="1">
      <c r="C141" s="644" t="s">
        <v>1234</v>
      </c>
      <c r="D141" s="645" t="s">
        <v>1235</v>
      </c>
      <c r="E141" s="224"/>
      <c r="F141" s="219"/>
      <c r="G141" s="219">
        <v>0</v>
      </c>
      <c r="H141" s="7" t="s">
        <v>27</v>
      </c>
      <c r="I141" s="220" t="s">
        <v>27</v>
      </c>
      <c r="J141" s="145"/>
      <c r="K141" s="221"/>
      <c r="L141" s="248"/>
      <c r="M141" s="7"/>
      <c r="N141" s="229">
        <f>SUM(K141:K144)+SUM(L141:L144)*TC</f>
        <v>39311.684435000003</v>
      </c>
    </row>
    <row r="142" spans="3:14" ht="22.5" outlineLevel="1">
      <c r="C142" s="646" t="s">
        <v>1236</v>
      </c>
      <c r="D142" s="45" t="s">
        <v>1237</v>
      </c>
      <c r="E142" s="218" t="s">
        <v>973</v>
      </c>
      <c r="F142" s="219">
        <v>51.52</v>
      </c>
      <c r="G142" s="219">
        <v>51.52</v>
      </c>
      <c r="H142" s="7">
        <v>514.67999999999995</v>
      </c>
      <c r="I142" s="220">
        <v>0</v>
      </c>
      <c r="J142" s="145">
        <f>+ROUND(H142+I142*TC,2)</f>
        <v>514.67999999999995</v>
      </c>
      <c r="K142" s="221">
        <f t="shared" si="40"/>
        <v>26516.313599999998</v>
      </c>
      <c r="L142" s="248">
        <f t="shared" si="41"/>
        <v>0</v>
      </c>
      <c r="M142" s="7">
        <f t="shared" si="42"/>
        <v>26516.31</v>
      </c>
      <c r="N142" s="228"/>
    </row>
    <row r="143" spans="3:14" outlineLevel="1">
      <c r="C143" s="646" t="s">
        <v>1238</v>
      </c>
      <c r="D143" s="45" t="s">
        <v>1120</v>
      </c>
      <c r="E143" s="218" t="s">
        <v>118</v>
      </c>
      <c r="F143" s="219">
        <v>2940.6944000000003</v>
      </c>
      <c r="G143" s="219">
        <v>2940.69</v>
      </c>
      <c r="H143" s="7">
        <v>1.24</v>
      </c>
      <c r="I143" s="220">
        <v>0.89</v>
      </c>
      <c r="J143" s="145">
        <f>+ROUND(H143+I143*TC,2)</f>
        <v>4.22</v>
      </c>
      <c r="K143" s="221">
        <f t="shared" si="40"/>
        <v>3646.4556000000002</v>
      </c>
      <c r="L143" s="248">
        <f t="shared" si="41"/>
        <v>2617.2141000000001</v>
      </c>
      <c r="M143" s="7">
        <f t="shared" si="42"/>
        <v>12414.12</v>
      </c>
      <c r="N143" s="228"/>
    </row>
    <row r="144" spans="3:14" outlineLevel="1">
      <c r="C144" s="646" t="s">
        <v>1239</v>
      </c>
      <c r="D144" s="230" t="s">
        <v>1122</v>
      </c>
      <c r="E144" s="218" t="s">
        <v>82</v>
      </c>
      <c r="F144" s="219">
        <v>257.59841326986651</v>
      </c>
      <c r="G144" s="219">
        <v>257.60000000000002</v>
      </c>
      <c r="H144" s="7">
        <v>1.48</v>
      </c>
      <c r="I144" s="220">
        <v>0</v>
      </c>
      <c r="J144" s="145">
        <f>+ROUND(H144+I144*TC,2)</f>
        <v>1.48</v>
      </c>
      <c r="K144" s="221">
        <f t="shared" si="40"/>
        <v>381.24800000000005</v>
      </c>
      <c r="L144" s="248">
        <f t="shared" si="41"/>
        <v>0</v>
      </c>
      <c r="M144" s="7">
        <f t="shared" si="42"/>
        <v>381.25</v>
      </c>
      <c r="N144" s="228"/>
    </row>
    <row r="145" spans="3:14" outlineLevel="1">
      <c r="C145" s="644" t="s">
        <v>1205</v>
      </c>
      <c r="D145" s="645" t="s">
        <v>1240</v>
      </c>
      <c r="E145" s="224"/>
      <c r="F145" s="219"/>
      <c r="G145" s="219">
        <v>0</v>
      </c>
      <c r="H145" s="7" t="s">
        <v>27</v>
      </c>
      <c r="I145" s="220" t="s">
        <v>27</v>
      </c>
      <c r="J145" s="145"/>
      <c r="K145" s="221"/>
      <c r="L145" s="248"/>
      <c r="M145" s="7"/>
      <c r="N145" s="229">
        <f>SUM(K145:K149)+SUM(L145:L149)*TC</f>
        <v>10905.234799999998</v>
      </c>
    </row>
    <row r="146" spans="3:14" ht="22.5" outlineLevel="1">
      <c r="C146" s="646" t="s">
        <v>1207</v>
      </c>
      <c r="D146" s="45" t="s">
        <v>1208</v>
      </c>
      <c r="E146" s="218" t="s">
        <v>973</v>
      </c>
      <c r="F146" s="219">
        <v>17.794800000000002</v>
      </c>
      <c r="G146" s="219">
        <v>17.79</v>
      </c>
      <c r="H146" s="7">
        <v>420.28</v>
      </c>
      <c r="I146" s="220">
        <v>0</v>
      </c>
      <c r="J146" s="145">
        <f t="shared" ref="J146:J149" si="54">+ROUND(H146+I146*TC,2)</f>
        <v>420.28</v>
      </c>
      <c r="K146" s="221">
        <f t="shared" ref="K146:K149" si="55">H146*G146</f>
        <v>7476.7811999999994</v>
      </c>
      <c r="L146" s="248">
        <f t="shared" ref="L146:L149" si="56">I146*G146</f>
        <v>0</v>
      </c>
      <c r="M146" s="7">
        <f t="shared" ref="M146:M149" si="57">+ROUND(K146+L146*TC,2)</f>
        <v>7476.78</v>
      </c>
      <c r="N146" s="228"/>
    </row>
    <row r="147" spans="3:14" outlineLevel="1">
      <c r="C147" s="646" t="s">
        <v>1209</v>
      </c>
      <c r="D147" s="647" t="s">
        <v>1210</v>
      </c>
      <c r="E147" s="218" t="s">
        <v>82</v>
      </c>
      <c r="F147" s="219">
        <v>68.963999999999999</v>
      </c>
      <c r="G147" s="219">
        <v>68.959999999999994</v>
      </c>
      <c r="H147" s="7">
        <v>47.6</v>
      </c>
      <c r="I147" s="220">
        <v>0</v>
      </c>
      <c r="J147" s="145">
        <f t="shared" si="54"/>
        <v>47.6</v>
      </c>
      <c r="K147" s="221">
        <f t="shared" si="55"/>
        <v>3282.4959999999996</v>
      </c>
      <c r="L147" s="248">
        <f t="shared" si="56"/>
        <v>0</v>
      </c>
      <c r="M147" s="7">
        <f t="shared" si="57"/>
        <v>3282.5</v>
      </c>
      <c r="N147" s="228"/>
    </row>
    <row r="148" spans="3:14" outlineLevel="1">
      <c r="C148" s="646" t="s">
        <v>1211</v>
      </c>
      <c r="D148" s="45" t="s">
        <v>1120</v>
      </c>
      <c r="E148" s="218" t="s">
        <v>118</v>
      </c>
      <c r="F148" s="219"/>
      <c r="G148" s="219">
        <v>0</v>
      </c>
      <c r="H148" s="7">
        <v>1.24</v>
      </c>
      <c r="I148" s="220">
        <v>0.89</v>
      </c>
      <c r="J148" s="145">
        <f t="shared" si="54"/>
        <v>4.22</v>
      </c>
      <c r="K148" s="221">
        <f t="shared" si="55"/>
        <v>0</v>
      </c>
      <c r="L148" s="248">
        <f t="shared" si="56"/>
        <v>0</v>
      </c>
      <c r="M148" s="7">
        <f t="shared" si="57"/>
        <v>0</v>
      </c>
      <c r="N148" s="228"/>
    </row>
    <row r="149" spans="3:14" outlineLevel="1">
      <c r="C149" s="646" t="s">
        <v>1212</v>
      </c>
      <c r="D149" s="230" t="s">
        <v>1122</v>
      </c>
      <c r="E149" s="218" t="s">
        <v>82</v>
      </c>
      <c r="F149" s="219">
        <v>98.622</v>
      </c>
      <c r="G149" s="219">
        <v>98.62</v>
      </c>
      <c r="H149" s="7">
        <v>1.48</v>
      </c>
      <c r="I149" s="220">
        <v>0</v>
      </c>
      <c r="J149" s="145">
        <f t="shared" si="54"/>
        <v>1.48</v>
      </c>
      <c r="K149" s="221">
        <f t="shared" si="55"/>
        <v>145.95760000000001</v>
      </c>
      <c r="L149" s="248">
        <f t="shared" si="56"/>
        <v>0</v>
      </c>
      <c r="M149" s="7">
        <f t="shared" si="57"/>
        <v>145.96</v>
      </c>
      <c r="N149" s="228"/>
    </row>
    <row r="150" spans="3:14" outlineLevel="1">
      <c r="C150" s="644" t="s">
        <v>1241</v>
      </c>
      <c r="D150" s="645" t="s">
        <v>1242</v>
      </c>
      <c r="E150" s="224"/>
      <c r="F150" s="219"/>
      <c r="G150" s="219">
        <v>0</v>
      </c>
      <c r="H150" s="7" t="s">
        <v>27</v>
      </c>
      <c r="I150" s="220" t="s">
        <v>27</v>
      </c>
      <c r="J150" s="145"/>
      <c r="K150" s="221"/>
      <c r="L150" s="248"/>
      <c r="M150" s="7"/>
      <c r="N150" s="229">
        <f>SUM(K150:K160)+SUM(L150:L160)*TC</f>
        <v>251347.00366500003</v>
      </c>
    </row>
    <row r="151" spans="3:14" ht="22.5" outlineLevel="1">
      <c r="C151" s="646" t="s">
        <v>1243</v>
      </c>
      <c r="D151" s="45" t="s">
        <v>1244</v>
      </c>
      <c r="E151" s="218" t="s">
        <v>973</v>
      </c>
      <c r="F151" s="219">
        <v>128.62215999999995</v>
      </c>
      <c r="G151" s="219">
        <v>128.62</v>
      </c>
      <c r="H151" s="7">
        <v>467.72</v>
      </c>
      <c r="I151" s="220">
        <v>0</v>
      </c>
      <c r="J151" s="145">
        <f t="shared" ref="J151:J160" si="58">+ROUND(H151+I151*TC,2)</f>
        <v>467.72</v>
      </c>
      <c r="K151" s="221">
        <f t="shared" si="40"/>
        <v>60158.146400000005</v>
      </c>
      <c r="L151" s="248">
        <f t="shared" si="41"/>
        <v>0</v>
      </c>
      <c r="M151" s="7">
        <f t="shared" si="42"/>
        <v>60158.15</v>
      </c>
      <c r="N151" s="228"/>
    </row>
    <row r="152" spans="3:14" ht="22.5" outlineLevel="1">
      <c r="C152" s="646" t="s">
        <v>1245</v>
      </c>
      <c r="D152" s="45" t="s">
        <v>1246</v>
      </c>
      <c r="E152" s="218" t="s">
        <v>973</v>
      </c>
      <c r="F152" s="219">
        <v>23.115400000000001</v>
      </c>
      <c r="G152" s="219">
        <v>23.12</v>
      </c>
      <c r="H152" s="7">
        <v>488.14</v>
      </c>
      <c r="I152" s="220">
        <v>0</v>
      </c>
      <c r="J152" s="145">
        <f t="shared" si="58"/>
        <v>488.14</v>
      </c>
      <c r="K152" s="221">
        <f t="shared" si="40"/>
        <v>11285.7968</v>
      </c>
      <c r="L152" s="248">
        <f t="shared" si="41"/>
        <v>0</v>
      </c>
      <c r="M152" s="7">
        <f t="shared" si="42"/>
        <v>11285.8</v>
      </c>
      <c r="N152" s="228"/>
    </row>
    <row r="153" spans="3:14" ht="22.5" outlineLevel="1">
      <c r="C153" s="646" t="s">
        <v>1223</v>
      </c>
      <c r="D153" s="45" t="s">
        <v>1247</v>
      </c>
      <c r="E153" s="218" t="s">
        <v>973</v>
      </c>
      <c r="F153" s="219">
        <v>23.537199999999999</v>
      </c>
      <c r="G153" s="219">
        <v>23.54</v>
      </c>
      <c r="H153" s="7">
        <v>489.39</v>
      </c>
      <c r="I153" s="220">
        <v>0</v>
      </c>
      <c r="J153" s="145">
        <f t="shared" si="58"/>
        <v>489.39</v>
      </c>
      <c r="K153" s="221">
        <f t="shared" si="40"/>
        <v>11520.240599999999</v>
      </c>
      <c r="L153" s="248">
        <f t="shared" si="41"/>
        <v>0</v>
      </c>
      <c r="M153" s="7">
        <f t="shared" si="42"/>
        <v>11520.24</v>
      </c>
      <c r="N153" s="228"/>
    </row>
    <row r="154" spans="3:14" ht="22.5" outlineLevel="1">
      <c r="C154" s="646" t="s">
        <v>1248</v>
      </c>
      <c r="D154" s="648" t="s">
        <v>1249</v>
      </c>
      <c r="E154" s="218" t="s">
        <v>973</v>
      </c>
      <c r="F154" s="219"/>
      <c r="G154" s="219">
        <v>0</v>
      </c>
      <c r="H154" s="7">
        <v>0</v>
      </c>
      <c r="I154" s="220">
        <v>0</v>
      </c>
      <c r="J154" s="145">
        <f t="shared" si="58"/>
        <v>0</v>
      </c>
      <c r="K154" s="221">
        <f t="shared" si="40"/>
        <v>0</v>
      </c>
      <c r="L154" s="248">
        <f t="shared" si="41"/>
        <v>0</v>
      </c>
      <c r="M154" s="7">
        <f t="shared" si="42"/>
        <v>0</v>
      </c>
      <c r="N154" s="228"/>
    </row>
    <row r="155" spans="3:14" outlineLevel="1">
      <c r="C155" s="646" t="s">
        <v>1250</v>
      </c>
      <c r="D155" s="45" t="s">
        <v>1251</v>
      </c>
      <c r="E155" s="218" t="s">
        <v>82</v>
      </c>
      <c r="F155" s="219">
        <v>511.25319999999982</v>
      </c>
      <c r="G155" s="219">
        <v>511.25</v>
      </c>
      <c r="H155" s="7">
        <v>61.03</v>
      </c>
      <c r="I155" s="220">
        <v>0</v>
      </c>
      <c r="J155" s="145">
        <f t="shared" si="58"/>
        <v>61.03</v>
      </c>
      <c r="K155" s="221">
        <f t="shared" si="40"/>
        <v>31201.587500000001</v>
      </c>
      <c r="L155" s="248">
        <f t="shared" si="41"/>
        <v>0</v>
      </c>
      <c r="M155" s="7">
        <f t="shared" si="42"/>
        <v>31201.59</v>
      </c>
      <c r="N155" s="228"/>
    </row>
    <row r="156" spans="3:14" outlineLevel="1">
      <c r="C156" s="646" t="s">
        <v>1252</v>
      </c>
      <c r="D156" s="45" t="s">
        <v>1253</v>
      </c>
      <c r="E156" s="218" t="s">
        <v>82</v>
      </c>
      <c r="F156" s="219">
        <v>532.0745999999998</v>
      </c>
      <c r="G156" s="219">
        <v>532.07000000000005</v>
      </c>
      <c r="H156" s="7">
        <v>61.03</v>
      </c>
      <c r="I156" s="220">
        <v>0</v>
      </c>
      <c r="J156" s="145">
        <f t="shared" si="58"/>
        <v>61.03</v>
      </c>
      <c r="K156" s="221">
        <f t="shared" si="40"/>
        <v>32472.232100000005</v>
      </c>
      <c r="L156" s="248">
        <f t="shared" si="41"/>
        <v>0</v>
      </c>
      <c r="M156" s="7">
        <f t="shared" si="42"/>
        <v>32472.23</v>
      </c>
      <c r="N156" s="228"/>
    </row>
    <row r="157" spans="3:14" outlineLevel="1">
      <c r="C157" s="646" t="s">
        <v>1254</v>
      </c>
      <c r="D157" s="45" t="s">
        <v>1120</v>
      </c>
      <c r="E157" s="218" t="s">
        <v>118</v>
      </c>
      <c r="F157" s="219">
        <v>23650.511300663173</v>
      </c>
      <c r="G157" s="219">
        <v>23650.51</v>
      </c>
      <c r="H157" s="7">
        <v>1.24</v>
      </c>
      <c r="I157" s="220">
        <v>0.89</v>
      </c>
      <c r="J157" s="145">
        <f t="shared" si="58"/>
        <v>4.22</v>
      </c>
      <c r="K157" s="221">
        <f t="shared" si="40"/>
        <v>29326.632399999999</v>
      </c>
      <c r="L157" s="248">
        <f t="shared" si="41"/>
        <v>21048.9539</v>
      </c>
      <c r="M157" s="7">
        <f t="shared" si="42"/>
        <v>99840.63</v>
      </c>
      <c r="N157" s="228"/>
    </row>
    <row r="158" spans="3:14" outlineLevel="1">
      <c r="C158" s="646" t="s">
        <v>1255</v>
      </c>
      <c r="D158" s="230" t="s">
        <v>1122</v>
      </c>
      <c r="E158" s="218" t="s">
        <v>82</v>
      </c>
      <c r="F158" s="219">
        <v>1043.3277999999996</v>
      </c>
      <c r="G158" s="219">
        <v>1043.33</v>
      </c>
      <c r="H158" s="7">
        <v>1.48</v>
      </c>
      <c r="I158" s="220">
        <v>0</v>
      </c>
      <c r="J158" s="145">
        <f t="shared" si="58"/>
        <v>1.48</v>
      </c>
      <c r="K158" s="221">
        <f t="shared" si="40"/>
        <v>1544.1283999999998</v>
      </c>
      <c r="L158" s="248">
        <f t="shared" si="41"/>
        <v>0</v>
      </c>
      <c r="M158" s="7">
        <f t="shared" si="42"/>
        <v>1544.13</v>
      </c>
      <c r="N158" s="228"/>
    </row>
    <row r="159" spans="3:14" outlineLevel="1">
      <c r="C159" s="646" t="s">
        <v>1256</v>
      </c>
      <c r="D159" s="647" t="s">
        <v>1257</v>
      </c>
      <c r="E159" s="218" t="s">
        <v>141</v>
      </c>
      <c r="F159" s="219">
        <v>107.13</v>
      </c>
      <c r="G159" s="219">
        <v>107.13</v>
      </c>
      <c r="H159" s="7">
        <v>31.03</v>
      </c>
      <c r="I159" s="220">
        <v>0</v>
      </c>
      <c r="J159" s="145">
        <f t="shared" si="58"/>
        <v>31.03</v>
      </c>
      <c r="K159" s="221">
        <f t="shared" si="40"/>
        <v>3324.2438999999999</v>
      </c>
      <c r="L159" s="248">
        <f t="shared" si="41"/>
        <v>0</v>
      </c>
      <c r="M159" s="7">
        <f t="shared" si="42"/>
        <v>3324.24</v>
      </c>
      <c r="N159" s="228"/>
    </row>
    <row r="160" spans="3:14" outlineLevel="1">
      <c r="C160" s="646" t="s">
        <v>1258</v>
      </c>
      <c r="D160" s="647" t="s">
        <v>1259</v>
      </c>
      <c r="E160" s="218" t="s">
        <v>121</v>
      </c>
      <c r="F160" s="219"/>
      <c r="G160" s="219">
        <v>0</v>
      </c>
      <c r="H160" s="7">
        <v>0</v>
      </c>
      <c r="I160" s="220">
        <v>0</v>
      </c>
      <c r="J160" s="145">
        <f t="shared" si="58"/>
        <v>0</v>
      </c>
      <c r="K160" s="221">
        <f t="shared" si="40"/>
        <v>0</v>
      </c>
      <c r="L160" s="248">
        <f t="shared" si="41"/>
        <v>0</v>
      </c>
      <c r="M160" s="7">
        <f t="shared" si="42"/>
        <v>0</v>
      </c>
      <c r="N160" s="228"/>
    </row>
    <row r="161" spans="3:14" outlineLevel="1">
      <c r="C161" s="644" t="s">
        <v>1260</v>
      </c>
      <c r="D161" s="645" t="s">
        <v>1261</v>
      </c>
      <c r="E161" s="224"/>
      <c r="F161" s="219"/>
      <c r="G161" s="219">
        <v>0</v>
      </c>
      <c r="H161" s="7" t="s">
        <v>27</v>
      </c>
      <c r="I161" s="220" t="s">
        <v>27</v>
      </c>
      <c r="J161" s="145"/>
      <c r="K161" s="221"/>
      <c r="L161" s="248"/>
      <c r="M161" s="7"/>
      <c r="N161" s="229">
        <f>SUM(K161:K165)+SUM(L161:L165)*TC</f>
        <v>3192.5543949999997</v>
      </c>
    </row>
    <row r="162" spans="3:14" ht="22.5" outlineLevel="1">
      <c r="C162" s="646" t="s">
        <v>1262</v>
      </c>
      <c r="D162" s="648" t="s">
        <v>1263</v>
      </c>
      <c r="E162" s="218" t="s">
        <v>973</v>
      </c>
      <c r="F162" s="219">
        <v>2.0976499999999998</v>
      </c>
      <c r="G162" s="219">
        <v>2.1</v>
      </c>
      <c r="H162" s="7">
        <v>467.72</v>
      </c>
      <c r="I162" s="220">
        <v>0</v>
      </c>
      <c r="J162" s="145">
        <f>+ROUND(H162+I162*TC,2)</f>
        <v>467.72</v>
      </c>
      <c r="K162" s="221">
        <f t="shared" si="40"/>
        <v>982.2120000000001</v>
      </c>
      <c r="L162" s="248">
        <f t="shared" si="41"/>
        <v>0</v>
      </c>
      <c r="M162" s="7">
        <f t="shared" si="42"/>
        <v>982.21</v>
      </c>
      <c r="N162" s="228"/>
    </row>
    <row r="163" spans="3:14" outlineLevel="1">
      <c r="C163" s="646" t="s">
        <v>1264</v>
      </c>
      <c r="D163" s="647" t="s">
        <v>1265</v>
      </c>
      <c r="E163" s="218" t="s">
        <v>82</v>
      </c>
      <c r="F163" s="219">
        <v>23.061999999999998</v>
      </c>
      <c r="G163" s="219">
        <v>23.06</v>
      </c>
      <c r="H163" s="7">
        <v>61.03</v>
      </c>
      <c r="I163" s="220">
        <v>0</v>
      </c>
      <c r="J163" s="145">
        <f>+ROUND(H163+I163*TC,2)</f>
        <v>61.03</v>
      </c>
      <c r="K163" s="221">
        <f t="shared" si="40"/>
        <v>1407.3517999999999</v>
      </c>
      <c r="L163" s="248">
        <f t="shared" si="41"/>
        <v>0</v>
      </c>
      <c r="M163" s="7">
        <f t="shared" si="42"/>
        <v>1407.35</v>
      </c>
      <c r="N163" s="228"/>
    </row>
    <row r="164" spans="3:14" outlineLevel="1">
      <c r="C164" s="646" t="s">
        <v>1266</v>
      </c>
      <c r="D164" s="45" t="s">
        <v>1120</v>
      </c>
      <c r="E164" s="218" t="s">
        <v>118</v>
      </c>
      <c r="F164" s="219">
        <v>182.12844000000001</v>
      </c>
      <c r="G164" s="219">
        <v>182.13</v>
      </c>
      <c r="H164" s="7">
        <v>1.24</v>
      </c>
      <c r="I164" s="220">
        <v>0.89</v>
      </c>
      <c r="J164" s="145">
        <f>+ROUND(H164+I164*TC,2)</f>
        <v>4.22</v>
      </c>
      <c r="K164" s="221">
        <f t="shared" si="40"/>
        <v>225.84119999999999</v>
      </c>
      <c r="L164" s="248">
        <f t="shared" si="41"/>
        <v>162.09569999999999</v>
      </c>
      <c r="M164" s="7">
        <f t="shared" si="42"/>
        <v>768.86</v>
      </c>
      <c r="N164" s="228"/>
    </row>
    <row r="165" spans="3:14" outlineLevel="1">
      <c r="C165" s="646" t="s">
        <v>1267</v>
      </c>
      <c r="D165" s="230" t="s">
        <v>1122</v>
      </c>
      <c r="E165" s="218" t="s">
        <v>82</v>
      </c>
      <c r="F165" s="219">
        <v>23.061999999999998</v>
      </c>
      <c r="G165" s="219">
        <v>23.06</v>
      </c>
      <c r="H165" s="7">
        <v>1.48</v>
      </c>
      <c r="I165" s="220">
        <v>0</v>
      </c>
      <c r="J165" s="145">
        <f>+ROUND(H165+I165*TC,2)</f>
        <v>1.48</v>
      </c>
      <c r="K165" s="221">
        <f t="shared" si="40"/>
        <v>34.128799999999998</v>
      </c>
      <c r="L165" s="248">
        <f t="shared" si="41"/>
        <v>0</v>
      </c>
      <c r="M165" s="7">
        <f t="shared" si="42"/>
        <v>34.130000000000003</v>
      </c>
      <c r="N165" s="228"/>
    </row>
    <row r="166" spans="3:14" outlineLevel="1">
      <c r="C166" s="644" t="s">
        <v>1268</v>
      </c>
      <c r="D166" s="645" t="s">
        <v>1269</v>
      </c>
      <c r="E166" s="224"/>
      <c r="F166" s="219"/>
      <c r="G166" s="219">
        <v>0</v>
      </c>
      <c r="H166" s="7" t="s">
        <v>27</v>
      </c>
      <c r="I166" s="220" t="s">
        <v>27</v>
      </c>
      <c r="J166" s="145"/>
      <c r="K166" s="221"/>
      <c r="L166" s="248"/>
      <c r="M166" s="7"/>
      <c r="N166" s="229">
        <f>SUM(K166:K173)+SUM(L166:L173)*TC</f>
        <v>61343.202455000006</v>
      </c>
    </row>
    <row r="167" spans="3:14" outlineLevel="1">
      <c r="C167" s="646" t="s">
        <v>1270</v>
      </c>
      <c r="D167" s="45" t="s">
        <v>1271</v>
      </c>
      <c r="E167" s="218" t="s">
        <v>973</v>
      </c>
      <c r="F167" s="219">
        <v>23.635229999999993</v>
      </c>
      <c r="G167" s="219">
        <v>23.64</v>
      </c>
      <c r="H167" s="7">
        <v>380.32</v>
      </c>
      <c r="I167" s="220">
        <v>0</v>
      </c>
      <c r="J167" s="145">
        <f t="shared" ref="J167:J173" si="59">+ROUND(H167+I167*TC,2)</f>
        <v>380.32</v>
      </c>
      <c r="K167" s="221">
        <f t="shared" si="40"/>
        <v>8990.7648000000008</v>
      </c>
      <c r="L167" s="248">
        <f t="shared" si="41"/>
        <v>0</v>
      </c>
      <c r="M167" s="7">
        <f t="shared" si="42"/>
        <v>8990.76</v>
      </c>
      <c r="N167" s="228"/>
    </row>
    <row r="168" spans="3:14" outlineLevel="1">
      <c r="C168" s="646" t="s">
        <v>1270</v>
      </c>
      <c r="D168" s="45" t="s">
        <v>1272</v>
      </c>
      <c r="E168" s="218" t="s">
        <v>973</v>
      </c>
      <c r="F168" s="219">
        <v>26.926454999999994</v>
      </c>
      <c r="G168" s="219">
        <v>26.93</v>
      </c>
      <c r="H168" s="7">
        <v>408.72</v>
      </c>
      <c r="I168" s="220">
        <v>0</v>
      </c>
      <c r="J168" s="145">
        <f t="shared" ref="J168" si="60">+ROUND(H168+I168*TC,2)</f>
        <v>408.72</v>
      </c>
      <c r="K168" s="221">
        <f t="shared" ref="K168" si="61">H168*G168</f>
        <v>11006.829600000001</v>
      </c>
      <c r="L168" s="248">
        <f t="shared" ref="L168" si="62">I168*G168</f>
        <v>0</v>
      </c>
      <c r="M168" s="7">
        <f t="shared" ref="M168" si="63">+ROUND(K168+L168*TC,2)</f>
        <v>11006.83</v>
      </c>
      <c r="N168" s="228"/>
    </row>
    <row r="169" spans="3:14" outlineLevel="1">
      <c r="C169" s="646" t="s">
        <v>1270</v>
      </c>
      <c r="D169" s="45" t="s">
        <v>1273</v>
      </c>
      <c r="E169" s="218" t="s">
        <v>973</v>
      </c>
      <c r="F169" s="219"/>
      <c r="G169" s="219">
        <v>0</v>
      </c>
      <c r="H169" s="7">
        <v>463.86</v>
      </c>
      <c r="I169" s="220">
        <v>0</v>
      </c>
      <c r="J169" s="145">
        <f t="shared" si="59"/>
        <v>463.86</v>
      </c>
      <c r="K169" s="221">
        <f t="shared" ref="K169:K241" si="64">H169*G169</f>
        <v>0</v>
      </c>
      <c r="L169" s="248">
        <f t="shared" ref="L169:L241" si="65">I169*G169</f>
        <v>0</v>
      </c>
      <c r="M169" s="7">
        <f t="shared" ref="M169:M241" si="66">+ROUND(K169+L169*TC,2)</f>
        <v>0</v>
      </c>
      <c r="N169" s="228"/>
    </row>
    <row r="170" spans="3:14" outlineLevel="1">
      <c r="C170" s="646" t="s">
        <v>1274</v>
      </c>
      <c r="D170" s="45" t="s">
        <v>1275</v>
      </c>
      <c r="E170" s="218" t="s">
        <v>82</v>
      </c>
      <c r="F170" s="219">
        <v>450.02709999999985</v>
      </c>
      <c r="G170" s="219">
        <v>450.03</v>
      </c>
      <c r="H170" s="7">
        <v>50.38</v>
      </c>
      <c r="I170" s="220">
        <v>0</v>
      </c>
      <c r="J170" s="145">
        <f t="shared" si="59"/>
        <v>50.38</v>
      </c>
      <c r="K170" s="221">
        <f t="shared" si="64"/>
        <v>22672.511399999999</v>
      </c>
      <c r="L170" s="248">
        <f t="shared" si="65"/>
        <v>0</v>
      </c>
      <c r="M170" s="7">
        <f t="shared" si="66"/>
        <v>22672.51</v>
      </c>
      <c r="N170" s="228"/>
    </row>
    <row r="171" spans="3:14" outlineLevel="1">
      <c r="C171" s="646" t="s">
        <v>1276</v>
      </c>
      <c r="D171" s="45" t="s">
        <v>1277</v>
      </c>
      <c r="E171" s="218" t="s">
        <v>82</v>
      </c>
      <c r="F171" s="219">
        <v>71.224999999999994</v>
      </c>
      <c r="G171" s="219">
        <v>71.23</v>
      </c>
      <c r="H171" s="7">
        <v>60.63</v>
      </c>
      <c r="I171" s="220">
        <v>0</v>
      </c>
      <c r="J171" s="145">
        <f t="shared" si="59"/>
        <v>60.63</v>
      </c>
      <c r="K171" s="221">
        <f t="shared" si="64"/>
        <v>4318.6749</v>
      </c>
      <c r="L171" s="248">
        <f t="shared" si="65"/>
        <v>0</v>
      </c>
      <c r="M171" s="7">
        <f t="shared" si="66"/>
        <v>4318.67</v>
      </c>
      <c r="N171" s="228"/>
    </row>
    <row r="172" spans="3:14" outlineLevel="1">
      <c r="C172" s="646" t="s">
        <v>1278</v>
      </c>
      <c r="D172" s="45" t="s">
        <v>1120</v>
      </c>
      <c r="E172" s="218" t="s">
        <v>118</v>
      </c>
      <c r="F172" s="219">
        <v>3217.5695999999998</v>
      </c>
      <c r="G172" s="219">
        <v>3217.57</v>
      </c>
      <c r="H172" s="7">
        <v>1.24</v>
      </c>
      <c r="I172" s="220">
        <v>0.89</v>
      </c>
      <c r="J172" s="145">
        <f t="shared" si="59"/>
        <v>4.22</v>
      </c>
      <c r="K172" s="221">
        <f t="shared" si="64"/>
        <v>3989.7868000000003</v>
      </c>
      <c r="L172" s="248">
        <f t="shared" si="65"/>
        <v>2863.6373000000003</v>
      </c>
      <c r="M172" s="7">
        <f t="shared" si="66"/>
        <v>13582.97</v>
      </c>
      <c r="N172" s="228"/>
    </row>
    <row r="173" spans="3:14" outlineLevel="1">
      <c r="C173" s="646" t="s">
        <v>1279</v>
      </c>
      <c r="D173" s="230" t="s">
        <v>1122</v>
      </c>
      <c r="E173" s="218" t="s">
        <v>82</v>
      </c>
      <c r="F173" s="219">
        <v>521.25209999999981</v>
      </c>
      <c r="G173" s="219">
        <v>521.25</v>
      </c>
      <c r="H173" s="7">
        <v>1.48</v>
      </c>
      <c r="I173" s="220">
        <v>0</v>
      </c>
      <c r="J173" s="145">
        <f t="shared" si="59"/>
        <v>1.48</v>
      </c>
      <c r="K173" s="221">
        <f t="shared" si="64"/>
        <v>771.45</v>
      </c>
      <c r="L173" s="248">
        <f t="shared" si="65"/>
        <v>0</v>
      </c>
      <c r="M173" s="7">
        <f t="shared" si="66"/>
        <v>771.45</v>
      </c>
      <c r="N173" s="228"/>
    </row>
    <row r="174" spans="3:14" outlineLevel="1">
      <c r="C174" s="644" t="s">
        <v>1280</v>
      </c>
      <c r="D174" s="645" t="s">
        <v>1281</v>
      </c>
      <c r="E174" s="224"/>
      <c r="F174" s="219"/>
      <c r="G174" s="219">
        <v>0</v>
      </c>
      <c r="H174" s="7" t="s">
        <v>27</v>
      </c>
      <c r="I174" s="220" t="s">
        <v>27</v>
      </c>
      <c r="J174" s="145"/>
      <c r="K174" s="221"/>
      <c r="L174" s="248"/>
      <c r="M174" s="7"/>
      <c r="N174" s="229">
        <f>SUM(K174:K184)+SUM(L174:L184)*TC</f>
        <v>470663.37120499997</v>
      </c>
    </row>
    <row r="175" spans="3:14" ht="22.5" outlineLevel="1">
      <c r="C175" s="646" t="s">
        <v>1282</v>
      </c>
      <c r="D175" s="647" t="s">
        <v>1283</v>
      </c>
      <c r="E175" s="218" t="s">
        <v>973</v>
      </c>
      <c r="F175" s="219"/>
      <c r="G175" s="219">
        <v>0</v>
      </c>
      <c r="H175" s="7">
        <v>0</v>
      </c>
      <c r="I175" s="220">
        <v>0</v>
      </c>
      <c r="J175" s="145">
        <f t="shared" ref="J175:J184" si="67">+ROUND(H175+I175*TC,2)</f>
        <v>0</v>
      </c>
      <c r="K175" s="221">
        <f t="shared" si="64"/>
        <v>0</v>
      </c>
      <c r="L175" s="248">
        <f t="shared" si="65"/>
        <v>0</v>
      </c>
      <c r="M175" s="7">
        <f t="shared" si="66"/>
        <v>0</v>
      </c>
      <c r="N175" s="228"/>
    </row>
    <row r="176" spans="3:14" ht="22.5" outlineLevel="1">
      <c r="C176" s="646" t="s">
        <v>1284</v>
      </c>
      <c r="D176" s="647" t="s">
        <v>1285</v>
      </c>
      <c r="E176" s="218" t="s">
        <v>973</v>
      </c>
      <c r="F176" s="219"/>
      <c r="G176" s="219">
        <v>0</v>
      </c>
      <c r="H176" s="7">
        <v>0</v>
      </c>
      <c r="I176" s="220">
        <v>0</v>
      </c>
      <c r="J176" s="145">
        <f t="shared" si="67"/>
        <v>0</v>
      </c>
      <c r="K176" s="221">
        <f t="shared" si="64"/>
        <v>0</v>
      </c>
      <c r="L176" s="248">
        <f t="shared" si="65"/>
        <v>0</v>
      </c>
      <c r="M176" s="7">
        <f t="shared" si="66"/>
        <v>0</v>
      </c>
      <c r="N176" s="228"/>
    </row>
    <row r="177" spans="3:14" outlineLevel="1">
      <c r="C177" s="646" t="s">
        <v>1286</v>
      </c>
      <c r="D177" s="45" t="s">
        <v>1287</v>
      </c>
      <c r="E177" s="218" t="s">
        <v>973</v>
      </c>
      <c r="F177" s="219">
        <v>125.62609999999999</v>
      </c>
      <c r="G177" s="219">
        <v>125.63</v>
      </c>
      <c r="H177" s="7">
        <v>447.61</v>
      </c>
      <c r="I177" s="220">
        <v>0</v>
      </c>
      <c r="J177" s="145">
        <f t="shared" si="67"/>
        <v>447.61</v>
      </c>
      <c r="K177" s="221">
        <f t="shared" si="64"/>
        <v>56233.244299999998</v>
      </c>
      <c r="L177" s="248">
        <f t="shared" si="65"/>
        <v>0</v>
      </c>
      <c r="M177" s="7">
        <f t="shared" si="66"/>
        <v>56233.24</v>
      </c>
      <c r="N177" s="228"/>
    </row>
    <row r="178" spans="3:14" outlineLevel="1">
      <c r="C178" s="646" t="s">
        <v>1288</v>
      </c>
      <c r="D178" s="45" t="s">
        <v>1273</v>
      </c>
      <c r="E178" s="218" t="s">
        <v>973</v>
      </c>
      <c r="F178" s="219">
        <v>218.66119999999992</v>
      </c>
      <c r="G178" s="219">
        <v>218.66</v>
      </c>
      <c r="H178" s="7">
        <v>463.86</v>
      </c>
      <c r="I178" s="220">
        <v>0</v>
      </c>
      <c r="J178" s="145">
        <f t="shared" si="67"/>
        <v>463.86</v>
      </c>
      <c r="K178" s="221">
        <f t="shared" si="64"/>
        <v>101427.62760000001</v>
      </c>
      <c r="L178" s="248">
        <f t="shared" si="65"/>
        <v>0</v>
      </c>
      <c r="M178" s="7">
        <f t="shared" si="66"/>
        <v>101427.63</v>
      </c>
      <c r="N178" s="228"/>
    </row>
    <row r="179" spans="3:14" ht="22.5" outlineLevel="1">
      <c r="C179" s="646" t="s">
        <v>1289</v>
      </c>
      <c r="D179" s="647" t="s">
        <v>1290</v>
      </c>
      <c r="E179" s="218" t="s">
        <v>973</v>
      </c>
      <c r="F179" s="219">
        <v>0</v>
      </c>
      <c r="G179" s="219">
        <v>0</v>
      </c>
      <c r="H179" s="7">
        <v>0</v>
      </c>
      <c r="I179" s="220">
        <v>0</v>
      </c>
      <c r="J179" s="145">
        <f t="shared" si="67"/>
        <v>0</v>
      </c>
      <c r="K179" s="221">
        <f t="shared" si="64"/>
        <v>0</v>
      </c>
      <c r="L179" s="248">
        <f t="shared" si="65"/>
        <v>0</v>
      </c>
      <c r="M179" s="7">
        <f t="shared" si="66"/>
        <v>0</v>
      </c>
      <c r="N179" s="228"/>
    </row>
    <row r="180" spans="3:14" ht="22.5" outlineLevel="1">
      <c r="C180" s="646" t="s">
        <v>1291</v>
      </c>
      <c r="D180" s="647" t="s">
        <v>1292</v>
      </c>
      <c r="E180" s="218" t="s">
        <v>973</v>
      </c>
      <c r="F180" s="219">
        <v>0</v>
      </c>
      <c r="G180" s="219">
        <v>0</v>
      </c>
      <c r="H180" s="7">
        <v>0</v>
      </c>
      <c r="I180" s="220">
        <v>0</v>
      </c>
      <c r="J180" s="145">
        <f t="shared" si="67"/>
        <v>0</v>
      </c>
      <c r="K180" s="221">
        <f t="shared" si="64"/>
        <v>0</v>
      </c>
      <c r="L180" s="248">
        <f t="shared" si="65"/>
        <v>0</v>
      </c>
      <c r="M180" s="7">
        <f t="shared" si="66"/>
        <v>0</v>
      </c>
      <c r="N180" s="228"/>
    </row>
    <row r="181" spans="3:14" outlineLevel="1">
      <c r="C181" s="646" t="s">
        <v>1293</v>
      </c>
      <c r="D181" s="45" t="s">
        <v>1275</v>
      </c>
      <c r="E181" s="218" t="s">
        <v>82</v>
      </c>
      <c r="F181" s="219">
        <v>1409.5061999999998</v>
      </c>
      <c r="G181" s="219">
        <v>1409.51</v>
      </c>
      <c r="H181" s="7">
        <v>50.38</v>
      </c>
      <c r="I181" s="220">
        <v>0</v>
      </c>
      <c r="J181" s="145">
        <f t="shared" si="67"/>
        <v>50.38</v>
      </c>
      <c r="K181" s="221">
        <f t="shared" si="64"/>
        <v>71011.113800000006</v>
      </c>
      <c r="L181" s="248">
        <f t="shared" si="65"/>
        <v>0</v>
      </c>
      <c r="M181" s="7">
        <f t="shared" si="66"/>
        <v>71011.11</v>
      </c>
      <c r="N181" s="228"/>
    </row>
    <row r="182" spans="3:14" outlineLevel="1">
      <c r="C182" s="646" t="s">
        <v>1294</v>
      </c>
      <c r="D182" s="45" t="s">
        <v>1277</v>
      </c>
      <c r="E182" s="218" t="s">
        <v>82</v>
      </c>
      <c r="F182" s="219">
        <v>429.01229999999993</v>
      </c>
      <c r="G182" s="219">
        <v>429.01</v>
      </c>
      <c r="H182" s="7">
        <v>60.63</v>
      </c>
      <c r="I182" s="220">
        <v>0</v>
      </c>
      <c r="J182" s="145">
        <f t="shared" si="67"/>
        <v>60.63</v>
      </c>
      <c r="K182" s="221">
        <f t="shared" si="64"/>
        <v>26010.8763</v>
      </c>
      <c r="L182" s="248">
        <f t="shared" si="65"/>
        <v>0</v>
      </c>
      <c r="M182" s="7">
        <f t="shared" si="66"/>
        <v>26010.880000000001</v>
      </c>
      <c r="N182" s="228"/>
    </row>
    <row r="183" spans="3:14" outlineLevel="1">
      <c r="C183" s="646" t="s">
        <v>1295</v>
      </c>
      <c r="D183" s="45" t="s">
        <v>1120</v>
      </c>
      <c r="E183" s="218" t="s">
        <v>118</v>
      </c>
      <c r="F183" s="219">
        <v>50517.471910244334</v>
      </c>
      <c r="G183" s="219">
        <v>50517.47</v>
      </c>
      <c r="H183" s="7">
        <v>1.24</v>
      </c>
      <c r="I183" s="220">
        <v>0.89</v>
      </c>
      <c r="J183" s="145">
        <f t="shared" si="67"/>
        <v>4.22</v>
      </c>
      <c r="K183" s="221">
        <f t="shared" si="64"/>
        <v>62641.662799999998</v>
      </c>
      <c r="L183" s="248">
        <f t="shared" si="65"/>
        <v>44960.548300000002</v>
      </c>
      <c r="M183" s="7">
        <f t="shared" si="66"/>
        <v>213259.5</v>
      </c>
      <c r="N183" s="228"/>
    </row>
    <row r="184" spans="3:14" outlineLevel="1">
      <c r="C184" s="646" t="s">
        <v>1296</v>
      </c>
      <c r="D184" s="230" t="s">
        <v>1122</v>
      </c>
      <c r="E184" s="218" t="s">
        <v>82</v>
      </c>
      <c r="F184" s="219">
        <v>1838.5184999999997</v>
      </c>
      <c r="G184" s="219">
        <v>1838.52</v>
      </c>
      <c r="H184" s="7">
        <v>1.48</v>
      </c>
      <c r="I184" s="220">
        <v>0</v>
      </c>
      <c r="J184" s="145">
        <f t="shared" si="67"/>
        <v>1.48</v>
      </c>
      <c r="K184" s="221">
        <f t="shared" si="64"/>
        <v>2721.0095999999999</v>
      </c>
      <c r="L184" s="248">
        <f t="shared" si="65"/>
        <v>0</v>
      </c>
      <c r="M184" s="7">
        <f t="shared" si="66"/>
        <v>2721.01</v>
      </c>
      <c r="N184" s="228"/>
    </row>
    <row r="185" spans="3:14" outlineLevel="1">
      <c r="C185" s="644" t="s">
        <v>1297</v>
      </c>
      <c r="D185" s="645" t="s">
        <v>1298</v>
      </c>
      <c r="E185" s="224"/>
      <c r="F185" s="219"/>
      <c r="G185" s="219">
        <v>0</v>
      </c>
      <c r="H185" s="7" t="s">
        <v>27</v>
      </c>
      <c r="I185" s="220" t="s">
        <v>27</v>
      </c>
      <c r="J185" s="145"/>
      <c r="K185" s="221"/>
      <c r="L185" s="248"/>
      <c r="M185" s="7"/>
      <c r="N185" s="229">
        <f>SUM(K185:K190)+SUM(L185:L190)*TC</f>
        <v>4591.3852050000005</v>
      </c>
    </row>
    <row r="186" spans="3:14" outlineLevel="1">
      <c r="C186" s="646" t="s">
        <v>1299</v>
      </c>
      <c r="D186" s="45" t="s">
        <v>1271</v>
      </c>
      <c r="E186" s="218" t="s">
        <v>973</v>
      </c>
      <c r="F186" s="219">
        <v>2.6469499999999999</v>
      </c>
      <c r="G186" s="219">
        <v>2.65</v>
      </c>
      <c r="H186" s="7">
        <v>380.32</v>
      </c>
      <c r="I186" s="220">
        <v>0</v>
      </c>
      <c r="J186" s="145">
        <f>+ROUND(H186+I186*TC,2)</f>
        <v>380.32</v>
      </c>
      <c r="K186" s="221">
        <f t="shared" si="64"/>
        <v>1007.848</v>
      </c>
      <c r="L186" s="248">
        <f t="shared" si="65"/>
        <v>0</v>
      </c>
      <c r="M186" s="7">
        <f t="shared" si="66"/>
        <v>1007.85</v>
      </c>
      <c r="N186" s="228"/>
    </row>
    <row r="187" spans="3:14" outlineLevel="1">
      <c r="C187" s="646" t="s">
        <v>1300</v>
      </c>
      <c r="D187" s="45" t="s">
        <v>1275</v>
      </c>
      <c r="E187" s="218" t="s">
        <v>82</v>
      </c>
      <c r="F187" s="219">
        <v>44.556000000000004</v>
      </c>
      <c r="G187" s="219">
        <v>44.56</v>
      </c>
      <c r="H187" s="7">
        <v>50.38</v>
      </c>
      <c r="I187" s="220">
        <v>0</v>
      </c>
      <c r="J187" s="145">
        <f>+ROUND(H187+I187*TC,2)</f>
        <v>50.38</v>
      </c>
      <c r="K187" s="221">
        <f t="shared" si="64"/>
        <v>2244.9328</v>
      </c>
      <c r="L187" s="248">
        <f t="shared" si="65"/>
        <v>0</v>
      </c>
      <c r="M187" s="7">
        <f t="shared" si="66"/>
        <v>2244.9299999999998</v>
      </c>
      <c r="N187" s="228"/>
    </row>
    <row r="188" spans="3:14" outlineLevel="1">
      <c r="C188" s="646" t="s">
        <v>1301</v>
      </c>
      <c r="D188" s="45" t="s">
        <v>1120</v>
      </c>
      <c r="E188" s="218" t="s">
        <v>118</v>
      </c>
      <c r="F188" s="219">
        <v>301.46720000000005</v>
      </c>
      <c r="G188" s="219">
        <v>301.47000000000003</v>
      </c>
      <c r="H188" s="7">
        <v>1.24</v>
      </c>
      <c r="I188" s="220">
        <v>0.89</v>
      </c>
      <c r="J188" s="145">
        <f>+ROUND(H188+I188*TC,2)</f>
        <v>4.22</v>
      </c>
      <c r="K188" s="221">
        <f t="shared" si="64"/>
        <v>373.82280000000003</v>
      </c>
      <c r="L188" s="248">
        <f t="shared" si="65"/>
        <v>268.30830000000003</v>
      </c>
      <c r="M188" s="7">
        <f t="shared" si="66"/>
        <v>1272.6600000000001</v>
      </c>
      <c r="N188" s="228"/>
    </row>
    <row r="189" spans="3:14" outlineLevel="1">
      <c r="C189" s="646" t="s">
        <v>1302</v>
      </c>
      <c r="D189" s="230" t="s">
        <v>1122</v>
      </c>
      <c r="E189" s="218" t="s">
        <v>82</v>
      </c>
      <c r="F189" s="219">
        <v>44.556000000000004</v>
      </c>
      <c r="G189" s="219">
        <v>44.56</v>
      </c>
      <c r="H189" s="7">
        <v>1.48</v>
      </c>
      <c r="I189" s="220">
        <v>0</v>
      </c>
      <c r="J189" s="145">
        <f>+ROUND(H189+I189*TC,2)</f>
        <v>1.48</v>
      </c>
      <c r="K189" s="221">
        <f t="shared" si="64"/>
        <v>65.948800000000006</v>
      </c>
      <c r="L189" s="248">
        <f t="shared" si="65"/>
        <v>0</v>
      </c>
      <c r="M189" s="7">
        <f t="shared" si="66"/>
        <v>65.95</v>
      </c>
      <c r="N189" s="228"/>
    </row>
    <row r="190" spans="3:14" outlineLevel="1">
      <c r="C190" s="644" t="s">
        <v>1303</v>
      </c>
      <c r="D190" s="645" t="s">
        <v>1304</v>
      </c>
      <c r="E190" s="224"/>
      <c r="F190" s="219"/>
      <c r="G190" s="219">
        <v>0</v>
      </c>
      <c r="H190" s="7" t="s">
        <v>27</v>
      </c>
      <c r="I190" s="220" t="s">
        <v>27</v>
      </c>
      <c r="J190" s="145"/>
      <c r="K190" s="221"/>
      <c r="L190" s="248"/>
      <c r="M190" s="7"/>
      <c r="N190" s="229">
        <f>SUM(K190:K200)+SUM(L190:L200)*TC</f>
        <v>378184.59573</v>
      </c>
    </row>
    <row r="191" spans="3:14" ht="22.5" outlineLevel="1">
      <c r="C191" s="646" t="s">
        <v>1305</v>
      </c>
      <c r="D191" s="647" t="s">
        <v>1306</v>
      </c>
      <c r="E191" s="218" t="s">
        <v>973</v>
      </c>
      <c r="F191" s="219"/>
      <c r="G191" s="219">
        <v>0</v>
      </c>
      <c r="H191" s="7">
        <v>0</v>
      </c>
      <c r="I191" s="220">
        <v>0</v>
      </c>
      <c r="J191" s="145">
        <f t="shared" ref="J191:J200" si="68">+ROUND(H191+I191*TC,2)</f>
        <v>0</v>
      </c>
      <c r="K191" s="221">
        <f t="shared" si="64"/>
        <v>0</v>
      </c>
      <c r="L191" s="248">
        <f t="shared" si="65"/>
        <v>0</v>
      </c>
      <c r="M191" s="7">
        <f t="shared" si="66"/>
        <v>0</v>
      </c>
      <c r="N191" s="228"/>
    </row>
    <row r="192" spans="3:14" ht="22.5" outlineLevel="1">
      <c r="C192" s="646" t="s">
        <v>1307</v>
      </c>
      <c r="D192" s="647" t="s">
        <v>1308</v>
      </c>
      <c r="E192" s="218" t="s">
        <v>973</v>
      </c>
      <c r="F192" s="219"/>
      <c r="G192" s="219">
        <v>0</v>
      </c>
      <c r="H192" s="7">
        <v>0</v>
      </c>
      <c r="I192" s="220">
        <v>0</v>
      </c>
      <c r="J192" s="145">
        <f t="shared" si="68"/>
        <v>0</v>
      </c>
      <c r="K192" s="221">
        <f t="shared" si="64"/>
        <v>0</v>
      </c>
      <c r="L192" s="248">
        <f t="shared" si="65"/>
        <v>0</v>
      </c>
      <c r="M192" s="7">
        <f t="shared" si="66"/>
        <v>0</v>
      </c>
      <c r="N192" s="228"/>
    </row>
    <row r="193" spans="3:14" outlineLevel="1">
      <c r="C193" s="646" t="s">
        <v>1309</v>
      </c>
      <c r="D193" s="45" t="s">
        <v>1310</v>
      </c>
      <c r="E193" s="218" t="s">
        <v>973</v>
      </c>
      <c r="F193" s="219">
        <v>81.525900000000007</v>
      </c>
      <c r="G193" s="219">
        <v>81.53</v>
      </c>
      <c r="H193" s="7">
        <v>447.61</v>
      </c>
      <c r="I193" s="220">
        <v>0</v>
      </c>
      <c r="J193" s="145">
        <f t="shared" si="68"/>
        <v>447.61</v>
      </c>
      <c r="K193" s="221">
        <f t="shared" si="64"/>
        <v>36493.643300000003</v>
      </c>
      <c r="L193" s="248">
        <f t="shared" si="65"/>
        <v>0</v>
      </c>
      <c r="M193" s="7">
        <f t="shared" si="66"/>
        <v>36493.64</v>
      </c>
      <c r="N193" s="228"/>
    </row>
    <row r="194" spans="3:14" outlineLevel="1">
      <c r="C194" s="646" t="s">
        <v>1311</v>
      </c>
      <c r="D194" s="45" t="s">
        <v>1312</v>
      </c>
      <c r="E194" s="218" t="s">
        <v>973</v>
      </c>
      <c r="F194" s="219">
        <v>155.32380000000001</v>
      </c>
      <c r="G194" s="219">
        <v>155.32</v>
      </c>
      <c r="H194" s="7">
        <v>463.86</v>
      </c>
      <c r="I194" s="220">
        <v>0</v>
      </c>
      <c r="J194" s="145">
        <f t="shared" si="68"/>
        <v>463.86</v>
      </c>
      <c r="K194" s="221">
        <f t="shared" si="64"/>
        <v>72046.735199999996</v>
      </c>
      <c r="L194" s="248">
        <f t="shared" si="65"/>
        <v>0</v>
      </c>
      <c r="M194" s="7">
        <f t="shared" si="66"/>
        <v>72046.740000000005</v>
      </c>
      <c r="N194" s="228"/>
    </row>
    <row r="195" spans="3:14" ht="22.5" outlineLevel="1">
      <c r="C195" s="646" t="s">
        <v>1313</v>
      </c>
      <c r="D195" s="647" t="s">
        <v>1314</v>
      </c>
      <c r="E195" s="218" t="s">
        <v>973</v>
      </c>
      <c r="F195" s="219">
        <v>0</v>
      </c>
      <c r="G195" s="219">
        <v>0</v>
      </c>
      <c r="H195" s="7">
        <v>0</v>
      </c>
      <c r="I195" s="220">
        <v>0</v>
      </c>
      <c r="J195" s="145">
        <f t="shared" si="68"/>
        <v>0</v>
      </c>
      <c r="K195" s="221">
        <f t="shared" si="64"/>
        <v>0</v>
      </c>
      <c r="L195" s="248">
        <f t="shared" si="65"/>
        <v>0</v>
      </c>
      <c r="M195" s="7">
        <f t="shared" si="66"/>
        <v>0</v>
      </c>
      <c r="N195" s="228"/>
    </row>
    <row r="196" spans="3:14" outlineLevel="1">
      <c r="C196" s="646" t="s">
        <v>1315</v>
      </c>
      <c r="D196" s="647" t="s">
        <v>1316</v>
      </c>
      <c r="E196" s="218" t="s">
        <v>82</v>
      </c>
      <c r="F196" s="219">
        <v>918.44319999999982</v>
      </c>
      <c r="G196" s="219">
        <v>918.44</v>
      </c>
      <c r="H196" s="7">
        <v>50.78</v>
      </c>
      <c r="I196" s="220">
        <v>0</v>
      </c>
      <c r="J196" s="145">
        <f t="shared" si="68"/>
        <v>50.78</v>
      </c>
      <c r="K196" s="221">
        <f t="shared" si="64"/>
        <v>46638.383200000004</v>
      </c>
      <c r="L196" s="248">
        <f t="shared" si="65"/>
        <v>0</v>
      </c>
      <c r="M196" s="7">
        <f t="shared" si="66"/>
        <v>46638.38</v>
      </c>
      <c r="N196" s="228"/>
    </row>
    <row r="197" spans="3:14" outlineLevel="1">
      <c r="C197" s="646" t="s">
        <v>1317</v>
      </c>
      <c r="D197" s="45" t="s">
        <v>1318</v>
      </c>
      <c r="E197" s="218" t="s">
        <v>82</v>
      </c>
      <c r="F197" s="219">
        <v>225.52139999999997</v>
      </c>
      <c r="G197" s="219">
        <v>225.52</v>
      </c>
      <c r="H197" s="7">
        <v>61.03</v>
      </c>
      <c r="I197" s="220">
        <v>0</v>
      </c>
      <c r="J197" s="145">
        <f t="shared" si="68"/>
        <v>61.03</v>
      </c>
      <c r="K197" s="221">
        <f t="shared" si="64"/>
        <v>13763.4856</v>
      </c>
      <c r="L197" s="248">
        <f t="shared" si="65"/>
        <v>0</v>
      </c>
      <c r="M197" s="7">
        <f t="shared" si="66"/>
        <v>13763.49</v>
      </c>
      <c r="N197" s="228"/>
    </row>
    <row r="198" spans="3:14" outlineLevel="1">
      <c r="C198" s="646" t="s">
        <v>1319</v>
      </c>
      <c r="D198" s="45" t="s">
        <v>1120</v>
      </c>
      <c r="E198" s="218" t="s">
        <v>118</v>
      </c>
      <c r="F198" s="219">
        <v>49164.82476958121</v>
      </c>
      <c r="G198" s="219">
        <v>49164.82</v>
      </c>
      <c r="H198" s="7">
        <v>1.24</v>
      </c>
      <c r="I198" s="220">
        <v>0.89</v>
      </c>
      <c r="J198" s="145">
        <f t="shared" si="68"/>
        <v>4.22</v>
      </c>
      <c r="K198" s="221">
        <f t="shared" si="64"/>
        <v>60964.376799999998</v>
      </c>
      <c r="L198" s="248">
        <f t="shared" si="65"/>
        <v>43756.6898</v>
      </c>
      <c r="M198" s="7">
        <f t="shared" si="66"/>
        <v>207549.29</v>
      </c>
      <c r="N198" s="228"/>
    </row>
    <row r="199" spans="3:14" outlineLevel="1">
      <c r="C199" s="646" t="s">
        <v>1320</v>
      </c>
      <c r="D199" s="230" t="s">
        <v>1122</v>
      </c>
      <c r="E199" s="218" t="s">
        <v>82</v>
      </c>
      <c r="F199" s="219">
        <v>1143.9645999999998</v>
      </c>
      <c r="G199" s="219">
        <v>1143.96</v>
      </c>
      <c r="H199" s="7">
        <v>1.48</v>
      </c>
      <c r="I199" s="220">
        <v>0</v>
      </c>
      <c r="J199" s="145">
        <f t="shared" si="68"/>
        <v>1.48</v>
      </c>
      <c r="K199" s="221">
        <f t="shared" si="64"/>
        <v>1693.0608</v>
      </c>
      <c r="L199" s="248">
        <f t="shared" si="65"/>
        <v>0</v>
      </c>
      <c r="M199" s="7">
        <f t="shared" si="66"/>
        <v>1693.06</v>
      </c>
      <c r="N199" s="228"/>
    </row>
    <row r="200" spans="3:14" outlineLevel="1">
      <c r="C200" s="646" t="s">
        <v>1321</v>
      </c>
      <c r="D200" s="647" t="s">
        <v>1259</v>
      </c>
      <c r="E200" s="218" t="s">
        <v>121</v>
      </c>
      <c r="F200" s="219"/>
      <c r="G200" s="219">
        <v>0</v>
      </c>
      <c r="H200" s="7">
        <v>0</v>
      </c>
      <c r="I200" s="220">
        <v>0</v>
      </c>
      <c r="J200" s="145">
        <f t="shared" si="68"/>
        <v>0</v>
      </c>
      <c r="K200" s="221">
        <f t="shared" si="64"/>
        <v>0</v>
      </c>
      <c r="L200" s="248">
        <f t="shared" si="65"/>
        <v>0</v>
      </c>
      <c r="M200" s="7">
        <f t="shared" si="66"/>
        <v>0</v>
      </c>
      <c r="N200" s="228"/>
    </row>
    <row r="201" spans="3:14" outlineLevel="1">
      <c r="C201" s="644" t="s">
        <v>1322</v>
      </c>
      <c r="D201" s="645" t="s">
        <v>1323</v>
      </c>
      <c r="E201" s="224"/>
      <c r="F201" s="219"/>
      <c r="G201" s="219">
        <v>0</v>
      </c>
      <c r="H201" s="7" t="s">
        <v>27</v>
      </c>
      <c r="I201" s="220" t="s">
        <v>27</v>
      </c>
      <c r="J201" s="145"/>
      <c r="K201" s="221"/>
      <c r="L201" s="248"/>
      <c r="M201" s="7"/>
      <c r="N201" s="229">
        <f>SUM(K201:K211)+SUM(L201:L211)*TC</f>
        <v>518788.06805499992</v>
      </c>
    </row>
    <row r="202" spans="3:14" ht="22.5" outlineLevel="1">
      <c r="C202" s="646" t="s">
        <v>1324</v>
      </c>
      <c r="D202" s="45" t="s">
        <v>1325</v>
      </c>
      <c r="E202" s="218" t="s">
        <v>973</v>
      </c>
      <c r="F202" s="219">
        <v>389.83149999999978</v>
      </c>
      <c r="G202" s="219">
        <v>389.83</v>
      </c>
      <c r="H202" s="7">
        <v>387.08</v>
      </c>
      <c r="I202" s="220">
        <v>0</v>
      </c>
      <c r="J202" s="145">
        <f t="shared" ref="J202:J210" si="69">+ROUND(H202+I202*TC,2)</f>
        <v>387.08</v>
      </c>
      <c r="K202" s="221">
        <f t="shared" si="64"/>
        <v>150895.3964</v>
      </c>
      <c r="L202" s="248">
        <f t="shared" si="65"/>
        <v>0</v>
      </c>
      <c r="M202" s="7">
        <f t="shared" si="66"/>
        <v>150895.4</v>
      </c>
      <c r="N202" s="228"/>
    </row>
    <row r="203" spans="3:14" ht="22.5" outlineLevel="1">
      <c r="C203" s="646" t="s">
        <v>1326</v>
      </c>
      <c r="D203" s="647" t="s">
        <v>1327</v>
      </c>
      <c r="E203" s="218" t="s">
        <v>973</v>
      </c>
      <c r="F203" s="219"/>
      <c r="G203" s="219">
        <v>0</v>
      </c>
      <c r="H203" s="7">
        <v>0</v>
      </c>
      <c r="I203" s="220">
        <v>0</v>
      </c>
      <c r="J203" s="145">
        <f t="shared" si="69"/>
        <v>0</v>
      </c>
      <c r="K203" s="221">
        <f t="shared" si="64"/>
        <v>0</v>
      </c>
      <c r="L203" s="248">
        <f t="shared" si="65"/>
        <v>0</v>
      </c>
      <c r="M203" s="7">
        <f t="shared" si="66"/>
        <v>0</v>
      </c>
      <c r="N203" s="228"/>
    </row>
    <row r="204" spans="3:14" ht="22.5" outlineLevel="1">
      <c r="C204" s="646" t="s">
        <v>1328</v>
      </c>
      <c r="D204" s="45" t="s">
        <v>1329</v>
      </c>
      <c r="E204" s="218" t="s">
        <v>973</v>
      </c>
      <c r="F204" s="219"/>
      <c r="G204" s="219">
        <v>0</v>
      </c>
      <c r="H204" s="7">
        <v>408.72</v>
      </c>
      <c r="I204" s="220">
        <v>0</v>
      </c>
      <c r="J204" s="145">
        <f t="shared" si="69"/>
        <v>408.72</v>
      </c>
      <c r="K204" s="221">
        <f t="shared" si="64"/>
        <v>0</v>
      </c>
      <c r="L204" s="248">
        <f t="shared" si="65"/>
        <v>0</v>
      </c>
      <c r="M204" s="7">
        <f t="shared" si="66"/>
        <v>0</v>
      </c>
      <c r="N204" s="228"/>
    </row>
    <row r="205" spans="3:14" ht="22.5" outlineLevel="1">
      <c r="C205" s="646" t="s">
        <v>1330</v>
      </c>
      <c r="D205" s="45" t="s">
        <v>1331</v>
      </c>
      <c r="E205" s="218" t="s">
        <v>973</v>
      </c>
      <c r="F205" s="219"/>
      <c r="G205" s="219">
        <v>0</v>
      </c>
      <c r="H205" s="7">
        <v>447.61</v>
      </c>
      <c r="I205" s="220">
        <v>0</v>
      </c>
      <c r="J205" s="145">
        <f t="shared" si="69"/>
        <v>447.61</v>
      </c>
      <c r="K205" s="221">
        <f t="shared" si="64"/>
        <v>0</v>
      </c>
      <c r="L205" s="248">
        <f t="shared" si="65"/>
        <v>0</v>
      </c>
      <c r="M205" s="7">
        <f t="shared" si="66"/>
        <v>0</v>
      </c>
      <c r="N205" s="228"/>
    </row>
    <row r="206" spans="3:14" ht="22.5" outlineLevel="1">
      <c r="C206" s="646" t="s">
        <v>1332</v>
      </c>
      <c r="D206" s="45" t="s">
        <v>1333</v>
      </c>
      <c r="E206" s="218" t="s">
        <v>973</v>
      </c>
      <c r="F206" s="219">
        <v>63.591000000000001</v>
      </c>
      <c r="G206" s="219">
        <v>63.59</v>
      </c>
      <c r="H206" s="7">
        <v>478.93</v>
      </c>
      <c r="I206" s="220">
        <v>0</v>
      </c>
      <c r="J206" s="145">
        <f t="shared" si="69"/>
        <v>478.93</v>
      </c>
      <c r="K206" s="221">
        <f t="shared" si="64"/>
        <v>30455.158700000004</v>
      </c>
      <c r="L206" s="248">
        <f t="shared" si="65"/>
        <v>0</v>
      </c>
      <c r="M206" s="7">
        <f t="shared" si="66"/>
        <v>30455.16</v>
      </c>
      <c r="N206" s="228"/>
    </row>
    <row r="207" spans="3:14" outlineLevel="1">
      <c r="C207" s="646" t="s">
        <v>1334</v>
      </c>
      <c r="D207" s="45" t="s">
        <v>1335</v>
      </c>
      <c r="E207" s="218" t="s">
        <v>82</v>
      </c>
      <c r="F207" s="219">
        <v>1925.4730999999986</v>
      </c>
      <c r="G207" s="219">
        <v>1925.47</v>
      </c>
      <c r="H207" s="7">
        <v>54.88</v>
      </c>
      <c r="I207" s="220">
        <v>0</v>
      </c>
      <c r="J207" s="145">
        <f t="shared" si="69"/>
        <v>54.88</v>
      </c>
      <c r="K207" s="221">
        <f t="shared" si="64"/>
        <v>105669.7936</v>
      </c>
      <c r="L207" s="248">
        <f t="shared" si="65"/>
        <v>0</v>
      </c>
      <c r="M207" s="7">
        <f t="shared" si="66"/>
        <v>105669.79</v>
      </c>
      <c r="N207" s="228"/>
    </row>
    <row r="208" spans="3:14" outlineLevel="1">
      <c r="C208" s="646" t="s">
        <v>1336</v>
      </c>
      <c r="D208" s="45" t="s">
        <v>1337</v>
      </c>
      <c r="E208" s="218" t="s">
        <v>82</v>
      </c>
      <c r="F208" s="219">
        <v>456.28320000000036</v>
      </c>
      <c r="G208" s="219">
        <v>456.28</v>
      </c>
      <c r="H208" s="7">
        <v>65.13</v>
      </c>
      <c r="I208" s="220">
        <v>0</v>
      </c>
      <c r="J208" s="145">
        <f t="shared" si="69"/>
        <v>65.13</v>
      </c>
      <c r="K208" s="221">
        <f t="shared" si="64"/>
        <v>29717.516399999997</v>
      </c>
      <c r="L208" s="248">
        <f t="shared" si="65"/>
        <v>0</v>
      </c>
      <c r="M208" s="7">
        <f t="shared" si="66"/>
        <v>29717.52</v>
      </c>
      <c r="N208" s="228"/>
    </row>
    <row r="209" spans="3:14" outlineLevel="1">
      <c r="C209" s="646" t="s">
        <v>1338</v>
      </c>
      <c r="D209" s="45" t="s">
        <v>1120</v>
      </c>
      <c r="E209" s="218" t="s">
        <v>118</v>
      </c>
      <c r="F209" s="219">
        <v>47027.171526000166</v>
      </c>
      <c r="G209" s="219">
        <v>47027.17</v>
      </c>
      <c r="H209" s="7">
        <v>1.24</v>
      </c>
      <c r="I209" s="220">
        <v>0.89</v>
      </c>
      <c r="J209" s="145">
        <f t="shared" si="69"/>
        <v>4.22</v>
      </c>
      <c r="K209" s="221">
        <f t="shared" si="64"/>
        <v>58313.690799999997</v>
      </c>
      <c r="L209" s="248">
        <f t="shared" si="65"/>
        <v>41854.181299999997</v>
      </c>
      <c r="M209" s="7">
        <f t="shared" si="66"/>
        <v>198525.2</v>
      </c>
      <c r="N209" s="228"/>
    </row>
    <row r="210" spans="3:14" outlineLevel="1">
      <c r="C210" s="646" t="s">
        <v>1339</v>
      </c>
      <c r="D210" s="230" t="s">
        <v>1122</v>
      </c>
      <c r="E210" s="218" t="s">
        <v>82</v>
      </c>
      <c r="F210" s="219">
        <v>2381.7562999999991</v>
      </c>
      <c r="G210" s="219">
        <v>2381.7600000000002</v>
      </c>
      <c r="H210" s="7">
        <v>1.48</v>
      </c>
      <c r="I210" s="220">
        <v>0</v>
      </c>
      <c r="J210" s="145">
        <f t="shared" si="69"/>
        <v>1.48</v>
      </c>
      <c r="K210" s="221">
        <f t="shared" si="64"/>
        <v>3525.0048000000002</v>
      </c>
      <c r="L210" s="248">
        <f t="shared" si="65"/>
        <v>0</v>
      </c>
      <c r="M210" s="7">
        <f t="shared" si="66"/>
        <v>3525</v>
      </c>
      <c r="N210" s="228"/>
    </row>
    <row r="211" spans="3:14" outlineLevel="1">
      <c r="C211" s="644" t="s">
        <v>1322</v>
      </c>
      <c r="D211" s="645" t="s">
        <v>1340</v>
      </c>
      <c r="E211" s="224"/>
      <c r="F211" s="219"/>
      <c r="G211" s="219">
        <v>0</v>
      </c>
      <c r="H211" s="7" t="s">
        <v>27</v>
      </c>
      <c r="I211" s="220" t="s">
        <v>27</v>
      </c>
      <c r="J211" s="145"/>
      <c r="K211" s="221"/>
      <c r="L211" s="248"/>
      <c r="M211" s="7"/>
      <c r="N211" s="229">
        <f>SUM(K211:K219)+SUM(L211:L219)*TC</f>
        <v>18106.022140000001</v>
      </c>
    </row>
    <row r="212" spans="3:14" ht="22.5" outlineLevel="1">
      <c r="C212" s="646" t="s">
        <v>1324</v>
      </c>
      <c r="D212" s="45" t="s">
        <v>1325</v>
      </c>
      <c r="E212" s="218" t="s">
        <v>973</v>
      </c>
      <c r="F212" s="219">
        <v>5.4012423887731584</v>
      </c>
      <c r="G212" s="219">
        <v>5.4</v>
      </c>
      <c r="H212" s="7">
        <v>387.08</v>
      </c>
      <c r="I212" s="220">
        <v>0</v>
      </c>
      <c r="J212" s="145">
        <f t="shared" ref="J212:J219" si="70">+ROUND(H212+I212*TC,2)</f>
        <v>387.08</v>
      </c>
      <c r="K212" s="221">
        <f t="shared" ref="K212:K219" si="71">H212*G212</f>
        <v>2090.232</v>
      </c>
      <c r="L212" s="248">
        <f t="shared" ref="L212:L219" si="72">I212*G212</f>
        <v>0</v>
      </c>
      <c r="M212" s="7">
        <f t="shared" ref="M212:M219" si="73">+ROUND(K212+L212*TC,2)</f>
        <v>2090.23</v>
      </c>
      <c r="N212" s="228"/>
    </row>
    <row r="213" spans="3:14" ht="22.5" outlineLevel="1">
      <c r="C213" s="646" t="s">
        <v>1326</v>
      </c>
      <c r="D213" s="647" t="s">
        <v>1327</v>
      </c>
      <c r="E213" s="218" t="s">
        <v>973</v>
      </c>
      <c r="F213" s="219"/>
      <c r="G213" s="219">
        <v>0</v>
      </c>
      <c r="H213" s="7">
        <v>0</v>
      </c>
      <c r="I213" s="220">
        <v>0</v>
      </c>
      <c r="J213" s="145">
        <f t="shared" si="70"/>
        <v>0</v>
      </c>
      <c r="K213" s="221">
        <f t="shared" si="71"/>
        <v>0</v>
      </c>
      <c r="L213" s="248">
        <f t="shared" si="72"/>
        <v>0</v>
      </c>
      <c r="M213" s="7">
        <f t="shared" si="73"/>
        <v>0</v>
      </c>
      <c r="N213" s="228"/>
    </row>
    <row r="214" spans="3:14" outlineLevel="1">
      <c r="C214" s="646" t="s">
        <v>1328</v>
      </c>
      <c r="D214" s="45" t="s">
        <v>1341</v>
      </c>
      <c r="E214" s="218" t="s">
        <v>82</v>
      </c>
      <c r="F214" s="219">
        <v>87.837700000000027</v>
      </c>
      <c r="G214" s="219">
        <v>87.84</v>
      </c>
      <c r="H214" s="7">
        <v>47.5</v>
      </c>
      <c r="I214" s="220">
        <v>0</v>
      </c>
      <c r="J214" s="145">
        <f t="shared" si="70"/>
        <v>47.5</v>
      </c>
      <c r="K214" s="221">
        <f t="shared" si="71"/>
        <v>4172.4000000000005</v>
      </c>
      <c r="L214" s="248">
        <f t="shared" si="72"/>
        <v>0</v>
      </c>
      <c r="M214" s="7">
        <f t="shared" si="73"/>
        <v>4172.3999999999996</v>
      </c>
      <c r="N214" s="228"/>
    </row>
    <row r="215" spans="3:14" outlineLevel="1">
      <c r="C215" s="646" t="s">
        <v>1330</v>
      </c>
      <c r="D215" s="45" t="s">
        <v>1342</v>
      </c>
      <c r="E215" s="218" t="s">
        <v>82</v>
      </c>
      <c r="F215" s="219">
        <v>87.837700000000027</v>
      </c>
      <c r="G215" s="219">
        <v>87.84</v>
      </c>
      <c r="H215" s="7">
        <v>4.37</v>
      </c>
      <c r="I215" s="220">
        <v>0</v>
      </c>
      <c r="J215" s="145">
        <f t="shared" si="70"/>
        <v>4.37</v>
      </c>
      <c r="K215" s="221">
        <f t="shared" si="71"/>
        <v>383.86080000000004</v>
      </c>
      <c r="L215" s="248">
        <f t="shared" si="72"/>
        <v>0</v>
      </c>
      <c r="M215" s="7">
        <f t="shared" si="73"/>
        <v>383.86</v>
      </c>
      <c r="N215" s="228"/>
    </row>
    <row r="216" spans="3:14" outlineLevel="1">
      <c r="C216" s="646" t="s">
        <v>1334</v>
      </c>
      <c r="D216" s="45" t="s">
        <v>1335</v>
      </c>
      <c r="E216" s="218" t="s">
        <v>82</v>
      </c>
      <c r="F216" s="219">
        <v>34.019100000000009</v>
      </c>
      <c r="G216" s="219">
        <v>34.020000000000003</v>
      </c>
      <c r="H216" s="7">
        <v>54.88</v>
      </c>
      <c r="I216" s="220">
        <v>0</v>
      </c>
      <c r="J216" s="145">
        <f t="shared" si="70"/>
        <v>54.88</v>
      </c>
      <c r="K216" s="221">
        <f t="shared" si="71"/>
        <v>1867.0176000000004</v>
      </c>
      <c r="L216" s="248">
        <f t="shared" si="72"/>
        <v>0</v>
      </c>
      <c r="M216" s="7">
        <f t="shared" si="73"/>
        <v>1867.02</v>
      </c>
      <c r="N216" s="228"/>
    </row>
    <row r="217" spans="3:14" outlineLevel="1">
      <c r="C217" s="646" t="s">
        <v>1336</v>
      </c>
      <c r="D217" s="45" t="s">
        <v>1337</v>
      </c>
      <c r="E217" s="218" t="s">
        <v>82</v>
      </c>
      <c r="F217" s="219">
        <v>53.818600000000018</v>
      </c>
      <c r="G217" s="219">
        <v>53.82</v>
      </c>
      <c r="H217" s="7">
        <v>65.13</v>
      </c>
      <c r="I217" s="220">
        <v>0</v>
      </c>
      <c r="J217" s="145">
        <f t="shared" si="70"/>
        <v>65.13</v>
      </c>
      <c r="K217" s="221">
        <f t="shared" si="71"/>
        <v>3505.2965999999997</v>
      </c>
      <c r="L217" s="248">
        <f t="shared" si="72"/>
        <v>0</v>
      </c>
      <c r="M217" s="7">
        <f t="shared" si="73"/>
        <v>3505.3</v>
      </c>
      <c r="N217" s="228"/>
    </row>
    <row r="218" spans="3:14" outlineLevel="1">
      <c r="C218" s="646" t="s">
        <v>1338</v>
      </c>
      <c r="D218" s="45" t="s">
        <v>1120</v>
      </c>
      <c r="E218" s="218" t="s">
        <v>118</v>
      </c>
      <c r="F218" s="219">
        <v>1411.1644600000006</v>
      </c>
      <c r="G218" s="219">
        <v>1411.16</v>
      </c>
      <c r="H218" s="7">
        <v>1.24</v>
      </c>
      <c r="I218" s="220">
        <v>0.89</v>
      </c>
      <c r="J218" s="145">
        <f t="shared" si="70"/>
        <v>4.22</v>
      </c>
      <c r="K218" s="221">
        <f t="shared" si="71"/>
        <v>1749.8384000000001</v>
      </c>
      <c r="L218" s="248">
        <f t="shared" si="72"/>
        <v>1255.9324000000001</v>
      </c>
      <c r="M218" s="7">
        <f t="shared" si="73"/>
        <v>5957.21</v>
      </c>
      <c r="N218" s="228"/>
    </row>
    <row r="219" spans="3:14" outlineLevel="1">
      <c r="C219" s="646" t="s">
        <v>1339</v>
      </c>
      <c r="D219" s="230" t="s">
        <v>1122</v>
      </c>
      <c r="E219" s="218" t="s">
        <v>82</v>
      </c>
      <c r="F219" s="219">
        <v>87.837700000000027</v>
      </c>
      <c r="G219" s="219">
        <v>87.84</v>
      </c>
      <c r="H219" s="7">
        <v>1.48</v>
      </c>
      <c r="I219" s="220">
        <v>0</v>
      </c>
      <c r="J219" s="145">
        <f t="shared" si="70"/>
        <v>1.48</v>
      </c>
      <c r="K219" s="221">
        <f t="shared" si="71"/>
        <v>130.00319999999999</v>
      </c>
      <c r="L219" s="248">
        <f t="shared" si="72"/>
        <v>0</v>
      </c>
      <c r="M219" s="7">
        <f t="shared" si="73"/>
        <v>130</v>
      </c>
      <c r="N219" s="228"/>
    </row>
    <row r="220" spans="3:14" outlineLevel="1">
      <c r="C220" s="644" t="s">
        <v>1343</v>
      </c>
      <c r="D220" s="645" t="s">
        <v>1344</v>
      </c>
      <c r="E220" s="218"/>
      <c r="F220" s="219"/>
      <c r="G220" s="219">
        <v>0</v>
      </c>
      <c r="H220" s="7" t="s">
        <v>27</v>
      </c>
      <c r="I220" s="220" t="s">
        <v>27</v>
      </c>
      <c r="J220" s="145"/>
      <c r="K220" s="221"/>
      <c r="L220" s="248"/>
      <c r="M220" s="7"/>
      <c r="N220" s="229">
        <f>SUM(K220:K230)+SUM(L220:L230)*TC</f>
        <v>299488.56425000005</v>
      </c>
    </row>
    <row r="221" spans="3:14" ht="22.5" outlineLevel="1">
      <c r="C221" s="646" t="s">
        <v>1345</v>
      </c>
      <c r="D221" s="647" t="s">
        <v>1346</v>
      </c>
      <c r="E221" s="218" t="s">
        <v>973</v>
      </c>
      <c r="F221" s="219">
        <v>131.5852397260274</v>
      </c>
      <c r="G221" s="219">
        <v>131.59</v>
      </c>
      <c r="H221" s="7">
        <v>387.08</v>
      </c>
      <c r="I221" s="220">
        <v>0</v>
      </c>
      <c r="J221" s="145">
        <f t="shared" ref="J221:J230" si="74">+ROUND(H221+I221*TC,2)</f>
        <v>387.08</v>
      </c>
      <c r="K221" s="221">
        <f t="shared" ref="K221:K230" si="75">H221*G221</f>
        <v>50935.857199999999</v>
      </c>
      <c r="L221" s="248">
        <f t="shared" ref="L221:L230" si="76">I221*G221</f>
        <v>0</v>
      </c>
      <c r="M221" s="7">
        <f t="shared" ref="M221:M230" si="77">+ROUND(K221+L221*TC,2)</f>
        <v>50935.86</v>
      </c>
      <c r="N221" s="228"/>
    </row>
    <row r="222" spans="3:14" ht="22.5" outlineLevel="1">
      <c r="C222" s="646" t="s">
        <v>1347</v>
      </c>
      <c r="D222" s="45" t="s">
        <v>1348</v>
      </c>
      <c r="E222" s="218" t="s">
        <v>973</v>
      </c>
      <c r="F222" s="219">
        <v>7.9177500000000016</v>
      </c>
      <c r="G222" s="219">
        <v>7.92</v>
      </c>
      <c r="H222" s="7">
        <v>470.62</v>
      </c>
      <c r="I222" s="220">
        <v>0</v>
      </c>
      <c r="J222" s="145">
        <f t="shared" si="74"/>
        <v>470.62</v>
      </c>
      <c r="K222" s="221">
        <f t="shared" si="75"/>
        <v>3727.3103999999998</v>
      </c>
      <c r="L222" s="248">
        <f t="shared" si="76"/>
        <v>0</v>
      </c>
      <c r="M222" s="7">
        <f t="shared" si="77"/>
        <v>3727.31</v>
      </c>
      <c r="N222" s="228"/>
    </row>
    <row r="223" spans="3:14" outlineLevel="1">
      <c r="C223" s="646" t="s">
        <v>1349</v>
      </c>
      <c r="D223" s="647" t="s">
        <v>1350</v>
      </c>
      <c r="E223" s="218" t="s">
        <v>82</v>
      </c>
      <c r="F223" s="219">
        <v>1657.7299999999998</v>
      </c>
      <c r="G223" s="219">
        <v>1657.73</v>
      </c>
      <c r="H223" s="7">
        <v>36.32</v>
      </c>
      <c r="I223" s="220">
        <v>0</v>
      </c>
      <c r="J223" s="145">
        <f t="shared" si="74"/>
        <v>36.32</v>
      </c>
      <c r="K223" s="221">
        <f t="shared" si="75"/>
        <v>60208.753600000004</v>
      </c>
      <c r="L223" s="248">
        <f t="shared" si="76"/>
        <v>0</v>
      </c>
      <c r="M223" s="7">
        <f t="shared" si="77"/>
        <v>60208.75</v>
      </c>
      <c r="N223" s="228"/>
    </row>
    <row r="224" spans="3:14" ht="22.5" outlineLevel="1">
      <c r="C224" s="646" t="s">
        <v>1349</v>
      </c>
      <c r="D224" s="45" t="s">
        <v>1351</v>
      </c>
      <c r="E224" s="218" t="s">
        <v>82</v>
      </c>
      <c r="F224" s="219">
        <v>181.08</v>
      </c>
      <c r="G224" s="219">
        <v>181.08</v>
      </c>
      <c r="H224" s="7">
        <v>46.57</v>
      </c>
      <c r="I224" s="220">
        <v>0</v>
      </c>
      <c r="J224" s="145">
        <f t="shared" ref="J224" si="78">+ROUND(H224+I224*TC,2)</f>
        <v>46.57</v>
      </c>
      <c r="K224" s="221">
        <f t="shared" ref="K224" si="79">H224*G224</f>
        <v>8432.8955999999998</v>
      </c>
      <c r="L224" s="248">
        <f t="shared" ref="L224" si="80">I224*G224</f>
        <v>0</v>
      </c>
      <c r="M224" s="7">
        <f t="shared" ref="M224" si="81">+ROUND(K224+L224*TC,2)</f>
        <v>8432.9</v>
      </c>
      <c r="N224" s="228"/>
    </row>
    <row r="225" spans="3:14" outlineLevel="1">
      <c r="C225" s="646" t="s">
        <v>1352</v>
      </c>
      <c r="D225" s="45" t="s">
        <v>1353</v>
      </c>
      <c r="E225" s="218" t="s">
        <v>82</v>
      </c>
      <c r="F225" s="219">
        <v>1838.8099999999997</v>
      </c>
      <c r="G225" s="219">
        <v>1838.81</v>
      </c>
      <c r="H225" s="7">
        <v>61.5</v>
      </c>
      <c r="I225" s="220">
        <v>0</v>
      </c>
      <c r="J225" s="145">
        <f t="shared" si="74"/>
        <v>61.5</v>
      </c>
      <c r="K225" s="221">
        <f t="shared" si="75"/>
        <v>113086.815</v>
      </c>
      <c r="L225" s="248">
        <f t="shared" si="76"/>
        <v>0</v>
      </c>
      <c r="M225" s="7">
        <f t="shared" si="77"/>
        <v>113086.82</v>
      </c>
      <c r="N225" s="228"/>
    </row>
    <row r="226" spans="3:14" outlineLevel="1">
      <c r="C226" s="646" t="s">
        <v>1354</v>
      </c>
      <c r="D226" s="647" t="s">
        <v>1342</v>
      </c>
      <c r="E226" s="218" t="s">
        <v>82</v>
      </c>
      <c r="F226" s="219">
        <v>1838.8099999999997</v>
      </c>
      <c r="G226" s="219">
        <v>1838.81</v>
      </c>
      <c r="H226" s="7">
        <v>4.37</v>
      </c>
      <c r="I226" s="220">
        <v>0</v>
      </c>
      <c r="J226" s="145">
        <f t="shared" si="74"/>
        <v>4.37</v>
      </c>
      <c r="K226" s="221">
        <f t="shared" si="75"/>
        <v>8035.5996999999998</v>
      </c>
      <c r="L226" s="248">
        <f t="shared" si="76"/>
        <v>0</v>
      </c>
      <c r="M226" s="7">
        <f t="shared" si="77"/>
        <v>8035.6</v>
      </c>
      <c r="N226" s="228"/>
    </row>
    <row r="227" spans="3:14" outlineLevel="1">
      <c r="C227" s="646" t="s">
        <v>1355</v>
      </c>
      <c r="D227" s="647" t="s">
        <v>1356</v>
      </c>
      <c r="E227" s="218" t="s">
        <v>118</v>
      </c>
      <c r="F227" s="219">
        <v>5210.8565200000039</v>
      </c>
      <c r="G227" s="219">
        <v>5210.8599999999997</v>
      </c>
      <c r="H227" s="7">
        <v>1.24</v>
      </c>
      <c r="I227" s="220">
        <v>0.89</v>
      </c>
      <c r="J227" s="145">
        <f t="shared" si="74"/>
        <v>4.22</v>
      </c>
      <c r="K227" s="221">
        <f t="shared" si="75"/>
        <v>6461.4663999999993</v>
      </c>
      <c r="L227" s="248">
        <f t="shared" si="76"/>
        <v>4637.6653999999999</v>
      </c>
      <c r="M227" s="7">
        <f t="shared" si="77"/>
        <v>21997.65</v>
      </c>
      <c r="N227" s="228"/>
    </row>
    <row r="228" spans="3:14" ht="22.5" outlineLevel="1">
      <c r="C228" s="646" t="s">
        <v>1357</v>
      </c>
      <c r="D228" s="647" t="s">
        <v>1358</v>
      </c>
      <c r="E228" s="218" t="s">
        <v>118</v>
      </c>
      <c r="F228" s="219">
        <v>7557.6336000000056</v>
      </c>
      <c r="G228" s="219">
        <v>7557.63</v>
      </c>
      <c r="H228" s="7">
        <v>0</v>
      </c>
      <c r="I228" s="220">
        <v>0.89</v>
      </c>
      <c r="J228" s="145">
        <f t="shared" si="74"/>
        <v>2.98</v>
      </c>
      <c r="K228" s="221">
        <f t="shared" si="75"/>
        <v>0</v>
      </c>
      <c r="L228" s="248">
        <f t="shared" si="76"/>
        <v>6726.2907000000005</v>
      </c>
      <c r="M228" s="7">
        <f t="shared" si="77"/>
        <v>22533.07</v>
      </c>
      <c r="N228" s="228"/>
    </row>
    <row r="229" spans="3:14" ht="22.5" outlineLevel="1">
      <c r="C229" s="646" t="s">
        <v>1359</v>
      </c>
      <c r="D229" s="647" t="s">
        <v>1360</v>
      </c>
      <c r="E229" s="218" t="s">
        <v>118</v>
      </c>
      <c r="F229" s="219">
        <v>2619.2133999999996</v>
      </c>
      <c r="G229" s="219">
        <v>2619.21</v>
      </c>
      <c r="H229" s="7">
        <v>0</v>
      </c>
      <c r="I229" s="220">
        <v>0.89</v>
      </c>
      <c r="J229" s="145">
        <f t="shared" si="74"/>
        <v>2.98</v>
      </c>
      <c r="K229" s="221">
        <f t="shared" si="75"/>
        <v>0</v>
      </c>
      <c r="L229" s="248">
        <f t="shared" si="76"/>
        <v>2331.0969</v>
      </c>
      <c r="M229" s="7">
        <f t="shared" si="77"/>
        <v>7809.17</v>
      </c>
      <c r="N229" s="228"/>
    </row>
    <row r="230" spans="3:14" outlineLevel="1">
      <c r="C230" s="646" t="s">
        <v>1361</v>
      </c>
      <c r="D230" s="647" t="s">
        <v>1122</v>
      </c>
      <c r="E230" s="218" t="s">
        <v>82</v>
      </c>
      <c r="F230" s="219">
        <v>1838.8099999999997</v>
      </c>
      <c r="G230" s="219">
        <v>1838.81</v>
      </c>
      <c r="H230" s="7">
        <v>1.48</v>
      </c>
      <c r="I230" s="220">
        <v>0</v>
      </c>
      <c r="J230" s="145">
        <f t="shared" si="74"/>
        <v>1.48</v>
      </c>
      <c r="K230" s="221">
        <f t="shared" si="75"/>
        <v>2721.4387999999999</v>
      </c>
      <c r="L230" s="248">
        <f t="shared" si="76"/>
        <v>0</v>
      </c>
      <c r="M230" s="7">
        <f t="shared" si="77"/>
        <v>2721.44</v>
      </c>
      <c r="N230" s="228"/>
    </row>
    <row r="231" spans="3:14" outlineLevel="1">
      <c r="C231" s="644" t="s">
        <v>1362</v>
      </c>
      <c r="D231" s="645" t="s">
        <v>1363</v>
      </c>
      <c r="E231" s="218"/>
      <c r="F231" s="219"/>
      <c r="G231" s="219">
        <v>0</v>
      </c>
      <c r="H231" s="7" t="s">
        <v>27</v>
      </c>
      <c r="I231" s="220" t="s">
        <v>27</v>
      </c>
      <c r="J231" s="145"/>
      <c r="K231" s="221"/>
      <c r="L231" s="248"/>
      <c r="M231" s="7"/>
      <c r="N231" s="229">
        <f>SUM(K231:K241)+SUM(L231:L241)*TC</f>
        <v>714668.27917500003</v>
      </c>
    </row>
    <row r="232" spans="3:14" ht="22.5" outlineLevel="1">
      <c r="C232" s="646" t="s">
        <v>1364</v>
      </c>
      <c r="D232" s="647" t="s">
        <v>1346</v>
      </c>
      <c r="E232" s="218" t="s">
        <v>973</v>
      </c>
      <c r="F232" s="219">
        <v>336.55978561643843</v>
      </c>
      <c r="G232" s="219">
        <v>336.56</v>
      </c>
      <c r="H232" s="7">
        <v>387.08</v>
      </c>
      <c r="I232" s="220">
        <v>0</v>
      </c>
      <c r="J232" s="145">
        <f t="shared" ref="J232:J241" si="82">+ROUND(H232+I232*TC,2)</f>
        <v>387.08</v>
      </c>
      <c r="K232" s="221">
        <f t="shared" si="64"/>
        <v>130275.64479999999</v>
      </c>
      <c r="L232" s="248">
        <f t="shared" si="65"/>
        <v>0</v>
      </c>
      <c r="M232" s="7">
        <f t="shared" si="66"/>
        <v>130275.64</v>
      </c>
      <c r="N232" s="228"/>
    </row>
    <row r="233" spans="3:14" ht="22.5" outlineLevel="1">
      <c r="C233" s="646" t="s">
        <v>1365</v>
      </c>
      <c r="D233" s="45" t="s">
        <v>1348</v>
      </c>
      <c r="E233" s="218" t="s">
        <v>973</v>
      </c>
      <c r="F233" s="219">
        <v>17.179199999999998</v>
      </c>
      <c r="G233" s="219">
        <v>17.18</v>
      </c>
      <c r="H233" s="7">
        <v>470.62</v>
      </c>
      <c r="I233" s="220">
        <v>0</v>
      </c>
      <c r="J233" s="145">
        <f t="shared" si="82"/>
        <v>470.62</v>
      </c>
      <c r="K233" s="221">
        <f t="shared" si="64"/>
        <v>8085.2515999999996</v>
      </c>
      <c r="L233" s="248">
        <f t="shared" si="65"/>
        <v>0</v>
      </c>
      <c r="M233" s="7">
        <f t="shared" si="66"/>
        <v>8085.25</v>
      </c>
      <c r="N233" s="228"/>
    </row>
    <row r="234" spans="3:14" outlineLevel="1">
      <c r="C234" s="646" t="s">
        <v>1366</v>
      </c>
      <c r="D234" s="647" t="s">
        <v>1350</v>
      </c>
      <c r="E234" s="218" t="s">
        <v>82</v>
      </c>
      <c r="F234" s="219">
        <v>3537.17</v>
      </c>
      <c r="G234" s="219">
        <v>3537.17</v>
      </c>
      <c r="H234" s="7">
        <v>36.32</v>
      </c>
      <c r="I234" s="220">
        <v>0</v>
      </c>
      <c r="J234" s="145">
        <f t="shared" si="82"/>
        <v>36.32</v>
      </c>
      <c r="K234" s="221">
        <f t="shared" si="64"/>
        <v>128470.0144</v>
      </c>
      <c r="L234" s="248">
        <f t="shared" si="65"/>
        <v>0</v>
      </c>
      <c r="M234" s="7">
        <f t="shared" si="66"/>
        <v>128470.01</v>
      </c>
      <c r="N234" s="228"/>
    </row>
    <row r="235" spans="3:14" ht="22.5" outlineLevel="1">
      <c r="C235" s="646" t="s">
        <v>1366</v>
      </c>
      <c r="D235" s="647" t="s">
        <v>1351</v>
      </c>
      <c r="E235" s="218" t="s">
        <v>82</v>
      </c>
      <c r="F235" s="219">
        <v>359.05</v>
      </c>
      <c r="G235" s="219">
        <v>359.05</v>
      </c>
      <c r="H235" s="7">
        <v>46.57</v>
      </c>
      <c r="I235" s="220">
        <v>0</v>
      </c>
      <c r="J235" s="145">
        <f t="shared" ref="J235" si="83">+ROUND(H235+I235*TC,2)</f>
        <v>46.57</v>
      </c>
      <c r="K235" s="221">
        <f t="shared" ref="K235" si="84">H235*G235</f>
        <v>16720.958500000001</v>
      </c>
      <c r="L235" s="248">
        <f t="shared" ref="L235" si="85">I235*G235</f>
        <v>0</v>
      </c>
      <c r="M235" s="7">
        <f t="shared" ref="M235" si="86">+ROUND(K235+L235*TC,2)</f>
        <v>16720.96</v>
      </c>
      <c r="N235" s="228"/>
    </row>
    <row r="236" spans="3:14" outlineLevel="1">
      <c r="C236" s="646" t="s">
        <v>1367</v>
      </c>
      <c r="D236" s="45" t="s">
        <v>1368</v>
      </c>
      <c r="E236" s="218" t="s">
        <v>82</v>
      </c>
      <c r="F236" s="219">
        <v>3896.2200000000003</v>
      </c>
      <c r="G236" s="219">
        <v>3896.22</v>
      </c>
      <c r="H236" s="7">
        <v>58.5</v>
      </c>
      <c r="I236" s="220">
        <v>0</v>
      </c>
      <c r="J236" s="145">
        <f t="shared" si="82"/>
        <v>58.5</v>
      </c>
      <c r="K236" s="221">
        <f t="shared" si="64"/>
        <v>227928.87</v>
      </c>
      <c r="L236" s="248">
        <f t="shared" si="65"/>
        <v>0</v>
      </c>
      <c r="M236" s="7">
        <f t="shared" si="66"/>
        <v>227928.87</v>
      </c>
      <c r="N236" s="228"/>
    </row>
    <row r="237" spans="3:14" outlineLevel="1">
      <c r="C237" s="646" t="s">
        <v>1369</v>
      </c>
      <c r="D237" s="647" t="s">
        <v>1342</v>
      </c>
      <c r="E237" s="218" t="s">
        <v>82</v>
      </c>
      <c r="F237" s="219">
        <v>3896.2200000000003</v>
      </c>
      <c r="G237" s="219">
        <v>3896.22</v>
      </c>
      <c r="H237" s="7">
        <v>4.37</v>
      </c>
      <c r="I237" s="220">
        <v>0</v>
      </c>
      <c r="J237" s="145">
        <f t="shared" si="82"/>
        <v>4.37</v>
      </c>
      <c r="K237" s="221">
        <f t="shared" si="64"/>
        <v>17026.481400000001</v>
      </c>
      <c r="L237" s="248">
        <f t="shared" si="65"/>
        <v>0</v>
      </c>
      <c r="M237" s="7">
        <f t="shared" si="66"/>
        <v>17026.48</v>
      </c>
      <c r="N237" s="228"/>
    </row>
    <row r="238" spans="3:14" outlineLevel="1">
      <c r="C238" s="646" t="s">
        <v>1370</v>
      </c>
      <c r="D238" s="647" t="s">
        <v>1356</v>
      </c>
      <c r="E238" s="218" t="s">
        <v>118</v>
      </c>
      <c r="F238" s="219">
        <v>21814.137220000008</v>
      </c>
      <c r="G238" s="219">
        <v>21814.14</v>
      </c>
      <c r="H238" s="7">
        <v>1.24</v>
      </c>
      <c r="I238" s="220">
        <v>0.89</v>
      </c>
      <c r="J238" s="145">
        <f t="shared" si="82"/>
        <v>4.22</v>
      </c>
      <c r="K238" s="221">
        <f t="shared" si="64"/>
        <v>27049.533599999999</v>
      </c>
      <c r="L238" s="248">
        <f t="shared" si="65"/>
        <v>19414.584599999998</v>
      </c>
      <c r="M238" s="7">
        <f t="shared" si="66"/>
        <v>92088.39</v>
      </c>
      <c r="N238" s="228"/>
    </row>
    <row r="239" spans="3:14" ht="22.5" outlineLevel="1">
      <c r="C239" s="646" t="s">
        <v>1371</v>
      </c>
      <c r="D239" s="647" t="s">
        <v>1358</v>
      </c>
      <c r="E239" s="218" t="s">
        <v>118</v>
      </c>
      <c r="F239" s="219">
        <v>19963.918100000014</v>
      </c>
      <c r="G239" s="219">
        <v>19963.919999999998</v>
      </c>
      <c r="H239" s="7">
        <v>0</v>
      </c>
      <c r="I239" s="220">
        <v>0.89</v>
      </c>
      <c r="J239" s="145">
        <f t="shared" si="82"/>
        <v>2.98</v>
      </c>
      <c r="K239" s="221">
        <f t="shared" si="64"/>
        <v>0</v>
      </c>
      <c r="L239" s="248">
        <f t="shared" si="65"/>
        <v>17767.888799999997</v>
      </c>
      <c r="M239" s="7">
        <f t="shared" si="66"/>
        <v>59522.43</v>
      </c>
      <c r="N239" s="228"/>
    </row>
    <row r="240" spans="3:14" ht="22.5" outlineLevel="1">
      <c r="C240" s="646" t="s">
        <v>1372</v>
      </c>
      <c r="D240" s="45" t="s">
        <v>1373</v>
      </c>
      <c r="E240" s="218" t="s">
        <v>118</v>
      </c>
      <c r="F240" s="219">
        <v>6818.3850000000002</v>
      </c>
      <c r="G240" s="219">
        <v>6818.39</v>
      </c>
      <c r="H240" s="7">
        <v>1.24</v>
      </c>
      <c r="I240" s="220">
        <v>0.89</v>
      </c>
      <c r="J240" s="145">
        <f t="shared" si="82"/>
        <v>4.22</v>
      </c>
      <c r="K240" s="221">
        <f t="shared" si="64"/>
        <v>8454.8036000000011</v>
      </c>
      <c r="L240" s="248">
        <f t="shared" si="65"/>
        <v>6068.3671000000004</v>
      </c>
      <c r="M240" s="7">
        <f t="shared" si="66"/>
        <v>28783.83</v>
      </c>
      <c r="N240" s="228"/>
    </row>
    <row r="241" spans="3:14" outlineLevel="1">
      <c r="C241" s="646" t="s">
        <v>1374</v>
      </c>
      <c r="D241" s="647" t="s">
        <v>1122</v>
      </c>
      <c r="E241" s="218" t="s">
        <v>82</v>
      </c>
      <c r="F241" s="219">
        <v>3896.2200000000003</v>
      </c>
      <c r="G241" s="219">
        <v>3896.22</v>
      </c>
      <c r="H241" s="7">
        <v>1.48</v>
      </c>
      <c r="I241" s="220">
        <v>0</v>
      </c>
      <c r="J241" s="145">
        <f t="shared" si="82"/>
        <v>1.48</v>
      </c>
      <c r="K241" s="221">
        <f t="shared" si="64"/>
        <v>5766.4056</v>
      </c>
      <c r="L241" s="248">
        <f t="shared" si="65"/>
        <v>0</v>
      </c>
      <c r="M241" s="7">
        <f t="shared" si="66"/>
        <v>5766.41</v>
      </c>
      <c r="N241" s="228"/>
    </row>
    <row r="242" spans="3:14" outlineLevel="1">
      <c r="C242" s="644" t="s">
        <v>1362</v>
      </c>
      <c r="D242" s="645" t="s">
        <v>1375</v>
      </c>
      <c r="E242" s="218"/>
      <c r="F242" s="219"/>
      <c r="G242" s="219">
        <v>0</v>
      </c>
      <c r="H242" s="7" t="s">
        <v>27</v>
      </c>
      <c r="I242" s="220" t="s">
        <v>27</v>
      </c>
      <c r="J242" s="145"/>
      <c r="K242" s="221"/>
      <c r="L242" s="248"/>
      <c r="M242" s="7"/>
      <c r="N242" s="229">
        <f>SUM(K242:K251)+SUM(L242:L251)*TC</f>
        <v>2237.7432249999997</v>
      </c>
    </row>
    <row r="243" spans="3:14" ht="22.5" outlineLevel="1">
      <c r="C243" s="646" t="s">
        <v>1364</v>
      </c>
      <c r="D243" s="45" t="s">
        <v>1376</v>
      </c>
      <c r="E243" s="218" t="s">
        <v>973</v>
      </c>
      <c r="F243" s="219">
        <v>1.8768894039573045</v>
      </c>
      <c r="G243" s="219">
        <v>1.88</v>
      </c>
      <c r="H243" s="7">
        <v>387.08</v>
      </c>
      <c r="I243" s="220">
        <v>0</v>
      </c>
      <c r="J243" s="145">
        <f t="shared" ref="J243:J251" si="87">+ROUND(H243+I243*TC,2)</f>
        <v>387.08</v>
      </c>
      <c r="K243" s="221">
        <f t="shared" ref="K243:K251" si="88">H243*G243</f>
        <v>727.71039999999994</v>
      </c>
      <c r="L243" s="248">
        <f t="shared" ref="L243:L251" si="89">I243*G243</f>
        <v>0</v>
      </c>
      <c r="M243" s="7">
        <f t="shared" ref="M243:M251" si="90">+ROUND(K243+L243*TC,2)</f>
        <v>727.71</v>
      </c>
      <c r="N243" s="228"/>
    </row>
    <row r="244" spans="3:14" ht="22.5" outlineLevel="1">
      <c r="C244" s="646" t="s">
        <v>1365</v>
      </c>
      <c r="D244" s="45" t="s">
        <v>1348</v>
      </c>
      <c r="E244" s="218" t="s">
        <v>973</v>
      </c>
      <c r="F244" s="219">
        <v>0.42449999999999999</v>
      </c>
      <c r="G244" s="219">
        <v>0.42</v>
      </c>
      <c r="H244" s="7">
        <v>470.62</v>
      </c>
      <c r="I244" s="220">
        <v>0</v>
      </c>
      <c r="J244" s="145">
        <f t="shared" si="87"/>
        <v>470.62</v>
      </c>
      <c r="K244" s="221">
        <f t="shared" si="88"/>
        <v>197.66039999999998</v>
      </c>
      <c r="L244" s="248">
        <f t="shared" si="89"/>
        <v>0</v>
      </c>
      <c r="M244" s="7">
        <f t="shared" si="90"/>
        <v>197.66</v>
      </c>
      <c r="N244" s="228"/>
    </row>
    <row r="245" spans="3:14" outlineLevel="1">
      <c r="C245" s="646" t="s">
        <v>1366</v>
      </c>
      <c r="D245" s="647" t="s">
        <v>1350</v>
      </c>
      <c r="E245" s="218" t="s">
        <v>82</v>
      </c>
      <c r="F245" s="219">
        <v>12.512596026382033</v>
      </c>
      <c r="G245" s="219">
        <v>12.51</v>
      </c>
      <c r="H245" s="7">
        <v>36.32</v>
      </c>
      <c r="I245" s="220">
        <v>0</v>
      </c>
      <c r="J245" s="145">
        <f t="shared" si="87"/>
        <v>36.32</v>
      </c>
      <c r="K245" s="221">
        <f t="shared" si="88"/>
        <v>454.36320000000001</v>
      </c>
      <c r="L245" s="248">
        <f t="shared" si="89"/>
        <v>0</v>
      </c>
      <c r="M245" s="7">
        <f t="shared" si="90"/>
        <v>454.36</v>
      </c>
      <c r="N245" s="228"/>
    </row>
    <row r="246" spans="3:14" outlineLevel="1">
      <c r="C246" s="646" t="s">
        <v>1367</v>
      </c>
      <c r="D246" s="45" t="s">
        <v>1341</v>
      </c>
      <c r="E246" s="218" t="s">
        <v>82</v>
      </c>
      <c r="F246" s="219">
        <v>12.512596026382033</v>
      </c>
      <c r="G246" s="219">
        <v>12.51</v>
      </c>
      <c r="H246" s="7">
        <v>47.5</v>
      </c>
      <c r="I246" s="220">
        <v>0</v>
      </c>
      <c r="J246" s="145">
        <f t="shared" si="87"/>
        <v>47.5</v>
      </c>
      <c r="K246" s="221">
        <f t="shared" si="88"/>
        <v>594.22500000000002</v>
      </c>
      <c r="L246" s="248">
        <f t="shared" si="89"/>
        <v>0</v>
      </c>
      <c r="M246" s="7">
        <f t="shared" si="90"/>
        <v>594.23</v>
      </c>
      <c r="N246" s="228"/>
    </row>
    <row r="247" spans="3:14" outlineLevel="1">
      <c r="C247" s="646" t="s">
        <v>1369</v>
      </c>
      <c r="D247" s="647" t="s">
        <v>1342</v>
      </c>
      <c r="E247" s="218" t="s">
        <v>82</v>
      </c>
      <c r="F247" s="219">
        <v>12.512596026382033</v>
      </c>
      <c r="G247" s="219">
        <v>12.51</v>
      </c>
      <c r="H247" s="7">
        <v>4.37</v>
      </c>
      <c r="I247" s="220">
        <v>0</v>
      </c>
      <c r="J247" s="145">
        <f t="shared" si="87"/>
        <v>4.37</v>
      </c>
      <c r="K247" s="221">
        <f t="shared" si="88"/>
        <v>54.668700000000001</v>
      </c>
      <c r="L247" s="248">
        <f t="shared" si="89"/>
        <v>0</v>
      </c>
      <c r="M247" s="7">
        <f t="shared" si="90"/>
        <v>54.67</v>
      </c>
      <c r="N247" s="228"/>
    </row>
    <row r="248" spans="3:14" outlineLevel="1">
      <c r="C248" s="646" t="s">
        <v>1370</v>
      </c>
      <c r="D248" s="647" t="s">
        <v>1356</v>
      </c>
      <c r="E248" s="218" t="s">
        <v>118</v>
      </c>
      <c r="F248" s="219">
        <v>26.3781</v>
      </c>
      <c r="G248" s="219">
        <v>26.38</v>
      </c>
      <c r="H248" s="7">
        <v>1.24</v>
      </c>
      <c r="I248" s="220">
        <v>0.89</v>
      </c>
      <c r="J248" s="145">
        <f t="shared" si="87"/>
        <v>4.22</v>
      </c>
      <c r="K248" s="221">
        <f t="shared" si="88"/>
        <v>32.711199999999998</v>
      </c>
      <c r="L248" s="248">
        <f t="shared" si="89"/>
        <v>23.478200000000001</v>
      </c>
      <c r="M248" s="7">
        <f t="shared" si="90"/>
        <v>111.36</v>
      </c>
      <c r="N248" s="228"/>
    </row>
    <row r="249" spans="3:14" ht="22.5" outlineLevel="1">
      <c r="C249" s="646" t="s">
        <v>1371</v>
      </c>
      <c r="D249" s="647" t="s">
        <v>1358</v>
      </c>
      <c r="E249" s="218" t="s">
        <v>118</v>
      </c>
      <c r="F249" s="219"/>
      <c r="G249" s="219">
        <v>0</v>
      </c>
      <c r="H249" s="7">
        <v>0</v>
      </c>
      <c r="I249" s="220">
        <v>0.89</v>
      </c>
      <c r="J249" s="145">
        <f t="shared" si="87"/>
        <v>2.98</v>
      </c>
      <c r="K249" s="221">
        <f t="shared" si="88"/>
        <v>0</v>
      </c>
      <c r="L249" s="248">
        <f t="shared" si="89"/>
        <v>0</v>
      </c>
      <c r="M249" s="7">
        <f t="shared" si="90"/>
        <v>0</v>
      </c>
      <c r="N249" s="228"/>
    </row>
    <row r="250" spans="3:14" ht="22.5" outlineLevel="1">
      <c r="C250" s="646" t="s">
        <v>1372</v>
      </c>
      <c r="D250" s="45" t="s">
        <v>1373</v>
      </c>
      <c r="E250" s="218" t="s">
        <v>118</v>
      </c>
      <c r="F250" s="219">
        <v>18.768894039573048</v>
      </c>
      <c r="G250" s="219">
        <v>18.77</v>
      </c>
      <c r="H250" s="7">
        <v>1.24</v>
      </c>
      <c r="I250" s="220">
        <v>0.89</v>
      </c>
      <c r="J250" s="145">
        <f t="shared" si="87"/>
        <v>4.22</v>
      </c>
      <c r="K250" s="221">
        <f t="shared" si="88"/>
        <v>23.274799999999999</v>
      </c>
      <c r="L250" s="248">
        <f t="shared" si="89"/>
        <v>16.705300000000001</v>
      </c>
      <c r="M250" s="7">
        <f t="shared" si="90"/>
        <v>79.239999999999995</v>
      </c>
      <c r="N250" s="228"/>
    </row>
    <row r="251" spans="3:14" outlineLevel="1">
      <c r="C251" s="646" t="s">
        <v>1374</v>
      </c>
      <c r="D251" s="647" t="s">
        <v>1122</v>
      </c>
      <c r="E251" s="218" t="s">
        <v>82</v>
      </c>
      <c r="F251" s="219">
        <v>12.512596026382033</v>
      </c>
      <c r="G251" s="219">
        <v>12.51</v>
      </c>
      <c r="H251" s="7">
        <v>1.48</v>
      </c>
      <c r="I251" s="220">
        <v>0</v>
      </c>
      <c r="J251" s="145">
        <f t="shared" si="87"/>
        <v>1.48</v>
      </c>
      <c r="K251" s="221">
        <f t="shared" si="88"/>
        <v>18.514800000000001</v>
      </c>
      <c r="L251" s="248">
        <f t="shared" si="89"/>
        <v>0</v>
      </c>
      <c r="M251" s="7">
        <f t="shared" si="90"/>
        <v>18.510000000000002</v>
      </c>
      <c r="N251" s="228"/>
    </row>
    <row r="252" spans="3:14" outlineLevel="1">
      <c r="C252" s="644" t="s">
        <v>1362</v>
      </c>
      <c r="D252" s="645" t="s">
        <v>1377</v>
      </c>
      <c r="E252" s="218"/>
      <c r="F252" s="219"/>
      <c r="G252" s="219">
        <v>0</v>
      </c>
      <c r="H252" s="7" t="s">
        <v>27</v>
      </c>
      <c r="I252" s="220" t="s">
        <v>27</v>
      </c>
      <c r="J252" s="145"/>
      <c r="K252" s="221"/>
      <c r="L252" s="248"/>
      <c r="M252" s="7"/>
      <c r="N252" s="229">
        <f>SUM(K252:K259)+SUM(L252:L259)*TC</f>
        <v>249333.80033999999</v>
      </c>
    </row>
    <row r="253" spans="3:14" ht="22.5" outlineLevel="1">
      <c r="C253" s="646" t="s">
        <v>1364</v>
      </c>
      <c r="D253" s="45" t="s">
        <v>1376</v>
      </c>
      <c r="E253" s="218" t="s">
        <v>973</v>
      </c>
      <c r="F253" s="219">
        <v>250.65800000000004</v>
      </c>
      <c r="G253" s="219">
        <v>250.66</v>
      </c>
      <c r="H253" s="7">
        <v>387.08</v>
      </c>
      <c r="I253" s="220">
        <v>0</v>
      </c>
      <c r="J253" s="145">
        <f t="shared" ref="J253:J258" si="91">+ROUND(H253+I253*TC,2)</f>
        <v>387.08</v>
      </c>
      <c r="K253" s="221">
        <f t="shared" ref="K253:K258" si="92">H253*G253</f>
        <v>97025.472799999989</v>
      </c>
      <c r="L253" s="248">
        <f t="shared" ref="L253:L258" si="93">I253*G253</f>
        <v>0</v>
      </c>
      <c r="M253" s="7">
        <f t="shared" ref="M253:M258" si="94">+ROUND(K253+L253*TC,2)</f>
        <v>97025.47</v>
      </c>
      <c r="N253" s="228"/>
    </row>
    <row r="254" spans="3:14" ht="22.5" outlineLevel="1">
      <c r="C254" s="646" t="s">
        <v>1365</v>
      </c>
      <c r="D254" s="647" t="s">
        <v>1378</v>
      </c>
      <c r="E254" s="218" t="s">
        <v>973</v>
      </c>
      <c r="F254" s="219">
        <v>21.16</v>
      </c>
      <c r="G254" s="219">
        <v>21.16</v>
      </c>
      <c r="H254" s="7">
        <v>448.65</v>
      </c>
      <c r="I254" s="220">
        <v>0</v>
      </c>
      <c r="J254" s="145">
        <f t="shared" si="91"/>
        <v>448.65</v>
      </c>
      <c r="K254" s="221">
        <f t="shared" si="92"/>
        <v>9493.4339999999993</v>
      </c>
      <c r="L254" s="248">
        <f t="shared" si="93"/>
        <v>0</v>
      </c>
      <c r="M254" s="7">
        <f t="shared" si="94"/>
        <v>9493.43</v>
      </c>
      <c r="N254" s="228"/>
    </row>
    <row r="255" spans="3:14" outlineLevel="1">
      <c r="C255" s="646" t="s">
        <v>1366</v>
      </c>
      <c r="D255" s="45" t="s">
        <v>1379</v>
      </c>
      <c r="E255" s="218" t="s">
        <v>82</v>
      </c>
      <c r="F255" s="219">
        <v>1097.1299999999999</v>
      </c>
      <c r="G255" s="219">
        <v>1097.1300000000001</v>
      </c>
      <c r="H255" s="7">
        <v>50.8</v>
      </c>
      <c r="I255" s="220">
        <v>0</v>
      </c>
      <c r="J255" s="145">
        <f t="shared" si="91"/>
        <v>50.8</v>
      </c>
      <c r="K255" s="221">
        <f t="shared" si="92"/>
        <v>55734.204000000005</v>
      </c>
      <c r="L255" s="248">
        <f t="shared" si="93"/>
        <v>0</v>
      </c>
      <c r="M255" s="7">
        <f t="shared" si="94"/>
        <v>55734.2</v>
      </c>
      <c r="N255" s="228"/>
    </row>
    <row r="256" spans="3:14" outlineLevel="1">
      <c r="C256" s="646" t="s">
        <v>1366</v>
      </c>
      <c r="D256" s="45" t="s">
        <v>1380</v>
      </c>
      <c r="E256" s="218" t="s">
        <v>82</v>
      </c>
      <c r="F256" s="219">
        <v>261.95999999999998</v>
      </c>
      <c r="G256" s="219">
        <v>261.95999999999998</v>
      </c>
      <c r="H256" s="7">
        <v>60.7</v>
      </c>
      <c r="I256" s="220">
        <v>0</v>
      </c>
      <c r="J256" s="145">
        <f t="shared" ref="J256" si="95">+ROUND(H256+I256*TC,2)</f>
        <v>60.7</v>
      </c>
      <c r="K256" s="221">
        <f t="shared" ref="K256" si="96">H256*G256</f>
        <v>15900.972</v>
      </c>
      <c r="L256" s="248">
        <f t="shared" ref="L256" si="97">I256*G256</f>
        <v>0</v>
      </c>
      <c r="M256" s="7">
        <f t="shared" ref="M256" si="98">+ROUND(K256+L256*TC,2)</f>
        <v>15900.97</v>
      </c>
      <c r="N256" s="228"/>
    </row>
    <row r="257" spans="3:14" outlineLevel="1">
      <c r="C257" s="646" t="s">
        <v>1370</v>
      </c>
      <c r="D257" s="647" t="s">
        <v>1356</v>
      </c>
      <c r="E257" s="218" t="s">
        <v>118</v>
      </c>
      <c r="F257" s="219">
        <v>16384.756390000002</v>
      </c>
      <c r="G257" s="219">
        <v>16384.759999999998</v>
      </c>
      <c r="H257" s="7">
        <v>1.24</v>
      </c>
      <c r="I257" s="220">
        <v>0.89</v>
      </c>
      <c r="J257" s="145">
        <f t="shared" si="91"/>
        <v>4.22</v>
      </c>
      <c r="K257" s="221">
        <f t="shared" si="92"/>
        <v>20317.102399999996</v>
      </c>
      <c r="L257" s="248">
        <f t="shared" si="93"/>
        <v>14582.436399999999</v>
      </c>
      <c r="M257" s="7">
        <f t="shared" si="94"/>
        <v>69168.259999999995</v>
      </c>
      <c r="N257" s="228"/>
    </row>
    <row r="258" spans="3:14" outlineLevel="1">
      <c r="C258" s="646" t="s">
        <v>1374</v>
      </c>
      <c r="D258" s="647" t="s">
        <v>1122</v>
      </c>
      <c r="E258" s="218" t="s">
        <v>82</v>
      </c>
      <c r="F258" s="219">
        <v>1359.09</v>
      </c>
      <c r="G258" s="219">
        <v>1359.09</v>
      </c>
      <c r="H258" s="7">
        <v>1.48</v>
      </c>
      <c r="I258" s="220">
        <v>0</v>
      </c>
      <c r="J258" s="145">
        <f t="shared" si="91"/>
        <v>1.48</v>
      </c>
      <c r="K258" s="221">
        <f t="shared" si="92"/>
        <v>2011.4531999999999</v>
      </c>
      <c r="L258" s="248">
        <f t="shared" si="93"/>
        <v>0</v>
      </c>
      <c r="M258" s="7">
        <f t="shared" si="94"/>
        <v>2011.45</v>
      </c>
      <c r="N258" s="228"/>
    </row>
    <row r="259" spans="3:14" outlineLevel="1">
      <c r="C259" s="644" t="s">
        <v>1362</v>
      </c>
      <c r="D259" s="645" t="s">
        <v>1377</v>
      </c>
      <c r="E259" s="218"/>
      <c r="F259" s="219"/>
      <c r="G259" s="219">
        <v>0</v>
      </c>
      <c r="H259" s="7" t="s">
        <v>27</v>
      </c>
      <c r="I259" s="220" t="s">
        <v>27</v>
      </c>
      <c r="J259" s="145"/>
      <c r="K259" s="221"/>
      <c r="L259" s="248"/>
      <c r="M259" s="7"/>
      <c r="N259" s="229">
        <f>SUM(K259:K265)+SUM(L259:L265)*TC</f>
        <v>0</v>
      </c>
    </row>
    <row r="260" spans="3:14" ht="22.5" outlineLevel="1">
      <c r="C260" s="646" t="s">
        <v>1364</v>
      </c>
      <c r="D260" s="45" t="s">
        <v>1376</v>
      </c>
      <c r="E260" s="218" t="s">
        <v>973</v>
      </c>
      <c r="F260" s="219"/>
      <c r="G260" s="219">
        <v>0</v>
      </c>
      <c r="H260" s="7">
        <v>387.08</v>
      </c>
      <c r="I260" s="220">
        <v>0</v>
      </c>
      <c r="J260" s="145">
        <f t="shared" ref="J260:J264" si="99">+ROUND(H260+I260*TC,2)</f>
        <v>387.08</v>
      </c>
      <c r="K260" s="221">
        <f t="shared" ref="K260:K264" si="100">H260*G260</f>
        <v>0</v>
      </c>
      <c r="L260" s="248">
        <f t="shared" ref="L260:L264" si="101">I260*G260</f>
        <v>0</v>
      </c>
      <c r="M260" s="7">
        <f t="shared" ref="M260:M264" si="102">+ROUND(K260+L260*TC,2)</f>
        <v>0</v>
      </c>
      <c r="N260" s="228"/>
    </row>
    <row r="261" spans="3:14" ht="22.5" outlineLevel="1">
      <c r="C261" s="646" t="s">
        <v>1365</v>
      </c>
      <c r="D261" s="647" t="s">
        <v>1378</v>
      </c>
      <c r="E261" s="218" t="s">
        <v>973</v>
      </c>
      <c r="F261" s="219"/>
      <c r="G261" s="219">
        <v>0</v>
      </c>
      <c r="H261" s="7">
        <v>448.65</v>
      </c>
      <c r="I261" s="220">
        <v>0</v>
      </c>
      <c r="J261" s="145">
        <f t="shared" si="99"/>
        <v>448.65</v>
      </c>
      <c r="K261" s="221">
        <f t="shared" si="100"/>
        <v>0</v>
      </c>
      <c r="L261" s="248">
        <f t="shared" si="101"/>
        <v>0</v>
      </c>
      <c r="M261" s="7">
        <f t="shared" si="102"/>
        <v>0</v>
      </c>
      <c r="N261" s="228"/>
    </row>
    <row r="262" spans="3:14" outlineLevel="1">
      <c r="C262" s="646" t="s">
        <v>1366</v>
      </c>
      <c r="D262" s="45" t="s">
        <v>1379</v>
      </c>
      <c r="E262" s="218" t="s">
        <v>82</v>
      </c>
      <c r="F262" s="219"/>
      <c r="G262" s="219">
        <v>0</v>
      </c>
      <c r="H262" s="7">
        <v>50.8</v>
      </c>
      <c r="I262" s="220">
        <v>0</v>
      </c>
      <c r="J262" s="145">
        <f t="shared" si="99"/>
        <v>50.8</v>
      </c>
      <c r="K262" s="221">
        <f t="shared" si="100"/>
        <v>0</v>
      </c>
      <c r="L262" s="248">
        <f t="shared" si="101"/>
        <v>0</v>
      </c>
      <c r="M262" s="7">
        <f t="shared" si="102"/>
        <v>0</v>
      </c>
      <c r="N262" s="228"/>
    </row>
    <row r="263" spans="3:14" outlineLevel="1">
      <c r="C263" s="646" t="s">
        <v>1370</v>
      </c>
      <c r="D263" s="647" t="s">
        <v>1356</v>
      </c>
      <c r="E263" s="218" t="s">
        <v>118</v>
      </c>
      <c r="F263" s="219"/>
      <c r="G263" s="219">
        <v>0</v>
      </c>
      <c r="H263" s="7">
        <v>1.24</v>
      </c>
      <c r="I263" s="220">
        <v>0.89</v>
      </c>
      <c r="J263" s="145">
        <f t="shared" si="99"/>
        <v>4.22</v>
      </c>
      <c r="K263" s="221">
        <f t="shared" si="100"/>
        <v>0</v>
      </c>
      <c r="L263" s="248">
        <f t="shared" si="101"/>
        <v>0</v>
      </c>
      <c r="M263" s="7">
        <f t="shared" si="102"/>
        <v>0</v>
      </c>
      <c r="N263" s="228"/>
    </row>
    <row r="264" spans="3:14" outlineLevel="1">
      <c r="C264" s="646" t="s">
        <v>1374</v>
      </c>
      <c r="D264" s="647" t="s">
        <v>1122</v>
      </c>
      <c r="E264" s="218" t="s">
        <v>82</v>
      </c>
      <c r="F264" s="219"/>
      <c r="G264" s="219">
        <v>0</v>
      </c>
      <c r="H264" s="7">
        <v>1.48</v>
      </c>
      <c r="I264" s="220">
        <v>0</v>
      </c>
      <c r="J264" s="145">
        <f t="shared" si="99"/>
        <v>1.48</v>
      </c>
      <c r="K264" s="221">
        <f t="shared" si="100"/>
        <v>0</v>
      </c>
      <c r="L264" s="248">
        <f t="shared" si="101"/>
        <v>0</v>
      </c>
      <c r="M264" s="7">
        <f t="shared" si="102"/>
        <v>0</v>
      </c>
      <c r="N264" s="228"/>
    </row>
    <row r="265" spans="3:14" outlineLevel="1">
      <c r="C265" s="644" t="s">
        <v>1381</v>
      </c>
      <c r="D265" s="645" t="s">
        <v>1382</v>
      </c>
      <c r="E265" s="218"/>
      <c r="F265" s="219"/>
      <c r="G265" s="219">
        <v>0</v>
      </c>
      <c r="H265" s="7" t="s">
        <v>27</v>
      </c>
      <c r="I265" s="220" t="s">
        <v>27</v>
      </c>
      <c r="J265" s="145"/>
      <c r="K265" s="221"/>
      <c r="L265" s="248"/>
      <c r="M265" s="7"/>
      <c r="N265" s="228"/>
    </row>
    <row r="266" spans="3:14" ht="22.5" outlineLevel="1">
      <c r="C266" s="646" t="s">
        <v>1383</v>
      </c>
      <c r="D266" s="647" t="s">
        <v>1384</v>
      </c>
      <c r="E266" s="218" t="s">
        <v>973</v>
      </c>
      <c r="F266" s="219"/>
      <c r="G266" s="219">
        <v>0</v>
      </c>
      <c r="H266" s="7">
        <v>0</v>
      </c>
      <c r="I266" s="220">
        <v>0</v>
      </c>
      <c r="J266" s="145">
        <f>+ROUND(H266+I266*TC,2)</f>
        <v>0</v>
      </c>
      <c r="K266" s="221">
        <f t="shared" ref="K266:K284" si="103">H266*G266</f>
        <v>0</v>
      </c>
      <c r="L266" s="248">
        <f t="shared" ref="L266:L284" si="104">I266*G266</f>
        <v>0</v>
      </c>
      <c r="M266" s="7">
        <f t="shared" ref="M266:M284" si="105">+ROUND(K266+L266*TC,2)</f>
        <v>0</v>
      </c>
      <c r="N266" s="228"/>
    </row>
    <row r="267" spans="3:14" outlineLevel="1">
      <c r="C267" s="646" t="s">
        <v>1385</v>
      </c>
      <c r="D267" s="647" t="s">
        <v>1386</v>
      </c>
      <c r="E267" s="218" t="s">
        <v>82</v>
      </c>
      <c r="F267" s="219"/>
      <c r="G267" s="219">
        <v>0</v>
      </c>
      <c r="H267" s="7">
        <v>0</v>
      </c>
      <c r="I267" s="220">
        <v>0</v>
      </c>
      <c r="J267" s="145">
        <f>+ROUND(H267+I267*TC,2)</f>
        <v>0</v>
      </c>
      <c r="K267" s="221">
        <f t="shared" si="103"/>
        <v>0</v>
      </c>
      <c r="L267" s="248">
        <f t="shared" si="104"/>
        <v>0</v>
      </c>
      <c r="M267" s="7">
        <f t="shared" si="105"/>
        <v>0</v>
      </c>
      <c r="N267" s="228"/>
    </row>
    <row r="268" spans="3:14" outlineLevel="1">
      <c r="C268" s="646" t="s">
        <v>1387</v>
      </c>
      <c r="D268" s="647" t="s">
        <v>1388</v>
      </c>
      <c r="E268" s="218" t="s">
        <v>118</v>
      </c>
      <c r="F268" s="219"/>
      <c r="G268" s="219">
        <v>0</v>
      </c>
      <c r="H268" s="7">
        <v>0</v>
      </c>
      <c r="I268" s="220">
        <v>0</v>
      </c>
      <c r="J268" s="145">
        <f>+ROUND(H268+I268*TC,2)</f>
        <v>0</v>
      </c>
      <c r="K268" s="221">
        <f t="shared" si="103"/>
        <v>0</v>
      </c>
      <c r="L268" s="248">
        <f t="shared" si="104"/>
        <v>0</v>
      </c>
      <c r="M268" s="7">
        <f t="shared" si="105"/>
        <v>0</v>
      </c>
      <c r="N268" s="228"/>
    </row>
    <row r="269" spans="3:14" outlineLevel="1">
      <c r="C269" s="646" t="s">
        <v>1389</v>
      </c>
      <c r="D269" s="647" t="s">
        <v>1390</v>
      </c>
      <c r="E269" s="218" t="s">
        <v>82</v>
      </c>
      <c r="F269" s="219"/>
      <c r="G269" s="219">
        <v>0</v>
      </c>
      <c r="H269" s="7">
        <v>0</v>
      </c>
      <c r="I269" s="220">
        <v>0</v>
      </c>
      <c r="J269" s="145">
        <f>+ROUND(H269+I269*TC,2)</f>
        <v>0</v>
      </c>
      <c r="K269" s="221">
        <f t="shared" si="103"/>
        <v>0</v>
      </c>
      <c r="L269" s="248">
        <f t="shared" si="104"/>
        <v>0</v>
      </c>
      <c r="M269" s="7">
        <f t="shared" si="105"/>
        <v>0</v>
      </c>
      <c r="N269" s="228"/>
    </row>
    <row r="270" spans="3:14" outlineLevel="1">
      <c r="C270" s="646" t="s">
        <v>1391</v>
      </c>
      <c r="D270" s="647" t="s">
        <v>1392</v>
      </c>
      <c r="E270" s="218" t="s">
        <v>82</v>
      </c>
      <c r="F270" s="219"/>
      <c r="G270" s="219">
        <v>0</v>
      </c>
      <c r="H270" s="7">
        <v>0</v>
      </c>
      <c r="I270" s="220">
        <v>0</v>
      </c>
      <c r="J270" s="145">
        <f>+ROUND(H270+I270*TC,2)</f>
        <v>0</v>
      </c>
      <c r="K270" s="221">
        <f t="shared" si="103"/>
        <v>0</v>
      </c>
      <c r="L270" s="248">
        <f t="shared" si="104"/>
        <v>0</v>
      </c>
      <c r="M270" s="7">
        <f t="shared" si="105"/>
        <v>0</v>
      </c>
      <c r="N270" s="228"/>
    </row>
    <row r="271" spans="3:14" outlineLevel="1">
      <c r="C271" s="644" t="s">
        <v>1393</v>
      </c>
      <c r="D271" s="645" t="s">
        <v>1394</v>
      </c>
      <c r="E271" s="224"/>
      <c r="F271" s="219"/>
      <c r="G271" s="219">
        <v>0</v>
      </c>
      <c r="H271" s="7" t="s">
        <v>27</v>
      </c>
      <c r="I271" s="220" t="s">
        <v>27</v>
      </c>
      <c r="J271" s="145"/>
      <c r="K271" s="221"/>
      <c r="L271" s="248"/>
      <c r="M271" s="7"/>
      <c r="N271" s="228"/>
    </row>
    <row r="272" spans="3:14" ht="22.5" outlineLevel="1">
      <c r="C272" s="646" t="s">
        <v>1395</v>
      </c>
      <c r="D272" s="647" t="s">
        <v>1384</v>
      </c>
      <c r="E272" s="218" t="s">
        <v>973</v>
      </c>
      <c r="F272" s="219"/>
      <c r="G272" s="219">
        <v>0</v>
      </c>
      <c r="H272" s="7">
        <v>0</v>
      </c>
      <c r="I272" s="220">
        <v>0</v>
      </c>
      <c r="J272" s="145">
        <f>+ROUND(H272+I272*TC,2)</f>
        <v>0</v>
      </c>
      <c r="K272" s="221">
        <f t="shared" si="103"/>
        <v>0</v>
      </c>
      <c r="L272" s="248">
        <f t="shared" si="104"/>
        <v>0</v>
      </c>
      <c r="M272" s="7">
        <f t="shared" si="105"/>
        <v>0</v>
      </c>
      <c r="N272" s="228"/>
    </row>
    <row r="273" spans="3:14" outlineLevel="1">
      <c r="C273" s="646" t="s">
        <v>1396</v>
      </c>
      <c r="D273" s="647" t="s">
        <v>1397</v>
      </c>
      <c r="E273" s="218" t="s">
        <v>141</v>
      </c>
      <c r="F273" s="219"/>
      <c r="G273" s="219">
        <v>0</v>
      </c>
      <c r="H273" s="7">
        <v>0</v>
      </c>
      <c r="I273" s="220">
        <v>0</v>
      </c>
      <c r="J273" s="145">
        <f>+ROUND(H273+I273*TC,2)</f>
        <v>0</v>
      </c>
      <c r="K273" s="221">
        <f t="shared" si="103"/>
        <v>0</v>
      </c>
      <c r="L273" s="248">
        <f t="shared" si="104"/>
        <v>0</v>
      </c>
      <c r="M273" s="7">
        <f t="shared" si="105"/>
        <v>0</v>
      </c>
      <c r="N273" s="228"/>
    </row>
    <row r="274" spans="3:14" outlineLevel="1">
      <c r="C274" s="646" t="s">
        <v>1398</v>
      </c>
      <c r="D274" s="647" t="s">
        <v>1388</v>
      </c>
      <c r="E274" s="218" t="s">
        <v>118</v>
      </c>
      <c r="F274" s="219"/>
      <c r="G274" s="219">
        <v>0</v>
      </c>
      <c r="H274" s="7">
        <v>0</v>
      </c>
      <c r="I274" s="220">
        <v>0</v>
      </c>
      <c r="J274" s="145">
        <f>+ROUND(H274+I274*TC,2)</f>
        <v>0</v>
      </c>
      <c r="K274" s="221">
        <f t="shared" si="103"/>
        <v>0</v>
      </c>
      <c r="L274" s="248">
        <f t="shared" si="104"/>
        <v>0</v>
      </c>
      <c r="M274" s="7">
        <f t="shared" si="105"/>
        <v>0</v>
      </c>
      <c r="N274" s="228"/>
    </row>
    <row r="275" spans="3:14" outlineLevel="1">
      <c r="C275" s="646" t="s">
        <v>1399</v>
      </c>
      <c r="D275" s="647" t="s">
        <v>1400</v>
      </c>
      <c r="E275" s="218" t="s">
        <v>973</v>
      </c>
      <c r="F275" s="219"/>
      <c r="G275" s="219">
        <v>0</v>
      </c>
      <c r="H275" s="7">
        <v>0</v>
      </c>
      <c r="I275" s="220">
        <v>0</v>
      </c>
      <c r="J275" s="145">
        <f>+ROUND(H275+I275*TC,2)</f>
        <v>0</v>
      </c>
      <c r="K275" s="221">
        <f t="shared" si="103"/>
        <v>0</v>
      </c>
      <c r="L275" s="248">
        <f t="shared" si="104"/>
        <v>0</v>
      </c>
      <c r="M275" s="7">
        <f t="shared" si="105"/>
        <v>0</v>
      </c>
      <c r="N275" s="228"/>
    </row>
    <row r="276" spans="3:14" outlineLevel="1">
      <c r="C276" s="646" t="s">
        <v>1401</v>
      </c>
      <c r="D276" s="647" t="s">
        <v>1390</v>
      </c>
      <c r="E276" s="218" t="s">
        <v>82</v>
      </c>
      <c r="F276" s="219"/>
      <c r="G276" s="219">
        <v>0</v>
      </c>
      <c r="H276" s="7">
        <v>0</v>
      </c>
      <c r="I276" s="220">
        <v>0</v>
      </c>
      <c r="J276" s="145">
        <f>+ROUND(H276+I276*TC,2)</f>
        <v>0</v>
      </c>
      <c r="K276" s="221">
        <f t="shared" si="103"/>
        <v>0</v>
      </c>
      <c r="L276" s="248">
        <f t="shared" si="104"/>
        <v>0</v>
      </c>
      <c r="M276" s="7">
        <f t="shared" si="105"/>
        <v>0</v>
      </c>
      <c r="N276" s="228"/>
    </row>
    <row r="277" spans="3:14" outlineLevel="1">
      <c r="C277" s="644" t="s">
        <v>1402</v>
      </c>
      <c r="D277" s="645" t="s">
        <v>1403</v>
      </c>
      <c r="E277" s="224"/>
      <c r="F277" s="219"/>
      <c r="G277" s="219">
        <v>0</v>
      </c>
      <c r="H277" s="7" t="s">
        <v>27</v>
      </c>
      <c r="I277" s="220" t="s">
        <v>27</v>
      </c>
      <c r="J277" s="145"/>
      <c r="K277" s="221"/>
      <c r="L277" s="248"/>
      <c r="M277" s="7"/>
      <c r="N277" s="229">
        <f>SUM(K277:K284)+SUM(L277:L284)*TC</f>
        <v>16537.624285000002</v>
      </c>
    </row>
    <row r="278" spans="3:14" ht="22.5" outlineLevel="1">
      <c r="C278" s="646" t="s">
        <v>1404</v>
      </c>
      <c r="D278" s="45" t="s">
        <v>1405</v>
      </c>
      <c r="E278" s="218" t="s">
        <v>973</v>
      </c>
      <c r="F278" s="219">
        <v>13.35274880022723</v>
      </c>
      <c r="G278" s="219">
        <v>13.35</v>
      </c>
      <c r="H278" s="7">
        <v>410.22</v>
      </c>
      <c r="I278" s="220">
        <v>0</v>
      </c>
      <c r="J278" s="145">
        <f t="shared" ref="J278:J284" si="106">+ROUND(H278+I278*TC,2)</f>
        <v>410.22</v>
      </c>
      <c r="K278" s="221">
        <f t="shared" si="103"/>
        <v>5476.4369999999999</v>
      </c>
      <c r="L278" s="248">
        <f t="shared" si="104"/>
        <v>0</v>
      </c>
      <c r="M278" s="7">
        <f t="shared" si="105"/>
        <v>5476.44</v>
      </c>
      <c r="N278" s="228"/>
    </row>
    <row r="279" spans="3:14" ht="22.5" outlineLevel="1">
      <c r="C279" s="646" t="s">
        <v>1406</v>
      </c>
      <c r="D279" s="647" t="s">
        <v>1407</v>
      </c>
      <c r="E279" s="218" t="s">
        <v>973</v>
      </c>
      <c r="F279" s="219"/>
      <c r="G279" s="219">
        <v>0</v>
      </c>
      <c r="H279" s="7">
        <v>0</v>
      </c>
      <c r="I279" s="220">
        <v>0</v>
      </c>
      <c r="J279" s="145">
        <f t="shared" si="106"/>
        <v>0</v>
      </c>
      <c r="K279" s="221">
        <f t="shared" si="103"/>
        <v>0</v>
      </c>
      <c r="L279" s="248">
        <f t="shared" si="104"/>
        <v>0</v>
      </c>
      <c r="M279" s="7">
        <f t="shared" si="105"/>
        <v>0</v>
      </c>
      <c r="N279" s="228"/>
    </row>
    <row r="280" spans="3:14" ht="22.5" outlineLevel="1">
      <c r="C280" s="646" t="s">
        <v>1408</v>
      </c>
      <c r="D280" s="45" t="s">
        <v>1409</v>
      </c>
      <c r="E280" s="218" t="s">
        <v>973</v>
      </c>
      <c r="F280" s="219"/>
      <c r="G280" s="219">
        <v>0</v>
      </c>
      <c r="H280" s="7">
        <v>422.95</v>
      </c>
      <c r="I280" s="220">
        <v>0</v>
      </c>
      <c r="J280" s="145">
        <f t="shared" si="106"/>
        <v>422.95</v>
      </c>
      <c r="K280" s="221">
        <f t="shared" si="103"/>
        <v>0</v>
      </c>
      <c r="L280" s="248">
        <f t="shared" si="104"/>
        <v>0</v>
      </c>
      <c r="M280" s="7">
        <f t="shared" si="105"/>
        <v>0</v>
      </c>
      <c r="N280" s="228"/>
    </row>
    <row r="281" spans="3:14" ht="22.5" outlineLevel="1">
      <c r="C281" s="646" t="s">
        <v>1410</v>
      </c>
      <c r="D281" s="647" t="s">
        <v>1411</v>
      </c>
      <c r="E281" s="218" t="s">
        <v>973</v>
      </c>
      <c r="F281" s="219"/>
      <c r="G281" s="219">
        <v>0</v>
      </c>
      <c r="H281" s="7">
        <v>0</v>
      </c>
      <c r="I281" s="220">
        <v>0</v>
      </c>
      <c r="J281" s="145">
        <f t="shared" si="106"/>
        <v>0</v>
      </c>
      <c r="K281" s="221">
        <f t="shared" si="103"/>
        <v>0</v>
      </c>
      <c r="L281" s="248">
        <f t="shared" si="104"/>
        <v>0</v>
      </c>
      <c r="M281" s="7">
        <f t="shared" si="105"/>
        <v>0</v>
      </c>
      <c r="N281" s="228"/>
    </row>
    <row r="282" spans="3:14" outlineLevel="1">
      <c r="C282" s="646" t="s">
        <v>1412</v>
      </c>
      <c r="D282" s="45" t="s">
        <v>1413</v>
      </c>
      <c r="E282" s="218" t="s">
        <v>82</v>
      </c>
      <c r="F282" s="219">
        <v>105.36358320878502</v>
      </c>
      <c r="G282" s="219">
        <v>105.36</v>
      </c>
      <c r="H282" s="7">
        <v>67.180000000000007</v>
      </c>
      <c r="I282" s="220">
        <v>0</v>
      </c>
      <c r="J282" s="145">
        <f t="shared" si="106"/>
        <v>67.180000000000007</v>
      </c>
      <c r="K282" s="221">
        <f t="shared" si="103"/>
        <v>7078.0848000000005</v>
      </c>
      <c r="L282" s="248">
        <f t="shared" si="104"/>
        <v>0</v>
      </c>
      <c r="M282" s="7">
        <f t="shared" si="105"/>
        <v>7078.08</v>
      </c>
      <c r="N282" s="228"/>
    </row>
    <row r="283" spans="3:14" outlineLevel="1">
      <c r="C283" s="646" t="s">
        <v>1414</v>
      </c>
      <c r="D283" s="45" t="s">
        <v>1120</v>
      </c>
      <c r="E283" s="218" t="s">
        <v>118</v>
      </c>
      <c r="F283" s="219">
        <v>906.59380000000021</v>
      </c>
      <c r="G283" s="219">
        <v>906.59</v>
      </c>
      <c r="H283" s="7">
        <v>1.24</v>
      </c>
      <c r="I283" s="220">
        <v>0.89</v>
      </c>
      <c r="J283" s="145">
        <f t="shared" si="106"/>
        <v>4.22</v>
      </c>
      <c r="K283" s="221">
        <f t="shared" si="103"/>
        <v>1124.1716000000001</v>
      </c>
      <c r="L283" s="248">
        <f t="shared" si="104"/>
        <v>806.86509999999998</v>
      </c>
      <c r="M283" s="7">
        <f t="shared" si="105"/>
        <v>3827.17</v>
      </c>
      <c r="N283" s="228"/>
    </row>
    <row r="284" spans="3:14" outlineLevel="1">
      <c r="C284" s="646" t="s">
        <v>1415</v>
      </c>
      <c r="D284" s="230" t="s">
        <v>1122</v>
      </c>
      <c r="E284" s="218" t="s">
        <v>82</v>
      </c>
      <c r="F284" s="219">
        <v>105.36358320878502</v>
      </c>
      <c r="G284" s="219">
        <v>105.36</v>
      </c>
      <c r="H284" s="7">
        <v>1.48</v>
      </c>
      <c r="I284" s="220">
        <v>0</v>
      </c>
      <c r="J284" s="145">
        <f t="shared" si="106"/>
        <v>1.48</v>
      </c>
      <c r="K284" s="221">
        <f t="shared" si="103"/>
        <v>155.93279999999999</v>
      </c>
      <c r="L284" s="248">
        <f t="shared" si="104"/>
        <v>0</v>
      </c>
      <c r="M284" s="7">
        <f t="shared" si="105"/>
        <v>155.93</v>
      </c>
      <c r="N284" s="228"/>
    </row>
    <row r="285" spans="3:14" outlineLevel="1">
      <c r="C285" s="644" t="s">
        <v>1416</v>
      </c>
      <c r="D285" s="645" t="s">
        <v>1417</v>
      </c>
      <c r="E285" s="224"/>
      <c r="F285" s="219"/>
      <c r="G285" s="219">
        <v>0</v>
      </c>
      <c r="H285" s="7" t="s">
        <v>27</v>
      </c>
      <c r="I285" s="220" t="s">
        <v>27</v>
      </c>
      <c r="J285" s="145"/>
      <c r="K285" s="221"/>
      <c r="L285" s="248"/>
      <c r="M285" s="7"/>
      <c r="N285" s="229">
        <f>SUM(K285:K290)+SUM(L285:L290)*TC</f>
        <v>11810.595000000001</v>
      </c>
    </row>
    <row r="286" spans="3:14" ht="22.5" outlineLevel="1">
      <c r="C286" s="646" t="s">
        <v>1418</v>
      </c>
      <c r="D286" s="45" t="s">
        <v>1419</v>
      </c>
      <c r="E286" s="218" t="s">
        <v>973</v>
      </c>
      <c r="F286" s="219">
        <v>9</v>
      </c>
      <c r="G286" s="219">
        <v>9</v>
      </c>
      <c r="H286" s="7">
        <v>519.92999999999995</v>
      </c>
      <c r="I286" s="220">
        <v>0</v>
      </c>
      <c r="J286" s="145">
        <f t="shared" ref="J286:J290" si="107">+ROUND(H286+I286*TC,2)</f>
        <v>519.92999999999995</v>
      </c>
      <c r="K286" s="221">
        <f t="shared" ref="K286:K290" si="108">H286*G286</f>
        <v>4679.37</v>
      </c>
      <c r="L286" s="248">
        <f t="shared" ref="L286:L290" si="109">I286*G286</f>
        <v>0</v>
      </c>
      <c r="M286" s="7">
        <f t="shared" ref="M286:M290" si="110">+ROUND(K286+L286*TC,2)</f>
        <v>4679.37</v>
      </c>
      <c r="N286" s="228"/>
    </row>
    <row r="287" spans="3:14" outlineLevel="1">
      <c r="C287" s="646" t="s">
        <v>1420</v>
      </c>
      <c r="D287" s="45" t="s">
        <v>1421</v>
      </c>
      <c r="E287" s="218" t="s">
        <v>82</v>
      </c>
      <c r="F287" s="219">
        <v>36</v>
      </c>
      <c r="G287" s="219">
        <v>36</v>
      </c>
      <c r="H287" s="7">
        <v>61</v>
      </c>
      <c r="I287" s="220">
        <v>0</v>
      </c>
      <c r="J287" s="145">
        <f t="shared" si="107"/>
        <v>61</v>
      </c>
      <c r="K287" s="221">
        <f t="shared" si="108"/>
        <v>2196</v>
      </c>
      <c r="L287" s="248">
        <f t="shared" si="109"/>
        <v>0</v>
      </c>
      <c r="M287" s="7">
        <f t="shared" si="110"/>
        <v>2196</v>
      </c>
      <c r="N287" s="228"/>
    </row>
    <row r="288" spans="3:14" outlineLevel="1">
      <c r="C288" s="646" t="s">
        <v>1422</v>
      </c>
      <c r="D288" s="45" t="s">
        <v>1120</v>
      </c>
      <c r="E288" s="218" t="s">
        <v>118</v>
      </c>
      <c r="F288" s="219">
        <v>630</v>
      </c>
      <c r="G288" s="219">
        <v>630</v>
      </c>
      <c r="H288" s="7">
        <v>1.24</v>
      </c>
      <c r="I288" s="220">
        <v>0.89</v>
      </c>
      <c r="J288" s="145">
        <f t="shared" si="107"/>
        <v>4.22</v>
      </c>
      <c r="K288" s="221">
        <f t="shared" si="108"/>
        <v>781.2</v>
      </c>
      <c r="L288" s="248">
        <f t="shared" si="109"/>
        <v>560.70000000000005</v>
      </c>
      <c r="M288" s="7">
        <f t="shared" si="110"/>
        <v>2659.55</v>
      </c>
      <c r="N288" s="228"/>
    </row>
    <row r="289" spans="3:14" outlineLevel="1">
      <c r="C289" s="646" t="s">
        <v>1423</v>
      </c>
      <c r="D289" s="230" t="s">
        <v>1122</v>
      </c>
      <c r="E289" s="218" t="s">
        <v>82</v>
      </c>
      <c r="F289" s="219">
        <v>36</v>
      </c>
      <c r="G289" s="219">
        <v>36</v>
      </c>
      <c r="H289" s="7">
        <v>1.48</v>
      </c>
      <c r="I289" s="220">
        <v>0</v>
      </c>
      <c r="J289" s="145">
        <f t="shared" si="107"/>
        <v>1.48</v>
      </c>
      <c r="K289" s="221">
        <f t="shared" si="108"/>
        <v>53.28</v>
      </c>
      <c r="L289" s="248">
        <f t="shared" si="109"/>
        <v>0</v>
      </c>
      <c r="M289" s="7">
        <f t="shared" si="110"/>
        <v>53.28</v>
      </c>
      <c r="N289" s="228"/>
    </row>
    <row r="290" spans="3:14" outlineLevel="1">
      <c r="C290" s="646" t="s">
        <v>1424</v>
      </c>
      <c r="D290" s="647" t="s">
        <v>1425</v>
      </c>
      <c r="E290" s="218" t="s">
        <v>82</v>
      </c>
      <c r="F290" s="219">
        <v>12</v>
      </c>
      <c r="G290" s="219">
        <v>12</v>
      </c>
      <c r="H290" s="7">
        <v>185.2</v>
      </c>
      <c r="I290" s="220">
        <v>0</v>
      </c>
      <c r="J290" s="145">
        <f t="shared" si="107"/>
        <v>185.2</v>
      </c>
      <c r="K290" s="221">
        <f t="shared" si="108"/>
        <v>2222.3999999999996</v>
      </c>
      <c r="L290" s="248">
        <f t="shared" si="109"/>
        <v>0</v>
      </c>
      <c r="M290" s="7">
        <f t="shared" si="110"/>
        <v>2222.4</v>
      </c>
      <c r="N290" s="228"/>
    </row>
    <row r="291" spans="3:14" outlineLevel="1">
      <c r="C291" s="644" t="s">
        <v>1416</v>
      </c>
      <c r="D291" s="645" t="s">
        <v>1426</v>
      </c>
      <c r="E291" s="224"/>
      <c r="F291" s="219"/>
      <c r="G291" s="219">
        <v>0</v>
      </c>
      <c r="H291" s="7"/>
      <c r="I291" s="220"/>
      <c r="J291" s="145"/>
      <c r="K291" s="221"/>
      <c r="L291" s="248"/>
      <c r="M291" s="7"/>
      <c r="N291" s="229">
        <f>SUM(K291:K296)+SUM(L291:L296)*TC</f>
        <v>4659.6912350000002</v>
      </c>
    </row>
    <row r="292" spans="3:14" outlineLevel="1">
      <c r="C292" s="646" t="s">
        <v>1418</v>
      </c>
      <c r="D292" s="45" t="s">
        <v>1427</v>
      </c>
      <c r="E292" s="218" t="s">
        <v>973</v>
      </c>
      <c r="F292" s="219">
        <v>1.91655</v>
      </c>
      <c r="G292" s="219">
        <v>1.92</v>
      </c>
      <c r="H292" s="7">
        <v>520.85</v>
      </c>
      <c r="I292" s="220">
        <v>0</v>
      </c>
      <c r="J292" s="145">
        <f t="shared" ref="J292:J295" si="111">+ROUND(H292+I292*TC,2)</f>
        <v>520.85</v>
      </c>
      <c r="K292" s="221">
        <f t="shared" ref="K292:K295" si="112">H292*G292</f>
        <v>1000.032</v>
      </c>
      <c r="L292" s="248">
        <f t="shared" ref="L292:L295" si="113">I292*G292</f>
        <v>0</v>
      </c>
      <c r="M292" s="7">
        <f t="shared" ref="M292:M295" si="114">+ROUND(K292+L292*TC,2)</f>
        <v>1000.03</v>
      </c>
      <c r="N292" s="228"/>
    </row>
    <row r="293" spans="3:14" outlineLevel="1">
      <c r="C293" s="646" t="s">
        <v>1420</v>
      </c>
      <c r="D293" s="45" t="s">
        <v>1428</v>
      </c>
      <c r="E293" s="218" t="s">
        <v>82</v>
      </c>
      <c r="F293" s="219">
        <v>26.360999999999997</v>
      </c>
      <c r="G293" s="219">
        <v>26.36</v>
      </c>
      <c r="H293" s="7">
        <v>92.53</v>
      </c>
      <c r="I293" s="220">
        <v>0</v>
      </c>
      <c r="J293" s="145">
        <f t="shared" si="111"/>
        <v>92.53</v>
      </c>
      <c r="K293" s="221">
        <f t="shared" si="112"/>
        <v>2439.0907999999999</v>
      </c>
      <c r="L293" s="248">
        <f t="shared" si="113"/>
        <v>0</v>
      </c>
      <c r="M293" s="7">
        <f t="shared" si="114"/>
        <v>2439.09</v>
      </c>
      <c r="N293" s="228"/>
    </row>
    <row r="294" spans="3:14" outlineLevel="1">
      <c r="C294" s="646" t="s">
        <v>1422</v>
      </c>
      <c r="D294" s="45" t="s">
        <v>1120</v>
      </c>
      <c r="E294" s="218" t="s">
        <v>118</v>
      </c>
      <c r="F294" s="219">
        <v>279.88800000000003</v>
      </c>
      <c r="G294" s="219">
        <v>279.89</v>
      </c>
      <c r="H294" s="7">
        <v>1.24</v>
      </c>
      <c r="I294" s="220">
        <v>0.89</v>
      </c>
      <c r="J294" s="145">
        <f t="shared" si="111"/>
        <v>4.22</v>
      </c>
      <c r="K294" s="221">
        <f t="shared" si="112"/>
        <v>347.06360000000001</v>
      </c>
      <c r="L294" s="248">
        <f t="shared" si="113"/>
        <v>249.10209999999998</v>
      </c>
      <c r="M294" s="7">
        <f t="shared" si="114"/>
        <v>1181.56</v>
      </c>
      <c r="N294" s="228"/>
    </row>
    <row r="295" spans="3:14" outlineLevel="1">
      <c r="C295" s="646" t="s">
        <v>1423</v>
      </c>
      <c r="D295" s="230" t="s">
        <v>1122</v>
      </c>
      <c r="E295" s="218" t="s">
        <v>82</v>
      </c>
      <c r="F295" s="219">
        <v>26.360999999999997</v>
      </c>
      <c r="G295" s="219">
        <v>26.36</v>
      </c>
      <c r="H295" s="7">
        <v>1.48</v>
      </c>
      <c r="I295" s="220">
        <v>0</v>
      </c>
      <c r="J295" s="145">
        <f t="shared" si="111"/>
        <v>1.48</v>
      </c>
      <c r="K295" s="221">
        <f t="shared" si="112"/>
        <v>39.012799999999999</v>
      </c>
      <c r="L295" s="248">
        <f t="shared" si="113"/>
        <v>0</v>
      </c>
      <c r="M295" s="7">
        <f t="shared" si="114"/>
        <v>39.01</v>
      </c>
      <c r="N295" s="228"/>
    </row>
    <row r="296" spans="3:14" outlineLevel="1">
      <c r="C296" s="649" t="s">
        <v>1429</v>
      </c>
      <c r="D296" s="631" t="s">
        <v>1430</v>
      </c>
      <c r="E296" s="632"/>
      <c r="F296" s="219"/>
      <c r="G296" s="219">
        <v>0</v>
      </c>
      <c r="H296" s="7"/>
      <c r="I296" s="220" t="s">
        <v>27</v>
      </c>
      <c r="J296" s="145"/>
      <c r="K296" s="221"/>
      <c r="L296" s="248"/>
      <c r="M296" s="7"/>
      <c r="N296" s="228"/>
    </row>
    <row r="297" spans="3:14" outlineLevel="1">
      <c r="C297" s="644" t="s">
        <v>1431</v>
      </c>
      <c r="D297" s="223" t="s">
        <v>1432</v>
      </c>
      <c r="E297" s="224"/>
      <c r="F297" s="219"/>
      <c r="G297" s="219">
        <v>0</v>
      </c>
      <c r="H297" s="7"/>
      <c r="I297" s="220"/>
      <c r="J297" s="145">
        <f t="shared" ref="J297:J301" si="115">+ROUND(H297+I297*TC,2)</f>
        <v>0</v>
      </c>
      <c r="K297" s="221">
        <f t="shared" ref="K297" si="116">H297*G297</f>
        <v>0</v>
      </c>
      <c r="L297" s="248">
        <f t="shared" ref="L297:L299" si="117">I297*G297</f>
        <v>0</v>
      </c>
      <c r="M297" s="7">
        <f t="shared" ref="M297:M298" si="118">+ROUND(K297+L297*TC,2)</f>
        <v>0</v>
      </c>
      <c r="N297" s="229">
        <f>SUM(K297:K302)+SUM(L297:L302)*TC</f>
        <v>129488.70000000001</v>
      </c>
    </row>
    <row r="298" spans="3:14" outlineLevel="1">
      <c r="C298" s="644"/>
      <c r="D298" s="639" t="s">
        <v>1433</v>
      </c>
      <c r="E298" s="218" t="s">
        <v>132</v>
      </c>
      <c r="F298" s="219">
        <v>9</v>
      </c>
      <c r="G298" s="219">
        <v>9</v>
      </c>
      <c r="H298" s="7">
        <v>7196.8</v>
      </c>
      <c r="I298" s="220"/>
      <c r="J298" s="145">
        <f>+ROUND(H298+I298*TC,2)</f>
        <v>7196.8</v>
      </c>
      <c r="K298" s="221">
        <f>H298*G298</f>
        <v>64771.200000000004</v>
      </c>
      <c r="L298" s="248">
        <f t="shared" ref="L298" si="119">I298*G298</f>
        <v>0</v>
      </c>
      <c r="M298" s="7">
        <f t="shared" si="118"/>
        <v>64771.199999999997</v>
      </c>
      <c r="N298" s="229"/>
    </row>
    <row r="299" spans="3:14" outlineLevel="1">
      <c r="C299" s="646" t="s">
        <v>1434</v>
      </c>
      <c r="D299" s="629" t="s">
        <v>1435</v>
      </c>
      <c r="E299" s="218" t="s">
        <v>1436</v>
      </c>
      <c r="F299" s="219">
        <v>303</v>
      </c>
      <c r="G299" s="219">
        <v>303</v>
      </c>
      <c r="H299" s="7">
        <v>22.5</v>
      </c>
      <c r="I299" s="220">
        <v>0</v>
      </c>
      <c r="J299" s="145">
        <f>+ROUND(H299+I299*TC,2)</f>
        <v>22.5</v>
      </c>
      <c r="K299" s="221">
        <f>H299*G299</f>
        <v>6817.5</v>
      </c>
      <c r="L299" s="248">
        <f t="shared" si="117"/>
        <v>0</v>
      </c>
      <c r="M299" s="7">
        <f t="shared" ref="M299" si="120">+ROUND(K299+L299*TC,2)</f>
        <v>6817.5</v>
      </c>
      <c r="N299" s="229"/>
    </row>
    <row r="300" spans="3:14" outlineLevel="1">
      <c r="C300" s="646" t="s">
        <v>1437</v>
      </c>
      <c r="D300" s="629" t="s">
        <v>1438</v>
      </c>
      <c r="E300" s="218" t="s">
        <v>132</v>
      </c>
      <c r="F300" s="219">
        <v>5</v>
      </c>
      <c r="G300" s="219">
        <v>5</v>
      </c>
      <c r="H300" s="7">
        <v>5200</v>
      </c>
      <c r="I300" s="220">
        <v>0</v>
      </c>
      <c r="J300" s="145">
        <f t="shared" si="115"/>
        <v>5200</v>
      </c>
      <c r="K300" s="221">
        <f t="shared" ref="K300:K302" si="121">H300*G300</f>
        <v>26000</v>
      </c>
      <c r="L300" s="248">
        <f t="shared" ref="L300:L302" si="122">I300*G300</f>
        <v>0</v>
      </c>
      <c r="M300" s="7">
        <f t="shared" ref="M300:M302" si="123">+ROUND(K300+L300*TC,2)</f>
        <v>26000</v>
      </c>
      <c r="N300" s="228"/>
    </row>
    <row r="301" spans="3:14" outlineLevel="1">
      <c r="C301" s="646" t="s">
        <v>1439</v>
      </c>
      <c r="D301" s="629" t="s">
        <v>1440</v>
      </c>
      <c r="E301" s="218" t="s">
        <v>130</v>
      </c>
      <c r="F301" s="219">
        <v>0.4</v>
      </c>
      <c r="G301" s="219">
        <v>0.4</v>
      </c>
      <c r="H301" s="7">
        <v>23500</v>
      </c>
      <c r="I301" s="220">
        <v>0</v>
      </c>
      <c r="J301" s="145">
        <f t="shared" si="115"/>
        <v>23500</v>
      </c>
      <c r="K301" s="221">
        <f t="shared" si="121"/>
        <v>9400</v>
      </c>
      <c r="L301" s="248">
        <f t="shared" si="122"/>
        <v>0</v>
      </c>
      <c r="M301" s="7">
        <f t="shared" si="123"/>
        <v>9400</v>
      </c>
      <c r="N301" s="228"/>
    </row>
    <row r="302" spans="3:14" ht="15.75" outlineLevel="1" thickBot="1">
      <c r="C302" s="646" t="s">
        <v>1441</v>
      </c>
      <c r="D302" s="233" t="s">
        <v>1442</v>
      </c>
      <c r="E302" s="234" t="s">
        <v>132</v>
      </c>
      <c r="F302" s="235">
        <v>5</v>
      </c>
      <c r="G302" s="219">
        <v>5</v>
      </c>
      <c r="H302" s="236">
        <v>4500</v>
      </c>
      <c r="I302" s="650">
        <v>0</v>
      </c>
      <c r="J302" s="232">
        <f t="shared" ref="J302" si="124">+ROUND(H302+I302*TC,2)</f>
        <v>4500</v>
      </c>
      <c r="K302" s="237">
        <f t="shared" si="121"/>
        <v>22500</v>
      </c>
      <c r="L302" s="249">
        <f t="shared" si="122"/>
        <v>0</v>
      </c>
      <c r="M302" s="236">
        <f t="shared" si="123"/>
        <v>22500</v>
      </c>
      <c r="N302" s="238"/>
    </row>
    <row r="303" spans="3:14">
      <c r="G303" s="778"/>
      <c r="H303" s="778"/>
      <c r="I303" s="177"/>
      <c r="J303" s="177"/>
      <c r="K303" s="336">
        <f>SUM(K12:K302)</f>
        <v>5904035.9441072466</v>
      </c>
      <c r="L303" s="226">
        <f>SUM(L12:L302)</f>
        <v>555591.9110000002</v>
      </c>
      <c r="M303" s="178">
        <f>SUM(M12:M302)</f>
        <v>7765268.8300000029</v>
      </c>
      <c r="N303" s="177">
        <f>SUM(N12:N302)</f>
        <v>7765268.8459572447</v>
      </c>
    </row>
  </sheetData>
  <mergeCells count="2">
    <mergeCell ref="C3:N3"/>
    <mergeCell ref="G303:H303"/>
  </mergeCells>
  <phoneticPr fontId="13"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7A25-5E63-4F95-A19D-06895D4868F1}">
  <dimension ref="B2:M172"/>
  <sheetViews>
    <sheetView topLeftCell="A116" zoomScale="88" zoomScaleNormal="88" workbookViewId="0">
      <selection activeCell="N1" sqref="N1:BP1048576"/>
    </sheetView>
  </sheetViews>
  <sheetFormatPr defaultColWidth="11.42578125" defaultRowHeight="15"/>
  <cols>
    <col min="3" max="3" width="68.5703125" customWidth="1"/>
    <col min="5" max="6" width="14.42578125" customWidth="1"/>
    <col min="7" max="7" width="13.28515625" customWidth="1"/>
    <col min="8" max="8" width="13.28515625" bestFit="1" customWidth="1"/>
    <col min="9" max="11" width="14.85546875" customWidth="1"/>
    <col min="12" max="12" width="18" customWidth="1"/>
    <col min="13" max="13" width="17.140625" customWidth="1"/>
  </cols>
  <sheetData>
    <row r="2" spans="2:13">
      <c r="B2" s="32"/>
      <c r="C2" s="14"/>
      <c r="D2" s="15"/>
      <c r="E2" s="14"/>
      <c r="F2" s="14"/>
      <c r="G2" s="14"/>
      <c r="H2" s="14"/>
      <c r="I2" s="14"/>
      <c r="J2" s="14"/>
      <c r="K2" s="14"/>
      <c r="L2" s="14"/>
      <c r="M2" s="14"/>
    </row>
    <row r="3" spans="2:13">
      <c r="B3" s="777" t="s">
        <v>28</v>
      </c>
      <c r="C3" s="777"/>
      <c r="D3" s="777"/>
      <c r="E3" s="777"/>
      <c r="F3" s="777"/>
      <c r="G3" s="777"/>
      <c r="H3" s="777"/>
      <c r="I3" s="777"/>
      <c r="J3" s="777"/>
      <c r="K3" s="777"/>
      <c r="L3" s="777"/>
      <c r="M3" s="777"/>
    </row>
    <row r="4" spans="2:13">
      <c r="B4" s="32"/>
      <c r="C4" s="14"/>
      <c r="D4" s="15"/>
      <c r="E4" s="14"/>
      <c r="F4" s="14"/>
      <c r="G4" s="14"/>
      <c r="H4" s="14"/>
      <c r="I4" s="14"/>
      <c r="J4" s="14"/>
      <c r="K4" s="14"/>
      <c r="L4" s="14"/>
      <c r="M4" s="14"/>
    </row>
    <row r="5" spans="2:13">
      <c r="B5" s="110" t="s">
        <v>1010</v>
      </c>
      <c r="C5" s="163" t="str">
        <f>+'Est Sotano '!D5</f>
        <v>PRESUPUESTO  |  GERMANIA  |  REV 09</v>
      </c>
      <c r="D5" s="15"/>
      <c r="E5" s="14"/>
      <c r="F5" s="14"/>
      <c r="G5" s="14"/>
      <c r="H5" s="14"/>
      <c r="I5" s="14"/>
      <c r="J5" s="14"/>
      <c r="K5" s="14"/>
      <c r="L5" s="14"/>
      <c r="M5" s="14"/>
    </row>
    <row r="6" spans="2:13">
      <c r="B6" s="110" t="s">
        <v>1011</v>
      </c>
      <c r="C6" s="163" t="s">
        <v>28</v>
      </c>
      <c r="D6" s="15"/>
      <c r="E6" s="14"/>
      <c r="F6" s="14"/>
      <c r="G6" s="14"/>
      <c r="H6" s="14"/>
      <c r="I6" s="14"/>
      <c r="J6" s="14"/>
      <c r="K6" s="14"/>
      <c r="L6" s="14"/>
      <c r="M6" s="14"/>
    </row>
    <row r="7" spans="2:13">
      <c r="B7" s="110" t="s">
        <v>1012</v>
      </c>
      <c r="C7" s="163" t="str">
        <f>+'Est Sotano '!D7</f>
        <v>VYV INMOBILIARIA</v>
      </c>
      <c r="D7" s="15"/>
      <c r="E7" s="14"/>
      <c r="F7" s="14"/>
      <c r="G7" s="174"/>
      <c r="H7" s="174"/>
      <c r="I7" s="174"/>
      <c r="J7" s="174"/>
      <c r="K7" s="174"/>
      <c r="L7" s="174"/>
      <c r="M7" s="19"/>
    </row>
    <row r="8" spans="2:13">
      <c r="B8" s="110" t="s">
        <v>1013</v>
      </c>
      <c r="C8" s="163" t="str">
        <f>+'Est Sotano '!D8</f>
        <v>SURQUILLO</v>
      </c>
      <c r="D8" s="15"/>
      <c r="E8" s="14"/>
      <c r="F8" s="14"/>
      <c r="G8" s="14"/>
      <c r="H8" s="14"/>
      <c r="I8" s="14"/>
      <c r="J8" s="14"/>
      <c r="K8" s="14"/>
      <c r="L8" s="14"/>
      <c r="M8" s="14"/>
    </row>
    <row r="9" spans="2:13" ht="15.75" thickBot="1">
      <c r="B9" s="47"/>
      <c r="C9" s="16"/>
      <c r="D9" s="21"/>
      <c r="E9" s="16"/>
      <c r="F9" s="16"/>
      <c r="G9" s="16"/>
      <c r="H9" s="16"/>
      <c r="I9" s="16"/>
      <c r="J9" s="16"/>
      <c r="K9" s="16"/>
      <c r="L9" s="16"/>
      <c r="M9" s="16"/>
    </row>
    <row r="10" spans="2:13" ht="24" thickTop="1" thickBot="1">
      <c r="B10" s="334" t="s">
        <v>20</v>
      </c>
      <c r="C10" s="334" t="s">
        <v>69</v>
      </c>
      <c r="D10" s="334" t="s">
        <v>70</v>
      </c>
      <c r="E10" s="335" t="s">
        <v>1014</v>
      </c>
      <c r="F10" s="335" t="s">
        <v>1014</v>
      </c>
      <c r="G10" s="24" t="s">
        <v>72</v>
      </c>
      <c r="H10" s="24" t="s">
        <v>73</v>
      </c>
      <c r="I10" s="53" t="s">
        <v>74</v>
      </c>
      <c r="J10" s="53" t="s">
        <v>75</v>
      </c>
      <c r="K10" s="53" t="s">
        <v>76</v>
      </c>
      <c r="L10" s="53" t="s">
        <v>77</v>
      </c>
      <c r="M10" s="253" t="s">
        <v>54</v>
      </c>
    </row>
    <row r="11" spans="2:13" ht="16.5" thickTop="1" thickBot="1">
      <c r="B11" s="363" t="s">
        <v>995</v>
      </c>
      <c r="C11" s="364" t="s">
        <v>28</v>
      </c>
      <c r="D11" s="367"/>
      <c r="E11" s="365"/>
      <c r="F11" s="365"/>
      <c r="G11" s="365"/>
      <c r="H11" s="365"/>
      <c r="I11" s="365"/>
      <c r="J11" s="365"/>
      <c r="K11" s="365"/>
      <c r="L11" s="365"/>
      <c r="M11" s="365"/>
    </row>
    <row r="12" spans="2:13">
      <c r="B12" s="339" t="s">
        <v>1018</v>
      </c>
      <c r="C12" s="340" t="s">
        <v>1281</v>
      </c>
      <c r="D12" s="341"/>
      <c r="E12" s="213"/>
      <c r="F12" s="213"/>
      <c r="G12" s="214"/>
      <c r="H12" s="214"/>
      <c r="I12" s="216"/>
      <c r="J12" s="216"/>
      <c r="K12" s="216"/>
      <c r="L12" s="342"/>
      <c r="M12" s="227">
        <f>SUM(J12:J21)+SUM(K12:K21)*TC</f>
        <v>2036035.2716849998</v>
      </c>
    </row>
    <row r="13" spans="2:13">
      <c r="B13" s="217" t="s">
        <v>1443</v>
      </c>
      <c r="C13" s="45" t="s">
        <v>1271</v>
      </c>
      <c r="D13" s="218" t="s">
        <v>973</v>
      </c>
      <c r="E13" s="219"/>
      <c r="F13" s="219"/>
      <c r="G13" s="7">
        <v>380.32</v>
      </c>
      <c r="H13" s="220">
        <v>0</v>
      </c>
      <c r="I13" s="131">
        <f t="shared" ref="I13:I20" si="0">+ROUND(G13+H13*TC,2)</f>
        <v>380.32</v>
      </c>
      <c r="J13" s="221">
        <f>G13*F13</f>
        <v>0</v>
      </c>
      <c r="K13" s="248">
        <f>H13*F13</f>
        <v>0</v>
      </c>
      <c r="L13" s="7">
        <f t="shared" ref="L13" si="1">+ROUND(J13+K13*TC,2)</f>
        <v>0</v>
      </c>
      <c r="M13" s="228"/>
    </row>
    <row r="14" spans="2:13">
      <c r="B14" s="217" t="s">
        <v>1444</v>
      </c>
      <c r="C14" s="230" t="s">
        <v>1272</v>
      </c>
      <c r="D14" s="218" t="s">
        <v>973</v>
      </c>
      <c r="E14" s="219">
        <v>1036.8554999999981</v>
      </c>
      <c r="F14" s="219">
        <v>1036.8599999999999</v>
      </c>
      <c r="G14" s="7">
        <v>408.72</v>
      </c>
      <c r="H14" s="220">
        <v>0</v>
      </c>
      <c r="I14" s="145">
        <f t="shared" si="0"/>
        <v>408.72</v>
      </c>
      <c r="J14" s="221">
        <f t="shared" ref="J14:J119" si="2">G14*F14</f>
        <v>423785.4192</v>
      </c>
      <c r="K14" s="248">
        <f t="shared" ref="K14:K119" si="3">H14*F14</f>
        <v>0</v>
      </c>
      <c r="L14" s="7">
        <f t="shared" ref="L14:L119" si="4">+ROUND(J14+K14*TC,2)</f>
        <v>423785.42</v>
      </c>
      <c r="M14" s="228"/>
    </row>
    <row r="15" spans="2:13">
      <c r="B15" s="217" t="s">
        <v>1445</v>
      </c>
      <c r="C15" s="230" t="s">
        <v>1287</v>
      </c>
      <c r="D15" s="218" t="s">
        <v>973</v>
      </c>
      <c r="E15" s="219">
        <v>324.25110000000018</v>
      </c>
      <c r="F15" s="219">
        <v>324.25</v>
      </c>
      <c r="G15" s="7">
        <v>447.61</v>
      </c>
      <c r="H15" s="220">
        <v>0</v>
      </c>
      <c r="I15" s="145">
        <f t="shared" si="0"/>
        <v>447.61</v>
      </c>
      <c r="J15" s="221">
        <f t="shared" si="2"/>
        <v>145137.54250000001</v>
      </c>
      <c r="K15" s="248">
        <f t="shared" si="3"/>
        <v>0</v>
      </c>
      <c r="L15" s="7">
        <f t="shared" si="4"/>
        <v>145137.54</v>
      </c>
      <c r="M15" s="228"/>
    </row>
    <row r="16" spans="2:13">
      <c r="B16" s="217" t="s">
        <v>1446</v>
      </c>
      <c r="C16" s="230" t="s">
        <v>1273</v>
      </c>
      <c r="D16" s="218" t="s">
        <v>973</v>
      </c>
      <c r="E16" s="219">
        <v>227.70919999999998</v>
      </c>
      <c r="F16" s="219">
        <v>227.71</v>
      </c>
      <c r="G16" s="7">
        <v>463.86</v>
      </c>
      <c r="H16" s="220">
        <v>0</v>
      </c>
      <c r="I16" s="145">
        <f t="shared" si="0"/>
        <v>463.86</v>
      </c>
      <c r="J16" s="221">
        <f t="shared" si="2"/>
        <v>105625.56060000001</v>
      </c>
      <c r="K16" s="248">
        <f t="shared" si="3"/>
        <v>0</v>
      </c>
      <c r="L16" s="7">
        <f t="shared" si="4"/>
        <v>105625.56</v>
      </c>
      <c r="M16" s="228"/>
    </row>
    <row r="17" spans="2:13">
      <c r="B17" s="217" t="s">
        <v>1447</v>
      </c>
      <c r="C17" s="230" t="s">
        <v>1275</v>
      </c>
      <c r="D17" s="218" t="s">
        <v>82</v>
      </c>
      <c r="E17" s="219">
        <v>8822.9539000000223</v>
      </c>
      <c r="F17" s="219">
        <v>8822.9500000000007</v>
      </c>
      <c r="G17" s="7">
        <v>50.38</v>
      </c>
      <c r="H17" s="220">
        <v>0</v>
      </c>
      <c r="I17" s="145">
        <f t="shared" si="0"/>
        <v>50.38</v>
      </c>
      <c r="J17" s="221">
        <f t="shared" si="2"/>
        <v>444500.22100000008</v>
      </c>
      <c r="K17" s="248">
        <f t="shared" si="3"/>
        <v>0</v>
      </c>
      <c r="L17" s="7">
        <f t="shared" si="4"/>
        <v>444500.22</v>
      </c>
      <c r="M17" s="228"/>
    </row>
    <row r="18" spans="2:13">
      <c r="B18" s="217" t="s">
        <v>1448</v>
      </c>
      <c r="C18" s="230" t="s">
        <v>1277</v>
      </c>
      <c r="D18" s="218" t="s">
        <v>82</v>
      </c>
      <c r="E18" s="219">
        <v>1231.5432000000001</v>
      </c>
      <c r="F18" s="219">
        <v>1231.54</v>
      </c>
      <c r="G18" s="7">
        <v>60.63</v>
      </c>
      <c r="H18" s="220">
        <v>0</v>
      </c>
      <c r="I18" s="145">
        <f t="shared" si="0"/>
        <v>60.63</v>
      </c>
      <c r="J18" s="221">
        <f t="shared" si="2"/>
        <v>74668.270199999999</v>
      </c>
      <c r="K18" s="248">
        <f t="shared" si="3"/>
        <v>0</v>
      </c>
      <c r="L18" s="7">
        <f t="shared" si="4"/>
        <v>74668.27</v>
      </c>
      <c r="M18" s="228"/>
    </row>
    <row r="19" spans="2:13">
      <c r="B19" s="217" t="s">
        <v>1449</v>
      </c>
      <c r="C19" s="45" t="s">
        <v>1120</v>
      </c>
      <c r="D19" s="218" t="s">
        <v>118</v>
      </c>
      <c r="E19" s="219">
        <v>196005.59470212294</v>
      </c>
      <c r="F19" s="219">
        <v>196005.59</v>
      </c>
      <c r="G19" s="7">
        <v>1.24</v>
      </c>
      <c r="H19" s="220">
        <v>0.89</v>
      </c>
      <c r="I19" s="145">
        <f t="shared" si="0"/>
        <v>4.22</v>
      </c>
      <c r="J19" s="221">
        <f t="shared" si="2"/>
        <v>243046.93159999998</v>
      </c>
      <c r="K19" s="248">
        <f t="shared" si="3"/>
        <v>174444.97510000001</v>
      </c>
      <c r="L19" s="7">
        <f t="shared" si="4"/>
        <v>827437.6</v>
      </c>
      <c r="M19" s="228"/>
    </row>
    <row r="20" spans="2:13">
      <c r="B20" s="217" t="s">
        <v>1450</v>
      </c>
      <c r="C20" s="230" t="s">
        <v>1122</v>
      </c>
      <c r="D20" s="218" t="s">
        <v>82</v>
      </c>
      <c r="E20" s="219">
        <v>10054.497100000022</v>
      </c>
      <c r="F20" s="219">
        <v>10054.5</v>
      </c>
      <c r="G20" s="7">
        <v>1.48</v>
      </c>
      <c r="H20" s="220">
        <v>0</v>
      </c>
      <c r="I20" s="145">
        <f t="shared" si="0"/>
        <v>1.48</v>
      </c>
      <c r="J20" s="221">
        <f t="shared" si="2"/>
        <v>14880.66</v>
      </c>
      <c r="K20" s="248">
        <f t="shared" si="3"/>
        <v>0</v>
      </c>
      <c r="L20" s="7">
        <f t="shared" si="4"/>
        <v>14880.66</v>
      </c>
      <c r="M20" s="228"/>
    </row>
    <row r="21" spans="2:13">
      <c r="B21" s="222" t="s">
        <v>1033</v>
      </c>
      <c r="C21" s="223" t="s">
        <v>1451</v>
      </c>
      <c r="D21" s="224"/>
      <c r="E21" s="219"/>
      <c r="F21" s="219">
        <v>0</v>
      </c>
      <c r="G21" s="7" t="s">
        <v>27</v>
      </c>
      <c r="H21" s="220" t="s">
        <v>27</v>
      </c>
      <c r="I21" s="145"/>
      <c r="J21" s="221"/>
      <c r="K21" s="248"/>
      <c r="L21" s="7"/>
      <c r="M21" s="229">
        <f>SUM(J21:J25)+SUM(K21:K25)*TC</f>
        <v>12222.877699999999</v>
      </c>
    </row>
    <row r="22" spans="2:13">
      <c r="B22" s="217" t="s">
        <v>1036</v>
      </c>
      <c r="C22" s="45" t="s">
        <v>1271</v>
      </c>
      <c r="D22" s="218" t="s">
        <v>973</v>
      </c>
      <c r="E22" s="219">
        <v>6.9034280000000017</v>
      </c>
      <c r="F22" s="219">
        <v>6.9</v>
      </c>
      <c r="G22" s="7">
        <v>380.32</v>
      </c>
      <c r="H22" s="220">
        <v>0</v>
      </c>
      <c r="I22" s="145">
        <f>+ROUND(G22+H22*TC,2)</f>
        <v>380.32</v>
      </c>
      <c r="J22" s="221">
        <f t="shared" si="2"/>
        <v>2624.2080000000001</v>
      </c>
      <c r="K22" s="248">
        <f t="shared" si="3"/>
        <v>0</v>
      </c>
      <c r="L22" s="7">
        <f t="shared" si="4"/>
        <v>2624.21</v>
      </c>
      <c r="M22" s="228"/>
    </row>
    <row r="23" spans="2:13">
      <c r="B23" s="217" t="s">
        <v>1452</v>
      </c>
      <c r="C23" s="230" t="s">
        <v>1275</v>
      </c>
      <c r="D23" s="218" t="s">
        <v>82</v>
      </c>
      <c r="E23" s="219">
        <v>118.41679999999997</v>
      </c>
      <c r="F23" s="219">
        <v>118.42</v>
      </c>
      <c r="G23" s="7">
        <v>50.38</v>
      </c>
      <c r="H23" s="220">
        <v>0</v>
      </c>
      <c r="I23" s="145">
        <f>+ROUND(G23+H23*TC,2)</f>
        <v>50.38</v>
      </c>
      <c r="J23" s="221">
        <f t="shared" si="2"/>
        <v>5965.9996000000001</v>
      </c>
      <c r="K23" s="248">
        <f t="shared" si="3"/>
        <v>0</v>
      </c>
      <c r="L23" s="7">
        <f t="shared" si="4"/>
        <v>5966</v>
      </c>
      <c r="M23" s="228"/>
    </row>
    <row r="24" spans="2:13">
      <c r="B24" s="217" t="s">
        <v>1039</v>
      </c>
      <c r="C24" s="231" t="s">
        <v>1120</v>
      </c>
      <c r="D24" s="218" t="s">
        <v>118</v>
      </c>
      <c r="E24" s="219">
        <v>819.00240000000008</v>
      </c>
      <c r="F24" s="219">
        <v>819</v>
      </c>
      <c r="G24" s="7">
        <v>1.24</v>
      </c>
      <c r="H24" s="220">
        <v>0.89</v>
      </c>
      <c r="I24" s="145">
        <f>+ROUND(G24+H24*TC,2)</f>
        <v>4.22</v>
      </c>
      <c r="J24" s="221">
        <f t="shared" si="2"/>
        <v>1015.56</v>
      </c>
      <c r="K24" s="248">
        <f t="shared" si="3"/>
        <v>728.91</v>
      </c>
      <c r="L24" s="7">
        <f t="shared" si="4"/>
        <v>3457.41</v>
      </c>
      <c r="M24" s="228"/>
    </row>
    <row r="25" spans="2:13">
      <c r="B25" s="217" t="s">
        <v>1041</v>
      </c>
      <c r="C25" s="230" t="s">
        <v>1122</v>
      </c>
      <c r="D25" s="218" t="s">
        <v>82</v>
      </c>
      <c r="E25" s="219">
        <v>118.41679999999997</v>
      </c>
      <c r="F25" s="219">
        <v>118.42</v>
      </c>
      <c r="G25" s="7">
        <v>1.48</v>
      </c>
      <c r="H25" s="220">
        <v>0</v>
      </c>
      <c r="I25" s="145">
        <f>+ROUND(G25+H25*TC,2)</f>
        <v>1.48</v>
      </c>
      <c r="J25" s="221">
        <f t="shared" si="2"/>
        <v>175.26159999999999</v>
      </c>
      <c r="K25" s="248">
        <f t="shared" si="3"/>
        <v>0</v>
      </c>
      <c r="L25" s="7">
        <f t="shared" si="4"/>
        <v>175.26</v>
      </c>
      <c r="M25" s="228"/>
    </row>
    <row r="26" spans="2:13">
      <c r="B26" s="222" t="s">
        <v>1033</v>
      </c>
      <c r="C26" s="223" t="s">
        <v>1453</v>
      </c>
      <c r="D26" s="224"/>
      <c r="E26" s="219"/>
      <c r="F26" s="219">
        <v>0</v>
      </c>
      <c r="G26" s="7" t="s">
        <v>27</v>
      </c>
      <c r="H26" s="220" t="s">
        <v>27</v>
      </c>
      <c r="I26" s="145"/>
      <c r="J26" s="221"/>
      <c r="K26" s="248"/>
      <c r="L26" s="7"/>
      <c r="M26" s="229">
        <f>SUM(J26:J30)+SUM(K26:K30)*TC</f>
        <v>25634.016625</v>
      </c>
    </row>
    <row r="27" spans="2:13">
      <c r="B27" s="217" t="s">
        <v>1036</v>
      </c>
      <c r="C27" s="45" t="s">
        <v>1271</v>
      </c>
      <c r="D27" s="218" t="s">
        <v>973</v>
      </c>
      <c r="E27" s="219">
        <v>21.866189999999996</v>
      </c>
      <c r="F27" s="219">
        <v>21.87</v>
      </c>
      <c r="G27" s="7">
        <v>380.32</v>
      </c>
      <c r="H27" s="220">
        <v>0</v>
      </c>
      <c r="I27" s="145">
        <f>+ROUND(G27+H27*TC,2)</f>
        <v>380.32</v>
      </c>
      <c r="J27" s="221">
        <f t="shared" ref="J27:J30" si="5">G27*F27</f>
        <v>8317.5984000000008</v>
      </c>
      <c r="K27" s="248">
        <f t="shared" ref="K27:K30" si="6">H27*F27</f>
        <v>0</v>
      </c>
      <c r="L27" s="7">
        <f t="shared" ref="L27:L30" si="7">+ROUND(J27+K27*TC,2)</f>
        <v>8317.6</v>
      </c>
      <c r="M27" s="228"/>
    </row>
    <row r="28" spans="2:13">
      <c r="B28" s="217" t="s">
        <v>1452</v>
      </c>
      <c r="C28" s="230" t="s">
        <v>1275</v>
      </c>
      <c r="D28" s="218" t="s">
        <v>82</v>
      </c>
      <c r="E28" s="219">
        <v>206.67749999999998</v>
      </c>
      <c r="F28" s="219">
        <v>206.68</v>
      </c>
      <c r="G28" s="7">
        <v>50.38</v>
      </c>
      <c r="H28" s="220">
        <v>0</v>
      </c>
      <c r="I28" s="145">
        <f>+ROUND(G28+H28*TC,2)</f>
        <v>50.38</v>
      </c>
      <c r="J28" s="221">
        <f t="shared" si="5"/>
        <v>10412.538400000001</v>
      </c>
      <c r="K28" s="248">
        <f t="shared" si="6"/>
        <v>0</v>
      </c>
      <c r="L28" s="7">
        <f t="shared" si="7"/>
        <v>10412.540000000001</v>
      </c>
      <c r="M28" s="228"/>
    </row>
    <row r="29" spans="2:13">
      <c r="B29" s="217" t="s">
        <v>1039</v>
      </c>
      <c r="C29" s="231" t="s">
        <v>1120</v>
      </c>
      <c r="D29" s="218" t="s">
        <v>118</v>
      </c>
      <c r="E29" s="219">
        <v>1562.9511999999997</v>
      </c>
      <c r="F29" s="219">
        <v>1562.95</v>
      </c>
      <c r="G29" s="7">
        <v>1.24</v>
      </c>
      <c r="H29" s="220">
        <v>0.89</v>
      </c>
      <c r="I29" s="145">
        <f>+ROUND(G29+H29*TC,2)</f>
        <v>4.22</v>
      </c>
      <c r="J29" s="221">
        <f t="shared" si="5"/>
        <v>1938.058</v>
      </c>
      <c r="K29" s="248">
        <f t="shared" si="6"/>
        <v>1391.0255</v>
      </c>
      <c r="L29" s="7">
        <f t="shared" si="7"/>
        <v>6597.99</v>
      </c>
      <c r="M29" s="228"/>
    </row>
    <row r="30" spans="2:13">
      <c r="B30" s="217" t="s">
        <v>1041</v>
      </c>
      <c r="C30" s="230" t="s">
        <v>1122</v>
      </c>
      <c r="D30" s="218" t="s">
        <v>82</v>
      </c>
      <c r="E30" s="219">
        <v>206.67749999999998</v>
      </c>
      <c r="F30" s="219">
        <v>206.68</v>
      </c>
      <c r="G30" s="7">
        <v>1.48</v>
      </c>
      <c r="H30" s="220">
        <v>0</v>
      </c>
      <c r="I30" s="145">
        <f>+ROUND(G30+H30*TC,2)</f>
        <v>1.48</v>
      </c>
      <c r="J30" s="221">
        <f t="shared" si="5"/>
        <v>305.88639999999998</v>
      </c>
      <c r="K30" s="248">
        <f t="shared" si="6"/>
        <v>0</v>
      </c>
      <c r="L30" s="7">
        <f t="shared" si="7"/>
        <v>305.89</v>
      </c>
      <c r="M30" s="228"/>
    </row>
    <row r="31" spans="2:13">
      <c r="B31" s="222" t="s">
        <v>1101</v>
      </c>
      <c r="C31" s="223" t="s">
        <v>1304</v>
      </c>
      <c r="D31" s="224"/>
      <c r="E31" s="219"/>
      <c r="F31" s="219">
        <v>0</v>
      </c>
      <c r="G31" s="7" t="s">
        <v>27</v>
      </c>
      <c r="H31" s="220" t="s">
        <v>27</v>
      </c>
      <c r="I31" s="145"/>
      <c r="J31" s="221"/>
      <c r="K31" s="248"/>
      <c r="L31" s="7"/>
      <c r="M31" s="229">
        <f>SUM(J31:J39)+SUM(K31:K39)*TC</f>
        <v>972578.61685499991</v>
      </c>
    </row>
    <row r="32" spans="2:13">
      <c r="B32" s="217" t="s">
        <v>1103</v>
      </c>
      <c r="C32" s="230" t="s">
        <v>1454</v>
      </c>
      <c r="D32" s="218" t="s">
        <v>973</v>
      </c>
      <c r="E32" s="219"/>
      <c r="F32" s="219">
        <v>0</v>
      </c>
      <c r="G32" s="7">
        <v>385.51</v>
      </c>
      <c r="H32" s="220">
        <v>0</v>
      </c>
      <c r="I32" s="145">
        <f t="shared" ref="I32:I39" si="8">+ROUND(G32+H32*TC,2)</f>
        <v>385.51</v>
      </c>
      <c r="J32" s="221">
        <f t="shared" si="2"/>
        <v>0</v>
      </c>
      <c r="K32" s="248">
        <f t="shared" si="3"/>
        <v>0</v>
      </c>
      <c r="L32" s="7">
        <f t="shared" si="4"/>
        <v>0</v>
      </c>
      <c r="M32" s="228"/>
    </row>
    <row r="33" spans="2:13">
      <c r="B33" s="217" t="s">
        <v>1455</v>
      </c>
      <c r="C33" s="230" t="s">
        <v>1456</v>
      </c>
      <c r="D33" s="218" t="s">
        <v>973</v>
      </c>
      <c r="E33" s="219">
        <v>365.39700000000084</v>
      </c>
      <c r="F33" s="219">
        <v>365.4</v>
      </c>
      <c r="G33" s="7">
        <v>408.72</v>
      </c>
      <c r="H33" s="220">
        <v>0</v>
      </c>
      <c r="I33" s="145">
        <f t="shared" si="8"/>
        <v>408.72</v>
      </c>
      <c r="J33" s="221">
        <f t="shared" si="2"/>
        <v>149346.288</v>
      </c>
      <c r="K33" s="248">
        <f t="shared" si="3"/>
        <v>0</v>
      </c>
      <c r="L33" s="7">
        <f t="shared" si="4"/>
        <v>149346.29</v>
      </c>
      <c r="M33" s="228"/>
    </row>
    <row r="34" spans="2:13">
      <c r="B34" s="217" t="s">
        <v>1457</v>
      </c>
      <c r="C34" s="230" t="s">
        <v>1310</v>
      </c>
      <c r="D34" s="218" t="s">
        <v>973</v>
      </c>
      <c r="E34" s="219">
        <v>121.21790000000007</v>
      </c>
      <c r="F34" s="219">
        <v>121.22</v>
      </c>
      <c r="G34" s="7">
        <v>447.61</v>
      </c>
      <c r="H34" s="220">
        <v>0</v>
      </c>
      <c r="I34" s="145">
        <f t="shared" si="8"/>
        <v>447.61</v>
      </c>
      <c r="J34" s="221">
        <f t="shared" si="2"/>
        <v>54259.284200000002</v>
      </c>
      <c r="K34" s="248">
        <f t="shared" si="3"/>
        <v>0</v>
      </c>
      <c r="L34" s="7">
        <f t="shared" si="4"/>
        <v>54259.28</v>
      </c>
      <c r="M34" s="228"/>
    </row>
    <row r="35" spans="2:13">
      <c r="B35" s="217" t="s">
        <v>1458</v>
      </c>
      <c r="C35" s="230" t="s">
        <v>1312</v>
      </c>
      <c r="D35" s="218" t="s">
        <v>973</v>
      </c>
      <c r="E35" s="219">
        <v>86.071900000000028</v>
      </c>
      <c r="F35" s="219">
        <v>86.07</v>
      </c>
      <c r="G35" s="7">
        <v>463.86</v>
      </c>
      <c r="H35" s="220">
        <v>0</v>
      </c>
      <c r="I35" s="145">
        <f t="shared" si="8"/>
        <v>463.86</v>
      </c>
      <c r="J35" s="221">
        <f t="shared" si="2"/>
        <v>39924.430199999995</v>
      </c>
      <c r="K35" s="248">
        <f t="shared" si="3"/>
        <v>0</v>
      </c>
      <c r="L35" s="7">
        <f t="shared" si="4"/>
        <v>39924.43</v>
      </c>
      <c r="M35" s="228"/>
    </row>
    <row r="36" spans="2:13">
      <c r="B36" s="217" t="s">
        <v>1459</v>
      </c>
      <c r="C36" s="230" t="s">
        <v>1316</v>
      </c>
      <c r="D36" s="218" t="s">
        <v>82</v>
      </c>
      <c r="E36" s="219">
        <v>2708.4099999999949</v>
      </c>
      <c r="F36" s="219">
        <v>2708.41</v>
      </c>
      <c r="G36" s="7">
        <v>50.78</v>
      </c>
      <c r="H36" s="220">
        <v>0</v>
      </c>
      <c r="I36" s="145">
        <f t="shared" si="8"/>
        <v>50.78</v>
      </c>
      <c r="J36" s="221">
        <f t="shared" si="2"/>
        <v>137533.05979999999</v>
      </c>
      <c r="K36" s="248">
        <f t="shared" si="3"/>
        <v>0</v>
      </c>
      <c r="L36" s="7">
        <f t="shared" si="4"/>
        <v>137533.06</v>
      </c>
      <c r="M36" s="228"/>
    </row>
    <row r="37" spans="2:13">
      <c r="B37" s="217" t="s">
        <v>1460</v>
      </c>
      <c r="C37" s="230" t="s">
        <v>1318</v>
      </c>
      <c r="D37" s="218" t="s">
        <v>82</v>
      </c>
      <c r="E37" s="219">
        <v>410.42760000000004</v>
      </c>
      <c r="F37" s="219">
        <v>410.43</v>
      </c>
      <c r="G37" s="7">
        <v>61.03</v>
      </c>
      <c r="H37" s="220">
        <v>0</v>
      </c>
      <c r="I37" s="145">
        <f t="shared" si="8"/>
        <v>61.03</v>
      </c>
      <c r="J37" s="221">
        <f t="shared" si="2"/>
        <v>25048.5429</v>
      </c>
      <c r="K37" s="248">
        <f t="shared" si="3"/>
        <v>0</v>
      </c>
      <c r="L37" s="7">
        <f t="shared" si="4"/>
        <v>25048.54</v>
      </c>
      <c r="M37" s="228"/>
    </row>
    <row r="38" spans="2:13">
      <c r="B38" s="217" t="s">
        <v>1461</v>
      </c>
      <c r="C38" s="230" t="s">
        <v>1120</v>
      </c>
      <c r="D38" s="218" t="s">
        <v>118</v>
      </c>
      <c r="E38" s="219">
        <v>133092.76685313659</v>
      </c>
      <c r="F38" s="219">
        <v>133092.76999999999</v>
      </c>
      <c r="G38" s="7">
        <v>1.24</v>
      </c>
      <c r="H38" s="220">
        <v>0.89</v>
      </c>
      <c r="I38" s="145">
        <f t="shared" si="8"/>
        <v>4.22</v>
      </c>
      <c r="J38" s="221">
        <f t="shared" si="2"/>
        <v>165035.03479999999</v>
      </c>
      <c r="K38" s="248">
        <f t="shared" si="3"/>
        <v>118452.56529999999</v>
      </c>
      <c r="L38" s="7">
        <f t="shared" si="4"/>
        <v>561851.13</v>
      </c>
      <c r="M38" s="228"/>
    </row>
    <row r="39" spans="2:13">
      <c r="B39" s="217" t="s">
        <v>1462</v>
      </c>
      <c r="C39" s="230" t="s">
        <v>1122</v>
      </c>
      <c r="D39" s="218" t="s">
        <v>82</v>
      </c>
      <c r="E39" s="219">
        <v>3118.8375999999948</v>
      </c>
      <c r="F39" s="219">
        <v>3118.84</v>
      </c>
      <c r="G39" s="7">
        <v>1.48</v>
      </c>
      <c r="H39" s="220">
        <v>0</v>
      </c>
      <c r="I39" s="145">
        <f t="shared" si="8"/>
        <v>1.48</v>
      </c>
      <c r="J39" s="221">
        <f t="shared" si="2"/>
        <v>4615.8832000000002</v>
      </c>
      <c r="K39" s="248">
        <f t="shared" si="3"/>
        <v>0</v>
      </c>
      <c r="L39" s="7">
        <f t="shared" si="4"/>
        <v>4615.88</v>
      </c>
      <c r="M39" s="228"/>
    </row>
    <row r="40" spans="2:13">
      <c r="B40" s="222" t="s">
        <v>1113</v>
      </c>
      <c r="C40" s="223" t="s">
        <v>1323</v>
      </c>
      <c r="D40" s="224"/>
      <c r="E40" s="219"/>
      <c r="F40" s="219">
        <v>0</v>
      </c>
      <c r="G40" s="7" t="s">
        <v>27</v>
      </c>
      <c r="H40" s="220" t="s">
        <v>27</v>
      </c>
      <c r="I40" s="145"/>
      <c r="J40" s="221"/>
      <c r="K40" s="248"/>
      <c r="L40" s="7"/>
      <c r="M40" s="229">
        <f>SUM(J40:J92)+SUM(K40:K92)*TC</f>
        <v>5227691.2681550011</v>
      </c>
    </row>
    <row r="41" spans="2:13">
      <c r="B41" s="217" t="s">
        <v>1115</v>
      </c>
      <c r="C41" s="231" t="s">
        <v>1463</v>
      </c>
      <c r="D41" s="218" t="s">
        <v>973</v>
      </c>
      <c r="E41" s="219">
        <v>1429.3866759999996</v>
      </c>
      <c r="F41" s="219">
        <v>1429.39</v>
      </c>
      <c r="G41" s="7">
        <v>415.48</v>
      </c>
      <c r="H41" s="220">
        <v>0</v>
      </c>
      <c r="I41" s="145">
        <f t="shared" ref="I41:I48" si="9">+ROUND(G41+H41*TC,2)</f>
        <v>415.48</v>
      </c>
      <c r="J41" s="221">
        <f t="shared" si="2"/>
        <v>593882.95720000006</v>
      </c>
      <c r="K41" s="248">
        <f t="shared" si="3"/>
        <v>0</v>
      </c>
      <c r="L41" s="7">
        <f t="shared" si="4"/>
        <v>593882.96</v>
      </c>
      <c r="M41" s="228"/>
    </row>
    <row r="42" spans="2:13">
      <c r="B42" s="217" t="s">
        <v>1117</v>
      </c>
      <c r="C42" s="231" t="s">
        <v>1464</v>
      </c>
      <c r="D42" s="218" t="s">
        <v>973</v>
      </c>
      <c r="E42" s="219"/>
      <c r="F42" s="219">
        <v>0</v>
      </c>
      <c r="G42" s="7">
        <v>391.63</v>
      </c>
      <c r="H42" s="220">
        <v>0</v>
      </c>
      <c r="I42" s="145">
        <f t="shared" si="9"/>
        <v>391.63</v>
      </c>
      <c r="J42" s="221">
        <f t="shared" si="2"/>
        <v>0</v>
      </c>
      <c r="K42" s="248">
        <f t="shared" si="3"/>
        <v>0</v>
      </c>
      <c r="L42" s="7">
        <f t="shared" si="4"/>
        <v>0</v>
      </c>
      <c r="M42" s="228"/>
    </row>
    <row r="43" spans="2:13">
      <c r="B43" s="217" t="s">
        <v>1119</v>
      </c>
      <c r="C43" s="45" t="s">
        <v>1465</v>
      </c>
      <c r="D43" s="218" t="s">
        <v>973</v>
      </c>
      <c r="E43" s="219">
        <v>45.839500000000008</v>
      </c>
      <c r="F43" s="219">
        <v>45.84</v>
      </c>
      <c r="G43" s="7">
        <v>454.38</v>
      </c>
      <c r="H43" s="220">
        <v>0</v>
      </c>
      <c r="I43" s="145">
        <f t="shared" si="9"/>
        <v>454.38</v>
      </c>
      <c r="J43" s="221">
        <f t="shared" si="2"/>
        <v>20828.779200000001</v>
      </c>
      <c r="K43" s="248">
        <f t="shared" si="3"/>
        <v>0</v>
      </c>
      <c r="L43" s="7">
        <f t="shared" si="4"/>
        <v>20828.78</v>
      </c>
      <c r="M43" s="228"/>
    </row>
    <row r="44" spans="2:13">
      <c r="B44" s="217" t="s">
        <v>1119</v>
      </c>
      <c r="C44" s="45" t="s">
        <v>1466</v>
      </c>
      <c r="D44" s="218" t="s">
        <v>973</v>
      </c>
      <c r="E44" s="219">
        <v>49.011300000000006</v>
      </c>
      <c r="F44" s="219">
        <v>49.01</v>
      </c>
      <c r="G44" s="7">
        <v>470.63</v>
      </c>
      <c r="H44" s="220">
        <v>0</v>
      </c>
      <c r="I44" s="145">
        <f t="shared" ref="I44" si="10">+ROUND(G44+H44*TC,2)</f>
        <v>470.63</v>
      </c>
      <c r="J44" s="221">
        <f t="shared" si="2"/>
        <v>23065.576300000001</v>
      </c>
      <c r="K44" s="248">
        <f t="shared" si="3"/>
        <v>0</v>
      </c>
      <c r="L44" s="7">
        <f t="shared" ref="L44" si="11">+ROUND(J44+K44*TC,2)</f>
        <v>23065.58</v>
      </c>
      <c r="M44" s="228"/>
    </row>
    <row r="45" spans="2:13">
      <c r="B45" s="217" t="s">
        <v>1121</v>
      </c>
      <c r="C45" s="230" t="s">
        <v>1335</v>
      </c>
      <c r="D45" s="218" t="s">
        <v>82</v>
      </c>
      <c r="E45" s="219">
        <v>7577.18324999998</v>
      </c>
      <c r="F45" s="219">
        <v>7577.18</v>
      </c>
      <c r="G45" s="7">
        <v>54.88</v>
      </c>
      <c r="H45" s="220">
        <v>0</v>
      </c>
      <c r="I45" s="145">
        <f t="shared" si="9"/>
        <v>54.88</v>
      </c>
      <c r="J45" s="221">
        <f t="shared" si="2"/>
        <v>415835.63840000005</v>
      </c>
      <c r="K45" s="248">
        <f t="shared" si="3"/>
        <v>0</v>
      </c>
      <c r="L45" s="7">
        <f t="shared" si="4"/>
        <v>415835.64</v>
      </c>
      <c r="M45" s="228"/>
    </row>
    <row r="46" spans="2:13">
      <c r="B46" s="217" t="s">
        <v>1123</v>
      </c>
      <c r="C46" s="230" t="s">
        <v>1337</v>
      </c>
      <c r="D46" s="218" t="s">
        <v>82</v>
      </c>
      <c r="E46" s="219"/>
      <c r="F46" s="219">
        <v>0</v>
      </c>
      <c r="G46" s="7">
        <v>65.13</v>
      </c>
      <c r="H46" s="220">
        <v>0</v>
      </c>
      <c r="I46" s="145">
        <f t="shared" si="9"/>
        <v>65.13</v>
      </c>
      <c r="J46" s="221">
        <f t="shared" si="2"/>
        <v>0</v>
      </c>
      <c r="K46" s="248">
        <f t="shared" si="3"/>
        <v>0</v>
      </c>
      <c r="L46" s="7">
        <f t="shared" si="4"/>
        <v>0</v>
      </c>
      <c r="M46" s="228"/>
    </row>
    <row r="47" spans="2:13">
      <c r="B47" s="217" t="s">
        <v>1467</v>
      </c>
      <c r="C47" s="230" t="s">
        <v>1120</v>
      </c>
      <c r="D47" s="218" t="s">
        <v>118</v>
      </c>
      <c r="E47" s="219">
        <v>330410.38871399965</v>
      </c>
      <c r="F47" s="219">
        <v>330410.39</v>
      </c>
      <c r="G47" s="7">
        <v>1.24</v>
      </c>
      <c r="H47" s="220">
        <v>0.89</v>
      </c>
      <c r="I47" s="145">
        <f t="shared" si="9"/>
        <v>4.22</v>
      </c>
      <c r="J47" s="221">
        <f t="shared" si="2"/>
        <v>409708.8836</v>
      </c>
      <c r="K47" s="248">
        <f t="shared" si="3"/>
        <v>294065.24710000004</v>
      </c>
      <c r="L47" s="7">
        <f t="shared" si="4"/>
        <v>1394827.46</v>
      </c>
      <c r="M47" s="228"/>
    </row>
    <row r="48" spans="2:13">
      <c r="B48" s="217" t="s">
        <v>1468</v>
      </c>
      <c r="C48" s="230" t="s">
        <v>1122</v>
      </c>
      <c r="D48" s="218" t="s">
        <v>82</v>
      </c>
      <c r="E48" s="219">
        <v>7577.18324999998</v>
      </c>
      <c r="F48" s="219">
        <v>7577.18</v>
      </c>
      <c r="G48" s="7">
        <v>1.48</v>
      </c>
      <c r="H48" s="220">
        <v>0</v>
      </c>
      <c r="I48" s="145">
        <f t="shared" si="9"/>
        <v>1.48</v>
      </c>
      <c r="J48" s="221">
        <f t="shared" si="2"/>
        <v>11214.2264</v>
      </c>
      <c r="K48" s="248">
        <f t="shared" si="3"/>
        <v>0</v>
      </c>
      <c r="L48" s="7">
        <f t="shared" si="4"/>
        <v>11214.23</v>
      </c>
      <c r="M48" s="228"/>
    </row>
    <row r="49" spans="2:13">
      <c r="B49" s="217"/>
      <c r="C49" s="645" t="s">
        <v>1344</v>
      </c>
      <c r="D49" s="218"/>
      <c r="E49" s="219"/>
      <c r="F49" s="219">
        <v>0</v>
      </c>
      <c r="G49" s="7" t="s">
        <v>27</v>
      </c>
      <c r="H49" s="220" t="s">
        <v>27</v>
      </c>
      <c r="I49" s="145"/>
      <c r="J49" s="221"/>
      <c r="K49" s="248"/>
      <c r="L49" s="7"/>
      <c r="M49" s="228"/>
    </row>
    <row r="50" spans="2:13">
      <c r="B50" s="217"/>
      <c r="C50" s="45" t="s">
        <v>1469</v>
      </c>
      <c r="D50" s="218" t="s">
        <v>973</v>
      </c>
      <c r="E50" s="219">
        <v>91.262952054794525</v>
      </c>
      <c r="F50" s="219">
        <v>91.26</v>
      </c>
      <c r="G50" s="7">
        <v>415.48</v>
      </c>
      <c r="H50" s="220">
        <v>0</v>
      </c>
      <c r="I50" s="145">
        <f t="shared" ref="I50:I85" si="12">+ROUND(G50+H50*TC,2)</f>
        <v>415.48</v>
      </c>
      <c r="J50" s="221">
        <f>G50*F50</f>
        <v>37916.704800000007</v>
      </c>
      <c r="K50" s="248">
        <f t="shared" ref="K50:K85" si="13">H50*F50</f>
        <v>0</v>
      </c>
      <c r="L50" s="7">
        <f t="shared" ref="L50:L85" si="14">+ROUND(J50+K50*TC,2)</f>
        <v>37916.699999999997</v>
      </c>
      <c r="M50" s="228"/>
    </row>
    <row r="51" spans="2:13">
      <c r="B51" s="217"/>
      <c r="C51" s="45" t="s">
        <v>1470</v>
      </c>
      <c r="D51" s="218" t="s">
        <v>973</v>
      </c>
      <c r="E51" s="219">
        <v>1.9424999999999999</v>
      </c>
      <c r="F51" s="219">
        <v>1.94</v>
      </c>
      <c r="G51" s="7">
        <v>454.37</v>
      </c>
      <c r="H51" s="220">
        <v>0</v>
      </c>
      <c r="I51" s="145">
        <f t="shared" si="12"/>
        <v>454.37</v>
      </c>
      <c r="J51" s="221">
        <f t="shared" ref="J51:J85" si="15">G51*F51</f>
        <v>881.4778</v>
      </c>
      <c r="K51" s="248">
        <f t="shared" si="13"/>
        <v>0</v>
      </c>
      <c r="L51" s="7">
        <f t="shared" si="14"/>
        <v>881.48</v>
      </c>
      <c r="M51" s="228"/>
    </row>
    <row r="52" spans="2:13">
      <c r="B52" s="217"/>
      <c r="C52" s="45" t="s">
        <v>1471</v>
      </c>
      <c r="D52" s="218" t="s">
        <v>973</v>
      </c>
      <c r="E52" s="219">
        <v>2.2184999999999997</v>
      </c>
      <c r="F52" s="219">
        <v>2.2200000000000002</v>
      </c>
      <c r="G52" s="7">
        <v>470.62</v>
      </c>
      <c r="H52" s="220">
        <v>0</v>
      </c>
      <c r="I52" s="145">
        <f t="shared" ref="I52" si="16">+ROUND(G52+H52*TC,2)</f>
        <v>470.62</v>
      </c>
      <c r="J52" s="221">
        <f t="shared" ref="J52" si="17">G52*F52</f>
        <v>1044.7764000000002</v>
      </c>
      <c r="K52" s="248">
        <f t="shared" ref="K52" si="18">H52*F52</f>
        <v>0</v>
      </c>
      <c r="L52" s="7">
        <f t="shared" ref="L52" si="19">+ROUND(J52+K52*TC,2)</f>
        <v>1044.78</v>
      </c>
      <c r="M52" s="228"/>
    </row>
    <row r="53" spans="2:13">
      <c r="B53" s="217"/>
      <c r="C53" s="647" t="s">
        <v>1350</v>
      </c>
      <c r="D53" s="218" t="s">
        <v>82</v>
      </c>
      <c r="E53" s="219">
        <v>1064.82</v>
      </c>
      <c r="F53" s="219">
        <v>1064.82</v>
      </c>
      <c r="G53" s="7">
        <v>36.32</v>
      </c>
      <c r="H53" s="220">
        <v>0</v>
      </c>
      <c r="I53" s="145">
        <f t="shared" si="12"/>
        <v>36.32</v>
      </c>
      <c r="J53" s="221">
        <f t="shared" si="15"/>
        <v>38674.2624</v>
      </c>
      <c r="K53" s="248">
        <f t="shared" si="13"/>
        <v>0</v>
      </c>
      <c r="L53" s="7">
        <f t="shared" si="14"/>
        <v>38674.26</v>
      </c>
      <c r="M53" s="228"/>
    </row>
    <row r="54" spans="2:13">
      <c r="B54" s="217"/>
      <c r="C54" s="45" t="s">
        <v>1351</v>
      </c>
      <c r="D54" s="218" t="s">
        <v>82</v>
      </c>
      <c r="E54" s="219">
        <v>205.44</v>
      </c>
      <c r="F54" s="219">
        <v>205.44</v>
      </c>
      <c r="G54" s="7">
        <v>46.57</v>
      </c>
      <c r="H54" s="220">
        <v>0</v>
      </c>
      <c r="I54" s="145">
        <f t="shared" si="12"/>
        <v>46.57</v>
      </c>
      <c r="J54" s="221">
        <f t="shared" si="15"/>
        <v>9567.3407999999999</v>
      </c>
      <c r="K54" s="248">
        <f t="shared" si="13"/>
        <v>0</v>
      </c>
      <c r="L54" s="7">
        <f t="shared" si="14"/>
        <v>9567.34</v>
      </c>
      <c r="M54" s="228"/>
    </row>
    <row r="55" spans="2:13">
      <c r="B55" s="217"/>
      <c r="C55" s="45" t="s">
        <v>1353</v>
      </c>
      <c r="D55" s="218" t="s">
        <v>82</v>
      </c>
      <c r="E55" s="219">
        <v>1270.26</v>
      </c>
      <c r="F55" s="219">
        <v>1270.26</v>
      </c>
      <c r="G55" s="7">
        <v>61.5</v>
      </c>
      <c r="H55" s="220">
        <v>0</v>
      </c>
      <c r="I55" s="145">
        <f t="shared" si="12"/>
        <v>61.5</v>
      </c>
      <c r="J55" s="221">
        <f t="shared" si="15"/>
        <v>78120.990000000005</v>
      </c>
      <c r="K55" s="248">
        <f t="shared" si="13"/>
        <v>0</v>
      </c>
      <c r="L55" s="7">
        <f t="shared" si="14"/>
        <v>78120.990000000005</v>
      </c>
      <c r="M55" s="228"/>
    </row>
    <row r="56" spans="2:13">
      <c r="B56" s="217"/>
      <c r="C56" s="647" t="s">
        <v>1342</v>
      </c>
      <c r="D56" s="218" t="s">
        <v>82</v>
      </c>
      <c r="E56" s="219">
        <v>1270.26</v>
      </c>
      <c r="F56" s="219">
        <v>1270.26</v>
      </c>
      <c r="G56" s="7">
        <v>4.37</v>
      </c>
      <c r="H56" s="220">
        <v>0</v>
      </c>
      <c r="I56" s="145">
        <f t="shared" si="12"/>
        <v>4.37</v>
      </c>
      <c r="J56" s="221">
        <f t="shared" si="15"/>
        <v>5551.0362000000005</v>
      </c>
      <c r="K56" s="248">
        <f t="shared" si="13"/>
        <v>0</v>
      </c>
      <c r="L56" s="7">
        <f t="shared" si="14"/>
        <v>5551.04</v>
      </c>
      <c r="M56" s="228"/>
    </row>
    <row r="57" spans="2:13">
      <c r="B57" s="217"/>
      <c r="C57" s="647" t="s">
        <v>1356</v>
      </c>
      <c r="D57" s="218" t="s">
        <v>118</v>
      </c>
      <c r="E57" s="219">
        <v>10194.717699999992</v>
      </c>
      <c r="F57" s="219">
        <v>10194.719999999999</v>
      </c>
      <c r="G57" s="7">
        <v>1.24</v>
      </c>
      <c r="H57" s="220">
        <v>0.89</v>
      </c>
      <c r="I57" s="145">
        <f t="shared" si="12"/>
        <v>4.22</v>
      </c>
      <c r="J57" s="221">
        <f t="shared" si="15"/>
        <v>12641.452799999999</v>
      </c>
      <c r="K57" s="248">
        <f t="shared" si="13"/>
        <v>9073.3007999999991</v>
      </c>
      <c r="L57" s="7">
        <f t="shared" si="14"/>
        <v>43037.01</v>
      </c>
      <c r="M57" s="228"/>
    </row>
    <row r="58" spans="2:13">
      <c r="B58" s="217"/>
      <c r="C58" s="647" t="s">
        <v>1358</v>
      </c>
      <c r="D58" s="218" t="s">
        <v>118</v>
      </c>
      <c r="E58" s="219">
        <v>4999.2942000000012</v>
      </c>
      <c r="F58" s="219">
        <v>4999.29</v>
      </c>
      <c r="G58" s="7">
        <v>0</v>
      </c>
      <c r="H58" s="220">
        <v>0.89</v>
      </c>
      <c r="I58" s="145">
        <f t="shared" si="12"/>
        <v>2.98</v>
      </c>
      <c r="J58" s="221">
        <f t="shared" si="15"/>
        <v>0</v>
      </c>
      <c r="K58" s="248">
        <f t="shared" si="13"/>
        <v>4449.3680999999997</v>
      </c>
      <c r="L58" s="7">
        <f t="shared" si="14"/>
        <v>14905.38</v>
      </c>
      <c r="M58" s="228"/>
    </row>
    <row r="59" spans="2:13" ht="22.5">
      <c r="B59" s="217"/>
      <c r="C59" s="647" t="s">
        <v>1360</v>
      </c>
      <c r="D59" s="218" t="s">
        <v>118</v>
      </c>
      <c r="E59" s="219">
        <v>2007.0108</v>
      </c>
      <c r="F59" s="219">
        <v>2007.01</v>
      </c>
      <c r="G59" s="7">
        <v>0</v>
      </c>
      <c r="H59" s="220">
        <v>0.89</v>
      </c>
      <c r="I59" s="145">
        <f t="shared" si="12"/>
        <v>2.98</v>
      </c>
      <c r="J59" s="221">
        <f t="shared" si="15"/>
        <v>0</v>
      </c>
      <c r="K59" s="248">
        <f t="shared" si="13"/>
        <v>1786.2389000000001</v>
      </c>
      <c r="L59" s="7">
        <f t="shared" si="14"/>
        <v>5983.9</v>
      </c>
      <c r="M59" s="228"/>
    </row>
    <row r="60" spans="2:13">
      <c r="B60" s="217"/>
      <c r="C60" s="45" t="s">
        <v>1472</v>
      </c>
      <c r="D60" s="218" t="s">
        <v>118</v>
      </c>
      <c r="E60" s="219">
        <v>508.10400000000004</v>
      </c>
      <c r="F60" s="219">
        <v>508.1</v>
      </c>
      <c r="G60" s="7">
        <v>1.24</v>
      </c>
      <c r="H60" s="220">
        <v>0.89</v>
      </c>
      <c r="I60" s="145">
        <f t="shared" ref="I60" si="20">+ROUND(G60+H60*TC,2)</f>
        <v>4.22</v>
      </c>
      <c r="J60" s="221">
        <f t="shared" ref="J60" si="21">G60*F60</f>
        <v>630.04399999999998</v>
      </c>
      <c r="K60" s="248">
        <f t="shared" ref="K60" si="22">H60*F60</f>
        <v>452.209</v>
      </c>
      <c r="L60" s="7">
        <f t="shared" ref="L60" si="23">+ROUND(J60+K60*TC,2)</f>
        <v>2144.94</v>
      </c>
      <c r="M60" s="228"/>
    </row>
    <row r="61" spans="2:13">
      <c r="B61" s="217"/>
      <c r="C61" s="647" t="s">
        <v>1122</v>
      </c>
      <c r="D61" s="218" t="s">
        <v>82</v>
      </c>
      <c r="E61" s="219">
        <v>1270.26</v>
      </c>
      <c r="F61" s="219">
        <v>1270.26</v>
      </c>
      <c r="G61" s="7">
        <v>1.48</v>
      </c>
      <c r="H61" s="220">
        <v>0</v>
      </c>
      <c r="I61" s="145">
        <f t="shared" si="12"/>
        <v>1.48</v>
      </c>
      <c r="J61" s="221">
        <f t="shared" si="15"/>
        <v>1879.9848</v>
      </c>
      <c r="K61" s="248">
        <f t="shared" si="13"/>
        <v>0</v>
      </c>
      <c r="L61" s="7">
        <f t="shared" si="14"/>
        <v>1879.98</v>
      </c>
      <c r="M61" s="228"/>
    </row>
    <row r="62" spans="2:13">
      <c r="B62" s="217"/>
      <c r="C62" s="645" t="s">
        <v>1363</v>
      </c>
      <c r="D62" s="218"/>
      <c r="E62" s="219"/>
      <c r="F62" s="219">
        <v>0</v>
      </c>
      <c r="G62" s="7" t="s">
        <v>27</v>
      </c>
      <c r="H62" s="220" t="s">
        <v>27</v>
      </c>
      <c r="I62" s="145"/>
      <c r="J62" s="221"/>
      <c r="K62" s="248"/>
      <c r="L62" s="7"/>
      <c r="M62" s="228"/>
    </row>
    <row r="63" spans="2:13">
      <c r="B63" s="217"/>
      <c r="C63" s="45" t="s">
        <v>1469</v>
      </c>
      <c r="D63" s="218" t="s">
        <v>973</v>
      </c>
      <c r="E63" s="219">
        <v>892.24487876712317</v>
      </c>
      <c r="F63" s="219">
        <v>892.24</v>
      </c>
      <c r="G63" s="7">
        <v>415.48</v>
      </c>
      <c r="H63" s="220">
        <v>0</v>
      </c>
      <c r="I63" s="145">
        <f t="shared" si="12"/>
        <v>415.48</v>
      </c>
      <c r="J63" s="221">
        <f t="shared" si="15"/>
        <v>370707.87520000001</v>
      </c>
      <c r="K63" s="248">
        <f t="shared" si="13"/>
        <v>0</v>
      </c>
      <c r="L63" s="7">
        <f t="shared" si="14"/>
        <v>370707.88</v>
      </c>
      <c r="M63" s="228"/>
    </row>
    <row r="64" spans="2:13">
      <c r="B64" s="217"/>
      <c r="C64" s="45" t="s">
        <v>1470</v>
      </c>
      <c r="D64" s="218" t="s">
        <v>973</v>
      </c>
      <c r="E64" s="219">
        <v>11.2608</v>
      </c>
      <c r="F64" s="219">
        <v>11.26</v>
      </c>
      <c r="G64" s="7">
        <v>454.37</v>
      </c>
      <c r="H64" s="220">
        <v>0</v>
      </c>
      <c r="I64" s="145">
        <f t="shared" ref="I64:I65" si="24">+ROUND(G64+H64*TC,2)</f>
        <v>454.37</v>
      </c>
      <c r="J64" s="221">
        <f t="shared" ref="J64:J65" si="25">G64*F64</f>
        <v>5116.2061999999996</v>
      </c>
      <c r="K64" s="248">
        <f t="shared" ref="K64:K65" si="26">H64*F64</f>
        <v>0</v>
      </c>
      <c r="L64" s="7">
        <f t="shared" ref="L64:L65" si="27">+ROUND(J64+K64*TC,2)</f>
        <v>5116.21</v>
      </c>
      <c r="M64" s="228"/>
    </row>
    <row r="65" spans="2:13">
      <c r="B65" s="217"/>
      <c r="C65" s="45" t="s">
        <v>1471</v>
      </c>
      <c r="D65" s="218" t="s">
        <v>973</v>
      </c>
      <c r="E65" s="219">
        <v>11.749500000000001</v>
      </c>
      <c r="F65" s="219">
        <v>11.75</v>
      </c>
      <c r="G65" s="7">
        <v>470.62</v>
      </c>
      <c r="H65" s="220">
        <v>0</v>
      </c>
      <c r="I65" s="145">
        <f t="shared" si="24"/>
        <v>470.62</v>
      </c>
      <c r="J65" s="221">
        <f t="shared" si="25"/>
        <v>5529.7849999999999</v>
      </c>
      <c r="K65" s="248">
        <f t="shared" si="26"/>
        <v>0</v>
      </c>
      <c r="L65" s="7">
        <f t="shared" si="27"/>
        <v>5529.79</v>
      </c>
      <c r="M65" s="228"/>
    </row>
    <row r="66" spans="2:13">
      <c r="B66" s="217"/>
      <c r="C66" s="647" t="s">
        <v>1350</v>
      </c>
      <c r="D66" s="218" t="s">
        <v>82</v>
      </c>
      <c r="E66" s="219">
        <v>9122.8799999999992</v>
      </c>
      <c r="F66" s="219">
        <v>9122.8799999999992</v>
      </c>
      <c r="G66" s="7">
        <v>36.32</v>
      </c>
      <c r="H66" s="220">
        <v>0</v>
      </c>
      <c r="I66" s="145">
        <f t="shared" si="12"/>
        <v>36.32</v>
      </c>
      <c r="J66" s="221">
        <f t="shared" si="15"/>
        <v>331343.00159999996</v>
      </c>
      <c r="K66" s="248">
        <f t="shared" si="13"/>
        <v>0</v>
      </c>
      <c r="L66" s="7">
        <f t="shared" si="14"/>
        <v>331343</v>
      </c>
      <c r="M66" s="228"/>
    </row>
    <row r="67" spans="2:13">
      <c r="B67" s="217"/>
      <c r="C67" s="647" t="s">
        <v>1351</v>
      </c>
      <c r="D67" s="218" t="s">
        <v>82</v>
      </c>
      <c r="E67" s="219">
        <v>867.21</v>
      </c>
      <c r="F67" s="219">
        <v>867.21</v>
      </c>
      <c r="G67" s="7">
        <v>46.57</v>
      </c>
      <c r="H67" s="220">
        <v>0</v>
      </c>
      <c r="I67" s="145">
        <f t="shared" si="12"/>
        <v>46.57</v>
      </c>
      <c r="J67" s="221">
        <f t="shared" si="15"/>
        <v>40385.969700000001</v>
      </c>
      <c r="K67" s="248">
        <f t="shared" si="13"/>
        <v>0</v>
      </c>
      <c r="L67" s="7">
        <f t="shared" si="14"/>
        <v>40385.97</v>
      </c>
      <c r="M67" s="228"/>
    </row>
    <row r="68" spans="2:13">
      <c r="B68" s="217"/>
      <c r="C68" s="45" t="s">
        <v>1368</v>
      </c>
      <c r="D68" s="218" t="s">
        <v>82</v>
      </c>
      <c r="E68" s="219">
        <v>9990.09</v>
      </c>
      <c r="F68" s="219">
        <v>9990.09</v>
      </c>
      <c r="G68" s="7">
        <v>58.5</v>
      </c>
      <c r="H68" s="220">
        <v>0</v>
      </c>
      <c r="I68" s="145">
        <f t="shared" si="12"/>
        <v>58.5</v>
      </c>
      <c r="J68" s="221">
        <f t="shared" si="15"/>
        <v>584420.26500000001</v>
      </c>
      <c r="K68" s="248">
        <f t="shared" si="13"/>
        <v>0</v>
      </c>
      <c r="L68" s="7">
        <f t="shared" si="14"/>
        <v>584420.27</v>
      </c>
      <c r="M68" s="228"/>
    </row>
    <row r="69" spans="2:13">
      <c r="B69" s="217"/>
      <c r="C69" s="647" t="s">
        <v>1342</v>
      </c>
      <c r="D69" s="218" t="s">
        <v>82</v>
      </c>
      <c r="E69" s="219">
        <v>9990.09</v>
      </c>
      <c r="F69" s="219">
        <v>9990.09</v>
      </c>
      <c r="G69" s="7">
        <v>4.37</v>
      </c>
      <c r="H69" s="220">
        <v>0</v>
      </c>
      <c r="I69" s="145">
        <f t="shared" si="12"/>
        <v>4.37</v>
      </c>
      <c r="J69" s="221">
        <f t="shared" si="15"/>
        <v>43656.693299999999</v>
      </c>
      <c r="K69" s="248">
        <f t="shared" si="13"/>
        <v>0</v>
      </c>
      <c r="L69" s="7">
        <f t="shared" si="14"/>
        <v>43656.69</v>
      </c>
      <c r="M69" s="228"/>
    </row>
    <row r="70" spans="2:13">
      <c r="B70" s="217"/>
      <c r="C70" s="647" t="s">
        <v>1356</v>
      </c>
      <c r="D70" s="218" t="s">
        <v>118</v>
      </c>
      <c r="E70" s="219">
        <v>59610.779319999965</v>
      </c>
      <c r="F70" s="219">
        <v>59610.78</v>
      </c>
      <c r="G70" s="7">
        <v>1.24</v>
      </c>
      <c r="H70" s="220">
        <v>0.89</v>
      </c>
      <c r="I70" s="145">
        <f t="shared" si="12"/>
        <v>4.22</v>
      </c>
      <c r="J70" s="221">
        <f t="shared" si="15"/>
        <v>73917.367199999993</v>
      </c>
      <c r="K70" s="248">
        <f t="shared" si="13"/>
        <v>53053.5942</v>
      </c>
      <c r="L70" s="7">
        <f t="shared" si="14"/>
        <v>251646.91</v>
      </c>
      <c r="M70" s="228"/>
    </row>
    <row r="71" spans="2:13">
      <c r="B71" s="217"/>
      <c r="C71" s="647" t="s">
        <v>1358</v>
      </c>
      <c r="D71" s="218" t="s">
        <v>118</v>
      </c>
      <c r="E71" s="219">
        <v>76088.088300000018</v>
      </c>
      <c r="F71" s="219">
        <v>76088.09</v>
      </c>
      <c r="G71" s="7">
        <v>0</v>
      </c>
      <c r="H71" s="220">
        <v>0.89</v>
      </c>
      <c r="I71" s="145">
        <f t="shared" si="12"/>
        <v>2.98</v>
      </c>
      <c r="J71" s="221">
        <f t="shared" si="15"/>
        <v>0</v>
      </c>
      <c r="K71" s="248">
        <f t="shared" si="13"/>
        <v>67718.400099999999</v>
      </c>
      <c r="L71" s="7">
        <f t="shared" si="14"/>
        <v>226856.64</v>
      </c>
      <c r="M71" s="228"/>
    </row>
    <row r="72" spans="2:13">
      <c r="B72" s="217"/>
      <c r="C72" s="45" t="s">
        <v>1373</v>
      </c>
      <c r="D72" s="218" t="s">
        <v>118</v>
      </c>
      <c r="E72" s="219">
        <v>17482.657500000001</v>
      </c>
      <c r="F72" s="219">
        <v>17482.66</v>
      </c>
      <c r="G72" s="7">
        <v>1.24</v>
      </c>
      <c r="H72" s="220">
        <v>0.89</v>
      </c>
      <c r="I72" s="145">
        <f t="shared" si="12"/>
        <v>4.22</v>
      </c>
      <c r="J72" s="221">
        <f t="shared" si="15"/>
        <v>21678.4984</v>
      </c>
      <c r="K72" s="248">
        <f t="shared" si="13"/>
        <v>15559.5674</v>
      </c>
      <c r="L72" s="7">
        <f t="shared" si="14"/>
        <v>73803.05</v>
      </c>
      <c r="M72" s="228"/>
    </row>
    <row r="73" spans="2:13">
      <c r="B73" s="217"/>
      <c r="C73" s="647" t="s">
        <v>1122</v>
      </c>
      <c r="D73" s="218" t="s">
        <v>82</v>
      </c>
      <c r="E73" s="219">
        <v>9990.09</v>
      </c>
      <c r="F73" s="219">
        <v>9990.09</v>
      </c>
      <c r="G73" s="7">
        <v>1.48</v>
      </c>
      <c r="H73" s="220">
        <v>0</v>
      </c>
      <c r="I73" s="145">
        <f t="shared" si="12"/>
        <v>1.48</v>
      </c>
      <c r="J73" s="221">
        <f t="shared" si="15"/>
        <v>14785.333200000001</v>
      </c>
      <c r="K73" s="248">
        <f t="shared" si="13"/>
        <v>0</v>
      </c>
      <c r="L73" s="7">
        <f t="shared" si="14"/>
        <v>14785.33</v>
      </c>
      <c r="M73" s="228"/>
    </row>
    <row r="74" spans="2:13">
      <c r="B74" s="217"/>
      <c r="C74" s="645" t="s">
        <v>1375</v>
      </c>
      <c r="D74" s="218"/>
      <c r="E74" s="219"/>
      <c r="F74" s="219">
        <v>0</v>
      </c>
      <c r="G74" s="7" t="s">
        <v>27</v>
      </c>
      <c r="H74" s="220" t="s">
        <v>27</v>
      </c>
      <c r="I74" s="145"/>
      <c r="J74" s="221"/>
      <c r="K74" s="248"/>
      <c r="L74" s="7"/>
      <c r="M74" s="228"/>
    </row>
    <row r="75" spans="2:13">
      <c r="B75" s="217"/>
      <c r="C75" s="45" t="s">
        <v>1473</v>
      </c>
      <c r="D75" s="218" t="s">
        <v>973</v>
      </c>
      <c r="E75" s="219">
        <v>322.29750000000007</v>
      </c>
      <c r="F75" s="219">
        <v>322.3</v>
      </c>
      <c r="G75" s="7">
        <v>415.48</v>
      </c>
      <c r="H75" s="220">
        <v>0</v>
      </c>
      <c r="I75" s="145">
        <f t="shared" si="12"/>
        <v>415.48</v>
      </c>
      <c r="J75" s="221">
        <f t="shared" si="15"/>
        <v>133909.204</v>
      </c>
      <c r="K75" s="248">
        <f t="shared" si="13"/>
        <v>0</v>
      </c>
      <c r="L75" s="7">
        <f t="shared" si="14"/>
        <v>133909.20000000001</v>
      </c>
      <c r="M75" s="228"/>
    </row>
    <row r="76" spans="2:13">
      <c r="B76" s="217"/>
      <c r="C76" s="45" t="s">
        <v>1474</v>
      </c>
      <c r="D76" s="218" t="s">
        <v>973</v>
      </c>
      <c r="E76" s="219">
        <v>4.1639999999999997</v>
      </c>
      <c r="F76" s="219">
        <v>4.16</v>
      </c>
      <c r="G76" s="7">
        <v>454.37</v>
      </c>
      <c r="H76" s="220">
        <v>0</v>
      </c>
      <c r="I76" s="145">
        <f t="shared" si="12"/>
        <v>454.37</v>
      </c>
      <c r="J76" s="221">
        <f t="shared" si="15"/>
        <v>1890.1792</v>
      </c>
      <c r="K76" s="248">
        <f t="shared" si="13"/>
        <v>0</v>
      </c>
      <c r="L76" s="7">
        <f t="shared" si="14"/>
        <v>1890.18</v>
      </c>
      <c r="M76" s="228"/>
    </row>
    <row r="77" spans="2:13">
      <c r="B77" s="217"/>
      <c r="C77" s="45" t="s">
        <v>1475</v>
      </c>
      <c r="D77" s="218" t="s">
        <v>973</v>
      </c>
      <c r="E77" s="219">
        <v>4.5149999999999997</v>
      </c>
      <c r="F77" s="219">
        <v>4.5199999999999996</v>
      </c>
      <c r="G77" s="7">
        <v>470.62</v>
      </c>
      <c r="H77" s="220">
        <v>0</v>
      </c>
      <c r="I77" s="145">
        <f t="shared" si="12"/>
        <v>470.62</v>
      </c>
      <c r="J77" s="221">
        <f t="shared" si="15"/>
        <v>2127.2023999999997</v>
      </c>
      <c r="K77" s="248">
        <f t="shared" si="13"/>
        <v>0</v>
      </c>
      <c r="L77" s="7">
        <f t="shared" si="14"/>
        <v>2127.1999999999998</v>
      </c>
      <c r="M77" s="228"/>
    </row>
    <row r="78" spans="2:13">
      <c r="B78" s="217"/>
      <c r="C78" s="647" t="s">
        <v>1350</v>
      </c>
      <c r="D78" s="218" t="s">
        <v>82</v>
      </c>
      <c r="E78" s="219">
        <v>2093.1800000000003</v>
      </c>
      <c r="F78" s="219">
        <v>2093.1799999999998</v>
      </c>
      <c r="G78" s="7">
        <v>36.32</v>
      </c>
      <c r="H78" s="220">
        <v>0</v>
      </c>
      <c r="I78" s="145">
        <f t="shared" si="12"/>
        <v>36.32</v>
      </c>
      <c r="J78" s="221">
        <f t="shared" si="15"/>
        <v>76024.297599999991</v>
      </c>
      <c r="K78" s="248">
        <f t="shared" si="13"/>
        <v>0</v>
      </c>
      <c r="L78" s="7">
        <f t="shared" si="14"/>
        <v>76024.3</v>
      </c>
      <c r="M78" s="228"/>
    </row>
    <row r="79" spans="2:13">
      <c r="B79" s="217"/>
      <c r="C79" s="647" t="s">
        <v>1351</v>
      </c>
      <c r="D79" s="218" t="s">
        <v>82</v>
      </c>
      <c r="E79" s="219">
        <v>113.33</v>
      </c>
      <c r="F79" s="219">
        <v>113.33</v>
      </c>
      <c r="G79" s="7">
        <v>46.57</v>
      </c>
      <c r="H79" s="220">
        <v>0</v>
      </c>
      <c r="I79" s="145">
        <f t="shared" ref="I79" si="28">+ROUND(G79+H79*TC,2)</f>
        <v>46.57</v>
      </c>
      <c r="J79" s="221">
        <f t="shared" ref="J79" si="29">G79*F79</f>
        <v>5277.7780999999995</v>
      </c>
      <c r="K79" s="248">
        <f t="shared" ref="K79" si="30">H79*F79</f>
        <v>0</v>
      </c>
      <c r="L79" s="7">
        <f t="shared" ref="L79" si="31">+ROUND(J79+K79*TC,2)</f>
        <v>5277.78</v>
      </c>
      <c r="M79" s="228"/>
    </row>
    <row r="80" spans="2:13">
      <c r="B80" s="217"/>
      <c r="C80" s="45" t="s">
        <v>1341</v>
      </c>
      <c r="D80" s="218" t="s">
        <v>82</v>
      </c>
      <c r="E80" s="219">
        <v>2206.5100000000002</v>
      </c>
      <c r="F80" s="219">
        <v>2206.5100000000002</v>
      </c>
      <c r="G80" s="7">
        <v>47.5</v>
      </c>
      <c r="H80" s="220">
        <v>0</v>
      </c>
      <c r="I80" s="145">
        <f t="shared" si="12"/>
        <v>47.5</v>
      </c>
      <c r="J80" s="221">
        <f t="shared" si="15"/>
        <v>104809.22500000001</v>
      </c>
      <c r="K80" s="248">
        <f t="shared" si="13"/>
        <v>0</v>
      </c>
      <c r="L80" s="7">
        <f t="shared" si="14"/>
        <v>104809.23</v>
      </c>
      <c r="M80" s="228"/>
    </row>
    <row r="81" spans="2:13">
      <c r="B81" s="217"/>
      <c r="C81" s="647" t="s">
        <v>1342</v>
      </c>
      <c r="D81" s="218" t="s">
        <v>82</v>
      </c>
      <c r="E81" s="219">
        <v>2206.5100000000002</v>
      </c>
      <c r="F81" s="219">
        <v>2206.5100000000002</v>
      </c>
      <c r="G81" s="7">
        <v>4.37</v>
      </c>
      <c r="H81" s="220">
        <v>0</v>
      </c>
      <c r="I81" s="145">
        <f t="shared" si="12"/>
        <v>4.37</v>
      </c>
      <c r="J81" s="221">
        <f t="shared" si="15"/>
        <v>9642.4487000000008</v>
      </c>
      <c r="K81" s="248">
        <f t="shared" si="13"/>
        <v>0</v>
      </c>
      <c r="L81" s="7">
        <f t="shared" si="14"/>
        <v>9642.4500000000007</v>
      </c>
      <c r="M81" s="228"/>
    </row>
    <row r="82" spans="2:13">
      <c r="B82" s="217"/>
      <c r="C82" s="647" t="s">
        <v>1356</v>
      </c>
      <c r="D82" s="218" t="s">
        <v>118</v>
      </c>
      <c r="E82" s="219">
        <v>19656.209349999968</v>
      </c>
      <c r="F82" s="219">
        <v>19656.21</v>
      </c>
      <c r="G82" s="7">
        <v>1.24</v>
      </c>
      <c r="H82" s="220">
        <v>0.89</v>
      </c>
      <c r="I82" s="145">
        <f t="shared" si="12"/>
        <v>4.22</v>
      </c>
      <c r="J82" s="221">
        <f t="shared" si="15"/>
        <v>24373.700399999998</v>
      </c>
      <c r="K82" s="248">
        <f t="shared" si="13"/>
        <v>17494.026900000001</v>
      </c>
      <c r="L82" s="7">
        <f t="shared" si="14"/>
        <v>82978.69</v>
      </c>
      <c r="M82" s="228"/>
    </row>
    <row r="83" spans="2:13">
      <c r="B83" s="217"/>
      <c r="C83" s="647" t="s">
        <v>1358</v>
      </c>
      <c r="D83" s="218" t="s">
        <v>118</v>
      </c>
      <c r="E83" s="219"/>
      <c r="F83" s="219">
        <v>0</v>
      </c>
      <c r="G83" s="7">
        <v>0</v>
      </c>
      <c r="H83" s="220">
        <v>0.89</v>
      </c>
      <c r="I83" s="145">
        <f t="shared" si="12"/>
        <v>2.98</v>
      </c>
      <c r="J83" s="221">
        <f t="shared" si="15"/>
        <v>0</v>
      </c>
      <c r="K83" s="248">
        <f t="shared" si="13"/>
        <v>0</v>
      </c>
      <c r="L83" s="7">
        <f t="shared" si="14"/>
        <v>0</v>
      </c>
      <c r="M83" s="228"/>
    </row>
    <row r="84" spans="2:13">
      <c r="B84" s="217"/>
      <c r="C84" s="45" t="s">
        <v>1373</v>
      </c>
      <c r="D84" s="218" t="s">
        <v>118</v>
      </c>
      <c r="E84" s="219">
        <v>3309.7650000000003</v>
      </c>
      <c r="F84" s="219">
        <v>3309.77</v>
      </c>
      <c r="G84" s="7">
        <v>1.24</v>
      </c>
      <c r="H84" s="220">
        <v>0.89</v>
      </c>
      <c r="I84" s="145">
        <f t="shared" si="12"/>
        <v>4.22</v>
      </c>
      <c r="J84" s="221">
        <f t="shared" si="15"/>
        <v>4104.1148000000003</v>
      </c>
      <c r="K84" s="248">
        <f t="shared" si="13"/>
        <v>2945.6952999999999</v>
      </c>
      <c r="L84" s="7">
        <f t="shared" si="14"/>
        <v>13972.19</v>
      </c>
      <c r="M84" s="228"/>
    </row>
    <row r="85" spans="2:13">
      <c r="B85" s="217"/>
      <c r="C85" s="647" t="s">
        <v>1122</v>
      </c>
      <c r="D85" s="218" t="s">
        <v>82</v>
      </c>
      <c r="E85" s="219">
        <v>2206.5100000000002</v>
      </c>
      <c r="F85" s="219">
        <v>2206.5100000000002</v>
      </c>
      <c r="G85" s="7">
        <v>1.48</v>
      </c>
      <c r="H85" s="220">
        <v>0</v>
      </c>
      <c r="I85" s="145">
        <f t="shared" si="12"/>
        <v>1.48</v>
      </c>
      <c r="J85" s="221">
        <f t="shared" si="15"/>
        <v>3265.6348000000003</v>
      </c>
      <c r="K85" s="248">
        <f t="shared" si="13"/>
        <v>0</v>
      </c>
      <c r="L85" s="7">
        <f t="shared" si="14"/>
        <v>3265.63</v>
      </c>
      <c r="M85" s="228"/>
    </row>
    <row r="86" spans="2:13">
      <c r="B86" s="217"/>
      <c r="C86" s="645" t="s">
        <v>1476</v>
      </c>
      <c r="D86" s="218"/>
      <c r="E86" s="219"/>
      <c r="F86" s="219">
        <v>0</v>
      </c>
      <c r="G86" s="7"/>
      <c r="H86" s="220" t="s">
        <v>27</v>
      </c>
      <c r="I86" s="145"/>
      <c r="J86" s="221"/>
      <c r="K86" s="248"/>
      <c r="L86" s="7"/>
      <c r="M86" s="228"/>
    </row>
    <row r="87" spans="2:13">
      <c r="B87" s="217" t="s">
        <v>1039</v>
      </c>
      <c r="C87" s="231" t="s">
        <v>1120</v>
      </c>
      <c r="D87" s="218" t="s">
        <v>118</v>
      </c>
      <c r="E87" s="219">
        <v>8014.3544000000029</v>
      </c>
      <c r="F87" s="219">
        <v>8014.35</v>
      </c>
      <c r="G87" s="7">
        <v>1.24</v>
      </c>
      <c r="H87" s="220">
        <v>0.89</v>
      </c>
      <c r="I87" s="145">
        <f>+ROUND(G87+H87*TC,2)</f>
        <v>4.22</v>
      </c>
      <c r="J87" s="221">
        <f t="shared" ref="J87:J89" si="32">G87*F87</f>
        <v>9937.7939999999999</v>
      </c>
      <c r="K87" s="248">
        <f t="shared" ref="K87:K89" si="33">H87*F87</f>
        <v>7132.7715000000007</v>
      </c>
      <c r="L87" s="7">
        <f t="shared" ref="L87:L89" si="34">+ROUND(J87+K87*TC,2)</f>
        <v>33832.58</v>
      </c>
      <c r="M87" s="228"/>
    </row>
    <row r="88" spans="2:13">
      <c r="B88" s="217"/>
      <c r="C88" s="45" t="s">
        <v>1341</v>
      </c>
      <c r="D88" s="218" t="s">
        <v>82</v>
      </c>
      <c r="E88" s="219">
        <v>1235.7864000000006</v>
      </c>
      <c r="F88" s="219">
        <v>1235.79</v>
      </c>
      <c r="G88" s="7">
        <v>47.5</v>
      </c>
      <c r="H88" s="220">
        <v>0</v>
      </c>
      <c r="I88" s="145">
        <f t="shared" ref="I88:I89" si="35">+ROUND(G88+H88*TC,2)</f>
        <v>47.5</v>
      </c>
      <c r="J88" s="221">
        <f t="shared" si="32"/>
        <v>58700.025000000001</v>
      </c>
      <c r="K88" s="248">
        <f t="shared" si="33"/>
        <v>0</v>
      </c>
      <c r="L88" s="7">
        <f t="shared" si="34"/>
        <v>58700.03</v>
      </c>
      <c r="M88" s="228"/>
    </row>
    <row r="89" spans="2:13">
      <c r="B89" s="217"/>
      <c r="C89" s="647" t="s">
        <v>1342</v>
      </c>
      <c r="D89" s="218" t="s">
        <v>82</v>
      </c>
      <c r="E89" s="219">
        <v>1235.7864000000006</v>
      </c>
      <c r="F89" s="219">
        <v>1235.79</v>
      </c>
      <c r="G89" s="7">
        <v>4.37</v>
      </c>
      <c r="H89" s="220">
        <v>0</v>
      </c>
      <c r="I89" s="145">
        <f t="shared" si="35"/>
        <v>4.37</v>
      </c>
      <c r="J89" s="221">
        <f t="shared" si="32"/>
        <v>5400.4022999999997</v>
      </c>
      <c r="K89" s="248">
        <f t="shared" si="33"/>
        <v>0</v>
      </c>
      <c r="L89" s="7">
        <f t="shared" si="34"/>
        <v>5400.4</v>
      </c>
      <c r="M89" s="228"/>
    </row>
    <row r="90" spans="2:13">
      <c r="B90" s="217"/>
      <c r="C90" s="647" t="s">
        <v>1350</v>
      </c>
      <c r="D90" s="218" t="s">
        <v>82</v>
      </c>
      <c r="E90" s="219">
        <v>1086.0530000000006</v>
      </c>
      <c r="F90" s="219">
        <v>1086.05</v>
      </c>
      <c r="G90" s="7">
        <v>36.32</v>
      </c>
      <c r="H90" s="220">
        <v>0</v>
      </c>
      <c r="I90" s="145">
        <f t="shared" ref="I90:I92" si="36">+ROUND(G90+H90*TC,2)</f>
        <v>36.32</v>
      </c>
      <c r="J90" s="221">
        <f t="shared" ref="J90:J92" si="37">G90*F90</f>
        <v>39445.335999999996</v>
      </c>
      <c r="K90" s="248">
        <f t="shared" ref="K90:K92" si="38">H90*F90</f>
        <v>0</v>
      </c>
      <c r="L90" s="7">
        <f t="shared" ref="L90:L92" si="39">+ROUND(J90+K90*TC,2)</f>
        <v>39445.339999999997</v>
      </c>
      <c r="M90" s="228"/>
    </row>
    <row r="91" spans="2:13">
      <c r="B91" s="217"/>
      <c r="C91" s="647" t="s">
        <v>1351</v>
      </c>
      <c r="D91" s="218" t="s">
        <v>82</v>
      </c>
      <c r="E91" s="219">
        <v>149.73339999999999</v>
      </c>
      <c r="F91" s="219">
        <v>149.72999999999999</v>
      </c>
      <c r="G91" s="7">
        <v>46.57</v>
      </c>
      <c r="H91" s="220">
        <v>0</v>
      </c>
      <c r="I91" s="145">
        <f t="shared" si="36"/>
        <v>46.57</v>
      </c>
      <c r="J91" s="221">
        <f t="shared" si="37"/>
        <v>6972.9260999999997</v>
      </c>
      <c r="K91" s="248">
        <f t="shared" si="38"/>
        <v>0</v>
      </c>
      <c r="L91" s="7">
        <f t="shared" si="39"/>
        <v>6972.93</v>
      </c>
      <c r="M91" s="228"/>
    </row>
    <row r="92" spans="2:13">
      <c r="B92" s="217"/>
      <c r="C92" s="647" t="s">
        <v>1122</v>
      </c>
      <c r="D92" s="218" t="s">
        <v>82</v>
      </c>
      <c r="E92" s="219">
        <v>1235.7864000000006</v>
      </c>
      <c r="F92" s="219">
        <v>1235.79</v>
      </c>
      <c r="G92" s="7">
        <v>1.48</v>
      </c>
      <c r="H92" s="220">
        <v>0</v>
      </c>
      <c r="I92" s="145">
        <f t="shared" si="36"/>
        <v>1.48</v>
      </c>
      <c r="J92" s="221">
        <f t="shared" si="37"/>
        <v>1828.9692</v>
      </c>
      <c r="K92" s="248">
        <f t="shared" si="38"/>
        <v>0</v>
      </c>
      <c r="L92" s="7">
        <f t="shared" si="39"/>
        <v>1828.97</v>
      </c>
      <c r="M92" s="228"/>
    </row>
    <row r="93" spans="2:13">
      <c r="B93" s="222" t="s">
        <v>1477</v>
      </c>
      <c r="C93" s="223" t="s">
        <v>1478</v>
      </c>
      <c r="D93" s="224"/>
      <c r="E93" s="219"/>
      <c r="F93" s="219">
        <v>0</v>
      </c>
      <c r="G93" s="7" t="s">
        <v>27</v>
      </c>
      <c r="H93" s="220" t="s">
        <v>27</v>
      </c>
      <c r="I93" s="145"/>
      <c r="J93" s="221"/>
      <c r="K93" s="248"/>
      <c r="L93" s="7"/>
      <c r="M93" s="229">
        <f>SUM(J93:J100)+SUM(K93:K100)*TC</f>
        <v>816297.84505</v>
      </c>
    </row>
    <row r="94" spans="2:13">
      <c r="B94" s="217" t="s">
        <v>1479</v>
      </c>
      <c r="C94" s="45" t="s">
        <v>1469</v>
      </c>
      <c r="D94" s="218" t="s">
        <v>973</v>
      </c>
      <c r="E94" s="219">
        <v>690.12999999999988</v>
      </c>
      <c r="F94" s="219">
        <v>690.13</v>
      </c>
      <c r="G94" s="7">
        <v>415.48</v>
      </c>
      <c r="H94" s="220">
        <v>0</v>
      </c>
      <c r="I94" s="145">
        <f>+ROUND(G94+H94*TC,2)</f>
        <v>415.48</v>
      </c>
      <c r="J94" s="221">
        <f t="shared" si="2"/>
        <v>286735.21240000002</v>
      </c>
      <c r="K94" s="248">
        <f t="shared" si="3"/>
        <v>0</v>
      </c>
      <c r="L94" s="7">
        <f t="shared" si="4"/>
        <v>286735.21000000002</v>
      </c>
      <c r="M94" s="228"/>
    </row>
    <row r="95" spans="2:13">
      <c r="B95" s="217"/>
      <c r="C95" s="45" t="s">
        <v>1470</v>
      </c>
      <c r="D95" s="218" t="s">
        <v>973</v>
      </c>
      <c r="E95" s="219">
        <v>31.042000000000005</v>
      </c>
      <c r="F95" s="219">
        <v>31.04</v>
      </c>
      <c r="G95" s="7">
        <v>454.37</v>
      </c>
      <c r="H95" s="220">
        <v>0</v>
      </c>
      <c r="I95" s="145">
        <f t="shared" ref="I95:I96" si="40">+ROUND(G95+H95*TC,2)</f>
        <v>454.37</v>
      </c>
      <c r="J95" s="221">
        <f t="shared" si="2"/>
        <v>14103.6448</v>
      </c>
      <c r="K95" s="248">
        <f t="shared" si="3"/>
        <v>0</v>
      </c>
      <c r="L95" s="7">
        <f t="shared" si="4"/>
        <v>14103.64</v>
      </c>
      <c r="M95" s="228"/>
    </row>
    <row r="96" spans="2:13">
      <c r="B96" s="217"/>
      <c r="C96" s="45" t="s">
        <v>1471</v>
      </c>
      <c r="D96" s="218" t="s">
        <v>973</v>
      </c>
      <c r="E96" s="219">
        <v>25.920000000000005</v>
      </c>
      <c r="F96" s="219">
        <v>25.92</v>
      </c>
      <c r="G96" s="7">
        <v>470.62</v>
      </c>
      <c r="H96" s="220">
        <v>0</v>
      </c>
      <c r="I96" s="145">
        <f t="shared" si="40"/>
        <v>470.62</v>
      </c>
      <c r="J96" s="221">
        <f t="shared" si="2"/>
        <v>12198.4704</v>
      </c>
      <c r="K96" s="248">
        <f t="shared" si="3"/>
        <v>0</v>
      </c>
      <c r="L96" s="7">
        <f t="shared" si="4"/>
        <v>12198.47</v>
      </c>
      <c r="M96" s="228"/>
    </row>
    <row r="97" spans="2:13">
      <c r="B97" s="217" t="s">
        <v>1480</v>
      </c>
      <c r="C97" s="230" t="s">
        <v>1379</v>
      </c>
      <c r="D97" s="218" t="s">
        <v>82</v>
      </c>
      <c r="E97" s="219">
        <v>3338.9800000000005</v>
      </c>
      <c r="F97" s="219">
        <v>3338.98</v>
      </c>
      <c r="G97" s="7">
        <v>50.8</v>
      </c>
      <c r="H97" s="220">
        <v>0</v>
      </c>
      <c r="I97" s="145">
        <f>+ROUND(G97+H97*TC,2)</f>
        <v>50.8</v>
      </c>
      <c r="J97" s="221">
        <f t="shared" si="2"/>
        <v>169620.18399999998</v>
      </c>
      <c r="K97" s="248">
        <f t="shared" si="3"/>
        <v>0</v>
      </c>
      <c r="L97" s="7">
        <f t="shared" si="4"/>
        <v>169620.18</v>
      </c>
      <c r="M97" s="228"/>
    </row>
    <row r="98" spans="2:13">
      <c r="B98" s="217" t="s">
        <v>1481</v>
      </c>
      <c r="C98" s="230" t="s">
        <v>1380</v>
      </c>
      <c r="D98" s="218" t="s">
        <v>82</v>
      </c>
      <c r="E98" s="219">
        <v>396.48</v>
      </c>
      <c r="F98" s="219">
        <v>396.48</v>
      </c>
      <c r="G98" s="7">
        <v>60.7</v>
      </c>
      <c r="H98" s="220">
        <v>0</v>
      </c>
      <c r="I98" s="145">
        <f>+ROUND(G98+H98*TC,2)</f>
        <v>60.7</v>
      </c>
      <c r="J98" s="221">
        <f t="shared" si="2"/>
        <v>24066.336000000003</v>
      </c>
      <c r="K98" s="248">
        <f t="shared" si="3"/>
        <v>0</v>
      </c>
      <c r="L98" s="7">
        <f t="shared" si="4"/>
        <v>24066.34</v>
      </c>
      <c r="M98" s="228"/>
    </row>
    <row r="99" spans="2:13">
      <c r="B99" s="217" t="s">
        <v>1482</v>
      </c>
      <c r="C99" s="230" t="s">
        <v>1120</v>
      </c>
      <c r="D99" s="218" t="s">
        <v>118</v>
      </c>
      <c r="E99" s="219">
        <v>72023.104849999901</v>
      </c>
      <c r="F99" s="219">
        <v>72023.100000000006</v>
      </c>
      <c r="G99" s="7">
        <v>1.24</v>
      </c>
      <c r="H99" s="220">
        <v>0.89</v>
      </c>
      <c r="I99" s="145">
        <f>+ROUND(G99+H99*TC,2)</f>
        <v>4.22</v>
      </c>
      <c r="J99" s="221">
        <f t="shared" si="2"/>
        <v>89308.644</v>
      </c>
      <c r="K99" s="248">
        <f t="shared" si="3"/>
        <v>64100.559000000008</v>
      </c>
      <c r="L99" s="7">
        <f t="shared" si="4"/>
        <v>304045.52</v>
      </c>
      <c r="M99" s="228"/>
    </row>
    <row r="100" spans="2:13">
      <c r="B100" s="217" t="s">
        <v>1483</v>
      </c>
      <c r="C100" s="230" t="s">
        <v>1122</v>
      </c>
      <c r="D100" s="218" t="s">
        <v>82</v>
      </c>
      <c r="E100" s="219">
        <v>3735.4600000000005</v>
      </c>
      <c r="F100" s="219">
        <v>3735.46</v>
      </c>
      <c r="G100" s="7">
        <v>1.48</v>
      </c>
      <c r="H100" s="220">
        <v>0</v>
      </c>
      <c r="I100" s="145">
        <f>+ROUND(G100+H100*TC,2)</f>
        <v>1.48</v>
      </c>
      <c r="J100" s="221">
        <f t="shared" si="2"/>
        <v>5528.4808000000003</v>
      </c>
      <c r="K100" s="248">
        <f t="shared" si="3"/>
        <v>0</v>
      </c>
      <c r="L100" s="7">
        <f t="shared" si="4"/>
        <v>5528.48</v>
      </c>
      <c r="M100" s="228"/>
    </row>
    <row r="101" spans="2:13">
      <c r="B101" s="222" t="s">
        <v>1484</v>
      </c>
      <c r="C101" s="223" t="s">
        <v>1485</v>
      </c>
      <c r="D101" s="224"/>
      <c r="E101" s="219"/>
      <c r="F101" s="219">
        <v>0</v>
      </c>
      <c r="G101" s="7" t="s">
        <v>27</v>
      </c>
      <c r="H101" s="220" t="s">
        <v>27</v>
      </c>
      <c r="I101" s="145"/>
      <c r="J101" s="221"/>
      <c r="K101" s="248"/>
      <c r="L101" s="7"/>
      <c r="M101" s="229">
        <f>SUM(J101:J108)+SUM(K101:K108)*TC</f>
        <v>14560.160190000001</v>
      </c>
    </row>
    <row r="102" spans="2:13">
      <c r="B102" s="217" t="s">
        <v>1486</v>
      </c>
      <c r="C102" s="45" t="s">
        <v>1469</v>
      </c>
      <c r="D102" s="218" t="s">
        <v>973</v>
      </c>
      <c r="E102" s="219">
        <v>15.192500000000001</v>
      </c>
      <c r="F102" s="219">
        <v>15.19</v>
      </c>
      <c r="G102" s="7">
        <v>415.48</v>
      </c>
      <c r="H102" s="220">
        <v>0</v>
      </c>
      <c r="I102" s="145">
        <f t="shared" ref="I102:I108" si="41">+ROUND(G102+H102*TC,2)</f>
        <v>415.48</v>
      </c>
      <c r="J102" s="221">
        <f t="shared" si="2"/>
        <v>6311.1412</v>
      </c>
      <c r="K102" s="248">
        <f t="shared" si="3"/>
        <v>0</v>
      </c>
      <c r="L102" s="7">
        <f t="shared" si="4"/>
        <v>6311.14</v>
      </c>
      <c r="M102" s="228"/>
    </row>
    <row r="103" spans="2:13">
      <c r="B103" s="217" t="s">
        <v>1487</v>
      </c>
      <c r="C103" s="45" t="s">
        <v>1469</v>
      </c>
      <c r="D103" s="218" t="s">
        <v>973</v>
      </c>
      <c r="E103" s="219"/>
      <c r="F103" s="219">
        <v>0</v>
      </c>
      <c r="G103" s="7">
        <v>415.48</v>
      </c>
      <c r="H103" s="220">
        <v>0</v>
      </c>
      <c r="I103" s="145">
        <f t="shared" si="41"/>
        <v>415.48</v>
      </c>
      <c r="J103" s="221">
        <f t="shared" si="2"/>
        <v>0</v>
      </c>
      <c r="K103" s="248">
        <f t="shared" si="3"/>
        <v>0</v>
      </c>
      <c r="L103" s="7">
        <f t="shared" si="4"/>
        <v>0</v>
      </c>
      <c r="M103" s="228"/>
    </row>
    <row r="104" spans="2:13">
      <c r="B104" s="217" t="s">
        <v>1488</v>
      </c>
      <c r="C104" s="629" t="s">
        <v>1489</v>
      </c>
      <c r="D104" s="218" t="s">
        <v>973</v>
      </c>
      <c r="E104" s="219"/>
      <c r="F104" s="219">
        <v>0</v>
      </c>
      <c r="G104" s="7">
        <v>0</v>
      </c>
      <c r="H104" s="220">
        <v>0</v>
      </c>
      <c r="I104" s="145">
        <f t="shared" si="41"/>
        <v>0</v>
      </c>
      <c r="J104" s="221">
        <f t="shared" si="2"/>
        <v>0</v>
      </c>
      <c r="K104" s="248">
        <f t="shared" si="3"/>
        <v>0</v>
      </c>
      <c r="L104" s="7">
        <f t="shared" si="4"/>
        <v>0</v>
      </c>
      <c r="M104" s="228"/>
    </row>
    <row r="105" spans="2:13">
      <c r="B105" s="217" t="s">
        <v>1490</v>
      </c>
      <c r="C105" s="230" t="s">
        <v>1379</v>
      </c>
      <c r="D105" s="218" t="s">
        <v>82</v>
      </c>
      <c r="E105" s="219">
        <v>60.77</v>
      </c>
      <c r="F105" s="219">
        <v>60.77</v>
      </c>
      <c r="G105" s="7">
        <v>50.8</v>
      </c>
      <c r="H105" s="220">
        <v>0</v>
      </c>
      <c r="I105" s="145">
        <f t="shared" si="41"/>
        <v>50.8</v>
      </c>
      <c r="J105" s="221">
        <f t="shared" si="2"/>
        <v>3087.116</v>
      </c>
      <c r="K105" s="248">
        <f t="shared" si="3"/>
        <v>0</v>
      </c>
      <c r="L105" s="7">
        <f t="shared" si="4"/>
        <v>3087.12</v>
      </c>
      <c r="M105" s="228"/>
    </row>
    <row r="106" spans="2:13">
      <c r="B106" s="217" t="s">
        <v>1491</v>
      </c>
      <c r="C106" s="629" t="s">
        <v>1492</v>
      </c>
      <c r="D106" s="218" t="s">
        <v>82</v>
      </c>
      <c r="E106" s="219"/>
      <c r="F106" s="219">
        <v>0</v>
      </c>
      <c r="G106" s="7">
        <v>0</v>
      </c>
      <c r="H106" s="220">
        <v>0</v>
      </c>
      <c r="I106" s="145">
        <f t="shared" si="41"/>
        <v>0</v>
      </c>
      <c r="J106" s="221">
        <f t="shared" si="2"/>
        <v>0</v>
      </c>
      <c r="K106" s="248">
        <f t="shared" si="3"/>
        <v>0</v>
      </c>
      <c r="L106" s="7">
        <f t="shared" si="4"/>
        <v>0</v>
      </c>
      <c r="M106" s="228"/>
    </row>
    <row r="107" spans="2:13">
      <c r="B107" s="217" t="s">
        <v>1493</v>
      </c>
      <c r="C107" s="230" t="s">
        <v>1120</v>
      </c>
      <c r="D107" s="218" t="s">
        <v>118</v>
      </c>
      <c r="E107" s="219">
        <v>1201.4589999999998</v>
      </c>
      <c r="F107" s="219">
        <v>1201.46</v>
      </c>
      <c r="G107" s="7">
        <v>1.24</v>
      </c>
      <c r="H107" s="220">
        <v>0.89</v>
      </c>
      <c r="I107" s="145">
        <f t="shared" si="41"/>
        <v>4.22</v>
      </c>
      <c r="J107" s="221">
        <f t="shared" si="2"/>
        <v>1489.8104000000001</v>
      </c>
      <c r="K107" s="248">
        <f t="shared" si="3"/>
        <v>1069.2994000000001</v>
      </c>
      <c r="L107" s="7">
        <f t="shared" si="4"/>
        <v>5071.96</v>
      </c>
      <c r="M107" s="228"/>
    </row>
    <row r="108" spans="2:13">
      <c r="B108" s="217" t="s">
        <v>1494</v>
      </c>
      <c r="C108" s="230" t="s">
        <v>1122</v>
      </c>
      <c r="D108" s="218" t="s">
        <v>82</v>
      </c>
      <c r="E108" s="219">
        <v>60.77</v>
      </c>
      <c r="F108" s="219">
        <v>60.77</v>
      </c>
      <c r="G108" s="7">
        <v>1.48</v>
      </c>
      <c r="H108" s="220">
        <v>0</v>
      </c>
      <c r="I108" s="145">
        <f t="shared" si="41"/>
        <v>1.48</v>
      </c>
      <c r="J108" s="221">
        <f t="shared" si="2"/>
        <v>89.939599999999999</v>
      </c>
      <c r="K108" s="248">
        <f t="shared" si="3"/>
        <v>0</v>
      </c>
      <c r="L108" s="7">
        <f t="shared" si="4"/>
        <v>89.94</v>
      </c>
      <c r="M108" s="228"/>
    </row>
    <row r="109" spans="2:13">
      <c r="B109" s="222" t="s">
        <v>1495</v>
      </c>
      <c r="C109" s="223" t="s">
        <v>1496</v>
      </c>
      <c r="D109" s="218"/>
      <c r="E109" s="219"/>
      <c r="F109" s="219">
        <v>0</v>
      </c>
      <c r="G109" s="7" t="s">
        <v>27</v>
      </c>
      <c r="H109" s="220" t="s">
        <v>27</v>
      </c>
      <c r="I109" s="145"/>
      <c r="J109" s="221"/>
      <c r="K109" s="248"/>
      <c r="L109" s="7"/>
      <c r="M109" s="228"/>
    </row>
    <row r="110" spans="2:13">
      <c r="B110" s="217" t="s">
        <v>1497</v>
      </c>
      <c r="C110" s="629" t="s">
        <v>1384</v>
      </c>
      <c r="D110" s="218" t="s">
        <v>973</v>
      </c>
      <c r="E110" s="219"/>
      <c r="F110" s="219">
        <v>0</v>
      </c>
      <c r="G110" s="7">
        <v>0</v>
      </c>
      <c r="H110" s="220">
        <v>0</v>
      </c>
      <c r="I110" s="145">
        <f>+ROUND(G110+H110*TC,2)</f>
        <v>0</v>
      </c>
      <c r="J110" s="221">
        <f t="shared" si="2"/>
        <v>0</v>
      </c>
      <c r="K110" s="248">
        <f t="shared" si="3"/>
        <v>0</v>
      </c>
      <c r="L110" s="7">
        <f t="shared" si="4"/>
        <v>0</v>
      </c>
      <c r="M110" s="228"/>
    </row>
    <row r="111" spans="2:13">
      <c r="B111" s="217" t="s">
        <v>1498</v>
      </c>
      <c r="C111" s="629" t="s">
        <v>1397</v>
      </c>
      <c r="D111" s="218" t="s">
        <v>82</v>
      </c>
      <c r="E111" s="219"/>
      <c r="F111" s="219">
        <v>0</v>
      </c>
      <c r="G111" s="7">
        <v>0</v>
      </c>
      <c r="H111" s="220">
        <v>0</v>
      </c>
      <c r="I111" s="145">
        <f>+ROUND(G111+H111*TC,2)</f>
        <v>0</v>
      </c>
      <c r="J111" s="221">
        <f t="shared" si="2"/>
        <v>0</v>
      </c>
      <c r="K111" s="248">
        <f t="shared" si="3"/>
        <v>0</v>
      </c>
      <c r="L111" s="7">
        <f t="shared" si="4"/>
        <v>0</v>
      </c>
      <c r="M111" s="228"/>
    </row>
    <row r="112" spans="2:13">
      <c r="B112" s="217" t="s">
        <v>1499</v>
      </c>
      <c r="C112" s="230" t="s">
        <v>1120</v>
      </c>
      <c r="D112" s="218" t="s">
        <v>118</v>
      </c>
      <c r="E112" s="219"/>
      <c r="F112" s="219">
        <v>0</v>
      </c>
      <c r="G112" s="7">
        <v>1.24</v>
      </c>
      <c r="H112" s="220">
        <v>0.89</v>
      </c>
      <c r="I112" s="145">
        <f>+ROUND(G112+H112*TC,2)</f>
        <v>4.22</v>
      </c>
      <c r="J112" s="221">
        <f t="shared" si="2"/>
        <v>0</v>
      </c>
      <c r="K112" s="248">
        <f t="shared" si="3"/>
        <v>0</v>
      </c>
      <c r="L112" s="7">
        <f t="shared" si="4"/>
        <v>0</v>
      </c>
      <c r="M112" s="228"/>
    </row>
    <row r="113" spans="2:13">
      <c r="B113" s="217" t="s">
        <v>1500</v>
      </c>
      <c r="C113" s="629" t="s">
        <v>1501</v>
      </c>
      <c r="D113" s="218" t="s">
        <v>82</v>
      </c>
      <c r="E113" s="219"/>
      <c r="F113" s="219">
        <v>0</v>
      </c>
      <c r="G113" s="7">
        <v>0</v>
      </c>
      <c r="H113" s="220">
        <v>0</v>
      </c>
      <c r="I113" s="145">
        <f>+ROUND(G113+H113*TC,2)</f>
        <v>0</v>
      </c>
      <c r="J113" s="221">
        <f t="shared" si="2"/>
        <v>0</v>
      </c>
      <c r="K113" s="248">
        <f t="shared" si="3"/>
        <v>0</v>
      </c>
      <c r="L113" s="7">
        <f t="shared" si="4"/>
        <v>0</v>
      </c>
      <c r="M113" s="228"/>
    </row>
    <row r="114" spans="2:13">
      <c r="B114" s="217" t="s">
        <v>1502</v>
      </c>
      <c r="C114" s="230" t="s">
        <v>1122</v>
      </c>
      <c r="D114" s="218" t="s">
        <v>82</v>
      </c>
      <c r="E114" s="219"/>
      <c r="F114" s="219">
        <v>0</v>
      </c>
      <c r="G114" s="7">
        <v>1.48</v>
      </c>
      <c r="H114" s="220">
        <v>0</v>
      </c>
      <c r="I114" s="145">
        <f>+ROUND(G114+H114*TC,2)</f>
        <v>1.48</v>
      </c>
      <c r="J114" s="221">
        <f t="shared" si="2"/>
        <v>0</v>
      </c>
      <c r="K114" s="248">
        <f t="shared" si="3"/>
        <v>0</v>
      </c>
      <c r="L114" s="7">
        <f t="shared" si="4"/>
        <v>0</v>
      </c>
      <c r="M114" s="228"/>
    </row>
    <row r="115" spans="2:13">
      <c r="B115" s="222" t="s">
        <v>1504</v>
      </c>
      <c r="C115" s="223" t="s">
        <v>1505</v>
      </c>
      <c r="D115" s="224"/>
      <c r="E115" s="219"/>
      <c r="F115" s="219">
        <v>0</v>
      </c>
      <c r="G115" s="7" t="s">
        <v>27</v>
      </c>
      <c r="H115" s="220" t="s">
        <v>27</v>
      </c>
      <c r="I115" s="145"/>
      <c r="J115" s="221"/>
      <c r="K115" s="248"/>
      <c r="L115" s="7"/>
      <c r="M115" s="229">
        <f>SUM(J115:J121)+SUM(K115:K121)*TC</f>
        <v>125965.57425500001</v>
      </c>
    </row>
    <row r="116" spans="2:13">
      <c r="B116" s="217" t="s">
        <v>1506</v>
      </c>
      <c r="C116" s="230" t="s">
        <v>1409</v>
      </c>
      <c r="D116" s="218" t="s">
        <v>973</v>
      </c>
      <c r="E116" s="219">
        <v>98.13925799068393</v>
      </c>
      <c r="F116" s="219">
        <v>98.14</v>
      </c>
      <c r="G116" s="7">
        <v>422.95</v>
      </c>
      <c r="H116" s="220">
        <v>0</v>
      </c>
      <c r="I116" s="145">
        <f>+ROUND(G116+H116*TC,2)</f>
        <v>422.95</v>
      </c>
      <c r="J116" s="221">
        <f t="shared" si="2"/>
        <v>41508.313000000002</v>
      </c>
      <c r="K116" s="248">
        <f t="shared" si="3"/>
        <v>0</v>
      </c>
      <c r="L116" s="7">
        <f t="shared" si="4"/>
        <v>41508.31</v>
      </c>
      <c r="M116" s="228"/>
    </row>
    <row r="117" spans="2:13">
      <c r="B117" s="217" t="s">
        <v>1507</v>
      </c>
      <c r="C117" s="45" t="s">
        <v>1405</v>
      </c>
      <c r="D117" s="218" t="s">
        <v>973</v>
      </c>
      <c r="E117" s="219"/>
      <c r="F117" s="219">
        <v>0</v>
      </c>
      <c r="G117" s="7">
        <v>410.22</v>
      </c>
      <c r="H117" s="220">
        <v>0</v>
      </c>
      <c r="I117" s="145">
        <f>+ROUND(G117+H117*TC,2)</f>
        <v>410.22</v>
      </c>
      <c r="J117" s="221">
        <f t="shared" si="2"/>
        <v>0</v>
      </c>
      <c r="K117" s="248">
        <f t="shared" si="3"/>
        <v>0</v>
      </c>
      <c r="L117" s="7">
        <f t="shared" si="4"/>
        <v>0</v>
      </c>
      <c r="M117" s="228"/>
    </row>
    <row r="118" spans="2:13">
      <c r="B118" s="217" t="s">
        <v>1508</v>
      </c>
      <c r="C118" s="230" t="s">
        <v>1413</v>
      </c>
      <c r="D118" s="218" t="s">
        <v>82</v>
      </c>
      <c r="E118" s="219">
        <v>791.22057610187505</v>
      </c>
      <c r="F118" s="219">
        <v>791.22</v>
      </c>
      <c r="G118" s="7">
        <v>67.180000000000007</v>
      </c>
      <c r="H118" s="220">
        <v>0</v>
      </c>
      <c r="I118" s="145">
        <f>+ROUND(G118+H118*TC,2)</f>
        <v>67.180000000000007</v>
      </c>
      <c r="J118" s="221">
        <f t="shared" si="2"/>
        <v>53154.159600000006</v>
      </c>
      <c r="K118" s="248">
        <f t="shared" si="3"/>
        <v>0</v>
      </c>
      <c r="L118" s="7">
        <f t="shared" si="4"/>
        <v>53154.16</v>
      </c>
      <c r="M118" s="228"/>
    </row>
    <row r="119" spans="2:13">
      <c r="B119" s="217" t="s">
        <v>1509</v>
      </c>
      <c r="C119" s="230" t="s">
        <v>1120</v>
      </c>
      <c r="D119" s="218" t="s">
        <v>118</v>
      </c>
      <c r="E119" s="219">
        <v>7137.7669999999989</v>
      </c>
      <c r="F119" s="219">
        <v>7137.77</v>
      </c>
      <c r="G119" s="7">
        <v>1.24</v>
      </c>
      <c r="H119" s="220">
        <v>0.89</v>
      </c>
      <c r="I119" s="145">
        <f>+ROUND(G119+H119*TC,2)</f>
        <v>4.22</v>
      </c>
      <c r="J119" s="221">
        <f t="shared" si="2"/>
        <v>8850.8348000000005</v>
      </c>
      <c r="K119" s="248">
        <f t="shared" si="3"/>
        <v>6352.6153000000004</v>
      </c>
      <c r="L119" s="7">
        <f t="shared" si="4"/>
        <v>30132.1</v>
      </c>
      <c r="M119" s="228"/>
    </row>
    <row r="120" spans="2:13">
      <c r="B120" s="217" t="s">
        <v>1510</v>
      </c>
      <c r="C120" s="230" t="s">
        <v>1122</v>
      </c>
      <c r="D120" s="218" t="s">
        <v>82</v>
      </c>
      <c r="E120" s="219">
        <v>791.22057610187505</v>
      </c>
      <c r="F120" s="219">
        <v>791.22</v>
      </c>
      <c r="G120" s="7">
        <v>1.48</v>
      </c>
      <c r="H120" s="220">
        <v>0</v>
      </c>
      <c r="I120" s="145">
        <f>+ROUND(G120+H120*TC,2)</f>
        <v>1.48</v>
      </c>
      <c r="J120" s="221">
        <f t="shared" ref="J120:J156" si="42">G120*F120</f>
        <v>1171.0056</v>
      </c>
      <c r="K120" s="248">
        <f t="shared" ref="K120:K156" si="43">H120*F120</f>
        <v>0</v>
      </c>
      <c r="L120" s="7">
        <f t="shared" ref="L120:L156" si="44">+ROUND(J120+K120*TC,2)</f>
        <v>1171.01</v>
      </c>
      <c r="M120" s="228"/>
    </row>
    <row r="121" spans="2:13">
      <c r="B121" s="222" t="s">
        <v>1511</v>
      </c>
      <c r="C121" s="223" t="s">
        <v>1512</v>
      </c>
      <c r="D121" s="224"/>
      <c r="E121" s="219"/>
      <c r="F121" s="219">
        <v>0</v>
      </c>
      <c r="G121" s="7" t="s">
        <v>27</v>
      </c>
      <c r="H121" s="220" t="s">
        <v>27</v>
      </c>
      <c r="I121" s="145"/>
      <c r="J121" s="221"/>
      <c r="K121" s="248"/>
      <c r="L121" s="7"/>
      <c r="M121" s="229">
        <f>SUM(J121:J125)+SUM(K121:K125)*TC</f>
        <v>14914.836655000003</v>
      </c>
    </row>
    <row r="122" spans="2:13" ht="22.5">
      <c r="B122" s="217" t="s">
        <v>1513</v>
      </c>
      <c r="C122" s="45" t="s">
        <v>1514</v>
      </c>
      <c r="D122" s="218" t="s">
        <v>973</v>
      </c>
      <c r="E122" s="219">
        <v>12.393899999999999</v>
      </c>
      <c r="F122" s="219">
        <v>12.39</v>
      </c>
      <c r="G122" s="7">
        <v>467.72</v>
      </c>
      <c r="H122" s="220">
        <v>0</v>
      </c>
      <c r="I122" s="145">
        <f>+ROUND(G122+H122*TC,2)</f>
        <v>467.72</v>
      </c>
      <c r="J122" s="221">
        <f t="shared" si="42"/>
        <v>5795.0508000000009</v>
      </c>
      <c r="K122" s="248">
        <f t="shared" si="43"/>
        <v>0</v>
      </c>
      <c r="L122" s="7">
        <f t="shared" si="44"/>
        <v>5795.05</v>
      </c>
      <c r="M122" s="228"/>
    </row>
    <row r="123" spans="2:13" ht="22.5">
      <c r="B123" s="217" t="s">
        <v>1515</v>
      </c>
      <c r="C123" s="230" t="s">
        <v>1516</v>
      </c>
      <c r="D123" s="218" t="s">
        <v>82</v>
      </c>
      <c r="E123" s="219">
        <v>90.93</v>
      </c>
      <c r="F123" s="219">
        <v>90.93</v>
      </c>
      <c r="G123" s="7">
        <v>66.94</v>
      </c>
      <c r="H123" s="220">
        <v>0</v>
      </c>
      <c r="I123" s="145">
        <f>+ROUND(G123+H123*TC,2)</f>
        <v>66.94</v>
      </c>
      <c r="J123" s="221">
        <f t="shared" si="42"/>
        <v>6086.8542000000007</v>
      </c>
      <c r="K123" s="248">
        <f t="shared" si="43"/>
        <v>0</v>
      </c>
      <c r="L123" s="7">
        <f t="shared" si="44"/>
        <v>6086.85</v>
      </c>
      <c r="M123" s="228"/>
    </row>
    <row r="124" spans="2:13">
      <c r="B124" s="217" t="s">
        <v>1517</v>
      </c>
      <c r="C124" s="230" t="s">
        <v>1120</v>
      </c>
      <c r="D124" s="218" t="s">
        <v>118</v>
      </c>
      <c r="E124" s="219">
        <v>686.57264999999995</v>
      </c>
      <c r="F124" s="219">
        <v>686.57</v>
      </c>
      <c r="G124" s="7">
        <v>1.24</v>
      </c>
      <c r="H124" s="220">
        <v>0.89</v>
      </c>
      <c r="I124" s="145">
        <f>+ROUND(G124+H124*TC,2)</f>
        <v>4.22</v>
      </c>
      <c r="J124" s="221">
        <f t="shared" si="42"/>
        <v>851.34680000000003</v>
      </c>
      <c r="K124" s="248">
        <f t="shared" si="43"/>
        <v>611.04730000000006</v>
      </c>
      <c r="L124" s="7">
        <f t="shared" si="44"/>
        <v>2898.36</v>
      </c>
      <c r="M124" s="228"/>
    </row>
    <row r="125" spans="2:13">
      <c r="B125" s="217" t="s">
        <v>1518</v>
      </c>
      <c r="C125" s="230" t="s">
        <v>1122</v>
      </c>
      <c r="D125" s="218" t="s">
        <v>82</v>
      </c>
      <c r="E125" s="219">
        <v>90.93</v>
      </c>
      <c r="F125" s="219">
        <v>90.93</v>
      </c>
      <c r="G125" s="7">
        <v>1.48</v>
      </c>
      <c r="H125" s="220">
        <v>0</v>
      </c>
      <c r="I125" s="145">
        <f>+ROUND(G125+H125*TC,2)</f>
        <v>1.48</v>
      </c>
      <c r="J125" s="221">
        <f t="shared" si="42"/>
        <v>134.57640000000001</v>
      </c>
      <c r="K125" s="248">
        <f t="shared" si="43"/>
        <v>0</v>
      </c>
      <c r="L125" s="7">
        <f t="shared" si="44"/>
        <v>134.58000000000001</v>
      </c>
      <c r="M125" s="228"/>
    </row>
    <row r="126" spans="2:13">
      <c r="B126" s="222" t="s">
        <v>1519</v>
      </c>
      <c r="C126" s="223" t="s">
        <v>1417</v>
      </c>
      <c r="D126" s="224"/>
      <c r="E126" s="219"/>
      <c r="F126" s="219">
        <v>0</v>
      </c>
      <c r="G126" s="7" t="s">
        <v>27</v>
      </c>
      <c r="H126" s="220" t="s">
        <v>27</v>
      </c>
      <c r="I126" s="145"/>
      <c r="J126" s="221"/>
      <c r="K126" s="248"/>
      <c r="L126" s="7"/>
      <c r="M126" s="229">
        <f>SUM(J126:J131)+SUM(K126:K131)*TC</f>
        <v>11810.595000000001</v>
      </c>
    </row>
    <row r="127" spans="2:13">
      <c r="B127" s="217" t="s">
        <v>1520</v>
      </c>
      <c r="C127" s="45" t="s">
        <v>1419</v>
      </c>
      <c r="D127" s="218" t="s">
        <v>973</v>
      </c>
      <c r="E127" s="219">
        <v>9</v>
      </c>
      <c r="F127" s="219">
        <v>9</v>
      </c>
      <c r="G127" s="7">
        <v>519.92999999999995</v>
      </c>
      <c r="H127" s="220">
        <v>0</v>
      </c>
      <c r="I127" s="145">
        <f>+ROUND(G127+H127*TC,2)</f>
        <v>519.92999999999995</v>
      </c>
      <c r="J127" s="221">
        <f t="shared" si="42"/>
        <v>4679.37</v>
      </c>
      <c r="K127" s="248">
        <f t="shared" si="43"/>
        <v>0</v>
      </c>
      <c r="L127" s="7">
        <f t="shared" si="44"/>
        <v>4679.37</v>
      </c>
      <c r="M127" s="228"/>
    </row>
    <row r="128" spans="2:13">
      <c r="B128" s="217" t="s">
        <v>1521</v>
      </c>
      <c r="C128" s="45" t="s">
        <v>1421</v>
      </c>
      <c r="D128" s="218" t="s">
        <v>82</v>
      </c>
      <c r="E128" s="219">
        <v>36</v>
      </c>
      <c r="F128" s="219">
        <v>36</v>
      </c>
      <c r="G128" s="7">
        <v>61</v>
      </c>
      <c r="H128" s="220">
        <v>0</v>
      </c>
      <c r="I128" s="145">
        <f>+ROUND(G128+H128*TC,2)</f>
        <v>61</v>
      </c>
      <c r="J128" s="221">
        <f t="shared" si="42"/>
        <v>2196</v>
      </c>
      <c r="K128" s="248">
        <f t="shared" si="43"/>
        <v>0</v>
      </c>
      <c r="L128" s="7">
        <f t="shared" si="44"/>
        <v>2196</v>
      </c>
      <c r="M128" s="228"/>
    </row>
    <row r="129" spans="2:13">
      <c r="B129" s="217" t="s">
        <v>1522</v>
      </c>
      <c r="C129" s="230" t="s">
        <v>1120</v>
      </c>
      <c r="D129" s="218" t="s">
        <v>118</v>
      </c>
      <c r="E129" s="219">
        <v>630</v>
      </c>
      <c r="F129" s="219">
        <v>630</v>
      </c>
      <c r="G129" s="7">
        <v>1.24</v>
      </c>
      <c r="H129" s="220">
        <v>0.89</v>
      </c>
      <c r="I129" s="145">
        <f>+ROUND(G129+H129*TC,2)</f>
        <v>4.22</v>
      </c>
      <c r="J129" s="221">
        <f t="shared" si="42"/>
        <v>781.2</v>
      </c>
      <c r="K129" s="248">
        <f t="shared" si="43"/>
        <v>560.70000000000005</v>
      </c>
      <c r="L129" s="7">
        <f t="shared" si="44"/>
        <v>2659.55</v>
      </c>
      <c r="M129" s="228"/>
    </row>
    <row r="130" spans="2:13">
      <c r="B130" s="217" t="s">
        <v>1523</v>
      </c>
      <c r="C130" s="230" t="s">
        <v>1122</v>
      </c>
      <c r="D130" s="218" t="s">
        <v>82</v>
      </c>
      <c r="E130" s="219">
        <v>36</v>
      </c>
      <c r="F130" s="219">
        <v>36</v>
      </c>
      <c r="G130" s="7">
        <v>1.48</v>
      </c>
      <c r="H130" s="220">
        <v>0</v>
      </c>
      <c r="I130" s="145">
        <f>+ROUND(G130+H130*TC,2)</f>
        <v>1.48</v>
      </c>
      <c r="J130" s="221">
        <f t="shared" si="42"/>
        <v>53.28</v>
      </c>
      <c r="K130" s="248">
        <f t="shared" si="43"/>
        <v>0</v>
      </c>
      <c r="L130" s="7">
        <f t="shared" si="44"/>
        <v>53.28</v>
      </c>
      <c r="M130" s="228"/>
    </row>
    <row r="131" spans="2:13">
      <c r="B131" s="217" t="s">
        <v>1524</v>
      </c>
      <c r="C131" s="629" t="s">
        <v>1525</v>
      </c>
      <c r="D131" s="218" t="s">
        <v>82</v>
      </c>
      <c r="E131" s="219">
        <v>12</v>
      </c>
      <c r="F131" s="219">
        <v>12</v>
      </c>
      <c r="G131" s="7">
        <v>185.2</v>
      </c>
      <c r="H131" s="220">
        <v>0</v>
      </c>
      <c r="I131" s="145">
        <f>+ROUND(G131+H131*TC,2)</f>
        <v>185.2</v>
      </c>
      <c r="J131" s="221">
        <f t="shared" si="42"/>
        <v>2222.3999999999996</v>
      </c>
      <c r="K131" s="248">
        <f t="shared" si="43"/>
        <v>0</v>
      </c>
      <c r="L131" s="7">
        <f t="shared" si="44"/>
        <v>2222.4</v>
      </c>
      <c r="M131" s="685"/>
    </row>
    <row r="132" spans="2:13">
      <c r="B132" s="222" t="s">
        <v>1526</v>
      </c>
      <c r="C132" s="223" t="s">
        <v>1527</v>
      </c>
      <c r="D132" s="224"/>
      <c r="E132" s="219"/>
      <c r="F132" s="219">
        <v>0</v>
      </c>
      <c r="G132" s="7" t="s">
        <v>27</v>
      </c>
      <c r="H132" s="220" t="s">
        <v>27</v>
      </c>
      <c r="I132" s="145"/>
      <c r="J132" s="221"/>
      <c r="K132" s="248"/>
      <c r="L132" s="7"/>
      <c r="M132" s="229">
        <f>SUM(J132:J137)+SUM(K132:K137)*TC</f>
        <v>0</v>
      </c>
    </row>
    <row r="133" spans="2:13">
      <c r="B133" s="217" t="s">
        <v>1528</v>
      </c>
      <c r="C133" s="45" t="s">
        <v>1529</v>
      </c>
      <c r="D133" s="218" t="s">
        <v>973</v>
      </c>
      <c r="E133" s="219"/>
      <c r="F133" s="219">
        <v>0</v>
      </c>
      <c r="G133" s="7">
        <v>412.32</v>
      </c>
      <c r="H133" s="220">
        <v>0</v>
      </c>
      <c r="I133" s="145">
        <f>+ROUND(G133+H133*TC,2)</f>
        <v>412.32</v>
      </c>
      <c r="J133" s="221">
        <f t="shared" si="42"/>
        <v>0</v>
      </c>
      <c r="K133" s="248">
        <f t="shared" si="43"/>
        <v>0</v>
      </c>
      <c r="L133" s="7">
        <f t="shared" si="44"/>
        <v>0</v>
      </c>
      <c r="M133" s="228"/>
    </row>
    <row r="134" spans="2:13">
      <c r="B134" s="217" t="s">
        <v>1530</v>
      </c>
      <c r="C134" s="230" t="s">
        <v>1275</v>
      </c>
      <c r="D134" s="218" t="s">
        <v>82</v>
      </c>
      <c r="E134" s="219"/>
      <c r="F134" s="219">
        <v>0</v>
      </c>
      <c r="G134" s="7">
        <v>50.38</v>
      </c>
      <c r="H134" s="220">
        <v>0</v>
      </c>
      <c r="I134" s="145">
        <f>+ROUND(G134+H134*TC,2)</f>
        <v>50.38</v>
      </c>
      <c r="J134" s="221">
        <f t="shared" si="42"/>
        <v>0</v>
      </c>
      <c r="K134" s="248">
        <f t="shared" si="43"/>
        <v>0</v>
      </c>
      <c r="L134" s="7">
        <f t="shared" si="44"/>
        <v>0</v>
      </c>
      <c r="M134" s="228"/>
    </row>
    <row r="135" spans="2:13">
      <c r="B135" s="217" t="s">
        <v>1531</v>
      </c>
      <c r="C135" s="629" t="s">
        <v>1532</v>
      </c>
      <c r="D135" s="218" t="s">
        <v>82</v>
      </c>
      <c r="E135" s="219"/>
      <c r="F135" s="219">
        <v>0</v>
      </c>
      <c r="G135" s="7">
        <v>0</v>
      </c>
      <c r="H135" s="220">
        <v>0</v>
      </c>
      <c r="I135" s="145">
        <f>+ROUND(G135+H135*TC,2)</f>
        <v>0</v>
      </c>
      <c r="J135" s="221">
        <f t="shared" si="42"/>
        <v>0</v>
      </c>
      <c r="K135" s="248">
        <f t="shared" si="43"/>
        <v>0</v>
      </c>
      <c r="L135" s="7">
        <f t="shared" si="44"/>
        <v>0</v>
      </c>
      <c r="M135" s="228"/>
    </row>
    <row r="136" spans="2:13">
      <c r="B136" s="217" t="s">
        <v>1533</v>
      </c>
      <c r="C136" s="230" t="s">
        <v>1120</v>
      </c>
      <c r="D136" s="218" t="s">
        <v>118</v>
      </c>
      <c r="E136" s="219"/>
      <c r="F136" s="219">
        <v>0</v>
      </c>
      <c r="G136" s="7">
        <v>1.24</v>
      </c>
      <c r="H136" s="220">
        <v>0.89</v>
      </c>
      <c r="I136" s="145">
        <f>+ROUND(G136+H136*TC,2)</f>
        <v>4.22</v>
      </c>
      <c r="J136" s="221">
        <f t="shared" si="42"/>
        <v>0</v>
      </c>
      <c r="K136" s="248">
        <f t="shared" si="43"/>
        <v>0</v>
      </c>
      <c r="L136" s="7">
        <f t="shared" si="44"/>
        <v>0</v>
      </c>
      <c r="M136" s="228"/>
    </row>
    <row r="137" spans="2:13">
      <c r="B137" s="217" t="s">
        <v>1534</v>
      </c>
      <c r="C137" s="230" t="s">
        <v>1122</v>
      </c>
      <c r="D137" s="218" t="s">
        <v>82</v>
      </c>
      <c r="E137" s="219"/>
      <c r="F137" s="219">
        <v>0</v>
      </c>
      <c r="G137" s="7">
        <v>1.48</v>
      </c>
      <c r="H137" s="220">
        <v>0</v>
      </c>
      <c r="I137" s="145">
        <f>+ROUND(G137+H137*TC,2)</f>
        <v>1.48</v>
      </c>
      <c r="J137" s="221">
        <f t="shared" si="42"/>
        <v>0</v>
      </c>
      <c r="K137" s="248">
        <f t="shared" si="43"/>
        <v>0</v>
      </c>
      <c r="L137" s="7">
        <f t="shared" si="44"/>
        <v>0</v>
      </c>
      <c r="M137" s="685"/>
    </row>
    <row r="138" spans="2:13">
      <c r="B138" s="222" t="s">
        <v>1526</v>
      </c>
      <c r="C138" s="631" t="s">
        <v>1535</v>
      </c>
      <c r="D138" s="224"/>
      <c r="E138" s="219"/>
      <c r="F138" s="219">
        <v>0</v>
      </c>
      <c r="G138" s="7" t="s">
        <v>27</v>
      </c>
      <c r="H138" s="220" t="s">
        <v>27</v>
      </c>
      <c r="I138" s="145"/>
      <c r="J138" s="221"/>
      <c r="K138" s="248"/>
      <c r="L138" s="7"/>
      <c r="M138" s="229">
        <f>SUM(J138:J138)+SUM(K138:K138)*TC</f>
        <v>0</v>
      </c>
    </row>
    <row r="139" spans="2:13">
      <c r="B139" s="222" t="s">
        <v>1477</v>
      </c>
      <c r="C139" s="223" t="s">
        <v>1478</v>
      </c>
      <c r="D139" s="224"/>
      <c r="E139" s="219"/>
      <c r="F139" s="219">
        <v>0</v>
      </c>
      <c r="G139" s="7" t="s">
        <v>27</v>
      </c>
      <c r="H139" s="220" t="s">
        <v>27</v>
      </c>
      <c r="I139" s="145"/>
      <c r="J139" s="221"/>
      <c r="K139" s="248"/>
      <c r="L139" s="7"/>
      <c r="M139" s="229">
        <f>SUM(J139:J150)+SUM(K139:K150)*TC</f>
        <v>135861.59700000004</v>
      </c>
    </row>
    <row r="140" spans="2:13">
      <c r="B140" s="217" t="s">
        <v>1479</v>
      </c>
      <c r="C140" s="45" t="s">
        <v>1469</v>
      </c>
      <c r="D140" s="218" t="s">
        <v>973</v>
      </c>
      <c r="E140" s="219">
        <v>193.29400000000001</v>
      </c>
      <c r="F140" s="219">
        <v>193.29</v>
      </c>
      <c r="G140" s="7">
        <v>415.48</v>
      </c>
      <c r="H140" s="220">
        <v>0</v>
      </c>
      <c r="I140" s="145">
        <f>+ROUND(G140+H140*TC,2)</f>
        <v>415.48</v>
      </c>
      <c r="J140" s="221">
        <f t="shared" ref="J140:J144" si="45">G140*F140</f>
        <v>80308.129199999996</v>
      </c>
      <c r="K140" s="248">
        <f t="shared" ref="K140:K144" si="46">H140*F140</f>
        <v>0</v>
      </c>
      <c r="L140" s="7">
        <f t="shared" ref="L140:L144" si="47">+ROUND(J140+K140*TC,2)</f>
        <v>80308.13</v>
      </c>
      <c r="M140" s="228"/>
    </row>
    <row r="141" spans="2:13">
      <c r="B141" s="217" t="s">
        <v>1480</v>
      </c>
      <c r="C141" s="230" t="s">
        <v>1379</v>
      </c>
      <c r="D141" s="218" t="s">
        <v>82</v>
      </c>
      <c r="E141" s="219">
        <v>966.47</v>
      </c>
      <c r="F141" s="219">
        <v>966.47</v>
      </c>
      <c r="G141" s="7">
        <v>50.8</v>
      </c>
      <c r="H141" s="220">
        <v>0</v>
      </c>
      <c r="I141" s="145">
        <f>+ROUND(G141+H141*TC,2)</f>
        <v>50.8</v>
      </c>
      <c r="J141" s="221">
        <f t="shared" si="45"/>
        <v>49096.675999999999</v>
      </c>
      <c r="K141" s="248">
        <f t="shared" si="46"/>
        <v>0</v>
      </c>
      <c r="L141" s="7">
        <f t="shared" si="47"/>
        <v>49096.68</v>
      </c>
      <c r="M141" s="228"/>
    </row>
    <row r="142" spans="2:13">
      <c r="B142" s="217" t="s">
        <v>1481</v>
      </c>
      <c r="C142" s="230" t="s">
        <v>1380</v>
      </c>
      <c r="D142" s="218" t="s">
        <v>82</v>
      </c>
      <c r="E142" s="219"/>
      <c r="F142" s="219">
        <v>0</v>
      </c>
      <c r="G142" s="7">
        <v>60.7</v>
      </c>
      <c r="H142" s="220">
        <v>0</v>
      </c>
      <c r="I142" s="145">
        <f>+ROUND(G142+H142*TC,2)</f>
        <v>60.7</v>
      </c>
      <c r="J142" s="221">
        <f t="shared" si="45"/>
        <v>0</v>
      </c>
      <c r="K142" s="248">
        <f t="shared" si="46"/>
        <v>0</v>
      </c>
      <c r="L142" s="7">
        <f t="shared" si="47"/>
        <v>0</v>
      </c>
      <c r="M142" s="228"/>
    </row>
    <row r="143" spans="2:13">
      <c r="B143" s="217" t="s">
        <v>1482</v>
      </c>
      <c r="C143" s="230" t="s">
        <v>1120</v>
      </c>
      <c r="D143" s="218" t="s">
        <v>118</v>
      </c>
      <c r="E143" s="219"/>
      <c r="F143" s="219">
        <v>0</v>
      </c>
      <c r="G143" s="7">
        <v>1.24</v>
      </c>
      <c r="H143" s="220">
        <v>0.89</v>
      </c>
      <c r="I143" s="145">
        <f>+ROUND(G143+H143*TC,2)</f>
        <v>4.22</v>
      </c>
      <c r="J143" s="221">
        <f t="shared" si="45"/>
        <v>0</v>
      </c>
      <c r="K143" s="248">
        <f t="shared" si="46"/>
        <v>0</v>
      </c>
      <c r="L143" s="7">
        <f t="shared" si="47"/>
        <v>0</v>
      </c>
      <c r="M143" s="228"/>
    </row>
    <row r="144" spans="2:13">
      <c r="B144" s="217" t="s">
        <v>1483</v>
      </c>
      <c r="C144" s="230" t="s">
        <v>1122</v>
      </c>
      <c r="D144" s="218" t="s">
        <v>82</v>
      </c>
      <c r="E144" s="219">
        <v>966.47</v>
      </c>
      <c r="F144" s="219">
        <v>966.47</v>
      </c>
      <c r="G144" s="7">
        <v>1.48</v>
      </c>
      <c r="H144" s="220">
        <v>0</v>
      </c>
      <c r="I144" s="145">
        <f>+ROUND(G144+H144*TC,2)</f>
        <v>1.48</v>
      </c>
      <c r="J144" s="221">
        <f t="shared" si="45"/>
        <v>1430.3756000000001</v>
      </c>
      <c r="K144" s="248">
        <f t="shared" si="46"/>
        <v>0</v>
      </c>
      <c r="L144" s="7">
        <f t="shared" si="47"/>
        <v>1430.38</v>
      </c>
      <c r="M144" s="228"/>
    </row>
    <row r="145" spans="2:13">
      <c r="B145" s="217"/>
      <c r="C145" s="645" t="s">
        <v>1344</v>
      </c>
      <c r="D145" s="218"/>
      <c r="E145" s="219"/>
      <c r="F145" s="219">
        <v>0</v>
      </c>
      <c r="G145" s="7" t="s">
        <v>27</v>
      </c>
      <c r="H145" s="220" t="s">
        <v>27</v>
      </c>
      <c r="I145" s="145"/>
      <c r="J145" s="221"/>
      <c r="K145" s="248"/>
      <c r="L145" s="7"/>
      <c r="M145" s="228"/>
    </row>
    <row r="146" spans="2:13">
      <c r="B146" s="217"/>
      <c r="C146" s="45" t="s">
        <v>1469</v>
      </c>
      <c r="D146" s="218" t="s">
        <v>973</v>
      </c>
      <c r="E146" s="219">
        <v>3.2058</v>
      </c>
      <c r="F146" s="219">
        <v>3.21</v>
      </c>
      <c r="G146" s="7">
        <v>415.48</v>
      </c>
      <c r="H146" s="220">
        <v>0</v>
      </c>
      <c r="I146" s="145">
        <f t="shared" ref="I146:I150" si="48">+ROUND(G146+H146*TC,2)</f>
        <v>415.48</v>
      </c>
      <c r="J146" s="221">
        <f>G146*F146</f>
        <v>1333.6908000000001</v>
      </c>
      <c r="K146" s="248">
        <f t="shared" ref="K146:K150" si="49">H146*F146</f>
        <v>0</v>
      </c>
      <c r="L146" s="7">
        <f t="shared" ref="L146:L150" si="50">+ROUND(J146+K146*TC,2)</f>
        <v>1333.69</v>
      </c>
      <c r="M146" s="228"/>
    </row>
    <row r="147" spans="2:13">
      <c r="B147" s="217"/>
      <c r="C147" s="647" t="s">
        <v>1350</v>
      </c>
      <c r="D147" s="218" t="s">
        <v>82</v>
      </c>
      <c r="E147" s="219">
        <v>35.619999999999997</v>
      </c>
      <c r="F147" s="219">
        <v>35.619999999999997</v>
      </c>
      <c r="G147" s="7">
        <v>36.32</v>
      </c>
      <c r="H147" s="220">
        <v>0</v>
      </c>
      <c r="I147" s="145">
        <f t="shared" si="48"/>
        <v>36.32</v>
      </c>
      <c r="J147" s="221">
        <f t="shared" ref="J147:J150" si="51">G147*F147</f>
        <v>1293.7184</v>
      </c>
      <c r="K147" s="248">
        <f t="shared" si="49"/>
        <v>0</v>
      </c>
      <c r="L147" s="7">
        <f t="shared" si="50"/>
        <v>1293.72</v>
      </c>
      <c r="M147" s="228"/>
    </row>
    <row r="148" spans="2:13">
      <c r="B148" s="217"/>
      <c r="C148" s="45" t="s">
        <v>1353</v>
      </c>
      <c r="D148" s="218" t="s">
        <v>82</v>
      </c>
      <c r="E148" s="219">
        <v>35.619999999999997</v>
      </c>
      <c r="F148" s="219">
        <v>35.619999999999997</v>
      </c>
      <c r="G148" s="7">
        <v>61.5</v>
      </c>
      <c r="H148" s="220">
        <v>0</v>
      </c>
      <c r="I148" s="145">
        <f t="shared" si="48"/>
        <v>61.5</v>
      </c>
      <c r="J148" s="221">
        <f t="shared" si="51"/>
        <v>2190.6299999999997</v>
      </c>
      <c r="K148" s="248">
        <f t="shared" si="49"/>
        <v>0</v>
      </c>
      <c r="L148" s="7">
        <f t="shared" si="50"/>
        <v>2190.63</v>
      </c>
      <c r="M148" s="228"/>
    </row>
    <row r="149" spans="2:13">
      <c r="B149" s="217"/>
      <c r="C149" s="647" t="s">
        <v>1342</v>
      </c>
      <c r="D149" s="218" t="s">
        <v>82</v>
      </c>
      <c r="E149" s="219">
        <v>35.619999999999997</v>
      </c>
      <c r="F149" s="219">
        <v>35.619999999999997</v>
      </c>
      <c r="G149" s="7">
        <v>4.37</v>
      </c>
      <c r="H149" s="220">
        <v>0</v>
      </c>
      <c r="I149" s="145">
        <f t="shared" si="48"/>
        <v>4.37</v>
      </c>
      <c r="J149" s="221">
        <f t="shared" si="51"/>
        <v>155.65940000000001</v>
      </c>
      <c r="K149" s="248">
        <f t="shared" si="49"/>
        <v>0</v>
      </c>
      <c r="L149" s="7">
        <f t="shared" si="50"/>
        <v>155.66</v>
      </c>
      <c r="M149" s="228"/>
    </row>
    <row r="150" spans="2:13">
      <c r="B150" s="217"/>
      <c r="C150" s="647" t="s">
        <v>1122</v>
      </c>
      <c r="D150" s="218" t="s">
        <v>82</v>
      </c>
      <c r="E150" s="219">
        <v>35.619999999999997</v>
      </c>
      <c r="F150" s="219">
        <v>35.619999999999997</v>
      </c>
      <c r="G150" s="7">
        <v>1.48</v>
      </c>
      <c r="H150" s="220">
        <v>0</v>
      </c>
      <c r="I150" s="145">
        <f t="shared" si="48"/>
        <v>1.48</v>
      </c>
      <c r="J150" s="221">
        <f t="shared" si="51"/>
        <v>52.717599999999997</v>
      </c>
      <c r="K150" s="248">
        <f t="shared" si="49"/>
        <v>0</v>
      </c>
      <c r="L150" s="7">
        <f t="shared" si="50"/>
        <v>52.72</v>
      </c>
      <c r="M150" s="228"/>
    </row>
    <row r="151" spans="2:13">
      <c r="B151" s="630" t="s">
        <v>1111</v>
      </c>
      <c r="C151" s="631" t="s">
        <v>1537</v>
      </c>
      <c r="D151" s="632"/>
      <c r="E151" s="219"/>
      <c r="F151" s="219">
        <v>0</v>
      </c>
      <c r="G151" s="7" t="s">
        <v>27</v>
      </c>
      <c r="H151" s="220" t="s">
        <v>27</v>
      </c>
      <c r="I151" s="145"/>
      <c r="J151" s="221"/>
      <c r="K151" s="248"/>
      <c r="L151" s="7"/>
      <c r="M151" s="229">
        <f>SUM(J151:J156)+SUM(K151:K156)*TC</f>
        <v>138680.79999999999</v>
      </c>
    </row>
    <row r="152" spans="2:13">
      <c r="B152" s="630"/>
      <c r="C152" s="639" t="s">
        <v>1433</v>
      </c>
      <c r="D152" s="218" t="s">
        <v>132</v>
      </c>
      <c r="E152" s="219">
        <v>6</v>
      </c>
      <c r="F152" s="219">
        <v>6</v>
      </c>
      <c r="G152" s="7">
        <v>7196.8</v>
      </c>
      <c r="H152" s="220"/>
      <c r="I152" s="145">
        <f>+ROUND(G152+H152*TC,2)</f>
        <v>7196.8</v>
      </c>
      <c r="J152" s="221">
        <f>G152*F152</f>
        <v>43180.800000000003</v>
      </c>
      <c r="K152" s="248">
        <f t="shared" ref="K152" si="52">H152*F152</f>
        <v>0</v>
      </c>
      <c r="L152" s="7">
        <f t="shared" ref="L152" si="53">+ROUND(J152+K152*TC,2)</f>
        <v>43180.800000000003</v>
      </c>
      <c r="M152" s="229"/>
    </row>
    <row r="153" spans="2:13">
      <c r="B153" s="630"/>
      <c r="C153" s="629" t="s">
        <v>1435</v>
      </c>
      <c r="D153" s="218" t="s">
        <v>1436</v>
      </c>
      <c r="E153" s="219">
        <v>400</v>
      </c>
      <c r="F153" s="219">
        <v>400</v>
      </c>
      <c r="G153" s="7">
        <v>22.5</v>
      </c>
      <c r="H153" s="220">
        <v>0</v>
      </c>
      <c r="I153" s="145">
        <f t="shared" ref="I153" si="54">+ROUND(G153+H153*TC,2)</f>
        <v>22.5</v>
      </c>
      <c r="J153" s="221">
        <f t="shared" ref="J153" si="55">G153*F153</f>
        <v>9000</v>
      </c>
      <c r="K153" s="248">
        <f t="shared" ref="K153" si="56">H153*F153</f>
        <v>0</v>
      </c>
      <c r="L153" s="7">
        <f t="shared" ref="L153" si="57">+ROUND(J153+K153*TC,2)</f>
        <v>9000</v>
      </c>
      <c r="M153" s="229"/>
    </row>
    <row r="154" spans="2:13">
      <c r="B154" s="217"/>
      <c r="C154" s="629" t="s">
        <v>1438</v>
      </c>
      <c r="D154" s="218" t="s">
        <v>132</v>
      </c>
      <c r="E154" s="219">
        <v>7</v>
      </c>
      <c r="F154" s="219">
        <v>7</v>
      </c>
      <c r="G154" s="7">
        <v>5200</v>
      </c>
      <c r="H154" s="220">
        <v>0</v>
      </c>
      <c r="I154" s="145">
        <f>+ROUND(G154+H154*TC,2)</f>
        <v>5200</v>
      </c>
      <c r="J154" s="221">
        <f t="shared" si="42"/>
        <v>36400</v>
      </c>
      <c r="K154" s="248">
        <f t="shared" si="43"/>
        <v>0</v>
      </c>
      <c r="L154" s="7">
        <f t="shared" si="44"/>
        <v>36400</v>
      </c>
      <c r="M154" s="228"/>
    </row>
    <row r="155" spans="2:13">
      <c r="B155" s="217"/>
      <c r="C155" s="629" t="s">
        <v>1440</v>
      </c>
      <c r="D155" s="218" t="s">
        <v>130</v>
      </c>
      <c r="E155" s="219">
        <v>0.6</v>
      </c>
      <c r="F155" s="219">
        <v>0.6</v>
      </c>
      <c r="G155" s="7">
        <v>23500</v>
      </c>
      <c r="H155" s="220">
        <v>0</v>
      </c>
      <c r="I155" s="145">
        <f>+ROUND(G155+H155*TC,2)</f>
        <v>23500</v>
      </c>
      <c r="J155" s="221">
        <f t="shared" si="42"/>
        <v>14100</v>
      </c>
      <c r="K155" s="248">
        <f t="shared" si="43"/>
        <v>0</v>
      </c>
      <c r="L155" s="7">
        <f t="shared" si="44"/>
        <v>14100</v>
      </c>
      <c r="M155" s="228"/>
    </row>
    <row r="156" spans="2:13" ht="15.75" thickBot="1">
      <c r="B156" s="343"/>
      <c r="C156" s="233" t="s">
        <v>1442</v>
      </c>
      <c r="D156" s="234" t="s">
        <v>132</v>
      </c>
      <c r="E156" s="235">
        <v>8</v>
      </c>
      <c r="F156" s="219">
        <v>8</v>
      </c>
      <c r="G156" s="236">
        <v>4500</v>
      </c>
      <c r="H156" s="220">
        <v>0</v>
      </c>
      <c r="I156" s="344">
        <f>+ROUND(G156+H156*TC,2)</f>
        <v>4500</v>
      </c>
      <c r="J156" s="237">
        <f t="shared" si="42"/>
        <v>36000</v>
      </c>
      <c r="K156" s="249">
        <f t="shared" si="43"/>
        <v>0</v>
      </c>
      <c r="L156" s="236">
        <f t="shared" si="44"/>
        <v>36000</v>
      </c>
      <c r="M156" s="238"/>
    </row>
    <row r="157" spans="2:13">
      <c r="E157" s="337"/>
      <c r="F157" s="337"/>
      <c r="G157" s="338"/>
      <c r="H157" s="338"/>
      <c r="I157" s="225"/>
      <c r="J157" s="225">
        <f>SUM(J13:J156)</f>
        <v>6713422.3699000031</v>
      </c>
      <c r="K157" s="226">
        <f>SUM(K13:K156)</f>
        <v>841442.11619999993</v>
      </c>
      <c r="L157" s="225">
        <f>SUM(L13:L156)</f>
        <v>9532253.5000000075</v>
      </c>
      <c r="M157" s="338">
        <f>SUM(M12:M156)</f>
        <v>9532253.4591700025</v>
      </c>
    </row>
    <row r="158" spans="2:13" ht="15.75" thickBot="1">
      <c r="C158" s="16"/>
      <c r="D158" s="21"/>
    </row>
    <row r="159" spans="2:13">
      <c r="B159" s="339" t="s">
        <v>1526</v>
      </c>
      <c r="C159" s="211" t="s">
        <v>1535</v>
      </c>
      <c r="D159" s="341"/>
      <c r="E159" s="213"/>
      <c r="F159" s="213">
        <v>0</v>
      </c>
      <c r="G159" s="555" t="s">
        <v>27</v>
      </c>
      <c r="H159" s="556" t="s">
        <v>27</v>
      </c>
      <c r="I159" s="557"/>
      <c r="J159" s="216"/>
      <c r="K159" s="558"/>
      <c r="L159" s="555"/>
      <c r="M159" s="227"/>
    </row>
    <row r="160" spans="2:13">
      <c r="B160" s="222" t="s">
        <v>1033</v>
      </c>
      <c r="C160" s="223" t="s">
        <v>1503</v>
      </c>
      <c r="D160" s="224"/>
      <c r="E160" s="219"/>
      <c r="F160" s="219">
        <v>0</v>
      </c>
      <c r="G160" s="7" t="s">
        <v>27</v>
      </c>
      <c r="H160" s="220" t="s">
        <v>27</v>
      </c>
      <c r="I160" s="131"/>
      <c r="J160" s="221"/>
      <c r="K160" s="248"/>
      <c r="L160" s="7"/>
      <c r="M160" s="229">
        <f>SUM(J160:J164)+SUM(K160:K164)*TC</f>
        <v>68101.265710000007</v>
      </c>
    </row>
    <row r="161" spans="2:13">
      <c r="B161" s="217" t="s">
        <v>1036</v>
      </c>
      <c r="C161" s="45" t="s">
        <v>1271</v>
      </c>
      <c r="D161" s="218" t="s">
        <v>973</v>
      </c>
      <c r="E161" s="219">
        <v>39.918130000000005</v>
      </c>
      <c r="F161" s="219">
        <v>39.92</v>
      </c>
      <c r="G161" s="7">
        <v>380.32</v>
      </c>
      <c r="H161" s="220">
        <v>0</v>
      </c>
      <c r="I161" s="131">
        <f>+ROUND(G161+H161*TC,2)</f>
        <v>380.32</v>
      </c>
      <c r="J161" s="221">
        <f t="shared" ref="J161:J164" si="58">G161*F161</f>
        <v>15182.374400000001</v>
      </c>
      <c r="K161" s="248">
        <f t="shared" ref="K161:K164" si="59">H161*F161</f>
        <v>0</v>
      </c>
      <c r="L161" s="7">
        <f t="shared" ref="L161:L164" si="60">+ROUND(J161+K161*TC,2)</f>
        <v>15182.37</v>
      </c>
      <c r="M161" s="228"/>
    </row>
    <row r="162" spans="2:13">
      <c r="B162" s="217" t="s">
        <v>1452</v>
      </c>
      <c r="C162" s="230" t="s">
        <v>1275</v>
      </c>
      <c r="D162" s="218" t="s">
        <v>82</v>
      </c>
      <c r="E162" s="219">
        <v>730.59589999999992</v>
      </c>
      <c r="F162" s="219">
        <v>730.6</v>
      </c>
      <c r="G162" s="7">
        <v>50.38</v>
      </c>
      <c r="H162" s="220">
        <v>0</v>
      </c>
      <c r="I162" s="131">
        <f>+ROUND(G162+H162*TC,2)</f>
        <v>50.38</v>
      </c>
      <c r="J162" s="221">
        <f t="shared" si="58"/>
        <v>36807.628000000004</v>
      </c>
      <c r="K162" s="248">
        <f t="shared" si="59"/>
        <v>0</v>
      </c>
      <c r="L162" s="7">
        <f t="shared" si="60"/>
        <v>36807.629999999997</v>
      </c>
      <c r="M162" s="228"/>
    </row>
    <row r="163" spans="2:13">
      <c r="B163" s="217" t="s">
        <v>1039</v>
      </c>
      <c r="C163" s="231" t="s">
        <v>1120</v>
      </c>
      <c r="D163" s="218" t="s">
        <v>118</v>
      </c>
      <c r="E163" s="219">
        <v>3560.3409999999994</v>
      </c>
      <c r="F163" s="219">
        <v>3560.34</v>
      </c>
      <c r="G163" s="7">
        <v>1.24</v>
      </c>
      <c r="H163" s="220">
        <v>0.89</v>
      </c>
      <c r="I163" s="131">
        <f>+ROUND(G163+H163*TC,2)</f>
        <v>4.22</v>
      </c>
      <c r="J163" s="221">
        <f t="shared" si="58"/>
        <v>4414.8216000000002</v>
      </c>
      <c r="K163" s="248">
        <f t="shared" si="59"/>
        <v>3168.7026000000001</v>
      </c>
      <c r="L163" s="7">
        <f t="shared" si="60"/>
        <v>15029.98</v>
      </c>
      <c r="M163" s="228"/>
    </row>
    <row r="164" spans="2:13">
      <c r="B164" s="217" t="s">
        <v>1041</v>
      </c>
      <c r="C164" s="230" t="s">
        <v>1122</v>
      </c>
      <c r="D164" s="218" t="s">
        <v>82</v>
      </c>
      <c r="E164" s="219">
        <v>730.59589999999992</v>
      </c>
      <c r="F164" s="219">
        <v>730.6</v>
      </c>
      <c r="G164" s="7">
        <v>1.48</v>
      </c>
      <c r="H164" s="220">
        <v>0</v>
      </c>
      <c r="I164" s="131">
        <f>+ROUND(G164+H164*TC,2)</f>
        <v>1.48</v>
      </c>
      <c r="J164" s="221">
        <f t="shared" si="58"/>
        <v>1081.288</v>
      </c>
      <c r="K164" s="248">
        <f t="shared" si="59"/>
        <v>0</v>
      </c>
      <c r="L164" s="7">
        <f t="shared" si="60"/>
        <v>1081.29</v>
      </c>
      <c r="M164" s="228"/>
    </row>
    <row r="165" spans="2:13">
      <c r="B165" s="222" t="s">
        <v>1477</v>
      </c>
      <c r="C165" s="645" t="s">
        <v>2788</v>
      </c>
      <c r="D165" s="224"/>
      <c r="E165" s="219"/>
      <c r="F165" s="219">
        <v>0</v>
      </c>
      <c r="G165" s="7" t="s">
        <v>27</v>
      </c>
      <c r="H165" s="220" t="s">
        <v>27</v>
      </c>
      <c r="I165" s="145"/>
      <c r="J165" s="221"/>
      <c r="K165" s="248"/>
      <c r="L165" s="7"/>
      <c r="M165" s="229">
        <f>SUM(J165:J170)+SUM(K165:K170)*TC</f>
        <v>267486.22117000003</v>
      </c>
    </row>
    <row r="166" spans="2:13">
      <c r="B166" s="217" t="s">
        <v>1479</v>
      </c>
      <c r="C166" s="45" t="s">
        <v>1536</v>
      </c>
      <c r="D166" s="218" t="s">
        <v>973</v>
      </c>
      <c r="E166" s="219">
        <v>176.25536</v>
      </c>
      <c r="F166" s="219">
        <v>176.26</v>
      </c>
      <c r="G166" s="7">
        <v>398.28</v>
      </c>
      <c r="H166" s="220">
        <v>0</v>
      </c>
      <c r="I166" s="145">
        <f>+ROUND(G166+H166*TC,2)</f>
        <v>398.28</v>
      </c>
      <c r="J166" s="221">
        <f t="shared" ref="J166:J169" si="61">G166*F166</f>
        <v>70200.832799999989</v>
      </c>
      <c r="K166" s="248">
        <f t="shared" ref="K166:K170" si="62">H166*F166</f>
        <v>0</v>
      </c>
      <c r="L166" s="7">
        <f t="shared" ref="L166:L169" si="63">+ROUND(J166+K166*TC,2)</f>
        <v>70200.83</v>
      </c>
      <c r="M166" s="228"/>
    </row>
    <row r="167" spans="2:13">
      <c r="B167" s="217" t="s">
        <v>1480</v>
      </c>
      <c r="C167" s="230" t="s">
        <v>1379</v>
      </c>
      <c r="D167" s="218" t="s">
        <v>82</v>
      </c>
      <c r="E167" s="219">
        <v>2217.2048</v>
      </c>
      <c r="F167" s="219">
        <v>2217.1999999999998</v>
      </c>
      <c r="G167" s="7">
        <v>50.8</v>
      </c>
      <c r="H167" s="220">
        <v>0</v>
      </c>
      <c r="I167" s="145">
        <f>+ROUND(G167+H167*TC,2)</f>
        <v>50.8</v>
      </c>
      <c r="J167" s="221">
        <f t="shared" si="61"/>
        <v>112633.75999999998</v>
      </c>
      <c r="K167" s="248">
        <f t="shared" si="62"/>
        <v>0</v>
      </c>
      <c r="L167" s="7">
        <f t="shared" si="63"/>
        <v>112633.76</v>
      </c>
      <c r="M167" s="228"/>
    </row>
    <row r="168" spans="2:13">
      <c r="B168" s="217" t="s">
        <v>1481</v>
      </c>
      <c r="C168" s="230" t="s">
        <v>1380</v>
      </c>
      <c r="D168" s="218" t="s">
        <v>82</v>
      </c>
      <c r="E168" s="219"/>
      <c r="F168" s="219">
        <v>0</v>
      </c>
      <c r="G168" s="7">
        <v>60.7</v>
      </c>
      <c r="H168" s="220">
        <v>0</v>
      </c>
      <c r="I168" s="145">
        <f>+ROUND(G168+H168*TC,2)</f>
        <v>60.7</v>
      </c>
      <c r="J168" s="221">
        <f t="shared" si="61"/>
        <v>0</v>
      </c>
      <c r="K168" s="248">
        <f t="shared" si="62"/>
        <v>0</v>
      </c>
      <c r="L168" s="7">
        <f t="shared" si="63"/>
        <v>0</v>
      </c>
      <c r="M168" s="228"/>
    </row>
    <row r="169" spans="2:13">
      <c r="B169" s="217" t="s">
        <v>1482</v>
      </c>
      <c r="C169" s="230" t="s">
        <v>1120</v>
      </c>
      <c r="D169" s="218" t="s">
        <v>118</v>
      </c>
      <c r="E169" s="219">
        <v>19275.1839</v>
      </c>
      <c r="F169" s="219">
        <v>19275.18</v>
      </c>
      <c r="G169" s="7">
        <v>1.24</v>
      </c>
      <c r="H169" s="220">
        <v>0.89</v>
      </c>
      <c r="I169" s="145">
        <f>+ROUND(G169+H169*TC,2)</f>
        <v>4.22</v>
      </c>
      <c r="J169" s="221">
        <f t="shared" si="61"/>
        <v>23901.2232</v>
      </c>
      <c r="K169" s="248">
        <f t="shared" si="62"/>
        <v>17154.910200000002</v>
      </c>
      <c r="L169" s="7">
        <f t="shared" si="63"/>
        <v>81370.17</v>
      </c>
      <c r="M169" s="228"/>
    </row>
    <row r="170" spans="2:13" ht="15.75" thickBot="1">
      <c r="B170" s="343"/>
      <c r="C170" s="686" t="s">
        <v>1122</v>
      </c>
      <c r="D170" s="234" t="s">
        <v>82</v>
      </c>
      <c r="E170" s="235">
        <v>2217.2048</v>
      </c>
      <c r="F170" s="235">
        <v>2217.1999999999998</v>
      </c>
      <c r="G170" s="236">
        <v>1.48</v>
      </c>
      <c r="H170" s="650">
        <v>0</v>
      </c>
      <c r="I170" s="232">
        <f t="shared" ref="I170" si="64">+ROUND(G170+H170*TC,2)</f>
        <v>1.48</v>
      </c>
      <c r="J170" s="237">
        <f>G170*F170</f>
        <v>3281.4559999999997</v>
      </c>
      <c r="K170" s="249">
        <f t="shared" si="62"/>
        <v>0</v>
      </c>
      <c r="L170" s="236">
        <f>+ROUND(J170+K170*TC,2)</f>
        <v>3281.46</v>
      </c>
      <c r="M170" s="238"/>
    </row>
    <row r="171" spans="2:13">
      <c r="C171" s="16"/>
      <c r="D171" s="21"/>
      <c r="J171" s="225">
        <f>SUM(J159:J170)</f>
        <v>267503.38399999996</v>
      </c>
      <c r="K171" s="226">
        <f>SUM(K159:K170)</f>
        <v>20323.612800000003</v>
      </c>
      <c r="L171" s="225">
        <f>SUM(L159:L170)</f>
        <v>335587.49</v>
      </c>
      <c r="M171" s="338">
        <f>SUM(M159:M170)</f>
        <v>335587.48688000004</v>
      </c>
    </row>
    <row r="172" spans="2:13">
      <c r="C172" s="16"/>
      <c r="D172" s="21"/>
    </row>
  </sheetData>
  <mergeCells count="1">
    <mergeCell ref="B3:M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E2D16-3812-4BFC-B5F9-8DBD9B5C92B0}">
  <sheetPr>
    <outlinePr summaryBelow="0" summaryRight="0"/>
  </sheetPr>
  <dimension ref="A1:L274"/>
  <sheetViews>
    <sheetView topLeftCell="B1" zoomScale="85" zoomScaleNormal="85" workbookViewId="0">
      <pane xSplit="4" ySplit="10" topLeftCell="F270" activePane="bottomRight" state="frozen"/>
      <selection pane="topRight" activeCell="F1" sqref="F1"/>
      <selection pane="bottomLeft" activeCell="B11" sqref="B11"/>
      <selection pane="bottomRight" activeCell="M1" sqref="M1:DR1048576"/>
    </sheetView>
  </sheetViews>
  <sheetFormatPr defaultColWidth="7.85546875" defaultRowHeight="11.25" outlineLevelRow="4"/>
  <cols>
    <col min="1" max="1" width="5.140625" style="16" hidden="1" customWidth="1"/>
    <col min="2" max="2" width="12.85546875" style="47" customWidth="1"/>
    <col min="3" max="3" width="67.7109375" style="48" customWidth="1"/>
    <col min="4" max="4" width="5.28515625" style="21" customWidth="1"/>
    <col min="5" max="5" width="12.140625" style="21" customWidth="1"/>
    <col min="6" max="6" width="14.42578125" style="16" customWidth="1"/>
    <col min="7" max="7" width="11.85546875" style="16" customWidth="1"/>
    <col min="8" max="8" width="14.85546875" style="16" customWidth="1"/>
    <col min="9" max="10" width="15.140625" style="16" customWidth="1"/>
    <col min="11" max="11" width="15.28515625" style="16" customWidth="1"/>
    <col min="12" max="12" width="14.5703125" style="16" customWidth="1"/>
    <col min="13" max="16384" width="7.85546875" style="16"/>
  </cols>
  <sheetData>
    <row r="1" spans="2:12" ht="14.25" customHeight="1">
      <c r="B1" s="32"/>
      <c r="C1" s="46"/>
      <c r="D1" s="15"/>
      <c r="E1" s="15"/>
      <c r="F1" s="14"/>
      <c r="G1" s="14"/>
      <c r="H1" s="14"/>
      <c r="I1" s="14"/>
    </row>
    <row r="2" spans="2:12" ht="14.25" customHeight="1">
      <c r="B2" s="776" t="s">
        <v>1538</v>
      </c>
      <c r="C2" s="776"/>
      <c r="D2" s="776"/>
      <c r="E2" s="776"/>
      <c r="F2" s="776"/>
      <c r="G2" s="776"/>
      <c r="H2" s="776"/>
      <c r="I2" s="776"/>
      <c r="J2" s="776"/>
      <c r="K2" s="776"/>
      <c r="L2" s="776"/>
    </row>
    <row r="3" spans="2:12" ht="14.25" customHeight="1">
      <c r="B3" s="32"/>
      <c r="C3" s="46"/>
      <c r="D3" s="15"/>
      <c r="E3" s="15"/>
      <c r="F3" s="14"/>
      <c r="G3" s="14"/>
      <c r="H3" s="14"/>
      <c r="I3" s="14"/>
    </row>
    <row r="4" spans="2:12" ht="14.25" customHeight="1">
      <c r="B4" s="18" t="s">
        <v>7</v>
      </c>
      <c r="C4" s="54" t="str">
        <f>+'RESUMEN ESCENARIO'!C6</f>
        <v>PRESUPUESTO  |  GERMANIA  |  REV 09</v>
      </c>
      <c r="D4" s="15"/>
      <c r="E4" s="15"/>
      <c r="F4" s="14"/>
      <c r="G4" s="14"/>
      <c r="H4" s="14"/>
      <c r="I4" s="14"/>
    </row>
    <row r="5" spans="2:12" ht="14.25" customHeight="1">
      <c r="B5" s="18" t="s">
        <v>67</v>
      </c>
      <c r="C5" s="54" t="str">
        <f>$B$2</f>
        <v>ARQUITECTURA SÓTANOS</v>
      </c>
      <c r="D5" s="15"/>
      <c r="E5" s="250"/>
      <c r="F5" s="14"/>
      <c r="G5" s="14"/>
      <c r="H5" s="583"/>
      <c r="I5" s="30"/>
    </row>
    <row r="6" spans="2:12" ht="14.25" customHeight="1">
      <c r="B6" s="18" t="s">
        <v>10</v>
      </c>
      <c r="C6" s="55" t="str">
        <f>+'RESUMEN ESCENARIO'!C7</f>
        <v>VYV INMOBILIARIA</v>
      </c>
      <c r="D6" s="15"/>
      <c r="E6" s="15"/>
    </row>
    <row r="7" spans="2:12" ht="14.25" customHeight="1">
      <c r="B7" s="18" t="s">
        <v>12</v>
      </c>
      <c r="C7" s="55" t="str">
        <f>+'RESUMEN ESCENARIO'!C8</f>
        <v>SURQUILLO</v>
      </c>
      <c r="D7" s="15"/>
      <c r="E7" s="15"/>
      <c r="F7" s="14"/>
      <c r="G7" s="14"/>
      <c r="H7" s="14"/>
      <c r="I7" s="14"/>
    </row>
    <row r="8" spans="2:12" ht="14.25" customHeight="1">
      <c r="B8" s="14" t="s">
        <v>68</v>
      </c>
      <c r="C8" s="20">
        <f>+'RESUMEN ESCENARIO'!C9</f>
        <v>46090</v>
      </c>
      <c r="D8" s="15"/>
      <c r="E8" s="15"/>
      <c r="F8" s="14"/>
      <c r="G8" s="14"/>
      <c r="H8" s="14"/>
      <c r="I8" s="14"/>
    </row>
    <row r="9" spans="2:12" ht="14.25" customHeight="1" thickBot="1">
      <c r="B9" s="14"/>
      <c r="C9" s="252"/>
      <c r="D9" s="15"/>
      <c r="E9" s="15"/>
      <c r="F9" s="14"/>
      <c r="G9" s="14"/>
      <c r="H9" s="14"/>
      <c r="I9" s="14"/>
    </row>
    <row r="10" spans="2:12" ht="24" customHeight="1" thickTop="1" thickBot="1">
      <c r="B10" s="22" t="s">
        <v>20</v>
      </c>
      <c r="C10" s="49" t="s">
        <v>69</v>
      </c>
      <c r="D10" s="23" t="s">
        <v>70</v>
      </c>
      <c r="E10" s="53" t="s">
        <v>71</v>
      </c>
      <c r="F10" s="24" t="s">
        <v>72</v>
      </c>
      <c r="G10" s="24" t="s">
        <v>73</v>
      </c>
      <c r="H10" s="53" t="s">
        <v>74</v>
      </c>
      <c r="I10" s="53" t="s">
        <v>75</v>
      </c>
      <c r="J10" s="53" t="s">
        <v>76</v>
      </c>
      <c r="K10" s="53" t="s">
        <v>77</v>
      </c>
      <c r="L10" s="253" t="s">
        <v>54</v>
      </c>
    </row>
    <row r="11" spans="2:12" ht="14.1" customHeight="1" thickTop="1" thickBot="1">
      <c r="B11" s="50" t="s">
        <v>1539</v>
      </c>
      <c r="C11" s="254" t="str">
        <f>$B$2</f>
        <v>ARQUITECTURA SÓTANOS</v>
      </c>
      <c r="D11" s="27"/>
      <c r="E11" s="27"/>
      <c r="F11" s="28"/>
      <c r="G11" s="28"/>
      <c r="H11" s="28"/>
      <c r="I11" s="255"/>
      <c r="J11" s="256"/>
      <c r="K11" s="257"/>
      <c r="L11" s="258"/>
    </row>
    <row r="12" spans="2:12" ht="14.1" customHeight="1" thickTop="1">
      <c r="B12" s="259">
        <f>B11+0.01</f>
        <v>5.01</v>
      </c>
      <c r="C12" s="260" t="s">
        <v>78</v>
      </c>
      <c r="D12" s="261"/>
      <c r="E12" s="262"/>
      <c r="F12" s="263"/>
      <c r="G12" s="264"/>
      <c r="H12" s="265" t="str">
        <f>IFERROR(IF(D12&lt;&gt;0,(F12+G12*TC)," ")," ")</f>
        <v xml:space="preserve"> </v>
      </c>
      <c r="I12" s="266" t="str">
        <f t="shared" ref="I12:J14" si="0">IFERROR(IF($E12=0,"",$E12*F12),"")</f>
        <v/>
      </c>
      <c r="J12" s="267" t="str">
        <f t="shared" si="0"/>
        <v/>
      </c>
      <c r="K12" s="265" t="str">
        <f>IFERROR(IF(E12&lt;&gt;0,(E12*H12)," "),0)</f>
        <v xml:space="preserve"> </v>
      </c>
      <c r="L12" s="268">
        <f>SUM(I12:I51)+SUM(J12:J51)*TC</f>
        <v>244946.95249999998</v>
      </c>
    </row>
    <row r="13" spans="2:12" ht="14.1" customHeight="1" outlineLevel="1">
      <c r="B13" s="270">
        <f>B12+0.0001</f>
        <v>5.0100999999999996</v>
      </c>
      <c r="C13" s="271" t="s">
        <v>79</v>
      </c>
      <c r="D13" s="272"/>
      <c r="E13" s="273"/>
      <c r="F13" s="7" t="s">
        <v>27</v>
      </c>
      <c r="G13" s="274"/>
      <c r="H13" s="7" t="str">
        <f>IFERROR(IF(D13&lt;&gt;0,(F13+G13*TC)," ")," ")</f>
        <v xml:space="preserve"> </v>
      </c>
      <c r="I13" s="275" t="str">
        <f t="shared" si="0"/>
        <v/>
      </c>
      <c r="J13" s="57" t="str">
        <f t="shared" si="0"/>
        <v/>
      </c>
      <c r="K13" s="7" t="str">
        <f>IFERROR(IF(E13&lt;&gt;0,(E13*H13)," "),0)</f>
        <v xml:space="preserve"> </v>
      </c>
      <c r="L13" s="276"/>
    </row>
    <row r="14" spans="2:12" ht="14.1" customHeight="1" outlineLevel="2">
      <c r="B14" s="277">
        <f>B12+0.0001</f>
        <v>5.0100999999999996</v>
      </c>
      <c r="C14" s="278" t="s">
        <v>80</v>
      </c>
      <c r="D14" s="279"/>
      <c r="E14" s="280"/>
      <c r="F14" s="7" t="s">
        <v>27</v>
      </c>
      <c r="G14" s="281"/>
      <c r="H14" s="7" t="str">
        <f>IFERROR(IF(D14&lt;&gt;0,(F14+G14*TC)," ")," ")</f>
        <v xml:space="preserve"> </v>
      </c>
      <c r="I14" s="275" t="str">
        <f t="shared" si="0"/>
        <v/>
      </c>
      <c r="J14" s="57" t="str">
        <f t="shared" si="0"/>
        <v/>
      </c>
      <c r="K14" s="7" t="str">
        <f>IFERROR(IF(E14&lt;&gt;0,(E14*H14)," "),0)</f>
        <v xml:space="preserve"> </v>
      </c>
      <c r="L14" s="282"/>
    </row>
    <row r="15" spans="2:12" ht="14.1" customHeight="1" outlineLevel="3">
      <c r="B15" s="283">
        <f>B14+0.000001</f>
        <v>5.0101009999999997</v>
      </c>
      <c r="C15" s="284" t="s">
        <v>81</v>
      </c>
      <c r="D15" s="285" t="s">
        <v>82</v>
      </c>
      <c r="E15" s="286"/>
      <c r="F15" s="7" t="s">
        <v>27</v>
      </c>
      <c r="G15" s="4"/>
      <c r="H15" s="131"/>
      <c r="I15" s="131"/>
      <c r="J15" s="124"/>
      <c r="K15" s="7"/>
      <c r="L15" s="282"/>
    </row>
    <row r="16" spans="2:12" ht="14.1" customHeight="1" outlineLevel="3">
      <c r="B16" s="283">
        <f>B14+0.000001</f>
        <v>5.0101009999999997</v>
      </c>
      <c r="C16" s="43" t="s">
        <v>83</v>
      </c>
      <c r="D16" s="285" t="s">
        <v>82</v>
      </c>
      <c r="E16" s="286">
        <v>348.42</v>
      </c>
      <c r="F16" s="7">
        <v>111.23</v>
      </c>
      <c r="G16" s="4"/>
      <c r="H16" s="131">
        <f>+ROUND(F16+G16*TC,2)</f>
        <v>111.23</v>
      </c>
      <c r="I16" s="131">
        <f>+ROUND(E16*F16,2)</f>
        <v>38754.76</v>
      </c>
      <c r="J16" s="124">
        <f>+ROUND(E16*G16,2)</f>
        <v>0</v>
      </c>
      <c r="K16" s="7">
        <f>+ROUND(I16+J16*TC,2)</f>
        <v>38754.76</v>
      </c>
      <c r="L16" s="282"/>
    </row>
    <row r="17" spans="2:12" ht="14.1" customHeight="1" outlineLevel="3">
      <c r="B17" s="283">
        <f>B15+0.000001</f>
        <v>5.0101019999999998</v>
      </c>
      <c r="C17" s="284" t="s">
        <v>84</v>
      </c>
      <c r="D17" s="285" t="s">
        <v>82</v>
      </c>
      <c r="E17" s="286">
        <v>103.8</v>
      </c>
      <c r="F17" s="7">
        <v>117.23</v>
      </c>
      <c r="G17" s="4"/>
      <c r="H17" s="131">
        <f>+ROUND(F17+G17*TC,2)</f>
        <v>117.23</v>
      </c>
      <c r="I17" s="131">
        <f>+ROUND(E17*F17,2)</f>
        <v>12168.47</v>
      </c>
      <c r="J17" s="124">
        <f>+ROUND(E17*G17,2)</f>
        <v>0</v>
      </c>
      <c r="K17" s="7">
        <f>+ROUND(I17+J17*TC,2)</f>
        <v>12168.47</v>
      </c>
      <c r="L17" s="282"/>
    </row>
    <row r="18" spans="2:12" ht="14.1" customHeight="1" outlineLevel="3">
      <c r="B18" s="283">
        <f>B17+0.000001</f>
        <v>5.010103</v>
      </c>
      <c r="C18" s="284" t="s">
        <v>85</v>
      </c>
      <c r="D18" s="285" t="s">
        <v>82</v>
      </c>
      <c r="E18" s="286">
        <v>1.4</v>
      </c>
      <c r="F18" s="7">
        <v>125.23</v>
      </c>
      <c r="G18" s="4"/>
      <c r="H18" s="131">
        <f>+ROUND(F18+G18*TC,2)</f>
        <v>125.23</v>
      </c>
      <c r="I18" s="131">
        <f>+ROUND(E18*F18,2)</f>
        <v>175.32</v>
      </c>
      <c r="J18" s="124">
        <f>+ROUND(E18*G18,2)</f>
        <v>0</v>
      </c>
      <c r="K18" s="7">
        <f>+ROUND(I18+J18*TC,2)</f>
        <v>175.32</v>
      </c>
      <c r="L18" s="282"/>
    </row>
    <row r="19" spans="2:12" ht="14.1" customHeight="1" outlineLevel="3">
      <c r="B19" s="283">
        <f>B18+0.000001</f>
        <v>5.0101040000000001</v>
      </c>
      <c r="C19" s="284" t="s">
        <v>86</v>
      </c>
      <c r="D19" s="285" t="s">
        <v>82</v>
      </c>
      <c r="E19" s="286">
        <v>0</v>
      </c>
      <c r="F19" s="7">
        <v>206.23</v>
      </c>
      <c r="G19" s="4"/>
      <c r="H19" s="131">
        <f>+ROUND(F19+G19*TC,2)</f>
        <v>206.23</v>
      </c>
      <c r="I19" s="131">
        <f>+ROUND(E19*F19,2)</f>
        <v>0</v>
      </c>
      <c r="J19" s="124">
        <f>+ROUND(E19*G19,2)</f>
        <v>0</v>
      </c>
      <c r="K19" s="7">
        <f>+ROUND(I19+J19*TC,2)</f>
        <v>0</v>
      </c>
      <c r="L19" s="282"/>
    </row>
    <row r="20" spans="2:12" ht="14.1" customHeight="1" outlineLevel="2">
      <c r="B20" s="277">
        <f>B14+0.0001</f>
        <v>5.0101999999999993</v>
      </c>
      <c r="C20" s="278" t="s">
        <v>90</v>
      </c>
      <c r="D20" s="279"/>
      <c r="E20" s="286">
        <v>0</v>
      </c>
      <c r="F20" s="7" t="s">
        <v>27</v>
      </c>
      <c r="G20" s="281"/>
      <c r="H20" s="131"/>
      <c r="I20" s="131"/>
      <c r="J20" s="124"/>
      <c r="K20" s="7"/>
      <c r="L20" s="282"/>
    </row>
    <row r="21" spans="2:12" ht="14.1" customHeight="1" outlineLevel="3">
      <c r="B21" s="283">
        <f>B20+0.000001</f>
        <v>5.0102009999999995</v>
      </c>
      <c r="C21" s="284" t="s">
        <v>91</v>
      </c>
      <c r="D21" s="285" t="s">
        <v>82</v>
      </c>
      <c r="E21" s="286">
        <v>6.71</v>
      </c>
      <c r="F21" s="7">
        <v>113.23</v>
      </c>
      <c r="G21" s="4"/>
      <c r="H21" s="131">
        <f>+ROUND(F21+G21*TC,2)</f>
        <v>113.23</v>
      </c>
      <c r="I21" s="131">
        <f>+ROUND(E21*F21,2)</f>
        <v>759.77</v>
      </c>
      <c r="J21" s="124">
        <f>+ROUND(E21*G21,2)</f>
        <v>0</v>
      </c>
      <c r="K21" s="7">
        <f>+ROUND(I21+J21*TC,2)</f>
        <v>759.77</v>
      </c>
      <c r="L21" s="282"/>
    </row>
    <row r="22" spans="2:12" ht="14.1" customHeight="1" outlineLevel="3">
      <c r="B22" s="283">
        <f>B21+0.000001</f>
        <v>5.0102019999999996</v>
      </c>
      <c r="C22" s="284" t="s">
        <v>92</v>
      </c>
      <c r="D22" s="285" t="s">
        <v>82</v>
      </c>
      <c r="E22" s="286">
        <v>767.55</v>
      </c>
      <c r="F22" s="7">
        <v>120.23</v>
      </c>
      <c r="G22" s="4"/>
      <c r="H22" s="131">
        <f>+ROUND(F22+G22*TC,2)</f>
        <v>120.23</v>
      </c>
      <c r="I22" s="131">
        <f>+ROUND(E22*F22,2)</f>
        <v>92282.54</v>
      </c>
      <c r="J22" s="124">
        <f>+ROUND(E22*G22,2)</f>
        <v>0</v>
      </c>
      <c r="K22" s="7">
        <f>+ROUND(I22+J22*TC,2)</f>
        <v>92282.54</v>
      </c>
      <c r="L22" s="282"/>
    </row>
    <row r="23" spans="2:12" ht="14.1" customHeight="1" outlineLevel="3">
      <c r="B23" s="283">
        <f>B22+0.000001</f>
        <v>5.0102029999999997</v>
      </c>
      <c r="C23" s="284" t="s">
        <v>93</v>
      </c>
      <c r="D23" s="285" t="s">
        <v>82</v>
      </c>
      <c r="E23" s="286">
        <v>60.95</v>
      </c>
      <c r="F23" s="7">
        <v>126.23</v>
      </c>
      <c r="G23" s="4"/>
      <c r="H23" s="131">
        <f>+ROUND(F23+G23*TC,2)</f>
        <v>126.23</v>
      </c>
      <c r="I23" s="131">
        <f>+ROUND(E23*F23,2)</f>
        <v>7693.72</v>
      </c>
      <c r="J23" s="124">
        <f>+ROUND(E23*G23,2)</f>
        <v>0</v>
      </c>
      <c r="K23" s="7">
        <f>+ROUND(I23+J23*TC,2)</f>
        <v>7693.72</v>
      </c>
      <c r="L23" s="282"/>
    </row>
    <row r="24" spans="2:12" ht="14.1" customHeight="1" outlineLevel="3">
      <c r="B24" s="283">
        <f>B23+0.000001</f>
        <v>5.0102039999999999</v>
      </c>
      <c r="C24" s="284" t="s">
        <v>94</v>
      </c>
      <c r="D24" s="285" t="s">
        <v>82</v>
      </c>
      <c r="E24" s="286">
        <v>0</v>
      </c>
      <c r="F24" s="7">
        <v>134.22999999999999</v>
      </c>
      <c r="G24" s="4"/>
      <c r="H24" s="131">
        <f>+ROUND(F24+G24*TC,2)</f>
        <v>134.22999999999999</v>
      </c>
      <c r="I24" s="131">
        <f>+ROUND(E24*F24,2)</f>
        <v>0</v>
      </c>
      <c r="J24" s="124">
        <f>+ROUND(E24*G24,2)</f>
        <v>0</v>
      </c>
      <c r="K24" s="7">
        <f>+ROUND(I24+J24*TC,2)</f>
        <v>0</v>
      </c>
      <c r="L24" s="282"/>
    </row>
    <row r="25" spans="2:12" ht="14.1" customHeight="1" outlineLevel="3">
      <c r="B25" s="283">
        <f>B24+0.000001</f>
        <v>5.010205</v>
      </c>
      <c r="C25" s="284" t="s">
        <v>95</v>
      </c>
      <c r="D25" s="285" t="s">
        <v>82</v>
      </c>
      <c r="E25" s="286">
        <v>0</v>
      </c>
      <c r="F25" s="7">
        <v>224.23</v>
      </c>
      <c r="G25" s="4"/>
      <c r="H25" s="131">
        <f>+ROUND(F25+G25*TC,2)</f>
        <v>224.23</v>
      </c>
      <c r="I25" s="131">
        <f>+ROUND(E25*F25,2)</f>
        <v>0</v>
      </c>
      <c r="J25" s="124">
        <f>+ROUND(E25*G25,2)</f>
        <v>0</v>
      </c>
      <c r="K25" s="7">
        <f>+ROUND(I25+J25*TC,2)</f>
        <v>0</v>
      </c>
      <c r="L25" s="282"/>
    </row>
    <row r="26" spans="2:12" ht="14.1" customHeight="1" outlineLevel="2">
      <c r="B26" s="277">
        <f>B15+0.0001</f>
        <v>5.0102009999999995</v>
      </c>
      <c r="C26" s="278" t="s">
        <v>98</v>
      </c>
      <c r="D26" s="279"/>
      <c r="E26" s="286">
        <v>0</v>
      </c>
      <c r="F26" s="7" t="s">
        <v>27</v>
      </c>
      <c r="G26" s="281"/>
      <c r="H26" s="131"/>
      <c r="I26" s="131"/>
      <c r="J26" s="124"/>
      <c r="K26" s="7"/>
      <c r="L26" s="282"/>
    </row>
    <row r="27" spans="2:12" ht="14.1" customHeight="1" outlineLevel="3">
      <c r="B27" s="283">
        <f>B26+0.000001</f>
        <v>5.0102019999999996</v>
      </c>
      <c r="C27" s="284" t="s">
        <v>99</v>
      </c>
      <c r="D27" s="285" t="s">
        <v>82</v>
      </c>
      <c r="E27" s="286">
        <v>0</v>
      </c>
      <c r="F27" s="7">
        <v>121.23</v>
      </c>
      <c r="G27" s="4"/>
      <c r="H27" s="131">
        <f>+ROUND(F27+G27*TC,2)</f>
        <v>121.23</v>
      </c>
      <c r="I27" s="131">
        <f>+ROUND(E27*F27,2)</f>
        <v>0</v>
      </c>
      <c r="J27" s="124">
        <f>+ROUND(E27*G27,2)</f>
        <v>0</v>
      </c>
      <c r="K27" s="7">
        <f>+ROUND(I27+J27*TC,2)</f>
        <v>0</v>
      </c>
      <c r="L27" s="282"/>
    </row>
    <row r="28" spans="2:12" ht="14.1" customHeight="1" outlineLevel="3">
      <c r="B28" s="283">
        <f>B27+0.000001</f>
        <v>5.0102029999999997</v>
      </c>
      <c r="C28" s="284" t="s">
        <v>100</v>
      </c>
      <c r="D28" s="285" t="s">
        <v>82</v>
      </c>
      <c r="E28" s="286">
        <v>171.05</v>
      </c>
      <c r="F28" s="7">
        <v>117.23</v>
      </c>
      <c r="G28" s="4"/>
      <c r="H28" s="131">
        <f>+ROUND(F28+G28*TC,2)</f>
        <v>117.23</v>
      </c>
      <c r="I28" s="131">
        <f>+ROUND(E28*F28,2)</f>
        <v>20052.189999999999</v>
      </c>
      <c r="J28" s="124">
        <f>+ROUND(E28*G28,2)</f>
        <v>0</v>
      </c>
      <c r="K28" s="7">
        <f>+ROUND(I28+J28*TC,2)</f>
        <v>20052.189999999999</v>
      </c>
      <c r="L28" s="282"/>
    </row>
    <row r="29" spans="2:12" ht="14.1" customHeight="1" outlineLevel="3">
      <c r="B29" s="283">
        <f>B28+0.000001</f>
        <v>5.0102039999999999</v>
      </c>
      <c r="C29" s="284" t="s">
        <v>101</v>
      </c>
      <c r="D29" s="285" t="s">
        <v>82</v>
      </c>
      <c r="E29" s="286">
        <v>0</v>
      </c>
      <c r="F29" s="7">
        <v>125.23</v>
      </c>
      <c r="G29" s="4"/>
      <c r="H29" s="131">
        <f>+ROUND(F29+G29*TC,2)</f>
        <v>125.23</v>
      </c>
      <c r="I29" s="131">
        <f>+ROUND(E29*F29,2)</f>
        <v>0</v>
      </c>
      <c r="J29" s="124">
        <f>+ROUND(E29*G29,2)</f>
        <v>0</v>
      </c>
      <c r="K29" s="7">
        <f>+ROUND(I29+J29*TC,2)</f>
        <v>0</v>
      </c>
      <c r="L29" s="282"/>
    </row>
    <row r="30" spans="2:12" ht="14.1" customHeight="1" outlineLevel="2">
      <c r="B30" s="277">
        <f>B20+0.0001</f>
        <v>5.0102999999999991</v>
      </c>
      <c r="C30" s="278" t="s">
        <v>108</v>
      </c>
      <c r="D30" s="279"/>
      <c r="E30" s="286">
        <v>0</v>
      </c>
      <c r="F30" s="7" t="s">
        <v>27</v>
      </c>
      <c r="G30" s="281"/>
      <c r="H30" s="131"/>
      <c r="I30" s="131"/>
      <c r="J30" s="124"/>
      <c r="K30" s="7"/>
      <c r="L30" s="282"/>
    </row>
    <row r="31" spans="2:12" ht="14.1" customHeight="1" outlineLevel="3">
      <c r="B31" s="283">
        <f>B30+0.000001</f>
        <v>5.0103009999999992</v>
      </c>
      <c r="C31" s="284" t="s">
        <v>110</v>
      </c>
      <c r="D31" s="285" t="s">
        <v>82</v>
      </c>
      <c r="E31" s="286">
        <v>0</v>
      </c>
      <c r="F31" s="7">
        <v>130.22999999999999</v>
      </c>
      <c r="G31" s="4"/>
      <c r="H31" s="131">
        <f>+ROUND(F31+G31*TC,2)</f>
        <v>130.22999999999999</v>
      </c>
      <c r="I31" s="131">
        <f>+ROUND(E31*F31,2)</f>
        <v>0</v>
      </c>
      <c r="J31" s="124">
        <f>+ROUND(E31*G31,2)</f>
        <v>0</v>
      </c>
      <c r="K31" s="7">
        <f>+ROUND(I31+J31*TC,2)</f>
        <v>0</v>
      </c>
      <c r="L31" s="282"/>
    </row>
    <row r="32" spans="2:12" ht="14.1" customHeight="1" outlineLevel="3">
      <c r="B32" s="283">
        <f>B31+0.000001</f>
        <v>5.0103019999999994</v>
      </c>
      <c r="C32" s="284" t="s">
        <v>111</v>
      </c>
      <c r="D32" s="285" t="s">
        <v>82</v>
      </c>
      <c r="E32" s="286">
        <v>407.65</v>
      </c>
      <c r="F32" s="7">
        <v>126.23</v>
      </c>
      <c r="G32" s="4"/>
      <c r="H32" s="131">
        <f>+ROUND(F32+G32*TC,2)</f>
        <v>126.23</v>
      </c>
      <c r="I32" s="131">
        <f>+ROUND(E32*F32,2)</f>
        <v>51457.66</v>
      </c>
      <c r="J32" s="124">
        <f>+ROUND(E32*G32,2)</f>
        <v>0</v>
      </c>
      <c r="K32" s="7">
        <f>+ROUND(I32+J32*TC,2)</f>
        <v>51457.66</v>
      </c>
      <c r="L32" s="282"/>
    </row>
    <row r="33" spans="1:12" ht="14.1" customHeight="1" outlineLevel="3">
      <c r="B33" s="283">
        <f>B32+0.000001</f>
        <v>5.0103029999999995</v>
      </c>
      <c r="C33" s="284" t="s">
        <v>112</v>
      </c>
      <c r="D33" s="285" t="s">
        <v>82</v>
      </c>
      <c r="E33" s="286">
        <v>0</v>
      </c>
      <c r="F33" s="7">
        <v>134.22999999999999</v>
      </c>
      <c r="G33" s="4"/>
      <c r="H33" s="131">
        <f>+ROUND(F33+G33*TC,2)</f>
        <v>134.22999999999999</v>
      </c>
      <c r="I33" s="131">
        <f>+ROUND(E33*F33,2)</f>
        <v>0</v>
      </c>
      <c r="J33" s="124">
        <f>+ROUND(E33*G33,2)</f>
        <v>0</v>
      </c>
      <c r="K33" s="7">
        <f>+ROUND(I33+J33*TC,2)</f>
        <v>0</v>
      </c>
      <c r="L33" s="282"/>
    </row>
    <row r="34" spans="1:12" ht="14.1" customHeight="1" outlineLevel="3">
      <c r="B34" s="283">
        <f>B33+0.000001</f>
        <v>5.0103039999999996</v>
      </c>
      <c r="C34" s="51" t="s">
        <v>1540</v>
      </c>
      <c r="D34" s="285" t="s">
        <v>82</v>
      </c>
      <c r="E34" s="286">
        <v>0</v>
      </c>
      <c r="F34" s="7">
        <v>244.23</v>
      </c>
      <c r="G34" s="4"/>
      <c r="H34" s="131">
        <f>+ROUND(F34+G34*TC,2)</f>
        <v>244.23</v>
      </c>
      <c r="I34" s="131">
        <f>+ROUND(E34*F34,2)</f>
        <v>0</v>
      </c>
      <c r="J34" s="124">
        <f>+ROUND(E34*G34,2)</f>
        <v>0</v>
      </c>
      <c r="K34" s="7">
        <f>+ROUND(I34+J34*TC,2)</f>
        <v>0</v>
      </c>
      <c r="L34" s="282"/>
    </row>
    <row r="35" spans="1:12" ht="14.1" customHeight="1" outlineLevel="2">
      <c r="B35" s="277">
        <f>B30+0.0001</f>
        <v>5.0103999999999989</v>
      </c>
      <c r="C35" s="278" t="s">
        <v>116</v>
      </c>
      <c r="D35" s="279"/>
      <c r="E35" s="286">
        <v>0</v>
      </c>
      <c r="F35" s="7" t="s">
        <v>27</v>
      </c>
      <c r="G35" s="281"/>
      <c r="H35" s="131"/>
      <c r="I35" s="131"/>
      <c r="J35" s="124"/>
      <c r="K35" s="7"/>
      <c r="L35" s="282"/>
    </row>
    <row r="36" spans="1:12" ht="14.1" customHeight="1" outlineLevel="3">
      <c r="B36" s="283">
        <f>B35+0.000001</f>
        <v>5.010400999999999</v>
      </c>
      <c r="C36" s="45" t="s">
        <v>117</v>
      </c>
      <c r="D36" s="285" t="s">
        <v>118</v>
      </c>
      <c r="E36" s="286">
        <v>2801.2949999999996</v>
      </c>
      <c r="F36" s="7">
        <v>0</v>
      </c>
      <c r="G36" s="287">
        <v>0.89</v>
      </c>
      <c r="H36" s="131">
        <f>+ROUND(F36+G36*TC,2)</f>
        <v>2.98</v>
      </c>
      <c r="I36" s="131">
        <f>+ROUND(E36*F36,2)</f>
        <v>0</v>
      </c>
      <c r="J36" s="124">
        <f>+ROUND(E36*G36,2)</f>
        <v>2493.15</v>
      </c>
      <c r="K36" s="7">
        <f>+ROUND(I36+J36*TC,2)</f>
        <v>8352.0499999999993</v>
      </c>
      <c r="L36" s="282"/>
    </row>
    <row r="37" spans="1:12" ht="14.1" customHeight="1" outlineLevel="2">
      <c r="B37" s="277">
        <f>B35+0.0001</f>
        <v>5.0104999999999986</v>
      </c>
      <c r="C37" s="278" t="s">
        <v>119</v>
      </c>
      <c r="D37" s="279"/>
      <c r="E37" s="286">
        <v>0</v>
      </c>
      <c r="F37" s="7" t="s">
        <v>27</v>
      </c>
      <c r="G37" s="287" t="s">
        <v>27</v>
      </c>
      <c r="H37" s="131"/>
      <c r="I37" s="131"/>
      <c r="J37" s="124"/>
      <c r="K37" s="7"/>
      <c r="L37" s="282"/>
    </row>
    <row r="38" spans="1:12" ht="14.1" customHeight="1" outlineLevel="3">
      <c r="B38" s="687">
        <f>B37+0.000001</f>
        <v>5.0105009999999988</v>
      </c>
      <c r="C38" s="149" t="s">
        <v>120</v>
      </c>
      <c r="D38" s="285" t="s">
        <v>121</v>
      </c>
      <c r="E38" s="286">
        <v>50</v>
      </c>
      <c r="F38" s="7">
        <v>125</v>
      </c>
      <c r="G38" s="287">
        <v>0</v>
      </c>
      <c r="H38" s="145">
        <f>+ROUND(F38+G38*TC,2)</f>
        <v>125</v>
      </c>
      <c r="I38" s="145">
        <f>+ROUND(E38*F38,2)</f>
        <v>6250</v>
      </c>
      <c r="J38" s="146">
        <f>+ROUND(E38*G38,2)</f>
        <v>0</v>
      </c>
      <c r="K38" s="7">
        <f>+ROUND(I38+J38*TC,2)</f>
        <v>6250</v>
      </c>
      <c r="L38" s="282"/>
    </row>
    <row r="39" spans="1:12" ht="14.1" customHeight="1" outlineLevel="3">
      <c r="B39" s="687">
        <f>B38+0.000001</f>
        <v>5.0105019999999989</v>
      </c>
      <c r="C39" s="149" t="s">
        <v>122</v>
      </c>
      <c r="D39" s="285" t="s">
        <v>121</v>
      </c>
      <c r="E39" s="286">
        <v>14</v>
      </c>
      <c r="F39" s="7">
        <v>130</v>
      </c>
      <c r="G39" s="287">
        <v>0</v>
      </c>
      <c r="H39" s="145">
        <f>+ROUND(F39+G39*TC,2)</f>
        <v>130</v>
      </c>
      <c r="I39" s="145">
        <f>+ROUND(E39*F39,2)</f>
        <v>1820</v>
      </c>
      <c r="J39" s="146">
        <f>+ROUND(E39*G39,2)</f>
        <v>0</v>
      </c>
      <c r="K39" s="7">
        <f>+ROUND(I39+J39*TC,2)</f>
        <v>1820</v>
      </c>
      <c r="L39" s="282"/>
    </row>
    <row r="40" spans="1:12" ht="14.1" customHeight="1" outlineLevel="2">
      <c r="B40" s="688">
        <f>B37+0.0001</f>
        <v>5.0105999999999984</v>
      </c>
      <c r="C40" s="689" t="s">
        <v>123</v>
      </c>
      <c r="D40" s="279"/>
      <c r="E40" s="286">
        <v>0</v>
      </c>
      <c r="F40" s="7"/>
      <c r="G40" s="287" t="s">
        <v>27</v>
      </c>
      <c r="H40" s="145"/>
      <c r="I40" s="145"/>
      <c r="J40" s="146"/>
      <c r="K40" s="7"/>
      <c r="L40" s="282"/>
    </row>
    <row r="41" spans="1:12" ht="13.15" customHeight="1" outlineLevel="3">
      <c r="B41" s="687">
        <f>B40+0.000001</f>
        <v>5.0106009999999985</v>
      </c>
      <c r="C41" s="150" t="s">
        <v>1541</v>
      </c>
      <c r="D41" s="285" t="s">
        <v>121</v>
      </c>
      <c r="E41" s="286">
        <v>7</v>
      </c>
      <c r="F41" s="288">
        <v>70</v>
      </c>
      <c r="G41" s="287">
        <v>0</v>
      </c>
      <c r="H41" s="145">
        <f>+ROUND(F41+G41*TC,2)</f>
        <v>70</v>
      </c>
      <c r="I41" s="145">
        <f>+ROUND(E41*F41,2)</f>
        <v>490</v>
      </c>
      <c r="J41" s="146">
        <f>+ROUND(E41*G41,2)</f>
        <v>0</v>
      </c>
      <c r="K41" s="7">
        <f>+ROUND(I41+J41*TC,2)</f>
        <v>490</v>
      </c>
      <c r="L41" s="289"/>
    </row>
    <row r="42" spans="1:12" s="291" customFormat="1" ht="14.1" customHeight="1" outlineLevel="1">
      <c r="A42" s="690"/>
      <c r="B42" s="301">
        <f>B13+0.0001</f>
        <v>5.0101999999999993</v>
      </c>
      <c r="C42" s="691" t="s">
        <v>137</v>
      </c>
      <c r="D42" s="290"/>
      <c r="E42" s="286">
        <v>0</v>
      </c>
      <c r="F42" s="288"/>
      <c r="G42" s="287" t="s">
        <v>27</v>
      </c>
      <c r="H42" s="145"/>
      <c r="I42" s="145"/>
      <c r="J42" s="146"/>
      <c r="K42" s="7"/>
      <c r="L42" s="282"/>
    </row>
    <row r="43" spans="1:12" ht="14.1" customHeight="1" outlineLevel="3">
      <c r="A43" s="21"/>
      <c r="B43" s="687">
        <f>B42+0.000001</f>
        <v>5.0102009999999995</v>
      </c>
      <c r="C43" s="149" t="s">
        <v>1542</v>
      </c>
      <c r="D43" s="285" t="s">
        <v>141</v>
      </c>
      <c r="E43" s="286">
        <v>0</v>
      </c>
      <c r="F43" s="288"/>
      <c r="G43" s="287">
        <v>0</v>
      </c>
      <c r="H43" s="145">
        <f>+ROUND(F43+G43*TC,2)</f>
        <v>0</v>
      </c>
      <c r="I43" s="145">
        <f t="shared" ref="I43" si="1">+ROUND(E43*F43,2)</f>
        <v>0</v>
      </c>
      <c r="J43" s="146">
        <f t="shared" ref="J43" si="2">+ROUND(E43*G43,2)</f>
        <v>0</v>
      </c>
      <c r="K43" s="7">
        <f>+ROUND(I43+J43*TC,2)</f>
        <v>0</v>
      </c>
      <c r="L43" s="282"/>
    </row>
    <row r="44" spans="1:12" ht="14.1" customHeight="1" outlineLevel="1">
      <c r="B44" s="270">
        <f>B42+0.0001</f>
        <v>5.0102999999999991</v>
      </c>
      <c r="C44" s="271" t="s">
        <v>147</v>
      </c>
      <c r="D44" s="272"/>
      <c r="E44" s="286">
        <v>0</v>
      </c>
      <c r="F44" s="288"/>
      <c r="G44" s="287" t="s">
        <v>27</v>
      </c>
      <c r="H44" s="131"/>
      <c r="I44" s="131"/>
      <c r="J44" s="124"/>
      <c r="K44" s="7"/>
      <c r="L44" s="276"/>
    </row>
    <row r="45" spans="1:12" ht="14.1" customHeight="1" outlineLevel="1">
      <c r="B45" s="283">
        <f>B44+0.000001</f>
        <v>5.0103009999999992</v>
      </c>
      <c r="C45" s="45" t="s">
        <v>1543</v>
      </c>
      <c r="D45" s="272" t="s">
        <v>82</v>
      </c>
      <c r="E45" s="286">
        <v>4.4219999999999997</v>
      </c>
      <c r="F45" s="288">
        <v>111.23</v>
      </c>
      <c r="G45" s="287">
        <v>0</v>
      </c>
      <c r="H45" s="131">
        <f>+ROUND(F45+G45*TC,2)</f>
        <v>111.23</v>
      </c>
      <c r="I45" s="131">
        <f t="shared" ref="I45:I48" si="3">+ROUND(E45*F45,2)</f>
        <v>491.86</v>
      </c>
      <c r="J45" s="124">
        <f t="shared" ref="J45:J48" si="4">+ROUND(E45*G45,2)</f>
        <v>0</v>
      </c>
      <c r="K45" s="7">
        <f>+ROUND(I45+J45*TC,2)</f>
        <v>491.86</v>
      </c>
      <c r="L45" s="276"/>
    </row>
    <row r="46" spans="1:12" ht="14.1" customHeight="1" outlineLevel="1">
      <c r="B46" s="283">
        <f t="shared" ref="B46:B50" si="5">B45+0.000001</f>
        <v>5.0103019999999994</v>
      </c>
      <c r="C46" s="45" t="s">
        <v>1544</v>
      </c>
      <c r="D46" s="285" t="s">
        <v>141</v>
      </c>
      <c r="E46" s="286">
        <v>0</v>
      </c>
      <c r="F46" s="288"/>
      <c r="G46" s="287">
        <v>0</v>
      </c>
      <c r="H46" s="131">
        <f>+ROUND(F46+G46*TC,2)</f>
        <v>0</v>
      </c>
      <c r="I46" s="131">
        <f t="shared" si="3"/>
        <v>0</v>
      </c>
      <c r="J46" s="124">
        <f t="shared" si="4"/>
        <v>0</v>
      </c>
      <c r="K46" s="7">
        <f>+ROUND(I46+J46*TC,2)</f>
        <v>0</v>
      </c>
      <c r="L46" s="276"/>
    </row>
    <row r="47" spans="1:12" ht="14.1" customHeight="1" outlineLevel="1">
      <c r="B47" s="283">
        <f t="shared" si="5"/>
        <v>5.0103029999999995</v>
      </c>
      <c r="C47" s="45" t="s">
        <v>159</v>
      </c>
      <c r="D47" s="285" t="s">
        <v>141</v>
      </c>
      <c r="E47" s="286">
        <v>6.6999999999999993</v>
      </c>
      <c r="F47" s="7">
        <v>46.97</v>
      </c>
      <c r="G47" s="287">
        <v>0.78</v>
      </c>
      <c r="H47" s="131">
        <f>+ROUND(F47+G47*TC,2)</f>
        <v>49.58</v>
      </c>
      <c r="I47" s="131">
        <f t="shared" si="3"/>
        <v>314.7</v>
      </c>
      <c r="J47" s="124">
        <f t="shared" si="4"/>
        <v>5.23</v>
      </c>
      <c r="K47" s="7">
        <f>+ROUND(I47+J47*TC,2)</f>
        <v>332.22</v>
      </c>
      <c r="L47" s="276"/>
    </row>
    <row r="48" spans="1:12" ht="14.1" customHeight="1" outlineLevel="1">
      <c r="B48" s="283">
        <f t="shared" si="5"/>
        <v>5.0103039999999996</v>
      </c>
      <c r="C48" s="45" t="s">
        <v>1545</v>
      </c>
      <c r="D48" s="285" t="s">
        <v>141</v>
      </c>
      <c r="E48" s="286">
        <v>0</v>
      </c>
      <c r="F48" s="288"/>
      <c r="G48" s="287">
        <v>0.18</v>
      </c>
      <c r="H48" s="131">
        <f>+ROUND(F48+G48*TC,2)</f>
        <v>0.6</v>
      </c>
      <c r="I48" s="131">
        <f t="shared" si="3"/>
        <v>0</v>
      </c>
      <c r="J48" s="124">
        <f t="shared" si="4"/>
        <v>0</v>
      </c>
      <c r="K48" s="7">
        <f>+ROUND(I48+J48*TC,2)</f>
        <v>0</v>
      </c>
      <c r="L48" s="276"/>
    </row>
    <row r="49" spans="2:12" ht="14.1" customHeight="1" outlineLevel="1">
      <c r="B49" s="270">
        <f>B47+0.0001</f>
        <v>5.0104029999999993</v>
      </c>
      <c r="C49" s="271" t="s">
        <v>1546</v>
      </c>
      <c r="D49" s="272"/>
      <c r="E49" s="286">
        <v>0</v>
      </c>
      <c r="F49" s="288">
        <v>70</v>
      </c>
      <c r="G49" s="287" t="s">
        <v>27</v>
      </c>
      <c r="H49" s="131"/>
      <c r="I49" s="131"/>
      <c r="J49" s="124"/>
      <c r="K49" s="7"/>
      <c r="L49" s="276"/>
    </row>
    <row r="50" spans="2:12" ht="14.1" customHeight="1" outlineLevel="1">
      <c r="B50" s="283">
        <f t="shared" si="5"/>
        <v>5.0104039999999994</v>
      </c>
      <c r="C50" s="45" t="s">
        <v>1547</v>
      </c>
      <c r="D50" s="285" t="s">
        <v>141</v>
      </c>
      <c r="E50" s="286">
        <v>1.6</v>
      </c>
      <c r="F50" s="7">
        <v>367.94</v>
      </c>
      <c r="G50" s="287">
        <v>8.5399999999999991</v>
      </c>
      <c r="H50" s="131">
        <f>+ROUND(F50+G50*TC,2)</f>
        <v>396.55</v>
      </c>
      <c r="I50" s="131">
        <f t="shared" ref="I50" si="6">+ROUND(E50*F50,2)</f>
        <v>588.70000000000005</v>
      </c>
      <c r="J50" s="124">
        <f t="shared" ref="J50" si="7">+ROUND(E50*G50,2)</f>
        <v>13.66</v>
      </c>
      <c r="K50" s="7">
        <f>+ROUND(I50+J50*TC,2)</f>
        <v>634.46</v>
      </c>
      <c r="L50" s="276"/>
    </row>
    <row r="51" spans="2:12" ht="14.1" customHeight="1" outlineLevel="1">
      <c r="B51" s="283" t="e">
        <f>#REF!+0.000001</f>
        <v>#REF!</v>
      </c>
      <c r="C51" s="45" t="s">
        <v>1548</v>
      </c>
      <c r="D51" s="285" t="s">
        <v>141</v>
      </c>
      <c r="E51" s="286">
        <v>3.62</v>
      </c>
      <c r="F51" s="7">
        <v>420.18</v>
      </c>
      <c r="G51" s="287">
        <v>141.08000000000001</v>
      </c>
      <c r="H51" s="131">
        <f>+ROUND(F51+G51*TC,2)</f>
        <v>892.8</v>
      </c>
      <c r="I51" s="131">
        <f t="shared" ref="I51" si="8">+ROUND(E51*F51,2)</f>
        <v>1521.05</v>
      </c>
      <c r="J51" s="124">
        <f t="shared" ref="J51" si="9">+ROUND(E51*G51,2)</f>
        <v>510.71</v>
      </c>
      <c r="K51" s="7">
        <f>+ROUND(I51+J51*TC,2)</f>
        <v>3231.93</v>
      </c>
      <c r="L51" s="276"/>
    </row>
    <row r="52" spans="2:12" ht="14.1" customHeight="1">
      <c r="B52" s="292">
        <f>B12+0.01</f>
        <v>5.0199999999999996</v>
      </c>
      <c r="C52" s="293" t="s">
        <v>1549</v>
      </c>
      <c r="D52" s="294"/>
      <c r="E52" s="286">
        <v>0</v>
      </c>
      <c r="F52" s="265"/>
      <c r="G52" s="295"/>
      <c r="H52" s="131"/>
      <c r="I52" s="131"/>
      <c r="J52" s="124"/>
      <c r="K52" s="7"/>
      <c r="L52" s="296">
        <f>SUM(I52:I59)+SUM(J52:J59)*TC</f>
        <v>143104.25</v>
      </c>
    </row>
    <row r="53" spans="2:12" ht="14.1" customHeight="1" outlineLevel="1">
      <c r="B53" s="297">
        <f t="shared" ref="B53:B59" si="10">B52+0.0001</f>
        <v>5.0200999999999993</v>
      </c>
      <c r="C53" s="284" t="s">
        <v>1550</v>
      </c>
      <c r="D53" s="285" t="s">
        <v>82</v>
      </c>
      <c r="E53" s="286">
        <v>2791.047</v>
      </c>
      <c r="F53" s="7">
        <v>17.62</v>
      </c>
      <c r="G53" s="4"/>
      <c r="H53" s="131">
        <f t="shared" ref="H53:H59" si="11">+ROUND(F53+G53*TC,2)</f>
        <v>17.62</v>
      </c>
      <c r="I53" s="131">
        <f t="shared" ref="I53:I59" si="12">+ROUND(E53*F53,2)</f>
        <v>49178.25</v>
      </c>
      <c r="J53" s="124">
        <f t="shared" ref="J53:J59" si="13">+ROUND(E53*G53,2)</f>
        <v>0</v>
      </c>
      <c r="K53" s="7">
        <f t="shared" ref="K53:K59" si="14">+ROUND(I53+J53*TC,2)</f>
        <v>49178.25</v>
      </c>
      <c r="L53" s="282"/>
    </row>
    <row r="54" spans="2:12" ht="14.1" customHeight="1" outlineLevel="1">
      <c r="B54" s="298">
        <f t="shared" si="10"/>
        <v>5.0201999999999991</v>
      </c>
      <c r="C54" s="149" t="s">
        <v>1551</v>
      </c>
      <c r="D54" s="285" t="s">
        <v>82</v>
      </c>
      <c r="E54" s="286">
        <v>2305.5078999999996</v>
      </c>
      <c r="F54" s="7">
        <v>17.23</v>
      </c>
      <c r="G54" s="4"/>
      <c r="H54" s="145">
        <f t="shared" si="11"/>
        <v>17.23</v>
      </c>
      <c r="I54" s="145">
        <f t="shared" si="12"/>
        <v>39723.9</v>
      </c>
      <c r="J54" s="146">
        <f t="shared" si="13"/>
        <v>0</v>
      </c>
      <c r="K54" s="7">
        <f t="shared" si="14"/>
        <v>39723.9</v>
      </c>
      <c r="L54" s="282"/>
    </row>
    <row r="55" spans="2:12" ht="14.1" customHeight="1" outlineLevel="1">
      <c r="B55" s="298">
        <f t="shared" si="10"/>
        <v>5.0202999999999989</v>
      </c>
      <c r="C55" s="45" t="s">
        <v>1552</v>
      </c>
      <c r="D55" s="285" t="s">
        <v>82</v>
      </c>
      <c r="E55" s="286">
        <v>291.62549999999999</v>
      </c>
      <c r="F55" s="7">
        <v>17.23</v>
      </c>
      <c r="G55" s="4"/>
      <c r="H55" s="145">
        <f t="shared" ref="H55" si="15">+ROUND(F55+G55*TC,2)</f>
        <v>17.23</v>
      </c>
      <c r="I55" s="145">
        <f t="shared" ref="I55" si="16">+ROUND(E55*F55,2)</f>
        <v>5024.71</v>
      </c>
      <c r="J55" s="146">
        <f t="shared" ref="J55" si="17">+ROUND(E55*G55,2)</f>
        <v>0</v>
      </c>
      <c r="K55" s="7">
        <f t="shared" ref="K55" si="18">+ROUND(I55+J55*TC,2)</f>
        <v>5024.71</v>
      </c>
      <c r="L55" s="282"/>
    </row>
    <row r="56" spans="2:12" ht="14.1" customHeight="1" outlineLevel="1">
      <c r="B56" s="298">
        <f>B54+0.0001</f>
        <v>5.0202999999999989</v>
      </c>
      <c r="C56" s="149" t="s">
        <v>177</v>
      </c>
      <c r="D56" s="285" t="s">
        <v>82</v>
      </c>
      <c r="E56" s="286">
        <v>372.35899999999992</v>
      </c>
      <c r="F56" s="7">
        <v>25.51</v>
      </c>
      <c r="G56" s="4"/>
      <c r="H56" s="145">
        <f t="shared" si="11"/>
        <v>25.51</v>
      </c>
      <c r="I56" s="145">
        <f t="shared" si="12"/>
        <v>9498.8799999999992</v>
      </c>
      <c r="J56" s="146">
        <f t="shared" si="13"/>
        <v>0</v>
      </c>
      <c r="K56" s="7">
        <f t="shared" si="14"/>
        <v>9498.8799999999992</v>
      </c>
      <c r="L56" s="282"/>
    </row>
    <row r="57" spans="2:12" ht="14.1" customHeight="1" outlineLevel="1">
      <c r="B57" s="298">
        <f t="shared" si="10"/>
        <v>5.0203999999999986</v>
      </c>
      <c r="C57" s="149" t="s">
        <v>181</v>
      </c>
      <c r="D57" s="285" t="s">
        <v>82</v>
      </c>
      <c r="E57" s="286">
        <v>646.39679999999998</v>
      </c>
      <c r="F57" s="7">
        <v>9.17</v>
      </c>
      <c r="G57" s="4"/>
      <c r="H57" s="145">
        <f t="shared" si="11"/>
        <v>9.17</v>
      </c>
      <c r="I57" s="145">
        <f t="shared" si="12"/>
        <v>5927.46</v>
      </c>
      <c r="J57" s="146">
        <f t="shared" si="13"/>
        <v>0</v>
      </c>
      <c r="K57" s="7">
        <f t="shared" si="14"/>
        <v>5927.46</v>
      </c>
      <c r="L57" s="282"/>
    </row>
    <row r="58" spans="2:12" ht="14.1" customHeight="1" outlineLevel="1">
      <c r="B58" s="298">
        <f t="shared" si="10"/>
        <v>5.0204999999999984</v>
      </c>
      <c r="C58" s="149" t="s">
        <v>178</v>
      </c>
      <c r="D58" s="285" t="s">
        <v>82</v>
      </c>
      <c r="E58" s="286">
        <v>263.10000000000002</v>
      </c>
      <c r="F58" s="7">
        <v>17.579999999999998</v>
      </c>
      <c r="G58" s="4"/>
      <c r="H58" s="145">
        <f t="shared" si="11"/>
        <v>17.579999999999998</v>
      </c>
      <c r="I58" s="145">
        <f t="shared" si="12"/>
        <v>4625.3</v>
      </c>
      <c r="J58" s="146">
        <f t="shared" si="13"/>
        <v>0</v>
      </c>
      <c r="K58" s="7">
        <f t="shared" si="14"/>
        <v>4625.3</v>
      </c>
      <c r="L58" s="282"/>
    </row>
    <row r="59" spans="2:12" outlineLevel="1">
      <c r="B59" s="298">
        <f t="shared" si="10"/>
        <v>5.0205999999999982</v>
      </c>
      <c r="C59" s="149" t="s">
        <v>1553</v>
      </c>
      <c r="D59" s="285" t="s">
        <v>82</v>
      </c>
      <c r="E59" s="286">
        <v>529.55900000000008</v>
      </c>
      <c r="F59" s="7">
        <v>55</v>
      </c>
      <c r="G59" s="4"/>
      <c r="H59" s="145">
        <f t="shared" si="11"/>
        <v>55</v>
      </c>
      <c r="I59" s="145">
        <f t="shared" si="12"/>
        <v>29125.75</v>
      </c>
      <c r="J59" s="146">
        <f t="shared" si="13"/>
        <v>0</v>
      </c>
      <c r="K59" s="7">
        <f t="shared" si="14"/>
        <v>29125.75</v>
      </c>
      <c r="L59" s="289"/>
    </row>
    <row r="60" spans="2:12" ht="14.1" customHeight="1">
      <c r="B60" s="292">
        <f>B52+0.01</f>
        <v>5.0299999999999994</v>
      </c>
      <c r="C60" s="293" t="s">
        <v>1554</v>
      </c>
      <c r="D60" s="294"/>
      <c r="E60" s="286">
        <v>0</v>
      </c>
      <c r="F60" s="265"/>
      <c r="G60" s="295"/>
      <c r="H60" s="131"/>
      <c r="I60" s="131"/>
      <c r="J60" s="124"/>
      <c r="K60" s="7"/>
      <c r="L60" s="296">
        <f>SUM(I60:I65)+SUM(J60:J65)*TC</f>
        <v>108345.45000000001</v>
      </c>
    </row>
    <row r="61" spans="2:12" ht="14.1" customHeight="1" outlineLevel="1">
      <c r="B61" s="298">
        <f>B60+0.0001</f>
        <v>5.0300999999999991</v>
      </c>
      <c r="C61" s="45" t="s">
        <v>1555</v>
      </c>
      <c r="D61" s="285" t="s">
        <v>82</v>
      </c>
      <c r="E61" s="286">
        <v>7024.616</v>
      </c>
      <c r="F61" s="7">
        <v>4.0999999999999996</v>
      </c>
      <c r="G61" s="4"/>
      <c r="H61" s="145">
        <f>+ROUND(F61+G61*TC,2)</f>
        <v>4.0999999999999996</v>
      </c>
      <c r="I61" s="145">
        <f>+ROUND(E61*F61,2)</f>
        <v>28800.93</v>
      </c>
      <c r="J61" s="146">
        <f>+ROUND(E61*G61,2)</f>
        <v>0</v>
      </c>
      <c r="K61" s="7">
        <f>+ROUND(I61+J61*TC,2)</f>
        <v>28800.93</v>
      </c>
      <c r="L61" s="282"/>
    </row>
    <row r="62" spans="2:12" ht="24.6" customHeight="1" outlineLevel="1">
      <c r="B62" s="298"/>
      <c r="C62" s="45" t="s">
        <v>1556</v>
      </c>
      <c r="D62" s="285" t="s">
        <v>82</v>
      </c>
      <c r="E62" s="286">
        <v>898.36049999999989</v>
      </c>
      <c r="F62" s="7">
        <v>17.489999999999998</v>
      </c>
      <c r="G62" s="4"/>
      <c r="H62" s="145">
        <f>+ROUND(F62+G62*TC,2)</f>
        <v>17.489999999999998</v>
      </c>
      <c r="I62" s="145">
        <f>+ROUND(E62*F62,2)</f>
        <v>15712.33</v>
      </c>
      <c r="J62" s="146">
        <f>+ROUND(E62*G62,2)</f>
        <v>0</v>
      </c>
      <c r="K62" s="7">
        <f>+ROUND(I62+J62*TC,2)</f>
        <v>15712.33</v>
      </c>
      <c r="L62" s="282"/>
    </row>
    <row r="63" spans="2:12" ht="14.1" customHeight="1" outlineLevel="1">
      <c r="B63" s="297">
        <f>B61+0.0001</f>
        <v>5.0301999999999989</v>
      </c>
      <c r="C63" s="149" t="s">
        <v>1557</v>
      </c>
      <c r="D63" s="285" t="s">
        <v>82</v>
      </c>
      <c r="E63" s="286">
        <v>1646.7165745920424</v>
      </c>
      <c r="F63" s="7">
        <v>23.98</v>
      </c>
      <c r="G63" s="4"/>
      <c r="H63" s="131">
        <f>+ROUND(F63+G63*TC,2)</f>
        <v>23.98</v>
      </c>
      <c r="I63" s="131">
        <f>+ROUND(E63*F63,2)</f>
        <v>39488.26</v>
      </c>
      <c r="J63" s="124">
        <f>+ROUND(E63*G63,2)</f>
        <v>0</v>
      </c>
      <c r="K63" s="7">
        <f>+ROUND(I63+J63*TC,2)</f>
        <v>39488.26</v>
      </c>
      <c r="L63" s="282"/>
    </row>
    <row r="64" spans="2:12" ht="25.9" customHeight="1" outlineLevel="1">
      <c r="B64" s="297">
        <f>B63+0.0001</f>
        <v>5.0302999999999987</v>
      </c>
      <c r="C64" s="45" t="s">
        <v>1558</v>
      </c>
      <c r="D64" s="285" t="s">
        <v>82</v>
      </c>
      <c r="E64" s="286">
        <v>370.63447797766275</v>
      </c>
      <c r="F64" s="7">
        <v>28.42</v>
      </c>
      <c r="G64" s="4"/>
      <c r="H64" s="131">
        <f>+ROUND(F64+G64*TC,2)</f>
        <v>28.42</v>
      </c>
      <c r="I64" s="131">
        <f>+ROUND(E64*F64,2)</f>
        <v>10533.43</v>
      </c>
      <c r="J64" s="124">
        <f>+ROUND(E64*G64,2)</f>
        <v>0</v>
      </c>
      <c r="K64" s="7">
        <f>+ROUND(I64+J64*TC,2)</f>
        <v>10533.43</v>
      </c>
      <c r="L64" s="282"/>
    </row>
    <row r="65" spans="2:12" outlineLevel="1">
      <c r="B65" s="298">
        <f>B63+0.0001</f>
        <v>5.0302999999999987</v>
      </c>
      <c r="C65" s="149" t="s">
        <v>1553</v>
      </c>
      <c r="D65" s="285" t="s">
        <v>82</v>
      </c>
      <c r="E65" s="286">
        <v>251.1</v>
      </c>
      <c r="F65" s="7">
        <v>55</v>
      </c>
      <c r="G65" s="4"/>
      <c r="H65" s="145">
        <f t="shared" ref="H65" si="19">+ROUND(F65+G65*TC,2)</f>
        <v>55</v>
      </c>
      <c r="I65" s="145">
        <f t="shared" ref="I65" si="20">+ROUND(E65*F65,2)</f>
        <v>13810.5</v>
      </c>
      <c r="J65" s="146">
        <f t="shared" ref="J65" si="21">+ROUND(E65*G65,2)</f>
        <v>0</v>
      </c>
      <c r="K65" s="7">
        <f t="shared" ref="K65" si="22">+ROUND(I65+J65*TC,2)</f>
        <v>13810.5</v>
      </c>
      <c r="L65" s="289"/>
    </row>
    <row r="66" spans="2:12" ht="14.1" customHeight="1">
      <c r="B66" s="292">
        <f>B57+0.01</f>
        <v>5.0303999999999984</v>
      </c>
      <c r="C66" s="299" t="s">
        <v>234</v>
      </c>
      <c r="D66" s="294"/>
      <c r="E66" s="286">
        <v>0</v>
      </c>
      <c r="F66" s="265"/>
      <c r="G66" s="295"/>
      <c r="H66" s="131"/>
      <c r="I66" s="131"/>
      <c r="J66" s="124"/>
      <c r="K66" s="7"/>
      <c r="L66" s="296">
        <f>SUM(I66:I68)+SUM(J66:J68)*TC</f>
        <v>0</v>
      </c>
    </row>
    <row r="67" spans="2:12" ht="14.1" customHeight="1" outlineLevel="1">
      <c r="B67" s="297">
        <f>B66+0.0001</f>
        <v>5.0304999999999982</v>
      </c>
      <c r="C67" s="149" t="s">
        <v>1559</v>
      </c>
      <c r="D67" s="285" t="s">
        <v>82</v>
      </c>
      <c r="E67" s="286">
        <v>0</v>
      </c>
      <c r="F67" s="7">
        <v>105</v>
      </c>
      <c r="G67" s="4"/>
      <c r="H67" s="131">
        <f>+ROUND(F67+G67*TC,2)</f>
        <v>105</v>
      </c>
      <c r="I67" s="131">
        <f>+ROUND(E67*F67,2)</f>
        <v>0</v>
      </c>
      <c r="J67" s="124">
        <f>+ROUND(E67*G67,2)</f>
        <v>0</v>
      </c>
      <c r="K67" s="7">
        <f>+ROUND(I67+J67*TC,2)</f>
        <v>0</v>
      </c>
      <c r="L67" s="282"/>
    </row>
    <row r="68" spans="2:12" ht="14.1" customHeight="1">
      <c r="B68" s="292">
        <f>B60+0.01</f>
        <v>5.0399999999999991</v>
      </c>
      <c r="C68" s="293" t="s">
        <v>256</v>
      </c>
      <c r="D68" s="294"/>
      <c r="E68" s="286">
        <v>0</v>
      </c>
      <c r="F68" s="265"/>
      <c r="G68" s="295"/>
      <c r="H68" s="131"/>
      <c r="I68" s="131"/>
      <c r="J68" s="124"/>
      <c r="K68" s="7"/>
      <c r="L68" s="296">
        <f>SUM(I68:I92)+SUM(J68:J92)*TC</f>
        <v>276765.99000000005</v>
      </c>
    </row>
    <row r="69" spans="2:12" ht="14.1" customHeight="1" outlineLevel="1">
      <c r="B69" s="270"/>
      <c r="C69" s="300" t="s">
        <v>257</v>
      </c>
      <c r="D69" s="285"/>
      <c r="E69" s="286">
        <v>0</v>
      </c>
      <c r="F69" s="7"/>
      <c r="G69" s="287"/>
      <c r="H69" s="131"/>
      <c r="I69" s="131"/>
      <c r="J69" s="124"/>
      <c r="K69" s="7"/>
      <c r="L69" s="289"/>
    </row>
    <row r="70" spans="2:12" ht="14.1" customHeight="1" outlineLevel="1">
      <c r="B70" s="301"/>
      <c r="C70" s="45" t="s">
        <v>258</v>
      </c>
      <c r="D70" s="285" t="s">
        <v>82</v>
      </c>
      <c r="E70" s="286">
        <v>126.08000000000001</v>
      </c>
      <c r="F70" s="7">
        <v>22.49</v>
      </c>
      <c r="G70" s="4"/>
      <c r="H70" s="145">
        <f>+ROUND(F70+G70*TC,2)</f>
        <v>22.49</v>
      </c>
      <c r="I70" s="145">
        <f>+ROUND(E70*F70,2)</f>
        <v>2835.54</v>
      </c>
      <c r="J70" s="146">
        <f>+ROUND(E70*G70,2)</f>
        <v>0</v>
      </c>
      <c r="K70" s="7">
        <f>+ROUND(I70+J70*TC,2)</f>
        <v>2835.54</v>
      </c>
      <c r="L70" s="289"/>
    </row>
    <row r="71" spans="2:12" ht="14.1" customHeight="1" outlineLevel="1">
      <c r="B71" s="301">
        <f>B68+0.0001</f>
        <v>5.0400999999999989</v>
      </c>
      <c r="C71" s="692" t="s">
        <v>1560</v>
      </c>
      <c r="D71" s="285"/>
      <c r="E71" s="286">
        <v>0</v>
      </c>
      <c r="F71" s="7"/>
      <c r="G71" s="287"/>
      <c r="H71" s="145">
        <f>+ROUND(F71+G71*TC,2)</f>
        <v>0</v>
      </c>
      <c r="I71" s="145">
        <f t="shared" ref="I71" si="23">+ROUND(E71*F71,2)</f>
        <v>0</v>
      </c>
      <c r="J71" s="146">
        <f t="shared" ref="J71" si="24">+ROUND(E71*G71,2)</f>
        <v>0</v>
      </c>
      <c r="K71" s="7">
        <f>+ROUND(I71+J71*TC,2)</f>
        <v>0</v>
      </c>
      <c r="L71" s="289"/>
    </row>
    <row r="72" spans="2:12" ht="14.1" customHeight="1" outlineLevel="3">
      <c r="B72" s="687">
        <f>B71+0.000001</f>
        <v>5.0401009999999991</v>
      </c>
      <c r="C72" s="149" t="s">
        <v>279</v>
      </c>
      <c r="D72" s="285" t="s">
        <v>82</v>
      </c>
      <c r="E72" s="286">
        <v>34.200000000000003</v>
      </c>
      <c r="F72" s="7">
        <v>46.92</v>
      </c>
      <c r="G72" s="4"/>
      <c r="H72" s="145">
        <f>+ROUND(F72+G72*TC,2)</f>
        <v>46.92</v>
      </c>
      <c r="I72" s="145">
        <f>+ROUND(E72*F72,2)</f>
        <v>1604.66</v>
      </c>
      <c r="J72" s="146">
        <f>+ROUND(E72*G72,2)</f>
        <v>0</v>
      </c>
      <c r="K72" s="7">
        <f>+ROUND(I72+J72*TC,2)</f>
        <v>1604.66</v>
      </c>
      <c r="L72" s="276"/>
    </row>
    <row r="73" spans="2:12" ht="14.1" customHeight="1" outlineLevel="1">
      <c r="B73" s="301">
        <f>B71+0.0001</f>
        <v>5.0401999999999987</v>
      </c>
      <c r="C73" s="692" t="s">
        <v>1561</v>
      </c>
      <c r="D73" s="285"/>
      <c r="E73" s="286">
        <v>0</v>
      </c>
      <c r="F73" s="7"/>
      <c r="G73" s="287"/>
      <c r="H73" s="145"/>
      <c r="I73" s="145"/>
      <c r="J73" s="146"/>
      <c r="K73" s="7"/>
      <c r="L73" s="289"/>
    </row>
    <row r="74" spans="2:12" ht="14.1" customHeight="1" outlineLevel="3">
      <c r="B74" s="687">
        <f>B73+0.000001</f>
        <v>5.0402009999999988</v>
      </c>
      <c r="C74" s="43" t="s">
        <v>1562</v>
      </c>
      <c r="D74" s="285" t="s">
        <v>82</v>
      </c>
      <c r="E74" s="286">
        <v>95.980000000000018</v>
      </c>
      <c r="F74" s="7">
        <v>72.34</v>
      </c>
      <c r="G74" s="4"/>
      <c r="H74" s="145">
        <f>+ROUND(F74+G74*TC,2)</f>
        <v>72.34</v>
      </c>
      <c r="I74" s="145">
        <f>+ROUND(E74*F74,2)</f>
        <v>6943.19</v>
      </c>
      <c r="J74" s="146">
        <f>+ROUND(E74*G74,2)</f>
        <v>0</v>
      </c>
      <c r="K74" s="7">
        <f>+ROUND(I74+J74*TC,2)</f>
        <v>6943.19</v>
      </c>
      <c r="L74" s="276"/>
    </row>
    <row r="75" spans="2:12" ht="14.1" customHeight="1" outlineLevel="1">
      <c r="B75" s="301">
        <f>B73+0.0001</f>
        <v>5.0402999999999984</v>
      </c>
      <c r="C75" s="692" t="s">
        <v>1563</v>
      </c>
      <c r="D75" s="285"/>
      <c r="E75" s="286">
        <v>0</v>
      </c>
      <c r="F75" s="7" t="s">
        <v>27</v>
      </c>
      <c r="G75" s="287"/>
      <c r="H75" s="145"/>
      <c r="I75" s="145"/>
      <c r="J75" s="146"/>
      <c r="K75" s="7"/>
      <c r="L75" s="289"/>
    </row>
    <row r="76" spans="2:12" ht="14.1" customHeight="1" outlineLevel="3">
      <c r="B76" s="687">
        <f>B75+0.000001</f>
        <v>5.0403009999999986</v>
      </c>
      <c r="C76" s="45" t="s">
        <v>1564</v>
      </c>
      <c r="D76" s="285" t="s">
        <v>82</v>
      </c>
      <c r="E76" s="286">
        <v>531.08999999999992</v>
      </c>
      <c r="F76" s="7">
        <v>45.02</v>
      </c>
      <c r="G76" s="4"/>
      <c r="H76" s="145">
        <f>+ROUND(F76+G76*TC,2)</f>
        <v>45.02</v>
      </c>
      <c r="I76" s="145">
        <f>+ROUND(E76*F76,2)</f>
        <v>23909.67</v>
      </c>
      <c r="J76" s="146">
        <f>+ROUND(E76*G76,2)</f>
        <v>0</v>
      </c>
      <c r="K76" s="7">
        <f>+ROUND(I76+J76*TC,2)</f>
        <v>23909.67</v>
      </c>
      <c r="L76" s="276"/>
    </row>
    <row r="77" spans="2:12" ht="14.1" customHeight="1" outlineLevel="1">
      <c r="B77" s="301">
        <f>B75+0.0001</f>
        <v>5.0403999999999982</v>
      </c>
      <c r="C77" s="692" t="s">
        <v>1565</v>
      </c>
      <c r="D77" s="285"/>
      <c r="E77" s="286">
        <v>0</v>
      </c>
      <c r="F77" s="7" t="s">
        <v>27</v>
      </c>
      <c r="G77" s="287"/>
      <c r="H77" s="145"/>
      <c r="I77" s="145"/>
      <c r="J77" s="146"/>
      <c r="K77" s="7"/>
      <c r="L77" s="289"/>
    </row>
    <row r="78" spans="2:12" ht="14.1" customHeight="1" outlineLevel="2">
      <c r="B78" s="687">
        <f>B77+0.000001</f>
        <v>5.0404009999999984</v>
      </c>
      <c r="C78" s="45" t="s">
        <v>276</v>
      </c>
      <c r="D78" s="285" t="s">
        <v>82</v>
      </c>
      <c r="E78" s="286">
        <v>3666.4299999999994</v>
      </c>
      <c r="F78" s="7">
        <v>15.65</v>
      </c>
      <c r="G78" s="4"/>
      <c r="H78" s="145">
        <f>+ROUND(F78+G78*TC,2)</f>
        <v>15.65</v>
      </c>
      <c r="I78" s="145">
        <f>+ROUND(E78*F78,2)</f>
        <v>57379.63</v>
      </c>
      <c r="J78" s="146">
        <f>+ROUND(E78*G78,2)</f>
        <v>0</v>
      </c>
      <c r="K78" s="7">
        <f>+ROUND(I78+J78*TC,2)</f>
        <v>57379.63</v>
      </c>
      <c r="L78" s="282"/>
    </row>
    <row r="79" spans="2:12" ht="14.1" customHeight="1" outlineLevel="1">
      <c r="B79" s="301">
        <f>B77+0.0001</f>
        <v>5.040499999999998</v>
      </c>
      <c r="C79" s="692" t="s">
        <v>1566</v>
      </c>
      <c r="D79" s="285"/>
      <c r="E79" s="286">
        <v>0</v>
      </c>
      <c r="F79" s="7" t="s">
        <v>27</v>
      </c>
      <c r="G79" s="287"/>
      <c r="H79" s="145"/>
      <c r="I79" s="145"/>
      <c r="J79" s="146"/>
      <c r="K79" s="7"/>
      <c r="L79" s="289"/>
    </row>
    <row r="80" spans="2:12" ht="14.1" customHeight="1" outlineLevel="3">
      <c r="B80" s="687">
        <f>B79+0.000001</f>
        <v>5.0405009999999981</v>
      </c>
      <c r="C80" s="149" t="s">
        <v>279</v>
      </c>
      <c r="D80" s="285" t="s">
        <v>82</v>
      </c>
      <c r="E80" s="286">
        <v>50.03</v>
      </c>
      <c r="F80" s="7">
        <v>46.92</v>
      </c>
      <c r="G80" s="4"/>
      <c r="H80" s="145">
        <f>+ROUND(F80+G80*TC,2)</f>
        <v>46.92</v>
      </c>
      <c r="I80" s="145">
        <f>+ROUND(E80*F80,2)</f>
        <v>2347.41</v>
      </c>
      <c r="J80" s="146">
        <f>+ROUND(E80*G80,2)</f>
        <v>0</v>
      </c>
      <c r="K80" s="7">
        <f>+ROUND(I80+J80*TC,2)</f>
        <v>2347.41</v>
      </c>
      <c r="L80" s="276"/>
    </row>
    <row r="81" spans="2:12" ht="14.1" customHeight="1" outlineLevel="1">
      <c r="B81" s="301">
        <f>B79+0.0001</f>
        <v>5.0405999999999977</v>
      </c>
      <c r="C81" s="692" t="s">
        <v>1567</v>
      </c>
      <c r="D81" s="285"/>
      <c r="E81" s="286">
        <v>0</v>
      </c>
      <c r="F81" s="7" t="s">
        <v>27</v>
      </c>
      <c r="G81" s="287"/>
      <c r="H81" s="145"/>
      <c r="I81" s="145"/>
      <c r="J81" s="146"/>
      <c r="K81" s="7"/>
      <c r="L81" s="289"/>
    </row>
    <row r="82" spans="2:12" ht="14.1" customHeight="1" outlineLevel="2">
      <c r="B82" s="687">
        <f>B81+0.000001</f>
        <v>5.0406009999999979</v>
      </c>
      <c r="C82" s="149" t="s">
        <v>1568</v>
      </c>
      <c r="D82" s="285" t="s">
        <v>82</v>
      </c>
      <c r="E82" s="286">
        <v>138.32</v>
      </c>
      <c r="F82" s="7">
        <v>15.34</v>
      </c>
      <c r="G82" s="4"/>
      <c r="H82" s="145">
        <f>+ROUND(F82+G82*TC,2)</f>
        <v>15.34</v>
      </c>
      <c r="I82" s="145">
        <f>+ROUND(E82*F82,2)</f>
        <v>2121.83</v>
      </c>
      <c r="J82" s="146">
        <f>+ROUND(E82*G82,2)</f>
        <v>0</v>
      </c>
      <c r="K82" s="7">
        <f>+ROUND(I82+J82*TC,2)</f>
        <v>2121.83</v>
      </c>
      <c r="L82" s="282"/>
    </row>
    <row r="83" spans="2:12" ht="14.1" customHeight="1" outlineLevel="1">
      <c r="B83" s="301">
        <f t="shared" ref="B83" si="25">B81+0.0001</f>
        <v>5.0406999999999975</v>
      </c>
      <c r="C83" s="692" t="s">
        <v>1569</v>
      </c>
      <c r="D83" s="285"/>
      <c r="E83" s="286">
        <v>0</v>
      </c>
      <c r="F83" s="7" t="s">
        <v>27</v>
      </c>
      <c r="G83" s="287"/>
      <c r="H83" s="145"/>
      <c r="I83" s="145"/>
      <c r="J83" s="146"/>
      <c r="K83" s="7"/>
      <c r="L83" s="289"/>
    </row>
    <row r="84" spans="2:12" ht="14.1" customHeight="1" outlineLevel="2">
      <c r="B84" s="687">
        <f t="shared" ref="B84" si="26">B83+0.000001</f>
        <v>5.0407009999999977</v>
      </c>
      <c r="C84" s="149" t="s">
        <v>274</v>
      </c>
      <c r="D84" s="285" t="s">
        <v>82</v>
      </c>
      <c r="E84" s="286">
        <v>3327.3899999999994</v>
      </c>
      <c r="F84" s="7">
        <v>47.24</v>
      </c>
      <c r="G84" s="4"/>
      <c r="H84" s="145">
        <f>+ROUND(F84+G84*TC,2)</f>
        <v>47.24</v>
      </c>
      <c r="I84" s="145">
        <f>+ROUND(E84*F84,2)</f>
        <v>157185.9</v>
      </c>
      <c r="J84" s="146">
        <f>+ROUND(E84*G84,2)</f>
        <v>0</v>
      </c>
      <c r="K84" s="7">
        <f>+ROUND(I84+J84*TC,2)</f>
        <v>157185.9</v>
      </c>
      <c r="L84" s="289"/>
    </row>
    <row r="85" spans="2:12" ht="14.1" customHeight="1" outlineLevel="1">
      <c r="B85" s="301">
        <f t="shared" ref="B85" si="27">B83+0.0001</f>
        <v>5.0407999999999973</v>
      </c>
      <c r="C85" s="692" t="s">
        <v>1570</v>
      </c>
      <c r="D85" s="285"/>
      <c r="E85" s="286">
        <v>0</v>
      </c>
      <c r="F85" s="7" t="s">
        <v>27</v>
      </c>
      <c r="G85" s="287"/>
      <c r="H85" s="145"/>
      <c r="I85" s="145"/>
      <c r="J85" s="146"/>
      <c r="K85" s="7"/>
      <c r="L85" s="289"/>
    </row>
    <row r="86" spans="2:12" ht="14.1" customHeight="1" outlineLevel="2">
      <c r="B86" s="687">
        <f t="shared" ref="B86" si="28">B85+0.000001</f>
        <v>5.0408009999999974</v>
      </c>
      <c r="C86" s="45" t="s">
        <v>1564</v>
      </c>
      <c r="D86" s="285" t="s">
        <v>82</v>
      </c>
      <c r="E86" s="286">
        <v>123.57</v>
      </c>
      <c r="F86" s="7">
        <v>45.02</v>
      </c>
      <c r="G86" s="4"/>
      <c r="H86" s="145">
        <f>+ROUND(F86+G86*TC,2)</f>
        <v>45.02</v>
      </c>
      <c r="I86" s="145">
        <f>+ROUND(E86*F86,2)</f>
        <v>5563.12</v>
      </c>
      <c r="J86" s="146">
        <f>+ROUND(E86*G86,2)</f>
        <v>0</v>
      </c>
      <c r="K86" s="7">
        <f>+ROUND(I86+J86*TC,2)</f>
        <v>5563.12</v>
      </c>
      <c r="L86" s="289"/>
    </row>
    <row r="87" spans="2:12" ht="14.1" customHeight="1" outlineLevel="1">
      <c r="B87" s="301">
        <f t="shared" ref="B87" si="29">B85+0.0001</f>
        <v>5.040899999999997</v>
      </c>
      <c r="C87" s="692" t="s">
        <v>1571</v>
      </c>
      <c r="D87" s="285"/>
      <c r="E87" s="286">
        <v>0</v>
      </c>
      <c r="F87" s="7" t="s">
        <v>27</v>
      </c>
      <c r="G87" s="287"/>
      <c r="H87" s="145"/>
      <c r="I87" s="145"/>
      <c r="J87" s="146"/>
      <c r="K87" s="7"/>
      <c r="L87" s="289"/>
    </row>
    <row r="88" spans="2:12" ht="14.1" customHeight="1" outlineLevel="2">
      <c r="B88" s="687">
        <f t="shared" ref="B88" si="30">B87+0.000001</f>
        <v>5.0409009999999972</v>
      </c>
      <c r="C88" s="149" t="s">
        <v>1572</v>
      </c>
      <c r="D88" s="285" t="s">
        <v>82</v>
      </c>
      <c r="E88" s="286">
        <v>251.1</v>
      </c>
      <c r="F88" s="7">
        <v>55</v>
      </c>
      <c r="G88" s="4"/>
      <c r="H88" s="145">
        <f>+ROUND(F88+G88*TC,2)</f>
        <v>55</v>
      </c>
      <c r="I88" s="145">
        <f>+ROUND(E88*F88,2)</f>
        <v>13810.5</v>
      </c>
      <c r="J88" s="146">
        <f>+ROUND(E88*G88,2)</f>
        <v>0</v>
      </c>
      <c r="K88" s="7">
        <f>+ROUND(I88+J88*TC,2)</f>
        <v>13810.5</v>
      </c>
      <c r="L88" s="289"/>
    </row>
    <row r="89" spans="2:12" ht="14.1" customHeight="1" outlineLevel="1">
      <c r="B89" s="301">
        <f t="shared" ref="B89" si="31">B87+0.0001</f>
        <v>5.0409999999999968</v>
      </c>
      <c r="C89" s="692" t="s">
        <v>1573</v>
      </c>
      <c r="D89" s="285"/>
      <c r="E89" s="286">
        <v>0</v>
      </c>
      <c r="F89" s="7" t="s">
        <v>27</v>
      </c>
      <c r="G89" s="287"/>
      <c r="H89" s="145"/>
      <c r="I89" s="145"/>
      <c r="J89" s="146"/>
      <c r="K89" s="7"/>
      <c r="L89" s="289"/>
    </row>
    <row r="90" spans="2:12" ht="14.1" customHeight="1" outlineLevel="3">
      <c r="B90" s="687">
        <f t="shared" ref="B90" si="32">B89+0.000001</f>
        <v>5.041000999999997</v>
      </c>
      <c r="C90" s="43" t="s">
        <v>245</v>
      </c>
      <c r="D90" s="285" t="s">
        <v>82</v>
      </c>
      <c r="E90" s="286">
        <v>18.5</v>
      </c>
      <c r="F90" s="7">
        <v>71.91</v>
      </c>
      <c r="G90" s="4"/>
      <c r="H90" s="145">
        <f>+ROUND(F90+G90*TC,2)</f>
        <v>71.91</v>
      </c>
      <c r="I90" s="145">
        <f>+ROUND(E90*F90,2)</f>
        <v>1330.34</v>
      </c>
      <c r="J90" s="146">
        <f>+ROUND(E90*G90,2)</f>
        <v>0</v>
      </c>
      <c r="K90" s="7">
        <f>+ROUND(I90+J90*TC,2)</f>
        <v>1330.34</v>
      </c>
      <c r="L90" s="276"/>
    </row>
    <row r="91" spans="2:12" ht="14.1" customHeight="1" outlineLevel="1">
      <c r="B91" s="301">
        <f t="shared" ref="B91" si="33">B89+0.0001</f>
        <v>5.0410999999999966</v>
      </c>
      <c r="C91" s="692" t="s">
        <v>1574</v>
      </c>
      <c r="D91" s="285"/>
      <c r="E91" s="286">
        <v>0</v>
      </c>
      <c r="F91" s="7" t="s">
        <v>27</v>
      </c>
      <c r="G91" s="287"/>
      <c r="H91" s="145"/>
      <c r="I91" s="145"/>
      <c r="J91" s="146"/>
      <c r="K91" s="7"/>
      <c r="L91" s="289"/>
    </row>
    <row r="92" spans="2:12" ht="14.1" customHeight="1" outlineLevel="3">
      <c r="B92" s="687">
        <f t="shared" ref="B92" si="34">B91+0.000001</f>
        <v>5.0411009999999967</v>
      </c>
      <c r="C92" s="51" t="s">
        <v>1575</v>
      </c>
      <c r="D92" s="285" t="s">
        <v>82</v>
      </c>
      <c r="E92" s="286">
        <v>11.6</v>
      </c>
      <c r="F92" s="7">
        <v>149.5</v>
      </c>
      <c r="G92" s="4"/>
      <c r="H92" s="145">
        <f>+ROUND(F92+G92*TC,2)</f>
        <v>149.5</v>
      </c>
      <c r="I92" s="145">
        <f>+ROUND(E92*F92,2)</f>
        <v>1734.2</v>
      </c>
      <c r="J92" s="146">
        <f>+ROUND(E92*G92,2)</f>
        <v>0</v>
      </c>
      <c r="K92" s="7">
        <f>+ROUND(I92+J92*TC,2)</f>
        <v>1734.2</v>
      </c>
      <c r="L92" s="276"/>
    </row>
    <row r="93" spans="2:12" ht="14.1" customHeight="1">
      <c r="B93" s="693">
        <f>B84+0.01</f>
        <v>5.0507009999999974</v>
      </c>
      <c r="C93" s="694" t="s">
        <v>1576</v>
      </c>
      <c r="D93" s="285"/>
      <c r="E93" s="286">
        <v>0</v>
      </c>
      <c r="F93" s="7" t="s">
        <v>27</v>
      </c>
      <c r="G93" s="4"/>
      <c r="H93" s="145"/>
      <c r="I93" s="145"/>
      <c r="J93" s="146"/>
      <c r="K93" s="7"/>
      <c r="L93" s="276">
        <f>SUM(I93:I99)+SUM(J93:J99)*TC</f>
        <v>10954.814</v>
      </c>
    </row>
    <row r="94" spans="2:12" ht="14.1" customHeight="1" outlineLevel="1">
      <c r="B94" s="301">
        <f>B93+0.0001</f>
        <v>5.0508009999999972</v>
      </c>
      <c r="C94" s="692" t="s">
        <v>1577</v>
      </c>
      <c r="D94" s="285"/>
      <c r="E94" s="286">
        <v>0</v>
      </c>
      <c r="F94" s="7" t="s">
        <v>27</v>
      </c>
      <c r="G94" s="287"/>
      <c r="H94" s="145"/>
      <c r="I94" s="145"/>
      <c r="J94" s="146"/>
      <c r="K94" s="7"/>
      <c r="L94" s="289"/>
    </row>
    <row r="95" spans="2:12" ht="14.1" customHeight="1" outlineLevel="3">
      <c r="B95" s="687">
        <f>B94+0.000001</f>
        <v>5.0508019999999973</v>
      </c>
      <c r="C95" s="43" t="s">
        <v>245</v>
      </c>
      <c r="D95" s="285" t="s">
        <v>82</v>
      </c>
      <c r="E95" s="286">
        <v>38.527999999999999</v>
      </c>
      <c r="F95" s="7">
        <v>71.91</v>
      </c>
      <c r="G95" s="4"/>
      <c r="H95" s="145">
        <f>+ROUND(F95+G95*TC,2)</f>
        <v>71.91</v>
      </c>
      <c r="I95" s="145">
        <f>+ROUND(E95*F95,2)</f>
        <v>2770.55</v>
      </c>
      <c r="J95" s="146">
        <f>+ROUND(E95*G95,2)</f>
        <v>0</v>
      </c>
      <c r="K95" s="7">
        <f>+ROUND(I95+J95*TC,2)</f>
        <v>2770.55</v>
      </c>
      <c r="L95" s="276"/>
    </row>
    <row r="96" spans="2:12" ht="13.9" customHeight="1" outlineLevel="1">
      <c r="B96" s="301">
        <f>B94+0.0001</f>
        <v>5.050900999999997</v>
      </c>
      <c r="C96" s="692" t="s">
        <v>1574</v>
      </c>
      <c r="D96" s="285"/>
      <c r="E96" s="286">
        <v>0</v>
      </c>
      <c r="F96" s="7" t="s">
        <v>27</v>
      </c>
      <c r="G96" s="287"/>
      <c r="H96" s="145"/>
      <c r="I96" s="145"/>
      <c r="J96" s="146"/>
      <c r="K96" s="7"/>
      <c r="L96" s="289"/>
    </row>
    <row r="97" spans="2:12" ht="14.1" customHeight="1" outlineLevel="3">
      <c r="B97" s="687">
        <f>B96+0.000001</f>
        <v>5.0509019999999971</v>
      </c>
      <c r="C97" s="149" t="s">
        <v>1578</v>
      </c>
      <c r="D97" s="285" t="s">
        <v>82</v>
      </c>
      <c r="E97" s="286">
        <v>13.771000000000001</v>
      </c>
      <c r="F97" s="7">
        <v>126.12</v>
      </c>
      <c r="G97" s="4"/>
      <c r="H97" s="145">
        <f>+ROUND(F97+G97*TC,2)</f>
        <v>126.12</v>
      </c>
      <c r="I97" s="145">
        <f>+ROUND(E97*F97,2)</f>
        <v>1736.8</v>
      </c>
      <c r="J97" s="146">
        <f>+ROUND(E97*G97,2)</f>
        <v>0</v>
      </c>
      <c r="K97" s="7">
        <f>+ROUND(I97+J97*TC,2)</f>
        <v>1736.8</v>
      </c>
      <c r="L97" s="276"/>
    </row>
    <row r="98" spans="2:12" ht="14.1" customHeight="1" outlineLevel="3">
      <c r="B98" s="687">
        <f>B97+0.000001</f>
        <v>5.0509029999999973</v>
      </c>
      <c r="C98" s="149" t="s">
        <v>1579</v>
      </c>
      <c r="D98" s="285" t="s">
        <v>82</v>
      </c>
      <c r="E98" s="286">
        <v>4.5</v>
      </c>
      <c r="F98" s="7">
        <v>78</v>
      </c>
      <c r="G98" s="4"/>
      <c r="H98" s="145">
        <f>+ROUND(F98+G98*TC,2)</f>
        <v>78</v>
      </c>
      <c r="I98" s="145">
        <f>+ROUND(E98*F98,2)</f>
        <v>351</v>
      </c>
      <c r="J98" s="146">
        <f>+ROUND(E98*G98,2)</f>
        <v>0</v>
      </c>
      <c r="K98" s="7">
        <f>+ROUND(I98+J98*TC,2)</f>
        <v>351</v>
      </c>
      <c r="L98" s="276"/>
    </row>
    <row r="99" spans="2:12" ht="14.1" customHeight="1" outlineLevel="3">
      <c r="B99" s="687">
        <f>B98+0.000001</f>
        <v>5.0509039999999974</v>
      </c>
      <c r="C99" s="149" t="s">
        <v>1580</v>
      </c>
      <c r="D99" s="285" t="s">
        <v>82</v>
      </c>
      <c r="E99" s="286">
        <v>16.544</v>
      </c>
      <c r="F99" s="7"/>
      <c r="G99" s="4">
        <v>110</v>
      </c>
      <c r="H99" s="145">
        <f>+ROUND(F99+G99*TC,2)</f>
        <v>368.5</v>
      </c>
      <c r="I99" s="145">
        <f>+ROUND(E99*F99,2)</f>
        <v>0</v>
      </c>
      <c r="J99" s="146">
        <f>+ROUND(E99*G99,2)</f>
        <v>1819.84</v>
      </c>
      <c r="K99" s="7">
        <f>+ROUND(I99+J99*TC,2)</f>
        <v>6096.46</v>
      </c>
      <c r="L99" s="276"/>
    </row>
    <row r="100" spans="2:12" ht="14.1" customHeight="1">
      <c r="B100" s="693">
        <f>B68+0.01</f>
        <v>5.0499999999999989</v>
      </c>
      <c r="C100" s="694" t="s">
        <v>369</v>
      </c>
      <c r="D100" s="285"/>
      <c r="E100" s="286">
        <v>0</v>
      </c>
      <c r="F100" s="7"/>
      <c r="G100" s="4"/>
      <c r="H100" s="145">
        <f>+ROUND(F100+G100*TC,2)</f>
        <v>0</v>
      </c>
      <c r="I100" s="145">
        <f t="shared" ref="I100" si="35">+ROUND(E100*F100,2)</f>
        <v>0</v>
      </c>
      <c r="J100" s="146">
        <f t="shared" ref="J100" si="36">+ROUND(E100*G100,2)</f>
        <v>0</v>
      </c>
      <c r="K100" s="7">
        <f>+ROUND(I100+J100*TC,2)</f>
        <v>0</v>
      </c>
      <c r="L100" s="276">
        <f>SUM(I100:I112)+SUM(J100:J112)*TC</f>
        <v>35028.01</v>
      </c>
    </row>
    <row r="101" spans="2:12" ht="14.1" customHeight="1" outlineLevel="1">
      <c r="B101" s="301">
        <f>B100+0.0001</f>
        <v>5.0500999999999987</v>
      </c>
      <c r="C101" s="695" t="s">
        <v>1570</v>
      </c>
      <c r="D101" s="285"/>
      <c r="E101" s="286">
        <v>0</v>
      </c>
      <c r="F101" s="7"/>
      <c r="G101" s="4"/>
      <c r="H101" s="145"/>
      <c r="I101" s="145"/>
      <c r="J101" s="146"/>
      <c r="K101" s="7"/>
      <c r="L101" s="289"/>
    </row>
    <row r="102" spans="2:12" ht="14.1" customHeight="1" outlineLevel="2">
      <c r="B102" s="687">
        <f>B101+0.000001</f>
        <v>5.0501009999999988</v>
      </c>
      <c r="C102" s="149" t="s">
        <v>1581</v>
      </c>
      <c r="D102" s="285" t="s">
        <v>141</v>
      </c>
      <c r="E102" s="286">
        <v>68.48</v>
      </c>
      <c r="F102" s="288">
        <v>36</v>
      </c>
      <c r="G102" s="4"/>
      <c r="H102" s="145">
        <f>+ROUND(F102+G102*TC,2)</f>
        <v>36</v>
      </c>
      <c r="I102" s="145">
        <f>+ROUND(E102*F102,2)</f>
        <v>2465.2800000000002</v>
      </c>
      <c r="J102" s="146">
        <f>+ROUND(E102*G102,2)</f>
        <v>0</v>
      </c>
      <c r="K102" s="7">
        <f>+ROUND(I102+J102*TC,2)</f>
        <v>2465.2800000000002</v>
      </c>
      <c r="L102" s="289"/>
    </row>
    <row r="103" spans="2:12" ht="14.1" customHeight="1" outlineLevel="1">
      <c r="B103" s="301">
        <f>B101+0.0001</f>
        <v>5.0501999999999985</v>
      </c>
      <c r="C103" s="695" t="s">
        <v>1582</v>
      </c>
      <c r="D103" s="285"/>
      <c r="E103" s="286">
        <v>0</v>
      </c>
      <c r="F103" s="7"/>
      <c r="G103" s="696"/>
      <c r="H103" s="145"/>
      <c r="I103" s="145"/>
      <c r="J103" s="146"/>
      <c r="K103" s="7"/>
      <c r="L103" s="289"/>
    </row>
    <row r="104" spans="2:12" ht="14.1" customHeight="1" outlineLevel="2">
      <c r="B104" s="687">
        <f>B103+0.000001</f>
        <v>5.0502009999999986</v>
      </c>
      <c r="C104" s="149" t="s">
        <v>373</v>
      </c>
      <c r="D104" s="285" t="s">
        <v>141</v>
      </c>
      <c r="E104" s="286">
        <v>98.909999999999982</v>
      </c>
      <c r="F104" s="7">
        <v>21.37</v>
      </c>
      <c r="G104" s="4"/>
      <c r="H104" s="145">
        <f>+ROUND(F104+G104*TC,2)</f>
        <v>21.37</v>
      </c>
      <c r="I104" s="145">
        <f>+ROUND(E104*F104,2)</f>
        <v>2113.71</v>
      </c>
      <c r="J104" s="146">
        <f>+ROUND(E104*G104,2)</f>
        <v>0</v>
      </c>
      <c r="K104" s="7">
        <f>+ROUND(I104+J104*TC,2)</f>
        <v>2113.71</v>
      </c>
      <c r="L104" s="289"/>
    </row>
    <row r="105" spans="2:12" ht="14.1" customHeight="1" outlineLevel="1">
      <c r="B105" s="301">
        <f>B103+0.0001</f>
        <v>5.0502999999999982</v>
      </c>
      <c r="C105" s="692" t="s">
        <v>1583</v>
      </c>
      <c r="D105" s="285"/>
      <c r="E105" s="286">
        <v>0</v>
      </c>
      <c r="F105" s="7"/>
      <c r="G105" s="696"/>
      <c r="H105" s="145"/>
      <c r="I105" s="145"/>
      <c r="J105" s="146"/>
      <c r="K105" s="7"/>
      <c r="L105" s="289"/>
    </row>
    <row r="106" spans="2:12" ht="14.1" customHeight="1" outlineLevel="2">
      <c r="B106" s="687">
        <f>B105+0.000001</f>
        <v>5.0503009999999984</v>
      </c>
      <c r="C106" s="149" t="s">
        <v>1584</v>
      </c>
      <c r="D106" s="285" t="s">
        <v>141</v>
      </c>
      <c r="E106" s="286">
        <v>905.91000000000042</v>
      </c>
      <c r="F106" s="288">
        <v>10.25</v>
      </c>
      <c r="G106" s="4"/>
      <c r="H106" s="145">
        <f>+ROUND(F106+G106*TC,2)</f>
        <v>10.25</v>
      </c>
      <c r="I106" s="145">
        <f>+ROUND(E106*F106,2)</f>
        <v>9285.58</v>
      </c>
      <c r="J106" s="146">
        <f>+ROUND(E106*G106,2)</f>
        <v>0</v>
      </c>
      <c r="K106" s="7">
        <f>+ROUND(I106+J106*TC,2)</f>
        <v>9285.58</v>
      </c>
      <c r="L106" s="289"/>
    </row>
    <row r="107" spans="2:12" ht="14.1" customHeight="1" outlineLevel="1">
      <c r="B107" s="301">
        <f>B103+0.0001</f>
        <v>5.0502999999999982</v>
      </c>
      <c r="C107" s="697" t="s">
        <v>1585</v>
      </c>
      <c r="D107" s="285"/>
      <c r="E107" s="286">
        <v>0</v>
      </c>
      <c r="F107" s="7"/>
      <c r="G107" s="4"/>
      <c r="H107" s="145"/>
      <c r="I107" s="145"/>
      <c r="J107" s="146"/>
      <c r="K107" s="7"/>
      <c r="L107" s="289"/>
    </row>
    <row r="108" spans="2:12" ht="14.1" customHeight="1" outlineLevel="2">
      <c r="B108" s="687">
        <f>B107+0.000001</f>
        <v>5.0503009999999984</v>
      </c>
      <c r="C108" s="149" t="s">
        <v>1584</v>
      </c>
      <c r="D108" s="285" t="s">
        <v>141</v>
      </c>
      <c r="E108" s="286">
        <v>1916.1599999999983</v>
      </c>
      <c r="F108" s="288">
        <v>10.25</v>
      </c>
      <c r="G108" s="4"/>
      <c r="H108" s="145">
        <f>+ROUND(F108+G108*TC,2)</f>
        <v>10.25</v>
      </c>
      <c r="I108" s="145">
        <f>+ROUND(E108*F108,2)</f>
        <v>19640.64</v>
      </c>
      <c r="J108" s="146">
        <f>+ROUND(E108*G108,2)</f>
        <v>0</v>
      </c>
      <c r="K108" s="7">
        <f>+ROUND(I108+J108*TC,2)</f>
        <v>19640.64</v>
      </c>
      <c r="L108" s="289"/>
    </row>
    <row r="109" spans="2:12" ht="14.1" customHeight="1" outlineLevel="1">
      <c r="B109" s="301">
        <f>B105+0.0001</f>
        <v>5.050399999999998</v>
      </c>
      <c r="C109" s="695" t="s">
        <v>1586</v>
      </c>
      <c r="D109" s="285"/>
      <c r="E109" s="286">
        <v>0</v>
      </c>
      <c r="F109" s="7"/>
      <c r="G109" s="4"/>
      <c r="H109" s="145"/>
      <c r="I109" s="145"/>
      <c r="J109" s="146"/>
      <c r="K109" s="7"/>
      <c r="L109" s="289"/>
    </row>
    <row r="110" spans="2:12" ht="14.1" customHeight="1" outlineLevel="2">
      <c r="B110" s="687">
        <f>B109+0.000001</f>
        <v>5.0504009999999981</v>
      </c>
      <c r="C110" s="149" t="s">
        <v>1587</v>
      </c>
      <c r="D110" s="285" t="s">
        <v>141</v>
      </c>
      <c r="E110" s="286">
        <v>98.52</v>
      </c>
      <c r="F110" s="288">
        <v>10.25</v>
      </c>
      <c r="G110" s="4"/>
      <c r="H110" s="145">
        <f>+ROUND(F110+G110*TC,2)</f>
        <v>10.25</v>
      </c>
      <c r="I110" s="145">
        <f>+ROUND(E110*F110,2)</f>
        <v>1009.83</v>
      </c>
      <c r="J110" s="146">
        <f>+ROUND(E110*G110,2)</f>
        <v>0</v>
      </c>
      <c r="K110" s="7">
        <f>+ROUND(I110+J110*TC,2)</f>
        <v>1009.83</v>
      </c>
      <c r="L110" s="289"/>
    </row>
    <row r="111" spans="2:12" ht="14.1" customHeight="1" outlineLevel="1">
      <c r="B111" s="301">
        <f>B109+0.0001</f>
        <v>5.0504999999999978</v>
      </c>
      <c r="C111" s="692" t="s">
        <v>1588</v>
      </c>
      <c r="D111" s="285"/>
      <c r="E111" s="286">
        <v>0</v>
      </c>
      <c r="F111" s="7"/>
      <c r="G111" s="4"/>
      <c r="H111" s="145"/>
      <c r="I111" s="145"/>
      <c r="J111" s="146"/>
      <c r="K111" s="7"/>
      <c r="L111" s="289"/>
    </row>
    <row r="112" spans="2:12" ht="14.1" customHeight="1" outlineLevel="2">
      <c r="B112" s="687">
        <f>B111+0.000001</f>
        <v>5.0505009999999979</v>
      </c>
      <c r="C112" s="41" t="s">
        <v>1589</v>
      </c>
      <c r="D112" s="285" t="s">
        <v>141</v>
      </c>
      <c r="E112" s="286">
        <v>12.34</v>
      </c>
      <c r="F112" s="7">
        <v>41.57</v>
      </c>
      <c r="G112" s="4"/>
      <c r="H112" s="145">
        <f>+ROUND(F112+G112*TC,2)</f>
        <v>41.57</v>
      </c>
      <c r="I112" s="145">
        <f>+ROUND(E112*F112,2)</f>
        <v>512.97</v>
      </c>
      <c r="J112" s="146">
        <f>+ROUND(E112*G112,2)</f>
        <v>0</v>
      </c>
      <c r="K112" s="7">
        <f>+ROUND(I112+J112*TC,2)</f>
        <v>512.97</v>
      </c>
      <c r="L112" s="289"/>
    </row>
    <row r="113" spans="2:12" ht="14.1" customHeight="1">
      <c r="B113" s="693" t="e">
        <f>#REF!+0.01</f>
        <v>#REF!</v>
      </c>
      <c r="C113" s="694" t="s">
        <v>365</v>
      </c>
      <c r="D113" s="285"/>
      <c r="E113" s="286">
        <v>0</v>
      </c>
      <c r="F113" s="7"/>
      <c r="G113" s="4"/>
      <c r="H113" s="145"/>
      <c r="I113" s="145"/>
      <c r="J113" s="146"/>
      <c r="K113" s="7"/>
      <c r="L113" s="276">
        <f>SUM(I113:I115)+SUM(J113:J115)*TC</f>
        <v>119.33</v>
      </c>
    </row>
    <row r="114" spans="2:12" ht="14.1" customHeight="1" outlineLevel="1">
      <c r="B114" s="301" t="e">
        <f>B113+0.0001</f>
        <v>#REF!</v>
      </c>
      <c r="C114" s="695" t="s">
        <v>1573</v>
      </c>
      <c r="D114" s="285"/>
      <c r="E114" s="286">
        <v>0</v>
      </c>
      <c r="F114" s="7"/>
      <c r="G114" s="4"/>
      <c r="H114" s="145"/>
      <c r="I114" s="145"/>
      <c r="J114" s="146"/>
      <c r="K114" s="7"/>
      <c r="L114" s="289"/>
    </row>
    <row r="115" spans="2:12" ht="13.9" customHeight="1" outlineLevel="2">
      <c r="B115" s="687" t="e">
        <f>B114+0.000001</f>
        <v>#REF!</v>
      </c>
      <c r="C115" s="149" t="s">
        <v>1590</v>
      </c>
      <c r="D115" s="285" t="s">
        <v>141</v>
      </c>
      <c r="E115" s="286">
        <v>1.49</v>
      </c>
      <c r="F115" s="7">
        <v>80.09</v>
      </c>
      <c r="G115" s="4"/>
      <c r="H115" s="145">
        <f>+ROUND(F115+G115*TC,2)</f>
        <v>80.09</v>
      </c>
      <c r="I115" s="145">
        <f>+ROUND(E115*F115,2)</f>
        <v>119.33</v>
      </c>
      <c r="J115" s="146">
        <f>+ROUND(E115*G115,2)</f>
        <v>0</v>
      </c>
      <c r="K115" s="7">
        <f>+ROUND(I115+J115*TC,2)</f>
        <v>119.33</v>
      </c>
      <c r="L115" s="289"/>
    </row>
    <row r="116" spans="2:12" ht="14.1" customHeight="1">
      <c r="B116" s="693">
        <f>B100+0.01</f>
        <v>5.0599999999999987</v>
      </c>
      <c r="C116" s="694" t="s">
        <v>410</v>
      </c>
      <c r="D116" s="285"/>
      <c r="E116" s="286">
        <v>0</v>
      </c>
      <c r="F116" s="7"/>
      <c r="G116" s="4"/>
      <c r="H116" s="145"/>
      <c r="I116" s="145"/>
      <c r="J116" s="146"/>
      <c r="K116" s="7"/>
      <c r="L116" s="276">
        <f>SUM(I116:I136)+SUM(J116:J136)*TC</f>
        <v>19357.439999999995</v>
      </c>
    </row>
    <row r="117" spans="2:12" ht="14.1" customHeight="1" outlineLevel="1">
      <c r="B117" s="301">
        <f>B116+0.0001</f>
        <v>5.0600999999999985</v>
      </c>
      <c r="C117" s="692" t="s">
        <v>407</v>
      </c>
      <c r="D117" s="285"/>
      <c r="E117" s="286">
        <v>0</v>
      </c>
      <c r="F117" s="7"/>
      <c r="G117" s="4"/>
      <c r="H117" s="145"/>
      <c r="I117" s="145"/>
      <c r="J117" s="146"/>
      <c r="K117" s="7"/>
      <c r="L117" s="276"/>
    </row>
    <row r="118" spans="2:12" ht="14.1" customHeight="1" outlineLevel="2">
      <c r="B118" s="687">
        <f t="shared" ref="B118:B136" si="37">B117+0.000001</f>
        <v>5.0601009999999986</v>
      </c>
      <c r="C118" s="45" t="s">
        <v>413</v>
      </c>
      <c r="D118" s="285" t="s">
        <v>82</v>
      </c>
      <c r="E118" s="286">
        <v>48.579999999999991</v>
      </c>
      <c r="F118" s="7">
        <v>76.28</v>
      </c>
      <c r="G118" s="4"/>
      <c r="H118" s="145">
        <f t="shared" ref="H118:H124" si="38">+ROUND(F118+G118*TC,2)</f>
        <v>76.28</v>
      </c>
      <c r="I118" s="145">
        <f t="shared" ref="I118:I143" si="39">+ROUND(E118*F118,2)</f>
        <v>3705.68</v>
      </c>
      <c r="J118" s="146">
        <f t="shared" ref="J118:J144" si="40">+ROUND(E118*G118,2)</f>
        <v>0</v>
      </c>
      <c r="K118" s="7">
        <f t="shared" ref="K118:K124" si="41">+ROUND(I118+J118*TC,2)</f>
        <v>3705.68</v>
      </c>
      <c r="L118" s="282"/>
    </row>
    <row r="119" spans="2:12" ht="14.1" customHeight="1" outlineLevel="2">
      <c r="B119" s="687">
        <f t="shared" si="37"/>
        <v>5.0601019999999988</v>
      </c>
      <c r="C119" s="149" t="s">
        <v>412</v>
      </c>
      <c r="D119" s="285" t="s">
        <v>141</v>
      </c>
      <c r="E119" s="286">
        <v>147.6</v>
      </c>
      <c r="F119" s="7">
        <v>45.24</v>
      </c>
      <c r="G119" s="4"/>
      <c r="H119" s="145">
        <f t="shared" si="38"/>
        <v>45.24</v>
      </c>
      <c r="I119" s="145">
        <f t="shared" si="39"/>
        <v>6677.42</v>
      </c>
      <c r="J119" s="146">
        <f t="shared" si="40"/>
        <v>0</v>
      </c>
      <c r="K119" s="7">
        <f t="shared" si="41"/>
        <v>6677.42</v>
      </c>
      <c r="L119" s="282"/>
    </row>
    <row r="120" spans="2:12" ht="14.1" customHeight="1" outlineLevel="2">
      <c r="B120" s="687">
        <f t="shared" si="37"/>
        <v>5.0601029999999989</v>
      </c>
      <c r="C120" s="149" t="s">
        <v>414</v>
      </c>
      <c r="D120" s="285" t="s">
        <v>82</v>
      </c>
      <c r="E120" s="286">
        <v>48.579999999999991</v>
      </c>
      <c r="F120" s="7">
        <v>21.52</v>
      </c>
      <c r="G120" s="4"/>
      <c r="H120" s="145">
        <f t="shared" si="38"/>
        <v>21.52</v>
      </c>
      <c r="I120" s="145">
        <f t="shared" si="39"/>
        <v>1045.44</v>
      </c>
      <c r="J120" s="146">
        <f t="shared" si="40"/>
        <v>0</v>
      </c>
      <c r="K120" s="7">
        <f t="shared" si="41"/>
        <v>1045.44</v>
      </c>
      <c r="L120" s="282"/>
    </row>
    <row r="121" spans="2:12" ht="14.1" customHeight="1" outlineLevel="2">
      <c r="B121" s="687">
        <f t="shared" si="37"/>
        <v>5.060103999999999</v>
      </c>
      <c r="C121" s="149" t="s">
        <v>415</v>
      </c>
      <c r="D121" s="285" t="s">
        <v>141</v>
      </c>
      <c r="E121" s="286">
        <v>147.6</v>
      </c>
      <c r="F121" s="7">
        <v>16.399999999999999</v>
      </c>
      <c r="G121" s="4"/>
      <c r="H121" s="145">
        <f t="shared" si="38"/>
        <v>16.399999999999999</v>
      </c>
      <c r="I121" s="145">
        <f t="shared" si="39"/>
        <v>2420.64</v>
      </c>
      <c r="J121" s="146">
        <f t="shared" si="40"/>
        <v>0</v>
      </c>
      <c r="K121" s="7">
        <f t="shared" si="41"/>
        <v>2420.64</v>
      </c>
      <c r="L121" s="282"/>
    </row>
    <row r="122" spans="2:12" ht="14.1" customHeight="1" outlineLevel="2">
      <c r="B122" s="687">
        <f t="shared" si="37"/>
        <v>5.0601049999999992</v>
      </c>
      <c r="C122" s="149" t="s">
        <v>416</v>
      </c>
      <c r="D122" s="285" t="s">
        <v>141</v>
      </c>
      <c r="E122" s="286">
        <v>147.6</v>
      </c>
      <c r="F122" s="7">
        <v>13.11</v>
      </c>
      <c r="G122" s="4"/>
      <c r="H122" s="145">
        <f t="shared" si="38"/>
        <v>13.11</v>
      </c>
      <c r="I122" s="145">
        <f t="shared" si="39"/>
        <v>1935.04</v>
      </c>
      <c r="J122" s="146">
        <f t="shared" si="40"/>
        <v>0</v>
      </c>
      <c r="K122" s="7">
        <f t="shared" si="41"/>
        <v>1935.04</v>
      </c>
      <c r="L122" s="282"/>
    </row>
    <row r="123" spans="2:12" ht="14.1" customHeight="1" outlineLevel="2">
      <c r="B123" s="687">
        <f t="shared" si="37"/>
        <v>5.0601059999999993</v>
      </c>
      <c r="C123" s="149" t="s">
        <v>417</v>
      </c>
      <c r="D123" s="285" t="s">
        <v>82</v>
      </c>
      <c r="E123" s="286">
        <v>81.920000000000016</v>
      </c>
      <c r="F123" s="7">
        <v>18.37</v>
      </c>
      <c r="G123" s="4"/>
      <c r="H123" s="145">
        <f t="shared" si="38"/>
        <v>18.37</v>
      </c>
      <c r="I123" s="145">
        <f t="shared" si="39"/>
        <v>1504.87</v>
      </c>
      <c r="J123" s="146">
        <f t="shared" si="40"/>
        <v>0</v>
      </c>
      <c r="K123" s="7">
        <f t="shared" si="41"/>
        <v>1504.87</v>
      </c>
      <c r="L123" s="282"/>
    </row>
    <row r="124" spans="2:12" ht="14.1" customHeight="1" outlineLevel="2">
      <c r="B124" s="687">
        <f t="shared" si="37"/>
        <v>5.0601069999999995</v>
      </c>
      <c r="C124" s="149" t="s">
        <v>418</v>
      </c>
      <c r="D124" s="285" t="s">
        <v>141</v>
      </c>
      <c r="E124" s="286">
        <v>33.89</v>
      </c>
      <c r="F124" s="7">
        <v>21</v>
      </c>
      <c r="G124" s="4"/>
      <c r="H124" s="145">
        <f t="shared" si="38"/>
        <v>21</v>
      </c>
      <c r="I124" s="145">
        <f t="shared" si="39"/>
        <v>711.69</v>
      </c>
      <c r="J124" s="146">
        <f t="shared" si="40"/>
        <v>0</v>
      </c>
      <c r="K124" s="7">
        <f t="shared" si="41"/>
        <v>711.69</v>
      </c>
      <c r="L124" s="282"/>
    </row>
    <row r="125" spans="2:12" ht="14.1" customHeight="1" outlineLevel="1">
      <c r="B125" s="301">
        <f>B124+0.0001</f>
        <v>5.0602069999999992</v>
      </c>
      <c r="C125" s="692" t="s">
        <v>1591</v>
      </c>
      <c r="D125" s="285"/>
      <c r="E125" s="286">
        <v>0</v>
      </c>
      <c r="F125" s="7"/>
      <c r="G125" s="4"/>
      <c r="H125" s="145"/>
      <c r="I125" s="145"/>
      <c r="J125" s="146"/>
      <c r="K125" s="7"/>
      <c r="L125" s="276"/>
    </row>
    <row r="126" spans="2:12" ht="14.1" customHeight="1" outlineLevel="2">
      <c r="B126" s="687">
        <f t="shared" si="37"/>
        <v>5.0602079999999994</v>
      </c>
      <c r="C126" s="45" t="s">
        <v>413</v>
      </c>
      <c r="D126" s="285" t="s">
        <v>82</v>
      </c>
      <c r="E126" s="286">
        <v>1.1499999999999999</v>
      </c>
      <c r="F126" s="7">
        <v>76.28</v>
      </c>
      <c r="G126" s="4"/>
      <c r="H126" s="145">
        <f t="shared" ref="H126:H130" si="42">+ROUND(F126+G126*TC,2)</f>
        <v>76.28</v>
      </c>
      <c r="I126" s="145">
        <f t="shared" ref="I126:I130" si="43">+ROUND(E126*F126,2)</f>
        <v>87.72</v>
      </c>
      <c r="J126" s="146">
        <f t="shared" ref="J126:J130" si="44">+ROUND(E126*G126,2)</f>
        <v>0</v>
      </c>
      <c r="K126" s="7">
        <f t="shared" ref="K126:K130" si="45">+ROUND(I126+J126*TC,2)</f>
        <v>87.72</v>
      </c>
      <c r="L126" s="282"/>
    </row>
    <row r="127" spans="2:12" ht="14.1" customHeight="1" outlineLevel="2">
      <c r="B127" s="687">
        <f t="shared" si="37"/>
        <v>5.0602089999999995</v>
      </c>
      <c r="C127" s="149" t="s">
        <v>412</v>
      </c>
      <c r="D127" s="285" t="s">
        <v>141</v>
      </c>
      <c r="E127" s="286">
        <v>5</v>
      </c>
      <c r="F127" s="7">
        <v>45.24</v>
      </c>
      <c r="G127" s="4"/>
      <c r="H127" s="145">
        <f t="shared" si="42"/>
        <v>45.24</v>
      </c>
      <c r="I127" s="145">
        <f t="shared" si="43"/>
        <v>226.2</v>
      </c>
      <c r="J127" s="146">
        <f t="shared" si="44"/>
        <v>0</v>
      </c>
      <c r="K127" s="7">
        <f t="shared" si="45"/>
        <v>226.2</v>
      </c>
      <c r="L127" s="282"/>
    </row>
    <row r="128" spans="2:12" ht="14.1" customHeight="1" outlineLevel="2">
      <c r="B128" s="687">
        <f t="shared" si="37"/>
        <v>5.0602099999999997</v>
      </c>
      <c r="C128" s="149" t="s">
        <v>414</v>
      </c>
      <c r="D128" s="285" t="s">
        <v>82</v>
      </c>
      <c r="E128" s="286">
        <v>1.1499999999999999</v>
      </c>
      <c r="F128" s="7">
        <v>21.52</v>
      </c>
      <c r="G128" s="4"/>
      <c r="H128" s="145">
        <f t="shared" si="42"/>
        <v>21.52</v>
      </c>
      <c r="I128" s="145">
        <f t="shared" si="43"/>
        <v>24.75</v>
      </c>
      <c r="J128" s="146">
        <f t="shared" si="44"/>
        <v>0</v>
      </c>
      <c r="K128" s="7">
        <f t="shared" si="45"/>
        <v>24.75</v>
      </c>
      <c r="L128" s="282"/>
    </row>
    <row r="129" spans="2:12" ht="14.1" customHeight="1" outlineLevel="2">
      <c r="B129" s="687">
        <f t="shared" si="37"/>
        <v>5.0602109999999998</v>
      </c>
      <c r="C129" s="149" t="s">
        <v>415</v>
      </c>
      <c r="D129" s="285" t="s">
        <v>141</v>
      </c>
      <c r="E129" s="286">
        <v>5</v>
      </c>
      <c r="F129" s="7">
        <v>16.399999999999999</v>
      </c>
      <c r="G129" s="4"/>
      <c r="H129" s="145">
        <f t="shared" si="42"/>
        <v>16.399999999999999</v>
      </c>
      <c r="I129" s="145">
        <f t="shared" si="43"/>
        <v>82</v>
      </c>
      <c r="J129" s="146">
        <f t="shared" si="44"/>
        <v>0</v>
      </c>
      <c r="K129" s="7">
        <f t="shared" si="45"/>
        <v>82</v>
      </c>
      <c r="L129" s="282"/>
    </row>
    <row r="130" spans="2:12" ht="14.1" customHeight="1" outlineLevel="2">
      <c r="B130" s="687">
        <f t="shared" si="37"/>
        <v>5.0602119999999999</v>
      </c>
      <c r="C130" s="149" t="s">
        <v>416</v>
      </c>
      <c r="D130" s="285" t="s">
        <v>141</v>
      </c>
      <c r="E130" s="286">
        <v>5</v>
      </c>
      <c r="F130" s="7">
        <v>13.11</v>
      </c>
      <c r="G130" s="4"/>
      <c r="H130" s="145">
        <f t="shared" si="42"/>
        <v>13.11</v>
      </c>
      <c r="I130" s="145">
        <f t="shared" si="43"/>
        <v>65.55</v>
      </c>
      <c r="J130" s="146">
        <f t="shared" si="44"/>
        <v>0</v>
      </c>
      <c r="K130" s="7">
        <f t="shared" si="45"/>
        <v>65.55</v>
      </c>
      <c r="L130" s="282"/>
    </row>
    <row r="131" spans="2:12" ht="14.1" customHeight="1" outlineLevel="1">
      <c r="B131" s="301">
        <f>B130+0.0001</f>
        <v>5.0603119999999997</v>
      </c>
      <c r="C131" s="692" t="s">
        <v>1592</v>
      </c>
      <c r="D131" s="285"/>
      <c r="E131" s="286">
        <v>0</v>
      </c>
      <c r="F131" s="7"/>
      <c r="G131" s="4"/>
      <c r="H131" s="145"/>
      <c r="I131" s="145"/>
      <c r="J131" s="146"/>
      <c r="K131" s="7"/>
      <c r="L131" s="276"/>
    </row>
    <row r="132" spans="2:12" ht="14.1" customHeight="1" outlineLevel="2">
      <c r="B132" s="687">
        <f t="shared" si="37"/>
        <v>5.0603129999999998</v>
      </c>
      <c r="C132" s="45" t="s">
        <v>413</v>
      </c>
      <c r="D132" s="285" t="s">
        <v>82</v>
      </c>
      <c r="E132" s="286">
        <v>2.48</v>
      </c>
      <c r="F132" s="7">
        <v>76.28</v>
      </c>
      <c r="G132" s="4"/>
      <c r="H132" s="145">
        <f t="shared" ref="H132:H136" si="46">+ROUND(F132+G132*TC,2)</f>
        <v>76.28</v>
      </c>
      <c r="I132" s="145">
        <f t="shared" ref="I132:I136" si="47">+ROUND(E132*F132,2)</f>
        <v>189.17</v>
      </c>
      <c r="J132" s="146">
        <f t="shared" ref="J132:J136" si="48">+ROUND(E132*G132,2)</f>
        <v>0</v>
      </c>
      <c r="K132" s="7">
        <f t="shared" ref="K132:K136" si="49">+ROUND(I132+J132*TC,2)</f>
        <v>189.17</v>
      </c>
      <c r="L132" s="282"/>
    </row>
    <row r="133" spans="2:12" ht="14.1" customHeight="1" outlineLevel="2">
      <c r="B133" s="687">
        <f t="shared" si="37"/>
        <v>5.060314</v>
      </c>
      <c r="C133" s="149" t="s">
        <v>412</v>
      </c>
      <c r="D133" s="285" t="s">
        <v>141</v>
      </c>
      <c r="E133" s="286">
        <v>8.4</v>
      </c>
      <c r="F133" s="7">
        <v>45.24</v>
      </c>
      <c r="G133" s="4"/>
      <c r="H133" s="145">
        <f t="shared" si="46"/>
        <v>45.24</v>
      </c>
      <c r="I133" s="145">
        <f t="shared" si="47"/>
        <v>380.02</v>
      </c>
      <c r="J133" s="146">
        <f t="shared" si="48"/>
        <v>0</v>
      </c>
      <c r="K133" s="7">
        <f t="shared" si="49"/>
        <v>380.02</v>
      </c>
      <c r="L133" s="282"/>
    </row>
    <row r="134" spans="2:12" ht="14.1" customHeight="1" outlineLevel="2">
      <c r="B134" s="687">
        <f t="shared" si="37"/>
        <v>5.0603150000000001</v>
      </c>
      <c r="C134" s="149" t="s">
        <v>414</v>
      </c>
      <c r="D134" s="285" t="s">
        <v>82</v>
      </c>
      <c r="E134" s="286">
        <v>2.48</v>
      </c>
      <c r="F134" s="7">
        <v>21.52</v>
      </c>
      <c r="G134" s="4"/>
      <c r="H134" s="145">
        <f t="shared" si="46"/>
        <v>21.52</v>
      </c>
      <c r="I134" s="145">
        <f t="shared" si="47"/>
        <v>53.37</v>
      </c>
      <c r="J134" s="146">
        <f t="shared" si="48"/>
        <v>0</v>
      </c>
      <c r="K134" s="7">
        <f t="shared" si="49"/>
        <v>53.37</v>
      </c>
      <c r="L134" s="282"/>
    </row>
    <row r="135" spans="2:12" ht="14.1" customHeight="1" outlineLevel="2">
      <c r="B135" s="687">
        <f t="shared" si="37"/>
        <v>5.0603160000000003</v>
      </c>
      <c r="C135" s="149" t="s">
        <v>415</v>
      </c>
      <c r="D135" s="285" t="s">
        <v>141</v>
      </c>
      <c r="E135" s="286">
        <v>8.4</v>
      </c>
      <c r="F135" s="7">
        <v>16.399999999999999</v>
      </c>
      <c r="G135" s="4"/>
      <c r="H135" s="145">
        <f t="shared" si="46"/>
        <v>16.399999999999999</v>
      </c>
      <c r="I135" s="145">
        <f t="shared" si="47"/>
        <v>137.76</v>
      </c>
      <c r="J135" s="146">
        <f t="shared" si="48"/>
        <v>0</v>
      </c>
      <c r="K135" s="7">
        <f t="shared" si="49"/>
        <v>137.76</v>
      </c>
      <c r="L135" s="282"/>
    </row>
    <row r="136" spans="2:12" ht="14.1" customHeight="1" outlineLevel="2">
      <c r="B136" s="687">
        <f t="shared" si="37"/>
        <v>5.0603170000000004</v>
      </c>
      <c r="C136" s="149" t="s">
        <v>416</v>
      </c>
      <c r="D136" s="285" t="s">
        <v>141</v>
      </c>
      <c r="E136" s="286">
        <v>8.4</v>
      </c>
      <c r="F136" s="7">
        <v>13.11</v>
      </c>
      <c r="G136" s="4"/>
      <c r="H136" s="145">
        <f t="shared" si="46"/>
        <v>13.11</v>
      </c>
      <c r="I136" s="145">
        <f t="shared" si="47"/>
        <v>110.12</v>
      </c>
      <c r="J136" s="146">
        <f t="shared" si="48"/>
        <v>0</v>
      </c>
      <c r="K136" s="7">
        <f t="shared" si="49"/>
        <v>110.12</v>
      </c>
      <c r="L136" s="282"/>
    </row>
    <row r="137" spans="2:12" ht="14.1" customHeight="1">
      <c r="B137" s="693">
        <f>B116+0.01</f>
        <v>5.0699999999999985</v>
      </c>
      <c r="C137" s="694" t="s">
        <v>434</v>
      </c>
      <c r="D137" s="285"/>
      <c r="E137" s="286">
        <v>0</v>
      </c>
      <c r="F137" s="7"/>
      <c r="G137" s="4"/>
      <c r="H137" s="145">
        <f t="shared" ref="H137:H140" si="50">+ROUND(F137+G137*TC,2)</f>
        <v>0</v>
      </c>
      <c r="I137" s="145">
        <f t="shared" si="39"/>
        <v>0</v>
      </c>
      <c r="J137" s="146">
        <f t="shared" si="40"/>
        <v>0</v>
      </c>
      <c r="K137" s="7">
        <f t="shared" ref="K137:K144" si="51">+ROUND(I137+J137*TC,2)</f>
        <v>0</v>
      </c>
      <c r="L137" s="276">
        <f>SUM(I137:I160)+SUM(J137:J160)*TC</f>
        <v>50522.408000000003</v>
      </c>
    </row>
    <row r="138" spans="2:12" ht="14.1" customHeight="1" outlineLevel="1">
      <c r="B138" s="301">
        <f>B137+0.0001</f>
        <v>5.0700999999999983</v>
      </c>
      <c r="C138" s="692" t="s">
        <v>435</v>
      </c>
      <c r="D138" s="285"/>
      <c r="E138" s="286">
        <v>0</v>
      </c>
      <c r="F138" s="7"/>
      <c r="G138" s="287"/>
      <c r="H138" s="145">
        <f t="shared" si="50"/>
        <v>0</v>
      </c>
      <c r="I138" s="145">
        <f t="shared" si="39"/>
        <v>0</v>
      </c>
      <c r="J138" s="146">
        <f t="shared" si="40"/>
        <v>0</v>
      </c>
      <c r="K138" s="7">
        <f t="shared" si="51"/>
        <v>0</v>
      </c>
      <c r="L138" s="289"/>
    </row>
    <row r="139" spans="2:12" ht="14.1" customHeight="1" outlineLevel="1">
      <c r="B139" s="687">
        <f>B138+0.000001</f>
        <v>5.0701009999999984</v>
      </c>
      <c r="C139" s="150" t="s">
        <v>1593</v>
      </c>
      <c r="D139" s="285" t="s">
        <v>121</v>
      </c>
      <c r="E139" s="286">
        <v>9</v>
      </c>
      <c r="F139" s="7"/>
      <c r="G139" s="287">
        <v>289.72222222222223</v>
      </c>
      <c r="H139" s="145">
        <f t="shared" si="50"/>
        <v>970.57</v>
      </c>
      <c r="I139" s="145">
        <f t="shared" si="39"/>
        <v>0</v>
      </c>
      <c r="J139" s="146">
        <f t="shared" si="40"/>
        <v>2607.5</v>
      </c>
      <c r="K139" s="7">
        <f t="shared" si="51"/>
        <v>8735.1299999999992</v>
      </c>
      <c r="L139" s="289"/>
    </row>
    <row r="140" spans="2:12" ht="14.1" customHeight="1" outlineLevel="1">
      <c r="B140" s="687">
        <f t="shared" ref="B140:B143" si="52">B139+0.000001</f>
        <v>5.0701019999999986</v>
      </c>
      <c r="C140" s="150" t="s">
        <v>1594</v>
      </c>
      <c r="D140" s="285" t="s">
        <v>121</v>
      </c>
      <c r="E140" s="286">
        <v>1</v>
      </c>
      <c r="F140" s="7"/>
      <c r="G140" s="287">
        <v>424.23611111111114</v>
      </c>
      <c r="H140" s="145">
        <f t="shared" si="50"/>
        <v>1421.19</v>
      </c>
      <c r="I140" s="145">
        <f t="shared" si="39"/>
        <v>0</v>
      </c>
      <c r="J140" s="146">
        <f t="shared" si="40"/>
        <v>424.24</v>
      </c>
      <c r="K140" s="7">
        <f t="shared" si="51"/>
        <v>1421.2</v>
      </c>
      <c r="L140" s="289"/>
    </row>
    <row r="141" spans="2:12" ht="14.1" customHeight="1" outlineLevel="1">
      <c r="B141" s="687">
        <f>B152+0.000001</f>
        <v>5.0701039999999988</v>
      </c>
      <c r="C141" s="150" t="s">
        <v>1595</v>
      </c>
      <c r="D141" s="285" t="s">
        <v>121</v>
      </c>
      <c r="E141" s="286">
        <v>1</v>
      </c>
      <c r="F141" s="7"/>
      <c r="G141" s="287">
        <v>315.59027777777783</v>
      </c>
      <c r="H141" s="145">
        <f t="shared" ref="H141:H142" si="53">+ROUND(F141+G141*TC,2)</f>
        <v>1057.23</v>
      </c>
      <c r="I141" s="145">
        <f t="shared" si="39"/>
        <v>0</v>
      </c>
      <c r="J141" s="146">
        <f t="shared" si="40"/>
        <v>315.58999999999997</v>
      </c>
      <c r="K141" s="7">
        <f t="shared" ref="K141:K142" si="54">+ROUND(I141+J141*TC,2)</f>
        <v>1057.23</v>
      </c>
      <c r="L141" s="289"/>
    </row>
    <row r="142" spans="2:12" ht="13.9" customHeight="1" outlineLevel="1">
      <c r="B142" s="687">
        <f>B141+0.000001</f>
        <v>5.070104999999999</v>
      </c>
      <c r="C142" s="150" t="s">
        <v>1596</v>
      </c>
      <c r="D142" s="285" t="s">
        <v>121</v>
      </c>
      <c r="E142" s="286">
        <v>1</v>
      </c>
      <c r="F142" s="7"/>
      <c r="G142" s="287">
        <v>910.55555555555566</v>
      </c>
      <c r="H142" s="145">
        <f t="shared" si="53"/>
        <v>3050.36</v>
      </c>
      <c r="I142" s="145">
        <f t="shared" si="39"/>
        <v>0</v>
      </c>
      <c r="J142" s="146">
        <f t="shared" si="40"/>
        <v>910.56</v>
      </c>
      <c r="K142" s="7">
        <f t="shared" si="54"/>
        <v>3050.38</v>
      </c>
      <c r="L142" s="289"/>
    </row>
    <row r="143" spans="2:12" ht="14.1" customHeight="1" outlineLevel="1">
      <c r="B143" s="687">
        <f t="shared" si="52"/>
        <v>5.0701059999999991</v>
      </c>
      <c r="C143" s="150" t="s">
        <v>1597</v>
      </c>
      <c r="D143" s="285" t="s">
        <v>121</v>
      </c>
      <c r="E143" s="286">
        <v>1</v>
      </c>
      <c r="F143" s="7"/>
      <c r="G143" s="287">
        <v>315.59027777777783</v>
      </c>
      <c r="H143" s="145">
        <f t="shared" ref="H143" si="55">+ROUND(F143+G143*TC,2)</f>
        <v>1057.23</v>
      </c>
      <c r="I143" s="145">
        <f t="shared" si="39"/>
        <v>0</v>
      </c>
      <c r="J143" s="146">
        <f t="shared" si="40"/>
        <v>315.58999999999997</v>
      </c>
      <c r="K143" s="7">
        <f t="shared" ref="K143" si="56">+ROUND(I143+J143*TC,2)</f>
        <v>1057.23</v>
      </c>
      <c r="L143" s="289"/>
    </row>
    <row r="144" spans="2:12" ht="14.1" customHeight="1" outlineLevel="1">
      <c r="B144" s="301">
        <f>B138+0.0001</f>
        <v>5.070199999999998</v>
      </c>
      <c r="C144" s="692" t="s">
        <v>1598</v>
      </c>
      <c r="D144" s="285"/>
      <c r="E144" s="286">
        <v>0</v>
      </c>
      <c r="F144" s="7"/>
      <c r="G144" s="4"/>
      <c r="H144" s="145"/>
      <c r="I144" s="145"/>
      <c r="J144" s="146">
        <f t="shared" si="40"/>
        <v>0</v>
      </c>
      <c r="K144" s="7">
        <f t="shared" si="51"/>
        <v>0</v>
      </c>
      <c r="L144" s="276"/>
    </row>
    <row r="145" spans="2:12" ht="14.1" customHeight="1" outlineLevel="2">
      <c r="B145" s="698">
        <f>B144+0.000001</f>
        <v>5.0702009999999982</v>
      </c>
      <c r="C145" s="689" t="s">
        <v>1599</v>
      </c>
      <c r="D145" s="285"/>
      <c r="E145" s="286">
        <v>0</v>
      </c>
      <c r="F145" s="7"/>
      <c r="G145" s="4"/>
      <c r="H145" s="145"/>
      <c r="I145" s="145"/>
      <c r="J145" s="146"/>
      <c r="K145" s="7"/>
      <c r="L145" s="276"/>
    </row>
    <row r="146" spans="2:12" ht="30.6" customHeight="1" outlineLevel="3">
      <c r="B146" s="699">
        <f>B145+0.00000001</f>
        <v>5.0702010099999981</v>
      </c>
      <c r="C146" s="150" t="s">
        <v>1600</v>
      </c>
      <c r="D146" s="285" t="s">
        <v>121</v>
      </c>
      <c r="E146" s="286">
        <v>50</v>
      </c>
      <c r="F146" s="7">
        <v>124</v>
      </c>
      <c r="G146" s="287">
        <v>119</v>
      </c>
      <c r="H146" s="145">
        <f>+ROUND(F146+G146*TC,2)</f>
        <v>522.65</v>
      </c>
      <c r="I146" s="145">
        <f>+ROUND(E146*F146,2)</f>
        <v>6200</v>
      </c>
      <c r="J146" s="146">
        <f>+ROUND(E146*G146,2)</f>
        <v>5950</v>
      </c>
      <c r="K146" s="7">
        <f>+ROUND(I146+J146*TC,2)</f>
        <v>26132.5</v>
      </c>
      <c r="L146" s="289"/>
    </row>
    <row r="147" spans="2:12" ht="14.1" customHeight="1" outlineLevel="3">
      <c r="B147" s="699">
        <f>B146+0.00000001</f>
        <v>5.0702010199999981</v>
      </c>
      <c r="C147" s="150" t="s">
        <v>1601</v>
      </c>
      <c r="D147" s="285" t="s">
        <v>121</v>
      </c>
      <c r="E147" s="286">
        <v>0</v>
      </c>
      <c r="F147" s="7">
        <v>124</v>
      </c>
      <c r="G147" s="287">
        <v>96</v>
      </c>
      <c r="H147" s="145">
        <f>+ROUND(F147+G147*TC,2)</f>
        <v>445.6</v>
      </c>
      <c r="I147" s="145">
        <f>+ROUND(E147*F147,2)</f>
        <v>0</v>
      </c>
      <c r="J147" s="146">
        <f>+ROUND(E147*G147,2)</f>
        <v>0</v>
      </c>
      <c r="K147" s="7">
        <f>+ROUND(I147+J147*TC,2)</f>
        <v>0</v>
      </c>
      <c r="L147" s="289"/>
    </row>
    <row r="148" spans="2:12" ht="14.1" customHeight="1" outlineLevel="1">
      <c r="B148" s="301">
        <f>B144+0.0001</f>
        <v>5.0702999999999978</v>
      </c>
      <c r="C148" s="689" t="s">
        <v>465</v>
      </c>
      <c r="D148" s="285"/>
      <c r="E148" s="286">
        <v>0</v>
      </c>
      <c r="F148" s="7" t="s">
        <v>27</v>
      </c>
      <c r="G148" s="4"/>
      <c r="H148" s="145"/>
      <c r="I148" s="145"/>
      <c r="J148" s="146"/>
      <c r="K148" s="7"/>
      <c r="L148" s="289"/>
    </row>
    <row r="149" spans="2:12" ht="14.1" customHeight="1" outlineLevel="2">
      <c r="B149" s="687">
        <f>B148+0.000001</f>
        <v>5.0703009999999979</v>
      </c>
      <c r="C149" s="700" t="s">
        <v>466</v>
      </c>
      <c r="D149" s="285" t="s">
        <v>121</v>
      </c>
      <c r="E149" s="286">
        <v>50</v>
      </c>
      <c r="F149" s="7">
        <v>25</v>
      </c>
      <c r="G149" s="287"/>
      <c r="H149" s="145">
        <f t="shared" ref="H149:H150" si="57">+ROUND(F149+G149*TC,2)</f>
        <v>25</v>
      </c>
      <c r="I149" s="145">
        <f>+ROUND(E149*F149,2)</f>
        <v>1250</v>
      </c>
      <c r="J149" s="146">
        <f>+ROUND(E149*G149,2)</f>
        <v>0</v>
      </c>
      <c r="K149" s="7">
        <f t="shared" ref="K149:K150" si="58">+ROUND(I149+J149*TC,2)</f>
        <v>1250</v>
      </c>
      <c r="L149" s="289"/>
    </row>
    <row r="150" spans="2:12" ht="14.1" customHeight="1" outlineLevel="2">
      <c r="B150" s="687">
        <f>B149+0.000001</f>
        <v>5.0703019999999981</v>
      </c>
      <c r="C150" s="700" t="s">
        <v>1602</v>
      </c>
      <c r="D150" s="285" t="s">
        <v>121</v>
      </c>
      <c r="E150" s="286">
        <v>50</v>
      </c>
      <c r="F150" s="7">
        <v>33</v>
      </c>
      <c r="G150" s="287"/>
      <c r="H150" s="145">
        <f t="shared" si="57"/>
        <v>33</v>
      </c>
      <c r="I150" s="145">
        <f>+ROUND(E150*F150,2)</f>
        <v>1650</v>
      </c>
      <c r="J150" s="146">
        <f>+ROUND(E150*G150,2)</f>
        <v>0</v>
      </c>
      <c r="K150" s="7">
        <f t="shared" si="58"/>
        <v>1650</v>
      </c>
      <c r="L150" s="289"/>
    </row>
    <row r="151" spans="2:12" ht="14.1" customHeight="1" outlineLevel="2">
      <c r="B151" s="687"/>
      <c r="C151" s="692" t="s">
        <v>1603</v>
      </c>
      <c r="D151" s="285"/>
      <c r="E151" s="286"/>
      <c r="F151" s="7"/>
      <c r="G151" s="287"/>
      <c r="H151" s="145"/>
      <c r="I151" s="145"/>
      <c r="J151" s="146"/>
      <c r="K151" s="7"/>
      <c r="L151" s="289"/>
    </row>
    <row r="152" spans="2:12" ht="14.1" customHeight="1" outlineLevel="1">
      <c r="B152" s="687">
        <f>B140+0.000001</f>
        <v>5.0701029999999987</v>
      </c>
      <c r="C152" s="150" t="s">
        <v>1604</v>
      </c>
      <c r="D152" s="285" t="s">
        <v>121</v>
      </c>
      <c r="E152" s="286">
        <v>1</v>
      </c>
      <c r="F152" s="7"/>
      <c r="G152" s="287">
        <v>455</v>
      </c>
      <c r="H152" s="145">
        <f>+ROUND(F152+G152*TC,2)</f>
        <v>1524.25</v>
      </c>
      <c r="I152" s="145">
        <f>+ROUND(E152*F152,2)</f>
        <v>0</v>
      </c>
      <c r="J152" s="146">
        <f>+ROUND(E152*G152,2)</f>
        <v>455</v>
      </c>
      <c r="K152" s="7">
        <f>+ROUND(I152+J152*TC,2)</f>
        <v>1524.25</v>
      </c>
      <c r="L152" s="289"/>
    </row>
    <row r="153" spans="2:12" ht="14.1" customHeight="1" outlineLevel="2">
      <c r="B153" s="687"/>
      <c r="C153" s="694" t="s">
        <v>1605</v>
      </c>
      <c r="D153" s="701"/>
      <c r="E153" s="286">
        <v>0</v>
      </c>
      <c r="F153" s="7"/>
      <c r="G153" s="287"/>
      <c r="H153" s="145">
        <f t="shared" ref="H153:H156" si="59">+ROUND(F153+G153*TC,2)</f>
        <v>0</v>
      </c>
      <c r="I153" s="145">
        <f t="shared" ref="I153:I159" si="60">+ROUND(E153*F153,2)</f>
        <v>0</v>
      </c>
      <c r="J153" s="146">
        <f t="shared" ref="J153:J159" si="61">+ROUND(E153*G153,2)</f>
        <v>0</v>
      </c>
      <c r="K153" s="7">
        <f t="shared" ref="K153:K156" si="62">+ROUND(I153+J153*TC,2)</f>
        <v>0</v>
      </c>
      <c r="L153" s="289"/>
    </row>
    <row r="154" spans="2:12" ht="14.1" customHeight="1" outlineLevel="2">
      <c r="B154" s="687"/>
      <c r="C154" s="692" t="s">
        <v>481</v>
      </c>
      <c r="D154" s="701"/>
      <c r="E154" s="286">
        <v>0</v>
      </c>
      <c r="F154" s="7"/>
      <c r="G154" s="287"/>
      <c r="H154" s="145">
        <f t="shared" si="59"/>
        <v>0</v>
      </c>
      <c r="I154" s="145">
        <f t="shared" si="60"/>
        <v>0</v>
      </c>
      <c r="J154" s="146">
        <f t="shared" si="61"/>
        <v>0</v>
      </c>
      <c r="K154" s="7">
        <f t="shared" si="62"/>
        <v>0</v>
      </c>
      <c r="L154" s="289"/>
    </row>
    <row r="155" spans="2:12" ht="14.1" customHeight="1" outlineLevel="2">
      <c r="B155" s="687"/>
      <c r="C155" s="150" t="s">
        <v>496</v>
      </c>
      <c r="D155" s="701" t="s">
        <v>121</v>
      </c>
      <c r="E155" s="286">
        <v>6</v>
      </c>
      <c r="F155" s="7">
        <v>459.2</v>
      </c>
      <c r="G155" s="287"/>
      <c r="H155" s="145">
        <f t="shared" si="59"/>
        <v>459.2</v>
      </c>
      <c r="I155" s="145">
        <f t="shared" si="60"/>
        <v>2755.2</v>
      </c>
      <c r="J155" s="146">
        <f t="shared" si="61"/>
        <v>0</v>
      </c>
      <c r="K155" s="7">
        <f t="shared" si="62"/>
        <v>2755.2</v>
      </c>
      <c r="L155" s="289"/>
    </row>
    <row r="156" spans="2:12" ht="14.1" customHeight="1" outlineLevel="2">
      <c r="B156" s="687"/>
      <c r="C156" s="150" t="s">
        <v>1606</v>
      </c>
      <c r="D156" s="701" t="s">
        <v>121</v>
      </c>
      <c r="E156" s="286">
        <v>7</v>
      </c>
      <c r="F156" s="7">
        <v>269.89999999999998</v>
      </c>
      <c r="G156" s="287"/>
      <c r="H156" s="145">
        <f t="shared" si="59"/>
        <v>269.89999999999998</v>
      </c>
      <c r="I156" s="145">
        <f t="shared" si="60"/>
        <v>1889.3</v>
      </c>
      <c r="J156" s="146">
        <f t="shared" si="61"/>
        <v>0</v>
      </c>
      <c r="K156" s="7">
        <f t="shared" si="62"/>
        <v>1889.3</v>
      </c>
      <c r="L156" s="289"/>
    </row>
    <row r="157" spans="2:12" ht="14.1" customHeight="1" outlineLevel="2">
      <c r="B157" s="698">
        <v>5.0902009999999978</v>
      </c>
      <c r="C157" s="702" t="s">
        <v>1607</v>
      </c>
      <c r="D157" s="302"/>
      <c r="E157" s="286"/>
      <c r="F157" s="7"/>
      <c r="G157" s="287"/>
      <c r="H157" s="145">
        <f t="shared" ref="H157:H159" si="63">+ROUND(F157+G157*TC,2)</f>
        <v>0</v>
      </c>
      <c r="I157" s="145">
        <f t="shared" si="60"/>
        <v>0</v>
      </c>
      <c r="J157" s="146">
        <f t="shared" si="61"/>
        <v>0</v>
      </c>
      <c r="K157" s="7">
        <f t="shared" ref="K157:K159" si="64">+ROUND(I157+J157*TC,2)</f>
        <v>0</v>
      </c>
      <c r="L157" s="289"/>
    </row>
    <row r="158" spans="2:12" ht="14.1" customHeight="1" outlineLevel="2">
      <c r="B158" s="699">
        <v>5.0902010099999977</v>
      </c>
      <c r="C158" s="150" t="s">
        <v>1608</v>
      </c>
      <c r="D158" s="302" t="s">
        <v>121</v>
      </c>
      <c r="E158" s="286"/>
      <c r="F158" s="7"/>
      <c r="G158" s="287"/>
      <c r="H158" s="145">
        <f t="shared" si="63"/>
        <v>0</v>
      </c>
      <c r="I158" s="145">
        <f t="shared" si="60"/>
        <v>0</v>
      </c>
      <c r="J158" s="146">
        <f t="shared" si="61"/>
        <v>0</v>
      </c>
      <c r="K158" s="7">
        <f t="shared" si="64"/>
        <v>0</v>
      </c>
      <c r="L158" s="289"/>
    </row>
    <row r="159" spans="2:12" ht="14.1" customHeight="1" outlineLevel="1">
      <c r="B159" s="699">
        <v>5.0902010199999976</v>
      </c>
      <c r="C159" s="150" t="s">
        <v>1609</v>
      </c>
      <c r="D159" s="302" t="s">
        <v>121</v>
      </c>
      <c r="E159" s="286"/>
      <c r="F159" s="7"/>
      <c r="G159" s="287"/>
      <c r="H159" s="145">
        <f t="shared" si="63"/>
        <v>0</v>
      </c>
      <c r="I159" s="145">
        <f t="shared" si="60"/>
        <v>0</v>
      </c>
      <c r="J159" s="146">
        <f t="shared" si="61"/>
        <v>0</v>
      </c>
      <c r="K159" s="7">
        <f t="shared" si="64"/>
        <v>0</v>
      </c>
      <c r="L159" s="276"/>
    </row>
    <row r="160" spans="2:12" ht="14.1" customHeight="1">
      <c r="B160" s="693">
        <f>B137+0.01</f>
        <v>5.0799999999999983</v>
      </c>
      <c r="C160" s="694" t="s">
        <v>507</v>
      </c>
      <c r="D160" s="285"/>
      <c r="E160" s="286"/>
      <c r="F160" s="7"/>
      <c r="G160" s="4"/>
      <c r="H160" s="145"/>
      <c r="I160" s="145"/>
      <c r="J160" s="146"/>
      <c r="K160" s="7"/>
      <c r="L160" s="276">
        <f>SUM(I160:I162)+SUM(J160:J162)*TC</f>
        <v>1375</v>
      </c>
    </row>
    <row r="161" spans="2:12" ht="14.1" customHeight="1" outlineLevel="1">
      <c r="B161" s="301">
        <f>B160+0.0001</f>
        <v>5.0800999999999981</v>
      </c>
      <c r="C161" s="692" t="s">
        <v>1599</v>
      </c>
      <c r="D161" s="285"/>
      <c r="E161" s="286"/>
      <c r="F161" s="7"/>
      <c r="G161" s="287"/>
      <c r="H161" s="145"/>
      <c r="I161" s="145"/>
      <c r="J161" s="146"/>
      <c r="K161" s="7"/>
      <c r="L161" s="289"/>
    </row>
    <row r="162" spans="2:12" ht="13.15" customHeight="1" outlineLevel="3">
      <c r="B162" s="687">
        <f>B161+0.000001</f>
        <v>5.0801009999999982</v>
      </c>
      <c r="C162" s="150" t="s">
        <v>1610</v>
      </c>
      <c r="D162" s="285" t="s">
        <v>121</v>
      </c>
      <c r="E162" s="286">
        <v>50</v>
      </c>
      <c r="F162" s="7">
        <v>27.5</v>
      </c>
      <c r="G162" s="287"/>
      <c r="H162" s="145">
        <f>+ROUND(F162+G162*TC,2)</f>
        <v>27.5</v>
      </c>
      <c r="I162" s="145">
        <f>+ROUND(E162*F162,2)</f>
        <v>1375</v>
      </c>
      <c r="J162" s="146">
        <f>+ROUND(E162*G162,2)</f>
        <v>0</v>
      </c>
      <c r="K162" s="7">
        <f>+ROUND(I162+J162*TC,2)</f>
        <v>1375</v>
      </c>
      <c r="L162" s="289"/>
    </row>
    <row r="163" spans="2:12" ht="14.1" customHeight="1">
      <c r="B163" s="693">
        <f>B160+0.01</f>
        <v>5.0899999999999981</v>
      </c>
      <c r="C163" s="694" t="s">
        <v>1611</v>
      </c>
      <c r="D163" s="285"/>
      <c r="E163" s="286">
        <v>0</v>
      </c>
      <c r="F163" s="7"/>
      <c r="G163" s="4"/>
      <c r="H163" s="145"/>
      <c r="I163" s="145"/>
      <c r="J163" s="146"/>
      <c r="K163" s="7"/>
      <c r="L163" s="276">
        <f>SUM(I163:I177)+SUM(J163:J177)*TC</f>
        <v>113423.7</v>
      </c>
    </row>
    <row r="164" spans="2:12" ht="14.1" customHeight="1" outlineLevel="1">
      <c r="B164" s="298">
        <f t="shared" ref="B164:B177" si="65">B163+0.0001</f>
        <v>5.0900999999999978</v>
      </c>
      <c r="C164" s="150" t="s">
        <v>1612</v>
      </c>
      <c r="D164" s="285" t="s">
        <v>121</v>
      </c>
      <c r="E164" s="286">
        <v>0</v>
      </c>
      <c r="F164" s="288">
        <v>850</v>
      </c>
      <c r="G164" s="703"/>
      <c r="H164" s="145">
        <f t="shared" ref="H164:H177" si="66">+ROUND(F164+G164*TC,2)</f>
        <v>850</v>
      </c>
      <c r="I164" s="145">
        <f t="shared" ref="I164:I177" si="67">+ROUND(E164*F164,2)</f>
        <v>0</v>
      </c>
      <c r="J164" s="146">
        <f t="shared" ref="J164:J177" si="68">+ROUND(E164*G164,2)</f>
        <v>0</v>
      </c>
      <c r="K164" s="7">
        <f t="shared" ref="K164:K177" si="69">+ROUND(I164+J164*TC,2)</f>
        <v>0</v>
      </c>
      <c r="L164" s="289"/>
    </row>
    <row r="165" spans="2:12" ht="14.1" customHeight="1" outlineLevel="1">
      <c r="B165" s="298">
        <f t="shared" si="65"/>
        <v>5.0901999999999976</v>
      </c>
      <c r="C165" s="150" t="s">
        <v>1613</v>
      </c>
      <c r="D165" s="285" t="s">
        <v>141</v>
      </c>
      <c r="E165" s="286">
        <v>19.87</v>
      </c>
      <c r="F165" s="288">
        <v>350</v>
      </c>
      <c r="G165" s="703"/>
      <c r="H165" s="145">
        <f t="shared" si="66"/>
        <v>350</v>
      </c>
      <c r="I165" s="145">
        <f t="shared" si="67"/>
        <v>6954.5</v>
      </c>
      <c r="J165" s="146">
        <f t="shared" si="68"/>
        <v>0</v>
      </c>
      <c r="K165" s="7">
        <f t="shared" si="69"/>
        <v>6954.5</v>
      </c>
      <c r="L165" s="289"/>
    </row>
    <row r="166" spans="2:12" ht="14.1" customHeight="1" outlineLevel="1">
      <c r="B166" s="298">
        <f t="shared" si="65"/>
        <v>5.0902999999999974</v>
      </c>
      <c r="C166" s="150" t="s">
        <v>1614</v>
      </c>
      <c r="D166" s="285" t="s">
        <v>121</v>
      </c>
      <c r="E166" s="286">
        <v>128</v>
      </c>
      <c r="F166" s="288">
        <v>250</v>
      </c>
      <c r="G166" s="703"/>
      <c r="H166" s="145">
        <f t="shared" si="66"/>
        <v>250</v>
      </c>
      <c r="I166" s="145">
        <f t="shared" si="67"/>
        <v>32000</v>
      </c>
      <c r="J166" s="146">
        <f t="shared" si="68"/>
        <v>0</v>
      </c>
      <c r="K166" s="7">
        <f t="shared" si="69"/>
        <v>32000</v>
      </c>
      <c r="L166" s="289"/>
    </row>
    <row r="167" spans="2:12" ht="14.1" customHeight="1" outlineLevel="1">
      <c r="B167" s="298">
        <f t="shared" si="65"/>
        <v>5.0903999999999971</v>
      </c>
      <c r="C167" s="150" t="s">
        <v>1615</v>
      </c>
      <c r="D167" s="285" t="s">
        <v>121</v>
      </c>
      <c r="E167" s="286">
        <v>3</v>
      </c>
      <c r="F167" s="288">
        <v>1000</v>
      </c>
      <c r="G167" s="703"/>
      <c r="H167" s="145">
        <f t="shared" ref="H167" si="70">+ROUND(F167+G167*TC,2)</f>
        <v>1000</v>
      </c>
      <c r="I167" s="145">
        <f t="shared" si="67"/>
        <v>3000</v>
      </c>
      <c r="J167" s="146">
        <f t="shared" si="68"/>
        <v>0</v>
      </c>
      <c r="K167" s="7">
        <f t="shared" ref="K167" si="71">+ROUND(I167+J167*TC,2)</f>
        <v>3000</v>
      </c>
      <c r="L167" s="289"/>
    </row>
    <row r="168" spans="2:12" ht="14.1" customHeight="1" outlineLevel="1">
      <c r="B168" s="298">
        <f t="shared" si="65"/>
        <v>5.0904999999999969</v>
      </c>
      <c r="C168" s="150" t="s">
        <v>2811</v>
      </c>
      <c r="D168" s="285" t="s">
        <v>141</v>
      </c>
      <c r="E168" s="286">
        <v>3</v>
      </c>
      <c r="F168" s="7">
        <v>395</v>
      </c>
      <c r="G168" s="703"/>
      <c r="H168" s="145">
        <f t="shared" si="66"/>
        <v>395</v>
      </c>
      <c r="I168" s="145">
        <f t="shared" si="67"/>
        <v>1185</v>
      </c>
      <c r="J168" s="146">
        <f t="shared" si="68"/>
        <v>0</v>
      </c>
      <c r="K168" s="7">
        <f t="shared" si="69"/>
        <v>1185</v>
      </c>
      <c r="L168" s="289"/>
    </row>
    <row r="169" spans="2:12" ht="14.1" customHeight="1" outlineLevel="1">
      <c r="B169" s="298">
        <f t="shared" si="65"/>
        <v>5.0905999999999967</v>
      </c>
      <c r="C169" s="150" t="s">
        <v>1616</v>
      </c>
      <c r="D169" s="285" t="s">
        <v>141</v>
      </c>
      <c r="E169" s="286">
        <v>125.4</v>
      </c>
      <c r="F169" s="7">
        <v>255.5</v>
      </c>
      <c r="G169" s="703"/>
      <c r="H169" s="145">
        <f t="shared" si="66"/>
        <v>255.5</v>
      </c>
      <c r="I169" s="145">
        <f t="shared" si="67"/>
        <v>32039.7</v>
      </c>
      <c r="J169" s="146">
        <f t="shared" si="68"/>
        <v>0</v>
      </c>
      <c r="K169" s="7">
        <f t="shared" si="69"/>
        <v>32039.7</v>
      </c>
      <c r="L169" s="289"/>
    </row>
    <row r="170" spans="2:12" ht="14.1" customHeight="1" outlineLevel="1">
      <c r="B170" s="298">
        <f t="shared" si="65"/>
        <v>5.0906999999999965</v>
      </c>
      <c r="C170" s="150" t="s">
        <v>1617</v>
      </c>
      <c r="D170" s="285" t="s">
        <v>121</v>
      </c>
      <c r="E170" s="286">
        <v>0</v>
      </c>
      <c r="F170" s="288">
        <v>985</v>
      </c>
      <c r="G170" s="703"/>
      <c r="H170" s="145">
        <f t="shared" si="66"/>
        <v>985</v>
      </c>
      <c r="I170" s="145">
        <f t="shared" si="67"/>
        <v>0</v>
      </c>
      <c r="J170" s="146">
        <f t="shared" si="68"/>
        <v>0</v>
      </c>
      <c r="K170" s="7">
        <f t="shared" si="69"/>
        <v>0</v>
      </c>
      <c r="L170" s="289"/>
    </row>
    <row r="171" spans="2:12" ht="14.1" customHeight="1" outlineLevel="1">
      <c r="B171" s="298">
        <f t="shared" si="65"/>
        <v>5.0907999999999962</v>
      </c>
      <c r="C171" s="150" t="s">
        <v>1618</v>
      </c>
      <c r="D171" s="285" t="s">
        <v>121</v>
      </c>
      <c r="E171" s="286">
        <v>0</v>
      </c>
      <c r="F171" s="288">
        <v>300</v>
      </c>
      <c r="G171" s="703"/>
      <c r="H171" s="145">
        <f t="shared" si="66"/>
        <v>300</v>
      </c>
      <c r="I171" s="145">
        <f t="shared" si="67"/>
        <v>0</v>
      </c>
      <c r="J171" s="146">
        <f t="shared" si="68"/>
        <v>0</v>
      </c>
      <c r="K171" s="7">
        <f t="shared" si="69"/>
        <v>0</v>
      </c>
      <c r="L171" s="289"/>
    </row>
    <row r="172" spans="2:12" ht="14.1" customHeight="1" outlineLevel="1">
      <c r="B172" s="298">
        <f t="shared" si="65"/>
        <v>5.090899999999996</v>
      </c>
      <c r="C172" s="150" t="s">
        <v>1619</v>
      </c>
      <c r="D172" s="285" t="s">
        <v>121</v>
      </c>
      <c r="E172" s="286">
        <v>3</v>
      </c>
      <c r="F172" s="288">
        <v>1000</v>
      </c>
      <c r="G172" s="703"/>
      <c r="H172" s="145">
        <f t="shared" si="66"/>
        <v>1000</v>
      </c>
      <c r="I172" s="145">
        <f t="shared" si="67"/>
        <v>3000</v>
      </c>
      <c r="J172" s="146">
        <f t="shared" si="68"/>
        <v>0</v>
      </c>
      <c r="K172" s="7">
        <f t="shared" si="69"/>
        <v>3000</v>
      </c>
      <c r="L172" s="289"/>
    </row>
    <row r="173" spans="2:12" ht="14.1" customHeight="1" outlineLevel="1">
      <c r="B173" s="298">
        <f t="shared" si="65"/>
        <v>5.0909999999999958</v>
      </c>
      <c r="C173" s="150" t="s">
        <v>1620</v>
      </c>
      <c r="D173" s="285" t="s">
        <v>121</v>
      </c>
      <c r="E173" s="286">
        <v>1</v>
      </c>
      <c r="F173" s="288">
        <v>1000</v>
      </c>
      <c r="G173" s="703"/>
      <c r="H173" s="145">
        <f t="shared" ref="H173" si="72">+ROUND(F173+G173*TC,2)</f>
        <v>1000</v>
      </c>
      <c r="I173" s="145">
        <f t="shared" ref="I173" si="73">+ROUND(E173*F173,2)</f>
        <v>1000</v>
      </c>
      <c r="J173" s="146">
        <f t="shared" ref="J173" si="74">+ROUND(E173*G173,2)</f>
        <v>0</v>
      </c>
      <c r="K173" s="7">
        <f t="shared" ref="K173" si="75">+ROUND(I173+J173*TC,2)</f>
        <v>1000</v>
      </c>
      <c r="L173" s="289"/>
    </row>
    <row r="174" spans="2:12" ht="14.1" customHeight="1" outlineLevel="1">
      <c r="B174" s="298">
        <f t="shared" si="65"/>
        <v>5.0910999999999955</v>
      </c>
      <c r="C174" s="150" t="s">
        <v>1621</v>
      </c>
      <c r="D174" s="285" t="s">
        <v>121</v>
      </c>
      <c r="E174" s="286">
        <v>3</v>
      </c>
      <c r="F174" s="288">
        <v>985</v>
      </c>
      <c r="G174" s="703"/>
      <c r="H174" s="145">
        <f t="shared" si="66"/>
        <v>985</v>
      </c>
      <c r="I174" s="145">
        <f t="shared" si="67"/>
        <v>2955</v>
      </c>
      <c r="J174" s="146">
        <f t="shared" si="68"/>
        <v>0</v>
      </c>
      <c r="K174" s="7">
        <f t="shared" si="69"/>
        <v>2955</v>
      </c>
      <c r="L174" s="289"/>
    </row>
    <row r="175" spans="2:12" ht="14.1" customHeight="1" outlineLevel="1">
      <c r="B175" s="298">
        <f t="shared" si="65"/>
        <v>5.0911999999999953</v>
      </c>
      <c r="C175" s="150" t="s">
        <v>1622</v>
      </c>
      <c r="D175" s="285" t="s">
        <v>141</v>
      </c>
      <c r="E175" s="286">
        <v>70.249999999999986</v>
      </c>
      <c r="F175" s="288">
        <v>220</v>
      </c>
      <c r="G175" s="703"/>
      <c r="H175" s="145">
        <f t="shared" si="66"/>
        <v>220</v>
      </c>
      <c r="I175" s="145">
        <f t="shared" si="67"/>
        <v>15455</v>
      </c>
      <c r="J175" s="146">
        <f t="shared" si="68"/>
        <v>0</v>
      </c>
      <c r="K175" s="7">
        <f t="shared" si="69"/>
        <v>15455</v>
      </c>
      <c r="L175" s="289"/>
    </row>
    <row r="176" spans="2:12" ht="14.1" customHeight="1" outlineLevel="1">
      <c r="B176" s="298">
        <f t="shared" si="65"/>
        <v>5.0912999999999951</v>
      </c>
      <c r="C176" s="150" t="s">
        <v>1623</v>
      </c>
      <c r="D176" s="285" t="s">
        <v>141</v>
      </c>
      <c r="E176" s="286">
        <v>41.769999999999996</v>
      </c>
      <c r="F176" s="288">
        <v>350</v>
      </c>
      <c r="G176" s="703"/>
      <c r="H176" s="145">
        <f t="shared" ref="H176" si="76">+ROUND(F176+G176*TC,2)</f>
        <v>350</v>
      </c>
      <c r="I176" s="145">
        <f t="shared" si="67"/>
        <v>14619.5</v>
      </c>
      <c r="J176" s="146">
        <f t="shared" si="68"/>
        <v>0</v>
      </c>
      <c r="K176" s="7">
        <f t="shared" ref="K176" si="77">+ROUND(I176+J176*TC,2)</f>
        <v>14619.5</v>
      </c>
      <c r="L176" s="289"/>
    </row>
    <row r="177" spans="2:12" ht="14.1" customHeight="1" outlineLevel="1">
      <c r="B177" s="298">
        <f t="shared" si="65"/>
        <v>5.0913999999999948</v>
      </c>
      <c r="C177" s="150" t="s">
        <v>1624</v>
      </c>
      <c r="D177" s="285" t="s">
        <v>141</v>
      </c>
      <c r="E177" s="286">
        <v>2.7</v>
      </c>
      <c r="F177" s="288">
        <v>450</v>
      </c>
      <c r="G177" s="703"/>
      <c r="H177" s="145">
        <f t="shared" si="66"/>
        <v>450</v>
      </c>
      <c r="I177" s="145">
        <f t="shared" si="67"/>
        <v>1215</v>
      </c>
      <c r="J177" s="146">
        <f t="shared" si="68"/>
        <v>0</v>
      </c>
      <c r="K177" s="7">
        <f t="shared" si="69"/>
        <v>1215</v>
      </c>
      <c r="L177" s="289"/>
    </row>
    <row r="178" spans="2:12" ht="14.1" customHeight="1">
      <c r="B178" s="693">
        <f>B163+0.01</f>
        <v>5.0999999999999979</v>
      </c>
      <c r="C178" s="694" t="s">
        <v>711</v>
      </c>
      <c r="D178" s="285"/>
      <c r="E178" s="286">
        <v>0</v>
      </c>
      <c r="F178" s="7"/>
      <c r="G178" s="4"/>
      <c r="H178" s="145"/>
      <c r="I178" s="145"/>
      <c r="J178" s="146"/>
      <c r="K178" s="7"/>
      <c r="L178" s="276">
        <f>SUM(I178:I207)+SUM(J178:J207)*TC</f>
        <v>177690.77000000005</v>
      </c>
    </row>
    <row r="179" spans="2:12" ht="14.1" customHeight="1" outlineLevel="1">
      <c r="B179" s="301">
        <f>B178+0.0001</f>
        <v>5.1000999999999976</v>
      </c>
      <c r="C179" s="349" t="s">
        <v>706</v>
      </c>
      <c r="D179" s="285"/>
      <c r="E179" s="286">
        <v>0</v>
      </c>
      <c r="F179" s="7"/>
      <c r="G179" s="287"/>
      <c r="H179" s="145"/>
      <c r="I179" s="145"/>
      <c r="J179" s="146"/>
      <c r="K179" s="7"/>
      <c r="L179" s="289"/>
    </row>
    <row r="180" spans="2:12" ht="14.1" customHeight="1" outlineLevel="2">
      <c r="B180" s="698">
        <f>B174+0.000001</f>
        <v>5.0911009999999957</v>
      </c>
      <c r="C180" s="689" t="s">
        <v>1625</v>
      </c>
      <c r="D180" s="285"/>
      <c r="E180" s="286">
        <v>0</v>
      </c>
      <c r="F180" s="7"/>
      <c r="G180" s="287"/>
      <c r="H180" s="145"/>
      <c r="I180" s="145"/>
      <c r="J180" s="146"/>
      <c r="K180" s="7"/>
      <c r="L180" s="289"/>
    </row>
    <row r="181" spans="2:12" ht="14.1" customHeight="1" outlineLevel="3">
      <c r="B181" s="699">
        <f>B180+0.00000001</f>
        <v>5.0911010099999956</v>
      </c>
      <c r="C181" s="45" t="s">
        <v>1626</v>
      </c>
      <c r="D181" s="285" t="s">
        <v>82</v>
      </c>
      <c r="E181" s="286">
        <v>3595.8666000000003</v>
      </c>
      <c r="F181" s="7">
        <v>17.5</v>
      </c>
      <c r="G181" s="287">
        <v>0</v>
      </c>
      <c r="H181" s="145">
        <f>+ROUND(F181+G181*TC,2)</f>
        <v>17.5</v>
      </c>
      <c r="I181" s="145">
        <f>+ROUND(E181*F181,2)</f>
        <v>62927.67</v>
      </c>
      <c r="J181" s="146">
        <f>+ROUND(E181*G181,2)</f>
        <v>0</v>
      </c>
      <c r="K181" s="7">
        <f>+ROUND(I181+J181*TC,2)</f>
        <v>62927.67</v>
      </c>
      <c r="L181" s="289"/>
    </row>
    <row r="182" spans="2:12" ht="14.1" customHeight="1" outlineLevel="2">
      <c r="B182" s="698">
        <f>B179+0.000001</f>
        <v>5.1001009999999978</v>
      </c>
      <c r="C182" s="689" t="s">
        <v>1627</v>
      </c>
      <c r="D182" s="285"/>
      <c r="E182" s="286">
        <v>0</v>
      </c>
      <c r="F182" s="7" t="s">
        <v>27</v>
      </c>
      <c r="G182" s="287"/>
      <c r="H182" s="145"/>
      <c r="I182" s="145"/>
      <c r="J182" s="146"/>
      <c r="K182" s="7"/>
      <c r="L182" s="289"/>
    </row>
    <row r="183" spans="2:12" ht="30.6" customHeight="1" outlineLevel="3">
      <c r="B183" s="699">
        <f>B182+0.00000001</f>
        <v>5.1001010099999977</v>
      </c>
      <c r="C183" s="45" t="s">
        <v>1628</v>
      </c>
      <c r="D183" s="285" t="s">
        <v>82</v>
      </c>
      <c r="E183" s="286">
        <v>2597.1333999999997</v>
      </c>
      <c r="F183" s="7">
        <v>12.25</v>
      </c>
      <c r="G183" s="4"/>
      <c r="H183" s="145">
        <f>+ROUND(F183+G183*TC,2)</f>
        <v>12.25</v>
      </c>
      <c r="I183" s="145">
        <f>+ROUND(E183*F183,2)</f>
        <v>31814.880000000001</v>
      </c>
      <c r="J183" s="146">
        <f>+ROUND(E183*G183,2)</f>
        <v>0</v>
      </c>
      <c r="K183" s="7">
        <f>+ROUND(I183+J183*TC,2)</f>
        <v>31814.880000000001</v>
      </c>
      <c r="L183" s="289"/>
    </row>
    <row r="184" spans="2:12" ht="14.1" customHeight="1" outlineLevel="2">
      <c r="B184" s="698">
        <f>B179+0.000001</f>
        <v>5.1001009999999978</v>
      </c>
      <c r="C184" s="689" t="s">
        <v>2559</v>
      </c>
      <c r="D184" s="285"/>
      <c r="E184" s="286">
        <v>0</v>
      </c>
      <c r="F184" s="7" t="s">
        <v>27</v>
      </c>
      <c r="G184" s="287"/>
      <c r="H184" s="145"/>
      <c r="I184" s="145"/>
      <c r="J184" s="146"/>
      <c r="K184" s="7"/>
      <c r="L184" s="289"/>
    </row>
    <row r="185" spans="2:12" ht="30.6" customHeight="1" outlineLevel="3">
      <c r="B185" s="699">
        <f>B181+0.00000001</f>
        <v>5.0911010199999955</v>
      </c>
      <c r="C185" s="45" t="s">
        <v>1628</v>
      </c>
      <c r="D185" s="285" t="s">
        <v>82</v>
      </c>
      <c r="E185" s="286">
        <v>2898.9120000000016</v>
      </c>
      <c r="F185" s="7">
        <v>12.25</v>
      </c>
      <c r="G185" s="4"/>
      <c r="H185" s="145">
        <f>+ROUND(F185+G185*TC,2)</f>
        <v>12.25</v>
      </c>
      <c r="I185" s="145">
        <f>+ROUND(E185*F185,2)</f>
        <v>35511.67</v>
      </c>
      <c r="J185" s="146">
        <f>+ROUND(E185*G185,2)</f>
        <v>0</v>
      </c>
      <c r="K185" s="7">
        <f>+ROUND(I185+J185*TC,2)</f>
        <v>35511.67</v>
      </c>
      <c r="L185" s="289"/>
    </row>
    <row r="186" spans="2:12" ht="14.1" customHeight="1" outlineLevel="2">
      <c r="B186" s="698">
        <f>B182+0.000001</f>
        <v>5.1001019999999979</v>
      </c>
      <c r="C186" s="689" t="s">
        <v>1629</v>
      </c>
      <c r="D186" s="285"/>
      <c r="E186" s="286">
        <v>0</v>
      </c>
      <c r="F186" s="7" t="s">
        <v>27</v>
      </c>
      <c r="G186" s="287"/>
      <c r="H186" s="145"/>
      <c r="I186" s="145"/>
      <c r="J186" s="146"/>
      <c r="K186" s="7"/>
      <c r="L186" s="289"/>
    </row>
    <row r="187" spans="2:12" ht="25.9" customHeight="1" outlineLevel="3">
      <c r="B187" s="699">
        <f>B186+0.00000001</f>
        <v>5.1001020099999979</v>
      </c>
      <c r="C187" s="45" t="s">
        <v>1630</v>
      </c>
      <c r="D187" s="285" t="s">
        <v>82</v>
      </c>
      <c r="E187" s="286">
        <v>24.795904000000011</v>
      </c>
      <c r="F187" s="7">
        <v>12.25</v>
      </c>
      <c r="G187" s="4"/>
      <c r="H187" s="145">
        <f>+ROUND(F187+G187*TC,2)</f>
        <v>12.25</v>
      </c>
      <c r="I187" s="145">
        <f>+ROUND(E187*F187,2)</f>
        <v>303.75</v>
      </c>
      <c r="J187" s="146">
        <f>+ROUND(E187*G187,2)</f>
        <v>0</v>
      </c>
      <c r="K187" s="7">
        <f>+ROUND(I187+J187*TC,2)</f>
        <v>303.75</v>
      </c>
      <c r="L187" s="289"/>
    </row>
    <row r="188" spans="2:12" ht="14.1" customHeight="1" outlineLevel="2">
      <c r="B188" s="698">
        <f>B186+0.000001</f>
        <v>5.1001029999999981</v>
      </c>
      <c r="C188" s="689" t="s">
        <v>1574</v>
      </c>
      <c r="D188" s="285"/>
      <c r="E188" s="286">
        <v>0</v>
      </c>
      <c r="F188" s="7" t="s">
        <v>27</v>
      </c>
      <c r="G188" s="287"/>
      <c r="H188" s="145"/>
      <c r="I188" s="145"/>
      <c r="J188" s="146"/>
      <c r="K188" s="7"/>
      <c r="L188" s="289"/>
    </row>
    <row r="189" spans="2:12" ht="25.9" customHeight="1" outlineLevel="3">
      <c r="B189" s="699">
        <f>B188+0.00000001</f>
        <v>5.100103009999998</v>
      </c>
      <c r="C189" s="45" t="s">
        <v>1631</v>
      </c>
      <c r="D189" s="285" t="s">
        <v>82</v>
      </c>
      <c r="E189" s="286">
        <v>20.330000000000002</v>
      </c>
      <c r="F189" s="7">
        <v>27</v>
      </c>
      <c r="G189" s="4"/>
      <c r="H189" s="145">
        <f>+ROUND(F189+G189*TC,2)</f>
        <v>27</v>
      </c>
      <c r="I189" s="145">
        <f>+ROUND(E189*F189,2)</f>
        <v>548.91</v>
      </c>
      <c r="J189" s="146">
        <f>+ROUND(E189*G189,2)</f>
        <v>0</v>
      </c>
      <c r="K189" s="7">
        <f>+ROUND(I189+J189*TC,2)</f>
        <v>548.91</v>
      </c>
      <c r="L189" s="289"/>
    </row>
    <row r="190" spans="2:12" ht="25.9" customHeight="1" outlineLevel="3">
      <c r="B190" s="699">
        <f>B189+0.00000001</f>
        <v>5.1001030199999979</v>
      </c>
      <c r="C190" s="45" t="s">
        <v>1632</v>
      </c>
      <c r="D190" s="285" t="s">
        <v>82</v>
      </c>
      <c r="E190" s="286">
        <v>15.09</v>
      </c>
      <c r="F190" s="7">
        <v>27</v>
      </c>
      <c r="G190" s="4"/>
      <c r="H190" s="145">
        <f>+ROUND(F190+G190*TC,2)</f>
        <v>27</v>
      </c>
      <c r="I190" s="145">
        <f>+ROUND(E190*F190,2)</f>
        <v>407.43</v>
      </c>
      <c r="J190" s="146">
        <f>+ROUND(E190*G190,2)</f>
        <v>0</v>
      </c>
      <c r="K190" s="7">
        <f>+ROUND(I190+J190*TC,2)</f>
        <v>407.43</v>
      </c>
      <c r="L190" s="289"/>
    </row>
    <row r="191" spans="2:12" ht="23.45" customHeight="1" outlineLevel="2">
      <c r="B191" s="687">
        <f>B187+0.000001</f>
        <v>5.100103009999998</v>
      </c>
      <c r="C191" s="689" t="s">
        <v>1633</v>
      </c>
      <c r="D191" s="285"/>
      <c r="E191" s="286">
        <v>0</v>
      </c>
      <c r="F191" s="7" t="s">
        <v>27</v>
      </c>
      <c r="G191" s="4"/>
      <c r="H191" s="145"/>
      <c r="I191" s="145"/>
      <c r="J191" s="146"/>
      <c r="K191" s="7"/>
      <c r="L191" s="289"/>
    </row>
    <row r="192" spans="2:12" ht="32.450000000000003" customHeight="1" outlineLevel="2">
      <c r="B192" s="687">
        <f>B191+0.000001</f>
        <v>5.1001040099999981</v>
      </c>
      <c r="C192" s="45" t="s">
        <v>1630</v>
      </c>
      <c r="D192" s="285" t="s">
        <v>82</v>
      </c>
      <c r="E192" s="286">
        <v>219.1</v>
      </c>
      <c r="F192" s="7">
        <v>12.25</v>
      </c>
      <c r="G192" s="4"/>
      <c r="H192" s="145">
        <f>+ROUND(F192+G192*TC,2)</f>
        <v>12.25</v>
      </c>
      <c r="I192" s="145">
        <f>+ROUND(E192*F192,2)</f>
        <v>2683.98</v>
      </c>
      <c r="J192" s="146">
        <f>+ROUND(E192*G192,2)</f>
        <v>0</v>
      </c>
      <c r="K192" s="7">
        <f>+ROUND(I192+J192*TC,2)</f>
        <v>2683.98</v>
      </c>
      <c r="L192" s="289"/>
    </row>
    <row r="193" spans="1:12" ht="14.1" customHeight="1" outlineLevel="2">
      <c r="B193" s="698">
        <f>B186+0.000001</f>
        <v>5.1001029999999981</v>
      </c>
      <c r="C193" s="689" t="s">
        <v>1561</v>
      </c>
      <c r="D193" s="285"/>
      <c r="E193" s="286">
        <v>0</v>
      </c>
      <c r="F193" s="7"/>
      <c r="G193" s="287"/>
      <c r="H193" s="145"/>
      <c r="I193" s="145"/>
      <c r="J193" s="146"/>
      <c r="K193" s="7"/>
      <c r="L193" s="289"/>
    </row>
    <row r="194" spans="1:12" ht="46.15" customHeight="1" outlineLevel="4">
      <c r="A194" s="21"/>
      <c r="B194" s="704">
        <f>B193+0.0000000001</f>
        <v>5.1001030000999981</v>
      </c>
      <c r="C194" s="45" t="s">
        <v>1630</v>
      </c>
      <c r="D194" s="285" t="s">
        <v>82</v>
      </c>
      <c r="E194" s="286">
        <v>326.00735999999995</v>
      </c>
      <c r="F194" s="7">
        <v>12.25</v>
      </c>
      <c r="G194" s="287"/>
      <c r="H194" s="145">
        <f>+ROUND(F194+G194*TC,2)</f>
        <v>12.25</v>
      </c>
      <c r="I194" s="145">
        <f t="shared" ref="I194" si="78">+ROUND(E194*F194,2)</f>
        <v>3993.59</v>
      </c>
      <c r="J194" s="146">
        <f t="shared" ref="J194" si="79">+ROUND(E194*G194,2)</f>
        <v>0</v>
      </c>
      <c r="K194" s="7">
        <f>+ROUND(I194+J194*TC,2)</f>
        <v>3993.59</v>
      </c>
      <c r="L194" s="289"/>
    </row>
    <row r="195" spans="1:12" ht="14.1" customHeight="1" outlineLevel="3">
      <c r="B195" s="687"/>
      <c r="C195" s="689" t="s">
        <v>1634</v>
      </c>
      <c r="D195" s="285"/>
      <c r="E195" s="286"/>
      <c r="F195" s="7"/>
      <c r="G195" s="4"/>
      <c r="H195" s="145">
        <f>+ROUND(F195+G195*TC,2)</f>
        <v>0</v>
      </c>
      <c r="I195" s="145">
        <f>+ROUND(E195*F195,2)</f>
        <v>0</v>
      </c>
      <c r="J195" s="146">
        <f>+ROUND(E195*G195,2)</f>
        <v>0</v>
      </c>
      <c r="K195" s="7">
        <f>+ROUND(I195+J195*TC,2)</f>
        <v>0</v>
      </c>
      <c r="L195" s="276"/>
    </row>
    <row r="196" spans="1:12" ht="14.1" customHeight="1" outlineLevel="3">
      <c r="B196" s="687"/>
      <c r="C196" s="149" t="s">
        <v>711</v>
      </c>
      <c r="D196" s="285" t="s">
        <v>82</v>
      </c>
      <c r="E196" s="286">
        <v>80.955000000000013</v>
      </c>
      <c r="F196" s="7">
        <v>27</v>
      </c>
      <c r="G196" s="4"/>
      <c r="H196" s="145">
        <f>+ROUND(F196+G196*TC,2)</f>
        <v>27</v>
      </c>
      <c r="I196" s="145">
        <f>+ROUND(E196*F196,2)</f>
        <v>2185.79</v>
      </c>
      <c r="J196" s="146">
        <f>+ROUND(E196*G196,2)</f>
        <v>0</v>
      </c>
      <c r="K196" s="7">
        <f>+ROUND(I196+J196*TC,2)</f>
        <v>2185.79</v>
      </c>
      <c r="L196" s="276"/>
    </row>
    <row r="197" spans="1:12" ht="14.1" customHeight="1" outlineLevel="3">
      <c r="B197" s="687"/>
      <c r="C197" s="149" t="s">
        <v>711</v>
      </c>
      <c r="D197" s="285" t="s">
        <v>82</v>
      </c>
      <c r="E197" s="286">
        <v>173.27099999999999</v>
      </c>
      <c r="F197" s="7">
        <v>27</v>
      </c>
      <c r="G197" s="4"/>
      <c r="H197" s="145">
        <f>+ROUND(F197+G197*TC,2)</f>
        <v>27</v>
      </c>
      <c r="I197" s="145">
        <f>+ROUND(E197*F197,2)</f>
        <v>4678.32</v>
      </c>
      <c r="J197" s="146">
        <f>+ROUND(E197*G197,2)</f>
        <v>0</v>
      </c>
      <c r="K197" s="7">
        <f>+ROUND(I197+J197*TC,2)</f>
        <v>4678.32</v>
      </c>
      <c r="L197" s="276"/>
    </row>
    <row r="198" spans="1:12" ht="14.1" customHeight="1" outlineLevel="1">
      <c r="B198" s="301">
        <f>B194+0.0001</f>
        <v>5.1002030000999978</v>
      </c>
      <c r="C198" s="349" t="s">
        <v>1554</v>
      </c>
      <c r="D198" s="285"/>
      <c r="E198" s="286">
        <v>0</v>
      </c>
      <c r="F198" s="7"/>
      <c r="G198" s="287"/>
      <c r="H198" s="145"/>
      <c r="I198" s="145"/>
      <c r="J198" s="146"/>
      <c r="K198" s="7"/>
      <c r="L198" s="289"/>
    </row>
    <row r="199" spans="1:12" ht="14.1" customHeight="1" outlineLevel="2">
      <c r="B199" s="698">
        <f>B198+0.000001</f>
        <v>5.100204000099998</v>
      </c>
      <c r="C199" s="689" t="s">
        <v>1635</v>
      </c>
      <c r="D199" s="285"/>
      <c r="E199" s="286">
        <v>0</v>
      </c>
      <c r="F199" s="7"/>
      <c r="G199" s="287"/>
      <c r="H199" s="145"/>
      <c r="I199" s="145"/>
      <c r="J199" s="146"/>
      <c r="K199" s="7"/>
      <c r="L199" s="289"/>
    </row>
    <row r="200" spans="1:12" ht="34.9" customHeight="1" outlineLevel="4">
      <c r="A200" s="21"/>
      <c r="B200" s="704">
        <f>B199+0.0000000001</f>
        <v>5.100204000199998</v>
      </c>
      <c r="C200" s="45" t="s">
        <v>1636</v>
      </c>
      <c r="D200" s="285" t="s">
        <v>82</v>
      </c>
      <c r="E200" s="286">
        <v>2017.3510525697052</v>
      </c>
      <c r="F200" s="7">
        <v>13.53</v>
      </c>
      <c r="G200" s="287"/>
      <c r="H200" s="145">
        <f>+ROUND(F200+G200*TC,2)</f>
        <v>13.53</v>
      </c>
      <c r="I200" s="145">
        <f t="shared" ref="I200:I201" si="80">+ROUND(E200*F200,2)</f>
        <v>27294.76</v>
      </c>
      <c r="J200" s="146">
        <f t="shared" ref="J200:J201" si="81">+ROUND(E200*G200,2)</f>
        <v>0</v>
      </c>
      <c r="K200" s="7">
        <f>+ROUND(I200+J200*TC,2)</f>
        <v>27294.76</v>
      </c>
      <c r="L200" s="289"/>
    </row>
    <row r="201" spans="1:12" ht="34.9" customHeight="1" outlineLevel="4">
      <c r="A201" s="21"/>
      <c r="B201" s="704">
        <f>B200+0.0000000001</f>
        <v>5.100204000299998</v>
      </c>
      <c r="C201" s="45" t="s">
        <v>1637</v>
      </c>
      <c r="D201" s="285" t="s">
        <v>82</v>
      </c>
      <c r="E201" s="286">
        <v>0</v>
      </c>
      <c r="F201" s="7">
        <v>13.53</v>
      </c>
      <c r="G201" s="287"/>
      <c r="H201" s="145">
        <f>+ROUND(F201+G201*TC,2)</f>
        <v>13.53</v>
      </c>
      <c r="I201" s="145">
        <f t="shared" si="80"/>
        <v>0</v>
      </c>
      <c r="J201" s="146">
        <f t="shared" si="81"/>
        <v>0</v>
      </c>
      <c r="K201" s="7">
        <f>+ROUND(I201+J201*TC,2)</f>
        <v>0</v>
      </c>
      <c r="L201" s="289"/>
    </row>
    <row r="202" spans="1:12" ht="14.1" customHeight="1" outlineLevel="2">
      <c r="B202" s="698">
        <f>B198+0.000001</f>
        <v>5.100204000099998</v>
      </c>
      <c r="C202" s="689" t="s">
        <v>1574</v>
      </c>
      <c r="D202" s="285"/>
      <c r="E202" s="286">
        <v>0</v>
      </c>
      <c r="F202" s="7"/>
      <c r="G202" s="287"/>
      <c r="H202" s="145"/>
      <c r="I202" s="145"/>
      <c r="J202" s="146"/>
      <c r="K202" s="7"/>
      <c r="L202" s="289"/>
    </row>
    <row r="203" spans="1:12" ht="46.15" customHeight="1" outlineLevel="4">
      <c r="A203" s="21"/>
      <c r="B203" s="704">
        <f>B202+0.0000000001</f>
        <v>5.100204000199998</v>
      </c>
      <c r="C203" s="359" t="s">
        <v>1638</v>
      </c>
      <c r="D203" s="285" t="s">
        <v>82</v>
      </c>
      <c r="E203" s="286">
        <v>13.543999999999999</v>
      </c>
      <c r="F203" s="7">
        <v>26.5</v>
      </c>
      <c r="G203" s="287"/>
      <c r="H203" s="145">
        <f>+ROUND(F203+G203*TC,2)</f>
        <v>26.5</v>
      </c>
      <c r="I203" s="145">
        <f t="shared" ref="I203" si="82">+ROUND(E203*F203,2)</f>
        <v>358.92</v>
      </c>
      <c r="J203" s="146">
        <f t="shared" ref="J203" si="83">+ROUND(E203*G203,2)</f>
        <v>0</v>
      </c>
      <c r="K203" s="7">
        <f>+ROUND(I203+J203*TC,2)</f>
        <v>358.92</v>
      </c>
      <c r="L203" s="289"/>
    </row>
    <row r="204" spans="1:12" ht="14.1" customHeight="1" outlineLevel="1">
      <c r="B204" s="301">
        <f>B179+0.0001</f>
        <v>5.1001999999999974</v>
      </c>
      <c r="C204" s="349" t="s">
        <v>1639</v>
      </c>
      <c r="D204" s="285"/>
      <c r="E204" s="286">
        <v>0</v>
      </c>
      <c r="F204" s="7"/>
      <c r="G204" s="287"/>
      <c r="H204" s="145"/>
      <c r="I204" s="145"/>
      <c r="J204" s="146"/>
      <c r="K204" s="7"/>
      <c r="L204" s="289"/>
    </row>
    <row r="205" spans="1:12" ht="14.1" customHeight="1" outlineLevel="2">
      <c r="B205" s="687">
        <f>B204+0.000001</f>
        <v>5.1002009999999975</v>
      </c>
      <c r="C205" s="45" t="s">
        <v>750</v>
      </c>
      <c r="D205" s="701" t="s">
        <v>82</v>
      </c>
      <c r="E205" s="286">
        <v>287.99</v>
      </c>
      <c r="F205" s="7">
        <v>12.25</v>
      </c>
      <c r="G205" s="4"/>
      <c r="H205" s="145">
        <f>+ROUND(F205+G205*TC,2)</f>
        <v>12.25</v>
      </c>
      <c r="I205" s="145">
        <f>+ROUND(E205*F205,2)</f>
        <v>3527.88</v>
      </c>
      <c r="J205" s="146">
        <f>+ROUND(E205*G205,2)</f>
        <v>0</v>
      </c>
      <c r="K205" s="7">
        <f>+ROUND(I205+J205*TC,2)</f>
        <v>3527.88</v>
      </c>
      <c r="L205" s="289"/>
    </row>
    <row r="206" spans="1:12" ht="14.1" customHeight="1" outlineLevel="2">
      <c r="B206" s="687">
        <f>B205+0.000001</f>
        <v>5.1002019999999977</v>
      </c>
      <c r="C206" s="45" t="s">
        <v>751</v>
      </c>
      <c r="D206" s="701" t="s">
        <v>82</v>
      </c>
      <c r="E206" s="286">
        <v>36.71</v>
      </c>
      <c r="F206" s="7">
        <v>12.25</v>
      </c>
      <c r="G206" s="4"/>
      <c r="H206" s="145">
        <f>+ROUND(F206+G206*TC,2)</f>
        <v>12.25</v>
      </c>
      <c r="I206" s="145">
        <f>+ROUND(E206*F206,2)</f>
        <v>449.7</v>
      </c>
      <c r="J206" s="146">
        <f>+ROUND(E206*G206,2)</f>
        <v>0</v>
      </c>
      <c r="K206" s="7">
        <f>+ROUND(I206+J206*TC,2)</f>
        <v>449.7</v>
      </c>
      <c r="L206" s="289"/>
    </row>
    <row r="207" spans="1:12" ht="14.1" customHeight="1" outlineLevel="2">
      <c r="B207" s="687">
        <f>B206+0.000001</f>
        <v>5.1002029999999978</v>
      </c>
      <c r="C207" s="45" t="s">
        <v>752</v>
      </c>
      <c r="D207" s="701" t="s">
        <v>82</v>
      </c>
      <c r="E207" s="286">
        <v>81.920000000000016</v>
      </c>
      <c r="F207" s="7">
        <v>12.25</v>
      </c>
      <c r="G207" s="4"/>
      <c r="H207" s="145">
        <f>+ROUND(F207+G207*TC,2)</f>
        <v>12.25</v>
      </c>
      <c r="I207" s="145">
        <f>+ROUND(E207*F207,2)</f>
        <v>1003.52</v>
      </c>
      <c r="J207" s="146">
        <f>+ROUND(E207*G207,2)</f>
        <v>0</v>
      </c>
      <c r="K207" s="7">
        <f>+ROUND(I207+J207*TC,2)</f>
        <v>1003.52</v>
      </c>
      <c r="L207" s="289"/>
    </row>
    <row r="208" spans="1:12" ht="14.1" customHeight="1">
      <c r="B208" s="693">
        <f>B178+0.01</f>
        <v>5.1099999999999977</v>
      </c>
      <c r="C208" s="694" t="s">
        <v>1640</v>
      </c>
      <c r="D208" s="285"/>
      <c r="E208" s="286">
        <v>0</v>
      </c>
      <c r="F208" s="7"/>
      <c r="G208" s="4"/>
      <c r="H208" s="145"/>
      <c r="I208" s="145"/>
      <c r="J208" s="146"/>
      <c r="K208" s="7"/>
      <c r="L208" s="276">
        <f>SUM(I208:I217)+SUM(J208:J217)*TC</f>
        <v>56878.14</v>
      </c>
    </row>
    <row r="209" spans="2:12" outlineLevel="1">
      <c r="B209" s="298">
        <f t="shared" ref="B209:B217" si="84">B208+0.0001</f>
        <v>5.1100999999999974</v>
      </c>
      <c r="C209" s="150" t="s">
        <v>1641</v>
      </c>
      <c r="D209" s="701" t="s">
        <v>141</v>
      </c>
      <c r="E209" s="286">
        <v>2415</v>
      </c>
      <c r="F209" s="288">
        <v>7.2</v>
      </c>
      <c r="G209" s="4"/>
      <c r="H209" s="145">
        <f t="shared" ref="H209:H217" si="85">+ROUND(F209+G209*TC,2)</f>
        <v>7.2</v>
      </c>
      <c r="I209" s="145">
        <f t="shared" ref="I209:I217" si="86">+ROUND(E209*F209,2)</f>
        <v>17388</v>
      </c>
      <c r="J209" s="146">
        <f t="shared" ref="J209:J217" si="87">+ROUND(E209*G209,2)</f>
        <v>0</v>
      </c>
      <c r="K209" s="7">
        <f t="shared" ref="K209:K217" si="88">+ROUND(I209+J209*TC,2)</f>
        <v>17388</v>
      </c>
      <c r="L209" s="289"/>
    </row>
    <row r="210" spans="2:12" outlineLevel="1">
      <c r="B210" s="298">
        <f t="shared" si="84"/>
        <v>5.1101999999999972</v>
      </c>
      <c r="C210" s="150" t="s">
        <v>1642</v>
      </c>
      <c r="D210" s="285" t="s">
        <v>121</v>
      </c>
      <c r="E210" s="286">
        <v>230</v>
      </c>
      <c r="F210" s="288">
        <v>33</v>
      </c>
      <c r="G210" s="4"/>
      <c r="H210" s="145">
        <f t="shared" si="85"/>
        <v>33</v>
      </c>
      <c r="I210" s="145">
        <f t="shared" si="86"/>
        <v>7590</v>
      </c>
      <c r="J210" s="146">
        <f t="shared" si="87"/>
        <v>0</v>
      </c>
      <c r="K210" s="7">
        <f t="shared" si="88"/>
        <v>7590</v>
      </c>
      <c r="L210" s="289"/>
    </row>
    <row r="211" spans="2:12" outlineLevel="1">
      <c r="B211" s="298">
        <f>B212+0.0001</f>
        <v>5.1103999999999967</v>
      </c>
      <c r="C211" s="150" t="s">
        <v>1643</v>
      </c>
      <c r="D211" s="285" t="s">
        <v>121</v>
      </c>
      <c r="E211" s="286">
        <v>230</v>
      </c>
      <c r="F211" s="288">
        <v>33</v>
      </c>
      <c r="G211" s="4"/>
      <c r="H211" s="145">
        <f>+ROUND(F211+G211*TC,2)</f>
        <v>33</v>
      </c>
      <c r="I211" s="145">
        <f>+ROUND(E211*F211,2)</f>
        <v>7590</v>
      </c>
      <c r="J211" s="146">
        <f>+ROUND(E211*G211,2)</f>
        <v>0</v>
      </c>
      <c r="K211" s="7">
        <f>+ROUND(I211+J211*TC,2)</f>
        <v>7590</v>
      </c>
      <c r="L211" s="289"/>
    </row>
    <row r="212" spans="2:12" outlineLevel="1">
      <c r="B212" s="298">
        <f>B210+0.0001</f>
        <v>5.110299999999997</v>
      </c>
      <c r="C212" s="150" t="s">
        <v>1644</v>
      </c>
      <c r="D212" s="285" t="s">
        <v>121</v>
      </c>
      <c r="E212" s="286">
        <v>78</v>
      </c>
      <c r="F212" s="288">
        <v>33</v>
      </c>
      <c r="G212" s="4"/>
      <c r="H212" s="145">
        <f t="shared" si="85"/>
        <v>33</v>
      </c>
      <c r="I212" s="145">
        <f t="shared" si="86"/>
        <v>2574</v>
      </c>
      <c r="J212" s="146">
        <f t="shared" si="87"/>
        <v>0</v>
      </c>
      <c r="K212" s="7">
        <f t="shared" si="88"/>
        <v>2574</v>
      </c>
      <c r="L212" s="289"/>
    </row>
    <row r="213" spans="2:12" outlineLevel="1">
      <c r="B213" s="298">
        <f t="shared" si="84"/>
        <v>5.1103999999999967</v>
      </c>
      <c r="C213" s="150" t="s">
        <v>1645</v>
      </c>
      <c r="D213" s="285" t="s">
        <v>121</v>
      </c>
      <c r="E213" s="286">
        <v>18</v>
      </c>
      <c r="F213" s="288">
        <v>33</v>
      </c>
      <c r="G213" s="4"/>
      <c r="H213" s="145">
        <f t="shared" ref="H213" si="89">+ROUND(F213+G213*TC,2)</f>
        <v>33</v>
      </c>
      <c r="I213" s="145">
        <f t="shared" si="86"/>
        <v>594</v>
      </c>
      <c r="J213" s="146">
        <f t="shared" si="87"/>
        <v>0</v>
      </c>
      <c r="K213" s="7">
        <f t="shared" ref="K213" si="90">+ROUND(I213+J213*TC,2)</f>
        <v>594</v>
      </c>
      <c r="L213" s="289"/>
    </row>
    <row r="214" spans="2:12" outlineLevel="1">
      <c r="B214" s="298">
        <f>B211+0.0001</f>
        <v>5.1104999999999965</v>
      </c>
      <c r="C214" s="150" t="s">
        <v>1646</v>
      </c>
      <c r="D214" s="285" t="s">
        <v>141</v>
      </c>
      <c r="E214" s="286">
        <v>1042.8700000000001</v>
      </c>
      <c r="F214" s="288">
        <v>10.5</v>
      </c>
      <c r="G214" s="4"/>
      <c r="H214" s="145">
        <f t="shared" si="85"/>
        <v>10.5</v>
      </c>
      <c r="I214" s="145">
        <f t="shared" si="86"/>
        <v>10950.14</v>
      </c>
      <c r="J214" s="146">
        <f t="shared" si="87"/>
        <v>0</v>
      </c>
      <c r="K214" s="7">
        <f t="shared" si="88"/>
        <v>10950.14</v>
      </c>
      <c r="L214" s="289"/>
    </row>
    <row r="215" spans="2:12" outlineLevel="1">
      <c r="B215" s="298">
        <f t="shared" si="84"/>
        <v>5.1105999999999963</v>
      </c>
      <c r="C215" s="150" t="s">
        <v>1647</v>
      </c>
      <c r="D215" s="285" t="s">
        <v>141</v>
      </c>
      <c r="E215" s="286">
        <v>268.79999999999995</v>
      </c>
      <c r="F215" s="288">
        <v>10.5</v>
      </c>
      <c r="G215" s="4"/>
      <c r="H215" s="145">
        <f t="shared" si="85"/>
        <v>10.5</v>
      </c>
      <c r="I215" s="145">
        <f t="shared" si="86"/>
        <v>2822.4</v>
      </c>
      <c r="J215" s="146">
        <f t="shared" si="87"/>
        <v>0</v>
      </c>
      <c r="K215" s="7">
        <f t="shared" si="88"/>
        <v>2822.4</v>
      </c>
      <c r="L215" s="289"/>
    </row>
    <row r="216" spans="2:12" outlineLevel="1">
      <c r="B216" s="298">
        <f t="shared" si="84"/>
        <v>5.110699999999996</v>
      </c>
      <c r="C216" s="150" t="s">
        <v>1648</v>
      </c>
      <c r="D216" s="285" t="s">
        <v>141</v>
      </c>
      <c r="E216" s="286">
        <v>275.2</v>
      </c>
      <c r="F216" s="288">
        <v>10.5</v>
      </c>
      <c r="G216" s="4"/>
      <c r="H216" s="145">
        <f t="shared" si="85"/>
        <v>10.5</v>
      </c>
      <c r="I216" s="145">
        <f t="shared" si="86"/>
        <v>2889.6</v>
      </c>
      <c r="J216" s="146">
        <f t="shared" si="87"/>
        <v>0</v>
      </c>
      <c r="K216" s="7">
        <f t="shared" si="88"/>
        <v>2889.6</v>
      </c>
      <c r="L216" s="289"/>
    </row>
    <row r="217" spans="2:12" outlineLevel="1">
      <c r="B217" s="298">
        <f t="shared" si="84"/>
        <v>5.1107999999999958</v>
      </c>
      <c r="C217" s="150" t="s">
        <v>1649</v>
      </c>
      <c r="D217" s="285" t="s">
        <v>121</v>
      </c>
      <c r="E217" s="286">
        <v>128</v>
      </c>
      <c r="F217" s="288">
        <v>35</v>
      </c>
      <c r="G217" s="4"/>
      <c r="H217" s="145">
        <f t="shared" si="85"/>
        <v>35</v>
      </c>
      <c r="I217" s="145">
        <f t="shared" si="86"/>
        <v>4480</v>
      </c>
      <c r="J217" s="146">
        <f t="shared" si="87"/>
        <v>0</v>
      </c>
      <c r="K217" s="7">
        <f t="shared" si="88"/>
        <v>4480</v>
      </c>
      <c r="L217" s="289"/>
    </row>
    <row r="218" spans="2:12" ht="14.1" customHeight="1">
      <c r="B218" s="693">
        <f>B208+0.01</f>
        <v>5.1199999999999974</v>
      </c>
      <c r="C218" s="694" t="s">
        <v>1650</v>
      </c>
      <c r="D218" s="285"/>
      <c r="E218" s="286">
        <v>0</v>
      </c>
      <c r="F218" s="7"/>
      <c r="G218" s="4"/>
      <c r="H218" s="145"/>
      <c r="I218" s="145"/>
      <c r="J218" s="146"/>
      <c r="K218" s="7"/>
      <c r="L218" s="276">
        <f>SUM(I218:I221)+SUM(J218:J221)*TC</f>
        <v>19000.07</v>
      </c>
    </row>
    <row r="219" spans="2:12" ht="27" customHeight="1" outlineLevel="1">
      <c r="B219" s="298">
        <f>B218+0.0001</f>
        <v>5.1200999999999972</v>
      </c>
      <c r="C219" s="150" t="s">
        <v>1651</v>
      </c>
      <c r="D219" s="285" t="s">
        <v>121</v>
      </c>
      <c r="E219" s="286">
        <v>311</v>
      </c>
      <c r="F219" s="288">
        <v>52.01</v>
      </c>
      <c r="G219" s="4"/>
      <c r="H219" s="145">
        <f>+ROUND(F219+G219*TC,2)</f>
        <v>52.01</v>
      </c>
      <c r="I219" s="145">
        <f>+ROUND(E219*F219,2)</f>
        <v>16175.11</v>
      </c>
      <c r="J219" s="146">
        <f>+ROUND(E219*G219,2)</f>
        <v>0</v>
      </c>
      <c r="K219" s="7">
        <f>+ROUND(I219+J219*TC,2)</f>
        <v>16175.11</v>
      </c>
      <c r="L219" s="289"/>
    </row>
    <row r="220" spans="2:12" ht="14.1" customHeight="1" outlineLevel="1">
      <c r="B220" s="298"/>
      <c r="C220" s="45" t="s">
        <v>1652</v>
      </c>
      <c r="D220" s="285" t="s">
        <v>121</v>
      </c>
      <c r="E220" s="286">
        <v>16</v>
      </c>
      <c r="F220" s="288">
        <v>176.56</v>
      </c>
      <c r="G220" s="4"/>
      <c r="H220" s="145">
        <f>+ROUND(F220+G220*TC,2)</f>
        <v>176.56</v>
      </c>
      <c r="I220" s="145">
        <f>+ROUND(E220*F220,2)</f>
        <v>2824.96</v>
      </c>
      <c r="J220" s="146">
        <f>+ROUND(E220*G220,2)</f>
        <v>0</v>
      </c>
      <c r="K220" s="7">
        <f>+ROUND(I220+J220*TC,2)</f>
        <v>2824.96</v>
      </c>
      <c r="L220" s="289"/>
    </row>
    <row r="221" spans="2:12" outlineLevel="1">
      <c r="B221" s="298">
        <f>B219+0.0001</f>
        <v>5.120199999999997</v>
      </c>
      <c r="C221" s="150" t="s">
        <v>881</v>
      </c>
      <c r="D221" s="285" t="s">
        <v>121</v>
      </c>
      <c r="E221" s="286">
        <v>0</v>
      </c>
      <c r="F221" s="7">
        <v>90</v>
      </c>
      <c r="G221" s="4"/>
      <c r="H221" s="145">
        <f>+ROUND(F221+G221*TC,2)</f>
        <v>90</v>
      </c>
      <c r="I221" s="145">
        <f>+ROUND(E221*F221,2)</f>
        <v>0</v>
      </c>
      <c r="J221" s="146">
        <f>+ROUND(E221*G221,2)</f>
        <v>0</v>
      </c>
      <c r="K221" s="7">
        <f>+ROUND(I221+J221*TC,2)</f>
        <v>0</v>
      </c>
      <c r="L221" s="289"/>
    </row>
    <row r="222" spans="2:12" ht="14.1" customHeight="1">
      <c r="B222" s="693">
        <f>B218+0.01</f>
        <v>5.1299999999999972</v>
      </c>
      <c r="C222" s="694" t="s">
        <v>753</v>
      </c>
      <c r="D222" s="285"/>
      <c r="E222" s="286">
        <v>0</v>
      </c>
      <c r="F222" s="7"/>
      <c r="G222" s="4"/>
      <c r="H222" s="145"/>
      <c r="I222" s="145"/>
      <c r="J222" s="146"/>
      <c r="K222" s="7"/>
      <c r="L222" s="276">
        <f>SUM(I222:I224)+SUM(J222:J224)*TC</f>
        <v>195.09</v>
      </c>
    </row>
    <row r="223" spans="2:12" ht="14.1" customHeight="1" outlineLevel="2">
      <c r="B223" s="705">
        <f>B222+0.0001</f>
        <v>5.130099999999997</v>
      </c>
      <c r="C223" s="706" t="s">
        <v>767</v>
      </c>
      <c r="D223" s="285" t="s">
        <v>121</v>
      </c>
      <c r="E223" s="286">
        <v>1</v>
      </c>
      <c r="F223" s="7">
        <v>25.6</v>
      </c>
      <c r="G223" s="287">
        <v>0</v>
      </c>
      <c r="H223" s="145">
        <f>+ROUND(F223+G223*TC,2)</f>
        <v>25.6</v>
      </c>
      <c r="I223" s="145">
        <f>+ROUND(E223*F223,2)</f>
        <v>25.6</v>
      </c>
      <c r="J223" s="146">
        <f>+ROUND(E223*G223,2)</f>
        <v>0</v>
      </c>
      <c r="K223" s="7">
        <f>+ROUND(I223+J223*TC,2)</f>
        <v>25.6</v>
      </c>
      <c r="L223" s="289"/>
    </row>
    <row r="224" spans="2:12" ht="14.1" customHeight="1" outlineLevel="2">
      <c r="B224" s="705"/>
      <c r="C224" s="150" t="s">
        <v>1653</v>
      </c>
      <c r="D224" s="285" t="s">
        <v>121</v>
      </c>
      <c r="E224" s="286">
        <v>1</v>
      </c>
      <c r="F224" s="7">
        <v>169.49152542372883</v>
      </c>
      <c r="G224" s="287">
        <v>0</v>
      </c>
      <c r="H224" s="145">
        <f>+ROUND(F224+G224*TC,2)</f>
        <v>169.49</v>
      </c>
      <c r="I224" s="145">
        <f>+ROUND(E224*F224,2)</f>
        <v>169.49</v>
      </c>
      <c r="J224" s="146">
        <f>+ROUND(E224*G224,2)</f>
        <v>0</v>
      </c>
      <c r="K224" s="7">
        <f>+ROUND(I224+J224*TC,2)</f>
        <v>169.49</v>
      </c>
      <c r="L224" s="289"/>
    </row>
    <row r="225" spans="2:12" ht="14.1" customHeight="1">
      <c r="B225" s="693">
        <f>B222+0.01</f>
        <v>5.139999999999997</v>
      </c>
      <c r="C225" s="694" t="s">
        <v>804</v>
      </c>
      <c r="D225" s="285"/>
      <c r="E225" s="286">
        <v>0</v>
      </c>
      <c r="F225" s="7"/>
      <c r="G225" s="287" t="s">
        <v>27</v>
      </c>
      <c r="H225" s="145"/>
      <c r="I225" s="145"/>
      <c r="J225" s="146"/>
      <c r="K225" s="7"/>
      <c r="L225" s="276">
        <f>SUM(I225:I237)+SUM(J225:J237)*TC</f>
        <v>33127.346000000005</v>
      </c>
    </row>
    <row r="226" spans="2:12" ht="13.9" customHeight="1" outlineLevel="2">
      <c r="B226" s="705"/>
      <c r="C226" s="707" t="s">
        <v>809</v>
      </c>
      <c r="D226" s="285" t="s">
        <v>121</v>
      </c>
      <c r="E226" s="286">
        <v>62</v>
      </c>
      <c r="F226" s="288"/>
      <c r="G226" s="287">
        <v>7.12</v>
      </c>
      <c r="H226" s="145">
        <f t="shared" ref="H226:H237" si="91">+ROUND(F226+G226*TC,2)</f>
        <v>23.85</v>
      </c>
      <c r="I226" s="145">
        <f t="shared" ref="I226:I237" si="92">+ROUND(E226*F226,2)</f>
        <v>0</v>
      </c>
      <c r="J226" s="146">
        <f t="shared" ref="J226:J237" si="93">+ROUND(E226*G226,2)</f>
        <v>441.44</v>
      </c>
      <c r="K226" s="7">
        <f t="shared" ref="K226:K237" si="94">+ROUND(I226+J226*TC,2)</f>
        <v>1478.82</v>
      </c>
      <c r="L226" s="289"/>
    </row>
    <row r="227" spans="2:12" ht="13.9" customHeight="1" outlineLevel="2">
      <c r="B227" s="705"/>
      <c r="C227" s="707" t="s">
        <v>810</v>
      </c>
      <c r="D227" s="285" t="s">
        <v>121</v>
      </c>
      <c r="E227" s="286">
        <v>42</v>
      </c>
      <c r="F227" s="288"/>
      <c r="G227" s="287">
        <v>11.92</v>
      </c>
      <c r="H227" s="145">
        <f t="shared" si="91"/>
        <v>39.93</v>
      </c>
      <c r="I227" s="145">
        <f t="shared" si="92"/>
        <v>0</v>
      </c>
      <c r="J227" s="146">
        <f t="shared" si="93"/>
        <v>500.64</v>
      </c>
      <c r="K227" s="7">
        <f t="shared" si="94"/>
        <v>1677.14</v>
      </c>
      <c r="L227" s="289"/>
    </row>
    <row r="228" spans="2:12" ht="13.9" customHeight="1" outlineLevel="2">
      <c r="B228" s="705"/>
      <c r="C228" s="707" t="s">
        <v>1654</v>
      </c>
      <c r="D228" s="285" t="s">
        <v>121</v>
      </c>
      <c r="E228" s="286">
        <v>0</v>
      </c>
      <c r="F228" s="288"/>
      <c r="G228" s="287">
        <v>10.32</v>
      </c>
      <c r="H228" s="145">
        <f t="shared" si="91"/>
        <v>34.57</v>
      </c>
      <c r="I228" s="145">
        <f t="shared" si="92"/>
        <v>0</v>
      </c>
      <c r="J228" s="146">
        <f t="shared" si="93"/>
        <v>0</v>
      </c>
      <c r="K228" s="7">
        <f t="shared" si="94"/>
        <v>0</v>
      </c>
      <c r="L228" s="289"/>
    </row>
    <row r="229" spans="2:12" ht="13.9" customHeight="1" outlineLevel="2">
      <c r="B229" s="705"/>
      <c r="C229" s="707" t="s">
        <v>811</v>
      </c>
      <c r="D229" s="285" t="s">
        <v>121</v>
      </c>
      <c r="E229" s="286">
        <v>28</v>
      </c>
      <c r="F229" s="288"/>
      <c r="G229" s="287">
        <v>15.12</v>
      </c>
      <c r="H229" s="145">
        <f t="shared" si="91"/>
        <v>50.65</v>
      </c>
      <c r="I229" s="145">
        <f t="shared" si="92"/>
        <v>0</v>
      </c>
      <c r="J229" s="146">
        <f t="shared" si="93"/>
        <v>423.36</v>
      </c>
      <c r="K229" s="7">
        <f t="shared" si="94"/>
        <v>1418.26</v>
      </c>
      <c r="L229" s="289"/>
    </row>
    <row r="230" spans="2:12" ht="13.9" customHeight="1" outlineLevel="2">
      <c r="B230" s="705"/>
      <c r="C230" s="707" t="s">
        <v>1655</v>
      </c>
      <c r="D230" s="285" t="s">
        <v>121</v>
      </c>
      <c r="E230" s="286">
        <v>2</v>
      </c>
      <c r="F230" s="288"/>
      <c r="G230" s="287">
        <v>86.49</v>
      </c>
      <c r="H230" s="145">
        <f t="shared" si="91"/>
        <v>289.74</v>
      </c>
      <c r="I230" s="145">
        <f t="shared" si="92"/>
        <v>0</v>
      </c>
      <c r="J230" s="146">
        <f t="shared" si="93"/>
        <v>172.98</v>
      </c>
      <c r="K230" s="7">
        <f t="shared" si="94"/>
        <v>579.48</v>
      </c>
      <c r="L230" s="289"/>
    </row>
    <row r="231" spans="2:12" ht="13.9" customHeight="1" outlineLevel="2">
      <c r="B231" s="705"/>
      <c r="C231" s="707" t="s">
        <v>824</v>
      </c>
      <c r="D231" s="285" t="s">
        <v>121</v>
      </c>
      <c r="E231" s="286">
        <v>1</v>
      </c>
      <c r="F231" s="288"/>
      <c r="G231" s="287">
        <v>22</v>
      </c>
      <c r="H231" s="145">
        <f t="shared" si="91"/>
        <v>73.7</v>
      </c>
      <c r="I231" s="145">
        <f t="shared" si="92"/>
        <v>0</v>
      </c>
      <c r="J231" s="146">
        <f t="shared" si="93"/>
        <v>22</v>
      </c>
      <c r="K231" s="7">
        <f t="shared" si="94"/>
        <v>73.7</v>
      </c>
      <c r="L231" s="289"/>
    </row>
    <row r="232" spans="2:12" ht="13.9" customHeight="1" outlineLevel="2">
      <c r="B232" s="705"/>
      <c r="C232" s="707" t="s">
        <v>825</v>
      </c>
      <c r="D232" s="285" t="s">
        <v>121</v>
      </c>
      <c r="E232" s="286">
        <v>207</v>
      </c>
      <c r="F232" s="288"/>
      <c r="G232" s="287">
        <v>27.12</v>
      </c>
      <c r="H232" s="145">
        <f t="shared" si="91"/>
        <v>90.85</v>
      </c>
      <c r="I232" s="145">
        <f t="shared" si="92"/>
        <v>0</v>
      </c>
      <c r="J232" s="146">
        <f t="shared" si="93"/>
        <v>5613.84</v>
      </c>
      <c r="K232" s="7">
        <f t="shared" si="94"/>
        <v>18806.36</v>
      </c>
      <c r="L232" s="289"/>
    </row>
    <row r="233" spans="2:12" ht="13.9" customHeight="1" outlineLevel="2">
      <c r="B233" s="705"/>
      <c r="C233" s="707" t="s">
        <v>1656</v>
      </c>
      <c r="D233" s="285" t="s">
        <v>121</v>
      </c>
      <c r="E233" s="286">
        <v>4</v>
      </c>
      <c r="F233" s="288"/>
      <c r="G233" s="287">
        <v>42.38</v>
      </c>
      <c r="H233" s="145">
        <f t="shared" si="91"/>
        <v>141.97</v>
      </c>
      <c r="I233" s="145">
        <f t="shared" si="92"/>
        <v>0</v>
      </c>
      <c r="J233" s="146">
        <f t="shared" si="93"/>
        <v>169.52</v>
      </c>
      <c r="K233" s="7">
        <f t="shared" si="94"/>
        <v>567.89</v>
      </c>
      <c r="L233" s="289"/>
    </row>
    <row r="234" spans="2:12" ht="13.9" customHeight="1" outlineLevel="2">
      <c r="B234" s="705"/>
      <c r="C234" s="707" t="s">
        <v>1657</v>
      </c>
      <c r="D234" s="285" t="s">
        <v>121</v>
      </c>
      <c r="E234" s="286">
        <v>13</v>
      </c>
      <c r="F234" s="288"/>
      <c r="G234" s="287">
        <v>57.29</v>
      </c>
      <c r="H234" s="145">
        <f t="shared" si="91"/>
        <v>191.92</v>
      </c>
      <c r="I234" s="145">
        <f t="shared" si="92"/>
        <v>0</v>
      </c>
      <c r="J234" s="146">
        <f t="shared" si="93"/>
        <v>744.77</v>
      </c>
      <c r="K234" s="7">
        <f t="shared" si="94"/>
        <v>2494.98</v>
      </c>
      <c r="L234" s="289"/>
    </row>
    <row r="235" spans="2:12" ht="13.9" customHeight="1" outlineLevel="2">
      <c r="B235" s="705"/>
      <c r="C235" s="707" t="s">
        <v>827</v>
      </c>
      <c r="D235" s="285" t="s">
        <v>121</v>
      </c>
      <c r="E235" s="286">
        <v>10</v>
      </c>
      <c r="F235" s="288"/>
      <c r="G235" s="287">
        <v>9.69</v>
      </c>
      <c r="H235" s="145">
        <f t="shared" si="91"/>
        <v>32.46</v>
      </c>
      <c r="I235" s="145">
        <f t="shared" si="92"/>
        <v>0</v>
      </c>
      <c r="J235" s="146">
        <f t="shared" si="93"/>
        <v>96.9</v>
      </c>
      <c r="K235" s="7">
        <f t="shared" si="94"/>
        <v>324.62</v>
      </c>
      <c r="L235" s="289"/>
    </row>
    <row r="236" spans="2:12" ht="13.9" customHeight="1" outlineLevel="2">
      <c r="B236" s="705"/>
      <c r="C236" s="707" t="s">
        <v>829</v>
      </c>
      <c r="D236" s="285" t="s">
        <v>121</v>
      </c>
      <c r="E236" s="286">
        <v>1</v>
      </c>
      <c r="F236" s="288"/>
      <c r="G236" s="287">
        <v>11.55</v>
      </c>
      <c r="H236" s="145">
        <f t="shared" si="91"/>
        <v>38.69</v>
      </c>
      <c r="I236" s="145">
        <f t="shared" si="92"/>
        <v>0</v>
      </c>
      <c r="J236" s="146">
        <f t="shared" si="93"/>
        <v>11.55</v>
      </c>
      <c r="K236" s="7">
        <f t="shared" si="94"/>
        <v>38.69</v>
      </c>
      <c r="L236" s="289"/>
    </row>
    <row r="237" spans="2:12" ht="13.9" customHeight="1" outlineLevel="2">
      <c r="B237" s="705"/>
      <c r="C237" s="707" t="s">
        <v>1658</v>
      </c>
      <c r="D237" s="285" t="s">
        <v>121</v>
      </c>
      <c r="E237" s="286">
        <v>133</v>
      </c>
      <c r="F237" s="288"/>
      <c r="G237" s="287">
        <v>12.72</v>
      </c>
      <c r="H237" s="145">
        <f t="shared" si="91"/>
        <v>42.61</v>
      </c>
      <c r="I237" s="145">
        <f t="shared" si="92"/>
        <v>0</v>
      </c>
      <c r="J237" s="146">
        <f t="shared" si="93"/>
        <v>1691.76</v>
      </c>
      <c r="K237" s="7">
        <f t="shared" si="94"/>
        <v>5667.4</v>
      </c>
      <c r="L237" s="289"/>
    </row>
    <row r="238" spans="2:12" ht="14.1" customHeight="1">
      <c r="B238" s="693">
        <f>B225+0.01</f>
        <v>5.1499999999999968</v>
      </c>
      <c r="C238" s="694" t="s">
        <v>1659</v>
      </c>
      <c r="D238" s="285"/>
      <c r="E238" s="286">
        <v>0</v>
      </c>
      <c r="F238" s="7"/>
      <c r="G238" s="4"/>
      <c r="H238" s="145">
        <f t="shared" ref="H238:H239" si="95">+ROUND(F238+G238*TC,2)</f>
        <v>0</v>
      </c>
      <c r="I238" s="145">
        <f t="shared" ref="I238" si="96">+ROUND(E238*F238,2)</f>
        <v>0</v>
      </c>
      <c r="J238" s="146">
        <f t="shared" ref="J238" si="97">+ROUND(E238*G238,2)</f>
        <v>0</v>
      </c>
      <c r="K238" s="7">
        <f t="shared" ref="K238:K239" si="98">+ROUND(I238+J238*TC,2)</f>
        <v>0</v>
      </c>
      <c r="L238" s="276">
        <f>SUM(I238:I255)+SUM(J238:J255)*TC</f>
        <v>3726</v>
      </c>
    </row>
    <row r="239" spans="2:12" ht="14.1" customHeight="1">
      <c r="B239" s="693"/>
      <c r="C239" s="45" t="s">
        <v>1660</v>
      </c>
      <c r="D239" s="285" t="s">
        <v>682</v>
      </c>
      <c r="E239" s="286">
        <v>1</v>
      </c>
      <c r="F239" s="7">
        <v>13.5</v>
      </c>
      <c r="G239" s="4"/>
      <c r="H239" s="145">
        <f t="shared" si="95"/>
        <v>13.5</v>
      </c>
      <c r="I239" s="145">
        <f>+ROUND(E239*F239,2)</f>
        <v>13.5</v>
      </c>
      <c r="J239" s="146">
        <f>+ROUND(E239*G239,2)</f>
        <v>0</v>
      </c>
      <c r="K239" s="7">
        <f t="shared" si="98"/>
        <v>13.5</v>
      </c>
      <c r="L239" s="276"/>
    </row>
    <row r="240" spans="2:12" ht="29.45" customHeight="1">
      <c r="B240" s="693"/>
      <c r="C240" s="45" t="s">
        <v>1661</v>
      </c>
      <c r="D240" s="285" t="s">
        <v>682</v>
      </c>
      <c r="E240" s="286">
        <v>7</v>
      </c>
      <c r="F240" s="7">
        <v>13.5</v>
      </c>
      <c r="G240" s="4"/>
      <c r="H240" s="145">
        <f t="shared" ref="H240:H255" si="99">+ROUND(F240+G240*TC,2)</f>
        <v>13.5</v>
      </c>
      <c r="I240" s="145">
        <f t="shared" ref="I240:I255" si="100">+ROUND(E240*F240,2)</f>
        <v>94.5</v>
      </c>
      <c r="J240" s="146">
        <f t="shared" ref="J240:J255" si="101">+ROUND(E240*G240,2)</f>
        <v>0</v>
      </c>
      <c r="K240" s="7">
        <f t="shared" ref="K240:K255" si="102">+ROUND(I240+J240*TC,2)</f>
        <v>94.5</v>
      </c>
      <c r="L240" s="276"/>
    </row>
    <row r="241" spans="1:12" ht="34.15" customHeight="1">
      <c r="B241" s="693"/>
      <c r="C241" s="45" t="s">
        <v>836</v>
      </c>
      <c r="D241" s="285" t="s">
        <v>682</v>
      </c>
      <c r="E241" s="286">
        <v>114</v>
      </c>
      <c r="F241" s="7">
        <v>13.5</v>
      </c>
      <c r="G241" s="4"/>
      <c r="H241" s="145">
        <f t="shared" si="99"/>
        <v>13.5</v>
      </c>
      <c r="I241" s="145">
        <f t="shared" si="100"/>
        <v>1539</v>
      </c>
      <c r="J241" s="146">
        <f t="shared" si="101"/>
        <v>0</v>
      </c>
      <c r="K241" s="7">
        <f t="shared" si="102"/>
        <v>1539</v>
      </c>
      <c r="L241" s="276"/>
    </row>
    <row r="242" spans="1:12" ht="14.1" customHeight="1">
      <c r="B242" s="693"/>
      <c r="C242" s="45" t="s">
        <v>837</v>
      </c>
      <c r="D242" s="285" t="s">
        <v>682</v>
      </c>
      <c r="E242" s="286">
        <v>6</v>
      </c>
      <c r="F242" s="7">
        <v>13.5</v>
      </c>
      <c r="G242" s="4"/>
      <c r="H242" s="145">
        <f t="shared" si="99"/>
        <v>13.5</v>
      </c>
      <c r="I242" s="145">
        <f t="shared" si="100"/>
        <v>81</v>
      </c>
      <c r="J242" s="146">
        <f t="shared" si="101"/>
        <v>0</v>
      </c>
      <c r="K242" s="7">
        <f t="shared" si="102"/>
        <v>81</v>
      </c>
      <c r="L242" s="276"/>
    </row>
    <row r="243" spans="1:12" ht="14.1" customHeight="1">
      <c r="B243" s="693"/>
      <c r="C243" s="45" t="s">
        <v>838</v>
      </c>
      <c r="D243" s="285" t="s">
        <v>682</v>
      </c>
      <c r="E243" s="286">
        <v>7</v>
      </c>
      <c r="F243" s="7">
        <v>13.5</v>
      </c>
      <c r="G243" s="4"/>
      <c r="H243" s="145">
        <f t="shared" si="99"/>
        <v>13.5</v>
      </c>
      <c r="I243" s="145">
        <f t="shared" si="100"/>
        <v>94.5</v>
      </c>
      <c r="J243" s="146">
        <f t="shared" si="101"/>
        <v>0</v>
      </c>
      <c r="K243" s="7">
        <f t="shared" si="102"/>
        <v>94.5</v>
      </c>
      <c r="L243" s="276"/>
    </row>
    <row r="244" spans="1:12" ht="14.1" customHeight="1">
      <c r="B244" s="693"/>
      <c r="C244" s="45" t="s">
        <v>839</v>
      </c>
      <c r="D244" s="285" t="s">
        <v>682</v>
      </c>
      <c r="E244" s="286">
        <v>21</v>
      </c>
      <c r="F244" s="7">
        <v>13.5</v>
      </c>
      <c r="G244" s="4"/>
      <c r="H244" s="145">
        <f t="shared" si="99"/>
        <v>13.5</v>
      </c>
      <c r="I244" s="145">
        <f t="shared" si="100"/>
        <v>283.5</v>
      </c>
      <c r="J244" s="146">
        <f t="shared" si="101"/>
        <v>0</v>
      </c>
      <c r="K244" s="7">
        <f t="shared" si="102"/>
        <v>283.5</v>
      </c>
      <c r="L244" s="276"/>
    </row>
    <row r="245" spans="1:12" ht="14.1" customHeight="1">
      <c r="B245" s="693"/>
      <c r="C245" s="45" t="s">
        <v>841</v>
      </c>
      <c r="D245" s="285" t="s">
        <v>682</v>
      </c>
      <c r="E245" s="286">
        <v>0</v>
      </c>
      <c r="F245" s="7">
        <v>13.5</v>
      </c>
      <c r="G245" s="4"/>
      <c r="H245" s="145">
        <f t="shared" si="99"/>
        <v>13.5</v>
      </c>
      <c r="I245" s="145">
        <f t="shared" si="100"/>
        <v>0</v>
      </c>
      <c r="J245" s="146">
        <f t="shared" si="101"/>
        <v>0</v>
      </c>
      <c r="K245" s="7">
        <f t="shared" si="102"/>
        <v>0</v>
      </c>
      <c r="L245" s="276"/>
    </row>
    <row r="246" spans="1:12" ht="14.1" customHeight="1">
      <c r="B246" s="693"/>
      <c r="C246" s="45" t="s">
        <v>842</v>
      </c>
      <c r="D246" s="285" t="s">
        <v>682</v>
      </c>
      <c r="E246" s="286">
        <v>0</v>
      </c>
      <c r="F246" s="7">
        <v>13.5</v>
      </c>
      <c r="G246" s="4"/>
      <c r="H246" s="145">
        <f t="shared" si="99"/>
        <v>13.5</v>
      </c>
      <c r="I246" s="145">
        <f t="shared" si="100"/>
        <v>0</v>
      </c>
      <c r="J246" s="146">
        <f t="shared" si="101"/>
        <v>0</v>
      </c>
      <c r="K246" s="7">
        <f t="shared" si="102"/>
        <v>0</v>
      </c>
      <c r="L246" s="276"/>
    </row>
    <row r="247" spans="1:12" ht="14.1" customHeight="1">
      <c r="B247" s="693"/>
      <c r="C247" s="45" t="s">
        <v>846</v>
      </c>
      <c r="D247" s="285" t="s">
        <v>682</v>
      </c>
      <c r="E247" s="286">
        <v>13</v>
      </c>
      <c r="F247" s="7">
        <v>13.5</v>
      </c>
      <c r="G247" s="4"/>
      <c r="H247" s="145">
        <f t="shared" si="99"/>
        <v>13.5</v>
      </c>
      <c r="I247" s="145">
        <f t="shared" si="100"/>
        <v>175.5</v>
      </c>
      <c r="J247" s="146">
        <f t="shared" si="101"/>
        <v>0</v>
      </c>
      <c r="K247" s="7">
        <f t="shared" si="102"/>
        <v>175.5</v>
      </c>
      <c r="L247" s="276"/>
    </row>
    <row r="248" spans="1:12" ht="14.1" customHeight="1">
      <c r="B248" s="693"/>
      <c r="C248" s="45" t="s">
        <v>847</v>
      </c>
      <c r="D248" s="285" t="s">
        <v>682</v>
      </c>
      <c r="E248" s="286">
        <v>7</v>
      </c>
      <c r="F248" s="7">
        <v>13.5</v>
      </c>
      <c r="G248" s="4"/>
      <c r="H248" s="145">
        <f t="shared" si="99"/>
        <v>13.5</v>
      </c>
      <c r="I248" s="145">
        <f t="shared" si="100"/>
        <v>94.5</v>
      </c>
      <c r="J248" s="146">
        <f t="shared" si="101"/>
        <v>0</v>
      </c>
      <c r="K248" s="7">
        <f t="shared" si="102"/>
        <v>94.5</v>
      </c>
      <c r="L248" s="276"/>
    </row>
    <row r="249" spans="1:12" ht="14.1" customHeight="1">
      <c r="B249" s="693"/>
      <c r="C249" s="45" t="s">
        <v>848</v>
      </c>
      <c r="D249" s="285" t="s">
        <v>682</v>
      </c>
      <c r="E249" s="286">
        <v>11</v>
      </c>
      <c r="F249" s="7">
        <v>13.5</v>
      </c>
      <c r="G249" s="4"/>
      <c r="H249" s="145">
        <f t="shared" si="99"/>
        <v>13.5</v>
      </c>
      <c r="I249" s="145">
        <f t="shared" si="100"/>
        <v>148.5</v>
      </c>
      <c r="J249" s="146">
        <f t="shared" si="101"/>
        <v>0</v>
      </c>
      <c r="K249" s="7">
        <f t="shared" si="102"/>
        <v>148.5</v>
      </c>
      <c r="L249" s="276"/>
    </row>
    <row r="250" spans="1:12" ht="14.1" customHeight="1">
      <c r="B250" s="693"/>
      <c r="C250" s="45" t="s">
        <v>849</v>
      </c>
      <c r="D250" s="285" t="s">
        <v>682</v>
      </c>
      <c r="E250" s="286">
        <v>32</v>
      </c>
      <c r="F250" s="7">
        <v>13.5</v>
      </c>
      <c r="G250" s="4"/>
      <c r="H250" s="145">
        <f t="shared" si="99"/>
        <v>13.5</v>
      </c>
      <c r="I250" s="145">
        <f t="shared" si="100"/>
        <v>432</v>
      </c>
      <c r="J250" s="146">
        <f t="shared" si="101"/>
        <v>0</v>
      </c>
      <c r="K250" s="7">
        <f t="shared" si="102"/>
        <v>432</v>
      </c>
      <c r="L250" s="276"/>
    </row>
    <row r="251" spans="1:12" ht="14.1" customHeight="1">
      <c r="B251" s="693"/>
      <c r="C251" s="45" t="s">
        <v>850</v>
      </c>
      <c r="D251" s="285" t="s">
        <v>682</v>
      </c>
      <c r="E251" s="286">
        <v>41</v>
      </c>
      <c r="F251" s="7">
        <v>13.5</v>
      </c>
      <c r="G251" s="4"/>
      <c r="H251" s="145">
        <f t="shared" si="99"/>
        <v>13.5</v>
      </c>
      <c r="I251" s="145">
        <f t="shared" si="100"/>
        <v>553.5</v>
      </c>
      <c r="J251" s="146">
        <f t="shared" si="101"/>
        <v>0</v>
      </c>
      <c r="K251" s="7">
        <f t="shared" si="102"/>
        <v>553.5</v>
      </c>
      <c r="L251" s="276"/>
    </row>
    <row r="252" spans="1:12" ht="14.1" customHeight="1">
      <c r="B252" s="693"/>
      <c r="C252" s="45" t="s">
        <v>851</v>
      </c>
      <c r="D252" s="285" t="s">
        <v>682</v>
      </c>
      <c r="E252" s="286">
        <v>2</v>
      </c>
      <c r="F252" s="7">
        <v>13.5</v>
      </c>
      <c r="G252" s="4"/>
      <c r="H252" s="145">
        <f t="shared" si="99"/>
        <v>13.5</v>
      </c>
      <c r="I252" s="145">
        <f t="shared" si="100"/>
        <v>27</v>
      </c>
      <c r="J252" s="146">
        <f t="shared" si="101"/>
        <v>0</v>
      </c>
      <c r="K252" s="7">
        <f t="shared" si="102"/>
        <v>27</v>
      </c>
      <c r="L252" s="276"/>
    </row>
    <row r="253" spans="1:12" ht="14.1" customHeight="1">
      <c r="B253" s="693"/>
      <c r="C253" s="45" t="s">
        <v>1662</v>
      </c>
      <c r="D253" s="285" t="s">
        <v>682</v>
      </c>
      <c r="E253" s="286">
        <v>7</v>
      </c>
      <c r="F253" s="7">
        <v>13.5</v>
      </c>
      <c r="G253" s="4"/>
      <c r="H253" s="145">
        <f t="shared" si="99"/>
        <v>13.5</v>
      </c>
      <c r="I253" s="145">
        <f t="shared" si="100"/>
        <v>94.5</v>
      </c>
      <c r="J253" s="146">
        <f t="shared" si="101"/>
        <v>0</v>
      </c>
      <c r="K253" s="7">
        <f t="shared" si="102"/>
        <v>94.5</v>
      </c>
      <c r="L253" s="276"/>
    </row>
    <row r="254" spans="1:12" ht="14.1" customHeight="1">
      <c r="B254" s="693"/>
      <c r="C254" s="45" t="s">
        <v>1663</v>
      </c>
      <c r="D254" s="285" t="s">
        <v>682</v>
      </c>
      <c r="E254" s="286">
        <v>7</v>
      </c>
      <c r="F254" s="7">
        <v>13.5</v>
      </c>
      <c r="G254" s="4"/>
      <c r="H254" s="145">
        <f t="shared" si="99"/>
        <v>13.5</v>
      </c>
      <c r="I254" s="145">
        <f t="shared" si="100"/>
        <v>94.5</v>
      </c>
      <c r="J254" s="146">
        <f t="shared" si="101"/>
        <v>0</v>
      </c>
      <c r="K254" s="7">
        <f t="shared" si="102"/>
        <v>94.5</v>
      </c>
      <c r="L254" s="276"/>
    </row>
    <row r="255" spans="1:12" ht="14.1" customHeight="1">
      <c r="B255" s="693"/>
      <c r="C255" s="45" t="s">
        <v>1664</v>
      </c>
      <c r="D255" s="285" t="s">
        <v>682</v>
      </c>
      <c r="E255" s="286">
        <v>0</v>
      </c>
      <c r="F255" s="7">
        <v>13.5</v>
      </c>
      <c r="G255" s="4"/>
      <c r="H255" s="145">
        <f t="shared" si="99"/>
        <v>13.5</v>
      </c>
      <c r="I255" s="145">
        <f t="shared" si="100"/>
        <v>0</v>
      </c>
      <c r="J255" s="146">
        <f t="shared" si="101"/>
        <v>0</v>
      </c>
      <c r="K255" s="7">
        <f t="shared" si="102"/>
        <v>0</v>
      </c>
      <c r="L255" s="276"/>
    </row>
    <row r="256" spans="1:12">
      <c r="A256" s="693" t="e">
        <f>#REF!+0.01</f>
        <v>#REF!</v>
      </c>
      <c r="B256" s="693">
        <f>B238+0.01</f>
        <v>5.1599999999999966</v>
      </c>
      <c r="C256" s="694" t="s">
        <v>1665</v>
      </c>
      <c r="D256" s="286"/>
      <c r="E256" s="286">
        <v>0</v>
      </c>
      <c r="F256" s="4"/>
      <c r="G256" s="4"/>
      <c r="H256" s="145"/>
      <c r="I256" s="145"/>
      <c r="J256" s="146"/>
      <c r="K256" s="7"/>
      <c r="L256" s="276">
        <f>SUM(I256:I259)+SUM(J256:J259)*TC</f>
        <v>6085</v>
      </c>
    </row>
    <row r="257" spans="2:12" ht="13.15" customHeight="1" outlineLevel="1">
      <c r="B257" s="298">
        <f>B256+0.0001</f>
        <v>5.1600999999999964</v>
      </c>
      <c r="C257" s="708" t="s">
        <v>877</v>
      </c>
      <c r="D257" s="285" t="s">
        <v>121</v>
      </c>
      <c r="E257" s="286">
        <v>39</v>
      </c>
      <c r="F257" s="7">
        <v>145</v>
      </c>
      <c r="G257" s="287"/>
      <c r="H257" s="145">
        <f>+ROUND(F257+G257*TC,2)</f>
        <v>145</v>
      </c>
      <c r="I257" s="145">
        <f>+ROUND(E257*F257,2)</f>
        <v>5655</v>
      </c>
      <c r="J257" s="146">
        <f>+ROUND(E257*G257,2)</f>
        <v>0</v>
      </c>
      <c r="K257" s="7">
        <f>+ROUND(I257+J257*TC,2)</f>
        <v>5655</v>
      </c>
      <c r="L257" s="289"/>
    </row>
    <row r="258" spans="2:12" ht="13.15" customHeight="1" outlineLevel="1">
      <c r="B258" s="298">
        <f>B257+0.0001</f>
        <v>5.1601999999999961</v>
      </c>
      <c r="C258" s="708" t="s">
        <v>1666</v>
      </c>
      <c r="D258" s="285" t="s">
        <v>121</v>
      </c>
      <c r="E258" s="286">
        <v>2</v>
      </c>
      <c r="F258" s="7">
        <v>215</v>
      </c>
      <c r="G258" s="287"/>
      <c r="H258" s="145">
        <f>+ROUND(F258+G258*TC,2)</f>
        <v>215</v>
      </c>
      <c r="I258" s="145">
        <f>+ROUND(E258*F258,2)</f>
        <v>430</v>
      </c>
      <c r="J258" s="146">
        <f>+ROUND(E258*G258,2)</f>
        <v>0</v>
      </c>
      <c r="K258" s="7">
        <f>+ROUND(I258+J258*TC,2)</f>
        <v>430</v>
      </c>
      <c r="L258" s="289"/>
    </row>
    <row r="259" spans="2:12" ht="13.15" customHeight="1" outlineLevel="1">
      <c r="B259" s="298">
        <f>B258+0.0001</f>
        <v>5.1602999999999959</v>
      </c>
      <c r="C259" s="709" t="s">
        <v>1667</v>
      </c>
      <c r="D259" s="285" t="s">
        <v>121</v>
      </c>
      <c r="E259" s="286">
        <v>0</v>
      </c>
      <c r="F259" s="7">
        <v>0</v>
      </c>
      <c r="G259" s="287"/>
      <c r="H259" s="145">
        <f>+ROUND(F259+G259*TC,2)</f>
        <v>0</v>
      </c>
      <c r="I259" s="145">
        <f>+ROUND(E259*F259,2)</f>
        <v>0</v>
      </c>
      <c r="J259" s="146">
        <f>+ROUND(E259*G259,2)</f>
        <v>0</v>
      </c>
      <c r="K259" s="7">
        <f>+ROUND(I259+J259*TC,2)</f>
        <v>0</v>
      </c>
      <c r="L259" s="289"/>
    </row>
    <row r="260" spans="2:12" ht="14.1" customHeight="1">
      <c r="B260" s="693" t="e">
        <f>#REF!+0.01</f>
        <v>#REF!</v>
      </c>
      <c r="C260" s="694" t="s">
        <v>878</v>
      </c>
      <c r="D260" s="285"/>
      <c r="E260" s="286">
        <v>0</v>
      </c>
      <c r="F260" s="7"/>
      <c r="G260" s="4"/>
      <c r="H260" s="145"/>
      <c r="I260" s="145"/>
      <c r="J260" s="146"/>
      <c r="K260" s="7"/>
      <c r="L260" s="276">
        <f>SUM(I260:I267)+SUM(J260:J267)*TC</f>
        <v>2205</v>
      </c>
    </row>
    <row r="261" spans="2:12" ht="14.1" customHeight="1" outlineLevel="1">
      <c r="B261" s="298" t="e">
        <f t="shared" ref="B261:B267" si="103">B260+0.0001</f>
        <v>#REF!</v>
      </c>
      <c r="C261" s="150" t="s">
        <v>1668</v>
      </c>
      <c r="D261" s="285" t="s">
        <v>121</v>
      </c>
      <c r="E261" s="286">
        <v>7</v>
      </c>
      <c r="F261" s="288">
        <v>35</v>
      </c>
      <c r="G261" s="4"/>
      <c r="H261" s="145">
        <f t="shared" ref="H261:H267" si="104">+ROUND(F261+G261*TC,2)</f>
        <v>35</v>
      </c>
      <c r="I261" s="145">
        <f t="shared" ref="I261:I267" si="105">+ROUND(E261*F261,2)</f>
        <v>245</v>
      </c>
      <c r="J261" s="146">
        <f t="shared" ref="J261:J267" si="106">+ROUND(E261*G261,2)</f>
        <v>0</v>
      </c>
      <c r="K261" s="7">
        <f t="shared" ref="K261:K267" si="107">+ROUND(I261+J261*TC,2)</f>
        <v>245</v>
      </c>
      <c r="L261" s="289"/>
    </row>
    <row r="262" spans="2:12" ht="14.1" customHeight="1" outlineLevel="1">
      <c r="B262" s="298" t="e">
        <f t="shared" si="103"/>
        <v>#REF!</v>
      </c>
      <c r="C262" s="150" t="s">
        <v>1669</v>
      </c>
      <c r="D262" s="285" t="s">
        <v>121</v>
      </c>
      <c r="E262" s="286">
        <v>1</v>
      </c>
      <c r="F262" s="288">
        <v>35</v>
      </c>
      <c r="G262" s="4"/>
      <c r="H262" s="145">
        <f t="shared" si="104"/>
        <v>35</v>
      </c>
      <c r="I262" s="145">
        <f t="shared" si="105"/>
        <v>35</v>
      </c>
      <c r="J262" s="146">
        <f t="shared" si="106"/>
        <v>0</v>
      </c>
      <c r="K262" s="7">
        <f t="shared" si="107"/>
        <v>35</v>
      </c>
      <c r="L262" s="289"/>
    </row>
    <row r="263" spans="2:12" ht="14.1" customHeight="1" outlineLevel="1">
      <c r="B263" s="298" t="e">
        <f t="shared" si="103"/>
        <v>#REF!</v>
      </c>
      <c r="C263" s="150" t="s">
        <v>1670</v>
      </c>
      <c r="D263" s="285" t="s">
        <v>121</v>
      </c>
      <c r="E263" s="286">
        <v>1</v>
      </c>
      <c r="F263" s="288">
        <v>35</v>
      </c>
      <c r="G263" s="4"/>
      <c r="H263" s="145">
        <f t="shared" si="104"/>
        <v>35</v>
      </c>
      <c r="I263" s="145">
        <f t="shared" si="105"/>
        <v>35</v>
      </c>
      <c r="J263" s="146">
        <f t="shared" si="106"/>
        <v>0</v>
      </c>
      <c r="K263" s="7">
        <f t="shared" si="107"/>
        <v>35</v>
      </c>
      <c r="L263" s="289"/>
    </row>
    <row r="264" spans="2:12" ht="14.1" customHeight="1" outlineLevel="1">
      <c r="B264" s="298" t="e">
        <f t="shared" si="103"/>
        <v>#REF!</v>
      </c>
      <c r="C264" s="150" t="s">
        <v>1671</v>
      </c>
      <c r="D264" s="285" t="s">
        <v>121</v>
      </c>
      <c r="E264" s="286">
        <v>50</v>
      </c>
      <c r="F264" s="288">
        <v>35</v>
      </c>
      <c r="G264" s="4"/>
      <c r="H264" s="145">
        <f t="shared" si="104"/>
        <v>35</v>
      </c>
      <c r="I264" s="145">
        <f t="shared" si="105"/>
        <v>1750</v>
      </c>
      <c r="J264" s="146">
        <f t="shared" si="106"/>
        <v>0</v>
      </c>
      <c r="K264" s="7">
        <f t="shared" si="107"/>
        <v>1750</v>
      </c>
      <c r="L264" s="289"/>
    </row>
    <row r="265" spans="2:12" ht="14.1" customHeight="1" outlineLevel="1">
      <c r="B265" s="298" t="e">
        <f>B263+0.0001</f>
        <v>#REF!</v>
      </c>
      <c r="C265" s="150" t="s">
        <v>1672</v>
      </c>
      <c r="D265" s="285" t="s">
        <v>121</v>
      </c>
      <c r="E265" s="286">
        <v>2</v>
      </c>
      <c r="F265" s="288">
        <v>35</v>
      </c>
      <c r="G265" s="4"/>
      <c r="H265" s="145">
        <f t="shared" ref="H265" si="108">+ROUND(F265+G265*TC,2)</f>
        <v>35</v>
      </c>
      <c r="I265" s="145">
        <f t="shared" ref="I265" si="109">+ROUND(E265*F265,2)</f>
        <v>70</v>
      </c>
      <c r="J265" s="146">
        <f t="shared" ref="J265" si="110">+ROUND(E265*G265,2)</f>
        <v>0</v>
      </c>
      <c r="K265" s="7">
        <f t="shared" ref="K265" si="111">+ROUND(I265+J265*TC,2)</f>
        <v>70</v>
      </c>
      <c r="L265" s="289"/>
    </row>
    <row r="266" spans="2:12" ht="14.1" customHeight="1" outlineLevel="1">
      <c r="B266" s="298" t="e">
        <f>B264+0.0001</f>
        <v>#REF!</v>
      </c>
      <c r="C266" s="150" t="s">
        <v>1673</v>
      </c>
      <c r="D266" s="285" t="s">
        <v>121</v>
      </c>
      <c r="E266" s="286">
        <v>1</v>
      </c>
      <c r="F266" s="288">
        <v>35</v>
      </c>
      <c r="G266" s="4"/>
      <c r="H266" s="145">
        <f t="shared" si="104"/>
        <v>35</v>
      </c>
      <c r="I266" s="145">
        <f t="shared" si="105"/>
        <v>35</v>
      </c>
      <c r="J266" s="146">
        <f t="shared" si="106"/>
        <v>0</v>
      </c>
      <c r="K266" s="7">
        <f t="shared" si="107"/>
        <v>35</v>
      </c>
      <c r="L266" s="289"/>
    </row>
    <row r="267" spans="2:12" ht="14.1" customHeight="1" outlineLevel="1">
      <c r="B267" s="298" t="e">
        <f t="shared" si="103"/>
        <v>#REF!</v>
      </c>
      <c r="C267" s="150" t="s">
        <v>1674</v>
      </c>
      <c r="D267" s="285" t="s">
        <v>121</v>
      </c>
      <c r="E267" s="286">
        <v>1</v>
      </c>
      <c r="F267" s="288">
        <v>35</v>
      </c>
      <c r="G267" s="4"/>
      <c r="H267" s="145">
        <f t="shared" si="104"/>
        <v>35</v>
      </c>
      <c r="I267" s="145">
        <f t="shared" si="105"/>
        <v>35</v>
      </c>
      <c r="J267" s="146">
        <f t="shared" si="106"/>
        <v>0</v>
      </c>
      <c r="K267" s="7">
        <f t="shared" si="107"/>
        <v>35</v>
      </c>
      <c r="L267" s="289"/>
    </row>
    <row r="268" spans="2:12" ht="14.1" customHeight="1">
      <c r="B268" s="693">
        <f>B256+0.01</f>
        <v>5.1699999999999964</v>
      </c>
      <c r="C268" s="694" t="s">
        <v>878</v>
      </c>
      <c r="D268" s="285"/>
      <c r="E268" s="286">
        <v>0</v>
      </c>
      <c r="F268" s="7"/>
      <c r="G268" s="4"/>
      <c r="H268" s="145"/>
      <c r="I268" s="145"/>
      <c r="J268" s="146"/>
      <c r="K268" s="7"/>
      <c r="L268" s="276">
        <f>SUM(I268:I272)+SUM(J268:J272)*TC</f>
        <v>4375</v>
      </c>
    </row>
    <row r="269" spans="2:12" ht="14.1" customHeight="1" outlineLevel="1">
      <c r="B269" s="298">
        <f>B268+0.0001</f>
        <v>5.1700999999999961</v>
      </c>
      <c r="C269" s="150" t="s">
        <v>1675</v>
      </c>
      <c r="D269" s="285" t="s">
        <v>121</v>
      </c>
      <c r="E269" s="286">
        <v>0</v>
      </c>
      <c r="F269" s="288"/>
      <c r="G269" s="4"/>
      <c r="H269" s="145">
        <f>+ROUND(F269+G269*TC,2)</f>
        <v>0</v>
      </c>
      <c r="I269" s="145">
        <f>+ROUND(E269*F269,2)</f>
        <v>0</v>
      </c>
      <c r="J269" s="146">
        <f>+ROUND(E269*G269,2)</f>
        <v>0</v>
      </c>
      <c r="K269" s="7">
        <f>+ROUND(I269+J269*TC,2)</f>
        <v>0</v>
      </c>
      <c r="L269" s="289"/>
    </row>
    <row r="270" spans="2:12" ht="14.1" customHeight="1" outlineLevel="1">
      <c r="B270" s="298">
        <f>B269+0.0001</f>
        <v>5.1701999999999959</v>
      </c>
      <c r="C270" s="150" t="s">
        <v>1676</v>
      </c>
      <c r="D270" s="285" t="s">
        <v>121</v>
      </c>
      <c r="E270" s="286">
        <v>0</v>
      </c>
      <c r="F270" s="288"/>
      <c r="G270" s="4"/>
      <c r="H270" s="145">
        <f>+ROUND(F270+G270*TC,2)</f>
        <v>0</v>
      </c>
      <c r="I270" s="145">
        <f>+ROUND(E270*F270,2)</f>
        <v>0</v>
      </c>
      <c r="J270" s="146">
        <f>+ROUND(E270*G270,2)</f>
        <v>0</v>
      </c>
      <c r="K270" s="7">
        <f>+ROUND(I270+J270*TC,2)</f>
        <v>0</v>
      </c>
      <c r="L270" s="289"/>
    </row>
    <row r="271" spans="2:12" ht="14.1" customHeight="1" outlineLevel="1">
      <c r="B271" s="298" t="e">
        <f>#REF!+0.0001</f>
        <v>#REF!</v>
      </c>
      <c r="C271" s="150" t="s">
        <v>1677</v>
      </c>
      <c r="D271" s="285" t="s">
        <v>121</v>
      </c>
      <c r="E271" s="286">
        <v>35</v>
      </c>
      <c r="F271" s="288">
        <v>125</v>
      </c>
      <c r="G271" s="4"/>
      <c r="H271" s="145">
        <f>+ROUND(F271+G271*TC,2)</f>
        <v>125</v>
      </c>
      <c r="I271" s="145">
        <f>+ROUND(E271*F271,2)</f>
        <v>4375</v>
      </c>
      <c r="J271" s="146">
        <f>+ROUND(E271*G271,2)</f>
        <v>0</v>
      </c>
      <c r="K271" s="7">
        <f>+ROUND(I271+J271*TC,2)</f>
        <v>4375</v>
      </c>
      <c r="L271" s="289"/>
    </row>
    <row r="272" spans="2:12" ht="27" customHeight="1" outlineLevel="1" thickBot="1">
      <c r="B272" s="298" t="e">
        <f t="shared" ref="B272" si="112">B271+0.0001</f>
        <v>#REF!</v>
      </c>
      <c r="C272" s="151" t="s">
        <v>1678</v>
      </c>
      <c r="D272" s="285" t="s">
        <v>682</v>
      </c>
      <c r="E272" s="286">
        <v>0</v>
      </c>
      <c r="F272" s="288">
        <v>0</v>
      </c>
      <c r="G272" s="4"/>
      <c r="H272" s="131">
        <f>+ROUND(F272+G272*TC,2)</f>
        <v>0</v>
      </c>
      <c r="I272" s="131">
        <f>+ROUND(E272*F272,2)</f>
        <v>0</v>
      </c>
      <c r="J272" s="124">
        <f>+ROUND(E272*G272,2)</f>
        <v>0</v>
      </c>
      <c r="K272" s="7">
        <f>+ROUND(I272+J272*TC,2)</f>
        <v>0</v>
      </c>
      <c r="L272" s="289"/>
    </row>
    <row r="273" spans="2:12" s="310" customFormat="1" ht="14.1" customHeight="1" collapsed="1" thickTop="1" thickBot="1">
      <c r="B273" s="304"/>
      <c r="C273" s="305"/>
      <c r="D273" s="305"/>
      <c r="E273" s="305"/>
      <c r="F273" s="56" t="s">
        <v>49</v>
      </c>
      <c r="G273" s="306"/>
      <c r="H273" s="306"/>
      <c r="I273" s="307">
        <f>SUM(I12:I272)</f>
        <v>1221097.8299999998</v>
      </c>
      <c r="J273" s="308">
        <f>SUM(J12:J272)</f>
        <v>25709.83</v>
      </c>
      <c r="K273" s="307">
        <f>SUM(K12:K272)</f>
        <v>1307225.7599999993</v>
      </c>
      <c r="L273" s="309">
        <f>SUM(L12:L272)</f>
        <v>1307225.7605000001</v>
      </c>
    </row>
    <row r="274" spans="2:12" ht="12" thickTop="1"/>
  </sheetData>
  <mergeCells count="1">
    <mergeCell ref="B2:L2"/>
  </mergeCells>
  <phoneticPr fontId="13" type="noConversion"/>
  <conditionalFormatting sqref="I12:J14">
    <cfRule type="cellIs" dxfId="53" priority="2" stopIfTrue="1" operator="equal">
      <formula>0</formula>
    </cfRule>
  </conditionalFormatting>
  <dataValidations count="1">
    <dataValidation type="list" allowBlank="1" showInputMessage="1" showErrorMessage="1" sqref="C16 C90 C95 C74" xr:uid="{436AF979-5C91-4E8C-8724-D5C37DEA2CD2}">
      <formula1>#REF!</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D1D65-C627-4F36-91C3-EEB2125DE6A3}">
  <sheetPr>
    <outlinePr summaryBelow="0" summaryRight="0"/>
  </sheetPr>
  <dimension ref="B1:K1159"/>
  <sheetViews>
    <sheetView zoomScale="117" zoomScaleNormal="117" workbookViewId="0">
      <selection activeCell="A1159" sqref="A1159:XFD1567"/>
    </sheetView>
  </sheetViews>
  <sheetFormatPr defaultColWidth="2.85546875" defaultRowHeight="11.25" outlineLevelRow="4"/>
  <cols>
    <col min="1" max="1" width="0.85546875" style="16" customWidth="1"/>
    <col min="2" max="2" width="78.28515625" style="48" customWidth="1"/>
    <col min="3" max="3" width="7.7109375" style="21" customWidth="1"/>
    <col min="4" max="4" width="12.140625" style="21" customWidth="1"/>
    <col min="5" max="6" width="12.140625" style="16" customWidth="1"/>
    <col min="7" max="7" width="19.7109375" style="16" customWidth="1"/>
    <col min="8" max="8" width="20.5703125" style="16" customWidth="1"/>
    <col min="9" max="9" width="16.5703125" style="16" customWidth="1"/>
    <col min="10" max="10" width="18.85546875" style="16" customWidth="1"/>
    <col min="11" max="11" width="19.7109375" style="16" customWidth="1"/>
    <col min="12" max="16384" width="2.85546875" style="16"/>
  </cols>
  <sheetData>
    <row r="1" spans="2:11" ht="14.25" customHeight="1">
      <c r="B1" s="46"/>
      <c r="C1" s="15"/>
      <c r="D1" s="15"/>
      <c r="E1" s="14"/>
      <c r="F1" s="14"/>
      <c r="G1" s="14"/>
      <c r="H1" s="14"/>
    </row>
    <row r="2" spans="2:11" ht="14.25" customHeight="1">
      <c r="B2" s="776" t="s">
        <v>31</v>
      </c>
      <c r="C2" s="776"/>
      <c r="D2" s="776"/>
      <c r="E2" s="776"/>
      <c r="F2" s="776"/>
      <c r="G2" s="776"/>
      <c r="H2" s="776"/>
      <c r="I2" s="776"/>
      <c r="J2" s="776"/>
      <c r="K2" s="776"/>
    </row>
    <row r="3" spans="2:11" ht="14.25" customHeight="1">
      <c r="B3" s="46"/>
      <c r="C3" s="15"/>
      <c r="D3" s="15"/>
      <c r="E3" s="14"/>
      <c r="F3" s="14"/>
      <c r="G3" s="14"/>
      <c r="H3" s="14"/>
    </row>
    <row r="4" spans="2:11" ht="14.25" customHeight="1">
      <c r="B4" s="163" t="str">
        <f>+'ARQ SOT'!C4</f>
        <v>PRESUPUESTO  |  GERMANIA  |  REV 09</v>
      </c>
      <c r="C4" s="15"/>
      <c r="D4" s="15"/>
      <c r="E4" s="14"/>
      <c r="F4" s="14"/>
      <c r="G4" s="14"/>
      <c r="H4" s="14"/>
    </row>
    <row r="5" spans="2:11" ht="14.25" customHeight="1">
      <c r="B5" s="163" t="str">
        <f>+B2</f>
        <v>ARQUITECTURA TORRE</v>
      </c>
      <c r="C5" s="15"/>
      <c r="D5" s="15"/>
      <c r="E5" s="14"/>
      <c r="F5" s="14"/>
      <c r="G5" s="14"/>
      <c r="H5" s="14"/>
      <c r="I5" s="251"/>
    </row>
    <row r="6" spans="2:11" ht="14.25" customHeight="1">
      <c r="B6" s="164" t="str">
        <f>+'ARQ SOT'!C6</f>
        <v>VYV INMOBILIARIA</v>
      </c>
      <c r="C6" s="15"/>
      <c r="D6" s="345"/>
      <c r="E6" s="251"/>
      <c r="G6" s="143"/>
      <c r="H6" s="14"/>
      <c r="K6" s="251"/>
    </row>
    <row r="7" spans="2:11" ht="14.25" customHeight="1">
      <c r="B7" s="164" t="str">
        <f>+'ARQ SOT'!C7</f>
        <v>SURQUILLO</v>
      </c>
      <c r="C7" s="15"/>
      <c r="D7" s="345"/>
      <c r="E7" s="14"/>
      <c r="F7" s="30"/>
      <c r="G7" s="14"/>
      <c r="H7" s="14"/>
      <c r="I7" s="251"/>
    </row>
    <row r="8" spans="2:11" ht="14.25" customHeight="1">
      <c r="B8" s="165">
        <f>+'ARQ SOT'!C8</f>
        <v>46090</v>
      </c>
      <c r="C8" s="15"/>
      <c r="D8" s="345"/>
      <c r="E8" s="14"/>
      <c r="F8" s="14"/>
      <c r="G8" s="14"/>
      <c r="H8" s="14"/>
      <c r="K8" s="269"/>
    </row>
    <row r="9" spans="2:11" ht="14.25" customHeight="1" thickBot="1">
      <c r="B9" s="346"/>
      <c r="C9" s="15"/>
      <c r="D9" s="15"/>
      <c r="E9" s="14"/>
      <c r="F9" s="14"/>
      <c r="G9" s="14"/>
      <c r="H9" s="14"/>
    </row>
    <row r="10" spans="2:11" ht="24" thickTop="1" thickBot="1">
      <c r="B10" s="49" t="s">
        <v>69</v>
      </c>
      <c r="C10" s="23" t="s">
        <v>70</v>
      </c>
      <c r="D10" s="53" t="s">
        <v>71</v>
      </c>
      <c r="E10" s="24" t="s">
        <v>72</v>
      </c>
      <c r="F10" s="24" t="s">
        <v>73</v>
      </c>
      <c r="G10" s="53" t="s">
        <v>74</v>
      </c>
      <c r="H10" s="53" t="s">
        <v>75</v>
      </c>
      <c r="I10" s="53" t="s">
        <v>76</v>
      </c>
      <c r="J10" s="53" t="s">
        <v>77</v>
      </c>
      <c r="K10" s="253" t="s">
        <v>54</v>
      </c>
    </row>
    <row r="11" spans="2:11" ht="14.1" customHeight="1" thickTop="1" thickBot="1">
      <c r="B11" s="254" t="e">
        <f>#REF!</f>
        <v>#REF!</v>
      </c>
      <c r="C11" s="27"/>
      <c r="D11" s="27"/>
      <c r="E11" s="28"/>
      <c r="F11" s="28"/>
      <c r="G11" s="28"/>
      <c r="H11" s="255"/>
      <c r="I11" s="256"/>
      <c r="J11" s="257"/>
      <c r="K11" s="258"/>
    </row>
    <row r="12" spans="2:11" ht="14.1" customHeight="1" thickTop="1">
      <c r="B12" s="260" t="s">
        <v>78</v>
      </c>
      <c r="C12" s="261"/>
      <c r="D12" s="263"/>
      <c r="E12" s="264" t="s">
        <v>27</v>
      </c>
      <c r="F12" s="264"/>
      <c r="G12" s="347" t="str">
        <f>IFERROR(IF(C12&lt;&gt;0,E12+F12*TC," ")," ")</f>
        <v xml:space="preserve"> </v>
      </c>
      <c r="H12" s="266" t="str">
        <f t="shared" ref="H12:I14" si="0">IFERROR(IF($D12=0,"",$D12*E12),"")</f>
        <v/>
      </c>
      <c r="I12" s="348" t="str">
        <f t="shared" si="0"/>
        <v/>
      </c>
      <c r="J12" s="263" t="str">
        <f>IFERROR(IF(D12&lt;&gt;0,(D12*G12)," "),0)</f>
        <v xml:space="preserve"> </v>
      </c>
      <c r="K12" s="268">
        <f>SUM(H12:H106)+SUM(I12:I106)*TC</f>
        <v>4783846.7269999981</v>
      </c>
    </row>
    <row r="13" spans="2:11" outlineLevel="1">
      <c r="B13" s="349" t="s">
        <v>79</v>
      </c>
      <c r="C13" s="285"/>
      <c r="D13" s="286"/>
      <c r="E13" s="7" t="s">
        <v>27</v>
      </c>
      <c r="F13" s="4"/>
      <c r="G13" s="7" t="str">
        <f>IFERROR(IF(C13&lt;&gt;0,(E13+F13*TC)," ")," ")</f>
        <v xml:space="preserve"> </v>
      </c>
      <c r="H13" s="275" t="str">
        <f t="shared" si="0"/>
        <v/>
      </c>
      <c r="I13" s="11" t="str">
        <f t="shared" si="0"/>
        <v/>
      </c>
      <c r="J13" s="7" t="str">
        <f>IFERROR(IF(D13&lt;&gt;0,(D13*G13)," "),0)</f>
        <v xml:space="preserve"> </v>
      </c>
      <c r="K13" s="276"/>
    </row>
    <row r="14" spans="2:11" outlineLevel="2">
      <c r="B14" s="350" t="s">
        <v>80</v>
      </c>
      <c r="C14" s="285"/>
      <c r="D14" s="286"/>
      <c r="E14" s="7" t="s">
        <v>27</v>
      </c>
      <c r="F14" s="4"/>
      <c r="G14" s="7" t="str">
        <f>IFERROR(IF(C14&lt;&gt;0,(E14+F14*TC)," ")," ")</f>
        <v xml:space="preserve"> </v>
      </c>
      <c r="H14" s="275" t="str">
        <f t="shared" si="0"/>
        <v/>
      </c>
      <c r="I14" s="11" t="str">
        <f t="shared" si="0"/>
        <v/>
      </c>
      <c r="J14" s="7" t="str">
        <f>IFERROR(IF(D14&lt;&gt;0,(D14*G14)," "),0)</f>
        <v xml:space="preserve"> </v>
      </c>
      <c r="K14" s="282"/>
    </row>
    <row r="15" spans="2:11" outlineLevel="3">
      <c r="B15" s="354" t="s">
        <v>81</v>
      </c>
      <c r="C15" s="285" t="s">
        <v>82</v>
      </c>
      <c r="D15" s="286">
        <v>645.25</v>
      </c>
      <c r="E15" s="7">
        <v>104.23</v>
      </c>
      <c r="F15" s="287">
        <v>0</v>
      </c>
      <c r="G15" s="145">
        <f t="shared" ref="G15:G22" si="1">+ROUND(E15+F15*TC,2)</f>
        <v>104.23</v>
      </c>
      <c r="H15" s="145">
        <f>+ROUND(D15*E15,2)</f>
        <v>67254.41</v>
      </c>
      <c r="I15" s="146">
        <f>+ROUND(D15*F15,2)</f>
        <v>0</v>
      </c>
      <c r="J15" s="7">
        <f t="shared" ref="J15:J78" si="2">+ROUND(H15+I15*TC,2)</f>
        <v>67254.41</v>
      </c>
      <c r="K15" s="282"/>
    </row>
    <row r="16" spans="2:11" outlineLevel="3">
      <c r="B16" s="354" t="s">
        <v>83</v>
      </c>
      <c r="C16" s="285" t="s">
        <v>82</v>
      </c>
      <c r="D16" s="286">
        <v>14118.78</v>
      </c>
      <c r="E16" s="7">
        <v>111.23</v>
      </c>
      <c r="F16" s="287">
        <v>0</v>
      </c>
      <c r="G16" s="145">
        <f t="shared" si="1"/>
        <v>111.23</v>
      </c>
      <c r="H16" s="145">
        <f t="shared" ref="H16:H89" si="3">+ROUND(D16*E16,2)</f>
        <v>1570431.9</v>
      </c>
      <c r="I16" s="146">
        <f t="shared" ref="I16:I89" si="4">+ROUND(D16*F16,2)</f>
        <v>0</v>
      </c>
      <c r="J16" s="7">
        <f t="shared" si="2"/>
        <v>1570431.9</v>
      </c>
      <c r="K16" s="282"/>
    </row>
    <row r="17" spans="2:11" outlineLevel="3">
      <c r="B17" s="354" t="s">
        <v>84</v>
      </c>
      <c r="C17" s="285" t="s">
        <v>82</v>
      </c>
      <c r="D17" s="286">
        <v>1073.75</v>
      </c>
      <c r="E17" s="7">
        <v>117.23</v>
      </c>
      <c r="F17" s="287">
        <v>0</v>
      </c>
      <c r="G17" s="145">
        <f t="shared" si="1"/>
        <v>117.23</v>
      </c>
      <c r="H17" s="145">
        <f t="shared" si="3"/>
        <v>125875.71</v>
      </c>
      <c r="I17" s="146">
        <f t="shared" si="4"/>
        <v>0</v>
      </c>
      <c r="J17" s="7">
        <f t="shared" si="2"/>
        <v>125875.71</v>
      </c>
      <c r="K17" s="282"/>
    </row>
    <row r="18" spans="2:11" outlineLevel="3">
      <c r="B18" s="354" t="s">
        <v>85</v>
      </c>
      <c r="C18" s="285" t="s">
        <v>82</v>
      </c>
      <c r="D18" s="286">
        <v>120.89</v>
      </c>
      <c r="E18" s="7">
        <v>125.23</v>
      </c>
      <c r="F18" s="287">
        <v>0</v>
      </c>
      <c r="G18" s="145">
        <f t="shared" si="1"/>
        <v>125.23</v>
      </c>
      <c r="H18" s="145">
        <f t="shared" si="3"/>
        <v>15139.05</v>
      </c>
      <c r="I18" s="146">
        <f t="shared" si="4"/>
        <v>0</v>
      </c>
      <c r="J18" s="7">
        <f t="shared" si="2"/>
        <v>15139.05</v>
      </c>
      <c r="K18" s="282"/>
    </row>
    <row r="19" spans="2:11" outlineLevel="3">
      <c r="B19" s="354" t="s">
        <v>86</v>
      </c>
      <c r="C19" s="285" t="s">
        <v>82</v>
      </c>
      <c r="D19" s="286"/>
      <c r="E19" s="7">
        <v>206.23</v>
      </c>
      <c r="F19" s="287">
        <v>0</v>
      </c>
      <c r="G19" s="145">
        <f t="shared" ref="G19" si="5">+ROUND(E19+F19*TC,2)</f>
        <v>206.23</v>
      </c>
      <c r="H19" s="145">
        <f t="shared" si="3"/>
        <v>0</v>
      </c>
      <c r="I19" s="146">
        <f t="shared" si="4"/>
        <v>0</v>
      </c>
      <c r="J19" s="7">
        <f t="shared" si="2"/>
        <v>0</v>
      </c>
      <c r="K19" s="282"/>
    </row>
    <row r="20" spans="2:11" outlineLevel="3">
      <c r="B20" s="354" t="s">
        <v>87</v>
      </c>
      <c r="C20" s="285" t="s">
        <v>82</v>
      </c>
      <c r="D20" s="286"/>
      <c r="E20" s="7">
        <v>220.23</v>
      </c>
      <c r="F20" s="287">
        <v>0</v>
      </c>
      <c r="G20" s="145">
        <f t="shared" ref="G20" si="6">+ROUND(E20+F20*TC,2)</f>
        <v>220.23</v>
      </c>
      <c r="H20" s="145">
        <f t="shared" si="3"/>
        <v>0</v>
      </c>
      <c r="I20" s="146">
        <f t="shared" si="4"/>
        <v>0</v>
      </c>
      <c r="J20" s="7">
        <f t="shared" si="2"/>
        <v>0</v>
      </c>
      <c r="K20" s="282"/>
    </row>
    <row r="21" spans="2:11" outlineLevel="3">
      <c r="B21" s="354" t="s">
        <v>88</v>
      </c>
      <c r="C21" s="285" t="s">
        <v>82</v>
      </c>
      <c r="D21" s="286"/>
      <c r="E21" s="7">
        <v>220.23</v>
      </c>
      <c r="F21" s="287">
        <v>0</v>
      </c>
      <c r="G21" s="145">
        <f t="shared" si="1"/>
        <v>220.23</v>
      </c>
      <c r="H21" s="145">
        <f t="shared" si="3"/>
        <v>0</v>
      </c>
      <c r="I21" s="146">
        <f t="shared" si="4"/>
        <v>0</v>
      </c>
      <c r="J21" s="7">
        <f t="shared" si="2"/>
        <v>0</v>
      </c>
      <c r="K21" s="282"/>
    </row>
    <row r="22" spans="2:11" outlineLevel="3">
      <c r="B22" s="354" t="s">
        <v>89</v>
      </c>
      <c r="C22" s="285" t="s">
        <v>82</v>
      </c>
      <c r="D22" s="286"/>
      <c r="E22" s="7">
        <v>220.23</v>
      </c>
      <c r="F22" s="287">
        <v>0</v>
      </c>
      <c r="G22" s="145">
        <f t="shared" si="1"/>
        <v>220.23</v>
      </c>
      <c r="H22" s="145">
        <f t="shared" si="3"/>
        <v>0</v>
      </c>
      <c r="I22" s="146">
        <f t="shared" si="4"/>
        <v>0</v>
      </c>
      <c r="J22" s="7">
        <f t="shared" si="2"/>
        <v>0</v>
      </c>
      <c r="K22" s="282"/>
    </row>
    <row r="23" spans="2:11" outlineLevel="2">
      <c r="B23" s="355" t="s">
        <v>90</v>
      </c>
      <c r="C23" s="285"/>
      <c r="D23" s="286"/>
      <c r="E23" s="7" t="s">
        <v>27</v>
      </c>
      <c r="F23" s="287" t="s">
        <v>27</v>
      </c>
      <c r="G23" s="145"/>
      <c r="H23" s="145"/>
      <c r="I23" s="146"/>
      <c r="J23" s="7">
        <f t="shared" si="2"/>
        <v>0</v>
      </c>
      <c r="K23" s="282"/>
    </row>
    <row r="24" spans="2:11" outlineLevel="4">
      <c r="B24" s="354" t="s">
        <v>91</v>
      </c>
      <c r="C24" s="285" t="s">
        <v>82</v>
      </c>
      <c r="D24" s="286">
        <v>44</v>
      </c>
      <c r="E24" s="7">
        <v>113.23</v>
      </c>
      <c r="F24" s="287">
        <v>0</v>
      </c>
      <c r="G24" s="145">
        <f t="shared" ref="G24" si="7">+ROUND(E24+F24*TC,2)</f>
        <v>113.23</v>
      </c>
      <c r="H24" s="145">
        <f t="shared" ref="H24" si="8">+ROUND(D24*E24,2)</f>
        <v>4982.12</v>
      </c>
      <c r="I24" s="146">
        <f t="shared" si="4"/>
        <v>0</v>
      </c>
      <c r="J24" s="7">
        <f t="shared" si="2"/>
        <v>4982.12</v>
      </c>
      <c r="K24" s="282"/>
    </row>
    <row r="25" spans="2:11" outlineLevel="4">
      <c r="B25" s="354" t="s">
        <v>92</v>
      </c>
      <c r="C25" s="285" t="s">
        <v>82</v>
      </c>
      <c r="D25" s="286">
        <v>388.45</v>
      </c>
      <c r="E25" s="7">
        <v>120.23</v>
      </c>
      <c r="F25" s="287">
        <v>0</v>
      </c>
      <c r="G25" s="145">
        <f t="shared" ref="G25:G30" si="9">+ROUND(E25+F25*TC,2)</f>
        <v>120.23</v>
      </c>
      <c r="H25" s="145">
        <f t="shared" si="3"/>
        <v>46703.34</v>
      </c>
      <c r="I25" s="146">
        <f t="shared" si="4"/>
        <v>0</v>
      </c>
      <c r="J25" s="7">
        <f t="shared" si="2"/>
        <v>46703.34</v>
      </c>
      <c r="K25" s="282"/>
    </row>
    <row r="26" spans="2:11" outlineLevel="3">
      <c r="B26" s="354" t="s">
        <v>93</v>
      </c>
      <c r="C26" s="285" t="s">
        <v>82</v>
      </c>
      <c r="D26" s="286">
        <v>448.35</v>
      </c>
      <c r="E26" s="7">
        <v>126.23</v>
      </c>
      <c r="F26" s="287">
        <v>0</v>
      </c>
      <c r="G26" s="145">
        <f t="shared" si="9"/>
        <v>126.23</v>
      </c>
      <c r="H26" s="145">
        <f t="shared" si="3"/>
        <v>56595.22</v>
      </c>
      <c r="I26" s="146">
        <f t="shared" si="4"/>
        <v>0</v>
      </c>
      <c r="J26" s="7">
        <f t="shared" si="2"/>
        <v>56595.22</v>
      </c>
      <c r="K26" s="282"/>
    </row>
    <row r="27" spans="2:11" outlineLevel="3">
      <c r="B27" s="354" t="s">
        <v>94</v>
      </c>
      <c r="C27" s="285" t="s">
        <v>82</v>
      </c>
      <c r="D27" s="286"/>
      <c r="E27" s="7">
        <v>134.22999999999999</v>
      </c>
      <c r="F27" s="287">
        <v>0</v>
      </c>
      <c r="G27" s="145">
        <f t="shared" si="9"/>
        <v>134.22999999999999</v>
      </c>
      <c r="H27" s="145">
        <f t="shared" si="3"/>
        <v>0</v>
      </c>
      <c r="I27" s="146">
        <f t="shared" si="4"/>
        <v>0</v>
      </c>
      <c r="J27" s="7">
        <f t="shared" si="2"/>
        <v>0</v>
      </c>
      <c r="K27" s="282"/>
    </row>
    <row r="28" spans="2:11" outlineLevel="3">
      <c r="B28" s="354" t="s">
        <v>95</v>
      </c>
      <c r="C28" s="285" t="s">
        <v>82</v>
      </c>
      <c r="D28" s="286"/>
      <c r="E28" s="7">
        <v>224.23</v>
      </c>
      <c r="F28" s="287">
        <v>0</v>
      </c>
      <c r="G28" s="145">
        <f t="shared" si="9"/>
        <v>224.23</v>
      </c>
      <c r="H28" s="145">
        <f t="shared" si="3"/>
        <v>0</v>
      </c>
      <c r="I28" s="146">
        <f t="shared" si="4"/>
        <v>0</v>
      </c>
      <c r="J28" s="7">
        <f t="shared" si="2"/>
        <v>0</v>
      </c>
      <c r="K28" s="282"/>
    </row>
    <row r="29" spans="2:11" outlineLevel="3">
      <c r="B29" s="354" t="s">
        <v>96</v>
      </c>
      <c r="C29" s="285" t="s">
        <v>82</v>
      </c>
      <c r="D29" s="286"/>
      <c r="E29" s="7">
        <v>238.23</v>
      </c>
      <c r="F29" s="287">
        <v>0</v>
      </c>
      <c r="G29" s="145">
        <f t="shared" si="9"/>
        <v>238.23</v>
      </c>
      <c r="H29" s="145">
        <f t="shared" si="3"/>
        <v>0</v>
      </c>
      <c r="I29" s="146">
        <f t="shared" si="4"/>
        <v>0</v>
      </c>
      <c r="J29" s="7">
        <f t="shared" si="2"/>
        <v>0</v>
      </c>
      <c r="K29" s="282"/>
    </row>
    <row r="30" spans="2:11" outlineLevel="3">
      <c r="B30" s="354" t="s">
        <v>97</v>
      </c>
      <c r="C30" s="285" t="s">
        <v>82</v>
      </c>
      <c r="D30" s="286"/>
      <c r="E30" s="7">
        <v>0</v>
      </c>
      <c r="F30" s="287">
        <v>0</v>
      </c>
      <c r="G30" s="145">
        <f t="shared" si="9"/>
        <v>0</v>
      </c>
      <c r="H30" s="145">
        <f t="shared" si="3"/>
        <v>0</v>
      </c>
      <c r="I30" s="146">
        <f t="shared" si="4"/>
        <v>0</v>
      </c>
      <c r="J30" s="7">
        <f t="shared" si="2"/>
        <v>0</v>
      </c>
      <c r="K30" s="282"/>
    </row>
    <row r="31" spans="2:11" outlineLevel="2">
      <c r="B31" s="355" t="s">
        <v>98</v>
      </c>
      <c r="C31" s="285"/>
      <c r="D31" s="286"/>
      <c r="E31" s="7" t="s">
        <v>27</v>
      </c>
      <c r="F31" s="287" t="s">
        <v>27</v>
      </c>
      <c r="G31" s="145"/>
      <c r="H31" s="145"/>
      <c r="I31" s="146"/>
      <c r="J31" s="7">
        <f t="shared" si="2"/>
        <v>0</v>
      </c>
      <c r="K31" s="282"/>
    </row>
    <row r="32" spans="2:11" outlineLevel="3">
      <c r="B32" s="354" t="s">
        <v>99</v>
      </c>
      <c r="C32" s="285" t="s">
        <v>82</v>
      </c>
      <c r="D32" s="286">
        <v>1.34</v>
      </c>
      <c r="E32" s="7">
        <v>121.23</v>
      </c>
      <c r="F32" s="287">
        <v>0</v>
      </c>
      <c r="G32" s="145">
        <f t="shared" ref="G32:G40" si="10">+ROUND(E32+F32*TC,2)</f>
        <v>121.23</v>
      </c>
      <c r="H32" s="145">
        <f t="shared" si="3"/>
        <v>162.44999999999999</v>
      </c>
      <c r="I32" s="146">
        <f t="shared" si="4"/>
        <v>0</v>
      </c>
      <c r="J32" s="7">
        <f t="shared" si="2"/>
        <v>162.44999999999999</v>
      </c>
      <c r="K32" s="282"/>
    </row>
    <row r="33" spans="2:11" outlineLevel="3">
      <c r="B33" s="354" t="s">
        <v>100</v>
      </c>
      <c r="C33" s="285" t="s">
        <v>82</v>
      </c>
      <c r="D33" s="286">
        <v>11970.5</v>
      </c>
      <c r="E33" s="7">
        <v>117.23</v>
      </c>
      <c r="F33" s="287">
        <v>0</v>
      </c>
      <c r="G33" s="145">
        <f t="shared" si="10"/>
        <v>117.23</v>
      </c>
      <c r="H33" s="145">
        <f t="shared" si="3"/>
        <v>1403301.72</v>
      </c>
      <c r="I33" s="146">
        <f t="shared" si="4"/>
        <v>0</v>
      </c>
      <c r="J33" s="7">
        <f t="shared" si="2"/>
        <v>1403301.72</v>
      </c>
      <c r="K33" s="282"/>
    </row>
    <row r="34" spans="2:11" outlineLevel="3">
      <c r="B34" s="354" t="s">
        <v>101</v>
      </c>
      <c r="C34" s="285" t="s">
        <v>82</v>
      </c>
      <c r="D34" s="286">
        <v>741.96</v>
      </c>
      <c r="E34" s="7">
        <v>125.23</v>
      </c>
      <c r="F34" s="287">
        <v>0</v>
      </c>
      <c r="G34" s="145">
        <f t="shared" si="10"/>
        <v>125.23</v>
      </c>
      <c r="H34" s="145">
        <f t="shared" si="3"/>
        <v>92915.65</v>
      </c>
      <c r="I34" s="146">
        <f t="shared" si="4"/>
        <v>0</v>
      </c>
      <c r="J34" s="7">
        <f t="shared" si="2"/>
        <v>92915.65</v>
      </c>
      <c r="K34" s="282"/>
    </row>
    <row r="35" spans="2:11" outlineLevel="3">
      <c r="B35" s="354" t="s">
        <v>102</v>
      </c>
      <c r="C35" s="285" t="s">
        <v>82</v>
      </c>
      <c r="D35" s="286"/>
      <c r="E35" s="7">
        <v>226.23</v>
      </c>
      <c r="F35" s="287">
        <v>0</v>
      </c>
      <c r="G35" s="145">
        <f t="shared" ref="G35" si="11">+ROUND(E35+F35*TC,2)</f>
        <v>226.23</v>
      </c>
      <c r="H35" s="145">
        <f t="shared" si="3"/>
        <v>0</v>
      </c>
      <c r="I35" s="146">
        <f t="shared" si="4"/>
        <v>0</v>
      </c>
      <c r="J35" s="7">
        <f t="shared" si="2"/>
        <v>0</v>
      </c>
      <c r="K35" s="282"/>
    </row>
    <row r="36" spans="2:11" outlineLevel="3">
      <c r="B36" s="354" t="s">
        <v>103</v>
      </c>
      <c r="C36" s="285" t="s">
        <v>82</v>
      </c>
      <c r="D36" s="286"/>
      <c r="E36" s="7">
        <v>220.23</v>
      </c>
      <c r="F36" s="287">
        <v>0</v>
      </c>
      <c r="G36" s="145">
        <f t="shared" si="10"/>
        <v>220.23</v>
      </c>
      <c r="H36" s="145">
        <f t="shared" si="3"/>
        <v>0</v>
      </c>
      <c r="I36" s="146">
        <f t="shared" si="4"/>
        <v>0</v>
      </c>
      <c r="J36" s="7">
        <f t="shared" si="2"/>
        <v>0</v>
      </c>
      <c r="K36" s="282"/>
    </row>
    <row r="37" spans="2:11" outlineLevel="3">
      <c r="B37" s="354" t="s">
        <v>104</v>
      </c>
      <c r="C37" s="285" t="s">
        <v>82</v>
      </c>
      <c r="D37" s="286"/>
      <c r="E37" s="7">
        <v>220.23</v>
      </c>
      <c r="F37" s="287">
        <v>0</v>
      </c>
      <c r="G37" s="145">
        <f t="shared" si="10"/>
        <v>220.23</v>
      </c>
      <c r="H37" s="145">
        <f t="shared" si="3"/>
        <v>0</v>
      </c>
      <c r="I37" s="146">
        <f t="shared" si="4"/>
        <v>0</v>
      </c>
      <c r="J37" s="7">
        <f t="shared" si="2"/>
        <v>0</v>
      </c>
      <c r="K37" s="282"/>
    </row>
    <row r="38" spans="2:11" outlineLevel="3">
      <c r="B38" s="354" t="s">
        <v>105</v>
      </c>
      <c r="C38" s="285" t="s">
        <v>82</v>
      </c>
      <c r="D38" s="286"/>
      <c r="E38" s="7">
        <v>220.23</v>
      </c>
      <c r="F38" s="287">
        <v>0</v>
      </c>
      <c r="G38" s="145">
        <f t="shared" si="10"/>
        <v>220.23</v>
      </c>
      <c r="H38" s="145">
        <f t="shared" si="3"/>
        <v>0</v>
      </c>
      <c r="I38" s="146">
        <f t="shared" si="4"/>
        <v>0</v>
      </c>
      <c r="J38" s="7">
        <f t="shared" si="2"/>
        <v>0</v>
      </c>
      <c r="K38" s="282"/>
    </row>
    <row r="39" spans="2:11" outlineLevel="3">
      <c r="B39" s="354" t="s">
        <v>106</v>
      </c>
      <c r="C39" s="285" t="s">
        <v>82</v>
      </c>
      <c r="D39" s="286"/>
      <c r="E39" s="7">
        <v>220.23</v>
      </c>
      <c r="F39" s="287">
        <v>0</v>
      </c>
      <c r="G39" s="145">
        <f t="shared" si="10"/>
        <v>220.23</v>
      </c>
      <c r="H39" s="145">
        <f t="shared" si="3"/>
        <v>0</v>
      </c>
      <c r="I39" s="146">
        <f t="shared" si="4"/>
        <v>0</v>
      </c>
      <c r="J39" s="7">
        <f t="shared" si="2"/>
        <v>0</v>
      </c>
      <c r="K39" s="282"/>
    </row>
    <row r="40" spans="2:11" outlineLevel="3">
      <c r="B40" s="354" t="s">
        <v>107</v>
      </c>
      <c r="C40" s="285" t="s">
        <v>82</v>
      </c>
      <c r="D40" s="286"/>
      <c r="E40" s="7">
        <v>220.23</v>
      </c>
      <c r="F40" s="287">
        <v>0</v>
      </c>
      <c r="G40" s="145">
        <f t="shared" si="10"/>
        <v>220.23</v>
      </c>
      <c r="H40" s="145">
        <f t="shared" si="3"/>
        <v>0</v>
      </c>
      <c r="I40" s="146">
        <f t="shared" si="4"/>
        <v>0</v>
      </c>
      <c r="J40" s="7">
        <f t="shared" si="2"/>
        <v>0</v>
      </c>
      <c r="K40" s="282"/>
    </row>
    <row r="41" spans="2:11" outlineLevel="2">
      <c r="B41" s="355" t="s">
        <v>108</v>
      </c>
      <c r="C41" s="285"/>
      <c r="D41" s="286"/>
      <c r="E41" s="7" t="s">
        <v>27</v>
      </c>
      <c r="F41" s="287" t="s">
        <v>27</v>
      </c>
      <c r="G41" s="145"/>
      <c r="H41" s="145"/>
      <c r="I41" s="146"/>
      <c r="J41" s="7">
        <f t="shared" si="2"/>
        <v>0</v>
      </c>
      <c r="K41" s="282"/>
    </row>
    <row r="42" spans="2:11" outlineLevel="3">
      <c r="B42" s="354" t="s">
        <v>109</v>
      </c>
      <c r="C42" s="285" t="s">
        <v>82</v>
      </c>
      <c r="D42" s="286"/>
      <c r="E42" s="7">
        <v>123.23</v>
      </c>
      <c r="F42" s="287">
        <v>0</v>
      </c>
      <c r="G42" s="145">
        <f t="shared" ref="G42:G48" si="12">+ROUND(E42+F42*TC,2)</f>
        <v>123.23</v>
      </c>
      <c r="H42" s="145">
        <f t="shared" ref="H42" si="13">+ROUND(D42*E42,2)</f>
        <v>0</v>
      </c>
      <c r="I42" s="146">
        <f t="shared" si="4"/>
        <v>0</v>
      </c>
      <c r="J42" s="7">
        <f t="shared" si="2"/>
        <v>0</v>
      </c>
      <c r="K42" s="282"/>
    </row>
    <row r="43" spans="2:11" outlineLevel="3">
      <c r="B43" s="354" t="s">
        <v>110</v>
      </c>
      <c r="C43" s="285" t="s">
        <v>82</v>
      </c>
      <c r="D43" s="286"/>
      <c r="E43" s="7">
        <v>130.22999999999999</v>
      </c>
      <c r="F43" s="287">
        <v>0</v>
      </c>
      <c r="G43" s="145">
        <f t="shared" si="12"/>
        <v>130.22999999999999</v>
      </c>
      <c r="H43" s="145">
        <f t="shared" si="3"/>
        <v>0</v>
      </c>
      <c r="I43" s="146">
        <f t="shared" si="4"/>
        <v>0</v>
      </c>
      <c r="J43" s="7">
        <f t="shared" si="2"/>
        <v>0</v>
      </c>
      <c r="K43" s="282"/>
    </row>
    <row r="44" spans="2:11" outlineLevel="3">
      <c r="B44" s="354" t="s">
        <v>111</v>
      </c>
      <c r="C44" s="285" t="s">
        <v>82</v>
      </c>
      <c r="D44" s="286">
        <v>1804.9</v>
      </c>
      <c r="E44" s="7">
        <v>126.23</v>
      </c>
      <c r="F44" s="287">
        <v>0</v>
      </c>
      <c r="G44" s="145">
        <f t="shared" si="12"/>
        <v>126.23</v>
      </c>
      <c r="H44" s="145">
        <f t="shared" si="3"/>
        <v>227832.53</v>
      </c>
      <c r="I44" s="146">
        <f t="shared" si="4"/>
        <v>0</v>
      </c>
      <c r="J44" s="7">
        <f t="shared" si="2"/>
        <v>227832.53</v>
      </c>
      <c r="K44" s="282"/>
    </row>
    <row r="45" spans="2:11" outlineLevel="3">
      <c r="B45" s="354" t="s">
        <v>112</v>
      </c>
      <c r="C45" s="285" t="s">
        <v>82</v>
      </c>
      <c r="D45" s="286">
        <v>232.54</v>
      </c>
      <c r="E45" s="7">
        <v>134.22999999999999</v>
      </c>
      <c r="F45" s="287">
        <v>0</v>
      </c>
      <c r="G45" s="145">
        <f t="shared" si="12"/>
        <v>134.22999999999999</v>
      </c>
      <c r="H45" s="145">
        <f t="shared" si="3"/>
        <v>31213.84</v>
      </c>
      <c r="I45" s="146">
        <f t="shared" si="4"/>
        <v>0</v>
      </c>
      <c r="J45" s="7">
        <f t="shared" si="2"/>
        <v>31213.84</v>
      </c>
      <c r="K45" s="282"/>
    </row>
    <row r="46" spans="2:11" outlineLevel="3">
      <c r="B46" s="354" t="s">
        <v>113</v>
      </c>
      <c r="C46" s="285" t="s">
        <v>82</v>
      </c>
      <c r="D46" s="286"/>
      <c r="E46" s="7">
        <v>0</v>
      </c>
      <c r="F46" s="287">
        <v>0</v>
      </c>
      <c r="G46" s="145">
        <f t="shared" si="12"/>
        <v>0</v>
      </c>
      <c r="H46" s="145">
        <f t="shared" si="3"/>
        <v>0</v>
      </c>
      <c r="I46" s="146">
        <f t="shared" si="4"/>
        <v>0</v>
      </c>
      <c r="J46" s="7">
        <f t="shared" si="2"/>
        <v>0</v>
      </c>
      <c r="K46" s="282"/>
    </row>
    <row r="47" spans="2:11" outlineLevel="3">
      <c r="B47" s="354" t="s">
        <v>114</v>
      </c>
      <c r="C47" s="285" t="s">
        <v>82</v>
      </c>
      <c r="D47" s="286"/>
      <c r="E47" s="7">
        <v>0</v>
      </c>
      <c r="F47" s="287">
        <v>0</v>
      </c>
      <c r="G47" s="145">
        <f t="shared" si="12"/>
        <v>0</v>
      </c>
      <c r="H47" s="145">
        <f t="shared" si="3"/>
        <v>0</v>
      </c>
      <c r="I47" s="146">
        <f t="shared" si="4"/>
        <v>0</v>
      </c>
      <c r="J47" s="7">
        <f t="shared" si="2"/>
        <v>0</v>
      </c>
      <c r="K47" s="282"/>
    </row>
    <row r="48" spans="2:11" outlineLevel="3">
      <c r="B48" s="354" t="s">
        <v>115</v>
      </c>
      <c r="C48" s="285" t="s">
        <v>82</v>
      </c>
      <c r="D48" s="286"/>
      <c r="E48" s="7">
        <v>0</v>
      </c>
      <c r="F48" s="287">
        <v>0</v>
      </c>
      <c r="G48" s="145">
        <f t="shared" si="12"/>
        <v>0</v>
      </c>
      <c r="H48" s="145">
        <f t="shared" si="3"/>
        <v>0</v>
      </c>
      <c r="I48" s="146">
        <f t="shared" si="4"/>
        <v>0</v>
      </c>
      <c r="J48" s="7">
        <f t="shared" si="2"/>
        <v>0</v>
      </c>
      <c r="K48" s="282"/>
    </row>
    <row r="49" spans="2:11" outlineLevel="2">
      <c r="B49" s="355" t="s">
        <v>116</v>
      </c>
      <c r="C49" s="285"/>
      <c r="D49" s="286"/>
      <c r="E49" s="7" t="s">
        <v>27</v>
      </c>
      <c r="F49" s="287" t="s">
        <v>27</v>
      </c>
      <c r="G49" s="145"/>
      <c r="H49" s="145"/>
      <c r="I49" s="146"/>
      <c r="J49" s="7">
        <f t="shared" si="2"/>
        <v>0</v>
      </c>
      <c r="K49" s="282"/>
    </row>
    <row r="50" spans="2:11" outlineLevel="3">
      <c r="B50" s="354" t="s">
        <v>117</v>
      </c>
      <c r="C50" s="285" t="s">
        <v>118</v>
      </c>
      <c r="D50" s="286">
        <v>47386.065000000002</v>
      </c>
      <c r="E50" s="7">
        <v>0</v>
      </c>
      <c r="F50" s="287">
        <v>0.89</v>
      </c>
      <c r="G50" s="145">
        <f>+ROUND(E50+F50*TC,2)</f>
        <v>2.98</v>
      </c>
      <c r="H50" s="145">
        <f t="shared" si="3"/>
        <v>0</v>
      </c>
      <c r="I50" s="146">
        <f t="shared" si="4"/>
        <v>42173.599999999999</v>
      </c>
      <c r="J50" s="7">
        <f t="shared" si="2"/>
        <v>141281.56</v>
      </c>
      <c r="K50" s="282"/>
    </row>
    <row r="51" spans="2:11" outlineLevel="2">
      <c r="B51" s="355" t="s">
        <v>119</v>
      </c>
      <c r="C51" s="285"/>
      <c r="D51" s="286"/>
      <c r="E51" s="7" t="s">
        <v>27</v>
      </c>
      <c r="F51" s="287" t="s">
        <v>27</v>
      </c>
      <c r="G51" s="145"/>
      <c r="H51" s="145"/>
      <c r="I51" s="146"/>
      <c r="J51" s="7">
        <f t="shared" si="2"/>
        <v>0</v>
      </c>
      <c r="K51" s="282"/>
    </row>
    <row r="52" spans="2:11" outlineLevel="3">
      <c r="B52" s="354" t="s">
        <v>120</v>
      </c>
      <c r="C52" s="285" t="s">
        <v>121</v>
      </c>
      <c r="D52" s="286">
        <v>2013</v>
      </c>
      <c r="E52" s="7">
        <v>125</v>
      </c>
      <c r="F52" s="287">
        <v>0</v>
      </c>
      <c r="G52" s="145">
        <f>+ROUND(E52+F52*TC,2)</f>
        <v>125</v>
      </c>
      <c r="H52" s="145">
        <f>+ROUND(D52*E52,2)</f>
        <v>251625</v>
      </c>
      <c r="I52" s="146">
        <f>+ROUND(D52*F52,2)</f>
        <v>0</v>
      </c>
      <c r="J52" s="7">
        <f t="shared" si="2"/>
        <v>251625</v>
      </c>
      <c r="K52" s="282"/>
    </row>
    <row r="53" spans="2:11" outlineLevel="3">
      <c r="B53" s="354" t="s">
        <v>122</v>
      </c>
      <c r="C53" s="285" t="s">
        <v>121</v>
      </c>
      <c r="D53" s="286">
        <v>116</v>
      </c>
      <c r="E53" s="7">
        <v>130</v>
      </c>
      <c r="F53" s="287">
        <v>0</v>
      </c>
      <c r="G53" s="145">
        <f>+ROUND(E53+F53*TC,2)</f>
        <v>130</v>
      </c>
      <c r="H53" s="145">
        <f>+ROUND(D53*E53,2)</f>
        <v>15080</v>
      </c>
      <c r="I53" s="146">
        <f>+ROUND(D53*F53,2)</f>
        <v>0</v>
      </c>
      <c r="J53" s="7">
        <f t="shared" si="2"/>
        <v>15080</v>
      </c>
      <c r="K53" s="282"/>
    </row>
    <row r="54" spans="2:11" outlineLevel="2">
      <c r="B54" s="355" t="s">
        <v>123</v>
      </c>
      <c r="C54" s="285"/>
      <c r="D54" s="286"/>
      <c r="E54" s="7" t="s">
        <v>27</v>
      </c>
      <c r="F54" s="287" t="s">
        <v>27</v>
      </c>
      <c r="G54" s="145"/>
      <c r="H54" s="145"/>
      <c r="I54" s="146"/>
      <c r="J54" s="7">
        <f t="shared" si="2"/>
        <v>0</v>
      </c>
      <c r="K54" s="282"/>
    </row>
    <row r="55" spans="2:11" outlineLevel="3">
      <c r="B55" s="354" t="s">
        <v>124</v>
      </c>
      <c r="C55" s="285" t="s">
        <v>121</v>
      </c>
      <c r="D55" s="286">
        <v>334</v>
      </c>
      <c r="E55" s="7">
        <v>130</v>
      </c>
      <c r="F55" s="287">
        <v>0</v>
      </c>
      <c r="G55" s="145">
        <f>+ROUND(E55+F55*TC,2)</f>
        <v>130</v>
      </c>
      <c r="H55" s="145">
        <f t="shared" si="3"/>
        <v>43420</v>
      </c>
      <c r="I55" s="146">
        <f t="shared" si="4"/>
        <v>0</v>
      </c>
      <c r="J55" s="7">
        <f t="shared" si="2"/>
        <v>43420</v>
      </c>
      <c r="K55" s="282"/>
    </row>
    <row r="56" spans="2:11" outlineLevel="3">
      <c r="B56" s="354" t="s">
        <v>125</v>
      </c>
      <c r="C56" s="285" t="s">
        <v>121</v>
      </c>
      <c r="D56" s="286">
        <v>2300</v>
      </c>
      <c r="E56" s="7">
        <v>80</v>
      </c>
      <c r="F56" s="287">
        <v>0</v>
      </c>
      <c r="G56" s="145">
        <f>+ROUND(E56+F56*TC,2)</f>
        <v>80</v>
      </c>
      <c r="H56" s="145">
        <f t="shared" si="3"/>
        <v>184000</v>
      </c>
      <c r="I56" s="146">
        <f t="shared" si="4"/>
        <v>0</v>
      </c>
      <c r="J56" s="7">
        <f t="shared" si="2"/>
        <v>184000</v>
      </c>
      <c r="K56" s="282"/>
    </row>
    <row r="57" spans="2:11" outlineLevel="3">
      <c r="B57" s="150" t="s">
        <v>126</v>
      </c>
      <c r="C57" s="285" t="s">
        <v>121</v>
      </c>
      <c r="D57" s="286">
        <v>106</v>
      </c>
      <c r="E57" s="7">
        <v>70</v>
      </c>
      <c r="F57" s="287">
        <v>0</v>
      </c>
      <c r="G57" s="145">
        <f>+ROUND(E57+F57*TC,2)</f>
        <v>70</v>
      </c>
      <c r="H57" s="145">
        <f t="shared" si="3"/>
        <v>7420</v>
      </c>
      <c r="I57" s="146">
        <f t="shared" si="4"/>
        <v>0</v>
      </c>
      <c r="J57" s="7">
        <f t="shared" si="2"/>
        <v>7420</v>
      </c>
      <c r="K57" s="289"/>
    </row>
    <row r="58" spans="2:11" outlineLevel="3">
      <c r="B58" s="150" t="s">
        <v>127</v>
      </c>
      <c r="C58" s="285" t="s">
        <v>121</v>
      </c>
      <c r="D58" s="286">
        <v>622</v>
      </c>
      <c r="E58" s="7">
        <v>70</v>
      </c>
      <c r="F58" s="287">
        <v>0</v>
      </c>
      <c r="G58" s="145">
        <f>+ROUND(E58+F58*TC,2)</f>
        <v>70</v>
      </c>
      <c r="H58" s="145">
        <f t="shared" si="3"/>
        <v>43540</v>
      </c>
      <c r="I58" s="146">
        <f t="shared" si="4"/>
        <v>0</v>
      </c>
      <c r="J58" s="7">
        <f t="shared" si="2"/>
        <v>43540</v>
      </c>
      <c r="K58" s="289"/>
    </row>
    <row r="59" spans="2:11" outlineLevel="2">
      <c r="B59" s="355" t="s">
        <v>128</v>
      </c>
      <c r="C59" s="285"/>
      <c r="D59" s="286"/>
      <c r="E59" s="7" t="s">
        <v>27</v>
      </c>
      <c r="F59" s="287" t="s">
        <v>27</v>
      </c>
      <c r="G59" s="145"/>
      <c r="H59" s="145"/>
      <c r="I59" s="146"/>
      <c r="J59" s="7">
        <f t="shared" si="2"/>
        <v>0</v>
      </c>
      <c r="K59" s="282"/>
    </row>
    <row r="60" spans="2:11" outlineLevel="3">
      <c r="B60" s="150" t="s">
        <v>129</v>
      </c>
      <c r="C60" s="285" t="s">
        <v>130</v>
      </c>
      <c r="D60" s="286"/>
      <c r="E60" s="7">
        <v>0</v>
      </c>
      <c r="F60" s="287">
        <v>0</v>
      </c>
      <c r="G60" s="145">
        <f>+ROUND(E60+F60*TC,2)</f>
        <v>0</v>
      </c>
      <c r="H60" s="145">
        <f t="shared" si="3"/>
        <v>0</v>
      </c>
      <c r="I60" s="146">
        <f t="shared" si="4"/>
        <v>0</v>
      </c>
      <c r="J60" s="7">
        <f t="shared" si="2"/>
        <v>0</v>
      </c>
      <c r="K60" s="289"/>
    </row>
    <row r="61" spans="2:11" outlineLevel="3">
      <c r="B61" s="150" t="s">
        <v>131</v>
      </c>
      <c r="C61" s="285" t="s">
        <v>132</v>
      </c>
      <c r="D61" s="286">
        <v>5</v>
      </c>
      <c r="E61" s="7">
        <v>4500</v>
      </c>
      <c r="F61" s="287">
        <v>0</v>
      </c>
      <c r="G61" s="145">
        <f>+ROUND(E61+F61*TC,2)</f>
        <v>4500</v>
      </c>
      <c r="H61" s="145">
        <f t="shared" si="3"/>
        <v>22500</v>
      </c>
      <c r="I61" s="146">
        <f t="shared" si="4"/>
        <v>0</v>
      </c>
      <c r="J61" s="7">
        <f t="shared" si="2"/>
        <v>22500</v>
      </c>
      <c r="K61" s="289"/>
    </row>
    <row r="62" spans="2:11" s="291" customFormat="1" outlineLevel="2">
      <c r="B62" s="355" t="s">
        <v>133</v>
      </c>
      <c r="C62" s="290"/>
      <c r="D62" s="356"/>
      <c r="E62" s="7" t="s">
        <v>27</v>
      </c>
      <c r="F62" s="287" t="s">
        <v>27</v>
      </c>
      <c r="G62" s="145"/>
      <c r="H62" s="145"/>
      <c r="I62" s="146"/>
      <c r="J62" s="7">
        <f t="shared" si="2"/>
        <v>0</v>
      </c>
      <c r="K62" s="282"/>
    </row>
    <row r="63" spans="2:11" outlineLevel="4">
      <c r="B63" s="354" t="s">
        <v>134</v>
      </c>
      <c r="C63" s="285" t="s">
        <v>82</v>
      </c>
      <c r="D63" s="286"/>
      <c r="E63" s="7">
        <v>0</v>
      </c>
      <c r="F63" s="287">
        <v>0</v>
      </c>
      <c r="G63" s="145">
        <f>+ROUND(E63+F63*TC,2)</f>
        <v>0</v>
      </c>
      <c r="H63" s="145">
        <f t="shared" si="3"/>
        <v>0</v>
      </c>
      <c r="I63" s="146">
        <f t="shared" si="4"/>
        <v>0</v>
      </c>
      <c r="J63" s="7">
        <f t="shared" si="2"/>
        <v>0</v>
      </c>
      <c r="K63" s="282"/>
    </row>
    <row r="64" spans="2:11" outlineLevel="4">
      <c r="B64" s="354" t="s">
        <v>135</v>
      </c>
      <c r="C64" s="285" t="s">
        <v>82</v>
      </c>
      <c r="D64" s="286"/>
      <c r="E64" s="7">
        <v>113.3</v>
      </c>
      <c r="F64" s="287">
        <v>0</v>
      </c>
      <c r="G64" s="145">
        <f>+ROUND(E64+F64*TC,2)</f>
        <v>113.3</v>
      </c>
      <c r="H64" s="145">
        <f t="shared" si="3"/>
        <v>0</v>
      </c>
      <c r="I64" s="146">
        <f t="shared" si="4"/>
        <v>0</v>
      </c>
      <c r="J64" s="7">
        <f t="shared" si="2"/>
        <v>0</v>
      </c>
      <c r="K64" s="282"/>
    </row>
    <row r="65" spans="2:11" outlineLevel="4">
      <c r="B65" s="354" t="s">
        <v>136</v>
      </c>
      <c r="C65" s="285" t="s">
        <v>82</v>
      </c>
      <c r="D65" s="286"/>
      <c r="E65" s="7">
        <v>169.95</v>
      </c>
      <c r="F65" s="287">
        <v>0</v>
      </c>
      <c r="G65" s="145">
        <f>+ROUND(E65+F65*TC,2)</f>
        <v>169.95</v>
      </c>
      <c r="H65" s="145">
        <f t="shared" si="3"/>
        <v>0</v>
      </c>
      <c r="I65" s="146">
        <f t="shared" si="4"/>
        <v>0</v>
      </c>
      <c r="J65" s="7">
        <f t="shared" si="2"/>
        <v>0</v>
      </c>
      <c r="K65" s="282"/>
    </row>
    <row r="66" spans="2:11" s="291" customFormat="1" outlineLevel="1">
      <c r="B66" s="349" t="s">
        <v>137</v>
      </c>
      <c r="C66" s="290"/>
      <c r="D66" s="356"/>
      <c r="E66" s="7" t="s">
        <v>27</v>
      </c>
      <c r="F66" s="287" t="s">
        <v>27</v>
      </c>
      <c r="G66" s="145"/>
      <c r="H66" s="145"/>
      <c r="I66" s="146"/>
      <c r="J66" s="7">
        <f t="shared" si="2"/>
        <v>0</v>
      </c>
      <c r="K66" s="282"/>
    </row>
    <row r="67" spans="2:11" outlineLevel="3">
      <c r="B67" s="354" t="s">
        <v>138</v>
      </c>
      <c r="C67" s="285" t="s">
        <v>82</v>
      </c>
      <c r="D67" s="286"/>
      <c r="E67" s="7">
        <v>0</v>
      </c>
      <c r="F67" s="287">
        <v>0</v>
      </c>
      <c r="G67" s="145">
        <f t="shared" ref="G67:G72" si="14">+ROUND(E67+F67*TC,2)</f>
        <v>0</v>
      </c>
      <c r="H67" s="145">
        <f t="shared" si="3"/>
        <v>0</v>
      </c>
      <c r="I67" s="146">
        <f t="shared" si="4"/>
        <v>0</v>
      </c>
      <c r="J67" s="7">
        <f t="shared" si="2"/>
        <v>0</v>
      </c>
      <c r="K67" s="282"/>
    </row>
    <row r="68" spans="2:11" outlineLevel="3">
      <c r="B68" s="354" t="s">
        <v>139</v>
      </c>
      <c r="C68" s="285" t="s">
        <v>118</v>
      </c>
      <c r="D68" s="286"/>
      <c r="E68" s="7">
        <v>0</v>
      </c>
      <c r="F68" s="287">
        <v>0</v>
      </c>
      <c r="G68" s="145">
        <f>+ROUND(E68+F68*TC,2)</f>
        <v>0</v>
      </c>
      <c r="H68" s="145">
        <f>+ROUND(D68*E68,2)</f>
        <v>0</v>
      </c>
      <c r="I68" s="146">
        <f>+ROUND(D68*F68,2)</f>
        <v>0</v>
      </c>
      <c r="J68" s="7">
        <f t="shared" si="2"/>
        <v>0</v>
      </c>
      <c r="K68" s="282"/>
    </row>
    <row r="69" spans="2:11" outlineLevel="3">
      <c r="B69" s="354" t="s">
        <v>140</v>
      </c>
      <c r="C69" s="285" t="s">
        <v>141</v>
      </c>
      <c r="D69" s="286"/>
      <c r="E69" s="7">
        <v>0</v>
      </c>
      <c r="F69" s="287">
        <v>0</v>
      </c>
      <c r="G69" s="145">
        <f t="shared" ref="G69" si="15">+ROUND(E69+F69*TC,2)</f>
        <v>0</v>
      </c>
      <c r="H69" s="145">
        <f t="shared" ref="H69" si="16">+ROUND(D69*E69,2)</f>
        <v>0</v>
      </c>
      <c r="I69" s="146">
        <f t="shared" ref="I69" si="17">+ROUND(D69*F69,2)</f>
        <v>0</v>
      </c>
      <c r="J69" s="7">
        <f t="shared" si="2"/>
        <v>0</v>
      </c>
      <c r="K69" s="282"/>
    </row>
    <row r="70" spans="2:11" outlineLevel="3">
      <c r="B70" s="354" t="s">
        <v>142</v>
      </c>
      <c r="C70" s="285" t="s">
        <v>141</v>
      </c>
      <c r="D70" s="286"/>
      <c r="E70" s="7">
        <v>0</v>
      </c>
      <c r="F70" s="287">
        <v>0</v>
      </c>
      <c r="G70" s="145">
        <f t="shared" si="14"/>
        <v>0</v>
      </c>
      <c r="H70" s="145">
        <f t="shared" si="3"/>
        <v>0</v>
      </c>
      <c r="I70" s="146">
        <f t="shared" si="4"/>
        <v>0</v>
      </c>
      <c r="J70" s="7">
        <f t="shared" si="2"/>
        <v>0</v>
      </c>
      <c r="K70" s="282"/>
    </row>
    <row r="71" spans="2:11" outlineLevel="3">
      <c r="B71" s="354" t="s">
        <v>143</v>
      </c>
      <c r="C71" s="285" t="s">
        <v>141</v>
      </c>
      <c r="D71" s="286"/>
      <c r="E71" s="7">
        <v>0</v>
      </c>
      <c r="F71" s="287">
        <v>0</v>
      </c>
      <c r="G71" s="145">
        <f t="shared" si="14"/>
        <v>0</v>
      </c>
      <c r="H71" s="145">
        <f t="shared" si="3"/>
        <v>0</v>
      </c>
      <c r="I71" s="146">
        <f t="shared" si="4"/>
        <v>0</v>
      </c>
      <c r="J71" s="7">
        <f t="shared" si="2"/>
        <v>0</v>
      </c>
      <c r="K71" s="282"/>
    </row>
    <row r="72" spans="2:11" outlineLevel="3">
      <c r="B72" s="354" t="s">
        <v>144</v>
      </c>
      <c r="C72" s="285" t="s">
        <v>82</v>
      </c>
      <c r="D72" s="286">
        <v>593.41</v>
      </c>
      <c r="E72" s="7">
        <v>110</v>
      </c>
      <c r="F72" s="287">
        <v>0</v>
      </c>
      <c r="G72" s="145">
        <f t="shared" si="14"/>
        <v>110</v>
      </c>
      <c r="H72" s="145">
        <f t="shared" si="3"/>
        <v>65275.1</v>
      </c>
      <c r="I72" s="146">
        <f t="shared" si="4"/>
        <v>0</v>
      </c>
      <c r="J72" s="7">
        <f t="shared" si="2"/>
        <v>65275.1</v>
      </c>
      <c r="K72" s="282"/>
    </row>
    <row r="73" spans="2:11" outlineLevel="3">
      <c r="B73" s="150" t="s">
        <v>145</v>
      </c>
      <c r="C73" s="285" t="s">
        <v>82</v>
      </c>
      <c r="D73" s="286">
        <v>1.27</v>
      </c>
      <c r="E73" s="7">
        <v>110</v>
      </c>
      <c r="F73" s="287">
        <v>0</v>
      </c>
      <c r="G73" s="145">
        <f t="shared" ref="G73" si="18">+ROUND(E73+F73*TC,2)</f>
        <v>110</v>
      </c>
      <c r="H73" s="145">
        <f t="shared" si="3"/>
        <v>139.69999999999999</v>
      </c>
      <c r="I73" s="146">
        <f t="shared" si="4"/>
        <v>0</v>
      </c>
      <c r="J73" s="7">
        <f t="shared" si="2"/>
        <v>139.69999999999999</v>
      </c>
      <c r="K73" s="282"/>
    </row>
    <row r="74" spans="2:11" outlineLevel="3">
      <c r="B74" s="150" t="s">
        <v>146</v>
      </c>
      <c r="C74" s="285" t="s">
        <v>82</v>
      </c>
      <c r="D74" s="286">
        <v>732.13</v>
      </c>
      <c r="E74" s="7">
        <v>125</v>
      </c>
      <c r="F74" s="287">
        <v>0</v>
      </c>
      <c r="G74" s="145">
        <f t="shared" ref="G74" si="19">+ROUND(E74+F74*TC,2)</f>
        <v>125</v>
      </c>
      <c r="H74" s="145">
        <f t="shared" si="3"/>
        <v>91516.25</v>
      </c>
      <c r="I74" s="146">
        <f t="shared" si="4"/>
        <v>0</v>
      </c>
      <c r="J74" s="7">
        <f t="shared" si="2"/>
        <v>91516.25</v>
      </c>
      <c r="K74" s="282"/>
    </row>
    <row r="75" spans="2:11" s="291" customFormat="1" outlineLevel="1">
      <c r="B75" s="349" t="s">
        <v>147</v>
      </c>
      <c r="C75" s="290"/>
      <c r="D75" s="356"/>
      <c r="E75" s="7" t="s">
        <v>27</v>
      </c>
      <c r="F75" s="287" t="s">
        <v>27</v>
      </c>
      <c r="G75" s="145"/>
      <c r="H75" s="145"/>
      <c r="I75" s="146"/>
      <c r="J75" s="7">
        <f t="shared" si="2"/>
        <v>0</v>
      </c>
      <c r="K75" s="282"/>
    </row>
    <row r="76" spans="2:11" s="291" customFormat="1" outlineLevel="3">
      <c r="B76" s="354" t="s">
        <v>148</v>
      </c>
      <c r="C76" s="285" t="s">
        <v>82</v>
      </c>
      <c r="D76" s="286">
        <v>1130.5999999999999</v>
      </c>
      <c r="E76" s="7">
        <v>111.23</v>
      </c>
      <c r="F76" s="287">
        <v>0</v>
      </c>
      <c r="G76" s="145">
        <f t="shared" ref="G76:G96" si="20">+ROUND(E76+F76*TC,2)</f>
        <v>111.23</v>
      </c>
      <c r="H76" s="145">
        <f t="shared" si="3"/>
        <v>125756.64</v>
      </c>
      <c r="I76" s="146">
        <f t="shared" si="4"/>
        <v>0</v>
      </c>
      <c r="J76" s="7">
        <f t="shared" si="2"/>
        <v>125756.64</v>
      </c>
      <c r="K76" s="282"/>
    </row>
    <row r="77" spans="2:11" outlineLevel="3">
      <c r="B77" s="354" t="s">
        <v>149</v>
      </c>
      <c r="C77" s="285" t="s">
        <v>82</v>
      </c>
      <c r="D77" s="286">
        <v>0</v>
      </c>
      <c r="E77" s="7">
        <v>117.23</v>
      </c>
      <c r="F77" s="287">
        <v>0</v>
      </c>
      <c r="G77" s="145">
        <f t="shared" si="20"/>
        <v>117.23</v>
      </c>
      <c r="H77" s="145">
        <f t="shared" si="3"/>
        <v>0</v>
      </c>
      <c r="I77" s="146">
        <f t="shared" si="4"/>
        <v>0</v>
      </c>
      <c r="J77" s="7">
        <f t="shared" si="2"/>
        <v>0</v>
      </c>
      <c r="K77" s="282"/>
    </row>
    <row r="78" spans="2:11" outlineLevel="3">
      <c r="B78" s="354" t="s">
        <v>150</v>
      </c>
      <c r="C78" s="285" t="s">
        <v>82</v>
      </c>
      <c r="D78" s="286"/>
      <c r="E78" s="7">
        <v>0</v>
      </c>
      <c r="F78" s="287">
        <v>0</v>
      </c>
      <c r="G78" s="145">
        <f t="shared" si="20"/>
        <v>0</v>
      </c>
      <c r="H78" s="145">
        <f t="shared" si="3"/>
        <v>0</v>
      </c>
      <c r="I78" s="146">
        <f t="shared" si="4"/>
        <v>0</v>
      </c>
      <c r="J78" s="7">
        <f t="shared" si="2"/>
        <v>0</v>
      </c>
      <c r="K78" s="282"/>
    </row>
    <row r="79" spans="2:11" outlineLevel="3">
      <c r="B79" s="354" t="s">
        <v>151</v>
      </c>
      <c r="C79" s="285" t="s">
        <v>82</v>
      </c>
      <c r="D79" s="286"/>
      <c r="E79" s="7">
        <v>0</v>
      </c>
      <c r="F79" s="287">
        <v>0</v>
      </c>
      <c r="G79" s="145">
        <f t="shared" si="20"/>
        <v>0</v>
      </c>
      <c r="H79" s="145">
        <f t="shared" si="3"/>
        <v>0</v>
      </c>
      <c r="I79" s="146">
        <f t="shared" si="4"/>
        <v>0</v>
      </c>
      <c r="J79" s="7">
        <f t="shared" ref="J79:J138" si="21">+ROUND(H79+I79*TC,2)</f>
        <v>0</v>
      </c>
      <c r="K79" s="282"/>
    </row>
    <row r="80" spans="2:11" outlineLevel="3">
      <c r="B80" s="354" t="s">
        <v>152</v>
      </c>
      <c r="C80" s="285" t="s">
        <v>82</v>
      </c>
      <c r="D80" s="286"/>
      <c r="E80" s="7">
        <v>0</v>
      </c>
      <c r="F80" s="287">
        <v>0</v>
      </c>
      <c r="G80" s="145">
        <f t="shared" si="20"/>
        <v>0</v>
      </c>
      <c r="H80" s="145">
        <f t="shared" si="3"/>
        <v>0</v>
      </c>
      <c r="I80" s="146">
        <f t="shared" si="4"/>
        <v>0</v>
      </c>
      <c r="J80" s="7">
        <f t="shared" si="21"/>
        <v>0</v>
      </c>
      <c r="K80" s="282"/>
    </row>
    <row r="81" spans="2:11" outlineLevel="3">
      <c r="B81" s="354" t="s">
        <v>153</v>
      </c>
      <c r="C81" s="285" t="s">
        <v>82</v>
      </c>
      <c r="D81" s="286"/>
      <c r="E81" s="7">
        <v>0</v>
      </c>
      <c r="F81" s="287">
        <v>0</v>
      </c>
      <c r="G81" s="145">
        <f t="shared" si="20"/>
        <v>0</v>
      </c>
      <c r="H81" s="145">
        <f t="shared" si="3"/>
        <v>0</v>
      </c>
      <c r="I81" s="146">
        <f t="shared" si="4"/>
        <v>0</v>
      </c>
      <c r="J81" s="7">
        <f t="shared" si="21"/>
        <v>0</v>
      </c>
      <c r="K81" s="282"/>
    </row>
    <row r="82" spans="2:11" outlineLevel="3">
      <c r="B82" s="354" t="s">
        <v>153</v>
      </c>
      <c r="C82" s="285" t="s">
        <v>82</v>
      </c>
      <c r="D82" s="286"/>
      <c r="E82" s="7">
        <v>0</v>
      </c>
      <c r="F82" s="287">
        <v>0</v>
      </c>
      <c r="G82" s="145">
        <f t="shared" ref="G82:G84" si="22">+ROUND(E82+F82*TC,2)</f>
        <v>0</v>
      </c>
      <c r="H82" s="145">
        <f t="shared" si="3"/>
        <v>0</v>
      </c>
      <c r="I82" s="146">
        <f t="shared" si="4"/>
        <v>0</v>
      </c>
      <c r="J82" s="7">
        <f t="shared" si="21"/>
        <v>0</v>
      </c>
      <c r="K82" s="282"/>
    </row>
    <row r="83" spans="2:11" outlineLevel="3">
      <c r="B83" s="354" t="s">
        <v>153</v>
      </c>
      <c r="C83" s="285" t="s">
        <v>82</v>
      </c>
      <c r="D83" s="286"/>
      <c r="E83" s="7">
        <v>0</v>
      </c>
      <c r="F83" s="287">
        <v>0</v>
      </c>
      <c r="G83" s="145">
        <f t="shared" si="22"/>
        <v>0</v>
      </c>
      <c r="H83" s="145">
        <f t="shared" si="3"/>
        <v>0</v>
      </c>
      <c r="I83" s="146">
        <f t="shared" si="4"/>
        <v>0</v>
      </c>
      <c r="J83" s="7">
        <f t="shared" si="21"/>
        <v>0</v>
      </c>
      <c r="K83" s="282"/>
    </row>
    <row r="84" spans="2:11" outlineLevel="3">
      <c r="B84" s="354" t="s">
        <v>153</v>
      </c>
      <c r="C84" s="285" t="s">
        <v>82</v>
      </c>
      <c r="D84" s="286"/>
      <c r="E84" s="7">
        <v>0</v>
      </c>
      <c r="F84" s="287">
        <v>0</v>
      </c>
      <c r="G84" s="145">
        <f t="shared" si="22"/>
        <v>0</v>
      </c>
      <c r="H84" s="145">
        <f t="shared" si="3"/>
        <v>0</v>
      </c>
      <c r="I84" s="146">
        <f t="shared" si="4"/>
        <v>0</v>
      </c>
      <c r="J84" s="7">
        <f t="shared" si="21"/>
        <v>0</v>
      </c>
      <c r="K84" s="282"/>
    </row>
    <row r="85" spans="2:11" outlineLevel="3">
      <c r="B85" s="354" t="s">
        <v>154</v>
      </c>
      <c r="C85" s="285" t="s">
        <v>82</v>
      </c>
      <c r="D85" s="286"/>
      <c r="E85" s="7">
        <v>0</v>
      </c>
      <c r="F85" s="287">
        <v>0</v>
      </c>
      <c r="G85" s="145">
        <f t="shared" si="20"/>
        <v>0</v>
      </c>
      <c r="H85" s="145">
        <f t="shared" si="3"/>
        <v>0</v>
      </c>
      <c r="I85" s="146">
        <f t="shared" si="4"/>
        <v>0</v>
      </c>
      <c r="J85" s="7">
        <f t="shared" si="21"/>
        <v>0</v>
      </c>
      <c r="K85" s="282"/>
    </row>
    <row r="86" spans="2:11" outlineLevel="3">
      <c r="B86" s="45" t="s">
        <v>155</v>
      </c>
      <c r="C86" s="285" t="s">
        <v>141</v>
      </c>
      <c r="D86" s="286">
        <v>667.2</v>
      </c>
      <c r="E86" s="7">
        <v>45.36</v>
      </c>
      <c r="F86" s="287">
        <v>0.71</v>
      </c>
      <c r="G86" s="145">
        <f t="shared" si="20"/>
        <v>47.74</v>
      </c>
      <c r="H86" s="145">
        <f t="shared" si="3"/>
        <v>30264.19</v>
      </c>
      <c r="I86" s="146">
        <f t="shared" si="4"/>
        <v>473.71</v>
      </c>
      <c r="J86" s="7">
        <f t="shared" si="21"/>
        <v>31851.119999999999</v>
      </c>
      <c r="K86" s="282"/>
    </row>
    <row r="87" spans="2:11" outlineLevel="3">
      <c r="B87" s="45" t="s">
        <v>156</v>
      </c>
      <c r="C87" s="285" t="s">
        <v>141</v>
      </c>
      <c r="D87" s="286"/>
      <c r="E87" s="7">
        <v>45.36</v>
      </c>
      <c r="F87" s="287">
        <v>0.71</v>
      </c>
      <c r="G87" s="145">
        <f t="shared" si="20"/>
        <v>47.74</v>
      </c>
      <c r="H87" s="145">
        <f t="shared" si="3"/>
        <v>0</v>
      </c>
      <c r="I87" s="146">
        <f t="shared" si="4"/>
        <v>0</v>
      </c>
      <c r="J87" s="7">
        <f t="shared" si="21"/>
        <v>0</v>
      </c>
      <c r="K87" s="282"/>
    </row>
    <row r="88" spans="2:11" outlineLevel="3">
      <c r="B88" s="45" t="s">
        <v>157</v>
      </c>
      <c r="C88" s="285" t="s">
        <v>141</v>
      </c>
      <c r="D88" s="286"/>
      <c r="E88" s="7">
        <v>45.36</v>
      </c>
      <c r="F88" s="287">
        <v>0.71</v>
      </c>
      <c r="G88" s="145">
        <f t="shared" si="20"/>
        <v>47.74</v>
      </c>
      <c r="H88" s="145">
        <f t="shared" si="3"/>
        <v>0</v>
      </c>
      <c r="I88" s="146">
        <f t="shared" si="4"/>
        <v>0</v>
      </c>
      <c r="J88" s="7">
        <f t="shared" si="21"/>
        <v>0</v>
      </c>
      <c r="K88" s="282"/>
    </row>
    <row r="89" spans="2:11" outlineLevel="3">
      <c r="B89" s="45" t="s">
        <v>158</v>
      </c>
      <c r="C89" s="285" t="s">
        <v>141</v>
      </c>
      <c r="D89" s="286"/>
      <c r="E89" s="7">
        <v>45.21</v>
      </c>
      <c r="F89" s="287">
        <v>0.71</v>
      </c>
      <c r="G89" s="145">
        <f t="shared" ref="G89" si="23">+ROUND(E89+F89*TC,2)</f>
        <v>47.59</v>
      </c>
      <c r="H89" s="145">
        <f t="shared" si="3"/>
        <v>0</v>
      </c>
      <c r="I89" s="146">
        <f t="shared" si="4"/>
        <v>0</v>
      </c>
      <c r="J89" s="7">
        <f t="shared" si="21"/>
        <v>0</v>
      </c>
      <c r="K89" s="282"/>
    </row>
    <row r="90" spans="2:11" outlineLevel="3">
      <c r="B90" s="354" t="s">
        <v>159</v>
      </c>
      <c r="C90" s="285" t="s">
        <v>141</v>
      </c>
      <c r="D90" s="286">
        <v>1.8</v>
      </c>
      <c r="E90" s="7">
        <v>45.21</v>
      </c>
      <c r="F90" s="287">
        <v>0.78</v>
      </c>
      <c r="G90" s="145">
        <f t="shared" ref="G90" si="24">+ROUND(E90+F90*TC,2)</f>
        <v>47.82</v>
      </c>
      <c r="H90" s="145">
        <f t="shared" ref="H90:H190" si="25">+ROUND(D90*E90,2)</f>
        <v>81.38</v>
      </c>
      <c r="I90" s="146">
        <f t="shared" ref="I90:I190" si="26">+ROUND(D90*F90,2)</f>
        <v>1.4</v>
      </c>
      <c r="J90" s="7">
        <f t="shared" si="21"/>
        <v>86.07</v>
      </c>
      <c r="K90" s="282"/>
    </row>
    <row r="91" spans="2:11" outlineLevel="3">
      <c r="B91" s="354" t="s">
        <v>156</v>
      </c>
      <c r="C91" s="285" t="s">
        <v>141</v>
      </c>
      <c r="D91" s="286"/>
      <c r="E91" s="7">
        <v>45.36</v>
      </c>
      <c r="F91" s="287">
        <v>0.71</v>
      </c>
      <c r="G91" s="145">
        <f t="shared" si="20"/>
        <v>47.74</v>
      </c>
      <c r="H91" s="145">
        <f t="shared" si="25"/>
        <v>0</v>
      </c>
      <c r="I91" s="146">
        <f t="shared" si="26"/>
        <v>0</v>
      </c>
      <c r="J91" s="7">
        <f t="shared" si="21"/>
        <v>0</v>
      </c>
      <c r="K91" s="282"/>
    </row>
    <row r="92" spans="2:11" outlineLevel="3">
      <c r="B92" s="354" t="s">
        <v>160</v>
      </c>
      <c r="C92" s="285" t="s">
        <v>141</v>
      </c>
      <c r="D92" s="286">
        <v>424.97000000000008</v>
      </c>
      <c r="E92" s="7">
        <v>46.87</v>
      </c>
      <c r="F92" s="287">
        <v>0.85</v>
      </c>
      <c r="G92" s="145">
        <f t="shared" si="20"/>
        <v>49.72</v>
      </c>
      <c r="H92" s="145">
        <f t="shared" si="25"/>
        <v>19918.34</v>
      </c>
      <c r="I92" s="146">
        <f t="shared" si="26"/>
        <v>361.22</v>
      </c>
      <c r="J92" s="7">
        <f t="shared" si="21"/>
        <v>21128.43</v>
      </c>
      <c r="K92" s="282"/>
    </row>
    <row r="93" spans="2:11" outlineLevel="3">
      <c r="B93" s="354" t="s">
        <v>161</v>
      </c>
      <c r="C93" s="285" t="s">
        <v>141</v>
      </c>
      <c r="D93" s="286">
        <v>159.96</v>
      </c>
      <c r="E93" s="7">
        <v>46.87</v>
      </c>
      <c r="F93" s="287">
        <v>0.85</v>
      </c>
      <c r="G93" s="145">
        <f t="shared" si="20"/>
        <v>49.72</v>
      </c>
      <c r="H93" s="145">
        <f t="shared" si="25"/>
        <v>7497.33</v>
      </c>
      <c r="I93" s="146">
        <f t="shared" si="26"/>
        <v>135.97</v>
      </c>
      <c r="J93" s="7">
        <f t="shared" si="21"/>
        <v>7952.83</v>
      </c>
      <c r="K93" s="282"/>
    </row>
    <row r="94" spans="2:11" outlineLevel="3">
      <c r="B94" s="354" t="s">
        <v>162</v>
      </c>
      <c r="C94" s="285" t="s">
        <v>141</v>
      </c>
      <c r="D94" s="286">
        <v>33.31</v>
      </c>
      <c r="E94" s="7">
        <v>76.41</v>
      </c>
      <c r="F94" s="287">
        <v>2.4900000000000002</v>
      </c>
      <c r="G94" s="145">
        <f t="shared" si="20"/>
        <v>84.75</v>
      </c>
      <c r="H94" s="145">
        <f t="shared" si="25"/>
        <v>2545.2199999999998</v>
      </c>
      <c r="I94" s="146">
        <f t="shared" si="26"/>
        <v>82.94</v>
      </c>
      <c r="J94" s="7">
        <f t="shared" si="21"/>
        <v>2823.07</v>
      </c>
      <c r="K94" s="282"/>
    </row>
    <row r="95" spans="2:11" outlineLevel="3">
      <c r="B95" s="354" t="s">
        <v>163</v>
      </c>
      <c r="C95" s="285" t="s">
        <v>141</v>
      </c>
      <c r="D95" s="286">
        <v>38.99</v>
      </c>
      <c r="E95" s="7">
        <v>46.87</v>
      </c>
      <c r="F95" s="287">
        <v>0.85</v>
      </c>
      <c r="G95" s="145">
        <f t="shared" si="20"/>
        <v>49.72</v>
      </c>
      <c r="H95" s="145">
        <f t="shared" si="25"/>
        <v>1827.46</v>
      </c>
      <c r="I95" s="146">
        <f t="shared" si="26"/>
        <v>33.14</v>
      </c>
      <c r="J95" s="7">
        <f t="shared" si="21"/>
        <v>1938.48</v>
      </c>
      <c r="K95" s="282"/>
    </row>
    <row r="96" spans="2:11" outlineLevel="3">
      <c r="B96" s="354" t="s">
        <v>164</v>
      </c>
      <c r="C96" s="285" t="s">
        <v>141</v>
      </c>
      <c r="D96" s="286"/>
      <c r="E96" s="7">
        <v>0</v>
      </c>
      <c r="F96" s="287">
        <v>0</v>
      </c>
      <c r="G96" s="145">
        <f t="shared" si="20"/>
        <v>0</v>
      </c>
      <c r="H96" s="145">
        <f t="shared" si="25"/>
        <v>0</v>
      </c>
      <c r="I96" s="146">
        <f t="shared" si="26"/>
        <v>0</v>
      </c>
      <c r="J96" s="7">
        <f t="shared" si="21"/>
        <v>0</v>
      </c>
      <c r="K96" s="282"/>
    </row>
    <row r="97" spans="2:11" outlineLevel="3">
      <c r="B97" s="354" t="s">
        <v>165</v>
      </c>
      <c r="C97" s="285" t="s">
        <v>141</v>
      </c>
      <c r="D97" s="286"/>
      <c r="E97" s="7">
        <v>0</v>
      </c>
      <c r="F97" s="287">
        <v>0</v>
      </c>
      <c r="G97" s="145">
        <f t="shared" ref="G97" si="27">+ROUND(E97+F97*TC,2)</f>
        <v>0</v>
      </c>
      <c r="H97" s="145">
        <f t="shared" si="25"/>
        <v>0</v>
      </c>
      <c r="I97" s="146">
        <f t="shared" si="26"/>
        <v>0</v>
      </c>
      <c r="J97" s="7">
        <f t="shared" si="21"/>
        <v>0</v>
      </c>
      <c r="K97" s="282"/>
    </row>
    <row r="98" spans="2:11" s="291" customFormat="1" outlineLevel="1">
      <c r="B98" s="349" t="s">
        <v>166</v>
      </c>
      <c r="C98" s="290"/>
      <c r="D98" s="356"/>
      <c r="E98" s="7" t="s">
        <v>27</v>
      </c>
      <c r="F98" s="287" t="s">
        <v>27</v>
      </c>
      <c r="G98" s="145"/>
      <c r="H98" s="145"/>
      <c r="I98" s="146"/>
      <c r="J98" s="7">
        <f t="shared" si="21"/>
        <v>0</v>
      </c>
      <c r="K98" s="710"/>
    </row>
    <row r="99" spans="2:11" outlineLevel="2">
      <c r="B99" s="354" t="s">
        <v>167</v>
      </c>
      <c r="C99" s="285" t="s">
        <v>141</v>
      </c>
      <c r="D99" s="286"/>
      <c r="E99" s="7">
        <v>0</v>
      </c>
      <c r="F99" s="287">
        <v>0</v>
      </c>
      <c r="G99" s="145">
        <f t="shared" ref="G99:G106" si="28">+ROUND(E99+F99*TC,2)</f>
        <v>0</v>
      </c>
      <c r="H99" s="145">
        <f t="shared" si="25"/>
        <v>0</v>
      </c>
      <c r="I99" s="146">
        <f t="shared" si="26"/>
        <v>0</v>
      </c>
      <c r="J99" s="7">
        <f t="shared" si="21"/>
        <v>0</v>
      </c>
      <c r="K99" s="282"/>
    </row>
    <row r="100" spans="2:11" ht="33.75" outlineLevel="2">
      <c r="B100" s="354" t="s">
        <v>168</v>
      </c>
      <c r="C100" s="285" t="s">
        <v>141</v>
      </c>
      <c r="D100" s="286">
        <v>18</v>
      </c>
      <c r="E100" s="7">
        <v>486.7</v>
      </c>
      <c r="F100" s="287">
        <v>8.5399999999999991</v>
      </c>
      <c r="G100" s="145">
        <f t="shared" ref="G100" si="29">+ROUND(E100+F100*TC,2)</f>
        <v>515.30999999999995</v>
      </c>
      <c r="H100" s="145">
        <f t="shared" si="25"/>
        <v>8760.6</v>
      </c>
      <c r="I100" s="146">
        <f t="shared" si="26"/>
        <v>153.72</v>
      </c>
      <c r="J100" s="7">
        <f t="shared" si="21"/>
        <v>9275.56</v>
      </c>
      <c r="K100" s="282"/>
    </row>
    <row r="101" spans="2:11" ht="33.75" outlineLevel="2">
      <c r="B101" s="354" t="s">
        <v>169</v>
      </c>
      <c r="C101" s="285" t="s">
        <v>141</v>
      </c>
      <c r="D101" s="286">
        <v>16.799999999999997</v>
      </c>
      <c r="E101" s="7">
        <v>316.7</v>
      </c>
      <c r="F101" s="287">
        <v>83.539999999999992</v>
      </c>
      <c r="G101" s="145">
        <f t="shared" ref="G101" si="30">+ROUND(E101+F101*TC,2)</f>
        <v>596.55999999999995</v>
      </c>
      <c r="H101" s="145">
        <f t="shared" si="25"/>
        <v>5320.56</v>
      </c>
      <c r="I101" s="146">
        <f t="shared" si="26"/>
        <v>1403.47</v>
      </c>
      <c r="J101" s="7">
        <f t="shared" si="21"/>
        <v>10022.18</v>
      </c>
      <c r="K101" s="282"/>
    </row>
    <row r="102" spans="2:11" outlineLevel="2">
      <c r="B102" s="354" t="s">
        <v>170</v>
      </c>
      <c r="C102" s="285" t="s">
        <v>141</v>
      </c>
      <c r="D102" s="286">
        <v>5.6</v>
      </c>
      <c r="E102" s="7">
        <v>0</v>
      </c>
      <c r="F102" s="287">
        <v>250</v>
      </c>
      <c r="G102" s="145">
        <f t="shared" si="28"/>
        <v>837.5</v>
      </c>
      <c r="H102" s="145">
        <f t="shared" si="25"/>
        <v>0</v>
      </c>
      <c r="I102" s="146">
        <f t="shared" si="26"/>
        <v>1400</v>
      </c>
      <c r="J102" s="7">
        <f t="shared" si="21"/>
        <v>4690</v>
      </c>
      <c r="K102" s="282"/>
    </row>
    <row r="103" spans="2:11" outlineLevel="2">
      <c r="B103" s="45" t="s">
        <v>171</v>
      </c>
      <c r="C103" s="285" t="s">
        <v>141</v>
      </c>
      <c r="D103" s="286"/>
      <c r="E103" s="7">
        <v>514.51</v>
      </c>
      <c r="F103" s="287">
        <v>10.68</v>
      </c>
      <c r="G103" s="145">
        <f t="shared" si="28"/>
        <v>550.29</v>
      </c>
      <c r="H103" s="145">
        <f t="shared" si="25"/>
        <v>0</v>
      </c>
      <c r="I103" s="146">
        <f t="shared" si="26"/>
        <v>0</v>
      </c>
      <c r="J103" s="7">
        <f t="shared" si="21"/>
        <v>0</v>
      </c>
      <c r="K103" s="282"/>
    </row>
    <row r="104" spans="2:11" outlineLevel="2">
      <c r="B104" s="354" t="s">
        <v>172</v>
      </c>
      <c r="C104" s="285" t="s">
        <v>141</v>
      </c>
      <c r="D104" s="286">
        <v>6.68</v>
      </c>
      <c r="E104" s="7">
        <v>514.51</v>
      </c>
      <c r="F104" s="287">
        <v>10.68</v>
      </c>
      <c r="G104" s="145">
        <f t="shared" si="28"/>
        <v>550.29</v>
      </c>
      <c r="H104" s="145">
        <f t="shared" si="25"/>
        <v>3436.93</v>
      </c>
      <c r="I104" s="146">
        <f t="shared" si="26"/>
        <v>71.34</v>
      </c>
      <c r="J104" s="7">
        <f t="shared" si="21"/>
        <v>3675.92</v>
      </c>
      <c r="K104" s="282"/>
    </row>
    <row r="105" spans="2:11" outlineLevel="2">
      <c r="B105" s="354" t="s">
        <v>173</v>
      </c>
      <c r="C105" s="285" t="s">
        <v>141</v>
      </c>
      <c r="D105" s="286">
        <v>2.4</v>
      </c>
      <c r="E105" s="7">
        <v>514.51</v>
      </c>
      <c r="F105" s="287">
        <v>25.63</v>
      </c>
      <c r="G105" s="145">
        <f t="shared" si="28"/>
        <v>600.37</v>
      </c>
      <c r="H105" s="145">
        <f t="shared" si="25"/>
        <v>1234.82</v>
      </c>
      <c r="I105" s="146">
        <f t="shared" si="26"/>
        <v>61.51</v>
      </c>
      <c r="J105" s="7">
        <f t="shared" si="21"/>
        <v>1440.88</v>
      </c>
      <c r="K105" s="282"/>
    </row>
    <row r="106" spans="2:11" outlineLevel="2">
      <c r="B106" s="354" t="s">
        <v>2809</v>
      </c>
      <c r="C106" s="285" t="s">
        <v>121</v>
      </c>
      <c r="D106" s="286">
        <v>1</v>
      </c>
      <c r="E106" s="7">
        <v>55000</v>
      </c>
      <c r="F106" s="287">
        <v>0</v>
      </c>
      <c r="G106" s="145">
        <f t="shared" si="28"/>
        <v>55000</v>
      </c>
      <c r="H106" s="145">
        <f t="shared" si="25"/>
        <v>55000</v>
      </c>
      <c r="I106" s="146">
        <f t="shared" si="26"/>
        <v>0</v>
      </c>
      <c r="J106" s="7">
        <f t="shared" si="21"/>
        <v>55000</v>
      </c>
      <c r="K106" s="282"/>
    </row>
    <row r="107" spans="2:11">
      <c r="B107" s="694" t="s">
        <v>174</v>
      </c>
      <c r="C107" s="285"/>
      <c r="D107" s="7"/>
      <c r="E107" s="7" t="s">
        <v>27</v>
      </c>
      <c r="F107" s="287" t="s">
        <v>27</v>
      </c>
      <c r="G107" s="145"/>
      <c r="H107" s="145"/>
      <c r="I107" s="146"/>
      <c r="J107" s="7">
        <f t="shared" si="21"/>
        <v>0</v>
      </c>
      <c r="K107" s="276">
        <f>SUM(H109:H128)+SUM(I109:I128)*TC</f>
        <v>558013.92000000004</v>
      </c>
    </row>
    <row r="108" spans="2:11" outlineLevel="1">
      <c r="B108" s="697" t="s">
        <v>175</v>
      </c>
      <c r="C108" s="285"/>
      <c r="D108" s="286"/>
      <c r="E108" s="7" t="s">
        <v>27</v>
      </c>
      <c r="F108" s="287" t="s">
        <v>27</v>
      </c>
      <c r="G108" s="145"/>
      <c r="H108" s="145"/>
      <c r="I108" s="146"/>
      <c r="J108" s="7">
        <f t="shared" si="21"/>
        <v>0</v>
      </c>
      <c r="K108" s="282"/>
    </row>
    <row r="109" spans="2:11" outlineLevel="2">
      <c r="B109" s="354" t="s">
        <v>176</v>
      </c>
      <c r="C109" s="285" t="s">
        <v>82</v>
      </c>
      <c r="D109" s="286">
        <v>51347.8</v>
      </c>
      <c r="E109" s="7">
        <v>0.52200000000000002</v>
      </c>
      <c r="F109" s="287">
        <v>0</v>
      </c>
      <c r="G109" s="145">
        <f>+ROUND(E109+F109*TC,2)</f>
        <v>0.52</v>
      </c>
      <c r="H109" s="145">
        <f t="shared" si="25"/>
        <v>26803.55</v>
      </c>
      <c r="I109" s="146">
        <f t="shared" si="26"/>
        <v>0</v>
      </c>
      <c r="J109" s="7">
        <f t="shared" si="21"/>
        <v>26803.55</v>
      </c>
      <c r="K109" s="282"/>
    </row>
    <row r="110" spans="2:11" outlineLevel="2">
      <c r="B110" s="354" t="s">
        <v>177</v>
      </c>
      <c r="C110" s="285" t="s">
        <v>82</v>
      </c>
      <c r="D110" s="286">
        <v>1200.5</v>
      </c>
      <c r="E110" s="7">
        <v>26.24</v>
      </c>
      <c r="F110" s="287">
        <v>0</v>
      </c>
      <c r="G110" s="145">
        <f t="shared" ref="G110:G115" si="31">+ROUND(E110+F110*TC,2)</f>
        <v>26.24</v>
      </c>
      <c r="H110" s="145">
        <f t="shared" si="25"/>
        <v>31501.119999999999</v>
      </c>
      <c r="I110" s="146">
        <f t="shared" si="26"/>
        <v>0</v>
      </c>
      <c r="J110" s="7">
        <f t="shared" si="21"/>
        <v>31501.119999999999</v>
      </c>
      <c r="K110" s="282"/>
    </row>
    <row r="111" spans="2:11" outlineLevel="2">
      <c r="B111" s="354" t="s">
        <v>178</v>
      </c>
      <c r="C111" s="285" t="s">
        <v>82</v>
      </c>
      <c r="D111" s="286">
        <v>866.23</v>
      </c>
      <c r="E111" s="7">
        <v>17.579999999999998</v>
      </c>
      <c r="F111" s="287">
        <v>0</v>
      </c>
      <c r="G111" s="145">
        <f t="shared" si="31"/>
        <v>17.579999999999998</v>
      </c>
      <c r="H111" s="145">
        <f t="shared" si="25"/>
        <v>15228.32</v>
      </c>
      <c r="I111" s="146">
        <f t="shared" si="26"/>
        <v>0</v>
      </c>
      <c r="J111" s="7">
        <f t="shared" si="21"/>
        <v>15228.32</v>
      </c>
      <c r="K111" s="282"/>
    </row>
    <row r="112" spans="2:11" outlineLevel="2">
      <c r="B112" s="354" t="s">
        <v>179</v>
      </c>
      <c r="C112" s="285" t="s">
        <v>82</v>
      </c>
      <c r="D112" s="286"/>
      <c r="E112" s="7">
        <v>34.72</v>
      </c>
      <c r="F112" s="287">
        <v>0</v>
      </c>
      <c r="G112" s="145">
        <f t="shared" si="31"/>
        <v>34.72</v>
      </c>
      <c r="H112" s="145">
        <f t="shared" si="25"/>
        <v>0</v>
      </c>
      <c r="I112" s="146">
        <f t="shared" si="26"/>
        <v>0</v>
      </c>
      <c r="J112" s="7">
        <f t="shared" si="21"/>
        <v>0</v>
      </c>
      <c r="K112" s="282"/>
    </row>
    <row r="113" spans="2:11" outlineLevel="2">
      <c r="B113" s="45" t="s">
        <v>180</v>
      </c>
      <c r="C113" s="285" t="s">
        <v>82</v>
      </c>
      <c r="D113" s="286">
        <v>8487</v>
      </c>
      <c r="E113" s="7">
        <v>25.67</v>
      </c>
      <c r="F113" s="287">
        <v>0</v>
      </c>
      <c r="G113" s="145">
        <f t="shared" si="31"/>
        <v>25.67</v>
      </c>
      <c r="H113" s="145">
        <f t="shared" si="25"/>
        <v>217861.29</v>
      </c>
      <c r="I113" s="146">
        <f t="shared" si="26"/>
        <v>0</v>
      </c>
      <c r="J113" s="7">
        <f t="shared" si="21"/>
        <v>217861.29</v>
      </c>
      <c r="K113" s="282"/>
    </row>
    <row r="114" spans="2:11" outlineLevel="2">
      <c r="B114" s="354" t="s">
        <v>181</v>
      </c>
      <c r="C114" s="285" t="s">
        <v>82</v>
      </c>
      <c r="D114" s="286">
        <v>8143.3260999999993</v>
      </c>
      <c r="E114" s="7">
        <v>9.17</v>
      </c>
      <c r="F114" s="287">
        <v>0</v>
      </c>
      <c r="G114" s="145">
        <f t="shared" si="31"/>
        <v>9.17</v>
      </c>
      <c r="H114" s="145">
        <f t="shared" si="25"/>
        <v>74674.3</v>
      </c>
      <c r="I114" s="146">
        <f t="shared" si="26"/>
        <v>0</v>
      </c>
      <c r="J114" s="7">
        <f t="shared" si="21"/>
        <v>74674.3</v>
      </c>
      <c r="K114" s="282"/>
    </row>
    <row r="115" spans="2:11" outlineLevel="2">
      <c r="B115" s="354" t="s">
        <v>182</v>
      </c>
      <c r="C115" s="285" t="s">
        <v>141</v>
      </c>
      <c r="D115" s="286">
        <v>3688.5</v>
      </c>
      <c r="E115" s="7">
        <v>19.190000000000001</v>
      </c>
      <c r="F115" s="287">
        <v>0</v>
      </c>
      <c r="G115" s="145">
        <f t="shared" si="31"/>
        <v>19.190000000000001</v>
      </c>
      <c r="H115" s="145">
        <f t="shared" si="25"/>
        <v>70782.320000000007</v>
      </c>
      <c r="I115" s="146">
        <f t="shared" si="26"/>
        <v>0</v>
      </c>
      <c r="J115" s="7">
        <f t="shared" si="21"/>
        <v>70782.320000000007</v>
      </c>
      <c r="K115" s="282"/>
    </row>
    <row r="116" spans="2:11" outlineLevel="1">
      <c r="B116" s="697" t="s">
        <v>183</v>
      </c>
      <c r="C116" s="285"/>
      <c r="D116" s="286"/>
      <c r="E116" s="7" t="s">
        <v>27</v>
      </c>
      <c r="F116" s="287" t="s">
        <v>27</v>
      </c>
      <c r="G116" s="145"/>
      <c r="H116" s="145"/>
      <c r="I116" s="146"/>
      <c r="J116" s="7">
        <f t="shared" si="21"/>
        <v>0</v>
      </c>
      <c r="K116" s="282"/>
    </row>
    <row r="117" spans="2:11" outlineLevel="2">
      <c r="B117" s="354" t="s">
        <v>184</v>
      </c>
      <c r="C117" s="285" t="s">
        <v>82</v>
      </c>
      <c r="D117" s="286">
        <v>453.03</v>
      </c>
      <c r="E117" s="7">
        <v>20.5</v>
      </c>
      <c r="F117" s="287">
        <v>0</v>
      </c>
      <c r="G117" s="145">
        <f t="shared" ref="G117:G126" si="32">+ROUND(E117+F117*TC,2)</f>
        <v>20.5</v>
      </c>
      <c r="H117" s="145">
        <f t="shared" si="25"/>
        <v>9287.1200000000008</v>
      </c>
      <c r="I117" s="146">
        <f t="shared" si="26"/>
        <v>0</v>
      </c>
      <c r="J117" s="7">
        <f t="shared" si="21"/>
        <v>9287.1200000000008</v>
      </c>
      <c r="K117" s="282"/>
    </row>
    <row r="118" spans="2:11" outlineLevel="2">
      <c r="B118" s="354" t="s">
        <v>185</v>
      </c>
      <c r="C118" s="285" t="s">
        <v>82</v>
      </c>
      <c r="D118" s="286">
        <v>604.97699999999998</v>
      </c>
      <c r="E118" s="7">
        <v>20.5</v>
      </c>
      <c r="F118" s="287">
        <v>0</v>
      </c>
      <c r="G118" s="145">
        <f t="shared" si="32"/>
        <v>20.5</v>
      </c>
      <c r="H118" s="145">
        <f t="shared" si="25"/>
        <v>12402.03</v>
      </c>
      <c r="I118" s="146">
        <f t="shared" si="26"/>
        <v>0</v>
      </c>
      <c r="J118" s="7">
        <f t="shared" si="21"/>
        <v>12402.03</v>
      </c>
      <c r="K118" s="282"/>
    </row>
    <row r="119" spans="2:11" outlineLevel="2">
      <c r="B119" s="354" t="s">
        <v>186</v>
      </c>
      <c r="C119" s="285" t="s">
        <v>82</v>
      </c>
      <c r="D119" s="286">
        <v>478.51999999999987</v>
      </c>
      <c r="E119" s="7">
        <v>28.5</v>
      </c>
      <c r="F119" s="287"/>
      <c r="G119" s="145">
        <f t="shared" ref="G119" si="33">+ROUND(E119+F119*TC,2)</f>
        <v>28.5</v>
      </c>
      <c r="H119" s="145">
        <f t="shared" ref="H119" si="34">+ROUND(D119*E119,2)</f>
        <v>13637.82</v>
      </c>
      <c r="I119" s="146">
        <f t="shared" ref="I119" si="35">+ROUND(D119*F119,2)</f>
        <v>0</v>
      </c>
      <c r="J119" s="7">
        <f t="shared" ref="J119" si="36">+ROUND(H119+I119*TC,2)</f>
        <v>13637.82</v>
      </c>
      <c r="K119" s="282"/>
    </row>
    <row r="120" spans="2:11" outlineLevel="2">
      <c r="B120" s="354" t="s">
        <v>187</v>
      </c>
      <c r="C120" s="285" t="s">
        <v>82</v>
      </c>
      <c r="D120" s="286">
        <v>1.8724999999999998</v>
      </c>
      <c r="E120" s="7">
        <v>20.5</v>
      </c>
      <c r="F120" s="287">
        <v>0</v>
      </c>
      <c r="G120" s="145">
        <f t="shared" ref="G120" si="37">+ROUND(E120+F120*TC,2)</f>
        <v>20.5</v>
      </c>
      <c r="H120" s="145">
        <f t="shared" ref="H120" si="38">+ROUND(D120*E120,2)</f>
        <v>38.39</v>
      </c>
      <c r="I120" s="146">
        <f t="shared" ref="I120" si="39">+ROUND(D120*F120,2)</f>
        <v>0</v>
      </c>
      <c r="J120" s="7">
        <f t="shared" si="21"/>
        <v>38.39</v>
      </c>
      <c r="K120" s="282"/>
    </row>
    <row r="121" spans="2:11" outlineLevel="2">
      <c r="B121" s="354" t="s">
        <v>188</v>
      </c>
      <c r="C121" s="285" t="s">
        <v>82</v>
      </c>
      <c r="D121" s="286">
        <v>208.38</v>
      </c>
      <c r="E121" s="7">
        <v>46.29</v>
      </c>
      <c r="F121" s="287">
        <v>0</v>
      </c>
      <c r="G121" s="145">
        <f t="shared" si="32"/>
        <v>46.29</v>
      </c>
      <c r="H121" s="145">
        <f t="shared" si="25"/>
        <v>9645.91</v>
      </c>
      <c r="I121" s="146">
        <f t="shared" si="26"/>
        <v>0</v>
      </c>
      <c r="J121" s="7">
        <f t="shared" si="21"/>
        <v>9645.91</v>
      </c>
      <c r="K121" s="282"/>
    </row>
    <row r="122" spans="2:11" outlineLevel="2">
      <c r="B122" s="354" t="s">
        <v>189</v>
      </c>
      <c r="C122" s="285" t="s">
        <v>82</v>
      </c>
      <c r="D122" s="286">
        <v>123.83349999999999</v>
      </c>
      <c r="E122" s="7">
        <v>46.29</v>
      </c>
      <c r="F122" s="287">
        <v>0</v>
      </c>
      <c r="G122" s="145">
        <f t="shared" si="32"/>
        <v>46.29</v>
      </c>
      <c r="H122" s="145">
        <f t="shared" si="25"/>
        <v>5732.25</v>
      </c>
      <c r="I122" s="146">
        <f t="shared" si="26"/>
        <v>0</v>
      </c>
      <c r="J122" s="7">
        <f t="shared" si="21"/>
        <v>5732.25</v>
      </c>
      <c r="K122" s="282"/>
    </row>
    <row r="123" spans="2:11" outlineLevel="2">
      <c r="B123" s="354" t="s">
        <v>190</v>
      </c>
      <c r="C123" s="285" t="s">
        <v>141</v>
      </c>
      <c r="D123" s="286">
        <v>694.6</v>
      </c>
      <c r="E123" s="7">
        <v>14.89</v>
      </c>
      <c r="F123" s="287">
        <v>0</v>
      </c>
      <c r="G123" s="145">
        <f t="shared" si="32"/>
        <v>14.89</v>
      </c>
      <c r="H123" s="145">
        <f t="shared" si="25"/>
        <v>10342.59</v>
      </c>
      <c r="I123" s="146">
        <f t="shared" si="26"/>
        <v>0</v>
      </c>
      <c r="J123" s="7">
        <f t="shared" si="21"/>
        <v>10342.59</v>
      </c>
      <c r="K123" s="282"/>
    </row>
    <row r="124" spans="2:11" outlineLevel="2">
      <c r="B124" s="354" t="s">
        <v>191</v>
      </c>
      <c r="C124" s="285" t="s">
        <v>82</v>
      </c>
      <c r="D124" s="286">
        <v>208.38</v>
      </c>
      <c r="E124" s="7">
        <v>44.62</v>
      </c>
      <c r="F124" s="287">
        <v>0</v>
      </c>
      <c r="G124" s="145">
        <f t="shared" si="32"/>
        <v>44.62</v>
      </c>
      <c r="H124" s="145">
        <f t="shared" si="25"/>
        <v>9297.92</v>
      </c>
      <c r="I124" s="146">
        <f t="shared" si="26"/>
        <v>0</v>
      </c>
      <c r="J124" s="7">
        <f t="shared" si="21"/>
        <v>9297.92</v>
      </c>
      <c r="K124" s="282"/>
    </row>
    <row r="125" spans="2:11" outlineLevel="2">
      <c r="B125" s="354" t="s">
        <v>192</v>
      </c>
      <c r="C125" s="285" t="s">
        <v>82</v>
      </c>
      <c r="D125" s="286">
        <v>208.38</v>
      </c>
      <c r="E125" s="7">
        <v>85</v>
      </c>
      <c r="F125" s="287">
        <v>0</v>
      </c>
      <c r="G125" s="145">
        <f t="shared" si="32"/>
        <v>85</v>
      </c>
      <c r="H125" s="145">
        <f t="shared" si="25"/>
        <v>17712.3</v>
      </c>
      <c r="I125" s="146">
        <f t="shared" si="26"/>
        <v>0</v>
      </c>
      <c r="J125" s="7">
        <f t="shared" si="21"/>
        <v>17712.3</v>
      </c>
      <c r="K125" s="282"/>
    </row>
    <row r="126" spans="2:11" outlineLevel="2">
      <c r="B126" s="354" t="s">
        <v>193</v>
      </c>
      <c r="C126" s="285" t="s">
        <v>82</v>
      </c>
      <c r="D126" s="286">
        <v>118.111</v>
      </c>
      <c r="E126" s="7">
        <v>85</v>
      </c>
      <c r="F126" s="287">
        <v>0</v>
      </c>
      <c r="G126" s="145">
        <f t="shared" si="32"/>
        <v>85</v>
      </c>
      <c r="H126" s="145">
        <f t="shared" si="25"/>
        <v>10039.44</v>
      </c>
      <c r="I126" s="146">
        <f t="shared" si="26"/>
        <v>0</v>
      </c>
      <c r="J126" s="7">
        <f t="shared" si="21"/>
        <v>10039.44</v>
      </c>
      <c r="K126" s="282"/>
    </row>
    <row r="127" spans="2:11" outlineLevel="2">
      <c r="B127" s="354" t="s">
        <v>194</v>
      </c>
      <c r="C127" s="285" t="s">
        <v>82</v>
      </c>
      <c r="D127" s="286">
        <v>375.91</v>
      </c>
      <c r="E127" s="7">
        <v>55</v>
      </c>
      <c r="F127" s="287">
        <v>0</v>
      </c>
      <c r="G127" s="145">
        <v>85</v>
      </c>
      <c r="H127" s="145">
        <f t="shared" ref="H127" si="40">+ROUND(D127*E127,2)</f>
        <v>20675.05</v>
      </c>
      <c r="I127" s="146">
        <f t="shared" ref="I127" si="41">+ROUND(D127*F127,2)</f>
        <v>0</v>
      </c>
      <c r="J127" s="7">
        <f t="shared" ref="J127" si="42">+ROUND(H127+I127*TC,2)</f>
        <v>20675.05</v>
      </c>
      <c r="K127" s="282"/>
    </row>
    <row r="128" spans="2:11" outlineLevel="2">
      <c r="B128" s="354" t="s">
        <v>195</v>
      </c>
      <c r="C128" s="285" t="s">
        <v>82</v>
      </c>
      <c r="D128" s="286">
        <v>61.900000000000006</v>
      </c>
      <c r="E128" s="7">
        <v>38</v>
      </c>
      <c r="F128" s="287">
        <v>0</v>
      </c>
      <c r="G128" s="145">
        <f t="shared" ref="G128" si="43">+ROUND(E128+F128*TC,2)</f>
        <v>38</v>
      </c>
      <c r="H128" s="145">
        <f t="shared" si="25"/>
        <v>2352.1999999999998</v>
      </c>
      <c r="I128" s="146">
        <f t="shared" si="26"/>
        <v>0</v>
      </c>
      <c r="J128" s="7">
        <f t="shared" si="21"/>
        <v>2352.1999999999998</v>
      </c>
      <c r="K128" s="282"/>
    </row>
    <row r="129" spans="2:11">
      <c r="B129" s="694" t="s">
        <v>196</v>
      </c>
      <c r="C129" s="285"/>
      <c r="D129" s="7"/>
      <c r="E129" s="7" t="s">
        <v>27</v>
      </c>
      <c r="F129" s="287" t="s">
        <v>27</v>
      </c>
      <c r="G129" s="145"/>
      <c r="H129" s="145"/>
      <c r="I129" s="146"/>
      <c r="J129" s="7">
        <f t="shared" si="21"/>
        <v>0</v>
      </c>
      <c r="K129" s="276">
        <f>SUM(H129:H165)+SUM(I129:I165)*TC</f>
        <v>1334055.4700000002</v>
      </c>
    </row>
    <row r="130" spans="2:11" outlineLevel="1">
      <c r="B130" s="697" t="s">
        <v>197</v>
      </c>
      <c r="C130" s="285"/>
      <c r="D130" s="286"/>
      <c r="E130" s="7" t="s">
        <v>27</v>
      </c>
      <c r="F130" s="287" t="s">
        <v>27</v>
      </c>
      <c r="G130" s="145"/>
      <c r="H130" s="145"/>
      <c r="I130" s="146"/>
      <c r="J130" s="7">
        <f t="shared" si="21"/>
        <v>0</v>
      </c>
      <c r="K130" s="282"/>
    </row>
    <row r="131" spans="2:11" outlineLevel="2">
      <c r="B131" s="354" t="s">
        <v>198</v>
      </c>
      <c r="C131" s="285" t="s">
        <v>82</v>
      </c>
      <c r="D131" s="286">
        <v>80.916999999999987</v>
      </c>
      <c r="E131" s="7">
        <v>46.74</v>
      </c>
      <c r="F131" s="287">
        <v>0</v>
      </c>
      <c r="G131" s="145">
        <f t="shared" ref="G131" si="44">+ROUND(E131+F131*TC,2)</f>
        <v>46.74</v>
      </c>
      <c r="H131" s="145">
        <f t="shared" si="25"/>
        <v>3782.06</v>
      </c>
      <c r="I131" s="146">
        <f t="shared" si="26"/>
        <v>0</v>
      </c>
      <c r="J131" s="7">
        <f t="shared" si="21"/>
        <v>3782.06</v>
      </c>
      <c r="K131" s="282"/>
    </row>
    <row r="132" spans="2:11" outlineLevel="2">
      <c r="B132" s="354" t="s">
        <v>199</v>
      </c>
      <c r="C132" s="285" t="s">
        <v>82</v>
      </c>
      <c r="D132" s="286">
        <v>175.78050000000002</v>
      </c>
      <c r="E132" s="7">
        <v>46.74</v>
      </c>
      <c r="F132" s="287">
        <v>0</v>
      </c>
      <c r="G132" s="145">
        <f t="shared" ref="G132:G156" si="45">+ROUND(E132+F132*TC,2)</f>
        <v>46.74</v>
      </c>
      <c r="H132" s="145">
        <f t="shared" ref="H132:H138" si="46">+ROUND(D132*E132,2)</f>
        <v>8215.98</v>
      </c>
      <c r="I132" s="146">
        <f t="shared" ref="I132:I138" si="47">+ROUND(D132*F132,2)</f>
        <v>0</v>
      </c>
      <c r="J132" s="7">
        <f t="shared" si="21"/>
        <v>8215.98</v>
      </c>
      <c r="K132" s="282"/>
    </row>
    <row r="133" spans="2:11" outlineLevel="2">
      <c r="B133" s="354" t="s">
        <v>200</v>
      </c>
      <c r="C133" s="285" t="s">
        <v>82</v>
      </c>
      <c r="D133" s="286">
        <v>4145.6211999999996</v>
      </c>
      <c r="E133" s="7">
        <v>46.74</v>
      </c>
      <c r="F133" s="287">
        <v>0</v>
      </c>
      <c r="G133" s="145">
        <f t="shared" si="45"/>
        <v>46.74</v>
      </c>
      <c r="H133" s="145">
        <f t="shared" si="46"/>
        <v>193766.33</v>
      </c>
      <c r="I133" s="146">
        <f t="shared" si="47"/>
        <v>0</v>
      </c>
      <c r="J133" s="7">
        <f t="shared" si="21"/>
        <v>193766.33</v>
      </c>
      <c r="K133" s="282"/>
    </row>
    <row r="134" spans="2:11" outlineLevel="2">
      <c r="B134" s="354" t="s">
        <v>201</v>
      </c>
      <c r="C134" s="285" t="s">
        <v>82</v>
      </c>
      <c r="D134" s="286">
        <v>567.8119999999999</v>
      </c>
      <c r="E134" s="7">
        <v>46.74</v>
      </c>
      <c r="F134" s="287">
        <v>0</v>
      </c>
      <c r="G134" s="145">
        <f t="shared" si="45"/>
        <v>46.74</v>
      </c>
      <c r="H134" s="145">
        <f t="shared" si="46"/>
        <v>26539.53</v>
      </c>
      <c r="I134" s="146">
        <f t="shared" si="47"/>
        <v>0</v>
      </c>
      <c r="J134" s="7">
        <f t="shared" si="21"/>
        <v>26539.53</v>
      </c>
      <c r="K134" s="282"/>
    </row>
    <row r="135" spans="2:11" outlineLevel="2">
      <c r="B135" s="354" t="s">
        <v>202</v>
      </c>
      <c r="C135" s="285" t="s">
        <v>82</v>
      </c>
      <c r="D135" s="286">
        <v>612.49899999999991</v>
      </c>
      <c r="E135" s="7">
        <v>46.74</v>
      </c>
      <c r="F135" s="287">
        <v>0</v>
      </c>
      <c r="G135" s="145">
        <f t="shared" si="45"/>
        <v>46.74</v>
      </c>
      <c r="H135" s="145">
        <f t="shared" si="46"/>
        <v>28628.2</v>
      </c>
      <c r="I135" s="146">
        <f t="shared" si="47"/>
        <v>0</v>
      </c>
      <c r="J135" s="7">
        <f t="shared" si="21"/>
        <v>28628.2</v>
      </c>
      <c r="K135" s="282"/>
    </row>
    <row r="136" spans="2:11" outlineLevel="2">
      <c r="B136" s="354" t="s">
        <v>203</v>
      </c>
      <c r="C136" s="285" t="s">
        <v>82</v>
      </c>
      <c r="D136" s="286">
        <v>17.14</v>
      </c>
      <c r="E136" s="7">
        <v>46.74</v>
      </c>
      <c r="F136" s="287">
        <v>0</v>
      </c>
      <c r="G136" s="145">
        <f t="shared" si="45"/>
        <v>46.74</v>
      </c>
      <c r="H136" s="145">
        <f t="shared" si="46"/>
        <v>801.12</v>
      </c>
      <c r="I136" s="146">
        <f t="shared" si="47"/>
        <v>0</v>
      </c>
      <c r="J136" s="7">
        <f t="shared" si="21"/>
        <v>801.12</v>
      </c>
      <c r="K136" s="282"/>
    </row>
    <row r="137" spans="2:11" outlineLevel="2">
      <c r="B137" s="354" t="s">
        <v>204</v>
      </c>
      <c r="C137" s="285" t="s">
        <v>82</v>
      </c>
      <c r="D137" s="286">
        <v>264.06</v>
      </c>
      <c r="E137" s="7">
        <v>46.74</v>
      </c>
      <c r="F137" s="287">
        <v>0</v>
      </c>
      <c r="G137" s="145">
        <f t="shared" si="45"/>
        <v>46.74</v>
      </c>
      <c r="H137" s="145">
        <f t="shared" si="46"/>
        <v>12342.16</v>
      </c>
      <c r="I137" s="146">
        <f t="shared" si="47"/>
        <v>0</v>
      </c>
      <c r="J137" s="7">
        <f t="shared" si="21"/>
        <v>12342.16</v>
      </c>
      <c r="K137" s="282"/>
    </row>
    <row r="138" spans="2:11" outlineLevel="2">
      <c r="B138" s="354" t="s">
        <v>205</v>
      </c>
      <c r="C138" s="285" t="s">
        <v>82</v>
      </c>
      <c r="D138" s="286">
        <v>297.06299999999999</v>
      </c>
      <c r="E138" s="7">
        <v>46.74</v>
      </c>
      <c r="F138" s="287">
        <v>0</v>
      </c>
      <c r="G138" s="145">
        <f t="shared" si="45"/>
        <v>46.74</v>
      </c>
      <c r="H138" s="145">
        <f t="shared" si="46"/>
        <v>13884.72</v>
      </c>
      <c r="I138" s="146">
        <f t="shared" si="47"/>
        <v>0</v>
      </c>
      <c r="J138" s="7">
        <f t="shared" si="21"/>
        <v>13884.72</v>
      </c>
      <c r="K138" s="282"/>
    </row>
    <row r="139" spans="2:11" outlineLevel="2">
      <c r="B139" s="354" t="s">
        <v>206</v>
      </c>
      <c r="C139" s="285" t="s">
        <v>141</v>
      </c>
      <c r="D139" s="286">
        <v>521.98200000000008</v>
      </c>
      <c r="E139" s="7">
        <v>26.5</v>
      </c>
      <c r="F139" s="287">
        <v>0</v>
      </c>
      <c r="G139" s="145">
        <f t="shared" si="45"/>
        <v>26.5</v>
      </c>
      <c r="H139" s="145">
        <f t="shared" ref="H139:H156" si="48">+ROUND(D139*E139,2)</f>
        <v>13832.52</v>
      </c>
      <c r="I139" s="146">
        <f t="shared" ref="I139:I156" si="49">+ROUND(D139*F139,2)</f>
        <v>0</v>
      </c>
      <c r="J139" s="7">
        <f t="shared" ref="J139:J156" si="50">+ROUND(H139+I139*TC,2)</f>
        <v>13832.52</v>
      </c>
      <c r="K139" s="282"/>
    </row>
    <row r="140" spans="2:11" outlineLevel="2">
      <c r="B140" s="354" t="s">
        <v>207</v>
      </c>
      <c r="C140" s="285" t="s">
        <v>141</v>
      </c>
      <c r="D140" s="286">
        <v>121.17</v>
      </c>
      <c r="E140" s="7">
        <v>26.5</v>
      </c>
      <c r="F140" s="287">
        <v>0</v>
      </c>
      <c r="G140" s="145">
        <f t="shared" si="45"/>
        <v>26.5</v>
      </c>
      <c r="H140" s="145">
        <f t="shared" si="48"/>
        <v>3211.01</v>
      </c>
      <c r="I140" s="146">
        <f t="shared" si="49"/>
        <v>0</v>
      </c>
      <c r="J140" s="7">
        <f t="shared" si="50"/>
        <v>3211.01</v>
      </c>
      <c r="K140" s="282"/>
    </row>
    <row r="141" spans="2:11" outlineLevel="2">
      <c r="B141" s="354" t="s">
        <v>208</v>
      </c>
      <c r="C141" s="285" t="s">
        <v>141</v>
      </c>
      <c r="D141" s="286">
        <v>824.16</v>
      </c>
      <c r="E141" s="7">
        <v>26.5</v>
      </c>
      <c r="F141" s="287">
        <v>0</v>
      </c>
      <c r="G141" s="145">
        <f t="shared" si="45"/>
        <v>26.5</v>
      </c>
      <c r="H141" s="145">
        <f t="shared" si="48"/>
        <v>21840.240000000002</v>
      </c>
      <c r="I141" s="146">
        <f t="shared" si="49"/>
        <v>0</v>
      </c>
      <c r="J141" s="7">
        <f t="shared" si="50"/>
        <v>21840.240000000002</v>
      </c>
      <c r="K141" s="282"/>
    </row>
    <row r="142" spans="2:11" outlineLevel="2">
      <c r="B142" s="354" t="s">
        <v>209</v>
      </c>
      <c r="C142" s="285" t="s">
        <v>141</v>
      </c>
      <c r="D142" s="286">
        <v>59.39</v>
      </c>
      <c r="E142" s="7">
        <v>26.5</v>
      </c>
      <c r="F142" s="287">
        <v>0</v>
      </c>
      <c r="G142" s="145">
        <f t="shared" si="45"/>
        <v>26.5</v>
      </c>
      <c r="H142" s="145">
        <f t="shared" si="48"/>
        <v>1573.84</v>
      </c>
      <c r="I142" s="146">
        <f t="shared" si="49"/>
        <v>0</v>
      </c>
      <c r="J142" s="7">
        <f t="shared" si="50"/>
        <v>1573.84</v>
      </c>
      <c r="K142" s="282"/>
    </row>
    <row r="143" spans="2:11" outlineLevel="2">
      <c r="B143" s="354" t="s">
        <v>210</v>
      </c>
      <c r="C143" s="285" t="s">
        <v>82</v>
      </c>
      <c r="D143" s="286">
        <v>80.916999999999987</v>
      </c>
      <c r="E143" s="7">
        <v>35</v>
      </c>
      <c r="F143" s="287">
        <v>0</v>
      </c>
      <c r="G143" s="145">
        <f t="shared" si="45"/>
        <v>35</v>
      </c>
      <c r="H143" s="145">
        <f t="shared" si="48"/>
        <v>2832.1</v>
      </c>
      <c r="I143" s="146">
        <f t="shared" si="49"/>
        <v>0</v>
      </c>
      <c r="J143" s="7">
        <f t="shared" si="50"/>
        <v>2832.1</v>
      </c>
      <c r="K143" s="282"/>
    </row>
    <row r="144" spans="2:11" outlineLevel="2">
      <c r="B144" s="354" t="s">
        <v>211</v>
      </c>
      <c r="C144" s="285" t="s">
        <v>82</v>
      </c>
      <c r="D144" s="286">
        <v>175.78050000000002</v>
      </c>
      <c r="E144" s="7">
        <v>35</v>
      </c>
      <c r="F144" s="287">
        <v>0</v>
      </c>
      <c r="G144" s="145">
        <f t="shared" si="45"/>
        <v>35</v>
      </c>
      <c r="H144" s="145">
        <f t="shared" si="48"/>
        <v>6152.32</v>
      </c>
      <c r="I144" s="146">
        <f t="shared" si="49"/>
        <v>0</v>
      </c>
      <c r="J144" s="7">
        <f t="shared" si="50"/>
        <v>6152.32</v>
      </c>
      <c r="K144" s="282"/>
    </row>
    <row r="145" spans="2:11" outlineLevel="2">
      <c r="B145" s="354" t="s">
        <v>212</v>
      </c>
      <c r="C145" s="285" t="s">
        <v>82</v>
      </c>
      <c r="D145" s="286">
        <v>2923.5625999999997</v>
      </c>
      <c r="E145" s="7">
        <v>35</v>
      </c>
      <c r="F145" s="287">
        <v>0</v>
      </c>
      <c r="G145" s="145">
        <f t="shared" si="45"/>
        <v>35</v>
      </c>
      <c r="H145" s="145">
        <f t="shared" si="48"/>
        <v>102324.69</v>
      </c>
      <c r="I145" s="146">
        <f t="shared" si="49"/>
        <v>0</v>
      </c>
      <c r="J145" s="7">
        <f t="shared" si="50"/>
        <v>102324.69</v>
      </c>
      <c r="K145" s="282"/>
    </row>
    <row r="146" spans="2:11" outlineLevel="2">
      <c r="B146" s="354" t="s">
        <v>213</v>
      </c>
      <c r="C146" s="285" t="s">
        <v>82</v>
      </c>
      <c r="D146" s="286">
        <v>1222.0586000000001</v>
      </c>
      <c r="E146" s="7">
        <v>35</v>
      </c>
      <c r="F146" s="287">
        <v>0</v>
      </c>
      <c r="G146" s="145">
        <f t="shared" si="45"/>
        <v>35</v>
      </c>
      <c r="H146" s="145">
        <f t="shared" si="48"/>
        <v>42772.05</v>
      </c>
      <c r="I146" s="146">
        <f t="shared" si="49"/>
        <v>0</v>
      </c>
      <c r="J146" s="7">
        <f t="shared" si="50"/>
        <v>42772.05</v>
      </c>
      <c r="K146" s="282"/>
    </row>
    <row r="147" spans="2:11" outlineLevel="2">
      <c r="B147" s="354" t="s">
        <v>214</v>
      </c>
      <c r="C147" s="285" t="s">
        <v>82</v>
      </c>
      <c r="D147" s="286">
        <v>567.8119999999999</v>
      </c>
      <c r="E147" s="7">
        <v>35</v>
      </c>
      <c r="F147" s="287">
        <v>0</v>
      </c>
      <c r="G147" s="145">
        <f t="shared" si="45"/>
        <v>35</v>
      </c>
      <c r="H147" s="145">
        <f t="shared" si="48"/>
        <v>19873.419999999998</v>
      </c>
      <c r="I147" s="146">
        <f t="shared" si="49"/>
        <v>0</v>
      </c>
      <c r="J147" s="7">
        <f t="shared" si="50"/>
        <v>19873.419999999998</v>
      </c>
      <c r="K147" s="282"/>
    </row>
    <row r="148" spans="2:11" outlineLevel="2">
      <c r="B148" s="354" t="s">
        <v>215</v>
      </c>
      <c r="C148" s="285" t="s">
        <v>82</v>
      </c>
      <c r="D148" s="286">
        <v>612.49899999999991</v>
      </c>
      <c r="E148" s="7">
        <v>35</v>
      </c>
      <c r="F148" s="287">
        <v>0</v>
      </c>
      <c r="G148" s="145">
        <f t="shared" si="45"/>
        <v>35</v>
      </c>
      <c r="H148" s="145">
        <f t="shared" si="48"/>
        <v>21437.47</v>
      </c>
      <c r="I148" s="146">
        <f t="shared" si="49"/>
        <v>0</v>
      </c>
      <c r="J148" s="7">
        <f t="shared" si="50"/>
        <v>21437.47</v>
      </c>
      <c r="K148" s="282"/>
    </row>
    <row r="149" spans="2:11" outlineLevel="2">
      <c r="B149" s="354" t="s">
        <v>216</v>
      </c>
      <c r="C149" s="285" t="s">
        <v>82</v>
      </c>
      <c r="D149" s="286">
        <v>17.14</v>
      </c>
      <c r="E149" s="7">
        <v>35</v>
      </c>
      <c r="F149" s="287">
        <v>0</v>
      </c>
      <c r="G149" s="145">
        <f t="shared" si="45"/>
        <v>35</v>
      </c>
      <c r="H149" s="145">
        <f t="shared" si="48"/>
        <v>599.9</v>
      </c>
      <c r="I149" s="146">
        <f t="shared" si="49"/>
        <v>0</v>
      </c>
      <c r="J149" s="7">
        <f t="shared" si="50"/>
        <v>599.9</v>
      </c>
      <c r="K149" s="282"/>
    </row>
    <row r="150" spans="2:11" outlineLevel="2">
      <c r="B150" s="354" t="s">
        <v>217</v>
      </c>
      <c r="C150" s="285" t="s">
        <v>82</v>
      </c>
      <c r="D150" s="286">
        <v>264.06</v>
      </c>
      <c r="E150" s="7">
        <v>35</v>
      </c>
      <c r="F150" s="287">
        <v>0</v>
      </c>
      <c r="G150" s="145">
        <f t="shared" si="45"/>
        <v>35</v>
      </c>
      <c r="H150" s="145">
        <f t="shared" si="48"/>
        <v>9242.1</v>
      </c>
      <c r="I150" s="146">
        <f t="shared" si="49"/>
        <v>0</v>
      </c>
      <c r="J150" s="7">
        <f t="shared" si="50"/>
        <v>9242.1</v>
      </c>
      <c r="K150" s="282"/>
    </row>
    <row r="151" spans="2:11" outlineLevel="2">
      <c r="B151" s="354" t="s">
        <v>218</v>
      </c>
      <c r="C151" s="285" t="s">
        <v>82</v>
      </c>
      <c r="D151" s="286">
        <v>297.06299999999999</v>
      </c>
      <c r="E151" s="7">
        <v>35</v>
      </c>
      <c r="F151" s="287">
        <v>0</v>
      </c>
      <c r="G151" s="145">
        <f t="shared" si="45"/>
        <v>35</v>
      </c>
      <c r="H151" s="145">
        <f t="shared" si="48"/>
        <v>10397.209999999999</v>
      </c>
      <c r="I151" s="146">
        <f t="shared" si="49"/>
        <v>0</v>
      </c>
      <c r="J151" s="7">
        <f t="shared" si="50"/>
        <v>10397.209999999999</v>
      </c>
      <c r="K151" s="282"/>
    </row>
    <row r="152" spans="2:11" outlineLevel="2">
      <c r="B152" s="354" t="s">
        <v>219</v>
      </c>
      <c r="C152" s="285" t="s">
        <v>82</v>
      </c>
      <c r="D152" s="286">
        <v>146.10299999999998</v>
      </c>
      <c r="E152" s="7">
        <v>35</v>
      </c>
      <c r="F152" s="287">
        <v>0</v>
      </c>
      <c r="G152" s="145">
        <f t="shared" si="45"/>
        <v>35</v>
      </c>
      <c r="H152" s="145">
        <f t="shared" si="48"/>
        <v>5113.6099999999997</v>
      </c>
      <c r="I152" s="146">
        <f t="shared" si="49"/>
        <v>0</v>
      </c>
      <c r="J152" s="7">
        <f t="shared" si="50"/>
        <v>5113.6099999999997</v>
      </c>
      <c r="K152" s="282"/>
    </row>
    <row r="153" spans="2:11" outlineLevel="2">
      <c r="B153" s="354" t="s">
        <v>220</v>
      </c>
      <c r="C153" s="285" t="s">
        <v>141</v>
      </c>
      <c r="D153" s="286">
        <v>521.98200000000008</v>
      </c>
      <c r="E153" s="7">
        <v>28.5</v>
      </c>
      <c r="F153" s="287">
        <v>0</v>
      </c>
      <c r="G153" s="145">
        <f t="shared" si="45"/>
        <v>28.5</v>
      </c>
      <c r="H153" s="145">
        <f t="shared" si="48"/>
        <v>14876.49</v>
      </c>
      <c r="I153" s="146">
        <f t="shared" si="49"/>
        <v>0</v>
      </c>
      <c r="J153" s="7">
        <f t="shared" si="50"/>
        <v>14876.49</v>
      </c>
      <c r="K153" s="282"/>
    </row>
    <row r="154" spans="2:11" outlineLevel="2">
      <c r="B154" s="354" t="s">
        <v>2804</v>
      </c>
      <c r="C154" s="285" t="s">
        <v>82</v>
      </c>
      <c r="D154" s="286">
        <v>207.6</v>
      </c>
      <c r="E154" s="7">
        <v>79.330000000000013</v>
      </c>
      <c r="F154" s="287">
        <v>0</v>
      </c>
      <c r="G154" s="145">
        <f t="shared" si="45"/>
        <v>79.33</v>
      </c>
      <c r="H154" s="145">
        <f t="shared" si="48"/>
        <v>16468.91</v>
      </c>
      <c r="I154" s="146">
        <f t="shared" si="49"/>
        <v>0</v>
      </c>
      <c r="J154" s="7">
        <f t="shared" si="50"/>
        <v>16468.91</v>
      </c>
      <c r="K154" s="282"/>
    </row>
    <row r="155" spans="2:11" outlineLevel="2">
      <c r="B155" s="354" t="s">
        <v>221</v>
      </c>
      <c r="C155" s="285" t="s">
        <v>141</v>
      </c>
      <c r="D155" s="286">
        <v>824.16</v>
      </c>
      <c r="E155" s="7">
        <v>28.5</v>
      </c>
      <c r="F155" s="287">
        <v>0</v>
      </c>
      <c r="G155" s="145">
        <f t="shared" si="45"/>
        <v>28.5</v>
      </c>
      <c r="H155" s="145">
        <f t="shared" si="48"/>
        <v>23488.560000000001</v>
      </c>
      <c r="I155" s="146">
        <f t="shared" si="49"/>
        <v>0</v>
      </c>
      <c r="J155" s="7">
        <f t="shared" si="50"/>
        <v>23488.560000000001</v>
      </c>
      <c r="K155" s="282"/>
    </row>
    <row r="156" spans="2:11" outlineLevel="2">
      <c r="B156" s="354" t="s">
        <v>222</v>
      </c>
      <c r="C156" s="285" t="s">
        <v>141</v>
      </c>
      <c r="D156" s="286">
        <v>59.39</v>
      </c>
      <c r="E156" s="7">
        <v>28.5</v>
      </c>
      <c r="F156" s="287">
        <v>0</v>
      </c>
      <c r="G156" s="145">
        <f t="shared" si="45"/>
        <v>28.5</v>
      </c>
      <c r="H156" s="145">
        <f t="shared" si="48"/>
        <v>1692.62</v>
      </c>
      <c r="I156" s="146">
        <f t="shared" si="49"/>
        <v>0</v>
      </c>
      <c r="J156" s="7">
        <f t="shared" si="50"/>
        <v>1692.62</v>
      </c>
      <c r="K156" s="282"/>
    </row>
    <row r="157" spans="2:11" outlineLevel="1">
      <c r="B157" s="697" t="s">
        <v>223</v>
      </c>
      <c r="C157" s="285"/>
      <c r="D157" s="286"/>
      <c r="E157" s="7" t="s">
        <v>27</v>
      </c>
      <c r="F157" s="287" t="s">
        <v>27</v>
      </c>
      <c r="G157" s="145"/>
      <c r="H157" s="145"/>
      <c r="I157" s="146"/>
      <c r="J157" s="7">
        <f t="shared" ref="J157:J213" si="51">+ROUND(H157+I157*TC,2)</f>
        <v>0</v>
      </c>
      <c r="K157" s="282"/>
    </row>
    <row r="158" spans="2:11" outlineLevel="2">
      <c r="B158" s="45" t="s">
        <v>2806</v>
      </c>
      <c r="C158" s="285" t="s">
        <v>82</v>
      </c>
      <c r="D158" s="286">
        <v>2747</v>
      </c>
      <c r="E158" s="7">
        <v>35.25</v>
      </c>
      <c r="F158" s="287">
        <v>0</v>
      </c>
      <c r="G158" s="145">
        <f>+ROUND(E158+F158*TC,2)</f>
        <v>35.25</v>
      </c>
      <c r="H158" s="145">
        <f t="shared" si="25"/>
        <v>96831.75</v>
      </c>
      <c r="I158" s="146">
        <f t="shared" si="26"/>
        <v>0</v>
      </c>
      <c r="J158" s="7">
        <f t="shared" si="51"/>
        <v>96831.75</v>
      </c>
      <c r="K158" s="282"/>
    </row>
    <row r="159" spans="2:11" outlineLevel="2">
      <c r="B159" s="354" t="s">
        <v>224</v>
      </c>
      <c r="C159" s="285" t="s">
        <v>82</v>
      </c>
      <c r="D159" s="286">
        <v>371.38670000000002</v>
      </c>
      <c r="E159" s="7">
        <v>35</v>
      </c>
      <c r="F159" s="287">
        <v>0</v>
      </c>
      <c r="G159" s="145">
        <f>+ROUND(E159+F159*TC,2)</f>
        <v>35</v>
      </c>
      <c r="H159" s="145">
        <f t="shared" ref="H159:H161" si="52">+ROUND(D159*E159,2)</f>
        <v>12998.53</v>
      </c>
      <c r="I159" s="146">
        <f t="shared" ref="I159:I161" si="53">+ROUND(D159*F159,2)</f>
        <v>0</v>
      </c>
      <c r="J159" s="7">
        <f t="shared" si="51"/>
        <v>12998.53</v>
      </c>
      <c r="K159" s="282"/>
    </row>
    <row r="160" spans="2:11" outlineLevel="2">
      <c r="B160" s="354" t="s">
        <v>224</v>
      </c>
      <c r="C160" s="285" t="s">
        <v>82</v>
      </c>
      <c r="D160" s="286">
        <v>2107.5589999999997</v>
      </c>
      <c r="E160" s="7">
        <v>35</v>
      </c>
      <c r="F160" s="287">
        <v>0</v>
      </c>
      <c r="G160" s="145">
        <f>+ROUND(E160+F160*TC,2)</f>
        <v>35</v>
      </c>
      <c r="H160" s="145">
        <f t="shared" si="52"/>
        <v>73764.570000000007</v>
      </c>
      <c r="I160" s="146">
        <f t="shared" si="53"/>
        <v>0</v>
      </c>
      <c r="J160" s="7">
        <f t="shared" si="51"/>
        <v>73764.570000000007</v>
      </c>
      <c r="K160" s="282"/>
    </row>
    <row r="161" spans="2:11" outlineLevel="2">
      <c r="B161" s="354" t="s">
        <v>225</v>
      </c>
      <c r="C161" s="285" t="s">
        <v>82</v>
      </c>
      <c r="D161" s="286">
        <v>268.74</v>
      </c>
      <c r="E161" s="7">
        <v>35</v>
      </c>
      <c r="F161" s="287">
        <v>0</v>
      </c>
      <c r="G161" s="145">
        <f>+ROUND(E161+F161*TC,2)</f>
        <v>35</v>
      </c>
      <c r="H161" s="145">
        <f t="shared" si="52"/>
        <v>9405.9</v>
      </c>
      <c r="I161" s="146">
        <f t="shared" si="53"/>
        <v>0</v>
      </c>
      <c r="J161" s="7">
        <f t="shared" si="51"/>
        <v>9405.9</v>
      </c>
      <c r="K161" s="282"/>
    </row>
    <row r="162" spans="2:11" outlineLevel="1">
      <c r="B162" s="697" t="s">
        <v>226</v>
      </c>
      <c r="C162" s="285"/>
      <c r="D162" s="286"/>
      <c r="E162" s="7" t="s">
        <v>27</v>
      </c>
      <c r="F162" s="287" t="s">
        <v>27</v>
      </c>
      <c r="G162" s="145"/>
      <c r="H162" s="145"/>
      <c r="I162" s="146"/>
      <c r="J162" s="7">
        <f t="shared" si="51"/>
        <v>0</v>
      </c>
      <c r="K162" s="282"/>
    </row>
    <row r="163" spans="2:11" outlineLevel="2">
      <c r="B163" s="45" t="s">
        <v>227</v>
      </c>
      <c r="C163" s="285" t="s">
        <v>82</v>
      </c>
      <c r="D163" s="286">
        <v>3454.6468</v>
      </c>
      <c r="E163" s="7">
        <v>30.17</v>
      </c>
      <c r="F163" s="287">
        <v>0</v>
      </c>
      <c r="G163" s="145">
        <f>+ROUND(E163+F163*TC,2)</f>
        <v>30.17</v>
      </c>
      <c r="H163" s="145">
        <f t="shared" si="25"/>
        <v>104226.69</v>
      </c>
      <c r="I163" s="146">
        <f t="shared" si="26"/>
        <v>0</v>
      </c>
      <c r="J163" s="7">
        <f t="shared" si="51"/>
        <v>104226.69</v>
      </c>
      <c r="K163" s="282"/>
    </row>
    <row r="164" spans="2:11" outlineLevel="2">
      <c r="B164" s="354" t="s">
        <v>228</v>
      </c>
      <c r="C164" s="285" t="s">
        <v>82</v>
      </c>
      <c r="D164" s="286">
        <v>3454.6468</v>
      </c>
      <c r="E164" s="7">
        <v>21.5</v>
      </c>
      <c r="F164" s="287">
        <v>0</v>
      </c>
      <c r="G164" s="145">
        <f>+ROUND(E164+F164*TC,2)</f>
        <v>21.5</v>
      </c>
      <c r="H164" s="145">
        <f t="shared" si="25"/>
        <v>74274.91</v>
      </c>
      <c r="I164" s="146">
        <f t="shared" si="26"/>
        <v>0</v>
      </c>
      <c r="J164" s="7">
        <f t="shared" si="51"/>
        <v>74274.91</v>
      </c>
      <c r="K164" s="282"/>
    </row>
    <row r="165" spans="2:11" ht="22.5" outlineLevel="2">
      <c r="B165" s="354" t="s">
        <v>229</v>
      </c>
      <c r="C165" s="285" t="s">
        <v>132</v>
      </c>
      <c r="D165" s="286">
        <v>5</v>
      </c>
      <c r="E165" s="7">
        <v>71372.791255813951</v>
      </c>
      <c r="F165" s="287">
        <v>0</v>
      </c>
      <c r="G165" s="145">
        <f>+ROUND(E165+F165*TC,2)</f>
        <v>71372.789999999994</v>
      </c>
      <c r="H165" s="145">
        <f t="shared" si="25"/>
        <v>356863.96</v>
      </c>
      <c r="I165" s="146">
        <f t="shared" si="26"/>
        <v>0</v>
      </c>
      <c r="J165" s="7">
        <f t="shared" si="51"/>
        <v>356863.96</v>
      </c>
      <c r="K165" s="282"/>
    </row>
    <row r="166" spans="2:11">
      <c r="B166" s="694" t="s">
        <v>230</v>
      </c>
      <c r="C166" s="285"/>
      <c r="D166" s="7"/>
      <c r="E166" s="7" t="s">
        <v>27</v>
      </c>
      <c r="F166" s="287" t="s">
        <v>27</v>
      </c>
      <c r="G166" s="145"/>
      <c r="H166" s="145"/>
      <c r="I166" s="146"/>
      <c r="J166" s="7">
        <f t="shared" si="51"/>
        <v>0</v>
      </c>
      <c r="K166" s="276">
        <f>SUM(H166:H169)+SUM(I166:I169)*TC</f>
        <v>301999.65000000002</v>
      </c>
    </row>
    <row r="167" spans="2:11" outlineLevel="1">
      <c r="B167" s="45" t="s">
        <v>231</v>
      </c>
      <c r="C167" s="285" t="s">
        <v>82</v>
      </c>
      <c r="D167" s="286">
        <v>16725</v>
      </c>
      <c r="E167" s="7">
        <v>7.3</v>
      </c>
      <c r="F167" s="287">
        <v>0</v>
      </c>
      <c r="G167" s="145">
        <f>+ROUND(E167+F167*TC,2)</f>
        <v>7.3</v>
      </c>
      <c r="H167" s="145">
        <f t="shared" si="25"/>
        <v>122092.5</v>
      </c>
      <c r="I167" s="146">
        <f t="shared" si="26"/>
        <v>0</v>
      </c>
      <c r="J167" s="7">
        <f t="shared" si="51"/>
        <v>122092.5</v>
      </c>
      <c r="K167" s="282"/>
    </row>
    <row r="168" spans="2:11" outlineLevel="1">
      <c r="B168" s="354" t="s">
        <v>232</v>
      </c>
      <c r="C168" s="285" t="s">
        <v>82</v>
      </c>
      <c r="D168" s="286">
        <v>3850</v>
      </c>
      <c r="E168" s="7">
        <v>44</v>
      </c>
      <c r="F168" s="287">
        <v>0</v>
      </c>
      <c r="G168" s="145">
        <f>+ROUND(E168+F168*TC,2)</f>
        <v>44</v>
      </c>
      <c r="H168" s="145">
        <f t="shared" si="25"/>
        <v>169400</v>
      </c>
      <c r="I168" s="146">
        <f t="shared" si="26"/>
        <v>0</v>
      </c>
      <c r="J168" s="7">
        <f t="shared" si="51"/>
        <v>169400</v>
      </c>
      <c r="K168" s="282"/>
    </row>
    <row r="169" spans="2:11" outlineLevel="1">
      <c r="B169" s="354" t="s">
        <v>233</v>
      </c>
      <c r="C169" s="285" t="s">
        <v>82</v>
      </c>
      <c r="D169" s="286">
        <v>224.8</v>
      </c>
      <c r="E169" s="7">
        <v>46.74</v>
      </c>
      <c r="F169" s="287">
        <v>0</v>
      </c>
      <c r="G169" s="145">
        <f>+ROUND(E169+F169*TC,2)</f>
        <v>46.74</v>
      </c>
      <c r="H169" s="145">
        <f t="shared" si="25"/>
        <v>10507.15</v>
      </c>
      <c r="I169" s="146">
        <f t="shared" si="26"/>
        <v>0</v>
      </c>
      <c r="J169" s="7">
        <f t="shared" si="51"/>
        <v>10507.15</v>
      </c>
      <c r="K169" s="282"/>
    </row>
    <row r="170" spans="2:11">
      <c r="B170" s="694" t="s">
        <v>234</v>
      </c>
      <c r="C170" s="285"/>
      <c r="D170" s="7"/>
      <c r="E170" s="7" t="s">
        <v>27</v>
      </c>
      <c r="F170" s="287" t="s">
        <v>27</v>
      </c>
      <c r="G170" s="145"/>
      <c r="H170" s="145"/>
      <c r="I170" s="146"/>
      <c r="J170" s="7">
        <f t="shared" si="51"/>
        <v>0</v>
      </c>
      <c r="K170" s="276">
        <f>SUM(H170:H190)+SUM(I170:I190)*TC</f>
        <v>123049.81000000001</v>
      </c>
    </row>
    <row r="171" spans="2:11" outlineLevel="1">
      <c r="B171" s="43" t="s">
        <v>235</v>
      </c>
      <c r="C171" s="285" t="s">
        <v>82</v>
      </c>
      <c r="D171" s="286">
        <v>59.62</v>
      </c>
      <c r="E171" s="7">
        <v>115</v>
      </c>
      <c r="F171" s="287">
        <v>0</v>
      </c>
      <c r="G171" s="145">
        <f t="shared" ref="G171:G186" si="54">+ROUND(E171+F171*TC,2)</f>
        <v>115</v>
      </c>
      <c r="H171" s="145">
        <f t="shared" ref="H171:H186" si="55">+ROUND(D171*E171,2)</f>
        <v>6856.3</v>
      </c>
      <c r="I171" s="146">
        <f t="shared" ref="I171:I186" si="56">+ROUND(D171*F171,2)</f>
        <v>0</v>
      </c>
      <c r="J171" s="7">
        <f t="shared" si="51"/>
        <v>6856.3</v>
      </c>
      <c r="K171" s="276"/>
    </row>
    <row r="172" spans="2:11" outlineLevel="1">
      <c r="B172" s="43" t="s">
        <v>236</v>
      </c>
      <c r="C172" s="285" t="s">
        <v>82</v>
      </c>
      <c r="D172" s="286">
        <v>3.2160000000000002</v>
      </c>
      <c r="E172" s="7">
        <v>115</v>
      </c>
      <c r="F172" s="287">
        <v>0</v>
      </c>
      <c r="G172" s="145">
        <f t="shared" si="54"/>
        <v>115</v>
      </c>
      <c r="H172" s="145">
        <f t="shared" si="55"/>
        <v>369.84</v>
      </c>
      <c r="I172" s="146">
        <f t="shared" si="56"/>
        <v>0</v>
      </c>
      <c r="J172" s="7">
        <f t="shared" si="51"/>
        <v>369.84</v>
      </c>
      <c r="K172" s="276"/>
    </row>
    <row r="173" spans="2:11" outlineLevel="1">
      <c r="B173" s="43" t="s">
        <v>237</v>
      </c>
      <c r="C173" s="285" t="s">
        <v>82</v>
      </c>
      <c r="D173" s="286">
        <v>46.860000000000007</v>
      </c>
      <c r="E173" s="7">
        <v>115</v>
      </c>
      <c r="F173" s="287">
        <v>0</v>
      </c>
      <c r="G173" s="145">
        <f t="shared" si="54"/>
        <v>115</v>
      </c>
      <c r="H173" s="145">
        <f t="shared" si="55"/>
        <v>5388.9</v>
      </c>
      <c r="I173" s="146">
        <f t="shared" si="56"/>
        <v>0</v>
      </c>
      <c r="J173" s="7">
        <f t="shared" si="51"/>
        <v>5388.9</v>
      </c>
      <c r="K173" s="276"/>
    </row>
    <row r="174" spans="2:11" outlineLevel="1">
      <c r="B174" s="43" t="s">
        <v>2798</v>
      </c>
      <c r="C174" s="285" t="s">
        <v>82</v>
      </c>
      <c r="D174" s="286">
        <v>10.84</v>
      </c>
      <c r="E174" s="7">
        <v>115</v>
      </c>
      <c r="F174" s="287">
        <v>0</v>
      </c>
      <c r="G174" s="145">
        <f t="shared" si="54"/>
        <v>115</v>
      </c>
      <c r="H174" s="145">
        <f t="shared" si="55"/>
        <v>1246.5999999999999</v>
      </c>
      <c r="I174" s="146">
        <f t="shared" si="56"/>
        <v>0</v>
      </c>
      <c r="J174" s="7">
        <f t="shared" si="51"/>
        <v>1246.5999999999999</v>
      </c>
      <c r="K174" s="276"/>
    </row>
    <row r="175" spans="2:11" outlineLevel="1">
      <c r="B175" s="43" t="s">
        <v>2801</v>
      </c>
      <c r="C175" s="285" t="s">
        <v>82</v>
      </c>
      <c r="D175" s="286">
        <v>80.459999999999994</v>
      </c>
      <c r="E175" s="7">
        <v>115</v>
      </c>
      <c r="F175" s="287">
        <v>0</v>
      </c>
      <c r="G175" s="145">
        <f t="shared" si="54"/>
        <v>115</v>
      </c>
      <c r="H175" s="145">
        <f t="shared" si="55"/>
        <v>9252.9</v>
      </c>
      <c r="I175" s="146">
        <f t="shared" si="56"/>
        <v>0</v>
      </c>
      <c r="J175" s="7">
        <f t="shared" si="51"/>
        <v>9252.9</v>
      </c>
      <c r="K175" s="276"/>
    </row>
    <row r="176" spans="2:11" outlineLevel="1">
      <c r="B176" s="43" t="s">
        <v>2802</v>
      </c>
      <c r="C176" s="285" t="s">
        <v>82</v>
      </c>
      <c r="D176" s="286">
        <v>204.22000000000003</v>
      </c>
      <c r="E176" s="7">
        <v>115</v>
      </c>
      <c r="F176" s="287">
        <v>0</v>
      </c>
      <c r="G176" s="145">
        <f t="shared" si="54"/>
        <v>115</v>
      </c>
      <c r="H176" s="145">
        <f t="shared" si="55"/>
        <v>23485.3</v>
      </c>
      <c r="I176" s="146">
        <f t="shared" si="56"/>
        <v>0</v>
      </c>
      <c r="J176" s="7">
        <f t="shared" si="51"/>
        <v>23485.3</v>
      </c>
      <c r="K176" s="276"/>
    </row>
    <row r="177" spans="2:11" outlineLevel="1">
      <c r="B177" s="43" t="s">
        <v>242</v>
      </c>
      <c r="C177" s="285" t="s">
        <v>82</v>
      </c>
      <c r="D177" s="286">
        <v>138.9</v>
      </c>
      <c r="E177" s="7">
        <v>115</v>
      </c>
      <c r="F177" s="287">
        <v>0</v>
      </c>
      <c r="G177" s="145">
        <f t="shared" si="54"/>
        <v>115</v>
      </c>
      <c r="H177" s="145">
        <f t="shared" si="55"/>
        <v>15973.5</v>
      </c>
      <c r="I177" s="146">
        <f t="shared" si="56"/>
        <v>0</v>
      </c>
      <c r="J177" s="7">
        <f t="shared" si="51"/>
        <v>15973.5</v>
      </c>
      <c r="K177" s="276"/>
    </row>
    <row r="178" spans="2:11" outlineLevel="1">
      <c r="B178" s="43" t="s">
        <v>243</v>
      </c>
      <c r="C178" s="285" t="s">
        <v>82</v>
      </c>
      <c r="D178" s="286">
        <v>8.0500000000000007</v>
      </c>
      <c r="E178" s="7">
        <v>115</v>
      </c>
      <c r="F178" s="287">
        <v>0</v>
      </c>
      <c r="G178" s="145">
        <f t="shared" si="54"/>
        <v>115</v>
      </c>
      <c r="H178" s="145">
        <f t="shared" si="55"/>
        <v>925.75</v>
      </c>
      <c r="I178" s="146">
        <f t="shared" si="56"/>
        <v>0</v>
      </c>
      <c r="J178" s="7">
        <f t="shared" si="51"/>
        <v>925.75</v>
      </c>
      <c r="K178" s="276"/>
    </row>
    <row r="179" spans="2:11" outlineLevel="1">
      <c r="B179" s="43" t="s">
        <v>238</v>
      </c>
      <c r="C179" s="285" t="s">
        <v>82</v>
      </c>
      <c r="D179" s="286"/>
      <c r="E179" s="7">
        <v>115</v>
      </c>
      <c r="F179" s="287">
        <v>0</v>
      </c>
      <c r="G179" s="145">
        <f t="shared" si="54"/>
        <v>115</v>
      </c>
      <c r="H179" s="145">
        <f t="shared" si="55"/>
        <v>0</v>
      </c>
      <c r="I179" s="146">
        <f t="shared" si="56"/>
        <v>0</v>
      </c>
      <c r="J179" s="7">
        <f t="shared" si="51"/>
        <v>0</v>
      </c>
      <c r="K179" s="276"/>
    </row>
    <row r="180" spans="2:11" outlineLevel="1">
      <c r="B180" s="43" t="s">
        <v>239</v>
      </c>
      <c r="C180" s="285" t="s">
        <v>82</v>
      </c>
      <c r="D180" s="286">
        <v>44.95</v>
      </c>
      <c r="E180" s="7">
        <v>115</v>
      </c>
      <c r="F180" s="287">
        <v>0</v>
      </c>
      <c r="G180" s="145">
        <f t="shared" si="54"/>
        <v>115</v>
      </c>
      <c r="H180" s="145">
        <f t="shared" si="55"/>
        <v>5169.25</v>
      </c>
      <c r="I180" s="146">
        <f t="shared" si="56"/>
        <v>0</v>
      </c>
      <c r="J180" s="7">
        <f t="shared" si="51"/>
        <v>5169.25</v>
      </c>
      <c r="K180" s="276"/>
    </row>
    <row r="181" spans="2:11" outlineLevel="1">
      <c r="B181" s="43" t="s">
        <v>240</v>
      </c>
      <c r="C181" s="285" t="s">
        <v>82</v>
      </c>
      <c r="D181" s="286">
        <v>31.82</v>
      </c>
      <c r="E181" s="7">
        <v>115</v>
      </c>
      <c r="F181" s="287">
        <v>0</v>
      </c>
      <c r="G181" s="145">
        <f t="shared" si="54"/>
        <v>115</v>
      </c>
      <c r="H181" s="145">
        <f t="shared" si="55"/>
        <v>3659.3</v>
      </c>
      <c r="I181" s="146">
        <f t="shared" si="56"/>
        <v>0</v>
      </c>
      <c r="J181" s="7">
        <f t="shared" si="51"/>
        <v>3659.3</v>
      </c>
      <c r="K181" s="276"/>
    </row>
    <row r="182" spans="2:11" outlineLevel="1">
      <c r="B182" s="43" t="s">
        <v>241</v>
      </c>
      <c r="C182" s="285" t="s">
        <v>82</v>
      </c>
      <c r="D182" s="286">
        <v>2.7</v>
      </c>
      <c r="E182" s="7">
        <v>115</v>
      </c>
      <c r="F182" s="287">
        <v>0</v>
      </c>
      <c r="G182" s="145">
        <f t="shared" si="54"/>
        <v>115</v>
      </c>
      <c r="H182" s="145">
        <f t="shared" si="55"/>
        <v>310.5</v>
      </c>
      <c r="I182" s="146">
        <f t="shared" si="56"/>
        <v>0</v>
      </c>
      <c r="J182" s="7">
        <f t="shared" si="51"/>
        <v>310.5</v>
      </c>
      <c r="K182" s="276"/>
    </row>
    <row r="183" spans="2:11" outlineLevel="1">
      <c r="B183" s="43" t="s">
        <v>2799</v>
      </c>
      <c r="C183" s="285" t="s">
        <v>82</v>
      </c>
      <c r="D183" s="286">
        <v>26.4</v>
      </c>
      <c r="E183" s="7">
        <v>115</v>
      </c>
      <c r="F183" s="287">
        <v>0</v>
      </c>
      <c r="G183" s="145">
        <f t="shared" si="54"/>
        <v>115</v>
      </c>
      <c r="H183" s="145">
        <f t="shared" si="55"/>
        <v>3036</v>
      </c>
      <c r="I183" s="146">
        <f t="shared" si="56"/>
        <v>0</v>
      </c>
      <c r="J183" s="7">
        <f t="shared" si="51"/>
        <v>3036</v>
      </c>
      <c r="K183" s="276"/>
    </row>
    <row r="184" spans="2:11" outlineLevel="1">
      <c r="B184" s="43" t="s">
        <v>2800</v>
      </c>
      <c r="C184" s="285" t="s">
        <v>82</v>
      </c>
      <c r="D184" s="286">
        <v>4.5999999999999996</v>
      </c>
      <c r="E184" s="7">
        <v>115</v>
      </c>
      <c r="F184" s="287">
        <v>0</v>
      </c>
      <c r="G184" s="145">
        <f t="shared" si="54"/>
        <v>115</v>
      </c>
      <c r="H184" s="145">
        <f t="shared" si="55"/>
        <v>529</v>
      </c>
      <c r="I184" s="146">
        <f t="shared" si="56"/>
        <v>0</v>
      </c>
      <c r="J184" s="7">
        <f t="shared" si="51"/>
        <v>529</v>
      </c>
      <c r="K184" s="276"/>
    </row>
    <row r="185" spans="2:11" outlineLevel="1">
      <c r="B185" s="43" t="s">
        <v>243</v>
      </c>
      <c r="C185" s="285" t="s">
        <v>82</v>
      </c>
      <c r="D185" s="286">
        <v>1.71</v>
      </c>
      <c r="E185" s="7">
        <v>125</v>
      </c>
      <c r="F185" s="287">
        <v>0</v>
      </c>
      <c r="G185" s="145">
        <f t="shared" si="54"/>
        <v>125</v>
      </c>
      <c r="H185" s="145">
        <f t="shared" si="55"/>
        <v>213.75</v>
      </c>
      <c r="I185" s="146">
        <f t="shared" si="56"/>
        <v>0</v>
      </c>
      <c r="J185" s="7">
        <f t="shared" si="51"/>
        <v>213.75</v>
      </c>
      <c r="K185" s="276"/>
    </row>
    <row r="186" spans="2:11" outlineLevel="1">
      <c r="B186" s="43" t="s">
        <v>244</v>
      </c>
      <c r="C186" s="285" t="s">
        <v>141</v>
      </c>
      <c r="D186" s="286">
        <v>76.960000000000008</v>
      </c>
      <c r="E186" s="7">
        <v>105</v>
      </c>
      <c r="F186" s="287">
        <v>0</v>
      </c>
      <c r="G186" s="145">
        <f t="shared" si="54"/>
        <v>105</v>
      </c>
      <c r="H186" s="145">
        <f t="shared" si="55"/>
        <v>8080.8</v>
      </c>
      <c r="I186" s="146">
        <f t="shared" si="56"/>
        <v>0</v>
      </c>
      <c r="J186" s="7">
        <f t="shared" si="51"/>
        <v>8080.8</v>
      </c>
      <c r="K186" s="276"/>
    </row>
    <row r="187" spans="2:11" outlineLevel="1">
      <c r="B187" s="43" t="s">
        <v>245</v>
      </c>
      <c r="C187" s="285" t="s">
        <v>82</v>
      </c>
      <c r="D187" s="286">
        <v>281.15999999999997</v>
      </c>
      <c r="E187" s="7">
        <v>71.91</v>
      </c>
      <c r="F187" s="287">
        <v>0</v>
      </c>
      <c r="G187" s="145">
        <f t="shared" ref="G187:G189" si="57">+ROUND(E187+F187*TC,2)</f>
        <v>71.91</v>
      </c>
      <c r="H187" s="145">
        <f t="shared" si="25"/>
        <v>20218.22</v>
      </c>
      <c r="I187" s="146">
        <f t="shared" si="26"/>
        <v>0</v>
      </c>
      <c r="J187" s="7">
        <f t="shared" si="51"/>
        <v>20218.22</v>
      </c>
      <c r="K187" s="282"/>
    </row>
    <row r="188" spans="2:11" outlineLevel="1">
      <c r="B188" s="45" t="s">
        <v>246</v>
      </c>
      <c r="C188" s="285" t="s">
        <v>82</v>
      </c>
      <c r="D188" s="286">
        <v>142.69999999999999</v>
      </c>
      <c r="E188" s="7">
        <v>82.97</v>
      </c>
      <c r="F188" s="287">
        <v>0</v>
      </c>
      <c r="G188" s="145">
        <f t="shared" si="57"/>
        <v>82.97</v>
      </c>
      <c r="H188" s="145">
        <f t="shared" si="25"/>
        <v>11839.82</v>
      </c>
      <c r="I188" s="146">
        <f t="shared" si="26"/>
        <v>0</v>
      </c>
      <c r="J188" s="7">
        <f t="shared" si="51"/>
        <v>11839.82</v>
      </c>
      <c r="K188" s="282"/>
    </row>
    <row r="189" spans="2:11" outlineLevel="1">
      <c r="B189" s="45" t="s">
        <v>247</v>
      </c>
      <c r="C189" s="285" t="s">
        <v>141</v>
      </c>
      <c r="D189" s="286">
        <v>144.57</v>
      </c>
      <c r="E189" s="7">
        <v>44.919999999999995</v>
      </c>
      <c r="F189" s="287">
        <v>0</v>
      </c>
      <c r="G189" s="145">
        <f t="shared" si="57"/>
        <v>44.92</v>
      </c>
      <c r="H189" s="145">
        <f t="shared" si="25"/>
        <v>6494.08</v>
      </c>
      <c r="I189" s="146">
        <f t="shared" si="26"/>
        <v>0</v>
      </c>
      <c r="J189" s="7">
        <f t="shared" si="51"/>
        <v>6494.08</v>
      </c>
      <c r="K189" s="282"/>
    </row>
    <row r="190" spans="2:11" outlineLevel="1">
      <c r="B190" s="45" t="s">
        <v>248</v>
      </c>
      <c r="C190" s="285" t="s">
        <v>82</v>
      </c>
      <c r="D190" s="286"/>
      <c r="E190" s="7">
        <v>0</v>
      </c>
      <c r="F190" s="287">
        <v>0</v>
      </c>
      <c r="G190" s="145">
        <f t="shared" ref="G190" si="58">+ROUND(E190+F190*TC,2)</f>
        <v>0</v>
      </c>
      <c r="H190" s="145">
        <f t="shared" si="25"/>
        <v>0</v>
      </c>
      <c r="I190" s="146">
        <f t="shared" si="26"/>
        <v>0</v>
      </c>
      <c r="J190" s="7">
        <f t="shared" si="51"/>
        <v>0</v>
      </c>
      <c r="K190" s="282"/>
    </row>
    <row r="191" spans="2:11">
      <c r="B191" s="694" t="s">
        <v>249</v>
      </c>
      <c r="C191" s="285"/>
      <c r="D191" s="7"/>
      <c r="E191" s="7" t="s">
        <v>27</v>
      </c>
      <c r="F191" s="287" t="s">
        <v>27</v>
      </c>
      <c r="G191" s="7"/>
      <c r="H191" s="145"/>
      <c r="I191" s="146"/>
      <c r="J191" s="7">
        <f t="shared" si="51"/>
        <v>0</v>
      </c>
      <c r="K191" s="276">
        <f>SUM(H191:H197)+SUM(I191:I197)*TC</f>
        <v>96903.37</v>
      </c>
    </row>
    <row r="192" spans="2:11" ht="22.5" outlineLevel="1">
      <c r="B192" s="45" t="s">
        <v>250</v>
      </c>
      <c r="C192" s="285" t="s">
        <v>82</v>
      </c>
      <c r="D192" s="286">
        <v>18.712399999999999</v>
      </c>
      <c r="E192" s="7">
        <v>1450</v>
      </c>
      <c r="F192" s="287">
        <v>0</v>
      </c>
      <c r="G192" s="145">
        <f t="shared" ref="G192" si="59">+ROUND(E192+F192*TC,2)</f>
        <v>1450</v>
      </c>
      <c r="H192" s="145">
        <f t="shared" ref="H192" si="60">+ROUND(D192*E192,2)</f>
        <v>27132.98</v>
      </c>
      <c r="I192" s="146">
        <f t="shared" ref="I192" si="61">+ROUND(D192*F192,2)</f>
        <v>0</v>
      </c>
      <c r="J192" s="7">
        <f t="shared" si="51"/>
        <v>27132.98</v>
      </c>
      <c r="K192" s="276"/>
    </row>
    <row r="193" spans="2:11" ht="22.5" outlineLevel="1">
      <c r="B193" s="45" t="s">
        <v>251</v>
      </c>
      <c r="C193" s="285" t="s">
        <v>82</v>
      </c>
      <c r="D193" s="286">
        <v>20.9375</v>
      </c>
      <c r="E193" s="7">
        <v>1450</v>
      </c>
      <c r="F193" s="287">
        <v>0</v>
      </c>
      <c r="G193" s="145">
        <f t="shared" ref="G193:G197" si="62">+ROUND(E193+F193*TC,2)</f>
        <v>1450</v>
      </c>
      <c r="H193" s="145">
        <f t="shared" ref="H193:H197" si="63">+ROUND(D193*E193,2)</f>
        <v>30359.38</v>
      </c>
      <c r="I193" s="146">
        <f t="shared" ref="I193:I197" si="64">+ROUND(D193*F193,2)</f>
        <v>0</v>
      </c>
      <c r="J193" s="7">
        <f t="shared" si="51"/>
        <v>30359.38</v>
      </c>
      <c r="K193" s="276"/>
    </row>
    <row r="194" spans="2:11" ht="33.75" outlineLevel="1">
      <c r="B194" s="45" t="s">
        <v>252</v>
      </c>
      <c r="C194" s="285" t="s">
        <v>82</v>
      </c>
      <c r="D194" s="286">
        <v>10.476000000000001</v>
      </c>
      <c r="E194" s="7">
        <v>1450</v>
      </c>
      <c r="F194" s="287">
        <v>0</v>
      </c>
      <c r="G194" s="145">
        <f t="shared" si="62"/>
        <v>1450</v>
      </c>
      <c r="H194" s="145">
        <f t="shared" si="63"/>
        <v>15190.2</v>
      </c>
      <c r="I194" s="146">
        <f t="shared" si="64"/>
        <v>0</v>
      </c>
      <c r="J194" s="7">
        <f t="shared" si="51"/>
        <v>15190.2</v>
      </c>
      <c r="K194" s="276"/>
    </row>
    <row r="195" spans="2:11" ht="33.75" outlineLevel="1">
      <c r="B195" s="45" t="s">
        <v>253</v>
      </c>
      <c r="C195" s="285" t="s">
        <v>82</v>
      </c>
      <c r="D195" s="286">
        <v>3.7125000000000004</v>
      </c>
      <c r="E195" s="7">
        <v>1450</v>
      </c>
      <c r="F195" s="287">
        <v>0</v>
      </c>
      <c r="G195" s="145">
        <f t="shared" si="62"/>
        <v>1450</v>
      </c>
      <c r="H195" s="145">
        <f t="shared" si="63"/>
        <v>5383.13</v>
      </c>
      <c r="I195" s="146">
        <f t="shared" si="64"/>
        <v>0</v>
      </c>
      <c r="J195" s="7">
        <f t="shared" si="51"/>
        <v>5383.13</v>
      </c>
      <c r="K195" s="276"/>
    </row>
    <row r="196" spans="2:11" ht="33.75" outlineLevel="1">
      <c r="B196" s="45" t="s">
        <v>254</v>
      </c>
      <c r="C196" s="285" t="s">
        <v>82</v>
      </c>
      <c r="D196" s="286">
        <v>5.3595000000000006</v>
      </c>
      <c r="E196" s="7">
        <v>1450</v>
      </c>
      <c r="F196" s="287">
        <v>0</v>
      </c>
      <c r="G196" s="145">
        <f t="shared" si="62"/>
        <v>1450</v>
      </c>
      <c r="H196" s="145">
        <f t="shared" si="63"/>
        <v>7771.28</v>
      </c>
      <c r="I196" s="146">
        <f t="shared" si="64"/>
        <v>0</v>
      </c>
      <c r="J196" s="7">
        <f t="shared" si="51"/>
        <v>7771.28</v>
      </c>
      <c r="K196" s="282"/>
    </row>
    <row r="197" spans="2:11" ht="22.5" outlineLevel="1">
      <c r="B197" s="45" t="s">
        <v>255</v>
      </c>
      <c r="C197" s="285" t="s">
        <v>82</v>
      </c>
      <c r="D197" s="286">
        <v>7.6319999999999997</v>
      </c>
      <c r="E197" s="7">
        <v>1450</v>
      </c>
      <c r="F197" s="287">
        <v>0</v>
      </c>
      <c r="G197" s="145">
        <f t="shared" si="62"/>
        <v>1450</v>
      </c>
      <c r="H197" s="145">
        <f t="shared" si="63"/>
        <v>11066.4</v>
      </c>
      <c r="I197" s="146">
        <f t="shared" si="64"/>
        <v>0</v>
      </c>
      <c r="J197" s="7">
        <f t="shared" si="51"/>
        <v>11066.4</v>
      </c>
      <c r="K197" s="282"/>
    </row>
    <row r="198" spans="2:11">
      <c r="B198" s="694" t="s">
        <v>256</v>
      </c>
      <c r="C198" s="285"/>
      <c r="D198" s="7"/>
      <c r="E198" s="7" t="s">
        <v>27</v>
      </c>
      <c r="F198" s="287" t="s">
        <v>27</v>
      </c>
      <c r="G198" s="145"/>
      <c r="H198" s="145"/>
      <c r="I198" s="146"/>
      <c r="J198" s="7">
        <f t="shared" si="51"/>
        <v>0</v>
      </c>
      <c r="K198" s="276">
        <f>SUM(H198:H289)+SUM(I198:I289)*TC</f>
        <v>1360523.6684999999</v>
      </c>
    </row>
    <row r="199" spans="2:11" outlineLevel="1">
      <c r="B199" s="697" t="s">
        <v>257</v>
      </c>
      <c r="C199" s="285"/>
      <c r="D199" s="286"/>
      <c r="E199" s="7" t="s">
        <v>27</v>
      </c>
      <c r="F199" s="287" t="s">
        <v>27</v>
      </c>
      <c r="G199" s="145"/>
      <c r="H199" s="145"/>
      <c r="I199" s="146"/>
      <c r="J199" s="7">
        <f t="shared" si="51"/>
        <v>0</v>
      </c>
      <c r="K199" s="276"/>
    </row>
    <row r="200" spans="2:11" outlineLevel="1">
      <c r="B200" s="354" t="s">
        <v>258</v>
      </c>
      <c r="C200" s="285" t="s">
        <v>82</v>
      </c>
      <c r="D200" s="286">
        <v>18339.7333</v>
      </c>
      <c r="E200" s="7">
        <v>22.49</v>
      </c>
      <c r="F200" s="287">
        <v>0</v>
      </c>
      <c r="G200" s="145">
        <f>+ROUND(E200+F200*TC,2)</f>
        <v>22.49</v>
      </c>
      <c r="H200" s="145">
        <f t="shared" ref="H200:H287" si="65">+ROUND(D200*E200,2)</f>
        <v>412460.6</v>
      </c>
      <c r="I200" s="146">
        <f t="shared" ref="I200:I287" si="66">+ROUND(D200*F200,2)</f>
        <v>0</v>
      </c>
      <c r="J200" s="7">
        <f t="shared" si="51"/>
        <v>412460.6</v>
      </c>
      <c r="K200" s="276"/>
    </row>
    <row r="201" spans="2:11" outlineLevel="1">
      <c r="B201" s="697" t="s">
        <v>259</v>
      </c>
      <c r="C201" s="285"/>
      <c r="D201" s="286"/>
      <c r="E201" s="7" t="s">
        <v>27</v>
      </c>
      <c r="F201" s="287" t="s">
        <v>27</v>
      </c>
      <c r="G201" s="145"/>
      <c r="H201" s="145"/>
      <c r="I201" s="146"/>
      <c r="J201" s="7">
        <f t="shared" si="51"/>
        <v>0</v>
      </c>
      <c r="K201" s="289"/>
    </row>
    <row r="202" spans="2:11" outlineLevel="1">
      <c r="B202" s="355" t="s">
        <v>260</v>
      </c>
      <c r="C202" s="285"/>
      <c r="D202" s="286"/>
      <c r="E202" s="7" t="s">
        <v>27</v>
      </c>
      <c r="F202" s="287" t="s">
        <v>27</v>
      </c>
      <c r="G202" s="145"/>
      <c r="H202" s="145"/>
      <c r="I202" s="146"/>
      <c r="J202" s="7">
        <f t="shared" si="51"/>
        <v>0</v>
      </c>
      <c r="K202" s="289"/>
    </row>
    <row r="203" spans="2:11" outlineLevel="1">
      <c r="B203" s="51" t="s">
        <v>261</v>
      </c>
      <c r="C203" s="285" t="s">
        <v>82</v>
      </c>
      <c r="D203" s="286">
        <v>12580</v>
      </c>
      <c r="E203" s="7">
        <v>7.34</v>
      </c>
      <c r="F203" s="287">
        <v>9.08</v>
      </c>
      <c r="G203" s="145">
        <f>+ROUND(E203+F203*TC,2)</f>
        <v>37.76</v>
      </c>
      <c r="H203" s="145">
        <f t="shared" si="65"/>
        <v>92337.2</v>
      </c>
      <c r="I203" s="146">
        <f t="shared" si="66"/>
        <v>114226.4</v>
      </c>
      <c r="J203" s="7">
        <f t="shared" si="51"/>
        <v>474995.64</v>
      </c>
      <c r="K203" s="276"/>
    </row>
    <row r="204" spans="2:11" outlineLevel="1">
      <c r="B204" s="355" t="s">
        <v>262</v>
      </c>
      <c r="C204" s="285"/>
      <c r="D204" s="286"/>
      <c r="E204" s="7" t="s">
        <v>27</v>
      </c>
      <c r="F204" s="287" t="s">
        <v>27</v>
      </c>
      <c r="G204" s="145"/>
      <c r="H204" s="145"/>
      <c r="I204" s="146"/>
      <c r="J204" s="7">
        <f t="shared" si="51"/>
        <v>0</v>
      </c>
      <c r="K204" s="289"/>
    </row>
    <row r="205" spans="2:11" outlineLevel="1">
      <c r="B205" s="43" t="s">
        <v>263</v>
      </c>
      <c r="C205" s="285" t="s">
        <v>82</v>
      </c>
      <c r="D205" s="286">
        <v>1400.4400000000007</v>
      </c>
      <c r="E205" s="7">
        <v>67.099999999999994</v>
      </c>
      <c r="F205" s="287">
        <v>0</v>
      </c>
      <c r="G205" s="145">
        <f>+ROUND(E205+F205*TC,2)</f>
        <v>67.099999999999994</v>
      </c>
      <c r="H205" s="145">
        <f t="shared" si="65"/>
        <v>93969.52</v>
      </c>
      <c r="I205" s="146">
        <f t="shared" si="66"/>
        <v>0</v>
      </c>
      <c r="J205" s="7">
        <f t="shared" si="51"/>
        <v>93969.52</v>
      </c>
      <c r="K205" s="276"/>
    </row>
    <row r="206" spans="2:11" outlineLevel="1">
      <c r="B206" s="355" t="s">
        <v>264</v>
      </c>
      <c r="C206" s="285"/>
      <c r="D206" s="286"/>
      <c r="E206" s="7" t="s">
        <v>27</v>
      </c>
      <c r="F206" s="287" t="s">
        <v>27</v>
      </c>
      <c r="G206" s="145"/>
      <c r="H206" s="145"/>
      <c r="I206" s="146"/>
      <c r="J206" s="7">
        <f t="shared" si="51"/>
        <v>0</v>
      </c>
      <c r="K206" s="289"/>
    </row>
    <row r="207" spans="2:11" outlineLevel="1">
      <c r="B207" s="43" t="s">
        <v>263</v>
      </c>
      <c r="C207" s="285" t="s">
        <v>82</v>
      </c>
      <c r="D207" s="286">
        <v>478.51999999999987</v>
      </c>
      <c r="E207" s="7">
        <v>67.099999999999994</v>
      </c>
      <c r="F207" s="287">
        <v>0</v>
      </c>
      <c r="G207" s="145">
        <f>+ROUND(E207+F207*TC,2)</f>
        <v>67.099999999999994</v>
      </c>
      <c r="H207" s="145">
        <f t="shared" si="65"/>
        <v>32108.69</v>
      </c>
      <c r="I207" s="146">
        <f t="shared" si="66"/>
        <v>0</v>
      </c>
      <c r="J207" s="7">
        <f t="shared" si="51"/>
        <v>32108.69</v>
      </c>
      <c r="K207" s="282"/>
    </row>
    <row r="208" spans="2:11" outlineLevel="1">
      <c r="B208" s="355" t="s">
        <v>265</v>
      </c>
      <c r="C208" s="285"/>
      <c r="D208" s="286"/>
      <c r="E208" s="7" t="s">
        <v>27</v>
      </c>
      <c r="F208" s="287" t="s">
        <v>27</v>
      </c>
      <c r="G208" s="145"/>
      <c r="H208" s="145"/>
      <c r="I208" s="146"/>
      <c r="J208" s="7">
        <f t="shared" si="51"/>
        <v>0</v>
      </c>
      <c r="K208" s="282"/>
    </row>
    <row r="209" spans="2:11" outlineLevel="1">
      <c r="B209" s="43" t="s">
        <v>266</v>
      </c>
      <c r="C209" s="285" t="s">
        <v>82</v>
      </c>
      <c r="D209" s="286">
        <v>1308.1199999999999</v>
      </c>
      <c r="E209" s="7">
        <v>69.38</v>
      </c>
      <c r="F209" s="287">
        <v>0</v>
      </c>
      <c r="G209" s="145">
        <f>+ROUND(E209+F209*TC,2)</f>
        <v>69.38</v>
      </c>
      <c r="H209" s="145">
        <f t="shared" si="65"/>
        <v>90757.37</v>
      </c>
      <c r="I209" s="146">
        <f t="shared" si="66"/>
        <v>0</v>
      </c>
      <c r="J209" s="7">
        <f t="shared" si="51"/>
        <v>90757.37</v>
      </c>
      <c r="K209" s="282"/>
    </row>
    <row r="210" spans="2:11" outlineLevel="1">
      <c r="B210" s="697" t="s">
        <v>267</v>
      </c>
      <c r="C210" s="302"/>
      <c r="D210" s="351"/>
      <c r="E210" s="7" t="s">
        <v>27</v>
      </c>
      <c r="F210" s="287" t="s">
        <v>27</v>
      </c>
      <c r="G210" s="145"/>
      <c r="H210" s="145"/>
      <c r="I210" s="146"/>
      <c r="J210" s="7">
        <f t="shared" si="51"/>
        <v>0</v>
      </c>
      <c r="K210" s="282"/>
    </row>
    <row r="211" spans="2:11" outlineLevel="1">
      <c r="B211" s="355" t="s">
        <v>268</v>
      </c>
      <c r="C211" s="302"/>
      <c r="D211" s="351"/>
      <c r="E211" s="7" t="s">
        <v>27</v>
      </c>
      <c r="F211" s="287" t="s">
        <v>27</v>
      </c>
      <c r="G211" s="145"/>
      <c r="H211" s="145"/>
      <c r="I211" s="146"/>
      <c r="J211" s="7">
        <f t="shared" si="51"/>
        <v>0</v>
      </c>
      <c r="K211" s="282"/>
    </row>
    <row r="212" spans="2:11" outlineLevel="1">
      <c r="B212" s="43" t="s">
        <v>263</v>
      </c>
      <c r="C212" s="302" t="s">
        <v>82</v>
      </c>
      <c r="D212" s="351">
        <v>24.12</v>
      </c>
      <c r="E212" s="7">
        <v>67.099999999999994</v>
      </c>
      <c r="F212" s="287">
        <v>0</v>
      </c>
      <c r="G212" s="145">
        <f>+ROUND(E212+F212*TC,2)</f>
        <v>67.099999999999994</v>
      </c>
      <c r="H212" s="145">
        <f t="shared" ref="H212:H216" si="67">+ROUND(D212*E212,2)</f>
        <v>1618.45</v>
      </c>
      <c r="I212" s="146">
        <f t="shared" ref="I212:I216" si="68">+ROUND(D212*F212,2)</f>
        <v>0</v>
      </c>
      <c r="J212" s="7">
        <f t="shared" si="51"/>
        <v>1618.45</v>
      </c>
      <c r="K212" s="282"/>
    </row>
    <row r="213" spans="2:11" outlineLevel="1">
      <c r="B213" s="355" t="s">
        <v>267</v>
      </c>
      <c r="C213" s="302"/>
      <c r="D213" s="351"/>
      <c r="E213" s="7" t="s">
        <v>27</v>
      </c>
      <c r="F213" s="287" t="s">
        <v>27</v>
      </c>
      <c r="G213" s="145"/>
      <c r="H213" s="145"/>
      <c r="I213" s="146"/>
      <c r="J213" s="7">
        <f t="shared" si="51"/>
        <v>0</v>
      </c>
      <c r="K213" s="282"/>
    </row>
    <row r="214" spans="2:11" outlineLevel="1">
      <c r="B214" s="711" t="s">
        <v>269</v>
      </c>
      <c r="C214" s="302" t="s">
        <v>82</v>
      </c>
      <c r="D214" s="351">
        <v>215.9</v>
      </c>
      <c r="E214" s="7">
        <v>0</v>
      </c>
      <c r="F214" s="287">
        <v>0</v>
      </c>
      <c r="G214" s="145">
        <f>+ROUND(E214+F214*TC,2)</f>
        <v>0</v>
      </c>
      <c r="H214" s="145">
        <f t="shared" si="67"/>
        <v>0</v>
      </c>
      <c r="I214" s="146">
        <f t="shared" si="68"/>
        <v>0</v>
      </c>
      <c r="J214" s="7">
        <f t="shared" ref="J214:J287" si="69">+ROUND(H214+I214*TC,2)</f>
        <v>0</v>
      </c>
      <c r="K214" s="282"/>
    </row>
    <row r="215" spans="2:11" outlineLevel="1">
      <c r="B215" s="712" t="s">
        <v>270</v>
      </c>
      <c r="C215" s="302"/>
      <c r="D215" s="351"/>
      <c r="E215" s="7" t="s">
        <v>27</v>
      </c>
      <c r="F215" s="287" t="s">
        <v>27</v>
      </c>
      <c r="G215" s="145"/>
      <c r="H215" s="145"/>
      <c r="I215" s="146"/>
      <c r="J215" s="7">
        <f t="shared" si="69"/>
        <v>0</v>
      </c>
      <c r="K215" s="282"/>
    </row>
    <row r="216" spans="2:11" outlineLevel="1">
      <c r="B216" s="43" t="s">
        <v>245</v>
      </c>
      <c r="C216" s="302" t="s">
        <v>82</v>
      </c>
      <c r="D216" s="351">
        <v>6.6800000000000006</v>
      </c>
      <c r="E216" s="7">
        <v>71.91</v>
      </c>
      <c r="F216" s="287">
        <v>0</v>
      </c>
      <c r="G216" s="145">
        <f>+ROUND(E216+F216*TC,2)</f>
        <v>71.91</v>
      </c>
      <c r="H216" s="145">
        <f t="shared" si="67"/>
        <v>480.36</v>
      </c>
      <c r="I216" s="146">
        <f t="shared" si="68"/>
        <v>0</v>
      </c>
      <c r="J216" s="7">
        <f t="shared" si="69"/>
        <v>480.36</v>
      </c>
      <c r="K216" s="282"/>
    </row>
    <row r="217" spans="2:11" outlineLevel="1">
      <c r="B217" s="697" t="s">
        <v>59</v>
      </c>
      <c r="C217" s="302"/>
      <c r="D217" s="351"/>
      <c r="E217" s="7" t="s">
        <v>27</v>
      </c>
      <c r="F217" s="287" t="s">
        <v>27</v>
      </c>
      <c r="G217" s="145"/>
      <c r="H217" s="145"/>
      <c r="I217" s="146"/>
      <c r="J217" s="7">
        <f t="shared" si="69"/>
        <v>0</v>
      </c>
      <c r="K217" s="282"/>
    </row>
    <row r="218" spans="2:11" outlineLevel="1">
      <c r="B218" s="355" t="s">
        <v>268</v>
      </c>
      <c r="C218" s="302"/>
      <c r="D218" s="351"/>
      <c r="E218" s="7" t="s">
        <v>27</v>
      </c>
      <c r="F218" s="287" t="s">
        <v>27</v>
      </c>
      <c r="G218" s="145"/>
      <c r="H218" s="145"/>
      <c r="I218" s="146"/>
      <c r="J218" s="7">
        <f t="shared" si="69"/>
        <v>0</v>
      </c>
      <c r="K218" s="282"/>
    </row>
    <row r="219" spans="2:11" outlineLevel="1">
      <c r="B219" s="43" t="s">
        <v>266</v>
      </c>
      <c r="C219" s="302" t="s">
        <v>82</v>
      </c>
      <c r="D219" s="351">
        <v>32.71</v>
      </c>
      <c r="E219" s="7">
        <v>69.38</v>
      </c>
      <c r="F219" s="287">
        <v>0</v>
      </c>
      <c r="G219" s="145">
        <f>+ROUND(E219+F219*TC,2)</f>
        <v>69.38</v>
      </c>
      <c r="H219" s="145">
        <f t="shared" ref="H219" si="70">+ROUND(D219*E219,2)</f>
        <v>2269.42</v>
      </c>
      <c r="I219" s="146">
        <f t="shared" ref="I219" si="71">+ROUND(D219*F219,2)</f>
        <v>0</v>
      </c>
      <c r="J219" s="7">
        <f t="shared" si="69"/>
        <v>2269.42</v>
      </c>
      <c r="K219" s="282"/>
    </row>
    <row r="220" spans="2:11" outlineLevel="1">
      <c r="B220" s="355" t="s">
        <v>59</v>
      </c>
      <c r="C220" s="302"/>
      <c r="D220" s="351"/>
      <c r="E220" s="7" t="s">
        <v>27</v>
      </c>
      <c r="F220" s="287" t="s">
        <v>27</v>
      </c>
      <c r="G220" s="145"/>
      <c r="H220" s="145"/>
      <c r="I220" s="146"/>
      <c r="J220" s="7">
        <f t="shared" si="69"/>
        <v>0</v>
      </c>
      <c r="K220" s="282"/>
    </row>
    <row r="221" spans="2:11" outlineLevel="1">
      <c r="B221" s="711" t="s">
        <v>269</v>
      </c>
      <c r="C221" s="302" t="s">
        <v>82</v>
      </c>
      <c r="D221" s="351">
        <v>617.30999999999995</v>
      </c>
      <c r="E221" s="7">
        <v>0</v>
      </c>
      <c r="F221" s="287">
        <v>0</v>
      </c>
      <c r="G221" s="145">
        <f>+ROUND(E221+F221*TC,2)</f>
        <v>0</v>
      </c>
      <c r="H221" s="145">
        <f t="shared" ref="H221" si="72">+ROUND(D221*E221,2)</f>
        <v>0</v>
      </c>
      <c r="I221" s="146">
        <f t="shared" ref="I221" si="73">+ROUND(D221*F221,2)</f>
        <v>0</v>
      </c>
      <c r="J221" s="7">
        <f t="shared" si="69"/>
        <v>0</v>
      </c>
      <c r="K221" s="282"/>
    </row>
    <row r="222" spans="2:11" outlineLevel="1">
      <c r="B222" s="712" t="s">
        <v>270</v>
      </c>
      <c r="C222" s="302"/>
      <c r="D222" s="351"/>
      <c r="E222" s="7" t="s">
        <v>27</v>
      </c>
      <c r="F222" s="287" t="s">
        <v>27</v>
      </c>
      <c r="G222" s="145"/>
      <c r="H222" s="145"/>
      <c r="I222" s="146"/>
      <c r="J222" s="7">
        <f t="shared" si="69"/>
        <v>0</v>
      </c>
      <c r="K222" s="282"/>
    </row>
    <row r="223" spans="2:11" outlineLevel="1">
      <c r="B223" s="43" t="s">
        <v>245</v>
      </c>
      <c r="C223" s="302" t="s">
        <v>82</v>
      </c>
      <c r="D223" s="351"/>
      <c r="E223" s="7">
        <v>71.91</v>
      </c>
      <c r="F223" s="287">
        <v>0</v>
      </c>
      <c r="G223" s="145">
        <f>+ROUND(E223+F223*TC,2)</f>
        <v>71.91</v>
      </c>
      <c r="H223" s="145">
        <f t="shared" ref="H223" si="74">+ROUND(D223*E223,2)</f>
        <v>0</v>
      </c>
      <c r="I223" s="146">
        <f t="shared" ref="I223" si="75">+ROUND(D223*F223,2)</f>
        <v>0</v>
      </c>
      <c r="J223" s="7">
        <f t="shared" si="69"/>
        <v>0</v>
      </c>
      <c r="K223" s="282"/>
    </row>
    <row r="224" spans="2:11" outlineLevel="1">
      <c r="B224" s="697" t="s">
        <v>271</v>
      </c>
      <c r="C224" s="285"/>
      <c r="D224" s="286"/>
      <c r="E224" s="7" t="s">
        <v>27</v>
      </c>
      <c r="F224" s="287" t="s">
        <v>27</v>
      </c>
      <c r="G224" s="145"/>
      <c r="H224" s="145"/>
      <c r="I224" s="146"/>
      <c r="J224" s="7">
        <f t="shared" si="69"/>
        <v>0</v>
      </c>
      <c r="K224" s="282"/>
    </row>
    <row r="225" spans="2:11" outlineLevel="1">
      <c r="B225" s="355" t="s">
        <v>272</v>
      </c>
      <c r="C225" s="285"/>
      <c r="D225" s="286"/>
      <c r="E225" s="7" t="s">
        <v>27</v>
      </c>
      <c r="F225" s="287" t="s">
        <v>27</v>
      </c>
      <c r="G225" s="145"/>
      <c r="H225" s="145"/>
      <c r="I225" s="146"/>
      <c r="J225" s="7">
        <f t="shared" si="69"/>
        <v>0</v>
      </c>
      <c r="K225" s="282"/>
    </row>
    <row r="226" spans="2:11" outlineLevel="1">
      <c r="B226" s="713" t="s">
        <v>273</v>
      </c>
      <c r="C226" s="285"/>
      <c r="D226" s="286"/>
      <c r="E226" s="7" t="s">
        <v>27</v>
      </c>
      <c r="F226" s="287" t="s">
        <v>27</v>
      </c>
      <c r="G226" s="145"/>
      <c r="H226" s="145"/>
      <c r="I226" s="146"/>
      <c r="J226" s="7">
        <f t="shared" si="69"/>
        <v>0</v>
      </c>
      <c r="K226" s="282"/>
    </row>
    <row r="227" spans="2:11" outlineLevel="1">
      <c r="B227" s="354" t="s">
        <v>274</v>
      </c>
      <c r="C227" s="285" t="s">
        <v>82</v>
      </c>
      <c r="D227" s="286">
        <v>294.65000000000003</v>
      </c>
      <c r="E227" s="7">
        <v>47.24</v>
      </c>
      <c r="F227" s="287">
        <v>0</v>
      </c>
      <c r="G227" s="145">
        <f>+ROUND(E227+F227*TC,2)</f>
        <v>47.24</v>
      </c>
      <c r="H227" s="145">
        <f t="shared" ref="H227:H250" si="76">+ROUND(D227*E227,2)</f>
        <v>13919.27</v>
      </c>
      <c r="I227" s="146">
        <f t="shared" ref="I227:I250" si="77">+ROUND(D227*F227,2)</f>
        <v>0</v>
      </c>
      <c r="J227" s="7">
        <f t="shared" si="69"/>
        <v>13919.27</v>
      </c>
      <c r="K227" s="276"/>
    </row>
    <row r="228" spans="2:11" outlineLevel="1">
      <c r="B228" s="713" t="s">
        <v>275</v>
      </c>
      <c r="C228" s="285"/>
      <c r="D228" s="286"/>
      <c r="E228" s="7" t="s">
        <v>27</v>
      </c>
      <c r="F228" s="287" t="s">
        <v>27</v>
      </c>
      <c r="G228" s="145"/>
      <c r="H228" s="145"/>
      <c r="I228" s="146"/>
      <c r="J228" s="7">
        <f t="shared" ref="J228:J229" si="78">+ROUND(H228+I228*TC,2)</f>
        <v>0</v>
      </c>
      <c r="K228" s="282"/>
    </row>
    <row r="229" spans="2:11" outlineLevel="1">
      <c r="B229" s="45" t="s">
        <v>276</v>
      </c>
      <c r="C229" s="285" t="s">
        <v>82</v>
      </c>
      <c r="D229" s="286">
        <v>86.54</v>
      </c>
      <c r="E229" s="7">
        <v>27.99</v>
      </c>
      <c r="F229" s="287">
        <v>0</v>
      </c>
      <c r="G229" s="145">
        <f>+ROUND(E229+F229*TC,2)</f>
        <v>27.99</v>
      </c>
      <c r="H229" s="145">
        <f t="shared" ref="H229" si="79">+ROUND(D229*E229,2)</f>
        <v>2422.25</v>
      </c>
      <c r="I229" s="146">
        <f t="shared" ref="I229" si="80">+ROUND(D229*F229,2)</f>
        <v>0</v>
      </c>
      <c r="J229" s="7">
        <f t="shared" si="78"/>
        <v>2422.25</v>
      </c>
      <c r="K229" s="276"/>
    </row>
    <row r="230" spans="2:11" outlineLevel="1">
      <c r="B230" s="713" t="s">
        <v>277</v>
      </c>
      <c r="C230" s="285"/>
      <c r="D230" s="286"/>
      <c r="E230" s="7" t="s">
        <v>27</v>
      </c>
      <c r="F230" s="287" t="s">
        <v>27</v>
      </c>
      <c r="G230" s="145"/>
      <c r="H230" s="145"/>
      <c r="I230" s="146"/>
      <c r="J230" s="7">
        <f t="shared" si="69"/>
        <v>0</v>
      </c>
      <c r="K230" s="282"/>
    </row>
    <row r="231" spans="2:11" outlineLevel="1">
      <c r="B231" s="354" t="s">
        <v>274</v>
      </c>
      <c r="C231" s="285" t="s">
        <v>82</v>
      </c>
      <c r="D231" s="286">
        <v>10.3</v>
      </c>
      <c r="E231" s="7">
        <v>47.24</v>
      </c>
      <c r="F231" s="287">
        <v>0</v>
      </c>
      <c r="G231" s="145">
        <f>+ROUND(E231+F231*TC,2)</f>
        <v>47.24</v>
      </c>
      <c r="H231" s="145">
        <f t="shared" ref="H231" si="81">+ROUND(D231*E231,2)</f>
        <v>486.57</v>
      </c>
      <c r="I231" s="146">
        <f t="shared" ref="I231" si="82">+ROUND(D231*F231,2)</f>
        <v>0</v>
      </c>
      <c r="J231" s="7">
        <f t="shared" si="69"/>
        <v>486.57</v>
      </c>
      <c r="K231" s="276"/>
    </row>
    <row r="232" spans="2:11" outlineLevel="1">
      <c r="B232" s="713" t="s">
        <v>278</v>
      </c>
      <c r="C232" s="285"/>
      <c r="D232" s="286"/>
      <c r="E232" s="7" t="s">
        <v>27</v>
      </c>
      <c r="F232" s="287" t="s">
        <v>27</v>
      </c>
      <c r="G232" s="145"/>
      <c r="H232" s="145"/>
      <c r="I232" s="146"/>
      <c r="J232" s="7">
        <f t="shared" si="69"/>
        <v>0</v>
      </c>
      <c r="K232" s="276"/>
    </row>
    <row r="233" spans="2:11" outlineLevel="1">
      <c r="B233" s="354" t="s">
        <v>279</v>
      </c>
      <c r="C233" s="285" t="s">
        <v>82</v>
      </c>
      <c r="D233" s="286">
        <v>10.7</v>
      </c>
      <c r="E233" s="7">
        <v>46.92</v>
      </c>
      <c r="F233" s="287">
        <v>0</v>
      </c>
      <c r="G233" s="145">
        <f>+ROUND(E233+F233*TC,2)</f>
        <v>46.92</v>
      </c>
      <c r="H233" s="145">
        <f t="shared" si="76"/>
        <v>502.04</v>
      </c>
      <c r="I233" s="146">
        <f t="shared" si="77"/>
        <v>0</v>
      </c>
      <c r="J233" s="7">
        <f t="shared" si="69"/>
        <v>502.04</v>
      </c>
      <c r="K233" s="276"/>
    </row>
    <row r="234" spans="2:11" outlineLevel="1">
      <c r="B234" s="713" t="s">
        <v>133</v>
      </c>
      <c r="C234" s="285"/>
      <c r="D234" s="286"/>
      <c r="E234" s="7" t="s">
        <v>27</v>
      </c>
      <c r="F234" s="287" t="s">
        <v>27</v>
      </c>
      <c r="G234" s="145"/>
      <c r="H234" s="145"/>
      <c r="I234" s="146"/>
      <c r="J234" s="7">
        <f t="shared" si="69"/>
        <v>0</v>
      </c>
      <c r="K234" s="282"/>
    </row>
    <row r="235" spans="2:11" outlineLevel="1">
      <c r="B235" s="354" t="s">
        <v>279</v>
      </c>
      <c r="C235" s="285" t="s">
        <v>82</v>
      </c>
      <c r="D235" s="286">
        <v>46.32</v>
      </c>
      <c r="E235" s="7">
        <v>46.92</v>
      </c>
      <c r="F235" s="287">
        <v>0</v>
      </c>
      <c r="G235" s="145">
        <f>+ROUND(E235+F235*TC,2)</f>
        <v>46.92</v>
      </c>
      <c r="H235" s="145">
        <f t="shared" ref="H235" si="83">+ROUND(D235*E235,2)</f>
        <v>2173.33</v>
      </c>
      <c r="I235" s="146">
        <f t="shared" ref="I235" si="84">+ROUND(D235*F235,2)</f>
        <v>0</v>
      </c>
      <c r="J235" s="7">
        <f t="shared" si="69"/>
        <v>2173.33</v>
      </c>
      <c r="K235" s="276"/>
    </row>
    <row r="236" spans="2:11" outlineLevel="1">
      <c r="B236" s="713" t="s">
        <v>280</v>
      </c>
      <c r="C236" s="285"/>
      <c r="D236" s="286"/>
      <c r="E236" s="7" t="s">
        <v>27</v>
      </c>
      <c r="F236" s="287" t="s">
        <v>27</v>
      </c>
      <c r="G236" s="145"/>
      <c r="H236" s="145"/>
      <c r="I236" s="146"/>
      <c r="J236" s="7">
        <f t="shared" si="69"/>
        <v>0</v>
      </c>
      <c r="K236" s="282"/>
    </row>
    <row r="237" spans="2:11" outlineLevel="1">
      <c r="B237" s="354" t="s">
        <v>279</v>
      </c>
      <c r="C237" s="285" t="s">
        <v>82</v>
      </c>
      <c r="D237" s="286">
        <v>170.28</v>
      </c>
      <c r="E237" s="7">
        <v>46.92</v>
      </c>
      <c r="F237" s="287">
        <v>0</v>
      </c>
      <c r="G237" s="145">
        <f>+ROUND(E237+F237*TC,2)</f>
        <v>46.92</v>
      </c>
      <c r="H237" s="145">
        <f t="shared" ref="H237" si="85">+ROUND(D237*E237,2)</f>
        <v>7989.54</v>
      </c>
      <c r="I237" s="146">
        <f t="shared" ref="I237" si="86">+ROUND(D237*F237,2)</f>
        <v>0</v>
      </c>
      <c r="J237" s="7">
        <f t="shared" si="69"/>
        <v>7989.54</v>
      </c>
      <c r="K237" s="276"/>
    </row>
    <row r="238" spans="2:11" outlineLevel="1">
      <c r="B238" s="713" t="s">
        <v>281</v>
      </c>
      <c r="C238" s="285"/>
      <c r="D238" s="286"/>
      <c r="E238" s="7" t="s">
        <v>27</v>
      </c>
      <c r="F238" s="287" t="s">
        <v>27</v>
      </c>
      <c r="G238" s="145"/>
      <c r="H238" s="145"/>
      <c r="I238" s="146"/>
      <c r="J238" s="7">
        <f t="shared" si="69"/>
        <v>0</v>
      </c>
      <c r="K238" s="282"/>
    </row>
    <row r="239" spans="2:11" outlineLevel="1">
      <c r="B239" s="714" t="s">
        <v>282</v>
      </c>
      <c r="C239" s="285" t="s">
        <v>82</v>
      </c>
      <c r="D239" s="286">
        <v>76.09</v>
      </c>
      <c r="E239" s="7">
        <v>85</v>
      </c>
      <c r="F239" s="287">
        <v>0</v>
      </c>
      <c r="G239" s="145">
        <f>+ROUND(E239+F239*TC,2)</f>
        <v>85</v>
      </c>
      <c r="H239" s="145">
        <f t="shared" ref="H239" si="87">+ROUND(D239*E239,2)</f>
        <v>6467.65</v>
      </c>
      <c r="I239" s="146">
        <f t="shared" ref="I239" si="88">+ROUND(D239*F239,2)</f>
        <v>0</v>
      </c>
      <c r="J239" s="7">
        <f t="shared" si="69"/>
        <v>6467.65</v>
      </c>
      <c r="K239" s="276"/>
    </row>
    <row r="240" spans="2:11" outlineLevel="1">
      <c r="B240" s="355" t="s">
        <v>283</v>
      </c>
      <c r="C240" s="285"/>
      <c r="D240" s="286"/>
      <c r="E240" s="7" t="s">
        <v>27</v>
      </c>
      <c r="F240" s="287" t="s">
        <v>27</v>
      </c>
      <c r="G240" s="145"/>
      <c r="H240" s="145"/>
      <c r="I240" s="146"/>
      <c r="J240" s="7">
        <f t="shared" si="69"/>
        <v>0</v>
      </c>
      <c r="K240" s="276"/>
    </row>
    <row r="241" spans="2:11" outlineLevel="1">
      <c r="B241" s="713" t="s">
        <v>284</v>
      </c>
      <c r="C241" s="285"/>
      <c r="D241" s="286"/>
      <c r="E241" s="7"/>
      <c r="F241" s="287"/>
      <c r="G241" s="145"/>
      <c r="H241" s="145"/>
      <c r="I241" s="146"/>
      <c r="J241" s="7">
        <f t="shared" si="69"/>
        <v>0</v>
      </c>
      <c r="K241" s="276"/>
    </row>
    <row r="242" spans="2:11" outlineLevel="1">
      <c r="B242" s="51" t="s">
        <v>285</v>
      </c>
      <c r="C242" s="285" t="s">
        <v>82</v>
      </c>
      <c r="D242" s="286">
        <v>144.02000000000001</v>
      </c>
      <c r="E242" s="7">
        <v>7.34</v>
      </c>
      <c r="F242" s="287">
        <v>31.62</v>
      </c>
      <c r="G242" s="145">
        <f>+ROUND(E242+F242*TC,2)</f>
        <v>113.27</v>
      </c>
      <c r="H242" s="145">
        <f t="shared" ref="H242" si="89">+ROUND(D242*E242,2)</f>
        <v>1057.1099999999999</v>
      </c>
      <c r="I242" s="146">
        <f t="shared" ref="I242" si="90">+ROUND(D242*F242,2)</f>
        <v>4553.91</v>
      </c>
      <c r="J242" s="7">
        <f t="shared" si="69"/>
        <v>16312.71</v>
      </c>
      <c r="K242" s="276"/>
    </row>
    <row r="243" spans="2:11" outlineLevel="1">
      <c r="B243" s="713" t="s">
        <v>286</v>
      </c>
      <c r="C243" s="285"/>
      <c r="D243" s="286"/>
      <c r="E243" s="7" t="s">
        <v>27</v>
      </c>
      <c r="F243" s="287" t="s">
        <v>27</v>
      </c>
      <c r="G243" s="145"/>
      <c r="H243" s="145"/>
      <c r="I243" s="146"/>
      <c r="J243" s="7">
        <f t="shared" si="69"/>
        <v>0</v>
      </c>
      <c r="K243" s="276"/>
    </row>
    <row r="244" spans="2:11" outlineLevel="1">
      <c r="B244" s="711" t="s">
        <v>295</v>
      </c>
      <c r="C244" s="285" t="s">
        <v>82</v>
      </c>
      <c r="D244" s="286">
        <v>57.1</v>
      </c>
      <c r="E244" s="7">
        <v>198.70000000000002</v>
      </c>
      <c r="F244" s="287">
        <v>0</v>
      </c>
      <c r="G244" s="145">
        <f>+ROUND(E244+F244*TC,2)</f>
        <v>198.7</v>
      </c>
      <c r="H244" s="145">
        <f t="shared" ref="H244" si="91">+ROUND(D244*E244,2)</f>
        <v>11345.77</v>
      </c>
      <c r="I244" s="146">
        <f t="shared" ref="I244" si="92">+ROUND(D244*F244,2)</f>
        <v>0</v>
      </c>
      <c r="J244" s="7">
        <f t="shared" si="69"/>
        <v>11345.77</v>
      </c>
      <c r="K244" s="276"/>
    </row>
    <row r="245" spans="2:11" outlineLevel="1">
      <c r="B245" s="713" t="s">
        <v>288</v>
      </c>
      <c r="C245" s="285"/>
      <c r="D245" s="286"/>
      <c r="E245" s="7" t="s">
        <v>27</v>
      </c>
      <c r="F245" s="287" t="s">
        <v>27</v>
      </c>
      <c r="G245" s="145"/>
      <c r="H245" s="145"/>
      <c r="I245" s="146"/>
      <c r="J245" s="7">
        <f t="shared" si="69"/>
        <v>0</v>
      </c>
      <c r="K245" s="276"/>
    </row>
    <row r="246" spans="2:11" outlineLevel="1">
      <c r="B246" s="711" t="s">
        <v>289</v>
      </c>
      <c r="C246" s="285" t="s">
        <v>82</v>
      </c>
      <c r="D246" s="286">
        <v>42.5</v>
      </c>
      <c r="E246" s="7">
        <v>160.38</v>
      </c>
      <c r="F246" s="287">
        <v>0</v>
      </c>
      <c r="G246" s="145">
        <f>+ROUND(E246+F246*TC,2)</f>
        <v>160.38</v>
      </c>
      <c r="H246" s="145">
        <f t="shared" ref="H246" si="93">+ROUND(D246*E246,2)</f>
        <v>6816.15</v>
      </c>
      <c r="I246" s="146">
        <f t="shared" ref="I246" si="94">+ROUND(D246*F246,2)</f>
        <v>0</v>
      </c>
      <c r="J246" s="7">
        <f t="shared" si="69"/>
        <v>6816.15</v>
      </c>
      <c r="K246" s="276"/>
    </row>
    <row r="247" spans="2:11" outlineLevel="1">
      <c r="B247" s="713" t="s">
        <v>290</v>
      </c>
      <c r="C247" s="285"/>
      <c r="D247" s="286"/>
      <c r="E247" s="7" t="s">
        <v>27</v>
      </c>
      <c r="F247" s="287" t="s">
        <v>27</v>
      </c>
      <c r="G247" s="145"/>
      <c r="H247" s="145"/>
      <c r="I247" s="146"/>
      <c r="J247" s="7">
        <f t="shared" si="69"/>
        <v>0</v>
      </c>
      <c r="K247" s="276"/>
    </row>
    <row r="248" spans="2:11" outlineLevel="1">
      <c r="B248" s="711" t="s">
        <v>287</v>
      </c>
      <c r="C248" s="285" t="s">
        <v>82</v>
      </c>
      <c r="D248" s="286">
        <v>11.57</v>
      </c>
      <c r="E248" s="7">
        <v>146.44999999999999</v>
      </c>
      <c r="F248" s="287">
        <v>0</v>
      </c>
      <c r="G248" s="145">
        <f>+ROUND(E248+F248*TC,2)</f>
        <v>146.44999999999999</v>
      </c>
      <c r="H248" s="145">
        <f t="shared" ref="H248" si="95">+ROUND(D248*E248,2)</f>
        <v>1694.43</v>
      </c>
      <c r="I248" s="146">
        <f t="shared" ref="I248" si="96">+ROUND(D248*F248,2)</f>
        <v>0</v>
      </c>
      <c r="J248" s="7">
        <f t="shared" si="69"/>
        <v>1694.43</v>
      </c>
      <c r="K248" s="276"/>
    </row>
    <row r="249" spans="2:11" outlineLevel="1">
      <c r="B249" s="713" t="s">
        <v>291</v>
      </c>
      <c r="C249" s="285"/>
      <c r="D249" s="286"/>
      <c r="E249" s="7" t="s">
        <v>27</v>
      </c>
      <c r="F249" s="287" t="s">
        <v>27</v>
      </c>
      <c r="G249" s="145"/>
      <c r="H249" s="145"/>
      <c r="I249" s="146"/>
      <c r="J249" s="7">
        <f t="shared" si="69"/>
        <v>0</v>
      </c>
      <c r="K249" s="276"/>
    </row>
    <row r="250" spans="2:11" outlineLevel="1">
      <c r="B250" s="43" t="s">
        <v>266</v>
      </c>
      <c r="C250" s="285" t="s">
        <v>82</v>
      </c>
      <c r="D250" s="286">
        <v>1230.8400000000004</v>
      </c>
      <c r="E250" s="7">
        <v>69.38</v>
      </c>
      <c r="F250" s="287">
        <v>0</v>
      </c>
      <c r="G250" s="145">
        <f>+ROUND(E250+F250*TC,2)</f>
        <v>69.38</v>
      </c>
      <c r="H250" s="145">
        <f t="shared" si="76"/>
        <v>85395.68</v>
      </c>
      <c r="I250" s="146">
        <f t="shared" si="77"/>
        <v>0</v>
      </c>
      <c r="J250" s="7">
        <f t="shared" si="69"/>
        <v>85395.68</v>
      </c>
      <c r="K250" s="276"/>
    </row>
    <row r="251" spans="2:11" outlineLevel="1">
      <c r="B251" s="713" t="s">
        <v>292</v>
      </c>
      <c r="C251" s="285"/>
      <c r="D251" s="286"/>
      <c r="E251" s="7" t="s">
        <v>27</v>
      </c>
      <c r="F251" s="287" t="s">
        <v>27</v>
      </c>
      <c r="G251" s="145"/>
      <c r="H251" s="145"/>
      <c r="I251" s="146"/>
      <c r="J251" s="7">
        <f t="shared" ref="J251:J252" si="97">+ROUND(H251+I251*TC,2)</f>
        <v>0</v>
      </c>
      <c r="K251" s="276"/>
    </row>
    <row r="252" spans="2:11" outlineLevel="1">
      <c r="B252" s="43" t="s">
        <v>266</v>
      </c>
      <c r="C252" s="285" t="s">
        <v>82</v>
      </c>
      <c r="D252" s="286">
        <v>10.7</v>
      </c>
      <c r="E252" s="7">
        <v>69.38</v>
      </c>
      <c r="F252" s="287">
        <v>0</v>
      </c>
      <c r="G252" s="145">
        <f>+ROUND(E252+F252*TC,2)</f>
        <v>69.38</v>
      </c>
      <c r="H252" s="145">
        <f t="shared" ref="H252" si="98">+ROUND(D252*E252,2)</f>
        <v>742.37</v>
      </c>
      <c r="I252" s="146">
        <f t="shared" ref="I252" si="99">+ROUND(D252*F252,2)</f>
        <v>0</v>
      </c>
      <c r="J252" s="7">
        <f t="shared" si="97"/>
        <v>742.37</v>
      </c>
      <c r="K252" s="276"/>
    </row>
    <row r="253" spans="2:11" outlineLevel="1">
      <c r="B253" s="713" t="s">
        <v>268</v>
      </c>
      <c r="C253" s="285"/>
      <c r="D253" s="286"/>
      <c r="E253" s="7" t="s">
        <v>27</v>
      </c>
      <c r="F253" s="287" t="s">
        <v>27</v>
      </c>
      <c r="G253" s="145"/>
      <c r="H253" s="145"/>
      <c r="I253" s="146"/>
      <c r="J253" s="7">
        <f t="shared" si="69"/>
        <v>0</v>
      </c>
      <c r="K253" s="276"/>
    </row>
    <row r="254" spans="2:11" outlineLevel="1">
      <c r="B254" s="43" t="s">
        <v>266</v>
      </c>
      <c r="C254" s="285" t="s">
        <v>82</v>
      </c>
      <c r="D254" s="286">
        <v>38.54</v>
      </c>
      <c r="E254" s="7">
        <v>69.38</v>
      </c>
      <c r="F254" s="287">
        <v>0</v>
      </c>
      <c r="G254" s="145">
        <f>+ROUND(E254+F254*TC,2)</f>
        <v>69.38</v>
      </c>
      <c r="H254" s="145">
        <f t="shared" ref="H254" si="100">+ROUND(D254*E254,2)</f>
        <v>2673.91</v>
      </c>
      <c r="I254" s="146">
        <f t="shared" ref="I254" si="101">+ROUND(D254*F254,2)</f>
        <v>0</v>
      </c>
      <c r="J254" s="7">
        <f t="shared" si="69"/>
        <v>2673.91</v>
      </c>
      <c r="K254" s="276"/>
    </row>
    <row r="255" spans="2:11" outlineLevel="1">
      <c r="B255" s="713" t="s">
        <v>293</v>
      </c>
      <c r="C255" s="285"/>
      <c r="D255" s="286"/>
      <c r="E255" s="7" t="s">
        <v>27</v>
      </c>
      <c r="F255" s="287" t="s">
        <v>27</v>
      </c>
      <c r="G255" s="145"/>
      <c r="H255" s="145"/>
      <c r="I255" s="146"/>
      <c r="J255" s="7">
        <f t="shared" si="69"/>
        <v>0</v>
      </c>
      <c r="K255" s="276"/>
    </row>
    <row r="256" spans="2:11" outlineLevel="1">
      <c r="B256" s="43" t="s">
        <v>266</v>
      </c>
      <c r="C256" s="285" t="s">
        <v>82</v>
      </c>
      <c r="D256" s="286">
        <v>568.71</v>
      </c>
      <c r="E256" s="7">
        <v>69.38</v>
      </c>
      <c r="F256" s="287">
        <v>0</v>
      </c>
      <c r="G256" s="145">
        <f>+ROUND(E256+F256*TC,2)</f>
        <v>69.38</v>
      </c>
      <c r="H256" s="145">
        <f t="shared" ref="H256" si="102">+ROUND(D256*E256,2)</f>
        <v>39457.1</v>
      </c>
      <c r="I256" s="146">
        <f t="shared" ref="I256" si="103">+ROUND(D256*F256,2)</f>
        <v>0</v>
      </c>
      <c r="J256" s="7">
        <f t="shared" si="69"/>
        <v>39457.1</v>
      </c>
      <c r="K256" s="276"/>
    </row>
    <row r="257" spans="2:11" outlineLevel="1">
      <c r="B257" s="713" t="s">
        <v>270</v>
      </c>
      <c r="C257" s="285"/>
      <c r="D257" s="286"/>
      <c r="E257" s="7" t="s">
        <v>27</v>
      </c>
      <c r="F257" s="287" t="s">
        <v>27</v>
      </c>
      <c r="G257" s="145"/>
      <c r="H257" s="145"/>
      <c r="I257" s="146"/>
      <c r="J257" s="7">
        <f t="shared" si="69"/>
        <v>0</v>
      </c>
      <c r="K257" s="276"/>
    </row>
    <row r="258" spans="2:11" outlineLevel="1">
      <c r="B258" s="714" t="s">
        <v>245</v>
      </c>
      <c r="C258" s="285" t="s">
        <v>82</v>
      </c>
      <c r="D258" s="286">
        <v>26.5</v>
      </c>
      <c r="E258" s="7">
        <v>71.91</v>
      </c>
      <c r="F258" s="287">
        <v>0</v>
      </c>
      <c r="G258" s="145">
        <f>+ROUND(E258+F258*TC,2)</f>
        <v>71.91</v>
      </c>
      <c r="H258" s="145">
        <f t="shared" ref="H258" si="104">+ROUND(D258*E258,2)</f>
        <v>1905.62</v>
      </c>
      <c r="I258" s="146">
        <f t="shared" ref="I258" si="105">+ROUND(D258*F258,2)</f>
        <v>0</v>
      </c>
      <c r="J258" s="7">
        <f t="shared" si="69"/>
        <v>1905.62</v>
      </c>
      <c r="K258" s="276"/>
    </row>
    <row r="259" spans="2:11" outlineLevel="1">
      <c r="B259" s="713" t="s">
        <v>294</v>
      </c>
      <c r="C259" s="285"/>
      <c r="D259" s="286"/>
      <c r="E259" s="7" t="s">
        <v>27</v>
      </c>
      <c r="F259" s="287" t="s">
        <v>27</v>
      </c>
      <c r="G259" s="145"/>
      <c r="H259" s="145"/>
      <c r="I259" s="146"/>
      <c r="J259" s="7">
        <f t="shared" si="69"/>
        <v>0</v>
      </c>
      <c r="K259" s="276"/>
    </row>
    <row r="260" spans="2:11" outlineLevel="1">
      <c r="B260" s="711" t="s">
        <v>295</v>
      </c>
      <c r="C260" s="285" t="s">
        <v>82</v>
      </c>
      <c r="D260" s="286">
        <v>136.85</v>
      </c>
      <c r="E260" s="7">
        <v>198.70000000000002</v>
      </c>
      <c r="F260" s="287">
        <v>0</v>
      </c>
      <c r="G260" s="145">
        <f>+ROUND(E260+F260*TC,2)</f>
        <v>198.7</v>
      </c>
      <c r="H260" s="145">
        <f t="shared" ref="H260" si="106">+ROUND(D260*E260,2)</f>
        <v>27192.1</v>
      </c>
      <c r="I260" s="146">
        <f t="shared" ref="I260" si="107">+ROUND(D260*F260,2)</f>
        <v>0</v>
      </c>
      <c r="J260" s="7">
        <f t="shared" si="69"/>
        <v>27192.1</v>
      </c>
      <c r="K260" s="276"/>
    </row>
    <row r="261" spans="2:11" outlineLevel="1">
      <c r="B261" s="713" t="s">
        <v>264</v>
      </c>
      <c r="C261" s="285"/>
      <c r="D261" s="286"/>
      <c r="E261" s="7" t="s">
        <v>27</v>
      </c>
      <c r="F261" s="287" t="s">
        <v>27</v>
      </c>
      <c r="G261" s="145"/>
      <c r="H261" s="145"/>
      <c r="I261" s="146"/>
      <c r="J261" s="7">
        <f t="shared" si="69"/>
        <v>0</v>
      </c>
      <c r="K261" s="276"/>
    </row>
    <row r="262" spans="2:11" outlineLevel="1">
      <c r="B262" s="43" t="s">
        <v>266</v>
      </c>
      <c r="C262" s="285" t="s">
        <v>82</v>
      </c>
      <c r="D262" s="286">
        <v>11.25</v>
      </c>
      <c r="E262" s="7">
        <v>69.38</v>
      </c>
      <c r="F262" s="287">
        <v>0</v>
      </c>
      <c r="G262" s="145">
        <f>+ROUND(E262+F262*TC,2)</f>
        <v>69.38</v>
      </c>
      <c r="H262" s="145">
        <f t="shared" ref="H262" si="108">+ROUND(D262*E262,2)</f>
        <v>780.53</v>
      </c>
      <c r="I262" s="146">
        <f t="shared" ref="I262" si="109">+ROUND(D262*F262,2)</f>
        <v>0</v>
      </c>
      <c r="J262" s="7">
        <f t="shared" si="69"/>
        <v>780.53</v>
      </c>
      <c r="K262" s="276"/>
    </row>
    <row r="263" spans="2:11" outlineLevel="1">
      <c r="B263" s="713" t="s">
        <v>296</v>
      </c>
      <c r="C263" s="285"/>
      <c r="D263" s="286"/>
      <c r="E263" s="7" t="s">
        <v>27</v>
      </c>
      <c r="F263" s="287" t="s">
        <v>27</v>
      </c>
      <c r="G263" s="145"/>
      <c r="H263" s="145"/>
      <c r="I263" s="146"/>
      <c r="J263" s="7">
        <f t="shared" si="69"/>
        <v>0</v>
      </c>
      <c r="K263" s="276"/>
    </row>
    <row r="264" spans="2:11" outlineLevel="1">
      <c r="B264" s="711" t="s">
        <v>295</v>
      </c>
      <c r="C264" s="285" t="s">
        <v>82</v>
      </c>
      <c r="D264" s="286">
        <v>21.9</v>
      </c>
      <c r="E264" s="7">
        <v>198.70000000000002</v>
      </c>
      <c r="F264" s="287">
        <v>0</v>
      </c>
      <c r="G264" s="145">
        <f>+ROUND(E264+F264*TC,2)</f>
        <v>198.7</v>
      </c>
      <c r="H264" s="145">
        <f t="shared" ref="H264" si="110">+ROUND(D264*E264,2)</f>
        <v>4351.53</v>
      </c>
      <c r="I264" s="146">
        <f t="shared" ref="I264" si="111">+ROUND(D264*F264,2)</f>
        <v>0</v>
      </c>
      <c r="J264" s="7">
        <f t="shared" si="69"/>
        <v>4351.53</v>
      </c>
      <c r="K264" s="276"/>
    </row>
    <row r="265" spans="2:11" outlineLevel="1">
      <c r="B265" s="713" t="s">
        <v>297</v>
      </c>
      <c r="C265" s="285"/>
      <c r="D265" s="286"/>
      <c r="E265" s="7" t="s">
        <v>27</v>
      </c>
      <c r="F265" s="287" t="s">
        <v>27</v>
      </c>
      <c r="G265" s="145"/>
      <c r="H265" s="145"/>
      <c r="I265" s="146"/>
      <c r="J265" s="7">
        <f t="shared" si="69"/>
        <v>0</v>
      </c>
      <c r="K265" s="276"/>
    </row>
    <row r="266" spans="2:11" outlineLevel="1">
      <c r="B266" s="711" t="s">
        <v>295</v>
      </c>
      <c r="C266" s="285" t="s">
        <v>82</v>
      </c>
      <c r="D266" s="286">
        <v>15.7</v>
      </c>
      <c r="E266" s="7">
        <v>198.70000000000002</v>
      </c>
      <c r="F266" s="287">
        <v>0</v>
      </c>
      <c r="G266" s="145">
        <f>+ROUND(E266+F266*TC,2)</f>
        <v>198.7</v>
      </c>
      <c r="H266" s="145">
        <f t="shared" ref="H266" si="112">+ROUND(D266*E266,2)</f>
        <v>3119.59</v>
      </c>
      <c r="I266" s="146">
        <f t="shared" ref="I266" si="113">+ROUND(D266*F266,2)</f>
        <v>0</v>
      </c>
      <c r="J266" s="7">
        <f t="shared" si="69"/>
        <v>3119.59</v>
      </c>
      <c r="K266" s="276"/>
    </row>
    <row r="267" spans="2:11" outlineLevel="1">
      <c r="B267" s="713" t="s">
        <v>298</v>
      </c>
      <c r="C267" s="285"/>
      <c r="D267" s="286"/>
      <c r="E267" s="7" t="s">
        <v>27</v>
      </c>
      <c r="F267" s="287" t="s">
        <v>27</v>
      </c>
      <c r="G267" s="145"/>
      <c r="H267" s="145"/>
      <c r="I267" s="146"/>
      <c r="J267" s="7">
        <f t="shared" si="69"/>
        <v>0</v>
      </c>
      <c r="K267" s="276"/>
    </row>
    <row r="268" spans="2:11" outlineLevel="1">
      <c r="B268" s="354" t="s">
        <v>299</v>
      </c>
      <c r="C268" s="285" t="s">
        <v>82</v>
      </c>
      <c r="D268" s="286"/>
      <c r="E268" s="7">
        <v>0</v>
      </c>
      <c r="F268" s="287">
        <v>0</v>
      </c>
      <c r="G268" s="145">
        <f>+ROUND(E268+F268*TC,2)</f>
        <v>0</v>
      </c>
      <c r="H268" s="145">
        <f t="shared" ref="H268:H270" si="114">+ROUND(D268*E268,2)</f>
        <v>0</v>
      </c>
      <c r="I268" s="146">
        <f t="shared" ref="I268:I270" si="115">+ROUND(D268*F268,2)</f>
        <v>0</v>
      </c>
      <c r="J268" s="7">
        <f t="shared" si="69"/>
        <v>0</v>
      </c>
      <c r="K268" s="276"/>
    </row>
    <row r="269" spans="2:11" outlineLevel="1">
      <c r="B269" s="713" t="s">
        <v>300</v>
      </c>
      <c r="C269" s="285"/>
      <c r="D269" s="286"/>
      <c r="E269" s="7" t="s">
        <v>27</v>
      </c>
      <c r="F269" s="287" t="s">
        <v>27</v>
      </c>
      <c r="G269" s="145"/>
      <c r="H269" s="145"/>
      <c r="I269" s="146"/>
      <c r="J269" s="7">
        <f t="shared" si="69"/>
        <v>0</v>
      </c>
      <c r="K269" s="276"/>
    </row>
    <row r="270" spans="2:11" outlineLevel="1">
      <c r="B270" s="51" t="s">
        <v>301</v>
      </c>
      <c r="C270" s="285" t="s">
        <v>82</v>
      </c>
      <c r="D270" s="286">
        <v>45.4</v>
      </c>
      <c r="E270" s="7">
        <v>88.907796610169498</v>
      </c>
      <c r="F270" s="287">
        <v>0</v>
      </c>
      <c r="G270" s="145">
        <f>+ROUND(E270+F270*TC,2)</f>
        <v>88.91</v>
      </c>
      <c r="H270" s="145">
        <f t="shared" si="114"/>
        <v>4036.41</v>
      </c>
      <c r="I270" s="146">
        <f t="shared" si="115"/>
        <v>0</v>
      </c>
      <c r="J270" s="7">
        <f t="shared" si="69"/>
        <v>4036.41</v>
      </c>
      <c r="K270" s="276"/>
    </row>
    <row r="271" spans="2:11" outlineLevel="1">
      <c r="B271" s="713" t="s">
        <v>302</v>
      </c>
      <c r="C271" s="285"/>
      <c r="D271" s="286"/>
      <c r="E271" s="7" t="s">
        <v>27</v>
      </c>
      <c r="F271" s="287" t="s">
        <v>27</v>
      </c>
      <c r="G271" s="145"/>
      <c r="H271" s="145"/>
      <c r="I271" s="146"/>
      <c r="J271" s="7">
        <f t="shared" si="69"/>
        <v>0</v>
      </c>
      <c r="K271" s="276"/>
    </row>
    <row r="272" spans="2:11" outlineLevel="1">
      <c r="B272" s="51" t="s">
        <v>301</v>
      </c>
      <c r="C272" s="285" t="s">
        <v>82</v>
      </c>
      <c r="D272" s="286">
        <v>32.1</v>
      </c>
      <c r="E272" s="7">
        <v>88.907796610169498</v>
      </c>
      <c r="F272" s="287">
        <v>0</v>
      </c>
      <c r="G272" s="554">
        <f>+ROUND(E272+F272*TC,2)</f>
        <v>88.91</v>
      </c>
      <c r="H272" s="145">
        <f t="shared" ref="H272" si="116">+ROUND(D272*E272,2)</f>
        <v>2853.94</v>
      </c>
      <c r="I272" s="146">
        <f t="shared" ref="I272" si="117">+ROUND(D272*F272,2)</f>
        <v>0</v>
      </c>
      <c r="J272" s="7">
        <f t="shared" si="69"/>
        <v>2853.94</v>
      </c>
      <c r="K272" s="276"/>
    </row>
    <row r="273" spans="2:11" outlineLevel="1">
      <c r="B273" s="713" t="s">
        <v>303</v>
      </c>
      <c r="C273" s="285"/>
      <c r="D273" s="286"/>
      <c r="E273" s="7" t="s">
        <v>27</v>
      </c>
      <c r="F273" s="287" t="s">
        <v>27</v>
      </c>
      <c r="G273" s="145"/>
      <c r="H273" s="145"/>
      <c r="I273" s="146"/>
      <c r="J273" s="7">
        <f t="shared" si="69"/>
        <v>0</v>
      </c>
      <c r="K273" s="276"/>
    </row>
    <row r="274" spans="2:11" ht="22.5" outlineLevel="1">
      <c r="B274" s="714" t="s">
        <v>304</v>
      </c>
      <c r="C274" s="285" t="s">
        <v>82</v>
      </c>
      <c r="D274" s="286">
        <v>10.673299999999999</v>
      </c>
      <c r="E274" s="7">
        <v>135</v>
      </c>
      <c r="F274" s="287">
        <v>0</v>
      </c>
      <c r="G274" s="145">
        <f>+ROUND(E274+F274*TC,2)</f>
        <v>135</v>
      </c>
      <c r="H274" s="145">
        <f t="shared" ref="H274" si="118">+ROUND(D274*E274,2)</f>
        <v>1440.9</v>
      </c>
      <c r="I274" s="146">
        <f t="shared" ref="I274" si="119">+ROUND(D274*F274,2)</f>
        <v>0</v>
      </c>
      <c r="J274" s="7">
        <f t="shared" si="69"/>
        <v>1440.9</v>
      </c>
      <c r="K274" s="276"/>
    </row>
    <row r="275" spans="2:11" outlineLevel="1">
      <c r="B275" s="713" t="s">
        <v>305</v>
      </c>
      <c r="C275" s="285"/>
      <c r="D275" s="286"/>
      <c r="E275" s="7" t="s">
        <v>27</v>
      </c>
      <c r="F275" s="287" t="s">
        <v>27</v>
      </c>
      <c r="G275" s="145"/>
      <c r="H275" s="145"/>
      <c r="I275" s="146"/>
      <c r="J275" s="7">
        <f t="shared" si="69"/>
        <v>0</v>
      </c>
      <c r="K275" s="276"/>
    </row>
    <row r="276" spans="2:11" outlineLevel="1">
      <c r="B276" s="715" t="s">
        <v>306</v>
      </c>
      <c r="C276" s="285" t="s">
        <v>82</v>
      </c>
      <c r="D276" s="286">
        <v>8.3000000000000007</v>
      </c>
      <c r="E276" s="7">
        <v>188.70000000000002</v>
      </c>
      <c r="F276" s="287">
        <v>0</v>
      </c>
      <c r="G276" s="145">
        <f>+ROUND(E276+F276*TC,2)</f>
        <v>188.7</v>
      </c>
      <c r="H276" s="145">
        <f t="shared" ref="H276" si="120">+ROUND(D276*E276,2)</f>
        <v>1566.21</v>
      </c>
      <c r="I276" s="146">
        <f t="shared" ref="I276" si="121">+ROUND(D276*F276,2)</f>
        <v>0</v>
      </c>
      <c r="J276" s="7">
        <f t="shared" si="69"/>
        <v>1566.21</v>
      </c>
      <c r="K276" s="276"/>
    </row>
    <row r="277" spans="2:11" outlineLevel="1">
      <c r="B277" s="713" t="s">
        <v>292</v>
      </c>
      <c r="C277" s="285"/>
      <c r="D277" s="286"/>
      <c r="E277" s="7" t="s">
        <v>27</v>
      </c>
      <c r="F277" s="287" t="s">
        <v>27</v>
      </c>
      <c r="G277" s="145"/>
      <c r="H277" s="145"/>
      <c r="I277" s="146"/>
      <c r="J277" s="7">
        <f t="shared" si="69"/>
        <v>0</v>
      </c>
      <c r="K277" s="276"/>
    </row>
    <row r="278" spans="2:11" outlineLevel="1">
      <c r="B278" s="43" t="s">
        <v>266</v>
      </c>
      <c r="C278" s="285" t="s">
        <v>82</v>
      </c>
      <c r="D278" s="286">
        <v>10.7</v>
      </c>
      <c r="E278" s="7">
        <v>69.38</v>
      </c>
      <c r="F278" s="287">
        <v>0</v>
      </c>
      <c r="G278" s="145">
        <f>+ROUND(E278+F278*TC,2)</f>
        <v>69.38</v>
      </c>
      <c r="H278" s="145">
        <f t="shared" ref="H278" si="122">+ROUND(D278*E278,2)</f>
        <v>742.37</v>
      </c>
      <c r="I278" s="146">
        <f t="shared" ref="I278" si="123">+ROUND(D278*F278,2)</f>
        <v>0</v>
      </c>
      <c r="J278" s="7">
        <f t="shared" si="69"/>
        <v>742.37</v>
      </c>
      <c r="K278" s="276"/>
    </row>
    <row r="279" spans="2:11" outlineLevel="1">
      <c r="B279" s="713" t="s">
        <v>307</v>
      </c>
      <c r="C279" s="285"/>
      <c r="D279" s="286"/>
      <c r="E279" s="7" t="s">
        <v>27</v>
      </c>
      <c r="F279" s="287" t="s">
        <v>27</v>
      </c>
      <c r="G279" s="145"/>
      <c r="H279" s="145"/>
      <c r="I279" s="146"/>
      <c r="J279" s="7">
        <f t="shared" ref="J279:J280" si="124">+ROUND(H279+I279*TC,2)</f>
        <v>0</v>
      </c>
      <c r="K279" s="276"/>
    </row>
    <row r="280" spans="2:11" outlineLevel="1">
      <c r="B280" s="43" t="s">
        <v>266</v>
      </c>
      <c r="C280" s="285" t="s">
        <v>82</v>
      </c>
      <c r="D280" s="286">
        <v>4.3499999999999996</v>
      </c>
      <c r="E280" s="7">
        <v>69.38</v>
      </c>
      <c r="F280" s="287">
        <v>0</v>
      </c>
      <c r="G280" s="145">
        <f>+ROUND(E280+F280*TC,2)</f>
        <v>69.38</v>
      </c>
      <c r="H280" s="145">
        <f t="shared" ref="H280" si="125">+ROUND(D280*E280,2)</f>
        <v>301.8</v>
      </c>
      <c r="I280" s="146">
        <f t="shared" ref="I280" si="126">+ROUND(D280*F280,2)</f>
        <v>0</v>
      </c>
      <c r="J280" s="7">
        <f t="shared" si="124"/>
        <v>301.8</v>
      </c>
      <c r="K280" s="276"/>
    </row>
    <row r="281" spans="2:11" outlineLevel="1">
      <c r="B281" s="713" t="s">
        <v>308</v>
      </c>
      <c r="C281" s="285"/>
      <c r="D281" s="286"/>
      <c r="E281" s="7" t="s">
        <v>27</v>
      </c>
      <c r="F281" s="287" t="s">
        <v>27</v>
      </c>
      <c r="G281" s="145"/>
      <c r="H281" s="145"/>
      <c r="I281" s="146"/>
      <c r="J281" s="7">
        <f t="shared" ref="J281:J282" si="127">+ROUND(H281+I281*TC,2)</f>
        <v>0</v>
      </c>
      <c r="K281" s="276"/>
    </row>
    <row r="282" spans="2:11" outlineLevel="1">
      <c r="B282" s="43" t="s">
        <v>266</v>
      </c>
      <c r="C282" s="285" t="s">
        <v>82</v>
      </c>
      <c r="D282" s="286">
        <v>17.47</v>
      </c>
      <c r="E282" s="7">
        <v>69.38</v>
      </c>
      <c r="F282" s="287">
        <v>0</v>
      </c>
      <c r="G282" s="145">
        <f>+ROUND(E282+F282*TC,2)</f>
        <v>69.38</v>
      </c>
      <c r="H282" s="145">
        <f t="shared" ref="H282" si="128">+ROUND(D282*E282,2)</f>
        <v>1212.07</v>
      </c>
      <c r="I282" s="146">
        <f t="shared" ref="I282" si="129">+ROUND(D282*F282,2)</f>
        <v>0</v>
      </c>
      <c r="J282" s="7">
        <f t="shared" si="127"/>
        <v>1212.07</v>
      </c>
      <c r="K282" s="276"/>
    </row>
    <row r="283" spans="2:11" outlineLevel="1">
      <c r="B283" s="355" t="s">
        <v>309</v>
      </c>
      <c r="C283" s="285"/>
      <c r="D283" s="286"/>
      <c r="E283" s="7" t="s">
        <v>27</v>
      </c>
      <c r="F283" s="287" t="s">
        <v>27</v>
      </c>
      <c r="G283" s="145"/>
      <c r="H283" s="145"/>
      <c r="I283" s="146"/>
      <c r="J283" s="7">
        <f t="shared" si="69"/>
        <v>0</v>
      </c>
      <c r="K283" s="276"/>
    </row>
    <row r="284" spans="2:11" outlineLevel="1">
      <c r="B284" s="713" t="s">
        <v>310</v>
      </c>
      <c r="C284" s="285"/>
      <c r="D284" s="286"/>
      <c r="E284" s="7" t="s">
        <v>27</v>
      </c>
      <c r="F284" s="287" t="s">
        <v>27</v>
      </c>
      <c r="G284" s="145"/>
      <c r="H284" s="145"/>
      <c r="I284" s="146"/>
      <c r="J284" s="7">
        <f t="shared" si="69"/>
        <v>0</v>
      </c>
      <c r="K284" s="282"/>
    </row>
    <row r="285" spans="2:11" outlineLevel="1">
      <c r="B285" s="714" t="s">
        <v>311</v>
      </c>
      <c r="C285" s="285" t="s">
        <v>82</v>
      </c>
      <c r="D285" s="286">
        <v>9.7650000000000006</v>
      </c>
      <c r="E285" s="7">
        <v>135</v>
      </c>
      <c r="F285" s="287">
        <v>0</v>
      </c>
      <c r="G285" s="145">
        <f>+ROUND(E285+F285*TC,2)</f>
        <v>135</v>
      </c>
      <c r="H285" s="145">
        <f t="shared" ref="H285" si="130">+ROUND(D285*E285,2)</f>
        <v>1318.28</v>
      </c>
      <c r="I285" s="146">
        <f t="shared" ref="I285" si="131">+ROUND(D285*F285,2)</f>
        <v>0</v>
      </c>
      <c r="J285" s="7">
        <f t="shared" si="69"/>
        <v>1318.28</v>
      </c>
      <c r="K285" s="282"/>
    </row>
    <row r="286" spans="2:11" outlineLevel="1">
      <c r="B286" s="713" t="s">
        <v>312</v>
      </c>
      <c r="C286" s="285"/>
      <c r="D286" s="286"/>
      <c r="E286" s="7" t="s">
        <v>27</v>
      </c>
      <c r="F286" s="287" t="s">
        <v>27</v>
      </c>
      <c r="G286" s="145"/>
      <c r="H286" s="145"/>
      <c r="I286" s="146"/>
      <c r="J286" s="7">
        <f t="shared" si="69"/>
        <v>0</v>
      </c>
      <c r="K286" s="282"/>
    </row>
    <row r="287" spans="2:11" outlineLevel="1">
      <c r="B287" s="716" t="s">
        <v>313</v>
      </c>
      <c r="C287" s="285" t="s">
        <v>82</v>
      </c>
      <c r="D287" s="286">
        <v>31.1</v>
      </c>
      <c r="E287" s="7">
        <v>85</v>
      </c>
      <c r="F287" s="287">
        <v>0</v>
      </c>
      <c r="G287" s="145">
        <f>+ROUND(E287+F287*TC,2)</f>
        <v>85</v>
      </c>
      <c r="H287" s="145">
        <f t="shared" si="65"/>
        <v>2643.5</v>
      </c>
      <c r="I287" s="146">
        <f t="shared" si="66"/>
        <v>0</v>
      </c>
      <c r="J287" s="7">
        <f t="shared" si="69"/>
        <v>2643.5</v>
      </c>
      <c r="K287" s="276"/>
    </row>
    <row r="288" spans="2:11" outlineLevel="1">
      <c r="B288" s="713" t="s">
        <v>314</v>
      </c>
      <c r="C288" s="285"/>
      <c r="D288" s="286"/>
      <c r="E288" s="7" t="s">
        <v>27</v>
      </c>
      <c r="F288" s="287" t="s">
        <v>27</v>
      </c>
      <c r="G288" s="145"/>
      <c r="H288" s="145"/>
      <c r="I288" s="146"/>
      <c r="J288" s="7">
        <f t="shared" ref="J288:J352" si="132">+ROUND(H288+I288*TC,2)</f>
        <v>0</v>
      </c>
      <c r="K288" s="276"/>
    </row>
    <row r="289" spans="2:11" ht="21.6" customHeight="1" outlineLevel="1">
      <c r="B289" s="354" t="s">
        <v>315</v>
      </c>
      <c r="C289" s="285" t="s">
        <v>82</v>
      </c>
      <c r="D289" s="286">
        <v>214.00050000000002</v>
      </c>
      <c r="E289" s="7">
        <v>0</v>
      </c>
      <c r="F289" s="287">
        <v>0</v>
      </c>
      <c r="G289" s="145">
        <f>+ROUND(E289+F289*TC,2)</f>
        <v>0</v>
      </c>
      <c r="H289" s="145">
        <f t="shared" ref="H289" si="133">+ROUND(D289*E289,2)</f>
        <v>0</v>
      </c>
      <c r="I289" s="146">
        <f t="shared" ref="I289" si="134">+ROUND(D289*F289,2)</f>
        <v>0</v>
      </c>
      <c r="J289" s="7">
        <f t="shared" si="132"/>
        <v>0</v>
      </c>
      <c r="K289" s="276"/>
    </row>
    <row r="290" spans="2:11">
      <c r="B290" s="694" t="s">
        <v>316</v>
      </c>
      <c r="C290" s="285"/>
      <c r="D290" s="7"/>
      <c r="E290" s="7" t="s">
        <v>27</v>
      </c>
      <c r="F290" s="287" t="s">
        <v>27</v>
      </c>
      <c r="G290" s="145"/>
      <c r="H290" s="145"/>
      <c r="I290" s="146"/>
      <c r="J290" s="7">
        <f t="shared" si="132"/>
        <v>0</v>
      </c>
      <c r="K290" s="276">
        <f>SUM(H290:H352)+SUM(I290:I352)*TC</f>
        <v>432727.18900000001</v>
      </c>
    </row>
    <row r="291" spans="2:11" outlineLevel="1">
      <c r="B291" s="697" t="s">
        <v>259</v>
      </c>
      <c r="C291" s="285"/>
      <c r="D291" s="286"/>
      <c r="E291" s="7" t="s">
        <v>27</v>
      </c>
      <c r="F291" s="287" t="s">
        <v>27</v>
      </c>
      <c r="G291" s="145"/>
      <c r="H291" s="145"/>
      <c r="I291" s="146"/>
      <c r="J291" s="7">
        <f t="shared" si="132"/>
        <v>0</v>
      </c>
      <c r="K291" s="276"/>
    </row>
    <row r="292" spans="2:11" outlineLevel="1">
      <c r="B292" s="355" t="s">
        <v>317</v>
      </c>
      <c r="C292" s="285"/>
      <c r="D292" s="286"/>
      <c r="E292" s="7" t="s">
        <v>27</v>
      </c>
      <c r="F292" s="287" t="s">
        <v>27</v>
      </c>
      <c r="G292" s="145"/>
      <c r="H292" s="145"/>
      <c r="I292" s="146"/>
      <c r="J292" s="7">
        <f t="shared" si="132"/>
        <v>0</v>
      </c>
      <c r="K292" s="276"/>
    </row>
    <row r="293" spans="2:11" outlineLevel="1">
      <c r="B293" s="713" t="s">
        <v>318</v>
      </c>
      <c r="C293" s="285"/>
      <c r="D293" s="286"/>
      <c r="E293" s="7" t="s">
        <v>27</v>
      </c>
      <c r="F293" s="287" t="s">
        <v>27</v>
      </c>
      <c r="G293" s="145"/>
      <c r="H293" s="145"/>
      <c r="I293" s="146"/>
      <c r="J293" s="7">
        <f t="shared" si="132"/>
        <v>0</v>
      </c>
      <c r="K293" s="276"/>
    </row>
    <row r="294" spans="2:11" outlineLevel="1">
      <c r="B294" s="51" t="s">
        <v>319</v>
      </c>
      <c r="C294" s="285" t="s">
        <v>82</v>
      </c>
      <c r="D294" s="286">
        <v>3234.3977399999999</v>
      </c>
      <c r="E294" s="7">
        <v>68.44</v>
      </c>
      <c r="F294" s="287">
        <v>0</v>
      </c>
      <c r="G294" s="145">
        <f>+ROUND(E294+F294*TC,2)</f>
        <v>68.44</v>
      </c>
      <c r="H294" s="145">
        <f t="shared" ref="H294:H365" si="135">+ROUND(D294*E294,2)</f>
        <v>221362.18</v>
      </c>
      <c r="I294" s="146">
        <f t="shared" ref="I294:I371" si="136">+ROUND(D294*F294,2)</f>
        <v>0</v>
      </c>
      <c r="J294" s="7">
        <f t="shared" si="132"/>
        <v>221362.18</v>
      </c>
      <c r="K294" s="276"/>
    </row>
    <row r="295" spans="2:11" outlineLevel="1">
      <c r="B295" s="354" t="s">
        <v>320</v>
      </c>
      <c r="C295" s="285" t="s">
        <v>141</v>
      </c>
      <c r="D295" s="286"/>
      <c r="E295" s="7">
        <v>0</v>
      </c>
      <c r="F295" s="287">
        <v>0</v>
      </c>
      <c r="G295" s="145">
        <f>+ROUND(E295+F295*TC,2)</f>
        <v>0</v>
      </c>
      <c r="H295" s="145">
        <f t="shared" si="135"/>
        <v>0</v>
      </c>
      <c r="I295" s="146">
        <f t="shared" si="136"/>
        <v>0</v>
      </c>
      <c r="J295" s="7">
        <f t="shared" si="132"/>
        <v>0</v>
      </c>
      <c r="K295" s="276"/>
    </row>
    <row r="296" spans="2:11" outlineLevel="1">
      <c r="B296" s="51" t="s">
        <v>321</v>
      </c>
      <c r="C296" s="285" t="s">
        <v>82</v>
      </c>
      <c r="D296" s="286">
        <v>100.33845000000015</v>
      </c>
      <c r="E296" s="7">
        <v>68.56</v>
      </c>
      <c r="F296" s="287">
        <v>0</v>
      </c>
      <c r="G296" s="145">
        <f>+ROUND(E296+F296*TC,2)</f>
        <v>68.56</v>
      </c>
      <c r="H296" s="145">
        <f t="shared" si="135"/>
        <v>6879.2</v>
      </c>
      <c r="I296" s="146">
        <f t="shared" si="136"/>
        <v>0</v>
      </c>
      <c r="J296" s="7">
        <f t="shared" si="132"/>
        <v>6879.2</v>
      </c>
      <c r="K296" s="276"/>
    </row>
    <row r="297" spans="2:11" outlineLevel="1">
      <c r="B297" s="355" t="s">
        <v>322</v>
      </c>
      <c r="C297" s="285"/>
      <c r="D297" s="286"/>
      <c r="E297" s="7" t="s">
        <v>27</v>
      </c>
      <c r="F297" s="287" t="s">
        <v>27</v>
      </c>
      <c r="G297" s="145"/>
      <c r="H297" s="145"/>
      <c r="I297" s="146"/>
      <c r="J297" s="7">
        <f t="shared" si="132"/>
        <v>0</v>
      </c>
      <c r="K297" s="276"/>
    </row>
    <row r="298" spans="2:11" outlineLevel="1">
      <c r="B298" s="51" t="s">
        <v>323</v>
      </c>
      <c r="C298" s="285" t="s">
        <v>82</v>
      </c>
      <c r="D298" s="286">
        <v>771.04294615384617</v>
      </c>
      <c r="E298" s="7">
        <v>67.84</v>
      </c>
      <c r="F298" s="287">
        <v>0</v>
      </c>
      <c r="G298" s="145">
        <f>+ROUND(E298+F298*TC,2)</f>
        <v>67.84</v>
      </c>
      <c r="H298" s="145">
        <f t="shared" si="135"/>
        <v>52307.55</v>
      </c>
      <c r="I298" s="146">
        <f t="shared" si="136"/>
        <v>0</v>
      </c>
      <c r="J298" s="7">
        <f t="shared" si="132"/>
        <v>52307.55</v>
      </c>
      <c r="K298" s="276"/>
    </row>
    <row r="299" spans="2:11" outlineLevel="1">
      <c r="B299" s="355" t="s">
        <v>324</v>
      </c>
      <c r="C299" s="285"/>
      <c r="D299" s="286"/>
      <c r="E299" s="7" t="s">
        <v>27</v>
      </c>
      <c r="F299" s="287" t="s">
        <v>27</v>
      </c>
      <c r="G299" s="145"/>
      <c r="H299" s="145"/>
      <c r="I299" s="146"/>
      <c r="J299" s="7">
        <f t="shared" si="132"/>
        <v>0</v>
      </c>
      <c r="K299" s="276"/>
    </row>
    <row r="300" spans="2:11" outlineLevel="1">
      <c r="B300" s="43" t="s">
        <v>263</v>
      </c>
      <c r="C300" s="285" t="s">
        <v>82</v>
      </c>
      <c r="D300" s="286">
        <v>135.27000000000001</v>
      </c>
      <c r="E300" s="7">
        <v>67.099999999999994</v>
      </c>
      <c r="F300" s="287">
        <v>0</v>
      </c>
      <c r="G300" s="145">
        <f>+ROUND(E300+F300*TC,2)</f>
        <v>67.099999999999994</v>
      </c>
      <c r="H300" s="145">
        <f t="shared" si="135"/>
        <v>9076.6200000000008</v>
      </c>
      <c r="I300" s="146">
        <f t="shared" si="136"/>
        <v>0</v>
      </c>
      <c r="J300" s="7">
        <f t="shared" si="132"/>
        <v>9076.6200000000008</v>
      </c>
      <c r="K300" s="276"/>
    </row>
    <row r="301" spans="2:11" outlineLevel="1">
      <c r="B301" s="697" t="s">
        <v>325</v>
      </c>
      <c r="C301" s="285"/>
      <c r="D301" s="286"/>
      <c r="E301" s="7" t="s">
        <v>27</v>
      </c>
      <c r="F301" s="287" t="s">
        <v>27</v>
      </c>
      <c r="G301" s="145"/>
      <c r="H301" s="145"/>
      <c r="I301" s="146"/>
      <c r="J301" s="7">
        <f t="shared" si="132"/>
        <v>0</v>
      </c>
      <c r="K301" s="276"/>
    </row>
    <row r="302" spans="2:11" outlineLevel="1">
      <c r="B302" s="355" t="s">
        <v>326</v>
      </c>
      <c r="C302" s="285"/>
      <c r="D302" s="286"/>
      <c r="E302" s="7" t="s">
        <v>27</v>
      </c>
      <c r="F302" s="287" t="s">
        <v>27</v>
      </c>
      <c r="G302" s="145"/>
      <c r="H302" s="145"/>
      <c r="I302" s="146"/>
      <c r="J302" s="7">
        <f t="shared" si="132"/>
        <v>0</v>
      </c>
      <c r="K302" s="276"/>
    </row>
    <row r="303" spans="2:11" outlineLevel="1">
      <c r="B303" s="714" t="s">
        <v>245</v>
      </c>
      <c r="C303" s="302" t="s">
        <v>82</v>
      </c>
      <c r="D303" s="351">
        <v>18.192119999999999</v>
      </c>
      <c r="E303" s="7">
        <v>71.91</v>
      </c>
      <c r="F303" s="287">
        <v>0</v>
      </c>
      <c r="G303" s="145">
        <f>+ROUND(E303+F303*TC,2)</f>
        <v>71.91</v>
      </c>
      <c r="H303" s="145">
        <f t="shared" ref="H303" si="137">+ROUND(D303*E303,2)</f>
        <v>1308.2</v>
      </c>
      <c r="I303" s="146">
        <f t="shared" ref="I303" si="138">+ROUND(D303*F303,2)</f>
        <v>0</v>
      </c>
      <c r="J303" s="7">
        <f t="shared" si="132"/>
        <v>1308.2</v>
      </c>
      <c r="K303" s="276"/>
    </row>
    <row r="304" spans="2:11" outlineLevel="1">
      <c r="B304" s="355" t="s">
        <v>326</v>
      </c>
      <c r="C304" s="285"/>
      <c r="D304" s="286"/>
      <c r="E304" s="7" t="s">
        <v>27</v>
      </c>
      <c r="F304" s="287" t="s">
        <v>27</v>
      </c>
      <c r="G304" s="145"/>
      <c r="H304" s="145"/>
      <c r="I304" s="146"/>
      <c r="J304" s="7">
        <f t="shared" si="132"/>
        <v>0</v>
      </c>
      <c r="K304" s="276"/>
    </row>
    <row r="305" spans="2:11" outlineLevel="1">
      <c r="B305" s="713" t="s">
        <v>327</v>
      </c>
      <c r="C305" s="285"/>
      <c r="D305" s="286"/>
      <c r="E305" s="7" t="s">
        <v>27</v>
      </c>
      <c r="F305" s="287" t="s">
        <v>27</v>
      </c>
      <c r="G305" s="145"/>
      <c r="H305" s="145"/>
      <c r="I305" s="146"/>
      <c r="J305" s="7">
        <f t="shared" si="132"/>
        <v>0</v>
      </c>
      <c r="K305" s="276"/>
    </row>
    <row r="306" spans="2:11" outlineLevel="1">
      <c r="B306" s="43" t="s">
        <v>266</v>
      </c>
      <c r="C306" s="302" t="s">
        <v>82</v>
      </c>
      <c r="D306" s="351">
        <v>123.86639999999998</v>
      </c>
      <c r="E306" s="7">
        <v>69.38</v>
      </c>
      <c r="F306" s="287">
        <v>0</v>
      </c>
      <c r="G306" s="145">
        <f>+ROUND(E306+F306*TC,2)</f>
        <v>69.38</v>
      </c>
      <c r="H306" s="145">
        <f t="shared" ref="H306:H308" si="139">+ROUND(D306*E306,2)</f>
        <v>8593.85</v>
      </c>
      <c r="I306" s="146">
        <f t="shared" ref="I306:I308" si="140">+ROUND(D306*F306,2)</f>
        <v>0</v>
      </c>
      <c r="J306" s="7">
        <f t="shared" si="132"/>
        <v>8593.85</v>
      </c>
      <c r="K306" s="276"/>
    </row>
    <row r="307" spans="2:11" s="719" customFormat="1" outlineLevel="1">
      <c r="B307" s="713" t="s">
        <v>328</v>
      </c>
      <c r="C307" s="717"/>
      <c r="D307" s="718"/>
      <c r="E307" s="7" t="s">
        <v>27</v>
      </c>
      <c r="F307" s="287" t="s">
        <v>27</v>
      </c>
      <c r="G307" s="352"/>
      <c r="H307" s="352"/>
      <c r="I307" s="353"/>
      <c r="J307" s="7">
        <f t="shared" si="132"/>
        <v>0</v>
      </c>
      <c r="K307" s="276"/>
    </row>
    <row r="308" spans="2:11" outlineLevel="1">
      <c r="B308" s="714" t="s">
        <v>245</v>
      </c>
      <c r="C308" s="302" t="s">
        <v>82</v>
      </c>
      <c r="D308" s="351">
        <v>61.296900000000001</v>
      </c>
      <c r="E308" s="7">
        <v>71.91</v>
      </c>
      <c r="F308" s="287">
        <v>0</v>
      </c>
      <c r="G308" s="145">
        <f>+ROUND(E308+F308*TC,2)</f>
        <v>71.91</v>
      </c>
      <c r="H308" s="145">
        <f t="shared" si="139"/>
        <v>4407.8599999999997</v>
      </c>
      <c r="I308" s="146">
        <f t="shared" si="140"/>
        <v>0</v>
      </c>
      <c r="J308" s="7">
        <f t="shared" si="132"/>
        <v>4407.8599999999997</v>
      </c>
      <c r="K308" s="276"/>
    </row>
    <row r="309" spans="2:11" outlineLevel="1">
      <c r="B309" s="355" t="s">
        <v>309</v>
      </c>
      <c r="C309" s="302"/>
      <c r="D309" s="351"/>
      <c r="E309" s="7" t="s">
        <v>27</v>
      </c>
      <c r="F309" s="287" t="s">
        <v>27</v>
      </c>
      <c r="G309" s="145"/>
      <c r="H309" s="145"/>
      <c r="I309" s="146"/>
      <c r="J309" s="7">
        <f t="shared" si="132"/>
        <v>0</v>
      </c>
      <c r="K309" s="276"/>
    </row>
    <row r="310" spans="2:11" outlineLevel="1">
      <c r="B310" s="713" t="s">
        <v>329</v>
      </c>
      <c r="C310" s="302"/>
      <c r="D310" s="351"/>
      <c r="E310" s="7" t="s">
        <v>27</v>
      </c>
      <c r="F310" s="287" t="s">
        <v>27</v>
      </c>
      <c r="G310" s="145"/>
      <c r="H310" s="145"/>
      <c r="I310" s="146"/>
      <c r="J310" s="7">
        <f t="shared" si="132"/>
        <v>0</v>
      </c>
      <c r="K310" s="276"/>
    </row>
    <row r="311" spans="2:11" outlineLevel="1">
      <c r="B311" s="43" t="s">
        <v>330</v>
      </c>
      <c r="C311" s="302" t="s">
        <v>82</v>
      </c>
      <c r="D311" s="351">
        <v>165.03</v>
      </c>
      <c r="E311" s="7">
        <v>65</v>
      </c>
      <c r="F311" s="287"/>
      <c r="G311" s="145">
        <f t="shared" ref="G311:G320" si="141">+ROUND(E311+F311*TC,2)</f>
        <v>65</v>
      </c>
      <c r="H311" s="145">
        <f t="shared" ref="H311:H315" si="142">+ROUND(D311*E311,2)</f>
        <v>10726.95</v>
      </c>
      <c r="I311" s="146">
        <f t="shared" ref="I311:I315" si="143">+ROUND(D311*F311,2)</f>
        <v>0</v>
      </c>
      <c r="J311" s="7">
        <f t="shared" si="132"/>
        <v>10726.95</v>
      </c>
      <c r="K311" s="276"/>
    </row>
    <row r="312" spans="2:11" outlineLevel="1">
      <c r="B312" s="43" t="s">
        <v>330</v>
      </c>
      <c r="C312" s="302" t="s">
        <v>82</v>
      </c>
      <c r="D312" s="351">
        <v>63.308999999999997</v>
      </c>
      <c r="E312" s="7">
        <v>65</v>
      </c>
      <c r="F312" s="287"/>
      <c r="G312" s="145">
        <f t="shared" si="141"/>
        <v>65</v>
      </c>
      <c r="H312" s="145">
        <f t="shared" si="142"/>
        <v>4115.09</v>
      </c>
      <c r="I312" s="146">
        <f t="shared" si="143"/>
        <v>0</v>
      </c>
      <c r="J312" s="7">
        <f t="shared" si="132"/>
        <v>4115.09</v>
      </c>
      <c r="K312" s="276"/>
    </row>
    <row r="313" spans="2:11" outlineLevel="1">
      <c r="B313" s="43" t="s">
        <v>331</v>
      </c>
      <c r="C313" s="302" t="s">
        <v>82</v>
      </c>
      <c r="D313" s="351">
        <v>6.07</v>
      </c>
      <c r="E313" s="7">
        <v>65</v>
      </c>
      <c r="F313" s="287"/>
      <c r="G313" s="145">
        <f t="shared" si="141"/>
        <v>65</v>
      </c>
      <c r="H313" s="145">
        <f t="shared" si="142"/>
        <v>394.55</v>
      </c>
      <c r="I313" s="146">
        <f t="shared" si="143"/>
        <v>0</v>
      </c>
      <c r="J313" s="7">
        <f t="shared" si="132"/>
        <v>394.55</v>
      </c>
      <c r="K313" s="276"/>
    </row>
    <row r="314" spans="2:11" outlineLevel="1">
      <c r="B314" s="43" t="s">
        <v>332</v>
      </c>
      <c r="C314" s="302" t="s">
        <v>82</v>
      </c>
      <c r="D314" s="351">
        <v>3.3880000000000003</v>
      </c>
      <c r="E314" s="7"/>
      <c r="F314" s="287">
        <v>150</v>
      </c>
      <c r="G314" s="145">
        <f t="shared" si="141"/>
        <v>502.5</v>
      </c>
      <c r="H314" s="145">
        <f t="shared" si="142"/>
        <v>0</v>
      </c>
      <c r="I314" s="146">
        <f t="shared" si="143"/>
        <v>508.2</v>
      </c>
      <c r="J314" s="7">
        <f t="shared" si="132"/>
        <v>1702.47</v>
      </c>
      <c r="K314" s="276"/>
    </row>
    <row r="315" spans="2:11" outlineLevel="1">
      <c r="B315" s="43" t="s">
        <v>333</v>
      </c>
      <c r="C315" s="302" t="s">
        <v>141</v>
      </c>
      <c r="D315" s="351">
        <v>29.73</v>
      </c>
      <c r="E315" s="7">
        <v>18.5</v>
      </c>
      <c r="F315" s="287"/>
      <c r="G315" s="145">
        <f t="shared" si="141"/>
        <v>18.5</v>
      </c>
      <c r="H315" s="145">
        <f t="shared" si="142"/>
        <v>550.01</v>
      </c>
      <c r="I315" s="146">
        <f t="shared" si="143"/>
        <v>0</v>
      </c>
      <c r="J315" s="7">
        <f t="shared" si="132"/>
        <v>550.01</v>
      </c>
      <c r="K315" s="276"/>
    </row>
    <row r="316" spans="2:11" outlineLevel="1">
      <c r="B316" s="43" t="s">
        <v>334</v>
      </c>
      <c r="C316" s="302" t="s">
        <v>82</v>
      </c>
      <c r="D316" s="351">
        <v>43.856999999999992</v>
      </c>
      <c r="E316" s="7"/>
      <c r="F316" s="287">
        <v>150</v>
      </c>
      <c r="G316" s="145">
        <f t="shared" si="141"/>
        <v>502.5</v>
      </c>
      <c r="H316" s="145">
        <f t="shared" ref="H316:H352" si="144">+ROUND(D316*E316,2)</f>
        <v>0</v>
      </c>
      <c r="I316" s="146">
        <f t="shared" ref="I316:I352" si="145">+ROUND(D316*F316,2)</f>
        <v>6578.55</v>
      </c>
      <c r="J316" s="7">
        <f t="shared" si="132"/>
        <v>22038.14</v>
      </c>
      <c r="K316" s="276"/>
    </row>
    <row r="317" spans="2:11" outlineLevel="1">
      <c r="B317" s="43" t="s">
        <v>335</v>
      </c>
      <c r="C317" s="302" t="s">
        <v>82</v>
      </c>
      <c r="D317" s="351">
        <v>71.225200000000001</v>
      </c>
      <c r="E317" s="7">
        <v>75</v>
      </c>
      <c r="F317" s="287"/>
      <c r="G317" s="145">
        <f t="shared" si="141"/>
        <v>75</v>
      </c>
      <c r="H317" s="145">
        <f t="shared" si="144"/>
        <v>5341.89</v>
      </c>
      <c r="I317" s="146">
        <f t="shared" si="145"/>
        <v>0</v>
      </c>
      <c r="J317" s="7">
        <f t="shared" si="132"/>
        <v>5341.89</v>
      </c>
      <c r="K317" s="276"/>
    </row>
    <row r="318" spans="2:11" outlineLevel="1">
      <c r="B318" s="43" t="s">
        <v>336</v>
      </c>
      <c r="C318" s="302" t="s">
        <v>82</v>
      </c>
      <c r="D318" s="351">
        <v>51.933900000000008</v>
      </c>
      <c r="E318" s="7">
        <v>75</v>
      </c>
      <c r="F318" s="287"/>
      <c r="G318" s="145">
        <f t="shared" si="141"/>
        <v>75</v>
      </c>
      <c r="H318" s="145">
        <f t="shared" si="144"/>
        <v>3895.04</v>
      </c>
      <c r="I318" s="146">
        <f t="shared" si="145"/>
        <v>0</v>
      </c>
      <c r="J318" s="7">
        <f t="shared" si="132"/>
        <v>3895.04</v>
      </c>
      <c r="K318" s="276"/>
    </row>
    <row r="319" spans="2:11" outlineLevel="1">
      <c r="B319" s="43" t="s">
        <v>2807</v>
      </c>
      <c r="C319" s="302" t="s">
        <v>82</v>
      </c>
      <c r="D319" s="351">
        <v>0</v>
      </c>
      <c r="E319" s="7">
        <v>378.34083686440675</v>
      </c>
      <c r="F319" s="287"/>
      <c r="G319" s="145">
        <f t="shared" si="141"/>
        <v>378.34</v>
      </c>
      <c r="H319" s="145">
        <f t="shared" si="144"/>
        <v>0</v>
      </c>
      <c r="I319" s="146">
        <f t="shared" si="145"/>
        <v>0</v>
      </c>
      <c r="J319" s="7">
        <f t="shared" si="132"/>
        <v>0</v>
      </c>
      <c r="K319" s="276"/>
    </row>
    <row r="320" spans="2:11" outlineLevel="1">
      <c r="B320" s="43" t="s">
        <v>2808</v>
      </c>
      <c r="C320" s="302" t="s">
        <v>82</v>
      </c>
      <c r="D320" s="351">
        <v>0</v>
      </c>
      <c r="E320" s="7">
        <v>378.34083686440675</v>
      </c>
      <c r="F320" s="287"/>
      <c r="G320" s="145">
        <f t="shared" si="141"/>
        <v>378.34</v>
      </c>
      <c r="H320" s="145">
        <f t="shared" si="144"/>
        <v>0</v>
      </c>
      <c r="I320" s="146">
        <f t="shared" si="145"/>
        <v>0</v>
      </c>
      <c r="J320" s="7">
        <f t="shared" si="132"/>
        <v>0</v>
      </c>
      <c r="K320" s="276"/>
    </row>
    <row r="321" spans="2:11" outlineLevel="1">
      <c r="B321" s="713" t="s">
        <v>294</v>
      </c>
      <c r="C321" s="302"/>
      <c r="D321" s="351"/>
      <c r="E321" s="7"/>
      <c r="F321" s="287"/>
      <c r="G321" s="145"/>
      <c r="H321" s="145"/>
      <c r="I321" s="146"/>
      <c r="J321" s="7">
        <f t="shared" si="132"/>
        <v>0</v>
      </c>
      <c r="K321" s="276"/>
    </row>
    <row r="322" spans="2:11" outlineLevel="1">
      <c r="B322" s="43" t="s">
        <v>337</v>
      </c>
      <c r="C322" s="302" t="s">
        <v>82</v>
      </c>
      <c r="D322" s="351">
        <v>11.354999999999999</v>
      </c>
      <c r="E322" s="7">
        <v>125</v>
      </c>
      <c r="F322" s="287"/>
      <c r="G322" s="145">
        <f>+ROUND(E322+F322*TC,2)</f>
        <v>125</v>
      </c>
      <c r="H322" s="145">
        <f t="shared" si="144"/>
        <v>1419.38</v>
      </c>
      <c r="I322" s="146">
        <f t="shared" si="145"/>
        <v>0</v>
      </c>
      <c r="J322" s="7">
        <f t="shared" si="132"/>
        <v>1419.38</v>
      </c>
      <c r="K322" s="276"/>
    </row>
    <row r="323" spans="2:11" outlineLevel="1">
      <c r="B323" s="43" t="s">
        <v>338</v>
      </c>
      <c r="C323" s="302" t="s">
        <v>82</v>
      </c>
      <c r="D323" s="351">
        <v>130.89600000000002</v>
      </c>
      <c r="E323" s="7">
        <v>75</v>
      </c>
      <c r="F323" s="287"/>
      <c r="G323" s="145">
        <f>+ROUND(E323+F323*TC,2)</f>
        <v>75</v>
      </c>
      <c r="H323" s="145">
        <f t="shared" si="144"/>
        <v>9817.2000000000007</v>
      </c>
      <c r="I323" s="146">
        <f t="shared" si="145"/>
        <v>0</v>
      </c>
      <c r="J323" s="7">
        <f t="shared" si="132"/>
        <v>9817.2000000000007</v>
      </c>
      <c r="K323" s="276"/>
    </row>
    <row r="324" spans="2:11" outlineLevel="1">
      <c r="B324" s="43" t="s">
        <v>339</v>
      </c>
      <c r="C324" s="302" t="s">
        <v>82</v>
      </c>
      <c r="D324" s="351">
        <v>104.65200000000002</v>
      </c>
      <c r="E324" s="7">
        <v>75</v>
      </c>
      <c r="F324" s="287"/>
      <c r="G324" s="145">
        <f>+ROUND(E324+F324*TC,2)</f>
        <v>75</v>
      </c>
      <c r="H324" s="145">
        <f t="shared" si="144"/>
        <v>7848.9</v>
      </c>
      <c r="I324" s="146">
        <f t="shared" si="145"/>
        <v>0</v>
      </c>
      <c r="J324" s="7">
        <f t="shared" si="132"/>
        <v>7848.9</v>
      </c>
      <c r="K324" s="276"/>
    </row>
    <row r="325" spans="2:11" outlineLevel="1">
      <c r="B325" s="43" t="s">
        <v>340</v>
      </c>
      <c r="C325" s="302" t="s">
        <v>82</v>
      </c>
      <c r="D325" s="351">
        <v>15.744</v>
      </c>
      <c r="E325" s="7">
        <v>125</v>
      </c>
      <c r="F325" s="287"/>
      <c r="G325" s="145">
        <f>+ROUND(E325+F325*TC,2)</f>
        <v>125</v>
      </c>
      <c r="H325" s="145">
        <f t="shared" si="144"/>
        <v>1968</v>
      </c>
      <c r="I325" s="146">
        <f t="shared" si="145"/>
        <v>0</v>
      </c>
      <c r="J325" s="7">
        <f t="shared" si="132"/>
        <v>1968</v>
      </c>
      <c r="K325" s="276"/>
    </row>
    <row r="326" spans="2:11" outlineLevel="1">
      <c r="B326" s="43" t="s">
        <v>341</v>
      </c>
      <c r="C326" s="302" t="s">
        <v>82</v>
      </c>
      <c r="D326" s="351">
        <v>14.817599999999999</v>
      </c>
      <c r="E326" s="7">
        <v>1095</v>
      </c>
      <c r="F326" s="287"/>
      <c r="G326" s="145">
        <f>+ROUND(E326+F326*TC,2)</f>
        <v>1095</v>
      </c>
      <c r="H326" s="145">
        <f t="shared" si="144"/>
        <v>16225.27</v>
      </c>
      <c r="I326" s="146">
        <f t="shared" si="145"/>
        <v>0</v>
      </c>
      <c r="J326" s="7">
        <f t="shared" si="132"/>
        <v>16225.27</v>
      </c>
      <c r="K326" s="276"/>
    </row>
    <row r="327" spans="2:11" outlineLevel="1">
      <c r="B327" s="713" t="s">
        <v>342</v>
      </c>
      <c r="C327" s="302"/>
      <c r="D327" s="351"/>
      <c r="E327" s="7"/>
      <c r="F327" s="287"/>
      <c r="G327" s="145"/>
      <c r="H327" s="145"/>
      <c r="I327" s="146"/>
      <c r="J327" s="7">
        <f t="shared" si="132"/>
        <v>0</v>
      </c>
      <c r="K327" s="276"/>
    </row>
    <row r="328" spans="2:11" outlineLevel="1">
      <c r="B328" s="43" t="s">
        <v>343</v>
      </c>
      <c r="C328" s="302" t="s">
        <v>82</v>
      </c>
      <c r="D328" s="351">
        <v>15.975900000000001</v>
      </c>
      <c r="E328" s="7">
        <v>65</v>
      </c>
      <c r="F328" s="287"/>
      <c r="G328" s="145">
        <f>+ROUND(E328+F328*TC,2)</f>
        <v>65</v>
      </c>
      <c r="H328" s="145">
        <f t="shared" si="144"/>
        <v>1038.43</v>
      </c>
      <c r="I328" s="146">
        <f t="shared" si="145"/>
        <v>0</v>
      </c>
      <c r="J328" s="7">
        <f t="shared" si="132"/>
        <v>1038.43</v>
      </c>
      <c r="K328" s="276"/>
    </row>
    <row r="329" spans="2:11" outlineLevel="1">
      <c r="B329" s="43" t="s">
        <v>344</v>
      </c>
      <c r="C329" s="302" t="s">
        <v>82</v>
      </c>
      <c r="D329" s="351">
        <v>1.0780000000000001</v>
      </c>
      <c r="E329" s="7">
        <v>150</v>
      </c>
      <c r="F329" s="287">
        <v>109.96721311475412</v>
      </c>
      <c r="G329" s="145">
        <f>+ROUND(E329+F329*TC,2)</f>
        <v>518.39</v>
      </c>
      <c r="H329" s="145">
        <f t="shared" si="144"/>
        <v>161.69999999999999</v>
      </c>
      <c r="I329" s="146">
        <f t="shared" si="145"/>
        <v>118.54</v>
      </c>
      <c r="J329" s="7">
        <f t="shared" si="132"/>
        <v>558.80999999999995</v>
      </c>
      <c r="K329" s="276"/>
    </row>
    <row r="330" spans="2:11" outlineLevel="1">
      <c r="B330" s="713" t="s">
        <v>345</v>
      </c>
      <c r="C330" s="302"/>
      <c r="D330" s="351"/>
      <c r="E330" s="7"/>
      <c r="F330" s="287"/>
      <c r="G330" s="145"/>
      <c r="H330" s="145"/>
      <c r="I330" s="146"/>
      <c r="J330" s="7">
        <f t="shared" si="132"/>
        <v>0</v>
      </c>
      <c r="K330" s="276"/>
    </row>
    <row r="331" spans="2:11" outlineLevel="1">
      <c r="B331" s="43" t="s">
        <v>346</v>
      </c>
      <c r="C331" s="302" t="s">
        <v>82</v>
      </c>
      <c r="D331" s="351">
        <v>16.368000000000002</v>
      </c>
      <c r="E331" s="7">
        <v>65</v>
      </c>
      <c r="F331" s="287"/>
      <c r="G331" s="145">
        <f>+ROUND(E331+F331*TC,2)</f>
        <v>65</v>
      </c>
      <c r="H331" s="145">
        <f t="shared" si="144"/>
        <v>1063.92</v>
      </c>
      <c r="I331" s="146">
        <f t="shared" si="145"/>
        <v>0</v>
      </c>
      <c r="J331" s="7">
        <f t="shared" si="132"/>
        <v>1063.92</v>
      </c>
      <c r="K331" s="276"/>
    </row>
    <row r="332" spans="2:11" outlineLevel="1">
      <c r="B332" s="43" t="s">
        <v>347</v>
      </c>
      <c r="C332" s="302" t="s">
        <v>141</v>
      </c>
      <c r="D332" s="351">
        <v>18.89</v>
      </c>
      <c r="E332" s="7"/>
      <c r="F332" s="287">
        <v>150</v>
      </c>
      <c r="G332" s="145">
        <f>+ROUND(E332+F332*TC,2)</f>
        <v>502.5</v>
      </c>
      <c r="H332" s="145">
        <f t="shared" si="144"/>
        <v>0</v>
      </c>
      <c r="I332" s="146">
        <f t="shared" si="145"/>
        <v>2833.5</v>
      </c>
      <c r="J332" s="7">
        <f t="shared" si="132"/>
        <v>9492.23</v>
      </c>
      <c r="K332" s="276"/>
    </row>
    <row r="333" spans="2:11" outlineLevel="1">
      <c r="B333" s="713" t="s">
        <v>348</v>
      </c>
      <c r="C333" s="302"/>
      <c r="D333" s="351"/>
      <c r="E333" s="7"/>
      <c r="F333" s="287"/>
      <c r="G333" s="145"/>
      <c r="H333" s="145"/>
      <c r="I333" s="146"/>
      <c r="J333" s="7">
        <f t="shared" si="132"/>
        <v>0</v>
      </c>
      <c r="K333" s="276"/>
    </row>
    <row r="334" spans="2:11" outlineLevel="1">
      <c r="B334" s="43" t="s">
        <v>349</v>
      </c>
      <c r="C334" s="302" t="s">
        <v>82</v>
      </c>
      <c r="D334" s="351">
        <v>16.243500000000001</v>
      </c>
      <c r="E334" s="7">
        <v>75</v>
      </c>
      <c r="F334" s="287"/>
      <c r="G334" s="145">
        <f>+ROUND(E334+F334*TC,2)</f>
        <v>75</v>
      </c>
      <c r="H334" s="145">
        <f t="shared" si="144"/>
        <v>1218.26</v>
      </c>
      <c r="I334" s="146">
        <f t="shared" si="145"/>
        <v>0</v>
      </c>
      <c r="J334" s="7">
        <f t="shared" si="132"/>
        <v>1218.26</v>
      </c>
      <c r="K334" s="276"/>
    </row>
    <row r="335" spans="2:11" outlineLevel="1">
      <c r="B335" s="43" t="s">
        <v>350</v>
      </c>
      <c r="C335" s="302" t="s">
        <v>82</v>
      </c>
      <c r="D335" s="351">
        <v>36.8508</v>
      </c>
      <c r="E335" s="7">
        <v>75</v>
      </c>
      <c r="F335" s="287"/>
      <c r="G335" s="145">
        <f>+ROUND(E335+F335*TC,2)</f>
        <v>75</v>
      </c>
      <c r="H335" s="145">
        <f t="shared" si="144"/>
        <v>2763.81</v>
      </c>
      <c r="I335" s="146">
        <f t="shared" si="145"/>
        <v>0</v>
      </c>
      <c r="J335" s="7">
        <f t="shared" si="132"/>
        <v>2763.81</v>
      </c>
      <c r="K335" s="276"/>
    </row>
    <row r="336" spans="2:11" outlineLevel="1">
      <c r="B336" s="43" t="s">
        <v>351</v>
      </c>
      <c r="C336" s="302" t="s">
        <v>82</v>
      </c>
      <c r="D336" s="351">
        <v>5.7959999999999994</v>
      </c>
      <c r="E336" s="7">
        <v>75</v>
      </c>
      <c r="F336" s="287"/>
      <c r="G336" s="145">
        <f>+ROUND(E336+F336*TC,2)</f>
        <v>75</v>
      </c>
      <c r="H336" s="145">
        <f t="shared" si="144"/>
        <v>434.7</v>
      </c>
      <c r="I336" s="146">
        <f t="shared" si="145"/>
        <v>0</v>
      </c>
      <c r="J336" s="7">
        <f t="shared" si="132"/>
        <v>434.7</v>
      </c>
      <c r="K336" s="276"/>
    </row>
    <row r="337" spans="2:11" outlineLevel="1">
      <c r="B337" s="43" t="s">
        <v>352</v>
      </c>
      <c r="C337" s="302" t="s">
        <v>82</v>
      </c>
      <c r="D337" s="351">
        <v>3.5638000000000001</v>
      </c>
      <c r="E337" s="7">
        <v>125</v>
      </c>
      <c r="F337" s="287"/>
      <c r="G337" s="145">
        <f>+ROUND(E337+F337*TC,2)</f>
        <v>125</v>
      </c>
      <c r="H337" s="145">
        <f t="shared" si="144"/>
        <v>445.48</v>
      </c>
      <c r="I337" s="146">
        <f t="shared" si="145"/>
        <v>0</v>
      </c>
      <c r="J337" s="7">
        <f t="shared" si="132"/>
        <v>445.48</v>
      </c>
      <c r="K337" s="276"/>
    </row>
    <row r="338" spans="2:11" outlineLevel="1">
      <c r="B338" s="43" t="s">
        <v>353</v>
      </c>
      <c r="C338" s="302" t="s">
        <v>82</v>
      </c>
      <c r="D338" s="351">
        <v>16.79</v>
      </c>
      <c r="E338" s="7">
        <v>23.5</v>
      </c>
      <c r="F338" s="287"/>
      <c r="G338" s="145">
        <f>+ROUND(E338+F338*TC,2)</f>
        <v>23.5</v>
      </c>
      <c r="H338" s="145">
        <f t="shared" si="144"/>
        <v>394.57</v>
      </c>
      <c r="I338" s="146">
        <f t="shared" si="145"/>
        <v>0</v>
      </c>
      <c r="J338" s="7">
        <f t="shared" si="132"/>
        <v>394.57</v>
      </c>
      <c r="K338" s="276"/>
    </row>
    <row r="339" spans="2:11" outlineLevel="1">
      <c r="B339" s="713" t="s">
        <v>1574</v>
      </c>
      <c r="C339" s="302"/>
      <c r="D339" s="351"/>
      <c r="E339" s="7"/>
      <c r="F339" s="287"/>
      <c r="G339" s="145"/>
      <c r="H339" s="145"/>
      <c r="I339" s="146"/>
      <c r="J339" s="7">
        <f t="shared" ref="J339:J340" si="146">+ROUND(H339+I339*TC,2)</f>
        <v>0</v>
      </c>
      <c r="K339" s="276"/>
    </row>
    <row r="340" spans="2:11" outlineLevel="1">
      <c r="B340" s="43" t="s">
        <v>2810</v>
      </c>
      <c r="C340" s="302" t="s">
        <v>82</v>
      </c>
      <c r="D340" s="351">
        <v>1.86</v>
      </c>
      <c r="E340" s="7"/>
      <c r="F340" s="287">
        <v>115</v>
      </c>
      <c r="G340" s="145">
        <f>+ROUND(E340+F340*TC,2)</f>
        <v>385.25</v>
      </c>
      <c r="H340" s="145">
        <f t="shared" ref="H340" si="147">+ROUND(D340*E340,2)</f>
        <v>0</v>
      </c>
      <c r="I340" s="146">
        <f t="shared" ref="I340" si="148">+ROUND(D340*F340,2)</f>
        <v>213.9</v>
      </c>
      <c r="J340" s="7">
        <f t="shared" si="146"/>
        <v>716.57</v>
      </c>
      <c r="K340" s="276"/>
    </row>
    <row r="341" spans="2:11" outlineLevel="1">
      <c r="B341" s="713" t="s">
        <v>354</v>
      </c>
      <c r="C341" s="302"/>
      <c r="D341" s="351"/>
      <c r="E341" s="7"/>
      <c r="F341" s="287"/>
      <c r="G341" s="145"/>
      <c r="H341" s="145"/>
      <c r="I341" s="146"/>
      <c r="J341" s="7">
        <f t="shared" si="132"/>
        <v>0</v>
      </c>
      <c r="K341" s="276"/>
    </row>
    <row r="342" spans="2:11" outlineLevel="1">
      <c r="B342" s="43" t="s">
        <v>355</v>
      </c>
      <c r="C342" s="302" t="s">
        <v>82</v>
      </c>
      <c r="D342" s="351">
        <v>17.39</v>
      </c>
      <c r="E342" s="7">
        <v>75</v>
      </c>
      <c r="F342" s="287"/>
      <c r="G342" s="145">
        <f>+ROUND(E342+F342*TC,2)</f>
        <v>75</v>
      </c>
      <c r="H342" s="145">
        <f t="shared" si="144"/>
        <v>1304.25</v>
      </c>
      <c r="I342" s="146">
        <f t="shared" si="145"/>
        <v>0</v>
      </c>
      <c r="J342" s="7">
        <f t="shared" si="132"/>
        <v>1304.25</v>
      </c>
      <c r="K342" s="276"/>
    </row>
    <row r="343" spans="2:11" outlineLevel="1">
      <c r="B343" s="43" t="s">
        <v>356</v>
      </c>
      <c r="C343" s="302" t="s">
        <v>82</v>
      </c>
      <c r="D343" s="351">
        <v>16.2944</v>
      </c>
      <c r="E343" s="7">
        <v>150</v>
      </c>
      <c r="F343" s="287">
        <v>109.96721311475412</v>
      </c>
      <c r="G343" s="145">
        <f>+ROUND(E343+F343*TC,2)</f>
        <v>518.39</v>
      </c>
      <c r="H343" s="145">
        <f t="shared" si="144"/>
        <v>2444.16</v>
      </c>
      <c r="I343" s="146">
        <f t="shared" si="145"/>
        <v>1791.85</v>
      </c>
      <c r="J343" s="7">
        <f t="shared" si="132"/>
        <v>8446.86</v>
      </c>
      <c r="K343" s="276"/>
    </row>
    <row r="344" spans="2:11" outlineLevel="1">
      <c r="B344" s="713" t="s">
        <v>357</v>
      </c>
      <c r="C344" s="302"/>
      <c r="D344" s="351"/>
      <c r="E344" s="7"/>
      <c r="F344" s="287"/>
      <c r="G344" s="145"/>
      <c r="H344" s="145"/>
      <c r="I344" s="146"/>
      <c r="J344" s="7">
        <f t="shared" si="132"/>
        <v>0</v>
      </c>
      <c r="K344" s="276"/>
    </row>
    <row r="345" spans="2:11" outlineLevel="1">
      <c r="B345" s="43" t="s">
        <v>358</v>
      </c>
      <c r="C345" s="302" t="s">
        <v>82</v>
      </c>
      <c r="D345" s="351">
        <v>2.2799999999999998</v>
      </c>
      <c r="E345" s="7">
        <v>75</v>
      </c>
      <c r="F345" s="287"/>
      <c r="G345" s="145">
        <f>+ROUND(E345+F345*TC,2)</f>
        <v>75</v>
      </c>
      <c r="H345" s="145">
        <f t="shared" si="144"/>
        <v>171</v>
      </c>
      <c r="I345" s="146">
        <f t="shared" si="145"/>
        <v>0</v>
      </c>
      <c r="J345" s="7">
        <f t="shared" si="132"/>
        <v>171</v>
      </c>
      <c r="K345" s="276"/>
    </row>
    <row r="346" spans="2:11" outlineLevel="1">
      <c r="B346" s="43" t="s">
        <v>359</v>
      </c>
      <c r="C346" s="302" t="s">
        <v>82</v>
      </c>
      <c r="D346" s="351">
        <v>40.6755</v>
      </c>
      <c r="E346" s="7">
        <v>75</v>
      </c>
      <c r="F346" s="287"/>
      <c r="G346" s="145">
        <f>+ROUND(E346+F346*TC,2)</f>
        <v>75</v>
      </c>
      <c r="H346" s="145">
        <f t="shared" si="144"/>
        <v>3050.66</v>
      </c>
      <c r="I346" s="146">
        <f t="shared" si="145"/>
        <v>0</v>
      </c>
      <c r="J346" s="7">
        <f t="shared" si="132"/>
        <v>3050.66</v>
      </c>
      <c r="K346" s="276"/>
    </row>
    <row r="347" spans="2:11" outlineLevel="1">
      <c r="B347" s="43" t="s">
        <v>360</v>
      </c>
      <c r="C347" s="302" t="s">
        <v>82</v>
      </c>
      <c r="D347" s="351">
        <v>1.16025</v>
      </c>
      <c r="E347" s="7">
        <v>125</v>
      </c>
      <c r="F347" s="287"/>
      <c r="G347" s="145">
        <f>+ROUND(E347+F347*TC,2)</f>
        <v>125</v>
      </c>
      <c r="H347" s="145">
        <f t="shared" si="144"/>
        <v>145.03</v>
      </c>
      <c r="I347" s="146">
        <f t="shared" si="145"/>
        <v>0</v>
      </c>
      <c r="J347" s="7">
        <f t="shared" si="132"/>
        <v>145.03</v>
      </c>
      <c r="K347" s="276"/>
    </row>
    <row r="348" spans="2:11" outlineLevel="1">
      <c r="B348" s="713" t="s">
        <v>361</v>
      </c>
      <c r="C348" s="302"/>
      <c r="D348" s="351"/>
      <c r="E348" s="7"/>
      <c r="F348" s="287"/>
      <c r="G348" s="145"/>
      <c r="H348" s="145"/>
      <c r="I348" s="146"/>
      <c r="J348" s="7">
        <f t="shared" si="132"/>
        <v>0</v>
      </c>
      <c r="K348" s="276"/>
    </row>
    <row r="349" spans="2:11" outlineLevel="1">
      <c r="B349" s="43" t="s">
        <v>362</v>
      </c>
      <c r="C349" s="302" t="s">
        <v>82</v>
      </c>
      <c r="D349" s="351">
        <v>28.49</v>
      </c>
      <c r="E349" s="7">
        <v>330</v>
      </c>
      <c r="F349" s="287"/>
      <c r="G349" s="145">
        <f>+ROUND(E349+F349*TC,2)</f>
        <v>330</v>
      </c>
      <c r="H349" s="145">
        <f t="shared" si="144"/>
        <v>9401.7000000000007</v>
      </c>
      <c r="I349" s="146">
        <f t="shared" si="145"/>
        <v>0</v>
      </c>
      <c r="J349" s="7">
        <f t="shared" si="132"/>
        <v>9401.7000000000007</v>
      </c>
      <c r="K349" s="276"/>
    </row>
    <row r="350" spans="2:11" outlineLevel="1">
      <c r="B350" s="43" t="s">
        <v>363</v>
      </c>
      <c r="C350" s="302" t="s">
        <v>82</v>
      </c>
      <c r="D350" s="351">
        <v>2.7825000000000002</v>
      </c>
      <c r="E350" s="7">
        <v>75</v>
      </c>
      <c r="F350" s="287"/>
      <c r="G350" s="145">
        <f>+ROUND(E350+F350*TC,2)</f>
        <v>75</v>
      </c>
      <c r="H350" s="145">
        <f t="shared" si="144"/>
        <v>208.69</v>
      </c>
      <c r="I350" s="146">
        <f t="shared" si="145"/>
        <v>0</v>
      </c>
      <c r="J350" s="7">
        <f t="shared" si="132"/>
        <v>208.69</v>
      </c>
      <c r="K350" s="276"/>
    </row>
    <row r="351" spans="2:11" outlineLevel="1">
      <c r="B351" s="713" t="s">
        <v>364</v>
      </c>
      <c r="C351" s="302"/>
      <c r="D351" s="351"/>
      <c r="E351" s="7"/>
      <c r="F351" s="287"/>
      <c r="G351" s="145"/>
      <c r="H351" s="145"/>
      <c r="I351" s="146"/>
      <c r="J351" s="7">
        <f t="shared" si="132"/>
        <v>0</v>
      </c>
      <c r="K351" s="276"/>
    </row>
    <row r="352" spans="2:11" outlineLevel="1">
      <c r="B352" s="43" t="s">
        <v>266</v>
      </c>
      <c r="C352" s="302" t="s">
        <v>82</v>
      </c>
      <c r="D352" s="351">
        <v>27.297270000000005</v>
      </c>
      <c r="E352" s="7">
        <v>69.38</v>
      </c>
      <c r="F352" s="287"/>
      <c r="G352" s="145">
        <f>+ROUND(E352+F352*TC,2)</f>
        <v>69.38</v>
      </c>
      <c r="H352" s="145">
        <f t="shared" si="144"/>
        <v>1893.88</v>
      </c>
      <c r="I352" s="146">
        <f t="shared" si="145"/>
        <v>0</v>
      </c>
      <c r="J352" s="7">
        <f t="shared" si="132"/>
        <v>1893.88</v>
      </c>
      <c r="K352" s="276"/>
    </row>
    <row r="353" spans="2:11">
      <c r="B353" s="694" t="s">
        <v>365</v>
      </c>
      <c r="C353" s="285"/>
      <c r="D353" s="286"/>
      <c r="E353" s="7" t="s">
        <v>27</v>
      </c>
      <c r="F353" s="287" t="s">
        <v>27</v>
      </c>
      <c r="G353" s="145"/>
      <c r="H353" s="145"/>
      <c r="I353" s="146"/>
      <c r="J353" s="7">
        <f t="shared" ref="J353:J416" si="149">+ROUND(H353+I353*TC,2)</f>
        <v>0</v>
      </c>
      <c r="K353" s="276">
        <f>SUM(H353:H357)+SUM(I353:I357)*TC</f>
        <v>45681.64</v>
      </c>
    </row>
    <row r="354" spans="2:11" outlineLevel="1">
      <c r="B354" s="697" t="s">
        <v>259</v>
      </c>
      <c r="C354" s="285"/>
      <c r="D354" s="286"/>
      <c r="E354" s="7" t="s">
        <v>27</v>
      </c>
      <c r="F354" s="287" t="s">
        <v>27</v>
      </c>
      <c r="G354" s="145"/>
      <c r="H354" s="145"/>
      <c r="I354" s="146"/>
      <c r="J354" s="7">
        <f t="shared" si="149"/>
        <v>0</v>
      </c>
      <c r="K354" s="276"/>
    </row>
    <row r="355" spans="2:11" outlineLevel="1">
      <c r="B355" s="354" t="s">
        <v>366</v>
      </c>
      <c r="C355" s="285" t="s">
        <v>141</v>
      </c>
      <c r="D355" s="286">
        <v>600.6</v>
      </c>
      <c r="E355" s="7">
        <v>76.06</v>
      </c>
      <c r="F355" s="287">
        <v>0</v>
      </c>
      <c r="G355" s="145">
        <f>+ROUND(E355+F355*TC,2)</f>
        <v>76.06</v>
      </c>
      <c r="H355" s="145">
        <f t="shared" si="135"/>
        <v>45681.64</v>
      </c>
      <c r="I355" s="146">
        <f t="shared" si="136"/>
        <v>0</v>
      </c>
      <c r="J355" s="7">
        <f t="shared" si="149"/>
        <v>45681.64</v>
      </c>
      <c r="K355" s="276"/>
    </row>
    <row r="356" spans="2:11" outlineLevel="1">
      <c r="B356" s="713" t="s">
        <v>367</v>
      </c>
      <c r="C356" s="285"/>
      <c r="D356" s="286"/>
      <c r="E356" s="7" t="s">
        <v>27</v>
      </c>
      <c r="F356" s="287" t="s">
        <v>27</v>
      </c>
      <c r="G356" s="145"/>
      <c r="H356" s="145"/>
      <c r="I356" s="146"/>
      <c r="J356" s="7">
        <f t="shared" si="149"/>
        <v>0</v>
      </c>
      <c r="K356" s="276"/>
    </row>
    <row r="357" spans="2:11" outlineLevel="1">
      <c r="B357" s="41" t="s">
        <v>368</v>
      </c>
      <c r="C357" s="285" t="s">
        <v>141</v>
      </c>
      <c r="D357" s="286">
        <v>0</v>
      </c>
      <c r="E357" s="7">
        <v>76.06</v>
      </c>
      <c r="F357" s="287">
        <v>0</v>
      </c>
      <c r="G357" s="145">
        <f>+ROUND(E357+F357*TC,2)</f>
        <v>76.06</v>
      </c>
      <c r="H357" s="145">
        <f>+ROUND(D357*E357,2)</f>
        <v>0</v>
      </c>
      <c r="I357" s="146">
        <f>+ROUND(D357*F357,2)</f>
        <v>0</v>
      </c>
      <c r="J357" s="7">
        <f t="shared" si="149"/>
        <v>0</v>
      </c>
      <c r="K357" s="276"/>
    </row>
    <row r="358" spans="2:11">
      <c r="B358" s="694" t="s">
        <v>369</v>
      </c>
      <c r="C358" s="285"/>
      <c r="D358" s="286"/>
      <c r="E358" s="7" t="s">
        <v>27</v>
      </c>
      <c r="F358" s="287" t="s">
        <v>27</v>
      </c>
      <c r="G358" s="145"/>
      <c r="H358" s="145"/>
      <c r="I358" s="146"/>
      <c r="J358" s="7">
        <f t="shared" si="149"/>
        <v>0</v>
      </c>
      <c r="K358" s="276">
        <f>SUM(H358:H417)+SUM(I358:I417)*TC</f>
        <v>507933.99399999995</v>
      </c>
    </row>
    <row r="359" spans="2:11" outlineLevel="1">
      <c r="B359" s="697" t="s">
        <v>259</v>
      </c>
      <c r="C359" s="285"/>
      <c r="D359" s="286"/>
      <c r="E359" s="7" t="s">
        <v>27</v>
      </c>
      <c r="F359" s="287" t="s">
        <v>27</v>
      </c>
      <c r="G359" s="145"/>
      <c r="H359" s="145"/>
      <c r="I359" s="146"/>
      <c r="J359" s="7">
        <f t="shared" si="149"/>
        <v>0</v>
      </c>
      <c r="K359" s="289"/>
    </row>
    <row r="360" spans="2:11" outlineLevel="1">
      <c r="B360" s="702" t="s">
        <v>370</v>
      </c>
      <c r="C360" s="285"/>
      <c r="D360" s="286"/>
      <c r="E360" s="7" t="s">
        <v>27</v>
      </c>
      <c r="F360" s="287" t="s">
        <v>27</v>
      </c>
      <c r="G360" s="145"/>
      <c r="H360" s="145"/>
      <c r="I360" s="146"/>
      <c r="J360" s="7">
        <f t="shared" si="149"/>
        <v>0</v>
      </c>
      <c r="K360" s="289"/>
    </row>
    <row r="361" spans="2:11" outlineLevel="1">
      <c r="B361" s="51" t="s">
        <v>371</v>
      </c>
      <c r="C361" s="285" t="s">
        <v>141</v>
      </c>
      <c r="D361" s="286">
        <v>13743.230000000001</v>
      </c>
      <c r="E361" s="7">
        <v>10.67</v>
      </c>
      <c r="F361" s="287">
        <v>2.56</v>
      </c>
      <c r="G361" s="145">
        <f>+ROUND(E361+F361*TC,2)</f>
        <v>19.25</v>
      </c>
      <c r="H361" s="145">
        <f t="shared" si="135"/>
        <v>146640.26</v>
      </c>
      <c r="I361" s="146">
        <f t="shared" si="136"/>
        <v>35182.67</v>
      </c>
      <c r="J361" s="7">
        <f t="shared" si="149"/>
        <v>264502.2</v>
      </c>
      <c r="K361" s="289"/>
    </row>
    <row r="362" spans="2:11" outlineLevel="1">
      <c r="B362" s="702" t="s">
        <v>372</v>
      </c>
      <c r="C362" s="285"/>
      <c r="D362" s="286"/>
      <c r="E362" s="7" t="s">
        <v>27</v>
      </c>
      <c r="F362" s="287" t="s">
        <v>27</v>
      </c>
      <c r="G362" s="145"/>
      <c r="H362" s="145"/>
      <c r="I362" s="146"/>
      <c r="J362" s="7">
        <f t="shared" si="149"/>
        <v>0</v>
      </c>
      <c r="K362" s="289"/>
    </row>
    <row r="363" spans="2:11" outlineLevel="1">
      <c r="B363" s="51" t="s">
        <v>371</v>
      </c>
      <c r="C363" s="285" t="s">
        <v>141</v>
      </c>
      <c r="D363" s="286">
        <v>1425.95</v>
      </c>
      <c r="E363" s="7">
        <v>10.67</v>
      </c>
      <c r="F363" s="287">
        <v>2.56</v>
      </c>
      <c r="G363" s="145">
        <f>+ROUND(E363+F363*TC,2)</f>
        <v>19.25</v>
      </c>
      <c r="H363" s="145">
        <f t="shared" ref="H363" si="150">+ROUND(D363*E363,2)</f>
        <v>15214.89</v>
      </c>
      <c r="I363" s="146">
        <f t="shared" ref="I363" si="151">+ROUND(D363*F363,2)</f>
        <v>3650.43</v>
      </c>
      <c r="J363" s="7">
        <f t="shared" si="149"/>
        <v>27443.83</v>
      </c>
      <c r="K363" s="289"/>
    </row>
    <row r="364" spans="2:11" outlineLevel="1">
      <c r="B364" s="355" t="s">
        <v>262</v>
      </c>
      <c r="C364" s="285"/>
      <c r="D364" s="286"/>
      <c r="E364" s="7" t="s">
        <v>27</v>
      </c>
      <c r="F364" s="287" t="s">
        <v>27</v>
      </c>
      <c r="G364" s="145"/>
      <c r="H364" s="145"/>
      <c r="I364" s="146"/>
      <c r="J364" s="7">
        <f t="shared" si="149"/>
        <v>0</v>
      </c>
      <c r="K364" s="289"/>
    </row>
    <row r="365" spans="2:11" outlineLevel="1">
      <c r="B365" s="41" t="s">
        <v>373</v>
      </c>
      <c r="C365" s="285" t="s">
        <v>141</v>
      </c>
      <c r="D365" s="286">
        <v>2058.1000000000008</v>
      </c>
      <c r="E365" s="7">
        <v>23.44</v>
      </c>
      <c r="F365" s="287">
        <v>0</v>
      </c>
      <c r="G365" s="145">
        <f>+ROUND(E365+F365*TC,2)</f>
        <v>23.44</v>
      </c>
      <c r="H365" s="145">
        <f t="shared" si="135"/>
        <v>48241.86</v>
      </c>
      <c r="I365" s="146">
        <f t="shared" si="136"/>
        <v>0</v>
      </c>
      <c r="J365" s="7">
        <f t="shared" si="149"/>
        <v>48241.86</v>
      </c>
      <c r="K365" s="289"/>
    </row>
    <row r="366" spans="2:11" outlineLevel="1">
      <c r="B366" s="720" t="s">
        <v>324</v>
      </c>
      <c r="C366" s="285"/>
      <c r="D366" s="286"/>
      <c r="E366" s="7" t="s">
        <v>27</v>
      </c>
      <c r="F366" s="287" t="s">
        <v>27</v>
      </c>
      <c r="G366" s="145"/>
      <c r="H366" s="145"/>
      <c r="I366" s="146"/>
      <c r="J366" s="7">
        <f t="shared" si="149"/>
        <v>0</v>
      </c>
      <c r="K366" s="289"/>
    </row>
    <row r="367" spans="2:11" outlineLevel="1">
      <c r="B367" s="5" t="s">
        <v>373</v>
      </c>
      <c r="C367" s="285" t="s">
        <v>141</v>
      </c>
      <c r="D367" s="286">
        <v>1160.5607000000005</v>
      </c>
      <c r="E367" s="7">
        <v>23.44</v>
      </c>
      <c r="F367" s="287">
        <v>0</v>
      </c>
      <c r="G367" s="145">
        <f>+ROUND(E367+F367*TC,2)</f>
        <v>23.44</v>
      </c>
      <c r="H367" s="145">
        <f t="shared" ref="H367:H426" si="152">+ROUND(D367*E367,2)</f>
        <v>27203.54</v>
      </c>
      <c r="I367" s="146">
        <f t="shared" si="136"/>
        <v>0</v>
      </c>
      <c r="J367" s="7">
        <f t="shared" si="149"/>
        <v>27203.54</v>
      </c>
      <c r="K367" s="289"/>
    </row>
    <row r="368" spans="2:11" outlineLevel="1">
      <c r="B368" s="720" t="s">
        <v>374</v>
      </c>
      <c r="C368" s="285"/>
      <c r="D368" s="286"/>
      <c r="E368" s="7" t="s">
        <v>27</v>
      </c>
      <c r="F368" s="287" t="s">
        <v>27</v>
      </c>
      <c r="G368" s="145"/>
      <c r="H368" s="145"/>
      <c r="I368" s="146"/>
      <c r="J368" s="7">
        <f t="shared" si="149"/>
        <v>0</v>
      </c>
      <c r="K368" s="276"/>
    </row>
    <row r="369" spans="2:11" outlineLevel="1">
      <c r="B369" s="41" t="s">
        <v>375</v>
      </c>
      <c r="C369" s="285" t="s">
        <v>141</v>
      </c>
      <c r="D369" s="286">
        <v>583.35999999999979</v>
      </c>
      <c r="E369" s="7">
        <v>24.54</v>
      </c>
      <c r="F369" s="287">
        <v>0</v>
      </c>
      <c r="G369" s="145">
        <f>+ROUND(E369+F369*TC,2)</f>
        <v>24.54</v>
      </c>
      <c r="H369" s="145">
        <f t="shared" si="152"/>
        <v>14315.65</v>
      </c>
      <c r="I369" s="146">
        <f t="shared" si="136"/>
        <v>0</v>
      </c>
      <c r="J369" s="7">
        <f t="shared" si="149"/>
        <v>14315.65</v>
      </c>
      <c r="K369" s="289"/>
    </row>
    <row r="370" spans="2:11" outlineLevel="1">
      <c r="B370" s="720" t="s">
        <v>376</v>
      </c>
      <c r="C370" s="285"/>
      <c r="D370" s="286"/>
      <c r="E370" s="7" t="s">
        <v>27</v>
      </c>
      <c r="F370" s="287" t="s">
        <v>27</v>
      </c>
      <c r="G370" s="145"/>
      <c r="H370" s="145"/>
      <c r="I370" s="146"/>
      <c r="J370" s="7">
        <f t="shared" si="149"/>
        <v>0</v>
      </c>
      <c r="K370" s="276"/>
    </row>
    <row r="371" spans="2:11" outlineLevel="1">
      <c r="B371" s="41" t="s">
        <v>375</v>
      </c>
      <c r="C371" s="285" t="s">
        <v>141</v>
      </c>
      <c r="D371" s="286">
        <v>81.049999999999983</v>
      </c>
      <c r="E371" s="7">
        <v>24.54</v>
      </c>
      <c r="F371" s="287">
        <v>0</v>
      </c>
      <c r="G371" s="145">
        <f>+ROUND(E371+F371*TC,2)</f>
        <v>24.54</v>
      </c>
      <c r="H371" s="145">
        <f t="shared" ref="H371" si="153">+ROUND(D371*E371,2)</f>
        <v>1988.97</v>
      </c>
      <c r="I371" s="146">
        <f t="shared" si="136"/>
        <v>0</v>
      </c>
      <c r="J371" s="7">
        <f t="shared" si="149"/>
        <v>1988.97</v>
      </c>
      <c r="K371" s="289"/>
    </row>
    <row r="372" spans="2:11" outlineLevel="1">
      <c r="B372" s="697" t="s">
        <v>271</v>
      </c>
      <c r="C372" s="285"/>
      <c r="D372" s="286"/>
      <c r="E372" s="7" t="s">
        <v>27</v>
      </c>
      <c r="F372" s="287" t="s">
        <v>27</v>
      </c>
      <c r="G372" s="145"/>
      <c r="H372" s="145"/>
      <c r="I372" s="146"/>
      <c r="J372" s="7">
        <f t="shared" si="149"/>
        <v>0</v>
      </c>
      <c r="K372" s="289"/>
    </row>
    <row r="373" spans="2:11" outlineLevel="1">
      <c r="B373" s="41" t="s">
        <v>377</v>
      </c>
      <c r="C373" s="285" t="s">
        <v>378</v>
      </c>
      <c r="D373" s="286">
        <v>12.3795</v>
      </c>
      <c r="E373" s="7">
        <v>35.25</v>
      </c>
      <c r="F373" s="287">
        <v>0</v>
      </c>
      <c r="G373" s="145">
        <f>+ROUND(E373+F373*TC,2)</f>
        <v>35.25</v>
      </c>
      <c r="H373" s="145">
        <f t="shared" ref="H373:H374" si="154">+ROUND(D373*E373,2)</f>
        <v>436.38</v>
      </c>
      <c r="I373" s="146">
        <f t="shared" ref="I373:I374" si="155">+ROUND(D373*F373,2)</f>
        <v>0</v>
      </c>
      <c r="J373" s="7">
        <f t="shared" si="149"/>
        <v>436.38</v>
      </c>
      <c r="K373" s="289"/>
    </row>
    <row r="374" spans="2:11" outlineLevel="1">
      <c r="B374" s="41" t="s">
        <v>379</v>
      </c>
      <c r="C374" s="285" t="s">
        <v>378</v>
      </c>
      <c r="D374" s="286">
        <v>1.2000000000000002</v>
      </c>
      <c r="E374" s="7">
        <v>35.25</v>
      </c>
      <c r="F374" s="287">
        <v>0</v>
      </c>
      <c r="G374" s="145">
        <f>+ROUND(E374+F374*TC,2)</f>
        <v>35.25</v>
      </c>
      <c r="H374" s="145">
        <f t="shared" si="154"/>
        <v>42.3</v>
      </c>
      <c r="I374" s="146">
        <f t="shared" si="155"/>
        <v>0</v>
      </c>
      <c r="J374" s="7">
        <f t="shared" si="149"/>
        <v>42.3</v>
      </c>
      <c r="K374" s="289"/>
    </row>
    <row r="375" spans="2:11" outlineLevel="1">
      <c r="B375" s="720" t="s">
        <v>380</v>
      </c>
      <c r="C375" s="285"/>
      <c r="D375" s="286"/>
      <c r="E375" s="7"/>
      <c r="F375" s="287" t="s">
        <v>27</v>
      </c>
      <c r="G375" s="145"/>
      <c r="H375" s="145"/>
      <c r="I375" s="146"/>
      <c r="J375" s="7">
        <f t="shared" si="149"/>
        <v>0</v>
      </c>
      <c r="K375" s="289"/>
    </row>
    <row r="376" spans="2:11" outlineLevel="1">
      <c r="B376" s="43" t="s">
        <v>381</v>
      </c>
      <c r="C376" s="285" t="s">
        <v>378</v>
      </c>
      <c r="D376" s="286">
        <v>1882.8799999999999</v>
      </c>
      <c r="E376" s="7">
        <v>39.880000000000003</v>
      </c>
      <c r="F376" s="287">
        <v>0</v>
      </c>
      <c r="G376" s="145">
        <f>+ROUND(E376+F376*TC,2)</f>
        <v>39.880000000000003</v>
      </c>
      <c r="H376" s="145">
        <f t="shared" ref="H376" si="156">+ROUND(D376*E376,2)</f>
        <v>75089.25</v>
      </c>
      <c r="I376" s="146">
        <f t="shared" ref="I376" si="157">+ROUND(D376*F376,2)</f>
        <v>0</v>
      </c>
      <c r="J376" s="7">
        <f t="shared" si="149"/>
        <v>75089.25</v>
      </c>
      <c r="K376" s="289"/>
    </row>
    <row r="377" spans="2:11" outlineLevel="1">
      <c r="B377" s="720" t="s">
        <v>382</v>
      </c>
      <c r="C377" s="285"/>
      <c r="D377" s="286"/>
      <c r="E377" s="7"/>
      <c r="F377" s="287"/>
      <c r="G377" s="145"/>
      <c r="H377" s="145"/>
      <c r="I377" s="146"/>
      <c r="J377" s="7">
        <f t="shared" si="149"/>
        <v>0</v>
      </c>
      <c r="K377" s="289"/>
    </row>
    <row r="378" spans="2:11" outlineLevel="1">
      <c r="B378" s="43" t="s">
        <v>381</v>
      </c>
      <c r="C378" s="285" t="s">
        <v>378</v>
      </c>
      <c r="D378" s="286">
        <v>544.74000000000012</v>
      </c>
      <c r="E378" s="7">
        <v>39.880000000000003</v>
      </c>
      <c r="F378" s="287">
        <v>0</v>
      </c>
      <c r="G378" s="145">
        <f>+ROUND(E378+F378*TC,2)</f>
        <v>39.880000000000003</v>
      </c>
      <c r="H378" s="145">
        <f t="shared" ref="H378" si="158">+ROUND(D378*E378,2)</f>
        <v>21724.23</v>
      </c>
      <c r="I378" s="146">
        <f t="shared" ref="I378" si="159">+ROUND(D378*F378,2)</f>
        <v>0</v>
      </c>
      <c r="J378" s="7">
        <f t="shared" si="149"/>
        <v>21724.23</v>
      </c>
      <c r="K378" s="289"/>
    </row>
    <row r="379" spans="2:11" outlineLevel="1">
      <c r="B379" s="720" t="s">
        <v>383</v>
      </c>
      <c r="C379" s="285"/>
      <c r="D379" s="286"/>
      <c r="E379" s="7"/>
      <c r="F379" s="287" t="s">
        <v>27</v>
      </c>
      <c r="G379" s="145"/>
      <c r="H379" s="145"/>
      <c r="I379" s="146"/>
      <c r="J379" s="7">
        <f t="shared" si="149"/>
        <v>0</v>
      </c>
      <c r="K379" s="289"/>
    </row>
    <row r="380" spans="2:11" outlineLevel="1">
      <c r="B380" s="41" t="s">
        <v>384</v>
      </c>
      <c r="C380" s="285" t="s">
        <v>378</v>
      </c>
      <c r="D380" s="286">
        <v>66.11</v>
      </c>
      <c r="E380" s="7">
        <v>12.75</v>
      </c>
      <c r="F380" s="287">
        <v>0</v>
      </c>
      <c r="G380" s="145">
        <f>+ROUND(E380+F380*TC,2)</f>
        <v>12.75</v>
      </c>
      <c r="H380" s="145">
        <f t="shared" ref="H380" si="160">+ROUND(D380*E380,2)</f>
        <v>842.9</v>
      </c>
      <c r="I380" s="146">
        <f t="shared" ref="I380" si="161">+ROUND(D380*F380,2)</f>
        <v>0</v>
      </c>
      <c r="J380" s="7">
        <f t="shared" si="149"/>
        <v>842.9</v>
      </c>
      <c r="K380" s="289"/>
    </row>
    <row r="381" spans="2:11" outlineLevel="1">
      <c r="B381" s="720" t="s">
        <v>385</v>
      </c>
      <c r="C381" s="285"/>
      <c r="D381" s="286"/>
      <c r="E381" s="7"/>
      <c r="F381" s="287"/>
      <c r="G381" s="145"/>
      <c r="H381" s="145"/>
      <c r="I381" s="146"/>
      <c r="J381" s="7">
        <f t="shared" si="149"/>
        <v>0</v>
      </c>
      <c r="K381" s="289"/>
    </row>
    <row r="382" spans="2:11" outlineLevel="1">
      <c r="B382" s="41" t="s">
        <v>386</v>
      </c>
      <c r="C382" s="285" t="s">
        <v>378</v>
      </c>
      <c r="D382" s="286">
        <v>31.649999999999995</v>
      </c>
      <c r="E382" s="7">
        <v>10.67</v>
      </c>
      <c r="F382" s="287">
        <v>4.26</v>
      </c>
      <c r="G382" s="145">
        <f>+ROUND(E382+F382*TC,2)</f>
        <v>24.94</v>
      </c>
      <c r="H382" s="145">
        <f t="shared" ref="H382" si="162">+ROUND(D382*E382,2)</f>
        <v>337.71</v>
      </c>
      <c r="I382" s="146">
        <f t="shared" ref="I382" si="163">+ROUND(D382*F382,2)</f>
        <v>134.83000000000001</v>
      </c>
      <c r="J382" s="7">
        <f t="shared" si="149"/>
        <v>789.39</v>
      </c>
      <c r="K382" s="289"/>
    </row>
    <row r="383" spans="2:11" outlineLevel="1">
      <c r="B383" s="41" t="s">
        <v>386</v>
      </c>
      <c r="C383" s="285" t="s">
        <v>378</v>
      </c>
      <c r="D383" s="286">
        <v>13.400000000000002</v>
      </c>
      <c r="E383" s="7">
        <v>10.67</v>
      </c>
      <c r="F383" s="287">
        <v>4.26</v>
      </c>
      <c r="G383" s="145">
        <f>+ROUND(E383+F383*TC,2)</f>
        <v>24.94</v>
      </c>
      <c r="H383" s="145">
        <f t="shared" ref="H383:H386" si="164">+ROUND(D383*E383,2)</f>
        <v>142.97999999999999</v>
      </c>
      <c r="I383" s="146">
        <f t="shared" ref="I383:I386" si="165">+ROUND(D383*F383,2)</f>
        <v>57.08</v>
      </c>
      <c r="J383" s="7">
        <f t="shared" si="149"/>
        <v>334.2</v>
      </c>
      <c r="K383" s="289"/>
    </row>
    <row r="384" spans="2:11" outlineLevel="1">
      <c r="B384" s="41" t="s">
        <v>386</v>
      </c>
      <c r="C384" s="285" t="s">
        <v>378</v>
      </c>
      <c r="D384" s="286">
        <v>5.9</v>
      </c>
      <c r="E384" s="7">
        <v>10.67</v>
      </c>
      <c r="F384" s="287">
        <v>4.26</v>
      </c>
      <c r="G384" s="145">
        <f>+ROUND(E384+F384*TC,2)</f>
        <v>24.94</v>
      </c>
      <c r="H384" s="145">
        <f t="shared" si="164"/>
        <v>62.95</v>
      </c>
      <c r="I384" s="146">
        <f t="shared" si="165"/>
        <v>25.13</v>
      </c>
      <c r="J384" s="7">
        <f t="shared" si="149"/>
        <v>147.13999999999999</v>
      </c>
      <c r="K384" s="289"/>
    </row>
    <row r="385" spans="2:11" outlineLevel="1">
      <c r="B385" s="720" t="s">
        <v>387</v>
      </c>
      <c r="C385" s="285"/>
      <c r="D385" s="286"/>
      <c r="E385" s="7"/>
      <c r="F385" s="287"/>
      <c r="G385" s="145"/>
      <c r="H385" s="145"/>
      <c r="I385" s="146"/>
      <c r="J385" s="7">
        <f t="shared" si="149"/>
        <v>0</v>
      </c>
      <c r="K385" s="289"/>
    </row>
    <row r="386" spans="2:11" outlineLevel="1">
      <c r="B386" s="41" t="s">
        <v>386</v>
      </c>
      <c r="C386" s="285" t="s">
        <v>378</v>
      </c>
      <c r="D386" s="286">
        <v>27.860000000000003</v>
      </c>
      <c r="E386" s="7">
        <v>10.67</v>
      </c>
      <c r="F386" s="287">
        <v>4.26</v>
      </c>
      <c r="G386" s="145">
        <f>+ROUND(E386+F386*TC,2)</f>
        <v>24.94</v>
      </c>
      <c r="H386" s="145">
        <f t="shared" si="164"/>
        <v>297.27</v>
      </c>
      <c r="I386" s="146">
        <f t="shared" si="165"/>
        <v>118.68</v>
      </c>
      <c r="J386" s="7">
        <f t="shared" si="149"/>
        <v>694.85</v>
      </c>
      <c r="K386" s="289"/>
    </row>
    <row r="387" spans="2:11" outlineLevel="1">
      <c r="B387" s="720" t="s">
        <v>388</v>
      </c>
      <c r="C387" s="285"/>
      <c r="D387" s="286"/>
      <c r="E387" s="7"/>
      <c r="F387" s="287" t="s">
        <v>27</v>
      </c>
      <c r="G387" s="145"/>
      <c r="H387" s="145"/>
      <c r="I387" s="146"/>
      <c r="J387" s="7">
        <f t="shared" si="149"/>
        <v>0</v>
      </c>
      <c r="K387" s="289"/>
    </row>
    <row r="388" spans="2:11" outlineLevel="1">
      <c r="B388" s="41" t="s">
        <v>389</v>
      </c>
      <c r="C388" s="285" t="s">
        <v>378</v>
      </c>
      <c r="D388" s="286">
        <v>130.84</v>
      </c>
      <c r="E388" s="7">
        <v>12.75</v>
      </c>
      <c r="F388" s="287">
        <v>0</v>
      </c>
      <c r="G388" s="145">
        <f>+ROUND(E388+F388*TC,2)</f>
        <v>12.75</v>
      </c>
      <c r="H388" s="145">
        <f t="shared" ref="H388:H398" si="166">+ROUND(D388*E388,2)</f>
        <v>1668.21</v>
      </c>
      <c r="I388" s="146">
        <f t="shared" ref="I388:I398" si="167">+ROUND(D388*F388,2)</f>
        <v>0</v>
      </c>
      <c r="J388" s="7">
        <f t="shared" si="149"/>
        <v>1668.21</v>
      </c>
      <c r="K388" s="289"/>
    </row>
    <row r="389" spans="2:11" outlineLevel="1">
      <c r="B389" s="720" t="s">
        <v>390</v>
      </c>
      <c r="C389" s="285"/>
      <c r="D389" s="286"/>
      <c r="E389" s="7"/>
      <c r="F389" s="287" t="s">
        <v>27</v>
      </c>
      <c r="G389" s="145"/>
      <c r="H389" s="145"/>
      <c r="I389" s="146"/>
      <c r="J389" s="7">
        <f t="shared" si="149"/>
        <v>0</v>
      </c>
      <c r="K389" s="289"/>
    </row>
    <row r="390" spans="2:11" outlineLevel="1">
      <c r="B390" s="41" t="s">
        <v>391</v>
      </c>
      <c r="C390" s="285" t="s">
        <v>378</v>
      </c>
      <c r="D390" s="286">
        <v>29.349999999999998</v>
      </c>
      <c r="E390" s="7"/>
      <c r="F390" s="287">
        <v>0</v>
      </c>
      <c r="G390" s="145">
        <f>+ROUND(E390+F390*TC,2)</f>
        <v>0</v>
      </c>
      <c r="H390" s="145">
        <f t="shared" si="166"/>
        <v>0</v>
      </c>
      <c r="I390" s="146">
        <f t="shared" si="167"/>
        <v>0</v>
      </c>
      <c r="J390" s="7">
        <f t="shared" si="149"/>
        <v>0</v>
      </c>
      <c r="K390" s="289"/>
    </row>
    <row r="391" spans="2:11" outlineLevel="1">
      <c r="B391" s="41" t="s">
        <v>392</v>
      </c>
      <c r="C391" s="285" t="s">
        <v>378</v>
      </c>
      <c r="D391" s="286">
        <v>324.06</v>
      </c>
      <c r="E391" s="7"/>
      <c r="F391" s="287">
        <v>0</v>
      </c>
      <c r="G391" s="145">
        <f>+ROUND(E391+F391*TC,2)</f>
        <v>0</v>
      </c>
      <c r="H391" s="145">
        <f t="shared" si="166"/>
        <v>0</v>
      </c>
      <c r="I391" s="146">
        <f t="shared" si="167"/>
        <v>0</v>
      </c>
      <c r="J391" s="7">
        <f t="shared" si="149"/>
        <v>0</v>
      </c>
      <c r="K391" s="289"/>
    </row>
    <row r="392" spans="2:11" outlineLevel="1">
      <c r="B392" s="720" t="s">
        <v>393</v>
      </c>
      <c r="C392" s="285"/>
      <c r="D392" s="286"/>
      <c r="E392" s="7"/>
      <c r="F392" s="287" t="s">
        <v>27</v>
      </c>
      <c r="G392" s="145"/>
      <c r="H392" s="145"/>
      <c r="I392" s="146"/>
      <c r="J392" s="7">
        <f t="shared" si="149"/>
        <v>0</v>
      </c>
      <c r="K392" s="289"/>
    </row>
    <row r="393" spans="2:11" outlineLevel="1">
      <c r="B393" s="41" t="s">
        <v>394</v>
      </c>
      <c r="C393" s="285" t="s">
        <v>378</v>
      </c>
      <c r="D393" s="286">
        <v>18.13</v>
      </c>
      <c r="E393" s="7"/>
      <c r="F393" s="287">
        <v>0</v>
      </c>
      <c r="G393" s="145">
        <f>+ROUND(E393+F393*TC,2)</f>
        <v>0</v>
      </c>
      <c r="H393" s="145">
        <f t="shared" ref="H393:H394" si="168">+ROUND(D393*E393,2)</f>
        <v>0</v>
      </c>
      <c r="I393" s="146">
        <f t="shared" ref="I393:I394" si="169">+ROUND(D393*F393,2)</f>
        <v>0</v>
      </c>
      <c r="J393" s="7">
        <f t="shared" si="149"/>
        <v>0</v>
      </c>
      <c r="K393" s="289"/>
    </row>
    <row r="394" spans="2:11" outlineLevel="1">
      <c r="B394" s="41" t="s">
        <v>395</v>
      </c>
      <c r="C394" s="285" t="s">
        <v>378</v>
      </c>
      <c r="D394" s="286">
        <v>20.200000000000003</v>
      </c>
      <c r="E394" s="7"/>
      <c r="F394" s="287">
        <v>0</v>
      </c>
      <c r="G394" s="145">
        <f>+ROUND(E394+F394*TC,2)</f>
        <v>0</v>
      </c>
      <c r="H394" s="145">
        <f t="shared" si="168"/>
        <v>0</v>
      </c>
      <c r="I394" s="146">
        <f t="shared" si="169"/>
        <v>0</v>
      </c>
      <c r="J394" s="7">
        <f t="shared" si="149"/>
        <v>0</v>
      </c>
      <c r="K394" s="289"/>
    </row>
    <row r="395" spans="2:11" outlineLevel="1">
      <c r="B395" s="41" t="s">
        <v>396</v>
      </c>
      <c r="C395" s="285" t="s">
        <v>378</v>
      </c>
      <c r="D395" s="286">
        <v>22.04</v>
      </c>
      <c r="E395" s="7"/>
      <c r="F395" s="287"/>
      <c r="G395" s="145"/>
      <c r="H395" s="145"/>
      <c r="I395" s="146"/>
      <c r="J395" s="7">
        <f t="shared" si="149"/>
        <v>0</v>
      </c>
      <c r="K395" s="289"/>
    </row>
    <row r="396" spans="2:11" outlineLevel="1">
      <c r="B396" s="41" t="s">
        <v>397</v>
      </c>
      <c r="C396" s="285" t="s">
        <v>378</v>
      </c>
      <c r="D396" s="286">
        <v>43.28</v>
      </c>
      <c r="E396" s="7"/>
      <c r="F396" s="287"/>
      <c r="G396" s="145"/>
      <c r="H396" s="145"/>
      <c r="I396" s="146"/>
      <c r="J396" s="7">
        <f t="shared" si="149"/>
        <v>0</v>
      </c>
      <c r="K396" s="289"/>
    </row>
    <row r="397" spans="2:11" outlineLevel="1">
      <c r="B397" s="720" t="s">
        <v>278</v>
      </c>
      <c r="C397" s="285"/>
      <c r="D397" s="286"/>
      <c r="E397" s="7"/>
      <c r="F397" s="287" t="s">
        <v>27</v>
      </c>
      <c r="G397" s="145"/>
      <c r="H397" s="145"/>
      <c r="I397" s="146"/>
      <c r="J397" s="7">
        <f t="shared" si="149"/>
        <v>0</v>
      </c>
      <c r="K397" s="289"/>
    </row>
    <row r="398" spans="2:11" outlineLevel="1">
      <c r="B398" s="41" t="s">
        <v>398</v>
      </c>
      <c r="C398" s="285" t="s">
        <v>378</v>
      </c>
      <c r="D398" s="286">
        <v>18.400000000000002</v>
      </c>
      <c r="E398" s="7">
        <v>12.75</v>
      </c>
      <c r="F398" s="287">
        <v>0</v>
      </c>
      <c r="G398" s="145">
        <f>+ROUND(E398+F398*TC,2)</f>
        <v>12.75</v>
      </c>
      <c r="H398" s="145">
        <f t="shared" si="166"/>
        <v>234.6</v>
      </c>
      <c r="I398" s="146">
        <f t="shared" si="167"/>
        <v>0</v>
      </c>
      <c r="J398" s="7">
        <f t="shared" si="149"/>
        <v>234.6</v>
      </c>
      <c r="K398" s="289"/>
    </row>
    <row r="399" spans="2:11" outlineLevel="1">
      <c r="B399" s="720" t="s">
        <v>399</v>
      </c>
      <c r="C399" s="285"/>
      <c r="D399" s="286"/>
      <c r="E399" s="7"/>
      <c r="F399" s="287"/>
      <c r="G399" s="145"/>
      <c r="H399" s="145"/>
      <c r="I399" s="146"/>
      <c r="J399" s="7">
        <f t="shared" si="149"/>
        <v>0</v>
      </c>
      <c r="K399" s="289"/>
    </row>
    <row r="400" spans="2:11" outlineLevel="1">
      <c r="B400" s="41" t="s">
        <v>400</v>
      </c>
      <c r="C400" s="285" t="s">
        <v>378</v>
      </c>
      <c r="D400" s="286">
        <v>116.65</v>
      </c>
      <c r="E400" s="7">
        <v>39.549999999999997</v>
      </c>
      <c r="F400" s="287">
        <v>0</v>
      </c>
      <c r="G400" s="145">
        <f>+ROUND(E400+F400*TC,2)</f>
        <v>39.549999999999997</v>
      </c>
      <c r="H400" s="145">
        <f t="shared" ref="H400" si="170">+ROUND(D400*E400,2)</f>
        <v>4613.51</v>
      </c>
      <c r="I400" s="146">
        <f t="shared" ref="I400" si="171">+ROUND(D400*F400,2)</f>
        <v>0</v>
      </c>
      <c r="J400" s="7">
        <f t="shared" si="149"/>
        <v>4613.51</v>
      </c>
      <c r="K400" s="289"/>
    </row>
    <row r="401" spans="2:11" outlineLevel="1">
      <c r="B401" s="720" t="s">
        <v>401</v>
      </c>
      <c r="C401" s="285"/>
      <c r="D401" s="286"/>
      <c r="E401" s="7"/>
      <c r="F401" s="287"/>
      <c r="G401" s="145"/>
      <c r="H401" s="145"/>
      <c r="I401" s="146"/>
      <c r="J401" s="7">
        <f t="shared" si="149"/>
        <v>0</v>
      </c>
      <c r="K401" s="289"/>
    </row>
    <row r="402" spans="2:11" outlineLevel="1">
      <c r="B402" s="41" t="s">
        <v>386</v>
      </c>
      <c r="C402" s="285" t="s">
        <v>378</v>
      </c>
      <c r="D402" s="286">
        <v>17.840000000000003</v>
      </c>
      <c r="E402" s="7">
        <v>10.67</v>
      </c>
      <c r="F402" s="287">
        <v>4.26</v>
      </c>
      <c r="G402" s="145">
        <f>+ROUND(E402+F402*TC,2)</f>
        <v>24.94</v>
      </c>
      <c r="H402" s="145">
        <f t="shared" ref="H402" si="172">+ROUND(D402*E402,2)</f>
        <v>190.35</v>
      </c>
      <c r="I402" s="146">
        <f t="shared" ref="I402" si="173">+ROUND(D402*F402,2)</f>
        <v>76</v>
      </c>
      <c r="J402" s="7">
        <f t="shared" si="149"/>
        <v>444.95</v>
      </c>
      <c r="K402" s="289"/>
    </row>
    <row r="403" spans="2:11" outlineLevel="1">
      <c r="B403" s="720" t="s">
        <v>402</v>
      </c>
      <c r="C403" s="285"/>
      <c r="D403" s="286"/>
      <c r="E403" s="7"/>
      <c r="F403" s="287"/>
      <c r="G403" s="145"/>
      <c r="H403" s="145"/>
      <c r="I403" s="146"/>
      <c r="J403" s="7">
        <f t="shared" si="149"/>
        <v>0</v>
      </c>
      <c r="K403" s="289"/>
    </row>
    <row r="404" spans="2:11" outlineLevel="1">
      <c r="B404" s="41" t="s">
        <v>386</v>
      </c>
      <c r="C404" s="285" t="s">
        <v>378</v>
      </c>
      <c r="D404" s="286">
        <v>20.049999999999997</v>
      </c>
      <c r="E404" s="7">
        <v>10.67</v>
      </c>
      <c r="F404" s="287">
        <v>4.26</v>
      </c>
      <c r="G404" s="145">
        <f>+ROUND(E404+F404*TC,2)</f>
        <v>24.94</v>
      </c>
      <c r="H404" s="145">
        <f t="shared" ref="H404" si="174">+ROUND(D404*E404,2)</f>
        <v>213.93</v>
      </c>
      <c r="I404" s="146">
        <f t="shared" ref="I404" si="175">+ROUND(D404*F404,2)</f>
        <v>85.41</v>
      </c>
      <c r="J404" s="7">
        <f t="shared" si="149"/>
        <v>500.05</v>
      </c>
      <c r="K404" s="289"/>
    </row>
    <row r="405" spans="2:11" outlineLevel="1">
      <c r="B405" s="720" t="s">
        <v>403</v>
      </c>
      <c r="C405" s="285"/>
      <c r="D405" s="286"/>
      <c r="E405" s="7"/>
      <c r="F405" s="287" t="s">
        <v>27</v>
      </c>
      <c r="G405" s="145"/>
      <c r="H405" s="145"/>
      <c r="I405" s="146"/>
      <c r="J405" s="7"/>
      <c r="K405" s="289"/>
    </row>
    <row r="406" spans="2:11" outlineLevel="1">
      <c r="B406" s="41" t="s">
        <v>404</v>
      </c>
      <c r="C406" s="285" t="s">
        <v>378</v>
      </c>
      <c r="D406" s="286">
        <v>26.299999999999997</v>
      </c>
      <c r="E406" s="7">
        <v>55</v>
      </c>
      <c r="F406" s="287">
        <v>0</v>
      </c>
      <c r="G406" s="145">
        <f>+ROUND(E406+F406*TC,2)</f>
        <v>55</v>
      </c>
      <c r="H406" s="145">
        <f t="shared" ref="H406" si="176">+ROUND(D406*E406,2)</f>
        <v>1446.5</v>
      </c>
      <c r="I406" s="146">
        <f t="shared" ref="I406" si="177">+ROUND(D406*F406,2)</f>
        <v>0</v>
      </c>
      <c r="J406" s="7">
        <f t="shared" ref="J406" si="178">+ROUND(H406+I406*TC,2)</f>
        <v>1446.5</v>
      </c>
      <c r="K406" s="289"/>
    </row>
    <row r="407" spans="2:11" outlineLevel="1">
      <c r="B407" s="720" t="s">
        <v>405</v>
      </c>
      <c r="C407" s="285"/>
      <c r="D407" s="286"/>
      <c r="E407" s="7"/>
      <c r="F407" s="287"/>
      <c r="G407" s="145"/>
      <c r="H407" s="145"/>
      <c r="I407" s="146"/>
      <c r="J407" s="7">
        <f t="shared" si="149"/>
        <v>0</v>
      </c>
      <c r="K407" s="289"/>
    </row>
    <row r="408" spans="2:11" outlineLevel="1">
      <c r="B408" s="41" t="s">
        <v>400</v>
      </c>
      <c r="C408" s="285" t="s">
        <v>378</v>
      </c>
      <c r="D408" s="286">
        <v>12.919999999999998</v>
      </c>
      <c r="E408" s="7">
        <v>39.549999999999997</v>
      </c>
      <c r="F408" s="287">
        <v>0</v>
      </c>
      <c r="G408" s="145">
        <f>+ROUND(E408+F408*TC,2)</f>
        <v>39.549999999999997</v>
      </c>
      <c r="H408" s="145">
        <f t="shared" ref="H408" si="179">+ROUND(D408*E408,2)</f>
        <v>510.99</v>
      </c>
      <c r="I408" s="146">
        <f t="shared" ref="I408" si="180">+ROUND(D408*F408,2)</f>
        <v>0</v>
      </c>
      <c r="J408" s="7">
        <f t="shared" si="149"/>
        <v>510.99</v>
      </c>
      <c r="K408" s="289"/>
    </row>
    <row r="409" spans="2:11" outlineLevel="1">
      <c r="B409" s="720" t="s">
        <v>297</v>
      </c>
      <c r="C409" s="285"/>
      <c r="D409" s="286"/>
      <c r="E409" s="7"/>
      <c r="F409" s="287"/>
      <c r="G409" s="145"/>
      <c r="H409" s="145"/>
      <c r="I409" s="146"/>
      <c r="J409" s="7">
        <f t="shared" si="149"/>
        <v>0</v>
      </c>
      <c r="K409" s="289"/>
    </row>
    <row r="410" spans="2:11" outlineLevel="1">
      <c r="B410" s="41" t="s">
        <v>400</v>
      </c>
      <c r="C410" s="285" t="s">
        <v>378</v>
      </c>
      <c r="D410" s="286">
        <v>12.27</v>
      </c>
      <c r="E410" s="7">
        <v>39.549999999999997</v>
      </c>
      <c r="F410" s="287">
        <v>0</v>
      </c>
      <c r="G410" s="145">
        <f>+ROUND(E410+F410*TC,2)</f>
        <v>39.549999999999997</v>
      </c>
      <c r="H410" s="145">
        <f t="shared" ref="H410" si="181">+ROUND(D410*E410,2)</f>
        <v>485.28</v>
      </c>
      <c r="I410" s="146">
        <f t="shared" ref="I410" si="182">+ROUND(D410*F410,2)</f>
        <v>0</v>
      </c>
      <c r="J410" s="7">
        <f t="shared" si="149"/>
        <v>485.28</v>
      </c>
      <c r="K410" s="289"/>
    </row>
    <row r="411" spans="2:11" outlineLevel="1">
      <c r="B411" s="720" t="s">
        <v>312</v>
      </c>
      <c r="C411" s="285"/>
      <c r="D411" s="286"/>
      <c r="E411" s="7"/>
      <c r="F411" s="287"/>
      <c r="G411" s="145"/>
      <c r="H411" s="145"/>
      <c r="I411" s="146"/>
      <c r="J411" s="7">
        <f t="shared" si="149"/>
        <v>0</v>
      </c>
      <c r="K411" s="289"/>
    </row>
    <row r="412" spans="2:11" outlineLevel="1">
      <c r="B412" s="41" t="s">
        <v>386</v>
      </c>
      <c r="C412" s="285" t="s">
        <v>378</v>
      </c>
      <c r="D412" s="286">
        <v>18.029999999999998</v>
      </c>
      <c r="E412" s="7">
        <v>10.67</v>
      </c>
      <c r="F412" s="287">
        <v>4.26</v>
      </c>
      <c r="G412" s="145">
        <f>+ROUND(E412+F412*TC,2)</f>
        <v>24.94</v>
      </c>
      <c r="H412" s="145">
        <f t="shared" ref="H412" si="183">+ROUND(D412*E412,2)</f>
        <v>192.38</v>
      </c>
      <c r="I412" s="146">
        <f t="shared" ref="I412" si="184">+ROUND(D412*F412,2)</f>
        <v>76.81</v>
      </c>
      <c r="J412" s="7">
        <f t="shared" si="149"/>
        <v>449.69</v>
      </c>
      <c r="K412" s="289"/>
    </row>
    <row r="413" spans="2:11" outlineLevel="1">
      <c r="B413" s="720" t="s">
        <v>280</v>
      </c>
      <c r="C413" s="285"/>
      <c r="D413" s="286"/>
      <c r="E413" s="7"/>
      <c r="F413" s="287" t="s">
        <v>27</v>
      </c>
      <c r="G413" s="145"/>
      <c r="H413" s="145"/>
      <c r="I413" s="146"/>
      <c r="J413" s="7">
        <f t="shared" si="149"/>
        <v>0</v>
      </c>
      <c r="K413" s="289"/>
    </row>
    <row r="414" spans="2:11" outlineLevel="1">
      <c r="B414" s="41" t="s">
        <v>406</v>
      </c>
      <c r="C414" s="285" t="s">
        <v>378</v>
      </c>
      <c r="D414" s="286">
        <v>292.86000000000007</v>
      </c>
      <c r="E414" s="7">
        <v>12.75</v>
      </c>
      <c r="F414" s="287">
        <v>0</v>
      </c>
      <c r="G414" s="145">
        <f>+ROUND(E414+F414*TC,2)</f>
        <v>12.75</v>
      </c>
      <c r="H414" s="145">
        <f t="shared" ref="H414" si="185">+ROUND(D414*E414,2)</f>
        <v>3733.97</v>
      </c>
      <c r="I414" s="146">
        <f t="shared" ref="I414" si="186">+ROUND(D414*F414,2)</f>
        <v>0</v>
      </c>
      <c r="J414" s="7">
        <f t="shared" si="149"/>
        <v>3733.97</v>
      </c>
      <c r="K414" s="289"/>
    </row>
    <row r="415" spans="2:11" outlineLevel="1">
      <c r="B415" s="720" t="s">
        <v>407</v>
      </c>
      <c r="C415" s="285"/>
      <c r="D415" s="286"/>
      <c r="E415" s="7"/>
      <c r="F415" s="287" t="s">
        <v>27</v>
      </c>
      <c r="G415" s="145"/>
      <c r="H415" s="145"/>
      <c r="I415" s="146"/>
      <c r="J415" s="7">
        <f t="shared" si="149"/>
        <v>0</v>
      </c>
      <c r="K415" s="289"/>
    </row>
    <row r="416" spans="2:11" outlineLevel="1">
      <c r="B416" s="41" t="s">
        <v>408</v>
      </c>
      <c r="C416" s="285" t="s">
        <v>378</v>
      </c>
      <c r="D416" s="286">
        <v>386.23999999999995</v>
      </c>
      <c r="E416" s="7">
        <v>12.75</v>
      </c>
      <c r="F416" s="287">
        <v>0</v>
      </c>
      <c r="G416" s="145">
        <f>+ROUND(E416+F416*TC,2)</f>
        <v>12.75</v>
      </c>
      <c r="H416" s="145">
        <f t="shared" ref="H416" si="187">+ROUND(D416*E416,2)</f>
        <v>4924.5600000000004</v>
      </c>
      <c r="I416" s="146">
        <f t="shared" ref="I416" si="188">+ROUND(D416*F416,2)</f>
        <v>0</v>
      </c>
      <c r="J416" s="7">
        <f t="shared" si="149"/>
        <v>4924.5600000000004</v>
      </c>
      <c r="K416" s="289"/>
    </row>
    <row r="417" spans="2:11" outlineLevel="1">
      <c r="B417" s="41" t="s">
        <v>409</v>
      </c>
      <c r="C417" s="285" t="s">
        <v>378</v>
      </c>
      <c r="D417" s="286">
        <v>401.96</v>
      </c>
      <c r="E417" s="7">
        <v>12.75</v>
      </c>
      <c r="F417" s="287">
        <v>0</v>
      </c>
      <c r="G417" s="145">
        <f>+ROUND(E417+F417*TC,2)</f>
        <v>12.75</v>
      </c>
      <c r="H417" s="145">
        <f t="shared" ref="H417" si="189">+ROUND(D417*E417,2)</f>
        <v>5124.99</v>
      </c>
      <c r="I417" s="146">
        <f t="shared" ref="I417" si="190">+ROUND(D417*F417,2)</f>
        <v>0</v>
      </c>
      <c r="J417" s="7">
        <f t="shared" ref="J417:J488" si="191">+ROUND(H417+I417*TC,2)</f>
        <v>5124.99</v>
      </c>
      <c r="K417" s="289"/>
    </row>
    <row r="418" spans="2:11">
      <c r="B418" s="694" t="s">
        <v>410</v>
      </c>
      <c r="C418" s="285"/>
      <c r="D418" s="286"/>
      <c r="E418" s="7" t="s">
        <v>27</v>
      </c>
      <c r="F418" s="287" t="s">
        <v>27</v>
      </c>
      <c r="G418" s="145"/>
      <c r="H418" s="145"/>
      <c r="I418" s="146"/>
      <c r="J418" s="7">
        <f t="shared" si="191"/>
        <v>0</v>
      </c>
      <c r="K418" s="276">
        <f>SUM(H418:H450)+SUM(I418:I450)*TC</f>
        <v>131787.75</v>
      </c>
    </row>
    <row r="419" spans="2:11" outlineLevel="1">
      <c r="B419" s="349" t="s">
        <v>411</v>
      </c>
      <c r="C419" s="285"/>
      <c r="D419" s="286"/>
      <c r="E419" s="7" t="s">
        <v>27</v>
      </c>
      <c r="F419" s="287" t="s">
        <v>27</v>
      </c>
      <c r="G419" s="145"/>
      <c r="H419" s="145"/>
      <c r="I419" s="146"/>
      <c r="J419" s="7">
        <f t="shared" si="191"/>
        <v>0</v>
      </c>
      <c r="K419" s="289"/>
    </row>
    <row r="420" spans="2:11" outlineLevel="1">
      <c r="B420" s="150" t="s">
        <v>412</v>
      </c>
      <c r="C420" s="285" t="s">
        <v>141</v>
      </c>
      <c r="D420" s="286">
        <v>537.59999999999991</v>
      </c>
      <c r="E420" s="7">
        <v>45.24</v>
      </c>
      <c r="F420" s="287">
        <v>0</v>
      </c>
      <c r="G420" s="145">
        <f t="shared" ref="G420:G426" si="192">+ROUND(E420+F420*TC,2)</f>
        <v>45.24</v>
      </c>
      <c r="H420" s="145">
        <f t="shared" si="152"/>
        <v>24321.02</v>
      </c>
      <c r="I420" s="146">
        <f t="shared" ref="I420:I426" si="193">+ROUND(D420*F420,2)</f>
        <v>0</v>
      </c>
      <c r="J420" s="7">
        <f t="shared" si="191"/>
        <v>24321.02</v>
      </c>
      <c r="K420" s="276"/>
    </row>
    <row r="421" spans="2:11" outlineLevel="1">
      <c r="B421" s="45" t="s">
        <v>413</v>
      </c>
      <c r="C421" s="285" t="s">
        <v>82</v>
      </c>
      <c r="D421" s="286">
        <v>158.63</v>
      </c>
      <c r="E421" s="7">
        <v>76.28</v>
      </c>
      <c r="F421" s="287">
        <v>0</v>
      </c>
      <c r="G421" s="145">
        <f t="shared" si="192"/>
        <v>76.28</v>
      </c>
      <c r="H421" s="145">
        <f t="shared" si="152"/>
        <v>12100.3</v>
      </c>
      <c r="I421" s="146">
        <f t="shared" si="193"/>
        <v>0</v>
      </c>
      <c r="J421" s="7">
        <f t="shared" si="191"/>
        <v>12100.3</v>
      </c>
      <c r="K421" s="276"/>
    </row>
    <row r="422" spans="2:11" outlineLevel="1">
      <c r="B422" s="150" t="s">
        <v>414</v>
      </c>
      <c r="C422" s="285" t="s">
        <v>82</v>
      </c>
      <c r="D422" s="286">
        <v>158.63</v>
      </c>
      <c r="E422" s="7">
        <v>21.52</v>
      </c>
      <c r="F422" s="287">
        <v>0</v>
      </c>
      <c r="G422" s="145">
        <f t="shared" si="192"/>
        <v>21.52</v>
      </c>
      <c r="H422" s="145">
        <f t="shared" si="152"/>
        <v>3413.72</v>
      </c>
      <c r="I422" s="146">
        <f t="shared" si="193"/>
        <v>0</v>
      </c>
      <c r="J422" s="7">
        <f t="shared" si="191"/>
        <v>3413.72</v>
      </c>
      <c r="K422" s="276"/>
    </row>
    <row r="423" spans="2:11" outlineLevel="1">
      <c r="B423" s="150" t="s">
        <v>415</v>
      </c>
      <c r="C423" s="285" t="s">
        <v>141</v>
      </c>
      <c r="D423" s="286">
        <v>537.59999999999991</v>
      </c>
      <c r="E423" s="7">
        <v>16.399999999999999</v>
      </c>
      <c r="F423" s="287">
        <v>0</v>
      </c>
      <c r="G423" s="145">
        <f t="shared" si="192"/>
        <v>16.399999999999999</v>
      </c>
      <c r="H423" s="145">
        <f t="shared" si="152"/>
        <v>8816.64</v>
      </c>
      <c r="I423" s="146">
        <f t="shared" si="193"/>
        <v>0</v>
      </c>
      <c r="J423" s="7">
        <f t="shared" si="191"/>
        <v>8816.64</v>
      </c>
      <c r="K423" s="276"/>
    </row>
    <row r="424" spans="2:11" outlineLevel="1">
      <c r="B424" s="150" t="s">
        <v>416</v>
      </c>
      <c r="C424" s="285" t="s">
        <v>141</v>
      </c>
      <c r="D424" s="286">
        <v>537.59999999999991</v>
      </c>
      <c r="E424" s="7">
        <v>13.11</v>
      </c>
      <c r="F424" s="287">
        <v>0</v>
      </c>
      <c r="G424" s="145">
        <f t="shared" si="192"/>
        <v>13.11</v>
      </c>
      <c r="H424" s="145">
        <f t="shared" si="152"/>
        <v>7047.94</v>
      </c>
      <c r="I424" s="146">
        <f t="shared" si="193"/>
        <v>0</v>
      </c>
      <c r="J424" s="7">
        <f t="shared" si="191"/>
        <v>7047.94</v>
      </c>
      <c r="K424" s="276"/>
    </row>
    <row r="425" spans="2:11" outlineLevel="1">
      <c r="B425" s="150" t="s">
        <v>417</v>
      </c>
      <c r="C425" s="285" t="s">
        <v>82</v>
      </c>
      <c r="D425" s="286">
        <v>264.17999999999995</v>
      </c>
      <c r="E425" s="7">
        <v>18.37</v>
      </c>
      <c r="F425" s="287">
        <v>0</v>
      </c>
      <c r="G425" s="145">
        <f t="shared" si="192"/>
        <v>18.37</v>
      </c>
      <c r="H425" s="145">
        <f t="shared" si="152"/>
        <v>4852.99</v>
      </c>
      <c r="I425" s="146">
        <f t="shared" si="193"/>
        <v>0</v>
      </c>
      <c r="J425" s="7">
        <f t="shared" si="191"/>
        <v>4852.99</v>
      </c>
      <c r="K425" s="276"/>
    </row>
    <row r="426" spans="2:11" outlineLevel="1">
      <c r="B426" s="150" t="s">
        <v>418</v>
      </c>
      <c r="C426" s="285" t="s">
        <v>141</v>
      </c>
      <c r="D426" s="286">
        <v>110.79000000000005</v>
      </c>
      <c r="E426" s="7">
        <v>21</v>
      </c>
      <c r="F426" s="287">
        <v>0</v>
      </c>
      <c r="G426" s="145">
        <f t="shared" si="192"/>
        <v>21</v>
      </c>
      <c r="H426" s="145">
        <f t="shared" si="152"/>
        <v>2326.59</v>
      </c>
      <c r="I426" s="146">
        <f t="shared" si="193"/>
        <v>0</v>
      </c>
      <c r="J426" s="7">
        <f t="shared" si="191"/>
        <v>2326.59</v>
      </c>
      <c r="K426" s="276"/>
    </row>
    <row r="427" spans="2:11" outlineLevel="1">
      <c r="B427" s="349" t="s">
        <v>419</v>
      </c>
      <c r="C427" s="285"/>
      <c r="D427" s="286"/>
      <c r="E427" s="7" t="s">
        <v>27</v>
      </c>
      <c r="F427" s="287" t="s">
        <v>27</v>
      </c>
      <c r="G427" s="145"/>
      <c r="H427" s="145"/>
      <c r="I427" s="146"/>
      <c r="J427" s="7">
        <f t="shared" si="191"/>
        <v>0</v>
      </c>
      <c r="K427" s="289"/>
    </row>
    <row r="428" spans="2:11" outlineLevel="1">
      <c r="B428" s="150" t="s">
        <v>412</v>
      </c>
      <c r="C428" s="285" t="s">
        <v>141</v>
      </c>
      <c r="D428" s="286">
        <v>557.99999999999989</v>
      </c>
      <c r="E428" s="7">
        <v>45.24</v>
      </c>
      <c r="F428" s="287">
        <v>0</v>
      </c>
      <c r="G428" s="145">
        <f t="shared" ref="G428:G434" si="194">+ROUND(E428+F428*TC,2)</f>
        <v>45.24</v>
      </c>
      <c r="H428" s="145">
        <f t="shared" ref="H428:H434" si="195">+ROUND(D428*E428,2)</f>
        <v>25243.919999999998</v>
      </c>
      <c r="I428" s="146">
        <f t="shared" ref="I428:I434" si="196">+ROUND(D428*F428,2)</f>
        <v>0</v>
      </c>
      <c r="J428" s="7">
        <f t="shared" si="191"/>
        <v>25243.919999999998</v>
      </c>
      <c r="K428" s="276"/>
    </row>
    <row r="429" spans="2:11" outlineLevel="1">
      <c r="B429" s="45" t="s">
        <v>413</v>
      </c>
      <c r="C429" s="285" t="s">
        <v>82</v>
      </c>
      <c r="D429" s="286">
        <v>153.99999999999991</v>
      </c>
      <c r="E429" s="7">
        <v>76.28</v>
      </c>
      <c r="F429" s="287">
        <v>0</v>
      </c>
      <c r="G429" s="145">
        <f t="shared" si="194"/>
        <v>76.28</v>
      </c>
      <c r="H429" s="145">
        <f t="shared" si="195"/>
        <v>11747.12</v>
      </c>
      <c r="I429" s="146">
        <f t="shared" si="196"/>
        <v>0</v>
      </c>
      <c r="J429" s="7">
        <f t="shared" si="191"/>
        <v>11747.12</v>
      </c>
      <c r="K429" s="276"/>
    </row>
    <row r="430" spans="2:11" outlineLevel="1">
      <c r="B430" s="150" t="s">
        <v>414</v>
      </c>
      <c r="C430" s="285" t="s">
        <v>82</v>
      </c>
      <c r="D430" s="286">
        <v>154</v>
      </c>
      <c r="E430" s="7">
        <v>21.52</v>
      </c>
      <c r="F430" s="287">
        <v>0</v>
      </c>
      <c r="G430" s="145">
        <f t="shared" si="194"/>
        <v>21.52</v>
      </c>
      <c r="H430" s="145">
        <f t="shared" si="195"/>
        <v>3314.08</v>
      </c>
      <c r="I430" s="146">
        <f t="shared" si="196"/>
        <v>0</v>
      </c>
      <c r="J430" s="7">
        <f t="shared" si="191"/>
        <v>3314.08</v>
      </c>
      <c r="K430" s="276"/>
    </row>
    <row r="431" spans="2:11" outlineLevel="1">
      <c r="B431" s="150" t="s">
        <v>415</v>
      </c>
      <c r="C431" s="285" t="s">
        <v>141</v>
      </c>
      <c r="D431" s="286">
        <v>558</v>
      </c>
      <c r="E431" s="7">
        <v>16.399999999999999</v>
      </c>
      <c r="F431" s="287">
        <v>0</v>
      </c>
      <c r="G431" s="145">
        <f t="shared" si="194"/>
        <v>16.399999999999999</v>
      </c>
      <c r="H431" s="145">
        <f t="shared" si="195"/>
        <v>9151.2000000000007</v>
      </c>
      <c r="I431" s="146">
        <f t="shared" si="196"/>
        <v>0</v>
      </c>
      <c r="J431" s="7">
        <f t="shared" si="191"/>
        <v>9151.2000000000007</v>
      </c>
      <c r="K431" s="276"/>
    </row>
    <row r="432" spans="2:11" outlineLevel="1">
      <c r="B432" s="150" t="s">
        <v>416</v>
      </c>
      <c r="C432" s="285" t="s">
        <v>141</v>
      </c>
      <c r="D432" s="286">
        <v>557.99999999999989</v>
      </c>
      <c r="E432" s="7">
        <v>13.11</v>
      </c>
      <c r="F432" s="287">
        <v>0</v>
      </c>
      <c r="G432" s="145">
        <f t="shared" si="194"/>
        <v>13.11</v>
      </c>
      <c r="H432" s="145">
        <f t="shared" si="195"/>
        <v>7315.38</v>
      </c>
      <c r="I432" s="146">
        <f t="shared" si="196"/>
        <v>0</v>
      </c>
      <c r="J432" s="7">
        <f t="shared" si="191"/>
        <v>7315.38</v>
      </c>
      <c r="K432" s="276"/>
    </row>
    <row r="433" spans="2:11" outlineLevel="1">
      <c r="B433" s="150" t="s">
        <v>417</v>
      </c>
      <c r="C433" s="285" t="s">
        <v>82</v>
      </c>
      <c r="D433" s="286">
        <v>263.35999999999996</v>
      </c>
      <c r="E433" s="7">
        <v>18.37</v>
      </c>
      <c r="F433" s="287">
        <v>0</v>
      </c>
      <c r="G433" s="145">
        <f t="shared" si="194"/>
        <v>18.37</v>
      </c>
      <c r="H433" s="145">
        <f t="shared" si="195"/>
        <v>4837.92</v>
      </c>
      <c r="I433" s="146">
        <f t="shared" si="196"/>
        <v>0</v>
      </c>
      <c r="J433" s="7">
        <f t="shared" si="191"/>
        <v>4837.92</v>
      </c>
      <c r="K433" s="276"/>
    </row>
    <row r="434" spans="2:11" outlineLevel="1">
      <c r="B434" s="150" t="s">
        <v>418</v>
      </c>
      <c r="C434" s="285" t="s">
        <v>141</v>
      </c>
      <c r="D434" s="286">
        <v>105.96999999999996</v>
      </c>
      <c r="E434" s="7">
        <v>21</v>
      </c>
      <c r="F434" s="287">
        <v>0</v>
      </c>
      <c r="G434" s="145">
        <f t="shared" si="194"/>
        <v>21</v>
      </c>
      <c r="H434" s="145">
        <f t="shared" si="195"/>
        <v>2225.37</v>
      </c>
      <c r="I434" s="146">
        <f t="shared" si="196"/>
        <v>0</v>
      </c>
      <c r="J434" s="7">
        <f t="shared" si="191"/>
        <v>2225.37</v>
      </c>
      <c r="K434" s="276"/>
    </row>
    <row r="435" spans="2:11" outlineLevel="1">
      <c r="B435" s="349" t="s">
        <v>420</v>
      </c>
      <c r="C435" s="285"/>
      <c r="D435" s="286"/>
      <c r="E435" s="7"/>
      <c r="F435" s="287"/>
      <c r="G435" s="145"/>
      <c r="H435" s="145"/>
      <c r="I435" s="146"/>
      <c r="J435" s="7">
        <f t="shared" si="191"/>
        <v>0</v>
      </c>
      <c r="K435" s="276"/>
    </row>
    <row r="436" spans="2:11" outlineLevel="1">
      <c r="B436" s="150" t="s">
        <v>412</v>
      </c>
      <c r="C436" s="285" t="s">
        <v>378</v>
      </c>
      <c r="D436" s="286">
        <v>26.84</v>
      </c>
      <c r="E436" s="7">
        <v>45.24</v>
      </c>
      <c r="F436" s="287">
        <v>0</v>
      </c>
      <c r="G436" s="145">
        <f t="shared" ref="G436:G441" si="197">+ROUND(E436+F436*TC,2)</f>
        <v>45.24</v>
      </c>
      <c r="H436" s="145">
        <f t="shared" ref="H436:H441" si="198">+ROUND(D436*E436,2)</f>
        <v>1214.24</v>
      </c>
      <c r="I436" s="146">
        <f t="shared" ref="I436:I441" si="199">+ROUND(D436*F436,2)</f>
        <v>0</v>
      </c>
      <c r="J436" s="7">
        <f t="shared" si="191"/>
        <v>1214.24</v>
      </c>
      <c r="K436" s="276"/>
    </row>
    <row r="437" spans="2:11" outlineLevel="1">
      <c r="B437" s="45" t="s">
        <v>413</v>
      </c>
      <c r="C437" s="285" t="s">
        <v>82</v>
      </c>
      <c r="D437" s="286">
        <v>2.9</v>
      </c>
      <c r="E437" s="7">
        <v>76.28</v>
      </c>
      <c r="F437" s="287">
        <v>0</v>
      </c>
      <c r="G437" s="145">
        <f t="shared" si="197"/>
        <v>76.28</v>
      </c>
      <c r="H437" s="145">
        <f t="shared" si="198"/>
        <v>221.21</v>
      </c>
      <c r="I437" s="146">
        <f t="shared" si="199"/>
        <v>0</v>
      </c>
      <c r="J437" s="7">
        <f t="shared" si="191"/>
        <v>221.21</v>
      </c>
      <c r="K437" s="276"/>
    </row>
    <row r="438" spans="2:11" outlineLevel="1">
      <c r="B438" s="150" t="s">
        <v>415</v>
      </c>
      <c r="C438" s="285" t="s">
        <v>378</v>
      </c>
      <c r="D438" s="286">
        <v>26.84</v>
      </c>
      <c r="E438" s="7">
        <v>16.399999999999999</v>
      </c>
      <c r="F438" s="287">
        <v>0</v>
      </c>
      <c r="G438" s="145">
        <f t="shared" si="197"/>
        <v>16.399999999999999</v>
      </c>
      <c r="H438" s="145">
        <f t="shared" si="198"/>
        <v>440.18</v>
      </c>
      <c r="I438" s="146">
        <f t="shared" si="199"/>
        <v>0</v>
      </c>
      <c r="J438" s="7">
        <f t="shared" si="191"/>
        <v>440.18</v>
      </c>
      <c r="K438" s="276"/>
    </row>
    <row r="439" spans="2:11" outlineLevel="1">
      <c r="B439" s="150" t="s">
        <v>414</v>
      </c>
      <c r="C439" s="285" t="s">
        <v>82</v>
      </c>
      <c r="D439" s="286">
        <v>2.9</v>
      </c>
      <c r="E439" s="7">
        <v>21.52</v>
      </c>
      <c r="F439" s="287">
        <v>0</v>
      </c>
      <c r="G439" s="145">
        <f t="shared" si="197"/>
        <v>21.52</v>
      </c>
      <c r="H439" s="145">
        <f t="shared" si="198"/>
        <v>62.41</v>
      </c>
      <c r="I439" s="146">
        <f t="shared" si="199"/>
        <v>0</v>
      </c>
      <c r="J439" s="7">
        <f t="shared" si="191"/>
        <v>62.41</v>
      </c>
      <c r="K439" s="276"/>
    </row>
    <row r="440" spans="2:11" outlineLevel="1">
      <c r="B440" s="150" t="s">
        <v>416</v>
      </c>
      <c r="C440" s="285" t="s">
        <v>378</v>
      </c>
      <c r="D440" s="286">
        <v>26.84</v>
      </c>
      <c r="E440" s="7">
        <v>13.11</v>
      </c>
      <c r="F440" s="287">
        <v>0</v>
      </c>
      <c r="G440" s="145">
        <f t="shared" si="197"/>
        <v>13.11</v>
      </c>
      <c r="H440" s="145">
        <f t="shared" si="198"/>
        <v>351.87</v>
      </c>
      <c r="I440" s="146">
        <f t="shared" si="199"/>
        <v>0</v>
      </c>
      <c r="J440" s="7">
        <f t="shared" si="191"/>
        <v>351.87</v>
      </c>
      <c r="K440" s="276"/>
    </row>
    <row r="441" spans="2:11" outlineLevel="1">
      <c r="B441" s="150" t="s">
        <v>417</v>
      </c>
      <c r="C441" s="285" t="s">
        <v>82</v>
      </c>
      <c r="D441" s="286">
        <v>9.3699999999999992</v>
      </c>
      <c r="E441" s="7">
        <v>18.37</v>
      </c>
      <c r="F441" s="287">
        <v>0</v>
      </c>
      <c r="G441" s="145">
        <f t="shared" si="197"/>
        <v>18.37</v>
      </c>
      <c r="H441" s="145">
        <f t="shared" si="198"/>
        <v>172.13</v>
      </c>
      <c r="I441" s="146">
        <f t="shared" si="199"/>
        <v>0</v>
      </c>
      <c r="J441" s="7">
        <f t="shared" si="191"/>
        <v>172.13</v>
      </c>
      <c r="K441" s="276"/>
    </row>
    <row r="442" spans="2:11" outlineLevel="1">
      <c r="B442" s="150" t="s">
        <v>421</v>
      </c>
      <c r="C442" s="285" t="s">
        <v>378</v>
      </c>
      <c r="D442" s="286">
        <v>0</v>
      </c>
      <c r="E442" s="7"/>
      <c r="F442" s="287"/>
      <c r="G442" s="145"/>
      <c r="H442" s="145"/>
      <c r="I442" s="146"/>
      <c r="J442" s="7">
        <f t="shared" si="191"/>
        <v>0</v>
      </c>
      <c r="K442" s="276"/>
    </row>
    <row r="443" spans="2:11" outlineLevel="1">
      <c r="B443" s="349" t="s">
        <v>422</v>
      </c>
      <c r="C443" s="285"/>
      <c r="D443" s="286"/>
      <c r="E443" s="7"/>
      <c r="F443" s="287"/>
      <c r="G443" s="145"/>
      <c r="H443" s="145"/>
      <c r="I443" s="146"/>
      <c r="J443" s="7">
        <f t="shared" si="191"/>
        <v>0</v>
      </c>
      <c r="K443" s="276"/>
    </row>
    <row r="444" spans="2:11" outlineLevel="1">
      <c r="B444" s="150" t="s">
        <v>412</v>
      </c>
      <c r="C444" s="285" t="s">
        <v>378</v>
      </c>
      <c r="D444" s="286">
        <v>9.1</v>
      </c>
      <c r="E444" s="7">
        <v>45.24</v>
      </c>
      <c r="F444" s="287">
        <v>0</v>
      </c>
      <c r="G444" s="145">
        <f t="shared" ref="G444" si="200">+ROUND(E444+F444*TC,2)</f>
        <v>45.24</v>
      </c>
      <c r="H444" s="145">
        <f t="shared" ref="H444" si="201">+ROUND(D444*E444,2)</f>
        <v>411.68</v>
      </c>
      <c r="I444" s="146">
        <f t="shared" ref="I444" si="202">+ROUND(D444*F444,2)</f>
        <v>0</v>
      </c>
      <c r="J444" s="7">
        <f t="shared" si="191"/>
        <v>411.68</v>
      </c>
      <c r="K444" s="276"/>
    </row>
    <row r="445" spans="2:11" outlineLevel="1">
      <c r="B445" s="45" t="s">
        <v>423</v>
      </c>
      <c r="C445" s="285" t="s">
        <v>82</v>
      </c>
      <c r="D445" s="286">
        <v>0</v>
      </c>
      <c r="E445" s="7"/>
      <c r="F445" s="287"/>
      <c r="G445" s="145"/>
      <c r="H445" s="145"/>
      <c r="I445" s="146"/>
      <c r="J445" s="7">
        <f t="shared" si="191"/>
        <v>0</v>
      </c>
      <c r="K445" s="276"/>
    </row>
    <row r="446" spans="2:11" outlineLevel="1">
      <c r="B446" s="41" t="s">
        <v>424</v>
      </c>
      <c r="C446" s="285" t="s">
        <v>378</v>
      </c>
      <c r="D446" s="286">
        <v>9.1</v>
      </c>
      <c r="E446" s="7">
        <v>115.45</v>
      </c>
      <c r="F446" s="287">
        <v>0</v>
      </c>
      <c r="G446" s="145">
        <f t="shared" ref="G446" si="203">+ROUND(E446+F446*TC,2)</f>
        <v>115.45</v>
      </c>
      <c r="H446" s="145">
        <f t="shared" ref="H446" si="204">+ROUND(D446*E446,2)</f>
        <v>1050.5999999999999</v>
      </c>
      <c r="I446" s="146">
        <f t="shared" ref="I446" si="205">+ROUND(D446*F446,2)</f>
        <v>0</v>
      </c>
      <c r="J446" s="7">
        <f t="shared" si="191"/>
        <v>1050.5999999999999</v>
      </c>
      <c r="K446" s="276"/>
    </row>
    <row r="447" spans="2:11" outlineLevel="1">
      <c r="B447" s="150" t="s">
        <v>425</v>
      </c>
      <c r="C447" s="285" t="s">
        <v>82</v>
      </c>
      <c r="D447" s="286">
        <v>0</v>
      </c>
      <c r="E447" s="7"/>
      <c r="F447" s="287"/>
      <c r="G447" s="145"/>
      <c r="H447" s="145"/>
      <c r="I447" s="146"/>
      <c r="J447" s="7">
        <f t="shared" si="191"/>
        <v>0</v>
      </c>
      <c r="K447" s="276"/>
    </row>
    <row r="448" spans="2:11" outlineLevel="1">
      <c r="B448" s="150" t="s">
        <v>426</v>
      </c>
      <c r="C448" s="285" t="s">
        <v>378</v>
      </c>
      <c r="D448" s="286">
        <v>9.1</v>
      </c>
      <c r="E448" s="7">
        <v>115.45</v>
      </c>
      <c r="F448" s="287">
        <v>0</v>
      </c>
      <c r="G448" s="145">
        <f t="shared" ref="G448:G449" si="206">+ROUND(E448+F448*TC,2)</f>
        <v>115.45</v>
      </c>
      <c r="H448" s="145">
        <f t="shared" ref="H448:H449" si="207">+ROUND(D448*E448,2)</f>
        <v>1050.5999999999999</v>
      </c>
      <c r="I448" s="146">
        <f t="shared" ref="I448:I449" si="208">+ROUND(D448*F448,2)</f>
        <v>0</v>
      </c>
      <c r="J448" s="7">
        <f t="shared" si="191"/>
        <v>1050.5999999999999</v>
      </c>
      <c r="K448" s="276"/>
    </row>
    <row r="449" spans="2:11" outlineLevel="1">
      <c r="B449" s="150" t="s">
        <v>417</v>
      </c>
      <c r="C449" s="285" t="s">
        <v>82</v>
      </c>
      <c r="D449" s="286">
        <v>1.94</v>
      </c>
      <c r="E449" s="7">
        <v>18.37</v>
      </c>
      <c r="F449" s="287">
        <v>0</v>
      </c>
      <c r="G449" s="145">
        <f t="shared" si="206"/>
        <v>18.37</v>
      </c>
      <c r="H449" s="145">
        <f t="shared" si="207"/>
        <v>35.64</v>
      </c>
      <c r="I449" s="146">
        <f t="shared" si="208"/>
        <v>0</v>
      </c>
      <c r="J449" s="7">
        <f t="shared" si="191"/>
        <v>35.64</v>
      </c>
      <c r="K449" s="276"/>
    </row>
    <row r="450" spans="2:11" outlineLevel="1">
      <c r="B450" s="150" t="s">
        <v>418</v>
      </c>
      <c r="C450" s="285" t="s">
        <v>378</v>
      </c>
      <c r="D450" s="286">
        <v>3</v>
      </c>
      <c r="E450" s="7">
        <v>21</v>
      </c>
      <c r="F450" s="287">
        <v>0</v>
      </c>
      <c r="G450" s="145">
        <f t="shared" ref="G450" si="209">+ROUND(E450+F450*TC,2)</f>
        <v>21</v>
      </c>
      <c r="H450" s="145">
        <f t="shared" ref="H450" si="210">+ROUND(D450*E450,2)</f>
        <v>63</v>
      </c>
      <c r="I450" s="146">
        <f t="shared" ref="I450" si="211">+ROUND(D450*F450,2)</f>
        <v>0</v>
      </c>
      <c r="J450" s="7">
        <f t="shared" si="191"/>
        <v>63</v>
      </c>
      <c r="K450" s="276"/>
    </row>
    <row r="451" spans="2:11">
      <c r="B451" s="694" t="s">
        <v>427</v>
      </c>
      <c r="C451" s="285"/>
      <c r="D451" s="286"/>
      <c r="E451" s="7"/>
      <c r="F451" s="287"/>
      <c r="G451" s="145">
        <f t="shared" ref="G451:G457" si="212">+ROUND(E451+F451*TC,2)</f>
        <v>0</v>
      </c>
      <c r="H451" s="145">
        <f t="shared" ref="H451:H457" si="213">+ROUND(D451*E451,2)</f>
        <v>0</v>
      </c>
      <c r="I451" s="146">
        <f t="shared" ref="I451:I457" si="214">+ROUND(D451*F451,2)</f>
        <v>0</v>
      </c>
      <c r="J451" s="7">
        <f t="shared" ref="J451:J457" si="215">+ROUND(H451+I451*TC,2)</f>
        <v>0</v>
      </c>
      <c r="K451" s="276">
        <f>SUM(H451:H457)+SUM(I451:I457)*TC</f>
        <v>29555.324000000001</v>
      </c>
    </row>
    <row r="452" spans="2:11" ht="33.75" outlineLevel="1">
      <c r="B452" s="349" t="s">
        <v>428</v>
      </c>
      <c r="C452" s="285"/>
      <c r="D452" s="286"/>
      <c r="E452" s="7"/>
      <c r="F452" s="287"/>
      <c r="G452" s="145">
        <f t="shared" si="212"/>
        <v>0</v>
      </c>
      <c r="H452" s="145">
        <f t="shared" si="213"/>
        <v>0</v>
      </c>
      <c r="I452" s="146">
        <f t="shared" si="214"/>
        <v>0</v>
      </c>
      <c r="J452" s="7">
        <f t="shared" si="215"/>
        <v>0</v>
      </c>
      <c r="K452" s="276"/>
    </row>
    <row r="453" spans="2:11" outlineLevel="1">
      <c r="B453" s="150" t="s">
        <v>429</v>
      </c>
      <c r="C453" s="285" t="s">
        <v>82</v>
      </c>
      <c r="D453" s="286">
        <v>265.23</v>
      </c>
      <c r="E453" s="7">
        <v>44.62</v>
      </c>
      <c r="F453" s="287"/>
      <c r="G453" s="145">
        <f t="shared" si="212"/>
        <v>44.62</v>
      </c>
      <c r="H453" s="145">
        <f t="shared" si="213"/>
        <v>11834.56</v>
      </c>
      <c r="I453" s="146">
        <f t="shared" si="214"/>
        <v>0</v>
      </c>
      <c r="J453" s="7">
        <f t="shared" si="215"/>
        <v>11834.56</v>
      </c>
      <c r="K453" s="276"/>
    </row>
    <row r="454" spans="2:11" outlineLevel="1">
      <c r="B454" s="150" t="s">
        <v>430</v>
      </c>
      <c r="C454" s="285" t="s">
        <v>82</v>
      </c>
      <c r="D454" s="286">
        <v>265.23</v>
      </c>
      <c r="E454" s="7"/>
      <c r="F454" s="287">
        <v>8.99</v>
      </c>
      <c r="G454" s="145">
        <f t="shared" si="212"/>
        <v>30.12</v>
      </c>
      <c r="H454" s="145">
        <f t="shared" si="213"/>
        <v>0</v>
      </c>
      <c r="I454" s="146">
        <f t="shared" si="214"/>
        <v>2384.42</v>
      </c>
      <c r="J454" s="7">
        <f t="shared" si="215"/>
        <v>7987.81</v>
      </c>
      <c r="K454" s="276"/>
    </row>
    <row r="455" spans="2:11" outlineLevel="1">
      <c r="B455" s="150" t="s">
        <v>431</v>
      </c>
      <c r="C455" s="285" t="s">
        <v>141</v>
      </c>
      <c r="D455" s="286">
        <v>503.93700000000001</v>
      </c>
      <c r="E455" s="7"/>
      <c r="F455" s="287">
        <v>1.98</v>
      </c>
      <c r="G455" s="145">
        <f t="shared" si="212"/>
        <v>6.63</v>
      </c>
      <c r="H455" s="145">
        <f t="shared" si="213"/>
        <v>0</v>
      </c>
      <c r="I455" s="146">
        <f t="shared" si="214"/>
        <v>997.8</v>
      </c>
      <c r="J455" s="7">
        <f t="shared" si="215"/>
        <v>3342.63</v>
      </c>
      <c r="K455" s="276"/>
    </row>
    <row r="456" spans="2:11" outlineLevel="1">
      <c r="B456" s="150" t="s">
        <v>432</v>
      </c>
      <c r="C456" s="285" t="s">
        <v>82</v>
      </c>
      <c r="D456" s="286">
        <v>265.23</v>
      </c>
      <c r="E456" s="7">
        <v>7.2074999999999996</v>
      </c>
      <c r="F456" s="287"/>
      <c r="G456" s="145">
        <f t="shared" si="212"/>
        <v>7.21</v>
      </c>
      <c r="H456" s="145">
        <f t="shared" si="213"/>
        <v>1911.65</v>
      </c>
      <c r="I456" s="146">
        <f t="shared" si="214"/>
        <v>0</v>
      </c>
      <c r="J456" s="7">
        <f t="shared" si="215"/>
        <v>1911.65</v>
      </c>
      <c r="K456" s="276"/>
    </row>
    <row r="457" spans="2:11" outlineLevel="1">
      <c r="B457" s="150" t="s">
        <v>433</v>
      </c>
      <c r="C457" s="285" t="s">
        <v>118</v>
      </c>
      <c r="D457" s="286">
        <v>1060.92</v>
      </c>
      <c r="E457" s="7">
        <v>1.24</v>
      </c>
      <c r="F457" s="287">
        <v>0.89</v>
      </c>
      <c r="G457" s="145">
        <f t="shared" si="212"/>
        <v>4.22</v>
      </c>
      <c r="H457" s="145">
        <f t="shared" si="213"/>
        <v>1315.54</v>
      </c>
      <c r="I457" s="146">
        <f t="shared" si="214"/>
        <v>944.22</v>
      </c>
      <c r="J457" s="7">
        <f t="shared" si="215"/>
        <v>4478.68</v>
      </c>
      <c r="K457" s="276"/>
    </row>
    <row r="458" spans="2:11">
      <c r="B458" s="694" t="s">
        <v>434</v>
      </c>
      <c r="C458" s="285"/>
      <c r="D458" s="286"/>
      <c r="E458" s="7" t="s">
        <v>27</v>
      </c>
      <c r="F458" s="287"/>
      <c r="G458" s="145"/>
      <c r="H458" s="145"/>
      <c r="I458" s="146"/>
      <c r="J458" s="7"/>
      <c r="K458" s="276">
        <f>SUM(H458:H533)+SUM(I458:I533)*TC</f>
        <v>1422576.784</v>
      </c>
    </row>
    <row r="459" spans="2:11" outlineLevel="1">
      <c r="B459" s="349" t="s">
        <v>435</v>
      </c>
      <c r="C459" s="285"/>
      <c r="D459" s="286"/>
      <c r="E459" s="7" t="s">
        <v>27</v>
      </c>
      <c r="F459" s="287" t="s">
        <v>27</v>
      </c>
      <c r="G459" s="145"/>
      <c r="H459" s="145"/>
      <c r="I459" s="146"/>
      <c r="J459" s="7">
        <f t="shared" si="191"/>
        <v>0</v>
      </c>
      <c r="K459" s="289"/>
    </row>
    <row r="460" spans="2:11" outlineLevel="1">
      <c r="B460" s="150" t="s">
        <v>436</v>
      </c>
      <c r="C460" s="302" t="s">
        <v>121</v>
      </c>
      <c r="D460" s="351">
        <v>1</v>
      </c>
      <c r="E460" s="7">
        <v>0</v>
      </c>
      <c r="F460" s="287">
        <v>320.76388888888891</v>
      </c>
      <c r="G460" s="145">
        <f t="shared" ref="G460:G465" si="216">+ROUND(E460+F460*TC,2)</f>
        <v>1074.56</v>
      </c>
      <c r="H460" s="145">
        <f t="shared" ref="H460:H465" si="217">+ROUND(D460*E460,2)</f>
        <v>0</v>
      </c>
      <c r="I460" s="146">
        <f t="shared" ref="I460:I465" si="218">+ROUND(D460*F460,2)</f>
        <v>320.76</v>
      </c>
      <c r="J460" s="7">
        <f t="shared" si="191"/>
        <v>1074.55</v>
      </c>
      <c r="K460" s="289"/>
    </row>
    <row r="461" spans="2:11" outlineLevel="1">
      <c r="B461" s="150" t="s">
        <v>437</v>
      </c>
      <c r="C461" s="302" t="s">
        <v>121</v>
      </c>
      <c r="D461" s="351">
        <v>108</v>
      </c>
      <c r="E461" s="7">
        <v>0</v>
      </c>
      <c r="F461" s="287">
        <v>279.375</v>
      </c>
      <c r="G461" s="145">
        <f>+ROUND(E461+F461*TC,2)</f>
        <v>935.91</v>
      </c>
      <c r="H461" s="145">
        <f>+ROUND(D461*E461,2)</f>
        <v>0</v>
      </c>
      <c r="I461" s="146">
        <f>+ROUND(D461*F461,2)</f>
        <v>30172.5</v>
      </c>
      <c r="J461" s="7">
        <f t="shared" si="191"/>
        <v>101077.88</v>
      </c>
      <c r="K461" s="289"/>
    </row>
    <row r="462" spans="2:11" outlineLevel="1">
      <c r="B462" s="150" t="s">
        <v>438</v>
      </c>
      <c r="C462" s="302" t="s">
        <v>121</v>
      </c>
      <c r="D462" s="351">
        <v>2</v>
      </c>
      <c r="E462" s="7">
        <v>0</v>
      </c>
      <c r="F462" s="287">
        <v>309.38194444444446</v>
      </c>
      <c r="G462" s="145">
        <f t="shared" si="216"/>
        <v>1036.43</v>
      </c>
      <c r="H462" s="145">
        <f t="shared" si="217"/>
        <v>0</v>
      </c>
      <c r="I462" s="146">
        <f t="shared" si="218"/>
        <v>618.76</v>
      </c>
      <c r="J462" s="7">
        <f t="shared" si="191"/>
        <v>2072.85</v>
      </c>
      <c r="K462" s="289"/>
    </row>
    <row r="463" spans="2:11" outlineLevel="1">
      <c r="B463" s="150" t="s">
        <v>439</v>
      </c>
      <c r="C463" s="302" t="s">
        <v>121</v>
      </c>
      <c r="D463" s="351">
        <v>2</v>
      </c>
      <c r="E463" s="7">
        <v>0</v>
      </c>
      <c r="F463" s="287">
        <v>432.51388888888891</v>
      </c>
      <c r="G463" s="145">
        <f t="shared" si="216"/>
        <v>1448.92</v>
      </c>
      <c r="H463" s="145">
        <f t="shared" si="217"/>
        <v>0</v>
      </c>
      <c r="I463" s="146">
        <f t="shared" si="218"/>
        <v>865.03</v>
      </c>
      <c r="J463" s="7">
        <f t="shared" si="191"/>
        <v>2897.85</v>
      </c>
      <c r="K463" s="289"/>
    </row>
    <row r="464" spans="2:11" outlineLevel="1">
      <c r="B464" s="150" t="s">
        <v>2803</v>
      </c>
      <c r="C464" s="302" t="s">
        <v>121</v>
      </c>
      <c r="D464" s="351">
        <v>1</v>
      </c>
      <c r="E464" s="7">
        <v>0</v>
      </c>
      <c r="F464" s="287">
        <v>432.51388888888891</v>
      </c>
      <c r="G464" s="145">
        <f t="shared" ref="G464" si="219">+ROUND(E464+F464*TC,2)</f>
        <v>1448.92</v>
      </c>
      <c r="H464" s="145">
        <f t="shared" ref="H464" si="220">+ROUND(D464*E464,2)</f>
        <v>0</v>
      </c>
      <c r="I464" s="146">
        <f t="shared" ref="I464" si="221">+ROUND(D464*F464,2)</f>
        <v>432.51</v>
      </c>
      <c r="J464" s="7">
        <f t="shared" ref="J464" si="222">+ROUND(H464+I464*TC,2)</f>
        <v>1448.91</v>
      </c>
      <c r="K464" s="289"/>
    </row>
    <row r="465" spans="2:11" outlineLevel="1">
      <c r="B465" s="150" t="s">
        <v>440</v>
      </c>
      <c r="C465" s="302" t="s">
        <v>121</v>
      </c>
      <c r="D465" s="351">
        <v>1</v>
      </c>
      <c r="E465" s="7">
        <v>0</v>
      </c>
      <c r="F465" s="287">
        <v>282.47916666666669</v>
      </c>
      <c r="G465" s="145">
        <f t="shared" si="216"/>
        <v>946.31</v>
      </c>
      <c r="H465" s="145">
        <f t="shared" si="217"/>
        <v>0</v>
      </c>
      <c r="I465" s="146">
        <f t="shared" si="218"/>
        <v>282.48</v>
      </c>
      <c r="J465" s="7">
        <f t="shared" si="191"/>
        <v>946.31</v>
      </c>
      <c r="K465" s="289"/>
    </row>
    <row r="466" spans="2:11" outlineLevel="1">
      <c r="B466" s="349" t="s">
        <v>441</v>
      </c>
      <c r="C466" s="285"/>
      <c r="D466" s="286"/>
      <c r="E466" s="7" t="s">
        <v>27</v>
      </c>
      <c r="F466" s="287" t="s">
        <v>27</v>
      </c>
      <c r="G466" s="145"/>
      <c r="H466" s="145"/>
      <c r="I466" s="146"/>
      <c r="J466" s="7">
        <f t="shared" si="191"/>
        <v>0</v>
      </c>
      <c r="K466" s="276"/>
    </row>
    <row r="467" spans="2:11" outlineLevel="1">
      <c r="B467" s="702" t="s">
        <v>259</v>
      </c>
      <c r="C467" s="285"/>
      <c r="D467" s="286"/>
      <c r="E467" s="7" t="s">
        <v>27</v>
      </c>
      <c r="F467" s="287" t="s">
        <v>27</v>
      </c>
      <c r="G467" s="145"/>
      <c r="H467" s="145"/>
      <c r="I467" s="146"/>
      <c r="J467" s="7">
        <f t="shared" si="191"/>
        <v>0</v>
      </c>
      <c r="K467" s="276"/>
    </row>
    <row r="468" spans="2:11" outlineLevel="1">
      <c r="B468" s="150" t="s">
        <v>442</v>
      </c>
      <c r="C468" s="285" t="s">
        <v>121</v>
      </c>
      <c r="D468" s="286">
        <v>334</v>
      </c>
      <c r="E468" s="7">
        <v>140</v>
      </c>
      <c r="F468" s="287">
        <v>108</v>
      </c>
      <c r="G468" s="145">
        <f t="shared" ref="G468:G472" si="223">+ROUND(E468+F468*TC,2)</f>
        <v>501.8</v>
      </c>
      <c r="H468" s="145">
        <f t="shared" ref="H468:H539" si="224">+ROUND(D468*E468,2)</f>
        <v>46760</v>
      </c>
      <c r="I468" s="146">
        <f t="shared" ref="I468:I539" si="225">+ROUND(D468*F468,2)</f>
        <v>36072</v>
      </c>
      <c r="J468" s="7">
        <f t="shared" si="191"/>
        <v>167601.20000000001</v>
      </c>
      <c r="K468" s="276"/>
    </row>
    <row r="469" spans="2:11" outlineLevel="1">
      <c r="B469" s="150" t="s">
        <v>443</v>
      </c>
      <c r="C469" s="285" t="s">
        <v>121</v>
      </c>
      <c r="D469" s="286">
        <v>538</v>
      </c>
      <c r="E469" s="7">
        <v>124</v>
      </c>
      <c r="F469" s="287">
        <v>99</v>
      </c>
      <c r="G469" s="145">
        <f t="shared" si="223"/>
        <v>455.65</v>
      </c>
      <c r="H469" s="145">
        <f t="shared" si="224"/>
        <v>66712</v>
      </c>
      <c r="I469" s="146">
        <f t="shared" si="225"/>
        <v>53262</v>
      </c>
      <c r="J469" s="7">
        <f t="shared" si="191"/>
        <v>245139.7</v>
      </c>
      <c r="K469" s="276"/>
    </row>
    <row r="470" spans="2:11" outlineLevel="1">
      <c r="B470" s="150" t="s">
        <v>444</v>
      </c>
      <c r="C470" s="285" t="s">
        <v>121</v>
      </c>
      <c r="D470" s="286">
        <v>544</v>
      </c>
      <c r="E470" s="7">
        <v>124</v>
      </c>
      <c r="F470" s="287">
        <v>99</v>
      </c>
      <c r="G470" s="145">
        <f t="shared" si="223"/>
        <v>455.65</v>
      </c>
      <c r="H470" s="145">
        <f t="shared" si="224"/>
        <v>67456</v>
      </c>
      <c r="I470" s="146">
        <f t="shared" si="225"/>
        <v>53856</v>
      </c>
      <c r="J470" s="7">
        <f t="shared" si="191"/>
        <v>247873.6</v>
      </c>
      <c r="K470" s="276"/>
    </row>
    <row r="471" spans="2:11" outlineLevel="1">
      <c r="B471" s="150" t="s">
        <v>445</v>
      </c>
      <c r="C471" s="285" t="s">
        <v>121</v>
      </c>
      <c r="D471" s="286">
        <v>24</v>
      </c>
      <c r="E471" s="7">
        <v>124</v>
      </c>
      <c r="F471" s="287">
        <v>119</v>
      </c>
      <c r="G471" s="145">
        <f>+ROUND(E471+F471*TC,2)</f>
        <v>522.65</v>
      </c>
      <c r="H471" s="145">
        <f>+ROUND(D471*E471,2)</f>
        <v>2976</v>
      </c>
      <c r="I471" s="146">
        <f>+ROUND(D471*F471,2)</f>
        <v>2856</v>
      </c>
      <c r="J471" s="7">
        <f t="shared" si="191"/>
        <v>12543.6</v>
      </c>
      <c r="K471" s="276"/>
    </row>
    <row r="472" spans="2:11" outlineLevel="1">
      <c r="B472" s="150" t="s">
        <v>446</v>
      </c>
      <c r="C472" s="285" t="s">
        <v>121</v>
      </c>
      <c r="D472" s="286"/>
      <c r="E472" s="7">
        <v>0</v>
      </c>
      <c r="F472" s="287">
        <v>0</v>
      </c>
      <c r="G472" s="145">
        <f t="shared" si="223"/>
        <v>0</v>
      </c>
      <c r="H472" s="145">
        <f t="shared" si="224"/>
        <v>0</v>
      </c>
      <c r="I472" s="146">
        <f t="shared" si="225"/>
        <v>0</v>
      </c>
      <c r="J472" s="7">
        <f t="shared" si="191"/>
        <v>0</v>
      </c>
      <c r="K472" s="276"/>
    </row>
    <row r="473" spans="2:11" outlineLevel="1">
      <c r="B473" s="150" t="s">
        <v>447</v>
      </c>
      <c r="C473" s="285" t="s">
        <v>121</v>
      </c>
      <c r="D473" s="286"/>
      <c r="E473" s="7">
        <v>0</v>
      </c>
      <c r="F473" s="287">
        <v>0</v>
      </c>
      <c r="G473" s="145">
        <f t="shared" ref="G473" si="226">+ROUND(E473+F473*TC,2)</f>
        <v>0</v>
      </c>
      <c r="H473" s="145">
        <f t="shared" si="224"/>
        <v>0</v>
      </c>
      <c r="I473" s="146">
        <f t="shared" si="225"/>
        <v>0</v>
      </c>
      <c r="J473" s="7">
        <f t="shared" si="191"/>
        <v>0</v>
      </c>
      <c r="K473" s="276"/>
    </row>
    <row r="474" spans="2:11" outlineLevel="1">
      <c r="B474" s="702" t="s">
        <v>448</v>
      </c>
      <c r="C474" s="285"/>
      <c r="D474" s="286"/>
      <c r="E474" s="7" t="s">
        <v>27</v>
      </c>
      <c r="F474" s="287" t="s">
        <v>27</v>
      </c>
      <c r="G474" s="145"/>
      <c r="H474" s="145"/>
      <c r="I474" s="146"/>
      <c r="J474" s="7">
        <f t="shared" si="191"/>
        <v>0</v>
      </c>
      <c r="K474" s="276"/>
    </row>
    <row r="475" spans="2:11" outlineLevel="1">
      <c r="B475" s="150" t="s">
        <v>449</v>
      </c>
      <c r="C475" s="302" t="s">
        <v>121</v>
      </c>
      <c r="D475" s="351">
        <v>2</v>
      </c>
      <c r="E475" s="7">
        <v>124</v>
      </c>
      <c r="F475" s="287">
        <v>108</v>
      </c>
      <c r="G475" s="145">
        <f t="shared" ref="G475:G490" si="227">+ROUND(E475+F475*TC,2)</f>
        <v>485.8</v>
      </c>
      <c r="H475" s="145">
        <f t="shared" ref="H475:H490" si="228">+ROUND(D475*E475,2)</f>
        <v>248</v>
      </c>
      <c r="I475" s="146">
        <f t="shared" ref="I475:I490" si="229">+ROUND(D475*F475,2)</f>
        <v>216</v>
      </c>
      <c r="J475" s="7">
        <f t="shared" si="191"/>
        <v>971.6</v>
      </c>
      <c r="K475" s="276"/>
    </row>
    <row r="476" spans="2:11" outlineLevel="1">
      <c r="B476" s="150" t="s">
        <v>450</v>
      </c>
      <c r="C476" s="302" t="s">
        <v>121</v>
      </c>
      <c r="D476" s="351">
        <v>8</v>
      </c>
      <c r="E476" s="7">
        <v>124</v>
      </c>
      <c r="F476" s="287">
        <v>99</v>
      </c>
      <c r="G476" s="145">
        <f t="shared" si="227"/>
        <v>455.65</v>
      </c>
      <c r="H476" s="145">
        <f t="shared" si="228"/>
        <v>992</v>
      </c>
      <c r="I476" s="146">
        <f t="shared" si="229"/>
        <v>792</v>
      </c>
      <c r="J476" s="7">
        <f t="shared" si="191"/>
        <v>3645.2</v>
      </c>
      <c r="K476" s="276"/>
    </row>
    <row r="477" spans="2:11" outlineLevel="1">
      <c r="B477" s="150" t="s">
        <v>451</v>
      </c>
      <c r="C477" s="302" t="s">
        <v>121</v>
      </c>
      <c r="D477" s="351">
        <v>1</v>
      </c>
      <c r="E477" s="7">
        <v>124</v>
      </c>
      <c r="F477" s="287">
        <v>99</v>
      </c>
      <c r="G477" s="145">
        <f t="shared" si="227"/>
        <v>455.65</v>
      </c>
      <c r="H477" s="145">
        <f t="shared" si="228"/>
        <v>124</v>
      </c>
      <c r="I477" s="146">
        <f t="shared" si="229"/>
        <v>99</v>
      </c>
      <c r="J477" s="7">
        <f t="shared" si="191"/>
        <v>455.65</v>
      </c>
      <c r="K477" s="276"/>
    </row>
    <row r="478" spans="2:11" outlineLevel="1">
      <c r="B478" s="150" t="s">
        <v>452</v>
      </c>
      <c r="C478" s="302" t="s">
        <v>121</v>
      </c>
      <c r="D478" s="351">
        <v>2</v>
      </c>
      <c r="E478" s="7">
        <v>124</v>
      </c>
      <c r="F478" s="287">
        <v>99</v>
      </c>
      <c r="G478" s="145">
        <f t="shared" si="227"/>
        <v>455.65</v>
      </c>
      <c r="H478" s="145">
        <f t="shared" si="228"/>
        <v>248</v>
      </c>
      <c r="I478" s="146">
        <f t="shared" si="229"/>
        <v>198</v>
      </c>
      <c r="J478" s="7">
        <f t="shared" si="191"/>
        <v>911.3</v>
      </c>
      <c r="K478" s="276"/>
    </row>
    <row r="479" spans="2:11" outlineLevel="1">
      <c r="B479" s="150" t="s">
        <v>453</v>
      </c>
      <c r="C479" s="302" t="s">
        <v>121</v>
      </c>
      <c r="D479" s="351">
        <v>1</v>
      </c>
      <c r="E479" s="7">
        <v>124</v>
      </c>
      <c r="F479" s="287">
        <v>99</v>
      </c>
      <c r="G479" s="145">
        <f t="shared" si="227"/>
        <v>455.65</v>
      </c>
      <c r="H479" s="145">
        <f t="shared" si="228"/>
        <v>124</v>
      </c>
      <c r="I479" s="146">
        <f t="shared" si="229"/>
        <v>99</v>
      </c>
      <c r="J479" s="7">
        <f t="shared" si="191"/>
        <v>455.65</v>
      </c>
      <c r="K479" s="276"/>
    </row>
    <row r="480" spans="2:11" outlineLevel="1">
      <c r="B480" s="150" t="s">
        <v>454</v>
      </c>
      <c r="C480" s="302" t="s">
        <v>121</v>
      </c>
      <c r="D480" s="351">
        <v>13</v>
      </c>
      <c r="E480" s="7">
        <v>124</v>
      </c>
      <c r="F480" s="287">
        <v>99</v>
      </c>
      <c r="G480" s="145">
        <f t="shared" si="227"/>
        <v>455.65</v>
      </c>
      <c r="H480" s="145">
        <f t="shared" si="228"/>
        <v>1612</v>
      </c>
      <c r="I480" s="146">
        <f t="shared" si="229"/>
        <v>1287</v>
      </c>
      <c r="J480" s="7">
        <f t="shared" si="191"/>
        <v>5923.45</v>
      </c>
      <c r="K480" s="276"/>
    </row>
    <row r="481" spans="2:11" outlineLevel="1">
      <c r="B481" s="150" t="s">
        <v>455</v>
      </c>
      <c r="C481" s="302" t="s">
        <v>121</v>
      </c>
      <c r="D481" s="351">
        <v>0</v>
      </c>
      <c r="E481" s="7">
        <v>124</v>
      </c>
      <c r="F481" s="287">
        <v>99</v>
      </c>
      <c r="G481" s="145">
        <f t="shared" si="227"/>
        <v>455.65</v>
      </c>
      <c r="H481" s="145">
        <f t="shared" si="228"/>
        <v>0</v>
      </c>
      <c r="I481" s="146">
        <f t="shared" si="229"/>
        <v>0</v>
      </c>
      <c r="J481" s="7">
        <f t="shared" si="191"/>
        <v>0</v>
      </c>
      <c r="K481" s="276"/>
    </row>
    <row r="482" spans="2:11" outlineLevel="1">
      <c r="B482" s="150" t="s">
        <v>456</v>
      </c>
      <c r="C482" s="302" t="s">
        <v>121</v>
      </c>
      <c r="D482" s="351">
        <v>6</v>
      </c>
      <c r="E482" s="7">
        <v>124</v>
      </c>
      <c r="F482" s="287">
        <v>99</v>
      </c>
      <c r="G482" s="145">
        <f t="shared" si="227"/>
        <v>455.65</v>
      </c>
      <c r="H482" s="145">
        <f t="shared" si="228"/>
        <v>744</v>
      </c>
      <c r="I482" s="146">
        <f t="shared" si="229"/>
        <v>594</v>
      </c>
      <c r="J482" s="7">
        <f t="shared" si="191"/>
        <v>2733.9</v>
      </c>
      <c r="K482" s="276"/>
    </row>
    <row r="483" spans="2:11" outlineLevel="1">
      <c r="B483" s="150" t="s">
        <v>457</v>
      </c>
      <c r="C483" s="302" t="s">
        <v>121</v>
      </c>
      <c r="D483" s="351">
        <v>0</v>
      </c>
      <c r="E483" s="7">
        <v>124</v>
      </c>
      <c r="F483" s="287">
        <v>99</v>
      </c>
      <c r="G483" s="145">
        <f t="shared" si="227"/>
        <v>455.65</v>
      </c>
      <c r="H483" s="145">
        <f t="shared" si="228"/>
        <v>0</v>
      </c>
      <c r="I483" s="146">
        <f t="shared" si="229"/>
        <v>0</v>
      </c>
      <c r="J483" s="7">
        <f t="shared" si="191"/>
        <v>0</v>
      </c>
      <c r="K483" s="276"/>
    </row>
    <row r="484" spans="2:11" outlineLevel="1">
      <c r="B484" s="150" t="s">
        <v>458</v>
      </c>
      <c r="C484" s="302" t="s">
        <v>121</v>
      </c>
      <c r="D484" s="351">
        <v>9</v>
      </c>
      <c r="E484" s="7">
        <v>124</v>
      </c>
      <c r="F484" s="287">
        <v>99</v>
      </c>
      <c r="G484" s="145">
        <f t="shared" si="227"/>
        <v>455.65</v>
      </c>
      <c r="H484" s="145">
        <f t="shared" si="228"/>
        <v>1116</v>
      </c>
      <c r="I484" s="146">
        <f t="shared" si="229"/>
        <v>891</v>
      </c>
      <c r="J484" s="7">
        <f t="shared" si="191"/>
        <v>4100.8500000000004</v>
      </c>
      <c r="K484" s="276"/>
    </row>
    <row r="485" spans="2:11" outlineLevel="1">
      <c r="B485" s="702" t="s">
        <v>459</v>
      </c>
      <c r="C485" s="302"/>
      <c r="D485" s="351"/>
      <c r="E485" s="7" t="s">
        <v>27</v>
      </c>
      <c r="F485" s="287" t="s">
        <v>27</v>
      </c>
      <c r="G485" s="145"/>
      <c r="H485" s="145"/>
      <c r="I485" s="146"/>
      <c r="J485" s="7">
        <f t="shared" si="191"/>
        <v>0</v>
      </c>
      <c r="K485" s="276"/>
    </row>
    <row r="486" spans="2:11" outlineLevel="1">
      <c r="B486" s="150" t="s">
        <v>460</v>
      </c>
      <c r="C486" s="302" t="s">
        <v>121</v>
      </c>
      <c r="D486" s="351"/>
      <c r="E486" s="7">
        <v>0</v>
      </c>
      <c r="F486" s="287">
        <v>0</v>
      </c>
      <c r="G486" s="145">
        <f t="shared" si="227"/>
        <v>0</v>
      </c>
      <c r="H486" s="145">
        <f t="shared" si="228"/>
        <v>0</v>
      </c>
      <c r="I486" s="146">
        <f t="shared" si="229"/>
        <v>0</v>
      </c>
      <c r="J486" s="7">
        <f t="shared" si="191"/>
        <v>0</v>
      </c>
      <c r="K486" s="276"/>
    </row>
    <row r="487" spans="2:11" outlineLevel="1">
      <c r="B487" s="150" t="s">
        <v>461</v>
      </c>
      <c r="C487" s="302" t="s">
        <v>121</v>
      </c>
      <c r="D487" s="351"/>
      <c r="E487" s="7">
        <v>0</v>
      </c>
      <c r="F487" s="287">
        <v>0</v>
      </c>
      <c r="G487" s="145">
        <f t="shared" si="227"/>
        <v>0</v>
      </c>
      <c r="H487" s="145">
        <f t="shared" si="228"/>
        <v>0</v>
      </c>
      <c r="I487" s="146">
        <f t="shared" si="229"/>
        <v>0</v>
      </c>
      <c r="J487" s="7">
        <f t="shared" si="191"/>
        <v>0</v>
      </c>
      <c r="K487" s="276"/>
    </row>
    <row r="488" spans="2:11" outlineLevel="1">
      <c r="B488" s="150" t="s">
        <v>462</v>
      </c>
      <c r="C488" s="302" t="s">
        <v>121</v>
      </c>
      <c r="D488" s="351"/>
      <c r="E488" s="7">
        <v>0</v>
      </c>
      <c r="F488" s="287">
        <v>0</v>
      </c>
      <c r="G488" s="145">
        <f t="shared" si="227"/>
        <v>0</v>
      </c>
      <c r="H488" s="145">
        <f t="shared" si="228"/>
        <v>0</v>
      </c>
      <c r="I488" s="146">
        <f t="shared" si="229"/>
        <v>0</v>
      </c>
      <c r="J488" s="7">
        <f t="shared" si="191"/>
        <v>0</v>
      </c>
      <c r="K488" s="276"/>
    </row>
    <row r="489" spans="2:11" outlineLevel="1">
      <c r="B489" s="150" t="s">
        <v>463</v>
      </c>
      <c r="C489" s="302" t="s">
        <v>121</v>
      </c>
      <c r="D489" s="351"/>
      <c r="E489" s="7">
        <v>0</v>
      </c>
      <c r="F489" s="287">
        <v>0</v>
      </c>
      <c r="G489" s="145">
        <f t="shared" si="227"/>
        <v>0</v>
      </c>
      <c r="H489" s="145">
        <f t="shared" si="228"/>
        <v>0</v>
      </c>
      <c r="I489" s="146">
        <f t="shared" si="229"/>
        <v>0</v>
      </c>
      <c r="J489" s="7">
        <f t="shared" ref="J489:J564" si="230">+ROUND(H489+I489*TC,2)</f>
        <v>0</v>
      </c>
      <c r="K489" s="276"/>
    </row>
    <row r="490" spans="2:11" outlineLevel="1">
      <c r="B490" s="150" t="s">
        <v>464</v>
      </c>
      <c r="C490" s="302" t="s">
        <v>121</v>
      </c>
      <c r="D490" s="351"/>
      <c r="E490" s="7">
        <v>0</v>
      </c>
      <c r="F490" s="287">
        <v>0</v>
      </c>
      <c r="G490" s="145">
        <f t="shared" si="227"/>
        <v>0</v>
      </c>
      <c r="H490" s="145">
        <f t="shared" si="228"/>
        <v>0</v>
      </c>
      <c r="I490" s="146">
        <f t="shared" si="229"/>
        <v>0</v>
      </c>
      <c r="J490" s="7">
        <f t="shared" si="230"/>
        <v>0</v>
      </c>
      <c r="K490" s="276"/>
    </row>
    <row r="491" spans="2:11" outlineLevel="1">
      <c r="B491" s="349" t="s">
        <v>465</v>
      </c>
      <c r="C491" s="285"/>
      <c r="D491" s="286"/>
      <c r="E491" s="7" t="s">
        <v>27</v>
      </c>
      <c r="F491" s="287" t="s">
        <v>27</v>
      </c>
      <c r="G491" s="145"/>
      <c r="H491" s="145"/>
      <c r="I491" s="146"/>
      <c r="J491" s="7">
        <f t="shared" si="230"/>
        <v>0</v>
      </c>
      <c r="K491" s="276"/>
    </row>
    <row r="492" spans="2:11" outlineLevel="1">
      <c r="B492" s="150" t="s">
        <v>466</v>
      </c>
      <c r="C492" s="285" t="s">
        <v>121</v>
      </c>
      <c r="D492" s="286">
        <v>1440</v>
      </c>
      <c r="E492" s="7">
        <v>25</v>
      </c>
      <c r="F492" s="287">
        <v>0</v>
      </c>
      <c r="G492" s="145">
        <f>+ROUND(E492+F492*TC,2)</f>
        <v>25</v>
      </c>
      <c r="H492" s="145">
        <f t="shared" si="224"/>
        <v>36000</v>
      </c>
      <c r="I492" s="146">
        <f t="shared" si="225"/>
        <v>0</v>
      </c>
      <c r="J492" s="7">
        <f t="shared" si="230"/>
        <v>36000</v>
      </c>
      <c r="K492" s="276"/>
    </row>
    <row r="493" spans="2:11" outlineLevel="1">
      <c r="B493" s="150" t="s">
        <v>467</v>
      </c>
      <c r="C493" s="285" t="s">
        <v>121</v>
      </c>
      <c r="D493" s="286">
        <v>334</v>
      </c>
      <c r="E493" s="7">
        <v>33</v>
      </c>
      <c r="F493" s="287">
        <v>0</v>
      </c>
      <c r="G493" s="145">
        <f>+ROUND(E493+F493*TC,2)</f>
        <v>33</v>
      </c>
      <c r="H493" s="145">
        <f t="shared" si="224"/>
        <v>11022</v>
      </c>
      <c r="I493" s="146">
        <f t="shared" si="225"/>
        <v>0</v>
      </c>
      <c r="J493" s="7">
        <f t="shared" si="230"/>
        <v>11022</v>
      </c>
      <c r="K493" s="276"/>
    </row>
    <row r="494" spans="2:11" outlineLevel="1">
      <c r="B494" s="697" t="s">
        <v>468</v>
      </c>
      <c r="C494" s="285"/>
      <c r="D494" s="286"/>
      <c r="E494" s="7" t="s">
        <v>27</v>
      </c>
      <c r="F494" s="287" t="s">
        <v>27</v>
      </c>
      <c r="G494" s="145"/>
      <c r="H494" s="145"/>
      <c r="I494" s="146"/>
      <c r="J494" s="7">
        <f t="shared" si="230"/>
        <v>0</v>
      </c>
      <c r="K494" s="276"/>
    </row>
    <row r="495" spans="2:11" outlineLevel="1">
      <c r="B495" s="702" t="s">
        <v>259</v>
      </c>
      <c r="C495" s="285"/>
      <c r="D495" s="286"/>
      <c r="E495" s="7" t="s">
        <v>27</v>
      </c>
      <c r="F495" s="287" t="s">
        <v>27</v>
      </c>
      <c r="G495" s="145"/>
      <c r="H495" s="145"/>
      <c r="I495" s="146"/>
      <c r="J495" s="7">
        <f t="shared" si="230"/>
        <v>0</v>
      </c>
      <c r="K495" s="276"/>
    </row>
    <row r="496" spans="2:11" outlineLevel="1">
      <c r="B496" s="357" t="s">
        <v>469</v>
      </c>
      <c r="C496" s="285"/>
      <c r="D496" s="286"/>
      <c r="E496" s="7" t="s">
        <v>27</v>
      </c>
      <c r="F496" s="287" t="s">
        <v>27</v>
      </c>
      <c r="G496" s="145"/>
      <c r="H496" s="145"/>
      <c r="I496" s="146"/>
      <c r="J496" s="7">
        <f t="shared" si="230"/>
        <v>0</v>
      </c>
      <c r="K496" s="276"/>
    </row>
    <row r="497" spans="2:11" outlineLevel="1">
      <c r="B497" s="150" t="s">
        <v>470</v>
      </c>
      <c r="C497" s="285" t="s">
        <v>121</v>
      </c>
      <c r="D497" s="286">
        <v>25</v>
      </c>
      <c r="E497" s="7">
        <v>1600.9279999999999</v>
      </c>
      <c r="F497" s="287">
        <v>0</v>
      </c>
      <c r="G497" s="145">
        <f t="shared" ref="G497:G506" si="231">+ROUND(E497+F497*TC,2)</f>
        <v>1600.93</v>
      </c>
      <c r="H497" s="145">
        <f t="shared" ref="H497:H506" si="232">+ROUND(D497*E497,2)</f>
        <v>40023.199999999997</v>
      </c>
      <c r="I497" s="146">
        <f t="shared" ref="I497:I506" si="233">+ROUND(D497*F497,2)</f>
        <v>0</v>
      </c>
      <c r="J497" s="7">
        <f t="shared" si="230"/>
        <v>40023.199999999997</v>
      </c>
      <c r="K497" s="276"/>
    </row>
    <row r="498" spans="2:11" outlineLevel="1">
      <c r="B498" s="150" t="s">
        <v>471</v>
      </c>
      <c r="C498" s="285" t="s">
        <v>121</v>
      </c>
      <c r="D498" s="286">
        <v>25</v>
      </c>
      <c r="E498" s="7">
        <v>1681.2879999999998</v>
      </c>
      <c r="F498" s="287">
        <v>0</v>
      </c>
      <c r="G498" s="145">
        <f t="shared" si="231"/>
        <v>1681.29</v>
      </c>
      <c r="H498" s="145">
        <f t="shared" ref="H498" si="234">+ROUND(D498*E498,2)</f>
        <v>42032.2</v>
      </c>
      <c r="I498" s="146">
        <f t="shared" ref="I498" si="235">+ROUND(D498*F498,2)</f>
        <v>0</v>
      </c>
      <c r="J498" s="7">
        <f t="shared" si="230"/>
        <v>42032.2</v>
      </c>
      <c r="K498" s="276"/>
    </row>
    <row r="499" spans="2:11" outlineLevel="1">
      <c r="B499" s="150" t="s">
        <v>472</v>
      </c>
      <c r="C499" s="285" t="s">
        <v>121</v>
      </c>
      <c r="D499" s="286">
        <v>111</v>
      </c>
      <c r="E499" s="7">
        <v>1536.6399999999999</v>
      </c>
      <c r="F499" s="287">
        <v>0</v>
      </c>
      <c r="G499" s="145">
        <f t="shared" si="231"/>
        <v>1536.64</v>
      </c>
      <c r="H499" s="145">
        <f t="shared" si="232"/>
        <v>170567.04000000001</v>
      </c>
      <c r="I499" s="146">
        <f t="shared" si="233"/>
        <v>0</v>
      </c>
      <c r="J499" s="7">
        <f t="shared" si="230"/>
        <v>170567.04000000001</v>
      </c>
      <c r="K499" s="276"/>
    </row>
    <row r="500" spans="2:11" outlineLevel="1">
      <c r="B500" s="150" t="s">
        <v>473</v>
      </c>
      <c r="C500" s="285" t="s">
        <v>121</v>
      </c>
      <c r="D500" s="286">
        <v>18</v>
      </c>
      <c r="E500" s="7">
        <v>1737.54</v>
      </c>
      <c r="F500" s="287">
        <v>0</v>
      </c>
      <c r="G500" s="145">
        <f t="shared" si="231"/>
        <v>1737.54</v>
      </c>
      <c r="H500" s="145">
        <f t="shared" si="232"/>
        <v>31275.72</v>
      </c>
      <c r="I500" s="146">
        <f t="shared" si="233"/>
        <v>0</v>
      </c>
      <c r="J500" s="7">
        <f t="shared" si="230"/>
        <v>31275.72</v>
      </c>
      <c r="K500" s="276"/>
    </row>
    <row r="501" spans="2:11" outlineLevel="1">
      <c r="B501" s="150" t="s">
        <v>474</v>
      </c>
      <c r="C501" s="285" t="s">
        <v>121</v>
      </c>
      <c r="D501" s="286">
        <v>24</v>
      </c>
      <c r="E501" s="7">
        <v>1510.376</v>
      </c>
      <c r="F501" s="287">
        <v>0</v>
      </c>
      <c r="G501" s="145">
        <f t="shared" si="231"/>
        <v>1510.38</v>
      </c>
      <c r="H501" s="145">
        <f t="shared" si="232"/>
        <v>36249.019999999997</v>
      </c>
      <c r="I501" s="146">
        <f t="shared" si="233"/>
        <v>0</v>
      </c>
      <c r="J501" s="7">
        <f t="shared" si="230"/>
        <v>36249.019999999997</v>
      </c>
      <c r="K501" s="276"/>
    </row>
    <row r="502" spans="2:11" outlineLevel="1">
      <c r="B502" s="150" t="s">
        <v>475</v>
      </c>
      <c r="C502" s="285" t="s">
        <v>121</v>
      </c>
      <c r="D502" s="286">
        <v>1</v>
      </c>
      <c r="E502" s="7">
        <v>1309.4760000000001</v>
      </c>
      <c r="F502" s="287">
        <v>0</v>
      </c>
      <c r="G502" s="145">
        <f t="shared" si="231"/>
        <v>1309.48</v>
      </c>
      <c r="H502" s="145">
        <f t="shared" si="232"/>
        <v>1309.48</v>
      </c>
      <c r="I502" s="146">
        <f t="shared" si="233"/>
        <v>0</v>
      </c>
      <c r="J502" s="7">
        <f t="shared" si="230"/>
        <v>1309.48</v>
      </c>
      <c r="K502" s="276"/>
    </row>
    <row r="503" spans="2:11" outlineLevel="1">
      <c r="B503" s="150" t="s">
        <v>476</v>
      </c>
      <c r="C503" s="285" t="s">
        <v>121</v>
      </c>
      <c r="D503" s="286">
        <v>25</v>
      </c>
      <c r="E503" s="7">
        <v>1012.1439999999999</v>
      </c>
      <c r="F503" s="287">
        <v>0</v>
      </c>
      <c r="G503" s="145">
        <f t="shared" si="231"/>
        <v>1012.14</v>
      </c>
      <c r="H503" s="145">
        <f t="shared" ref="H503" si="236">+ROUND(D503*E503,2)</f>
        <v>25303.599999999999</v>
      </c>
      <c r="I503" s="146">
        <f t="shared" ref="I503" si="237">+ROUND(D503*F503,2)</f>
        <v>0</v>
      </c>
      <c r="J503" s="7">
        <f t="shared" si="230"/>
        <v>25303.599999999999</v>
      </c>
      <c r="K503" s="276"/>
    </row>
    <row r="504" spans="2:11" outlineLevel="1">
      <c r="B504" s="150" t="s">
        <v>477</v>
      </c>
      <c r="C504" s="285" t="s">
        <v>121</v>
      </c>
      <c r="D504" s="286">
        <v>22</v>
      </c>
      <c r="E504" s="7">
        <v>771.26</v>
      </c>
      <c r="F504" s="287">
        <v>0</v>
      </c>
      <c r="G504" s="145">
        <f t="shared" si="231"/>
        <v>771.26</v>
      </c>
      <c r="H504" s="145">
        <f t="shared" si="232"/>
        <v>16967.72</v>
      </c>
      <c r="I504" s="146">
        <f t="shared" si="233"/>
        <v>0</v>
      </c>
      <c r="J504" s="7">
        <f t="shared" si="230"/>
        <v>16967.72</v>
      </c>
      <c r="K504" s="276"/>
    </row>
    <row r="505" spans="2:11" outlineLevel="1">
      <c r="B505" s="150" t="s">
        <v>478</v>
      </c>
      <c r="C505" s="285" t="s">
        <v>121</v>
      </c>
      <c r="D505" s="286">
        <v>7</v>
      </c>
      <c r="E505" s="7">
        <v>748.91600000000005</v>
      </c>
      <c r="F505" s="287">
        <v>0</v>
      </c>
      <c r="G505" s="145">
        <f t="shared" si="231"/>
        <v>748.92</v>
      </c>
      <c r="H505" s="145">
        <f t="shared" si="232"/>
        <v>5242.41</v>
      </c>
      <c r="I505" s="146">
        <f t="shared" si="233"/>
        <v>0</v>
      </c>
      <c r="J505" s="7">
        <f t="shared" si="230"/>
        <v>5242.41</v>
      </c>
      <c r="K505" s="276"/>
    </row>
    <row r="506" spans="2:11" outlineLevel="1">
      <c r="B506" s="150" t="s">
        <v>479</v>
      </c>
      <c r="C506" s="285" t="s">
        <v>121</v>
      </c>
      <c r="D506" s="286">
        <v>3</v>
      </c>
      <c r="E506" s="7">
        <v>1438.0520000000001</v>
      </c>
      <c r="F506" s="287">
        <v>0</v>
      </c>
      <c r="G506" s="145">
        <f t="shared" si="231"/>
        <v>1438.05</v>
      </c>
      <c r="H506" s="145">
        <f t="shared" si="232"/>
        <v>4314.16</v>
      </c>
      <c r="I506" s="146">
        <f t="shared" si="233"/>
        <v>0</v>
      </c>
      <c r="J506" s="7">
        <f t="shared" si="230"/>
        <v>4314.16</v>
      </c>
      <c r="K506" s="276"/>
    </row>
    <row r="507" spans="2:11" outlineLevel="1">
      <c r="B507" s="150" t="s">
        <v>480</v>
      </c>
      <c r="C507" s="285" t="s">
        <v>121</v>
      </c>
      <c r="D507" s="286">
        <v>25</v>
      </c>
      <c r="E507" s="7">
        <v>1108.3799999999999</v>
      </c>
      <c r="F507" s="287">
        <v>0</v>
      </c>
      <c r="G507" s="145">
        <f t="shared" ref="G507" si="238">+ROUND(E507+F507*TC,2)</f>
        <v>1108.3800000000001</v>
      </c>
      <c r="H507" s="145">
        <f t="shared" ref="H507" si="239">+ROUND(D507*E507,2)</f>
        <v>27709.5</v>
      </c>
      <c r="I507" s="146">
        <f t="shared" ref="I507" si="240">+ROUND(D507*F507,2)</f>
        <v>0</v>
      </c>
      <c r="J507" s="7">
        <f t="shared" ref="J507:J508" si="241">+ROUND(H507+I507*TC,2)</f>
        <v>27709.5</v>
      </c>
      <c r="K507" s="276"/>
    </row>
    <row r="508" spans="2:11" outlineLevel="1">
      <c r="B508" s="357" t="s">
        <v>481</v>
      </c>
      <c r="C508" s="285"/>
      <c r="D508" s="286"/>
      <c r="E508" s="7" t="s">
        <v>27</v>
      </c>
      <c r="F508" s="287" t="s">
        <v>27</v>
      </c>
      <c r="G508" s="145"/>
      <c r="H508" s="145"/>
      <c r="I508" s="146"/>
      <c r="J508" s="7">
        <f t="shared" si="241"/>
        <v>0</v>
      </c>
      <c r="K508" s="276"/>
    </row>
    <row r="509" spans="2:11" outlineLevel="1">
      <c r="B509" s="702" t="s">
        <v>482</v>
      </c>
      <c r="C509" s="285"/>
      <c r="D509" s="286"/>
      <c r="E509" s="7" t="s">
        <v>27</v>
      </c>
      <c r="F509" s="287"/>
      <c r="G509" s="145"/>
      <c r="H509" s="145"/>
      <c r="I509" s="146"/>
      <c r="J509" s="7">
        <f t="shared" si="230"/>
        <v>0</v>
      </c>
      <c r="K509" s="276"/>
    </row>
    <row r="510" spans="2:11" outlineLevel="1">
      <c r="B510" s="150" t="s">
        <v>483</v>
      </c>
      <c r="C510" s="285" t="s">
        <v>121</v>
      </c>
      <c r="D510" s="286">
        <v>25</v>
      </c>
      <c r="E510" s="7">
        <v>694.2</v>
      </c>
      <c r="F510" s="287">
        <v>0</v>
      </c>
      <c r="G510" s="145">
        <f t="shared" ref="G510:G527" si="242">+ROUND(E510+F510*TC,2)</f>
        <v>694.2</v>
      </c>
      <c r="H510" s="145">
        <f t="shared" ref="H510:H527" si="243">+ROUND(D510*E510,2)</f>
        <v>17355</v>
      </c>
      <c r="I510" s="146">
        <f t="shared" ref="I510:I527" si="244">+ROUND(D510*F510,2)</f>
        <v>0</v>
      </c>
      <c r="J510" s="7">
        <f t="shared" si="230"/>
        <v>17355</v>
      </c>
      <c r="K510" s="276"/>
    </row>
    <row r="511" spans="2:11" outlineLevel="1">
      <c r="B511" s="150" t="s">
        <v>484</v>
      </c>
      <c r="C511" s="285" t="s">
        <v>121</v>
      </c>
      <c r="D511" s="286">
        <v>26</v>
      </c>
      <c r="E511" s="7">
        <v>445</v>
      </c>
      <c r="F511" s="287">
        <v>0</v>
      </c>
      <c r="G511" s="145">
        <f t="shared" si="242"/>
        <v>445</v>
      </c>
      <c r="H511" s="145">
        <f t="shared" si="243"/>
        <v>11570</v>
      </c>
      <c r="I511" s="146">
        <f t="shared" si="244"/>
        <v>0</v>
      </c>
      <c r="J511" s="7">
        <f t="shared" si="230"/>
        <v>11570</v>
      </c>
      <c r="K511" s="276"/>
    </row>
    <row r="512" spans="2:11" outlineLevel="1">
      <c r="B512" s="150" t="s">
        <v>485</v>
      </c>
      <c r="C512" s="285" t="s">
        <v>121</v>
      </c>
      <c r="D512" s="286">
        <v>34</v>
      </c>
      <c r="E512" s="7">
        <v>747.6</v>
      </c>
      <c r="F512" s="287">
        <v>0</v>
      </c>
      <c r="G512" s="145">
        <f t="shared" si="242"/>
        <v>747.6</v>
      </c>
      <c r="H512" s="145">
        <f t="shared" si="243"/>
        <v>25418.400000000001</v>
      </c>
      <c r="I512" s="146">
        <f t="shared" si="244"/>
        <v>0</v>
      </c>
      <c r="J512" s="7">
        <f t="shared" si="230"/>
        <v>25418.400000000001</v>
      </c>
      <c r="K512" s="276"/>
    </row>
    <row r="513" spans="2:11" outlineLevel="1">
      <c r="B513" s="150" t="s">
        <v>486</v>
      </c>
      <c r="C513" s="285" t="s">
        <v>121</v>
      </c>
      <c r="D513" s="286">
        <v>36</v>
      </c>
      <c r="E513" s="7">
        <v>823.25</v>
      </c>
      <c r="F513" s="287">
        <v>0</v>
      </c>
      <c r="G513" s="145">
        <f t="shared" si="242"/>
        <v>823.25</v>
      </c>
      <c r="H513" s="145">
        <f t="shared" si="243"/>
        <v>29637</v>
      </c>
      <c r="I513" s="146">
        <f t="shared" si="244"/>
        <v>0</v>
      </c>
      <c r="J513" s="7">
        <f t="shared" si="230"/>
        <v>29637</v>
      </c>
      <c r="K513" s="276"/>
    </row>
    <row r="514" spans="2:11" outlineLevel="1">
      <c r="B514" s="150" t="s">
        <v>487</v>
      </c>
      <c r="C514" s="285" t="s">
        <v>121</v>
      </c>
      <c r="D514" s="286">
        <v>19</v>
      </c>
      <c r="E514" s="7">
        <v>845.5</v>
      </c>
      <c r="F514" s="287">
        <v>0</v>
      </c>
      <c r="G514" s="145">
        <f t="shared" si="242"/>
        <v>845.5</v>
      </c>
      <c r="H514" s="145">
        <f t="shared" si="243"/>
        <v>16064.5</v>
      </c>
      <c r="I514" s="146">
        <f t="shared" si="244"/>
        <v>0</v>
      </c>
      <c r="J514" s="7">
        <f t="shared" si="230"/>
        <v>16064.5</v>
      </c>
      <c r="K514" s="276"/>
    </row>
    <row r="515" spans="2:11" outlineLevel="1">
      <c r="B515" s="150" t="s">
        <v>488</v>
      </c>
      <c r="C515" s="285" t="s">
        <v>121</v>
      </c>
      <c r="D515" s="286">
        <v>18</v>
      </c>
      <c r="E515" s="7">
        <v>578.5</v>
      </c>
      <c r="F515" s="287">
        <v>0</v>
      </c>
      <c r="G515" s="145">
        <f t="shared" si="242"/>
        <v>578.5</v>
      </c>
      <c r="H515" s="145">
        <f t="shared" si="243"/>
        <v>10413</v>
      </c>
      <c r="I515" s="146">
        <f t="shared" si="244"/>
        <v>0</v>
      </c>
      <c r="J515" s="7">
        <f t="shared" si="230"/>
        <v>10413</v>
      </c>
      <c r="K515" s="276"/>
    </row>
    <row r="516" spans="2:11" outlineLevel="1">
      <c r="B516" s="150" t="s">
        <v>489</v>
      </c>
      <c r="C516" s="285" t="s">
        <v>121</v>
      </c>
      <c r="D516" s="286">
        <v>18</v>
      </c>
      <c r="E516" s="7">
        <v>600.75</v>
      </c>
      <c r="F516" s="287">
        <v>0</v>
      </c>
      <c r="G516" s="145">
        <f t="shared" si="242"/>
        <v>600.75</v>
      </c>
      <c r="H516" s="145">
        <f t="shared" si="243"/>
        <v>10813.5</v>
      </c>
      <c r="I516" s="146">
        <f t="shared" si="244"/>
        <v>0</v>
      </c>
      <c r="J516" s="7">
        <f t="shared" si="230"/>
        <v>10813.5</v>
      </c>
      <c r="K516" s="276"/>
    </row>
    <row r="517" spans="2:11" outlineLevel="1">
      <c r="B517" s="150" t="s">
        <v>490</v>
      </c>
      <c r="C517" s="285" t="s">
        <v>121</v>
      </c>
      <c r="D517" s="286">
        <v>1</v>
      </c>
      <c r="E517" s="7">
        <v>854.4</v>
      </c>
      <c r="F517" s="287">
        <v>0</v>
      </c>
      <c r="G517" s="145">
        <f t="shared" si="242"/>
        <v>854.4</v>
      </c>
      <c r="H517" s="145">
        <f t="shared" si="243"/>
        <v>854.4</v>
      </c>
      <c r="I517" s="146">
        <f t="shared" si="244"/>
        <v>0</v>
      </c>
      <c r="J517" s="7">
        <f t="shared" si="230"/>
        <v>854.4</v>
      </c>
      <c r="K517" s="276"/>
    </row>
    <row r="518" spans="2:11" outlineLevel="1">
      <c r="B518" s="150" t="s">
        <v>491</v>
      </c>
      <c r="C518" s="285" t="s">
        <v>121</v>
      </c>
      <c r="D518" s="286">
        <v>18</v>
      </c>
      <c r="E518" s="7">
        <v>445</v>
      </c>
      <c r="F518" s="287">
        <v>0</v>
      </c>
      <c r="G518" s="145">
        <f t="shared" si="242"/>
        <v>445</v>
      </c>
      <c r="H518" s="145">
        <f t="shared" si="243"/>
        <v>8010</v>
      </c>
      <c r="I518" s="146">
        <f t="shared" si="244"/>
        <v>0</v>
      </c>
      <c r="J518" s="7">
        <f t="shared" si="230"/>
        <v>8010</v>
      </c>
      <c r="K518" s="276"/>
    </row>
    <row r="519" spans="2:11" outlineLevel="1">
      <c r="B519" s="150" t="s">
        <v>492</v>
      </c>
      <c r="C519" s="285" t="s">
        <v>121</v>
      </c>
      <c r="D519" s="286">
        <v>27</v>
      </c>
      <c r="E519" s="7">
        <v>445</v>
      </c>
      <c r="F519" s="287">
        <v>0</v>
      </c>
      <c r="G519" s="145">
        <f t="shared" si="242"/>
        <v>445</v>
      </c>
      <c r="H519" s="145">
        <f t="shared" si="243"/>
        <v>12015</v>
      </c>
      <c r="I519" s="146">
        <f t="shared" si="244"/>
        <v>0</v>
      </c>
      <c r="J519" s="7">
        <f t="shared" si="230"/>
        <v>12015</v>
      </c>
      <c r="K519" s="276"/>
    </row>
    <row r="520" spans="2:11" outlineLevel="1">
      <c r="B520" s="150" t="s">
        <v>493</v>
      </c>
      <c r="C520" s="285" t="s">
        <v>121</v>
      </c>
      <c r="D520" s="286">
        <v>1</v>
      </c>
      <c r="E520" s="7">
        <v>525.1</v>
      </c>
      <c r="F520" s="287">
        <v>0</v>
      </c>
      <c r="G520" s="145">
        <f t="shared" si="242"/>
        <v>525.1</v>
      </c>
      <c r="H520" s="145">
        <f t="shared" si="243"/>
        <v>525.1</v>
      </c>
      <c r="I520" s="146">
        <f t="shared" si="244"/>
        <v>0</v>
      </c>
      <c r="J520" s="7">
        <f t="shared" si="230"/>
        <v>525.1</v>
      </c>
      <c r="K520" s="276"/>
    </row>
    <row r="521" spans="2:11" outlineLevel="1">
      <c r="B521" s="150" t="s">
        <v>494</v>
      </c>
      <c r="C521" s="285" t="s">
        <v>121</v>
      </c>
      <c r="D521" s="286">
        <v>8</v>
      </c>
      <c r="E521" s="7">
        <v>556.25</v>
      </c>
      <c r="F521" s="287">
        <v>0</v>
      </c>
      <c r="G521" s="145">
        <f t="shared" si="242"/>
        <v>556.25</v>
      </c>
      <c r="H521" s="145">
        <f t="shared" si="243"/>
        <v>4450</v>
      </c>
      <c r="I521" s="146">
        <f t="shared" si="244"/>
        <v>0</v>
      </c>
      <c r="J521" s="7">
        <f t="shared" si="230"/>
        <v>4450</v>
      </c>
      <c r="K521" s="276"/>
    </row>
    <row r="522" spans="2:11" outlineLevel="1">
      <c r="B522" s="150" t="s">
        <v>495</v>
      </c>
      <c r="C522" s="285" t="s">
        <v>121</v>
      </c>
      <c r="D522" s="286">
        <v>8</v>
      </c>
      <c r="E522" s="7">
        <v>534</v>
      </c>
      <c r="F522" s="287">
        <v>0</v>
      </c>
      <c r="G522" s="145">
        <f t="shared" si="242"/>
        <v>534</v>
      </c>
      <c r="H522" s="145">
        <f t="shared" si="243"/>
        <v>4272</v>
      </c>
      <c r="I522" s="146">
        <f t="shared" si="244"/>
        <v>0</v>
      </c>
      <c r="J522" s="7">
        <f t="shared" si="230"/>
        <v>4272</v>
      </c>
      <c r="K522" s="276"/>
    </row>
    <row r="523" spans="2:11" outlineLevel="1">
      <c r="B523" s="150" t="s">
        <v>496</v>
      </c>
      <c r="C523" s="285" t="s">
        <v>121</v>
      </c>
      <c r="D523" s="286">
        <v>8</v>
      </c>
      <c r="E523" s="7">
        <v>534</v>
      </c>
      <c r="F523" s="287">
        <v>0</v>
      </c>
      <c r="G523" s="145">
        <f t="shared" si="242"/>
        <v>534</v>
      </c>
      <c r="H523" s="145">
        <f t="shared" si="243"/>
        <v>4272</v>
      </c>
      <c r="I523" s="146">
        <f t="shared" si="244"/>
        <v>0</v>
      </c>
      <c r="J523" s="7">
        <f t="shared" si="230"/>
        <v>4272</v>
      </c>
      <c r="K523" s="276"/>
    </row>
    <row r="524" spans="2:11" outlineLevel="1">
      <c r="B524" s="150" t="s">
        <v>497</v>
      </c>
      <c r="C524" s="285" t="s">
        <v>121</v>
      </c>
      <c r="D524" s="286">
        <v>8</v>
      </c>
      <c r="E524" s="7">
        <v>623</v>
      </c>
      <c r="F524" s="287">
        <v>0</v>
      </c>
      <c r="G524" s="145">
        <f t="shared" si="242"/>
        <v>623</v>
      </c>
      <c r="H524" s="145">
        <f t="shared" si="243"/>
        <v>4984</v>
      </c>
      <c r="I524" s="146">
        <f t="shared" si="244"/>
        <v>0</v>
      </c>
      <c r="J524" s="7">
        <f t="shared" si="230"/>
        <v>4984</v>
      </c>
      <c r="K524" s="276"/>
    </row>
    <row r="525" spans="2:11" outlineLevel="1">
      <c r="B525" s="150" t="s">
        <v>498</v>
      </c>
      <c r="C525" s="285" t="s">
        <v>121</v>
      </c>
      <c r="D525" s="286">
        <v>8</v>
      </c>
      <c r="E525" s="7">
        <v>849.94999999999993</v>
      </c>
      <c r="F525" s="287">
        <v>0</v>
      </c>
      <c r="G525" s="145">
        <f t="shared" si="242"/>
        <v>849.95</v>
      </c>
      <c r="H525" s="145">
        <f t="shared" si="243"/>
        <v>6799.6</v>
      </c>
      <c r="I525" s="146">
        <f t="shared" si="244"/>
        <v>0</v>
      </c>
      <c r="J525" s="7">
        <f t="shared" si="230"/>
        <v>6799.6</v>
      </c>
      <c r="K525" s="276"/>
    </row>
    <row r="526" spans="2:11" outlineLevel="1">
      <c r="B526" s="150" t="s">
        <v>499</v>
      </c>
      <c r="C526" s="285" t="s">
        <v>121</v>
      </c>
      <c r="D526" s="286">
        <v>1</v>
      </c>
      <c r="E526" s="7">
        <v>569.6</v>
      </c>
      <c r="F526" s="287">
        <v>0</v>
      </c>
      <c r="G526" s="145">
        <f t="shared" si="242"/>
        <v>569.6</v>
      </c>
      <c r="H526" s="145">
        <f t="shared" si="243"/>
        <v>569.6</v>
      </c>
      <c r="I526" s="146">
        <f t="shared" si="244"/>
        <v>0</v>
      </c>
      <c r="J526" s="7">
        <f t="shared" si="230"/>
        <v>569.6</v>
      </c>
      <c r="K526" s="276"/>
    </row>
    <row r="527" spans="2:11" outlineLevel="1">
      <c r="B527" s="150" t="s">
        <v>500</v>
      </c>
      <c r="C527" s="285" t="s">
        <v>121</v>
      </c>
      <c r="D527" s="286">
        <v>1</v>
      </c>
      <c r="E527" s="7">
        <v>445</v>
      </c>
      <c r="F527" s="287">
        <v>0</v>
      </c>
      <c r="G527" s="145">
        <f t="shared" si="242"/>
        <v>445</v>
      </c>
      <c r="H527" s="145">
        <f t="shared" si="243"/>
        <v>445</v>
      </c>
      <c r="I527" s="146">
        <f t="shared" si="244"/>
        <v>0</v>
      </c>
      <c r="J527" s="7">
        <f t="shared" si="230"/>
        <v>445</v>
      </c>
      <c r="K527" s="276"/>
    </row>
    <row r="528" spans="2:11" outlineLevel="1">
      <c r="B528" s="150" t="s">
        <v>501</v>
      </c>
      <c r="C528" s="285" t="s">
        <v>121</v>
      </c>
      <c r="D528" s="286">
        <v>1</v>
      </c>
      <c r="E528" s="7">
        <v>578.5</v>
      </c>
      <c r="F528" s="287">
        <v>0</v>
      </c>
      <c r="G528" s="145">
        <f t="shared" ref="G528:G533" si="245">+ROUND(E528+F528*TC,2)</f>
        <v>578.5</v>
      </c>
      <c r="H528" s="145">
        <f t="shared" ref="H528:H533" si="246">+ROUND(D528*E528,2)</f>
        <v>578.5</v>
      </c>
      <c r="I528" s="146">
        <f t="shared" ref="I528:I533" si="247">+ROUND(D528*F528,2)</f>
        <v>0</v>
      </c>
      <c r="J528" s="7">
        <f t="shared" ref="J528:J533" si="248">+ROUND(H528+I528*TC,2)</f>
        <v>578.5</v>
      </c>
      <c r="K528" s="276"/>
    </row>
    <row r="529" spans="2:11" outlineLevel="1">
      <c r="B529" s="150" t="s">
        <v>502</v>
      </c>
      <c r="C529" s="285" t="s">
        <v>121</v>
      </c>
      <c r="D529" s="286">
        <v>1</v>
      </c>
      <c r="E529" s="7">
        <v>979.00000000000011</v>
      </c>
      <c r="F529" s="287">
        <v>0</v>
      </c>
      <c r="G529" s="145">
        <f t="shared" si="245"/>
        <v>979</v>
      </c>
      <c r="H529" s="145">
        <f t="shared" si="246"/>
        <v>979</v>
      </c>
      <c r="I529" s="146">
        <f t="shared" si="247"/>
        <v>0</v>
      </c>
      <c r="J529" s="7">
        <f t="shared" si="248"/>
        <v>979</v>
      </c>
      <c r="K529" s="276"/>
    </row>
    <row r="530" spans="2:11" outlineLevel="1">
      <c r="B530" s="150" t="s">
        <v>503</v>
      </c>
      <c r="C530" s="285" t="s">
        <v>121</v>
      </c>
      <c r="D530" s="286">
        <v>1</v>
      </c>
      <c r="E530" s="7">
        <v>792.1</v>
      </c>
      <c r="F530" s="287">
        <v>0</v>
      </c>
      <c r="G530" s="145">
        <f t="shared" si="245"/>
        <v>792.1</v>
      </c>
      <c r="H530" s="145">
        <f t="shared" si="246"/>
        <v>792.1</v>
      </c>
      <c r="I530" s="146">
        <f t="shared" si="247"/>
        <v>0</v>
      </c>
      <c r="J530" s="7">
        <f t="shared" si="248"/>
        <v>792.1</v>
      </c>
      <c r="K530" s="276"/>
    </row>
    <row r="531" spans="2:11" outlineLevel="1">
      <c r="B531" s="150" t="s">
        <v>504</v>
      </c>
      <c r="C531" s="285" t="s">
        <v>121</v>
      </c>
      <c r="D531" s="286">
        <v>1</v>
      </c>
      <c r="E531" s="7">
        <v>445</v>
      </c>
      <c r="F531" s="287">
        <v>0</v>
      </c>
      <c r="G531" s="145">
        <f t="shared" si="245"/>
        <v>445</v>
      </c>
      <c r="H531" s="145">
        <f t="shared" si="246"/>
        <v>445</v>
      </c>
      <c r="I531" s="146">
        <f t="shared" si="247"/>
        <v>0</v>
      </c>
      <c r="J531" s="7">
        <f t="shared" si="248"/>
        <v>445</v>
      </c>
      <c r="K531" s="276"/>
    </row>
    <row r="532" spans="2:11" outlineLevel="1">
      <c r="B532" s="150" t="s">
        <v>505</v>
      </c>
      <c r="C532" s="285" t="s">
        <v>121</v>
      </c>
      <c r="D532" s="286">
        <v>1</v>
      </c>
      <c r="E532" s="7">
        <v>979.00000000000011</v>
      </c>
      <c r="F532" s="287">
        <v>0</v>
      </c>
      <c r="G532" s="145">
        <f t="shared" si="245"/>
        <v>979</v>
      </c>
      <c r="H532" s="145">
        <f t="shared" si="246"/>
        <v>979</v>
      </c>
      <c r="I532" s="146">
        <f t="shared" si="247"/>
        <v>0</v>
      </c>
      <c r="J532" s="7">
        <f t="shared" si="248"/>
        <v>979</v>
      </c>
      <c r="K532" s="276"/>
    </row>
    <row r="533" spans="2:11" outlineLevel="1">
      <c r="B533" s="150" t="s">
        <v>506</v>
      </c>
      <c r="C533" s="285" t="s">
        <v>121</v>
      </c>
      <c r="D533" s="286">
        <v>1</v>
      </c>
      <c r="E533" s="7">
        <v>445</v>
      </c>
      <c r="F533" s="287">
        <v>0</v>
      </c>
      <c r="G533" s="145">
        <f t="shared" si="245"/>
        <v>445</v>
      </c>
      <c r="H533" s="145">
        <f t="shared" si="246"/>
        <v>445</v>
      </c>
      <c r="I533" s="146">
        <f t="shared" si="247"/>
        <v>0</v>
      </c>
      <c r="J533" s="7">
        <f t="shared" si="248"/>
        <v>445</v>
      </c>
      <c r="K533" s="276"/>
    </row>
    <row r="534" spans="2:11">
      <c r="B534" s="694" t="s">
        <v>507</v>
      </c>
      <c r="C534" s="285"/>
      <c r="D534" s="286"/>
      <c r="E534" s="7" t="s">
        <v>27</v>
      </c>
      <c r="F534" s="287" t="s">
        <v>27</v>
      </c>
      <c r="G534" s="145"/>
      <c r="H534" s="145"/>
      <c r="I534" s="146"/>
      <c r="J534" s="7">
        <f t="shared" si="230"/>
        <v>0</v>
      </c>
      <c r="K534" s="276">
        <f>SUM(H534:H539)+SUM(I534:I539)*TC</f>
        <v>73487</v>
      </c>
    </row>
    <row r="535" spans="2:11" outlineLevel="1">
      <c r="B535" s="150" t="s">
        <v>508</v>
      </c>
      <c r="C535" s="285" t="s">
        <v>121</v>
      </c>
      <c r="D535" s="286">
        <v>334</v>
      </c>
      <c r="E535" s="7">
        <v>125.5</v>
      </c>
      <c r="F535" s="287">
        <v>0</v>
      </c>
      <c r="G535" s="145">
        <f t="shared" ref="G535:G539" si="249">+ROUND(E535+F535*TC,2)</f>
        <v>125.5</v>
      </c>
      <c r="H535" s="145">
        <f t="shared" si="224"/>
        <v>41917</v>
      </c>
      <c r="I535" s="146">
        <f t="shared" si="225"/>
        <v>0</v>
      </c>
      <c r="J535" s="7">
        <f t="shared" si="230"/>
        <v>41917</v>
      </c>
      <c r="K535" s="276"/>
    </row>
    <row r="536" spans="2:11" outlineLevel="1">
      <c r="B536" s="150" t="s">
        <v>509</v>
      </c>
      <c r="C536" s="285" t="s">
        <v>121</v>
      </c>
      <c r="D536" s="286">
        <v>538</v>
      </c>
      <c r="E536" s="7">
        <v>27.5</v>
      </c>
      <c r="F536" s="287">
        <v>0</v>
      </c>
      <c r="G536" s="145">
        <f t="shared" si="249"/>
        <v>27.5</v>
      </c>
      <c r="H536" s="145">
        <f t="shared" si="224"/>
        <v>14795</v>
      </c>
      <c r="I536" s="146">
        <f t="shared" si="225"/>
        <v>0</v>
      </c>
      <c r="J536" s="7">
        <f t="shared" si="230"/>
        <v>14795</v>
      </c>
      <c r="K536" s="276"/>
    </row>
    <row r="537" spans="2:11" outlineLevel="1">
      <c r="B537" s="150" t="s">
        <v>510</v>
      </c>
      <c r="C537" s="285" t="s">
        <v>121</v>
      </c>
      <c r="D537" s="286">
        <v>544</v>
      </c>
      <c r="E537" s="7">
        <v>27.5</v>
      </c>
      <c r="F537" s="287">
        <v>0</v>
      </c>
      <c r="G537" s="145">
        <f t="shared" si="249"/>
        <v>27.5</v>
      </c>
      <c r="H537" s="145">
        <f t="shared" si="224"/>
        <v>14960</v>
      </c>
      <c r="I537" s="146">
        <f t="shared" si="225"/>
        <v>0</v>
      </c>
      <c r="J537" s="7">
        <f t="shared" si="230"/>
        <v>14960</v>
      </c>
      <c r="K537" s="276"/>
    </row>
    <row r="538" spans="2:11" outlineLevel="1">
      <c r="B538" s="150" t="s">
        <v>511</v>
      </c>
      <c r="C538" s="285" t="s">
        <v>121</v>
      </c>
      <c r="D538" s="286">
        <v>24</v>
      </c>
      <c r="E538" s="7">
        <v>27.5</v>
      </c>
      <c r="F538" s="287">
        <v>0</v>
      </c>
      <c r="G538" s="145">
        <f t="shared" si="249"/>
        <v>27.5</v>
      </c>
      <c r="H538" s="145">
        <f t="shared" si="224"/>
        <v>660</v>
      </c>
      <c r="I538" s="146">
        <f t="shared" si="225"/>
        <v>0</v>
      </c>
      <c r="J538" s="7">
        <f t="shared" si="230"/>
        <v>660</v>
      </c>
      <c r="K538" s="276"/>
    </row>
    <row r="539" spans="2:11" outlineLevel="1">
      <c r="B539" s="150" t="s">
        <v>512</v>
      </c>
      <c r="C539" s="285" t="s">
        <v>121</v>
      </c>
      <c r="D539" s="286">
        <v>42</v>
      </c>
      <c r="E539" s="7">
        <v>27.5</v>
      </c>
      <c r="F539" s="287">
        <v>0</v>
      </c>
      <c r="G539" s="145">
        <f t="shared" si="249"/>
        <v>27.5</v>
      </c>
      <c r="H539" s="145">
        <f t="shared" si="224"/>
        <v>1155</v>
      </c>
      <c r="I539" s="146">
        <f t="shared" si="225"/>
        <v>0</v>
      </c>
      <c r="J539" s="7">
        <f t="shared" si="230"/>
        <v>1155</v>
      </c>
      <c r="K539" s="276"/>
    </row>
    <row r="540" spans="2:11">
      <c r="B540" s="694" t="s">
        <v>513</v>
      </c>
      <c r="C540" s="285"/>
      <c r="D540" s="286"/>
      <c r="E540" s="7" t="s">
        <v>27</v>
      </c>
      <c r="F540" s="287" t="s">
        <v>27</v>
      </c>
      <c r="G540" s="145"/>
      <c r="H540" s="145"/>
      <c r="I540" s="146"/>
      <c r="J540" s="7">
        <f t="shared" si="230"/>
        <v>0</v>
      </c>
      <c r="K540" s="276">
        <f>SUM(H540:H561)+SUM(I540:I561)*TC</f>
        <v>1370926.3199999998</v>
      </c>
    </row>
    <row r="541" spans="2:11" outlineLevel="1">
      <c r="B541" s="303" t="s">
        <v>514</v>
      </c>
      <c r="C541" s="285" t="s">
        <v>121</v>
      </c>
      <c r="D541" s="286">
        <v>25</v>
      </c>
      <c r="E541" s="7">
        <v>4156.0125034940866</v>
      </c>
      <c r="F541" s="287">
        <v>0</v>
      </c>
      <c r="G541" s="145">
        <f t="shared" ref="G541:G556" si="250">+ROUND(E541+F541*TC,2)</f>
        <v>4156.01</v>
      </c>
      <c r="H541" s="145">
        <f t="shared" ref="H541:H556" si="251">+ROUND(D541*E541,2)</f>
        <v>103900.31</v>
      </c>
      <c r="I541" s="146">
        <f t="shared" ref="I541:I556" si="252">+ROUND(D541*F541,2)</f>
        <v>0</v>
      </c>
      <c r="J541" s="7">
        <f t="shared" si="230"/>
        <v>103900.31</v>
      </c>
      <c r="K541" s="276"/>
    </row>
    <row r="542" spans="2:11" outlineLevel="1">
      <c r="B542" s="303" t="s">
        <v>515</v>
      </c>
      <c r="C542" s="285" t="s">
        <v>121</v>
      </c>
      <c r="D542" s="286">
        <v>25</v>
      </c>
      <c r="E542" s="7">
        <v>4247.6210035711056</v>
      </c>
      <c r="F542" s="287">
        <v>0</v>
      </c>
      <c r="G542" s="145">
        <f t="shared" si="250"/>
        <v>4247.62</v>
      </c>
      <c r="H542" s="145">
        <f t="shared" si="251"/>
        <v>106190.53</v>
      </c>
      <c r="I542" s="146">
        <f t="shared" si="252"/>
        <v>0</v>
      </c>
      <c r="J542" s="7">
        <f t="shared" si="230"/>
        <v>106190.53</v>
      </c>
      <c r="K542" s="276"/>
    </row>
    <row r="543" spans="2:11" outlineLevel="1">
      <c r="B543" s="303" t="s">
        <v>516</v>
      </c>
      <c r="C543" s="285" t="s">
        <v>121</v>
      </c>
      <c r="D543" s="286">
        <v>25</v>
      </c>
      <c r="E543" s="7">
        <v>4561.3680038348812</v>
      </c>
      <c r="F543" s="287">
        <v>0</v>
      </c>
      <c r="G543" s="145">
        <f t="shared" si="250"/>
        <v>4561.37</v>
      </c>
      <c r="H543" s="145">
        <f t="shared" si="251"/>
        <v>114034.2</v>
      </c>
      <c r="I543" s="146">
        <f t="shared" si="252"/>
        <v>0</v>
      </c>
      <c r="J543" s="7">
        <f t="shared" si="230"/>
        <v>114034.2</v>
      </c>
      <c r="K543" s="276"/>
    </row>
    <row r="544" spans="2:11" outlineLevel="1">
      <c r="B544" s="303" t="s">
        <v>517</v>
      </c>
      <c r="C544" s="285" t="s">
        <v>121</v>
      </c>
      <c r="D544" s="286">
        <v>25</v>
      </c>
      <c r="E544" s="7">
        <v>4249.9295035730456</v>
      </c>
      <c r="F544" s="287">
        <v>0</v>
      </c>
      <c r="G544" s="145">
        <f t="shared" si="250"/>
        <v>4249.93</v>
      </c>
      <c r="H544" s="145">
        <f t="shared" si="251"/>
        <v>106248.24</v>
      </c>
      <c r="I544" s="146">
        <f t="shared" si="252"/>
        <v>0</v>
      </c>
      <c r="J544" s="7">
        <f t="shared" si="230"/>
        <v>106248.24</v>
      </c>
      <c r="K544" s="276"/>
    </row>
    <row r="545" spans="2:11" outlineLevel="1">
      <c r="B545" s="303" t="s">
        <v>518</v>
      </c>
      <c r="C545" s="285" t="s">
        <v>121</v>
      </c>
      <c r="D545" s="286">
        <v>18</v>
      </c>
      <c r="E545" s="7">
        <v>4000.5165033633562</v>
      </c>
      <c r="F545" s="287">
        <v>0</v>
      </c>
      <c r="G545" s="145">
        <f t="shared" si="250"/>
        <v>4000.52</v>
      </c>
      <c r="H545" s="145">
        <f t="shared" si="251"/>
        <v>72009.3</v>
      </c>
      <c r="I545" s="146">
        <f t="shared" si="252"/>
        <v>0</v>
      </c>
      <c r="J545" s="7">
        <f t="shared" si="230"/>
        <v>72009.3</v>
      </c>
      <c r="K545" s="276"/>
    </row>
    <row r="546" spans="2:11" outlineLevel="1">
      <c r="B546" s="303" t="s">
        <v>519</v>
      </c>
      <c r="C546" s="285" t="s">
        <v>121</v>
      </c>
      <c r="D546" s="286">
        <v>18</v>
      </c>
      <c r="E546" s="7">
        <v>3880.9590032628407</v>
      </c>
      <c r="F546" s="287">
        <v>0</v>
      </c>
      <c r="G546" s="145">
        <f t="shared" si="250"/>
        <v>3880.96</v>
      </c>
      <c r="H546" s="145">
        <f t="shared" si="251"/>
        <v>69857.259999999995</v>
      </c>
      <c r="I546" s="146">
        <f t="shared" si="252"/>
        <v>0</v>
      </c>
      <c r="J546" s="7">
        <f t="shared" si="230"/>
        <v>69857.259999999995</v>
      </c>
      <c r="K546" s="276"/>
    </row>
    <row r="547" spans="2:11" outlineLevel="1">
      <c r="B547" s="303" t="s">
        <v>520</v>
      </c>
      <c r="C547" s="285" t="s">
        <v>121</v>
      </c>
      <c r="D547" s="286">
        <v>18</v>
      </c>
      <c r="E547" s="7">
        <v>4113.0060034579292</v>
      </c>
      <c r="F547" s="287">
        <v>0</v>
      </c>
      <c r="G547" s="145">
        <f t="shared" si="250"/>
        <v>4113.01</v>
      </c>
      <c r="H547" s="145">
        <f t="shared" si="251"/>
        <v>74034.11</v>
      </c>
      <c r="I547" s="146">
        <f t="shared" si="252"/>
        <v>0</v>
      </c>
      <c r="J547" s="7">
        <f t="shared" si="230"/>
        <v>74034.11</v>
      </c>
      <c r="K547" s="276"/>
    </row>
    <row r="548" spans="2:11" outlineLevel="1">
      <c r="B548" s="303" t="s">
        <v>521</v>
      </c>
      <c r="C548" s="285" t="s">
        <v>121</v>
      </c>
      <c r="D548" s="286">
        <v>18</v>
      </c>
      <c r="E548" s="7">
        <v>3736.188503141128</v>
      </c>
      <c r="F548" s="287">
        <v>0</v>
      </c>
      <c r="G548" s="145">
        <f t="shared" si="250"/>
        <v>3736.19</v>
      </c>
      <c r="H548" s="145">
        <f t="shared" si="251"/>
        <v>67251.39</v>
      </c>
      <c r="I548" s="146">
        <f t="shared" si="252"/>
        <v>0</v>
      </c>
      <c r="J548" s="7">
        <f t="shared" si="230"/>
        <v>67251.39</v>
      </c>
      <c r="K548" s="276"/>
    </row>
    <row r="549" spans="2:11" outlineLevel="1">
      <c r="B549" s="303" t="s">
        <v>522</v>
      </c>
      <c r="C549" s="285" t="s">
        <v>121</v>
      </c>
      <c r="D549" s="286">
        <v>22</v>
      </c>
      <c r="E549" s="7">
        <v>4565.1205038380367</v>
      </c>
      <c r="F549" s="287">
        <v>0</v>
      </c>
      <c r="G549" s="145">
        <f t="shared" ref="G549" si="253">+ROUND(E549+F549*TC,2)</f>
        <v>4565.12</v>
      </c>
      <c r="H549" s="145">
        <f t="shared" ref="H549" si="254">+ROUND(D549*E549,2)</f>
        <v>100432.65</v>
      </c>
      <c r="I549" s="146">
        <f t="shared" ref="I549" si="255">+ROUND(D549*F549,2)</f>
        <v>0</v>
      </c>
      <c r="J549" s="7">
        <f t="shared" si="230"/>
        <v>100432.65</v>
      </c>
      <c r="K549" s="276"/>
    </row>
    <row r="550" spans="2:11" outlineLevel="1">
      <c r="B550" s="303" t="s">
        <v>523</v>
      </c>
      <c r="C550" s="285" t="s">
        <v>121</v>
      </c>
      <c r="D550" s="286">
        <v>22</v>
      </c>
      <c r="E550" s="7">
        <v>3471.8795029189155</v>
      </c>
      <c r="F550" s="287">
        <v>0</v>
      </c>
      <c r="G550" s="145">
        <f t="shared" si="250"/>
        <v>3471.88</v>
      </c>
      <c r="H550" s="145">
        <f t="shared" si="251"/>
        <v>76381.350000000006</v>
      </c>
      <c r="I550" s="146">
        <f t="shared" si="252"/>
        <v>0</v>
      </c>
      <c r="J550" s="7">
        <f t="shared" si="230"/>
        <v>76381.350000000006</v>
      </c>
      <c r="K550" s="276"/>
    </row>
    <row r="551" spans="2:11" outlineLevel="1">
      <c r="B551" s="303" t="s">
        <v>524</v>
      </c>
      <c r="C551" s="285" t="s">
        <v>121</v>
      </c>
      <c r="D551" s="286">
        <v>24</v>
      </c>
      <c r="E551" s="7">
        <v>3993.8475033577502</v>
      </c>
      <c r="F551" s="287">
        <v>0</v>
      </c>
      <c r="G551" s="145">
        <f t="shared" si="250"/>
        <v>3993.85</v>
      </c>
      <c r="H551" s="145">
        <f t="shared" si="251"/>
        <v>95852.34</v>
      </c>
      <c r="I551" s="146">
        <f t="shared" si="252"/>
        <v>0</v>
      </c>
      <c r="J551" s="7">
        <f t="shared" si="230"/>
        <v>95852.34</v>
      </c>
      <c r="K551" s="276"/>
    </row>
    <row r="552" spans="2:11" outlineLevel="1">
      <c r="B552" s="303" t="s">
        <v>525</v>
      </c>
      <c r="C552" s="285" t="s">
        <v>121</v>
      </c>
      <c r="D552" s="286">
        <v>22</v>
      </c>
      <c r="E552" s="7">
        <v>4089.5600034382182</v>
      </c>
      <c r="F552" s="287">
        <v>0</v>
      </c>
      <c r="G552" s="145">
        <f t="shared" si="250"/>
        <v>4089.56</v>
      </c>
      <c r="H552" s="145">
        <f>+ROUND(D552*E552,2)</f>
        <v>89970.32</v>
      </c>
      <c r="I552" s="146">
        <f t="shared" si="252"/>
        <v>0</v>
      </c>
      <c r="J552" s="7">
        <f t="shared" si="230"/>
        <v>89970.32</v>
      </c>
      <c r="K552" s="276"/>
    </row>
    <row r="553" spans="2:11" outlineLevel="1">
      <c r="B553" s="303" t="s">
        <v>526</v>
      </c>
      <c r="C553" s="285" t="s">
        <v>121</v>
      </c>
      <c r="D553" s="286">
        <v>25</v>
      </c>
      <c r="E553" s="7">
        <v>4193.9650035259947</v>
      </c>
      <c r="F553" s="287">
        <v>0</v>
      </c>
      <c r="G553" s="145">
        <f t="shared" si="250"/>
        <v>4193.97</v>
      </c>
      <c r="H553" s="145">
        <f t="shared" si="251"/>
        <v>104849.13</v>
      </c>
      <c r="I553" s="146">
        <f t="shared" si="252"/>
        <v>0</v>
      </c>
      <c r="J553" s="7">
        <f t="shared" si="230"/>
        <v>104849.13</v>
      </c>
      <c r="K553" s="276"/>
    </row>
    <row r="554" spans="2:11" outlineLevel="1">
      <c r="B554" s="303" t="s">
        <v>527</v>
      </c>
      <c r="C554" s="285" t="s">
        <v>121</v>
      </c>
      <c r="D554" s="286">
        <v>25</v>
      </c>
      <c r="E554" s="7">
        <v>3841.695503229831</v>
      </c>
      <c r="F554" s="287">
        <v>0</v>
      </c>
      <c r="G554" s="145">
        <f t="shared" si="250"/>
        <v>3841.7</v>
      </c>
      <c r="H554" s="145">
        <f t="shared" si="251"/>
        <v>96042.39</v>
      </c>
      <c r="I554" s="146">
        <f t="shared" si="252"/>
        <v>0</v>
      </c>
      <c r="J554" s="7">
        <f t="shared" si="230"/>
        <v>96042.39</v>
      </c>
      <c r="K554" s="276"/>
    </row>
    <row r="555" spans="2:11" outlineLevel="1">
      <c r="B555" s="303" t="s">
        <v>528</v>
      </c>
      <c r="C555" s="285" t="s">
        <v>121</v>
      </c>
      <c r="D555" s="286">
        <v>7</v>
      </c>
      <c r="E555" s="7">
        <v>6770.355505692045</v>
      </c>
      <c r="F555" s="287">
        <v>0</v>
      </c>
      <c r="G555" s="145">
        <f t="shared" si="250"/>
        <v>6770.36</v>
      </c>
      <c r="H555" s="145">
        <f t="shared" si="251"/>
        <v>47392.49</v>
      </c>
      <c r="I555" s="146">
        <f t="shared" si="252"/>
        <v>0</v>
      </c>
      <c r="J555" s="7">
        <f t="shared" si="230"/>
        <v>47392.49</v>
      </c>
      <c r="K555" s="276"/>
    </row>
    <row r="556" spans="2:11" outlineLevel="1">
      <c r="B556" s="303" t="s">
        <v>529</v>
      </c>
      <c r="C556" s="285" t="s">
        <v>121</v>
      </c>
      <c r="D556" s="286">
        <v>4</v>
      </c>
      <c r="E556" s="7">
        <v>2305.4315019382466</v>
      </c>
      <c r="F556" s="287">
        <v>0</v>
      </c>
      <c r="G556" s="145">
        <f t="shared" si="250"/>
        <v>2305.4299999999998</v>
      </c>
      <c r="H556" s="145">
        <f t="shared" si="251"/>
        <v>9221.73</v>
      </c>
      <c r="I556" s="146">
        <f t="shared" si="252"/>
        <v>0</v>
      </c>
      <c r="J556" s="7">
        <f t="shared" si="230"/>
        <v>9221.73</v>
      </c>
      <c r="K556" s="276"/>
    </row>
    <row r="557" spans="2:11" outlineLevel="1">
      <c r="B557" s="303" t="s">
        <v>530</v>
      </c>
      <c r="C557" s="285" t="s">
        <v>121</v>
      </c>
      <c r="D557" s="286">
        <v>4</v>
      </c>
      <c r="E557" s="7">
        <v>2948.1445024785953</v>
      </c>
      <c r="F557" s="287">
        <v>0</v>
      </c>
      <c r="G557" s="145">
        <f t="shared" ref="G557" si="256">+ROUND(E557+F557*TC,2)</f>
        <v>2948.14</v>
      </c>
      <c r="H557" s="145">
        <f t="shared" ref="H557" si="257">+ROUND(D557*E557,2)</f>
        <v>11792.58</v>
      </c>
      <c r="I557" s="146">
        <f t="shared" ref="I557" si="258">+ROUND(D557*F557,2)</f>
        <v>0</v>
      </c>
      <c r="J557" s="7">
        <f t="shared" ref="J557" si="259">+ROUND(H557+I557*TC,2)</f>
        <v>11792.58</v>
      </c>
      <c r="K557" s="276"/>
    </row>
    <row r="558" spans="2:11" outlineLevel="1">
      <c r="B558" s="303" t="s">
        <v>531</v>
      </c>
      <c r="C558" s="285" t="s">
        <v>121</v>
      </c>
      <c r="D558" s="286">
        <v>3</v>
      </c>
      <c r="E558" s="7">
        <v>3080.5175025898852</v>
      </c>
      <c r="F558" s="287">
        <v>0</v>
      </c>
      <c r="G558" s="145">
        <f t="shared" ref="G558" si="260">+ROUND(E558+F558*TC,2)</f>
        <v>3080.52</v>
      </c>
      <c r="H558" s="145">
        <f t="shared" ref="H558" si="261">+ROUND(D558*E558,2)</f>
        <v>9241.5499999999993</v>
      </c>
      <c r="I558" s="146">
        <f t="shared" ref="I558" si="262">+ROUND(D558*F558,2)</f>
        <v>0</v>
      </c>
      <c r="J558" s="7">
        <f t="shared" ref="J558" si="263">+ROUND(H558+I558*TC,2)</f>
        <v>9241.5499999999993</v>
      </c>
      <c r="K558" s="276"/>
    </row>
    <row r="559" spans="2:11" outlineLevel="1">
      <c r="B559" s="303" t="s">
        <v>532</v>
      </c>
      <c r="C559" s="285" t="s">
        <v>121</v>
      </c>
      <c r="D559" s="286">
        <v>1</v>
      </c>
      <c r="E559" s="7">
        <v>3276.9015027549913</v>
      </c>
      <c r="F559" s="287">
        <v>0</v>
      </c>
      <c r="G559" s="145">
        <f t="shared" ref="G559:G560" si="264">+ROUND(E559+F559*TC,2)</f>
        <v>3276.9</v>
      </c>
      <c r="H559" s="145">
        <f t="shared" ref="H559:H560" si="265">+ROUND(D559*E559,2)</f>
        <v>3276.9</v>
      </c>
      <c r="I559" s="146">
        <f t="shared" ref="I559:I560" si="266">+ROUND(D559*F559,2)</f>
        <v>0</v>
      </c>
      <c r="J559" s="7">
        <f t="shared" ref="J559:J560" si="267">+ROUND(H559+I559*TC,2)</f>
        <v>3276.9</v>
      </c>
      <c r="K559" s="276"/>
    </row>
    <row r="560" spans="2:11" outlineLevel="1">
      <c r="B560" s="303" t="s">
        <v>533</v>
      </c>
      <c r="C560" s="285" t="s">
        <v>121</v>
      </c>
      <c r="D560" s="286">
        <v>1</v>
      </c>
      <c r="E560" s="7">
        <v>4366.2000036707977</v>
      </c>
      <c r="F560" s="287">
        <v>0</v>
      </c>
      <c r="G560" s="145">
        <f t="shared" si="264"/>
        <v>4366.2</v>
      </c>
      <c r="H560" s="145">
        <f t="shared" si="265"/>
        <v>4366.2</v>
      </c>
      <c r="I560" s="146">
        <f t="shared" si="266"/>
        <v>0</v>
      </c>
      <c r="J560" s="7">
        <f t="shared" si="267"/>
        <v>4366.2</v>
      </c>
      <c r="K560" s="276"/>
    </row>
    <row r="561" spans="2:11" outlineLevel="1">
      <c r="B561" s="303" t="s">
        <v>534</v>
      </c>
      <c r="C561" s="285" t="s">
        <v>121</v>
      </c>
      <c r="D561" s="286">
        <v>2</v>
      </c>
      <c r="E561" s="7">
        <v>4290.6750036073017</v>
      </c>
      <c r="F561" s="287">
        <v>0</v>
      </c>
      <c r="G561" s="145">
        <f t="shared" ref="G561" si="268">+ROUND(E561+F561*TC,2)</f>
        <v>4290.68</v>
      </c>
      <c r="H561" s="145">
        <f t="shared" ref="H561" si="269">+ROUND(D561*E561,2)</f>
        <v>8581.35</v>
      </c>
      <c r="I561" s="146">
        <f t="shared" ref="I561" si="270">+ROUND(D561*F561,2)</f>
        <v>0</v>
      </c>
      <c r="J561" s="7">
        <f t="shared" ref="J561" si="271">+ROUND(H561+I561*TC,2)</f>
        <v>8581.35</v>
      </c>
      <c r="K561" s="276"/>
    </row>
    <row r="562" spans="2:11">
      <c r="B562" s="694" t="s">
        <v>535</v>
      </c>
      <c r="C562" s="285"/>
      <c r="D562" s="286"/>
      <c r="E562" s="7">
        <v>0</v>
      </c>
      <c r="F562" s="287" t="s">
        <v>27</v>
      </c>
      <c r="G562" s="145"/>
      <c r="H562" s="145"/>
      <c r="I562" s="146"/>
      <c r="J562" s="7">
        <f t="shared" si="230"/>
        <v>0</v>
      </c>
      <c r="K562" s="276">
        <f>SUM(H562:H594)+SUM(I562:I594)*TC</f>
        <v>455336.61</v>
      </c>
    </row>
    <row r="563" spans="2:11" outlineLevel="1">
      <c r="B563" s="721"/>
      <c r="C563" s="285"/>
      <c r="D563" s="286"/>
      <c r="E563" s="7">
        <v>0</v>
      </c>
      <c r="F563" s="287" t="s">
        <v>27</v>
      </c>
      <c r="G563" s="145"/>
      <c r="H563" s="145"/>
      <c r="I563" s="146"/>
      <c r="J563" s="7">
        <f t="shared" si="230"/>
        <v>0</v>
      </c>
      <c r="K563" s="276"/>
    </row>
    <row r="564" spans="2:11" outlineLevel="1">
      <c r="B564" s="303" t="s">
        <v>536</v>
      </c>
      <c r="C564" s="285" t="s">
        <v>121</v>
      </c>
      <c r="D564" s="286">
        <v>25</v>
      </c>
      <c r="E564" s="7">
        <v>1191.0625010013628</v>
      </c>
      <c r="F564" s="287">
        <v>0</v>
      </c>
      <c r="G564" s="145">
        <f t="shared" ref="G564:G579" si="272">+ROUND(E564+F564*TC,2)</f>
        <v>1191.06</v>
      </c>
      <c r="H564" s="145">
        <f t="shared" ref="H564:H579" si="273">+ROUND(D564*E564,2)</f>
        <v>29776.560000000001</v>
      </c>
      <c r="I564" s="146">
        <f t="shared" ref="I564:I579" si="274">+ROUND(D564*F564,2)</f>
        <v>0</v>
      </c>
      <c r="J564" s="7">
        <f t="shared" si="230"/>
        <v>29776.560000000001</v>
      </c>
      <c r="K564" s="276"/>
    </row>
    <row r="565" spans="2:11" ht="34.15" customHeight="1" outlineLevel="1">
      <c r="B565" s="303" t="s">
        <v>537</v>
      </c>
      <c r="C565" s="285" t="s">
        <v>121</v>
      </c>
      <c r="D565" s="286">
        <v>25</v>
      </c>
      <c r="E565" s="7">
        <v>955.93750080368591</v>
      </c>
      <c r="F565" s="287">
        <v>0</v>
      </c>
      <c r="G565" s="145">
        <f t="shared" si="272"/>
        <v>955.94</v>
      </c>
      <c r="H565" s="145">
        <f t="shared" si="273"/>
        <v>23898.44</v>
      </c>
      <c r="I565" s="146">
        <f t="shared" si="274"/>
        <v>0</v>
      </c>
      <c r="J565" s="7">
        <f t="shared" ref="J565:J647" si="275">+ROUND(H565+I565*TC,2)</f>
        <v>23898.44</v>
      </c>
      <c r="K565" s="276"/>
    </row>
    <row r="566" spans="2:11" outlineLevel="1">
      <c r="B566" s="303" t="s">
        <v>538</v>
      </c>
      <c r="C566" s="285" t="s">
        <v>121</v>
      </c>
      <c r="D566" s="286">
        <v>25</v>
      </c>
      <c r="E566" s="7">
        <v>888.25000074677894</v>
      </c>
      <c r="F566" s="287">
        <v>0</v>
      </c>
      <c r="G566" s="145">
        <f t="shared" si="272"/>
        <v>888.25</v>
      </c>
      <c r="H566" s="145">
        <f t="shared" si="273"/>
        <v>22206.25</v>
      </c>
      <c r="I566" s="146">
        <f t="shared" si="274"/>
        <v>0</v>
      </c>
      <c r="J566" s="7">
        <f t="shared" si="275"/>
        <v>22206.25</v>
      </c>
      <c r="K566" s="276"/>
    </row>
    <row r="567" spans="2:11" outlineLevel="1">
      <c r="B567" s="303" t="s">
        <v>538</v>
      </c>
      <c r="C567" s="285" t="s">
        <v>121</v>
      </c>
      <c r="D567" s="286">
        <v>25</v>
      </c>
      <c r="E567" s="7">
        <v>1541.375001295881</v>
      </c>
      <c r="F567" s="287">
        <v>0</v>
      </c>
      <c r="G567" s="145">
        <f t="shared" si="272"/>
        <v>1541.38</v>
      </c>
      <c r="H567" s="145">
        <f t="shared" si="273"/>
        <v>38534.379999999997</v>
      </c>
      <c r="I567" s="146">
        <f t="shared" si="274"/>
        <v>0</v>
      </c>
      <c r="J567" s="7">
        <f t="shared" si="275"/>
        <v>38534.379999999997</v>
      </c>
      <c r="K567" s="276"/>
    </row>
    <row r="568" spans="2:11" outlineLevel="1">
      <c r="B568" s="303" t="s">
        <v>539</v>
      </c>
      <c r="C568" s="285" t="s">
        <v>121</v>
      </c>
      <c r="D568" s="286">
        <v>43</v>
      </c>
      <c r="E568" s="7">
        <v>888.25000074677894</v>
      </c>
      <c r="F568" s="287">
        <v>0</v>
      </c>
      <c r="G568" s="145">
        <f t="shared" si="272"/>
        <v>888.25</v>
      </c>
      <c r="H568" s="145">
        <f t="shared" si="273"/>
        <v>38194.75</v>
      </c>
      <c r="I568" s="146">
        <f t="shared" si="274"/>
        <v>0</v>
      </c>
      <c r="J568" s="7">
        <f t="shared" si="275"/>
        <v>38194.75</v>
      </c>
      <c r="K568" s="276"/>
    </row>
    <row r="569" spans="2:11" outlineLevel="1">
      <c r="B569" s="303" t="s">
        <v>540</v>
      </c>
      <c r="C569" s="285" t="s">
        <v>121</v>
      </c>
      <c r="D569" s="286">
        <v>25</v>
      </c>
      <c r="E569" s="7">
        <v>600.3050005046947</v>
      </c>
      <c r="F569" s="287">
        <v>0</v>
      </c>
      <c r="G569" s="145">
        <f t="shared" si="272"/>
        <v>600.30999999999995</v>
      </c>
      <c r="H569" s="145">
        <f t="shared" si="273"/>
        <v>15007.63</v>
      </c>
      <c r="I569" s="146">
        <f t="shared" si="274"/>
        <v>0</v>
      </c>
      <c r="J569" s="7">
        <f t="shared" si="275"/>
        <v>15007.63</v>
      </c>
      <c r="K569" s="276"/>
    </row>
    <row r="570" spans="2:11" outlineLevel="1">
      <c r="B570" s="303" t="s">
        <v>541</v>
      </c>
      <c r="C570" s="285" t="s">
        <v>121</v>
      </c>
      <c r="D570" s="286">
        <v>18</v>
      </c>
      <c r="E570" s="7">
        <v>1259.225001058669</v>
      </c>
      <c r="F570" s="287">
        <v>0</v>
      </c>
      <c r="G570" s="145">
        <f t="shared" si="272"/>
        <v>1259.23</v>
      </c>
      <c r="H570" s="145">
        <f t="shared" si="273"/>
        <v>22666.05</v>
      </c>
      <c r="I570" s="146">
        <f t="shared" si="274"/>
        <v>0</v>
      </c>
      <c r="J570" s="7">
        <f t="shared" si="275"/>
        <v>22666.05</v>
      </c>
      <c r="K570" s="276"/>
    </row>
    <row r="571" spans="2:11" outlineLevel="1">
      <c r="B571" s="303" t="s">
        <v>542</v>
      </c>
      <c r="C571" s="285" t="s">
        <v>121</v>
      </c>
      <c r="D571" s="286">
        <v>18</v>
      </c>
      <c r="E571" s="7">
        <v>1078.2500009065177</v>
      </c>
      <c r="F571" s="287">
        <v>0</v>
      </c>
      <c r="G571" s="145">
        <f t="shared" si="272"/>
        <v>1078.25</v>
      </c>
      <c r="H571" s="145">
        <f t="shared" si="273"/>
        <v>19408.5</v>
      </c>
      <c r="I571" s="146">
        <f t="shared" si="274"/>
        <v>0</v>
      </c>
      <c r="J571" s="7">
        <f t="shared" si="275"/>
        <v>19408.5</v>
      </c>
      <c r="K571" s="276"/>
    </row>
    <row r="572" spans="2:11" outlineLevel="1">
      <c r="B572" s="303" t="s">
        <v>543</v>
      </c>
      <c r="C572" s="285" t="s">
        <v>121</v>
      </c>
      <c r="D572" s="286">
        <v>18</v>
      </c>
      <c r="E572" s="7">
        <v>1113.4000009360695</v>
      </c>
      <c r="F572" s="287">
        <v>0</v>
      </c>
      <c r="G572" s="145">
        <f t="shared" si="272"/>
        <v>1113.4000000000001</v>
      </c>
      <c r="H572" s="145">
        <f t="shared" si="273"/>
        <v>20041.2</v>
      </c>
      <c r="I572" s="146">
        <f t="shared" si="274"/>
        <v>0</v>
      </c>
      <c r="J572" s="7">
        <f t="shared" si="275"/>
        <v>20041.2</v>
      </c>
      <c r="K572" s="276"/>
    </row>
    <row r="573" spans="2:11" outlineLevel="1">
      <c r="B573" s="303" t="s">
        <v>544</v>
      </c>
      <c r="C573" s="285" t="s">
        <v>121</v>
      </c>
      <c r="D573" s="286">
        <v>18</v>
      </c>
      <c r="E573" s="7">
        <v>1123.3750009444557</v>
      </c>
      <c r="F573" s="287">
        <v>0</v>
      </c>
      <c r="G573" s="145">
        <f t="shared" si="272"/>
        <v>1123.3800000000001</v>
      </c>
      <c r="H573" s="145">
        <f t="shared" si="273"/>
        <v>20220.75</v>
      </c>
      <c r="I573" s="146">
        <f t="shared" si="274"/>
        <v>0</v>
      </c>
      <c r="J573" s="7">
        <f t="shared" si="275"/>
        <v>20220.75</v>
      </c>
      <c r="K573" s="276"/>
    </row>
    <row r="574" spans="2:11" ht="33" customHeight="1" outlineLevel="1">
      <c r="B574" s="303" t="s">
        <v>545</v>
      </c>
      <c r="C574" s="285" t="s">
        <v>121</v>
      </c>
      <c r="D574" s="286">
        <v>22</v>
      </c>
      <c r="E574" s="7">
        <v>978.5000008226549</v>
      </c>
      <c r="F574" s="287">
        <v>0</v>
      </c>
      <c r="G574" s="145">
        <f t="shared" si="272"/>
        <v>978.5</v>
      </c>
      <c r="H574" s="145">
        <f t="shared" si="273"/>
        <v>21527</v>
      </c>
      <c r="I574" s="146">
        <f t="shared" si="274"/>
        <v>0</v>
      </c>
      <c r="J574" s="7">
        <f t="shared" si="275"/>
        <v>21527</v>
      </c>
      <c r="K574" s="276"/>
    </row>
    <row r="575" spans="2:11" ht="27.6" customHeight="1" outlineLevel="1">
      <c r="B575" s="303" t="s">
        <v>546</v>
      </c>
      <c r="C575" s="285" t="s">
        <v>121</v>
      </c>
      <c r="D575" s="286">
        <v>21</v>
      </c>
      <c r="E575" s="7">
        <v>1981.4150016658361</v>
      </c>
      <c r="F575" s="287">
        <v>0</v>
      </c>
      <c r="G575" s="145">
        <f t="shared" si="272"/>
        <v>1981.42</v>
      </c>
      <c r="H575" s="145">
        <f t="shared" si="273"/>
        <v>41609.72</v>
      </c>
      <c r="I575" s="146">
        <f t="shared" si="274"/>
        <v>0</v>
      </c>
      <c r="J575" s="7">
        <f t="shared" si="275"/>
        <v>41609.72</v>
      </c>
      <c r="K575" s="276"/>
    </row>
    <row r="576" spans="2:11" outlineLevel="1">
      <c r="B576" s="303" t="s">
        <v>547</v>
      </c>
      <c r="C576" s="285" t="s">
        <v>121</v>
      </c>
      <c r="D576" s="286">
        <v>1</v>
      </c>
      <c r="E576" s="7">
        <v>924.35000077712937</v>
      </c>
      <c r="F576" s="287">
        <v>0</v>
      </c>
      <c r="G576" s="145">
        <f t="shared" si="272"/>
        <v>924.35</v>
      </c>
      <c r="H576" s="145">
        <f t="shared" si="273"/>
        <v>924.35</v>
      </c>
      <c r="I576" s="146">
        <f t="shared" si="274"/>
        <v>0</v>
      </c>
      <c r="J576" s="7">
        <f t="shared" si="275"/>
        <v>924.35</v>
      </c>
      <c r="K576" s="276"/>
    </row>
    <row r="577" spans="2:11" ht="40.9" customHeight="1" outlineLevel="1">
      <c r="B577" s="303" t="s">
        <v>548</v>
      </c>
      <c r="C577" s="285" t="s">
        <v>121</v>
      </c>
      <c r="D577" s="286">
        <v>23</v>
      </c>
      <c r="E577" s="7">
        <v>978.97500082305419</v>
      </c>
      <c r="F577" s="287">
        <v>0</v>
      </c>
      <c r="G577" s="145">
        <f t="shared" si="272"/>
        <v>978.98</v>
      </c>
      <c r="H577" s="145">
        <f t="shared" si="273"/>
        <v>22516.43</v>
      </c>
      <c r="I577" s="146">
        <f t="shared" si="274"/>
        <v>0</v>
      </c>
      <c r="J577" s="7">
        <f t="shared" si="275"/>
        <v>22516.43</v>
      </c>
      <c r="K577" s="276"/>
    </row>
    <row r="578" spans="2:11" ht="49.15" customHeight="1" outlineLevel="1">
      <c r="B578" s="303" t="s">
        <v>549</v>
      </c>
      <c r="C578" s="285" t="s">
        <v>121</v>
      </c>
      <c r="D578" s="286">
        <v>1</v>
      </c>
      <c r="E578" s="7">
        <v>1027.6625008639874</v>
      </c>
      <c r="F578" s="287">
        <v>0</v>
      </c>
      <c r="G578" s="145">
        <f t="shared" si="272"/>
        <v>1027.6600000000001</v>
      </c>
      <c r="H578" s="145">
        <f t="shared" si="273"/>
        <v>1027.6600000000001</v>
      </c>
      <c r="I578" s="146">
        <f t="shared" si="274"/>
        <v>0</v>
      </c>
      <c r="J578" s="7">
        <f t="shared" si="275"/>
        <v>1027.6600000000001</v>
      </c>
      <c r="K578" s="276"/>
    </row>
    <row r="579" spans="2:11" ht="49.15" customHeight="1" outlineLevel="1">
      <c r="B579" s="303" t="s">
        <v>550</v>
      </c>
      <c r="C579" s="285" t="s">
        <v>121</v>
      </c>
      <c r="D579" s="286">
        <v>16</v>
      </c>
      <c r="E579" s="7">
        <v>1127.8875009482495</v>
      </c>
      <c r="F579" s="287">
        <v>0</v>
      </c>
      <c r="G579" s="145">
        <f t="shared" si="272"/>
        <v>1127.8900000000001</v>
      </c>
      <c r="H579" s="145">
        <f t="shared" si="273"/>
        <v>18046.2</v>
      </c>
      <c r="I579" s="146">
        <f t="shared" si="274"/>
        <v>0</v>
      </c>
      <c r="J579" s="7">
        <f t="shared" si="275"/>
        <v>18046.2</v>
      </c>
      <c r="K579" s="276"/>
    </row>
    <row r="580" spans="2:11" ht="49.15" customHeight="1" outlineLevel="1">
      <c r="B580" s="303" t="s">
        <v>551</v>
      </c>
      <c r="C580" s="285" t="s">
        <v>121</v>
      </c>
      <c r="D580" s="286">
        <v>25</v>
      </c>
      <c r="E580" s="7">
        <v>579.50000048720335</v>
      </c>
      <c r="F580" s="287">
        <v>0</v>
      </c>
      <c r="G580" s="145">
        <f t="shared" ref="G580" si="276">+ROUND(E580+F580*TC,2)</f>
        <v>579.5</v>
      </c>
      <c r="H580" s="145">
        <f t="shared" ref="H580" si="277">+ROUND(D580*E580,2)</f>
        <v>14487.5</v>
      </c>
      <c r="I580" s="146">
        <f t="shared" ref="I580" si="278">+ROUND(D580*F580,2)</f>
        <v>0</v>
      </c>
      <c r="J580" s="7">
        <f t="shared" ref="J580" si="279">+ROUND(H580+I580*TC,2)</f>
        <v>14487.5</v>
      </c>
      <c r="K580" s="276"/>
    </row>
    <row r="581" spans="2:11" ht="49.15" customHeight="1" outlineLevel="1">
      <c r="B581" s="303" t="s">
        <v>552</v>
      </c>
      <c r="C581" s="285" t="s">
        <v>121</v>
      </c>
      <c r="D581" s="286">
        <v>25</v>
      </c>
      <c r="E581" s="7">
        <v>560.97500047162885</v>
      </c>
      <c r="F581" s="287">
        <v>0</v>
      </c>
      <c r="G581" s="145">
        <f t="shared" ref="G581:G582" si="280">+ROUND(E581+F581*TC,2)</f>
        <v>560.98</v>
      </c>
      <c r="H581" s="145">
        <f t="shared" ref="H581:H587" si="281">+ROUND(D581*E581,2)</f>
        <v>14024.38</v>
      </c>
      <c r="I581" s="146">
        <f t="shared" ref="I581:I582" si="282">+ROUND(D581*F581,2)</f>
        <v>0</v>
      </c>
      <c r="J581" s="7">
        <f t="shared" ref="J581:J582" si="283">+ROUND(H581+I581*TC,2)</f>
        <v>14024.38</v>
      </c>
      <c r="K581" s="276"/>
    </row>
    <row r="582" spans="2:11" ht="49.15" customHeight="1" outlineLevel="1">
      <c r="B582" s="303" t="s">
        <v>552</v>
      </c>
      <c r="C582" s="285" t="s">
        <v>121</v>
      </c>
      <c r="D582" s="286">
        <v>25</v>
      </c>
      <c r="E582" s="7">
        <v>416.10000034982801</v>
      </c>
      <c r="F582" s="287">
        <v>0</v>
      </c>
      <c r="G582" s="145">
        <f t="shared" si="280"/>
        <v>416.1</v>
      </c>
      <c r="H582" s="145">
        <f t="shared" si="281"/>
        <v>10402.5</v>
      </c>
      <c r="I582" s="146">
        <f t="shared" si="282"/>
        <v>0</v>
      </c>
      <c r="J582" s="7">
        <f t="shared" si="283"/>
        <v>10402.5</v>
      </c>
      <c r="K582" s="276"/>
    </row>
    <row r="583" spans="2:11" ht="49.15" customHeight="1" outlineLevel="1">
      <c r="B583" s="303" t="s">
        <v>553</v>
      </c>
      <c r="C583" s="285" t="s">
        <v>121</v>
      </c>
      <c r="D583" s="286">
        <v>25</v>
      </c>
      <c r="E583" s="7">
        <v>1168.5000009823937</v>
      </c>
      <c r="F583" s="287">
        <v>0</v>
      </c>
      <c r="G583" s="145">
        <f t="shared" ref="G583" si="284">+ROUND(E583+F583*TC,2)</f>
        <v>1168.5</v>
      </c>
      <c r="H583" s="145">
        <f t="shared" si="281"/>
        <v>29212.5</v>
      </c>
      <c r="I583" s="146">
        <f t="shared" ref="I583" si="285">+ROUND(D583*F583,2)</f>
        <v>0</v>
      </c>
      <c r="J583" s="7">
        <f t="shared" ref="J583" si="286">+ROUND(H583+I583*TC,2)</f>
        <v>29212.5</v>
      </c>
      <c r="K583" s="276"/>
    </row>
    <row r="584" spans="2:11" ht="49.15" customHeight="1" outlineLevel="1">
      <c r="B584" s="303" t="s">
        <v>554</v>
      </c>
      <c r="C584" s="285" t="s">
        <v>121</v>
      </c>
      <c r="D584" s="286">
        <v>7</v>
      </c>
      <c r="E584" s="7">
        <v>1231.675001035507</v>
      </c>
      <c r="F584" s="287">
        <v>0</v>
      </c>
      <c r="G584" s="145">
        <f t="shared" ref="G584:G586" si="287">+ROUND(E584+F584*TC,2)</f>
        <v>1231.68</v>
      </c>
      <c r="H584" s="145">
        <f t="shared" si="281"/>
        <v>8621.73</v>
      </c>
      <c r="I584" s="146">
        <f t="shared" ref="I584:I586" si="288">+ROUND(D584*F584,2)</f>
        <v>0</v>
      </c>
      <c r="J584" s="7">
        <f t="shared" ref="J584:J586" si="289">+ROUND(H584+I584*TC,2)</f>
        <v>8621.73</v>
      </c>
      <c r="K584" s="276"/>
    </row>
    <row r="585" spans="2:11" ht="49.15" customHeight="1" outlineLevel="1">
      <c r="B585" s="303" t="s">
        <v>555</v>
      </c>
      <c r="C585" s="285" t="s">
        <v>121</v>
      </c>
      <c r="D585" s="286">
        <v>1</v>
      </c>
      <c r="E585" s="7">
        <v>660.25000055509236</v>
      </c>
      <c r="F585" s="287">
        <v>0</v>
      </c>
      <c r="G585" s="145">
        <f t="shared" si="287"/>
        <v>660.25</v>
      </c>
      <c r="H585" s="145">
        <f t="shared" si="281"/>
        <v>660.25</v>
      </c>
      <c r="I585" s="146">
        <f t="shared" si="288"/>
        <v>0</v>
      </c>
      <c r="J585" s="7">
        <f t="shared" si="289"/>
        <v>660.25</v>
      </c>
      <c r="K585" s="276"/>
    </row>
    <row r="586" spans="2:11" ht="49.15" customHeight="1" outlineLevel="1">
      <c r="B586" s="303" t="s">
        <v>555</v>
      </c>
      <c r="C586" s="285" t="s">
        <v>121</v>
      </c>
      <c r="D586" s="286">
        <v>1</v>
      </c>
      <c r="E586" s="7">
        <v>543.59000045701282</v>
      </c>
      <c r="F586" s="287">
        <v>0</v>
      </c>
      <c r="G586" s="145">
        <f t="shared" si="287"/>
        <v>543.59</v>
      </c>
      <c r="H586" s="145">
        <f t="shared" si="281"/>
        <v>543.59</v>
      </c>
      <c r="I586" s="146">
        <f t="shared" si="288"/>
        <v>0</v>
      </c>
      <c r="J586" s="7">
        <f t="shared" si="289"/>
        <v>543.59</v>
      </c>
      <c r="K586" s="276"/>
    </row>
    <row r="587" spans="2:11" ht="49.15" customHeight="1" outlineLevel="1">
      <c r="B587" s="303" t="s">
        <v>556</v>
      </c>
      <c r="C587" s="285" t="s">
        <v>121</v>
      </c>
      <c r="D587" s="286">
        <v>4</v>
      </c>
      <c r="E587" s="7">
        <v>888.25000074677894</v>
      </c>
      <c r="F587" s="287">
        <v>0</v>
      </c>
      <c r="G587" s="145">
        <f t="shared" ref="G587" si="290">+ROUND(E587+F587*TC,2)</f>
        <v>888.25</v>
      </c>
      <c r="H587" s="145">
        <f t="shared" si="281"/>
        <v>3553</v>
      </c>
      <c r="I587" s="146">
        <f t="shared" ref="I587" si="291">+ROUND(D587*F587,2)</f>
        <v>0</v>
      </c>
      <c r="J587" s="7">
        <f t="shared" ref="J587" si="292">+ROUND(H587+I587*TC,2)</f>
        <v>3553</v>
      </c>
      <c r="K587" s="276"/>
    </row>
    <row r="588" spans="2:11" ht="49.15" customHeight="1" outlineLevel="1">
      <c r="B588" s="303" t="s">
        <v>557</v>
      </c>
      <c r="C588" s="285" t="s">
        <v>121</v>
      </c>
      <c r="D588" s="286">
        <v>3</v>
      </c>
      <c r="E588" s="7">
        <v>843.12500070884096</v>
      </c>
      <c r="F588" s="287">
        <v>0</v>
      </c>
      <c r="G588" s="145">
        <f t="shared" ref="G588:G591" si="293">+ROUND(E588+F588*TC,2)</f>
        <v>843.13</v>
      </c>
      <c r="H588" s="145">
        <f t="shared" ref="H588:H591" si="294">+ROUND(D588*E588,2)</f>
        <v>2529.38</v>
      </c>
      <c r="I588" s="146">
        <f t="shared" ref="I588:I591" si="295">+ROUND(D588*F588,2)</f>
        <v>0</v>
      </c>
      <c r="J588" s="7">
        <f t="shared" ref="J588:J591" si="296">+ROUND(H588+I588*TC,2)</f>
        <v>2529.38</v>
      </c>
      <c r="K588" s="276"/>
    </row>
    <row r="589" spans="2:11" ht="49.15" customHeight="1" outlineLevel="1">
      <c r="B589" s="303" t="s">
        <v>557</v>
      </c>
      <c r="C589" s="285" t="s">
        <v>121</v>
      </c>
      <c r="D589" s="286">
        <v>3</v>
      </c>
      <c r="E589" s="7">
        <v>543.59000045701282</v>
      </c>
      <c r="F589" s="287">
        <v>0</v>
      </c>
      <c r="G589" s="145">
        <f t="shared" si="293"/>
        <v>543.59</v>
      </c>
      <c r="H589" s="145">
        <f t="shared" si="294"/>
        <v>1630.77</v>
      </c>
      <c r="I589" s="146">
        <f t="shared" si="295"/>
        <v>0</v>
      </c>
      <c r="J589" s="7">
        <f t="shared" si="296"/>
        <v>1630.77</v>
      </c>
      <c r="K589" s="276"/>
    </row>
    <row r="590" spans="2:11" ht="49.15" customHeight="1" outlineLevel="1">
      <c r="B590" s="303" t="s">
        <v>558</v>
      </c>
      <c r="C590" s="285" t="s">
        <v>121</v>
      </c>
      <c r="D590" s="286">
        <v>5</v>
      </c>
      <c r="E590" s="7">
        <v>897.2750007543666</v>
      </c>
      <c r="F590" s="287">
        <v>0</v>
      </c>
      <c r="G590" s="145">
        <f t="shared" si="293"/>
        <v>897.28</v>
      </c>
      <c r="H590" s="145">
        <f t="shared" si="294"/>
        <v>4486.38</v>
      </c>
      <c r="I590" s="146">
        <f t="shared" si="295"/>
        <v>0</v>
      </c>
      <c r="J590" s="7">
        <f t="shared" si="296"/>
        <v>4486.38</v>
      </c>
      <c r="K590" s="276"/>
    </row>
    <row r="591" spans="2:11" ht="49.15" customHeight="1" outlineLevel="1">
      <c r="B591" s="303" t="s">
        <v>558</v>
      </c>
      <c r="C591" s="285" t="s">
        <v>121</v>
      </c>
      <c r="D591" s="286">
        <v>5</v>
      </c>
      <c r="E591" s="7">
        <v>869.25000073080503</v>
      </c>
      <c r="F591" s="287">
        <v>0</v>
      </c>
      <c r="G591" s="145">
        <f t="shared" si="293"/>
        <v>869.25</v>
      </c>
      <c r="H591" s="145">
        <f t="shared" si="294"/>
        <v>4346.25</v>
      </c>
      <c r="I591" s="146">
        <f t="shared" si="295"/>
        <v>0</v>
      </c>
      <c r="J591" s="7">
        <f t="shared" si="296"/>
        <v>4346.25</v>
      </c>
      <c r="K591" s="276"/>
    </row>
    <row r="592" spans="2:11" ht="49.15" customHeight="1" outlineLevel="1">
      <c r="B592" s="303" t="s">
        <v>559</v>
      </c>
      <c r="C592" s="285" t="s">
        <v>121</v>
      </c>
      <c r="D592" s="286">
        <v>3</v>
      </c>
      <c r="E592" s="7">
        <v>1208.4475010159788</v>
      </c>
      <c r="F592" s="287">
        <v>0</v>
      </c>
      <c r="G592" s="145">
        <f t="shared" ref="G592:G593" si="297">+ROUND(E592+F592*TC,2)</f>
        <v>1208.45</v>
      </c>
      <c r="H592" s="145">
        <f t="shared" ref="H592:H593" si="298">+ROUND(D592*E592,2)</f>
        <v>3625.34</v>
      </c>
      <c r="I592" s="146">
        <f t="shared" ref="I592:I593" si="299">+ROUND(D592*F592,2)</f>
        <v>0</v>
      </c>
      <c r="J592" s="7">
        <f t="shared" ref="J592:J593" si="300">+ROUND(H592+I592*TC,2)</f>
        <v>3625.34</v>
      </c>
      <c r="K592" s="276"/>
    </row>
    <row r="593" spans="2:11" ht="49.15" customHeight="1" outlineLevel="1">
      <c r="B593" s="303" t="s">
        <v>560</v>
      </c>
      <c r="C593" s="285" t="s">
        <v>121</v>
      </c>
      <c r="D593" s="286">
        <v>1</v>
      </c>
      <c r="E593" s="7">
        <v>933.37500078471692</v>
      </c>
      <c r="F593" s="287">
        <v>0</v>
      </c>
      <c r="G593" s="145">
        <f t="shared" si="297"/>
        <v>933.38</v>
      </c>
      <c r="H593" s="145">
        <f t="shared" si="298"/>
        <v>933.38</v>
      </c>
      <c r="I593" s="146">
        <f t="shared" si="299"/>
        <v>0</v>
      </c>
      <c r="J593" s="7">
        <f t="shared" si="300"/>
        <v>933.38</v>
      </c>
      <c r="K593" s="276"/>
    </row>
    <row r="594" spans="2:11" ht="49.15" customHeight="1" outlineLevel="1">
      <c r="B594" s="303" t="s">
        <v>561</v>
      </c>
      <c r="C594" s="285" t="s">
        <v>121</v>
      </c>
      <c r="D594" s="286">
        <v>1</v>
      </c>
      <c r="E594" s="7">
        <v>673.7875005664738</v>
      </c>
      <c r="F594" s="287">
        <v>0</v>
      </c>
      <c r="G594" s="145">
        <f t="shared" ref="G594" si="301">+ROUND(E594+F594*TC,2)</f>
        <v>673.79</v>
      </c>
      <c r="H594" s="145">
        <f t="shared" ref="H594" si="302">+ROUND(D594*E594,2)</f>
        <v>673.79</v>
      </c>
      <c r="I594" s="146">
        <f t="shared" ref="I594" si="303">+ROUND(D594*F594,2)</f>
        <v>0</v>
      </c>
      <c r="J594" s="7">
        <f t="shared" ref="J594" si="304">+ROUND(H594+I594*TC,2)</f>
        <v>673.79</v>
      </c>
      <c r="K594" s="276"/>
    </row>
    <row r="595" spans="2:11" outlineLevel="1">
      <c r="B595" s="303"/>
      <c r="C595" s="285"/>
      <c r="D595" s="286"/>
      <c r="E595" s="7" t="s">
        <v>27</v>
      </c>
      <c r="F595" s="287" t="s">
        <v>27</v>
      </c>
      <c r="G595" s="145"/>
      <c r="H595" s="145"/>
      <c r="I595" s="146"/>
      <c r="J595" s="7">
        <f t="shared" si="275"/>
        <v>0</v>
      </c>
      <c r="K595" s="276"/>
    </row>
    <row r="596" spans="2:11">
      <c r="B596" s="694" t="s">
        <v>562</v>
      </c>
      <c r="C596" s="285"/>
      <c r="D596" s="286"/>
      <c r="E596" s="7" t="s">
        <v>27</v>
      </c>
      <c r="F596" s="287" t="s">
        <v>27</v>
      </c>
      <c r="G596" s="145"/>
      <c r="H596" s="145"/>
      <c r="I596" s="146"/>
      <c r="J596" s="7">
        <f t="shared" si="275"/>
        <v>0</v>
      </c>
      <c r="K596" s="276">
        <f>SUM(H596:H643)+SUM(I596:I643)*TC</f>
        <v>100032.32500000001</v>
      </c>
    </row>
    <row r="597" spans="2:11" ht="33.75" outlineLevel="1">
      <c r="B597" s="303" t="s">
        <v>563</v>
      </c>
      <c r="C597" s="285" t="s">
        <v>121</v>
      </c>
      <c r="D597" s="286">
        <v>1</v>
      </c>
      <c r="E597" s="7">
        <v>12500</v>
      </c>
      <c r="F597" s="287">
        <v>0</v>
      </c>
      <c r="G597" s="145">
        <f t="shared" ref="G597" si="305">+ROUND(E597+F597*TC,2)</f>
        <v>12500</v>
      </c>
      <c r="H597" s="145">
        <f t="shared" ref="H597" si="306">+ROUND(D597*E597,2)</f>
        <v>12500</v>
      </c>
      <c r="I597" s="146">
        <f t="shared" ref="I597" si="307">+ROUND(D597*F597,2)</f>
        <v>0</v>
      </c>
      <c r="J597" s="7">
        <f t="shared" si="275"/>
        <v>12500</v>
      </c>
      <c r="K597" s="276"/>
    </row>
    <row r="598" spans="2:11" ht="33.75" outlineLevel="1">
      <c r="B598" s="303" t="s">
        <v>564</v>
      </c>
      <c r="C598" s="285" t="s">
        <v>121</v>
      </c>
      <c r="D598" s="286">
        <v>3</v>
      </c>
      <c r="E598" s="7">
        <v>350</v>
      </c>
      <c r="F598" s="287">
        <v>0</v>
      </c>
      <c r="G598" s="145">
        <f t="shared" ref="G598:G643" si="308">+ROUND(E598+F598*TC,2)</f>
        <v>350</v>
      </c>
      <c r="H598" s="145">
        <f t="shared" ref="H598:H644" si="309">+ROUND(D598*E598,2)</f>
        <v>1050</v>
      </c>
      <c r="I598" s="146">
        <f t="shared" ref="I598:I643" si="310">+ROUND(D598*F598,2)</f>
        <v>0</v>
      </c>
      <c r="J598" s="7">
        <f t="shared" si="275"/>
        <v>1050</v>
      </c>
      <c r="K598" s="276"/>
    </row>
    <row r="599" spans="2:11" ht="33.75" outlineLevel="1">
      <c r="B599" s="303" t="s">
        <v>565</v>
      </c>
      <c r="C599" s="285" t="s">
        <v>121</v>
      </c>
      <c r="D599" s="286">
        <v>3</v>
      </c>
      <c r="E599" s="7">
        <v>350</v>
      </c>
      <c r="F599" s="287">
        <v>0</v>
      </c>
      <c r="G599" s="145">
        <f t="shared" si="308"/>
        <v>350</v>
      </c>
      <c r="H599" s="145">
        <f t="shared" si="309"/>
        <v>1050</v>
      </c>
      <c r="I599" s="146">
        <f t="shared" si="310"/>
        <v>0</v>
      </c>
      <c r="J599" s="7">
        <f t="shared" si="275"/>
        <v>1050</v>
      </c>
      <c r="K599" s="276"/>
    </row>
    <row r="600" spans="2:11" ht="22.5" outlineLevel="1">
      <c r="B600" s="303" t="s">
        <v>566</v>
      </c>
      <c r="C600" s="285" t="s">
        <v>141</v>
      </c>
      <c r="D600" s="286">
        <v>0.98</v>
      </c>
      <c r="E600" s="7">
        <v>350</v>
      </c>
      <c r="F600" s="287">
        <v>0</v>
      </c>
      <c r="G600" s="145">
        <f t="shared" si="308"/>
        <v>350</v>
      </c>
      <c r="H600" s="145">
        <f t="shared" si="309"/>
        <v>343</v>
      </c>
      <c r="I600" s="146">
        <f t="shared" si="310"/>
        <v>0</v>
      </c>
      <c r="J600" s="7">
        <f t="shared" si="275"/>
        <v>343</v>
      </c>
      <c r="K600" s="276"/>
    </row>
    <row r="601" spans="2:11" ht="22.5" outlineLevel="1">
      <c r="B601" s="303" t="s">
        <v>567</v>
      </c>
      <c r="C601" s="285" t="s">
        <v>141</v>
      </c>
      <c r="D601" s="286">
        <v>1.62</v>
      </c>
      <c r="E601" s="7">
        <v>1800</v>
      </c>
      <c r="F601" s="287">
        <v>0</v>
      </c>
      <c r="G601" s="145">
        <f t="shared" si="308"/>
        <v>1800</v>
      </c>
      <c r="H601" s="145">
        <f t="shared" si="309"/>
        <v>2916</v>
      </c>
      <c r="I601" s="146">
        <f t="shared" si="310"/>
        <v>0</v>
      </c>
      <c r="J601" s="7">
        <f t="shared" si="275"/>
        <v>2916</v>
      </c>
      <c r="K601" s="276"/>
    </row>
    <row r="602" spans="2:11" ht="22.5" outlineLevel="1">
      <c r="B602" s="303" t="s">
        <v>568</v>
      </c>
      <c r="C602" s="285" t="s">
        <v>141</v>
      </c>
      <c r="D602" s="286">
        <v>61.71</v>
      </c>
      <c r="E602" s="7">
        <v>185</v>
      </c>
      <c r="F602" s="287">
        <v>0</v>
      </c>
      <c r="G602" s="145">
        <f t="shared" si="308"/>
        <v>185</v>
      </c>
      <c r="H602" s="145">
        <f t="shared" si="309"/>
        <v>11416.35</v>
      </c>
      <c r="I602" s="146">
        <f t="shared" si="310"/>
        <v>0</v>
      </c>
      <c r="J602" s="7">
        <f t="shared" si="275"/>
        <v>11416.35</v>
      </c>
      <c r="K602" s="276"/>
    </row>
    <row r="603" spans="2:11" ht="22.5" outlineLevel="1">
      <c r="B603" s="303" t="s">
        <v>569</v>
      </c>
      <c r="C603" s="285" t="s">
        <v>121</v>
      </c>
      <c r="D603" s="286">
        <v>6</v>
      </c>
      <c r="E603" s="7"/>
      <c r="F603" s="287">
        <v>0</v>
      </c>
      <c r="G603" s="145">
        <f t="shared" si="308"/>
        <v>0</v>
      </c>
      <c r="H603" s="145">
        <f t="shared" si="309"/>
        <v>0</v>
      </c>
      <c r="I603" s="146">
        <f t="shared" si="310"/>
        <v>0</v>
      </c>
      <c r="J603" s="7">
        <f t="shared" si="275"/>
        <v>0</v>
      </c>
      <c r="K603" s="276"/>
    </row>
    <row r="604" spans="2:11" ht="22.5" outlineLevel="1">
      <c r="B604" s="303" t="s">
        <v>570</v>
      </c>
      <c r="C604" s="285" t="s">
        <v>121</v>
      </c>
      <c r="D604" s="286">
        <v>3</v>
      </c>
      <c r="E604" s="7"/>
      <c r="F604" s="287">
        <v>0</v>
      </c>
      <c r="G604" s="145">
        <f t="shared" si="308"/>
        <v>0</v>
      </c>
      <c r="H604" s="145">
        <f t="shared" si="309"/>
        <v>0</v>
      </c>
      <c r="I604" s="146">
        <f t="shared" si="310"/>
        <v>0</v>
      </c>
      <c r="J604" s="7">
        <f t="shared" si="275"/>
        <v>0</v>
      </c>
      <c r="K604" s="276"/>
    </row>
    <row r="605" spans="2:11" ht="22.5" outlineLevel="1">
      <c r="B605" s="303" t="s">
        <v>571</v>
      </c>
      <c r="C605" s="285" t="s">
        <v>141</v>
      </c>
      <c r="D605" s="286">
        <v>62.900000000000006</v>
      </c>
      <c r="E605" s="7">
        <v>185</v>
      </c>
      <c r="F605" s="287">
        <v>0</v>
      </c>
      <c r="G605" s="145">
        <f t="shared" si="308"/>
        <v>185</v>
      </c>
      <c r="H605" s="145">
        <f t="shared" si="309"/>
        <v>11636.5</v>
      </c>
      <c r="I605" s="146">
        <f t="shared" si="310"/>
        <v>0</v>
      </c>
      <c r="J605" s="7">
        <f t="shared" si="275"/>
        <v>11636.5</v>
      </c>
      <c r="K605" s="276"/>
    </row>
    <row r="606" spans="2:11" ht="33.75" outlineLevel="1">
      <c r="B606" s="303" t="s">
        <v>572</v>
      </c>
      <c r="C606" s="285" t="s">
        <v>121</v>
      </c>
      <c r="D606" s="286">
        <v>1</v>
      </c>
      <c r="E606" s="7"/>
      <c r="F606" s="287">
        <v>0</v>
      </c>
      <c r="G606" s="145">
        <f t="shared" si="308"/>
        <v>0</v>
      </c>
      <c r="H606" s="145">
        <f t="shared" si="309"/>
        <v>0</v>
      </c>
      <c r="I606" s="146">
        <f t="shared" si="310"/>
        <v>0</v>
      </c>
      <c r="J606" s="7">
        <f t="shared" si="275"/>
        <v>0</v>
      </c>
      <c r="K606" s="276"/>
    </row>
    <row r="607" spans="2:11" ht="33.75" outlineLevel="1">
      <c r="B607" s="303" t="s">
        <v>573</v>
      </c>
      <c r="C607" s="285" t="s">
        <v>121</v>
      </c>
      <c r="D607" s="286">
        <v>1</v>
      </c>
      <c r="E607" s="7">
        <v>12500</v>
      </c>
      <c r="F607" s="287">
        <v>0</v>
      </c>
      <c r="G607" s="145">
        <f t="shared" si="308"/>
        <v>12500</v>
      </c>
      <c r="H607" s="145">
        <f t="shared" si="309"/>
        <v>12500</v>
      </c>
      <c r="I607" s="146">
        <f t="shared" si="310"/>
        <v>0</v>
      </c>
      <c r="J607" s="7">
        <f t="shared" si="275"/>
        <v>12500</v>
      </c>
      <c r="K607" s="276"/>
    </row>
    <row r="608" spans="2:11" outlineLevel="1">
      <c r="B608" s="303" t="s">
        <v>574</v>
      </c>
      <c r="C608" s="285" t="s">
        <v>121</v>
      </c>
      <c r="D608" s="286">
        <v>1</v>
      </c>
      <c r="E608" s="7">
        <v>750</v>
      </c>
      <c r="F608" s="287">
        <v>0</v>
      </c>
      <c r="G608" s="145">
        <f t="shared" si="308"/>
        <v>750</v>
      </c>
      <c r="H608" s="145">
        <f t="shared" si="309"/>
        <v>750</v>
      </c>
      <c r="I608" s="146">
        <f t="shared" si="310"/>
        <v>0</v>
      </c>
      <c r="J608" s="7">
        <f t="shared" si="275"/>
        <v>750</v>
      </c>
      <c r="K608" s="276"/>
    </row>
    <row r="609" spans="2:11" ht="22.5" outlineLevel="1">
      <c r="B609" s="303" t="s">
        <v>575</v>
      </c>
      <c r="C609" s="285" t="s">
        <v>121</v>
      </c>
      <c r="D609" s="286">
        <v>1</v>
      </c>
      <c r="E609" s="7"/>
      <c r="F609" s="287">
        <v>0</v>
      </c>
      <c r="G609" s="145">
        <f t="shared" si="308"/>
        <v>0</v>
      </c>
      <c r="H609" s="145">
        <f t="shared" si="309"/>
        <v>0</v>
      </c>
      <c r="I609" s="146">
        <f t="shared" si="310"/>
        <v>0</v>
      </c>
      <c r="J609" s="7">
        <f t="shared" si="275"/>
        <v>0</v>
      </c>
      <c r="K609" s="276"/>
    </row>
    <row r="610" spans="2:11" outlineLevel="1">
      <c r="B610" s="303" t="s">
        <v>576</v>
      </c>
      <c r="C610" s="285" t="s">
        <v>121</v>
      </c>
      <c r="D610" s="286">
        <v>1</v>
      </c>
      <c r="E610" s="7"/>
      <c r="F610" s="287">
        <v>0</v>
      </c>
      <c r="G610" s="145">
        <f t="shared" si="308"/>
        <v>0</v>
      </c>
      <c r="H610" s="145">
        <f t="shared" si="309"/>
        <v>0</v>
      </c>
      <c r="I610" s="146">
        <f t="shared" si="310"/>
        <v>0</v>
      </c>
      <c r="J610" s="7">
        <f t="shared" si="275"/>
        <v>0</v>
      </c>
      <c r="K610" s="276"/>
    </row>
    <row r="611" spans="2:11" ht="22.5" outlineLevel="1">
      <c r="B611" s="303" t="s">
        <v>577</v>
      </c>
      <c r="C611" s="285" t="s">
        <v>141</v>
      </c>
      <c r="D611" s="286">
        <v>4.5</v>
      </c>
      <c r="E611" s="7">
        <v>250</v>
      </c>
      <c r="F611" s="287">
        <v>0</v>
      </c>
      <c r="G611" s="145">
        <f t="shared" si="308"/>
        <v>250</v>
      </c>
      <c r="H611" s="145">
        <f t="shared" si="309"/>
        <v>1125</v>
      </c>
      <c r="I611" s="146">
        <f t="shared" si="310"/>
        <v>0</v>
      </c>
      <c r="J611" s="7">
        <f t="shared" si="275"/>
        <v>1125</v>
      </c>
      <c r="K611" s="276"/>
    </row>
    <row r="612" spans="2:11" ht="22.5" outlineLevel="1">
      <c r="B612" s="303" t="s">
        <v>578</v>
      </c>
      <c r="C612" s="285" t="s">
        <v>141</v>
      </c>
      <c r="D612" s="286">
        <v>3.45</v>
      </c>
      <c r="E612" s="7">
        <v>550</v>
      </c>
      <c r="F612" s="287">
        <v>0</v>
      </c>
      <c r="G612" s="145">
        <f t="shared" si="308"/>
        <v>550</v>
      </c>
      <c r="H612" s="145">
        <f t="shared" si="309"/>
        <v>1897.5</v>
      </c>
      <c r="I612" s="146">
        <f t="shared" si="310"/>
        <v>0</v>
      </c>
      <c r="J612" s="7">
        <f t="shared" si="275"/>
        <v>1897.5</v>
      </c>
      <c r="K612" s="276"/>
    </row>
    <row r="613" spans="2:11" outlineLevel="1">
      <c r="B613" s="303" t="s">
        <v>579</v>
      </c>
      <c r="C613" s="285" t="s">
        <v>141</v>
      </c>
      <c r="D613" s="286">
        <v>2.35</v>
      </c>
      <c r="E613" s="7">
        <v>185</v>
      </c>
      <c r="F613" s="287">
        <v>0</v>
      </c>
      <c r="G613" s="145">
        <f t="shared" si="308"/>
        <v>185</v>
      </c>
      <c r="H613" s="145">
        <f t="shared" si="309"/>
        <v>434.75</v>
      </c>
      <c r="I613" s="146">
        <f t="shared" si="310"/>
        <v>0</v>
      </c>
      <c r="J613" s="7">
        <f t="shared" si="275"/>
        <v>434.75</v>
      </c>
      <c r="K613" s="276"/>
    </row>
    <row r="614" spans="2:11" outlineLevel="1">
      <c r="B614" s="303" t="s">
        <v>580</v>
      </c>
      <c r="C614" s="285" t="s">
        <v>141</v>
      </c>
      <c r="D614" s="286">
        <v>2.7</v>
      </c>
      <c r="E614" s="7">
        <v>185</v>
      </c>
      <c r="F614" s="287">
        <v>0</v>
      </c>
      <c r="G614" s="145">
        <f t="shared" si="308"/>
        <v>185</v>
      </c>
      <c r="H614" s="145">
        <f t="shared" si="309"/>
        <v>499.5</v>
      </c>
      <c r="I614" s="146">
        <f t="shared" si="310"/>
        <v>0</v>
      </c>
      <c r="J614" s="7">
        <f t="shared" si="275"/>
        <v>499.5</v>
      </c>
      <c r="K614" s="276"/>
    </row>
    <row r="615" spans="2:11" ht="22.5" outlineLevel="1">
      <c r="B615" s="303" t="s">
        <v>2817</v>
      </c>
      <c r="C615" s="285" t="s">
        <v>141</v>
      </c>
      <c r="D615" s="286">
        <v>16</v>
      </c>
      <c r="E615" s="7">
        <v>185</v>
      </c>
      <c r="F615" s="287">
        <v>0</v>
      </c>
      <c r="G615" s="145">
        <f t="shared" si="308"/>
        <v>185</v>
      </c>
      <c r="H615" s="145">
        <f t="shared" si="309"/>
        <v>2960</v>
      </c>
      <c r="I615" s="146">
        <f t="shared" si="310"/>
        <v>0</v>
      </c>
      <c r="J615" s="7">
        <f t="shared" si="275"/>
        <v>2960</v>
      </c>
      <c r="K615" s="276"/>
    </row>
    <row r="616" spans="2:11" ht="22.5" outlineLevel="1">
      <c r="B616" s="303" t="s">
        <v>2818</v>
      </c>
      <c r="C616" s="285" t="s">
        <v>141</v>
      </c>
      <c r="D616" s="286">
        <v>3.4</v>
      </c>
      <c r="E616" s="7">
        <v>185</v>
      </c>
      <c r="F616" s="287">
        <v>0</v>
      </c>
      <c r="G616" s="145">
        <f t="shared" si="308"/>
        <v>185</v>
      </c>
      <c r="H616" s="145">
        <f t="shared" si="309"/>
        <v>629</v>
      </c>
      <c r="I616" s="146">
        <f t="shared" si="310"/>
        <v>0</v>
      </c>
      <c r="J616" s="7">
        <f t="shared" si="275"/>
        <v>629</v>
      </c>
      <c r="K616" s="276"/>
    </row>
    <row r="617" spans="2:11" ht="22.5" outlineLevel="1">
      <c r="B617" s="303" t="s">
        <v>2816</v>
      </c>
      <c r="C617" s="285" t="s">
        <v>141</v>
      </c>
      <c r="D617" s="286">
        <v>2.4</v>
      </c>
      <c r="E617" s="7">
        <v>185</v>
      </c>
      <c r="F617" s="287">
        <v>0</v>
      </c>
      <c r="G617" s="145">
        <f t="shared" si="308"/>
        <v>185</v>
      </c>
      <c r="H617" s="145">
        <f t="shared" si="309"/>
        <v>444</v>
      </c>
      <c r="I617" s="146">
        <f t="shared" si="310"/>
        <v>0</v>
      </c>
      <c r="J617" s="7">
        <f t="shared" si="275"/>
        <v>444</v>
      </c>
      <c r="K617" s="276"/>
    </row>
    <row r="618" spans="2:11" ht="22.5" outlineLevel="1">
      <c r="B618" s="303" t="s">
        <v>581</v>
      </c>
      <c r="C618" s="285" t="s">
        <v>141</v>
      </c>
      <c r="D618" s="286">
        <v>0.6</v>
      </c>
      <c r="E618" s="7">
        <v>750</v>
      </c>
      <c r="F618" s="287">
        <v>0</v>
      </c>
      <c r="G618" s="145">
        <f t="shared" si="308"/>
        <v>750</v>
      </c>
      <c r="H618" s="145">
        <f t="shared" si="309"/>
        <v>450</v>
      </c>
      <c r="I618" s="146">
        <f t="shared" si="310"/>
        <v>0</v>
      </c>
      <c r="J618" s="7">
        <f t="shared" si="275"/>
        <v>450</v>
      </c>
      <c r="K618" s="276"/>
    </row>
    <row r="619" spans="2:11" ht="22.5" outlineLevel="1">
      <c r="B619" s="303" t="s">
        <v>582</v>
      </c>
      <c r="C619" s="285" t="s">
        <v>121</v>
      </c>
      <c r="D619" s="286">
        <v>1</v>
      </c>
      <c r="E619" s="7"/>
      <c r="F619" s="287">
        <v>0</v>
      </c>
      <c r="G619" s="145">
        <f t="shared" si="308"/>
        <v>0</v>
      </c>
      <c r="H619" s="145">
        <f t="shared" si="309"/>
        <v>0</v>
      </c>
      <c r="I619" s="146">
        <f t="shared" si="310"/>
        <v>0</v>
      </c>
      <c r="J619" s="7">
        <f t="shared" si="275"/>
        <v>0</v>
      </c>
      <c r="K619" s="276"/>
    </row>
    <row r="620" spans="2:11" outlineLevel="1">
      <c r="B620" s="303" t="s">
        <v>583</v>
      </c>
      <c r="C620" s="285" t="s">
        <v>141</v>
      </c>
      <c r="D620" s="286">
        <v>2</v>
      </c>
      <c r="E620" s="7">
        <v>350</v>
      </c>
      <c r="F620" s="287">
        <v>0</v>
      </c>
      <c r="G620" s="145">
        <f t="shared" si="308"/>
        <v>350</v>
      </c>
      <c r="H620" s="145">
        <f t="shared" si="309"/>
        <v>700</v>
      </c>
      <c r="I620" s="146">
        <f t="shared" si="310"/>
        <v>0</v>
      </c>
      <c r="J620" s="7">
        <f t="shared" si="275"/>
        <v>700</v>
      </c>
      <c r="K620" s="276"/>
    </row>
    <row r="621" spans="2:11" ht="22.5" outlineLevel="1">
      <c r="B621" s="303" t="s">
        <v>584</v>
      </c>
      <c r="C621" s="285" t="s">
        <v>121</v>
      </c>
      <c r="D621" s="286">
        <v>1</v>
      </c>
      <c r="E621" s="7"/>
      <c r="F621" s="287">
        <v>0</v>
      </c>
      <c r="G621" s="145">
        <f t="shared" si="308"/>
        <v>0</v>
      </c>
      <c r="H621" s="145">
        <f t="shared" si="309"/>
        <v>0</v>
      </c>
      <c r="I621" s="146">
        <f t="shared" si="310"/>
        <v>0</v>
      </c>
      <c r="J621" s="7">
        <f t="shared" si="275"/>
        <v>0</v>
      </c>
      <c r="K621" s="276"/>
    </row>
    <row r="622" spans="2:11" ht="22.5" outlineLevel="1">
      <c r="B622" s="303" t="s">
        <v>585</v>
      </c>
      <c r="C622" s="285" t="s">
        <v>121</v>
      </c>
      <c r="D622" s="286">
        <v>2</v>
      </c>
      <c r="E622" s="7">
        <v>350</v>
      </c>
      <c r="F622" s="287">
        <v>0</v>
      </c>
      <c r="G622" s="145">
        <f t="shared" si="308"/>
        <v>350</v>
      </c>
      <c r="H622" s="145">
        <f t="shared" si="309"/>
        <v>700</v>
      </c>
      <c r="I622" s="146">
        <f t="shared" si="310"/>
        <v>0</v>
      </c>
      <c r="J622" s="7">
        <f t="shared" si="275"/>
        <v>700</v>
      </c>
      <c r="K622" s="276"/>
    </row>
    <row r="623" spans="2:11" outlineLevel="1">
      <c r="B623" s="303" t="s">
        <v>586</v>
      </c>
      <c r="C623" s="285" t="s">
        <v>121</v>
      </c>
      <c r="D623" s="286">
        <v>1</v>
      </c>
      <c r="E623" s="7">
        <v>650</v>
      </c>
      <c r="F623" s="287">
        <v>0</v>
      </c>
      <c r="G623" s="145">
        <f t="shared" si="308"/>
        <v>650</v>
      </c>
      <c r="H623" s="145">
        <f t="shared" si="309"/>
        <v>650</v>
      </c>
      <c r="I623" s="146">
        <f t="shared" si="310"/>
        <v>0</v>
      </c>
      <c r="J623" s="7">
        <f t="shared" si="275"/>
        <v>650</v>
      </c>
      <c r="K623" s="276"/>
    </row>
    <row r="624" spans="2:11" ht="22.5" outlineLevel="1">
      <c r="B624" s="303" t="s">
        <v>587</v>
      </c>
      <c r="C624" s="285" t="s">
        <v>121</v>
      </c>
      <c r="D624" s="286">
        <v>2</v>
      </c>
      <c r="E624" s="7">
        <v>300</v>
      </c>
      <c r="F624" s="287">
        <v>0</v>
      </c>
      <c r="G624" s="145">
        <f t="shared" si="308"/>
        <v>300</v>
      </c>
      <c r="H624" s="145">
        <f t="shared" si="309"/>
        <v>600</v>
      </c>
      <c r="I624" s="146">
        <f t="shared" si="310"/>
        <v>0</v>
      </c>
      <c r="J624" s="7">
        <f t="shared" si="275"/>
        <v>600</v>
      </c>
      <c r="K624" s="276"/>
    </row>
    <row r="625" spans="2:11" outlineLevel="1">
      <c r="B625" s="303" t="s">
        <v>588</v>
      </c>
      <c r="C625" s="285" t="s">
        <v>82</v>
      </c>
      <c r="D625" s="286">
        <v>1.35</v>
      </c>
      <c r="E625" s="7">
        <v>350</v>
      </c>
      <c r="F625" s="287">
        <v>0</v>
      </c>
      <c r="G625" s="145">
        <f t="shared" si="308"/>
        <v>350</v>
      </c>
      <c r="H625" s="145">
        <f t="shared" si="309"/>
        <v>472.5</v>
      </c>
      <c r="I625" s="146">
        <f t="shared" si="310"/>
        <v>0</v>
      </c>
      <c r="J625" s="7">
        <f t="shared" si="275"/>
        <v>472.5</v>
      </c>
      <c r="K625" s="276"/>
    </row>
    <row r="626" spans="2:11" ht="22.5" outlineLevel="1">
      <c r="B626" s="303" t="s">
        <v>589</v>
      </c>
      <c r="C626" s="285" t="s">
        <v>82</v>
      </c>
      <c r="D626" s="286">
        <v>1.35</v>
      </c>
      <c r="E626" s="7">
        <v>350</v>
      </c>
      <c r="F626" s="287">
        <v>0</v>
      </c>
      <c r="G626" s="145">
        <f t="shared" si="308"/>
        <v>350</v>
      </c>
      <c r="H626" s="145">
        <f t="shared" si="309"/>
        <v>472.5</v>
      </c>
      <c r="I626" s="146">
        <f t="shared" si="310"/>
        <v>0</v>
      </c>
      <c r="J626" s="7">
        <f t="shared" si="275"/>
        <v>472.5</v>
      </c>
      <c r="K626" s="276"/>
    </row>
    <row r="627" spans="2:11" outlineLevel="1">
      <c r="B627" s="303" t="s">
        <v>590</v>
      </c>
      <c r="C627" s="285" t="s">
        <v>121</v>
      </c>
      <c r="D627" s="286">
        <v>9</v>
      </c>
      <c r="E627" s="7">
        <v>350</v>
      </c>
      <c r="F627" s="287">
        <v>0</v>
      </c>
      <c r="G627" s="145">
        <f t="shared" si="308"/>
        <v>350</v>
      </c>
      <c r="H627" s="145">
        <f t="shared" si="309"/>
        <v>3150</v>
      </c>
      <c r="I627" s="146">
        <f t="shared" si="310"/>
        <v>0</v>
      </c>
      <c r="J627" s="7">
        <f t="shared" si="275"/>
        <v>3150</v>
      </c>
      <c r="K627" s="276"/>
    </row>
    <row r="628" spans="2:11" outlineLevel="1">
      <c r="B628" s="303" t="s">
        <v>591</v>
      </c>
      <c r="C628" s="285" t="s">
        <v>141</v>
      </c>
      <c r="D628" s="286">
        <v>3.3</v>
      </c>
      <c r="E628" s="7">
        <v>350</v>
      </c>
      <c r="F628" s="287">
        <v>0</v>
      </c>
      <c r="G628" s="145">
        <f t="shared" si="308"/>
        <v>350</v>
      </c>
      <c r="H628" s="145">
        <f t="shared" si="309"/>
        <v>1155</v>
      </c>
      <c r="I628" s="146">
        <f t="shared" si="310"/>
        <v>0</v>
      </c>
      <c r="J628" s="7">
        <f t="shared" si="275"/>
        <v>1155</v>
      </c>
      <c r="K628" s="276"/>
    </row>
    <row r="629" spans="2:11" outlineLevel="1">
      <c r="B629" s="303" t="s">
        <v>592</v>
      </c>
      <c r="C629" s="285" t="s">
        <v>141</v>
      </c>
      <c r="D629" s="286">
        <v>4</v>
      </c>
      <c r="E629" s="7">
        <v>350</v>
      </c>
      <c r="F629" s="287">
        <v>0</v>
      </c>
      <c r="G629" s="145">
        <f t="shared" si="308"/>
        <v>350</v>
      </c>
      <c r="H629" s="145">
        <f t="shared" si="309"/>
        <v>1400</v>
      </c>
      <c r="I629" s="146">
        <f t="shared" si="310"/>
        <v>0</v>
      </c>
      <c r="J629" s="7">
        <f t="shared" si="275"/>
        <v>1400</v>
      </c>
      <c r="K629" s="276"/>
    </row>
    <row r="630" spans="2:11" outlineLevel="1">
      <c r="B630" s="303" t="s">
        <v>593</v>
      </c>
      <c r="C630" s="285" t="s">
        <v>141</v>
      </c>
      <c r="D630" s="286">
        <v>0.8</v>
      </c>
      <c r="E630" s="7">
        <v>350</v>
      </c>
      <c r="F630" s="287">
        <v>0</v>
      </c>
      <c r="G630" s="145">
        <f t="shared" si="308"/>
        <v>350</v>
      </c>
      <c r="H630" s="145">
        <f t="shared" si="309"/>
        <v>280</v>
      </c>
      <c r="I630" s="146">
        <f t="shared" si="310"/>
        <v>0</v>
      </c>
      <c r="J630" s="7">
        <f t="shared" si="275"/>
        <v>280</v>
      </c>
      <c r="K630" s="276"/>
    </row>
    <row r="631" spans="2:11" ht="22.5" outlineLevel="1">
      <c r="B631" s="303" t="s">
        <v>594</v>
      </c>
      <c r="C631" s="285" t="s">
        <v>141</v>
      </c>
      <c r="D631" s="286">
        <v>1.95</v>
      </c>
      <c r="E631" s="7">
        <v>650</v>
      </c>
      <c r="F631" s="287">
        <v>250</v>
      </c>
      <c r="G631" s="145">
        <f t="shared" si="308"/>
        <v>1487.5</v>
      </c>
      <c r="H631" s="145">
        <f t="shared" si="309"/>
        <v>1267.5</v>
      </c>
      <c r="I631" s="146">
        <f t="shared" si="310"/>
        <v>487.5</v>
      </c>
      <c r="J631" s="7">
        <f t="shared" si="275"/>
        <v>2900.63</v>
      </c>
      <c r="K631" s="276"/>
    </row>
    <row r="632" spans="2:11" ht="33.75" outlineLevel="1">
      <c r="B632" s="303" t="s">
        <v>595</v>
      </c>
      <c r="C632" s="285" t="s">
        <v>141</v>
      </c>
      <c r="D632" s="286">
        <v>2</v>
      </c>
      <c r="E632" s="7">
        <v>900</v>
      </c>
      <c r="F632" s="287">
        <v>250</v>
      </c>
      <c r="G632" s="145">
        <f t="shared" si="308"/>
        <v>1737.5</v>
      </c>
      <c r="H632" s="145">
        <f t="shared" si="309"/>
        <v>1800</v>
      </c>
      <c r="I632" s="146">
        <f t="shared" si="310"/>
        <v>500</v>
      </c>
      <c r="J632" s="7">
        <f t="shared" si="275"/>
        <v>3475</v>
      </c>
      <c r="K632" s="276"/>
    </row>
    <row r="633" spans="2:11" outlineLevel="1">
      <c r="B633" s="303" t="s">
        <v>2814</v>
      </c>
      <c r="C633" s="285" t="s">
        <v>121</v>
      </c>
      <c r="D633" s="286">
        <v>6</v>
      </c>
      <c r="E633" s="7">
        <v>350</v>
      </c>
      <c r="F633" s="287">
        <v>251</v>
      </c>
      <c r="G633" s="145">
        <f t="shared" ref="G633" si="311">+ROUND(E633+F633*TC,2)</f>
        <v>1190.8499999999999</v>
      </c>
      <c r="H633" s="145">
        <f t="shared" si="309"/>
        <v>2100</v>
      </c>
      <c r="I633" s="146">
        <f t="shared" ref="I633" si="312">+ROUND(D633*F633,2)</f>
        <v>1506</v>
      </c>
      <c r="J633" s="7">
        <f t="shared" ref="J633" si="313">+ROUND(H633+I633*TC,2)</f>
        <v>7145.1</v>
      </c>
      <c r="K633" s="276"/>
    </row>
    <row r="634" spans="2:11" ht="22.5" outlineLevel="1">
      <c r="B634" s="303" t="s">
        <v>2822</v>
      </c>
      <c r="C634" s="285" t="s">
        <v>121</v>
      </c>
      <c r="D634" s="286">
        <v>2</v>
      </c>
      <c r="E634" s="7"/>
      <c r="F634" s="287">
        <v>0</v>
      </c>
      <c r="G634" s="145">
        <f t="shared" si="308"/>
        <v>0</v>
      </c>
      <c r="H634" s="145">
        <f t="shared" si="309"/>
        <v>0</v>
      </c>
      <c r="I634" s="146">
        <f t="shared" si="310"/>
        <v>0</v>
      </c>
      <c r="J634" s="7">
        <f t="shared" si="275"/>
        <v>0</v>
      </c>
      <c r="K634" s="276"/>
    </row>
    <row r="635" spans="2:11" ht="22.5" outlineLevel="1">
      <c r="B635" s="303" t="s">
        <v>2823</v>
      </c>
      <c r="C635" s="285" t="s">
        <v>121</v>
      </c>
      <c r="D635" s="286">
        <v>2</v>
      </c>
      <c r="E635" s="7"/>
      <c r="F635" s="287">
        <v>0</v>
      </c>
      <c r="G635" s="145">
        <f t="shared" si="308"/>
        <v>0</v>
      </c>
      <c r="H635" s="145">
        <f t="shared" si="309"/>
        <v>0</v>
      </c>
      <c r="I635" s="146">
        <f t="shared" si="310"/>
        <v>0</v>
      </c>
      <c r="J635" s="7">
        <f t="shared" si="275"/>
        <v>0</v>
      </c>
      <c r="K635" s="276"/>
    </row>
    <row r="636" spans="2:11" ht="22.5" outlineLevel="1">
      <c r="B636" s="303" t="s">
        <v>2824</v>
      </c>
      <c r="C636" s="285" t="s">
        <v>121</v>
      </c>
      <c r="D636" s="286">
        <v>1</v>
      </c>
      <c r="E636" s="7"/>
      <c r="F636" s="287">
        <v>0</v>
      </c>
      <c r="G636" s="145">
        <f t="shared" si="308"/>
        <v>0</v>
      </c>
      <c r="H636" s="145">
        <f t="shared" si="309"/>
        <v>0</v>
      </c>
      <c r="I636" s="146">
        <f t="shared" si="310"/>
        <v>0</v>
      </c>
      <c r="J636" s="7">
        <f t="shared" si="275"/>
        <v>0</v>
      </c>
      <c r="K636" s="276"/>
    </row>
    <row r="637" spans="2:11" ht="22.5" outlineLevel="1">
      <c r="B637" s="303" t="s">
        <v>2825</v>
      </c>
      <c r="C637" s="285" t="s">
        <v>121</v>
      </c>
      <c r="D637" s="286">
        <v>1</v>
      </c>
      <c r="E637" s="7"/>
      <c r="F637" s="287">
        <v>0</v>
      </c>
      <c r="G637" s="145">
        <f t="shared" si="308"/>
        <v>0</v>
      </c>
      <c r="H637" s="145">
        <f t="shared" si="309"/>
        <v>0</v>
      </c>
      <c r="I637" s="146">
        <f t="shared" si="310"/>
        <v>0</v>
      </c>
      <c r="J637" s="7">
        <f t="shared" si="275"/>
        <v>0</v>
      </c>
      <c r="K637" s="276"/>
    </row>
    <row r="638" spans="2:11" ht="22.5" outlineLevel="1">
      <c r="B638" s="303" t="s">
        <v>2826</v>
      </c>
      <c r="C638" s="285" t="s">
        <v>121</v>
      </c>
      <c r="D638" s="286">
        <v>6</v>
      </c>
      <c r="E638" s="7"/>
      <c r="F638" s="287">
        <v>0</v>
      </c>
      <c r="G638" s="145">
        <f t="shared" si="308"/>
        <v>0</v>
      </c>
      <c r="H638" s="145">
        <f t="shared" si="309"/>
        <v>0</v>
      </c>
      <c r="I638" s="146">
        <f t="shared" si="310"/>
        <v>0</v>
      </c>
      <c r="J638" s="7">
        <f t="shared" si="275"/>
        <v>0</v>
      </c>
      <c r="K638" s="276"/>
    </row>
    <row r="639" spans="2:11" outlineLevel="1">
      <c r="B639" s="303" t="s">
        <v>596</v>
      </c>
      <c r="C639" s="285" t="s">
        <v>121</v>
      </c>
      <c r="D639" s="286">
        <v>1</v>
      </c>
      <c r="E639" s="7"/>
      <c r="F639" s="287">
        <v>0</v>
      </c>
      <c r="G639" s="145">
        <f t="shared" si="308"/>
        <v>0</v>
      </c>
      <c r="H639" s="145">
        <f t="shared" si="309"/>
        <v>0</v>
      </c>
      <c r="I639" s="146">
        <f t="shared" si="310"/>
        <v>0</v>
      </c>
      <c r="J639" s="7">
        <f t="shared" si="275"/>
        <v>0</v>
      </c>
      <c r="K639" s="276"/>
    </row>
    <row r="640" spans="2:11" outlineLevel="1">
      <c r="B640" s="303" t="s">
        <v>597</v>
      </c>
      <c r="C640" s="285" t="s">
        <v>141</v>
      </c>
      <c r="D640" s="286">
        <v>14.399999999999999</v>
      </c>
      <c r="E640" s="7">
        <v>250</v>
      </c>
      <c r="F640" s="287">
        <v>0</v>
      </c>
      <c r="G640" s="145">
        <f t="shared" si="308"/>
        <v>250</v>
      </c>
      <c r="H640" s="145">
        <f t="shared" si="309"/>
        <v>3600</v>
      </c>
      <c r="I640" s="146">
        <f t="shared" si="310"/>
        <v>0</v>
      </c>
      <c r="J640" s="7">
        <f t="shared" si="275"/>
        <v>3600</v>
      </c>
      <c r="K640" s="276"/>
    </row>
    <row r="641" spans="2:11" outlineLevel="1">
      <c r="B641" s="303" t="s">
        <v>598</v>
      </c>
      <c r="C641" s="285" t="s">
        <v>141</v>
      </c>
      <c r="D641" s="286">
        <v>13.4</v>
      </c>
      <c r="E641" s="7">
        <v>250</v>
      </c>
      <c r="F641" s="287">
        <v>0</v>
      </c>
      <c r="G641" s="145">
        <f t="shared" si="308"/>
        <v>250</v>
      </c>
      <c r="H641" s="145">
        <f t="shared" si="309"/>
        <v>3350</v>
      </c>
      <c r="I641" s="146">
        <f t="shared" si="310"/>
        <v>0</v>
      </c>
      <c r="J641" s="7">
        <f t="shared" si="275"/>
        <v>3350</v>
      </c>
      <c r="K641" s="276"/>
    </row>
    <row r="642" spans="2:11" outlineLevel="1">
      <c r="B642" s="303" t="s">
        <v>599</v>
      </c>
      <c r="C642" s="285" t="s">
        <v>141</v>
      </c>
      <c r="D642" s="286">
        <v>39.199999999999996</v>
      </c>
      <c r="E642" s="7">
        <v>150</v>
      </c>
      <c r="F642" s="287">
        <v>0</v>
      </c>
      <c r="G642" s="145">
        <f t="shared" si="308"/>
        <v>150</v>
      </c>
      <c r="H642" s="145">
        <f t="shared" si="309"/>
        <v>5880</v>
      </c>
      <c r="I642" s="146">
        <f t="shared" si="310"/>
        <v>0</v>
      </c>
      <c r="J642" s="7">
        <f t="shared" si="275"/>
        <v>5880</v>
      </c>
      <c r="K642" s="276"/>
    </row>
    <row r="643" spans="2:11" ht="22.5" outlineLevel="1">
      <c r="B643" s="303" t="s">
        <v>600</v>
      </c>
      <c r="C643" s="285" t="s">
        <v>121</v>
      </c>
      <c r="D643" s="286">
        <v>1</v>
      </c>
      <c r="E643" s="7">
        <v>1500</v>
      </c>
      <c r="F643" s="287">
        <v>0</v>
      </c>
      <c r="G643" s="145">
        <f t="shared" si="308"/>
        <v>1500</v>
      </c>
      <c r="H643" s="145">
        <f t="shared" si="309"/>
        <v>1500</v>
      </c>
      <c r="I643" s="146">
        <f t="shared" si="310"/>
        <v>0</v>
      </c>
      <c r="J643" s="7">
        <f t="shared" si="275"/>
        <v>1500</v>
      </c>
      <c r="K643" s="276"/>
    </row>
    <row r="644" spans="2:11" outlineLevel="1">
      <c r="B644" s="303" t="s">
        <v>2815</v>
      </c>
      <c r="C644" s="285" t="s">
        <v>121</v>
      </c>
      <c r="D644" s="286">
        <v>4</v>
      </c>
      <c r="E644" s="7">
        <v>250</v>
      </c>
      <c r="F644" s="287">
        <v>0</v>
      </c>
      <c r="G644" s="145">
        <f t="shared" ref="G644" si="314">+ROUND(E644+F644*TC,2)</f>
        <v>250</v>
      </c>
      <c r="H644" s="145">
        <f t="shared" si="309"/>
        <v>1000</v>
      </c>
      <c r="I644" s="146"/>
      <c r="J644" s="7"/>
      <c r="K644" s="276"/>
    </row>
    <row r="645" spans="2:11" outlineLevel="1">
      <c r="B645" s="303" t="s">
        <v>2820</v>
      </c>
      <c r="C645" s="285" t="s">
        <v>141</v>
      </c>
      <c r="D645" s="286">
        <v>2.5000000000000004</v>
      </c>
      <c r="E645" s="7">
        <v>250</v>
      </c>
      <c r="F645" s="287">
        <v>0</v>
      </c>
      <c r="G645" s="145">
        <f t="shared" ref="G645" si="315">+ROUND(E645+F645*TC,2)</f>
        <v>250</v>
      </c>
      <c r="H645" s="145">
        <f t="shared" ref="H645" si="316">+ROUND(D645*E645,2)</f>
        <v>625</v>
      </c>
      <c r="I645" s="146"/>
      <c r="J645" s="7"/>
      <c r="K645" s="276"/>
    </row>
    <row r="646" spans="2:11" outlineLevel="1">
      <c r="B646" s="303" t="s">
        <v>2821</v>
      </c>
      <c r="C646" s="285" t="s">
        <v>141</v>
      </c>
      <c r="D646" s="286">
        <v>2.9</v>
      </c>
      <c r="E646" s="7">
        <v>450</v>
      </c>
      <c r="F646" s="287">
        <v>0</v>
      </c>
      <c r="G646" s="145">
        <f t="shared" ref="G646" si="317">+ROUND(E646+F646*TC,2)</f>
        <v>450</v>
      </c>
      <c r="H646" s="145">
        <f t="shared" ref="H646" si="318">+ROUND(D646*E646,2)</f>
        <v>1305</v>
      </c>
      <c r="I646" s="146"/>
      <c r="J646" s="7"/>
      <c r="K646" s="276"/>
    </row>
    <row r="647" spans="2:11">
      <c r="B647" s="694" t="s">
        <v>601</v>
      </c>
      <c r="C647" s="285"/>
      <c r="D647" s="286"/>
      <c r="E647" s="7" t="s">
        <v>27</v>
      </c>
      <c r="F647" s="287" t="s">
        <v>27</v>
      </c>
      <c r="G647" s="145"/>
      <c r="H647" s="145"/>
      <c r="I647" s="146"/>
      <c r="J647" s="7">
        <f t="shared" si="275"/>
        <v>0</v>
      </c>
      <c r="K647" s="276">
        <f>SUM(H647:H756)+SUM(I647:I756)*TC</f>
        <v>1509968.2900000003</v>
      </c>
    </row>
    <row r="648" spans="2:11" outlineLevel="1">
      <c r="B648" s="349" t="s">
        <v>602</v>
      </c>
      <c r="C648" s="302"/>
      <c r="D648" s="351"/>
      <c r="E648" s="7" t="s">
        <v>27</v>
      </c>
      <c r="F648" s="287" t="s">
        <v>27</v>
      </c>
      <c r="G648" s="145"/>
      <c r="H648" s="145"/>
      <c r="I648" s="146"/>
      <c r="J648" s="7">
        <f t="shared" ref="J648:J725" si="319">+ROUND(H648+I648*TC,2)</f>
        <v>0</v>
      </c>
      <c r="K648" s="289"/>
    </row>
    <row r="649" spans="2:11" outlineLevel="1">
      <c r="B649" s="721" t="s">
        <v>259</v>
      </c>
      <c r="C649" s="302"/>
      <c r="D649" s="351"/>
      <c r="E649" s="7"/>
      <c r="F649" s="287"/>
      <c r="G649" s="145"/>
      <c r="H649" s="145"/>
      <c r="I649" s="146"/>
      <c r="J649" s="7"/>
      <c r="K649" s="289"/>
    </row>
    <row r="650" spans="2:11" outlineLevel="1">
      <c r="B650" s="303" t="s">
        <v>603</v>
      </c>
      <c r="C650" s="302" t="s">
        <v>70</v>
      </c>
      <c r="D650" s="351">
        <v>65</v>
      </c>
      <c r="E650" s="7">
        <v>1068.5802082085604</v>
      </c>
      <c r="F650" s="287">
        <v>0</v>
      </c>
      <c r="G650" s="145">
        <f t="shared" ref="G650:G664" si="320">+ROUND(E650+F650*TC,2)</f>
        <v>1068.58</v>
      </c>
      <c r="H650" s="145">
        <f t="shared" ref="H650:H664" si="321">+ROUND(D650*E650,2)</f>
        <v>69457.710000000006</v>
      </c>
      <c r="I650" s="146">
        <f t="shared" ref="I650:I664" si="322">+ROUND(D650*F650,2)</f>
        <v>0</v>
      </c>
      <c r="J650" s="7">
        <f t="shared" si="319"/>
        <v>69457.710000000006</v>
      </c>
      <c r="K650" s="289"/>
    </row>
    <row r="651" spans="2:11" outlineLevel="1">
      <c r="B651" s="303" t="s">
        <v>604</v>
      </c>
      <c r="C651" s="302" t="s">
        <v>70</v>
      </c>
      <c r="D651" s="351">
        <v>154</v>
      </c>
      <c r="E651" s="7">
        <v>481.02090125483193</v>
      </c>
      <c r="F651" s="287">
        <v>0</v>
      </c>
      <c r="G651" s="145">
        <f t="shared" si="320"/>
        <v>481.02</v>
      </c>
      <c r="H651" s="145">
        <f t="shared" si="321"/>
        <v>74077.22</v>
      </c>
      <c r="I651" s="146">
        <f t="shared" si="322"/>
        <v>0</v>
      </c>
      <c r="J651" s="7">
        <f t="shared" si="319"/>
        <v>74077.22</v>
      </c>
      <c r="K651" s="289"/>
    </row>
    <row r="652" spans="2:11" outlineLevel="1">
      <c r="B652" s="303" t="s">
        <v>605</v>
      </c>
      <c r="C652" s="302" t="s">
        <v>70</v>
      </c>
      <c r="D652" s="351">
        <v>132</v>
      </c>
      <c r="E652" s="7">
        <v>360.76569377515688</v>
      </c>
      <c r="F652" s="287">
        <v>0</v>
      </c>
      <c r="G652" s="145">
        <f t="shared" si="320"/>
        <v>360.77</v>
      </c>
      <c r="H652" s="145">
        <f t="shared" si="321"/>
        <v>47621.07</v>
      </c>
      <c r="I652" s="146">
        <f t="shared" si="322"/>
        <v>0</v>
      </c>
      <c r="J652" s="7">
        <f t="shared" si="319"/>
        <v>47621.07</v>
      </c>
      <c r="K652" s="289"/>
    </row>
    <row r="653" spans="2:11" outlineLevel="1">
      <c r="B653" s="303" t="s">
        <v>606</v>
      </c>
      <c r="C653" s="302" t="s">
        <v>70</v>
      </c>
      <c r="D653" s="351">
        <v>36</v>
      </c>
      <c r="E653" s="7">
        <v>1232.9698061422903</v>
      </c>
      <c r="F653" s="287">
        <v>0</v>
      </c>
      <c r="G653" s="145">
        <f t="shared" si="320"/>
        <v>1232.97</v>
      </c>
      <c r="H653" s="145">
        <f t="shared" si="321"/>
        <v>44386.91</v>
      </c>
      <c r="I653" s="146">
        <f t="shared" si="322"/>
        <v>0</v>
      </c>
      <c r="J653" s="7">
        <f t="shared" si="319"/>
        <v>44386.91</v>
      </c>
      <c r="K653" s="289"/>
    </row>
    <row r="654" spans="2:11" outlineLevel="1">
      <c r="B654" s="303" t="s">
        <v>2452</v>
      </c>
      <c r="C654" s="302" t="s">
        <v>70</v>
      </c>
      <c r="D654" s="351">
        <v>1</v>
      </c>
      <c r="E654" s="7">
        <v>880.68974856560101</v>
      </c>
      <c r="F654" s="287">
        <v>0</v>
      </c>
      <c r="G654" s="145">
        <f t="shared" ref="G654" si="323">+ROUND(E654+F654*TC,2)</f>
        <v>880.69</v>
      </c>
      <c r="H654" s="145">
        <f t="shared" ref="H654" si="324">+ROUND(D654*E654,2)</f>
        <v>880.69</v>
      </c>
      <c r="I654" s="146">
        <f t="shared" ref="I654" si="325">+ROUND(D654*F654,2)</f>
        <v>0</v>
      </c>
      <c r="J654" s="7">
        <f t="shared" ref="J654" si="326">+ROUND(H654+I654*TC,2)</f>
        <v>880.69</v>
      </c>
      <c r="K654" s="289"/>
    </row>
    <row r="655" spans="2:11" outlineLevel="1">
      <c r="B655" s="303" t="s">
        <v>607</v>
      </c>
      <c r="C655" s="302" t="s">
        <v>70</v>
      </c>
      <c r="D655" s="351">
        <v>36</v>
      </c>
      <c r="E655" s="7">
        <v>1109.6727582942851</v>
      </c>
      <c r="F655" s="287">
        <v>0</v>
      </c>
      <c r="G655" s="145">
        <f t="shared" si="320"/>
        <v>1109.67</v>
      </c>
      <c r="H655" s="145">
        <f t="shared" si="321"/>
        <v>39948.22</v>
      </c>
      <c r="I655" s="146">
        <f t="shared" si="322"/>
        <v>0</v>
      </c>
      <c r="J655" s="7">
        <f t="shared" si="319"/>
        <v>39948.22</v>
      </c>
      <c r="K655" s="289"/>
    </row>
    <row r="656" spans="2:11" outlineLevel="1">
      <c r="B656" s="303" t="s">
        <v>608</v>
      </c>
      <c r="C656" s="302" t="s">
        <v>70</v>
      </c>
      <c r="D656" s="351"/>
      <c r="E656" s="7">
        <v>0</v>
      </c>
      <c r="F656" s="287">
        <v>0</v>
      </c>
      <c r="G656" s="145">
        <f t="shared" si="320"/>
        <v>0</v>
      </c>
      <c r="H656" s="145">
        <f t="shared" si="321"/>
        <v>0</v>
      </c>
      <c r="I656" s="146">
        <f t="shared" si="322"/>
        <v>0</v>
      </c>
      <c r="J656" s="7">
        <f t="shared" si="319"/>
        <v>0</v>
      </c>
      <c r="K656" s="289"/>
    </row>
    <row r="657" spans="2:11" outlineLevel="1">
      <c r="B657" s="303" t="s">
        <v>2453</v>
      </c>
      <c r="C657" s="302" t="s">
        <v>70</v>
      </c>
      <c r="D657" s="351">
        <v>124</v>
      </c>
      <c r="E657" s="7">
        <v>601.27615371041395</v>
      </c>
      <c r="F657" s="287">
        <v>0</v>
      </c>
      <c r="G657" s="145">
        <f t="shared" si="320"/>
        <v>601.28</v>
      </c>
      <c r="H657" s="145">
        <f t="shared" si="321"/>
        <v>74558.240000000005</v>
      </c>
      <c r="I657" s="146">
        <f t="shared" si="322"/>
        <v>0</v>
      </c>
      <c r="J657" s="7">
        <f t="shared" si="319"/>
        <v>74558.240000000005</v>
      </c>
      <c r="K657" s="289"/>
    </row>
    <row r="658" spans="2:11" outlineLevel="1">
      <c r="B658" s="303" t="s">
        <v>609</v>
      </c>
      <c r="C658" s="302" t="s">
        <v>70</v>
      </c>
      <c r="D658" s="351">
        <v>24</v>
      </c>
      <c r="E658" s="7">
        <v>400.85090095884226</v>
      </c>
      <c r="F658" s="287">
        <v>0</v>
      </c>
      <c r="G658" s="145">
        <f t="shared" si="320"/>
        <v>400.85</v>
      </c>
      <c r="H658" s="145">
        <f t="shared" si="321"/>
        <v>9620.42</v>
      </c>
      <c r="I658" s="146">
        <f t="shared" si="322"/>
        <v>0</v>
      </c>
      <c r="J658" s="7">
        <f t="shared" si="319"/>
        <v>9620.42</v>
      </c>
      <c r="K658" s="289"/>
    </row>
    <row r="659" spans="2:11" outlineLevel="1">
      <c r="B659" s="303" t="s">
        <v>2449</v>
      </c>
      <c r="C659" s="302" t="s">
        <v>70</v>
      </c>
      <c r="D659" s="351">
        <v>24</v>
      </c>
      <c r="E659" s="7">
        <v>1312.6685846968398</v>
      </c>
      <c r="F659" s="287">
        <v>0</v>
      </c>
      <c r="G659" s="145">
        <f t="shared" si="320"/>
        <v>1312.67</v>
      </c>
      <c r="H659" s="145">
        <f t="shared" si="321"/>
        <v>31504.05</v>
      </c>
      <c r="I659" s="146">
        <f t="shared" si="322"/>
        <v>0</v>
      </c>
      <c r="J659" s="7">
        <f t="shared" si="319"/>
        <v>31504.05</v>
      </c>
      <c r="K659" s="289"/>
    </row>
    <row r="660" spans="2:11" ht="10.9" customHeight="1" outlineLevel="1">
      <c r="B660" s="303" t="s">
        <v>610</v>
      </c>
      <c r="C660" s="302" t="s">
        <v>70</v>
      </c>
      <c r="D660" s="351">
        <v>0</v>
      </c>
      <c r="E660" s="7">
        <v>0</v>
      </c>
      <c r="F660" s="287">
        <v>0</v>
      </c>
      <c r="G660" s="145">
        <f t="shared" si="320"/>
        <v>0</v>
      </c>
      <c r="H660" s="145">
        <f t="shared" si="321"/>
        <v>0</v>
      </c>
      <c r="I660" s="146">
        <f t="shared" si="322"/>
        <v>0</v>
      </c>
      <c r="J660" s="7">
        <f t="shared" si="319"/>
        <v>0</v>
      </c>
      <c r="K660" s="289"/>
    </row>
    <row r="661" spans="2:11" outlineLevel="1">
      <c r="B661" s="303" t="s">
        <v>2791</v>
      </c>
      <c r="C661" s="302" t="s">
        <v>70</v>
      </c>
      <c r="D661" s="351">
        <v>6</v>
      </c>
      <c r="E661" s="7">
        <v>601.27615371041395</v>
      </c>
      <c r="F661" s="287">
        <v>0</v>
      </c>
      <c r="G661" s="145">
        <f t="shared" si="320"/>
        <v>601.28</v>
      </c>
      <c r="H661" s="145">
        <f t="shared" si="321"/>
        <v>3607.66</v>
      </c>
      <c r="I661" s="146">
        <f t="shared" si="322"/>
        <v>0</v>
      </c>
      <c r="J661" s="7">
        <f t="shared" si="319"/>
        <v>3607.66</v>
      </c>
      <c r="K661" s="289"/>
    </row>
    <row r="662" spans="2:11" outlineLevel="1">
      <c r="B662" s="303" t="s">
        <v>611</v>
      </c>
      <c r="C662" s="302" t="s">
        <v>70</v>
      </c>
      <c r="D662" s="351">
        <v>18</v>
      </c>
      <c r="E662" s="7">
        <v>440.93582038437216</v>
      </c>
      <c r="F662" s="287">
        <v>0</v>
      </c>
      <c r="G662" s="145">
        <f t="shared" si="320"/>
        <v>440.94</v>
      </c>
      <c r="H662" s="145">
        <f t="shared" si="321"/>
        <v>7936.84</v>
      </c>
      <c r="I662" s="146">
        <f t="shared" si="322"/>
        <v>0</v>
      </c>
      <c r="J662" s="7">
        <f t="shared" si="319"/>
        <v>7936.84</v>
      </c>
      <c r="K662" s="289"/>
    </row>
    <row r="663" spans="2:11" outlineLevel="1">
      <c r="B663" s="303" t="s">
        <v>612</v>
      </c>
      <c r="C663" s="302" t="s">
        <v>70</v>
      </c>
      <c r="D663" s="351"/>
      <c r="E663" s="7">
        <v>0</v>
      </c>
      <c r="F663" s="287">
        <v>0</v>
      </c>
      <c r="G663" s="145">
        <f t="shared" si="320"/>
        <v>0</v>
      </c>
      <c r="H663" s="145">
        <f t="shared" si="321"/>
        <v>0</v>
      </c>
      <c r="I663" s="146">
        <f t="shared" si="322"/>
        <v>0</v>
      </c>
      <c r="J663" s="7">
        <f t="shared" si="319"/>
        <v>0</v>
      </c>
      <c r="K663" s="289"/>
    </row>
    <row r="664" spans="2:11" outlineLevel="1">
      <c r="B664" s="303" t="s">
        <v>613</v>
      </c>
      <c r="C664" s="302" t="s">
        <v>70</v>
      </c>
      <c r="D664" s="351">
        <v>1</v>
      </c>
      <c r="E664" s="7">
        <v>1262.6884021945912</v>
      </c>
      <c r="F664" s="287">
        <v>0</v>
      </c>
      <c r="G664" s="145">
        <f t="shared" si="320"/>
        <v>1262.69</v>
      </c>
      <c r="H664" s="145">
        <f t="shared" si="321"/>
        <v>1262.69</v>
      </c>
      <c r="I664" s="146">
        <f t="shared" si="322"/>
        <v>0</v>
      </c>
      <c r="J664" s="7">
        <f t="shared" si="319"/>
        <v>1262.69</v>
      </c>
      <c r="K664" s="289"/>
    </row>
    <row r="665" spans="2:11" outlineLevel="1">
      <c r="B665" s="303" t="s">
        <v>2451</v>
      </c>
      <c r="C665" s="302" t="s">
        <v>70</v>
      </c>
      <c r="D665" s="351">
        <v>1</v>
      </c>
      <c r="E665" s="7">
        <v>1262.6884021945912</v>
      </c>
      <c r="F665" s="287">
        <v>0</v>
      </c>
      <c r="G665" s="145">
        <f t="shared" ref="G665" si="327">+ROUND(E665+F665*TC,2)</f>
        <v>1262.69</v>
      </c>
      <c r="H665" s="145">
        <f t="shared" ref="H665" si="328">+ROUND(D665*E665,2)</f>
        <v>1262.69</v>
      </c>
      <c r="I665" s="146">
        <f t="shared" ref="I665" si="329">+ROUND(D665*F665,2)</f>
        <v>0</v>
      </c>
      <c r="J665" s="7">
        <f t="shared" ref="J665" si="330">+ROUND(H665+I665*TC,2)</f>
        <v>1262.69</v>
      </c>
      <c r="K665" s="289"/>
    </row>
    <row r="666" spans="2:11" outlineLevel="1">
      <c r="B666" s="303" t="s">
        <v>2450</v>
      </c>
      <c r="C666" s="302" t="s">
        <v>70</v>
      </c>
      <c r="D666" s="351">
        <v>3</v>
      </c>
      <c r="E666" s="7">
        <v>1209.6261357081919</v>
      </c>
      <c r="F666" s="287">
        <v>0</v>
      </c>
      <c r="G666" s="145">
        <f t="shared" ref="G666" si="331">+ROUND(E666+F666*TC,2)</f>
        <v>1209.6300000000001</v>
      </c>
      <c r="H666" s="145">
        <f t="shared" ref="H666" si="332">+ROUND(D666*E666,2)</f>
        <v>3628.88</v>
      </c>
      <c r="I666" s="146">
        <f t="shared" ref="I666" si="333">+ROUND(D666*F666,2)</f>
        <v>0</v>
      </c>
      <c r="J666" s="7">
        <f t="shared" ref="J666" si="334">+ROUND(H666+I666*TC,2)</f>
        <v>3628.88</v>
      </c>
      <c r="K666" s="289"/>
    </row>
    <row r="667" spans="2:11" outlineLevel="1">
      <c r="B667" s="721" t="s">
        <v>482</v>
      </c>
      <c r="C667" s="302"/>
      <c r="D667" s="351"/>
      <c r="E667" s="7"/>
      <c r="F667" s="287"/>
      <c r="G667" s="145"/>
      <c r="H667" s="145"/>
      <c r="I667" s="146"/>
      <c r="J667" s="7"/>
      <c r="K667" s="289"/>
    </row>
    <row r="668" spans="2:11" outlineLevel="1">
      <c r="B668" s="303" t="s">
        <v>2454</v>
      </c>
      <c r="C668" s="302" t="s">
        <v>70</v>
      </c>
      <c r="D668" s="351">
        <v>2</v>
      </c>
      <c r="E668" s="7">
        <v>1131.8106943939354</v>
      </c>
      <c r="F668" s="287">
        <v>0</v>
      </c>
      <c r="G668" s="145">
        <f t="shared" ref="G668:G669" si="335">+ROUND(E668+F668*TC,2)</f>
        <v>1131.81</v>
      </c>
      <c r="H668" s="145">
        <f t="shared" ref="H668:H669" si="336">+ROUND(D668*E668,2)</f>
        <v>2263.62</v>
      </c>
      <c r="I668" s="146">
        <f t="shared" ref="I668:I669" si="337">+ROUND(D668*F668,2)</f>
        <v>0</v>
      </c>
      <c r="J668" s="7">
        <f t="shared" ref="J668:J669" si="338">+ROUND(H668+I668*TC,2)</f>
        <v>2263.62</v>
      </c>
      <c r="K668" s="289"/>
    </row>
    <row r="669" spans="2:11" outlineLevel="1">
      <c r="B669" s="303" t="s">
        <v>2455</v>
      </c>
      <c r="C669" s="302" t="s">
        <v>70</v>
      </c>
      <c r="D669" s="351">
        <v>2</v>
      </c>
      <c r="E669" s="7">
        <v>165.52805647115403</v>
      </c>
      <c r="F669" s="287">
        <v>0</v>
      </c>
      <c r="G669" s="145">
        <f t="shared" si="335"/>
        <v>165.53</v>
      </c>
      <c r="H669" s="145">
        <f t="shared" si="336"/>
        <v>331.06</v>
      </c>
      <c r="I669" s="146">
        <f t="shared" si="337"/>
        <v>0</v>
      </c>
      <c r="J669" s="7">
        <f t="shared" si="338"/>
        <v>331.06</v>
      </c>
      <c r="K669" s="289"/>
    </row>
    <row r="670" spans="2:11" outlineLevel="1">
      <c r="B670" s="303" t="s">
        <v>2456</v>
      </c>
      <c r="C670" s="302" t="s">
        <v>70</v>
      </c>
      <c r="D670" s="351">
        <v>2</v>
      </c>
      <c r="E670" s="7">
        <v>310.36574589724216</v>
      </c>
      <c r="F670" s="287">
        <v>0</v>
      </c>
      <c r="G670" s="145">
        <f t="shared" ref="G670:G671" si="339">+ROUND(E670+F670*TC,2)</f>
        <v>310.37</v>
      </c>
      <c r="H670" s="145">
        <f t="shared" ref="H670:H671" si="340">+ROUND(D670*E670,2)</f>
        <v>620.73</v>
      </c>
      <c r="I670" s="146">
        <f t="shared" ref="I670:I671" si="341">+ROUND(D670*F670,2)</f>
        <v>0</v>
      </c>
      <c r="J670" s="7">
        <f t="shared" ref="J670:J671" si="342">+ROUND(H670+I670*TC,2)</f>
        <v>620.73</v>
      </c>
      <c r="K670" s="289"/>
    </row>
    <row r="671" spans="2:11" outlineLevel="1">
      <c r="B671" s="303" t="s">
        <v>2456</v>
      </c>
      <c r="C671" s="302" t="s">
        <v>70</v>
      </c>
      <c r="D671" s="351">
        <v>1</v>
      </c>
      <c r="E671" s="7">
        <v>1355.8155343398969</v>
      </c>
      <c r="F671" s="287">
        <v>0</v>
      </c>
      <c r="G671" s="145">
        <f t="shared" si="339"/>
        <v>1355.82</v>
      </c>
      <c r="H671" s="145">
        <f t="shared" si="340"/>
        <v>1355.82</v>
      </c>
      <c r="I671" s="146">
        <f t="shared" si="341"/>
        <v>0</v>
      </c>
      <c r="J671" s="7">
        <f t="shared" si="342"/>
        <v>1355.82</v>
      </c>
      <c r="K671" s="289"/>
    </row>
    <row r="672" spans="2:11" outlineLevel="1">
      <c r="B672" s="349" t="s">
        <v>614</v>
      </c>
      <c r="C672" s="302"/>
      <c r="D672" s="351"/>
      <c r="E672" s="7">
        <v>0</v>
      </c>
      <c r="F672" s="287" t="s">
        <v>27</v>
      </c>
      <c r="G672" s="145"/>
      <c r="H672" s="145"/>
      <c r="I672" s="146"/>
      <c r="J672" s="7"/>
      <c r="K672" s="289"/>
    </row>
    <row r="673" spans="2:11" outlineLevel="1">
      <c r="B673" s="721" t="s">
        <v>259</v>
      </c>
      <c r="C673" s="302"/>
      <c r="D673" s="351"/>
      <c r="E673" s="7"/>
      <c r="F673" s="287"/>
      <c r="G673" s="145"/>
      <c r="H673" s="145"/>
      <c r="I673" s="146"/>
      <c r="J673" s="7"/>
      <c r="K673" s="289"/>
    </row>
    <row r="674" spans="2:11" outlineLevel="1">
      <c r="B674" s="303" t="s">
        <v>2457</v>
      </c>
      <c r="C674" s="302" t="s">
        <v>121</v>
      </c>
      <c r="D674" s="351">
        <v>68</v>
      </c>
      <c r="E674" s="7">
        <v>2620.4321236502828</v>
      </c>
      <c r="F674" s="287">
        <v>0</v>
      </c>
      <c r="G674" s="145">
        <f t="shared" ref="G674:G688" si="343">+ROUND(E674+F674*TC,2)</f>
        <v>2620.4299999999998</v>
      </c>
      <c r="H674" s="145">
        <f t="shared" ref="H674:H688" si="344">+ROUND(D674*E674,2)</f>
        <v>178189.38</v>
      </c>
      <c r="I674" s="146">
        <f t="shared" ref="I674:I688" si="345">+ROUND(D674*F674,2)</f>
        <v>0</v>
      </c>
      <c r="J674" s="7">
        <f t="shared" ref="J674:J688" si="346">+ROUND(H674+I674*TC,2)</f>
        <v>178189.38</v>
      </c>
      <c r="K674" s="289"/>
    </row>
    <row r="675" spans="2:11" outlineLevel="1">
      <c r="B675" s="303" t="s">
        <v>2458</v>
      </c>
      <c r="C675" s="302" t="s">
        <v>121</v>
      </c>
      <c r="D675" s="351">
        <v>25</v>
      </c>
      <c r="E675" s="7">
        <v>2008.9978606145528</v>
      </c>
      <c r="F675" s="287">
        <v>0</v>
      </c>
      <c r="G675" s="145">
        <f t="shared" si="343"/>
        <v>2009</v>
      </c>
      <c r="H675" s="145">
        <f t="shared" si="344"/>
        <v>50224.95</v>
      </c>
      <c r="I675" s="146">
        <f t="shared" si="345"/>
        <v>0</v>
      </c>
      <c r="J675" s="7">
        <f t="shared" si="346"/>
        <v>50224.95</v>
      </c>
      <c r="K675" s="289"/>
    </row>
    <row r="676" spans="2:11" outlineLevel="1">
      <c r="B676" s="303" t="s">
        <v>2459</v>
      </c>
      <c r="C676" s="302" t="s">
        <v>121</v>
      </c>
      <c r="D676" s="351">
        <v>51</v>
      </c>
      <c r="E676" s="7">
        <v>2620.4322981995088</v>
      </c>
      <c r="F676" s="287">
        <v>0</v>
      </c>
      <c r="G676" s="145">
        <f t="shared" si="343"/>
        <v>2620.4299999999998</v>
      </c>
      <c r="H676" s="145">
        <f t="shared" si="344"/>
        <v>133642.04999999999</v>
      </c>
      <c r="I676" s="146">
        <f t="shared" si="345"/>
        <v>0</v>
      </c>
      <c r="J676" s="7">
        <f t="shared" si="346"/>
        <v>133642.04999999999</v>
      </c>
      <c r="K676" s="289"/>
    </row>
    <row r="677" spans="2:11" outlineLevel="1">
      <c r="B677" s="303" t="s">
        <v>2460</v>
      </c>
      <c r="C677" s="302" t="s">
        <v>121</v>
      </c>
      <c r="D677" s="351">
        <v>18</v>
      </c>
      <c r="E677" s="7">
        <v>2018.7031725339639</v>
      </c>
      <c r="F677" s="287">
        <v>0</v>
      </c>
      <c r="G677" s="145">
        <f t="shared" si="343"/>
        <v>2018.7</v>
      </c>
      <c r="H677" s="145">
        <f t="shared" si="344"/>
        <v>36336.660000000003</v>
      </c>
      <c r="I677" s="146">
        <f t="shared" si="345"/>
        <v>0</v>
      </c>
      <c r="J677" s="7">
        <f t="shared" si="346"/>
        <v>36336.660000000003</v>
      </c>
      <c r="K677" s="289"/>
    </row>
    <row r="678" spans="2:11" outlineLevel="1">
      <c r="B678" s="303" t="s">
        <v>2461</v>
      </c>
      <c r="C678" s="302" t="s">
        <v>121</v>
      </c>
      <c r="D678" s="351">
        <v>18</v>
      </c>
      <c r="E678" s="7">
        <v>2274.0379694085955</v>
      </c>
      <c r="F678" s="287">
        <v>0</v>
      </c>
      <c r="G678" s="145">
        <f t="shared" si="343"/>
        <v>2274.04</v>
      </c>
      <c r="H678" s="145">
        <f t="shared" si="344"/>
        <v>40932.68</v>
      </c>
      <c r="I678" s="146">
        <f t="shared" si="345"/>
        <v>0</v>
      </c>
      <c r="J678" s="7">
        <f t="shared" si="346"/>
        <v>40932.68</v>
      </c>
      <c r="K678" s="289"/>
    </row>
    <row r="679" spans="2:11" outlineLevel="1">
      <c r="B679" s="303" t="s">
        <v>2462</v>
      </c>
      <c r="C679" s="302" t="s">
        <v>121</v>
      </c>
      <c r="D679" s="351">
        <v>21</v>
      </c>
      <c r="E679" s="7">
        <v>2309.8623269373029</v>
      </c>
      <c r="F679" s="287">
        <v>0</v>
      </c>
      <c r="G679" s="145">
        <f t="shared" si="343"/>
        <v>2309.86</v>
      </c>
      <c r="H679" s="145">
        <f t="shared" si="344"/>
        <v>48507.11</v>
      </c>
      <c r="I679" s="146">
        <f t="shared" si="345"/>
        <v>0</v>
      </c>
      <c r="J679" s="7">
        <f t="shared" si="346"/>
        <v>48507.11</v>
      </c>
      <c r="K679" s="289"/>
    </row>
    <row r="680" spans="2:11" outlineLevel="1">
      <c r="B680" s="303" t="s">
        <v>2463</v>
      </c>
      <c r="C680" s="302" t="s">
        <v>121</v>
      </c>
      <c r="D680" s="351">
        <v>4</v>
      </c>
      <c r="E680" s="7">
        <v>1411.2321983630998</v>
      </c>
      <c r="F680" s="287">
        <v>0</v>
      </c>
      <c r="G680" s="145">
        <f t="shared" si="343"/>
        <v>1411.23</v>
      </c>
      <c r="H680" s="145">
        <f t="shared" si="344"/>
        <v>5644.93</v>
      </c>
      <c r="I680" s="146">
        <f t="shared" si="345"/>
        <v>0</v>
      </c>
      <c r="J680" s="7">
        <f t="shared" si="346"/>
        <v>5644.93</v>
      </c>
      <c r="K680" s="289"/>
    </row>
    <row r="681" spans="2:11" outlineLevel="1">
      <c r="B681" s="303" t="s">
        <v>2464</v>
      </c>
      <c r="C681" s="302" t="s">
        <v>121</v>
      </c>
      <c r="D681" s="351">
        <v>21</v>
      </c>
      <c r="E681" s="7">
        <v>2182.7031604334484</v>
      </c>
      <c r="F681" s="287">
        <v>0</v>
      </c>
      <c r="G681" s="145">
        <f t="shared" si="343"/>
        <v>2182.6999999999998</v>
      </c>
      <c r="H681" s="145">
        <f t="shared" si="344"/>
        <v>45836.77</v>
      </c>
      <c r="I681" s="146">
        <f t="shared" si="345"/>
        <v>0</v>
      </c>
      <c r="J681" s="7">
        <f t="shared" si="346"/>
        <v>45836.77</v>
      </c>
      <c r="K681" s="289"/>
    </row>
    <row r="682" spans="2:11" outlineLevel="1">
      <c r="B682" s="303" t="s">
        <v>2465</v>
      </c>
      <c r="C682" s="302" t="s">
        <v>121</v>
      </c>
      <c r="D682" s="351">
        <v>1</v>
      </c>
      <c r="E682" s="7">
        <v>2747.1953570972714</v>
      </c>
      <c r="F682" s="287">
        <v>0</v>
      </c>
      <c r="G682" s="145">
        <f t="shared" si="343"/>
        <v>2747.2</v>
      </c>
      <c r="H682" s="145">
        <f t="shared" si="344"/>
        <v>2747.2</v>
      </c>
      <c r="I682" s="146">
        <f t="shared" si="345"/>
        <v>0</v>
      </c>
      <c r="J682" s="7">
        <f t="shared" si="346"/>
        <v>2747.2</v>
      </c>
      <c r="K682" s="289"/>
    </row>
    <row r="683" spans="2:11" outlineLevel="1">
      <c r="B683" s="303" t="s">
        <v>2790</v>
      </c>
      <c r="C683" s="302" t="s">
        <v>121</v>
      </c>
      <c r="D683" s="351">
        <v>1</v>
      </c>
      <c r="E683" s="7">
        <v>2008.9978606145528</v>
      </c>
      <c r="F683" s="287">
        <v>0</v>
      </c>
      <c r="G683" s="145">
        <f t="shared" ref="G683" si="347">+ROUND(E683+F683*TC,2)</f>
        <v>2009</v>
      </c>
      <c r="H683" s="145">
        <f t="shared" ref="H683" si="348">+ROUND(D683*E683,2)</f>
        <v>2009</v>
      </c>
      <c r="I683" s="146">
        <f t="shared" ref="I683" si="349">+ROUND(D683*F683,2)</f>
        <v>0</v>
      </c>
      <c r="J683" s="7">
        <f t="shared" ref="J683" si="350">+ROUND(H683+I683*TC,2)</f>
        <v>2009</v>
      </c>
      <c r="K683" s="289"/>
    </row>
    <row r="684" spans="2:11" outlineLevel="1">
      <c r="B684" s="303" t="s">
        <v>2466</v>
      </c>
      <c r="C684" s="302" t="s">
        <v>121</v>
      </c>
      <c r="D684" s="351">
        <v>25</v>
      </c>
      <c r="E684" s="7">
        <v>1746.954865466339</v>
      </c>
      <c r="F684" s="287">
        <v>0</v>
      </c>
      <c r="G684" s="145">
        <f t="shared" si="343"/>
        <v>1746.95</v>
      </c>
      <c r="H684" s="145">
        <f t="shared" si="344"/>
        <v>43673.87</v>
      </c>
      <c r="I684" s="146">
        <f t="shared" si="345"/>
        <v>0</v>
      </c>
      <c r="J684" s="7">
        <f t="shared" si="346"/>
        <v>43673.87</v>
      </c>
      <c r="K684" s="289"/>
    </row>
    <row r="685" spans="2:11" outlineLevel="1">
      <c r="B685" s="303" t="s">
        <v>2467</v>
      </c>
      <c r="C685" s="302" t="s">
        <v>121</v>
      </c>
      <c r="D685" s="351">
        <v>25</v>
      </c>
      <c r="E685" s="7">
        <v>2163.8867538779878</v>
      </c>
      <c r="F685" s="287">
        <v>0</v>
      </c>
      <c r="G685" s="145">
        <f t="shared" si="343"/>
        <v>2163.89</v>
      </c>
      <c r="H685" s="145">
        <f t="shared" si="344"/>
        <v>54097.17</v>
      </c>
      <c r="I685" s="146">
        <f t="shared" si="345"/>
        <v>0</v>
      </c>
      <c r="J685" s="7">
        <f t="shared" si="346"/>
        <v>54097.17</v>
      </c>
      <c r="K685" s="289"/>
    </row>
    <row r="686" spans="2:11" outlineLevel="1">
      <c r="B686" s="303" t="s">
        <v>2468</v>
      </c>
      <c r="C686" s="302" t="s">
        <v>121</v>
      </c>
      <c r="D686" s="351">
        <v>25</v>
      </c>
      <c r="E686" s="7">
        <v>1552.8489115287077</v>
      </c>
      <c r="F686" s="287">
        <v>0</v>
      </c>
      <c r="G686" s="145">
        <f t="shared" si="343"/>
        <v>1552.85</v>
      </c>
      <c r="H686" s="145">
        <f t="shared" si="344"/>
        <v>38821.22</v>
      </c>
      <c r="I686" s="146">
        <f t="shared" si="345"/>
        <v>0</v>
      </c>
      <c r="J686" s="7">
        <f t="shared" si="346"/>
        <v>38821.22</v>
      </c>
      <c r="K686" s="289"/>
    </row>
    <row r="687" spans="2:11" outlineLevel="1">
      <c r="B687" s="303" t="s">
        <v>2469</v>
      </c>
      <c r="C687" s="302" t="s">
        <v>121</v>
      </c>
      <c r="D687" s="351">
        <v>4</v>
      </c>
      <c r="E687" s="7">
        <v>2523.3799612445214</v>
      </c>
      <c r="F687" s="287">
        <v>0</v>
      </c>
      <c r="G687" s="145">
        <f t="shared" si="343"/>
        <v>2523.38</v>
      </c>
      <c r="H687" s="145">
        <f t="shared" si="344"/>
        <v>10093.52</v>
      </c>
      <c r="I687" s="146">
        <f t="shared" si="345"/>
        <v>0</v>
      </c>
      <c r="J687" s="7">
        <f t="shared" si="346"/>
        <v>10093.52</v>
      </c>
      <c r="K687" s="289"/>
    </row>
    <row r="688" spans="2:11" ht="12.6" customHeight="1" outlineLevel="1">
      <c r="B688" s="303" t="s">
        <v>2470</v>
      </c>
      <c r="C688" s="302" t="s">
        <v>121</v>
      </c>
      <c r="D688" s="351">
        <v>4</v>
      </c>
      <c r="E688" s="7">
        <v>2416.6205345539329</v>
      </c>
      <c r="F688" s="287">
        <v>0</v>
      </c>
      <c r="G688" s="145">
        <f t="shared" si="343"/>
        <v>2416.62</v>
      </c>
      <c r="H688" s="145">
        <f t="shared" si="344"/>
        <v>9666.48</v>
      </c>
      <c r="I688" s="146">
        <f t="shared" si="345"/>
        <v>0</v>
      </c>
      <c r="J688" s="7">
        <f t="shared" si="346"/>
        <v>9666.48</v>
      </c>
      <c r="K688" s="289"/>
    </row>
    <row r="689" spans="2:11" outlineLevel="1">
      <c r="B689" s="721" t="s">
        <v>482</v>
      </c>
      <c r="C689" s="302"/>
      <c r="D689" s="351"/>
      <c r="E689" s="7">
        <v>0</v>
      </c>
      <c r="F689" s="287" t="s">
        <v>27</v>
      </c>
      <c r="G689" s="145"/>
      <c r="H689" s="145"/>
      <c r="I689" s="146"/>
      <c r="J689" s="7"/>
      <c r="K689" s="289"/>
    </row>
    <row r="690" spans="2:11" ht="12.6" customHeight="1" outlineLevel="1">
      <c r="B690" s="303" t="s">
        <v>2471</v>
      </c>
      <c r="C690" s="302" t="s">
        <v>121</v>
      </c>
      <c r="D690" s="351">
        <v>1</v>
      </c>
      <c r="E690" s="7">
        <v>11080.462129282168</v>
      </c>
      <c r="F690" s="287">
        <v>0</v>
      </c>
      <c r="G690" s="145">
        <f t="shared" ref="G690:G724" si="351">+ROUND(E690+F690*TC,2)</f>
        <v>11080.46</v>
      </c>
      <c r="H690" s="145">
        <f t="shared" ref="H690:H724" si="352">+ROUND(D690*E690,2)</f>
        <v>11080.46</v>
      </c>
      <c r="I690" s="146">
        <f t="shared" ref="I690:I724" si="353">+ROUND(D690*F690,2)</f>
        <v>0</v>
      </c>
      <c r="J690" s="7">
        <f t="shared" ref="J690:J724" si="354">+ROUND(H690+I690*TC,2)</f>
        <v>11080.46</v>
      </c>
      <c r="K690" s="289"/>
    </row>
    <row r="691" spans="2:11" ht="12.6" customHeight="1" outlineLevel="1">
      <c r="B691" s="303" t="s">
        <v>2472</v>
      </c>
      <c r="C691" s="302" t="s">
        <v>121</v>
      </c>
      <c r="D691" s="351">
        <v>1</v>
      </c>
      <c r="E691" s="7">
        <v>8351.2998018143753</v>
      </c>
      <c r="F691" s="287">
        <v>0</v>
      </c>
      <c r="G691" s="145">
        <f t="shared" si="351"/>
        <v>8351.2999999999993</v>
      </c>
      <c r="H691" s="145">
        <f t="shared" si="352"/>
        <v>8351.2999999999993</v>
      </c>
      <c r="I691" s="146">
        <f t="shared" si="353"/>
        <v>0</v>
      </c>
      <c r="J691" s="7">
        <f t="shared" si="354"/>
        <v>8351.2999999999993</v>
      </c>
      <c r="K691" s="289"/>
    </row>
    <row r="692" spans="2:11" ht="12.6" customHeight="1" outlineLevel="1">
      <c r="B692" s="303" t="s">
        <v>2473</v>
      </c>
      <c r="C692" s="302" t="s">
        <v>121</v>
      </c>
      <c r="D692" s="351">
        <v>1</v>
      </c>
      <c r="E692" s="7">
        <v>10856.35488712366</v>
      </c>
      <c r="F692" s="287">
        <v>0</v>
      </c>
      <c r="G692" s="145">
        <f t="shared" si="351"/>
        <v>10856.35</v>
      </c>
      <c r="H692" s="145">
        <f t="shared" si="352"/>
        <v>10856.35</v>
      </c>
      <c r="I692" s="146">
        <f t="shared" si="353"/>
        <v>0</v>
      </c>
      <c r="J692" s="7">
        <f t="shared" si="354"/>
        <v>10856.35</v>
      </c>
      <c r="K692" s="289"/>
    </row>
    <row r="693" spans="2:11" ht="12.6" customHeight="1" outlineLevel="1">
      <c r="B693" s="303" t="s">
        <v>2474</v>
      </c>
      <c r="C693" s="302" t="s">
        <v>121</v>
      </c>
      <c r="D693" s="351">
        <v>1</v>
      </c>
      <c r="E693" s="7">
        <v>11471.075369041651</v>
      </c>
      <c r="F693" s="287">
        <v>0</v>
      </c>
      <c r="G693" s="145">
        <f t="shared" si="351"/>
        <v>11471.08</v>
      </c>
      <c r="H693" s="145">
        <f t="shared" si="352"/>
        <v>11471.08</v>
      </c>
      <c r="I693" s="146">
        <f t="shared" si="353"/>
        <v>0</v>
      </c>
      <c r="J693" s="7">
        <f t="shared" si="354"/>
        <v>11471.08</v>
      </c>
      <c r="K693" s="289"/>
    </row>
    <row r="694" spans="2:11" outlineLevel="1">
      <c r="B694" s="303" t="s">
        <v>2475</v>
      </c>
      <c r="C694" s="302" t="s">
        <v>121</v>
      </c>
      <c r="D694" s="351">
        <v>1</v>
      </c>
      <c r="E694" s="7">
        <v>10042.44162135978</v>
      </c>
      <c r="F694" s="287">
        <v>0</v>
      </c>
      <c r="G694" s="145">
        <f t="shared" si="351"/>
        <v>10042.44</v>
      </c>
      <c r="H694" s="145">
        <f t="shared" si="352"/>
        <v>10042.44</v>
      </c>
      <c r="I694" s="146">
        <f t="shared" si="353"/>
        <v>0</v>
      </c>
      <c r="J694" s="7">
        <f t="shared" si="354"/>
        <v>10042.44</v>
      </c>
      <c r="K694" s="289"/>
    </row>
    <row r="695" spans="2:11" outlineLevel="1">
      <c r="B695" s="303" t="s">
        <v>2476</v>
      </c>
      <c r="C695" s="302" t="s">
        <v>121</v>
      </c>
      <c r="D695" s="351">
        <v>1</v>
      </c>
      <c r="E695" s="7">
        <v>14148.596260722132</v>
      </c>
      <c r="F695" s="287">
        <v>0</v>
      </c>
      <c r="G695" s="145">
        <f t="shared" si="351"/>
        <v>14148.6</v>
      </c>
      <c r="H695" s="145">
        <f t="shared" si="352"/>
        <v>14148.6</v>
      </c>
      <c r="I695" s="146">
        <f t="shared" si="353"/>
        <v>0</v>
      </c>
      <c r="J695" s="7">
        <f t="shared" si="354"/>
        <v>14148.6</v>
      </c>
      <c r="K695" s="289"/>
    </row>
    <row r="696" spans="2:11" outlineLevel="1">
      <c r="B696" s="303" t="s">
        <v>2477</v>
      </c>
      <c r="C696" s="302" t="s">
        <v>121</v>
      </c>
      <c r="D696" s="351">
        <v>1</v>
      </c>
      <c r="E696" s="7">
        <v>6155.9397279101513</v>
      </c>
      <c r="F696" s="287">
        <v>0</v>
      </c>
      <c r="G696" s="145">
        <f t="shared" si="351"/>
        <v>6155.94</v>
      </c>
      <c r="H696" s="145">
        <f t="shared" si="352"/>
        <v>6155.94</v>
      </c>
      <c r="I696" s="146">
        <f t="shared" si="353"/>
        <v>0</v>
      </c>
      <c r="J696" s="7">
        <f t="shared" si="354"/>
        <v>6155.94</v>
      </c>
      <c r="K696" s="289"/>
    </row>
    <row r="697" spans="2:11" outlineLevel="1">
      <c r="B697" s="303" t="s">
        <v>2478</v>
      </c>
      <c r="C697" s="302" t="s">
        <v>121</v>
      </c>
      <c r="D697" s="351">
        <v>1</v>
      </c>
      <c r="E697" s="7">
        <v>1491.8773541507308</v>
      </c>
      <c r="F697" s="287">
        <v>0</v>
      </c>
      <c r="G697" s="145">
        <f t="shared" si="351"/>
        <v>1491.88</v>
      </c>
      <c r="H697" s="145">
        <f t="shared" si="352"/>
        <v>1491.88</v>
      </c>
      <c r="I697" s="146">
        <f t="shared" si="353"/>
        <v>0</v>
      </c>
      <c r="J697" s="7">
        <f t="shared" si="354"/>
        <v>1491.88</v>
      </c>
      <c r="K697" s="289"/>
    </row>
    <row r="698" spans="2:11" outlineLevel="1">
      <c r="B698" s="303" t="s">
        <v>2479</v>
      </c>
      <c r="C698" s="302" t="s">
        <v>121</v>
      </c>
      <c r="D698" s="351">
        <v>1</v>
      </c>
      <c r="E698" s="7">
        <v>5677.1786635904473</v>
      </c>
      <c r="F698" s="287">
        <v>0</v>
      </c>
      <c r="G698" s="145">
        <f t="shared" si="351"/>
        <v>5677.18</v>
      </c>
      <c r="H698" s="145">
        <f t="shared" si="352"/>
        <v>5677.18</v>
      </c>
      <c r="I698" s="146">
        <f t="shared" si="353"/>
        <v>0</v>
      </c>
      <c r="J698" s="7">
        <f t="shared" si="354"/>
        <v>5677.18</v>
      </c>
      <c r="K698" s="289"/>
    </row>
    <row r="699" spans="2:11" outlineLevel="1">
      <c r="B699" s="303" t="s">
        <v>2480</v>
      </c>
      <c r="C699" s="302" t="s">
        <v>121</v>
      </c>
      <c r="D699" s="351">
        <v>1</v>
      </c>
      <c r="E699" s="7">
        <v>7653.3263210958958</v>
      </c>
      <c r="F699" s="287">
        <v>0</v>
      </c>
      <c r="G699" s="145">
        <f t="shared" si="351"/>
        <v>7653.33</v>
      </c>
      <c r="H699" s="145">
        <f t="shared" si="352"/>
        <v>7653.33</v>
      </c>
      <c r="I699" s="146">
        <f t="shared" si="353"/>
        <v>0</v>
      </c>
      <c r="J699" s="7">
        <f t="shared" si="354"/>
        <v>7653.33</v>
      </c>
      <c r="K699" s="289"/>
    </row>
    <row r="700" spans="2:11" outlineLevel="1">
      <c r="B700" s="303" t="s">
        <v>2481</v>
      </c>
      <c r="C700" s="302" t="s">
        <v>121</v>
      </c>
      <c r="D700" s="351">
        <v>2</v>
      </c>
      <c r="E700" s="7">
        <v>1795.6227970068271</v>
      </c>
      <c r="F700" s="287">
        <v>0</v>
      </c>
      <c r="G700" s="145">
        <f t="shared" si="351"/>
        <v>1795.62</v>
      </c>
      <c r="H700" s="145">
        <f t="shared" si="352"/>
        <v>3591.25</v>
      </c>
      <c r="I700" s="146">
        <f t="shared" si="353"/>
        <v>0</v>
      </c>
      <c r="J700" s="7">
        <f t="shared" si="354"/>
        <v>3591.25</v>
      </c>
      <c r="K700" s="289"/>
    </row>
    <row r="701" spans="2:11" outlineLevel="1">
      <c r="B701" s="303" t="s">
        <v>2482</v>
      </c>
      <c r="C701" s="302" t="s">
        <v>121</v>
      </c>
      <c r="D701" s="351">
        <v>1</v>
      </c>
      <c r="E701" s="7">
        <v>1741.8616354197964</v>
      </c>
      <c r="F701" s="287">
        <v>0</v>
      </c>
      <c r="G701" s="145">
        <f t="shared" si="351"/>
        <v>1741.86</v>
      </c>
      <c r="H701" s="145">
        <f t="shared" si="352"/>
        <v>1741.86</v>
      </c>
      <c r="I701" s="146">
        <f t="shared" si="353"/>
        <v>0</v>
      </c>
      <c r="J701" s="7">
        <f t="shared" si="354"/>
        <v>1741.86</v>
      </c>
      <c r="K701" s="289"/>
    </row>
    <row r="702" spans="2:11" outlineLevel="1">
      <c r="B702" s="303" t="s">
        <v>2483</v>
      </c>
      <c r="C702" s="302" t="s">
        <v>121</v>
      </c>
      <c r="D702" s="351">
        <v>1</v>
      </c>
      <c r="E702" s="7">
        <v>2154.4811106555708</v>
      </c>
      <c r="F702" s="287">
        <v>0</v>
      </c>
      <c r="G702" s="145">
        <f t="shared" si="351"/>
        <v>2154.48</v>
      </c>
      <c r="H702" s="145">
        <f t="shared" si="352"/>
        <v>2154.48</v>
      </c>
      <c r="I702" s="146">
        <f t="shared" si="353"/>
        <v>0</v>
      </c>
      <c r="J702" s="7">
        <f t="shared" si="354"/>
        <v>2154.48</v>
      </c>
      <c r="K702" s="289"/>
    </row>
    <row r="703" spans="2:11" outlineLevel="1">
      <c r="B703" s="303" t="s">
        <v>2484</v>
      </c>
      <c r="C703" s="302" t="s">
        <v>121</v>
      </c>
      <c r="D703" s="351">
        <v>1</v>
      </c>
      <c r="E703" s="7">
        <v>2464.9543788759875</v>
      </c>
      <c r="F703" s="287">
        <v>0</v>
      </c>
      <c r="G703" s="145">
        <f t="shared" si="351"/>
        <v>2464.9499999999998</v>
      </c>
      <c r="H703" s="145">
        <f t="shared" si="352"/>
        <v>2464.9499999999998</v>
      </c>
      <c r="I703" s="146">
        <f t="shared" si="353"/>
        <v>0</v>
      </c>
      <c r="J703" s="7">
        <f t="shared" si="354"/>
        <v>2464.9499999999998</v>
      </c>
      <c r="K703" s="289"/>
    </row>
    <row r="704" spans="2:11" outlineLevel="1">
      <c r="B704" s="303" t="s">
        <v>2485</v>
      </c>
      <c r="C704" s="302" t="s">
        <v>121</v>
      </c>
      <c r="D704" s="351">
        <v>1</v>
      </c>
      <c r="E704" s="7">
        <v>752.65626221843047</v>
      </c>
      <c r="F704" s="287">
        <v>0</v>
      </c>
      <c r="G704" s="145">
        <f t="shared" si="351"/>
        <v>752.66</v>
      </c>
      <c r="H704" s="145">
        <f t="shared" si="352"/>
        <v>752.66</v>
      </c>
      <c r="I704" s="146">
        <f t="shared" si="353"/>
        <v>0</v>
      </c>
      <c r="J704" s="7">
        <f t="shared" si="354"/>
        <v>752.66</v>
      </c>
      <c r="K704" s="289"/>
    </row>
    <row r="705" spans="2:11" outlineLevel="1">
      <c r="B705" s="303" t="s">
        <v>2486</v>
      </c>
      <c r="C705" s="302" t="s">
        <v>121</v>
      </c>
      <c r="D705" s="351">
        <v>0</v>
      </c>
      <c r="E705" s="7">
        <v>7212.4131145334613</v>
      </c>
      <c r="F705" s="287">
        <v>0</v>
      </c>
      <c r="G705" s="145">
        <f t="shared" si="351"/>
        <v>7212.41</v>
      </c>
      <c r="H705" s="145">
        <f t="shared" si="352"/>
        <v>0</v>
      </c>
      <c r="I705" s="146">
        <f t="shared" si="353"/>
        <v>0</v>
      </c>
      <c r="J705" s="7">
        <f t="shared" si="354"/>
        <v>0</v>
      </c>
      <c r="K705" s="289"/>
    </row>
    <row r="706" spans="2:11" outlineLevel="1">
      <c r="B706" s="303" t="s">
        <v>2487</v>
      </c>
      <c r="C706" s="302" t="s">
        <v>121</v>
      </c>
      <c r="D706" s="351">
        <v>0</v>
      </c>
      <c r="E706" s="7">
        <v>7878.17085918474</v>
      </c>
      <c r="F706" s="287">
        <v>0</v>
      </c>
      <c r="G706" s="145">
        <f t="shared" si="351"/>
        <v>7878.17</v>
      </c>
      <c r="H706" s="145">
        <f t="shared" si="352"/>
        <v>0</v>
      </c>
      <c r="I706" s="146">
        <f t="shared" si="353"/>
        <v>0</v>
      </c>
      <c r="J706" s="7">
        <f t="shared" si="354"/>
        <v>0</v>
      </c>
      <c r="K706" s="289"/>
    </row>
    <row r="707" spans="2:11" outlineLevel="1">
      <c r="B707" s="303" t="s">
        <v>2488</v>
      </c>
      <c r="C707" s="302" t="s">
        <v>121</v>
      </c>
      <c r="D707" s="351">
        <v>0</v>
      </c>
      <c r="E707" s="7">
        <v>8063.1092550441263</v>
      </c>
      <c r="F707" s="287">
        <v>0</v>
      </c>
      <c r="G707" s="145">
        <f t="shared" si="351"/>
        <v>8063.11</v>
      </c>
      <c r="H707" s="145">
        <f t="shared" si="352"/>
        <v>0</v>
      </c>
      <c r="I707" s="146">
        <f t="shared" si="353"/>
        <v>0</v>
      </c>
      <c r="J707" s="7">
        <f t="shared" si="354"/>
        <v>0</v>
      </c>
      <c r="K707" s="289"/>
    </row>
    <row r="708" spans="2:11" outlineLevel="1">
      <c r="B708" s="303" t="s">
        <v>2489</v>
      </c>
      <c r="C708" s="302" t="s">
        <v>121</v>
      </c>
      <c r="D708" s="351">
        <v>0</v>
      </c>
      <c r="E708" s="7">
        <v>10097.380408391096</v>
      </c>
      <c r="F708" s="287">
        <v>0</v>
      </c>
      <c r="G708" s="145">
        <f t="shared" si="351"/>
        <v>10097.379999999999</v>
      </c>
      <c r="H708" s="145">
        <f t="shared" si="352"/>
        <v>0</v>
      </c>
      <c r="I708" s="146">
        <f t="shared" si="353"/>
        <v>0</v>
      </c>
      <c r="J708" s="7">
        <f t="shared" si="354"/>
        <v>0</v>
      </c>
      <c r="K708" s="289"/>
    </row>
    <row r="709" spans="2:11" outlineLevel="1">
      <c r="B709" s="303" t="s">
        <v>2490</v>
      </c>
      <c r="C709" s="302" t="s">
        <v>121</v>
      </c>
      <c r="D709" s="351">
        <v>0</v>
      </c>
      <c r="E709" s="7">
        <v>8773.8932525522014</v>
      </c>
      <c r="F709" s="287">
        <v>0</v>
      </c>
      <c r="G709" s="145">
        <f t="shared" si="351"/>
        <v>8773.89</v>
      </c>
      <c r="H709" s="145">
        <f t="shared" si="352"/>
        <v>0</v>
      </c>
      <c r="I709" s="146">
        <f t="shared" si="353"/>
        <v>0</v>
      </c>
      <c r="J709" s="7">
        <f t="shared" si="354"/>
        <v>0</v>
      </c>
      <c r="K709" s="289"/>
    </row>
    <row r="710" spans="2:11" outlineLevel="1">
      <c r="B710" s="303" t="s">
        <v>2491</v>
      </c>
      <c r="C710" s="302" t="s">
        <v>121</v>
      </c>
      <c r="D710" s="351">
        <v>0</v>
      </c>
      <c r="E710" s="7">
        <v>8839.8300372110371</v>
      </c>
      <c r="F710" s="287">
        <v>0</v>
      </c>
      <c r="G710" s="145">
        <f t="shared" si="351"/>
        <v>8839.83</v>
      </c>
      <c r="H710" s="145">
        <f t="shared" si="352"/>
        <v>0</v>
      </c>
      <c r="I710" s="146">
        <f t="shared" si="353"/>
        <v>0</v>
      </c>
      <c r="J710" s="7">
        <f t="shared" si="354"/>
        <v>0</v>
      </c>
      <c r="K710" s="289"/>
    </row>
    <row r="711" spans="2:11" outlineLevel="1">
      <c r="B711" s="303" t="s">
        <v>2492</v>
      </c>
      <c r="C711" s="302" t="s">
        <v>121</v>
      </c>
      <c r="D711" s="351">
        <v>0</v>
      </c>
      <c r="E711" s="7">
        <v>8174.0722925597574</v>
      </c>
      <c r="F711" s="287">
        <v>0</v>
      </c>
      <c r="G711" s="145">
        <f t="shared" si="351"/>
        <v>8174.07</v>
      </c>
      <c r="H711" s="145">
        <f t="shared" si="352"/>
        <v>0</v>
      </c>
      <c r="I711" s="146">
        <f t="shared" si="353"/>
        <v>0</v>
      </c>
      <c r="J711" s="7">
        <f t="shared" si="354"/>
        <v>0</v>
      </c>
      <c r="K711" s="289"/>
    </row>
    <row r="712" spans="2:11" outlineLevel="1">
      <c r="B712" s="303" t="s">
        <v>2493</v>
      </c>
      <c r="C712" s="302" t="s">
        <v>121</v>
      </c>
      <c r="D712" s="351">
        <v>0</v>
      </c>
      <c r="E712" s="7">
        <v>4373.2810510117397</v>
      </c>
      <c r="F712" s="287">
        <v>0</v>
      </c>
      <c r="G712" s="145">
        <f t="shared" si="351"/>
        <v>4373.28</v>
      </c>
      <c r="H712" s="145">
        <f t="shared" si="352"/>
        <v>0</v>
      </c>
      <c r="I712" s="146">
        <f t="shared" si="353"/>
        <v>0</v>
      </c>
      <c r="J712" s="7">
        <f t="shared" si="354"/>
        <v>0</v>
      </c>
      <c r="K712" s="289"/>
    </row>
    <row r="713" spans="2:11" outlineLevel="1">
      <c r="B713" s="303" t="s">
        <v>2494</v>
      </c>
      <c r="C713" s="302" t="s">
        <v>121</v>
      </c>
      <c r="D713" s="351">
        <v>0</v>
      </c>
      <c r="E713" s="7">
        <v>2583.4439790138031</v>
      </c>
      <c r="F713" s="287">
        <v>0</v>
      </c>
      <c r="G713" s="145">
        <f t="shared" si="351"/>
        <v>2583.44</v>
      </c>
      <c r="H713" s="145">
        <f t="shared" si="352"/>
        <v>0</v>
      </c>
      <c r="I713" s="146">
        <f t="shared" si="353"/>
        <v>0</v>
      </c>
      <c r="J713" s="7">
        <f t="shared" si="354"/>
        <v>0</v>
      </c>
      <c r="K713" s="289"/>
    </row>
    <row r="714" spans="2:11" outlineLevel="1">
      <c r="B714" s="303" t="s">
        <v>2495</v>
      </c>
      <c r="C714" s="302" t="s">
        <v>121</v>
      </c>
      <c r="D714" s="351">
        <v>0</v>
      </c>
      <c r="E714" s="7">
        <v>9135.7212303647993</v>
      </c>
      <c r="F714" s="287">
        <v>0</v>
      </c>
      <c r="G714" s="145">
        <f t="shared" si="351"/>
        <v>9135.7199999999993</v>
      </c>
      <c r="H714" s="145">
        <f t="shared" si="352"/>
        <v>0</v>
      </c>
      <c r="I714" s="146">
        <f t="shared" si="353"/>
        <v>0</v>
      </c>
      <c r="J714" s="7">
        <f t="shared" si="354"/>
        <v>0</v>
      </c>
      <c r="K714" s="289"/>
    </row>
    <row r="715" spans="2:11" outlineLevel="1">
      <c r="B715" s="303" t="s">
        <v>2496</v>
      </c>
      <c r="C715" s="302" t="s">
        <v>121</v>
      </c>
      <c r="D715" s="351">
        <v>0</v>
      </c>
      <c r="E715" s="7">
        <v>2780.4351152899385</v>
      </c>
      <c r="F715" s="287">
        <v>0</v>
      </c>
      <c r="G715" s="145">
        <f t="shared" si="351"/>
        <v>2780.44</v>
      </c>
      <c r="H715" s="145">
        <f t="shared" si="352"/>
        <v>0</v>
      </c>
      <c r="I715" s="146">
        <f t="shared" si="353"/>
        <v>0</v>
      </c>
      <c r="J715" s="7">
        <f t="shared" si="354"/>
        <v>0</v>
      </c>
      <c r="K715" s="289"/>
    </row>
    <row r="716" spans="2:11" outlineLevel="1">
      <c r="B716" s="303" t="s">
        <v>2497</v>
      </c>
      <c r="C716" s="302" t="s">
        <v>121</v>
      </c>
      <c r="D716" s="351">
        <v>0</v>
      </c>
      <c r="E716" s="7">
        <v>6158.2949787987263</v>
      </c>
      <c r="F716" s="287">
        <v>0</v>
      </c>
      <c r="G716" s="145">
        <f t="shared" si="351"/>
        <v>6158.29</v>
      </c>
      <c r="H716" s="145">
        <f t="shared" si="352"/>
        <v>0</v>
      </c>
      <c r="I716" s="146">
        <f t="shared" si="353"/>
        <v>0</v>
      </c>
      <c r="J716" s="7">
        <f t="shared" si="354"/>
        <v>0</v>
      </c>
      <c r="K716" s="289"/>
    </row>
    <row r="717" spans="2:11" outlineLevel="1">
      <c r="B717" s="303" t="s">
        <v>2498</v>
      </c>
      <c r="C717" s="302" t="s">
        <v>121</v>
      </c>
      <c r="D717" s="351">
        <v>0</v>
      </c>
      <c r="E717" s="7">
        <v>4109.5441525976494</v>
      </c>
      <c r="F717" s="287">
        <v>0</v>
      </c>
      <c r="G717" s="145">
        <f t="shared" si="351"/>
        <v>4109.54</v>
      </c>
      <c r="H717" s="145">
        <f t="shared" si="352"/>
        <v>0</v>
      </c>
      <c r="I717" s="146">
        <f t="shared" si="353"/>
        <v>0</v>
      </c>
      <c r="J717" s="7">
        <f t="shared" si="354"/>
        <v>0</v>
      </c>
      <c r="K717" s="289"/>
    </row>
    <row r="718" spans="2:11" outlineLevel="1">
      <c r="B718" s="303" t="s">
        <v>2499</v>
      </c>
      <c r="C718" s="302" t="s">
        <v>121</v>
      </c>
      <c r="D718" s="351">
        <v>0</v>
      </c>
      <c r="E718" s="7">
        <v>2060.0048293599621</v>
      </c>
      <c r="F718" s="287">
        <v>0</v>
      </c>
      <c r="G718" s="145">
        <f t="shared" si="351"/>
        <v>2060</v>
      </c>
      <c r="H718" s="145">
        <f t="shared" si="352"/>
        <v>0</v>
      </c>
      <c r="I718" s="146">
        <f t="shared" si="353"/>
        <v>0</v>
      </c>
      <c r="J718" s="7">
        <f t="shared" si="354"/>
        <v>0</v>
      </c>
      <c r="K718" s="289"/>
    </row>
    <row r="719" spans="2:11" outlineLevel="1">
      <c r="B719" s="303" t="s">
        <v>2500</v>
      </c>
      <c r="C719" s="302" t="s">
        <v>121</v>
      </c>
      <c r="D719" s="351">
        <v>0</v>
      </c>
      <c r="E719" s="7">
        <v>6450.1617649994032</v>
      </c>
      <c r="F719" s="287">
        <v>0</v>
      </c>
      <c r="G719" s="145">
        <f t="shared" si="351"/>
        <v>6450.16</v>
      </c>
      <c r="H719" s="145">
        <f t="shared" si="352"/>
        <v>0</v>
      </c>
      <c r="I719" s="146">
        <f t="shared" si="353"/>
        <v>0</v>
      </c>
      <c r="J719" s="7">
        <f t="shared" si="354"/>
        <v>0</v>
      </c>
      <c r="K719" s="289"/>
    </row>
    <row r="720" spans="2:11" outlineLevel="1">
      <c r="B720" s="303" t="s">
        <v>2501</v>
      </c>
      <c r="C720" s="302" t="s">
        <v>121</v>
      </c>
      <c r="D720" s="351">
        <v>0</v>
      </c>
      <c r="E720" s="7">
        <v>5487.7038497152416</v>
      </c>
      <c r="F720" s="287">
        <v>0</v>
      </c>
      <c r="G720" s="145">
        <f t="shared" si="351"/>
        <v>5487.7</v>
      </c>
      <c r="H720" s="145">
        <f t="shared" si="352"/>
        <v>0</v>
      </c>
      <c r="I720" s="146">
        <f t="shared" si="353"/>
        <v>0</v>
      </c>
      <c r="J720" s="7">
        <f t="shared" si="354"/>
        <v>0</v>
      </c>
      <c r="K720" s="289"/>
    </row>
    <row r="721" spans="2:11" outlineLevel="1">
      <c r="B721" s="303" t="s">
        <v>2502</v>
      </c>
      <c r="C721" s="302" t="s">
        <v>121</v>
      </c>
      <c r="D721" s="351">
        <v>0</v>
      </c>
      <c r="E721" s="7">
        <v>5012.6907063747476</v>
      </c>
      <c r="F721" s="287">
        <v>0</v>
      </c>
      <c r="G721" s="145">
        <f t="shared" si="351"/>
        <v>5012.6899999999996</v>
      </c>
      <c r="H721" s="145">
        <f t="shared" si="352"/>
        <v>0</v>
      </c>
      <c r="I721" s="146">
        <f t="shared" si="353"/>
        <v>0</v>
      </c>
      <c r="J721" s="7">
        <f t="shared" si="354"/>
        <v>0</v>
      </c>
      <c r="K721" s="289"/>
    </row>
    <row r="722" spans="2:11" outlineLevel="1">
      <c r="B722" s="303" t="s">
        <v>2503</v>
      </c>
      <c r="C722" s="302" t="s">
        <v>121</v>
      </c>
      <c r="D722" s="351">
        <v>1</v>
      </c>
      <c r="E722" s="7">
        <v>4833.6711584005616</v>
      </c>
      <c r="F722" s="287">
        <v>0</v>
      </c>
      <c r="G722" s="145">
        <f t="shared" si="351"/>
        <v>4833.67</v>
      </c>
      <c r="H722" s="145">
        <f t="shared" si="352"/>
        <v>4833.67</v>
      </c>
      <c r="I722" s="146">
        <f t="shared" si="353"/>
        <v>0</v>
      </c>
      <c r="J722" s="7">
        <f t="shared" si="354"/>
        <v>4833.67</v>
      </c>
      <c r="K722" s="289"/>
    </row>
    <row r="723" spans="2:11" outlineLevel="1">
      <c r="B723" s="303" t="s">
        <v>2504</v>
      </c>
      <c r="C723" s="302" t="s">
        <v>121</v>
      </c>
      <c r="D723" s="351">
        <v>1</v>
      </c>
      <c r="E723" s="7">
        <v>6747.0257791723589</v>
      </c>
      <c r="F723" s="287">
        <v>0</v>
      </c>
      <c r="G723" s="145">
        <f t="shared" si="351"/>
        <v>6747.03</v>
      </c>
      <c r="H723" s="145">
        <f t="shared" si="352"/>
        <v>6747.03</v>
      </c>
      <c r="I723" s="146">
        <f t="shared" si="353"/>
        <v>0</v>
      </c>
      <c r="J723" s="7">
        <f t="shared" si="354"/>
        <v>6747.03</v>
      </c>
      <c r="K723" s="289"/>
    </row>
    <row r="724" spans="2:11" outlineLevel="1">
      <c r="B724" s="303" t="s">
        <v>2505</v>
      </c>
      <c r="C724" s="302" t="s">
        <v>121</v>
      </c>
      <c r="D724" s="351">
        <v>2</v>
      </c>
      <c r="E724" s="7">
        <v>3229.5046580817198</v>
      </c>
      <c r="F724" s="287">
        <v>0</v>
      </c>
      <c r="G724" s="145">
        <f t="shared" si="351"/>
        <v>3229.5</v>
      </c>
      <c r="H724" s="145">
        <f t="shared" si="352"/>
        <v>6459.01</v>
      </c>
      <c r="I724" s="146">
        <f t="shared" si="353"/>
        <v>0</v>
      </c>
      <c r="J724" s="7">
        <f t="shared" si="354"/>
        <v>6459.01</v>
      </c>
      <c r="K724" s="289"/>
    </row>
    <row r="725" spans="2:11" outlineLevel="1">
      <c r="B725" s="349" t="s">
        <v>615</v>
      </c>
      <c r="C725" s="302"/>
      <c r="D725" s="351"/>
      <c r="E725" s="7">
        <v>0</v>
      </c>
      <c r="F725" s="287" t="s">
        <v>27</v>
      </c>
      <c r="G725" s="145"/>
      <c r="H725" s="145"/>
      <c r="I725" s="146"/>
      <c r="J725" s="7">
        <f t="shared" si="319"/>
        <v>0</v>
      </c>
      <c r="K725" s="289"/>
    </row>
    <row r="726" spans="2:11" outlineLevel="1">
      <c r="B726" s="303" t="s">
        <v>2506</v>
      </c>
      <c r="C726" s="302" t="s">
        <v>121</v>
      </c>
      <c r="D726" s="351">
        <v>25</v>
      </c>
      <c r="E726" s="7">
        <v>1470.6506555174512</v>
      </c>
      <c r="F726" s="287">
        <v>0</v>
      </c>
      <c r="G726" s="145">
        <f t="shared" ref="G726:G729" si="355">+ROUND(E726+F726*TC,2)</f>
        <v>1470.65</v>
      </c>
      <c r="H726" s="145">
        <f t="shared" ref="H726:H729" si="356">+ROUND(D726*E726,2)</f>
        <v>36766.269999999997</v>
      </c>
      <c r="I726" s="146">
        <f t="shared" ref="I726:I729" si="357">+ROUND(D726*F726,2)</f>
        <v>0</v>
      </c>
      <c r="J726" s="7">
        <f t="shared" ref="J726:J811" si="358">+ROUND(H726+I726*TC,2)</f>
        <v>36766.269999999997</v>
      </c>
      <c r="K726" s="289"/>
    </row>
    <row r="727" spans="2:11" outlineLevel="1">
      <c r="B727" s="303" t="s">
        <v>2507</v>
      </c>
      <c r="C727" s="302" t="s">
        <v>121</v>
      </c>
      <c r="D727" s="351">
        <v>0</v>
      </c>
      <c r="E727" s="7">
        <v>1923.7279649027803</v>
      </c>
      <c r="F727" s="287">
        <v>0</v>
      </c>
      <c r="G727" s="145">
        <f t="shared" si="355"/>
        <v>1923.73</v>
      </c>
      <c r="H727" s="145">
        <f t="shared" si="356"/>
        <v>0</v>
      </c>
      <c r="I727" s="146">
        <f t="shared" si="357"/>
        <v>0</v>
      </c>
      <c r="J727" s="7">
        <f t="shared" si="358"/>
        <v>0</v>
      </c>
      <c r="K727" s="289"/>
    </row>
    <row r="728" spans="2:11" outlineLevel="1">
      <c r="B728" s="303" t="s">
        <v>2508</v>
      </c>
      <c r="C728" s="302" t="s">
        <v>121</v>
      </c>
      <c r="D728" s="351">
        <v>1</v>
      </c>
      <c r="E728" s="7">
        <v>2451.0891192971608</v>
      </c>
      <c r="F728" s="287">
        <v>0</v>
      </c>
      <c r="G728" s="145">
        <f t="shared" si="355"/>
        <v>2451.09</v>
      </c>
      <c r="H728" s="145">
        <f t="shared" si="356"/>
        <v>2451.09</v>
      </c>
      <c r="I728" s="146">
        <f t="shared" si="357"/>
        <v>0</v>
      </c>
      <c r="J728" s="7">
        <f t="shared" si="358"/>
        <v>2451.09</v>
      </c>
      <c r="K728" s="289"/>
    </row>
    <row r="729" spans="2:11" outlineLevel="1">
      <c r="B729" s="303" t="s">
        <v>2509</v>
      </c>
      <c r="C729" s="302" t="s">
        <v>121</v>
      </c>
      <c r="D729" s="351">
        <v>1</v>
      </c>
      <c r="E729" s="7">
        <v>6664.7763220548295</v>
      </c>
      <c r="F729" s="287">
        <v>0</v>
      </c>
      <c r="G729" s="145">
        <f t="shared" si="355"/>
        <v>6664.78</v>
      </c>
      <c r="H729" s="145">
        <f t="shared" si="356"/>
        <v>6664.78</v>
      </c>
      <c r="I729" s="146">
        <f t="shared" si="357"/>
        <v>0</v>
      </c>
      <c r="J729" s="7">
        <f t="shared" si="358"/>
        <v>6664.78</v>
      </c>
      <c r="K729" s="289"/>
    </row>
    <row r="730" spans="2:11" outlineLevel="1">
      <c r="B730" s="303" t="s">
        <v>2510</v>
      </c>
      <c r="C730" s="302" t="s">
        <v>121</v>
      </c>
      <c r="D730" s="351">
        <v>4</v>
      </c>
      <c r="E730" s="7">
        <v>1465.6982285131603</v>
      </c>
      <c r="F730" s="287">
        <v>0</v>
      </c>
      <c r="G730" s="145">
        <f t="shared" ref="G730:G742" si="359">+ROUND(E730+F730*TC,2)</f>
        <v>1465.7</v>
      </c>
      <c r="H730" s="145">
        <f t="shared" ref="H730:H742" si="360">+ROUND(D730*E730,2)</f>
        <v>5862.79</v>
      </c>
      <c r="I730" s="146">
        <f t="shared" ref="I730:I742" si="361">+ROUND(D730*F730,2)</f>
        <v>0</v>
      </c>
      <c r="J730" s="7">
        <f t="shared" ref="J730:J742" si="362">+ROUND(H730+I730*TC,2)</f>
        <v>5862.79</v>
      </c>
      <c r="K730" s="289"/>
    </row>
    <row r="731" spans="2:11" outlineLevel="1">
      <c r="B731" s="303" t="s">
        <v>2511</v>
      </c>
      <c r="C731" s="302" t="s">
        <v>121</v>
      </c>
      <c r="D731" s="351">
        <v>9</v>
      </c>
      <c r="E731" s="7">
        <v>1832.1230416469816</v>
      </c>
      <c r="F731" s="287">
        <v>0</v>
      </c>
      <c r="G731" s="145">
        <f t="shared" si="359"/>
        <v>1832.12</v>
      </c>
      <c r="H731" s="145">
        <f t="shared" si="360"/>
        <v>16489.11</v>
      </c>
      <c r="I731" s="146">
        <f t="shared" si="361"/>
        <v>0</v>
      </c>
      <c r="J731" s="7">
        <f t="shared" si="362"/>
        <v>16489.11</v>
      </c>
      <c r="K731" s="289"/>
    </row>
    <row r="732" spans="2:11" outlineLevel="1">
      <c r="B732" s="303" t="s">
        <v>2512</v>
      </c>
      <c r="C732" s="302" t="s">
        <v>121</v>
      </c>
      <c r="D732" s="351">
        <v>1</v>
      </c>
      <c r="E732" s="7">
        <v>1960.3674765519986</v>
      </c>
      <c r="F732" s="287">
        <v>0</v>
      </c>
      <c r="G732" s="145">
        <f t="shared" si="359"/>
        <v>1960.37</v>
      </c>
      <c r="H732" s="145">
        <f t="shared" si="360"/>
        <v>1960.37</v>
      </c>
      <c r="I732" s="146">
        <f t="shared" si="361"/>
        <v>0</v>
      </c>
      <c r="J732" s="7">
        <f t="shared" si="362"/>
        <v>1960.37</v>
      </c>
      <c r="K732" s="289"/>
    </row>
    <row r="733" spans="2:11" outlineLevel="1">
      <c r="B733" s="303" t="s">
        <v>2513</v>
      </c>
      <c r="C733" s="302" t="s">
        <v>121</v>
      </c>
      <c r="D733" s="351">
        <v>0</v>
      </c>
      <c r="E733" s="7">
        <v>2015.3369842470806</v>
      </c>
      <c r="F733" s="287">
        <v>0</v>
      </c>
      <c r="G733" s="145">
        <f t="shared" si="359"/>
        <v>2015.34</v>
      </c>
      <c r="H733" s="145">
        <f t="shared" si="360"/>
        <v>0</v>
      </c>
      <c r="I733" s="146">
        <f t="shared" si="361"/>
        <v>0</v>
      </c>
      <c r="J733" s="7">
        <f t="shared" si="362"/>
        <v>0</v>
      </c>
      <c r="K733" s="289"/>
    </row>
    <row r="734" spans="2:11" outlineLevel="1">
      <c r="B734" s="303" t="s">
        <v>2514</v>
      </c>
      <c r="C734" s="302" t="s">
        <v>121</v>
      </c>
      <c r="D734" s="351">
        <v>0</v>
      </c>
      <c r="E734" s="7">
        <v>7926.658306825615</v>
      </c>
      <c r="F734" s="287">
        <v>0</v>
      </c>
      <c r="G734" s="145">
        <f t="shared" si="359"/>
        <v>7926.66</v>
      </c>
      <c r="H734" s="145">
        <f t="shared" si="360"/>
        <v>0</v>
      </c>
      <c r="I734" s="146">
        <f t="shared" si="361"/>
        <v>0</v>
      </c>
      <c r="J734" s="7">
        <f t="shared" si="362"/>
        <v>0</v>
      </c>
      <c r="K734" s="289"/>
    </row>
    <row r="735" spans="2:11" outlineLevel="1">
      <c r="B735" s="303" t="s">
        <v>2515</v>
      </c>
      <c r="C735" s="302" t="s">
        <v>121</v>
      </c>
      <c r="D735" s="351">
        <v>0</v>
      </c>
      <c r="E735" s="7">
        <v>5801.392547409625</v>
      </c>
      <c r="F735" s="287">
        <v>0</v>
      </c>
      <c r="G735" s="145">
        <f t="shared" si="359"/>
        <v>5801.39</v>
      </c>
      <c r="H735" s="145">
        <f t="shared" si="360"/>
        <v>0</v>
      </c>
      <c r="I735" s="146">
        <f t="shared" si="361"/>
        <v>0</v>
      </c>
      <c r="J735" s="7">
        <f t="shared" si="362"/>
        <v>0</v>
      </c>
      <c r="K735" s="289"/>
    </row>
    <row r="736" spans="2:11" outlineLevel="1">
      <c r="B736" s="303" t="s">
        <v>2516</v>
      </c>
      <c r="C736" s="302" t="s">
        <v>121</v>
      </c>
      <c r="D736" s="351">
        <v>0</v>
      </c>
      <c r="E736" s="7">
        <v>4297.5648550546912</v>
      </c>
      <c r="F736" s="287">
        <v>0</v>
      </c>
      <c r="G736" s="145">
        <f t="shared" si="359"/>
        <v>4297.5600000000004</v>
      </c>
      <c r="H736" s="145">
        <f t="shared" si="360"/>
        <v>0</v>
      </c>
      <c r="I736" s="146">
        <f t="shared" si="361"/>
        <v>0</v>
      </c>
      <c r="J736" s="7">
        <f t="shared" si="362"/>
        <v>0</v>
      </c>
      <c r="K736" s="289"/>
    </row>
    <row r="737" spans="2:11" outlineLevel="1">
      <c r="B737" s="303" t="s">
        <v>2517</v>
      </c>
      <c r="C737" s="302" t="s">
        <v>121</v>
      </c>
      <c r="D737" s="351">
        <v>0</v>
      </c>
      <c r="E737" s="7">
        <v>5947.9608342277525</v>
      </c>
      <c r="F737" s="287">
        <v>0</v>
      </c>
      <c r="G737" s="145">
        <f t="shared" si="359"/>
        <v>5947.96</v>
      </c>
      <c r="H737" s="145">
        <f t="shared" si="360"/>
        <v>0</v>
      </c>
      <c r="I737" s="146">
        <f t="shared" si="361"/>
        <v>0</v>
      </c>
      <c r="J737" s="7">
        <f t="shared" si="362"/>
        <v>0</v>
      </c>
      <c r="K737" s="289"/>
    </row>
    <row r="738" spans="2:11" outlineLevel="1">
      <c r="B738" s="303" t="s">
        <v>2518</v>
      </c>
      <c r="C738" s="302" t="s">
        <v>121</v>
      </c>
      <c r="D738" s="351">
        <v>0</v>
      </c>
      <c r="E738" s="7">
        <v>8640.6884544714212</v>
      </c>
      <c r="F738" s="287">
        <v>0</v>
      </c>
      <c r="G738" s="145">
        <f t="shared" si="359"/>
        <v>8640.69</v>
      </c>
      <c r="H738" s="145">
        <f t="shared" si="360"/>
        <v>0</v>
      </c>
      <c r="I738" s="146">
        <f t="shared" si="361"/>
        <v>0</v>
      </c>
      <c r="J738" s="7">
        <f t="shared" si="362"/>
        <v>0</v>
      </c>
      <c r="K738" s="289"/>
    </row>
    <row r="739" spans="2:11" outlineLevel="1">
      <c r="B739" s="303" t="s">
        <v>2519</v>
      </c>
      <c r="C739" s="302" t="s">
        <v>121</v>
      </c>
      <c r="D739" s="351">
        <v>0</v>
      </c>
      <c r="E739" s="7">
        <v>2483.7656653208205</v>
      </c>
      <c r="F739" s="287">
        <v>0</v>
      </c>
      <c r="G739" s="145">
        <f t="shared" si="359"/>
        <v>2483.77</v>
      </c>
      <c r="H739" s="145">
        <f t="shared" si="360"/>
        <v>0</v>
      </c>
      <c r="I739" s="146">
        <f t="shared" si="361"/>
        <v>0</v>
      </c>
      <c r="J739" s="7">
        <f t="shared" si="362"/>
        <v>0</v>
      </c>
      <c r="K739" s="289"/>
    </row>
    <row r="740" spans="2:11" outlineLevel="1">
      <c r="B740" s="303" t="s">
        <v>2520</v>
      </c>
      <c r="C740" s="302" t="s">
        <v>121</v>
      </c>
      <c r="D740" s="351">
        <v>0</v>
      </c>
      <c r="E740" s="7">
        <v>3083.9143123934132</v>
      </c>
      <c r="F740" s="287">
        <v>0</v>
      </c>
      <c r="G740" s="145">
        <f t="shared" si="359"/>
        <v>3083.91</v>
      </c>
      <c r="H740" s="145">
        <f t="shared" si="360"/>
        <v>0</v>
      </c>
      <c r="I740" s="146">
        <f t="shared" si="361"/>
        <v>0</v>
      </c>
      <c r="J740" s="7">
        <f t="shared" si="362"/>
        <v>0</v>
      </c>
      <c r="K740" s="289"/>
    </row>
    <row r="741" spans="2:11" outlineLevel="1">
      <c r="B741" s="303" t="s">
        <v>2521</v>
      </c>
      <c r="C741" s="302" t="s">
        <v>121</v>
      </c>
      <c r="D741" s="351">
        <v>0</v>
      </c>
      <c r="E741" s="7">
        <v>9606.7611678584817</v>
      </c>
      <c r="F741" s="287">
        <v>0</v>
      </c>
      <c r="G741" s="145">
        <f t="shared" si="359"/>
        <v>9606.76</v>
      </c>
      <c r="H741" s="145">
        <f t="shared" si="360"/>
        <v>0</v>
      </c>
      <c r="I741" s="146">
        <f t="shared" si="361"/>
        <v>0</v>
      </c>
      <c r="J741" s="7">
        <f t="shared" si="362"/>
        <v>0</v>
      </c>
      <c r="K741" s="289"/>
    </row>
    <row r="742" spans="2:11" outlineLevel="1">
      <c r="B742" s="303" t="s">
        <v>2522</v>
      </c>
      <c r="C742" s="302" t="s">
        <v>121</v>
      </c>
      <c r="D742" s="351">
        <v>0</v>
      </c>
      <c r="E742" s="7">
        <v>5250.2740797044034</v>
      </c>
      <c r="F742" s="287">
        <v>0</v>
      </c>
      <c r="G742" s="145">
        <f t="shared" si="359"/>
        <v>5250.27</v>
      </c>
      <c r="H742" s="145">
        <f t="shared" si="360"/>
        <v>0</v>
      </c>
      <c r="I742" s="146">
        <f t="shared" si="361"/>
        <v>0</v>
      </c>
      <c r="J742" s="7">
        <f t="shared" si="362"/>
        <v>0</v>
      </c>
      <c r="K742" s="289"/>
    </row>
    <row r="743" spans="2:11" outlineLevel="1">
      <c r="B743" s="349" t="s">
        <v>616</v>
      </c>
      <c r="C743" s="285"/>
      <c r="D743" s="286"/>
      <c r="E743" s="7">
        <v>0</v>
      </c>
      <c r="F743" s="287" t="s">
        <v>27</v>
      </c>
      <c r="G743" s="145"/>
      <c r="H743" s="145"/>
      <c r="I743" s="146"/>
      <c r="J743" s="7"/>
      <c r="K743" s="276"/>
    </row>
    <row r="744" spans="2:11" outlineLevel="1">
      <c r="B744" s="303" t="s">
        <v>617</v>
      </c>
      <c r="C744" s="302" t="s">
        <v>121</v>
      </c>
      <c r="D744" s="286">
        <v>1</v>
      </c>
      <c r="E744" s="7">
        <v>16336.14304580904</v>
      </c>
      <c r="F744" s="287">
        <v>0</v>
      </c>
      <c r="G744" s="145">
        <f t="shared" ref="G744:G749" si="363">+ROUND(E744+F744*TC,2)</f>
        <v>16336.14</v>
      </c>
      <c r="H744" s="145">
        <f t="shared" ref="H744:H749" si="364">+ROUND(D744*E744,2)</f>
        <v>16336.14</v>
      </c>
      <c r="I744" s="146">
        <f t="shared" ref="I744:I749" si="365">+ROUND(D744*F744,2)</f>
        <v>0</v>
      </c>
      <c r="J744" s="7">
        <f t="shared" ref="J744:J749" si="366">+ROUND(H744+I744*TC,2)</f>
        <v>16336.14</v>
      </c>
      <c r="K744" s="276"/>
    </row>
    <row r="745" spans="2:11" outlineLevel="1">
      <c r="B745" s="303" t="s">
        <v>2523</v>
      </c>
      <c r="C745" s="302" t="s">
        <v>121</v>
      </c>
      <c r="D745" s="286">
        <v>1</v>
      </c>
      <c r="E745" s="7">
        <v>1694.7770980908119</v>
      </c>
      <c r="F745" s="287">
        <v>0</v>
      </c>
      <c r="G745" s="145">
        <f t="shared" si="363"/>
        <v>1694.78</v>
      </c>
      <c r="H745" s="145">
        <f t="shared" si="364"/>
        <v>1694.78</v>
      </c>
      <c r="I745" s="146">
        <f t="shared" si="365"/>
        <v>0</v>
      </c>
      <c r="J745" s="7">
        <f t="shared" si="366"/>
        <v>1694.78</v>
      </c>
      <c r="K745" s="276"/>
    </row>
    <row r="746" spans="2:11" outlineLevel="1">
      <c r="B746" s="303" t="s">
        <v>2524</v>
      </c>
      <c r="C746" s="302" t="s">
        <v>121</v>
      </c>
      <c r="D746" s="286">
        <v>1</v>
      </c>
      <c r="E746" s="7">
        <v>23034.179606499049</v>
      </c>
      <c r="F746" s="287">
        <v>0</v>
      </c>
      <c r="G746" s="145">
        <f t="shared" si="363"/>
        <v>23034.18</v>
      </c>
      <c r="H746" s="145">
        <f t="shared" si="364"/>
        <v>23034.18</v>
      </c>
      <c r="I746" s="146">
        <f t="shared" si="365"/>
        <v>0</v>
      </c>
      <c r="J746" s="7">
        <f t="shared" si="366"/>
        <v>23034.18</v>
      </c>
      <c r="K746" s="276"/>
    </row>
    <row r="747" spans="2:11" outlineLevel="1">
      <c r="B747" s="303" t="s">
        <v>2525</v>
      </c>
      <c r="C747" s="302" t="s">
        <v>121</v>
      </c>
      <c r="D747" s="286">
        <v>1</v>
      </c>
      <c r="E747" s="7">
        <v>11067.610651607554</v>
      </c>
      <c r="F747" s="287">
        <v>0</v>
      </c>
      <c r="G747" s="145">
        <f t="shared" si="363"/>
        <v>11067.61</v>
      </c>
      <c r="H747" s="145">
        <f t="shared" si="364"/>
        <v>11067.61</v>
      </c>
      <c r="I747" s="146">
        <f t="shared" si="365"/>
        <v>0</v>
      </c>
      <c r="J747" s="7">
        <f t="shared" si="366"/>
        <v>11067.61</v>
      </c>
      <c r="K747" s="276"/>
    </row>
    <row r="748" spans="2:11" outlineLevel="1">
      <c r="B748" s="303" t="s">
        <v>2526</v>
      </c>
      <c r="C748" s="302" t="s">
        <v>121</v>
      </c>
      <c r="D748" s="286">
        <v>1</v>
      </c>
      <c r="E748" s="7">
        <v>27330.065065267969</v>
      </c>
      <c r="F748" s="287">
        <v>0</v>
      </c>
      <c r="G748" s="145">
        <f t="shared" si="363"/>
        <v>27330.07</v>
      </c>
      <c r="H748" s="145">
        <f t="shared" si="364"/>
        <v>27330.07</v>
      </c>
      <c r="I748" s="146">
        <f t="shared" si="365"/>
        <v>0</v>
      </c>
      <c r="J748" s="7">
        <f t="shared" si="366"/>
        <v>27330.07</v>
      </c>
      <c r="K748" s="276"/>
    </row>
    <row r="749" spans="2:11" outlineLevel="1">
      <c r="B749" s="303" t="s">
        <v>2527</v>
      </c>
      <c r="C749" s="302" t="s">
        <v>121</v>
      </c>
      <c r="D749" s="286">
        <v>1</v>
      </c>
      <c r="E749" s="7">
        <v>17890.91583890597</v>
      </c>
      <c r="F749" s="287">
        <v>0</v>
      </c>
      <c r="G749" s="145">
        <f t="shared" si="363"/>
        <v>17890.919999999998</v>
      </c>
      <c r="H749" s="145">
        <f t="shared" si="364"/>
        <v>17890.919999999998</v>
      </c>
      <c r="I749" s="146">
        <f t="shared" si="365"/>
        <v>0</v>
      </c>
      <c r="J749" s="7">
        <f t="shared" si="366"/>
        <v>17890.919999999998</v>
      </c>
      <c r="K749" s="276"/>
    </row>
    <row r="750" spans="2:11" outlineLevel="1">
      <c r="B750" s="349" t="s">
        <v>618</v>
      </c>
      <c r="C750" s="285"/>
      <c r="D750" s="286"/>
      <c r="E750" s="7" t="s">
        <v>27</v>
      </c>
      <c r="F750" s="287" t="s">
        <v>27</v>
      </c>
      <c r="G750" s="145"/>
      <c r="H750" s="145"/>
      <c r="I750" s="146"/>
      <c r="J750" s="7">
        <f t="shared" si="358"/>
        <v>0</v>
      </c>
      <c r="K750" s="289"/>
    </row>
    <row r="751" spans="2:11" outlineLevel="1">
      <c r="B751" s="150" t="s">
        <v>619</v>
      </c>
      <c r="C751" s="285" t="s">
        <v>130</v>
      </c>
      <c r="D751" s="286">
        <v>1</v>
      </c>
      <c r="E751" s="7">
        <v>36925</v>
      </c>
      <c r="F751" s="287"/>
      <c r="G751" s="145">
        <f>+ROUND(E751+F751*TC,2)</f>
        <v>36925</v>
      </c>
      <c r="H751" s="145">
        <f t="shared" ref="H751:H849" si="367">+ROUND(D751*E751,2)</f>
        <v>36925</v>
      </c>
      <c r="I751" s="146">
        <f t="shared" ref="I751:I753" si="368">+ROUND(D751*F751,2)</f>
        <v>0</v>
      </c>
      <c r="J751" s="7">
        <f t="shared" si="358"/>
        <v>36925</v>
      </c>
      <c r="K751" s="276"/>
    </row>
    <row r="752" spans="2:11" outlineLevel="1">
      <c r="B752" s="349" t="s">
        <v>309</v>
      </c>
      <c r="C752" s="285"/>
      <c r="D752" s="286"/>
      <c r="E752" s="7" t="s">
        <v>27</v>
      </c>
      <c r="F752" s="287" t="s">
        <v>27</v>
      </c>
      <c r="G752" s="145"/>
      <c r="H752" s="145"/>
      <c r="I752" s="146"/>
      <c r="J752" s="7">
        <f t="shared" si="358"/>
        <v>0</v>
      </c>
      <c r="K752" s="289"/>
    </row>
    <row r="753" spans="2:11" outlineLevel="1">
      <c r="B753" s="150" t="s">
        <v>620</v>
      </c>
      <c r="C753" s="285" t="s">
        <v>130</v>
      </c>
      <c r="D753" s="286">
        <v>1</v>
      </c>
      <c r="E753" s="7">
        <v>29983.199999999997</v>
      </c>
      <c r="F753" s="287"/>
      <c r="G753" s="145">
        <f>+ROUND(E753+F753*TC,2)</f>
        <v>29983.200000000001</v>
      </c>
      <c r="H753" s="145">
        <f t="shared" si="367"/>
        <v>29983.200000000001</v>
      </c>
      <c r="I753" s="146">
        <f t="shared" si="368"/>
        <v>0</v>
      </c>
      <c r="J753" s="7">
        <f t="shared" si="358"/>
        <v>29983.200000000001</v>
      </c>
      <c r="K753" s="276"/>
    </row>
    <row r="754" spans="2:11" outlineLevel="1">
      <c r="B754" s="349" t="s">
        <v>621</v>
      </c>
      <c r="C754" s="285"/>
      <c r="D754" s="286"/>
      <c r="E754" s="7">
        <v>0</v>
      </c>
      <c r="F754" s="287" t="s">
        <v>27</v>
      </c>
      <c r="G754" s="145"/>
      <c r="H754" s="145"/>
      <c r="I754" s="146"/>
      <c r="J754" s="7">
        <f t="shared" ref="J754:J755" si="369">+ROUND(H754+I754*TC,2)</f>
        <v>0</v>
      </c>
      <c r="K754" s="276"/>
    </row>
    <row r="755" spans="2:11" outlineLevel="1">
      <c r="B755" s="303" t="s">
        <v>622</v>
      </c>
      <c r="C755" s="285" t="s">
        <v>82</v>
      </c>
      <c r="D755" s="286">
        <v>26.4</v>
      </c>
      <c r="E755" s="7"/>
      <c r="F755" s="287">
        <v>250</v>
      </c>
      <c r="G755" s="145">
        <f t="shared" ref="G755" si="370">+ROUND(E755+F755*TC,2)</f>
        <v>837.5</v>
      </c>
      <c r="H755" s="145">
        <f t="shared" ref="H755" si="371">+ROUND(D755*E755,2)</f>
        <v>0</v>
      </c>
      <c r="I755" s="146">
        <f t="shared" ref="I755" si="372">+ROUND(D755*F755,2)</f>
        <v>6600</v>
      </c>
      <c r="J755" s="7">
        <f t="shared" si="369"/>
        <v>22110</v>
      </c>
      <c r="K755" s="276"/>
    </row>
    <row r="756" spans="2:11" outlineLevel="1">
      <c r="B756" s="303" t="s">
        <v>623</v>
      </c>
      <c r="C756" s="285" t="s">
        <v>82</v>
      </c>
      <c r="D756" s="286">
        <v>27.44</v>
      </c>
      <c r="E756" s="7"/>
      <c r="F756" s="287">
        <v>250</v>
      </c>
      <c r="G756" s="145">
        <f t="shared" ref="G756" si="373">+ROUND(E756+F756*TC,2)</f>
        <v>837.5</v>
      </c>
      <c r="H756" s="145">
        <f t="shared" ref="H756" si="374">+ROUND(D756*E756,2)</f>
        <v>0</v>
      </c>
      <c r="I756" s="146">
        <f t="shared" ref="I756" si="375">+ROUND(D756*F756,2)</f>
        <v>6860</v>
      </c>
      <c r="J756" s="7">
        <f t="shared" ref="J756" si="376">+ROUND(H756+I756*TC,2)</f>
        <v>22981</v>
      </c>
      <c r="K756" s="276"/>
    </row>
    <row r="757" spans="2:11">
      <c r="B757" s="694" t="s">
        <v>624</v>
      </c>
      <c r="C757" s="285"/>
      <c r="D757" s="286"/>
      <c r="E757" s="7" t="s">
        <v>27</v>
      </c>
      <c r="F757" s="287" t="s">
        <v>27</v>
      </c>
      <c r="G757" s="145"/>
      <c r="H757" s="145"/>
      <c r="I757" s="146"/>
      <c r="J757" s="7">
        <f t="shared" si="358"/>
        <v>0</v>
      </c>
      <c r="K757" s="276">
        <f>SUM(H757:H761)+SUM(I757:I761)*TC</f>
        <v>442348.4</v>
      </c>
    </row>
    <row r="758" spans="2:11" outlineLevel="1">
      <c r="B758" s="349" t="s">
        <v>625</v>
      </c>
      <c r="C758" s="302"/>
      <c r="D758" s="368"/>
      <c r="E758" s="7" t="s">
        <v>27</v>
      </c>
      <c r="F758" s="287" t="s">
        <v>27</v>
      </c>
      <c r="G758" s="145"/>
      <c r="H758" s="145"/>
      <c r="I758" s="146"/>
      <c r="J758" s="7">
        <f t="shared" si="358"/>
        <v>0</v>
      </c>
      <c r="K758" s="276"/>
    </row>
    <row r="759" spans="2:11" outlineLevel="1">
      <c r="B759" s="722" t="s">
        <v>626</v>
      </c>
      <c r="C759" s="302" t="s">
        <v>141</v>
      </c>
      <c r="D759" s="351">
        <v>547.19000000000017</v>
      </c>
      <c r="E759" s="7">
        <v>520</v>
      </c>
      <c r="F759" s="287">
        <v>0</v>
      </c>
      <c r="G759" s="145">
        <f t="shared" ref="G759:G761" si="377">+ROUND(E759+F759*TC,2)</f>
        <v>520</v>
      </c>
      <c r="H759" s="145">
        <f t="shared" ref="H759:H761" si="378">+ROUND(D759*E759,2)</f>
        <v>284538.8</v>
      </c>
      <c r="I759" s="146">
        <f t="shared" ref="I759:I857" si="379">+ROUND(D759*F759,2)</f>
        <v>0</v>
      </c>
      <c r="J759" s="7">
        <f t="shared" si="358"/>
        <v>284538.8</v>
      </c>
      <c r="K759" s="276"/>
    </row>
    <row r="760" spans="2:11" outlineLevel="1">
      <c r="B760" s="349" t="s">
        <v>627</v>
      </c>
      <c r="C760" s="302"/>
      <c r="D760" s="351"/>
      <c r="E760" s="7" t="s">
        <v>27</v>
      </c>
      <c r="F760" s="287" t="s">
        <v>27</v>
      </c>
      <c r="G760" s="145"/>
      <c r="H760" s="145"/>
      <c r="I760" s="146"/>
      <c r="J760" s="7">
        <f t="shared" si="358"/>
        <v>0</v>
      </c>
      <c r="K760" s="276"/>
    </row>
    <row r="761" spans="2:11" outlineLevel="1">
      <c r="B761" s="722" t="s">
        <v>628</v>
      </c>
      <c r="C761" s="302" t="s">
        <v>141</v>
      </c>
      <c r="D761" s="351">
        <v>303.47999999999996</v>
      </c>
      <c r="E761" s="7">
        <v>520</v>
      </c>
      <c r="F761" s="287">
        <v>0</v>
      </c>
      <c r="G761" s="145">
        <f t="shared" si="377"/>
        <v>520</v>
      </c>
      <c r="H761" s="145">
        <f t="shared" si="378"/>
        <v>157809.60000000001</v>
      </c>
      <c r="I761" s="146">
        <f t="shared" si="379"/>
        <v>0</v>
      </c>
      <c r="J761" s="7">
        <f t="shared" si="358"/>
        <v>157809.60000000001</v>
      </c>
      <c r="K761" s="276"/>
    </row>
    <row r="762" spans="2:11">
      <c r="B762" s="694" t="s">
        <v>629</v>
      </c>
      <c r="C762" s="285"/>
      <c r="D762" s="286"/>
      <c r="E762" s="7" t="s">
        <v>27</v>
      </c>
      <c r="F762" s="287" t="s">
        <v>27</v>
      </c>
      <c r="G762" s="145"/>
      <c r="H762" s="145"/>
      <c r="I762" s="146"/>
      <c r="J762" s="7">
        <f t="shared" si="358"/>
        <v>0</v>
      </c>
      <c r="K762" s="276">
        <f>SUM(H762:H765)+SUM(I762:I765)*TC</f>
        <v>68252.565000000002</v>
      </c>
    </row>
    <row r="763" spans="2:11" outlineLevel="1">
      <c r="B763" s="150" t="s">
        <v>630</v>
      </c>
      <c r="C763" s="285" t="s">
        <v>121</v>
      </c>
      <c r="D763" s="286">
        <v>1</v>
      </c>
      <c r="E763" s="7">
        <v>0</v>
      </c>
      <c r="F763" s="287">
        <v>9336.61</v>
      </c>
      <c r="G763" s="145">
        <f>+ROUND(E763+F763*TC,2)</f>
        <v>31277.64</v>
      </c>
      <c r="H763" s="145">
        <f t="shared" si="367"/>
        <v>0</v>
      </c>
      <c r="I763" s="146">
        <f t="shared" si="379"/>
        <v>9336.61</v>
      </c>
      <c r="J763" s="7">
        <f t="shared" si="358"/>
        <v>31277.64</v>
      </c>
      <c r="K763" s="289"/>
    </row>
    <row r="764" spans="2:11" outlineLevel="1">
      <c r="B764" s="150" t="s">
        <v>631</v>
      </c>
      <c r="C764" s="285" t="s">
        <v>121</v>
      </c>
      <c r="D764" s="286">
        <v>220</v>
      </c>
      <c r="E764" s="7">
        <v>0</v>
      </c>
      <c r="F764" s="287">
        <v>30</v>
      </c>
      <c r="G764" s="145">
        <f>+ROUND(E764+F764*TC,2)</f>
        <v>100.5</v>
      </c>
      <c r="H764" s="145">
        <f t="shared" si="367"/>
        <v>0</v>
      </c>
      <c r="I764" s="146">
        <f t="shared" si="379"/>
        <v>6600</v>
      </c>
      <c r="J764" s="7">
        <f t="shared" si="358"/>
        <v>22110</v>
      </c>
      <c r="K764" s="289"/>
    </row>
    <row r="765" spans="2:11" outlineLevel="1">
      <c r="B765" s="150" t="s">
        <v>632</v>
      </c>
      <c r="C765" s="285" t="s">
        <v>121</v>
      </c>
      <c r="D765" s="286">
        <v>2</v>
      </c>
      <c r="E765" s="7"/>
      <c r="F765" s="287">
        <v>2218.6439999999998</v>
      </c>
      <c r="G765" s="145">
        <f>+ROUND(E765+F765*TC,2)</f>
        <v>7432.46</v>
      </c>
      <c r="H765" s="145">
        <f t="shared" ref="H765" si="380">+ROUND(D765*E765,2)</f>
        <v>0</v>
      </c>
      <c r="I765" s="146">
        <f t="shared" ref="I765" si="381">+ROUND(D765*F765,2)</f>
        <v>4437.29</v>
      </c>
      <c r="J765" s="7">
        <f t="shared" si="358"/>
        <v>14864.92</v>
      </c>
      <c r="K765" s="289"/>
    </row>
    <row r="766" spans="2:11">
      <c r="B766" s="694" t="s">
        <v>633</v>
      </c>
      <c r="C766" s="285"/>
      <c r="D766" s="286"/>
      <c r="E766" s="7" t="s">
        <v>27</v>
      </c>
      <c r="F766" s="287" t="s">
        <v>27</v>
      </c>
      <c r="G766" s="145"/>
      <c r="H766" s="145"/>
      <c r="I766" s="146"/>
      <c r="J766" s="7">
        <f t="shared" si="358"/>
        <v>0</v>
      </c>
      <c r="K766" s="276">
        <f>SUM(H766:H845)+SUM(I766:I845)*TC</f>
        <v>370819.76</v>
      </c>
    </row>
    <row r="767" spans="2:11" outlineLevel="1">
      <c r="B767" s="303" t="s">
        <v>634</v>
      </c>
      <c r="C767" s="723" t="s">
        <v>121</v>
      </c>
      <c r="D767" s="724">
        <v>1</v>
      </c>
      <c r="E767" s="7">
        <v>1200</v>
      </c>
      <c r="F767" s="287"/>
      <c r="G767" s="145">
        <f t="shared" ref="G767:G802" si="382">+ROUND(E767+F767*TC,2)</f>
        <v>1200</v>
      </c>
      <c r="H767" s="145">
        <f t="shared" ref="H767:H833" si="383">+ROUND(D767*E767,2)</f>
        <v>1200</v>
      </c>
      <c r="I767" s="146">
        <f t="shared" ref="I767:I833" si="384">+ROUND(D767*F767,2)</f>
        <v>0</v>
      </c>
      <c r="J767" s="7">
        <f t="shared" si="358"/>
        <v>1200</v>
      </c>
      <c r="K767" s="276"/>
    </row>
    <row r="768" spans="2:11" outlineLevel="1">
      <c r="B768" s="303" t="s">
        <v>635</v>
      </c>
      <c r="C768" s="723"/>
      <c r="D768" s="724"/>
      <c r="E768" s="7"/>
      <c r="F768" s="287"/>
      <c r="G768" s="145">
        <f t="shared" si="382"/>
        <v>0</v>
      </c>
      <c r="H768" s="145">
        <f t="shared" si="383"/>
        <v>0</v>
      </c>
      <c r="I768" s="146">
        <f t="shared" si="384"/>
        <v>0</v>
      </c>
      <c r="J768" s="7">
        <f t="shared" si="358"/>
        <v>0</v>
      </c>
      <c r="K768" s="276"/>
    </row>
    <row r="769" spans="2:11" outlineLevel="1">
      <c r="B769" s="303" t="s">
        <v>636</v>
      </c>
      <c r="C769" s="723" t="s">
        <v>121</v>
      </c>
      <c r="D769" s="724">
        <v>114</v>
      </c>
      <c r="E769" s="7"/>
      <c r="F769" s="287"/>
      <c r="G769" s="145">
        <f t="shared" si="382"/>
        <v>0</v>
      </c>
      <c r="H769" s="145">
        <f t="shared" si="383"/>
        <v>0</v>
      </c>
      <c r="I769" s="146">
        <f t="shared" si="384"/>
        <v>0</v>
      </c>
      <c r="J769" s="7">
        <f t="shared" si="358"/>
        <v>0</v>
      </c>
      <c r="K769" s="276"/>
    </row>
    <row r="770" spans="2:11" outlineLevel="1">
      <c r="B770" s="303" t="s">
        <v>637</v>
      </c>
      <c r="C770" s="723" t="s">
        <v>121</v>
      </c>
      <c r="D770" s="724">
        <v>2</v>
      </c>
      <c r="E770" s="7"/>
      <c r="F770" s="287"/>
      <c r="G770" s="145">
        <f t="shared" si="382"/>
        <v>0</v>
      </c>
      <c r="H770" s="145">
        <f t="shared" si="383"/>
        <v>0</v>
      </c>
      <c r="I770" s="146">
        <f t="shared" si="384"/>
        <v>0</v>
      </c>
      <c r="J770" s="7">
        <f t="shared" si="358"/>
        <v>0</v>
      </c>
      <c r="K770" s="276"/>
    </row>
    <row r="771" spans="2:11" outlineLevel="1">
      <c r="B771" s="303" t="s">
        <v>638</v>
      </c>
      <c r="C771" s="723" t="s">
        <v>121</v>
      </c>
      <c r="D771" s="724">
        <v>1</v>
      </c>
      <c r="E771" s="7"/>
      <c r="F771" s="287"/>
      <c r="G771" s="145">
        <f t="shared" si="382"/>
        <v>0</v>
      </c>
      <c r="H771" s="145">
        <f t="shared" si="383"/>
        <v>0</v>
      </c>
      <c r="I771" s="146">
        <f t="shared" si="384"/>
        <v>0</v>
      </c>
      <c r="J771" s="7">
        <f t="shared" si="358"/>
        <v>0</v>
      </c>
      <c r="K771" s="276"/>
    </row>
    <row r="772" spans="2:11" outlineLevel="1">
      <c r="B772" s="721" t="s">
        <v>639</v>
      </c>
      <c r="C772" s="723"/>
      <c r="D772" s="724"/>
      <c r="E772" s="7"/>
      <c r="F772" s="287"/>
      <c r="G772" s="145">
        <f t="shared" si="382"/>
        <v>0</v>
      </c>
      <c r="H772" s="145">
        <f t="shared" si="383"/>
        <v>0</v>
      </c>
      <c r="I772" s="146">
        <f t="shared" si="384"/>
        <v>0</v>
      </c>
      <c r="J772" s="7">
        <f t="shared" si="358"/>
        <v>0</v>
      </c>
      <c r="K772" s="276"/>
    </row>
    <row r="773" spans="2:11" outlineLevel="1">
      <c r="B773" s="303" t="s">
        <v>640</v>
      </c>
      <c r="C773" s="723" t="s">
        <v>121</v>
      </c>
      <c r="D773" s="724">
        <v>6</v>
      </c>
      <c r="E773" s="7"/>
      <c r="F773" s="287">
        <v>850</v>
      </c>
      <c r="G773" s="145">
        <f t="shared" si="382"/>
        <v>2847.5</v>
      </c>
      <c r="H773" s="145">
        <f t="shared" si="383"/>
        <v>0</v>
      </c>
      <c r="I773" s="146">
        <f t="shared" si="384"/>
        <v>5100</v>
      </c>
      <c r="J773" s="7">
        <f t="shared" si="358"/>
        <v>17085</v>
      </c>
      <c r="K773" s="276"/>
    </row>
    <row r="774" spans="2:11" outlineLevel="1">
      <c r="B774" s="721" t="s">
        <v>641</v>
      </c>
      <c r="C774" s="723"/>
      <c r="D774" s="724"/>
      <c r="E774" s="7"/>
      <c r="F774" s="287"/>
      <c r="G774" s="145">
        <f t="shared" si="382"/>
        <v>0</v>
      </c>
      <c r="H774" s="145">
        <f t="shared" si="383"/>
        <v>0</v>
      </c>
      <c r="I774" s="146">
        <f t="shared" si="384"/>
        <v>0</v>
      </c>
      <c r="J774" s="7">
        <f t="shared" si="358"/>
        <v>0</v>
      </c>
      <c r="K774" s="276"/>
    </row>
    <row r="775" spans="2:11" outlineLevel="1">
      <c r="B775" s="303" t="s">
        <v>2528</v>
      </c>
      <c r="C775" s="723" t="s">
        <v>682</v>
      </c>
      <c r="D775" s="724">
        <v>1</v>
      </c>
      <c r="E775" s="7">
        <v>1050</v>
      </c>
      <c r="F775" s="287"/>
      <c r="G775" s="145">
        <f t="shared" ref="G775:G780" si="385">+ROUND(E775+F775*TC,2)</f>
        <v>1050</v>
      </c>
      <c r="H775" s="145">
        <f t="shared" ref="H775:H780" si="386">+ROUND(D775*E775,2)</f>
        <v>1050</v>
      </c>
      <c r="I775" s="146">
        <f t="shared" ref="I775:I780" si="387">+ROUND(D775*F775,2)</f>
        <v>0</v>
      </c>
      <c r="J775" s="7">
        <f t="shared" ref="J775:J780" si="388">+ROUND(H775+I775*TC,2)</f>
        <v>1050</v>
      </c>
      <c r="K775" s="276"/>
    </row>
    <row r="776" spans="2:11" outlineLevel="1">
      <c r="B776" s="303" t="s">
        <v>2529</v>
      </c>
      <c r="C776" s="723" t="s">
        <v>682</v>
      </c>
      <c r="D776" s="724">
        <v>1</v>
      </c>
      <c r="E776" s="7">
        <v>1050</v>
      </c>
      <c r="F776" s="287"/>
      <c r="G776" s="145">
        <f t="shared" si="385"/>
        <v>1050</v>
      </c>
      <c r="H776" s="145">
        <f t="shared" si="386"/>
        <v>1050</v>
      </c>
      <c r="I776" s="146">
        <f t="shared" si="387"/>
        <v>0</v>
      </c>
      <c r="J776" s="7">
        <f t="shared" si="388"/>
        <v>1050</v>
      </c>
      <c r="K776" s="276"/>
    </row>
    <row r="777" spans="2:11" outlineLevel="1">
      <c r="B777" s="303" t="s">
        <v>2530</v>
      </c>
      <c r="C777" s="723" t="s">
        <v>682</v>
      </c>
      <c r="D777" s="724">
        <v>2</v>
      </c>
      <c r="E777" s="7">
        <v>1050</v>
      </c>
      <c r="F777" s="287"/>
      <c r="G777" s="145">
        <f t="shared" si="385"/>
        <v>1050</v>
      </c>
      <c r="H777" s="145">
        <f t="shared" si="386"/>
        <v>2100</v>
      </c>
      <c r="I777" s="146">
        <f t="shared" si="387"/>
        <v>0</v>
      </c>
      <c r="J777" s="7">
        <f t="shared" si="388"/>
        <v>2100</v>
      </c>
      <c r="K777" s="276"/>
    </row>
    <row r="778" spans="2:11" outlineLevel="1">
      <c r="B778" s="303" t="s">
        <v>2531</v>
      </c>
      <c r="C778" s="723" t="s">
        <v>682</v>
      </c>
      <c r="D778" s="724">
        <v>3</v>
      </c>
      <c r="E778" s="7">
        <v>3250</v>
      </c>
      <c r="F778" s="287"/>
      <c r="G778" s="145">
        <f t="shared" si="385"/>
        <v>3250</v>
      </c>
      <c r="H778" s="145">
        <f t="shared" si="386"/>
        <v>9750</v>
      </c>
      <c r="I778" s="146">
        <f t="shared" si="387"/>
        <v>0</v>
      </c>
      <c r="J778" s="7">
        <f t="shared" si="388"/>
        <v>9750</v>
      </c>
      <c r="K778" s="276"/>
    </row>
    <row r="779" spans="2:11" outlineLevel="1">
      <c r="B779" s="303" t="s">
        <v>2532</v>
      </c>
      <c r="C779" s="723" t="s">
        <v>682</v>
      </c>
      <c r="D779" s="724">
        <v>3</v>
      </c>
      <c r="E779" s="7">
        <v>3250</v>
      </c>
      <c r="F779" s="287"/>
      <c r="G779" s="145">
        <f t="shared" si="385"/>
        <v>3250</v>
      </c>
      <c r="H779" s="145">
        <f t="shared" si="386"/>
        <v>9750</v>
      </c>
      <c r="I779" s="146">
        <f t="shared" si="387"/>
        <v>0</v>
      </c>
      <c r="J779" s="7">
        <f t="shared" si="388"/>
        <v>9750</v>
      </c>
      <c r="K779" s="276"/>
    </row>
    <row r="780" spans="2:11" outlineLevel="1">
      <c r="B780" s="303" t="s">
        <v>642</v>
      </c>
      <c r="C780" s="723" t="s">
        <v>121</v>
      </c>
      <c r="D780" s="724">
        <v>3</v>
      </c>
      <c r="E780" s="7">
        <v>1228.8</v>
      </c>
      <c r="F780" s="287"/>
      <c r="G780" s="145">
        <f t="shared" si="385"/>
        <v>1228.8</v>
      </c>
      <c r="H780" s="145">
        <f t="shared" si="386"/>
        <v>3686.4</v>
      </c>
      <c r="I780" s="146">
        <f t="shared" si="387"/>
        <v>0</v>
      </c>
      <c r="J780" s="7">
        <f t="shared" si="388"/>
        <v>3686.4</v>
      </c>
      <c r="K780" s="276"/>
    </row>
    <row r="781" spans="2:11" outlineLevel="1">
      <c r="B781" s="303" t="s">
        <v>643</v>
      </c>
      <c r="C781" s="723" t="s">
        <v>121</v>
      </c>
      <c r="D781" s="724">
        <v>1</v>
      </c>
      <c r="E781" s="7">
        <v>1500</v>
      </c>
      <c r="F781" s="287"/>
      <c r="G781" s="145">
        <f t="shared" si="382"/>
        <v>1500</v>
      </c>
      <c r="H781" s="145">
        <f t="shared" si="383"/>
        <v>1500</v>
      </c>
      <c r="I781" s="146">
        <f t="shared" si="384"/>
        <v>0</v>
      </c>
      <c r="J781" s="7">
        <f t="shared" si="358"/>
        <v>1500</v>
      </c>
      <c r="K781" s="276"/>
    </row>
    <row r="782" spans="2:11" outlineLevel="1">
      <c r="B782" s="303" t="s">
        <v>644</v>
      </c>
      <c r="C782" s="723" t="s">
        <v>121</v>
      </c>
      <c r="D782" s="724">
        <v>1</v>
      </c>
      <c r="E782" s="7">
        <v>1500</v>
      </c>
      <c r="F782" s="287"/>
      <c r="G782" s="145">
        <f t="shared" si="382"/>
        <v>1500</v>
      </c>
      <c r="H782" s="145">
        <f t="shared" si="383"/>
        <v>1500</v>
      </c>
      <c r="I782" s="146">
        <f t="shared" si="384"/>
        <v>0</v>
      </c>
      <c r="J782" s="7">
        <f t="shared" si="358"/>
        <v>1500</v>
      </c>
      <c r="K782" s="276"/>
    </row>
    <row r="783" spans="2:11" outlineLevel="1">
      <c r="B783" s="303" t="s">
        <v>645</v>
      </c>
      <c r="C783" s="723" t="s">
        <v>121</v>
      </c>
      <c r="D783" s="724">
        <v>1</v>
      </c>
      <c r="E783" s="7">
        <v>866.4</v>
      </c>
      <c r="F783" s="287"/>
      <c r="G783" s="145">
        <f t="shared" si="382"/>
        <v>866.4</v>
      </c>
      <c r="H783" s="145">
        <f t="shared" si="383"/>
        <v>866.4</v>
      </c>
      <c r="I783" s="146">
        <f t="shared" si="384"/>
        <v>0</v>
      </c>
      <c r="J783" s="7">
        <f t="shared" si="358"/>
        <v>866.4</v>
      </c>
      <c r="K783" s="276"/>
    </row>
    <row r="784" spans="2:11" outlineLevel="1">
      <c r="B784" s="303" t="s">
        <v>646</v>
      </c>
      <c r="C784" s="723" t="s">
        <v>121</v>
      </c>
      <c r="D784" s="724">
        <v>1</v>
      </c>
      <c r="E784" s="7">
        <v>1352.61</v>
      </c>
      <c r="F784" s="287"/>
      <c r="G784" s="145">
        <f t="shared" si="382"/>
        <v>1352.61</v>
      </c>
      <c r="H784" s="145">
        <f t="shared" si="383"/>
        <v>1352.61</v>
      </c>
      <c r="I784" s="146">
        <f t="shared" si="384"/>
        <v>0</v>
      </c>
      <c r="J784" s="7">
        <f t="shared" si="358"/>
        <v>1352.61</v>
      </c>
      <c r="K784" s="276"/>
    </row>
    <row r="785" spans="2:11" outlineLevel="1">
      <c r="B785" s="303" t="s">
        <v>647</v>
      </c>
      <c r="C785" s="723" t="s">
        <v>121</v>
      </c>
      <c r="D785" s="724">
        <v>1</v>
      </c>
      <c r="E785" s="7">
        <v>621</v>
      </c>
      <c r="F785" s="287"/>
      <c r="G785" s="145">
        <f>+ROUND(E785+F785*TC,2)</f>
        <v>621</v>
      </c>
      <c r="H785" s="145">
        <f t="shared" si="383"/>
        <v>621</v>
      </c>
      <c r="I785" s="146">
        <f>+ROUND(D785*F785,2)</f>
        <v>0</v>
      </c>
      <c r="J785" s="7">
        <f t="shared" si="358"/>
        <v>621</v>
      </c>
      <c r="K785" s="276"/>
    </row>
    <row r="786" spans="2:11" outlineLevel="1">
      <c r="B786" s="303" t="s">
        <v>648</v>
      </c>
      <c r="C786" s="723" t="s">
        <v>121</v>
      </c>
      <c r="D786" s="724">
        <v>1</v>
      </c>
      <c r="E786" s="7">
        <v>469.20000000000005</v>
      </c>
      <c r="F786" s="287"/>
      <c r="G786" s="145">
        <f>+ROUND(E786+F786*TC,2)</f>
        <v>469.2</v>
      </c>
      <c r="H786" s="145">
        <f t="shared" si="383"/>
        <v>469.2</v>
      </c>
      <c r="I786" s="146">
        <f>+ROUND(D786*F786,2)</f>
        <v>0</v>
      </c>
      <c r="J786" s="7">
        <f t="shared" si="358"/>
        <v>469.2</v>
      </c>
      <c r="K786" s="276"/>
    </row>
    <row r="787" spans="2:11" outlineLevel="1">
      <c r="B787" s="303" t="s">
        <v>649</v>
      </c>
      <c r="C787" s="723" t="s">
        <v>121</v>
      </c>
      <c r="D787" s="724">
        <v>1</v>
      </c>
      <c r="E787" s="7">
        <v>655.5</v>
      </c>
      <c r="F787" s="287"/>
      <c r="G787" s="145">
        <f t="shared" si="382"/>
        <v>655.5</v>
      </c>
      <c r="H787" s="145">
        <f t="shared" si="383"/>
        <v>655.5</v>
      </c>
      <c r="I787" s="146">
        <f t="shared" si="384"/>
        <v>0</v>
      </c>
      <c r="J787" s="7">
        <f t="shared" si="358"/>
        <v>655.5</v>
      </c>
      <c r="K787" s="276"/>
    </row>
    <row r="788" spans="2:11" outlineLevel="1">
      <c r="B788" s="303" t="s">
        <v>650</v>
      </c>
      <c r="C788" s="723" t="s">
        <v>121</v>
      </c>
      <c r="D788" s="724">
        <v>1</v>
      </c>
      <c r="E788" s="7">
        <v>2090.6999999999998</v>
      </c>
      <c r="F788" s="287"/>
      <c r="G788" s="145">
        <f t="shared" si="382"/>
        <v>2090.6999999999998</v>
      </c>
      <c r="H788" s="145">
        <f t="shared" si="383"/>
        <v>2090.6999999999998</v>
      </c>
      <c r="I788" s="146">
        <f t="shared" si="384"/>
        <v>0</v>
      </c>
      <c r="J788" s="7">
        <f t="shared" si="358"/>
        <v>2090.6999999999998</v>
      </c>
      <c r="K788" s="276"/>
    </row>
    <row r="789" spans="2:11" outlineLevel="1">
      <c r="B789" s="303" t="s">
        <v>651</v>
      </c>
      <c r="C789" s="723" t="s">
        <v>121</v>
      </c>
      <c r="D789" s="724">
        <v>1</v>
      </c>
      <c r="E789" s="7">
        <v>984</v>
      </c>
      <c r="F789" s="287"/>
      <c r="G789" s="145">
        <f t="shared" si="382"/>
        <v>984</v>
      </c>
      <c r="H789" s="145">
        <f t="shared" si="383"/>
        <v>984</v>
      </c>
      <c r="I789" s="146">
        <f t="shared" si="384"/>
        <v>0</v>
      </c>
      <c r="J789" s="7">
        <f t="shared" si="358"/>
        <v>984</v>
      </c>
      <c r="K789" s="276"/>
    </row>
    <row r="790" spans="2:11" outlineLevel="1">
      <c r="B790" s="303" t="s">
        <v>652</v>
      </c>
      <c r="C790" s="723" t="s">
        <v>121</v>
      </c>
      <c r="D790" s="724">
        <v>1</v>
      </c>
      <c r="E790" s="7">
        <v>4932.3</v>
      </c>
      <c r="F790" s="287"/>
      <c r="G790" s="145">
        <f t="shared" si="382"/>
        <v>4932.3</v>
      </c>
      <c r="H790" s="145">
        <f t="shared" si="383"/>
        <v>4932.3</v>
      </c>
      <c r="I790" s="146">
        <f t="shared" si="384"/>
        <v>0</v>
      </c>
      <c r="J790" s="7">
        <f t="shared" si="358"/>
        <v>4932.3</v>
      </c>
      <c r="K790" s="276"/>
    </row>
    <row r="791" spans="2:11" outlineLevel="1">
      <c r="B791" s="303" t="s">
        <v>653</v>
      </c>
      <c r="C791" s="723" t="s">
        <v>121</v>
      </c>
      <c r="D791" s="724">
        <v>1</v>
      </c>
      <c r="E791" s="7">
        <v>475.20000000000005</v>
      </c>
      <c r="F791" s="287"/>
      <c r="G791" s="145">
        <f t="shared" si="382"/>
        <v>475.2</v>
      </c>
      <c r="H791" s="145">
        <f t="shared" si="383"/>
        <v>475.2</v>
      </c>
      <c r="I791" s="146">
        <f t="shared" si="384"/>
        <v>0</v>
      </c>
      <c r="J791" s="7">
        <f t="shared" si="358"/>
        <v>475.2</v>
      </c>
      <c r="K791" s="276"/>
    </row>
    <row r="792" spans="2:11" outlineLevel="1">
      <c r="B792" s="303" t="s">
        <v>654</v>
      </c>
      <c r="C792" s="723" t="s">
        <v>121</v>
      </c>
      <c r="D792" s="724">
        <v>1</v>
      </c>
      <c r="E792" s="7">
        <v>653.4</v>
      </c>
      <c r="F792" s="287"/>
      <c r="G792" s="145">
        <f t="shared" si="382"/>
        <v>653.4</v>
      </c>
      <c r="H792" s="145">
        <f t="shared" si="383"/>
        <v>653.4</v>
      </c>
      <c r="I792" s="146">
        <f t="shared" si="384"/>
        <v>0</v>
      </c>
      <c r="J792" s="7">
        <f t="shared" si="358"/>
        <v>653.4</v>
      </c>
      <c r="K792" s="276"/>
    </row>
    <row r="793" spans="2:11" outlineLevel="1">
      <c r="B793" s="303" t="s">
        <v>655</v>
      </c>
      <c r="C793" s="723" t="s">
        <v>121</v>
      </c>
      <c r="D793" s="724">
        <v>1</v>
      </c>
      <c r="E793" s="7">
        <v>528</v>
      </c>
      <c r="F793" s="287"/>
      <c r="G793" s="145">
        <f t="shared" si="382"/>
        <v>528</v>
      </c>
      <c r="H793" s="145">
        <f t="shared" si="383"/>
        <v>528</v>
      </c>
      <c r="I793" s="146">
        <f t="shared" si="384"/>
        <v>0</v>
      </c>
      <c r="J793" s="7">
        <f t="shared" si="358"/>
        <v>528</v>
      </c>
      <c r="K793" s="276"/>
    </row>
    <row r="794" spans="2:11" outlineLevel="1">
      <c r="B794" s="303" t="s">
        <v>656</v>
      </c>
      <c r="C794" s="723" t="s">
        <v>121</v>
      </c>
      <c r="D794" s="724">
        <v>1</v>
      </c>
      <c r="E794" s="7">
        <v>831.60000000000014</v>
      </c>
      <c r="F794" s="287"/>
      <c r="G794" s="145">
        <f t="shared" si="382"/>
        <v>831.6</v>
      </c>
      <c r="H794" s="145">
        <f t="shared" si="383"/>
        <v>831.6</v>
      </c>
      <c r="I794" s="146">
        <f t="shared" si="384"/>
        <v>0</v>
      </c>
      <c r="J794" s="7">
        <f t="shared" si="358"/>
        <v>831.6</v>
      </c>
      <c r="K794" s="276"/>
    </row>
    <row r="795" spans="2:11" outlineLevel="1">
      <c r="B795" s="303" t="s">
        <v>657</v>
      </c>
      <c r="C795" s="723" t="s">
        <v>121</v>
      </c>
      <c r="D795" s="724">
        <v>1</v>
      </c>
      <c r="E795" s="7">
        <v>464.1</v>
      </c>
      <c r="F795" s="287"/>
      <c r="G795" s="145">
        <f t="shared" si="382"/>
        <v>464.1</v>
      </c>
      <c r="H795" s="145">
        <f t="shared" si="383"/>
        <v>464.1</v>
      </c>
      <c r="I795" s="146">
        <f t="shared" si="384"/>
        <v>0</v>
      </c>
      <c r="J795" s="7">
        <f t="shared" si="358"/>
        <v>464.1</v>
      </c>
      <c r="K795" s="276"/>
    </row>
    <row r="796" spans="2:11" outlineLevel="1">
      <c r="B796" s="303" t="s">
        <v>658</v>
      </c>
      <c r="C796" s="723" t="s">
        <v>121</v>
      </c>
      <c r="D796" s="724">
        <v>1</v>
      </c>
      <c r="E796" s="7">
        <v>472.5</v>
      </c>
      <c r="F796" s="287"/>
      <c r="G796" s="145">
        <f t="shared" si="382"/>
        <v>472.5</v>
      </c>
      <c r="H796" s="145">
        <f t="shared" si="383"/>
        <v>472.5</v>
      </c>
      <c r="I796" s="146">
        <f t="shared" si="384"/>
        <v>0</v>
      </c>
      <c r="J796" s="7">
        <f t="shared" si="358"/>
        <v>472.5</v>
      </c>
      <c r="K796" s="276"/>
    </row>
    <row r="797" spans="2:11" outlineLevel="1">
      <c r="B797" s="303" t="s">
        <v>659</v>
      </c>
      <c r="C797" s="723" t="s">
        <v>121</v>
      </c>
      <c r="D797" s="724">
        <v>1</v>
      </c>
      <c r="E797" s="7">
        <v>348.75</v>
      </c>
      <c r="F797" s="287"/>
      <c r="G797" s="145">
        <f t="shared" si="382"/>
        <v>348.75</v>
      </c>
      <c r="H797" s="145">
        <f t="shared" si="383"/>
        <v>348.75</v>
      </c>
      <c r="I797" s="146">
        <f t="shared" si="384"/>
        <v>0</v>
      </c>
      <c r="J797" s="7">
        <f t="shared" si="358"/>
        <v>348.75</v>
      </c>
      <c r="K797" s="276"/>
    </row>
    <row r="798" spans="2:11" outlineLevel="1">
      <c r="B798" s="303" t="s">
        <v>660</v>
      </c>
      <c r="C798" s="723" t="s">
        <v>121</v>
      </c>
      <c r="D798" s="724">
        <v>1</v>
      </c>
      <c r="E798" s="7">
        <v>592.5</v>
      </c>
      <c r="F798" s="287"/>
      <c r="G798" s="145">
        <f t="shared" si="382"/>
        <v>592.5</v>
      </c>
      <c r="H798" s="145">
        <f t="shared" si="383"/>
        <v>592.5</v>
      </c>
      <c r="I798" s="146">
        <f t="shared" si="384"/>
        <v>0</v>
      </c>
      <c r="J798" s="7">
        <f t="shared" si="358"/>
        <v>592.5</v>
      </c>
      <c r="K798" s="276"/>
    </row>
    <row r="799" spans="2:11" outlineLevel="1">
      <c r="B799" s="303" t="s">
        <v>661</v>
      </c>
      <c r="C799" s="723" t="s">
        <v>121</v>
      </c>
      <c r="D799" s="724">
        <v>1</v>
      </c>
      <c r="E799" s="7">
        <v>375</v>
      </c>
      <c r="F799" s="287"/>
      <c r="G799" s="145">
        <f t="shared" si="382"/>
        <v>375</v>
      </c>
      <c r="H799" s="145">
        <f t="shared" si="383"/>
        <v>375</v>
      </c>
      <c r="I799" s="146">
        <f t="shared" si="384"/>
        <v>0</v>
      </c>
      <c r="J799" s="7">
        <f t="shared" si="358"/>
        <v>375</v>
      </c>
      <c r="K799" s="276"/>
    </row>
    <row r="800" spans="2:11" outlineLevel="1">
      <c r="B800" s="303" t="s">
        <v>662</v>
      </c>
      <c r="C800" s="723" t="s">
        <v>121</v>
      </c>
      <c r="D800" s="724">
        <v>2</v>
      </c>
      <c r="E800" s="7">
        <v>1008</v>
      </c>
      <c r="F800" s="287"/>
      <c r="G800" s="145">
        <f t="shared" si="382"/>
        <v>1008</v>
      </c>
      <c r="H800" s="145">
        <f t="shared" si="383"/>
        <v>2016</v>
      </c>
      <c r="I800" s="146">
        <f t="shared" si="384"/>
        <v>0</v>
      </c>
      <c r="J800" s="7">
        <f t="shared" si="358"/>
        <v>2016</v>
      </c>
      <c r="K800" s="276"/>
    </row>
    <row r="801" spans="2:11" outlineLevel="1">
      <c r="B801" s="303" t="s">
        <v>663</v>
      </c>
      <c r="C801" s="723" t="s">
        <v>121</v>
      </c>
      <c r="D801" s="724">
        <v>1</v>
      </c>
      <c r="E801" s="7">
        <v>680.40000000000009</v>
      </c>
      <c r="F801" s="287"/>
      <c r="G801" s="145">
        <f t="shared" si="382"/>
        <v>680.4</v>
      </c>
      <c r="H801" s="145">
        <f t="shared" si="383"/>
        <v>680.4</v>
      </c>
      <c r="I801" s="146">
        <f t="shared" si="384"/>
        <v>0</v>
      </c>
      <c r="J801" s="7">
        <f t="shared" si="358"/>
        <v>680.4</v>
      </c>
      <c r="K801" s="276"/>
    </row>
    <row r="802" spans="2:11" outlineLevel="1">
      <c r="B802" s="303" t="s">
        <v>664</v>
      </c>
      <c r="C802" s="723" t="s">
        <v>121</v>
      </c>
      <c r="D802" s="724">
        <v>1</v>
      </c>
      <c r="E802" s="7">
        <v>978.75</v>
      </c>
      <c r="F802" s="287"/>
      <c r="G802" s="145">
        <f t="shared" si="382"/>
        <v>978.75</v>
      </c>
      <c r="H802" s="145">
        <f t="shared" si="383"/>
        <v>978.75</v>
      </c>
      <c r="I802" s="146">
        <f t="shared" si="384"/>
        <v>0</v>
      </c>
      <c r="J802" s="7">
        <f t="shared" si="358"/>
        <v>978.75</v>
      </c>
      <c r="K802" s="276"/>
    </row>
    <row r="803" spans="2:11" outlineLevel="1">
      <c r="B803" s="303" t="s">
        <v>665</v>
      </c>
      <c r="C803" s="723" t="s">
        <v>121</v>
      </c>
      <c r="D803" s="724">
        <v>1</v>
      </c>
      <c r="E803" s="7">
        <v>805.65</v>
      </c>
      <c r="F803" s="287"/>
      <c r="G803" s="145">
        <f t="shared" ref="G803:G839" si="389">+ROUND(E803+F803*TC,2)</f>
        <v>805.65</v>
      </c>
      <c r="H803" s="145">
        <f t="shared" si="383"/>
        <v>805.65</v>
      </c>
      <c r="I803" s="146">
        <f t="shared" si="384"/>
        <v>0</v>
      </c>
      <c r="J803" s="7">
        <f t="shared" si="358"/>
        <v>805.65</v>
      </c>
      <c r="K803" s="276"/>
    </row>
    <row r="804" spans="2:11" outlineLevel="1">
      <c r="B804" s="303" t="s">
        <v>666</v>
      </c>
      <c r="C804" s="723" t="s">
        <v>121</v>
      </c>
      <c r="D804" s="724">
        <v>1</v>
      </c>
      <c r="E804" s="7">
        <v>887.4</v>
      </c>
      <c r="F804" s="287"/>
      <c r="G804" s="145">
        <f t="shared" si="389"/>
        <v>887.4</v>
      </c>
      <c r="H804" s="145">
        <f t="shared" si="383"/>
        <v>887.4</v>
      </c>
      <c r="I804" s="146">
        <f t="shared" si="384"/>
        <v>0</v>
      </c>
      <c r="J804" s="7">
        <f t="shared" si="358"/>
        <v>887.4</v>
      </c>
      <c r="K804" s="276"/>
    </row>
    <row r="805" spans="2:11" outlineLevel="1">
      <c r="B805" s="303" t="s">
        <v>667</v>
      </c>
      <c r="C805" s="723" t="s">
        <v>121</v>
      </c>
      <c r="D805" s="724">
        <v>1</v>
      </c>
      <c r="E805" s="7">
        <v>1063.3499999999999</v>
      </c>
      <c r="F805" s="287"/>
      <c r="G805" s="145">
        <f t="shared" si="389"/>
        <v>1063.3499999999999</v>
      </c>
      <c r="H805" s="145">
        <f t="shared" si="383"/>
        <v>1063.3499999999999</v>
      </c>
      <c r="I805" s="146">
        <f t="shared" si="384"/>
        <v>0</v>
      </c>
      <c r="J805" s="7">
        <f t="shared" si="358"/>
        <v>1063.3499999999999</v>
      </c>
      <c r="K805" s="276"/>
    </row>
    <row r="806" spans="2:11" outlineLevel="1">
      <c r="B806" s="303" t="s">
        <v>668</v>
      </c>
      <c r="C806" s="723" t="s">
        <v>121</v>
      </c>
      <c r="D806" s="724">
        <v>1</v>
      </c>
      <c r="E806" s="7">
        <v>225</v>
      </c>
      <c r="F806" s="287"/>
      <c r="G806" s="145">
        <f t="shared" si="389"/>
        <v>225</v>
      </c>
      <c r="H806" s="145">
        <f t="shared" si="383"/>
        <v>225</v>
      </c>
      <c r="I806" s="146">
        <f t="shared" si="384"/>
        <v>0</v>
      </c>
      <c r="J806" s="7">
        <f t="shared" si="358"/>
        <v>225</v>
      </c>
      <c r="K806" s="276"/>
    </row>
    <row r="807" spans="2:11" outlineLevel="1">
      <c r="B807" s="303" t="s">
        <v>669</v>
      </c>
      <c r="C807" s="723" t="s">
        <v>121</v>
      </c>
      <c r="D807" s="724">
        <v>1</v>
      </c>
      <c r="E807" s="7">
        <v>1485</v>
      </c>
      <c r="F807" s="287"/>
      <c r="G807" s="145">
        <f t="shared" si="389"/>
        <v>1485</v>
      </c>
      <c r="H807" s="145">
        <f t="shared" si="383"/>
        <v>1485</v>
      </c>
      <c r="I807" s="146">
        <f t="shared" si="384"/>
        <v>0</v>
      </c>
      <c r="J807" s="7">
        <f t="shared" si="358"/>
        <v>1485</v>
      </c>
      <c r="K807" s="276"/>
    </row>
    <row r="808" spans="2:11" outlineLevel="1">
      <c r="B808" s="303" t="s">
        <v>670</v>
      </c>
      <c r="C808" s="723" t="s">
        <v>121</v>
      </c>
      <c r="D808" s="724">
        <v>1</v>
      </c>
      <c r="E808" s="7">
        <v>438.6</v>
      </c>
      <c r="F808" s="287"/>
      <c r="G808" s="145">
        <f t="shared" si="389"/>
        <v>438.6</v>
      </c>
      <c r="H808" s="145">
        <f t="shared" si="383"/>
        <v>438.6</v>
      </c>
      <c r="I808" s="146">
        <f t="shared" si="384"/>
        <v>0</v>
      </c>
      <c r="J808" s="7">
        <f t="shared" si="358"/>
        <v>438.6</v>
      </c>
      <c r="K808" s="276"/>
    </row>
    <row r="809" spans="2:11" outlineLevel="1">
      <c r="B809" s="303" t="s">
        <v>671</v>
      </c>
      <c r="C809" s="723" t="s">
        <v>121</v>
      </c>
      <c r="D809" s="724">
        <v>1</v>
      </c>
      <c r="E809" s="7">
        <v>661.19999999999993</v>
      </c>
      <c r="F809" s="287"/>
      <c r="G809" s="145">
        <f t="shared" si="389"/>
        <v>661.2</v>
      </c>
      <c r="H809" s="145">
        <f t="shared" si="383"/>
        <v>661.2</v>
      </c>
      <c r="I809" s="146">
        <f t="shared" si="384"/>
        <v>0</v>
      </c>
      <c r="J809" s="7">
        <f t="shared" si="358"/>
        <v>661.2</v>
      </c>
      <c r="K809" s="276"/>
    </row>
    <row r="810" spans="2:11" outlineLevel="1">
      <c r="B810" s="303" t="s">
        <v>672</v>
      </c>
      <c r="C810" s="723" t="s">
        <v>121</v>
      </c>
      <c r="D810" s="724">
        <v>1</v>
      </c>
      <c r="E810" s="7">
        <v>877.2</v>
      </c>
      <c r="F810" s="287"/>
      <c r="G810" s="145">
        <f t="shared" si="389"/>
        <v>877.2</v>
      </c>
      <c r="H810" s="145">
        <f t="shared" si="383"/>
        <v>877.2</v>
      </c>
      <c r="I810" s="146">
        <f t="shared" si="384"/>
        <v>0</v>
      </c>
      <c r="J810" s="7">
        <f t="shared" si="358"/>
        <v>877.2</v>
      </c>
      <c r="K810" s="276"/>
    </row>
    <row r="811" spans="2:11" outlineLevel="1">
      <c r="B811" s="303" t="s">
        <v>673</v>
      </c>
      <c r="C811" s="723" t="s">
        <v>121</v>
      </c>
      <c r="D811" s="724">
        <v>1</v>
      </c>
      <c r="E811" s="7">
        <v>450</v>
      </c>
      <c r="F811" s="287"/>
      <c r="G811" s="145">
        <f t="shared" si="389"/>
        <v>450</v>
      </c>
      <c r="H811" s="145">
        <f t="shared" si="383"/>
        <v>450</v>
      </c>
      <c r="I811" s="146">
        <f t="shared" si="384"/>
        <v>0</v>
      </c>
      <c r="J811" s="7">
        <f t="shared" si="358"/>
        <v>450</v>
      </c>
      <c r="K811" s="276"/>
    </row>
    <row r="812" spans="2:11" outlineLevel="1">
      <c r="B812" s="303" t="s">
        <v>674</v>
      </c>
      <c r="C812" s="723" t="s">
        <v>121</v>
      </c>
      <c r="D812" s="724">
        <v>1</v>
      </c>
      <c r="E812" s="7">
        <v>945.44999999999993</v>
      </c>
      <c r="F812" s="287"/>
      <c r="G812" s="145">
        <f t="shared" si="389"/>
        <v>945.45</v>
      </c>
      <c r="H812" s="145">
        <f t="shared" si="383"/>
        <v>945.45</v>
      </c>
      <c r="I812" s="146">
        <f t="shared" si="384"/>
        <v>0</v>
      </c>
      <c r="J812" s="7">
        <f t="shared" ref="J812:J880" si="390">+ROUND(H812+I812*TC,2)</f>
        <v>945.45</v>
      </c>
      <c r="K812" s="276"/>
    </row>
    <row r="813" spans="2:11" outlineLevel="1">
      <c r="B813" s="303" t="s">
        <v>675</v>
      </c>
      <c r="C813" s="723" t="s">
        <v>121</v>
      </c>
      <c r="D813" s="724">
        <v>1</v>
      </c>
      <c r="E813" s="7">
        <v>594</v>
      </c>
      <c r="F813" s="287"/>
      <c r="G813" s="145">
        <f t="shared" si="389"/>
        <v>594</v>
      </c>
      <c r="H813" s="145">
        <f t="shared" si="383"/>
        <v>594</v>
      </c>
      <c r="I813" s="146">
        <f t="shared" si="384"/>
        <v>0</v>
      </c>
      <c r="J813" s="7">
        <f t="shared" si="390"/>
        <v>594</v>
      </c>
      <c r="K813" s="276"/>
    </row>
    <row r="814" spans="2:11" outlineLevel="1">
      <c r="B814" s="303" t="s">
        <v>676</v>
      </c>
      <c r="C814" s="723" t="s">
        <v>121</v>
      </c>
      <c r="D814" s="724">
        <v>1</v>
      </c>
      <c r="E814" s="7">
        <v>470.25</v>
      </c>
      <c r="F814" s="287"/>
      <c r="G814" s="145">
        <f t="shared" si="389"/>
        <v>470.25</v>
      </c>
      <c r="H814" s="145">
        <f t="shared" si="383"/>
        <v>470.25</v>
      </c>
      <c r="I814" s="146">
        <f t="shared" si="384"/>
        <v>0</v>
      </c>
      <c r="J814" s="7">
        <f t="shared" si="390"/>
        <v>470.25</v>
      </c>
      <c r="K814" s="276"/>
    </row>
    <row r="815" spans="2:11" outlineLevel="1">
      <c r="B815" s="303" t="s">
        <v>677</v>
      </c>
      <c r="C815" s="723" t="s">
        <v>121</v>
      </c>
      <c r="D815" s="724">
        <v>1</v>
      </c>
      <c r="E815" s="7">
        <v>351.45</v>
      </c>
      <c r="F815" s="287"/>
      <c r="G815" s="145">
        <f t="shared" si="389"/>
        <v>351.45</v>
      </c>
      <c r="H815" s="145">
        <f t="shared" si="383"/>
        <v>351.45</v>
      </c>
      <c r="I815" s="146">
        <f t="shared" si="384"/>
        <v>0</v>
      </c>
      <c r="J815" s="7">
        <f t="shared" si="390"/>
        <v>351.45</v>
      </c>
      <c r="K815" s="276"/>
    </row>
    <row r="816" spans="2:11" outlineLevel="1">
      <c r="B816" s="303" t="s">
        <v>678</v>
      </c>
      <c r="C816" s="723" t="s">
        <v>121</v>
      </c>
      <c r="D816" s="724">
        <v>1</v>
      </c>
      <c r="E816" s="7">
        <v>495.00000000000006</v>
      </c>
      <c r="F816" s="287"/>
      <c r="G816" s="145">
        <f t="shared" si="389"/>
        <v>495</v>
      </c>
      <c r="H816" s="145">
        <f t="shared" si="383"/>
        <v>495</v>
      </c>
      <c r="I816" s="146">
        <f t="shared" si="384"/>
        <v>0</v>
      </c>
      <c r="J816" s="7">
        <f t="shared" si="390"/>
        <v>495</v>
      </c>
      <c r="K816" s="276"/>
    </row>
    <row r="817" spans="2:11" outlineLevel="1">
      <c r="B817" s="303" t="s">
        <v>679</v>
      </c>
      <c r="C817" s="723" t="s">
        <v>121</v>
      </c>
      <c r="D817" s="724">
        <v>1</v>
      </c>
      <c r="E817" s="7">
        <v>378</v>
      </c>
      <c r="F817" s="287"/>
      <c r="G817" s="145">
        <f t="shared" si="389"/>
        <v>378</v>
      </c>
      <c r="H817" s="145">
        <f t="shared" si="383"/>
        <v>378</v>
      </c>
      <c r="I817" s="146">
        <f t="shared" si="384"/>
        <v>0</v>
      </c>
      <c r="J817" s="7">
        <f t="shared" si="390"/>
        <v>378</v>
      </c>
      <c r="K817" s="276"/>
    </row>
    <row r="818" spans="2:11" outlineLevel="1">
      <c r="B818" s="303" t="s">
        <v>680</v>
      </c>
      <c r="C818" s="723" t="s">
        <v>121</v>
      </c>
      <c r="D818" s="724">
        <v>1</v>
      </c>
      <c r="E818" s="7">
        <v>1170</v>
      </c>
      <c r="F818" s="287"/>
      <c r="G818" s="145">
        <f t="shared" si="389"/>
        <v>1170</v>
      </c>
      <c r="H818" s="145">
        <f t="shared" si="383"/>
        <v>1170</v>
      </c>
      <c r="I818" s="146">
        <f t="shared" si="384"/>
        <v>0</v>
      </c>
      <c r="J818" s="7">
        <f t="shared" si="390"/>
        <v>1170</v>
      </c>
      <c r="K818" s="276"/>
    </row>
    <row r="819" spans="2:11" outlineLevel="1">
      <c r="B819" s="303" t="s">
        <v>681</v>
      </c>
      <c r="C819" s="723" t="s">
        <v>682</v>
      </c>
      <c r="D819" s="724">
        <v>3</v>
      </c>
      <c r="E819" s="7">
        <v>1287</v>
      </c>
      <c r="F819" s="287"/>
      <c r="G819" s="145">
        <f t="shared" ref="G819:G824" si="391">+ROUND(E819+F819*TC,2)</f>
        <v>1287</v>
      </c>
      <c r="H819" s="145">
        <f t="shared" ref="H819:H824" si="392">+ROUND(D819*E819,2)</f>
        <v>3861</v>
      </c>
      <c r="I819" s="146">
        <f t="shared" ref="I819:I824" si="393">+ROUND(D819*F819,2)</f>
        <v>0</v>
      </c>
      <c r="J819" s="7">
        <f t="shared" ref="J819:J824" si="394">+ROUND(H819+I819*TC,2)</f>
        <v>3861</v>
      </c>
      <c r="K819" s="276"/>
    </row>
    <row r="820" spans="2:11" outlineLevel="1">
      <c r="B820" s="303" t="s">
        <v>683</v>
      </c>
      <c r="C820" s="723" t="s">
        <v>682</v>
      </c>
      <c r="D820" s="724">
        <v>3</v>
      </c>
      <c r="E820" s="7">
        <v>1287</v>
      </c>
      <c r="F820" s="287"/>
      <c r="G820" s="145">
        <f t="shared" si="391"/>
        <v>1287</v>
      </c>
      <c r="H820" s="145">
        <f t="shared" si="392"/>
        <v>3861</v>
      </c>
      <c r="I820" s="146">
        <f t="shared" si="393"/>
        <v>0</v>
      </c>
      <c r="J820" s="7">
        <f t="shared" si="394"/>
        <v>3861</v>
      </c>
      <c r="K820" s="276"/>
    </row>
    <row r="821" spans="2:11" outlineLevel="1">
      <c r="B821" s="303" t="s">
        <v>643</v>
      </c>
      <c r="C821" s="723" t="s">
        <v>682</v>
      </c>
      <c r="D821" s="724">
        <v>1</v>
      </c>
      <c r="E821" s="7">
        <v>1500</v>
      </c>
      <c r="F821" s="287"/>
      <c r="G821" s="145">
        <f t="shared" si="391"/>
        <v>1500</v>
      </c>
      <c r="H821" s="145">
        <f t="shared" si="392"/>
        <v>1500</v>
      </c>
      <c r="I821" s="146">
        <f t="shared" si="393"/>
        <v>0</v>
      </c>
      <c r="J821" s="7">
        <f t="shared" si="394"/>
        <v>1500</v>
      </c>
      <c r="K821" s="276"/>
    </row>
    <row r="822" spans="2:11" outlineLevel="1">
      <c r="B822" s="303" t="s">
        <v>644</v>
      </c>
      <c r="C822" s="723" t="s">
        <v>682</v>
      </c>
      <c r="D822" s="724">
        <v>1</v>
      </c>
      <c r="E822" s="7">
        <v>1500</v>
      </c>
      <c r="F822" s="287"/>
      <c r="G822" s="145">
        <f t="shared" si="391"/>
        <v>1500</v>
      </c>
      <c r="H822" s="145">
        <f t="shared" si="392"/>
        <v>1500</v>
      </c>
      <c r="I822" s="146">
        <f t="shared" si="393"/>
        <v>0</v>
      </c>
      <c r="J822" s="7">
        <f t="shared" si="394"/>
        <v>1500</v>
      </c>
      <c r="K822" s="276"/>
    </row>
    <row r="823" spans="2:11" outlineLevel="1">
      <c r="B823" s="303" t="s">
        <v>684</v>
      </c>
      <c r="C823" s="723" t="s">
        <v>682</v>
      </c>
      <c r="D823" s="724">
        <v>1</v>
      </c>
      <c r="E823" s="7">
        <v>1661.1</v>
      </c>
      <c r="F823" s="287"/>
      <c r="G823" s="145">
        <f t="shared" si="391"/>
        <v>1661.1</v>
      </c>
      <c r="H823" s="145">
        <f t="shared" si="392"/>
        <v>1661.1</v>
      </c>
      <c r="I823" s="146">
        <f t="shared" si="393"/>
        <v>0</v>
      </c>
      <c r="J823" s="7">
        <f t="shared" si="394"/>
        <v>1661.1</v>
      </c>
      <c r="K823" s="276"/>
    </row>
    <row r="824" spans="2:11" outlineLevel="1">
      <c r="B824" s="303" t="s">
        <v>645</v>
      </c>
      <c r="C824" s="723" t="s">
        <v>682</v>
      </c>
      <c r="D824" s="724">
        <v>1</v>
      </c>
      <c r="E824" s="7">
        <v>866.4</v>
      </c>
      <c r="F824" s="287"/>
      <c r="G824" s="145">
        <f t="shared" si="391"/>
        <v>866.4</v>
      </c>
      <c r="H824" s="145">
        <f t="shared" si="392"/>
        <v>866.4</v>
      </c>
      <c r="I824" s="146">
        <f t="shared" si="393"/>
        <v>0</v>
      </c>
      <c r="J824" s="7">
        <f t="shared" si="394"/>
        <v>866.4</v>
      </c>
      <c r="K824" s="276"/>
    </row>
    <row r="825" spans="2:11" outlineLevel="1">
      <c r="B825" s="303" t="s">
        <v>685</v>
      </c>
      <c r="C825" s="723" t="s">
        <v>121</v>
      </c>
      <c r="D825" s="724">
        <v>0</v>
      </c>
      <c r="E825" s="7"/>
      <c r="F825" s="287"/>
      <c r="G825" s="145">
        <f t="shared" si="389"/>
        <v>0</v>
      </c>
      <c r="H825" s="145">
        <f t="shared" si="383"/>
        <v>0</v>
      </c>
      <c r="I825" s="146">
        <f t="shared" si="384"/>
        <v>0</v>
      </c>
      <c r="J825" s="7">
        <f t="shared" si="390"/>
        <v>0</v>
      </c>
      <c r="K825" s="276"/>
    </row>
    <row r="826" spans="2:11" outlineLevel="1">
      <c r="B826" s="303" t="s">
        <v>686</v>
      </c>
      <c r="C826" s="723"/>
      <c r="D826" s="724"/>
      <c r="E826" s="7"/>
      <c r="F826" s="287"/>
      <c r="G826" s="145">
        <f t="shared" si="389"/>
        <v>0</v>
      </c>
      <c r="H826" s="145">
        <f t="shared" si="383"/>
        <v>0</v>
      </c>
      <c r="I826" s="146">
        <f t="shared" si="384"/>
        <v>0</v>
      </c>
      <c r="J826" s="7">
        <f t="shared" si="390"/>
        <v>0</v>
      </c>
      <c r="K826" s="276"/>
    </row>
    <row r="827" spans="2:11" outlineLevel="1">
      <c r="B827" s="303" t="s">
        <v>687</v>
      </c>
      <c r="C827" s="723" t="s">
        <v>141</v>
      </c>
      <c r="D827" s="724">
        <v>6</v>
      </c>
      <c r="E827" s="7">
        <v>250</v>
      </c>
      <c r="F827" s="287"/>
      <c r="G827" s="145">
        <f t="shared" si="389"/>
        <v>250</v>
      </c>
      <c r="H827" s="145">
        <f t="shared" si="383"/>
        <v>1500</v>
      </c>
      <c r="I827" s="146">
        <f t="shared" si="384"/>
        <v>0</v>
      </c>
      <c r="J827" s="7">
        <f t="shared" si="390"/>
        <v>1500</v>
      </c>
      <c r="K827" s="276"/>
    </row>
    <row r="828" spans="2:11" outlineLevel="1">
      <c r="B828" s="303" t="s">
        <v>688</v>
      </c>
      <c r="C828" s="723" t="s">
        <v>141</v>
      </c>
      <c r="D828" s="724">
        <v>66.72</v>
      </c>
      <c r="E828" s="7">
        <v>150</v>
      </c>
      <c r="F828" s="287"/>
      <c r="G828" s="145">
        <f t="shared" si="389"/>
        <v>150</v>
      </c>
      <c r="H828" s="145">
        <f t="shared" si="383"/>
        <v>10008</v>
      </c>
      <c r="I828" s="146">
        <f t="shared" si="384"/>
        <v>0</v>
      </c>
      <c r="J828" s="7">
        <f t="shared" si="390"/>
        <v>10008</v>
      </c>
      <c r="K828" s="276"/>
    </row>
    <row r="829" spans="2:11" outlineLevel="1">
      <c r="B829" s="303" t="s">
        <v>689</v>
      </c>
      <c r="C829" s="723" t="s">
        <v>141</v>
      </c>
      <c r="D829" s="724">
        <v>17.8</v>
      </c>
      <c r="E829" s="7">
        <v>150</v>
      </c>
      <c r="F829" s="287"/>
      <c r="G829" s="145">
        <f t="shared" si="389"/>
        <v>150</v>
      </c>
      <c r="H829" s="145">
        <f t="shared" si="383"/>
        <v>2670</v>
      </c>
      <c r="I829" s="146">
        <f t="shared" si="384"/>
        <v>0</v>
      </c>
      <c r="J829" s="7">
        <f t="shared" si="390"/>
        <v>2670</v>
      </c>
      <c r="K829" s="276"/>
    </row>
    <row r="830" spans="2:11" outlineLevel="1">
      <c r="B830" s="303" t="s">
        <v>690</v>
      </c>
      <c r="C830" s="723" t="s">
        <v>141</v>
      </c>
      <c r="D830" s="724">
        <v>10</v>
      </c>
      <c r="E830" s="7">
        <v>150</v>
      </c>
      <c r="F830" s="287"/>
      <c r="G830" s="145">
        <f t="shared" si="389"/>
        <v>150</v>
      </c>
      <c r="H830" s="145">
        <f t="shared" si="383"/>
        <v>1500</v>
      </c>
      <c r="I830" s="146">
        <f t="shared" si="384"/>
        <v>0</v>
      </c>
      <c r="J830" s="7">
        <f t="shared" si="390"/>
        <v>1500</v>
      </c>
      <c r="K830" s="276"/>
    </row>
    <row r="831" spans="2:11" outlineLevel="1">
      <c r="B831" s="303" t="s">
        <v>691</v>
      </c>
      <c r="C831" s="723" t="s">
        <v>141</v>
      </c>
      <c r="D831" s="724">
        <v>25</v>
      </c>
      <c r="E831" s="7">
        <v>150</v>
      </c>
      <c r="F831" s="287"/>
      <c r="G831" s="145">
        <f t="shared" si="389"/>
        <v>150</v>
      </c>
      <c r="H831" s="145">
        <f t="shared" si="383"/>
        <v>3750</v>
      </c>
      <c r="I831" s="146">
        <f t="shared" si="384"/>
        <v>0</v>
      </c>
      <c r="J831" s="7">
        <f t="shared" si="390"/>
        <v>3750</v>
      </c>
      <c r="K831" s="276"/>
    </row>
    <row r="832" spans="2:11" ht="22.5" outlineLevel="1">
      <c r="B832" s="303" t="s">
        <v>692</v>
      </c>
      <c r="C832" s="723" t="s">
        <v>141</v>
      </c>
      <c r="D832" s="724">
        <v>68.510000000000005</v>
      </c>
      <c r="E832" s="7">
        <v>250</v>
      </c>
      <c r="F832" s="287"/>
      <c r="G832" s="145">
        <f t="shared" si="389"/>
        <v>250</v>
      </c>
      <c r="H832" s="145">
        <f t="shared" si="383"/>
        <v>17127.5</v>
      </c>
      <c r="I832" s="146">
        <f t="shared" si="384"/>
        <v>0</v>
      </c>
      <c r="J832" s="7">
        <f t="shared" si="390"/>
        <v>17127.5</v>
      </c>
      <c r="K832" s="276"/>
    </row>
    <row r="833" spans="2:11" outlineLevel="1">
      <c r="B833" s="303" t="s">
        <v>693</v>
      </c>
      <c r="C833" s="723" t="s">
        <v>141</v>
      </c>
      <c r="D833" s="724">
        <v>2.5</v>
      </c>
      <c r="E833" s="7"/>
      <c r="F833" s="287"/>
      <c r="G833" s="145">
        <f t="shared" si="389"/>
        <v>0</v>
      </c>
      <c r="H833" s="145">
        <f t="shared" si="383"/>
        <v>0</v>
      </c>
      <c r="I833" s="146">
        <f t="shared" si="384"/>
        <v>0</v>
      </c>
      <c r="J833" s="7">
        <f t="shared" si="390"/>
        <v>0</v>
      </c>
      <c r="K833" s="276"/>
    </row>
    <row r="834" spans="2:11" outlineLevel="1">
      <c r="B834" s="721" t="s">
        <v>694</v>
      </c>
      <c r="C834" s="723"/>
      <c r="D834" s="724"/>
      <c r="E834" s="7"/>
      <c r="F834" s="287"/>
      <c r="G834" s="145">
        <f t="shared" si="389"/>
        <v>0</v>
      </c>
      <c r="H834" s="145">
        <f t="shared" ref="H834:H845" si="395">+ROUND(D834*E834,2)</f>
        <v>0</v>
      </c>
      <c r="I834" s="146">
        <f t="shared" ref="I834:I845" si="396">+ROUND(D834*F834,2)</f>
        <v>0</v>
      </c>
      <c r="J834" s="7">
        <f t="shared" si="390"/>
        <v>0</v>
      </c>
      <c r="K834" s="276"/>
    </row>
    <row r="835" spans="2:11" outlineLevel="1">
      <c r="B835" s="303" t="s">
        <v>695</v>
      </c>
      <c r="C835" s="723" t="s">
        <v>141</v>
      </c>
      <c r="D835" s="724">
        <v>275.27999999999997</v>
      </c>
      <c r="E835" s="7">
        <v>220</v>
      </c>
      <c r="F835" s="287"/>
      <c r="G835" s="145">
        <f t="shared" si="389"/>
        <v>220</v>
      </c>
      <c r="H835" s="145">
        <f t="shared" si="395"/>
        <v>60561.599999999999</v>
      </c>
      <c r="I835" s="146">
        <f t="shared" si="396"/>
        <v>0</v>
      </c>
      <c r="J835" s="7">
        <f t="shared" si="390"/>
        <v>60561.599999999999</v>
      </c>
      <c r="K835" s="276"/>
    </row>
    <row r="836" spans="2:11" outlineLevel="1">
      <c r="B836" s="303" t="s">
        <v>696</v>
      </c>
      <c r="C836" s="723" t="s">
        <v>141</v>
      </c>
      <c r="D836" s="724">
        <v>129.70000000000007</v>
      </c>
      <c r="E836" s="7">
        <v>350</v>
      </c>
      <c r="F836" s="287"/>
      <c r="G836" s="145">
        <f t="shared" si="389"/>
        <v>350</v>
      </c>
      <c r="H836" s="145">
        <f t="shared" si="395"/>
        <v>45395</v>
      </c>
      <c r="I836" s="146">
        <f t="shared" si="396"/>
        <v>0</v>
      </c>
      <c r="J836" s="7">
        <f t="shared" si="390"/>
        <v>45395</v>
      </c>
      <c r="K836" s="276"/>
    </row>
    <row r="837" spans="2:11" outlineLevel="1">
      <c r="B837" s="721" t="s">
        <v>697</v>
      </c>
      <c r="C837" s="723"/>
      <c r="D837" s="724"/>
      <c r="E837" s="7"/>
      <c r="F837" s="287"/>
      <c r="G837" s="145">
        <f t="shared" si="389"/>
        <v>0</v>
      </c>
      <c r="H837" s="145">
        <f t="shared" si="395"/>
        <v>0</v>
      </c>
      <c r="I837" s="146">
        <f t="shared" si="396"/>
        <v>0</v>
      </c>
      <c r="J837" s="7">
        <f t="shared" si="390"/>
        <v>0</v>
      </c>
      <c r="K837" s="276"/>
    </row>
    <row r="838" spans="2:11" outlineLevel="1">
      <c r="B838" s="303" t="s">
        <v>695</v>
      </c>
      <c r="C838" s="723" t="s">
        <v>141</v>
      </c>
      <c r="D838" s="724">
        <v>347.09000000000009</v>
      </c>
      <c r="E838" s="7">
        <v>220</v>
      </c>
      <c r="F838" s="287"/>
      <c r="G838" s="145">
        <f t="shared" si="389"/>
        <v>220</v>
      </c>
      <c r="H838" s="145">
        <f t="shared" si="395"/>
        <v>76359.8</v>
      </c>
      <c r="I838" s="146">
        <f t="shared" si="396"/>
        <v>0</v>
      </c>
      <c r="J838" s="7">
        <f t="shared" si="390"/>
        <v>76359.8</v>
      </c>
      <c r="K838" s="276"/>
    </row>
    <row r="839" spans="2:11" outlineLevel="1">
      <c r="B839" s="303" t="s">
        <v>696</v>
      </c>
      <c r="C839" s="723" t="s">
        <v>141</v>
      </c>
      <c r="D839" s="724">
        <v>135.90000000000006</v>
      </c>
      <c r="E839" s="7">
        <v>350</v>
      </c>
      <c r="F839" s="287"/>
      <c r="G839" s="145">
        <f t="shared" si="389"/>
        <v>350</v>
      </c>
      <c r="H839" s="145">
        <f t="shared" si="395"/>
        <v>47565</v>
      </c>
      <c r="I839" s="146">
        <f t="shared" si="396"/>
        <v>0</v>
      </c>
      <c r="J839" s="7">
        <f t="shared" si="390"/>
        <v>47565</v>
      </c>
      <c r="K839" s="276"/>
    </row>
    <row r="840" spans="2:11" outlineLevel="1">
      <c r="B840" s="721" t="s">
        <v>698</v>
      </c>
      <c r="C840" s="723"/>
      <c r="D840" s="724"/>
      <c r="E840" s="7"/>
      <c r="F840" s="287"/>
      <c r="G840" s="145">
        <f t="shared" ref="G840:G845" si="397">+ROUND(E840+F840*TC,2)</f>
        <v>0</v>
      </c>
      <c r="H840" s="145">
        <f t="shared" si="395"/>
        <v>0</v>
      </c>
      <c r="I840" s="146">
        <f t="shared" si="396"/>
        <v>0</v>
      </c>
      <c r="J840" s="7">
        <f t="shared" si="390"/>
        <v>0</v>
      </c>
      <c r="K840" s="276"/>
    </row>
    <row r="841" spans="2:11" outlineLevel="1">
      <c r="B841" s="303" t="s">
        <v>695</v>
      </c>
      <c r="C841" s="723" t="s">
        <v>141</v>
      </c>
      <c r="D841" s="724">
        <v>33.949999999999996</v>
      </c>
      <c r="E841" s="7">
        <v>220</v>
      </c>
      <c r="F841" s="287"/>
      <c r="G841" s="145">
        <f t="shared" si="397"/>
        <v>220</v>
      </c>
      <c r="H841" s="145">
        <f t="shared" si="395"/>
        <v>7469</v>
      </c>
      <c r="I841" s="146">
        <f t="shared" si="396"/>
        <v>0</v>
      </c>
      <c r="J841" s="7">
        <f t="shared" si="390"/>
        <v>7469</v>
      </c>
      <c r="K841" s="276"/>
    </row>
    <row r="842" spans="2:11" outlineLevel="1">
      <c r="B842" s="303" t="s">
        <v>696</v>
      </c>
      <c r="C842" s="723" t="s">
        <v>141</v>
      </c>
      <c r="D842" s="724">
        <v>5.95</v>
      </c>
      <c r="E842" s="7">
        <v>350</v>
      </c>
      <c r="F842" s="287"/>
      <c r="G842" s="145">
        <f t="shared" si="397"/>
        <v>350</v>
      </c>
      <c r="H842" s="145">
        <f t="shared" si="395"/>
        <v>2082.5</v>
      </c>
      <c r="I842" s="146">
        <f t="shared" si="396"/>
        <v>0</v>
      </c>
      <c r="J842" s="7">
        <f t="shared" si="390"/>
        <v>2082.5</v>
      </c>
      <c r="K842" s="276"/>
    </row>
    <row r="843" spans="2:11" outlineLevel="1">
      <c r="B843" s="721" t="s">
        <v>699</v>
      </c>
      <c r="C843" s="723"/>
      <c r="D843" s="724"/>
      <c r="E843" s="7"/>
      <c r="F843" s="287"/>
      <c r="G843" s="145">
        <f t="shared" si="397"/>
        <v>0</v>
      </c>
      <c r="H843" s="145">
        <f t="shared" si="395"/>
        <v>0</v>
      </c>
      <c r="I843" s="146">
        <f t="shared" si="396"/>
        <v>0</v>
      </c>
      <c r="J843" s="7">
        <f t="shared" si="390"/>
        <v>0</v>
      </c>
      <c r="K843" s="276"/>
    </row>
    <row r="844" spans="2:11" outlineLevel="1">
      <c r="B844" s="303" t="s">
        <v>695</v>
      </c>
      <c r="C844" s="723" t="s">
        <v>141</v>
      </c>
      <c r="D844" s="724">
        <v>0</v>
      </c>
      <c r="E844" s="7"/>
      <c r="F844" s="287"/>
      <c r="G844" s="145">
        <f t="shared" si="397"/>
        <v>0</v>
      </c>
      <c r="H844" s="145">
        <f t="shared" si="395"/>
        <v>0</v>
      </c>
      <c r="I844" s="146">
        <f t="shared" si="396"/>
        <v>0</v>
      </c>
      <c r="J844" s="7">
        <f t="shared" si="390"/>
        <v>0</v>
      </c>
      <c r="K844" s="276"/>
    </row>
    <row r="845" spans="2:11" outlineLevel="1">
      <c r="B845" s="303" t="s">
        <v>696</v>
      </c>
      <c r="C845" s="723" t="s">
        <v>141</v>
      </c>
      <c r="D845" s="724">
        <v>3.5</v>
      </c>
      <c r="E845" s="7">
        <v>350</v>
      </c>
      <c r="F845" s="287"/>
      <c r="G845" s="145">
        <f t="shared" si="397"/>
        <v>350</v>
      </c>
      <c r="H845" s="145">
        <f t="shared" si="395"/>
        <v>1225</v>
      </c>
      <c r="I845" s="146">
        <f t="shared" si="396"/>
        <v>0</v>
      </c>
      <c r="J845" s="7">
        <f t="shared" si="390"/>
        <v>1225</v>
      </c>
      <c r="K845" s="276"/>
    </row>
    <row r="846" spans="2:11">
      <c r="B846" s="694" t="s">
        <v>700</v>
      </c>
      <c r="C846" s="285"/>
      <c r="D846" s="286"/>
      <c r="E846" s="7" t="s">
        <v>27</v>
      </c>
      <c r="F846" s="287" t="s">
        <v>27</v>
      </c>
      <c r="G846" s="145"/>
      <c r="H846" s="145"/>
      <c r="I846" s="146"/>
      <c r="J846" s="7">
        <f t="shared" si="390"/>
        <v>0</v>
      </c>
      <c r="K846" s="276">
        <f>SUM(H846:H850)+SUM(I846:I850)*TC</f>
        <v>30798.493499999997</v>
      </c>
    </row>
    <row r="847" spans="2:11" outlineLevel="1">
      <c r="B847" s="150" t="s">
        <v>701</v>
      </c>
      <c r="C847" s="285" t="s">
        <v>141</v>
      </c>
      <c r="D847" s="286">
        <v>764.40000000000009</v>
      </c>
      <c r="E847" s="7">
        <v>6.67</v>
      </c>
      <c r="F847" s="287">
        <v>2.8448000000000002</v>
      </c>
      <c r="G847" s="145">
        <f>+ROUND(E847+F847*TC,2)</f>
        <v>16.2</v>
      </c>
      <c r="H847" s="145">
        <f t="shared" si="367"/>
        <v>5098.55</v>
      </c>
      <c r="I847" s="146">
        <f t="shared" si="379"/>
        <v>2174.5700000000002</v>
      </c>
      <c r="J847" s="7">
        <f t="shared" si="390"/>
        <v>12383.36</v>
      </c>
      <c r="K847" s="289"/>
    </row>
    <row r="848" spans="2:11" outlineLevel="1">
      <c r="B848" s="150" t="s">
        <v>702</v>
      </c>
      <c r="C848" s="285" t="s">
        <v>141</v>
      </c>
      <c r="D848" s="286">
        <v>399.99999999999994</v>
      </c>
      <c r="E848" s="7">
        <v>7.86</v>
      </c>
      <c r="F848" s="287">
        <v>2.2400000000000002</v>
      </c>
      <c r="G848" s="145">
        <f>+ROUND(E848+F848*TC,2)</f>
        <v>15.36</v>
      </c>
      <c r="H848" s="145">
        <f t="shared" si="367"/>
        <v>3144</v>
      </c>
      <c r="I848" s="146">
        <f t="shared" si="379"/>
        <v>896</v>
      </c>
      <c r="J848" s="7">
        <f t="shared" si="390"/>
        <v>6145.6</v>
      </c>
      <c r="K848" s="289"/>
    </row>
    <row r="849" spans="2:11" outlineLevel="1">
      <c r="B849" s="150" t="s">
        <v>703</v>
      </c>
      <c r="C849" s="285" t="s">
        <v>141</v>
      </c>
      <c r="D849" s="286">
        <v>48.78</v>
      </c>
      <c r="E849" s="7">
        <v>7.86</v>
      </c>
      <c r="F849" s="287">
        <v>2.2400000000000002</v>
      </c>
      <c r="G849" s="145">
        <f>+ROUND(E849+F849*TC,2)</f>
        <v>15.36</v>
      </c>
      <c r="H849" s="145">
        <f t="shared" si="367"/>
        <v>383.41</v>
      </c>
      <c r="I849" s="146">
        <f t="shared" si="379"/>
        <v>109.27</v>
      </c>
      <c r="J849" s="7">
        <f t="shared" si="390"/>
        <v>749.46</v>
      </c>
      <c r="K849" s="289"/>
    </row>
    <row r="850" spans="2:11" outlineLevel="1">
      <c r="B850" s="150" t="s">
        <v>704</v>
      </c>
      <c r="C850" s="285" t="s">
        <v>141</v>
      </c>
      <c r="D850" s="286">
        <v>749.80999999999983</v>
      </c>
      <c r="E850" s="7">
        <v>7.86</v>
      </c>
      <c r="F850" s="287">
        <v>2.2400000000000002</v>
      </c>
      <c r="G850" s="145">
        <f>+ROUND(E850+F850*TC,2)</f>
        <v>15.36</v>
      </c>
      <c r="H850" s="145">
        <f t="shared" ref="H850" si="398">+ROUND(D850*E850,2)</f>
        <v>5893.51</v>
      </c>
      <c r="I850" s="146">
        <f t="shared" ref="I850" si="399">+ROUND(D850*F850,2)</f>
        <v>1679.57</v>
      </c>
      <c r="J850" s="7">
        <f t="shared" si="390"/>
        <v>11520.07</v>
      </c>
      <c r="K850" s="289"/>
    </row>
    <row r="851" spans="2:11">
      <c r="B851" s="694" t="s">
        <v>705</v>
      </c>
      <c r="C851" s="285"/>
      <c r="D851" s="286"/>
      <c r="E851" s="7" t="s">
        <v>27</v>
      </c>
      <c r="F851" s="287" t="s">
        <v>27</v>
      </c>
      <c r="G851" s="145"/>
      <c r="H851" s="145"/>
      <c r="I851" s="146"/>
      <c r="J851" s="7">
        <f t="shared" si="390"/>
        <v>0</v>
      </c>
      <c r="K851" s="276">
        <f>SUM(H851:H857)+SUM(I851:I857)*TC</f>
        <v>812509.06599999999</v>
      </c>
    </row>
    <row r="852" spans="2:11" outlineLevel="1">
      <c r="B852" s="349" t="s">
        <v>259</v>
      </c>
      <c r="C852" s="285"/>
      <c r="D852" s="286"/>
      <c r="E852" s="7" t="s">
        <v>27</v>
      </c>
      <c r="F852" s="287" t="s">
        <v>27</v>
      </c>
      <c r="G852" s="145"/>
      <c r="H852" s="145"/>
      <c r="I852" s="146"/>
      <c r="J852" s="7">
        <f t="shared" si="390"/>
        <v>0</v>
      </c>
      <c r="K852" s="289"/>
    </row>
    <row r="853" spans="2:11" outlineLevel="1">
      <c r="B853" s="702" t="s">
        <v>706</v>
      </c>
      <c r="C853" s="285"/>
      <c r="D853" s="286"/>
      <c r="E853" s="7" t="s">
        <v>27</v>
      </c>
      <c r="F853" s="287" t="s">
        <v>27</v>
      </c>
      <c r="G853" s="145"/>
      <c r="H853" s="145"/>
      <c r="I853" s="146"/>
      <c r="J853" s="7">
        <f t="shared" si="390"/>
        <v>0</v>
      </c>
      <c r="K853" s="276"/>
    </row>
    <row r="854" spans="2:11" outlineLevel="1">
      <c r="B854" s="357" t="s">
        <v>707</v>
      </c>
      <c r="C854" s="285"/>
      <c r="D854" s="286"/>
      <c r="E854" s="7" t="s">
        <v>27</v>
      </c>
      <c r="F854" s="287" t="s">
        <v>27</v>
      </c>
      <c r="G854" s="145"/>
      <c r="H854" s="145"/>
      <c r="I854" s="146"/>
      <c r="J854" s="7">
        <f t="shared" si="390"/>
        <v>0</v>
      </c>
      <c r="K854" s="276"/>
    </row>
    <row r="855" spans="2:11" outlineLevel="1">
      <c r="B855" s="150" t="s">
        <v>708</v>
      </c>
      <c r="C855" s="285" t="s">
        <v>82</v>
      </c>
      <c r="D855" s="286">
        <v>30719.200000000001</v>
      </c>
      <c r="E855" s="7">
        <v>10.5</v>
      </c>
      <c r="F855" s="287">
        <v>0</v>
      </c>
      <c r="G855" s="145">
        <f>+ROUND(E855+F855*TC,2)</f>
        <v>10.5</v>
      </c>
      <c r="H855" s="145">
        <f t="shared" ref="H855:H931" si="400">+ROUND(D855*E855,2)</f>
        <v>322551.59999999998</v>
      </c>
      <c r="I855" s="146">
        <f t="shared" si="379"/>
        <v>0</v>
      </c>
      <c r="J855" s="7">
        <f t="shared" si="390"/>
        <v>322551.59999999998</v>
      </c>
      <c r="K855" s="289"/>
    </row>
    <row r="856" spans="2:11" outlineLevel="1">
      <c r="B856" s="5" t="s">
        <v>709</v>
      </c>
      <c r="C856" s="285" t="s">
        <v>82</v>
      </c>
      <c r="D856" s="286">
        <v>30719.200000000001</v>
      </c>
      <c r="E856" s="7">
        <v>6.5</v>
      </c>
      <c r="F856" s="287">
        <v>1.53</v>
      </c>
      <c r="G856" s="145">
        <f>+ROUND(E856+F856*TC,2)</f>
        <v>11.63</v>
      </c>
      <c r="H856" s="145">
        <f t="shared" si="400"/>
        <v>199674.8</v>
      </c>
      <c r="I856" s="146">
        <f t="shared" si="379"/>
        <v>47000.38</v>
      </c>
      <c r="J856" s="7">
        <f t="shared" si="390"/>
        <v>357126.07</v>
      </c>
      <c r="K856" s="289"/>
    </row>
    <row r="857" spans="2:11" outlineLevel="1">
      <c r="B857" s="43" t="s">
        <v>710</v>
      </c>
      <c r="C857" s="285" t="s">
        <v>141</v>
      </c>
      <c r="D857" s="286">
        <v>15652.08</v>
      </c>
      <c r="E857" s="7">
        <v>4.5</v>
      </c>
      <c r="F857" s="287">
        <v>1.19</v>
      </c>
      <c r="G857" s="145">
        <f>+ROUND(E857+F857*TC,2)</f>
        <v>8.49</v>
      </c>
      <c r="H857" s="145">
        <f t="shared" si="400"/>
        <v>70434.36</v>
      </c>
      <c r="I857" s="146">
        <f t="shared" si="379"/>
        <v>18625.98</v>
      </c>
      <c r="J857" s="7">
        <f t="shared" si="390"/>
        <v>132831.39000000001</v>
      </c>
      <c r="K857" s="289"/>
    </row>
    <row r="858" spans="2:11">
      <c r="B858" s="694" t="s">
        <v>711</v>
      </c>
      <c r="C858" s="285"/>
      <c r="D858" s="286"/>
      <c r="E858" s="7" t="s">
        <v>27</v>
      </c>
      <c r="F858" s="287" t="s">
        <v>27</v>
      </c>
      <c r="G858" s="145"/>
      <c r="H858" s="145"/>
      <c r="I858" s="146"/>
      <c r="J858" s="7">
        <f t="shared" si="390"/>
        <v>0</v>
      </c>
      <c r="K858" s="276">
        <f>SUM(H859:H927)+SUM(I859:I927)*TC</f>
        <v>1145667.3500000001</v>
      </c>
    </row>
    <row r="859" spans="2:11" outlineLevel="1">
      <c r="B859" s="349" t="s">
        <v>259</v>
      </c>
      <c r="C859" s="285"/>
      <c r="D859" s="286"/>
      <c r="E859" s="7" t="s">
        <v>27</v>
      </c>
      <c r="F859" s="287" t="s">
        <v>27</v>
      </c>
      <c r="G859" s="145"/>
      <c r="H859" s="145"/>
      <c r="I859" s="146"/>
      <c r="J859" s="7">
        <f t="shared" si="390"/>
        <v>0</v>
      </c>
      <c r="K859" s="289"/>
    </row>
    <row r="860" spans="2:11" outlineLevel="1">
      <c r="B860" s="702" t="s">
        <v>706</v>
      </c>
      <c r="C860" s="285"/>
      <c r="D860" s="286"/>
      <c r="E860" s="7" t="s">
        <v>27</v>
      </c>
      <c r="F860" s="287" t="s">
        <v>27</v>
      </c>
      <c r="G860" s="145"/>
      <c r="H860" s="145"/>
      <c r="I860" s="146"/>
      <c r="J860" s="7">
        <f t="shared" si="390"/>
        <v>0</v>
      </c>
      <c r="K860" s="276"/>
    </row>
    <row r="861" spans="2:11" outlineLevel="1">
      <c r="B861" s="725" t="s">
        <v>268</v>
      </c>
      <c r="C861" s="285"/>
      <c r="D861" s="286"/>
      <c r="E861" s="7" t="s">
        <v>27</v>
      </c>
      <c r="F861" s="287" t="s">
        <v>27</v>
      </c>
      <c r="G861" s="145"/>
      <c r="H861" s="145"/>
      <c r="I861" s="146"/>
      <c r="J861" s="7">
        <f t="shared" si="390"/>
        <v>0</v>
      </c>
      <c r="K861" s="276"/>
    </row>
    <row r="862" spans="2:11" outlineLevel="1">
      <c r="B862" s="150" t="s">
        <v>712</v>
      </c>
      <c r="C862" s="285" t="s">
        <v>82</v>
      </c>
      <c r="D862" s="286">
        <v>5496.9027749999987</v>
      </c>
      <c r="E862" s="7">
        <v>27</v>
      </c>
      <c r="F862" s="287">
        <v>0</v>
      </c>
      <c r="G862" s="145">
        <f>+ROUND(E862+F862*TC,2)</f>
        <v>27</v>
      </c>
      <c r="H862" s="145">
        <f t="shared" si="400"/>
        <v>148416.37</v>
      </c>
      <c r="I862" s="146">
        <f t="shared" ref="I862:I931" si="401">+ROUND(D862*F862,2)</f>
        <v>0</v>
      </c>
      <c r="J862" s="7">
        <f t="shared" si="390"/>
        <v>148416.37</v>
      </c>
      <c r="K862" s="289"/>
    </row>
    <row r="863" spans="2:11" outlineLevel="1">
      <c r="B863" s="725" t="s">
        <v>713</v>
      </c>
      <c r="C863" s="285"/>
      <c r="D863" s="286"/>
      <c r="E863" s="7" t="s">
        <v>27</v>
      </c>
      <c r="F863" s="287" t="s">
        <v>27</v>
      </c>
      <c r="G863" s="145"/>
      <c r="H863" s="145"/>
      <c r="I863" s="146"/>
      <c r="J863" s="7">
        <f t="shared" si="390"/>
        <v>0</v>
      </c>
      <c r="K863" s="289"/>
    </row>
    <row r="864" spans="2:11" outlineLevel="1">
      <c r="B864" s="150" t="s">
        <v>714</v>
      </c>
      <c r="C864" s="285" t="s">
        <v>82</v>
      </c>
      <c r="D864" s="286"/>
      <c r="E864" s="7">
        <v>27</v>
      </c>
      <c r="F864" s="287">
        <v>0</v>
      </c>
      <c r="G864" s="145">
        <f>+ROUND(E864+F864*TC,2)</f>
        <v>27</v>
      </c>
      <c r="H864" s="145">
        <f t="shared" si="400"/>
        <v>0</v>
      </c>
      <c r="I864" s="146">
        <f t="shared" si="401"/>
        <v>0</v>
      </c>
      <c r="J864" s="7">
        <f t="shared" si="390"/>
        <v>0</v>
      </c>
      <c r="K864" s="289"/>
    </row>
    <row r="865" spans="2:11" outlineLevel="1">
      <c r="B865" s="357" t="s">
        <v>372</v>
      </c>
      <c r="C865" s="285"/>
      <c r="D865" s="286"/>
      <c r="E865" s="7" t="s">
        <v>27</v>
      </c>
      <c r="F865" s="287" t="s">
        <v>27</v>
      </c>
      <c r="G865" s="145"/>
      <c r="H865" s="145"/>
      <c r="I865" s="146"/>
      <c r="J865" s="7">
        <f t="shared" si="390"/>
        <v>0</v>
      </c>
      <c r="K865" s="289"/>
    </row>
    <row r="866" spans="2:11" outlineLevel="1">
      <c r="B866" s="150" t="s">
        <v>714</v>
      </c>
      <c r="C866" s="285" t="s">
        <v>82</v>
      </c>
      <c r="D866" s="286"/>
      <c r="E866" s="7">
        <v>27.63</v>
      </c>
      <c r="F866" s="287">
        <v>0</v>
      </c>
      <c r="G866" s="145">
        <f>+ROUND(E866+F866*TC,2)</f>
        <v>27.63</v>
      </c>
      <c r="H866" s="145">
        <f t="shared" si="400"/>
        <v>0</v>
      </c>
      <c r="I866" s="146">
        <f t="shared" si="401"/>
        <v>0</v>
      </c>
      <c r="J866" s="7">
        <f t="shared" si="390"/>
        <v>0</v>
      </c>
      <c r="K866" s="289"/>
    </row>
    <row r="867" spans="2:11" outlineLevel="1">
      <c r="B867" s="357" t="s">
        <v>715</v>
      </c>
      <c r="C867" s="285"/>
      <c r="D867" s="286"/>
      <c r="E867" s="7" t="s">
        <v>27</v>
      </c>
      <c r="F867" s="287" t="s">
        <v>27</v>
      </c>
      <c r="G867" s="145"/>
      <c r="H867" s="145"/>
      <c r="I867" s="146"/>
      <c r="J867" s="7">
        <f t="shared" si="390"/>
        <v>0</v>
      </c>
      <c r="K867" s="289"/>
    </row>
    <row r="868" spans="2:11" outlineLevel="1">
      <c r="B868" s="150" t="s">
        <v>712</v>
      </c>
      <c r="C868" s="285" t="s">
        <v>82</v>
      </c>
      <c r="D868" s="286">
        <v>3020.5224000000021</v>
      </c>
      <c r="E868" s="7">
        <v>27</v>
      </c>
      <c r="F868" s="287">
        <v>0</v>
      </c>
      <c r="G868" s="145">
        <f>+ROUND(E868+F868*TC,2)</f>
        <v>27</v>
      </c>
      <c r="H868" s="145">
        <f t="shared" si="400"/>
        <v>81554.100000000006</v>
      </c>
      <c r="I868" s="146">
        <f t="shared" si="401"/>
        <v>0</v>
      </c>
      <c r="J868" s="7">
        <f t="shared" si="390"/>
        <v>81554.100000000006</v>
      </c>
      <c r="K868" s="289"/>
    </row>
    <row r="869" spans="2:11" outlineLevel="1">
      <c r="B869" s="725" t="s">
        <v>716</v>
      </c>
      <c r="C869" s="285"/>
      <c r="D869" s="286"/>
      <c r="E869" s="7" t="s">
        <v>27</v>
      </c>
      <c r="F869" s="287" t="s">
        <v>27</v>
      </c>
      <c r="G869" s="145"/>
      <c r="H869" s="145"/>
      <c r="I869" s="146"/>
      <c r="J869" s="7">
        <f t="shared" si="390"/>
        <v>0</v>
      </c>
      <c r="K869" s="289"/>
    </row>
    <row r="870" spans="2:11" outlineLevel="1">
      <c r="B870" s="150" t="s">
        <v>717</v>
      </c>
      <c r="C870" s="285" t="s">
        <v>82</v>
      </c>
      <c r="D870" s="286">
        <v>4679</v>
      </c>
      <c r="E870" s="7">
        <v>27</v>
      </c>
      <c r="F870" s="287">
        <v>0</v>
      </c>
      <c r="G870" s="145">
        <f>+ROUND(E870+F870*TC,2)</f>
        <v>27</v>
      </c>
      <c r="H870" s="145">
        <f t="shared" si="400"/>
        <v>126333</v>
      </c>
      <c r="I870" s="146">
        <f t="shared" si="401"/>
        <v>0</v>
      </c>
      <c r="J870" s="7">
        <f t="shared" si="390"/>
        <v>126333</v>
      </c>
      <c r="K870" s="289"/>
    </row>
    <row r="871" spans="2:11" outlineLevel="1">
      <c r="B871" s="702" t="s">
        <v>718</v>
      </c>
      <c r="C871" s="285"/>
      <c r="D871" s="286"/>
      <c r="E871" s="7" t="s">
        <v>27</v>
      </c>
      <c r="F871" s="287" t="s">
        <v>27</v>
      </c>
      <c r="G871" s="145"/>
      <c r="H871" s="145"/>
      <c r="I871" s="146"/>
      <c r="J871" s="7">
        <f t="shared" si="390"/>
        <v>0</v>
      </c>
      <c r="K871" s="276"/>
    </row>
    <row r="872" spans="2:11" outlineLevel="1">
      <c r="B872" s="357" t="s">
        <v>719</v>
      </c>
      <c r="C872" s="285"/>
      <c r="D872" s="286"/>
      <c r="E872" s="7" t="s">
        <v>27</v>
      </c>
      <c r="F872" s="287" t="s">
        <v>27</v>
      </c>
      <c r="G872" s="145"/>
      <c r="H872" s="145"/>
      <c r="I872" s="146"/>
      <c r="J872" s="7">
        <f t="shared" si="390"/>
        <v>0</v>
      </c>
      <c r="K872" s="276"/>
    </row>
    <row r="873" spans="2:11" outlineLevel="1">
      <c r="B873" s="150" t="s">
        <v>720</v>
      </c>
      <c r="C873" s="285" t="s">
        <v>82</v>
      </c>
      <c r="D873" s="286">
        <v>13144.359999999999</v>
      </c>
      <c r="E873" s="7">
        <v>25.5</v>
      </c>
      <c r="F873" s="287">
        <v>0</v>
      </c>
      <c r="G873" s="145">
        <f>+ROUND(E873+F873*TC,2)</f>
        <v>25.5</v>
      </c>
      <c r="H873" s="145">
        <f t="shared" si="400"/>
        <v>335181.18</v>
      </c>
      <c r="I873" s="146">
        <f t="shared" si="401"/>
        <v>0</v>
      </c>
      <c r="J873" s="7">
        <f t="shared" si="390"/>
        <v>335181.18</v>
      </c>
      <c r="K873" s="289"/>
    </row>
    <row r="874" spans="2:11" outlineLevel="1">
      <c r="B874" s="725" t="s">
        <v>721</v>
      </c>
      <c r="C874" s="285"/>
      <c r="D874" s="286"/>
      <c r="E874" s="7" t="s">
        <v>27</v>
      </c>
      <c r="F874" s="287" t="s">
        <v>27</v>
      </c>
      <c r="G874" s="145"/>
      <c r="H874" s="145"/>
      <c r="I874" s="146"/>
      <c r="J874" s="7">
        <f t="shared" si="390"/>
        <v>0</v>
      </c>
      <c r="K874" s="289"/>
    </row>
    <row r="875" spans="2:11" outlineLevel="1">
      <c r="B875" s="150" t="s">
        <v>720</v>
      </c>
      <c r="C875" s="285" t="s">
        <v>82</v>
      </c>
      <c r="D875" s="286">
        <v>2091.19</v>
      </c>
      <c r="E875" s="7">
        <v>26.5</v>
      </c>
      <c r="F875" s="287">
        <v>0</v>
      </c>
      <c r="G875" s="145">
        <f>+ROUND(E875+F875*TC,2)</f>
        <v>26.5</v>
      </c>
      <c r="H875" s="145">
        <f t="shared" si="400"/>
        <v>55416.54</v>
      </c>
      <c r="I875" s="146">
        <f t="shared" si="401"/>
        <v>0</v>
      </c>
      <c r="J875" s="7">
        <f t="shared" si="390"/>
        <v>55416.54</v>
      </c>
      <c r="K875" s="289"/>
    </row>
    <row r="876" spans="2:11" outlineLevel="1">
      <c r="B876" s="357" t="s">
        <v>722</v>
      </c>
      <c r="C876" s="285"/>
      <c r="D876" s="286"/>
      <c r="E876" s="7" t="s">
        <v>27</v>
      </c>
      <c r="F876" s="287" t="s">
        <v>27</v>
      </c>
      <c r="G876" s="145"/>
      <c r="H876" s="145"/>
      <c r="I876" s="146"/>
      <c r="J876" s="7">
        <f t="shared" si="390"/>
        <v>0</v>
      </c>
      <c r="K876" s="289"/>
    </row>
    <row r="877" spans="2:11" outlineLevel="1">
      <c r="B877" s="150" t="s">
        <v>720</v>
      </c>
      <c r="C877" s="285" t="s">
        <v>82</v>
      </c>
      <c r="D877" s="286">
        <v>0</v>
      </c>
      <c r="E877" s="7">
        <v>25.5</v>
      </c>
      <c r="F877" s="287">
        <v>0</v>
      </c>
      <c r="G877" s="145">
        <f>+ROUND(E877+F877*TC,2)</f>
        <v>25.5</v>
      </c>
      <c r="H877" s="145">
        <f t="shared" ref="H877" si="402">+ROUND(D877*E877,2)</f>
        <v>0</v>
      </c>
      <c r="I877" s="146">
        <f t="shared" si="401"/>
        <v>0</v>
      </c>
      <c r="J877" s="7">
        <f t="shared" si="390"/>
        <v>0</v>
      </c>
      <c r="K877" s="289"/>
    </row>
    <row r="878" spans="2:11" outlineLevel="1">
      <c r="B878" s="349" t="s">
        <v>325</v>
      </c>
      <c r="C878" s="302"/>
      <c r="D878" s="351"/>
      <c r="E878" s="7" t="s">
        <v>27</v>
      </c>
      <c r="F878" s="287" t="s">
        <v>27</v>
      </c>
      <c r="G878" s="145"/>
      <c r="H878" s="145"/>
      <c r="I878" s="146"/>
      <c r="J878" s="7">
        <f t="shared" si="390"/>
        <v>0</v>
      </c>
      <c r="K878" s="289"/>
    </row>
    <row r="879" spans="2:11" outlineLevel="1">
      <c r="B879" s="702" t="s">
        <v>706</v>
      </c>
      <c r="C879" s="302"/>
      <c r="D879" s="351"/>
      <c r="E879" s="7" t="s">
        <v>27</v>
      </c>
      <c r="F879" s="287" t="s">
        <v>27</v>
      </c>
      <c r="G879" s="145"/>
      <c r="H879" s="145"/>
      <c r="I879" s="146"/>
      <c r="J879" s="7">
        <f t="shared" si="390"/>
        <v>0</v>
      </c>
      <c r="K879" s="289"/>
    </row>
    <row r="880" spans="2:11" outlineLevel="1">
      <c r="B880" s="726" t="s">
        <v>723</v>
      </c>
      <c r="C880" s="302" t="s">
        <v>82</v>
      </c>
      <c r="D880" s="351"/>
      <c r="E880" s="7">
        <v>0</v>
      </c>
      <c r="F880" s="287">
        <v>0</v>
      </c>
      <c r="G880" s="145">
        <f t="shared" ref="G880:G883" si="403">+ROUND(E880+F880*TC,2)</f>
        <v>0</v>
      </c>
      <c r="H880" s="145">
        <f t="shared" ref="H880:H883" si="404">+ROUND(D880*E880,2)</f>
        <v>0</v>
      </c>
      <c r="I880" s="146">
        <f t="shared" si="401"/>
        <v>0</v>
      </c>
      <c r="J880" s="7">
        <f t="shared" si="390"/>
        <v>0</v>
      </c>
      <c r="K880" s="289"/>
    </row>
    <row r="881" spans="2:11" outlineLevel="1">
      <c r="B881" s="726" t="s">
        <v>724</v>
      </c>
      <c r="C881" s="302" t="s">
        <v>82</v>
      </c>
      <c r="D881" s="351">
        <v>218.2</v>
      </c>
      <c r="E881" s="7">
        <v>27</v>
      </c>
      <c r="F881" s="287">
        <v>0</v>
      </c>
      <c r="G881" s="145">
        <f t="shared" si="403"/>
        <v>27</v>
      </c>
      <c r="H881" s="145">
        <f t="shared" si="404"/>
        <v>5891.4</v>
      </c>
      <c r="I881" s="146">
        <f t="shared" si="401"/>
        <v>0</v>
      </c>
      <c r="J881" s="7">
        <f t="shared" ref="J881:J949" si="405">+ROUND(H881+I881*TC,2)</f>
        <v>5891.4</v>
      </c>
      <c r="K881" s="289"/>
    </row>
    <row r="882" spans="2:11" outlineLevel="1">
      <c r="B882" s="702" t="s">
        <v>718</v>
      </c>
      <c r="C882" s="302"/>
      <c r="D882" s="351"/>
      <c r="E882" s="7" t="s">
        <v>27</v>
      </c>
      <c r="F882" s="287" t="s">
        <v>27</v>
      </c>
      <c r="G882" s="145"/>
      <c r="H882" s="145"/>
      <c r="I882" s="146"/>
      <c r="J882" s="7">
        <f t="shared" si="405"/>
        <v>0</v>
      </c>
      <c r="K882" s="289"/>
    </row>
    <row r="883" spans="2:11" outlineLevel="1">
      <c r="B883" s="150" t="s">
        <v>720</v>
      </c>
      <c r="C883" s="302" t="s">
        <v>82</v>
      </c>
      <c r="D883" s="351">
        <v>30.1</v>
      </c>
      <c r="E883" s="7">
        <v>25.5</v>
      </c>
      <c r="F883" s="287">
        <v>0</v>
      </c>
      <c r="G883" s="145">
        <f t="shared" si="403"/>
        <v>25.5</v>
      </c>
      <c r="H883" s="145">
        <f t="shared" si="404"/>
        <v>767.55</v>
      </c>
      <c r="I883" s="146">
        <f t="shared" si="401"/>
        <v>0</v>
      </c>
      <c r="J883" s="7">
        <f t="shared" si="405"/>
        <v>767.55</v>
      </c>
      <c r="K883" s="289"/>
    </row>
    <row r="884" spans="2:11" outlineLevel="1">
      <c r="B884" s="349" t="s">
        <v>59</v>
      </c>
      <c r="C884" s="302"/>
      <c r="D884" s="351"/>
      <c r="E884" s="7" t="s">
        <v>27</v>
      </c>
      <c r="F884" s="287" t="s">
        <v>27</v>
      </c>
      <c r="G884" s="145"/>
      <c r="H884" s="145"/>
      <c r="I884" s="146"/>
      <c r="J884" s="7">
        <f t="shared" si="405"/>
        <v>0</v>
      </c>
      <c r="K884" s="289"/>
    </row>
    <row r="885" spans="2:11" outlineLevel="1">
      <c r="B885" s="702" t="s">
        <v>706</v>
      </c>
      <c r="C885" s="302"/>
      <c r="D885" s="351"/>
      <c r="E885" s="7" t="s">
        <v>27</v>
      </c>
      <c r="F885" s="287" t="s">
        <v>27</v>
      </c>
      <c r="G885" s="145"/>
      <c r="H885" s="145"/>
      <c r="I885" s="146"/>
      <c r="J885" s="7">
        <f t="shared" si="405"/>
        <v>0</v>
      </c>
      <c r="K885" s="289"/>
    </row>
    <row r="886" spans="2:11" outlineLevel="1">
      <c r="B886" s="150" t="s">
        <v>725</v>
      </c>
      <c r="C886" s="302" t="s">
        <v>82</v>
      </c>
      <c r="D886" s="351">
        <v>0</v>
      </c>
      <c r="E886" s="7">
        <v>25.5</v>
      </c>
      <c r="F886" s="287">
        <v>0</v>
      </c>
      <c r="G886" s="145">
        <f t="shared" ref="G886:G889" si="406">+ROUND(E886+F886*TC,2)</f>
        <v>25.5</v>
      </c>
      <c r="H886" s="145">
        <f t="shared" ref="H886:H889" si="407">+ROUND(D886*E886,2)</f>
        <v>0</v>
      </c>
      <c r="I886" s="146">
        <f t="shared" ref="I886:I889" si="408">+ROUND(D886*F886,2)</f>
        <v>0</v>
      </c>
      <c r="J886" s="7">
        <f t="shared" si="405"/>
        <v>0</v>
      </c>
      <c r="K886" s="289"/>
    </row>
    <row r="887" spans="2:11" outlineLevel="1">
      <c r="B887" s="726" t="s">
        <v>724</v>
      </c>
      <c r="C887" s="302" t="s">
        <v>82</v>
      </c>
      <c r="D887" s="351">
        <v>190.34</v>
      </c>
      <c r="E887" s="7">
        <v>27</v>
      </c>
      <c r="F887" s="287">
        <v>0</v>
      </c>
      <c r="G887" s="145">
        <f t="shared" si="406"/>
        <v>27</v>
      </c>
      <c r="H887" s="145">
        <f t="shared" si="407"/>
        <v>5139.18</v>
      </c>
      <c r="I887" s="146">
        <f t="shared" si="408"/>
        <v>0</v>
      </c>
      <c r="J887" s="7">
        <f t="shared" si="405"/>
        <v>5139.18</v>
      </c>
      <c r="K887" s="289"/>
    </row>
    <row r="888" spans="2:11" outlineLevel="1">
      <c r="B888" s="702" t="s">
        <v>718</v>
      </c>
      <c r="C888" s="302"/>
      <c r="D888" s="351"/>
      <c r="E888" s="7" t="s">
        <v>27</v>
      </c>
      <c r="F888" s="287" t="s">
        <v>27</v>
      </c>
      <c r="G888" s="145"/>
      <c r="H888" s="145"/>
      <c r="I888" s="146"/>
      <c r="J888" s="7">
        <f t="shared" si="405"/>
        <v>0</v>
      </c>
      <c r="K888" s="289"/>
    </row>
    <row r="889" spans="2:11" outlineLevel="1">
      <c r="B889" s="150" t="s">
        <v>720</v>
      </c>
      <c r="C889" s="302" t="s">
        <v>82</v>
      </c>
      <c r="D889" s="351">
        <v>32.71</v>
      </c>
      <c r="E889" s="7">
        <v>25.5</v>
      </c>
      <c r="F889" s="287">
        <v>0</v>
      </c>
      <c r="G889" s="145">
        <f t="shared" si="406"/>
        <v>25.5</v>
      </c>
      <c r="H889" s="145">
        <f t="shared" si="407"/>
        <v>834.11</v>
      </c>
      <c r="I889" s="146">
        <f t="shared" si="408"/>
        <v>0</v>
      </c>
      <c r="J889" s="7">
        <f t="shared" si="405"/>
        <v>834.11</v>
      </c>
      <c r="K889" s="289"/>
    </row>
    <row r="890" spans="2:11" outlineLevel="1">
      <c r="B890" s="349" t="s">
        <v>726</v>
      </c>
      <c r="C890" s="285"/>
      <c r="D890" s="286"/>
      <c r="E890" s="7" t="s">
        <v>27</v>
      </c>
      <c r="F890" s="287" t="s">
        <v>27</v>
      </c>
      <c r="G890" s="145"/>
      <c r="H890" s="145"/>
      <c r="I890" s="146"/>
      <c r="J890" s="7">
        <f t="shared" si="405"/>
        <v>0</v>
      </c>
      <c r="K890" s="289"/>
    </row>
    <row r="891" spans="2:11" outlineLevel="1">
      <c r="B891" s="702" t="s">
        <v>706</v>
      </c>
      <c r="C891" s="302"/>
      <c r="D891" s="351"/>
      <c r="E891" s="7" t="s">
        <v>27</v>
      </c>
      <c r="F891" s="287" t="s">
        <v>27</v>
      </c>
      <c r="G891" s="145"/>
      <c r="H891" s="145"/>
      <c r="I891" s="146"/>
      <c r="J891" s="7">
        <f t="shared" si="405"/>
        <v>0</v>
      </c>
      <c r="K891" s="276"/>
    </row>
    <row r="892" spans="2:11" ht="22.5" outlineLevel="1">
      <c r="B892" s="726" t="s">
        <v>727</v>
      </c>
      <c r="C892" s="727" t="s">
        <v>82</v>
      </c>
      <c r="D892" s="728">
        <v>36.037499999999994</v>
      </c>
      <c r="E892" s="7">
        <v>27</v>
      </c>
      <c r="F892" s="287">
        <v>0</v>
      </c>
      <c r="G892" s="145">
        <f t="shared" ref="G892:G898" si="409">+ROUND(E892+F892*TC,2)</f>
        <v>27</v>
      </c>
      <c r="H892" s="145">
        <f t="shared" ref="H892:H898" si="410">+ROUND(D892*E892,2)</f>
        <v>973.01</v>
      </c>
      <c r="I892" s="146">
        <f t="shared" ref="I892:I898" si="411">+ROUND(D892*F892,2)</f>
        <v>0</v>
      </c>
      <c r="J892" s="7">
        <f t="shared" si="405"/>
        <v>973.01</v>
      </c>
      <c r="K892" s="276"/>
    </row>
    <row r="893" spans="2:11" outlineLevel="1">
      <c r="B893" s="726" t="s">
        <v>728</v>
      </c>
      <c r="C893" s="727" t="s">
        <v>82</v>
      </c>
      <c r="D893" s="728">
        <v>38.917999999999999</v>
      </c>
      <c r="E893" s="7">
        <v>27</v>
      </c>
      <c r="F893" s="287">
        <v>0</v>
      </c>
      <c r="G893" s="145">
        <f t="shared" si="409"/>
        <v>27</v>
      </c>
      <c r="H893" s="145">
        <f t="shared" si="410"/>
        <v>1050.79</v>
      </c>
      <c r="I893" s="146">
        <f t="shared" si="411"/>
        <v>0</v>
      </c>
      <c r="J893" s="7">
        <f t="shared" si="405"/>
        <v>1050.79</v>
      </c>
      <c r="K893" s="276"/>
    </row>
    <row r="894" spans="2:11" outlineLevel="1">
      <c r="B894" s="726" t="s">
        <v>729</v>
      </c>
      <c r="C894" s="302" t="s">
        <v>82</v>
      </c>
      <c r="D894" s="351">
        <v>26.201800000000002</v>
      </c>
      <c r="E894" s="7">
        <v>75</v>
      </c>
      <c r="F894" s="287">
        <v>0</v>
      </c>
      <c r="G894" s="145">
        <f t="shared" si="409"/>
        <v>75</v>
      </c>
      <c r="H894" s="145">
        <f t="shared" si="410"/>
        <v>1965.14</v>
      </c>
      <c r="I894" s="146">
        <f t="shared" si="411"/>
        <v>0</v>
      </c>
      <c r="J894" s="7">
        <f t="shared" si="405"/>
        <v>1965.14</v>
      </c>
      <c r="K894" s="276"/>
    </row>
    <row r="895" spans="2:11" ht="22.5" outlineLevel="1">
      <c r="B895" s="150" t="s">
        <v>730</v>
      </c>
      <c r="C895" s="302" t="s">
        <v>82</v>
      </c>
      <c r="D895" s="351">
        <v>15.136800000000001</v>
      </c>
      <c r="E895" s="7">
        <v>27</v>
      </c>
      <c r="F895" s="287">
        <v>0</v>
      </c>
      <c r="G895" s="145">
        <f t="shared" si="409"/>
        <v>27</v>
      </c>
      <c r="H895" s="145">
        <f t="shared" si="410"/>
        <v>408.69</v>
      </c>
      <c r="I895" s="146">
        <f t="shared" si="411"/>
        <v>0</v>
      </c>
      <c r="J895" s="7">
        <f t="shared" si="405"/>
        <v>408.69</v>
      </c>
      <c r="K895" s="276"/>
    </row>
    <row r="896" spans="2:11" ht="22.5" outlineLevel="1">
      <c r="B896" s="726" t="s">
        <v>731</v>
      </c>
      <c r="C896" s="302" t="s">
        <v>82</v>
      </c>
      <c r="D896" s="351">
        <v>9.3255999999999997</v>
      </c>
      <c r="E896" s="7">
        <v>27</v>
      </c>
      <c r="F896" s="287">
        <v>0</v>
      </c>
      <c r="G896" s="145">
        <f t="shared" si="409"/>
        <v>27</v>
      </c>
      <c r="H896" s="145">
        <f t="shared" si="410"/>
        <v>251.79</v>
      </c>
      <c r="I896" s="146">
        <f t="shared" si="411"/>
        <v>0</v>
      </c>
      <c r="J896" s="7">
        <f t="shared" si="405"/>
        <v>251.79</v>
      </c>
      <c r="K896" s="276"/>
    </row>
    <row r="897" spans="2:11" outlineLevel="1">
      <c r="B897" s="726" t="s">
        <v>732</v>
      </c>
      <c r="C897" s="302" t="s">
        <v>82</v>
      </c>
      <c r="D897" s="351">
        <v>33.115499999999997</v>
      </c>
      <c r="E897" s="7">
        <v>27</v>
      </c>
      <c r="F897" s="287">
        <v>0</v>
      </c>
      <c r="G897" s="145">
        <f t="shared" si="409"/>
        <v>27</v>
      </c>
      <c r="H897" s="145">
        <f t="shared" si="410"/>
        <v>894.12</v>
      </c>
      <c r="I897" s="146">
        <f t="shared" si="411"/>
        <v>0</v>
      </c>
      <c r="J897" s="7">
        <f t="shared" si="405"/>
        <v>894.12</v>
      </c>
      <c r="K897" s="276"/>
    </row>
    <row r="898" spans="2:11" outlineLevel="1">
      <c r="B898" s="726" t="s">
        <v>733</v>
      </c>
      <c r="C898" s="302" t="s">
        <v>82</v>
      </c>
      <c r="D898" s="351">
        <v>5.1444000000000001</v>
      </c>
      <c r="E898" s="7">
        <v>27</v>
      </c>
      <c r="F898" s="287">
        <v>0</v>
      </c>
      <c r="G898" s="145">
        <f t="shared" si="409"/>
        <v>27</v>
      </c>
      <c r="H898" s="145">
        <f t="shared" si="410"/>
        <v>138.9</v>
      </c>
      <c r="I898" s="146">
        <f t="shared" si="411"/>
        <v>0</v>
      </c>
      <c r="J898" s="7">
        <f t="shared" si="405"/>
        <v>138.9</v>
      </c>
      <c r="K898" s="276"/>
    </row>
    <row r="899" spans="2:11" outlineLevel="1">
      <c r="B899" s="726" t="s">
        <v>2533</v>
      </c>
      <c r="C899" s="302" t="s">
        <v>82</v>
      </c>
      <c r="D899" s="351">
        <v>19.93</v>
      </c>
      <c r="E899" s="7">
        <v>27</v>
      </c>
      <c r="F899" s="287">
        <v>0</v>
      </c>
      <c r="G899" s="145">
        <f t="shared" ref="G899" si="412">+ROUND(E899+F899*TC,2)</f>
        <v>27</v>
      </c>
      <c r="H899" s="145">
        <f t="shared" ref="H899" si="413">+ROUND(D899*E899,2)</f>
        <v>538.11</v>
      </c>
      <c r="I899" s="146">
        <f t="shared" ref="I899" si="414">+ROUND(D899*F899,2)</f>
        <v>0</v>
      </c>
      <c r="J899" s="7">
        <f t="shared" ref="J899" si="415">+ROUND(H899+I899*TC,2)</f>
        <v>538.11</v>
      </c>
      <c r="K899" s="276"/>
    </row>
    <row r="900" spans="2:11" outlineLevel="1">
      <c r="B900" s="726" t="s">
        <v>734</v>
      </c>
      <c r="C900" s="302" t="s">
        <v>82</v>
      </c>
      <c r="D900" s="351">
        <v>1954.1395820000002</v>
      </c>
      <c r="E900" s="7">
        <v>26.5</v>
      </c>
      <c r="F900" s="287">
        <v>0</v>
      </c>
      <c r="G900" s="145">
        <f t="shared" ref="G900:G907" si="416">+ROUND(E900+F900*TC,2)</f>
        <v>26.5</v>
      </c>
      <c r="H900" s="145">
        <f t="shared" ref="H900:H907" si="417">+ROUND(D900*E900,2)</f>
        <v>51784.7</v>
      </c>
      <c r="I900" s="146">
        <f t="shared" ref="I900:I907" si="418">+ROUND(D900*F900,2)</f>
        <v>0</v>
      </c>
      <c r="J900" s="7">
        <f t="shared" ref="J900:J907" si="419">+ROUND(H900+I900*TC,2)</f>
        <v>51784.7</v>
      </c>
      <c r="K900" s="276"/>
    </row>
    <row r="901" spans="2:11" outlineLevel="1">
      <c r="B901" s="726" t="s">
        <v>735</v>
      </c>
      <c r="C901" s="302" t="s">
        <v>82</v>
      </c>
      <c r="D901" s="351">
        <v>6251.1215000000011</v>
      </c>
      <c r="E901" s="7">
        <v>26.5</v>
      </c>
      <c r="F901" s="287">
        <v>0</v>
      </c>
      <c r="G901" s="145">
        <f t="shared" si="416"/>
        <v>26.5</v>
      </c>
      <c r="H901" s="145">
        <f t="shared" si="417"/>
        <v>165654.72</v>
      </c>
      <c r="I901" s="146">
        <f t="shared" si="418"/>
        <v>0</v>
      </c>
      <c r="J901" s="7">
        <f t="shared" si="419"/>
        <v>165654.72</v>
      </c>
      <c r="K901" s="276"/>
    </row>
    <row r="902" spans="2:11" outlineLevel="1">
      <c r="B902" s="726" t="s">
        <v>736</v>
      </c>
      <c r="C902" s="302" t="s">
        <v>82</v>
      </c>
      <c r="D902" s="351">
        <v>585.77178059999994</v>
      </c>
      <c r="E902" s="7">
        <v>27</v>
      </c>
      <c r="F902" s="287">
        <v>0</v>
      </c>
      <c r="G902" s="145">
        <f t="shared" si="416"/>
        <v>27</v>
      </c>
      <c r="H902" s="145">
        <f t="shared" si="417"/>
        <v>15815.84</v>
      </c>
      <c r="I902" s="146">
        <f t="shared" si="418"/>
        <v>0</v>
      </c>
      <c r="J902" s="7">
        <f t="shared" si="419"/>
        <v>15815.84</v>
      </c>
      <c r="K902" s="276"/>
    </row>
    <row r="903" spans="2:11" outlineLevel="1">
      <c r="B903" s="726" t="s">
        <v>737</v>
      </c>
      <c r="C903" s="302" t="s">
        <v>82</v>
      </c>
      <c r="D903" s="351">
        <v>81.700010999999989</v>
      </c>
      <c r="E903" s="7">
        <v>27</v>
      </c>
      <c r="F903" s="287">
        <v>0</v>
      </c>
      <c r="G903" s="145">
        <f t="shared" si="416"/>
        <v>27</v>
      </c>
      <c r="H903" s="145">
        <f t="shared" si="417"/>
        <v>2205.9</v>
      </c>
      <c r="I903" s="146">
        <f t="shared" si="418"/>
        <v>0</v>
      </c>
      <c r="J903" s="7">
        <f t="shared" si="419"/>
        <v>2205.9</v>
      </c>
      <c r="K903" s="276"/>
    </row>
    <row r="904" spans="2:11" outlineLevel="1">
      <c r="B904" s="726" t="s">
        <v>738</v>
      </c>
      <c r="C904" s="302" t="s">
        <v>82</v>
      </c>
      <c r="D904" s="351">
        <v>124.69999999999999</v>
      </c>
      <c r="E904" s="7">
        <v>26.5</v>
      </c>
      <c r="F904" s="287">
        <v>0</v>
      </c>
      <c r="G904" s="145">
        <f t="shared" si="416"/>
        <v>26.5</v>
      </c>
      <c r="H904" s="145">
        <f t="shared" si="417"/>
        <v>3304.55</v>
      </c>
      <c r="I904" s="146">
        <f t="shared" si="418"/>
        <v>0</v>
      </c>
      <c r="J904" s="7">
        <f t="shared" si="419"/>
        <v>3304.55</v>
      </c>
      <c r="K904" s="276"/>
    </row>
    <row r="905" spans="2:11" outlineLevel="1">
      <c r="B905" s="726" t="s">
        <v>739</v>
      </c>
      <c r="C905" s="302" t="s">
        <v>82</v>
      </c>
      <c r="D905" s="351">
        <v>951.63600000000008</v>
      </c>
      <c r="E905" s="7">
        <v>26.5</v>
      </c>
      <c r="F905" s="287">
        <v>0</v>
      </c>
      <c r="G905" s="145">
        <f t="shared" si="416"/>
        <v>26.5</v>
      </c>
      <c r="H905" s="145">
        <f t="shared" si="417"/>
        <v>25218.35</v>
      </c>
      <c r="I905" s="146">
        <f t="shared" si="418"/>
        <v>0</v>
      </c>
      <c r="J905" s="7">
        <f t="shared" si="419"/>
        <v>25218.35</v>
      </c>
      <c r="K905" s="276"/>
    </row>
    <row r="906" spans="2:11" outlineLevel="1">
      <c r="B906" s="726" t="s">
        <v>740</v>
      </c>
      <c r="C906" s="302" t="s">
        <v>82</v>
      </c>
      <c r="D906" s="351">
        <v>450.6</v>
      </c>
      <c r="E906" s="7">
        <v>26.5</v>
      </c>
      <c r="F906" s="287">
        <v>0</v>
      </c>
      <c r="G906" s="145">
        <f t="shared" si="416"/>
        <v>26.5</v>
      </c>
      <c r="H906" s="145">
        <f t="shared" si="417"/>
        <v>11940.9</v>
      </c>
      <c r="I906" s="146">
        <f t="shared" si="418"/>
        <v>0</v>
      </c>
      <c r="J906" s="7">
        <f t="shared" si="419"/>
        <v>11940.9</v>
      </c>
      <c r="K906" s="276"/>
    </row>
    <row r="907" spans="2:11" outlineLevel="1">
      <c r="B907" s="726" t="s">
        <v>741</v>
      </c>
      <c r="C907" s="302" t="s">
        <v>141</v>
      </c>
      <c r="D907" s="351">
        <v>659.01</v>
      </c>
      <c r="E907" s="7">
        <v>18.7</v>
      </c>
      <c r="F907" s="287">
        <v>0</v>
      </c>
      <c r="G907" s="145">
        <f t="shared" si="416"/>
        <v>18.7</v>
      </c>
      <c r="H907" s="145">
        <f t="shared" si="417"/>
        <v>12323.49</v>
      </c>
      <c r="I907" s="146">
        <f t="shared" si="418"/>
        <v>0</v>
      </c>
      <c r="J907" s="7">
        <f t="shared" si="419"/>
        <v>12323.49</v>
      </c>
      <c r="K907" s="276"/>
    </row>
    <row r="908" spans="2:11" outlineLevel="1">
      <c r="B908" s="702" t="s">
        <v>718</v>
      </c>
      <c r="C908" s="302"/>
      <c r="D908" s="351"/>
      <c r="E908" s="7" t="s">
        <v>27</v>
      </c>
      <c r="F908" s="287" t="s">
        <v>27</v>
      </c>
      <c r="G908" s="145"/>
      <c r="H908" s="145"/>
      <c r="I908" s="146"/>
      <c r="J908" s="7">
        <f t="shared" si="405"/>
        <v>0</v>
      </c>
      <c r="K908" s="276"/>
    </row>
    <row r="909" spans="2:11" ht="22.5" outlineLevel="1">
      <c r="B909" s="729" t="s">
        <v>742</v>
      </c>
      <c r="C909" s="302" t="s">
        <v>82</v>
      </c>
      <c r="D909" s="351">
        <v>54.5</v>
      </c>
      <c r="E909" s="7">
        <v>27</v>
      </c>
      <c r="F909" s="287">
        <v>0</v>
      </c>
      <c r="G909" s="145">
        <f t="shared" ref="G909:G921" si="420">+ROUND(E909+F909*TC,2)</f>
        <v>27</v>
      </c>
      <c r="H909" s="145">
        <f t="shared" ref="H909:H921" si="421">+ROUND(D909*E909,2)</f>
        <v>1471.5</v>
      </c>
      <c r="I909" s="146">
        <f t="shared" ref="I909:I921" si="422">+ROUND(D909*F909,2)</f>
        <v>0</v>
      </c>
      <c r="J909" s="7">
        <f t="shared" si="405"/>
        <v>1471.5</v>
      </c>
      <c r="K909" s="276"/>
    </row>
    <row r="910" spans="2:11" outlineLevel="1">
      <c r="B910" s="729" t="s">
        <v>720</v>
      </c>
      <c r="C910" s="302" t="s">
        <v>82</v>
      </c>
      <c r="D910" s="351">
        <v>1800.2</v>
      </c>
      <c r="E910" s="7">
        <v>25.5</v>
      </c>
      <c r="F910" s="287">
        <v>0</v>
      </c>
      <c r="G910" s="145">
        <f t="shared" ref="G910" si="423">+ROUND(E910+F910*TC,2)</f>
        <v>25.5</v>
      </c>
      <c r="H910" s="145">
        <f t="shared" ref="H910" si="424">+ROUND(D910*E910,2)</f>
        <v>45905.1</v>
      </c>
      <c r="I910" s="146">
        <f t="shared" ref="I910" si="425">+ROUND(D910*F910,2)</f>
        <v>0</v>
      </c>
      <c r="J910" s="7">
        <f>+ROUND(H910+I910*TC,2)</f>
        <v>45905.1</v>
      </c>
      <c r="K910" s="276"/>
    </row>
    <row r="911" spans="2:11" ht="22.5" outlineLevel="1">
      <c r="B911" s="729" t="s">
        <v>742</v>
      </c>
      <c r="C911" s="302" t="s">
        <v>82</v>
      </c>
      <c r="D911" s="351">
        <v>10.5</v>
      </c>
      <c r="E911" s="7">
        <v>27</v>
      </c>
      <c r="F911" s="287">
        <v>0</v>
      </c>
      <c r="G911" s="145">
        <f t="shared" si="420"/>
        <v>27</v>
      </c>
      <c r="H911" s="145">
        <f t="shared" si="421"/>
        <v>283.5</v>
      </c>
      <c r="I911" s="146">
        <f t="shared" si="422"/>
        <v>0</v>
      </c>
      <c r="J911" s="7">
        <f t="shared" si="405"/>
        <v>283.5</v>
      </c>
      <c r="K911" s="276"/>
    </row>
    <row r="912" spans="2:11" ht="22.5" outlineLevel="1">
      <c r="B912" s="729" t="s">
        <v>744</v>
      </c>
      <c r="C912" s="302" t="s">
        <v>82</v>
      </c>
      <c r="D912" s="351">
        <v>103.3</v>
      </c>
      <c r="E912" s="7">
        <v>27</v>
      </c>
      <c r="F912" s="287">
        <v>0</v>
      </c>
      <c r="G912" s="145">
        <f t="shared" ref="G912:G920" si="426">+ROUND(E912+F912*TC,2)</f>
        <v>27</v>
      </c>
      <c r="H912" s="145">
        <f>+ROUND(D912*E912,2)</f>
        <v>2789.1</v>
      </c>
      <c r="I912" s="146">
        <f>+ROUND(D912*F912,2)</f>
        <v>0</v>
      </c>
      <c r="J912" s="7">
        <f t="shared" ref="J912:J920" si="427">+ROUND(H912+I912*TC,2)</f>
        <v>2789.1</v>
      </c>
      <c r="K912" s="276"/>
    </row>
    <row r="913" spans="2:11" outlineLevel="1">
      <c r="B913" s="729" t="s">
        <v>2535</v>
      </c>
      <c r="C913" s="302" t="s">
        <v>82</v>
      </c>
      <c r="D913" s="351">
        <v>26.6</v>
      </c>
      <c r="E913" s="7">
        <v>27</v>
      </c>
      <c r="F913" s="287">
        <v>0</v>
      </c>
      <c r="G913" s="145">
        <f t="shared" si="426"/>
        <v>27</v>
      </c>
      <c r="H913" s="145">
        <f t="shared" ref="H913:H914" si="428">+ROUND(D913*E913,2)</f>
        <v>718.2</v>
      </c>
      <c r="I913" s="146">
        <f t="shared" ref="I913:I914" si="429">+ROUND(D913*F913,2)</f>
        <v>0</v>
      </c>
      <c r="J913" s="7">
        <f t="shared" si="427"/>
        <v>718.2</v>
      </c>
      <c r="K913" s="276"/>
    </row>
    <row r="914" spans="2:11" outlineLevel="1">
      <c r="B914" s="729" t="s">
        <v>2535</v>
      </c>
      <c r="C914" s="302" t="s">
        <v>82</v>
      </c>
      <c r="D914" s="351">
        <v>4.3499999999999996</v>
      </c>
      <c r="E914" s="7">
        <v>27</v>
      </c>
      <c r="F914" s="287">
        <v>0</v>
      </c>
      <c r="G914" s="145">
        <f t="shared" si="426"/>
        <v>27</v>
      </c>
      <c r="H914" s="145">
        <f t="shared" si="428"/>
        <v>117.45</v>
      </c>
      <c r="I914" s="146">
        <f t="shared" si="429"/>
        <v>0</v>
      </c>
      <c r="J914" s="7">
        <f t="shared" si="427"/>
        <v>117.45</v>
      </c>
      <c r="K914" s="276"/>
    </row>
    <row r="915" spans="2:11" outlineLevel="1">
      <c r="B915" s="729" t="s">
        <v>2534</v>
      </c>
      <c r="C915" s="302" t="s">
        <v>82</v>
      </c>
      <c r="D915" s="351">
        <v>45.41</v>
      </c>
      <c r="E915" s="7">
        <v>27</v>
      </c>
      <c r="F915" s="287">
        <v>0</v>
      </c>
      <c r="G915" s="145">
        <f t="shared" si="426"/>
        <v>27</v>
      </c>
      <c r="H915" s="145">
        <f>+ROUND(D915*E915,2)</f>
        <v>1226.07</v>
      </c>
      <c r="I915" s="146">
        <f>+ROUND(D915*F915,2)</f>
        <v>0</v>
      </c>
      <c r="J915" s="7">
        <f t="shared" si="427"/>
        <v>1226.07</v>
      </c>
      <c r="K915" s="276"/>
    </row>
    <row r="916" spans="2:11" outlineLevel="1">
      <c r="B916" s="729" t="s">
        <v>745</v>
      </c>
      <c r="C916" s="302" t="s">
        <v>82</v>
      </c>
      <c r="D916" s="351">
        <v>30.65</v>
      </c>
      <c r="E916" s="7">
        <v>27</v>
      </c>
      <c r="F916" s="287">
        <v>0</v>
      </c>
      <c r="G916" s="145">
        <f t="shared" si="426"/>
        <v>27</v>
      </c>
      <c r="H916" s="145">
        <f t="shared" ref="H916:H920" si="430">+ROUND(D916*E916,2)</f>
        <v>827.55</v>
      </c>
      <c r="I916" s="146">
        <f t="shared" ref="I916:I920" si="431">+ROUND(D916*F916,2)</f>
        <v>0</v>
      </c>
      <c r="J916" s="7">
        <f t="shared" si="427"/>
        <v>827.55</v>
      </c>
      <c r="K916" s="276"/>
    </row>
    <row r="917" spans="2:11" outlineLevel="1">
      <c r="B917" s="729" t="s">
        <v>746</v>
      </c>
      <c r="C917" s="302" t="s">
        <v>82</v>
      </c>
      <c r="D917" s="351">
        <v>21.2</v>
      </c>
      <c r="E917" s="7">
        <v>27</v>
      </c>
      <c r="F917" s="287">
        <v>0</v>
      </c>
      <c r="G917" s="145">
        <f t="shared" si="426"/>
        <v>27</v>
      </c>
      <c r="H917" s="145">
        <f t="shared" si="430"/>
        <v>572.4</v>
      </c>
      <c r="I917" s="146">
        <f t="shared" si="431"/>
        <v>0</v>
      </c>
      <c r="J917" s="7">
        <f t="shared" si="427"/>
        <v>572.4</v>
      </c>
      <c r="K917" s="276"/>
    </row>
    <row r="918" spans="2:11" outlineLevel="1">
      <c r="B918" s="729" t="s">
        <v>747</v>
      </c>
      <c r="C918" s="302" t="s">
        <v>82</v>
      </c>
      <c r="D918" s="351">
        <v>32.700000000000003</v>
      </c>
      <c r="E918" s="7">
        <v>27</v>
      </c>
      <c r="F918" s="287">
        <v>0</v>
      </c>
      <c r="G918" s="145">
        <f t="shared" si="426"/>
        <v>27</v>
      </c>
      <c r="H918" s="145">
        <f t="shared" si="430"/>
        <v>882.9</v>
      </c>
      <c r="I918" s="146">
        <f t="shared" si="431"/>
        <v>0</v>
      </c>
      <c r="J918" s="7">
        <f t="shared" si="427"/>
        <v>882.9</v>
      </c>
      <c r="K918" s="276"/>
    </row>
    <row r="919" spans="2:11" outlineLevel="1">
      <c r="B919" s="729" t="s">
        <v>2535</v>
      </c>
      <c r="C919" s="302" t="s">
        <v>82</v>
      </c>
      <c r="D919" s="351">
        <v>17.8</v>
      </c>
      <c r="E919" s="7">
        <v>27</v>
      </c>
      <c r="F919" s="287">
        <v>0</v>
      </c>
      <c r="G919" s="145">
        <f t="shared" si="426"/>
        <v>27</v>
      </c>
      <c r="H919" s="145">
        <f t="shared" si="430"/>
        <v>480.6</v>
      </c>
      <c r="I919" s="146">
        <f t="shared" si="431"/>
        <v>0</v>
      </c>
      <c r="J919" s="7">
        <f t="shared" si="427"/>
        <v>480.6</v>
      </c>
      <c r="K919" s="276"/>
    </row>
    <row r="920" spans="2:11" outlineLevel="1">
      <c r="B920" s="729" t="s">
        <v>2535</v>
      </c>
      <c r="C920" s="302" t="s">
        <v>82</v>
      </c>
      <c r="D920" s="351">
        <v>10.6</v>
      </c>
      <c r="E920" s="7">
        <v>27</v>
      </c>
      <c r="F920" s="287">
        <v>0</v>
      </c>
      <c r="G920" s="145">
        <f t="shared" si="426"/>
        <v>27</v>
      </c>
      <c r="H920" s="145">
        <f t="shared" si="430"/>
        <v>286.2</v>
      </c>
      <c r="I920" s="146">
        <f t="shared" si="431"/>
        <v>0</v>
      </c>
      <c r="J920" s="7">
        <f t="shared" si="427"/>
        <v>286.2</v>
      </c>
      <c r="K920" s="276"/>
    </row>
    <row r="921" spans="2:11" ht="22.5" outlineLevel="1">
      <c r="B921" s="729" t="s">
        <v>743</v>
      </c>
      <c r="C921" s="302" t="s">
        <v>82</v>
      </c>
      <c r="D921" s="351">
        <v>18.585000000000001</v>
      </c>
      <c r="E921" s="7">
        <v>27</v>
      </c>
      <c r="F921" s="287">
        <v>0</v>
      </c>
      <c r="G921" s="145">
        <f t="shared" si="420"/>
        <v>27</v>
      </c>
      <c r="H921" s="145">
        <f t="shared" si="421"/>
        <v>501.8</v>
      </c>
      <c r="I921" s="146">
        <f t="shared" si="422"/>
        <v>0</v>
      </c>
      <c r="J921" s="7">
        <f t="shared" si="405"/>
        <v>501.8</v>
      </c>
      <c r="K921" s="276"/>
    </row>
    <row r="922" spans="2:11" outlineLevel="1">
      <c r="B922" s="349" t="s">
        <v>748</v>
      </c>
      <c r="C922" s="285"/>
      <c r="D922" s="286"/>
      <c r="E922" s="7" t="s">
        <v>27</v>
      </c>
      <c r="F922" s="287" t="s">
        <v>27</v>
      </c>
      <c r="G922" s="145"/>
      <c r="H922" s="145"/>
      <c r="I922" s="146"/>
      <c r="J922" s="7">
        <f t="shared" si="405"/>
        <v>0</v>
      </c>
      <c r="K922" s="276"/>
    </row>
    <row r="923" spans="2:11" outlineLevel="1">
      <c r="B923" s="702" t="s">
        <v>749</v>
      </c>
      <c r="C923" s="285"/>
      <c r="D923" s="286"/>
      <c r="E923" s="7" t="s">
        <v>27</v>
      </c>
      <c r="F923" s="287" t="s">
        <v>27</v>
      </c>
      <c r="G923" s="145"/>
      <c r="H923" s="145"/>
      <c r="I923" s="146"/>
      <c r="J923" s="7">
        <f t="shared" si="405"/>
        <v>0</v>
      </c>
      <c r="K923" s="276"/>
    </row>
    <row r="924" spans="2:11" outlineLevel="1">
      <c r="B924" s="45" t="s">
        <v>750</v>
      </c>
      <c r="C924" s="302" t="s">
        <v>82</v>
      </c>
      <c r="D924" s="351">
        <v>2049.3199999999997</v>
      </c>
      <c r="E924" s="7">
        <v>12.25</v>
      </c>
      <c r="F924" s="287">
        <v>0</v>
      </c>
      <c r="G924" s="145">
        <f>+ROUND(E924+F924*TC,2)</f>
        <v>12.25</v>
      </c>
      <c r="H924" s="145">
        <f t="shared" ref="H924:H926" si="432">+ROUND(D924*E924,2)</f>
        <v>25104.17</v>
      </c>
      <c r="I924" s="146">
        <f t="shared" ref="I924:I926" si="433">+ROUND(D924*F924,2)</f>
        <v>0</v>
      </c>
      <c r="J924" s="7">
        <f t="shared" si="405"/>
        <v>25104.17</v>
      </c>
      <c r="K924" s="276"/>
    </row>
    <row r="925" spans="2:11" outlineLevel="1">
      <c r="B925" s="45" t="s">
        <v>751</v>
      </c>
      <c r="C925" s="302" t="s">
        <v>82</v>
      </c>
      <c r="D925" s="351">
        <v>171.06</v>
      </c>
      <c r="E925" s="7">
        <v>12.25</v>
      </c>
      <c r="F925" s="287">
        <v>0</v>
      </c>
      <c r="G925" s="145">
        <f>+ROUND(E925+F925*TC,2)</f>
        <v>12.25</v>
      </c>
      <c r="H925" s="145">
        <f t="shared" si="432"/>
        <v>2095.4899999999998</v>
      </c>
      <c r="I925" s="146">
        <f t="shared" si="433"/>
        <v>0</v>
      </c>
      <c r="J925" s="7">
        <f t="shared" si="405"/>
        <v>2095.4899999999998</v>
      </c>
      <c r="K925" s="276"/>
    </row>
    <row r="926" spans="2:11" outlineLevel="1">
      <c r="B926" s="45" t="s">
        <v>752</v>
      </c>
      <c r="C926" s="302" t="s">
        <v>82</v>
      </c>
      <c r="D926" s="351">
        <v>685.95</v>
      </c>
      <c r="E926" s="7">
        <v>12.25</v>
      </c>
      <c r="F926" s="287">
        <v>0</v>
      </c>
      <c r="G926" s="145">
        <f>+ROUND(E926+F926*TC,2)</f>
        <v>12.25</v>
      </c>
      <c r="H926" s="145">
        <f t="shared" si="432"/>
        <v>8402.89</v>
      </c>
      <c r="I926" s="146">
        <f t="shared" si="433"/>
        <v>0</v>
      </c>
      <c r="J926" s="7">
        <f t="shared" si="405"/>
        <v>8402.89</v>
      </c>
      <c r="K926" s="276"/>
    </row>
    <row r="927" spans="2:11">
      <c r="B927" s="694" t="s">
        <v>753</v>
      </c>
      <c r="C927" s="285"/>
      <c r="D927" s="286"/>
      <c r="E927" s="7" t="s">
        <v>27</v>
      </c>
      <c r="F927" s="287" t="s">
        <v>27</v>
      </c>
      <c r="G927" s="145"/>
      <c r="H927" s="145"/>
      <c r="I927" s="146"/>
      <c r="J927" s="7">
        <f t="shared" si="405"/>
        <v>0</v>
      </c>
      <c r="K927" s="276">
        <f>SUM(H930:H1051)+SUM(I930:I1051)*TC</f>
        <v>607930.86349999998</v>
      </c>
    </row>
    <row r="928" spans="2:11" outlineLevel="1">
      <c r="B928" s="349" t="s">
        <v>259</v>
      </c>
      <c r="C928" s="285"/>
      <c r="D928" s="286"/>
      <c r="E928" s="7" t="s">
        <v>27</v>
      </c>
      <c r="F928" s="287" t="s">
        <v>27</v>
      </c>
      <c r="G928" s="145"/>
      <c r="H928" s="145"/>
      <c r="I928" s="146"/>
      <c r="J928" s="7">
        <f t="shared" si="405"/>
        <v>0</v>
      </c>
      <c r="K928" s="289"/>
    </row>
    <row r="929" spans="2:11" outlineLevel="1">
      <c r="B929" s="702" t="s">
        <v>754</v>
      </c>
      <c r="C929" s="285"/>
      <c r="D929" s="286"/>
      <c r="E929" s="7" t="s">
        <v>27</v>
      </c>
      <c r="F929" s="287" t="s">
        <v>27</v>
      </c>
      <c r="G929" s="145"/>
      <c r="H929" s="145"/>
      <c r="I929" s="146"/>
      <c r="J929" s="7">
        <f t="shared" si="405"/>
        <v>0</v>
      </c>
      <c r="K929" s="276"/>
    </row>
    <row r="930" spans="2:11" outlineLevel="1">
      <c r="B930" s="357" t="s">
        <v>755</v>
      </c>
      <c r="C930" s="285"/>
      <c r="D930" s="286"/>
      <c r="E930" s="7" t="s">
        <v>27</v>
      </c>
      <c r="F930" s="287" t="s">
        <v>27</v>
      </c>
      <c r="G930" s="145"/>
      <c r="H930" s="145"/>
      <c r="I930" s="146"/>
      <c r="J930" s="7">
        <f t="shared" si="405"/>
        <v>0</v>
      </c>
      <c r="K930" s="276"/>
    </row>
    <row r="931" spans="2:11" outlineLevel="1">
      <c r="B931" s="711" t="s">
        <v>756</v>
      </c>
      <c r="C931" s="285" t="s">
        <v>121</v>
      </c>
      <c r="D931" s="286">
        <v>334</v>
      </c>
      <c r="E931" s="7">
        <v>212.4</v>
      </c>
      <c r="F931" s="287">
        <v>0</v>
      </c>
      <c r="G931" s="145">
        <f>+ROUND(E931+F931*TC,2)</f>
        <v>212.4</v>
      </c>
      <c r="H931" s="145">
        <f t="shared" si="400"/>
        <v>70941.600000000006</v>
      </c>
      <c r="I931" s="146">
        <f t="shared" si="401"/>
        <v>0</v>
      </c>
      <c r="J931" s="7">
        <f t="shared" si="405"/>
        <v>70941.600000000006</v>
      </c>
      <c r="K931" s="289"/>
    </row>
    <row r="932" spans="2:11" outlineLevel="1">
      <c r="B932" s="357" t="s">
        <v>757</v>
      </c>
      <c r="C932" s="285"/>
      <c r="D932" s="286"/>
      <c r="E932" s="7" t="s">
        <v>27</v>
      </c>
      <c r="F932" s="287" t="s">
        <v>27</v>
      </c>
      <c r="G932" s="145"/>
      <c r="H932" s="145"/>
      <c r="I932" s="146"/>
      <c r="J932" s="7">
        <f t="shared" si="405"/>
        <v>0</v>
      </c>
      <c r="K932" s="276"/>
    </row>
    <row r="933" spans="2:11" outlineLevel="1">
      <c r="B933" s="711" t="s">
        <v>756</v>
      </c>
      <c r="C933" s="285" t="s">
        <v>121</v>
      </c>
      <c r="D933" s="286">
        <v>210</v>
      </c>
      <c r="E933" s="7">
        <v>212.4</v>
      </c>
      <c r="F933" s="287">
        <v>0</v>
      </c>
      <c r="G933" s="145">
        <f>+ROUND(E933+F933*TC,2)</f>
        <v>212.4</v>
      </c>
      <c r="H933" s="145">
        <f t="shared" ref="H933" si="434">+ROUND(D933*E933,2)</f>
        <v>44604</v>
      </c>
      <c r="I933" s="146">
        <f t="shared" ref="I933" si="435">+ROUND(D933*F933,2)</f>
        <v>0</v>
      </c>
      <c r="J933" s="7">
        <f t="shared" si="405"/>
        <v>44604</v>
      </c>
      <c r="K933" s="289"/>
    </row>
    <row r="934" spans="2:11" outlineLevel="1">
      <c r="B934" s="357" t="s">
        <v>755</v>
      </c>
      <c r="C934" s="285"/>
      <c r="D934" s="286"/>
      <c r="E934" s="7" t="s">
        <v>27</v>
      </c>
      <c r="F934" s="287" t="s">
        <v>27</v>
      </c>
      <c r="G934" s="145"/>
      <c r="H934" s="145"/>
      <c r="I934" s="146"/>
      <c r="J934" s="7">
        <f t="shared" si="405"/>
        <v>0</v>
      </c>
      <c r="K934" s="289"/>
    </row>
    <row r="935" spans="2:11" outlineLevel="1">
      <c r="B935" s="51" t="s">
        <v>758</v>
      </c>
      <c r="C935" s="285" t="s">
        <v>121</v>
      </c>
      <c r="D935" s="286">
        <v>334</v>
      </c>
      <c r="E935" s="7">
        <v>135.49</v>
      </c>
      <c r="F935" s="287">
        <v>99</v>
      </c>
      <c r="G935" s="145">
        <f>+ROUND(E935+F935*TC,2)</f>
        <v>467.14</v>
      </c>
      <c r="H935" s="145">
        <f t="shared" ref="H935:H937" si="436">+ROUND(D935*E935,2)</f>
        <v>45253.66</v>
      </c>
      <c r="I935" s="146">
        <f t="shared" ref="I935:I937" si="437">+ROUND(D935*F935,2)</f>
        <v>33066</v>
      </c>
      <c r="J935" s="7">
        <f t="shared" si="405"/>
        <v>156024.76</v>
      </c>
      <c r="K935" s="289"/>
    </row>
    <row r="936" spans="2:11" outlineLevel="1">
      <c r="B936" s="357" t="s">
        <v>757</v>
      </c>
      <c r="C936" s="285"/>
      <c r="D936" s="286"/>
      <c r="E936" s="7" t="s">
        <v>27</v>
      </c>
      <c r="F936" s="287" t="s">
        <v>27</v>
      </c>
      <c r="G936" s="145"/>
      <c r="H936" s="145"/>
      <c r="I936" s="146"/>
      <c r="J936" s="7">
        <f t="shared" si="405"/>
        <v>0</v>
      </c>
      <c r="K936" s="276"/>
    </row>
    <row r="937" spans="2:11" outlineLevel="1">
      <c r="B937" s="43" t="s">
        <v>759</v>
      </c>
      <c r="C937" s="285" t="s">
        <v>121</v>
      </c>
      <c r="D937" s="286">
        <v>210</v>
      </c>
      <c r="E937" s="7">
        <v>146.84</v>
      </c>
      <c r="F937" s="287">
        <v>0</v>
      </c>
      <c r="G937" s="145">
        <f>+ROUND(E937+F937*TC,2)</f>
        <v>146.84</v>
      </c>
      <c r="H937" s="145">
        <f t="shared" si="436"/>
        <v>30836.400000000001</v>
      </c>
      <c r="I937" s="146">
        <f t="shared" si="437"/>
        <v>0</v>
      </c>
      <c r="J937" s="7">
        <f t="shared" si="405"/>
        <v>30836.400000000001</v>
      </c>
      <c r="K937" s="289"/>
    </row>
    <row r="938" spans="2:11" outlineLevel="1">
      <c r="B938" s="357" t="s">
        <v>760</v>
      </c>
      <c r="C938" s="285"/>
      <c r="D938" s="286"/>
      <c r="E938" s="7" t="s">
        <v>27</v>
      </c>
      <c r="F938" s="287" t="s">
        <v>27</v>
      </c>
      <c r="G938" s="145"/>
      <c r="H938" s="145"/>
      <c r="I938" s="146"/>
      <c r="J938" s="7">
        <f t="shared" si="405"/>
        <v>0</v>
      </c>
      <c r="K938" s="276"/>
    </row>
    <row r="939" spans="2:11" ht="22.5" outlineLevel="1">
      <c r="B939" s="714" t="s">
        <v>761</v>
      </c>
      <c r="C939" s="285" t="s">
        <v>121</v>
      </c>
      <c r="D939" s="286">
        <v>334</v>
      </c>
      <c r="E939" s="7">
        <v>53.66</v>
      </c>
      <c r="F939" s="287">
        <v>25.95</v>
      </c>
      <c r="G939" s="145">
        <f>+ROUND(E939+F939*TC,2)</f>
        <v>140.59</v>
      </c>
      <c r="H939" s="145">
        <f t="shared" ref="H939:H952" si="438">+ROUND(D939*E939,2)</f>
        <v>17922.439999999999</v>
      </c>
      <c r="I939" s="146">
        <f t="shared" ref="I939:I952" si="439">+ROUND(D939*F939,2)</f>
        <v>8667.2999999999993</v>
      </c>
      <c r="J939" s="7">
        <f t="shared" si="405"/>
        <v>46957.9</v>
      </c>
      <c r="K939" s="289"/>
    </row>
    <row r="940" spans="2:11" outlineLevel="1">
      <c r="B940" s="357" t="s">
        <v>324</v>
      </c>
      <c r="C940" s="285"/>
      <c r="D940" s="286"/>
      <c r="E940" s="7" t="s">
        <v>27</v>
      </c>
      <c r="F940" s="287" t="s">
        <v>27</v>
      </c>
      <c r="G940" s="145"/>
      <c r="H940" s="145"/>
      <c r="I940" s="146"/>
      <c r="J940" s="7">
        <f t="shared" si="405"/>
        <v>0</v>
      </c>
      <c r="K940" s="276"/>
    </row>
    <row r="941" spans="2:11" outlineLevel="1">
      <c r="B941" s="51" t="s">
        <v>762</v>
      </c>
      <c r="C941" s="285" t="s">
        <v>121</v>
      </c>
      <c r="D941" s="286">
        <v>334</v>
      </c>
      <c r="E941" s="7">
        <v>288.45</v>
      </c>
      <c r="F941" s="287">
        <v>0</v>
      </c>
      <c r="G941" s="145">
        <f>+ROUND(E941+F941*TC,2)</f>
        <v>288.45</v>
      </c>
      <c r="H941" s="145">
        <f t="shared" si="438"/>
        <v>96342.3</v>
      </c>
      <c r="I941" s="146">
        <f t="shared" si="439"/>
        <v>0</v>
      </c>
      <c r="J941" s="7">
        <f t="shared" si="405"/>
        <v>96342.3</v>
      </c>
      <c r="K941" s="289"/>
    </row>
    <row r="942" spans="2:11" outlineLevel="1">
      <c r="B942" s="702" t="s">
        <v>763</v>
      </c>
      <c r="C942" s="285"/>
      <c r="D942" s="286"/>
      <c r="E942" s="7" t="s">
        <v>27</v>
      </c>
      <c r="F942" s="287" t="s">
        <v>27</v>
      </c>
      <c r="G942" s="145"/>
      <c r="H942" s="145"/>
      <c r="I942" s="146"/>
      <c r="J942" s="7">
        <f t="shared" si="405"/>
        <v>0</v>
      </c>
      <c r="K942" s="276"/>
    </row>
    <row r="943" spans="2:11" outlineLevel="1">
      <c r="B943" s="357" t="s">
        <v>755</v>
      </c>
      <c r="C943" s="285"/>
      <c r="D943" s="286"/>
      <c r="E943" s="7" t="s">
        <v>27</v>
      </c>
      <c r="F943" s="287" t="s">
        <v>27</v>
      </c>
      <c r="G943" s="145"/>
      <c r="H943" s="145"/>
      <c r="I943" s="146"/>
      <c r="J943" s="7">
        <f t="shared" si="405"/>
        <v>0</v>
      </c>
      <c r="K943" s="276"/>
    </row>
    <row r="944" spans="2:11" outlineLevel="1">
      <c r="B944" s="51" t="s">
        <v>764</v>
      </c>
      <c r="C944" s="285" t="s">
        <v>121</v>
      </c>
      <c r="D944" s="286">
        <v>334</v>
      </c>
      <c r="E944" s="7">
        <v>19.66</v>
      </c>
      <c r="F944" s="287">
        <v>16.350000000000001</v>
      </c>
      <c r="G944" s="145">
        <f>+ROUND(E944+F944*TC,2)</f>
        <v>74.430000000000007</v>
      </c>
      <c r="H944" s="145">
        <f t="shared" si="438"/>
        <v>6566.44</v>
      </c>
      <c r="I944" s="146">
        <f t="shared" si="439"/>
        <v>5460.9</v>
      </c>
      <c r="J944" s="7">
        <f t="shared" si="405"/>
        <v>24860.46</v>
      </c>
      <c r="K944" s="289"/>
    </row>
    <row r="945" spans="2:11" outlineLevel="1">
      <c r="B945" s="45" t="s">
        <v>765</v>
      </c>
      <c r="C945" s="285" t="s">
        <v>121</v>
      </c>
      <c r="D945" s="286">
        <v>334</v>
      </c>
      <c r="E945" s="7">
        <v>0</v>
      </c>
      <c r="F945" s="287">
        <v>29.81</v>
      </c>
      <c r="G945" s="145">
        <f>+ROUND(E945+F945*TC,2)</f>
        <v>99.86</v>
      </c>
      <c r="H945" s="145">
        <f t="shared" si="438"/>
        <v>0</v>
      </c>
      <c r="I945" s="146">
        <f t="shared" si="439"/>
        <v>9956.5400000000009</v>
      </c>
      <c r="J945" s="7">
        <f t="shared" si="405"/>
        <v>33354.410000000003</v>
      </c>
      <c r="K945" s="289"/>
    </row>
    <row r="946" spans="2:11" outlineLevel="1">
      <c r="B946" s="357" t="s">
        <v>757</v>
      </c>
      <c r="C946" s="285"/>
      <c r="D946" s="286"/>
      <c r="E946" s="7" t="s">
        <v>27</v>
      </c>
      <c r="F946" s="287" t="s">
        <v>27</v>
      </c>
      <c r="G946" s="145"/>
      <c r="H946" s="145"/>
      <c r="I946" s="146"/>
      <c r="J946" s="7">
        <f t="shared" si="405"/>
        <v>0</v>
      </c>
      <c r="K946" s="276"/>
    </row>
    <row r="947" spans="2:11" outlineLevel="1">
      <c r="B947" s="51" t="s">
        <v>764</v>
      </c>
      <c r="C947" s="285" t="s">
        <v>121</v>
      </c>
      <c r="D947" s="286">
        <v>210</v>
      </c>
      <c r="E947" s="7">
        <v>19.66</v>
      </c>
      <c r="F947" s="287">
        <v>16.350000000000001</v>
      </c>
      <c r="G947" s="145">
        <f>+ROUND(E947+F947*TC,2)</f>
        <v>74.430000000000007</v>
      </c>
      <c r="H947" s="145">
        <f t="shared" ref="H947:H948" si="440">+ROUND(D947*E947,2)</f>
        <v>4128.6000000000004</v>
      </c>
      <c r="I947" s="146">
        <f t="shared" ref="I947:I948" si="441">+ROUND(D947*F947,2)</f>
        <v>3433.5</v>
      </c>
      <c r="J947" s="7">
        <f t="shared" si="405"/>
        <v>15630.83</v>
      </c>
      <c r="K947" s="289"/>
    </row>
    <row r="948" spans="2:11" outlineLevel="1">
      <c r="B948" s="45" t="s">
        <v>765</v>
      </c>
      <c r="C948" s="285" t="s">
        <v>121</v>
      </c>
      <c r="D948" s="286">
        <v>210</v>
      </c>
      <c r="E948" s="7">
        <v>0</v>
      </c>
      <c r="F948" s="287">
        <v>29.81</v>
      </c>
      <c r="G948" s="145">
        <f>+ROUND(E948+F948*TC,2)</f>
        <v>99.86</v>
      </c>
      <c r="H948" s="145">
        <f t="shared" si="440"/>
        <v>0</v>
      </c>
      <c r="I948" s="146">
        <f t="shared" si="441"/>
        <v>6260.1</v>
      </c>
      <c r="J948" s="7">
        <f t="shared" si="405"/>
        <v>20971.34</v>
      </c>
      <c r="K948" s="289"/>
    </row>
    <row r="949" spans="2:11" outlineLevel="1">
      <c r="B949" s="357" t="s">
        <v>760</v>
      </c>
      <c r="C949" s="285"/>
      <c r="D949" s="286"/>
      <c r="E949" s="7" t="s">
        <v>27</v>
      </c>
      <c r="F949" s="287" t="s">
        <v>27</v>
      </c>
      <c r="G949" s="145"/>
      <c r="H949" s="145"/>
      <c r="I949" s="146"/>
      <c r="J949" s="7">
        <f t="shared" si="405"/>
        <v>0</v>
      </c>
      <c r="K949" s="289"/>
    </row>
    <row r="950" spans="2:11" outlineLevel="1">
      <c r="B950" s="51" t="s">
        <v>766</v>
      </c>
      <c r="C950" s="285" t="s">
        <v>121</v>
      </c>
      <c r="D950" s="286">
        <v>334</v>
      </c>
      <c r="E950" s="7">
        <v>19.66</v>
      </c>
      <c r="F950" s="287">
        <v>18.96</v>
      </c>
      <c r="G950" s="145">
        <f>+ROUND(E950+F950*TC,2)</f>
        <v>83.18</v>
      </c>
      <c r="H950" s="145">
        <f t="shared" si="438"/>
        <v>6566.44</v>
      </c>
      <c r="I950" s="146">
        <f t="shared" si="439"/>
        <v>6332.64</v>
      </c>
      <c r="J950" s="7">
        <f t="shared" ref="J950:J1050" si="442">+ROUND(H950+I950*TC,2)</f>
        <v>27780.78</v>
      </c>
      <c r="K950" s="289"/>
    </row>
    <row r="951" spans="2:11" outlineLevel="1">
      <c r="B951" s="357" t="s">
        <v>324</v>
      </c>
      <c r="C951" s="285"/>
      <c r="D951" s="286"/>
      <c r="E951" s="7" t="s">
        <v>27</v>
      </c>
      <c r="F951" s="287" t="s">
        <v>27</v>
      </c>
      <c r="G951" s="145"/>
      <c r="H951" s="145"/>
      <c r="I951" s="146"/>
      <c r="J951" s="7">
        <f t="shared" si="442"/>
        <v>0</v>
      </c>
      <c r="K951" s="289"/>
    </row>
    <row r="952" spans="2:11" outlineLevel="1">
      <c r="B952" s="706" t="s">
        <v>767</v>
      </c>
      <c r="C952" s="285" t="s">
        <v>121</v>
      </c>
      <c r="D952" s="286">
        <v>255</v>
      </c>
      <c r="E952" s="7">
        <v>25.6</v>
      </c>
      <c r="F952" s="287">
        <v>0</v>
      </c>
      <c r="G952" s="145">
        <f>+ROUND(E952+F952*TC,2)</f>
        <v>25.6</v>
      </c>
      <c r="H952" s="145">
        <f t="shared" si="438"/>
        <v>6528</v>
      </c>
      <c r="I952" s="146">
        <f t="shared" si="439"/>
        <v>0</v>
      </c>
      <c r="J952" s="7">
        <f t="shared" si="442"/>
        <v>6528</v>
      </c>
      <c r="K952" s="289"/>
    </row>
    <row r="953" spans="2:11" outlineLevel="1">
      <c r="B953" s="349" t="s">
        <v>448</v>
      </c>
      <c r="C953" s="285"/>
      <c r="D953" s="286"/>
      <c r="E953" s="7" t="s">
        <v>27</v>
      </c>
      <c r="F953" s="287" t="s">
        <v>27</v>
      </c>
      <c r="G953" s="145"/>
      <c r="H953" s="145"/>
      <c r="I953" s="146"/>
      <c r="J953" s="7">
        <f t="shared" si="442"/>
        <v>0</v>
      </c>
      <c r="K953" s="289"/>
    </row>
    <row r="954" spans="2:11" outlineLevel="1">
      <c r="B954" s="730" t="s">
        <v>754</v>
      </c>
      <c r="C954" s="302"/>
      <c r="D954" s="351"/>
      <c r="E954" s="7"/>
      <c r="F954" s="287"/>
      <c r="G954" s="145">
        <f t="shared" ref="G954:G1051" si="443">+ROUND(E954+F954*TC,2)</f>
        <v>0</v>
      </c>
      <c r="H954" s="145">
        <f t="shared" ref="H954:H1051" si="444">+ROUND(D954*E954,2)</f>
        <v>0</v>
      </c>
      <c r="I954" s="146">
        <f t="shared" ref="I954:I1051" si="445">+ROUND(D954*F954,2)</f>
        <v>0</v>
      </c>
      <c r="J954" s="7">
        <f t="shared" si="442"/>
        <v>0</v>
      </c>
      <c r="K954" s="276"/>
    </row>
    <row r="955" spans="2:11" outlineLevel="1">
      <c r="B955" s="357" t="s">
        <v>2536</v>
      </c>
      <c r="C955" s="302"/>
      <c r="D955" s="351"/>
      <c r="E955" s="7"/>
      <c r="F955" s="287"/>
      <c r="G955" s="145"/>
      <c r="H955" s="145"/>
      <c r="I955" s="146"/>
      <c r="J955" s="7"/>
      <c r="K955" s="276"/>
    </row>
    <row r="956" spans="2:11" outlineLevel="1">
      <c r="B956" s="731" t="s">
        <v>769</v>
      </c>
      <c r="C956" s="302" t="s">
        <v>121</v>
      </c>
      <c r="D956" s="351">
        <v>1</v>
      </c>
      <c r="E956" s="7">
        <v>326.35999999999996</v>
      </c>
      <c r="F956" s="287">
        <v>0</v>
      </c>
      <c r="G956" s="145">
        <f>+ROUND(E956+F956*TC,2)</f>
        <v>326.36</v>
      </c>
      <c r="H956" s="145">
        <f t="shared" ref="H956:H957" si="446">+ROUND(D956*E956,2)</f>
        <v>326.36</v>
      </c>
      <c r="I956" s="146">
        <f t="shared" ref="I956:I957" si="447">+ROUND(D956*F956,2)</f>
        <v>0</v>
      </c>
      <c r="J956" s="7">
        <f t="shared" ref="J956:J957" si="448">+ROUND(H956+I956*TC,2)</f>
        <v>326.36</v>
      </c>
      <c r="K956" s="276"/>
    </row>
    <row r="957" spans="2:11" outlineLevel="1">
      <c r="B957" s="732" t="s">
        <v>774</v>
      </c>
      <c r="C957" s="302" t="s">
        <v>121</v>
      </c>
      <c r="D957" s="351">
        <v>1</v>
      </c>
      <c r="E957" s="7">
        <v>156.19999999999999</v>
      </c>
      <c r="F957" s="287">
        <v>0</v>
      </c>
      <c r="G957" s="145">
        <f>+ROUND(E957+F957*TC,2)</f>
        <v>156.19999999999999</v>
      </c>
      <c r="H957" s="145">
        <f t="shared" si="446"/>
        <v>156.19999999999999</v>
      </c>
      <c r="I957" s="146">
        <f t="shared" si="447"/>
        <v>0</v>
      </c>
      <c r="J957" s="7">
        <f t="shared" si="448"/>
        <v>156.19999999999999</v>
      </c>
      <c r="K957" s="276"/>
    </row>
    <row r="958" spans="2:11" outlineLevel="1">
      <c r="B958" s="357" t="s">
        <v>2537</v>
      </c>
      <c r="C958" s="302"/>
      <c r="D958" s="351"/>
      <c r="E958" s="7"/>
      <c r="F958" s="287"/>
      <c r="G958" s="145"/>
      <c r="H958" s="145"/>
      <c r="I958" s="146"/>
      <c r="J958" s="7"/>
      <c r="K958" s="276"/>
    </row>
    <row r="959" spans="2:11" outlineLevel="1">
      <c r="B959" s="731" t="s">
        <v>769</v>
      </c>
      <c r="C959" s="302" t="s">
        <v>121</v>
      </c>
      <c r="D959" s="351">
        <v>1</v>
      </c>
      <c r="E959" s="7">
        <v>326.35999999999996</v>
      </c>
      <c r="F959" s="287">
        <v>0</v>
      </c>
      <c r="G959" s="145">
        <f>+ROUND(E959+F959*TC,2)</f>
        <v>326.36</v>
      </c>
      <c r="H959" s="145">
        <f t="shared" ref="H959:H960" si="449">+ROUND(D959*E959,2)</f>
        <v>326.36</v>
      </c>
      <c r="I959" s="146">
        <f t="shared" ref="I959:I960" si="450">+ROUND(D959*F959,2)</f>
        <v>0</v>
      </c>
      <c r="J959" s="7">
        <f t="shared" ref="J959:J964" si="451">+ROUND(H959+I959*TC,2)</f>
        <v>326.36</v>
      </c>
      <c r="K959" s="276"/>
    </row>
    <row r="960" spans="2:11" outlineLevel="1">
      <c r="B960" s="732" t="s">
        <v>774</v>
      </c>
      <c r="C960" s="302" t="s">
        <v>121</v>
      </c>
      <c r="D960" s="351">
        <v>1</v>
      </c>
      <c r="E960" s="7">
        <v>156.19999999999999</v>
      </c>
      <c r="F960" s="287">
        <v>0</v>
      </c>
      <c r="G960" s="145">
        <f>+ROUND(E960+F960*TC,2)</f>
        <v>156.19999999999999</v>
      </c>
      <c r="H960" s="145">
        <f t="shared" si="449"/>
        <v>156.19999999999999</v>
      </c>
      <c r="I960" s="146">
        <f t="shared" si="450"/>
        <v>0</v>
      </c>
      <c r="J960" s="7">
        <f t="shared" si="451"/>
        <v>156.19999999999999</v>
      </c>
      <c r="K960" s="276"/>
    </row>
    <row r="961" spans="2:11" outlineLevel="1">
      <c r="B961" s="357" t="s">
        <v>2538</v>
      </c>
      <c r="C961" s="302"/>
      <c r="D961" s="351"/>
      <c r="E961" s="7"/>
      <c r="F961" s="287"/>
      <c r="G961" s="145"/>
      <c r="H961" s="145"/>
      <c r="I961" s="146"/>
      <c r="J961" s="7">
        <f t="shared" si="451"/>
        <v>0</v>
      </c>
      <c r="K961" s="276"/>
    </row>
    <row r="962" spans="2:11" outlineLevel="1">
      <c r="B962" s="731" t="s">
        <v>769</v>
      </c>
      <c r="C962" s="302" t="s">
        <v>121</v>
      </c>
      <c r="D962" s="351">
        <v>1</v>
      </c>
      <c r="E962" s="7">
        <v>326.35999999999996</v>
      </c>
      <c r="F962" s="287">
        <v>0</v>
      </c>
      <c r="G962" s="145">
        <f>+ROUND(E962+F962*TC,2)</f>
        <v>326.36</v>
      </c>
      <c r="H962" s="145">
        <f t="shared" ref="H962:H964" si="452">+ROUND(D962*E962,2)</f>
        <v>326.36</v>
      </c>
      <c r="I962" s="146">
        <f t="shared" ref="I962:I964" si="453">+ROUND(D962*F962,2)</f>
        <v>0</v>
      </c>
      <c r="J962" s="7">
        <f t="shared" si="451"/>
        <v>326.36</v>
      </c>
      <c r="K962" s="276"/>
    </row>
    <row r="963" spans="2:11" outlineLevel="1">
      <c r="B963" s="43" t="s">
        <v>770</v>
      </c>
      <c r="C963" s="302" t="s">
        <v>121</v>
      </c>
      <c r="D963" s="351">
        <v>1</v>
      </c>
      <c r="E963" s="7">
        <v>201.62</v>
      </c>
      <c r="F963" s="287">
        <v>0</v>
      </c>
      <c r="G963" s="145">
        <f>+ROUND(E963+F963*TC,2)</f>
        <v>201.62</v>
      </c>
      <c r="H963" s="145">
        <f t="shared" si="452"/>
        <v>201.62</v>
      </c>
      <c r="I963" s="146">
        <f t="shared" si="453"/>
        <v>0</v>
      </c>
      <c r="J963" s="7">
        <f t="shared" si="451"/>
        <v>201.62</v>
      </c>
      <c r="K963" s="276"/>
    </row>
    <row r="964" spans="2:11" outlineLevel="1">
      <c r="B964" s="51" t="s">
        <v>772</v>
      </c>
      <c r="C964" s="302" t="s">
        <v>121</v>
      </c>
      <c r="D964" s="351">
        <v>1</v>
      </c>
      <c r="E964" s="7">
        <v>272.52</v>
      </c>
      <c r="F964" s="287">
        <v>0</v>
      </c>
      <c r="G964" s="145">
        <f>+ROUND(E964+F964*TC,2)</f>
        <v>272.52</v>
      </c>
      <c r="H964" s="145">
        <f t="shared" si="452"/>
        <v>272.52</v>
      </c>
      <c r="I964" s="146">
        <f t="shared" si="453"/>
        <v>0</v>
      </c>
      <c r="J964" s="7">
        <f t="shared" si="451"/>
        <v>272.52</v>
      </c>
      <c r="K964" s="276"/>
    </row>
    <row r="965" spans="2:11" outlineLevel="1">
      <c r="B965" s="357" t="s">
        <v>2539</v>
      </c>
      <c r="C965" s="302"/>
      <c r="D965" s="351"/>
      <c r="E965" s="7"/>
      <c r="F965" s="287"/>
      <c r="G965" s="145"/>
      <c r="H965" s="145"/>
      <c r="I965" s="146"/>
      <c r="J965" s="7">
        <f t="shared" ref="J965:J968" si="454">+ROUND(H965+I965*TC,2)</f>
        <v>0</v>
      </c>
      <c r="K965" s="276"/>
    </row>
    <row r="966" spans="2:11" outlineLevel="1">
      <c r="B966" s="731" t="s">
        <v>769</v>
      </c>
      <c r="C966" s="302" t="s">
        <v>121</v>
      </c>
      <c r="D966" s="351">
        <v>1</v>
      </c>
      <c r="E966" s="7">
        <v>326.35999999999996</v>
      </c>
      <c r="F966" s="287">
        <v>0</v>
      </c>
      <c r="G966" s="145">
        <f>+ROUND(E966+F966*TC,2)</f>
        <v>326.36</v>
      </c>
      <c r="H966" s="145">
        <f t="shared" ref="H966:H968" si="455">+ROUND(D966*E966,2)</f>
        <v>326.36</v>
      </c>
      <c r="I966" s="146">
        <f t="shared" ref="I966:I968" si="456">+ROUND(D966*F966,2)</f>
        <v>0</v>
      </c>
      <c r="J966" s="7">
        <f t="shared" si="454"/>
        <v>326.36</v>
      </c>
      <c r="K966" s="276"/>
    </row>
    <row r="967" spans="2:11" outlineLevel="1">
      <c r="B967" s="43" t="s">
        <v>770</v>
      </c>
      <c r="C967" s="302" t="s">
        <v>121</v>
      </c>
      <c r="D967" s="351">
        <v>1</v>
      </c>
      <c r="E967" s="7">
        <v>201.62</v>
      </c>
      <c r="F967" s="287">
        <v>0</v>
      </c>
      <c r="G967" s="145">
        <f>+ROUND(E967+F967*TC,2)</f>
        <v>201.62</v>
      </c>
      <c r="H967" s="145">
        <f t="shared" si="455"/>
        <v>201.62</v>
      </c>
      <c r="I967" s="146">
        <f t="shared" si="456"/>
        <v>0</v>
      </c>
      <c r="J967" s="7">
        <f t="shared" si="454"/>
        <v>201.62</v>
      </c>
      <c r="K967" s="276"/>
    </row>
    <row r="968" spans="2:11" outlineLevel="1">
      <c r="B968" s="51" t="s">
        <v>772</v>
      </c>
      <c r="C968" s="302" t="s">
        <v>121</v>
      </c>
      <c r="D968" s="351">
        <v>1</v>
      </c>
      <c r="E968" s="7">
        <v>272.52</v>
      </c>
      <c r="F968" s="287">
        <v>0</v>
      </c>
      <c r="G968" s="145">
        <f>+ROUND(E968+F968*TC,2)</f>
        <v>272.52</v>
      </c>
      <c r="H968" s="145">
        <f t="shared" si="455"/>
        <v>272.52</v>
      </c>
      <c r="I968" s="146">
        <f t="shared" si="456"/>
        <v>0</v>
      </c>
      <c r="J968" s="7">
        <f t="shared" si="454"/>
        <v>272.52</v>
      </c>
      <c r="K968" s="276"/>
    </row>
    <row r="969" spans="2:11" outlineLevel="1">
      <c r="B969" s="357" t="s">
        <v>2540</v>
      </c>
      <c r="C969" s="302"/>
      <c r="D969" s="351"/>
      <c r="E969" s="7"/>
      <c r="F969" s="287"/>
      <c r="G969" s="145"/>
      <c r="H969" s="145"/>
      <c r="I969" s="146"/>
      <c r="J969" s="7">
        <f t="shared" ref="J969:J971" si="457">+ROUND(H969+I969*TC,2)</f>
        <v>0</v>
      </c>
      <c r="K969" s="276"/>
    </row>
    <row r="970" spans="2:11" outlineLevel="1">
      <c r="B970" s="731" t="s">
        <v>769</v>
      </c>
      <c r="C970" s="302" t="s">
        <v>121</v>
      </c>
      <c r="D970" s="351">
        <v>1</v>
      </c>
      <c r="E970" s="7">
        <v>326.35999999999996</v>
      </c>
      <c r="F970" s="287">
        <v>0</v>
      </c>
      <c r="G970" s="145">
        <f>+ROUND(E970+F970*TC,2)</f>
        <v>326.36</v>
      </c>
      <c r="H970" s="145">
        <f t="shared" ref="H970:H971" si="458">+ROUND(D970*E970,2)</f>
        <v>326.36</v>
      </c>
      <c r="I970" s="146">
        <f t="shared" ref="I970:I971" si="459">+ROUND(D970*F970,2)</f>
        <v>0</v>
      </c>
      <c r="J970" s="7">
        <f t="shared" si="457"/>
        <v>326.36</v>
      </c>
      <c r="K970" s="276"/>
    </row>
    <row r="971" spans="2:11" outlineLevel="1">
      <c r="B971" s="51" t="s">
        <v>772</v>
      </c>
      <c r="C971" s="302" t="s">
        <v>121</v>
      </c>
      <c r="D971" s="351">
        <v>1</v>
      </c>
      <c r="E971" s="7">
        <v>272.52</v>
      </c>
      <c r="F971" s="287">
        <v>0</v>
      </c>
      <c r="G971" s="145">
        <f>+ROUND(E971+F971*TC,2)</f>
        <v>272.52</v>
      </c>
      <c r="H971" s="145">
        <f t="shared" si="458"/>
        <v>272.52</v>
      </c>
      <c r="I971" s="146">
        <f t="shared" si="459"/>
        <v>0</v>
      </c>
      <c r="J971" s="7">
        <f t="shared" si="457"/>
        <v>272.52</v>
      </c>
      <c r="K971" s="276"/>
    </row>
    <row r="972" spans="2:11" outlineLevel="1">
      <c r="B972" s="357" t="s">
        <v>2541</v>
      </c>
      <c r="C972" s="302"/>
      <c r="D972" s="351"/>
      <c r="E972" s="7"/>
      <c r="F972" s="287"/>
      <c r="G972" s="145"/>
      <c r="H972" s="145"/>
      <c r="I972" s="146"/>
      <c r="J972" s="7">
        <f t="shared" ref="J972:J978" si="460">+ROUND(H972+I972*TC,2)</f>
        <v>0</v>
      </c>
      <c r="K972" s="276"/>
    </row>
    <row r="973" spans="2:11" outlineLevel="1">
      <c r="B973" s="731" t="s">
        <v>769</v>
      </c>
      <c r="C973" s="302" t="s">
        <v>121</v>
      </c>
      <c r="D973" s="351">
        <v>3</v>
      </c>
      <c r="E973" s="7">
        <v>326.35999999999996</v>
      </c>
      <c r="F973" s="287">
        <v>0</v>
      </c>
      <c r="G973" s="145">
        <f>+ROUND(E973+F973*TC,2)</f>
        <v>326.36</v>
      </c>
      <c r="H973" s="145">
        <f t="shared" ref="H973:H974" si="461">+ROUND(D973*E973,2)</f>
        <v>979.08</v>
      </c>
      <c r="I973" s="146">
        <f t="shared" ref="I973:I974" si="462">+ROUND(D973*F973,2)</f>
        <v>0</v>
      </c>
      <c r="J973" s="7">
        <f t="shared" si="460"/>
        <v>979.08</v>
      </c>
      <c r="K973" s="276"/>
    </row>
    <row r="974" spans="2:11" outlineLevel="1">
      <c r="B974" s="732" t="s">
        <v>774</v>
      </c>
      <c r="C974" s="302" t="s">
        <v>121</v>
      </c>
      <c r="D974" s="351">
        <v>3</v>
      </c>
      <c r="E974" s="7">
        <v>156.19999999999999</v>
      </c>
      <c r="F974" s="287">
        <v>0</v>
      </c>
      <c r="G974" s="145">
        <f>+ROUND(E974+F974*TC,2)</f>
        <v>156.19999999999999</v>
      </c>
      <c r="H974" s="145">
        <f t="shared" si="461"/>
        <v>468.6</v>
      </c>
      <c r="I974" s="146">
        <f t="shared" si="462"/>
        <v>0</v>
      </c>
      <c r="J974" s="7">
        <f t="shared" si="460"/>
        <v>468.6</v>
      </c>
      <c r="K974" s="276"/>
    </row>
    <row r="975" spans="2:11" outlineLevel="1">
      <c r="B975" s="357" t="s">
        <v>2542</v>
      </c>
      <c r="C975" s="302"/>
      <c r="D975" s="351"/>
      <c r="E975" s="7"/>
      <c r="F975" s="287"/>
      <c r="G975" s="145"/>
      <c r="H975" s="145"/>
      <c r="I975" s="146"/>
      <c r="J975" s="7">
        <f t="shared" si="460"/>
        <v>0</v>
      </c>
      <c r="K975" s="276"/>
    </row>
    <row r="976" spans="2:11" outlineLevel="1">
      <c r="B976" s="731" t="s">
        <v>769</v>
      </c>
      <c r="C976" s="302" t="s">
        <v>121</v>
      </c>
      <c r="D976" s="351">
        <v>1</v>
      </c>
      <c r="E976" s="7">
        <v>326.35999999999996</v>
      </c>
      <c r="F976" s="287">
        <v>0</v>
      </c>
      <c r="G976" s="145">
        <f>+ROUND(E976+F976*TC,2)</f>
        <v>326.36</v>
      </c>
      <c r="H976" s="145">
        <f t="shared" ref="H976:H978" si="463">+ROUND(D976*E976,2)</f>
        <v>326.36</v>
      </c>
      <c r="I976" s="146">
        <f t="shared" ref="I976:I978" si="464">+ROUND(D976*F976,2)</f>
        <v>0</v>
      </c>
      <c r="J976" s="7">
        <f t="shared" si="460"/>
        <v>326.36</v>
      </c>
      <c r="K976" s="276"/>
    </row>
    <row r="977" spans="2:11" outlineLevel="1">
      <c r="B977" s="43" t="s">
        <v>770</v>
      </c>
      <c r="C977" s="302" t="s">
        <v>121</v>
      </c>
      <c r="D977" s="351">
        <v>1</v>
      </c>
      <c r="E977" s="7">
        <v>201.62</v>
      </c>
      <c r="F977" s="287">
        <v>0</v>
      </c>
      <c r="G977" s="145">
        <f>+ROUND(E977+F977*TC,2)</f>
        <v>201.62</v>
      </c>
      <c r="H977" s="145">
        <f t="shared" si="463"/>
        <v>201.62</v>
      </c>
      <c r="I977" s="146">
        <f t="shared" si="464"/>
        <v>0</v>
      </c>
      <c r="J977" s="7">
        <f t="shared" si="460"/>
        <v>201.62</v>
      </c>
      <c r="K977" s="276"/>
    </row>
    <row r="978" spans="2:11" outlineLevel="1">
      <c r="B978" s="51" t="s">
        <v>772</v>
      </c>
      <c r="C978" s="302" t="s">
        <v>121</v>
      </c>
      <c r="D978" s="351">
        <v>1</v>
      </c>
      <c r="E978" s="7">
        <v>272.52</v>
      </c>
      <c r="F978" s="287">
        <v>0</v>
      </c>
      <c r="G978" s="145">
        <f>+ROUND(E978+F978*TC,2)</f>
        <v>272.52</v>
      </c>
      <c r="H978" s="145">
        <f t="shared" si="463"/>
        <v>272.52</v>
      </c>
      <c r="I978" s="146">
        <f t="shared" si="464"/>
        <v>0</v>
      </c>
      <c r="J978" s="7">
        <f t="shared" si="460"/>
        <v>272.52</v>
      </c>
      <c r="K978" s="276"/>
    </row>
    <row r="979" spans="2:11" outlineLevel="1">
      <c r="B979" s="357" t="s">
        <v>2543</v>
      </c>
      <c r="C979" s="302"/>
      <c r="D979" s="351"/>
      <c r="E979" s="7"/>
      <c r="F979" s="287"/>
      <c r="G979" s="145"/>
      <c r="H979" s="145"/>
      <c r="I979" s="146"/>
      <c r="J979" s="7">
        <f t="shared" ref="J979:J985" si="465">+ROUND(H979+I979*TC,2)</f>
        <v>0</v>
      </c>
      <c r="K979" s="276"/>
    </row>
    <row r="980" spans="2:11" outlineLevel="1">
      <c r="B980" s="731" t="s">
        <v>769</v>
      </c>
      <c r="C980" s="302" t="s">
        <v>121</v>
      </c>
      <c r="D980" s="351">
        <v>3</v>
      </c>
      <c r="E980" s="7">
        <v>326.35999999999996</v>
      </c>
      <c r="F980" s="287">
        <v>0</v>
      </c>
      <c r="G980" s="145">
        <f>+ROUND(E980+F980*TC,2)</f>
        <v>326.36</v>
      </c>
      <c r="H980" s="145">
        <f t="shared" ref="H980:H981" si="466">+ROUND(D980*E980,2)</f>
        <v>979.08</v>
      </c>
      <c r="I980" s="146">
        <f t="shared" ref="I980:I981" si="467">+ROUND(D980*F980,2)</f>
        <v>0</v>
      </c>
      <c r="J980" s="7">
        <f t="shared" si="465"/>
        <v>979.08</v>
      </c>
      <c r="K980" s="276"/>
    </row>
    <row r="981" spans="2:11" outlineLevel="1">
      <c r="B981" s="732" t="s">
        <v>774</v>
      </c>
      <c r="C981" s="302" t="s">
        <v>121</v>
      </c>
      <c r="D981" s="351">
        <v>3</v>
      </c>
      <c r="E981" s="7">
        <v>156.19999999999999</v>
      </c>
      <c r="F981" s="287">
        <v>0</v>
      </c>
      <c r="G981" s="145">
        <f>+ROUND(E981+F981*TC,2)</f>
        <v>156.19999999999999</v>
      </c>
      <c r="H981" s="145">
        <f t="shared" si="466"/>
        <v>468.6</v>
      </c>
      <c r="I981" s="146">
        <f t="shared" si="467"/>
        <v>0</v>
      </c>
      <c r="J981" s="7">
        <f t="shared" si="465"/>
        <v>468.6</v>
      </c>
      <c r="K981" s="276"/>
    </row>
    <row r="982" spans="2:11" outlineLevel="1">
      <c r="B982" s="357" t="s">
        <v>2544</v>
      </c>
      <c r="C982" s="302"/>
      <c r="D982" s="351"/>
      <c r="E982" s="7"/>
      <c r="F982" s="287"/>
      <c r="G982" s="145"/>
      <c r="H982" s="145"/>
      <c r="I982" s="146"/>
      <c r="J982" s="7">
        <f t="shared" si="465"/>
        <v>0</v>
      </c>
      <c r="K982" s="276"/>
    </row>
    <row r="983" spans="2:11" outlineLevel="1">
      <c r="B983" s="731" t="s">
        <v>769</v>
      </c>
      <c r="C983" s="302" t="s">
        <v>121</v>
      </c>
      <c r="D983" s="351">
        <v>1</v>
      </c>
      <c r="E983" s="7">
        <v>326.35999999999996</v>
      </c>
      <c r="F983" s="287">
        <v>0</v>
      </c>
      <c r="G983" s="145">
        <f>+ROUND(E983+F983*TC,2)</f>
        <v>326.36</v>
      </c>
      <c r="H983" s="145">
        <f t="shared" ref="H983:H985" si="468">+ROUND(D983*E983,2)</f>
        <v>326.36</v>
      </c>
      <c r="I983" s="146">
        <f t="shared" ref="I983:I985" si="469">+ROUND(D983*F983,2)</f>
        <v>0</v>
      </c>
      <c r="J983" s="7">
        <f t="shared" si="465"/>
        <v>326.36</v>
      </c>
      <c r="K983" s="276"/>
    </row>
    <row r="984" spans="2:11" outlineLevel="1">
      <c r="B984" s="43" t="s">
        <v>770</v>
      </c>
      <c r="C984" s="302" t="s">
        <v>121</v>
      </c>
      <c r="D984" s="351">
        <v>1</v>
      </c>
      <c r="E984" s="7">
        <v>201.62</v>
      </c>
      <c r="F984" s="287">
        <v>0</v>
      </c>
      <c r="G984" s="145">
        <f>+ROUND(E984+F984*TC,2)</f>
        <v>201.62</v>
      </c>
      <c r="H984" s="145">
        <f t="shared" si="468"/>
        <v>201.62</v>
      </c>
      <c r="I984" s="146">
        <f t="shared" si="469"/>
        <v>0</v>
      </c>
      <c r="J984" s="7">
        <f t="shared" si="465"/>
        <v>201.62</v>
      </c>
      <c r="K984" s="276"/>
    </row>
    <row r="985" spans="2:11" outlineLevel="1">
      <c r="B985" s="51" t="s">
        <v>772</v>
      </c>
      <c r="C985" s="302" t="s">
        <v>121</v>
      </c>
      <c r="D985" s="351">
        <v>1</v>
      </c>
      <c r="E985" s="7">
        <v>272.52</v>
      </c>
      <c r="F985" s="287">
        <v>0</v>
      </c>
      <c r="G985" s="145">
        <f>+ROUND(E985+F985*TC,2)</f>
        <v>272.52</v>
      </c>
      <c r="H985" s="145">
        <f t="shared" si="468"/>
        <v>272.52</v>
      </c>
      <c r="I985" s="146">
        <f t="shared" si="469"/>
        <v>0</v>
      </c>
      <c r="J985" s="7">
        <f t="shared" si="465"/>
        <v>272.52</v>
      </c>
      <c r="K985" s="276"/>
    </row>
    <row r="986" spans="2:11" outlineLevel="1">
      <c r="B986" s="357" t="s">
        <v>2545</v>
      </c>
      <c r="C986" s="302"/>
      <c r="D986" s="351"/>
      <c r="E986" s="7"/>
      <c r="F986" s="287"/>
      <c r="G986" s="145"/>
      <c r="H986" s="145"/>
      <c r="I986" s="146"/>
      <c r="J986" s="7">
        <f t="shared" ref="J986:J988" si="470">+ROUND(H986+I986*TC,2)</f>
        <v>0</v>
      </c>
      <c r="K986" s="276"/>
    </row>
    <row r="987" spans="2:11" outlineLevel="1">
      <c r="B987" s="731" t="s">
        <v>769</v>
      </c>
      <c r="C987" s="302" t="s">
        <v>121</v>
      </c>
      <c r="D987" s="351">
        <v>1</v>
      </c>
      <c r="E987" s="7">
        <v>326.35999999999996</v>
      </c>
      <c r="F987" s="287">
        <v>0</v>
      </c>
      <c r="G987" s="145">
        <f>+ROUND(E987+F987*TC,2)</f>
        <v>326.36</v>
      </c>
      <c r="H987" s="145">
        <f t="shared" ref="H987:H988" si="471">+ROUND(D987*E987,2)</f>
        <v>326.36</v>
      </c>
      <c r="I987" s="146">
        <f t="shared" ref="I987:I988" si="472">+ROUND(D987*F987,2)</f>
        <v>0</v>
      </c>
      <c r="J987" s="7">
        <f t="shared" si="470"/>
        <v>326.36</v>
      </c>
      <c r="K987" s="276"/>
    </row>
    <row r="988" spans="2:11" outlineLevel="1">
      <c r="B988" s="51" t="s">
        <v>772</v>
      </c>
      <c r="C988" s="302" t="s">
        <v>121</v>
      </c>
      <c r="D988" s="351">
        <v>1</v>
      </c>
      <c r="E988" s="7">
        <v>272.52</v>
      </c>
      <c r="F988" s="287">
        <v>0</v>
      </c>
      <c r="G988" s="145">
        <f>+ROUND(E988+F988*TC,2)</f>
        <v>272.52</v>
      </c>
      <c r="H988" s="145">
        <f t="shared" si="471"/>
        <v>272.52</v>
      </c>
      <c r="I988" s="146">
        <f t="shared" si="472"/>
        <v>0</v>
      </c>
      <c r="J988" s="7">
        <f t="shared" si="470"/>
        <v>272.52</v>
      </c>
      <c r="K988" s="276"/>
    </row>
    <row r="989" spans="2:11" outlineLevel="1">
      <c r="B989" s="733" t="s">
        <v>325</v>
      </c>
      <c r="C989" s="302"/>
      <c r="D989" s="351"/>
      <c r="E989" s="7"/>
      <c r="F989" s="287"/>
      <c r="G989" s="145"/>
      <c r="H989" s="145"/>
      <c r="I989" s="146"/>
      <c r="J989" s="7"/>
      <c r="K989" s="276"/>
    </row>
    <row r="990" spans="2:11" outlineLevel="1">
      <c r="B990" s="357" t="s">
        <v>2546</v>
      </c>
      <c r="C990" s="302"/>
      <c r="D990" s="351"/>
      <c r="E990" s="7"/>
      <c r="F990" s="287"/>
      <c r="G990" s="145"/>
      <c r="H990" s="145"/>
      <c r="I990" s="146"/>
      <c r="J990" s="7">
        <f t="shared" ref="J990:J993" si="473">+ROUND(H990+I990*TC,2)</f>
        <v>0</v>
      </c>
      <c r="K990" s="276"/>
    </row>
    <row r="991" spans="2:11" outlineLevel="1">
      <c r="B991" s="731" t="s">
        <v>769</v>
      </c>
      <c r="C991" s="302" t="s">
        <v>121</v>
      </c>
      <c r="D991" s="351">
        <v>1</v>
      </c>
      <c r="E991" s="7">
        <v>326.35999999999996</v>
      </c>
      <c r="F991" s="287">
        <v>0</v>
      </c>
      <c r="G991" s="145">
        <f>+ROUND(E991+F991*TC,2)</f>
        <v>326.36</v>
      </c>
      <c r="H991" s="145">
        <f t="shared" ref="H991:H993" si="474">+ROUND(D991*E991,2)</f>
        <v>326.36</v>
      </c>
      <c r="I991" s="146">
        <f t="shared" ref="I991:I993" si="475">+ROUND(D991*F991,2)</f>
        <v>0</v>
      </c>
      <c r="J991" s="7">
        <f t="shared" si="473"/>
        <v>326.36</v>
      </c>
      <c r="K991" s="276"/>
    </row>
    <row r="992" spans="2:11" outlineLevel="1">
      <c r="B992" s="43" t="s">
        <v>770</v>
      </c>
      <c r="C992" s="302" t="s">
        <v>121</v>
      </c>
      <c r="D992" s="351">
        <v>1</v>
      </c>
      <c r="E992" s="7">
        <v>201.62</v>
      </c>
      <c r="F992" s="287">
        <v>0</v>
      </c>
      <c r="G992" s="145">
        <f>+ROUND(E992+F992*TC,2)</f>
        <v>201.62</v>
      </c>
      <c r="H992" s="145">
        <f t="shared" si="474"/>
        <v>201.62</v>
      </c>
      <c r="I992" s="146">
        <f t="shared" si="475"/>
        <v>0</v>
      </c>
      <c r="J992" s="7">
        <f t="shared" si="473"/>
        <v>201.62</v>
      </c>
      <c r="K992" s="276"/>
    </row>
    <row r="993" spans="2:11" outlineLevel="1">
      <c r="B993" s="51" t="s">
        <v>772</v>
      </c>
      <c r="C993" s="302" t="s">
        <v>121</v>
      </c>
      <c r="D993" s="351">
        <v>1</v>
      </c>
      <c r="E993" s="7">
        <v>272.52</v>
      </c>
      <c r="F993" s="287">
        <v>0</v>
      </c>
      <c r="G993" s="145">
        <f>+ROUND(E993+F993*TC,2)</f>
        <v>272.52</v>
      </c>
      <c r="H993" s="145">
        <f t="shared" si="474"/>
        <v>272.52</v>
      </c>
      <c r="I993" s="146">
        <f t="shared" si="475"/>
        <v>0</v>
      </c>
      <c r="J993" s="7">
        <f t="shared" si="473"/>
        <v>272.52</v>
      </c>
      <c r="K993" s="276"/>
    </row>
    <row r="994" spans="2:11" outlineLevel="1">
      <c r="B994" s="357" t="s">
        <v>2547</v>
      </c>
      <c r="C994" s="302"/>
      <c r="D994" s="351"/>
      <c r="E994" s="7"/>
      <c r="F994" s="287"/>
      <c r="G994" s="145"/>
      <c r="H994" s="145"/>
      <c r="I994" s="146"/>
      <c r="J994" s="7">
        <f t="shared" ref="J994:J997" si="476">+ROUND(H994+I994*TC,2)</f>
        <v>0</v>
      </c>
      <c r="K994" s="276"/>
    </row>
    <row r="995" spans="2:11" outlineLevel="1">
      <c r="B995" s="731" t="s">
        <v>769</v>
      </c>
      <c r="C995" s="302" t="s">
        <v>121</v>
      </c>
      <c r="D995" s="351">
        <v>1</v>
      </c>
      <c r="E995" s="7">
        <v>326.35999999999996</v>
      </c>
      <c r="F995" s="287">
        <v>0</v>
      </c>
      <c r="G995" s="145">
        <f>+ROUND(E995+F995*TC,2)</f>
        <v>326.36</v>
      </c>
      <c r="H995" s="145">
        <f t="shared" ref="H995:H997" si="477">+ROUND(D995*E995,2)</f>
        <v>326.36</v>
      </c>
      <c r="I995" s="146">
        <f t="shared" ref="I995:I997" si="478">+ROUND(D995*F995,2)</f>
        <v>0</v>
      </c>
      <c r="J995" s="7">
        <f t="shared" si="476"/>
        <v>326.36</v>
      </c>
      <c r="K995" s="276"/>
    </row>
    <row r="996" spans="2:11" outlineLevel="1">
      <c r="B996" s="43" t="s">
        <v>770</v>
      </c>
      <c r="C996" s="302" t="s">
        <v>121</v>
      </c>
      <c r="D996" s="351">
        <v>1</v>
      </c>
      <c r="E996" s="7">
        <v>201.62</v>
      </c>
      <c r="F996" s="287">
        <v>0</v>
      </c>
      <c r="G996" s="145">
        <f>+ROUND(E996+F996*TC,2)</f>
        <v>201.62</v>
      </c>
      <c r="H996" s="145">
        <f t="shared" si="477"/>
        <v>201.62</v>
      </c>
      <c r="I996" s="146">
        <f t="shared" si="478"/>
        <v>0</v>
      </c>
      <c r="J996" s="7">
        <f t="shared" si="476"/>
        <v>201.62</v>
      </c>
      <c r="K996" s="276"/>
    </row>
    <row r="997" spans="2:11" outlineLevel="1">
      <c r="B997" s="51" t="s">
        <v>772</v>
      </c>
      <c r="C997" s="302" t="s">
        <v>121</v>
      </c>
      <c r="D997" s="351">
        <v>1</v>
      </c>
      <c r="E997" s="7">
        <v>272.52</v>
      </c>
      <c r="F997" s="287">
        <v>0</v>
      </c>
      <c r="G997" s="145">
        <f>+ROUND(E997+F997*TC,2)</f>
        <v>272.52</v>
      </c>
      <c r="H997" s="145">
        <f t="shared" si="477"/>
        <v>272.52</v>
      </c>
      <c r="I997" s="146">
        <f t="shared" si="478"/>
        <v>0</v>
      </c>
      <c r="J997" s="7">
        <f t="shared" si="476"/>
        <v>272.52</v>
      </c>
      <c r="K997" s="276"/>
    </row>
    <row r="998" spans="2:11" outlineLevel="1">
      <c r="B998" s="357" t="s">
        <v>2548</v>
      </c>
      <c r="C998" s="302"/>
      <c r="D998" s="351"/>
      <c r="E998" s="7"/>
      <c r="F998" s="287"/>
      <c r="G998" s="145"/>
      <c r="H998" s="145"/>
      <c r="I998" s="146"/>
      <c r="J998" s="7">
        <f t="shared" ref="J998:J1001" si="479">+ROUND(H998+I998*TC,2)</f>
        <v>0</v>
      </c>
      <c r="K998" s="276"/>
    </row>
    <row r="999" spans="2:11" outlineLevel="1">
      <c r="B999" s="731" t="s">
        <v>769</v>
      </c>
      <c r="C999" s="302" t="s">
        <v>121</v>
      </c>
      <c r="D999" s="351">
        <v>1</v>
      </c>
      <c r="E999" s="7">
        <v>326.35999999999996</v>
      </c>
      <c r="F999" s="287">
        <v>0</v>
      </c>
      <c r="G999" s="145">
        <f>+ROUND(E999+F999*TC,2)</f>
        <v>326.36</v>
      </c>
      <c r="H999" s="145">
        <f t="shared" ref="H999:H1001" si="480">+ROUND(D999*E999,2)</f>
        <v>326.36</v>
      </c>
      <c r="I999" s="146">
        <f t="shared" ref="I999:I1001" si="481">+ROUND(D999*F999,2)</f>
        <v>0</v>
      </c>
      <c r="J999" s="7">
        <f t="shared" si="479"/>
        <v>326.36</v>
      </c>
      <c r="K999" s="276"/>
    </row>
    <row r="1000" spans="2:11" outlineLevel="1">
      <c r="B1000" s="43" t="s">
        <v>770</v>
      </c>
      <c r="C1000" s="302" t="s">
        <v>121</v>
      </c>
      <c r="D1000" s="351">
        <v>1</v>
      </c>
      <c r="E1000" s="7">
        <v>201.62</v>
      </c>
      <c r="F1000" s="287">
        <v>0</v>
      </c>
      <c r="G1000" s="145">
        <f>+ROUND(E1000+F1000*TC,2)</f>
        <v>201.62</v>
      </c>
      <c r="H1000" s="145">
        <f t="shared" si="480"/>
        <v>201.62</v>
      </c>
      <c r="I1000" s="146">
        <f t="shared" si="481"/>
        <v>0</v>
      </c>
      <c r="J1000" s="7">
        <f t="shared" si="479"/>
        <v>201.62</v>
      </c>
      <c r="K1000" s="276"/>
    </row>
    <row r="1001" spans="2:11" outlineLevel="1">
      <c r="B1001" s="51" t="s">
        <v>772</v>
      </c>
      <c r="C1001" s="302" t="s">
        <v>121</v>
      </c>
      <c r="D1001" s="351">
        <v>1</v>
      </c>
      <c r="E1001" s="7">
        <v>272.52</v>
      </c>
      <c r="F1001" s="287">
        <v>0</v>
      </c>
      <c r="G1001" s="145">
        <f>+ROUND(E1001+F1001*TC,2)</f>
        <v>272.52</v>
      </c>
      <c r="H1001" s="145">
        <f t="shared" si="480"/>
        <v>272.52</v>
      </c>
      <c r="I1001" s="146">
        <f t="shared" si="481"/>
        <v>0</v>
      </c>
      <c r="J1001" s="7">
        <f t="shared" si="479"/>
        <v>272.52</v>
      </c>
      <c r="K1001" s="276"/>
    </row>
    <row r="1002" spans="2:11" outlineLevel="1">
      <c r="B1002" s="733" t="s">
        <v>2550</v>
      </c>
      <c r="C1002" s="302"/>
      <c r="D1002" s="351"/>
      <c r="E1002" s="7"/>
      <c r="F1002" s="287"/>
      <c r="G1002" s="145"/>
      <c r="H1002" s="145"/>
      <c r="I1002" s="146"/>
      <c r="J1002" s="7"/>
      <c r="K1002" s="276"/>
    </row>
    <row r="1003" spans="2:11" outlineLevel="1">
      <c r="B1003" s="357" t="s">
        <v>294</v>
      </c>
      <c r="C1003" s="302"/>
      <c r="D1003" s="351"/>
      <c r="E1003" s="7" t="s">
        <v>27</v>
      </c>
      <c r="F1003" s="287" t="s">
        <v>27</v>
      </c>
      <c r="G1003" s="145"/>
      <c r="H1003" s="145"/>
      <c r="I1003" s="146"/>
      <c r="J1003" s="7">
        <f t="shared" si="442"/>
        <v>0</v>
      </c>
      <c r="K1003" s="276"/>
    </row>
    <row r="1004" spans="2:11" outlineLevel="1">
      <c r="B1004" s="732" t="s">
        <v>775</v>
      </c>
      <c r="C1004" s="302" t="s">
        <v>121</v>
      </c>
      <c r="D1004" s="351">
        <v>6</v>
      </c>
      <c r="E1004" s="7">
        <v>219</v>
      </c>
      <c r="F1004" s="287">
        <v>0</v>
      </c>
      <c r="G1004" s="145">
        <f>+ROUND(E1004+F1004*TC,2)</f>
        <v>219</v>
      </c>
      <c r="H1004" s="145">
        <f t="shared" ref="H1004:H1014" si="482">+ROUND(D1004*E1004,2)</f>
        <v>1314</v>
      </c>
      <c r="I1004" s="146">
        <f t="shared" ref="I1004:I1014" si="483">+ROUND(D1004*F1004,2)</f>
        <v>0</v>
      </c>
      <c r="J1004" s="7">
        <f t="shared" si="442"/>
        <v>1314</v>
      </c>
      <c r="K1004" s="276"/>
    </row>
    <row r="1005" spans="2:11" outlineLevel="1">
      <c r="B1005" s="357" t="s">
        <v>776</v>
      </c>
      <c r="C1005" s="302"/>
      <c r="D1005" s="351"/>
      <c r="E1005" s="7" t="s">
        <v>27</v>
      </c>
      <c r="F1005" s="287" t="s">
        <v>27</v>
      </c>
      <c r="G1005" s="145"/>
      <c r="H1005" s="145"/>
      <c r="I1005" s="146"/>
      <c r="J1005" s="7">
        <f t="shared" si="442"/>
        <v>0</v>
      </c>
      <c r="K1005" s="276"/>
    </row>
    <row r="1006" spans="2:11" outlineLevel="1">
      <c r="B1006" s="732" t="s">
        <v>775</v>
      </c>
      <c r="C1006" s="302" t="s">
        <v>121</v>
      </c>
      <c r="D1006" s="351">
        <v>1</v>
      </c>
      <c r="E1006" s="7">
        <v>219</v>
      </c>
      <c r="F1006" s="287">
        <v>0</v>
      </c>
      <c r="G1006" s="145">
        <f>+ROUND(E1006+F1006*TC,2)</f>
        <v>219</v>
      </c>
      <c r="H1006" s="145">
        <f t="shared" ref="H1006" si="484">+ROUND(D1006*E1006,2)</f>
        <v>219</v>
      </c>
      <c r="I1006" s="146">
        <f t="shared" ref="I1006" si="485">+ROUND(D1006*F1006,2)</f>
        <v>0</v>
      </c>
      <c r="J1006" s="7">
        <f t="shared" si="442"/>
        <v>219</v>
      </c>
      <c r="K1006" s="276"/>
    </row>
    <row r="1007" spans="2:11" outlineLevel="1">
      <c r="B1007" s="357" t="s">
        <v>777</v>
      </c>
      <c r="C1007" s="302"/>
      <c r="D1007" s="351"/>
      <c r="E1007" s="7" t="s">
        <v>27</v>
      </c>
      <c r="F1007" s="287" t="s">
        <v>27</v>
      </c>
      <c r="G1007" s="145"/>
      <c r="H1007" s="145"/>
      <c r="I1007" s="146"/>
      <c r="J1007" s="7">
        <f t="shared" si="442"/>
        <v>0</v>
      </c>
      <c r="K1007" s="276"/>
    </row>
    <row r="1008" spans="2:11" outlineLevel="1">
      <c r="B1008" s="51" t="s">
        <v>778</v>
      </c>
      <c r="C1008" s="302" t="s">
        <v>121</v>
      </c>
      <c r="D1008" s="351">
        <v>1</v>
      </c>
      <c r="E1008" s="7">
        <v>232.47</v>
      </c>
      <c r="F1008" s="287">
        <v>0</v>
      </c>
      <c r="G1008" s="145">
        <f>+ROUND(E1008+F1008*TC,2)</f>
        <v>232.47</v>
      </c>
      <c r="H1008" s="145">
        <f t="shared" si="482"/>
        <v>232.47</v>
      </c>
      <c r="I1008" s="146">
        <f t="shared" si="483"/>
        <v>0</v>
      </c>
      <c r="J1008" s="7">
        <f t="shared" si="442"/>
        <v>232.47</v>
      </c>
      <c r="K1008" s="276"/>
    </row>
    <row r="1009" spans="2:11" outlineLevel="1">
      <c r="B1009" s="357" t="s">
        <v>779</v>
      </c>
      <c r="C1009" s="302"/>
      <c r="D1009" s="351"/>
      <c r="E1009" s="7" t="s">
        <v>27</v>
      </c>
      <c r="F1009" s="287" t="s">
        <v>27</v>
      </c>
      <c r="G1009" s="145"/>
      <c r="H1009" s="145"/>
      <c r="I1009" s="146"/>
      <c r="J1009" s="7">
        <f t="shared" si="442"/>
        <v>0</v>
      </c>
      <c r="K1009" s="276"/>
    </row>
    <row r="1010" spans="2:11" outlineLevel="1">
      <c r="B1010" s="51" t="s">
        <v>762</v>
      </c>
      <c r="C1010" s="302" t="s">
        <v>121</v>
      </c>
      <c r="D1010" s="351">
        <v>1</v>
      </c>
      <c r="E1010" s="7">
        <v>288.45</v>
      </c>
      <c r="F1010" s="287">
        <v>0</v>
      </c>
      <c r="G1010" s="145">
        <f>+ROUND(E1010+F1010*TC,2)</f>
        <v>288.45</v>
      </c>
      <c r="H1010" s="145">
        <f t="shared" si="482"/>
        <v>288.45</v>
      </c>
      <c r="I1010" s="146">
        <f t="shared" si="483"/>
        <v>0</v>
      </c>
      <c r="J1010" s="7">
        <f t="shared" si="442"/>
        <v>288.45</v>
      </c>
      <c r="K1010" s="276"/>
    </row>
    <row r="1011" spans="2:11" outlineLevel="1">
      <c r="B1011" s="357" t="s">
        <v>780</v>
      </c>
      <c r="C1011" s="302"/>
      <c r="D1011" s="351"/>
      <c r="E1011" s="7" t="s">
        <v>27</v>
      </c>
      <c r="F1011" s="287" t="s">
        <v>27</v>
      </c>
      <c r="G1011" s="145"/>
      <c r="H1011" s="145"/>
      <c r="I1011" s="146"/>
      <c r="J1011" s="7">
        <f t="shared" si="442"/>
        <v>0</v>
      </c>
      <c r="K1011" s="276"/>
    </row>
    <row r="1012" spans="2:11" outlineLevel="1">
      <c r="B1012" s="51" t="s">
        <v>762</v>
      </c>
      <c r="C1012" s="302" t="s">
        <v>121</v>
      </c>
      <c r="D1012" s="351">
        <v>1</v>
      </c>
      <c r="E1012" s="7">
        <v>288.45</v>
      </c>
      <c r="F1012" s="287">
        <v>0</v>
      </c>
      <c r="G1012" s="145">
        <f>+ROUND(E1012+F1012*TC,2)</f>
        <v>288.45</v>
      </c>
      <c r="H1012" s="145">
        <f t="shared" ref="H1012" si="486">+ROUND(D1012*E1012,2)</f>
        <v>288.45</v>
      </c>
      <c r="I1012" s="146">
        <f t="shared" ref="I1012" si="487">+ROUND(D1012*F1012,2)</f>
        <v>0</v>
      </c>
      <c r="J1012" s="7">
        <f t="shared" si="442"/>
        <v>288.45</v>
      </c>
      <c r="K1012" s="276"/>
    </row>
    <row r="1013" spans="2:11" outlineLevel="1">
      <c r="B1013" s="357" t="s">
        <v>781</v>
      </c>
      <c r="C1013" s="302"/>
      <c r="D1013" s="351"/>
      <c r="E1013" s="7"/>
      <c r="F1013" s="287"/>
      <c r="G1013" s="145"/>
      <c r="H1013" s="145"/>
      <c r="I1013" s="146"/>
      <c r="J1013" s="7">
        <f t="shared" si="442"/>
        <v>0</v>
      </c>
      <c r="K1013" s="276"/>
    </row>
    <row r="1014" spans="2:11" outlineLevel="1">
      <c r="B1014" s="51" t="s">
        <v>782</v>
      </c>
      <c r="C1014" s="302" t="s">
        <v>121</v>
      </c>
      <c r="D1014" s="351">
        <v>1</v>
      </c>
      <c r="E1014" s="7">
        <v>371.54</v>
      </c>
      <c r="F1014" s="287">
        <v>0</v>
      </c>
      <c r="G1014" s="145">
        <f>+ROUND(E1014+F1014*TC,2)</f>
        <v>371.54</v>
      </c>
      <c r="H1014" s="145">
        <f t="shared" si="482"/>
        <v>371.54</v>
      </c>
      <c r="I1014" s="146">
        <f t="shared" si="483"/>
        <v>0</v>
      </c>
      <c r="J1014" s="7">
        <f t="shared" si="442"/>
        <v>371.54</v>
      </c>
      <c r="K1014" s="276"/>
    </row>
    <row r="1015" spans="2:11" outlineLevel="1">
      <c r="B1015" s="357" t="s">
        <v>783</v>
      </c>
      <c r="C1015" s="302"/>
      <c r="D1015" s="351"/>
      <c r="E1015" s="7" t="s">
        <v>27</v>
      </c>
      <c r="F1015" s="287" t="s">
        <v>27</v>
      </c>
      <c r="G1015" s="145"/>
      <c r="H1015" s="145"/>
      <c r="I1015" s="146"/>
      <c r="J1015" s="7">
        <f t="shared" si="442"/>
        <v>0</v>
      </c>
      <c r="K1015" s="276"/>
    </row>
    <row r="1016" spans="2:11" outlineLevel="1">
      <c r="B1016" s="51" t="s">
        <v>784</v>
      </c>
      <c r="C1016" s="302" t="s">
        <v>121</v>
      </c>
      <c r="D1016" s="351">
        <v>1</v>
      </c>
      <c r="E1016" s="7">
        <v>574.92999999999995</v>
      </c>
      <c r="F1016" s="287">
        <v>0</v>
      </c>
      <c r="G1016" s="145">
        <f>+ROUND(E1016+F1016*TC,2)</f>
        <v>574.92999999999995</v>
      </c>
      <c r="H1016" s="145">
        <f t="shared" ref="H1016" si="488">+ROUND(D1016*E1016,2)</f>
        <v>574.92999999999995</v>
      </c>
      <c r="I1016" s="146">
        <f t="shared" ref="I1016" si="489">+ROUND(D1016*F1016,2)</f>
        <v>0</v>
      </c>
      <c r="J1016" s="7">
        <f t="shared" si="442"/>
        <v>574.92999999999995</v>
      </c>
      <c r="K1016" s="276"/>
    </row>
    <row r="1017" spans="2:11" outlineLevel="1">
      <c r="B1017" s="730" t="s">
        <v>763</v>
      </c>
      <c r="C1017" s="302"/>
      <c r="D1017" s="351"/>
      <c r="E1017" s="7"/>
      <c r="F1017" s="287"/>
      <c r="G1017" s="145"/>
      <c r="H1017" s="145"/>
      <c r="I1017" s="146"/>
      <c r="J1017" s="7">
        <f t="shared" si="442"/>
        <v>0</v>
      </c>
      <c r="K1017" s="276"/>
    </row>
    <row r="1018" spans="2:11" outlineLevel="1">
      <c r="B1018" s="357" t="s">
        <v>785</v>
      </c>
      <c r="C1018" s="302"/>
      <c r="D1018" s="351"/>
      <c r="E1018" s="7" t="s">
        <v>27</v>
      </c>
      <c r="F1018" s="287" t="s">
        <v>27</v>
      </c>
      <c r="G1018" s="145"/>
      <c r="H1018" s="145"/>
      <c r="I1018" s="146"/>
      <c r="J1018" s="7">
        <f t="shared" si="442"/>
        <v>0</v>
      </c>
      <c r="K1018" s="276"/>
    </row>
    <row r="1019" spans="2:11" outlineLevel="1">
      <c r="B1019" s="51" t="s">
        <v>764</v>
      </c>
      <c r="C1019" s="302" t="s">
        <v>121</v>
      </c>
      <c r="D1019" s="351">
        <v>1</v>
      </c>
      <c r="E1019" s="7">
        <v>19.66</v>
      </c>
      <c r="F1019" s="287">
        <v>16.350000000000001</v>
      </c>
      <c r="G1019" s="145">
        <f>+ROUND(E1019+F1019*TC,2)</f>
        <v>74.430000000000007</v>
      </c>
      <c r="H1019" s="145">
        <f>+ROUND(D1019*E1019,2)</f>
        <v>19.66</v>
      </c>
      <c r="I1019" s="146">
        <f>+ROUND(D1019*F1019,2)</f>
        <v>16.350000000000001</v>
      </c>
      <c r="J1019" s="7">
        <f t="shared" si="442"/>
        <v>74.430000000000007</v>
      </c>
      <c r="K1019" s="276"/>
    </row>
    <row r="1020" spans="2:11" outlineLevel="1">
      <c r="B1020" s="357" t="s">
        <v>768</v>
      </c>
      <c r="C1020" s="302"/>
      <c r="D1020" s="351"/>
      <c r="E1020" s="7" t="s">
        <v>27</v>
      </c>
      <c r="F1020" s="287" t="s">
        <v>27</v>
      </c>
      <c r="G1020" s="145"/>
      <c r="H1020" s="145"/>
      <c r="I1020" s="146"/>
      <c r="J1020" s="7">
        <f t="shared" si="442"/>
        <v>0</v>
      </c>
      <c r="K1020" s="276"/>
    </row>
    <row r="1021" spans="2:11" outlineLevel="1">
      <c r="B1021" s="51" t="s">
        <v>786</v>
      </c>
      <c r="C1021" s="302" t="s">
        <v>121</v>
      </c>
      <c r="D1021" s="351">
        <v>9</v>
      </c>
      <c r="E1021" s="7">
        <v>19.66</v>
      </c>
      <c r="F1021" s="287">
        <v>63.72</v>
      </c>
      <c r="G1021" s="145">
        <f>+ROUND(E1021+F1021*TC,2)</f>
        <v>233.12</v>
      </c>
      <c r="H1021" s="145">
        <f t="shared" ref="H1021:H1023" si="490">+ROUND(D1021*E1021,2)</f>
        <v>176.94</v>
      </c>
      <c r="I1021" s="146">
        <f t="shared" ref="I1021:I1023" si="491">+ROUND(D1021*F1021,2)</f>
        <v>573.48</v>
      </c>
      <c r="J1021" s="7">
        <f t="shared" si="442"/>
        <v>2098.1</v>
      </c>
      <c r="K1021" s="276"/>
    </row>
    <row r="1022" spans="2:11" outlineLevel="1">
      <c r="B1022" s="357" t="s">
        <v>771</v>
      </c>
      <c r="C1022" s="302"/>
      <c r="D1022" s="351"/>
      <c r="E1022" s="7"/>
      <c r="F1022" s="287"/>
      <c r="G1022" s="145"/>
      <c r="H1022" s="145"/>
      <c r="I1022" s="146"/>
      <c r="J1022" s="7">
        <f t="shared" si="442"/>
        <v>0</v>
      </c>
      <c r="K1022" s="276"/>
    </row>
    <row r="1023" spans="2:11" outlineLevel="1">
      <c r="B1023" s="706" t="s">
        <v>787</v>
      </c>
      <c r="C1023" s="302" t="s">
        <v>121</v>
      </c>
      <c r="D1023" s="351">
        <v>6</v>
      </c>
      <c r="E1023" s="7">
        <v>138.30000000000001</v>
      </c>
      <c r="F1023" s="287">
        <v>0</v>
      </c>
      <c r="G1023" s="145">
        <f>+ROUND(E1023+F1023*TC,2)</f>
        <v>138.30000000000001</v>
      </c>
      <c r="H1023" s="145">
        <f t="shared" si="490"/>
        <v>829.8</v>
      </c>
      <c r="I1023" s="146">
        <f t="shared" si="491"/>
        <v>0</v>
      </c>
      <c r="J1023" s="7">
        <f t="shared" si="442"/>
        <v>829.8</v>
      </c>
      <c r="K1023" s="276"/>
    </row>
    <row r="1024" spans="2:11" outlineLevel="1">
      <c r="B1024" s="357" t="s">
        <v>773</v>
      </c>
      <c r="C1024" s="302"/>
      <c r="D1024" s="351"/>
      <c r="E1024" s="7"/>
      <c r="F1024" s="287"/>
      <c r="G1024" s="145"/>
      <c r="H1024" s="145"/>
      <c r="I1024" s="146"/>
      <c r="J1024" s="7">
        <f t="shared" si="442"/>
        <v>0</v>
      </c>
      <c r="K1024" s="276"/>
    </row>
    <row r="1025" spans="2:11" outlineLevel="1">
      <c r="B1025" s="51" t="s">
        <v>786</v>
      </c>
      <c r="C1025" s="302" t="s">
        <v>121</v>
      </c>
      <c r="D1025" s="351">
        <v>7</v>
      </c>
      <c r="E1025" s="7">
        <v>19.66</v>
      </c>
      <c r="F1025" s="287">
        <v>63.72</v>
      </c>
      <c r="G1025" s="145">
        <f>+ROUND(E1025+F1025*TC,2)</f>
        <v>233.12</v>
      </c>
      <c r="H1025" s="145">
        <f t="shared" ref="H1025" si="492">+ROUND(D1025*E1025,2)</f>
        <v>137.62</v>
      </c>
      <c r="I1025" s="146">
        <f t="shared" ref="I1025" si="493">+ROUND(D1025*F1025,2)</f>
        <v>446.04</v>
      </c>
      <c r="J1025" s="7">
        <f t="shared" si="442"/>
        <v>1631.85</v>
      </c>
      <c r="K1025" s="276"/>
    </row>
    <row r="1026" spans="2:11" outlineLevel="1">
      <c r="B1026" s="357" t="s">
        <v>768</v>
      </c>
      <c r="C1026" s="302"/>
      <c r="D1026" s="351"/>
      <c r="E1026" s="7" t="s">
        <v>27</v>
      </c>
      <c r="F1026" s="287" t="s">
        <v>27</v>
      </c>
      <c r="G1026" s="145"/>
      <c r="H1026" s="145"/>
      <c r="I1026" s="146"/>
      <c r="J1026" s="7">
        <f t="shared" si="442"/>
        <v>0</v>
      </c>
      <c r="K1026" s="276"/>
    </row>
    <row r="1027" spans="2:11" outlineLevel="1">
      <c r="B1027" s="729" t="s">
        <v>788</v>
      </c>
      <c r="C1027" s="302" t="s">
        <v>121</v>
      </c>
      <c r="D1027" s="351">
        <v>9</v>
      </c>
      <c r="E1027" s="7">
        <v>385</v>
      </c>
      <c r="F1027" s="287">
        <v>0</v>
      </c>
      <c r="G1027" s="145">
        <f t="shared" si="443"/>
        <v>385</v>
      </c>
      <c r="H1027" s="145">
        <f t="shared" si="444"/>
        <v>3465</v>
      </c>
      <c r="I1027" s="146">
        <f t="shared" si="445"/>
        <v>0</v>
      </c>
      <c r="J1027" s="7">
        <f t="shared" si="442"/>
        <v>3465</v>
      </c>
      <c r="K1027" s="276"/>
    </row>
    <row r="1028" spans="2:11" outlineLevel="1">
      <c r="B1028" s="357" t="s">
        <v>771</v>
      </c>
      <c r="C1028" s="302"/>
      <c r="D1028" s="351"/>
      <c r="E1028" s="7" t="s">
        <v>27</v>
      </c>
      <c r="F1028" s="287" t="s">
        <v>27</v>
      </c>
      <c r="G1028" s="145"/>
      <c r="H1028" s="145"/>
      <c r="I1028" s="146"/>
      <c r="J1028" s="7">
        <f t="shared" si="442"/>
        <v>0</v>
      </c>
      <c r="K1028" s="276"/>
    </row>
    <row r="1029" spans="2:11" outlineLevel="1">
      <c r="B1029" s="729" t="s">
        <v>789</v>
      </c>
      <c r="C1029" s="302" t="s">
        <v>121</v>
      </c>
      <c r="D1029" s="351">
        <v>6</v>
      </c>
      <c r="E1029" s="7">
        <v>385</v>
      </c>
      <c r="F1029" s="287">
        <v>0</v>
      </c>
      <c r="G1029" s="145">
        <f t="shared" si="443"/>
        <v>385</v>
      </c>
      <c r="H1029" s="145">
        <f t="shared" si="444"/>
        <v>2310</v>
      </c>
      <c r="I1029" s="146">
        <f t="shared" si="445"/>
        <v>0</v>
      </c>
      <c r="J1029" s="7">
        <f t="shared" si="442"/>
        <v>2310</v>
      </c>
      <c r="K1029" s="276"/>
    </row>
    <row r="1030" spans="2:11" outlineLevel="1">
      <c r="B1030" s="357" t="s">
        <v>768</v>
      </c>
      <c r="C1030" s="302"/>
      <c r="D1030" s="351"/>
      <c r="E1030" s="7" t="s">
        <v>27</v>
      </c>
      <c r="F1030" s="287" t="s">
        <v>27</v>
      </c>
      <c r="G1030" s="145"/>
      <c r="H1030" s="145"/>
      <c r="I1030" s="146"/>
      <c r="J1030" s="7">
        <f t="shared" si="442"/>
        <v>0</v>
      </c>
      <c r="K1030" s="276"/>
    </row>
    <row r="1031" spans="2:11" outlineLevel="1">
      <c r="B1031" s="711" t="s">
        <v>790</v>
      </c>
      <c r="C1031" s="302" t="s">
        <v>121</v>
      </c>
      <c r="D1031" s="351">
        <v>1</v>
      </c>
      <c r="E1031" s="7">
        <v>19.66</v>
      </c>
      <c r="F1031" s="287">
        <v>155.31</v>
      </c>
      <c r="G1031" s="145">
        <f t="shared" ref="G1031" si="494">+ROUND(E1031+F1031*TC,2)</f>
        <v>539.95000000000005</v>
      </c>
      <c r="H1031" s="145">
        <f t="shared" ref="H1031" si="495">+ROUND(D1031*E1031,2)</f>
        <v>19.66</v>
      </c>
      <c r="I1031" s="146">
        <f t="shared" ref="I1031" si="496">+ROUND(D1031*F1031,2)</f>
        <v>155.31</v>
      </c>
      <c r="J1031" s="7">
        <f t="shared" si="442"/>
        <v>539.95000000000005</v>
      </c>
      <c r="K1031" s="276"/>
    </row>
    <row r="1032" spans="2:11" outlineLevel="1">
      <c r="B1032" s="711" t="s">
        <v>791</v>
      </c>
      <c r="C1032" s="302" t="s">
        <v>121</v>
      </c>
      <c r="D1032" s="351">
        <v>1</v>
      </c>
      <c r="E1032" s="7">
        <v>166.76999999999998</v>
      </c>
      <c r="F1032" s="287">
        <v>0</v>
      </c>
      <c r="G1032" s="145">
        <f t="shared" ref="G1032" si="497">+ROUND(E1032+F1032*TC,2)</f>
        <v>166.77</v>
      </c>
      <c r="H1032" s="145">
        <f t="shared" ref="H1032" si="498">+ROUND(D1032*E1032,2)</f>
        <v>166.77</v>
      </c>
      <c r="I1032" s="146">
        <f t="shared" ref="I1032" si="499">+ROUND(D1032*F1032,2)</f>
        <v>0</v>
      </c>
      <c r="J1032" s="7">
        <f t="shared" si="442"/>
        <v>166.77</v>
      </c>
      <c r="K1032" s="276"/>
    </row>
    <row r="1033" spans="2:11" outlineLevel="1">
      <c r="B1033" s="729" t="s">
        <v>792</v>
      </c>
      <c r="C1033" s="302" t="s">
        <v>121</v>
      </c>
      <c r="D1033" s="351">
        <v>6</v>
      </c>
      <c r="E1033" s="7"/>
      <c r="F1033" s="287"/>
      <c r="G1033" s="145">
        <f t="shared" si="443"/>
        <v>0</v>
      </c>
      <c r="H1033" s="145">
        <f t="shared" si="444"/>
        <v>0</v>
      </c>
      <c r="I1033" s="146">
        <f t="shared" si="445"/>
        <v>0</v>
      </c>
      <c r="J1033" s="7">
        <f t="shared" si="442"/>
        <v>0</v>
      </c>
      <c r="K1033" s="276"/>
    </row>
    <row r="1034" spans="2:11" outlineLevel="1">
      <c r="B1034" s="734" t="s">
        <v>2812</v>
      </c>
      <c r="C1034" s="302"/>
      <c r="D1034" s="351"/>
      <c r="E1034" s="7"/>
      <c r="F1034" s="287"/>
      <c r="G1034" s="145">
        <f t="shared" si="443"/>
        <v>0</v>
      </c>
      <c r="H1034" s="145">
        <f t="shared" si="444"/>
        <v>0</v>
      </c>
      <c r="I1034" s="146">
        <f t="shared" si="445"/>
        <v>0</v>
      </c>
      <c r="J1034" s="7">
        <f t="shared" si="442"/>
        <v>0</v>
      </c>
      <c r="K1034" s="276"/>
    </row>
    <row r="1035" spans="2:11" outlineLevel="1">
      <c r="B1035" s="357" t="s">
        <v>793</v>
      </c>
      <c r="C1035" s="302"/>
      <c r="D1035" s="351"/>
      <c r="E1035" s="7"/>
      <c r="F1035" s="287"/>
      <c r="G1035" s="145"/>
      <c r="H1035" s="145"/>
      <c r="I1035" s="146"/>
      <c r="J1035" s="7">
        <f t="shared" si="442"/>
        <v>0</v>
      </c>
      <c r="K1035" s="276"/>
    </row>
    <row r="1036" spans="2:11" outlineLevel="1">
      <c r="B1036" s="711" t="s">
        <v>794</v>
      </c>
      <c r="C1036" s="302" t="s">
        <v>121</v>
      </c>
      <c r="D1036" s="351">
        <v>6</v>
      </c>
      <c r="E1036" s="7">
        <v>366.18</v>
      </c>
      <c r="F1036" s="287">
        <v>0</v>
      </c>
      <c r="G1036" s="145">
        <f t="shared" ref="G1036" si="500">+ROUND(E1036+F1036*TC,2)</f>
        <v>366.18</v>
      </c>
      <c r="H1036" s="145">
        <f t="shared" ref="H1036" si="501">+ROUND(D1036*E1036,2)</f>
        <v>2197.08</v>
      </c>
      <c r="I1036" s="146">
        <f t="shared" ref="I1036" si="502">+ROUND(D1036*F1036,2)</f>
        <v>0</v>
      </c>
      <c r="J1036" s="7">
        <f t="shared" si="442"/>
        <v>2197.08</v>
      </c>
      <c r="K1036" s="276"/>
    </row>
    <row r="1037" spans="2:11" outlineLevel="1">
      <c r="B1037" s="357" t="s">
        <v>776</v>
      </c>
      <c r="C1037" s="302"/>
      <c r="D1037" s="351"/>
      <c r="E1037" s="7"/>
      <c r="F1037" s="287"/>
      <c r="G1037" s="145"/>
      <c r="H1037" s="145"/>
      <c r="I1037" s="146"/>
      <c r="J1037" s="7">
        <f t="shared" si="442"/>
        <v>0</v>
      </c>
      <c r="K1037" s="276"/>
    </row>
    <row r="1038" spans="2:11" outlineLevel="1">
      <c r="B1038" s="51" t="s">
        <v>764</v>
      </c>
      <c r="C1038" s="302" t="s">
        <v>121</v>
      </c>
      <c r="D1038" s="351">
        <v>1</v>
      </c>
      <c r="E1038" s="7">
        <v>19.66</v>
      </c>
      <c r="F1038" s="287">
        <v>16.350000000000001</v>
      </c>
      <c r="G1038" s="145">
        <f t="shared" si="443"/>
        <v>74.430000000000007</v>
      </c>
      <c r="H1038" s="145">
        <f>+ROUND(D1038*E1038,2)+8.5</f>
        <v>28.16</v>
      </c>
      <c r="I1038" s="146">
        <f t="shared" si="445"/>
        <v>16.350000000000001</v>
      </c>
      <c r="J1038" s="7">
        <f t="shared" si="442"/>
        <v>82.93</v>
      </c>
      <c r="K1038" s="276"/>
    </row>
    <row r="1039" spans="2:11" outlineLevel="1">
      <c r="B1039" s="357" t="s">
        <v>780</v>
      </c>
      <c r="C1039" s="302"/>
      <c r="D1039" s="351"/>
      <c r="E1039" s="7"/>
      <c r="F1039" s="287"/>
      <c r="G1039" s="145"/>
      <c r="H1039" s="145"/>
      <c r="I1039" s="146"/>
      <c r="J1039" s="7">
        <f t="shared" si="442"/>
        <v>0</v>
      </c>
      <c r="K1039" s="276"/>
    </row>
    <row r="1040" spans="2:11" outlineLevel="1">
      <c r="B1040" s="51" t="s">
        <v>764</v>
      </c>
      <c r="C1040" s="302" t="s">
        <v>121</v>
      </c>
      <c r="D1040" s="351">
        <v>1</v>
      </c>
      <c r="E1040" s="7">
        <v>19.66</v>
      </c>
      <c r="F1040" s="287">
        <v>16.350000000000001</v>
      </c>
      <c r="G1040" s="145">
        <f t="shared" si="443"/>
        <v>74.430000000000007</v>
      </c>
      <c r="H1040" s="145">
        <f>+ROUND(D1040*E1040,2)+8.5</f>
        <v>28.16</v>
      </c>
      <c r="I1040" s="146">
        <f t="shared" si="445"/>
        <v>16.350000000000001</v>
      </c>
      <c r="J1040" s="7">
        <f t="shared" si="442"/>
        <v>82.93</v>
      </c>
      <c r="K1040" s="276"/>
    </row>
    <row r="1041" spans="2:11" outlineLevel="1">
      <c r="B1041" s="357" t="s">
        <v>795</v>
      </c>
      <c r="C1041" s="302"/>
      <c r="D1041" s="351"/>
      <c r="E1041" s="7"/>
      <c r="F1041" s="287"/>
      <c r="G1041" s="145"/>
      <c r="H1041" s="145"/>
      <c r="I1041" s="146"/>
      <c r="J1041" s="7">
        <f t="shared" si="442"/>
        <v>0</v>
      </c>
      <c r="K1041" s="276"/>
    </row>
    <row r="1042" spans="2:11" outlineLevel="1">
      <c r="B1042" s="51" t="s">
        <v>764</v>
      </c>
      <c r="C1042" s="302" t="s">
        <v>121</v>
      </c>
      <c r="D1042" s="351">
        <v>1</v>
      </c>
      <c r="E1042" s="7">
        <v>19.66</v>
      </c>
      <c r="F1042" s="287">
        <v>16.350000000000001</v>
      </c>
      <c r="G1042" s="145">
        <f t="shared" si="443"/>
        <v>74.430000000000007</v>
      </c>
      <c r="H1042" s="145">
        <f>+ROUND(D1042*E1042,2)+8.5</f>
        <v>28.16</v>
      </c>
      <c r="I1042" s="146">
        <f t="shared" si="445"/>
        <v>16.350000000000001</v>
      </c>
      <c r="J1042" s="7">
        <f t="shared" si="442"/>
        <v>82.93</v>
      </c>
      <c r="K1042" s="276"/>
    </row>
    <row r="1043" spans="2:11" outlineLevel="1">
      <c r="B1043" s="357" t="s">
        <v>796</v>
      </c>
      <c r="C1043" s="302"/>
      <c r="D1043" s="351"/>
      <c r="E1043" s="7"/>
      <c r="F1043" s="287"/>
      <c r="G1043" s="145"/>
      <c r="H1043" s="145"/>
      <c r="I1043" s="146"/>
      <c r="J1043" s="7">
        <f t="shared" si="442"/>
        <v>0</v>
      </c>
      <c r="K1043" s="276"/>
    </row>
    <row r="1044" spans="2:11" outlineLevel="1">
      <c r="B1044" s="711" t="s">
        <v>794</v>
      </c>
      <c r="C1044" s="302" t="s">
        <v>121</v>
      </c>
      <c r="D1044" s="351">
        <v>1</v>
      </c>
      <c r="E1044" s="7">
        <v>366.18</v>
      </c>
      <c r="F1044" s="287">
        <v>0</v>
      </c>
      <c r="G1044" s="145">
        <f t="shared" si="443"/>
        <v>366.18</v>
      </c>
      <c r="H1044" s="145">
        <f t="shared" si="444"/>
        <v>366.18</v>
      </c>
      <c r="I1044" s="146">
        <f t="shared" si="445"/>
        <v>0</v>
      </c>
      <c r="J1044" s="7">
        <f t="shared" si="442"/>
        <v>366.18</v>
      </c>
      <c r="K1044" s="276"/>
    </row>
    <row r="1045" spans="2:11" outlineLevel="1">
      <c r="B1045" s="357" t="s">
        <v>781</v>
      </c>
      <c r="C1045" s="302"/>
      <c r="D1045" s="351"/>
      <c r="E1045" s="7"/>
      <c r="F1045" s="287"/>
      <c r="G1045" s="145"/>
      <c r="H1045" s="145"/>
      <c r="I1045" s="146"/>
      <c r="J1045" s="7">
        <f t="shared" si="442"/>
        <v>0</v>
      </c>
      <c r="K1045" s="276"/>
    </row>
    <row r="1046" spans="2:11" outlineLevel="1">
      <c r="B1046" s="711" t="s">
        <v>797</v>
      </c>
      <c r="C1046" s="302" t="s">
        <v>121</v>
      </c>
      <c r="D1046" s="351">
        <v>1</v>
      </c>
      <c r="E1046" s="7">
        <v>419.56</v>
      </c>
      <c r="F1046" s="287">
        <v>0</v>
      </c>
      <c r="G1046" s="145">
        <f t="shared" si="443"/>
        <v>419.56</v>
      </c>
      <c r="H1046" s="145">
        <f t="shared" si="444"/>
        <v>419.56</v>
      </c>
      <c r="I1046" s="146">
        <f t="shared" si="445"/>
        <v>0</v>
      </c>
      <c r="J1046" s="7">
        <f t="shared" si="442"/>
        <v>419.56</v>
      </c>
      <c r="K1046" s="276"/>
    </row>
    <row r="1047" spans="2:11" outlineLevel="1">
      <c r="B1047" s="349" t="s">
        <v>309</v>
      </c>
      <c r="C1047" s="302"/>
      <c r="D1047" s="351"/>
      <c r="E1047" s="7"/>
      <c r="F1047" s="287"/>
      <c r="G1047" s="145">
        <f t="shared" si="443"/>
        <v>0</v>
      </c>
      <c r="H1047" s="145">
        <f t="shared" si="444"/>
        <v>0</v>
      </c>
      <c r="I1047" s="146">
        <f t="shared" si="445"/>
        <v>0</v>
      </c>
      <c r="J1047" s="7">
        <f t="shared" si="442"/>
        <v>0</v>
      </c>
      <c r="K1047" s="276"/>
    </row>
    <row r="1048" spans="2:11" ht="22.5" outlineLevel="1">
      <c r="B1048" s="729" t="s">
        <v>798</v>
      </c>
      <c r="C1048" s="302" t="s">
        <v>121</v>
      </c>
      <c r="D1048" s="351">
        <v>6</v>
      </c>
      <c r="E1048" s="7">
        <v>250</v>
      </c>
      <c r="F1048" s="287"/>
      <c r="G1048" s="145">
        <f t="shared" si="443"/>
        <v>250</v>
      </c>
      <c r="H1048" s="145">
        <f t="shared" si="444"/>
        <v>1500</v>
      </c>
      <c r="I1048" s="146">
        <f t="shared" si="445"/>
        <v>0</v>
      </c>
      <c r="J1048" s="7">
        <f t="shared" si="442"/>
        <v>1500</v>
      </c>
      <c r="K1048" s="276"/>
    </row>
    <row r="1049" spans="2:11" ht="22.5" outlineLevel="1">
      <c r="B1049" s="729" t="s">
        <v>798</v>
      </c>
      <c r="C1049" s="302" t="s">
        <v>121</v>
      </c>
      <c r="D1049" s="351">
        <v>6</v>
      </c>
      <c r="E1049" s="7">
        <v>250</v>
      </c>
      <c r="F1049" s="287"/>
      <c r="G1049" s="145">
        <f t="shared" si="443"/>
        <v>250</v>
      </c>
      <c r="H1049" s="145">
        <f t="shared" si="444"/>
        <v>1500</v>
      </c>
      <c r="I1049" s="146">
        <f t="shared" si="445"/>
        <v>0</v>
      </c>
      <c r="J1049" s="7">
        <f t="shared" si="442"/>
        <v>1500</v>
      </c>
      <c r="K1049" s="276"/>
    </row>
    <row r="1050" spans="2:11" ht="22.5" outlineLevel="1">
      <c r="B1050" s="729" t="s">
        <v>799</v>
      </c>
      <c r="C1050" s="302" t="s">
        <v>121</v>
      </c>
      <c r="D1050" s="351">
        <v>6</v>
      </c>
      <c r="E1050" s="7">
        <v>150</v>
      </c>
      <c r="F1050" s="287"/>
      <c r="G1050" s="145">
        <f t="shared" si="443"/>
        <v>150</v>
      </c>
      <c r="H1050" s="145">
        <f t="shared" si="444"/>
        <v>900</v>
      </c>
      <c r="I1050" s="146">
        <f t="shared" si="445"/>
        <v>0</v>
      </c>
      <c r="J1050" s="7">
        <f t="shared" si="442"/>
        <v>900</v>
      </c>
      <c r="K1050" s="276"/>
    </row>
    <row r="1051" spans="2:11" ht="22.5" outlineLevel="1">
      <c r="B1051" s="729" t="s">
        <v>799</v>
      </c>
      <c r="C1051" s="302" t="s">
        <v>121</v>
      </c>
      <c r="D1051" s="351">
        <v>6</v>
      </c>
      <c r="E1051" s="7">
        <v>150</v>
      </c>
      <c r="F1051" s="287"/>
      <c r="G1051" s="145">
        <f t="shared" si="443"/>
        <v>150</v>
      </c>
      <c r="H1051" s="145">
        <f t="shared" si="444"/>
        <v>900</v>
      </c>
      <c r="I1051" s="146">
        <f t="shared" si="445"/>
        <v>0</v>
      </c>
      <c r="J1051" s="7">
        <f t="shared" ref="J1051:J1123" si="503">+ROUND(H1051+I1051*TC,2)</f>
        <v>900</v>
      </c>
      <c r="K1051" s="276"/>
    </row>
    <row r="1052" spans="2:11">
      <c r="B1052" s="694" t="s">
        <v>800</v>
      </c>
      <c r="C1052" s="285"/>
      <c r="D1052" s="286"/>
      <c r="E1052" s="7" t="s">
        <v>27</v>
      </c>
      <c r="F1052" s="287" t="s">
        <v>27</v>
      </c>
      <c r="G1052" s="145"/>
      <c r="H1052" s="145"/>
      <c r="I1052" s="146"/>
      <c r="J1052" s="7">
        <f t="shared" si="503"/>
        <v>0</v>
      </c>
      <c r="K1052" s="276">
        <f>SUM(H1052:H1066)+SUM(I1052:I1066)*TC</f>
        <v>307775.96950000001</v>
      </c>
    </row>
    <row r="1053" spans="2:11" outlineLevel="1">
      <c r="B1053" s="349" t="s">
        <v>760</v>
      </c>
      <c r="C1053" s="302"/>
      <c r="D1053" s="351"/>
      <c r="E1053" s="7" t="s">
        <v>27</v>
      </c>
      <c r="F1053" s="287" t="s">
        <v>27</v>
      </c>
      <c r="G1053" s="145"/>
      <c r="H1053" s="145"/>
      <c r="I1053" s="146"/>
      <c r="J1053" s="7">
        <f t="shared" si="503"/>
        <v>0</v>
      </c>
      <c r="K1053" s="276"/>
    </row>
    <row r="1054" spans="2:11" outlineLevel="1">
      <c r="B1054" s="726" t="s">
        <v>2551</v>
      </c>
      <c r="C1054" s="302" t="s">
        <v>141</v>
      </c>
      <c r="D1054" s="351">
        <v>971.8</v>
      </c>
      <c r="E1054" s="7">
        <v>0</v>
      </c>
      <c r="F1054" s="287">
        <v>67</v>
      </c>
      <c r="G1054" s="145">
        <f>+ROUND(E1054+F1054*TC,2)</f>
        <v>224.45</v>
      </c>
      <c r="H1054" s="145">
        <f t="shared" ref="H1054" si="504">+ROUND(D1054*E1054,2)</f>
        <v>0</v>
      </c>
      <c r="I1054" s="146">
        <f t="shared" ref="I1054:I1157" si="505">+ROUND(D1054*F1054,2)</f>
        <v>65110.6</v>
      </c>
      <c r="J1054" s="7">
        <f t="shared" si="503"/>
        <v>218120.51</v>
      </c>
      <c r="K1054" s="276"/>
    </row>
    <row r="1055" spans="2:11" outlineLevel="1">
      <c r="B1055" s="726" t="s">
        <v>2552</v>
      </c>
      <c r="C1055" s="302" t="s">
        <v>141</v>
      </c>
      <c r="D1055" s="351">
        <v>8.52</v>
      </c>
      <c r="E1055" s="7">
        <v>0</v>
      </c>
      <c r="F1055" s="287">
        <v>67</v>
      </c>
      <c r="G1055" s="145">
        <f>+ROUND(E1055+F1055*TC,2)</f>
        <v>224.45</v>
      </c>
      <c r="H1055" s="145">
        <f t="shared" ref="H1055:H1058" si="506">+ROUND(D1055*E1055,2)</f>
        <v>0</v>
      </c>
      <c r="I1055" s="146">
        <f t="shared" ref="I1055:I1058" si="507">+ROUND(D1055*F1055,2)</f>
        <v>570.84</v>
      </c>
      <c r="J1055" s="7">
        <f t="shared" ref="J1055:J1058" si="508">+ROUND(H1055+I1055*TC,2)</f>
        <v>1912.31</v>
      </c>
      <c r="K1055" s="276"/>
    </row>
    <row r="1056" spans="2:11" outlineLevel="1">
      <c r="B1056" s="726" t="s">
        <v>2553</v>
      </c>
      <c r="C1056" s="302" t="s">
        <v>141</v>
      </c>
      <c r="D1056" s="351">
        <v>249.14999999999992</v>
      </c>
      <c r="E1056" s="7">
        <v>0</v>
      </c>
      <c r="F1056" s="287">
        <v>67</v>
      </c>
      <c r="G1056" s="145">
        <f>+ROUND(E1056+F1056*TC,2)</f>
        <v>224.45</v>
      </c>
      <c r="H1056" s="145">
        <f t="shared" si="506"/>
        <v>0</v>
      </c>
      <c r="I1056" s="146">
        <f t="shared" si="507"/>
        <v>16693.05</v>
      </c>
      <c r="J1056" s="7">
        <f t="shared" si="508"/>
        <v>55921.72</v>
      </c>
      <c r="K1056" s="276"/>
    </row>
    <row r="1057" spans="2:11" outlineLevel="1">
      <c r="B1057" s="726" t="s">
        <v>2554</v>
      </c>
      <c r="C1057" s="302" t="s">
        <v>141</v>
      </c>
      <c r="D1057" s="351">
        <v>67.099999999999966</v>
      </c>
      <c r="E1057" s="7">
        <v>0</v>
      </c>
      <c r="F1057" s="287">
        <v>68</v>
      </c>
      <c r="G1057" s="145">
        <f>+ROUND(E1057+F1057*TC,2)</f>
        <v>227.8</v>
      </c>
      <c r="H1057" s="145">
        <f t="shared" si="506"/>
        <v>0</v>
      </c>
      <c r="I1057" s="146">
        <f t="shared" si="507"/>
        <v>4562.8</v>
      </c>
      <c r="J1057" s="7">
        <f t="shared" si="508"/>
        <v>15285.38</v>
      </c>
      <c r="K1057" s="276"/>
    </row>
    <row r="1058" spans="2:11" outlineLevel="1">
      <c r="B1058" s="726" t="s">
        <v>2555</v>
      </c>
      <c r="C1058" s="302" t="s">
        <v>141</v>
      </c>
      <c r="D1058" s="351">
        <v>42.249999999999993</v>
      </c>
      <c r="E1058" s="7">
        <v>0</v>
      </c>
      <c r="F1058" s="287">
        <v>70</v>
      </c>
      <c r="G1058" s="145">
        <f>+ROUND(E1058+F1058*TC,2)</f>
        <v>234.5</v>
      </c>
      <c r="H1058" s="145">
        <f t="shared" si="506"/>
        <v>0</v>
      </c>
      <c r="I1058" s="146">
        <f t="shared" si="507"/>
        <v>2957.5</v>
      </c>
      <c r="J1058" s="7">
        <f t="shared" si="508"/>
        <v>9907.6299999999992</v>
      </c>
      <c r="K1058" s="276"/>
    </row>
    <row r="1059" spans="2:11" outlineLevel="1">
      <c r="B1059" s="349" t="s">
        <v>482</v>
      </c>
      <c r="C1059" s="302"/>
      <c r="D1059" s="351"/>
      <c r="E1059" s="7" t="s">
        <v>27</v>
      </c>
      <c r="F1059" s="287" t="s">
        <v>27</v>
      </c>
      <c r="G1059" s="145"/>
      <c r="H1059" s="145"/>
      <c r="I1059" s="146"/>
      <c r="J1059" s="7"/>
      <c r="K1059" s="289"/>
    </row>
    <row r="1060" spans="2:11" ht="22.5" outlineLevel="1">
      <c r="B1060" s="726" t="s">
        <v>2556</v>
      </c>
      <c r="C1060" s="302" t="s">
        <v>141</v>
      </c>
      <c r="D1060" s="351">
        <v>3.37</v>
      </c>
      <c r="E1060" s="7"/>
      <c r="F1060" s="287">
        <v>69</v>
      </c>
      <c r="G1060" s="145">
        <f>+ROUND(E1060+F1060*TC,2)</f>
        <v>231.15</v>
      </c>
      <c r="H1060" s="145">
        <f t="shared" ref="H1060:H1063" si="509">+ROUND(D1060*E1060,2)</f>
        <v>0</v>
      </c>
      <c r="I1060" s="146">
        <f t="shared" ref="I1060:I1063" si="510">+ROUND(D1060*F1060,2)</f>
        <v>232.53</v>
      </c>
      <c r="J1060" s="7">
        <f t="shared" ref="J1060:J1063" si="511">+ROUND(H1060+I1060*TC,2)</f>
        <v>778.98</v>
      </c>
      <c r="K1060" s="289"/>
    </row>
    <row r="1061" spans="2:11" ht="22.5" outlineLevel="1">
      <c r="B1061" s="726" t="s">
        <v>2557</v>
      </c>
      <c r="C1061" s="302" t="s">
        <v>141</v>
      </c>
      <c r="D1061" s="351">
        <v>3.13</v>
      </c>
      <c r="E1061" s="7"/>
      <c r="F1061" s="287">
        <v>69</v>
      </c>
      <c r="G1061" s="145">
        <f>+ROUND(E1061+F1061*TC,2)</f>
        <v>231.15</v>
      </c>
      <c r="H1061" s="145">
        <f t="shared" si="509"/>
        <v>0</v>
      </c>
      <c r="I1061" s="146">
        <f t="shared" si="510"/>
        <v>215.97</v>
      </c>
      <c r="J1061" s="7">
        <f t="shared" si="511"/>
        <v>723.5</v>
      </c>
      <c r="K1061" s="289"/>
    </row>
    <row r="1062" spans="2:11" outlineLevel="1">
      <c r="B1062" s="726" t="s">
        <v>2558</v>
      </c>
      <c r="C1062" s="302" t="s">
        <v>141</v>
      </c>
      <c r="D1062" s="351">
        <v>2.8</v>
      </c>
      <c r="E1062" s="7"/>
      <c r="F1062" s="287">
        <v>69</v>
      </c>
      <c r="G1062" s="145">
        <f>+ROUND(E1062+F1062*TC,2)</f>
        <v>231.15</v>
      </c>
      <c r="H1062" s="145">
        <f t="shared" si="509"/>
        <v>0</v>
      </c>
      <c r="I1062" s="146">
        <f t="shared" si="510"/>
        <v>193.2</v>
      </c>
      <c r="J1062" s="7">
        <f t="shared" si="511"/>
        <v>647.22</v>
      </c>
      <c r="K1062" s="289"/>
    </row>
    <row r="1063" spans="2:11" outlineLevel="1">
      <c r="B1063" s="726" t="s">
        <v>2813</v>
      </c>
      <c r="C1063" s="302" t="s">
        <v>141</v>
      </c>
      <c r="D1063" s="351">
        <v>2.72</v>
      </c>
      <c r="E1063" s="7"/>
      <c r="F1063" s="287">
        <v>69</v>
      </c>
      <c r="G1063" s="145">
        <f>+ROUND(E1063+F1063*TC,2)</f>
        <v>231.15</v>
      </c>
      <c r="H1063" s="145">
        <f t="shared" si="509"/>
        <v>0</v>
      </c>
      <c r="I1063" s="146">
        <f t="shared" si="510"/>
        <v>187.68</v>
      </c>
      <c r="J1063" s="7">
        <f t="shared" si="511"/>
        <v>628.73</v>
      </c>
      <c r="K1063" s="289"/>
    </row>
    <row r="1064" spans="2:11" outlineLevel="1">
      <c r="B1064" s="349" t="s">
        <v>801</v>
      </c>
      <c r="C1064" s="285"/>
      <c r="D1064" s="286"/>
      <c r="E1064" s="7" t="s">
        <v>27</v>
      </c>
      <c r="F1064" s="287" t="s">
        <v>27</v>
      </c>
      <c r="G1064" s="145"/>
      <c r="H1064" s="145"/>
      <c r="I1064" s="146"/>
      <c r="J1064" s="7">
        <f t="shared" si="503"/>
        <v>0</v>
      </c>
      <c r="K1064" s="289"/>
    </row>
    <row r="1065" spans="2:11" outlineLevel="1">
      <c r="B1065" s="150" t="s">
        <v>802</v>
      </c>
      <c r="C1065" s="285" t="s">
        <v>130</v>
      </c>
      <c r="D1065" s="286">
        <v>1</v>
      </c>
      <c r="E1065" s="7">
        <v>3850</v>
      </c>
      <c r="F1065" s="287">
        <v>0</v>
      </c>
      <c r="G1065" s="145">
        <f>+ROUND(E1065+F1065*TC,2)</f>
        <v>3850</v>
      </c>
      <c r="H1065" s="145">
        <f t="shared" ref="H1065:H1150" si="512">+ROUND(D1065*E1065,2)</f>
        <v>3850</v>
      </c>
      <c r="I1065" s="146">
        <f t="shared" si="505"/>
        <v>0</v>
      </c>
      <c r="J1065" s="7">
        <f t="shared" si="503"/>
        <v>3850</v>
      </c>
      <c r="K1065" s="289"/>
    </row>
    <row r="1066" spans="2:11" outlineLevel="1">
      <c r="B1066" s="150" t="s">
        <v>803</v>
      </c>
      <c r="C1066" s="285" t="s">
        <v>130</v>
      </c>
      <c r="D1066" s="286"/>
      <c r="E1066" s="7">
        <v>0</v>
      </c>
      <c r="F1066" s="287">
        <v>0</v>
      </c>
      <c r="G1066" s="145">
        <f>+ROUND(E1066+F1066*TC,2)</f>
        <v>0</v>
      </c>
      <c r="H1066" s="145">
        <f t="shared" si="512"/>
        <v>0</v>
      </c>
      <c r="I1066" s="146">
        <f t="shared" si="505"/>
        <v>0</v>
      </c>
      <c r="J1066" s="7">
        <f t="shared" si="503"/>
        <v>0</v>
      </c>
      <c r="K1066" s="289"/>
    </row>
    <row r="1067" spans="2:11">
      <c r="B1067" s="694" t="s">
        <v>804</v>
      </c>
      <c r="C1067" s="285"/>
      <c r="D1067" s="286"/>
      <c r="E1067" s="7" t="s">
        <v>27</v>
      </c>
      <c r="F1067" s="287" t="s">
        <v>27</v>
      </c>
      <c r="G1067" s="145"/>
      <c r="H1067" s="145"/>
      <c r="I1067" s="146"/>
      <c r="J1067" s="7">
        <f t="shared" si="503"/>
        <v>0</v>
      </c>
      <c r="K1067" s="276">
        <f>SUM(H1067:H1104)+SUM(I1067:I1104)*TC</f>
        <v>88520.701499999996</v>
      </c>
    </row>
    <row r="1068" spans="2:11" outlineLevel="1">
      <c r="B1068" s="303" t="s">
        <v>805</v>
      </c>
      <c r="C1068" s="723" t="s">
        <v>682</v>
      </c>
      <c r="D1068" s="286">
        <v>256</v>
      </c>
      <c r="E1068" s="7"/>
      <c r="F1068" s="287">
        <v>5.5</v>
      </c>
      <c r="G1068" s="145">
        <f t="shared" ref="G1068:G1104" si="513">+ROUND(E1068+F1068*TC,2)</f>
        <v>18.43</v>
      </c>
      <c r="H1068" s="145">
        <f t="shared" ref="H1068:H1104" si="514">+ROUND(D1068*E1068,2)</f>
        <v>0</v>
      </c>
      <c r="I1068" s="146">
        <f t="shared" ref="I1068:I1104" si="515">+ROUND(D1068*F1068,2)</f>
        <v>1408</v>
      </c>
      <c r="J1068" s="7">
        <f t="shared" si="503"/>
        <v>4716.8</v>
      </c>
      <c r="K1068" s="276"/>
    </row>
    <row r="1069" spans="2:11" outlineLevel="1">
      <c r="B1069" s="303" t="s">
        <v>806</v>
      </c>
      <c r="C1069" s="723" t="s">
        <v>682</v>
      </c>
      <c r="D1069" s="286">
        <v>19</v>
      </c>
      <c r="E1069" s="7"/>
      <c r="F1069" s="287">
        <v>29.33</v>
      </c>
      <c r="G1069" s="145">
        <f t="shared" si="513"/>
        <v>98.26</v>
      </c>
      <c r="H1069" s="145">
        <f t="shared" si="514"/>
        <v>0</v>
      </c>
      <c r="I1069" s="146">
        <f t="shared" si="515"/>
        <v>557.27</v>
      </c>
      <c r="J1069" s="7">
        <f t="shared" si="503"/>
        <v>1866.85</v>
      </c>
      <c r="K1069" s="276"/>
    </row>
    <row r="1070" spans="2:11" outlineLevel="1">
      <c r="B1070" s="303" t="s">
        <v>807</v>
      </c>
      <c r="C1070" s="723" t="s">
        <v>682</v>
      </c>
      <c r="D1070" s="286">
        <v>72</v>
      </c>
      <c r="E1070" s="7"/>
      <c r="F1070" s="287">
        <v>9.1199999999999992</v>
      </c>
      <c r="G1070" s="145">
        <f t="shared" si="513"/>
        <v>30.55</v>
      </c>
      <c r="H1070" s="145">
        <f t="shared" si="514"/>
        <v>0</v>
      </c>
      <c r="I1070" s="146">
        <f t="shared" si="515"/>
        <v>656.64</v>
      </c>
      <c r="J1070" s="7">
        <f t="shared" si="503"/>
        <v>2199.7399999999998</v>
      </c>
      <c r="K1070" s="276"/>
    </row>
    <row r="1071" spans="2:11" outlineLevel="1">
      <c r="B1071" s="303" t="s">
        <v>808</v>
      </c>
      <c r="C1071" s="723" t="s">
        <v>682</v>
      </c>
      <c r="D1071" s="286">
        <v>2</v>
      </c>
      <c r="E1071" s="7"/>
      <c r="F1071" s="287">
        <v>5.76</v>
      </c>
      <c r="G1071" s="145">
        <f t="shared" si="513"/>
        <v>19.3</v>
      </c>
      <c r="H1071" s="145">
        <f t="shared" si="514"/>
        <v>0</v>
      </c>
      <c r="I1071" s="146">
        <f t="shared" si="515"/>
        <v>11.52</v>
      </c>
      <c r="J1071" s="7">
        <f t="shared" si="503"/>
        <v>38.590000000000003</v>
      </c>
      <c r="K1071" s="276"/>
    </row>
    <row r="1072" spans="2:11" outlineLevel="1">
      <c r="B1072" s="303" t="s">
        <v>809</v>
      </c>
      <c r="C1072" s="723" t="s">
        <v>682</v>
      </c>
      <c r="D1072" s="286">
        <v>22</v>
      </c>
      <c r="E1072" s="7"/>
      <c r="F1072" s="287">
        <v>7.12</v>
      </c>
      <c r="G1072" s="145">
        <f t="shared" si="513"/>
        <v>23.85</v>
      </c>
      <c r="H1072" s="145">
        <f t="shared" si="514"/>
        <v>0</v>
      </c>
      <c r="I1072" s="146">
        <f t="shared" si="515"/>
        <v>156.63999999999999</v>
      </c>
      <c r="J1072" s="7">
        <f t="shared" si="503"/>
        <v>524.74</v>
      </c>
      <c r="K1072" s="276"/>
    </row>
    <row r="1073" spans="2:11" outlineLevel="1">
      <c r="B1073" s="303" t="s">
        <v>810</v>
      </c>
      <c r="C1073" s="723" t="s">
        <v>682</v>
      </c>
      <c r="D1073" s="286">
        <v>548</v>
      </c>
      <c r="E1073" s="7"/>
      <c r="F1073" s="287">
        <v>11.92</v>
      </c>
      <c r="G1073" s="145">
        <f t="shared" si="513"/>
        <v>39.93</v>
      </c>
      <c r="H1073" s="145">
        <f t="shared" si="514"/>
        <v>0</v>
      </c>
      <c r="I1073" s="146">
        <f t="shared" si="515"/>
        <v>6532.16</v>
      </c>
      <c r="J1073" s="7">
        <f t="shared" si="503"/>
        <v>21882.74</v>
      </c>
      <c r="K1073" s="276"/>
    </row>
    <row r="1074" spans="2:11" outlineLevel="1">
      <c r="B1074" s="303" t="s">
        <v>1654</v>
      </c>
      <c r="C1074" s="723" t="s">
        <v>682</v>
      </c>
      <c r="D1074" s="286">
        <v>8</v>
      </c>
      <c r="E1074" s="7"/>
      <c r="F1074" s="287">
        <v>10.32</v>
      </c>
      <c r="G1074" s="145">
        <f t="shared" ref="G1074" si="516">+ROUND(E1074+F1074*TC,2)</f>
        <v>34.57</v>
      </c>
      <c r="H1074" s="145">
        <f t="shared" ref="H1074" si="517">+ROUND(D1074*E1074,2)</f>
        <v>0</v>
      </c>
      <c r="I1074" s="146">
        <f t="shared" ref="I1074" si="518">+ROUND(D1074*F1074,2)</f>
        <v>82.56</v>
      </c>
      <c r="J1074" s="7">
        <f t="shared" ref="J1074" si="519">+ROUND(H1074+I1074*TC,2)</f>
        <v>276.58</v>
      </c>
      <c r="K1074" s="276"/>
    </row>
    <row r="1075" spans="2:11" outlineLevel="1">
      <c r="B1075" s="303" t="s">
        <v>811</v>
      </c>
      <c r="C1075" s="723" t="s">
        <v>682</v>
      </c>
      <c r="D1075" s="286">
        <v>131</v>
      </c>
      <c r="E1075" s="7"/>
      <c r="F1075" s="287">
        <v>15.12</v>
      </c>
      <c r="G1075" s="145">
        <f t="shared" si="513"/>
        <v>50.65</v>
      </c>
      <c r="H1075" s="145">
        <f t="shared" si="514"/>
        <v>0</v>
      </c>
      <c r="I1075" s="146">
        <f t="shared" si="515"/>
        <v>1980.72</v>
      </c>
      <c r="J1075" s="7">
        <f t="shared" si="503"/>
        <v>6635.41</v>
      </c>
      <c r="K1075" s="276"/>
    </row>
    <row r="1076" spans="2:11" outlineLevel="1">
      <c r="B1076" s="303" t="s">
        <v>812</v>
      </c>
      <c r="C1076" s="723" t="s">
        <v>682</v>
      </c>
      <c r="D1076" s="286">
        <v>10</v>
      </c>
      <c r="E1076" s="7"/>
      <c r="F1076" s="287">
        <v>18</v>
      </c>
      <c r="G1076" s="145">
        <f t="shared" si="513"/>
        <v>60.3</v>
      </c>
      <c r="H1076" s="145">
        <f t="shared" si="514"/>
        <v>0</v>
      </c>
      <c r="I1076" s="146">
        <f t="shared" si="515"/>
        <v>180</v>
      </c>
      <c r="J1076" s="7">
        <f t="shared" si="503"/>
        <v>603</v>
      </c>
      <c r="K1076" s="276"/>
    </row>
    <row r="1077" spans="2:11" outlineLevel="1">
      <c r="B1077" s="303" t="s">
        <v>813</v>
      </c>
      <c r="C1077" s="723" t="s">
        <v>682</v>
      </c>
      <c r="D1077" s="286">
        <v>6</v>
      </c>
      <c r="E1077" s="7"/>
      <c r="F1077" s="287">
        <v>38.799999999999997</v>
      </c>
      <c r="G1077" s="145">
        <f t="shared" si="513"/>
        <v>129.97999999999999</v>
      </c>
      <c r="H1077" s="145">
        <f t="shared" si="514"/>
        <v>0</v>
      </c>
      <c r="I1077" s="146">
        <f t="shared" si="515"/>
        <v>232.8</v>
      </c>
      <c r="J1077" s="7">
        <f t="shared" si="503"/>
        <v>779.88</v>
      </c>
      <c r="K1077" s="276"/>
    </row>
    <row r="1078" spans="2:11" outlineLevel="1">
      <c r="B1078" s="303"/>
      <c r="C1078" s="723" t="s">
        <v>682</v>
      </c>
      <c r="D1078" s="286">
        <v>4</v>
      </c>
      <c r="E1078" s="7"/>
      <c r="F1078" s="287">
        <v>5.52</v>
      </c>
      <c r="G1078" s="145">
        <f t="shared" si="513"/>
        <v>18.489999999999998</v>
      </c>
      <c r="H1078" s="145">
        <f t="shared" si="514"/>
        <v>0</v>
      </c>
      <c r="I1078" s="146">
        <f t="shared" si="515"/>
        <v>22.08</v>
      </c>
      <c r="J1078" s="7">
        <f t="shared" si="503"/>
        <v>73.97</v>
      </c>
      <c r="K1078" s="276"/>
    </row>
    <row r="1079" spans="2:11" outlineLevel="1">
      <c r="B1079" s="303"/>
      <c r="C1079" s="723" t="s">
        <v>682</v>
      </c>
      <c r="D1079" s="286">
        <v>2</v>
      </c>
      <c r="E1079" s="7"/>
      <c r="F1079" s="287">
        <v>31.6</v>
      </c>
      <c r="G1079" s="145">
        <f t="shared" si="513"/>
        <v>105.86</v>
      </c>
      <c r="H1079" s="145">
        <f t="shared" si="514"/>
        <v>0</v>
      </c>
      <c r="I1079" s="146">
        <f t="shared" si="515"/>
        <v>63.2</v>
      </c>
      <c r="J1079" s="7">
        <f t="shared" si="503"/>
        <v>211.72</v>
      </c>
      <c r="K1079" s="276"/>
    </row>
    <row r="1080" spans="2:11" outlineLevel="1">
      <c r="B1080" s="303" t="s">
        <v>814</v>
      </c>
      <c r="C1080" s="723" t="s">
        <v>682</v>
      </c>
      <c r="D1080" s="286">
        <v>10</v>
      </c>
      <c r="E1080" s="7"/>
      <c r="F1080" s="287">
        <v>12.72</v>
      </c>
      <c r="G1080" s="145">
        <f t="shared" si="513"/>
        <v>42.61</v>
      </c>
      <c r="H1080" s="145">
        <f t="shared" si="514"/>
        <v>0</v>
      </c>
      <c r="I1080" s="146">
        <f t="shared" si="515"/>
        <v>127.2</v>
      </c>
      <c r="J1080" s="7">
        <f t="shared" si="503"/>
        <v>426.12</v>
      </c>
      <c r="K1080" s="276"/>
    </row>
    <row r="1081" spans="2:11" outlineLevel="1">
      <c r="B1081" s="303" t="s">
        <v>815</v>
      </c>
      <c r="C1081" s="723" t="s">
        <v>682</v>
      </c>
      <c r="D1081" s="286">
        <v>3</v>
      </c>
      <c r="E1081" s="7"/>
      <c r="F1081" s="287">
        <v>34.9</v>
      </c>
      <c r="G1081" s="145">
        <f t="shared" si="513"/>
        <v>116.92</v>
      </c>
      <c r="H1081" s="145">
        <f t="shared" si="514"/>
        <v>0</v>
      </c>
      <c r="I1081" s="146">
        <f t="shared" si="515"/>
        <v>104.7</v>
      </c>
      <c r="J1081" s="7">
        <f t="shared" si="503"/>
        <v>350.75</v>
      </c>
      <c r="K1081" s="276"/>
    </row>
    <row r="1082" spans="2:11" outlineLevel="1">
      <c r="B1082" s="303" t="s">
        <v>816</v>
      </c>
      <c r="C1082" s="723" t="s">
        <v>682</v>
      </c>
      <c r="D1082" s="286">
        <v>3</v>
      </c>
      <c r="E1082" s="7"/>
      <c r="F1082" s="287">
        <v>17.2</v>
      </c>
      <c r="G1082" s="145">
        <f t="shared" si="513"/>
        <v>57.62</v>
      </c>
      <c r="H1082" s="145">
        <f t="shared" si="514"/>
        <v>0</v>
      </c>
      <c r="I1082" s="146">
        <f t="shared" si="515"/>
        <v>51.6</v>
      </c>
      <c r="J1082" s="7">
        <f t="shared" si="503"/>
        <v>172.86</v>
      </c>
      <c r="K1082" s="276"/>
    </row>
    <row r="1083" spans="2:11" outlineLevel="1">
      <c r="B1083" s="303" t="s">
        <v>817</v>
      </c>
      <c r="C1083" s="723" t="s">
        <v>682</v>
      </c>
      <c r="D1083" s="286">
        <v>7</v>
      </c>
      <c r="E1083" s="7"/>
      <c r="F1083" s="287">
        <v>5.4</v>
      </c>
      <c r="G1083" s="145">
        <f t="shared" si="513"/>
        <v>18.09</v>
      </c>
      <c r="H1083" s="145">
        <f t="shared" si="514"/>
        <v>0</v>
      </c>
      <c r="I1083" s="146">
        <f t="shared" si="515"/>
        <v>37.799999999999997</v>
      </c>
      <c r="J1083" s="7">
        <f t="shared" si="503"/>
        <v>126.63</v>
      </c>
      <c r="K1083" s="276"/>
    </row>
    <row r="1084" spans="2:11" outlineLevel="1">
      <c r="B1084" s="303" t="s">
        <v>818</v>
      </c>
      <c r="C1084" s="723" t="s">
        <v>682</v>
      </c>
      <c r="D1084" s="286">
        <v>10</v>
      </c>
      <c r="E1084" s="7"/>
      <c r="F1084" s="287">
        <v>133.88</v>
      </c>
      <c r="G1084" s="145">
        <f t="shared" si="513"/>
        <v>448.5</v>
      </c>
      <c r="H1084" s="145">
        <f t="shared" si="514"/>
        <v>0</v>
      </c>
      <c r="I1084" s="146">
        <f t="shared" si="515"/>
        <v>1338.8</v>
      </c>
      <c r="J1084" s="7">
        <f t="shared" si="503"/>
        <v>4484.9799999999996</v>
      </c>
      <c r="K1084" s="276"/>
    </row>
    <row r="1085" spans="2:11" outlineLevel="1">
      <c r="B1085" s="303"/>
      <c r="C1085" s="723" t="s">
        <v>682</v>
      </c>
      <c r="D1085" s="286">
        <v>94</v>
      </c>
      <c r="E1085" s="7"/>
      <c r="F1085" s="287">
        <v>1.1399999999999999</v>
      </c>
      <c r="G1085" s="145">
        <f t="shared" si="513"/>
        <v>3.82</v>
      </c>
      <c r="H1085" s="145">
        <f t="shared" si="514"/>
        <v>0</v>
      </c>
      <c r="I1085" s="146">
        <f t="shared" si="515"/>
        <v>107.16</v>
      </c>
      <c r="J1085" s="7">
        <f t="shared" si="503"/>
        <v>358.99</v>
      </c>
      <c r="K1085" s="276"/>
    </row>
    <row r="1086" spans="2:11" outlineLevel="1">
      <c r="B1086" s="303"/>
      <c r="C1086" s="723" t="s">
        <v>682</v>
      </c>
      <c r="D1086" s="286">
        <v>13</v>
      </c>
      <c r="E1086" s="7"/>
      <c r="F1086" s="287">
        <v>2.19</v>
      </c>
      <c r="G1086" s="145">
        <f t="shared" si="513"/>
        <v>7.34</v>
      </c>
      <c r="H1086" s="145">
        <f t="shared" si="514"/>
        <v>0</v>
      </c>
      <c r="I1086" s="146">
        <f t="shared" si="515"/>
        <v>28.47</v>
      </c>
      <c r="J1086" s="7">
        <f t="shared" si="503"/>
        <v>95.37</v>
      </c>
      <c r="K1086" s="276"/>
    </row>
    <row r="1087" spans="2:11" outlineLevel="1">
      <c r="B1087" s="303"/>
      <c r="C1087" s="723" t="s">
        <v>682</v>
      </c>
      <c r="D1087" s="286">
        <v>9</v>
      </c>
      <c r="E1087" s="7"/>
      <c r="F1087" s="287">
        <v>1.71</v>
      </c>
      <c r="G1087" s="145">
        <f t="shared" ref="G1087" si="520">+ROUND(E1087+F1087*TC,2)</f>
        <v>5.73</v>
      </c>
      <c r="H1087" s="145">
        <f t="shared" ref="H1087" si="521">+ROUND(D1087*E1087,2)</f>
        <v>0</v>
      </c>
      <c r="I1087" s="146">
        <f t="shared" ref="I1087" si="522">+ROUND(D1087*F1087,2)</f>
        <v>15.39</v>
      </c>
      <c r="J1087" s="7">
        <f t="shared" ref="J1087" si="523">+ROUND(H1087+I1087*TC,2)</f>
        <v>51.56</v>
      </c>
      <c r="K1087" s="276"/>
    </row>
    <row r="1088" spans="2:11" outlineLevel="1">
      <c r="B1088" s="303"/>
      <c r="C1088" s="723" t="s">
        <v>682</v>
      </c>
      <c r="D1088" s="286">
        <v>12</v>
      </c>
      <c r="E1088" s="7"/>
      <c r="F1088" s="287">
        <v>31.12</v>
      </c>
      <c r="G1088" s="145">
        <f t="shared" si="513"/>
        <v>104.25</v>
      </c>
      <c r="H1088" s="145">
        <f t="shared" si="514"/>
        <v>0</v>
      </c>
      <c r="I1088" s="146">
        <f t="shared" si="515"/>
        <v>373.44</v>
      </c>
      <c r="J1088" s="7">
        <f t="shared" si="503"/>
        <v>1251.02</v>
      </c>
      <c r="K1088" s="276"/>
    </row>
    <row r="1089" spans="2:11" outlineLevel="1">
      <c r="B1089" s="303"/>
      <c r="C1089" s="723" t="s">
        <v>682</v>
      </c>
      <c r="D1089" s="286">
        <v>1</v>
      </c>
      <c r="E1089" s="7"/>
      <c r="F1089" s="287">
        <v>45.52</v>
      </c>
      <c r="G1089" s="145">
        <f t="shared" ref="G1089" si="524">+ROUND(E1089+F1089*TC,2)</f>
        <v>152.49</v>
      </c>
      <c r="H1089" s="145">
        <f t="shared" ref="H1089" si="525">+ROUND(D1089*E1089,2)</f>
        <v>0</v>
      </c>
      <c r="I1089" s="146">
        <f t="shared" ref="I1089" si="526">+ROUND(D1089*F1089,2)</f>
        <v>45.52</v>
      </c>
      <c r="J1089" s="7">
        <f t="shared" ref="J1089" si="527">+ROUND(H1089+I1089*TC,2)</f>
        <v>152.49</v>
      </c>
      <c r="K1089" s="276"/>
    </row>
    <row r="1090" spans="2:11" outlineLevel="1">
      <c r="B1090" s="303" t="s">
        <v>819</v>
      </c>
      <c r="C1090" s="723" t="s">
        <v>682</v>
      </c>
      <c r="D1090" s="286">
        <v>3</v>
      </c>
      <c r="E1090" s="7"/>
      <c r="F1090" s="287">
        <v>113.77</v>
      </c>
      <c r="G1090" s="145">
        <f t="shared" si="513"/>
        <v>381.13</v>
      </c>
      <c r="H1090" s="145">
        <f t="shared" si="514"/>
        <v>0</v>
      </c>
      <c r="I1090" s="146">
        <f t="shared" si="515"/>
        <v>341.31</v>
      </c>
      <c r="J1090" s="7">
        <f t="shared" si="503"/>
        <v>1143.3900000000001</v>
      </c>
      <c r="K1090" s="276"/>
    </row>
    <row r="1091" spans="2:11" outlineLevel="1">
      <c r="B1091" s="303" t="s">
        <v>2819</v>
      </c>
      <c r="C1091" s="723" t="s">
        <v>682</v>
      </c>
      <c r="D1091" s="286">
        <v>1</v>
      </c>
      <c r="E1091" s="7"/>
      <c r="F1091" s="287">
        <v>113.77</v>
      </c>
      <c r="G1091" s="145">
        <f t="shared" ref="G1091" si="528">+ROUND(E1091+F1091*TC,2)</f>
        <v>381.13</v>
      </c>
      <c r="H1091" s="145">
        <f t="shared" ref="H1091" si="529">+ROUND(D1091*E1091,2)</f>
        <v>0</v>
      </c>
      <c r="I1091" s="146">
        <f t="shared" ref="I1091" si="530">+ROUND(D1091*F1091,2)</f>
        <v>113.77</v>
      </c>
      <c r="J1091" s="7">
        <f t="shared" ref="J1091" si="531">+ROUND(H1091+I1091*TC,2)</f>
        <v>381.13</v>
      </c>
      <c r="K1091" s="276"/>
    </row>
    <row r="1092" spans="2:11" outlineLevel="1">
      <c r="B1092" s="303" t="s">
        <v>820</v>
      </c>
      <c r="C1092" s="723" t="s">
        <v>682</v>
      </c>
      <c r="D1092" s="286">
        <v>3</v>
      </c>
      <c r="E1092" s="7"/>
      <c r="F1092" s="287">
        <v>44.55</v>
      </c>
      <c r="G1092" s="145">
        <f t="shared" si="513"/>
        <v>149.24</v>
      </c>
      <c r="H1092" s="145">
        <f t="shared" si="514"/>
        <v>0</v>
      </c>
      <c r="I1092" s="146">
        <f t="shared" si="515"/>
        <v>133.65</v>
      </c>
      <c r="J1092" s="7">
        <f t="shared" si="503"/>
        <v>447.73</v>
      </c>
      <c r="K1092" s="276"/>
    </row>
    <row r="1093" spans="2:11" outlineLevel="1">
      <c r="B1093" s="303" t="s">
        <v>821</v>
      </c>
      <c r="C1093" s="723" t="s">
        <v>682</v>
      </c>
      <c r="D1093" s="286">
        <v>97</v>
      </c>
      <c r="E1093" s="7"/>
      <c r="F1093" s="287">
        <v>11.92</v>
      </c>
      <c r="G1093" s="145">
        <f t="shared" si="513"/>
        <v>39.93</v>
      </c>
      <c r="H1093" s="145">
        <f t="shared" si="514"/>
        <v>0</v>
      </c>
      <c r="I1093" s="146">
        <f t="shared" si="515"/>
        <v>1156.24</v>
      </c>
      <c r="J1093" s="7">
        <f t="shared" si="503"/>
        <v>3873.4</v>
      </c>
      <c r="K1093" s="276"/>
    </row>
    <row r="1094" spans="2:11" outlineLevel="1">
      <c r="B1094" s="303" t="s">
        <v>822</v>
      </c>
      <c r="C1094" s="723" t="s">
        <v>682</v>
      </c>
      <c r="D1094" s="286">
        <v>5</v>
      </c>
      <c r="E1094" s="7"/>
      <c r="F1094" s="287">
        <v>23.8</v>
      </c>
      <c r="G1094" s="145">
        <f t="shared" si="513"/>
        <v>79.73</v>
      </c>
      <c r="H1094" s="145">
        <f t="shared" si="514"/>
        <v>0</v>
      </c>
      <c r="I1094" s="146">
        <f t="shared" si="515"/>
        <v>119</v>
      </c>
      <c r="J1094" s="7">
        <f t="shared" si="503"/>
        <v>398.65</v>
      </c>
      <c r="K1094" s="276"/>
    </row>
    <row r="1095" spans="2:11" outlineLevel="1">
      <c r="B1095" s="303" t="s">
        <v>823</v>
      </c>
      <c r="C1095" s="723" t="s">
        <v>682</v>
      </c>
      <c r="D1095" s="286">
        <v>4</v>
      </c>
      <c r="E1095" s="7"/>
      <c r="F1095" s="287">
        <v>18.32</v>
      </c>
      <c r="G1095" s="145">
        <f t="shared" si="513"/>
        <v>61.37</v>
      </c>
      <c r="H1095" s="145">
        <f t="shared" si="514"/>
        <v>0</v>
      </c>
      <c r="I1095" s="146">
        <f t="shared" si="515"/>
        <v>73.28</v>
      </c>
      <c r="J1095" s="7">
        <f t="shared" si="503"/>
        <v>245.49</v>
      </c>
      <c r="K1095" s="276"/>
    </row>
    <row r="1096" spans="2:11" outlineLevel="1">
      <c r="B1096" s="303" t="s">
        <v>824</v>
      </c>
      <c r="C1096" s="723" t="s">
        <v>682</v>
      </c>
      <c r="D1096" s="286">
        <v>43</v>
      </c>
      <c r="E1096" s="7"/>
      <c r="F1096" s="287">
        <v>22</v>
      </c>
      <c r="G1096" s="145">
        <f t="shared" si="513"/>
        <v>73.7</v>
      </c>
      <c r="H1096" s="145">
        <f t="shared" si="514"/>
        <v>0</v>
      </c>
      <c r="I1096" s="146">
        <f t="shared" si="515"/>
        <v>946</v>
      </c>
      <c r="J1096" s="7">
        <f t="shared" si="503"/>
        <v>3169.1</v>
      </c>
      <c r="K1096" s="276"/>
    </row>
    <row r="1097" spans="2:11" outlineLevel="1">
      <c r="B1097" s="303" t="s">
        <v>825</v>
      </c>
      <c r="C1097" s="723" t="s">
        <v>682</v>
      </c>
      <c r="D1097" s="286">
        <v>175</v>
      </c>
      <c r="E1097" s="7"/>
      <c r="F1097" s="287">
        <v>27.12</v>
      </c>
      <c r="G1097" s="145">
        <f t="shared" si="513"/>
        <v>90.85</v>
      </c>
      <c r="H1097" s="145">
        <f t="shared" si="514"/>
        <v>0</v>
      </c>
      <c r="I1097" s="146">
        <f t="shared" si="515"/>
        <v>4746</v>
      </c>
      <c r="J1097" s="7">
        <f t="shared" si="503"/>
        <v>15899.1</v>
      </c>
      <c r="K1097" s="276"/>
    </row>
    <row r="1098" spans="2:11" outlineLevel="1">
      <c r="B1098" s="303" t="s">
        <v>826</v>
      </c>
      <c r="C1098" s="723" t="s">
        <v>682</v>
      </c>
      <c r="D1098" s="286">
        <v>34</v>
      </c>
      <c r="E1098" s="7"/>
      <c r="F1098" s="287">
        <v>10.1</v>
      </c>
      <c r="G1098" s="145">
        <f t="shared" si="513"/>
        <v>33.840000000000003</v>
      </c>
      <c r="H1098" s="145">
        <f t="shared" si="514"/>
        <v>0</v>
      </c>
      <c r="I1098" s="146">
        <f t="shared" si="515"/>
        <v>343.4</v>
      </c>
      <c r="J1098" s="7">
        <f t="shared" si="503"/>
        <v>1150.3900000000001</v>
      </c>
      <c r="K1098" s="276"/>
    </row>
    <row r="1099" spans="2:11" outlineLevel="1">
      <c r="B1099" s="303" t="s">
        <v>827</v>
      </c>
      <c r="C1099" s="723" t="s">
        <v>682</v>
      </c>
      <c r="D1099" s="286">
        <v>38</v>
      </c>
      <c r="E1099" s="7"/>
      <c r="F1099" s="287">
        <v>9.69</v>
      </c>
      <c r="G1099" s="145">
        <f t="shared" si="513"/>
        <v>32.46</v>
      </c>
      <c r="H1099" s="145">
        <f t="shared" si="514"/>
        <v>0</v>
      </c>
      <c r="I1099" s="146">
        <f t="shared" si="515"/>
        <v>368.22</v>
      </c>
      <c r="J1099" s="7">
        <f t="shared" si="503"/>
        <v>1233.54</v>
      </c>
      <c r="K1099" s="276"/>
    </row>
    <row r="1100" spans="2:11" outlineLevel="1">
      <c r="B1100" s="303" t="s">
        <v>828</v>
      </c>
      <c r="C1100" s="723" t="s">
        <v>682</v>
      </c>
      <c r="D1100" s="286">
        <v>16</v>
      </c>
      <c r="E1100" s="7"/>
      <c r="F1100" s="287">
        <v>10</v>
      </c>
      <c r="G1100" s="145">
        <f t="shared" si="513"/>
        <v>33.5</v>
      </c>
      <c r="H1100" s="145">
        <f t="shared" si="514"/>
        <v>0</v>
      </c>
      <c r="I1100" s="146">
        <f t="shared" si="515"/>
        <v>160</v>
      </c>
      <c r="J1100" s="7">
        <f t="shared" si="503"/>
        <v>536</v>
      </c>
      <c r="K1100" s="276"/>
    </row>
    <row r="1101" spans="2:11" outlineLevel="1">
      <c r="B1101" s="303" t="s">
        <v>829</v>
      </c>
      <c r="C1101" s="723" t="s">
        <v>682</v>
      </c>
      <c r="D1101" s="286">
        <v>1</v>
      </c>
      <c r="E1101" s="7"/>
      <c r="F1101" s="287">
        <v>11.55</v>
      </c>
      <c r="G1101" s="145">
        <f t="shared" si="513"/>
        <v>38.69</v>
      </c>
      <c r="H1101" s="145">
        <f t="shared" si="514"/>
        <v>0</v>
      </c>
      <c r="I1101" s="146">
        <f t="shared" si="515"/>
        <v>11.55</v>
      </c>
      <c r="J1101" s="7">
        <f t="shared" si="503"/>
        <v>38.69</v>
      </c>
      <c r="K1101" s="276"/>
    </row>
    <row r="1102" spans="2:11" outlineLevel="1">
      <c r="B1102" s="303" t="s">
        <v>830</v>
      </c>
      <c r="C1102" s="723" t="s">
        <v>682</v>
      </c>
      <c r="D1102" s="286">
        <v>293</v>
      </c>
      <c r="E1102" s="7"/>
      <c r="F1102" s="287">
        <v>12.72</v>
      </c>
      <c r="G1102" s="145">
        <f t="shared" si="513"/>
        <v>42.61</v>
      </c>
      <c r="H1102" s="145">
        <f t="shared" si="514"/>
        <v>0</v>
      </c>
      <c r="I1102" s="146">
        <f t="shared" si="515"/>
        <v>3726.96</v>
      </c>
      <c r="J1102" s="7">
        <f t="shared" si="503"/>
        <v>12485.32</v>
      </c>
      <c r="K1102" s="276"/>
    </row>
    <row r="1103" spans="2:11" outlineLevel="1">
      <c r="B1103" s="303" t="s">
        <v>831</v>
      </c>
      <c r="C1103" s="723" t="s">
        <v>682</v>
      </c>
      <c r="D1103" s="286">
        <v>1</v>
      </c>
      <c r="E1103" s="7"/>
      <c r="F1103" s="287">
        <v>20.88</v>
      </c>
      <c r="G1103" s="145">
        <f t="shared" si="513"/>
        <v>69.95</v>
      </c>
      <c r="H1103" s="145">
        <f t="shared" si="514"/>
        <v>0</v>
      </c>
      <c r="I1103" s="146">
        <f t="shared" si="515"/>
        <v>20.88</v>
      </c>
      <c r="J1103" s="7">
        <f t="shared" si="503"/>
        <v>69.95</v>
      </c>
      <c r="K1103" s="276"/>
    </row>
    <row r="1104" spans="2:11" outlineLevel="1">
      <c r="B1104" s="303" t="s">
        <v>832</v>
      </c>
      <c r="C1104" s="723" t="s">
        <v>682</v>
      </c>
      <c r="D1104" s="286">
        <v>3</v>
      </c>
      <c r="E1104" s="7"/>
      <c r="F1104" s="287">
        <v>16.72</v>
      </c>
      <c r="G1104" s="145">
        <f t="shared" si="513"/>
        <v>56.01</v>
      </c>
      <c r="H1104" s="145">
        <f t="shared" si="514"/>
        <v>0</v>
      </c>
      <c r="I1104" s="146">
        <f t="shared" si="515"/>
        <v>50.16</v>
      </c>
      <c r="J1104" s="7">
        <f t="shared" si="503"/>
        <v>168.04</v>
      </c>
      <c r="K1104" s="276"/>
    </row>
    <row r="1105" spans="2:11">
      <c r="B1105" s="694" t="s">
        <v>833</v>
      </c>
      <c r="C1105" s="285"/>
      <c r="D1105" s="286"/>
      <c r="E1105" s="7" t="s">
        <v>27</v>
      </c>
      <c r="F1105" s="287" t="s">
        <v>27</v>
      </c>
      <c r="G1105" s="145"/>
      <c r="H1105" s="145"/>
      <c r="I1105" s="146"/>
      <c r="J1105" s="7">
        <f t="shared" si="503"/>
        <v>0</v>
      </c>
      <c r="K1105" s="276">
        <f>SUM(H1105:H1126)+SUM(I1105:I1126)*TC</f>
        <v>20641.5</v>
      </c>
    </row>
    <row r="1106" spans="2:11" outlineLevel="1">
      <c r="B1106" s="303" t="s">
        <v>834</v>
      </c>
      <c r="C1106" s="723" t="s">
        <v>682</v>
      </c>
      <c r="D1106" s="724">
        <v>24</v>
      </c>
      <c r="E1106" s="7">
        <v>13.5</v>
      </c>
      <c r="F1106" s="287">
        <v>0</v>
      </c>
      <c r="G1106" s="145">
        <f t="shared" ref="G1106:G1126" si="532">+ROUND(E1106+F1106*TC,2)</f>
        <v>13.5</v>
      </c>
      <c r="H1106" s="145">
        <f t="shared" ref="H1106:H1126" si="533">+ROUND(D1106*E1106,2)</f>
        <v>324</v>
      </c>
      <c r="I1106" s="146">
        <f t="shared" ref="I1106:I1126" si="534">+ROUND(D1106*F1106,2)</f>
        <v>0</v>
      </c>
      <c r="J1106" s="7">
        <f t="shared" si="503"/>
        <v>324</v>
      </c>
      <c r="K1106" s="276"/>
    </row>
    <row r="1107" spans="2:11" outlineLevel="1">
      <c r="B1107" s="303" t="s">
        <v>835</v>
      </c>
      <c r="C1107" s="723" t="s">
        <v>682</v>
      </c>
      <c r="D1107" s="724">
        <v>56</v>
      </c>
      <c r="E1107" s="7">
        <v>13.5</v>
      </c>
      <c r="F1107" s="287">
        <v>0</v>
      </c>
      <c r="G1107" s="145">
        <f t="shared" si="532"/>
        <v>13.5</v>
      </c>
      <c r="H1107" s="145">
        <f t="shared" si="533"/>
        <v>756</v>
      </c>
      <c r="I1107" s="146">
        <f t="shared" si="534"/>
        <v>0</v>
      </c>
      <c r="J1107" s="7">
        <f t="shared" si="503"/>
        <v>756</v>
      </c>
      <c r="K1107" s="276"/>
    </row>
    <row r="1108" spans="2:11" outlineLevel="1">
      <c r="B1108" s="303" t="s">
        <v>836</v>
      </c>
      <c r="C1108" s="723" t="s">
        <v>682</v>
      </c>
      <c r="D1108" s="724">
        <v>151</v>
      </c>
      <c r="E1108" s="7">
        <v>13.5</v>
      </c>
      <c r="F1108" s="287">
        <v>0</v>
      </c>
      <c r="G1108" s="145">
        <f t="shared" si="532"/>
        <v>13.5</v>
      </c>
      <c r="H1108" s="145">
        <f t="shared" si="533"/>
        <v>2038.5</v>
      </c>
      <c r="I1108" s="146">
        <f t="shared" si="534"/>
        <v>0</v>
      </c>
      <c r="J1108" s="7">
        <f t="shared" si="503"/>
        <v>2038.5</v>
      </c>
      <c r="K1108" s="276"/>
    </row>
    <row r="1109" spans="2:11" outlineLevel="1">
      <c r="B1109" s="303" t="s">
        <v>837</v>
      </c>
      <c r="C1109" s="723" t="s">
        <v>682</v>
      </c>
      <c r="D1109" s="724">
        <v>75</v>
      </c>
      <c r="E1109" s="7">
        <v>13.5</v>
      </c>
      <c r="F1109" s="287">
        <v>0</v>
      </c>
      <c r="G1109" s="145">
        <f t="shared" si="532"/>
        <v>13.5</v>
      </c>
      <c r="H1109" s="145">
        <f t="shared" si="533"/>
        <v>1012.5</v>
      </c>
      <c r="I1109" s="146">
        <f t="shared" si="534"/>
        <v>0</v>
      </c>
      <c r="J1109" s="7">
        <f t="shared" si="503"/>
        <v>1012.5</v>
      </c>
      <c r="K1109" s="276"/>
    </row>
    <row r="1110" spans="2:11" outlineLevel="1">
      <c r="B1110" s="303" t="s">
        <v>838</v>
      </c>
      <c r="C1110" s="723" t="s">
        <v>682</v>
      </c>
      <c r="D1110" s="724">
        <v>59</v>
      </c>
      <c r="E1110" s="7">
        <v>13.5</v>
      </c>
      <c r="F1110" s="287">
        <v>0</v>
      </c>
      <c r="G1110" s="145">
        <f t="shared" si="532"/>
        <v>13.5</v>
      </c>
      <c r="H1110" s="145">
        <f t="shared" si="533"/>
        <v>796.5</v>
      </c>
      <c r="I1110" s="146">
        <f t="shared" si="534"/>
        <v>0</v>
      </c>
      <c r="J1110" s="7">
        <f t="shared" si="503"/>
        <v>796.5</v>
      </c>
      <c r="K1110" s="276"/>
    </row>
    <row r="1111" spans="2:11" outlineLevel="1">
      <c r="B1111" s="303" t="s">
        <v>839</v>
      </c>
      <c r="C1111" s="723" t="s">
        <v>682</v>
      </c>
      <c r="D1111" s="724">
        <v>82</v>
      </c>
      <c r="E1111" s="7">
        <v>13.5</v>
      </c>
      <c r="F1111" s="287">
        <v>0</v>
      </c>
      <c r="G1111" s="145">
        <f t="shared" si="532"/>
        <v>13.5</v>
      </c>
      <c r="H1111" s="145">
        <f t="shared" si="533"/>
        <v>1107</v>
      </c>
      <c r="I1111" s="146">
        <f t="shared" si="534"/>
        <v>0</v>
      </c>
      <c r="J1111" s="7">
        <f t="shared" si="503"/>
        <v>1107</v>
      </c>
      <c r="K1111" s="276"/>
    </row>
    <row r="1112" spans="2:11" outlineLevel="1">
      <c r="B1112" s="303" t="s">
        <v>840</v>
      </c>
      <c r="C1112" s="723" t="s">
        <v>682</v>
      </c>
      <c r="D1112" s="724">
        <v>314</v>
      </c>
      <c r="E1112" s="7">
        <v>0</v>
      </c>
      <c r="F1112" s="287">
        <v>0</v>
      </c>
      <c r="G1112" s="145">
        <f t="shared" si="532"/>
        <v>0</v>
      </c>
      <c r="H1112" s="145">
        <f t="shared" si="533"/>
        <v>0</v>
      </c>
      <c r="I1112" s="146">
        <f t="shared" si="534"/>
        <v>0</v>
      </c>
      <c r="J1112" s="7">
        <f t="shared" si="503"/>
        <v>0</v>
      </c>
      <c r="K1112" s="276"/>
    </row>
    <row r="1113" spans="2:11" outlineLevel="1">
      <c r="B1113" s="303" t="s">
        <v>841</v>
      </c>
      <c r="C1113" s="723" t="s">
        <v>682</v>
      </c>
      <c r="D1113" s="724">
        <v>874</v>
      </c>
      <c r="E1113" s="7">
        <v>0</v>
      </c>
      <c r="F1113" s="287">
        <v>0</v>
      </c>
      <c r="G1113" s="145">
        <f t="shared" si="532"/>
        <v>0</v>
      </c>
      <c r="H1113" s="145">
        <f t="shared" si="533"/>
        <v>0</v>
      </c>
      <c r="I1113" s="146">
        <f t="shared" si="534"/>
        <v>0</v>
      </c>
      <c r="J1113" s="7">
        <f t="shared" si="503"/>
        <v>0</v>
      </c>
      <c r="K1113" s="276"/>
    </row>
    <row r="1114" spans="2:11" outlineLevel="1">
      <c r="B1114" s="303" t="s">
        <v>842</v>
      </c>
      <c r="C1114" s="723" t="s">
        <v>682</v>
      </c>
      <c r="D1114" s="724">
        <v>2117</v>
      </c>
      <c r="E1114" s="7">
        <v>0</v>
      </c>
      <c r="F1114" s="287">
        <v>0</v>
      </c>
      <c r="G1114" s="145">
        <f t="shared" si="532"/>
        <v>0</v>
      </c>
      <c r="H1114" s="145">
        <f t="shared" si="533"/>
        <v>0</v>
      </c>
      <c r="I1114" s="146">
        <f t="shared" si="534"/>
        <v>0</v>
      </c>
      <c r="J1114" s="7">
        <f t="shared" si="503"/>
        <v>0</v>
      </c>
      <c r="K1114" s="276"/>
    </row>
    <row r="1115" spans="2:11" outlineLevel="1">
      <c r="B1115" s="303" t="s">
        <v>843</v>
      </c>
      <c r="C1115" s="723" t="s">
        <v>682</v>
      </c>
      <c r="D1115" s="724">
        <v>0</v>
      </c>
      <c r="E1115" s="7">
        <v>13.5</v>
      </c>
      <c r="F1115" s="287">
        <v>0</v>
      </c>
      <c r="G1115" s="145">
        <f t="shared" si="532"/>
        <v>13.5</v>
      </c>
      <c r="H1115" s="145">
        <f t="shared" si="533"/>
        <v>0</v>
      </c>
      <c r="I1115" s="146">
        <f t="shared" si="534"/>
        <v>0</v>
      </c>
      <c r="J1115" s="7">
        <f t="shared" si="503"/>
        <v>0</v>
      </c>
      <c r="K1115" s="276"/>
    </row>
    <row r="1116" spans="2:11" outlineLevel="1">
      <c r="B1116" s="303" t="s">
        <v>844</v>
      </c>
      <c r="C1116" s="723" t="s">
        <v>682</v>
      </c>
      <c r="D1116" s="724">
        <v>3</v>
      </c>
      <c r="E1116" s="7">
        <v>13.5</v>
      </c>
      <c r="F1116" s="287">
        <v>0</v>
      </c>
      <c r="G1116" s="145">
        <f t="shared" si="532"/>
        <v>13.5</v>
      </c>
      <c r="H1116" s="145">
        <f t="shared" si="533"/>
        <v>40.5</v>
      </c>
      <c r="I1116" s="146">
        <f t="shared" si="534"/>
        <v>0</v>
      </c>
      <c r="J1116" s="7">
        <f t="shared" si="503"/>
        <v>40.5</v>
      </c>
      <c r="K1116" s="276"/>
    </row>
    <row r="1117" spans="2:11" outlineLevel="1">
      <c r="B1117" s="303" t="s">
        <v>845</v>
      </c>
      <c r="C1117" s="723" t="s">
        <v>682</v>
      </c>
      <c r="D1117" s="724">
        <v>1</v>
      </c>
      <c r="E1117" s="7">
        <v>13.5</v>
      </c>
      <c r="F1117" s="287">
        <v>0</v>
      </c>
      <c r="G1117" s="145">
        <f t="shared" si="532"/>
        <v>13.5</v>
      </c>
      <c r="H1117" s="145">
        <f t="shared" si="533"/>
        <v>13.5</v>
      </c>
      <c r="I1117" s="146">
        <f t="shared" si="534"/>
        <v>0</v>
      </c>
      <c r="J1117" s="7">
        <f t="shared" si="503"/>
        <v>13.5</v>
      </c>
      <c r="K1117" s="276"/>
    </row>
    <row r="1118" spans="2:11" outlineLevel="1">
      <c r="B1118" s="303" t="s">
        <v>846</v>
      </c>
      <c r="C1118" s="723" t="s">
        <v>682</v>
      </c>
      <c r="D1118" s="724">
        <v>50</v>
      </c>
      <c r="E1118" s="7">
        <v>13.5</v>
      </c>
      <c r="F1118" s="287">
        <v>0</v>
      </c>
      <c r="G1118" s="145">
        <f t="shared" si="532"/>
        <v>13.5</v>
      </c>
      <c r="H1118" s="145">
        <f t="shared" si="533"/>
        <v>675</v>
      </c>
      <c r="I1118" s="146">
        <f t="shared" si="534"/>
        <v>0</v>
      </c>
      <c r="J1118" s="7">
        <f t="shared" si="503"/>
        <v>675</v>
      </c>
      <c r="K1118" s="276"/>
    </row>
    <row r="1119" spans="2:11" outlineLevel="1">
      <c r="B1119" s="303" t="s">
        <v>847</v>
      </c>
      <c r="C1119" s="723" t="s">
        <v>682</v>
      </c>
      <c r="D1119" s="724">
        <v>56</v>
      </c>
      <c r="E1119" s="7">
        <v>13.5</v>
      </c>
      <c r="F1119" s="287">
        <v>0</v>
      </c>
      <c r="G1119" s="145">
        <f t="shared" si="532"/>
        <v>13.5</v>
      </c>
      <c r="H1119" s="145">
        <f t="shared" si="533"/>
        <v>756</v>
      </c>
      <c r="I1119" s="146">
        <f t="shared" si="534"/>
        <v>0</v>
      </c>
      <c r="J1119" s="7">
        <f t="shared" si="503"/>
        <v>756</v>
      </c>
      <c r="K1119" s="276"/>
    </row>
    <row r="1120" spans="2:11" outlineLevel="1">
      <c r="B1120" s="303" t="s">
        <v>848</v>
      </c>
      <c r="C1120" s="723" t="s">
        <v>682</v>
      </c>
      <c r="D1120" s="724">
        <v>61</v>
      </c>
      <c r="E1120" s="7">
        <v>13.5</v>
      </c>
      <c r="F1120" s="287">
        <v>0</v>
      </c>
      <c r="G1120" s="145">
        <f t="shared" si="532"/>
        <v>13.5</v>
      </c>
      <c r="H1120" s="145">
        <f t="shared" si="533"/>
        <v>823.5</v>
      </c>
      <c r="I1120" s="146">
        <f t="shared" si="534"/>
        <v>0</v>
      </c>
      <c r="J1120" s="7">
        <f t="shared" si="503"/>
        <v>823.5</v>
      </c>
      <c r="K1120" s="276"/>
    </row>
    <row r="1121" spans="2:11" outlineLevel="1">
      <c r="B1121" s="303" t="s">
        <v>849</v>
      </c>
      <c r="C1121" s="723" t="s">
        <v>682</v>
      </c>
      <c r="D1121" s="724">
        <v>61</v>
      </c>
      <c r="E1121" s="7">
        <v>13.5</v>
      </c>
      <c r="F1121" s="287">
        <v>0</v>
      </c>
      <c r="G1121" s="145">
        <f t="shared" si="532"/>
        <v>13.5</v>
      </c>
      <c r="H1121" s="145">
        <f t="shared" si="533"/>
        <v>823.5</v>
      </c>
      <c r="I1121" s="146">
        <f t="shared" si="534"/>
        <v>0</v>
      </c>
      <c r="J1121" s="7">
        <f t="shared" si="503"/>
        <v>823.5</v>
      </c>
      <c r="K1121" s="276"/>
    </row>
    <row r="1122" spans="2:11" outlineLevel="1">
      <c r="B1122" s="303" t="s">
        <v>850</v>
      </c>
      <c r="C1122" s="723" t="s">
        <v>682</v>
      </c>
      <c r="D1122" s="724">
        <v>377</v>
      </c>
      <c r="E1122" s="7">
        <v>13.5</v>
      </c>
      <c r="F1122" s="287">
        <v>0</v>
      </c>
      <c r="G1122" s="145">
        <f t="shared" si="532"/>
        <v>13.5</v>
      </c>
      <c r="H1122" s="145">
        <f t="shared" si="533"/>
        <v>5089.5</v>
      </c>
      <c r="I1122" s="146">
        <f t="shared" si="534"/>
        <v>0</v>
      </c>
      <c r="J1122" s="7">
        <f t="shared" si="503"/>
        <v>5089.5</v>
      </c>
      <c r="K1122" s="276"/>
    </row>
    <row r="1123" spans="2:11" outlineLevel="1">
      <c r="B1123" s="303" t="s">
        <v>851</v>
      </c>
      <c r="C1123" s="723" t="s">
        <v>682</v>
      </c>
      <c r="D1123" s="724">
        <v>313</v>
      </c>
      <c r="E1123" s="7">
        <v>13.5</v>
      </c>
      <c r="F1123" s="287">
        <v>0</v>
      </c>
      <c r="G1123" s="145">
        <f t="shared" si="532"/>
        <v>13.5</v>
      </c>
      <c r="H1123" s="145">
        <f t="shared" si="533"/>
        <v>4225.5</v>
      </c>
      <c r="I1123" s="146">
        <f t="shared" si="534"/>
        <v>0</v>
      </c>
      <c r="J1123" s="7">
        <f t="shared" si="503"/>
        <v>4225.5</v>
      </c>
      <c r="K1123" s="276"/>
    </row>
    <row r="1124" spans="2:11" outlineLevel="1">
      <c r="B1124" s="303" t="s">
        <v>852</v>
      </c>
      <c r="C1124" s="723" t="s">
        <v>682</v>
      </c>
      <c r="D1124" s="724">
        <v>54</v>
      </c>
      <c r="E1124" s="7">
        <v>13.5</v>
      </c>
      <c r="F1124" s="287">
        <v>0</v>
      </c>
      <c r="G1124" s="145">
        <f t="shared" si="532"/>
        <v>13.5</v>
      </c>
      <c r="H1124" s="145">
        <f t="shared" si="533"/>
        <v>729</v>
      </c>
      <c r="I1124" s="146">
        <f t="shared" si="534"/>
        <v>0</v>
      </c>
      <c r="J1124" s="7">
        <f t="shared" ref="J1124:J1157" si="535">+ROUND(H1124+I1124*TC,2)</f>
        <v>729</v>
      </c>
      <c r="K1124" s="276"/>
    </row>
    <row r="1125" spans="2:11" outlineLevel="1">
      <c r="B1125" s="303" t="s">
        <v>853</v>
      </c>
      <c r="C1125" s="723" t="s">
        <v>682</v>
      </c>
      <c r="D1125" s="724">
        <v>106</v>
      </c>
      <c r="E1125" s="7">
        <v>13.5</v>
      </c>
      <c r="F1125" s="287">
        <v>0</v>
      </c>
      <c r="G1125" s="145">
        <f t="shared" si="532"/>
        <v>13.5</v>
      </c>
      <c r="H1125" s="145">
        <f t="shared" si="533"/>
        <v>1431</v>
      </c>
      <c r="I1125" s="146">
        <f t="shared" si="534"/>
        <v>0</v>
      </c>
      <c r="J1125" s="7">
        <f t="shared" si="535"/>
        <v>1431</v>
      </c>
      <c r="K1125" s="276"/>
    </row>
    <row r="1126" spans="2:11" outlineLevel="1">
      <c r="B1126" s="303" t="s">
        <v>854</v>
      </c>
      <c r="C1126" s="723" t="s">
        <v>682</v>
      </c>
      <c r="D1126" s="724">
        <v>6</v>
      </c>
      <c r="E1126" s="7"/>
      <c r="F1126" s="287">
        <v>0</v>
      </c>
      <c r="G1126" s="145">
        <f t="shared" si="532"/>
        <v>0</v>
      </c>
      <c r="H1126" s="145">
        <f t="shared" si="533"/>
        <v>0</v>
      </c>
      <c r="I1126" s="146">
        <f t="shared" si="534"/>
        <v>0</v>
      </c>
      <c r="J1126" s="7">
        <f t="shared" si="535"/>
        <v>0</v>
      </c>
      <c r="K1126" s="276"/>
    </row>
    <row r="1127" spans="2:11">
      <c r="B1127" s="694" t="s">
        <v>855</v>
      </c>
      <c r="C1127" s="285"/>
      <c r="D1127" s="286"/>
      <c r="E1127" s="7" t="s">
        <v>27</v>
      </c>
      <c r="F1127" s="287" t="s">
        <v>27</v>
      </c>
      <c r="G1127" s="145"/>
      <c r="H1127" s="145"/>
      <c r="I1127" s="146"/>
      <c r="J1127" s="7">
        <f t="shared" si="535"/>
        <v>0</v>
      </c>
      <c r="K1127" s="276">
        <f>SUM(H1127:H1146)+SUM(I1127:I1146)*TC</f>
        <v>671207.41750000021</v>
      </c>
    </row>
    <row r="1128" spans="2:11" outlineLevel="1">
      <c r="B1128" s="150" t="s">
        <v>855</v>
      </c>
      <c r="C1128" s="285" t="s">
        <v>130</v>
      </c>
      <c r="D1128" s="286">
        <v>1</v>
      </c>
      <c r="E1128" s="7">
        <v>0</v>
      </c>
      <c r="F1128" s="287">
        <v>187095.23</v>
      </c>
      <c r="G1128" s="145">
        <f t="shared" ref="G1128:G1146" si="536">+ROUND(E1128+F1128*TC,2)</f>
        <v>626769.02</v>
      </c>
      <c r="H1128" s="145">
        <f t="shared" si="512"/>
        <v>0</v>
      </c>
      <c r="I1128" s="146">
        <f t="shared" si="505"/>
        <v>187095.23</v>
      </c>
      <c r="J1128" s="7">
        <f t="shared" si="535"/>
        <v>626769.02</v>
      </c>
      <c r="K1128" s="289"/>
    </row>
    <row r="1129" spans="2:11" outlineLevel="1">
      <c r="B1129" s="720" t="s">
        <v>856</v>
      </c>
      <c r="C1129" s="285"/>
      <c r="D1129" s="286"/>
      <c r="E1129" s="7" t="s">
        <v>27</v>
      </c>
      <c r="F1129" s="287" t="s">
        <v>27</v>
      </c>
      <c r="G1129" s="145"/>
      <c r="H1129" s="145"/>
      <c r="I1129" s="146"/>
      <c r="J1129" s="7">
        <f t="shared" si="535"/>
        <v>0</v>
      </c>
      <c r="K1129" s="289"/>
    </row>
    <row r="1130" spans="2:11" outlineLevel="1">
      <c r="B1130" s="150" t="s">
        <v>857</v>
      </c>
      <c r="C1130" s="285" t="s">
        <v>121</v>
      </c>
      <c r="D1130" s="286">
        <v>26</v>
      </c>
      <c r="E1130" s="7">
        <v>140.77000000000001</v>
      </c>
      <c r="F1130" s="287">
        <v>5.25</v>
      </c>
      <c r="G1130" s="145">
        <f t="shared" ref="G1130" si="537">+ROUND(E1130+F1130*TC,2)</f>
        <v>158.36000000000001</v>
      </c>
      <c r="H1130" s="145">
        <f t="shared" ref="H1130" si="538">+ROUND(D1130*E1130,2)</f>
        <v>3660.02</v>
      </c>
      <c r="I1130" s="146">
        <f t="shared" ref="I1130" si="539">+ROUND(D1130*F1130,2)</f>
        <v>136.5</v>
      </c>
      <c r="J1130" s="7">
        <f t="shared" ref="J1130" si="540">+ROUND(H1130+I1130*TC,2)</f>
        <v>4117.3</v>
      </c>
      <c r="K1130" s="289"/>
    </row>
    <row r="1131" spans="2:11" outlineLevel="1">
      <c r="B1131" s="150" t="s">
        <v>858</v>
      </c>
      <c r="C1131" s="285" t="s">
        <v>121</v>
      </c>
      <c r="D1131" s="286">
        <v>26</v>
      </c>
      <c r="E1131" s="7">
        <v>104.79</v>
      </c>
      <c r="F1131" s="287">
        <v>3.13</v>
      </c>
      <c r="G1131" s="145">
        <f t="shared" ref="G1131:G1143" si="541">+ROUND(E1131+F1131*TC,2)</f>
        <v>115.28</v>
      </c>
      <c r="H1131" s="145">
        <f t="shared" ref="H1131:H1143" si="542">+ROUND(D1131*E1131,2)</f>
        <v>2724.54</v>
      </c>
      <c r="I1131" s="146">
        <f t="shared" ref="I1131:I1143" si="543">+ROUND(D1131*F1131,2)</f>
        <v>81.38</v>
      </c>
      <c r="J1131" s="7">
        <f t="shared" ref="J1131:J1143" si="544">+ROUND(H1131+I1131*TC,2)</f>
        <v>2997.16</v>
      </c>
      <c r="K1131" s="289"/>
    </row>
    <row r="1132" spans="2:11" outlineLevel="1">
      <c r="B1132" s="150" t="s">
        <v>859</v>
      </c>
      <c r="C1132" s="285" t="s">
        <v>121</v>
      </c>
      <c r="D1132" s="286">
        <v>34</v>
      </c>
      <c r="E1132" s="7">
        <v>159.81</v>
      </c>
      <c r="F1132" s="287">
        <v>16.149999999999999</v>
      </c>
      <c r="G1132" s="145">
        <f t="shared" si="541"/>
        <v>213.91</v>
      </c>
      <c r="H1132" s="145">
        <f t="shared" si="542"/>
        <v>5433.54</v>
      </c>
      <c r="I1132" s="146">
        <f t="shared" si="543"/>
        <v>549.1</v>
      </c>
      <c r="J1132" s="7">
        <f t="shared" si="544"/>
        <v>7273.03</v>
      </c>
      <c r="K1132" s="289"/>
    </row>
    <row r="1133" spans="2:11" outlineLevel="1">
      <c r="B1133" s="150" t="s">
        <v>860</v>
      </c>
      <c r="C1133" s="285" t="s">
        <v>121</v>
      </c>
      <c r="D1133" s="286">
        <v>18</v>
      </c>
      <c r="E1133" s="7">
        <v>168.68</v>
      </c>
      <c r="F1133" s="287">
        <v>17.489999999999998</v>
      </c>
      <c r="G1133" s="145">
        <f t="shared" si="541"/>
        <v>227.27</v>
      </c>
      <c r="H1133" s="145">
        <f t="shared" si="542"/>
        <v>3036.24</v>
      </c>
      <c r="I1133" s="146">
        <f t="shared" si="543"/>
        <v>314.82</v>
      </c>
      <c r="J1133" s="7">
        <f t="shared" si="544"/>
        <v>4090.89</v>
      </c>
      <c r="K1133" s="289"/>
    </row>
    <row r="1134" spans="2:11" outlineLevel="1">
      <c r="B1134" s="150" t="s">
        <v>860</v>
      </c>
      <c r="C1134" s="285" t="s">
        <v>121</v>
      </c>
      <c r="D1134" s="286">
        <v>18</v>
      </c>
      <c r="E1134" s="7">
        <v>168.68</v>
      </c>
      <c r="F1134" s="287">
        <v>17.489999999999998</v>
      </c>
      <c r="G1134" s="145">
        <f t="shared" si="541"/>
        <v>227.27</v>
      </c>
      <c r="H1134" s="145">
        <f t="shared" si="542"/>
        <v>3036.24</v>
      </c>
      <c r="I1134" s="146">
        <f t="shared" si="543"/>
        <v>314.82</v>
      </c>
      <c r="J1134" s="7">
        <f t="shared" si="544"/>
        <v>4090.89</v>
      </c>
      <c r="K1134" s="289"/>
    </row>
    <row r="1135" spans="2:11" outlineLevel="1">
      <c r="B1135" s="150" t="s">
        <v>861</v>
      </c>
      <c r="C1135" s="285" t="s">
        <v>121</v>
      </c>
      <c r="D1135" s="286">
        <v>21</v>
      </c>
      <c r="E1135" s="7">
        <v>133.71</v>
      </c>
      <c r="F1135" s="287">
        <v>4.84</v>
      </c>
      <c r="G1135" s="145">
        <f t="shared" si="541"/>
        <v>149.91999999999999</v>
      </c>
      <c r="H1135" s="145">
        <f t="shared" si="542"/>
        <v>2807.91</v>
      </c>
      <c r="I1135" s="146">
        <f t="shared" si="543"/>
        <v>101.64</v>
      </c>
      <c r="J1135" s="7">
        <f t="shared" si="544"/>
        <v>3148.4</v>
      </c>
      <c r="K1135" s="289"/>
    </row>
    <row r="1136" spans="2:11" outlineLevel="1">
      <c r="B1136" s="150" t="s">
        <v>862</v>
      </c>
      <c r="C1136" s="285" t="s">
        <v>121</v>
      </c>
      <c r="D1136" s="286">
        <v>18</v>
      </c>
      <c r="E1136" s="7">
        <v>114.84</v>
      </c>
      <c r="F1136" s="287">
        <v>4.04</v>
      </c>
      <c r="G1136" s="145">
        <f t="shared" si="541"/>
        <v>128.37</v>
      </c>
      <c r="H1136" s="145">
        <f t="shared" si="542"/>
        <v>2067.12</v>
      </c>
      <c r="I1136" s="146">
        <f t="shared" si="543"/>
        <v>72.72</v>
      </c>
      <c r="J1136" s="7">
        <f t="shared" si="544"/>
        <v>2310.73</v>
      </c>
      <c r="K1136" s="289"/>
    </row>
    <row r="1137" spans="2:11" outlineLevel="1">
      <c r="B1137" s="150" t="s">
        <v>863</v>
      </c>
      <c r="C1137" s="285" t="s">
        <v>121</v>
      </c>
      <c r="D1137" s="286">
        <v>19</v>
      </c>
      <c r="E1137" s="7">
        <v>174.63</v>
      </c>
      <c r="F1137" s="287">
        <v>18.36</v>
      </c>
      <c r="G1137" s="145">
        <f t="shared" si="541"/>
        <v>236.14</v>
      </c>
      <c r="H1137" s="145">
        <f t="shared" si="542"/>
        <v>3317.97</v>
      </c>
      <c r="I1137" s="146">
        <f t="shared" si="543"/>
        <v>348.84</v>
      </c>
      <c r="J1137" s="7">
        <f t="shared" si="544"/>
        <v>4486.58</v>
      </c>
      <c r="K1137" s="289"/>
    </row>
    <row r="1138" spans="2:11" outlineLevel="1">
      <c r="B1138" s="150" t="s">
        <v>858</v>
      </c>
      <c r="C1138" s="285" t="s">
        <v>121</v>
      </c>
      <c r="D1138" s="286">
        <v>19</v>
      </c>
      <c r="E1138" s="7">
        <v>104.79</v>
      </c>
      <c r="F1138" s="287">
        <v>3.13</v>
      </c>
      <c r="G1138" s="145">
        <f t="shared" si="541"/>
        <v>115.28</v>
      </c>
      <c r="H1138" s="145">
        <f t="shared" si="542"/>
        <v>1991.01</v>
      </c>
      <c r="I1138" s="146">
        <f t="shared" si="543"/>
        <v>59.47</v>
      </c>
      <c r="J1138" s="7">
        <f t="shared" si="544"/>
        <v>2190.23</v>
      </c>
      <c r="K1138" s="289"/>
    </row>
    <row r="1139" spans="2:11" outlineLevel="1">
      <c r="B1139" s="150" t="s">
        <v>864</v>
      </c>
      <c r="C1139" s="285" t="s">
        <v>121</v>
      </c>
      <c r="D1139" s="286">
        <v>27</v>
      </c>
      <c r="E1139" s="7">
        <v>120.11</v>
      </c>
      <c r="F1139" s="287">
        <v>4.37</v>
      </c>
      <c r="G1139" s="145">
        <f t="shared" si="541"/>
        <v>134.75</v>
      </c>
      <c r="H1139" s="145">
        <f t="shared" si="542"/>
        <v>3242.97</v>
      </c>
      <c r="I1139" s="146">
        <f t="shared" si="543"/>
        <v>117.99</v>
      </c>
      <c r="J1139" s="7">
        <f t="shared" si="544"/>
        <v>3638.24</v>
      </c>
      <c r="K1139" s="289"/>
    </row>
    <row r="1140" spans="2:11" outlineLevel="1">
      <c r="B1140" s="150" t="s">
        <v>865</v>
      </c>
      <c r="C1140" s="285" t="s">
        <v>121</v>
      </c>
      <c r="D1140" s="286">
        <v>1</v>
      </c>
      <c r="E1140" s="7">
        <v>161.15</v>
      </c>
      <c r="F1140" s="287">
        <v>7</v>
      </c>
      <c r="G1140" s="145">
        <f t="shared" si="541"/>
        <v>184.6</v>
      </c>
      <c r="H1140" s="145">
        <f t="shared" si="542"/>
        <v>161.15</v>
      </c>
      <c r="I1140" s="146">
        <f t="shared" si="543"/>
        <v>7</v>
      </c>
      <c r="J1140" s="7">
        <f t="shared" si="544"/>
        <v>184.6</v>
      </c>
      <c r="K1140" s="289"/>
    </row>
    <row r="1141" spans="2:11" outlineLevel="1">
      <c r="B1141" s="150" t="s">
        <v>866</v>
      </c>
      <c r="C1141" s="285" t="s">
        <v>121</v>
      </c>
      <c r="D1141" s="286">
        <v>8</v>
      </c>
      <c r="E1141" s="7">
        <v>133.71</v>
      </c>
      <c r="F1141" s="287">
        <v>4.84</v>
      </c>
      <c r="G1141" s="145">
        <f t="shared" si="541"/>
        <v>149.91999999999999</v>
      </c>
      <c r="H1141" s="145">
        <f t="shared" si="542"/>
        <v>1069.68</v>
      </c>
      <c r="I1141" s="146">
        <f t="shared" si="543"/>
        <v>38.72</v>
      </c>
      <c r="J1141" s="7">
        <f t="shared" si="544"/>
        <v>1199.3900000000001</v>
      </c>
      <c r="K1141" s="289"/>
    </row>
    <row r="1142" spans="2:11" outlineLevel="1">
      <c r="B1142" s="150" t="s">
        <v>867</v>
      </c>
      <c r="C1142" s="285" t="s">
        <v>121</v>
      </c>
      <c r="D1142" s="286">
        <v>8</v>
      </c>
      <c r="E1142" s="7">
        <v>114.84</v>
      </c>
      <c r="F1142" s="287">
        <v>4.04</v>
      </c>
      <c r="G1142" s="145">
        <f t="shared" si="541"/>
        <v>128.37</v>
      </c>
      <c r="H1142" s="145">
        <f t="shared" si="542"/>
        <v>918.72</v>
      </c>
      <c r="I1142" s="146">
        <f t="shared" si="543"/>
        <v>32.32</v>
      </c>
      <c r="J1142" s="7">
        <f t="shared" si="544"/>
        <v>1026.99</v>
      </c>
      <c r="K1142" s="289"/>
    </row>
    <row r="1143" spans="2:11" outlineLevel="1">
      <c r="B1143" s="150" t="s">
        <v>868</v>
      </c>
      <c r="C1143" s="285" t="s">
        <v>121</v>
      </c>
      <c r="D1143" s="286">
        <v>7</v>
      </c>
      <c r="E1143" s="7">
        <v>114.84</v>
      </c>
      <c r="F1143" s="287">
        <v>4.04</v>
      </c>
      <c r="G1143" s="145">
        <f t="shared" si="541"/>
        <v>128.37</v>
      </c>
      <c r="H1143" s="145">
        <f t="shared" si="542"/>
        <v>803.88</v>
      </c>
      <c r="I1143" s="146">
        <f t="shared" si="543"/>
        <v>28.28</v>
      </c>
      <c r="J1143" s="7">
        <f t="shared" si="544"/>
        <v>898.62</v>
      </c>
      <c r="K1143" s="289"/>
    </row>
    <row r="1144" spans="2:11" outlineLevel="1">
      <c r="B1144" s="150" t="s">
        <v>869</v>
      </c>
      <c r="C1144" s="285" t="s">
        <v>121</v>
      </c>
      <c r="D1144" s="286">
        <v>8</v>
      </c>
      <c r="E1144" s="7">
        <v>120.11</v>
      </c>
      <c r="F1144" s="287">
        <v>4.37</v>
      </c>
      <c r="G1144" s="145">
        <f t="shared" si="536"/>
        <v>134.75</v>
      </c>
      <c r="H1144" s="145">
        <f t="shared" si="512"/>
        <v>960.88</v>
      </c>
      <c r="I1144" s="146">
        <f t="shared" si="505"/>
        <v>34.96</v>
      </c>
      <c r="J1144" s="7">
        <f t="shared" si="535"/>
        <v>1078</v>
      </c>
      <c r="K1144" s="289"/>
    </row>
    <row r="1145" spans="2:11" outlineLevel="1">
      <c r="B1145" s="150" t="s">
        <v>870</v>
      </c>
      <c r="C1145" s="285" t="s">
        <v>121</v>
      </c>
      <c r="D1145" s="286">
        <v>8</v>
      </c>
      <c r="E1145" s="7">
        <v>161.15</v>
      </c>
      <c r="F1145" s="287">
        <v>7</v>
      </c>
      <c r="G1145" s="145">
        <f t="shared" si="536"/>
        <v>184.6</v>
      </c>
      <c r="H1145" s="145">
        <f t="shared" si="512"/>
        <v>1289.2</v>
      </c>
      <c r="I1145" s="146">
        <f t="shared" si="505"/>
        <v>56</v>
      </c>
      <c r="J1145" s="7">
        <f t="shared" si="535"/>
        <v>1476.8</v>
      </c>
      <c r="K1145" s="289"/>
    </row>
    <row r="1146" spans="2:11" outlineLevel="1">
      <c r="B1146" s="150" t="s">
        <v>871</v>
      </c>
      <c r="C1146" s="285" t="s">
        <v>121</v>
      </c>
      <c r="D1146" s="286">
        <v>2</v>
      </c>
      <c r="E1146" s="7">
        <v>104.79</v>
      </c>
      <c r="F1146" s="287">
        <v>3.13</v>
      </c>
      <c r="G1146" s="145">
        <f t="shared" si="536"/>
        <v>115.28</v>
      </c>
      <c r="H1146" s="145">
        <f t="shared" si="512"/>
        <v>209.58</v>
      </c>
      <c r="I1146" s="146">
        <f t="shared" si="505"/>
        <v>6.26</v>
      </c>
      <c r="J1146" s="7">
        <f t="shared" si="535"/>
        <v>230.55</v>
      </c>
      <c r="K1146" s="289"/>
    </row>
    <row r="1147" spans="2:11">
      <c r="B1147" s="694" t="s">
        <v>872</v>
      </c>
      <c r="C1147" s="285"/>
      <c r="D1147" s="286"/>
      <c r="E1147" s="7" t="s">
        <v>27</v>
      </c>
      <c r="F1147" s="287" t="s">
        <v>27</v>
      </c>
      <c r="G1147" s="145"/>
      <c r="H1147" s="145"/>
      <c r="I1147" s="146"/>
      <c r="J1147" s="7">
        <f t="shared" si="535"/>
        <v>0</v>
      </c>
      <c r="K1147" s="276">
        <f>SUM(H1147:H1150)+SUM(I1147:I1150)*TC</f>
        <v>32304</v>
      </c>
    </row>
    <row r="1148" spans="2:11" outlineLevel="1">
      <c r="B1148" s="150" t="s">
        <v>873</v>
      </c>
      <c r="C1148" s="285" t="s">
        <v>121</v>
      </c>
      <c r="D1148" s="286">
        <v>28</v>
      </c>
      <c r="E1148" s="7">
        <v>38</v>
      </c>
      <c r="F1148" s="287">
        <v>0</v>
      </c>
      <c r="G1148" s="145">
        <f>+ROUND(E1148+F1148*TC,2)</f>
        <v>38</v>
      </c>
      <c r="H1148" s="145">
        <f t="shared" si="512"/>
        <v>1064</v>
      </c>
      <c r="I1148" s="146">
        <f t="shared" si="505"/>
        <v>0</v>
      </c>
      <c r="J1148" s="7">
        <f t="shared" si="535"/>
        <v>1064</v>
      </c>
      <c r="K1148" s="289"/>
    </row>
    <row r="1149" spans="2:11" outlineLevel="1">
      <c r="B1149" s="150" t="s">
        <v>874</v>
      </c>
      <c r="C1149" s="285" t="s">
        <v>121</v>
      </c>
      <c r="D1149" s="286">
        <v>334</v>
      </c>
      <c r="E1149" s="7">
        <v>85</v>
      </c>
      <c r="F1149" s="287">
        <v>0</v>
      </c>
      <c r="G1149" s="145">
        <f>+ROUND(E1149+F1149*TC,2)</f>
        <v>85</v>
      </c>
      <c r="H1149" s="145">
        <f t="shared" si="512"/>
        <v>28390</v>
      </c>
      <c r="I1149" s="146">
        <f t="shared" si="505"/>
        <v>0</v>
      </c>
      <c r="J1149" s="7">
        <f t="shared" si="535"/>
        <v>28390</v>
      </c>
    </row>
    <row r="1150" spans="2:11" outlineLevel="1">
      <c r="B1150" s="150" t="s">
        <v>875</v>
      </c>
      <c r="C1150" s="285" t="s">
        <v>121</v>
      </c>
      <c r="D1150" s="286">
        <v>1</v>
      </c>
      <c r="E1150" s="7">
        <v>2850</v>
      </c>
      <c r="F1150" s="287">
        <v>0</v>
      </c>
      <c r="G1150" s="145">
        <f>+ROUND(E1150+F1150*TC,2)</f>
        <v>2850</v>
      </c>
      <c r="H1150" s="145">
        <f t="shared" si="512"/>
        <v>2850</v>
      </c>
      <c r="I1150" s="146">
        <f t="shared" si="505"/>
        <v>0</v>
      </c>
      <c r="J1150" s="7">
        <f t="shared" si="535"/>
        <v>2850</v>
      </c>
      <c r="K1150" s="289"/>
    </row>
    <row r="1151" spans="2:11">
      <c r="B1151" s="694" t="s">
        <v>876</v>
      </c>
      <c r="C1151" s="285"/>
      <c r="D1151" s="286"/>
      <c r="E1151" s="7" t="s">
        <v>27</v>
      </c>
      <c r="F1151" s="287" t="s">
        <v>27</v>
      </c>
      <c r="G1151" s="145"/>
      <c r="H1151" s="145"/>
      <c r="I1151" s="146"/>
      <c r="J1151" s="7">
        <f t="shared" si="535"/>
        <v>0</v>
      </c>
      <c r="K1151" s="276">
        <f>SUM(H1151:H1152)+SUM(I1151:I1152)*TC</f>
        <v>11455</v>
      </c>
    </row>
    <row r="1152" spans="2:11" outlineLevel="1">
      <c r="B1152" s="150" t="s">
        <v>877</v>
      </c>
      <c r="C1152" s="285" t="s">
        <v>121</v>
      </c>
      <c r="D1152" s="286">
        <v>79</v>
      </c>
      <c r="E1152" s="7">
        <v>145</v>
      </c>
      <c r="F1152" s="287">
        <v>0</v>
      </c>
      <c r="G1152" s="145">
        <f>+ROUND(E1152+F1152*TC,2)</f>
        <v>145</v>
      </c>
      <c r="H1152" s="145">
        <f t="shared" ref="H1152:H1157" si="545">+ROUND(D1152*E1152,2)</f>
        <v>11455</v>
      </c>
      <c r="I1152" s="146">
        <f t="shared" si="505"/>
        <v>0</v>
      </c>
      <c r="J1152" s="7">
        <f t="shared" si="535"/>
        <v>11455</v>
      </c>
      <c r="K1152" s="289"/>
    </row>
    <row r="1153" spans="2:11">
      <c r="B1153" s="694" t="s">
        <v>878</v>
      </c>
      <c r="C1153" s="285"/>
      <c r="D1153" s="286"/>
      <c r="E1153" s="7" t="s">
        <v>27</v>
      </c>
      <c r="F1153" s="287" t="s">
        <v>27</v>
      </c>
      <c r="G1153" s="145"/>
      <c r="H1153" s="145"/>
      <c r="I1153" s="146"/>
      <c r="J1153" s="7">
        <f t="shared" si="535"/>
        <v>0</v>
      </c>
      <c r="K1153" s="276">
        <f>SUM(H1153:H1157)+SUM(I1153:I1157)*TC</f>
        <v>255598.2</v>
      </c>
    </row>
    <row r="1154" spans="2:11" outlineLevel="1">
      <c r="B1154" s="150" t="s">
        <v>879</v>
      </c>
      <c r="C1154" s="285" t="s">
        <v>132</v>
      </c>
      <c r="D1154" s="286">
        <v>11</v>
      </c>
      <c r="E1154" s="7">
        <v>7196.8</v>
      </c>
      <c r="F1154" s="287"/>
      <c r="G1154" s="145">
        <f>+ROUND(E1154+F1154*TC,2)</f>
        <v>7196.8</v>
      </c>
      <c r="H1154" s="145">
        <f t="shared" ref="H1154" si="546">+ROUND(D1154*E1154,2)</f>
        <v>79164.800000000003</v>
      </c>
      <c r="I1154" s="146">
        <f t="shared" ref="I1154" si="547">+ROUND(D1154*F1154,2)</f>
        <v>0</v>
      </c>
      <c r="J1154" s="7">
        <f t="shared" ref="J1154" si="548">+ROUND(H1154+I1154*TC,2)</f>
        <v>79164.800000000003</v>
      </c>
      <c r="K1154" s="276"/>
    </row>
    <row r="1155" spans="2:11" ht="22.5" outlineLevel="1">
      <c r="B1155" s="150" t="s">
        <v>880</v>
      </c>
      <c r="C1155" s="285" t="s">
        <v>141</v>
      </c>
      <c r="D1155" s="286">
        <v>11.049999999999999</v>
      </c>
      <c r="E1155" s="7">
        <v>1050</v>
      </c>
      <c r="F1155" s="287">
        <v>0</v>
      </c>
      <c r="G1155" s="145">
        <f>+ROUND(E1155+F1155*TC,2)</f>
        <v>1050</v>
      </c>
      <c r="H1155" s="145">
        <f t="shared" ref="H1155" si="549">+ROUND(D1155*E1155,2)</f>
        <v>11602.5</v>
      </c>
      <c r="I1155" s="146">
        <f t="shared" ref="I1155" si="550">+ROUND(D1155*F1155,2)</f>
        <v>0</v>
      </c>
      <c r="J1155" s="7">
        <f t="shared" si="535"/>
        <v>11602.5</v>
      </c>
      <c r="K1155" s="276"/>
    </row>
    <row r="1156" spans="2:11" outlineLevel="1">
      <c r="B1156" s="150" t="s">
        <v>881</v>
      </c>
      <c r="C1156" s="285" t="s">
        <v>121</v>
      </c>
      <c r="D1156" s="286">
        <v>34</v>
      </c>
      <c r="E1156" s="7">
        <v>90</v>
      </c>
      <c r="F1156" s="287">
        <v>0</v>
      </c>
      <c r="G1156" s="145">
        <f>+ROUND(E1156+F1156*TC,2)</f>
        <v>90</v>
      </c>
      <c r="H1156" s="145">
        <f>+ROUND(D1156*E1156,2)</f>
        <v>3060</v>
      </c>
      <c r="I1156" s="146">
        <f>+ROUND(D1156*F1156,2)</f>
        <v>0</v>
      </c>
      <c r="J1156" s="7">
        <f>+ROUND(H1156+I1156*TC,2)</f>
        <v>3060</v>
      </c>
      <c r="K1156" s="289"/>
    </row>
    <row r="1157" spans="2:11" ht="12" outlineLevel="1" thickBot="1">
      <c r="B1157" s="150" t="s">
        <v>882</v>
      </c>
      <c r="C1157" s="285" t="s">
        <v>130</v>
      </c>
      <c r="D1157" s="286">
        <v>1</v>
      </c>
      <c r="E1157" s="7">
        <v>161770.9</v>
      </c>
      <c r="F1157" s="287">
        <v>0</v>
      </c>
      <c r="G1157" s="145">
        <f>+ROUND(E1157+F1157*TC,2)</f>
        <v>161770.9</v>
      </c>
      <c r="H1157" s="145">
        <f t="shared" si="545"/>
        <v>161770.9</v>
      </c>
      <c r="I1157" s="146">
        <f t="shared" si="505"/>
        <v>0</v>
      </c>
      <c r="J1157" s="7">
        <f t="shared" si="535"/>
        <v>161770.9</v>
      </c>
      <c r="K1157" s="289"/>
    </row>
    <row r="1158" spans="2:11" s="310" customFormat="1" ht="14.1" customHeight="1" collapsed="1" thickTop="1" thickBot="1">
      <c r="B1158" s="305"/>
      <c r="C1158" s="305"/>
      <c r="D1158" s="305"/>
      <c r="E1158" s="56" t="s">
        <v>883</v>
      </c>
      <c r="F1158" s="306"/>
      <c r="G1158" s="306"/>
      <c r="H1158" s="307">
        <f>SUM(H12:H1157)</f>
        <v>16503223.209999979</v>
      </c>
      <c r="I1158" s="308">
        <f>SUM(I12:I1157)</f>
        <v>896699.08000000007</v>
      </c>
      <c r="J1158" s="307">
        <f>SUM(J14:J1157)</f>
        <v>19504235.179999966</v>
      </c>
      <c r="K1158" s="307">
        <f>SUM(K12:K1157)</f>
        <v>19504235.127999995</v>
      </c>
    </row>
    <row r="1159" spans="2:11" ht="12" thickTop="1"/>
  </sheetData>
  <mergeCells count="1">
    <mergeCell ref="B2:K2"/>
  </mergeCells>
  <phoneticPr fontId="13" type="noConversion"/>
  <conditionalFormatting sqref="B73:B74 B188:B197 B467:B490 B497:B507 B1003:B1007">
    <cfRule type="containsText" dxfId="52" priority="71" operator="containsText" text="POR DEFINIR">
      <formula>NOT(ISERROR(SEARCH("POR DEFINIR",B73)))</formula>
    </cfRule>
  </conditionalFormatting>
  <conditionalFormatting sqref="B99:B102">
    <cfRule type="containsText" dxfId="51" priority="63" operator="containsText" text="POR DEFINIR">
      <formula>NOT(ISERROR(SEARCH("POR DEFINIR",B99)))</formula>
    </cfRule>
  </conditionalFormatting>
  <conditionalFormatting sqref="B204 B206 B208">
    <cfRule type="containsText" dxfId="50" priority="73" operator="containsText" text="POR DEFINIR">
      <formula>NOT(ISERROR(SEARCH("POR DEFINIR",B204)))</formula>
    </cfRule>
  </conditionalFormatting>
  <conditionalFormatting sqref="B276 B283">
    <cfRule type="containsText" dxfId="49" priority="53" operator="containsText" text="POR DEFINIR">
      <formula>NOT(ISERROR(SEARCH("POR DEFINIR",B276)))</formula>
    </cfRule>
  </conditionalFormatting>
  <conditionalFormatting sqref="B364">
    <cfRule type="containsText" dxfId="48" priority="68" operator="containsText" text="POR DEFINIR">
      <formula>NOT(ISERROR(SEARCH("POR DEFINIR",B364)))</formula>
    </cfRule>
  </conditionalFormatting>
  <conditionalFormatting sqref="B366">
    <cfRule type="containsText" dxfId="47" priority="67" operator="containsText" text="POR DEFINIR">
      <formula>NOT(ISERROR(SEARCH("POR DEFINIR",B366)))</formula>
    </cfRule>
  </conditionalFormatting>
  <conditionalFormatting sqref="B452:B457">
    <cfRule type="containsText" dxfId="46" priority="15" operator="containsText" text="POR DEFINIR">
      <formula>NOT(ISERROR(SEARCH("POR DEFINIR",B452)))</formula>
    </cfRule>
  </conditionalFormatting>
  <conditionalFormatting sqref="B510:B533">
    <cfRule type="containsText" dxfId="45" priority="51" operator="containsText" text="POR DEFINIR">
      <formula>NOT(ISERROR(SEARCH("POR DEFINIR",B510)))</formula>
    </cfRule>
  </conditionalFormatting>
  <conditionalFormatting sqref="B930">
    <cfRule type="containsText" dxfId="44" priority="62" operator="containsText" text="POR DEFINIR">
      <formula>NOT(ISERROR(SEARCH("POR DEFINIR",B930)))</formula>
    </cfRule>
  </conditionalFormatting>
  <conditionalFormatting sqref="B932">
    <cfRule type="containsText" dxfId="43" priority="59" operator="containsText" text="POR DEFINIR">
      <formula>NOT(ISERROR(SEARCH("POR DEFINIR",B932)))</formula>
    </cfRule>
  </conditionalFormatting>
  <conditionalFormatting sqref="B934">
    <cfRule type="containsText" dxfId="42" priority="58" operator="containsText" text="POR DEFINIR">
      <formula>NOT(ISERROR(SEARCH("POR DEFINIR",B934)))</formula>
    </cfRule>
  </conditionalFormatting>
  <conditionalFormatting sqref="B936">
    <cfRule type="containsText" dxfId="41" priority="57" operator="containsText" text="POR DEFINIR">
      <formula>NOT(ISERROR(SEARCH("POR DEFINIR",B936)))</formula>
    </cfRule>
  </conditionalFormatting>
  <conditionalFormatting sqref="B943">
    <cfRule type="containsText" dxfId="40" priority="55" operator="containsText" text="POR DEFINIR">
      <formula>NOT(ISERROR(SEARCH("POR DEFINIR",B943)))</formula>
    </cfRule>
  </conditionalFormatting>
  <conditionalFormatting sqref="B946">
    <cfRule type="containsText" dxfId="39" priority="54" operator="containsText" text="POR DEFINIR">
      <formula>NOT(ISERROR(SEARCH("POR DEFINIR",B946)))</formula>
    </cfRule>
  </conditionalFormatting>
  <conditionalFormatting sqref="B949">
    <cfRule type="containsText" dxfId="38" priority="74" operator="containsText" text="POR DEFINIR">
      <formula>NOT(ISERROR(SEARCH("POR DEFINIR",B949)))</formula>
    </cfRule>
  </conditionalFormatting>
  <conditionalFormatting sqref="B953">
    <cfRule type="containsText" dxfId="37" priority="72" operator="containsText" text="POR DEFINIR">
      <formula>NOT(ISERROR(SEARCH("POR DEFINIR",B953)))</formula>
    </cfRule>
  </conditionalFormatting>
  <conditionalFormatting sqref="B957">
    <cfRule type="containsText" dxfId="36" priority="14" operator="containsText" text="POR DEFINIR">
      <formula>NOT(ISERROR(SEARCH("POR DEFINIR",B957)))</formula>
    </cfRule>
  </conditionalFormatting>
  <conditionalFormatting sqref="B960:B961">
    <cfRule type="containsText" dxfId="35" priority="13" operator="containsText" text="POR DEFINIR">
      <formula>NOT(ISERROR(SEARCH("POR DEFINIR",B960)))</formula>
    </cfRule>
  </conditionalFormatting>
  <conditionalFormatting sqref="B965">
    <cfRule type="containsText" dxfId="34" priority="12" operator="containsText" text="POR DEFINIR">
      <formula>NOT(ISERROR(SEARCH("POR DEFINIR",B965)))</formula>
    </cfRule>
  </conditionalFormatting>
  <conditionalFormatting sqref="B969">
    <cfRule type="containsText" dxfId="33" priority="11" operator="containsText" text="POR DEFINIR">
      <formula>NOT(ISERROR(SEARCH("POR DEFINIR",B969)))</formula>
    </cfRule>
  </conditionalFormatting>
  <conditionalFormatting sqref="B972">
    <cfRule type="containsText" dxfId="32" priority="10" operator="containsText" text="POR DEFINIR">
      <formula>NOT(ISERROR(SEARCH("POR DEFINIR",B972)))</formula>
    </cfRule>
  </conditionalFormatting>
  <conditionalFormatting sqref="B974:B975">
    <cfRule type="containsText" dxfId="31" priority="8" operator="containsText" text="POR DEFINIR">
      <formula>NOT(ISERROR(SEARCH("POR DEFINIR",B974)))</formula>
    </cfRule>
  </conditionalFormatting>
  <conditionalFormatting sqref="B979">
    <cfRule type="containsText" dxfId="30" priority="7" operator="containsText" text="POR DEFINIR">
      <formula>NOT(ISERROR(SEARCH("POR DEFINIR",B979)))</formula>
    </cfRule>
  </conditionalFormatting>
  <conditionalFormatting sqref="B981:B982">
    <cfRule type="containsText" dxfId="29" priority="5" operator="containsText" text="POR DEFINIR">
      <formula>NOT(ISERROR(SEARCH("POR DEFINIR",B981)))</formula>
    </cfRule>
  </conditionalFormatting>
  <conditionalFormatting sqref="B986">
    <cfRule type="containsText" dxfId="28" priority="4" operator="containsText" text="POR DEFINIR">
      <formula>NOT(ISERROR(SEARCH("POR DEFINIR",B986)))</formula>
    </cfRule>
  </conditionalFormatting>
  <conditionalFormatting sqref="B990">
    <cfRule type="containsText" dxfId="27" priority="3" operator="containsText" text="POR DEFINIR">
      <formula>NOT(ISERROR(SEARCH("POR DEFINIR",B990)))</formula>
    </cfRule>
  </conditionalFormatting>
  <conditionalFormatting sqref="B994">
    <cfRule type="containsText" dxfId="26" priority="2" operator="containsText" text="POR DEFINIR">
      <formula>NOT(ISERROR(SEARCH("POR DEFINIR",B994)))</formula>
    </cfRule>
  </conditionalFormatting>
  <conditionalFormatting sqref="B998">
    <cfRule type="containsText" dxfId="25" priority="1" operator="containsText" text="POR DEFINIR">
      <formula>NOT(ISERROR(SEARCH("POR DEFINIR",B998)))</formula>
    </cfRule>
  </conditionalFormatting>
  <conditionalFormatting sqref="B1009">
    <cfRule type="containsText" dxfId="24" priority="36" operator="containsText" text="POR DEFINIR">
      <formula>NOT(ISERROR(SEARCH("POR DEFINIR",B1009)))</formula>
    </cfRule>
  </conditionalFormatting>
  <conditionalFormatting sqref="B1011">
    <cfRule type="containsText" dxfId="23" priority="35" operator="containsText" text="POR DEFINIR">
      <formula>NOT(ISERROR(SEARCH("POR DEFINIR",B1011)))</formula>
    </cfRule>
  </conditionalFormatting>
  <conditionalFormatting sqref="B1013">
    <cfRule type="containsText" dxfId="22" priority="34" operator="containsText" text="POR DEFINIR">
      <formula>NOT(ISERROR(SEARCH("POR DEFINIR",B1013)))</formula>
    </cfRule>
  </conditionalFormatting>
  <conditionalFormatting sqref="B1015">
    <cfRule type="containsText" dxfId="21" priority="33" operator="containsText" text="POR DEFINIR">
      <formula>NOT(ISERROR(SEARCH("POR DEFINIR",B1015)))</formula>
    </cfRule>
  </conditionalFormatting>
  <conditionalFormatting sqref="B1018">
    <cfRule type="containsText" dxfId="20" priority="31" operator="containsText" text="POR DEFINIR">
      <formula>NOT(ISERROR(SEARCH("POR DEFINIR",B1018)))</formula>
    </cfRule>
  </conditionalFormatting>
  <conditionalFormatting sqref="B1020">
    <cfRule type="containsText" dxfId="19" priority="30" operator="containsText" text="POR DEFINIR">
      <formula>NOT(ISERROR(SEARCH("POR DEFINIR",B1020)))</formula>
    </cfRule>
  </conditionalFormatting>
  <conditionalFormatting sqref="B1022">
    <cfRule type="containsText" dxfId="18" priority="28" operator="containsText" text="POR DEFINIR">
      <formula>NOT(ISERROR(SEARCH("POR DEFINIR",B1022)))</formula>
    </cfRule>
  </conditionalFormatting>
  <conditionalFormatting sqref="B1024">
    <cfRule type="containsText" dxfId="17" priority="29" operator="containsText" text="POR DEFINIR">
      <formula>NOT(ISERROR(SEARCH("POR DEFINIR",B1024)))</formula>
    </cfRule>
  </conditionalFormatting>
  <conditionalFormatting sqref="B1026">
    <cfRule type="containsText" dxfId="16" priority="27" operator="containsText" text="POR DEFINIR">
      <formula>NOT(ISERROR(SEARCH("POR DEFINIR",B1026)))</formula>
    </cfRule>
  </conditionalFormatting>
  <conditionalFormatting sqref="B1028">
    <cfRule type="containsText" dxfId="15" priority="26" operator="containsText" text="POR DEFINIR">
      <formula>NOT(ISERROR(SEARCH("POR DEFINIR",B1028)))</formula>
    </cfRule>
  </conditionalFormatting>
  <conditionalFormatting sqref="B1030">
    <cfRule type="containsText" dxfId="14" priority="25" operator="containsText" text="POR DEFINIR">
      <formula>NOT(ISERROR(SEARCH("POR DEFINIR",B1030)))</formula>
    </cfRule>
  </conditionalFormatting>
  <conditionalFormatting sqref="B1035">
    <cfRule type="containsText" dxfId="13" priority="24" operator="containsText" text="POR DEFINIR">
      <formula>NOT(ISERROR(SEARCH("POR DEFINIR",B1035)))</formula>
    </cfRule>
  </conditionalFormatting>
  <conditionalFormatting sqref="B1037">
    <cfRule type="containsText" dxfId="12" priority="21" operator="containsText" text="POR DEFINIR">
      <formula>NOT(ISERROR(SEARCH("POR DEFINIR",B1037)))</formula>
    </cfRule>
  </conditionalFormatting>
  <conditionalFormatting sqref="B1039">
    <cfRule type="containsText" dxfId="11" priority="20" operator="containsText" text="POR DEFINIR">
      <formula>NOT(ISERROR(SEARCH("POR DEFINIR",B1039)))</formula>
    </cfRule>
  </conditionalFormatting>
  <conditionalFormatting sqref="B1041">
    <cfRule type="containsText" dxfId="10" priority="19" operator="containsText" text="POR DEFINIR">
      <formula>NOT(ISERROR(SEARCH("POR DEFINIR",B1041)))</formula>
    </cfRule>
  </conditionalFormatting>
  <conditionalFormatting sqref="B1043">
    <cfRule type="containsText" dxfId="9" priority="18" operator="containsText" text="POR DEFINIR">
      <formula>NOT(ISERROR(SEARCH("POR DEFINIR",B1043)))</formula>
    </cfRule>
  </conditionalFormatting>
  <conditionalFormatting sqref="B1045">
    <cfRule type="containsText" dxfId="8" priority="17" operator="containsText" text="POR DEFINIR">
      <formula>NOT(ISERROR(SEARCH("POR DEFINIR",B1045)))</formula>
    </cfRule>
  </conditionalFormatting>
  <conditionalFormatting sqref="H12:I14 H1158:I1158">
    <cfRule type="cellIs" dxfId="7" priority="75" stopIfTrue="1" operator="equal">
      <formula>0</formula>
    </cfRule>
  </conditionalFormatting>
  <dataValidations count="1">
    <dataValidation type="list" allowBlank="1" showInputMessage="1" showErrorMessage="1" sqref="B187 B223 B216 B212 B207 B205 B300 B1031 B209 B282 B280 B278 B252 B250 B254 B219 B262 B256 B306 B352" xr:uid="{108078E4-4914-46DD-9766-AD2234311A85}">
      <formula1>#REF!</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8E4F-FC54-4FF5-9858-1691A3B31718}">
  <dimension ref="A1:K76"/>
  <sheetViews>
    <sheetView workbookViewId="0">
      <selection activeCell="L1" sqref="L1:CH1048576"/>
    </sheetView>
  </sheetViews>
  <sheetFormatPr defaultColWidth="11.42578125" defaultRowHeight="15" outlineLevelRow="2"/>
  <cols>
    <col min="1" max="1" width="6" customWidth="1"/>
    <col min="2" max="2" width="57.42578125" customWidth="1"/>
    <col min="10" max="10" width="17.7109375" customWidth="1"/>
    <col min="11" max="11" width="13.42578125" bestFit="1" customWidth="1"/>
  </cols>
  <sheetData>
    <row r="1" spans="1:11" ht="15.75" thickBot="1"/>
    <row r="2" spans="1:11" ht="35.25" thickTop="1" thickBot="1">
      <c r="A2" s="515"/>
      <c r="B2" s="430" t="s">
        <v>69</v>
      </c>
      <c r="C2" s="517" t="s">
        <v>70</v>
      </c>
      <c r="D2" s="518" t="s">
        <v>71</v>
      </c>
      <c r="E2" s="519" t="s">
        <v>72</v>
      </c>
      <c r="F2" s="519" t="s">
        <v>73</v>
      </c>
      <c r="G2" s="518" t="s">
        <v>74</v>
      </c>
      <c r="H2" s="518" t="s">
        <v>75</v>
      </c>
      <c r="I2" s="518" t="s">
        <v>76</v>
      </c>
      <c r="J2" s="518" t="s">
        <v>77</v>
      </c>
      <c r="K2" s="520" t="s">
        <v>54</v>
      </c>
    </row>
    <row r="3" spans="1:11">
      <c r="A3" s="515"/>
      <c r="B3" s="531" t="s">
        <v>1679</v>
      </c>
      <c r="C3" s="527"/>
      <c r="D3" s="523"/>
      <c r="E3" s="524"/>
      <c r="F3" s="524"/>
      <c r="G3" s="523"/>
      <c r="H3" s="523"/>
      <c r="I3" s="523"/>
      <c r="J3" s="523"/>
      <c r="K3" s="538">
        <f>SUM(J4:J7)</f>
        <v>85652.84</v>
      </c>
    </row>
    <row r="4" spans="1:11" ht="22.5">
      <c r="A4" s="515"/>
      <c r="B4" s="543" t="str">
        <f>+'ARQ TORRE'!B44</f>
        <v>LADRILLO SILICO CALCAREO TIPO P12 RF:2 HRS H&gt;2.6M (ALVEOLOS PARCIALMENTE LLENO)</v>
      </c>
      <c r="C4" s="542" t="s">
        <v>82</v>
      </c>
      <c r="D4" s="528">
        <v>528.65</v>
      </c>
      <c r="E4" s="536">
        <v>126.23</v>
      </c>
      <c r="F4" s="539"/>
      <c r="G4" s="529">
        <f t="shared" ref="G4" si="0">+ROUND(E4+F4*TC,2)</f>
        <v>126.23</v>
      </c>
      <c r="H4" s="529">
        <f t="shared" ref="H4" si="1">+ROUND(D4*E4,2)</f>
        <v>66731.490000000005</v>
      </c>
      <c r="I4" s="530">
        <f t="shared" ref="I4" si="2">+ROUND(D4*F4,2)</f>
        <v>0</v>
      </c>
      <c r="J4" s="536">
        <f t="shared" ref="J4" si="3">+ROUND(H4+I4*TC,2)</f>
        <v>66731.490000000005</v>
      </c>
      <c r="K4" s="525"/>
    </row>
    <row r="5" spans="1:11">
      <c r="A5" s="515"/>
      <c r="B5" s="543" t="s">
        <v>93</v>
      </c>
      <c r="C5" s="542" t="s">
        <v>82</v>
      </c>
      <c r="D5" s="528">
        <v>127.42</v>
      </c>
      <c r="E5" s="536">
        <v>126.23</v>
      </c>
      <c r="F5" s="539"/>
      <c r="G5" s="529">
        <f t="shared" ref="G5:G73" si="4">+ROUND(E5+F5*TC,2)</f>
        <v>126.23</v>
      </c>
      <c r="H5" s="529">
        <f t="shared" ref="H5:H73" si="5">+ROUND(D5*E5,2)</f>
        <v>16084.23</v>
      </c>
      <c r="I5" s="530">
        <f t="shared" ref="I5:I73" si="6">+ROUND(D5*F5,2)</f>
        <v>0</v>
      </c>
      <c r="J5" s="536">
        <f t="shared" ref="J5:J73" si="7">+ROUND(H5+I5*TC,2)</f>
        <v>16084.23</v>
      </c>
      <c r="K5" s="525"/>
    </row>
    <row r="6" spans="1:11">
      <c r="A6" s="515"/>
      <c r="B6" s="533" t="s">
        <v>116</v>
      </c>
      <c r="C6" s="535"/>
      <c r="D6" s="528"/>
      <c r="E6" s="536"/>
      <c r="F6" s="539"/>
      <c r="G6" s="529">
        <f t="shared" si="4"/>
        <v>0</v>
      </c>
      <c r="H6" s="529">
        <f t="shared" si="5"/>
        <v>0</v>
      </c>
      <c r="I6" s="530">
        <f t="shared" si="6"/>
        <v>0</v>
      </c>
      <c r="J6" s="536">
        <f t="shared" si="7"/>
        <v>0</v>
      </c>
      <c r="K6" s="525"/>
    </row>
    <row r="7" spans="1:11">
      <c r="A7" s="515"/>
      <c r="B7" s="532" t="s">
        <v>117</v>
      </c>
      <c r="C7" s="535" t="s">
        <v>118</v>
      </c>
      <c r="D7" s="528">
        <v>951.56999999999994</v>
      </c>
      <c r="E7" s="536"/>
      <c r="F7" s="539">
        <v>0.89</v>
      </c>
      <c r="G7" s="529">
        <f t="shared" si="4"/>
        <v>2.98</v>
      </c>
      <c r="H7" s="529">
        <f t="shared" si="5"/>
        <v>0</v>
      </c>
      <c r="I7" s="530">
        <f t="shared" si="6"/>
        <v>846.9</v>
      </c>
      <c r="J7" s="536">
        <f t="shared" si="7"/>
        <v>2837.12</v>
      </c>
      <c r="K7" s="525"/>
    </row>
    <row r="8" spans="1:11">
      <c r="A8" s="515"/>
      <c r="B8" s="533" t="s">
        <v>441</v>
      </c>
      <c r="C8" s="540"/>
      <c r="D8" s="117"/>
      <c r="E8" s="117"/>
      <c r="F8" s="540"/>
      <c r="G8" s="529">
        <f t="shared" si="4"/>
        <v>0</v>
      </c>
      <c r="H8" s="529">
        <f t="shared" si="5"/>
        <v>0</v>
      </c>
      <c r="I8" s="530">
        <f t="shared" si="6"/>
        <v>0</v>
      </c>
      <c r="J8" s="536">
        <f t="shared" si="7"/>
        <v>0</v>
      </c>
      <c r="K8" s="534">
        <f>SUM(J9:J10)</f>
        <v>2733.9</v>
      </c>
    </row>
    <row r="9" spans="1:11" s="16" customFormat="1" ht="11.25" outlineLevel="2">
      <c r="A9" s="516"/>
      <c r="B9" s="532" t="s">
        <v>457</v>
      </c>
      <c r="C9" s="535" t="s">
        <v>121</v>
      </c>
      <c r="D9" s="528">
        <v>1</v>
      </c>
      <c r="E9" s="536">
        <v>124</v>
      </c>
      <c r="F9" s="539">
        <v>99</v>
      </c>
      <c r="G9" s="529">
        <f t="shared" si="4"/>
        <v>455.65</v>
      </c>
      <c r="H9" s="529">
        <f t="shared" si="5"/>
        <v>124</v>
      </c>
      <c r="I9" s="530">
        <f t="shared" si="6"/>
        <v>99</v>
      </c>
      <c r="J9" s="536">
        <f t="shared" si="7"/>
        <v>455.65</v>
      </c>
      <c r="K9" s="525"/>
    </row>
    <row r="10" spans="1:11">
      <c r="B10" s="532" t="s">
        <v>2792</v>
      </c>
      <c r="C10" s="535" t="s">
        <v>121</v>
      </c>
      <c r="D10" s="528">
        <v>5</v>
      </c>
      <c r="E10" s="536">
        <v>124</v>
      </c>
      <c r="F10" s="539">
        <v>99</v>
      </c>
      <c r="G10" s="529">
        <f t="shared" si="4"/>
        <v>455.65</v>
      </c>
      <c r="H10" s="529">
        <f t="shared" si="5"/>
        <v>620</v>
      </c>
      <c r="I10" s="530">
        <f t="shared" si="6"/>
        <v>495</v>
      </c>
      <c r="J10" s="536">
        <f t="shared" si="7"/>
        <v>2278.25</v>
      </c>
      <c r="K10" s="526"/>
    </row>
    <row r="11" spans="1:11">
      <c r="B11" s="533" t="s">
        <v>614</v>
      </c>
      <c r="G11" s="529">
        <f t="shared" si="4"/>
        <v>0</v>
      </c>
      <c r="H11" s="529">
        <f t="shared" si="5"/>
        <v>0</v>
      </c>
      <c r="I11" s="530">
        <f t="shared" si="6"/>
        <v>0</v>
      </c>
      <c r="J11" s="536">
        <f t="shared" si="7"/>
        <v>0</v>
      </c>
      <c r="K11" s="534">
        <f>SUM(J12:J50)</f>
        <v>179499.95999999996</v>
      </c>
    </row>
    <row r="12" spans="1:11" s="16" customFormat="1" ht="11.25" outlineLevel="1">
      <c r="A12" s="358"/>
      <c r="B12" s="532" t="s">
        <v>2486</v>
      </c>
      <c r="C12" s="535" t="s">
        <v>121</v>
      </c>
      <c r="D12" s="528">
        <v>1</v>
      </c>
      <c r="E12" s="536">
        <v>7212.4131145334613</v>
      </c>
      <c r="F12" s="539">
        <v>0</v>
      </c>
      <c r="G12" s="529">
        <f t="shared" si="4"/>
        <v>7212.41</v>
      </c>
      <c r="H12" s="529">
        <f t="shared" si="5"/>
        <v>7212.41</v>
      </c>
      <c r="I12" s="530">
        <f t="shared" si="6"/>
        <v>0</v>
      </c>
      <c r="J12" s="536">
        <f t="shared" si="7"/>
        <v>7212.41</v>
      </c>
      <c r="K12" s="289"/>
    </row>
    <row r="13" spans="1:11" s="16" customFormat="1" ht="11.25" outlineLevel="1">
      <c r="A13" s="358"/>
      <c r="B13" s="532" t="s">
        <v>2487</v>
      </c>
      <c r="C13" s="535" t="s">
        <v>121</v>
      </c>
      <c r="D13" s="528">
        <v>1</v>
      </c>
      <c r="E13" s="536">
        <v>7878.17085918474</v>
      </c>
      <c r="F13" s="539">
        <v>0</v>
      </c>
      <c r="G13" s="529">
        <f t="shared" si="4"/>
        <v>7878.17</v>
      </c>
      <c r="H13" s="529">
        <f t="shared" si="5"/>
        <v>7878.17</v>
      </c>
      <c r="I13" s="530">
        <f t="shared" si="6"/>
        <v>0</v>
      </c>
      <c r="J13" s="536">
        <f t="shared" si="7"/>
        <v>7878.17</v>
      </c>
      <c r="K13" s="289"/>
    </row>
    <row r="14" spans="1:11" s="16" customFormat="1" ht="11.25" outlineLevel="1">
      <c r="A14" s="358"/>
      <c r="B14" s="532" t="s">
        <v>2488</v>
      </c>
      <c r="C14" s="535" t="s">
        <v>121</v>
      </c>
      <c r="D14" s="528">
        <v>1</v>
      </c>
      <c r="E14" s="536">
        <v>8063.1092550441263</v>
      </c>
      <c r="F14" s="539">
        <v>0</v>
      </c>
      <c r="G14" s="529">
        <f t="shared" si="4"/>
        <v>8063.11</v>
      </c>
      <c r="H14" s="529">
        <f t="shared" si="5"/>
        <v>8063.11</v>
      </c>
      <c r="I14" s="530">
        <f t="shared" si="6"/>
        <v>0</v>
      </c>
      <c r="J14" s="536">
        <f t="shared" si="7"/>
        <v>8063.11</v>
      </c>
      <c r="K14" s="289"/>
    </row>
    <row r="15" spans="1:11" s="16" customFormat="1" ht="11.25" outlineLevel="1">
      <c r="A15" s="358"/>
      <c r="B15" s="532" t="s">
        <v>2489</v>
      </c>
      <c r="C15" s="535" t="s">
        <v>121</v>
      </c>
      <c r="D15" s="528">
        <v>1</v>
      </c>
      <c r="E15" s="536">
        <v>10097.380408391096</v>
      </c>
      <c r="F15" s="539">
        <v>0</v>
      </c>
      <c r="G15" s="529">
        <f t="shared" si="4"/>
        <v>10097.379999999999</v>
      </c>
      <c r="H15" s="529">
        <f t="shared" si="5"/>
        <v>10097.379999999999</v>
      </c>
      <c r="I15" s="530">
        <f t="shared" si="6"/>
        <v>0</v>
      </c>
      <c r="J15" s="536">
        <f t="shared" si="7"/>
        <v>10097.379999999999</v>
      </c>
      <c r="K15" s="289"/>
    </row>
    <row r="16" spans="1:11" s="16" customFormat="1" ht="11.25" outlineLevel="1">
      <c r="A16" s="358"/>
      <c r="B16" s="532" t="s">
        <v>2490</v>
      </c>
      <c r="C16" s="535" t="s">
        <v>121</v>
      </c>
      <c r="D16" s="528">
        <v>1</v>
      </c>
      <c r="E16" s="536">
        <v>8773.8932525522014</v>
      </c>
      <c r="F16" s="539">
        <v>0</v>
      </c>
      <c r="G16" s="529">
        <f t="shared" si="4"/>
        <v>8773.89</v>
      </c>
      <c r="H16" s="529">
        <f t="shared" si="5"/>
        <v>8773.89</v>
      </c>
      <c r="I16" s="530">
        <f t="shared" si="6"/>
        <v>0</v>
      </c>
      <c r="J16" s="536">
        <f t="shared" si="7"/>
        <v>8773.89</v>
      </c>
      <c r="K16" s="289"/>
    </row>
    <row r="17" spans="1:11" s="16" customFormat="1" ht="11.25" outlineLevel="1">
      <c r="A17" s="358"/>
      <c r="B17" s="532" t="s">
        <v>2491</v>
      </c>
      <c r="C17" s="535" t="s">
        <v>121</v>
      </c>
      <c r="D17" s="528">
        <v>1</v>
      </c>
      <c r="E17" s="536">
        <v>8839.8300372110371</v>
      </c>
      <c r="F17" s="539">
        <v>0</v>
      </c>
      <c r="G17" s="529">
        <f t="shared" si="4"/>
        <v>8839.83</v>
      </c>
      <c r="H17" s="529">
        <f t="shared" si="5"/>
        <v>8839.83</v>
      </c>
      <c r="I17" s="530">
        <f t="shared" si="6"/>
        <v>0</v>
      </c>
      <c r="J17" s="536">
        <f t="shared" si="7"/>
        <v>8839.83</v>
      </c>
      <c r="K17" s="289"/>
    </row>
    <row r="18" spans="1:11" s="16" customFormat="1" ht="11.25" outlineLevel="1">
      <c r="A18" s="358"/>
      <c r="B18" s="532" t="s">
        <v>2492</v>
      </c>
      <c r="C18" s="535" t="s">
        <v>121</v>
      </c>
      <c r="D18" s="528">
        <v>1</v>
      </c>
      <c r="E18" s="536">
        <v>8174.0722925597574</v>
      </c>
      <c r="F18" s="539">
        <v>0</v>
      </c>
      <c r="G18" s="529">
        <f t="shared" si="4"/>
        <v>8174.07</v>
      </c>
      <c r="H18" s="529">
        <f t="shared" si="5"/>
        <v>8174.07</v>
      </c>
      <c r="I18" s="530">
        <f t="shared" si="6"/>
        <v>0</v>
      </c>
      <c r="J18" s="536">
        <f t="shared" si="7"/>
        <v>8174.07</v>
      </c>
      <c r="K18" s="289"/>
    </row>
    <row r="19" spans="1:11" s="16" customFormat="1" ht="11.25" outlineLevel="1">
      <c r="A19" s="358"/>
      <c r="B19" s="532" t="s">
        <v>2493</v>
      </c>
      <c r="C19" s="535" t="s">
        <v>121</v>
      </c>
      <c r="D19" s="528">
        <v>1</v>
      </c>
      <c r="E19" s="536">
        <v>4373.2810510117397</v>
      </c>
      <c r="F19" s="539">
        <v>0</v>
      </c>
      <c r="G19" s="529">
        <f t="shared" si="4"/>
        <v>4373.28</v>
      </c>
      <c r="H19" s="529">
        <f t="shared" si="5"/>
        <v>4373.28</v>
      </c>
      <c r="I19" s="530">
        <f t="shared" si="6"/>
        <v>0</v>
      </c>
      <c r="J19" s="536">
        <f t="shared" si="7"/>
        <v>4373.28</v>
      </c>
      <c r="K19" s="289"/>
    </row>
    <row r="20" spans="1:11" s="16" customFormat="1" ht="11.25" outlineLevel="1">
      <c r="A20" s="358"/>
      <c r="B20" s="532" t="s">
        <v>2494</v>
      </c>
      <c r="C20" s="535" t="s">
        <v>121</v>
      </c>
      <c r="D20" s="528">
        <v>1</v>
      </c>
      <c r="E20" s="536">
        <v>2583.4439790138031</v>
      </c>
      <c r="F20" s="539">
        <v>0</v>
      </c>
      <c r="G20" s="529">
        <f t="shared" si="4"/>
        <v>2583.44</v>
      </c>
      <c r="H20" s="529">
        <f t="shared" si="5"/>
        <v>2583.44</v>
      </c>
      <c r="I20" s="530">
        <f t="shared" si="6"/>
        <v>0</v>
      </c>
      <c r="J20" s="536">
        <f t="shared" si="7"/>
        <v>2583.44</v>
      </c>
      <c r="K20" s="289"/>
    </row>
    <row r="21" spans="1:11" s="16" customFormat="1" ht="11.25" outlineLevel="1">
      <c r="A21" s="358"/>
      <c r="B21" s="532" t="s">
        <v>2495</v>
      </c>
      <c r="C21" s="535" t="s">
        <v>121</v>
      </c>
      <c r="D21" s="528">
        <v>1</v>
      </c>
      <c r="E21" s="536">
        <v>9135.7212303647993</v>
      </c>
      <c r="F21" s="539">
        <v>0</v>
      </c>
      <c r="G21" s="529">
        <f t="shared" si="4"/>
        <v>9135.7199999999993</v>
      </c>
      <c r="H21" s="529">
        <f t="shared" si="5"/>
        <v>9135.7199999999993</v>
      </c>
      <c r="I21" s="530">
        <f t="shared" si="6"/>
        <v>0</v>
      </c>
      <c r="J21" s="536">
        <f t="shared" si="7"/>
        <v>9135.7199999999993</v>
      </c>
      <c r="K21" s="289"/>
    </row>
    <row r="22" spans="1:11" s="16" customFormat="1" ht="11.25" outlineLevel="1">
      <c r="A22" s="358"/>
      <c r="B22" s="532" t="s">
        <v>2496</v>
      </c>
      <c r="C22" s="535" t="s">
        <v>121</v>
      </c>
      <c r="D22" s="528">
        <v>1</v>
      </c>
      <c r="E22" s="536">
        <v>2780.4351152899385</v>
      </c>
      <c r="F22" s="539">
        <v>0</v>
      </c>
      <c r="G22" s="529">
        <f t="shared" si="4"/>
        <v>2780.44</v>
      </c>
      <c r="H22" s="529">
        <f t="shared" si="5"/>
        <v>2780.44</v>
      </c>
      <c r="I22" s="530">
        <f t="shared" si="6"/>
        <v>0</v>
      </c>
      <c r="J22" s="536">
        <f t="shared" si="7"/>
        <v>2780.44</v>
      </c>
      <c r="K22" s="289"/>
    </row>
    <row r="23" spans="1:11" s="16" customFormat="1" ht="11.25" outlineLevel="1">
      <c r="A23" s="358"/>
      <c r="B23" s="532" t="s">
        <v>2497</v>
      </c>
      <c r="C23" s="535" t="s">
        <v>121</v>
      </c>
      <c r="D23" s="528">
        <v>1</v>
      </c>
      <c r="E23" s="536">
        <v>6158.2949787987263</v>
      </c>
      <c r="F23" s="539">
        <v>0</v>
      </c>
      <c r="G23" s="529">
        <f t="shared" si="4"/>
        <v>6158.29</v>
      </c>
      <c r="H23" s="529">
        <f t="shared" si="5"/>
        <v>6158.29</v>
      </c>
      <c r="I23" s="530">
        <f t="shared" si="6"/>
        <v>0</v>
      </c>
      <c r="J23" s="536">
        <f t="shared" si="7"/>
        <v>6158.29</v>
      </c>
      <c r="K23" s="289"/>
    </row>
    <row r="24" spans="1:11" s="16" customFormat="1" ht="11.25" outlineLevel="1">
      <c r="A24" s="358"/>
      <c r="B24" s="532" t="s">
        <v>2498</v>
      </c>
      <c r="C24" s="535" t="s">
        <v>121</v>
      </c>
      <c r="D24" s="528">
        <v>1</v>
      </c>
      <c r="E24" s="536">
        <v>4109.5441525976494</v>
      </c>
      <c r="F24" s="539">
        <v>0</v>
      </c>
      <c r="G24" s="529">
        <f t="shared" si="4"/>
        <v>4109.54</v>
      </c>
      <c r="H24" s="529">
        <f t="shared" si="5"/>
        <v>4109.54</v>
      </c>
      <c r="I24" s="530">
        <f t="shared" si="6"/>
        <v>0</v>
      </c>
      <c r="J24" s="536">
        <f t="shared" si="7"/>
        <v>4109.54</v>
      </c>
      <c r="K24" s="289"/>
    </row>
    <row r="25" spans="1:11" s="16" customFormat="1" ht="11.25" outlineLevel="1">
      <c r="A25" s="358"/>
      <c r="B25" s="532" t="s">
        <v>2499</v>
      </c>
      <c r="C25" s="535" t="s">
        <v>121</v>
      </c>
      <c r="D25" s="528">
        <v>1</v>
      </c>
      <c r="E25" s="536">
        <v>2060.0048293599621</v>
      </c>
      <c r="F25" s="539">
        <v>0</v>
      </c>
      <c r="G25" s="529">
        <f t="shared" si="4"/>
        <v>2060</v>
      </c>
      <c r="H25" s="529">
        <f t="shared" si="5"/>
        <v>2060</v>
      </c>
      <c r="I25" s="530">
        <f t="shared" si="6"/>
        <v>0</v>
      </c>
      <c r="J25" s="536">
        <f t="shared" si="7"/>
        <v>2060</v>
      </c>
      <c r="K25" s="289"/>
    </row>
    <row r="26" spans="1:11" s="16" customFormat="1" ht="11.25" outlineLevel="1">
      <c r="A26" s="358"/>
      <c r="B26" s="532" t="s">
        <v>2500</v>
      </c>
      <c r="C26" s="535" t="s">
        <v>121</v>
      </c>
      <c r="D26" s="528">
        <v>1</v>
      </c>
      <c r="E26" s="536">
        <v>6450.1617649994032</v>
      </c>
      <c r="F26" s="539">
        <v>0</v>
      </c>
      <c r="G26" s="529">
        <f t="shared" si="4"/>
        <v>6450.16</v>
      </c>
      <c r="H26" s="529">
        <f t="shared" si="5"/>
        <v>6450.16</v>
      </c>
      <c r="I26" s="530">
        <f t="shared" si="6"/>
        <v>0</v>
      </c>
      <c r="J26" s="536">
        <f t="shared" si="7"/>
        <v>6450.16</v>
      </c>
      <c r="K26" s="289"/>
    </row>
    <row r="27" spans="1:11" s="16" customFormat="1" ht="11.25" outlineLevel="1">
      <c r="A27" s="358"/>
      <c r="B27" s="532" t="s">
        <v>2501</v>
      </c>
      <c r="C27" s="535" t="s">
        <v>121</v>
      </c>
      <c r="D27" s="528">
        <v>1</v>
      </c>
      <c r="E27" s="536">
        <v>5487.7038497152416</v>
      </c>
      <c r="F27" s="539">
        <v>0</v>
      </c>
      <c r="G27" s="529">
        <f t="shared" si="4"/>
        <v>5487.7</v>
      </c>
      <c r="H27" s="529">
        <f t="shared" si="5"/>
        <v>5487.7</v>
      </c>
      <c r="I27" s="530">
        <f t="shared" si="6"/>
        <v>0</v>
      </c>
      <c r="J27" s="536">
        <f t="shared" si="7"/>
        <v>5487.7</v>
      </c>
      <c r="K27" s="289"/>
    </row>
    <row r="28" spans="1:11" s="16" customFormat="1" ht="11.25" outlineLevel="1">
      <c r="A28" s="358"/>
      <c r="B28" s="532" t="s">
        <v>2502</v>
      </c>
      <c r="C28" s="535" t="s">
        <v>121</v>
      </c>
      <c r="D28" s="528">
        <v>1</v>
      </c>
      <c r="E28" s="536">
        <v>5012.6907063747476</v>
      </c>
      <c r="F28" s="539">
        <v>0</v>
      </c>
      <c r="G28" s="529">
        <f t="shared" si="4"/>
        <v>5012.6899999999996</v>
      </c>
      <c r="H28" s="529">
        <f t="shared" si="5"/>
        <v>5012.6899999999996</v>
      </c>
      <c r="I28" s="530">
        <f t="shared" si="6"/>
        <v>0</v>
      </c>
      <c r="J28" s="536">
        <f t="shared" si="7"/>
        <v>5012.6899999999996</v>
      </c>
      <c r="K28" s="289"/>
    </row>
    <row r="29" spans="1:11">
      <c r="B29" s="533" t="s">
        <v>615</v>
      </c>
      <c r="F29" s="539">
        <v>1</v>
      </c>
      <c r="G29" s="529">
        <f t="shared" si="4"/>
        <v>3.35</v>
      </c>
      <c r="H29" s="529">
        <f t="shared" si="5"/>
        <v>0</v>
      </c>
      <c r="I29" s="530">
        <f t="shared" si="6"/>
        <v>0</v>
      </c>
      <c r="J29" s="536">
        <f t="shared" si="7"/>
        <v>0</v>
      </c>
      <c r="K29" s="526"/>
    </row>
    <row r="30" spans="1:11" s="16" customFormat="1" ht="11.25" outlineLevel="1">
      <c r="A30" s="358"/>
      <c r="B30" s="303" t="s">
        <v>2507</v>
      </c>
      <c r="C30" s="302" t="s">
        <v>121</v>
      </c>
      <c r="D30" s="351">
        <v>2</v>
      </c>
      <c r="E30" s="7">
        <v>1923.7279649027803</v>
      </c>
      <c r="F30" s="287">
        <v>0</v>
      </c>
      <c r="G30" s="145">
        <f t="shared" si="4"/>
        <v>1923.73</v>
      </c>
      <c r="H30" s="145">
        <f t="shared" si="5"/>
        <v>3847.46</v>
      </c>
      <c r="I30" s="146">
        <f t="shared" si="6"/>
        <v>0</v>
      </c>
      <c r="J30" s="7">
        <f t="shared" si="7"/>
        <v>3847.46</v>
      </c>
      <c r="K30" s="289"/>
    </row>
    <row r="31" spans="1:11" s="16" customFormat="1" ht="11.25" outlineLevel="1">
      <c r="A31" s="358"/>
      <c r="B31" s="303" t="s">
        <v>2508</v>
      </c>
      <c r="C31" s="302" t="s">
        <v>121</v>
      </c>
      <c r="D31" s="351"/>
      <c r="E31" s="7">
        <v>2451.0891192971608</v>
      </c>
      <c r="F31" s="287">
        <v>0</v>
      </c>
      <c r="G31" s="145">
        <f t="shared" si="4"/>
        <v>2451.09</v>
      </c>
      <c r="H31" s="145">
        <f t="shared" si="5"/>
        <v>0</v>
      </c>
      <c r="I31" s="146">
        <f t="shared" si="6"/>
        <v>0</v>
      </c>
      <c r="J31" s="7">
        <f t="shared" si="7"/>
        <v>0</v>
      </c>
      <c r="K31" s="289"/>
    </row>
    <row r="32" spans="1:11" s="16" customFormat="1" ht="11.25" outlineLevel="1">
      <c r="A32" s="358"/>
      <c r="B32" s="303" t="s">
        <v>2510</v>
      </c>
      <c r="C32" s="302" t="s">
        <v>121</v>
      </c>
      <c r="D32" s="351">
        <v>2</v>
      </c>
      <c r="E32" s="7">
        <v>1465.6982285131603</v>
      </c>
      <c r="F32" s="287">
        <v>0</v>
      </c>
      <c r="G32" s="145">
        <f t="shared" si="4"/>
        <v>1465.7</v>
      </c>
      <c r="H32" s="145">
        <f t="shared" si="5"/>
        <v>2931.4</v>
      </c>
      <c r="I32" s="146">
        <f t="shared" si="6"/>
        <v>0</v>
      </c>
      <c r="J32" s="7">
        <f t="shared" si="7"/>
        <v>2931.4</v>
      </c>
      <c r="K32" s="289"/>
    </row>
    <row r="33" spans="1:11" s="16" customFormat="1" ht="11.25" outlineLevel="1">
      <c r="A33" s="358"/>
      <c r="B33" s="303" t="s">
        <v>2512</v>
      </c>
      <c r="C33" s="302" t="s">
        <v>121</v>
      </c>
      <c r="D33" s="351">
        <v>1</v>
      </c>
      <c r="E33" s="7">
        <v>1960.3674765519986</v>
      </c>
      <c r="F33" s="287">
        <v>0</v>
      </c>
      <c r="G33" s="145">
        <f t="shared" si="4"/>
        <v>1960.37</v>
      </c>
      <c r="H33" s="145">
        <f t="shared" si="5"/>
        <v>1960.37</v>
      </c>
      <c r="I33" s="146">
        <f t="shared" si="6"/>
        <v>0</v>
      </c>
      <c r="J33" s="7">
        <f t="shared" si="7"/>
        <v>1960.37</v>
      </c>
      <c r="K33" s="289"/>
    </row>
    <row r="34" spans="1:11" s="16" customFormat="1" ht="11.25" outlineLevel="1">
      <c r="A34" s="358"/>
      <c r="B34" s="303" t="s">
        <v>2513</v>
      </c>
      <c r="C34" s="302" t="s">
        <v>121</v>
      </c>
      <c r="D34" s="351">
        <v>1</v>
      </c>
      <c r="E34" s="7">
        <v>2015.3369842470806</v>
      </c>
      <c r="F34" s="287">
        <v>0</v>
      </c>
      <c r="G34" s="145">
        <f t="shared" si="4"/>
        <v>2015.34</v>
      </c>
      <c r="H34" s="145">
        <f t="shared" si="5"/>
        <v>2015.34</v>
      </c>
      <c r="I34" s="146">
        <f t="shared" si="6"/>
        <v>0</v>
      </c>
      <c r="J34" s="7">
        <f t="shared" si="7"/>
        <v>2015.34</v>
      </c>
      <c r="K34" s="289"/>
    </row>
    <row r="35" spans="1:11" s="16" customFormat="1" ht="11.25" outlineLevel="1">
      <c r="A35" s="358"/>
      <c r="B35" s="303" t="s">
        <v>2514</v>
      </c>
      <c r="C35" s="302" t="s">
        <v>121</v>
      </c>
      <c r="D35" s="351">
        <v>1</v>
      </c>
      <c r="E35" s="7">
        <v>7926.658306825615</v>
      </c>
      <c r="F35" s="287">
        <v>0</v>
      </c>
      <c r="G35" s="145">
        <f t="shared" si="4"/>
        <v>7926.66</v>
      </c>
      <c r="H35" s="145">
        <f t="shared" si="5"/>
        <v>7926.66</v>
      </c>
      <c r="I35" s="146">
        <f t="shared" si="6"/>
        <v>0</v>
      </c>
      <c r="J35" s="7">
        <f t="shared" si="7"/>
        <v>7926.66</v>
      </c>
      <c r="K35" s="289"/>
    </row>
    <row r="36" spans="1:11" s="16" customFormat="1" ht="11.25" outlineLevel="1">
      <c r="A36" s="358"/>
      <c r="B36" s="303" t="s">
        <v>2515</v>
      </c>
      <c r="C36" s="302" t="s">
        <v>121</v>
      </c>
      <c r="D36" s="351">
        <v>1</v>
      </c>
      <c r="E36" s="7">
        <v>5801.392547409625</v>
      </c>
      <c r="F36" s="287">
        <v>0</v>
      </c>
      <c r="G36" s="145">
        <f t="shared" si="4"/>
        <v>5801.39</v>
      </c>
      <c r="H36" s="145">
        <f t="shared" si="5"/>
        <v>5801.39</v>
      </c>
      <c r="I36" s="146">
        <f t="shared" si="6"/>
        <v>0</v>
      </c>
      <c r="J36" s="7">
        <f t="shared" si="7"/>
        <v>5801.39</v>
      </c>
      <c r="K36" s="289"/>
    </row>
    <row r="37" spans="1:11" s="16" customFormat="1" ht="11.25" outlineLevel="1">
      <c r="A37" s="358"/>
      <c r="B37" s="303" t="s">
        <v>2516</v>
      </c>
      <c r="C37" s="302" t="s">
        <v>121</v>
      </c>
      <c r="D37" s="351">
        <v>1</v>
      </c>
      <c r="E37" s="7">
        <v>4297.5648550546912</v>
      </c>
      <c r="F37" s="287">
        <v>0</v>
      </c>
      <c r="G37" s="145">
        <f t="shared" si="4"/>
        <v>4297.5600000000004</v>
      </c>
      <c r="H37" s="145">
        <f t="shared" si="5"/>
        <v>4297.5600000000004</v>
      </c>
      <c r="I37" s="146">
        <f t="shared" si="6"/>
        <v>0</v>
      </c>
      <c r="J37" s="7">
        <f t="shared" si="7"/>
        <v>4297.5600000000004</v>
      </c>
      <c r="K37" s="289"/>
    </row>
    <row r="38" spans="1:11" s="16" customFormat="1" ht="11.25" outlineLevel="1">
      <c r="A38" s="358"/>
      <c r="B38" s="303" t="s">
        <v>2517</v>
      </c>
      <c r="C38" s="302" t="s">
        <v>121</v>
      </c>
      <c r="D38" s="351">
        <v>1</v>
      </c>
      <c r="E38" s="7">
        <v>5947.9608342277525</v>
      </c>
      <c r="F38" s="287">
        <v>0</v>
      </c>
      <c r="G38" s="145">
        <f t="shared" si="4"/>
        <v>5947.96</v>
      </c>
      <c r="H38" s="145">
        <f t="shared" si="5"/>
        <v>5947.96</v>
      </c>
      <c r="I38" s="146">
        <f t="shared" si="6"/>
        <v>0</v>
      </c>
      <c r="J38" s="7">
        <f t="shared" si="7"/>
        <v>5947.96</v>
      </c>
      <c r="K38" s="289"/>
    </row>
    <row r="39" spans="1:11" s="16" customFormat="1" ht="11.25" outlineLevel="1">
      <c r="A39" s="358"/>
      <c r="B39" s="303" t="s">
        <v>2518</v>
      </c>
      <c r="C39" s="302" t="s">
        <v>121</v>
      </c>
      <c r="D39" s="351">
        <v>1</v>
      </c>
      <c r="E39" s="7">
        <v>8640.6884544714212</v>
      </c>
      <c r="F39" s="287">
        <v>0</v>
      </c>
      <c r="G39" s="145">
        <f t="shared" si="4"/>
        <v>8640.69</v>
      </c>
      <c r="H39" s="145">
        <f t="shared" si="5"/>
        <v>8640.69</v>
      </c>
      <c r="I39" s="146">
        <f t="shared" si="6"/>
        <v>0</v>
      </c>
      <c r="J39" s="7">
        <f t="shared" si="7"/>
        <v>8640.69</v>
      </c>
      <c r="K39" s="289"/>
    </row>
    <row r="40" spans="1:11" s="16" customFormat="1" ht="11.25" outlineLevel="1">
      <c r="A40" s="358"/>
      <c r="B40" s="303" t="s">
        <v>2519</v>
      </c>
      <c r="C40" s="302" t="s">
        <v>121</v>
      </c>
      <c r="D40" s="351">
        <v>1</v>
      </c>
      <c r="E40" s="7">
        <v>2483.7656653208205</v>
      </c>
      <c r="F40" s="287">
        <v>0</v>
      </c>
      <c r="G40" s="145">
        <f t="shared" si="4"/>
        <v>2483.77</v>
      </c>
      <c r="H40" s="145">
        <f t="shared" si="5"/>
        <v>2483.77</v>
      </c>
      <c r="I40" s="146">
        <f t="shared" si="6"/>
        <v>0</v>
      </c>
      <c r="J40" s="7">
        <f t="shared" si="7"/>
        <v>2483.77</v>
      </c>
      <c r="K40" s="289"/>
    </row>
    <row r="41" spans="1:11" s="16" customFormat="1" ht="11.25" outlineLevel="1">
      <c r="A41" s="358"/>
      <c r="B41" s="303" t="s">
        <v>2520</v>
      </c>
      <c r="C41" s="302" t="s">
        <v>121</v>
      </c>
      <c r="D41" s="351">
        <v>1</v>
      </c>
      <c r="E41" s="7">
        <v>3083.9143123934132</v>
      </c>
      <c r="F41" s="287">
        <v>0</v>
      </c>
      <c r="G41" s="145">
        <f t="shared" si="4"/>
        <v>3083.91</v>
      </c>
      <c r="H41" s="145">
        <f t="shared" si="5"/>
        <v>3083.91</v>
      </c>
      <c r="I41" s="146">
        <f t="shared" si="6"/>
        <v>0</v>
      </c>
      <c r="J41" s="7">
        <f t="shared" si="7"/>
        <v>3083.91</v>
      </c>
      <c r="K41" s="289"/>
    </row>
    <row r="42" spans="1:11" s="16" customFormat="1" ht="11.25" outlineLevel="1">
      <c r="A42" s="358"/>
      <c r="B42" s="303" t="s">
        <v>2521</v>
      </c>
      <c r="C42" s="302" t="s">
        <v>121</v>
      </c>
      <c r="D42" s="351">
        <v>1</v>
      </c>
      <c r="E42" s="7">
        <v>9606.7611678584817</v>
      </c>
      <c r="F42" s="287">
        <v>0</v>
      </c>
      <c r="G42" s="145">
        <f t="shared" si="4"/>
        <v>9606.76</v>
      </c>
      <c r="H42" s="145">
        <f t="shared" si="5"/>
        <v>9606.76</v>
      </c>
      <c r="I42" s="146">
        <f t="shared" si="6"/>
        <v>0</v>
      </c>
      <c r="J42" s="7">
        <f t="shared" si="7"/>
        <v>9606.76</v>
      </c>
      <c r="K42" s="289"/>
    </row>
    <row r="43" spans="1:11" s="16" customFormat="1" ht="11.25" outlineLevel="1">
      <c r="A43" s="358"/>
      <c r="B43" s="303" t="s">
        <v>2522</v>
      </c>
      <c r="C43" s="302" t="s">
        <v>121</v>
      </c>
      <c r="D43" s="351">
        <v>1</v>
      </c>
      <c r="E43" s="7">
        <v>5250.2740797044034</v>
      </c>
      <c r="F43" s="287">
        <v>0</v>
      </c>
      <c r="G43" s="145">
        <f t="shared" si="4"/>
        <v>5250.27</v>
      </c>
      <c r="H43" s="145">
        <f t="shared" si="5"/>
        <v>5250.27</v>
      </c>
      <c r="I43" s="146">
        <f t="shared" si="6"/>
        <v>0</v>
      </c>
      <c r="J43" s="7">
        <f t="shared" si="7"/>
        <v>5250.27</v>
      </c>
      <c r="K43" s="289"/>
    </row>
    <row r="44" spans="1:11" s="16" customFormat="1" ht="11.25" outlineLevel="1">
      <c r="A44" s="628"/>
      <c r="B44" s="533" t="s">
        <v>2793</v>
      </c>
      <c r="C44" s="535"/>
      <c r="D44" s="528"/>
      <c r="E44" s="536"/>
      <c r="F44" s="287" t="s">
        <v>27</v>
      </c>
      <c r="G44" s="145"/>
      <c r="H44" s="145"/>
      <c r="I44" s="146"/>
      <c r="J44" s="7"/>
    </row>
    <row r="45" spans="1:11" s="16" customFormat="1" ht="11.25" outlineLevel="1">
      <c r="A45" s="628"/>
      <c r="B45" s="5" t="s">
        <v>2794</v>
      </c>
      <c r="C45" s="302" t="s">
        <v>121</v>
      </c>
      <c r="D45" s="351">
        <v>1</v>
      </c>
      <c r="E45" s="536">
        <v>600</v>
      </c>
      <c r="F45" s="287">
        <v>0</v>
      </c>
      <c r="G45" s="145">
        <f t="shared" ref="G45:G50" si="8">+ROUND(E45+F45*TC,2)</f>
        <v>600</v>
      </c>
      <c r="H45" s="145">
        <f t="shared" ref="H45:H50" si="9">+ROUND(D45*E45,2)</f>
        <v>600</v>
      </c>
      <c r="I45" s="146">
        <f t="shared" ref="I45:I50" si="10">+ROUND(D45*F45,2)</f>
        <v>0</v>
      </c>
      <c r="J45" s="7">
        <f t="shared" ref="J45:J50" si="11">+ROUND(H45+I45*TC,2)</f>
        <v>600</v>
      </c>
    </row>
    <row r="46" spans="1:11" s="16" customFormat="1" ht="11.25" outlineLevel="1">
      <c r="A46" s="628"/>
      <c r="B46" s="5" t="s">
        <v>2795</v>
      </c>
      <c r="C46" s="302" t="s">
        <v>121</v>
      </c>
      <c r="D46" s="351">
        <v>2</v>
      </c>
      <c r="E46" s="536">
        <v>672</v>
      </c>
      <c r="F46" s="287">
        <v>0</v>
      </c>
      <c r="G46" s="145">
        <f t="shared" si="8"/>
        <v>672</v>
      </c>
      <c r="H46" s="145">
        <f t="shared" si="9"/>
        <v>1344</v>
      </c>
      <c r="I46" s="146">
        <f t="shared" si="10"/>
        <v>0</v>
      </c>
      <c r="J46" s="7">
        <f t="shared" si="11"/>
        <v>1344</v>
      </c>
    </row>
    <row r="47" spans="1:11" s="16" customFormat="1" ht="11.25" outlineLevel="1">
      <c r="A47" s="628"/>
      <c r="B47" s="5" t="s">
        <v>2796</v>
      </c>
      <c r="C47" s="302" t="s">
        <v>121</v>
      </c>
      <c r="D47" s="351">
        <v>8</v>
      </c>
      <c r="E47" s="536">
        <v>633.6</v>
      </c>
      <c r="F47" s="287">
        <v>0</v>
      </c>
      <c r="G47" s="145">
        <f t="shared" si="8"/>
        <v>633.6</v>
      </c>
      <c r="H47" s="145">
        <f t="shared" si="9"/>
        <v>5068.8</v>
      </c>
      <c r="I47" s="146">
        <f t="shared" si="10"/>
        <v>0</v>
      </c>
      <c r="J47" s="7">
        <f t="shared" si="11"/>
        <v>5068.8</v>
      </c>
    </row>
    <row r="48" spans="1:11" s="16" customFormat="1" ht="11.25" outlineLevel="1">
      <c r="A48" s="628"/>
      <c r="B48" s="5" t="s">
        <v>2797</v>
      </c>
      <c r="C48" s="302" t="s">
        <v>121</v>
      </c>
      <c r="D48" s="351">
        <v>1</v>
      </c>
      <c r="E48" s="536">
        <v>480</v>
      </c>
      <c r="F48" s="287">
        <v>0</v>
      </c>
      <c r="G48" s="145">
        <f t="shared" si="8"/>
        <v>480</v>
      </c>
      <c r="H48" s="145">
        <f t="shared" si="9"/>
        <v>480</v>
      </c>
      <c r="I48" s="146">
        <f t="shared" si="10"/>
        <v>0</v>
      </c>
      <c r="J48" s="7">
        <f t="shared" si="11"/>
        <v>480</v>
      </c>
    </row>
    <row r="49" spans="1:11" s="16" customFormat="1" ht="11.25" outlineLevel="1">
      <c r="A49" s="628"/>
      <c r="B49" s="150" t="s">
        <v>492</v>
      </c>
      <c r="C49" s="285" t="s">
        <v>121</v>
      </c>
      <c r="D49" s="286">
        <v>1</v>
      </c>
      <c r="E49" s="7">
        <v>445</v>
      </c>
      <c r="F49" s="287">
        <v>0</v>
      </c>
      <c r="G49" s="145">
        <f t="shared" si="8"/>
        <v>445</v>
      </c>
      <c r="H49" s="145">
        <f t="shared" si="9"/>
        <v>445</v>
      </c>
      <c r="I49" s="146">
        <f t="shared" si="10"/>
        <v>0</v>
      </c>
      <c r="J49" s="7">
        <f t="shared" si="11"/>
        <v>445</v>
      </c>
      <c r="K49" s="276"/>
    </row>
    <row r="50" spans="1:11" s="16" customFormat="1" ht="11.25" outlineLevel="1">
      <c r="A50" s="628"/>
      <c r="B50" s="150" t="s">
        <v>501</v>
      </c>
      <c r="C50" s="285" t="s">
        <v>121</v>
      </c>
      <c r="D50" s="286">
        <v>1</v>
      </c>
      <c r="E50" s="7">
        <v>578.5</v>
      </c>
      <c r="F50" s="287">
        <v>0</v>
      </c>
      <c r="G50" s="145">
        <f t="shared" si="8"/>
        <v>578.5</v>
      </c>
      <c r="H50" s="145">
        <f t="shared" si="9"/>
        <v>578.5</v>
      </c>
      <c r="I50" s="146">
        <f t="shared" si="10"/>
        <v>0</v>
      </c>
      <c r="J50" s="7">
        <f t="shared" si="11"/>
        <v>578.5</v>
      </c>
      <c r="K50" s="276"/>
    </row>
    <row r="51" spans="1:11">
      <c r="A51" s="515"/>
      <c r="B51" s="533" t="s">
        <v>711</v>
      </c>
      <c r="C51" s="540"/>
      <c r="D51" s="117"/>
      <c r="E51" s="117"/>
      <c r="F51" s="540"/>
      <c r="G51" s="529">
        <f t="shared" si="4"/>
        <v>0</v>
      </c>
      <c r="H51" s="529">
        <f t="shared" si="5"/>
        <v>0</v>
      </c>
      <c r="I51" s="530">
        <f t="shared" si="6"/>
        <v>0</v>
      </c>
      <c r="J51" s="536">
        <f t="shared" si="7"/>
        <v>0</v>
      </c>
      <c r="K51" s="534">
        <f>SUM(J52:J56)</f>
        <v>20118.739999999998</v>
      </c>
    </row>
    <row r="52" spans="1:11">
      <c r="B52" s="533" t="s">
        <v>706</v>
      </c>
      <c r="C52" s="535"/>
      <c r="D52" s="528"/>
      <c r="E52" s="536" t="s">
        <v>27</v>
      </c>
      <c r="F52" s="539" t="s">
        <v>27</v>
      </c>
      <c r="G52" s="529"/>
      <c r="H52" s="529"/>
      <c r="I52" s="530"/>
      <c r="J52" s="536"/>
      <c r="K52" s="546"/>
    </row>
    <row r="53" spans="1:11" ht="22.5">
      <c r="B53" s="544" t="s">
        <v>1680</v>
      </c>
      <c r="C53" s="535" t="s">
        <v>82</v>
      </c>
      <c r="D53" s="528">
        <v>544.6</v>
      </c>
      <c r="E53" s="536">
        <v>25.5</v>
      </c>
      <c r="F53" s="539">
        <v>0</v>
      </c>
      <c r="G53" s="529">
        <f t="shared" si="4"/>
        <v>25.5</v>
      </c>
      <c r="H53" s="529">
        <f t="shared" si="5"/>
        <v>13887.3</v>
      </c>
      <c r="I53" s="530">
        <f t="shared" si="6"/>
        <v>0</v>
      </c>
      <c r="J53" s="536">
        <f t="shared" si="7"/>
        <v>13887.3</v>
      </c>
      <c r="K53" s="526"/>
    </row>
    <row r="54" spans="1:11">
      <c r="B54" s="544" t="s">
        <v>724</v>
      </c>
      <c r="C54" s="535" t="s">
        <v>82</v>
      </c>
      <c r="D54" s="528">
        <v>138.88999999999999</v>
      </c>
      <c r="E54" s="536">
        <v>27</v>
      </c>
      <c r="F54" s="539">
        <v>0</v>
      </c>
      <c r="G54" s="529">
        <f t="shared" si="4"/>
        <v>27</v>
      </c>
      <c r="H54" s="529">
        <f t="shared" si="5"/>
        <v>3750.03</v>
      </c>
      <c r="I54" s="530">
        <f t="shared" si="6"/>
        <v>0</v>
      </c>
      <c r="J54" s="536">
        <f t="shared" si="7"/>
        <v>3750.03</v>
      </c>
      <c r="K54" s="526"/>
    </row>
    <row r="55" spans="1:11">
      <c r="B55" s="547" t="s">
        <v>718</v>
      </c>
      <c r="C55" s="535"/>
      <c r="D55" s="528"/>
      <c r="E55" s="536" t="s">
        <v>27</v>
      </c>
      <c r="F55" s="539" t="s">
        <v>27</v>
      </c>
      <c r="G55" s="529"/>
      <c r="H55" s="529"/>
      <c r="I55" s="530"/>
      <c r="J55" s="536"/>
      <c r="K55" s="546"/>
    </row>
    <row r="56" spans="1:11">
      <c r="B56" s="532" t="s">
        <v>720</v>
      </c>
      <c r="C56" s="535" t="s">
        <v>82</v>
      </c>
      <c r="D56" s="528">
        <v>97.31</v>
      </c>
      <c r="E56" s="536">
        <v>25.5</v>
      </c>
      <c r="F56" s="539">
        <v>0</v>
      </c>
      <c r="G56" s="529">
        <f t="shared" si="4"/>
        <v>25.5</v>
      </c>
      <c r="H56" s="529">
        <f t="shared" si="5"/>
        <v>2481.41</v>
      </c>
      <c r="I56" s="530">
        <f t="shared" si="6"/>
        <v>0</v>
      </c>
      <c r="J56" s="536">
        <f t="shared" si="7"/>
        <v>2481.41</v>
      </c>
      <c r="K56" s="526"/>
    </row>
    <row r="57" spans="1:11">
      <c r="B57" s="533" t="s">
        <v>256</v>
      </c>
      <c r="C57" s="535"/>
      <c r="D57" s="528"/>
      <c r="E57" s="536"/>
      <c r="F57" s="539"/>
      <c r="G57" s="529">
        <f t="shared" si="4"/>
        <v>0</v>
      </c>
      <c r="H57" s="529">
        <f t="shared" si="5"/>
        <v>0</v>
      </c>
      <c r="I57" s="530">
        <f t="shared" si="6"/>
        <v>0</v>
      </c>
      <c r="J57" s="536">
        <f t="shared" si="7"/>
        <v>0</v>
      </c>
      <c r="K57" s="534">
        <f>SUM(J58:J62)</f>
        <v>47685.599999999999</v>
      </c>
    </row>
    <row r="58" spans="1:11">
      <c r="B58" s="532" t="s">
        <v>258</v>
      </c>
      <c r="C58" s="535" t="s">
        <v>82</v>
      </c>
      <c r="D58" s="528">
        <v>52.34</v>
      </c>
      <c r="E58" s="536">
        <v>23.41</v>
      </c>
      <c r="F58" s="539">
        <v>0</v>
      </c>
      <c r="G58" s="529">
        <f t="shared" si="4"/>
        <v>23.41</v>
      </c>
      <c r="H58" s="529">
        <f t="shared" si="5"/>
        <v>1225.28</v>
      </c>
      <c r="I58" s="530">
        <f t="shared" si="6"/>
        <v>0</v>
      </c>
      <c r="J58" s="536">
        <f t="shared" si="7"/>
        <v>1225.28</v>
      </c>
    </row>
    <row r="59" spans="1:11">
      <c r="B59" s="355" t="s">
        <v>59</v>
      </c>
      <c r="C59" s="302"/>
      <c r="D59" s="351"/>
      <c r="E59" s="536"/>
      <c r="F59" s="539"/>
      <c r="G59" s="529"/>
      <c r="H59" s="529"/>
      <c r="I59" s="530"/>
      <c r="J59" s="536"/>
    </row>
    <row r="60" spans="1:11">
      <c r="B60" s="532" t="s">
        <v>266</v>
      </c>
      <c r="C60" s="302" t="s">
        <v>82</v>
      </c>
      <c r="D60" s="351">
        <v>617.30999999999995</v>
      </c>
      <c r="E60" s="536">
        <v>69.38</v>
      </c>
      <c r="F60" s="539"/>
      <c r="G60" s="529">
        <f t="shared" ref="G60" si="12">+ROUND(E60+F60*TC,2)</f>
        <v>69.38</v>
      </c>
      <c r="H60" s="529">
        <f t="shared" ref="H60" si="13">+ROUND(D60*E60,2)</f>
        <v>42828.97</v>
      </c>
      <c r="I60" s="530">
        <f t="shared" ref="I60" si="14">+ROUND(D60*F60,2)</f>
        <v>0</v>
      </c>
      <c r="J60" s="536">
        <f t="shared" ref="J60" si="15">+ROUND(H60+I60*TC,2)</f>
        <v>42828.97</v>
      </c>
    </row>
    <row r="61" spans="1:11">
      <c r="B61" s="537" t="s">
        <v>268</v>
      </c>
      <c r="C61" s="535"/>
      <c r="D61" s="528"/>
      <c r="E61" s="536" t="s">
        <v>27</v>
      </c>
      <c r="F61" s="539"/>
      <c r="G61" s="529"/>
      <c r="H61" s="529"/>
      <c r="I61" s="530"/>
      <c r="J61" s="536"/>
      <c r="K61" s="541"/>
    </row>
    <row r="62" spans="1:11">
      <c r="B62" s="532" t="s">
        <v>266</v>
      </c>
      <c r="C62" s="535" t="s">
        <v>82</v>
      </c>
      <c r="D62" s="528">
        <v>52.34</v>
      </c>
      <c r="E62" s="536">
        <v>69.38</v>
      </c>
      <c r="F62" s="539">
        <v>0</v>
      </c>
      <c r="G62" s="529">
        <f t="shared" si="4"/>
        <v>69.38</v>
      </c>
      <c r="H62" s="529">
        <f t="shared" si="5"/>
        <v>3631.35</v>
      </c>
      <c r="I62" s="530">
        <f t="shared" si="6"/>
        <v>0</v>
      </c>
      <c r="J62" s="536">
        <f t="shared" si="7"/>
        <v>3631.35</v>
      </c>
      <c r="K62" s="541"/>
    </row>
    <row r="63" spans="1:11">
      <c r="B63" s="533" t="s">
        <v>754</v>
      </c>
      <c r="C63" s="535"/>
      <c r="D63" s="528"/>
      <c r="E63" s="536"/>
      <c r="F63" s="539"/>
      <c r="G63" s="529">
        <f t="shared" si="4"/>
        <v>0</v>
      </c>
      <c r="H63" s="529">
        <f t="shared" si="5"/>
        <v>0</v>
      </c>
      <c r="I63" s="530">
        <f t="shared" si="6"/>
        <v>0</v>
      </c>
      <c r="J63" s="536">
        <f t="shared" si="7"/>
        <v>0</v>
      </c>
      <c r="K63" s="534">
        <f>SUM(J65:J70)</f>
        <v>3804.58</v>
      </c>
    </row>
    <row r="64" spans="1:11">
      <c r="B64" s="357" t="s">
        <v>2539</v>
      </c>
      <c r="C64" s="535"/>
      <c r="D64" s="528"/>
      <c r="E64" s="536"/>
      <c r="F64" s="539"/>
      <c r="G64" s="529">
        <f t="shared" ref="G64:G67" si="16">+ROUND(E64+F64*TC,2)</f>
        <v>0</v>
      </c>
      <c r="H64" s="529">
        <f t="shared" ref="H64:H67" si="17">+ROUND(D64*E64,2)</f>
        <v>0</v>
      </c>
      <c r="I64" s="530">
        <f t="shared" ref="I64:I67" si="18">+ROUND(D64*F64,2)</f>
        <v>0</v>
      </c>
      <c r="J64" s="536">
        <f t="shared" ref="J64:J67" si="19">+ROUND(H64+I64*TC,2)</f>
        <v>0</v>
      </c>
      <c r="K64" s="526"/>
    </row>
    <row r="65" spans="2:11">
      <c r="B65" s="545" t="s">
        <v>769</v>
      </c>
      <c r="C65" s="535" t="s">
        <v>121</v>
      </c>
      <c r="D65" s="528">
        <v>4</v>
      </c>
      <c r="E65" s="536">
        <v>326.47999999999996</v>
      </c>
      <c r="F65" s="539">
        <v>0</v>
      </c>
      <c r="G65" s="529">
        <f t="shared" si="16"/>
        <v>326.48</v>
      </c>
      <c r="H65" s="529">
        <f t="shared" si="17"/>
        <v>1305.92</v>
      </c>
      <c r="I65" s="530">
        <f t="shared" si="18"/>
        <v>0</v>
      </c>
      <c r="J65" s="536">
        <f t="shared" si="19"/>
        <v>1305.92</v>
      </c>
      <c r="K65" s="534"/>
    </row>
    <row r="66" spans="2:11">
      <c r="B66" s="532" t="s">
        <v>770</v>
      </c>
      <c r="C66" s="535" t="s">
        <v>121</v>
      </c>
      <c r="D66" s="528">
        <v>4</v>
      </c>
      <c r="E66" s="536">
        <v>201.62</v>
      </c>
      <c r="F66" s="539">
        <v>0</v>
      </c>
      <c r="G66" s="529">
        <f t="shared" si="16"/>
        <v>201.62</v>
      </c>
      <c r="H66" s="529">
        <f t="shared" si="17"/>
        <v>806.48</v>
      </c>
      <c r="I66" s="530">
        <f t="shared" si="18"/>
        <v>0</v>
      </c>
      <c r="J66" s="536">
        <f t="shared" si="19"/>
        <v>806.48</v>
      </c>
      <c r="K66" s="534"/>
    </row>
    <row r="67" spans="2:11">
      <c r="B67" s="532" t="s">
        <v>772</v>
      </c>
      <c r="C67" s="535" t="s">
        <v>121</v>
      </c>
      <c r="D67" s="528">
        <v>4</v>
      </c>
      <c r="E67" s="536">
        <v>273.14</v>
      </c>
      <c r="F67" s="539">
        <v>0</v>
      </c>
      <c r="G67" s="529">
        <f t="shared" si="16"/>
        <v>273.14</v>
      </c>
      <c r="H67" s="529">
        <f t="shared" si="17"/>
        <v>1092.56</v>
      </c>
      <c r="I67" s="530">
        <f t="shared" si="18"/>
        <v>0</v>
      </c>
      <c r="J67" s="536">
        <f t="shared" si="19"/>
        <v>1092.56</v>
      </c>
      <c r="K67" s="541"/>
    </row>
    <row r="68" spans="2:11">
      <c r="B68" s="357" t="s">
        <v>2549</v>
      </c>
      <c r="C68" s="535"/>
      <c r="D68" s="528"/>
      <c r="E68" s="536"/>
      <c r="F68" s="539"/>
      <c r="G68" s="529">
        <f t="shared" si="4"/>
        <v>0</v>
      </c>
      <c r="H68" s="529">
        <f t="shared" si="5"/>
        <v>0</v>
      </c>
      <c r="I68" s="530">
        <f t="shared" si="6"/>
        <v>0</v>
      </c>
      <c r="J68" s="536">
        <f t="shared" si="7"/>
        <v>0</v>
      </c>
      <c r="K68" s="526"/>
    </row>
    <row r="69" spans="2:11">
      <c r="B69" s="545" t="s">
        <v>769</v>
      </c>
      <c r="C69" s="535" t="s">
        <v>121</v>
      </c>
      <c r="D69" s="528">
        <v>1</v>
      </c>
      <c r="E69" s="536">
        <v>326.47999999999996</v>
      </c>
      <c r="F69" s="539">
        <v>0</v>
      </c>
      <c r="G69" s="529">
        <f t="shared" si="4"/>
        <v>326.48</v>
      </c>
      <c r="H69" s="529">
        <f t="shared" si="5"/>
        <v>326.48</v>
      </c>
      <c r="I69" s="530">
        <f t="shared" si="6"/>
        <v>0</v>
      </c>
      <c r="J69" s="536">
        <f t="shared" si="7"/>
        <v>326.48</v>
      </c>
      <c r="K69" s="534"/>
    </row>
    <row r="70" spans="2:11">
      <c r="B70" s="532" t="s">
        <v>772</v>
      </c>
      <c r="C70" s="535" t="s">
        <v>121</v>
      </c>
      <c r="D70" s="528">
        <v>1</v>
      </c>
      <c r="E70" s="536">
        <v>273.14</v>
      </c>
      <c r="F70" s="539">
        <v>0</v>
      </c>
      <c r="G70" s="529">
        <f t="shared" si="4"/>
        <v>273.14</v>
      </c>
      <c r="H70" s="529">
        <f t="shared" si="5"/>
        <v>273.14</v>
      </c>
      <c r="I70" s="530">
        <f t="shared" si="6"/>
        <v>0</v>
      </c>
      <c r="J70" s="536">
        <f t="shared" si="7"/>
        <v>273.14</v>
      </c>
      <c r="K70" s="541"/>
    </row>
    <row r="71" spans="2:11">
      <c r="B71" s="533" t="s">
        <v>1681</v>
      </c>
      <c r="C71" s="535"/>
      <c r="D71" s="528"/>
      <c r="E71" s="536"/>
      <c r="F71" s="539"/>
      <c r="G71" s="529">
        <f t="shared" si="4"/>
        <v>0</v>
      </c>
      <c r="H71" s="529">
        <f t="shared" si="5"/>
        <v>0</v>
      </c>
      <c r="I71" s="530">
        <f t="shared" si="6"/>
        <v>0</v>
      </c>
      <c r="J71" s="536">
        <f t="shared" si="7"/>
        <v>0</v>
      </c>
      <c r="K71" s="534">
        <f>SUM(J72:J73)</f>
        <v>65000</v>
      </c>
    </row>
    <row r="72" spans="2:11">
      <c r="B72" s="532" t="s">
        <v>1682</v>
      </c>
      <c r="C72" s="535" t="s">
        <v>121</v>
      </c>
      <c r="D72" s="528">
        <v>0</v>
      </c>
      <c r="E72" s="536"/>
      <c r="F72" s="539">
        <v>37205.479999999996</v>
      </c>
      <c r="G72" s="529">
        <f t="shared" si="4"/>
        <v>124638.36</v>
      </c>
      <c r="H72" s="529">
        <f t="shared" si="5"/>
        <v>0</v>
      </c>
      <c r="I72" s="530">
        <f t="shared" si="6"/>
        <v>0</v>
      </c>
      <c r="J72" s="536">
        <f t="shared" si="7"/>
        <v>0</v>
      </c>
      <c r="K72" s="541"/>
    </row>
    <row r="73" spans="2:11">
      <c r="B73" s="532" t="s">
        <v>1683</v>
      </c>
      <c r="C73" s="535" t="s">
        <v>130</v>
      </c>
      <c r="D73" s="528">
        <v>1</v>
      </c>
      <c r="E73" s="536">
        <v>65000</v>
      </c>
      <c r="F73" s="539"/>
      <c r="G73" s="529">
        <f t="shared" si="4"/>
        <v>65000</v>
      </c>
      <c r="H73" s="529">
        <f t="shared" si="5"/>
        <v>65000</v>
      </c>
      <c r="I73" s="530">
        <f t="shared" si="6"/>
        <v>0</v>
      </c>
      <c r="J73" s="536">
        <f t="shared" si="7"/>
        <v>65000</v>
      </c>
      <c r="K73" s="541"/>
    </row>
    <row r="74" spans="2:11" ht="15.75" thickBot="1">
      <c r="B74" s="380"/>
      <c r="C74" s="147"/>
      <c r="D74" s="147"/>
      <c r="E74" s="147"/>
      <c r="F74" s="147"/>
      <c r="G74" s="147"/>
      <c r="H74" s="147"/>
      <c r="I74" s="147"/>
      <c r="J74" s="147"/>
      <c r="K74" s="148"/>
    </row>
    <row r="75" spans="2:11" ht="15.75" thickBot="1">
      <c r="J75" s="521">
        <f>SUM(J4:J74)</f>
        <v>404495.62</v>
      </c>
      <c r="K75" s="522">
        <f>SUM(K3:K74)</f>
        <v>404495.61999999994</v>
      </c>
    </row>
    <row r="76" spans="2:11" ht="15.75" thickTop="1"/>
  </sheetData>
  <conditionalFormatting sqref="B7 B9:B10 B58 B60:B62 B70">
    <cfRule type="containsText" dxfId="6" priority="18" operator="containsText" text="POR DEFINIR">
      <formula>NOT(ISERROR(SEARCH("POR DEFINIR",B7)))</formula>
    </cfRule>
  </conditionalFormatting>
  <conditionalFormatting sqref="B12:B28">
    <cfRule type="containsText" dxfId="5" priority="7" operator="containsText" text="POR DEFINIR">
      <formula>NOT(ISERROR(SEARCH("POR DEFINIR",B12)))</formula>
    </cfRule>
  </conditionalFormatting>
  <conditionalFormatting sqref="B49:B50">
    <cfRule type="containsText" dxfId="4" priority="1" operator="containsText" text="POR DEFINIR">
      <formula>NOT(ISERROR(SEARCH("POR DEFINIR",B49)))</formula>
    </cfRule>
  </conditionalFormatting>
  <conditionalFormatting sqref="B56">
    <cfRule type="containsText" dxfId="3" priority="10" operator="containsText" text="POR DEFINIR">
      <formula>NOT(ISERROR(SEARCH("POR DEFINIR",B56)))</formula>
    </cfRule>
  </conditionalFormatting>
  <conditionalFormatting sqref="B64">
    <cfRule type="containsText" dxfId="2" priority="4" operator="containsText" text="POR DEFINIR">
      <formula>NOT(ISERROR(SEARCH("POR DEFINIR",B64)))</formula>
    </cfRule>
  </conditionalFormatting>
  <conditionalFormatting sqref="B66:B68">
    <cfRule type="containsText" dxfId="1" priority="3" operator="containsText" text="POR DEFINIR">
      <formula>NOT(ISERROR(SEARCH("POR DEFINIR",B66)))</formula>
    </cfRule>
  </conditionalFormatting>
  <conditionalFormatting sqref="B72:B73">
    <cfRule type="containsText" dxfId="0" priority="14" operator="containsText" text="POR DEFINIR">
      <formula>NOT(ISERROR(SEARCH("POR DEFINIR",B72)))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EBE76-730C-4ACA-9330-5CB0162B37BA}">
  <dimension ref="A1:I27"/>
  <sheetViews>
    <sheetView workbookViewId="0">
      <selection activeCell="H27" sqref="H27"/>
    </sheetView>
  </sheetViews>
  <sheetFormatPr defaultColWidth="11.42578125" defaultRowHeight="11.25"/>
  <cols>
    <col min="1" max="1" width="11.42578125" style="40"/>
    <col min="2" max="2" width="78.5703125" style="170" customWidth="1"/>
    <col min="3" max="3" width="5.140625" style="42" bestFit="1" customWidth="1"/>
    <col min="4" max="4" width="9.28515625" style="485" bestFit="1" customWidth="1"/>
    <col min="5" max="5" width="12.7109375" style="40" bestFit="1" customWidth="1"/>
    <col min="6" max="6" width="10.5703125" style="40" bestFit="1" customWidth="1"/>
    <col min="7" max="7" width="12.7109375" style="40" bestFit="1" customWidth="1"/>
    <col min="8" max="8" width="10.7109375" style="40" bestFit="1" customWidth="1"/>
    <col min="9" max="9" width="12.7109375" style="40" bestFit="1" customWidth="1"/>
    <col min="10" max="16384" width="11.42578125" style="40"/>
  </cols>
  <sheetData>
    <row r="1" spans="1:9">
      <c r="A1" s="32"/>
      <c r="B1" s="416"/>
      <c r="C1" s="15"/>
      <c r="D1" s="15"/>
      <c r="E1" s="417"/>
      <c r="F1" s="419"/>
      <c r="G1" s="417"/>
      <c r="H1" s="419"/>
      <c r="I1" s="138"/>
    </row>
    <row r="2" spans="1:9">
      <c r="A2" s="781" t="s">
        <v>1873</v>
      </c>
      <c r="B2" s="781"/>
      <c r="C2" s="781"/>
      <c r="D2" s="781"/>
      <c r="E2" s="781"/>
      <c r="F2" s="781"/>
      <c r="G2" s="781"/>
      <c r="H2" s="781"/>
      <c r="I2" s="138"/>
    </row>
    <row r="3" spans="1:9">
      <c r="A3" s="32"/>
      <c r="B3" s="416"/>
      <c r="C3" s="15"/>
      <c r="D3" s="15"/>
      <c r="E3" s="417"/>
      <c r="F3" s="419"/>
      <c r="G3" s="417"/>
      <c r="H3" s="420" t="s">
        <v>1826</v>
      </c>
      <c r="I3" s="421">
        <v>3.35</v>
      </c>
    </row>
    <row r="4" spans="1:9">
      <c r="A4" s="110" t="s">
        <v>7</v>
      </c>
      <c r="B4" s="589" t="s">
        <v>5</v>
      </c>
      <c r="C4" s="15"/>
      <c r="D4" s="15"/>
      <c r="E4" s="417"/>
      <c r="F4" s="419"/>
      <c r="G4" s="417"/>
      <c r="H4" s="419"/>
      <c r="I4" s="138"/>
    </row>
    <row r="5" spans="1:9">
      <c r="A5" s="110" t="s">
        <v>67</v>
      </c>
      <c r="B5" s="422" t="s">
        <v>1874</v>
      </c>
      <c r="C5" s="15"/>
      <c r="D5" s="15"/>
      <c r="E5" s="417"/>
      <c r="F5" s="419"/>
      <c r="G5" s="417"/>
      <c r="H5" s="419"/>
      <c r="I5" s="138"/>
    </row>
    <row r="6" spans="1:9">
      <c r="A6" s="110" t="s">
        <v>10</v>
      </c>
      <c r="B6" s="422" t="s">
        <v>1828</v>
      </c>
      <c r="C6" s="15"/>
      <c r="D6" s="15"/>
      <c r="E6" s="417"/>
      <c r="F6" s="460" t="s">
        <v>1829</v>
      </c>
      <c r="G6" s="591">
        <v>46133</v>
      </c>
      <c r="H6" s="427"/>
      <c r="I6" s="138"/>
    </row>
    <row r="7" spans="1:9" ht="12" thickBot="1">
      <c r="A7" s="110" t="s">
        <v>12</v>
      </c>
      <c r="B7" s="422"/>
      <c r="C7" s="15"/>
      <c r="D7" s="15"/>
      <c r="E7" s="417"/>
      <c r="F7" s="419"/>
      <c r="G7" s="417"/>
      <c r="H7" s="419"/>
      <c r="I7" s="138"/>
    </row>
    <row r="8" spans="1:9" ht="12" thickTop="1">
      <c r="A8" s="428" t="s">
        <v>20</v>
      </c>
      <c r="B8" s="429" t="s">
        <v>69</v>
      </c>
      <c r="C8" s="430" t="s">
        <v>70</v>
      </c>
      <c r="D8" s="431" t="s">
        <v>885</v>
      </c>
      <c r="E8" s="432" t="s">
        <v>1830</v>
      </c>
      <c r="F8" s="434" t="s">
        <v>1831</v>
      </c>
      <c r="G8" s="432" t="s">
        <v>1832</v>
      </c>
      <c r="H8" s="434" t="s">
        <v>1833</v>
      </c>
      <c r="I8" s="435" t="s">
        <v>54</v>
      </c>
    </row>
    <row r="9" spans="1:9">
      <c r="A9" s="436" t="s">
        <v>888</v>
      </c>
      <c r="B9" s="451" t="s">
        <v>1875</v>
      </c>
      <c r="C9" s="438"/>
      <c r="D9" s="461"/>
      <c r="E9" s="440"/>
      <c r="F9" s="441"/>
      <c r="G9" s="440"/>
      <c r="H9" s="441"/>
      <c r="I9" s="441">
        <f>SUM(H11:H16)</f>
        <v>50453.279999999999</v>
      </c>
    </row>
    <row r="10" spans="1:9">
      <c r="A10" s="442">
        <v>1</v>
      </c>
      <c r="B10" s="462" t="s">
        <v>1876</v>
      </c>
      <c r="C10" s="463"/>
      <c r="D10" s="464"/>
      <c r="E10" s="465"/>
      <c r="F10" s="466"/>
      <c r="G10" s="465"/>
      <c r="H10" s="466"/>
      <c r="I10" s="467"/>
    </row>
    <row r="11" spans="1:9" s="139" customFormat="1" ht="22.5">
      <c r="A11" s="468">
        <v>0.01</v>
      </c>
      <c r="B11" s="469" t="s">
        <v>2712</v>
      </c>
      <c r="C11" s="470" t="s">
        <v>1877</v>
      </c>
      <c r="D11" s="471">
        <v>4</v>
      </c>
      <c r="E11" s="472"/>
      <c r="F11" s="473">
        <v>3642.5675000000001</v>
      </c>
      <c r="G11" s="474">
        <f t="shared" ref="G11" si="0">+E11*D11</f>
        <v>0</v>
      </c>
      <c r="H11" s="475">
        <f t="shared" ref="H11" si="1">+F11*D11</f>
        <v>14570.27</v>
      </c>
      <c r="I11" s="474">
        <f t="shared" ref="I11" si="2">+G11+(H11*$I$3)</f>
        <v>48810.404500000004</v>
      </c>
    </row>
    <row r="12" spans="1:9">
      <c r="A12" s="442">
        <v>1</v>
      </c>
      <c r="B12" s="462" t="s">
        <v>1878</v>
      </c>
      <c r="C12" s="463"/>
      <c r="D12" s="464"/>
      <c r="E12" s="465"/>
      <c r="F12" s="466"/>
      <c r="G12" s="465"/>
      <c r="H12" s="466"/>
      <c r="I12" s="467"/>
    </row>
    <row r="13" spans="1:9" s="139" customFormat="1" ht="22.5">
      <c r="A13" s="468">
        <v>0.01</v>
      </c>
      <c r="B13" s="469" t="s">
        <v>2713</v>
      </c>
      <c r="C13" s="470" t="s">
        <v>1877</v>
      </c>
      <c r="D13" s="611">
        <v>4</v>
      </c>
      <c r="E13" s="472"/>
      <c r="F13" s="473">
        <v>4626.6149999999998</v>
      </c>
      <c r="G13" s="474">
        <f t="shared" ref="G13" si="3">+E13*D13</f>
        <v>0</v>
      </c>
      <c r="H13" s="475">
        <f t="shared" ref="H13" si="4">+F13*D13</f>
        <v>18506.46</v>
      </c>
      <c r="I13" s="474">
        <f t="shared" ref="I13" si="5">+G13+(H13*$I$3)</f>
        <v>61996.640999999996</v>
      </c>
    </row>
    <row r="14" spans="1:9">
      <c r="A14" s="442">
        <v>1</v>
      </c>
      <c r="B14" s="462" t="s">
        <v>1879</v>
      </c>
      <c r="C14" s="463"/>
      <c r="D14" s="464"/>
      <c r="E14" s="465"/>
      <c r="F14" s="466"/>
      <c r="G14" s="465"/>
      <c r="H14" s="466"/>
      <c r="I14" s="467"/>
    </row>
    <row r="15" spans="1:9" s="139" customFormat="1" ht="22.5">
      <c r="A15" s="468">
        <v>0.01</v>
      </c>
      <c r="B15" s="469" t="s">
        <v>2714</v>
      </c>
      <c r="C15" s="470" t="s">
        <v>1877</v>
      </c>
      <c r="D15" s="471">
        <v>2</v>
      </c>
      <c r="E15" s="472"/>
      <c r="F15" s="473">
        <v>1614.2550000000001</v>
      </c>
      <c r="G15" s="474">
        <f t="shared" ref="G15:G16" si="6">+E15*D15</f>
        <v>0</v>
      </c>
      <c r="H15" s="475">
        <f t="shared" ref="H15:H16" si="7">+F15*D15</f>
        <v>3228.51</v>
      </c>
      <c r="I15" s="474">
        <f t="shared" ref="I15:I16" si="8">+G15+(H15*$I$3)</f>
        <v>10815.508500000002</v>
      </c>
    </row>
    <row r="16" spans="1:9">
      <c r="A16" s="442">
        <v>1</v>
      </c>
      <c r="B16" s="462" t="s">
        <v>2715</v>
      </c>
      <c r="C16" s="470" t="s">
        <v>130</v>
      </c>
      <c r="D16" s="471">
        <v>1</v>
      </c>
      <c r="E16" s="472"/>
      <c r="F16" s="473">
        <v>14148.04</v>
      </c>
      <c r="G16" s="474">
        <f t="shared" si="6"/>
        <v>0</v>
      </c>
      <c r="H16" s="475">
        <f t="shared" si="7"/>
        <v>14148.04</v>
      </c>
      <c r="I16" s="474">
        <f t="shared" si="8"/>
        <v>47395.934000000001</v>
      </c>
    </row>
    <row r="17" spans="1:9">
      <c r="A17" s="436" t="s">
        <v>1834</v>
      </c>
      <c r="B17" s="451" t="s">
        <v>2716</v>
      </c>
      <c r="C17" s="438"/>
      <c r="D17" s="461"/>
      <c r="E17" s="440"/>
      <c r="F17" s="441"/>
      <c r="G17" s="440"/>
      <c r="H17" s="441"/>
      <c r="I17" s="441">
        <f>SUM(H18)</f>
        <v>66343.8</v>
      </c>
    </row>
    <row r="18" spans="1:9" ht="22.5">
      <c r="A18" s="445" t="s">
        <v>1880</v>
      </c>
      <c r="B18" s="476" t="s">
        <v>2717</v>
      </c>
      <c r="C18" s="455" t="s">
        <v>130</v>
      </c>
      <c r="D18" s="782">
        <v>1</v>
      </c>
      <c r="E18" s="784"/>
      <c r="F18" s="786">
        <v>66343.8</v>
      </c>
      <c r="G18" s="786">
        <f t="shared" ref="G18" si="9">+E18*D18</f>
        <v>0</v>
      </c>
      <c r="H18" s="786">
        <f>+F18*D18</f>
        <v>66343.8</v>
      </c>
      <c r="I18" s="779">
        <f t="shared" ref="I18" si="10">+G18+(H18*$I$3)</f>
        <v>222251.73</v>
      </c>
    </row>
    <row r="19" spans="1:9" ht="33.75">
      <c r="A19" s="445"/>
      <c r="B19" s="477" t="s">
        <v>1881</v>
      </c>
      <c r="C19" s="455" t="s">
        <v>130</v>
      </c>
      <c r="D19" s="783"/>
      <c r="E19" s="785"/>
      <c r="F19" s="787"/>
      <c r="G19" s="787"/>
      <c r="H19" s="787"/>
      <c r="I19" s="780"/>
    </row>
    <row r="20" spans="1:9">
      <c r="A20" s="436" t="s">
        <v>1834</v>
      </c>
      <c r="B20" s="451" t="s">
        <v>1882</v>
      </c>
      <c r="C20" s="438"/>
      <c r="D20" s="461"/>
      <c r="E20" s="440"/>
      <c r="F20" s="441"/>
      <c r="G20" s="440"/>
      <c r="H20" s="441"/>
      <c r="I20" s="441">
        <f>SUM(H22)</f>
        <v>481507.87</v>
      </c>
    </row>
    <row r="21" spans="1:9">
      <c r="A21" s="445"/>
      <c r="B21" s="478" t="s">
        <v>1883</v>
      </c>
      <c r="C21" s="455"/>
      <c r="D21" s="479"/>
      <c r="E21" s="480"/>
      <c r="F21" s="481"/>
      <c r="G21" s="447"/>
      <c r="H21" s="448"/>
      <c r="I21" s="447"/>
    </row>
    <row r="22" spans="1:9" ht="56.25">
      <c r="A22" s="445"/>
      <c r="B22" s="477" t="s">
        <v>1884</v>
      </c>
      <c r="C22" s="455" t="s">
        <v>130</v>
      </c>
      <c r="D22" s="482">
        <v>1</v>
      </c>
      <c r="E22" s="483"/>
      <c r="F22" s="484">
        <v>481507.87</v>
      </c>
      <c r="G22" s="458">
        <f t="shared" ref="G22" si="11">+E22*D22</f>
        <v>0</v>
      </c>
      <c r="H22" s="459">
        <f>+F22*D22</f>
        <v>481507.87</v>
      </c>
      <c r="I22" s="458">
        <f t="shared" ref="I22" si="12">+G22+(H22*$I$3)</f>
        <v>1613051.3645000001</v>
      </c>
    </row>
    <row r="27" spans="1:9">
      <c r="H27" s="138"/>
    </row>
  </sheetData>
  <mergeCells count="7">
    <mergeCell ref="I18:I19"/>
    <mergeCell ref="A2:H2"/>
    <mergeCell ref="D18:D19"/>
    <mergeCell ref="E18:E19"/>
    <mergeCell ref="F18:F19"/>
    <mergeCell ref="G18:G19"/>
    <mergeCell ref="H18:H1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B1283-BEDE-45E1-8EF3-038401615058}">
  <dimension ref="A1:M98"/>
  <sheetViews>
    <sheetView topLeftCell="A45" workbookViewId="0">
      <selection activeCell="E72" sqref="E72"/>
    </sheetView>
  </sheetViews>
  <sheetFormatPr defaultColWidth="11.42578125" defaultRowHeight="15"/>
  <cols>
    <col min="2" max="2" width="54.85546875" customWidth="1"/>
    <col min="3" max="3" width="5.7109375" style="490" customWidth="1"/>
    <col min="4" max="4" width="9.5703125" customWidth="1"/>
    <col min="5" max="5" width="12.42578125" bestFit="1" customWidth="1"/>
    <col min="9" max="9" width="11.7109375" bestFit="1" customWidth="1"/>
    <col min="11" max="11" width="42.85546875" customWidth="1"/>
    <col min="13" max="13" width="12.85546875" bestFit="1" customWidth="1"/>
  </cols>
  <sheetData>
    <row r="1" spans="1:13">
      <c r="A1" s="32"/>
      <c r="B1" s="416"/>
      <c r="C1" s="15"/>
      <c r="D1" s="14"/>
      <c r="E1" s="417"/>
      <c r="F1" s="419"/>
      <c r="G1" s="417"/>
      <c r="H1" s="419"/>
      <c r="I1" s="138"/>
    </row>
    <row r="2" spans="1:13">
      <c r="A2" s="781" t="s">
        <v>1681</v>
      </c>
      <c r="B2" s="781"/>
      <c r="C2" s="781"/>
      <c r="D2" s="781"/>
      <c r="E2" s="781"/>
      <c r="F2" s="781"/>
      <c r="G2" s="781"/>
      <c r="H2" s="781"/>
      <c r="I2" s="138"/>
    </row>
    <row r="3" spans="1:13">
      <c r="A3" s="32"/>
      <c r="B3" s="416"/>
      <c r="C3" s="15"/>
      <c r="D3" s="14"/>
      <c r="E3" s="417"/>
      <c r="F3" s="419"/>
      <c r="G3" s="417"/>
      <c r="H3" s="420" t="s">
        <v>1826</v>
      </c>
      <c r="I3" s="421">
        <v>3.35</v>
      </c>
    </row>
    <row r="4" spans="1:13">
      <c r="A4" s="110" t="s">
        <v>7</v>
      </c>
      <c r="B4" s="422" t="s">
        <v>5</v>
      </c>
      <c r="C4" s="14"/>
      <c r="D4" s="423"/>
      <c r="E4" s="423"/>
      <c r="F4" s="423"/>
      <c r="G4" s="423"/>
      <c r="H4" s="419"/>
      <c r="I4" s="138"/>
    </row>
    <row r="5" spans="1:13">
      <c r="A5" s="110" t="s">
        <v>67</v>
      </c>
      <c r="B5" s="422" t="s">
        <v>1827</v>
      </c>
      <c r="C5" s="14"/>
      <c r="D5" s="423"/>
      <c r="E5" s="423"/>
      <c r="F5" s="423"/>
      <c r="G5" s="423"/>
      <c r="H5" s="419"/>
      <c r="I5" s="138"/>
    </row>
    <row r="6" spans="1:13">
      <c r="A6" s="110" t="s">
        <v>10</v>
      </c>
      <c r="B6" s="422" t="s">
        <v>1828</v>
      </c>
      <c r="C6" s="14"/>
      <c r="D6" s="424"/>
      <c r="E6" s="424"/>
      <c r="F6" s="425" t="s">
        <v>1829</v>
      </c>
      <c r="G6" s="591">
        <v>46133</v>
      </c>
      <c r="H6" s="427"/>
      <c r="I6" s="138"/>
    </row>
    <row r="7" spans="1:13" ht="15.75" thickBot="1">
      <c r="A7" s="110" t="s">
        <v>12</v>
      </c>
      <c r="B7" s="422"/>
      <c r="C7" s="15"/>
      <c r="D7" s="14"/>
      <c r="E7" s="417"/>
      <c r="F7" s="419"/>
      <c r="G7" s="417"/>
      <c r="H7" s="419"/>
      <c r="I7" s="138"/>
      <c r="K7" s="200"/>
      <c r="M7" s="200"/>
    </row>
    <row r="8" spans="1:13" ht="23.25" thickTop="1">
      <c r="A8" s="428" t="s">
        <v>20</v>
      </c>
      <c r="B8" s="429" t="s">
        <v>69</v>
      </c>
      <c r="C8" s="430" t="s">
        <v>70</v>
      </c>
      <c r="D8" s="431" t="s">
        <v>885</v>
      </c>
      <c r="E8" s="432" t="s">
        <v>1830</v>
      </c>
      <c r="F8" s="434" t="s">
        <v>1831</v>
      </c>
      <c r="G8" s="432" t="s">
        <v>1832</v>
      </c>
      <c r="H8" s="434" t="s">
        <v>1833</v>
      </c>
      <c r="I8" s="435" t="s">
        <v>54</v>
      </c>
    </row>
    <row r="9" spans="1:13">
      <c r="A9" s="436" t="s">
        <v>1834</v>
      </c>
      <c r="B9" s="437" t="s">
        <v>1835</v>
      </c>
      <c r="C9" s="438"/>
      <c r="D9" s="440"/>
      <c r="E9" s="440"/>
      <c r="F9" s="441"/>
      <c r="G9" s="440"/>
      <c r="H9" s="441"/>
      <c r="I9" s="440">
        <f>SUM(I11:I42)</f>
        <v>90543.89</v>
      </c>
    </row>
    <row r="10" spans="1:13">
      <c r="A10" s="445"/>
      <c r="B10" s="486" t="s">
        <v>1836</v>
      </c>
      <c r="C10" s="455"/>
      <c r="D10" s="446"/>
      <c r="E10" s="480"/>
      <c r="F10" s="481"/>
      <c r="G10" s="447"/>
      <c r="H10" s="448"/>
      <c r="I10" s="447"/>
    </row>
    <row r="11" spans="1:13">
      <c r="A11" s="445" t="s">
        <v>1837</v>
      </c>
      <c r="B11" s="476" t="s">
        <v>2718</v>
      </c>
      <c r="C11" s="455" t="s">
        <v>121</v>
      </c>
      <c r="D11" s="446">
        <v>1</v>
      </c>
      <c r="E11" s="480">
        <v>107.1</v>
      </c>
      <c r="F11" s="481"/>
      <c r="G11" s="447">
        <f t="shared" ref="G11:G42" si="0">+E11*D11</f>
        <v>107.1</v>
      </c>
      <c r="H11" s="448">
        <f t="shared" ref="H11:H42" si="1">+F11*D11</f>
        <v>0</v>
      </c>
      <c r="I11" s="447">
        <f t="shared" ref="I11:I42" si="2">+G11+(H11*$I$3)</f>
        <v>107.1</v>
      </c>
    </row>
    <row r="12" spans="1:13">
      <c r="A12" s="445" t="s">
        <v>1838</v>
      </c>
      <c r="B12" s="477" t="s">
        <v>2719</v>
      </c>
      <c r="C12" s="455" t="s">
        <v>121</v>
      </c>
      <c r="D12" s="446">
        <v>1</v>
      </c>
      <c r="E12" s="480">
        <v>327.59999999999997</v>
      </c>
      <c r="F12" s="481"/>
      <c r="G12" s="447">
        <f t="shared" si="0"/>
        <v>327.59999999999997</v>
      </c>
      <c r="H12" s="448">
        <f t="shared" si="1"/>
        <v>0</v>
      </c>
      <c r="I12" s="447">
        <f t="shared" si="2"/>
        <v>327.59999999999997</v>
      </c>
    </row>
    <row r="13" spans="1:13">
      <c r="A13" s="445" t="s">
        <v>1839</v>
      </c>
      <c r="B13" s="477" t="s">
        <v>2720</v>
      </c>
      <c r="C13" s="455" t="s">
        <v>121</v>
      </c>
      <c r="D13" s="446">
        <v>1</v>
      </c>
      <c r="E13" s="480">
        <v>735</v>
      </c>
      <c r="F13" s="481"/>
      <c r="G13" s="447">
        <f t="shared" si="0"/>
        <v>735</v>
      </c>
      <c r="H13" s="448">
        <f t="shared" si="1"/>
        <v>0</v>
      </c>
      <c r="I13" s="447">
        <f t="shared" si="2"/>
        <v>735</v>
      </c>
      <c r="K13" s="612"/>
    </row>
    <row r="14" spans="1:13">
      <c r="A14" s="445" t="s">
        <v>1840</v>
      </c>
      <c r="B14" s="477" t="s">
        <v>2721</v>
      </c>
      <c r="C14" s="455" t="s">
        <v>121</v>
      </c>
      <c r="D14" s="446">
        <v>1</v>
      </c>
      <c r="E14" s="480">
        <v>500.49999999999994</v>
      </c>
      <c r="F14" s="481"/>
      <c r="G14" s="447">
        <f t="shared" si="0"/>
        <v>500.49999999999994</v>
      </c>
      <c r="H14" s="448">
        <f t="shared" si="1"/>
        <v>0</v>
      </c>
      <c r="I14" s="447">
        <f t="shared" si="2"/>
        <v>500.49999999999994</v>
      </c>
    </row>
    <row r="15" spans="1:13">
      <c r="A15" s="445" t="s">
        <v>1841</v>
      </c>
      <c r="B15" s="445" t="s">
        <v>2722</v>
      </c>
      <c r="C15" s="455" t="s">
        <v>121</v>
      </c>
      <c r="D15" s="446">
        <v>1</v>
      </c>
      <c r="E15" s="480">
        <v>443.79999999999995</v>
      </c>
      <c r="F15" s="481"/>
      <c r="G15" s="447">
        <f t="shared" si="0"/>
        <v>443.79999999999995</v>
      </c>
      <c r="H15" s="448">
        <f t="shared" si="1"/>
        <v>0</v>
      </c>
      <c r="I15" s="447">
        <f t="shared" si="2"/>
        <v>443.79999999999995</v>
      </c>
      <c r="L15" s="487"/>
    </row>
    <row r="16" spans="1:13">
      <c r="A16" s="445" t="s">
        <v>1842</v>
      </c>
      <c r="B16" s="445" t="s">
        <v>2723</v>
      </c>
      <c r="C16" s="455" t="s">
        <v>121</v>
      </c>
      <c r="D16" s="446">
        <v>1</v>
      </c>
      <c r="E16" s="480">
        <v>98</v>
      </c>
      <c r="F16" s="481"/>
      <c r="G16" s="447">
        <f t="shared" si="0"/>
        <v>98</v>
      </c>
      <c r="H16" s="448">
        <f t="shared" si="1"/>
        <v>0</v>
      </c>
      <c r="I16" s="447">
        <f t="shared" si="2"/>
        <v>98</v>
      </c>
    </row>
    <row r="17" spans="1:11">
      <c r="A17" s="445" t="s">
        <v>1843</v>
      </c>
      <c r="B17" s="445" t="s">
        <v>2724</v>
      </c>
      <c r="C17" s="455" t="s">
        <v>121</v>
      </c>
      <c r="D17" s="446">
        <v>1</v>
      </c>
      <c r="E17" s="480">
        <v>90.3</v>
      </c>
      <c r="F17" s="481"/>
      <c r="G17" s="447">
        <f t="shared" si="0"/>
        <v>90.3</v>
      </c>
      <c r="H17" s="448">
        <f t="shared" si="1"/>
        <v>0</v>
      </c>
      <c r="I17" s="447">
        <f t="shared" si="2"/>
        <v>90.3</v>
      </c>
      <c r="K17" s="487"/>
    </row>
    <row r="18" spans="1:11">
      <c r="A18" s="445" t="s">
        <v>1844</v>
      </c>
      <c r="B18" s="445" t="s">
        <v>2725</v>
      </c>
      <c r="C18" s="455" t="s">
        <v>121</v>
      </c>
      <c r="D18" s="446">
        <v>1</v>
      </c>
      <c r="E18" s="480">
        <v>282.09999999999997</v>
      </c>
      <c r="F18" s="481"/>
      <c r="G18" s="447">
        <f t="shared" si="0"/>
        <v>282.09999999999997</v>
      </c>
      <c r="H18" s="448">
        <f t="shared" si="1"/>
        <v>0</v>
      </c>
      <c r="I18" s="447">
        <f t="shared" si="2"/>
        <v>282.09999999999997</v>
      </c>
      <c r="K18" s="487"/>
    </row>
    <row r="19" spans="1:11">
      <c r="A19" s="445" t="s">
        <v>1880</v>
      </c>
      <c r="B19" s="486" t="s">
        <v>2726</v>
      </c>
      <c r="C19" s="455"/>
      <c r="D19" s="446"/>
      <c r="E19" s="480"/>
      <c r="F19" s="481"/>
      <c r="G19" s="447"/>
      <c r="H19" s="448"/>
      <c r="I19" s="447"/>
      <c r="K19" s="487"/>
    </row>
    <row r="20" spans="1:11">
      <c r="A20" s="445" t="s">
        <v>1964</v>
      </c>
      <c r="B20" s="445" t="s">
        <v>2727</v>
      </c>
      <c r="C20" s="455" t="s">
        <v>121</v>
      </c>
      <c r="D20" s="446">
        <v>4</v>
      </c>
      <c r="E20" s="480">
        <v>423.5</v>
      </c>
      <c r="F20" s="481"/>
      <c r="G20" s="447">
        <f t="shared" si="0"/>
        <v>1694</v>
      </c>
      <c r="H20" s="448">
        <f t="shared" si="1"/>
        <v>0</v>
      </c>
      <c r="I20" s="447">
        <f t="shared" si="2"/>
        <v>1694</v>
      </c>
      <c r="K20" s="487"/>
    </row>
    <row r="21" spans="1:11">
      <c r="A21" s="445" t="s">
        <v>2728</v>
      </c>
      <c r="B21" s="445" t="s">
        <v>2729</v>
      </c>
      <c r="C21" s="455" t="s">
        <v>121</v>
      </c>
      <c r="D21" s="446">
        <v>3</v>
      </c>
      <c r="E21" s="480">
        <v>1092</v>
      </c>
      <c r="F21" s="481"/>
      <c r="G21" s="447">
        <f t="shared" si="0"/>
        <v>3276</v>
      </c>
      <c r="H21" s="448">
        <f t="shared" si="1"/>
        <v>0</v>
      </c>
      <c r="I21" s="447">
        <f t="shared" si="2"/>
        <v>3276</v>
      </c>
      <c r="K21" s="487"/>
    </row>
    <row r="22" spans="1:11">
      <c r="A22" s="445" t="s">
        <v>2730</v>
      </c>
      <c r="B22" s="445" t="s">
        <v>2731</v>
      </c>
      <c r="C22" s="455" t="s">
        <v>121</v>
      </c>
      <c r="D22" s="446">
        <v>10</v>
      </c>
      <c r="E22" s="480">
        <v>33.32</v>
      </c>
      <c r="F22" s="481"/>
      <c r="G22" s="447">
        <f t="shared" si="0"/>
        <v>333.2</v>
      </c>
      <c r="H22" s="448">
        <f t="shared" si="1"/>
        <v>0</v>
      </c>
      <c r="I22" s="447">
        <f t="shared" si="2"/>
        <v>333.2</v>
      </c>
      <c r="K22" s="487"/>
    </row>
    <row r="23" spans="1:11">
      <c r="A23" s="445" t="s">
        <v>2732</v>
      </c>
      <c r="B23" s="445" t="s">
        <v>2733</v>
      </c>
      <c r="C23" s="455" t="s">
        <v>121</v>
      </c>
      <c r="D23" s="446">
        <v>10</v>
      </c>
      <c r="E23" s="480">
        <v>33.32</v>
      </c>
      <c r="F23" s="481"/>
      <c r="G23" s="447">
        <f t="shared" si="0"/>
        <v>333.2</v>
      </c>
      <c r="H23" s="448">
        <f t="shared" si="1"/>
        <v>0</v>
      </c>
      <c r="I23" s="447">
        <f t="shared" si="2"/>
        <v>333.2</v>
      </c>
      <c r="K23" s="487"/>
    </row>
    <row r="24" spans="1:11">
      <c r="A24" s="445" t="s">
        <v>2734</v>
      </c>
      <c r="B24" s="445" t="s">
        <v>2735</v>
      </c>
      <c r="C24" s="455" t="s">
        <v>121</v>
      </c>
      <c r="D24" s="446">
        <v>10</v>
      </c>
      <c r="E24" s="480">
        <v>33.32</v>
      </c>
      <c r="F24" s="481"/>
      <c r="G24" s="447">
        <f t="shared" si="0"/>
        <v>333.2</v>
      </c>
      <c r="H24" s="448">
        <f t="shared" si="1"/>
        <v>0</v>
      </c>
      <c r="I24" s="447">
        <f t="shared" si="2"/>
        <v>333.2</v>
      </c>
      <c r="K24" s="487"/>
    </row>
    <row r="25" spans="1:11">
      <c r="A25" s="445" t="s">
        <v>2736</v>
      </c>
      <c r="B25" s="445" t="s">
        <v>2737</v>
      </c>
      <c r="C25" s="455" t="s">
        <v>121</v>
      </c>
      <c r="D25" s="446">
        <v>10</v>
      </c>
      <c r="E25" s="480">
        <v>33.32</v>
      </c>
      <c r="F25" s="481"/>
      <c r="G25" s="447">
        <f t="shared" si="0"/>
        <v>333.2</v>
      </c>
      <c r="H25" s="448">
        <f t="shared" si="1"/>
        <v>0</v>
      </c>
      <c r="I25" s="447">
        <f t="shared" si="2"/>
        <v>333.2</v>
      </c>
      <c r="K25" s="487"/>
    </row>
    <row r="26" spans="1:11">
      <c r="A26" s="445" t="s">
        <v>2738</v>
      </c>
      <c r="B26" s="445" t="s">
        <v>2739</v>
      </c>
      <c r="C26" s="455" t="s">
        <v>121</v>
      </c>
      <c r="D26" s="446">
        <v>10</v>
      </c>
      <c r="E26" s="480">
        <v>33.32</v>
      </c>
      <c r="F26" s="481"/>
      <c r="G26" s="447">
        <f t="shared" si="0"/>
        <v>333.2</v>
      </c>
      <c r="H26" s="448">
        <f t="shared" si="1"/>
        <v>0</v>
      </c>
      <c r="I26" s="447">
        <f t="shared" si="2"/>
        <v>333.2</v>
      </c>
      <c r="K26" s="487"/>
    </row>
    <row r="27" spans="1:11">
      <c r="A27" s="445" t="s">
        <v>2740</v>
      </c>
      <c r="B27" s="445" t="s">
        <v>2741</v>
      </c>
      <c r="C27" s="455" t="s">
        <v>121</v>
      </c>
      <c r="D27" s="446">
        <v>7</v>
      </c>
      <c r="E27" s="480">
        <v>33.32</v>
      </c>
      <c r="F27" s="481"/>
      <c r="G27" s="447">
        <f t="shared" si="0"/>
        <v>233.24</v>
      </c>
      <c r="H27" s="448">
        <f t="shared" si="1"/>
        <v>0</v>
      </c>
      <c r="I27" s="447">
        <f t="shared" si="2"/>
        <v>233.24</v>
      </c>
      <c r="K27" s="487"/>
    </row>
    <row r="28" spans="1:11">
      <c r="A28" s="445" t="s">
        <v>2742</v>
      </c>
      <c r="B28" s="445" t="s">
        <v>2743</v>
      </c>
      <c r="C28" s="455" t="s">
        <v>121</v>
      </c>
      <c r="D28" s="446">
        <v>7</v>
      </c>
      <c r="E28" s="480">
        <v>33.32</v>
      </c>
      <c r="F28" s="481"/>
      <c r="G28" s="447">
        <f t="shared" si="0"/>
        <v>233.24</v>
      </c>
      <c r="H28" s="448">
        <f t="shared" si="1"/>
        <v>0</v>
      </c>
      <c r="I28" s="447">
        <f t="shared" si="2"/>
        <v>233.24</v>
      </c>
      <c r="K28" s="487"/>
    </row>
    <row r="29" spans="1:11">
      <c r="A29" s="445" t="s">
        <v>2744</v>
      </c>
      <c r="B29" s="445" t="s">
        <v>2745</v>
      </c>
      <c r="C29" s="455" t="s">
        <v>121</v>
      </c>
      <c r="D29" s="446">
        <v>7</v>
      </c>
      <c r="E29" s="480">
        <v>33.32</v>
      </c>
      <c r="F29" s="481"/>
      <c r="G29" s="447">
        <f t="shared" si="0"/>
        <v>233.24</v>
      </c>
      <c r="H29" s="448">
        <f t="shared" si="1"/>
        <v>0</v>
      </c>
      <c r="I29" s="447">
        <f t="shared" si="2"/>
        <v>233.24</v>
      </c>
      <c r="K29" s="487"/>
    </row>
    <row r="30" spans="1:11">
      <c r="A30" s="445" t="s">
        <v>2746</v>
      </c>
      <c r="B30" s="445" t="s">
        <v>2747</v>
      </c>
      <c r="C30" s="455" t="s">
        <v>121</v>
      </c>
      <c r="D30" s="446">
        <v>37</v>
      </c>
      <c r="E30" s="480">
        <v>33.32</v>
      </c>
      <c r="F30" s="481"/>
      <c r="G30" s="447">
        <f t="shared" si="0"/>
        <v>1232.8399999999999</v>
      </c>
      <c r="H30" s="448">
        <f t="shared" si="1"/>
        <v>0</v>
      </c>
      <c r="I30" s="447">
        <f t="shared" si="2"/>
        <v>1232.8399999999999</v>
      </c>
      <c r="K30" s="487"/>
    </row>
    <row r="31" spans="1:11">
      <c r="A31" s="445" t="s">
        <v>2748</v>
      </c>
      <c r="B31" s="486" t="s">
        <v>2726</v>
      </c>
      <c r="C31" s="455"/>
      <c r="D31" s="446"/>
      <c r="E31" s="480"/>
      <c r="F31" s="481"/>
      <c r="G31" s="447"/>
      <c r="H31" s="448"/>
      <c r="I31" s="447"/>
      <c r="K31" s="487"/>
    </row>
    <row r="32" spans="1:11">
      <c r="A32" s="445" t="s">
        <v>2749</v>
      </c>
      <c r="B32" s="445" t="s">
        <v>2750</v>
      </c>
      <c r="C32" s="455" t="s">
        <v>121</v>
      </c>
      <c r="D32" s="446">
        <v>1</v>
      </c>
      <c r="E32" s="480">
        <v>3360</v>
      </c>
      <c r="F32" s="481"/>
      <c r="G32" s="447">
        <f t="shared" si="0"/>
        <v>3360</v>
      </c>
      <c r="H32" s="448">
        <f t="shared" si="1"/>
        <v>0</v>
      </c>
      <c r="I32" s="447">
        <f t="shared" si="2"/>
        <v>3360</v>
      </c>
      <c r="K32" s="487"/>
    </row>
    <row r="33" spans="1:13">
      <c r="A33" s="445" t="s">
        <v>2751</v>
      </c>
      <c r="B33" s="445" t="s">
        <v>2752</v>
      </c>
      <c r="C33" s="455" t="s">
        <v>121</v>
      </c>
      <c r="D33" s="446">
        <v>1</v>
      </c>
      <c r="E33" s="480">
        <v>454.29999999999995</v>
      </c>
      <c r="F33" s="481"/>
      <c r="G33" s="447">
        <f t="shared" si="0"/>
        <v>454.29999999999995</v>
      </c>
      <c r="H33" s="448">
        <f t="shared" si="1"/>
        <v>0</v>
      </c>
      <c r="I33" s="447">
        <f t="shared" si="2"/>
        <v>454.29999999999995</v>
      </c>
      <c r="K33" s="487"/>
    </row>
    <row r="34" spans="1:13">
      <c r="A34" s="445" t="s">
        <v>2753</v>
      </c>
      <c r="B34" s="445" t="s">
        <v>2754</v>
      </c>
      <c r="C34" s="455" t="s">
        <v>121</v>
      </c>
      <c r="D34" s="446">
        <v>1</v>
      </c>
      <c r="E34" s="480">
        <v>61.949999999999996</v>
      </c>
      <c r="F34" s="481"/>
      <c r="G34" s="447">
        <f t="shared" si="0"/>
        <v>61.949999999999996</v>
      </c>
      <c r="H34" s="448">
        <f t="shared" si="1"/>
        <v>0</v>
      </c>
      <c r="I34" s="447">
        <f t="shared" si="2"/>
        <v>61.949999999999996</v>
      </c>
      <c r="K34" s="487"/>
    </row>
    <row r="35" spans="1:13">
      <c r="A35" s="445" t="s">
        <v>2755</v>
      </c>
      <c r="B35" s="445" t="s">
        <v>2756</v>
      </c>
      <c r="C35" s="455" t="s">
        <v>121</v>
      </c>
      <c r="D35" s="446">
        <v>1</v>
      </c>
      <c r="E35" s="480">
        <v>19.669999999999998</v>
      </c>
      <c r="F35" s="481"/>
      <c r="G35" s="447">
        <f t="shared" si="0"/>
        <v>19.669999999999998</v>
      </c>
      <c r="H35" s="448">
        <f t="shared" si="1"/>
        <v>0</v>
      </c>
      <c r="I35" s="447">
        <f t="shared" si="2"/>
        <v>19.669999999999998</v>
      </c>
      <c r="K35" s="487"/>
    </row>
    <row r="36" spans="1:13">
      <c r="A36" s="445" t="s">
        <v>2757</v>
      </c>
      <c r="B36" s="445" t="s">
        <v>2758</v>
      </c>
      <c r="C36" s="455" t="s">
        <v>121</v>
      </c>
      <c r="D36" s="446">
        <v>2</v>
      </c>
      <c r="E36" s="480">
        <v>3.0589999999999997</v>
      </c>
      <c r="F36" s="481"/>
      <c r="G36" s="447">
        <f t="shared" si="0"/>
        <v>6.1179999999999994</v>
      </c>
      <c r="H36" s="448">
        <f t="shared" si="1"/>
        <v>0</v>
      </c>
      <c r="I36" s="447">
        <f t="shared" si="2"/>
        <v>6.1179999999999994</v>
      </c>
      <c r="K36" s="487"/>
    </row>
    <row r="37" spans="1:13">
      <c r="A37" s="445" t="s">
        <v>2759</v>
      </c>
      <c r="B37" s="445" t="s">
        <v>2760</v>
      </c>
      <c r="C37" s="455" t="s">
        <v>121</v>
      </c>
      <c r="D37" s="446">
        <v>1</v>
      </c>
      <c r="E37" s="480">
        <v>4.6689999999999996</v>
      </c>
      <c r="F37" s="481"/>
      <c r="G37" s="447">
        <f t="shared" si="0"/>
        <v>4.6689999999999996</v>
      </c>
      <c r="H37" s="448">
        <f t="shared" si="1"/>
        <v>0</v>
      </c>
      <c r="I37" s="447">
        <f t="shared" si="2"/>
        <v>4.6689999999999996</v>
      </c>
      <c r="K37" s="487"/>
    </row>
    <row r="38" spans="1:13">
      <c r="A38" s="445" t="s">
        <v>2761</v>
      </c>
      <c r="B38" s="445" t="s">
        <v>2762</v>
      </c>
      <c r="C38" s="455" t="s">
        <v>121</v>
      </c>
      <c r="D38" s="446">
        <v>1</v>
      </c>
      <c r="E38" s="480">
        <v>58.239999999999995</v>
      </c>
      <c r="F38" s="481"/>
      <c r="G38" s="447">
        <f t="shared" si="0"/>
        <v>58.239999999999995</v>
      </c>
      <c r="H38" s="448">
        <f t="shared" si="1"/>
        <v>0</v>
      </c>
      <c r="I38" s="447">
        <f t="shared" si="2"/>
        <v>58.239999999999995</v>
      </c>
      <c r="K38" s="487"/>
    </row>
    <row r="39" spans="1:13">
      <c r="A39" s="486" t="s">
        <v>2763</v>
      </c>
      <c r="B39" s="486" t="s">
        <v>2764</v>
      </c>
      <c r="C39" s="455"/>
      <c r="D39" s="446"/>
      <c r="E39" s="480"/>
      <c r="F39" s="481"/>
      <c r="G39" s="447"/>
      <c r="H39" s="448"/>
      <c r="I39" s="447"/>
      <c r="K39" s="487"/>
    </row>
    <row r="40" spans="1:13">
      <c r="A40" s="486" t="s">
        <v>2765</v>
      </c>
      <c r="B40" s="486" t="s">
        <v>2766</v>
      </c>
      <c r="C40" s="455"/>
      <c r="D40" s="446"/>
      <c r="E40" s="480"/>
      <c r="F40" s="481"/>
      <c r="G40" s="447"/>
      <c r="H40" s="448"/>
      <c r="I40" s="447"/>
      <c r="K40" s="487"/>
    </row>
    <row r="41" spans="1:13">
      <c r="A41" s="445" t="s">
        <v>2767</v>
      </c>
      <c r="B41" s="445" t="s">
        <v>2768</v>
      </c>
      <c r="C41" s="455" t="s">
        <v>121</v>
      </c>
      <c r="D41" s="446">
        <v>354</v>
      </c>
      <c r="E41" s="480">
        <v>135.79999999999998</v>
      </c>
      <c r="F41" s="481"/>
      <c r="G41" s="447">
        <f t="shared" si="0"/>
        <v>48073.2</v>
      </c>
      <c r="H41" s="448">
        <f t="shared" si="1"/>
        <v>0</v>
      </c>
      <c r="I41" s="447">
        <f t="shared" si="2"/>
        <v>48073.2</v>
      </c>
      <c r="K41" s="487"/>
    </row>
    <row r="42" spans="1:13" ht="22.5">
      <c r="A42" s="445" t="s">
        <v>2769</v>
      </c>
      <c r="B42" s="476" t="s">
        <v>1845</v>
      </c>
      <c r="C42" s="455" t="s">
        <v>130</v>
      </c>
      <c r="D42" s="446">
        <v>1</v>
      </c>
      <c r="E42" s="480">
        <v>27352.782999999999</v>
      </c>
      <c r="F42" s="481"/>
      <c r="G42" s="447">
        <f t="shared" si="0"/>
        <v>27352.782999999999</v>
      </c>
      <c r="H42" s="448">
        <f t="shared" si="1"/>
        <v>0</v>
      </c>
      <c r="I42" s="447">
        <f t="shared" si="2"/>
        <v>27352.782999999999</v>
      </c>
      <c r="K42" s="613"/>
    </row>
    <row r="43" spans="1:13">
      <c r="A43" s="436" t="s">
        <v>1846</v>
      </c>
      <c r="B43" s="437" t="s">
        <v>1847</v>
      </c>
      <c r="C43" s="438"/>
      <c r="D43" s="440"/>
      <c r="E43" s="440"/>
      <c r="F43" s="441"/>
      <c r="G43" s="440"/>
      <c r="H43" s="441"/>
      <c r="I43" s="441">
        <f>SUM(H44:H68)</f>
        <v>84553.579999999987</v>
      </c>
    </row>
    <row r="44" spans="1:13">
      <c r="A44" s="442"/>
      <c r="B44" s="614" t="s">
        <v>1848</v>
      </c>
      <c r="C44" s="455"/>
      <c r="D44" s="456"/>
      <c r="E44" s="488"/>
      <c r="F44" s="484"/>
      <c r="G44" s="458"/>
      <c r="H44" s="459"/>
      <c r="I44" s="458"/>
    </row>
    <row r="45" spans="1:13" ht="33.75">
      <c r="A45" s="442"/>
      <c r="B45" s="489" t="s">
        <v>1849</v>
      </c>
      <c r="C45" s="455" t="s">
        <v>70</v>
      </c>
      <c r="D45" s="456">
        <v>1</v>
      </c>
      <c r="E45" s="488"/>
      <c r="F45" s="484">
        <v>895</v>
      </c>
      <c r="G45" s="615">
        <f t="shared" ref="G45:G66" si="3">+E45*D45</f>
        <v>0</v>
      </c>
      <c r="H45" s="616">
        <f t="shared" ref="H45:H66" si="4">+F45*D45</f>
        <v>895</v>
      </c>
      <c r="I45" s="615">
        <f t="shared" ref="I45:I66" si="5">+G45+(H45*$I$3)</f>
        <v>2998.25</v>
      </c>
      <c r="K45" s="510"/>
    </row>
    <row r="46" spans="1:13">
      <c r="A46" s="442"/>
      <c r="B46" s="477" t="s">
        <v>2770</v>
      </c>
      <c r="C46" s="455" t="s">
        <v>70</v>
      </c>
      <c r="D46" s="456">
        <v>2</v>
      </c>
      <c r="E46" s="488"/>
      <c r="F46" s="484">
        <v>955</v>
      </c>
      <c r="G46" s="615">
        <f t="shared" si="3"/>
        <v>0</v>
      </c>
      <c r="H46" s="616">
        <f t="shared" si="4"/>
        <v>1910</v>
      </c>
      <c r="I46" s="615">
        <f t="shared" si="5"/>
        <v>6398.5</v>
      </c>
    </row>
    <row r="47" spans="1:13">
      <c r="A47" s="442"/>
      <c r="B47" s="477" t="s">
        <v>1850</v>
      </c>
      <c r="C47" s="455" t="s">
        <v>70</v>
      </c>
      <c r="D47" s="456">
        <v>2</v>
      </c>
      <c r="E47" s="488"/>
      <c r="F47" s="484">
        <v>65</v>
      </c>
      <c r="G47" s="615">
        <f t="shared" si="3"/>
        <v>0</v>
      </c>
      <c r="H47" s="616">
        <f t="shared" si="4"/>
        <v>130</v>
      </c>
      <c r="I47" s="615">
        <f t="shared" si="5"/>
        <v>435.5</v>
      </c>
      <c r="K47" s="511"/>
      <c r="M47" s="152"/>
    </row>
    <row r="48" spans="1:13">
      <c r="A48" s="442"/>
      <c r="B48" s="614" t="s">
        <v>1851</v>
      </c>
      <c r="C48" s="455"/>
      <c r="D48" s="456"/>
      <c r="E48" s="488"/>
      <c r="F48" s="484"/>
      <c r="G48" s="615"/>
      <c r="H48" s="616"/>
      <c r="I48" s="615"/>
      <c r="K48" s="512"/>
    </row>
    <row r="49" spans="1:13" ht="33.75">
      <c r="A49" s="442"/>
      <c r="B49" s="489" t="s">
        <v>1852</v>
      </c>
      <c r="C49" s="455" t="s">
        <v>70</v>
      </c>
      <c r="D49" s="456">
        <v>620</v>
      </c>
      <c r="E49" s="488"/>
      <c r="F49" s="484">
        <v>16</v>
      </c>
      <c r="G49" s="615">
        <f t="shared" si="3"/>
        <v>0</v>
      </c>
      <c r="H49" s="616">
        <f t="shared" si="4"/>
        <v>9920</v>
      </c>
      <c r="I49" s="615">
        <f t="shared" si="5"/>
        <v>33232</v>
      </c>
      <c r="K49" s="513"/>
      <c r="M49" s="152"/>
    </row>
    <row r="50" spans="1:13" ht="33.75">
      <c r="A50" s="442"/>
      <c r="B50" s="489" t="s">
        <v>1853</v>
      </c>
      <c r="C50" s="455" t="s">
        <v>70</v>
      </c>
      <c r="D50" s="456">
        <v>337</v>
      </c>
      <c r="E50" s="488"/>
      <c r="F50" s="484">
        <v>10.5</v>
      </c>
      <c r="G50" s="615">
        <f t="shared" si="3"/>
        <v>0</v>
      </c>
      <c r="H50" s="616">
        <f t="shared" si="4"/>
        <v>3538.5</v>
      </c>
      <c r="I50" s="615">
        <f t="shared" si="5"/>
        <v>11853.975</v>
      </c>
      <c r="K50" s="513"/>
      <c r="M50" s="152"/>
    </row>
    <row r="51" spans="1:13" ht="33.75">
      <c r="A51" s="442"/>
      <c r="B51" s="489" t="s">
        <v>1854</v>
      </c>
      <c r="C51" s="455" t="s">
        <v>70</v>
      </c>
      <c r="D51" s="456">
        <v>4</v>
      </c>
      <c r="E51" s="488"/>
      <c r="F51" s="484">
        <v>18.5</v>
      </c>
      <c r="G51" s="615">
        <f t="shared" si="3"/>
        <v>0</v>
      </c>
      <c r="H51" s="616">
        <f t="shared" si="4"/>
        <v>74</v>
      </c>
      <c r="I51" s="615">
        <f t="shared" si="5"/>
        <v>247.9</v>
      </c>
      <c r="K51" s="513"/>
      <c r="M51" s="152"/>
    </row>
    <row r="52" spans="1:13" ht="33.75">
      <c r="A52" s="442"/>
      <c r="B52" s="489" t="s">
        <v>1855</v>
      </c>
      <c r="C52" s="455" t="s">
        <v>70</v>
      </c>
      <c r="D52" s="456">
        <v>3</v>
      </c>
      <c r="E52" s="488"/>
      <c r="F52" s="484">
        <v>137</v>
      </c>
      <c r="G52" s="615">
        <f t="shared" si="3"/>
        <v>0</v>
      </c>
      <c r="H52" s="616">
        <f t="shared" si="4"/>
        <v>411</v>
      </c>
      <c r="I52" s="615">
        <f t="shared" si="5"/>
        <v>1376.8500000000001</v>
      </c>
      <c r="K52" s="513"/>
      <c r="M52" s="152"/>
    </row>
    <row r="53" spans="1:13" ht="33.75">
      <c r="A53" s="442"/>
      <c r="B53" s="489" t="s">
        <v>1856</v>
      </c>
      <c r="C53" s="455" t="s">
        <v>70</v>
      </c>
      <c r="D53" s="456">
        <v>90</v>
      </c>
      <c r="E53" s="488"/>
      <c r="F53" s="484">
        <v>25.5</v>
      </c>
      <c r="G53" s="615">
        <f t="shared" si="3"/>
        <v>0</v>
      </c>
      <c r="H53" s="616">
        <f t="shared" si="4"/>
        <v>2295</v>
      </c>
      <c r="I53" s="615">
        <f t="shared" si="5"/>
        <v>7688.25</v>
      </c>
      <c r="K53" s="513"/>
      <c r="M53" s="152"/>
    </row>
    <row r="54" spans="1:13">
      <c r="A54" s="442"/>
      <c r="B54" s="489" t="s">
        <v>1857</v>
      </c>
      <c r="C54" s="455" t="s">
        <v>70</v>
      </c>
      <c r="D54" s="456">
        <v>1</v>
      </c>
      <c r="E54" s="488"/>
      <c r="F54" s="484">
        <v>155</v>
      </c>
      <c r="G54" s="615">
        <f t="shared" si="3"/>
        <v>0</v>
      </c>
      <c r="H54" s="616">
        <f t="shared" si="4"/>
        <v>155</v>
      </c>
      <c r="I54" s="615">
        <f t="shared" si="5"/>
        <v>519.25</v>
      </c>
      <c r="K54" s="513"/>
      <c r="M54" s="152"/>
    </row>
    <row r="55" spans="1:13">
      <c r="A55" s="442"/>
      <c r="B55" s="614" t="s">
        <v>1858</v>
      </c>
      <c r="C55" s="455"/>
      <c r="D55" s="456"/>
      <c r="E55" s="488"/>
      <c r="F55" s="484"/>
      <c r="G55" s="615"/>
      <c r="H55" s="616"/>
      <c r="I55" s="615"/>
      <c r="K55" s="513"/>
      <c r="M55" s="152"/>
    </row>
    <row r="56" spans="1:13" ht="33.75">
      <c r="A56" s="442"/>
      <c r="B56" s="489" t="s">
        <v>2771</v>
      </c>
      <c r="C56" s="455" t="s">
        <v>70</v>
      </c>
      <c r="D56" s="456">
        <v>479</v>
      </c>
      <c r="E56" s="488"/>
      <c r="F56" s="484">
        <v>32.5</v>
      </c>
      <c r="G56" s="615">
        <f t="shared" si="3"/>
        <v>0</v>
      </c>
      <c r="H56" s="616">
        <f t="shared" si="4"/>
        <v>15567.5</v>
      </c>
      <c r="I56" s="615">
        <f t="shared" si="5"/>
        <v>52151.125</v>
      </c>
      <c r="K56" s="513"/>
      <c r="M56" s="152"/>
    </row>
    <row r="57" spans="1:13" ht="33.75">
      <c r="A57" s="442"/>
      <c r="B57" s="489" t="s">
        <v>1859</v>
      </c>
      <c r="C57" s="463" t="s">
        <v>70</v>
      </c>
      <c r="D57" s="456">
        <v>6</v>
      </c>
      <c r="E57" s="488"/>
      <c r="F57" s="484">
        <v>465.98</v>
      </c>
      <c r="G57" s="615">
        <f t="shared" si="3"/>
        <v>0</v>
      </c>
      <c r="H57" s="616">
        <f t="shared" si="4"/>
        <v>2795.88</v>
      </c>
      <c r="I57" s="615">
        <f t="shared" si="5"/>
        <v>9366.1980000000003</v>
      </c>
      <c r="K57" s="513"/>
      <c r="M57" s="152"/>
    </row>
    <row r="58" spans="1:13">
      <c r="A58" s="442"/>
      <c r="B58" s="614" t="s">
        <v>1860</v>
      </c>
      <c r="C58" s="455"/>
      <c r="D58" s="456"/>
      <c r="E58" s="488"/>
      <c r="F58" s="484"/>
      <c r="G58" s="615"/>
      <c r="H58" s="616"/>
      <c r="I58" s="615"/>
      <c r="K58" s="512"/>
    </row>
    <row r="59" spans="1:13" ht="56.25">
      <c r="A59" s="442"/>
      <c r="B59" s="489" t="s">
        <v>2772</v>
      </c>
      <c r="C59" s="455" t="s">
        <v>70</v>
      </c>
      <c r="D59" s="456">
        <v>373</v>
      </c>
      <c r="E59" s="488"/>
      <c r="F59" s="484">
        <v>30.5</v>
      </c>
      <c r="G59" s="615">
        <f t="shared" si="3"/>
        <v>0</v>
      </c>
      <c r="H59" s="616">
        <f t="shared" si="4"/>
        <v>11376.5</v>
      </c>
      <c r="I59" s="615">
        <f t="shared" si="5"/>
        <v>38111.275000000001</v>
      </c>
    </row>
    <row r="60" spans="1:13" ht="45">
      <c r="A60" s="442"/>
      <c r="B60" s="489" t="s">
        <v>2773</v>
      </c>
      <c r="C60" s="463" t="s">
        <v>70</v>
      </c>
      <c r="D60" s="456">
        <v>9</v>
      </c>
      <c r="E60" s="488"/>
      <c r="F60" s="484">
        <v>30.5</v>
      </c>
      <c r="G60" s="615">
        <f t="shared" si="3"/>
        <v>0</v>
      </c>
      <c r="H60" s="616">
        <f t="shared" si="4"/>
        <v>274.5</v>
      </c>
      <c r="I60" s="615">
        <f t="shared" si="5"/>
        <v>919.57500000000005</v>
      </c>
      <c r="J60" s="487"/>
    </row>
    <row r="61" spans="1:13" ht="45">
      <c r="A61" s="442"/>
      <c r="B61" s="489" t="s">
        <v>2774</v>
      </c>
      <c r="C61" s="455" t="s">
        <v>70</v>
      </c>
      <c r="D61" s="456">
        <v>96</v>
      </c>
      <c r="E61" s="488"/>
      <c r="F61" s="484">
        <v>54</v>
      </c>
      <c r="G61" s="615">
        <f t="shared" si="3"/>
        <v>0</v>
      </c>
      <c r="H61" s="616">
        <f t="shared" si="4"/>
        <v>5184</v>
      </c>
      <c r="I61" s="615">
        <f t="shared" si="5"/>
        <v>17366.400000000001</v>
      </c>
    </row>
    <row r="62" spans="1:13" ht="57">
      <c r="A62" s="442"/>
      <c r="B62" s="477" t="s">
        <v>2775</v>
      </c>
      <c r="C62" s="455" t="s">
        <v>70</v>
      </c>
      <c r="D62" s="456">
        <v>5</v>
      </c>
      <c r="E62" s="488"/>
      <c r="F62" s="484">
        <v>41.5</v>
      </c>
      <c r="G62" s="615">
        <f t="shared" si="3"/>
        <v>0</v>
      </c>
      <c r="H62" s="616">
        <f t="shared" si="4"/>
        <v>207.5</v>
      </c>
      <c r="I62" s="615">
        <f t="shared" si="5"/>
        <v>695.125</v>
      </c>
    </row>
    <row r="63" spans="1:13" ht="45">
      <c r="A63" s="442"/>
      <c r="B63" s="489" t="s">
        <v>1861</v>
      </c>
      <c r="C63" s="455" t="s">
        <v>70</v>
      </c>
      <c r="D63" s="456">
        <v>7</v>
      </c>
      <c r="E63" s="488"/>
      <c r="F63" s="484">
        <v>41.5</v>
      </c>
      <c r="G63" s="615">
        <f t="shared" si="3"/>
        <v>0</v>
      </c>
      <c r="H63" s="616">
        <f t="shared" si="4"/>
        <v>290.5</v>
      </c>
      <c r="I63" s="615">
        <f t="shared" si="5"/>
        <v>973.17500000000007</v>
      </c>
    </row>
    <row r="64" spans="1:13" ht="45">
      <c r="A64" s="442"/>
      <c r="B64" s="489" t="s">
        <v>1862</v>
      </c>
      <c r="C64" s="455" t="s">
        <v>70</v>
      </c>
      <c r="D64" s="456">
        <v>4</v>
      </c>
      <c r="E64" s="488"/>
      <c r="F64" s="484">
        <v>41.5</v>
      </c>
      <c r="G64" s="615">
        <f t="shared" si="3"/>
        <v>0</v>
      </c>
      <c r="H64" s="616">
        <f t="shared" si="4"/>
        <v>166</v>
      </c>
      <c r="I64" s="615">
        <f t="shared" si="5"/>
        <v>556.1</v>
      </c>
    </row>
    <row r="65" spans="1:13" ht="56.25">
      <c r="A65" s="442"/>
      <c r="B65" s="489" t="s">
        <v>1863</v>
      </c>
      <c r="C65" s="455" t="s">
        <v>70</v>
      </c>
      <c r="D65" s="456">
        <v>27</v>
      </c>
      <c r="E65" s="488"/>
      <c r="F65" s="484">
        <v>40.75</v>
      </c>
      <c r="G65" s="615">
        <f t="shared" si="3"/>
        <v>0</v>
      </c>
      <c r="H65" s="616">
        <f t="shared" si="4"/>
        <v>1100.25</v>
      </c>
      <c r="I65" s="615">
        <f t="shared" si="5"/>
        <v>3685.8375000000001</v>
      </c>
    </row>
    <row r="66" spans="1:13" ht="33.75">
      <c r="A66" s="442"/>
      <c r="B66" s="489" t="s">
        <v>1864</v>
      </c>
      <c r="C66" s="455" t="s">
        <v>70</v>
      </c>
      <c r="D66" s="456">
        <v>1</v>
      </c>
      <c r="E66" s="488"/>
      <c r="F66" s="484">
        <v>31.45</v>
      </c>
      <c r="G66" s="615">
        <f t="shared" si="3"/>
        <v>0</v>
      </c>
      <c r="H66" s="616">
        <f t="shared" si="4"/>
        <v>31.45</v>
      </c>
      <c r="I66" s="615">
        <f t="shared" si="5"/>
        <v>105.3575</v>
      </c>
    </row>
    <row r="67" spans="1:13">
      <c r="A67" s="442"/>
      <c r="B67" s="614" t="s">
        <v>1865</v>
      </c>
      <c r="C67" s="455"/>
      <c r="D67" s="456"/>
      <c r="E67" s="488"/>
      <c r="F67" s="484"/>
      <c r="G67" s="458"/>
      <c r="H67" s="459"/>
      <c r="I67" s="458"/>
    </row>
    <row r="68" spans="1:13">
      <c r="A68" s="442"/>
      <c r="B68" s="489" t="s">
        <v>2776</v>
      </c>
      <c r="C68" s="455" t="s">
        <v>1685</v>
      </c>
      <c r="D68" s="456">
        <v>1</v>
      </c>
      <c r="E68" s="488"/>
      <c r="F68" s="484">
        <v>28231</v>
      </c>
      <c r="G68" s="615">
        <f t="shared" ref="G68" si="6">+E68*D68</f>
        <v>0</v>
      </c>
      <c r="H68" s="616">
        <f t="shared" ref="H68" si="7">+F68*D68</f>
        <v>28231</v>
      </c>
      <c r="I68" s="615">
        <f t="shared" ref="I68" si="8">+G68+(H68*$I$3)</f>
        <v>94573.85</v>
      </c>
    </row>
    <row r="69" spans="1:13">
      <c r="A69" s="436" t="s">
        <v>1866</v>
      </c>
      <c r="B69" s="437" t="s">
        <v>1867</v>
      </c>
      <c r="C69" s="438"/>
      <c r="D69" s="440"/>
      <c r="E69" s="440"/>
      <c r="F69" s="441"/>
      <c r="G69" s="440"/>
      <c r="H69" s="441"/>
      <c r="I69" s="440">
        <f>SUM(G70)</f>
        <v>426957.93</v>
      </c>
    </row>
    <row r="70" spans="1:13" ht="33.75">
      <c r="A70" s="445" t="s">
        <v>1841</v>
      </c>
      <c r="B70" s="489" t="s">
        <v>1868</v>
      </c>
      <c r="C70" s="455" t="s">
        <v>130</v>
      </c>
      <c r="D70" s="456">
        <v>1</v>
      </c>
      <c r="E70" s="483">
        <v>426957.93</v>
      </c>
      <c r="F70" s="484"/>
      <c r="G70" s="458">
        <f>+E70*D70</f>
        <v>426957.93</v>
      </c>
      <c r="H70" s="459">
        <f>+F70*D70</f>
        <v>0</v>
      </c>
      <c r="I70" s="458">
        <f>+G70+(H70*$I$3)</f>
        <v>426957.93</v>
      </c>
      <c r="K70" s="510"/>
    </row>
    <row r="71" spans="1:13">
      <c r="A71" s="436" t="s">
        <v>1866</v>
      </c>
      <c r="B71" s="437" t="s">
        <v>1869</v>
      </c>
      <c r="C71" s="438"/>
      <c r="D71" s="440"/>
      <c r="E71" s="440"/>
      <c r="F71" s="441"/>
      <c r="G71" s="440"/>
      <c r="H71" s="441"/>
      <c r="I71" s="440">
        <f>SUM(G72)</f>
        <v>72039.77</v>
      </c>
      <c r="K71" s="510"/>
    </row>
    <row r="72" spans="1:13">
      <c r="A72" s="445" t="s">
        <v>1841</v>
      </c>
      <c r="B72" s="489" t="s">
        <v>1870</v>
      </c>
      <c r="C72" s="455" t="s">
        <v>130</v>
      </c>
      <c r="D72" s="456">
        <v>1</v>
      </c>
      <c r="E72" s="483">
        <v>72039.77</v>
      </c>
      <c r="F72" s="484"/>
      <c r="G72" s="458">
        <f>+E72*D72</f>
        <v>72039.77</v>
      </c>
      <c r="H72" s="459">
        <f>+F72*D72</f>
        <v>0</v>
      </c>
      <c r="I72" s="458">
        <f>+G72+(H72*$I$3)</f>
        <v>72039.77</v>
      </c>
      <c r="K72" s="510"/>
    </row>
    <row r="73" spans="1:13">
      <c r="A73" s="436" t="s">
        <v>1866</v>
      </c>
      <c r="B73" s="437" t="s">
        <v>48</v>
      </c>
      <c r="C73" s="438"/>
      <c r="D73" s="440"/>
      <c r="E73" s="440"/>
      <c r="F73" s="441"/>
      <c r="G73" s="440"/>
      <c r="H73" s="441"/>
      <c r="I73" s="441">
        <f>SUM(H74)</f>
        <v>10563.38</v>
      </c>
    </row>
    <row r="74" spans="1:13">
      <c r="A74" s="445" t="s">
        <v>1841</v>
      </c>
      <c r="B74" s="489" t="s">
        <v>1871</v>
      </c>
      <c r="C74" s="455" t="s">
        <v>130</v>
      </c>
      <c r="D74" s="456">
        <v>1</v>
      </c>
      <c r="E74" s="483"/>
      <c r="F74" s="484">
        <v>10563.38</v>
      </c>
      <c r="G74" s="458">
        <f>+E74*D74</f>
        <v>0</v>
      </c>
      <c r="H74" s="459">
        <f>+F74*D74</f>
        <v>10563.38</v>
      </c>
      <c r="I74" s="458">
        <f>+G74+(H74*$I$3)</f>
        <v>35387.322999999997</v>
      </c>
    </row>
    <row r="75" spans="1:13">
      <c r="A75" s="436" t="s">
        <v>1866</v>
      </c>
      <c r="B75" s="437" t="s">
        <v>1872</v>
      </c>
      <c r="C75" s="438"/>
      <c r="D75" s="440"/>
      <c r="E75" s="440"/>
      <c r="F75" s="441"/>
      <c r="G75" s="440"/>
      <c r="H75" s="441"/>
      <c r="I75" s="441">
        <f>SUM(H76:H86)</f>
        <v>8827</v>
      </c>
    </row>
    <row r="76" spans="1:13">
      <c r="A76" s="445" t="s">
        <v>1841</v>
      </c>
      <c r="B76" s="489" t="s">
        <v>2777</v>
      </c>
      <c r="C76" s="455" t="s">
        <v>121</v>
      </c>
      <c r="D76" s="456">
        <v>3</v>
      </c>
      <c r="E76" s="483"/>
      <c r="F76" s="484">
        <v>225</v>
      </c>
      <c r="G76" s="458">
        <f t="shared" ref="G76:G84" si="9">+E76*D76</f>
        <v>0</v>
      </c>
      <c r="H76" s="459">
        <f t="shared" ref="H76:H84" si="10">+F76*D76</f>
        <v>675</v>
      </c>
      <c r="I76" s="458">
        <f t="shared" ref="I76:I84" si="11">+G76+(H76*$I$3)</f>
        <v>2261.25</v>
      </c>
      <c r="M76" s="152"/>
    </row>
    <row r="77" spans="1:13" ht="22.5">
      <c r="A77" s="445" t="s">
        <v>1842</v>
      </c>
      <c r="B77" s="489" t="s">
        <v>2778</v>
      </c>
      <c r="C77" s="455" t="s">
        <v>121</v>
      </c>
      <c r="D77" s="456">
        <v>38</v>
      </c>
      <c r="E77" s="483"/>
      <c r="F77" s="484">
        <v>30.5</v>
      </c>
      <c r="G77" s="458">
        <f t="shared" si="9"/>
        <v>0</v>
      </c>
      <c r="H77" s="459">
        <f t="shared" si="10"/>
        <v>1159</v>
      </c>
      <c r="I77" s="458">
        <f t="shared" si="11"/>
        <v>3882.65</v>
      </c>
      <c r="M77" s="152"/>
    </row>
    <row r="78" spans="1:13" ht="33.75">
      <c r="A78" s="445" t="s">
        <v>1843</v>
      </c>
      <c r="B78" s="489" t="s">
        <v>2779</v>
      </c>
      <c r="C78" s="455" t="s">
        <v>121</v>
      </c>
      <c r="D78" s="456">
        <v>8</v>
      </c>
      <c r="E78" s="483"/>
      <c r="F78" s="484">
        <v>30.5</v>
      </c>
      <c r="G78" s="458">
        <f t="shared" si="9"/>
        <v>0</v>
      </c>
      <c r="H78" s="459">
        <f t="shared" si="10"/>
        <v>244</v>
      </c>
      <c r="I78" s="458">
        <f t="shared" si="11"/>
        <v>817.4</v>
      </c>
      <c r="M78" s="152"/>
    </row>
    <row r="79" spans="1:13">
      <c r="A79" s="445" t="s">
        <v>1844</v>
      </c>
      <c r="B79" s="489" t="s">
        <v>2780</v>
      </c>
      <c r="C79" s="455" t="s">
        <v>121</v>
      </c>
      <c r="D79" s="456">
        <v>1</v>
      </c>
      <c r="E79" s="483"/>
      <c r="F79" s="484">
        <v>395</v>
      </c>
      <c r="G79" s="458">
        <f t="shared" si="9"/>
        <v>0</v>
      </c>
      <c r="H79" s="459">
        <f t="shared" si="10"/>
        <v>395</v>
      </c>
      <c r="I79" s="458">
        <f t="shared" si="11"/>
        <v>1323.25</v>
      </c>
      <c r="M79" s="152"/>
    </row>
    <row r="80" spans="1:13">
      <c r="A80" s="445" t="s">
        <v>1880</v>
      </c>
      <c r="B80" s="489" t="s">
        <v>2781</v>
      </c>
      <c r="C80" s="455" t="s">
        <v>121</v>
      </c>
      <c r="D80" s="456">
        <v>2</v>
      </c>
      <c r="E80" s="483"/>
      <c r="F80" s="484">
        <v>155</v>
      </c>
      <c r="G80" s="458">
        <f t="shared" si="9"/>
        <v>0</v>
      </c>
      <c r="H80" s="459">
        <f t="shared" si="10"/>
        <v>310</v>
      </c>
      <c r="I80" s="458">
        <f t="shared" si="11"/>
        <v>1038.5</v>
      </c>
      <c r="M80" s="152"/>
    </row>
    <row r="81" spans="1:13">
      <c r="A81" s="445" t="s">
        <v>1964</v>
      </c>
      <c r="B81" s="489" t="s">
        <v>2782</v>
      </c>
      <c r="C81" s="455" t="s">
        <v>121</v>
      </c>
      <c r="D81" s="456">
        <v>1</v>
      </c>
      <c r="E81" s="483"/>
      <c r="F81" s="484">
        <v>355</v>
      </c>
      <c r="G81" s="458">
        <f t="shared" si="9"/>
        <v>0</v>
      </c>
      <c r="H81" s="459">
        <f t="shared" si="10"/>
        <v>355</v>
      </c>
      <c r="I81" s="458">
        <f t="shared" si="11"/>
        <v>1189.25</v>
      </c>
      <c r="M81" s="152"/>
    </row>
    <row r="82" spans="1:13">
      <c r="A82" s="445" t="s">
        <v>2728</v>
      </c>
      <c r="B82" s="489" t="s">
        <v>2783</v>
      </c>
      <c r="C82" s="455" t="s">
        <v>121</v>
      </c>
      <c r="D82" s="456">
        <v>2</v>
      </c>
      <c r="E82" s="483"/>
      <c r="F82" s="484">
        <v>139</v>
      </c>
      <c r="G82" s="458">
        <f t="shared" si="9"/>
        <v>0</v>
      </c>
      <c r="H82" s="459">
        <f t="shared" si="10"/>
        <v>278</v>
      </c>
      <c r="I82" s="458">
        <f t="shared" si="11"/>
        <v>931.30000000000007</v>
      </c>
      <c r="M82" s="152"/>
    </row>
    <row r="83" spans="1:13">
      <c r="A83" s="445" t="s">
        <v>2730</v>
      </c>
      <c r="B83" s="489" t="s">
        <v>2784</v>
      </c>
      <c r="C83" s="455" t="s">
        <v>121</v>
      </c>
      <c r="D83" s="456">
        <v>46</v>
      </c>
      <c r="E83" s="483"/>
      <c r="F83" s="484">
        <v>6</v>
      </c>
      <c r="G83" s="458">
        <f t="shared" si="9"/>
        <v>0</v>
      </c>
      <c r="H83" s="459">
        <f t="shared" si="10"/>
        <v>276</v>
      </c>
      <c r="I83" s="458">
        <f t="shared" si="11"/>
        <v>924.6</v>
      </c>
      <c r="M83" s="152"/>
    </row>
    <row r="84" spans="1:13">
      <c r="A84" s="445" t="s">
        <v>2732</v>
      </c>
      <c r="B84" s="489" t="s">
        <v>2785</v>
      </c>
      <c r="C84" s="455" t="s">
        <v>121</v>
      </c>
      <c r="D84" s="456">
        <v>1</v>
      </c>
      <c r="E84" s="483"/>
      <c r="F84" s="484">
        <v>155</v>
      </c>
      <c r="G84" s="458">
        <f t="shared" si="9"/>
        <v>0</v>
      </c>
      <c r="H84" s="459">
        <f t="shared" si="10"/>
        <v>155</v>
      </c>
      <c r="I84" s="458">
        <f t="shared" si="11"/>
        <v>519.25</v>
      </c>
      <c r="M84" s="152"/>
    </row>
    <row r="85" spans="1:13">
      <c r="A85" s="445" t="s">
        <v>2734</v>
      </c>
      <c r="B85" s="614" t="s">
        <v>2786</v>
      </c>
      <c r="C85" s="455"/>
      <c r="D85" s="456"/>
      <c r="E85" s="483"/>
      <c r="F85" s="484"/>
      <c r="G85" s="458"/>
      <c r="H85" s="459"/>
      <c r="I85" s="458"/>
      <c r="M85" s="152"/>
    </row>
    <row r="86" spans="1:13">
      <c r="A86" s="445" t="s">
        <v>2736</v>
      </c>
      <c r="B86" s="489" t="s">
        <v>2787</v>
      </c>
      <c r="C86" s="455" t="s">
        <v>130</v>
      </c>
      <c r="D86" s="456">
        <v>1</v>
      </c>
      <c r="E86" s="483"/>
      <c r="F86" s="484">
        <v>4980</v>
      </c>
      <c r="G86" s="458">
        <f>+E86*D86</f>
        <v>0</v>
      </c>
      <c r="H86" s="459">
        <f>+F86*D86</f>
        <v>4980</v>
      </c>
      <c r="I86" s="458">
        <f>+G86+(H86*$I$3)</f>
        <v>16683</v>
      </c>
      <c r="M86" s="152"/>
    </row>
    <row r="88" spans="1:13">
      <c r="E88" s="152"/>
    </row>
    <row r="89" spans="1:13">
      <c r="M89" s="153"/>
    </row>
    <row r="90" spans="1:13">
      <c r="M90" s="153"/>
    </row>
    <row r="91" spans="1:13">
      <c r="M91" s="153"/>
    </row>
    <row r="92" spans="1:13">
      <c r="M92" s="153"/>
    </row>
    <row r="93" spans="1:13">
      <c r="M93" s="153"/>
    </row>
    <row r="94" spans="1:13">
      <c r="M94" s="153"/>
    </row>
    <row r="95" spans="1:13">
      <c r="M95" s="153"/>
    </row>
    <row r="96" spans="1:13">
      <c r="M96" s="153"/>
    </row>
    <row r="97" spans="13:13">
      <c r="M97" s="153"/>
    </row>
    <row r="98" spans="13:13">
      <c r="M98" s="153"/>
    </row>
  </sheetData>
  <mergeCells count="1">
    <mergeCell ref="A2:H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607E4-54EE-4FA5-A294-2D980625428F}">
  <dimension ref="A1:M141"/>
  <sheetViews>
    <sheetView topLeftCell="A122" workbookViewId="0">
      <selection activeCell="I137" sqref="I137"/>
    </sheetView>
  </sheetViews>
  <sheetFormatPr defaultColWidth="11.5703125" defaultRowHeight="11.25"/>
  <cols>
    <col min="1" max="1" width="11.5703125" style="41"/>
    <col min="2" max="2" width="93.85546875" style="5" customWidth="1"/>
    <col min="3" max="3" width="4.28515625" style="41" customWidth="1"/>
    <col min="4" max="16384" width="11.5703125" style="41"/>
  </cols>
  <sheetData>
    <row r="1" spans="1:13">
      <c r="A1" s="32"/>
      <c r="B1" s="416"/>
      <c r="C1" s="32"/>
      <c r="D1" s="423"/>
      <c r="E1" s="423"/>
      <c r="F1" s="423"/>
      <c r="G1" s="423"/>
      <c r="H1" s="584"/>
      <c r="I1" s="585"/>
      <c r="M1" s="586"/>
    </row>
    <row r="2" spans="1:13">
      <c r="A2" s="788" t="s">
        <v>1827</v>
      </c>
      <c r="B2" s="788"/>
      <c r="C2" s="788"/>
      <c r="D2" s="788"/>
      <c r="E2" s="788"/>
      <c r="F2" s="788"/>
      <c r="G2" s="788"/>
      <c r="H2" s="788"/>
      <c r="I2" s="585"/>
      <c r="M2" s="586"/>
    </row>
    <row r="3" spans="1:13">
      <c r="A3" s="32"/>
      <c r="B3" s="416"/>
      <c r="C3" s="32"/>
      <c r="D3" s="423"/>
      <c r="E3" s="423"/>
      <c r="F3" s="423"/>
      <c r="G3" s="423"/>
      <c r="H3" s="587" t="s">
        <v>1826</v>
      </c>
      <c r="I3" s="588">
        <v>3.35</v>
      </c>
      <c r="M3" s="586"/>
    </row>
    <row r="4" spans="1:13">
      <c r="A4" s="110" t="s">
        <v>7</v>
      </c>
      <c r="B4" s="589" t="s">
        <v>5</v>
      </c>
      <c r="C4" s="32"/>
      <c r="D4" s="423"/>
      <c r="E4" s="423"/>
      <c r="F4" s="423"/>
      <c r="G4" s="423"/>
      <c r="H4" s="584"/>
      <c r="I4" s="585"/>
      <c r="M4" s="586"/>
    </row>
    <row r="5" spans="1:13">
      <c r="A5" s="110" t="s">
        <v>67</v>
      </c>
      <c r="B5" s="589" t="s">
        <v>1827</v>
      </c>
      <c r="C5" s="32"/>
      <c r="D5" s="423"/>
      <c r="E5" s="423"/>
      <c r="F5" s="423"/>
      <c r="G5" s="423"/>
      <c r="H5" s="584"/>
      <c r="I5" s="585"/>
      <c r="M5" s="586"/>
    </row>
    <row r="6" spans="1:13">
      <c r="A6" s="110" t="s">
        <v>10</v>
      </c>
      <c r="B6" s="589" t="s">
        <v>1828</v>
      </c>
      <c r="C6" s="32"/>
      <c r="D6" s="423"/>
      <c r="E6" s="423"/>
      <c r="F6" s="590" t="s">
        <v>1829</v>
      </c>
      <c r="G6" s="591">
        <v>46133</v>
      </c>
      <c r="H6" s="592"/>
      <c r="I6" s="585"/>
      <c r="M6" s="586"/>
    </row>
    <row r="7" spans="1:13" ht="12" thickBot="1">
      <c r="A7" s="110" t="s">
        <v>12</v>
      </c>
      <c r="B7" s="589"/>
      <c r="C7" s="32"/>
      <c r="D7" s="423"/>
      <c r="E7" s="423"/>
      <c r="F7" s="423"/>
      <c r="G7" s="423"/>
      <c r="H7" s="584"/>
      <c r="I7" s="585"/>
      <c r="M7" s="586"/>
    </row>
    <row r="8" spans="1:13" ht="23.25" thickTop="1">
      <c r="A8" s="428" t="s">
        <v>20</v>
      </c>
      <c r="B8" s="429" t="s">
        <v>69</v>
      </c>
      <c r="C8" s="429" t="s">
        <v>70</v>
      </c>
      <c r="D8" s="450" t="s">
        <v>885</v>
      </c>
      <c r="E8" s="450" t="s">
        <v>1830</v>
      </c>
      <c r="F8" s="450" t="s">
        <v>1831</v>
      </c>
      <c r="G8" s="450" t="s">
        <v>1832</v>
      </c>
      <c r="H8" s="593" t="s">
        <v>1833</v>
      </c>
      <c r="I8" s="594" t="s">
        <v>54</v>
      </c>
      <c r="M8" s="586"/>
    </row>
    <row r="9" spans="1:13">
      <c r="A9" s="436"/>
      <c r="B9" s="451" t="s">
        <v>1885</v>
      </c>
      <c r="C9" s="595"/>
      <c r="D9" s="452"/>
      <c r="E9" s="452"/>
      <c r="F9" s="452"/>
      <c r="G9" s="452"/>
      <c r="H9" s="596"/>
      <c r="I9" s="596">
        <f>SUM(H10:H130)</f>
        <v>162567.42500000008</v>
      </c>
      <c r="K9" s="597"/>
      <c r="M9" s="598"/>
    </row>
    <row r="10" spans="1:13">
      <c r="A10" s="599"/>
      <c r="B10" s="454" t="s">
        <v>1886</v>
      </c>
      <c r="C10" s="599"/>
      <c r="D10" s="599"/>
      <c r="E10" s="599"/>
      <c r="F10" s="599"/>
      <c r="G10" s="599"/>
      <c r="H10" s="599"/>
      <c r="I10" s="599"/>
    </row>
    <row r="11" spans="1:13" ht="22.5">
      <c r="A11" s="599"/>
      <c r="B11" s="600" t="s">
        <v>2677</v>
      </c>
      <c r="C11" s="599" t="s">
        <v>121</v>
      </c>
      <c r="D11" s="457">
        <v>1</v>
      </c>
      <c r="E11" s="457"/>
      <c r="F11" s="457">
        <v>1031.3887312397528</v>
      </c>
      <c r="G11" s="453">
        <f>+E11*D11</f>
        <v>0</v>
      </c>
      <c r="H11" s="453">
        <f>+F11*D11</f>
        <v>1031.3887312397528</v>
      </c>
      <c r="I11" s="453">
        <f>+G11+(H11*$I$3)</f>
        <v>3455.152249653172</v>
      </c>
      <c r="K11" s="601"/>
    </row>
    <row r="12" spans="1:13" ht="22.5">
      <c r="A12" s="599"/>
      <c r="B12" s="600" t="s">
        <v>2678</v>
      </c>
      <c r="C12" s="599" t="s">
        <v>121</v>
      </c>
      <c r="D12" s="457">
        <v>1</v>
      </c>
      <c r="E12" s="457"/>
      <c r="F12" s="457">
        <v>1438.8887312397528</v>
      </c>
      <c r="G12" s="453">
        <f t="shared" ref="G12:G75" si="0">+E12*D12</f>
        <v>0</v>
      </c>
      <c r="H12" s="453">
        <f t="shared" ref="H12:H75" si="1">+F12*D12</f>
        <v>1438.8887312397528</v>
      </c>
      <c r="I12" s="453">
        <f t="shared" ref="I12:I75" si="2">+G12+(H12*$I$3)</f>
        <v>4820.2772496531725</v>
      </c>
      <c r="K12" s="601"/>
    </row>
    <row r="13" spans="1:13" ht="22.5">
      <c r="A13" s="599"/>
      <c r="B13" s="600" t="s">
        <v>2679</v>
      </c>
      <c r="C13" s="599" t="s">
        <v>121</v>
      </c>
      <c r="D13" s="457">
        <v>1</v>
      </c>
      <c r="E13" s="457"/>
      <c r="F13" s="457">
        <v>1438.8887312397528</v>
      </c>
      <c r="G13" s="453">
        <f t="shared" si="0"/>
        <v>0</v>
      </c>
      <c r="H13" s="453">
        <f t="shared" si="1"/>
        <v>1438.8887312397528</v>
      </c>
      <c r="I13" s="453">
        <f t="shared" si="2"/>
        <v>4820.2772496531725</v>
      </c>
      <c r="K13" s="601"/>
    </row>
    <row r="14" spans="1:13" ht="22.5">
      <c r="A14" s="599"/>
      <c r="B14" s="600" t="s">
        <v>2680</v>
      </c>
      <c r="C14" s="599" t="s">
        <v>121</v>
      </c>
      <c r="D14" s="457">
        <v>1</v>
      </c>
      <c r="E14" s="457"/>
      <c r="F14" s="457">
        <v>2671.3887312397528</v>
      </c>
      <c r="G14" s="453">
        <f t="shared" si="0"/>
        <v>0</v>
      </c>
      <c r="H14" s="453">
        <f t="shared" si="1"/>
        <v>2671.3887312397528</v>
      </c>
      <c r="I14" s="453">
        <f t="shared" si="2"/>
        <v>8949.1522496531725</v>
      </c>
      <c r="K14" s="601"/>
    </row>
    <row r="15" spans="1:13" ht="22.5">
      <c r="A15" s="599"/>
      <c r="B15" s="600" t="s">
        <v>2681</v>
      </c>
      <c r="C15" s="599" t="s">
        <v>121</v>
      </c>
      <c r="D15" s="457">
        <v>1</v>
      </c>
      <c r="E15" s="457"/>
      <c r="F15" s="457">
        <v>1438.8887312397528</v>
      </c>
      <c r="G15" s="453">
        <f t="shared" si="0"/>
        <v>0</v>
      </c>
      <c r="H15" s="453">
        <f t="shared" si="1"/>
        <v>1438.8887312397528</v>
      </c>
      <c r="I15" s="453">
        <f t="shared" si="2"/>
        <v>4820.2772496531725</v>
      </c>
      <c r="K15" s="601"/>
    </row>
    <row r="16" spans="1:13" ht="22.5">
      <c r="A16" s="599"/>
      <c r="B16" s="600" t="s">
        <v>2682</v>
      </c>
      <c r="C16" s="599" t="s">
        <v>121</v>
      </c>
      <c r="D16" s="457">
        <v>1</v>
      </c>
      <c r="E16" s="457"/>
      <c r="F16" s="457">
        <v>2735.1387312397528</v>
      </c>
      <c r="G16" s="453">
        <f t="shared" si="0"/>
        <v>0</v>
      </c>
      <c r="H16" s="453">
        <f t="shared" si="1"/>
        <v>2735.1387312397528</v>
      </c>
      <c r="I16" s="453">
        <f t="shared" si="2"/>
        <v>9162.7147496531725</v>
      </c>
      <c r="K16" s="601"/>
    </row>
    <row r="17" spans="1:11">
      <c r="A17" s="599"/>
      <c r="B17" s="602" t="s">
        <v>1887</v>
      </c>
      <c r="C17" s="599" t="s">
        <v>121</v>
      </c>
      <c r="D17" s="457">
        <v>4</v>
      </c>
      <c r="E17" s="457"/>
      <c r="F17" s="457">
        <v>181.38873123975281</v>
      </c>
      <c r="G17" s="453">
        <f t="shared" si="0"/>
        <v>0</v>
      </c>
      <c r="H17" s="453">
        <f t="shared" si="1"/>
        <v>725.55492495901126</v>
      </c>
      <c r="I17" s="453">
        <f t="shared" si="2"/>
        <v>2430.6089986126876</v>
      </c>
      <c r="K17" s="601"/>
    </row>
    <row r="18" spans="1:11">
      <c r="A18" s="599"/>
      <c r="B18" s="600" t="s">
        <v>1888</v>
      </c>
      <c r="C18" s="599" t="s">
        <v>121</v>
      </c>
      <c r="D18" s="457">
        <v>2</v>
      </c>
      <c r="E18" s="457"/>
      <c r="F18" s="457">
        <v>375.13873123975281</v>
      </c>
      <c r="G18" s="453">
        <f t="shared" si="0"/>
        <v>0</v>
      </c>
      <c r="H18" s="453">
        <f t="shared" si="1"/>
        <v>750.27746247950563</v>
      </c>
      <c r="I18" s="453">
        <f t="shared" si="2"/>
        <v>2513.429499306344</v>
      </c>
      <c r="K18" s="601"/>
    </row>
    <row r="19" spans="1:11">
      <c r="A19" s="599"/>
      <c r="B19" s="600" t="s">
        <v>1889</v>
      </c>
      <c r="C19" s="599" t="s">
        <v>121</v>
      </c>
      <c r="D19" s="457">
        <v>1</v>
      </c>
      <c r="E19" s="457"/>
      <c r="F19" s="457">
        <v>331.38873123975281</v>
      </c>
      <c r="G19" s="453">
        <f t="shared" si="0"/>
        <v>0</v>
      </c>
      <c r="H19" s="453">
        <f t="shared" si="1"/>
        <v>331.38873123975281</v>
      </c>
      <c r="I19" s="453">
        <f t="shared" si="2"/>
        <v>1110.152249653172</v>
      </c>
      <c r="K19" s="601"/>
    </row>
    <row r="20" spans="1:11">
      <c r="A20" s="599"/>
      <c r="B20" s="600" t="s">
        <v>1890</v>
      </c>
      <c r="C20" s="599" t="s">
        <v>121</v>
      </c>
      <c r="D20" s="457">
        <v>2</v>
      </c>
      <c r="E20" s="457"/>
      <c r="F20" s="457">
        <v>343.88873123975281</v>
      </c>
      <c r="G20" s="453">
        <f t="shared" si="0"/>
        <v>0</v>
      </c>
      <c r="H20" s="453">
        <f t="shared" si="1"/>
        <v>687.77746247950563</v>
      </c>
      <c r="I20" s="453">
        <f t="shared" si="2"/>
        <v>2304.054499306344</v>
      </c>
      <c r="K20" s="601"/>
    </row>
    <row r="21" spans="1:11">
      <c r="A21" s="599"/>
      <c r="B21" s="600" t="s">
        <v>1891</v>
      </c>
      <c r="C21" s="599" t="s">
        <v>121</v>
      </c>
      <c r="D21" s="457">
        <v>1</v>
      </c>
      <c r="E21" s="457"/>
      <c r="F21" s="457">
        <v>437.63873123975281</v>
      </c>
      <c r="G21" s="453">
        <f t="shared" si="0"/>
        <v>0</v>
      </c>
      <c r="H21" s="453">
        <f t="shared" si="1"/>
        <v>437.63873123975281</v>
      </c>
      <c r="I21" s="453">
        <f t="shared" si="2"/>
        <v>1466.089749653172</v>
      </c>
      <c r="K21" s="601"/>
    </row>
    <row r="22" spans="1:11">
      <c r="A22" s="599"/>
      <c r="B22" s="454" t="s">
        <v>1892</v>
      </c>
      <c r="C22" s="599"/>
      <c r="D22" s="457"/>
      <c r="E22" s="457"/>
      <c r="F22" s="457"/>
      <c r="G22" s="453"/>
      <c r="H22" s="453"/>
      <c r="I22" s="453"/>
      <c r="K22" s="601"/>
    </row>
    <row r="23" spans="1:11" ht="45">
      <c r="A23" s="599"/>
      <c r="B23" s="600" t="s">
        <v>2683</v>
      </c>
      <c r="C23" s="599" t="s">
        <v>121</v>
      </c>
      <c r="D23" s="457">
        <v>1</v>
      </c>
      <c r="E23" s="457"/>
      <c r="F23" s="457">
        <v>275.13873123975281</v>
      </c>
      <c r="G23" s="453">
        <f t="shared" si="0"/>
        <v>0</v>
      </c>
      <c r="H23" s="453">
        <f t="shared" si="1"/>
        <v>275.13873123975281</v>
      </c>
      <c r="I23" s="453">
        <f t="shared" si="2"/>
        <v>921.71474965317191</v>
      </c>
      <c r="K23" s="601"/>
    </row>
    <row r="24" spans="1:11">
      <c r="A24" s="599"/>
      <c r="B24" s="600" t="s">
        <v>2684</v>
      </c>
      <c r="C24" s="599" t="s">
        <v>121</v>
      </c>
      <c r="D24" s="457">
        <v>2</v>
      </c>
      <c r="E24" s="457"/>
      <c r="F24" s="457">
        <v>275.13873123975281</v>
      </c>
      <c r="G24" s="453">
        <f t="shared" si="0"/>
        <v>0</v>
      </c>
      <c r="H24" s="453">
        <f t="shared" si="1"/>
        <v>550.27746247950563</v>
      </c>
      <c r="I24" s="453">
        <f t="shared" si="2"/>
        <v>1843.4294993063438</v>
      </c>
      <c r="K24" s="601"/>
    </row>
    <row r="25" spans="1:11">
      <c r="A25" s="599"/>
      <c r="B25" s="600" t="s">
        <v>2685</v>
      </c>
      <c r="C25" s="599" t="s">
        <v>121</v>
      </c>
      <c r="D25" s="457">
        <v>8</v>
      </c>
      <c r="E25" s="457"/>
      <c r="F25" s="457">
        <v>275.13873123975281</v>
      </c>
      <c r="G25" s="453">
        <f t="shared" si="0"/>
        <v>0</v>
      </c>
      <c r="H25" s="453">
        <f t="shared" si="1"/>
        <v>2201.1098499180225</v>
      </c>
      <c r="I25" s="453">
        <f t="shared" si="2"/>
        <v>7373.7179972253753</v>
      </c>
      <c r="K25" s="601"/>
    </row>
    <row r="26" spans="1:11">
      <c r="A26" s="599"/>
      <c r="B26" s="600" t="s">
        <v>2686</v>
      </c>
      <c r="C26" s="599" t="s">
        <v>121</v>
      </c>
      <c r="D26" s="457">
        <v>2</v>
      </c>
      <c r="E26" s="457"/>
      <c r="F26" s="457">
        <v>531.38873123975281</v>
      </c>
      <c r="G26" s="453">
        <f t="shared" si="0"/>
        <v>0</v>
      </c>
      <c r="H26" s="453">
        <f t="shared" si="1"/>
        <v>1062.7774624795056</v>
      </c>
      <c r="I26" s="453">
        <f t="shared" si="2"/>
        <v>3560.304499306344</v>
      </c>
      <c r="K26" s="601"/>
    </row>
    <row r="27" spans="1:11">
      <c r="A27" s="599"/>
      <c r="B27" s="600" t="s">
        <v>2687</v>
      </c>
      <c r="C27" s="599" t="s">
        <v>121</v>
      </c>
      <c r="D27" s="457">
        <v>1</v>
      </c>
      <c r="E27" s="457"/>
      <c r="F27" s="457">
        <v>757.63873123975281</v>
      </c>
      <c r="G27" s="453">
        <f t="shared" si="0"/>
        <v>0</v>
      </c>
      <c r="H27" s="453">
        <f t="shared" si="1"/>
        <v>757.63873123975281</v>
      </c>
      <c r="I27" s="453">
        <f t="shared" si="2"/>
        <v>2538.089749653172</v>
      </c>
      <c r="K27" s="601"/>
    </row>
    <row r="28" spans="1:11">
      <c r="A28" s="599"/>
      <c r="B28" s="600" t="s">
        <v>2688</v>
      </c>
      <c r="C28" s="599" t="s">
        <v>121</v>
      </c>
      <c r="D28" s="457">
        <v>2</v>
      </c>
      <c r="E28" s="457"/>
      <c r="F28" s="457">
        <v>757.63873123975281</v>
      </c>
      <c r="G28" s="453">
        <f t="shared" si="0"/>
        <v>0</v>
      </c>
      <c r="H28" s="453">
        <f t="shared" si="1"/>
        <v>1515.2774624795056</v>
      </c>
      <c r="I28" s="453">
        <f t="shared" si="2"/>
        <v>5076.179499306344</v>
      </c>
      <c r="K28" s="601"/>
    </row>
    <row r="29" spans="1:11">
      <c r="A29" s="599"/>
      <c r="B29" s="600" t="s">
        <v>2689</v>
      </c>
      <c r="C29" s="599" t="s">
        <v>121</v>
      </c>
      <c r="D29" s="457">
        <v>6</v>
      </c>
      <c r="E29" s="457"/>
      <c r="F29" s="457">
        <v>757.63873123975281</v>
      </c>
      <c r="G29" s="453">
        <f t="shared" si="0"/>
        <v>0</v>
      </c>
      <c r="H29" s="453">
        <f t="shared" si="1"/>
        <v>4545.8323874385169</v>
      </c>
      <c r="I29" s="453">
        <f t="shared" si="2"/>
        <v>15228.538497919031</v>
      </c>
      <c r="K29" s="601"/>
    </row>
    <row r="30" spans="1:11">
      <c r="A30" s="599"/>
      <c r="B30" s="600" t="s">
        <v>2690</v>
      </c>
      <c r="C30" s="599" t="s">
        <v>121</v>
      </c>
      <c r="D30" s="457">
        <v>2</v>
      </c>
      <c r="E30" s="457"/>
      <c r="F30" s="457">
        <v>786.38873123975281</v>
      </c>
      <c r="G30" s="453">
        <f t="shared" si="0"/>
        <v>0</v>
      </c>
      <c r="H30" s="453">
        <f t="shared" si="1"/>
        <v>1572.7774624795056</v>
      </c>
      <c r="I30" s="453">
        <f t="shared" si="2"/>
        <v>5268.804499306344</v>
      </c>
      <c r="K30" s="601"/>
    </row>
    <row r="31" spans="1:11">
      <c r="A31" s="599"/>
      <c r="B31" s="600" t="s">
        <v>2691</v>
      </c>
      <c r="C31" s="599" t="s">
        <v>121</v>
      </c>
      <c r="D31" s="457">
        <v>2</v>
      </c>
      <c r="E31" s="457"/>
      <c r="F31" s="457">
        <v>812.63873123975281</v>
      </c>
      <c r="G31" s="453">
        <f t="shared" si="0"/>
        <v>0</v>
      </c>
      <c r="H31" s="453">
        <f t="shared" si="1"/>
        <v>1625.2774624795056</v>
      </c>
      <c r="I31" s="453">
        <f t="shared" si="2"/>
        <v>5444.679499306344</v>
      </c>
      <c r="K31" s="601"/>
    </row>
    <row r="32" spans="1:11">
      <c r="A32" s="599"/>
      <c r="B32" s="600" t="s">
        <v>2692</v>
      </c>
      <c r="C32" s="599" t="s">
        <v>121</v>
      </c>
      <c r="D32" s="457">
        <v>27</v>
      </c>
      <c r="E32" s="457"/>
      <c r="F32" s="457">
        <v>1125.1387312397528</v>
      </c>
      <c r="G32" s="453">
        <f t="shared" si="0"/>
        <v>0</v>
      </c>
      <c r="H32" s="453">
        <f t="shared" si="1"/>
        <v>30378.745743473326</v>
      </c>
      <c r="I32" s="453">
        <f t="shared" si="2"/>
        <v>101768.79824063565</v>
      </c>
      <c r="K32" s="601"/>
    </row>
    <row r="33" spans="1:11">
      <c r="A33" s="599"/>
      <c r="B33" s="600" t="s">
        <v>2693</v>
      </c>
      <c r="C33" s="599" t="s">
        <v>121</v>
      </c>
      <c r="D33" s="457">
        <v>33</v>
      </c>
      <c r="E33" s="457"/>
      <c r="F33" s="457">
        <v>156.38873123975281</v>
      </c>
      <c r="G33" s="453">
        <f t="shared" si="0"/>
        <v>0</v>
      </c>
      <c r="H33" s="453">
        <f t="shared" si="1"/>
        <v>5160.8281309118429</v>
      </c>
      <c r="I33" s="453">
        <f t="shared" si="2"/>
        <v>17288.774238554674</v>
      </c>
      <c r="K33" s="601"/>
    </row>
    <row r="34" spans="1:11">
      <c r="A34" s="599"/>
      <c r="B34" s="602" t="s">
        <v>1893</v>
      </c>
      <c r="C34" s="599" t="s">
        <v>121</v>
      </c>
      <c r="D34" s="457">
        <v>26</v>
      </c>
      <c r="E34" s="457"/>
      <c r="F34" s="457">
        <v>137.63873123975281</v>
      </c>
      <c r="G34" s="453">
        <f t="shared" si="0"/>
        <v>0</v>
      </c>
      <c r="H34" s="453">
        <f t="shared" si="1"/>
        <v>3578.6070122335732</v>
      </c>
      <c r="I34" s="453">
        <f t="shared" si="2"/>
        <v>11988.33349098247</v>
      </c>
      <c r="K34" s="601"/>
    </row>
    <row r="35" spans="1:11">
      <c r="A35" s="599"/>
      <c r="B35" s="602" t="s">
        <v>1894</v>
      </c>
      <c r="C35" s="599" t="s">
        <v>121</v>
      </c>
      <c r="D35" s="457">
        <v>2</v>
      </c>
      <c r="E35" s="457"/>
      <c r="F35" s="457">
        <v>375.13873123975281</v>
      </c>
      <c r="G35" s="453">
        <f t="shared" si="0"/>
        <v>0</v>
      </c>
      <c r="H35" s="453">
        <f t="shared" si="1"/>
        <v>750.27746247950563</v>
      </c>
      <c r="I35" s="453">
        <f t="shared" si="2"/>
        <v>2513.429499306344</v>
      </c>
      <c r="K35" s="601"/>
    </row>
    <row r="36" spans="1:11">
      <c r="A36" s="599"/>
      <c r="B36" s="454" t="s">
        <v>1895</v>
      </c>
      <c r="C36" s="599"/>
      <c r="D36" s="457"/>
      <c r="E36" s="457"/>
      <c r="F36" s="457"/>
      <c r="G36" s="453"/>
      <c r="H36" s="453"/>
      <c r="I36" s="453"/>
      <c r="K36" s="601"/>
    </row>
    <row r="37" spans="1:11" ht="22.5">
      <c r="A37" s="599"/>
      <c r="B37" s="600" t="s">
        <v>2694</v>
      </c>
      <c r="C37" s="599" t="s">
        <v>121</v>
      </c>
      <c r="D37" s="457">
        <v>1</v>
      </c>
      <c r="E37" s="457"/>
      <c r="F37" s="457">
        <v>816.38873123975281</v>
      </c>
      <c r="G37" s="453">
        <f t="shared" si="0"/>
        <v>0</v>
      </c>
      <c r="H37" s="453">
        <f t="shared" si="1"/>
        <v>816.38873123975281</v>
      </c>
      <c r="I37" s="453">
        <f t="shared" si="2"/>
        <v>2734.902249653172</v>
      </c>
      <c r="K37" s="601"/>
    </row>
    <row r="38" spans="1:11" ht="22.5">
      <c r="A38" s="599"/>
      <c r="B38" s="600" t="s">
        <v>2695</v>
      </c>
      <c r="C38" s="599" t="s">
        <v>121</v>
      </c>
      <c r="D38" s="457">
        <v>1</v>
      </c>
      <c r="E38" s="457"/>
      <c r="F38" s="457">
        <v>816.38873123975281</v>
      </c>
      <c r="G38" s="453">
        <f t="shared" si="0"/>
        <v>0</v>
      </c>
      <c r="H38" s="453">
        <f t="shared" si="1"/>
        <v>816.38873123975281</v>
      </c>
      <c r="I38" s="453">
        <f t="shared" si="2"/>
        <v>2734.902249653172</v>
      </c>
      <c r="K38" s="601"/>
    </row>
    <row r="39" spans="1:11">
      <c r="A39" s="599"/>
      <c r="B39" s="602" t="s">
        <v>1896</v>
      </c>
      <c r="C39" s="599" t="s">
        <v>121</v>
      </c>
      <c r="D39" s="457">
        <v>2</v>
      </c>
      <c r="E39" s="457"/>
      <c r="F39" s="457">
        <v>375.13873123975281</v>
      </c>
      <c r="G39" s="453">
        <f t="shared" si="0"/>
        <v>0</v>
      </c>
      <c r="H39" s="453">
        <f t="shared" si="1"/>
        <v>750.27746247950563</v>
      </c>
      <c r="I39" s="453">
        <f t="shared" si="2"/>
        <v>2513.429499306344</v>
      </c>
      <c r="K39" s="601"/>
    </row>
    <row r="40" spans="1:11">
      <c r="A40" s="599"/>
      <c r="B40" s="454" t="s">
        <v>1897</v>
      </c>
      <c r="C40" s="599"/>
      <c r="D40" s="457"/>
      <c r="E40" s="457"/>
      <c r="F40" s="457"/>
      <c r="G40" s="453"/>
      <c r="H40" s="453"/>
      <c r="I40" s="453"/>
      <c r="K40" s="601"/>
    </row>
    <row r="41" spans="1:11" ht="22.5">
      <c r="A41" s="599"/>
      <c r="B41" s="600" t="s">
        <v>2696</v>
      </c>
      <c r="C41" s="599" t="s">
        <v>121</v>
      </c>
      <c r="D41" s="457">
        <v>1</v>
      </c>
      <c r="E41" s="457"/>
      <c r="F41" s="457">
        <v>446.38873123975281</v>
      </c>
      <c r="G41" s="453">
        <f t="shared" si="0"/>
        <v>0</v>
      </c>
      <c r="H41" s="453">
        <f t="shared" si="1"/>
        <v>446.38873123975281</v>
      </c>
      <c r="I41" s="453">
        <f t="shared" si="2"/>
        <v>1495.402249653172</v>
      </c>
      <c r="K41" s="601"/>
    </row>
    <row r="42" spans="1:11" ht="22.5">
      <c r="A42" s="599"/>
      <c r="B42" s="600" t="s">
        <v>2697</v>
      </c>
      <c r="C42" s="599" t="s">
        <v>121</v>
      </c>
      <c r="D42" s="457">
        <v>1</v>
      </c>
      <c r="E42" s="457"/>
      <c r="F42" s="457">
        <v>446.38873123975281</v>
      </c>
      <c r="G42" s="453">
        <f t="shared" si="0"/>
        <v>0</v>
      </c>
      <c r="H42" s="453">
        <f t="shared" si="1"/>
        <v>446.38873123975281</v>
      </c>
      <c r="I42" s="453">
        <f t="shared" si="2"/>
        <v>1495.402249653172</v>
      </c>
      <c r="K42" s="601"/>
    </row>
    <row r="43" spans="1:11" ht="22.5">
      <c r="A43" s="599"/>
      <c r="B43" s="600" t="s">
        <v>2698</v>
      </c>
      <c r="C43" s="599" t="s">
        <v>121</v>
      </c>
      <c r="D43" s="457">
        <v>1</v>
      </c>
      <c r="E43" s="457"/>
      <c r="F43" s="457">
        <v>521.38873123975281</v>
      </c>
      <c r="G43" s="453">
        <f t="shared" si="0"/>
        <v>0</v>
      </c>
      <c r="H43" s="453">
        <f t="shared" si="1"/>
        <v>521.38873123975281</v>
      </c>
      <c r="I43" s="453">
        <f t="shared" si="2"/>
        <v>1746.652249653172</v>
      </c>
      <c r="K43" s="601"/>
    </row>
    <row r="44" spans="1:11">
      <c r="A44" s="599"/>
      <c r="B44" s="602" t="s">
        <v>1898</v>
      </c>
      <c r="C44" s="599" t="s">
        <v>121</v>
      </c>
      <c r="D44" s="457">
        <v>1</v>
      </c>
      <c r="E44" s="457"/>
      <c r="F44" s="457">
        <v>75.138731239752801</v>
      </c>
      <c r="G44" s="453">
        <f t="shared" si="0"/>
        <v>0</v>
      </c>
      <c r="H44" s="453">
        <f t="shared" si="1"/>
        <v>75.138731239752801</v>
      </c>
      <c r="I44" s="453">
        <f t="shared" si="2"/>
        <v>251.71474965317188</v>
      </c>
      <c r="K44" s="601"/>
    </row>
    <row r="45" spans="1:11">
      <c r="A45" s="599"/>
      <c r="B45" s="602" t="s">
        <v>1899</v>
      </c>
      <c r="C45" s="599" t="s">
        <v>121</v>
      </c>
      <c r="D45" s="457">
        <v>1</v>
      </c>
      <c r="E45" s="457"/>
      <c r="F45" s="457">
        <v>75.138731239752801</v>
      </c>
      <c r="G45" s="453">
        <f t="shared" si="0"/>
        <v>0</v>
      </c>
      <c r="H45" s="453">
        <f t="shared" si="1"/>
        <v>75.138731239752801</v>
      </c>
      <c r="I45" s="453">
        <f t="shared" si="2"/>
        <v>251.71474965317188</v>
      </c>
      <c r="K45" s="601"/>
    </row>
    <row r="46" spans="1:11">
      <c r="A46" s="599"/>
      <c r="B46" s="602" t="s">
        <v>1900</v>
      </c>
      <c r="C46" s="599" t="s">
        <v>121</v>
      </c>
      <c r="D46" s="457">
        <v>1</v>
      </c>
      <c r="E46" s="457"/>
      <c r="F46" s="457">
        <v>75.138731239752801</v>
      </c>
      <c r="G46" s="453">
        <f t="shared" si="0"/>
        <v>0</v>
      </c>
      <c r="H46" s="453">
        <f t="shared" si="1"/>
        <v>75.138731239752801</v>
      </c>
      <c r="I46" s="453">
        <f t="shared" si="2"/>
        <v>251.71474965317188</v>
      </c>
      <c r="K46" s="601"/>
    </row>
    <row r="47" spans="1:11">
      <c r="A47" s="599"/>
      <c r="B47" s="602" t="s">
        <v>1901</v>
      </c>
      <c r="C47" s="599" t="s">
        <v>121</v>
      </c>
      <c r="D47" s="457">
        <v>1</v>
      </c>
      <c r="E47" s="457"/>
      <c r="F47" s="457">
        <v>93.888731239752801</v>
      </c>
      <c r="G47" s="453">
        <f t="shared" si="0"/>
        <v>0</v>
      </c>
      <c r="H47" s="453">
        <f t="shared" si="1"/>
        <v>93.888731239752801</v>
      </c>
      <c r="I47" s="453">
        <f t="shared" si="2"/>
        <v>314.52724965317191</v>
      </c>
      <c r="K47" s="601"/>
    </row>
    <row r="48" spans="1:11">
      <c r="A48" s="599"/>
      <c r="B48" s="602" t="s">
        <v>1902</v>
      </c>
      <c r="C48" s="599" t="s">
        <v>121</v>
      </c>
      <c r="D48" s="457">
        <v>2</v>
      </c>
      <c r="E48" s="457"/>
      <c r="F48" s="457">
        <v>93.888731239752801</v>
      </c>
      <c r="G48" s="453">
        <f t="shared" si="0"/>
        <v>0</v>
      </c>
      <c r="H48" s="453">
        <f t="shared" si="1"/>
        <v>187.7774624795056</v>
      </c>
      <c r="I48" s="453">
        <f t="shared" si="2"/>
        <v>629.05449930634381</v>
      </c>
      <c r="K48" s="601"/>
    </row>
    <row r="49" spans="1:11">
      <c r="A49" s="599"/>
      <c r="B49" s="602" t="s">
        <v>1903</v>
      </c>
      <c r="C49" s="599" t="s">
        <v>121</v>
      </c>
      <c r="D49" s="457">
        <v>1</v>
      </c>
      <c r="E49" s="457"/>
      <c r="F49" s="457">
        <v>17.638731239752808</v>
      </c>
      <c r="G49" s="453">
        <f t="shared" si="0"/>
        <v>0</v>
      </c>
      <c r="H49" s="453">
        <f t="shared" si="1"/>
        <v>17.638731239752808</v>
      </c>
      <c r="I49" s="453">
        <f t="shared" si="2"/>
        <v>59.089749653171907</v>
      </c>
      <c r="K49" s="601"/>
    </row>
    <row r="50" spans="1:11">
      <c r="A50" s="599"/>
      <c r="B50" s="602" t="s">
        <v>1904</v>
      </c>
      <c r="C50" s="599" t="s">
        <v>121</v>
      </c>
      <c r="D50" s="457">
        <v>1</v>
      </c>
      <c r="E50" s="457"/>
      <c r="F50" s="457">
        <v>25.138731239752808</v>
      </c>
      <c r="G50" s="453">
        <f t="shared" si="0"/>
        <v>0</v>
      </c>
      <c r="H50" s="453">
        <f t="shared" si="1"/>
        <v>25.138731239752808</v>
      </c>
      <c r="I50" s="453">
        <f t="shared" si="2"/>
        <v>84.214749653171907</v>
      </c>
      <c r="K50" s="601"/>
    </row>
    <row r="51" spans="1:11">
      <c r="A51" s="599"/>
      <c r="B51" s="454" t="s">
        <v>1905</v>
      </c>
      <c r="C51" s="599"/>
      <c r="D51" s="457"/>
      <c r="E51" s="457"/>
      <c r="F51" s="457"/>
      <c r="G51" s="453"/>
      <c r="H51" s="453"/>
      <c r="I51" s="453"/>
      <c r="K51" s="601"/>
    </row>
    <row r="52" spans="1:11" ht="22.5">
      <c r="A52" s="599"/>
      <c r="B52" s="600" t="s">
        <v>2699</v>
      </c>
      <c r="C52" s="599" t="s">
        <v>121</v>
      </c>
      <c r="D52" s="457">
        <v>1</v>
      </c>
      <c r="E52" s="457"/>
      <c r="F52" s="457">
        <v>787.63873123975281</v>
      </c>
      <c r="G52" s="453">
        <f t="shared" si="0"/>
        <v>0</v>
      </c>
      <c r="H52" s="453">
        <f t="shared" si="1"/>
        <v>787.63873123975281</v>
      </c>
      <c r="I52" s="453">
        <f t="shared" si="2"/>
        <v>2638.589749653172</v>
      </c>
      <c r="K52" s="601"/>
    </row>
    <row r="53" spans="1:11" ht="22.5">
      <c r="A53" s="599"/>
      <c r="B53" s="600" t="s">
        <v>2700</v>
      </c>
      <c r="C53" s="599" t="s">
        <v>121</v>
      </c>
      <c r="D53" s="457">
        <v>1</v>
      </c>
      <c r="E53" s="457"/>
      <c r="F53" s="457">
        <v>787.63873123975281</v>
      </c>
      <c r="G53" s="453">
        <f t="shared" si="0"/>
        <v>0</v>
      </c>
      <c r="H53" s="453">
        <f t="shared" si="1"/>
        <v>787.63873123975281</v>
      </c>
      <c r="I53" s="453">
        <f t="shared" si="2"/>
        <v>2638.589749653172</v>
      </c>
      <c r="K53" s="601"/>
    </row>
    <row r="54" spans="1:11">
      <c r="A54" s="599"/>
      <c r="B54" s="600" t="s">
        <v>1906</v>
      </c>
      <c r="C54" s="599" t="s">
        <v>121</v>
      </c>
      <c r="D54" s="457">
        <v>1</v>
      </c>
      <c r="E54" s="457"/>
      <c r="F54" s="457">
        <v>175.13873123975281</v>
      </c>
      <c r="G54" s="453">
        <f t="shared" si="0"/>
        <v>0</v>
      </c>
      <c r="H54" s="453">
        <f t="shared" si="1"/>
        <v>175.13873123975281</v>
      </c>
      <c r="I54" s="453">
        <f t="shared" si="2"/>
        <v>586.71474965317191</v>
      </c>
      <c r="K54" s="601"/>
    </row>
    <row r="55" spans="1:11">
      <c r="A55" s="599"/>
      <c r="B55" s="454" t="s">
        <v>1907</v>
      </c>
      <c r="C55" s="599"/>
      <c r="D55" s="457"/>
      <c r="E55" s="457"/>
      <c r="F55" s="457"/>
      <c r="G55" s="453"/>
      <c r="H55" s="453"/>
      <c r="I55" s="453"/>
      <c r="K55" s="601"/>
    </row>
    <row r="56" spans="1:11">
      <c r="A56" s="599"/>
      <c r="B56" s="600" t="s">
        <v>2701</v>
      </c>
      <c r="C56" s="599" t="s">
        <v>121</v>
      </c>
      <c r="D56" s="457">
        <v>1</v>
      </c>
      <c r="E56" s="457"/>
      <c r="F56" s="457">
        <v>112.6387312397528</v>
      </c>
      <c r="G56" s="453">
        <f t="shared" si="0"/>
        <v>0</v>
      </c>
      <c r="H56" s="453">
        <f t="shared" si="1"/>
        <v>112.6387312397528</v>
      </c>
      <c r="I56" s="453">
        <f t="shared" si="2"/>
        <v>377.33974965317191</v>
      </c>
      <c r="K56" s="601"/>
    </row>
    <row r="57" spans="1:11">
      <c r="A57" s="599"/>
      <c r="B57" s="600" t="s">
        <v>2702</v>
      </c>
      <c r="C57" s="599" t="s">
        <v>121</v>
      </c>
      <c r="D57" s="457">
        <v>1</v>
      </c>
      <c r="E57" s="457"/>
      <c r="F57" s="457">
        <v>112.6387312397528</v>
      </c>
      <c r="G57" s="453">
        <f t="shared" si="0"/>
        <v>0</v>
      </c>
      <c r="H57" s="453">
        <f t="shared" si="1"/>
        <v>112.6387312397528</v>
      </c>
      <c r="I57" s="453">
        <f t="shared" si="2"/>
        <v>377.33974965317191</v>
      </c>
      <c r="K57" s="601"/>
    </row>
    <row r="58" spans="1:11" ht="22.5">
      <c r="A58" s="599"/>
      <c r="B58" s="600" t="s">
        <v>2703</v>
      </c>
      <c r="C58" s="599" t="s">
        <v>121</v>
      </c>
      <c r="D58" s="457">
        <v>1</v>
      </c>
      <c r="E58" s="457"/>
      <c r="F58" s="457">
        <v>15.138731239752806</v>
      </c>
      <c r="G58" s="453">
        <f t="shared" si="0"/>
        <v>0</v>
      </c>
      <c r="H58" s="453">
        <f t="shared" si="1"/>
        <v>15.138731239752806</v>
      </c>
      <c r="I58" s="453">
        <f t="shared" si="2"/>
        <v>50.7147496531719</v>
      </c>
      <c r="K58" s="601"/>
    </row>
    <row r="59" spans="1:11">
      <c r="A59" s="599"/>
      <c r="B59" s="602" t="s">
        <v>1908</v>
      </c>
      <c r="C59" s="599" t="s">
        <v>121</v>
      </c>
      <c r="D59" s="457">
        <v>2</v>
      </c>
      <c r="E59" s="457"/>
      <c r="F59" s="457">
        <v>31.388731239752808</v>
      </c>
      <c r="G59" s="453">
        <f t="shared" si="0"/>
        <v>0</v>
      </c>
      <c r="H59" s="453">
        <f t="shared" si="1"/>
        <v>62.777462479505616</v>
      </c>
      <c r="I59" s="453">
        <f t="shared" si="2"/>
        <v>210.30449930634381</v>
      </c>
      <c r="K59" s="601"/>
    </row>
    <row r="60" spans="1:11">
      <c r="A60" s="599"/>
      <c r="B60" s="602" t="s">
        <v>1909</v>
      </c>
      <c r="C60" s="599" t="s">
        <v>121</v>
      </c>
      <c r="D60" s="457">
        <v>1</v>
      </c>
      <c r="E60" s="457"/>
      <c r="F60" s="457">
        <v>37.638731239752808</v>
      </c>
      <c r="G60" s="453">
        <f t="shared" si="0"/>
        <v>0</v>
      </c>
      <c r="H60" s="453">
        <f t="shared" si="1"/>
        <v>37.638731239752808</v>
      </c>
      <c r="I60" s="453">
        <f t="shared" si="2"/>
        <v>126.08974965317191</v>
      </c>
      <c r="K60" s="601"/>
    </row>
    <row r="61" spans="1:11">
      <c r="A61" s="599"/>
      <c r="B61" s="454" t="s">
        <v>1910</v>
      </c>
      <c r="C61" s="599"/>
      <c r="D61" s="457"/>
      <c r="E61" s="457"/>
      <c r="F61" s="457"/>
      <c r="G61" s="453"/>
      <c r="H61" s="453"/>
      <c r="I61" s="453"/>
      <c r="K61" s="601"/>
    </row>
    <row r="62" spans="1:11">
      <c r="A62" s="599"/>
      <c r="B62" s="600" t="s">
        <v>2704</v>
      </c>
      <c r="C62" s="599" t="s">
        <v>121</v>
      </c>
      <c r="D62" s="457">
        <v>1</v>
      </c>
      <c r="E62" s="457"/>
      <c r="F62" s="457">
        <v>108.8887312397528</v>
      </c>
      <c r="G62" s="453">
        <f t="shared" si="0"/>
        <v>0</v>
      </c>
      <c r="H62" s="453">
        <f t="shared" si="1"/>
        <v>108.8887312397528</v>
      </c>
      <c r="I62" s="453">
        <f t="shared" si="2"/>
        <v>364.77724965317191</v>
      </c>
      <c r="K62" s="601"/>
    </row>
    <row r="63" spans="1:11">
      <c r="A63" s="599"/>
      <c r="B63" s="602" t="s">
        <v>1911</v>
      </c>
      <c r="C63" s="599" t="s">
        <v>121</v>
      </c>
      <c r="D63" s="457">
        <v>1</v>
      </c>
      <c r="E63" s="457"/>
      <c r="F63" s="457">
        <v>212.63873123975281</v>
      </c>
      <c r="G63" s="453">
        <f t="shared" si="0"/>
        <v>0</v>
      </c>
      <c r="H63" s="453">
        <f t="shared" si="1"/>
        <v>212.63873123975281</v>
      </c>
      <c r="I63" s="453">
        <f t="shared" si="2"/>
        <v>712.33974965317191</v>
      </c>
      <c r="K63" s="601"/>
    </row>
    <row r="64" spans="1:11">
      <c r="A64" s="599"/>
      <c r="B64" s="602" t="s">
        <v>1912</v>
      </c>
      <c r="C64" s="599" t="s">
        <v>121</v>
      </c>
      <c r="D64" s="457">
        <v>2</v>
      </c>
      <c r="E64" s="457"/>
      <c r="F64" s="457">
        <v>275.13873123975281</v>
      </c>
      <c r="G64" s="453">
        <f t="shared" si="0"/>
        <v>0</v>
      </c>
      <c r="H64" s="453">
        <f t="shared" si="1"/>
        <v>550.27746247950563</v>
      </c>
      <c r="I64" s="453">
        <f t="shared" si="2"/>
        <v>1843.4294993063438</v>
      </c>
      <c r="K64" s="601"/>
    </row>
    <row r="65" spans="1:11">
      <c r="A65" s="599"/>
      <c r="B65" s="454" t="s">
        <v>1913</v>
      </c>
      <c r="C65" s="599"/>
      <c r="D65" s="457"/>
      <c r="E65" s="457"/>
      <c r="F65" s="457"/>
      <c r="G65" s="453"/>
      <c r="H65" s="453"/>
      <c r="I65" s="453"/>
      <c r="K65" s="601"/>
    </row>
    <row r="66" spans="1:11">
      <c r="A66" s="599"/>
      <c r="B66" s="600" t="s">
        <v>2705</v>
      </c>
      <c r="C66" s="599" t="s">
        <v>121</v>
      </c>
      <c r="D66" s="457">
        <v>1</v>
      </c>
      <c r="E66" s="457"/>
      <c r="F66" s="457">
        <v>63.888731239752808</v>
      </c>
      <c r="G66" s="453">
        <f t="shared" si="0"/>
        <v>0</v>
      </c>
      <c r="H66" s="453">
        <f t="shared" si="1"/>
        <v>63.888731239752808</v>
      </c>
      <c r="I66" s="453">
        <f t="shared" si="2"/>
        <v>214.02724965317191</v>
      </c>
      <c r="K66" s="601"/>
    </row>
    <row r="67" spans="1:11">
      <c r="A67" s="599"/>
      <c r="B67" s="454" t="s">
        <v>1914</v>
      </c>
      <c r="C67" s="599"/>
      <c r="D67" s="457"/>
      <c r="E67" s="457"/>
      <c r="F67" s="457"/>
      <c r="G67" s="453"/>
      <c r="H67" s="453"/>
      <c r="I67" s="453"/>
      <c r="K67" s="601"/>
    </row>
    <row r="68" spans="1:11" ht="22.5">
      <c r="A68" s="599"/>
      <c r="B68" s="600" t="s">
        <v>2706</v>
      </c>
      <c r="C68" s="599" t="s">
        <v>121</v>
      </c>
      <c r="D68" s="457">
        <v>875</v>
      </c>
      <c r="E68" s="457"/>
      <c r="F68" s="457">
        <v>15.138731239752806</v>
      </c>
      <c r="G68" s="453">
        <f t="shared" si="0"/>
        <v>0</v>
      </c>
      <c r="H68" s="453">
        <f t="shared" si="1"/>
        <v>13246.389834783706</v>
      </c>
      <c r="I68" s="453">
        <f t="shared" si="2"/>
        <v>44375.405946525418</v>
      </c>
      <c r="K68" s="601"/>
    </row>
    <row r="69" spans="1:11">
      <c r="A69" s="599"/>
      <c r="B69" s="602" t="s">
        <v>1915</v>
      </c>
      <c r="C69" s="599" t="s">
        <v>121</v>
      </c>
      <c r="D69" s="457">
        <v>20</v>
      </c>
      <c r="E69" s="457"/>
      <c r="F69" s="457">
        <v>300.13873123975281</v>
      </c>
      <c r="G69" s="453">
        <f t="shared" si="0"/>
        <v>0</v>
      </c>
      <c r="H69" s="453">
        <f t="shared" si="1"/>
        <v>6002.7746247950563</v>
      </c>
      <c r="I69" s="453">
        <f t="shared" si="2"/>
        <v>20109.294993063439</v>
      </c>
      <c r="K69" s="601"/>
    </row>
    <row r="70" spans="1:11">
      <c r="A70" s="599"/>
      <c r="B70" s="603"/>
      <c r="C70" s="599"/>
      <c r="D70" s="457"/>
      <c r="E70" s="457"/>
      <c r="F70" s="457"/>
      <c r="G70" s="453"/>
      <c r="H70" s="453"/>
      <c r="I70" s="453"/>
      <c r="K70" s="601"/>
    </row>
    <row r="71" spans="1:11">
      <c r="A71" s="599"/>
      <c r="B71" s="454" t="s">
        <v>1886</v>
      </c>
      <c r="C71" s="599"/>
      <c r="D71" s="457"/>
      <c r="E71" s="457"/>
      <c r="F71" s="457"/>
      <c r="G71" s="453"/>
      <c r="H71" s="453"/>
      <c r="I71" s="453"/>
      <c r="K71" s="601"/>
    </row>
    <row r="72" spans="1:11">
      <c r="A72" s="599"/>
      <c r="B72" s="604" t="s">
        <v>1916</v>
      </c>
      <c r="C72" s="599" t="s">
        <v>118</v>
      </c>
      <c r="D72" s="457">
        <v>610</v>
      </c>
      <c r="E72" s="457"/>
      <c r="F72" s="457">
        <v>3.513731239752806</v>
      </c>
      <c r="G72" s="453">
        <f t="shared" si="0"/>
        <v>0</v>
      </c>
      <c r="H72" s="453">
        <f t="shared" si="1"/>
        <v>2143.3760562492116</v>
      </c>
      <c r="I72" s="453">
        <f t="shared" si="2"/>
        <v>7180.309788434859</v>
      </c>
      <c r="K72" s="601"/>
    </row>
    <row r="73" spans="1:11" ht="22.5">
      <c r="A73" s="599"/>
      <c r="B73" s="605" t="s">
        <v>1917</v>
      </c>
      <c r="C73" s="599"/>
      <c r="D73" s="457"/>
      <c r="E73" s="457"/>
      <c r="F73" s="457"/>
      <c r="G73" s="453"/>
      <c r="H73" s="453"/>
      <c r="I73" s="453"/>
      <c r="K73" s="601"/>
    </row>
    <row r="74" spans="1:11">
      <c r="A74" s="599"/>
      <c r="B74" s="604" t="s">
        <v>1918</v>
      </c>
      <c r="C74" s="599" t="s">
        <v>2707</v>
      </c>
      <c r="D74" s="457">
        <v>14269</v>
      </c>
      <c r="E74" s="457"/>
      <c r="F74" s="457">
        <v>0.30123123975280619</v>
      </c>
      <c r="G74" s="453">
        <f t="shared" si="0"/>
        <v>0</v>
      </c>
      <c r="H74" s="453">
        <f t="shared" si="1"/>
        <v>4298.2685600327914</v>
      </c>
      <c r="I74" s="453">
        <f t="shared" si="2"/>
        <v>14399.199676109851</v>
      </c>
      <c r="K74" s="601"/>
    </row>
    <row r="75" spans="1:11">
      <c r="A75" s="599"/>
      <c r="B75" s="604" t="s">
        <v>1919</v>
      </c>
      <c r="C75" s="599" t="s">
        <v>121</v>
      </c>
      <c r="D75" s="457">
        <v>6</v>
      </c>
      <c r="E75" s="457"/>
      <c r="F75" s="457">
        <v>131.38873123975281</v>
      </c>
      <c r="G75" s="453">
        <f t="shared" si="0"/>
        <v>0</v>
      </c>
      <c r="H75" s="453">
        <f t="shared" si="1"/>
        <v>788.33238743851689</v>
      </c>
      <c r="I75" s="453">
        <f t="shared" si="2"/>
        <v>2640.9134979190317</v>
      </c>
      <c r="K75" s="601"/>
    </row>
    <row r="76" spans="1:11" ht="33.75">
      <c r="A76" s="599"/>
      <c r="B76" s="604" t="s">
        <v>2708</v>
      </c>
      <c r="C76" s="599" t="s">
        <v>130</v>
      </c>
      <c r="D76" s="457">
        <v>1</v>
      </c>
      <c r="E76" s="457"/>
      <c r="F76" s="457">
        <v>2125.1387312397528</v>
      </c>
      <c r="G76" s="453">
        <f t="shared" ref="G76:G130" si="3">+E76*D76</f>
        <v>0</v>
      </c>
      <c r="H76" s="453">
        <f t="shared" ref="H76:H130" si="4">+F76*D76</f>
        <v>2125.1387312397528</v>
      </c>
      <c r="I76" s="453">
        <f t="shared" ref="I76:I130" si="5">+G76+(H76*$I$3)</f>
        <v>7119.2147496531725</v>
      </c>
      <c r="K76" s="601"/>
    </row>
    <row r="77" spans="1:11">
      <c r="A77" s="599"/>
      <c r="B77" s="604" t="s">
        <v>1920</v>
      </c>
      <c r="C77" s="599" t="s">
        <v>121</v>
      </c>
      <c r="D77" s="457">
        <v>4</v>
      </c>
      <c r="E77" s="457"/>
      <c r="F77" s="457">
        <v>62.638731239752808</v>
      </c>
      <c r="G77" s="453">
        <f t="shared" si="3"/>
        <v>0</v>
      </c>
      <c r="H77" s="453">
        <f t="shared" si="4"/>
        <v>250.55492495901123</v>
      </c>
      <c r="I77" s="453">
        <f t="shared" si="5"/>
        <v>839.35899861268763</v>
      </c>
      <c r="K77" s="601"/>
    </row>
    <row r="78" spans="1:11">
      <c r="A78" s="599"/>
      <c r="B78" s="454" t="s">
        <v>1892</v>
      </c>
      <c r="C78" s="599"/>
      <c r="D78" s="457"/>
      <c r="E78" s="457"/>
      <c r="F78" s="457"/>
      <c r="G78" s="453"/>
      <c r="H78" s="453"/>
      <c r="I78" s="453"/>
      <c r="K78" s="601"/>
    </row>
    <row r="79" spans="1:11">
      <c r="A79" s="599"/>
      <c r="B79" s="604" t="s">
        <v>1916</v>
      </c>
      <c r="C79" s="599" t="s">
        <v>118</v>
      </c>
      <c r="D79" s="457">
        <v>3204</v>
      </c>
      <c r="E79" s="457"/>
      <c r="F79" s="457">
        <v>3.513731239752806</v>
      </c>
      <c r="G79" s="453">
        <f t="shared" si="3"/>
        <v>0</v>
      </c>
      <c r="H79" s="453">
        <f t="shared" si="4"/>
        <v>11257.99489216799</v>
      </c>
      <c r="I79" s="453">
        <f t="shared" si="5"/>
        <v>37714.282888762769</v>
      </c>
      <c r="K79" s="601"/>
    </row>
    <row r="80" spans="1:11" ht="22.5">
      <c r="A80" s="599"/>
      <c r="B80" s="605" t="s">
        <v>1917</v>
      </c>
      <c r="C80" s="599"/>
      <c r="D80" s="457"/>
      <c r="E80" s="457"/>
      <c r="F80" s="457"/>
      <c r="G80" s="453"/>
      <c r="H80" s="453"/>
      <c r="I80" s="453"/>
      <c r="K80" s="601"/>
    </row>
    <row r="81" spans="1:11">
      <c r="A81" s="599"/>
      <c r="B81" s="604" t="s">
        <v>1918</v>
      </c>
      <c r="C81" s="599" t="s">
        <v>2707</v>
      </c>
      <c r="D81" s="457">
        <v>26728</v>
      </c>
      <c r="E81" s="457"/>
      <c r="F81" s="457">
        <v>0.30123123975280619</v>
      </c>
      <c r="G81" s="453">
        <f t="shared" si="3"/>
        <v>0</v>
      </c>
      <c r="H81" s="453">
        <f t="shared" si="4"/>
        <v>8051.3085761130042</v>
      </c>
      <c r="I81" s="453">
        <f t="shared" si="5"/>
        <v>26971.883729978566</v>
      </c>
      <c r="K81" s="601"/>
    </row>
    <row r="82" spans="1:11">
      <c r="A82" s="599"/>
      <c r="B82" s="604" t="s">
        <v>1921</v>
      </c>
      <c r="C82" s="599" t="s">
        <v>121</v>
      </c>
      <c r="D82" s="457">
        <v>13</v>
      </c>
      <c r="E82" s="457"/>
      <c r="F82" s="457">
        <v>50.138731239752808</v>
      </c>
      <c r="G82" s="453">
        <f t="shared" si="3"/>
        <v>0</v>
      </c>
      <c r="H82" s="453">
        <f t="shared" si="4"/>
        <v>651.80350611678648</v>
      </c>
      <c r="I82" s="453">
        <f t="shared" si="5"/>
        <v>2183.5417454912349</v>
      </c>
      <c r="K82" s="601"/>
    </row>
    <row r="83" spans="1:11">
      <c r="A83" s="599"/>
      <c r="B83" s="604" t="s">
        <v>1922</v>
      </c>
      <c r="C83" s="599" t="s">
        <v>121</v>
      </c>
      <c r="D83" s="457">
        <v>13</v>
      </c>
      <c r="E83" s="457"/>
      <c r="F83" s="457">
        <v>43.888731239752808</v>
      </c>
      <c r="G83" s="453">
        <f t="shared" si="3"/>
        <v>0</v>
      </c>
      <c r="H83" s="453">
        <f t="shared" si="4"/>
        <v>570.55350611678648</v>
      </c>
      <c r="I83" s="453">
        <f t="shared" si="5"/>
        <v>1911.3542454912347</v>
      </c>
      <c r="K83" s="601"/>
    </row>
    <row r="84" spans="1:11">
      <c r="A84" s="599"/>
      <c r="B84" s="604" t="s">
        <v>1923</v>
      </c>
      <c r="C84" s="599" t="s">
        <v>121</v>
      </c>
      <c r="D84" s="457">
        <v>27</v>
      </c>
      <c r="E84" s="457"/>
      <c r="F84" s="457">
        <v>62.638731239752808</v>
      </c>
      <c r="G84" s="453">
        <f t="shared" si="3"/>
        <v>0</v>
      </c>
      <c r="H84" s="453">
        <f t="shared" si="4"/>
        <v>1691.2457434733258</v>
      </c>
      <c r="I84" s="453">
        <f t="shared" si="5"/>
        <v>5665.6732406356414</v>
      </c>
      <c r="K84" s="601"/>
    </row>
    <row r="85" spans="1:11" ht="45">
      <c r="A85" s="599"/>
      <c r="B85" s="604" t="s">
        <v>2709</v>
      </c>
      <c r="C85" s="599" t="s">
        <v>130</v>
      </c>
      <c r="D85" s="457">
        <v>1</v>
      </c>
      <c r="E85" s="457"/>
      <c r="F85" s="457">
        <v>7250.1387312397528</v>
      </c>
      <c r="G85" s="453">
        <f t="shared" si="3"/>
        <v>0</v>
      </c>
      <c r="H85" s="453">
        <f t="shared" si="4"/>
        <v>7250.1387312397528</v>
      </c>
      <c r="I85" s="453">
        <f t="shared" si="5"/>
        <v>24287.964749653172</v>
      </c>
      <c r="K85" s="601"/>
    </row>
    <row r="86" spans="1:11">
      <c r="A86" s="599"/>
      <c r="B86" s="604" t="s">
        <v>1924</v>
      </c>
      <c r="C86" s="599" t="s">
        <v>121</v>
      </c>
      <c r="D86" s="457">
        <v>33</v>
      </c>
      <c r="E86" s="457"/>
      <c r="F86" s="457">
        <v>62.638731239752808</v>
      </c>
      <c r="G86" s="453">
        <f t="shared" si="3"/>
        <v>0</v>
      </c>
      <c r="H86" s="453">
        <f t="shared" si="4"/>
        <v>2067.0781309118424</v>
      </c>
      <c r="I86" s="453">
        <f t="shared" si="5"/>
        <v>6924.7117385546726</v>
      </c>
      <c r="K86" s="601"/>
    </row>
    <row r="87" spans="1:11">
      <c r="A87" s="599"/>
      <c r="B87" s="454" t="s">
        <v>1925</v>
      </c>
      <c r="C87" s="599"/>
      <c r="D87" s="457"/>
      <c r="E87" s="457"/>
      <c r="F87" s="457"/>
      <c r="G87" s="453"/>
      <c r="H87" s="453"/>
      <c r="I87" s="453"/>
      <c r="K87" s="601"/>
    </row>
    <row r="88" spans="1:11">
      <c r="A88" s="599"/>
      <c r="B88" s="604" t="s">
        <v>1926</v>
      </c>
      <c r="C88" s="599" t="s">
        <v>118</v>
      </c>
      <c r="D88" s="457">
        <v>425</v>
      </c>
      <c r="E88" s="457"/>
      <c r="F88" s="457">
        <v>3.513731239752806</v>
      </c>
      <c r="G88" s="453">
        <f t="shared" si="3"/>
        <v>0</v>
      </c>
      <c r="H88" s="453">
        <f t="shared" si="4"/>
        <v>1493.3357768949425</v>
      </c>
      <c r="I88" s="453">
        <f t="shared" si="5"/>
        <v>5002.6748525980574</v>
      </c>
      <c r="K88" s="601"/>
    </row>
    <row r="89" spans="1:11" ht="22.5">
      <c r="A89" s="599"/>
      <c r="B89" s="605" t="s">
        <v>1917</v>
      </c>
      <c r="C89" s="599"/>
      <c r="D89" s="457"/>
      <c r="E89" s="457"/>
      <c r="F89" s="457"/>
      <c r="G89" s="453"/>
      <c r="H89" s="453"/>
      <c r="I89" s="453"/>
      <c r="K89" s="601"/>
    </row>
    <row r="90" spans="1:11">
      <c r="A90" s="599"/>
      <c r="B90" s="604" t="s">
        <v>1918</v>
      </c>
      <c r="C90" s="599" t="s">
        <v>2707</v>
      </c>
      <c r="D90" s="457">
        <v>900</v>
      </c>
      <c r="E90" s="457"/>
      <c r="F90" s="457">
        <v>0.30123123975280619</v>
      </c>
      <c r="G90" s="453">
        <f t="shared" si="3"/>
        <v>0</v>
      </c>
      <c r="H90" s="453">
        <f t="shared" si="4"/>
        <v>271.1081157775256</v>
      </c>
      <c r="I90" s="453">
        <f t="shared" si="5"/>
        <v>908.21218785471081</v>
      </c>
      <c r="K90" s="601"/>
    </row>
    <row r="91" spans="1:11">
      <c r="A91" s="599"/>
      <c r="B91" s="604" t="s">
        <v>1919</v>
      </c>
      <c r="C91" s="599" t="s">
        <v>121</v>
      </c>
      <c r="D91" s="457">
        <v>2</v>
      </c>
      <c r="E91" s="457"/>
      <c r="F91" s="457">
        <v>93.888731239752801</v>
      </c>
      <c r="G91" s="453">
        <f t="shared" si="3"/>
        <v>0</v>
      </c>
      <c r="H91" s="453">
        <f t="shared" si="4"/>
        <v>187.7774624795056</v>
      </c>
      <c r="I91" s="453">
        <f t="shared" si="5"/>
        <v>629.05449930634381</v>
      </c>
      <c r="K91" s="601"/>
    </row>
    <row r="92" spans="1:11">
      <c r="A92" s="599"/>
      <c r="B92" s="604" t="s">
        <v>1927</v>
      </c>
      <c r="C92" s="599" t="s">
        <v>121</v>
      </c>
      <c r="D92" s="457">
        <v>2</v>
      </c>
      <c r="E92" s="457"/>
      <c r="F92" s="457">
        <v>15.138731239752806</v>
      </c>
      <c r="G92" s="453">
        <f t="shared" si="3"/>
        <v>0</v>
      </c>
      <c r="H92" s="453">
        <f t="shared" si="4"/>
        <v>30.277462479505612</v>
      </c>
      <c r="I92" s="453">
        <f t="shared" si="5"/>
        <v>101.4294993063438</v>
      </c>
      <c r="K92" s="601"/>
    </row>
    <row r="93" spans="1:11">
      <c r="A93" s="599"/>
      <c r="B93" s="604" t="s">
        <v>1928</v>
      </c>
      <c r="C93" s="599" t="s">
        <v>130</v>
      </c>
      <c r="D93" s="457">
        <v>1</v>
      </c>
      <c r="E93" s="457"/>
      <c r="F93" s="457">
        <v>575.13873123975281</v>
      </c>
      <c r="G93" s="453">
        <f t="shared" si="3"/>
        <v>0</v>
      </c>
      <c r="H93" s="453">
        <f t="shared" si="4"/>
        <v>575.13873123975281</v>
      </c>
      <c r="I93" s="453">
        <f t="shared" si="5"/>
        <v>1926.714749653172</v>
      </c>
      <c r="K93" s="601"/>
    </row>
    <row r="94" spans="1:11">
      <c r="A94" s="599"/>
      <c r="B94" s="454" t="s">
        <v>1897</v>
      </c>
      <c r="C94" s="599"/>
      <c r="D94" s="457"/>
      <c r="E94" s="457"/>
      <c r="F94" s="457"/>
      <c r="G94" s="453"/>
      <c r="H94" s="453"/>
      <c r="I94" s="453"/>
      <c r="K94" s="601"/>
    </row>
    <row r="95" spans="1:11">
      <c r="A95" s="599"/>
      <c r="B95" s="604" t="s">
        <v>1926</v>
      </c>
      <c r="C95" s="599" t="s">
        <v>118</v>
      </c>
      <c r="D95" s="457">
        <v>580</v>
      </c>
      <c r="E95" s="457"/>
      <c r="F95" s="457">
        <v>3.513731239752806</v>
      </c>
      <c r="G95" s="453">
        <f t="shared" si="3"/>
        <v>0</v>
      </c>
      <c r="H95" s="453">
        <f t="shared" si="4"/>
        <v>2037.9641190566274</v>
      </c>
      <c r="I95" s="453">
        <f t="shared" si="5"/>
        <v>6827.179798839702</v>
      </c>
      <c r="K95" s="601"/>
    </row>
    <row r="96" spans="1:11" ht="22.5">
      <c r="A96" s="599"/>
      <c r="B96" s="605" t="s">
        <v>1917</v>
      </c>
      <c r="C96" s="599"/>
      <c r="D96" s="457"/>
      <c r="E96" s="457"/>
      <c r="F96" s="457"/>
      <c r="G96" s="453"/>
      <c r="H96" s="453"/>
      <c r="I96" s="453"/>
      <c r="K96" s="601"/>
    </row>
    <row r="97" spans="1:11">
      <c r="A97" s="599"/>
      <c r="B97" s="604" t="s">
        <v>1918</v>
      </c>
      <c r="C97" s="599" t="s">
        <v>2707</v>
      </c>
      <c r="D97" s="457">
        <v>644</v>
      </c>
      <c r="E97" s="457"/>
      <c r="F97" s="457">
        <v>0.30123123975280619</v>
      </c>
      <c r="G97" s="453">
        <f t="shared" si="3"/>
        <v>0</v>
      </c>
      <c r="H97" s="453">
        <f t="shared" si="4"/>
        <v>193.99291840080718</v>
      </c>
      <c r="I97" s="453">
        <f t="shared" si="5"/>
        <v>649.87627664270406</v>
      </c>
      <c r="K97" s="601"/>
    </row>
    <row r="98" spans="1:11">
      <c r="A98" s="599"/>
      <c r="B98" s="604" t="s">
        <v>1919</v>
      </c>
      <c r="C98" s="599" t="s">
        <v>121</v>
      </c>
      <c r="D98" s="457">
        <v>3</v>
      </c>
      <c r="E98" s="457"/>
      <c r="F98" s="457">
        <v>62.638731239752808</v>
      </c>
      <c r="G98" s="453">
        <f t="shared" si="3"/>
        <v>0</v>
      </c>
      <c r="H98" s="453">
        <f t="shared" si="4"/>
        <v>187.91619371925842</v>
      </c>
      <c r="I98" s="453">
        <f t="shared" si="5"/>
        <v>629.51924895951572</v>
      </c>
      <c r="K98" s="601"/>
    </row>
    <row r="99" spans="1:11">
      <c r="A99" s="599"/>
      <c r="B99" s="604" t="s">
        <v>1927</v>
      </c>
      <c r="C99" s="599" t="s">
        <v>121</v>
      </c>
      <c r="D99" s="457">
        <v>6</v>
      </c>
      <c r="E99" s="457"/>
      <c r="F99" s="457">
        <v>12.638731239752806</v>
      </c>
      <c r="G99" s="453">
        <f t="shared" si="3"/>
        <v>0</v>
      </c>
      <c r="H99" s="453">
        <f t="shared" si="4"/>
        <v>75.832387438516832</v>
      </c>
      <c r="I99" s="453">
        <f t="shared" si="5"/>
        <v>254.03849791903139</v>
      </c>
      <c r="K99" s="601"/>
    </row>
    <row r="100" spans="1:11">
      <c r="A100" s="599"/>
      <c r="B100" s="604" t="s">
        <v>1929</v>
      </c>
      <c r="C100" s="599" t="s">
        <v>130</v>
      </c>
      <c r="D100" s="457">
        <v>1</v>
      </c>
      <c r="E100" s="457"/>
      <c r="F100" s="457">
        <v>750.13873123975281</v>
      </c>
      <c r="G100" s="453">
        <f t="shared" si="3"/>
        <v>0</v>
      </c>
      <c r="H100" s="453">
        <f t="shared" si="4"/>
        <v>750.13873123975281</v>
      </c>
      <c r="I100" s="453">
        <f t="shared" si="5"/>
        <v>2512.964749653172</v>
      </c>
      <c r="K100" s="601"/>
    </row>
    <row r="101" spans="1:11">
      <c r="A101" s="599"/>
      <c r="B101" s="454" t="s">
        <v>1905</v>
      </c>
      <c r="C101" s="599"/>
      <c r="D101" s="457"/>
      <c r="E101" s="457"/>
      <c r="F101" s="457"/>
      <c r="G101" s="453"/>
      <c r="H101" s="453"/>
      <c r="I101" s="453"/>
      <c r="K101" s="601"/>
    </row>
    <row r="102" spans="1:11">
      <c r="A102" s="599"/>
      <c r="B102" s="604" t="s">
        <v>1926</v>
      </c>
      <c r="C102" s="599" t="s">
        <v>118</v>
      </c>
      <c r="D102" s="457">
        <v>85</v>
      </c>
      <c r="E102" s="457"/>
      <c r="F102" s="457">
        <v>3.513731239752806</v>
      </c>
      <c r="G102" s="453">
        <f t="shared" si="3"/>
        <v>0</v>
      </c>
      <c r="H102" s="453">
        <f t="shared" si="4"/>
        <v>298.66715537898853</v>
      </c>
      <c r="I102" s="453">
        <f t="shared" si="5"/>
        <v>1000.5349705196115</v>
      </c>
      <c r="K102" s="601"/>
    </row>
    <row r="103" spans="1:11" ht="22.5">
      <c r="A103" s="599"/>
      <c r="B103" s="605" t="s">
        <v>1917</v>
      </c>
      <c r="C103" s="599"/>
      <c r="D103" s="457"/>
      <c r="E103" s="457"/>
      <c r="F103" s="457"/>
      <c r="G103" s="453"/>
      <c r="H103" s="453"/>
      <c r="I103" s="453"/>
      <c r="K103" s="601"/>
    </row>
    <row r="104" spans="1:11">
      <c r="A104" s="599"/>
      <c r="B104" s="604" t="s">
        <v>1918</v>
      </c>
      <c r="C104" s="599" t="s">
        <v>2707</v>
      </c>
      <c r="D104" s="457">
        <v>2760</v>
      </c>
      <c r="E104" s="457"/>
      <c r="F104" s="457">
        <v>0.30123123975280619</v>
      </c>
      <c r="G104" s="453">
        <f t="shared" si="3"/>
        <v>0</v>
      </c>
      <c r="H104" s="453">
        <f t="shared" si="4"/>
        <v>831.39822171774506</v>
      </c>
      <c r="I104" s="453">
        <f t="shared" si="5"/>
        <v>2785.1840427544462</v>
      </c>
      <c r="K104" s="601"/>
    </row>
    <row r="105" spans="1:11">
      <c r="A105" s="599"/>
      <c r="B105" s="604" t="s">
        <v>1919</v>
      </c>
      <c r="C105" s="599" t="s">
        <v>121</v>
      </c>
      <c r="D105" s="457">
        <v>2</v>
      </c>
      <c r="E105" s="457"/>
      <c r="F105" s="457">
        <v>62.638731239752808</v>
      </c>
      <c r="G105" s="453">
        <f t="shared" si="3"/>
        <v>0</v>
      </c>
      <c r="H105" s="453">
        <f t="shared" si="4"/>
        <v>125.27746247950562</v>
      </c>
      <c r="I105" s="453">
        <f t="shared" si="5"/>
        <v>419.67949930634381</v>
      </c>
      <c r="K105" s="601"/>
    </row>
    <row r="106" spans="1:11">
      <c r="A106" s="599"/>
      <c r="B106" s="604" t="s">
        <v>1929</v>
      </c>
      <c r="C106" s="599" t="s">
        <v>130</v>
      </c>
      <c r="D106" s="457">
        <v>1</v>
      </c>
      <c r="E106" s="457"/>
      <c r="F106" s="457">
        <v>575.13873123975281</v>
      </c>
      <c r="G106" s="453">
        <f t="shared" si="3"/>
        <v>0</v>
      </c>
      <c r="H106" s="453">
        <f t="shared" si="4"/>
        <v>575.13873123975281</v>
      </c>
      <c r="I106" s="453">
        <f t="shared" si="5"/>
        <v>1926.714749653172</v>
      </c>
      <c r="K106" s="601"/>
    </row>
    <row r="107" spans="1:11">
      <c r="A107" s="599"/>
      <c r="B107" s="454" t="s">
        <v>1907</v>
      </c>
      <c r="C107" s="599"/>
      <c r="D107" s="457"/>
      <c r="E107" s="457"/>
      <c r="F107" s="457"/>
      <c r="G107" s="453"/>
      <c r="H107" s="453"/>
      <c r="I107" s="453"/>
      <c r="K107" s="601"/>
    </row>
    <row r="108" spans="1:11">
      <c r="A108" s="599"/>
      <c r="B108" s="604" t="s">
        <v>1926</v>
      </c>
      <c r="C108" s="599" t="s">
        <v>118</v>
      </c>
      <c r="D108" s="457">
        <v>80</v>
      </c>
      <c r="E108" s="457"/>
      <c r="F108" s="457">
        <v>3.513731239752806</v>
      </c>
      <c r="G108" s="453">
        <f t="shared" si="3"/>
        <v>0</v>
      </c>
      <c r="H108" s="453">
        <f t="shared" si="4"/>
        <v>281.09849918022451</v>
      </c>
      <c r="I108" s="453">
        <f t="shared" si="5"/>
        <v>941.67997225375211</v>
      </c>
      <c r="K108" s="601"/>
    </row>
    <row r="109" spans="1:11" ht="22.5">
      <c r="A109" s="599"/>
      <c r="B109" s="605" t="s">
        <v>1917</v>
      </c>
      <c r="C109" s="599"/>
      <c r="D109" s="457"/>
      <c r="E109" s="457"/>
      <c r="F109" s="457"/>
      <c r="G109" s="453"/>
      <c r="H109" s="453"/>
      <c r="I109" s="453"/>
      <c r="K109" s="601"/>
    </row>
    <row r="110" spans="1:11">
      <c r="A110" s="599"/>
      <c r="B110" s="604" t="s">
        <v>1918</v>
      </c>
      <c r="C110" s="599" t="s">
        <v>2707</v>
      </c>
      <c r="D110" s="457">
        <v>204</v>
      </c>
      <c r="E110" s="457"/>
      <c r="F110" s="457">
        <v>0.30123123975280619</v>
      </c>
      <c r="G110" s="453">
        <f t="shared" si="3"/>
        <v>0</v>
      </c>
      <c r="H110" s="453">
        <f t="shared" si="4"/>
        <v>61.451172909572463</v>
      </c>
      <c r="I110" s="453">
        <f t="shared" si="5"/>
        <v>205.86142924706775</v>
      </c>
      <c r="K110" s="601"/>
    </row>
    <row r="111" spans="1:11">
      <c r="A111" s="599"/>
      <c r="B111" s="604" t="s">
        <v>1930</v>
      </c>
      <c r="C111" s="599" t="s">
        <v>121</v>
      </c>
      <c r="D111" s="457">
        <v>2</v>
      </c>
      <c r="E111" s="457"/>
      <c r="F111" s="457">
        <v>31.388731239752808</v>
      </c>
      <c r="G111" s="453">
        <f t="shared" si="3"/>
        <v>0</v>
      </c>
      <c r="H111" s="453">
        <f t="shared" si="4"/>
        <v>62.777462479505616</v>
      </c>
      <c r="I111" s="453">
        <f t="shared" si="5"/>
        <v>210.30449930634381</v>
      </c>
      <c r="K111" s="601"/>
    </row>
    <row r="112" spans="1:11" ht="22.5">
      <c r="A112" s="599"/>
      <c r="B112" s="604" t="s">
        <v>1931</v>
      </c>
      <c r="C112" s="599" t="s">
        <v>121</v>
      </c>
      <c r="D112" s="457">
        <v>1</v>
      </c>
      <c r="E112" s="457"/>
      <c r="F112" s="457">
        <v>7.638731239752806</v>
      </c>
      <c r="G112" s="453">
        <f t="shared" si="3"/>
        <v>0</v>
      </c>
      <c r="H112" s="453">
        <f t="shared" si="4"/>
        <v>7.638731239752806</v>
      </c>
      <c r="I112" s="453">
        <f t="shared" si="5"/>
        <v>25.5897496531719</v>
      </c>
      <c r="K112" s="601"/>
    </row>
    <row r="113" spans="1:11">
      <c r="A113" s="599"/>
      <c r="B113" s="604" t="s">
        <v>1929</v>
      </c>
      <c r="C113" s="599"/>
      <c r="D113" s="457">
        <v>1</v>
      </c>
      <c r="E113" s="457"/>
      <c r="F113" s="457">
        <v>500.13873123975281</v>
      </c>
      <c r="G113" s="453">
        <f t="shared" si="3"/>
        <v>0</v>
      </c>
      <c r="H113" s="453">
        <f t="shared" si="4"/>
        <v>500.13873123975281</v>
      </c>
      <c r="I113" s="453">
        <f t="shared" si="5"/>
        <v>1675.464749653172</v>
      </c>
      <c r="K113" s="601"/>
    </row>
    <row r="114" spans="1:11">
      <c r="A114" s="599"/>
      <c r="B114" s="454" t="s">
        <v>1910</v>
      </c>
      <c r="C114" s="599"/>
      <c r="D114" s="457"/>
      <c r="E114" s="457"/>
      <c r="F114" s="457"/>
      <c r="G114" s="453"/>
      <c r="H114" s="453"/>
      <c r="I114" s="453"/>
      <c r="K114" s="601"/>
    </row>
    <row r="115" spans="1:11">
      <c r="A115" s="599"/>
      <c r="B115" s="604" t="s">
        <v>1926</v>
      </c>
      <c r="C115" s="599" t="s">
        <v>118</v>
      </c>
      <c r="D115" s="457">
        <v>95</v>
      </c>
      <c r="E115" s="457"/>
      <c r="F115" s="457">
        <v>3.513731239752806</v>
      </c>
      <c r="G115" s="453">
        <f t="shared" si="3"/>
        <v>0</v>
      </c>
      <c r="H115" s="453">
        <f t="shared" si="4"/>
        <v>333.80446777651656</v>
      </c>
      <c r="I115" s="453">
        <f t="shared" si="5"/>
        <v>1118.2449670513306</v>
      </c>
      <c r="K115" s="601"/>
    </row>
    <row r="116" spans="1:11" ht="22.5">
      <c r="A116" s="599"/>
      <c r="B116" s="605" t="s">
        <v>1917</v>
      </c>
      <c r="C116" s="599"/>
      <c r="D116" s="457"/>
      <c r="E116" s="457"/>
      <c r="F116" s="457"/>
      <c r="G116" s="453"/>
      <c r="H116" s="453"/>
      <c r="I116" s="453"/>
      <c r="K116" s="601"/>
    </row>
    <row r="117" spans="1:11">
      <c r="A117" s="599"/>
      <c r="B117" s="604" t="s">
        <v>1918</v>
      </c>
      <c r="C117" s="599" t="s">
        <v>2707</v>
      </c>
      <c r="D117" s="457">
        <v>1423</v>
      </c>
      <c r="E117" s="457"/>
      <c r="F117" s="457">
        <v>0.30123123975280619</v>
      </c>
      <c r="G117" s="453">
        <f t="shared" si="3"/>
        <v>0</v>
      </c>
      <c r="H117" s="453">
        <f t="shared" si="4"/>
        <v>428.65205416824318</v>
      </c>
      <c r="I117" s="453">
        <f t="shared" si="5"/>
        <v>1435.9843814636147</v>
      </c>
      <c r="K117" s="601"/>
    </row>
    <row r="118" spans="1:11">
      <c r="A118" s="599"/>
      <c r="B118" s="604" t="s">
        <v>1932</v>
      </c>
      <c r="C118" s="599" t="s">
        <v>121</v>
      </c>
      <c r="D118" s="457">
        <v>2</v>
      </c>
      <c r="E118" s="457"/>
      <c r="F118" s="457">
        <v>25.138731239752808</v>
      </c>
      <c r="G118" s="453">
        <f t="shared" si="3"/>
        <v>0</v>
      </c>
      <c r="H118" s="453">
        <f t="shared" si="4"/>
        <v>50.277462479505616</v>
      </c>
      <c r="I118" s="453">
        <f t="shared" si="5"/>
        <v>168.42949930634381</v>
      </c>
      <c r="K118" s="601"/>
    </row>
    <row r="119" spans="1:11">
      <c r="A119" s="599"/>
      <c r="B119" s="604" t="s">
        <v>1927</v>
      </c>
      <c r="C119" s="599" t="s">
        <v>121</v>
      </c>
      <c r="D119" s="457">
        <v>2</v>
      </c>
      <c r="E119" s="457"/>
      <c r="F119" s="457">
        <v>12.638731239752806</v>
      </c>
      <c r="G119" s="453">
        <f t="shared" si="3"/>
        <v>0</v>
      </c>
      <c r="H119" s="453">
        <f t="shared" si="4"/>
        <v>25.277462479505612</v>
      </c>
      <c r="I119" s="453">
        <f t="shared" si="5"/>
        <v>84.6794993063438</v>
      </c>
      <c r="K119" s="601"/>
    </row>
    <row r="120" spans="1:11">
      <c r="A120" s="599"/>
      <c r="B120" s="604" t="s">
        <v>1929</v>
      </c>
      <c r="C120" s="599" t="s">
        <v>130</v>
      </c>
      <c r="D120" s="457">
        <v>1</v>
      </c>
      <c r="E120" s="457"/>
      <c r="F120" s="457">
        <v>250.13873123975281</v>
      </c>
      <c r="G120" s="453">
        <f t="shared" si="3"/>
        <v>0</v>
      </c>
      <c r="H120" s="453">
        <f t="shared" si="4"/>
        <v>250.13873123975281</v>
      </c>
      <c r="I120" s="453">
        <f t="shared" si="5"/>
        <v>837.96474965317191</v>
      </c>
      <c r="K120" s="601"/>
    </row>
    <row r="121" spans="1:11">
      <c r="A121" s="599"/>
      <c r="B121" s="454" t="s">
        <v>1913</v>
      </c>
      <c r="C121" s="599"/>
      <c r="D121" s="457"/>
      <c r="E121" s="457"/>
      <c r="F121" s="457"/>
      <c r="G121" s="453"/>
      <c r="H121" s="453"/>
      <c r="I121" s="453"/>
      <c r="K121" s="601"/>
    </row>
    <row r="122" spans="1:11" ht="22.5">
      <c r="A122" s="599"/>
      <c r="B122" s="605" t="s">
        <v>1917</v>
      </c>
      <c r="C122" s="599"/>
      <c r="D122" s="457"/>
      <c r="E122" s="457"/>
      <c r="F122" s="457"/>
      <c r="G122" s="453"/>
      <c r="H122" s="453"/>
      <c r="I122" s="453"/>
      <c r="K122" s="601"/>
    </row>
    <row r="123" spans="1:11">
      <c r="A123" s="599"/>
      <c r="B123" s="604" t="s">
        <v>1918</v>
      </c>
      <c r="C123" s="599" t="s">
        <v>2707</v>
      </c>
      <c r="D123" s="457">
        <v>200</v>
      </c>
      <c r="E123" s="457"/>
      <c r="F123" s="457">
        <v>0.30123123975280619</v>
      </c>
      <c r="G123" s="453">
        <f t="shared" si="3"/>
        <v>0</v>
      </c>
      <c r="H123" s="453">
        <f t="shared" si="4"/>
        <v>60.246247950561241</v>
      </c>
      <c r="I123" s="453">
        <f t="shared" si="5"/>
        <v>201.82493063438017</v>
      </c>
      <c r="K123" s="601"/>
    </row>
    <row r="124" spans="1:11">
      <c r="A124" s="599"/>
      <c r="B124" s="604" t="s">
        <v>1933</v>
      </c>
      <c r="C124" s="599" t="s">
        <v>121</v>
      </c>
      <c r="D124" s="457">
        <v>1</v>
      </c>
      <c r="E124" s="457"/>
      <c r="F124" s="457">
        <v>150.13873123975281</v>
      </c>
      <c r="G124" s="453">
        <f t="shared" si="3"/>
        <v>0</v>
      </c>
      <c r="H124" s="453">
        <f t="shared" si="4"/>
        <v>150.13873123975281</v>
      </c>
      <c r="I124" s="453">
        <f t="shared" si="5"/>
        <v>502.96474965317196</v>
      </c>
      <c r="K124" s="601"/>
    </row>
    <row r="125" spans="1:11">
      <c r="A125" s="599"/>
      <c r="B125" s="454" t="s">
        <v>1914</v>
      </c>
      <c r="C125" s="599"/>
      <c r="D125" s="457"/>
      <c r="E125" s="457"/>
      <c r="F125" s="457"/>
      <c r="G125" s="453"/>
      <c r="H125" s="453"/>
      <c r="I125" s="453"/>
      <c r="K125" s="601"/>
    </row>
    <row r="126" spans="1:11">
      <c r="A126" s="599"/>
      <c r="B126" s="604" t="s">
        <v>1916</v>
      </c>
      <c r="C126" s="599" t="s">
        <v>118</v>
      </c>
      <c r="D126" s="457">
        <v>240</v>
      </c>
      <c r="E126" s="457"/>
      <c r="F126" s="457">
        <v>3.513731239752806</v>
      </c>
      <c r="G126" s="453">
        <f t="shared" si="3"/>
        <v>0</v>
      </c>
      <c r="H126" s="453">
        <f t="shared" si="4"/>
        <v>843.29549754067341</v>
      </c>
      <c r="I126" s="453">
        <f t="shared" si="5"/>
        <v>2825.0399167612559</v>
      </c>
      <c r="K126" s="601"/>
    </row>
    <row r="127" spans="1:11">
      <c r="A127" s="599"/>
      <c r="B127" s="454" t="s">
        <v>1914</v>
      </c>
      <c r="C127" s="599"/>
      <c r="D127" s="457"/>
      <c r="E127" s="457"/>
      <c r="F127" s="457"/>
      <c r="G127" s="453"/>
      <c r="H127" s="453"/>
      <c r="I127" s="453"/>
      <c r="K127" s="601"/>
    </row>
    <row r="128" spans="1:11">
      <c r="A128" s="599"/>
      <c r="B128" s="604" t="s">
        <v>1916</v>
      </c>
      <c r="C128" s="599" t="s">
        <v>118</v>
      </c>
      <c r="D128" s="457">
        <v>1000</v>
      </c>
      <c r="E128" s="457"/>
      <c r="F128" s="457">
        <v>3.513731239752806</v>
      </c>
      <c r="G128" s="453">
        <f t="shared" si="3"/>
        <v>0</v>
      </c>
      <c r="H128" s="453">
        <f t="shared" si="4"/>
        <v>3513.7312397528058</v>
      </c>
      <c r="I128" s="453">
        <f t="shared" si="5"/>
        <v>11770.999653171899</v>
      </c>
      <c r="K128" s="601"/>
    </row>
    <row r="129" spans="1:13" ht="22.5">
      <c r="A129" s="599"/>
      <c r="B129" s="604" t="s">
        <v>1931</v>
      </c>
      <c r="C129" s="599" t="s">
        <v>121</v>
      </c>
      <c r="D129" s="457">
        <v>875</v>
      </c>
      <c r="E129" s="457"/>
      <c r="F129" s="457">
        <v>7.638731239752806</v>
      </c>
      <c r="G129" s="453">
        <f t="shared" si="3"/>
        <v>0</v>
      </c>
      <c r="H129" s="453">
        <f t="shared" si="4"/>
        <v>6683.8898347837048</v>
      </c>
      <c r="I129" s="453">
        <f t="shared" si="5"/>
        <v>22391.03094652541</v>
      </c>
      <c r="K129" s="601"/>
    </row>
    <row r="130" spans="1:13">
      <c r="A130" s="599"/>
      <c r="B130" s="604" t="s">
        <v>1934</v>
      </c>
      <c r="C130" s="599" t="s">
        <v>121</v>
      </c>
      <c r="D130" s="457">
        <v>1</v>
      </c>
      <c r="E130" s="457"/>
      <c r="F130" s="457">
        <v>6250.1387312397528</v>
      </c>
      <c r="G130" s="453">
        <f t="shared" si="3"/>
        <v>0</v>
      </c>
      <c r="H130" s="453">
        <f t="shared" si="4"/>
        <v>6250.1387312397528</v>
      </c>
      <c r="I130" s="453">
        <f t="shared" si="5"/>
        <v>20937.964749653172</v>
      </c>
      <c r="K130" s="601"/>
    </row>
    <row r="131" spans="1:13">
      <c r="A131" s="436" t="s">
        <v>1935</v>
      </c>
      <c r="B131" s="451" t="s">
        <v>1560</v>
      </c>
      <c r="C131" s="595"/>
      <c r="D131" s="452"/>
      <c r="E131" s="452"/>
      <c r="F131" s="452"/>
      <c r="G131" s="452"/>
      <c r="H131" s="596"/>
      <c r="I131" s="596">
        <f>SUM(H132:H134)</f>
        <v>21663.56</v>
      </c>
      <c r="K131" s="5"/>
      <c r="M131" s="586"/>
    </row>
    <row r="132" spans="1:13" ht="78.75">
      <c r="A132" s="606" t="s">
        <v>1936</v>
      </c>
      <c r="B132" s="607" t="s">
        <v>2710</v>
      </c>
      <c r="C132" s="606" t="s">
        <v>130</v>
      </c>
      <c r="D132" s="608">
        <v>1</v>
      </c>
      <c r="E132" s="608"/>
      <c r="F132" s="457">
        <v>10561</v>
      </c>
      <c r="G132" s="609">
        <f t="shared" ref="G132:G134" si="6">+E132*D132</f>
        <v>0</v>
      </c>
      <c r="H132" s="610">
        <f t="shared" ref="H132:H134" si="7">+F132*D132</f>
        <v>10561</v>
      </c>
      <c r="I132" s="609">
        <f t="shared" ref="I132:I134" si="8">+G132+(H132*$I$3)</f>
        <v>35379.35</v>
      </c>
      <c r="M132" s="586"/>
    </row>
    <row r="133" spans="1:13" ht="45">
      <c r="A133" s="606" t="s">
        <v>1937</v>
      </c>
      <c r="B133" s="607" t="s">
        <v>2711</v>
      </c>
      <c r="C133" s="606" t="s">
        <v>130</v>
      </c>
      <c r="D133" s="608">
        <v>1</v>
      </c>
      <c r="E133" s="608"/>
      <c r="F133" s="457">
        <v>10112</v>
      </c>
      <c r="G133" s="609">
        <f t="shared" si="6"/>
        <v>0</v>
      </c>
      <c r="H133" s="610">
        <f t="shared" si="7"/>
        <v>10112</v>
      </c>
      <c r="I133" s="609">
        <f t="shared" si="8"/>
        <v>33875.200000000004</v>
      </c>
      <c r="M133" s="586"/>
    </row>
    <row r="134" spans="1:13">
      <c r="A134" s="606" t="s">
        <v>1941</v>
      </c>
      <c r="B134" s="607" t="s">
        <v>1942</v>
      </c>
      <c r="C134" s="606" t="s">
        <v>130</v>
      </c>
      <c r="D134" s="608">
        <v>1</v>
      </c>
      <c r="E134" s="608"/>
      <c r="F134" s="457">
        <v>990.56</v>
      </c>
      <c r="G134" s="609">
        <f t="shared" si="6"/>
        <v>0</v>
      </c>
      <c r="H134" s="610">
        <f t="shared" si="7"/>
        <v>990.56</v>
      </c>
      <c r="I134" s="609">
        <f t="shared" si="8"/>
        <v>3318.3759999999997</v>
      </c>
      <c r="M134" s="586"/>
    </row>
    <row r="135" spans="1:13">
      <c r="A135" s="436" t="s">
        <v>1935</v>
      </c>
      <c r="B135" s="451" t="s">
        <v>45</v>
      </c>
      <c r="C135" s="595"/>
      <c r="D135" s="452"/>
      <c r="E135" s="452"/>
      <c r="F135" s="452"/>
      <c r="G135" s="452"/>
      <c r="H135" s="596"/>
      <c r="I135" s="596">
        <f>SUM(H136:H139)</f>
        <v>300590.70999999996</v>
      </c>
      <c r="M135" s="586"/>
    </row>
    <row r="136" spans="1:13">
      <c r="A136" s="606" t="s">
        <v>1936</v>
      </c>
      <c r="B136" s="607" t="s">
        <v>1943</v>
      </c>
      <c r="C136" s="606" t="s">
        <v>121</v>
      </c>
      <c r="D136" s="608">
        <v>4</v>
      </c>
      <c r="E136" s="608"/>
      <c r="F136" s="457">
        <v>60057.81</v>
      </c>
      <c r="G136" s="609">
        <f t="shared" ref="G136:G139" si="9">+E136*D136</f>
        <v>0</v>
      </c>
      <c r="H136" s="610">
        <f t="shared" ref="H136:H139" si="10">+F136*D136</f>
        <v>240231.24</v>
      </c>
      <c r="I136" s="609">
        <f t="shared" ref="I136:I139" si="11">+G136+(H136*$I$3)</f>
        <v>804774.65399999998</v>
      </c>
      <c r="M136" s="586"/>
    </row>
    <row r="137" spans="1:13">
      <c r="A137" s="606" t="s">
        <v>1936</v>
      </c>
      <c r="B137" s="607" t="s">
        <v>1944</v>
      </c>
      <c r="C137" s="606" t="s">
        <v>121</v>
      </c>
      <c r="D137" s="608">
        <v>1</v>
      </c>
      <c r="E137" s="608"/>
      <c r="F137" s="457">
        <v>31417.23</v>
      </c>
      <c r="G137" s="609">
        <f t="shared" si="9"/>
        <v>0</v>
      </c>
      <c r="H137" s="610">
        <f t="shared" si="10"/>
        <v>31417.23</v>
      </c>
      <c r="I137" s="609">
        <f t="shared" si="11"/>
        <v>105247.7205</v>
      </c>
      <c r="M137" s="586"/>
    </row>
    <row r="138" spans="1:13">
      <c r="A138" s="606" t="s">
        <v>1945</v>
      </c>
      <c r="B138" s="607" t="s">
        <v>1946</v>
      </c>
      <c r="C138" s="606" t="s">
        <v>121</v>
      </c>
      <c r="D138" s="608">
        <v>1</v>
      </c>
      <c r="E138" s="608"/>
      <c r="F138" s="457">
        <v>7500</v>
      </c>
      <c r="G138" s="609">
        <f t="shared" si="9"/>
        <v>0</v>
      </c>
      <c r="H138" s="610">
        <f t="shared" si="10"/>
        <v>7500</v>
      </c>
      <c r="I138" s="609">
        <f t="shared" si="11"/>
        <v>25125</v>
      </c>
      <c r="M138" s="586"/>
    </row>
    <row r="139" spans="1:13">
      <c r="A139" s="606" t="s">
        <v>1945</v>
      </c>
      <c r="B139" s="607" t="s">
        <v>1947</v>
      </c>
      <c r="C139" s="606" t="s">
        <v>121</v>
      </c>
      <c r="D139" s="608">
        <v>1</v>
      </c>
      <c r="E139" s="608"/>
      <c r="F139" s="457">
        <v>21442.240000000002</v>
      </c>
      <c r="G139" s="609">
        <f t="shared" si="9"/>
        <v>0</v>
      </c>
      <c r="H139" s="610">
        <f t="shared" si="10"/>
        <v>21442.240000000002</v>
      </c>
      <c r="I139" s="609">
        <f t="shared" si="11"/>
        <v>71831.504000000001</v>
      </c>
      <c r="M139" s="586"/>
    </row>
    <row r="140" spans="1:13">
      <c r="A140" s="436" t="s">
        <v>1935</v>
      </c>
      <c r="B140" s="451" t="s">
        <v>1948</v>
      </c>
      <c r="C140" s="595"/>
      <c r="D140" s="452"/>
      <c r="E140" s="452"/>
      <c r="F140" s="452"/>
      <c r="G140" s="452"/>
      <c r="H140" s="596"/>
      <c r="I140" s="596">
        <f>SUM(H141:H144)</f>
        <v>6750</v>
      </c>
      <c r="M140" s="586"/>
    </row>
    <row r="141" spans="1:13">
      <c r="A141" s="606" t="s">
        <v>1937</v>
      </c>
      <c r="B141" s="607" t="s">
        <v>1948</v>
      </c>
      <c r="C141" s="606" t="s">
        <v>121</v>
      </c>
      <c r="D141" s="608">
        <v>1</v>
      </c>
      <c r="E141" s="608"/>
      <c r="F141" s="457">
        <v>6750</v>
      </c>
      <c r="G141" s="609">
        <f t="shared" ref="G141" si="12">+E141*D141</f>
        <v>0</v>
      </c>
      <c r="H141" s="610">
        <f t="shared" ref="H141" si="13">+F141*D141</f>
        <v>6750</v>
      </c>
      <c r="I141" s="609">
        <f t="shared" ref="I141" si="14">+G141+(H141*$I$3)</f>
        <v>22612.5</v>
      </c>
      <c r="M141" s="586"/>
    </row>
  </sheetData>
  <mergeCells count="1">
    <mergeCell ref="A2:H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F501-D50C-49C9-9BBA-D55A2CF3EF50}">
  <dimension ref="A1:K180"/>
  <sheetViews>
    <sheetView topLeftCell="A165" workbookViewId="0">
      <selection activeCell="I197" sqref="I197"/>
    </sheetView>
  </sheetViews>
  <sheetFormatPr defaultColWidth="11.42578125" defaultRowHeight="15"/>
  <cols>
    <col min="2" max="2" width="68.28515625" customWidth="1"/>
    <col min="7" max="7" width="11.85546875" bestFit="1" customWidth="1"/>
    <col min="9" max="9" width="11.85546875" bestFit="1" customWidth="1"/>
    <col min="11" max="11" width="13.5703125" bestFit="1" customWidth="1"/>
  </cols>
  <sheetData>
    <row r="1" spans="1:11">
      <c r="A1" s="32"/>
      <c r="B1" s="416"/>
      <c r="C1" s="15"/>
      <c r="D1" s="14"/>
      <c r="E1" s="417"/>
      <c r="F1" s="418"/>
      <c r="G1" s="417"/>
      <c r="H1" s="419"/>
      <c r="I1" s="138"/>
      <c r="J1" s="138"/>
    </row>
    <row r="2" spans="1:11">
      <c r="A2" s="781" t="s">
        <v>1949</v>
      </c>
      <c r="B2" s="781"/>
      <c r="C2" s="781"/>
      <c r="D2" s="781"/>
      <c r="E2" s="781"/>
      <c r="F2" s="781"/>
      <c r="G2" s="781"/>
      <c r="H2" s="781"/>
      <c r="I2" s="138"/>
      <c r="J2" s="138"/>
    </row>
    <row r="3" spans="1:11">
      <c r="A3" s="32"/>
      <c r="B3" s="416"/>
      <c r="C3" s="15"/>
      <c r="D3" s="14"/>
      <c r="E3" s="417"/>
      <c r="F3" s="418"/>
      <c r="G3" s="417"/>
      <c r="H3" s="420" t="s">
        <v>1826</v>
      </c>
      <c r="I3" s="421">
        <v>3.35</v>
      </c>
      <c r="J3" s="138"/>
    </row>
    <row r="4" spans="1:11">
      <c r="A4" s="110" t="s">
        <v>7</v>
      </c>
      <c r="B4" s="422" t="s">
        <v>5</v>
      </c>
      <c r="C4" s="14"/>
      <c r="D4" s="423"/>
      <c r="E4" s="423"/>
      <c r="F4" s="423"/>
      <c r="G4" s="423"/>
      <c r="H4" s="419"/>
      <c r="I4" s="138"/>
      <c r="J4" s="138"/>
    </row>
    <row r="5" spans="1:11">
      <c r="A5" s="110" t="s">
        <v>67</v>
      </c>
      <c r="B5" s="422" t="s">
        <v>1950</v>
      </c>
      <c r="C5" s="14"/>
      <c r="D5" s="423"/>
      <c r="E5" s="423"/>
      <c r="F5" s="423"/>
      <c r="G5" s="423"/>
      <c r="H5" s="419"/>
      <c r="I5" s="138"/>
      <c r="J5" s="138"/>
    </row>
    <row r="6" spans="1:11">
      <c r="A6" s="110" t="s">
        <v>10</v>
      </c>
      <c r="B6" s="422" t="s">
        <v>1828</v>
      </c>
      <c r="C6" s="14"/>
      <c r="D6" s="424"/>
      <c r="E6" s="424"/>
      <c r="F6" s="425" t="s">
        <v>1829</v>
      </c>
      <c r="G6" s="426">
        <v>46133</v>
      </c>
      <c r="H6" s="427"/>
      <c r="I6" s="138"/>
      <c r="J6" s="138"/>
      <c r="K6" s="487"/>
    </row>
    <row r="7" spans="1:11" ht="15.75" thickBot="1">
      <c r="A7" s="110" t="s">
        <v>12</v>
      </c>
      <c r="B7" s="422"/>
      <c r="C7" s="15"/>
      <c r="D7" s="14"/>
      <c r="E7" s="417"/>
      <c r="F7" s="418"/>
      <c r="G7" s="417"/>
      <c r="H7" s="419"/>
      <c r="I7" s="138"/>
      <c r="J7" s="138"/>
    </row>
    <row r="8" spans="1:11" ht="15.75" thickTop="1">
      <c r="A8" s="428" t="s">
        <v>20</v>
      </c>
      <c r="B8" s="429" t="s">
        <v>69</v>
      </c>
      <c r="C8" s="430" t="s">
        <v>70</v>
      </c>
      <c r="D8" s="431" t="s">
        <v>885</v>
      </c>
      <c r="E8" s="432" t="s">
        <v>1830</v>
      </c>
      <c r="F8" s="433" t="s">
        <v>1831</v>
      </c>
      <c r="G8" s="432" t="s">
        <v>1832</v>
      </c>
      <c r="H8" s="434" t="s">
        <v>1833</v>
      </c>
      <c r="I8" s="435" t="s">
        <v>54</v>
      </c>
      <c r="J8" s="507"/>
    </row>
    <row r="9" spans="1:11">
      <c r="A9" s="436" t="s">
        <v>888</v>
      </c>
      <c r="B9" s="437" t="s">
        <v>1949</v>
      </c>
      <c r="C9" s="438"/>
      <c r="D9" s="436"/>
      <c r="E9" s="437"/>
      <c r="F9" s="439"/>
      <c r="G9" s="440">
        <f>SUM(G10:G180)</f>
        <v>2904701.3681999962</v>
      </c>
      <c r="H9" s="441">
        <f>SUM(H10:H179)</f>
        <v>492473.21149999998</v>
      </c>
      <c r="I9" s="440">
        <f>SUM(I10:I180)</f>
        <v>4554486.6267249994</v>
      </c>
      <c r="J9" s="508"/>
    </row>
    <row r="10" spans="1:11">
      <c r="A10" s="442" t="s">
        <v>1834</v>
      </c>
      <c r="B10" s="442" t="s">
        <v>1951</v>
      </c>
      <c r="C10" s="509"/>
      <c r="D10" s="509"/>
      <c r="E10" s="509"/>
      <c r="F10" s="509"/>
      <c r="G10" s="443"/>
      <c r="H10" s="443"/>
      <c r="I10" s="443"/>
    </row>
    <row r="11" spans="1:11">
      <c r="A11" s="444" t="s">
        <v>1952</v>
      </c>
      <c r="B11" s="444" t="s">
        <v>1953</v>
      </c>
      <c r="C11" s="509"/>
      <c r="D11" s="509"/>
      <c r="E11" s="509"/>
      <c r="F11" s="509"/>
      <c r="G11" s="443"/>
      <c r="H11" s="443"/>
      <c r="I11" s="443"/>
    </row>
    <row r="12" spans="1:11">
      <c r="A12" s="445" t="s">
        <v>1837</v>
      </c>
      <c r="B12" s="445" t="s">
        <v>1954</v>
      </c>
      <c r="C12" s="445" t="s">
        <v>1955</v>
      </c>
      <c r="D12" s="446">
        <v>376</v>
      </c>
      <c r="E12" s="446">
        <v>49.8</v>
      </c>
      <c r="F12" s="446">
        <v>5.54</v>
      </c>
      <c r="G12" s="447">
        <f>+E12*D12</f>
        <v>18724.8</v>
      </c>
      <c r="H12" s="448">
        <f>+F12*D12</f>
        <v>2083.04</v>
      </c>
      <c r="I12" s="447">
        <f>+G12+(H12*$I$3)</f>
        <v>25702.984</v>
      </c>
    </row>
    <row r="13" spans="1:11">
      <c r="A13" s="445" t="s">
        <v>1838</v>
      </c>
      <c r="B13" s="445" t="s">
        <v>1956</v>
      </c>
      <c r="C13" s="445" t="s">
        <v>1955</v>
      </c>
      <c r="D13" s="446">
        <v>444</v>
      </c>
      <c r="E13" s="446">
        <v>50.7</v>
      </c>
      <c r="F13" s="446">
        <v>5.54</v>
      </c>
      <c r="G13" s="447">
        <f t="shared" ref="G13:G76" si="0">+E13*D13</f>
        <v>22510.800000000003</v>
      </c>
      <c r="H13" s="448">
        <f t="shared" ref="H13:H76" si="1">+F13*D13</f>
        <v>2459.7600000000002</v>
      </c>
      <c r="I13" s="447">
        <f t="shared" ref="I13:I76" si="2">+G13+(H13*$I$3)</f>
        <v>30750.996000000006</v>
      </c>
    </row>
    <row r="14" spans="1:11">
      <c r="A14" s="445" t="s">
        <v>1839</v>
      </c>
      <c r="B14" s="445" t="s">
        <v>1957</v>
      </c>
      <c r="C14" s="445" t="s">
        <v>1955</v>
      </c>
      <c r="D14" s="446">
        <v>232</v>
      </c>
      <c r="E14" s="446">
        <v>60.1</v>
      </c>
      <c r="F14" s="446">
        <v>5.54</v>
      </c>
      <c r="G14" s="447">
        <f t="shared" si="0"/>
        <v>13943.2</v>
      </c>
      <c r="H14" s="448">
        <f t="shared" si="1"/>
        <v>1285.28</v>
      </c>
      <c r="I14" s="447">
        <f t="shared" si="2"/>
        <v>18248.887999999999</v>
      </c>
    </row>
    <row r="15" spans="1:11">
      <c r="A15" s="445" t="s">
        <v>1840</v>
      </c>
      <c r="B15" s="445" t="s">
        <v>1958</v>
      </c>
      <c r="C15" s="445" t="s">
        <v>1955</v>
      </c>
      <c r="D15" s="446">
        <v>270</v>
      </c>
      <c r="E15" s="446">
        <v>60.1</v>
      </c>
      <c r="F15" s="446">
        <v>5.54</v>
      </c>
      <c r="G15" s="447">
        <f t="shared" si="0"/>
        <v>16227</v>
      </c>
      <c r="H15" s="448">
        <f t="shared" si="1"/>
        <v>1495.8</v>
      </c>
      <c r="I15" s="447">
        <f t="shared" si="2"/>
        <v>21237.93</v>
      </c>
    </row>
    <row r="16" spans="1:11">
      <c r="A16" s="445" t="s">
        <v>1841</v>
      </c>
      <c r="B16" s="445" t="s">
        <v>1959</v>
      </c>
      <c r="C16" s="445" t="s">
        <v>1955</v>
      </c>
      <c r="D16" s="446">
        <v>57</v>
      </c>
      <c r="E16" s="446">
        <v>60.1</v>
      </c>
      <c r="F16" s="446">
        <v>5.54</v>
      </c>
      <c r="G16" s="447">
        <f t="shared" si="0"/>
        <v>3425.7000000000003</v>
      </c>
      <c r="H16" s="448">
        <f t="shared" si="1"/>
        <v>315.78000000000003</v>
      </c>
      <c r="I16" s="447">
        <f t="shared" si="2"/>
        <v>4483.5630000000001</v>
      </c>
    </row>
    <row r="17" spans="1:9">
      <c r="A17" s="445" t="s">
        <v>1842</v>
      </c>
      <c r="B17" s="445" t="s">
        <v>1960</v>
      </c>
      <c r="C17" s="445" t="s">
        <v>1955</v>
      </c>
      <c r="D17" s="446">
        <v>3</v>
      </c>
      <c r="E17" s="446">
        <v>60.1</v>
      </c>
      <c r="F17" s="446">
        <v>5.54</v>
      </c>
      <c r="G17" s="447">
        <f t="shared" si="0"/>
        <v>180.3</v>
      </c>
      <c r="H17" s="448">
        <f t="shared" si="1"/>
        <v>16.62</v>
      </c>
      <c r="I17" s="447">
        <f t="shared" si="2"/>
        <v>235.97700000000003</v>
      </c>
    </row>
    <row r="18" spans="1:9">
      <c r="A18" s="445" t="s">
        <v>1843</v>
      </c>
      <c r="B18" s="445" t="s">
        <v>1961</v>
      </c>
      <c r="C18" s="445" t="s">
        <v>1955</v>
      </c>
      <c r="D18" s="446">
        <v>6</v>
      </c>
      <c r="E18" s="446">
        <v>60.1</v>
      </c>
      <c r="F18" s="446">
        <v>5.54</v>
      </c>
      <c r="G18" s="447">
        <f t="shared" si="0"/>
        <v>360.6</v>
      </c>
      <c r="H18" s="448">
        <f t="shared" si="1"/>
        <v>33.24</v>
      </c>
      <c r="I18" s="447">
        <f t="shared" si="2"/>
        <v>471.95400000000006</v>
      </c>
    </row>
    <row r="19" spans="1:9">
      <c r="A19" s="445" t="s">
        <v>1844</v>
      </c>
      <c r="B19" s="445" t="s">
        <v>1962</v>
      </c>
      <c r="C19" s="445" t="s">
        <v>1955</v>
      </c>
      <c r="D19" s="446">
        <v>55</v>
      </c>
      <c r="E19" s="446">
        <v>60.1</v>
      </c>
      <c r="F19" s="446">
        <v>5.54</v>
      </c>
      <c r="G19" s="447">
        <f t="shared" si="0"/>
        <v>3305.5</v>
      </c>
      <c r="H19" s="448">
        <f t="shared" si="1"/>
        <v>304.7</v>
      </c>
      <c r="I19" s="447">
        <f t="shared" si="2"/>
        <v>4326.2449999999999</v>
      </c>
    </row>
    <row r="20" spans="1:9">
      <c r="A20" s="445" t="s">
        <v>1880</v>
      </c>
      <c r="B20" s="445" t="s">
        <v>1963</v>
      </c>
      <c r="C20" s="445" t="s">
        <v>1955</v>
      </c>
      <c r="D20" s="446">
        <v>671</v>
      </c>
      <c r="E20" s="446">
        <v>60.1</v>
      </c>
      <c r="F20" s="446">
        <v>5.54</v>
      </c>
      <c r="G20" s="447">
        <f t="shared" si="0"/>
        <v>40327.1</v>
      </c>
      <c r="H20" s="448">
        <f t="shared" si="1"/>
        <v>3717.34</v>
      </c>
      <c r="I20" s="447">
        <f t="shared" si="2"/>
        <v>52780.188999999998</v>
      </c>
    </row>
    <row r="21" spans="1:9">
      <c r="A21" s="445" t="s">
        <v>1964</v>
      </c>
      <c r="B21" s="445" t="s">
        <v>1965</v>
      </c>
      <c r="C21" s="445" t="s">
        <v>1955</v>
      </c>
      <c r="D21" s="446">
        <v>866</v>
      </c>
      <c r="E21" s="446">
        <v>60.1</v>
      </c>
      <c r="F21" s="446">
        <v>5.54</v>
      </c>
      <c r="G21" s="447">
        <f t="shared" si="0"/>
        <v>52046.6</v>
      </c>
      <c r="H21" s="448">
        <f t="shared" si="1"/>
        <v>4797.6400000000003</v>
      </c>
      <c r="I21" s="447">
        <f t="shared" si="2"/>
        <v>68118.694000000003</v>
      </c>
    </row>
    <row r="22" spans="1:9">
      <c r="A22" s="444" t="s">
        <v>1935</v>
      </c>
      <c r="B22" s="444" t="s">
        <v>1966</v>
      </c>
      <c r="C22" s="509"/>
      <c r="D22" s="509"/>
      <c r="E22" s="509"/>
      <c r="F22" s="509"/>
      <c r="G22" s="447">
        <f t="shared" si="0"/>
        <v>0</v>
      </c>
      <c r="H22" s="448">
        <f t="shared" si="1"/>
        <v>0</v>
      </c>
      <c r="I22" s="447">
        <f t="shared" si="2"/>
        <v>0</v>
      </c>
    </row>
    <row r="23" spans="1:9">
      <c r="A23" s="445" t="s">
        <v>1936</v>
      </c>
      <c r="B23" s="445" t="s">
        <v>1959</v>
      </c>
      <c r="C23" s="445" t="s">
        <v>1955</v>
      </c>
      <c r="D23" s="446">
        <v>346</v>
      </c>
      <c r="E23" s="446">
        <v>47.56</v>
      </c>
      <c r="F23" s="446">
        <v>5.7</v>
      </c>
      <c r="G23" s="447">
        <f t="shared" si="0"/>
        <v>16455.760000000002</v>
      </c>
      <c r="H23" s="448">
        <f t="shared" si="1"/>
        <v>1972.2</v>
      </c>
      <c r="I23" s="447">
        <f t="shared" si="2"/>
        <v>23062.63</v>
      </c>
    </row>
    <row r="24" spans="1:9">
      <c r="A24" s="445" t="s">
        <v>1945</v>
      </c>
      <c r="B24" s="445" t="s">
        <v>1954</v>
      </c>
      <c r="C24" s="445" t="s">
        <v>1955</v>
      </c>
      <c r="D24" s="446">
        <v>2939</v>
      </c>
      <c r="E24" s="446">
        <v>47.56</v>
      </c>
      <c r="F24" s="446">
        <v>4.87</v>
      </c>
      <c r="G24" s="447">
        <f t="shared" si="0"/>
        <v>139778.84</v>
      </c>
      <c r="H24" s="448">
        <f t="shared" si="1"/>
        <v>14312.93</v>
      </c>
      <c r="I24" s="447">
        <f t="shared" si="2"/>
        <v>187727.15549999999</v>
      </c>
    </row>
    <row r="25" spans="1:9">
      <c r="A25" s="445" t="s">
        <v>1937</v>
      </c>
      <c r="B25" s="445" t="s">
        <v>1967</v>
      </c>
      <c r="C25" s="445" t="s">
        <v>1955</v>
      </c>
      <c r="D25" s="446">
        <v>278</v>
      </c>
      <c r="E25" s="446">
        <v>47.56</v>
      </c>
      <c r="F25" s="446">
        <v>5.7</v>
      </c>
      <c r="G25" s="447">
        <f t="shared" si="0"/>
        <v>13221.68</v>
      </c>
      <c r="H25" s="448">
        <f t="shared" si="1"/>
        <v>1584.6000000000001</v>
      </c>
      <c r="I25" s="447">
        <f t="shared" si="2"/>
        <v>18530.09</v>
      </c>
    </row>
    <row r="26" spans="1:9">
      <c r="A26" s="444" t="s">
        <v>1968</v>
      </c>
      <c r="B26" s="444" t="s">
        <v>1969</v>
      </c>
      <c r="C26" s="509"/>
      <c r="D26" s="509"/>
      <c r="E26" s="509"/>
      <c r="F26" s="509"/>
      <c r="G26" s="447">
        <f t="shared" si="0"/>
        <v>0</v>
      </c>
      <c r="H26" s="448">
        <f t="shared" si="1"/>
        <v>0</v>
      </c>
      <c r="I26" s="447">
        <f t="shared" si="2"/>
        <v>0</v>
      </c>
    </row>
    <row r="27" spans="1:9">
      <c r="A27" s="445" t="s">
        <v>1970</v>
      </c>
      <c r="B27" s="445" t="s">
        <v>1971</v>
      </c>
      <c r="C27" s="445" t="s">
        <v>1955</v>
      </c>
      <c r="D27" s="446">
        <v>1718</v>
      </c>
      <c r="E27" s="446">
        <v>48.81</v>
      </c>
      <c r="F27" s="446">
        <v>4.92</v>
      </c>
      <c r="G27" s="447">
        <f t="shared" si="0"/>
        <v>83855.58</v>
      </c>
      <c r="H27" s="448">
        <f t="shared" si="1"/>
        <v>8452.56</v>
      </c>
      <c r="I27" s="447">
        <f t="shared" si="2"/>
        <v>112171.656</v>
      </c>
    </row>
    <row r="28" spans="1:9">
      <c r="A28" s="445" t="s">
        <v>1972</v>
      </c>
      <c r="B28" s="445" t="s">
        <v>1973</v>
      </c>
      <c r="C28" s="445" t="s">
        <v>1955</v>
      </c>
      <c r="D28" s="446">
        <v>492</v>
      </c>
      <c r="E28" s="446">
        <v>48.81</v>
      </c>
      <c r="F28" s="446">
        <v>5.6</v>
      </c>
      <c r="G28" s="447">
        <f t="shared" si="0"/>
        <v>24014.52</v>
      </c>
      <c r="H28" s="448">
        <f t="shared" si="1"/>
        <v>2755.2</v>
      </c>
      <c r="I28" s="447">
        <f t="shared" si="2"/>
        <v>33244.44</v>
      </c>
    </row>
    <row r="29" spans="1:9">
      <c r="A29" s="445" t="s">
        <v>1974</v>
      </c>
      <c r="B29" s="445" t="s">
        <v>1975</v>
      </c>
      <c r="C29" s="445" t="s">
        <v>1955</v>
      </c>
      <c r="D29" s="446">
        <v>1089</v>
      </c>
      <c r="E29" s="446">
        <v>48.81</v>
      </c>
      <c r="F29" s="446">
        <v>8.84</v>
      </c>
      <c r="G29" s="447">
        <f t="shared" si="0"/>
        <v>53154.090000000004</v>
      </c>
      <c r="H29" s="448">
        <f t="shared" si="1"/>
        <v>9626.76</v>
      </c>
      <c r="I29" s="447">
        <f t="shared" si="2"/>
        <v>85403.736000000004</v>
      </c>
    </row>
    <row r="30" spans="1:9">
      <c r="A30" s="445" t="s">
        <v>1976</v>
      </c>
      <c r="B30" s="445" t="s">
        <v>1977</v>
      </c>
      <c r="C30" s="445" t="s">
        <v>1955</v>
      </c>
      <c r="D30" s="446">
        <v>276</v>
      </c>
      <c r="E30" s="446">
        <v>49.26</v>
      </c>
      <c r="F30" s="446">
        <v>14.69</v>
      </c>
      <c r="G30" s="447">
        <f t="shared" si="0"/>
        <v>13595.76</v>
      </c>
      <c r="H30" s="448">
        <f t="shared" si="1"/>
        <v>4054.44</v>
      </c>
      <c r="I30" s="447">
        <f t="shared" si="2"/>
        <v>27178.133999999998</v>
      </c>
    </row>
    <row r="31" spans="1:9">
      <c r="A31" s="442" t="s">
        <v>1846</v>
      </c>
      <c r="B31" s="442" t="s">
        <v>1978</v>
      </c>
      <c r="C31" s="509"/>
      <c r="D31" s="509"/>
      <c r="E31" s="509"/>
      <c r="F31" s="509"/>
      <c r="G31" s="447">
        <f t="shared" si="0"/>
        <v>0</v>
      </c>
      <c r="H31" s="448">
        <f t="shared" si="1"/>
        <v>0</v>
      </c>
      <c r="I31" s="447">
        <f t="shared" si="2"/>
        <v>0</v>
      </c>
    </row>
    <row r="32" spans="1:9">
      <c r="A32" s="444" t="s">
        <v>1980</v>
      </c>
      <c r="B32" s="444" t="s">
        <v>2561</v>
      </c>
      <c r="C32" s="509"/>
      <c r="D32" s="509"/>
      <c r="E32" s="509"/>
      <c r="F32" s="509"/>
      <c r="G32" s="447">
        <f t="shared" si="0"/>
        <v>0</v>
      </c>
      <c r="H32" s="448">
        <f t="shared" si="1"/>
        <v>0</v>
      </c>
      <c r="I32" s="447">
        <f t="shared" si="2"/>
        <v>0</v>
      </c>
    </row>
    <row r="33" spans="1:9">
      <c r="A33" s="445" t="s">
        <v>1982</v>
      </c>
      <c r="B33" s="445" t="s">
        <v>2562</v>
      </c>
      <c r="C33" s="445" t="s">
        <v>130</v>
      </c>
      <c r="D33" s="446">
        <v>1</v>
      </c>
      <c r="E33" s="446">
        <v>457627</v>
      </c>
      <c r="F33" s="446">
        <v>0</v>
      </c>
      <c r="G33" s="447">
        <f t="shared" si="0"/>
        <v>457627</v>
      </c>
      <c r="H33" s="448">
        <f t="shared" si="1"/>
        <v>0</v>
      </c>
      <c r="I33" s="447">
        <f t="shared" si="2"/>
        <v>457627</v>
      </c>
    </row>
    <row r="34" spans="1:9">
      <c r="A34" s="442" t="s">
        <v>2060</v>
      </c>
      <c r="B34" s="442" t="s">
        <v>1979</v>
      </c>
      <c r="C34" s="509"/>
      <c r="D34" s="509"/>
      <c r="E34" s="509"/>
      <c r="F34" s="509"/>
      <c r="G34" s="447">
        <f t="shared" si="0"/>
        <v>0</v>
      </c>
      <c r="H34" s="448">
        <f t="shared" si="1"/>
        <v>0</v>
      </c>
      <c r="I34" s="447">
        <f t="shared" si="2"/>
        <v>0</v>
      </c>
    </row>
    <row r="35" spans="1:9">
      <c r="A35" s="444" t="s">
        <v>2254</v>
      </c>
      <c r="B35" s="444" t="s">
        <v>1981</v>
      </c>
      <c r="C35" s="509"/>
      <c r="D35" s="509"/>
      <c r="E35" s="509"/>
      <c r="F35" s="509"/>
      <c r="G35" s="447">
        <f t="shared" si="0"/>
        <v>0</v>
      </c>
      <c r="H35" s="448">
        <f t="shared" si="1"/>
        <v>0</v>
      </c>
      <c r="I35" s="447">
        <f t="shared" si="2"/>
        <v>0</v>
      </c>
    </row>
    <row r="36" spans="1:9">
      <c r="A36" s="445" t="s">
        <v>2256</v>
      </c>
      <c r="B36" s="445" t="s">
        <v>1983</v>
      </c>
      <c r="C36" s="445" t="s">
        <v>1955</v>
      </c>
      <c r="D36" s="446">
        <f>5137+3</f>
        <v>5140</v>
      </c>
      <c r="E36" s="446">
        <v>47.05</v>
      </c>
      <c r="F36" s="446">
        <v>7.09</v>
      </c>
      <c r="G36" s="447">
        <f t="shared" si="0"/>
        <v>241836.99999999997</v>
      </c>
      <c r="H36" s="448">
        <f t="shared" si="1"/>
        <v>36442.6</v>
      </c>
      <c r="I36" s="447">
        <f t="shared" si="2"/>
        <v>363919.70999999996</v>
      </c>
    </row>
    <row r="37" spans="1:9">
      <c r="A37" s="445" t="s">
        <v>2258</v>
      </c>
      <c r="B37" s="445" t="s">
        <v>1985</v>
      </c>
      <c r="C37" s="445" t="s">
        <v>1955</v>
      </c>
      <c r="D37" s="446">
        <v>125</v>
      </c>
      <c r="E37" s="446">
        <v>59.67</v>
      </c>
      <c r="F37" s="446">
        <v>5.54</v>
      </c>
      <c r="G37" s="447">
        <f t="shared" si="0"/>
        <v>7458.75</v>
      </c>
      <c r="H37" s="448">
        <f t="shared" si="1"/>
        <v>692.5</v>
      </c>
      <c r="I37" s="447">
        <f t="shared" si="2"/>
        <v>9778.625</v>
      </c>
    </row>
    <row r="38" spans="1:9">
      <c r="A38" s="445" t="s">
        <v>2260</v>
      </c>
      <c r="B38" s="445" t="s">
        <v>1986</v>
      </c>
      <c r="C38" s="445" t="s">
        <v>1955</v>
      </c>
      <c r="D38" s="446">
        <v>109</v>
      </c>
      <c r="E38" s="446">
        <v>58.89</v>
      </c>
      <c r="F38" s="446">
        <v>5.54</v>
      </c>
      <c r="G38" s="447">
        <f t="shared" si="0"/>
        <v>6419.01</v>
      </c>
      <c r="H38" s="448">
        <f t="shared" si="1"/>
        <v>603.86</v>
      </c>
      <c r="I38" s="447">
        <f t="shared" si="2"/>
        <v>8441.9410000000007</v>
      </c>
    </row>
    <row r="39" spans="1:9">
      <c r="A39" s="445" t="s">
        <v>2262</v>
      </c>
      <c r="B39" s="445" t="s">
        <v>1987</v>
      </c>
      <c r="C39" s="445" t="s">
        <v>1955</v>
      </c>
      <c r="D39" s="446">
        <v>334</v>
      </c>
      <c r="E39" s="446">
        <v>58.89</v>
      </c>
      <c r="F39" s="446">
        <v>8.35</v>
      </c>
      <c r="G39" s="447">
        <f t="shared" si="0"/>
        <v>19669.259999999998</v>
      </c>
      <c r="H39" s="448">
        <f t="shared" si="1"/>
        <v>2788.9</v>
      </c>
      <c r="I39" s="447">
        <f t="shared" si="2"/>
        <v>29012.074999999997</v>
      </c>
    </row>
    <row r="40" spans="1:9">
      <c r="A40" s="445" t="s">
        <v>2264</v>
      </c>
      <c r="B40" s="445" t="s">
        <v>1988</v>
      </c>
      <c r="C40" s="445" t="s">
        <v>1955</v>
      </c>
      <c r="D40" s="446">
        <v>334</v>
      </c>
      <c r="E40" s="446">
        <v>58.89</v>
      </c>
      <c r="F40" s="446">
        <v>8.35</v>
      </c>
      <c r="G40" s="447">
        <f t="shared" si="0"/>
        <v>19669.259999999998</v>
      </c>
      <c r="H40" s="448">
        <f t="shared" si="1"/>
        <v>2788.9</v>
      </c>
      <c r="I40" s="447">
        <f t="shared" si="2"/>
        <v>29012.074999999997</v>
      </c>
    </row>
    <row r="41" spans="1:9">
      <c r="A41" s="445" t="s">
        <v>2266</v>
      </c>
      <c r="B41" s="445" t="s">
        <v>1989</v>
      </c>
      <c r="C41" s="445" t="s">
        <v>1955</v>
      </c>
      <c r="D41" s="446">
        <v>334</v>
      </c>
      <c r="E41" s="446">
        <v>58.89</v>
      </c>
      <c r="F41" s="446">
        <v>3.46</v>
      </c>
      <c r="G41" s="447">
        <f t="shared" si="0"/>
        <v>19669.259999999998</v>
      </c>
      <c r="H41" s="448">
        <f t="shared" si="1"/>
        <v>1155.6400000000001</v>
      </c>
      <c r="I41" s="447">
        <f t="shared" si="2"/>
        <v>23540.653999999999</v>
      </c>
    </row>
    <row r="42" spans="1:9">
      <c r="A42" s="445" t="s">
        <v>2268</v>
      </c>
      <c r="B42" s="445" t="s">
        <v>1990</v>
      </c>
      <c r="C42" s="445" t="s">
        <v>1955</v>
      </c>
      <c r="D42" s="446">
        <v>334</v>
      </c>
      <c r="E42" s="446">
        <v>58.89</v>
      </c>
      <c r="F42" s="446">
        <v>13.66</v>
      </c>
      <c r="G42" s="447">
        <f t="shared" si="0"/>
        <v>19669.259999999998</v>
      </c>
      <c r="H42" s="448">
        <f t="shared" si="1"/>
        <v>4562.4399999999996</v>
      </c>
      <c r="I42" s="447">
        <f t="shared" si="2"/>
        <v>34953.433999999994</v>
      </c>
    </row>
    <row r="43" spans="1:9">
      <c r="A43" s="445" t="s">
        <v>2270</v>
      </c>
      <c r="B43" s="445" t="s">
        <v>1991</v>
      </c>
      <c r="C43" s="445" t="s">
        <v>1955</v>
      </c>
      <c r="D43" s="446">
        <v>5</v>
      </c>
      <c r="E43" s="446">
        <v>114.52</v>
      </c>
      <c r="F43" s="446">
        <v>25.16</v>
      </c>
      <c r="G43" s="447">
        <f t="shared" si="0"/>
        <v>572.6</v>
      </c>
      <c r="H43" s="448">
        <f t="shared" si="1"/>
        <v>125.8</v>
      </c>
      <c r="I43" s="447">
        <f t="shared" si="2"/>
        <v>994.03</v>
      </c>
    </row>
    <row r="44" spans="1:9">
      <c r="A44" s="445" t="s">
        <v>2563</v>
      </c>
      <c r="B44" s="445" t="s">
        <v>1992</v>
      </c>
      <c r="C44" s="445" t="s">
        <v>1955</v>
      </c>
      <c r="D44" s="446">
        <v>1</v>
      </c>
      <c r="E44" s="446">
        <v>58.89</v>
      </c>
      <c r="F44" s="446">
        <v>17.97</v>
      </c>
      <c r="G44" s="447">
        <f t="shared" si="0"/>
        <v>58.89</v>
      </c>
      <c r="H44" s="448">
        <f t="shared" si="1"/>
        <v>17.97</v>
      </c>
      <c r="I44" s="447">
        <f t="shared" si="2"/>
        <v>119.0895</v>
      </c>
    </row>
    <row r="45" spans="1:9">
      <c r="A45" s="445" t="s">
        <v>2564</v>
      </c>
      <c r="B45" s="445" t="s">
        <v>1993</v>
      </c>
      <c r="C45" s="445" t="s">
        <v>1955</v>
      </c>
      <c r="D45" s="446">
        <v>1</v>
      </c>
      <c r="E45" s="446">
        <v>58.89</v>
      </c>
      <c r="F45" s="446">
        <v>17.97</v>
      </c>
      <c r="G45" s="447">
        <f t="shared" si="0"/>
        <v>58.89</v>
      </c>
      <c r="H45" s="448">
        <f t="shared" si="1"/>
        <v>17.97</v>
      </c>
      <c r="I45" s="447">
        <f t="shared" si="2"/>
        <v>119.0895</v>
      </c>
    </row>
    <row r="46" spans="1:9">
      <c r="A46" s="445" t="s">
        <v>2565</v>
      </c>
      <c r="B46" s="445" t="s">
        <v>1994</v>
      </c>
      <c r="C46" s="445" t="s">
        <v>1955</v>
      </c>
      <c r="D46" s="446">
        <v>1</v>
      </c>
      <c r="E46" s="446">
        <v>58.89</v>
      </c>
      <c r="F46" s="446">
        <v>17.97</v>
      </c>
      <c r="G46" s="447">
        <f t="shared" si="0"/>
        <v>58.89</v>
      </c>
      <c r="H46" s="448">
        <f t="shared" si="1"/>
        <v>17.97</v>
      </c>
      <c r="I46" s="447">
        <f t="shared" si="2"/>
        <v>119.0895</v>
      </c>
    </row>
    <row r="47" spans="1:9">
      <c r="A47" s="445" t="s">
        <v>2566</v>
      </c>
      <c r="B47" s="445" t="s">
        <v>1995</v>
      </c>
      <c r="C47" s="445" t="s">
        <v>1955</v>
      </c>
      <c r="D47" s="446">
        <v>8</v>
      </c>
      <c r="E47" s="446">
        <v>114.52</v>
      </c>
      <c r="F47" s="446">
        <v>68.31</v>
      </c>
      <c r="G47" s="447">
        <f t="shared" si="0"/>
        <v>916.16</v>
      </c>
      <c r="H47" s="448">
        <f t="shared" si="1"/>
        <v>546.48</v>
      </c>
      <c r="I47" s="447">
        <f t="shared" si="2"/>
        <v>2746.8679999999999</v>
      </c>
    </row>
    <row r="48" spans="1:9">
      <c r="A48" s="445" t="s">
        <v>2567</v>
      </c>
      <c r="B48" s="445" t="s">
        <v>1996</v>
      </c>
      <c r="C48" s="445" t="s">
        <v>1955</v>
      </c>
      <c r="D48" s="446">
        <v>1</v>
      </c>
      <c r="E48" s="446">
        <v>58.89</v>
      </c>
      <c r="F48" s="446">
        <v>27.81</v>
      </c>
      <c r="G48" s="447">
        <f t="shared" si="0"/>
        <v>58.89</v>
      </c>
      <c r="H48" s="448">
        <f t="shared" si="1"/>
        <v>27.81</v>
      </c>
      <c r="I48" s="447">
        <f t="shared" si="2"/>
        <v>152.05349999999999</v>
      </c>
    </row>
    <row r="49" spans="1:9">
      <c r="A49" s="445" t="s">
        <v>2568</v>
      </c>
      <c r="B49" s="445" t="s">
        <v>1997</v>
      </c>
      <c r="C49" s="445" t="s">
        <v>1955</v>
      </c>
      <c r="D49" s="446">
        <v>1</v>
      </c>
      <c r="E49" s="446">
        <v>58.89</v>
      </c>
      <c r="F49" s="446">
        <v>27.81</v>
      </c>
      <c r="G49" s="447">
        <f t="shared" si="0"/>
        <v>58.89</v>
      </c>
      <c r="H49" s="448">
        <f t="shared" si="1"/>
        <v>27.81</v>
      </c>
      <c r="I49" s="447">
        <f t="shared" si="2"/>
        <v>152.05349999999999</v>
      </c>
    </row>
    <row r="50" spans="1:9">
      <c r="A50" s="445" t="s">
        <v>2569</v>
      </c>
      <c r="B50" s="445" t="s">
        <v>1998</v>
      </c>
      <c r="C50" s="445" t="s">
        <v>1955</v>
      </c>
      <c r="D50" s="446">
        <v>8</v>
      </c>
      <c r="E50" s="446">
        <v>100.56</v>
      </c>
      <c r="F50" s="446">
        <v>0</v>
      </c>
      <c r="G50" s="447">
        <f t="shared" si="0"/>
        <v>804.48</v>
      </c>
      <c r="H50" s="448">
        <f t="shared" si="1"/>
        <v>0</v>
      </c>
      <c r="I50" s="447">
        <f t="shared" si="2"/>
        <v>804.48</v>
      </c>
    </row>
    <row r="51" spans="1:9">
      <c r="A51" s="445" t="s">
        <v>2570</v>
      </c>
      <c r="B51" s="445" t="s">
        <v>1999</v>
      </c>
      <c r="C51" s="445" t="s">
        <v>1955</v>
      </c>
      <c r="D51" s="446">
        <v>27</v>
      </c>
      <c r="E51" s="446">
        <v>114.52</v>
      </c>
      <c r="F51" s="446">
        <v>89.96</v>
      </c>
      <c r="G51" s="447">
        <f t="shared" si="0"/>
        <v>3092.04</v>
      </c>
      <c r="H51" s="448">
        <f t="shared" si="1"/>
        <v>2428.9199999999996</v>
      </c>
      <c r="I51" s="447">
        <f t="shared" si="2"/>
        <v>11228.921999999999</v>
      </c>
    </row>
    <row r="52" spans="1:9">
      <c r="A52" s="445" t="s">
        <v>2571</v>
      </c>
      <c r="B52" s="445" t="s">
        <v>2000</v>
      </c>
      <c r="C52" s="445" t="s">
        <v>1955</v>
      </c>
      <c r="D52" s="446">
        <v>14</v>
      </c>
      <c r="E52" s="446">
        <v>114.52</v>
      </c>
      <c r="F52" s="446">
        <v>103.37</v>
      </c>
      <c r="G52" s="447">
        <f t="shared" si="0"/>
        <v>1603.28</v>
      </c>
      <c r="H52" s="448">
        <f t="shared" si="1"/>
        <v>1447.18</v>
      </c>
      <c r="I52" s="447">
        <f t="shared" si="2"/>
        <v>6451.3330000000005</v>
      </c>
    </row>
    <row r="53" spans="1:9">
      <c r="A53" s="445" t="s">
        <v>2572</v>
      </c>
      <c r="B53" s="445" t="s">
        <v>2001</v>
      </c>
      <c r="C53" s="445" t="s">
        <v>1955</v>
      </c>
      <c r="D53" s="446">
        <v>12</v>
      </c>
      <c r="E53" s="446">
        <v>114.52</v>
      </c>
      <c r="F53" s="446">
        <v>116.24</v>
      </c>
      <c r="G53" s="447">
        <f t="shared" si="0"/>
        <v>1374.24</v>
      </c>
      <c r="H53" s="448">
        <f t="shared" si="1"/>
        <v>1394.8799999999999</v>
      </c>
      <c r="I53" s="447">
        <f t="shared" si="2"/>
        <v>6047.0879999999997</v>
      </c>
    </row>
    <row r="54" spans="1:9">
      <c r="A54" s="445" t="s">
        <v>2573</v>
      </c>
      <c r="B54" s="445" t="s">
        <v>2002</v>
      </c>
      <c r="C54" s="445" t="s">
        <v>1955</v>
      </c>
      <c r="D54" s="446">
        <v>1</v>
      </c>
      <c r="E54" s="446">
        <v>58.89</v>
      </c>
      <c r="F54" s="446">
        <v>22.8</v>
      </c>
      <c r="G54" s="447">
        <f t="shared" si="0"/>
        <v>58.89</v>
      </c>
      <c r="H54" s="448">
        <f t="shared" si="1"/>
        <v>22.8</v>
      </c>
      <c r="I54" s="447">
        <f t="shared" si="2"/>
        <v>135.27000000000001</v>
      </c>
    </row>
    <row r="55" spans="1:9">
      <c r="A55" s="445" t="s">
        <v>2574</v>
      </c>
      <c r="B55" s="445" t="s">
        <v>2003</v>
      </c>
      <c r="C55" s="445" t="s">
        <v>1955</v>
      </c>
      <c r="D55" s="446">
        <v>1</v>
      </c>
      <c r="E55" s="446">
        <v>58.89</v>
      </c>
      <c r="F55" s="446">
        <v>24.72</v>
      </c>
      <c r="G55" s="447">
        <f t="shared" si="0"/>
        <v>58.89</v>
      </c>
      <c r="H55" s="448">
        <f t="shared" si="1"/>
        <v>24.72</v>
      </c>
      <c r="I55" s="447">
        <f t="shared" si="2"/>
        <v>141.702</v>
      </c>
    </row>
    <row r="56" spans="1:9">
      <c r="A56" s="445" t="s">
        <v>2575</v>
      </c>
      <c r="B56" s="445" t="s">
        <v>2004</v>
      </c>
      <c r="C56" s="445" t="s">
        <v>1955</v>
      </c>
      <c r="D56" s="446">
        <v>1</v>
      </c>
      <c r="E56" s="446">
        <v>114.52</v>
      </c>
      <c r="F56" s="446">
        <v>61.3</v>
      </c>
      <c r="G56" s="447">
        <f t="shared" si="0"/>
        <v>114.52</v>
      </c>
      <c r="H56" s="448">
        <f t="shared" si="1"/>
        <v>61.3</v>
      </c>
      <c r="I56" s="447">
        <f t="shared" si="2"/>
        <v>319.875</v>
      </c>
    </row>
    <row r="57" spans="1:9">
      <c r="A57" s="445" t="s">
        <v>2576</v>
      </c>
      <c r="B57" s="445" t="s">
        <v>2005</v>
      </c>
      <c r="C57" s="445" t="s">
        <v>1955</v>
      </c>
      <c r="D57" s="446">
        <v>1</v>
      </c>
      <c r="E57" s="446">
        <v>114.52</v>
      </c>
      <c r="F57" s="446">
        <v>98.28</v>
      </c>
      <c r="G57" s="447">
        <f t="shared" si="0"/>
        <v>114.52</v>
      </c>
      <c r="H57" s="448">
        <f t="shared" si="1"/>
        <v>98.28</v>
      </c>
      <c r="I57" s="447">
        <f t="shared" si="2"/>
        <v>443.75799999999998</v>
      </c>
    </row>
    <row r="58" spans="1:9">
      <c r="A58" s="445" t="s">
        <v>2577</v>
      </c>
      <c r="B58" s="445" t="s">
        <v>2006</v>
      </c>
      <c r="C58" s="445" t="s">
        <v>1955</v>
      </c>
      <c r="D58" s="446">
        <v>1</v>
      </c>
      <c r="E58" s="446">
        <v>114.52</v>
      </c>
      <c r="F58" s="446">
        <v>123.3</v>
      </c>
      <c r="G58" s="447">
        <f t="shared" si="0"/>
        <v>114.52</v>
      </c>
      <c r="H58" s="448">
        <f t="shared" si="1"/>
        <v>123.3</v>
      </c>
      <c r="I58" s="447">
        <f t="shared" si="2"/>
        <v>527.57500000000005</v>
      </c>
    </row>
    <row r="59" spans="1:9">
      <c r="A59" s="445" t="s">
        <v>2578</v>
      </c>
      <c r="B59" s="445" t="s">
        <v>2007</v>
      </c>
      <c r="C59" s="445" t="s">
        <v>1955</v>
      </c>
      <c r="D59" s="446">
        <v>1</v>
      </c>
      <c r="E59" s="446">
        <v>114.52</v>
      </c>
      <c r="F59" s="446">
        <v>167.7</v>
      </c>
      <c r="G59" s="447">
        <f t="shared" si="0"/>
        <v>114.52</v>
      </c>
      <c r="H59" s="448">
        <f t="shared" si="1"/>
        <v>167.7</v>
      </c>
      <c r="I59" s="447">
        <f t="shared" si="2"/>
        <v>676.31499999999994</v>
      </c>
    </row>
    <row r="60" spans="1:9">
      <c r="A60" s="445" t="s">
        <v>2579</v>
      </c>
      <c r="B60" s="445" t="s">
        <v>2008</v>
      </c>
      <c r="C60" s="445" t="s">
        <v>1955</v>
      </c>
      <c r="D60" s="446">
        <v>1</v>
      </c>
      <c r="E60" s="446">
        <v>58.89</v>
      </c>
      <c r="F60" s="446">
        <v>100.8</v>
      </c>
      <c r="G60" s="447">
        <f t="shared" si="0"/>
        <v>58.89</v>
      </c>
      <c r="H60" s="448">
        <f t="shared" si="1"/>
        <v>100.8</v>
      </c>
      <c r="I60" s="447">
        <f t="shared" si="2"/>
        <v>396.57</v>
      </c>
    </row>
    <row r="61" spans="1:9">
      <c r="A61" s="445" t="s">
        <v>2580</v>
      </c>
      <c r="B61" s="445" t="s">
        <v>2006</v>
      </c>
      <c r="C61" s="445" t="s">
        <v>1955</v>
      </c>
      <c r="D61" s="446">
        <v>1</v>
      </c>
      <c r="E61" s="446">
        <v>114.52</v>
      </c>
      <c r="F61" s="446">
        <v>49.32</v>
      </c>
      <c r="G61" s="447">
        <f t="shared" si="0"/>
        <v>114.52</v>
      </c>
      <c r="H61" s="448">
        <f t="shared" si="1"/>
        <v>49.32</v>
      </c>
      <c r="I61" s="447">
        <f t="shared" si="2"/>
        <v>279.74200000000002</v>
      </c>
    </row>
    <row r="62" spans="1:9">
      <c r="A62" s="445" t="s">
        <v>2581</v>
      </c>
      <c r="B62" s="445" t="s">
        <v>2009</v>
      </c>
      <c r="C62" s="445" t="s">
        <v>1955</v>
      </c>
      <c r="D62" s="446">
        <v>1</v>
      </c>
      <c r="E62" s="446">
        <v>114.52</v>
      </c>
      <c r="F62" s="446">
        <v>49.32</v>
      </c>
      <c r="G62" s="447">
        <f t="shared" si="0"/>
        <v>114.52</v>
      </c>
      <c r="H62" s="448">
        <f t="shared" si="1"/>
        <v>49.32</v>
      </c>
      <c r="I62" s="447">
        <f t="shared" si="2"/>
        <v>279.74200000000002</v>
      </c>
    </row>
    <row r="63" spans="1:9">
      <c r="A63" s="445" t="s">
        <v>2582</v>
      </c>
      <c r="B63" s="445" t="s">
        <v>2010</v>
      </c>
      <c r="C63" s="445" t="s">
        <v>1955</v>
      </c>
      <c r="D63" s="446">
        <v>1</v>
      </c>
      <c r="E63" s="446">
        <v>58.89</v>
      </c>
      <c r="F63" s="446">
        <v>40.32</v>
      </c>
      <c r="G63" s="447">
        <f t="shared" si="0"/>
        <v>58.89</v>
      </c>
      <c r="H63" s="448">
        <f t="shared" si="1"/>
        <v>40.32</v>
      </c>
      <c r="I63" s="447">
        <f t="shared" si="2"/>
        <v>193.96199999999999</v>
      </c>
    </row>
    <row r="64" spans="1:9">
      <c r="A64" s="445" t="s">
        <v>2583</v>
      </c>
      <c r="B64" s="445" t="s">
        <v>2011</v>
      </c>
      <c r="C64" s="445" t="s">
        <v>1955</v>
      </c>
      <c r="D64" s="446">
        <v>1</v>
      </c>
      <c r="E64" s="446">
        <v>58.89</v>
      </c>
      <c r="F64" s="446">
        <v>24.6</v>
      </c>
      <c r="G64" s="447">
        <f t="shared" si="0"/>
        <v>58.89</v>
      </c>
      <c r="H64" s="448">
        <f t="shared" si="1"/>
        <v>24.6</v>
      </c>
      <c r="I64" s="447">
        <f t="shared" si="2"/>
        <v>141.30000000000001</v>
      </c>
    </row>
    <row r="65" spans="1:9">
      <c r="A65" s="445" t="s">
        <v>2584</v>
      </c>
      <c r="B65" s="445" t="s">
        <v>2012</v>
      </c>
      <c r="C65" s="445" t="s">
        <v>1955</v>
      </c>
      <c r="D65" s="446">
        <v>1</v>
      </c>
      <c r="E65" s="446">
        <v>58.89</v>
      </c>
      <c r="F65" s="446">
        <v>17.04</v>
      </c>
      <c r="G65" s="447">
        <f t="shared" si="0"/>
        <v>58.89</v>
      </c>
      <c r="H65" s="448">
        <f t="shared" si="1"/>
        <v>17.04</v>
      </c>
      <c r="I65" s="447">
        <f t="shared" si="2"/>
        <v>115.97399999999999</v>
      </c>
    </row>
    <row r="66" spans="1:9">
      <c r="A66" s="442" t="s">
        <v>2076</v>
      </c>
      <c r="B66" s="442" t="s">
        <v>2014</v>
      </c>
      <c r="C66" s="509"/>
      <c r="D66" s="509"/>
      <c r="E66" s="509"/>
      <c r="F66" s="509"/>
      <c r="G66" s="447">
        <f t="shared" si="0"/>
        <v>0</v>
      </c>
      <c r="H66" s="448">
        <f t="shared" si="1"/>
        <v>0</v>
      </c>
      <c r="I66" s="447">
        <f t="shared" si="2"/>
        <v>0</v>
      </c>
    </row>
    <row r="67" spans="1:9">
      <c r="A67" s="444" t="s">
        <v>2078</v>
      </c>
      <c r="B67" s="444" t="s">
        <v>2016</v>
      </c>
      <c r="C67" s="509"/>
      <c r="D67" s="509"/>
      <c r="E67" s="509"/>
      <c r="F67" s="509"/>
      <c r="G67" s="447">
        <f t="shared" si="0"/>
        <v>0</v>
      </c>
      <c r="H67" s="448">
        <f t="shared" si="1"/>
        <v>0</v>
      </c>
      <c r="I67" s="447">
        <f t="shared" si="2"/>
        <v>0</v>
      </c>
    </row>
    <row r="68" spans="1:9">
      <c r="A68" s="445" t="s">
        <v>2585</v>
      </c>
      <c r="B68" s="445" t="s">
        <v>2586</v>
      </c>
      <c r="C68" s="445" t="s">
        <v>378</v>
      </c>
      <c r="D68" s="446">
        <v>35</v>
      </c>
      <c r="E68" s="446">
        <v>113.32</v>
      </c>
      <c r="F68" s="446">
        <v>469.78</v>
      </c>
      <c r="G68" s="447">
        <f t="shared" si="0"/>
        <v>3966.2</v>
      </c>
      <c r="H68" s="448">
        <f t="shared" si="1"/>
        <v>16442.3</v>
      </c>
      <c r="I68" s="447">
        <f t="shared" si="2"/>
        <v>59047.904999999999</v>
      </c>
    </row>
    <row r="69" spans="1:9">
      <c r="A69" s="445" t="s">
        <v>2587</v>
      </c>
      <c r="B69" s="445" t="s">
        <v>2017</v>
      </c>
      <c r="C69" s="445" t="s">
        <v>378</v>
      </c>
      <c r="D69" s="446">
        <v>124</v>
      </c>
      <c r="E69" s="446">
        <v>113.32</v>
      </c>
      <c r="F69" s="446">
        <v>125.63</v>
      </c>
      <c r="G69" s="447">
        <f t="shared" si="0"/>
        <v>14051.679999999998</v>
      </c>
      <c r="H69" s="448">
        <f t="shared" si="1"/>
        <v>15578.119999999999</v>
      </c>
      <c r="I69" s="447">
        <f t="shared" si="2"/>
        <v>66238.381999999998</v>
      </c>
    </row>
    <row r="70" spans="1:9">
      <c r="A70" s="445" t="s">
        <v>2588</v>
      </c>
      <c r="B70" s="445" t="s">
        <v>2589</v>
      </c>
      <c r="C70" s="445" t="s">
        <v>378</v>
      </c>
      <c r="D70" s="446">
        <v>63</v>
      </c>
      <c r="E70" s="446">
        <v>94.58</v>
      </c>
      <c r="F70" s="446">
        <v>84.74</v>
      </c>
      <c r="G70" s="447">
        <f t="shared" si="0"/>
        <v>5958.54</v>
      </c>
      <c r="H70" s="448">
        <f t="shared" si="1"/>
        <v>5338.62</v>
      </c>
      <c r="I70" s="447">
        <f t="shared" si="2"/>
        <v>23842.917000000001</v>
      </c>
    </row>
    <row r="71" spans="1:9">
      <c r="A71" s="445" t="s">
        <v>2590</v>
      </c>
      <c r="B71" s="445" t="s">
        <v>2591</v>
      </c>
      <c r="C71" s="445" t="s">
        <v>378</v>
      </c>
      <c r="D71" s="446">
        <v>118</v>
      </c>
      <c r="E71" s="446">
        <v>94.58</v>
      </c>
      <c r="F71" s="446">
        <v>83.28</v>
      </c>
      <c r="G71" s="447">
        <f t="shared" si="0"/>
        <v>11160.44</v>
      </c>
      <c r="H71" s="448">
        <f t="shared" si="1"/>
        <v>9827.0400000000009</v>
      </c>
      <c r="I71" s="447">
        <f t="shared" si="2"/>
        <v>44081.024000000005</v>
      </c>
    </row>
    <row r="72" spans="1:9">
      <c r="A72" s="445" t="s">
        <v>2592</v>
      </c>
      <c r="B72" s="445" t="s">
        <v>2018</v>
      </c>
      <c r="C72" s="445" t="s">
        <v>378</v>
      </c>
      <c r="D72" s="446">
        <v>0</v>
      </c>
      <c r="E72" s="446">
        <v>113.32</v>
      </c>
      <c r="F72" s="446">
        <v>94.4</v>
      </c>
      <c r="G72" s="447">
        <f t="shared" si="0"/>
        <v>0</v>
      </c>
      <c r="H72" s="448">
        <f t="shared" si="1"/>
        <v>0</v>
      </c>
      <c r="I72" s="447">
        <f t="shared" si="2"/>
        <v>0</v>
      </c>
    </row>
    <row r="73" spans="1:9">
      <c r="A73" s="445" t="s">
        <v>2593</v>
      </c>
      <c r="B73" s="445" t="s">
        <v>2019</v>
      </c>
      <c r="C73" s="445" t="s">
        <v>378</v>
      </c>
      <c r="D73" s="446">
        <v>10</v>
      </c>
      <c r="E73" s="446">
        <v>80.36</v>
      </c>
      <c r="F73" s="446">
        <v>49.18</v>
      </c>
      <c r="G73" s="447">
        <f t="shared" si="0"/>
        <v>803.6</v>
      </c>
      <c r="H73" s="448">
        <f t="shared" si="1"/>
        <v>491.8</v>
      </c>
      <c r="I73" s="447">
        <f t="shared" si="2"/>
        <v>2451.13</v>
      </c>
    </row>
    <row r="74" spans="1:9">
      <c r="A74" s="445" t="s">
        <v>2594</v>
      </c>
      <c r="B74" s="445" t="s">
        <v>2595</v>
      </c>
      <c r="C74" s="445" t="s">
        <v>378</v>
      </c>
      <c r="D74" s="446">
        <v>12</v>
      </c>
      <c r="E74" s="446">
        <v>74.25</v>
      </c>
      <c r="F74" s="446">
        <v>35.56</v>
      </c>
      <c r="G74" s="447">
        <f t="shared" si="0"/>
        <v>891</v>
      </c>
      <c r="H74" s="448">
        <f t="shared" si="1"/>
        <v>426.72</v>
      </c>
      <c r="I74" s="447">
        <f t="shared" si="2"/>
        <v>2320.5120000000002</v>
      </c>
    </row>
    <row r="75" spans="1:9">
      <c r="A75" s="445" t="s">
        <v>2596</v>
      </c>
      <c r="B75" s="445" t="s">
        <v>2020</v>
      </c>
      <c r="C75" s="445" t="s">
        <v>378</v>
      </c>
      <c r="D75" s="446">
        <v>122</v>
      </c>
      <c r="E75" s="446">
        <v>74.25</v>
      </c>
      <c r="F75" s="446">
        <v>34.65</v>
      </c>
      <c r="G75" s="447">
        <f t="shared" si="0"/>
        <v>9058.5</v>
      </c>
      <c r="H75" s="448">
        <f t="shared" si="1"/>
        <v>4227.3</v>
      </c>
      <c r="I75" s="447">
        <f t="shared" si="2"/>
        <v>23219.955000000002</v>
      </c>
    </row>
    <row r="76" spans="1:9">
      <c r="A76" s="445" t="s">
        <v>2597</v>
      </c>
      <c r="B76" s="445" t="s">
        <v>2021</v>
      </c>
      <c r="C76" s="445" t="s">
        <v>378</v>
      </c>
      <c r="D76" s="446">
        <v>373</v>
      </c>
      <c r="E76" s="446">
        <v>74.25</v>
      </c>
      <c r="F76" s="446">
        <v>25.14</v>
      </c>
      <c r="G76" s="447">
        <f t="shared" si="0"/>
        <v>27695.25</v>
      </c>
      <c r="H76" s="448">
        <f t="shared" si="1"/>
        <v>9377.2199999999993</v>
      </c>
      <c r="I76" s="447">
        <f t="shared" si="2"/>
        <v>59108.936999999998</v>
      </c>
    </row>
    <row r="77" spans="1:9">
      <c r="A77" s="445" t="s">
        <v>2598</v>
      </c>
      <c r="B77" s="445" t="s">
        <v>2022</v>
      </c>
      <c r="C77" s="445" t="s">
        <v>378</v>
      </c>
      <c r="D77" s="446">
        <v>135</v>
      </c>
      <c r="E77" s="446">
        <v>74.25</v>
      </c>
      <c r="F77" s="446">
        <v>24.45</v>
      </c>
      <c r="G77" s="447">
        <f t="shared" ref="G77:G140" si="3">+E77*D77</f>
        <v>10023.75</v>
      </c>
      <c r="H77" s="448">
        <f t="shared" ref="H77:H140" si="4">+F77*D77</f>
        <v>3300.75</v>
      </c>
      <c r="I77" s="447">
        <f t="shared" ref="I77:I140" si="5">+G77+(H77*$I$3)</f>
        <v>21081.262500000001</v>
      </c>
    </row>
    <row r="78" spans="1:9">
      <c r="A78" s="445" t="s">
        <v>2599</v>
      </c>
      <c r="B78" s="445" t="s">
        <v>2023</v>
      </c>
      <c r="C78" s="445" t="s">
        <v>378</v>
      </c>
      <c r="D78" s="446">
        <v>89</v>
      </c>
      <c r="E78" s="446">
        <v>53.09</v>
      </c>
      <c r="F78" s="446">
        <v>19.72</v>
      </c>
      <c r="G78" s="447">
        <f t="shared" si="3"/>
        <v>4725.01</v>
      </c>
      <c r="H78" s="448">
        <f t="shared" si="4"/>
        <v>1755.08</v>
      </c>
      <c r="I78" s="447">
        <f t="shared" si="5"/>
        <v>10604.528</v>
      </c>
    </row>
    <row r="79" spans="1:9">
      <c r="A79" s="445" t="s">
        <v>2600</v>
      </c>
      <c r="B79" s="445" t="s">
        <v>2024</v>
      </c>
      <c r="C79" s="445" t="s">
        <v>378</v>
      </c>
      <c r="D79" s="446">
        <v>411</v>
      </c>
      <c r="E79" s="446">
        <v>25.39</v>
      </c>
      <c r="F79" s="446">
        <v>14.33</v>
      </c>
      <c r="G79" s="447">
        <f t="shared" si="3"/>
        <v>10435.290000000001</v>
      </c>
      <c r="H79" s="448">
        <f t="shared" si="4"/>
        <v>5889.63</v>
      </c>
      <c r="I79" s="447">
        <f t="shared" si="5"/>
        <v>30165.550500000001</v>
      </c>
    </row>
    <row r="80" spans="1:9">
      <c r="A80" s="445" t="s">
        <v>2601</v>
      </c>
      <c r="B80" s="445" t="s">
        <v>2025</v>
      </c>
      <c r="C80" s="445" t="s">
        <v>378</v>
      </c>
      <c r="D80" s="446">
        <v>1066</v>
      </c>
      <c r="E80" s="446">
        <v>25.39</v>
      </c>
      <c r="F80" s="446">
        <v>10.11</v>
      </c>
      <c r="G80" s="447">
        <f t="shared" si="3"/>
        <v>27065.74</v>
      </c>
      <c r="H80" s="448">
        <f t="shared" si="4"/>
        <v>10777.26</v>
      </c>
      <c r="I80" s="447">
        <f t="shared" si="5"/>
        <v>63169.561000000002</v>
      </c>
    </row>
    <row r="81" spans="1:9">
      <c r="A81" s="445" t="s">
        <v>2602</v>
      </c>
      <c r="B81" s="445" t="s">
        <v>2026</v>
      </c>
      <c r="C81" s="445" t="s">
        <v>378</v>
      </c>
      <c r="D81" s="446">
        <v>0</v>
      </c>
      <c r="E81" s="446">
        <v>25.39</v>
      </c>
      <c r="F81" s="446">
        <v>13.35</v>
      </c>
      <c r="G81" s="447">
        <f t="shared" si="3"/>
        <v>0</v>
      </c>
      <c r="H81" s="448">
        <f t="shared" si="4"/>
        <v>0</v>
      </c>
      <c r="I81" s="447">
        <f t="shared" si="5"/>
        <v>0</v>
      </c>
    </row>
    <row r="82" spans="1:9">
      <c r="A82" s="445" t="s">
        <v>2603</v>
      </c>
      <c r="B82" s="445" t="s">
        <v>2027</v>
      </c>
      <c r="C82" s="445" t="s">
        <v>378</v>
      </c>
      <c r="D82" s="446">
        <v>15</v>
      </c>
      <c r="E82" s="446">
        <v>18.920000000000002</v>
      </c>
      <c r="F82" s="446">
        <v>9.92</v>
      </c>
      <c r="G82" s="447">
        <f t="shared" si="3"/>
        <v>283.8</v>
      </c>
      <c r="H82" s="448">
        <f t="shared" si="4"/>
        <v>148.80000000000001</v>
      </c>
      <c r="I82" s="447">
        <f t="shared" si="5"/>
        <v>782.28000000000009</v>
      </c>
    </row>
    <row r="83" spans="1:9">
      <c r="A83" s="445" t="s">
        <v>2604</v>
      </c>
      <c r="B83" s="445" t="s">
        <v>2028</v>
      </c>
      <c r="C83" s="445" t="s">
        <v>378</v>
      </c>
      <c r="D83" s="446">
        <v>263</v>
      </c>
      <c r="E83" s="446">
        <v>18.920000000000002</v>
      </c>
      <c r="F83" s="446">
        <v>9.23</v>
      </c>
      <c r="G83" s="447">
        <f t="shared" si="3"/>
        <v>4975.96</v>
      </c>
      <c r="H83" s="448">
        <f t="shared" si="4"/>
        <v>2427.4900000000002</v>
      </c>
      <c r="I83" s="447">
        <f t="shared" si="5"/>
        <v>13108.051500000001</v>
      </c>
    </row>
    <row r="84" spans="1:9">
      <c r="A84" s="445" t="s">
        <v>2605</v>
      </c>
      <c r="B84" s="445" t="s">
        <v>2029</v>
      </c>
      <c r="C84" s="445" t="s">
        <v>378</v>
      </c>
      <c r="D84" s="446">
        <v>93</v>
      </c>
      <c r="E84" s="446">
        <v>18.399999999999999</v>
      </c>
      <c r="F84" s="446">
        <v>6.52</v>
      </c>
      <c r="G84" s="447">
        <f t="shared" si="3"/>
        <v>1711.1999999999998</v>
      </c>
      <c r="H84" s="448">
        <f t="shared" si="4"/>
        <v>606.36</v>
      </c>
      <c r="I84" s="447">
        <f t="shared" si="5"/>
        <v>3742.5059999999999</v>
      </c>
    </row>
    <row r="85" spans="1:9">
      <c r="A85" s="445" t="s">
        <v>2606</v>
      </c>
      <c r="B85" s="445" t="s">
        <v>2030</v>
      </c>
      <c r="C85" s="445" t="s">
        <v>378</v>
      </c>
      <c r="D85" s="446">
        <v>0</v>
      </c>
      <c r="E85" s="446">
        <v>18.399999999999999</v>
      </c>
      <c r="F85" s="446">
        <v>6.23</v>
      </c>
      <c r="G85" s="447">
        <f t="shared" si="3"/>
        <v>0</v>
      </c>
      <c r="H85" s="448">
        <f t="shared" si="4"/>
        <v>0</v>
      </c>
      <c r="I85" s="447">
        <f t="shared" si="5"/>
        <v>0</v>
      </c>
    </row>
    <row r="86" spans="1:9">
      <c r="A86" s="445" t="s">
        <v>2607</v>
      </c>
      <c r="B86" s="445" t="s">
        <v>2031</v>
      </c>
      <c r="C86" s="445" t="s">
        <v>378</v>
      </c>
      <c r="D86" s="446">
        <v>6</v>
      </c>
      <c r="E86" s="446">
        <v>18.399999999999999</v>
      </c>
      <c r="F86" s="446">
        <v>5.29</v>
      </c>
      <c r="G86" s="447">
        <f t="shared" si="3"/>
        <v>110.39999999999999</v>
      </c>
      <c r="H86" s="448">
        <f t="shared" si="4"/>
        <v>31.740000000000002</v>
      </c>
      <c r="I86" s="447">
        <f t="shared" si="5"/>
        <v>216.72899999999998</v>
      </c>
    </row>
    <row r="87" spans="1:9">
      <c r="A87" s="445" t="s">
        <v>2608</v>
      </c>
      <c r="B87" s="445" t="s">
        <v>2032</v>
      </c>
      <c r="C87" s="445" t="s">
        <v>378</v>
      </c>
      <c r="D87" s="446">
        <v>53.86</v>
      </c>
      <c r="E87" s="446">
        <v>18.399999999999999</v>
      </c>
      <c r="F87" s="446">
        <v>4.5999999999999996</v>
      </c>
      <c r="G87" s="447">
        <f t="shared" si="3"/>
        <v>991.02399999999989</v>
      </c>
      <c r="H87" s="448">
        <f t="shared" si="4"/>
        <v>247.75599999999997</v>
      </c>
      <c r="I87" s="447">
        <f t="shared" si="5"/>
        <v>1821.0065999999997</v>
      </c>
    </row>
    <row r="88" spans="1:9">
      <c r="A88" s="445" t="s">
        <v>2609</v>
      </c>
      <c r="B88" s="445" t="s">
        <v>2033</v>
      </c>
      <c r="C88" s="445" t="s">
        <v>378</v>
      </c>
      <c r="D88" s="446">
        <v>11</v>
      </c>
      <c r="E88" s="446">
        <v>16.22</v>
      </c>
      <c r="F88" s="446">
        <v>4.3099999999999996</v>
      </c>
      <c r="G88" s="447">
        <f t="shared" si="3"/>
        <v>178.42</v>
      </c>
      <c r="H88" s="448">
        <f t="shared" si="4"/>
        <v>47.41</v>
      </c>
      <c r="I88" s="447">
        <f t="shared" si="5"/>
        <v>337.24349999999998</v>
      </c>
    </row>
    <row r="89" spans="1:9">
      <c r="A89" s="445" t="s">
        <v>2610</v>
      </c>
      <c r="B89" s="445" t="s">
        <v>2034</v>
      </c>
      <c r="C89" s="445" t="s">
        <v>378</v>
      </c>
      <c r="D89" s="446">
        <v>107.4</v>
      </c>
      <c r="E89" s="446">
        <v>16.22</v>
      </c>
      <c r="F89" s="446">
        <v>3.24</v>
      </c>
      <c r="G89" s="447">
        <f t="shared" si="3"/>
        <v>1742.028</v>
      </c>
      <c r="H89" s="448">
        <f t="shared" si="4"/>
        <v>347.97600000000006</v>
      </c>
      <c r="I89" s="447">
        <f t="shared" si="5"/>
        <v>2907.7476000000001</v>
      </c>
    </row>
    <row r="90" spans="1:9">
      <c r="A90" s="444" t="s">
        <v>2080</v>
      </c>
      <c r="B90" s="444" t="s">
        <v>2036</v>
      </c>
      <c r="C90" s="509"/>
      <c r="D90" s="509"/>
      <c r="E90" s="509"/>
      <c r="F90" s="509"/>
      <c r="G90" s="447">
        <f t="shared" si="3"/>
        <v>0</v>
      </c>
      <c r="H90" s="448">
        <f t="shared" si="4"/>
        <v>0</v>
      </c>
      <c r="I90" s="447">
        <f t="shared" si="5"/>
        <v>0</v>
      </c>
    </row>
    <row r="91" spans="1:9">
      <c r="A91" s="445" t="s">
        <v>2611</v>
      </c>
      <c r="B91" s="445" t="s">
        <v>2037</v>
      </c>
      <c r="C91" s="445" t="s">
        <v>378</v>
      </c>
      <c r="D91" s="446">
        <v>12482.85</v>
      </c>
      <c r="E91" s="446">
        <v>9.74</v>
      </c>
      <c r="F91" s="446">
        <v>7.17</v>
      </c>
      <c r="G91" s="447">
        <f t="shared" si="3"/>
        <v>121582.959</v>
      </c>
      <c r="H91" s="448">
        <f t="shared" si="4"/>
        <v>89502.034500000009</v>
      </c>
      <c r="I91" s="447">
        <f t="shared" si="5"/>
        <v>421414.77457500005</v>
      </c>
    </row>
    <row r="92" spans="1:9">
      <c r="A92" s="445" t="s">
        <v>2612</v>
      </c>
      <c r="B92" s="445" t="s">
        <v>2038</v>
      </c>
      <c r="C92" s="445" t="s">
        <v>378</v>
      </c>
      <c r="D92" s="446">
        <v>18911.5</v>
      </c>
      <c r="E92" s="446">
        <v>9.74</v>
      </c>
      <c r="F92" s="446">
        <v>10.11</v>
      </c>
      <c r="G92" s="447">
        <f t="shared" si="3"/>
        <v>184198.01</v>
      </c>
      <c r="H92" s="448">
        <f t="shared" si="4"/>
        <v>191195.26499999998</v>
      </c>
      <c r="I92" s="447">
        <f t="shared" si="5"/>
        <v>824702.14775</v>
      </c>
    </row>
    <row r="93" spans="1:9">
      <c r="A93" s="444" t="s">
        <v>2082</v>
      </c>
      <c r="B93" s="444" t="s">
        <v>2040</v>
      </c>
      <c r="C93" s="509"/>
      <c r="D93" s="509"/>
      <c r="E93" s="509"/>
      <c r="F93" s="509"/>
      <c r="G93" s="447">
        <f t="shared" si="3"/>
        <v>0</v>
      </c>
      <c r="H93" s="448">
        <f t="shared" si="4"/>
        <v>0</v>
      </c>
      <c r="I93" s="447">
        <f t="shared" si="5"/>
        <v>0</v>
      </c>
    </row>
    <row r="94" spans="1:9">
      <c r="A94" s="445" t="s">
        <v>2613</v>
      </c>
      <c r="B94" s="445" t="s">
        <v>2042</v>
      </c>
      <c r="C94" s="445" t="s">
        <v>378</v>
      </c>
      <c r="D94" s="446">
        <v>1750</v>
      </c>
      <c r="E94" s="446">
        <v>45.89</v>
      </c>
      <c r="F94" s="446">
        <v>0</v>
      </c>
      <c r="G94" s="447">
        <f t="shared" si="3"/>
        <v>80307.5</v>
      </c>
      <c r="H94" s="448">
        <f t="shared" si="4"/>
        <v>0</v>
      </c>
      <c r="I94" s="447">
        <f t="shared" si="5"/>
        <v>80307.5</v>
      </c>
    </row>
    <row r="95" spans="1:9">
      <c r="A95" s="445" t="s">
        <v>2614</v>
      </c>
      <c r="B95" s="445" t="s">
        <v>2044</v>
      </c>
      <c r="C95" s="445" t="s">
        <v>378</v>
      </c>
      <c r="D95" s="446">
        <v>76</v>
      </c>
      <c r="E95" s="446">
        <v>61.71</v>
      </c>
      <c r="F95" s="446">
        <v>0</v>
      </c>
      <c r="G95" s="447">
        <f t="shared" si="3"/>
        <v>4689.96</v>
      </c>
      <c r="H95" s="448">
        <f t="shared" si="4"/>
        <v>0</v>
      </c>
      <c r="I95" s="447">
        <f t="shared" si="5"/>
        <v>4689.96</v>
      </c>
    </row>
    <row r="96" spans="1:9">
      <c r="A96" s="445" t="s">
        <v>2615</v>
      </c>
      <c r="B96" s="445" t="s">
        <v>2045</v>
      </c>
      <c r="C96" s="445" t="s">
        <v>378</v>
      </c>
      <c r="D96" s="446">
        <v>80</v>
      </c>
      <c r="E96" s="446">
        <v>79.69</v>
      </c>
      <c r="F96" s="446">
        <v>0</v>
      </c>
      <c r="G96" s="447">
        <f t="shared" si="3"/>
        <v>6375.2</v>
      </c>
      <c r="H96" s="448">
        <f t="shared" si="4"/>
        <v>0</v>
      </c>
      <c r="I96" s="447">
        <f t="shared" si="5"/>
        <v>6375.2</v>
      </c>
    </row>
    <row r="97" spans="1:9">
      <c r="A97" s="445" t="s">
        <v>2616</v>
      </c>
      <c r="B97" s="445" t="s">
        <v>2046</v>
      </c>
      <c r="C97" s="445" t="s">
        <v>378</v>
      </c>
      <c r="D97" s="446">
        <v>53</v>
      </c>
      <c r="E97" s="446">
        <v>185.1</v>
      </c>
      <c r="F97" s="446">
        <v>0</v>
      </c>
      <c r="G97" s="447">
        <f t="shared" si="3"/>
        <v>9810.2999999999993</v>
      </c>
      <c r="H97" s="448">
        <f t="shared" si="4"/>
        <v>0</v>
      </c>
      <c r="I97" s="447">
        <f t="shared" si="5"/>
        <v>9810.2999999999993</v>
      </c>
    </row>
    <row r="98" spans="1:9">
      <c r="A98" s="445" t="s">
        <v>2617</v>
      </c>
      <c r="B98" s="445" t="s">
        <v>2047</v>
      </c>
      <c r="C98" s="445" t="s">
        <v>378</v>
      </c>
      <c r="D98" s="446">
        <v>252</v>
      </c>
      <c r="E98" s="446">
        <v>13.89</v>
      </c>
      <c r="F98" s="446">
        <v>0</v>
      </c>
      <c r="G98" s="447">
        <f t="shared" si="3"/>
        <v>3500.28</v>
      </c>
      <c r="H98" s="448">
        <f t="shared" si="4"/>
        <v>0</v>
      </c>
      <c r="I98" s="447">
        <f t="shared" si="5"/>
        <v>3500.28</v>
      </c>
    </row>
    <row r="99" spans="1:9">
      <c r="A99" s="445" t="s">
        <v>2618</v>
      </c>
      <c r="B99" s="445" t="s">
        <v>2048</v>
      </c>
      <c r="C99" s="445" t="s">
        <v>378</v>
      </c>
      <c r="D99" s="446">
        <v>5845</v>
      </c>
      <c r="E99" s="446">
        <v>14.37</v>
      </c>
      <c r="F99" s="446">
        <v>0</v>
      </c>
      <c r="G99" s="447">
        <f t="shared" si="3"/>
        <v>83992.65</v>
      </c>
      <c r="H99" s="448">
        <f t="shared" si="4"/>
        <v>0</v>
      </c>
      <c r="I99" s="447">
        <f t="shared" si="5"/>
        <v>83992.65</v>
      </c>
    </row>
    <row r="100" spans="1:9">
      <c r="A100" s="445" t="s">
        <v>2619</v>
      </c>
      <c r="B100" s="445" t="s">
        <v>2049</v>
      </c>
      <c r="C100" s="445" t="s">
        <v>378</v>
      </c>
      <c r="D100" s="446">
        <v>50</v>
      </c>
      <c r="E100" s="446">
        <v>23.74</v>
      </c>
      <c r="F100" s="446">
        <v>0</v>
      </c>
      <c r="G100" s="447">
        <f t="shared" si="3"/>
        <v>1187</v>
      </c>
      <c r="H100" s="448">
        <f t="shared" si="4"/>
        <v>0</v>
      </c>
      <c r="I100" s="447">
        <f t="shared" si="5"/>
        <v>1187</v>
      </c>
    </row>
    <row r="101" spans="1:9">
      <c r="A101" s="445" t="s">
        <v>2620</v>
      </c>
      <c r="B101" s="445" t="s">
        <v>2050</v>
      </c>
      <c r="C101" s="445" t="s">
        <v>378</v>
      </c>
      <c r="D101" s="446">
        <v>115</v>
      </c>
      <c r="E101" s="446">
        <v>34.880000000000003</v>
      </c>
      <c r="F101" s="446">
        <v>0</v>
      </c>
      <c r="G101" s="447">
        <f t="shared" si="3"/>
        <v>4011.2000000000003</v>
      </c>
      <c r="H101" s="448">
        <f t="shared" si="4"/>
        <v>0</v>
      </c>
      <c r="I101" s="447">
        <f t="shared" si="5"/>
        <v>4011.2000000000003</v>
      </c>
    </row>
    <row r="102" spans="1:9">
      <c r="A102" s="445" t="s">
        <v>2621</v>
      </c>
      <c r="B102" s="445" t="s">
        <v>2051</v>
      </c>
      <c r="C102" s="445" t="s">
        <v>378</v>
      </c>
      <c r="D102" s="446">
        <v>160</v>
      </c>
      <c r="E102" s="446">
        <v>59.4</v>
      </c>
      <c r="F102" s="446">
        <v>0</v>
      </c>
      <c r="G102" s="447">
        <f t="shared" si="3"/>
        <v>9504</v>
      </c>
      <c r="H102" s="448">
        <f t="shared" si="4"/>
        <v>0</v>
      </c>
      <c r="I102" s="447">
        <f t="shared" si="5"/>
        <v>9504</v>
      </c>
    </row>
    <row r="103" spans="1:9">
      <c r="A103" s="444" t="s">
        <v>2084</v>
      </c>
      <c r="B103" s="444" t="s">
        <v>2053</v>
      </c>
      <c r="C103" s="509"/>
      <c r="D103" s="509"/>
      <c r="E103" s="509"/>
      <c r="F103" s="509"/>
      <c r="G103" s="447">
        <f t="shared" si="3"/>
        <v>0</v>
      </c>
      <c r="H103" s="448">
        <f t="shared" si="4"/>
        <v>0</v>
      </c>
      <c r="I103" s="447">
        <f t="shared" si="5"/>
        <v>0</v>
      </c>
    </row>
    <row r="104" spans="1:9">
      <c r="A104" s="445" t="s">
        <v>2622</v>
      </c>
      <c r="B104" s="445" t="s">
        <v>2055</v>
      </c>
      <c r="C104" s="445" t="s">
        <v>121</v>
      </c>
      <c r="D104" s="446">
        <v>85</v>
      </c>
      <c r="E104" s="446">
        <v>25.64</v>
      </c>
      <c r="F104" s="446">
        <v>0</v>
      </c>
      <c r="G104" s="447">
        <f t="shared" si="3"/>
        <v>2179.4</v>
      </c>
      <c r="H104" s="448">
        <f t="shared" si="4"/>
        <v>0</v>
      </c>
      <c r="I104" s="447">
        <f t="shared" si="5"/>
        <v>2179.4</v>
      </c>
    </row>
    <row r="105" spans="1:9">
      <c r="A105" s="445" t="s">
        <v>2623</v>
      </c>
      <c r="B105" s="445" t="s">
        <v>2056</v>
      </c>
      <c r="C105" s="445" t="s">
        <v>121</v>
      </c>
      <c r="D105" s="446">
        <v>52</v>
      </c>
      <c r="E105" s="446">
        <v>25.52</v>
      </c>
      <c r="F105" s="446">
        <v>0</v>
      </c>
      <c r="G105" s="447">
        <f t="shared" si="3"/>
        <v>1327.04</v>
      </c>
      <c r="H105" s="448">
        <f t="shared" si="4"/>
        <v>0</v>
      </c>
      <c r="I105" s="447">
        <f t="shared" si="5"/>
        <v>1327.04</v>
      </c>
    </row>
    <row r="106" spans="1:9">
      <c r="A106" s="445" t="s">
        <v>2624</v>
      </c>
      <c r="B106" s="445" t="s">
        <v>2057</v>
      </c>
      <c r="C106" s="445" t="s">
        <v>121</v>
      </c>
      <c r="D106" s="446">
        <v>36</v>
      </c>
      <c r="E106" s="446">
        <v>37.11</v>
      </c>
      <c r="F106" s="446">
        <v>0</v>
      </c>
      <c r="G106" s="447">
        <f t="shared" si="3"/>
        <v>1335.96</v>
      </c>
      <c r="H106" s="448">
        <f t="shared" si="4"/>
        <v>0</v>
      </c>
      <c r="I106" s="447">
        <f t="shared" si="5"/>
        <v>1335.96</v>
      </c>
    </row>
    <row r="107" spans="1:9">
      <c r="A107" s="445" t="s">
        <v>2625</v>
      </c>
      <c r="B107" s="445" t="s">
        <v>2058</v>
      </c>
      <c r="C107" s="445" t="s">
        <v>121</v>
      </c>
      <c r="D107" s="446">
        <v>15</v>
      </c>
      <c r="E107" s="446">
        <v>81.95</v>
      </c>
      <c r="F107" s="446">
        <v>0</v>
      </c>
      <c r="G107" s="447">
        <f t="shared" si="3"/>
        <v>1229.25</v>
      </c>
      <c r="H107" s="448">
        <f t="shared" si="4"/>
        <v>0</v>
      </c>
      <c r="I107" s="447">
        <f t="shared" si="5"/>
        <v>1229.25</v>
      </c>
    </row>
    <row r="108" spans="1:9">
      <c r="A108" s="445" t="s">
        <v>2626</v>
      </c>
      <c r="B108" s="445" t="s">
        <v>2059</v>
      </c>
      <c r="C108" s="445" t="s">
        <v>121</v>
      </c>
      <c r="D108" s="446">
        <v>36</v>
      </c>
      <c r="E108" s="446">
        <v>1005.22</v>
      </c>
      <c r="F108" s="446">
        <v>0</v>
      </c>
      <c r="G108" s="447">
        <f t="shared" si="3"/>
        <v>36187.919999999998</v>
      </c>
      <c r="H108" s="448">
        <f t="shared" si="4"/>
        <v>0</v>
      </c>
      <c r="I108" s="447">
        <f t="shared" si="5"/>
        <v>36187.919999999998</v>
      </c>
    </row>
    <row r="109" spans="1:9">
      <c r="A109" s="442" t="s">
        <v>1866</v>
      </c>
      <c r="B109" s="442" t="s">
        <v>2061</v>
      </c>
      <c r="C109" s="509"/>
      <c r="D109" s="509"/>
      <c r="E109" s="509"/>
      <c r="F109" s="509"/>
      <c r="G109" s="447">
        <f t="shared" si="3"/>
        <v>0</v>
      </c>
      <c r="H109" s="448">
        <f t="shared" si="4"/>
        <v>0</v>
      </c>
      <c r="I109" s="447">
        <f t="shared" si="5"/>
        <v>0</v>
      </c>
    </row>
    <row r="110" spans="1:9">
      <c r="A110" s="445" t="s">
        <v>2096</v>
      </c>
      <c r="B110" s="445" t="s">
        <v>2063</v>
      </c>
      <c r="C110" s="445" t="s">
        <v>378</v>
      </c>
      <c r="D110" s="446">
        <v>207</v>
      </c>
      <c r="E110" s="446">
        <v>132.46</v>
      </c>
      <c r="F110" s="446">
        <v>0</v>
      </c>
      <c r="G110" s="447">
        <f t="shared" si="3"/>
        <v>27419.22</v>
      </c>
      <c r="H110" s="448">
        <f t="shared" si="4"/>
        <v>0</v>
      </c>
      <c r="I110" s="447">
        <f t="shared" si="5"/>
        <v>27419.22</v>
      </c>
    </row>
    <row r="111" spans="1:9">
      <c r="A111" s="445" t="s">
        <v>2105</v>
      </c>
      <c r="B111" s="445" t="s">
        <v>2065</v>
      </c>
      <c r="C111" s="445" t="s">
        <v>378</v>
      </c>
      <c r="D111" s="446">
        <v>71</v>
      </c>
      <c r="E111" s="446">
        <v>159.28</v>
      </c>
      <c r="F111" s="446">
        <v>0</v>
      </c>
      <c r="G111" s="447">
        <f t="shared" si="3"/>
        <v>11308.88</v>
      </c>
      <c r="H111" s="448">
        <f t="shared" si="4"/>
        <v>0</v>
      </c>
      <c r="I111" s="447">
        <f t="shared" si="5"/>
        <v>11308.88</v>
      </c>
    </row>
    <row r="112" spans="1:9">
      <c r="A112" s="445" t="s">
        <v>2112</v>
      </c>
      <c r="B112" s="445" t="s">
        <v>2067</v>
      </c>
      <c r="C112" s="445" t="s">
        <v>378</v>
      </c>
      <c r="D112" s="446">
        <v>98</v>
      </c>
      <c r="E112" s="446">
        <v>178.42</v>
      </c>
      <c r="F112" s="446">
        <v>0</v>
      </c>
      <c r="G112" s="447">
        <f t="shared" si="3"/>
        <v>17485.16</v>
      </c>
      <c r="H112" s="448">
        <f t="shared" si="4"/>
        <v>0</v>
      </c>
      <c r="I112" s="447">
        <f t="shared" si="5"/>
        <v>17485.16</v>
      </c>
    </row>
    <row r="113" spans="1:9">
      <c r="A113" s="445" t="s">
        <v>2627</v>
      </c>
      <c r="B113" s="445" t="s">
        <v>2069</v>
      </c>
      <c r="C113" s="445" t="s">
        <v>378</v>
      </c>
      <c r="D113" s="446">
        <v>101</v>
      </c>
      <c r="E113" s="446">
        <v>203.99</v>
      </c>
      <c r="F113" s="446">
        <v>0</v>
      </c>
      <c r="G113" s="447">
        <f t="shared" si="3"/>
        <v>20602.990000000002</v>
      </c>
      <c r="H113" s="448">
        <f t="shared" si="4"/>
        <v>0</v>
      </c>
      <c r="I113" s="447">
        <f t="shared" si="5"/>
        <v>20602.990000000002</v>
      </c>
    </row>
    <row r="114" spans="1:9">
      <c r="A114" s="445" t="s">
        <v>2628</v>
      </c>
      <c r="B114" s="445" t="s">
        <v>2071</v>
      </c>
      <c r="C114" s="445" t="s">
        <v>378</v>
      </c>
      <c r="D114" s="446">
        <v>187</v>
      </c>
      <c r="E114" s="446">
        <v>235.89</v>
      </c>
      <c r="F114" s="446">
        <v>0</v>
      </c>
      <c r="G114" s="447">
        <f t="shared" si="3"/>
        <v>44111.43</v>
      </c>
      <c r="H114" s="448">
        <f t="shared" si="4"/>
        <v>0</v>
      </c>
      <c r="I114" s="447">
        <f t="shared" si="5"/>
        <v>44111.43</v>
      </c>
    </row>
    <row r="115" spans="1:9">
      <c r="A115" s="445" t="s">
        <v>2629</v>
      </c>
      <c r="B115" s="445" t="s">
        <v>2073</v>
      </c>
      <c r="C115" s="445" t="s">
        <v>378</v>
      </c>
      <c r="D115" s="446">
        <v>664</v>
      </c>
      <c r="E115" s="446">
        <v>11.77</v>
      </c>
      <c r="F115" s="446">
        <v>4.42</v>
      </c>
      <c r="G115" s="447">
        <f t="shared" si="3"/>
        <v>7815.28</v>
      </c>
      <c r="H115" s="448">
        <f t="shared" si="4"/>
        <v>2934.88</v>
      </c>
      <c r="I115" s="447">
        <f t="shared" si="5"/>
        <v>17647.128000000001</v>
      </c>
    </row>
    <row r="116" spans="1:9">
      <c r="A116" s="445" t="s">
        <v>2630</v>
      </c>
      <c r="B116" s="445" t="s">
        <v>2075</v>
      </c>
      <c r="C116" s="445" t="s">
        <v>121</v>
      </c>
      <c r="D116" s="446">
        <v>81</v>
      </c>
      <c r="E116" s="446">
        <v>49.91</v>
      </c>
      <c r="F116" s="446">
        <v>0</v>
      </c>
      <c r="G116" s="447">
        <f t="shared" si="3"/>
        <v>4042.7099999999996</v>
      </c>
      <c r="H116" s="448">
        <f t="shared" si="4"/>
        <v>0</v>
      </c>
      <c r="I116" s="447">
        <f t="shared" si="5"/>
        <v>4042.7099999999996</v>
      </c>
    </row>
    <row r="117" spans="1:9">
      <c r="A117" s="442" t="s">
        <v>2114</v>
      </c>
      <c r="B117" s="442" t="s">
        <v>2077</v>
      </c>
      <c r="C117" s="509"/>
      <c r="D117" s="509"/>
      <c r="E117" s="509"/>
      <c r="F117" s="509"/>
      <c r="G117" s="447">
        <f t="shared" si="3"/>
        <v>0</v>
      </c>
      <c r="H117" s="448">
        <f t="shared" si="4"/>
        <v>0</v>
      </c>
      <c r="I117" s="447">
        <f t="shared" si="5"/>
        <v>0</v>
      </c>
    </row>
    <row r="118" spans="1:9">
      <c r="A118" s="445" t="s">
        <v>2116</v>
      </c>
      <c r="B118" s="445" t="s">
        <v>2079</v>
      </c>
      <c r="C118" s="445" t="s">
        <v>121</v>
      </c>
      <c r="D118" s="446">
        <v>1718</v>
      </c>
      <c r="E118" s="446">
        <v>10.63</v>
      </c>
      <c r="F118" s="446">
        <v>0</v>
      </c>
      <c r="G118" s="447">
        <f t="shared" si="3"/>
        <v>18262.34</v>
      </c>
      <c r="H118" s="448">
        <f t="shared" si="4"/>
        <v>0</v>
      </c>
      <c r="I118" s="447">
        <f t="shared" si="5"/>
        <v>18262.34</v>
      </c>
    </row>
    <row r="119" spans="1:9">
      <c r="A119" s="445" t="s">
        <v>2118</v>
      </c>
      <c r="B119" s="445" t="s">
        <v>2081</v>
      </c>
      <c r="C119" s="445" t="s">
        <v>121</v>
      </c>
      <c r="D119" s="446">
        <v>492</v>
      </c>
      <c r="E119" s="446">
        <v>12.3</v>
      </c>
      <c r="F119" s="446">
        <v>0</v>
      </c>
      <c r="G119" s="447">
        <f t="shared" si="3"/>
        <v>6051.6</v>
      </c>
      <c r="H119" s="448">
        <f t="shared" si="4"/>
        <v>0</v>
      </c>
      <c r="I119" s="447">
        <f t="shared" si="5"/>
        <v>6051.6</v>
      </c>
    </row>
    <row r="120" spans="1:9">
      <c r="A120" s="445" t="s">
        <v>2631</v>
      </c>
      <c r="B120" s="445" t="s">
        <v>2083</v>
      </c>
      <c r="C120" s="445" t="s">
        <v>121</v>
      </c>
      <c r="D120" s="446">
        <v>1718</v>
      </c>
      <c r="E120" s="446">
        <v>11.36</v>
      </c>
      <c r="F120" s="446">
        <v>0</v>
      </c>
      <c r="G120" s="447">
        <f t="shared" si="3"/>
        <v>19516.48</v>
      </c>
      <c r="H120" s="448">
        <f t="shared" si="4"/>
        <v>0</v>
      </c>
      <c r="I120" s="447">
        <f t="shared" si="5"/>
        <v>19516.48</v>
      </c>
    </row>
    <row r="121" spans="1:9">
      <c r="A121" s="445" t="s">
        <v>2632</v>
      </c>
      <c r="B121" s="445" t="s">
        <v>2085</v>
      </c>
      <c r="C121" s="445" t="s">
        <v>121</v>
      </c>
      <c r="D121" s="446">
        <v>492</v>
      </c>
      <c r="E121" s="446">
        <v>14.08</v>
      </c>
      <c r="F121" s="446">
        <v>0</v>
      </c>
      <c r="G121" s="447">
        <f t="shared" si="3"/>
        <v>6927.36</v>
      </c>
      <c r="H121" s="448">
        <f t="shared" si="4"/>
        <v>0</v>
      </c>
      <c r="I121" s="447">
        <f t="shared" si="5"/>
        <v>6927.36</v>
      </c>
    </row>
    <row r="122" spans="1:9">
      <c r="A122" s="445" t="s">
        <v>2633</v>
      </c>
      <c r="B122" s="445" t="s">
        <v>2086</v>
      </c>
      <c r="C122" s="445" t="s">
        <v>121</v>
      </c>
      <c r="D122" s="446">
        <v>4928</v>
      </c>
      <c r="E122" s="446">
        <v>15.35</v>
      </c>
      <c r="F122" s="446">
        <v>0</v>
      </c>
      <c r="G122" s="447">
        <f t="shared" si="3"/>
        <v>75644.800000000003</v>
      </c>
      <c r="H122" s="448">
        <f t="shared" si="4"/>
        <v>0</v>
      </c>
      <c r="I122" s="447">
        <f t="shared" si="5"/>
        <v>75644.800000000003</v>
      </c>
    </row>
    <row r="123" spans="1:9">
      <c r="A123" s="445" t="s">
        <v>2634</v>
      </c>
      <c r="B123" s="445" t="s">
        <v>2087</v>
      </c>
      <c r="C123" s="445" t="s">
        <v>121</v>
      </c>
      <c r="D123" s="446">
        <v>109</v>
      </c>
      <c r="E123" s="446">
        <v>49.81</v>
      </c>
      <c r="F123" s="446">
        <v>0</v>
      </c>
      <c r="G123" s="447">
        <f t="shared" si="3"/>
        <v>5429.29</v>
      </c>
      <c r="H123" s="448">
        <f t="shared" si="4"/>
        <v>0</v>
      </c>
      <c r="I123" s="447">
        <f t="shared" si="5"/>
        <v>5429.29</v>
      </c>
    </row>
    <row r="124" spans="1:9">
      <c r="A124" s="445" t="s">
        <v>2635</v>
      </c>
      <c r="B124" s="445" t="s">
        <v>2088</v>
      </c>
      <c r="C124" s="445" t="s">
        <v>121</v>
      </c>
      <c r="D124" s="446">
        <v>668</v>
      </c>
      <c r="E124" s="446">
        <v>18.11</v>
      </c>
      <c r="F124" s="446">
        <v>0</v>
      </c>
      <c r="G124" s="447">
        <f t="shared" si="3"/>
        <v>12097.48</v>
      </c>
      <c r="H124" s="448">
        <f t="shared" si="4"/>
        <v>0</v>
      </c>
      <c r="I124" s="447">
        <f t="shared" si="5"/>
        <v>12097.48</v>
      </c>
    </row>
    <row r="125" spans="1:9">
      <c r="A125" s="445" t="s">
        <v>2636</v>
      </c>
      <c r="B125" s="445" t="s">
        <v>2089</v>
      </c>
      <c r="C125" s="445" t="s">
        <v>121</v>
      </c>
      <c r="D125" s="446">
        <v>334</v>
      </c>
      <c r="E125" s="446">
        <v>8.64</v>
      </c>
      <c r="F125" s="446">
        <v>0</v>
      </c>
      <c r="G125" s="447">
        <f t="shared" si="3"/>
        <v>2885.76</v>
      </c>
      <c r="H125" s="448">
        <f t="shared" si="4"/>
        <v>0</v>
      </c>
      <c r="I125" s="447">
        <f t="shared" si="5"/>
        <v>2885.76</v>
      </c>
    </row>
    <row r="126" spans="1:9">
      <c r="A126" s="445" t="s">
        <v>2637</v>
      </c>
      <c r="B126" s="445" t="s">
        <v>2090</v>
      </c>
      <c r="C126" s="445" t="s">
        <v>121</v>
      </c>
      <c r="D126" s="446">
        <v>334</v>
      </c>
      <c r="E126" s="446">
        <v>19.010000000000002</v>
      </c>
      <c r="F126" s="446">
        <v>0</v>
      </c>
      <c r="G126" s="447">
        <f t="shared" si="3"/>
        <v>6349.34</v>
      </c>
      <c r="H126" s="448">
        <f t="shared" si="4"/>
        <v>0</v>
      </c>
      <c r="I126" s="447">
        <f t="shared" si="5"/>
        <v>6349.34</v>
      </c>
    </row>
    <row r="127" spans="1:9">
      <c r="A127" s="445" t="s">
        <v>2638</v>
      </c>
      <c r="B127" s="445" t="s">
        <v>2091</v>
      </c>
      <c r="C127" s="445" t="s">
        <v>121</v>
      </c>
      <c r="D127" s="446">
        <v>334</v>
      </c>
      <c r="E127" s="446">
        <v>11.29</v>
      </c>
      <c r="F127" s="446">
        <v>0</v>
      </c>
      <c r="G127" s="447">
        <f t="shared" si="3"/>
        <v>3770.8599999999997</v>
      </c>
      <c r="H127" s="448">
        <f t="shared" si="4"/>
        <v>0</v>
      </c>
      <c r="I127" s="447">
        <f t="shared" si="5"/>
        <v>3770.8599999999997</v>
      </c>
    </row>
    <row r="128" spans="1:9">
      <c r="A128" s="445" t="s">
        <v>2639</v>
      </c>
      <c r="B128" s="445" t="s">
        <v>2092</v>
      </c>
      <c r="C128" s="445" t="s">
        <v>121</v>
      </c>
      <c r="D128" s="446">
        <v>334</v>
      </c>
      <c r="E128" s="446">
        <v>13.75</v>
      </c>
      <c r="F128" s="446">
        <v>0</v>
      </c>
      <c r="G128" s="447">
        <f t="shared" si="3"/>
        <v>4592.5</v>
      </c>
      <c r="H128" s="448">
        <f t="shared" si="4"/>
        <v>0</v>
      </c>
      <c r="I128" s="447">
        <f t="shared" si="5"/>
        <v>4592.5</v>
      </c>
    </row>
    <row r="129" spans="1:9">
      <c r="A129" s="445" t="s">
        <v>2640</v>
      </c>
      <c r="B129" s="445" t="s">
        <v>2093</v>
      </c>
      <c r="C129" s="445" t="s">
        <v>121</v>
      </c>
      <c r="D129" s="446">
        <v>695</v>
      </c>
      <c r="E129" s="446">
        <v>8.64</v>
      </c>
      <c r="F129" s="446">
        <v>0</v>
      </c>
      <c r="G129" s="447">
        <f t="shared" si="3"/>
        <v>6004.8</v>
      </c>
      <c r="H129" s="448">
        <f t="shared" si="4"/>
        <v>0</v>
      </c>
      <c r="I129" s="447">
        <f t="shared" si="5"/>
        <v>6004.8</v>
      </c>
    </row>
    <row r="130" spans="1:9">
      <c r="A130" s="445" t="s">
        <v>2641</v>
      </c>
      <c r="B130" s="445" t="s">
        <v>2094</v>
      </c>
      <c r="C130" s="445" t="s">
        <v>121</v>
      </c>
      <c r="D130" s="446">
        <v>2367</v>
      </c>
      <c r="E130" s="446">
        <v>20.71</v>
      </c>
      <c r="F130" s="446">
        <v>0</v>
      </c>
      <c r="G130" s="447">
        <f t="shared" si="3"/>
        <v>49020.57</v>
      </c>
      <c r="H130" s="448">
        <f t="shared" si="4"/>
        <v>0</v>
      </c>
      <c r="I130" s="447">
        <f t="shared" si="5"/>
        <v>49020.57</v>
      </c>
    </row>
    <row r="131" spans="1:9">
      <c r="A131" s="442" t="s">
        <v>2120</v>
      </c>
      <c r="B131" s="442" t="s">
        <v>2095</v>
      </c>
      <c r="C131" s="509"/>
      <c r="D131" s="509"/>
      <c r="E131" s="509"/>
      <c r="F131" s="509"/>
      <c r="G131" s="447">
        <f t="shared" si="3"/>
        <v>0</v>
      </c>
      <c r="H131" s="448">
        <f t="shared" si="4"/>
        <v>0</v>
      </c>
      <c r="I131" s="447">
        <f t="shared" si="5"/>
        <v>0</v>
      </c>
    </row>
    <row r="132" spans="1:9">
      <c r="A132" s="444" t="s">
        <v>2122</v>
      </c>
      <c r="B132" s="444" t="s">
        <v>2097</v>
      </c>
      <c r="C132" s="509"/>
      <c r="D132" s="509"/>
      <c r="E132" s="509"/>
      <c r="F132" s="509"/>
      <c r="G132" s="447">
        <f t="shared" si="3"/>
        <v>0</v>
      </c>
      <c r="H132" s="448">
        <f t="shared" si="4"/>
        <v>0</v>
      </c>
      <c r="I132" s="447">
        <f t="shared" si="5"/>
        <v>0</v>
      </c>
    </row>
    <row r="133" spans="1:9">
      <c r="A133" s="445" t="s">
        <v>2124</v>
      </c>
      <c r="B133" s="445" t="s">
        <v>2098</v>
      </c>
      <c r="C133" s="445" t="s">
        <v>121</v>
      </c>
      <c r="D133" s="446">
        <v>3</v>
      </c>
      <c r="E133" s="446">
        <v>2715.46</v>
      </c>
      <c r="F133" s="446">
        <v>0</v>
      </c>
      <c r="G133" s="447">
        <f t="shared" si="3"/>
        <v>8146.38</v>
      </c>
      <c r="H133" s="448">
        <f t="shared" si="4"/>
        <v>0</v>
      </c>
      <c r="I133" s="447">
        <f t="shared" si="5"/>
        <v>8146.38</v>
      </c>
    </row>
    <row r="134" spans="1:9">
      <c r="A134" s="445" t="s">
        <v>2126</v>
      </c>
      <c r="B134" s="445" t="s">
        <v>2099</v>
      </c>
      <c r="C134" s="445" t="s">
        <v>121</v>
      </c>
      <c r="D134" s="446">
        <v>12</v>
      </c>
      <c r="E134" s="446">
        <v>90.76</v>
      </c>
      <c r="F134" s="446">
        <v>0</v>
      </c>
      <c r="G134" s="447">
        <f t="shared" si="3"/>
        <v>1089.1200000000001</v>
      </c>
      <c r="H134" s="448">
        <f t="shared" si="4"/>
        <v>0</v>
      </c>
      <c r="I134" s="447">
        <f t="shared" si="5"/>
        <v>1089.1200000000001</v>
      </c>
    </row>
    <row r="135" spans="1:9">
      <c r="A135" s="445" t="s">
        <v>2128</v>
      </c>
      <c r="B135" s="445" t="s">
        <v>2100</v>
      </c>
      <c r="C135" s="445" t="s">
        <v>121</v>
      </c>
      <c r="D135" s="446">
        <v>8</v>
      </c>
      <c r="E135" s="446">
        <v>591.16</v>
      </c>
      <c r="F135" s="446">
        <v>0</v>
      </c>
      <c r="G135" s="447">
        <f t="shared" si="3"/>
        <v>4729.28</v>
      </c>
      <c r="H135" s="448">
        <f t="shared" si="4"/>
        <v>0</v>
      </c>
      <c r="I135" s="447">
        <f t="shared" si="5"/>
        <v>4729.28</v>
      </c>
    </row>
    <row r="136" spans="1:9">
      <c r="A136" s="445" t="s">
        <v>2130</v>
      </c>
      <c r="B136" s="445" t="s">
        <v>2101</v>
      </c>
      <c r="C136" s="445" t="s">
        <v>378</v>
      </c>
      <c r="D136" s="446">
        <v>40</v>
      </c>
      <c r="E136" s="446">
        <v>1.85</v>
      </c>
      <c r="F136" s="446">
        <v>0</v>
      </c>
      <c r="G136" s="447">
        <f t="shared" si="3"/>
        <v>74</v>
      </c>
      <c r="H136" s="448">
        <f t="shared" si="4"/>
        <v>0</v>
      </c>
      <c r="I136" s="447">
        <f t="shared" si="5"/>
        <v>74</v>
      </c>
    </row>
    <row r="137" spans="1:9">
      <c r="A137" s="445" t="s">
        <v>2132</v>
      </c>
      <c r="B137" s="445" t="s">
        <v>2102</v>
      </c>
      <c r="C137" s="445" t="s">
        <v>973</v>
      </c>
      <c r="D137" s="446">
        <v>12.8</v>
      </c>
      <c r="E137" s="446">
        <v>56.98</v>
      </c>
      <c r="F137" s="446">
        <v>0</v>
      </c>
      <c r="G137" s="447">
        <f t="shared" si="3"/>
        <v>729.34400000000005</v>
      </c>
      <c r="H137" s="448">
        <f t="shared" si="4"/>
        <v>0</v>
      </c>
      <c r="I137" s="447">
        <f t="shared" si="5"/>
        <v>729.34400000000005</v>
      </c>
    </row>
    <row r="138" spans="1:9">
      <c r="A138" s="445" t="s">
        <v>2134</v>
      </c>
      <c r="B138" s="445" t="s">
        <v>2103</v>
      </c>
      <c r="C138" s="445" t="s">
        <v>973</v>
      </c>
      <c r="D138" s="446">
        <v>11.2</v>
      </c>
      <c r="E138" s="446">
        <v>252.12</v>
      </c>
      <c r="F138" s="446">
        <v>0</v>
      </c>
      <c r="G138" s="447">
        <f t="shared" si="3"/>
        <v>2823.7439999999997</v>
      </c>
      <c r="H138" s="448">
        <f t="shared" si="4"/>
        <v>0</v>
      </c>
      <c r="I138" s="447">
        <f t="shared" si="5"/>
        <v>2823.7439999999997</v>
      </c>
    </row>
    <row r="139" spans="1:9">
      <c r="A139" s="445" t="s">
        <v>2136</v>
      </c>
      <c r="B139" s="445" t="s">
        <v>2104</v>
      </c>
      <c r="C139" s="445" t="s">
        <v>973</v>
      </c>
      <c r="D139" s="446">
        <v>5.44</v>
      </c>
      <c r="E139" s="446">
        <v>39.93</v>
      </c>
      <c r="F139" s="446">
        <v>0</v>
      </c>
      <c r="G139" s="447">
        <f t="shared" si="3"/>
        <v>217.2192</v>
      </c>
      <c r="H139" s="448">
        <f t="shared" si="4"/>
        <v>0</v>
      </c>
      <c r="I139" s="447">
        <f t="shared" si="5"/>
        <v>217.2192</v>
      </c>
    </row>
    <row r="140" spans="1:9">
      <c r="A140" s="444" t="s">
        <v>2144</v>
      </c>
      <c r="B140" s="444" t="s">
        <v>2106</v>
      </c>
      <c r="C140" s="509"/>
      <c r="D140" s="509"/>
      <c r="E140" s="509"/>
      <c r="F140" s="509"/>
      <c r="G140" s="447">
        <f t="shared" si="3"/>
        <v>0</v>
      </c>
      <c r="H140" s="448">
        <f t="shared" si="4"/>
        <v>0</v>
      </c>
      <c r="I140" s="447">
        <f t="shared" si="5"/>
        <v>0</v>
      </c>
    </row>
    <row r="141" spans="1:9">
      <c r="A141" s="445" t="s">
        <v>2642</v>
      </c>
      <c r="B141" s="445" t="s">
        <v>2107</v>
      </c>
      <c r="C141" s="445" t="s">
        <v>378</v>
      </c>
      <c r="D141" s="446">
        <v>40</v>
      </c>
      <c r="E141" s="446">
        <v>8.75</v>
      </c>
      <c r="F141" s="446">
        <v>8.86</v>
      </c>
      <c r="G141" s="447">
        <f t="shared" ref="G141:G180" si="6">+E141*D141</f>
        <v>350</v>
      </c>
      <c r="H141" s="448">
        <f t="shared" ref="H141:H179" si="7">+F141*D141</f>
        <v>354.4</v>
      </c>
      <c r="I141" s="447">
        <f t="shared" ref="I141:I180" si="8">+G141+(H141*$I$3)</f>
        <v>1537.24</v>
      </c>
    </row>
    <row r="142" spans="1:9">
      <c r="A142" s="445" t="s">
        <v>2146</v>
      </c>
      <c r="B142" s="445" t="s">
        <v>2108</v>
      </c>
      <c r="C142" s="445" t="s">
        <v>378</v>
      </c>
      <c r="D142" s="446">
        <v>326</v>
      </c>
      <c r="E142" s="446">
        <v>10.33</v>
      </c>
      <c r="F142" s="446">
        <v>5.84</v>
      </c>
      <c r="G142" s="447">
        <f t="shared" si="6"/>
        <v>3367.58</v>
      </c>
      <c r="H142" s="448">
        <f t="shared" si="7"/>
        <v>1903.84</v>
      </c>
      <c r="I142" s="447">
        <f t="shared" si="8"/>
        <v>9745.4439999999995</v>
      </c>
    </row>
    <row r="143" spans="1:9">
      <c r="A143" s="445" t="s">
        <v>2147</v>
      </c>
      <c r="B143" s="445" t="s">
        <v>2109</v>
      </c>
      <c r="C143" s="445" t="s">
        <v>378</v>
      </c>
      <c r="D143" s="446">
        <v>64</v>
      </c>
      <c r="E143" s="446">
        <v>13.15</v>
      </c>
      <c r="F143" s="446">
        <v>8.23</v>
      </c>
      <c r="G143" s="447">
        <f t="shared" si="6"/>
        <v>841.6</v>
      </c>
      <c r="H143" s="448">
        <f t="shared" si="7"/>
        <v>526.72</v>
      </c>
      <c r="I143" s="447">
        <f t="shared" si="8"/>
        <v>2606.1120000000001</v>
      </c>
    </row>
    <row r="144" spans="1:9">
      <c r="A144" s="445" t="s">
        <v>2148</v>
      </c>
      <c r="B144" s="445" t="s">
        <v>2110</v>
      </c>
      <c r="C144" s="445" t="s">
        <v>378</v>
      </c>
      <c r="D144" s="446">
        <v>144</v>
      </c>
      <c r="E144" s="446">
        <v>14.52</v>
      </c>
      <c r="F144" s="446">
        <v>11.58</v>
      </c>
      <c r="G144" s="447">
        <f t="shared" si="6"/>
        <v>2090.88</v>
      </c>
      <c r="H144" s="448">
        <f t="shared" si="7"/>
        <v>1667.52</v>
      </c>
      <c r="I144" s="447">
        <f t="shared" si="8"/>
        <v>7677.0720000000001</v>
      </c>
    </row>
    <row r="145" spans="1:9">
      <c r="A145" s="445" t="s">
        <v>2643</v>
      </c>
      <c r="B145" s="445" t="s">
        <v>2111</v>
      </c>
      <c r="C145" s="445" t="s">
        <v>378</v>
      </c>
      <c r="D145" s="446">
        <v>124</v>
      </c>
      <c r="E145" s="446">
        <v>14.52</v>
      </c>
      <c r="F145" s="446">
        <v>15.84</v>
      </c>
      <c r="G145" s="447">
        <f t="shared" si="6"/>
        <v>1800.48</v>
      </c>
      <c r="H145" s="448">
        <f t="shared" si="7"/>
        <v>1964.16</v>
      </c>
      <c r="I145" s="447">
        <f t="shared" si="8"/>
        <v>8380.4160000000011</v>
      </c>
    </row>
    <row r="146" spans="1:9">
      <c r="A146" s="444" t="s">
        <v>2152</v>
      </c>
      <c r="B146" s="444" t="s">
        <v>2113</v>
      </c>
      <c r="C146" s="509"/>
      <c r="D146" s="509"/>
      <c r="E146" s="509"/>
      <c r="F146" s="509"/>
      <c r="G146" s="447">
        <f t="shared" si="6"/>
        <v>0</v>
      </c>
      <c r="H146" s="448">
        <f t="shared" si="7"/>
        <v>0</v>
      </c>
      <c r="I146" s="447">
        <f t="shared" si="8"/>
        <v>0</v>
      </c>
    </row>
    <row r="147" spans="1:9">
      <c r="A147" s="445" t="s">
        <v>2644</v>
      </c>
      <c r="B147" s="445" t="s">
        <v>2047</v>
      </c>
      <c r="C147" s="445" t="s">
        <v>378</v>
      </c>
      <c r="D147" s="446">
        <v>0</v>
      </c>
      <c r="E147" s="446">
        <v>15.6</v>
      </c>
      <c r="F147" s="446">
        <v>0</v>
      </c>
      <c r="G147" s="447">
        <f t="shared" si="6"/>
        <v>0</v>
      </c>
      <c r="H147" s="448">
        <f t="shared" si="7"/>
        <v>0</v>
      </c>
      <c r="I147" s="447">
        <f t="shared" si="8"/>
        <v>0</v>
      </c>
    </row>
    <row r="148" spans="1:9">
      <c r="A148" s="445" t="s">
        <v>2645</v>
      </c>
      <c r="B148" s="445" t="s">
        <v>2049</v>
      </c>
      <c r="C148" s="445" t="s">
        <v>378</v>
      </c>
      <c r="D148" s="446">
        <v>698</v>
      </c>
      <c r="E148" s="446">
        <v>21.27</v>
      </c>
      <c r="F148" s="446">
        <v>0</v>
      </c>
      <c r="G148" s="447">
        <f t="shared" si="6"/>
        <v>14846.46</v>
      </c>
      <c r="H148" s="448">
        <f t="shared" si="7"/>
        <v>0</v>
      </c>
      <c r="I148" s="447">
        <f t="shared" si="8"/>
        <v>14846.46</v>
      </c>
    </row>
    <row r="149" spans="1:9">
      <c r="A149" s="442" t="s">
        <v>2646</v>
      </c>
      <c r="B149" s="442" t="s">
        <v>2115</v>
      </c>
      <c r="C149" s="509"/>
      <c r="D149" s="509"/>
      <c r="E149" s="509"/>
      <c r="F149" s="509"/>
      <c r="G149" s="447">
        <f t="shared" si="6"/>
        <v>0</v>
      </c>
      <c r="H149" s="448">
        <f t="shared" si="7"/>
        <v>0</v>
      </c>
      <c r="I149" s="447">
        <f t="shared" si="8"/>
        <v>0</v>
      </c>
    </row>
    <row r="150" spans="1:9">
      <c r="A150" s="445" t="s">
        <v>2647</v>
      </c>
      <c r="B150" s="445" t="s">
        <v>2117</v>
      </c>
      <c r="C150" s="445" t="s">
        <v>121</v>
      </c>
      <c r="D150" s="446">
        <v>19</v>
      </c>
      <c r="E150" s="446">
        <v>374.83</v>
      </c>
      <c r="F150" s="446">
        <v>0</v>
      </c>
      <c r="G150" s="447">
        <f t="shared" si="6"/>
        <v>7121.7699999999995</v>
      </c>
      <c r="H150" s="448">
        <f t="shared" si="7"/>
        <v>0</v>
      </c>
      <c r="I150" s="447">
        <f t="shared" si="8"/>
        <v>7121.7699999999995</v>
      </c>
    </row>
    <row r="151" spans="1:9">
      <c r="A151" s="445" t="s">
        <v>2648</v>
      </c>
      <c r="B151" s="445" t="s">
        <v>2119</v>
      </c>
      <c r="C151" s="445" t="s">
        <v>130</v>
      </c>
      <c r="D151" s="446">
        <v>1</v>
      </c>
      <c r="E151" s="446">
        <v>6189.06</v>
      </c>
      <c r="F151" s="446">
        <v>0</v>
      </c>
      <c r="G151" s="447">
        <f t="shared" si="6"/>
        <v>6189.06</v>
      </c>
      <c r="H151" s="448">
        <f t="shared" si="7"/>
        <v>0</v>
      </c>
      <c r="I151" s="447">
        <f t="shared" si="8"/>
        <v>6189.06</v>
      </c>
    </row>
    <row r="152" spans="1:9">
      <c r="A152" s="442" t="s">
        <v>2649</v>
      </c>
      <c r="B152" s="442" t="s">
        <v>2121</v>
      </c>
      <c r="C152" s="509"/>
      <c r="D152" s="509"/>
      <c r="E152" s="509"/>
      <c r="F152" s="509"/>
      <c r="G152" s="447">
        <f t="shared" si="6"/>
        <v>0</v>
      </c>
      <c r="H152" s="448">
        <f t="shared" si="7"/>
        <v>0</v>
      </c>
      <c r="I152" s="447">
        <f t="shared" si="8"/>
        <v>0</v>
      </c>
    </row>
    <row r="153" spans="1:9">
      <c r="A153" s="444" t="s">
        <v>2650</v>
      </c>
      <c r="B153" s="444" t="s">
        <v>2123</v>
      </c>
      <c r="C153" s="509"/>
      <c r="D153" s="509"/>
      <c r="E153" s="509"/>
      <c r="F153" s="509"/>
      <c r="G153" s="447">
        <f t="shared" si="6"/>
        <v>0</v>
      </c>
      <c r="H153" s="448">
        <f t="shared" si="7"/>
        <v>0</v>
      </c>
      <c r="I153" s="447">
        <f t="shared" si="8"/>
        <v>0</v>
      </c>
    </row>
    <row r="154" spans="1:9">
      <c r="A154" s="445" t="s">
        <v>2651</v>
      </c>
      <c r="B154" s="445" t="s">
        <v>2125</v>
      </c>
      <c r="C154" s="445" t="s">
        <v>1955</v>
      </c>
      <c r="D154" s="446">
        <v>334</v>
      </c>
      <c r="E154" s="446">
        <v>43.16</v>
      </c>
      <c r="F154" s="446">
        <v>0</v>
      </c>
      <c r="G154" s="447">
        <f t="shared" si="6"/>
        <v>14415.439999999999</v>
      </c>
      <c r="H154" s="448">
        <f t="shared" si="7"/>
        <v>0</v>
      </c>
      <c r="I154" s="447">
        <f t="shared" si="8"/>
        <v>14415.439999999999</v>
      </c>
    </row>
    <row r="155" spans="1:9">
      <c r="A155" s="445" t="s">
        <v>2652</v>
      </c>
      <c r="B155" s="445" t="s">
        <v>2127</v>
      </c>
      <c r="C155" s="445" t="s">
        <v>1955</v>
      </c>
      <c r="D155" s="446">
        <v>695</v>
      </c>
      <c r="E155" s="446">
        <v>49.31</v>
      </c>
      <c r="F155" s="446">
        <v>0</v>
      </c>
      <c r="G155" s="447">
        <f t="shared" si="6"/>
        <v>34270.450000000004</v>
      </c>
      <c r="H155" s="448">
        <f t="shared" si="7"/>
        <v>0</v>
      </c>
      <c r="I155" s="447">
        <f t="shared" si="8"/>
        <v>34270.450000000004</v>
      </c>
    </row>
    <row r="156" spans="1:9">
      <c r="A156" s="445" t="s">
        <v>2653</v>
      </c>
      <c r="B156" s="445" t="s">
        <v>2129</v>
      </c>
      <c r="C156" s="445" t="s">
        <v>1955</v>
      </c>
      <c r="D156" s="446">
        <v>354</v>
      </c>
      <c r="E156" s="446">
        <v>52.95</v>
      </c>
      <c r="F156" s="446">
        <v>0</v>
      </c>
      <c r="G156" s="447">
        <f t="shared" si="6"/>
        <v>18744.3</v>
      </c>
      <c r="H156" s="448">
        <f t="shared" si="7"/>
        <v>0</v>
      </c>
      <c r="I156" s="447">
        <f t="shared" si="8"/>
        <v>18744.3</v>
      </c>
    </row>
    <row r="157" spans="1:9">
      <c r="A157" s="445" t="s">
        <v>2654</v>
      </c>
      <c r="B157" s="445" t="s">
        <v>2131</v>
      </c>
      <c r="C157" s="445" t="s">
        <v>1955</v>
      </c>
      <c r="D157" s="446">
        <v>46</v>
      </c>
      <c r="E157" s="446">
        <v>52.95</v>
      </c>
      <c r="F157" s="446">
        <v>0</v>
      </c>
      <c r="G157" s="447">
        <f t="shared" si="6"/>
        <v>2435.7000000000003</v>
      </c>
      <c r="H157" s="448">
        <f t="shared" si="7"/>
        <v>0</v>
      </c>
      <c r="I157" s="447">
        <f t="shared" si="8"/>
        <v>2435.7000000000003</v>
      </c>
    </row>
    <row r="158" spans="1:9">
      <c r="A158" s="445" t="s">
        <v>2655</v>
      </c>
      <c r="B158" s="445" t="s">
        <v>2133</v>
      </c>
      <c r="C158" s="445" t="s">
        <v>1955</v>
      </c>
      <c r="D158" s="446">
        <v>2</v>
      </c>
      <c r="E158" s="446">
        <v>52.95</v>
      </c>
      <c r="F158" s="446">
        <v>0</v>
      </c>
      <c r="G158" s="447">
        <f t="shared" si="6"/>
        <v>105.9</v>
      </c>
      <c r="H158" s="448">
        <f t="shared" si="7"/>
        <v>0</v>
      </c>
      <c r="I158" s="447">
        <f t="shared" si="8"/>
        <v>105.9</v>
      </c>
    </row>
    <row r="159" spans="1:9">
      <c r="A159" s="445" t="s">
        <v>2656</v>
      </c>
      <c r="B159" s="445" t="s">
        <v>2135</v>
      </c>
      <c r="C159" s="445" t="s">
        <v>1955</v>
      </c>
      <c r="D159" s="446">
        <v>2</v>
      </c>
      <c r="E159" s="446">
        <v>62.41</v>
      </c>
      <c r="F159" s="446">
        <v>0</v>
      </c>
      <c r="G159" s="447">
        <f t="shared" si="6"/>
        <v>124.82</v>
      </c>
      <c r="H159" s="448">
        <f t="shared" si="7"/>
        <v>0</v>
      </c>
      <c r="I159" s="447">
        <f t="shared" si="8"/>
        <v>124.82</v>
      </c>
    </row>
    <row r="160" spans="1:9">
      <c r="A160" s="445" t="s">
        <v>2657</v>
      </c>
      <c r="B160" s="445" t="s">
        <v>2137</v>
      </c>
      <c r="C160" s="445" t="s">
        <v>1955</v>
      </c>
      <c r="D160" s="446">
        <v>2</v>
      </c>
      <c r="E160" s="446">
        <v>62.41</v>
      </c>
      <c r="F160" s="446">
        <v>0</v>
      </c>
      <c r="G160" s="447">
        <f t="shared" si="6"/>
        <v>124.82</v>
      </c>
      <c r="H160" s="448">
        <f t="shared" si="7"/>
        <v>0</v>
      </c>
      <c r="I160" s="447">
        <f t="shared" si="8"/>
        <v>124.82</v>
      </c>
    </row>
    <row r="161" spans="1:9">
      <c r="A161" s="445" t="s">
        <v>2658</v>
      </c>
      <c r="B161" s="445" t="s">
        <v>2138</v>
      </c>
      <c r="C161" s="445" t="s">
        <v>1955</v>
      </c>
      <c r="D161" s="446">
        <v>627</v>
      </c>
      <c r="E161" s="446">
        <v>40.35</v>
      </c>
      <c r="F161" s="446">
        <v>0</v>
      </c>
      <c r="G161" s="447">
        <f t="shared" si="6"/>
        <v>25299.45</v>
      </c>
      <c r="H161" s="448">
        <f t="shared" si="7"/>
        <v>0</v>
      </c>
      <c r="I161" s="447">
        <f t="shared" si="8"/>
        <v>25299.45</v>
      </c>
    </row>
    <row r="162" spans="1:9">
      <c r="A162" s="445" t="s">
        <v>2659</v>
      </c>
      <c r="B162" s="445" t="s">
        <v>2139</v>
      </c>
      <c r="C162" s="445" t="s">
        <v>1955</v>
      </c>
      <c r="D162" s="446">
        <v>337</v>
      </c>
      <c r="E162" s="446">
        <v>49.75</v>
      </c>
      <c r="F162" s="446">
        <v>0</v>
      </c>
      <c r="G162" s="447">
        <f t="shared" si="6"/>
        <v>16765.75</v>
      </c>
      <c r="H162" s="448">
        <f t="shared" si="7"/>
        <v>0</v>
      </c>
      <c r="I162" s="447">
        <f t="shared" si="8"/>
        <v>16765.75</v>
      </c>
    </row>
    <row r="163" spans="1:9">
      <c r="A163" s="445" t="s">
        <v>2660</v>
      </c>
      <c r="B163" s="445" t="s">
        <v>2140</v>
      </c>
      <c r="C163" s="445" t="s">
        <v>1955</v>
      </c>
      <c r="D163" s="446">
        <v>90</v>
      </c>
      <c r="E163" s="446">
        <v>61.11</v>
      </c>
      <c r="F163" s="446">
        <v>0</v>
      </c>
      <c r="G163" s="447">
        <f t="shared" si="6"/>
        <v>5499.9</v>
      </c>
      <c r="H163" s="448">
        <f t="shared" si="7"/>
        <v>0</v>
      </c>
      <c r="I163" s="447">
        <f t="shared" si="8"/>
        <v>5499.9</v>
      </c>
    </row>
    <row r="164" spans="1:9">
      <c r="A164" s="445" t="s">
        <v>2661</v>
      </c>
      <c r="B164" s="445" t="s">
        <v>2141</v>
      </c>
      <c r="C164" s="445" t="s">
        <v>1955</v>
      </c>
      <c r="D164" s="446">
        <v>6</v>
      </c>
      <c r="E164" s="446">
        <v>50.96</v>
      </c>
      <c r="F164" s="446">
        <v>0</v>
      </c>
      <c r="G164" s="447">
        <f t="shared" si="6"/>
        <v>305.76</v>
      </c>
      <c r="H164" s="448">
        <f t="shared" si="7"/>
        <v>0</v>
      </c>
      <c r="I164" s="447">
        <f t="shared" si="8"/>
        <v>305.76</v>
      </c>
    </row>
    <row r="165" spans="1:9">
      <c r="A165" s="445" t="s">
        <v>2662</v>
      </c>
      <c r="B165" s="445" t="s">
        <v>2142</v>
      </c>
      <c r="C165" s="445" t="s">
        <v>1955</v>
      </c>
      <c r="D165" s="446">
        <v>479</v>
      </c>
      <c r="E165" s="446">
        <v>50.96</v>
      </c>
      <c r="F165" s="446">
        <v>0</v>
      </c>
      <c r="G165" s="447">
        <f t="shared" si="6"/>
        <v>24409.84</v>
      </c>
      <c r="H165" s="448">
        <f t="shared" si="7"/>
        <v>0</v>
      </c>
      <c r="I165" s="447">
        <f t="shared" si="8"/>
        <v>24409.84</v>
      </c>
    </row>
    <row r="166" spans="1:9">
      <c r="A166" s="445" t="s">
        <v>2663</v>
      </c>
      <c r="B166" s="445" t="s">
        <v>2143</v>
      </c>
      <c r="C166" s="445" t="s">
        <v>1955</v>
      </c>
      <c r="D166" s="446">
        <v>411</v>
      </c>
      <c r="E166" s="446">
        <v>50.96</v>
      </c>
      <c r="F166" s="446">
        <v>0</v>
      </c>
      <c r="G166" s="447">
        <f t="shared" si="6"/>
        <v>20944.560000000001</v>
      </c>
      <c r="H166" s="448">
        <f t="shared" si="7"/>
        <v>0</v>
      </c>
      <c r="I166" s="447">
        <f t="shared" si="8"/>
        <v>20944.560000000001</v>
      </c>
    </row>
    <row r="167" spans="1:9">
      <c r="A167" s="444" t="s">
        <v>2664</v>
      </c>
      <c r="B167" s="444" t="s">
        <v>2145</v>
      </c>
      <c r="C167" s="509"/>
      <c r="D167" s="509"/>
      <c r="E167" s="509"/>
      <c r="F167" s="509"/>
      <c r="G167" s="447">
        <f t="shared" si="6"/>
        <v>0</v>
      </c>
      <c r="H167" s="448">
        <f t="shared" si="7"/>
        <v>0</v>
      </c>
      <c r="I167" s="447">
        <f t="shared" si="8"/>
        <v>0</v>
      </c>
    </row>
    <row r="168" spans="1:9">
      <c r="A168" s="445" t="s">
        <v>2665</v>
      </c>
      <c r="B168" s="445" t="s">
        <v>2056</v>
      </c>
      <c r="C168" s="445" t="s">
        <v>121</v>
      </c>
      <c r="D168" s="446">
        <v>1105</v>
      </c>
      <c r="E168" s="446">
        <v>25.52</v>
      </c>
      <c r="F168" s="446">
        <v>0</v>
      </c>
      <c r="G168" s="447">
        <f t="shared" si="6"/>
        <v>28199.599999999999</v>
      </c>
      <c r="H168" s="448">
        <f t="shared" si="7"/>
        <v>0</v>
      </c>
      <c r="I168" s="447">
        <f t="shared" si="8"/>
        <v>28199.599999999999</v>
      </c>
    </row>
    <row r="169" spans="1:9">
      <c r="A169" s="445" t="s">
        <v>2666</v>
      </c>
      <c r="B169" s="445" t="s">
        <v>2057</v>
      </c>
      <c r="C169" s="445" t="s">
        <v>121</v>
      </c>
      <c r="D169" s="446">
        <v>56</v>
      </c>
      <c r="E169" s="446">
        <v>37.11</v>
      </c>
      <c r="F169" s="446">
        <v>0</v>
      </c>
      <c r="G169" s="447">
        <f t="shared" si="6"/>
        <v>2078.16</v>
      </c>
      <c r="H169" s="448">
        <f t="shared" si="7"/>
        <v>0</v>
      </c>
      <c r="I169" s="447">
        <f t="shared" si="8"/>
        <v>2078.16</v>
      </c>
    </row>
    <row r="170" spans="1:9">
      <c r="A170" s="445" t="s">
        <v>2667</v>
      </c>
      <c r="B170" s="445" t="s">
        <v>2149</v>
      </c>
      <c r="C170" s="445" t="s">
        <v>121</v>
      </c>
      <c r="D170" s="446">
        <v>68</v>
      </c>
      <c r="E170" s="446">
        <v>51.28</v>
      </c>
      <c r="F170" s="446">
        <v>0</v>
      </c>
      <c r="G170" s="447">
        <f t="shared" si="6"/>
        <v>3487.04</v>
      </c>
      <c r="H170" s="448">
        <f t="shared" si="7"/>
        <v>0</v>
      </c>
      <c r="I170" s="447">
        <f t="shared" si="8"/>
        <v>3487.04</v>
      </c>
    </row>
    <row r="171" spans="1:9">
      <c r="A171" s="445" t="s">
        <v>2668</v>
      </c>
      <c r="B171" s="445" t="s">
        <v>2150</v>
      </c>
      <c r="C171" s="445" t="s">
        <v>121</v>
      </c>
      <c r="D171" s="446">
        <v>4</v>
      </c>
      <c r="E171" s="446">
        <v>120.13</v>
      </c>
      <c r="F171" s="446">
        <v>0</v>
      </c>
      <c r="G171" s="447">
        <f t="shared" si="6"/>
        <v>480.52</v>
      </c>
      <c r="H171" s="448">
        <f t="shared" si="7"/>
        <v>0</v>
      </c>
      <c r="I171" s="447">
        <f t="shared" si="8"/>
        <v>480.52</v>
      </c>
    </row>
    <row r="172" spans="1:9">
      <c r="A172" s="445" t="s">
        <v>2669</v>
      </c>
      <c r="B172" s="445" t="s">
        <v>2151</v>
      </c>
      <c r="C172" s="445" t="s">
        <v>121</v>
      </c>
      <c r="D172" s="446">
        <v>58</v>
      </c>
      <c r="E172" s="446">
        <v>610.24</v>
      </c>
      <c r="F172" s="446">
        <v>0</v>
      </c>
      <c r="G172" s="447">
        <f t="shared" si="6"/>
        <v>35393.919999999998</v>
      </c>
      <c r="H172" s="448">
        <f t="shared" si="7"/>
        <v>0</v>
      </c>
      <c r="I172" s="447">
        <f t="shared" si="8"/>
        <v>35393.919999999998</v>
      </c>
    </row>
    <row r="173" spans="1:9">
      <c r="A173" s="445" t="s">
        <v>2670</v>
      </c>
      <c r="B173" s="445" t="s">
        <v>2059</v>
      </c>
      <c r="C173" s="445" t="s">
        <v>121</v>
      </c>
      <c r="D173" s="446">
        <v>2</v>
      </c>
      <c r="E173" s="446">
        <v>1005.22</v>
      </c>
      <c r="F173" s="446">
        <v>0</v>
      </c>
      <c r="G173" s="447">
        <f t="shared" si="6"/>
        <v>2010.44</v>
      </c>
      <c r="H173" s="448">
        <f t="shared" si="7"/>
        <v>0</v>
      </c>
      <c r="I173" s="447">
        <f t="shared" si="8"/>
        <v>2010.44</v>
      </c>
    </row>
    <row r="174" spans="1:9">
      <c r="A174" s="444" t="s">
        <v>2671</v>
      </c>
      <c r="B174" s="444" t="s">
        <v>2153</v>
      </c>
      <c r="C174" s="509"/>
      <c r="D174" s="509"/>
      <c r="E174" s="509"/>
      <c r="F174" s="509"/>
      <c r="G174" s="447">
        <f t="shared" si="6"/>
        <v>0</v>
      </c>
      <c r="H174" s="448">
        <f t="shared" si="7"/>
        <v>0</v>
      </c>
      <c r="I174" s="447">
        <f t="shared" si="8"/>
        <v>0</v>
      </c>
    </row>
    <row r="175" spans="1:9">
      <c r="A175" s="445" t="s">
        <v>2672</v>
      </c>
      <c r="B175" s="445" t="s">
        <v>2154</v>
      </c>
      <c r="C175" s="445" t="s">
        <v>378</v>
      </c>
      <c r="D175" s="446">
        <v>20876</v>
      </c>
      <c r="E175" s="446">
        <v>10.29</v>
      </c>
      <c r="F175" s="446">
        <v>0</v>
      </c>
      <c r="G175" s="447">
        <f t="shared" si="6"/>
        <v>214814.03999999998</v>
      </c>
      <c r="H175" s="448">
        <f t="shared" si="7"/>
        <v>0</v>
      </c>
      <c r="I175" s="447">
        <f t="shared" si="8"/>
        <v>214814.03999999998</v>
      </c>
    </row>
    <row r="176" spans="1:9">
      <c r="A176" s="445" t="s">
        <v>2673</v>
      </c>
      <c r="B176" s="445" t="s">
        <v>2155</v>
      </c>
      <c r="C176" s="445" t="s">
        <v>378</v>
      </c>
      <c r="D176" s="446">
        <v>25</v>
      </c>
      <c r="E176" s="446">
        <v>155.61000000000001</v>
      </c>
      <c r="F176" s="446">
        <v>0</v>
      </c>
      <c r="G176" s="447">
        <f t="shared" si="6"/>
        <v>3890.2500000000005</v>
      </c>
      <c r="H176" s="448">
        <f t="shared" si="7"/>
        <v>0</v>
      </c>
      <c r="I176" s="447">
        <f t="shared" si="8"/>
        <v>3890.2500000000005</v>
      </c>
    </row>
    <row r="177" spans="1:9">
      <c r="A177" s="445" t="s">
        <v>2674</v>
      </c>
      <c r="B177" s="445" t="s">
        <v>2042</v>
      </c>
      <c r="C177" s="445" t="s">
        <v>378</v>
      </c>
      <c r="D177" s="446">
        <v>122</v>
      </c>
      <c r="E177" s="446">
        <v>45.89</v>
      </c>
      <c r="F177" s="446">
        <v>0</v>
      </c>
      <c r="G177" s="447">
        <f t="shared" si="6"/>
        <v>5598.58</v>
      </c>
      <c r="H177" s="448">
        <f t="shared" si="7"/>
        <v>0</v>
      </c>
      <c r="I177" s="447">
        <f t="shared" si="8"/>
        <v>5598.58</v>
      </c>
    </row>
    <row r="178" spans="1:9">
      <c r="A178" s="445" t="s">
        <v>2675</v>
      </c>
      <c r="B178" s="445" t="s">
        <v>2045</v>
      </c>
      <c r="C178" s="445" t="s">
        <v>378</v>
      </c>
      <c r="D178" s="446">
        <v>412</v>
      </c>
      <c r="E178" s="446">
        <v>79.69</v>
      </c>
      <c r="F178" s="446">
        <v>0</v>
      </c>
      <c r="G178" s="447">
        <f t="shared" si="6"/>
        <v>32832.28</v>
      </c>
      <c r="H178" s="448">
        <f t="shared" si="7"/>
        <v>0</v>
      </c>
      <c r="I178" s="447">
        <f t="shared" si="8"/>
        <v>32832.28</v>
      </c>
    </row>
    <row r="179" spans="1:9">
      <c r="A179" s="445" t="s">
        <v>2676</v>
      </c>
      <c r="B179" s="445" t="s">
        <v>2156</v>
      </c>
      <c r="C179" s="445" t="s">
        <v>378</v>
      </c>
      <c r="D179" s="446">
        <v>232</v>
      </c>
      <c r="E179" s="446">
        <v>45.79</v>
      </c>
      <c r="F179" s="446">
        <v>0</v>
      </c>
      <c r="G179" s="447">
        <f t="shared" si="6"/>
        <v>10623.28</v>
      </c>
      <c r="H179" s="448">
        <f t="shared" si="7"/>
        <v>0</v>
      </c>
      <c r="I179" s="447">
        <f t="shared" si="8"/>
        <v>10623.28</v>
      </c>
    </row>
    <row r="180" spans="1:9">
      <c r="A180" s="445"/>
      <c r="B180" s="445" t="s">
        <v>59</v>
      </c>
      <c r="C180" s="445" t="s">
        <v>130</v>
      </c>
      <c r="D180" s="446">
        <v>-1</v>
      </c>
      <c r="E180" s="446">
        <v>6000</v>
      </c>
      <c r="F180" s="446"/>
      <c r="G180" s="447">
        <f t="shared" si="6"/>
        <v>-6000</v>
      </c>
      <c r="H180" s="448"/>
      <c r="I180" s="447">
        <f t="shared" si="8"/>
        <v>-6000</v>
      </c>
    </row>
  </sheetData>
  <mergeCells count="1">
    <mergeCell ref="A2:H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6CA1F-89B7-49E3-A02F-E3476E1F6A92}">
  <dimension ref="A1:K150"/>
  <sheetViews>
    <sheetView topLeftCell="A139" workbookViewId="0">
      <selection activeCell="I10" sqref="I10"/>
    </sheetView>
  </sheetViews>
  <sheetFormatPr defaultColWidth="11.42578125" defaultRowHeight="15"/>
  <cols>
    <col min="2" max="2" width="51.42578125" customWidth="1"/>
    <col min="7" max="7" width="11.85546875" bestFit="1" customWidth="1"/>
    <col min="9" max="9" width="11.85546875" bestFit="1" customWidth="1"/>
    <col min="10" max="10" width="15" bestFit="1" customWidth="1"/>
  </cols>
  <sheetData>
    <row r="1" spans="1:11">
      <c r="A1" s="32"/>
      <c r="B1" s="416"/>
      <c r="C1" s="15"/>
      <c r="D1" s="14"/>
      <c r="E1" s="417"/>
      <c r="F1" s="418"/>
      <c r="G1" s="417"/>
      <c r="H1" s="419"/>
      <c r="I1" s="138"/>
    </row>
    <row r="2" spans="1:11">
      <c r="A2" s="781" t="s">
        <v>1684</v>
      </c>
      <c r="B2" s="781"/>
      <c r="C2" s="781"/>
      <c r="D2" s="781"/>
      <c r="E2" s="781"/>
      <c r="F2" s="781"/>
      <c r="G2" s="781"/>
      <c r="H2" s="781"/>
      <c r="I2" s="138"/>
    </row>
    <row r="3" spans="1:11">
      <c r="A3" s="32"/>
      <c r="B3" s="416"/>
      <c r="C3" s="15"/>
      <c r="D3" s="14"/>
      <c r="E3" s="417"/>
      <c r="F3" s="418"/>
      <c r="G3" s="417"/>
      <c r="H3" s="420" t="s">
        <v>1826</v>
      </c>
      <c r="I3" s="421">
        <v>3.35</v>
      </c>
    </row>
    <row r="4" spans="1:11">
      <c r="A4" s="110" t="s">
        <v>7</v>
      </c>
      <c r="B4" s="422" t="s">
        <v>5</v>
      </c>
      <c r="C4" s="14"/>
      <c r="D4" s="423"/>
      <c r="E4" s="423"/>
      <c r="F4" s="423"/>
      <c r="G4" s="423"/>
      <c r="H4" s="419"/>
      <c r="I4" s="138"/>
    </row>
    <row r="5" spans="1:11">
      <c r="A5" s="110" t="s">
        <v>67</v>
      </c>
      <c r="B5" s="422" t="s">
        <v>1684</v>
      </c>
      <c r="C5" s="14"/>
      <c r="D5" s="423"/>
      <c r="E5" s="423"/>
      <c r="F5" s="423"/>
      <c r="G5" s="423"/>
      <c r="H5" s="419"/>
      <c r="I5" s="138"/>
    </row>
    <row r="6" spans="1:11">
      <c r="A6" s="110" t="s">
        <v>10</v>
      </c>
      <c r="B6" s="422" t="s">
        <v>1828</v>
      </c>
      <c r="C6" s="14"/>
      <c r="D6" s="424"/>
      <c r="E6" s="424"/>
      <c r="F6" s="425" t="s">
        <v>1829</v>
      </c>
      <c r="G6" s="426">
        <v>46133</v>
      </c>
      <c r="H6" s="427"/>
      <c r="I6" s="138"/>
    </row>
    <row r="7" spans="1:11" ht="15.75" thickBot="1">
      <c r="A7" s="110" t="s">
        <v>12</v>
      </c>
      <c r="B7" s="422"/>
      <c r="C7" s="15"/>
      <c r="D7" s="14"/>
      <c r="E7" s="417"/>
      <c r="F7" s="418"/>
      <c r="G7" s="417"/>
      <c r="H7" s="419"/>
      <c r="I7" s="138"/>
    </row>
    <row r="8" spans="1:11" ht="15.75" thickTop="1">
      <c r="A8" s="428" t="s">
        <v>20</v>
      </c>
      <c r="B8" s="429" t="s">
        <v>69</v>
      </c>
      <c r="C8" s="430" t="s">
        <v>70</v>
      </c>
      <c r="D8" s="449" t="s">
        <v>885</v>
      </c>
      <c r="E8" s="432" t="s">
        <v>1830</v>
      </c>
      <c r="F8" s="433" t="s">
        <v>1831</v>
      </c>
      <c r="G8" s="432" t="s">
        <v>1832</v>
      </c>
      <c r="H8" s="434" t="s">
        <v>1833</v>
      </c>
      <c r="I8" s="435" t="s">
        <v>54</v>
      </c>
    </row>
    <row r="9" spans="1:11">
      <c r="A9" s="436" t="s">
        <v>888</v>
      </c>
      <c r="B9" s="437" t="s">
        <v>1684</v>
      </c>
      <c r="C9" s="438"/>
      <c r="D9" s="440"/>
      <c r="E9" s="440"/>
      <c r="F9" s="439"/>
      <c r="G9" s="440">
        <f>SUM(G10:G150)</f>
        <v>2015202.7975999995</v>
      </c>
      <c r="H9" s="441">
        <f>SUM(H10:H149)</f>
        <v>54479.171499999989</v>
      </c>
      <c r="I9" s="440">
        <f>SUM(I10:I150)</f>
        <v>2197708.0221250001</v>
      </c>
      <c r="J9" s="152"/>
      <c r="K9" s="152"/>
    </row>
    <row r="10" spans="1:11">
      <c r="A10" s="442" t="s">
        <v>1834</v>
      </c>
      <c r="B10" s="442" t="s">
        <v>2157</v>
      </c>
      <c r="C10" s="509"/>
      <c r="D10" s="509"/>
      <c r="E10" s="509"/>
      <c r="F10" s="509"/>
      <c r="G10" s="443"/>
      <c r="H10" s="443"/>
      <c r="I10" s="443"/>
    </row>
    <row r="11" spans="1:11">
      <c r="A11" s="444" t="s">
        <v>1952</v>
      </c>
      <c r="B11" s="444" t="s">
        <v>2158</v>
      </c>
      <c r="C11" s="509"/>
      <c r="D11" s="509"/>
      <c r="E11" s="509"/>
      <c r="F11" s="509"/>
      <c r="G11" s="443"/>
      <c r="H11" s="443"/>
      <c r="I11" s="443"/>
    </row>
    <row r="12" spans="1:11">
      <c r="A12" s="445" t="s">
        <v>1837</v>
      </c>
      <c r="B12" s="445" t="s">
        <v>2159</v>
      </c>
      <c r="C12" s="445" t="s">
        <v>1955</v>
      </c>
      <c r="D12" s="446">
        <v>2695</v>
      </c>
      <c r="E12" s="446">
        <v>60.94</v>
      </c>
      <c r="F12" s="446">
        <v>0</v>
      </c>
      <c r="G12" s="447">
        <f>+E12*D12</f>
        <v>164233.29999999999</v>
      </c>
      <c r="H12" s="448">
        <f>+F12*D12</f>
        <v>0</v>
      </c>
      <c r="I12" s="447">
        <f>+G12+(H12*$I$3)</f>
        <v>164233.29999999999</v>
      </c>
    </row>
    <row r="13" spans="1:11">
      <c r="A13" s="445" t="s">
        <v>1838</v>
      </c>
      <c r="B13" s="445" t="s">
        <v>2160</v>
      </c>
      <c r="C13" s="445" t="s">
        <v>1955</v>
      </c>
      <c r="D13" s="446">
        <v>337</v>
      </c>
      <c r="E13" s="446">
        <v>63.89</v>
      </c>
      <c r="F13" s="446">
        <v>0</v>
      </c>
      <c r="G13" s="447">
        <f t="shared" ref="G13:G76" si="0">+E13*D13</f>
        <v>21530.93</v>
      </c>
      <c r="H13" s="448">
        <f t="shared" ref="H13:H76" si="1">+F13*D13</f>
        <v>0</v>
      </c>
      <c r="I13" s="447">
        <f t="shared" ref="I13:I76" si="2">+G13+(H13*$I$3)</f>
        <v>21530.93</v>
      </c>
    </row>
    <row r="14" spans="1:11">
      <c r="A14" s="445" t="s">
        <v>1839</v>
      </c>
      <c r="B14" s="445" t="s">
        <v>2161</v>
      </c>
      <c r="C14" s="445" t="s">
        <v>1955</v>
      </c>
      <c r="D14" s="446">
        <v>8</v>
      </c>
      <c r="E14" s="446">
        <v>78.94</v>
      </c>
      <c r="F14" s="446">
        <v>0</v>
      </c>
      <c r="G14" s="447">
        <f t="shared" si="0"/>
        <v>631.52</v>
      </c>
      <c r="H14" s="448">
        <f t="shared" si="1"/>
        <v>0</v>
      </c>
      <c r="I14" s="447">
        <f t="shared" si="2"/>
        <v>631.52</v>
      </c>
    </row>
    <row r="15" spans="1:11">
      <c r="A15" s="445" t="s">
        <v>1840</v>
      </c>
      <c r="B15" s="445" t="s">
        <v>2162</v>
      </c>
      <c r="C15" s="445" t="s">
        <v>1955</v>
      </c>
      <c r="D15" s="446">
        <v>0</v>
      </c>
      <c r="E15" s="446">
        <v>99.49</v>
      </c>
      <c r="F15" s="446">
        <v>0</v>
      </c>
      <c r="G15" s="447">
        <f t="shared" si="0"/>
        <v>0</v>
      </c>
      <c r="H15" s="448">
        <f t="shared" si="1"/>
        <v>0</v>
      </c>
      <c r="I15" s="447">
        <f t="shared" si="2"/>
        <v>0</v>
      </c>
    </row>
    <row r="16" spans="1:11">
      <c r="A16" s="444" t="s">
        <v>1935</v>
      </c>
      <c r="B16" s="444" t="s">
        <v>2163</v>
      </c>
      <c r="C16" s="509"/>
      <c r="D16" s="509"/>
      <c r="E16" s="509"/>
      <c r="F16" s="509"/>
      <c r="G16" s="447">
        <f t="shared" si="0"/>
        <v>0</v>
      </c>
      <c r="H16" s="448">
        <f t="shared" si="1"/>
        <v>0</v>
      </c>
      <c r="I16" s="447">
        <f t="shared" si="2"/>
        <v>0</v>
      </c>
    </row>
    <row r="17" spans="1:9">
      <c r="A17" s="445" t="s">
        <v>1936</v>
      </c>
      <c r="B17" s="445" t="s">
        <v>2164</v>
      </c>
      <c r="C17" s="445" t="s">
        <v>378</v>
      </c>
      <c r="D17" s="446">
        <v>2638.77</v>
      </c>
      <c r="E17" s="446">
        <v>17.239999999999998</v>
      </c>
      <c r="F17" s="446">
        <v>0</v>
      </c>
      <c r="G17" s="447">
        <f t="shared" si="0"/>
        <v>45492.394799999995</v>
      </c>
      <c r="H17" s="448">
        <f t="shared" si="1"/>
        <v>0</v>
      </c>
      <c r="I17" s="447">
        <f t="shared" si="2"/>
        <v>45492.394799999995</v>
      </c>
    </row>
    <row r="18" spans="1:9">
      <c r="A18" s="445" t="s">
        <v>1945</v>
      </c>
      <c r="B18" s="445" t="s">
        <v>2165</v>
      </c>
      <c r="C18" s="445" t="s">
        <v>378</v>
      </c>
      <c r="D18" s="446">
        <v>10349.780000000001</v>
      </c>
      <c r="E18" s="446">
        <v>20.66</v>
      </c>
      <c r="F18" s="446">
        <v>0</v>
      </c>
      <c r="G18" s="447">
        <f t="shared" si="0"/>
        <v>213826.45480000001</v>
      </c>
      <c r="H18" s="448">
        <f t="shared" si="1"/>
        <v>0</v>
      </c>
      <c r="I18" s="447">
        <f t="shared" si="2"/>
        <v>213826.45480000001</v>
      </c>
    </row>
    <row r="19" spans="1:9">
      <c r="A19" s="445" t="s">
        <v>1937</v>
      </c>
      <c r="B19" s="445" t="s">
        <v>2166</v>
      </c>
      <c r="C19" s="445" t="s">
        <v>378</v>
      </c>
      <c r="D19" s="446">
        <v>60.44</v>
      </c>
      <c r="E19" s="446">
        <v>26.67</v>
      </c>
      <c r="F19" s="446">
        <v>0</v>
      </c>
      <c r="G19" s="447">
        <f t="shared" si="0"/>
        <v>1611.9348</v>
      </c>
      <c r="H19" s="448">
        <f t="shared" si="1"/>
        <v>0</v>
      </c>
      <c r="I19" s="447">
        <f t="shared" si="2"/>
        <v>1611.9348</v>
      </c>
    </row>
    <row r="20" spans="1:9">
      <c r="A20" s="445" t="s">
        <v>1938</v>
      </c>
      <c r="B20" s="445" t="s">
        <v>2167</v>
      </c>
      <c r="C20" s="445" t="s">
        <v>378</v>
      </c>
      <c r="D20" s="446">
        <v>41.13</v>
      </c>
      <c r="E20" s="446">
        <v>30.71</v>
      </c>
      <c r="F20" s="446">
        <v>0</v>
      </c>
      <c r="G20" s="447">
        <f t="shared" si="0"/>
        <v>1263.1023</v>
      </c>
      <c r="H20" s="448">
        <f t="shared" si="1"/>
        <v>0</v>
      </c>
      <c r="I20" s="447">
        <f t="shared" si="2"/>
        <v>1263.1023</v>
      </c>
    </row>
    <row r="21" spans="1:9">
      <c r="A21" s="445" t="s">
        <v>1939</v>
      </c>
      <c r="B21" s="445" t="s">
        <v>2168</v>
      </c>
      <c r="C21" s="445" t="s">
        <v>378</v>
      </c>
      <c r="D21" s="446">
        <v>59.06</v>
      </c>
      <c r="E21" s="446">
        <v>42.04</v>
      </c>
      <c r="F21" s="446">
        <v>0</v>
      </c>
      <c r="G21" s="447">
        <f t="shared" si="0"/>
        <v>2482.8824</v>
      </c>
      <c r="H21" s="448">
        <f t="shared" si="1"/>
        <v>0</v>
      </c>
      <c r="I21" s="447">
        <f t="shared" si="2"/>
        <v>2482.8824</v>
      </c>
    </row>
    <row r="22" spans="1:9">
      <c r="A22" s="445" t="s">
        <v>1940</v>
      </c>
      <c r="B22" s="445" t="s">
        <v>2169</v>
      </c>
      <c r="C22" s="445" t="s">
        <v>378</v>
      </c>
      <c r="D22" s="446">
        <v>0</v>
      </c>
      <c r="E22" s="446">
        <v>90.12</v>
      </c>
      <c r="F22" s="446">
        <v>0</v>
      </c>
      <c r="G22" s="447">
        <f t="shared" si="0"/>
        <v>0</v>
      </c>
      <c r="H22" s="448">
        <f t="shared" si="1"/>
        <v>0</v>
      </c>
      <c r="I22" s="447">
        <f t="shared" si="2"/>
        <v>0</v>
      </c>
    </row>
    <row r="23" spans="1:9">
      <c r="A23" s="445" t="s">
        <v>1941</v>
      </c>
      <c r="B23" s="445" t="s">
        <v>2170</v>
      </c>
      <c r="C23" s="445" t="s">
        <v>378</v>
      </c>
      <c r="D23" s="446">
        <v>66.14</v>
      </c>
      <c r="E23" s="446">
        <v>26.85</v>
      </c>
      <c r="F23" s="446">
        <v>0</v>
      </c>
      <c r="G23" s="447">
        <f t="shared" si="0"/>
        <v>1775.8590000000002</v>
      </c>
      <c r="H23" s="448">
        <f t="shared" si="1"/>
        <v>0</v>
      </c>
      <c r="I23" s="447">
        <f t="shared" si="2"/>
        <v>1775.8590000000002</v>
      </c>
    </row>
    <row r="24" spans="1:9">
      <c r="A24" s="445" t="s">
        <v>2171</v>
      </c>
      <c r="B24" s="445" t="s">
        <v>2172</v>
      </c>
      <c r="C24" s="445" t="s">
        <v>378</v>
      </c>
      <c r="D24" s="446">
        <v>59.95</v>
      </c>
      <c r="E24" s="446">
        <v>29.55</v>
      </c>
      <c r="F24" s="446">
        <v>0</v>
      </c>
      <c r="G24" s="447">
        <f t="shared" si="0"/>
        <v>1771.5225</v>
      </c>
      <c r="H24" s="448">
        <f t="shared" si="1"/>
        <v>0</v>
      </c>
      <c r="I24" s="447">
        <f t="shared" si="2"/>
        <v>1771.5225</v>
      </c>
    </row>
    <row r="25" spans="1:9">
      <c r="A25" s="445" t="s">
        <v>2173</v>
      </c>
      <c r="B25" s="445" t="s">
        <v>2174</v>
      </c>
      <c r="C25" s="445" t="s">
        <v>378</v>
      </c>
      <c r="D25" s="446">
        <v>69.28</v>
      </c>
      <c r="E25" s="446">
        <v>36.83</v>
      </c>
      <c r="F25" s="446">
        <v>0</v>
      </c>
      <c r="G25" s="447">
        <f t="shared" si="0"/>
        <v>2551.5823999999998</v>
      </c>
      <c r="H25" s="448">
        <f t="shared" si="1"/>
        <v>0</v>
      </c>
      <c r="I25" s="447">
        <f t="shared" si="2"/>
        <v>2551.5823999999998</v>
      </c>
    </row>
    <row r="26" spans="1:9">
      <c r="A26" s="445" t="s">
        <v>2175</v>
      </c>
      <c r="B26" s="445" t="s">
        <v>2176</v>
      </c>
      <c r="C26" s="445" t="s">
        <v>378</v>
      </c>
      <c r="D26" s="446">
        <v>0</v>
      </c>
      <c r="E26" s="446">
        <v>48.84</v>
      </c>
      <c r="F26" s="446">
        <v>0</v>
      </c>
      <c r="G26" s="447">
        <f t="shared" si="0"/>
        <v>0</v>
      </c>
      <c r="H26" s="448">
        <f t="shared" si="1"/>
        <v>0</v>
      </c>
      <c r="I26" s="447">
        <f t="shared" si="2"/>
        <v>0</v>
      </c>
    </row>
    <row r="27" spans="1:9">
      <c r="A27" s="445" t="s">
        <v>2177</v>
      </c>
      <c r="B27" s="445" t="s">
        <v>2178</v>
      </c>
      <c r="C27" s="445" t="s">
        <v>378</v>
      </c>
      <c r="D27" s="446">
        <v>24</v>
      </c>
      <c r="E27" s="446">
        <v>57.61</v>
      </c>
      <c r="F27" s="446">
        <v>0</v>
      </c>
      <c r="G27" s="447">
        <f t="shared" si="0"/>
        <v>1382.6399999999999</v>
      </c>
      <c r="H27" s="448">
        <f t="shared" si="1"/>
        <v>0</v>
      </c>
      <c r="I27" s="447">
        <f t="shared" si="2"/>
        <v>1382.6399999999999</v>
      </c>
    </row>
    <row r="28" spans="1:9">
      <c r="A28" s="445" t="s">
        <v>2179</v>
      </c>
      <c r="B28" s="445" t="s">
        <v>2180</v>
      </c>
      <c r="C28" s="445" t="s">
        <v>378</v>
      </c>
      <c r="D28" s="446">
        <v>64.7</v>
      </c>
      <c r="E28" s="446">
        <v>69.69</v>
      </c>
      <c r="F28" s="446">
        <v>0</v>
      </c>
      <c r="G28" s="447">
        <f t="shared" si="0"/>
        <v>4508.9430000000002</v>
      </c>
      <c r="H28" s="448">
        <f t="shared" si="1"/>
        <v>0</v>
      </c>
      <c r="I28" s="447">
        <f t="shared" si="2"/>
        <v>4508.9430000000002</v>
      </c>
    </row>
    <row r="29" spans="1:9">
      <c r="A29" s="445" t="s">
        <v>2181</v>
      </c>
      <c r="B29" s="445" t="s">
        <v>2182</v>
      </c>
      <c r="C29" s="445" t="s">
        <v>378</v>
      </c>
      <c r="D29" s="446">
        <v>3.8</v>
      </c>
      <c r="E29" s="446">
        <v>91.35</v>
      </c>
      <c r="F29" s="446">
        <v>0</v>
      </c>
      <c r="G29" s="447">
        <f t="shared" si="0"/>
        <v>347.12999999999994</v>
      </c>
      <c r="H29" s="448">
        <f t="shared" si="1"/>
        <v>0</v>
      </c>
      <c r="I29" s="447">
        <f t="shared" si="2"/>
        <v>347.12999999999994</v>
      </c>
    </row>
    <row r="30" spans="1:9">
      <c r="A30" s="445" t="s">
        <v>2183</v>
      </c>
      <c r="B30" s="445" t="s">
        <v>2184</v>
      </c>
      <c r="C30" s="445" t="s">
        <v>378</v>
      </c>
      <c r="D30" s="446">
        <v>13.42</v>
      </c>
      <c r="E30" s="446">
        <v>109.56</v>
      </c>
      <c r="F30" s="446">
        <v>0</v>
      </c>
      <c r="G30" s="447">
        <f t="shared" si="0"/>
        <v>1470.2952</v>
      </c>
      <c r="H30" s="448">
        <f t="shared" si="1"/>
        <v>0</v>
      </c>
      <c r="I30" s="447">
        <f t="shared" si="2"/>
        <v>1470.2952</v>
      </c>
    </row>
    <row r="31" spans="1:9">
      <c r="A31" s="445" t="s">
        <v>2185</v>
      </c>
      <c r="B31" s="445" t="s">
        <v>2186</v>
      </c>
      <c r="C31" s="445" t="s">
        <v>378</v>
      </c>
      <c r="D31" s="446">
        <v>58.86</v>
      </c>
      <c r="E31" s="446">
        <v>169.94</v>
      </c>
      <c r="F31" s="446">
        <v>0</v>
      </c>
      <c r="G31" s="447">
        <f t="shared" si="0"/>
        <v>10002.6684</v>
      </c>
      <c r="H31" s="448">
        <f t="shared" si="1"/>
        <v>0</v>
      </c>
      <c r="I31" s="447">
        <f t="shared" si="2"/>
        <v>10002.6684</v>
      </c>
    </row>
    <row r="32" spans="1:9">
      <c r="A32" s="444" t="s">
        <v>1968</v>
      </c>
      <c r="B32" s="444" t="s">
        <v>2187</v>
      </c>
      <c r="C32" s="509"/>
      <c r="D32" s="509"/>
      <c r="E32" s="509"/>
      <c r="F32" s="509"/>
      <c r="G32" s="447">
        <f t="shared" si="0"/>
        <v>0</v>
      </c>
      <c r="H32" s="448">
        <f t="shared" si="1"/>
        <v>0</v>
      </c>
      <c r="I32" s="447">
        <f t="shared" si="2"/>
        <v>0</v>
      </c>
    </row>
    <row r="33" spans="1:9">
      <c r="A33" s="445" t="s">
        <v>1970</v>
      </c>
      <c r="B33" s="445" t="s">
        <v>2188</v>
      </c>
      <c r="C33" s="445" t="s">
        <v>378</v>
      </c>
      <c r="D33" s="446">
        <v>0</v>
      </c>
      <c r="E33" s="446">
        <v>29.55</v>
      </c>
      <c r="F33" s="446">
        <v>0</v>
      </c>
      <c r="G33" s="447">
        <f t="shared" si="0"/>
        <v>0</v>
      </c>
      <c r="H33" s="448">
        <f t="shared" si="1"/>
        <v>0</v>
      </c>
      <c r="I33" s="447">
        <f t="shared" si="2"/>
        <v>0</v>
      </c>
    </row>
    <row r="34" spans="1:9">
      <c r="A34" s="445" t="s">
        <v>1972</v>
      </c>
      <c r="B34" s="445" t="s">
        <v>2189</v>
      </c>
      <c r="C34" s="445" t="s">
        <v>378</v>
      </c>
      <c r="D34" s="446">
        <v>0</v>
      </c>
      <c r="E34" s="446">
        <v>36.83</v>
      </c>
      <c r="F34" s="446">
        <v>0</v>
      </c>
      <c r="G34" s="447">
        <f t="shared" si="0"/>
        <v>0</v>
      </c>
      <c r="H34" s="448">
        <f t="shared" si="1"/>
        <v>0</v>
      </c>
      <c r="I34" s="447">
        <f t="shared" si="2"/>
        <v>0</v>
      </c>
    </row>
    <row r="35" spans="1:9">
      <c r="A35" s="445" t="s">
        <v>1974</v>
      </c>
      <c r="B35" s="445" t="s">
        <v>2190</v>
      </c>
      <c r="C35" s="445" t="s">
        <v>378</v>
      </c>
      <c r="D35" s="446">
        <v>0</v>
      </c>
      <c r="E35" s="446">
        <v>48.84</v>
      </c>
      <c r="F35" s="446">
        <v>0</v>
      </c>
      <c r="G35" s="447">
        <f t="shared" si="0"/>
        <v>0</v>
      </c>
      <c r="H35" s="448">
        <f t="shared" si="1"/>
        <v>0</v>
      </c>
      <c r="I35" s="447">
        <f t="shared" si="2"/>
        <v>0</v>
      </c>
    </row>
    <row r="36" spans="1:9">
      <c r="A36" s="445" t="s">
        <v>1976</v>
      </c>
      <c r="B36" s="445" t="s">
        <v>2191</v>
      </c>
      <c r="C36" s="445" t="s">
        <v>378</v>
      </c>
      <c r="D36" s="446">
        <v>36</v>
      </c>
      <c r="E36" s="446">
        <v>69.69</v>
      </c>
      <c r="F36" s="446">
        <v>0</v>
      </c>
      <c r="G36" s="447">
        <f t="shared" si="0"/>
        <v>2508.84</v>
      </c>
      <c r="H36" s="448">
        <f t="shared" si="1"/>
        <v>0</v>
      </c>
      <c r="I36" s="447">
        <f t="shared" si="2"/>
        <v>2508.84</v>
      </c>
    </row>
    <row r="37" spans="1:9">
      <c r="A37" s="445" t="s">
        <v>2192</v>
      </c>
      <c r="B37" s="445" t="s">
        <v>2193</v>
      </c>
      <c r="C37" s="445" t="s">
        <v>378</v>
      </c>
      <c r="D37" s="446">
        <v>42</v>
      </c>
      <c r="E37" s="446">
        <v>91.35</v>
      </c>
      <c r="F37" s="446">
        <v>0</v>
      </c>
      <c r="G37" s="447">
        <f t="shared" si="0"/>
        <v>3836.7</v>
      </c>
      <c r="H37" s="448">
        <f t="shared" si="1"/>
        <v>0</v>
      </c>
      <c r="I37" s="447">
        <f t="shared" si="2"/>
        <v>3836.7</v>
      </c>
    </row>
    <row r="38" spans="1:9">
      <c r="A38" s="445" t="s">
        <v>2194</v>
      </c>
      <c r="B38" s="445" t="s">
        <v>2195</v>
      </c>
      <c r="C38" s="445" t="s">
        <v>378</v>
      </c>
      <c r="D38" s="446">
        <v>36</v>
      </c>
      <c r="E38" s="446">
        <v>113.23</v>
      </c>
      <c r="F38" s="446">
        <v>0</v>
      </c>
      <c r="G38" s="447">
        <f t="shared" si="0"/>
        <v>4076.28</v>
      </c>
      <c r="H38" s="448">
        <f t="shared" si="1"/>
        <v>0</v>
      </c>
      <c r="I38" s="447">
        <f t="shared" si="2"/>
        <v>4076.28</v>
      </c>
    </row>
    <row r="39" spans="1:9">
      <c r="A39" s="445" t="s">
        <v>2196</v>
      </c>
      <c r="B39" s="445" t="s">
        <v>2197</v>
      </c>
      <c r="C39" s="445" t="s">
        <v>378</v>
      </c>
      <c r="D39" s="446">
        <v>228</v>
      </c>
      <c r="E39" s="446">
        <v>174.77</v>
      </c>
      <c r="F39" s="446">
        <v>0</v>
      </c>
      <c r="G39" s="447">
        <f t="shared" si="0"/>
        <v>39847.560000000005</v>
      </c>
      <c r="H39" s="448">
        <f t="shared" si="1"/>
        <v>0</v>
      </c>
      <c r="I39" s="447">
        <f t="shared" si="2"/>
        <v>39847.560000000005</v>
      </c>
    </row>
    <row r="40" spans="1:9">
      <c r="A40" s="444" t="s">
        <v>2198</v>
      </c>
      <c r="B40" s="444" t="s">
        <v>2199</v>
      </c>
      <c r="C40" s="509"/>
      <c r="D40" s="509"/>
      <c r="E40" s="509"/>
      <c r="F40" s="509"/>
      <c r="G40" s="447">
        <f t="shared" si="0"/>
        <v>0</v>
      </c>
      <c r="H40" s="448">
        <f t="shared" si="1"/>
        <v>0</v>
      </c>
      <c r="I40" s="447">
        <f t="shared" si="2"/>
        <v>0</v>
      </c>
    </row>
    <row r="41" spans="1:9">
      <c r="A41" s="445" t="s">
        <v>2200</v>
      </c>
      <c r="B41" s="445" t="s">
        <v>2201</v>
      </c>
      <c r="C41" s="445" t="s">
        <v>121</v>
      </c>
      <c r="D41" s="446">
        <v>370</v>
      </c>
      <c r="E41" s="446">
        <v>80.680000000000007</v>
      </c>
      <c r="F41" s="446">
        <v>0</v>
      </c>
      <c r="G41" s="447">
        <f t="shared" si="0"/>
        <v>29851.600000000002</v>
      </c>
      <c r="H41" s="448">
        <f t="shared" si="1"/>
        <v>0</v>
      </c>
      <c r="I41" s="447">
        <f t="shared" si="2"/>
        <v>29851.600000000002</v>
      </c>
    </row>
    <row r="42" spans="1:9">
      <c r="A42" s="445" t="s">
        <v>2202</v>
      </c>
      <c r="B42" s="445" t="s">
        <v>2203</v>
      </c>
      <c r="C42" s="445" t="s">
        <v>121</v>
      </c>
      <c r="D42" s="446">
        <v>1607</v>
      </c>
      <c r="E42" s="446">
        <v>98.59</v>
      </c>
      <c r="F42" s="446">
        <v>0</v>
      </c>
      <c r="G42" s="447">
        <f t="shared" si="0"/>
        <v>158434.13</v>
      </c>
      <c r="H42" s="448">
        <f t="shared" si="1"/>
        <v>0</v>
      </c>
      <c r="I42" s="447">
        <f t="shared" si="2"/>
        <v>158434.13</v>
      </c>
    </row>
    <row r="43" spans="1:9">
      <c r="A43" s="445" t="s">
        <v>2204</v>
      </c>
      <c r="B43" s="445" t="s">
        <v>2205</v>
      </c>
      <c r="C43" s="445" t="s">
        <v>121</v>
      </c>
      <c r="D43" s="446">
        <v>7</v>
      </c>
      <c r="E43" s="446">
        <v>113.03</v>
      </c>
      <c r="F43" s="446">
        <v>0</v>
      </c>
      <c r="G43" s="447">
        <f t="shared" si="0"/>
        <v>791.21</v>
      </c>
      <c r="H43" s="448">
        <f t="shared" si="1"/>
        <v>0</v>
      </c>
      <c r="I43" s="447">
        <f t="shared" si="2"/>
        <v>791.21</v>
      </c>
    </row>
    <row r="44" spans="1:9">
      <c r="A44" s="445" t="s">
        <v>2206</v>
      </c>
      <c r="B44" s="445" t="s">
        <v>2207</v>
      </c>
      <c r="C44" s="445" t="s">
        <v>121</v>
      </c>
      <c r="D44" s="446">
        <v>1</v>
      </c>
      <c r="E44" s="446">
        <v>224.66</v>
      </c>
      <c r="F44" s="446">
        <v>0</v>
      </c>
      <c r="G44" s="447">
        <f t="shared" si="0"/>
        <v>224.66</v>
      </c>
      <c r="H44" s="448">
        <f t="shared" si="1"/>
        <v>0</v>
      </c>
      <c r="I44" s="447">
        <f t="shared" si="2"/>
        <v>224.66</v>
      </c>
    </row>
    <row r="45" spans="1:9">
      <c r="A45" s="445" t="s">
        <v>2208</v>
      </c>
      <c r="B45" s="445" t="s">
        <v>2209</v>
      </c>
      <c r="C45" s="445" t="s">
        <v>121</v>
      </c>
      <c r="D45" s="446">
        <v>52</v>
      </c>
      <c r="E45" s="446">
        <v>386.28</v>
      </c>
      <c r="F45" s="446">
        <v>0</v>
      </c>
      <c r="G45" s="447">
        <f t="shared" si="0"/>
        <v>20086.559999999998</v>
      </c>
      <c r="H45" s="448">
        <f t="shared" si="1"/>
        <v>0</v>
      </c>
      <c r="I45" s="447">
        <f t="shared" si="2"/>
        <v>20086.559999999998</v>
      </c>
    </row>
    <row r="46" spans="1:9">
      <c r="A46" s="444" t="s">
        <v>2210</v>
      </c>
      <c r="B46" s="444" t="s">
        <v>2211</v>
      </c>
      <c r="C46" s="509"/>
      <c r="D46" s="509"/>
      <c r="E46" s="509"/>
      <c r="F46" s="509"/>
      <c r="G46" s="447">
        <f t="shared" si="0"/>
        <v>0</v>
      </c>
      <c r="H46" s="448">
        <f t="shared" si="1"/>
        <v>0</v>
      </c>
      <c r="I46" s="447">
        <f t="shared" si="2"/>
        <v>0</v>
      </c>
    </row>
    <row r="47" spans="1:9">
      <c r="A47" s="445" t="s">
        <v>2212</v>
      </c>
      <c r="B47" s="445" t="s">
        <v>2213</v>
      </c>
      <c r="C47" s="445" t="s">
        <v>130</v>
      </c>
      <c r="D47" s="446">
        <v>1</v>
      </c>
      <c r="E47" s="446">
        <v>12070.25</v>
      </c>
      <c r="F47" s="446">
        <v>0</v>
      </c>
      <c r="G47" s="447">
        <f t="shared" si="0"/>
        <v>12070.25</v>
      </c>
      <c r="H47" s="448">
        <f t="shared" si="1"/>
        <v>0</v>
      </c>
      <c r="I47" s="447">
        <f t="shared" si="2"/>
        <v>12070.25</v>
      </c>
    </row>
    <row r="48" spans="1:9">
      <c r="A48" s="445" t="s">
        <v>2214</v>
      </c>
      <c r="B48" s="445" t="s">
        <v>2215</v>
      </c>
      <c r="C48" s="445" t="s">
        <v>130</v>
      </c>
      <c r="D48" s="446">
        <v>1</v>
      </c>
      <c r="E48" s="446">
        <v>7680</v>
      </c>
      <c r="F48" s="446">
        <v>0</v>
      </c>
      <c r="G48" s="447">
        <f t="shared" si="0"/>
        <v>7680</v>
      </c>
      <c r="H48" s="448">
        <f t="shared" si="1"/>
        <v>0</v>
      </c>
      <c r="I48" s="447">
        <f t="shared" si="2"/>
        <v>7680</v>
      </c>
    </row>
    <row r="49" spans="1:9">
      <c r="A49" s="445" t="s">
        <v>2216</v>
      </c>
      <c r="B49" s="445" t="s">
        <v>2217</v>
      </c>
      <c r="C49" s="445" t="s">
        <v>130</v>
      </c>
      <c r="D49" s="446">
        <v>1</v>
      </c>
      <c r="E49" s="446">
        <v>2850</v>
      </c>
      <c r="F49" s="446">
        <v>0</v>
      </c>
      <c r="G49" s="447">
        <f t="shared" si="0"/>
        <v>2850</v>
      </c>
      <c r="H49" s="448">
        <f t="shared" si="1"/>
        <v>0</v>
      </c>
      <c r="I49" s="447">
        <f t="shared" si="2"/>
        <v>2850</v>
      </c>
    </row>
    <row r="50" spans="1:9">
      <c r="A50" s="444" t="s">
        <v>2218</v>
      </c>
      <c r="B50" s="444" t="s">
        <v>2219</v>
      </c>
      <c r="C50" s="509"/>
      <c r="D50" s="509"/>
      <c r="E50" s="509"/>
      <c r="F50" s="509"/>
      <c r="G50" s="447">
        <f t="shared" si="0"/>
        <v>0</v>
      </c>
      <c r="H50" s="448">
        <f t="shared" si="1"/>
        <v>0</v>
      </c>
      <c r="I50" s="447">
        <f t="shared" si="2"/>
        <v>0</v>
      </c>
    </row>
    <row r="51" spans="1:9">
      <c r="A51" s="445" t="s">
        <v>2220</v>
      </c>
      <c r="B51" s="445" t="s">
        <v>2221</v>
      </c>
      <c r="C51" s="445" t="s">
        <v>121</v>
      </c>
      <c r="D51" s="446">
        <v>334</v>
      </c>
      <c r="E51" s="446">
        <v>387.4</v>
      </c>
      <c r="F51" s="446">
        <v>0</v>
      </c>
      <c r="G51" s="447">
        <f t="shared" si="0"/>
        <v>129391.59999999999</v>
      </c>
      <c r="H51" s="448">
        <f t="shared" si="1"/>
        <v>0</v>
      </c>
      <c r="I51" s="447">
        <f t="shared" si="2"/>
        <v>129391.59999999999</v>
      </c>
    </row>
    <row r="52" spans="1:9">
      <c r="A52" s="445" t="s">
        <v>2222</v>
      </c>
      <c r="B52" s="445" t="s">
        <v>2223</v>
      </c>
      <c r="C52" s="445" t="s">
        <v>121</v>
      </c>
      <c r="D52" s="446">
        <v>1</v>
      </c>
      <c r="E52" s="446">
        <v>509.94</v>
      </c>
      <c r="F52" s="446">
        <v>0</v>
      </c>
      <c r="G52" s="447">
        <f t="shared" si="0"/>
        <v>509.94</v>
      </c>
      <c r="H52" s="448">
        <f t="shared" si="1"/>
        <v>0</v>
      </c>
      <c r="I52" s="447">
        <f t="shared" si="2"/>
        <v>509.94</v>
      </c>
    </row>
    <row r="53" spans="1:9">
      <c r="A53" s="445" t="s">
        <v>2224</v>
      </c>
      <c r="B53" s="445" t="s">
        <v>2225</v>
      </c>
      <c r="C53" s="445" t="s">
        <v>121</v>
      </c>
      <c r="D53" s="446">
        <v>0</v>
      </c>
      <c r="E53" s="446">
        <v>427.65</v>
      </c>
      <c r="F53" s="446">
        <v>0</v>
      </c>
      <c r="G53" s="447">
        <f t="shared" si="0"/>
        <v>0</v>
      </c>
      <c r="H53" s="448">
        <f t="shared" si="1"/>
        <v>0</v>
      </c>
      <c r="I53" s="447">
        <f t="shared" si="2"/>
        <v>0</v>
      </c>
    </row>
    <row r="54" spans="1:9">
      <c r="A54" s="445" t="s">
        <v>2226</v>
      </c>
      <c r="B54" s="445" t="s">
        <v>2227</v>
      </c>
      <c r="C54" s="445" t="s">
        <v>121</v>
      </c>
      <c r="D54" s="446">
        <v>1</v>
      </c>
      <c r="E54" s="446">
        <v>12114.58</v>
      </c>
      <c r="F54" s="446">
        <v>0</v>
      </c>
      <c r="G54" s="447">
        <f t="shared" si="0"/>
        <v>12114.58</v>
      </c>
      <c r="H54" s="448">
        <f t="shared" si="1"/>
        <v>0</v>
      </c>
      <c r="I54" s="447">
        <f t="shared" si="2"/>
        <v>12114.58</v>
      </c>
    </row>
    <row r="55" spans="1:9">
      <c r="A55" s="445" t="s">
        <v>2229</v>
      </c>
      <c r="B55" s="445" t="s">
        <v>2228</v>
      </c>
      <c r="C55" s="445" t="s">
        <v>121</v>
      </c>
      <c r="D55" s="446">
        <v>1</v>
      </c>
      <c r="E55" s="446">
        <v>3256.55</v>
      </c>
      <c r="F55" s="446">
        <v>0</v>
      </c>
      <c r="G55" s="447">
        <f t="shared" si="0"/>
        <v>3256.55</v>
      </c>
      <c r="H55" s="448">
        <f t="shared" si="1"/>
        <v>0</v>
      </c>
      <c r="I55" s="447">
        <f t="shared" si="2"/>
        <v>3256.55</v>
      </c>
    </row>
    <row r="56" spans="1:9">
      <c r="A56" s="445" t="s">
        <v>2560</v>
      </c>
      <c r="B56" s="445" t="s">
        <v>2230</v>
      </c>
      <c r="C56" s="445" t="s">
        <v>121</v>
      </c>
      <c r="D56" s="446">
        <v>14</v>
      </c>
      <c r="E56" s="446">
        <v>85.24</v>
      </c>
      <c r="F56" s="446">
        <v>0</v>
      </c>
      <c r="G56" s="447">
        <f t="shared" si="0"/>
        <v>1193.3599999999999</v>
      </c>
      <c r="H56" s="448">
        <f t="shared" si="1"/>
        <v>0</v>
      </c>
      <c r="I56" s="447">
        <f t="shared" si="2"/>
        <v>1193.3599999999999</v>
      </c>
    </row>
    <row r="57" spans="1:9">
      <c r="A57" s="444" t="s">
        <v>2231</v>
      </c>
      <c r="B57" s="444" t="s">
        <v>2232</v>
      </c>
      <c r="C57" s="509"/>
      <c r="D57" s="509"/>
      <c r="E57" s="509"/>
      <c r="F57" s="509"/>
      <c r="G57" s="447">
        <f t="shared" si="0"/>
        <v>0</v>
      </c>
      <c r="H57" s="448">
        <f t="shared" si="1"/>
        <v>0</v>
      </c>
      <c r="I57" s="447">
        <f t="shared" si="2"/>
        <v>0</v>
      </c>
    </row>
    <row r="58" spans="1:9">
      <c r="A58" s="445" t="s">
        <v>2233</v>
      </c>
      <c r="B58" s="445" t="s">
        <v>2234</v>
      </c>
      <c r="C58" s="445" t="s">
        <v>121</v>
      </c>
      <c r="D58" s="446">
        <v>0</v>
      </c>
      <c r="E58" s="446">
        <v>962.63</v>
      </c>
      <c r="F58" s="446">
        <v>0</v>
      </c>
      <c r="G58" s="447">
        <f t="shared" si="0"/>
        <v>0</v>
      </c>
      <c r="H58" s="448">
        <f t="shared" si="1"/>
        <v>0</v>
      </c>
      <c r="I58" s="447">
        <f t="shared" si="2"/>
        <v>0</v>
      </c>
    </row>
    <row r="59" spans="1:9">
      <c r="A59" s="445" t="s">
        <v>2235</v>
      </c>
      <c r="B59" s="445" t="s">
        <v>2236</v>
      </c>
      <c r="C59" s="445" t="s">
        <v>121</v>
      </c>
      <c r="D59" s="446">
        <v>0</v>
      </c>
      <c r="E59" s="446">
        <v>1347.08</v>
      </c>
      <c r="F59" s="446">
        <v>0</v>
      </c>
      <c r="G59" s="447">
        <f t="shared" si="0"/>
        <v>0</v>
      </c>
      <c r="H59" s="448">
        <f t="shared" si="1"/>
        <v>0</v>
      </c>
      <c r="I59" s="447">
        <f t="shared" si="2"/>
        <v>0</v>
      </c>
    </row>
    <row r="60" spans="1:9">
      <c r="A60" s="445" t="s">
        <v>2237</v>
      </c>
      <c r="B60" s="445" t="s">
        <v>2238</v>
      </c>
      <c r="C60" s="445" t="s">
        <v>121</v>
      </c>
      <c r="D60" s="446">
        <v>7</v>
      </c>
      <c r="E60" s="446">
        <v>1760.54</v>
      </c>
      <c r="F60" s="446">
        <v>0</v>
      </c>
      <c r="G60" s="447">
        <f t="shared" si="0"/>
        <v>12323.779999999999</v>
      </c>
      <c r="H60" s="448">
        <f t="shared" si="1"/>
        <v>0</v>
      </c>
      <c r="I60" s="447">
        <f t="shared" si="2"/>
        <v>12323.779999999999</v>
      </c>
    </row>
    <row r="61" spans="1:9">
      <c r="A61" s="445" t="s">
        <v>2239</v>
      </c>
      <c r="B61" s="445" t="s">
        <v>2240</v>
      </c>
      <c r="C61" s="445" t="s">
        <v>121</v>
      </c>
      <c r="D61" s="446">
        <v>0</v>
      </c>
      <c r="E61" s="446">
        <v>3024.66</v>
      </c>
      <c r="F61" s="446">
        <v>0</v>
      </c>
      <c r="G61" s="447">
        <f t="shared" si="0"/>
        <v>0</v>
      </c>
      <c r="H61" s="448">
        <f t="shared" si="1"/>
        <v>0</v>
      </c>
      <c r="I61" s="447">
        <f t="shared" si="2"/>
        <v>0</v>
      </c>
    </row>
    <row r="62" spans="1:9">
      <c r="A62" s="445" t="s">
        <v>2241</v>
      </c>
      <c r="B62" s="445" t="s">
        <v>2242</v>
      </c>
      <c r="C62" s="445" t="s">
        <v>121</v>
      </c>
      <c r="D62" s="446">
        <v>3</v>
      </c>
      <c r="E62" s="446">
        <v>659.47</v>
      </c>
      <c r="F62" s="446">
        <v>0</v>
      </c>
      <c r="G62" s="447">
        <f t="shared" si="0"/>
        <v>1978.41</v>
      </c>
      <c r="H62" s="448">
        <f t="shared" si="1"/>
        <v>0</v>
      </c>
      <c r="I62" s="447">
        <f t="shared" si="2"/>
        <v>1978.41</v>
      </c>
    </row>
    <row r="63" spans="1:9">
      <c r="A63" s="445" t="s">
        <v>2243</v>
      </c>
      <c r="B63" s="445" t="s">
        <v>2244</v>
      </c>
      <c r="C63" s="445" t="s">
        <v>121</v>
      </c>
      <c r="D63" s="446">
        <v>3</v>
      </c>
      <c r="E63" s="446">
        <v>462.33</v>
      </c>
      <c r="F63" s="446">
        <v>0</v>
      </c>
      <c r="G63" s="447">
        <f t="shared" si="0"/>
        <v>1386.99</v>
      </c>
      <c r="H63" s="448">
        <f t="shared" si="1"/>
        <v>0</v>
      </c>
      <c r="I63" s="447">
        <f t="shared" si="2"/>
        <v>1386.99</v>
      </c>
    </row>
    <row r="64" spans="1:9">
      <c r="A64" s="442" t="s">
        <v>1846</v>
      </c>
      <c r="B64" s="442" t="s">
        <v>2245</v>
      </c>
      <c r="C64" s="509"/>
      <c r="D64" s="509"/>
      <c r="E64" s="509"/>
      <c r="F64" s="509"/>
      <c r="G64" s="447">
        <f t="shared" si="0"/>
        <v>0</v>
      </c>
      <c r="H64" s="448">
        <f t="shared" si="1"/>
        <v>0</v>
      </c>
      <c r="I64" s="447">
        <f t="shared" si="2"/>
        <v>0</v>
      </c>
    </row>
    <row r="65" spans="1:9">
      <c r="A65" s="444" t="s">
        <v>1980</v>
      </c>
      <c r="B65" s="444" t="s">
        <v>2246</v>
      </c>
      <c r="C65" s="509"/>
      <c r="D65" s="509"/>
      <c r="E65" s="509"/>
      <c r="F65" s="509"/>
      <c r="G65" s="447">
        <f t="shared" si="0"/>
        <v>0</v>
      </c>
      <c r="H65" s="448">
        <f t="shared" si="1"/>
        <v>0</v>
      </c>
      <c r="I65" s="447">
        <f t="shared" si="2"/>
        <v>0</v>
      </c>
    </row>
    <row r="66" spans="1:9">
      <c r="A66" s="445" t="s">
        <v>1982</v>
      </c>
      <c r="B66" s="445" t="s">
        <v>2247</v>
      </c>
      <c r="C66" s="445" t="s">
        <v>1955</v>
      </c>
      <c r="D66" s="446">
        <v>1519</v>
      </c>
      <c r="E66" s="446">
        <v>60.43</v>
      </c>
      <c r="F66" s="446">
        <v>0</v>
      </c>
      <c r="G66" s="447">
        <f t="shared" si="0"/>
        <v>91793.17</v>
      </c>
      <c r="H66" s="448">
        <f t="shared" si="1"/>
        <v>0</v>
      </c>
      <c r="I66" s="447">
        <f t="shared" si="2"/>
        <v>91793.17</v>
      </c>
    </row>
    <row r="67" spans="1:9">
      <c r="A67" s="445" t="s">
        <v>1984</v>
      </c>
      <c r="B67" s="445" t="s">
        <v>2248</v>
      </c>
      <c r="C67" s="445" t="s">
        <v>1955</v>
      </c>
      <c r="D67" s="446">
        <v>336</v>
      </c>
      <c r="E67" s="446">
        <v>66.67</v>
      </c>
      <c r="F67" s="446">
        <v>0</v>
      </c>
      <c r="G67" s="447">
        <f t="shared" si="0"/>
        <v>22401.119999999999</v>
      </c>
      <c r="H67" s="448">
        <f t="shared" si="1"/>
        <v>0</v>
      </c>
      <c r="I67" s="447">
        <f t="shared" si="2"/>
        <v>22401.119999999999</v>
      </c>
    </row>
    <row r="68" spans="1:9">
      <c r="A68" s="444" t="s">
        <v>2013</v>
      </c>
      <c r="B68" s="444" t="s">
        <v>2249</v>
      </c>
      <c r="C68" s="509"/>
      <c r="D68" s="509"/>
      <c r="E68" s="509"/>
      <c r="F68" s="509"/>
      <c r="G68" s="447">
        <f t="shared" si="0"/>
        <v>0</v>
      </c>
      <c r="H68" s="448">
        <f t="shared" si="1"/>
        <v>0</v>
      </c>
      <c r="I68" s="447">
        <f t="shared" si="2"/>
        <v>0</v>
      </c>
    </row>
    <row r="69" spans="1:9">
      <c r="A69" s="445" t="s">
        <v>2015</v>
      </c>
      <c r="B69" s="445" t="s">
        <v>2250</v>
      </c>
      <c r="C69" s="445" t="s">
        <v>378</v>
      </c>
      <c r="D69" s="446">
        <v>5190</v>
      </c>
      <c r="E69" s="446">
        <v>17.3</v>
      </c>
      <c r="F69" s="446">
        <v>0</v>
      </c>
      <c r="G69" s="447">
        <f t="shared" si="0"/>
        <v>89787</v>
      </c>
      <c r="H69" s="448">
        <f t="shared" si="1"/>
        <v>0</v>
      </c>
      <c r="I69" s="447">
        <f t="shared" si="2"/>
        <v>89787</v>
      </c>
    </row>
    <row r="70" spans="1:9">
      <c r="A70" s="445" t="s">
        <v>2035</v>
      </c>
      <c r="B70" s="445" t="s">
        <v>2251</v>
      </c>
      <c r="C70" s="445" t="s">
        <v>378</v>
      </c>
      <c r="D70" s="446">
        <v>745</v>
      </c>
      <c r="E70" s="446">
        <v>21.37</v>
      </c>
      <c r="F70" s="446">
        <v>0</v>
      </c>
      <c r="G70" s="447">
        <f t="shared" si="0"/>
        <v>15920.650000000001</v>
      </c>
      <c r="H70" s="448">
        <f t="shared" si="1"/>
        <v>0</v>
      </c>
      <c r="I70" s="447">
        <f t="shared" si="2"/>
        <v>15920.650000000001</v>
      </c>
    </row>
    <row r="71" spans="1:9">
      <c r="A71" s="444" t="s">
        <v>2039</v>
      </c>
      <c r="B71" s="444" t="s">
        <v>2199</v>
      </c>
      <c r="C71" s="509"/>
      <c r="D71" s="509"/>
      <c r="E71" s="509"/>
      <c r="F71" s="509"/>
      <c r="G71" s="447">
        <f t="shared" si="0"/>
        <v>0</v>
      </c>
      <c r="H71" s="448">
        <f t="shared" si="1"/>
        <v>0</v>
      </c>
      <c r="I71" s="447">
        <f t="shared" si="2"/>
        <v>0</v>
      </c>
    </row>
    <row r="72" spans="1:9">
      <c r="A72" s="445" t="s">
        <v>2041</v>
      </c>
      <c r="B72" s="445" t="s">
        <v>2201</v>
      </c>
      <c r="C72" s="445" t="s">
        <v>121</v>
      </c>
      <c r="D72" s="446">
        <v>929</v>
      </c>
      <c r="E72" s="446">
        <v>83.86</v>
      </c>
      <c r="F72" s="446">
        <v>0</v>
      </c>
      <c r="G72" s="447">
        <f t="shared" si="0"/>
        <v>77905.94</v>
      </c>
      <c r="H72" s="448">
        <f t="shared" si="1"/>
        <v>0</v>
      </c>
      <c r="I72" s="447">
        <f t="shared" si="2"/>
        <v>77905.94</v>
      </c>
    </row>
    <row r="73" spans="1:9">
      <c r="A73" s="445" t="s">
        <v>2043</v>
      </c>
      <c r="B73" s="445" t="s">
        <v>2203</v>
      </c>
      <c r="C73" s="445" t="s">
        <v>121</v>
      </c>
      <c r="D73" s="446">
        <v>336</v>
      </c>
      <c r="E73" s="446">
        <v>105.72</v>
      </c>
      <c r="F73" s="446">
        <v>0</v>
      </c>
      <c r="G73" s="447">
        <f t="shared" si="0"/>
        <v>35521.919999999998</v>
      </c>
      <c r="H73" s="448">
        <f t="shared" si="1"/>
        <v>0</v>
      </c>
      <c r="I73" s="447">
        <f t="shared" si="2"/>
        <v>35521.919999999998</v>
      </c>
    </row>
    <row r="74" spans="1:9">
      <c r="A74" s="444" t="s">
        <v>2052</v>
      </c>
      <c r="B74" s="444" t="s">
        <v>2211</v>
      </c>
      <c r="C74" s="509"/>
      <c r="D74" s="509"/>
      <c r="E74" s="509"/>
      <c r="F74" s="509"/>
      <c r="G74" s="447">
        <f t="shared" si="0"/>
        <v>0</v>
      </c>
      <c r="H74" s="448">
        <f t="shared" si="1"/>
        <v>0</v>
      </c>
      <c r="I74" s="447">
        <f t="shared" si="2"/>
        <v>0</v>
      </c>
    </row>
    <row r="75" spans="1:9">
      <c r="A75" s="445" t="s">
        <v>2054</v>
      </c>
      <c r="B75" s="445" t="s">
        <v>2252</v>
      </c>
      <c r="C75" s="445" t="s">
        <v>130</v>
      </c>
      <c r="D75" s="446">
        <v>1</v>
      </c>
      <c r="E75" s="446">
        <v>6445.37</v>
      </c>
      <c r="F75" s="446">
        <v>0</v>
      </c>
      <c r="G75" s="447">
        <f t="shared" si="0"/>
        <v>6445.37</v>
      </c>
      <c r="H75" s="448">
        <f t="shared" si="1"/>
        <v>0</v>
      </c>
      <c r="I75" s="447">
        <f t="shared" si="2"/>
        <v>6445.37</v>
      </c>
    </row>
    <row r="76" spans="1:9">
      <c r="A76" s="442" t="s">
        <v>2060</v>
      </c>
      <c r="B76" s="442" t="s">
        <v>2253</v>
      </c>
      <c r="C76" s="509"/>
      <c r="D76" s="509"/>
      <c r="E76" s="509"/>
      <c r="F76" s="509"/>
      <c r="G76" s="447">
        <f t="shared" si="0"/>
        <v>0</v>
      </c>
      <c r="H76" s="448">
        <f t="shared" si="1"/>
        <v>0</v>
      </c>
      <c r="I76" s="447">
        <f t="shared" si="2"/>
        <v>0</v>
      </c>
    </row>
    <row r="77" spans="1:9">
      <c r="A77" s="444" t="s">
        <v>2254</v>
      </c>
      <c r="B77" s="444" t="s">
        <v>2255</v>
      </c>
      <c r="C77" s="509"/>
      <c r="D77" s="509"/>
      <c r="E77" s="509"/>
      <c r="F77" s="509"/>
      <c r="G77" s="447">
        <f t="shared" ref="G77:G140" si="3">+E77*D77</f>
        <v>0</v>
      </c>
      <c r="H77" s="448">
        <f t="shared" ref="H77:H140" si="4">+F77*D77</f>
        <v>0</v>
      </c>
      <c r="I77" s="447">
        <f t="shared" ref="I77:I140" si="5">+G77+(H77*$I$3)</f>
        <v>0</v>
      </c>
    </row>
    <row r="78" spans="1:9">
      <c r="A78" s="445" t="s">
        <v>2256</v>
      </c>
      <c r="B78" s="445" t="s">
        <v>2257</v>
      </c>
      <c r="C78" s="445" t="s">
        <v>1955</v>
      </c>
      <c r="D78" s="446">
        <v>1234</v>
      </c>
      <c r="E78" s="446">
        <v>53.35</v>
      </c>
      <c r="F78" s="446">
        <v>3.33</v>
      </c>
      <c r="G78" s="447">
        <f t="shared" si="3"/>
        <v>65833.900000000009</v>
      </c>
      <c r="H78" s="448">
        <f t="shared" si="4"/>
        <v>4109.22</v>
      </c>
      <c r="I78" s="447">
        <f t="shared" si="5"/>
        <v>79599.787000000011</v>
      </c>
    </row>
    <row r="79" spans="1:9">
      <c r="A79" s="445" t="s">
        <v>2258</v>
      </c>
      <c r="B79" s="445" t="s">
        <v>2259</v>
      </c>
      <c r="C79" s="445" t="s">
        <v>1955</v>
      </c>
      <c r="D79" s="446">
        <v>2113</v>
      </c>
      <c r="E79" s="446">
        <v>39.07</v>
      </c>
      <c r="F79" s="446">
        <v>0.88</v>
      </c>
      <c r="G79" s="447">
        <f t="shared" si="3"/>
        <v>82554.91</v>
      </c>
      <c r="H79" s="448">
        <f t="shared" si="4"/>
        <v>1859.44</v>
      </c>
      <c r="I79" s="447">
        <f t="shared" si="5"/>
        <v>88784.034</v>
      </c>
    </row>
    <row r="80" spans="1:9">
      <c r="A80" s="445" t="s">
        <v>2260</v>
      </c>
      <c r="B80" s="445" t="s">
        <v>2261</v>
      </c>
      <c r="C80" s="445" t="s">
        <v>1955</v>
      </c>
      <c r="D80" s="446">
        <v>309</v>
      </c>
      <c r="E80" s="446">
        <v>39.07</v>
      </c>
      <c r="F80" s="446">
        <v>3</v>
      </c>
      <c r="G80" s="447">
        <f t="shared" si="3"/>
        <v>12072.63</v>
      </c>
      <c r="H80" s="448">
        <f t="shared" si="4"/>
        <v>927</v>
      </c>
      <c r="I80" s="447">
        <f t="shared" si="5"/>
        <v>15178.08</v>
      </c>
    </row>
    <row r="81" spans="1:9">
      <c r="A81" s="445" t="s">
        <v>2262</v>
      </c>
      <c r="B81" s="445" t="s">
        <v>2263</v>
      </c>
      <c r="C81" s="445" t="s">
        <v>1955</v>
      </c>
      <c r="D81" s="446">
        <v>4</v>
      </c>
      <c r="E81" s="446">
        <v>56.85</v>
      </c>
      <c r="F81" s="446">
        <v>3.59</v>
      </c>
      <c r="G81" s="447">
        <f t="shared" si="3"/>
        <v>227.4</v>
      </c>
      <c r="H81" s="448">
        <f t="shared" si="4"/>
        <v>14.36</v>
      </c>
      <c r="I81" s="447">
        <f t="shared" si="5"/>
        <v>275.50600000000003</v>
      </c>
    </row>
    <row r="82" spans="1:9">
      <c r="A82" s="445" t="s">
        <v>2264</v>
      </c>
      <c r="B82" s="445" t="s">
        <v>2265</v>
      </c>
      <c r="C82" s="445" t="s">
        <v>1955</v>
      </c>
      <c r="D82" s="446">
        <v>568</v>
      </c>
      <c r="E82" s="446">
        <v>61.75</v>
      </c>
      <c r="F82" s="446">
        <v>7.92</v>
      </c>
      <c r="G82" s="447">
        <f t="shared" si="3"/>
        <v>35074</v>
      </c>
      <c r="H82" s="448">
        <f t="shared" si="4"/>
        <v>4498.5600000000004</v>
      </c>
      <c r="I82" s="447">
        <f t="shared" si="5"/>
        <v>50144.175999999999</v>
      </c>
    </row>
    <row r="83" spans="1:9">
      <c r="A83" s="445" t="s">
        <v>2266</v>
      </c>
      <c r="B83" s="445" t="s">
        <v>2267</v>
      </c>
      <c r="C83" s="445" t="s">
        <v>1955</v>
      </c>
      <c r="D83" s="446">
        <v>161</v>
      </c>
      <c r="E83" s="446">
        <v>46.56</v>
      </c>
      <c r="F83" s="446">
        <v>2.79</v>
      </c>
      <c r="G83" s="447">
        <f t="shared" si="3"/>
        <v>7496.1600000000008</v>
      </c>
      <c r="H83" s="448">
        <f t="shared" si="4"/>
        <v>449.19</v>
      </c>
      <c r="I83" s="447">
        <f t="shared" si="5"/>
        <v>9000.9465</v>
      </c>
    </row>
    <row r="84" spans="1:9">
      <c r="A84" s="445" t="s">
        <v>2268</v>
      </c>
      <c r="B84" s="445" t="s">
        <v>2269</v>
      </c>
      <c r="C84" s="445" t="s">
        <v>1955</v>
      </c>
      <c r="D84" s="446">
        <v>13</v>
      </c>
      <c r="E84" s="446">
        <v>46.71</v>
      </c>
      <c r="F84" s="446">
        <v>22</v>
      </c>
      <c r="G84" s="447">
        <f t="shared" si="3"/>
        <v>607.23</v>
      </c>
      <c r="H84" s="448">
        <f t="shared" si="4"/>
        <v>286</v>
      </c>
      <c r="I84" s="447">
        <f t="shared" si="5"/>
        <v>1565.33</v>
      </c>
    </row>
    <row r="85" spans="1:9">
      <c r="A85" s="445" t="s">
        <v>2270</v>
      </c>
      <c r="B85" s="445" t="s">
        <v>2271</v>
      </c>
      <c r="C85" s="445" t="s">
        <v>1955</v>
      </c>
      <c r="D85" s="446">
        <v>711</v>
      </c>
      <c r="E85" s="446">
        <v>32.29</v>
      </c>
      <c r="F85" s="446">
        <v>3.33</v>
      </c>
      <c r="G85" s="447">
        <f t="shared" si="3"/>
        <v>22958.19</v>
      </c>
      <c r="H85" s="448">
        <f t="shared" si="4"/>
        <v>2367.63</v>
      </c>
      <c r="I85" s="447">
        <f t="shared" si="5"/>
        <v>30889.750499999998</v>
      </c>
    </row>
    <row r="86" spans="1:9">
      <c r="A86" s="444" t="s">
        <v>2062</v>
      </c>
      <c r="B86" s="444" t="s">
        <v>2272</v>
      </c>
      <c r="C86" s="509"/>
      <c r="D86" s="509"/>
      <c r="E86" s="509"/>
      <c r="F86" s="509"/>
      <c r="G86" s="447">
        <f t="shared" si="3"/>
        <v>0</v>
      </c>
      <c r="H86" s="448">
        <f t="shared" si="4"/>
        <v>0</v>
      </c>
      <c r="I86" s="447">
        <f t="shared" si="5"/>
        <v>0</v>
      </c>
    </row>
    <row r="87" spans="1:9">
      <c r="A87" s="445" t="s">
        <v>2273</v>
      </c>
      <c r="B87" s="445" t="s">
        <v>2274</v>
      </c>
      <c r="C87" s="445" t="s">
        <v>378</v>
      </c>
      <c r="D87" s="446">
        <v>3295.23</v>
      </c>
      <c r="E87" s="446">
        <v>12.64</v>
      </c>
      <c r="F87" s="446">
        <v>2.0499999999999998</v>
      </c>
      <c r="G87" s="447">
        <f t="shared" si="3"/>
        <v>41651.707200000004</v>
      </c>
      <c r="H87" s="448">
        <f t="shared" si="4"/>
        <v>6755.2214999999997</v>
      </c>
      <c r="I87" s="447">
        <f t="shared" si="5"/>
        <v>64281.699225000004</v>
      </c>
    </row>
    <row r="88" spans="1:9">
      <c r="A88" s="445" t="s">
        <v>2275</v>
      </c>
      <c r="B88" s="445" t="s">
        <v>2276</v>
      </c>
      <c r="C88" s="445" t="s">
        <v>378</v>
      </c>
      <c r="D88" s="446">
        <v>7</v>
      </c>
      <c r="E88" s="446">
        <v>14.73</v>
      </c>
      <c r="F88" s="446">
        <v>3.29</v>
      </c>
      <c r="G88" s="447">
        <f t="shared" si="3"/>
        <v>103.11</v>
      </c>
      <c r="H88" s="448">
        <f t="shared" si="4"/>
        <v>23.03</v>
      </c>
      <c r="I88" s="447">
        <f t="shared" si="5"/>
        <v>180.26050000000001</v>
      </c>
    </row>
    <row r="89" spans="1:9">
      <c r="A89" s="445" t="s">
        <v>2277</v>
      </c>
      <c r="B89" s="445" t="s">
        <v>2278</v>
      </c>
      <c r="C89" s="445" t="s">
        <v>378</v>
      </c>
      <c r="D89" s="446">
        <v>1245.02</v>
      </c>
      <c r="E89" s="446">
        <v>26.52</v>
      </c>
      <c r="F89" s="446">
        <v>5.49</v>
      </c>
      <c r="G89" s="447">
        <f t="shared" si="3"/>
        <v>33017.930399999997</v>
      </c>
      <c r="H89" s="448">
        <f t="shared" si="4"/>
        <v>6835.1598000000004</v>
      </c>
      <c r="I89" s="447">
        <f t="shared" si="5"/>
        <v>55915.715729999996</v>
      </c>
    </row>
    <row r="90" spans="1:9">
      <c r="A90" s="445" t="s">
        <v>2279</v>
      </c>
      <c r="B90" s="445" t="s">
        <v>2280</v>
      </c>
      <c r="C90" s="445" t="s">
        <v>378</v>
      </c>
      <c r="D90" s="446">
        <v>1012.74</v>
      </c>
      <c r="E90" s="446">
        <v>12.64</v>
      </c>
      <c r="F90" s="446">
        <v>2.0499999999999998</v>
      </c>
      <c r="G90" s="447">
        <f t="shared" si="3"/>
        <v>12801.033600000001</v>
      </c>
      <c r="H90" s="448">
        <f t="shared" si="4"/>
        <v>2076.1169999999997</v>
      </c>
      <c r="I90" s="447">
        <f t="shared" si="5"/>
        <v>19756.025549999998</v>
      </c>
    </row>
    <row r="91" spans="1:9">
      <c r="A91" s="445" t="s">
        <v>2281</v>
      </c>
      <c r="B91" s="445" t="s">
        <v>2282</v>
      </c>
      <c r="C91" s="445" t="s">
        <v>378</v>
      </c>
      <c r="D91" s="446">
        <v>20.56</v>
      </c>
      <c r="E91" s="446">
        <v>14.73</v>
      </c>
      <c r="F91" s="446">
        <v>3.29</v>
      </c>
      <c r="G91" s="447">
        <f t="shared" si="3"/>
        <v>302.84879999999998</v>
      </c>
      <c r="H91" s="448">
        <f t="shared" si="4"/>
        <v>67.642399999999995</v>
      </c>
      <c r="I91" s="447">
        <f t="shared" si="5"/>
        <v>529.45083999999997</v>
      </c>
    </row>
    <row r="92" spans="1:9">
      <c r="A92" s="445" t="s">
        <v>2283</v>
      </c>
      <c r="B92" s="445" t="s">
        <v>2284</v>
      </c>
      <c r="C92" s="445" t="s">
        <v>378</v>
      </c>
      <c r="D92" s="446">
        <v>217.5</v>
      </c>
      <c r="E92" s="446">
        <v>26.52</v>
      </c>
      <c r="F92" s="446">
        <v>5.49</v>
      </c>
      <c r="G92" s="447">
        <f t="shared" si="3"/>
        <v>5768.0999999999995</v>
      </c>
      <c r="H92" s="448">
        <f t="shared" si="4"/>
        <v>1194.075</v>
      </c>
      <c r="I92" s="447">
        <f t="shared" si="5"/>
        <v>9768.2512499999993</v>
      </c>
    </row>
    <row r="93" spans="1:9">
      <c r="A93" s="444" t="s">
        <v>2064</v>
      </c>
      <c r="B93" s="444" t="s">
        <v>2285</v>
      </c>
      <c r="C93" s="509"/>
      <c r="D93" s="509"/>
      <c r="E93" s="509"/>
      <c r="F93" s="509"/>
      <c r="G93" s="447">
        <f t="shared" si="3"/>
        <v>0</v>
      </c>
      <c r="H93" s="448">
        <f t="shared" si="4"/>
        <v>0</v>
      </c>
      <c r="I93" s="447">
        <f t="shared" si="5"/>
        <v>0</v>
      </c>
    </row>
    <row r="94" spans="1:9">
      <c r="A94" s="445" t="s">
        <v>2286</v>
      </c>
      <c r="B94" s="445" t="s">
        <v>2287</v>
      </c>
      <c r="C94" s="445" t="s">
        <v>378</v>
      </c>
      <c r="D94" s="446">
        <v>0</v>
      </c>
      <c r="E94" s="446">
        <v>12.64</v>
      </c>
      <c r="F94" s="446">
        <v>2.0499999999999998</v>
      </c>
      <c r="G94" s="447">
        <f t="shared" si="3"/>
        <v>0</v>
      </c>
      <c r="H94" s="448">
        <f t="shared" si="4"/>
        <v>0</v>
      </c>
      <c r="I94" s="447">
        <f t="shared" si="5"/>
        <v>0</v>
      </c>
    </row>
    <row r="95" spans="1:9">
      <c r="A95" s="445" t="s">
        <v>2288</v>
      </c>
      <c r="B95" s="445" t="s">
        <v>2289</v>
      </c>
      <c r="C95" s="445" t="s">
        <v>378</v>
      </c>
      <c r="D95" s="446">
        <v>0</v>
      </c>
      <c r="E95" s="446">
        <v>14.73</v>
      </c>
      <c r="F95" s="446">
        <v>3.29</v>
      </c>
      <c r="G95" s="447">
        <f t="shared" si="3"/>
        <v>0</v>
      </c>
      <c r="H95" s="448">
        <f t="shared" si="4"/>
        <v>0</v>
      </c>
      <c r="I95" s="447">
        <f t="shared" si="5"/>
        <v>0</v>
      </c>
    </row>
    <row r="96" spans="1:9">
      <c r="A96" s="445" t="s">
        <v>2290</v>
      </c>
      <c r="B96" s="445" t="s">
        <v>2291</v>
      </c>
      <c r="C96" s="445" t="s">
        <v>378</v>
      </c>
      <c r="D96" s="446">
        <v>62.74</v>
      </c>
      <c r="E96" s="446">
        <v>25.36</v>
      </c>
      <c r="F96" s="446">
        <v>5.49</v>
      </c>
      <c r="G96" s="447">
        <f t="shared" si="3"/>
        <v>1591.0863999999999</v>
      </c>
      <c r="H96" s="448">
        <f t="shared" si="4"/>
        <v>344.44260000000003</v>
      </c>
      <c r="I96" s="447">
        <f t="shared" si="5"/>
        <v>2744.96911</v>
      </c>
    </row>
    <row r="97" spans="1:9">
      <c r="A97" s="445" t="s">
        <v>2292</v>
      </c>
      <c r="B97" s="445" t="s">
        <v>2293</v>
      </c>
      <c r="C97" s="445" t="s">
        <v>378</v>
      </c>
      <c r="D97" s="446">
        <v>0</v>
      </c>
      <c r="E97" s="446">
        <v>31.73</v>
      </c>
      <c r="F97" s="446">
        <v>21.01</v>
      </c>
      <c r="G97" s="447">
        <f t="shared" si="3"/>
        <v>0</v>
      </c>
      <c r="H97" s="448">
        <f t="shared" si="4"/>
        <v>0</v>
      </c>
      <c r="I97" s="447">
        <f t="shared" si="5"/>
        <v>0</v>
      </c>
    </row>
    <row r="98" spans="1:9">
      <c r="A98" s="445" t="s">
        <v>2294</v>
      </c>
      <c r="B98" s="445" t="s">
        <v>2295</v>
      </c>
      <c r="C98" s="445" t="s">
        <v>378</v>
      </c>
      <c r="D98" s="446">
        <v>62.74</v>
      </c>
      <c r="E98" s="446">
        <v>1.85</v>
      </c>
      <c r="F98" s="446">
        <v>0</v>
      </c>
      <c r="G98" s="447">
        <f t="shared" si="3"/>
        <v>116.069</v>
      </c>
      <c r="H98" s="448">
        <f t="shared" si="4"/>
        <v>0</v>
      </c>
      <c r="I98" s="447">
        <f t="shared" si="5"/>
        <v>116.069</v>
      </c>
    </row>
    <row r="99" spans="1:9">
      <c r="A99" s="445" t="s">
        <v>2296</v>
      </c>
      <c r="B99" s="445" t="s">
        <v>2297</v>
      </c>
      <c r="C99" s="445" t="s">
        <v>973</v>
      </c>
      <c r="D99" s="446">
        <v>16.309999999999999</v>
      </c>
      <c r="E99" s="446">
        <v>56.98</v>
      </c>
      <c r="F99" s="446">
        <v>0</v>
      </c>
      <c r="G99" s="447">
        <f t="shared" si="3"/>
        <v>929.34379999999987</v>
      </c>
      <c r="H99" s="448">
        <f t="shared" si="4"/>
        <v>0</v>
      </c>
      <c r="I99" s="447">
        <f t="shared" si="5"/>
        <v>929.34379999999987</v>
      </c>
    </row>
    <row r="100" spans="1:9">
      <c r="A100" s="445" t="s">
        <v>2298</v>
      </c>
      <c r="B100" s="445" t="s">
        <v>2299</v>
      </c>
      <c r="C100" s="445" t="s">
        <v>973</v>
      </c>
      <c r="D100" s="446">
        <v>2.5099999999999998</v>
      </c>
      <c r="E100" s="446">
        <v>87.96</v>
      </c>
      <c r="F100" s="446">
        <v>0</v>
      </c>
      <c r="G100" s="447">
        <f t="shared" si="3"/>
        <v>220.77959999999996</v>
      </c>
      <c r="H100" s="448">
        <f t="shared" si="4"/>
        <v>0</v>
      </c>
      <c r="I100" s="447">
        <f t="shared" si="5"/>
        <v>220.77959999999996</v>
      </c>
    </row>
    <row r="101" spans="1:9">
      <c r="A101" s="445" t="s">
        <v>2300</v>
      </c>
      <c r="B101" s="445" t="s">
        <v>2301</v>
      </c>
      <c r="C101" s="445" t="s">
        <v>973</v>
      </c>
      <c r="D101" s="446">
        <v>13.8</v>
      </c>
      <c r="E101" s="446">
        <v>45.32</v>
      </c>
      <c r="F101" s="446">
        <v>0</v>
      </c>
      <c r="G101" s="447">
        <f t="shared" si="3"/>
        <v>625.41600000000005</v>
      </c>
      <c r="H101" s="448">
        <f t="shared" si="4"/>
        <v>0</v>
      </c>
      <c r="I101" s="447">
        <f t="shared" si="5"/>
        <v>625.41600000000005</v>
      </c>
    </row>
    <row r="102" spans="1:9">
      <c r="A102" s="445" t="s">
        <v>2302</v>
      </c>
      <c r="B102" s="445" t="s">
        <v>2104</v>
      </c>
      <c r="C102" s="445" t="s">
        <v>973</v>
      </c>
      <c r="D102" s="446">
        <v>7.41</v>
      </c>
      <c r="E102" s="446">
        <v>39.93</v>
      </c>
      <c r="F102" s="446">
        <v>0</v>
      </c>
      <c r="G102" s="447">
        <f t="shared" si="3"/>
        <v>295.88130000000001</v>
      </c>
      <c r="H102" s="448">
        <f t="shared" si="4"/>
        <v>0</v>
      </c>
      <c r="I102" s="447">
        <f t="shared" si="5"/>
        <v>295.88130000000001</v>
      </c>
    </row>
    <row r="103" spans="1:9">
      <c r="A103" s="444" t="s">
        <v>2066</v>
      </c>
      <c r="B103" s="444" t="s">
        <v>2303</v>
      </c>
      <c r="C103" s="509"/>
      <c r="D103" s="509"/>
      <c r="E103" s="509"/>
      <c r="F103" s="509"/>
      <c r="G103" s="447">
        <f t="shared" si="3"/>
        <v>0</v>
      </c>
      <c r="H103" s="448">
        <f t="shared" si="4"/>
        <v>0</v>
      </c>
      <c r="I103" s="447">
        <f t="shared" si="5"/>
        <v>0</v>
      </c>
    </row>
    <row r="104" spans="1:9">
      <c r="A104" s="445" t="s">
        <v>2304</v>
      </c>
      <c r="B104" s="445" t="s">
        <v>2305</v>
      </c>
      <c r="C104" s="445" t="s">
        <v>378</v>
      </c>
      <c r="D104" s="446">
        <v>60.21</v>
      </c>
      <c r="E104" s="446">
        <v>17.86</v>
      </c>
      <c r="F104" s="446">
        <v>1.83</v>
      </c>
      <c r="G104" s="447">
        <f t="shared" si="3"/>
        <v>1075.3506</v>
      </c>
      <c r="H104" s="448">
        <f t="shared" si="4"/>
        <v>110.18430000000001</v>
      </c>
      <c r="I104" s="447">
        <f t="shared" si="5"/>
        <v>1444.4680049999999</v>
      </c>
    </row>
    <row r="105" spans="1:9">
      <c r="A105" s="445" t="s">
        <v>2306</v>
      </c>
      <c r="B105" s="445" t="s">
        <v>2307</v>
      </c>
      <c r="C105" s="445" t="s">
        <v>378</v>
      </c>
      <c r="D105" s="446">
        <v>0</v>
      </c>
      <c r="E105" s="446">
        <v>23.85</v>
      </c>
      <c r="F105" s="446">
        <v>2.77</v>
      </c>
      <c r="G105" s="447">
        <f t="shared" si="3"/>
        <v>0</v>
      </c>
      <c r="H105" s="448">
        <f t="shared" si="4"/>
        <v>0</v>
      </c>
      <c r="I105" s="447">
        <f t="shared" si="5"/>
        <v>0</v>
      </c>
    </row>
    <row r="106" spans="1:9">
      <c r="A106" s="445" t="s">
        <v>2308</v>
      </c>
      <c r="B106" s="445" t="s">
        <v>2309</v>
      </c>
      <c r="C106" s="445" t="s">
        <v>378</v>
      </c>
      <c r="D106" s="446">
        <v>394.25</v>
      </c>
      <c r="E106" s="446">
        <v>24.95</v>
      </c>
      <c r="F106" s="446">
        <v>4.55</v>
      </c>
      <c r="G106" s="447">
        <f t="shared" si="3"/>
        <v>9836.5375000000004</v>
      </c>
      <c r="H106" s="448">
        <f t="shared" si="4"/>
        <v>1793.8374999999999</v>
      </c>
      <c r="I106" s="447">
        <f t="shared" si="5"/>
        <v>15845.893125000001</v>
      </c>
    </row>
    <row r="107" spans="1:9">
      <c r="A107" s="445" t="s">
        <v>2310</v>
      </c>
      <c r="B107" s="445" t="s">
        <v>2311</v>
      </c>
      <c r="C107" s="445" t="s">
        <v>378</v>
      </c>
      <c r="D107" s="446">
        <v>103.89</v>
      </c>
      <c r="E107" s="446">
        <v>35.979999999999997</v>
      </c>
      <c r="F107" s="446">
        <v>20.46</v>
      </c>
      <c r="G107" s="447">
        <f t="shared" si="3"/>
        <v>3737.9621999999995</v>
      </c>
      <c r="H107" s="448">
        <f t="shared" si="4"/>
        <v>2125.5894000000003</v>
      </c>
      <c r="I107" s="447">
        <f t="shared" si="5"/>
        <v>10858.68669</v>
      </c>
    </row>
    <row r="108" spans="1:9">
      <c r="A108" s="445" t="s">
        <v>2312</v>
      </c>
      <c r="B108" s="445" t="s">
        <v>2313</v>
      </c>
      <c r="C108" s="445" t="s">
        <v>378</v>
      </c>
      <c r="D108" s="446">
        <v>0</v>
      </c>
      <c r="E108" s="446">
        <v>51.6</v>
      </c>
      <c r="F108" s="446">
        <v>32.72</v>
      </c>
      <c r="G108" s="447">
        <f t="shared" si="3"/>
        <v>0</v>
      </c>
      <c r="H108" s="448">
        <f t="shared" si="4"/>
        <v>0</v>
      </c>
      <c r="I108" s="447">
        <f t="shared" si="5"/>
        <v>0</v>
      </c>
    </row>
    <row r="109" spans="1:9">
      <c r="A109" s="445" t="s">
        <v>2314</v>
      </c>
      <c r="B109" s="445" t="s">
        <v>2184</v>
      </c>
      <c r="C109" s="445" t="s">
        <v>378</v>
      </c>
      <c r="D109" s="446">
        <v>51.66</v>
      </c>
      <c r="E109" s="446">
        <v>109.56</v>
      </c>
      <c r="F109" s="446">
        <v>0</v>
      </c>
      <c r="G109" s="447">
        <f t="shared" si="3"/>
        <v>5659.8696</v>
      </c>
      <c r="H109" s="448">
        <f t="shared" si="4"/>
        <v>0</v>
      </c>
      <c r="I109" s="447">
        <f t="shared" si="5"/>
        <v>5659.8696</v>
      </c>
    </row>
    <row r="110" spans="1:9">
      <c r="A110" s="445" t="s">
        <v>2315</v>
      </c>
      <c r="B110" s="445" t="s">
        <v>2316</v>
      </c>
      <c r="C110" s="445" t="s">
        <v>121</v>
      </c>
      <c r="D110" s="446">
        <v>17</v>
      </c>
      <c r="E110" s="446">
        <v>42.17</v>
      </c>
      <c r="F110" s="446">
        <v>0</v>
      </c>
      <c r="G110" s="447">
        <f t="shared" si="3"/>
        <v>716.89</v>
      </c>
      <c r="H110" s="448">
        <f t="shared" si="4"/>
        <v>0</v>
      </c>
      <c r="I110" s="447">
        <f t="shared" si="5"/>
        <v>716.89</v>
      </c>
    </row>
    <row r="111" spans="1:9">
      <c r="A111" s="445" t="s">
        <v>2317</v>
      </c>
      <c r="B111" s="445" t="s">
        <v>2318</v>
      </c>
      <c r="C111" s="445" t="s">
        <v>121</v>
      </c>
      <c r="D111" s="446">
        <v>1</v>
      </c>
      <c r="E111" s="446">
        <v>68.42</v>
      </c>
      <c r="F111" s="446">
        <v>0</v>
      </c>
      <c r="G111" s="447">
        <f t="shared" si="3"/>
        <v>68.42</v>
      </c>
      <c r="H111" s="448">
        <f t="shared" si="4"/>
        <v>0</v>
      </c>
      <c r="I111" s="447">
        <f t="shared" si="5"/>
        <v>68.42</v>
      </c>
    </row>
    <row r="112" spans="1:9">
      <c r="A112" s="445" t="s">
        <v>2319</v>
      </c>
      <c r="B112" s="445" t="s">
        <v>2320</v>
      </c>
      <c r="C112" s="445" t="s">
        <v>121</v>
      </c>
      <c r="D112" s="446">
        <v>95</v>
      </c>
      <c r="E112" s="446">
        <v>90.18</v>
      </c>
      <c r="F112" s="446">
        <v>0</v>
      </c>
      <c r="G112" s="447">
        <f t="shared" si="3"/>
        <v>8567.1</v>
      </c>
      <c r="H112" s="448">
        <f t="shared" si="4"/>
        <v>0</v>
      </c>
      <c r="I112" s="447">
        <f t="shared" si="5"/>
        <v>8567.1</v>
      </c>
    </row>
    <row r="113" spans="1:9">
      <c r="A113" s="445" t="s">
        <v>2321</v>
      </c>
      <c r="B113" s="445" t="s">
        <v>2322</v>
      </c>
      <c r="C113" s="445" t="s">
        <v>121</v>
      </c>
      <c r="D113" s="446">
        <v>13</v>
      </c>
      <c r="E113" s="446">
        <v>162.32</v>
      </c>
      <c r="F113" s="446">
        <v>0</v>
      </c>
      <c r="G113" s="447">
        <f t="shared" si="3"/>
        <v>2110.16</v>
      </c>
      <c r="H113" s="448">
        <f t="shared" si="4"/>
        <v>0</v>
      </c>
      <c r="I113" s="447">
        <f t="shared" si="5"/>
        <v>2110.16</v>
      </c>
    </row>
    <row r="114" spans="1:9">
      <c r="A114" s="445" t="s">
        <v>2323</v>
      </c>
      <c r="B114" s="445" t="s">
        <v>2324</v>
      </c>
      <c r="C114" s="445" t="s">
        <v>121</v>
      </c>
      <c r="D114" s="446">
        <v>0</v>
      </c>
      <c r="E114" s="446">
        <v>223.32</v>
      </c>
      <c r="F114" s="446">
        <v>0</v>
      </c>
      <c r="G114" s="447">
        <f t="shared" si="3"/>
        <v>0</v>
      </c>
      <c r="H114" s="448">
        <f t="shared" si="4"/>
        <v>0</v>
      </c>
      <c r="I114" s="447">
        <f t="shared" si="5"/>
        <v>0</v>
      </c>
    </row>
    <row r="115" spans="1:9">
      <c r="A115" s="445" t="s">
        <v>2325</v>
      </c>
      <c r="B115" s="445" t="s">
        <v>2326</v>
      </c>
      <c r="C115" s="445" t="s">
        <v>121</v>
      </c>
      <c r="D115" s="446">
        <v>12</v>
      </c>
      <c r="E115" s="446">
        <v>38.21</v>
      </c>
      <c r="F115" s="446">
        <v>0</v>
      </c>
      <c r="G115" s="447">
        <f t="shared" si="3"/>
        <v>458.52</v>
      </c>
      <c r="H115" s="448">
        <f t="shared" si="4"/>
        <v>0</v>
      </c>
      <c r="I115" s="447">
        <f t="shared" si="5"/>
        <v>458.52</v>
      </c>
    </row>
    <row r="116" spans="1:9">
      <c r="A116" s="445" t="s">
        <v>2327</v>
      </c>
      <c r="B116" s="445" t="s">
        <v>2328</v>
      </c>
      <c r="C116" s="445" t="s">
        <v>121</v>
      </c>
      <c r="D116" s="446">
        <v>17</v>
      </c>
      <c r="E116" s="446">
        <v>54.41</v>
      </c>
      <c r="F116" s="446">
        <v>0</v>
      </c>
      <c r="G116" s="447">
        <f t="shared" si="3"/>
        <v>924.96999999999991</v>
      </c>
      <c r="H116" s="448">
        <f t="shared" si="4"/>
        <v>0</v>
      </c>
      <c r="I116" s="447">
        <f t="shared" si="5"/>
        <v>924.96999999999991</v>
      </c>
    </row>
    <row r="117" spans="1:9">
      <c r="A117" s="444" t="s">
        <v>2068</v>
      </c>
      <c r="B117" s="444" t="s">
        <v>2329</v>
      </c>
      <c r="C117" s="509"/>
      <c r="D117" s="509"/>
      <c r="E117" s="509"/>
      <c r="F117" s="509"/>
      <c r="G117" s="447">
        <f t="shared" si="3"/>
        <v>0</v>
      </c>
      <c r="H117" s="448">
        <f t="shared" si="4"/>
        <v>0</v>
      </c>
      <c r="I117" s="447">
        <f t="shared" si="5"/>
        <v>0</v>
      </c>
    </row>
    <row r="118" spans="1:9">
      <c r="A118" s="445" t="s">
        <v>2330</v>
      </c>
      <c r="B118" s="445" t="s">
        <v>2331</v>
      </c>
      <c r="C118" s="445" t="s">
        <v>378</v>
      </c>
      <c r="D118" s="446">
        <v>86.2</v>
      </c>
      <c r="E118" s="446">
        <v>29.5</v>
      </c>
      <c r="F118" s="446">
        <v>1.66</v>
      </c>
      <c r="G118" s="447">
        <f t="shared" si="3"/>
        <v>2542.9</v>
      </c>
      <c r="H118" s="448">
        <f t="shared" si="4"/>
        <v>143.09199999999998</v>
      </c>
      <c r="I118" s="447">
        <f t="shared" si="5"/>
        <v>3022.2582000000002</v>
      </c>
    </row>
    <row r="119" spans="1:9">
      <c r="A119" s="445" t="s">
        <v>2332</v>
      </c>
      <c r="B119" s="445" t="s">
        <v>2333</v>
      </c>
      <c r="C119" s="445" t="s">
        <v>378</v>
      </c>
      <c r="D119" s="446">
        <v>27.1</v>
      </c>
      <c r="E119" s="446">
        <v>37.520000000000003</v>
      </c>
      <c r="F119" s="446">
        <v>2.72</v>
      </c>
      <c r="G119" s="447">
        <f t="shared" si="3"/>
        <v>1016.7920000000001</v>
      </c>
      <c r="H119" s="448">
        <f t="shared" si="4"/>
        <v>73.712000000000003</v>
      </c>
      <c r="I119" s="447">
        <f t="shared" si="5"/>
        <v>1263.7272000000003</v>
      </c>
    </row>
    <row r="120" spans="1:9">
      <c r="A120" s="445" t="s">
        <v>2334</v>
      </c>
      <c r="B120" s="445" t="s">
        <v>2335</v>
      </c>
      <c r="C120" s="445" t="s">
        <v>378</v>
      </c>
      <c r="D120" s="446">
        <v>1815</v>
      </c>
      <c r="E120" s="446">
        <v>37.28</v>
      </c>
      <c r="F120" s="446">
        <v>4.55</v>
      </c>
      <c r="G120" s="447">
        <f t="shared" si="3"/>
        <v>67663.199999999997</v>
      </c>
      <c r="H120" s="448">
        <f t="shared" si="4"/>
        <v>8258.25</v>
      </c>
      <c r="I120" s="447">
        <f t="shared" si="5"/>
        <v>95328.337499999994</v>
      </c>
    </row>
    <row r="121" spans="1:9">
      <c r="A121" s="445" t="s">
        <v>2336</v>
      </c>
      <c r="B121" s="445" t="s">
        <v>2337</v>
      </c>
      <c r="C121" s="445" t="s">
        <v>378</v>
      </c>
      <c r="D121" s="446">
        <v>478.8</v>
      </c>
      <c r="E121" s="446">
        <v>29.5</v>
      </c>
      <c r="F121" s="446">
        <v>1.66</v>
      </c>
      <c r="G121" s="447">
        <f t="shared" si="3"/>
        <v>14124.6</v>
      </c>
      <c r="H121" s="448">
        <f t="shared" si="4"/>
        <v>794.80799999999999</v>
      </c>
      <c r="I121" s="447">
        <f t="shared" si="5"/>
        <v>16787.2068</v>
      </c>
    </row>
    <row r="122" spans="1:9">
      <c r="A122" s="445" t="s">
        <v>2338</v>
      </c>
      <c r="B122" s="445" t="s">
        <v>2339</v>
      </c>
      <c r="C122" s="445" t="s">
        <v>378</v>
      </c>
      <c r="D122" s="446">
        <v>0</v>
      </c>
      <c r="E122" s="446">
        <v>37.520000000000003</v>
      </c>
      <c r="F122" s="446">
        <v>2.72</v>
      </c>
      <c r="G122" s="447">
        <f t="shared" si="3"/>
        <v>0</v>
      </c>
      <c r="H122" s="448">
        <f t="shared" si="4"/>
        <v>0</v>
      </c>
      <c r="I122" s="447">
        <f t="shared" si="5"/>
        <v>0</v>
      </c>
    </row>
    <row r="123" spans="1:9">
      <c r="A123" s="445" t="s">
        <v>2340</v>
      </c>
      <c r="B123" s="445" t="s">
        <v>2341</v>
      </c>
      <c r="C123" s="445" t="s">
        <v>378</v>
      </c>
      <c r="D123" s="446">
        <v>1943</v>
      </c>
      <c r="E123" s="446">
        <v>31.45</v>
      </c>
      <c r="F123" s="446">
        <v>4.55</v>
      </c>
      <c r="G123" s="447">
        <f t="shared" si="3"/>
        <v>61107.35</v>
      </c>
      <c r="H123" s="448">
        <f t="shared" si="4"/>
        <v>8840.65</v>
      </c>
      <c r="I123" s="447">
        <f t="shared" si="5"/>
        <v>90723.527499999997</v>
      </c>
    </row>
    <row r="124" spans="1:9">
      <c r="A124" s="445" t="s">
        <v>2342</v>
      </c>
      <c r="B124" s="445" t="s">
        <v>2343</v>
      </c>
      <c r="C124" s="445" t="s">
        <v>378</v>
      </c>
      <c r="D124" s="446">
        <v>26</v>
      </c>
      <c r="E124" s="446">
        <v>37.11</v>
      </c>
      <c r="F124" s="446">
        <v>20.46</v>
      </c>
      <c r="G124" s="447">
        <f t="shared" si="3"/>
        <v>964.86</v>
      </c>
      <c r="H124" s="448">
        <f t="shared" si="4"/>
        <v>531.96</v>
      </c>
      <c r="I124" s="447">
        <f t="shared" si="5"/>
        <v>2746.9260000000004</v>
      </c>
    </row>
    <row r="125" spans="1:9">
      <c r="A125" s="445" t="s">
        <v>2344</v>
      </c>
      <c r="B125" s="445" t="s">
        <v>2345</v>
      </c>
      <c r="C125" s="445" t="s">
        <v>121</v>
      </c>
      <c r="D125" s="446">
        <v>7</v>
      </c>
      <c r="E125" s="446">
        <v>25.62</v>
      </c>
      <c r="F125" s="446">
        <v>0</v>
      </c>
      <c r="G125" s="447">
        <f t="shared" si="3"/>
        <v>179.34</v>
      </c>
      <c r="H125" s="448">
        <f t="shared" si="4"/>
        <v>0</v>
      </c>
      <c r="I125" s="447">
        <f t="shared" si="5"/>
        <v>179.34</v>
      </c>
    </row>
    <row r="126" spans="1:9">
      <c r="A126" s="445" t="s">
        <v>2346</v>
      </c>
      <c r="B126" s="445" t="s">
        <v>2347</v>
      </c>
      <c r="C126" s="445" t="s">
        <v>121</v>
      </c>
      <c r="D126" s="446">
        <v>0</v>
      </c>
      <c r="E126" s="446">
        <v>29.49</v>
      </c>
      <c r="F126" s="446">
        <v>0</v>
      </c>
      <c r="G126" s="447">
        <f t="shared" si="3"/>
        <v>0</v>
      </c>
      <c r="H126" s="448">
        <f t="shared" si="4"/>
        <v>0</v>
      </c>
      <c r="I126" s="447">
        <f t="shared" si="5"/>
        <v>0</v>
      </c>
    </row>
    <row r="127" spans="1:9">
      <c r="A127" s="445" t="s">
        <v>2348</v>
      </c>
      <c r="B127" s="445" t="s">
        <v>2349</v>
      </c>
      <c r="C127" s="445" t="s">
        <v>121</v>
      </c>
      <c r="D127" s="446">
        <v>29</v>
      </c>
      <c r="E127" s="446">
        <v>32.08</v>
      </c>
      <c r="F127" s="446">
        <v>0</v>
      </c>
      <c r="G127" s="447">
        <f t="shared" si="3"/>
        <v>930.31999999999994</v>
      </c>
      <c r="H127" s="448">
        <f t="shared" si="4"/>
        <v>0</v>
      </c>
      <c r="I127" s="447">
        <f t="shared" si="5"/>
        <v>930.31999999999994</v>
      </c>
    </row>
    <row r="128" spans="1:9">
      <c r="A128" s="444" t="s">
        <v>2070</v>
      </c>
      <c r="B128" s="444" t="s">
        <v>2350</v>
      </c>
      <c r="C128" s="509"/>
      <c r="D128" s="509"/>
      <c r="E128" s="509"/>
      <c r="F128" s="509"/>
      <c r="G128" s="447">
        <f t="shared" si="3"/>
        <v>0</v>
      </c>
      <c r="H128" s="448">
        <f t="shared" si="4"/>
        <v>0</v>
      </c>
      <c r="I128" s="447">
        <f t="shared" si="5"/>
        <v>0</v>
      </c>
    </row>
    <row r="129" spans="1:9">
      <c r="A129" s="445" t="s">
        <v>2351</v>
      </c>
      <c r="B129" s="445" t="s">
        <v>2352</v>
      </c>
      <c r="C129" s="445" t="s">
        <v>121</v>
      </c>
      <c r="D129" s="446">
        <v>1208</v>
      </c>
      <c r="E129" s="446">
        <v>33.549999999999997</v>
      </c>
      <c r="F129" s="446">
        <v>0</v>
      </c>
      <c r="G129" s="447">
        <f t="shared" si="3"/>
        <v>40528.399999999994</v>
      </c>
      <c r="H129" s="448">
        <f t="shared" si="4"/>
        <v>0</v>
      </c>
      <c r="I129" s="447">
        <f t="shared" si="5"/>
        <v>40528.399999999994</v>
      </c>
    </row>
    <row r="130" spans="1:9">
      <c r="A130" s="445" t="s">
        <v>2353</v>
      </c>
      <c r="B130" s="445" t="s">
        <v>2354</v>
      </c>
      <c r="C130" s="445" t="s">
        <v>121</v>
      </c>
      <c r="D130" s="446">
        <v>0</v>
      </c>
      <c r="E130" s="446">
        <v>40.21</v>
      </c>
      <c r="F130" s="446">
        <v>0</v>
      </c>
      <c r="G130" s="447">
        <f t="shared" si="3"/>
        <v>0</v>
      </c>
      <c r="H130" s="448">
        <f t="shared" si="4"/>
        <v>0</v>
      </c>
      <c r="I130" s="447">
        <f t="shared" si="5"/>
        <v>0</v>
      </c>
    </row>
    <row r="131" spans="1:9">
      <c r="A131" s="445" t="s">
        <v>2355</v>
      </c>
      <c r="B131" s="445" t="s">
        <v>2356</v>
      </c>
      <c r="C131" s="445" t="s">
        <v>121</v>
      </c>
      <c r="D131" s="446">
        <v>48</v>
      </c>
      <c r="E131" s="446">
        <v>60.04</v>
      </c>
      <c r="F131" s="446">
        <v>0</v>
      </c>
      <c r="G131" s="447">
        <f t="shared" si="3"/>
        <v>2881.92</v>
      </c>
      <c r="H131" s="448">
        <f t="shared" si="4"/>
        <v>0</v>
      </c>
      <c r="I131" s="447">
        <f t="shared" si="5"/>
        <v>2881.92</v>
      </c>
    </row>
    <row r="132" spans="1:9">
      <c r="A132" s="445" t="s">
        <v>2357</v>
      </c>
      <c r="B132" s="445" t="s">
        <v>2358</v>
      </c>
      <c r="C132" s="445" t="s">
        <v>121</v>
      </c>
      <c r="D132" s="446">
        <v>0</v>
      </c>
      <c r="E132" s="446">
        <v>84.24</v>
      </c>
      <c r="F132" s="446">
        <v>0</v>
      </c>
      <c r="G132" s="447">
        <f t="shared" si="3"/>
        <v>0</v>
      </c>
      <c r="H132" s="448">
        <f t="shared" si="4"/>
        <v>0</v>
      </c>
      <c r="I132" s="447">
        <f t="shared" si="5"/>
        <v>0</v>
      </c>
    </row>
    <row r="133" spans="1:9">
      <c r="A133" s="445" t="s">
        <v>2359</v>
      </c>
      <c r="B133" s="445" t="s">
        <v>2360</v>
      </c>
      <c r="C133" s="445" t="s">
        <v>121</v>
      </c>
      <c r="D133" s="446">
        <v>1057</v>
      </c>
      <c r="E133" s="446">
        <v>33.950000000000003</v>
      </c>
      <c r="F133" s="446">
        <v>0</v>
      </c>
      <c r="G133" s="447">
        <f t="shared" si="3"/>
        <v>35885.15</v>
      </c>
      <c r="H133" s="448">
        <f t="shared" si="4"/>
        <v>0</v>
      </c>
      <c r="I133" s="447">
        <f t="shared" si="5"/>
        <v>35885.15</v>
      </c>
    </row>
    <row r="134" spans="1:9">
      <c r="A134" s="445" t="s">
        <v>2361</v>
      </c>
      <c r="B134" s="445" t="s">
        <v>2362</v>
      </c>
      <c r="C134" s="445" t="s">
        <v>121</v>
      </c>
      <c r="D134" s="446">
        <v>0</v>
      </c>
      <c r="E134" s="446">
        <v>42.27</v>
      </c>
      <c r="F134" s="446">
        <v>0</v>
      </c>
      <c r="G134" s="447">
        <f t="shared" si="3"/>
        <v>0</v>
      </c>
      <c r="H134" s="448">
        <f t="shared" si="4"/>
        <v>0</v>
      </c>
      <c r="I134" s="447">
        <f t="shared" si="5"/>
        <v>0</v>
      </c>
    </row>
    <row r="135" spans="1:9">
      <c r="A135" s="445" t="s">
        <v>2363</v>
      </c>
      <c r="B135" s="445" t="s">
        <v>2364</v>
      </c>
      <c r="C135" s="445" t="s">
        <v>121</v>
      </c>
      <c r="D135" s="446">
        <v>18</v>
      </c>
      <c r="E135" s="446">
        <v>62.49</v>
      </c>
      <c r="F135" s="446">
        <v>0</v>
      </c>
      <c r="G135" s="447">
        <f t="shared" si="3"/>
        <v>1124.82</v>
      </c>
      <c r="H135" s="448">
        <f t="shared" si="4"/>
        <v>0</v>
      </c>
      <c r="I135" s="447">
        <f t="shared" si="5"/>
        <v>1124.82</v>
      </c>
    </row>
    <row r="136" spans="1:9">
      <c r="A136" s="445" t="s">
        <v>2365</v>
      </c>
      <c r="B136" s="445" t="s">
        <v>2366</v>
      </c>
      <c r="C136" s="445" t="s">
        <v>121</v>
      </c>
      <c r="D136" s="446">
        <v>0</v>
      </c>
      <c r="E136" s="446">
        <v>29.65</v>
      </c>
      <c r="F136" s="446">
        <v>0</v>
      </c>
      <c r="G136" s="447">
        <f t="shared" si="3"/>
        <v>0</v>
      </c>
      <c r="H136" s="448">
        <f t="shared" si="4"/>
        <v>0</v>
      </c>
      <c r="I136" s="447">
        <f t="shared" si="5"/>
        <v>0</v>
      </c>
    </row>
    <row r="137" spans="1:9">
      <c r="A137" s="444" t="s">
        <v>2072</v>
      </c>
      <c r="B137" s="444" t="s">
        <v>2219</v>
      </c>
      <c r="C137" s="509"/>
      <c r="D137" s="509"/>
      <c r="E137" s="509"/>
      <c r="F137" s="509"/>
      <c r="G137" s="447">
        <f t="shared" si="3"/>
        <v>0</v>
      </c>
      <c r="H137" s="448">
        <f t="shared" si="4"/>
        <v>0</v>
      </c>
      <c r="I137" s="447">
        <f t="shared" si="5"/>
        <v>0</v>
      </c>
    </row>
    <row r="138" spans="1:9">
      <c r="A138" s="445" t="s">
        <v>2367</v>
      </c>
      <c r="B138" s="445" t="s">
        <v>2368</v>
      </c>
      <c r="C138" s="445" t="s">
        <v>130</v>
      </c>
      <c r="D138" s="446">
        <v>1</v>
      </c>
      <c r="E138" s="446">
        <v>2194.8000000000002</v>
      </c>
      <c r="F138" s="446">
        <v>0</v>
      </c>
      <c r="G138" s="447">
        <f t="shared" si="3"/>
        <v>2194.8000000000002</v>
      </c>
      <c r="H138" s="448">
        <f t="shared" si="4"/>
        <v>0</v>
      </c>
      <c r="I138" s="447">
        <f t="shared" si="5"/>
        <v>2194.8000000000002</v>
      </c>
    </row>
    <row r="139" spans="1:9">
      <c r="A139" s="445" t="s">
        <v>2369</v>
      </c>
      <c r="B139" s="445" t="s">
        <v>2370</v>
      </c>
      <c r="C139" s="445" t="s">
        <v>130</v>
      </c>
      <c r="D139" s="446">
        <v>1</v>
      </c>
      <c r="E139" s="446">
        <v>18834.57</v>
      </c>
      <c r="F139" s="446">
        <v>0</v>
      </c>
      <c r="G139" s="447">
        <f t="shared" si="3"/>
        <v>18834.57</v>
      </c>
      <c r="H139" s="448">
        <f t="shared" si="4"/>
        <v>0</v>
      </c>
      <c r="I139" s="447">
        <f t="shared" si="5"/>
        <v>18834.57</v>
      </c>
    </row>
    <row r="140" spans="1:9">
      <c r="A140" s="445" t="s">
        <v>2371</v>
      </c>
      <c r="B140" s="445" t="s">
        <v>2372</v>
      </c>
      <c r="C140" s="445" t="s">
        <v>130</v>
      </c>
      <c r="D140" s="446">
        <v>1</v>
      </c>
      <c r="E140" s="446">
        <v>1500</v>
      </c>
      <c r="F140" s="446">
        <v>0</v>
      </c>
      <c r="G140" s="447">
        <f t="shared" si="3"/>
        <v>1500</v>
      </c>
      <c r="H140" s="448">
        <f t="shared" si="4"/>
        <v>0</v>
      </c>
      <c r="I140" s="447">
        <f t="shared" si="5"/>
        <v>1500</v>
      </c>
    </row>
    <row r="141" spans="1:9">
      <c r="A141" s="445" t="s">
        <v>2373</v>
      </c>
      <c r="B141" s="445" t="s">
        <v>2374</v>
      </c>
      <c r="C141" s="445" t="s">
        <v>121</v>
      </c>
      <c r="D141" s="446">
        <v>1</v>
      </c>
      <c r="E141" s="446">
        <v>482.19</v>
      </c>
      <c r="F141" s="446">
        <v>0</v>
      </c>
      <c r="G141" s="447">
        <f t="shared" ref="G141:G150" si="6">+E141*D141</f>
        <v>482.19</v>
      </c>
      <c r="H141" s="448">
        <f t="shared" ref="H141:H149" si="7">+F141*D141</f>
        <v>0</v>
      </c>
      <c r="I141" s="447">
        <f t="shared" ref="I141:I150" si="8">+G141+(H141*$I$3)</f>
        <v>482.19</v>
      </c>
    </row>
    <row r="142" spans="1:9">
      <c r="A142" s="445" t="s">
        <v>2375</v>
      </c>
      <c r="B142" s="445" t="s">
        <v>2376</v>
      </c>
      <c r="C142" s="445" t="s">
        <v>121</v>
      </c>
      <c r="D142" s="446">
        <v>5</v>
      </c>
      <c r="E142" s="446">
        <v>401.19</v>
      </c>
      <c r="F142" s="446">
        <v>0</v>
      </c>
      <c r="G142" s="447">
        <f t="shared" si="6"/>
        <v>2005.95</v>
      </c>
      <c r="H142" s="448">
        <f t="shared" si="7"/>
        <v>0</v>
      </c>
      <c r="I142" s="447">
        <f t="shared" si="8"/>
        <v>2005.95</v>
      </c>
    </row>
    <row r="143" spans="1:9">
      <c r="A143" s="445" t="s">
        <v>2377</v>
      </c>
      <c r="B143" s="445" t="s">
        <v>2378</v>
      </c>
      <c r="C143" s="445" t="s">
        <v>121</v>
      </c>
      <c r="D143" s="446">
        <v>7</v>
      </c>
      <c r="E143" s="446">
        <v>687.28</v>
      </c>
      <c r="F143" s="446">
        <v>0</v>
      </c>
      <c r="G143" s="447">
        <f t="shared" si="6"/>
        <v>4810.96</v>
      </c>
      <c r="H143" s="448">
        <f t="shared" si="7"/>
        <v>0</v>
      </c>
      <c r="I143" s="447">
        <f t="shared" si="8"/>
        <v>4810.96</v>
      </c>
    </row>
    <row r="144" spans="1:9">
      <c r="A144" s="445" t="s">
        <v>2379</v>
      </c>
      <c r="B144" s="445" t="s">
        <v>2380</v>
      </c>
      <c r="C144" s="445" t="s">
        <v>121</v>
      </c>
      <c r="D144" s="446">
        <v>158</v>
      </c>
      <c r="E144" s="446">
        <v>75.680000000000007</v>
      </c>
      <c r="F144" s="446">
        <v>0</v>
      </c>
      <c r="G144" s="447">
        <f t="shared" si="6"/>
        <v>11957.44</v>
      </c>
      <c r="H144" s="448">
        <f t="shared" si="7"/>
        <v>0</v>
      </c>
      <c r="I144" s="447">
        <f t="shared" si="8"/>
        <v>11957.44</v>
      </c>
    </row>
    <row r="145" spans="1:9">
      <c r="A145" s="444" t="s">
        <v>2074</v>
      </c>
      <c r="B145" s="444" t="s">
        <v>2381</v>
      </c>
      <c r="C145" s="509"/>
      <c r="D145" s="509"/>
      <c r="E145" s="509"/>
      <c r="F145" s="509"/>
      <c r="G145" s="447">
        <f t="shared" si="6"/>
        <v>0</v>
      </c>
      <c r="H145" s="448">
        <f t="shared" si="7"/>
        <v>0</v>
      </c>
      <c r="I145" s="447">
        <f t="shared" si="8"/>
        <v>0</v>
      </c>
    </row>
    <row r="146" spans="1:9">
      <c r="A146" s="445" t="s">
        <v>2382</v>
      </c>
      <c r="B146" s="445" t="s">
        <v>2383</v>
      </c>
      <c r="C146" s="445" t="s">
        <v>121</v>
      </c>
      <c r="D146" s="446">
        <v>568</v>
      </c>
      <c r="E146" s="446">
        <v>79.099999999999994</v>
      </c>
      <c r="F146" s="446">
        <v>0</v>
      </c>
      <c r="G146" s="447">
        <f t="shared" si="6"/>
        <v>44928.799999999996</v>
      </c>
      <c r="H146" s="448">
        <f t="shared" si="7"/>
        <v>0</v>
      </c>
      <c r="I146" s="447">
        <f t="shared" si="8"/>
        <v>44928.799999999996</v>
      </c>
    </row>
    <row r="147" spans="1:9">
      <c r="A147" s="445" t="s">
        <v>2384</v>
      </c>
      <c r="B147" s="445" t="s">
        <v>2385</v>
      </c>
      <c r="C147" s="445" t="s">
        <v>121</v>
      </c>
      <c r="D147" s="446">
        <v>16</v>
      </c>
      <c r="E147" s="446">
        <v>79.099999999999994</v>
      </c>
      <c r="F147" s="446">
        <v>0</v>
      </c>
      <c r="G147" s="447">
        <f t="shared" si="6"/>
        <v>1265.5999999999999</v>
      </c>
      <c r="H147" s="448">
        <f t="shared" si="7"/>
        <v>0</v>
      </c>
      <c r="I147" s="447">
        <f t="shared" si="8"/>
        <v>1265.5999999999999</v>
      </c>
    </row>
    <row r="148" spans="1:9">
      <c r="A148" s="445" t="s">
        <v>2386</v>
      </c>
      <c r="B148" s="445" t="s">
        <v>2387</v>
      </c>
      <c r="C148" s="445" t="s">
        <v>121</v>
      </c>
      <c r="D148" s="446">
        <v>546</v>
      </c>
      <c r="E148" s="446">
        <v>79.099999999999994</v>
      </c>
      <c r="F148" s="446">
        <v>0</v>
      </c>
      <c r="G148" s="447">
        <f t="shared" si="6"/>
        <v>43188.6</v>
      </c>
      <c r="H148" s="448">
        <f t="shared" si="7"/>
        <v>0</v>
      </c>
      <c r="I148" s="447">
        <f t="shared" si="8"/>
        <v>43188.6</v>
      </c>
    </row>
    <row r="149" spans="1:9">
      <c r="A149" s="445" t="s">
        <v>2388</v>
      </c>
      <c r="B149" s="445" t="s">
        <v>2389</v>
      </c>
      <c r="C149" s="445" t="s">
        <v>121</v>
      </c>
      <c r="D149" s="446">
        <v>1234</v>
      </c>
      <c r="E149" s="446">
        <v>79.099999999999994</v>
      </c>
      <c r="F149" s="446">
        <v>0</v>
      </c>
      <c r="G149" s="447">
        <f t="shared" si="6"/>
        <v>97609.4</v>
      </c>
      <c r="H149" s="448">
        <f t="shared" si="7"/>
        <v>0</v>
      </c>
      <c r="I149" s="447">
        <f t="shared" si="8"/>
        <v>97609.4</v>
      </c>
    </row>
    <row r="150" spans="1:9">
      <c r="A150" s="445"/>
      <c r="B150" s="445" t="s">
        <v>59</v>
      </c>
      <c r="C150" s="445" t="s">
        <v>130</v>
      </c>
      <c r="D150" s="446">
        <v>-1</v>
      </c>
      <c r="E150" s="446">
        <f>65000-6000</f>
        <v>59000</v>
      </c>
      <c r="F150" s="446"/>
      <c r="G150" s="447">
        <f t="shared" si="6"/>
        <v>-59000</v>
      </c>
      <c r="H150" s="448"/>
      <c r="I150" s="447">
        <f t="shared" si="8"/>
        <v>-59000</v>
      </c>
    </row>
  </sheetData>
  <mergeCells count="1">
    <mergeCell ref="A2:H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6C66-69C3-4741-ACF8-9B9A8311AFAA}">
  <dimension ref="B1:G8"/>
  <sheetViews>
    <sheetView topLeftCell="B1" workbookViewId="0">
      <selection activeCell="B8" sqref="A8:XFD572"/>
    </sheetView>
  </sheetViews>
  <sheetFormatPr defaultColWidth="11.42578125" defaultRowHeight="15"/>
  <cols>
    <col min="1" max="1" width="7.85546875" customWidth="1"/>
    <col min="2" max="2" width="37" customWidth="1"/>
    <col min="7" max="7" width="11.7109375" bestFit="1" customWidth="1"/>
  </cols>
  <sheetData>
    <row r="1" spans="2:7" ht="15.75" thickBot="1"/>
    <row r="2" spans="2:7" ht="16.5" thickTop="1" thickBot="1">
      <c r="B2" s="385" t="s">
        <v>21</v>
      </c>
      <c r="C2" s="23" t="s">
        <v>70</v>
      </c>
      <c r="D2" s="24" t="s">
        <v>885</v>
      </c>
      <c r="E2" s="24" t="s">
        <v>1688</v>
      </c>
      <c r="F2" s="386" t="s">
        <v>1689</v>
      </c>
      <c r="G2" s="387" t="s">
        <v>54</v>
      </c>
    </row>
    <row r="3" spans="2:7" ht="15.75" thickTop="1">
      <c r="B3" s="388" t="s">
        <v>1682</v>
      </c>
      <c r="C3" s="389"/>
      <c r="D3" s="390"/>
      <c r="E3" s="391"/>
      <c r="F3" s="392"/>
      <c r="G3" s="393">
        <f>SUM(F5:F7)</f>
        <v>96048.425000000003</v>
      </c>
    </row>
    <row r="4" spans="2:7">
      <c r="B4" s="394" t="s">
        <v>2390</v>
      </c>
      <c r="C4" s="395"/>
      <c r="D4" s="396"/>
      <c r="E4" s="397"/>
      <c r="F4" s="398"/>
      <c r="G4" s="399"/>
    </row>
    <row r="5" spans="2:7">
      <c r="B5" s="400" t="s">
        <v>2391</v>
      </c>
      <c r="C5" s="401" t="s">
        <v>121</v>
      </c>
      <c r="D5" s="402">
        <v>1</v>
      </c>
      <c r="E5" s="403">
        <v>15750</v>
      </c>
      <c r="F5" s="404">
        <f>+E5*D5</f>
        <v>15750</v>
      </c>
      <c r="G5" s="399"/>
    </row>
    <row r="6" spans="2:7">
      <c r="B6" s="405" t="s">
        <v>2392</v>
      </c>
      <c r="C6" s="406" t="s">
        <v>82</v>
      </c>
      <c r="D6" s="407">
        <v>38.805</v>
      </c>
      <c r="E6" s="408">
        <v>85</v>
      </c>
      <c r="F6" s="404">
        <f>+E6*D6</f>
        <v>3298.4250000000002</v>
      </c>
      <c r="G6" s="399"/>
    </row>
    <row r="7" spans="2:7" ht="23.25" thickBot="1">
      <c r="B7" s="409" t="s">
        <v>2393</v>
      </c>
      <c r="C7" s="410" t="s">
        <v>130</v>
      </c>
      <c r="D7" s="411">
        <v>1</v>
      </c>
      <c r="E7" s="412">
        <v>77000</v>
      </c>
      <c r="F7" s="413">
        <f>+E7*D7</f>
        <v>77000</v>
      </c>
      <c r="G7" s="414"/>
    </row>
    <row r="8" spans="2:7" ht="15.75" thickTop="1"/>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3AA81-F9F7-47F4-BC3B-0C6C213F5AF4}">
  <dimension ref="B2:F59"/>
  <sheetViews>
    <sheetView workbookViewId="0">
      <selection activeCell="G1" sqref="G1:BG1048576"/>
    </sheetView>
  </sheetViews>
  <sheetFormatPr defaultColWidth="11.42578125" defaultRowHeight="15"/>
  <cols>
    <col min="2" max="2" width="40" customWidth="1"/>
    <col min="3" max="3" width="11.5703125" style="154"/>
    <col min="4" max="4" width="11.5703125" style="153"/>
    <col min="5" max="5" width="11.5703125" style="152"/>
    <col min="6" max="6" width="15.5703125" style="152" customWidth="1"/>
  </cols>
  <sheetData>
    <row r="2" spans="2:6" ht="15.75" thickBot="1"/>
    <row r="3" spans="2:6" ht="16.5" thickTop="1" thickBot="1">
      <c r="B3" s="49" t="s">
        <v>69</v>
      </c>
      <c r="C3" s="23" t="s">
        <v>70</v>
      </c>
      <c r="D3" s="314" t="s">
        <v>885</v>
      </c>
      <c r="E3" s="369" t="s">
        <v>72</v>
      </c>
      <c r="F3" s="369" t="s">
        <v>886</v>
      </c>
    </row>
    <row r="4" spans="2:6" ht="16.5" thickTop="1" thickBot="1">
      <c r="B4" s="370" t="s">
        <v>2394</v>
      </c>
      <c r="C4" s="207"/>
      <c r="D4" s="371"/>
      <c r="E4" s="372"/>
      <c r="F4" s="372">
        <f>SUM(F5:F38)</f>
        <v>43507.950000000012</v>
      </c>
    </row>
    <row r="5" spans="2:6">
      <c r="B5" s="239" t="s">
        <v>2395</v>
      </c>
      <c r="C5" s="373" t="s">
        <v>121</v>
      </c>
      <c r="D5" s="374">
        <v>5</v>
      </c>
      <c r="E5" s="375">
        <v>27.215999249351004</v>
      </c>
      <c r="F5" s="376">
        <f>+D5*E5</f>
        <v>136.07999624675503</v>
      </c>
    </row>
    <row r="6" spans="2:6">
      <c r="B6" s="377" t="s">
        <v>2396</v>
      </c>
      <c r="C6" s="154" t="s">
        <v>121</v>
      </c>
      <c r="D6" s="378">
        <v>1328</v>
      </c>
      <c r="E6" s="152">
        <v>2.0411999437013253</v>
      </c>
      <c r="F6" s="379">
        <f>+D6*E6</f>
        <v>2710.7135252353601</v>
      </c>
    </row>
    <row r="7" spans="2:6">
      <c r="B7" s="377" t="s">
        <v>2397</v>
      </c>
      <c r="C7" s="154" t="s">
        <v>121</v>
      </c>
      <c r="D7" s="378">
        <v>1116</v>
      </c>
      <c r="E7" s="152">
        <v>2.0411999437013253</v>
      </c>
      <c r="F7" s="379">
        <f t="shared" ref="F7:F38" si="0">+D7*E7</f>
        <v>2277.9791371706792</v>
      </c>
    </row>
    <row r="8" spans="2:6">
      <c r="B8" s="377" t="s">
        <v>2398</v>
      </c>
      <c r="C8" s="154" t="s">
        <v>121</v>
      </c>
      <c r="D8" s="378">
        <v>21</v>
      </c>
      <c r="E8" s="152">
        <v>68.039998123377515</v>
      </c>
      <c r="F8" s="379">
        <f t="shared" si="0"/>
        <v>1428.8399605909278</v>
      </c>
    </row>
    <row r="9" spans="2:6">
      <c r="B9" s="377" t="s">
        <v>2399</v>
      </c>
      <c r="C9" s="154" t="s">
        <v>121</v>
      </c>
      <c r="D9" s="378">
        <v>8</v>
      </c>
      <c r="E9" s="152">
        <v>34.019999061688758</v>
      </c>
      <c r="F9" s="379">
        <f t="shared" si="0"/>
        <v>272.15999249351006</v>
      </c>
    </row>
    <row r="10" spans="2:6">
      <c r="B10" s="377" t="s">
        <v>2400</v>
      </c>
      <c r="C10" s="154" t="s">
        <v>121</v>
      </c>
      <c r="D10" s="378">
        <v>107</v>
      </c>
      <c r="E10" s="152">
        <v>22.679999374459172</v>
      </c>
      <c r="F10" s="379">
        <f t="shared" si="0"/>
        <v>2426.7599330671314</v>
      </c>
    </row>
    <row r="11" spans="2:6">
      <c r="B11" s="377" t="s">
        <v>2401</v>
      </c>
      <c r="C11" s="154" t="s">
        <v>121</v>
      </c>
      <c r="D11" s="378">
        <v>4</v>
      </c>
      <c r="E11" s="152">
        <v>22.679999374459172</v>
      </c>
      <c r="F11" s="379">
        <f t="shared" si="0"/>
        <v>90.719997497836687</v>
      </c>
    </row>
    <row r="12" spans="2:6">
      <c r="B12" s="377" t="s">
        <v>2402</v>
      </c>
      <c r="C12" s="154" t="s">
        <v>121</v>
      </c>
      <c r="D12" s="378">
        <v>17</v>
      </c>
      <c r="E12" s="152">
        <v>13.607999624675502</v>
      </c>
      <c r="F12" s="379">
        <f t="shared" si="0"/>
        <v>231.33599361948353</v>
      </c>
    </row>
    <row r="13" spans="2:6">
      <c r="B13" s="377" t="s">
        <v>2403</v>
      </c>
      <c r="C13" s="154" t="s">
        <v>121</v>
      </c>
      <c r="D13" s="378">
        <v>122</v>
      </c>
      <c r="E13" s="152">
        <v>17.009999530844379</v>
      </c>
      <c r="F13" s="379">
        <f t="shared" si="0"/>
        <v>2075.2199427630144</v>
      </c>
    </row>
    <row r="14" spans="2:6">
      <c r="B14" s="377" t="s">
        <v>2404</v>
      </c>
      <c r="C14" s="154" t="s">
        <v>121</v>
      </c>
      <c r="D14" s="378">
        <v>176</v>
      </c>
      <c r="E14" s="152">
        <v>10.205999718506627</v>
      </c>
      <c r="F14" s="379">
        <f t="shared" si="0"/>
        <v>1796.2559504571664</v>
      </c>
    </row>
    <row r="15" spans="2:6">
      <c r="B15" s="377" t="s">
        <v>2405</v>
      </c>
      <c r="C15" s="154" t="s">
        <v>121</v>
      </c>
      <c r="D15" s="378">
        <v>7</v>
      </c>
      <c r="E15" s="152">
        <v>79.379997810607094</v>
      </c>
      <c r="F15" s="379">
        <f t="shared" si="0"/>
        <v>555.6599846742497</v>
      </c>
    </row>
    <row r="16" spans="2:6">
      <c r="B16" s="377" t="s">
        <v>2406</v>
      </c>
      <c r="C16" s="154" t="s">
        <v>121</v>
      </c>
      <c r="D16" s="378">
        <v>12</v>
      </c>
      <c r="E16" s="152">
        <v>56.699998436147922</v>
      </c>
      <c r="F16" s="379">
        <f t="shared" si="0"/>
        <v>680.39998123377507</v>
      </c>
    </row>
    <row r="17" spans="2:6">
      <c r="B17" s="377" t="s">
        <v>2407</v>
      </c>
      <c r="C17" s="154" t="s">
        <v>121</v>
      </c>
      <c r="D17" s="378">
        <v>77</v>
      </c>
      <c r="E17" s="152">
        <v>7.937999781060709</v>
      </c>
      <c r="F17" s="379">
        <f t="shared" si="0"/>
        <v>611.22598314167465</v>
      </c>
    </row>
    <row r="18" spans="2:6">
      <c r="B18" s="377" t="s">
        <v>2408</v>
      </c>
      <c r="C18" s="154" t="s">
        <v>121</v>
      </c>
      <c r="D18" s="378">
        <v>5</v>
      </c>
      <c r="E18" s="152">
        <v>22.679999374459172</v>
      </c>
      <c r="F18" s="379">
        <f t="shared" si="0"/>
        <v>113.39999687229586</v>
      </c>
    </row>
    <row r="19" spans="2:6">
      <c r="B19" s="377" t="s">
        <v>2409</v>
      </c>
      <c r="C19" s="154" t="s">
        <v>121</v>
      </c>
      <c r="D19" s="378">
        <v>73</v>
      </c>
      <c r="E19" s="152">
        <v>6.803999812337751</v>
      </c>
      <c r="F19" s="379">
        <f t="shared" si="0"/>
        <v>496.6919863006558</v>
      </c>
    </row>
    <row r="20" spans="2:6">
      <c r="B20" s="377" t="s">
        <v>2410</v>
      </c>
      <c r="C20" s="154" t="s">
        <v>121</v>
      </c>
      <c r="D20" s="378">
        <v>46</v>
      </c>
      <c r="E20" s="152">
        <v>5.6699998436147929</v>
      </c>
      <c r="F20" s="379">
        <f t="shared" si="0"/>
        <v>260.81999280628048</v>
      </c>
    </row>
    <row r="21" spans="2:6">
      <c r="B21" s="377" t="s">
        <v>2411</v>
      </c>
      <c r="C21" s="154" t="s">
        <v>121</v>
      </c>
      <c r="D21" s="378">
        <v>162</v>
      </c>
      <c r="E21" s="152">
        <v>5.6699998436147929</v>
      </c>
      <c r="F21" s="379">
        <f t="shared" si="0"/>
        <v>918.53997466559645</v>
      </c>
    </row>
    <row r="22" spans="2:6">
      <c r="B22" s="377" t="s">
        <v>2412</v>
      </c>
      <c r="C22" s="154" t="s">
        <v>121</v>
      </c>
      <c r="D22" s="378">
        <v>3</v>
      </c>
      <c r="E22" s="152">
        <v>79.379997810607094</v>
      </c>
      <c r="F22" s="379">
        <f t="shared" si="0"/>
        <v>238.13999343182127</v>
      </c>
    </row>
    <row r="23" spans="2:6">
      <c r="B23" s="377" t="s">
        <v>2413</v>
      </c>
      <c r="C23" s="154" t="s">
        <v>121</v>
      </c>
      <c r="D23" s="378">
        <v>12</v>
      </c>
      <c r="E23" s="152">
        <v>79.379997810607094</v>
      </c>
      <c r="F23" s="379">
        <f t="shared" si="0"/>
        <v>952.55997372728507</v>
      </c>
    </row>
    <row r="24" spans="2:6">
      <c r="B24" s="377" t="s">
        <v>2414</v>
      </c>
      <c r="C24" s="154" t="s">
        <v>121</v>
      </c>
      <c r="D24" s="378">
        <v>231</v>
      </c>
      <c r="E24" s="152">
        <v>6.803999812337751</v>
      </c>
      <c r="F24" s="379">
        <f t="shared" si="0"/>
        <v>1571.7239566500205</v>
      </c>
    </row>
    <row r="25" spans="2:6">
      <c r="B25" s="377" t="s">
        <v>2415</v>
      </c>
      <c r="C25" s="154" t="s">
        <v>121</v>
      </c>
      <c r="D25" s="378">
        <v>149</v>
      </c>
      <c r="E25" s="152">
        <v>6.803999812337751</v>
      </c>
      <c r="F25" s="379">
        <f t="shared" si="0"/>
        <v>1013.7959720383249</v>
      </c>
    </row>
    <row r="26" spans="2:6">
      <c r="B26" s="377" t="s">
        <v>2416</v>
      </c>
      <c r="C26" s="154" t="s">
        <v>121</v>
      </c>
      <c r="D26" s="378">
        <v>62</v>
      </c>
      <c r="E26" s="152">
        <v>5.6699998436147929</v>
      </c>
      <c r="F26" s="379">
        <f t="shared" si="0"/>
        <v>351.53999030411717</v>
      </c>
    </row>
    <row r="27" spans="2:6">
      <c r="B27" s="377" t="s">
        <v>2417</v>
      </c>
      <c r="C27" s="154" t="s">
        <v>121</v>
      </c>
      <c r="D27" s="378">
        <v>16</v>
      </c>
      <c r="E27" s="152">
        <v>39.689998905303547</v>
      </c>
      <c r="F27" s="379">
        <f t="shared" si="0"/>
        <v>635.03998248485675</v>
      </c>
    </row>
    <row r="28" spans="2:6">
      <c r="B28" s="377" t="s">
        <v>2418</v>
      </c>
      <c r="C28" s="154" t="s">
        <v>121</v>
      </c>
      <c r="D28" s="378">
        <v>172</v>
      </c>
      <c r="E28" s="152">
        <v>10.205999718506627</v>
      </c>
      <c r="F28" s="379">
        <f t="shared" si="0"/>
        <v>1755.4319515831398</v>
      </c>
    </row>
    <row r="29" spans="2:6">
      <c r="B29" s="377" t="s">
        <v>2419</v>
      </c>
      <c r="C29" s="154" t="s">
        <v>121</v>
      </c>
      <c r="D29" s="378">
        <v>633</v>
      </c>
      <c r="E29" s="152">
        <v>2.0411999437013253</v>
      </c>
      <c r="F29" s="379">
        <f t="shared" si="0"/>
        <v>1292.079564362939</v>
      </c>
    </row>
    <row r="30" spans="2:6">
      <c r="B30" s="377" t="s">
        <v>2420</v>
      </c>
      <c r="C30" s="154" t="s">
        <v>121</v>
      </c>
      <c r="D30" s="378">
        <v>24</v>
      </c>
      <c r="E30" s="152">
        <v>68.039998123377515</v>
      </c>
      <c r="F30" s="379">
        <f t="shared" si="0"/>
        <v>1632.9599549610602</v>
      </c>
    </row>
    <row r="31" spans="2:6">
      <c r="B31" s="377" t="s">
        <v>2421</v>
      </c>
      <c r="C31" s="154" t="s">
        <v>82</v>
      </c>
      <c r="D31" s="378">
        <v>20</v>
      </c>
      <c r="E31" s="152">
        <v>11.339999687229586</v>
      </c>
      <c r="F31" s="379">
        <f t="shared" si="0"/>
        <v>226.79999374459172</v>
      </c>
    </row>
    <row r="32" spans="2:6">
      <c r="B32" s="377" t="s">
        <v>2422</v>
      </c>
      <c r="D32" s="378"/>
      <c r="E32" s="152">
        <v>0</v>
      </c>
      <c r="F32" s="379">
        <f t="shared" si="0"/>
        <v>0</v>
      </c>
    </row>
    <row r="33" spans="2:6">
      <c r="B33" s="377" t="s">
        <v>2423</v>
      </c>
      <c r="C33" t="s">
        <v>973</v>
      </c>
      <c r="D33" s="378">
        <v>41.36</v>
      </c>
      <c r="E33" s="152">
        <v>192.77999468290295</v>
      </c>
      <c r="F33" s="379">
        <f t="shared" si="0"/>
        <v>7973.3805800848659</v>
      </c>
    </row>
    <row r="34" spans="2:6">
      <c r="B34" s="377" t="s">
        <v>2424</v>
      </c>
      <c r="C34" s="154" t="s">
        <v>2425</v>
      </c>
      <c r="D34" s="378">
        <v>8</v>
      </c>
      <c r="E34" s="152">
        <v>48.761998655087218</v>
      </c>
      <c r="F34" s="379">
        <f t="shared" si="0"/>
        <v>390.09598924069775</v>
      </c>
    </row>
    <row r="35" spans="2:6">
      <c r="B35" s="377" t="s">
        <v>2426</v>
      </c>
      <c r="D35" s="378"/>
      <c r="E35" s="152">
        <v>0</v>
      </c>
      <c r="F35" s="379">
        <f t="shared" si="0"/>
        <v>0</v>
      </c>
    </row>
    <row r="36" spans="2:6">
      <c r="B36" s="377" t="s">
        <v>2427</v>
      </c>
      <c r="C36" s="154" t="s">
        <v>130</v>
      </c>
      <c r="D36" s="378">
        <v>1</v>
      </c>
      <c r="E36" s="152">
        <v>5669.9998436147926</v>
      </c>
      <c r="F36" s="379">
        <f t="shared" si="0"/>
        <v>5669.9998436147926</v>
      </c>
    </row>
    <row r="37" spans="2:6">
      <c r="B37" s="377" t="s">
        <v>2428</v>
      </c>
      <c r="D37" s="378"/>
      <c r="E37" s="152">
        <v>0</v>
      </c>
      <c r="F37" s="379">
        <f t="shared" si="0"/>
        <v>0</v>
      </c>
    </row>
    <row r="38" spans="2:6" ht="15.75" thickBot="1">
      <c r="B38" s="380" t="s">
        <v>2429</v>
      </c>
      <c r="C38" s="381" t="s">
        <v>130</v>
      </c>
      <c r="D38" s="382">
        <v>1</v>
      </c>
      <c r="E38" s="383">
        <v>2721.5999249351003</v>
      </c>
      <c r="F38" s="384">
        <f t="shared" si="0"/>
        <v>2721.5999249351003</v>
      </c>
    </row>
    <row r="39" spans="2:6" ht="16.5" thickTop="1" thickBot="1">
      <c r="B39" s="370" t="s">
        <v>2430</v>
      </c>
      <c r="C39" s="207"/>
      <c r="D39" s="371"/>
      <c r="E39" s="372"/>
      <c r="F39" s="372">
        <f>SUM(F41:F59)</f>
        <v>14868.669999999998</v>
      </c>
    </row>
    <row r="40" spans="2:6">
      <c r="B40" s="239" t="s">
        <v>2431</v>
      </c>
      <c r="C40" s="373"/>
      <c r="D40" s="374"/>
      <c r="E40" s="375"/>
      <c r="F40" s="376"/>
    </row>
    <row r="41" spans="2:6">
      <c r="B41" s="377" t="s">
        <v>2432</v>
      </c>
      <c r="C41" s="154" t="s">
        <v>121</v>
      </c>
      <c r="D41" s="378">
        <v>2</v>
      </c>
      <c r="E41" s="152">
        <v>45.360006711562953</v>
      </c>
      <c r="F41" s="379">
        <f t="shared" ref="F41:F59" si="1">+D41*E41</f>
        <v>90.720013423125906</v>
      </c>
    </row>
    <row r="42" spans="2:6">
      <c r="B42" s="377" t="s">
        <v>2433</v>
      </c>
      <c r="C42" s="154" t="s">
        <v>121</v>
      </c>
      <c r="D42" s="378">
        <v>1</v>
      </c>
      <c r="E42" s="152">
        <v>23.247003439676014</v>
      </c>
      <c r="F42" s="379">
        <f t="shared" si="1"/>
        <v>23.247003439676014</v>
      </c>
    </row>
    <row r="43" spans="2:6">
      <c r="B43" s="377" t="s">
        <v>2434</v>
      </c>
      <c r="C43" s="154" t="s">
        <v>121</v>
      </c>
      <c r="D43" s="378">
        <v>1</v>
      </c>
      <c r="E43" s="152">
        <v>65.772009731766289</v>
      </c>
      <c r="F43" s="379">
        <f t="shared" si="1"/>
        <v>65.772009731766289</v>
      </c>
    </row>
    <row r="44" spans="2:6">
      <c r="B44" s="377" t="s">
        <v>2435</v>
      </c>
      <c r="C44" s="154" t="s">
        <v>121</v>
      </c>
      <c r="D44" s="378">
        <v>20</v>
      </c>
      <c r="E44" s="152">
        <v>15.876002349047035</v>
      </c>
      <c r="F44" s="379">
        <f t="shared" si="1"/>
        <v>317.52004698094072</v>
      </c>
    </row>
    <row r="45" spans="2:6">
      <c r="B45" s="377" t="s">
        <v>2436</v>
      </c>
      <c r="C45" s="154" t="s">
        <v>130</v>
      </c>
      <c r="D45" s="378">
        <v>1</v>
      </c>
      <c r="E45" s="152">
        <v>850.50012584180536</v>
      </c>
      <c r="F45" s="379">
        <f t="shared" si="1"/>
        <v>850.50012584180536</v>
      </c>
    </row>
    <row r="46" spans="2:6">
      <c r="B46" s="377" t="s">
        <v>2437</v>
      </c>
      <c r="C46" s="154" t="s">
        <v>130</v>
      </c>
      <c r="D46" s="378">
        <v>1</v>
      </c>
      <c r="E46" s="152">
        <v>623.70009228399067</v>
      </c>
      <c r="F46" s="379">
        <f t="shared" si="1"/>
        <v>623.70009228399067</v>
      </c>
    </row>
    <row r="47" spans="2:6">
      <c r="B47" s="377" t="s">
        <v>2438</v>
      </c>
      <c r="D47" s="378"/>
      <c r="E47" s="152">
        <v>0</v>
      </c>
      <c r="F47" s="379"/>
    </row>
    <row r="48" spans="2:6">
      <c r="B48" s="377" t="s">
        <v>2439</v>
      </c>
      <c r="C48" s="154" t="s">
        <v>2440</v>
      </c>
      <c r="D48" s="378">
        <v>21</v>
      </c>
      <c r="E48" s="152">
        <v>3.0618004530304996</v>
      </c>
      <c r="F48" s="379">
        <f t="shared" si="1"/>
        <v>64.297809513640487</v>
      </c>
    </row>
    <row r="49" spans="2:6">
      <c r="B49" s="377" t="s">
        <v>2441</v>
      </c>
      <c r="C49" s="154" t="s">
        <v>2440</v>
      </c>
      <c r="D49" s="378">
        <v>805</v>
      </c>
      <c r="E49" s="152">
        <v>3.8782805738386323</v>
      </c>
      <c r="F49" s="379">
        <f t="shared" si="1"/>
        <v>3122.0158619400991</v>
      </c>
    </row>
    <row r="50" spans="2:6">
      <c r="B50" s="377" t="s">
        <v>2442</v>
      </c>
      <c r="D50" s="378"/>
      <c r="E50" s="152">
        <v>0</v>
      </c>
      <c r="F50" s="379"/>
    </row>
    <row r="51" spans="2:6">
      <c r="B51" s="377" t="s">
        <v>2443</v>
      </c>
      <c r="C51" s="154" t="s">
        <v>121</v>
      </c>
      <c r="D51" s="378">
        <v>4</v>
      </c>
      <c r="E51" s="152">
        <v>755.07401172235484</v>
      </c>
      <c r="F51" s="379">
        <f t="shared" si="1"/>
        <v>3020.2960468894194</v>
      </c>
    </row>
    <row r="52" spans="2:6">
      <c r="B52" s="377" t="s">
        <v>2444</v>
      </c>
      <c r="C52" s="154" t="s">
        <v>121</v>
      </c>
      <c r="D52" s="378">
        <v>10</v>
      </c>
      <c r="E52" s="152">
        <v>158.76002349047033</v>
      </c>
      <c r="F52" s="379">
        <f t="shared" si="1"/>
        <v>1587.6002349047033</v>
      </c>
    </row>
    <row r="53" spans="2:6">
      <c r="B53" s="377" t="s">
        <v>2445</v>
      </c>
      <c r="C53" s="154" t="s">
        <v>121</v>
      </c>
      <c r="D53" s="378">
        <v>10</v>
      </c>
      <c r="E53" s="152">
        <v>107.73001593996202</v>
      </c>
      <c r="F53" s="379">
        <f t="shared" si="1"/>
        <v>1077.30015939962</v>
      </c>
    </row>
    <row r="54" spans="2:6">
      <c r="B54" s="377" t="s">
        <v>2446</v>
      </c>
      <c r="C54" s="154" t="s">
        <v>121</v>
      </c>
      <c r="D54" s="378">
        <v>10</v>
      </c>
      <c r="E54" s="152">
        <v>34.020005033672213</v>
      </c>
      <c r="F54" s="379">
        <f t="shared" si="1"/>
        <v>340.20005033672214</v>
      </c>
    </row>
    <row r="55" spans="2:6">
      <c r="B55" s="377" t="s">
        <v>2447</v>
      </c>
      <c r="C55" s="154" t="s">
        <v>121</v>
      </c>
      <c r="D55" s="378">
        <v>10</v>
      </c>
      <c r="E55" s="152">
        <v>51.030007550508323</v>
      </c>
      <c r="F55" s="379">
        <f t="shared" si="1"/>
        <v>510.30007550508321</v>
      </c>
    </row>
    <row r="56" spans="2:6">
      <c r="B56" s="377" t="s">
        <v>1865</v>
      </c>
      <c r="D56" s="378"/>
      <c r="E56" s="152">
        <v>0</v>
      </c>
      <c r="F56" s="379"/>
    </row>
    <row r="57" spans="2:6">
      <c r="B57" s="377" t="s">
        <v>2427</v>
      </c>
      <c r="C57" s="154" t="s">
        <v>130</v>
      </c>
      <c r="D57" s="378">
        <v>1</v>
      </c>
      <c r="E57" s="152">
        <v>2948.4004362515921</v>
      </c>
      <c r="F57" s="379">
        <f t="shared" si="1"/>
        <v>2948.4004362515921</v>
      </c>
    </row>
    <row r="58" spans="2:6">
      <c r="B58" s="377" t="s">
        <v>2428</v>
      </c>
      <c r="D58" s="378"/>
      <c r="E58" s="152">
        <v>0</v>
      </c>
      <c r="F58" s="379"/>
    </row>
    <row r="59" spans="2:6" ht="15.75" thickBot="1">
      <c r="B59" s="380" t="s">
        <v>2448</v>
      </c>
      <c r="C59" s="381" t="s">
        <v>130</v>
      </c>
      <c r="D59" s="382">
        <v>1</v>
      </c>
      <c r="E59" s="383">
        <v>226.80003355781477</v>
      </c>
      <c r="F59" s="384">
        <f t="shared" si="1"/>
        <v>226.80003355781477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afbc94f-4f2c-4840-a226-3be54c1dbc6f">
      <Terms xmlns="http://schemas.microsoft.com/office/infopath/2007/PartnerControls"/>
    </lcf76f155ced4ddcb4097134ff3c332f>
    <TaxCatchAll xmlns="5af39fbe-db52-4f75-8c78-5d5b0fbe969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B01797F2A45CAC48BC715C21AB77E472" ma:contentTypeVersion="16" ma:contentTypeDescription="Crear nuevo documento." ma:contentTypeScope="" ma:versionID="509afae802688fa965c5fe68f7dd53d5">
  <xsd:schema xmlns:xsd="http://www.w3.org/2001/XMLSchema" xmlns:xs="http://www.w3.org/2001/XMLSchema" xmlns:p="http://schemas.microsoft.com/office/2006/metadata/properties" xmlns:ns2="aafbc94f-4f2c-4840-a226-3be54c1dbc6f" xmlns:ns3="5af39fbe-db52-4f75-8c78-5d5b0fbe969d" targetNamespace="http://schemas.microsoft.com/office/2006/metadata/properties" ma:root="true" ma:fieldsID="cd5faa12b894de564b44721484817feb" ns2:_="" ns3:_="">
    <xsd:import namespace="aafbc94f-4f2c-4840-a226-3be54c1dbc6f"/>
    <xsd:import namespace="5af39fbe-db52-4f75-8c78-5d5b0fbe969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fbc94f-4f2c-4840-a226-3be54c1dbc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8d3bafeb-26fa-401c-ad88-3981bbe5e61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f39fbe-db52-4f75-8c78-5d5b0fbe969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9ae971c-aa08-4231-ba88-ffdb8f9fd2c7}" ma:internalName="TaxCatchAll" ma:showField="CatchAllData" ma:web="5af39fbe-db52-4f75-8c78-5d5b0fbe969d">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538B52-FBA9-4A6E-AB39-EA733D57BB51}">
  <ds:schemaRefs>
    <ds:schemaRef ds:uri="http://schemas.microsoft.com/DataMashup"/>
  </ds:schemaRefs>
</ds:datastoreItem>
</file>

<file path=customXml/itemProps2.xml><?xml version="1.0" encoding="utf-8"?>
<ds:datastoreItem xmlns:ds="http://schemas.openxmlformats.org/officeDocument/2006/customXml" ds:itemID="{1A3ED69B-C9E1-4CE8-ABD4-7E0F0128B2F0}">
  <ds:schemaRefs>
    <ds:schemaRef ds:uri="http://schemas.microsoft.com/office/2006/metadata/properties"/>
    <ds:schemaRef ds:uri="http://schemas.microsoft.com/office/infopath/2007/PartnerControls"/>
    <ds:schemaRef ds:uri="aafbc94f-4f2c-4840-a226-3be54c1dbc6f"/>
    <ds:schemaRef ds:uri="5af39fbe-db52-4f75-8c78-5d5b0fbe969d"/>
  </ds:schemaRefs>
</ds:datastoreItem>
</file>

<file path=customXml/itemProps3.xml><?xml version="1.0" encoding="utf-8"?>
<ds:datastoreItem xmlns:ds="http://schemas.openxmlformats.org/officeDocument/2006/customXml" ds:itemID="{54F54228-C28D-420C-A240-B777F0714F72}">
  <ds:schemaRefs>
    <ds:schemaRef ds:uri="http://schemas.microsoft.com/sharepoint/v3/contenttype/forms"/>
  </ds:schemaRefs>
</ds:datastoreItem>
</file>

<file path=customXml/itemProps4.xml><?xml version="1.0" encoding="utf-8"?>
<ds:datastoreItem xmlns:ds="http://schemas.openxmlformats.org/officeDocument/2006/customXml" ds:itemID="{C6E56101-C345-4FE0-90CC-6CAC9F97E7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fbc94f-4f2c-4840-a226-3be54c1dbc6f"/>
    <ds:schemaRef ds:uri="5af39fbe-db52-4f75-8c78-5d5b0fbe96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RESUMEN ESCENARIO</vt:lpstr>
      <vt:lpstr>OP</vt:lpstr>
      <vt:lpstr>GG</vt:lpstr>
      <vt:lpstr>Est Sotano </vt:lpstr>
      <vt:lpstr>EST TORRE</vt:lpstr>
      <vt:lpstr>ARQ SOT</vt:lpstr>
      <vt:lpstr>ARQ TORRE</vt:lpstr>
      <vt:lpstr>OFICINAS</vt:lpstr>
      <vt:lpstr>CTO BOMBAS - ACIySPC ACT</vt:lpstr>
      <vt:lpstr>INSTALACIONES</vt:lpstr>
      <vt:lpstr>IIMM</vt:lpstr>
      <vt:lpstr>IIEE</vt:lpstr>
      <vt:lpstr>IISS</vt:lpstr>
      <vt:lpstr>OBRA CIVIL ASCENSOR</vt:lpstr>
      <vt:lpstr>PAISAJISMO</vt:lpstr>
      <vt:lpstr>_k</vt:lpstr>
      <vt:lpstr>TC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Edwid Pinto</cp:lastModifiedBy>
  <cp:revision/>
  <dcterms:created xsi:type="dcterms:W3CDTF">2023-01-23T15:46:33Z</dcterms:created>
  <dcterms:modified xsi:type="dcterms:W3CDTF">2026-10-04T22:43:39Z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0x010100B01797F2A45CAC48BC715C21AB77E472</vt:lpwstr>
  </property>
  <property fmtid="{D5CDD505-2E9C-101B-9397-08002B2CF9AE}" pid="3" name="MediaServiceImageTags">
    <vt:lpwstr/>
  </property>
</Properties>
</file>